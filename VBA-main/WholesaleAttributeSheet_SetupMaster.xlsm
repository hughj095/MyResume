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nena.wdpr.disney.com\data\TDS\tds-global\DISNEY COLLECTIONS\New Wholesale Attribute Sheets\Current Attribute Templates\"/>
    </mc:Choice>
  </mc:AlternateContent>
  <bookViews>
    <workbookView xWindow="0" yWindow="0" windowWidth="18710" windowHeight="5330" activeTab="2"/>
  </bookViews>
  <sheets>
    <sheet name="Control " sheetId="2" r:id="rId1"/>
    <sheet name="Instructions" sheetId="9" r:id="rId2"/>
    <sheet name="GRCs" sheetId="5" r:id="rId3"/>
    <sheet name="WholesaleExtract" sheetId="8" r:id="rId4"/>
    <sheet name="Ref Tables" sheetId="3" r:id="rId5"/>
  </sheets>
  <definedNames>
    <definedName name="_xlnm._FilterDatabase" localSheetId="2" hidden="1">GRCs!$A$2:$S$6000</definedName>
    <definedName name="Accessories">'Ref Tables'!$AU$2:$AU$14</definedName>
    <definedName name="Accessory">'Ref Tables'!$AQ$2:$AQ$6</definedName>
    <definedName name="Apparel">'Ref Tables'!$AR$2:$AR$4</definedName>
    <definedName name="Apparel_">'Ref Tables'!$AV$2:$AV$6</definedName>
    <definedName name="Bags_and_Luggage">'Ref Tables'!$P$2:$P$5</definedName>
    <definedName name="Category">'Ref Tables'!$N$2:$N$32</definedName>
    <definedName name="Cooking_Apron">'Ref Tables'!$Q$2</definedName>
    <definedName name="Costume_Footwear">'Ref Tables'!$AS$2</definedName>
    <definedName name="Cuddleez">'Ref Tables'!$AF$2</definedName>
    <definedName name="Dolls_and_Figures">'Ref Tables'!$AG$2:$AG$5</definedName>
    <definedName name="Dress_Bottom">'Ref Tables'!$AC$2:$AC$7</definedName>
    <definedName name="Drinkware">'Ref Tables'!$AH$2:$AH$4</definedName>
    <definedName name="ExternalData_2" localSheetId="4" hidden="1">'Ref Tables'!$F$1:$F$6</definedName>
    <definedName name="Eyewear">'Ref Tables'!$R$2</definedName>
    <definedName name="Footwear">'Ref Tables'!$S$2:$S$7</definedName>
    <definedName name="Hardlines">'Ref Tables'!$AW$2:$AW$12</definedName>
    <definedName name="Headwear">'Ref Tables'!$T$2:$T$3</definedName>
    <definedName name="Home">'Ref Tables'!$AI$2:$AI$4</definedName>
    <definedName name="Jewelry">'Ref Tables'!$U$2</definedName>
    <definedName name="Lunch_Totes">'Ref Tables'!$V$2</definedName>
    <definedName name="Outerwear_Top">'Ref Tables'!$AB$2:$AB$7</definedName>
    <definedName name="PD_Designer">tblBUContacts[PD_Designer]</definedName>
    <definedName name="Pet">'Ref Tables'!$W$2:$W$5</definedName>
    <definedName name="Pins_and_Charms">'Ref Tables'!$X$2:$X$4</definedName>
    <definedName name="PlanYrQtr" localSheetId="0">'Control '!$D$8</definedName>
    <definedName name="Playing_House_Toys">'Ref Tables'!$AJ$2:$AJ$4</definedName>
    <definedName name="Plush">'Ref Tables'!$AK$2:$AK$3</definedName>
    <definedName name="Query_from_MS_Access_Database" localSheetId="3" hidden="1">WholesaleExtract!$A$1:$X$422</definedName>
    <definedName name="Query_from_MS_Access_Database_23" localSheetId="4" hidden="1">'Ref Tables'!$A$1:$C$62</definedName>
    <definedName name="Role_Play">'Ref Tables'!$AX$2:$AX$5</definedName>
    <definedName name="Seasonal">'Ref Tables'!$AL$2:$AL$10</definedName>
    <definedName name="Sets">'Ref Tables'!$AD$2:$AD$4</definedName>
    <definedName name="Socks">'Ref Tables'!$Y$2</definedName>
    <definedName name="Stationery">'Ref Tables'!$AM$2</definedName>
    <definedName name="Swimwear">'Ref Tables'!$AE$2:$AE$6</definedName>
    <definedName name="Tabletop">'Ref Tables'!$AN$2:$AN$17</definedName>
    <definedName name="Towels">'Ref Tables'!$Z$2</definedName>
    <definedName name="Toys">'Ref Tables'!$AO$2:$AO$10</definedName>
    <definedName name="Umbrella">'Ref Tables'!$AA$2</definedName>
    <definedName name="Water_and_Pool_Toys">'Ref Tables'!$AP$2:$AP$7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5" l="1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I65" i="5"/>
  <c r="J65" i="5"/>
  <c r="K65" i="5"/>
  <c r="L65" i="5"/>
  <c r="M65" i="5"/>
  <c r="H66" i="5"/>
  <c r="I66" i="5"/>
  <c r="J66" i="5"/>
  <c r="K66" i="5"/>
  <c r="L66" i="5"/>
  <c r="M66" i="5"/>
  <c r="H67" i="5"/>
  <c r="I67" i="5"/>
  <c r="J67" i="5"/>
  <c r="K67" i="5"/>
  <c r="L67" i="5"/>
  <c r="M67" i="5"/>
  <c r="H68" i="5"/>
  <c r="I68" i="5"/>
  <c r="J68" i="5"/>
  <c r="K68" i="5"/>
  <c r="L68" i="5"/>
  <c r="M68" i="5"/>
  <c r="H69" i="5"/>
  <c r="I69" i="5"/>
  <c r="J69" i="5"/>
  <c r="K69" i="5"/>
  <c r="L69" i="5"/>
  <c r="M69" i="5"/>
  <c r="H70" i="5"/>
  <c r="I70" i="5"/>
  <c r="J70" i="5"/>
  <c r="K70" i="5"/>
  <c r="L70" i="5"/>
  <c r="M70" i="5"/>
  <c r="H71" i="5"/>
  <c r="I71" i="5"/>
  <c r="J71" i="5"/>
  <c r="K71" i="5"/>
  <c r="L71" i="5"/>
  <c r="M71" i="5"/>
  <c r="H72" i="5"/>
  <c r="I72" i="5"/>
  <c r="J72" i="5"/>
  <c r="K72" i="5"/>
  <c r="L72" i="5"/>
  <c r="M72" i="5"/>
  <c r="H73" i="5"/>
  <c r="I73" i="5"/>
  <c r="J73" i="5"/>
  <c r="K73" i="5"/>
  <c r="L73" i="5"/>
  <c r="M73" i="5"/>
  <c r="H74" i="5"/>
  <c r="I74" i="5"/>
  <c r="J74" i="5"/>
  <c r="K74" i="5"/>
  <c r="L74" i="5"/>
  <c r="M74" i="5"/>
  <c r="H75" i="5"/>
  <c r="I75" i="5"/>
  <c r="J75" i="5"/>
  <c r="K75" i="5"/>
  <c r="L75" i="5"/>
  <c r="M75" i="5"/>
  <c r="H76" i="5"/>
  <c r="I76" i="5"/>
  <c r="J76" i="5"/>
  <c r="K76" i="5"/>
  <c r="L76" i="5"/>
  <c r="M76" i="5"/>
  <c r="H77" i="5"/>
  <c r="I77" i="5"/>
  <c r="J77" i="5"/>
  <c r="K77" i="5"/>
  <c r="L77" i="5"/>
  <c r="M77" i="5"/>
  <c r="H78" i="5"/>
  <c r="I78" i="5"/>
  <c r="J78" i="5"/>
  <c r="K78" i="5"/>
  <c r="L78" i="5"/>
  <c r="M78" i="5"/>
  <c r="H79" i="5"/>
  <c r="I79" i="5"/>
  <c r="J79" i="5"/>
  <c r="K79" i="5"/>
  <c r="L79" i="5"/>
  <c r="M79" i="5"/>
  <c r="H80" i="5"/>
  <c r="I80" i="5"/>
  <c r="J80" i="5"/>
  <c r="K80" i="5"/>
  <c r="L80" i="5"/>
  <c r="M80" i="5"/>
  <c r="H81" i="5"/>
  <c r="I81" i="5"/>
  <c r="J81" i="5"/>
  <c r="K81" i="5"/>
  <c r="L81" i="5"/>
  <c r="M81" i="5"/>
  <c r="H82" i="5"/>
  <c r="I82" i="5"/>
  <c r="J82" i="5"/>
  <c r="K82" i="5"/>
  <c r="L82" i="5"/>
  <c r="M82" i="5"/>
  <c r="H83" i="5"/>
  <c r="I83" i="5"/>
  <c r="J83" i="5"/>
  <c r="K83" i="5"/>
  <c r="L83" i="5"/>
  <c r="M83" i="5"/>
  <c r="H84" i="5"/>
  <c r="I84" i="5"/>
  <c r="J84" i="5"/>
  <c r="K84" i="5"/>
  <c r="L84" i="5"/>
  <c r="M84" i="5"/>
  <c r="H85" i="5"/>
  <c r="I85" i="5"/>
  <c r="J85" i="5"/>
  <c r="K85" i="5"/>
  <c r="L85" i="5"/>
  <c r="M85" i="5"/>
  <c r="H86" i="5"/>
  <c r="I86" i="5"/>
  <c r="J86" i="5"/>
  <c r="K86" i="5"/>
  <c r="L86" i="5"/>
  <c r="M86" i="5"/>
  <c r="H87" i="5"/>
  <c r="I87" i="5"/>
  <c r="J87" i="5"/>
  <c r="K87" i="5"/>
  <c r="L87" i="5"/>
  <c r="M87" i="5"/>
  <c r="H88" i="5"/>
  <c r="I88" i="5"/>
  <c r="J88" i="5"/>
  <c r="K88" i="5"/>
  <c r="L88" i="5"/>
  <c r="M88" i="5"/>
  <c r="H89" i="5"/>
  <c r="I89" i="5"/>
  <c r="J89" i="5"/>
  <c r="K89" i="5"/>
  <c r="L89" i="5"/>
  <c r="M89" i="5"/>
  <c r="H90" i="5"/>
  <c r="I90" i="5"/>
  <c r="J90" i="5"/>
  <c r="K90" i="5"/>
  <c r="L90" i="5"/>
  <c r="M90" i="5"/>
  <c r="H91" i="5"/>
  <c r="I91" i="5"/>
  <c r="J91" i="5"/>
  <c r="K91" i="5"/>
  <c r="L91" i="5"/>
  <c r="M91" i="5"/>
  <c r="H92" i="5"/>
  <c r="I92" i="5"/>
  <c r="J92" i="5"/>
  <c r="K92" i="5"/>
  <c r="L92" i="5"/>
  <c r="M92" i="5"/>
  <c r="H93" i="5"/>
  <c r="I93" i="5"/>
  <c r="J93" i="5"/>
  <c r="K93" i="5"/>
  <c r="L93" i="5"/>
  <c r="M93" i="5"/>
  <c r="H94" i="5"/>
  <c r="I94" i="5"/>
  <c r="J94" i="5"/>
  <c r="K94" i="5"/>
  <c r="L94" i="5"/>
  <c r="M94" i="5"/>
  <c r="H95" i="5"/>
  <c r="I95" i="5"/>
  <c r="J95" i="5"/>
  <c r="K95" i="5"/>
  <c r="L95" i="5"/>
  <c r="M95" i="5"/>
  <c r="H96" i="5"/>
  <c r="I96" i="5"/>
  <c r="J96" i="5"/>
  <c r="K96" i="5"/>
  <c r="L96" i="5"/>
  <c r="M96" i="5"/>
  <c r="H97" i="5"/>
  <c r="I97" i="5"/>
  <c r="J97" i="5"/>
  <c r="K97" i="5"/>
  <c r="L97" i="5"/>
  <c r="M97" i="5"/>
  <c r="H98" i="5"/>
  <c r="I98" i="5"/>
  <c r="J98" i="5"/>
  <c r="K98" i="5"/>
  <c r="L98" i="5"/>
  <c r="M98" i="5"/>
  <c r="H99" i="5"/>
  <c r="I99" i="5"/>
  <c r="J99" i="5"/>
  <c r="K99" i="5"/>
  <c r="L99" i="5"/>
  <c r="M99" i="5"/>
  <c r="H100" i="5"/>
  <c r="I100" i="5"/>
  <c r="J100" i="5"/>
  <c r="K100" i="5"/>
  <c r="L100" i="5"/>
  <c r="M100" i="5"/>
  <c r="H101" i="5"/>
  <c r="I101" i="5"/>
  <c r="J101" i="5"/>
  <c r="K101" i="5"/>
  <c r="L101" i="5"/>
  <c r="M101" i="5"/>
  <c r="H102" i="5"/>
  <c r="I102" i="5"/>
  <c r="J102" i="5"/>
  <c r="K102" i="5"/>
  <c r="L102" i="5"/>
  <c r="M102" i="5"/>
  <c r="H103" i="5"/>
  <c r="I103" i="5"/>
  <c r="J103" i="5"/>
  <c r="K103" i="5"/>
  <c r="L103" i="5"/>
  <c r="M103" i="5"/>
  <c r="H104" i="5"/>
  <c r="I104" i="5"/>
  <c r="J104" i="5"/>
  <c r="K104" i="5"/>
  <c r="L104" i="5"/>
  <c r="M104" i="5"/>
  <c r="H105" i="5"/>
  <c r="I105" i="5"/>
  <c r="J105" i="5"/>
  <c r="K105" i="5"/>
  <c r="L105" i="5"/>
  <c r="M105" i="5"/>
  <c r="H106" i="5"/>
  <c r="I106" i="5"/>
  <c r="J106" i="5"/>
  <c r="K106" i="5"/>
  <c r="L106" i="5"/>
  <c r="M106" i="5"/>
  <c r="H107" i="5"/>
  <c r="I107" i="5"/>
  <c r="J107" i="5"/>
  <c r="K107" i="5"/>
  <c r="L107" i="5"/>
  <c r="M107" i="5"/>
  <c r="H108" i="5"/>
  <c r="I108" i="5"/>
  <c r="J108" i="5"/>
  <c r="K108" i="5"/>
  <c r="L108" i="5"/>
  <c r="M108" i="5"/>
  <c r="H109" i="5"/>
  <c r="I109" i="5"/>
  <c r="J109" i="5"/>
  <c r="K109" i="5"/>
  <c r="L109" i="5"/>
  <c r="M109" i="5"/>
  <c r="H110" i="5"/>
  <c r="I110" i="5"/>
  <c r="J110" i="5"/>
  <c r="K110" i="5"/>
  <c r="L110" i="5"/>
  <c r="M110" i="5"/>
  <c r="H111" i="5"/>
  <c r="I111" i="5"/>
  <c r="J111" i="5"/>
  <c r="K111" i="5"/>
  <c r="L111" i="5"/>
  <c r="M111" i="5"/>
  <c r="H112" i="5"/>
  <c r="I112" i="5"/>
  <c r="J112" i="5"/>
  <c r="K112" i="5"/>
  <c r="L112" i="5"/>
  <c r="M112" i="5"/>
  <c r="H113" i="5"/>
  <c r="I113" i="5"/>
  <c r="J113" i="5"/>
  <c r="K113" i="5"/>
  <c r="L113" i="5"/>
  <c r="M113" i="5"/>
  <c r="H114" i="5"/>
  <c r="I114" i="5"/>
  <c r="J114" i="5"/>
  <c r="K114" i="5"/>
  <c r="L114" i="5"/>
  <c r="M114" i="5"/>
  <c r="H115" i="5"/>
  <c r="I115" i="5"/>
  <c r="J115" i="5"/>
  <c r="K115" i="5"/>
  <c r="L115" i="5"/>
  <c r="M115" i="5"/>
  <c r="H116" i="5"/>
  <c r="I116" i="5"/>
  <c r="J116" i="5"/>
  <c r="K116" i="5"/>
  <c r="L116" i="5"/>
  <c r="M116" i="5"/>
  <c r="H117" i="5"/>
  <c r="I117" i="5"/>
  <c r="J117" i="5"/>
  <c r="K117" i="5"/>
  <c r="L117" i="5"/>
  <c r="M117" i="5"/>
  <c r="H118" i="5"/>
  <c r="I118" i="5"/>
  <c r="J118" i="5"/>
  <c r="K118" i="5"/>
  <c r="L118" i="5"/>
  <c r="M118" i="5"/>
  <c r="H119" i="5"/>
  <c r="I119" i="5"/>
  <c r="J119" i="5"/>
  <c r="K119" i="5"/>
  <c r="L119" i="5"/>
  <c r="M119" i="5"/>
  <c r="H120" i="5"/>
  <c r="I120" i="5"/>
  <c r="J120" i="5"/>
  <c r="K120" i="5"/>
  <c r="L120" i="5"/>
  <c r="M120" i="5"/>
  <c r="H121" i="5"/>
  <c r="I121" i="5"/>
  <c r="J121" i="5"/>
  <c r="K121" i="5"/>
  <c r="L121" i="5"/>
  <c r="M121" i="5"/>
  <c r="H122" i="5"/>
  <c r="I122" i="5"/>
  <c r="J122" i="5"/>
  <c r="K122" i="5"/>
  <c r="L122" i="5"/>
  <c r="M122" i="5"/>
  <c r="H123" i="5"/>
  <c r="I123" i="5"/>
  <c r="J123" i="5"/>
  <c r="K123" i="5"/>
  <c r="L123" i="5"/>
  <c r="M123" i="5"/>
  <c r="H124" i="5"/>
  <c r="I124" i="5"/>
  <c r="J124" i="5"/>
  <c r="K124" i="5"/>
  <c r="L124" i="5"/>
  <c r="M124" i="5"/>
  <c r="H125" i="5"/>
  <c r="I125" i="5"/>
  <c r="J125" i="5"/>
  <c r="K125" i="5"/>
  <c r="L125" i="5"/>
  <c r="M125" i="5"/>
  <c r="H126" i="5"/>
  <c r="I126" i="5"/>
  <c r="J126" i="5"/>
  <c r="K126" i="5"/>
  <c r="L126" i="5"/>
  <c r="M126" i="5"/>
  <c r="H127" i="5"/>
  <c r="I127" i="5"/>
  <c r="J127" i="5"/>
  <c r="K127" i="5"/>
  <c r="L127" i="5"/>
  <c r="M127" i="5"/>
  <c r="H128" i="5"/>
  <c r="I128" i="5"/>
  <c r="J128" i="5"/>
  <c r="K128" i="5"/>
  <c r="L128" i="5"/>
  <c r="M128" i="5"/>
  <c r="H129" i="5"/>
  <c r="I129" i="5"/>
  <c r="J129" i="5"/>
  <c r="K129" i="5"/>
  <c r="L129" i="5"/>
  <c r="M129" i="5"/>
  <c r="H130" i="5"/>
  <c r="I130" i="5"/>
  <c r="J130" i="5"/>
  <c r="K130" i="5"/>
  <c r="L130" i="5"/>
  <c r="M130" i="5"/>
  <c r="H131" i="5"/>
  <c r="I131" i="5"/>
  <c r="J131" i="5"/>
  <c r="K131" i="5"/>
  <c r="L131" i="5"/>
  <c r="M131" i="5"/>
  <c r="H132" i="5"/>
  <c r="I132" i="5"/>
  <c r="J132" i="5"/>
  <c r="K132" i="5"/>
  <c r="L132" i="5"/>
  <c r="M132" i="5"/>
  <c r="H133" i="5"/>
  <c r="I133" i="5"/>
  <c r="J133" i="5"/>
  <c r="K133" i="5"/>
  <c r="L133" i="5"/>
  <c r="M133" i="5"/>
  <c r="H134" i="5"/>
  <c r="I134" i="5"/>
  <c r="J134" i="5"/>
  <c r="K134" i="5"/>
  <c r="L134" i="5"/>
  <c r="M134" i="5"/>
  <c r="H135" i="5"/>
  <c r="I135" i="5"/>
  <c r="J135" i="5"/>
  <c r="K135" i="5"/>
  <c r="L135" i="5"/>
  <c r="M135" i="5"/>
  <c r="H136" i="5"/>
  <c r="I136" i="5"/>
  <c r="J136" i="5"/>
  <c r="K136" i="5"/>
  <c r="L136" i="5"/>
  <c r="M136" i="5"/>
  <c r="H137" i="5"/>
  <c r="I137" i="5"/>
  <c r="J137" i="5"/>
  <c r="K137" i="5"/>
  <c r="L137" i="5"/>
  <c r="M137" i="5"/>
  <c r="H138" i="5"/>
  <c r="I138" i="5"/>
  <c r="J138" i="5"/>
  <c r="K138" i="5"/>
  <c r="L138" i="5"/>
  <c r="M138" i="5"/>
  <c r="H139" i="5"/>
  <c r="I139" i="5"/>
  <c r="J139" i="5"/>
  <c r="K139" i="5"/>
  <c r="L139" i="5"/>
  <c r="M139" i="5"/>
  <c r="H140" i="5"/>
  <c r="I140" i="5"/>
  <c r="J140" i="5"/>
  <c r="K140" i="5"/>
  <c r="L140" i="5"/>
  <c r="M140" i="5"/>
  <c r="H141" i="5"/>
  <c r="I141" i="5"/>
  <c r="J141" i="5"/>
  <c r="K141" i="5"/>
  <c r="L141" i="5"/>
  <c r="M141" i="5"/>
  <c r="H142" i="5"/>
  <c r="I142" i="5"/>
  <c r="J142" i="5"/>
  <c r="K142" i="5"/>
  <c r="L142" i="5"/>
  <c r="M142" i="5"/>
  <c r="H143" i="5"/>
  <c r="I143" i="5"/>
  <c r="J143" i="5"/>
  <c r="K143" i="5"/>
  <c r="L143" i="5"/>
  <c r="M143" i="5"/>
  <c r="H144" i="5"/>
  <c r="I144" i="5"/>
  <c r="J144" i="5"/>
  <c r="K144" i="5"/>
  <c r="L144" i="5"/>
  <c r="M144" i="5"/>
  <c r="H145" i="5"/>
  <c r="I145" i="5"/>
  <c r="J145" i="5"/>
  <c r="K145" i="5"/>
  <c r="L145" i="5"/>
  <c r="M145" i="5"/>
  <c r="H146" i="5"/>
  <c r="I146" i="5"/>
  <c r="J146" i="5"/>
  <c r="K146" i="5"/>
  <c r="L146" i="5"/>
  <c r="M146" i="5"/>
  <c r="H147" i="5"/>
  <c r="I147" i="5"/>
  <c r="J147" i="5"/>
  <c r="K147" i="5"/>
  <c r="L147" i="5"/>
  <c r="M147" i="5"/>
  <c r="H148" i="5"/>
  <c r="I148" i="5"/>
  <c r="J148" i="5"/>
  <c r="K148" i="5"/>
  <c r="L148" i="5"/>
  <c r="M148" i="5"/>
  <c r="H149" i="5"/>
  <c r="I149" i="5"/>
  <c r="J149" i="5"/>
  <c r="K149" i="5"/>
  <c r="L149" i="5"/>
  <c r="M149" i="5"/>
  <c r="H150" i="5"/>
  <c r="I150" i="5"/>
  <c r="J150" i="5"/>
  <c r="K150" i="5"/>
  <c r="L150" i="5"/>
  <c r="M150" i="5"/>
  <c r="H151" i="5"/>
  <c r="I151" i="5"/>
  <c r="J151" i="5"/>
  <c r="K151" i="5"/>
  <c r="L151" i="5"/>
  <c r="M151" i="5"/>
  <c r="H152" i="5"/>
  <c r="I152" i="5"/>
  <c r="J152" i="5"/>
  <c r="K152" i="5"/>
  <c r="L152" i="5"/>
  <c r="M152" i="5"/>
  <c r="H153" i="5"/>
  <c r="I153" i="5"/>
  <c r="J153" i="5"/>
  <c r="K153" i="5"/>
  <c r="L153" i="5"/>
  <c r="M153" i="5"/>
  <c r="H154" i="5"/>
  <c r="I154" i="5"/>
  <c r="J154" i="5"/>
  <c r="K154" i="5"/>
  <c r="L154" i="5"/>
  <c r="M154" i="5"/>
  <c r="H155" i="5"/>
  <c r="I155" i="5"/>
  <c r="J155" i="5"/>
  <c r="K155" i="5"/>
  <c r="L155" i="5"/>
  <c r="M155" i="5"/>
  <c r="H156" i="5"/>
  <c r="I156" i="5"/>
  <c r="J156" i="5"/>
  <c r="K156" i="5"/>
  <c r="L156" i="5"/>
  <c r="M156" i="5"/>
  <c r="H157" i="5"/>
  <c r="I157" i="5"/>
  <c r="J157" i="5"/>
  <c r="K157" i="5"/>
  <c r="L157" i="5"/>
  <c r="M157" i="5"/>
  <c r="H158" i="5"/>
  <c r="I158" i="5"/>
  <c r="J158" i="5"/>
  <c r="K158" i="5"/>
  <c r="L158" i="5"/>
  <c r="M158" i="5"/>
  <c r="H159" i="5"/>
  <c r="I159" i="5"/>
  <c r="J159" i="5"/>
  <c r="K159" i="5"/>
  <c r="L159" i="5"/>
  <c r="M159" i="5"/>
  <c r="H160" i="5"/>
  <c r="I160" i="5"/>
  <c r="J160" i="5"/>
  <c r="K160" i="5"/>
  <c r="L160" i="5"/>
  <c r="M160" i="5"/>
  <c r="H161" i="5"/>
  <c r="I161" i="5"/>
  <c r="J161" i="5"/>
  <c r="K161" i="5"/>
  <c r="L161" i="5"/>
  <c r="M161" i="5"/>
  <c r="H162" i="5"/>
  <c r="I162" i="5"/>
  <c r="J162" i="5"/>
  <c r="K162" i="5"/>
  <c r="L162" i="5"/>
  <c r="M162" i="5"/>
  <c r="H163" i="5"/>
  <c r="I163" i="5"/>
  <c r="J163" i="5"/>
  <c r="K163" i="5"/>
  <c r="L163" i="5"/>
  <c r="M163" i="5"/>
  <c r="H164" i="5"/>
  <c r="I164" i="5"/>
  <c r="J164" i="5"/>
  <c r="K164" i="5"/>
  <c r="L164" i="5"/>
  <c r="M164" i="5"/>
  <c r="H165" i="5"/>
  <c r="I165" i="5"/>
  <c r="J165" i="5"/>
  <c r="K165" i="5"/>
  <c r="L165" i="5"/>
  <c r="M165" i="5"/>
  <c r="H166" i="5"/>
  <c r="I166" i="5"/>
  <c r="J166" i="5"/>
  <c r="K166" i="5"/>
  <c r="L166" i="5"/>
  <c r="M166" i="5"/>
  <c r="H167" i="5"/>
  <c r="I167" i="5"/>
  <c r="J167" i="5"/>
  <c r="K167" i="5"/>
  <c r="L167" i="5"/>
  <c r="M167" i="5"/>
  <c r="H168" i="5"/>
  <c r="I168" i="5"/>
  <c r="J168" i="5"/>
  <c r="K168" i="5"/>
  <c r="L168" i="5"/>
  <c r="M168" i="5"/>
  <c r="H169" i="5"/>
  <c r="I169" i="5"/>
  <c r="J169" i="5"/>
  <c r="K169" i="5"/>
  <c r="L169" i="5"/>
  <c r="M169" i="5"/>
  <c r="H170" i="5"/>
  <c r="I170" i="5"/>
  <c r="J170" i="5"/>
  <c r="K170" i="5"/>
  <c r="L170" i="5"/>
  <c r="M170" i="5"/>
  <c r="H171" i="5"/>
  <c r="I171" i="5"/>
  <c r="J171" i="5"/>
  <c r="K171" i="5"/>
  <c r="L171" i="5"/>
  <c r="M171" i="5"/>
  <c r="H172" i="5"/>
  <c r="I172" i="5"/>
  <c r="J172" i="5"/>
  <c r="K172" i="5"/>
  <c r="L172" i="5"/>
  <c r="M172" i="5"/>
  <c r="H173" i="5"/>
  <c r="I173" i="5"/>
  <c r="J173" i="5"/>
  <c r="K173" i="5"/>
  <c r="L173" i="5"/>
  <c r="M173" i="5"/>
  <c r="H174" i="5"/>
  <c r="I174" i="5"/>
  <c r="J174" i="5"/>
  <c r="K174" i="5"/>
  <c r="L174" i="5"/>
  <c r="M174" i="5"/>
  <c r="H175" i="5"/>
  <c r="I175" i="5"/>
  <c r="J175" i="5"/>
  <c r="K175" i="5"/>
  <c r="L175" i="5"/>
  <c r="M175" i="5"/>
  <c r="H176" i="5"/>
  <c r="I176" i="5"/>
  <c r="J176" i="5"/>
  <c r="K176" i="5"/>
  <c r="L176" i="5"/>
  <c r="M176" i="5"/>
  <c r="H177" i="5"/>
  <c r="I177" i="5"/>
  <c r="J177" i="5"/>
  <c r="K177" i="5"/>
  <c r="L177" i="5"/>
  <c r="M177" i="5"/>
  <c r="H178" i="5"/>
  <c r="I178" i="5"/>
  <c r="J178" i="5"/>
  <c r="K178" i="5"/>
  <c r="L178" i="5"/>
  <c r="M178" i="5"/>
  <c r="H179" i="5"/>
  <c r="I179" i="5"/>
  <c r="J179" i="5"/>
  <c r="K179" i="5"/>
  <c r="L179" i="5"/>
  <c r="M179" i="5"/>
  <c r="H180" i="5"/>
  <c r="I180" i="5"/>
  <c r="J180" i="5"/>
  <c r="K180" i="5"/>
  <c r="L180" i="5"/>
  <c r="M180" i="5"/>
  <c r="H181" i="5"/>
  <c r="I181" i="5"/>
  <c r="J181" i="5"/>
  <c r="K181" i="5"/>
  <c r="L181" i="5"/>
  <c r="M181" i="5"/>
  <c r="H182" i="5"/>
  <c r="I182" i="5"/>
  <c r="J182" i="5"/>
  <c r="K182" i="5"/>
  <c r="L182" i="5"/>
  <c r="M182" i="5"/>
  <c r="H183" i="5"/>
  <c r="I183" i="5"/>
  <c r="J183" i="5"/>
  <c r="K183" i="5"/>
  <c r="L183" i="5"/>
  <c r="M183" i="5"/>
  <c r="H184" i="5"/>
  <c r="I184" i="5"/>
  <c r="J184" i="5"/>
  <c r="K184" i="5"/>
  <c r="L184" i="5"/>
  <c r="M184" i="5"/>
  <c r="H185" i="5"/>
  <c r="I185" i="5"/>
  <c r="J185" i="5"/>
  <c r="K185" i="5"/>
  <c r="L185" i="5"/>
  <c r="M185" i="5"/>
  <c r="H186" i="5"/>
  <c r="I186" i="5"/>
  <c r="J186" i="5"/>
  <c r="K186" i="5"/>
  <c r="L186" i="5"/>
  <c r="M186" i="5"/>
  <c r="H187" i="5"/>
  <c r="I187" i="5"/>
  <c r="J187" i="5"/>
  <c r="K187" i="5"/>
  <c r="L187" i="5"/>
  <c r="M187" i="5"/>
  <c r="H188" i="5"/>
  <c r="I188" i="5"/>
  <c r="J188" i="5"/>
  <c r="K188" i="5"/>
  <c r="L188" i="5"/>
  <c r="M188" i="5"/>
  <c r="H189" i="5"/>
  <c r="I189" i="5"/>
  <c r="J189" i="5"/>
  <c r="K189" i="5"/>
  <c r="L189" i="5"/>
  <c r="M189" i="5"/>
  <c r="H190" i="5"/>
  <c r="I190" i="5"/>
  <c r="J190" i="5"/>
  <c r="K190" i="5"/>
  <c r="L190" i="5"/>
  <c r="M190" i="5"/>
  <c r="H191" i="5"/>
  <c r="I191" i="5"/>
  <c r="J191" i="5"/>
  <c r="K191" i="5"/>
  <c r="L191" i="5"/>
  <c r="M191" i="5"/>
  <c r="H192" i="5"/>
  <c r="I192" i="5"/>
  <c r="J192" i="5"/>
  <c r="K192" i="5"/>
  <c r="L192" i="5"/>
  <c r="M192" i="5"/>
  <c r="H193" i="5"/>
  <c r="I193" i="5"/>
  <c r="J193" i="5"/>
  <c r="K193" i="5"/>
  <c r="L193" i="5"/>
  <c r="M193" i="5"/>
  <c r="H194" i="5"/>
  <c r="I194" i="5"/>
  <c r="J194" i="5"/>
  <c r="K194" i="5"/>
  <c r="L194" i="5"/>
  <c r="M194" i="5"/>
  <c r="H195" i="5"/>
  <c r="I195" i="5"/>
  <c r="J195" i="5"/>
  <c r="K195" i="5"/>
  <c r="L195" i="5"/>
  <c r="M195" i="5"/>
  <c r="H196" i="5"/>
  <c r="I196" i="5"/>
  <c r="J196" i="5"/>
  <c r="K196" i="5"/>
  <c r="L196" i="5"/>
  <c r="M196" i="5"/>
  <c r="H197" i="5"/>
  <c r="I197" i="5"/>
  <c r="J197" i="5"/>
  <c r="K197" i="5"/>
  <c r="L197" i="5"/>
  <c r="M197" i="5"/>
  <c r="H198" i="5"/>
  <c r="I198" i="5"/>
  <c r="J198" i="5"/>
  <c r="K198" i="5"/>
  <c r="L198" i="5"/>
  <c r="M198" i="5"/>
  <c r="H199" i="5"/>
  <c r="I199" i="5"/>
  <c r="J199" i="5"/>
  <c r="K199" i="5"/>
  <c r="L199" i="5"/>
  <c r="M199" i="5"/>
  <c r="H200" i="5"/>
  <c r="I200" i="5"/>
  <c r="J200" i="5"/>
  <c r="K200" i="5"/>
  <c r="L200" i="5"/>
  <c r="M200" i="5"/>
  <c r="H201" i="5"/>
  <c r="I201" i="5"/>
  <c r="J201" i="5"/>
  <c r="K201" i="5"/>
  <c r="L201" i="5"/>
  <c r="M201" i="5"/>
  <c r="H202" i="5"/>
  <c r="I202" i="5"/>
  <c r="J202" i="5"/>
  <c r="K202" i="5"/>
  <c r="L202" i="5"/>
  <c r="M202" i="5"/>
  <c r="H203" i="5"/>
  <c r="I203" i="5"/>
  <c r="J203" i="5"/>
  <c r="K203" i="5"/>
  <c r="L203" i="5"/>
  <c r="M203" i="5"/>
  <c r="H204" i="5"/>
  <c r="I204" i="5"/>
  <c r="J204" i="5"/>
  <c r="K204" i="5"/>
  <c r="L204" i="5"/>
  <c r="M204" i="5"/>
  <c r="H205" i="5"/>
  <c r="I205" i="5"/>
  <c r="J205" i="5"/>
  <c r="K205" i="5"/>
  <c r="L205" i="5"/>
  <c r="M205" i="5"/>
  <c r="H206" i="5"/>
  <c r="I206" i="5"/>
  <c r="J206" i="5"/>
  <c r="K206" i="5"/>
  <c r="L206" i="5"/>
  <c r="M206" i="5"/>
  <c r="H207" i="5"/>
  <c r="I207" i="5"/>
  <c r="J207" i="5"/>
  <c r="K207" i="5"/>
  <c r="L207" i="5"/>
  <c r="M207" i="5"/>
  <c r="H208" i="5"/>
  <c r="I208" i="5"/>
  <c r="J208" i="5"/>
  <c r="K208" i="5"/>
  <c r="L208" i="5"/>
  <c r="M208" i="5"/>
  <c r="H209" i="5"/>
  <c r="I209" i="5"/>
  <c r="J209" i="5"/>
  <c r="K209" i="5"/>
  <c r="L209" i="5"/>
  <c r="M209" i="5"/>
  <c r="H210" i="5"/>
  <c r="I210" i="5"/>
  <c r="J210" i="5"/>
  <c r="K210" i="5"/>
  <c r="L210" i="5"/>
  <c r="M210" i="5"/>
  <c r="H211" i="5"/>
  <c r="I211" i="5"/>
  <c r="J211" i="5"/>
  <c r="K211" i="5"/>
  <c r="L211" i="5"/>
  <c r="M211" i="5"/>
  <c r="H212" i="5"/>
  <c r="I212" i="5"/>
  <c r="J212" i="5"/>
  <c r="K212" i="5"/>
  <c r="L212" i="5"/>
  <c r="M212" i="5"/>
  <c r="H213" i="5"/>
  <c r="I213" i="5"/>
  <c r="J213" i="5"/>
  <c r="K213" i="5"/>
  <c r="L213" i="5"/>
  <c r="M213" i="5"/>
  <c r="H214" i="5"/>
  <c r="I214" i="5"/>
  <c r="J214" i="5"/>
  <c r="K214" i="5"/>
  <c r="L214" i="5"/>
  <c r="M214" i="5"/>
  <c r="H215" i="5"/>
  <c r="I215" i="5"/>
  <c r="J215" i="5"/>
  <c r="K215" i="5"/>
  <c r="L215" i="5"/>
  <c r="M215" i="5"/>
  <c r="H216" i="5"/>
  <c r="I216" i="5"/>
  <c r="J216" i="5"/>
  <c r="K216" i="5"/>
  <c r="L216" i="5"/>
  <c r="M216" i="5"/>
  <c r="H217" i="5"/>
  <c r="I217" i="5"/>
  <c r="J217" i="5"/>
  <c r="K217" i="5"/>
  <c r="L217" i="5"/>
  <c r="M217" i="5"/>
  <c r="H218" i="5"/>
  <c r="I218" i="5"/>
  <c r="J218" i="5"/>
  <c r="K218" i="5"/>
  <c r="L218" i="5"/>
  <c r="M218" i="5"/>
  <c r="H219" i="5"/>
  <c r="I219" i="5"/>
  <c r="J219" i="5"/>
  <c r="K219" i="5"/>
  <c r="L219" i="5"/>
  <c r="M219" i="5"/>
  <c r="H220" i="5"/>
  <c r="I220" i="5"/>
  <c r="J220" i="5"/>
  <c r="K220" i="5"/>
  <c r="L220" i="5"/>
  <c r="M220" i="5"/>
  <c r="H221" i="5"/>
  <c r="I221" i="5"/>
  <c r="J221" i="5"/>
  <c r="K221" i="5"/>
  <c r="L221" i="5"/>
  <c r="M221" i="5"/>
  <c r="H222" i="5"/>
  <c r="I222" i="5"/>
  <c r="J222" i="5"/>
  <c r="K222" i="5"/>
  <c r="L222" i="5"/>
  <c r="M222" i="5"/>
  <c r="H223" i="5"/>
  <c r="I223" i="5"/>
  <c r="J223" i="5"/>
  <c r="K223" i="5"/>
  <c r="L223" i="5"/>
  <c r="M223" i="5"/>
  <c r="H224" i="5"/>
  <c r="I224" i="5"/>
  <c r="J224" i="5"/>
  <c r="K224" i="5"/>
  <c r="L224" i="5"/>
  <c r="M224" i="5"/>
  <c r="H225" i="5"/>
  <c r="I225" i="5"/>
  <c r="J225" i="5"/>
  <c r="K225" i="5"/>
  <c r="L225" i="5"/>
  <c r="M225" i="5"/>
  <c r="H226" i="5"/>
  <c r="I226" i="5"/>
  <c r="J226" i="5"/>
  <c r="K226" i="5"/>
  <c r="L226" i="5"/>
  <c r="M226" i="5"/>
  <c r="H227" i="5"/>
  <c r="I227" i="5"/>
  <c r="J227" i="5"/>
  <c r="K227" i="5"/>
  <c r="L227" i="5"/>
  <c r="M227" i="5"/>
  <c r="H228" i="5"/>
  <c r="I228" i="5"/>
  <c r="J228" i="5"/>
  <c r="K228" i="5"/>
  <c r="L228" i="5"/>
  <c r="M228" i="5"/>
  <c r="H229" i="5"/>
  <c r="I229" i="5"/>
  <c r="J229" i="5"/>
  <c r="K229" i="5"/>
  <c r="L229" i="5"/>
  <c r="M229" i="5"/>
  <c r="H230" i="5"/>
  <c r="I230" i="5"/>
  <c r="J230" i="5"/>
  <c r="K230" i="5"/>
  <c r="L230" i="5"/>
  <c r="M230" i="5"/>
  <c r="H231" i="5"/>
  <c r="I231" i="5"/>
  <c r="J231" i="5"/>
  <c r="K231" i="5"/>
  <c r="L231" i="5"/>
  <c r="M231" i="5"/>
  <c r="H232" i="5"/>
  <c r="I232" i="5"/>
  <c r="J232" i="5"/>
  <c r="K232" i="5"/>
  <c r="L232" i="5"/>
  <c r="M232" i="5"/>
  <c r="H233" i="5"/>
  <c r="I233" i="5"/>
  <c r="J233" i="5"/>
  <c r="K233" i="5"/>
  <c r="L233" i="5"/>
  <c r="M233" i="5"/>
  <c r="H234" i="5"/>
  <c r="I234" i="5"/>
  <c r="J234" i="5"/>
  <c r="K234" i="5"/>
  <c r="L234" i="5"/>
  <c r="M234" i="5"/>
  <c r="H235" i="5"/>
  <c r="I235" i="5"/>
  <c r="J235" i="5"/>
  <c r="K235" i="5"/>
  <c r="L235" i="5"/>
  <c r="M235" i="5"/>
  <c r="H236" i="5"/>
  <c r="I236" i="5"/>
  <c r="J236" i="5"/>
  <c r="K236" i="5"/>
  <c r="L236" i="5"/>
  <c r="M236" i="5"/>
  <c r="H237" i="5"/>
  <c r="I237" i="5"/>
  <c r="J237" i="5"/>
  <c r="K237" i="5"/>
  <c r="L237" i="5"/>
  <c r="M237" i="5"/>
  <c r="H238" i="5"/>
  <c r="I238" i="5"/>
  <c r="J238" i="5"/>
  <c r="K238" i="5"/>
  <c r="L238" i="5"/>
  <c r="M238" i="5"/>
  <c r="H239" i="5"/>
  <c r="I239" i="5"/>
  <c r="J239" i="5"/>
  <c r="K239" i="5"/>
  <c r="L239" i="5"/>
  <c r="M239" i="5"/>
  <c r="H240" i="5"/>
  <c r="I240" i="5"/>
  <c r="J240" i="5"/>
  <c r="K240" i="5"/>
  <c r="L240" i="5"/>
  <c r="M240" i="5"/>
  <c r="H241" i="5"/>
  <c r="I241" i="5"/>
  <c r="J241" i="5"/>
  <c r="K241" i="5"/>
  <c r="L241" i="5"/>
  <c r="M241" i="5"/>
  <c r="H242" i="5"/>
  <c r="I242" i="5"/>
  <c r="J242" i="5"/>
  <c r="K242" i="5"/>
  <c r="L242" i="5"/>
  <c r="M242" i="5"/>
  <c r="H243" i="5"/>
  <c r="I243" i="5"/>
  <c r="J243" i="5"/>
  <c r="K243" i="5"/>
  <c r="L243" i="5"/>
  <c r="M243" i="5"/>
  <c r="H244" i="5"/>
  <c r="I244" i="5"/>
  <c r="J244" i="5"/>
  <c r="K244" i="5"/>
  <c r="L244" i="5"/>
  <c r="M244" i="5"/>
  <c r="H245" i="5"/>
  <c r="I245" i="5"/>
  <c r="J245" i="5"/>
  <c r="K245" i="5"/>
  <c r="L245" i="5"/>
  <c r="M245" i="5"/>
  <c r="H246" i="5"/>
  <c r="I246" i="5"/>
  <c r="J246" i="5"/>
  <c r="K246" i="5"/>
  <c r="L246" i="5"/>
  <c r="M246" i="5"/>
  <c r="H247" i="5"/>
  <c r="I247" i="5"/>
  <c r="J247" i="5"/>
  <c r="K247" i="5"/>
  <c r="L247" i="5"/>
  <c r="M247" i="5"/>
  <c r="H248" i="5"/>
  <c r="I248" i="5"/>
  <c r="J248" i="5"/>
  <c r="K248" i="5"/>
  <c r="L248" i="5"/>
  <c r="M248" i="5"/>
  <c r="H249" i="5"/>
  <c r="I249" i="5"/>
  <c r="J249" i="5"/>
  <c r="K249" i="5"/>
  <c r="L249" i="5"/>
  <c r="M249" i="5"/>
  <c r="H250" i="5"/>
  <c r="I250" i="5"/>
  <c r="J250" i="5"/>
  <c r="K250" i="5"/>
  <c r="L250" i="5"/>
  <c r="M250" i="5"/>
  <c r="H251" i="5"/>
  <c r="I251" i="5"/>
  <c r="J251" i="5"/>
  <c r="K251" i="5"/>
  <c r="L251" i="5"/>
  <c r="M251" i="5"/>
  <c r="H252" i="5"/>
  <c r="I252" i="5"/>
  <c r="J252" i="5"/>
  <c r="K252" i="5"/>
  <c r="L252" i="5"/>
  <c r="M252" i="5"/>
  <c r="H253" i="5"/>
  <c r="I253" i="5"/>
  <c r="J253" i="5"/>
  <c r="K253" i="5"/>
  <c r="L253" i="5"/>
  <c r="M253" i="5"/>
  <c r="H254" i="5"/>
  <c r="I254" i="5"/>
  <c r="J254" i="5"/>
  <c r="K254" i="5"/>
  <c r="L254" i="5"/>
  <c r="M254" i="5"/>
  <c r="H255" i="5"/>
  <c r="I255" i="5"/>
  <c r="J255" i="5"/>
  <c r="K255" i="5"/>
  <c r="L255" i="5"/>
  <c r="M255" i="5"/>
  <c r="H256" i="5"/>
  <c r="I256" i="5"/>
  <c r="J256" i="5"/>
  <c r="K256" i="5"/>
  <c r="L256" i="5"/>
  <c r="M256" i="5"/>
  <c r="H257" i="5"/>
  <c r="I257" i="5"/>
  <c r="J257" i="5"/>
  <c r="K257" i="5"/>
  <c r="L257" i="5"/>
  <c r="M257" i="5"/>
  <c r="H258" i="5"/>
  <c r="I258" i="5"/>
  <c r="J258" i="5"/>
  <c r="K258" i="5"/>
  <c r="L258" i="5"/>
  <c r="M258" i="5"/>
  <c r="H259" i="5"/>
  <c r="I259" i="5"/>
  <c r="J259" i="5"/>
  <c r="K259" i="5"/>
  <c r="L259" i="5"/>
  <c r="M259" i="5"/>
  <c r="H260" i="5"/>
  <c r="I260" i="5"/>
  <c r="J260" i="5"/>
  <c r="K260" i="5"/>
  <c r="L260" i="5"/>
  <c r="M260" i="5"/>
  <c r="H261" i="5"/>
  <c r="I261" i="5"/>
  <c r="J261" i="5"/>
  <c r="K261" i="5"/>
  <c r="L261" i="5"/>
  <c r="M261" i="5"/>
  <c r="H262" i="5"/>
  <c r="I262" i="5"/>
  <c r="J262" i="5"/>
  <c r="K262" i="5"/>
  <c r="L262" i="5"/>
  <c r="M262" i="5"/>
  <c r="H263" i="5"/>
  <c r="I263" i="5"/>
  <c r="J263" i="5"/>
  <c r="K263" i="5"/>
  <c r="L263" i="5"/>
  <c r="M263" i="5"/>
  <c r="H264" i="5"/>
  <c r="I264" i="5"/>
  <c r="J264" i="5"/>
  <c r="K264" i="5"/>
  <c r="L264" i="5"/>
  <c r="M264" i="5"/>
  <c r="H265" i="5"/>
  <c r="I265" i="5"/>
  <c r="J265" i="5"/>
  <c r="K265" i="5"/>
  <c r="L265" i="5"/>
  <c r="M265" i="5"/>
  <c r="H266" i="5"/>
  <c r="I266" i="5"/>
  <c r="J266" i="5"/>
  <c r="K266" i="5"/>
  <c r="L266" i="5"/>
  <c r="M266" i="5"/>
  <c r="H267" i="5"/>
  <c r="I267" i="5"/>
  <c r="J267" i="5"/>
  <c r="K267" i="5"/>
  <c r="L267" i="5"/>
  <c r="M267" i="5"/>
  <c r="H268" i="5"/>
  <c r="I268" i="5"/>
  <c r="J268" i="5"/>
  <c r="K268" i="5"/>
  <c r="L268" i="5"/>
  <c r="M268" i="5"/>
  <c r="H269" i="5"/>
  <c r="I269" i="5"/>
  <c r="J269" i="5"/>
  <c r="K269" i="5"/>
  <c r="L269" i="5"/>
  <c r="M269" i="5"/>
  <c r="H270" i="5"/>
  <c r="I270" i="5"/>
  <c r="J270" i="5"/>
  <c r="K270" i="5"/>
  <c r="L270" i="5"/>
  <c r="M270" i="5"/>
  <c r="H271" i="5"/>
  <c r="I271" i="5"/>
  <c r="J271" i="5"/>
  <c r="K271" i="5"/>
  <c r="L271" i="5"/>
  <c r="M271" i="5"/>
  <c r="H272" i="5"/>
  <c r="I272" i="5"/>
  <c r="J272" i="5"/>
  <c r="K272" i="5"/>
  <c r="L272" i="5"/>
  <c r="M272" i="5"/>
  <c r="H273" i="5"/>
  <c r="I273" i="5"/>
  <c r="J273" i="5"/>
  <c r="K273" i="5"/>
  <c r="L273" i="5"/>
  <c r="M273" i="5"/>
  <c r="H274" i="5"/>
  <c r="I274" i="5"/>
  <c r="J274" i="5"/>
  <c r="K274" i="5"/>
  <c r="L274" i="5"/>
  <c r="M274" i="5"/>
  <c r="H275" i="5"/>
  <c r="I275" i="5"/>
  <c r="J275" i="5"/>
  <c r="K275" i="5"/>
  <c r="L275" i="5"/>
  <c r="M275" i="5"/>
  <c r="H276" i="5"/>
  <c r="I276" i="5"/>
  <c r="J276" i="5"/>
  <c r="K276" i="5"/>
  <c r="L276" i="5"/>
  <c r="M276" i="5"/>
  <c r="H277" i="5"/>
  <c r="I277" i="5"/>
  <c r="J277" i="5"/>
  <c r="K277" i="5"/>
  <c r="L277" i="5"/>
  <c r="M277" i="5"/>
  <c r="H278" i="5"/>
  <c r="I278" i="5"/>
  <c r="J278" i="5"/>
  <c r="K278" i="5"/>
  <c r="L278" i="5"/>
  <c r="M278" i="5"/>
  <c r="H279" i="5"/>
  <c r="I279" i="5"/>
  <c r="J279" i="5"/>
  <c r="K279" i="5"/>
  <c r="L279" i="5"/>
  <c r="M279" i="5"/>
  <c r="H280" i="5"/>
  <c r="I280" i="5"/>
  <c r="J280" i="5"/>
  <c r="K280" i="5"/>
  <c r="L280" i="5"/>
  <c r="M280" i="5"/>
  <c r="H281" i="5"/>
  <c r="I281" i="5"/>
  <c r="J281" i="5"/>
  <c r="K281" i="5"/>
  <c r="L281" i="5"/>
  <c r="M281" i="5"/>
  <c r="H282" i="5"/>
  <c r="I282" i="5"/>
  <c r="J282" i="5"/>
  <c r="K282" i="5"/>
  <c r="L282" i="5"/>
  <c r="M282" i="5"/>
  <c r="H283" i="5"/>
  <c r="I283" i="5"/>
  <c r="J283" i="5"/>
  <c r="K283" i="5"/>
  <c r="L283" i="5"/>
  <c r="M283" i="5"/>
  <c r="H284" i="5"/>
  <c r="I284" i="5"/>
  <c r="J284" i="5"/>
  <c r="K284" i="5"/>
  <c r="L284" i="5"/>
  <c r="M284" i="5"/>
  <c r="H285" i="5"/>
  <c r="I285" i="5"/>
  <c r="J285" i="5"/>
  <c r="K285" i="5"/>
  <c r="L285" i="5"/>
  <c r="M285" i="5"/>
  <c r="H286" i="5"/>
  <c r="I286" i="5"/>
  <c r="J286" i="5"/>
  <c r="K286" i="5"/>
  <c r="L286" i="5"/>
  <c r="M286" i="5"/>
  <c r="H287" i="5"/>
  <c r="I287" i="5"/>
  <c r="J287" i="5"/>
  <c r="K287" i="5"/>
  <c r="L287" i="5"/>
  <c r="M287" i="5"/>
  <c r="H288" i="5"/>
  <c r="I288" i="5"/>
  <c r="J288" i="5"/>
  <c r="K288" i="5"/>
  <c r="L288" i="5"/>
  <c r="M288" i="5"/>
  <c r="H289" i="5"/>
  <c r="I289" i="5"/>
  <c r="J289" i="5"/>
  <c r="K289" i="5"/>
  <c r="L289" i="5"/>
  <c r="M289" i="5"/>
  <c r="H290" i="5"/>
  <c r="I290" i="5"/>
  <c r="J290" i="5"/>
  <c r="K290" i="5"/>
  <c r="L290" i="5"/>
  <c r="M290" i="5"/>
  <c r="H291" i="5"/>
  <c r="I291" i="5"/>
  <c r="J291" i="5"/>
  <c r="K291" i="5"/>
  <c r="L291" i="5"/>
  <c r="M291" i="5"/>
  <c r="H292" i="5"/>
  <c r="I292" i="5"/>
  <c r="J292" i="5"/>
  <c r="K292" i="5"/>
  <c r="L292" i="5"/>
  <c r="M292" i="5"/>
  <c r="H293" i="5"/>
  <c r="I293" i="5"/>
  <c r="J293" i="5"/>
  <c r="K293" i="5"/>
  <c r="L293" i="5"/>
  <c r="M293" i="5"/>
  <c r="H294" i="5"/>
  <c r="I294" i="5"/>
  <c r="J294" i="5"/>
  <c r="K294" i="5"/>
  <c r="L294" i="5"/>
  <c r="M294" i="5"/>
  <c r="H295" i="5"/>
  <c r="I295" i="5"/>
  <c r="J295" i="5"/>
  <c r="K295" i="5"/>
  <c r="L295" i="5"/>
  <c r="M295" i="5"/>
  <c r="H296" i="5"/>
  <c r="I296" i="5"/>
  <c r="J296" i="5"/>
  <c r="K296" i="5"/>
  <c r="L296" i="5"/>
  <c r="M296" i="5"/>
  <c r="H297" i="5"/>
  <c r="I297" i="5"/>
  <c r="J297" i="5"/>
  <c r="K297" i="5"/>
  <c r="L297" i="5"/>
  <c r="M297" i="5"/>
  <c r="H298" i="5"/>
  <c r="I298" i="5"/>
  <c r="J298" i="5"/>
  <c r="K298" i="5"/>
  <c r="L298" i="5"/>
  <c r="M298" i="5"/>
  <c r="H299" i="5"/>
  <c r="I299" i="5"/>
  <c r="J299" i="5"/>
  <c r="K299" i="5"/>
  <c r="L299" i="5"/>
  <c r="M299" i="5"/>
  <c r="H300" i="5"/>
  <c r="I300" i="5"/>
  <c r="J300" i="5"/>
  <c r="K300" i="5"/>
  <c r="L300" i="5"/>
  <c r="M300" i="5"/>
  <c r="H301" i="5"/>
  <c r="I301" i="5"/>
  <c r="J301" i="5"/>
  <c r="K301" i="5"/>
  <c r="L301" i="5"/>
  <c r="M301" i="5"/>
  <c r="H302" i="5"/>
  <c r="I302" i="5"/>
  <c r="J302" i="5"/>
  <c r="K302" i="5"/>
  <c r="L302" i="5"/>
  <c r="M302" i="5"/>
  <c r="H303" i="5"/>
  <c r="I303" i="5"/>
  <c r="J303" i="5"/>
  <c r="K303" i="5"/>
  <c r="L303" i="5"/>
  <c r="M303" i="5"/>
  <c r="H304" i="5"/>
  <c r="I304" i="5"/>
  <c r="J304" i="5"/>
  <c r="K304" i="5"/>
  <c r="L304" i="5"/>
  <c r="M304" i="5"/>
  <c r="H305" i="5"/>
  <c r="I305" i="5"/>
  <c r="J305" i="5"/>
  <c r="K305" i="5"/>
  <c r="L305" i="5"/>
  <c r="M305" i="5"/>
  <c r="H306" i="5"/>
  <c r="I306" i="5"/>
  <c r="J306" i="5"/>
  <c r="K306" i="5"/>
  <c r="L306" i="5"/>
  <c r="M306" i="5"/>
  <c r="H307" i="5"/>
  <c r="I307" i="5"/>
  <c r="J307" i="5"/>
  <c r="K307" i="5"/>
  <c r="L307" i="5"/>
  <c r="M307" i="5"/>
  <c r="H308" i="5"/>
  <c r="I308" i="5"/>
  <c r="J308" i="5"/>
  <c r="K308" i="5"/>
  <c r="L308" i="5"/>
  <c r="M308" i="5"/>
  <c r="H309" i="5"/>
  <c r="I309" i="5"/>
  <c r="J309" i="5"/>
  <c r="K309" i="5"/>
  <c r="L309" i="5"/>
  <c r="M309" i="5"/>
  <c r="H310" i="5"/>
  <c r="I310" i="5"/>
  <c r="J310" i="5"/>
  <c r="K310" i="5"/>
  <c r="L310" i="5"/>
  <c r="M310" i="5"/>
  <c r="H311" i="5"/>
  <c r="I311" i="5"/>
  <c r="J311" i="5"/>
  <c r="K311" i="5"/>
  <c r="L311" i="5"/>
  <c r="M311" i="5"/>
  <c r="H312" i="5"/>
  <c r="I312" i="5"/>
  <c r="J312" i="5"/>
  <c r="K312" i="5"/>
  <c r="L312" i="5"/>
  <c r="M312" i="5"/>
  <c r="H313" i="5"/>
  <c r="I313" i="5"/>
  <c r="J313" i="5"/>
  <c r="K313" i="5"/>
  <c r="L313" i="5"/>
  <c r="M313" i="5"/>
  <c r="H314" i="5"/>
  <c r="I314" i="5"/>
  <c r="J314" i="5"/>
  <c r="K314" i="5"/>
  <c r="L314" i="5"/>
  <c r="M314" i="5"/>
  <c r="H315" i="5"/>
  <c r="I315" i="5"/>
  <c r="J315" i="5"/>
  <c r="K315" i="5"/>
  <c r="L315" i="5"/>
  <c r="M315" i="5"/>
  <c r="H316" i="5"/>
  <c r="I316" i="5"/>
  <c r="J316" i="5"/>
  <c r="K316" i="5"/>
  <c r="L316" i="5"/>
  <c r="M316" i="5"/>
  <c r="H317" i="5"/>
  <c r="I317" i="5"/>
  <c r="J317" i="5"/>
  <c r="K317" i="5"/>
  <c r="L317" i="5"/>
  <c r="M317" i="5"/>
  <c r="H318" i="5"/>
  <c r="I318" i="5"/>
  <c r="J318" i="5"/>
  <c r="K318" i="5"/>
  <c r="L318" i="5"/>
  <c r="M318" i="5"/>
  <c r="H319" i="5"/>
  <c r="I319" i="5"/>
  <c r="J319" i="5"/>
  <c r="K319" i="5"/>
  <c r="L319" i="5"/>
  <c r="M319" i="5"/>
  <c r="H320" i="5"/>
  <c r="I320" i="5"/>
  <c r="J320" i="5"/>
  <c r="K320" i="5"/>
  <c r="L320" i="5"/>
  <c r="M320" i="5"/>
  <c r="H321" i="5"/>
  <c r="I321" i="5"/>
  <c r="J321" i="5"/>
  <c r="K321" i="5"/>
  <c r="L321" i="5"/>
  <c r="M321" i="5"/>
  <c r="H322" i="5"/>
  <c r="I322" i="5"/>
  <c r="J322" i="5"/>
  <c r="K322" i="5"/>
  <c r="L322" i="5"/>
  <c r="M322" i="5"/>
  <c r="H323" i="5"/>
  <c r="I323" i="5"/>
  <c r="J323" i="5"/>
  <c r="K323" i="5"/>
  <c r="L323" i="5"/>
  <c r="M323" i="5"/>
  <c r="H324" i="5"/>
  <c r="I324" i="5"/>
  <c r="J324" i="5"/>
  <c r="K324" i="5"/>
  <c r="L324" i="5"/>
  <c r="M324" i="5"/>
  <c r="H325" i="5"/>
  <c r="I325" i="5"/>
  <c r="J325" i="5"/>
  <c r="K325" i="5"/>
  <c r="L325" i="5"/>
  <c r="M325" i="5"/>
  <c r="H326" i="5"/>
  <c r="I326" i="5"/>
  <c r="J326" i="5"/>
  <c r="K326" i="5"/>
  <c r="L326" i="5"/>
  <c r="M326" i="5"/>
  <c r="H327" i="5"/>
  <c r="I327" i="5"/>
  <c r="J327" i="5"/>
  <c r="K327" i="5"/>
  <c r="L327" i="5"/>
  <c r="M327" i="5"/>
  <c r="H328" i="5"/>
  <c r="I328" i="5"/>
  <c r="J328" i="5"/>
  <c r="K328" i="5"/>
  <c r="L328" i="5"/>
  <c r="M328" i="5"/>
  <c r="H329" i="5"/>
  <c r="I329" i="5"/>
  <c r="J329" i="5"/>
  <c r="K329" i="5"/>
  <c r="L329" i="5"/>
  <c r="M329" i="5"/>
  <c r="H330" i="5"/>
  <c r="I330" i="5"/>
  <c r="J330" i="5"/>
  <c r="K330" i="5"/>
  <c r="L330" i="5"/>
  <c r="M330" i="5"/>
  <c r="H331" i="5"/>
  <c r="I331" i="5"/>
  <c r="J331" i="5"/>
  <c r="K331" i="5"/>
  <c r="L331" i="5"/>
  <c r="M331" i="5"/>
  <c r="H332" i="5"/>
  <c r="I332" i="5"/>
  <c r="J332" i="5"/>
  <c r="K332" i="5"/>
  <c r="L332" i="5"/>
  <c r="M332" i="5"/>
  <c r="H333" i="5"/>
  <c r="I333" i="5"/>
  <c r="J333" i="5"/>
  <c r="K333" i="5"/>
  <c r="L333" i="5"/>
  <c r="M333" i="5"/>
  <c r="H334" i="5"/>
  <c r="I334" i="5"/>
  <c r="J334" i="5"/>
  <c r="K334" i="5"/>
  <c r="L334" i="5"/>
  <c r="M334" i="5"/>
  <c r="H335" i="5"/>
  <c r="I335" i="5"/>
  <c r="J335" i="5"/>
  <c r="K335" i="5"/>
  <c r="L335" i="5"/>
  <c r="M335" i="5"/>
  <c r="H336" i="5"/>
  <c r="I336" i="5"/>
  <c r="J336" i="5"/>
  <c r="K336" i="5"/>
  <c r="L336" i="5"/>
  <c r="M336" i="5"/>
  <c r="H337" i="5"/>
  <c r="I337" i="5"/>
  <c r="J337" i="5"/>
  <c r="K337" i="5"/>
  <c r="L337" i="5"/>
  <c r="M337" i="5"/>
  <c r="H338" i="5"/>
  <c r="I338" i="5"/>
  <c r="J338" i="5"/>
  <c r="K338" i="5"/>
  <c r="L338" i="5"/>
  <c r="M338" i="5"/>
  <c r="H339" i="5"/>
  <c r="I339" i="5"/>
  <c r="J339" i="5"/>
  <c r="K339" i="5"/>
  <c r="L339" i="5"/>
  <c r="M339" i="5"/>
  <c r="H340" i="5"/>
  <c r="I340" i="5"/>
  <c r="J340" i="5"/>
  <c r="K340" i="5"/>
  <c r="L340" i="5"/>
  <c r="M340" i="5"/>
  <c r="H341" i="5"/>
  <c r="I341" i="5"/>
  <c r="J341" i="5"/>
  <c r="K341" i="5"/>
  <c r="L341" i="5"/>
  <c r="M341" i="5"/>
  <c r="H342" i="5"/>
  <c r="I342" i="5"/>
  <c r="J342" i="5"/>
  <c r="K342" i="5"/>
  <c r="L342" i="5"/>
  <c r="M342" i="5"/>
  <c r="H343" i="5"/>
  <c r="I343" i="5"/>
  <c r="J343" i="5"/>
  <c r="K343" i="5"/>
  <c r="L343" i="5"/>
  <c r="M343" i="5"/>
  <c r="H344" i="5"/>
  <c r="I344" i="5"/>
  <c r="J344" i="5"/>
  <c r="K344" i="5"/>
  <c r="L344" i="5"/>
  <c r="M344" i="5"/>
  <c r="H345" i="5"/>
  <c r="I345" i="5"/>
  <c r="J345" i="5"/>
  <c r="K345" i="5"/>
  <c r="L345" i="5"/>
  <c r="M345" i="5"/>
  <c r="H346" i="5"/>
  <c r="I346" i="5"/>
  <c r="J346" i="5"/>
  <c r="K346" i="5"/>
  <c r="L346" i="5"/>
  <c r="M346" i="5"/>
  <c r="H347" i="5"/>
  <c r="I347" i="5"/>
  <c r="J347" i="5"/>
  <c r="K347" i="5"/>
  <c r="L347" i="5"/>
  <c r="M347" i="5"/>
  <c r="H348" i="5"/>
  <c r="I348" i="5"/>
  <c r="J348" i="5"/>
  <c r="K348" i="5"/>
  <c r="L348" i="5"/>
  <c r="M348" i="5"/>
  <c r="H349" i="5"/>
  <c r="I349" i="5"/>
  <c r="J349" i="5"/>
  <c r="K349" i="5"/>
  <c r="L349" i="5"/>
  <c r="M349" i="5"/>
  <c r="H350" i="5"/>
  <c r="I350" i="5"/>
  <c r="J350" i="5"/>
  <c r="K350" i="5"/>
  <c r="L350" i="5"/>
  <c r="M350" i="5"/>
  <c r="H351" i="5"/>
  <c r="I351" i="5"/>
  <c r="J351" i="5"/>
  <c r="K351" i="5"/>
  <c r="L351" i="5"/>
  <c r="M351" i="5"/>
  <c r="H352" i="5"/>
  <c r="I352" i="5"/>
  <c r="J352" i="5"/>
  <c r="K352" i="5"/>
  <c r="L352" i="5"/>
  <c r="M352" i="5"/>
  <c r="H353" i="5"/>
  <c r="I353" i="5"/>
  <c r="J353" i="5"/>
  <c r="K353" i="5"/>
  <c r="L353" i="5"/>
  <c r="M353" i="5"/>
  <c r="H354" i="5"/>
  <c r="I354" i="5"/>
  <c r="J354" i="5"/>
  <c r="K354" i="5"/>
  <c r="L354" i="5"/>
  <c r="M354" i="5"/>
  <c r="H355" i="5"/>
  <c r="I355" i="5"/>
  <c r="J355" i="5"/>
  <c r="K355" i="5"/>
  <c r="L355" i="5"/>
  <c r="M355" i="5"/>
  <c r="H356" i="5"/>
  <c r="I356" i="5"/>
  <c r="J356" i="5"/>
  <c r="K356" i="5"/>
  <c r="L356" i="5"/>
  <c r="M356" i="5"/>
  <c r="H357" i="5"/>
  <c r="I357" i="5"/>
  <c r="J357" i="5"/>
  <c r="K357" i="5"/>
  <c r="L357" i="5"/>
  <c r="M357" i="5"/>
  <c r="H358" i="5"/>
  <c r="I358" i="5"/>
  <c r="J358" i="5"/>
  <c r="K358" i="5"/>
  <c r="L358" i="5"/>
  <c r="M358" i="5"/>
  <c r="H359" i="5"/>
  <c r="I359" i="5"/>
  <c r="J359" i="5"/>
  <c r="K359" i="5"/>
  <c r="L359" i="5"/>
  <c r="M359" i="5"/>
  <c r="H360" i="5"/>
  <c r="I360" i="5"/>
  <c r="J360" i="5"/>
  <c r="K360" i="5"/>
  <c r="L360" i="5"/>
  <c r="M360" i="5"/>
  <c r="H361" i="5"/>
  <c r="I361" i="5"/>
  <c r="J361" i="5"/>
  <c r="K361" i="5"/>
  <c r="L361" i="5"/>
  <c r="M361" i="5"/>
  <c r="H362" i="5"/>
  <c r="I362" i="5"/>
  <c r="J362" i="5"/>
  <c r="K362" i="5"/>
  <c r="L362" i="5"/>
  <c r="M362" i="5"/>
  <c r="H363" i="5"/>
  <c r="I363" i="5"/>
  <c r="J363" i="5"/>
  <c r="K363" i="5"/>
  <c r="L363" i="5"/>
  <c r="M363" i="5"/>
  <c r="H364" i="5"/>
  <c r="I364" i="5"/>
  <c r="J364" i="5"/>
  <c r="K364" i="5"/>
  <c r="L364" i="5"/>
  <c r="M364" i="5"/>
  <c r="H365" i="5"/>
  <c r="I365" i="5"/>
  <c r="J365" i="5"/>
  <c r="K365" i="5"/>
  <c r="L365" i="5"/>
  <c r="M365" i="5"/>
  <c r="H366" i="5"/>
  <c r="I366" i="5"/>
  <c r="J366" i="5"/>
  <c r="K366" i="5"/>
  <c r="L366" i="5"/>
  <c r="M366" i="5"/>
  <c r="H367" i="5"/>
  <c r="I367" i="5"/>
  <c r="J367" i="5"/>
  <c r="K367" i="5"/>
  <c r="L367" i="5"/>
  <c r="M367" i="5"/>
  <c r="H368" i="5"/>
  <c r="I368" i="5"/>
  <c r="J368" i="5"/>
  <c r="K368" i="5"/>
  <c r="L368" i="5"/>
  <c r="M368" i="5"/>
  <c r="H369" i="5"/>
  <c r="I369" i="5"/>
  <c r="J369" i="5"/>
  <c r="K369" i="5"/>
  <c r="L369" i="5"/>
  <c r="M369" i="5"/>
  <c r="H370" i="5"/>
  <c r="I370" i="5"/>
  <c r="J370" i="5"/>
  <c r="K370" i="5"/>
  <c r="L370" i="5"/>
  <c r="M370" i="5"/>
  <c r="H371" i="5"/>
  <c r="I371" i="5"/>
  <c r="J371" i="5"/>
  <c r="K371" i="5"/>
  <c r="L371" i="5"/>
  <c r="M371" i="5"/>
  <c r="H372" i="5"/>
  <c r="I372" i="5"/>
  <c r="J372" i="5"/>
  <c r="K372" i="5"/>
  <c r="L372" i="5"/>
  <c r="M372" i="5"/>
  <c r="H373" i="5"/>
  <c r="I373" i="5"/>
  <c r="J373" i="5"/>
  <c r="K373" i="5"/>
  <c r="L373" i="5"/>
  <c r="M373" i="5"/>
  <c r="H374" i="5"/>
  <c r="I374" i="5"/>
  <c r="J374" i="5"/>
  <c r="K374" i="5"/>
  <c r="L374" i="5"/>
  <c r="M374" i="5"/>
  <c r="H375" i="5"/>
  <c r="I375" i="5"/>
  <c r="J375" i="5"/>
  <c r="K375" i="5"/>
  <c r="L375" i="5"/>
  <c r="M375" i="5"/>
  <c r="H376" i="5"/>
  <c r="I376" i="5"/>
  <c r="J376" i="5"/>
  <c r="K376" i="5"/>
  <c r="L376" i="5"/>
  <c r="M376" i="5"/>
  <c r="H377" i="5"/>
  <c r="I377" i="5"/>
  <c r="J377" i="5"/>
  <c r="K377" i="5"/>
  <c r="L377" i="5"/>
  <c r="M377" i="5"/>
  <c r="H378" i="5"/>
  <c r="I378" i="5"/>
  <c r="J378" i="5"/>
  <c r="K378" i="5"/>
  <c r="L378" i="5"/>
  <c r="M378" i="5"/>
  <c r="H379" i="5"/>
  <c r="I379" i="5"/>
  <c r="J379" i="5"/>
  <c r="K379" i="5"/>
  <c r="L379" i="5"/>
  <c r="M379" i="5"/>
  <c r="H380" i="5"/>
  <c r="I380" i="5"/>
  <c r="J380" i="5"/>
  <c r="K380" i="5"/>
  <c r="L380" i="5"/>
  <c r="M380" i="5"/>
  <c r="H381" i="5"/>
  <c r="I381" i="5"/>
  <c r="J381" i="5"/>
  <c r="K381" i="5"/>
  <c r="L381" i="5"/>
  <c r="M381" i="5"/>
  <c r="H382" i="5"/>
  <c r="I382" i="5"/>
  <c r="J382" i="5"/>
  <c r="K382" i="5"/>
  <c r="L382" i="5"/>
  <c r="M382" i="5"/>
  <c r="H383" i="5"/>
  <c r="I383" i="5"/>
  <c r="J383" i="5"/>
  <c r="K383" i="5"/>
  <c r="L383" i="5"/>
  <c r="M383" i="5"/>
  <c r="H384" i="5"/>
  <c r="I384" i="5"/>
  <c r="J384" i="5"/>
  <c r="K384" i="5"/>
  <c r="L384" i="5"/>
  <c r="M384" i="5"/>
  <c r="H385" i="5"/>
  <c r="I385" i="5"/>
  <c r="J385" i="5"/>
  <c r="K385" i="5"/>
  <c r="L385" i="5"/>
  <c r="M385" i="5"/>
  <c r="H386" i="5"/>
  <c r="I386" i="5"/>
  <c r="J386" i="5"/>
  <c r="K386" i="5"/>
  <c r="L386" i="5"/>
  <c r="M386" i="5"/>
  <c r="H387" i="5"/>
  <c r="I387" i="5"/>
  <c r="J387" i="5"/>
  <c r="K387" i="5"/>
  <c r="L387" i="5"/>
  <c r="M387" i="5"/>
  <c r="H388" i="5"/>
  <c r="I388" i="5"/>
  <c r="J388" i="5"/>
  <c r="K388" i="5"/>
  <c r="L388" i="5"/>
  <c r="M388" i="5"/>
  <c r="H389" i="5"/>
  <c r="I389" i="5"/>
  <c r="J389" i="5"/>
  <c r="K389" i="5"/>
  <c r="L389" i="5"/>
  <c r="M389" i="5"/>
  <c r="H390" i="5"/>
  <c r="I390" i="5"/>
  <c r="J390" i="5"/>
  <c r="K390" i="5"/>
  <c r="L390" i="5"/>
  <c r="M390" i="5"/>
  <c r="H391" i="5"/>
  <c r="I391" i="5"/>
  <c r="J391" i="5"/>
  <c r="K391" i="5"/>
  <c r="L391" i="5"/>
  <c r="M391" i="5"/>
  <c r="H392" i="5"/>
  <c r="I392" i="5"/>
  <c r="J392" i="5"/>
  <c r="K392" i="5"/>
  <c r="L392" i="5"/>
  <c r="M392" i="5"/>
  <c r="H393" i="5"/>
  <c r="I393" i="5"/>
  <c r="J393" i="5"/>
  <c r="K393" i="5"/>
  <c r="L393" i="5"/>
  <c r="M393" i="5"/>
  <c r="H394" i="5"/>
  <c r="I394" i="5"/>
  <c r="J394" i="5"/>
  <c r="K394" i="5"/>
  <c r="L394" i="5"/>
  <c r="M394" i="5"/>
  <c r="H395" i="5"/>
  <c r="I395" i="5"/>
  <c r="J395" i="5"/>
  <c r="K395" i="5"/>
  <c r="L395" i="5"/>
  <c r="M395" i="5"/>
  <c r="H396" i="5"/>
  <c r="I396" i="5"/>
  <c r="J396" i="5"/>
  <c r="K396" i="5"/>
  <c r="L396" i="5"/>
  <c r="M396" i="5"/>
  <c r="H397" i="5"/>
  <c r="I397" i="5"/>
  <c r="J397" i="5"/>
  <c r="K397" i="5"/>
  <c r="L397" i="5"/>
  <c r="M397" i="5"/>
  <c r="H398" i="5"/>
  <c r="I398" i="5"/>
  <c r="J398" i="5"/>
  <c r="K398" i="5"/>
  <c r="L398" i="5"/>
  <c r="M398" i="5"/>
  <c r="H399" i="5"/>
  <c r="I399" i="5"/>
  <c r="J399" i="5"/>
  <c r="K399" i="5"/>
  <c r="L399" i="5"/>
  <c r="M399" i="5"/>
  <c r="H400" i="5"/>
  <c r="I400" i="5"/>
  <c r="J400" i="5"/>
  <c r="K400" i="5"/>
  <c r="L400" i="5"/>
  <c r="M400" i="5"/>
  <c r="H401" i="5"/>
  <c r="I401" i="5"/>
  <c r="J401" i="5"/>
  <c r="K401" i="5"/>
  <c r="L401" i="5"/>
  <c r="M401" i="5"/>
  <c r="H402" i="5"/>
  <c r="I402" i="5"/>
  <c r="J402" i="5"/>
  <c r="K402" i="5"/>
  <c r="L402" i="5"/>
  <c r="M402" i="5"/>
  <c r="H403" i="5"/>
  <c r="I403" i="5"/>
  <c r="J403" i="5"/>
  <c r="K403" i="5"/>
  <c r="L403" i="5"/>
  <c r="M403" i="5"/>
  <c r="H404" i="5"/>
  <c r="I404" i="5"/>
  <c r="J404" i="5"/>
  <c r="K404" i="5"/>
  <c r="L404" i="5"/>
  <c r="M404" i="5"/>
  <c r="H405" i="5"/>
  <c r="I405" i="5"/>
  <c r="J405" i="5"/>
  <c r="K405" i="5"/>
  <c r="L405" i="5"/>
  <c r="M405" i="5"/>
  <c r="H406" i="5"/>
  <c r="I406" i="5"/>
  <c r="J406" i="5"/>
  <c r="K406" i="5"/>
  <c r="L406" i="5"/>
  <c r="M406" i="5"/>
  <c r="H407" i="5"/>
  <c r="I407" i="5"/>
  <c r="J407" i="5"/>
  <c r="K407" i="5"/>
  <c r="L407" i="5"/>
  <c r="M407" i="5"/>
  <c r="H408" i="5"/>
  <c r="I408" i="5"/>
  <c r="J408" i="5"/>
  <c r="K408" i="5"/>
  <c r="L408" i="5"/>
  <c r="M408" i="5"/>
  <c r="H409" i="5"/>
  <c r="I409" i="5"/>
  <c r="J409" i="5"/>
  <c r="K409" i="5"/>
  <c r="L409" i="5"/>
  <c r="M409" i="5"/>
  <c r="H410" i="5"/>
  <c r="I410" i="5"/>
  <c r="J410" i="5"/>
  <c r="K410" i="5"/>
  <c r="L410" i="5"/>
  <c r="M410" i="5"/>
  <c r="H411" i="5"/>
  <c r="I411" i="5"/>
  <c r="J411" i="5"/>
  <c r="K411" i="5"/>
  <c r="L411" i="5"/>
  <c r="M411" i="5"/>
  <c r="H412" i="5"/>
  <c r="I412" i="5"/>
  <c r="J412" i="5"/>
  <c r="K412" i="5"/>
  <c r="L412" i="5"/>
  <c r="M412" i="5"/>
  <c r="H413" i="5"/>
  <c r="I413" i="5"/>
  <c r="J413" i="5"/>
  <c r="K413" i="5"/>
  <c r="L413" i="5"/>
  <c r="M413" i="5"/>
  <c r="H414" i="5"/>
  <c r="I414" i="5"/>
  <c r="J414" i="5"/>
  <c r="K414" i="5"/>
  <c r="L414" i="5"/>
  <c r="M414" i="5"/>
  <c r="H415" i="5"/>
  <c r="I415" i="5"/>
  <c r="J415" i="5"/>
  <c r="K415" i="5"/>
  <c r="L415" i="5"/>
  <c r="M415" i="5"/>
  <c r="H416" i="5"/>
  <c r="I416" i="5"/>
  <c r="J416" i="5"/>
  <c r="K416" i="5"/>
  <c r="L416" i="5"/>
  <c r="M416" i="5"/>
  <c r="H417" i="5"/>
  <c r="I417" i="5"/>
  <c r="J417" i="5"/>
  <c r="K417" i="5"/>
  <c r="L417" i="5"/>
  <c r="M417" i="5"/>
  <c r="H418" i="5"/>
  <c r="I418" i="5"/>
  <c r="J418" i="5"/>
  <c r="K418" i="5"/>
  <c r="L418" i="5"/>
  <c r="M418" i="5"/>
  <c r="H419" i="5"/>
  <c r="I419" i="5"/>
  <c r="J419" i="5"/>
  <c r="K419" i="5"/>
  <c r="L419" i="5"/>
  <c r="M419" i="5"/>
  <c r="H420" i="5"/>
  <c r="I420" i="5"/>
  <c r="J420" i="5"/>
  <c r="K420" i="5"/>
  <c r="L420" i="5"/>
  <c r="M420" i="5"/>
  <c r="H421" i="5"/>
  <c r="I421" i="5"/>
  <c r="J421" i="5"/>
  <c r="K421" i="5"/>
  <c r="L421" i="5"/>
  <c r="M421" i="5"/>
  <c r="H422" i="5"/>
  <c r="I422" i="5"/>
  <c r="J422" i="5"/>
  <c r="K422" i="5"/>
  <c r="L422" i="5"/>
  <c r="M422" i="5"/>
  <c r="H423" i="5"/>
  <c r="I423" i="5"/>
  <c r="J423" i="5"/>
  <c r="K423" i="5"/>
  <c r="L423" i="5"/>
  <c r="M423" i="5"/>
  <c r="H424" i="5"/>
  <c r="I424" i="5"/>
  <c r="J424" i="5"/>
  <c r="K424" i="5"/>
  <c r="L424" i="5"/>
  <c r="M424" i="5"/>
  <c r="H425" i="5"/>
  <c r="I425" i="5"/>
  <c r="J425" i="5"/>
  <c r="K425" i="5"/>
  <c r="L425" i="5"/>
  <c r="M425" i="5"/>
  <c r="H426" i="5"/>
  <c r="I426" i="5"/>
  <c r="J426" i="5"/>
  <c r="K426" i="5"/>
  <c r="L426" i="5"/>
  <c r="M426" i="5"/>
  <c r="H427" i="5"/>
  <c r="I427" i="5"/>
  <c r="J427" i="5"/>
  <c r="K427" i="5"/>
  <c r="L427" i="5"/>
  <c r="M427" i="5"/>
  <c r="H428" i="5"/>
  <c r="I428" i="5"/>
  <c r="J428" i="5"/>
  <c r="K428" i="5"/>
  <c r="L428" i="5"/>
  <c r="M428" i="5"/>
  <c r="H429" i="5"/>
  <c r="I429" i="5"/>
  <c r="J429" i="5"/>
  <c r="K429" i="5"/>
  <c r="L429" i="5"/>
  <c r="M429" i="5"/>
  <c r="H430" i="5"/>
  <c r="I430" i="5"/>
  <c r="J430" i="5"/>
  <c r="K430" i="5"/>
  <c r="L430" i="5"/>
  <c r="M430" i="5"/>
  <c r="H431" i="5"/>
  <c r="I431" i="5"/>
  <c r="J431" i="5"/>
  <c r="K431" i="5"/>
  <c r="L431" i="5"/>
  <c r="M431" i="5"/>
  <c r="H432" i="5"/>
  <c r="I432" i="5"/>
  <c r="J432" i="5"/>
  <c r="K432" i="5"/>
  <c r="L432" i="5"/>
  <c r="M432" i="5"/>
  <c r="H433" i="5"/>
  <c r="I433" i="5"/>
  <c r="J433" i="5"/>
  <c r="K433" i="5"/>
  <c r="L433" i="5"/>
  <c r="M433" i="5"/>
  <c r="H434" i="5"/>
  <c r="I434" i="5"/>
  <c r="J434" i="5"/>
  <c r="K434" i="5"/>
  <c r="L434" i="5"/>
  <c r="M434" i="5"/>
  <c r="H435" i="5"/>
  <c r="I435" i="5"/>
  <c r="J435" i="5"/>
  <c r="K435" i="5"/>
  <c r="L435" i="5"/>
  <c r="M435" i="5"/>
  <c r="H436" i="5"/>
  <c r="I436" i="5"/>
  <c r="J436" i="5"/>
  <c r="K436" i="5"/>
  <c r="L436" i="5"/>
  <c r="M436" i="5"/>
  <c r="H437" i="5"/>
  <c r="I437" i="5"/>
  <c r="J437" i="5"/>
  <c r="K437" i="5"/>
  <c r="L437" i="5"/>
  <c r="M437" i="5"/>
  <c r="H438" i="5"/>
  <c r="I438" i="5"/>
  <c r="J438" i="5"/>
  <c r="K438" i="5"/>
  <c r="L438" i="5"/>
  <c r="M438" i="5"/>
  <c r="H439" i="5"/>
  <c r="I439" i="5"/>
  <c r="J439" i="5"/>
  <c r="K439" i="5"/>
  <c r="L439" i="5"/>
  <c r="M439" i="5"/>
  <c r="H440" i="5"/>
  <c r="I440" i="5"/>
  <c r="J440" i="5"/>
  <c r="K440" i="5"/>
  <c r="L440" i="5"/>
  <c r="M440" i="5"/>
  <c r="H441" i="5"/>
  <c r="I441" i="5"/>
  <c r="J441" i="5"/>
  <c r="K441" i="5"/>
  <c r="L441" i="5"/>
  <c r="M441" i="5"/>
  <c r="H442" i="5"/>
  <c r="I442" i="5"/>
  <c r="J442" i="5"/>
  <c r="K442" i="5"/>
  <c r="L442" i="5"/>
  <c r="M442" i="5"/>
  <c r="H443" i="5"/>
  <c r="I443" i="5"/>
  <c r="J443" i="5"/>
  <c r="K443" i="5"/>
  <c r="L443" i="5"/>
  <c r="M443" i="5"/>
  <c r="H444" i="5"/>
  <c r="I444" i="5"/>
  <c r="J444" i="5"/>
  <c r="K444" i="5"/>
  <c r="L444" i="5"/>
  <c r="M444" i="5"/>
  <c r="H445" i="5"/>
  <c r="I445" i="5"/>
  <c r="J445" i="5"/>
  <c r="K445" i="5"/>
  <c r="L445" i="5"/>
  <c r="M445" i="5"/>
  <c r="H446" i="5"/>
  <c r="I446" i="5"/>
  <c r="J446" i="5"/>
  <c r="K446" i="5"/>
  <c r="L446" i="5"/>
  <c r="M446" i="5"/>
  <c r="H447" i="5"/>
  <c r="I447" i="5"/>
  <c r="J447" i="5"/>
  <c r="K447" i="5"/>
  <c r="L447" i="5"/>
  <c r="M447" i="5"/>
  <c r="H448" i="5"/>
  <c r="I448" i="5"/>
  <c r="J448" i="5"/>
  <c r="K448" i="5"/>
  <c r="L448" i="5"/>
  <c r="M448" i="5"/>
  <c r="H449" i="5"/>
  <c r="I449" i="5"/>
  <c r="J449" i="5"/>
  <c r="K449" i="5"/>
  <c r="L449" i="5"/>
  <c r="M449" i="5"/>
  <c r="H450" i="5"/>
  <c r="I450" i="5"/>
  <c r="J450" i="5"/>
  <c r="K450" i="5"/>
  <c r="L450" i="5"/>
  <c r="M450" i="5"/>
  <c r="H451" i="5"/>
  <c r="I451" i="5"/>
  <c r="J451" i="5"/>
  <c r="K451" i="5"/>
  <c r="L451" i="5"/>
  <c r="M451" i="5"/>
  <c r="H452" i="5"/>
  <c r="I452" i="5"/>
  <c r="J452" i="5"/>
  <c r="K452" i="5"/>
  <c r="L452" i="5"/>
  <c r="M452" i="5"/>
  <c r="H453" i="5"/>
  <c r="I453" i="5"/>
  <c r="J453" i="5"/>
  <c r="K453" i="5"/>
  <c r="L453" i="5"/>
  <c r="M453" i="5"/>
  <c r="H454" i="5"/>
  <c r="I454" i="5"/>
  <c r="J454" i="5"/>
  <c r="K454" i="5"/>
  <c r="L454" i="5"/>
  <c r="M454" i="5"/>
  <c r="H455" i="5"/>
  <c r="I455" i="5"/>
  <c r="J455" i="5"/>
  <c r="K455" i="5"/>
  <c r="L455" i="5"/>
  <c r="M455" i="5"/>
  <c r="H456" i="5"/>
  <c r="I456" i="5"/>
  <c r="J456" i="5"/>
  <c r="K456" i="5"/>
  <c r="L456" i="5"/>
  <c r="M456" i="5"/>
  <c r="H457" i="5"/>
  <c r="I457" i="5"/>
  <c r="J457" i="5"/>
  <c r="K457" i="5"/>
  <c r="L457" i="5"/>
  <c r="M457" i="5"/>
  <c r="H458" i="5"/>
  <c r="I458" i="5"/>
  <c r="J458" i="5"/>
  <c r="K458" i="5"/>
  <c r="L458" i="5"/>
  <c r="M458" i="5"/>
  <c r="H459" i="5"/>
  <c r="I459" i="5"/>
  <c r="J459" i="5"/>
  <c r="K459" i="5"/>
  <c r="L459" i="5"/>
  <c r="M459" i="5"/>
  <c r="H460" i="5"/>
  <c r="I460" i="5"/>
  <c r="J460" i="5"/>
  <c r="K460" i="5"/>
  <c r="L460" i="5"/>
  <c r="M460" i="5"/>
  <c r="H461" i="5"/>
  <c r="I461" i="5"/>
  <c r="J461" i="5"/>
  <c r="K461" i="5"/>
  <c r="L461" i="5"/>
  <c r="M461" i="5"/>
  <c r="H462" i="5"/>
  <c r="I462" i="5"/>
  <c r="J462" i="5"/>
  <c r="K462" i="5"/>
  <c r="L462" i="5"/>
  <c r="M462" i="5"/>
  <c r="H463" i="5"/>
  <c r="I463" i="5"/>
  <c r="J463" i="5"/>
  <c r="K463" i="5"/>
  <c r="L463" i="5"/>
  <c r="M463" i="5"/>
  <c r="H464" i="5"/>
  <c r="I464" i="5"/>
  <c r="J464" i="5"/>
  <c r="K464" i="5"/>
  <c r="L464" i="5"/>
  <c r="M464" i="5"/>
  <c r="H465" i="5"/>
  <c r="I465" i="5"/>
  <c r="J465" i="5"/>
  <c r="K465" i="5"/>
  <c r="L465" i="5"/>
  <c r="M465" i="5"/>
  <c r="H466" i="5"/>
  <c r="I466" i="5"/>
  <c r="J466" i="5"/>
  <c r="K466" i="5"/>
  <c r="L466" i="5"/>
  <c r="M466" i="5"/>
  <c r="H467" i="5"/>
  <c r="I467" i="5"/>
  <c r="J467" i="5"/>
  <c r="K467" i="5"/>
  <c r="L467" i="5"/>
  <c r="M467" i="5"/>
  <c r="H468" i="5"/>
  <c r="I468" i="5"/>
  <c r="J468" i="5"/>
  <c r="K468" i="5"/>
  <c r="L468" i="5"/>
  <c r="M468" i="5"/>
  <c r="H469" i="5"/>
  <c r="I469" i="5"/>
  <c r="J469" i="5"/>
  <c r="K469" i="5"/>
  <c r="L469" i="5"/>
  <c r="M469" i="5"/>
  <c r="H470" i="5"/>
  <c r="I470" i="5"/>
  <c r="J470" i="5"/>
  <c r="K470" i="5"/>
  <c r="L470" i="5"/>
  <c r="M470" i="5"/>
  <c r="H471" i="5"/>
  <c r="I471" i="5"/>
  <c r="J471" i="5"/>
  <c r="K471" i="5"/>
  <c r="L471" i="5"/>
  <c r="M471" i="5"/>
  <c r="H472" i="5"/>
  <c r="I472" i="5"/>
  <c r="J472" i="5"/>
  <c r="K472" i="5"/>
  <c r="L472" i="5"/>
  <c r="M472" i="5"/>
  <c r="H473" i="5"/>
  <c r="I473" i="5"/>
  <c r="J473" i="5"/>
  <c r="K473" i="5"/>
  <c r="L473" i="5"/>
  <c r="M473" i="5"/>
  <c r="H474" i="5"/>
  <c r="I474" i="5"/>
  <c r="J474" i="5"/>
  <c r="K474" i="5"/>
  <c r="L474" i="5"/>
  <c r="M474" i="5"/>
  <c r="H475" i="5"/>
  <c r="I475" i="5"/>
  <c r="J475" i="5"/>
  <c r="K475" i="5"/>
  <c r="L475" i="5"/>
  <c r="M475" i="5"/>
  <c r="H476" i="5"/>
  <c r="I476" i="5"/>
  <c r="J476" i="5"/>
  <c r="K476" i="5"/>
  <c r="L476" i="5"/>
  <c r="M476" i="5"/>
  <c r="H477" i="5"/>
  <c r="I477" i="5"/>
  <c r="J477" i="5"/>
  <c r="K477" i="5"/>
  <c r="L477" i="5"/>
  <c r="M477" i="5"/>
  <c r="H478" i="5"/>
  <c r="I478" i="5"/>
  <c r="J478" i="5"/>
  <c r="K478" i="5"/>
  <c r="L478" i="5"/>
  <c r="M478" i="5"/>
  <c r="H479" i="5"/>
  <c r="I479" i="5"/>
  <c r="J479" i="5"/>
  <c r="K479" i="5"/>
  <c r="L479" i="5"/>
  <c r="M479" i="5"/>
  <c r="H480" i="5"/>
  <c r="I480" i="5"/>
  <c r="J480" i="5"/>
  <c r="K480" i="5"/>
  <c r="L480" i="5"/>
  <c r="M480" i="5"/>
  <c r="H481" i="5"/>
  <c r="I481" i="5"/>
  <c r="J481" i="5"/>
  <c r="K481" i="5"/>
  <c r="L481" i="5"/>
  <c r="M481" i="5"/>
  <c r="H482" i="5"/>
  <c r="I482" i="5"/>
  <c r="J482" i="5"/>
  <c r="K482" i="5"/>
  <c r="L482" i="5"/>
  <c r="M482" i="5"/>
  <c r="H483" i="5"/>
  <c r="I483" i="5"/>
  <c r="J483" i="5"/>
  <c r="K483" i="5"/>
  <c r="L483" i="5"/>
  <c r="M483" i="5"/>
  <c r="H484" i="5"/>
  <c r="I484" i="5"/>
  <c r="J484" i="5"/>
  <c r="K484" i="5"/>
  <c r="L484" i="5"/>
  <c r="M484" i="5"/>
  <c r="H485" i="5"/>
  <c r="I485" i="5"/>
  <c r="J485" i="5"/>
  <c r="K485" i="5"/>
  <c r="L485" i="5"/>
  <c r="M485" i="5"/>
  <c r="H486" i="5"/>
  <c r="I486" i="5"/>
  <c r="J486" i="5"/>
  <c r="K486" i="5"/>
  <c r="L486" i="5"/>
  <c r="M486" i="5"/>
  <c r="H487" i="5"/>
  <c r="I487" i="5"/>
  <c r="J487" i="5"/>
  <c r="K487" i="5"/>
  <c r="L487" i="5"/>
  <c r="M487" i="5"/>
  <c r="H488" i="5"/>
  <c r="I488" i="5"/>
  <c r="J488" i="5"/>
  <c r="K488" i="5"/>
  <c r="L488" i="5"/>
  <c r="M488" i="5"/>
  <c r="H489" i="5"/>
  <c r="I489" i="5"/>
  <c r="J489" i="5"/>
  <c r="K489" i="5"/>
  <c r="L489" i="5"/>
  <c r="M489" i="5"/>
  <c r="H490" i="5"/>
  <c r="I490" i="5"/>
  <c r="J490" i="5"/>
  <c r="K490" i="5"/>
  <c r="L490" i="5"/>
  <c r="M490" i="5"/>
  <c r="H491" i="5"/>
  <c r="I491" i="5"/>
  <c r="J491" i="5"/>
  <c r="K491" i="5"/>
  <c r="L491" i="5"/>
  <c r="M491" i="5"/>
  <c r="H492" i="5"/>
  <c r="I492" i="5"/>
  <c r="J492" i="5"/>
  <c r="K492" i="5"/>
  <c r="L492" i="5"/>
  <c r="M492" i="5"/>
  <c r="H493" i="5"/>
  <c r="I493" i="5"/>
  <c r="J493" i="5"/>
  <c r="K493" i="5"/>
  <c r="L493" i="5"/>
  <c r="M493" i="5"/>
  <c r="H494" i="5"/>
  <c r="I494" i="5"/>
  <c r="J494" i="5"/>
  <c r="K494" i="5"/>
  <c r="L494" i="5"/>
  <c r="M494" i="5"/>
  <c r="H495" i="5"/>
  <c r="I495" i="5"/>
  <c r="J495" i="5"/>
  <c r="K495" i="5"/>
  <c r="L495" i="5"/>
  <c r="M495" i="5"/>
  <c r="H496" i="5"/>
  <c r="I496" i="5"/>
  <c r="J496" i="5"/>
  <c r="K496" i="5"/>
  <c r="L496" i="5"/>
  <c r="M496" i="5"/>
  <c r="H497" i="5"/>
  <c r="I497" i="5"/>
  <c r="J497" i="5"/>
  <c r="K497" i="5"/>
  <c r="L497" i="5"/>
  <c r="M497" i="5"/>
  <c r="H498" i="5"/>
  <c r="I498" i="5"/>
  <c r="J498" i="5"/>
  <c r="K498" i="5"/>
  <c r="L498" i="5"/>
  <c r="M498" i="5"/>
  <c r="H499" i="5"/>
  <c r="I499" i="5"/>
  <c r="J499" i="5"/>
  <c r="K499" i="5"/>
  <c r="L499" i="5"/>
  <c r="M499" i="5"/>
  <c r="H500" i="5"/>
  <c r="I500" i="5"/>
  <c r="J500" i="5"/>
  <c r="K500" i="5"/>
  <c r="L500" i="5"/>
  <c r="M500" i="5"/>
  <c r="H501" i="5"/>
  <c r="I501" i="5"/>
  <c r="J501" i="5"/>
  <c r="K501" i="5"/>
  <c r="L501" i="5"/>
  <c r="M501" i="5"/>
  <c r="H502" i="5"/>
  <c r="I502" i="5"/>
  <c r="J502" i="5"/>
  <c r="K502" i="5"/>
  <c r="L502" i="5"/>
  <c r="M502" i="5"/>
  <c r="H503" i="5"/>
  <c r="I503" i="5"/>
  <c r="J503" i="5"/>
  <c r="K503" i="5"/>
  <c r="L503" i="5"/>
  <c r="M503" i="5"/>
  <c r="H504" i="5"/>
  <c r="I504" i="5"/>
  <c r="J504" i="5"/>
  <c r="K504" i="5"/>
  <c r="L504" i="5"/>
  <c r="M504" i="5"/>
  <c r="H505" i="5"/>
  <c r="I505" i="5"/>
  <c r="J505" i="5"/>
  <c r="K505" i="5"/>
  <c r="L505" i="5"/>
  <c r="M505" i="5"/>
  <c r="H506" i="5"/>
  <c r="I506" i="5"/>
  <c r="J506" i="5"/>
  <c r="K506" i="5"/>
  <c r="L506" i="5"/>
  <c r="M506" i="5"/>
  <c r="H507" i="5"/>
  <c r="I507" i="5"/>
  <c r="J507" i="5"/>
  <c r="K507" i="5"/>
  <c r="L507" i="5"/>
  <c r="M507" i="5"/>
  <c r="H508" i="5"/>
  <c r="I508" i="5"/>
  <c r="J508" i="5"/>
  <c r="K508" i="5"/>
  <c r="L508" i="5"/>
  <c r="M508" i="5"/>
  <c r="H509" i="5"/>
  <c r="I509" i="5"/>
  <c r="J509" i="5"/>
  <c r="K509" i="5"/>
  <c r="L509" i="5"/>
  <c r="M509" i="5"/>
  <c r="H510" i="5"/>
  <c r="I510" i="5"/>
  <c r="J510" i="5"/>
  <c r="K510" i="5"/>
  <c r="L510" i="5"/>
  <c r="M510" i="5"/>
  <c r="H511" i="5"/>
  <c r="I511" i="5"/>
  <c r="J511" i="5"/>
  <c r="K511" i="5"/>
  <c r="L511" i="5"/>
  <c r="M511" i="5"/>
  <c r="H512" i="5"/>
  <c r="I512" i="5"/>
  <c r="J512" i="5"/>
  <c r="K512" i="5"/>
  <c r="L512" i="5"/>
  <c r="M512" i="5"/>
  <c r="H513" i="5"/>
  <c r="I513" i="5"/>
  <c r="J513" i="5"/>
  <c r="K513" i="5"/>
  <c r="L513" i="5"/>
  <c r="M513" i="5"/>
  <c r="H514" i="5"/>
  <c r="I514" i="5"/>
  <c r="J514" i="5"/>
  <c r="K514" i="5"/>
  <c r="L514" i="5"/>
  <c r="M514" i="5"/>
  <c r="H515" i="5"/>
  <c r="I515" i="5"/>
  <c r="J515" i="5"/>
  <c r="K515" i="5"/>
  <c r="L515" i="5"/>
  <c r="M515" i="5"/>
  <c r="H516" i="5"/>
  <c r="I516" i="5"/>
  <c r="J516" i="5"/>
  <c r="K516" i="5"/>
  <c r="L516" i="5"/>
  <c r="M516" i="5"/>
  <c r="H517" i="5"/>
  <c r="I517" i="5"/>
  <c r="J517" i="5"/>
  <c r="K517" i="5"/>
  <c r="L517" i="5"/>
  <c r="M517" i="5"/>
  <c r="H518" i="5"/>
  <c r="I518" i="5"/>
  <c r="J518" i="5"/>
  <c r="K518" i="5"/>
  <c r="L518" i="5"/>
  <c r="M518" i="5"/>
  <c r="H519" i="5"/>
  <c r="I519" i="5"/>
  <c r="J519" i="5"/>
  <c r="K519" i="5"/>
  <c r="L519" i="5"/>
  <c r="M519" i="5"/>
  <c r="H520" i="5"/>
  <c r="I520" i="5"/>
  <c r="J520" i="5"/>
  <c r="K520" i="5"/>
  <c r="L520" i="5"/>
  <c r="M520" i="5"/>
  <c r="H521" i="5"/>
  <c r="I521" i="5"/>
  <c r="J521" i="5"/>
  <c r="K521" i="5"/>
  <c r="L521" i="5"/>
  <c r="M521" i="5"/>
  <c r="H522" i="5"/>
  <c r="I522" i="5"/>
  <c r="J522" i="5"/>
  <c r="K522" i="5"/>
  <c r="L522" i="5"/>
  <c r="M522" i="5"/>
  <c r="H523" i="5"/>
  <c r="I523" i="5"/>
  <c r="J523" i="5"/>
  <c r="K523" i="5"/>
  <c r="L523" i="5"/>
  <c r="M523" i="5"/>
  <c r="H524" i="5"/>
  <c r="I524" i="5"/>
  <c r="J524" i="5"/>
  <c r="K524" i="5"/>
  <c r="L524" i="5"/>
  <c r="M524" i="5"/>
  <c r="H525" i="5"/>
  <c r="I525" i="5"/>
  <c r="J525" i="5"/>
  <c r="K525" i="5"/>
  <c r="L525" i="5"/>
  <c r="M525" i="5"/>
  <c r="H526" i="5"/>
  <c r="I526" i="5"/>
  <c r="J526" i="5"/>
  <c r="K526" i="5"/>
  <c r="L526" i="5"/>
  <c r="M526" i="5"/>
  <c r="H527" i="5"/>
  <c r="I527" i="5"/>
  <c r="J527" i="5"/>
  <c r="K527" i="5"/>
  <c r="L527" i="5"/>
  <c r="M527" i="5"/>
  <c r="H528" i="5"/>
  <c r="I528" i="5"/>
  <c r="J528" i="5"/>
  <c r="K528" i="5"/>
  <c r="L528" i="5"/>
  <c r="M528" i="5"/>
  <c r="H529" i="5"/>
  <c r="I529" i="5"/>
  <c r="J529" i="5"/>
  <c r="K529" i="5"/>
  <c r="L529" i="5"/>
  <c r="M529" i="5"/>
  <c r="H530" i="5"/>
  <c r="I530" i="5"/>
  <c r="J530" i="5"/>
  <c r="K530" i="5"/>
  <c r="L530" i="5"/>
  <c r="M530" i="5"/>
  <c r="H531" i="5"/>
  <c r="I531" i="5"/>
  <c r="J531" i="5"/>
  <c r="K531" i="5"/>
  <c r="L531" i="5"/>
  <c r="M531" i="5"/>
  <c r="H532" i="5"/>
  <c r="I532" i="5"/>
  <c r="J532" i="5"/>
  <c r="K532" i="5"/>
  <c r="L532" i="5"/>
  <c r="M532" i="5"/>
  <c r="H533" i="5"/>
  <c r="I533" i="5"/>
  <c r="J533" i="5"/>
  <c r="K533" i="5"/>
  <c r="L533" i="5"/>
  <c r="M533" i="5"/>
  <c r="H534" i="5"/>
  <c r="I534" i="5"/>
  <c r="J534" i="5"/>
  <c r="K534" i="5"/>
  <c r="L534" i="5"/>
  <c r="M534" i="5"/>
  <c r="H535" i="5"/>
  <c r="I535" i="5"/>
  <c r="J535" i="5"/>
  <c r="K535" i="5"/>
  <c r="L535" i="5"/>
  <c r="M535" i="5"/>
  <c r="H536" i="5"/>
  <c r="I536" i="5"/>
  <c r="J536" i="5"/>
  <c r="K536" i="5"/>
  <c r="L536" i="5"/>
  <c r="M536" i="5"/>
  <c r="H537" i="5"/>
  <c r="I537" i="5"/>
  <c r="J537" i="5"/>
  <c r="K537" i="5"/>
  <c r="L537" i="5"/>
  <c r="M537" i="5"/>
  <c r="H538" i="5"/>
  <c r="I538" i="5"/>
  <c r="J538" i="5"/>
  <c r="K538" i="5"/>
  <c r="L538" i="5"/>
  <c r="M538" i="5"/>
  <c r="H539" i="5"/>
  <c r="I539" i="5"/>
  <c r="J539" i="5"/>
  <c r="K539" i="5"/>
  <c r="L539" i="5"/>
  <c r="M539" i="5"/>
  <c r="H540" i="5"/>
  <c r="I540" i="5"/>
  <c r="J540" i="5"/>
  <c r="K540" i="5"/>
  <c r="L540" i="5"/>
  <c r="M540" i="5"/>
  <c r="H541" i="5"/>
  <c r="I541" i="5"/>
  <c r="J541" i="5"/>
  <c r="K541" i="5"/>
  <c r="L541" i="5"/>
  <c r="M541" i="5"/>
  <c r="H542" i="5"/>
  <c r="I542" i="5"/>
  <c r="J542" i="5"/>
  <c r="K542" i="5"/>
  <c r="L542" i="5"/>
  <c r="M542" i="5"/>
  <c r="H543" i="5"/>
  <c r="I543" i="5"/>
  <c r="J543" i="5"/>
  <c r="K543" i="5"/>
  <c r="L543" i="5"/>
  <c r="M543" i="5"/>
  <c r="H544" i="5"/>
  <c r="I544" i="5"/>
  <c r="J544" i="5"/>
  <c r="K544" i="5"/>
  <c r="L544" i="5"/>
  <c r="M544" i="5"/>
  <c r="H545" i="5"/>
  <c r="I545" i="5"/>
  <c r="J545" i="5"/>
  <c r="K545" i="5"/>
  <c r="L545" i="5"/>
  <c r="M545" i="5"/>
  <c r="H546" i="5"/>
  <c r="I546" i="5"/>
  <c r="J546" i="5"/>
  <c r="K546" i="5"/>
  <c r="L546" i="5"/>
  <c r="M546" i="5"/>
  <c r="H547" i="5"/>
  <c r="I547" i="5"/>
  <c r="J547" i="5"/>
  <c r="K547" i="5"/>
  <c r="L547" i="5"/>
  <c r="M547" i="5"/>
  <c r="H548" i="5"/>
  <c r="I548" i="5"/>
  <c r="J548" i="5"/>
  <c r="K548" i="5"/>
  <c r="L548" i="5"/>
  <c r="M548" i="5"/>
  <c r="H549" i="5"/>
  <c r="I549" i="5"/>
  <c r="J549" i="5"/>
  <c r="K549" i="5"/>
  <c r="L549" i="5"/>
  <c r="M549" i="5"/>
  <c r="H550" i="5"/>
  <c r="I550" i="5"/>
  <c r="J550" i="5"/>
  <c r="K550" i="5"/>
  <c r="L550" i="5"/>
  <c r="M550" i="5"/>
  <c r="H551" i="5"/>
  <c r="I551" i="5"/>
  <c r="J551" i="5"/>
  <c r="K551" i="5"/>
  <c r="L551" i="5"/>
  <c r="M551" i="5"/>
  <c r="H552" i="5"/>
  <c r="I552" i="5"/>
  <c r="J552" i="5"/>
  <c r="K552" i="5"/>
  <c r="L552" i="5"/>
  <c r="M552" i="5"/>
  <c r="H553" i="5"/>
  <c r="I553" i="5"/>
  <c r="J553" i="5"/>
  <c r="K553" i="5"/>
  <c r="L553" i="5"/>
  <c r="M553" i="5"/>
  <c r="H554" i="5"/>
  <c r="I554" i="5"/>
  <c r="J554" i="5"/>
  <c r="K554" i="5"/>
  <c r="L554" i="5"/>
  <c r="M554" i="5"/>
  <c r="H555" i="5"/>
  <c r="I555" i="5"/>
  <c r="J555" i="5"/>
  <c r="K555" i="5"/>
  <c r="L555" i="5"/>
  <c r="M555" i="5"/>
  <c r="H556" i="5"/>
  <c r="I556" i="5"/>
  <c r="J556" i="5"/>
  <c r="K556" i="5"/>
  <c r="L556" i="5"/>
  <c r="M556" i="5"/>
  <c r="H557" i="5"/>
  <c r="I557" i="5"/>
  <c r="J557" i="5"/>
  <c r="K557" i="5"/>
  <c r="L557" i="5"/>
  <c r="M557" i="5"/>
  <c r="H558" i="5"/>
  <c r="I558" i="5"/>
  <c r="J558" i="5"/>
  <c r="K558" i="5"/>
  <c r="L558" i="5"/>
  <c r="M558" i="5"/>
  <c r="H559" i="5"/>
  <c r="I559" i="5"/>
  <c r="J559" i="5"/>
  <c r="K559" i="5"/>
  <c r="L559" i="5"/>
  <c r="M559" i="5"/>
  <c r="H560" i="5"/>
  <c r="I560" i="5"/>
  <c r="J560" i="5"/>
  <c r="K560" i="5"/>
  <c r="L560" i="5"/>
  <c r="M560" i="5"/>
  <c r="H561" i="5"/>
  <c r="I561" i="5"/>
  <c r="J561" i="5"/>
  <c r="K561" i="5"/>
  <c r="L561" i="5"/>
  <c r="M561" i="5"/>
  <c r="H562" i="5"/>
  <c r="I562" i="5"/>
  <c r="J562" i="5"/>
  <c r="K562" i="5"/>
  <c r="L562" i="5"/>
  <c r="M562" i="5"/>
  <c r="H563" i="5"/>
  <c r="I563" i="5"/>
  <c r="J563" i="5"/>
  <c r="K563" i="5"/>
  <c r="L563" i="5"/>
  <c r="M563" i="5"/>
  <c r="H564" i="5"/>
  <c r="I564" i="5"/>
  <c r="J564" i="5"/>
  <c r="K564" i="5"/>
  <c r="L564" i="5"/>
  <c r="M564" i="5"/>
  <c r="H565" i="5"/>
  <c r="I565" i="5"/>
  <c r="J565" i="5"/>
  <c r="K565" i="5"/>
  <c r="L565" i="5"/>
  <c r="M565" i="5"/>
  <c r="H566" i="5"/>
  <c r="I566" i="5"/>
  <c r="J566" i="5"/>
  <c r="K566" i="5"/>
  <c r="L566" i="5"/>
  <c r="M566" i="5"/>
  <c r="H567" i="5"/>
  <c r="I567" i="5"/>
  <c r="J567" i="5"/>
  <c r="K567" i="5"/>
  <c r="L567" i="5"/>
  <c r="M567" i="5"/>
  <c r="H568" i="5"/>
  <c r="I568" i="5"/>
  <c r="J568" i="5"/>
  <c r="K568" i="5"/>
  <c r="L568" i="5"/>
  <c r="M568" i="5"/>
  <c r="H569" i="5"/>
  <c r="I569" i="5"/>
  <c r="J569" i="5"/>
  <c r="K569" i="5"/>
  <c r="L569" i="5"/>
  <c r="M569" i="5"/>
  <c r="H570" i="5"/>
  <c r="I570" i="5"/>
  <c r="J570" i="5"/>
  <c r="K570" i="5"/>
  <c r="L570" i="5"/>
  <c r="M570" i="5"/>
  <c r="H571" i="5"/>
  <c r="I571" i="5"/>
  <c r="J571" i="5"/>
  <c r="K571" i="5"/>
  <c r="L571" i="5"/>
  <c r="M571" i="5"/>
  <c r="H572" i="5"/>
  <c r="I572" i="5"/>
  <c r="J572" i="5"/>
  <c r="K572" i="5"/>
  <c r="L572" i="5"/>
  <c r="M572" i="5"/>
  <c r="H573" i="5"/>
  <c r="I573" i="5"/>
  <c r="J573" i="5"/>
  <c r="K573" i="5"/>
  <c r="L573" i="5"/>
  <c r="M573" i="5"/>
  <c r="H574" i="5"/>
  <c r="I574" i="5"/>
  <c r="J574" i="5"/>
  <c r="K574" i="5"/>
  <c r="L574" i="5"/>
  <c r="M574" i="5"/>
  <c r="H575" i="5"/>
  <c r="I575" i="5"/>
  <c r="J575" i="5"/>
  <c r="K575" i="5"/>
  <c r="L575" i="5"/>
  <c r="M575" i="5"/>
  <c r="H576" i="5"/>
  <c r="I576" i="5"/>
  <c r="J576" i="5"/>
  <c r="K576" i="5"/>
  <c r="L576" i="5"/>
  <c r="M576" i="5"/>
  <c r="H577" i="5"/>
  <c r="I577" i="5"/>
  <c r="J577" i="5"/>
  <c r="K577" i="5"/>
  <c r="L577" i="5"/>
  <c r="M577" i="5"/>
  <c r="H578" i="5"/>
  <c r="I578" i="5"/>
  <c r="J578" i="5"/>
  <c r="K578" i="5"/>
  <c r="L578" i="5"/>
  <c r="M578" i="5"/>
  <c r="H579" i="5"/>
  <c r="I579" i="5"/>
  <c r="J579" i="5"/>
  <c r="K579" i="5"/>
  <c r="L579" i="5"/>
  <c r="M579" i="5"/>
  <c r="H580" i="5"/>
  <c r="I580" i="5"/>
  <c r="J580" i="5"/>
  <c r="K580" i="5"/>
  <c r="L580" i="5"/>
  <c r="M580" i="5"/>
  <c r="H581" i="5"/>
  <c r="I581" i="5"/>
  <c r="J581" i="5"/>
  <c r="K581" i="5"/>
  <c r="L581" i="5"/>
  <c r="M581" i="5"/>
  <c r="H582" i="5"/>
  <c r="I582" i="5"/>
  <c r="J582" i="5"/>
  <c r="K582" i="5"/>
  <c r="L582" i="5"/>
  <c r="M582" i="5"/>
  <c r="H583" i="5"/>
  <c r="I583" i="5"/>
  <c r="J583" i="5"/>
  <c r="K583" i="5"/>
  <c r="L583" i="5"/>
  <c r="M583" i="5"/>
  <c r="H584" i="5"/>
  <c r="I584" i="5"/>
  <c r="J584" i="5"/>
  <c r="K584" i="5"/>
  <c r="L584" i="5"/>
  <c r="M584" i="5"/>
  <c r="H585" i="5"/>
  <c r="I585" i="5"/>
  <c r="J585" i="5"/>
  <c r="K585" i="5"/>
  <c r="L585" i="5"/>
  <c r="M585" i="5"/>
  <c r="H586" i="5"/>
  <c r="I586" i="5"/>
  <c r="J586" i="5"/>
  <c r="K586" i="5"/>
  <c r="L586" i="5"/>
  <c r="M586" i="5"/>
  <c r="H587" i="5"/>
  <c r="I587" i="5"/>
  <c r="J587" i="5"/>
  <c r="K587" i="5"/>
  <c r="L587" i="5"/>
  <c r="M587" i="5"/>
  <c r="H588" i="5"/>
  <c r="I588" i="5"/>
  <c r="J588" i="5"/>
  <c r="K588" i="5"/>
  <c r="L588" i="5"/>
  <c r="M588" i="5"/>
  <c r="H589" i="5"/>
  <c r="I589" i="5"/>
  <c r="J589" i="5"/>
  <c r="K589" i="5"/>
  <c r="L589" i="5"/>
  <c r="M589" i="5"/>
  <c r="H590" i="5"/>
  <c r="I590" i="5"/>
  <c r="J590" i="5"/>
  <c r="K590" i="5"/>
  <c r="L590" i="5"/>
  <c r="M590" i="5"/>
  <c r="H591" i="5"/>
  <c r="I591" i="5"/>
  <c r="J591" i="5"/>
  <c r="K591" i="5"/>
  <c r="L591" i="5"/>
  <c r="M591" i="5"/>
  <c r="H592" i="5"/>
  <c r="I592" i="5"/>
  <c r="J592" i="5"/>
  <c r="K592" i="5"/>
  <c r="L592" i="5"/>
  <c r="M592" i="5"/>
  <c r="H593" i="5"/>
  <c r="I593" i="5"/>
  <c r="J593" i="5"/>
  <c r="K593" i="5"/>
  <c r="L593" i="5"/>
  <c r="M593" i="5"/>
  <c r="H594" i="5"/>
  <c r="I594" i="5"/>
  <c r="J594" i="5"/>
  <c r="K594" i="5"/>
  <c r="L594" i="5"/>
  <c r="M594" i="5"/>
  <c r="H595" i="5"/>
  <c r="I595" i="5"/>
  <c r="J595" i="5"/>
  <c r="K595" i="5"/>
  <c r="L595" i="5"/>
  <c r="M595" i="5"/>
  <c r="H596" i="5"/>
  <c r="I596" i="5"/>
  <c r="J596" i="5"/>
  <c r="K596" i="5"/>
  <c r="L596" i="5"/>
  <c r="M596" i="5"/>
  <c r="H597" i="5"/>
  <c r="I597" i="5"/>
  <c r="J597" i="5"/>
  <c r="K597" i="5"/>
  <c r="L597" i="5"/>
  <c r="M597" i="5"/>
  <c r="H598" i="5"/>
  <c r="I598" i="5"/>
  <c r="J598" i="5"/>
  <c r="K598" i="5"/>
  <c r="L598" i="5"/>
  <c r="M598" i="5"/>
  <c r="H599" i="5"/>
  <c r="I599" i="5"/>
  <c r="J599" i="5"/>
  <c r="K599" i="5"/>
  <c r="L599" i="5"/>
  <c r="M599" i="5"/>
  <c r="H600" i="5"/>
  <c r="I600" i="5"/>
  <c r="J600" i="5"/>
  <c r="K600" i="5"/>
  <c r="L600" i="5"/>
  <c r="M600" i="5"/>
  <c r="H601" i="5"/>
  <c r="I601" i="5"/>
  <c r="J601" i="5"/>
  <c r="K601" i="5"/>
  <c r="L601" i="5"/>
  <c r="M601" i="5"/>
  <c r="H602" i="5"/>
  <c r="I602" i="5"/>
  <c r="J602" i="5"/>
  <c r="K602" i="5"/>
  <c r="L602" i="5"/>
  <c r="M602" i="5"/>
  <c r="H603" i="5"/>
  <c r="I603" i="5"/>
  <c r="J603" i="5"/>
  <c r="K603" i="5"/>
  <c r="L603" i="5"/>
  <c r="M603" i="5"/>
  <c r="H604" i="5"/>
  <c r="I604" i="5"/>
  <c r="J604" i="5"/>
  <c r="K604" i="5"/>
  <c r="L604" i="5"/>
  <c r="M604" i="5"/>
  <c r="H605" i="5"/>
  <c r="I605" i="5"/>
  <c r="J605" i="5"/>
  <c r="K605" i="5"/>
  <c r="L605" i="5"/>
  <c r="M605" i="5"/>
  <c r="H606" i="5"/>
  <c r="I606" i="5"/>
  <c r="J606" i="5"/>
  <c r="K606" i="5"/>
  <c r="L606" i="5"/>
  <c r="M606" i="5"/>
  <c r="H607" i="5"/>
  <c r="I607" i="5"/>
  <c r="J607" i="5"/>
  <c r="K607" i="5"/>
  <c r="L607" i="5"/>
  <c r="M607" i="5"/>
  <c r="H608" i="5"/>
  <c r="I608" i="5"/>
  <c r="J608" i="5"/>
  <c r="K608" i="5"/>
  <c r="L608" i="5"/>
  <c r="M608" i="5"/>
  <c r="H609" i="5"/>
  <c r="I609" i="5"/>
  <c r="J609" i="5"/>
  <c r="K609" i="5"/>
  <c r="L609" i="5"/>
  <c r="M609" i="5"/>
  <c r="H610" i="5"/>
  <c r="I610" i="5"/>
  <c r="J610" i="5"/>
  <c r="K610" i="5"/>
  <c r="L610" i="5"/>
  <c r="M610" i="5"/>
  <c r="H611" i="5"/>
  <c r="I611" i="5"/>
  <c r="J611" i="5"/>
  <c r="K611" i="5"/>
  <c r="L611" i="5"/>
  <c r="M611" i="5"/>
  <c r="H612" i="5"/>
  <c r="I612" i="5"/>
  <c r="J612" i="5"/>
  <c r="K612" i="5"/>
  <c r="L612" i="5"/>
  <c r="M612" i="5"/>
  <c r="H613" i="5"/>
  <c r="I613" i="5"/>
  <c r="J613" i="5"/>
  <c r="K613" i="5"/>
  <c r="L613" i="5"/>
  <c r="M613" i="5"/>
  <c r="H614" i="5"/>
  <c r="I614" i="5"/>
  <c r="J614" i="5"/>
  <c r="K614" i="5"/>
  <c r="L614" i="5"/>
  <c r="M614" i="5"/>
  <c r="H615" i="5"/>
  <c r="I615" i="5"/>
  <c r="J615" i="5"/>
  <c r="K615" i="5"/>
  <c r="L615" i="5"/>
  <c r="M615" i="5"/>
  <c r="H616" i="5"/>
  <c r="I616" i="5"/>
  <c r="J616" i="5"/>
  <c r="K616" i="5"/>
  <c r="L616" i="5"/>
  <c r="M616" i="5"/>
  <c r="H617" i="5"/>
  <c r="I617" i="5"/>
  <c r="J617" i="5"/>
  <c r="K617" i="5"/>
  <c r="L617" i="5"/>
  <c r="M617" i="5"/>
  <c r="H618" i="5"/>
  <c r="I618" i="5"/>
  <c r="J618" i="5"/>
  <c r="K618" i="5"/>
  <c r="L618" i="5"/>
  <c r="M618" i="5"/>
  <c r="H619" i="5"/>
  <c r="I619" i="5"/>
  <c r="J619" i="5"/>
  <c r="K619" i="5"/>
  <c r="L619" i="5"/>
  <c r="M619" i="5"/>
  <c r="H620" i="5"/>
  <c r="I620" i="5"/>
  <c r="J620" i="5"/>
  <c r="K620" i="5"/>
  <c r="L620" i="5"/>
  <c r="M620" i="5"/>
  <c r="H621" i="5"/>
  <c r="I621" i="5"/>
  <c r="J621" i="5"/>
  <c r="K621" i="5"/>
  <c r="L621" i="5"/>
  <c r="M621" i="5"/>
  <c r="H622" i="5"/>
  <c r="I622" i="5"/>
  <c r="J622" i="5"/>
  <c r="K622" i="5"/>
  <c r="L622" i="5"/>
  <c r="M622" i="5"/>
  <c r="H623" i="5"/>
  <c r="I623" i="5"/>
  <c r="J623" i="5"/>
  <c r="K623" i="5"/>
  <c r="L623" i="5"/>
  <c r="M623" i="5"/>
  <c r="H624" i="5"/>
  <c r="I624" i="5"/>
  <c r="J624" i="5"/>
  <c r="K624" i="5"/>
  <c r="L624" i="5"/>
  <c r="M624" i="5"/>
  <c r="H625" i="5"/>
  <c r="I625" i="5"/>
  <c r="J625" i="5"/>
  <c r="K625" i="5"/>
  <c r="L625" i="5"/>
  <c r="M625" i="5"/>
  <c r="H626" i="5"/>
  <c r="I626" i="5"/>
  <c r="J626" i="5"/>
  <c r="K626" i="5"/>
  <c r="L626" i="5"/>
  <c r="M626" i="5"/>
  <c r="H627" i="5"/>
  <c r="I627" i="5"/>
  <c r="J627" i="5"/>
  <c r="K627" i="5"/>
  <c r="L627" i="5"/>
  <c r="M627" i="5"/>
  <c r="H628" i="5"/>
  <c r="I628" i="5"/>
  <c r="J628" i="5"/>
  <c r="K628" i="5"/>
  <c r="L628" i="5"/>
  <c r="M628" i="5"/>
  <c r="H629" i="5"/>
  <c r="I629" i="5"/>
  <c r="J629" i="5"/>
  <c r="K629" i="5"/>
  <c r="L629" i="5"/>
  <c r="M629" i="5"/>
  <c r="H630" i="5"/>
  <c r="I630" i="5"/>
  <c r="J630" i="5"/>
  <c r="K630" i="5"/>
  <c r="L630" i="5"/>
  <c r="M630" i="5"/>
  <c r="H631" i="5"/>
  <c r="I631" i="5"/>
  <c r="J631" i="5"/>
  <c r="K631" i="5"/>
  <c r="L631" i="5"/>
  <c r="M631" i="5"/>
  <c r="H632" i="5"/>
  <c r="I632" i="5"/>
  <c r="J632" i="5"/>
  <c r="K632" i="5"/>
  <c r="L632" i="5"/>
  <c r="M632" i="5"/>
  <c r="H633" i="5"/>
  <c r="I633" i="5"/>
  <c r="J633" i="5"/>
  <c r="K633" i="5"/>
  <c r="L633" i="5"/>
  <c r="M633" i="5"/>
  <c r="H634" i="5"/>
  <c r="I634" i="5"/>
  <c r="J634" i="5"/>
  <c r="K634" i="5"/>
  <c r="L634" i="5"/>
  <c r="M634" i="5"/>
  <c r="H635" i="5"/>
  <c r="I635" i="5"/>
  <c r="J635" i="5"/>
  <c r="K635" i="5"/>
  <c r="L635" i="5"/>
  <c r="M635" i="5"/>
  <c r="H636" i="5"/>
  <c r="I636" i="5"/>
  <c r="J636" i="5"/>
  <c r="K636" i="5"/>
  <c r="L636" i="5"/>
  <c r="M636" i="5"/>
  <c r="H637" i="5"/>
  <c r="I637" i="5"/>
  <c r="J637" i="5"/>
  <c r="K637" i="5"/>
  <c r="L637" i="5"/>
  <c r="M637" i="5"/>
  <c r="H638" i="5"/>
  <c r="I638" i="5"/>
  <c r="J638" i="5"/>
  <c r="K638" i="5"/>
  <c r="L638" i="5"/>
  <c r="M638" i="5"/>
  <c r="H639" i="5"/>
  <c r="I639" i="5"/>
  <c r="J639" i="5"/>
  <c r="K639" i="5"/>
  <c r="L639" i="5"/>
  <c r="M639" i="5"/>
  <c r="H640" i="5"/>
  <c r="I640" i="5"/>
  <c r="J640" i="5"/>
  <c r="K640" i="5"/>
  <c r="L640" i="5"/>
  <c r="M640" i="5"/>
  <c r="H641" i="5"/>
  <c r="I641" i="5"/>
  <c r="J641" i="5"/>
  <c r="K641" i="5"/>
  <c r="L641" i="5"/>
  <c r="M641" i="5"/>
  <c r="H642" i="5"/>
  <c r="I642" i="5"/>
  <c r="J642" i="5"/>
  <c r="K642" i="5"/>
  <c r="L642" i="5"/>
  <c r="M642" i="5"/>
  <c r="H643" i="5"/>
  <c r="I643" i="5"/>
  <c r="J643" i="5"/>
  <c r="K643" i="5"/>
  <c r="L643" i="5"/>
  <c r="M643" i="5"/>
  <c r="H644" i="5"/>
  <c r="I644" i="5"/>
  <c r="J644" i="5"/>
  <c r="K644" i="5"/>
  <c r="L644" i="5"/>
  <c r="M644" i="5"/>
  <c r="H645" i="5"/>
  <c r="I645" i="5"/>
  <c r="J645" i="5"/>
  <c r="K645" i="5"/>
  <c r="L645" i="5"/>
  <c r="M645" i="5"/>
  <c r="H646" i="5"/>
  <c r="I646" i="5"/>
  <c r="J646" i="5"/>
  <c r="K646" i="5"/>
  <c r="L646" i="5"/>
  <c r="M646" i="5"/>
  <c r="H647" i="5"/>
  <c r="I647" i="5"/>
  <c r="J647" i="5"/>
  <c r="K647" i="5"/>
  <c r="L647" i="5"/>
  <c r="M647" i="5"/>
  <c r="H648" i="5"/>
  <c r="I648" i="5"/>
  <c r="J648" i="5"/>
  <c r="K648" i="5"/>
  <c r="L648" i="5"/>
  <c r="M648" i="5"/>
  <c r="H649" i="5"/>
  <c r="I649" i="5"/>
  <c r="J649" i="5"/>
  <c r="K649" i="5"/>
  <c r="L649" i="5"/>
  <c r="M649" i="5"/>
  <c r="H650" i="5"/>
  <c r="I650" i="5"/>
  <c r="J650" i="5"/>
  <c r="K650" i="5"/>
  <c r="L650" i="5"/>
  <c r="M650" i="5"/>
  <c r="H651" i="5"/>
  <c r="I651" i="5"/>
  <c r="J651" i="5"/>
  <c r="K651" i="5"/>
  <c r="L651" i="5"/>
  <c r="M651" i="5"/>
  <c r="H652" i="5"/>
  <c r="I652" i="5"/>
  <c r="J652" i="5"/>
  <c r="K652" i="5"/>
  <c r="L652" i="5"/>
  <c r="M652" i="5"/>
  <c r="H653" i="5"/>
  <c r="I653" i="5"/>
  <c r="J653" i="5"/>
  <c r="K653" i="5"/>
  <c r="L653" i="5"/>
  <c r="M653" i="5"/>
  <c r="H654" i="5"/>
  <c r="I654" i="5"/>
  <c r="J654" i="5"/>
  <c r="K654" i="5"/>
  <c r="L654" i="5"/>
  <c r="M654" i="5"/>
  <c r="H655" i="5"/>
  <c r="I655" i="5"/>
  <c r="J655" i="5"/>
  <c r="K655" i="5"/>
  <c r="L655" i="5"/>
  <c r="M655" i="5"/>
  <c r="H656" i="5"/>
  <c r="I656" i="5"/>
  <c r="J656" i="5"/>
  <c r="K656" i="5"/>
  <c r="L656" i="5"/>
  <c r="M656" i="5"/>
  <c r="H657" i="5"/>
  <c r="I657" i="5"/>
  <c r="J657" i="5"/>
  <c r="K657" i="5"/>
  <c r="L657" i="5"/>
  <c r="M657" i="5"/>
  <c r="H658" i="5"/>
  <c r="I658" i="5"/>
  <c r="J658" i="5"/>
  <c r="K658" i="5"/>
  <c r="L658" i="5"/>
  <c r="M658" i="5"/>
  <c r="H659" i="5"/>
  <c r="I659" i="5"/>
  <c r="J659" i="5"/>
  <c r="K659" i="5"/>
  <c r="L659" i="5"/>
  <c r="M659" i="5"/>
  <c r="H660" i="5"/>
  <c r="I660" i="5"/>
  <c r="J660" i="5"/>
  <c r="K660" i="5"/>
  <c r="L660" i="5"/>
  <c r="M660" i="5"/>
  <c r="H661" i="5"/>
  <c r="I661" i="5"/>
  <c r="J661" i="5"/>
  <c r="K661" i="5"/>
  <c r="L661" i="5"/>
  <c r="M661" i="5"/>
  <c r="H662" i="5"/>
  <c r="I662" i="5"/>
  <c r="J662" i="5"/>
  <c r="K662" i="5"/>
  <c r="L662" i="5"/>
  <c r="M662" i="5"/>
  <c r="H663" i="5"/>
  <c r="I663" i="5"/>
  <c r="J663" i="5"/>
  <c r="K663" i="5"/>
  <c r="L663" i="5"/>
  <c r="M663" i="5"/>
  <c r="H664" i="5"/>
  <c r="I664" i="5"/>
  <c r="J664" i="5"/>
  <c r="K664" i="5"/>
  <c r="L664" i="5"/>
  <c r="M664" i="5"/>
  <c r="H665" i="5"/>
  <c r="I665" i="5"/>
  <c r="J665" i="5"/>
  <c r="K665" i="5"/>
  <c r="L665" i="5"/>
  <c r="M665" i="5"/>
  <c r="H666" i="5"/>
  <c r="I666" i="5"/>
  <c r="J666" i="5"/>
  <c r="K666" i="5"/>
  <c r="L666" i="5"/>
  <c r="M666" i="5"/>
  <c r="H667" i="5"/>
  <c r="I667" i="5"/>
  <c r="J667" i="5"/>
  <c r="K667" i="5"/>
  <c r="L667" i="5"/>
  <c r="M667" i="5"/>
  <c r="H668" i="5"/>
  <c r="I668" i="5"/>
  <c r="J668" i="5"/>
  <c r="K668" i="5"/>
  <c r="L668" i="5"/>
  <c r="M668" i="5"/>
  <c r="H669" i="5"/>
  <c r="I669" i="5"/>
  <c r="J669" i="5"/>
  <c r="K669" i="5"/>
  <c r="L669" i="5"/>
  <c r="M669" i="5"/>
  <c r="H670" i="5"/>
  <c r="I670" i="5"/>
  <c r="J670" i="5"/>
  <c r="K670" i="5"/>
  <c r="L670" i="5"/>
  <c r="M670" i="5"/>
  <c r="H671" i="5"/>
  <c r="I671" i="5"/>
  <c r="J671" i="5"/>
  <c r="K671" i="5"/>
  <c r="L671" i="5"/>
  <c r="M671" i="5"/>
  <c r="H672" i="5"/>
  <c r="I672" i="5"/>
  <c r="J672" i="5"/>
  <c r="K672" i="5"/>
  <c r="L672" i="5"/>
  <c r="M672" i="5"/>
  <c r="H673" i="5"/>
  <c r="I673" i="5"/>
  <c r="J673" i="5"/>
  <c r="K673" i="5"/>
  <c r="L673" i="5"/>
  <c r="M673" i="5"/>
  <c r="H674" i="5"/>
  <c r="I674" i="5"/>
  <c r="J674" i="5"/>
  <c r="K674" i="5"/>
  <c r="L674" i="5"/>
  <c r="M674" i="5"/>
  <c r="H675" i="5"/>
  <c r="I675" i="5"/>
  <c r="J675" i="5"/>
  <c r="K675" i="5"/>
  <c r="L675" i="5"/>
  <c r="M675" i="5"/>
  <c r="H676" i="5"/>
  <c r="I676" i="5"/>
  <c r="J676" i="5"/>
  <c r="K676" i="5"/>
  <c r="L676" i="5"/>
  <c r="M676" i="5"/>
  <c r="H677" i="5"/>
  <c r="I677" i="5"/>
  <c r="J677" i="5"/>
  <c r="K677" i="5"/>
  <c r="L677" i="5"/>
  <c r="M677" i="5"/>
  <c r="H678" i="5"/>
  <c r="I678" i="5"/>
  <c r="J678" i="5"/>
  <c r="K678" i="5"/>
  <c r="L678" i="5"/>
  <c r="M678" i="5"/>
  <c r="H679" i="5"/>
  <c r="I679" i="5"/>
  <c r="J679" i="5"/>
  <c r="K679" i="5"/>
  <c r="L679" i="5"/>
  <c r="M679" i="5"/>
  <c r="H680" i="5"/>
  <c r="I680" i="5"/>
  <c r="J680" i="5"/>
  <c r="K680" i="5"/>
  <c r="L680" i="5"/>
  <c r="M680" i="5"/>
  <c r="H681" i="5"/>
  <c r="I681" i="5"/>
  <c r="J681" i="5"/>
  <c r="K681" i="5"/>
  <c r="L681" i="5"/>
  <c r="M681" i="5"/>
  <c r="H682" i="5"/>
  <c r="I682" i="5"/>
  <c r="J682" i="5"/>
  <c r="K682" i="5"/>
  <c r="L682" i="5"/>
  <c r="M682" i="5"/>
  <c r="H683" i="5"/>
  <c r="I683" i="5"/>
  <c r="J683" i="5"/>
  <c r="K683" i="5"/>
  <c r="L683" i="5"/>
  <c r="M683" i="5"/>
  <c r="H684" i="5"/>
  <c r="I684" i="5"/>
  <c r="J684" i="5"/>
  <c r="K684" i="5"/>
  <c r="L684" i="5"/>
  <c r="M684" i="5"/>
  <c r="H685" i="5"/>
  <c r="I685" i="5"/>
  <c r="J685" i="5"/>
  <c r="K685" i="5"/>
  <c r="L685" i="5"/>
  <c r="M685" i="5"/>
  <c r="H686" i="5"/>
  <c r="I686" i="5"/>
  <c r="J686" i="5"/>
  <c r="K686" i="5"/>
  <c r="L686" i="5"/>
  <c r="M686" i="5"/>
  <c r="H687" i="5"/>
  <c r="I687" i="5"/>
  <c r="J687" i="5"/>
  <c r="K687" i="5"/>
  <c r="L687" i="5"/>
  <c r="M687" i="5"/>
  <c r="H688" i="5"/>
  <c r="I688" i="5"/>
  <c r="J688" i="5"/>
  <c r="K688" i="5"/>
  <c r="L688" i="5"/>
  <c r="M688" i="5"/>
  <c r="H689" i="5"/>
  <c r="I689" i="5"/>
  <c r="J689" i="5"/>
  <c r="K689" i="5"/>
  <c r="L689" i="5"/>
  <c r="M689" i="5"/>
  <c r="H690" i="5"/>
  <c r="I690" i="5"/>
  <c r="J690" i="5"/>
  <c r="K690" i="5"/>
  <c r="L690" i="5"/>
  <c r="M690" i="5"/>
  <c r="H691" i="5"/>
  <c r="I691" i="5"/>
  <c r="J691" i="5"/>
  <c r="K691" i="5"/>
  <c r="L691" i="5"/>
  <c r="M691" i="5"/>
  <c r="H692" i="5"/>
  <c r="I692" i="5"/>
  <c r="J692" i="5"/>
  <c r="K692" i="5"/>
  <c r="L692" i="5"/>
  <c r="M692" i="5"/>
  <c r="H693" i="5"/>
  <c r="I693" i="5"/>
  <c r="J693" i="5"/>
  <c r="K693" i="5"/>
  <c r="L693" i="5"/>
  <c r="M693" i="5"/>
  <c r="H694" i="5"/>
  <c r="I694" i="5"/>
  <c r="J694" i="5"/>
  <c r="K694" i="5"/>
  <c r="L694" i="5"/>
  <c r="M694" i="5"/>
  <c r="H695" i="5"/>
  <c r="I695" i="5"/>
  <c r="J695" i="5"/>
  <c r="K695" i="5"/>
  <c r="L695" i="5"/>
  <c r="M695" i="5"/>
  <c r="H696" i="5"/>
  <c r="I696" i="5"/>
  <c r="J696" i="5"/>
  <c r="K696" i="5"/>
  <c r="L696" i="5"/>
  <c r="M696" i="5"/>
  <c r="H697" i="5"/>
  <c r="I697" i="5"/>
  <c r="J697" i="5"/>
  <c r="K697" i="5"/>
  <c r="L697" i="5"/>
  <c r="M697" i="5"/>
  <c r="H698" i="5"/>
  <c r="I698" i="5"/>
  <c r="J698" i="5"/>
  <c r="K698" i="5"/>
  <c r="L698" i="5"/>
  <c r="M698" i="5"/>
  <c r="H699" i="5"/>
  <c r="I699" i="5"/>
  <c r="J699" i="5"/>
  <c r="K699" i="5"/>
  <c r="L699" i="5"/>
  <c r="M699" i="5"/>
  <c r="H700" i="5"/>
  <c r="I700" i="5"/>
  <c r="J700" i="5"/>
  <c r="K700" i="5"/>
  <c r="L700" i="5"/>
  <c r="M700" i="5"/>
  <c r="H701" i="5"/>
  <c r="I701" i="5"/>
  <c r="J701" i="5"/>
  <c r="K701" i="5"/>
  <c r="L701" i="5"/>
  <c r="M701" i="5"/>
  <c r="H702" i="5"/>
  <c r="I702" i="5"/>
  <c r="J702" i="5"/>
  <c r="K702" i="5"/>
  <c r="L702" i="5"/>
  <c r="M702" i="5"/>
  <c r="H703" i="5"/>
  <c r="I703" i="5"/>
  <c r="J703" i="5"/>
  <c r="K703" i="5"/>
  <c r="L703" i="5"/>
  <c r="M703" i="5"/>
  <c r="H704" i="5"/>
  <c r="I704" i="5"/>
  <c r="J704" i="5"/>
  <c r="K704" i="5"/>
  <c r="L704" i="5"/>
  <c r="M704" i="5"/>
  <c r="H705" i="5"/>
  <c r="I705" i="5"/>
  <c r="J705" i="5"/>
  <c r="K705" i="5"/>
  <c r="L705" i="5"/>
  <c r="M705" i="5"/>
  <c r="H706" i="5"/>
  <c r="I706" i="5"/>
  <c r="J706" i="5"/>
  <c r="K706" i="5"/>
  <c r="L706" i="5"/>
  <c r="M706" i="5"/>
  <c r="H707" i="5"/>
  <c r="I707" i="5"/>
  <c r="J707" i="5"/>
  <c r="K707" i="5"/>
  <c r="L707" i="5"/>
  <c r="M707" i="5"/>
  <c r="H708" i="5"/>
  <c r="I708" i="5"/>
  <c r="J708" i="5"/>
  <c r="K708" i="5"/>
  <c r="L708" i="5"/>
  <c r="M708" i="5"/>
  <c r="H709" i="5"/>
  <c r="I709" i="5"/>
  <c r="J709" i="5"/>
  <c r="K709" i="5"/>
  <c r="L709" i="5"/>
  <c r="M709" i="5"/>
  <c r="H710" i="5"/>
  <c r="I710" i="5"/>
  <c r="J710" i="5"/>
  <c r="K710" i="5"/>
  <c r="L710" i="5"/>
  <c r="M710" i="5"/>
  <c r="H711" i="5"/>
  <c r="I711" i="5"/>
  <c r="J711" i="5"/>
  <c r="K711" i="5"/>
  <c r="L711" i="5"/>
  <c r="M711" i="5"/>
  <c r="H712" i="5"/>
  <c r="I712" i="5"/>
  <c r="J712" i="5"/>
  <c r="K712" i="5"/>
  <c r="L712" i="5"/>
  <c r="M712" i="5"/>
  <c r="H713" i="5"/>
  <c r="I713" i="5"/>
  <c r="J713" i="5"/>
  <c r="K713" i="5"/>
  <c r="L713" i="5"/>
  <c r="M713" i="5"/>
  <c r="H714" i="5"/>
  <c r="I714" i="5"/>
  <c r="J714" i="5"/>
  <c r="K714" i="5"/>
  <c r="L714" i="5"/>
  <c r="M714" i="5"/>
  <c r="H715" i="5"/>
  <c r="I715" i="5"/>
  <c r="J715" i="5"/>
  <c r="K715" i="5"/>
  <c r="L715" i="5"/>
  <c r="M715" i="5"/>
  <c r="H716" i="5"/>
  <c r="I716" i="5"/>
  <c r="J716" i="5"/>
  <c r="K716" i="5"/>
  <c r="L716" i="5"/>
  <c r="M716" i="5"/>
  <c r="H717" i="5"/>
  <c r="I717" i="5"/>
  <c r="J717" i="5"/>
  <c r="K717" i="5"/>
  <c r="L717" i="5"/>
  <c r="M717" i="5"/>
  <c r="H718" i="5"/>
  <c r="I718" i="5"/>
  <c r="J718" i="5"/>
  <c r="K718" i="5"/>
  <c r="L718" i="5"/>
  <c r="M718" i="5"/>
  <c r="H719" i="5"/>
  <c r="I719" i="5"/>
  <c r="J719" i="5"/>
  <c r="K719" i="5"/>
  <c r="L719" i="5"/>
  <c r="M719" i="5"/>
  <c r="H720" i="5"/>
  <c r="I720" i="5"/>
  <c r="J720" i="5"/>
  <c r="K720" i="5"/>
  <c r="L720" i="5"/>
  <c r="M720" i="5"/>
  <c r="H721" i="5"/>
  <c r="I721" i="5"/>
  <c r="J721" i="5"/>
  <c r="K721" i="5"/>
  <c r="L721" i="5"/>
  <c r="M721" i="5"/>
  <c r="H722" i="5"/>
  <c r="I722" i="5"/>
  <c r="J722" i="5"/>
  <c r="K722" i="5"/>
  <c r="L722" i="5"/>
  <c r="M722" i="5"/>
  <c r="H723" i="5"/>
  <c r="I723" i="5"/>
  <c r="J723" i="5"/>
  <c r="K723" i="5"/>
  <c r="L723" i="5"/>
  <c r="M723" i="5"/>
  <c r="H724" i="5"/>
  <c r="I724" i="5"/>
  <c r="J724" i="5"/>
  <c r="K724" i="5"/>
  <c r="L724" i="5"/>
  <c r="M724" i="5"/>
  <c r="H725" i="5"/>
  <c r="I725" i="5"/>
  <c r="J725" i="5"/>
  <c r="K725" i="5"/>
  <c r="L725" i="5"/>
  <c r="M725" i="5"/>
  <c r="H726" i="5"/>
  <c r="I726" i="5"/>
  <c r="J726" i="5"/>
  <c r="K726" i="5"/>
  <c r="L726" i="5"/>
  <c r="M726" i="5"/>
  <c r="H727" i="5"/>
  <c r="I727" i="5"/>
  <c r="J727" i="5"/>
  <c r="K727" i="5"/>
  <c r="L727" i="5"/>
  <c r="M727" i="5"/>
  <c r="H728" i="5"/>
  <c r="I728" i="5"/>
  <c r="J728" i="5"/>
  <c r="K728" i="5"/>
  <c r="L728" i="5"/>
  <c r="M728" i="5"/>
  <c r="H729" i="5"/>
  <c r="I729" i="5"/>
  <c r="J729" i="5"/>
  <c r="K729" i="5"/>
  <c r="L729" i="5"/>
  <c r="M729" i="5"/>
  <c r="H730" i="5"/>
  <c r="I730" i="5"/>
  <c r="J730" i="5"/>
  <c r="K730" i="5"/>
  <c r="L730" i="5"/>
  <c r="M730" i="5"/>
  <c r="H731" i="5"/>
  <c r="I731" i="5"/>
  <c r="J731" i="5"/>
  <c r="K731" i="5"/>
  <c r="L731" i="5"/>
  <c r="M731" i="5"/>
  <c r="H732" i="5"/>
  <c r="I732" i="5"/>
  <c r="J732" i="5"/>
  <c r="K732" i="5"/>
  <c r="L732" i="5"/>
  <c r="M732" i="5"/>
  <c r="H733" i="5"/>
  <c r="I733" i="5"/>
  <c r="J733" i="5"/>
  <c r="K733" i="5"/>
  <c r="L733" i="5"/>
  <c r="M733" i="5"/>
  <c r="H734" i="5"/>
  <c r="I734" i="5"/>
  <c r="J734" i="5"/>
  <c r="K734" i="5"/>
  <c r="L734" i="5"/>
  <c r="M734" i="5"/>
  <c r="H735" i="5"/>
  <c r="I735" i="5"/>
  <c r="J735" i="5"/>
  <c r="K735" i="5"/>
  <c r="L735" i="5"/>
  <c r="M735" i="5"/>
  <c r="H736" i="5"/>
  <c r="I736" i="5"/>
  <c r="J736" i="5"/>
  <c r="K736" i="5"/>
  <c r="L736" i="5"/>
  <c r="M736" i="5"/>
  <c r="H737" i="5"/>
  <c r="I737" i="5"/>
  <c r="J737" i="5"/>
  <c r="K737" i="5"/>
  <c r="L737" i="5"/>
  <c r="M737" i="5"/>
  <c r="H738" i="5"/>
  <c r="I738" i="5"/>
  <c r="J738" i="5"/>
  <c r="K738" i="5"/>
  <c r="L738" i="5"/>
  <c r="M738" i="5"/>
  <c r="H739" i="5"/>
  <c r="I739" i="5"/>
  <c r="J739" i="5"/>
  <c r="K739" i="5"/>
  <c r="L739" i="5"/>
  <c r="M739" i="5"/>
  <c r="H740" i="5"/>
  <c r="I740" i="5"/>
  <c r="J740" i="5"/>
  <c r="K740" i="5"/>
  <c r="L740" i="5"/>
  <c r="M740" i="5"/>
  <c r="H741" i="5"/>
  <c r="I741" i="5"/>
  <c r="J741" i="5"/>
  <c r="K741" i="5"/>
  <c r="L741" i="5"/>
  <c r="M741" i="5"/>
  <c r="H742" i="5"/>
  <c r="I742" i="5"/>
  <c r="J742" i="5"/>
  <c r="K742" i="5"/>
  <c r="L742" i="5"/>
  <c r="M742" i="5"/>
  <c r="H743" i="5"/>
  <c r="I743" i="5"/>
  <c r="J743" i="5"/>
  <c r="K743" i="5"/>
  <c r="L743" i="5"/>
  <c r="M743" i="5"/>
  <c r="H744" i="5"/>
  <c r="I744" i="5"/>
  <c r="J744" i="5"/>
  <c r="K744" i="5"/>
  <c r="L744" i="5"/>
  <c r="M744" i="5"/>
  <c r="H745" i="5"/>
  <c r="I745" i="5"/>
  <c r="J745" i="5"/>
  <c r="K745" i="5"/>
  <c r="L745" i="5"/>
  <c r="M745" i="5"/>
  <c r="H746" i="5"/>
  <c r="I746" i="5"/>
  <c r="J746" i="5"/>
  <c r="K746" i="5"/>
  <c r="L746" i="5"/>
  <c r="M746" i="5"/>
  <c r="H747" i="5"/>
  <c r="I747" i="5"/>
  <c r="J747" i="5"/>
  <c r="K747" i="5"/>
  <c r="L747" i="5"/>
  <c r="M747" i="5"/>
  <c r="H748" i="5"/>
  <c r="I748" i="5"/>
  <c r="J748" i="5"/>
  <c r="K748" i="5"/>
  <c r="L748" i="5"/>
  <c r="M748" i="5"/>
  <c r="H749" i="5"/>
  <c r="I749" i="5"/>
  <c r="J749" i="5"/>
  <c r="K749" i="5"/>
  <c r="L749" i="5"/>
  <c r="M749" i="5"/>
  <c r="H750" i="5"/>
  <c r="I750" i="5"/>
  <c r="J750" i="5"/>
  <c r="K750" i="5"/>
  <c r="L750" i="5"/>
  <c r="M750" i="5"/>
  <c r="H751" i="5"/>
  <c r="I751" i="5"/>
  <c r="J751" i="5"/>
  <c r="K751" i="5"/>
  <c r="L751" i="5"/>
  <c r="M751" i="5"/>
  <c r="H752" i="5"/>
  <c r="I752" i="5"/>
  <c r="J752" i="5"/>
  <c r="K752" i="5"/>
  <c r="L752" i="5"/>
  <c r="M752" i="5"/>
  <c r="H753" i="5"/>
  <c r="I753" i="5"/>
  <c r="J753" i="5"/>
  <c r="K753" i="5"/>
  <c r="L753" i="5"/>
  <c r="M753" i="5"/>
  <c r="H754" i="5"/>
  <c r="I754" i="5"/>
  <c r="J754" i="5"/>
  <c r="K754" i="5"/>
  <c r="L754" i="5"/>
  <c r="M754" i="5"/>
  <c r="H755" i="5"/>
  <c r="I755" i="5"/>
  <c r="J755" i="5"/>
  <c r="K755" i="5"/>
  <c r="L755" i="5"/>
  <c r="M755" i="5"/>
  <c r="H756" i="5"/>
  <c r="I756" i="5"/>
  <c r="J756" i="5"/>
  <c r="K756" i="5"/>
  <c r="L756" i="5"/>
  <c r="M756" i="5"/>
  <c r="H757" i="5"/>
  <c r="I757" i="5"/>
  <c r="J757" i="5"/>
  <c r="K757" i="5"/>
  <c r="L757" i="5"/>
  <c r="M757" i="5"/>
  <c r="H758" i="5"/>
  <c r="I758" i="5"/>
  <c r="J758" i="5"/>
  <c r="K758" i="5"/>
  <c r="L758" i="5"/>
  <c r="M758" i="5"/>
  <c r="H759" i="5"/>
  <c r="I759" i="5"/>
  <c r="J759" i="5"/>
  <c r="K759" i="5"/>
  <c r="L759" i="5"/>
  <c r="M759" i="5"/>
  <c r="H760" i="5"/>
  <c r="I760" i="5"/>
  <c r="J760" i="5"/>
  <c r="K760" i="5"/>
  <c r="L760" i="5"/>
  <c r="M760" i="5"/>
  <c r="H761" i="5"/>
  <c r="I761" i="5"/>
  <c r="J761" i="5"/>
  <c r="K761" i="5"/>
  <c r="L761" i="5"/>
  <c r="M761" i="5"/>
  <c r="H762" i="5"/>
  <c r="I762" i="5"/>
  <c r="J762" i="5"/>
  <c r="K762" i="5"/>
  <c r="L762" i="5"/>
  <c r="M762" i="5"/>
  <c r="H763" i="5"/>
  <c r="I763" i="5"/>
  <c r="J763" i="5"/>
  <c r="K763" i="5"/>
  <c r="L763" i="5"/>
  <c r="M763" i="5"/>
  <c r="H764" i="5"/>
  <c r="I764" i="5"/>
  <c r="J764" i="5"/>
  <c r="K764" i="5"/>
  <c r="L764" i="5"/>
  <c r="M764" i="5"/>
  <c r="H765" i="5"/>
  <c r="I765" i="5"/>
  <c r="J765" i="5"/>
  <c r="K765" i="5"/>
  <c r="L765" i="5"/>
  <c r="M765" i="5"/>
  <c r="H766" i="5"/>
  <c r="I766" i="5"/>
  <c r="J766" i="5"/>
  <c r="K766" i="5"/>
  <c r="L766" i="5"/>
  <c r="M766" i="5"/>
  <c r="H767" i="5"/>
  <c r="I767" i="5"/>
  <c r="J767" i="5"/>
  <c r="K767" i="5"/>
  <c r="L767" i="5"/>
  <c r="M767" i="5"/>
  <c r="H768" i="5"/>
  <c r="I768" i="5"/>
  <c r="J768" i="5"/>
  <c r="K768" i="5"/>
  <c r="L768" i="5"/>
  <c r="M768" i="5"/>
  <c r="H769" i="5"/>
  <c r="I769" i="5"/>
  <c r="J769" i="5"/>
  <c r="K769" i="5"/>
  <c r="L769" i="5"/>
  <c r="M769" i="5"/>
  <c r="H770" i="5"/>
  <c r="I770" i="5"/>
  <c r="J770" i="5"/>
  <c r="K770" i="5"/>
  <c r="L770" i="5"/>
  <c r="M770" i="5"/>
  <c r="H771" i="5"/>
  <c r="I771" i="5"/>
  <c r="J771" i="5"/>
  <c r="K771" i="5"/>
  <c r="L771" i="5"/>
  <c r="M771" i="5"/>
  <c r="H772" i="5"/>
  <c r="I772" i="5"/>
  <c r="J772" i="5"/>
  <c r="K772" i="5"/>
  <c r="L772" i="5"/>
  <c r="M772" i="5"/>
  <c r="H773" i="5"/>
  <c r="I773" i="5"/>
  <c r="J773" i="5"/>
  <c r="K773" i="5"/>
  <c r="L773" i="5"/>
  <c r="M773" i="5"/>
  <c r="H774" i="5"/>
  <c r="I774" i="5"/>
  <c r="J774" i="5"/>
  <c r="K774" i="5"/>
  <c r="L774" i="5"/>
  <c r="M774" i="5"/>
  <c r="H775" i="5"/>
  <c r="I775" i="5"/>
  <c r="J775" i="5"/>
  <c r="K775" i="5"/>
  <c r="L775" i="5"/>
  <c r="M775" i="5"/>
  <c r="H776" i="5"/>
  <c r="I776" i="5"/>
  <c r="J776" i="5"/>
  <c r="K776" i="5"/>
  <c r="L776" i="5"/>
  <c r="M776" i="5"/>
  <c r="H777" i="5"/>
  <c r="I777" i="5"/>
  <c r="J777" i="5"/>
  <c r="K777" i="5"/>
  <c r="L777" i="5"/>
  <c r="M777" i="5"/>
  <c r="H778" i="5"/>
  <c r="I778" i="5"/>
  <c r="J778" i="5"/>
  <c r="K778" i="5"/>
  <c r="L778" i="5"/>
  <c r="M778" i="5"/>
  <c r="H779" i="5"/>
  <c r="I779" i="5"/>
  <c r="J779" i="5"/>
  <c r="K779" i="5"/>
  <c r="L779" i="5"/>
  <c r="M779" i="5"/>
  <c r="H780" i="5"/>
  <c r="I780" i="5"/>
  <c r="J780" i="5"/>
  <c r="K780" i="5"/>
  <c r="L780" i="5"/>
  <c r="M780" i="5"/>
  <c r="H781" i="5"/>
  <c r="I781" i="5"/>
  <c r="J781" i="5"/>
  <c r="K781" i="5"/>
  <c r="L781" i="5"/>
  <c r="M781" i="5"/>
  <c r="H782" i="5"/>
  <c r="I782" i="5"/>
  <c r="J782" i="5"/>
  <c r="K782" i="5"/>
  <c r="L782" i="5"/>
  <c r="M782" i="5"/>
  <c r="H783" i="5"/>
  <c r="I783" i="5"/>
  <c r="J783" i="5"/>
  <c r="K783" i="5"/>
  <c r="L783" i="5"/>
  <c r="M783" i="5"/>
  <c r="H784" i="5"/>
  <c r="I784" i="5"/>
  <c r="J784" i="5"/>
  <c r="K784" i="5"/>
  <c r="L784" i="5"/>
  <c r="M784" i="5"/>
  <c r="H785" i="5"/>
  <c r="I785" i="5"/>
  <c r="J785" i="5"/>
  <c r="K785" i="5"/>
  <c r="L785" i="5"/>
  <c r="M785" i="5"/>
  <c r="H786" i="5"/>
  <c r="I786" i="5"/>
  <c r="J786" i="5"/>
  <c r="K786" i="5"/>
  <c r="L786" i="5"/>
  <c r="M786" i="5"/>
  <c r="H787" i="5"/>
  <c r="I787" i="5"/>
  <c r="J787" i="5"/>
  <c r="K787" i="5"/>
  <c r="L787" i="5"/>
  <c r="M787" i="5"/>
  <c r="H788" i="5"/>
  <c r="I788" i="5"/>
  <c r="J788" i="5"/>
  <c r="K788" i="5"/>
  <c r="L788" i="5"/>
  <c r="M788" i="5"/>
  <c r="H789" i="5"/>
  <c r="I789" i="5"/>
  <c r="J789" i="5"/>
  <c r="K789" i="5"/>
  <c r="L789" i="5"/>
  <c r="M789" i="5"/>
  <c r="H790" i="5"/>
  <c r="I790" i="5"/>
  <c r="J790" i="5"/>
  <c r="K790" i="5"/>
  <c r="L790" i="5"/>
  <c r="M790" i="5"/>
  <c r="H791" i="5"/>
  <c r="I791" i="5"/>
  <c r="J791" i="5"/>
  <c r="K791" i="5"/>
  <c r="L791" i="5"/>
  <c r="M791" i="5"/>
  <c r="H792" i="5"/>
  <c r="I792" i="5"/>
  <c r="J792" i="5"/>
  <c r="K792" i="5"/>
  <c r="L792" i="5"/>
  <c r="M792" i="5"/>
  <c r="H793" i="5"/>
  <c r="I793" i="5"/>
  <c r="J793" i="5"/>
  <c r="K793" i="5"/>
  <c r="L793" i="5"/>
  <c r="M793" i="5"/>
  <c r="H794" i="5"/>
  <c r="I794" i="5"/>
  <c r="J794" i="5"/>
  <c r="K794" i="5"/>
  <c r="L794" i="5"/>
  <c r="M794" i="5"/>
  <c r="H795" i="5"/>
  <c r="I795" i="5"/>
  <c r="J795" i="5"/>
  <c r="K795" i="5"/>
  <c r="L795" i="5"/>
  <c r="M795" i="5"/>
  <c r="H796" i="5"/>
  <c r="I796" i="5"/>
  <c r="J796" i="5"/>
  <c r="K796" i="5"/>
  <c r="L796" i="5"/>
  <c r="M796" i="5"/>
  <c r="H797" i="5"/>
  <c r="I797" i="5"/>
  <c r="J797" i="5"/>
  <c r="K797" i="5"/>
  <c r="L797" i="5"/>
  <c r="M797" i="5"/>
  <c r="H798" i="5"/>
  <c r="I798" i="5"/>
  <c r="J798" i="5"/>
  <c r="K798" i="5"/>
  <c r="L798" i="5"/>
  <c r="M798" i="5"/>
  <c r="H799" i="5"/>
  <c r="I799" i="5"/>
  <c r="J799" i="5"/>
  <c r="K799" i="5"/>
  <c r="L799" i="5"/>
  <c r="M799" i="5"/>
  <c r="H800" i="5"/>
  <c r="I800" i="5"/>
  <c r="J800" i="5"/>
  <c r="K800" i="5"/>
  <c r="L800" i="5"/>
  <c r="M800" i="5"/>
  <c r="H801" i="5"/>
  <c r="I801" i="5"/>
  <c r="J801" i="5"/>
  <c r="K801" i="5"/>
  <c r="L801" i="5"/>
  <c r="M801" i="5"/>
  <c r="H802" i="5"/>
  <c r="I802" i="5"/>
  <c r="J802" i="5"/>
  <c r="K802" i="5"/>
  <c r="L802" i="5"/>
  <c r="M802" i="5"/>
  <c r="H803" i="5"/>
  <c r="I803" i="5"/>
  <c r="J803" i="5"/>
  <c r="K803" i="5"/>
  <c r="L803" i="5"/>
  <c r="M803" i="5"/>
  <c r="H804" i="5"/>
  <c r="I804" i="5"/>
  <c r="J804" i="5"/>
  <c r="K804" i="5"/>
  <c r="L804" i="5"/>
  <c r="M804" i="5"/>
  <c r="H805" i="5"/>
  <c r="I805" i="5"/>
  <c r="J805" i="5"/>
  <c r="K805" i="5"/>
  <c r="L805" i="5"/>
  <c r="M805" i="5"/>
  <c r="H806" i="5"/>
  <c r="I806" i="5"/>
  <c r="J806" i="5"/>
  <c r="K806" i="5"/>
  <c r="L806" i="5"/>
  <c r="M806" i="5"/>
  <c r="H807" i="5"/>
  <c r="I807" i="5"/>
  <c r="J807" i="5"/>
  <c r="K807" i="5"/>
  <c r="L807" i="5"/>
  <c r="M807" i="5"/>
  <c r="H808" i="5"/>
  <c r="I808" i="5"/>
  <c r="J808" i="5"/>
  <c r="K808" i="5"/>
  <c r="L808" i="5"/>
  <c r="M808" i="5"/>
  <c r="H809" i="5"/>
  <c r="I809" i="5"/>
  <c r="J809" i="5"/>
  <c r="K809" i="5"/>
  <c r="L809" i="5"/>
  <c r="M809" i="5"/>
  <c r="H810" i="5"/>
  <c r="I810" i="5"/>
  <c r="J810" i="5"/>
  <c r="K810" i="5"/>
  <c r="L810" i="5"/>
  <c r="M810" i="5"/>
  <c r="H811" i="5"/>
  <c r="I811" i="5"/>
  <c r="J811" i="5"/>
  <c r="K811" i="5"/>
  <c r="L811" i="5"/>
  <c r="M811" i="5"/>
  <c r="H812" i="5"/>
  <c r="I812" i="5"/>
  <c r="J812" i="5"/>
  <c r="K812" i="5"/>
  <c r="L812" i="5"/>
  <c r="M812" i="5"/>
  <c r="H813" i="5"/>
  <c r="I813" i="5"/>
  <c r="J813" i="5"/>
  <c r="K813" i="5"/>
  <c r="L813" i="5"/>
  <c r="M813" i="5"/>
  <c r="H814" i="5"/>
  <c r="I814" i="5"/>
  <c r="J814" i="5"/>
  <c r="K814" i="5"/>
  <c r="L814" i="5"/>
  <c r="M814" i="5"/>
  <c r="H815" i="5"/>
  <c r="I815" i="5"/>
  <c r="J815" i="5"/>
  <c r="K815" i="5"/>
  <c r="L815" i="5"/>
  <c r="M815" i="5"/>
  <c r="H816" i="5"/>
  <c r="I816" i="5"/>
  <c r="J816" i="5"/>
  <c r="K816" i="5"/>
  <c r="L816" i="5"/>
  <c r="M816" i="5"/>
  <c r="H817" i="5"/>
  <c r="I817" i="5"/>
  <c r="J817" i="5"/>
  <c r="K817" i="5"/>
  <c r="L817" i="5"/>
  <c r="M817" i="5"/>
  <c r="H818" i="5"/>
  <c r="I818" i="5"/>
  <c r="J818" i="5"/>
  <c r="K818" i="5"/>
  <c r="L818" i="5"/>
  <c r="M818" i="5"/>
  <c r="H819" i="5"/>
  <c r="I819" i="5"/>
  <c r="J819" i="5"/>
  <c r="K819" i="5"/>
  <c r="L819" i="5"/>
  <c r="M819" i="5"/>
  <c r="H820" i="5"/>
  <c r="I820" i="5"/>
  <c r="J820" i="5"/>
  <c r="K820" i="5"/>
  <c r="L820" i="5"/>
  <c r="M820" i="5"/>
  <c r="H821" i="5"/>
  <c r="I821" i="5"/>
  <c r="J821" i="5"/>
  <c r="K821" i="5"/>
  <c r="L821" i="5"/>
  <c r="M821" i="5"/>
  <c r="H822" i="5"/>
  <c r="I822" i="5"/>
  <c r="J822" i="5"/>
  <c r="K822" i="5"/>
  <c r="L822" i="5"/>
  <c r="M822" i="5"/>
  <c r="H823" i="5"/>
  <c r="I823" i="5"/>
  <c r="J823" i="5"/>
  <c r="K823" i="5"/>
  <c r="L823" i="5"/>
  <c r="M823" i="5"/>
  <c r="H824" i="5"/>
  <c r="I824" i="5"/>
  <c r="J824" i="5"/>
  <c r="K824" i="5"/>
  <c r="L824" i="5"/>
  <c r="M824" i="5"/>
  <c r="H825" i="5"/>
  <c r="I825" i="5"/>
  <c r="J825" i="5"/>
  <c r="K825" i="5"/>
  <c r="L825" i="5"/>
  <c r="M825" i="5"/>
  <c r="H826" i="5"/>
  <c r="I826" i="5"/>
  <c r="J826" i="5"/>
  <c r="K826" i="5"/>
  <c r="L826" i="5"/>
  <c r="M826" i="5"/>
  <c r="H827" i="5"/>
  <c r="I827" i="5"/>
  <c r="J827" i="5"/>
  <c r="K827" i="5"/>
  <c r="L827" i="5"/>
  <c r="M827" i="5"/>
  <c r="H828" i="5"/>
  <c r="I828" i="5"/>
  <c r="J828" i="5"/>
  <c r="K828" i="5"/>
  <c r="L828" i="5"/>
  <c r="M828" i="5"/>
  <c r="H829" i="5"/>
  <c r="I829" i="5"/>
  <c r="J829" i="5"/>
  <c r="K829" i="5"/>
  <c r="L829" i="5"/>
  <c r="M829" i="5"/>
  <c r="H830" i="5"/>
  <c r="I830" i="5"/>
  <c r="J830" i="5"/>
  <c r="K830" i="5"/>
  <c r="L830" i="5"/>
  <c r="M830" i="5"/>
  <c r="H831" i="5"/>
  <c r="I831" i="5"/>
  <c r="J831" i="5"/>
  <c r="K831" i="5"/>
  <c r="L831" i="5"/>
  <c r="M831" i="5"/>
  <c r="H832" i="5"/>
  <c r="I832" i="5"/>
  <c r="J832" i="5"/>
  <c r="K832" i="5"/>
  <c r="L832" i="5"/>
  <c r="M832" i="5"/>
  <c r="H833" i="5"/>
  <c r="I833" i="5"/>
  <c r="J833" i="5"/>
  <c r="K833" i="5"/>
  <c r="L833" i="5"/>
  <c r="M833" i="5"/>
  <c r="H834" i="5"/>
  <c r="I834" i="5"/>
  <c r="J834" i="5"/>
  <c r="K834" i="5"/>
  <c r="L834" i="5"/>
  <c r="M834" i="5"/>
  <c r="H835" i="5"/>
  <c r="I835" i="5"/>
  <c r="J835" i="5"/>
  <c r="K835" i="5"/>
  <c r="L835" i="5"/>
  <c r="M835" i="5"/>
  <c r="H836" i="5"/>
  <c r="I836" i="5"/>
  <c r="J836" i="5"/>
  <c r="K836" i="5"/>
  <c r="L836" i="5"/>
  <c r="M836" i="5"/>
  <c r="H837" i="5"/>
  <c r="I837" i="5"/>
  <c r="J837" i="5"/>
  <c r="K837" i="5"/>
  <c r="L837" i="5"/>
  <c r="M837" i="5"/>
  <c r="H838" i="5"/>
  <c r="I838" i="5"/>
  <c r="J838" i="5"/>
  <c r="K838" i="5"/>
  <c r="L838" i="5"/>
  <c r="M838" i="5"/>
  <c r="H839" i="5"/>
  <c r="I839" i="5"/>
  <c r="J839" i="5"/>
  <c r="K839" i="5"/>
  <c r="L839" i="5"/>
  <c r="M839" i="5"/>
  <c r="H840" i="5"/>
  <c r="I840" i="5"/>
  <c r="J840" i="5"/>
  <c r="K840" i="5"/>
  <c r="L840" i="5"/>
  <c r="M840" i="5"/>
  <c r="H841" i="5"/>
  <c r="I841" i="5"/>
  <c r="J841" i="5"/>
  <c r="K841" i="5"/>
  <c r="L841" i="5"/>
  <c r="M841" i="5"/>
  <c r="H842" i="5"/>
  <c r="I842" i="5"/>
  <c r="J842" i="5"/>
  <c r="K842" i="5"/>
  <c r="L842" i="5"/>
  <c r="M842" i="5"/>
  <c r="H843" i="5"/>
  <c r="I843" i="5"/>
  <c r="J843" i="5"/>
  <c r="K843" i="5"/>
  <c r="L843" i="5"/>
  <c r="M843" i="5"/>
  <c r="H844" i="5"/>
  <c r="I844" i="5"/>
  <c r="J844" i="5"/>
  <c r="K844" i="5"/>
  <c r="L844" i="5"/>
  <c r="M844" i="5"/>
  <c r="H845" i="5"/>
  <c r="I845" i="5"/>
  <c r="J845" i="5"/>
  <c r="K845" i="5"/>
  <c r="L845" i="5"/>
  <c r="M845" i="5"/>
  <c r="H846" i="5"/>
  <c r="I846" i="5"/>
  <c r="J846" i="5"/>
  <c r="K846" i="5"/>
  <c r="L846" i="5"/>
  <c r="M846" i="5"/>
  <c r="H847" i="5"/>
  <c r="I847" i="5"/>
  <c r="J847" i="5"/>
  <c r="K847" i="5"/>
  <c r="L847" i="5"/>
  <c r="M847" i="5"/>
  <c r="H848" i="5"/>
  <c r="I848" i="5"/>
  <c r="J848" i="5"/>
  <c r="K848" i="5"/>
  <c r="L848" i="5"/>
  <c r="M848" i="5"/>
  <c r="H849" i="5"/>
  <c r="I849" i="5"/>
  <c r="J849" i="5"/>
  <c r="K849" i="5"/>
  <c r="L849" i="5"/>
  <c r="M849" i="5"/>
  <c r="H850" i="5"/>
  <c r="I850" i="5"/>
  <c r="J850" i="5"/>
  <c r="K850" i="5"/>
  <c r="L850" i="5"/>
  <c r="M850" i="5"/>
  <c r="H851" i="5"/>
  <c r="I851" i="5"/>
  <c r="J851" i="5"/>
  <c r="K851" i="5"/>
  <c r="L851" i="5"/>
  <c r="M851" i="5"/>
  <c r="H852" i="5"/>
  <c r="I852" i="5"/>
  <c r="J852" i="5"/>
  <c r="K852" i="5"/>
  <c r="L852" i="5"/>
  <c r="M852" i="5"/>
  <c r="H853" i="5"/>
  <c r="I853" i="5"/>
  <c r="J853" i="5"/>
  <c r="K853" i="5"/>
  <c r="L853" i="5"/>
  <c r="M853" i="5"/>
  <c r="H854" i="5"/>
  <c r="I854" i="5"/>
  <c r="J854" i="5"/>
  <c r="K854" i="5"/>
  <c r="L854" i="5"/>
  <c r="M854" i="5"/>
  <c r="H855" i="5"/>
  <c r="I855" i="5"/>
  <c r="J855" i="5"/>
  <c r="K855" i="5"/>
  <c r="L855" i="5"/>
  <c r="M855" i="5"/>
  <c r="H856" i="5"/>
  <c r="I856" i="5"/>
  <c r="J856" i="5"/>
  <c r="K856" i="5"/>
  <c r="L856" i="5"/>
  <c r="M856" i="5"/>
  <c r="H857" i="5"/>
  <c r="I857" i="5"/>
  <c r="J857" i="5"/>
  <c r="K857" i="5"/>
  <c r="L857" i="5"/>
  <c r="M857" i="5"/>
  <c r="H858" i="5"/>
  <c r="I858" i="5"/>
  <c r="J858" i="5"/>
  <c r="K858" i="5"/>
  <c r="L858" i="5"/>
  <c r="M858" i="5"/>
  <c r="H859" i="5"/>
  <c r="I859" i="5"/>
  <c r="J859" i="5"/>
  <c r="K859" i="5"/>
  <c r="L859" i="5"/>
  <c r="M859" i="5"/>
  <c r="H860" i="5"/>
  <c r="I860" i="5"/>
  <c r="J860" i="5"/>
  <c r="K860" i="5"/>
  <c r="L860" i="5"/>
  <c r="M860" i="5"/>
  <c r="H861" i="5"/>
  <c r="I861" i="5"/>
  <c r="J861" i="5"/>
  <c r="K861" i="5"/>
  <c r="L861" i="5"/>
  <c r="M861" i="5"/>
  <c r="H862" i="5"/>
  <c r="I862" i="5"/>
  <c r="J862" i="5"/>
  <c r="K862" i="5"/>
  <c r="L862" i="5"/>
  <c r="M862" i="5"/>
  <c r="H863" i="5"/>
  <c r="I863" i="5"/>
  <c r="J863" i="5"/>
  <c r="K863" i="5"/>
  <c r="L863" i="5"/>
  <c r="M863" i="5"/>
  <c r="H864" i="5"/>
  <c r="I864" i="5"/>
  <c r="J864" i="5"/>
  <c r="K864" i="5"/>
  <c r="L864" i="5"/>
  <c r="M864" i="5"/>
  <c r="H865" i="5"/>
  <c r="I865" i="5"/>
  <c r="J865" i="5"/>
  <c r="K865" i="5"/>
  <c r="L865" i="5"/>
  <c r="M865" i="5"/>
  <c r="H866" i="5"/>
  <c r="I866" i="5"/>
  <c r="J866" i="5"/>
  <c r="K866" i="5"/>
  <c r="L866" i="5"/>
  <c r="M866" i="5"/>
  <c r="H867" i="5"/>
  <c r="I867" i="5"/>
  <c r="J867" i="5"/>
  <c r="K867" i="5"/>
  <c r="L867" i="5"/>
  <c r="M867" i="5"/>
  <c r="H868" i="5"/>
  <c r="I868" i="5"/>
  <c r="J868" i="5"/>
  <c r="K868" i="5"/>
  <c r="L868" i="5"/>
  <c r="M868" i="5"/>
  <c r="H869" i="5"/>
  <c r="I869" i="5"/>
  <c r="J869" i="5"/>
  <c r="K869" i="5"/>
  <c r="L869" i="5"/>
  <c r="M869" i="5"/>
  <c r="H870" i="5"/>
  <c r="I870" i="5"/>
  <c r="J870" i="5"/>
  <c r="K870" i="5"/>
  <c r="L870" i="5"/>
  <c r="M870" i="5"/>
  <c r="H871" i="5"/>
  <c r="I871" i="5"/>
  <c r="J871" i="5"/>
  <c r="K871" i="5"/>
  <c r="L871" i="5"/>
  <c r="M871" i="5"/>
  <c r="H872" i="5"/>
  <c r="I872" i="5"/>
  <c r="J872" i="5"/>
  <c r="K872" i="5"/>
  <c r="L872" i="5"/>
  <c r="M872" i="5"/>
  <c r="H873" i="5"/>
  <c r="I873" i="5"/>
  <c r="J873" i="5"/>
  <c r="K873" i="5"/>
  <c r="L873" i="5"/>
  <c r="M873" i="5"/>
  <c r="H874" i="5"/>
  <c r="I874" i="5"/>
  <c r="J874" i="5"/>
  <c r="K874" i="5"/>
  <c r="L874" i="5"/>
  <c r="M874" i="5"/>
  <c r="H875" i="5"/>
  <c r="I875" i="5"/>
  <c r="J875" i="5"/>
  <c r="K875" i="5"/>
  <c r="L875" i="5"/>
  <c r="M875" i="5"/>
  <c r="H876" i="5"/>
  <c r="I876" i="5"/>
  <c r="J876" i="5"/>
  <c r="K876" i="5"/>
  <c r="L876" i="5"/>
  <c r="M876" i="5"/>
  <c r="H877" i="5"/>
  <c r="I877" i="5"/>
  <c r="J877" i="5"/>
  <c r="K877" i="5"/>
  <c r="L877" i="5"/>
  <c r="M877" i="5"/>
  <c r="H878" i="5"/>
  <c r="I878" i="5"/>
  <c r="J878" i="5"/>
  <c r="K878" i="5"/>
  <c r="L878" i="5"/>
  <c r="M878" i="5"/>
  <c r="H879" i="5"/>
  <c r="I879" i="5"/>
  <c r="J879" i="5"/>
  <c r="K879" i="5"/>
  <c r="L879" i="5"/>
  <c r="M879" i="5"/>
  <c r="H880" i="5"/>
  <c r="I880" i="5"/>
  <c r="J880" i="5"/>
  <c r="K880" i="5"/>
  <c r="L880" i="5"/>
  <c r="M880" i="5"/>
  <c r="H881" i="5"/>
  <c r="I881" i="5"/>
  <c r="J881" i="5"/>
  <c r="K881" i="5"/>
  <c r="L881" i="5"/>
  <c r="M881" i="5"/>
  <c r="H882" i="5"/>
  <c r="I882" i="5"/>
  <c r="J882" i="5"/>
  <c r="K882" i="5"/>
  <c r="L882" i="5"/>
  <c r="M882" i="5"/>
  <c r="H883" i="5"/>
  <c r="I883" i="5"/>
  <c r="J883" i="5"/>
  <c r="K883" i="5"/>
  <c r="L883" i="5"/>
  <c r="M883" i="5"/>
  <c r="H884" i="5"/>
  <c r="I884" i="5"/>
  <c r="J884" i="5"/>
  <c r="K884" i="5"/>
  <c r="L884" i="5"/>
  <c r="M884" i="5"/>
  <c r="H885" i="5"/>
  <c r="I885" i="5"/>
  <c r="J885" i="5"/>
  <c r="K885" i="5"/>
  <c r="L885" i="5"/>
  <c r="M885" i="5"/>
  <c r="H886" i="5"/>
  <c r="I886" i="5"/>
  <c r="J886" i="5"/>
  <c r="K886" i="5"/>
  <c r="L886" i="5"/>
  <c r="M886" i="5"/>
  <c r="H887" i="5"/>
  <c r="I887" i="5"/>
  <c r="J887" i="5"/>
  <c r="K887" i="5"/>
  <c r="L887" i="5"/>
  <c r="M887" i="5"/>
  <c r="H888" i="5"/>
  <c r="I888" i="5"/>
  <c r="J888" i="5"/>
  <c r="K888" i="5"/>
  <c r="L888" i="5"/>
  <c r="M888" i="5"/>
  <c r="H889" i="5"/>
  <c r="I889" i="5"/>
  <c r="J889" i="5"/>
  <c r="K889" i="5"/>
  <c r="L889" i="5"/>
  <c r="M889" i="5"/>
  <c r="H890" i="5"/>
  <c r="I890" i="5"/>
  <c r="J890" i="5"/>
  <c r="K890" i="5"/>
  <c r="L890" i="5"/>
  <c r="M890" i="5"/>
  <c r="H891" i="5"/>
  <c r="I891" i="5"/>
  <c r="J891" i="5"/>
  <c r="K891" i="5"/>
  <c r="L891" i="5"/>
  <c r="M891" i="5"/>
  <c r="H892" i="5"/>
  <c r="I892" i="5"/>
  <c r="J892" i="5"/>
  <c r="K892" i="5"/>
  <c r="L892" i="5"/>
  <c r="M892" i="5"/>
  <c r="H893" i="5"/>
  <c r="I893" i="5"/>
  <c r="J893" i="5"/>
  <c r="K893" i="5"/>
  <c r="L893" i="5"/>
  <c r="M893" i="5"/>
  <c r="H894" i="5"/>
  <c r="I894" i="5"/>
  <c r="J894" i="5"/>
  <c r="K894" i="5"/>
  <c r="L894" i="5"/>
  <c r="M894" i="5"/>
  <c r="H895" i="5"/>
  <c r="I895" i="5"/>
  <c r="J895" i="5"/>
  <c r="K895" i="5"/>
  <c r="L895" i="5"/>
  <c r="M895" i="5"/>
  <c r="H896" i="5"/>
  <c r="I896" i="5"/>
  <c r="J896" i="5"/>
  <c r="K896" i="5"/>
  <c r="L896" i="5"/>
  <c r="M896" i="5"/>
  <c r="H897" i="5"/>
  <c r="I897" i="5"/>
  <c r="J897" i="5"/>
  <c r="K897" i="5"/>
  <c r="L897" i="5"/>
  <c r="M897" i="5"/>
  <c r="H898" i="5"/>
  <c r="I898" i="5"/>
  <c r="J898" i="5"/>
  <c r="K898" i="5"/>
  <c r="L898" i="5"/>
  <c r="M898" i="5"/>
  <c r="H899" i="5"/>
  <c r="I899" i="5"/>
  <c r="J899" i="5"/>
  <c r="K899" i="5"/>
  <c r="L899" i="5"/>
  <c r="M899" i="5"/>
  <c r="H900" i="5"/>
  <c r="I900" i="5"/>
  <c r="J900" i="5"/>
  <c r="K900" i="5"/>
  <c r="L900" i="5"/>
  <c r="M900" i="5"/>
  <c r="H901" i="5"/>
  <c r="I901" i="5"/>
  <c r="J901" i="5"/>
  <c r="K901" i="5"/>
  <c r="L901" i="5"/>
  <c r="M901" i="5"/>
  <c r="H902" i="5"/>
  <c r="I902" i="5"/>
  <c r="J902" i="5"/>
  <c r="K902" i="5"/>
  <c r="L902" i="5"/>
  <c r="M902" i="5"/>
  <c r="H903" i="5"/>
  <c r="I903" i="5"/>
  <c r="J903" i="5"/>
  <c r="K903" i="5"/>
  <c r="L903" i="5"/>
  <c r="M903" i="5"/>
  <c r="H904" i="5"/>
  <c r="I904" i="5"/>
  <c r="J904" i="5"/>
  <c r="K904" i="5"/>
  <c r="L904" i="5"/>
  <c r="M904" i="5"/>
  <c r="H905" i="5"/>
  <c r="I905" i="5"/>
  <c r="J905" i="5"/>
  <c r="K905" i="5"/>
  <c r="L905" i="5"/>
  <c r="M905" i="5"/>
  <c r="H906" i="5"/>
  <c r="I906" i="5"/>
  <c r="J906" i="5"/>
  <c r="K906" i="5"/>
  <c r="L906" i="5"/>
  <c r="M906" i="5"/>
  <c r="H907" i="5"/>
  <c r="I907" i="5"/>
  <c r="J907" i="5"/>
  <c r="K907" i="5"/>
  <c r="L907" i="5"/>
  <c r="M907" i="5"/>
  <c r="H908" i="5"/>
  <c r="I908" i="5"/>
  <c r="J908" i="5"/>
  <c r="K908" i="5"/>
  <c r="L908" i="5"/>
  <c r="M908" i="5"/>
  <c r="H909" i="5"/>
  <c r="I909" i="5"/>
  <c r="J909" i="5"/>
  <c r="K909" i="5"/>
  <c r="L909" i="5"/>
  <c r="M909" i="5"/>
  <c r="H910" i="5"/>
  <c r="I910" i="5"/>
  <c r="J910" i="5"/>
  <c r="K910" i="5"/>
  <c r="L910" i="5"/>
  <c r="M910" i="5"/>
  <c r="H911" i="5"/>
  <c r="I911" i="5"/>
  <c r="J911" i="5"/>
  <c r="K911" i="5"/>
  <c r="L911" i="5"/>
  <c r="M911" i="5"/>
  <c r="H912" i="5"/>
  <c r="I912" i="5"/>
  <c r="J912" i="5"/>
  <c r="K912" i="5"/>
  <c r="L912" i="5"/>
  <c r="M912" i="5"/>
  <c r="H913" i="5"/>
  <c r="I913" i="5"/>
  <c r="J913" i="5"/>
  <c r="K913" i="5"/>
  <c r="L913" i="5"/>
  <c r="M913" i="5"/>
  <c r="H914" i="5"/>
  <c r="I914" i="5"/>
  <c r="J914" i="5"/>
  <c r="K914" i="5"/>
  <c r="L914" i="5"/>
  <c r="M914" i="5"/>
  <c r="H915" i="5"/>
  <c r="I915" i="5"/>
  <c r="J915" i="5"/>
  <c r="K915" i="5"/>
  <c r="L915" i="5"/>
  <c r="M915" i="5"/>
  <c r="H916" i="5"/>
  <c r="I916" i="5"/>
  <c r="J916" i="5"/>
  <c r="K916" i="5"/>
  <c r="L916" i="5"/>
  <c r="M916" i="5"/>
  <c r="H917" i="5"/>
  <c r="I917" i="5"/>
  <c r="J917" i="5"/>
  <c r="K917" i="5"/>
  <c r="L917" i="5"/>
  <c r="M917" i="5"/>
  <c r="H918" i="5"/>
  <c r="I918" i="5"/>
  <c r="J918" i="5"/>
  <c r="K918" i="5"/>
  <c r="L918" i="5"/>
  <c r="M918" i="5"/>
  <c r="H919" i="5"/>
  <c r="I919" i="5"/>
  <c r="J919" i="5"/>
  <c r="K919" i="5"/>
  <c r="L919" i="5"/>
  <c r="M919" i="5"/>
  <c r="H920" i="5"/>
  <c r="I920" i="5"/>
  <c r="J920" i="5"/>
  <c r="K920" i="5"/>
  <c r="L920" i="5"/>
  <c r="M920" i="5"/>
  <c r="H921" i="5"/>
  <c r="I921" i="5"/>
  <c r="J921" i="5"/>
  <c r="K921" i="5"/>
  <c r="L921" i="5"/>
  <c r="M921" i="5"/>
  <c r="H922" i="5"/>
  <c r="I922" i="5"/>
  <c r="J922" i="5"/>
  <c r="K922" i="5"/>
  <c r="L922" i="5"/>
  <c r="M922" i="5"/>
  <c r="H923" i="5"/>
  <c r="I923" i="5"/>
  <c r="J923" i="5"/>
  <c r="K923" i="5"/>
  <c r="L923" i="5"/>
  <c r="M923" i="5"/>
  <c r="H924" i="5"/>
  <c r="I924" i="5"/>
  <c r="J924" i="5"/>
  <c r="K924" i="5"/>
  <c r="L924" i="5"/>
  <c r="M924" i="5"/>
  <c r="H925" i="5"/>
  <c r="I925" i="5"/>
  <c r="J925" i="5"/>
  <c r="K925" i="5"/>
  <c r="L925" i="5"/>
  <c r="M925" i="5"/>
  <c r="H926" i="5"/>
  <c r="I926" i="5"/>
  <c r="J926" i="5"/>
  <c r="K926" i="5"/>
  <c r="L926" i="5"/>
  <c r="M926" i="5"/>
  <c r="H927" i="5"/>
  <c r="I927" i="5"/>
  <c r="J927" i="5"/>
  <c r="K927" i="5"/>
  <c r="L927" i="5"/>
  <c r="M927" i="5"/>
  <c r="H928" i="5"/>
  <c r="I928" i="5"/>
  <c r="J928" i="5"/>
  <c r="K928" i="5"/>
  <c r="L928" i="5"/>
  <c r="M928" i="5"/>
  <c r="H929" i="5"/>
  <c r="I929" i="5"/>
  <c r="J929" i="5"/>
  <c r="K929" i="5"/>
  <c r="L929" i="5"/>
  <c r="M929" i="5"/>
  <c r="H930" i="5"/>
  <c r="I930" i="5"/>
  <c r="J930" i="5"/>
  <c r="K930" i="5"/>
  <c r="L930" i="5"/>
  <c r="M930" i="5"/>
  <c r="H931" i="5"/>
  <c r="I931" i="5"/>
  <c r="J931" i="5"/>
  <c r="K931" i="5"/>
  <c r="L931" i="5"/>
  <c r="M931" i="5"/>
  <c r="H932" i="5"/>
  <c r="I932" i="5"/>
  <c r="J932" i="5"/>
  <c r="K932" i="5"/>
  <c r="L932" i="5"/>
  <c r="M932" i="5"/>
  <c r="H933" i="5"/>
  <c r="I933" i="5"/>
  <c r="J933" i="5"/>
  <c r="K933" i="5"/>
  <c r="L933" i="5"/>
  <c r="M933" i="5"/>
  <c r="H934" i="5"/>
  <c r="I934" i="5"/>
  <c r="J934" i="5"/>
  <c r="K934" i="5"/>
  <c r="L934" i="5"/>
  <c r="M934" i="5"/>
  <c r="H935" i="5"/>
  <c r="I935" i="5"/>
  <c r="J935" i="5"/>
  <c r="K935" i="5"/>
  <c r="L935" i="5"/>
  <c r="M935" i="5"/>
  <c r="H936" i="5"/>
  <c r="I936" i="5"/>
  <c r="J936" i="5"/>
  <c r="K936" i="5"/>
  <c r="L936" i="5"/>
  <c r="M936" i="5"/>
  <c r="H937" i="5"/>
  <c r="I937" i="5"/>
  <c r="J937" i="5"/>
  <c r="K937" i="5"/>
  <c r="L937" i="5"/>
  <c r="M937" i="5"/>
  <c r="H938" i="5"/>
  <c r="I938" i="5"/>
  <c r="J938" i="5"/>
  <c r="K938" i="5"/>
  <c r="L938" i="5"/>
  <c r="M938" i="5"/>
  <c r="H939" i="5"/>
  <c r="I939" i="5"/>
  <c r="J939" i="5"/>
  <c r="K939" i="5"/>
  <c r="L939" i="5"/>
  <c r="M939" i="5"/>
  <c r="H940" i="5"/>
  <c r="I940" i="5"/>
  <c r="J940" i="5"/>
  <c r="K940" i="5"/>
  <c r="L940" i="5"/>
  <c r="M940" i="5"/>
  <c r="H941" i="5"/>
  <c r="I941" i="5"/>
  <c r="J941" i="5"/>
  <c r="K941" i="5"/>
  <c r="L941" i="5"/>
  <c r="M941" i="5"/>
  <c r="H942" i="5"/>
  <c r="I942" i="5"/>
  <c r="J942" i="5"/>
  <c r="K942" i="5"/>
  <c r="L942" i="5"/>
  <c r="M942" i="5"/>
  <c r="H943" i="5"/>
  <c r="I943" i="5"/>
  <c r="J943" i="5"/>
  <c r="K943" i="5"/>
  <c r="L943" i="5"/>
  <c r="M943" i="5"/>
  <c r="H944" i="5"/>
  <c r="I944" i="5"/>
  <c r="J944" i="5"/>
  <c r="K944" i="5"/>
  <c r="L944" i="5"/>
  <c r="M944" i="5"/>
  <c r="H945" i="5"/>
  <c r="I945" i="5"/>
  <c r="J945" i="5"/>
  <c r="K945" i="5"/>
  <c r="L945" i="5"/>
  <c r="M945" i="5"/>
  <c r="H946" i="5"/>
  <c r="I946" i="5"/>
  <c r="J946" i="5"/>
  <c r="K946" i="5"/>
  <c r="L946" i="5"/>
  <c r="M946" i="5"/>
  <c r="H947" i="5"/>
  <c r="I947" i="5"/>
  <c r="J947" i="5"/>
  <c r="K947" i="5"/>
  <c r="L947" i="5"/>
  <c r="M947" i="5"/>
  <c r="H948" i="5"/>
  <c r="I948" i="5"/>
  <c r="J948" i="5"/>
  <c r="K948" i="5"/>
  <c r="L948" i="5"/>
  <c r="M948" i="5"/>
  <c r="H949" i="5"/>
  <c r="I949" i="5"/>
  <c r="J949" i="5"/>
  <c r="K949" i="5"/>
  <c r="L949" i="5"/>
  <c r="M949" i="5"/>
  <c r="H950" i="5"/>
  <c r="I950" i="5"/>
  <c r="J950" i="5"/>
  <c r="K950" i="5"/>
  <c r="L950" i="5"/>
  <c r="M950" i="5"/>
  <c r="H951" i="5"/>
  <c r="I951" i="5"/>
  <c r="J951" i="5"/>
  <c r="K951" i="5"/>
  <c r="L951" i="5"/>
  <c r="M951" i="5"/>
  <c r="H952" i="5"/>
  <c r="I952" i="5"/>
  <c r="J952" i="5"/>
  <c r="K952" i="5"/>
  <c r="L952" i="5"/>
  <c r="M952" i="5"/>
  <c r="H953" i="5"/>
  <c r="I953" i="5"/>
  <c r="J953" i="5"/>
  <c r="K953" i="5"/>
  <c r="L953" i="5"/>
  <c r="M953" i="5"/>
  <c r="H954" i="5"/>
  <c r="I954" i="5"/>
  <c r="J954" i="5"/>
  <c r="K954" i="5"/>
  <c r="L954" i="5"/>
  <c r="M954" i="5"/>
  <c r="H955" i="5"/>
  <c r="I955" i="5"/>
  <c r="J955" i="5"/>
  <c r="K955" i="5"/>
  <c r="L955" i="5"/>
  <c r="M955" i="5"/>
  <c r="H956" i="5"/>
  <c r="I956" i="5"/>
  <c r="J956" i="5"/>
  <c r="K956" i="5"/>
  <c r="L956" i="5"/>
  <c r="M956" i="5"/>
  <c r="H957" i="5"/>
  <c r="I957" i="5"/>
  <c r="J957" i="5"/>
  <c r="K957" i="5"/>
  <c r="L957" i="5"/>
  <c r="M957" i="5"/>
  <c r="H958" i="5"/>
  <c r="I958" i="5"/>
  <c r="J958" i="5"/>
  <c r="K958" i="5"/>
  <c r="L958" i="5"/>
  <c r="M958" i="5"/>
  <c r="H959" i="5"/>
  <c r="I959" i="5"/>
  <c r="J959" i="5"/>
  <c r="K959" i="5"/>
  <c r="L959" i="5"/>
  <c r="M959" i="5"/>
  <c r="H960" i="5"/>
  <c r="I960" i="5"/>
  <c r="J960" i="5"/>
  <c r="K960" i="5"/>
  <c r="L960" i="5"/>
  <c r="M960" i="5"/>
  <c r="H961" i="5"/>
  <c r="I961" i="5"/>
  <c r="J961" i="5"/>
  <c r="K961" i="5"/>
  <c r="L961" i="5"/>
  <c r="M961" i="5"/>
  <c r="H962" i="5"/>
  <c r="I962" i="5"/>
  <c r="J962" i="5"/>
  <c r="K962" i="5"/>
  <c r="L962" i="5"/>
  <c r="M962" i="5"/>
  <c r="H963" i="5"/>
  <c r="I963" i="5"/>
  <c r="J963" i="5"/>
  <c r="K963" i="5"/>
  <c r="L963" i="5"/>
  <c r="M963" i="5"/>
  <c r="H964" i="5"/>
  <c r="I964" i="5"/>
  <c r="J964" i="5"/>
  <c r="K964" i="5"/>
  <c r="L964" i="5"/>
  <c r="M964" i="5"/>
  <c r="H965" i="5"/>
  <c r="I965" i="5"/>
  <c r="J965" i="5"/>
  <c r="K965" i="5"/>
  <c r="L965" i="5"/>
  <c r="M965" i="5"/>
  <c r="H966" i="5"/>
  <c r="I966" i="5"/>
  <c r="J966" i="5"/>
  <c r="K966" i="5"/>
  <c r="L966" i="5"/>
  <c r="M966" i="5"/>
  <c r="H967" i="5"/>
  <c r="I967" i="5"/>
  <c r="J967" i="5"/>
  <c r="K967" i="5"/>
  <c r="L967" i="5"/>
  <c r="M967" i="5"/>
  <c r="H968" i="5"/>
  <c r="I968" i="5"/>
  <c r="J968" i="5"/>
  <c r="K968" i="5"/>
  <c r="L968" i="5"/>
  <c r="M968" i="5"/>
  <c r="H969" i="5"/>
  <c r="I969" i="5"/>
  <c r="J969" i="5"/>
  <c r="K969" i="5"/>
  <c r="L969" i="5"/>
  <c r="M969" i="5"/>
  <c r="H970" i="5"/>
  <c r="I970" i="5"/>
  <c r="J970" i="5"/>
  <c r="K970" i="5"/>
  <c r="L970" i="5"/>
  <c r="M970" i="5"/>
  <c r="H971" i="5"/>
  <c r="I971" i="5"/>
  <c r="J971" i="5"/>
  <c r="K971" i="5"/>
  <c r="L971" i="5"/>
  <c r="M971" i="5"/>
  <c r="H972" i="5"/>
  <c r="I972" i="5"/>
  <c r="J972" i="5"/>
  <c r="K972" i="5"/>
  <c r="L972" i="5"/>
  <c r="M972" i="5"/>
  <c r="H973" i="5"/>
  <c r="I973" i="5"/>
  <c r="J973" i="5"/>
  <c r="K973" i="5"/>
  <c r="L973" i="5"/>
  <c r="M973" i="5"/>
  <c r="H974" i="5"/>
  <c r="I974" i="5"/>
  <c r="J974" i="5"/>
  <c r="K974" i="5"/>
  <c r="L974" i="5"/>
  <c r="M974" i="5"/>
  <c r="H975" i="5"/>
  <c r="I975" i="5"/>
  <c r="J975" i="5"/>
  <c r="K975" i="5"/>
  <c r="L975" i="5"/>
  <c r="M975" i="5"/>
  <c r="H976" i="5"/>
  <c r="I976" i="5"/>
  <c r="J976" i="5"/>
  <c r="K976" i="5"/>
  <c r="L976" i="5"/>
  <c r="M976" i="5"/>
  <c r="H977" i="5"/>
  <c r="I977" i="5"/>
  <c r="J977" i="5"/>
  <c r="K977" i="5"/>
  <c r="L977" i="5"/>
  <c r="M977" i="5"/>
  <c r="H978" i="5"/>
  <c r="I978" i="5"/>
  <c r="J978" i="5"/>
  <c r="K978" i="5"/>
  <c r="L978" i="5"/>
  <c r="M978" i="5"/>
  <c r="H979" i="5"/>
  <c r="I979" i="5"/>
  <c r="J979" i="5"/>
  <c r="K979" i="5"/>
  <c r="L979" i="5"/>
  <c r="M979" i="5"/>
  <c r="H980" i="5"/>
  <c r="I980" i="5"/>
  <c r="J980" i="5"/>
  <c r="K980" i="5"/>
  <c r="L980" i="5"/>
  <c r="M980" i="5"/>
  <c r="H981" i="5"/>
  <c r="I981" i="5"/>
  <c r="J981" i="5"/>
  <c r="K981" i="5"/>
  <c r="L981" i="5"/>
  <c r="M981" i="5"/>
  <c r="H982" i="5"/>
  <c r="I982" i="5"/>
  <c r="J982" i="5"/>
  <c r="K982" i="5"/>
  <c r="L982" i="5"/>
  <c r="M982" i="5"/>
  <c r="H983" i="5"/>
  <c r="I983" i="5"/>
  <c r="J983" i="5"/>
  <c r="K983" i="5"/>
  <c r="L983" i="5"/>
  <c r="M983" i="5"/>
  <c r="H984" i="5"/>
  <c r="I984" i="5"/>
  <c r="J984" i="5"/>
  <c r="K984" i="5"/>
  <c r="L984" i="5"/>
  <c r="M984" i="5"/>
  <c r="H985" i="5"/>
  <c r="I985" i="5"/>
  <c r="J985" i="5"/>
  <c r="K985" i="5"/>
  <c r="L985" i="5"/>
  <c r="M985" i="5"/>
  <c r="H986" i="5"/>
  <c r="I986" i="5"/>
  <c r="J986" i="5"/>
  <c r="K986" i="5"/>
  <c r="L986" i="5"/>
  <c r="M986" i="5"/>
  <c r="H987" i="5"/>
  <c r="I987" i="5"/>
  <c r="J987" i="5"/>
  <c r="K987" i="5"/>
  <c r="L987" i="5"/>
  <c r="M987" i="5"/>
  <c r="H988" i="5"/>
  <c r="I988" i="5"/>
  <c r="J988" i="5"/>
  <c r="K988" i="5"/>
  <c r="L988" i="5"/>
  <c r="M988" i="5"/>
  <c r="H989" i="5"/>
  <c r="I989" i="5"/>
  <c r="J989" i="5"/>
  <c r="K989" i="5"/>
  <c r="L989" i="5"/>
  <c r="M989" i="5"/>
  <c r="H990" i="5"/>
  <c r="I990" i="5"/>
  <c r="J990" i="5"/>
  <c r="K990" i="5"/>
  <c r="L990" i="5"/>
  <c r="M990" i="5"/>
  <c r="H991" i="5"/>
  <c r="I991" i="5"/>
  <c r="J991" i="5"/>
  <c r="K991" i="5"/>
  <c r="L991" i="5"/>
  <c r="M991" i="5"/>
  <c r="H992" i="5"/>
  <c r="I992" i="5"/>
  <c r="J992" i="5"/>
  <c r="K992" i="5"/>
  <c r="L992" i="5"/>
  <c r="M992" i="5"/>
  <c r="H993" i="5"/>
  <c r="I993" i="5"/>
  <c r="J993" i="5"/>
  <c r="K993" i="5"/>
  <c r="L993" i="5"/>
  <c r="M993" i="5"/>
  <c r="H994" i="5"/>
  <c r="I994" i="5"/>
  <c r="J994" i="5"/>
  <c r="K994" i="5"/>
  <c r="L994" i="5"/>
  <c r="M994" i="5"/>
  <c r="H995" i="5"/>
  <c r="I995" i="5"/>
  <c r="J995" i="5"/>
  <c r="K995" i="5"/>
  <c r="L995" i="5"/>
  <c r="M995" i="5"/>
  <c r="H996" i="5"/>
  <c r="I996" i="5"/>
  <c r="J996" i="5"/>
  <c r="K996" i="5"/>
  <c r="L996" i="5"/>
  <c r="M996" i="5"/>
  <c r="H997" i="5"/>
  <c r="I997" i="5"/>
  <c r="J997" i="5"/>
  <c r="K997" i="5"/>
  <c r="L997" i="5"/>
  <c r="M997" i="5"/>
  <c r="H998" i="5"/>
  <c r="I998" i="5"/>
  <c r="J998" i="5"/>
  <c r="K998" i="5"/>
  <c r="L998" i="5"/>
  <c r="M998" i="5"/>
  <c r="H999" i="5"/>
  <c r="I999" i="5"/>
  <c r="J999" i="5"/>
  <c r="K999" i="5"/>
  <c r="L999" i="5"/>
  <c r="M999" i="5"/>
  <c r="H1000" i="5"/>
  <c r="I1000" i="5"/>
  <c r="J1000" i="5"/>
  <c r="K1000" i="5"/>
  <c r="L1000" i="5"/>
  <c r="M1000" i="5"/>
  <c r="H1001" i="5"/>
  <c r="I1001" i="5"/>
  <c r="J1001" i="5"/>
  <c r="K1001" i="5"/>
  <c r="L1001" i="5"/>
  <c r="M1001" i="5"/>
  <c r="H1002" i="5"/>
  <c r="I1002" i="5"/>
  <c r="J1002" i="5"/>
  <c r="K1002" i="5"/>
  <c r="L1002" i="5"/>
  <c r="M1002" i="5"/>
  <c r="H1003" i="5"/>
  <c r="I1003" i="5"/>
  <c r="J1003" i="5"/>
  <c r="K1003" i="5"/>
  <c r="L1003" i="5"/>
  <c r="M1003" i="5"/>
  <c r="H1004" i="5"/>
  <c r="I1004" i="5"/>
  <c r="J1004" i="5"/>
  <c r="K1004" i="5"/>
  <c r="L1004" i="5"/>
  <c r="M1004" i="5"/>
  <c r="H1005" i="5"/>
  <c r="I1005" i="5"/>
  <c r="J1005" i="5"/>
  <c r="K1005" i="5"/>
  <c r="L1005" i="5"/>
  <c r="M1005" i="5"/>
  <c r="H1006" i="5"/>
  <c r="I1006" i="5"/>
  <c r="J1006" i="5"/>
  <c r="K1006" i="5"/>
  <c r="L1006" i="5"/>
  <c r="M1006" i="5"/>
  <c r="H1007" i="5"/>
  <c r="I1007" i="5"/>
  <c r="J1007" i="5"/>
  <c r="K1007" i="5"/>
  <c r="L1007" i="5"/>
  <c r="M1007" i="5"/>
  <c r="H1008" i="5"/>
  <c r="I1008" i="5"/>
  <c r="J1008" i="5"/>
  <c r="K1008" i="5"/>
  <c r="L1008" i="5"/>
  <c r="M1008" i="5"/>
  <c r="H1009" i="5"/>
  <c r="I1009" i="5"/>
  <c r="J1009" i="5"/>
  <c r="K1009" i="5"/>
  <c r="L1009" i="5"/>
  <c r="M1009" i="5"/>
  <c r="H1010" i="5"/>
  <c r="I1010" i="5"/>
  <c r="J1010" i="5"/>
  <c r="K1010" i="5"/>
  <c r="L1010" i="5"/>
  <c r="M1010" i="5"/>
  <c r="H1011" i="5"/>
  <c r="I1011" i="5"/>
  <c r="J1011" i="5"/>
  <c r="K1011" i="5"/>
  <c r="L1011" i="5"/>
  <c r="M1011" i="5"/>
  <c r="H1012" i="5"/>
  <c r="I1012" i="5"/>
  <c r="J1012" i="5"/>
  <c r="K1012" i="5"/>
  <c r="L1012" i="5"/>
  <c r="M1012" i="5"/>
  <c r="H1013" i="5"/>
  <c r="I1013" i="5"/>
  <c r="J1013" i="5"/>
  <c r="K1013" i="5"/>
  <c r="L1013" i="5"/>
  <c r="M1013" i="5"/>
  <c r="H1014" i="5"/>
  <c r="I1014" i="5"/>
  <c r="J1014" i="5"/>
  <c r="K1014" i="5"/>
  <c r="L1014" i="5"/>
  <c r="M1014" i="5"/>
  <c r="H1015" i="5"/>
  <c r="I1015" i="5"/>
  <c r="J1015" i="5"/>
  <c r="K1015" i="5"/>
  <c r="L1015" i="5"/>
  <c r="M1015" i="5"/>
  <c r="H1016" i="5"/>
  <c r="I1016" i="5"/>
  <c r="J1016" i="5"/>
  <c r="K1016" i="5"/>
  <c r="L1016" i="5"/>
  <c r="M1016" i="5"/>
  <c r="H1017" i="5"/>
  <c r="I1017" i="5"/>
  <c r="J1017" i="5"/>
  <c r="K1017" i="5"/>
  <c r="L1017" i="5"/>
  <c r="M1017" i="5"/>
  <c r="H1018" i="5"/>
  <c r="I1018" i="5"/>
  <c r="J1018" i="5"/>
  <c r="K1018" i="5"/>
  <c r="L1018" i="5"/>
  <c r="M1018" i="5"/>
  <c r="H1019" i="5"/>
  <c r="I1019" i="5"/>
  <c r="J1019" i="5"/>
  <c r="K1019" i="5"/>
  <c r="L1019" i="5"/>
  <c r="M1019" i="5"/>
  <c r="H1020" i="5"/>
  <c r="I1020" i="5"/>
  <c r="J1020" i="5"/>
  <c r="K1020" i="5"/>
  <c r="L1020" i="5"/>
  <c r="M1020" i="5"/>
  <c r="H1021" i="5"/>
  <c r="I1021" i="5"/>
  <c r="J1021" i="5"/>
  <c r="K1021" i="5"/>
  <c r="L1021" i="5"/>
  <c r="M1021" i="5"/>
  <c r="H1022" i="5"/>
  <c r="I1022" i="5"/>
  <c r="J1022" i="5"/>
  <c r="K1022" i="5"/>
  <c r="L1022" i="5"/>
  <c r="M1022" i="5"/>
  <c r="H1023" i="5"/>
  <c r="I1023" i="5"/>
  <c r="J1023" i="5"/>
  <c r="K1023" i="5"/>
  <c r="L1023" i="5"/>
  <c r="M1023" i="5"/>
  <c r="H1024" i="5"/>
  <c r="I1024" i="5"/>
  <c r="J1024" i="5"/>
  <c r="K1024" i="5"/>
  <c r="L1024" i="5"/>
  <c r="M1024" i="5"/>
  <c r="H1025" i="5"/>
  <c r="I1025" i="5"/>
  <c r="J1025" i="5"/>
  <c r="K1025" i="5"/>
  <c r="L1025" i="5"/>
  <c r="M1025" i="5"/>
  <c r="H1026" i="5"/>
  <c r="I1026" i="5"/>
  <c r="J1026" i="5"/>
  <c r="K1026" i="5"/>
  <c r="L1026" i="5"/>
  <c r="M1026" i="5"/>
  <c r="H1027" i="5"/>
  <c r="I1027" i="5"/>
  <c r="J1027" i="5"/>
  <c r="K1027" i="5"/>
  <c r="L1027" i="5"/>
  <c r="M1027" i="5"/>
  <c r="H1028" i="5"/>
  <c r="I1028" i="5"/>
  <c r="J1028" i="5"/>
  <c r="K1028" i="5"/>
  <c r="L1028" i="5"/>
  <c r="M1028" i="5"/>
  <c r="H1029" i="5"/>
  <c r="I1029" i="5"/>
  <c r="J1029" i="5"/>
  <c r="K1029" i="5"/>
  <c r="L1029" i="5"/>
  <c r="M1029" i="5"/>
  <c r="H1030" i="5"/>
  <c r="I1030" i="5"/>
  <c r="J1030" i="5"/>
  <c r="K1030" i="5"/>
  <c r="L1030" i="5"/>
  <c r="M1030" i="5"/>
  <c r="H1031" i="5"/>
  <c r="I1031" i="5"/>
  <c r="J1031" i="5"/>
  <c r="K1031" i="5"/>
  <c r="L1031" i="5"/>
  <c r="M1031" i="5"/>
  <c r="H1032" i="5"/>
  <c r="I1032" i="5"/>
  <c r="J1032" i="5"/>
  <c r="K1032" i="5"/>
  <c r="L1032" i="5"/>
  <c r="M1032" i="5"/>
  <c r="H1033" i="5"/>
  <c r="I1033" i="5"/>
  <c r="J1033" i="5"/>
  <c r="K1033" i="5"/>
  <c r="L1033" i="5"/>
  <c r="M1033" i="5"/>
  <c r="H1034" i="5"/>
  <c r="I1034" i="5"/>
  <c r="J1034" i="5"/>
  <c r="K1034" i="5"/>
  <c r="L1034" i="5"/>
  <c r="M1034" i="5"/>
  <c r="H1035" i="5"/>
  <c r="I1035" i="5"/>
  <c r="J1035" i="5"/>
  <c r="K1035" i="5"/>
  <c r="L1035" i="5"/>
  <c r="M1035" i="5"/>
  <c r="H1036" i="5"/>
  <c r="I1036" i="5"/>
  <c r="J1036" i="5"/>
  <c r="K1036" i="5"/>
  <c r="L1036" i="5"/>
  <c r="M1036" i="5"/>
  <c r="H1037" i="5"/>
  <c r="I1037" i="5"/>
  <c r="J1037" i="5"/>
  <c r="K1037" i="5"/>
  <c r="L1037" i="5"/>
  <c r="M1037" i="5"/>
  <c r="H1038" i="5"/>
  <c r="I1038" i="5"/>
  <c r="J1038" i="5"/>
  <c r="K1038" i="5"/>
  <c r="L1038" i="5"/>
  <c r="M1038" i="5"/>
  <c r="H1039" i="5"/>
  <c r="I1039" i="5"/>
  <c r="J1039" i="5"/>
  <c r="K1039" i="5"/>
  <c r="L1039" i="5"/>
  <c r="M1039" i="5"/>
  <c r="H1040" i="5"/>
  <c r="I1040" i="5"/>
  <c r="J1040" i="5"/>
  <c r="K1040" i="5"/>
  <c r="L1040" i="5"/>
  <c r="M1040" i="5"/>
  <c r="H1041" i="5"/>
  <c r="I1041" i="5"/>
  <c r="J1041" i="5"/>
  <c r="K1041" i="5"/>
  <c r="L1041" i="5"/>
  <c r="M1041" i="5"/>
  <c r="H1042" i="5"/>
  <c r="I1042" i="5"/>
  <c r="J1042" i="5"/>
  <c r="K1042" i="5"/>
  <c r="L1042" i="5"/>
  <c r="M1042" i="5"/>
  <c r="H1043" i="5"/>
  <c r="I1043" i="5"/>
  <c r="J1043" i="5"/>
  <c r="K1043" i="5"/>
  <c r="L1043" i="5"/>
  <c r="M1043" i="5"/>
  <c r="H1044" i="5"/>
  <c r="I1044" i="5"/>
  <c r="J1044" i="5"/>
  <c r="K1044" i="5"/>
  <c r="L1044" i="5"/>
  <c r="M1044" i="5"/>
  <c r="H1045" i="5"/>
  <c r="I1045" i="5"/>
  <c r="J1045" i="5"/>
  <c r="K1045" i="5"/>
  <c r="L1045" i="5"/>
  <c r="M1045" i="5"/>
  <c r="H1046" i="5"/>
  <c r="I1046" i="5"/>
  <c r="J1046" i="5"/>
  <c r="K1046" i="5"/>
  <c r="L1046" i="5"/>
  <c r="M1046" i="5"/>
  <c r="H1047" i="5"/>
  <c r="I1047" i="5"/>
  <c r="J1047" i="5"/>
  <c r="K1047" i="5"/>
  <c r="L1047" i="5"/>
  <c r="M1047" i="5"/>
  <c r="H1048" i="5"/>
  <c r="I1048" i="5"/>
  <c r="J1048" i="5"/>
  <c r="K1048" i="5"/>
  <c r="L1048" i="5"/>
  <c r="M1048" i="5"/>
  <c r="H1049" i="5"/>
  <c r="I1049" i="5"/>
  <c r="J1049" i="5"/>
  <c r="K1049" i="5"/>
  <c r="L1049" i="5"/>
  <c r="M1049" i="5"/>
  <c r="H1050" i="5"/>
  <c r="I1050" i="5"/>
  <c r="J1050" i="5"/>
  <c r="K1050" i="5"/>
  <c r="L1050" i="5"/>
  <c r="M1050" i="5"/>
  <c r="H1051" i="5"/>
  <c r="I1051" i="5"/>
  <c r="J1051" i="5"/>
  <c r="K1051" i="5"/>
  <c r="L1051" i="5"/>
  <c r="M1051" i="5"/>
  <c r="H1052" i="5"/>
  <c r="I1052" i="5"/>
  <c r="J1052" i="5"/>
  <c r="K1052" i="5"/>
  <c r="L1052" i="5"/>
  <c r="M1052" i="5"/>
  <c r="H1053" i="5"/>
  <c r="I1053" i="5"/>
  <c r="J1053" i="5"/>
  <c r="K1053" i="5"/>
  <c r="L1053" i="5"/>
  <c r="M1053" i="5"/>
  <c r="H1054" i="5"/>
  <c r="I1054" i="5"/>
  <c r="J1054" i="5"/>
  <c r="K1054" i="5"/>
  <c r="L1054" i="5"/>
  <c r="M1054" i="5"/>
  <c r="H1055" i="5"/>
  <c r="I1055" i="5"/>
  <c r="J1055" i="5"/>
  <c r="K1055" i="5"/>
  <c r="L1055" i="5"/>
  <c r="M1055" i="5"/>
  <c r="H1056" i="5"/>
  <c r="I1056" i="5"/>
  <c r="J1056" i="5"/>
  <c r="K1056" i="5"/>
  <c r="L1056" i="5"/>
  <c r="M1056" i="5"/>
  <c r="H1057" i="5"/>
  <c r="I1057" i="5"/>
  <c r="J1057" i="5"/>
  <c r="K1057" i="5"/>
  <c r="L1057" i="5"/>
  <c r="M1057" i="5"/>
  <c r="H1058" i="5"/>
  <c r="I1058" i="5"/>
  <c r="J1058" i="5"/>
  <c r="K1058" i="5"/>
  <c r="L1058" i="5"/>
  <c r="M1058" i="5"/>
  <c r="H1059" i="5"/>
  <c r="I1059" i="5"/>
  <c r="J1059" i="5"/>
  <c r="K1059" i="5"/>
  <c r="L1059" i="5"/>
  <c r="M1059" i="5"/>
  <c r="H1060" i="5"/>
  <c r="I1060" i="5"/>
  <c r="J1060" i="5"/>
  <c r="K1060" i="5"/>
  <c r="L1060" i="5"/>
  <c r="M1060" i="5"/>
  <c r="H1061" i="5"/>
  <c r="I1061" i="5"/>
  <c r="J1061" i="5"/>
  <c r="K1061" i="5"/>
  <c r="L1061" i="5"/>
  <c r="M1061" i="5"/>
  <c r="H1062" i="5"/>
  <c r="I1062" i="5"/>
  <c r="J1062" i="5"/>
  <c r="K1062" i="5"/>
  <c r="L1062" i="5"/>
  <c r="M1062" i="5"/>
  <c r="H1063" i="5"/>
  <c r="I1063" i="5"/>
  <c r="J1063" i="5"/>
  <c r="K1063" i="5"/>
  <c r="L1063" i="5"/>
  <c r="M1063" i="5"/>
  <c r="H1064" i="5"/>
  <c r="I1064" i="5"/>
  <c r="J1064" i="5"/>
  <c r="K1064" i="5"/>
  <c r="L1064" i="5"/>
  <c r="M1064" i="5"/>
  <c r="H1065" i="5"/>
  <c r="I1065" i="5"/>
  <c r="J1065" i="5"/>
  <c r="K1065" i="5"/>
  <c r="L1065" i="5"/>
  <c r="M1065" i="5"/>
  <c r="H1066" i="5"/>
  <c r="I1066" i="5"/>
  <c r="J1066" i="5"/>
  <c r="K1066" i="5"/>
  <c r="L1066" i="5"/>
  <c r="M1066" i="5"/>
  <c r="H1067" i="5"/>
  <c r="I1067" i="5"/>
  <c r="J1067" i="5"/>
  <c r="K1067" i="5"/>
  <c r="L1067" i="5"/>
  <c r="M1067" i="5"/>
  <c r="H1068" i="5"/>
  <c r="I1068" i="5"/>
  <c r="J1068" i="5"/>
  <c r="K1068" i="5"/>
  <c r="L1068" i="5"/>
  <c r="M1068" i="5"/>
  <c r="H1069" i="5"/>
  <c r="I1069" i="5"/>
  <c r="J1069" i="5"/>
  <c r="K1069" i="5"/>
  <c r="L1069" i="5"/>
  <c r="M1069" i="5"/>
  <c r="H1070" i="5"/>
  <c r="I1070" i="5"/>
  <c r="J1070" i="5"/>
  <c r="K1070" i="5"/>
  <c r="L1070" i="5"/>
  <c r="M1070" i="5"/>
  <c r="H1071" i="5"/>
  <c r="I1071" i="5"/>
  <c r="J1071" i="5"/>
  <c r="K1071" i="5"/>
  <c r="L1071" i="5"/>
  <c r="M1071" i="5"/>
  <c r="H1072" i="5"/>
  <c r="I1072" i="5"/>
  <c r="J1072" i="5"/>
  <c r="K1072" i="5"/>
  <c r="L1072" i="5"/>
  <c r="M1072" i="5"/>
  <c r="H1073" i="5"/>
  <c r="I1073" i="5"/>
  <c r="J1073" i="5"/>
  <c r="K1073" i="5"/>
  <c r="L1073" i="5"/>
  <c r="M1073" i="5"/>
  <c r="H1074" i="5"/>
  <c r="I1074" i="5"/>
  <c r="J1074" i="5"/>
  <c r="K1074" i="5"/>
  <c r="L1074" i="5"/>
  <c r="M1074" i="5"/>
  <c r="H1075" i="5"/>
  <c r="I1075" i="5"/>
  <c r="J1075" i="5"/>
  <c r="K1075" i="5"/>
  <c r="L1075" i="5"/>
  <c r="M1075" i="5"/>
  <c r="H1076" i="5"/>
  <c r="I1076" i="5"/>
  <c r="J1076" i="5"/>
  <c r="K1076" i="5"/>
  <c r="L1076" i="5"/>
  <c r="M1076" i="5"/>
  <c r="H1077" i="5"/>
  <c r="I1077" i="5"/>
  <c r="J1077" i="5"/>
  <c r="K1077" i="5"/>
  <c r="L1077" i="5"/>
  <c r="M1077" i="5"/>
  <c r="H1078" i="5"/>
  <c r="I1078" i="5"/>
  <c r="J1078" i="5"/>
  <c r="K1078" i="5"/>
  <c r="L1078" i="5"/>
  <c r="M1078" i="5"/>
  <c r="H1079" i="5"/>
  <c r="I1079" i="5"/>
  <c r="J1079" i="5"/>
  <c r="K1079" i="5"/>
  <c r="L1079" i="5"/>
  <c r="M1079" i="5"/>
  <c r="H1080" i="5"/>
  <c r="I1080" i="5"/>
  <c r="J1080" i="5"/>
  <c r="K1080" i="5"/>
  <c r="L1080" i="5"/>
  <c r="M1080" i="5"/>
  <c r="H1081" i="5"/>
  <c r="I1081" i="5"/>
  <c r="J1081" i="5"/>
  <c r="K1081" i="5"/>
  <c r="L1081" i="5"/>
  <c r="M1081" i="5"/>
  <c r="H1082" i="5"/>
  <c r="I1082" i="5"/>
  <c r="J1082" i="5"/>
  <c r="K1082" i="5"/>
  <c r="L1082" i="5"/>
  <c r="M1082" i="5"/>
  <c r="H1083" i="5"/>
  <c r="I1083" i="5"/>
  <c r="J1083" i="5"/>
  <c r="K1083" i="5"/>
  <c r="L1083" i="5"/>
  <c r="M1083" i="5"/>
  <c r="H1084" i="5"/>
  <c r="I1084" i="5"/>
  <c r="J1084" i="5"/>
  <c r="K1084" i="5"/>
  <c r="L1084" i="5"/>
  <c r="M1084" i="5"/>
  <c r="H1085" i="5"/>
  <c r="I1085" i="5"/>
  <c r="J1085" i="5"/>
  <c r="K1085" i="5"/>
  <c r="L1085" i="5"/>
  <c r="M1085" i="5"/>
  <c r="H1086" i="5"/>
  <c r="I1086" i="5"/>
  <c r="J1086" i="5"/>
  <c r="K1086" i="5"/>
  <c r="L1086" i="5"/>
  <c r="M1086" i="5"/>
  <c r="H1087" i="5"/>
  <c r="I1087" i="5"/>
  <c r="J1087" i="5"/>
  <c r="K1087" i="5"/>
  <c r="L1087" i="5"/>
  <c r="M1087" i="5"/>
  <c r="H1088" i="5"/>
  <c r="I1088" i="5"/>
  <c r="J1088" i="5"/>
  <c r="K1088" i="5"/>
  <c r="L1088" i="5"/>
  <c r="M1088" i="5"/>
  <c r="H1089" i="5"/>
  <c r="I1089" i="5"/>
  <c r="J1089" i="5"/>
  <c r="K1089" i="5"/>
  <c r="L1089" i="5"/>
  <c r="M1089" i="5"/>
  <c r="H1090" i="5"/>
  <c r="I1090" i="5"/>
  <c r="J1090" i="5"/>
  <c r="K1090" i="5"/>
  <c r="L1090" i="5"/>
  <c r="M1090" i="5"/>
  <c r="H1091" i="5"/>
  <c r="I1091" i="5"/>
  <c r="J1091" i="5"/>
  <c r="K1091" i="5"/>
  <c r="L1091" i="5"/>
  <c r="M1091" i="5"/>
  <c r="H1092" i="5"/>
  <c r="I1092" i="5"/>
  <c r="J1092" i="5"/>
  <c r="K1092" i="5"/>
  <c r="L1092" i="5"/>
  <c r="M1092" i="5"/>
  <c r="H1093" i="5"/>
  <c r="I1093" i="5"/>
  <c r="J1093" i="5"/>
  <c r="K1093" i="5"/>
  <c r="L1093" i="5"/>
  <c r="M1093" i="5"/>
  <c r="H1094" i="5"/>
  <c r="I1094" i="5"/>
  <c r="J1094" i="5"/>
  <c r="K1094" i="5"/>
  <c r="L1094" i="5"/>
  <c r="M1094" i="5"/>
  <c r="H1095" i="5"/>
  <c r="I1095" i="5"/>
  <c r="J1095" i="5"/>
  <c r="K1095" i="5"/>
  <c r="L1095" i="5"/>
  <c r="M1095" i="5"/>
  <c r="H1096" i="5"/>
  <c r="I1096" i="5"/>
  <c r="J1096" i="5"/>
  <c r="K1096" i="5"/>
  <c r="L1096" i="5"/>
  <c r="M1096" i="5"/>
  <c r="H1097" i="5"/>
  <c r="I1097" i="5"/>
  <c r="J1097" i="5"/>
  <c r="K1097" i="5"/>
  <c r="L1097" i="5"/>
  <c r="M1097" i="5"/>
  <c r="H1098" i="5"/>
  <c r="I1098" i="5"/>
  <c r="J1098" i="5"/>
  <c r="K1098" i="5"/>
  <c r="L1098" i="5"/>
  <c r="M1098" i="5"/>
  <c r="H1099" i="5"/>
  <c r="I1099" i="5"/>
  <c r="J1099" i="5"/>
  <c r="K1099" i="5"/>
  <c r="L1099" i="5"/>
  <c r="M1099" i="5"/>
  <c r="H1100" i="5"/>
  <c r="I1100" i="5"/>
  <c r="J1100" i="5"/>
  <c r="K1100" i="5"/>
  <c r="L1100" i="5"/>
  <c r="M1100" i="5"/>
  <c r="H1101" i="5"/>
  <c r="I1101" i="5"/>
  <c r="J1101" i="5"/>
  <c r="K1101" i="5"/>
  <c r="L1101" i="5"/>
  <c r="M1101" i="5"/>
  <c r="H1102" i="5"/>
  <c r="I1102" i="5"/>
  <c r="J1102" i="5"/>
  <c r="K1102" i="5"/>
  <c r="L1102" i="5"/>
  <c r="M1102" i="5"/>
  <c r="H1103" i="5"/>
  <c r="I1103" i="5"/>
  <c r="J1103" i="5"/>
  <c r="K1103" i="5"/>
  <c r="L1103" i="5"/>
  <c r="M1103" i="5"/>
  <c r="H1104" i="5"/>
  <c r="I1104" i="5"/>
  <c r="J1104" i="5"/>
  <c r="K1104" i="5"/>
  <c r="L1104" i="5"/>
  <c r="M1104" i="5"/>
  <c r="H1105" i="5"/>
  <c r="I1105" i="5"/>
  <c r="J1105" i="5"/>
  <c r="K1105" i="5"/>
  <c r="L1105" i="5"/>
  <c r="M1105" i="5"/>
  <c r="H1106" i="5"/>
  <c r="I1106" i="5"/>
  <c r="J1106" i="5"/>
  <c r="K1106" i="5"/>
  <c r="L1106" i="5"/>
  <c r="M1106" i="5"/>
  <c r="H1107" i="5"/>
  <c r="I1107" i="5"/>
  <c r="J1107" i="5"/>
  <c r="K1107" i="5"/>
  <c r="L1107" i="5"/>
  <c r="M1107" i="5"/>
  <c r="H1108" i="5"/>
  <c r="I1108" i="5"/>
  <c r="J1108" i="5"/>
  <c r="K1108" i="5"/>
  <c r="L1108" i="5"/>
  <c r="M1108" i="5"/>
  <c r="H1109" i="5"/>
  <c r="I1109" i="5"/>
  <c r="J1109" i="5"/>
  <c r="K1109" i="5"/>
  <c r="L1109" i="5"/>
  <c r="M1109" i="5"/>
  <c r="H1110" i="5"/>
  <c r="I1110" i="5"/>
  <c r="J1110" i="5"/>
  <c r="K1110" i="5"/>
  <c r="L1110" i="5"/>
  <c r="M1110" i="5"/>
  <c r="H1111" i="5"/>
  <c r="I1111" i="5"/>
  <c r="J1111" i="5"/>
  <c r="K1111" i="5"/>
  <c r="L1111" i="5"/>
  <c r="M1111" i="5"/>
  <c r="H1112" i="5"/>
  <c r="I1112" i="5"/>
  <c r="J1112" i="5"/>
  <c r="K1112" i="5"/>
  <c r="L1112" i="5"/>
  <c r="M1112" i="5"/>
  <c r="H1113" i="5"/>
  <c r="I1113" i="5"/>
  <c r="J1113" i="5"/>
  <c r="K1113" i="5"/>
  <c r="L1113" i="5"/>
  <c r="M1113" i="5"/>
  <c r="H1114" i="5"/>
  <c r="I1114" i="5"/>
  <c r="J1114" i="5"/>
  <c r="K1114" i="5"/>
  <c r="L1114" i="5"/>
  <c r="M1114" i="5"/>
  <c r="H1115" i="5"/>
  <c r="I1115" i="5"/>
  <c r="J1115" i="5"/>
  <c r="K1115" i="5"/>
  <c r="L1115" i="5"/>
  <c r="M1115" i="5"/>
  <c r="H1116" i="5"/>
  <c r="I1116" i="5"/>
  <c r="J1116" i="5"/>
  <c r="K1116" i="5"/>
  <c r="L1116" i="5"/>
  <c r="M1116" i="5"/>
  <c r="H1117" i="5"/>
  <c r="I1117" i="5"/>
  <c r="J1117" i="5"/>
  <c r="K1117" i="5"/>
  <c r="L1117" i="5"/>
  <c r="M1117" i="5"/>
  <c r="H1118" i="5"/>
  <c r="I1118" i="5"/>
  <c r="J1118" i="5"/>
  <c r="K1118" i="5"/>
  <c r="L1118" i="5"/>
  <c r="M1118" i="5"/>
  <c r="H1119" i="5"/>
  <c r="I1119" i="5"/>
  <c r="J1119" i="5"/>
  <c r="K1119" i="5"/>
  <c r="L1119" i="5"/>
  <c r="M1119" i="5"/>
  <c r="H1120" i="5"/>
  <c r="I1120" i="5"/>
  <c r="J1120" i="5"/>
  <c r="K1120" i="5"/>
  <c r="L1120" i="5"/>
  <c r="M1120" i="5"/>
  <c r="H1121" i="5"/>
  <c r="I1121" i="5"/>
  <c r="J1121" i="5"/>
  <c r="K1121" i="5"/>
  <c r="L1121" i="5"/>
  <c r="M1121" i="5"/>
  <c r="H1122" i="5"/>
  <c r="I1122" i="5"/>
  <c r="J1122" i="5"/>
  <c r="K1122" i="5"/>
  <c r="L1122" i="5"/>
  <c r="M1122" i="5"/>
  <c r="H1123" i="5"/>
  <c r="I1123" i="5"/>
  <c r="J1123" i="5"/>
  <c r="K1123" i="5"/>
  <c r="L1123" i="5"/>
  <c r="M1123" i="5"/>
  <c r="H1124" i="5"/>
  <c r="I1124" i="5"/>
  <c r="J1124" i="5"/>
  <c r="K1124" i="5"/>
  <c r="L1124" i="5"/>
  <c r="M1124" i="5"/>
  <c r="H1125" i="5"/>
  <c r="I1125" i="5"/>
  <c r="J1125" i="5"/>
  <c r="K1125" i="5"/>
  <c r="L1125" i="5"/>
  <c r="M1125" i="5"/>
  <c r="H1126" i="5"/>
  <c r="I1126" i="5"/>
  <c r="J1126" i="5"/>
  <c r="K1126" i="5"/>
  <c r="L1126" i="5"/>
  <c r="M1126" i="5"/>
  <c r="H1127" i="5"/>
  <c r="I1127" i="5"/>
  <c r="J1127" i="5"/>
  <c r="K1127" i="5"/>
  <c r="L1127" i="5"/>
  <c r="M1127" i="5"/>
  <c r="H1128" i="5"/>
  <c r="I1128" i="5"/>
  <c r="J1128" i="5"/>
  <c r="K1128" i="5"/>
  <c r="L1128" i="5"/>
  <c r="M1128" i="5"/>
  <c r="H1129" i="5"/>
  <c r="I1129" i="5"/>
  <c r="J1129" i="5"/>
  <c r="K1129" i="5"/>
  <c r="L1129" i="5"/>
  <c r="M1129" i="5"/>
  <c r="H1130" i="5"/>
  <c r="I1130" i="5"/>
  <c r="J1130" i="5"/>
  <c r="K1130" i="5"/>
  <c r="L1130" i="5"/>
  <c r="M1130" i="5"/>
  <c r="H1131" i="5"/>
  <c r="I1131" i="5"/>
  <c r="J1131" i="5"/>
  <c r="K1131" i="5"/>
  <c r="L1131" i="5"/>
  <c r="M1131" i="5"/>
  <c r="H1132" i="5"/>
  <c r="I1132" i="5"/>
  <c r="J1132" i="5"/>
  <c r="K1132" i="5"/>
  <c r="L1132" i="5"/>
  <c r="M1132" i="5"/>
  <c r="H1133" i="5"/>
  <c r="I1133" i="5"/>
  <c r="J1133" i="5"/>
  <c r="K1133" i="5"/>
  <c r="L1133" i="5"/>
  <c r="M1133" i="5"/>
  <c r="H1134" i="5"/>
  <c r="I1134" i="5"/>
  <c r="J1134" i="5"/>
  <c r="K1134" i="5"/>
  <c r="L1134" i="5"/>
  <c r="M1134" i="5"/>
  <c r="H1135" i="5"/>
  <c r="I1135" i="5"/>
  <c r="J1135" i="5"/>
  <c r="K1135" i="5"/>
  <c r="L1135" i="5"/>
  <c r="M1135" i="5"/>
  <c r="H1136" i="5"/>
  <c r="I1136" i="5"/>
  <c r="J1136" i="5"/>
  <c r="K1136" i="5"/>
  <c r="L1136" i="5"/>
  <c r="M1136" i="5"/>
  <c r="H1137" i="5"/>
  <c r="I1137" i="5"/>
  <c r="J1137" i="5"/>
  <c r="K1137" i="5"/>
  <c r="L1137" i="5"/>
  <c r="M1137" i="5"/>
  <c r="H1138" i="5"/>
  <c r="I1138" i="5"/>
  <c r="J1138" i="5"/>
  <c r="K1138" i="5"/>
  <c r="L1138" i="5"/>
  <c r="M1138" i="5"/>
  <c r="H1139" i="5"/>
  <c r="I1139" i="5"/>
  <c r="J1139" i="5"/>
  <c r="K1139" i="5"/>
  <c r="L1139" i="5"/>
  <c r="M1139" i="5"/>
  <c r="H1140" i="5"/>
  <c r="I1140" i="5"/>
  <c r="J1140" i="5"/>
  <c r="K1140" i="5"/>
  <c r="L1140" i="5"/>
  <c r="M1140" i="5"/>
  <c r="H1141" i="5"/>
  <c r="I1141" i="5"/>
  <c r="J1141" i="5"/>
  <c r="K1141" i="5"/>
  <c r="L1141" i="5"/>
  <c r="M1141" i="5"/>
  <c r="H1142" i="5"/>
  <c r="I1142" i="5"/>
  <c r="J1142" i="5"/>
  <c r="K1142" i="5"/>
  <c r="L1142" i="5"/>
  <c r="M1142" i="5"/>
  <c r="H1143" i="5"/>
  <c r="I1143" i="5"/>
  <c r="J1143" i="5"/>
  <c r="K1143" i="5"/>
  <c r="L1143" i="5"/>
  <c r="M1143" i="5"/>
  <c r="H1144" i="5"/>
  <c r="I1144" i="5"/>
  <c r="J1144" i="5"/>
  <c r="K1144" i="5"/>
  <c r="L1144" i="5"/>
  <c r="M1144" i="5"/>
  <c r="H1145" i="5"/>
  <c r="I1145" i="5"/>
  <c r="J1145" i="5"/>
  <c r="K1145" i="5"/>
  <c r="L1145" i="5"/>
  <c r="M1145" i="5"/>
  <c r="H1146" i="5"/>
  <c r="I1146" i="5"/>
  <c r="J1146" i="5"/>
  <c r="K1146" i="5"/>
  <c r="L1146" i="5"/>
  <c r="M1146" i="5"/>
  <c r="H1147" i="5"/>
  <c r="I1147" i="5"/>
  <c r="J1147" i="5"/>
  <c r="K1147" i="5"/>
  <c r="L1147" i="5"/>
  <c r="M1147" i="5"/>
  <c r="H1148" i="5"/>
  <c r="I1148" i="5"/>
  <c r="J1148" i="5"/>
  <c r="K1148" i="5"/>
  <c r="L1148" i="5"/>
  <c r="M1148" i="5"/>
  <c r="H1149" i="5"/>
  <c r="I1149" i="5"/>
  <c r="J1149" i="5"/>
  <c r="K1149" i="5"/>
  <c r="L1149" i="5"/>
  <c r="M1149" i="5"/>
  <c r="H1150" i="5"/>
  <c r="I1150" i="5"/>
  <c r="J1150" i="5"/>
  <c r="K1150" i="5"/>
  <c r="L1150" i="5"/>
  <c r="M1150" i="5"/>
  <c r="H1151" i="5"/>
  <c r="I1151" i="5"/>
  <c r="J1151" i="5"/>
  <c r="K1151" i="5"/>
  <c r="L1151" i="5"/>
  <c r="M1151" i="5"/>
  <c r="H1152" i="5"/>
  <c r="I1152" i="5"/>
  <c r="J1152" i="5"/>
  <c r="K1152" i="5"/>
  <c r="L1152" i="5"/>
  <c r="M1152" i="5"/>
  <c r="H1153" i="5"/>
  <c r="I1153" i="5"/>
  <c r="J1153" i="5"/>
  <c r="K1153" i="5"/>
  <c r="L1153" i="5"/>
  <c r="M1153" i="5"/>
  <c r="H1154" i="5"/>
  <c r="I1154" i="5"/>
  <c r="J1154" i="5"/>
  <c r="K1154" i="5"/>
  <c r="L1154" i="5"/>
  <c r="M1154" i="5"/>
  <c r="H1155" i="5"/>
  <c r="I1155" i="5"/>
  <c r="J1155" i="5"/>
  <c r="K1155" i="5"/>
  <c r="L1155" i="5"/>
  <c r="M1155" i="5"/>
  <c r="H1156" i="5"/>
  <c r="I1156" i="5"/>
  <c r="J1156" i="5"/>
  <c r="K1156" i="5"/>
  <c r="L1156" i="5"/>
  <c r="M1156" i="5"/>
  <c r="H1157" i="5"/>
  <c r="I1157" i="5"/>
  <c r="J1157" i="5"/>
  <c r="K1157" i="5"/>
  <c r="L1157" i="5"/>
  <c r="M1157" i="5"/>
  <c r="H1158" i="5"/>
  <c r="I1158" i="5"/>
  <c r="J1158" i="5"/>
  <c r="K1158" i="5"/>
  <c r="L1158" i="5"/>
  <c r="M1158" i="5"/>
  <c r="H1159" i="5"/>
  <c r="I1159" i="5"/>
  <c r="J1159" i="5"/>
  <c r="K1159" i="5"/>
  <c r="L1159" i="5"/>
  <c r="M1159" i="5"/>
  <c r="H1160" i="5"/>
  <c r="I1160" i="5"/>
  <c r="J1160" i="5"/>
  <c r="K1160" i="5"/>
  <c r="L1160" i="5"/>
  <c r="M1160" i="5"/>
  <c r="H1161" i="5"/>
  <c r="I1161" i="5"/>
  <c r="J1161" i="5"/>
  <c r="K1161" i="5"/>
  <c r="L1161" i="5"/>
  <c r="M1161" i="5"/>
  <c r="H1162" i="5"/>
  <c r="I1162" i="5"/>
  <c r="J1162" i="5"/>
  <c r="K1162" i="5"/>
  <c r="L1162" i="5"/>
  <c r="M1162" i="5"/>
  <c r="H1163" i="5"/>
  <c r="I1163" i="5"/>
  <c r="J1163" i="5"/>
  <c r="K1163" i="5"/>
  <c r="L1163" i="5"/>
  <c r="M1163" i="5"/>
  <c r="H1164" i="5"/>
  <c r="I1164" i="5"/>
  <c r="J1164" i="5"/>
  <c r="K1164" i="5"/>
  <c r="L1164" i="5"/>
  <c r="M1164" i="5"/>
  <c r="H1165" i="5"/>
  <c r="I1165" i="5"/>
  <c r="J1165" i="5"/>
  <c r="K1165" i="5"/>
  <c r="L1165" i="5"/>
  <c r="M1165" i="5"/>
  <c r="H1166" i="5"/>
  <c r="I1166" i="5"/>
  <c r="J1166" i="5"/>
  <c r="K1166" i="5"/>
  <c r="L1166" i="5"/>
  <c r="M1166" i="5"/>
  <c r="H1167" i="5"/>
  <c r="I1167" i="5"/>
  <c r="J1167" i="5"/>
  <c r="K1167" i="5"/>
  <c r="L1167" i="5"/>
  <c r="M1167" i="5"/>
  <c r="H1168" i="5"/>
  <c r="I1168" i="5"/>
  <c r="J1168" i="5"/>
  <c r="K1168" i="5"/>
  <c r="L1168" i="5"/>
  <c r="M1168" i="5"/>
  <c r="H1169" i="5"/>
  <c r="I1169" i="5"/>
  <c r="J1169" i="5"/>
  <c r="K1169" i="5"/>
  <c r="L1169" i="5"/>
  <c r="M1169" i="5"/>
  <c r="H1170" i="5"/>
  <c r="I1170" i="5"/>
  <c r="J1170" i="5"/>
  <c r="K1170" i="5"/>
  <c r="L1170" i="5"/>
  <c r="M1170" i="5"/>
  <c r="H1171" i="5"/>
  <c r="I1171" i="5"/>
  <c r="J1171" i="5"/>
  <c r="K1171" i="5"/>
  <c r="L1171" i="5"/>
  <c r="M1171" i="5"/>
  <c r="H1172" i="5"/>
  <c r="I1172" i="5"/>
  <c r="J1172" i="5"/>
  <c r="K1172" i="5"/>
  <c r="L1172" i="5"/>
  <c r="M1172" i="5"/>
  <c r="H1173" i="5"/>
  <c r="I1173" i="5"/>
  <c r="J1173" i="5"/>
  <c r="K1173" i="5"/>
  <c r="L1173" i="5"/>
  <c r="M1173" i="5"/>
  <c r="H1174" i="5"/>
  <c r="I1174" i="5"/>
  <c r="J1174" i="5"/>
  <c r="K1174" i="5"/>
  <c r="L1174" i="5"/>
  <c r="M1174" i="5"/>
  <c r="H1175" i="5"/>
  <c r="I1175" i="5"/>
  <c r="J1175" i="5"/>
  <c r="K1175" i="5"/>
  <c r="L1175" i="5"/>
  <c r="M1175" i="5"/>
  <c r="H1176" i="5"/>
  <c r="I1176" i="5"/>
  <c r="J1176" i="5"/>
  <c r="K1176" i="5"/>
  <c r="L1176" i="5"/>
  <c r="M1176" i="5"/>
  <c r="H1177" i="5"/>
  <c r="I1177" i="5"/>
  <c r="J1177" i="5"/>
  <c r="K1177" i="5"/>
  <c r="L1177" i="5"/>
  <c r="M1177" i="5"/>
  <c r="H1178" i="5"/>
  <c r="I1178" i="5"/>
  <c r="J1178" i="5"/>
  <c r="K1178" i="5"/>
  <c r="L1178" i="5"/>
  <c r="M1178" i="5"/>
  <c r="H1179" i="5"/>
  <c r="I1179" i="5"/>
  <c r="J1179" i="5"/>
  <c r="K1179" i="5"/>
  <c r="L1179" i="5"/>
  <c r="M1179" i="5"/>
  <c r="H1180" i="5"/>
  <c r="I1180" i="5"/>
  <c r="J1180" i="5"/>
  <c r="K1180" i="5"/>
  <c r="L1180" i="5"/>
  <c r="M1180" i="5"/>
  <c r="H1181" i="5"/>
  <c r="I1181" i="5"/>
  <c r="J1181" i="5"/>
  <c r="K1181" i="5"/>
  <c r="L1181" i="5"/>
  <c r="M1181" i="5"/>
  <c r="H1182" i="5"/>
  <c r="I1182" i="5"/>
  <c r="J1182" i="5"/>
  <c r="K1182" i="5"/>
  <c r="L1182" i="5"/>
  <c r="M1182" i="5"/>
  <c r="H1183" i="5"/>
  <c r="I1183" i="5"/>
  <c r="J1183" i="5"/>
  <c r="K1183" i="5"/>
  <c r="L1183" i="5"/>
  <c r="M1183" i="5"/>
  <c r="H1184" i="5"/>
  <c r="I1184" i="5"/>
  <c r="J1184" i="5"/>
  <c r="K1184" i="5"/>
  <c r="L1184" i="5"/>
  <c r="M1184" i="5"/>
  <c r="H1185" i="5"/>
  <c r="I1185" i="5"/>
  <c r="J1185" i="5"/>
  <c r="K1185" i="5"/>
  <c r="L1185" i="5"/>
  <c r="M1185" i="5"/>
  <c r="H1186" i="5"/>
  <c r="I1186" i="5"/>
  <c r="J1186" i="5"/>
  <c r="K1186" i="5"/>
  <c r="L1186" i="5"/>
  <c r="M1186" i="5"/>
  <c r="H1187" i="5"/>
  <c r="I1187" i="5"/>
  <c r="J1187" i="5"/>
  <c r="K1187" i="5"/>
  <c r="L1187" i="5"/>
  <c r="M1187" i="5"/>
  <c r="H1188" i="5"/>
  <c r="I1188" i="5"/>
  <c r="J1188" i="5"/>
  <c r="K1188" i="5"/>
  <c r="L1188" i="5"/>
  <c r="M1188" i="5"/>
  <c r="H1189" i="5"/>
  <c r="I1189" i="5"/>
  <c r="J1189" i="5"/>
  <c r="K1189" i="5"/>
  <c r="L1189" i="5"/>
  <c r="M1189" i="5"/>
  <c r="H1190" i="5"/>
  <c r="I1190" i="5"/>
  <c r="J1190" i="5"/>
  <c r="K1190" i="5"/>
  <c r="L1190" i="5"/>
  <c r="M1190" i="5"/>
  <c r="H1191" i="5"/>
  <c r="I1191" i="5"/>
  <c r="J1191" i="5"/>
  <c r="K1191" i="5"/>
  <c r="L1191" i="5"/>
  <c r="M1191" i="5"/>
  <c r="H1192" i="5"/>
  <c r="I1192" i="5"/>
  <c r="J1192" i="5"/>
  <c r="K1192" i="5"/>
  <c r="L1192" i="5"/>
  <c r="M1192" i="5"/>
  <c r="H1193" i="5"/>
  <c r="I1193" i="5"/>
  <c r="J1193" i="5"/>
  <c r="K1193" i="5"/>
  <c r="L1193" i="5"/>
  <c r="M1193" i="5"/>
  <c r="H1194" i="5"/>
  <c r="I1194" i="5"/>
  <c r="J1194" i="5"/>
  <c r="K1194" i="5"/>
  <c r="L1194" i="5"/>
  <c r="M1194" i="5"/>
  <c r="H1195" i="5"/>
  <c r="I1195" i="5"/>
  <c r="J1195" i="5"/>
  <c r="K1195" i="5"/>
  <c r="L1195" i="5"/>
  <c r="M1195" i="5"/>
  <c r="H1196" i="5"/>
  <c r="I1196" i="5"/>
  <c r="J1196" i="5"/>
  <c r="K1196" i="5"/>
  <c r="L1196" i="5"/>
  <c r="M1196" i="5"/>
  <c r="H1197" i="5"/>
  <c r="I1197" i="5"/>
  <c r="J1197" i="5"/>
  <c r="K1197" i="5"/>
  <c r="L1197" i="5"/>
  <c r="M1197" i="5"/>
  <c r="H1198" i="5"/>
  <c r="I1198" i="5"/>
  <c r="J1198" i="5"/>
  <c r="K1198" i="5"/>
  <c r="L1198" i="5"/>
  <c r="M1198" i="5"/>
  <c r="H1199" i="5"/>
  <c r="I1199" i="5"/>
  <c r="J1199" i="5"/>
  <c r="K1199" i="5"/>
  <c r="L1199" i="5"/>
  <c r="M1199" i="5"/>
  <c r="H1200" i="5"/>
  <c r="I1200" i="5"/>
  <c r="J1200" i="5"/>
  <c r="K1200" i="5"/>
  <c r="L1200" i="5"/>
  <c r="M1200" i="5"/>
  <c r="H1201" i="5"/>
  <c r="I1201" i="5"/>
  <c r="J1201" i="5"/>
  <c r="K1201" i="5"/>
  <c r="L1201" i="5"/>
  <c r="M1201" i="5"/>
  <c r="H1202" i="5"/>
  <c r="I1202" i="5"/>
  <c r="J1202" i="5"/>
  <c r="K1202" i="5"/>
  <c r="L1202" i="5"/>
  <c r="M1202" i="5"/>
  <c r="H1203" i="5"/>
  <c r="I1203" i="5"/>
  <c r="J1203" i="5"/>
  <c r="K1203" i="5"/>
  <c r="L1203" i="5"/>
  <c r="M1203" i="5"/>
  <c r="H1204" i="5"/>
  <c r="I1204" i="5"/>
  <c r="J1204" i="5"/>
  <c r="K1204" i="5"/>
  <c r="L1204" i="5"/>
  <c r="M1204" i="5"/>
  <c r="H1205" i="5"/>
  <c r="I1205" i="5"/>
  <c r="J1205" i="5"/>
  <c r="K1205" i="5"/>
  <c r="L1205" i="5"/>
  <c r="M1205" i="5"/>
  <c r="H1206" i="5"/>
  <c r="I1206" i="5"/>
  <c r="J1206" i="5"/>
  <c r="K1206" i="5"/>
  <c r="L1206" i="5"/>
  <c r="M1206" i="5"/>
  <c r="H1207" i="5"/>
  <c r="I1207" i="5"/>
  <c r="J1207" i="5"/>
  <c r="K1207" i="5"/>
  <c r="L1207" i="5"/>
  <c r="M1207" i="5"/>
  <c r="H1208" i="5"/>
  <c r="I1208" i="5"/>
  <c r="J1208" i="5"/>
  <c r="K1208" i="5"/>
  <c r="L1208" i="5"/>
  <c r="M1208" i="5"/>
  <c r="H1209" i="5"/>
  <c r="I1209" i="5"/>
  <c r="J1209" i="5"/>
  <c r="K1209" i="5"/>
  <c r="L1209" i="5"/>
  <c r="M1209" i="5"/>
  <c r="H1210" i="5"/>
  <c r="I1210" i="5"/>
  <c r="J1210" i="5"/>
  <c r="K1210" i="5"/>
  <c r="L1210" i="5"/>
  <c r="M1210" i="5"/>
  <c r="H1211" i="5"/>
  <c r="I1211" i="5"/>
  <c r="J1211" i="5"/>
  <c r="K1211" i="5"/>
  <c r="L1211" i="5"/>
  <c r="M1211" i="5"/>
  <c r="H1212" i="5"/>
  <c r="I1212" i="5"/>
  <c r="J1212" i="5"/>
  <c r="K1212" i="5"/>
  <c r="L1212" i="5"/>
  <c r="M1212" i="5"/>
  <c r="H1213" i="5"/>
  <c r="I1213" i="5"/>
  <c r="J1213" i="5"/>
  <c r="K1213" i="5"/>
  <c r="L1213" i="5"/>
  <c r="M1213" i="5"/>
  <c r="H1214" i="5"/>
  <c r="I1214" i="5"/>
  <c r="J1214" i="5"/>
  <c r="K1214" i="5"/>
  <c r="L1214" i="5"/>
  <c r="M1214" i="5"/>
  <c r="H1215" i="5"/>
  <c r="I1215" i="5"/>
  <c r="J1215" i="5"/>
  <c r="K1215" i="5"/>
  <c r="L1215" i="5"/>
  <c r="M1215" i="5"/>
  <c r="H1216" i="5"/>
  <c r="I1216" i="5"/>
  <c r="J1216" i="5"/>
  <c r="K1216" i="5"/>
  <c r="L1216" i="5"/>
  <c r="M1216" i="5"/>
  <c r="H1217" i="5"/>
  <c r="I1217" i="5"/>
  <c r="J1217" i="5"/>
  <c r="K1217" i="5"/>
  <c r="L1217" i="5"/>
  <c r="M1217" i="5"/>
  <c r="H1218" i="5"/>
  <c r="I1218" i="5"/>
  <c r="J1218" i="5"/>
  <c r="K1218" i="5"/>
  <c r="L1218" i="5"/>
  <c r="M1218" i="5"/>
  <c r="H1219" i="5"/>
  <c r="I1219" i="5"/>
  <c r="J1219" i="5"/>
  <c r="K1219" i="5"/>
  <c r="L1219" i="5"/>
  <c r="M1219" i="5"/>
  <c r="H1220" i="5"/>
  <c r="I1220" i="5"/>
  <c r="J1220" i="5"/>
  <c r="K1220" i="5"/>
  <c r="L1220" i="5"/>
  <c r="M1220" i="5"/>
  <c r="H1221" i="5"/>
  <c r="I1221" i="5"/>
  <c r="J1221" i="5"/>
  <c r="K1221" i="5"/>
  <c r="L1221" i="5"/>
  <c r="M1221" i="5"/>
  <c r="H1222" i="5"/>
  <c r="I1222" i="5"/>
  <c r="J1222" i="5"/>
  <c r="K1222" i="5"/>
  <c r="L1222" i="5"/>
  <c r="M1222" i="5"/>
  <c r="H1223" i="5"/>
  <c r="I1223" i="5"/>
  <c r="J1223" i="5"/>
  <c r="K1223" i="5"/>
  <c r="L1223" i="5"/>
  <c r="M1223" i="5"/>
  <c r="H1224" i="5"/>
  <c r="I1224" i="5"/>
  <c r="J1224" i="5"/>
  <c r="K1224" i="5"/>
  <c r="L1224" i="5"/>
  <c r="M1224" i="5"/>
  <c r="H1225" i="5"/>
  <c r="I1225" i="5"/>
  <c r="J1225" i="5"/>
  <c r="K1225" i="5"/>
  <c r="L1225" i="5"/>
  <c r="M1225" i="5"/>
  <c r="H1226" i="5"/>
  <c r="I1226" i="5"/>
  <c r="J1226" i="5"/>
  <c r="K1226" i="5"/>
  <c r="L1226" i="5"/>
  <c r="M1226" i="5"/>
  <c r="H1227" i="5"/>
  <c r="I1227" i="5"/>
  <c r="J1227" i="5"/>
  <c r="K1227" i="5"/>
  <c r="L1227" i="5"/>
  <c r="M1227" i="5"/>
  <c r="H1228" i="5"/>
  <c r="I1228" i="5"/>
  <c r="J1228" i="5"/>
  <c r="K1228" i="5"/>
  <c r="L1228" i="5"/>
  <c r="M1228" i="5"/>
  <c r="H1229" i="5"/>
  <c r="I1229" i="5"/>
  <c r="J1229" i="5"/>
  <c r="K1229" i="5"/>
  <c r="L1229" i="5"/>
  <c r="M1229" i="5"/>
  <c r="H1230" i="5"/>
  <c r="I1230" i="5"/>
  <c r="J1230" i="5"/>
  <c r="K1230" i="5"/>
  <c r="L1230" i="5"/>
  <c r="M1230" i="5"/>
  <c r="H1231" i="5"/>
  <c r="I1231" i="5"/>
  <c r="J1231" i="5"/>
  <c r="K1231" i="5"/>
  <c r="L1231" i="5"/>
  <c r="M1231" i="5"/>
  <c r="H1232" i="5"/>
  <c r="I1232" i="5"/>
  <c r="J1232" i="5"/>
  <c r="K1232" i="5"/>
  <c r="L1232" i="5"/>
  <c r="M1232" i="5"/>
  <c r="H1233" i="5"/>
  <c r="I1233" i="5"/>
  <c r="J1233" i="5"/>
  <c r="K1233" i="5"/>
  <c r="L1233" i="5"/>
  <c r="M1233" i="5"/>
  <c r="H1234" i="5"/>
  <c r="I1234" i="5"/>
  <c r="J1234" i="5"/>
  <c r="K1234" i="5"/>
  <c r="L1234" i="5"/>
  <c r="M1234" i="5"/>
  <c r="H1235" i="5"/>
  <c r="I1235" i="5"/>
  <c r="J1235" i="5"/>
  <c r="K1235" i="5"/>
  <c r="L1235" i="5"/>
  <c r="M1235" i="5"/>
  <c r="H1236" i="5"/>
  <c r="I1236" i="5"/>
  <c r="J1236" i="5"/>
  <c r="K1236" i="5"/>
  <c r="L1236" i="5"/>
  <c r="M1236" i="5"/>
  <c r="H1237" i="5"/>
  <c r="I1237" i="5"/>
  <c r="J1237" i="5"/>
  <c r="K1237" i="5"/>
  <c r="L1237" i="5"/>
  <c r="M1237" i="5"/>
  <c r="H1238" i="5"/>
  <c r="I1238" i="5"/>
  <c r="J1238" i="5"/>
  <c r="K1238" i="5"/>
  <c r="L1238" i="5"/>
  <c r="M1238" i="5"/>
  <c r="H1239" i="5"/>
  <c r="I1239" i="5"/>
  <c r="J1239" i="5"/>
  <c r="K1239" i="5"/>
  <c r="L1239" i="5"/>
  <c r="M1239" i="5"/>
  <c r="H1240" i="5"/>
  <c r="I1240" i="5"/>
  <c r="J1240" i="5"/>
  <c r="K1240" i="5"/>
  <c r="L1240" i="5"/>
  <c r="M1240" i="5"/>
  <c r="H1241" i="5"/>
  <c r="I1241" i="5"/>
  <c r="J1241" i="5"/>
  <c r="K1241" i="5"/>
  <c r="L1241" i="5"/>
  <c r="M1241" i="5"/>
  <c r="H1242" i="5"/>
  <c r="I1242" i="5"/>
  <c r="J1242" i="5"/>
  <c r="K1242" i="5"/>
  <c r="L1242" i="5"/>
  <c r="M1242" i="5"/>
  <c r="H1243" i="5"/>
  <c r="I1243" i="5"/>
  <c r="J1243" i="5"/>
  <c r="K1243" i="5"/>
  <c r="L1243" i="5"/>
  <c r="M1243" i="5"/>
  <c r="H1244" i="5"/>
  <c r="I1244" i="5"/>
  <c r="J1244" i="5"/>
  <c r="K1244" i="5"/>
  <c r="L1244" i="5"/>
  <c r="M1244" i="5"/>
  <c r="H1245" i="5"/>
  <c r="I1245" i="5"/>
  <c r="J1245" i="5"/>
  <c r="K1245" i="5"/>
  <c r="L1245" i="5"/>
  <c r="M1245" i="5"/>
  <c r="H1246" i="5"/>
  <c r="I1246" i="5"/>
  <c r="J1246" i="5"/>
  <c r="K1246" i="5"/>
  <c r="L1246" i="5"/>
  <c r="M1246" i="5"/>
  <c r="H1247" i="5"/>
  <c r="I1247" i="5"/>
  <c r="J1247" i="5"/>
  <c r="K1247" i="5"/>
  <c r="L1247" i="5"/>
  <c r="M1247" i="5"/>
  <c r="H1248" i="5"/>
  <c r="I1248" i="5"/>
  <c r="J1248" i="5"/>
  <c r="K1248" i="5"/>
  <c r="L1248" i="5"/>
  <c r="M1248" i="5"/>
  <c r="H1249" i="5"/>
  <c r="I1249" i="5"/>
  <c r="J1249" i="5"/>
  <c r="K1249" i="5"/>
  <c r="L1249" i="5"/>
  <c r="M1249" i="5"/>
  <c r="H1250" i="5"/>
  <c r="I1250" i="5"/>
  <c r="J1250" i="5"/>
  <c r="K1250" i="5"/>
  <c r="L1250" i="5"/>
  <c r="M1250" i="5"/>
  <c r="H1251" i="5"/>
  <c r="I1251" i="5"/>
  <c r="J1251" i="5"/>
  <c r="K1251" i="5"/>
  <c r="L1251" i="5"/>
  <c r="M1251" i="5"/>
  <c r="H1252" i="5"/>
  <c r="I1252" i="5"/>
  <c r="J1252" i="5"/>
  <c r="K1252" i="5"/>
  <c r="L1252" i="5"/>
  <c r="M1252" i="5"/>
  <c r="H1253" i="5"/>
  <c r="I1253" i="5"/>
  <c r="J1253" i="5"/>
  <c r="K1253" i="5"/>
  <c r="L1253" i="5"/>
  <c r="M1253" i="5"/>
  <c r="H1254" i="5"/>
  <c r="I1254" i="5"/>
  <c r="J1254" i="5"/>
  <c r="K1254" i="5"/>
  <c r="L1254" i="5"/>
  <c r="M1254" i="5"/>
  <c r="H1255" i="5"/>
  <c r="I1255" i="5"/>
  <c r="J1255" i="5"/>
  <c r="K1255" i="5"/>
  <c r="L1255" i="5"/>
  <c r="M1255" i="5"/>
  <c r="H1256" i="5"/>
  <c r="I1256" i="5"/>
  <c r="J1256" i="5"/>
  <c r="K1256" i="5"/>
  <c r="L1256" i="5"/>
  <c r="M1256" i="5"/>
  <c r="H1257" i="5"/>
  <c r="I1257" i="5"/>
  <c r="J1257" i="5"/>
  <c r="K1257" i="5"/>
  <c r="L1257" i="5"/>
  <c r="M1257" i="5"/>
  <c r="H1258" i="5"/>
  <c r="I1258" i="5"/>
  <c r="J1258" i="5"/>
  <c r="K1258" i="5"/>
  <c r="L1258" i="5"/>
  <c r="M1258" i="5"/>
  <c r="H1259" i="5"/>
  <c r="I1259" i="5"/>
  <c r="J1259" i="5"/>
  <c r="K1259" i="5"/>
  <c r="L1259" i="5"/>
  <c r="M1259" i="5"/>
  <c r="H1260" i="5"/>
  <c r="I1260" i="5"/>
  <c r="J1260" i="5"/>
  <c r="K1260" i="5"/>
  <c r="L1260" i="5"/>
  <c r="M1260" i="5"/>
  <c r="H1261" i="5"/>
  <c r="I1261" i="5"/>
  <c r="J1261" i="5"/>
  <c r="K1261" i="5"/>
  <c r="L1261" i="5"/>
  <c r="M1261" i="5"/>
  <c r="H1262" i="5"/>
  <c r="I1262" i="5"/>
  <c r="J1262" i="5"/>
  <c r="K1262" i="5"/>
  <c r="L1262" i="5"/>
  <c r="M1262" i="5"/>
  <c r="H1263" i="5"/>
  <c r="I1263" i="5"/>
  <c r="J1263" i="5"/>
  <c r="K1263" i="5"/>
  <c r="L1263" i="5"/>
  <c r="M1263" i="5"/>
  <c r="H1264" i="5"/>
  <c r="I1264" i="5"/>
  <c r="J1264" i="5"/>
  <c r="K1264" i="5"/>
  <c r="L1264" i="5"/>
  <c r="M1264" i="5"/>
  <c r="H1265" i="5"/>
  <c r="I1265" i="5"/>
  <c r="J1265" i="5"/>
  <c r="K1265" i="5"/>
  <c r="L1265" i="5"/>
  <c r="M1265" i="5"/>
  <c r="H1266" i="5"/>
  <c r="I1266" i="5"/>
  <c r="J1266" i="5"/>
  <c r="K1266" i="5"/>
  <c r="L1266" i="5"/>
  <c r="M1266" i="5"/>
  <c r="H1267" i="5"/>
  <c r="I1267" i="5"/>
  <c r="J1267" i="5"/>
  <c r="K1267" i="5"/>
  <c r="L1267" i="5"/>
  <c r="M1267" i="5"/>
  <c r="H1268" i="5"/>
  <c r="I1268" i="5"/>
  <c r="J1268" i="5"/>
  <c r="K1268" i="5"/>
  <c r="L1268" i="5"/>
  <c r="M1268" i="5"/>
  <c r="H1269" i="5"/>
  <c r="I1269" i="5"/>
  <c r="J1269" i="5"/>
  <c r="K1269" i="5"/>
  <c r="L1269" i="5"/>
  <c r="M1269" i="5"/>
  <c r="H1270" i="5"/>
  <c r="I1270" i="5"/>
  <c r="J1270" i="5"/>
  <c r="K1270" i="5"/>
  <c r="L1270" i="5"/>
  <c r="M1270" i="5"/>
  <c r="H1271" i="5"/>
  <c r="I1271" i="5"/>
  <c r="J1271" i="5"/>
  <c r="K1271" i="5"/>
  <c r="L1271" i="5"/>
  <c r="M1271" i="5"/>
  <c r="H1272" i="5"/>
  <c r="I1272" i="5"/>
  <c r="J1272" i="5"/>
  <c r="K1272" i="5"/>
  <c r="L1272" i="5"/>
  <c r="M1272" i="5"/>
  <c r="H1273" i="5"/>
  <c r="I1273" i="5"/>
  <c r="J1273" i="5"/>
  <c r="K1273" i="5"/>
  <c r="L1273" i="5"/>
  <c r="M1273" i="5"/>
  <c r="H1274" i="5"/>
  <c r="I1274" i="5"/>
  <c r="J1274" i="5"/>
  <c r="K1274" i="5"/>
  <c r="L1274" i="5"/>
  <c r="M1274" i="5"/>
  <c r="H1275" i="5"/>
  <c r="I1275" i="5"/>
  <c r="J1275" i="5"/>
  <c r="K1275" i="5"/>
  <c r="L1275" i="5"/>
  <c r="M1275" i="5"/>
  <c r="H1276" i="5"/>
  <c r="I1276" i="5"/>
  <c r="J1276" i="5"/>
  <c r="K1276" i="5"/>
  <c r="L1276" i="5"/>
  <c r="M1276" i="5"/>
  <c r="H1277" i="5"/>
  <c r="I1277" i="5"/>
  <c r="J1277" i="5"/>
  <c r="K1277" i="5"/>
  <c r="L1277" i="5"/>
  <c r="M1277" i="5"/>
  <c r="H1278" i="5"/>
  <c r="I1278" i="5"/>
  <c r="J1278" i="5"/>
  <c r="K1278" i="5"/>
  <c r="L1278" i="5"/>
  <c r="M1278" i="5"/>
  <c r="H1279" i="5"/>
  <c r="I1279" i="5"/>
  <c r="J1279" i="5"/>
  <c r="K1279" i="5"/>
  <c r="L1279" i="5"/>
  <c r="M1279" i="5"/>
  <c r="H1280" i="5"/>
  <c r="I1280" i="5"/>
  <c r="J1280" i="5"/>
  <c r="K1280" i="5"/>
  <c r="L1280" i="5"/>
  <c r="M1280" i="5"/>
  <c r="H1281" i="5"/>
  <c r="I1281" i="5"/>
  <c r="J1281" i="5"/>
  <c r="K1281" i="5"/>
  <c r="L1281" i="5"/>
  <c r="M1281" i="5"/>
  <c r="H1282" i="5"/>
  <c r="I1282" i="5"/>
  <c r="J1282" i="5"/>
  <c r="K1282" i="5"/>
  <c r="L1282" i="5"/>
  <c r="M1282" i="5"/>
  <c r="H1283" i="5"/>
  <c r="I1283" i="5"/>
  <c r="J1283" i="5"/>
  <c r="K1283" i="5"/>
  <c r="L1283" i="5"/>
  <c r="M1283" i="5"/>
  <c r="H1284" i="5"/>
  <c r="I1284" i="5"/>
  <c r="J1284" i="5"/>
  <c r="K1284" i="5"/>
  <c r="L1284" i="5"/>
  <c r="M1284" i="5"/>
  <c r="H1285" i="5"/>
  <c r="I1285" i="5"/>
  <c r="J1285" i="5"/>
  <c r="K1285" i="5"/>
  <c r="L1285" i="5"/>
  <c r="M1285" i="5"/>
  <c r="H1286" i="5"/>
  <c r="I1286" i="5"/>
  <c r="J1286" i="5"/>
  <c r="K1286" i="5"/>
  <c r="L1286" i="5"/>
  <c r="M1286" i="5"/>
  <c r="H1287" i="5"/>
  <c r="I1287" i="5"/>
  <c r="J1287" i="5"/>
  <c r="K1287" i="5"/>
  <c r="L1287" i="5"/>
  <c r="M1287" i="5"/>
  <c r="H1288" i="5"/>
  <c r="I1288" i="5"/>
  <c r="J1288" i="5"/>
  <c r="K1288" i="5"/>
  <c r="L1288" i="5"/>
  <c r="M1288" i="5"/>
  <c r="H1289" i="5"/>
  <c r="I1289" i="5"/>
  <c r="J1289" i="5"/>
  <c r="K1289" i="5"/>
  <c r="L1289" i="5"/>
  <c r="M1289" i="5"/>
  <c r="H1290" i="5"/>
  <c r="I1290" i="5"/>
  <c r="J1290" i="5"/>
  <c r="K1290" i="5"/>
  <c r="L1290" i="5"/>
  <c r="M1290" i="5"/>
  <c r="H1291" i="5"/>
  <c r="I1291" i="5"/>
  <c r="J1291" i="5"/>
  <c r="K1291" i="5"/>
  <c r="L1291" i="5"/>
  <c r="M1291" i="5"/>
  <c r="H1292" i="5"/>
  <c r="I1292" i="5"/>
  <c r="J1292" i="5"/>
  <c r="K1292" i="5"/>
  <c r="L1292" i="5"/>
  <c r="M1292" i="5"/>
  <c r="H1293" i="5"/>
  <c r="I1293" i="5"/>
  <c r="J1293" i="5"/>
  <c r="K1293" i="5"/>
  <c r="L1293" i="5"/>
  <c r="M1293" i="5"/>
  <c r="H1294" i="5"/>
  <c r="I1294" i="5"/>
  <c r="J1294" i="5"/>
  <c r="K1294" i="5"/>
  <c r="L1294" i="5"/>
  <c r="M1294" i="5"/>
  <c r="H1295" i="5"/>
  <c r="I1295" i="5"/>
  <c r="J1295" i="5"/>
  <c r="K1295" i="5"/>
  <c r="L1295" i="5"/>
  <c r="M1295" i="5"/>
  <c r="H1296" i="5"/>
  <c r="I1296" i="5"/>
  <c r="J1296" i="5"/>
  <c r="K1296" i="5"/>
  <c r="L1296" i="5"/>
  <c r="M1296" i="5"/>
  <c r="H1297" i="5"/>
  <c r="I1297" i="5"/>
  <c r="J1297" i="5"/>
  <c r="K1297" i="5"/>
  <c r="L1297" i="5"/>
  <c r="M1297" i="5"/>
  <c r="H1298" i="5"/>
  <c r="I1298" i="5"/>
  <c r="J1298" i="5"/>
  <c r="K1298" i="5"/>
  <c r="L1298" i="5"/>
  <c r="M1298" i="5"/>
  <c r="H1299" i="5"/>
  <c r="I1299" i="5"/>
  <c r="J1299" i="5"/>
  <c r="K1299" i="5"/>
  <c r="L1299" i="5"/>
  <c r="M1299" i="5"/>
  <c r="H1300" i="5"/>
  <c r="I1300" i="5"/>
  <c r="J1300" i="5"/>
  <c r="K1300" i="5"/>
  <c r="L1300" i="5"/>
  <c r="M1300" i="5"/>
  <c r="H1301" i="5"/>
  <c r="I1301" i="5"/>
  <c r="J1301" i="5"/>
  <c r="K1301" i="5"/>
  <c r="L1301" i="5"/>
  <c r="M1301" i="5"/>
  <c r="H1302" i="5"/>
  <c r="I1302" i="5"/>
  <c r="J1302" i="5"/>
  <c r="K1302" i="5"/>
  <c r="L1302" i="5"/>
  <c r="M1302" i="5"/>
  <c r="H1303" i="5"/>
  <c r="I1303" i="5"/>
  <c r="J1303" i="5"/>
  <c r="K1303" i="5"/>
  <c r="L1303" i="5"/>
  <c r="M1303" i="5"/>
  <c r="H1304" i="5"/>
  <c r="I1304" i="5"/>
  <c r="J1304" i="5"/>
  <c r="K1304" i="5"/>
  <c r="L1304" i="5"/>
  <c r="M1304" i="5"/>
  <c r="H1305" i="5"/>
  <c r="I1305" i="5"/>
  <c r="J1305" i="5"/>
  <c r="K1305" i="5"/>
  <c r="L1305" i="5"/>
  <c r="M1305" i="5"/>
  <c r="H1306" i="5"/>
  <c r="I1306" i="5"/>
  <c r="J1306" i="5"/>
  <c r="K1306" i="5"/>
  <c r="L1306" i="5"/>
  <c r="M1306" i="5"/>
  <c r="H1307" i="5"/>
  <c r="I1307" i="5"/>
  <c r="J1307" i="5"/>
  <c r="K1307" i="5"/>
  <c r="L1307" i="5"/>
  <c r="M1307" i="5"/>
  <c r="H1308" i="5"/>
  <c r="I1308" i="5"/>
  <c r="J1308" i="5"/>
  <c r="K1308" i="5"/>
  <c r="L1308" i="5"/>
  <c r="M1308" i="5"/>
  <c r="H1309" i="5"/>
  <c r="I1309" i="5"/>
  <c r="J1309" i="5"/>
  <c r="K1309" i="5"/>
  <c r="L1309" i="5"/>
  <c r="M1309" i="5"/>
  <c r="H1310" i="5"/>
  <c r="I1310" i="5"/>
  <c r="J1310" i="5"/>
  <c r="K1310" i="5"/>
  <c r="L1310" i="5"/>
  <c r="M1310" i="5"/>
  <c r="H1311" i="5"/>
  <c r="I1311" i="5"/>
  <c r="J1311" i="5"/>
  <c r="K1311" i="5"/>
  <c r="L1311" i="5"/>
  <c r="M1311" i="5"/>
  <c r="H1312" i="5"/>
  <c r="I1312" i="5"/>
  <c r="J1312" i="5"/>
  <c r="K1312" i="5"/>
  <c r="L1312" i="5"/>
  <c r="M1312" i="5"/>
  <c r="H1313" i="5"/>
  <c r="I1313" i="5"/>
  <c r="J1313" i="5"/>
  <c r="K1313" i="5"/>
  <c r="L1313" i="5"/>
  <c r="M1313" i="5"/>
  <c r="H1314" i="5"/>
  <c r="I1314" i="5"/>
  <c r="J1314" i="5"/>
  <c r="K1314" i="5"/>
  <c r="L1314" i="5"/>
  <c r="M1314" i="5"/>
  <c r="H1315" i="5"/>
  <c r="I1315" i="5"/>
  <c r="J1315" i="5"/>
  <c r="K1315" i="5"/>
  <c r="L1315" i="5"/>
  <c r="M1315" i="5"/>
  <c r="H1316" i="5"/>
  <c r="I1316" i="5"/>
  <c r="J1316" i="5"/>
  <c r="K1316" i="5"/>
  <c r="L1316" i="5"/>
  <c r="M1316" i="5"/>
  <c r="H1317" i="5"/>
  <c r="I1317" i="5"/>
  <c r="J1317" i="5"/>
  <c r="K1317" i="5"/>
  <c r="L1317" i="5"/>
  <c r="M1317" i="5"/>
  <c r="H1318" i="5"/>
  <c r="I1318" i="5"/>
  <c r="J1318" i="5"/>
  <c r="K1318" i="5"/>
  <c r="L1318" i="5"/>
  <c r="M1318" i="5"/>
  <c r="H1319" i="5"/>
  <c r="I1319" i="5"/>
  <c r="J1319" i="5"/>
  <c r="K1319" i="5"/>
  <c r="L1319" i="5"/>
  <c r="M1319" i="5"/>
  <c r="H1320" i="5"/>
  <c r="I1320" i="5"/>
  <c r="J1320" i="5"/>
  <c r="K1320" i="5"/>
  <c r="L1320" i="5"/>
  <c r="M1320" i="5"/>
  <c r="H1321" i="5"/>
  <c r="I1321" i="5"/>
  <c r="J1321" i="5"/>
  <c r="K1321" i="5"/>
  <c r="L1321" i="5"/>
  <c r="M1321" i="5"/>
  <c r="H1322" i="5"/>
  <c r="I1322" i="5"/>
  <c r="J1322" i="5"/>
  <c r="K1322" i="5"/>
  <c r="L1322" i="5"/>
  <c r="M1322" i="5"/>
  <c r="H1323" i="5"/>
  <c r="I1323" i="5"/>
  <c r="J1323" i="5"/>
  <c r="K1323" i="5"/>
  <c r="L1323" i="5"/>
  <c r="M1323" i="5"/>
  <c r="H1324" i="5"/>
  <c r="I1324" i="5"/>
  <c r="J1324" i="5"/>
  <c r="K1324" i="5"/>
  <c r="L1324" i="5"/>
  <c r="M1324" i="5"/>
  <c r="H1325" i="5"/>
  <c r="I1325" i="5"/>
  <c r="J1325" i="5"/>
  <c r="K1325" i="5"/>
  <c r="L1325" i="5"/>
  <c r="M1325" i="5"/>
  <c r="H1326" i="5"/>
  <c r="I1326" i="5"/>
  <c r="J1326" i="5"/>
  <c r="K1326" i="5"/>
  <c r="L1326" i="5"/>
  <c r="M1326" i="5"/>
  <c r="H1327" i="5"/>
  <c r="I1327" i="5"/>
  <c r="J1327" i="5"/>
  <c r="K1327" i="5"/>
  <c r="L1327" i="5"/>
  <c r="M1327" i="5"/>
  <c r="H1328" i="5"/>
  <c r="I1328" i="5"/>
  <c r="J1328" i="5"/>
  <c r="K1328" i="5"/>
  <c r="L1328" i="5"/>
  <c r="M1328" i="5"/>
  <c r="H1329" i="5"/>
  <c r="I1329" i="5"/>
  <c r="J1329" i="5"/>
  <c r="K1329" i="5"/>
  <c r="L1329" i="5"/>
  <c r="M1329" i="5"/>
  <c r="H1330" i="5"/>
  <c r="I1330" i="5"/>
  <c r="J1330" i="5"/>
  <c r="K1330" i="5"/>
  <c r="L1330" i="5"/>
  <c r="M1330" i="5"/>
  <c r="H1331" i="5"/>
  <c r="I1331" i="5"/>
  <c r="J1331" i="5"/>
  <c r="K1331" i="5"/>
  <c r="L1331" i="5"/>
  <c r="M1331" i="5"/>
  <c r="H1332" i="5"/>
  <c r="I1332" i="5"/>
  <c r="J1332" i="5"/>
  <c r="K1332" i="5"/>
  <c r="L1332" i="5"/>
  <c r="M1332" i="5"/>
  <c r="H1333" i="5"/>
  <c r="I1333" i="5"/>
  <c r="J1333" i="5"/>
  <c r="K1333" i="5"/>
  <c r="L1333" i="5"/>
  <c r="M1333" i="5"/>
  <c r="H1334" i="5"/>
  <c r="I1334" i="5"/>
  <c r="J1334" i="5"/>
  <c r="K1334" i="5"/>
  <c r="L1334" i="5"/>
  <c r="M1334" i="5"/>
  <c r="H1335" i="5"/>
  <c r="I1335" i="5"/>
  <c r="J1335" i="5"/>
  <c r="K1335" i="5"/>
  <c r="L1335" i="5"/>
  <c r="M1335" i="5"/>
  <c r="H1336" i="5"/>
  <c r="I1336" i="5"/>
  <c r="J1336" i="5"/>
  <c r="K1336" i="5"/>
  <c r="L1336" i="5"/>
  <c r="M1336" i="5"/>
  <c r="H1337" i="5"/>
  <c r="I1337" i="5"/>
  <c r="J1337" i="5"/>
  <c r="K1337" i="5"/>
  <c r="L1337" i="5"/>
  <c r="M1337" i="5"/>
  <c r="H1338" i="5"/>
  <c r="I1338" i="5"/>
  <c r="J1338" i="5"/>
  <c r="K1338" i="5"/>
  <c r="L1338" i="5"/>
  <c r="M1338" i="5"/>
  <c r="H1339" i="5"/>
  <c r="I1339" i="5"/>
  <c r="J1339" i="5"/>
  <c r="K1339" i="5"/>
  <c r="L1339" i="5"/>
  <c r="M1339" i="5"/>
  <c r="H1340" i="5"/>
  <c r="I1340" i="5"/>
  <c r="J1340" i="5"/>
  <c r="K1340" i="5"/>
  <c r="L1340" i="5"/>
  <c r="M1340" i="5"/>
  <c r="H1341" i="5"/>
  <c r="I1341" i="5"/>
  <c r="J1341" i="5"/>
  <c r="K1341" i="5"/>
  <c r="L1341" i="5"/>
  <c r="M1341" i="5"/>
  <c r="H1342" i="5"/>
  <c r="I1342" i="5"/>
  <c r="J1342" i="5"/>
  <c r="K1342" i="5"/>
  <c r="L1342" i="5"/>
  <c r="M1342" i="5"/>
  <c r="H1343" i="5"/>
  <c r="I1343" i="5"/>
  <c r="J1343" i="5"/>
  <c r="K1343" i="5"/>
  <c r="L1343" i="5"/>
  <c r="M1343" i="5"/>
  <c r="H1344" i="5"/>
  <c r="I1344" i="5"/>
  <c r="J1344" i="5"/>
  <c r="K1344" i="5"/>
  <c r="L1344" i="5"/>
  <c r="M1344" i="5"/>
  <c r="H1345" i="5"/>
  <c r="I1345" i="5"/>
  <c r="J1345" i="5"/>
  <c r="K1345" i="5"/>
  <c r="L1345" i="5"/>
  <c r="M1345" i="5"/>
  <c r="H1346" i="5"/>
  <c r="I1346" i="5"/>
  <c r="J1346" i="5"/>
  <c r="K1346" i="5"/>
  <c r="L1346" i="5"/>
  <c r="M1346" i="5"/>
  <c r="H1347" i="5"/>
  <c r="I1347" i="5"/>
  <c r="J1347" i="5"/>
  <c r="K1347" i="5"/>
  <c r="L1347" i="5"/>
  <c r="M1347" i="5"/>
  <c r="H1348" i="5"/>
  <c r="I1348" i="5"/>
  <c r="J1348" i="5"/>
  <c r="K1348" i="5"/>
  <c r="L1348" i="5"/>
  <c r="M1348" i="5"/>
  <c r="H1349" i="5"/>
  <c r="I1349" i="5"/>
  <c r="J1349" i="5"/>
  <c r="K1349" i="5"/>
  <c r="L1349" i="5"/>
  <c r="M1349" i="5"/>
  <c r="H1350" i="5"/>
  <c r="I1350" i="5"/>
  <c r="J1350" i="5"/>
  <c r="K1350" i="5"/>
  <c r="L1350" i="5"/>
  <c r="M1350" i="5"/>
  <c r="H1351" i="5"/>
  <c r="I1351" i="5"/>
  <c r="J1351" i="5"/>
  <c r="K1351" i="5"/>
  <c r="L1351" i="5"/>
  <c r="M1351" i="5"/>
  <c r="H1352" i="5"/>
  <c r="I1352" i="5"/>
  <c r="J1352" i="5"/>
  <c r="K1352" i="5"/>
  <c r="L1352" i="5"/>
  <c r="M1352" i="5"/>
  <c r="H1353" i="5"/>
  <c r="I1353" i="5"/>
  <c r="J1353" i="5"/>
  <c r="K1353" i="5"/>
  <c r="L1353" i="5"/>
  <c r="M1353" i="5"/>
  <c r="H1354" i="5"/>
  <c r="I1354" i="5"/>
  <c r="J1354" i="5"/>
  <c r="K1354" i="5"/>
  <c r="L1354" i="5"/>
  <c r="M1354" i="5"/>
  <c r="H1355" i="5"/>
  <c r="I1355" i="5"/>
  <c r="J1355" i="5"/>
  <c r="K1355" i="5"/>
  <c r="L1355" i="5"/>
  <c r="M1355" i="5"/>
  <c r="H1356" i="5"/>
  <c r="I1356" i="5"/>
  <c r="J1356" i="5"/>
  <c r="K1356" i="5"/>
  <c r="L1356" i="5"/>
  <c r="M1356" i="5"/>
  <c r="H1357" i="5"/>
  <c r="I1357" i="5"/>
  <c r="J1357" i="5"/>
  <c r="K1357" i="5"/>
  <c r="L1357" i="5"/>
  <c r="M1357" i="5"/>
  <c r="H1358" i="5"/>
  <c r="I1358" i="5"/>
  <c r="J1358" i="5"/>
  <c r="K1358" i="5"/>
  <c r="L1358" i="5"/>
  <c r="M1358" i="5"/>
  <c r="H1359" i="5"/>
  <c r="I1359" i="5"/>
  <c r="J1359" i="5"/>
  <c r="K1359" i="5"/>
  <c r="L1359" i="5"/>
  <c r="M1359" i="5"/>
  <c r="H1360" i="5"/>
  <c r="I1360" i="5"/>
  <c r="J1360" i="5"/>
  <c r="K1360" i="5"/>
  <c r="L1360" i="5"/>
  <c r="M1360" i="5"/>
  <c r="H1361" i="5"/>
  <c r="I1361" i="5"/>
  <c r="J1361" i="5"/>
  <c r="K1361" i="5"/>
  <c r="L1361" i="5"/>
  <c r="M1361" i="5"/>
  <c r="H1362" i="5"/>
  <c r="I1362" i="5"/>
  <c r="J1362" i="5"/>
  <c r="K1362" i="5"/>
  <c r="L1362" i="5"/>
  <c r="M1362" i="5"/>
  <c r="H1363" i="5"/>
  <c r="I1363" i="5"/>
  <c r="J1363" i="5"/>
  <c r="K1363" i="5"/>
  <c r="L1363" i="5"/>
  <c r="M1363" i="5"/>
  <c r="H1364" i="5"/>
  <c r="I1364" i="5"/>
  <c r="J1364" i="5"/>
  <c r="K1364" i="5"/>
  <c r="L1364" i="5"/>
  <c r="M1364" i="5"/>
  <c r="H1365" i="5"/>
  <c r="I1365" i="5"/>
  <c r="J1365" i="5"/>
  <c r="K1365" i="5"/>
  <c r="L1365" i="5"/>
  <c r="M1365" i="5"/>
  <c r="H1366" i="5"/>
  <c r="I1366" i="5"/>
  <c r="J1366" i="5"/>
  <c r="K1366" i="5"/>
  <c r="L1366" i="5"/>
  <c r="M1366" i="5"/>
  <c r="H1367" i="5"/>
  <c r="I1367" i="5"/>
  <c r="J1367" i="5"/>
  <c r="K1367" i="5"/>
  <c r="L1367" i="5"/>
  <c r="M1367" i="5"/>
  <c r="H1368" i="5"/>
  <c r="I1368" i="5"/>
  <c r="J1368" i="5"/>
  <c r="K1368" i="5"/>
  <c r="L1368" i="5"/>
  <c r="M1368" i="5"/>
  <c r="H1369" i="5"/>
  <c r="I1369" i="5"/>
  <c r="J1369" i="5"/>
  <c r="K1369" i="5"/>
  <c r="L1369" i="5"/>
  <c r="M1369" i="5"/>
  <c r="H1370" i="5"/>
  <c r="I1370" i="5"/>
  <c r="J1370" i="5"/>
  <c r="K1370" i="5"/>
  <c r="L1370" i="5"/>
  <c r="M1370" i="5"/>
  <c r="H1371" i="5"/>
  <c r="I1371" i="5"/>
  <c r="J1371" i="5"/>
  <c r="K1371" i="5"/>
  <c r="L1371" i="5"/>
  <c r="M1371" i="5"/>
  <c r="H1372" i="5"/>
  <c r="I1372" i="5"/>
  <c r="J1372" i="5"/>
  <c r="K1372" i="5"/>
  <c r="L1372" i="5"/>
  <c r="M1372" i="5"/>
  <c r="H1373" i="5"/>
  <c r="I1373" i="5"/>
  <c r="J1373" i="5"/>
  <c r="K1373" i="5"/>
  <c r="L1373" i="5"/>
  <c r="M1373" i="5"/>
  <c r="H1374" i="5"/>
  <c r="I1374" i="5"/>
  <c r="J1374" i="5"/>
  <c r="K1374" i="5"/>
  <c r="L1374" i="5"/>
  <c r="M1374" i="5"/>
  <c r="H1375" i="5"/>
  <c r="I1375" i="5"/>
  <c r="J1375" i="5"/>
  <c r="K1375" i="5"/>
  <c r="L1375" i="5"/>
  <c r="M1375" i="5"/>
  <c r="H1376" i="5"/>
  <c r="I1376" i="5"/>
  <c r="J1376" i="5"/>
  <c r="K1376" i="5"/>
  <c r="L1376" i="5"/>
  <c r="M1376" i="5"/>
  <c r="H1377" i="5"/>
  <c r="I1377" i="5"/>
  <c r="J1377" i="5"/>
  <c r="K1377" i="5"/>
  <c r="L1377" i="5"/>
  <c r="M1377" i="5"/>
  <c r="H1378" i="5"/>
  <c r="I1378" i="5"/>
  <c r="J1378" i="5"/>
  <c r="K1378" i="5"/>
  <c r="L1378" i="5"/>
  <c r="M1378" i="5"/>
  <c r="H1379" i="5"/>
  <c r="I1379" i="5"/>
  <c r="J1379" i="5"/>
  <c r="K1379" i="5"/>
  <c r="L1379" i="5"/>
  <c r="M1379" i="5"/>
  <c r="H1380" i="5"/>
  <c r="I1380" i="5"/>
  <c r="J1380" i="5"/>
  <c r="K1380" i="5"/>
  <c r="L1380" i="5"/>
  <c r="M1380" i="5"/>
  <c r="H1381" i="5"/>
  <c r="I1381" i="5"/>
  <c r="J1381" i="5"/>
  <c r="K1381" i="5"/>
  <c r="L1381" i="5"/>
  <c r="M1381" i="5"/>
  <c r="H1382" i="5"/>
  <c r="I1382" i="5"/>
  <c r="J1382" i="5"/>
  <c r="K1382" i="5"/>
  <c r="L1382" i="5"/>
  <c r="M1382" i="5"/>
  <c r="H1383" i="5"/>
  <c r="I1383" i="5"/>
  <c r="J1383" i="5"/>
  <c r="K1383" i="5"/>
  <c r="L1383" i="5"/>
  <c r="M1383" i="5"/>
  <c r="H1384" i="5"/>
  <c r="I1384" i="5"/>
  <c r="J1384" i="5"/>
  <c r="K1384" i="5"/>
  <c r="L1384" i="5"/>
  <c r="M1384" i="5"/>
  <c r="H1385" i="5"/>
  <c r="I1385" i="5"/>
  <c r="J1385" i="5"/>
  <c r="K1385" i="5"/>
  <c r="L1385" i="5"/>
  <c r="M1385" i="5"/>
  <c r="H1386" i="5"/>
  <c r="I1386" i="5"/>
  <c r="J1386" i="5"/>
  <c r="K1386" i="5"/>
  <c r="L1386" i="5"/>
  <c r="M1386" i="5"/>
  <c r="H1387" i="5"/>
  <c r="I1387" i="5"/>
  <c r="J1387" i="5"/>
  <c r="K1387" i="5"/>
  <c r="L1387" i="5"/>
  <c r="M1387" i="5"/>
  <c r="H1388" i="5"/>
  <c r="I1388" i="5"/>
  <c r="J1388" i="5"/>
  <c r="K1388" i="5"/>
  <c r="L1388" i="5"/>
  <c r="M1388" i="5"/>
  <c r="H1389" i="5"/>
  <c r="I1389" i="5"/>
  <c r="J1389" i="5"/>
  <c r="K1389" i="5"/>
  <c r="L1389" i="5"/>
  <c r="M1389" i="5"/>
  <c r="H1390" i="5"/>
  <c r="I1390" i="5"/>
  <c r="J1390" i="5"/>
  <c r="K1390" i="5"/>
  <c r="L1390" i="5"/>
  <c r="M1390" i="5"/>
  <c r="H1391" i="5"/>
  <c r="I1391" i="5"/>
  <c r="J1391" i="5"/>
  <c r="K1391" i="5"/>
  <c r="L1391" i="5"/>
  <c r="M1391" i="5"/>
  <c r="H1392" i="5"/>
  <c r="I1392" i="5"/>
  <c r="J1392" i="5"/>
  <c r="K1392" i="5"/>
  <c r="L1392" i="5"/>
  <c r="M1392" i="5"/>
  <c r="H1393" i="5"/>
  <c r="I1393" i="5"/>
  <c r="J1393" i="5"/>
  <c r="K1393" i="5"/>
  <c r="L1393" i="5"/>
  <c r="M1393" i="5"/>
  <c r="H1394" i="5"/>
  <c r="I1394" i="5"/>
  <c r="J1394" i="5"/>
  <c r="K1394" i="5"/>
  <c r="L1394" i="5"/>
  <c r="M1394" i="5"/>
  <c r="H1395" i="5"/>
  <c r="I1395" i="5"/>
  <c r="J1395" i="5"/>
  <c r="K1395" i="5"/>
  <c r="L1395" i="5"/>
  <c r="M1395" i="5"/>
  <c r="H1396" i="5"/>
  <c r="I1396" i="5"/>
  <c r="J1396" i="5"/>
  <c r="K1396" i="5"/>
  <c r="L1396" i="5"/>
  <c r="M1396" i="5"/>
  <c r="H1397" i="5"/>
  <c r="I1397" i="5"/>
  <c r="J1397" i="5"/>
  <c r="K1397" i="5"/>
  <c r="L1397" i="5"/>
  <c r="M1397" i="5"/>
  <c r="H1398" i="5"/>
  <c r="I1398" i="5"/>
  <c r="J1398" i="5"/>
  <c r="K1398" i="5"/>
  <c r="L1398" i="5"/>
  <c r="M1398" i="5"/>
  <c r="H1399" i="5"/>
  <c r="I1399" i="5"/>
  <c r="J1399" i="5"/>
  <c r="K1399" i="5"/>
  <c r="L1399" i="5"/>
  <c r="M1399" i="5"/>
  <c r="H1400" i="5"/>
  <c r="I1400" i="5"/>
  <c r="J1400" i="5"/>
  <c r="K1400" i="5"/>
  <c r="L1400" i="5"/>
  <c r="M1400" i="5"/>
  <c r="H1401" i="5"/>
  <c r="I1401" i="5"/>
  <c r="J1401" i="5"/>
  <c r="K1401" i="5"/>
  <c r="L1401" i="5"/>
  <c r="M1401" i="5"/>
  <c r="H1402" i="5"/>
  <c r="I1402" i="5"/>
  <c r="J1402" i="5"/>
  <c r="K1402" i="5"/>
  <c r="L1402" i="5"/>
  <c r="M1402" i="5"/>
  <c r="H1403" i="5"/>
  <c r="I1403" i="5"/>
  <c r="J1403" i="5"/>
  <c r="K1403" i="5"/>
  <c r="L1403" i="5"/>
  <c r="M1403" i="5"/>
  <c r="H1404" i="5"/>
  <c r="I1404" i="5"/>
  <c r="J1404" i="5"/>
  <c r="K1404" i="5"/>
  <c r="L1404" i="5"/>
  <c r="M1404" i="5"/>
  <c r="H1405" i="5"/>
  <c r="I1405" i="5"/>
  <c r="J1405" i="5"/>
  <c r="K1405" i="5"/>
  <c r="L1405" i="5"/>
  <c r="M1405" i="5"/>
  <c r="H1406" i="5"/>
  <c r="I1406" i="5"/>
  <c r="J1406" i="5"/>
  <c r="K1406" i="5"/>
  <c r="L1406" i="5"/>
  <c r="M1406" i="5"/>
  <c r="H1407" i="5"/>
  <c r="I1407" i="5"/>
  <c r="J1407" i="5"/>
  <c r="K1407" i="5"/>
  <c r="L1407" i="5"/>
  <c r="M1407" i="5"/>
  <c r="H1408" i="5"/>
  <c r="I1408" i="5"/>
  <c r="J1408" i="5"/>
  <c r="K1408" i="5"/>
  <c r="L1408" i="5"/>
  <c r="M1408" i="5"/>
  <c r="H1409" i="5"/>
  <c r="I1409" i="5"/>
  <c r="J1409" i="5"/>
  <c r="K1409" i="5"/>
  <c r="L1409" i="5"/>
  <c r="M1409" i="5"/>
  <c r="H1410" i="5"/>
  <c r="I1410" i="5"/>
  <c r="J1410" i="5"/>
  <c r="K1410" i="5"/>
  <c r="L1410" i="5"/>
  <c r="M1410" i="5"/>
  <c r="H1411" i="5"/>
  <c r="I1411" i="5"/>
  <c r="J1411" i="5"/>
  <c r="K1411" i="5"/>
  <c r="L1411" i="5"/>
  <c r="M1411" i="5"/>
  <c r="H1412" i="5"/>
  <c r="I1412" i="5"/>
  <c r="J1412" i="5"/>
  <c r="K1412" i="5"/>
  <c r="L1412" i="5"/>
  <c r="M1412" i="5"/>
  <c r="H1413" i="5"/>
  <c r="I1413" i="5"/>
  <c r="J1413" i="5"/>
  <c r="K1413" i="5"/>
  <c r="L1413" i="5"/>
  <c r="M1413" i="5"/>
  <c r="H1414" i="5"/>
  <c r="I1414" i="5"/>
  <c r="J1414" i="5"/>
  <c r="K1414" i="5"/>
  <c r="L1414" i="5"/>
  <c r="M1414" i="5"/>
  <c r="H1415" i="5"/>
  <c r="I1415" i="5"/>
  <c r="J1415" i="5"/>
  <c r="K1415" i="5"/>
  <c r="L1415" i="5"/>
  <c r="M1415" i="5"/>
  <c r="H1416" i="5"/>
  <c r="I1416" i="5"/>
  <c r="J1416" i="5"/>
  <c r="K1416" i="5"/>
  <c r="L1416" i="5"/>
  <c r="M1416" i="5"/>
  <c r="H1417" i="5"/>
  <c r="I1417" i="5"/>
  <c r="J1417" i="5"/>
  <c r="K1417" i="5"/>
  <c r="L1417" i="5"/>
  <c r="M1417" i="5"/>
  <c r="H1418" i="5"/>
  <c r="I1418" i="5"/>
  <c r="J1418" i="5"/>
  <c r="K1418" i="5"/>
  <c r="L1418" i="5"/>
  <c r="M1418" i="5"/>
  <c r="H1419" i="5"/>
  <c r="I1419" i="5"/>
  <c r="J1419" i="5"/>
  <c r="K1419" i="5"/>
  <c r="L1419" i="5"/>
  <c r="M1419" i="5"/>
  <c r="H1420" i="5"/>
  <c r="I1420" i="5"/>
  <c r="J1420" i="5"/>
  <c r="K1420" i="5"/>
  <c r="L1420" i="5"/>
  <c r="M1420" i="5"/>
  <c r="H1421" i="5"/>
  <c r="I1421" i="5"/>
  <c r="J1421" i="5"/>
  <c r="K1421" i="5"/>
  <c r="L1421" i="5"/>
  <c r="M1421" i="5"/>
  <c r="H1422" i="5"/>
  <c r="I1422" i="5"/>
  <c r="J1422" i="5"/>
  <c r="K1422" i="5"/>
  <c r="L1422" i="5"/>
  <c r="M1422" i="5"/>
  <c r="H1423" i="5"/>
  <c r="I1423" i="5"/>
  <c r="J1423" i="5"/>
  <c r="K1423" i="5"/>
  <c r="L1423" i="5"/>
  <c r="M1423" i="5"/>
  <c r="H1424" i="5"/>
  <c r="I1424" i="5"/>
  <c r="J1424" i="5"/>
  <c r="K1424" i="5"/>
  <c r="L1424" i="5"/>
  <c r="M1424" i="5"/>
  <c r="H1425" i="5"/>
  <c r="I1425" i="5"/>
  <c r="J1425" i="5"/>
  <c r="K1425" i="5"/>
  <c r="L1425" i="5"/>
  <c r="M1425" i="5"/>
  <c r="H1426" i="5"/>
  <c r="I1426" i="5"/>
  <c r="J1426" i="5"/>
  <c r="K1426" i="5"/>
  <c r="L1426" i="5"/>
  <c r="M1426" i="5"/>
  <c r="H1427" i="5"/>
  <c r="I1427" i="5"/>
  <c r="J1427" i="5"/>
  <c r="K1427" i="5"/>
  <c r="L1427" i="5"/>
  <c r="M1427" i="5"/>
  <c r="H1428" i="5"/>
  <c r="I1428" i="5"/>
  <c r="J1428" i="5"/>
  <c r="K1428" i="5"/>
  <c r="L1428" i="5"/>
  <c r="M1428" i="5"/>
  <c r="H1429" i="5"/>
  <c r="I1429" i="5"/>
  <c r="J1429" i="5"/>
  <c r="K1429" i="5"/>
  <c r="L1429" i="5"/>
  <c r="M1429" i="5"/>
  <c r="H1430" i="5"/>
  <c r="I1430" i="5"/>
  <c r="J1430" i="5"/>
  <c r="K1430" i="5"/>
  <c r="L1430" i="5"/>
  <c r="M1430" i="5"/>
  <c r="H1431" i="5"/>
  <c r="I1431" i="5"/>
  <c r="J1431" i="5"/>
  <c r="K1431" i="5"/>
  <c r="L1431" i="5"/>
  <c r="M1431" i="5"/>
  <c r="H1432" i="5"/>
  <c r="I1432" i="5"/>
  <c r="J1432" i="5"/>
  <c r="K1432" i="5"/>
  <c r="L1432" i="5"/>
  <c r="M1432" i="5"/>
  <c r="H1433" i="5"/>
  <c r="I1433" i="5"/>
  <c r="J1433" i="5"/>
  <c r="K1433" i="5"/>
  <c r="L1433" i="5"/>
  <c r="M1433" i="5"/>
  <c r="H1434" i="5"/>
  <c r="I1434" i="5"/>
  <c r="J1434" i="5"/>
  <c r="K1434" i="5"/>
  <c r="L1434" i="5"/>
  <c r="M1434" i="5"/>
  <c r="H1435" i="5"/>
  <c r="I1435" i="5"/>
  <c r="J1435" i="5"/>
  <c r="K1435" i="5"/>
  <c r="L1435" i="5"/>
  <c r="M1435" i="5"/>
  <c r="H1436" i="5"/>
  <c r="I1436" i="5"/>
  <c r="J1436" i="5"/>
  <c r="K1436" i="5"/>
  <c r="L1436" i="5"/>
  <c r="M1436" i="5"/>
  <c r="H1437" i="5"/>
  <c r="I1437" i="5"/>
  <c r="J1437" i="5"/>
  <c r="K1437" i="5"/>
  <c r="L1437" i="5"/>
  <c r="M1437" i="5"/>
  <c r="H1438" i="5"/>
  <c r="I1438" i="5"/>
  <c r="J1438" i="5"/>
  <c r="K1438" i="5"/>
  <c r="L1438" i="5"/>
  <c r="M1438" i="5"/>
  <c r="H1439" i="5"/>
  <c r="I1439" i="5"/>
  <c r="J1439" i="5"/>
  <c r="K1439" i="5"/>
  <c r="L1439" i="5"/>
  <c r="M1439" i="5"/>
  <c r="H1440" i="5"/>
  <c r="I1440" i="5"/>
  <c r="J1440" i="5"/>
  <c r="K1440" i="5"/>
  <c r="L1440" i="5"/>
  <c r="M1440" i="5"/>
  <c r="H1441" i="5"/>
  <c r="I1441" i="5"/>
  <c r="J1441" i="5"/>
  <c r="K1441" i="5"/>
  <c r="L1441" i="5"/>
  <c r="M1441" i="5"/>
  <c r="H1442" i="5"/>
  <c r="I1442" i="5"/>
  <c r="J1442" i="5"/>
  <c r="K1442" i="5"/>
  <c r="L1442" i="5"/>
  <c r="M1442" i="5"/>
  <c r="H1443" i="5"/>
  <c r="I1443" i="5"/>
  <c r="J1443" i="5"/>
  <c r="K1443" i="5"/>
  <c r="L1443" i="5"/>
  <c r="M1443" i="5"/>
  <c r="H1444" i="5"/>
  <c r="I1444" i="5"/>
  <c r="J1444" i="5"/>
  <c r="K1444" i="5"/>
  <c r="L1444" i="5"/>
  <c r="M1444" i="5"/>
  <c r="H1445" i="5"/>
  <c r="I1445" i="5"/>
  <c r="J1445" i="5"/>
  <c r="K1445" i="5"/>
  <c r="L1445" i="5"/>
  <c r="M1445" i="5"/>
  <c r="H1446" i="5"/>
  <c r="I1446" i="5"/>
  <c r="J1446" i="5"/>
  <c r="K1446" i="5"/>
  <c r="L1446" i="5"/>
  <c r="M1446" i="5"/>
  <c r="H1447" i="5"/>
  <c r="I1447" i="5"/>
  <c r="J1447" i="5"/>
  <c r="K1447" i="5"/>
  <c r="L1447" i="5"/>
  <c r="M1447" i="5"/>
  <c r="H1448" i="5"/>
  <c r="I1448" i="5"/>
  <c r="J1448" i="5"/>
  <c r="K1448" i="5"/>
  <c r="L1448" i="5"/>
  <c r="M1448" i="5"/>
  <c r="H1449" i="5"/>
  <c r="I1449" i="5"/>
  <c r="J1449" i="5"/>
  <c r="K1449" i="5"/>
  <c r="L1449" i="5"/>
  <c r="M1449" i="5"/>
  <c r="H1450" i="5"/>
  <c r="I1450" i="5"/>
  <c r="J1450" i="5"/>
  <c r="K1450" i="5"/>
  <c r="L1450" i="5"/>
  <c r="M1450" i="5"/>
  <c r="H1451" i="5"/>
  <c r="I1451" i="5"/>
  <c r="J1451" i="5"/>
  <c r="K1451" i="5"/>
  <c r="L1451" i="5"/>
  <c r="M1451" i="5"/>
  <c r="H1452" i="5"/>
  <c r="I1452" i="5"/>
  <c r="J1452" i="5"/>
  <c r="K1452" i="5"/>
  <c r="L1452" i="5"/>
  <c r="M1452" i="5"/>
  <c r="H1453" i="5"/>
  <c r="I1453" i="5"/>
  <c r="J1453" i="5"/>
  <c r="K1453" i="5"/>
  <c r="L1453" i="5"/>
  <c r="M1453" i="5"/>
  <c r="H1454" i="5"/>
  <c r="I1454" i="5"/>
  <c r="J1454" i="5"/>
  <c r="K1454" i="5"/>
  <c r="L1454" i="5"/>
  <c r="M1454" i="5"/>
  <c r="H1455" i="5"/>
  <c r="I1455" i="5"/>
  <c r="J1455" i="5"/>
  <c r="K1455" i="5"/>
  <c r="L1455" i="5"/>
  <c r="M1455" i="5"/>
  <c r="H1456" i="5"/>
  <c r="I1456" i="5"/>
  <c r="J1456" i="5"/>
  <c r="K1456" i="5"/>
  <c r="L1456" i="5"/>
  <c r="M1456" i="5"/>
  <c r="H1457" i="5"/>
  <c r="I1457" i="5"/>
  <c r="J1457" i="5"/>
  <c r="K1457" i="5"/>
  <c r="L1457" i="5"/>
  <c r="M1457" i="5"/>
  <c r="H1458" i="5"/>
  <c r="I1458" i="5"/>
  <c r="J1458" i="5"/>
  <c r="K1458" i="5"/>
  <c r="L1458" i="5"/>
  <c r="M1458" i="5"/>
  <c r="H1459" i="5"/>
  <c r="I1459" i="5"/>
  <c r="J1459" i="5"/>
  <c r="K1459" i="5"/>
  <c r="L1459" i="5"/>
  <c r="M1459" i="5"/>
  <c r="H1460" i="5"/>
  <c r="I1460" i="5"/>
  <c r="J1460" i="5"/>
  <c r="K1460" i="5"/>
  <c r="L1460" i="5"/>
  <c r="M1460" i="5"/>
  <c r="H1461" i="5"/>
  <c r="I1461" i="5"/>
  <c r="J1461" i="5"/>
  <c r="K1461" i="5"/>
  <c r="L1461" i="5"/>
  <c r="M1461" i="5"/>
  <c r="H1462" i="5"/>
  <c r="I1462" i="5"/>
  <c r="J1462" i="5"/>
  <c r="K1462" i="5"/>
  <c r="L1462" i="5"/>
  <c r="M1462" i="5"/>
  <c r="H1463" i="5"/>
  <c r="I1463" i="5"/>
  <c r="J1463" i="5"/>
  <c r="K1463" i="5"/>
  <c r="L1463" i="5"/>
  <c r="M1463" i="5"/>
  <c r="H1464" i="5"/>
  <c r="I1464" i="5"/>
  <c r="J1464" i="5"/>
  <c r="K1464" i="5"/>
  <c r="L1464" i="5"/>
  <c r="M1464" i="5"/>
  <c r="H1465" i="5"/>
  <c r="I1465" i="5"/>
  <c r="J1465" i="5"/>
  <c r="K1465" i="5"/>
  <c r="L1465" i="5"/>
  <c r="M1465" i="5"/>
  <c r="H1466" i="5"/>
  <c r="I1466" i="5"/>
  <c r="J1466" i="5"/>
  <c r="K1466" i="5"/>
  <c r="L1466" i="5"/>
  <c r="M1466" i="5"/>
  <c r="H1467" i="5"/>
  <c r="I1467" i="5"/>
  <c r="J1467" i="5"/>
  <c r="K1467" i="5"/>
  <c r="L1467" i="5"/>
  <c r="M1467" i="5"/>
  <c r="H1468" i="5"/>
  <c r="I1468" i="5"/>
  <c r="J1468" i="5"/>
  <c r="K1468" i="5"/>
  <c r="L1468" i="5"/>
  <c r="M1468" i="5"/>
  <c r="H1469" i="5"/>
  <c r="I1469" i="5"/>
  <c r="J1469" i="5"/>
  <c r="K1469" i="5"/>
  <c r="L1469" i="5"/>
  <c r="M1469" i="5"/>
  <c r="H1470" i="5"/>
  <c r="I1470" i="5"/>
  <c r="J1470" i="5"/>
  <c r="K1470" i="5"/>
  <c r="L1470" i="5"/>
  <c r="M1470" i="5"/>
  <c r="H1471" i="5"/>
  <c r="I1471" i="5"/>
  <c r="J1471" i="5"/>
  <c r="K1471" i="5"/>
  <c r="L1471" i="5"/>
  <c r="M1471" i="5"/>
  <c r="H1472" i="5"/>
  <c r="I1472" i="5"/>
  <c r="J1472" i="5"/>
  <c r="K1472" i="5"/>
  <c r="L1472" i="5"/>
  <c r="M1472" i="5"/>
  <c r="H1473" i="5"/>
  <c r="I1473" i="5"/>
  <c r="J1473" i="5"/>
  <c r="K1473" i="5"/>
  <c r="L1473" i="5"/>
  <c r="M1473" i="5"/>
  <c r="H1474" i="5"/>
  <c r="I1474" i="5"/>
  <c r="J1474" i="5"/>
  <c r="K1474" i="5"/>
  <c r="L1474" i="5"/>
  <c r="M1474" i="5"/>
  <c r="H1475" i="5"/>
  <c r="I1475" i="5"/>
  <c r="J1475" i="5"/>
  <c r="K1475" i="5"/>
  <c r="L1475" i="5"/>
  <c r="M1475" i="5"/>
  <c r="H1476" i="5"/>
  <c r="I1476" i="5"/>
  <c r="J1476" i="5"/>
  <c r="K1476" i="5"/>
  <c r="L1476" i="5"/>
  <c r="M1476" i="5"/>
  <c r="H1477" i="5"/>
  <c r="I1477" i="5"/>
  <c r="J1477" i="5"/>
  <c r="K1477" i="5"/>
  <c r="L1477" i="5"/>
  <c r="M1477" i="5"/>
  <c r="H1478" i="5"/>
  <c r="I1478" i="5"/>
  <c r="J1478" i="5"/>
  <c r="K1478" i="5"/>
  <c r="L1478" i="5"/>
  <c r="M1478" i="5"/>
  <c r="H1479" i="5"/>
  <c r="I1479" i="5"/>
  <c r="J1479" i="5"/>
  <c r="K1479" i="5"/>
  <c r="L1479" i="5"/>
  <c r="M1479" i="5"/>
  <c r="H1480" i="5"/>
  <c r="I1480" i="5"/>
  <c r="J1480" i="5"/>
  <c r="K1480" i="5"/>
  <c r="L1480" i="5"/>
  <c r="M1480" i="5"/>
  <c r="H1481" i="5"/>
  <c r="I1481" i="5"/>
  <c r="J1481" i="5"/>
  <c r="K1481" i="5"/>
  <c r="L1481" i="5"/>
  <c r="M1481" i="5"/>
  <c r="H1482" i="5"/>
  <c r="I1482" i="5"/>
  <c r="J1482" i="5"/>
  <c r="K1482" i="5"/>
  <c r="L1482" i="5"/>
  <c r="M1482" i="5"/>
  <c r="H1483" i="5"/>
  <c r="I1483" i="5"/>
  <c r="J1483" i="5"/>
  <c r="K1483" i="5"/>
  <c r="L1483" i="5"/>
  <c r="M1483" i="5"/>
  <c r="H1484" i="5"/>
  <c r="I1484" i="5"/>
  <c r="J1484" i="5"/>
  <c r="K1484" i="5"/>
  <c r="L1484" i="5"/>
  <c r="M1484" i="5"/>
  <c r="H1485" i="5"/>
  <c r="I1485" i="5"/>
  <c r="J1485" i="5"/>
  <c r="K1485" i="5"/>
  <c r="L1485" i="5"/>
  <c r="M1485" i="5"/>
  <c r="H1486" i="5"/>
  <c r="I1486" i="5"/>
  <c r="J1486" i="5"/>
  <c r="K1486" i="5"/>
  <c r="L1486" i="5"/>
  <c r="M1486" i="5"/>
  <c r="H1487" i="5"/>
  <c r="I1487" i="5"/>
  <c r="J1487" i="5"/>
  <c r="K1487" i="5"/>
  <c r="L1487" i="5"/>
  <c r="M1487" i="5"/>
  <c r="H1488" i="5"/>
  <c r="I1488" i="5"/>
  <c r="J1488" i="5"/>
  <c r="K1488" i="5"/>
  <c r="L1488" i="5"/>
  <c r="M1488" i="5"/>
  <c r="H1489" i="5"/>
  <c r="I1489" i="5"/>
  <c r="J1489" i="5"/>
  <c r="K1489" i="5"/>
  <c r="L1489" i="5"/>
  <c r="M1489" i="5"/>
  <c r="H1490" i="5"/>
  <c r="I1490" i="5"/>
  <c r="J1490" i="5"/>
  <c r="K1490" i="5"/>
  <c r="L1490" i="5"/>
  <c r="M1490" i="5"/>
  <c r="H1491" i="5"/>
  <c r="I1491" i="5"/>
  <c r="J1491" i="5"/>
  <c r="K1491" i="5"/>
  <c r="L1491" i="5"/>
  <c r="M1491" i="5"/>
  <c r="H1492" i="5"/>
  <c r="I1492" i="5"/>
  <c r="J1492" i="5"/>
  <c r="K1492" i="5"/>
  <c r="L1492" i="5"/>
  <c r="M1492" i="5"/>
  <c r="H1493" i="5"/>
  <c r="I1493" i="5"/>
  <c r="J1493" i="5"/>
  <c r="K1493" i="5"/>
  <c r="L1493" i="5"/>
  <c r="M1493" i="5"/>
  <c r="H1494" i="5"/>
  <c r="I1494" i="5"/>
  <c r="J1494" i="5"/>
  <c r="K1494" i="5"/>
  <c r="L1494" i="5"/>
  <c r="M1494" i="5"/>
  <c r="H1495" i="5"/>
  <c r="I1495" i="5"/>
  <c r="J1495" i="5"/>
  <c r="K1495" i="5"/>
  <c r="L1495" i="5"/>
  <c r="M1495" i="5"/>
  <c r="H1496" i="5"/>
  <c r="I1496" i="5"/>
  <c r="J1496" i="5"/>
  <c r="K1496" i="5"/>
  <c r="L1496" i="5"/>
  <c r="M1496" i="5"/>
  <c r="H1497" i="5"/>
  <c r="I1497" i="5"/>
  <c r="J1497" i="5"/>
  <c r="K1497" i="5"/>
  <c r="L1497" i="5"/>
  <c r="M1497" i="5"/>
  <c r="H1498" i="5"/>
  <c r="I1498" i="5"/>
  <c r="J1498" i="5"/>
  <c r="K1498" i="5"/>
  <c r="L1498" i="5"/>
  <c r="M1498" i="5"/>
  <c r="H1499" i="5"/>
  <c r="I1499" i="5"/>
  <c r="J1499" i="5"/>
  <c r="K1499" i="5"/>
  <c r="L1499" i="5"/>
  <c r="M1499" i="5"/>
  <c r="H1500" i="5"/>
  <c r="I1500" i="5"/>
  <c r="J1500" i="5"/>
  <c r="K1500" i="5"/>
  <c r="L1500" i="5"/>
  <c r="M1500" i="5"/>
  <c r="H1501" i="5"/>
  <c r="I1501" i="5"/>
  <c r="J1501" i="5"/>
  <c r="K1501" i="5"/>
  <c r="L1501" i="5"/>
  <c r="M1501" i="5"/>
  <c r="H1502" i="5"/>
  <c r="I1502" i="5"/>
  <c r="J1502" i="5"/>
  <c r="K1502" i="5"/>
  <c r="L1502" i="5"/>
  <c r="M1502" i="5"/>
  <c r="H1503" i="5"/>
  <c r="I1503" i="5"/>
  <c r="J1503" i="5"/>
  <c r="K1503" i="5"/>
  <c r="L1503" i="5"/>
  <c r="M1503" i="5"/>
  <c r="H1504" i="5"/>
  <c r="I1504" i="5"/>
  <c r="J1504" i="5"/>
  <c r="K1504" i="5"/>
  <c r="L1504" i="5"/>
  <c r="M1504" i="5"/>
  <c r="H1505" i="5"/>
  <c r="I1505" i="5"/>
  <c r="J1505" i="5"/>
  <c r="K1505" i="5"/>
  <c r="L1505" i="5"/>
  <c r="M1505" i="5"/>
  <c r="H1506" i="5"/>
  <c r="I1506" i="5"/>
  <c r="J1506" i="5"/>
  <c r="K1506" i="5"/>
  <c r="L1506" i="5"/>
  <c r="M1506" i="5"/>
  <c r="H1507" i="5"/>
  <c r="I1507" i="5"/>
  <c r="J1507" i="5"/>
  <c r="K1507" i="5"/>
  <c r="L1507" i="5"/>
  <c r="M1507" i="5"/>
  <c r="H1508" i="5"/>
  <c r="I1508" i="5"/>
  <c r="J1508" i="5"/>
  <c r="K1508" i="5"/>
  <c r="L1508" i="5"/>
  <c r="M1508" i="5"/>
  <c r="H1509" i="5"/>
  <c r="I1509" i="5"/>
  <c r="J1509" i="5"/>
  <c r="K1509" i="5"/>
  <c r="L1509" i="5"/>
  <c r="M1509" i="5"/>
  <c r="H1510" i="5"/>
  <c r="I1510" i="5"/>
  <c r="J1510" i="5"/>
  <c r="K1510" i="5"/>
  <c r="L1510" i="5"/>
  <c r="M1510" i="5"/>
  <c r="H1511" i="5"/>
  <c r="I1511" i="5"/>
  <c r="J1511" i="5"/>
  <c r="K1511" i="5"/>
  <c r="L1511" i="5"/>
  <c r="M1511" i="5"/>
  <c r="H1512" i="5"/>
  <c r="I1512" i="5"/>
  <c r="J1512" i="5"/>
  <c r="K1512" i="5"/>
  <c r="L1512" i="5"/>
  <c r="M1512" i="5"/>
  <c r="H1513" i="5"/>
  <c r="I1513" i="5"/>
  <c r="J1513" i="5"/>
  <c r="K1513" i="5"/>
  <c r="L1513" i="5"/>
  <c r="M1513" i="5"/>
  <c r="H1514" i="5"/>
  <c r="I1514" i="5"/>
  <c r="J1514" i="5"/>
  <c r="K1514" i="5"/>
  <c r="L1514" i="5"/>
  <c r="M1514" i="5"/>
  <c r="H1515" i="5"/>
  <c r="I1515" i="5"/>
  <c r="J1515" i="5"/>
  <c r="K1515" i="5"/>
  <c r="L1515" i="5"/>
  <c r="M1515" i="5"/>
  <c r="H1516" i="5"/>
  <c r="I1516" i="5"/>
  <c r="J1516" i="5"/>
  <c r="K1516" i="5"/>
  <c r="L1516" i="5"/>
  <c r="M1516" i="5"/>
  <c r="H1517" i="5"/>
  <c r="I1517" i="5"/>
  <c r="J1517" i="5"/>
  <c r="K1517" i="5"/>
  <c r="L1517" i="5"/>
  <c r="M1517" i="5"/>
  <c r="H1518" i="5"/>
  <c r="I1518" i="5"/>
  <c r="J1518" i="5"/>
  <c r="K1518" i="5"/>
  <c r="L1518" i="5"/>
  <c r="M1518" i="5"/>
  <c r="H1519" i="5"/>
  <c r="I1519" i="5"/>
  <c r="J1519" i="5"/>
  <c r="K1519" i="5"/>
  <c r="L1519" i="5"/>
  <c r="M1519" i="5"/>
  <c r="H1520" i="5"/>
  <c r="I1520" i="5"/>
  <c r="J1520" i="5"/>
  <c r="K1520" i="5"/>
  <c r="L1520" i="5"/>
  <c r="M1520" i="5"/>
  <c r="H1521" i="5"/>
  <c r="I1521" i="5"/>
  <c r="J1521" i="5"/>
  <c r="K1521" i="5"/>
  <c r="L1521" i="5"/>
  <c r="M1521" i="5"/>
  <c r="H1522" i="5"/>
  <c r="I1522" i="5"/>
  <c r="J1522" i="5"/>
  <c r="K1522" i="5"/>
  <c r="L1522" i="5"/>
  <c r="M1522" i="5"/>
  <c r="H1523" i="5"/>
  <c r="I1523" i="5"/>
  <c r="J1523" i="5"/>
  <c r="K1523" i="5"/>
  <c r="L1523" i="5"/>
  <c r="M1523" i="5"/>
  <c r="H1524" i="5"/>
  <c r="I1524" i="5"/>
  <c r="J1524" i="5"/>
  <c r="K1524" i="5"/>
  <c r="L1524" i="5"/>
  <c r="M1524" i="5"/>
  <c r="H1525" i="5"/>
  <c r="I1525" i="5"/>
  <c r="J1525" i="5"/>
  <c r="K1525" i="5"/>
  <c r="L1525" i="5"/>
  <c r="M1525" i="5"/>
  <c r="H1526" i="5"/>
  <c r="I1526" i="5"/>
  <c r="J1526" i="5"/>
  <c r="K1526" i="5"/>
  <c r="L1526" i="5"/>
  <c r="M1526" i="5"/>
  <c r="H1527" i="5"/>
  <c r="I1527" i="5"/>
  <c r="J1527" i="5"/>
  <c r="K1527" i="5"/>
  <c r="L1527" i="5"/>
  <c r="M1527" i="5"/>
  <c r="H1528" i="5"/>
  <c r="I1528" i="5"/>
  <c r="J1528" i="5"/>
  <c r="K1528" i="5"/>
  <c r="L1528" i="5"/>
  <c r="M1528" i="5"/>
  <c r="H1529" i="5"/>
  <c r="I1529" i="5"/>
  <c r="J1529" i="5"/>
  <c r="K1529" i="5"/>
  <c r="L1529" i="5"/>
  <c r="M1529" i="5"/>
  <c r="H1530" i="5"/>
  <c r="I1530" i="5"/>
  <c r="J1530" i="5"/>
  <c r="K1530" i="5"/>
  <c r="L1530" i="5"/>
  <c r="M1530" i="5"/>
  <c r="H1531" i="5"/>
  <c r="I1531" i="5"/>
  <c r="J1531" i="5"/>
  <c r="K1531" i="5"/>
  <c r="L1531" i="5"/>
  <c r="M1531" i="5"/>
  <c r="H1532" i="5"/>
  <c r="I1532" i="5"/>
  <c r="J1532" i="5"/>
  <c r="K1532" i="5"/>
  <c r="L1532" i="5"/>
  <c r="M1532" i="5"/>
  <c r="H1533" i="5"/>
  <c r="I1533" i="5"/>
  <c r="J1533" i="5"/>
  <c r="K1533" i="5"/>
  <c r="L1533" i="5"/>
  <c r="M1533" i="5"/>
  <c r="H1534" i="5"/>
  <c r="I1534" i="5"/>
  <c r="J1534" i="5"/>
  <c r="K1534" i="5"/>
  <c r="L1534" i="5"/>
  <c r="M1534" i="5"/>
  <c r="H1535" i="5"/>
  <c r="I1535" i="5"/>
  <c r="J1535" i="5"/>
  <c r="K1535" i="5"/>
  <c r="L1535" i="5"/>
  <c r="M1535" i="5"/>
  <c r="H1536" i="5"/>
  <c r="I1536" i="5"/>
  <c r="J1536" i="5"/>
  <c r="K1536" i="5"/>
  <c r="L1536" i="5"/>
  <c r="M1536" i="5"/>
  <c r="H1537" i="5"/>
  <c r="I1537" i="5"/>
  <c r="J1537" i="5"/>
  <c r="K1537" i="5"/>
  <c r="L1537" i="5"/>
  <c r="M1537" i="5"/>
  <c r="H1538" i="5"/>
  <c r="I1538" i="5"/>
  <c r="J1538" i="5"/>
  <c r="K1538" i="5"/>
  <c r="L1538" i="5"/>
  <c r="M1538" i="5"/>
  <c r="H1539" i="5"/>
  <c r="I1539" i="5"/>
  <c r="J1539" i="5"/>
  <c r="K1539" i="5"/>
  <c r="L1539" i="5"/>
  <c r="M1539" i="5"/>
  <c r="H1540" i="5"/>
  <c r="I1540" i="5"/>
  <c r="J1540" i="5"/>
  <c r="K1540" i="5"/>
  <c r="L1540" i="5"/>
  <c r="M1540" i="5"/>
  <c r="H1541" i="5"/>
  <c r="I1541" i="5"/>
  <c r="J1541" i="5"/>
  <c r="K1541" i="5"/>
  <c r="L1541" i="5"/>
  <c r="M1541" i="5"/>
  <c r="H1542" i="5"/>
  <c r="I1542" i="5"/>
  <c r="J1542" i="5"/>
  <c r="K1542" i="5"/>
  <c r="L1542" i="5"/>
  <c r="M1542" i="5"/>
  <c r="H1543" i="5"/>
  <c r="I1543" i="5"/>
  <c r="J1543" i="5"/>
  <c r="K1543" i="5"/>
  <c r="L1543" i="5"/>
  <c r="M1543" i="5"/>
  <c r="H1544" i="5"/>
  <c r="I1544" i="5"/>
  <c r="J1544" i="5"/>
  <c r="K1544" i="5"/>
  <c r="L1544" i="5"/>
  <c r="M1544" i="5"/>
  <c r="H1545" i="5"/>
  <c r="I1545" i="5"/>
  <c r="J1545" i="5"/>
  <c r="K1545" i="5"/>
  <c r="L1545" i="5"/>
  <c r="M1545" i="5"/>
  <c r="H1546" i="5"/>
  <c r="I1546" i="5"/>
  <c r="J1546" i="5"/>
  <c r="K1546" i="5"/>
  <c r="L1546" i="5"/>
  <c r="M1546" i="5"/>
  <c r="H1547" i="5"/>
  <c r="I1547" i="5"/>
  <c r="J1547" i="5"/>
  <c r="K1547" i="5"/>
  <c r="L1547" i="5"/>
  <c r="M1547" i="5"/>
  <c r="H1548" i="5"/>
  <c r="I1548" i="5"/>
  <c r="J1548" i="5"/>
  <c r="K1548" i="5"/>
  <c r="L1548" i="5"/>
  <c r="M1548" i="5"/>
  <c r="H1549" i="5"/>
  <c r="I1549" i="5"/>
  <c r="J1549" i="5"/>
  <c r="K1549" i="5"/>
  <c r="L1549" i="5"/>
  <c r="M1549" i="5"/>
  <c r="H1550" i="5"/>
  <c r="I1550" i="5"/>
  <c r="J1550" i="5"/>
  <c r="K1550" i="5"/>
  <c r="L1550" i="5"/>
  <c r="M1550" i="5"/>
  <c r="H1551" i="5"/>
  <c r="I1551" i="5"/>
  <c r="J1551" i="5"/>
  <c r="K1551" i="5"/>
  <c r="L1551" i="5"/>
  <c r="M1551" i="5"/>
  <c r="H1552" i="5"/>
  <c r="I1552" i="5"/>
  <c r="J1552" i="5"/>
  <c r="K1552" i="5"/>
  <c r="L1552" i="5"/>
  <c r="M1552" i="5"/>
  <c r="H1553" i="5"/>
  <c r="I1553" i="5"/>
  <c r="J1553" i="5"/>
  <c r="K1553" i="5"/>
  <c r="L1553" i="5"/>
  <c r="M1553" i="5"/>
  <c r="H1554" i="5"/>
  <c r="I1554" i="5"/>
  <c r="J1554" i="5"/>
  <c r="K1554" i="5"/>
  <c r="L1554" i="5"/>
  <c r="M1554" i="5"/>
  <c r="H1555" i="5"/>
  <c r="I1555" i="5"/>
  <c r="J1555" i="5"/>
  <c r="K1555" i="5"/>
  <c r="L1555" i="5"/>
  <c r="M1555" i="5"/>
  <c r="H1556" i="5"/>
  <c r="I1556" i="5"/>
  <c r="J1556" i="5"/>
  <c r="K1556" i="5"/>
  <c r="L1556" i="5"/>
  <c r="M1556" i="5"/>
  <c r="H1557" i="5"/>
  <c r="I1557" i="5"/>
  <c r="J1557" i="5"/>
  <c r="K1557" i="5"/>
  <c r="L1557" i="5"/>
  <c r="M1557" i="5"/>
  <c r="H1558" i="5"/>
  <c r="I1558" i="5"/>
  <c r="J1558" i="5"/>
  <c r="K1558" i="5"/>
  <c r="L1558" i="5"/>
  <c r="M1558" i="5"/>
  <c r="H1559" i="5"/>
  <c r="I1559" i="5"/>
  <c r="J1559" i="5"/>
  <c r="K1559" i="5"/>
  <c r="L1559" i="5"/>
  <c r="M1559" i="5"/>
  <c r="H1560" i="5"/>
  <c r="I1560" i="5"/>
  <c r="J1560" i="5"/>
  <c r="K1560" i="5"/>
  <c r="L1560" i="5"/>
  <c r="M1560" i="5"/>
  <c r="H1561" i="5"/>
  <c r="I1561" i="5"/>
  <c r="J1561" i="5"/>
  <c r="K1561" i="5"/>
  <c r="L1561" i="5"/>
  <c r="M1561" i="5"/>
  <c r="H1562" i="5"/>
  <c r="I1562" i="5"/>
  <c r="J1562" i="5"/>
  <c r="K1562" i="5"/>
  <c r="L1562" i="5"/>
  <c r="M1562" i="5"/>
  <c r="H1563" i="5"/>
  <c r="I1563" i="5"/>
  <c r="J1563" i="5"/>
  <c r="K1563" i="5"/>
  <c r="L1563" i="5"/>
  <c r="M1563" i="5"/>
  <c r="H1564" i="5"/>
  <c r="I1564" i="5"/>
  <c r="J1564" i="5"/>
  <c r="K1564" i="5"/>
  <c r="L1564" i="5"/>
  <c r="M1564" i="5"/>
  <c r="H1565" i="5"/>
  <c r="I1565" i="5"/>
  <c r="J1565" i="5"/>
  <c r="K1565" i="5"/>
  <c r="L1565" i="5"/>
  <c r="M1565" i="5"/>
  <c r="H1566" i="5"/>
  <c r="I1566" i="5"/>
  <c r="J1566" i="5"/>
  <c r="K1566" i="5"/>
  <c r="L1566" i="5"/>
  <c r="M1566" i="5"/>
  <c r="H1567" i="5"/>
  <c r="I1567" i="5"/>
  <c r="J1567" i="5"/>
  <c r="K1567" i="5"/>
  <c r="L1567" i="5"/>
  <c r="M1567" i="5"/>
  <c r="H1568" i="5"/>
  <c r="I1568" i="5"/>
  <c r="J1568" i="5"/>
  <c r="K1568" i="5"/>
  <c r="L1568" i="5"/>
  <c r="M1568" i="5"/>
  <c r="H1569" i="5"/>
  <c r="I1569" i="5"/>
  <c r="J1569" i="5"/>
  <c r="K1569" i="5"/>
  <c r="L1569" i="5"/>
  <c r="M1569" i="5"/>
  <c r="H1570" i="5"/>
  <c r="I1570" i="5"/>
  <c r="J1570" i="5"/>
  <c r="K1570" i="5"/>
  <c r="L1570" i="5"/>
  <c r="M1570" i="5"/>
  <c r="H1571" i="5"/>
  <c r="I1571" i="5"/>
  <c r="J1571" i="5"/>
  <c r="K1571" i="5"/>
  <c r="L1571" i="5"/>
  <c r="M1571" i="5"/>
  <c r="H1572" i="5"/>
  <c r="I1572" i="5"/>
  <c r="J1572" i="5"/>
  <c r="K1572" i="5"/>
  <c r="L1572" i="5"/>
  <c r="M1572" i="5"/>
  <c r="H1573" i="5"/>
  <c r="I1573" i="5"/>
  <c r="J1573" i="5"/>
  <c r="K1573" i="5"/>
  <c r="L1573" i="5"/>
  <c r="M1573" i="5"/>
  <c r="H1574" i="5"/>
  <c r="I1574" i="5"/>
  <c r="J1574" i="5"/>
  <c r="K1574" i="5"/>
  <c r="L1574" i="5"/>
  <c r="M1574" i="5"/>
  <c r="H1575" i="5"/>
  <c r="I1575" i="5"/>
  <c r="J1575" i="5"/>
  <c r="K1575" i="5"/>
  <c r="L1575" i="5"/>
  <c r="M1575" i="5"/>
  <c r="H1576" i="5"/>
  <c r="I1576" i="5"/>
  <c r="J1576" i="5"/>
  <c r="K1576" i="5"/>
  <c r="L1576" i="5"/>
  <c r="M1576" i="5"/>
  <c r="H1577" i="5"/>
  <c r="I1577" i="5"/>
  <c r="J1577" i="5"/>
  <c r="K1577" i="5"/>
  <c r="L1577" i="5"/>
  <c r="M1577" i="5"/>
  <c r="H1578" i="5"/>
  <c r="I1578" i="5"/>
  <c r="J1578" i="5"/>
  <c r="K1578" i="5"/>
  <c r="L1578" i="5"/>
  <c r="M1578" i="5"/>
  <c r="H1579" i="5"/>
  <c r="I1579" i="5"/>
  <c r="J1579" i="5"/>
  <c r="K1579" i="5"/>
  <c r="L1579" i="5"/>
  <c r="M1579" i="5"/>
  <c r="H1580" i="5"/>
  <c r="I1580" i="5"/>
  <c r="J1580" i="5"/>
  <c r="K1580" i="5"/>
  <c r="L1580" i="5"/>
  <c r="M1580" i="5"/>
  <c r="H1581" i="5"/>
  <c r="I1581" i="5"/>
  <c r="J1581" i="5"/>
  <c r="K1581" i="5"/>
  <c r="L1581" i="5"/>
  <c r="M1581" i="5"/>
  <c r="H1582" i="5"/>
  <c r="I1582" i="5"/>
  <c r="J1582" i="5"/>
  <c r="K1582" i="5"/>
  <c r="L1582" i="5"/>
  <c r="M1582" i="5"/>
  <c r="H1583" i="5"/>
  <c r="I1583" i="5"/>
  <c r="J1583" i="5"/>
  <c r="K1583" i="5"/>
  <c r="L1583" i="5"/>
  <c r="M1583" i="5"/>
  <c r="H1584" i="5"/>
  <c r="I1584" i="5"/>
  <c r="J1584" i="5"/>
  <c r="K1584" i="5"/>
  <c r="L1584" i="5"/>
  <c r="M1584" i="5"/>
  <c r="H1585" i="5"/>
  <c r="I1585" i="5"/>
  <c r="J1585" i="5"/>
  <c r="K1585" i="5"/>
  <c r="L1585" i="5"/>
  <c r="M1585" i="5"/>
  <c r="H1586" i="5"/>
  <c r="I1586" i="5"/>
  <c r="J1586" i="5"/>
  <c r="K1586" i="5"/>
  <c r="L1586" i="5"/>
  <c r="M1586" i="5"/>
  <c r="H1587" i="5"/>
  <c r="I1587" i="5"/>
  <c r="J1587" i="5"/>
  <c r="K1587" i="5"/>
  <c r="L1587" i="5"/>
  <c r="M1587" i="5"/>
  <c r="H1588" i="5"/>
  <c r="I1588" i="5"/>
  <c r="J1588" i="5"/>
  <c r="K1588" i="5"/>
  <c r="L1588" i="5"/>
  <c r="M1588" i="5"/>
  <c r="H1589" i="5"/>
  <c r="I1589" i="5"/>
  <c r="J1589" i="5"/>
  <c r="K1589" i="5"/>
  <c r="L1589" i="5"/>
  <c r="M1589" i="5"/>
  <c r="H1590" i="5"/>
  <c r="I1590" i="5"/>
  <c r="J1590" i="5"/>
  <c r="K1590" i="5"/>
  <c r="L1590" i="5"/>
  <c r="M1590" i="5"/>
  <c r="H1591" i="5"/>
  <c r="I1591" i="5"/>
  <c r="J1591" i="5"/>
  <c r="K1591" i="5"/>
  <c r="L1591" i="5"/>
  <c r="M1591" i="5"/>
  <c r="H1592" i="5"/>
  <c r="I1592" i="5"/>
  <c r="J1592" i="5"/>
  <c r="K1592" i="5"/>
  <c r="L1592" i="5"/>
  <c r="M1592" i="5"/>
  <c r="H1593" i="5"/>
  <c r="I1593" i="5"/>
  <c r="J1593" i="5"/>
  <c r="K1593" i="5"/>
  <c r="L1593" i="5"/>
  <c r="M1593" i="5"/>
  <c r="H1594" i="5"/>
  <c r="I1594" i="5"/>
  <c r="J1594" i="5"/>
  <c r="K1594" i="5"/>
  <c r="L1594" i="5"/>
  <c r="M1594" i="5"/>
  <c r="H1595" i="5"/>
  <c r="I1595" i="5"/>
  <c r="J1595" i="5"/>
  <c r="K1595" i="5"/>
  <c r="L1595" i="5"/>
  <c r="M1595" i="5"/>
  <c r="H1596" i="5"/>
  <c r="I1596" i="5"/>
  <c r="J1596" i="5"/>
  <c r="K1596" i="5"/>
  <c r="L1596" i="5"/>
  <c r="M1596" i="5"/>
  <c r="H1597" i="5"/>
  <c r="I1597" i="5"/>
  <c r="J1597" i="5"/>
  <c r="K1597" i="5"/>
  <c r="L1597" i="5"/>
  <c r="M1597" i="5"/>
  <c r="H1598" i="5"/>
  <c r="I1598" i="5"/>
  <c r="J1598" i="5"/>
  <c r="K1598" i="5"/>
  <c r="L1598" i="5"/>
  <c r="M1598" i="5"/>
  <c r="H1599" i="5"/>
  <c r="I1599" i="5"/>
  <c r="J1599" i="5"/>
  <c r="K1599" i="5"/>
  <c r="L1599" i="5"/>
  <c r="M1599" i="5"/>
  <c r="H1600" i="5"/>
  <c r="I1600" i="5"/>
  <c r="J1600" i="5"/>
  <c r="K1600" i="5"/>
  <c r="L1600" i="5"/>
  <c r="M1600" i="5"/>
  <c r="H1601" i="5"/>
  <c r="I1601" i="5"/>
  <c r="J1601" i="5"/>
  <c r="K1601" i="5"/>
  <c r="L1601" i="5"/>
  <c r="M1601" i="5"/>
  <c r="H1602" i="5"/>
  <c r="I1602" i="5"/>
  <c r="J1602" i="5"/>
  <c r="K1602" i="5"/>
  <c r="L1602" i="5"/>
  <c r="M1602" i="5"/>
  <c r="H1603" i="5"/>
  <c r="I1603" i="5"/>
  <c r="J1603" i="5"/>
  <c r="K1603" i="5"/>
  <c r="L1603" i="5"/>
  <c r="M1603" i="5"/>
  <c r="H1604" i="5"/>
  <c r="I1604" i="5"/>
  <c r="J1604" i="5"/>
  <c r="K1604" i="5"/>
  <c r="L1604" i="5"/>
  <c r="M1604" i="5"/>
  <c r="H1605" i="5"/>
  <c r="I1605" i="5"/>
  <c r="J1605" i="5"/>
  <c r="K1605" i="5"/>
  <c r="L1605" i="5"/>
  <c r="M1605" i="5"/>
  <c r="H1606" i="5"/>
  <c r="I1606" i="5"/>
  <c r="J1606" i="5"/>
  <c r="K1606" i="5"/>
  <c r="L1606" i="5"/>
  <c r="M1606" i="5"/>
  <c r="H1607" i="5"/>
  <c r="I1607" i="5"/>
  <c r="J1607" i="5"/>
  <c r="K1607" i="5"/>
  <c r="L1607" i="5"/>
  <c r="M1607" i="5"/>
  <c r="H1608" i="5"/>
  <c r="I1608" i="5"/>
  <c r="J1608" i="5"/>
  <c r="K1608" i="5"/>
  <c r="L1608" i="5"/>
  <c r="M1608" i="5"/>
  <c r="H1609" i="5"/>
  <c r="I1609" i="5"/>
  <c r="J1609" i="5"/>
  <c r="K1609" i="5"/>
  <c r="L1609" i="5"/>
  <c r="M1609" i="5"/>
  <c r="H1610" i="5"/>
  <c r="I1610" i="5"/>
  <c r="J1610" i="5"/>
  <c r="K1610" i="5"/>
  <c r="L1610" i="5"/>
  <c r="M1610" i="5"/>
  <c r="H1611" i="5"/>
  <c r="I1611" i="5"/>
  <c r="J1611" i="5"/>
  <c r="K1611" i="5"/>
  <c r="L1611" i="5"/>
  <c r="M1611" i="5"/>
  <c r="H1612" i="5"/>
  <c r="I1612" i="5"/>
  <c r="J1612" i="5"/>
  <c r="K1612" i="5"/>
  <c r="L1612" i="5"/>
  <c r="M1612" i="5"/>
  <c r="H1613" i="5"/>
  <c r="I1613" i="5"/>
  <c r="J1613" i="5"/>
  <c r="K1613" i="5"/>
  <c r="L1613" i="5"/>
  <c r="M1613" i="5"/>
  <c r="H1614" i="5"/>
  <c r="I1614" i="5"/>
  <c r="J1614" i="5"/>
  <c r="K1614" i="5"/>
  <c r="L1614" i="5"/>
  <c r="M1614" i="5"/>
  <c r="H1615" i="5"/>
  <c r="I1615" i="5"/>
  <c r="J1615" i="5"/>
  <c r="K1615" i="5"/>
  <c r="L1615" i="5"/>
  <c r="M1615" i="5"/>
  <c r="H1616" i="5"/>
  <c r="I1616" i="5"/>
  <c r="J1616" i="5"/>
  <c r="K1616" i="5"/>
  <c r="L1616" i="5"/>
  <c r="M1616" i="5"/>
  <c r="H1617" i="5"/>
  <c r="I1617" i="5"/>
  <c r="J1617" i="5"/>
  <c r="K1617" i="5"/>
  <c r="L1617" i="5"/>
  <c r="M1617" i="5"/>
  <c r="H1618" i="5"/>
  <c r="I1618" i="5"/>
  <c r="J1618" i="5"/>
  <c r="K1618" i="5"/>
  <c r="L1618" i="5"/>
  <c r="M1618" i="5"/>
  <c r="H1619" i="5"/>
  <c r="I1619" i="5"/>
  <c r="J1619" i="5"/>
  <c r="K1619" i="5"/>
  <c r="L1619" i="5"/>
  <c r="M1619" i="5"/>
  <c r="H1620" i="5"/>
  <c r="I1620" i="5"/>
  <c r="J1620" i="5"/>
  <c r="K1620" i="5"/>
  <c r="L1620" i="5"/>
  <c r="M1620" i="5"/>
  <c r="H1621" i="5"/>
  <c r="I1621" i="5"/>
  <c r="J1621" i="5"/>
  <c r="K1621" i="5"/>
  <c r="L1621" i="5"/>
  <c r="M1621" i="5"/>
  <c r="H1622" i="5"/>
  <c r="I1622" i="5"/>
  <c r="J1622" i="5"/>
  <c r="K1622" i="5"/>
  <c r="L1622" i="5"/>
  <c r="M1622" i="5"/>
  <c r="H1623" i="5"/>
  <c r="I1623" i="5"/>
  <c r="J1623" i="5"/>
  <c r="K1623" i="5"/>
  <c r="L1623" i="5"/>
  <c r="M1623" i="5"/>
  <c r="H1624" i="5"/>
  <c r="I1624" i="5"/>
  <c r="J1624" i="5"/>
  <c r="K1624" i="5"/>
  <c r="L1624" i="5"/>
  <c r="M1624" i="5"/>
  <c r="H1625" i="5"/>
  <c r="I1625" i="5"/>
  <c r="J1625" i="5"/>
  <c r="K1625" i="5"/>
  <c r="L1625" i="5"/>
  <c r="M1625" i="5"/>
  <c r="H1626" i="5"/>
  <c r="I1626" i="5"/>
  <c r="J1626" i="5"/>
  <c r="K1626" i="5"/>
  <c r="L1626" i="5"/>
  <c r="M1626" i="5"/>
  <c r="H1627" i="5"/>
  <c r="I1627" i="5"/>
  <c r="J1627" i="5"/>
  <c r="K1627" i="5"/>
  <c r="L1627" i="5"/>
  <c r="M1627" i="5"/>
  <c r="H1628" i="5"/>
  <c r="I1628" i="5"/>
  <c r="J1628" i="5"/>
  <c r="K1628" i="5"/>
  <c r="L1628" i="5"/>
  <c r="M1628" i="5"/>
  <c r="H1629" i="5"/>
  <c r="I1629" i="5"/>
  <c r="J1629" i="5"/>
  <c r="K1629" i="5"/>
  <c r="L1629" i="5"/>
  <c r="M1629" i="5"/>
  <c r="H1630" i="5"/>
  <c r="I1630" i="5"/>
  <c r="J1630" i="5"/>
  <c r="K1630" i="5"/>
  <c r="L1630" i="5"/>
  <c r="M1630" i="5"/>
  <c r="H1631" i="5"/>
  <c r="I1631" i="5"/>
  <c r="J1631" i="5"/>
  <c r="K1631" i="5"/>
  <c r="L1631" i="5"/>
  <c r="M1631" i="5"/>
  <c r="H1632" i="5"/>
  <c r="I1632" i="5"/>
  <c r="J1632" i="5"/>
  <c r="K1632" i="5"/>
  <c r="L1632" i="5"/>
  <c r="M1632" i="5"/>
  <c r="H1633" i="5"/>
  <c r="I1633" i="5"/>
  <c r="J1633" i="5"/>
  <c r="K1633" i="5"/>
  <c r="L1633" i="5"/>
  <c r="M1633" i="5"/>
  <c r="H1634" i="5"/>
  <c r="I1634" i="5"/>
  <c r="J1634" i="5"/>
  <c r="K1634" i="5"/>
  <c r="L1634" i="5"/>
  <c r="M1634" i="5"/>
  <c r="H1635" i="5"/>
  <c r="I1635" i="5"/>
  <c r="J1635" i="5"/>
  <c r="K1635" i="5"/>
  <c r="L1635" i="5"/>
  <c r="M1635" i="5"/>
  <c r="H1636" i="5"/>
  <c r="I1636" i="5"/>
  <c r="J1636" i="5"/>
  <c r="K1636" i="5"/>
  <c r="L1636" i="5"/>
  <c r="M1636" i="5"/>
  <c r="H1637" i="5"/>
  <c r="I1637" i="5"/>
  <c r="J1637" i="5"/>
  <c r="K1637" i="5"/>
  <c r="L1637" i="5"/>
  <c r="M1637" i="5"/>
  <c r="H1638" i="5"/>
  <c r="I1638" i="5"/>
  <c r="J1638" i="5"/>
  <c r="K1638" i="5"/>
  <c r="L1638" i="5"/>
  <c r="M1638" i="5"/>
  <c r="H1639" i="5"/>
  <c r="I1639" i="5"/>
  <c r="J1639" i="5"/>
  <c r="K1639" i="5"/>
  <c r="L1639" i="5"/>
  <c r="M1639" i="5"/>
  <c r="H1640" i="5"/>
  <c r="I1640" i="5"/>
  <c r="J1640" i="5"/>
  <c r="K1640" i="5"/>
  <c r="L1640" i="5"/>
  <c r="M1640" i="5"/>
  <c r="H1641" i="5"/>
  <c r="I1641" i="5"/>
  <c r="J1641" i="5"/>
  <c r="K1641" i="5"/>
  <c r="L1641" i="5"/>
  <c r="M1641" i="5"/>
  <c r="H1642" i="5"/>
  <c r="I1642" i="5"/>
  <c r="J1642" i="5"/>
  <c r="K1642" i="5"/>
  <c r="L1642" i="5"/>
  <c r="M1642" i="5"/>
  <c r="H1643" i="5"/>
  <c r="I1643" i="5"/>
  <c r="J1643" i="5"/>
  <c r="K1643" i="5"/>
  <c r="L1643" i="5"/>
  <c r="M1643" i="5"/>
  <c r="H1644" i="5"/>
  <c r="I1644" i="5"/>
  <c r="J1644" i="5"/>
  <c r="K1644" i="5"/>
  <c r="L1644" i="5"/>
  <c r="M1644" i="5"/>
  <c r="H1645" i="5"/>
  <c r="I1645" i="5"/>
  <c r="J1645" i="5"/>
  <c r="K1645" i="5"/>
  <c r="L1645" i="5"/>
  <c r="M1645" i="5"/>
  <c r="H1646" i="5"/>
  <c r="I1646" i="5"/>
  <c r="J1646" i="5"/>
  <c r="K1646" i="5"/>
  <c r="L1646" i="5"/>
  <c r="M1646" i="5"/>
  <c r="H1647" i="5"/>
  <c r="I1647" i="5"/>
  <c r="J1647" i="5"/>
  <c r="K1647" i="5"/>
  <c r="L1647" i="5"/>
  <c r="M1647" i="5"/>
  <c r="H1648" i="5"/>
  <c r="I1648" i="5"/>
  <c r="J1648" i="5"/>
  <c r="K1648" i="5"/>
  <c r="L1648" i="5"/>
  <c r="M1648" i="5"/>
  <c r="H1649" i="5"/>
  <c r="I1649" i="5"/>
  <c r="J1649" i="5"/>
  <c r="K1649" i="5"/>
  <c r="L1649" i="5"/>
  <c r="M1649" i="5"/>
  <c r="H1650" i="5"/>
  <c r="I1650" i="5"/>
  <c r="J1650" i="5"/>
  <c r="K1650" i="5"/>
  <c r="L1650" i="5"/>
  <c r="M1650" i="5"/>
  <c r="H1651" i="5"/>
  <c r="I1651" i="5"/>
  <c r="J1651" i="5"/>
  <c r="K1651" i="5"/>
  <c r="L1651" i="5"/>
  <c r="M1651" i="5"/>
  <c r="H1652" i="5"/>
  <c r="I1652" i="5"/>
  <c r="J1652" i="5"/>
  <c r="K1652" i="5"/>
  <c r="L1652" i="5"/>
  <c r="M1652" i="5"/>
  <c r="H1653" i="5"/>
  <c r="I1653" i="5"/>
  <c r="J1653" i="5"/>
  <c r="K1653" i="5"/>
  <c r="L1653" i="5"/>
  <c r="M1653" i="5"/>
  <c r="H1654" i="5"/>
  <c r="I1654" i="5"/>
  <c r="J1654" i="5"/>
  <c r="K1654" i="5"/>
  <c r="L1654" i="5"/>
  <c r="M1654" i="5"/>
  <c r="H1655" i="5"/>
  <c r="I1655" i="5"/>
  <c r="J1655" i="5"/>
  <c r="K1655" i="5"/>
  <c r="L1655" i="5"/>
  <c r="M1655" i="5"/>
  <c r="H1656" i="5"/>
  <c r="I1656" i="5"/>
  <c r="J1656" i="5"/>
  <c r="K1656" i="5"/>
  <c r="L1656" i="5"/>
  <c r="M1656" i="5"/>
  <c r="H1657" i="5"/>
  <c r="I1657" i="5"/>
  <c r="J1657" i="5"/>
  <c r="K1657" i="5"/>
  <c r="L1657" i="5"/>
  <c r="M1657" i="5"/>
  <c r="H1658" i="5"/>
  <c r="I1658" i="5"/>
  <c r="J1658" i="5"/>
  <c r="K1658" i="5"/>
  <c r="L1658" i="5"/>
  <c r="M1658" i="5"/>
  <c r="H1659" i="5"/>
  <c r="I1659" i="5"/>
  <c r="J1659" i="5"/>
  <c r="K1659" i="5"/>
  <c r="L1659" i="5"/>
  <c r="M1659" i="5"/>
  <c r="H1660" i="5"/>
  <c r="I1660" i="5"/>
  <c r="J1660" i="5"/>
  <c r="K1660" i="5"/>
  <c r="L1660" i="5"/>
  <c r="M1660" i="5"/>
  <c r="H1661" i="5"/>
  <c r="I1661" i="5"/>
  <c r="J1661" i="5"/>
  <c r="K1661" i="5"/>
  <c r="L1661" i="5"/>
  <c r="M1661" i="5"/>
  <c r="H1662" i="5"/>
  <c r="I1662" i="5"/>
  <c r="J1662" i="5"/>
  <c r="K1662" i="5"/>
  <c r="L1662" i="5"/>
  <c r="M1662" i="5"/>
  <c r="H1663" i="5"/>
  <c r="I1663" i="5"/>
  <c r="J1663" i="5"/>
  <c r="K1663" i="5"/>
  <c r="L1663" i="5"/>
  <c r="M1663" i="5"/>
  <c r="H1664" i="5"/>
  <c r="I1664" i="5"/>
  <c r="J1664" i="5"/>
  <c r="K1664" i="5"/>
  <c r="L1664" i="5"/>
  <c r="M1664" i="5"/>
  <c r="H1665" i="5"/>
  <c r="I1665" i="5"/>
  <c r="J1665" i="5"/>
  <c r="K1665" i="5"/>
  <c r="L1665" i="5"/>
  <c r="M1665" i="5"/>
  <c r="H1666" i="5"/>
  <c r="I1666" i="5"/>
  <c r="J1666" i="5"/>
  <c r="K1666" i="5"/>
  <c r="L1666" i="5"/>
  <c r="M1666" i="5"/>
  <c r="H1667" i="5"/>
  <c r="I1667" i="5"/>
  <c r="J1667" i="5"/>
  <c r="K1667" i="5"/>
  <c r="L1667" i="5"/>
  <c r="M1667" i="5"/>
  <c r="H1668" i="5"/>
  <c r="I1668" i="5"/>
  <c r="J1668" i="5"/>
  <c r="K1668" i="5"/>
  <c r="L1668" i="5"/>
  <c r="M1668" i="5"/>
  <c r="H1669" i="5"/>
  <c r="I1669" i="5"/>
  <c r="J1669" i="5"/>
  <c r="K1669" i="5"/>
  <c r="L1669" i="5"/>
  <c r="M1669" i="5"/>
  <c r="H1670" i="5"/>
  <c r="I1670" i="5"/>
  <c r="J1670" i="5"/>
  <c r="K1670" i="5"/>
  <c r="L1670" i="5"/>
  <c r="M1670" i="5"/>
  <c r="H1671" i="5"/>
  <c r="I1671" i="5"/>
  <c r="J1671" i="5"/>
  <c r="K1671" i="5"/>
  <c r="L1671" i="5"/>
  <c r="M1671" i="5"/>
  <c r="H1672" i="5"/>
  <c r="I1672" i="5"/>
  <c r="J1672" i="5"/>
  <c r="K1672" i="5"/>
  <c r="L1672" i="5"/>
  <c r="M1672" i="5"/>
  <c r="H1673" i="5"/>
  <c r="I1673" i="5"/>
  <c r="J1673" i="5"/>
  <c r="K1673" i="5"/>
  <c r="L1673" i="5"/>
  <c r="M1673" i="5"/>
  <c r="H1674" i="5"/>
  <c r="I1674" i="5"/>
  <c r="J1674" i="5"/>
  <c r="K1674" i="5"/>
  <c r="L1674" i="5"/>
  <c r="M1674" i="5"/>
  <c r="H1675" i="5"/>
  <c r="I1675" i="5"/>
  <c r="J1675" i="5"/>
  <c r="K1675" i="5"/>
  <c r="L1675" i="5"/>
  <c r="M1675" i="5"/>
  <c r="H1676" i="5"/>
  <c r="I1676" i="5"/>
  <c r="J1676" i="5"/>
  <c r="K1676" i="5"/>
  <c r="L1676" i="5"/>
  <c r="M1676" i="5"/>
  <c r="H1677" i="5"/>
  <c r="I1677" i="5"/>
  <c r="J1677" i="5"/>
  <c r="K1677" i="5"/>
  <c r="L1677" i="5"/>
  <c r="M1677" i="5"/>
  <c r="H1678" i="5"/>
  <c r="I1678" i="5"/>
  <c r="J1678" i="5"/>
  <c r="K1678" i="5"/>
  <c r="L1678" i="5"/>
  <c r="M1678" i="5"/>
  <c r="H1679" i="5"/>
  <c r="I1679" i="5"/>
  <c r="J1679" i="5"/>
  <c r="K1679" i="5"/>
  <c r="L1679" i="5"/>
  <c r="M1679" i="5"/>
  <c r="H1680" i="5"/>
  <c r="I1680" i="5"/>
  <c r="J1680" i="5"/>
  <c r="K1680" i="5"/>
  <c r="L1680" i="5"/>
  <c r="M1680" i="5"/>
  <c r="H1681" i="5"/>
  <c r="I1681" i="5"/>
  <c r="J1681" i="5"/>
  <c r="K1681" i="5"/>
  <c r="L1681" i="5"/>
  <c r="M1681" i="5"/>
  <c r="H1682" i="5"/>
  <c r="I1682" i="5"/>
  <c r="J1682" i="5"/>
  <c r="K1682" i="5"/>
  <c r="L1682" i="5"/>
  <c r="M1682" i="5"/>
  <c r="H1683" i="5"/>
  <c r="I1683" i="5"/>
  <c r="J1683" i="5"/>
  <c r="K1683" i="5"/>
  <c r="L1683" i="5"/>
  <c r="M1683" i="5"/>
  <c r="H1684" i="5"/>
  <c r="I1684" i="5"/>
  <c r="J1684" i="5"/>
  <c r="K1684" i="5"/>
  <c r="L1684" i="5"/>
  <c r="M1684" i="5"/>
  <c r="H1685" i="5"/>
  <c r="I1685" i="5"/>
  <c r="J1685" i="5"/>
  <c r="K1685" i="5"/>
  <c r="L1685" i="5"/>
  <c r="M1685" i="5"/>
  <c r="H1686" i="5"/>
  <c r="I1686" i="5"/>
  <c r="J1686" i="5"/>
  <c r="K1686" i="5"/>
  <c r="L1686" i="5"/>
  <c r="M1686" i="5"/>
  <c r="H1687" i="5"/>
  <c r="I1687" i="5"/>
  <c r="J1687" i="5"/>
  <c r="K1687" i="5"/>
  <c r="L1687" i="5"/>
  <c r="M1687" i="5"/>
  <c r="H1688" i="5"/>
  <c r="I1688" i="5"/>
  <c r="J1688" i="5"/>
  <c r="K1688" i="5"/>
  <c r="L1688" i="5"/>
  <c r="M1688" i="5"/>
  <c r="H1689" i="5"/>
  <c r="I1689" i="5"/>
  <c r="J1689" i="5"/>
  <c r="K1689" i="5"/>
  <c r="L1689" i="5"/>
  <c r="M1689" i="5"/>
  <c r="H1690" i="5"/>
  <c r="I1690" i="5"/>
  <c r="J1690" i="5"/>
  <c r="K1690" i="5"/>
  <c r="L1690" i="5"/>
  <c r="M1690" i="5"/>
  <c r="H1691" i="5"/>
  <c r="I1691" i="5"/>
  <c r="J1691" i="5"/>
  <c r="K1691" i="5"/>
  <c r="L1691" i="5"/>
  <c r="M1691" i="5"/>
  <c r="H1692" i="5"/>
  <c r="I1692" i="5"/>
  <c r="J1692" i="5"/>
  <c r="K1692" i="5"/>
  <c r="L1692" i="5"/>
  <c r="M1692" i="5"/>
  <c r="H1693" i="5"/>
  <c r="I1693" i="5"/>
  <c r="J1693" i="5"/>
  <c r="K1693" i="5"/>
  <c r="L1693" i="5"/>
  <c r="M1693" i="5"/>
  <c r="H1694" i="5"/>
  <c r="I1694" i="5"/>
  <c r="J1694" i="5"/>
  <c r="K1694" i="5"/>
  <c r="L1694" i="5"/>
  <c r="M1694" i="5"/>
  <c r="H1695" i="5"/>
  <c r="I1695" i="5"/>
  <c r="J1695" i="5"/>
  <c r="K1695" i="5"/>
  <c r="L1695" i="5"/>
  <c r="M1695" i="5"/>
  <c r="H1696" i="5"/>
  <c r="I1696" i="5"/>
  <c r="J1696" i="5"/>
  <c r="K1696" i="5"/>
  <c r="L1696" i="5"/>
  <c r="M1696" i="5"/>
  <c r="H1697" i="5"/>
  <c r="I1697" i="5"/>
  <c r="J1697" i="5"/>
  <c r="K1697" i="5"/>
  <c r="L1697" i="5"/>
  <c r="M1697" i="5"/>
  <c r="H1698" i="5"/>
  <c r="I1698" i="5"/>
  <c r="J1698" i="5"/>
  <c r="K1698" i="5"/>
  <c r="L1698" i="5"/>
  <c r="M1698" i="5"/>
  <c r="H1699" i="5"/>
  <c r="I1699" i="5"/>
  <c r="J1699" i="5"/>
  <c r="K1699" i="5"/>
  <c r="L1699" i="5"/>
  <c r="M1699" i="5"/>
  <c r="H1700" i="5"/>
  <c r="I1700" i="5"/>
  <c r="J1700" i="5"/>
  <c r="K1700" i="5"/>
  <c r="L1700" i="5"/>
  <c r="M1700" i="5"/>
  <c r="H1701" i="5"/>
  <c r="I1701" i="5"/>
  <c r="J1701" i="5"/>
  <c r="K1701" i="5"/>
  <c r="L1701" i="5"/>
  <c r="M1701" i="5"/>
  <c r="H1702" i="5"/>
  <c r="I1702" i="5"/>
  <c r="J1702" i="5"/>
  <c r="K1702" i="5"/>
  <c r="L1702" i="5"/>
  <c r="M1702" i="5"/>
  <c r="H1703" i="5"/>
  <c r="I1703" i="5"/>
  <c r="J1703" i="5"/>
  <c r="K1703" i="5"/>
  <c r="L1703" i="5"/>
  <c r="M1703" i="5"/>
  <c r="H1704" i="5"/>
  <c r="I1704" i="5"/>
  <c r="J1704" i="5"/>
  <c r="K1704" i="5"/>
  <c r="L1704" i="5"/>
  <c r="M1704" i="5"/>
  <c r="H1705" i="5"/>
  <c r="I1705" i="5"/>
  <c r="J1705" i="5"/>
  <c r="K1705" i="5"/>
  <c r="L1705" i="5"/>
  <c r="M1705" i="5"/>
  <c r="H1706" i="5"/>
  <c r="I1706" i="5"/>
  <c r="J1706" i="5"/>
  <c r="K1706" i="5"/>
  <c r="L1706" i="5"/>
  <c r="M1706" i="5"/>
  <c r="H1707" i="5"/>
  <c r="I1707" i="5"/>
  <c r="J1707" i="5"/>
  <c r="K1707" i="5"/>
  <c r="L1707" i="5"/>
  <c r="M1707" i="5"/>
  <c r="H1708" i="5"/>
  <c r="I1708" i="5"/>
  <c r="J1708" i="5"/>
  <c r="K1708" i="5"/>
  <c r="L1708" i="5"/>
  <c r="M1708" i="5"/>
  <c r="H1709" i="5"/>
  <c r="I1709" i="5"/>
  <c r="J1709" i="5"/>
  <c r="K1709" i="5"/>
  <c r="L1709" i="5"/>
  <c r="M1709" i="5"/>
  <c r="H1710" i="5"/>
  <c r="I1710" i="5"/>
  <c r="J1710" i="5"/>
  <c r="K1710" i="5"/>
  <c r="L1710" i="5"/>
  <c r="M1710" i="5"/>
  <c r="H1711" i="5"/>
  <c r="I1711" i="5"/>
  <c r="J1711" i="5"/>
  <c r="K1711" i="5"/>
  <c r="L1711" i="5"/>
  <c r="M1711" i="5"/>
  <c r="H1712" i="5"/>
  <c r="I1712" i="5"/>
  <c r="J1712" i="5"/>
  <c r="K1712" i="5"/>
  <c r="L1712" i="5"/>
  <c r="M1712" i="5"/>
  <c r="H1713" i="5"/>
  <c r="I1713" i="5"/>
  <c r="J1713" i="5"/>
  <c r="K1713" i="5"/>
  <c r="L1713" i="5"/>
  <c r="M1713" i="5"/>
  <c r="H1714" i="5"/>
  <c r="I1714" i="5"/>
  <c r="J1714" i="5"/>
  <c r="K1714" i="5"/>
  <c r="L1714" i="5"/>
  <c r="M1714" i="5"/>
  <c r="H1715" i="5"/>
  <c r="I1715" i="5"/>
  <c r="J1715" i="5"/>
  <c r="K1715" i="5"/>
  <c r="L1715" i="5"/>
  <c r="M1715" i="5"/>
  <c r="H1716" i="5"/>
  <c r="I1716" i="5"/>
  <c r="J1716" i="5"/>
  <c r="K1716" i="5"/>
  <c r="L1716" i="5"/>
  <c r="M1716" i="5"/>
  <c r="H1717" i="5"/>
  <c r="I1717" i="5"/>
  <c r="J1717" i="5"/>
  <c r="K1717" i="5"/>
  <c r="L1717" i="5"/>
  <c r="M1717" i="5"/>
  <c r="H1718" i="5"/>
  <c r="I1718" i="5"/>
  <c r="J1718" i="5"/>
  <c r="K1718" i="5"/>
  <c r="L1718" i="5"/>
  <c r="M1718" i="5"/>
  <c r="H1719" i="5"/>
  <c r="I1719" i="5"/>
  <c r="J1719" i="5"/>
  <c r="K1719" i="5"/>
  <c r="L1719" i="5"/>
  <c r="M1719" i="5"/>
  <c r="H1720" i="5"/>
  <c r="I1720" i="5"/>
  <c r="J1720" i="5"/>
  <c r="K1720" i="5"/>
  <c r="L1720" i="5"/>
  <c r="M1720" i="5"/>
  <c r="H1721" i="5"/>
  <c r="I1721" i="5"/>
  <c r="J1721" i="5"/>
  <c r="K1721" i="5"/>
  <c r="L1721" i="5"/>
  <c r="M1721" i="5"/>
  <c r="H1722" i="5"/>
  <c r="I1722" i="5"/>
  <c r="J1722" i="5"/>
  <c r="K1722" i="5"/>
  <c r="L1722" i="5"/>
  <c r="M1722" i="5"/>
  <c r="H1723" i="5"/>
  <c r="I1723" i="5"/>
  <c r="J1723" i="5"/>
  <c r="K1723" i="5"/>
  <c r="L1723" i="5"/>
  <c r="M1723" i="5"/>
  <c r="H1724" i="5"/>
  <c r="I1724" i="5"/>
  <c r="J1724" i="5"/>
  <c r="K1724" i="5"/>
  <c r="L1724" i="5"/>
  <c r="M1724" i="5"/>
  <c r="H1725" i="5"/>
  <c r="I1725" i="5"/>
  <c r="J1725" i="5"/>
  <c r="K1725" i="5"/>
  <c r="L1725" i="5"/>
  <c r="M1725" i="5"/>
  <c r="H1726" i="5"/>
  <c r="I1726" i="5"/>
  <c r="J1726" i="5"/>
  <c r="K1726" i="5"/>
  <c r="L1726" i="5"/>
  <c r="M1726" i="5"/>
  <c r="H1727" i="5"/>
  <c r="I1727" i="5"/>
  <c r="J1727" i="5"/>
  <c r="K1727" i="5"/>
  <c r="L1727" i="5"/>
  <c r="M1727" i="5"/>
  <c r="H1728" i="5"/>
  <c r="I1728" i="5"/>
  <c r="J1728" i="5"/>
  <c r="K1728" i="5"/>
  <c r="L1728" i="5"/>
  <c r="M1728" i="5"/>
  <c r="H1729" i="5"/>
  <c r="I1729" i="5"/>
  <c r="J1729" i="5"/>
  <c r="K1729" i="5"/>
  <c r="L1729" i="5"/>
  <c r="M1729" i="5"/>
  <c r="H1730" i="5"/>
  <c r="I1730" i="5"/>
  <c r="J1730" i="5"/>
  <c r="K1730" i="5"/>
  <c r="L1730" i="5"/>
  <c r="M1730" i="5"/>
  <c r="H1731" i="5"/>
  <c r="I1731" i="5"/>
  <c r="J1731" i="5"/>
  <c r="K1731" i="5"/>
  <c r="L1731" i="5"/>
  <c r="M1731" i="5"/>
  <c r="H1732" i="5"/>
  <c r="I1732" i="5"/>
  <c r="J1732" i="5"/>
  <c r="K1732" i="5"/>
  <c r="L1732" i="5"/>
  <c r="M1732" i="5"/>
  <c r="H1733" i="5"/>
  <c r="I1733" i="5"/>
  <c r="J1733" i="5"/>
  <c r="K1733" i="5"/>
  <c r="L1733" i="5"/>
  <c r="M1733" i="5"/>
  <c r="H1734" i="5"/>
  <c r="I1734" i="5"/>
  <c r="J1734" i="5"/>
  <c r="K1734" i="5"/>
  <c r="L1734" i="5"/>
  <c r="M1734" i="5"/>
  <c r="H1735" i="5"/>
  <c r="I1735" i="5"/>
  <c r="J1735" i="5"/>
  <c r="K1735" i="5"/>
  <c r="L1735" i="5"/>
  <c r="M1735" i="5"/>
  <c r="H1736" i="5"/>
  <c r="I1736" i="5"/>
  <c r="J1736" i="5"/>
  <c r="K1736" i="5"/>
  <c r="L1736" i="5"/>
  <c r="M1736" i="5"/>
  <c r="H1737" i="5"/>
  <c r="I1737" i="5"/>
  <c r="J1737" i="5"/>
  <c r="K1737" i="5"/>
  <c r="L1737" i="5"/>
  <c r="M1737" i="5"/>
  <c r="H1738" i="5"/>
  <c r="I1738" i="5"/>
  <c r="J1738" i="5"/>
  <c r="K1738" i="5"/>
  <c r="L1738" i="5"/>
  <c r="M1738" i="5"/>
  <c r="H1739" i="5"/>
  <c r="I1739" i="5"/>
  <c r="J1739" i="5"/>
  <c r="K1739" i="5"/>
  <c r="L1739" i="5"/>
  <c r="M1739" i="5"/>
  <c r="H1740" i="5"/>
  <c r="I1740" i="5"/>
  <c r="J1740" i="5"/>
  <c r="K1740" i="5"/>
  <c r="L1740" i="5"/>
  <c r="M1740" i="5"/>
  <c r="H1741" i="5"/>
  <c r="I1741" i="5"/>
  <c r="J1741" i="5"/>
  <c r="K1741" i="5"/>
  <c r="L1741" i="5"/>
  <c r="M1741" i="5"/>
  <c r="H1742" i="5"/>
  <c r="I1742" i="5"/>
  <c r="J1742" i="5"/>
  <c r="K1742" i="5"/>
  <c r="L1742" i="5"/>
  <c r="M1742" i="5"/>
  <c r="H1743" i="5"/>
  <c r="I1743" i="5"/>
  <c r="J1743" i="5"/>
  <c r="K1743" i="5"/>
  <c r="L1743" i="5"/>
  <c r="M1743" i="5"/>
  <c r="H1744" i="5"/>
  <c r="I1744" i="5"/>
  <c r="J1744" i="5"/>
  <c r="K1744" i="5"/>
  <c r="L1744" i="5"/>
  <c r="M1744" i="5"/>
  <c r="H1745" i="5"/>
  <c r="I1745" i="5"/>
  <c r="J1745" i="5"/>
  <c r="K1745" i="5"/>
  <c r="L1745" i="5"/>
  <c r="M1745" i="5"/>
  <c r="H1746" i="5"/>
  <c r="I1746" i="5"/>
  <c r="J1746" i="5"/>
  <c r="K1746" i="5"/>
  <c r="L1746" i="5"/>
  <c r="M1746" i="5"/>
  <c r="H1747" i="5"/>
  <c r="I1747" i="5"/>
  <c r="J1747" i="5"/>
  <c r="K1747" i="5"/>
  <c r="L1747" i="5"/>
  <c r="M1747" i="5"/>
  <c r="H1748" i="5"/>
  <c r="I1748" i="5"/>
  <c r="J1748" i="5"/>
  <c r="K1748" i="5"/>
  <c r="L1748" i="5"/>
  <c r="M1748" i="5"/>
  <c r="H1749" i="5"/>
  <c r="I1749" i="5"/>
  <c r="J1749" i="5"/>
  <c r="K1749" i="5"/>
  <c r="L1749" i="5"/>
  <c r="M1749" i="5"/>
  <c r="H1750" i="5"/>
  <c r="I1750" i="5"/>
  <c r="J1750" i="5"/>
  <c r="K1750" i="5"/>
  <c r="L1750" i="5"/>
  <c r="M1750" i="5"/>
  <c r="H1751" i="5"/>
  <c r="I1751" i="5"/>
  <c r="J1751" i="5"/>
  <c r="K1751" i="5"/>
  <c r="L1751" i="5"/>
  <c r="M1751" i="5"/>
  <c r="H1752" i="5"/>
  <c r="I1752" i="5"/>
  <c r="J1752" i="5"/>
  <c r="K1752" i="5"/>
  <c r="L1752" i="5"/>
  <c r="M1752" i="5"/>
  <c r="H1753" i="5"/>
  <c r="I1753" i="5"/>
  <c r="J1753" i="5"/>
  <c r="K1753" i="5"/>
  <c r="L1753" i="5"/>
  <c r="M1753" i="5"/>
  <c r="H1754" i="5"/>
  <c r="I1754" i="5"/>
  <c r="J1754" i="5"/>
  <c r="K1754" i="5"/>
  <c r="L1754" i="5"/>
  <c r="M1754" i="5"/>
  <c r="H1755" i="5"/>
  <c r="I1755" i="5"/>
  <c r="J1755" i="5"/>
  <c r="K1755" i="5"/>
  <c r="L1755" i="5"/>
  <c r="M1755" i="5"/>
  <c r="H1756" i="5"/>
  <c r="I1756" i="5"/>
  <c r="J1756" i="5"/>
  <c r="K1756" i="5"/>
  <c r="L1756" i="5"/>
  <c r="M1756" i="5"/>
  <c r="H1757" i="5"/>
  <c r="I1757" i="5"/>
  <c r="J1757" i="5"/>
  <c r="K1757" i="5"/>
  <c r="L1757" i="5"/>
  <c r="M1757" i="5"/>
  <c r="H1758" i="5"/>
  <c r="I1758" i="5"/>
  <c r="J1758" i="5"/>
  <c r="K1758" i="5"/>
  <c r="L1758" i="5"/>
  <c r="M1758" i="5"/>
  <c r="H1759" i="5"/>
  <c r="I1759" i="5"/>
  <c r="J1759" i="5"/>
  <c r="K1759" i="5"/>
  <c r="L1759" i="5"/>
  <c r="M1759" i="5"/>
  <c r="H1760" i="5"/>
  <c r="I1760" i="5"/>
  <c r="J1760" i="5"/>
  <c r="K1760" i="5"/>
  <c r="L1760" i="5"/>
  <c r="M1760" i="5"/>
  <c r="H1761" i="5"/>
  <c r="I1761" i="5"/>
  <c r="J1761" i="5"/>
  <c r="K1761" i="5"/>
  <c r="L1761" i="5"/>
  <c r="M1761" i="5"/>
  <c r="H1762" i="5"/>
  <c r="I1762" i="5"/>
  <c r="J1762" i="5"/>
  <c r="K1762" i="5"/>
  <c r="L1762" i="5"/>
  <c r="M1762" i="5"/>
  <c r="H1763" i="5"/>
  <c r="I1763" i="5"/>
  <c r="J1763" i="5"/>
  <c r="K1763" i="5"/>
  <c r="L1763" i="5"/>
  <c r="M1763" i="5"/>
  <c r="H1764" i="5"/>
  <c r="I1764" i="5"/>
  <c r="J1764" i="5"/>
  <c r="K1764" i="5"/>
  <c r="L1764" i="5"/>
  <c r="M1764" i="5"/>
  <c r="H1765" i="5"/>
  <c r="I1765" i="5"/>
  <c r="J1765" i="5"/>
  <c r="K1765" i="5"/>
  <c r="L1765" i="5"/>
  <c r="M1765" i="5"/>
  <c r="H1766" i="5"/>
  <c r="I1766" i="5"/>
  <c r="J1766" i="5"/>
  <c r="K1766" i="5"/>
  <c r="L1766" i="5"/>
  <c r="M1766" i="5"/>
  <c r="H1767" i="5"/>
  <c r="I1767" i="5"/>
  <c r="J1767" i="5"/>
  <c r="K1767" i="5"/>
  <c r="L1767" i="5"/>
  <c r="M1767" i="5"/>
  <c r="H1768" i="5"/>
  <c r="I1768" i="5"/>
  <c r="J1768" i="5"/>
  <c r="K1768" i="5"/>
  <c r="L1768" i="5"/>
  <c r="M1768" i="5"/>
  <c r="H1769" i="5"/>
  <c r="I1769" i="5"/>
  <c r="J1769" i="5"/>
  <c r="K1769" i="5"/>
  <c r="L1769" i="5"/>
  <c r="M1769" i="5"/>
  <c r="H1770" i="5"/>
  <c r="I1770" i="5"/>
  <c r="J1770" i="5"/>
  <c r="K1770" i="5"/>
  <c r="L1770" i="5"/>
  <c r="M1770" i="5"/>
  <c r="H1771" i="5"/>
  <c r="I1771" i="5"/>
  <c r="J1771" i="5"/>
  <c r="K1771" i="5"/>
  <c r="L1771" i="5"/>
  <c r="M1771" i="5"/>
  <c r="H1772" i="5"/>
  <c r="I1772" i="5"/>
  <c r="J1772" i="5"/>
  <c r="K1772" i="5"/>
  <c r="L1772" i="5"/>
  <c r="M1772" i="5"/>
  <c r="H1773" i="5"/>
  <c r="I1773" i="5"/>
  <c r="J1773" i="5"/>
  <c r="K1773" i="5"/>
  <c r="L1773" i="5"/>
  <c r="M1773" i="5"/>
  <c r="H1774" i="5"/>
  <c r="I1774" i="5"/>
  <c r="J1774" i="5"/>
  <c r="K1774" i="5"/>
  <c r="L1774" i="5"/>
  <c r="M1774" i="5"/>
  <c r="H1775" i="5"/>
  <c r="I1775" i="5"/>
  <c r="J1775" i="5"/>
  <c r="K1775" i="5"/>
  <c r="L1775" i="5"/>
  <c r="M1775" i="5"/>
  <c r="H1776" i="5"/>
  <c r="I1776" i="5"/>
  <c r="J1776" i="5"/>
  <c r="K1776" i="5"/>
  <c r="L1776" i="5"/>
  <c r="M1776" i="5"/>
  <c r="H1777" i="5"/>
  <c r="I1777" i="5"/>
  <c r="J1777" i="5"/>
  <c r="K1777" i="5"/>
  <c r="L1777" i="5"/>
  <c r="M1777" i="5"/>
  <c r="H1778" i="5"/>
  <c r="I1778" i="5"/>
  <c r="J1778" i="5"/>
  <c r="K1778" i="5"/>
  <c r="L1778" i="5"/>
  <c r="M1778" i="5"/>
  <c r="H1779" i="5"/>
  <c r="I1779" i="5"/>
  <c r="J1779" i="5"/>
  <c r="K1779" i="5"/>
  <c r="L1779" i="5"/>
  <c r="M1779" i="5"/>
  <c r="H1780" i="5"/>
  <c r="I1780" i="5"/>
  <c r="J1780" i="5"/>
  <c r="K1780" i="5"/>
  <c r="L1780" i="5"/>
  <c r="M1780" i="5"/>
  <c r="H1781" i="5"/>
  <c r="I1781" i="5"/>
  <c r="J1781" i="5"/>
  <c r="K1781" i="5"/>
  <c r="L1781" i="5"/>
  <c r="M1781" i="5"/>
  <c r="H1782" i="5"/>
  <c r="I1782" i="5"/>
  <c r="J1782" i="5"/>
  <c r="K1782" i="5"/>
  <c r="L1782" i="5"/>
  <c r="M1782" i="5"/>
  <c r="H1783" i="5"/>
  <c r="I1783" i="5"/>
  <c r="J1783" i="5"/>
  <c r="K1783" i="5"/>
  <c r="L1783" i="5"/>
  <c r="M1783" i="5"/>
  <c r="H1784" i="5"/>
  <c r="I1784" i="5"/>
  <c r="J1784" i="5"/>
  <c r="K1784" i="5"/>
  <c r="L1784" i="5"/>
  <c r="M1784" i="5"/>
  <c r="H1785" i="5"/>
  <c r="I1785" i="5"/>
  <c r="J1785" i="5"/>
  <c r="K1785" i="5"/>
  <c r="L1785" i="5"/>
  <c r="M1785" i="5"/>
  <c r="H1786" i="5"/>
  <c r="I1786" i="5"/>
  <c r="J1786" i="5"/>
  <c r="K1786" i="5"/>
  <c r="L1786" i="5"/>
  <c r="M1786" i="5"/>
  <c r="H1787" i="5"/>
  <c r="I1787" i="5"/>
  <c r="J1787" i="5"/>
  <c r="K1787" i="5"/>
  <c r="L1787" i="5"/>
  <c r="M1787" i="5"/>
  <c r="H1788" i="5"/>
  <c r="I1788" i="5"/>
  <c r="J1788" i="5"/>
  <c r="K1788" i="5"/>
  <c r="L1788" i="5"/>
  <c r="M1788" i="5"/>
  <c r="H1789" i="5"/>
  <c r="I1789" i="5"/>
  <c r="J1789" i="5"/>
  <c r="K1789" i="5"/>
  <c r="L1789" i="5"/>
  <c r="M1789" i="5"/>
  <c r="H1790" i="5"/>
  <c r="I1790" i="5"/>
  <c r="J1790" i="5"/>
  <c r="K1790" i="5"/>
  <c r="L1790" i="5"/>
  <c r="M1790" i="5"/>
  <c r="H1791" i="5"/>
  <c r="I1791" i="5"/>
  <c r="J1791" i="5"/>
  <c r="K1791" i="5"/>
  <c r="L1791" i="5"/>
  <c r="M1791" i="5"/>
  <c r="H1792" i="5"/>
  <c r="I1792" i="5"/>
  <c r="J1792" i="5"/>
  <c r="K1792" i="5"/>
  <c r="L1792" i="5"/>
  <c r="M1792" i="5"/>
  <c r="H1793" i="5"/>
  <c r="I1793" i="5"/>
  <c r="J1793" i="5"/>
  <c r="K1793" i="5"/>
  <c r="L1793" i="5"/>
  <c r="M1793" i="5"/>
  <c r="H1794" i="5"/>
  <c r="I1794" i="5"/>
  <c r="J1794" i="5"/>
  <c r="K1794" i="5"/>
  <c r="L1794" i="5"/>
  <c r="M1794" i="5"/>
  <c r="H1795" i="5"/>
  <c r="I1795" i="5"/>
  <c r="J1795" i="5"/>
  <c r="K1795" i="5"/>
  <c r="L1795" i="5"/>
  <c r="M1795" i="5"/>
  <c r="H1796" i="5"/>
  <c r="I1796" i="5"/>
  <c r="J1796" i="5"/>
  <c r="K1796" i="5"/>
  <c r="L1796" i="5"/>
  <c r="M1796" i="5"/>
  <c r="H1797" i="5"/>
  <c r="I1797" i="5"/>
  <c r="J1797" i="5"/>
  <c r="K1797" i="5"/>
  <c r="L1797" i="5"/>
  <c r="M1797" i="5"/>
  <c r="H1798" i="5"/>
  <c r="I1798" i="5"/>
  <c r="J1798" i="5"/>
  <c r="K1798" i="5"/>
  <c r="L1798" i="5"/>
  <c r="M1798" i="5"/>
  <c r="H1799" i="5"/>
  <c r="I1799" i="5"/>
  <c r="J1799" i="5"/>
  <c r="K1799" i="5"/>
  <c r="L1799" i="5"/>
  <c r="M1799" i="5"/>
  <c r="H1800" i="5"/>
  <c r="I1800" i="5"/>
  <c r="J1800" i="5"/>
  <c r="K1800" i="5"/>
  <c r="L1800" i="5"/>
  <c r="M1800" i="5"/>
  <c r="H1801" i="5"/>
  <c r="I1801" i="5"/>
  <c r="J1801" i="5"/>
  <c r="K1801" i="5"/>
  <c r="L1801" i="5"/>
  <c r="M1801" i="5"/>
  <c r="H1802" i="5"/>
  <c r="I1802" i="5"/>
  <c r="J1802" i="5"/>
  <c r="K1802" i="5"/>
  <c r="L1802" i="5"/>
  <c r="M1802" i="5"/>
  <c r="H1803" i="5"/>
  <c r="I1803" i="5"/>
  <c r="J1803" i="5"/>
  <c r="K1803" i="5"/>
  <c r="L1803" i="5"/>
  <c r="M1803" i="5"/>
  <c r="H1804" i="5"/>
  <c r="I1804" i="5"/>
  <c r="J1804" i="5"/>
  <c r="K1804" i="5"/>
  <c r="L1804" i="5"/>
  <c r="M1804" i="5"/>
  <c r="H1805" i="5"/>
  <c r="I1805" i="5"/>
  <c r="J1805" i="5"/>
  <c r="K1805" i="5"/>
  <c r="L1805" i="5"/>
  <c r="M1805" i="5"/>
  <c r="H1806" i="5"/>
  <c r="I1806" i="5"/>
  <c r="J1806" i="5"/>
  <c r="K1806" i="5"/>
  <c r="L1806" i="5"/>
  <c r="M1806" i="5"/>
  <c r="H1807" i="5"/>
  <c r="I1807" i="5"/>
  <c r="J1807" i="5"/>
  <c r="K1807" i="5"/>
  <c r="L1807" i="5"/>
  <c r="M1807" i="5"/>
  <c r="H1808" i="5"/>
  <c r="I1808" i="5"/>
  <c r="J1808" i="5"/>
  <c r="K1808" i="5"/>
  <c r="L1808" i="5"/>
  <c r="M1808" i="5"/>
  <c r="H1809" i="5"/>
  <c r="I1809" i="5"/>
  <c r="J1809" i="5"/>
  <c r="K1809" i="5"/>
  <c r="L1809" i="5"/>
  <c r="M1809" i="5"/>
  <c r="H1810" i="5"/>
  <c r="I1810" i="5"/>
  <c r="J1810" i="5"/>
  <c r="K1810" i="5"/>
  <c r="L1810" i="5"/>
  <c r="M1810" i="5"/>
  <c r="H1811" i="5"/>
  <c r="I1811" i="5"/>
  <c r="J1811" i="5"/>
  <c r="K1811" i="5"/>
  <c r="L1811" i="5"/>
  <c r="M1811" i="5"/>
  <c r="H1812" i="5"/>
  <c r="I1812" i="5"/>
  <c r="J1812" i="5"/>
  <c r="K1812" i="5"/>
  <c r="L1812" i="5"/>
  <c r="M1812" i="5"/>
  <c r="H1813" i="5"/>
  <c r="I1813" i="5"/>
  <c r="J1813" i="5"/>
  <c r="K1813" i="5"/>
  <c r="L1813" i="5"/>
  <c r="M1813" i="5"/>
  <c r="H1814" i="5"/>
  <c r="I1814" i="5"/>
  <c r="J1814" i="5"/>
  <c r="K1814" i="5"/>
  <c r="L1814" i="5"/>
  <c r="M1814" i="5"/>
  <c r="H1815" i="5"/>
  <c r="I1815" i="5"/>
  <c r="J1815" i="5"/>
  <c r="K1815" i="5"/>
  <c r="L1815" i="5"/>
  <c r="M1815" i="5"/>
  <c r="H1816" i="5"/>
  <c r="I1816" i="5"/>
  <c r="J1816" i="5"/>
  <c r="K1816" i="5"/>
  <c r="L1816" i="5"/>
  <c r="M1816" i="5"/>
  <c r="H1817" i="5"/>
  <c r="I1817" i="5"/>
  <c r="J1817" i="5"/>
  <c r="K1817" i="5"/>
  <c r="L1817" i="5"/>
  <c r="M1817" i="5"/>
  <c r="H1818" i="5"/>
  <c r="I1818" i="5"/>
  <c r="J1818" i="5"/>
  <c r="K1818" i="5"/>
  <c r="L1818" i="5"/>
  <c r="M1818" i="5"/>
  <c r="H1819" i="5"/>
  <c r="I1819" i="5"/>
  <c r="J1819" i="5"/>
  <c r="K1819" i="5"/>
  <c r="L1819" i="5"/>
  <c r="M1819" i="5"/>
  <c r="H1820" i="5"/>
  <c r="I1820" i="5"/>
  <c r="J1820" i="5"/>
  <c r="K1820" i="5"/>
  <c r="L1820" i="5"/>
  <c r="M1820" i="5"/>
  <c r="H1821" i="5"/>
  <c r="I1821" i="5"/>
  <c r="J1821" i="5"/>
  <c r="K1821" i="5"/>
  <c r="L1821" i="5"/>
  <c r="M1821" i="5"/>
  <c r="H1822" i="5"/>
  <c r="I1822" i="5"/>
  <c r="J1822" i="5"/>
  <c r="K1822" i="5"/>
  <c r="L1822" i="5"/>
  <c r="M1822" i="5"/>
  <c r="H1823" i="5"/>
  <c r="I1823" i="5"/>
  <c r="J1823" i="5"/>
  <c r="K1823" i="5"/>
  <c r="L1823" i="5"/>
  <c r="M1823" i="5"/>
  <c r="H1824" i="5"/>
  <c r="I1824" i="5"/>
  <c r="J1824" i="5"/>
  <c r="K1824" i="5"/>
  <c r="L1824" i="5"/>
  <c r="M1824" i="5"/>
  <c r="H1825" i="5"/>
  <c r="I1825" i="5"/>
  <c r="J1825" i="5"/>
  <c r="K1825" i="5"/>
  <c r="L1825" i="5"/>
  <c r="M1825" i="5"/>
  <c r="H1826" i="5"/>
  <c r="I1826" i="5"/>
  <c r="J1826" i="5"/>
  <c r="K1826" i="5"/>
  <c r="L1826" i="5"/>
  <c r="M1826" i="5"/>
  <c r="H1827" i="5"/>
  <c r="I1827" i="5"/>
  <c r="J1827" i="5"/>
  <c r="K1827" i="5"/>
  <c r="L1827" i="5"/>
  <c r="M1827" i="5"/>
  <c r="H1828" i="5"/>
  <c r="I1828" i="5"/>
  <c r="J1828" i="5"/>
  <c r="K1828" i="5"/>
  <c r="L1828" i="5"/>
  <c r="M1828" i="5"/>
  <c r="H1829" i="5"/>
  <c r="I1829" i="5"/>
  <c r="J1829" i="5"/>
  <c r="K1829" i="5"/>
  <c r="L1829" i="5"/>
  <c r="M1829" i="5"/>
  <c r="H1830" i="5"/>
  <c r="I1830" i="5"/>
  <c r="J1830" i="5"/>
  <c r="K1830" i="5"/>
  <c r="L1830" i="5"/>
  <c r="M1830" i="5"/>
  <c r="H1831" i="5"/>
  <c r="I1831" i="5"/>
  <c r="J1831" i="5"/>
  <c r="K1831" i="5"/>
  <c r="L1831" i="5"/>
  <c r="M1831" i="5"/>
  <c r="H1832" i="5"/>
  <c r="I1832" i="5"/>
  <c r="J1832" i="5"/>
  <c r="K1832" i="5"/>
  <c r="L1832" i="5"/>
  <c r="M1832" i="5"/>
  <c r="H1833" i="5"/>
  <c r="I1833" i="5"/>
  <c r="J1833" i="5"/>
  <c r="K1833" i="5"/>
  <c r="L1833" i="5"/>
  <c r="M1833" i="5"/>
  <c r="H1834" i="5"/>
  <c r="I1834" i="5"/>
  <c r="J1834" i="5"/>
  <c r="K1834" i="5"/>
  <c r="L1834" i="5"/>
  <c r="M1834" i="5"/>
  <c r="H1835" i="5"/>
  <c r="I1835" i="5"/>
  <c r="J1835" i="5"/>
  <c r="K1835" i="5"/>
  <c r="L1835" i="5"/>
  <c r="M1835" i="5"/>
  <c r="H1836" i="5"/>
  <c r="I1836" i="5"/>
  <c r="J1836" i="5"/>
  <c r="K1836" i="5"/>
  <c r="L1836" i="5"/>
  <c r="M1836" i="5"/>
  <c r="H1837" i="5"/>
  <c r="I1837" i="5"/>
  <c r="J1837" i="5"/>
  <c r="K1837" i="5"/>
  <c r="L1837" i="5"/>
  <c r="M1837" i="5"/>
  <c r="H1838" i="5"/>
  <c r="I1838" i="5"/>
  <c r="J1838" i="5"/>
  <c r="K1838" i="5"/>
  <c r="L1838" i="5"/>
  <c r="M1838" i="5"/>
  <c r="H1839" i="5"/>
  <c r="I1839" i="5"/>
  <c r="J1839" i="5"/>
  <c r="K1839" i="5"/>
  <c r="L1839" i="5"/>
  <c r="M1839" i="5"/>
  <c r="H1840" i="5"/>
  <c r="I1840" i="5"/>
  <c r="J1840" i="5"/>
  <c r="K1840" i="5"/>
  <c r="L1840" i="5"/>
  <c r="M1840" i="5"/>
  <c r="H1841" i="5"/>
  <c r="I1841" i="5"/>
  <c r="J1841" i="5"/>
  <c r="K1841" i="5"/>
  <c r="L1841" i="5"/>
  <c r="M1841" i="5"/>
  <c r="H1842" i="5"/>
  <c r="I1842" i="5"/>
  <c r="J1842" i="5"/>
  <c r="K1842" i="5"/>
  <c r="L1842" i="5"/>
  <c r="M1842" i="5"/>
  <c r="H1843" i="5"/>
  <c r="I1843" i="5"/>
  <c r="J1843" i="5"/>
  <c r="K1843" i="5"/>
  <c r="L1843" i="5"/>
  <c r="M1843" i="5"/>
  <c r="H1844" i="5"/>
  <c r="I1844" i="5"/>
  <c r="J1844" i="5"/>
  <c r="K1844" i="5"/>
  <c r="L1844" i="5"/>
  <c r="M1844" i="5"/>
  <c r="H1845" i="5"/>
  <c r="I1845" i="5"/>
  <c r="J1845" i="5"/>
  <c r="K1845" i="5"/>
  <c r="L1845" i="5"/>
  <c r="M1845" i="5"/>
  <c r="H1846" i="5"/>
  <c r="I1846" i="5"/>
  <c r="J1846" i="5"/>
  <c r="K1846" i="5"/>
  <c r="L1846" i="5"/>
  <c r="M1846" i="5"/>
  <c r="H1847" i="5"/>
  <c r="I1847" i="5"/>
  <c r="J1847" i="5"/>
  <c r="K1847" i="5"/>
  <c r="L1847" i="5"/>
  <c r="M1847" i="5"/>
  <c r="H1848" i="5"/>
  <c r="I1848" i="5"/>
  <c r="J1848" i="5"/>
  <c r="K1848" i="5"/>
  <c r="L1848" i="5"/>
  <c r="M1848" i="5"/>
  <c r="H1849" i="5"/>
  <c r="I1849" i="5"/>
  <c r="J1849" i="5"/>
  <c r="K1849" i="5"/>
  <c r="L1849" i="5"/>
  <c r="M1849" i="5"/>
  <c r="H1850" i="5"/>
  <c r="I1850" i="5"/>
  <c r="J1850" i="5"/>
  <c r="K1850" i="5"/>
  <c r="L1850" i="5"/>
  <c r="M1850" i="5"/>
  <c r="H1851" i="5"/>
  <c r="I1851" i="5"/>
  <c r="J1851" i="5"/>
  <c r="K1851" i="5"/>
  <c r="L1851" i="5"/>
  <c r="M1851" i="5"/>
  <c r="H1852" i="5"/>
  <c r="I1852" i="5"/>
  <c r="J1852" i="5"/>
  <c r="K1852" i="5"/>
  <c r="L1852" i="5"/>
  <c r="M1852" i="5"/>
  <c r="H1853" i="5"/>
  <c r="I1853" i="5"/>
  <c r="J1853" i="5"/>
  <c r="K1853" i="5"/>
  <c r="L1853" i="5"/>
  <c r="M1853" i="5"/>
  <c r="H1854" i="5"/>
  <c r="I1854" i="5"/>
  <c r="J1854" i="5"/>
  <c r="K1854" i="5"/>
  <c r="L1854" i="5"/>
  <c r="M1854" i="5"/>
  <c r="H1855" i="5"/>
  <c r="I1855" i="5"/>
  <c r="J1855" i="5"/>
  <c r="K1855" i="5"/>
  <c r="L1855" i="5"/>
  <c r="M1855" i="5"/>
  <c r="H1856" i="5"/>
  <c r="I1856" i="5"/>
  <c r="J1856" i="5"/>
  <c r="K1856" i="5"/>
  <c r="L1856" i="5"/>
  <c r="M1856" i="5"/>
  <c r="H1857" i="5"/>
  <c r="I1857" i="5"/>
  <c r="J1857" i="5"/>
  <c r="K1857" i="5"/>
  <c r="L1857" i="5"/>
  <c r="M1857" i="5"/>
  <c r="H1858" i="5"/>
  <c r="I1858" i="5"/>
  <c r="J1858" i="5"/>
  <c r="K1858" i="5"/>
  <c r="L1858" i="5"/>
  <c r="M1858" i="5"/>
  <c r="H1859" i="5"/>
  <c r="I1859" i="5"/>
  <c r="J1859" i="5"/>
  <c r="K1859" i="5"/>
  <c r="L1859" i="5"/>
  <c r="M1859" i="5"/>
  <c r="H1860" i="5"/>
  <c r="I1860" i="5"/>
  <c r="J1860" i="5"/>
  <c r="K1860" i="5"/>
  <c r="L1860" i="5"/>
  <c r="M1860" i="5"/>
  <c r="H1861" i="5"/>
  <c r="I1861" i="5"/>
  <c r="J1861" i="5"/>
  <c r="K1861" i="5"/>
  <c r="L1861" i="5"/>
  <c r="M1861" i="5"/>
  <c r="H1862" i="5"/>
  <c r="I1862" i="5"/>
  <c r="J1862" i="5"/>
  <c r="K1862" i="5"/>
  <c r="L1862" i="5"/>
  <c r="M1862" i="5"/>
  <c r="H1863" i="5"/>
  <c r="I1863" i="5"/>
  <c r="J1863" i="5"/>
  <c r="K1863" i="5"/>
  <c r="L1863" i="5"/>
  <c r="M1863" i="5"/>
  <c r="H1864" i="5"/>
  <c r="I1864" i="5"/>
  <c r="J1864" i="5"/>
  <c r="K1864" i="5"/>
  <c r="L1864" i="5"/>
  <c r="M1864" i="5"/>
  <c r="H1865" i="5"/>
  <c r="I1865" i="5"/>
  <c r="J1865" i="5"/>
  <c r="K1865" i="5"/>
  <c r="L1865" i="5"/>
  <c r="M1865" i="5"/>
  <c r="H1866" i="5"/>
  <c r="I1866" i="5"/>
  <c r="J1866" i="5"/>
  <c r="K1866" i="5"/>
  <c r="L1866" i="5"/>
  <c r="M1866" i="5"/>
  <c r="H1867" i="5"/>
  <c r="I1867" i="5"/>
  <c r="J1867" i="5"/>
  <c r="K1867" i="5"/>
  <c r="L1867" i="5"/>
  <c r="M1867" i="5"/>
  <c r="H1868" i="5"/>
  <c r="I1868" i="5"/>
  <c r="J1868" i="5"/>
  <c r="K1868" i="5"/>
  <c r="L1868" i="5"/>
  <c r="M1868" i="5"/>
  <c r="H1869" i="5"/>
  <c r="I1869" i="5"/>
  <c r="J1869" i="5"/>
  <c r="K1869" i="5"/>
  <c r="L1869" i="5"/>
  <c r="M1869" i="5"/>
  <c r="H1870" i="5"/>
  <c r="I1870" i="5"/>
  <c r="J1870" i="5"/>
  <c r="K1870" i="5"/>
  <c r="L1870" i="5"/>
  <c r="M1870" i="5"/>
  <c r="H1871" i="5"/>
  <c r="I1871" i="5"/>
  <c r="J1871" i="5"/>
  <c r="K1871" i="5"/>
  <c r="L1871" i="5"/>
  <c r="M1871" i="5"/>
  <c r="H1872" i="5"/>
  <c r="I1872" i="5"/>
  <c r="J1872" i="5"/>
  <c r="K1872" i="5"/>
  <c r="L1872" i="5"/>
  <c r="M1872" i="5"/>
  <c r="H1873" i="5"/>
  <c r="I1873" i="5"/>
  <c r="J1873" i="5"/>
  <c r="K1873" i="5"/>
  <c r="L1873" i="5"/>
  <c r="M1873" i="5"/>
  <c r="H1874" i="5"/>
  <c r="I1874" i="5"/>
  <c r="J1874" i="5"/>
  <c r="K1874" i="5"/>
  <c r="L1874" i="5"/>
  <c r="M1874" i="5"/>
  <c r="H1875" i="5"/>
  <c r="I1875" i="5"/>
  <c r="J1875" i="5"/>
  <c r="K1875" i="5"/>
  <c r="L1875" i="5"/>
  <c r="M1875" i="5"/>
  <c r="H1876" i="5"/>
  <c r="I1876" i="5"/>
  <c r="J1876" i="5"/>
  <c r="K1876" i="5"/>
  <c r="L1876" i="5"/>
  <c r="M1876" i="5"/>
  <c r="H1877" i="5"/>
  <c r="I1877" i="5"/>
  <c r="J1877" i="5"/>
  <c r="K1877" i="5"/>
  <c r="L1877" i="5"/>
  <c r="M1877" i="5"/>
  <c r="H1878" i="5"/>
  <c r="I1878" i="5"/>
  <c r="J1878" i="5"/>
  <c r="K1878" i="5"/>
  <c r="L1878" i="5"/>
  <c r="M1878" i="5"/>
  <c r="H1879" i="5"/>
  <c r="I1879" i="5"/>
  <c r="J1879" i="5"/>
  <c r="K1879" i="5"/>
  <c r="L1879" i="5"/>
  <c r="M1879" i="5"/>
  <c r="H1880" i="5"/>
  <c r="I1880" i="5"/>
  <c r="J1880" i="5"/>
  <c r="K1880" i="5"/>
  <c r="L1880" i="5"/>
  <c r="M1880" i="5"/>
  <c r="H1881" i="5"/>
  <c r="I1881" i="5"/>
  <c r="J1881" i="5"/>
  <c r="K1881" i="5"/>
  <c r="L1881" i="5"/>
  <c r="M1881" i="5"/>
  <c r="H1882" i="5"/>
  <c r="I1882" i="5"/>
  <c r="J1882" i="5"/>
  <c r="K1882" i="5"/>
  <c r="L1882" i="5"/>
  <c r="M1882" i="5"/>
  <c r="H1883" i="5"/>
  <c r="I1883" i="5"/>
  <c r="J1883" i="5"/>
  <c r="K1883" i="5"/>
  <c r="L1883" i="5"/>
  <c r="M1883" i="5"/>
  <c r="H1884" i="5"/>
  <c r="I1884" i="5"/>
  <c r="J1884" i="5"/>
  <c r="K1884" i="5"/>
  <c r="L1884" i="5"/>
  <c r="M1884" i="5"/>
  <c r="H1885" i="5"/>
  <c r="I1885" i="5"/>
  <c r="J1885" i="5"/>
  <c r="K1885" i="5"/>
  <c r="L1885" i="5"/>
  <c r="M1885" i="5"/>
  <c r="H1886" i="5"/>
  <c r="I1886" i="5"/>
  <c r="J1886" i="5"/>
  <c r="K1886" i="5"/>
  <c r="L1886" i="5"/>
  <c r="M1886" i="5"/>
  <c r="H1887" i="5"/>
  <c r="I1887" i="5"/>
  <c r="J1887" i="5"/>
  <c r="K1887" i="5"/>
  <c r="L1887" i="5"/>
  <c r="M1887" i="5"/>
  <c r="H1888" i="5"/>
  <c r="I1888" i="5"/>
  <c r="J1888" i="5"/>
  <c r="K1888" i="5"/>
  <c r="L1888" i="5"/>
  <c r="M1888" i="5"/>
  <c r="H1889" i="5"/>
  <c r="I1889" i="5"/>
  <c r="J1889" i="5"/>
  <c r="K1889" i="5"/>
  <c r="L1889" i="5"/>
  <c r="M1889" i="5"/>
  <c r="H1890" i="5"/>
  <c r="I1890" i="5"/>
  <c r="J1890" i="5"/>
  <c r="K1890" i="5"/>
  <c r="L1890" i="5"/>
  <c r="M1890" i="5"/>
  <c r="H1891" i="5"/>
  <c r="I1891" i="5"/>
  <c r="J1891" i="5"/>
  <c r="K1891" i="5"/>
  <c r="L1891" i="5"/>
  <c r="M1891" i="5"/>
  <c r="H1892" i="5"/>
  <c r="I1892" i="5"/>
  <c r="J1892" i="5"/>
  <c r="K1892" i="5"/>
  <c r="L1892" i="5"/>
  <c r="M1892" i="5"/>
  <c r="H1893" i="5"/>
  <c r="I1893" i="5"/>
  <c r="J1893" i="5"/>
  <c r="K1893" i="5"/>
  <c r="L1893" i="5"/>
  <c r="M1893" i="5"/>
  <c r="H1894" i="5"/>
  <c r="I1894" i="5"/>
  <c r="J1894" i="5"/>
  <c r="K1894" i="5"/>
  <c r="L1894" i="5"/>
  <c r="M1894" i="5"/>
  <c r="H1895" i="5"/>
  <c r="I1895" i="5"/>
  <c r="J1895" i="5"/>
  <c r="K1895" i="5"/>
  <c r="L1895" i="5"/>
  <c r="M1895" i="5"/>
  <c r="H1896" i="5"/>
  <c r="I1896" i="5"/>
  <c r="J1896" i="5"/>
  <c r="K1896" i="5"/>
  <c r="L1896" i="5"/>
  <c r="M1896" i="5"/>
  <c r="H1897" i="5"/>
  <c r="I1897" i="5"/>
  <c r="J1897" i="5"/>
  <c r="K1897" i="5"/>
  <c r="L1897" i="5"/>
  <c r="M1897" i="5"/>
  <c r="H1898" i="5"/>
  <c r="I1898" i="5"/>
  <c r="J1898" i="5"/>
  <c r="K1898" i="5"/>
  <c r="L1898" i="5"/>
  <c r="M1898" i="5"/>
  <c r="H1899" i="5"/>
  <c r="I1899" i="5"/>
  <c r="J1899" i="5"/>
  <c r="K1899" i="5"/>
  <c r="L1899" i="5"/>
  <c r="M1899" i="5"/>
  <c r="H1900" i="5"/>
  <c r="I1900" i="5"/>
  <c r="J1900" i="5"/>
  <c r="K1900" i="5"/>
  <c r="L1900" i="5"/>
  <c r="M1900" i="5"/>
  <c r="H1901" i="5"/>
  <c r="I1901" i="5"/>
  <c r="J1901" i="5"/>
  <c r="K1901" i="5"/>
  <c r="L1901" i="5"/>
  <c r="M1901" i="5"/>
  <c r="H1902" i="5"/>
  <c r="I1902" i="5"/>
  <c r="J1902" i="5"/>
  <c r="K1902" i="5"/>
  <c r="L1902" i="5"/>
  <c r="M1902" i="5"/>
  <c r="H1903" i="5"/>
  <c r="I1903" i="5"/>
  <c r="J1903" i="5"/>
  <c r="K1903" i="5"/>
  <c r="L1903" i="5"/>
  <c r="M1903" i="5"/>
  <c r="H1904" i="5"/>
  <c r="I1904" i="5"/>
  <c r="J1904" i="5"/>
  <c r="K1904" i="5"/>
  <c r="L1904" i="5"/>
  <c r="M1904" i="5"/>
  <c r="H1905" i="5"/>
  <c r="I1905" i="5"/>
  <c r="J1905" i="5"/>
  <c r="K1905" i="5"/>
  <c r="L1905" i="5"/>
  <c r="M1905" i="5"/>
  <c r="H1906" i="5"/>
  <c r="I1906" i="5"/>
  <c r="J1906" i="5"/>
  <c r="K1906" i="5"/>
  <c r="L1906" i="5"/>
  <c r="M1906" i="5"/>
  <c r="H1907" i="5"/>
  <c r="I1907" i="5"/>
  <c r="J1907" i="5"/>
  <c r="K1907" i="5"/>
  <c r="L1907" i="5"/>
  <c r="M1907" i="5"/>
  <c r="H1908" i="5"/>
  <c r="I1908" i="5"/>
  <c r="J1908" i="5"/>
  <c r="K1908" i="5"/>
  <c r="L1908" i="5"/>
  <c r="M1908" i="5"/>
  <c r="H1909" i="5"/>
  <c r="I1909" i="5"/>
  <c r="J1909" i="5"/>
  <c r="K1909" i="5"/>
  <c r="L1909" i="5"/>
  <c r="M1909" i="5"/>
  <c r="H1910" i="5"/>
  <c r="I1910" i="5"/>
  <c r="J1910" i="5"/>
  <c r="K1910" i="5"/>
  <c r="L1910" i="5"/>
  <c r="M1910" i="5"/>
  <c r="H1911" i="5"/>
  <c r="I1911" i="5"/>
  <c r="J1911" i="5"/>
  <c r="K1911" i="5"/>
  <c r="L1911" i="5"/>
  <c r="M1911" i="5"/>
  <c r="H1912" i="5"/>
  <c r="I1912" i="5"/>
  <c r="J1912" i="5"/>
  <c r="K1912" i="5"/>
  <c r="L1912" i="5"/>
  <c r="M1912" i="5"/>
  <c r="H1913" i="5"/>
  <c r="I1913" i="5"/>
  <c r="J1913" i="5"/>
  <c r="K1913" i="5"/>
  <c r="L1913" i="5"/>
  <c r="M1913" i="5"/>
  <c r="H1914" i="5"/>
  <c r="I1914" i="5"/>
  <c r="J1914" i="5"/>
  <c r="K1914" i="5"/>
  <c r="L1914" i="5"/>
  <c r="M1914" i="5"/>
  <c r="H1915" i="5"/>
  <c r="I1915" i="5"/>
  <c r="J1915" i="5"/>
  <c r="K1915" i="5"/>
  <c r="L1915" i="5"/>
  <c r="M1915" i="5"/>
  <c r="H1916" i="5"/>
  <c r="I1916" i="5"/>
  <c r="J1916" i="5"/>
  <c r="K1916" i="5"/>
  <c r="L1916" i="5"/>
  <c r="M1916" i="5"/>
  <c r="H1917" i="5"/>
  <c r="I1917" i="5"/>
  <c r="J1917" i="5"/>
  <c r="K1917" i="5"/>
  <c r="L1917" i="5"/>
  <c r="M1917" i="5"/>
  <c r="H1918" i="5"/>
  <c r="I1918" i="5"/>
  <c r="J1918" i="5"/>
  <c r="K1918" i="5"/>
  <c r="L1918" i="5"/>
  <c r="M1918" i="5"/>
  <c r="H1919" i="5"/>
  <c r="I1919" i="5"/>
  <c r="J1919" i="5"/>
  <c r="K1919" i="5"/>
  <c r="L1919" i="5"/>
  <c r="M1919" i="5"/>
  <c r="H1920" i="5"/>
  <c r="I1920" i="5"/>
  <c r="J1920" i="5"/>
  <c r="K1920" i="5"/>
  <c r="L1920" i="5"/>
  <c r="M1920" i="5"/>
  <c r="H1921" i="5"/>
  <c r="I1921" i="5"/>
  <c r="J1921" i="5"/>
  <c r="K1921" i="5"/>
  <c r="L1921" i="5"/>
  <c r="M1921" i="5"/>
  <c r="H1922" i="5"/>
  <c r="I1922" i="5"/>
  <c r="J1922" i="5"/>
  <c r="K1922" i="5"/>
  <c r="L1922" i="5"/>
  <c r="M1922" i="5"/>
  <c r="H1923" i="5"/>
  <c r="I1923" i="5"/>
  <c r="J1923" i="5"/>
  <c r="K1923" i="5"/>
  <c r="L1923" i="5"/>
  <c r="M1923" i="5"/>
  <c r="H1924" i="5"/>
  <c r="I1924" i="5"/>
  <c r="J1924" i="5"/>
  <c r="K1924" i="5"/>
  <c r="L1924" i="5"/>
  <c r="M1924" i="5"/>
  <c r="H1925" i="5"/>
  <c r="I1925" i="5"/>
  <c r="J1925" i="5"/>
  <c r="K1925" i="5"/>
  <c r="L1925" i="5"/>
  <c r="M1925" i="5"/>
  <c r="H1926" i="5"/>
  <c r="I1926" i="5"/>
  <c r="J1926" i="5"/>
  <c r="K1926" i="5"/>
  <c r="L1926" i="5"/>
  <c r="M1926" i="5"/>
  <c r="H1927" i="5"/>
  <c r="I1927" i="5"/>
  <c r="J1927" i="5"/>
  <c r="K1927" i="5"/>
  <c r="L1927" i="5"/>
  <c r="M1927" i="5"/>
  <c r="H1928" i="5"/>
  <c r="I1928" i="5"/>
  <c r="J1928" i="5"/>
  <c r="K1928" i="5"/>
  <c r="L1928" i="5"/>
  <c r="M1928" i="5"/>
  <c r="H1929" i="5"/>
  <c r="I1929" i="5"/>
  <c r="J1929" i="5"/>
  <c r="K1929" i="5"/>
  <c r="L1929" i="5"/>
  <c r="M1929" i="5"/>
  <c r="H1930" i="5"/>
  <c r="I1930" i="5"/>
  <c r="J1930" i="5"/>
  <c r="K1930" i="5"/>
  <c r="L1930" i="5"/>
  <c r="M1930" i="5"/>
  <c r="H1931" i="5"/>
  <c r="I1931" i="5"/>
  <c r="J1931" i="5"/>
  <c r="K1931" i="5"/>
  <c r="L1931" i="5"/>
  <c r="M1931" i="5"/>
  <c r="H1932" i="5"/>
  <c r="I1932" i="5"/>
  <c r="J1932" i="5"/>
  <c r="K1932" i="5"/>
  <c r="L1932" i="5"/>
  <c r="M1932" i="5"/>
  <c r="H1933" i="5"/>
  <c r="I1933" i="5"/>
  <c r="J1933" i="5"/>
  <c r="K1933" i="5"/>
  <c r="L1933" i="5"/>
  <c r="M1933" i="5"/>
  <c r="H1934" i="5"/>
  <c r="I1934" i="5"/>
  <c r="J1934" i="5"/>
  <c r="K1934" i="5"/>
  <c r="L1934" i="5"/>
  <c r="M1934" i="5"/>
  <c r="H1935" i="5"/>
  <c r="I1935" i="5"/>
  <c r="J1935" i="5"/>
  <c r="K1935" i="5"/>
  <c r="L1935" i="5"/>
  <c r="M1935" i="5"/>
  <c r="H1936" i="5"/>
  <c r="I1936" i="5"/>
  <c r="J1936" i="5"/>
  <c r="K1936" i="5"/>
  <c r="L1936" i="5"/>
  <c r="M1936" i="5"/>
  <c r="H1937" i="5"/>
  <c r="I1937" i="5"/>
  <c r="J1937" i="5"/>
  <c r="K1937" i="5"/>
  <c r="L1937" i="5"/>
  <c r="M1937" i="5"/>
  <c r="H1938" i="5"/>
  <c r="I1938" i="5"/>
  <c r="J1938" i="5"/>
  <c r="K1938" i="5"/>
  <c r="L1938" i="5"/>
  <c r="M1938" i="5"/>
  <c r="H1939" i="5"/>
  <c r="I1939" i="5"/>
  <c r="J1939" i="5"/>
  <c r="K1939" i="5"/>
  <c r="L1939" i="5"/>
  <c r="M1939" i="5"/>
  <c r="H1940" i="5"/>
  <c r="I1940" i="5"/>
  <c r="J1940" i="5"/>
  <c r="K1940" i="5"/>
  <c r="L1940" i="5"/>
  <c r="M1940" i="5"/>
  <c r="H1941" i="5"/>
  <c r="I1941" i="5"/>
  <c r="J1941" i="5"/>
  <c r="K1941" i="5"/>
  <c r="L1941" i="5"/>
  <c r="M1941" i="5"/>
  <c r="H1942" i="5"/>
  <c r="I1942" i="5"/>
  <c r="J1942" i="5"/>
  <c r="K1942" i="5"/>
  <c r="L1942" i="5"/>
  <c r="M1942" i="5"/>
  <c r="H1943" i="5"/>
  <c r="I1943" i="5"/>
  <c r="J1943" i="5"/>
  <c r="K1943" i="5"/>
  <c r="L1943" i="5"/>
  <c r="M1943" i="5"/>
  <c r="H1944" i="5"/>
  <c r="I1944" i="5"/>
  <c r="J1944" i="5"/>
  <c r="K1944" i="5"/>
  <c r="L1944" i="5"/>
  <c r="M1944" i="5"/>
  <c r="H1945" i="5"/>
  <c r="I1945" i="5"/>
  <c r="J1945" i="5"/>
  <c r="K1945" i="5"/>
  <c r="L1945" i="5"/>
  <c r="M1945" i="5"/>
  <c r="H1946" i="5"/>
  <c r="I1946" i="5"/>
  <c r="J1946" i="5"/>
  <c r="K1946" i="5"/>
  <c r="L1946" i="5"/>
  <c r="M1946" i="5"/>
  <c r="H1947" i="5"/>
  <c r="I1947" i="5"/>
  <c r="J1947" i="5"/>
  <c r="K1947" i="5"/>
  <c r="L1947" i="5"/>
  <c r="M1947" i="5"/>
  <c r="H1948" i="5"/>
  <c r="I1948" i="5"/>
  <c r="J1948" i="5"/>
  <c r="K1948" i="5"/>
  <c r="L1948" i="5"/>
  <c r="M1948" i="5"/>
  <c r="H1949" i="5"/>
  <c r="I1949" i="5"/>
  <c r="J1949" i="5"/>
  <c r="K1949" i="5"/>
  <c r="L1949" i="5"/>
  <c r="M1949" i="5"/>
  <c r="H1950" i="5"/>
  <c r="I1950" i="5"/>
  <c r="J1950" i="5"/>
  <c r="K1950" i="5"/>
  <c r="L1950" i="5"/>
  <c r="M1950" i="5"/>
  <c r="H1951" i="5"/>
  <c r="I1951" i="5"/>
  <c r="J1951" i="5"/>
  <c r="K1951" i="5"/>
  <c r="L1951" i="5"/>
  <c r="M1951" i="5"/>
  <c r="H1952" i="5"/>
  <c r="I1952" i="5"/>
  <c r="J1952" i="5"/>
  <c r="K1952" i="5"/>
  <c r="L1952" i="5"/>
  <c r="M1952" i="5"/>
  <c r="H1953" i="5"/>
  <c r="I1953" i="5"/>
  <c r="J1953" i="5"/>
  <c r="K1953" i="5"/>
  <c r="L1953" i="5"/>
  <c r="M1953" i="5"/>
  <c r="H1954" i="5"/>
  <c r="I1954" i="5"/>
  <c r="J1954" i="5"/>
  <c r="K1954" i="5"/>
  <c r="L1954" i="5"/>
  <c r="M1954" i="5"/>
  <c r="H1955" i="5"/>
  <c r="I1955" i="5"/>
  <c r="J1955" i="5"/>
  <c r="K1955" i="5"/>
  <c r="L1955" i="5"/>
  <c r="M1955" i="5"/>
  <c r="H1956" i="5"/>
  <c r="I1956" i="5"/>
  <c r="J1956" i="5"/>
  <c r="K1956" i="5"/>
  <c r="L1956" i="5"/>
  <c r="M1956" i="5"/>
  <c r="H1957" i="5"/>
  <c r="I1957" i="5"/>
  <c r="J1957" i="5"/>
  <c r="K1957" i="5"/>
  <c r="L1957" i="5"/>
  <c r="M1957" i="5"/>
  <c r="H1958" i="5"/>
  <c r="I1958" i="5"/>
  <c r="J1958" i="5"/>
  <c r="K1958" i="5"/>
  <c r="L1958" i="5"/>
  <c r="M1958" i="5"/>
  <c r="H1959" i="5"/>
  <c r="I1959" i="5"/>
  <c r="J1959" i="5"/>
  <c r="K1959" i="5"/>
  <c r="L1959" i="5"/>
  <c r="M1959" i="5"/>
  <c r="H1960" i="5"/>
  <c r="I1960" i="5"/>
  <c r="J1960" i="5"/>
  <c r="K1960" i="5"/>
  <c r="L1960" i="5"/>
  <c r="M1960" i="5"/>
  <c r="H1961" i="5"/>
  <c r="I1961" i="5"/>
  <c r="J1961" i="5"/>
  <c r="K1961" i="5"/>
  <c r="L1961" i="5"/>
  <c r="M1961" i="5"/>
  <c r="H1962" i="5"/>
  <c r="I1962" i="5"/>
  <c r="J1962" i="5"/>
  <c r="K1962" i="5"/>
  <c r="L1962" i="5"/>
  <c r="M1962" i="5"/>
  <c r="H1963" i="5"/>
  <c r="I1963" i="5"/>
  <c r="J1963" i="5"/>
  <c r="K1963" i="5"/>
  <c r="L1963" i="5"/>
  <c r="M1963" i="5"/>
  <c r="H1964" i="5"/>
  <c r="I1964" i="5"/>
  <c r="J1964" i="5"/>
  <c r="K1964" i="5"/>
  <c r="L1964" i="5"/>
  <c r="M1964" i="5"/>
  <c r="H1965" i="5"/>
  <c r="I1965" i="5"/>
  <c r="J1965" i="5"/>
  <c r="K1965" i="5"/>
  <c r="L1965" i="5"/>
  <c r="M1965" i="5"/>
  <c r="H1966" i="5"/>
  <c r="I1966" i="5"/>
  <c r="J1966" i="5"/>
  <c r="K1966" i="5"/>
  <c r="L1966" i="5"/>
  <c r="M1966" i="5"/>
  <c r="H1967" i="5"/>
  <c r="I1967" i="5"/>
  <c r="J1967" i="5"/>
  <c r="K1967" i="5"/>
  <c r="L1967" i="5"/>
  <c r="M1967" i="5"/>
  <c r="H1968" i="5"/>
  <c r="I1968" i="5"/>
  <c r="J1968" i="5"/>
  <c r="K1968" i="5"/>
  <c r="L1968" i="5"/>
  <c r="M1968" i="5"/>
  <c r="H1969" i="5"/>
  <c r="I1969" i="5"/>
  <c r="J1969" i="5"/>
  <c r="K1969" i="5"/>
  <c r="L1969" i="5"/>
  <c r="M1969" i="5"/>
  <c r="H1970" i="5"/>
  <c r="I1970" i="5"/>
  <c r="J1970" i="5"/>
  <c r="K1970" i="5"/>
  <c r="L1970" i="5"/>
  <c r="M1970" i="5"/>
  <c r="H1971" i="5"/>
  <c r="I1971" i="5"/>
  <c r="J1971" i="5"/>
  <c r="K1971" i="5"/>
  <c r="L1971" i="5"/>
  <c r="M1971" i="5"/>
  <c r="H1972" i="5"/>
  <c r="I1972" i="5"/>
  <c r="J1972" i="5"/>
  <c r="K1972" i="5"/>
  <c r="L1972" i="5"/>
  <c r="M1972" i="5"/>
  <c r="H1973" i="5"/>
  <c r="I1973" i="5"/>
  <c r="J1973" i="5"/>
  <c r="K1973" i="5"/>
  <c r="L1973" i="5"/>
  <c r="M1973" i="5"/>
  <c r="H1974" i="5"/>
  <c r="I1974" i="5"/>
  <c r="J1974" i="5"/>
  <c r="K1974" i="5"/>
  <c r="L1974" i="5"/>
  <c r="M1974" i="5"/>
  <c r="H1975" i="5"/>
  <c r="I1975" i="5"/>
  <c r="J1975" i="5"/>
  <c r="K1975" i="5"/>
  <c r="L1975" i="5"/>
  <c r="M1975" i="5"/>
  <c r="H1976" i="5"/>
  <c r="I1976" i="5"/>
  <c r="J1976" i="5"/>
  <c r="K1976" i="5"/>
  <c r="L1976" i="5"/>
  <c r="M1976" i="5"/>
  <c r="H1977" i="5"/>
  <c r="I1977" i="5"/>
  <c r="J1977" i="5"/>
  <c r="K1977" i="5"/>
  <c r="L1977" i="5"/>
  <c r="M1977" i="5"/>
  <c r="H1978" i="5"/>
  <c r="I1978" i="5"/>
  <c r="J1978" i="5"/>
  <c r="K1978" i="5"/>
  <c r="L1978" i="5"/>
  <c r="M1978" i="5"/>
  <c r="H1979" i="5"/>
  <c r="I1979" i="5"/>
  <c r="J1979" i="5"/>
  <c r="K1979" i="5"/>
  <c r="L1979" i="5"/>
  <c r="M1979" i="5"/>
  <c r="H1980" i="5"/>
  <c r="I1980" i="5"/>
  <c r="J1980" i="5"/>
  <c r="K1980" i="5"/>
  <c r="L1980" i="5"/>
  <c r="M1980" i="5"/>
  <c r="H1981" i="5"/>
  <c r="I1981" i="5"/>
  <c r="J1981" i="5"/>
  <c r="K1981" i="5"/>
  <c r="L1981" i="5"/>
  <c r="M1981" i="5"/>
  <c r="H1982" i="5"/>
  <c r="I1982" i="5"/>
  <c r="J1982" i="5"/>
  <c r="K1982" i="5"/>
  <c r="L1982" i="5"/>
  <c r="M1982" i="5"/>
  <c r="H1983" i="5"/>
  <c r="I1983" i="5"/>
  <c r="J1983" i="5"/>
  <c r="K1983" i="5"/>
  <c r="L1983" i="5"/>
  <c r="M1983" i="5"/>
  <c r="H1984" i="5"/>
  <c r="I1984" i="5"/>
  <c r="J1984" i="5"/>
  <c r="K1984" i="5"/>
  <c r="L1984" i="5"/>
  <c r="M1984" i="5"/>
  <c r="H1985" i="5"/>
  <c r="I1985" i="5"/>
  <c r="J1985" i="5"/>
  <c r="K1985" i="5"/>
  <c r="L1985" i="5"/>
  <c r="M1985" i="5"/>
  <c r="H1986" i="5"/>
  <c r="I1986" i="5"/>
  <c r="J1986" i="5"/>
  <c r="K1986" i="5"/>
  <c r="L1986" i="5"/>
  <c r="M1986" i="5"/>
  <c r="H1987" i="5"/>
  <c r="I1987" i="5"/>
  <c r="J1987" i="5"/>
  <c r="K1987" i="5"/>
  <c r="L1987" i="5"/>
  <c r="M1987" i="5"/>
  <c r="H1988" i="5"/>
  <c r="I1988" i="5"/>
  <c r="J1988" i="5"/>
  <c r="K1988" i="5"/>
  <c r="L1988" i="5"/>
  <c r="M1988" i="5"/>
  <c r="H1989" i="5"/>
  <c r="I1989" i="5"/>
  <c r="J1989" i="5"/>
  <c r="K1989" i="5"/>
  <c r="L1989" i="5"/>
  <c r="M1989" i="5"/>
  <c r="H1990" i="5"/>
  <c r="I1990" i="5"/>
  <c r="J1990" i="5"/>
  <c r="K1990" i="5"/>
  <c r="L1990" i="5"/>
  <c r="M1990" i="5"/>
  <c r="H1991" i="5"/>
  <c r="I1991" i="5"/>
  <c r="J1991" i="5"/>
  <c r="K1991" i="5"/>
  <c r="L1991" i="5"/>
  <c r="M1991" i="5"/>
  <c r="H1992" i="5"/>
  <c r="I1992" i="5"/>
  <c r="J1992" i="5"/>
  <c r="K1992" i="5"/>
  <c r="L1992" i="5"/>
  <c r="M1992" i="5"/>
  <c r="H1993" i="5"/>
  <c r="I1993" i="5"/>
  <c r="J1993" i="5"/>
  <c r="K1993" i="5"/>
  <c r="L1993" i="5"/>
  <c r="M1993" i="5"/>
  <c r="H1994" i="5"/>
  <c r="I1994" i="5"/>
  <c r="J1994" i="5"/>
  <c r="K1994" i="5"/>
  <c r="L1994" i="5"/>
  <c r="M1994" i="5"/>
  <c r="H1995" i="5"/>
  <c r="I1995" i="5"/>
  <c r="J1995" i="5"/>
  <c r="K1995" i="5"/>
  <c r="L1995" i="5"/>
  <c r="M1995" i="5"/>
  <c r="H1996" i="5"/>
  <c r="I1996" i="5"/>
  <c r="J1996" i="5"/>
  <c r="K1996" i="5"/>
  <c r="L1996" i="5"/>
  <c r="M1996" i="5"/>
  <c r="H1997" i="5"/>
  <c r="I1997" i="5"/>
  <c r="J1997" i="5"/>
  <c r="K1997" i="5"/>
  <c r="L1997" i="5"/>
  <c r="M1997" i="5"/>
  <c r="H1998" i="5"/>
  <c r="I1998" i="5"/>
  <c r="J1998" i="5"/>
  <c r="K1998" i="5"/>
  <c r="L1998" i="5"/>
  <c r="M1998" i="5"/>
  <c r="H1999" i="5"/>
  <c r="I1999" i="5"/>
  <c r="J1999" i="5"/>
  <c r="K1999" i="5"/>
  <c r="L1999" i="5"/>
  <c r="M1999" i="5"/>
  <c r="H2000" i="5"/>
  <c r="I2000" i="5"/>
  <c r="J2000" i="5"/>
  <c r="K2000" i="5"/>
  <c r="L2000" i="5"/>
  <c r="M2000" i="5"/>
  <c r="H2001" i="5"/>
  <c r="I2001" i="5"/>
  <c r="J2001" i="5"/>
  <c r="K2001" i="5"/>
  <c r="L2001" i="5"/>
  <c r="M2001" i="5"/>
  <c r="H2002" i="5"/>
  <c r="I2002" i="5"/>
  <c r="J2002" i="5"/>
  <c r="K2002" i="5"/>
  <c r="L2002" i="5"/>
  <c r="M2002" i="5"/>
  <c r="H2003" i="5"/>
  <c r="I2003" i="5"/>
  <c r="J2003" i="5"/>
  <c r="K2003" i="5"/>
  <c r="L2003" i="5"/>
  <c r="M2003" i="5"/>
  <c r="H2004" i="5"/>
  <c r="I2004" i="5"/>
  <c r="J2004" i="5"/>
  <c r="K2004" i="5"/>
  <c r="L2004" i="5"/>
  <c r="M2004" i="5"/>
  <c r="H2005" i="5"/>
  <c r="I2005" i="5"/>
  <c r="J2005" i="5"/>
  <c r="K2005" i="5"/>
  <c r="L2005" i="5"/>
  <c r="M2005" i="5"/>
  <c r="H2006" i="5"/>
  <c r="I2006" i="5"/>
  <c r="J2006" i="5"/>
  <c r="K2006" i="5"/>
  <c r="L2006" i="5"/>
  <c r="M2006" i="5"/>
  <c r="H2007" i="5"/>
  <c r="I2007" i="5"/>
  <c r="J2007" i="5"/>
  <c r="K2007" i="5"/>
  <c r="L2007" i="5"/>
  <c r="M2007" i="5"/>
  <c r="H2008" i="5"/>
  <c r="I2008" i="5"/>
  <c r="J2008" i="5"/>
  <c r="K2008" i="5"/>
  <c r="L2008" i="5"/>
  <c r="M2008" i="5"/>
  <c r="H2009" i="5"/>
  <c r="I2009" i="5"/>
  <c r="J2009" i="5"/>
  <c r="K2009" i="5"/>
  <c r="L2009" i="5"/>
  <c r="M2009" i="5"/>
  <c r="H2010" i="5"/>
  <c r="I2010" i="5"/>
  <c r="J2010" i="5"/>
  <c r="K2010" i="5"/>
  <c r="L2010" i="5"/>
  <c r="M2010" i="5"/>
  <c r="H2011" i="5"/>
  <c r="I2011" i="5"/>
  <c r="J2011" i="5"/>
  <c r="K2011" i="5"/>
  <c r="L2011" i="5"/>
  <c r="M2011" i="5"/>
  <c r="H2012" i="5"/>
  <c r="I2012" i="5"/>
  <c r="J2012" i="5"/>
  <c r="K2012" i="5"/>
  <c r="L2012" i="5"/>
  <c r="M2012" i="5"/>
  <c r="H2013" i="5"/>
  <c r="I2013" i="5"/>
  <c r="J2013" i="5"/>
  <c r="K2013" i="5"/>
  <c r="L2013" i="5"/>
  <c r="M2013" i="5"/>
  <c r="H2014" i="5"/>
  <c r="I2014" i="5"/>
  <c r="J2014" i="5"/>
  <c r="K2014" i="5"/>
  <c r="L2014" i="5"/>
  <c r="M2014" i="5"/>
  <c r="H2015" i="5"/>
  <c r="I2015" i="5"/>
  <c r="J2015" i="5"/>
  <c r="K2015" i="5"/>
  <c r="L2015" i="5"/>
  <c r="M2015" i="5"/>
  <c r="H2016" i="5"/>
  <c r="I2016" i="5"/>
  <c r="J2016" i="5"/>
  <c r="K2016" i="5"/>
  <c r="L2016" i="5"/>
  <c r="M2016" i="5"/>
  <c r="H2017" i="5"/>
  <c r="I2017" i="5"/>
  <c r="J2017" i="5"/>
  <c r="K2017" i="5"/>
  <c r="L2017" i="5"/>
  <c r="M2017" i="5"/>
  <c r="H2018" i="5"/>
  <c r="I2018" i="5"/>
  <c r="J2018" i="5"/>
  <c r="K2018" i="5"/>
  <c r="L2018" i="5"/>
  <c r="M2018" i="5"/>
  <c r="H2019" i="5"/>
  <c r="I2019" i="5"/>
  <c r="J2019" i="5"/>
  <c r="K2019" i="5"/>
  <c r="L2019" i="5"/>
  <c r="M2019" i="5"/>
  <c r="H2020" i="5"/>
  <c r="I2020" i="5"/>
  <c r="J2020" i="5"/>
  <c r="K2020" i="5"/>
  <c r="L2020" i="5"/>
  <c r="M2020" i="5"/>
  <c r="H2021" i="5"/>
  <c r="I2021" i="5"/>
  <c r="J2021" i="5"/>
  <c r="K2021" i="5"/>
  <c r="L2021" i="5"/>
  <c r="M2021" i="5"/>
  <c r="H2022" i="5"/>
  <c r="I2022" i="5"/>
  <c r="J2022" i="5"/>
  <c r="K2022" i="5"/>
  <c r="L2022" i="5"/>
  <c r="M2022" i="5"/>
  <c r="H2023" i="5"/>
  <c r="I2023" i="5"/>
  <c r="J2023" i="5"/>
  <c r="K2023" i="5"/>
  <c r="L2023" i="5"/>
  <c r="M2023" i="5"/>
  <c r="H2024" i="5"/>
  <c r="I2024" i="5"/>
  <c r="J2024" i="5"/>
  <c r="K2024" i="5"/>
  <c r="L2024" i="5"/>
  <c r="M2024" i="5"/>
  <c r="H2025" i="5"/>
  <c r="I2025" i="5"/>
  <c r="J2025" i="5"/>
  <c r="K2025" i="5"/>
  <c r="L2025" i="5"/>
  <c r="M2025" i="5"/>
  <c r="H2026" i="5"/>
  <c r="I2026" i="5"/>
  <c r="J2026" i="5"/>
  <c r="K2026" i="5"/>
  <c r="L2026" i="5"/>
  <c r="M2026" i="5"/>
  <c r="H2027" i="5"/>
  <c r="I2027" i="5"/>
  <c r="J2027" i="5"/>
  <c r="K2027" i="5"/>
  <c r="L2027" i="5"/>
  <c r="M2027" i="5"/>
  <c r="H2028" i="5"/>
  <c r="I2028" i="5"/>
  <c r="J2028" i="5"/>
  <c r="K2028" i="5"/>
  <c r="L2028" i="5"/>
  <c r="M2028" i="5"/>
  <c r="H2029" i="5"/>
  <c r="I2029" i="5"/>
  <c r="J2029" i="5"/>
  <c r="K2029" i="5"/>
  <c r="L2029" i="5"/>
  <c r="M2029" i="5"/>
  <c r="H2030" i="5"/>
  <c r="I2030" i="5"/>
  <c r="J2030" i="5"/>
  <c r="K2030" i="5"/>
  <c r="L2030" i="5"/>
  <c r="M2030" i="5"/>
  <c r="H2031" i="5"/>
  <c r="I2031" i="5"/>
  <c r="J2031" i="5"/>
  <c r="K2031" i="5"/>
  <c r="L2031" i="5"/>
  <c r="M2031" i="5"/>
  <c r="H2032" i="5"/>
  <c r="I2032" i="5"/>
  <c r="J2032" i="5"/>
  <c r="K2032" i="5"/>
  <c r="L2032" i="5"/>
  <c r="M2032" i="5"/>
  <c r="H2033" i="5"/>
  <c r="I2033" i="5"/>
  <c r="J2033" i="5"/>
  <c r="K2033" i="5"/>
  <c r="L2033" i="5"/>
  <c r="M2033" i="5"/>
  <c r="H2034" i="5"/>
  <c r="I2034" i="5"/>
  <c r="J2034" i="5"/>
  <c r="K2034" i="5"/>
  <c r="L2034" i="5"/>
  <c r="M2034" i="5"/>
  <c r="H2035" i="5"/>
  <c r="I2035" i="5"/>
  <c r="J2035" i="5"/>
  <c r="K2035" i="5"/>
  <c r="L2035" i="5"/>
  <c r="M2035" i="5"/>
  <c r="H2036" i="5"/>
  <c r="I2036" i="5"/>
  <c r="J2036" i="5"/>
  <c r="K2036" i="5"/>
  <c r="L2036" i="5"/>
  <c r="M2036" i="5"/>
  <c r="H2037" i="5"/>
  <c r="I2037" i="5"/>
  <c r="J2037" i="5"/>
  <c r="K2037" i="5"/>
  <c r="L2037" i="5"/>
  <c r="M2037" i="5"/>
  <c r="H2038" i="5"/>
  <c r="I2038" i="5"/>
  <c r="J2038" i="5"/>
  <c r="K2038" i="5"/>
  <c r="L2038" i="5"/>
  <c r="M2038" i="5"/>
  <c r="H2039" i="5"/>
  <c r="I2039" i="5"/>
  <c r="J2039" i="5"/>
  <c r="K2039" i="5"/>
  <c r="L2039" i="5"/>
  <c r="M2039" i="5"/>
  <c r="H2040" i="5"/>
  <c r="I2040" i="5"/>
  <c r="J2040" i="5"/>
  <c r="K2040" i="5"/>
  <c r="L2040" i="5"/>
  <c r="M2040" i="5"/>
  <c r="H2041" i="5"/>
  <c r="I2041" i="5"/>
  <c r="J2041" i="5"/>
  <c r="K2041" i="5"/>
  <c r="L2041" i="5"/>
  <c r="M2041" i="5"/>
  <c r="H2042" i="5"/>
  <c r="I2042" i="5"/>
  <c r="J2042" i="5"/>
  <c r="K2042" i="5"/>
  <c r="L2042" i="5"/>
  <c r="M2042" i="5"/>
  <c r="H2043" i="5"/>
  <c r="I2043" i="5"/>
  <c r="J2043" i="5"/>
  <c r="K2043" i="5"/>
  <c r="L2043" i="5"/>
  <c r="M2043" i="5"/>
  <c r="H2044" i="5"/>
  <c r="I2044" i="5"/>
  <c r="J2044" i="5"/>
  <c r="K2044" i="5"/>
  <c r="L2044" i="5"/>
  <c r="M2044" i="5"/>
  <c r="H2045" i="5"/>
  <c r="I2045" i="5"/>
  <c r="J2045" i="5"/>
  <c r="K2045" i="5"/>
  <c r="L2045" i="5"/>
  <c r="M2045" i="5"/>
  <c r="H2046" i="5"/>
  <c r="I2046" i="5"/>
  <c r="J2046" i="5"/>
  <c r="K2046" i="5"/>
  <c r="L2046" i="5"/>
  <c r="M2046" i="5"/>
  <c r="H2047" i="5"/>
  <c r="I2047" i="5"/>
  <c r="J2047" i="5"/>
  <c r="K2047" i="5"/>
  <c r="L2047" i="5"/>
  <c r="M2047" i="5"/>
  <c r="H2048" i="5"/>
  <c r="I2048" i="5"/>
  <c r="J2048" i="5"/>
  <c r="K2048" i="5"/>
  <c r="L2048" i="5"/>
  <c r="M2048" i="5"/>
  <c r="H2049" i="5"/>
  <c r="I2049" i="5"/>
  <c r="J2049" i="5"/>
  <c r="K2049" i="5"/>
  <c r="L2049" i="5"/>
  <c r="M2049" i="5"/>
  <c r="H2050" i="5"/>
  <c r="I2050" i="5"/>
  <c r="J2050" i="5"/>
  <c r="K2050" i="5"/>
  <c r="L2050" i="5"/>
  <c r="M2050" i="5"/>
  <c r="H2051" i="5"/>
  <c r="I2051" i="5"/>
  <c r="J2051" i="5"/>
  <c r="K2051" i="5"/>
  <c r="L2051" i="5"/>
  <c r="M2051" i="5"/>
  <c r="H2052" i="5"/>
  <c r="I2052" i="5"/>
  <c r="J2052" i="5"/>
  <c r="K2052" i="5"/>
  <c r="L2052" i="5"/>
  <c r="M2052" i="5"/>
  <c r="H2053" i="5"/>
  <c r="I2053" i="5"/>
  <c r="J2053" i="5"/>
  <c r="K2053" i="5"/>
  <c r="L2053" i="5"/>
  <c r="M2053" i="5"/>
  <c r="H2054" i="5"/>
  <c r="I2054" i="5"/>
  <c r="J2054" i="5"/>
  <c r="K2054" i="5"/>
  <c r="L2054" i="5"/>
  <c r="M2054" i="5"/>
  <c r="H2055" i="5"/>
  <c r="I2055" i="5"/>
  <c r="J2055" i="5"/>
  <c r="K2055" i="5"/>
  <c r="L2055" i="5"/>
  <c r="M2055" i="5"/>
  <c r="H2056" i="5"/>
  <c r="I2056" i="5"/>
  <c r="J2056" i="5"/>
  <c r="K2056" i="5"/>
  <c r="L2056" i="5"/>
  <c r="M2056" i="5"/>
  <c r="H2057" i="5"/>
  <c r="I2057" i="5"/>
  <c r="J2057" i="5"/>
  <c r="K2057" i="5"/>
  <c r="L2057" i="5"/>
  <c r="M2057" i="5"/>
  <c r="H2058" i="5"/>
  <c r="I2058" i="5"/>
  <c r="J2058" i="5"/>
  <c r="K2058" i="5"/>
  <c r="L2058" i="5"/>
  <c r="M2058" i="5"/>
  <c r="H2059" i="5"/>
  <c r="I2059" i="5"/>
  <c r="J2059" i="5"/>
  <c r="K2059" i="5"/>
  <c r="L2059" i="5"/>
  <c r="M2059" i="5"/>
  <c r="H2060" i="5"/>
  <c r="I2060" i="5"/>
  <c r="J2060" i="5"/>
  <c r="K2060" i="5"/>
  <c r="L2060" i="5"/>
  <c r="M2060" i="5"/>
  <c r="H2061" i="5"/>
  <c r="I2061" i="5"/>
  <c r="J2061" i="5"/>
  <c r="K2061" i="5"/>
  <c r="L2061" i="5"/>
  <c r="M2061" i="5"/>
  <c r="H2062" i="5"/>
  <c r="I2062" i="5"/>
  <c r="J2062" i="5"/>
  <c r="K2062" i="5"/>
  <c r="L2062" i="5"/>
  <c r="M2062" i="5"/>
  <c r="H2063" i="5"/>
  <c r="I2063" i="5"/>
  <c r="J2063" i="5"/>
  <c r="K2063" i="5"/>
  <c r="L2063" i="5"/>
  <c r="M2063" i="5"/>
  <c r="H2064" i="5"/>
  <c r="I2064" i="5"/>
  <c r="J2064" i="5"/>
  <c r="K2064" i="5"/>
  <c r="L2064" i="5"/>
  <c r="M2064" i="5"/>
  <c r="H2065" i="5"/>
  <c r="I2065" i="5"/>
  <c r="J2065" i="5"/>
  <c r="K2065" i="5"/>
  <c r="L2065" i="5"/>
  <c r="M2065" i="5"/>
  <c r="H2066" i="5"/>
  <c r="I2066" i="5"/>
  <c r="J2066" i="5"/>
  <c r="K2066" i="5"/>
  <c r="L2066" i="5"/>
  <c r="M2066" i="5"/>
  <c r="H2067" i="5"/>
  <c r="I2067" i="5"/>
  <c r="J2067" i="5"/>
  <c r="K2067" i="5"/>
  <c r="L2067" i="5"/>
  <c r="M2067" i="5"/>
  <c r="H2068" i="5"/>
  <c r="I2068" i="5"/>
  <c r="J2068" i="5"/>
  <c r="K2068" i="5"/>
  <c r="L2068" i="5"/>
  <c r="M2068" i="5"/>
  <c r="H2069" i="5"/>
  <c r="I2069" i="5"/>
  <c r="J2069" i="5"/>
  <c r="K2069" i="5"/>
  <c r="L2069" i="5"/>
  <c r="M2069" i="5"/>
  <c r="H2070" i="5"/>
  <c r="I2070" i="5"/>
  <c r="J2070" i="5"/>
  <c r="K2070" i="5"/>
  <c r="L2070" i="5"/>
  <c r="M2070" i="5"/>
  <c r="H2071" i="5"/>
  <c r="I2071" i="5"/>
  <c r="J2071" i="5"/>
  <c r="K2071" i="5"/>
  <c r="L2071" i="5"/>
  <c r="M2071" i="5"/>
  <c r="H2072" i="5"/>
  <c r="I2072" i="5"/>
  <c r="J2072" i="5"/>
  <c r="K2072" i="5"/>
  <c r="L2072" i="5"/>
  <c r="M2072" i="5"/>
  <c r="H2073" i="5"/>
  <c r="I2073" i="5"/>
  <c r="J2073" i="5"/>
  <c r="K2073" i="5"/>
  <c r="L2073" i="5"/>
  <c r="M2073" i="5"/>
  <c r="H2074" i="5"/>
  <c r="I2074" i="5"/>
  <c r="J2074" i="5"/>
  <c r="K2074" i="5"/>
  <c r="L2074" i="5"/>
  <c r="M2074" i="5"/>
  <c r="H2075" i="5"/>
  <c r="I2075" i="5"/>
  <c r="J2075" i="5"/>
  <c r="K2075" i="5"/>
  <c r="L2075" i="5"/>
  <c r="M2075" i="5"/>
  <c r="H2076" i="5"/>
  <c r="I2076" i="5"/>
  <c r="J2076" i="5"/>
  <c r="K2076" i="5"/>
  <c r="L2076" i="5"/>
  <c r="M2076" i="5"/>
  <c r="H2077" i="5"/>
  <c r="I2077" i="5"/>
  <c r="J2077" i="5"/>
  <c r="K2077" i="5"/>
  <c r="L2077" i="5"/>
  <c r="M2077" i="5"/>
  <c r="H2078" i="5"/>
  <c r="I2078" i="5"/>
  <c r="J2078" i="5"/>
  <c r="K2078" i="5"/>
  <c r="L2078" i="5"/>
  <c r="M2078" i="5"/>
  <c r="H2079" i="5"/>
  <c r="I2079" i="5"/>
  <c r="J2079" i="5"/>
  <c r="K2079" i="5"/>
  <c r="L2079" i="5"/>
  <c r="M2079" i="5"/>
  <c r="H2080" i="5"/>
  <c r="I2080" i="5"/>
  <c r="J2080" i="5"/>
  <c r="K2080" i="5"/>
  <c r="L2080" i="5"/>
  <c r="M2080" i="5"/>
  <c r="H2081" i="5"/>
  <c r="I2081" i="5"/>
  <c r="J2081" i="5"/>
  <c r="K2081" i="5"/>
  <c r="L2081" i="5"/>
  <c r="M2081" i="5"/>
  <c r="H2082" i="5"/>
  <c r="I2082" i="5"/>
  <c r="J2082" i="5"/>
  <c r="K2082" i="5"/>
  <c r="L2082" i="5"/>
  <c r="M2082" i="5"/>
  <c r="H2083" i="5"/>
  <c r="I2083" i="5"/>
  <c r="J2083" i="5"/>
  <c r="K2083" i="5"/>
  <c r="L2083" i="5"/>
  <c r="M2083" i="5"/>
  <c r="H2084" i="5"/>
  <c r="I2084" i="5"/>
  <c r="J2084" i="5"/>
  <c r="K2084" i="5"/>
  <c r="L2084" i="5"/>
  <c r="M2084" i="5"/>
  <c r="H2085" i="5"/>
  <c r="I2085" i="5"/>
  <c r="J2085" i="5"/>
  <c r="K2085" i="5"/>
  <c r="L2085" i="5"/>
  <c r="M2085" i="5"/>
  <c r="H2086" i="5"/>
  <c r="I2086" i="5"/>
  <c r="J2086" i="5"/>
  <c r="K2086" i="5"/>
  <c r="L2086" i="5"/>
  <c r="M2086" i="5"/>
  <c r="H2087" i="5"/>
  <c r="I2087" i="5"/>
  <c r="J2087" i="5"/>
  <c r="K2087" i="5"/>
  <c r="L2087" i="5"/>
  <c r="M2087" i="5"/>
  <c r="H2088" i="5"/>
  <c r="I2088" i="5"/>
  <c r="J2088" i="5"/>
  <c r="K2088" i="5"/>
  <c r="L2088" i="5"/>
  <c r="M2088" i="5"/>
  <c r="H2089" i="5"/>
  <c r="I2089" i="5"/>
  <c r="J2089" i="5"/>
  <c r="K2089" i="5"/>
  <c r="L2089" i="5"/>
  <c r="M2089" i="5"/>
  <c r="H2090" i="5"/>
  <c r="I2090" i="5"/>
  <c r="J2090" i="5"/>
  <c r="K2090" i="5"/>
  <c r="L2090" i="5"/>
  <c r="M2090" i="5"/>
  <c r="H2091" i="5"/>
  <c r="I2091" i="5"/>
  <c r="J2091" i="5"/>
  <c r="K2091" i="5"/>
  <c r="L2091" i="5"/>
  <c r="M2091" i="5"/>
  <c r="H2092" i="5"/>
  <c r="I2092" i="5"/>
  <c r="J2092" i="5"/>
  <c r="K2092" i="5"/>
  <c r="L2092" i="5"/>
  <c r="M2092" i="5"/>
  <c r="H2093" i="5"/>
  <c r="I2093" i="5"/>
  <c r="J2093" i="5"/>
  <c r="K2093" i="5"/>
  <c r="L2093" i="5"/>
  <c r="M2093" i="5"/>
  <c r="H2094" i="5"/>
  <c r="I2094" i="5"/>
  <c r="J2094" i="5"/>
  <c r="K2094" i="5"/>
  <c r="L2094" i="5"/>
  <c r="M2094" i="5"/>
  <c r="H2095" i="5"/>
  <c r="I2095" i="5"/>
  <c r="J2095" i="5"/>
  <c r="K2095" i="5"/>
  <c r="L2095" i="5"/>
  <c r="M2095" i="5"/>
  <c r="H2096" i="5"/>
  <c r="I2096" i="5"/>
  <c r="J2096" i="5"/>
  <c r="K2096" i="5"/>
  <c r="L2096" i="5"/>
  <c r="M2096" i="5"/>
  <c r="H2097" i="5"/>
  <c r="I2097" i="5"/>
  <c r="J2097" i="5"/>
  <c r="K2097" i="5"/>
  <c r="L2097" i="5"/>
  <c r="M2097" i="5"/>
  <c r="H2098" i="5"/>
  <c r="I2098" i="5"/>
  <c r="J2098" i="5"/>
  <c r="K2098" i="5"/>
  <c r="L2098" i="5"/>
  <c r="M2098" i="5"/>
  <c r="H2099" i="5"/>
  <c r="I2099" i="5"/>
  <c r="J2099" i="5"/>
  <c r="K2099" i="5"/>
  <c r="L2099" i="5"/>
  <c r="M2099" i="5"/>
  <c r="H2100" i="5"/>
  <c r="I2100" i="5"/>
  <c r="J2100" i="5"/>
  <c r="K2100" i="5"/>
  <c r="L2100" i="5"/>
  <c r="M2100" i="5"/>
  <c r="H2101" i="5"/>
  <c r="I2101" i="5"/>
  <c r="J2101" i="5"/>
  <c r="K2101" i="5"/>
  <c r="L2101" i="5"/>
  <c r="M2101" i="5"/>
  <c r="H2102" i="5"/>
  <c r="I2102" i="5"/>
  <c r="J2102" i="5"/>
  <c r="K2102" i="5"/>
  <c r="L2102" i="5"/>
  <c r="M2102" i="5"/>
  <c r="H2103" i="5"/>
  <c r="I2103" i="5"/>
  <c r="J2103" i="5"/>
  <c r="K2103" i="5"/>
  <c r="L2103" i="5"/>
  <c r="M2103" i="5"/>
  <c r="H2104" i="5"/>
  <c r="I2104" i="5"/>
  <c r="J2104" i="5"/>
  <c r="K2104" i="5"/>
  <c r="L2104" i="5"/>
  <c r="M2104" i="5"/>
  <c r="H2105" i="5"/>
  <c r="I2105" i="5"/>
  <c r="J2105" i="5"/>
  <c r="K2105" i="5"/>
  <c r="L2105" i="5"/>
  <c r="M2105" i="5"/>
  <c r="H2106" i="5"/>
  <c r="I2106" i="5"/>
  <c r="J2106" i="5"/>
  <c r="K2106" i="5"/>
  <c r="L2106" i="5"/>
  <c r="M2106" i="5"/>
  <c r="H2107" i="5"/>
  <c r="I2107" i="5"/>
  <c r="J2107" i="5"/>
  <c r="K2107" i="5"/>
  <c r="L2107" i="5"/>
  <c r="M2107" i="5"/>
  <c r="H2108" i="5"/>
  <c r="I2108" i="5"/>
  <c r="J2108" i="5"/>
  <c r="K2108" i="5"/>
  <c r="L2108" i="5"/>
  <c r="M2108" i="5"/>
  <c r="H2109" i="5"/>
  <c r="I2109" i="5"/>
  <c r="J2109" i="5"/>
  <c r="K2109" i="5"/>
  <c r="L2109" i="5"/>
  <c r="M2109" i="5"/>
  <c r="H2110" i="5"/>
  <c r="I2110" i="5"/>
  <c r="J2110" i="5"/>
  <c r="K2110" i="5"/>
  <c r="L2110" i="5"/>
  <c r="M2110" i="5"/>
  <c r="H2111" i="5"/>
  <c r="I2111" i="5"/>
  <c r="J2111" i="5"/>
  <c r="K2111" i="5"/>
  <c r="L2111" i="5"/>
  <c r="M2111" i="5"/>
  <c r="H2112" i="5"/>
  <c r="I2112" i="5"/>
  <c r="J2112" i="5"/>
  <c r="K2112" i="5"/>
  <c r="L2112" i="5"/>
  <c r="M2112" i="5"/>
  <c r="H2113" i="5"/>
  <c r="I2113" i="5"/>
  <c r="J2113" i="5"/>
  <c r="K2113" i="5"/>
  <c r="L2113" i="5"/>
  <c r="M2113" i="5"/>
  <c r="H2114" i="5"/>
  <c r="I2114" i="5"/>
  <c r="J2114" i="5"/>
  <c r="K2114" i="5"/>
  <c r="L2114" i="5"/>
  <c r="M2114" i="5"/>
  <c r="H2115" i="5"/>
  <c r="I2115" i="5"/>
  <c r="J2115" i="5"/>
  <c r="K2115" i="5"/>
  <c r="L2115" i="5"/>
  <c r="M2115" i="5"/>
  <c r="H2116" i="5"/>
  <c r="I2116" i="5"/>
  <c r="J2116" i="5"/>
  <c r="K2116" i="5"/>
  <c r="L2116" i="5"/>
  <c r="M2116" i="5"/>
  <c r="H2117" i="5"/>
  <c r="I2117" i="5"/>
  <c r="J2117" i="5"/>
  <c r="K2117" i="5"/>
  <c r="L2117" i="5"/>
  <c r="M2117" i="5"/>
  <c r="H2118" i="5"/>
  <c r="I2118" i="5"/>
  <c r="J2118" i="5"/>
  <c r="K2118" i="5"/>
  <c r="L2118" i="5"/>
  <c r="M2118" i="5"/>
  <c r="H2119" i="5"/>
  <c r="I2119" i="5"/>
  <c r="J2119" i="5"/>
  <c r="K2119" i="5"/>
  <c r="L2119" i="5"/>
  <c r="M2119" i="5"/>
  <c r="H2120" i="5"/>
  <c r="I2120" i="5"/>
  <c r="J2120" i="5"/>
  <c r="K2120" i="5"/>
  <c r="L2120" i="5"/>
  <c r="M2120" i="5"/>
  <c r="H2121" i="5"/>
  <c r="I2121" i="5"/>
  <c r="J2121" i="5"/>
  <c r="K2121" i="5"/>
  <c r="L2121" i="5"/>
  <c r="M2121" i="5"/>
  <c r="H2122" i="5"/>
  <c r="I2122" i="5"/>
  <c r="J2122" i="5"/>
  <c r="K2122" i="5"/>
  <c r="L2122" i="5"/>
  <c r="M2122" i="5"/>
  <c r="H2123" i="5"/>
  <c r="I2123" i="5"/>
  <c r="J2123" i="5"/>
  <c r="K2123" i="5"/>
  <c r="L2123" i="5"/>
  <c r="M2123" i="5"/>
  <c r="H2124" i="5"/>
  <c r="I2124" i="5"/>
  <c r="J2124" i="5"/>
  <c r="K2124" i="5"/>
  <c r="L2124" i="5"/>
  <c r="M2124" i="5"/>
  <c r="H2125" i="5"/>
  <c r="I2125" i="5"/>
  <c r="J2125" i="5"/>
  <c r="K2125" i="5"/>
  <c r="L2125" i="5"/>
  <c r="M2125" i="5"/>
  <c r="H2126" i="5"/>
  <c r="I2126" i="5"/>
  <c r="J2126" i="5"/>
  <c r="K2126" i="5"/>
  <c r="L2126" i="5"/>
  <c r="M2126" i="5"/>
  <c r="H2127" i="5"/>
  <c r="I2127" i="5"/>
  <c r="J2127" i="5"/>
  <c r="K2127" i="5"/>
  <c r="L2127" i="5"/>
  <c r="M2127" i="5"/>
  <c r="H2128" i="5"/>
  <c r="I2128" i="5"/>
  <c r="J2128" i="5"/>
  <c r="K2128" i="5"/>
  <c r="L2128" i="5"/>
  <c r="M2128" i="5"/>
  <c r="H2129" i="5"/>
  <c r="I2129" i="5"/>
  <c r="J2129" i="5"/>
  <c r="K2129" i="5"/>
  <c r="L2129" i="5"/>
  <c r="M2129" i="5"/>
  <c r="H2130" i="5"/>
  <c r="I2130" i="5"/>
  <c r="J2130" i="5"/>
  <c r="K2130" i="5"/>
  <c r="L2130" i="5"/>
  <c r="M2130" i="5"/>
  <c r="H2131" i="5"/>
  <c r="I2131" i="5"/>
  <c r="J2131" i="5"/>
  <c r="K2131" i="5"/>
  <c r="L2131" i="5"/>
  <c r="M2131" i="5"/>
  <c r="H2132" i="5"/>
  <c r="I2132" i="5"/>
  <c r="J2132" i="5"/>
  <c r="K2132" i="5"/>
  <c r="L2132" i="5"/>
  <c r="M2132" i="5"/>
  <c r="H2133" i="5"/>
  <c r="I2133" i="5"/>
  <c r="J2133" i="5"/>
  <c r="K2133" i="5"/>
  <c r="L2133" i="5"/>
  <c r="M2133" i="5"/>
  <c r="H2134" i="5"/>
  <c r="I2134" i="5"/>
  <c r="J2134" i="5"/>
  <c r="K2134" i="5"/>
  <c r="L2134" i="5"/>
  <c r="M2134" i="5"/>
  <c r="H2135" i="5"/>
  <c r="I2135" i="5"/>
  <c r="J2135" i="5"/>
  <c r="K2135" i="5"/>
  <c r="L2135" i="5"/>
  <c r="M2135" i="5"/>
  <c r="H2136" i="5"/>
  <c r="I2136" i="5"/>
  <c r="J2136" i="5"/>
  <c r="K2136" i="5"/>
  <c r="L2136" i="5"/>
  <c r="M2136" i="5"/>
  <c r="H2137" i="5"/>
  <c r="I2137" i="5"/>
  <c r="J2137" i="5"/>
  <c r="K2137" i="5"/>
  <c r="L2137" i="5"/>
  <c r="M2137" i="5"/>
  <c r="H2138" i="5"/>
  <c r="I2138" i="5"/>
  <c r="J2138" i="5"/>
  <c r="K2138" i="5"/>
  <c r="L2138" i="5"/>
  <c r="M2138" i="5"/>
  <c r="H2139" i="5"/>
  <c r="I2139" i="5"/>
  <c r="J2139" i="5"/>
  <c r="K2139" i="5"/>
  <c r="L2139" i="5"/>
  <c r="M2139" i="5"/>
  <c r="H2140" i="5"/>
  <c r="I2140" i="5"/>
  <c r="J2140" i="5"/>
  <c r="K2140" i="5"/>
  <c r="L2140" i="5"/>
  <c r="M2140" i="5"/>
  <c r="H2141" i="5"/>
  <c r="I2141" i="5"/>
  <c r="J2141" i="5"/>
  <c r="K2141" i="5"/>
  <c r="L2141" i="5"/>
  <c r="M2141" i="5"/>
  <c r="H2142" i="5"/>
  <c r="I2142" i="5"/>
  <c r="J2142" i="5"/>
  <c r="K2142" i="5"/>
  <c r="L2142" i="5"/>
  <c r="M2142" i="5"/>
  <c r="H2143" i="5"/>
  <c r="I2143" i="5"/>
  <c r="J2143" i="5"/>
  <c r="K2143" i="5"/>
  <c r="L2143" i="5"/>
  <c r="M2143" i="5"/>
  <c r="H2144" i="5"/>
  <c r="I2144" i="5"/>
  <c r="J2144" i="5"/>
  <c r="K2144" i="5"/>
  <c r="L2144" i="5"/>
  <c r="M2144" i="5"/>
  <c r="H2145" i="5"/>
  <c r="I2145" i="5"/>
  <c r="J2145" i="5"/>
  <c r="K2145" i="5"/>
  <c r="L2145" i="5"/>
  <c r="M2145" i="5"/>
  <c r="H2146" i="5"/>
  <c r="I2146" i="5"/>
  <c r="J2146" i="5"/>
  <c r="K2146" i="5"/>
  <c r="L2146" i="5"/>
  <c r="M2146" i="5"/>
  <c r="H2147" i="5"/>
  <c r="I2147" i="5"/>
  <c r="J2147" i="5"/>
  <c r="K2147" i="5"/>
  <c r="L2147" i="5"/>
  <c r="M2147" i="5"/>
  <c r="H2148" i="5"/>
  <c r="I2148" i="5"/>
  <c r="J2148" i="5"/>
  <c r="K2148" i="5"/>
  <c r="L2148" i="5"/>
  <c r="M2148" i="5"/>
  <c r="H2149" i="5"/>
  <c r="I2149" i="5"/>
  <c r="J2149" i="5"/>
  <c r="K2149" i="5"/>
  <c r="L2149" i="5"/>
  <c r="M2149" i="5"/>
  <c r="H2150" i="5"/>
  <c r="I2150" i="5"/>
  <c r="J2150" i="5"/>
  <c r="K2150" i="5"/>
  <c r="L2150" i="5"/>
  <c r="M2150" i="5"/>
  <c r="H2151" i="5"/>
  <c r="I2151" i="5"/>
  <c r="J2151" i="5"/>
  <c r="K2151" i="5"/>
  <c r="L2151" i="5"/>
  <c r="M2151" i="5"/>
  <c r="H2152" i="5"/>
  <c r="I2152" i="5"/>
  <c r="J2152" i="5"/>
  <c r="K2152" i="5"/>
  <c r="L2152" i="5"/>
  <c r="M2152" i="5"/>
  <c r="H2153" i="5"/>
  <c r="I2153" i="5"/>
  <c r="J2153" i="5"/>
  <c r="K2153" i="5"/>
  <c r="L2153" i="5"/>
  <c r="M2153" i="5"/>
  <c r="H2154" i="5"/>
  <c r="I2154" i="5"/>
  <c r="J2154" i="5"/>
  <c r="K2154" i="5"/>
  <c r="L2154" i="5"/>
  <c r="M2154" i="5"/>
  <c r="H2155" i="5"/>
  <c r="I2155" i="5"/>
  <c r="J2155" i="5"/>
  <c r="K2155" i="5"/>
  <c r="L2155" i="5"/>
  <c r="M2155" i="5"/>
  <c r="H2156" i="5"/>
  <c r="I2156" i="5"/>
  <c r="J2156" i="5"/>
  <c r="K2156" i="5"/>
  <c r="L2156" i="5"/>
  <c r="M2156" i="5"/>
  <c r="H2157" i="5"/>
  <c r="I2157" i="5"/>
  <c r="J2157" i="5"/>
  <c r="K2157" i="5"/>
  <c r="L2157" i="5"/>
  <c r="M2157" i="5"/>
  <c r="H2158" i="5"/>
  <c r="I2158" i="5"/>
  <c r="J2158" i="5"/>
  <c r="K2158" i="5"/>
  <c r="L2158" i="5"/>
  <c r="M2158" i="5"/>
  <c r="H2159" i="5"/>
  <c r="I2159" i="5"/>
  <c r="J2159" i="5"/>
  <c r="K2159" i="5"/>
  <c r="L2159" i="5"/>
  <c r="M2159" i="5"/>
  <c r="H2160" i="5"/>
  <c r="I2160" i="5"/>
  <c r="J2160" i="5"/>
  <c r="K2160" i="5"/>
  <c r="L2160" i="5"/>
  <c r="M2160" i="5"/>
  <c r="H2161" i="5"/>
  <c r="I2161" i="5"/>
  <c r="J2161" i="5"/>
  <c r="K2161" i="5"/>
  <c r="L2161" i="5"/>
  <c r="M2161" i="5"/>
  <c r="H2162" i="5"/>
  <c r="I2162" i="5"/>
  <c r="J2162" i="5"/>
  <c r="K2162" i="5"/>
  <c r="L2162" i="5"/>
  <c r="M2162" i="5"/>
  <c r="H2163" i="5"/>
  <c r="I2163" i="5"/>
  <c r="J2163" i="5"/>
  <c r="K2163" i="5"/>
  <c r="L2163" i="5"/>
  <c r="M2163" i="5"/>
  <c r="H2164" i="5"/>
  <c r="I2164" i="5"/>
  <c r="J2164" i="5"/>
  <c r="K2164" i="5"/>
  <c r="L2164" i="5"/>
  <c r="M2164" i="5"/>
  <c r="H2165" i="5"/>
  <c r="I2165" i="5"/>
  <c r="J2165" i="5"/>
  <c r="K2165" i="5"/>
  <c r="L2165" i="5"/>
  <c r="M2165" i="5"/>
  <c r="H2166" i="5"/>
  <c r="I2166" i="5"/>
  <c r="J2166" i="5"/>
  <c r="K2166" i="5"/>
  <c r="L2166" i="5"/>
  <c r="M2166" i="5"/>
  <c r="H2167" i="5"/>
  <c r="I2167" i="5"/>
  <c r="J2167" i="5"/>
  <c r="K2167" i="5"/>
  <c r="L2167" i="5"/>
  <c r="M2167" i="5"/>
  <c r="H2168" i="5"/>
  <c r="I2168" i="5"/>
  <c r="J2168" i="5"/>
  <c r="K2168" i="5"/>
  <c r="L2168" i="5"/>
  <c r="M2168" i="5"/>
  <c r="H2169" i="5"/>
  <c r="I2169" i="5"/>
  <c r="J2169" i="5"/>
  <c r="K2169" i="5"/>
  <c r="L2169" i="5"/>
  <c r="M2169" i="5"/>
  <c r="H2170" i="5"/>
  <c r="I2170" i="5"/>
  <c r="J2170" i="5"/>
  <c r="K2170" i="5"/>
  <c r="L2170" i="5"/>
  <c r="M2170" i="5"/>
  <c r="H2171" i="5"/>
  <c r="I2171" i="5"/>
  <c r="J2171" i="5"/>
  <c r="K2171" i="5"/>
  <c r="L2171" i="5"/>
  <c r="M2171" i="5"/>
  <c r="H2172" i="5"/>
  <c r="I2172" i="5"/>
  <c r="J2172" i="5"/>
  <c r="K2172" i="5"/>
  <c r="L2172" i="5"/>
  <c r="M2172" i="5"/>
  <c r="H2173" i="5"/>
  <c r="I2173" i="5"/>
  <c r="J2173" i="5"/>
  <c r="K2173" i="5"/>
  <c r="L2173" i="5"/>
  <c r="M2173" i="5"/>
  <c r="H2174" i="5"/>
  <c r="I2174" i="5"/>
  <c r="J2174" i="5"/>
  <c r="K2174" i="5"/>
  <c r="L2174" i="5"/>
  <c r="M2174" i="5"/>
  <c r="H2175" i="5"/>
  <c r="I2175" i="5"/>
  <c r="J2175" i="5"/>
  <c r="K2175" i="5"/>
  <c r="L2175" i="5"/>
  <c r="M2175" i="5"/>
  <c r="H2176" i="5"/>
  <c r="I2176" i="5"/>
  <c r="J2176" i="5"/>
  <c r="K2176" i="5"/>
  <c r="L2176" i="5"/>
  <c r="M2176" i="5"/>
  <c r="H2177" i="5"/>
  <c r="I2177" i="5"/>
  <c r="J2177" i="5"/>
  <c r="K2177" i="5"/>
  <c r="L2177" i="5"/>
  <c r="M2177" i="5"/>
  <c r="H2178" i="5"/>
  <c r="I2178" i="5"/>
  <c r="J2178" i="5"/>
  <c r="K2178" i="5"/>
  <c r="L2178" i="5"/>
  <c r="M2178" i="5"/>
  <c r="H2179" i="5"/>
  <c r="I2179" i="5"/>
  <c r="J2179" i="5"/>
  <c r="K2179" i="5"/>
  <c r="L2179" i="5"/>
  <c r="M2179" i="5"/>
  <c r="H2180" i="5"/>
  <c r="I2180" i="5"/>
  <c r="J2180" i="5"/>
  <c r="K2180" i="5"/>
  <c r="L2180" i="5"/>
  <c r="M2180" i="5"/>
  <c r="H2181" i="5"/>
  <c r="I2181" i="5"/>
  <c r="J2181" i="5"/>
  <c r="K2181" i="5"/>
  <c r="L2181" i="5"/>
  <c r="M2181" i="5"/>
  <c r="H2182" i="5"/>
  <c r="I2182" i="5"/>
  <c r="J2182" i="5"/>
  <c r="K2182" i="5"/>
  <c r="L2182" i="5"/>
  <c r="M2182" i="5"/>
  <c r="H2183" i="5"/>
  <c r="I2183" i="5"/>
  <c r="J2183" i="5"/>
  <c r="K2183" i="5"/>
  <c r="L2183" i="5"/>
  <c r="M2183" i="5"/>
  <c r="H2184" i="5"/>
  <c r="I2184" i="5"/>
  <c r="J2184" i="5"/>
  <c r="K2184" i="5"/>
  <c r="L2184" i="5"/>
  <c r="M2184" i="5"/>
  <c r="H2185" i="5"/>
  <c r="I2185" i="5"/>
  <c r="J2185" i="5"/>
  <c r="K2185" i="5"/>
  <c r="L2185" i="5"/>
  <c r="M2185" i="5"/>
  <c r="H2186" i="5"/>
  <c r="I2186" i="5"/>
  <c r="J2186" i="5"/>
  <c r="K2186" i="5"/>
  <c r="L2186" i="5"/>
  <c r="M2186" i="5"/>
  <c r="H2187" i="5"/>
  <c r="I2187" i="5"/>
  <c r="J2187" i="5"/>
  <c r="K2187" i="5"/>
  <c r="L2187" i="5"/>
  <c r="M2187" i="5"/>
  <c r="H2188" i="5"/>
  <c r="I2188" i="5"/>
  <c r="J2188" i="5"/>
  <c r="K2188" i="5"/>
  <c r="L2188" i="5"/>
  <c r="M2188" i="5"/>
  <c r="H2189" i="5"/>
  <c r="I2189" i="5"/>
  <c r="J2189" i="5"/>
  <c r="K2189" i="5"/>
  <c r="L2189" i="5"/>
  <c r="M2189" i="5"/>
  <c r="H2190" i="5"/>
  <c r="I2190" i="5"/>
  <c r="J2190" i="5"/>
  <c r="K2190" i="5"/>
  <c r="L2190" i="5"/>
  <c r="M2190" i="5"/>
  <c r="H2191" i="5"/>
  <c r="I2191" i="5"/>
  <c r="J2191" i="5"/>
  <c r="K2191" i="5"/>
  <c r="L2191" i="5"/>
  <c r="M2191" i="5"/>
  <c r="H2192" i="5"/>
  <c r="I2192" i="5"/>
  <c r="J2192" i="5"/>
  <c r="K2192" i="5"/>
  <c r="L2192" i="5"/>
  <c r="M2192" i="5"/>
  <c r="H2193" i="5"/>
  <c r="I2193" i="5"/>
  <c r="J2193" i="5"/>
  <c r="K2193" i="5"/>
  <c r="L2193" i="5"/>
  <c r="M2193" i="5"/>
  <c r="H2194" i="5"/>
  <c r="I2194" i="5"/>
  <c r="J2194" i="5"/>
  <c r="K2194" i="5"/>
  <c r="L2194" i="5"/>
  <c r="M2194" i="5"/>
  <c r="H2195" i="5"/>
  <c r="I2195" i="5"/>
  <c r="J2195" i="5"/>
  <c r="K2195" i="5"/>
  <c r="L2195" i="5"/>
  <c r="M2195" i="5"/>
  <c r="H2196" i="5"/>
  <c r="I2196" i="5"/>
  <c r="J2196" i="5"/>
  <c r="K2196" i="5"/>
  <c r="L2196" i="5"/>
  <c r="M2196" i="5"/>
  <c r="H2197" i="5"/>
  <c r="I2197" i="5"/>
  <c r="J2197" i="5"/>
  <c r="K2197" i="5"/>
  <c r="L2197" i="5"/>
  <c r="M2197" i="5"/>
  <c r="H2198" i="5"/>
  <c r="I2198" i="5"/>
  <c r="J2198" i="5"/>
  <c r="K2198" i="5"/>
  <c r="L2198" i="5"/>
  <c r="M2198" i="5"/>
  <c r="H2199" i="5"/>
  <c r="I2199" i="5"/>
  <c r="J2199" i="5"/>
  <c r="K2199" i="5"/>
  <c r="L2199" i="5"/>
  <c r="M2199" i="5"/>
  <c r="H2200" i="5"/>
  <c r="I2200" i="5"/>
  <c r="J2200" i="5"/>
  <c r="K2200" i="5"/>
  <c r="L2200" i="5"/>
  <c r="M2200" i="5"/>
  <c r="H2201" i="5"/>
  <c r="I2201" i="5"/>
  <c r="J2201" i="5"/>
  <c r="K2201" i="5"/>
  <c r="L2201" i="5"/>
  <c r="M2201" i="5"/>
  <c r="H2202" i="5"/>
  <c r="I2202" i="5"/>
  <c r="J2202" i="5"/>
  <c r="K2202" i="5"/>
  <c r="L2202" i="5"/>
  <c r="M2202" i="5"/>
  <c r="H2203" i="5"/>
  <c r="I2203" i="5"/>
  <c r="J2203" i="5"/>
  <c r="K2203" i="5"/>
  <c r="L2203" i="5"/>
  <c r="M2203" i="5"/>
  <c r="H2204" i="5"/>
  <c r="I2204" i="5"/>
  <c r="J2204" i="5"/>
  <c r="K2204" i="5"/>
  <c r="L2204" i="5"/>
  <c r="M2204" i="5"/>
  <c r="H2205" i="5"/>
  <c r="I2205" i="5"/>
  <c r="J2205" i="5"/>
  <c r="K2205" i="5"/>
  <c r="L2205" i="5"/>
  <c r="M2205" i="5"/>
  <c r="H2206" i="5"/>
  <c r="I2206" i="5"/>
  <c r="J2206" i="5"/>
  <c r="K2206" i="5"/>
  <c r="L2206" i="5"/>
  <c r="M2206" i="5"/>
  <c r="H2207" i="5"/>
  <c r="I2207" i="5"/>
  <c r="J2207" i="5"/>
  <c r="K2207" i="5"/>
  <c r="L2207" i="5"/>
  <c r="M2207" i="5"/>
  <c r="H2208" i="5"/>
  <c r="I2208" i="5"/>
  <c r="J2208" i="5"/>
  <c r="K2208" i="5"/>
  <c r="L2208" i="5"/>
  <c r="M2208" i="5"/>
  <c r="H2209" i="5"/>
  <c r="I2209" i="5"/>
  <c r="J2209" i="5"/>
  <c r="K2209" i="5"/>
  <c r="L2209" i="5"/>
  <c r="M2209" i="5"/>
  <c r="H2210" i="5"/>
  <c r="I2210" i="5"/>
  <c r="J2210" i="5"/>
  <c r="K2210" i="5"/>
  <c r="L2210" i="5"/>
  <c r="M2210" i="5"/>
  <c r="H2211" i="5"/>
  <c r="I2211" i="5"/>
  <c r="J2211" i="5"/>
  <c r="K2211" i="5"/>
  <c r="L2211" i="5"/>
  <c r="M2211" i="5"/>
  <c r="H2212" i="5"/>
  <c r="I2212" i="5"/>
  <c r="J2212" i="5"/>
  <c r="K2212" i="5"/>
  <c r="L2212" i="5"/>
  <c r="M2212" i="5"/>
  <c r="H2213" i="5"/>
  <c r="I2213" i="5"/>
  <c r="J2213" i="5"/>
  <c r="K2213" i="5"/>
  <c r="L2213" i="5"/>
  <c r="M2213" i="5"/>
  <c r="H2214" i="5"/>
  <c r="I2214" i="5"/>
  <c r="J2214" i="5"/>
  <c r="K2214" i="5"/>
  <c r="L2214" i="5"/>
  <c r="M2214" i="5"/>
  <c r="H2215" i="5"/>
  <c r="I2215" i="5"/>
  <c r="J2215" i="5"/>
  <c r="K2215" i="5"/>
  <c r="L2215" i="5"/>
  <c r="M2215" i="5"/>
  <c r="H2216" i="5"/>
  <c r="I2216" i="5"/>
  <c r="J2216" i="5"/>
  <c r="K2216" i="5"/>
  <c r="L2216" i="5"/>
  <c r="M2216" i="5"/>
  <c r="H2217" i="5"/>
  <c r="I2217" i="5"/>
  <c r="J2217" i="5"/>
  <c r="K2217" i="5"/>
  <c r="L2217" i="5"/>
  <c r="M2217" i="5"/>
  <c r="H2218" i="5"/>
  <c r="I2218" i="5"/>
  <c r="J2218" i="5"/>
  <c r="K2218" i="5"/>
  <c r="L2218" i="5"/>
  <c r="M2218" i="5"/>
  <c r="H2219" i="5"/>
  <c r="I2219" i="5"/>
  <c r="J2219" i="5"/>
  <c r="K2219" i="5"/>
  <c r="L2219" i="5"/>
  <c r="M2219" i="5"/>
  <c r="H2220" i="5"/>
  <c r="I2220" i="5"/>
  <c r="J2220" i="5"/>
  <c r="K2220" i="5"/>
  <c r="L2220" i="5"/>
  <c r="M2220" i="5"/>
  <c r="H2221" i="5"/>
  <c r="I2221" i="5"/>
  <c r="J2221" i="5"/>
  <c r="K2221" i="5"/>
  <c r="L2221" i="5"/>
  <c r="M2221" i="5"/>
  <c r="H2222" i="5"/>
  <c r="I2222" i="5"/>
  <c r="J2222" i="5"/>
  <c r="K2222" i="5"/>
  <c r="L2222" i="5"/>
  <c r="M2222" i="5"/>
  <c r="H2223" i="5"/>
  <c r="I2223" i="5"/>
  <c r="J2223" i="5"/>
  <c r="K2223" i="5"/>
  <c r="L2223" i="5"/>
  <c r="M2223" i="5"/>
  <c r="H2224" i="5"/>
  <c r="I2224" i="5"/>
  <c r="J2224" i="5"/>
  <c r="K2224" i="5"/>
  <c r="L2224" i="5"/>
  <c r="M2224" i="5"/>
  <c r="H2225" i="5"/>
  <c r="I2225" i="5"/>
  <c r="J2225" i="5"/>
  <c r="K2225" i="5"/>
  <c r="L2225" i="5"/>
  <c r="M2225" i="5"/>
  <c r="H2226" i="5"/>
  <c r="I2226" i="5"/>
  <c r="J2226" i="5"/>
  <c r="K2226" i="5"/>
  <c r="L2226" i="5"/>
  <c r="M2226" i="5"/>
  <c r="H2227" i="5"/>
  <c r="I2227" i="5"/>
  <c r="J2227" i="5"/>
  <c r="K2227" i="5"/>
  <c r="L2227" i="5"/>
  <c r="M2227" i="5"/>
  <c r="H2228" i="5"/>
  <c r="I2228" i="5"/>
  <c r="J2228" i="5"/>
  <c r="K2228" i="5"/>
  <c r="L2228" i="5"/>
  <c r="M2228" i="5"/>
  <c r="H2229" i="5"/>
  <c r="I2229" i="5"/>
  <c r="J2229" i="5"/>
  <c r="K2229" i="5"/>
  <c r="L2229" i="5"/>
  <c r="M2229" i="5"/>
  <c r="H2230" i="5"/>
  <c r="I2230" i="5"/>
  <c r="J2230" i="5"/>
  <c r="K2230" i="5"/>
  <c r="L2230" i="5"/>
  <c r="M2230" i="5"/>
  <c r="H2231" i="5"/>
  <c r="I2231" i="5"/>
  <c r="J2231" i="5"/>
  <c r="K2231" i="5"/>
  <c r="L2231" i="5"/>
  <c r="M2231" i="5"/>
  <c r="H2232" i="5"/>
  <c r="I2232" i="5"/>
  <c r="J2232" i="5"/>
  <c r="K2232" i="5"/>
  <c r="L2232" i="5"/>
  <c r="M2232" i="5"/>
  <c r="H2233" i="5"/>
  <c r="I2233" i="5"/>
  <c r="J2233" i="5"/>
  <c r="K2233" i="5"/>
  <c r="L2233" i="5"/>
  <c r="M2233" i="5"/>
  <c r="H2234" i="5"/>
  <c r="I2234" i="5"/>
  <c r="J2234" i="5"/>
  <c r="K2234" i="5"/>
  <c r="L2234" i="5"/>
  <c r="M2234" i="5"/>
  <c r="H2235" i="5"/>
  <c r="I2235" i="5"/>
  <c r="J2235" i="5"/>
  <c r="K2235" i="5"/>
  <c r="L2235" i="5"/>
  <c r="M2235" i="5"/>
  <c r="H2236" i="5"/>
  <c r="I2236" i="5"/>
  <c r="J2236" i="5"/>
  <c r="K2236" i="5"/>
  <c r="L2236" i="5"/>
  <c r="M2236" i="5"/>
  <c r="H2237" i="5"/>
  <c r="I2237" i="5"/>
  <c r="J2237" i="5"/>
  <c r="K2237" i="5"/>
  <c r="L2237" i="5"/>
  <c r="M2237" i="5"/>
  <c r="H2238" i="5"/>
  <c r="I2238" i="5"/>
  <c r="J2238" i="5"/>
  <c r="K2238" i="5"/>
  <c r="L2238" i="5"/>
  <c r="M2238" i="5"/>
  <c r="H2239" i="5"/>
  <c r="I2239" i="5"/>
  <c r="J2239" i="5"/>
  <c r="K2239" i="5"/>
  <c r="L2239" i="5"/>
  <c r="M2239" i="5"/>
  <c r="H2240" i="5"/>
  <c r="I2240" i="5"/>
  <c r="J2240" i="5"/>
  <c r="K2240" i="5"/>
  <c r="L2240" i="5"/>
  <c r="M2240" i="5"/>
  <c r="H2241" i="5"/>
  <c r="I2241" i="5"/>
  <c r="J2241" i="5"/>
  <c r="K2241" i="5"/>
  <c r="L2241" i="5"/>
  <c r="M2241" i="5"/>
  <c r="H2242" i="5"/>
  <c r="I2242" i="5"/>
  <c r="J2242" i="5"/>
  <c r="K2242" i="5"/>
  <c r="L2242" i="5"/>
  <c r="M2242" i="5"/>
  <c r="H2243" i="5"/>
  <c r="I2243" i="5"/>
  <c r="J2243" i="5"/>
  <c r="K2243" i="5"/>
  <c r="L2243" i="5"/>
  <c r="M2243" i="5"/>
  <c r="H2244" i="5"/>
  <c r="I2244" i="5"/>
  <c r="J2244" i="5"/>
  <c r="K2244" i="5"/>
  <c r="L2244" i="5"/>
  <c r="M2244" i="5"/>
  <c r="H2245" i="5"/>
  <c r="I2245" i="5"/>
  <c r="J2245" i="5"/>
  <c r="K2245" i="5"/>
  <c r="L2245" i="5"/>
  <c r="M2245" i="5"/>
  <c r="H2246" i="5"/>
  <c r="I2246" i="5"/>
  <c r="J2246" i="5"/>
  <c r="K2246" i="5"/>
  <c r="L2246" i="5"/>
  <c r="M2246" i="5"/>
  <c r="H2247" i="5"/>
  <c r="I2247" i="5"/>
  <c r="J2247" i="5"/>
  <c r="K2247" i="5"/>
  <c r="L2247" i="5"/>
  <c r="M2247" i="5"/>
  <c r="H2248" i="5"/>
  <c r="I2248" i="5"/>
  <c r="J2248" i="5"/>
  <c r="K2248" i="5"/>
  <c r="L2248" i="5"/>
  <c r="M2248" i="5"/>
  <c r="H2249" i="5"/>
  <c r="I2249" i="5"/>
  <c r="J2249" i="5"/>
  <c r="K2249" i="5"/>
  <c r="L2249" i="5"/>
  <c r="M2249" i="5"/>
  <c r="H2250" i="5"/>
  <c r="I2250" i="5"/>
  <c r="J2250" i="5"/>
  <c r="K2250" i="5"/>
  <c r="L2250" i="5"/>
  <c r="M2250" i="5"/>
  <c r="H2251" i="5"/>
  <c r="I2251" i="5"/>
  <c r="J2251" i="5"/>
  <c r="K2251" i="5"/>
  <c r="L2251" i="5"/>
  <c r="M2251" i="5"/>
  <c r="H2252" i="5"/>
  <c r="I2252" i="5"/>
  <c r="J2252" i="5"/>
  <c r="K2252" i="5"/>
  <c r="L2252" i="5"/>
  <c r="M2252" i="5"/>
  <c r="H2253" i="5"/>
  <c r="I2253" i="5"/>
  <c r="J2253" i="5"/>
  <c r="K2253" i="5"/>
  <c r="L2253" i="5"/>
  <c r="M2253" i="5"/>
  <c r="H2254" i="5"/>
  <c r="I2254" i="5"/>
  <c r="J2254" i="5"/>
  <c r="K2254" i="5"/>
  <c r="L2254" i="5"/>
  <c r="M2254" i="5"/>
  <c r="H2255" i="5"/>
  <c r="I2255" i="5"/>
  <c r="J2255" i="5"/>
  <c r="K2255" i="5"/>
  <c r="L2255" i="5"/>
  <c r="M2255" i="5"/>
  <c r="H2256" i="5"/>
  <c r="I2256" i="5"/>
  <c r="J2256" i="5"/>
  <c r="K2256" i="5"/>
  <c r="L2256" i="5"/>
  <c r="M2256" i="5"/>
  <c r="H2257" i="5"/>
  <c r="I2257" i="5"/>
  <c r="J2257" i="5"/>
  <c r="K2257" i="5"/>
  <c r="L2257" i="5"/>
  <c r="M2257" i="5"/>
  <c r="H2258" i="5"/>
  <c r="I2258" i="5"/>
  <c r="J2258" i="5"/>
  <c r="K2258" i="5"/>
  <c r="L2258" i="5"/>
  <c r="M2258" i="5"/>
  <c r="H2259" i="5"/>
  <c r="I2259" i="5"/>
  <c r="J2259" i="5"/>
  <c r="K2259" i="5"/>
  <c r="L2259" i="5"/>
  <c r="M2259" i="5"/>
  <c r="H2260" i="5"/>
  <c r="I2260" i="5"/>
  <c r="J2260" i="5"/>
  <c r="K2260" i="5"/>
  <c r="L2260" i="5"/>
  <c r="M2260" i="5"/>
  <c r="H2261" i="5"/>
  <c r="I2261" i="5"/>
  <c r="J2261" i="5"/>
  <c r="K2261" i="5"/>
  <c r="L2261" i="5"/>
  <c r="M2261" i="5"/>
  <c r="H2262" i="5"/>
  <c r="I2262" i="5"/>
  <c r="J2262" i="5"/>
  <c r="K2262" i="5"/>
  <c r="L2262" i="5"/>
  <c r="M2262" i="5"/>
  <c r="H2263" i="5"/>
  <c r="I2263" i="5"/>
  <c r="J2263" i="5"/>
  <c r="K2263" i="5"/>
  <c r="L2263" i="5"/>
  <c r="M2263" i="5"/>
  <c r="H2264" i="5"/>
  <c r="I2264" i="5"/>
  <c r="J2264" i="5"/>
  <c r="K2264" i="5"/>
  <c r="L2264" i="5"/>
  <c r="M2264" i="5"/>
  <c r="H2265" i="5"/>
  <c r="I2265" i="5"/>
  <c r="J2265" i="5"/>
  <c r="K2265" i="5"/>
  <c r="L2265" i="5"/>
  <c r="M2265" i="5"/>
  <c r="H2266" i="5"/>
  <c r="I2266" i="5"/>
  <c r="J2266" i="5"/>
  <c r="K2266" i="5"/>
  <c r="L2266" i="5"/>
  <c r="M2266" i="5"/>
  <c r="H2267" i="5"/>
  <c r="I2267" i="5"/>
  <c r="J2267" i="5"/>
  <c r="K2267" i="5"/>
  <c r="L2267" i="5"/>
  <c r="M2267" i="5"/>
  <c r="H2268" i="5"/>
  <c r="I2268" i="5"/>
  <c r="J2268" i="5"/>
  <c r="K2268" i="5"/>
  <c r="L2268" i="5"/>
  <c r="M2268" i="5"/>
  <c r="H2269" i="5"/>
  <c r="I2269" i="5"/>
  <c r="J2269" i="5"/>
  <c r="K2269" i="5"/>
  <c r="L2269" i="5"/>
  <c r="M2269" i="5"/>
  <c r="H2270" i="5"/>
  <c r="I2270" i="5"/>
  <c r="J2270" i="5"/>
  <c r="K2270" i="5"/>
  <c r="L2270" i="5"/>
  <c r="M2270" i="5"/>
  <c r="H2271" i="5"/>
  <c r="I2271" i="5"/>
  <c r="J2271" i="5"/>
  <c r="K2271" i="5"/>
  <c r="L2271" i="5"/>
  <c r="M2271" i="5"/>
  <c r="H2272" i="5"/>
  <c r="I2272" i="5"/>
  <c r="J2272" i="5"/>
  <c r="K2272" i="5"/>
  <c r="L2272" i="5"/>
  <c r="M2272" i="5"/>
  <c r="H2273" i="5"/>
  <c r="I2273" i="5"/>
  <c r="J2273" i="5"/>
  <c r="K2273" i="5"/>
  <c r="L2273" i="5"/>
  <c r="M2273" i="5"/>
  <c r="H2274" i="5"/>
  <c r="I2274" i="5"/>
  <c r="J2274" i="5"/>
  <c r="K2274" i="5"/>
  <c r="L2274" i="5"/>
  <c r="M2274" i="5"/>
  <c r="H2275" i="5"/>
  <c r="I2275" i="5"/>
  <c r="J2275" i="5"/>
  <c r="K2275" i="5"/>
  <c r="L2275" i="5"/>
  <c r="M2275" i="5"/>
  <c r="H2276" i="5"/>
  <c r="I2276" i="5"/>
  <c r="J2276" i="5"/>
  <c r="K2276" i="5"/>
  <c r="L2276" i="5"/>
  <c r="M2276" i="5"/>
  <c r="H2277" i="5"/>
  <c r="I2277" i="5"/>
  <c r="J2277" i="5"/>
  <c r="K2277" i="5"/>
  <c r="L2277" i="5"/>
  <c r="M2277" i="5"/>
  <c r="H2278" i="5"/>
  <c r="I2278" i="5"/>
  <c r="J2278" i="5"/>
  <c r="K2278" i="5"/>
  <c r="L2278" i="5"/>
  <c r="M2278" i="5"/>
  <c r="H2279" i="5"/>
  <c r="I2279" i="5"/>
  <c r="J2279" i="5"/>
  <c r="K2279" i="5"/>
  <c r="L2279" i="5"/>
  <c r="M2279" i="5"/>
  <c r="H2280" i="5"/>
  <c r="I2280" i="5"/>
  <c r="J2280" i="5"/>
  <c r="K2280" i="5"/>
  <c r="L2280" i="5"/>
  <c r="M2280" i="5"/>
  <c r="H2281" i="5"/>
  <c r="I2281" i="5"/>
  <c r="J2281" i="5"/>
  <c r="K2281" i="5"/>
  <c r="L2281" i="5"/>
  <c r="M2281" i="5"/>
  <c r="H2282" i="5"/>
  <c r="I2282" i="5"/>
  <c r="J2282" i="5"/>
  <c r="K2282" i="5"/>
  <c r="L2282" i="5"/>
  <c r="M2282" i="5"/>
  <c r="H2283" i="5"/>
  <c r="I2283" i="5"/>
  <c r="J2283" i="5"/>
  <c r="K2283" i="5"/>
  <c r="L2283" i="5"/>
  <c r="M2283" i="5"/>
  <c r="H2284" i="5"/>
  <c r="I2284" i="5"/>
  <c r="J2284" i="5"/>
  <c r="K2284" i="5"/>
  <c r="L2284" i="5"/>
  <c r="M2284" i="5"/>
  <c r="H2285" i="5"/>
  <c r="I2285" i="5"/>
  <c r="J2285" i="5"/>
  <c r="K2285" i="5"/>
  <c r="L2285" i="5"/>
  <c r="M2285" i="5"/>
  <c r="H2286" i="5"/>
  <c r="I2286" i="5"/>
  <c r="J2286" i="5"/>
  <c r="K2286" i="5"/>
  <c r="L2286" i="5"/>
  <c r="M2286" i="5"/>
  <c r="H2287" i="5"/>
  <c r="I2287" i="5"/>
  <c r="J2287" i="5"/>
  <c r="K2287" i="5"/>
  <c r="L2287" i="5"/>
  <c r="M2287" i="5"/>
  <c r="H2288" i="5"/>
  <c r="I2288" i="5"/>
  <c r="J2288" i="5"/>
  <c r="K2288" i="5"/>
  <c r="L2288" i="5"/>
  <c r="M2288" i="5"/>
  <c r="H2289" i="5"/>
  <c r="I2289" i="5"/>
  <c r="J2289" i="5"/>
  <c r="K2289" i="5"/>
  <c r="L2289" i="5"/>
  <c r="M2289" i="5"/>
  <c r="H2290" i="5"/>
  <c r="I2290" i="5"/>
  <c r="J2290" i="5"/>
  <c r="K2290" i="5"/>
  <c r="L2290" i="5"/>
  <c r="M2290" i="5"/>
  <c r="H2291" i="5"/>
  <c r="I2291" i="5"/>
  <c r="J2291" i="5"/>
  <c r="K2291" i="5"/>
  <c r="L2291" i="5"/>
  <c r="M2291" i="5"/>
  <c r="H2292" i="5"/>
  <c r="I2292" i="5"/>
  <c r="J2292" i="5"/>
  <c r="K2292" i="5"/>
  <c r="L2292" i="5"/>
  <c r="M2292" i="5"/>
  <c r="H2293" i="5"/>
  <c r="I2293" i="5"/>
  <c r="J2293" i="5"/>
  <c r="K2293" i="5"/>
  <c r="L2293" i="5"/>
  <c r="M2293" i="5"/>
  <c r="H2294" i="5"/>
  <c r="I2294" i="5"/>
  <c r="J2294" i="5"/>
  <c r="K2294" i="5"/>
  <c r="L2294" i="5"/>
  <c r="M2294" i="5"/>
  <c r="H2295" i="5"/>
  <c r="I2295" i="5"/>
  <c r="J2295" i="5"/>
  <c r="K2295" i="5"/>
  <c r="L2295" i="5"/>
  <c r="M2295" i="5"/>
  <c r="H2296" i="5"/>
  <c r="I2296" i="5"/>
  <c r="J2296" i="5"/>
  <c r="K2296" i="5"/>
  <c r="L2296" i="5"/>
  <c r="M2296" i="5"/>
  <c r="H2297" i="5"/>
  <c r="I2297" i="5"/>
  <c r="J2297" i="5"/>
  <c r="K2297" i="5"/>
  <c r="L2297" i="5"/>
  <c r="M2297" i="5"/>
  <c r="H2298" i="5"/>
  <c r="I2298" i="5"/>
  <c r="J2298" i="5"/>
  <c r="K2298" i="5"/>
  <c r="L2298" i="5"/>
  <c r="M2298" i="5"/>
  <c r="H2299" i="5"/>
  <c r="I2299" i="5"/>
  <c r="J2299" i="5"/>
  <c r="K2299" i="5"/>
  <c r="L2299" i="5"/>
  <c r="M2299" i="5"/>
  <c r="H2300" i="5"/>
  <c r="I2300" i="5"/>
  <c r="J2300" i="5"/>
  <c r="K2300" i="5"/>
  <c r="L2300" i="5"/>
  <c r="M2300" i="5"/>
  <c r="H2301" i="5"/>
  <c r="I2301" i="5"/>
  <c r="J2301" i="5"/>
  <c r="K2301" i="5"/>
  <c r="L2301" i="5"/>
  <c r="M2301" i="5"/>
  <c r="H2302" i="5"/>
  <c r="I2302" i="5"/>
  <c r="J2302" i="5"/>
  <c r="K2302" i="5"/>
  <c r="L2302" i="5"/>
  <c r="M2302" i="5"/>
  <c r="H2303" i="5"/>
  <c r="I2303" i="5"/>
  <c r="J2303" i="5"/>
  <c r="K2303" i="5"/>
  <c r="L2303" i="5"/>
  <c r="M2303" i="5"/>
  <c r="H2304" i="5"/>
  <c r="I2304" i="5"/>
  <c r="J2304" i="5"/>
  <c r="K2304" i="5"/>
  <c r="L2304" i="5"/>
  <c r="M2304" i="5"/>
  <c r="H2305" i="5"/>
  <c r="I2305" i="5"/>
  <c r="J2305" i="5"/>
  <c r="K2305" i="5"/>
  <c r="L2305" i="5"/>
  <c r="M2305" i="5"/>
  <c r="H2306" i="5"/>
  <c r="I2306" i="5"/>
  <c r="J2306" i="5"/>
  <c r="K2306" i="5"/>
  <c r="L2306" i="5"/>
  <c r="M2306" i="5"/>
  <c r="H2307" i="5"/>
  <c r="I2307" i="5"/>
  <c r="J2307" i="5"/>
  <c r="K2307" i="5"/>
  <c r="L2307" i="5"/>
  <c r="M2307" i="5"/>
  <c r="H2308" i="5"/>
  <c r="I2308" i="5"/>
  <c r="J2308" i="5"/>
  <c r="K2308" i="5"/>
  <c r="L2308" i="5"/>
  <c r="M2308" i="5"/>
  <c r="H2309" i="5"/>
  <c r="I2309" i="5"/>
  <c r="J2309" i="5"/>
  <c r="K2309" i="5"/>
  <c r="L2309" i="5"/>
  <c r="M2309" i="5"/>
  <c r="H2310" i="5"/>
  <c r="I2310" i="5"/>
  <c r="J2310" i="5"/>
  <c r="K2310" i="5"/>
  <c r="L2310" i="5"/>
  <c r="M2310" i="5"/>
  <c r="H2311" i="5"/>
  <c r="I2311" i="5"/>
  <c r="J2311" i="5"/>
  <c r="K2311" i="5"/>
  <c r="L2311" i="5"/>
  <c r="M2311" i="5"/>
  <c r="H2312" i="5"/>
  <c r="I2312" i="5"/>
  <c r="J2312" i="5"/>
  <c r="K2312" i="5"/>
  <c r="L2312" i="5"/>
  <c r="M2312" i="5"/>
  <c r="H2313" i="5"/>
  <c r="I2313" i="5"/>
  <c r="J2313" i="5"/>
  <c r="K2313" i="5"/>
  <c r="L2313" i="5"/>
  <c r="M2313" i="5"/>
  <c r="H2314" i="5"/>
  <c r="I2314" i="5"/>
  <c r="J2314" i="5"/>
  <c r="K2314" i="5"/>
  <c r="L2314" i="5"/>
  <c r="M2314" i="5"/>
  <c r="H2315" i="5"/>
  <c r="I2315" i="5"/>
  <c r="J2315" i="5"/>
  <c r="K2315" i="5"/>
  <c r="L2315" i="5"/>
  <c r="M2315" i="5"/>
  <c r="H2316" i="5"/>
  <c r="I2316" i="5"/>
  <c r="J2316" i="5"/>
  <c r="K2316" i="5"/>
  <c r="L2316" i="5"/>
  <c r="M2316" i="5"/>
  <c r="H2317" i="5"/>
  <c r="I2317" i="5"/>
  <c r="J2317" i="5"/>
  <c r="K2317" i="5"/>
  <c r="L2317" i="5"/>
  <c r="M2317" i="5"/>
  <c r="H2318" i="5"/>
  <c r="I2318" i="5"/>
  <c r="J2318" i="5"/>
  <c r="K2318" i="5"/>
  <c r="L2318" i="5"/>
  <c r="M2318" i="5"/>
  <c r="H2319" i="5"/>
  <c r="I2319" i="5"/>
  <c r="J2319" i="5"/>
  <c r="K2319" i="5"/>
  <c r="L2319" i="5"/>
  <c r="M2319" i="5"/>
  <c r="H2320" i="5"/>
  <c r="I2320" i="5"/>
  <c r="J2320" i="5"/>
  <c r="K2320" i="5"/>
  <c r="L2320" i="5"/>
  <c r="M2320" i="5"/>
  <c r="H2321" i="5"/>
  <c r="I2321" i="5"/>
  <c r="J2321" i="5"/>
  <c r="K2321" i="5"/>
  <c r="L2321" i="5"/>
  <c r="M2321" i="5"/>
  <c r="H2322" i="5"/>
  <c r="I2322" i="5"/>
  <c r="J2322" i="5"/>
  <c r="K2322" i="5"/>
  <c r="L2322" i="5"/>
  <c r="M2322" i="5"/>
  <c r="H2323" i="5"/>
  <c r="I2323" i="5"/>
  <c r="J2323" i="5"/>
  <c r="K2323" i="5"/>
  <c r="L2323" i="5"/>
  <c r="M2323" i="5"/>
  <c r="H2324" i="5"/>
  <c r="I2324" i="5"/>
  <c r="J2324" i="5"/>
  <c r="K2324" i="5"/>
  <c r="L2324" i="5"/>
  <c r="M2324" i="5"/>
  <c r="H2325" i="5"/>
  <c r="I2325" i="5"/>
  <c r="J2325" i="5"/>
  <c r="K2325" i="5"/>
  <c r="L2325" i="5"/>
  <c r="M2325" i="5"/>
  <c r="H2326" i="5"/>
  <c r="I2326" i="5"/>
  <c r="J2326" i="5"/>
  <c r="K2326" i="5"/>
  <c r="L2326" i="5"/>
  <c r="M2326" i="5"/>
  <c r="H2327" i="5"/>
  <c r="I2327" i="5"/>
  <c r="J2327" i="5"/>
  <c r="K2327" i="5"/>
  <c r="L2327" i="5"/>
  <c r="M2327" i="5"/>
  <c r="H2328" i="5"/>
  <c r="I2328" i="5"/>
  <c r="J2328" i="5"/>
  <c r="K2328" i="5"/>
  <c r="L2328" i="5"/>
  <c r="M2328" i="5"/>
  <c r="H2329" i="5"/>
  <c r="I2329" i="5"/>
  <c r="J2329" i="5"/>
  <c r="K2329" i="5"/>
  <c r="L2329" i="5"/>
  <c r="M2329" i="5"/>
  <c r="H2330" i="5"/>
  <c r="I2330" i="5"/>
  <c r="J2330" i="5"/>
  <c r="K2330" i="5"/>
  <c r="L2330" i="5"/>
  <c r="M2330" i="5"/>
  <c r="H2331" i="5"/>
  <c r="I2331" i="5"/>
  <c r="J2331" i="5"/>
  <c r="K2331" i="5"/>
  <c r="L2331" i="5"/>
  <c r="M2331" i="5"/>
  <c r="H2332" i="5"/>
  <c r="I2332" i="5"/>
  <c r="J2332" i="5"/>
  <c r="K2332" i="5"/>
  <c r="L2332" i="5"/>
  <c r="M2332" i="5"/>
  <c r="H2333" i="5"/>
  <c r="I2333" i="5"/>
  <c r="J2333" i="5"/>
  <c r="K2333" i="5"/>
  <c r="L2333" i="5"/>
  <c r="M2333" i="5"/>
  <c r="H2334" i="5"/>
  <c r="I2334" i="5"/>
  <c r="J2334" i="5"/>
  <c r="K2334" i="5"/>
  <c r="L2334" i="5"/>
  <c r="M2334" i="5"/>
  <c r="H2335" i="5"/>
  <c r="I2335" i="5"/>
  <c r="J2335" i="5"/>
  <c r="K2335" i="5"/>
  <c r="L2335" i="5"/>
  <c r="M2335" i="5"/>
  <c r="H2336" i="5"/>
  <c r="I2336" i="5"/>
  <c r="J2336" i="5"/>
  <c r="K2336" i="5"/>
  <c r="L2336" i="5"/>
  <c r="M2336" i="5"/>
  <c r="H2337" i="5"/>
  <c r="I2337" i="5"/>
  <c r="J2337" i="5"/>
  <c r="K2337" i="5"/>
  <c r="L2337" i="5"/>
  <c r="M2337" i="5"/>
  <c r="H2338" i="5"/>
  <c r="I2338" i="5"/>
  <c r="J2338" i="5"/>
  <c r="K2338" i="5"/>
  <c r="L2338" i="5"/>
  <c r="M2338" i="5"/>
  <c r="H2339" i="5"/>
  <c r="I2339" i="5"/>
  <c r="J2339" i="5"/>
  <c r="K2339" i="5"/>
  <c r="L2339" i="5"/>
  <c r="M2339" i="5"/>
  <c r="H2340" i="5"/>
  <c r="I2340" i="5"/>
  <c r="J2340" i="5"/>
  <c r="K2340" i="5"/>
  <c r="L2340" i="5"/>
  <c r="M2340" i="5"/>
  <c r="H2341" i="5"/>
  <c r="I2341" i="5"/>
  <c r="J2341" i="5"/>
  <c r="K2341" i="5"/>
  <c r="L2341" i="5"/>
  <c r="M2341" i="5"/>
  <c r="H2342" i="5"/>
  <c r="I2342" i="5"/>
  <c r="J2342" i="5"/>
  <c r="K2342" i="5"/>
  <c r="L2342" i="5"/>
  <c r="M2342" i="5"/>
  <c r="H2343" i="5"/>
  <c r="I2343" i="5"/>
  <c r="J2343" i="5"/>
  <c r="K2343" i="5"/>
  <c r="L2343" i="5"/>
  <c r="M2343" i="5"/>
  <c r="H2344" i="5"/>
  <c r="I2344" i="5"/>
  <c r="J2344" i="5"/>
  <c r="K2344" i="5"/>
  <c r="L2344" i="5"/>
  <c r="M2344" i="5"/>
  <c r="H2345" i="5"/>
  <c r="I2345" i="5"/>
  <c r="J2345" i="5"/>
  <c r="K2345" i="5"/>
  <c r="L2345" i="5"/>
  <c r="M2345" i="5"/>
  <c r="H2346" i="5"/>
  <c r="I2346" i="5"/>
  <c r="J2346" i="5"/>
  <c r="K2346" i="5"/>
  <c r="L2346" i="5"/>
  <c r="M2346" i="5"/>
  <c r="H2347" i="5"/>
  <c r="I2347" i="5"/>
  <c r="J2347" i="5"/>
  <c r="K2347" i="5"/>
  <c r="L2347" i="5"/>
  <c r="M2347" i="5"/>
  <c r="H2348" i="5"/>
  <c r="I2348" i="5"/>
  <c r="J2348" i="5"/>
  <c r="K2348" i="5"/>
  <c r="L2348" i="5"/>
  <c r="M2348" i="5"/>
  <c r="H2349" i="5"/>
  <c r="I2349" i="5"/>
  <c r="J2349" i="5"/>
  <c r="K2349" i="5"/>
  <c r="L2349" i="5"/>
  <c r="M2349" i="5"/>
  <c r="H2350" i="5"/>
  <c r="I2350" i="5"/>
  <c r="J2350" i="5"/>
  <c r="K2350" i="5"/>
  <c r="L2350" i="5"/>
  <c r="M2350" i="5"/>
  <c r="H2351" i="5"/>
  <c r="I2351" i="5"/>
  <c r="J2351" i="5"/>
  <c r="K2351" i="5"/>
  <c r="L2351" i="5"/>
  <c r="M2351" i="5"/>
  <c r="H2352" i="5"/>
  <c r="I2352" i="5"/>
  <c r="J2352" i="5"/>
  <c r="K2352" i="5"/>
  <c r="L2352" i="5"/>
  <c r="M2352" i="5"/>
  <c r="H2353" i="5"/>
  <c r="I2353" i="5"/>
  <c r="J2353" i="5"/>
  <c r="K2353" i="5"/>
  <c r="L2353" i="5"/>
  <c r="M2353" i="5"/>
  <c r="H2354" i="5"/>
  <c r="I2354" i="5"/>
  <c r="J2354" i="5"/>
  <c r="K2354" i="5"/>
  <c r="L2354" i="5"/>
  <c r="M2354" i="5"/>
  <c r="H2355" i="5"/>
  <c r="I2355" i="5"/>
  <c r="J2355" i="5"/>
  <c r="K2355" i="5"/>
  <c r="L2355" i="5"/>
  <c r="M2355" i="5"/>
  <c r="H2356" i="5"/>
  <c r="I2356" i="5"/>
  <c r="J2356" i="5"/>
  <c r="K2356" i="5"/>
  <c r="L2356" i="5"/>
  <c r="M2356" i="5"/>
  <c r="H2357" i="5"/>
  <c r="I2357" i="5"/>
  <c r="J2357" i="5"/>
  <c r="K2357" i="5"/>
  <c r="L2357" i="5"/>
  <c r="M2357" i="5"/>
  <c r="H2358" i="5"/>
  <c r="I2358" i="5"/>
  <c r="J2358" i="5"/>
  <c r="K2358" i="5"/>
  <c r="L2358" i="5"/>
  <c r="M2358" i="5"/>
  <c r="H2359" i="5"/>
  <c r="I2359" i="5"/>
  <c r="J2359" i="5"/>
  <c r="K2359" i="5"/>
  <c r="L2359" i="5"/>
  <c r="M2359" i="5"/>
  <c r="H2360" i="5"/>
  <c r="I2360" i="5"/>
  <c r="J2360" i="5"/>
  <c r="K2360" i="5"/>
  <c r="L2360" i="5"/>
  <c r="M2360" i="5"/>
  <c r="H2361" i="5"/>
  <c r="I2361" i="5"/>
  <c r="J2361" i="5"/>
  <c r="K2361" i="5"/>
  <c r="L2361" i="5"/>
  <c r="M2361" i="5"/>
  <c r="H2362" i="5"/>
  <c r="I2362" i="5"/>
  <c r="J2362" i="5"/>
  <c r="K2362" i="5"/>
  <c r="L2362" i="5"/>
  <c r="M2362" i="5"/>
  <c r="H2363" i="5"/>
  <c r="I2363" i="5"/>
  <c r="J2363" i="5"/>
  <c r="K2363" i="5"/>
  <c r="L2363" i="5"/>
  <c r="M2363" i="5"/>
  <c r="H2364" i="5"/>
  <c r="I2364" i="5"/>
  <c r="J2364" i="5"/>
  <c r="K2364" i="5"/>
  <c r="L2364" i="5"/>
  <c r="M2364" i="5"/>
  <c r="H2365" i="5"/>
  <c r="I2365" i="5"/>
  <c r="J2365" i="5"/>
  <c r="K2365" i="5"/>
  <c r="L2365" i="5"/>
  <c r="M2365" i="5"/>
  <c r="H2366" i="5"/>
  <c r="I2366" i="5"/>
  <c r="J2366" i="5"/>
  <c r="K2366" i="5"/>
  <c r="L2366" i="5"/>
  <c r="M2366" i="5"/>
  <c r="H2367" i="5"/>
  <c r="I2367" i="5"/>
  <c r="J2367" i="5"/>
  <c r="K2367" i="5"/>
  <c r="L2367" i="5"/>
  <c r="M2367" i="5"/>
  <c r="H2368" i="5"/>
  <c r="I2368" i="5"/>
  <c r="J2368" i="5"/>
  <c r="K2368" i="5"/>
  <c r="L2368" i="5"/>
  <c r="M2368" i="5"/>
  <c r="H2369" i="5"/>
  <c r="I2369" i="5"/>
  <c r="J2369" i="5"/>
  <c r="K2369" i="5"/>
  <c r="L2369" i="5"/>
  <c r="M2369" i="5"/>
  <c r="H2370" i="5"/>
  <c r="I2370" i="5"/>
  <c r="J2370" i="5"/>
  <c r="K2370" i="5"/>
  <c r="L2370" i="5"/>
  <c r="M2370" i="5"/>
  <c r="H2371" i="5"/>
  <c r="I2371" i="5"/>
  <c r="J2371" i="5"/>
  <c r="K2371" i="5"/>
  <c r="L2371" i="5"/>
  <c r="M2371" i="5"/>
  <c r="H2372" i="5"/>
  <c r="I2372" i="5"/>
  <c r="J2372" i="5"/>
  <c r="K2372" i="5"/>
  <c r="L2372" i="5"/>
  <c r="M2372" i="5"/>
  <c r="H2373" i="5"/>
  <c r="I2373" i="5"/>
  <c r="J2373" i="5"/>
  <c r="K2373" i="5"/>
  <c r="L2373" i="5"/>
  <c r="M2373" i="5"/>
  <c r="H2374" i="5"/>
  <c r="I2374" i="5"/>
  <c r="J2374" i="5"/>
  <c r="K2374" i="5"/>
  <c r="L2374" i="5"/>
  <c r="M2374" i="5"/>
  <c r="H2375" i="5"/>
  <c r="I2375" i="5"/>
  <c r="J2375" i="5"/>
  <c r="K2375" i="5"/>
  <c r="L2375" i="5"/>
  <c r="M2375" i="5"/>
  <c r="H2376" i="5"/>
  <c r="I2376" i="5"/>
  <c r="J2376" i="5"/>
  <c r="K2376" i="5"/>
  <c r="L2376" i="5"/>
  <c r="M2376" i="5"/>
  <c r="H2377" i="5"/>
  <c r="I2377" i="5"/>
  <c r="J2377" i="5"/>
  <c r="K2377" i="5"/>
  <c r="L2377" i="5"/>
  <c r="M2377" i="5"/>
  <c r="H2378" i="5"/>
  <c r="I2378" i="5"/>
  <c r="J2378" i="5"/>
  <c r="K2378" i="5"/>
  <c r="L2378" i="5"/>
  <c r="M2378" i="5"/>
  <c r="H2379" i="5"/>
  <c r="I2379" i="5"/>
  <c r="J2379" i="5"/>
  <c r="K2379" i="5"/>
  <c r="L2379" i="5"/>
  <c r="M2379" i="5"/>
  <c r="H2380" i="5"/>
  <c r="I2380" i="5"/>
  <c r="J2380" i="5"/>
  <c r="K2380" i="5"/>
  <c r="L2380" i="5"/>
  <c r="M2380" i="5"/>
  <c r="H2381" i="5"/>
  <c r="I2381" i="5"/>
  <c r="J2381" i="5"/>
  <c r="K2381" i="5"/>
  <c r="L2381" i="5"/>
  <c r="M2381" i="5"/>
  <c r="H2382" i="5"/>
  <c r="I2382" i="5"/>
  <c r="J2382" i="5"/>
  <c r="K2382" i="5"/>
  <c r="L2382" i="5"/>
  <c r="M2382" i="5"/>
  <c r="H2383" i="5"/>
  <c r="I2383" i="5"/>
  <c r="J2383" i="5"/>
  <c r="K2383" i="5"/>
  <c r="L2383" i="5"/>
  <c r="M2383" i="5"/>
  <c r="H2384" i="5"/>
  <c r="I2384" i="5"/>
  <c r="J2384" i="5"/>
  <c r="K2384" i="5"/>
  <c r="L2384" i="5"/>
  <c r="M2384" i="5"/>
  <c r="H2385" i="5"/>
  <c r="I2385" i="5"/>
  <c r="J2385" i="5"/>
  <c r="K2385" i="5"/>
  <c r="L2385" i="5"/>
  <c r="M2385" i="5"/>
  <c r="H2386" i="5"/>
  <c r="I2386" i="5"/>
  <c r="J2386" i="5"/>
  <c r="K2386" i="5"/>
  <c r="L2386" i="5"/>
  <c r="M2386" i="5"/>
  <c r="H2387" i="5"/>
  <c r="I2387" i="5"/>
  <c r="J2387" i="5"/>
  <c r="K2387" i="5"/>
  <c r="L2387" i="5"/>
  <c r="M2387" i="5"/>
  <c r="H2388" i="5"/>
  <c r="I2388" i="5"/>
  <c r="J2388" i="5"/>
  <c r="K2388" i="5"/>
  <c r="L2388" i="5"/>
  <c r="M2388" i="5"/>
  <c r="H2389" i="5"/>
  <c r="I2389" i="5"/>
  <c r="J2389" i="5"/>
  <c r="K2389" i="5"/>
  <c r="L2389" i="5"/>
  <c r="M2389" i="5"/>
  <c r="H2390" i="5"/>
  <c r="I2390" i="5"/>
  <c r="J2390" i="5"/>
  <c r="K2390" i="5"/>
  <c r="L2390" i="5"/>
  <c r="M2390" i="5"/>
  <c r="H2391" i="5"/>
  <c r="I2391" i="5"/>
  <c r="J2391" i="5"/>
  <c r="K2391" i="5"/>
  <c r="L2391" i="5"/>
  <c r="M2391" i="5"/>
  <c r="H2392" i="5"/>
  <c r="I2392" i="5"/>
  <c r="J2392" i="5"/>
  <c r="K2392" i="5"/>
  <c r="L2392" i="5"/>
  <c r="M2392" i="5"/>
  <c r="H2393" i="5"/>
  <c r="I2393" i="5"/>
  <c r="J2393" i="5"/>
  <c r="K2393" i="5"/>
  <c r="L2393" i="5"/>
  <c r="M2393" i="5"/>
  <c r="H2394" i="5"/>
  <c r="I2394" i="5"/>
  <c r="J2394" i="5"/>
  <c r="K2394" i="5"/>
  <c r="L2394" i="5"/>
  <c r="M2394" i="5"/>
  <c r="H2395" i="5"/>
  <c r="I2395" i="5"/>
  <c r="J2395" i="5"/>
  <c r="K2395" i="5"/>
  <c r="L2395" i="5"/>
  <c r="M2395" i="5"/>
  <c r="H2396" i="5"/>
  <c r="I2396" i="5"/>
  <c r="J2396" i="5"/>
  <c r="K2396" i="5"/>
  <c r="L2396" i="5"/>
  <c r="M2396" i="5"/>
  <c r="H2397" i="5"/>
  <c r="I2397" i="5"/>
  <c r="J2397" i="5"/>
  <c r="K2397" i="5"/>
  <c r="L2397" i="5"/>
  <c r="M2397" i="5"/>
  <c r="H2398" i="5"/>
  <c r="I2398" i="5"/>
  <c r="J2398" i="5"/>
  <c r="K2398" i="5"/>
  <c r="L2398" i="5"/>
  <c r="M2398" i="5"/>
  <c r="H2399" i="5"/>
  <c r="I2399" i="5"/>
  <c r="J2399" i="5"/>
  <c r="K2399" i="5"/>
  <c r="L2399" i="5"/>
  <c r="M2399" i="5"/>
  <c r="H2400" i="5"/>
  <c r="I2400" i="5"/>
  <c r="J2400" i="5"/>
  <c r="K2400" i="5"/>
  <c r="L2400" i="5"/>
  <c r="M2400" i="5"/>
  <c r="H2401" i="5"/>
  <c r="I2401" i="5"/>
  <c r="J2401" i="5"/>
  <c r="K2401" i="5"/>
  <c r="L2401" i="5"/>
  <c r="M2401" i="5"/>
  <c r="H2402" i="5"/>
  <c r="I2402" i="5"/>
  <c r="J2402" i="5"/>
  <c r="K2402" i="5"/>
  <c r="L2402" i="5"/>
  <c r="M2402" i="5"/>
  <c r="H2403" i="5"/>
  <c r="I2403" i="5"/>
  <c r="J2403" i="5"/>
  <c r="K2403" i="5"/>
  <c r="L2403" i="5"/>
  <c r="M2403" i="5"/>
  <c r="H2404" i="5"/>
  <c r="I2404" i="5"/>
  <c r="J2404" i="5"/>
  <c r="K2404" i="5"/>
  <c r="L2404" i="5"/>
  <c r="M2404" i="5"/>
  <c r="H2405" i="5"/>
  <c r="I2405" i="5"/>
  <c r="J2405" i="5"/>
  <c r="K2405" i="5"/>
  <c r="L2405" i="5"/>
  <c r="M2405" i="5"/>
  <c r="H2406" i="5"/>
  <c r="I2406" i="5"/>
  <c r="J2406" i="5"/>
  <c r="K2406" i="5"/>
  <c r="L2406" i="5"/>
  <c r="M2406" i="5"/>
  <c r="H2407" i="5"/>
  <c r="I2407" i="5"/>
  <c r="J2407" i="5"/>
  <c r="K2407" i="5"/>
  <c r="L2407" i="5"/>
  <c r="M2407" i="5"/>
  <c r="H2408" i="5"/>
  <c r="I2408" i="5"/>
  <c r="J2408" i="5"/>
  <c r="K2408" i="5"/>
  <c r="L2408" i="5"/>
  <c r="M2408" i="5"/>
  <c r="H2409" i="5"/>
  <c r="I2409" i="5"/>
  <c r="J2409" i="5"/>
  <c r="K2409" i="5"/>
  <c r="L2409" i="5"/>
  <c r="M2409" i="5"/>
  <c r="H2410" i="5"/>
  <c r="I2410" i="5"/>
  <c r="J2410" i="5"/>
  <c r="K2410" i="5"/>
  <c r="L2410" i="5"/>
  <c r="M2410" i="5"/>
  <c r="H2411" i="5"/>
  <c r="I2411" i="5"/>
  <c r="J2411" i="5"/>
  <c r="K2411" i="5"/>
  <c r="L2411" i="5"/>
  <c r="M2411" i="5"/>
  <c r="H2412" i="5"/>
  <c r="I2412" i="5"/>
  <c r="J2412" i="5"/>
  <c r="K2412" i="5"/>
  <c r="L2412" i="5"/>
  <c r="M2412" i="5"/>
  <c r="H2413" i="5"/>
  <c r="I2413" i="5"/>
  <c r="J2413" i="5"/>
  <c r="K2413" i="5"/>
  <c r="L2413" i="5"/>
  <c r="M2413" i="5"/>
  <c r="H2414" i="5"/>
  <c r="I2414" i="5"/>
  <c r="J2414" i="5"/>
  <c r="K2414" i="5"/>
  <c r="L2414" i="5"/>
  <c r="M2414" i="5"/>
  <c r="H2415" i="5"/>
  <c r="I2415" i="5"/>
  <c r="J2415" i="5"/>
  <c r="K2415" i="5"/>
  <c r="L2415" i="5"/>
  <c r="M2415" i="5"/>
  <c r="H2416" i="5"/>
  <c r="I2416" i="5"/>
  <c r="J2416" i="5"/>
  <c r="K2416" i="5"/>
  <c r="L2416" i="5"/>
  <c r="M2416" i="5"/>
  <c r="H2417" i="5"/>
  <c r="I2417" i="5"/>
  <c r="J2417" i="5"/>
  <c r="K2417" i="5"/>
  <c r="L2417" i="5"/>
  <c r="M2417" i="5"/>
  <c r="H2418" i="5"/>
  <c r="I2418" i="5"/>
  <c r="J2418" i="5"/>
  <c r="K2418" i="5"/>
  <c r="L2418" i="5"/>
  <c r="M2418" i="5"/>
  <c r="H2419" i="5"/>
  <c r="I2419" i="5"/>
  <c r="J2419" i="5"/>
  <c r="K2419" i="5"/>
  <c r="L2419" i="5"/>
  <c r="M2419" i="5"/>
  <c r="H2420" i="5"/>
  <c r="I2420" i="5"/>
  <c r="J2420" i="5"/>
  <c r="K2420" i="5"/>
  <c r="L2420" i="5"/>
  <c r="M2420" i="5"/>
  <c r="H2421" i="5"/>
  <c r="I2421" i="5"/>
  <c r="J2421" i="5"/>
  <c r="K2421" i="5"/>
  <c r="L2421" i="5"/>
  <c r="M2421" i="5"/>
  <c r="H2422" i="5"/>
  <c r="I2422" i="5"/>
  <c r="J2422" i="5"/>
  <c r="K2422" i="5"/>
  <c r="L2422" i="5"/>
  <c r="M2422" i="5"/>
  <c r="H2423" i="5"/>
  <c r="I2423" i="5"/>
  <c r="J2423" i="5"/>
  <c r="K2423" i="5"/>
  <c r="L2423" i="5"/>
  <c r="M2423" i="5"/>
  <c r="H2424" i="5"/>
  <c r="I2424" i="5"/>
  <c r="J2424" i="5"/>
  <c r="K2424" i="5"/>
  <c r="L2424" i="5"/>
  <c r="M2424" i="5"/>
  <c r="H2425" i="5"/>
  <c r="I2425" i="5"/>
  <c r="J2425" i="5"/>
  <c r="K2425" i="5"/>
  <c r="L2425" i="5"/>
  <c r="M2425" i="5"/>
  <c r="H2426" i="5"/>
  <c r="I2426" i="5"/>
  <c r="J2426" i="5"/>
  <c r="K2426" i="5"/>
  <c r="L2426" i="5"/>
  <c r="M2426" i="5"/>
  <c r="H2427" i="5"/>
  <c r="I2427" i="5"/>
  <c r="J2427" i="5"/>
  <c r="K2427" i="5"/>
  <c r="L2427" i="5"/>
  <c r="M2427" i="5"/>
  <c r="H2428" i="5"/>
  <c r="I2428" i="5"/>
  <c r="J2428" i="5"/>
  <c r="K2428" i="5"/>
  <c r="L2428" i="5"/>
  <c r="M2428" i="5"/>
  <c r="H2429" i="5"/>
  <c r="I2429" i="5"/>
  <c r="J2429" i="5"/>
  <c r="K2429" i="5"/>
  <c r="L2429" i="5"/>
  <c r="M2429" i="5"/>
  <c r="H2430" i="5"/>
  <c r="I2430" i="5"/>
  <c r="J2430" i="5"/>
  <c r="K2430" i="5"/>
  <c r="L2430" i="5"/>
  <c r="M2430" i="5"/>
  <c r="H2431" i="5"/>
  <c r="I2431" i="5"/>
  <c r="J2431" i="5"/>
  <c r="K2431" i="5"/>
  <c r="L2431" i="5"/>
  <c r="M2431" i="5"/>
  <c r="H2432" i="5"/>
  <c r="I2432" i="5"/>
  <c r="J2432" i="5"/>
  <c r="K2432" i="5"/>
  <c r="L2432" i="5"/>
  <c r="M2432" i="5"/>
  <c r="H2433" i="5"/>
  <c r="I2433" i="5"/>
  <c r="J2433" i="5"/>
  <c r="K2433" i="5"/>
  <c r="L2433" i="5"/>
  <c r="M2433" i="5"/>
  <c r="H2434" i="5"/>
  <c r="I2434" i="5"/>
  <c r="J2434" i="5"/>
  <c r="K2434" i="5"/>
  <c r="L2434" i="5"/>
  <c r="M2434" i="5"/>
  <c r="H2435" i="5"/>
  <c r="I2435" i="5"/>
  <c r="J2435" i="5"/>
  <c r="K2435" i="5"/>
  <c r="L2435" i="5"/>
  <c r="M2435" i="5"/>
  <c r="H2436" i="5"/>
  <c r="I2436" i="5"/>
  <c r="J2436" i="5"/>
  <c r="K2436" i="5"/>
  <c r="L2436" i="5"/>
  <c r="M2436" i="5"/>
  <c r="H2437" i="5"/>
  <c r="I2437" i="5"/>
  <c r="J2437" i="5"/>
  <c r="K2437" i="5"/>
  <c r="L2437" i="5"/>
  <c r="M2437" i="5"/>
  <c r="H2438" i="5"/>
  <c r="I2438" i="5"/>
  <c r="J2438" i="5"/>
  <c r="K2438" i="5"/>
  <c r="L2438" i="5"/>
  <c r="M2438" i="5"/>
  <c r="H2439" i="5"/>
  <c r="I2439" i="5"/>
  <c r="J2439" i="5"/>
  <c r="K2439" i="5"/>
  <c r="L2439" i="5"/>
  <c r="M2439" i="5"/>
  <c r="H2440" i="5"/>
  <c r="I2440" i="5"/>
  <c r="J2440" i="5"/>
  <c r="K2440" i="5"/>
  <c r="L2440" i="5"/>
  <c r="M2440" i="5"/>
  <c r="H2441" i="5"/>
  <c r="I2441" i="5"/>
  <c r="J2441" i="5"/>
  <c r="K2441" i="5"/>
  <c r="L2441" i="5"/>
  <c r="M2441" i="5"/>
  <c r="H2442" i="5"/>
  <c r="I2442" i="5"/>
  <c r="J2442" i="5"/>
  <c r="K2442" i="5"/>
  <c r="L2442" i="5"/>
  <c r="M2442" i="5"/>
  <c r="H2443" i="5"/>
  <c r="I2443" i="5"/>
  <c r="J2443" i="5"/>
  <c r="K2443" i="5"/>
  <c r="L2443" i="5"/>
  <c r="M2443" i="5"/>
  <c r="H2444" i="5"/>
  <c r="I2444" i="5"/>
  <c r="J2444" i="5"/>
  <c r="K2444" i="5"/>
  <c r="L2444" i="5"/>
  <c r="M2444" i="5"/>
  <c r="H2445" i="5"/>
  <c r="I2445" i="5"/>
  <c r="J2445" i="5"/>
  <c r="K2445" i="5"/>
  <c r="L2445" i="5"/>
  <c r="M2445" i="5"/>
  <c r="H2446" i="5"/>
  <c r="I2446" i="5"/>
  <c r="J2446" i="5"/>
  <c r="K2446" i="5"/>
  <c r="L2446" i="5"/>
  <c r="M2446" i="5"/>
  <c r="H2447" i="5"/>
  <c r="I2447" i="5"/>
  <c r="J2447" i="5"/>
  <c r="K2447" i="5"/>
  <c r="L2447" i="5"/>
  <c r="M2447" i="5"/>
  <c r="H2448" i="5"/>
  <c r="I2448" i="5"/>
  <c r="J2448" i="5"/>
  <c r="K2448" i="5"/>
  <c r="L2448" i="5"/>
  <c r="M2448" i="5"/>
  <c r="H2449" i="5"/>
  <c r="I2449" i="5"/>
  <c r="J2449" i="5"/>
  <c r="K2449" i="5"/>
  <c r="L2449" i="5"/>
  <c r="M2449" i="5"/>
  <c r="H2450" i="5"/>
  <c r="I2450" i="5"/>
  <c r="J2450" i="5"/>
  <c r="K2450" i="5"/>
  <c r="L2450" i="5"/>
  <c r="M2450" i="5"/>
  <c r="H2451" i="5"/>
  <c r="I2451" i="5"/>
  <c r="J2451" i="5"/>
  <c r="K2451" i="5"/>
  <c r="L2451" i="5"/>
  <c r="M2451" i="5"/>
  <c r="H2452" i="5"/>
  <c r="I2452" i="5"/>
  <c r="J2452" i="5"/>
  <c r="K2452" i="5"/>
  <c r="L2452" i="5"/>
  <c r="M2452" i="5"/>
  <c r="H2453" i="5"/>
  <c r="I2453" i="5"/>
  <c r="J2453" i="5"/>
  <c r="K2453" i="5"/>
  <c r="L2453" i="5"/>
  <c r="M2453" i="5"/>
  <c r="H2454" i="5"/>
  <c r="I2454" i="5"/>
  <c r="J2454" i="5"/>
  <c r="K2454" i="5"/>
  <c r="L2454" i="5"/>
  <c r="M2454" i="5"/>
  <c r="H2455" i="5"/>
  <c r="I2455" i="5"/>
  <c r="J2455" i="5"/>
  <c r="K2455" i="5"/>
  <c r="L2455" i="5"/>
  <c r="M2455" i="5"/>
  <c r="H2456" i="5"/>
  <c r="I2456" i="5"/>
  <c r="J2456" i="5"/>
  <c r="K2456" i="5"/>
  <c r="L2456" i="5"/>
  <c r="M2456" i="5"/>
  <c r="H2457" i="5"/>
  <c r="I2457" i="5"/>
  <c r="J2457" i="5"/>
  <c r="K2457" i="5"/>
  <c r="L2457" i="5"/>
  <c r="M2457" i="5"/>
  <c r="H2458" i="5"/>
  <c r="I2458" i="5"/>
  <c r="J2458" i="5"/>
  <c r="K2458" i="5"/>
  <c r="L2458" i="5"/>
  <c r="M2458" i="5"/>
  <c r="H2459" i="5"/>
  <c r="I2459" i="5"/>
  <c r="J2459" i="5"/>
  <c r="K2459" i="5"/>
  <c r="L2459" i="5"/>
  <c r="M2459" i="5"/>
  <c r="H2460" i="5"/>
  <c r="I2460" i="5"/>
  <c r="J2460" i="5"/>
  <c r="K2460" i="5"/>
  <c r="L2460" i="5"/>
  <c r="M2460" i="5"/>
  <c r="H2461" i="5"/>
  <c r="I2461" i="5"/>
  <c r="J2461" i="5"/>
  <c r="K2461" i="5"/>
  <c r="L2461" i="5"/>
  <c r="M2461" i="5"/>
  <c r="H2462" i="5"/>
  <c r="I2462" i="5"/>
  <c r="J2462" i="5"/>
  <c r="K2462" i="5"/>
  <c r="L2462" i="5"/>
  <c r="M2462" i="5"/>
  <c r="H2463" i="5"/>
  <c r="I2463" i="5"/>
  <c r="J2463" i="5"/>
  <c r="K2463" i="5"/>
  <c r="L2463" i="5"/>
  <c r="M2463" i="5"/>
  <c r="H2464" i="5"/>
  <c r="I2464" i="5"/>
  <c r="J2464" i="5"/>
  <c r="K2464" i="5"/>
  <c r="L2464" i="5"/>
  <c r="M2464" i="5"/>
  <c r="H2465" i="5"/>
  <c r="I2465" i="5"/>
  <c r="J2465" i="5"/>
  <c r="K2465" i="5"/>
  <c r="L2465" i="5"/>
  <c r="M2465" i="5"/>
  <c r="H2466" i="5"/>
  <c r="I2466" i="5"/>
  <c r="J2466" i="5"/>
  <c r="K2466" i="5"/>
  <c r="L2466" i="5"/>
  <c r="M2466" i="5"/>
  <c r="H2467" i="5"/>
  <c r="I2467" i="5"/>
  <c r="J2467" i="5"/>
  <c r="K2467" i="5"/>
  <c r="L2467" i="5"/>
  <c r="M2467" i="5"/>
  <c r="H2468" i="5"/>
  <c r="I2468" i="5"/>
  <c r="J2468" i="5"/>
  <c r="K2468" i="5"/>
  <c r="L2468" i="5"/>
  <c r="M2468" i="5"/>
  <c r="H2469" i="5"/>
  <c r="I2469" i="5"/>
  <c r="J2469" i="5"/>
  <c r="K2469" i="5"/>
  <c r="L2469" i="5"/>
  <c r="M2469" i="5"/>
  <c r="H2470" i="5"/>
  <c r="I2470" i="5"/>
  <c r="J2470" i="5"/>
  <c r="K2470" i="5"/>
  <c r="L2470" i="5"/>
  <c r="M2470" i="5"/>
  <c r="H2471" i="5"/>
  <c r="I2471" i="5"/>
  <c r="J2471" i="5"/>
  <c r="K2471" i="5"/>
  <c r="L2471" i="5"/>
  <c r="M2471" i="5"/>
  <c r="H2472" i="5"/>
  <c r="I2472" i="5"/>
  <c r="J2472" i="5"/>
  <c r="K2472" i="5"/>
  <c r="L2472" i="5"/>
  <c r="M2472" i="5"/>
  <c r="H2473" i="5"/>
  <c r="I2473" i="5"/>
  <c r="J2473" i="5"/>
  <c r="K2473" i="5"/>
  <c r="L2473" i="5"/>
  <c r="M2473" i="5"/>
  <c r="H2474" i="5"/>
  <c r="I2474" i="5"/>
  <c r="J2474" i="5"/>
  <c r="K2474" i="5"/>
  <c r="L2474" i="5"/>
  <c r="M2474" i="5"/>
  <c r="H2475" i="5"/>
  <c r="I2475" i="5"/>
  <c r="J2475" i="5"/>
  <c r="K2475" i="5"/>
  <c r="L2475" i="5"/>
  <c r="M2475" i="5"/>
  <c r="H2476" i="5"/>
  <c r="I2476" i="5"/>
  <c r="J2476" i="5"/>
  <c r="K2476" i="5"/>
  <c r="L2476" i="5"/>
  <c r="M2476" i="5"/>
  <c r="H2477" i="5"/>
  <c r="I2477" i="5"/>
  <c r="J2477" i="5"/>
  <c r="K2477" i="5"/>
  <c r="L2477" i="5"/>
  <c r="M2477" i="5"/>
  <c r="H2478" i="5"/>
  <c r="I2478" i="5"/>
  <c r="J2478" i="5"/>
  <c r="K2478" i="5"/>
  <c r="L2478" i="5"/>
  <c r="M2478" i="5"/>
  <c r="H2479" i="5"/>
  <c r="I2479" i="5"/>
  <c r="J2479" i="5"/>
  <c r="K2479" i="5"/>
  <c r="L2479" i="5"/>
  <c r="M2479" i="5"/>
  <c r="H2480" i="5"/>
  <c r="I2480" i="5"/>
  <c r="J2480" i="5"/>
  <c r="K2480" i="5"/>
  <c r="L2480" i="5"/>
  <c r="M2480" i="5"/>
  <c r="H2481" i="5"/>
  <c r="I2481" i="5"/>
  <c r="J2481" i="5"/>
  <c r="K2481" i="5"/>
  <c r="L2481" i="5"/>
  <c r="M2481" i="5"/>
  <c r="H2482" i="5"/>
  <c r="I2482" i="5"/>
  <c r="J2482" i="5"/>
  <c r="K2482" i="5"/>
  <c r="L2482" i="5"/>
  <c r="M2482" i="5"/>
  <c r="H2483" i="5"/>
  <c r="I2483" i="5"/>
  <c r="J2483" i="5"/>
  <c r="K2483" i="5"/>
  <c r="L2483" i="5"/>
  <c r="M2483" i="5"/>
  <c r="H2484" i="5"/>
  <c r="I2484" i="5"/>
  <c r="J2484" i="5"/>
  <c r="K2484" i="5"/>
  <c r="L2484" i="5"/>
  <c r="M2484" i="5"/>
  <c r="H2485" i="5"/>
  <c r="I2485" i="5"/>
  <c r="J2485" i="5"/>
  <c r="K2485" i="5"/>
  <c r="L2485" i="5"/>
  <c r="M2485" i="5"/>
  <c r="H2486" i="5"/>
  <c r="I2486" i="5"/>
  <c r="J2486" i="5"/>
  <c r="K2486" i="5"/>
  <c r="L2486" i="5"/>
  <c r="M2486" i="5"/>
  <c r="H2487" i="5"/>
  <c r="I2487" i="5"/>
  <c r="J2487" i="5"/>
  <c r="K2487" i="5"/>
  <c r="L2487" i="5"/>
  <c r="M2487" i="5"/>
  <c r="H2488" i="5"/>
  <c r="I2488" i="5"/>
  <c r="J2488" i="5"/>
  <c r="K2488" i="5"/>
  <c r="L2488" i="5"/>
  <c r="M2488" i="5"/>
  <c r="H2489" i="5"/>
  <c r="I2489" i="5"/>
  <c r="J2489" i="5"/>
  <c r="K2489" i="5"/>
  <c r="L2489" i="5"/>
  <c r="M2489" i="5"/>
  <c r="H2490" i="5"/>
  <c r="I2490" i="5"/>
  <c r="J2490" i="5"/>
  <c r="K2490" i="5"/>
  <c r="L2490" i="5"/>
  <c r="M2490" i="5"/>
  <c r="H2491" i="5"/>
  <c r="I2491" i="5"/>
  <c r="J2491" i="5"/>
  <c r="K2491" i="5"/>
  <c r="L2491" i="5"/>
  <c r="M2491" i="5"/>
  <c r="H2492" i="5"/>
  <c r="I2492" i="5"/>
  <c r="J2492" i="5"/>
  <c r="K2492" i="5"/>
  <c r="L2492" i="5"/>
  <c r="M2492" i="5"/>
  <c r="H2493" i="5"/>
  <c r="I2493" i="5"/>
  <c r="J2493" i="5"/>
  <c r="K2493" i="5"/>
  <c r="L2493" i="5"/>
  <c r="M2493" i="5"/>
  <c r="H2494" i="5"/>
  <c r="I2494" i="5"/>
  <c r="J2494" i="5"/>
  <c r="K2494" i="5"/>
  <c r="L2494" i="5"/>
  <c r="M2494" i="5"/>
  <c r="H2495" i="5"/>
  <c r="I2495" i="5"/>
  <c r="J2495" i="5"/>
  <c r="K2495" i="5"/>
  <c r="L2495" i="5"/>
  <c r="M2495" i="5"/>
  <c r="H2496" i="5"/>
  <c r="I2496" i="5"/>
  <c r="J2496" i="5"/>
  <c r="K2496" i="5"/>
  <c r="L2496" i="5"/>
  <c r="M2496" i="5"/>
  <c r="H2497" i="5"/>
  <c r="I2497" i="5"/>
  <c r="J2497" i="5"/>
  <c r="K2497" i="5"/>
  <c r="L2497" i="5"/>
  <c r="M2497" i="5"/>
  <c r="H2498" i="5"/>
  <c r="I2498" i="5"/>
  <c r="J2498" i="5"/>
  <c r="K2498" i="5"/>
  <c r="L2498" i="5"/>
  <c r="M2498" i="5"/>
  <c r="H2499" i="5"/>
  <c r="I2499" i="5"/>
  <c r="J2499" i="5"/>
  <c r="K2499" i="5"/>
  <c r="L2499" i="5"/>
  <c r="M2499" i="5"/>
  <c r="H2500" i="5"/>
  <c r="I2500" i="5"/>
  <c r="J2500" i="5"/>
  <c r="K2500" i="5"/>
  <c r="L2500" i="5"/>
  <c r="M2500" i="5"/>
  <c r="H2501" i="5"/>
  <c r="I2501" i="5"/>
  <c r="J2501" i="5"/>
  <c r="K2501" i="5"/>
  <c r="L2501" i="5"/>
  <c r="M2501" i="5"/>
  <c r="H2502" i="5"/>
  <c r="I2502" i="5"/>
  <c r="J2502" i="5"/>
  <c r="K2502" i="5"/>
  <c r="L2502" i="5"/>
  <c r="M2502" i="5"/>
  <c r="H2503" i="5"/>
  <c r="I2503" i="5"/>
  <c r="J2503" i="5"/>
  <c r="K2503" i="5"/>
  <c r="L2503" i="5"/>
  <c r="M2503" i="5"/>
  <c r="H2504" i="5"/>
  <c r="I2504" i="5"/>
  <c r="J2504" i="5"/>
  <c r="K2504" i="5"/>
  <c r="L2504" i="5"/>
  <c r="M2504" i="5"/>
  <c r="H2505" i="5"/>
  <c r="I2505" i="5"/>
  <c r="J2505" i="5"/>
  <c r="K2505" i="5"/>
  <c r="L2505" i="5"/>
  <c r="M2505" i="5"/>
  <c r="H2506" i="5"/>
  <c r="I2506" i="5"/>
  <c r="J2506" i="5"/>
  <c r="K2506" i="5"/>
  <c r="L2506" i="5"/>
  <c r="M2506" i="5"/>
  <c r="H2507" i="5"/>
  <c r="I2507" i="5"/>
  <c r="J2507" i="5"/>
  <c r="K2507" i="5"/>
  <c r="L2507" i="5"/>
  <c r="M2507" i="5"/>
  <c r="H2508" i="5"/>
  <c r="I2508" i="5"/>
  <c r="J2508" i="5"/>
  <c r="K2508" i="5"/>
  <c r="L2508" i="5"/>
  <c r="M2508" i="5"/>
  <c r="H2509" i="5"/>
  <c r="I2509" i="5"/>
  <c r="J2509" i="5"/>
  <c r="K2509" i="5"/>
  <c r="L2509" i="5"/>
  <c r="M2509" i="5"/>
  <c r="H2510" i="5"/>
  <c r="I2510" i="5"/>
  <c r="J2510" i="5"/>
  <c r="K2510" i="5"/>
  <c r="L2510" i="5"/>
  <c r="M2510" i="5"/>
  <c r="H2511" i="5"/>
  <c r="I2511" i="5"/>
  <c r="J2511" i="5"/>
  <c r="K2511" i="5"/>
  <c r="L2511" i="5"/>
  <c r="M2511" i="5"/>
  <c r="H2512" i="5"/>
  <c r="I2512" i="5"/>
  <c r="J2512" i="5"/>
  <c r="K2512" i="5"/>
  <c r="L2512" i="5"/>
  <c r="M2512" i="5"/>
  <c r="H2513" i="5"/>
  <c r="I2513" i="5"/>
  <c r="J2513" i="5"/>
  <c r="K2513" i="5"/>
  <c r="L2513" i="5"/>
  <c r="M2513" i="5"/>
  <c r="H2514" i="5"/>
  <c r="I2514" i="5"/>
  <c r="J2514" i="5"/>
  <c r="K2514" i="5"/>
  <c r="L2514" i="5"/>
  <c r="M2514" i="5"/>
  <c r="H2515" i="5"/>
  <c r="I2515" i="5"/>
  <c r="J2515" i="5"/>
  <c r="K2515" i="5"/>
  <c r="L2515" i="5"/>
  <c r="M2515" i="5"/>
  <c r="H2516" i="5"/>
  <c r="I2516" i="5"/>
  <c r="J2516" i="5"/>
  <c r="K2516" i="5"/>
  <c r="L2516" i="5"/>
  <c r="M2516" i="5"/>
  <c r="H2517" i="5"/>
  <c r="I2517" i="5"/>
  <c r="J2517" i="5"/>
  <c r="K2517" i="5"/>
  <c r="L2517" i="5"/>
  <c r="M2517" i="5"/>
  <c r="H2518" i="5"/>
  <c r="I2518" i="5"/>
  <c r="J2518" i="5"/>
  <c r="K2518" i="5"/>
  <c r="L2518" i="5"/>
  <c r="M2518" i="5"/>
  <c r="H2519" i="5"/>
  <c r="I2519" i="5"/>
  <c r="J2519" i="5"/>
  <c r="K2519" i="5"/>
  <c r="L2519" i="5"/>
  <c r="M2519" i="5"/>
  <c r="H2520" i="5"/>
  <c r="I2520" i="5"/>
  <c r="J2520" i="5"/>
  <c r="K2520" i="5"/>
  <c r="L2520" i="5"/>
  <c r="M2520" i="5"/>
  <c r="H2521" i="5"/>
  <c r="I2521" i="5"/>
  <c r="J2521" i="5"/>
  <c r="K2521" i="5"/>
  <c r="L2521" i="5"/>
  <c r="M2521" i="5"/>
  <c r="H2522" i="5"/>
  <c r="I2522" i="5"/>
  <c r="J2522" i="5"/>
  <c r="K2522" i="5"/>
  <c r="L2522" i="5"/>
  <c r="M2522" i="5"/>
  <c r="H2523" i="5"/>
  <c r="I2523" i="5"/>
  <c r="J2523" i="5"/>
  <c r="K2523" i="5"/>
  <c r="L2523" i="5"/>
  <c r="M2523" i="5"/>
  <c r="H2524" i="5"/>
  <c r="I2524" i="5"/>
  <c r="J2524" i="5"/>
  <c r="K2524" i="5"/>
  <c r="L2524" i="5"/>
  <c r="M2524" i="5"/>
  <c r="H2525" i="5"/>
  <c r="I2525" i="5"/>
  <c r="J2525" i="5"/>
  <c r="K2525" i="5"/>
  <c r="L2525" i="5"/>
  <c r="M2525" i="5"/>
  <c r="H2526" i="5"/>
  <c r="I2526" i="5"/>
  <c r="J2526" i="5"/>
  <c r="K2526" i="5"/>
  <c r="L2526" i="5"/>
  <c r="M2526" i="5"/>
  <c r="H2527" i="5"/>
  <c r="I2527" i="5"/>
  <c r="J2527" i="5"/>
  <c r="K2527" i="5"/>
  <c r="L2527" i="5"/>
  <c r="M2527" i="5"/>
  <c r="H2528" i="5"/>
  <c r="I2528" i="5"/>
  <c r="J2528" i="5"/>
  <c r="K2528" i="5"/>
  <c r="L2528" i="5"/>
  <c r="M2528" i="5"/>
  <c r="H2529" i="5"/>
  <c r="I2529" i="5"/>
  <c r="J2529" i="5"/>
  <c r="K2529" i="5"/>
  <c r="L2529" i="5"/>
  <c r="M2529" i="5"/>
  <c r="H2530" i="5"/>
  <c r="I2530" i="5"/>
  <c r="J2530" i="5"/>
  <c r="K2530" i="5"/>
  <c r="L2530" i="5"/>
  <c r="M2530" i="5"/>
  <c r="H2531" i="5"/>
  <c r="I2531" i="5"/>
  <c r="J2531" i="5"/>
  <c r="K2531" i="5"/>
  <c r="L2531" i="5"/>
  <c r="M2531" i="5"/>
  <c r="H2532" i="5"/>
  <c r="I2532" i="5"/>
  <c r="J2532" i="5"/>
  <c r="K2532" i="5"/>
  <c r="L2532" i="5"/>
  <c r="M2532" i="5"/>
  <c r="H2533" i="5"/>
  <c r="I2533" i="5"/>
  <c r="J2533" i="5"/>
  <c r="K2533" i="5"/>
  <c r="L2533" i="5"/>
  <c r="M2533" i="5"/>
  <c r="H2534" i="5"/>
  <c r="I2534" i="5"/>
  <c r="J2534" i="5"/>
  <c r="K2534" i="5"/>
  <c r="L2534" i="5"/>
  <c r="M2534" i="5"/>
  <c r="H2535" i="5"/>
  <c r="I2535" i="5"/>
  <c r="J2535" i="5"/>
  <c r="K2535" i="5"/>
  <c r="L2535" i="5"/>
  <c r="M2535" i="5"/>
  <c r="H2536" i="5"/>
  <c r="I2536" i="5"/>
  <c r="J2536" i="5"/>
  <c r="K2536" i="5"/>
  <c r="L2536" i="5"/>
  <c r="M2536" i="5"/>
  <c r="H2537" i="5"/>
  <c r="I2537" i="5"/>
  <c r="J2537" i="5"/>
  <c r="K2537" i="5"/>
  <c r="L2537" i="5"/>
  <c r="M2537" i="5"/>
  <c r="H2538" i="5"/>
  <c r="I2538" i="5"/>
  <c r="J2538" i="5"/>
  <c r="K2538" i="5"/>
  <c r="L2538" i="5"/>
  <c r="M2538" i="5"/>
  <c r="H2539" i="5"/>
  <c r="I2539" i="5"/>
  <c r="J2539" i="5"/>
  <c r="K2539" i="5"/>
  <c r="L2539" i="5"/>
  <c r="M2539" i="5"/>
  <c r="H2540" i="5"/>
  <c r="I2540" i="5"/>
  <c r="J2540" i="5"/>
  <c r="K2540" i="5"/>
  <c r="L2540" i="5"/>
  <c r="M2540" i="5"/>
  <c r="H2541" i="5"/>
  <c r="I2541" i="5"/>
  <c r="J2541" i="5"/>
  <c r="K2541" i="5"/>
  <c r="L2541" i="5"/>
  <c r="M2541" i="5"/>
  <c r="H2542" i="5"/>
  <c r="I2542" i="5"/>
  <c r="J2542" i="5"/>
  <c r="K2542" i="5"/>
  <c r="L2542" i="5"/>
  <c r="M2542" i="5"/>
  <c r="H2543" i="5"/>
  <c r="I2543" i="5"/>
  <c r="J2543" i="5"/>
  <c r="K2543" i="5"/>
  <c r="L2543" i="5"/>
  <c r="M2543" i="5"/>
  <c r="H2544" i="5"/>
  <c r="I2544" i="5"/>
  <c r="J2544" i="5"/>
  <c r="K2544" i="5"/>
  <c r="L2544" i="5"/>
  <c r="M2544" i="5"/>
  <c r="H2545" i="5"/>
  <c r="I2545" i="5"/>
  <c r="J2545" i="5"/>
  <c r="K2545" i="5"/>
  <c r="L2545" i="5"/>
  <c r="M2545" i="5"/>
  <c r="H2546" i="5"/>
  <c r="I2546" i="5"/>
  <c r="J2546" i="5"/>
  <c r="K2546" i="5"/>
  <c r="L2546" i="5"/>
  <c r="M2546" i="5"/>
  <c r="H2547" i="5"/>
  <c r="I2547" i="5"/>
  <c r="J2547" i="5"/>
  <c r="K2547" i="5"/>
  <c r="L2547" i="5"/>
  <c r="M2547" i="5"/>
  <c r="H2548" i="5"/>
  <c r="I2548" i="5"/>
  <c r="J2548" i="5"/>
  <c r="K2548" i="5"/>
  <c r="L2548" i="5"/>
  <c r="M2548" i="5"/>
  <c r="H2549" i="5"/>
  <c r="I2549" i="5"/>
  <c r="J2549" i="5"/>
  <c r="K2549" i="5"/>
  <c r="L2549" i="5"/>
  <c r="M2549" i="5"/>
  <c r="H2550" i="5"/>
  <c r="I2550" i="5"/>
  <c r="J2550" i="5"/>
  <c r="K2550" i="5"/>
  <c r="L2550" i="5"/>
  <c r="M2550" i="5"/>
  <c r="H2551" i="5"/>
  <c r="I2551" i="5"/>
  <c r="J2551" i="5"/>
  <c r="K2551" i="5"/>
  <c r="L2551" i="5"/>
  <c r="M2551" i="5"/>
  <c r="H2552" i="5"/>
  <c r="I2552" i="5"/>
  <c r="J2552" i="5"/>
  <c r="K2552" i="5"/>
  <c r="L2552" i="5"/>
  <c r="M2552" i="5"/>
  <c r="H2553" i="5"/>
  <c r="I2553" i="5"/>
  <c r="J2553" i="5"/>
  <c r="K2553" i="5"/>
  <c r="L2553" i="5"/>
  <c r="M2553" i="5"/>
  <c r="H2554" i="5"/>
  <c r="I2554" i="5"/>
  <c r="J2554" i="5"/>
  <c r="K2554" i="5"/>
  <c r="L2554" i="5"/>
  <c r="M2554" i="5"/>
  <c r="H2555" i="5"/>
  <c r="I2555" i="5"/>
  <c r="J2555" i="5"/>
  <c r="K2555" i="5"/>
  <c r="L2555" i="5"/>
  <c r="M2555" i="5"/>
  <c r="H2556" i="5"/>
  <c r="I2556" i="5"/>
  <c r="J2556" i="5"/>
  <c r="K2556" i="5"/>
  <c r="L2556" i="5"/>
  <c r="M2556" i="5"/>
  <c r="H2557" i="5"/>
  <c r="I2557" i="5"/>
  <c r="J2557" i="5"/>
  <c r="K2557" i="5"/>
  <c r="L2557" i="5"/>
  <c r="M2557" i="5"/>
  <c r="H2558" i="5"/>
  <c r="I2558" i="5"/>
  <c r="J2558" i="5"/>
  <c r="K2558" i="5"/>
  <c r="L2558" i="5"/>
  <c r="M2558" i="5"/>
  <c r="H2559" i="5"/>
  <c r="I2559" i="5"/>
  <c r="J2559" i="5"/>
  <c r="K2559" i="5"/>
  <c r="L2559" i="5"/>
  <c r="M2559" i="5"/>
  <c r="H2560" i="5"/>
  <c r="I2560" i="5"/>
  <c r="J2560" i="5"/>
  <c r="K2560" i="5"/>
  <c r="L2560" i="5"/>
  <c r="M2560" i="5"/>
  <c r="H2561" i="5"/>
  <c r="I2561" i="5"/>
  <c r="J2561" i="5"/>
  <c r="K2561" i="5"/>
  <c r="L2561" i="5"/>
  <c r="M2561" i="5"/>
  <c r="H2562" i="5"/>
  <c r="I2562" i="5"/>
  <c r="J2562" i="5"/>
  <c r="K2562" i="5"/>
  <c r="L2562" i="5"/>
  <c r="M2562" i="5"/>
  <c r="H2563" i="5"/>
  <c r="I2563" i="5"/>
  <c r="J2563" i="5"/>
  <c r="K2563" i="5"/>
  <c r="L2563" i="5"/>
  <c r="M2563" i="5"/>
  <c r="H2564" i="5"/>
  <c r="I2564" i="5"/>
  <c r="J2564" i="5"/>
  <c r="K2564" i="5"/>
  <c r="L2564" i="5"/>
  <c r="M2564" i="5"/>
  <c r="H2565" i="5"/>
  <c r="I2565" i="5"/>
  <c r="J2565" i="5"/>
  <c r="K2565" i="5"/>
  <c r="L2565" i="5"/>
  <c r="M2565" i="5"/>
  <c r="H2566" i="5"/>
  <c r="I2566" i="5"/>
  <c r="J2566" i="5"/>
  <c r="K2566" i="5"/>
  <c r="L2566" i="5"/>
  <c r="M2566" i="5"/>
  <c r="H2567" i="5"/>
  <c r="I2567" i="5"/>
  <c r="J2567" i="5"/>
  <c r="K2567" i="5"/>
  <c r="L2567" i="5"/>
  <c r="M2567" i="5"/>
  <c r="H2568" i="5"/>
  <c r="I2568" i="5"/>
  <c r="J2568" i="5"/>
  <c r="K2568" i="5"/>
  <c r="L2568" i="5"/>
  <c r="M2568" i="5"/>
  <c r="H2569" i="5"/>
  <c r="I2569" i="5"/>
  <c r="J2569" i="5"/>
  <c r="K2569" i="5"/>
  <c r="L2569" i="5"/>
  <c r="M2569" i="5"/>
  <c r="H2570" i="5"/>
  <c r="I2570" i="5"/>
  <c r="J2570" i="5"/>
  <c r="K2570" i="5"/>
  <c r="L2570" i="5"/>
  <c r="M2570" i="5"/>
  <c r="H2571" i="5"/>
  <c r="I2571" i="5"/>
  <c r="J2571" i="5"/>
  <c r="K2571" i="5"/>
  <c r="L2571" i="5"/>
  <c r="M2571" i="5"/>
  <c r="H2572" i="5"/>
  <c r="I2572" i="5"/>
  <c r="J2572" i="5"/>
  <c r="K2572" i="5"/>
  <c r="L2572" i="5"/>
  <c r="M2572" i="5"/>
  <c r="H2573" i="5"/>
  <c r="I2573" i="5"/>
  <c r="J2573" i="5"/>
  <c r="K2573" i="5"/>
  <c r="L2573" i="5"/>
  <c r="M2573" i="5"/>
  <c r="H2574" i="5"/>
  <c r="I2574" i="5"/>
  <c r="J2574" i="5"/>
  <c r="K2574" i="5"/>
  <c r="L2574" i="5"/>
  <c r="M2574" i="5"/>
  <c r="H2575" i="5"/>
  <c r="I2575" i="5"/>
  <c r="J2575" i="5"/>
  <c r="K2575" i="5"/>
  <c r="L2575" i="5"/>
  <c r="M2575" i="5"/>
  <c r="H2576" i="5"/>
  <c r="I2576" i="5"/>
  <c r="J2576" i="5"/>
  <c r="K2576" i="5"/>
  <c r="L2576" i="5"/>
  <c r="M2576" i="5"/>
  <c r="H2577" i="5"/>
  <c r="I2577" i="5"/>
  <c r="J2577" i="5"/>
  <c r="K2577" i="5"/>
  <c r="L2577" i="5"/>
  <c r="M2577" i="5"/>
  <c r="H2578" i="5"/>
  <c r="I2578" i="5"/>
  <c r="J2578" i="5"/>
  <c r="K2578" i="5"/>
  <c r="L2578" i="5"/>
  <c r="M2578" i="5"/>
  <c r="H2579" i="5"/>
  <c r="I2579" i="5"/>
  <c r="J2579" i="5"/>
  <c r="K2579" i="5"/>
  <c r="L2579" i="5"/>
  <c r="M2579" i="5"/>
  <c r="H2580" i="5"/>
  <c r="I2580" i="5"/>
  <c r="J2580" i="5"/>
  <c r="K2580" i="5"/>
  <c r="L2580" i="5"/>
  <c r="M2580" i="5"/>
  <c r="H2581" i="5"/>
  <c r="I2581" i="5"/>
  <c r="J2581" i="5"/>
  <c r="K2581" i="5"/>
  <c r="L2581" i="5"/>
  <c r="M2581" i="5"/>
  <c r="H2582" i="5"/>
  <c r="I2582" i="5"/>
  <c r="J2582" i="5"/>
  <c r="K2582" i="5"/>
  <c r="L2582" i="5"/>
  <c r="M2582" i="5"/>
  <c r="H2583" i="5"/>
  <c r="I2583" i="5"/>
  <c r="J2583" i="5"/>
  <c r="K2583" i="5"/>
  <c r="L2583" i="5"/>
  <c r="M2583" i="5"/>
  <c r="H2584" i="5"/>
  <c r="I2584" i="5"/>
  <c r="J2584" i="5"/>
  <c r="K2584" i="5"/>
  <c r="L2584" i="5"/>
  <c r="M2584" i="5"/>
  <c r="H2585" i="5"/>
  <c r="I2585" i="5"/>
  <c r="J2585" i="5"/>
  <c r="K2585" i="5"/>
  <c r="L2585" i="5"/>
  <c r="M2585" i="5"/>
  <c r="H2586" i="5"/>
  <c r="I2586" i="5"/>
  <c r="J2586" i="5"/>
  <c r="K2586" i="5"/>
  <c r="L2586" i="5"/>
  <c r="M2586" i="5"/>
  <c r="H2587" i="5"/>
  <c r="I2587" i="5"/>
  <c r="J2587" i="5"/>
  <c r="K2587" i="5"/>
  <c r="L2587" i="5"/>
  <c r="M2587" i="5"/>
  <c r="H2588" i="5"/>
  <c r="I2588" i="5"/>
  <c r="J2588" i="5"/>
  <c r="K2588" i="5"/>
  <c r="L2588" i="5"/>
  <c r="M2588" i="5"/>
  <c r="H2589" i="5"/>
  <c r="I2589" i="5"/>
  <c r="J2589" i="5"/>
  <c r="K2589" i="5"/>
  <c r="L2589" i="5"/>
  <c r="M2589" i="5"/>
  <c r="H2590" i="5"/>
  <c r="I2590" i="5"/>
  <c r="J2590" i="5"/>
  <c r="K2590" i="5"/>
  <c r="L2590" i="5"/>
  <c r="M2590" i="5"/>
  <c r="H2591" i="5"/>
  <c r="I2591" i="5"/>
  <c r="J2591" i="5"/>
  <c r="K2591" i="5"/>
  <c r="L2591" i="5"/>
  <c r="M2591" i="5"/>
  <c r="H2592" i="5"/>
  <c r="I2592" i="5"/>
  <c r="J2592" i="5"/>
  <c r="K2592" i="5"/>
  <c r="L2592" i="5"/>
  <c r="M2592" i="5"/>
  <c r="H2593" i="5"/>
  <c r="I2593" i="5"/>
  <c r="J2593" i="5"/>
  <c r="K2593" i="5"/>
  <c r="L2593" i="5"/>
  <c r="M2593" i="5"/>
  <c r="H2594" i="5"/>
  <c r="I2594" i="5"/>
  <c r="J2594" i="5"/>
  <c r="K2594" i="5"/>
  <c r="L2594" i="5"/>
  <c r="M2594" i="5"/>
  <c r="H2595" i="5"/>
  <c r="I2595" i="5"/>
  <c r="J2595" i="5"/>
  <c r="K2595" i="5"/>
  <c r="L2595" i="5"/>
  <c r="M2595" i="5"/>
  <c r="H2596" i="5"/>
  <c r="I2596" i="5"/>
  <c r="J2596" i="5"/>
  <c r="K2596" i="5"/>
  <c r="L2596" i="5"/>
  <c r="M2596" i="5"/>
  <c r="H2597" i="5"/>
  <c r="I2597" i="5"/>
  <c r="J2597" i="5"/>
  <c r="K2597" i="5"/>
  <c r="L2597" i="5"/>
  <c r="M2597" i="5"/>
  <c r="H2598" i="5"/>
  <c r="I2598" i="5"/>
  <c r="J2598" i="5"/>
  <c r="K2598" i="5"/>
  <c r="L2598" i="5"/>
  <c r="M2598" i="5"/>
  <c r="H2599" i="5"/>
  <c r="I2599" i="5"/>
  <c r="J2599" i="5"/>
  <c r="K2599" i="5"/>
  <c r="L2599" i="5"/>
  <c r="M2599" i="5"/>
  <c r="H2600" i="5"/>
  <c r="I2600" i="5"/>
  <c r="J2600" i="5"/>
  <c r="K2600" i="5"/>
  <c r="L2600" i="5"/>
  <c r="M2600" i="5"/>
  <c r="H2601" i="5"/>
  <c r="I2601" i="5"/>
  <c r="J2601" i="5"/>
  <c r="K2601" i="5"/>
  <c r="L2601" i="5"/>
  <c r="M2601" i="5"/>
  <c r="H2602" i="5"/>
  <c r="I2602" i="5"/>
  <c r="J2602" i="5"/>
  <c r="K2602" i="5"/>
  <c r="L2602" i="5"/>
  <c r="M2602" i="5"/>
  <c r="H2603" i="5"/>
  <c r="I2603" i="5"/>
  <c r="J2603" i="5"/>
  <c r="K2603" i="5"/>
  <c r="L2603" i="5"/>
  <c r="M2603" i="5"/>
  <c r="H2604" i="5"/>
  <c r="I2604" i="5"/>
  <c r="J2604" i="5"/>
  <c r="K2604" i="5"/>
  <c r="L2604" i="5"/>
  <c r="M2604" i="5"/>
  <c r="H2605" i="5"/>
  <c r="I2605" i="5"/>
  <c r="J2605" i="5"/>
  <c r="K2605" i="5"/>
  <c r="L2605" i="5"/>
  <c r="M2605" i="5"/>
  <c r="H2606" i="5"/>
  <c r="I2606" i="5"/>
  <c r="J2606" i="5"/>
  <c r="K2606" i="5"/>
  <c r="L2606" i="5"/>
  <c r="M2606" i="5"/>
  <c r="H2607" i="5"/>
  <c r="I2607" i="5"/>
  <c r="J2607" i="5"/>
  <c r="K2607" i="5"/>
  <c r="L2607" i="5"/>
  <c r="M2607" i="5"/>
  <c r="H2608" i="5"/>
  <c r="I2608" i="5"/>
  <c r="J2608" i="5"/>
  <c r="K2608" i="5"/>
  <c r="L2608" i="5"/>
  <c r="M2608" i="5"/>
  <c r="H2609" i="5"/>
  <c r="I2609" i="5"/>
  <c r="J2609" i="5"/>
  <c r="K2609" i="5"/>
  <c r="L2609" i="5"/>
  <c r="M2609" i="5"/>
  <c r="H2610" i="5"/>
  <c r="I2610" i="5"/>
  <c r="J2610" i="5"/>
  <c r="K2610" i="5"/>
  <c r="L2610" i="5"/>
  <c r="M2610" i="5"/>
  <c r="H2611" i="5"/>
  <c r="I2611" i="5"/>
  <c r="J2611" i="5"/>
  <c r="K2611" i="5"/>
  <c r="L2611" i="5"/>
  <c r="M2611" i="5"/>
  <c r="H2612" i="5"/>
  <c r="I2612" i="5"/>
  <c r="J2612" i="5"/>
  <c r="K2612" i="5"/>
  <c r="L2612" i="5"/>
  <c r="M2612" i="5"/>
  <c r="H2613" i="5"/>
  <c r="I2613" i="5"/>
  <c r="J2613" i="5"/>
  <c r="K2613" i="5"/>
  <c r="L2613" i="5"/>
  <c r="M2613" i="5"/>
  <c r="H2614" i="5"/>
  <c r="I2614" i="5"/>
  <c r="J2614" i="5"/>
  <c r="K2614" i="5"/>
  <c r="L2614" i="5"/>
  <c r="M2614" i="5"/>
  <c r="H2615" i="5"/>
  <c r="I2615" i="5"/>
  <c r="J2615" i="5"/>
  <c r="K2615" i="5"/>
  <c r="L2615" i="5"/>
  <c r="M2615" i="5"/>
  <c r="H2616" i="5"/>
  <c r="I2616" i="5"/>
  <c r="J2616" i="5"/>
  <c r="K2616" i="5"/>
  <c r="L2616" i="5"/>
  <c r="M2616" i="5"/>
  <c r="H2617" i="5"/>
  <c r="I2617" i="5"/>
  <c r="J2617" i="5"/>
  <c r="K2617" i="5"/>
  <c r="L2617" i="5"/>
  <c r="M2617" i="5"/>
  <c r="H2618" i="5"/>
  <c r="I2618" i="5"/>
  <c r="J2618" i="5"/>
  <c r="K2618" i="5"/>
  <c r="L2618" i="5"/>
  <c r="M2618" i="5"/>
  <c r="H2619" i="5"/>
  <c r="I2619" i="5"/>
  <c r="J2619" i="5"/>
  <c r="K2619" i="5"/>
  <c r="L2619" i="5"/>
  <c r="M2619" i="5"/>
  <c r="H2620" i="5"/>
  <c r="I2620" i="5"/>
  <c r="J2620" i="5"/>
  <c r="K2620" i="5"/>
  <c r="L2620" i="5"/>
  <c r="M2620" i="5"/>
  <c r="H2621" i="5"/>
  <c r="I2621" i="5"/>
  <c r="J2621" i="5"/>
  <c r="K2621" i="5"/>
  <c r="L2621" i="5"/>
  <c r="M2621" i="5"/>
  <c r="H2622" i="5"/>
  <c r="I2622" i="5"/>
  <c r="J2622" i="5"/>
  <c r="K2622" i="5"/>
  <c r="L2622" i="5"/>
  <c r="M2622" i="5"/>
  <c r="H2623" i="5"/>
  <c r="I2623" i="5"/>
  <c r="J2623" i="5"/>
  <c r="K2623" i="5"/>
  <c r="L2623" i="5"/>
  <c r="M2623" i="5"/>
  <c r="H2624" i="5"/>
  <c r="I2624" i="5"/>
  <c r="J2624" i="5"/>
  <c r="K2624" i="5"/>
  <c r="L2624" i="5"/>
  <c r="M2624" i="5"/>
  <c r="H2625" i="5"/>
  <c r="I2625" i="5"/>
  <c r="J2625" i="5"/>
  <c r="K2625" i="5"/>
  <c r="L2625" i="5"/>
  <c r="M2625" i="5"/>
  <c r="H2626" i="5"/>
  <c r="I2626" i="5"/>
  <c r="J2626" i="5"/>
  <c r="K2626" i="5"/>
  <c r="L2626" i="5"/>
  <c r="M2626" i="5"/>
  <c r="H2627" i="5"/>
  <c r="I2627" i="5"/>
  <c r="J2627" i="5"/>
  <c r="K2627" i="5"/>
  <c r="L2627" i="5"/>
  <c r="M2627" i="5"/>
  <c r="H2628" i="5"/>
  <c r="I2628" i="5"/>
  <c r="J2628" i="5"/>
  <c r="K2628" i="5"/>
  <c r="L2628" i="5"/>
  <c r="M2628" i="5"/>
  <c r="H2629" i="5"/>
  <c r="I2629" i="5"/>
  <c r="J2629" i="5"/>
  <c r="K2629" i="5"/>
  <c r="L2629" i="5"/>
  <c r="M2629" i="5"/>
  <c r="H2630" i="5"/>
  <c r="I2630" i="5"/>
  <c r="J2630" i="5"/>
  <c r="K2630" i="5"/>
  <c r="L2630" i="5"/>
  <c r="M2630" i="5"/>
  <c r="H2631" i="5"/>
  <c r="I2631" i="5"/>
  <c r="J2631" i="5"/>
  <c r="K2631" i="5"/>
  <c r="L2631" i="5"/>
  <c r="M2631" i="5"/>
  <c r="H2632" i="5"/>
  <c r="I2632" i="5"/>
  <c r="J2632" i="5"/>
  <c r="K2632" i="5"/>
  <c r="L2632" i="5"/>
  <c r="M2632" i="5"/>
  <c r="H2633" i="5"/>
  <c r="I2633" i="5"/>
  <c r="J2633" i="5"/>
  <c r="K2633" i="5"/>
  <c r="L2633" i="5"/>
  <c r="M2633" i="5"/>
  <c r="H2634" i="5"/>
  <c r="I2634" i="5"/>
  <c r="J2634" i="5"/>
  <c r="K2634" i="5"/>
  <c r="L2634" i="5"/>
  <c r="M2634" i="5"/>
  <c r="H2635" i="5"/>
  <c r="I2635" i="5"/>
  <c r="J2635" i="5"/>
  <c r="K2635" i="5"/>
  <c r="L2635" i="5"/>
  <c r="M2635" i="5"/>
  <c r="H2636" i="5"/>
  <c r="I2636" i="5"/>
  <c r="J2636" i="5"/>
  <c r="K2636" i="5"/>
  <c r="L2636" i="5"/>
  <c r="M2636" i="5"/>
  <c r="H2637" i="5"/>
  <c r="I2637" i="5"/>
  <c r="J2637" i="5"/>
  <c r="K2637" i="5"/>
  <c r="L2637" i="5"/>
  <c r="M2637" i="5"/>
  <c r="H2638" i="5"/>
  <c r="I2638" i="5"/>
  <c r="J2638" i="5"/>
  <c r="K2638" i="5"/>
  <c r="L2638" i="5"/>
  <c r="M2638" i="5"/>
  <c r="H2639" i="5"/>
  <c r="I2639" i="5"/>
  <c r="J2639" i="5"/>
  <c r="K2639" i="5"/>
  <c r="L2639" i="5"/>
  <c r="M2639" i="5"/>
  <c r="H2640" i="5"/>
  <c r="I2640" i="5"/>
  <c r="J2640" i="5"/>
  <c r="K2640" i="5"/>
  <c r="L2640" i="5"/>
  <c r="M2640" i="5"/>
  <c r="H2641" i="5"/>
  <c r="I2641" i="5"/>
  <c r="J2641" i="5"/>
  <c r="K2641" i="5"/>
  <c r="L2641" i="5"/>
  <c r="M2641" i="5"/>
  <c r="H2642" i="5"/>
  <c r="I2642" i="5"/>
  <c r="J2642" i="5"/>
  <c r="K2642" i="5"/>
  <c r="L2642" i="5"/>
  <c r="M2642" i="5"/>
  <c r="H2643" i="5"/>
  <c r="I2643" i="5"/>
  <c r="J2643" i="5"/>
  <c r="K2643" i="5"/>
  <c r="L2643" i="5"/>
  <c r="M2643" i="5"/>
  <c r="H2644" i="5"/>
  <c r="I2644" i="5"/>
  <c r="J2644" i="5"/>
  <c r="K2644" i="5"/>
  <c r="L2644" i="5"/>
  <c r="M2644" i="5"/>
  <c r="H2645" i="5"/>
  <c r="I2645" i="5"/>
  <c r="J2645" i="5"/>
  <c r="K2645" i="5"/>
  <c r="L2645" i="5"/>
  <c r="M2645" i="5"/>
  <c r="H2646" i="5"/>
  <c r="I2646" i="5"/>
  <c r="J2646" i="5"/>
  <c r="K2646" i="5"/>
  <c r="L2646" i="5"/>
  <c r="M2646" i="5"/>
  <c r="H2647" i="5"/>
  <c r="I2647" i="5"/>
  <c r="J2647" i="5"/>
  <c r="K2647" i="5"/>
  <c r="L2647" i="5"/>
  <c r="M2647" i="5"/>
  <c r="H2648" i="5"/>
  <c r="I2648" i="5"/>
  <c r="J2648" i="5"/>
  <c r="K2648" i="5"/>
  <c r="L2648" i="5"/>
  <c r="M2648" i="5"/>
  <c r="H2649" i="5"/>
  <c r="I2649" i="5"/>
  <c r="J2649" i="5"/>
  <c r="K2649" i="5"/>
  <c r="L2649" i="5"/>
  <c r="M2649" i="5"/>
  <c r="H2650" i="5"/>
  <c r="I2650" i="5"/>
  <c r="J2650" i="5"/>
  <c r="K2650" i="5"/>
  <c r="L2650" i="5"/>
  <c r="M2650" i="5"/>
  <c r="H2651" i="5"/>
  <c r="I2651" i="5"/>
  <c r="J2651" i="5"/>
  <c r="K2651" i="5"/>
  <c r="L2651" i="5"/>
  <c r="M2651" i="5"/>
  <c r="H2652" i="5"/>
  <c r="I2652" i="5"/>
  <c r="J2652" i="5"/>
  <c r="K2652" i="5"/>
  <c r="L2652" i="5"/>
  <c r="M2652" i="5"/>
  <c r="H2653" i="5"/>
  <c r="I2653" i="5"/>
  <c r="J2653" i="5"/>
  <c r="K2653" i="5"/>
  <c r="L2653" i="5"/>
  <c r="M2653" i="5"/>
  <c r="H2654" i="5"/>
  <c r="I2654" i="5"/>
  <c r="J2654" i="5"/>
  <c r="K2654" i="5"/>
  <c r="L2654" i="5"/>
  <c r="M2654" i="5"/>
  <c r="H2655" i="5"/>
  <c r="I2655" i="5"/>
  <c r="J2655" i="5"/>
  <c r="K2655" i="5"/>
  <c r="L2655" i="5"/>
  <c r="M2655" i="5"/>
  <c r="H2656" i="5"/>
  <c r="I2656" i="5"/>
  <c r="J2656" i="5"/>
  <c r="K2656" i="5"/>
  <c r="L2656" i="5"/>
  <c r="M2656" i="5"/>
  <c r="H2657" i="5"/>
  <c r="I2657" i="5"/>
  <c r="J2657" i="5"/>
  <c r="K2657" i="5"/>
  <c r="L2657" i="5"/>
  <c r="M2657" i="5"/>
  <c r="H2658" i="5"/>
  <c r="I2658" i="5"/>
  <c r="J2658" i="5"/>
  <c r="K2658" i="5"/>
  <c r="L2658" i="5"/>
  <c r="M2658" i="5"/>
  <c r="H2659" i="5"/>
  <c r="I2659" i="5"/>
  <c r="J2659" i="5"/>
  <c r="K2659" i="5"/>
  <c r="L2659" i="5"/>
  <c r="M2659" i="5"/>
  <c r="H2660" i="5"/>
  <c r="I2660" i="5"/>
  <c r="J2660" i="5"/>
  <c r="K2660" i="5"/>
  <c r="L2660" i="5"/>
  <c r="M2660" i="5"/>
  <c r="H2661" i="5"/>
  <c r="I2661" i="5"/>
  <c r="J2661" i="5"/>
  <c r="K2661" i="5"/>
  <c r="L2661" i="5"/>
  <c r="M2661" i="5"/>
  <c r="H2662" i="5"/>
  <c r="I2662" i="5"/>
  <c r="J2662" i="5"/>
  <c r="K2662" i="5"/>
  <c r="L2662" i="5"/>
  <c r="M2662" i="5"/>
  <c r="H2663" i="5"/>
  <c r="I2663" i="5"/>
  <c r="J2663" i="5"/>
  <c r="K2663" i="5"/>
  <c r="L2663" i="5"/>
  <c r="M2663" i="5"/>
  <c r="H2664" i="5"/>
  <c r="I2664" i="5"/>
  <c r="J2664" i="5"/>
  <c r="K2664" i="5"/>
  <c r="L2664" i="5"/>
  <c r="M2664" i="5"/>
  <c r="H2665" i="5"/>
  <c r="I2665" i="5"/>
  <c r="J2665" i="5"/>
  <c r="K2665" i="5"/>
  <c r="L2665" i="5"/>
  <c r="M2665" i="5"/>
  <c r="H2666" i="5"/>
  <c r="I2666" i="5"/>
  <c r="J2666" i="5"/>
  <c r="K2666" i="5"/>
  <c r="L2666" i="5"/>
  <c r="M2666" i="5"/>
  <c r="H2667" i="5"/>
  <c r="I2667" i="5"/>
  <c r="J2667" i="5"/>
  <c r="K2667" i="5"/>
  <c r="L2667" i="5"/>
  <c r="M2667" i="5"/>
  <c r="H2668" i="5"/>
  <c r="I2668" i="5"/>
  <c r="J2668" i="5"/>
  <c r="K2668" i="5"/>
  <c r="L2668" i="5"/>
  <c r="M2668" i="5"/>
  <c r="H2669" i="5"/>
  <c r="I2669" i="5"/>
  <c r="J2669" i="5"/>
  <c r="K2669" i="5"/>
  <c r="L2669" i="5"/>
  <c r="M2669" i="5"/>
  <c r="H2670" i="5"/>
  <c r="I2670" i="5"/>
  <c r="J2670" i="5"/>
  <c r="K2670" i="5"/>
  <c r="L2670" i="5"/>
  <c r="M2670" i="5"/>
  <c r="H2671" i="5"/>
  <c r="I2671" i="5"/>
  <c r="J2671" i="5"/>
  <c r="K2671" i="5"/>
  <c r="L2671" i="5"/>
  <c r="M2671" i="5"/>
  <c r="H2672" i="5"/>
  <c r="I2672" i="5"/>
  <c r="J2672" i="5"/>
  <c r="K2672" i="5"/>
  <c r="L2672" i="5"/>
  <c r="M2672" i="5"/>
  <c r="H2673" i="5"/>
  <c r="I2673" i="5"/>
  <c r="J2673" i="5"/>
  <c r="K2673" i="5"/>
  <c r="L2673" i="5"/>
  <c r="M2673" i="5"/>
  <c r="H2674" i="5"/>
  <c r="I2674" i="5"/>
  <c r="J2674" i="5"/>
  <c r="K2674" i="5"/>
  <c r="L2674" i="5"/>
  <c r="M2674" i="5"/>
  <c r="H2675" i="5"/>
  <c r="I2675" i="5"/>
  <c r="J2675" i="5"/>
  <c r="K2675" i="5"/>
  <c r="L2675" i="5"/>
  <c r="M2675" i="5"/>
  <c r="H2676" i="5"/>
  <c r="I2676" i="5"/>
  <c r="J2676" i="5"/>
  <c r="K2676" i="5"/>
  <c r="L2676" i="5"/>
  <c r="M2676" i="5"/>
  <c r="H2677" i="5"/>
  <c r="I2677" i="5"/>
  <c r="J2677" i="5"/>
  <c r="K2677" i="5"/>
  <c r="L2677" i="5"/>
  <c r="M2677" i="5"/>
  <c r="H2678" i="5"/>
  <c r="I2678" i="5"/>
  <c r="J2678" i="5"/>
  <c r="K2678" i="5"/>
  <c r="L2678" i="5"/>
  <c r="M2678" i="5"/>
  <c r="H2679" i="5"/>
  <c r="I2679" i="5"/>
  <c r="J2679" i="5"/>
  <c r="K2679" i="5"/>
  <c r="L2679" i="5"/>
  <c r="M2679" i="5"/>
  <c r="H2680" i="5"/>
  <c r="I2680" i="5"/>
  <c r="J2680" i="5"/>
  <c r="K2680" i="5"/>
  <c r="L2680" i="5"/>
  <c r="M2680" i="5"/>
  <c r="H2681" i="5"/>
  <c r="I2681" i="5"/>
  <c r="J2681" i="5"/>
  <c r="K2681" i="5"/>
  <c r="L2681" i="5"/>
  <c r="M2681" i="5"/>
  <c r="H2682" i="5"/>
  <c r="I2682" i="5"/>
  <c r="J2682" i="5"/>
  <c r="K2682" i="5"/>
  <c r="L2682" i="5"/>
  <c r="M2682" i="5"/>
  <c r="H2683" i="5"/>
  <c r="I2683" i="5"/>
  <c r="J2683" i="5"/>
  <c r="K2683" i="5"/>
  <c r="L2683" i="5"/>
  <c r="M2683" i="5"/>
  <c r="H2684" i="5"/>
  <c r="I2684" i="5"/>
  <c r="J2684" i="5"/>
  <c r="K2684" i="5"/>
  <c r="L2684" i="5"/>
  <c r="M2684" i="5"/>
  <c r="H2685" i="5"/>
  <c r="I2685" i="5"/>
  <c r="J2685" i="5"/>
  <c r="K2685" i="5"/>
  <c r="L2685" i="5"/>
  <c r="M2685" i="5"/>
  <c r="H2686" i="5"/>
  <c r="I2686" i="5"/>
  <c r="J2686" i="5"/>
  <c r="K2686" i="5"/>
  <c r="L2686" i="5"/>
  <c r="M2686" i="5"/>
  <c r="H2687" i="5"/>
  <c r="I2687" i="5"/>
  <c r="J2687" i="5"/>
  <c r="K2687" i="5"/>
  <c r="L2687" i="5"/>
  <c r="M2687" i="5"/>
  <c r="H2688" i="5"/>
  <c r="I2688" i="5"/>
  <c r="J2688" i="5"/>
  <c r="K2688" i="5"/>
  <c r="L2688" i="5"/>
  <c r="M2688" i="5"/>
  <c r="H2689" i="5"/>
  <c r="I2689" i="5"/>
  <c r="J2689" i="5"/>
  <c r="K2689" i="5"/>
  <c r="L2689" i="5"/>
  <c r="M2689" i="5"/>
  <c r="H2690" i="5"/>
  <c r="I2690" i="5"/>
  <c r="J2690" i="5"/>
  <c r="K2690" i="5"/>
  <c r="L2690" i="5"/>
  <c r="M2690" i="5"/>
  <c r="H2691" i="5"/>
  <c r="I2691" i="5"/>
  <c r="J2691" i="5"/>
  <c r="K2691" i="5"/>
  <c r="L2691" i="5"/>
  <c r="M2691" i="5"/>
  <c r="H2692" i="5"/>
  <c r="I2692" i="5"/>
  <c r="J2692" i="5"/>
  <c r="K2692" i="5"/>
  <c r="L2692" i="5"/>
  <c r="M2692" i="5"/>
  <c r="H2693" i="5"/>
  <c r="I2693" i="5"/>
  <c r="J2693" i="5"/>
  <c r="K2693" i="5"/>
  <c r="L2693" i="5"/>
  <c r="M2693" i="5"/>
  <c r="H2694" i="5"/>
  <c r="I2694" i="5"/>
  <c r="J2694" i="5"/>
  <c r="K2694" i="5"/>
  <c r="L2694" i="5"/>
  <c r="M2694" i="5"/>
  <c r="H2695" i="5"/>
  <c r="I2695" i="5"/>
  <c r="J2695" i="5"/>
  <c r="K2695" i="5"/>
  <c r="L2695" i="5"/>
  <c r="M2695" i="5"/>
  <c r="H2696" i="5"/>
  <c r="I2696" i="5"/>
  <c r="J2696" i="5"/>
  <c r="K2696" i="5"/>
  <c r="L2696" i="5"/>
  <c r="M2696" i="5"/>
  <c r="H2697" i="5"/>
  <c r="I2697" i="5"/>
  <c r="J2697" i="5"/>
  <c r="K2697" i="5"/>
  <c r="L2697" i="5"/>
  <c r="M2697" i="5"/>
  <c r="H2698" i="5"/>
  <c r="I2698" i="5"/>
  <c r="J2698" i="5"/>
  <c r="K2698" i="5"/>
  <c r="L2698" i="5"/>
  <c r="M2698" i="5"/>
  <c r="H2699" i="5"/>
  <c r="I2699" i="5"/>
  <c r="J2699" i="5"/>
  <c r="K2699" i="5"/>
  <c r="L2699" i="5"/>
  <c r="M2699" i="5"/>
  <c r="H2700" i="5"/>
  <c r="I2700" i="5"/>
  <c r="J2700" i="5"/>
  <c r="K2700" i="5"/>
  <c r="L2700" i="5"/>
  <c r="M2700" i="5"/>
  <c r="H2701" i="5"/>
  <c r="I2701" i="5"/>
  <c r="J2701" i="5"/>
  <c r="K2701" i="5"/>
  <c r="L2701" i="5"/>
  <c r="M2701" i="5"/>
  <c r="H2702" i="5"/>
  <c r="I2702" i="5"/>
  <c r="J2702" i="5"/>
  <c r="K2702" i="5"/>
  <c r="L2702" i="5"/>
  <c r="M2702" i="5"/>
  <c r="H2703" i="5"/>
  <c r="I2703" i="5"/>
  <c r="J2703" i="5"/>
  <c r="K2703" i="5"/>
  <c r="L2703" i="5"/>
  <c r="M2703" i="5"/>
  <c r="H2704" i="5"/>
  <c r="I2704" i="5"/>
  <c r="J2704" i="5"/>
  <c r="K2704" i="5"/>
  <c r="L2704" i="5"/>
  <c r="M2704" i="5"/>
  <c r="H2705" i="5"/>
  <c r="I2705" i="5"/>
  <c r="J2705" i="5"/>
  <c r="K2705" i="5"/>
  <c r="L2705" i="5"/>
  <c r="M2705" i="5"/>
  <c r="H2706" i="5"/>
  <c r="I2706" i="5"/>
  <c r="J2706" i="5"/>
  <c r="K2706" i="5"/>
  <c r="L2706" i="5"/>
  <c r="M2706" i="5"/>
  <c r="H2707" i="5"/>
  <c r="I2707" i="5"/>
  <c r="J2707" i="5"/>
  <c r="K2707" i="5"/>
  <c r="L2707" i="5"/>
  <c r="M2707" i="5"/>
  <c r="H2708" i="5"/>
  <c r="I2708" i="5"/>
  <c r="J2708" i="5"/>
  <c r="K2708" i="5"/>
  <c r="L2708" i="5"/>
  <c r="M2708" i="5"/>
  <c r="H2709" i="5"/>
  <c r="I2709" i="5"/>
  <c r="J2709" i="5"/>
  <c r="K2709" i="5"/>
  <c r="L2709" i="5"/>
  <c r="M2709" i="5"/>
  <c r="H2710" i="5"/>
  <c r="I2710" i="5"/>
  <c r="J2710" i="5"/>
  <c r="K2710" i="5"/>
  <c r="L2710" i="5"/>
  <c r="M2710" i="5"/>
  <c r="H2711" i="5"/>
  <c r="I2711" i="5"/>
  <c r="J2711" i="5"/>
  <c r="K2711" i="5"/>
  <c r="L2711" i="5"/>
  <c r="M2711" i="5"/>
  <c r="H2712" i="5"/>
  <c r="I2712" i="5"/>
  <c r="J2712" i="5"/>
  <c r="K2712" i="5"/>
  <c r="L2712" i="5"/>
  <c r="M2712" i="5"/>
  <c r="H2713" i="5"/>
  <c r="I2713" i="5"/>
  <c r="J2713" i="5"/>
  <c r="K2713" i="5"/>
  <c r="L2713" i="5"/>
  <c r="M2713" i="5"/>
  <c r="H2714" i="5"/>
  <c r="I2714" i="5"/>
  <c r="J2714" i="5"/>
  <c r="K2714" i="5"/>
  <c r="L2714" i="5"/>
  <c r="M2714" i="5"/>
  <c r="H2715" i="5"/>
  <c r="I2715" i="5"/>
  <c r="J2715" i="5"/>
  <c r="K2715" i="5"/>
  <c r="L2715" i="5"/>
  <c r="M2715" i="5"/>
  <c r="H2716" i="5"/>
  <c r="I2716" i="5"/>
  <c r="J2716" i="5"/>
  <c r="K2716" i="5"/>
  <c r="L2716" i="5"/>
  <c r="M2716" i="5"/>
  <c r="H2717" i="5"/>
  <c r="I2717" i="5"/>
  <c r="J2717" i="5"/>
  <c r="K2717" i="5"/>
  <c r="L2717" i="5"/>
  <c r="M2717" i="5"/>
  <c r="H2718" i="5"/>
  <c r="I2718" i="5"/>
  <c r="J2718" i="5"/>
  <c r="K2718" i="5"/>
  <c r="L2718" i="5"/>
  <c r="M2718" i="5"/>
  <c r="H2719" i="5"/>
  <c r="I2719" i="5"/>
  <c r="J2719" i="5"/>
  <c r="K2719" i="5"/>
  <c r="L2719" i="5"/>
  <c r="M2719" i="5"/>
  <c r="H2720" i="5"/>
  <c r="I2720" i="5"/>
  <c r="J2720" i="5"/>
  <c r="K2720" i="5"/>
  <c r="L2720" i="5"/>
  <c r="M2720" i="5"/>
  <c r="H2721" i="5"/>
  <c r="I2721" i="5"/>
  <c r="J2721" i="5"/>
  <c r="K2721" i="5"/>
  <c r="L2721" i="5"/>
  <c r="M2721" i="5"/>
  <c r="H2722" i="5"/>
  <c r="I2722" i="5"/>
  <c r="J2722" i="5"/>
  <c r="K2722" i="5"/>
  <c r="L2722" i="5"/>
  <c r="M2722" i="5"/>
  <c r="H2723" i="5"/>
  <c r="I2723" i="5"/>
  <c r="J2723" i="5"/>
  <c r="K2723" i="5"/>
  <c r="L2723" i="5"/>
  <c r="M2723" i="5"/>
  <c r="H2724" i="5"/>
  <c r="I2724" i="5"/>
  <c r="J2724" i="5"/>
  <c r="K2724" i="5"/>
  <c r="L2724" i="5"/>
  <c r="M2724" i="5"/>
  <c r="H2725" i="5"/>
  <c r="I2725" i="5"/>
  <c r="J2725" i="5"/>
  <c r="K2725" i="5"/>
  <c r="L2725" i="5"/>
  <c r="M2725" i="5"/>
  <c r="H2726" i="5"/>
  <c r="I2726" i="5"/>
  <c r="J2726" i="5"/>
  <c r="K2726" i="5"/>
  <c r="L2726" i="5"/>
  <c r="M2726" i="5"/>
  <c r="H2727" i="5"/>
  <c r="I2727" i="5"/>
  <c r="J2727" i="5"/>
  <c r="K2727" i="5"/>
  <c r="L2727" i="5"/>
  <c r="M2727" i="5"/>
  <c r="H2728" i="5"/>
  <c r="I2728" i="5"/>
  <c r="J2728" i="5"/>
  <c r="K2728" i="5"/>
  <c r="L2728" i="5"/>
  <c r="M2728" i="5"/>
  <c r="H2729" i="5"/>
  <c r="I2729" i="5"/>
  <c r="J2729" i="5"/>
  <c r="K2729" i="5"/>
  <c r="L2729" i="5"/>
  <c r="M2729" i="5"/>
  <c r="H2730" i="5"/>
  <c r="I2730" i="5"/>
  <c r="J2730" i="5"/>
  <c r="K2730" i="5"/>
  <c r="L2730" i="5"/>
  <c r="M2730" i="5"/>
  <c r="H2731" i="5"/>
  <c r="I2731" i="5"/>
  <c r="J2731" i="5"/>
  <c r="K2731" i="5"/>
  <c r="L2731" i="5"/>
  <c r="M2731" i="5"/>
  <c r="H2732" i="5"/>
  <c r="I2732" i="5"/>
  <c r="J2732" i="5"/>
  <c r="K2732" i="5"/>
  <c r="L2732" i="5"/>
  <c r="M2732" i="5"/>
  <c r="H2733" i="5"/>
  <c r="I2733" i="5"/>
  <c r="J2733" i="5"/>
  <c r="K2733" i="5"/>
  <c r="L2733" i="5"/>
  <c r="M2733" i="5"/>
  <c r="H2734" i="5"/>
  <c r="I2734" i="5"/>
  <c r="J2734" i="5"/>
  <c r="K2734" i="5"/>
  <c r="L2734" i="5"/>
  <c r="M2734" i="5"/>
  <c r="H2735" i="5"/>
  <c r="I2735" i="5"/>
  <c r="J2735" i="5"/>
  <c r="K2735" i="5"/>
  <c r="L2735" i="5"/>
  <c r="M2735" i="5"/>
  <c r="H2736" i="5"/>
  <c r="I2736" i="5"/>
  <c r="J2736" i="5"/>
  <c r="K2736" i="5"/>
  <c r="L2736" i="5"/>
  <c r="M2736" i="5"/>
  <c r="H2737" i="5"/>
  <c r="I2737" i="5"/>
  <c r="J2737" i="5"/>
  <c r="K2737" i="5"/>
  <c r="L2737" i="5"/>
  <c r="M2737" i="5"/>
  <c r="H2738" i="5"/>
  <c r="I2738" i="5"/>
  <c r="J2738" i="5"/>
  <c r="K2738" i="5"/>
  <c r="L2738" i="5"/>
  <c r="M2738" i="5"/>
  <c r="H2739" i="5"/>
  <c r="I2739" i="5"/>
  <c r="J2739" i="5"/>
  <c r="K2739" i="5"/>
  <c r="L2739" i="5"/>
  <c r="M2739" i="5"/>
  <c r="H2740" i="5"/>
  <c r="I2740" i="5"/>
  <c r="J2740" i="5"/>
  <c r="K2740" i="5"/>
  <c r="L2740" i="5"/>
  <c r="M2740" i="5"/>
  <c r="H2741" i="5"/>
  <c r="I2741" i="5"/>
  <c r="J2741" i="5"/>
  <c r="K2741" i="5"/>
  <c r="L2741" i="5"/>
  <c r="M2741" i="5"/>
  <c r="H2742" i="5"/>
  <c r="I2742" i="5"/>
  <c r="J2742" i="5"/>
  <c r="K2742" i="5"/>
  <c r="L2742" i="5"/>
  <c r="M2742" i="5"/>
  <c r="H2743" i="5"/>
  <c r="I2743" i="5"/>
  <c r="J2743" i="5"/>
  <c r="K2743" i="5"/>
  <c r="L2743" i="5"/>
  <c r="M2743" i="5"/>
  <c r="H2744" i="5"/>
  <c r="I2744" i="5"/>
  <c r="J2744" i="5"/>
  <c r="K2744" i="5"/>
  <c r="L2744" i="5"/>
  <c r="M2744" i="5"/>
  <c r="H2745" i="5"/>
  <c r="I2745" i="5"/>
  <c r="J2745" i="5"/>
  <c r="K2745" i="5"/>
  <c r="L2745" i="5"/>
  <c r="M2745" i="5"/>
  <c r="H2746" i="5"/>
  <c r="I2746" i="5"/>
  <c r="J2746" i="5"/>
  <c r="K2746" i="5"/>
  <c r="L2746" i="5"/>
  <c r="M2746" i="5"/>
  <c r="H2747" i="5"/>
  <c r="I2747" i="5"/>
  <c r="J2747" i="5"/>
  <c r="K2747" i="5"/>
  <c r="L2747" i="5"/>
  <c r="M2747" i="5"/>
  <c r="H2748" i="5"/>
  <c r="I2748" i="5"/>
  <c r="J2748" i="5"/>
  <c r="K2748" i="5"/>
  <c r="L2748" i="5"/>
  <c r="M2748" i="5"/>
  <c r="H2749" i="5"/>
  <c r="I2749" i="5"/>
  <c r="J2749" i="5"/>
  <c r="K2749" i="5"/>
  <c r="L2749" i="5"/>
  <c r="M2749" i="5"/>
  <c r="H2750" i="5"/>
  <c r="I2750" i="5"/>
  <c r="J2750" i="5"/>
  <c r="K2750" i="5"/>
  <c r="L2750" i="5"/>
  <c r="M2750" i="5"/>
  <c r="H2751" i="5"/>
  <c r="I2751" i="5"/>
  <c r="J2751" i="5"/>
  <c r="K2751" i="5"/>
  <c r="L2751" i="5"/>
  <c r="M2751" i="5"/>
  <c r="H2752" i="5"/>
  <c r="I2752" i="5"/>
  <c r="J2752" i="5"/>
  <c r="K2752" i="5"/>
  <c r="L2752" i="5"/>
  <c r="M2752" i="5"/>
  <c r="H2753" i="5"/>
  <c r="I2753" i="5"/>
  <c r="J2753" i="5"/>
  <c r="K2753" i="5"/>
  <c r="L2753" i="5"/>
  <c r="M2753" i="5"/>
  <c r="H2754" i="5"/>
  <c r="I2754" i="5"/>
  <c r="J2754" i="5"/>
  <c r="K2754" i="5"/>
  <c r="L2754" i="5"/>
  <c r="M2754" i="5"/>
  <c r="H2755" i="5"/>
  <c r="I2755" i="5"/>
  <c r="J2755" i="5"/>
  <c r="K2755" i="5"/>
  <c r="L2755" i="5"/>
  <c r="M2755" i="5"/>
  <c r="H2756" i="5"/>
  <c r="I2756" i="5"/>
  <c r="J2756" i="5"/>
  <c r="K2756" i="5"/>
  <c r="L2756" i="5"/>
  <c r="M2756" i="5"/>
  <c r="H2757" i="5"/>
  <c r="I2757" i="5"/>
  <c r="J2757" i="5"/>
  <c r="K2757" i="5"/>
  <c r="L2757" i="5"/>
  <c r="M2757" i="5"/>
  <c r="H2758" i="5"/>
  <c r="I2758" i="5"/>
  <c r="J2758" i="5"/>
  <c r="K2758" i="5"/>
  <c r="L2758" i="5"/>
  <c r="M2758" i="5"/>
  <c r="H2759" i="5"/>
  <c r="I2759" i="5"/>
  <c r="J2759" i="5"/>
  <c r="K2759" i="5"/>
  <c r="L2759" i="5"/>
  <c r="M2759" i="5"/>
  <c r="H2760" i="5"/>
  <c r="I2760" i="5"/>
  <c r="J2760" i="5"/>
  <c r="K2760" i="5"/>
  <c r="L2760" i="5"/>
  <c r="M2760" i="5"/>
  <c r="H2761" i="5"/>
  <c r="I2761" i="5"/>
  <c r="J2761" i="5"/>
  <c r="K2761" i="5"/>
  <c r="L2761" i="5"/>
  <c r="M2761" i="5"/>
  <c r="H2762" i="5"/>
  <c r="I2762" i="5"/>
  <c r="J2762" i="5"/>
  <c r="K2762" i="5"/>
  <c r="L2762" i="5"/>
  <c r="M2762" i="5"/>
  <c r="H2763" i="5"/>
  <c r="I2763" i="5"/>
  <c r="J2763" i="5"/>
  <c r="K2763" i="5"/>
  <c r="L2763" i="5"/>
  <c r="M2763" i="5"/>
  <c r="H2764" i="5"/>
  <c r="I2764" i="5"/>
  <c r="J2764" i="5"/>
  <c r="K2764" i="5"/>
  <c r="L2764" i="5"/>
  <c r="M2764" i="5"/>
  <c r="H2765" i="5"/>
  <c r="I2765" i="5"/>
  <c r="J2765" i="5"/>
  <c r="K2765" i="5"/>
  <c r="L2765" i="5"/>
  <c r="M2765" i="5"/>
  <c r="H2766" i="5"/>
  <c r="I2766" i="5"/>
  <c r="J2766" i="5"/>
  <c r="K2766" i="5"/>
  <c r="L2766" i="5"/>
  <c r="M2766" i="5"/>
  <c r="H2767" i="5"/>
  <c r="I2767" i="5"/>
  <c r="J2767" i="5"/>
  <c r="K2767" i="5"/>
  <c r="L2767" i="5"/>
  <c r="M2767" i="5"/>
  <c r="H2768" i="5"/>
  <c r="I2768" i="5"/>
  <c r="J2768" i="5"/>
  <c r="K2768" i="5"/>
  <c r="L2768" i="5"/>
  <c r="M2768" i="5"/>
  <c r="H2769" i="5"/>
  <c r="I2769" i="5"/>
  <c r="J2769" i="5"/>
  <c r="K2769" i="5"/>
  <c r="L2769" i="5"/>
  <c r="M2769" i="5"/>
  <c r="H2770" i="5"/>
  <c r="I2770" i="5"/>
  <c r="J2770" i="5"/>
  <c r="K2770" i="5"/>
  <c r="L2770" i="5"/>
  <c r="M2770" i="5"/>
  <c r="H2771" i="5"/>
  <c r="I2771" i="5"/>
  <c r="J2771" i="5"/>
  <c r="K2771" i="5"/>
  <c r="L2771" i="5"/>
  <c r="M2771" i="5"/>
  <c r="H2772" i="5"/>
  <c r="I2772" i="5"/>
  <c r="J2772" i="5"/>
  <c r="K2772" i="5"/>
  <c r="L2772" i="5"/>
  <c r="M2772" i="5"/>
  <c r="H2773" i="5"/>
  <c r="I2773" i="5"/>
  <c r="J2773" i="5"/>
  <c r="K2773" i="5"/>
  <c r="L2773" i="5"/>
  <c r="M2773" i="5"/>
  <c r="H2774" i="5"/>
  <c r="I2774" i="5"/>
  <c r="J2774" i="5"/>
  <c r="K2774" i="5"/>
  <c r="L2774" i="5"/>
  <c r="M2774" i="5"/>
  <c r="H2775" i="5"/>
  <c r="I2775" i="5"/>
  <c r="J2775" i="5"/>
  <c r="K2775" i="5"/>
  <c r="L2775" i="5"/>
  <c r="M2775" i="5"/>
  <c r="H2776" i="5"/>
  <c r="I2776" i="5"/>
  <c r="J2776" i="5"/>
  <c r="K2776" i="5"/>
  <c r="L2776" i="5"/>
  <c r="M2776" i="5"/>
  <c r="H2777" i="5"/>
  <c r="I2777" i="5"/>
  <c r="J2777" i="5"/>
  <c r="K2777" i="5"/>
  <c r="L2777" i="5"/>
  <c r="M2777" i="5"/>
  <c r="H2778" i="5"/>
  <c r="I2778" i="5"/>
  <c r="J2778" i="5"/>
  <c r="K2778" i="5"/>
  <c r="L2778" i="5"/>
  <c r="M2778" i="5"/>
  <c r="H2779" i="5"/>
  <c r="I2779" i="5"/>
  <c r="J2779" i="5"/>
  <c r="K2779" i="5"/>
  <c r="L2779" i="5"/>
  <c r="M2779" i="5"/>
  <c r="H2780" i="5"/>
  <c r="I2780" i="5"/>
  <c r="J2780" i="5"/>
  <c r="K2780" i="5"/>
  <c r="L2780" i="5"/>
  <c r="M2780" i="5"/>
  <c r="H2781" i="5"/>
  <c r="I2781" i="5"/>
  <c r="J2781" i="5"/>
  <c r="K2781" i="5"/>
  <c r="L2781" i="5"/>
  <c r="M2781" i="5"/>
  <c r="H2782" i="5"/>
  <c r="I2782" i="5"/>
  <c r="J2782" i="5"/>
  <c r="K2782" i="5"/>
  <c r="L2782" i="5"/>
  <c r="M2782" i="5"/>
  <c r="H2783" i="5"/>
  <c r="I2783" i="5"/>
  <c r="J2783" i="5"/>
  <c r="K2783" i="5"/>
  <c r="L2783" i="5"/>
  <c r="M2783" i="5"/>
  <c r="H2784" i="5"/>
  <c r="I2784" i="5"/>
  <c r="J2784" i="5"/>
  <c r="K2784" i="5"/>
  <c r="L2784" i="5"/>
  <c r="M2784" i="5"/>
  <c r="H2785" i="5"/>
  <c r="I2785" i="5"/>
  <c r="J2785" i="5"/>
  <c r="K2785" i="5"/>
  <c r="L2785" i="5"/>
  <c r="M2785" i="5"/>
  <c r="H2786" i="5"/>
  <c r="I2786" i="5"/>
  <c r="J2786" i="5"/>
  <c r="K2786" i="5"/>
  <c r="L2786" i="5"/>
  <c r="M2786" i="5"/>
  <c r="H2787" i="5"/>
  <c r="I2787" i="5"/>
  <c r="J2787" i="5"/>
  <c r="K2787" i="5"/>
  <c r="L2787" i="5"/>
  <c r="M2787" i="5"/>
  <c r="H2788" i="5"/>
  <c r="I2788" i="5"/>
  <c r="J2788" i="5"/>
  <c r="K2788" i="5"/>
  <c r="L2788" i="5"/>
  <c r="M2788" i="5"/>
  <c r="H2789" i="5"/>
  <c r="I2789" i="5"/>
  <c r="J2789" i="5"/>
  <c r="K2789" i="5"/>
  <c r="L2789" i="5"/>
  <c r="M2789" i="5"/>
  <c r="H2790" i="5"/>
  <c r="I2790" i="5"/>
  <c r="J2790" i="5"/>
  <c r="K2790" i="5"/>
  <c r="L2790" i="5"/>
  <c r="M2790" i="5"/>
  <c r="H2791" i="5"/>
  <c r="I2791" i="5"/>
  <c r="J2791" i="5"/>
  <c r="K2791" i="5"/>
  <c r="L2791" i="5"/>
  <c r="M2791" i="5"/>
  <c r="H2792" i="5"/>
  <c r="I2792" i="5"/>
  <c r="J2792" i="5"/>
  <c r="K2792" i="5"/>
  <c r="L2792" i="5"/>
  <c r="M2792" i="5"/>
  <c r="H2793" i="5"/>
  <c r="I2793" i="5"/>
  <c r="J2793" i="5"/>
  <c r="K2793" i="5"/>
  <c r="L2793" i="5"/>
  <c r="M2793" i="5"/>
  <c r="H2794" i="5"/>
  <c r="I2794" i="5"/>
  <c r="J2794" i="5"/>
  <c r="K2794" i="5"/>
  <c r="L2794" i="5"/>
  <c r="M2794" i="5"/>
  <c r="H2795" i="5"/>
  <c r="I2795" i="5"/>
  <c r="J2795" i="5"/>
  <c r="K2795" i="5"/>
  <c r="L2795" i="5"/>
  <c r="M2795" i="5"/>
  <c r="H2796" i="5"/>
  <c r="I2796" i="5"/>
  <c r="J2796" i="5"/>
  <c r="K2796" i="5"/>
  <c r="L2796" i="5"/>
  <c r="M2796" i="5"/>
  <c r="H2797" i="5"/>
  <c r="I2797" i="5"/>
  <c r="J2797" i="5"/>
  <c r="K2797" i="5"/>
  <c r="L2797" i="5"/>
  <c r="M2797" i="5"/>
  <c r="H2798" i="5"/>
  <c r="I2798" i="5"/>
  <c r="J2798" i="5"/>
  <c r="K2798" i="5"/>
  <c r="L2798" i="5"/>
  <c r="M2798" i="5"/>
  <c r="H2799" i="5"/>
  <c r="I2799" i="5"/>
  <c r="J2799" i="5"/>
  <c r="K2799" i="5"/>
  <c r="L2799" i="5"/>
  <c r="M2799" i="5"/>
  <c r="H2800" i="5"/>
  <c r="I2800" i="5"/>
  <c r="J2800" i="5"/>
  <c r="K2800" i="5"/>
  <c r="L2800" i="5"/>
  <c r="M2800" i="5"/>
  <c r="H2801" i="5"/>
  <c r="I2801" i="5"/>
  <c r="J2801" i="5"/>
  <c r="K2801" i="5"/>
  <c r="L2801" i="5"/>
  <c r="M2801" i="5"/>
  <c r="H2802" i="5"/>
  <c r="I2802" i="5"/>
  <c r="J2802" i="5"/>
  <c r="K2802" i="5"/>
  <c r="L2802" i="5"/>
  <c r="M2802" i="5"/>
  <c r="H2803" i="5"/>
  <c r="I2803" i="5"/>
  <c r="J2803" i="5"/>
  <c r="K2803" i="5"/>
  <c r="L2803" i="5"/>
  <c r="M2803" i="5"/>
  <c r="H2804" i="5"/>
  <c r="I2804" i="5"/>
  <c r="J2804" i="5"/>
  <c r="K2804" i="5"/>
  <c r="L2804" i="5"/>
  <c r="M2804" i="5"/>
  <c r="H2805" i="5"/>
  <c r="I2805" i="5"/>
  <c r="J2805" i="5"/>
  <c r="K2805" i="5"/>
  <c r="L2805" i="5"/>
  <c r="M2805" i="5"/>
  <c r="H2806" i="5"/>
  <c r="I2806" i="5"/>
  <c r="J2806" i="5"/>
  <c r="K2806" i="5"/>
  <c r="L2806" i="5"/>
  <c r="M2806" i="5"/>
  <c r="H2807" i="5"/>
  <c r="I2807" i="5"/>
  <c r="J2807" i="5"/>
  <c r="K2807" i="5"/>
  <c r="L2807" i="5"/>
  <c r="M2807" i="5"/>
  <c r="H2808" i="5"/>
  <c r="I2808" i="5"/>
  <c r="J2808" i="5"/>
  <c r="K2808" i="5"/>
  <c r="L2808" i="5"/>
  <c r="M2808" i="5"/>
  <c r="H2809" i="5"/>
  <c r="I2809" i="5"/>
  <c r="J2809" i="5"/>
  <c r="K2809" i="5"/>
  <c r="L2809" i="5"/>
  <c r="M2809" i="5"/>
  <c r="H2810" i="5"/>
  <c r="I2810" i="5"/>
  <c r="J2810" i="5"/>
  <c r="K2810" i="5"/>
  <c r="L2810" i="5"/>
  <c r="M2810" i="5"/>
  <c r="H2811" i="5"/>
  <c r="I2811" i="5"/>
  <c r="J2811" i="5"/>
  <c r="K2811" i="5"/>
  <c r="L2811" i="5"/>
  <c r="M2811" i="5"/>
  <c r="H2812" i="5"/>
  <c r="I2812" i="5"/>
  <c r="J2812" i="5"/>
  <c r="K2812" i="5"/>
  <c r="L2812" i="5"/>
  <c r="M2812" i="5"/>
  <c r="H2813" i="5"/>
  <c r="I2813" i="5"/>
  <c r="J2813" i="5"/>
  <c r="K2813" i="5"/>
  <c r="L2813" i="5"/>
  <c r="M2813" i="5"/>
  <c r="H2814" i="5"/>
  <c r="I2814" i="5"/>
  <c r="J2814" i="5"/>
  <c r="K2814" i="5"/>
  <c r="L2814" i="5"/>
  <c r="M2814" i="5"/>
  <c r="H2815" i="5"/>
  <c r="I2815" i="5"/>
  <c r="J2815" i="5"/>
  <c r="K2815" i="5"/>
  <c r="L2815" i="5"/>
  <c r="M2815" i="5"/>
  <c r="H2816" i="5"/>
  <c r="I2816" i="5"/>
  <c r="J2816" i="5"/>
  <c r="K2816" i="5"/>
  <c r="L2816" i="5"/>
  <c r="M2816" i="5"/>
  <c r="H2817" i="5"/>
  <c r="I2817" i="5"/>
  <c r="J2817" i="5"/>
  <c r="K2817" i="5"/>
  <c r="L2817" i="5"/>
  <c r="M2817" i="5"/>
  <c r="H2818" i="5"/>
  <c r="I2818" i="5"/>
  <c r="J2818" i="5"/>
  <c r="K2818" i="5"/>
  <c r="L2818" i="5"/>
  <c r="M2818" i="5"/>
  <c r="H2819" i="5"/>
  <c r="I2819" i="5"/>
  <c r="J2819" i="5"/>
  <c r="K2819" i="5"/>
  <c r="L2819" i="5"/>
  <c r="M2819" i="5"/>
  <c r="H2820" i="5"/>
  <c r="I2820" i="5"/>
  <c r="J2820" i="5"/>
  <c r="K2820" i="5"/>
  <c r="L2820" i="5"/>
  <c r="M2820" i="5"/>
  <c r="H2821" i="5"/>
  <c r="I2821" i="5"/>
  <c r="J2821" i="5"/>
  <c r="K2821" i="5"/>
  <c r="L2821" i="5"/>
  <c r="M2821" i="5"/>
  <c r="H2822" i="5"/>
  <c r="I2822" i="5"/>
  <c r="J2822" i="5"/>
  <c r="K2822" i="5"/>
  <c r="L2822" i="5"/>
  <c r="M2822" i="5"/>
  <c r="H2823" i="5"/>
  <c r="I2823" i="5"/>
  <c r="J2823" i="5"/>
  <c r="K2823" i="5"/>
  <c r="L2823" i="5"/>
  <c r="M2823" i="5"/>
  <c r="H2824" i="5"/>
  <c r="I2824" i="5"/>
  <c r="J2824" i="5"/>
  <c r="K2824" i="5"/>
  <c r="L2824" i="5"/>
  <c r="M2824" i="5"/>
  <c r="H2825" i="5"/>
  <c r="I2825" i="5"/>
  <c r="J2825" i="5"/>
  <c r="K2825" i="5"/>
  <c r="L2825" i="5"/>
  <c r="M2825" i="5"/>
  <c r="H2826" i="5"/>
  <c r="I2826" i="5"/>
  <c r="J2826" i="5"/>
  <c r="K2826" i="5"/>
  <c r="L2826" i="5"/>
  <c r="M2826" i="5"/>
  <c r="H2827" i="5"/>
  <c r="I2827" i="5"/>
  <c r="J2827" i="5"/>
  <c r="K2827" i="5"/>
  <c r="L2827" i="5"/>
  <c r="M2827" i="5"/>
  <c r="H2828" i="5"/>
  <c r="I2828" i="5"/>
  <c r="J2828" i="5"/>
  <c r="K2828" i="5"/>
  <c r="L2828" i="5"/>
  <c r="M2828" i="5"/>
  <c r="H2829" i="5"/>
  <c r="I2829" i="5"/>
  <c r="J2829" i="5"/>
  <c r="K2829" i="5"/>
  <c r="L2829" i="5"/>
  <c r="M2829" i="5"/>
  <c r="H2830" i="5"/>
  <c r="I2830" i="5"/>
  <c r="J2830" i="5"/>
  <c r="K2830" i="5"/>
  <c r="L2830" i="5"/>
  <c r="M2830" i="5"/>
  <c r="H2831" i="5"/>
  <c r="I2831" i="5"/>
  <c r="J2831" i="5"/>
  <c r="K2831" i="5"/>
  <c r="L2831" i="5"/>
  <c r="M2831" i="5"/>
  <c r="H2832" i="5"/>
  <c r="I2832" i="5"/>
  <c r="J2832" i="5"/>
  <c r="K2832" i="5"/>
  <c r="L2832" i="5"/>
  <c r="M2832" i="5"/>
  <c r="H2833" i="5"/>
  <c r="I2833" i="5"/>
  <c r="J2833" i="5"/>
  <c r="K2833" i="5"/>
  <c r="L2833" i="5"/>
  <c r="M2833" i="5"/>
  <c r="H2834" i="5"/>
  <c r="I2834" i="5"/>
  <c r="J2834" i="5"/>
  <c r="K2834" i="5"/>
  <c r="L2834" i="5"/>
  <c r="M2834" i="5"/>
  <c r="H2835" i="5"/>
  <c r="I2835" i="5"/>
  <c r="J2835" i="5"/>
  <c r="K2835" i="5"/>
  <c r="L2835" i="5"/>
  <c r="M2835" i="5"/>
  <c r="H2836" i="5"/>
  <c r="I2836" i="5"/>
  <c r="J2836" i="5"/>
  <c r="K2836" i="5"/>
  <c r="L2836" i="5"/>
  <c r="M2836" i="5"/>
  <c r="H2837" i="5"/>
  <c r="I2837" i="5"/>
  <c r="J2837" i="5"/>
  <c r="K2837" i="5"/>
  <c r="L2837" i="5"/>
  <c r="M2837" i="5"/>
  <c r="H2838" i="5"/>
  <c r="I2838" i="5"/>
  <c r="J2838" i="5"/>
  <c r="K2838" i="5"/>
  <c r="L2838" i="5"/>
  <c r="M2838" i="5"/>
  <c r="H2839" i="5"/>
  <c r="I2839" i="5"/>
  <c r="J2839" i="5"/>
  <c r="K2839" i="5"/>
  <c r="L2839" i="5"/>
  <c r="M2839" i="5"/>
  <c r="H2840" i="5"/>
  <c r="I2840" i="5"/>
  <c r="J2840" i="5"/>
  <c r="K2840" i="5"/>
  <c r="L2840" i="5"/>
  <c r="M2840" i="5"/>
  <c r="H2841" i="5"/>
  <c r="I2841" i="5"/>
  <c r="J2841" i="5"/>
  <c r="K2841" i="5"/>
  <c r="L2841" i="5"/>
  <c r="M2841" i="5"/>
  <c r="H2842" i="5"/>
  <c r="I2842" i="5"/>
  <c r="J2842" i="5"/>
  <c r="K2842" i="5"/>
  <c r="L2842" i="5"/>
  <c r="M2842" i="5"/>
  <c r="H2843" i="5"/>
  <c r="I2843" i="5"/>
  <c r="J2843" i="5"/>
  <c r="K2843" i="5"/>
  <c r="L2843" i="5"/>
  <c r="M2843" i="5"/>
  <c r="H2844" i="5"/>
  <c r="I2844" i="5"/>
  <c r="J2844" i="5"/>
  <c r="K2844" i="5"/>
  <c r="L2844" i="5"/>
  <c r="M2844" i="5"/>
  <c r="H2845" i="5"/>
  <c r="I2845" i="5"/>
  <c r="J2845" i="5"/>
  <c r="K2845" i="5"/>
  <c r="L2845" i="5"/>
  <c r="M2845" i="5"/>
  <c r="H2846" i="5"/>
  <c r="I2846" i="5"/>
  <c r="J2846" i="5"/>
  <c r="K2846" i="5"/>
  <c r="L2846" i="5"/>
  <c r="M2846" i="5"/>
  <c r="H2847" i="5"/>
  <c r="I2847" i="5"/>
  <c r="J2847" i="5"/>
  <c r="K2847" i="5"/>
  <c r="L2847" i="5"/>
  <c r="M2847" i="5"/>
  <c r="H2848" i="5"/>
  <c r="I2848" i="5"/>
  <c r="J2848" i="5"/>
  <c r="K2848" i="5"/>
  <c r="L2848" i="5"/>
  <c r="M2848" i="5"/>
  <c r="H2849" i="5"/>
  <c r="I2849" i="5"/>
  <c r="J2849" i="5"/>
  <c r="K2849" i="5"/>
  <c r="L2849" i="5"/>
  <c r="M2849" i="5"/>
  <c r="H2850" i="5"/>
  <c r="I2850" i="5"/>
  <c r="J2850" i="5"/>
  <c r="K2850" i="5"/>
  <c r="L2850" i="5"/>
  <c r="M2850" i="5"/>
  <c r="H2851" i="5"/>
  <c r="I2851" i="5"/>
  <c r="J2851" i="5"/>
  <c r="K2851" i="5"/>
  <c r="L2851" i="5"/>
  <c r="M2851" i="5"/>
  <c r="H2852" i="5"/>
  <c r="I2852" i="5"/>
  <c r="J2852" i="5"/>
  <c r="K2852" i="5"/>
  <c r="L2852" i="5"/>
  <c r="M2852" i="5"/>
  <c r="H2853" i="5"/>
  <c r="I2853" i="5"/>
  <c r="J2853" i="5"/>
  <c r="K2853" i="5"/>
  <c r="L2853" i="5"/>
  <c r="M2853" i="5"/>
  <c r="H2854" i="5"/>
  <c r="I2854" i="5"/>
  <c r="J2854" i="5"/>
  <c r="K2854" i="5"/>
  <c r="L2854" i="5"/>
  <c r="M2854" i="5"/>
  <c r="H2855" i="5"/>
  <c r="I2855" i="5"/>
  <c r="J2855" i="5"/>
  <c r="K2855" i="5"/>
  <c r="L2855" i="5"/>
  <c r="M2855" i="5"/>
  <c r="H2856" i="5"/>
  <c r="I2856" i="5"/>
  <c r="J2856" i="5"/>
  <c r="K2856" i="5"/>
  <c r="L2856" i="5"/>
  <c r="M2856" i="5"/>
  <c r="H2857" i="5"/>
  <c r="I2857" i="5"/>
  <c r="J2857" i="5"/>
  <c r="K2857" i="5"/>
  <c r="L2857" i="5"/>
  <c r="M2857" i="5"/>
  <c r="H2858" i="5"/>
  <c r="I2858" i="5"/>
  <c r="J2858" i="5"/>
  <c r="K2858" i="5"/>
  <c r="L2858" i="5"/>
  <c r="M2858" i="5"/>
  <c r="H2859" i="5"/>
  <c r="I2859" i="5"/>
  <c r="J2859" i="5"/>
  <c r="K2859" i="5"/>
  <c r="L2859" i="5"/>
  <c r="M2859" i="5"/>
  <c r="H2860" i="5"/>
  <c r="I2860" i="5"/>
  <c r="J2860" i="5"/>
  <c r="K2860" i="5"/>
  <c r="L2860" i="5"/>
  <c r="M2860" i="5"/>
  <c r="H2861" i="5"/>
  <c r="I2861" i="5"/>
  <c r="J2861" i="5"/>
  <c r="K2861" i="5"/>
  <c r="L2861" i="5"/>
  <c r="M2861" i="5"/>
  <c r="H2862" i="5"/>
  <c r="I2862" i="5"/>
  <c r="J2862" i="5"/>
  <c r="K2862" i="5"/>
  <c r="L2862" i="5"/>
  <c r="M2862" i="5"/>
  <c r="H2863" i="5"/>
  <c r="I2863" i="5"/>
  <c r="J2863" i="5"/>
  <c r="K2863" i="5"/>
  <c r="L2863" i="5"/>
  <c r="M2863" i="5"/>
  <c r="H2864" i="5"/>
  <c r="I2864" i="5"/>
  <c r="J2864" i="5"/>
  <c r="K2864" i="5"/>
  <c r="L2864" i="5"/>
  <c r="M2864" i="5"/>
  <c r="H2865" i="5"/>
  <c r="I2865" i="5"/>
  <c r="J2865" i="5"/>
  <c r="K2865" i="5"/>
  <c r="L2865" i="5"/>
  <c r="M2865" i="5"/>
  <c r="H2866" i="5"/>
  <c r="I2866" i="5"/>
  <c r="J2866" i="5"/>
  <c r="K2866" i="5"/>
  <c r="L2866" i="5"/>
  <c r="M2866" i="5"/>
  <c r="H2867" i="5"/>
  <c r="I2867" i="5"/>
  <c r="J2867" i="5"/>
  <c r="K2867" i="5"/>
  <c r="L2867" i="5"/>
  <c r="M2867" i="5"/>
  <c r="H2868" i="5"/>
  <c r="I2868" i="5"/>
  <c r="J2868" i="5"/>
  <c r="K2868" i="5"/>
  <c r="L2868" i="5"/>
  <c r="M2868" i="5"/>
  <c r="H2869" i="5"/>
  <c r="I2869" i="5"/>
  <c r="J2869" i="5"/>
  <c r="K2869" i="5"/>
  <c r="L2869" i="5"/>
  <c r="M2869" i="5"/>
  <c r="H2870" i="5"/>
  <c r="I2870" i="5"/>
  <c r="J2870" i="5"/>
  <c r="K2870" i="5"/>
  <c r="L2870" i="5"/>
  <c r="M2870" i="5"/>
  <c r="H2871" i="5"/>
  <c r="I2871" i="5"/>
  <c r="J2871" i="5"/>
  <c r="K2871" i="5"/>
  <c r="L2871" i="5"/>
  <c r="M2871" i="5"/>
  <c r="H2872" i="5"/>
  <c r="I2872" i="5"/>
  <c r="J2872" i="5"/>
  <c r="K2872" i="5"/>
  <c r="L2872" i="5"/>
  <c r="M2872" i="5"/>
  <c r="H2873" i="5"/>
  <c r="I2873" i="5"/>
  <c r="J2873" i="5"/>
  <c r="K2873" i="5"/>
  <c r="L2873" i="5"/>
  <c r="M2873" i="5"/>
  <c r="H2874" i="5"/>
  <c r="I2874" i="5"/>
  <c r="J2874" i="5"/>
  <c r="K2874" i="5"/>
  <c r="L2874" i="5"/>
  <c r="M2874" i="5"/>
  <c r="H2875" i="5"/>
  <c r="I2875" i="5"/>
  <c r="J2875" i="5"/>
  <c r="K2875" i="5"/>
  <c r="L2875" i="5"/>
  <c r="M2875" i="5"/>
  <c r="H2876" i="5"/>
  <c r="I2876" i="5"/>
  <c r="J2876" i="5"/>
  <c r="K2876" i="5"/>
  <c r="L2876" i="5"/>
  <c r="M2876" i="5"/>
  <c r="H2877" i="5"/>
  <c r="I2877" i="5"/>
  <c r="J2877" i="5"/>
  <c r="K2877" i="5"/>
  <c r="L2877" i="5"/>
  <c r="M2877" i="5"/>
  <c r="H2878" i="5"/>
  <c r="I2878" i="5"/>
  <c r="J2878" i="5"/>
  <c r="K2878" i="5"/>
  <c r="L2878" i="5"/>
  <c r="M2878" i="5"/>
  <c r="H2879" i="5"/>
  <c r="I2879" i="5"/>
  <c r="J2879" i="5"/>
  <c r="K2879" i="5"/>
  <c r="L2879" i="5"/>
  <c r="M2879" i="5"/>
  <c r="H2880" i="5"/>
  <c r="I2880" i="5"/>
  <c r="J2880" i="5"/>
  <c r="K2880" i="5"/>
  <c r="L2880" i="5"/>
  <c r="M2880" i="5"/>
  <c r="H2881" i="5"/>
  <c r="I2881" i="5"/>
  <c r="J2881" i="5"/>
  <c r="K2881" i="5"/>
  <c r="L2881" i="5"/>
  <c r="M2881" i="5"/>
  <c r="H2882" i="5"/>
  <c r="I2882" i="5"/>
  <c r="J2882" i="5"/>
  <c r="K2882" i="5"/>
  <c r="L2882" i="5"/>
  <c r="M2882" i="5"/>
  <c r="H2883" i="5"/>
  <c r="I2883" i="5"/>
  <c r="J2883" i="5"/>
  <c r="K2883" i="5"/>
  <c r="L2883" i="5"/>
  <c r="M2883" i="5"/>
  <c r="H2884" i="5"/>
  <c r="I2884" i="5"/>
  <c r="J2884" i="5"/>
  <c r="K2884" i="5"/>
  <c r="L2884" i="5"/>
  <c r="M2884" i="5"/>
  <c r="H2885" i="5"/>
  <c r="I2885" i="5"/>
  <c r="J2885" i="5"/>
  <c r="K2885" i="5"/>
  <c r="L2885" i="5"/>
  <c r="M2885" i="5"/>
  <c r="H2886" i="5"/>
  <c r="I2886" i="5"/>
  <c r="J2886" i="5"/>
  <c r="K2886" i="5"/>
  <c r="L2886" i="5"/>
  <c r="M2886" i="5"/>
  <c r="H2887" i="5"/>
  <c r="I2887" i="5"/>
  <c r="J2887" i="5"/>
  <c r="K2887" i="5"/>
  <c r="L2887" i="5"/>
  <c r="M2887" i="5"/>
  <c r="H2888" i="5"/>
  <c r="I2888" i="5"/>
  <c r="J2888" i="5"/>
  <c r="K2888" i="5"/>
  <c r="L2888" i="5"/>
  <c r="M2888" i="5"/>
  <c r="H2889" i="5"/>
  <c r="I2889" i="5"/>
  <c r="J2889" i="5"/>
  <c r="K2889" i="5"/>
  <c r="L2889" i="5"/>
  <c r="M2889" i="5"/>
  <c r="H2890" i="5"/>
  <c r="I2890" i="5"/>
  <c r="J2890" i="5"/>
  <c r="K2890" i="5"/>
  <c r="L2890" i="5"/>
  <c r="M2890" i="5"/>
  <c r="H2891" i="5"/>
  <c r="I2891" i="5"/>
  <c r="J2891" i="5"/>
  <c r="K2891" i="5"/>
  <c r="L2891" i="5"/>
  <c r="M2891" i="5"/>
  <c r="H2892" i="5"/>
  <c r="I2892" i="5"/>
  <c r="J2892" i="5"/>
  <c r="K2892" i="5"/>
  <c r="L2892" i="5"/>
  <c r="M2892" i="5"/>
  <c r="H2893" i="5"/>
  <c r="I2893" i="5"/>
  <c r="J2893" i="5"/>
  <c r="K2893" i="5"/>
  <c r="L2893" i="5"/>
  <c r="M2893" i="5"/>
  <c r="H2894" i="5"/>
  <c r="I2894" i="5"/>
  <c r="J2894" i="5"/>
  <c r="K2894" i="5"/>
  <c r="L2894" i="5"/>
  <c r="M2894" i="5"/>
  <c r="H2895" i="5"/>
  <c r="I2895" i="5"/>
  <c r="J2895" i="5"/>
  <c r="K2895" i="5"/>
  <c r="L2895" i="5"/>
  <c r="M2895" i="5"/>
  <c r="H2896" i="5"/>
  <c r="I2896" i="5"/>
  <c r="J2896" i="5"/>
  <c r="K2896" i="5"/>
  <c r="L2896" i="5"/>
  <c r="M2896" i="5"/>
  <c r="H2897" i="5"/>
  <c r="I2897" i="5"/>
  <c r="J2897" i="5"/>
  <c r="K2897" i="5"/>
  <c r="L2897" i="5"/>
  <c r="M2897" i="5"/>
  <c r="H2898" i="5"/>
  <c r="I2898" i="5"/>
  <c r="J2898" i="5"/>
  <c r="K2898" i="5"/>
  <c r="L2898" i="5"/>
  <c r="M2898" i="5"/>
  <c r="H2899" i="5"/>
  <c r="I2899" i="5"/>
  <c r="J2899" i="5"/>
  <c r="K2899" i="5"/>
  <c r="L2899" i="5"/>
  <c r="M2899" i="5"/>
  <c r="H2900" i="5"/>
  <c r="I2900" i="5"/>
  <c r="J2900" i="5"/>
  <c r="K2900" i="5"/>
  <c r="L2900" i="5"/>
  <c r="M2900" i="5"/>
  <c r="H2901" i="5"/>
  <c r="I2901" i="5"/>
  <c r="J2901" i="5"/>
  <c r="K2901" i="5"/>
  <c r="L2901" i="5"/>
  <c r="M2901" i="5"/>
  <c r="H2902" i="5"/>
  <c r="I2902" i="5"/>
  <c r="J2902" i="5"/>
  <c r="K2902" i="5"/>
  <c r="L2902" i="5"/>
  <c r="M2902" i="5"/>
  <c r="H2903" i="5"/>
  <c r="I2903" i="5"/>
  <c r="J2903" i="5"/>
  <c r="K2903" i="5"/>
  <c r="L2903" i="5"/>
  <c r="M2903" i="5"/>
  <c r="H2904" i="5"/>
  <c r="I2904" i="5"/>
  <c r="J2904" i="5"/>
  <c r="K2904" i="5"/>
  <c r="L2904" i="5"/>
  <c r="M2904" i="5"/>
  <c r="H2905" i="5"/>
  <c r="I2905" i="5"/>
  <c r="J2905" i="5"/>
  <c r="K2905" i="5"/>
  <c r="L2905" i="5"/>
  <c r="M2905" i="5"/>
  <c r="H2906" i="5"/>
  <c r="I2906" i="5"/>
  <c r="J2906" i="5"/>
  <c r="K2906" i="5"/>
  <c r="L2906" i="5"/>
  <c r="M2906" i="5"/>
  <c r="H2907" i="5"/>
  <c r="I2907" i="5"/>
  <c r="J2907" i="5"/>
  <c r="K2907" i="5"/>
  <c r="L2907" i="5"/>
  <c r="M2907" i="5"/>
  <c r="H2908" i="5"/>
  <c r="I2908" i="5"/>
  <c r="J2908" i="5"/>
  <c r="K2908" i="5"/>
  <c r="L2908" i="5"/>
  <c r="M2908" i="5"/>
  <c r="H2909" i="5"/>
  <c r="I2909" i="5"/>
  <c r="J2909" i="5"/>
  <c r="K2909" i="5"/>
  <c r="L2909" i="5"/>
  <c r="M2909" i="5"/>
  <c r="H2910" i="5"/>
  <c r="I2910" i="5"/>
  <c r="J2910" i="5"/>
  <c r="K2910" i="5"/>
  <c r="L2910" i="5"/>
  <c r="M2910" i="5"/>
  <c r="H2911" i="5"/>
  <c r="I2911" i="5"/>
  <c r="J2911" i="5"/>
  <c r="K2911" i="5"/>
  <c r="L2911" i="5"/>
  <c r="M2911" i="5"/>
  <c r="H2912" i="5"/>
  <c r="I2912" i="5"/>
  <c r="J2912" i="5"/>
  <c r="K2912" i="5"/>
  <c r="L2912" i="5"/>
  <c r="M2912" i="5"/>
  <c r="H2913" i="5"/>
  <c r="I2913" i="5"/>
  <c r="J2913" i="5"/>
  <c r="K2913" i="5"/>
  <c r="L2913" i="5"/>
  <c r="M2913" i="5"/>
  <c r="H2914" i="5"/>
  <c r="I2914" i="5"/>
  <c r="J2914" i="5"/>
  <c r="K2914" i="5"/>
  <c r="L2914" i="5"/>
  <c r="M2914" i="5"/>
  <c r="H2915" i="5"/>
  <c r="I2915" i="5"/>
  <c r="J2915" i="5"/>
  <c r="K2915" i="5"/>
  <c r="L2915" i="5"/>
  <c r="M2915" i="5"/>
  <c r="H2916" i="5"/>
  <c r="I2916" i="5"/>
  <c r="J2916" i="5"/>
  <c r="K2916" i="5"/>
  <c r="L2916" i="5"/>
  <c r="M2916" i="5"/>
  <c r="H2917" i="5"/>
  <c r="I2917" i="5"/>
  <c r="J2917" i="5"/>
  <c r="K2917" i="5"/>
  <c r="L2917" i="5"/>
  <c r="M2917" i="5"/>
  <c r="H2918" i="5"/>
  <c r="I2918" i="5"/>
  <c r="J2918" i="5"/>
  <c r="K2918" i="5"/>
  <c r="L2918" i="5"/>
  <c r="M2918" i="5"/>
  <c r="H2919" i="5"/>
  <c r="I2919" i="5"/>
  <c r="J2919" i="5"/>
  <c r="K2919" i="5"/>
  <c r="L2919" i="5"/>
  <c r="M2919" i="5"/>
  <c r="H2920" i="5"/>
  <c r="I2920" i="5"/>
  <c r="J2920" i="5"/>
  <c r="K2920" i="5"/>
  <c r="L2920" i="5"/>
  <c r="M2920" i="5"/>
  <c r="H2921" i="5"/>
  <c r="I2921" i="5"/>
  <c r="J2921" i="5"/>
  <c r="K2921" i="5"/>
  <c r="L2921" i="5"/>
  <c r="M2921" i="5"/>
  <c r="H2922" i="5"/>
  <c r="I2922" i="5"/>
  <c r="J2922" i="5"/>
  <c r="K2922" i="5"/>
  <c r="L2922" i="5"/>
  <c r="M2922" i="5"/>
  <c r="H2923" i="5"/>
  <c r="I2923" i="5"/>
  <c r="J2923" i="5"/>
  <c r="K2923" i="5"/>
  <c r="L2923" i="5"/>
  <c r="M2923" i="5"/>
  <c r="H2924" i="5"/>
  <c r="I2924" i="5"/>
  <c r="J2924" i="5"/>
  <c r="K2924" i="5"/>
  <c r="L2924" i="5"/>
  <c r="M2924" i="5"/>
  <c r="H2925" i="5"/>
  <c r="I2925" i="5"/>
  <c r="J2925" i="5"/>
  <c r="K2925" i="5"/>
  <c r="L2925" i="5"/>
  <c r="M2925" i="5"/>
  <c r="H2926" i="5"/>
  <c r="I2926" i="5"/>
  <c r="J2926" i="5"/>
  <c r="K2926" i="5"/>
  <c r="L2926" i="5"/>
  <c r="M2926" i="5"/>
  <c r="H2927" i="5"/>
  <c r="I2927" i="5"/>
  <c r="J2927" i="5"/>
  <c r="K2927" i="5"/>
  <c r="L2927" i="5"/>
  <c r="M2927" i="5"/>
  <c r="H2928" i="5"/>
  <c r="I2928" i="5"/>
  <c r="J2928" i="5"/>
  <c r="K2928" i="5"/>
  <c r="L2928" i="5"/>
  <c r="M2928" i="5"/>
  <c r="H2929" i="5"/>
  <c r="I2929" i="5"/>
  <c r="J2929" i="5"/>
  <c r="K2929" i="5"/>
  <c r="L2929" i="5"/>
  <c r="M2929" i="5"/>
  <c r="H2930" i="5"/>
  <c r="I2930" i="5"/>
  <c r="J2930" i="5"/>
  <c r="K2930" i="5"/>
  <c r="L2930" i="5"/>
  <c r="M2930" i="5"/>
  <c r="H2931" i="5"/>
  <c r="I2931" i="5"/>
  <c r="J2931" i="5"/>
  <c r="K2931" i="5"/>
  <c r="L2931" i="5"/>
  <c r="M2931" i="5"/>
  <c r="H2932" i="5"/>
  <c r="I2932" i="5"/>
  <c r="J2932" i="5"/>
  <c r="K2932" i="5"/>
  <c r="L2932" i="5"/>
  <c r="M2932" i="5"/>
  <c r="H2933" i="5"/>
  <c r="I2933" i="5"/>
  <c r="J2933" i="5"/>
  <c r="K2933" i="5"/>
  <c r="L2933" i="5"/>
  <c r="M2933" i="5"/>
  <c r="H2934" i="5"/>
  <c r="I2934" i="5"/>
  <c r="J2934" i="5"/>
  <c r="K2934" i="5"/>
  <c r="L2934" i="5"/>
  <c r="M2934" i="5"/>
  <c r="H2935" i="5"/>
  <c r="I2935" i="5"/>
  <c r="J2935" i="5"/>
  <c r="K2935" i="5"/>
  <c r="L2935" i="5"/>
  <c r="M2935" i="5"/>
  <c r="H2936" i="5"/>
  <c r="I2936" i="5"/>
  <c r="J2936" i="5"/>
  <c r="K2936" i="5"/>
  <c r="L2936" i="5"/>
  <c r="M2936" i="5"/>
  <c r="H2937" i="5"/>
  <c r="I2937" i="5"/>
  <c r="J2937" i="5"/>
  <c r="K2937" i="5"/>
  <c r="L2937" i="5"/>
  <c r="M2937" i="5"/>
  <c r="H2938" i="5"/>
  <c r="I2938" i="5"/>
  <c r="J2938" i="5"/>
  <c r="K2938" i="5"/>
  <c r="L2938" i="5"/>
  <c r="M2938" i="5"/>
  <c r="H2939" i="5"/>
  <c r="I2939" i="5"/>
  <c r="J2939" i="5"/>
  <c r="K2939" i="5"/>
  <c r="L2939" i="5"/>
  <c r="M2939" i="5"/>
  <c r="H2940" i="5"/>
  <c r="I2940" i="5"/>
  <c r="J2940" i="5"/>
  <c r="K2940" i="5"/>
  <c r="L2940" i="5"/>
  <c r="M2940" i="5"/>
  <c r="H2941" i="5"/>
  <c r="I2941" i="5"/>
  <c r="J2941" i="5"/>
  <c r="K2941" i="5"/>
  <c r="L2941" i="5"/>
  <c r="M2941" i="5"/>
  <c r="H2942" i="5"/>
  <c r="I2942" i="5"/>
  <c r="J2942" i="5"/>
  <c r="K2942" i="5"/>
  <c r="L2942" i="5"/>
  <c r="M2942" i="5"/>
  <c r="H2943" i="5"/>
  <c r="I2943" i="5"/>
  <c r="J2943" i="5"/>
  <c r="K2943" i="5"/>
  <c r="L2943" i="5"/>
  <c r="M2943" i="5"/>
  <c r="H2944" i="5"/>
  <c r="I2944" i="5"/>
  <c r="J2944" i="5"/>
  <c r="K2944" i="5"/>
  <c r="L2944" i="5"/>
  <c r="M2944" i="5"/>
  <c r="H2945" i="5"/>
  <c r="I2945" i="5"/>
  <c r="J2945" i="5"/>
  <c r="K2945" i="5"/>
  <c r="L2945" i="5"/>
  <c r="M2945" i="5"/>
  <c r="H2946" i="5"/>
  <c r="I2946" i="5"/>
  <c r="J2946" i="5"/>
  <c r="K2946" i="5"/>
  <c r="L2946" i="5"/>
  <c r="M2946" i="5"/>
  <c r="H2947" i="5"/>
  <c r="I2947" i="5"/>
  <c r="J2947" i="5"/>
  <c r="K2947" i="5"/>
  <c r="L2947" i="5"/>
  <c r="M2947" i="5"/>
  <c r="H2948" i="5"/>
  <c r="I2948" i="5"/>
  <c r="J2948" i="5"/>
  <c r="K2948" i="5"/>
  <c r="L2948" i="5"/>
  <c r="M2948" i="5"/>
  <c r="H2949" i="5"/>
  <c r="I2949" i="5"/>
  <c r="J2949" i="5"/>
  <c r="K2949" i="5"/>
  <c r="L2949" i="5"/>
  <c r="M2949" i="5"/>
  <c r="H2950" i="5"/>
  <c r="I2950" i="5"/>
  <c r="J2950" i="5"/>
  <c r="K2950" i="5"/>
  <c r="L2950" i="5"/>
  <c r="M2950" i="5"/>
  <c r="H2951" i="5"/>
  <c r="I2951" i="5"/>
  <c r="J2951" i="5"/>
  <c r="K2951" i="5"/>
  <c r="L2951" i="5"/>
  <c r="M2951" i="5"/>
  <c r="H2952" i="5"/>
  <c r="I2952" i="5"/>
  <c r="J2952" i="5"/>
  <c r="K2952" i="5"/>
  <c r="L2952" i="5"/>
  <c r="M2952" i="5"/>
  <c r="H2953" i="5"/>
  <c r="I2953" i="5"/>
  <c r="J2953" i="5"/>
  <c r="K2953" i="5"/>
  <c r="L2953" i="5"/>
  <c r="M2953" i="5"/>
  <c r="H2954" i="5"/>
  <c r="I2954" i="5"/>
  <c r="J2954" i="5"/>
  <c r="K2954" i="5"/>
  <c r="L2954" i="5"/>
  <c r="M2954" i="5"/>
  <c r="H2955" i="5"/>
  <c r="I2955" i="5"/>
  <c r="J2955" i="5"/>
  <c r="K2955" i="5"/>
  <c r="L2955" i="5"/>
  <c r="M2955" i="5"/>
  <c r="H2956" i="5"/>
  <c r="I2956" i="5"/>
  <c r="J2956" i="5"/>
  <c r="K2956" i="5"/>
  <c r="L2956" i="5"/>
  <c r="M2956" i="5"/>
  <c r="H2957" i="5"/>
  <c r="I2957" i="5"/>
  <c r="J2957" i="5"/>
  <c r="K2957" i="5"/>
  <c r="L2957" i="5"/>
  <c r="M2957" i="5"/>
  <c r="H2958" i="5"/>
  <c r="I2958" i="5"/>
  <c r="J2958" i="5"/>
  <c r="K2958" i="5"/>
  <c r="L2958" i="5"/>
  <c r="M2958" i="5"/>
  <c r="H2959" i="5"/>
  <c r="I2959" i="5"/>
  <c r="J2959" i="5"/>
  <c r="K2959" i="5"/>
  <c r="L2959" i="5"/>
  <c r="M2959" i="5"/>
  <c r="H2960" i="5"/>
  <c r="I2960" i="5"/>
  <c r="J2960" i="5"/>
  <c r="K2960" i="5"/>
  <c r="L2960" i="5"/>
  <c r="M2960" i="5"/>
  <c r="H2961" i="5"/>
  <c r="I2961" i="5"/>
  <c r="J2961" i="5"/>
  <c r="K2961" i="5"/>
  <c r="L2961" i="5"/>
  <c r="M2961" i="5"/>
  <c r="H2962" i="5"/>
  <c r="I2962" i="5"/>
  <c r="J2962" i="5"/>
  <c r="K2962" i="5"/>
  <c r="L2962" i="5"/>
  <c r="M2962" i="5"/>
  <c r="H2963" i="5"/>
  <c r="I2963" i="5"/>
  <c r="J2963" i="5"/>
  <c r="K2963" i="5"/>
  <c r="L2963" i="5"/>
  <c r="M2963" i="5"/>
  <c r="H2964" i="5"/>
  <c r="I2964" i="5"/>
  <c r="J2964" i="5"/>
  <c r="K2964" i="5"/>
  <c r="L2964" i="5"/>
  <c r="M2964" i="5"/>
  <c r="H2965" i="5"/>
  <c r="I2965" i="5"/>
  <c r="J2965" i="5"/>
  <c r="K2965" i="5"/>
  <c r="L2965" i="5"/>
  <c r="M2965" i="5"/>
  <c r="H2966" i="5"/>
  <c r="I2966" i="5"/>
  <c r="J2966" i="5"/>
  <c r="K2966" i="5"/>
  <c r="L2966" i="5"/>
  <c r="M2966" i="5"/>
  <c r="H2967" i="5"/>
  <c r="I2967" i="5"/>
  <c r="J2967" i="5"/>
  <c r="K2967" i="5"/>
  <c r="L2967" i="5"/>
  <c r="M2967" i="5"/>
  <c r="H2968" i="5"/>
  <c r="I2968" i="5"/>
  <c r="J2968" i="5"/>
  <c r="K2968" i="5"/>
  <c r="L2968" i="5"/>
  <c r="M2968" i="5"/>
  <c r="H2969" i="5"/>
  <c r="I2969" i="5"/>
  <c r="J2969" i="5"/>
  <c r="K2969" i="5"/>
  <c r="L2969" i="5"/>
  <c r="M2969" i="5"/>
  <c r="H2970" i="5"/>
  <c r="I2970" i="5"/>
  <c r="J2970" i="5"/>
  <c r="K2970" i="5"/>
  <c r="L2970" i="5"/>
  <c r="M2970" i="5"/>
  <c r="H2971" i="5"/>
  <c r="I2971" i="5"/>
  <c r="J2971" i="5"/>
  <c r="K2971" i="5"/>
  <c r="L2971" i="5"/>
  <c r="M2971" i="5"/>
  <c r="H2972" i="5"/>
  <c r="I2972" i="5"/>
  <c r="J2972" i="5"/>
  <c r="K2972" i="5"/>
  <c r="L2972" i="5"/>
  <c r="M2972" i="5"/>
  <c r="H2973" i="5"/>
  <c r="I2973" i="5"/>
  <c r="J2973" i="5"/>
  <c r="K2973" i="5"/>
  <c r="L2973" i="5"/>
  <c r="M2973" i="5"/>
  <c r="H2974" i="5"/>
  <c r="I2974" i="5"/>
  <c r="J2974" i="5"/>
  <c r="K2974" i="5"/>
  <c r="L2974" i="5"/>
  <c r="M2974" i="5"/>
  <c r="H2975" i="5"/>
  <c r="I2975" i="5"/>
  <c r="J2975" i="5"/>
  <c r="K2975" i="5"/>
  <c r="L2975" i="5"/>
  <c r="M2975" i="5"/>
  <c r="H2976" i="5"/>
  <c r="I2976" i="5"/>
  <c r="J2976" i="5"/>
  <c r="K2976" i="5"/>
  <c r="L2976" i="5"/>
  <c r="M2976" i="5"/>
  <c r="H2977" i="5"/>
  <c r="I2977" i="5"/>
  <c r="J2977" i="5"/>
  <c r="K2977" i="5"/>
  <c r="L2977" i="5"/>
  <c r="M2977" i="5"/>
  <c r="H2978" i="5"/>
  <c r="I2978" i="5"/>
  <c r="J2978" i="5"/>
  <c r="K2978" i="5"/>
  <c r="L2978" i="5"/>
  <c r="M2978" i="5"/>
  <c r="H2979" i="5"/>
  <c r="I2979" i="5"/>
  <c r="J2979" i="5"/>
  <c r="K2979" i="5"/>
  <c r="L2979" i="5"/>
  <c r="M2979" i="5"/>
  <c r="H2980" i="5"/>
  <c r="I2980" i="5"/>
  <c r="J2980" i="5"/>
  <c r="K2980" i="5"/>
  <c r="L2980" i="5"/>
  <c r="M2980" i="5"/>
  <c r="H2981" i="5"/>
  <c r="I2981" i="5"/>
  <c r="J2981" i="5"/>
  <c r="K2981" i="5"/>
  <c r="L2981" i="5"/>
  <c r="M2981" i="5"/>
  <c r="H2982" i="5"/>
  <c r="I2982" i="5"/>
  <c r="J2982" i="5"/>
  <c r="K2982" i="5"/>
  <c r="L2982" i="5"/>
  <c r="M2982" i="5"/>
  <c r="H2983" i="5"/>
  <c r="I2983" i="5"/>
  <c r="J2983" i="5"/>
  <c r="K2983" i="5"/>
  <c r="L2983" i="5"/>
  <c r="M2983" i="5"/>
  <c r="H2984" i="5"/>
  <c r="I2984" i="5"/>
  <c r="J2984" i="5"/>
  <c r="K2984" i="5"/>
  <c r="L2984" i="5"/>
  <c r="M2984" i="5"/>
  <c r="H2985" i="5"/>
  <c r="I2985" i="5"/>
  <c r="J2985" i="5"/>
  <c r="K2985" i="5"/>
  <c r="L2985" i="5"/>
  <c r="M2985" i="5"/>
  <c r="H2986" i="5"/>
  <c r="I2986" i="5"/>
  <c r="J2986" i="5"/>
  <c r="K2986" i="5"/>
  <c r="L2986" i="5"/>
  <c r="M2986" i="5"/>
  <c r="H2987" i="5"/>
  <c r="I2987" i="5"/>
  <c r="J2987" i="5"/>
  <c r="K2987" i="5"/>
  <c r="L2987" i="5"/>
  <c r="M2987" i="5"/>
  <c r="H2988" i="5"/>
  <c r="I2988" i="5"/>
  <c r="J2988" i="5"/>
  <c r="K2988" i="5"/>
  <c r="L2988" i="5"/>
  <c r="M2988" i="5"/>
  <c r="H2989" i="5"/>
  <c r="I2989" i="5"/>
  <c r="J2989" i="5"/>
  <c r="K2989" i="5"/>
  <c r="L2989" i="5"/>
  <c r="M2989" i="5"/>
  <c r="H2990" i="5"/>
  <c r="I2990" i="5"/>
  <c r="J2990" i="5"/>
  <c r="K2990" i="5"/>
  <c r="L2990" i="5"/>
  <c r="M2990" i="5"/>
  <c r="H2991" i="5"/>
  <c r="I2991" i="5"/>
  <c r="J2991" i="5"/>
  <c r="K2991" i="5"/>
  <c r="L2991" i="5"/>
  <c r="M2991" i="5"/>
  <c r="H2992" i="5"/>
  <c r="I2992" i="5"/>
  <c r="J2992" i="5"/>
  <c r="K2992" i="5"/>
  <c r="L2992" i="5"/>
  <c r="M2992" i="5"/>
  <c r="H2993" i="5"/>
  <c r="I2993" i="5"/>
  <c r="J2993" i="5"/>
  <c r="K2993" i="5"/>
  <c r="L2993" i="5"/>
  <c r="M2993" i="5"/>
  <c r="H2994" i="5"/>
  <c r="I2994" i="5"/>
  <c r="J2994" i="5"/>
  <c r="K2994" i="5"/>
  <c r="L2994" i="5"/>
  <c r="M2994" i="5"/>
  <c r="H2995" i="5"/>
  <c r="I2995" i="5"/>
  <c r="J2995" i="5"/>
  <c r="K2995" i="5"/>
  <c r="L2995" i="5"/>
  <c r="M2995" i="5"/>
  <c r="H2996" i="5"/>
  <c r="I2996" i="5"/>
  <c r="J2996" i="5"/>
  <c r="K2996" i="5"/>
  <c r="L2996" i="5"/>
  <c r="M2996" i="5"/>
  <c r="H2997" i="5"/>
  <c r="I2997" i="5"/>
  <c r="J2997" i="5"/>
  <c r="K2997" i="5"/>
  <c r="L2997" i="5"/>
  <c r="M2997" i="5"/>
  <c r="H2998" i="5"/>
  <c r="I2998" i="5"/>
  <c r="J2998" i="5"/>
  <c r="K2998" i="5"/>
  <c r="L2998" i="5"/>
  <c r="M2998" i="5"/>
  <c r="H2999" i="5"/>
  <c r="I2999" i="5"/>
  <c r="J2999" i="5"/>
  <c r="K2999" i="5"/>
  <c r="L2999" i="5"/>
  <c r="M2999" i="5"/>
  <c r="H3000" i="5"/>
  <c r="I3000" i="5"/>
  <c r="J3000" i="5"/>
  <c r="K3000" i="5"/>
  <c r="L3000" i="5"/>
  <c r="M3000" i="5"/>
  <c r="H3001" i="5"/>
  <c r="I3001" i="5"/>
  <c r="J3001" i="5"/>
  <c r="K3001" i="5"/>
  <c r="L3001" i="5"/>
  <c r="M3001" i="5"/>
  <c r="H3002" i="5"/>
  <c r="I3002" i="5"/>
  <c r="J3002" i="5"/>
  <c r="K3002" i="5"/>
  <c r="L3002" i="5"/>
  <c r="M3002" i="5"/>
  <c r="H3003" i="5"/>
  <c r="I3003" i="5"/>
  <c r="J3003" i="5"/>
  <c r="K3003" i="5"/>
  <c r="L3003" i="5"/>
  <c r="M3003" i="5"/>
  <c r="H3004" i="5"/>
  <c r="I3004" i="5"/>
  <c r="J3004" i="5"/>
  <c r="K3004" i="5"/>
  <c r="L3004" i="5"/>
  <c r="M3004" i="5"/>
  <c r="H3005" i="5"/>
  <c r="I3005" i="5"/>
  <c r="J3005" i="5"/>
  <c r="K3005" i="5"/>
  <c r="L3005" i="5"/>
  <c r="M3005" i="5"/>
  <c r="H3006" i="5"/>
  <c r="I3006" i="5"/>
  <c r="J3006" i="5"/>
  <c r="K3006" i="5"/>
  <c r="L3006" i="5"/>
  <c r="M3006" i="5"/>
  <c r="H3007" i="5"/>
  <c r="I3007" i="5"/>
  <c r="J3007" i="5"/>
  <c r="K3007" i="5"/>
  <c r="L3007" i="5"/>
  <c r="M3007" i="5"/>
  <c r="H3008" i="5"/>
  <c r="I3008" i="5"/>
  <c r="J3008" i="5"/>
  <c r="K3008" i="5"/>
  <c r="L3008" i="5"/>
  <c r="M3008" i="5"/>
  <c r="H3009" i="5"/>
  <c r="I3009" i="5"/>
  <c r="J3009" i="5"/>
  <c r="K3009" i="5"/>
  <c r="L3009" i="5"/>
  <c r="M3009" i="5"/>
  <c r="H3010" i="5"/>
  <c r="I3010" i="5"/>
  <c r="J3010" i="5"/>
  <c r="K3010" i="5"/>
  <c r="L3010" i="5"/>
  <c r="M3010" i="5"/>
  <c r="H3011" i="5"/>
  <c r="I3011" i="5"/>
  <c r="J3011" i="5"/>
  <c r="K3011" i="5"/>
  <c r="L3011" i="5"/>
  <c r="M3011" i="5"/>
  <c r="H3012" i="5"/>
  <c r="I3012" i="5"/>
  <c r="J3012" i="5"/>
  <c r="K3012" i="5"/>
  <c r="L3012" i="5"/>
  <c r="M3012" i="5"/>
  <c r="H3013" i="5"/>
  <c r="I3013" i="5"/>
  <c r="J3013" i="5"/>
  <c r="K3013" i="5"/>
  <c r="L3013" i="5"/>
  <c r="M3013" i="5"/>
  <c r="H3014" i="5"/>
  <c r="I3014" i="5"/>
  <c r="J3014" i="5"/>
  <c r="K3014" i="5"/>
  <c r="L3014" i="5"/>
  <c r="M3014" i="5"/>
  <c r="H3015" i="5"/>
  <c r="I3015" i="5"/>
  <c r="J3015" i="5"/>
  <c r="K3015" i="5"/>
  <c r="L3015" i="5"/>
  <c r="M3015" i="5"/>
  <c r="H3016" i="5"/>
  <c r="I3016" i="5"/>
  <c r="J3016" i="5"/>
  <c r="K3016" i="5"/>
  <c r="L3016" i="5"/>
  <c r="M3016" i="5"/>
  <c r="H3017" i="5"/>
  <c r="I3017" i="5"/>
  <c r="J3017" i="5"/>
  <c r="K3017" i="5"/>
  <c r="L3017" i="5"/>
  <c r="M3017" i="5"/>
  <c r="H3018" i="5"/>
  <c r="I3018" i="5"/>
  <c r="J3018" i="5"/>
  <c r="K3018" i="5"/>
  <c r="L3018" i="5"/>
  <c r="M3018" i="5"/>
  <c r="H3019" i="5"/>
  <c r="I3019" i="5"/>
  <c r="J3019" i="5"/>
  <c r="K3019" i="5"/>
  <c r="L3019" i="5"/>
  <c r="M3019" i="5"/>
  <c r="H3020" i="5"/>
  <c r="I3020" i="5"/>
  <c r="J3020" i="5"/>
  <c r="K3020" i="5"/>
  <c r="L3020" i="5"/>
  <c r="M3020" i="5"/>
  <c r="H3021" i="5"/>
  <c r="I3021" i="5"/>
  <c r="J3021" i="5"/>
  <c r="K3021" i="5"/>
  <c r="L3021" i="5"/>
  <c r="M3021" i="5"/>
  <c r="H3022" i="5"/>
  <c r="I3022" i="5"/>
  <c r="J3022" i="5"/>
  <c r="K3022" i="5"/>
  <c r="L3022" i="5"/>
  <c r="M3022" i="5"/>
  <c r="H3023" i="5"/>
  <c r="I3023" i="5"/>
  <c r="J3023" i="5"/>
  <c r="K3023" i="5"/>
  <c r="L3023" i="5"/>
  <c r="M3023" i="5"/>
  <c r="H3024" i="5"/>
  <c r="I3024" i="5"/>
  <c r="J3024" i="5"/>
  <c r="K3024" i="5"/>
  <c r="L3024" i="5"/>
  <c r="M3024" i="5"/>
  <c r="H3025" i="5"/>
  <c r="I3025" i="5"/>
  <c r="J3025" i="5"/>
  <c r="K3025" i="5"/>
  <c r="L3025" i="5"/>
  <c r="M3025" i="5"/>
  <c r="H3026" i="5"/>
  <c r="I3026" i="5"/>
  <c r="J3026" i="5"/>
  <c r="K3026" i="5"/>
  <c r="L3026" i="5"/>
  <c r="M3026" i="5"/>
  <c r="H3027" i="5"/>
  <c r="I3027" i="5"/>
  <c r="J3027" i="5"/>
  <c r="K3027" i="5"/>
  <c r="L3027" i="5"/>
  <c r="M3027" i="5"/>
  <c r="H3028" i="5"/>
  <c r="I3028" i="5"/>
  <c r="J3028" i="5"/>
  <c r="K3028" i="5"/>
  <c r="L3028" i="5"/>
  <c r="M3028" i="5"/>
  <c r="H3029" i="5"/>
  <c r="I3029" i="5"/>
  <c r="J3029" i="5"/>
  <c r="K3029" i="5"/>
  <c r="L3029" i="5"/>
  <c r="M3029" i="5"/>
  <c r="H3030" i="5"/>
  <c r="I3030" i="5"/>
  <c r="J3030" i="5"/>
  <c r="K3030" i="5"/>
  <c r="L3030" i="5"/>
  <c r="M3030" i="5"/>
  <c r="H3031" i="5"/>
  <c r="I3031" i="5"/>
  <c r="J3031" i="5"/>
  <c r="K3031" i="5"/>
  <c r="L3031" i="5"/>
  <c r="M3031" i="5"/>
  <c r="H3032" i="5"/>
  <c r="I3032" i="5"/>
  <c r="J3032" i="5"/>
  <c r="K3032" i="5"/>
  <c r="L3032" i="5"/>
  <c r="M3032" i="5"/>
  <c r="H3033" i="5"/>
  <c r="I3033" i="5"/>
  <c r="J3033" i="5"/>
  <c r="K3033" i="5"/>
  <c r="L3033" i="5"/>
  <c r="M3033" i="5"/>
  <c r="H3034" i="5"/>
  <c r="I3034" i="5"/>
  <c r="J3034" i="5"/>
  <c r="K3034" i="5"/>
  <c r="L3034" i="5"/>
  <c r="M3034" i="5"/>
  <c r="H3035" i="5"/>
  <c r="I3035" i="5"/>
  <c r="J3035" i="5"/>
  <c r="K3035" i="5"/>
  <c r="L3035" i="5"/>
  <c r="M3035" i="5"/>
  <c r="H3036" i="5"/>
  <c r="I3036" i="5"/>
  <c r="J3036" i="5"/>
  <c r="K3036" i="5"/>
  <c r="L3036" i="5"/>
  <c r="M3036" i="5"/>
  <c r="H3037" i="5"/>
  <c r="I3037" i="5"/>
  <c r="J3037" i="5"/>
  <c r="K3037" i="5"/>
  <c r="L3037" i="5"/>
  <c r="M3037" i="5"/>
  <c r="H3038" i="5"/>
  <c r="I3038" i="5"/>
  <c r="J3038" i="5"/>
  <c r="K3038" i="5"/>
  <c r="L3038" i="5"/>
  <c r="M3038" i="5"/>
  <c r="H3039" i="5"/>
  <c r="I3039" i="5"/>
  <c r="J3039" i="5"/>
  <c r="K3039" i="5"/>
  <c r="L3039" i="5"/>
  <c r="M3039" i="5"/>
  <c r="H3040" i="5"/>
  <c r="I3040" i="5"/>
  <c r="J3040" i="5"/>
  <c r="K3040" i="5"/>
  <c r="L3040" i="5"/>
  <c r="M3040" i="5"/>
  <c r="H3041" i="5"/>
  <c r="I3041" i="5"/>
  <c r="J3041" i="5"/>
  <c r="K3041" i="5"/>
  <c r="L3041" i="5"/>
  <c r="M3041" i="5"/>
  <c r="H3042" i="5"/>
  <c r="I3042" i="5"/>
  <c r="J3042" i="5"/>
  <c r="K3042" i="5"/>
  <c r="L3042" i="5"/>
  <c r="M3042" i="5"/>
  <c r="H3043" i="5"/>
  <c r="I3043" i="5"/>
  <c r="J3043" i="5"/>
  <c r="K3043" i="5"/>
  <c r="L3043" i="5"/>
  <c r="M3043" i="5"/>
  <c r="H3044" i="5"/>
  <c r="I3044" i="5"/>
  <c r="J3044" i="5"/>
  <c r="K3044" i="5"/>
  <c r="L3044" i="5"/>
  <c r="M3044" i="5"/>
  <c r="H3045" i="5"/>
  <c r="I3045" i="5"/>
  <c r="J3045" i="5"/>
  <c r="K3045" i="5"/>
  <c r="L3045" i="5"/>
  <c r="M3045" i="5"/>
  <c r="H3046" i="5"/>
  <c r="I3046" i="5"/>
  <c r="J3046" i="5"/>
  <c r="K3046" i="5"/>
  <c r="L3046" i="5"/>
  <c r="M3046" i="5"/>
  <c r="H3047" i="5"/>
  <c r="I3047" i="5"/>
  <c r="J3047" i="5"/>
  <c r="K3047" i="5"/>
  <c r="L3047" i="5"/>
  <c r="M3047" i="5"/>
  <c r="H3048" i="5"/>
  <c r="I3048" i="5"/>
  <c r="J3048" i="5"/>
  <c r="K3048" i="5"/>
  <c r="L3048" i="5"/>
  <c r="M3048" i="5"/>
  <c r="H3049" i="5"/>
  <c r="I3049" i="5"/>
  <c r="J3049" i="5"/>
  <c r="K3049" i="5"/>
  <c r="L3049" i="5"/>
  <c r="M3049" i="5"/>
  <c r="H3050" i="5"/>
  <c r="I3050" i="5"/>
  <c r="J3050" i="5"/>
  <c r="K3050" i="5"/>
  <c r="L3050" i="5"/>
  <c r="M3050" i="5"/>
  <c r="H3051" i="5"/>
  <c r="I3051" i="5"/>
  <c r="J3051" i="5"/>
  <c r="K3051" i="5"/>
  <c r="L3051" i="5"/>
  <c r="M3051" i="5"/>
  <c r="H3052" i="5"/>
  <c r="I3052" i="5"/>
  <c r="J3052" i="5"/>
  <c r="K3052" i="5"/>
  <c r="L3052" i="5"/>
  <c r="M3052" i="5"/>
  <c r="H3053" i="5"/>
  <c r="I3053" i="5"/>
  <c r="J3053" i="5"/>
  <c r="K3053" i="5"/>
  <c r="L3053" i="5"/>
  <c r="M3053" i="5"/>
  <c r="H3054" i="5"/>
  <c r="I3054" i="5"/>
  <c r="J3054" i="5"/>
  <c r="K3054" i="5"/>
  <c r="L3054" i="5"/>
  <c r="M3054" i="5"/>
  <c r="H3055" i="5"/>
  <c r="I3055" i="5"/>
  <c r="J3055" i="5"/>
  <c r="K3055" i="5"/>
  <c r="L3055" i="5"/>
  <c r="M3055" i="5"/>
  <c r="H3056" i="5"/>
  <c r="I3056" i="5"/>
  <c r="J3056" i="5"/>
  <c r="K3056" i="5"/>
  <c r="L3056" i="5"/>
  <c r="M3056" i="5"/>
  <c r="H3057" i="5"/>
  <c r="I3057" i="5"/>
  <c r="J3057" i="5"/>
  <c r="K3057" i="5"/>
  <c r="L3057" i="5"/>
  <c r="M3057" i="5"/>
  <c r="H3058" i="5"/>
  <c r="I3058" i="5"/>
  <c r="J3058" i="5"/>
  <c r="K3058" i="5"/>
  <c r="L3058" i="5"/>
  <c r="M3058" i="5"/>
  <c r="H3059" i="5"/>
  <c r="I3059" i="5"/>
  <c r="J3059" i="5"/>
  <c r="K3059" i="5"/>
  <c r="L3059" i="5"/>
  <c r="M3059" i="5"/>
  <c r="H3060" i="5"/>
  <c r="I3060" i="5"/>
  <c r="J3060" i="5"/>
  <c r="K3060" i="5"/>
  <c r="L3060" i="5"/>
  <c r="M3060" i="5"/>
  <c r="H3061" i="5"/>
  <c r="I3061" i="5"/>
  <c r="J3061" i="5"/>
  <c r="K3061" i="5"/>
  <c r="L3061" i="5"/>
  <c r="M3061" i="5"/>
  <c r="H3062" i="5"/>
  <c r="I3062" i="5"/>
  <c r="J3062" i="5"/>
  <c r="K3062" i="5"/>
  <c r="L3062" i="5"/>
  <c r="M3062" i="5"/>
  <c r="H3063" i="5"/>
  <c r="I3063" i="5"/>
  <c r="J3063" i="5"/>
  <c r="K3063" i="5"/>
  <c r="L3063" i="5"/>
  <c r="M3063" i="5"/>
  <c r="H3064" i="5"/>
  <c r="I3064" i="5"/>
  <c r="J3064" i="5"/>
  <c r="K3064" i="5"/>
  <c r="L3064" i="5"/>
  <c r="M3064" i="5"/>
  <c r="H3065" i="5"/>
  <c r="I3065" i="5"/>
  <c r="J3065" i="5"/>
  <c r="K3065" i="5"/>
  <c r="L3065" i="5"/>
  <c r="M3065" i="5"/>
  <c r="H3066" i="5"/>
  <c r="I3066" i="5"/>
  <c r="J3066" i="5"/>
  <c r="K3066" i="5"/>
  <c r="L3066" i="5"/>
  <c r="M3066" i="5"/>
  <c r="H3067" i="5"/>
  <c r="I3067" i="5"/>
  <c r="J3067" i="5"/>
  <c r="K3067" i="5"/>
  <c r="L3067" i="5"/>
  <c r="M3067" i="5"/>
  <c r="H3068" i="5"/>
  <c r="I3068" i="5"/>
  <c r="J3068" i="5"/>
  <c r="K3068" i="5"/>
  <c r="L3068" i="5"/>
  <c r="M3068" i="5"/>
  <c r="H3069" i="5"/>
  <c r="I3069" i="5"/>
  <c r="J3069" i="5"/>
  <c r="K3069" i="5"/>
  <c r="L3069" i="5"/>
  <c r="M3069" i="5"/>
  <c r="H3070" i="5"/>
  <c r="I3070" i="5"/>
  <c r="J3070" i="5"/>
  <c r="K3070" i="5"/>
  <c r="L3070" i="5"/>
  <c r="M3070" i="5"/>
  <c r="H3071" i="5"/>
  <c r="I3071" i="5"/>
  <c r="J3071" i="5"/>
  <c r="K3071" i="5"/>
  <c r="L3071" i="5"/>
  <c r="M3071" i="5"/>
  <c r="H3072" i="5"/>
  <c r="I3072" i="5"/>
  <c r="J3072" i="5"/>
  <c r="K3072" i="5"/>
  <c r="L3072" i="5"/>
  <c r="M3072" i="5"/>
  <c r="H3073" i="5"/>
  <c r="I3073" i="5"/>
  <c r="J3073" i="5"/>
  <c r="K3073" i="5"/>
  <c r="L3073" i="5"/>
  <c r="M3073" i="5"/>
  <c r="H3074" i="5"/>
  <c r="I3074" i="5"/>
  <c r="J3074" i="5"/>
  <c r="K3074" i="5"/>
  <c r="L3074" i="5"/>
  <c r="M3074" i="5"/>
  <c r="H3075" i="5"/>
  <c r="I3075" i="5"/>
  <c r="J3075" i="5"/>
  <c r="K3075" i="5"/>
  <c r="L3075" i="5"/>
  <c r="M3075" i="5"/>
  <c r="H3076" i="5"/>
  <c r="I3076" i="5"/>
  <c r="J3076" i="5"/>
  <c r="K3076" i="5"/>
  <c r="L3076" i="5"/>
  <c r="M3076" i="5"/>
  <c r="H3077" i="5"/>
  <c r="I3077" i="5"/>
  <c r="J3077" i="5"/>
  <c r="K3077" i="5"/>
  <c r="L3077" i="5"/>
  <c r="M3077" i="5"/>
  <c r="H3078" i="5"/>
  <c r="I3078" i="5"/>
  <c r="J3078" i="5"/>
  <c r="K3078" i="5"/>
  <c r="L3078" i="5"/>
  <c r="M3078" i="5"/>
  <c r="H3079" i="5"/>
  <c r="I3079" i="5"/>
  <c r="J3079" i="5"/>
  <c r="K3079" i="5"/>
  <c r="L3079" i="5"/>
  <c r="M3079" i="5"/>
  <c r="H3080" i="5"/>
  <c r="I3080" i="5"/>
  <c r="J3080" i="5"/>
  <c r="K3080" i="5"/>
  <c r="L3080" i="5"/>
  <c r="M3080" i="5"/>
  <c r="H3081" i="5"/>
  <c r="I3081" i="5"/>
  <c r="J3081" i="5"/>
  <c r="K3081" i="5"/>
  <c r="L3081" i="5"/>
  <c r="M3081" i="5"/>
  <c r="H3082" i="5"/>
  <c r="I3082" i="5"/>
  <c r="J3082" i="5"/>
  <c r="K3082" i="5"/>
  <c r="L3082" i="5"/>
  <c r="M3082" i="5"/>
  <c r="H3083" i="5"/>
  <c r="I3083" i="5"/>
  <c r="J3083" i="5"/>
  <c r="K3083" i="5"/>
  <c r="L3083" i="5"/>
  <c r="M3083" i="5"/>
  <c r="H3084" i="5"/>
  <c r="I3084" i="5"/>
  <c r="J3084" i="5"/>
  <c r="K3084" i="5"/>
  <c r="L3084" i="5"/>
  <c r="M3084" i="5"/>
  <c r="H3085" i="5"/>
  <c r="I3085" i="5"/>
  <c r="J3085" i="5"/>
  <c r="K3085" i="5"/>
  <c r="L3085" i="5"/>
  <c r="M3085" i="5"/>
  <c r="H3086" i="5"/>
  <c r="I3086" i="5"/>
  <c r="J3086" i="5"/>
  <c r="K3086" i="5"/>
  <c r="L3086" i="5"/>
  <c r="M3086" i="5"/>
  <c r="H3087" i="5"/>
  <c r="I3087" i="5"/>
  <c r="J3087" i="5"/>
  <c r="K3087" i="5"/>
  <c r="L3087" i="5"/>
  <c r="M3087" i="5"/>
  <c r="H3088" i="5"/>
  <c r="I3088" i="5"/>
  <c r="J3088" i="5"/>
  <c r="K3088" i="5"/>
  <c r="L3088" i="5"/>
  <c r="M3088" i="5"/>
  <c r="H3089" i="5"/>
  <c r="I3089" i="5"/>
  <c r="J3089" i="5"/>
  <c r="K3089" i="5"/>
  <c r="L3089" i="5"/>
  <c r="M3089" i="5"/>
  <c r="H3090" i="5"/>
  <c r="I3090" i="5"/>
  <c r="J3090" i="5"/>
  <c r="K3090" i="5"/>
  <c r="L3090" i="5"/>
  <c r="M3090" i="5"/>
  <c r="H3091" i="5"/>
  <c r="I3091" i="5"/>
  <c r="J3091" i="5"/>
  <c r="K3091" i="5"/>
  <c r="L3091" i="5"/>
  <c r="M3091" i="5"/>
  <c r="H3092" i="5"/>
  <c r="I3092" i="5"/>
  <c r="J3092" i="5"/>
  <c r="K3092" i="5"/>
  <c r="L3092" i="5"/>
  <c r="M3092" i="5"/>
  <c r="H3093" i="5"/>
  <c r="I3093" i="5"/>
  <c r="J3093" i="5"/>
  <c r="K3093" i="5"/>
  <c r="L3093" i="5"/>
  <c r="M3093" i="5"/>
  <c r="H3094" i="5"/>
  <c r="I3094" i="5"/>
  <c r="J3094" i="5"/>
  <c r="K3094" i="5"/>
  <c r="L3094" i="5"/>
  <c r="M3094" i="5"/>
  <c r="H3095" i="5"/>
  <c r="I3095" i="5"/>
  <c r="J3095" i="5"/>
  <c r="K3095" i="5"/>
  <c r="L3095" i="5"/>
  <c r="M3095" i="5"/>
  <c r="H3096" i="5"/>
  <c r="I3096" i="5"/>
  <c r="J3096" i="5"/>
  <c r="K3096" i="5"/>
  <c r="L3096" i="5"/>
  <c r="M3096" i="5"/>
  <c r="H3097" i="5"/>
  <c r="I3097" i="5"/>
  <c r="J3097" i="5"/>
  <c r="K3097" i="5"/>
  <c r="L3097" i="5"/>
  <c r="M3097" i="5"/>
  <c r="H3098" i="5"/>
  <c r="I3098" i="5"/>
  <c r="J3098" i="5"/>
  <c r="K3098" i="5"/>
  <c r="L3098" i="5"/>
  <c r="M3098" i="5"/>
  <c r="H3099" i="5"/>
  <c r="I3099" i="5"/>
  <c r="J3099" i="5"/>
  <c r="K3099" i="5"/>
  <c r="L3099" i="5"/>
  <c r="M3099" i="5"/>
  <c r="H3100" i="5"/>
  <c r="I3100" i="5"/>
  <c r="J3100" i="5"/>
  <c r="K3100" i="5"/>
  <c r="L3100" i="5"/>
  <c r="M3100" i="5"/>
  <c r="H3101" i="5"/>
  <c r="I3101" i="5"/>
  <c r="J3101" i="5"/>
  <c r="K3101" i="5"/>
  <c r="L3101" i="5"/>
  <c r="M3101" i="5"/>
  <c r="H3102" i="5"/>
  <c r="I3102" i="5"/>
  <c r="J3102" i="5"/>
  <c r="K3102" i="5"/>
  <c r="L3102" i="5"/>
  <c r="M3102" i="5"/>
  <c r="H3103" i="5"/>
  <c r="I3103" i="5"/>
  <c r="J3103" i="5"/>
  <c r="K3103" i="5"/>
  <c r="L3103" i="5"/>
  <c r="M3103" i="5"/>
  <c r="H3104" i="5"/>
  <c r="I3104" i="5"/>
  <c r="J3104" i="5"/>
  <c r="K3104" i="5"/>
  <c r="L3104" i="5"/>
  <c r="M3104" i="5"/>
  <c r="H3105" i="5"/>
  <c r="I3105" i="5"/>
  <c r="J3105" i="5"/>
  <c r="K3105" i="5"/>
  <c r="L3105" i="5"/>
  <c r="M3105" i="5"/>
  <c r="H3106" i="5"/>
  <c r="I3106" i="5"/>
  <c r="J3106" i="5"/>
  <c r="K3106" i="5"/>
  <c r="L3106" i="5"/>
  <c r="M3106" i="5"/>
  <c r="H3107" i="5"/>
  <c r="I3107" i="5"/>
  <c r="J3107" i="5"/>
  <c r="K3107" i="5"/>
  <c r="L3107" i="5"/>
  <c r="M3107" i="5"/>
  <c r="H3108" i="5"/>
  <c r="I3108" i="5"/>
  <c r="J3108" i="5"/>
  <c r="K3108" i="5"/>
  <c r="L3108" i="5"/>
  <c r="M3108" i="5"/>
  <c r="H3109" i="5"/>
  <c r="I3109" i="5"/>
  <c r="J3109" i="5"/>
  <c r="K3109" i="5"/>
  <c r="L3109" i="5"/>
  <c r="M3109" i="5"/>
  <c r="H3110" i="5"/>
  <c r="I3110" i="5"/>
  <c r="J3110" i="5"/>
  <c r="K3110" i="5"/>
  <c r="L3110" i="5"/>
  <c r="M3110" i="5"/>
  <c r="H3111" i="5"/>
  <c r="I3111" i="5"/>
  <c r="J3111" i="5"/>
  <c r="K3111" i="5"/>
  <c r="L3111" i="5"/>
  <c r="M3111" i="5"/>
  <c r="H3112" i="5"/>
  <c r="I3112" i="5"/>
  <c r="J3112" i="5"/>
  <c r="K3112" i="5"/>
  <c r="L3112" i="5"/>
  <c r="M3112" i="5"/>
  <c r="H3113" i="5"/>
  <c r="I3113" i="5"/>
  <c r="J3113" i="5"/>
  <c r="K3113" i="5"/>
  <c r="L3113" i="5"/>
  <c r="M3113" i="5"/>
  <c r="H3114" i="5"/>
  <c r="I3114" i="5"/>
  <c r="J3114" i="5"/>
  <c r="K3114" i="5"/>
  <c r="L3114" i="5"/>
  <c r="M3114" i="5"/>
  <c r="H3115" i="5"/>
  <c r="I3115" i="5"/>
  <c r="J3115" i="5"/>
  <c r="K3115" i="5"/>
  <c r="L3115" i="5"/>
  <c r="M3115" i="5"/>
  <c r="H3116" i="5"/>
  <c r="I3116" i="5"/>
  <c r="J3116" i="5"/>
  <c r="K3116" i="5"/>
  <c r="L3116" i="5"/>
  <c r="M3116" i="5"/>
  <c r="H3117" i="5"/>
  <c r="I3117" i="5"/>
  <c r="J3117" i="5"/>
  <c r="K3117" i="5"/>
  <c r="L3117" i="5"/>
  <c r="M3117" i="5"/>
  <c r="H3118" i="5"/>
  <c r="I3118" i="5"/>
  <c r="J3118" i="5"/>
  <c r="K3118" i="5"/>
  <c r="L3118" i="5"/>
  <c r="M3118" i="5"/>
  <c r="H3119" i="5"/>
  <c r="I3119" i="5"/>
  <c r="J3119" i="5"/>
  <c r="K3119" i="5"/>
  <c r="L3119" i="5"/>
  <c r="M3119" i="5"/>
  <c r="H3120" i="5"/>
  <c r="I3120" i="5"/>
  <c r="J3120" i="5"/>
  <c r="K3120" i="5"/>
  <c r="L3120" i="5"/>
  <c r="M3120" i="5"/>
  <c r="H3121" i="5"/>
  <c r="I3121" i="5"/>
  <c r="J3121" i="5"/>
  <c r="K3121" i="5"/>
  <c r="L3121" i="5"/>
  <c r="M3121" i="5"/>
  <c r="H3122" i="5"/>
  <c r="I3122" i="5"/>
  <c r="J3122" i="5"/>
  <c r="K3122" i="5"/>
  <c r="L3122" i="5"/>
  <c r="M3122" i="5"/>
  <c r="H3123" i="5"/>
  <c r="I3123" i="5"/>
  <c r="J3123" i="5"/>
  <c r="K3123" i="5"/>
  <c r="L3123" i="5"/>
  <c r="M3123" i="5"/>
  <c r="H3124" i="5"/>
  <c r="I3124" i="5"/>
  <c r="J3124" i="5"/>
  <c r="K3124" i="5"/>
  <c r="L3124" i="5"/>
  <c r="M3124" i="5"/>
  <c r="H3125" i="5"/>
  <c r="I3125" i="5"/>
  <c r="J3125" i="5"/>
  <c r="K3125" i="5"/>
  <c r="L3125" i="5"/>
  <c r="M3125" i="5"/>
  <c r="H3126" i="5"/>
  <c r="I3126" i="5"/>
  <c r="J3126" i="5"/>
  <c r="K3126" i="5"/>
  <c r="L3126" i="5"/>
  <c r="M3126" i="5"/>
  <c r="H3127" i="5"/>
  <c r="I3127" i="5"/>
  <c r="J3127" i="5"/>
  <c r="K3127" i="5"/>
  <c r="L3127" i="5"/>
  <c r="M3127" i="5"/>
  <c r="H3128" i="5"/>
  <c r="I3128" i="5"/>
  <c r="J3128" i="5"/>
  <c r="K3128" i="5"/>
  <c r="L3128" i="5"/>
  <c r="M3128" i="5"/>
  <c r="H3129" i="5"/>
  <c r="I3129" i="5"/>
  <c r="J3129" i="5"/>
  <c r="K3129" i="5"/>
  <c r="L3129" i="5"/>
  <c r="M3129" i="5"/>
  <c r="H3130" i="5"/>
  <c r="I3130" i="5"/>
  <c r="J3130" i="5"/>
  <c r="K3130" i="5"/>
  <c r="L3130" i="5"/>
  <c r="M3130" i="5"/>
  <c r="H3131" i="5"/>
  <c r="I3131" i="5"/>
  <c r="J3131" i="5"/>
  <c r="K3131" i="5"/>
  <c r="L3131" i="5"/>
  <c r="M3131" i="5"/>
  <c r="H3132" i="5"/>
  <c r="I3132" i="5"/>
  <c r="J3132" i="5"/>
  <c r="K3132" i="5"/>
  <c r="L3132" i="5"/>
  <c r="M3132" i="5"/>
  <c r="H3133" i="5"/>
  <c r="I3133" i="5"/>
  <c r="J3133" i="5"/>
  <c r="K3133" i="5"/>
  <c r="L3133" i="5"/>
  <c r="M3133" i="5"/>
  <c r="H3134" i="5"/>
  <c r="I3134" i="5"/>
  <c r="J3134" i="5"/>
  <c r="K3134" i="5"/>
  <c r="L3134" i="5"/>
  <c r="M3134" i="5"/>
  <c r="H3135" i="5"/>
  <c r="I3135" i="5"/>
  <c r="J3135" i="5"/>
  <c r="K3135" i="5"/>
  <c r="L3135" i="5"/>
  <c r="M3135" i="5"/>
  <c r="H3136" i="5"/>
  <c r="I3136" i="5"/>
  <c r="J3136" i="5"/>
  <c r="K3136" i="5"/>
  <c r="L3136" i="5"/>
  <c r="M3136" i="5"/>
  <c r="H3137" i="5"/>
  <c r="I3137" i="5"/>
  <c r="J3137" i="5"/>
  <c r="K3137" i="5"/>
  <c r="L3137" i="5"/>
  <c r="M3137" i="5"/>
  <c r="H3138" i="5"/>
  <c r="I3138" i="5"/>
  <c r="J3138" i="5"/>
  <c r="K3138" i="5"/>
  <c r="L3138" i="5"/>
  <c r="M3138" i="5"/>
  <c r="H3139" i="5"/>
  <c r="I3139" i="5"/>
  <c r="J3139" i="5"/>
  <c r="K3139" i="5"/>
  <c r="L3139" i="5"/>
  <c r="M3139" i="5"/>
  <c r="H3140" i="5"/>
  <c r="I3140" i="5"/>
  <c r="J3140" i="5"/>
  <c r="K3140" i="5"/>
  <c r="L3140" i="5"/>
  <c r="M3140" i="5"/>
  <c r="H3141" i="5"/>
  <c r="I3141" i="5"/>
  <c r="J3141" i="5"/>
  <c r="K3141" i="5"/>
  <c r="L3141" i="5"/>
  <c r="M3141" i="5"/>
  <c r="H3142" i="5"/>
  <c r="I3142" i="5"/>
  <c r="J3142" i="5"/>
  <c r="K3142" i="5"/>
  <c r="L3142" i="5"/>
  <c r="M3142" i="5"/>
  <c r="H3143" i="5"/>
  <c r="I3143" i="5"/>
  <c r="J3143" i="5"/>
  <c r="K3143" i="5"/>
  <c r="L3143" i="5"/>
  <c r="M3143" i="5"/>
  <c r="H3144" i="5"/>
  <c r="I3144" i="5"/>
  <c r="J3144" i="5"/>
  <c r="K3144" i="5"/>
  <c r="L3144" i="5"/>
  <c r="M3144" i="5"/>
  <c r="H3145" i="5"/>
  <c r="I3145" i="5"/>
  <c r="J3145" i="5"/>
  <c r="K3145" i="5"/>
  <c r="L3145" i="5"/>
  <c r="M3145" i="5"/>
  <c r="H3146" i="5"/>
  <c r="I3146" i="5"/>
  <c r="J3146" i="5"/>
  <c r="K3146" i="5"/>
  <c r="L3146" i="5"/>
  <c r="M3146" i="5"/>
  <c r="H3147" i="5"/>
  <c r="I3147" i="5"/>
  <c r="J3147" i="5"/>
  <c r="K3147" i="5"/>
  <c r="L3147" i="5"/>
  <c r="M3147" i="5"/>
  <c r="H3148" i="5"/>
  <c r="I3148" i="5"/>
  <c r="J3148" i="5"/>
  <c r="K3148" i="5"/>
  <c r="L3148" i="5"/>
  <c r="M3148" i="5"/>
  <c r="H3149" i="5"/>
  <c r="I3149" i="5"/>
  <c r="J3149" i="5"/>
  <c r="K3149" i="5"/>
  <c r="L3149" i="5"/>
  <c r="M3149" i="5"/>
  <c r="H3150" i="5"/>
  <c r="I3150" i="5"/>
  <c r="J3150" i="5"/>
  <c r="K3150" i="5"/>
  <c r="L3150" i="5"/>
  <c r="M3150" i="5"/>
  <c r="H3151" i="5"/>
  <c r="I3151" i="5"/>
  <c r="J3151" i="5"/>
  <c r="K3151" i="5"/>
  <c r="L3151" i="5"/>
  <c r="M3151" i="5"/>
  <c r="H3152" i="5"/>
  <c r="I3152" i="5"/>
  <c r="J3152" i="5"/>
  <c r="K3152" i="5"/>
  <c r="L3152" i="5"/>
  <c r="M3152" i="5"/>
  <c r="H3153" i="5"/>
  <c r="I3153" i="5"/>
  <c r="J3153" i="5"/>
  <c r="K3153" i="5"/>
  <c r="L3153" i="5"/>
  <c r="M3153" i="5"/>
  <c r="H3154" i="5"/>
  <c r="I3154" i="5"/>
  <c r="J3154" i="5"/>
  <c r="K3154" i="5"/>
  <c r="L3154" i="5"/>
  <c r="M3154" i="5"/>
  <c r="H3155" i="5"/>
  <c r="I3155" i="5"/>
  <c r="J3155" i="5"/>
  <c r="K3155" i="5"/>
  <c r="L3155" i="5"/>
  <c r="M3155" i="5"/>
  <c r="H3156" i="5"/>
  <c r="I3156" i="5"/>
  <c r="J3156" i="5"/>
  <c r="K3156" i="5"/>
  <c r="L3156" i="5"/>
  <c r="M3156" i="5"/>
  <c r="H3157" i="5"/>
  <c r="I3157" i="5"/>
  <c r="J3157" i="5"/>
  <c r="K3157" i="5"/>
  <c r="L3157" i="5"/>
  <c r="M3157" i="5"/>
  <c r="H3158" i="5"/>
  <c r="I3158" i="5"/>
  <c r="J3158" i="5"/>
  <c r="K3158" i="5"/>
  <c r="L3158" i="5"/>
  <c r="M3158" i="5"/>
  <c r="H3159" i="5"/>
  <c r="I3159" i="5"/>
  <c r="J3159" i="5"/>
  <c r="K3159" i="5"/>
  <c r="L3159" i="5"/>
  <c r="M3159" i="5"/>
  <c r="H3160" i="5"/>
  <c r="I3160" i="5"/>
  <c r="J3160" i="5"/>
  <c r="K3160" i="5"/>
  <c r="L3160" i="5"/>
  <c r="M3160" i="5"/>
  <c r="H3161" i="5"/>
  <c r="I3161" i="5"/>
  <c r="J3161" i="5"/>
  <c r="K3161" i="5"/>
  <c r="L3161" i="5"/>
  <c r="M3161" i="5"/>
  <c r="H3162" i="5"/>
  <c r="I3162" i="5"/>
  <c r="J3162" i="5"/>
  <c r="K3162" i="5"/>
  <c r="L3162" i="5"/>
  <c r="M3162" i="5"/>
  <c r="H3163" i="5"/>
  <c r="I3163" i="5"/>
  <c r="J3163" i="5"/>
  <c r="K3163" i="5"/>
  <c r="L3163" i="5"/>
  <c r="M3163" i="5"/>
  <c r="H3164" i="5"/>
  <c r="I3164" i="5"/>
  <c r="J3164" i="5"/>
  <c r="K3164" i="5"/>
  <c r="L3164" i="5"/>
  <c r="M3164" i="5"/>
  <c r="H3165" i="5"/>
  <c r="I3165" i="5"/>
  <c r="J3165" i="5"/>
  <c r="K3165" i="5"/>
  <c r="L3165" i="5"/>
  <c r="M3165" i="5"/>
  <c r="H3166" i="5"/>
  <c r="I3166" i="5"/>
  <c r="J3166" i="5"/>
  <c r="K3166" i="5"/>
  <c r="L3166" i="5"/>
  <c r="M3166" i="5"/>
  <c r="H3167" i="5"/>
  <c r="I3167" i="5"/>
  <c r="J3167" i="5"/>
  <c r="K3167" i="5"/>
  <c r="L3167" i="5"/>
  <c r="M3167" i="5"/>
  <c r="H3168" i="5"/>
  <c r="I3168" i="5"/>
  <c r="J3168" i="5"/>
  <c r="K3168" i="5"/>
  <c r="L3168" i="5"/>
  <c r="M3168" i="5"/>
  <c r="H3169" i="5"/>
  <c r="I3169" i="5"/>
  <c r="J3169" i="5"/>
  <c r="K3169" i="5"/>
  <c r="L3169" i="5"/>
  <c r="M3169" i="5"/>
  <c r="H3170" i="5"/>
  <c r="I3170" i="5"/>
  <c r="J3170" i="5"/>
  <c r="K3170" i="5"/>
  <c r="L3170" i="5"/>
  <c r="M3170" i="5"/>
  <c r="H3171" i="5"/>
  <c r="I3171" i="5"/>
  <c r="J3171" i="5"/>
  <c r="K3171" i="5"/>
  <c r="L3171" i="5"/>
  <c r="M3171" i="5"/>
  <c r="H3172" i="5"/>
  <c r="I3172" i="5"/>
  <c r="J3172" i="5"/>
  <c r="K3172" i="5"/>
  <c r="L3172" i="5"/>
  <c r="M3172" i="5"/>
  <c r="H3173" i="5"/>
  <c r="I3173" i="5"/>
  <c r="J3173" i="5"/>
  <c r="K3173" i="5"/>
  <c r="L3173" i="5"/>
  <c r="M3173" i="5"/>
  <c r="H3174" i="5"/>
  <c r="I3174" i="5"/>
  <c r="J3174" i="5"/>
  <c r="K3174" i="5"/>
  <c r="L3174" i="5"/>
  <c r="M3174" i="5"/>
  <c r="H3175" i="5"/>
  <c r="I3175" i="5"/>
  <c r="J3175" i="5"/>
  <c r="K3175" i="5"/>
  <c r="L3175" i="5"/>
  <c r="M3175" i="5"/>
  <c r="H3176" i="5"/>
  <c r="I3176" i="5"/>
  <c r="J3176" i="5"/>
  <c r="K3176" i="5"/>
  <c r="L3176" i="5"/>
  <c r="M3176" i="5"/>
  <c r="H3177" i="5"/>
  <c r="I3177" i="5"/>
  <c r="J3177" i="5"/>
  <c r="K3177" i="5"/>
  <c r="L3177" i="5"/>
  <c r="M3177" i="5"/>
  <c r="H3178" i="5"/>
  <c r="I3178" i="5"/>
  <c r="J3178" i="5"/>
  <c r="K3178" i="5"/>
  <c r="L3178" i="5"/>
  <c r="M3178" i="5"/>
  <c r="H3179" i="5"/>
  <c r="I3179" i="5"/>
  <c r="J3179" i="5"/>
  <c r="K3179" i="5"/>
  <c r="L3179" i="5"/>
  <c r="M3179" i="5"/>
  <c r="H3180" i="5"/>
  <c r="I3180" i="5"/>
  <c r="J3180" i="5"/>
  <c r="K3180" i="5"/>
  <c r="L3180" i="5"/>
  <c r="M3180" i="5"/>
  <c r="H3181" i="5"/>
  <c r="I3181" i="5"/>
  <c r="J3181" i="5"/>
  <c r="K3181" i="5"/>
  <c r="L3181" i="5"/>
  <c r="M3181" i="5"/>
  <c r="H3182" i="5"/>
  <c r="I3182" i="5"/>
  <c r="J3182" i="5"/>
  <c r="K3182" i="5"/>
  <c r="L3182" i="5"/>
  <c r="M3182" i="5"/>
  <c r="H3183" i="5"/>
  <c r="I3183" i="5"/>
  <c r="J3183" i="5"/>
  <c r="K3183" i="5"/>
  <c r="L3183" i="5"/>
  <c r="M3183" i="5"/>
  <c r="H3184" i="5"/>
  <c r="I3184" i="5"/>
  <c r="J3184" i="5"/>
  <c r="K3184" i="5"/>
  <c r="L3184" i="5"/>
  <c r="M3184" i="5"/>
  <c r="H3185" i="5"/>
  <c r="I3185" i="5"/>
  <c r="J3185" i="5"/>
  <c r="K3185" i="5"/>
  <c r="L3185" i="5"/>
  <c r="M3185" i="5"/>
  <c r="H3186" i="5"/>
  <c r="I3186" i="5"/>
  <c r="J3186" i="5"/>
  <c r="K3186" i="5"/>
  <c r="L3186" i="5"/>
  <c r="M3186" i="5"/>
  <c r="H3187" i="5"/>
  <c r="I3187" i="5"/>
  <c r="J3187" i="5"/>
  <c r="K3187" i="5"/>
  <c r="L3187" i="5"/>
  <c r="M3187" i="5"/>
  <c r="H3188" i="5"/>
  <c r="I3188" i="5"/>
  <c r="J3188" i="5"/>
  <c r="K3188" i="5"/>
  <c r="L3188" i="5"/>
  <c r="M3188" i="5"/>
  <c r="H3189" i="5"/>
  <c r="I3189" i="5"/>
  <c r="J3189" i="5"/>
  <c r="K3189" i="5"/>
  <c r="L3189" i="5"/>
  <c r="M3189" i="5"/>
  <c r="H3190" i="5"/>
  <c r="I3190" i="5"/>
  <c r="J3190" i="5"/>
  <c r="K3190" i="5"/>
  <c r="L3190" i="5"/>
  <c r="M3190" i="5"/>
  <c r="H3191" i="5"/>
  <c r="I3191" i="5"/>
  <c r="J3191" i="5"/>
  <c r="K3191" i="5"/>
  <c r="L3191" i="5"/>
  <c r="M3191" i="5"/>
  <c r="H3192" i="5"/>
  <c r="I3192" i="5"/>
  <c r="J3192" i="5"/>
  <c r="K3192" i="5"/>
  <c r="L3192" i="5"/>
  <c r="M3192" i="5"/>
  <c r="H3193" i="5"/>
  <c r="I3193" i="5"/>
  <c r="J3193" i="5"/>
  <c r="K3193" i="5"/>
  <c r="L3193" i="5"/>
  <c r="M3193" i="5"/>
  <c r="H3194" i="5"/>
  <c r="I3194" i="5"/>
  <c r="J3194" i="5"/>
  <c r="K3194" i="5"/>
  <c r="L3194" i="5"/>
  <c r="M3194" i="5"/>
  <c r="H3195" i="5"/>
  <c r="I3195" i="5"/>
  <c r="J3195" i="5"/>
  <c r="K3195" i="5"/>
  <c r="L3195" i="5"/>
  <c r="M3195" i="5"/>
  <c r="H3196" i="5"/>
  <c r="I3196" i="5"/>
  <c r="J3196" i="5"/>
  <c r="K3196" i="5"/>
  <c r="L3196" i="5"/>
  <c r="M3196" i="5"/>
  <c r="H3197" i="5"/>
  <c r="I3197" i="5"/>
  <c r="J3197" i="5"/>
  <c r="K3197" i="5"/>
  <c r="L3197" i="5"/>
  <c r="M3197" i="5"/>
  <c r="H3198" i="5"/>
  <c r="I3198" i="5"/>
  <c r="J3198" i="5"/>
  <c r="K3198" i="5"/>
  <c r="L3198" i="5"/>
  <c r="M3198" i="5"/>
  <c r="H3199" i="5"/>
  <c r="I3199" i="5"/>
  <c r="J3199" i="5"/>
  <c r="K3199" i="5"/>
  <c r="L3199" i="5"/>
  <c r="M3199" i="5"/>
  <c r="H3200" i="5"/>
  <c r="I3200" i="5"/>
  <c r="J3200" i="5"/>
  <c r="K3200" i="5"/>
  <c r="L3200" i="5"/>
  <c r="M3200" i="5"/>
  <c r="H3201" i="5"/>
  <c r="I3201" i="5"/>
  <c r="J3201" i="5"/>
  <c r="K3201" i="5"/>
  <c r="L3201" i="5"/>
  <c r="M3201" i="5"/>
  <c r="H3202" i="5"/>
  <c r="I3202" i="5"/>
  <c r="J3202" i="5"/>
  <c r="K3202" i="5"/>
  <c r="L3202" i="5"/>
  <c r="M3202" i="5"/>
  <c r="H3203" i="5"/>
  <c r="I3203" i="5"/>
  <c r="J3203" i="5"/>
  <c r="K3203" i="5"/>
  <c r="L3203" i="5"/>
  <c r="M3203" i="5"/>
  <c r="H3204" i="5"/>
  <c r="I3204" i="5"/>
  <c r="J3204" i="5"/>
  <c r="K3204" i="5"/>
  <c r="L3204" i="5"/>
  <c r="M3204" i="5"/>
  <c r="H3205" i="5"/>
  <c r="I3205" i="5"/>
  <c r="J3205" i="5"/>
  <c r="K3205" i="5"/>
  <c r="L3205" i="5"/>
  <c r="M3205" i="5"/>
  <c r="H3206" i="5"/>
  <c r="I3206" i="5"/>
  <c r="J3206" i="5"/>
  <c r="K3206" i="5"/>
  <c r="L3206" i="5"/>
  <c r="M3206" i="5"/>
  <c r="H3207" i="5"/>
  <c r="I3207" i="5"/>
  <c r="J3207" i="5"/>
  <c r="K3207" i="5"/>
  <c r="L3207" i="5"/>
  <c r="M3207" i="5"/>
  <c r="H3208" i="5"/>
  <c r="I3208" i="5"/>
  <c r="J3208" i="5"/>
  <c r="K3208" i="5"/>
  <c r="L3208" i="5"/>
  <c r="M3208" i="5"/>
  <c r="H3209" i="5"/>
  <c r="I3209" i="5"/>
  <c r="J3209" i="5"/>
  <c r="K3209" i="5"/>
  <c r="L3209" i="5"/>
  <c r="M3209" i="5"/>
  <c r="H3210" i="5"/>
  <c r="I3210" i="5"/>
  <c r="J3210" i="5"/>
  <c r="K3210" i="5"/>
  <c r="L3210" i="5"/>
  <c r="M3210" i="5"/>
  <c r="H3211" i="5"/>
  <c r="I3211" i="5"/>
  <c r="J3211" i="5"/>
  <c r="K3211" i="5"/>
  <c r="L3211" i="5"/>
  <c r="M3211" i="5"/>
  <c r="H3212" i="5"/>
  <c r="I3212" i="5"/>
  <c r="J3212" i="5"/>
  <c r="K3212" i="5"/>
  <c r="L3212" i="5"/>
  <c r="M3212" i="5"/>
  <c r="H3213" i="5"/>
  <c r="I3213" i="5"/>
  <c r="J3213" i="5"/>
  <c r="K3213" i="5"/>
  <c r="L3213" i="5"/>
  <c r="M3213" i="5"/>
  <c r="H3214" i="5"/>
  <c r="I3214" i="5"/>
  <c r="J3214" i="5"/>
  <c r="K3214" i="5"/>
  <c r="L3214" i="5"/>
  <c r="M3214" i="5"/>
  <c r="H3215" i="5"/>
  <c r="I3215" i="5"/>
  <c r="J3215" i="5"/>
  <c r="K3215" i="5"/>
  <c r="L3215" i="5"/>
  <c r="M3215" i="5"/>
  <c r="H3216" i="5"/>
  <c r="I3216" i="5"/>
  <c r="J3216" i="5"/>
  <c r="K3216" i="5"/>
  <c r="L3216" i="5"/>
  <c r="M3216" i="5"/>
  <c r="H3217" i="5"/>
  <c r="I3217" i="5"/>
  <c r="J3217" i="5"/>
  <c r="K3217" i="5"/>
  <c r="L3217" i="5"/>
  <c r="M3217" i="5"/>
  <c r="H3218" i="5"/>
  <c r="I3218" i="5"/>
  <c r="J3218" i="5"/>
  <c r="K3218" i="5"/>
  <c r="L3218" i="5"/>
  <c r="M3218" i="5"/>
  <c r="H3219" i="5"/>
  <c r="I3219" i="5"/>
  <c r="J3219" i="5"/>
  <c r="K3219" i="5"/>
  <c r="L3219" i="5"/>
  <c r="M3219" i="5"/>
  <c r="H3220" i="5"/>
  <c r="I3220" i="5"/>
  <c r="J3220" i="5"/>
  <c r="K3220" i="5"/>
  <c r="L3220" i="5"/>
  <c r="M3220" i="5"/>
  <c r="H3221" i="5"/>
  <c r="I3221" i="5"/>
  <c r="J3221" i="5"/>
  <c r="K3221" i="5"/>
  <c r="L3221" i="5"/>
  <c r="M3221" i="5"/>
  <c r="H3222" i="5"/>
  <c r="I3222" i="5"/>
  <c r="J3222" i="5"/>
  <c r="K3222" i="5"/>
  <c r="L3222" i="5"/>
  <c r="M3222" i="5"/>
  <c r="H3223" i="5"/>
  <c r="I3223" i="5"/>
  <c r="J3223" i="5"/>
  <c r="K3223" i="5"/>
  <c r="L3223" i="5"/>
  <c r="M3223" i="5"/>
  <c r="H3224" i="5"/>
  <c r="I3224" i="5"/>
  <c r="J3224" i="5"/>
  <c r="K3224" i="5"/>
  <c r="L3224" i="5"/>
  <c r="M3224" i="5"/>
  <c r="H3225" i="5"/>
  <c r="I3225" i="5"/>
  <c r="J3225" i="5"/>
  <c r="K3225" i="5"/>
  <c r="L3225" i="5"/>
  <c r="M3225" i="5"/>
  <c r="H3226" i="5"/>
  <c r="I3226" i="5"/>
  <c r="J3226" i="5"/>
  <c r="K3226" i="5"/>
  <c r="L3226" i="5"/>
  <c r="M3226" i="5"/>
  <c r="H3227" i="5"/>
  <c r="I3227" i="5"/>
  <c r="J3227" i="5"/>
  <c r="K3227" i="5"/>
  <c r="L3227" i="5"/>
  <c r="M3227" i="5"/>
  <c r="H3228" i="5"/>
  <c r="I3228" i="5"/>
  <c r="J3228" i="5"/>
  <c r="K3228" i="5"/>
  <c r="L3228" i="5"/>
  <c r="M3228" i="5"/>
  <c r="H3229" i="5"/>
  <c r="I3229" i="5"/>
  <c r="J3229" i="5"/>
  <c r="K3229" i="5"/>
  <c r="L3229" i="5"/>
  <c r="M3229" i="5"/>
  <c r="H3230" i="5"/>
  <c r="I3230" i="5"/>
  <c r="J3230" i="5"/>
  <c r="K3230" i="5"/>
  <c r="L3230" i="5"/>
  <c r="M3230" i="5"/>
  <c r="H3231" i="5"/>
  <c r="I3231" i="5"/>
  <c r="J3231" i="5"/>
  <c r="K3231" i="5"/>
  <c r="L3231" i="5"/>
  <c r="M3231" i="5"/>
  <c r="H3232" i="5"/>
  <c r="I3232" i="5"/>
  <c r="J3232" i="5"/>
  <c r="K3232" i="5"/>
  <c r="L3232" i="5"/>
  <c r="M3232" i="5"/>
  <c r="H3233" i="5"/>
  <c r="I3233" i="5"/>
  <c r="J3233" i="5"/>
  <c r="K3233" i="5"/>
  <c r="L3233" i="5"/>
  <c r="M3233" i="5"/>
  <c r="H3234" i="5"/>
  <c r="I3234" i="5"/>
  <c r="J3234" i="5"/>
  <c r="K3234" i="5"/>
  <c r="L3234" i="5"/>
  <c r="M3234" i="5"/>
  <c r="H3235" i="5"/>
  <c r="I3235" i="5"/>
  <c r="J3235" i="5"/>
  <c r="K3235" i="5"/>
  <c r="L3235" i="5"/>
  <c r="M3235" i="5"/>
  <c r="H3236" i="5"/>
  <c r="I3236" i="5"/>
  <c r="J3236" i="5"/>
  <c r="K3236" i="5"/>
  <c r="L3236" i="5"/>
  <c r="M3236" i="5"/>
  <c r="H3237" i="5"/>
  <c r="I3237" i="5"/>
  <c r="J3237" i="5"/>
  <c r="K3237" i="5"/>
  <c r="L3237" i="5"/>
  <c r="M3237" i="5"/>
  <c r="H3238" i="5"/>
  <c r="I3238" i="5"/>
  <c r="J3238" i="5"/>
  <c r="K3238" i="5"/>
  <c r="L3238" i="5"/>
  <c r="M3238" i="5"/>
  <c r="H3239" i="5"/>
  <c r="I3239" i="5"/>
  <c r="J3239" i="5"/>
  <c r="K3239" i="5"/>
  <c r="L3239" i="5"/>
  <c r="M3239" i="5"/>
  <c r="H3240" i="5"/>
  <c r="I3240" i="5"/>
  <c r="J3240" i="5"/>
  <c r="K3240" i="5"/>
  <c r="L3240" i="5"/>
  <c r="M3240" i="5"/>
  <c r="H3241" i="5"/>
  <c r="I3241" i="5"/>
  <c r="J3241" i="5"/>
  <c r="K3241" i="5"/>
  <c r="L3241" i="5"/>
  <c r="M3241" i="5"/>
  <c r="H3242" i="5"/>
  <c r="I3242" i="5"/>
  <c r="J3242" i="5"/>
  <c r="K3242" i="5"/>
  <c r="L3242" i="5"/>
  <c r="M3242" i="5"/>
  <c r="H3243" i="5"/>
  <c r="I3243" i="5"/>
  <c r="J3243" i="5"/>
  <c r="K3243" i="5"/>
  <c r="L3243" i="5"/>
  <c r="M3243" i="5"/>
  <c r="H3244" i="5"/>
  <c r="I3244" i="5"/>
  <c r="J3244" i="5"/>
  <c r="K3244" i="5"/>
  <c r="L3244" i="5"/>
  <c r="M3244" i="5"/>
  <c r="H3245" i="5"/>
  <c r="I3245" i="5"/>
  <c r="J3245" i="5"/>
  <c r="K3245" i="5"/>
  <c r="L3245" i="5"/>
  <c r="M3245" i="5"/>
  <c r="H3246" i="5"/>
  <c r="I3246" i="5"/>
  <c r="J3246" i="5"/>
  <c r="K3246" i="5"/>
  <c r="L3246" i="5"/>
  <c r="M3246" i="5"/>
  <c r="H3247" i="5"/>
  <c r="I3247" i="5"/>
  <c r="J3247" i="5"/>
  <c r="K3247" i="5"/>
  <c r="L3247" i="5"/>
  <c r="M3247" i="5"/>
  <c r="H3248" i="5"/>
  <c r="I3248" i="5"/>
  <c r="J3248" i="5"/>
  <c r="K3248" i="5"/>
  <c r="L3248" i="5"/>
  <c r="M3248" i="5"/>
  <c r="H3249" i="5"/>
  <c r="I3249" i="5"/>
  <c r="J3249" i="5"/>
  <c r="K3249" i="5"/>
  <c r="L3249" i="5"/>
  <c r="M3249" i="5"/>
  <c r="H3250" i="5"/>
  <c r="I3250" i="5"/>
  <c r="J3250" i="5"/>
  <c r="K3250" i="5"/>
  <c r="L3250" i="5"/>
  <c r="M3250" i="5"/>
  <c r="H3251" i="5"/>
  <c r="I3251" i="5"/>
  <c r="J3251" i="5"/>
  <c r="K3251" i="5"/>
  <c r="L3251" i="5"/>
  <c r="M3251" i="5"/>
  <c r="H3252" i="5"/>
  <c r="I3252" i="5"/>
  <c r="J3252" i="5"/>
  <c r="K3252" i="5"/>
  <c r="L3252" i="5"/>
  <c r="M3252" i="5"/>
  <c r="H3253" i="5"/>
  <c r="I3253" i="5"/>
  <c r="J3253" i="5"/>
  <c r="K3253" i="5"/>
  <c r="L3253" i="5"/>
  <c r="M3253" i="5"/>
  <c r="H3254" i="5"/>
  <c r="I3254" i="5"/>
  <c r="J3254" i="5"/>
  <c r="K3254" i="5"/>
  <c r="L3254" i="5"/>
  <c r="M3254" i="5"/>
  <c r="H3255" i="5"/>
  <c r="I3255" i="5"/>
  <c r="J3255" i="5"/>
  <c r="K3255" i="5"/>
  <c r="L3255" i="5"/>
  <c r="M3255" i="5"/>
  <c r="H3256" i="5"/>
  <c r="I3256" i="5"/>
  <c r="J3256" i="5"/>
  <c r="K3256" i="5"/>
  <c r="L3256" i="5"/>
  <c r="M3256" i="5"/>
  <c r="H3257" i="5"/>
  <c r="I3257" i="5"/>
  <c r="J3257" i="5"/>
  <c r="K3257" i="5"/>
  <c r="L3257" i="5"/>
  <c r="M3257" i="5"/>
  <c r="H3258" i="5"/>
  <c r="I3258" i="5"/>
  <c r="J3258" i="5"/>
  <c r="K3258" i="5"/>
  <c r="L3258" i="5"/>
  <c r="M3258" i="5"/>
  <c r="H3259" i="5"/>
  <c r="I3259" i="5"/>
  <c r="J3259" i="5"/>
  <c r="K3259" i="5"/>
  <c r="L3259" i="5"/>
  <c r="M3259" i="5"/>
  <c r="H3260" i="5"/>
  <c r="I3260" i="5"/>
  <c r="J3260" i="5"/>
  <c r="K3260" i="5"/>
  <c r="L3260" i="5"/>
  <c r="M3260" i="5"/>
  <c r="H3261" i="5"/>
  <c r="I3261" i="5"/>
  <c r="J3261" i="5"/>
  <c r="K3261" i="5"/>
  <c r="L3261" i="5"/>
  <c r="M3261" i="5"/>
  <c r="H3262" i="5"/>
  <c r="I3262" i="5"/>
  <c r="J3262" i="5"/>
  <c r="K3262" i="5"/>
  <c r="L3262" i="5"/>
  <c r="M3262" i="5"/>
  <c r="H3263" i="5"/>
  <c r="I3263" i="5"/>
  <c r="J3263" i="5"/>
  <c r="K3263" i="5"/>
  <c r="L3263" i="5"/>
  <c r="M3263" i="5"/>
  <c r="H3264" i="5"/>
  <c r="I3264" i="5"/>
  <c r="J3264" i="5"/>
  <c r="K3264" i="5"/>
  <c r="L3264" i="5"/>
  <c r="M3264" i="5"/>
  <c r="H3265" i="5"/>
  <c r="I3265" i="5"/>
  <c r="J3265" i="5"/>
  <c r="K3265" i="5"/>
  <c r="L3265" i="5"/>
  <c r="M3265" i="5"/>
  <c r="H3266" i="5"/>
  <c r="I3266" i="5"/>
  <c r="J3266" i="5"/>
  <c r="K3266" i="5"/>
  <c r="L3266" i="5"/>
  <c r="M3266" i="5"/>
  <c r="H3267" i="5"/>
  <c r="I3267" i="5"/>
  <c r="J3267" i="5"/>
  <c r="K3267" i="5"/>
  <c r="L3267" i="5"/>
  <c r="M3267" i="5"/>
  <c r="H3268" i="5"/>
  <c r="I3268" i="5"/>
  <c r="J3268" i="5"/>
  <c r="K3268" i="5"/>
  <c r="L3268" i="5"/>
  <c r="M3268" i="5"/>
  <c r="H3269" i="5"/>
  <c r="I3269" i="5"/>
  <c r="J3269" i="5"/>
  <c r="K3269" i="5"/>
  <c r="L3269" i="5"/>
  <c r="M3269" i="5"/>
  <c r="H3270" i="5"/>
  <c r="I3270" i="5"/>
  <c r="J3270" i="5"/>
  <c r="K3270" i="5"/>
  <c r="L3270" i="5"/>
  <c r="M3270" i="5"/>
  <c r="H3271" i="5"/>
  <c r="I3271" i="5"/>
  <c r="J3271" i="5"/>
  <c r="K3271" i="5"/>
  <c r="L3271" i="5"/>
  <c r="M3271" i="5"/>
  <c r="H3272" i="5"/>
  <c r="I3272" i="5"/>
  <c r="J3272" i="5"/>
  <c r="K3272" i="5"/>
  <c r="L3272" i="5"/>
  <c r="M3272" i="5"/>
  <c r="H3273" i="5"/>
  <c r="I3273" i="5"/>
  <c r="J3273" i="5"/>
  <c r="K3273" i="5"/>
  <c r="L3273" i="5"/>
  <c r="M3273" i="5"/>
  <c r="H3274" i="5"/>
  <c r="I3274" i="5"/>
  <c r="J3274" i="5"/>
  <c r="K3274" i="5"/>
  <c r="L3274" i="5"/>
  <c r="M3274" i="5"/>
  <c r="H3275" i="5"/>
  <c r="I3275" i="5"/>
  <c r="J3275" i="5"/>
  <c r="K3275" i="5"/>
  <c r="L3275" i="5"/>
  <c r="M3275" i="5"/>
  <c r="H3276" i="5"/>
  <c r="I3276" i="5"/>
  <c r="J3276" i="5"/>
  <c r="K3276" i="5"/>
  <c r="L3276" i="5"/>
  <c r="M3276" i="5"/>
  <c r="H3277" i="5"/>
  <c r="I3277" i="5"/>
  <c r="J3277" i="5"/>
  <c r="K3277" i="5"/>
  <c r="L3277" i="5"/>
  <c r="M3277" i="5"/>
  <c r="H3278" i="5"/>
  <c r="I3278" i="5"/>
  <c r="J3278" i="5"/>
  <c r="K3278" i="5"/>
  <c r="L3278" i="5"/>
  <c r="M3278" i="5"/>
  <c r="H3279" i="5"/>
  <c r="I3279" i="5"/>
  <c r="J3279" i="5"/>
  <c r="K3279" i="5"/>
  <c r="L3279" i="5"/>
  <c r="M3279" i="5"/>
  <c r="H3280" i="5"/>
  <c r="I3280" i="5"/>
  <c r="J3280" i="5"/>
  <c r="K3280" i="5"/>
  <c r="L3280" i="5"/>
  <c r="M3280" i="5"/>
  <c r="H3281" i="5"/>
  <c r="I3281" i="5"/>
  <c r="J3281" i="5"/>
  <c r="K3281" i="5"/>
  <c r="L3281" i="5"/>
  <c r="M3281" i="5"/>
  <c r="H3282" i="5"/>
  <c r="I3282" i="5"/>
  <c r="J3282" i="5"/>
  <c r="K3282" i="5"/>
  <c r="L3282" i="5"/>
  <c r="M3282" i="5"/>
  <c r="H3283" i="5"/>
  <c r="I3283" i="5"/>
  <c r="J3283" i="5"/>
  <c r="K3283" i="5"/>
  <c r="L3283" i="5"/>
  <c r="M3283" i="5"/>
  <c r="H3284" i="5"/>
  <c r="I3284" i="5"/>
  <c r="J3284" i="5"/>
  <c r="K3284" i="5"/>
  <c r="L3284" i="5"/>
  <c r="M3284" i="5"/>
  <c r="H3285" i="5"/>
  <c r="I3285" i="5"/>
  <c r="J3285" i="5"/>
  <c r="K3285" i="5"/>
  <c r="L3285" i="5"/>
  <c r="M3285" i="5"/>
  <c r="H3286" i="5"/>
  <c r="I3286" i="5"/>
  <c r="J3286" i="5"/>
  <c r="K3286" i="5"/>
  <c r="L3286" i="5"/>
  <c r="M3286" i="5"/>
  <c r="H3287" i="5"/>
  <c r="I3287" i="5"/>
  <c r="J3287" i="5"/>
  <c r="K3287" i="5"/>
  <c r="L3287" i="5"/>
  <c r="M3287" i="5"/>
  <c r="H3288" i="5"/>
  <c r="I3288" i="5"/>
  <c r="J3288" i="5"/>
  <c r="K3288" i="5"/>
  <c r="L3288" i="5"/>
  <c r="M3288" i="5"/>
  <c r="H3289" i="5"/>
  <c r="I3289" i="5"/>
  <c r="J3289" i="5"/>
  <c r="K3289" i="5"/>
  <c r="L3289" i="5"/>
  <c r="M3289" i="5"/>
  <c r="H3290" i="5"/>
  <c r="I3290" i="5"/>
  <c r="J3290" i="5"/>
  <c r="K3290" i="5"/>
  <c r="L3290" i="5"/>
  <c r="M3290" i="5"/>
  <c r="H3291" i="5"/>
  <c r="I3291" i="5"/>
  <c r="J3291" i="5"/>
  <c r="K3291" i="5"/>
  <c r="L3291" i="5"/>
  <c r="M3291" i="5"/>
  <c r="H3292" i="5"/>
  <c r="I3292" i="5"/>
  <c r="J3292" i="5"/>
  <c r="K3292" i="5"/>
  <c r="L3292" i="5"/>
  <c r="M3292" i="5"/>
  <c r="H3293" i="5"/>
  <c r="I3293" i="5"/>
  <c r="J3293" i="5"/>
  <c r="K3293" i="5"/>
  <c r="L3293" i="5"/>
  <c r="M3293" i="5"/>
  <c r="H3294" i="5"/>
  <c r="I3294" i="5"/>
  <c r="J3294" i="5"/>
  <c r="K3294" i="5"/>
  <c r="L3294" i="5"/>
  <c r="M3294" i="5"/>
  <c r="H3295" i="5"/>
  <c r="I3295" i="5"/>
  <c r="J3295" i="5"/>
  <c r="K3295" i="5"/>
  <c r="L3295" i="5"/>
  <c r="M3295" i="5"/>
  <c r="H3296" i="5"/>
  <c r="I3296" i="5"/>
  <c r="J3296" i="5"/>
  <c r="K3296" i="5"/>
  <c r="L3296" i="5"/>
  <c r="M3296" i="5"/>
  <c r="H3297" i="5"/>
  <c r="I3297" i="5"/>
  <c r="J3297" i="5"/>
  <c r="K3297" i="5"/>
  <c r="L3297" i="5"/>
  <c r="M3297" i="5"/>
  <c r="H3298" i="5"/>
  <c r="I3298" i="5"/>
  <c r="J3298" i="5"/>
  <c r="K3298" i="5"/>
  <c r="L3298" i="5"/>
  <c r="M3298" i="5"/>
  <c r="H3299" i="5"/>
  <c r="I3299" i="5"/>
  <c r="J3299" i="5"/>
  <c r="K3299" i="5"/>
  <c r="L3299" i="5"/>
  <c r="M3299" i="5"/>
  <c r="H3300" i="5"/>
  <c r="I3300" i="5"/>
  <c r="J3300" i="5"/>
  <c r="K3300" i="5"/>
  <c r="L3300" i="5"/>
  <c r="M3300" i="5"/>
  <c r="H3301" i="5"/>
  <c r="I3301" i="5"/>
  <c r="J3301" i="5"/>
  <c r="K3301" i="5"/>
  <c r="L3301" i="5"/>
  <c r="M3301" i="5"/>
  <c r="H3302" i="5"/>
  <c r="I3302" i="5"/>
  <c r="J3302" i="5"/>
  <c r="K3302" i="5"/>
  <c r="L3302" i="5"/>
  <c r="M3302" i="5"/>
  <c r="H3303" i="5"/>
  <c r="I3303" i="5"/>
  <c r="J3303" i="5"/>
  <c r="K3303" i="5"/>
  <c r="L3303" i="5"/>
  <c r="M3303" i="5"/>
  <c r="H3304" i="5"/>
  <c r="I3304" i="5"/>
  <c r="J3304" i="5"/>
  <c r="K3304" i="5"/>
  <c r="L3304" i="5"/>
  <c r="M3304" i="5"/>
  <c r="H3305" i="5"/>
  <c r="I3305" i="5"/>
  <c r="J3305" i="5"/>
  <c r="K3305" i="5"/>
  <c r="L3305" i="5"/>
  <c r="M3305" i="5"/>
  <c r="H3306" i="5"/>
  <c r="I3306" i="5"/>
  <c r="J3306" i="5"/>
  <c r="K3306" i="5"/>
  <c r="L3306" i="5"/>
  <c r="M3306" i="5"/>
  <c r="H3307" i="5"/>
  <c r="I3307" i="5"/>
  <c r="J3307" i="5"/>
  <c r="K3307" i="5"/>
  <c r="L3307" i="5"/>
  <c r="M3307" i="5"/>
  <c r="H3308" i="5"/>
  <c r="I3308" i="5"/>
  <c r="J3308" i="5"/>
  <c r="K3308" i="5"/>
  <c r="L3308" i="5"/>
  <c r="M3308" i="5"/>
  <c r="H3309" i="5"/>
  <c r="I3309" i="5"/>
  <c r="J3309" i="5"/>
  <c r="K3309" i="5"/>
  <c r="L3309" i="5"/>
  <c r="M3309" i="5"/>
  <c r="H3310" i="5"/>
  <c r="I3310" i="5"/>
  <c r="J3310" i="5"/>
  <c r="K3310" i="5"/>
  <c r="L3310" i="5"/>
  <c r="M3310" i="5"/>
  <c r="H3311" i="5"/>
  <c r="I3311" i="5"/>
  <c r="J3311" i="5"/>
  <c r="K3311" i="5"/>
  <c r="L3311" i="5"/>
  <c r="M3311" i="5"/>
  <c r="H3312" i="5"/>
  <c r="I3312" i="5"/>
  <c r="J3312" i="5"/>
  <c r="K3312" i="5"/>
  <c r="L3312" i="5"/>
  <c r="M3312" i="5"/>
  <c r="H3313" i="5"/>
  <c r="I3313" i="5"/>
  <c r="J3313" i="5"/>
  <c r="K3313" i="5"/>
  <c r="L3313" i="5"/>
  <c r="M3313" i="5"/>
  <c r="H3314" i="5"/>
  <c r="I3314" i="5"/>
  <c r="J3314" i="5"/>
  <c r="K3314" i="5"/>
  <c r="L3314" i="5"/>
  <c r="M3314" i="5"/>
  <c r="H3315" i="5"/>
  <c r="I3315" i="5"/>
  <c r="J3315" i="5"/>
  <c r="K3315" i="5"/>
  <c r="L3315" i="5"/>
  <c r="M3315" i="5"/>
  <c r="H3316" i="5"/>
  <c r="I3316" i="5"/>
  <c r="J3316" i="5"/>
  <c r="K3316" i="5"/>
  <c r="L3316" i="5"/>
  <c r="M3316" i="5"/>
  <c r="H3317" i="5"/>
  <c r="I3317" i="5"/>
  <c r="J3317" i="5"/>
  <c r="K3317" i="5"/>
  <c r="L3317" i="5"/>
  <c r="M3317" i="5"/>
  <c r="H3318" i="5"/>
  <c r="I3318" i="5"/>
  <c r="J3318" i="5"/>
  <c r="K3318" i="5"/>
  <c r="L3318" i="5"/>
  <c r="M3318" i="5"/>
  <c r="H3319" i="5"/>
  <c r="I3319" i="5"/>
  <c r="J3319" i="5"/>
  <c r="K3319" i="5"/>
  <c r="L3319" i="5"/>
  <c r="M3319" i="5"/>
  <c r="H3320" i="5"/>
  <c r="I3320" i="5"/>
  <c r="J3320" i="5"/>
  <c r="K3320" i="5"/>
  <c r="L3320" i="5"/>
  <c r="M3320" i="5"/>
  <c r="H3321" i="5"/>
  <c r="I3321" i="5"/>
  <c r="J3321" i="5"/>
  <c r="K3321" i="5"/>
  <c r="L3321" i="5"/>
  <c r="M3321" i="5"/>
  <c r="H3322" i="5"/>
  <c r="I3322" i="5"/>
  <c r="J3322" i="5"/>
  <c r="K3322" i="5"/>
  <c r="L3322" i="5"/>
  <c r="M3322" i="5"/>
  <c r="H3323" i="5"/>
  <c r="I3323" i="5"/>
  <c r="J3323" i="5"/>
  <c r="K3323" i="5"/>
  <c r="L3323" i="5"/>
  <c r="M3323" i="5"/>
  <c r="H3324" i="5"/>
  <c r="I3324" i="5"/>
  <c r="J3324" i="5"/>
  <c r="K3324" i="5"/>
  <c r="L3324" i="5"/>
  <c r="M3324" i="5"/>
  <c r="H3325" i="5"/>
  <c r="I3325" i="5"/>
  <c r="J3325" i="5"/>
  <c r="K3325" i="5"/>
  <c r="L3325" i="5"/>
  <c r="M3325" i="5"/>
  <c r="H3326" i="5"/>
  <c r="I3326" i="5"/>
  <c r="J3326" i="5"/>
  <c r="K3326" i="5"/>
  <c r="L3326" i="5"/>
  <c r="M3326" i="5"/>
  <c r="H3327" i="5"/>
  <c r="I3327" i="5"/>
  <c r="J3327" i="5"/>
  <c r="K3327" i="5"/>
  <c r="L3327" i="5"/>
  <c r="M3327" i="5"/>
  <c r="H3328" i="5"/>
  <c r="I3328" i="5"/>
  <c r="J3328" i="5"/>
  <c r="K3328" i="5"/>
  <c r="L3328" i="5"/>
  <c r="M3328" i="5"/>
  <c r="H3329" i="5"/>
  <c r="I3329" i="5"/>
  <c r="J3329" i="5"/>
  <c r="K3329" i="5"/>
  <c r="L3329" i="5"/>
  <c r="M3329" i="5"/>
  <c r="H3330" i="5"/>
  <c r="I3330" i="5"/>
  <c r="J3330" i="5"/>
  <c r="K3330" i="5"/>
  <c r="L3330" i="5"/>
  <c r="M3330" i="5"/>
  <c r="H3331" i="5"/>
  <c r="I3331" i="5"/>
  <c r="J3331" i="5"/>
  <c r="K3331" i="5"/>
  <c r="L3331" i="5"/>
  <c r="M3331" i="5"/>
  <c r="H3332" i="5"/>
  <c r="I3332" i="5"/>
  <c r="J3332" i="5"/>
  <c r="K3332" i="5"/>
  <c r="L3332" i="5"/>
  <c r="M3332" i="5"/>
  <c r="H3333" i="5"/>
  <c r="I3333" i="5"/>
  <c r="J3333" i="5"/>
  <c r="K3333" i="5"/>
  <c r="L3333" i="5"/>
  <c r="M3333" i="5"/>
  <c r="H3334" i="5"/>
  <c r="I3334" i="5"/>
  <c r="J3334" i="5"/>
  <c r="K3334" i="5"/>
  <c r="L3334" i="5"/>
  <c r="M3334" i="5"/>
  <c r="H3335" i="5"/>
  <c r="I3335" i="5"/>
  <c r="J3335" i="5"/>
  <c r="K3335" i="5"/>
  <c r="L3335" i="5"/>
  <c r="M3335" i="5"/>
  <c r="H3336" i="5"/>
  <c r="I3336" i="5"/>
  <c r="J3336" i="5"/>
  <c r="K3336" i="5"/>
  <c r="L3336" i="5"/>
  <c r="M3336" i="5"/>
  <c r="H3337" i="5"/>
  <c r="I3337" i="5"/>
  <c r="J3337" i="5"/>
  <c r="K3337" i="5"/>
  <c r="L3337" i="5"/>
  <c r="M3337" i="5"/>
  <c r="H3338" i="5"/>
  <c r="I3338" i="5"/>
  <c r="J3338" i="5"/>
  <c r="K3338" i="5"/>
  <c r="L3338" i="5"/>
  <c r="M3338" i="5"/>
  <c r="H3339" i="5"/>
  <c r="I3339" i="5"/>
  <c r="J3339" i="5"/>
  <c r="K3339" i="5"/>
  <c r="L3339" i="5"/>
  <c r="M3339" i="5"/>
  <c r="H3340" i="5"/>
  <c r="I3340" i="5"/>
  <c r="J3340" i="5"/>
  <c r="K3340" i="5"/>
  <c r="L3340" i="5"/>
  <c r="M3340" i="5"/>
  <c r="H3341" i="5"/>
  <c r="I3341" i="5"/>
  <c r="J3341" i="5"/>
  <c r="K3341" i="5"/>
  <c r="L3341" i="5"/>
  <c r="M3341" i="5"/>
  <c r="H3342" i="5"/>
  <c r="I3342" i="5"/>
  <c r="J3342" i="5"/>
  <c r="K3342" i="5"/>
  <c r="L3342" i="5"/>
  <c r="M3342" i="5"/>
  <c r="H3343" i="5"/>
  <c r="I3343" i="5"/>
  <c r="J3343" i="5"/>
  <c r="K3343" i="5"/>
  <c r="L3343" i="5"/>
  <c r="M3343" i="5"/>
  <c r="H3344" i="5"/>
  <c r="I3344" i="5"/>
  <c r="J3344" i="5"/>
  <c r="K3344" i="5"/>
  <c r="L3344" i="5"/>
  <c r="M3344" i="5"/>
  <c r="H3345" i="5"/>
  <c r="I3345" i="5"/>
  <c r="J3345" i="5"/>
  <c r="K3345" i="5"/>
  <c r="L3345" i="5"/>
  <c r="M3345" i="5"/>
  <c r="H3346" i="5"/>
  <c r="I3346" i="5"/>
  <c r="J3346" i="5"/>
  <c r="K3346" i="5"/>
  <c r="L3346" i="5"/>
  <c r="M3346" i="5"/>
  <c r="H3347" i="5"/>
  <c r="I3347" i="5"/>
  <c r="J3347" i="5"/>
  <c r="K3347" i="5"/>
  <c r="L3347" i="5"/>
  <c r="M3347" i="5"/>
  <c r="H3348" i="5"/>
  <c r="I3348" i="5"/>
  <c r="J3348" i="5"/>
  <c r="K3348" i="5"/>
  <c r="L3348" i="5"/>
  <c r="M3348" i="5"/>
  <c r="H3349" i="5"/>
  <c r="I3349" i="5"/>
  <c r="J3349" i="5"/>
  <c r="K3349" i="5"/>
  <c r="L3349" i="5"/>
  <c r="M3349" i="5"/>
  <c r="H3350" i="5"/>
  <c r="I3350" i="5"/>
  <c r="J3350" i="5"/>
  <c r="K3350" i="5"/>
  <c r="L3350" i="5"/>
  <c r="M3350" i="5"/>
  <c r="H3351" i="5"/>
  <c r="I3351" i="5"/>
  <c r="J3351" i="5"/>
  <c r="K3351" i="5"/>
  <c r="L3351" i="5"/>
  <c r="M3351" i="5"/>
  <c r="H3352" i="5"/>
  <c r="I3352" i="5"/>
  <c r="J3352" i="5"/>
  <c r="K3352" i="5"/>
  <c r="L3352" i="5"/>
  <c r="M3352" i="5"/>
  <c r="H3353" i="5"/>
  <c r="I3353" i="5"/>
  <c r="J3353" i="5"/>
  <c r="K3353" i="5"/>
  <c r="L3353" i="5"/>
  <c r="M3353" i="5"/>
  <c r="H3354" i="5"/>
  <c r="I3354" i="5"/>
  <c r="J3354" i="5"/>
  <c r="K3354" i="5"/>
  <c r="L3354" i="5"/>
  <c r="M3354" i="5"/>
  <c r="H3355" i="5"/>
  <c r="I3355" i="5"/>
  <c r="J3355" i="5"/>
  <c r="K3355" i="5"/>
  <c r="L3355" i="5"/>
  <c r="M3355" i="5"/>
  <c r="H3356" i="5"/>
  <c r="I3356" i="5"/>
  <c r="J3356" i="5"/>
  <c r="K3356" i="5"/>
  <c r="L3356" i="5"/>
  <c r="M3356" i="5"/>
  <c r="H3357" i="5"/>
  <c r="I3357" i="5"/>
  <c r="J3357" i="5"/>
  <c r="K3357" i="5"/>
  <c r="L3357" i="5"/>
  <c r="M3357" i="5"/>
  <c r="H3358" i="5"/>
  <c r="I3358" i="5"/>
  <c r="J3358" i="5"/>
  <c r="K3358" i="5"/>
  <c r="L3358" i="5"/>
  <c r="M3358" i="5"/>
  <c r="H3359" i="5"/>
  <c r="I3359" i="5"/>
  <c r="J3359" i="5"/>
  <c r="K3359" i="5"/>
  <c r="L3359" i="5"/>
  <c r="M3359" i="5"/>
  <c r="H3360" i="5"/>
  <c r="I3360" i="5"/>
  <c r="J3360" i="5"/>
  <c r="K3360" i="5"/>
  <c r="L3360" i="5"/>
  <c r="M3360" i="5"/>
  <c r="H3361" i="5"/>
  <c r="I3361" i="5"/>
  <c r="J3361" i="5"/>
  <c r="K3361" i="5"/>
  <c r="L3361" i="5"/>
  <c r="M3361" i="5"/>
  <c r="H3362" i="5"/>
  <c r="I3362" i="5"/>
  <c r="J3362" i="5"/>
  <c r="K3362" i="5"/>
  <c r="L3362" i="5"/>
  <c r="M3362" i="5"/>
  <c r="H3363" i="5"/>
  <c r="I3363" i="5"/>
  <c r="J3363" i="5"/>
  <c r="K3363" i="5"/>
  <c r="L3363" i="5"/>
  <c r="M3363" i="5"/>
  <c r="H3364" i="5"/>
  <c r="I3364" i="5"/>
  <c r="J3364" i="5"/>
  <c r="K3364" i="5"/>
  <c r="L3364" i="5"/>
  <c r="M3364" i="5"/>
  <c r="H3365" i="5"/>
  <c r="I3365" i="5"/>
  <c r="J3365" i="5"/>
  <c r="K3365" i="5"/>
  <c r="L3365" i="5"/>
  <c r="M3365" i="5"/>
  <c r="H3366" i="5"/>
  <c r="I3366" i="5"/>
  <c r="J3366" i="5"/>
  <c r="K3366" i="5"/>
  <c r="L3366" i="5"/>
  <c r="M3366" i="5"/>
  <c r="H3367" i="5"/>
  <c r="I3367" i="5"/>
  <c r="J3367" i="5"/>
  <c r="K3367" i="5"/>
  <c r="L3367" i="5"/>
  <c r="M3367" i="5"/>
  <c r="H3368" i="5"/>
  <c r="I3368" i="5"/>
  <c r="J3368" i="5"/>
  <c r="K3368" i="5"/>
  <c r="L3368" i="5"/>
  <c r="M3368" i="5"/>
  <c r="H3369" i="5"/>
  <c r="I3369" i="5"/>
  <c r="J3369" i="5"/>
  <c r="K3369" i="5"/>
  <c r="L3369" i="5"/>
  <c r="M3369" i="5"/>
  <c r="H3370" i="5"/>
  <c r="I3370" i="5"/>
  <c r="J3370" i="5"/>
  <c r="K3370" i="5"/>
  <c r="L3370" i="5"/>
  <c r="M3370" i="5"/>
  <c r="H3371" i="5"/>
  <c r="I3371" i="5"/>
  <c r="J3371" i="5"/>
  <c r="K3371" i="5"/>
  <c r="L3371" i="5"/>
  <c r="M3371" i="5"/>
  <c r="H3372" i="5"/>
  <c r="I3372" i="5"/>
  <c r="J3372" i="5"/>
  <c r="K3372" i="5"/>
  <c r="L3372" i="5"/>
  <c r="M3372" i="5"/>
  <c r="H3373" i="5"/>
  <c r="I3373" i="5"/>
  <c r="J3373" i="5"/>
  <c r="K3373" i="5"/>
  <c r="L3373" i="5"/>
  <c r="M3373" i="5"/>
  <c r="H3374" i="5"/>
  <c r="I3374" i="5"/>
  <c r="J3374" i="5"/>
  <c r="K3374" i="5"/>
  <c r="L3374" i="5"/>
  <c r="M3374" i="5"/>
  <c r="H3375" i="5"/>
  <c r="I3375" i="5"/>
  <c r="J3375" i="5"/>
  <c r="K3375" i="5"/>
  <c r="L3375" i="5"/>
  <c r="M3375" i="5"/>
  <c r="H3376" i="5"/>
  <c r="I3376" i="5"/>
  <c r="J3376" i="5"/>
  <c r="K3376" i="5"/>
  <c r="L3376" i="5"/>
  <c r="M3376" i="5"/>
  <c r="H3377" i="5"/>
  <c r="I3377" i="5"/>
  <c r="J3377" i="5"/>
  <c r="K3377" i="5"/>
  <c r="L3377" i="5"/>
  <c r="M3377" i="5"/>
  <c r="H3378" i="5"/>
  <c r="I3378" i="5"/>
  <c r="J3378" i="5"/>
  <c r="K3378" i="5"/>
  <c r="L3378" i="5"/>
  <c r="M3378" i="5"/>
  <c r="H3379" i="5"/>
  <c r="I3379" i="5"/>
  <c r="J3379" i="5"/>
  <c r="K3379" i="5"/>
  <c r="L3379" i="5"/>
  <c r="M3379" i="5"/>
  <c r="H3380" i="5"/>
  <c r="I3380" i="5"/>
  <c r="J3380" i="5"/>
  <c r="K3380" i="5"/>
  <c r="L3380" i="5"/>
  <c r="M3380" i="5"/>
  <c r="H3381" i="5"/>
  <c r="I3381" i="5"/>
  <c r="J3381" i="5"/>
  <c r="K3381" i="5"/>
  <c r="L3381" i="5"/>
  <c r="M3381" i="5"/>
  <c r="H3382" i="5"/>
  <c r="I3382" i="5"/>
  <c r="J3382" i="5"/>
  <c r="K3382" i="5"/>
  <c r="L3382" i="5"/>
  <c r="M3382" i="5"/>
  <c r="H3383" i="5"/>
  <c r="I3383" i="5"/>
  <c r="J3383" i="5"/>
  <c r="K3383" i="5"/>
  <c r="L3383" i="5"/>
  <c r="M3383" i="5"/>
  <c r="H3384" i="5"/>
  <c r="I3384" i="5"/>
  <c r="J3384" i="5"/>
  <c r="K3384" i="5"/>
  <c r="L3384" i="5"/>
  <c r="M3384" i="5"/>
  <c r="H3385" i="5"/>
  <c r="I3385" i="5"/>
  <c r="J3385" i="5"/>
  <c r="K3385" i="5"/>
  <c r="L3385" i="5"/>
  <c r="M3385" i="5"/>
  <c r="H3386" i="5"/>
  <c r="I3386" i="5"/>
  <c r="J3386" i="5"/>
  <c r="K3386" i="5"/>
  <c r="L3386" i="5"/>
  <c r="M3386" i="5"/>
  <c r="H3387" i="5"/>
  <c r="I3387" i="5"/>
  <c r="J3387" i="5"/>
  <c r="K3387" i="5"/>
  <c r="L3387" i="5"/>
  <c r="M3387" i="5"/>
  <c r="H3388" i="5"/>
  <c r="I3388" i="5"/>
  <c r="J3388" i="5"/>
  <c r="K3388" i="5"/>
  <c r="L3388" i="5"/>
  <c r="M3388" i="5"/>
  <c r="H3389" i="5"/>
  <c r="I3389" i="5"/>
  <c r="J3389" i="5"/>
  <c r="K3389" i="5"/>
  <c r="L3389" i="5"/>
  <c r="M3389" i="5"/>
  <c r="H3390" i="5"/>
  <c r="I3390" i="5"/>
  <c r="J3390" i="5"/>
  <c r="K3390" i="5"/>
  <c r="L3390" i="5"/>
  <c r="M3390" i="5"/>
  <c r="H3391" i="5"/>
  <c r="I3391" i="5"/>
  <c r="J3391" i="5"/>
  <c r="K3391" i="5"/>
  <c r="L3391" i="5"/>
  <c r="M3391" i="5"/>
  <c r="H3392" i="5"/>
  <c r="I3392" i="5"/>
  <c r="J3392" i="5"/>
  <c r="K3392" i="5"/>
  <c r="L3392" i="5"/>
  <c r="M3392" i="5"/>
  <c r="H3393" i="5"/>
  <c r="I3393" i="5"/>
  <c r="J3393" i="5"/>
  <c r="K3393" i="5"/>
  <c r="L3393" i="5"/>
  <c r="M3393" i="5"/>
  <c r="H3394" i="5"/>
  <c r="I3394" i="5"/>
  <c r="J3394" i="5"/>
  <c r="K3394" i="5"/>
  <c r="L3394" i="5"/>
  <c r="M3394" i="5"/>
  <c r="H3395" i="5"/>
  <c r="I3395" i="5"/>
  <c r="J3395" i="5"/>
  <c r="K3395" i="5"/>
  <c r="L3395" i="5"/>
  <c r="M3395" i="5"/>
  <c r="H3396" i="5"/>
  <c r="I3396" i="5"/>
  <c r="J3396" i="5"/>
  <c r="K3396" i="5"/>
  <c r="L3396" i="5"/>
  <c r="M3396" i="5"/>
  <c r="H3397" i="5"/>
  <c r="I3397" i="5"/>
  <c r="J3397" i="5"/>
  <c r="K3397" i="5"/>
  <c r="L3397" i="5"/>
  <c r="M3397" i="5"/>
  <c r="H3398" i="5"/>
  <c r="I3398" i="5"/>
  <c r="J3398" i="5"/>
  <c r="K3398" i="5"/>
  <c r="L3398" i="5"/>
  <c r="M3398" i="5"/>
  <c r="H3399" i="5"/>
  <c r="I3399" i="5"/>
  <c r="J3399" i="5"/>
  <c r="K3399" i="5"/>
  <c r="L3399" i="5"/>
  <c r="M3399" i="5"/>
  <c r="H3400" i="5"/>
  <c r="I3400" i="5"/>
  <c r="J3400" i="5"/>
  <c r="K3400" i="5"/>
  <c r="L3400" i="5"/>
  <c r="M3400" i="5"/>
  <c r="H3401" i="5"/>
  <c r="I3401" i="5"/>
  <c r="J3401" i="5"/>
  <c r="K3401" i="5"/>
  <c r="L3401" i="5"/>
  <c r="M3401" i="5"/>
  <c r="H3402" i="5"/>
  <c r="I3402" i="5"/>
  <c r="J3402" i="5"/>
  <c r="K3402" i="5"/>
  <c r="L3402" i="5"/>
  <c r="M3402" i="5"/>
  <c r="H3403" i="5"/>
  <c r="I3403" i="5"/>
  <c r="J3403" i="5"/>
  <c r="K3403" i="5"/>
  <c r="L3403" i="5"/>
  <c r="M3403" i="5"/>
  <c r="H3404" i="5"/>
  <c r="I3404" i="5"/>
  <c r="J3404" i="5"/>
  <c r="K3404" i="5"/>
  <c r="L3404" i="5"/>
  <c r="M3404" i="5"/>
  <c r="H3405" i="5"/>
  <c r="I3405" i="5"/>
  <c r="J3405" i="5"/>
  <c r="K3405" i="5"/>
  <c r="L3405" i="5"/>
  <c r="M3405" i="5"/>
  <c r="H3406" i="5"/>
  <c r="I3406" i="5"/>
  <c r="J3406" i="5"/>
  <c r="K3406" i="5"/>
  <c r="L3406" i="5"/>
  <c r="M3406" i="5"/>
  <c r="H3407" i="5"/>
  <c r="I3407" i="5"/>
  <c r="J3407" i="5"/>
  <c r="K3407" i="5"/>
  <c r="L3407" i="5"/>
  <c r="M3407" i="5"/>
  <c r="H3408" i="5"/>
  <c r="I3408" i="5"/>
  <c r="J3408" i="5"/>
  <c r="K3408" i="5"/>
  <c r="L3408" i="5"/>
  <c r="M3408" i="5"/>
  <c r="H3409" i="5"/>
  <c r="I3409" i="5"/>
  <c r="J3409" i="5"/>
  <c r="K3409" i="5"/>
  <c r="L3409" i="5"/>
  <c r="M3409" i="5"/>
  <c r="H3410" i="5"/>
  <c r="I3410" i="5"/>
  <c r="J3410" i="5"/>
  <c r="K3410" i="5"/>
  <c r="L3410" i="5"/>
  <c r="M3410" i="5"/>
  <c r="H3411" i="5"/>
  <c r="I3411" i="5"/>
  <c r="J3411" i="5"/>
  <c r="K3411" i="5"/>
  <c r="L3411" i="5"/>
  <c r="M3411" i="5"/>
  <c r="H3412" i="5"/>
  <c r="I3412" i="5"/>
  <c r="J3412" i="5"/>
  <c r="K3412" i="5"/>
  <c r="L3412" i="5"/>
  <c r="M3412" i="5"/>
  <c r="H3413" i="5"/>
  <c r="I3413" i="5"/>
  <c r="J3413" i="5"/>
  <c r="K3413" i="5"/>
  <c r="L3413" i="5"/>
  <c r="M3413" i="5"/>
  <c r="H3414" i="5"/>
  <c r="I3414" i="5"/>
  <c r="J3414" i="5"/>
  <c r="K3414" i="5"/>
  <c r="L3414" i="5"/>
  <c r="M3414" i="5"/>
  <c r="H3415" i="5"/>
  <c r="I3415" i="5"/>
  <c r="J3415" i="5"/>
  <c r="K3415" i="5"/>
  <c r="L3415" i="5"/>
  <c r="M3415" i="5"/>
  <c r="H3416" i="5"/>
  <c r="I3416" i="5"/>
  <c r="J3416" i="5"/>
  <c r="K3416" i="5"/>
  <c r="L3416" i="5"/>
  <c r="M3416" i="5"/>
  <c r="H3417" i="5"/>
  <c r="I3417" i="5"/>
  <c r="J3417" i="5"/>
  <c r="K3417" i="5"/>
  <c r="L3417" i="5"/>
  <c r="M3417" i="5"/>
  <c r="H3418" i="5"/>
  <c r="I3418" i="5"/>
  <c r="J3418" i="5"/>
  <c r="K3418" i="5"/>
  <c r="L3418" i="5"/>
  <c r="M3418" i="5"/>
  <c r="H3419" i="5"/>
  <c r="I3419" i="5"/>
  <c r="J3419" i="5"/>
  <c r="K3419" i="5"/>
  <c r="L3419" i="5"/>
  <c r="M3419" i="5"/>
  <c r="H3420" i="5"/>
  <c r="I3420" i="5"/>
  <c r="J3420" i="5"/>
  <c r="K3420" i="5"/>
  <c r="L3420" i="5"/>
  <c r="M3420" i="5"/>
  <c r="H3421" i="5"/>
  <c r="I3421" i="5"/>
  <c r="J3421" i="5"/>
  <c r="K3421" i="5"/>
  <c r="L3421" i="5"/>
  <c r="M3421" i="5"/>
  <c r="H3422" i="5"/>
  <c r="I3422" i="5"/>
  <c r="J3422" i="5"/>
  <c r="K3422" i="5"/>
  <c r="L3422" i="5"/>
  <c r="M3422" i="5"/>
  <c r="H3423" i="5"/>
  <c r="I3423" i="5"/>
  <c r="J3423" i="5"/>
  <c r="K3423" i="5"/>
  <c r="L3423" i="5"/>
  <c r="M3423" i="5"/>
  <c r="H3424" i="5"/>
  <c r="I3424" i="5"/>
  <c r="J3424" i="5"/>
  <c r="K3424" i="5"/>
  <c r="L3424" i="5"/>
  <c r="M3424" i="5"/>
  <c r="H3425" i="5"/>
  <c r="I3425" i="5"/>
  <c r="J3425" i="5"/>
  <c r="K3425" i="5"/>
  <c r="L3425" i="5"/>
  <c r="M3425" i="5"/>
  <c r="H3426" i="5"/>
  <c r="I3426" i="5"/>
  <c r="J3426" i="5"/>
  <c r="K3426" i="5"/>
  <c r="L3426" i="5"/>
  <c r="M3426" i="5"/>
  <c r="H3427" i="5"/>
  <c r="I3427" i="5"/>
  <c r="J3427" i="5"/>
  <c r="K3427" i="5"/>
  <c r="L3427" i="5"/>
  <c r="M3427" i="5"/>
  <c r="H3428" i="5"/>
  <c r="I3428" i="5"/>
  <c r="J3428" i="5"/>
  <c r="K3428" i="5"/>
  <c r="L3428" i="5"/>
  <c r="M3428" i="5"/>
  <c r="H3429" i="5"/>
  <c r="I3429" i="5"/>
  <c r="J3429" i="5"/>
  <c r="K3429" i="5"/>
  <c r="L3429" i="5"/>
  <c r="M3429" i="5"/>
  <c r="H3430" i="5"/>
  <c r="I3430" i="5"/>
  <c r="J3430" i="5"/>
  <c r="K3430" i="5"/>
  <c r="L3430" i="5"/>
  <c r="M3430" i="5"/>
  <c r="H3431" i="5"/>
  <c r="I3431" i="5"/>
  <c r="J3431" i="5"/>
  <c r="K3431" i="5"/>
  <c r="L3431" i="5"/>
  <c r="M3431" i="5"/>
  <c r="H3432" i="5"/>
  <c r="I3432" i="5"/>
  <c r="J3432" i="5"/>
  <c r="K3432" i="5"/>
  <c r="L3432" i="5"/>
  <c r="M3432" i="5"/>
  <c r="H3433" i="5"/>
  <c r="I3433" i="5"/>
  <c r="J3433" i="5"/>
  <c r="K3433" i="5"/>
  <c r="L3433" i="5"/>
  <c r="M3433" i="5"/>
  <c r="H3434" i="5"/>
  <c r="I3434" i="5"/>
  <c r="J3434" i="5"/>
  <c r="K3434" i="5"/>
  <c r="L3434" i="5"/>
  <c r="M3434" i="5"/>
  <c r="H3435" i="5"/>
  <c r="I3435" i="5"/>
  <c r="J3435" i="5"/>
  <c r="K3435" i="5"/>
  <c r="L3435" i="5"/>
  <c r="M3435" i="5"/>
  <c r="H3436" i="5"/>
  <c r="I3436" i="5"/>
  <c r="J3436" i="5"/>
  <c r="K3436" i="5"/>
  <c r="L3436" i="5"/>
  <c r="M3436" i="5"/>
  <c r="H3437" i="5"/>
  <c r="I3437" i="5"/>
  <c r="J3437" i="5"/>
  <c r="K3437" i="5"/>
  <c r="L3437" i="5"/>
  <c r="M3437" i="5"/>
  <c r="H3438" i="5"/>
  <c r="I3438" i="5"/>
  <c r="J3438" i="5"/>
  <c r="K3438" i="5"/>
  <c r="L3438" i="5"/>
  <c r="M3438" i="5"/>
  <c r="H3439" i="5"/>
  <c r="I3439" i="5"/>
  <c r="J3439" i="5"/>
  <c r="K3439" i="5"/>
  <c r="L3439" i="5"/>
  <c r="M3439" i="5"/>
  <c r="H3440" i="5"/>
  <c r="I3440" i="5"/>
  <c r="J3440" i="5"/>
  <c r="K3440" i="5"/>
  <c r="L3440" i="5"/>
  <c r="M3440" i="5"/>
  <c r="H3441" i="5"/>
  <c r="I3441" i="5"/>
  <c r="J3441" i="5"/>
  <c r="K3441" i="5"/>
  <c r="L3441" i="5"/>
  <c r="M3441" i="5"/>
  <c r="H3442" i="5"/>
  <c r="I3442" i="5"/>
  <c r="J3442" i="5"/>
  <c r="K3442" i="5"/>
  <c r="L3442" i="5"/>
  <c r="M3442" i="5"/>
  <c r="H3443" i="5"/>
  <c r="I3443" i="5"/>
  <c r="J3443" i="5"/>
  <c r="K3443" i="5"/>
  <c r="L3443" i="5"/>
  <c r="M3443" i="5"/>
  <c r="H3444" i="5"/>
  <c r="I3444" i="5"/>
  <c r="J3444" i="5"/>
  <c r="K3444" i="5"/>
  <c r="L3444" i="5"/>
  <c r="M3444" i="5"/>
  <c r="H3445" i="5"/>
  <c r="I3445" i="5"/>
  <c r="J3445" i="5"/>
  <c r="K3445" i="5"/>
  <c r="L3445" i="5"/>
  <c r="M3445" i="5"/>
  <c r="H3446" i="5"/>
  <c r="I3446" i="5"/>
  <c r="J3446" i="5"/>
  <c r="K3446" i="5"/>
  <c r="L3446" i="5"/>
  <c r="M3446" i="5"/>
  <c r="H3447" i="5"/>
  <c r="I3447" i="5"/>
  <c r="J3447" i="5"/>
  <c r="K3447" i="5"/>
  <c r="L3447" i="5"/>
  <c r="M3447" i="5"/>
  <c r="H3448" i="5"/>
  <c r="I3448" i="5"/>
  <c r="J3448" i="5"/>
  <c r="K3448" i="5"/>
  <c r="L3448" i="5"/>
  <c r="M3448" i="5"/>
  <c r="H3449" i="5"/>
  <c r="I3449" i="5"/>
  <c r="J3449" i="5"/>
  <c r="K3449" i="5"/>
  <c r="L3449" i="5"/>
  <c r="M3449" i="5"/>
  <c r="H3450" i="5"/>
  <c r="I3450" i="5"/>
  <c r="J3450" i="5"/>
  <c r="K3450" i="5"/>
  <c r="L3450" i="5"/>
  <c r="M3450" i="5"/>
  <c r="H3451" i="5"/>
  <c r="I3451" i="5"/>
  <c r="J3451" i="5"/>
  <c r="K3451" i="5"/>
  <c r="L3451" i="5"/>
  <c r="M3451" i="5"/>
  <c r="H3452" i="5"/>
  <c r="I3452" i="5"/>
  <c r="J3452" i="5"/>
  <c r="K3452" i="5"/>
  <c r="L3452" i="5"/>
  <c r="M3452" i="5"/>
  <c r="H3453" i="5"/>
  <c r="I3453" i="5"/>
  <c r="J3453" i="5"/>
  <c r="K3453" i="5"/>
  <c r="L3453" i="5"/>
  <c r="M3453" i="5"/>
  <c r="H3454" i="5"/>
  <c r="I3454" i="5"/>
  <c r="J3454" i="5"/>
  <c r="K3454" i="5"/>
  <c r="L3454" i="5"/>
  <c r="M3454" i="5"/>
  <c r="H3455" i="5"/>
  <c r="I3455" i="5"/>
  <c r="J3455" i="5"/>
  <c r="K3455" i="5"/>
  <c r="L3455" i="5"/>
  <c r="M3455" i="5"/>
  <c r="H3456" i="5"/>
  <c r="I3456" i="5"/>
  <c r="J3456" i="5"/>
  <c r="K3456" i="5"/>
  <c r="L3456" i="5"/>
  <c r="M3456" i="5"/>
  <c r="H3457" i="5"/>
  <c r="I3457" i="5"/>
  <c r="J3457" i="5"/>
  <c r="K3457" i="5"/>
  <c r="L3457" i="5"/>
  <c r="M3457" i="5"/>
  <c r="H3458" i="5"/>
  <c r="I3458" i="5"/>
  <c r="J3458" i="5"/>
  <c r="K3458" i="5"/>
  <c r="L3458" i="5"/>
  <c r="M3458" i="5"/>
  <c r="H3459" i="5"/>
  <c r="I3459" i="5"/>
  <c r="J3459" i="5"/>
  <c r="K3459" i="5"/>
  <c r="L3459" i="5"/>
  <c r="M3459" i="5"/>
  <c r="H3460" i="5"/>
  <c r="I3460" i="5"/>
  <c r="J3460" i="5"/>
  <c r="K3460" i="5"/>
  <c r="L3460" i="5"/>
  <c r="M3460" i="5"/>
  <c r="H3461" i="5"/>
  <c r="I3461" i="5"/>
  <c r="J3461" i="5"/>
  <c r="K3461" i="5"/>
  <c r="L3461" i="5"/>
  <c r="M3461" i="5"/>
  <c r="H3462" i="5"/>
  <c r="I3462" i="5"/>
  <c r="J3462" i="5"/>
  <c r="K3462" i="5"/>
  <c r="L3462" i="5"/>
  <c r="M3462" i="5"/>
  <c r="H3463" i="5"/>
  <c r="I3463" i="5"/>
  <c r="J3463" i="5"/>
  <c r="K3463" i="5"/>
  <c r="L3463" i="5"/>
  <c r="M3463" i="5"/>
  <c r="H3464" i="5"/>
  <c r="I3464" i="5"/>
  <c r="J3464" i="5"/>
  <c r="K3464" i="5"/>
  <c r="L3464" i="5"/>
  <c r="M3464" i="5"/>
  <c r="H3465" i="5"/>
  <c r="I3465" i="5"/>
  <c r="J3465" i="5"/>
  <c r="K3465" i="5"/>
  <c r="L3465" i="5"/>
  <c r="M3465" i="5"/>
  <c r="H3466" i="5"/>
  <c r="I3466" i="5"/>
  <c r="J3466" i="5"/>
  <c r="K3466" i="5"/>
  <c r="L3466" i="5"/>
  <c r="M3466" i="5"/>
  <c r="H3467" i="5"/>
  <c r="I3467" i="5"/>
  <c r="J3467" i="5"/>
  <c r="K3467" i="5"/>
  <c r="L3467" i="5"/>
  <c r="M3467" i="5"/>
  <c r="H3468" i="5"/>
  <c r="I3468" i="5"/>
  <c r="J3468" i="5"/>
  <c r="K3468" i="5"/>
  <c r="L3468" i="5"/>
  <c r="M3468" i="5"/>
  <c r="H3469" i="5"/>
  <c r="I3469" i="5"/>
  <c r="J3469" i="5"/>
  <c r="K3469" i="5"/>
  <c r="L3469" i="5"/>
  <c r="M3469" i="5"/>
  <c r="H3470" i="5"/>
  <c r="I3470" i="5"/>
  <c r="J3470" i="5"/>
  <c r="K3470" i="5"/>
  <c r="L3470" i="5"/>
  <c r="M3470" i="5"/>
  <c r="H3471" i="5"/>
  <c r="I3471" i="5"/>
  <c r="J3471" i="5"/>
  <c r="K3471" i="5"/>
  <c r="L3471" i="5"/>
  <c r="M3471" i="5"/>
  <c r="H3472" i="5"/>
  <c r="I3472" i="5"/>
  <c r="J3472" i="5"/>
  <c r="K3472" i="5"/>
  <c r="L3472" i="5"/>
  <c r="M3472" i="5"/>
  <c r="H3473" i="5"/>
  <c r="I3473" i="5"/>
  <c r="J3473" i="5"/>
  <c r="K3473" i="5"/>
  <c r="L3473" i="5"/>
  <c r="M3473" i="5"/>
  <c r="H3474" i="5"/>
  <c r="I3474" i="5"/>
  <c r="J3474" i="5"/>
  <c r="K3474" i="5"/>
  <c r="L3474" i="5"/>
  <c r="M3474" i="5"/>
  <c r="H3475" i="5"/>
  <c r="I3475" i="5"/>
  <c r="J3475" i="5"/>
  <c r="K3475" i="5"/>
  <c r="L3475" i="5"/>
  <c r="M3475" i="5"/>
  <c r="H3476" i="5"/>
  <c r="I3476" i="5"/>
  <c r="J3476" i="5"/>
  <c r="K3476" i="5"/>
  <c r="L3476" i="5"/>
  <c r="M3476" i="5"/>
  <c r="H3477" i="5"/>
  <c r="I3477" i="5"/>
  <c r="J3477" i="5"/>
  <c r="K3477" i="5"/>
  <c r="L3477" i="5"/>
  <c r="M3477" i="5"/>
  <c r="H3478" i="5"/>
  <c r="I3478" i="5"/>
  <c r="J3478" i="5"/>
  <c r="K3478" i="5"/>
  <c r="L3478" i="5"/>
  <c r="M3478" i="5"/>
  <c r="H3479" i="5"/>
  <c r="I3479" i="5"/>
  <c r="J3479" i="5"/>
  <c r="K3479" i="5"/>
  <c r="L3479" i="5"/>
  <c r="M3479" i="5"/>
  <c r="H3480" i="5"/>
  <c r="I3480" i="5"/>
  <c r="J3480" i="5"/>
  <c r="K3480" i="5"/>
  <c r="L3480" i="5"/>
  <c r="M3480" i="5"/>
  <c r="H3481" i="5"/>
  <c r="I3481" i="5"/>
  <c r="J3481" i="5"/>
  <c r="K3481" i="5"/>
  <c r="L3481" i="5"/>
  <c r="M3481" i="5"/>
  <c r="H3482" i="5"/>
  <c r="I3482" i="5"/>
  <c r="J3482" i="5"/>
  <c r="K3482" i="5"/>
  <c r="L3482" i="5"/>
  <c r="M3482" i="5"/>
  <c r="H3483" i="5"/>
  <c r="I3483" i="5"/>
  <c r="J3483" i="5"/>
  <c r="K3483" i="5"/>
  <c r="L3483" i="5"/>
  <c r="M3483" i="5"/>
  <c r="H3484" i="5"/>
  <c r="I3484" i="5"/>
  <c r="J3484" i="5"/>
  <c r="K3484" i="5"/>
  <c r="L3484" i="5"/>
  <c r="M3484" i="5"/>
  <c r="H3485" i="5"/>
  <c r="I3485" i="5"/>
  <c r="J3485" i="5"/>
  <c r="K3485" i="5"/>
  <c r="L3485" i="5"/>
  <c r="M3485" i="5"/>
  <c r="H3486" i="5"/>
  <c r="I3486" i="5"/>
  <c r="J3486" i="5"/>
  <c r="K3486" i="5"/>
  <c r="L3486" i="5"/>
  <c r="M3486" i="5"/>
  <c r="H3487" i="5"/>
  <c r="I3487" i="5"/>
  <c r="J3487" i="5"/>
  <c r="K3487" i="5"/>
  <c r="L3487" i="5"/>
  <c r="M3487" i="5"/>
  <c r="H3488" i="5"/>
  <c r="I3488" i="5"/>
  <c r="J3488" i="5"/>
  <c r="K3488" i="5"/>
  <c r="L3488" i="5"/>
  <c r="M3488" i="5"/>
  <c r="H3489" i="5"/>
  <c r="I3489" i="5"/>
  <c r="J3489" i="5"/>
  <c r="K3489" i="5"/>
  <c r="L3489" i="5"/>
  <c r="M3489" i="5"/>
  <c r="H3490" i="5"/>
  <c r="I3490" i="5"/>
  <c r="J3490" i="5"/>
  <c r="K3490" i="5"/>
  <c r="L3490" i="5"/>
  <c r="M3490" i="5"/>
  <c r="H3491" i="5"/>
  <c r="I3491" i="5"/>
  <c r="J3491" i="5"/>
  <c r="K3491" i="5"/>
  <c r="L3491" i="5"/>
  <c r="M3491" i="5"/>
  <c r="H3492" i="5"/>
  <c r="I3492" i="5"/>
  <c r="J3492" i="5"/>
  <c r="K3492" i="5"/>
  <c r="L3492" i="5"/>
  <c r="M3492" i="5"/>
  <c r="H3493" i="5"/>
  <c r="I3493" i="5"/>
  <c r="J3493" i="5"/>
  <c r="K3493" i="5"/>
  <c r="L3493" i="5"/>
  <c r="M3493" i="5"/>
  <c r="H3494" i="5"/>
  <c r="I3494" i="5"/>
  <c r="J3494" i="5"/>
  <c r="K3494" i="5"/>
  <c r="L3494" i="5"/>
  <c r="M3494" i="5"/>
  <c r="H3495" i="5"/>
  <c r="I3495" i="5"/>
  <c r="J3495" i="5"/>
  <c r="K3495" i="5"/>
  <c r="L3495" i="5"/>
  <c r="M3495" i="5"/>
  <c r="H3496" i="5"/>
  <c r="I3496" i="5"/>
  <c r="J3496" i="5"/>
  <c r="K3496" i="5"/>
  <c r="L3496" i="5"/>
  <c r="M3496" i="5"/>
  <c r="H3497" i="5"/>
  <c r="I3497" i="5"/>
  <c r="J3497" i="5"/>
  <c r="K3497" i="5"/>
  <c r="L3497" i="5"/>
  <c r="M3497" i="5"/>
  <c r="H3498" i="5"/>
  <c r="I3498" i="5"/>
  <c r="J3498" i="5"/>
  <c r="K3498" i="5"/>
  <c r="L3498" i="5"/>
  <c r="M3498" i="5"/>
  <c r="H3499" i="5"/>
  <c r="I3499" i="5"/>
  <c r="J3499" i="5"/>
  <c r="K3499" i="5"/>
  <c r="L3499" i="5"/>
  <c r="M3499" i="5"/>
  <c r="H3500" i="5"/>
  <c r="I3500" i="5"/>
  <c r="J3500" i="5"/>
  <c r="K3500" i="5"/>
  <c r="L3500" i="5"/>
  <c r="M3500" i="5"/>
  <c r="H3501" i="5"/>
  <c r="I3501" i="5"/>
  <c r="J3501" i="5"/>
  <c r="K3501" i="5"/>
  <c r="L3501" i="5"/>
  <c r="M3501" i="5"/>
  <c r="H3502" i="5"/>
  <c r="I3502" i="5"/>
  <c r="J3502" i="5"/>
  <c r="K3502" i="5"/>
  <c r="L3502" i="5"/>
  <c r="M3502" i="5"/>
  <c r="H3503" i="5"/>
  <c r="I3503" i="5"/>
  <c r="J3503" i="5"/>
  <c r="K3503" i="5"/>
  <c r="L3503" i="5"/>
  <c r="M3503" i="5"/>
  <c r="H3504" i="5"/>
  <c r="I3504" i="5"/>
  <c r="J3504" i="5"/>
  <c r="K3504" i="5"/>
  <c r="L3504" i="5"/>
  <c r="M3504" i="5"/>
  <c r="H3505" i="5"/>
  <c r="I3505" i="5"/>
  <c r="J3505" i="5"/>
  <c r="K3505" i="5"/>
  <c r="L3505" i="5"/>
  <c r="M3505" i="5"/>
  <c r="H3506" i="5"/>
  <c r="I3506" i="5"/>
  <c r="J3506" i="5"/>
  <c r="K3506" i="5"/>
  <c r="L3506" i="5"/>
  <c r="M3506" i="5"/>
  <c r="H3507" i="5"/>
  <c r="I3507" i="5"/>
  <c r="J3507" i="5"/>
  <c r="K3507" i="5"/>
  <c r="L3507" i="5"/>
  <c r="M3507" i="5"/>
  <c r="H3508" i="5"/>
  <c r="I3508" i="5"/>
  <c r="J3508" i="5"/>
  <c r="K3508" i="5"/>
  <c r="L3508" i="5"/>
  <c r="M3508" i="5"/>
  <c r="H3509" i="5"/>
  <c r="I3509" i="5"/>
  <c r="J3509" i="5"/>
  <c r="K3509" i="5"/>
  <c r="L3509" i="5"/>
  <c r="M3509" i="5"/>
  <c r="H3510" i="5"/>
  <c r="I3510" i="5"/>
  <c r="J3510" i="5"/>
  <c r="K3510" i="5"/>
  <c r="L3510" i="5"/>
  <c r="M3510" i="5"/>
  <c r="H3511" i="5"/>
  <c r="I3511" i="5"/>
  <c r="J3511" i="5"/>
  <c r="K3511" i="5"/>
  <c r="L3511" i="5"/>
  <c r="M3511" i="5"/>
  <c r="H3512" i="5"/>
  <c r="I3512" i="5"/>
  <c r="J3512" i="5"/>
  <c r="K3512" i="5"/>
  <c r="L3512" i="5"/>
  <c r="M3512" i="5"/>
  <c r="H3513" i="5"/>
  <c r="I3513" i="5"/>
  <c r="J3513" i="5"/>
  <c r="K3513" i="5"/>
  <c r="L3513" i="5"/>
  <c r="M3513" i="5"/>
  <c r="H3514" i="5"/>
  <c r="I3514" i="5"/>
  <c r="J3514" i="5"/>
  <c r="K3514" i="5"/>
  <c r="L3514" i="5"/>
  <c r="M3514" i="5"/>
  <c r="H3515" i="5"/>
  <c r="I3515" i="5"/>
  <c r="J3515" i="5"/>
  <c r="K3515" i="5"/>
  <c r="L3515" i="5"/>
  <c r="M3515" i="5"/>
  <c r="H3516" i="5"/>
  <c r="I3516" i="5"/>
  <c r="J3516" i="5"/>
  <c r="K3516" i="5"/>
  <c r="L3516" i="5"/>
  <c r="M3516" i="5"/>
  <c r="H3517" i="5"/>
  <c r="I3517" i="5"/>
  <c r="J3517" i="5"/>
  <c r="K3517" i="5"/>
  <c r="L3517" i="5"/>
  <c r="M3517" i="5"/>
  <c r="H3518" i="5"/>
  <c r="I3518" i="5"/>
  <c r="J3518" i="5"/>
  <c r="K3518" i="5"/>
  <c r="L3518" i="5"/>
  <c r="M3518" i="5"/>
  <c r="H3519" i="5"/>
  <c r="I3519" i="5"/>
  <c r="J3519" i="5"/>
  <c r="K3519" i="5"/>
  <c r="L3519" i="5"/>
  <c r="M3519" i="5"/>
  <c r="H3520" i="5"/>
  <c r="I3520" i="5"/>
  <c r="J3520" i="5"/>
  <c r="K3520" i="5"/>
  <c r="L3520" i="5"/>
  <c r="M3520" i="5"/>
  <c r="H3521" i="5"/>
  <c r="I3521" i="5"/>
  <c r="J3521" i="5"/>
  <c r="K3521" i="5"/>
  <c r="L3521" i="5"/>
  <c r="M3521" i="5"/>
  <c r="H3522" i="5"/>
  <c r="I3522" i="5"/>
  <c r="J3522" i="5"/>
  <c r="K3522" i="5"/>
  <c r="L3522" i="5"/>
  <c r="M3522" i="5"/>
  <c r="H3523" i="5"/>
  <c r="I3523" i="5"/>
  <c r="J3523" i="5"/>
  <c r="K3523" i="5"/>
  <c r="L3523" i="5"/>
  <c r="M3523" i="5"/>
  <c r="H3524" i="5"/>
  <c r="I3524" i="5"/>
  <c r="J3524" i="5"/>
  <c r="K3524" i="5"/>
  <c r="L3524" i="5"/>
  <c r="M3524" i="5"/>
  <c r="H3525" i="5"/>
  <c r="I3525" i="5"/>
  <c r="J3525" i="5"/>
  <c r="K3525" i="5"/>
  <c r="L3525" i="5"/>
  <c r="M3525" i="5"/>
  <c r="H3526" i="5"/>
  <c r="I3526" i="5"/>
  <c r="J3526" i="5"/>
  <c r="K3526" i="5"/>
  <c r="L3526" i="5"/>
  <c r="M3526" i="5"/>
  <c r="H3527" i="5"/>
  <c r="I3527" i="5"/>
  <c r="J3527" i="5"/>
  <c r="K3527" i="5"/>
  <c r="L3527" i="5"/>
  <c r="M3527" i="5"/>
  <c r="H3528" i="5"/>
  <c r="I3528" i="5"/>
  <c r="J3528" i="5"/>
  <c r="K3528" i="5"/>
  <c r="L3528" i="5"/>
  <c r="M3528" i="5"/>
  <c r="H3529" i="5"/>
  <c r="I3529" i="5"/>
  <c r="J3529" i="5"/>
  <c r="K3529" i="5"/>
  <c r="L3529" i="5"/>
  <c r="M3529" i="5"/>
  <c r="H3530" i="5"/>
  <c r="I3530" i="5"/>
  <c r="J3530" i="5"/>
  <c r="K3530" i="5"/>
  <c r="L3530" i="5"/>
  <c r="M3530" i="5"/>
  <c r="H3531" i="5"/>
  <c r="I3531" i="5"/>
  <c r="J3531" i="5"/>
  <c r="K3531" i="5"/>
  <c r="L3531" i="5"/>
  <c r="M3531" i="5"/>
  <c r="H3532" i="5"/>
  <c r="I3532" i="5"/>
  <c r="J3532" i="5"/>
  <c r="K3532" i="5"/>
  <c r="L3532" i="5"/>
  <c r="M3532" i="5"/>
  <c r="H3533" i="5"/>
  <c r="I3533" i="5"/>
  <c r="J3533" i="5"/>
  <c r="K3533" i="5"/>
  <c r="L3533" i="5"/>
  <c r="M3533" i="5"/>
  <c r="H3534" i="5"/>
  <c r="I3534" i="5"/>
  <c r="J3534" i="5"/>
  <c r="K3534" i="5"/>
  <c r="L3534" i="5"/>
  <c r="M3534" i="5"/>
  <c r="H3535" i="5"/>
  <c r="I3535" i="5"/>
  <c r="J3535" i="5"/>
  <c r="K3535" i="5"/>
  <c r="L3535" i="5"/>
  <c r="M3535" i="5"/>
  <c r="H3536" i="5"/>
  <c r="I3536" i="5"/>
  <c r="J3536" i="5"/>
  <c r="K3536" i="5"/>
  <c r="L3536" i="5"/>
  <c r="M3536" i="5"/>
  <c r="H3537" i="5"/>
  <c r="I3537" i="5"/>
  <c r="J3537" i="5"/>
  <c r="K3537" i="5"/>
  <c r="L3537" i="5"/>
  <c r="M3537" i="5"/>
  <c r="H3538" i="5"/>
  <c r="I3538" i="5"/>
  <c r="J3538" i="5"/>
  <c r="K3538" i="5"/>
  <c r="L3538" i="5"/>
  <c r="M3538" i="5"/>
  <c r="H3539" i="5"/>
  <c r="I3539" i="5"/>
  <c r="J3539" i="5"/>
  <c r="K3539" i="5"/>
  <c r="L3539" i="5"/>
  <c r="M3539" i="5"/>
  <c r="H3540" i="5"/>
  <c r="I3540" i="5"/>
  <c r="J3540" i="5"/>
  <c r="K3540" i="5"/>
  <c r="L3540" i="5"/>
  <c r="M3540" i="5"/>
  <c r="H3541" i="5"/>
  <c r="I3541" i="5"/>
  <c r="J3541" i="5"/>
  <c r="K3541" i="5"/>
  <c r="L3541" i="5"/>
  <c r="M3541" i="5"/>
  <c r="H3542" i="5"/>
  <c r="I3542" i="5"/>
  <c r="J3542" i="5"/>
  <c r="K3542" i="5"/>
  <c r="L3542" i="5"/>
  <c r="M3542" i="5"/>
  <c r="H3543" i="5"/>
  <c r="I3543" i="5"/>
  <c r="J3543" i="5"/>
  <c r="K3543" i="5"/>
  <c r="L3543" i="5"/>
  <c r="M3543" i="5"/>
  <c r="H3544" i="5"/>
  <c r="I3544" i="5"/>
  <c r="J3544" i="5"/>
  <c r="K3544" i="5"/>
  <c r="L3544" i="5"/>
  <c r="M3544" i="5"/>
  <c r="H3545" i="5"/>
  <c r="I3545" i="5"/>
  <c r="J3545" i="5"/>
  <c r="K3545" i="5"/>
  <c r="L3545" i="5"/>
  <c r="M3545" i="5"/>
  <c r="H3546" i="5"/>
  <c r="I3546" i="5"/>
  <c r="J3546" i="5"/>
  <c r="K3546" i="5"/>
  <c r="L3546" i="5"/>
  <c r="M3546" i="5"/>
  <c r="H3547" i="5"/>
  <c r="I3547" i="5"/>
  <c r="J3547" i="5"/>
  <c r="K3547" i="5"/>
  <c r="L3547" i="5"/>
  <c r="M3547" i="5"/>
  <c r="H3548" i="5"/>
  <c r="I3548" i="5"/>
  <c r="J3548" i="5"/>
  <c r="K3548" i="5"/>
  <c r="L3548" i="5"/>
  <c r="M3548" i="5"/>
  <c r="H3549" i="5"/>
  <c r="I3549" i="5"/>
  <c r="J3549" i="5"/>
  <c r="K3549" i="5"/>
  <c r="L3549" i="5"/>
  <c r="M3549" i="5"/>
  <c r="H3550" i="5"/>
  <c r="I3550" i="5"/>
  <c r="J3550" i="5"/>
  <c r="K3550" i="5"/>
  <c r="L3550" i="5"/>
  <c r="M3550" i="5"/>
  <c r="H3551" i="5"/>
  <c r="I3551" i="5"/>
  <c r="J3551" i="5"/>
  <c r="K3551" i="5"/>
  <c r="L3551" i="5"/>
  <c r="M3551" i="5"/>
  <c r="H3552" i="5"/>
  <c r="I3552" i="5"/>
  <c r="J3552" i="5"/>
  <c r="K3552" i="5"/>
  <c r="L3552" i="5"/>
  <c r="M3552" i="5"/>
  <c r="H3553" i="5"/>
  <c r="I3553" i="5"/>
  <c r="J3553" i="5"/>
  <c r="K3553" i="5"/>
  <c r="L3553" i="5"/>
  <c r="M3553" i="5"/>
  <c r="H3554" i="5"/>
  <c r="I3554" i="5"/>
  <c r="J3554" i="5"/>
  <c r="K3554" i="5"/>
  <c r="L3554" i="5"/>
  <c r="M3554" i="5"/>
  <c r="H3555" i="5"/>
  <c r="I3555" i="5"/>
  <c r="J3555" i="5"/>
  <c r="K3555" i="5"/>
  <c r="L3555" i="5"/>
  <c r="M3555" i="5"/>
  <c r="H3556" i="5"/>
  <c r="I3556" i="5"/>
  <c r="J3556" i="5"/>
  <c r="K3556" i="5"/>
  <c r="L3556" i="5"/>
  <c r="M3556" i="5"/>
  <c r="H3557" i="5"/>
  <c r="I3557" i="5"/>
  <c r="J3557" i="5"/>
  <c r="K3557" i="5"/>
  <c r="L3557" i="5"/>
  <c r="M3557" i="5"/>
  <c r="H3558" i="5"/>
  <c r="I3558" i="5"/>
  <c r="J3558" i="5"/>
  <c r="K3558" i="5"/>
  <c r="L3558" i="5"/>
  <c r="M3558" i="5"/>
  <c r="H3559" i="5"/>
  <c r="I3559" i="5"/>
  <c r="J3559" i="5"/>
  <c r="K3559" i="5"/>
  <c r="L3559" i="5"/>
  <c r="M3559" i="5"/>
  <c r="H3560" i="5"/>
  <c r="I3560" i="5"/>
  <c r="J3560" i="5"/>
  <c r="K3560" i="5"/>
  <c r="L3560" i="5"/>
  <c r="M3560" i="5"/>
  <c r="H3561" i="5"/>
  <c r="I3561" i="5"/>
  <c r="J3561" i="5"/>
  <c r="K3561" i="5"/>
  <c r="L3561" i="5"/>
  <c r="M3561" i="5"/>
  <c r="H3562" i="5"/>
  <c r="I3562" i="5"/>
  <c r="J3562" i="5"/>
  <c r="K3562" i="5"/>
  <c r="L3562" i="5"/>
  <c r="M3562" i="5"/>
  <c r="H3563" i="5"/>
  <c r="I3563" i="5"/>
  <c r="J3563" i="5"/>
  <c r="K3563" i="5"/>
  <c r="L3563" i="5"/>
  <c r="M3563" i="5"/>
  <c r="H3564" i="5"/>
  <c r="I3564" i="5"/>
  <c r="J3564" i="5"/>
  <c r="K3564" i="5"/>
  <c r="L3564" i="5"/>
  <c r="M3564" i="5"/>
  <c r="H3565" i="5"/>
  <c r="I3565" i="5"/>
  <c r="J3565" i="5"/>
  <c r="K3565" i="5"/>
  <c r="L3565" i="5"/>
  <c r="M3565" i="5"/>
  <c r="H3566" i="5"/>
  <c r="I3566" i="5"/>
  <c r="J3566" i="5"/>
  <c r="K3566" i="5"/>
  <c r="L3566" i="5"/>
  <c r="M3566" i="5"/>
  <c r="H3567" i="5"/>
  <c r="I3567" i="5"/>
  <c r="J3567" i="5"/>
  <c r="K3567" i="5"/>
  <c r="L3567" i="5"/>
  <c r="M3567" i="5"/>
  <c r="H3568" i="5"/>
  <c r="I3568" i="5"/>
  <c r="J3568" i="5"/>
  <c r="K3568" i="5"/>
  <c r="L3568" i="5"/>
  <c r="M3568" i="5"/>
  <c r="H3569" i="5"/>
  <c r="I3569" i="5"/>
  <c r="J3569" i="5"/>
  <c r="K3569" i="5"/>
  <c r="L3569" i="5"/>
  <c r="M3569" i="5"/>
  <c r="H3570" i="5"/>
  <c r="I3570" i="5"/>
  <c r="J3570" i="5"/>
  <c r="K3570" i="5"/>
  <c r="L3570" i="5"/>
  <c r="M3570" i="5"/>
  <c r="H3571" i="5"/>
  <c r="I3571" i="5"/>
  <c r="J3571" i="5"/>
  <c r="K3571" i="5"/>
  <c r="L3571" i="5"/>
  <c r="M3571" i="5"/>
  <c r="H3572" i="5"/>
  <c r="I3572" i="5"/>
  <c r="J3572" i="5"/>
  <c r="K3572" i="5"/>
  <c r="L3572" i="5"/>
  <c r="M3572" i="5"/>
  <c r="H3573" i="5"/>
  <c r="I3573" i="5"/>
  <c r="J3573" i="5"/>
  <c r="K3573" i="5"/>
  <c r="L3573" i="5"/>
  <c r="M3573" i="5"/>
  <c r="H3574" i="5"/>
  <c r="I3574" i="5"/>
  <c r="J3574" i="5"/>
  <c r="K3574" i="5"/>
  <c r="L3574" i="5"/>
  <c r="M3574" i="5"/>
  <c r="H3575" i="5"/>
  <c r="I3575" i="5"/>
  <c r="J3575" i="5"/>
  <c r="K3575" i="5"/>
  <c r="L3575" i="5"/>
  <c r="M3575" i="5"/>
  <c r="H3576" i="5"/>
  <c r="I3576" i="5"/>
  <c r="J3576" i="5"/>
  <c r="K3576" i="5"/>
  <c r="L3576" i="5"/>
  <c r="M3576" i="5"/>
  <c r="H3577" i="5"/>
  <c r="I3577" i="5"/>
  <c r="J3577" i="5"/>
  <c r="K3577" i="5"/>
  <c r="L3577" i="5"/>
  <c r="M3577" i="5"/>
  <c r="H3578" i="5"/>
  <c r="I3578" i="5"/>
  <c r="J3578" i="5"/>
  <c r="K3578" i="5"/>
  <c r="L3578" i="5"/>
  <c r="M3578" i="5"/>
  <c r="H3579" i="5"/>
  <c r="I3579" i="5"/>
  <c r="J3579" i="5"/>
  <c r="K3579" i="5"/>
  <c r="L3579" i="5"/>
  <c r="M3579" i="5"/>
  <c r="H3580" i="5"/>
  <c r="I3580" i="5"/>
  <c r="J3580" i="5"/>
  <c r="K3580" i="5"/>
  <c r="L3580" i="5"/>
  <c r="M3580" i="5"/>
  <c r="H3581" i="5"/>
  <c r="I3581" i="5"/>
  <c r="J3581" i="5"/>
  <c r="K3581" i="5"/>
  <c r="L3581" i="5"/>
  <c r="M3581" i="5"/>
  <c r="H3582" i="5"/>
  <c r="I3582" i="5"/>
  <c r="J3582" i="5"/>
  <c r="K3582" i="5"/>
  <c r="L3582" i="5"/>
  <c r="M3582" i="5"/>
  <c r="H3583" i="5"/>
  <c r="I3583" i="5"/>
  <c r="J3583" i="5"/>
  <c r="K3583" i="5"/>
  <c r="L3583" i="5"/>
  <c r="M3583" i="5"/>
  <c r="H3584" i="5"/>
  <c r="I3584" i="5"/>
  <c r="J3584" i="5"/>
  <c r="K3584" i="5"/>
  <c r="L3584" i="5"/>
  <c r="M3584" i="5"/>
  <c r="H3585" i="5"/>
  <c r="I3585" i="5"/>
  <c r="J3585" i="5"/>
  <c r="K3585" i="5"/>
  <c r="L3585" i="5"/>
  <c r="M3585" i="5"/>
  <c r="H3586" i="5"/>
  <c r="I3586" i="5"/>
  <c r="J3586" i="5"/>
  <c r="K3586" i="5"/>
  <c r="L3586" i="5"/>
  <c r="M3586" i="5"/>
  <c r="H3587" i="5"/>
  <c r="I3587" i="5"/>
  <c r="J3587" i="5"/>
  <c r="K3587" i="5"/>
  <c r="L3587" i="5"/>
  <c r="M3587" i="5"/>
  <c r="H3588" i="5"/>
  <c r="I3588" i="5"/>
  <c r="J3588" i="5"/>
  <c r="K3588" i="5"/>
  <c r="L3588" i="5"/>
  <c r="M3588" i="5"/>
  <c r="H3589" i="5"/>
  <c r="I3589" i="5"/>
  <c r="J3589" i="5"/>
  <c r="K3589" i="5"/>
  <c r="L3589" i="5"/>
  <c r="M3589" i="5"/>
  <c r="H3590" i="5"/>
  <c r="I3590" i="5"/>
  <c r="J3590" i="5"/>
  <c r="K3590" i="5"/>
  <c r="L3590" i="5"/>
  <c r="M3590" i="5"/>
  <c r="H3591" i="5"/>
  <c r="I3591" i="5"/>
  <c r="J3591" i="5"/>
  <c r="K3591" i="5"/>
  <c r="L3591" i="5"/>
  <c r="M3591" i="5"/>
  <c r="H3592" i="5"/>
  <c r="I3592" i="5"/>
  <c r="J3592" i="5"/>
  <c r="K3592" i="5"/>
  <c r="L3592" i="5"/>
  <c r="M3592" i="5"/>
  <c r="H3593" i="5"/>
  <c r="I3593" i="5"/>
  <c r="J3593" i="5"/>
  <c r="K3593" i="5"/>
  <c r="L3593" i="5"/>
  <c r="M3593" i="5"/>
  <c r="H3594" i="5"/>
  <c r="I3594" i="5"/>
  <c r="J3594" i="5"/>
  <c r="K3594" i="5"/>
  <c r="L3594" i="5"/>
  <c r="M3594" i="5"/>
  <c r="H3595" i="5"/>
  <c r="I3595" i="5"/>
  <c r="J3595" i="5"/>
  <c r="K3595" i="5"/>
  <c r="L3595" i="5"/>
  <c r="M3595" i="5"/>
  <c r="H3596" i="5"/>
  <c r="I3596" i="5"/>
  <c r="J3596" i="5"/>
  <c r="K3596" i="5"/>
  <c r="L3596" i="5"/>
  <c r="M3596" i="5"/>
  <c r="H3597" i="5"/>
  <c r="I3597" i="5"/>
  <c r="J3597" i="5"/>
  <c r="K3597" i="5"/>
  <c r="L3597" i="5"/>
  <c r="M3597" i="5"/>
  <c r="H3598" i="5"/>
  <c r="I3598" i="5"/>
  <c r="J3598" i="5"/>
  <c r="K3598" i="5"/>
  <c r="L3598" i="5"/>
  <c r="M3598" i="5"/>
  <c r="H3599" i="5"/>
  <c r="I3599" i="5"/>
  <c r="J3599" i="5"/>
  <c r="K3599" i="5"/>
  <c r="L3599" i="5"/>
  <c r="M3599" i="5"/>
  <c r="H3600" i="5"/>
  <c r="I3600" i="5"/>
  <c r="J3600" i="5"/>
  <c r="K3600" i="5"/>
  <c r="L3600" i="5"/>
  <c r="M3600" i="5"/>
  <c r="H3601" i="5"/>
  <c r="I3601" i="5"/>
  <c r="J3601" i="5"/>
  <c r="K3601" i="5"/>
  <c r="L3601" i="5"/>
  <c r="M3601" i="5"/>
  <c r="H3602" i="5"/>
  <c r="I3602" i="5"/>
  <c r="J3602" i="5"/>
  <c r="K3602" i="5"/>
  <c r="L3602" i="5"/>
  <c r="M3602" i="5"/>
  <c r="H3603" i="5"/>
  <c r="I3603" i="5"/>
  <c r="J3603" i="5"/>
  <c r="K3603" i="5"/>
  <c r="L3603" i="5"/>
  <c r="M3603" i="5"/>
  <c r="H3604" i="5"/>
  <c r="I3604" i="5"/>
  <c r="J3604" i="5"/>
  <c r="K3604" i="5"/>
  <c r="L3604" i="5"/>
  <c r="M3604" i="5"/>
  <c r="H3605" i="5"/>
  <c r="I3605" i="5"/>
  <c r="J3605" i="5"/>
  <c r="K3605" i="5"/>
  <c r="L3605" i="5"/>
  <c r="M3605" i="5"/>
  <c r="H3606" i="5"/>
  <c r="I3606" i="5"/>
  <c r="J3606" i="5"/>
  <c r="K3606" i="5"/>
  <c r="L3606" i="5"/>
  <c r="M3606" i="5"/>
  <c r="H3607" i="5"/>
  <c r="I3607" i="5"/>
  <c r="J3607" i="5"/>
  <c r="K3607" i="5"/>
  <c r="L3607" i="5"/>
  <c r="M3607" i="5"/>
  <c r="H3608" i="5"/>
  <c r="I3608" i="5"/>
  <c r="J3608" i="5"/>
  <c r="K3608" i="5"/>
  <c r="L3608" i="5"/>
  <c r="M3608" i="5"/>
  <c r="H3609" i="5"/>
  <c r="I3609" i="5"/>
  <c r="J3609" i="5"/>
  <c r="K3609" i="5"/>
  <c r="L3609" i="5"/>
  <c r="M3609" i="5"/>
  <c r="H3610" i="5"/>
  <c r="I3610" i="5"/>
  <c r="J3610" i="5"/>
  <c r="K3610" i="5"/>
  <c r="L3610" i="5"/>
  <c r="M3610" i="5"/>
  <c r="H3611" i="5"/>
  <c r="I3611" i="5"/>
  <c r="J3611" i="5"/>
  <c r="K3611" i="5"/>
  <c r="L3611" i="5"/>
  <c r="M3611" i="5"/>
  <c r="H3612" i="5"/>
  <c r="I3612" i="5"/>
  <c r="J3612" i="5"/>
  <c r="K3612" i="5"/>
  <c r="L3612" i="5"/>
  <c r="M3612" i="5"/>
  <c r="H3613" i="5"/>
  <c r="I3613" i="5"/>
  <c r="J3613" i="5"/>
  <c r="K3613" i="5"/>
  <c r="L3613" i="5"/>
  <c r="M3613" i="5"/>
  <c r="H3614" i="5"/>
  <c r="I3614" i="5"/>
  <c r="J3614" i="5"/>
  <c r="K3614" i="5"/>
  <c r="L3614" i="5"/>
  <c r="M3614" i="5"/>
  <c r="H3615" i="5"/>
  <c r="I3615" i="5"/>
  <c r="J3615" i="5"/>
  <c r="K3615" i="5"/>
  <c r="L3615" i="5"/>
  <c r="M3615" i="5"/>
  <c r="H3616" i="5"/>
  <c r="I3616" i="5"/>
  <c r="J3616" i="5"/>
  <c r="K3616" i="5"/>
  <c r="L3616" i="5"/>
  <c r="M3616" i="5"/>
  <c r="H3617" i="5"/>
  <c r="I3617" i="5"/>
  <c r="J3617" i="5"/>
  <c r="K3617" i="5"/>
  <c r="L3617" i="5"/>
  <c r="M3617" i="5"/>
  <c r="H3618" i="5"/>
  <c r="I3618" i="5"/>
  <c r="J3618" i="5"/>
  <c r="K3618" i="5"/>
  <c r="L3618" i="5"/>
  <c r="M3618" i="5"/>
  <c r="H3619" i="5"/>
  <c r="I3619" i="5"/>
  <c r="J3619" i="5"/>
  <c r="K3619" i="5"/>
  <c r="L3619" i="5"/>
  <c r="M3619" i="5"/>
  <c r="H3620" i="5"/>
  <c r="I3620" i="5"/>
  <c r="J3620" i="5"/>
  <c r="K3620" i="5"/>
  <c r="L3620" i="5"/>
  <c r="M3620" i="5"/>
  <c r="H3621" i="5"/>
  <c r="I3621" i="5"/>
  <c r="J3621" i="5"/>
  <c r="K3621" i="5"/>
  <c r="L3621" i="5"/>
  <c r="M3621" i="5"/>
  <c r="H3622" i="5"/>
  <c r="I3622" i="5"/>
  <c r="J3622" i="5"/>
  <c r="K3622" i="5"/>
  <c r="L3622" i="5"/>
  <c r="M3622" i="5"/>
  <c r="H3623" i="5"/>
  <c r="I3623" i="5"/>
  <c r="J3623" i="5"/>
  <c r="K3623" i="5"/>
  <c r="L3623" i="5"/>
  <c r="M3623" i="5"/>
  <c r="H3624" i="5"/>
  <c r="I3624" i="5"/>
  <c r="J3624" i="5"/>
  <c r="K3624" i="5"/>
  <c r="L3624" i="5"/>
  <c r="M3624" i="5"/>
  <c r="H3625" i="5"/>
  <c r="I3625" i="5"/>
  <c r="J3625" i="5"/>
  <c r="K3625" i="5"/>
  <c r="L3625" i="5"/>
  <c r="M3625" i="5"/>
  <c r="H3626" i="5"/>
  <c r="I3626" i="5"/>
  <c r="J3626" i="5"/>
  <c r="K3626" i="5"/>
  <c r="L3626" i="5"/>
  <c r="M3626" i="5"/>
  <c r="H3627" i="5"/>
  <c r="I3627" i="5"/>
  <c r="J3627" i="5"/>
  <c r="K3627" i="5"/>
  <c r="L3627" i="5"/>
  <c r="M3627" i="5"/>
  <c r="H3628" i="5"/>
  <c r="I3628" i="5"/>
  <c r="J3628" i="5"/>
  <c r="K3628" i="5"/>
  <c r="L3628" i="5"/>
  <c r="M3628" i="5"/>
  <c r="H3629" i="5"/>
  <c r="I3629" i="5"/>
  <c r="J3629" i="5"/>
  <c r="K3629" i="5"/>
  <c r="L3629" i="5"/>
  <c r="M3629" i="5"/>
  <c r="H3630" i="5"/>
  <c r="I3630" i="5"/>
  <c r="J3630" i="5"/>
  <c r="K3630" i="5"/>
  <c r="L3630" i="5"/>
  <c r="M3630" i="5"/>
  <c r="H3631" i="5"/>
  <c r="I3631" i="5"/>
  <c r="J3631" i="5"/>
  <c r="K3631" i="5"/>
  <c r="L3631" i="5"/>
  <c r="M3631" i="5"/>
  <c r="H3632" i="5"/>
  <c r="I3632" i="5"/>
  <c r="J3632" i="5"/>
  <c r="K3632" i="5"/>
  <c r="L3632" i="5"/>
  <c r="M3632" i="5"/>
  <c r="H3633" i="5"/>
  <c r="I3633" i="5"/>
  <c r="J3633" i="5"/>
  <c r="K3633" i="5"/>
  <c r="L3633" i="5"/>
  <c r="M3633" i="5"/>
  <c r="H3634" i="5"/>
  <c r="I3634" i="5"/>
  <c r="J3634" i="5"/>
  <c r="K3634" i="5"/>
  <c r="L3634" i="5"/>
  <c r="M3634" i="5"/>
  <c r="H3635" i="5"/>
  <c r="I3635" i="5"/>
  <c r="J3635" i="5"/>
  <c r="K3635" i="5"/>
  <c r="L3635" i="5"/>
  <c r="M3635" i="5"/>
  <c r="H3636" i="5"/>
  <c r="I3636" i="5"/>
  <c r="J3636" i="5"/>
  <c r="K3636" i="5"/>
  <c r="L3636" i="5"/>
  <c r="M3636" i="5"/>
  <c r="H3637" i="5"/>
  <c r="I3637" i="5"/>
  <c r="J3637" i="5"/>
  <c r="K3637" i="5"/>
  <c r="L3637" i="5"/>
  <c r="M3637" i="5"/>
  <c r="H3638" i="5"/>
  <c r="I3638" i="5"/>
  <c r="J3638" i="5"/>
  <c r="K3638" i="5"/>
  <c r="L3638" i="5"/>
  <c r="M3638" i="5"/>
  <c r="H3639" i="5"/>
  <c r="I3639" i="5"/>
  <c r="J3639" i="5"/>
  <c r="K3639" i="5"/>
  <c r="L3639" i="5"/>
  <c r="M3639" i="5"/>
  <c r="H3640" i="5"/>
  <c r="I3640" i="5"/>
  <c r="J3640" i="5"/>
  <c r="K3640" i="5"/>
  <c r="L3640" i="5"/>
  <c r="M3640" i="5"/>
  <c r="H3641" i="5"/>
  <c r="I3641" i="5"/>
  <c r="J3641" i="5"/>
  <c r="K3641" i="5"/>
  <c r="L3641" i="5"/>
  <c r="M3641" i="5"/>
  <c r="H3642" i="5"/>
  <c r="I3642" i="5"/>
  <c r="J3642" i="5"/>
  <c r="K3642" i="5"/>
  <c r="L3642" i="5"/>
  <c r="M3642" i="5"/>
  <c r="H3643" i="5"/>
  <c r="I3643" i="5"/>
  <c r="J3643" i="5"/>
  <c r="K3643" i="5"/>
  <c r="L3643" i="5"/>
  <c r="M3643" i="5"/>
  <c r="H3644" i="5"/>
  <c r="I3644" i="5"/>
  <c r="J3644" i="5"/>
  <c r="K3644" i="5"/>
  <c r="L3644" i="5"/>
  <c r="M3644" i="5"/>
  <c r="H3645" i="5"/>
  <c r="I3645" i="5"/>
  <c r="J3645" i="5"/>
  <c r="K3645" i="5"/>
  <c r="L3645" i="5"/>
  <c r="M3645" i="5"/>
  <c r="H3646" i="5"/>
  <c r="I3646" i="5"/>
  <c r="J3646" i="5"/>
  <c r="K3646" i="5"/>
  <c r="L3646" i="5"/>
  <c r="M3646" i="5"/>
  <c r="H3647" i="5"/>
  <c r="I3647" i="5"/>
  <c r="J3647" i="5"/>
  <c r="K3647" i="5"/>
  <c r="L3647" i="5"/>
  <c r="M3647" i="5"/>
  <c r="H3648" i="5"/>
  <c r="I3648" i="5"/>
  <c r="J3648" i="5"/>
  <c r="K3648" i="5"/>
  <c r="L3648" i="5"/>
  <c r="M3648" i="5"/>
  <c r="H3649" i="5"/>
  <c r="I3649" i="5"/>
  <c r="J3649" i="5"/>
  <c r="K3649" i="5"/>
  <c r="L3649" i="5"/>
  <c r="M3649" i="5"/>
  <c r="H3650" i="5"/>
  <c r="I3650" i="5"/>
  <c r="J3650" i="5"/>
  <c r="K3650" i="5"/>
  <c r="L3650" i="5"/>
  <c r="M3650" i="5"/>
  <c r="H3651" i="5"/>
  <c r="I3651" i="5"/>
  <c r="J3651" i="5"/>
  <c r="K3651" i="5"/>
  <c r="L3651" i="5"/>
  <c r="M3651" i="5"/>
  <c r="H3652" i="5"/>
  <c r="I3652" i="5"/>
  <c r="J3652" i="5"/>
  <c r="K3652" i="5"/>
  <c r="L3652" i="5"/>
  <c r="M3652" i="5"/>
  <c r="H3653" i="5"/>
  <c r="I3653" i="5"/>
  <c r="J3653" i="5"/>
  <c r="K3653" i="5"/>
  <c r="L3653" i="5"/>
  <c r="M3653" i="5"/>
  <c r="H3654" i="5"/>
  <c r="I3654" i="5"/>
  <c r="J3654" i="5"/>
  <c r="K3654" i="5"/>
  <c r="L3654" i="5"/>
  <c r="M3654" i="5"/>
  <c r="H3655" i="5"/>
  <c r="I3655" i="5"/>
  <c r="J3655" i="5"/>
  <c r="K3655" i="5"/>
  <c r="L3655" i="5"/>
  <c r="M3655" i="5"/>
  <c r="H3656" i="5"/>
  <c r="I3656" i="5"/>
  <c r="J3656" i="5"/>
  <c r="K3656" i="5"/>
  <c r="L3656" i="5"/>
  <c r="M3656" i="5"/>
  <c r="H3657" i="5"/>
  <c r="I3657" i="5"/>
  <c r="J3657" i="5"/>
  <c r="K3657" i="5"/>
  <c r="L3657" i="5"/>
  <c r="M3657" i="5"/>
  <c r="H3658" i="5"/>
  <c r="I3658" i="5"/>
  <c r="J3658" i="5"/>
  <c r="K3658" i="5"/>
  <c r="L3658" i="5"/>
  <c r="M3658" i="5"/>
  <c r="H3659" i="5"/>
  <c r="I3659" i="5"/>
  <c r="J3659" i="5"/>
  <c r="K3659" i="5"/>
  <c r="L3659" i="5"/>
  <c r="M3659" i="5"/>
  <c r="H3660" i="5"/>
  <c r="I3660" i="5"/>
  <c r="J3660" i="5"/>
  <c r="K3660" i="5"/>
  <c r="L3660" i="5"/>
  <c r="M3660" i="5"/>
  <c r="H3661" i="5"/>
  <c r="I3661" i="5"/>
  <c r="J3661" i="5"/>
  <c r="K3661" i="5"/>
  <c r="L3661" i="5"/>
  <c r="M3661" i="5"/>
  <c r="H3662" i="5"/>
  <c r="I3662" i="5"/>
  <c r="J3662" i="5"/>
  <c r="K3662" i="5"/>
  <c r="L3662" i="5"/>
  <c r="M3662" i="5"/>
  <c r="H3663" i="5"/>
  <c r="I3663" i="5"/>
  <c r="J3663" i="5"/>
  <c r="K3663" i="5"/>
  <c r="L3663" i="5"/>
  <c r="M3663" i="5"/>
  <c r="H3664" i="5"/>
  <c r="I3664" i="5"/>
  <c r="J3664" i="5"/>
  <c r="K3664" i="5"/>
  <c r="L3664" i="5"/>
  <c r="M3664" i="5"/>
  <c r="H3665" i="5"/>
  <c r="I3665" i="5"/>
  <c r="J3665" i="5"/>
  <c r="K3665" i="5"/>
  <c r="L3665" i="5"/>
  <c r="M3665" i="5"/>
  <c r="H3666" i="5"/>
  <c r="I3666" i="5"/>
  <c r="J3666" i="5"/>
  <c r="K3666" i="5"/>
  <c r="L3666" i="5"/>
  <c r="M3666" i="5"/>
  <c r="H3667" i="5"/>
  <c r="I3667" i="5"/>
  <c r="J3667" i="5"/>
  <c r="K3667" i="5"/>
  <c r="L3667" i="5"/>
  <c r="M3667" i="5"/>
  <c r="H3668" i="5"/>
  <c r="I3668" i="5"/>
  <c r="J3668" i="5"/>
  <c r="K3668" i="5"/>
  <c r="L3668" i="5"/>
  <c r="M3668" i="5"/>
  <c r="H3669" i="5"/>
  <c r="I3669" i="5"/>
  <c r="J3669" i="5"/>
  <c r="K3669" i="5"/>
  <c r="L3669" i="5"/>
  <c r="M3669" i="5"/>
  <c r="H3670" i="5"/>
  <c r="I3670" i="5"/>
  <c r="J3670" i="5"/>
  <c r="K3670" i="5"/>
  <c r="L3670" i="5"/>
  <c r="M3670" i="5"/>
  <c r="H3671" i="5"/>
  <c r="I3671" i="5"/>
  <c r="J3671" i="5"/>
  <c r="K3671" i="5"/>
  <c r="L3671" i="5"/>
  <c r="M3671" i="5"/>
  <c r="H3672" i="5"/>
  <c r="I3672" i="5"/>
  <c r="J3672" i="5"/>
  <c r="K3672" i="5"/>
  <c r="L3672" i="5"/>
  <c r="M3672" i="5"/>
  <c r="H3673" i="5"/>
  <c r="I3673" i="5"/>
  <c r="J3673" i="5"/>
  <c r="K3673" i="5"/>
  <c r="L3673" i="5"/>
  <c r="M3673" i="5"/>
  <c r="H3674" i="5"/>
  <c r="I3674" i="5"/>
  <c r="J3674" i="5"/>
  <c r="K3674" i="5"/>
  <c r="L3674" i="5"/>
  <c r="M3674" i="5"/>
  <c r="H3675" i="5"/>
  <c r="I3675" i="5"/>
  <c r="J3675" i="5"/>
  <c r="K3675" i="5"/>
  <c r="L3675" i="5"/>
  <c r="M3675" i="5"/>
  <c r="H3676" i="5"/>
  <c r="I3676" i="5"/>
  <c r="J3676" i="5"/>
  <c r="K3676" i="5"/>
  <c r="L3676" i="5"/>
  <c r="M3676" i="5"/>
  <c r="H3677" i="5"/>
  <c r="I3677" i="5"/>
  <c r="J3677" i="5"/>
  <c r="K3677" i="5"/>
  <c r="L3677" i="5"/>
  <c r="M3677" i="5"/>
  <c r="H3678" i="5"/>
  <c r="I3678" i="5"/>
  <c r="J3678" i="5"/>
  <c r="K3678" i="5"/>
  <c r="L3678" i="5"/>
  <c r="M3678" i="5"/>
  <c r="H3679" i="5"/>
  <c r="I3679" i="5"/>
  <c r="J3679" i="5"/>
  <c r="K3679" i="5"/>
  <c r="L3679" i="5"/>
  <c r="M3679" i="5"/>
  <c r="H3680" i="5"/>
  <c r="I3680" i="5"/>
  <c r="J3680" i="5"/>
  <c r="K3680" i="5"/>
  <c r="L3680" i="5"/>
  <c r="M3680" i="5"/>
  <c r="H3681" i="5"/>
  <c r="I3681" i="5"/>
  <c r="J3681" i="5"/>
  <c r="K3681" i="5"/>
  <c r="L3681" i="5"/>
  <c r="M3681" i="5"/>
  <c r="H3682" i="5"/>
  <c r="I3682" i="5"/>
  <c r="J3682" i="5"/>
  <c r="K3682" i="5"/>
  <c r="L3682" i="5"/>
  <c r="M3682" i="5"/>
  <c r="H3683" i="5"/>
  <c r="I3683" i="5"/>
  <c r="J3683" i="5"/>
  <c r="K3683" i="5"/>
  <c r="L3683" i="5"/>
  <c r="M3683" i="5"/>
  <c r="H3684" i="5"/>
  <c r="I3684" i="5"/>
  <c r="J3684" i="5"/>
  <c r="K3684" i="5"/>
  <c r="L3684" i="5"/>
  <c r="M3684" i="5"/>
  <c r="H3685" i="5"/>
  <c r="I3685" i="5"/>
  <c r="J3685" i="5"/>
  <c r="K3685" i="5"/>
  <c r="L3685" i="5"/>
  <c r="M3685" i="5"/>
  <c r="H3686" i="5"/>
  <c r="I3686" i="5"/>
  <c r="J3686" i="5"/>
  <c r="K3686" i="5"/>
  <c r="L3686" i="5"/>
  <c r="M3686" i="5"/>
  <c r="H3687" i="5"/>
  <c r="I3687" i="5"/>
  <c r="J3687" i="5"/>
  <c r="K3687" i="5"/>
  <c r="L3687" i="5"/>
  <c r="M3687" i="5"/>
  <c r="H3688" i="5"/>
  <c r="I3688" i="5"/>
  <c r="J3688" i="5"/>
  <c r="K3688" i="5"/>
  <c r="L3688" i="5"/>
  <c r="M3688" i="5"/>
  <c r="H3689" i="5"/>
  <c r="I3689" i="5"/>
  <c r="J3689" i="5"/>
  <c r="K3689" i="5"/>
  <c r="L3689" i="5"/>
  <c r="M3689" i="5"/>
  <c r="H3690" i="5"/>
  <c r="I3690" i="5"/>
  <c r="J3690" i="5"/>
  <c r="K3690" i="5"/>
  <c r="L3690" i="5"/>
  <c r="M3690" i="5"/>
  <c r="H3691" i="5"/>
  <c r="I3691" i="5"/>
  <c r="J3691" i="5"/>
  <c r="K3691" i="5"/>
  <c r="L3691" i="5"/>
  <c r="M3691" i="5"/>
  <c r="H3692" i="5"/>
  <c r="I3692" i="5"/>
  <c r="J3692" i="5"/>
  <c r="K3692" i="5"/>
  <c r="L3692" i="5"/>
  <c r="M3692" i="5"/>
  <c r="H3693" i="5"/>
  <c r="I3693" i="5"/>
  <c r="J3693" i="5"/>
  <c r="K3693" i="5"/>
  <c r="L3693" i="5"/>
  <c r="M3693" i="5"/>
  <c r="H3694" i="5"/>
  <c r="I3694" i="5"/>
  <c r="J3694" i="5"/>
  <c r="K3694" i="5"/>
  <c r="L3694" i="5"/>
  <c r="M3694" i="5"/>
  <c r="H3695" i="5"/>
  <c r="I3695" i="5"/>
  <c r="J3695" i="5"/>
  <c r="K3695" i="5"/>
  <c r="L3695" i="5"/>
  <c r="M3695" i="5"/>
  <c r="H3696" i="5"/>
  <c r="I3696" i="5"/>
  <c r="J3696" i="5"/>
  <c r="K3696" i="5"/>
  <c r="L3696" i="5"/>
  <c r="M3696" i="5"/>
  <c r="H3697" i="5"/>
  <c r="I3697" i="5"/>
  <c r="J3697" i="5"/>
  <c r="K3697" i="5"/>
  <c r="L3697" i="5"/>
  <c r="M3697" i="5"/>
  <c r="H3698" i="5"/>
  <c r="I3698" i="5"/>
  <c r="J3698" i="5"/>
  <c r="K3698" i="5"/>
  <c r="L3698" i="5"/>
  <c r="M3698" i="5"/>
  <c r="H3699" i="5"/>
  <c r="I3699" i="5"/>
  <c r="J3699" i="5"/>
  <c r="K3699" i="5"/>
  <c r="L3699" i="5"/>
  <c r="M3699" i="5"/>
  <c r="H3700" i="5"/>
  <c r="I3700" i="5"/>
  <c r="J3700" i="5"/>
  <c r="K3700" i="5"/>
  <c r="L3700" i="5"/>
  <c r="M3700" i="5"/>
  <c r="H3701" i="5"/>
  <c r="I3701" i="5"/>
  <c r="J3701" i="5"/>
  <c r="K3701" i="5"/>
  <c r="L3701" i="5"/>
  <c r="M3701" i="5"/>
  <c r="H3702" i="5"/>
  <c r="I3702" i="5"/>
  <c r="J3702" i="5"/>
  <c r="K3702" i="5"/>
  <c r="L3702" i="5"/>
  <c r="M3702" i="5"/>
  <c r="H3703" i="5"/>
  <c r="I3703" i="5"/>
  <c r="J3703" i="5"/>
  <c r="K3703" i="5"/>
  <c r="L3703" i="5"/>
  <c r="M3703" i="5"/>
  <c r="H3704" i="5"/>
  <c r="I3704" i="5"/>
  <c r="J3704" i="5"/>
  <c r="K3704" i="5"/>
  <c r="L3704" i="5"/>
  <c r="M3704" i="5"/>
  <c r="H3705" i="5"/>
  <c r="I3705" i="5"/>
  <c r="J3705" i="5"/>
  <c r="K3705" i="5"/>
  <c r="L3705" i="5"/>
  <c r="M3705" i="5"/>
  <c r="H3706" i="5"/>
  <c r="I3706" i="5"/>
  <c r="J3706" i="5"/>
  <c r="K3706" i="5"/>
  <c r="L3706" i="5"/>
  <c r="M3706" i="5"/>
  <c r="H3707" i="5"/>
  <c r="I3707" i="5"/>
  <c r="J3707" i="5"/>
  <c r="K3707" i="5"/>
  <c r="L3707" i="5"/>
  <c r="M3707" i="5"/>
  <c r="H3708" i="5"/>
  <c r="I3708" i="5"/>
  <c r="J3708" i="5"/>
  <c r="K3708" i="5"/>
  <c r="L3708" i="5"/>
  <c r="M3708" i="5"/>
  <c r="H3709" i="5"/>
  <c r="I3709" i="5"/>
  <c r="J3709" i="5"/>
  <c r="K3709" i="5"/>
  <c r="L3709" i="5"/>
  <c r="M3709" i="5"/>
  <c r="H3710" i="5"/>
  <c r="I3710" i="5"/>
  <c r="J3710" i="5"/>
  <c r="K3710" i="5"/>
  <c r="L3710" i="5"/>
  <c r="M3710" i="5"/>
  <c r="H3711" i="5"/>
  <c r="I3711" i="5"/>
  <c r="J3711" i="5"/>
  <c r="K3711" i="5"/>
  <c r="L3711" i="5"/>
  <c r="M3711" i="5"/>
  <c r="H3712" i="5"/>
  <c r="I3712" i="5"/>
  <c r="J3712" i="5"/>
  <c r="K3712" i="5"/>
  <c r="L3712" i="5"/>
  <c r="M3712" i="5"/>
  <c r="H3713" i="5"/>
  <c r="I3713" i="5"/>
  <c r="J3713" i="5"/>
  <c r="K3713" i="5"/>
  <c r="L3713" i="5"/>
  <c r="M3713" i="5"/>
  <c r="H3714" i="5"/>
  <c r="I3714" i="5"/>
  <c r="J3714" i="5"/>
  <c r="K3714" i="5"/>
  <c r="L3714" i="5"/>
  <c r="M3714" i="5"/>
  <c r="H3715" i="5"/>
  <c r="I3715" i="5"/>
  <c r="J3715" i="5"/>
  <c r="K3715" i="5"/>
  <c r="L3715" i="5"/>
  <c r="M3715" i="5"/>
  <c r="H3716" i="5"/>
  <c r="I3716" i="5"/>
  <c r="J3716" i="5"/>
  <c r="K3716" i="5"/>
  <c r="L3716" i="5"/>
  <c r="M3716" i="5"/>
  <c r="H3717" i="5"/>
  <c r="I3717" i="5"/>
  <c r="J3717" i="5"/>
  <c r="K3717" i="5"/>
  <c r="L3717" i="5"/>
  <c r="M3717" i="5"/>
  <c r="H3718" i="5"/>
  <c r="I3718" i="5"/>
  <c r="J3718" i="5"/>
  <c r="K3718" i="5"/>
  <c r="L3718" i="5"/>
  <c r="M3718" i="5"/>
  <c r="H3719" i="5"/>
  <c r="I3719" i="5"/>
  <c r="J3719" i="5"/>
  <c r="K3719" i="5"/>
  <c r="L3719" i="5"/>
  <c r="M3719" i="5"/>
  <c r="H3720" i="5"/>
  <c r="I3720" i="5"/>
  <c r="J3720" i="5"/>
  <c r="K3720" i="5"/>
  <c r="L3720" i="5"/>
  <c r="M3720" i="5"/>
  <c r="H3721" i="5"/>
  <c r="I3721" i="5"/>
  <c r="J3721" i="5"/>
  <c r="K3721" i="5"/>
  <c r="L3721" i="5"/>
  <c r="M3721" i="5"/>
  <c r="H3722" i="5"/>
  <c r="I3722" i="5"/>
  <c r="J3722" i="5"/>
  <c r="K3722" i="5"/>
  <c r="L3722" i="5"/>
  <c r="M3722" i="5"/>
  <c r="H3723" i="5"/>
  <c r="I3723" i="5"/>
  <c r="J3723" i="5"/>
  <c r="K3723" i="5"/>
  <c r="L3723" i="5"/>
  <c r="M3723" i="5"/>
  <c r="H3724" i="5"/>
  <c r="I3724" i="5"/>
  <c r="J3724" i="5"/>
  <c r="K3724" i="5"/>
  <c r="L3724" i="5"/>
  <c r="M3724" i="5"/>
  <c r="H3725" i="5"/>
  <c r="I3725" i="5"/>
  <c r="J3725" i="5"/>
  <c r="K3725" i="5"/>
  <c r="L3725" i="5"/>
  <c r="M3725" i="5"/>
  <c r="H3726" i="5"/>
  <c r="I3726" i="5"/>
  <c r="J3726" i="5"/>
  <c r="K3726" i="5"/>
  <c r="L3726" i="5"/>
  <c r="M3726" i="5"/>
  <c r="H3727" i="5"/>
  <c r="I3727" i="5"/>
  <c r="J3727" i="5"/>
  <c r="K3727" i="5"/>
  <c r="L3727" i="5"/>
  <c r="M3727" i="5"/>
  <c r="H3728" i="5"/>
  <c r="I3728" i="5"/>
  <c r="J3728" i="5"/>
  <c r="K3728" i="5"/>
  <c r="L3728" i="5"/>
  <c r="M3728" i="5"/>
  <c r="H3729" i="5"/>
  <c r="I3729" i="5"/>
  <c r="J3729" i="5"/>
  <c r="K3729" i="5"/>
  <c r="L3729" i="5"/>
  <c r="M3729" i="5"/>
  <c r="H3730" i="5"/>
  <c r="I3730" i="5"/>
  <c r="J3730" i="5"/>
  <c r="K3730" i="5"/>
  <c r="L3730" i="5"/>
  <c r="M3730" i="5"/>
  <c r="H3731" i="5"/>
  <c r="I3731" i="5"/>
  <c r="J3731" i="5"/>
  <c r="K3731" i="5"/>
  <c r="L3731" i="5"/>
  <c r="M3731" i="5"/>
  <c r="H3732" i="5"/>
  <c r="I3732" i="5"/>
  <c r="J3732" i="5"/>
  <c r="K3732" i="5"/>
  <c r="L3732" i="5"/>
  <c r="M3732" i="5"/>
  <c r="H3733" i="5"/>
  <c r="I3733" i="5"/>
  <c r="J3733" i="5"/>
  <c r="K3733" i="5"/>
  <c r="L3733" i="5"/>
  <c r="M3733" i="5"/>
  <c r="H3734" i="5"/>
  <c r="I3734" i="5"/>
  <c r="J3734" i="5"/>
  <c r="K3734" i="5"/>
  <c r="L3734" i="5"/>
  <c r="M3734" i="5"/>
  <c r="H3735" i="5"/>
  <c r="I3735" i="5"/>
  <c r="J3735" i="5"/>
  <c r="K3735" i="5"/>
  <c r="L3735" i="5"/>
  <c r="M3735" i="5"/>
  <c r="H3736" i="5"/>
  <c r="I3736" i="5"/>
  <c r="J3736" i="5"/>
  <c r="K3736" i="5"/>
  <c r="L3736" i="5"/>
  <c r="M3736" i="5"/>
  <c r="H3737" i="5"/>
  <c r="I3737" i="5"/>
  <c r="J3737" i="5"/>
  <c r="K3737" i="5"/>
  <c r="L3737" i="5"/>
  <c r="M3737" i="5"/>
  <c r="H3738" i="5"/>
  <c r="I3738" i="5"/>
  <c r="J3738" i="5"/>
  <c r="K3738" i="5"/>
  <c r="L3738" i="5"/>
  <c r="M3738" i="5"/>
  <c r="H3739" i="5"/>
  <c r="I3739" i="5"/>
  <c r="J3739" i="5"/>
  <c r="K3739" i="5"/>
  <c r="L3739" i="5"/>
  <c r="M3739" i="5"/>
  <c r="H3740" i="5"/>
  <c r="I3740" i="5"/>
  <c r="J3740" i="5"/>
  <c r="K3740" i="5"/>
  <c r="L3740" i="5"/>
  <c r="M3740" i="5"/>
  <c r="H3741" i="5"/>
  <c r="I3741" i="5"/>
  <c r="J3741" i="5"/>
  <c r="K3741" i="5"/>
  <c r="L3741" i="5"/>
  <c r="M3741" i="5"/>
  <c r="H3742" i="5"/>
  <c r="I3742" i="5"/>
  <c r="J3742" i="5"/>
  <c r="K3742" i="5"/>
  <c r="L3742" i="5"/>
  <c r="M3742" i="5"/>
  <c r="H3743" i="5"/>
  <c r="I3743" i="5"/>
  <c r="J3743" i="5"/>
  <c r="K3743" i="5"/>
  <c r="L3743" i="5"/>
  <c r="M3743" i="5"/>
  <c r="H3744" i="5"/>
  <c r="I3744" i="5"/>
  <c r="J3744" i="5"/>
  <c r="K3744" i="5"/>
  <c r="L3744" i="5"/>
  <c r="M3744" i="5"/>
  <c r="H3745" i="5"/>
  <c r="I3745" i="5"/>
  <c r="J3745" i="5"/>
  <c r="K3745" i="5"/>
  <c r="L3745" i="5"/>
  <c r="M3745" i="5"/>
  <c r="H3746" i="5"/>
  <c r="I3746" i="5"/>
  <c r="J3746" i="5"/>
  <c r="K3746" i="5"/>
  <c r="L3746" i="5"/>
  <c r="M3746" i="5"/>
  <c r="H3747" i="5"/>
  <c r="I3747" i="5"/>
  <c r="J3747" i="5"/>
  <c r="K3747" i="5"/>
  <c r="L3747" i="5"/>
  <c r="M3747" i="5"/>
  <c r="H3748" i="5"/>
  <c r="I3748" i="5"/>
  <c r="J3748" i="5"/>
  <c r="K3748" i="5"/>
  <c r="L3748" i="5"/>
  <c r="M3748" i="5"/>
  <c r="H3749" i="5"/>
  <c r="I3749" i="5"/>
  <c r="J3749" i="5"/>
  <c r="K3749" i="5"/>
  <c r="L3749" i="5"/>
  <c r="M3749" i="5"/>
  <c r="H3750" i="5"/>
  <c r="I3750" i="5"/>
  <c r="J3750" i="5"/>
  <c r="K3750" i="5"/>
  <c r="L3750" i="5"/>
  <c r="M3750" i="5"/>
  <c r="H3751" i="5"/>
  <c r="I3751" i="5"/>
  <c r="J3751" i="5"/>
  <c r="K3751" i="5"/>
  <c r="L3751" i="5"/>
  <c r="M3751" i="5"/>
  <c r="H3752" i="5"/>
  <c r="I3752" i="5"/>
  <c r="J3752" i="5"/>
  <c r="K3752" i="5"/>
  <c r="L3752" i="5"/>
  <c r="M3752" i="5"/>
  <c r="H3753" i="5"/>
  <c r="I3753" i="5"/>
  <c r="J3753" i="5"/>
  <c r="K3753" i="5"/>
  <c r="L3753" i="5"/>
  <c r="M3753" i="5"/>
  <c r="H3754" i="5"/>
  <c r="I3754" i="5"/>
  <c r="J3754" i="5"/>
  <c r="K3754" i="5"/>
  <c r="L3754" i="5"/>
  <c r="M3754" i="5"/>
  <c r="H3755" i="5"/>
  <c r="I3755" i="5"/>
  <c r="J3755" i="5"/>
  <c r="K3755" i="5"/>
  <c r="L3755" i="5"/>
  <c r="M3755" i="5"/>
  <c r="H3756" i="5"/>
  <c r="I3756" i="5"/>
  <c r="J3756" i="5"/>
  <c r="K3756" i="5"/>
  <c r="L3756" i="5"/>
  <c r="M3756" i="5"/>
  <c r="H3757" i="5"/>
  <c r="I3757" i="5"/>
  <c r="J3757" i="5"/>
  <c r="K3757" i="5"/>
  <c r="L3757" i="5"/>
  <c r="M3757" i="5"/>
  <c r="H3758" i="5"/>
  <c r="I3758" i="5"/>
  <c r="J3758" i="5"/>
  <c r="K3758" i="5"/>
  <c r="L3758" i="5"/>
  <c r="M3758" i="5"/>
  <c r="H3759" i="5"/>
  <c r="I3759" i="5"/>
  <c r="J3759" i="5"/>
  <c r="K3759" i="5"/>
  <c r="L3759" i="5"/>
  <c r="M3759" i="5"/>
  <c r="H3760" i="5"/>
  <c r="I3760" i="5"/>
  <c r="J3760" i="5"/>
  <c r="K3760" i="5"/>
  <c r="L3760" i="5"/>
  <c r="M3760" i="5"/>
  <c r="H3761" i="5"/>
  <c r="I3761" i="5"/>
  <c r="J3761" i="5"/>
  <c r="K3761" i="5"/>
  <c r="L3761" i="5"/>
  <c r="M3761" i="5"/>
  <c r="H3762" i="5"/>
  <c r="I3762" i="5"/>
  <c r="J3762" i="5"/>
  <c r="K3762" i="5"/>
  <c r="L3762" i="5"/>
  <c r="M3762" i="5"/>
  <c r="H3763" i="5"/>
  <c r="I3763" i="5"/>
  <c r="J3763" i="5"/>
  <c r="K3763" i="5"/>
  <c r="L3763" i="5"/>
  <c r="M3763" i="5"/>
  <c r="H3764" i="5"/>
  <c r="I3764" i="5"/>
  <c r="J3764" i="5"/>
  <c r="K3764" i="5"/>
  <c r="L3764" i="5"/>
  <c r="M3764" i="5"/>
  <c r="H3765" i="5"/>
  <c r="I3765" i="5"/>
  <c r="J3765" i="5"/>
  <c r="K3765" i="5"/>
  <c r="L3765" i="5"/>
  <c r="M3765" i="5"/>
  <c r="H3766" i="5"/>
  <c r="I3766" i="5"/>
  <c r="J3766" i="5"/>
  <c r="K3766" i="5"/>
  <c r="L3766" i="5"/>
  <c r="M3766" i="5"/>
  <c r="H3767" i="5"/>
  <c r="I3767" i="5"/>
  <c r="J3767" i="5"/>
  <c r="K3767" i="5"/>
  <c r="L3767" i="5"/>
  <c r="M3767" i="5"/>
  <c r="H3768" i="5"/>
  <c r="I3768" i="5"/>
  <c r="J3768" i="5"/>
  <c r="K3768" i="5"/>
  <c r="L3768" i="5"/>
  <c r="M3768" i="5"/>
  <c r="H3769" i="5"/>
  <c r="I3769" i="5"/>
  <c r="J3769" i="5"/>
  <c r="K3769" i="5"/>
  <c r="L3769" i="5"/>
  <c r="M3769" i="5"/>
  <c r="H3770" i="5"/>
  <c r="I3770" i="5"/>
  <c r="J3770" i="5"/>
  <c r="K3770" i="5"/>
  <c r="L3770" i="5"/>
  <c r="M3770" i="5"/>
  <c r="H3771" i="5"/>
  <c r="I3771" i="5"/>
  <c r="J3771" i="5"/>
  <c r="K3771" i="5"/>
  <c r="L3771" i="5"/>
  <c r="M3771" i="5"/>
  <c r="H3772" i="5"/>
  <c r="I3772" i="5"/>
  <c r="J3772" i="5"/>
  <c r="K3772" i="5"/>
  <c r="L3772" i="5"/>
  <c r="M3772" i="5"/>
  <c r="H3773" i="5"/>
  <c r="I3773" i="5"/>
  <c r="J3773" i="5"/>
  <c r="K3773" i="5"/>
  <c r="L3773" i="5"/>
  <c r="M3773" i="5"/>
  <c r="H3774" i="5"/>
  <c r="I3774" i="5"/>
  <c r="J3774" i="5"/>
  <c r="K3774" i="5"/>
  <c r="L3774" i="5"/>
  <c r="M3774" i="5"/>
  <c r="H3775" i="5"/>
  <c r="I3775" i="5"/>
  <c r="J3775" i="5"/>
  <c r="K3775" i="5"/>
  <c r="L3775" i="5"/>
  <c r="M3775" i="5"/>
  <c r="H3776" i="5"/>
  <c r="I3776" i="5"/>
  <c r="J3776" i="5"/>
  <c r="K3776" i="5"/>
  <c r="L3776" i="5"/>
  <c r="M3776" i="5"/>
  <c r="H3777" i="5"/>
  <c r="I3777" i="5"/>
  <c r="J3777" i="5"/>
  <c r="K3777" i="5"/>
  <c r="L3777" i="5"/>
  <c r="M3777" i="5"/>
  <c r="H3778" i="5"/>
  <c r="I3778" i="5"/>
  <c r="J3778" i="5"/>
  <c r="K3778" i="5"/>
  <c r="L3778" i="5"/>
  <c r="M3778" i="5"/>
  <c r="H3779" i="5"/>
  <c r="I3779" i="5"/>
  <c r="J3779" i="5"/>
  <c r="K3779" i="5"/>
  <c r="L3779" i="5"/>
  <c r="M3779" i="5"/>
  <c r="H3780" i="5"/>
  <c r="I3780" i="5"/>
  <c r="J3780" i="5"/>
  <c r="K3780" i="5"/>
  <c r="L3780" i="5"/>
  <c r="M3780" i="5"/>
  <c r="H3781" i="5"/>
  <c r="I3781" i="5"/>
  <c r="J3781" i="5"/>
  <c r="K3781" i="5"/>
  <c r="L3781" i="5"/>
  <c r="M3781" i="5"/>
  <c r="H3782" i="5"/>
  <c r="I3782" i="5"/>
  <c r="J3782" i="5"/>
  <c r="K3782" i="5"/>
  <c r="L3782" i="5"/>
  <c r="M3782" i="5"/>
  <c r="H3783" i="5"/>
  <c r="I3783" i="5"/>
  <c r="J3783" i="5"/>
  <c r="K3783" i="5"/>
  <c r="L3783" i="5"/>
  <c r="M3783" i="5"/>
  <c r="H3784" i="5"/>
  <c r="I3784" i="5"/>
  <c r="J3784" i="5"/>
  <c r="K3784" i="5"/>
  <c r="L3784" i="5"/>
  <c r="M3784" i="5"/>
  <c r="H3785" i="5"/>
  <c r="I3785" i="5"/>
  <c r="J3785" i="5"/>
  <c r="K3785" i="5"/>
  <c r="L3785" i="5"/>
  <c r="M3785" i="5"/>
  <c r="H3786" i="5"/>
  <c r="I3786" i="5"/>
  <c r="J3786" i="5"/>
  <c r="K3786" i="5"/>
  <c r="L3786" i="5"/>
  <c r="M3786" i="5"/>
  <c r="H3787" i="5"/>
  <c r="I3787" i="5"/>
  <c r="J3787" i="5"/>
  <c r="K3787" i="5"/>
  <c r="L3787" i="5"/>
  <c r="M3787" i="5"/>
  <c r="H3788" i="5"/>
  <c r="I3788" i="5"/>
  <c r="J3788" i="5"/>
  <c r="K3788" i="5"/>
  <c r="L3788" i="5"/>
  <c r="M3788" i="5"/>
  <c r="H3789" i="5"/>
  <c r="I3789" i="5"/>
  <c r="J3789" i="5"/>
  <c r="K3789" i="5"/>
  <c r="L3789" i="5"/>
  <c r="M3789" i="5"/>
  <c r="H3790" i="5"/>
  <c r="I3790" i="5"/>
  <c r="J3790" i="5"/>
  <c r="K3790" i="5"/>
  <c r="L3790" i="5"/>
  <c r="M3790" i="5"/>
  <c r="H3791" i="5"/>
  <c r="I3791" i="5"/>
  <c r="J3791" i="5"/>
  <c r="K3791" i="5"/>
  <c r="L3791" i="5"/>
  <c r="M3791" i="5"/>
  <c r="H3792" i="5"/>
  <c r="I3792" i="5"/>
  <c r="J3792" i="5"/>
  <c r="K3792" i="5"/>
  <c r="L3792" i="5"/>
  <c r="M3792" i="5"/>
  <c r="H3793" i="5"/>
  <c r="I3793" i="5"/>
  <c r="J3793" i="5"/>
  <c r="K3793" i="5"/>
  <c r="L3793" i="5"/>
  <c r="M3793" i="5"/>
  <c r="H3794" i="5"/>
  <c r="I3794" i="5"/>
  <c r="J3794" i="5"/>
  <c r="K3794" i="5"/>
  <c r="L3794" i="5"/>
  <c r="M3794" i="5"/>
  <c r="H3795" i="5"/>
  <c r="I3795" i="5"/>
  <c r="J3795" i="5"/>
  <c r="K3795" i="5"/>
  <c r="L3795" i="5"/>
  <c r="M3795" i="5"/>
  <c r="H3796" i="5"/>
  <c r="I3796" i="5"/>
  <c r="J3796" i="5"/>
  <c r="K3796" i="5"/>
  <c r="L3796" i="5"/>
  <c r="M3796" i="5"/>
  <c r="H3797" i="5"/>
  <c r="I3797" i="5"/>
  <c r="J3797" i="5"/>
  <c r="K3797" i="5"/>
  <c r="L3797" i="5"/>
  <c r="M3797" i="5"/>
  <c r="H3798" i="5"/>
  <c r="I3798" i="5"/>
  <c r="J3798" i="5"/>
  <c r="K3798" i="5"/>
  <c r="L3798" i="5"/>
  <c r="M3798" i="5"/>
  <c r="H3799" i="5"/>
  <c r="I3799" i="5"/>
  <c r="J3799" i="5"/>
  <c r="K3799" i="5"/>
  <c r="L3799" i="5"/>
  <c r="M3799" i="5"/>
  <c r="H3800" i="5"/>
  <c r="I3800" i="5"/>
  <c r="J3800" i="5"/>
  <c r="K3800" i="5"/>
  <c r="L3800" i="5"/>
  <c r="M3800" i="5"/>
  <c r="H3801" i="5"/>
  <c r="I3801" i="5"/>
  <c r="J3801" i="5"/>
  <c r="K3801" i="5"/>
  <c r="L3801" i="5"/>
  <c r="M3801" i="5"/>
  <c r="H3802" i="5"/>
  <c r="I3802" i="5"/>
  <c r="J3802" i="5"/>
  <c r="K3802" i="5"/>
  <c r="L3802" i="5"/>
  <c r="M3802" i="5"/>
  <c r="H3803" i="5"/>
  <c r="I3803" i="5"/>
  <c r="J3803" i="5"/>
  <c r="K3803" i="5"/>
  <c r="L3803" i="5"/>
  <c r="M3803" i="5"/>
  <c r="H3804" i="5"/>
  <c r="I3804" i="5"/>
  <c r="J3804" i="5"/>
  <c r="K3804" i="5"/>
  <c r="L3804" i="5"/>
  <c r="M3804" i="5"/>
  <c r="H3805" i="5"/>
  <c r="I3805" i="5"/>
  <c r="J3805" i="5"/>
  <c r="K3805" i="5"/>
  <c r="L3805" i="5"/>
  <c r="M3805" i="5"/>
  <c r="H3806" i="5"/>
  <c r="I3806" i="5"/>
  <c r="J3806" i="5"/>
  <c r="K3806" i="5"/>
  <c r="L3806" i="5"/>
  <c r="M3806" i="5"/>
  <c r="H3807" i="5"/>
  <c r="I3807" i="5"/>
  <c r="J3807" i="5"/>
  <c r="K3807" i="5"/>
  <c r="L3807" i="5"/>
  <c r="M3807" i="5"/>
  <c r="H3808" i="5"/>
  <c r="I3808" i="5"/>
  <c r="J3808" i="5"/>
  <c r="K3808" i="5"/>
  <c r="L3808" i="5"/>
  <c r="M3808" i="5"/>
  <c r="H3809" i="5"/>
  <c r="I3809" i="5"/>
  <c r="J3809" i="5"/>
  <c r="K3809" i="5"/>
  <c r="L3809" i="5"/>
  <c r="M3809" i="5"/>
  <c r="H3810" i="5"/>
  <c r="I3810" i="5"/>
  <c r="J3810" i="5"/>
  <c r="K3810" i="5"/>
  <c r="L3810" i="5"/>
  <c r="M3810" i="5"/>
  <c r="H3811" i="5"/>
  <c r="I3811" i="5"/>
  <c r="J3811" i="5"/>
  <c r="K3811" i="5"/>
  <c r="L3811" i="5"/>
  <c r="M3811" i="5"/>
  <c r="H3812" i="5"/>
  <c r="I3812" i="5"/>
  <c r="J3812" i="5"/>
  <c r="K3812" i="5"/>
  <c r="L3812" i="5"/>
  <c r="M3812" i="5"/>
  <c r="H3813" i="5"/>
  <c r="I3813" i="5"/>
  <c r="J3813" i="5"/>
  <c r="K3813" i="5"/>
  <c r="L3813" i="5"/>
  <c r="M3813" i="5"/>
  <c r="H3814" i="5"/>
  <c r="I3814" i="5"/>
  <c r="J3814" i="5"/>
  <c r="K3814" i="5"/>
  <c r="L3814" i="5"/>
  <c r="M3814" i="5"/>
  <c r="H3815" i="5"/>
  <c r="I3815" i="5"/>
  <c r="J3815" i="5"/>
  <c r="K3815" i="5"/>
  <c r="L3815" i="5"/>
  <c r="M3815" i="5"/>
  <c r="H3816" i="5"/>
  <c r="I3816" i="5"/>
  <c r="J3816" i="5"/>
  <c r="K3816" i="5"/>
  <c r="L3816" i="5"/>
  <c r="M3816" i="5"/>
  <c r="H3817" i="5"/>
  <c r="I3817" i="5"/>
  <c r="J3817" i="5"/>
  <c r="K3817" i="5"/>
  <c r="L3817" i="5"/>
  <c r="M3817" i="5"/>
  <c r="H3818" i="5"/>
  <c r="I3818" i="5"/>
  <c r="J3818" i="5"/>
  <c r="K3818" i="5"/>
  <c r="L3818" i="5"/>
  <c r="M3818" i="5"/>
  <c r="H3819" i="5"/>
  <c r="I3819" i="5"/>
  <c r="J3819" i="5"/>
  <c r="K3819" i="5"/>
  <c r="L3819" i="5"/>
  <c r="M3819" i="5"/>
  <c r="H3820" i="5"/>
  <c r="I3820" i="5"/>
  <c r="J3820" i="5"/>
  <c r="K3820" i="5"/>
  <c r="L3820" i="5"/>
  <c r="M3820" i="5"/>
  <c r="H3821" i="5"/>
  <c r="I3821" i="5"/>
  <c r="J3821" i="5"/>
  <c r="K3821" i="5"/>
  <c r="L3821" i="5"/>
  <c r="M3821" i="5"/>
  <c r="H3822" i="5"/>
  <c r="I3822" i="5"/>
  <c r="J3822" i="5"/>
  <c r="K3822" i="5"/>
  <c r="L3822" i="5"/>
  <c r="M3822" i="5"/>
  <c r="H3823" i="5"/>
  <c r="I3823" i="5"/>
  <c r="J3823" i="5"/>
  <c r="K3823" i="5"/>
  <c r="L3823" i="5"/>
  <c r="M3823" i="5"/>
  <c r="H3824" i="5"/>
  <c r="I3824" i="5"/>
  <c r="J3824" i="5"/>
  <c r="K3824" i="5"/>
  <c r="L3824" i="5"/>
  <c r="M3824" i="5"/>
  <c r="H3825" i="5"/>
  <c r="I3825" i="5"/>
  <c r="J3825" i="5"/>
  <c r="K3825" i="5"/>
  <c r="L3825" i="5"/>
  <c r="M3825" i="5"/>
  <c r="H3826" i="5"/>
  <c r="I3826" i="5"/>
  <c r="J3826" i="5"/>
  <c r="K3826" i="5"/>
  <c r="L3826" i="5"/>
  <c r="M3826" i="5"/>
  <c r="H3827" i="5"/>
  <c r="I3827" i="5"/>
  <c r="J3827" i="5"/>
  <c r="K3827" i="5"/>
  <c r="L3827" i="5"/>
  <c r="M3827" i="5"/>
  <c r="H3828" i="5"/>
  <c r="I3828" i="5"/>
  <c r="J3828" i="5"/>
  <c r="K3828" i="5"/>
  <c r="L3828" i="5"/>
  <c r="M3828" i="5"/>
  <c r="H3829" i="5"/>
  <c r="I3829" i="5"/>
  <c r="J3829" i="5"/>
  <c r="K3829" i="5"/>
  <c r="L3829" i="5"/>
  <c r="M3829" i="5"/>
  <c r="H3830" i="5"/>
  <c r="I3830" i="5"/>
  <c r="J3830" i="5"/>
  <c r="K3830" i="5"/>
  <c r="L3830" i="5"/>
  <c r="M3830" i="5"/>
  <c r="H3831" i="5"/>
  <c r="I3831" i="5"/>
  <c r="J3831" i="5"/>
  <c r="K3831" i="5"/>
  <c r="L3831" i="5"/>
  <c r="M3831" i="5"/>
  <c r="H3832" i="5"/>
  <c r="I3832" i="5"/>
  <c r="J3832" i="5"/>
  <c r="K3832" i="5"/>
  <c r="L3832" i="5"/>
  <c r="M3832" i="5"/>
  <c r="H3833" i="5"/>
  <c r="I3833" i="5"/>
  <c r="J3833" i="5"/>
  <c r="K3833" i="5"/>
  <c r="L3833" i="5"/>
  <c r="M3833" i="5"/>
  <c r="H3834" i="5"/>
  <c r="I3834" i="5"/>
  <c r="J3834" i="5"/>
  <c r="K3834" i="5"/>
  <c r="L3834" i="5"/>
  <c r="M3834" i="5"/>
  <c r="H3835" i="5"/>
  <c r="I3835" i="5"/>
  <c r="J3835" i="5"/>
  <c r="K3835" i="5"/>
  <c r="L3835" i="5"/>
  <c r="M3835" i="5"/>
  <c r="H3836" i="5"/>
  <c r="I3836" i="5"/>
  <c r="J3836" i="5"/>
  <c r="K3836" i="5"/>
  <c r="L3836" i="5"/>
  <c r="M3836" i="5"/>
  <c r="H3837" i="5"/>
  <c r="I3837" i="5"/>
  <c r="J3837" i="5"/>
  <c r="K3837" i="5"/>
  <c r="L3837" i="5"/>
  <c r="M3837" i="5"/>
  <c r="H3838" i="5"/>
  <c r="I3838" i="5"/>
  <c r="J3838" i="5"/>
  <c r="K3838" i="5"/>
  <c r="L3838" i="5"/>
  <c r="M3838" i="5"/>
  <c r="H3839" i="5"/>
  <c r="I3839" i="5"/>
  <c r="J3839" i="5"/>
  <c r="K3839" i="5"/>
  <c r="L3839" i="5"/>
  <c r="M3839" i="5"/>
  <c r="H3840" i="5"/>
  <c r="I3840" i="5"/>
  <c r="J3840" i="5"/>
  <c r="K3840" i="5"/>
  <c r="L3840" i="5"/>
  <c r="M3840" i="5"/>
  <c r="H3841" i="5"/>
  <c r="I3841" i="5"/>
  <c r="J3841" i="5"/>
  <c r="K3841" i="5"/>
  <c r="L3841" i="5"/>
  <c r="M3841" i="5"/>
  <c r="H3842" i="5"/>
  <c r="I3842" i="5"/>
  <c r="J3842" i="5"/>
  <c r="K3842" i="5"/>
  <c r="L3842" i="5"/>
  <c r="M3842" i="5"/>
  <c r="H3843" i="5"/>
  <c r="I3843" i="5"/>
  <c r="J3843" i="5"/>
  <c r="K3843" i="5"/>
  <c r="L3843" i="5"/>
  <c r="M3843" i="5"/>
  <c r="H3844" i="5"/>
  <c r="I3844" i="5"/>
  <c r="J3844" i="5"/>
  <c r="K3844" i="5"/>
  <c r="L3844" i="5"/>
  <c r="M3844" i="5"/>
  <c r="H3845" i="5"/>
  <c r="I3845" i="5"/>
  <c r="J3845" i="5"/>
  <c r="K3845" i="5"/>
  <c r="L3845" i="5"/>
  <c r="M3845" i="5"/>
  <c r="H3846" i="5"/>
  <c r="I3846" i="5"/>
  <c r="J3846" i="5"/>
  <c r="K3846" i="5"/>
  <c r="L3846" i="5"/>
  <c r="M3846" i="5"/>
  <c r="H3847" i="5"/>
  <c r="I3847" i="5"/>
  <c r="J3847" i="5"/>
  <c r="K3847" i="5"/>
  <c r="L3847" i="5"/>
  <c r="M3847" i="5"/>
  <c r="H3848" i="5"/>
  <c r="I3848" i="5"/>
  <c r="J3848" i="5"/>
  <c r="K3848" i="5"/>
  <c r="L3848" i="5"/>
  <c r="M3848" i="5"/>
  <c r="H3849" i="5"/>
  <c r="I3849" i="5"/>
  <c r="J3849" i="5"/>
  <c r="K3849" i="5"/>
  <c r="L3849" i="5"/>
  <c r="M3849" i="5"/>
  <c r="H3850" i="5"/>
  <c r="I3850" i="5"/>
  <c r="J3850" i="5"/>
  <c r="K3850" i="5"/>
  <c r="L3850" i="5"/>
  <c r="M3850" i="5"/>
  <c r="H3851" i="5"/>
  <c r="I3851" i="5"/>
  <c r="J3851" i="5"/>
  <c r="K3851" i="5"/>
  <c r="L3851" i="5"/>
  <c r="M3851" i="5"/>
  <c r="H3852" i="5"/>
  <c r="I3852" i="5"/>
  <c r="J3852" i="5"/>
  <c r="K3852" i="5"/>
  <c r="L3852" i="5"/>
  <c r="M3852" i="5"/>
  <c r="H3853" i="5"/>
  <c r="I3853" i="5"/>
  <c r="J3853" i="5"/>
  <c r="K3853" i="5"/>
  <c r="L3853" i="5"/>
  <c r="M3853" i="5"/>
  <c r="H3854" i="5"/>
  <c r="I3854" i="5"/>
  <c r="J3854" i="5"/>
  <c r="K3854" i="5"/>
  <c r="L3854" i="5"/>
  <c r="M3854" i="5"/>
  <c r="H3855" i="5"/>
  <c r="I3855" i="5"/>
  <c r="J3855" i="5"/>
  <c r="K3855" i="5"/>
  <c r="L3855" i="5"/>
  <c r="M3855" i="5"/>
  <c r="H3856" i="5"/>
  <c r="I3856" i="5"/>
  <c r="J3856" i="5"/>
  <c r="K3856" i="5"/>
  <c r="L3856" i="5"/>
  <c r="M3856" i="5"/>
  <c r="H3857" i="5"/>
  <c r="I3857" i="5"/>
  <c r="J3857" i="5"/>
  <c r="K3857" i="5"/>
  <c r="L3857" i="5"/>
  <c r="M3857" i="5"/>
  <c r="H3858" i="5"/>
  <c r="I3858" i="5"/>
  <c r="J3858" i="5"/>
  <c r="K3858" i="5"/>
  <c r="L3858" i="5"/>
  <c r="M3858" i="5"/>
  <c r="H3859" i="5"/>
  <c r="I3859" i="5"/>
  <c r="J3859" i="5"/>
  <c r="K3859" i="5"/>
  <c r="L3859" i="5"/>
  <c r="M3859" i="5"/>
  <c r="H3860" i="5"/>
  <c r="I3860" i="5"/>
  <c r="J3860" i="5"/>
  <c r="K3860" i="5"/>
  <c r="L3860" i="5"/>
  <c r="M3860" i="5"/>
  <c r="H3861" i="5"/>
  <c r="I3861" i="5"/>
  <c r="J3861" i="5"/>
  <c r="K3861" i="5"/>
  <c r="L3861" i="5"/>
  <c r="M3861" i="5"/>
  <c r="H3862" i="5"/>
  <c r="I3862" i="5"/>
  <c r="J3862" i="5"/>
  <c r="K3862" i="5"/>
  <c r="L3862" i="5"/>
  <c r="M3862" i="5"/>
  <c r="H3863" i="5"/>
  <c r="I3863" i="5"/>
  <c r="J3863" i="5"/>
  <c r="K3863" i="5"/>
  <c r="L3863" i="5"/>
  <c r="M3863" i="5"/>
  <c r="H3864" i="5"/>
  <c r="I3864" i="5"/>
  <c r="J3864" i="5"/>
  <c r="K3864" i="5"/>
  <c r="L3864" i="5"/>
  <c r="M3864" i="5"/>
  <c r="H3865" i="5"/>
  <c r="I3865" i="5"/>
  <c r="J3865" i="5"/>
  <c r="K3865" i="5"/>
  <c r="L3865" i="5"/>
  <c r="M3865" i="5"/>
  <c r="H3866" i="5"/>
  <c r="I3866" i="5"/>
  <c r="J3866" i="5"/>
  <c r="K3866" i="5"/>
  <c r="L3866" i="5"/>
  <c r="M3866" i="5"/>
  <c r="H3867" i="5"/>
  <c r="I3867" i="5"/>
  <c r="J3867" i="5"/>
  <c r="K3867" i="5"/>
  <c r="L3867" i="5"/>
  <c r="M3867" i="5"/>
  <c r="H3868" i="5"/>
  <c r="I3868" i="5"/>
  <c r="J3868" i="5"/>
  <c r="K3868" i="5"/>
  <c r="L3868" i="5"/>
  <c r="M3868" i="5"/>
  <c r="H3869" i="5"/>
  <c r="I3869" i="5"/>
  <c r="J3869" i="5"/>
  <c r="K3869" i="5"/>
  <c r="L3869" i="5"/>
  <c r="M3869" i="5"/>
  <c r="H3870" i="5"/>
  <c r="I3870" i="5"/>
  <c r="J3870" i="5"/>
  <c r="K3870" i="5"/>
  <c r="L3870" i="5"/>
  <c r="M3870" i="5"/>
  <c r="H3871" i="5"/>
  <c r="I3871" i="5"/>
  <c r="J3871" i="5"/>
  <c r="K3871" i="5"/>
  <c r="L3871" i="5"/>
  <c r="M3871" i="5"/>
  <c r="H3872" i="5"/>
  <c r="I3872" i="5"/>
  <c r="J3872" i="5"/>
  <c r="K3872" i="5"/>
  <c r="L3872" i="5"/>
  <c r="M3872" i="5"/>
  <c r="H3873" i="5"/>
  <c r="I3873" i="5"/>
  <c r="J3873" i="5"/>
  <c r="K3873" i="5"/>
  <c r="L3873" i="5"/>
  <c r="M3873" i="5"/>
  <c r="H3874" i="5"/>
  <c r="I3874" i="5"/>
  <c r="J3874" i="5"/>
  <c r="K3874" i="5"/>
  <c r="L3874" i="5"/>
  <c r="M3874" i="5"/>
  <c r="H3875" i="5"/>
  <c r="I3875" i="5"/>
  <c r="J3875" i="5"/>
  <c r="K3875" i="5"/>
  <c r="L3875" i="5"/>
  <c r="M3875" i="5"/>
  <c r="H3876" i="5"/>
  <c r="I3876" i="5"/>
  <c r="J3876" i="5"/>
  <c r="K3876" i="5"/>
  <c r="L3876" i="5"/>
  <c r="M3876" i="5"/>
  <c r="H3877" i="5"/>
  <c r="I3877" i="5"/>
  <c r="J3877" i="5"/>
  <c r="K3877" i="5"/>
  <c r="L3877" i="5"/>
  <c r="M3877" i="5"/>
  <c r="H3878" i="5"/>
  <c r="I3878" i="5"/>
  <c r="J3878" i="5"/>
  <c r="K3878" i="5"/>
  <c r="L3878" i="5"/>
  <c r="M3878" i="5"/>
  <c r="H3879" i="5"/>
  <c r="I3879" i="5"/>
  <c r="J3879" i="5"/>
  <c r="K3879" i="5"/>
  <c r="L3879" i="5"/>
  <c r="M3879" i="5"/>
  <c r="H3880" i="5"/>
  <c r="I3880" i="5"/>
  <c r="J3880" i="5"/>
  <c r="K3880" i="5"/>
  <c r="L3880" i="5"/>
  <c r="M3880" i="5"/>
  <c r="H3881" i="5"/>
  <c r="I3881" i="5"/>
  <c r="J3881" i="5"/>
  <c r="K3881" i="5"/>
  <c r="L3881" i="5"/>
  <c r="M3881" i="5"/>
  <c r="H3882" i="5"/>
  <c r="I3882" i="5"/>
  <c r="J3882" i="5"/>
  <c r="K3882" i="5"/>
  <c r="L3882" i="5"/>
  <c r="M3882" i="5"/>
  <c r="H3883" i="5"/>
  <c r="I3883" i="5"/>
  <c r="J3883" i="5"/>
  <c r="K3883" i="5"/>
  <c r="L3883" i="5"/>
  <c r="M3883" i="5"/>
  <c r="H3884" i="5"/>
  <c r="I3884" i="5"/>
  <c r="J3884" i="5"/>
  <c r="K3884" i="5"/>
  <c r="L3884" i="5"/>
  <c r="M3884" i="5"/>
  <c r="H3885" i="5"/>
  <c r="I3885" i="5"/>
  <c r="J3885" i="5"/>
  <c r="K3885" i="5"/>
  <c r="L3885" i="5"/>
  <c r="M3885" i="5"/>
  <c r="H3886" i="5"/>
  <c r="I3886" i="5"/>
  <c r="J3886" i="5"/>
  <c r="K3886" i="5"/>
  <c r="L3886" i="5"/>
  <c r="M3886" i="5"/>
  <c r="H3887" i="5"/>
  <c r="I3887" i="5"/>
  <c r="J3887" i="5"/>
  <c r="K3887" i="5"/>
  <c r="L3887" i="5"/>
  <c r="M3887" i="5"/>
  <c r="H3888" i="5"/>
  <c r="I3888" i="5"/>
  <c r="J3888" i="5"/>
  <c r="K3888" i="5"/>
  <c r="L3888" i="5"/>
  <c r="M3888" i="5"/>
  <c r="H3889" i="5"/>
  <c r="I3889" i="5"/>
  <c r="J3889" i="5"/>
  <c r="K3889" i="5"/>
  <c r="L3889" i="5"/>
  <c r="M3889" i="5"/>
  <c r="H3890" i="5"/>
  <c r="I3890" i="5"/>
  <c r="J3890" i="5"/>
  <c r="K3890" i="5"/>
  <c r="L3890" i="5"/>
  <c r="M3890" i="5"/>
  <c r="H3891" i="5"/>
  <c r="I3891" i="5"/>
  <c r="J3891" i="5"/>
  <c r="K3891" i="5"/>
  <c r="L3891" i="5"/>
  <c r="M3891" i="5"/>
  <c r="H3892" i="5"/>
  <c r="I3892" i="5"/>
  <c r="J3892" i="5"/>
  <c r="K3892" i="5"/>
  <c r="L3892" i="5"/>
  <c r="M3892" i="5"/>
  <c r="H3893" i="5"/>
  <c r="I3893" i="5"/>
  <c r="J3893" i="5"/>
  <c r="K3893" i="5"/>
  <c r="L3893" i="5"/>
  <c r="M3893" i="5"/>
  <c r="H3894" i="5"/>
  <c r="I3894" i="5"/>
  <c r="J3894" i="5"/>
  <c r="K3894" i="5"/>
  <c r="L3894" i="5"/>
  <c r="M3894" i="5"/>
  <c r="H3895" i="5"/>
  <c r="I3895" i="5"/>
  <c r="J3895" i="5"/>
  <c r="K3895" i="5"/>
  <c r="L3895" i="5"/>
  <c r="M3895" i="5"/>
  <c r="H3896" i="5"/>
  <c r="I3896" i="5"/>
  <c r="J3896" i="5"/>
  <c r="K3896" i="5"/>
  <c r="L3896" i="5"/>
  <c r="M3896" i="5"/>
  <c r="H3897" i="5"/>
  <c r="I3897" i="5"/>
  <c r="J3897" i="5"/>
  <c r="K3897" i="5"/>
  <c r="L3897" i="5"/>
  <c r="M3897" i="5"/>
  <c r="H3898" i="5"/>
  <c r="I3898" i="5"/>
  <c r="J3898" i="5"/>
  <c r="K3898" i="5"/>
  <c r="L3898" i="5"/>
  <c r="M3898" i="5"/>
  <c r="H3899" i="5"/>
  <c r="I3899" i="5"/>
  <c r="J3899" i="5"/>
  <c r="K3899" i="5"/>
  <c r="L3899" i="5"/>
  <c r="M3899" i="5"/>
  <c r="H3900" i="5"/>
  <c r="I3900" i="5"/>
  <c r="J3900" i="5"/>
  <c r="K3900" i="5"/>
  <c r="L3900" i="5"/>
  <c r="M3900" i="5"/>
  <c r="H3901" i="5"/>
  <c r="I3901" i="5"/>
  <c r="J3901" i="5"/>
  <c r="K3901" i="5"/>
  <c r="L3901" i="5"/>
  <c r="M3901" i="5"/>
  <c r="H3902" i="5"/>
  <c r="I3902" i="5"/>
  <c r="J3902" i="5"/>
  <c r="K3902" i="5"/>
  <c r="L3902" i="5"/>
  <c r="M3902" i="5"/>
  <c r="H3903" i="5"/>
  <c r="I3903" i="5"/>
  <c r="J3903" i="5"/>
  <c r="K3903" i="5"/>
  <c r="L3903" i="5"/>
  <c r="M3903" i="5"/>
  <c r="H3904" i="5"/>
  <c r="I3904" i="5"/>
  <c r="J3904" i="5"/>
  <c r="K3904" i="5"/>
  <c r="L3904" i="5"/>
  <c r="M3904" i="5"/>
  <c r="H3905" i="5"/>
  <c r="I3905" i="5"/>
  <c r="J3905" i="5"/>
  <c r="K3905" i="5"/>
  <c r="L3905" i="5"/>
  <c r="M3905" i="5"/>
  <c r="H3906" i="5"/>
  <c r="I3906" i="5"/>
  <c r="J3906" i="5"/>
  <c r="K3906" i="5"/>
  <c r="L3906" i="5"/>
  <c r="M3906" i="5"/>
  <c r="H3907" i="5"/>
  <c r="I3907" i="5"/>
  <c r="J3907" i="5"/>
  <c r="K3907" i="5"/>
  <c r="L3907" i="5"/>
  <c r="M3907" i="5"/>
  <c r="H3908" i="5"/>
  <c r="I3908" i="5"/>
  <c r="J3908" i="5"/>
  <c r="K3908" i="5"/>
  <c r="L3908" i="5"/>
  <c r="M3908" i="5"/>
  <c r="H3909" i="5"/>
  <c r="I3909" i="5"/>
  <c r="J3909" i="5"/>
  <c r="K3909" i="5"/>
  <c r="L3909" i="5"/>
  <c r="M3909" i="5"/>
  <c r="H3910" i="5"/>
  <c r="I3910" i="5"/>
  <c r="J3910" i="5"/>
  <c r="K3910" i="5"/>
  <c r="L3910" i="5"/>
  <c r="M3910" i="5"/>
  <c r="H3911" i="5"/>
  <c r="I3911" i="5"/>
  <c r="J3911" i="5"/>
  <c r="K3911" i="5"/>
  <c r="L3911" i="5"/>
  <c r="M3911" i="5"/>
  <c r="H3912" i="5"/>
  <c r="I3912" i="5"/>
  <c r="J3912" i="5"/>
  <c r="K3912" i="5"/>
  <c r="L3912" i="5"/>
  <c r="M3912" i="5"/>
  <c r="H3913" i="5"/>
  <c r="I3913" i="5"/>
  <c r="J3913" i="5"/>
  <c r="K3913" i="5"/>
  <c r="L3913" i="5"/>
  <c r="M3913" i="5"/>
  <c r="H3914" i="5"/>
  <c r="I3914" i="5"/>
  <c r="J3914" i="5"/>
  <c r="K3914" i="5"/>
  <c r="L3914" i="5"/>
  <c r="M3914" i="5"/>
  <c r="H3915" i="5"/>
  <c r="I3915" i="5"/>
  <c r="J3915" i="5"/>
  <c r="K3915" i="5"/>
  <c r="L3915" i="5"/>
  <c r="M3915" i="5"/>
  <c r="H3916" i="5"/>
  <c r="I3916" i="5"/>
  <c r="J3916" i="5"/>
  <c r="K3916" i="5"/>
  <c r="L3916" i="5"/>
  <c r="M3916" i="5"/>
  <c r="H3917" i="5"/>
  <c r="I3917" i="5"/>
  <c r="J3917" i="5"/>
  <c r="K3917" i="5"/>
  <c r="L3917" i="5"/>
  <c r="M3917" i="5"/>
  <c r="H3918" i="5"/>
  <c r="I3918" i="5"/>
  <c r="J3918" i="5"/>
  <c r="K3918" i="5"/>
  <c r="L3918" i="5"/>
  <c r="M3918" i="5"/>
  <c r="H3919" i="5"/>
  <c r="I3919" i="5"/>
  <c r="J3919" i="5"/>
  <c r="K3919" i="5"/>
  <c r="L3919" i="5"/>
  <c r="M3919" i="5"/>
  <c r="H3920" i="5"/>
  <c r="I3920" i="5"/>
  <c r="J3920" i="5"/>
  <c r="K3920" i="5"/>
  <c r="L3920" i="5"/>
  <c r="M3920" i="5"/>
  <c r="H3921" i="5"/>
  <c r="I3921" i="5"/>
  <c r="J3921" i="5"/>
  <c r="K3921" i="5"/>
  <c r="L3921" i="5"/>
  <c r="M3921" i="5"/>
  <c r="H3922" i="5"/>
  <c r="I3922" i="5"/>
  <c r="J3922" i="5"/>
  <c r="K3922" i="5"/>
  <c r="L3922" i="5"/>
  <c r="M3922" i="5"/>
  <c r="H3923" i="5"/>
  <c r="I3923" i="5"/>
  <c r="J3923" i="5"/>
  <c r="K3923" i="5"/>
  <c r="L3923" i="5"/>
  <c r="M3923" i="5"/>
  <c r="H3924" i="5"/>
  <c r="I3924" i="5"/>
  <c r="J3924" i="5"/>
  <c r="K3924" i="5"/>
  <c r="L3924" i="5"/>
  <c r="M3924" i="5"/>
  <c r="H3925" i="5"/>
  <c r="I3925" i="5"/>
  <c r="J3925" i="5"/>
  <c r="K3925" i="5"/>
  <c r="L3925" i="5"/>
  <c r="M3925" i="5"/>
  <c r="H3926" i="5"/>
  <c r="I3926" i="5"/>
  <c r="J3926" i="5"/>
  <c r="K3926" i="5"/>
  <c r="L3926" i="5"/>
  <c r="M3926" i="5"/>
  <c r="H3927" i="5"/>
  <c r="I3927" i="5"/>
  <c r="J3927" i="5"/>
  <c r="K3927" i="5"/>
  <c r="L3927" i="5"/>
  <c r="M3927" i="5"/>
  <c r="H3928" i="5"/>
  <c r="I3928" i="5"/>
  <c r="J3928" i="5"/>
  <c r="K3928" i="5"/>
  <c r="L3928" i="5"/>
  <c r="M3928" i="5"/>
  <c r="H3929" i="5"/>
  <c r="I3929" i="5"/>
  <c r="J3929" i="5"/>
  <c r="K3929" i="5"/>
  <c r="L3929" i="5"/>
  <c r="M3929" i="5"/>
  <c r="H3930" i="5"/>
  <c r="I3930" i="5"/>
  <c r="J3930" i="5"/>
  <c r="K3930" i="5"/>
  <c r="L3930" i="5"/>
  <c r="M3930" i="5"/>
  <c r="H3931" i="5"/>
  <c r="I3931" i="5"/>
  <c r="J3931" i="5"/>
  <c r="K3931" i="5"/>
  <c r="L3931" i="5"/>
  <c r="M3931" i="5"/>
  <c r="H3932" i="5"/>
  <c r="I3932" i="5"/>
  <c r="J3932" i="5"/>
  <c r="K3932" i="5"/>
  <c r="L3932" i="5"/>
  <c r="M3932" i="5"/>
  <c r="H3933" i="5"/>
  <c r="I3933" i="5"/>
  <c r="J3933" i="5"/>
  <c r="K3933" i="5"/>
  <c r="L3933" i="5"/>
  <c r="M3933" i="5"/>
  <c r="H3934" i="5"/>
  <c r="I3934" i="5"/>
  <c r="J3934" i="5"/>
  <c r="K3934" i="5"/>
  <c r="L3934" i="5"/>
  <c r="M3934" i="5"/>
  <c r="H3935" i="5"/>
  <c r="I3935" i="5"/>
  <c r="J3935" i="5"/>
  <c r="K3935" i="5"/>
  <c r="L3935" i="5"/>
  <c r="M3935" i="5"/>
  <c r="H3936" i="5"/>
  <c r="I3936" i="5"/>
  <c r="J3936" i="5"/>
  <c r="K3936" i="5"/>
  <c r="L3936" i="5"/>
  <c r="M3936" i="5"/>
  <c r="H3937" i="5"/>
  <c r="I3937" i="5"/>
  <c r="J3937" i="5"/>
  <c r="K3937" i="5"/>
  <c r="L3937" i="5"/>
  <c r="M3937" i="5"/>
  <c r="H3938" i="5"/>
  <c r="I3938" i="5"/>
  <c r="J3938" i="5"/>
  <c r="K3938" i="5"/>
  <c r="L3938" i="5"/>
  <c r="M3938" i="5"/>
  <c r="H3939" i="5"/>
  <c r="I3939" i="5"/>
  <c r="J3939" i="5"/>
  <c r="K3939" i="5"/>
  <c r="L3939" i="5"/>
  <c r="M3939" i="5"/>
  <c r="H3940" i="5"/>
  <c r="I3940" i="5"/>
  <c r="J3940" i="5"/>
  <c r="K3940" i="5"/>
  <c r="L3940" i="5"/>
  <c r="M3940" i="5"/>
  <c r="H3941" i="5"/>
  <c r="I3941" i="5"/>
  <c r="J3941" i="5"/>
  <c r="K3941" i="5"/>
  <c r="L3941" i="5"/>
  <c r="M3941" i="5"/>
  <c r="H3942" i="5"/>
  <c r="I3942" i="5"/>
  <c r="J3942" i="5"/>
  <c r="K3942" i="5"/>
  <c r="L3942" i="5"/>
  <c r="M3942" i="5"/>
  <c r="H3943" i="5"/>
  <c r="I3943" i="5"/>
  <c r="J3943" i="5"/>
  <c r="K3943" i="5"/>
  <c r="L3943" i="5"/>
  <c r="M3943" i="5"/>
  <c r="H3944" i="5"/>
  <c r="I3944" i="5"/>
  <c r="J3944" i="5"/>
  <c r="K3944" i="5"/>
  <c r="L3944" i="5"/>
  <c r="M3944" i="5"/>
  <c r="H3945" i="5"/>
  <c r="I3945" i="5"/>
  <c r="J3945" i="5"/>
  <c r="K3945" i="5"/>
  <c r="L3945" i="5"/>
  <c r="M3945" i="5"/>
  <c r="H3946" i="5"/>
  <c r="I3946" i="5"/>
  <c r="J3946" i="5"/>
  <c r="K3946" i="5"/>
  <c r="L3946" i="5"/>
  <c r="M3946" i="5"/>
  <c r="H3947" i="5"/>
  <c r="I3947" i="5"/>
  <c r="J3947" i="5"/>
  <c r="K3947" i="5"/>
  <c r="L3947" i="5"/>
  <c r="M3947" i="5"/>
  <c r="H3948" i="5"/>
  <c r="I3948" i="5"/>
  <c r="J3948" i="5"/>
  <c r="K3948" i="5"/>
  <c r="L3948" i="5"/>
  <c r="M3948" i="5"/>
  <c r="H3949" i="5"/>
  <c r="I3949" i="5"/>
  <c r="J3949" i="5"/>
  <c r="K3949" i="5"/>
  <c r="L3949" i="5"/>
  <c r="M3949" i="5"/>
  <c r="H3950" i="5"/>
  <c r="I3950" i="5"/>
  <c r="J3950" i="5"/>
  <c r="K3950" i="5"/>
  <c r="L3950" i="5"/>
  <c r="M3950" i="5"/>
  <c r="H3951" i="5"/>
  <c r="I3951" i="5"/>
  <c r="J3951" i="5"/>
  <c r="K3951" i="5"/>
  <c r="L3951" i="5"/>
  <c r="M3951" i="5"/>
  <c r="H3952" i="5"/>
  <c r="I3952" i="5"/>
  <c r="J3952" i="5"/>
  <c r="K3952" i="5"/>
  <c r="L3952" i="5"/>
  <c r="M3952" i="5"/>
  <c r="H3953" i="5"/>
  <c r="I3953" i="5"/>
  <c r="J3953" i="5"/>
  <c r="K3953" i="5"/>
  <c r="L3953" i="5"/>
  <c r="M3953" i="5"/>
  <c r="H3954" i="5"/>
  <c r="I3954" i="5"/>
  <c r="J3954" i="5"/>
  <c r="K3954" i="5"/>
  <c r="L3954" i="5"/>
  <c r="M3954" i="5"/>
  <c r="H3955" i="5"/>
  <c r="I3955" i="5"/>
  <c r="J3955" i="5"/>
  <c r="K3955" i="5"/>
  <c r="L3955" i="5"/>
  <c r="M3955" i="5"/>
  <c r="H3956" i="5"/>
  <c r="I3956" i="5"/>
  <c r="J3956" i="5"/>
  <c r="K3956" i="5"/>
  <c r="L3956" i="5"/>
  <c r="M3956" i="5"/>
  <c r="H3957" i="5"/>
  <c r="I3957" i="5"/>
  <c r="J3957" i="5"/>
  <c r="K3957" i="5"/>
  <c r="L3957" i="5"/>
  <c r="M3957" i="5"/>
  <c r="H3958" i="5"/>
  <c r="I3958" i="5"/>
  <c r="J3958" i="5"/>
  <c r="K3958" i="5"/>
  <c r="L3958" i="5"/>
  <c r="M3958" i="5"/>
  <c r="H3959" i="5"/>
  <c r="I3959" i="5"/>
  <c r="J3959" i="5"/>
  <c r="K3959" i="5"/>
  <c r="L3959" i="5"/>
  <c r="M3959" i="5"/>
  <c r="H3960" i="5"/>
  <c r="I3960" i="5"/>
  <c r="J3960" i="5"/>
  <c r="K3960" i="5"/>
  <c r="L3960" i="5"/>
  <c r="M3960" i="5"/>
  <c r="H3961" i="5"/>
  <c r="I3961" i="5"/>
  <c r="J3961" i="5"/>
  <c r="K3961" i="5"/>
  <c r="L3961" i="5"/>
  <c r="M3961" i="5"/>
  <c r="H3962" i="5"/>
  <c r="I3962" i="5"/>
  <c r="J3962" i="5"/>
  <c r="K3962" i="5"/>
  <c r="L3962" i="5"/>
  <c r="M3962" i="5"/>
  <c r="H3963" i="5"/>
  <c r="I3963" i="5"/>
  <c r="J3963" i="5"/>
  <c r="K3963" i="5"/>
  <c r="L3963" i="5"/>
  <c r="M3963" i="5"/>
  <c r="H3964" i="5"/>
  <c r="I3964" i="5"/>
  <c r="J3964" i="5"/>
  <c r="K3964" i="5"/>
  <c r="L3964" i="5"/>
  <c r="M3964" i="5"/>
  <c r="H3965" i="5"/>
  <c r="I3965" i="5"/>
  <c r="J3965" i="5"/>
  <c r="K3965" i="5"/>
  <c r="L3965" i="5"/>
  <c r="M3965" i="5"/>
  <c r="H3966" i="5"/>
  <c r="I3966" i="5"/>
  <c r="J3966" i="5"/>
  <c r="K3966" i="5"/>
  <c r="L3966" i="5"/>
  <c r="M3966" i="5"/>
  <c r="H3967" i="5"/>
  <c r="I3967" i="5"/>
  <c r="J3967" i="5"/>
  <c r="K3967" i="5"/>
  <c r="L3967" i="5"/>
  <c r="M3967" i="5"/>
  <c r="H3968" i="5"/>
  <c r="I3968" i="5"/>
  <c r="J3968" i="5"/>
  <c r="K3968" i="5"/>
  <c r="L3968" i="5"/>
  <c r="M3968" i="5"/>
  <c r="H3969" i="5"/>
  <c r="I3969" i="5"/>
  <c r="J3969" i="5"/>
  <c r="K3969" i="5"/>
  <c r="L3969" i="5"/>
  <c r="M3969" i="5"/>
  <c r="H3970" i="5"/>
  <c r="I3970" i="5"/>
  <c r="J3970" i="5"/>
  <c r="K3970" i="5"/>
  <c r="L3970" i="5"/>
  <c r="M3970" i="5"/>
  <c r="H3971" i="5"/>
  <c r="I3971" i="5"/>
  <c r="J3971" i="5"/>
  <c r="K3971" i="5"/>
  <c r="L3971" i="5"/>
  <c r="M3971" i="5"/>
  <c r="H3972" i="5"/>
  <c r="I3972" i="5"/>
  <c r="J3972" i="5"/>
  <c r="K3972" i="5"/>
  <c r="L3972" i="5"/>
  <c r="M3972" i="5"/>
  <c r="H3973" i="5"/>
  <c r="I3973" i="5"/>
  <c r="J3973" i="5"/>
  <c r="K3973" i="5"/>
  <c r="L3973" i="5"/>
  <c r="M3973" i="5"/>
  <c r="H3974" i="5"/>
  <c r="I3974" i="5"/>
  <c r="J3974" i="5"/>
  <c r="K3974" i="5"/>
  <c r="L3974" i="5"/>
  <c r="M3974" i="5"/>
  <c r="H3975" i="5"/>
  <c r="I3975" i="5"/>
  <c r="J3975" i="5"/>
  <c r="K3975" i="5"/>
  <c r="L3975" i="5"/>
  <c r="M3975" i="5"/>
  <c r="H3976" i="5"/>
  <c r="I3976" i="5"/>
  <c r="J3976" i="5"/>
  <c r="K3976" i="5"/>
  <c r="L3976" i="5"/>
  <c r="M3976" i="5"/>
  <c r="H3977" i="5"/>
  <c r="I3977" i="5"/>
  <c r="J3977" i="5"/>
  <c r="K3977" i="5"/>
  <c r="L3977" i="5"/>
  <c r="M3977" i="5"/>
  <c r="H3978" i="5"/>
  <c r="I3978" i="5"/>
  <c r="J3978" i="5"/>
  <c r="K3978" i="5"/>
  <c r="L3978" i="5"/>
  <c r="M3978" i="5"/>
  <c r="H3979" i="5"/>
  <c r="I3979" i="5"/>
  <c r="J3979" i="5"/>
  <c r="K3979" i="5"/>
  <c r="L3979" i="5"/>
  <c r="M3979" i="5"/>
  <c r="H3980" i="5"/>
  <c r="I3980" i="5"/>
  <c r="J3980" i="5"/>
  <c r="K3980" i="5"/>
  <c r="L3980" i="5"/>
  <c r="M3980" i="5"/>
  <c r="H3981" i="5"/>
  <c r="I3981" i="5"/>
  <c r="J3981" i="5"/>
  <c r="K3981" i="5"/>
  <c r="L3981" i="5"/>
  <c r="M3981" i="5"/>
  <c r="H3982" i="5"/>
  <c r="I3982" i="5"/>
  <c r="J3982" i="5"/>
  <c r="K3982" i="5"/>
  <c r="L3982" i="5"/>
  <c r="M3982" i="5"/>
  <c r="H3983" i="5"/>
  <c r="I3983" i="5"/>
  <c r="J3983" i="5"/>
  <c r="K3983" i="5"/>
  <c r="L3983" i="5"/>
  <c r="M3983" i="5"/>
  <c r="H3984" i="5"/>
  <c r="I3984" i="5"/>
  <c r="J3984" i="5"/>
  <c r="K3984" i="5"/>
  <c r="L3984" i="5"/>
  <c r="M3984" i="5"/>
  <c r="H3985" i="5"/>
  <c r="I3985" i="5"/>
  <c r="J3985" i="5"/>
  <c r="K3985" i="5"/>
  <c r="L3985" i="5"/>
  <c r="M3985" i="5"/>
  <c r="H3986" i="5"/>
  <c r="I3986" i="5"/>
  <c r="J3986" i="5"/>
  <c r="K3986" i="5"/>
  <c r="L3986" i="5"/>
  <c r="M3986" i="5"/>
  <c r="H3987" i="5"/>
  <c r="I3987" i="5"/>
  <c r="J3987" i="5"/>
  <c r="K3987" i="5"/>
  <c r="L3987" i="5"/>
  <c r="M3987" i="5"/>
  <c r="H3988" i="5"/>
  <c r="I3988" i="5"/>
  <c r="J3988" i="5"/>
  <c r="K3988" i="5"/>
  <c r="L3988" i="5"/>
  <c r="M3988" i="5"/>
  <c r="H3989" i="5"/>
  <c r="I3989" i="5"/>
  <c r="J3989" i="5"/>
  <c r="K3989" i="5"/>
  <c r="L3989" i="5"/>
  <c r="M3989" i="5"/>
  <c r="H3990" i="5"/>
  <c r="I3990" i="5"/>
  <c r="J3990" i="5"/>
  <c r="K3990" i="5"/>
  <c r="L3990" i="5"/>
  <c r="M3990" i="5"/>
  <c r="H3991" i="5"/>
  <c r="I3991" i="5"/>
  <c r="J3991" i="5"/>
  <c r="K3991" i="5"/>
  <c r="L3991" i="5"/>
  <c r="M3991" i="5"/>
  <c r="H3992" i="5"/>
  <c r="I3992" i="5"/>
  <c r="J3992" i="5"/>
  <c r="K3992" i="5"/>
  <c r="L3992" i="5"/>
  <c r="M3992" i="5"/>
  <c r="H3993" i="5"/>
  <c r="I3993" i="5"/>
  <c r="J3993" i="5"/>
  <c r="K3993" i="5"/>
  <c r="L3993" i="5"/>
  <c r="M3993" i="5"/>
  <c r="H3994" i="5"/>
  <c r="I3994" i="5"/>
  <c r="J3994" i="5"/>
  <c r="K3994" i="5"/>
  <c r="L3994" i="5"/>
  <c r="M3994" i="5"/>
  <c r="H3995" i="5"/>
  <c r="I3995" i="5"/>
  <c r="J3995" i="5"/>
  <c r="K3995" i="5"/>
  <c r="L3995" i="5"/>
  <c r="M3995" i="5"/>
  <c r="H3996" i="5"/>
  <c r="I3996" i="5"/>
  <c r="J3996" i="5"/>
  <c r="K3996" i="5"/>
  <c r="L3996" i="5"/>
  <c r="M3996" i="5"/>
  <c r="H3997" i="5"/>
  <c r="I3997" i="5"/>
  <c r="J3997" i="5"/>
  <c r="K3997" i="5"/>
  <c r="L3997" i="5"/>
  <c r="M3997" i="5"/>
  <c r="H3998" i="5"/>
  <c r="I3998" i="5"/>
  <c r="J3998" i="5"/>
  <c r="K3998" i="5"/>
  <c r="L3998" i="5"/>
  <c r="M3998" i="5"/>
  <c r="H3999" i="5"/>
  <c r="I3999" i="5"/>
  <c r="J3999" i="5"/>
  <c r="K3999" i="5"/>
  <c r="L3999" i="5"/>
  <c r="M3999" i="5"/>
  <c r="H4000" i="5"/>
  <c r="I4000" i="5"/>
  <c r="J4000" i="5"/>
  <c r="K4000" i="5"/>
  <c r="L4000" i="5"/>
  <c r="M4000" i="5"/>
  <c r="H4001" i="5"/>
  <c r="I4001" i="5"/>
  <c r="J4001" i="5"/>
  <c r="K4001" i="5"/>
  <c r="L4001" i="5"/>
  <c r="M4001" i="5"/>
  <c r="H4002" i="5"/>
  <c r="I4002" i="5"/>
  <c r="J4002" i="5"/>
  <c r="K4002" i="5"/>
  <c r="L4002" i="5"/>
  <c r="M4002" i="5"/>
  <c r="H4003" i="5"/>
  <c r="I4003" i="5"/>
  <c r="J4003" i="5"/>
  <c r="K4003" i="5"/>
  <c r="L4003" i="5"/>
  <c r="M4003" i="5"/>
  <c r="H4004" i="5"/>
  <c r="I4004" i="5"/>
  <c r="J4004" i="5"/>
  <c r="K4004" i="5"/>
  <c r="L4004" i="5"/>
  <c r="M4004" i="5"/>
  <c r="H4005" i="5"/>
  <c r="I4005" i="5"/>
  <c r="J4005" i="5"/>
  <c r="K4005" i="5"/>
  <c r="L4005" i="5"/>
  <c r="M4005" i="5"/>
  <c r="H4006" i="5"/>
  <c r="I4006" i="5"/>
  <c r="J4006" i="5"/>
  <c r="K4006" i="5"/>
  <c r="L4006" i="5"/>
  <c r="M4006" i="5"/>
  <c r="H4007" i="5"/>
  <c r="I4007" i="5"/>
  <c r="J4007" i="5"/>
  <c r="K4007" i="5"/>
  <c r="L4007" i="5"/>
  <c r="M4007" i="5"/>
  <c r="H4008" i="5"/>
  <c r="I4008" i="5"/>
  <c r="J4008" i="5"/>
  <c r="K4008" i="5"/>
  <c r="L4008" i="5"/>
  <c r="M4008" i="5"/>
  <c r="H4009" i="5"/>
  <c r="I4009" i="5"/>
  <c r="J4009" i="5"/>
  <c r="K4009" i="5"/>
  <c r="L4009" i="5"/>
  <c r="M4009" i="5"/>
  <c r="H4010" i="5"/>
  <c r="I4010" i="5"/>
  <c r="J4010" i="5"/>
  <c r="K4010" i="5"/>
  <c r="L4010" i="5"/>
  <c r="M4010" i="5"/>
  <c r="H4011" i="5"/>
  <c r="I4011" i="5"/>
  <c r="J4011" i="5"/>
  <c r="K4011" i="5"/>
  <c r="L4011" i="5"/>
  <c r="M4011" i="5"/>
  <c r="H4012" i="5"/>
  <c r="I4012" i="5"/>
  <c r="J4012" i="5"/>
  <c r="K4012" i="5"/>
  <c r="L4012" i="5"/>
  <c r="M4012" i="5"/>
  <c r="H4013" i="5"/>
  <c r="I4013" i="5"/>
  <c r="J4013" i="5"/>
  <c r="K4013" i="5"/>
  <c r="L4013" i="5"/>
  <c r="M4013" i="5"/>
  <c r="H4014" i="5"/>
  <c r="I4014" i="5"/>
  <c r="J4014" i="5"/>
  <c r="K4014" i="5"/>
  <c r="L4014" i="5"/>
  <c r="M4014" i="5"/>
  <c r="H4015" i="5"/>
  <c r="I4015" i="5"/>
  <c r="J4015" i="5"/>
  <c r="K4015" i="5"/>
  <c r="L4015" i="5"/>
  <c r="M4015" i="5"/>
  <c r="H4016" i="5"/>
  <c r="I4016" i="5"/>
  <c r="J4016" i="5"/>
  <c r="K4016" i="5"/>
  <c r="L4016" i="5"/>
  <c r="M4016" i="5"/>
  <c r="H4017" i="5"/>
  <c r="I4017" i="5"/>
  <c r="J4017" i="5"/>
  <c r="K4017" i="5"/>
  <c r="L4017" i="5"/>
  <c r="M4017" i="5"/>
  <c r="H4018" i="5"/>
  <c r="I4018" i="5"/>
  <c r="J4018" i="5"/>
  <c r="K4018" i="5"/>
  <c r="L4018" i="5"/>
  <c r="M4018" i="5"/>
  <c r="H4019" i="5"/>
  <c r="I4019" i="5"/>
  <c r="J4019" i="5"/>
  <c r="K4019" i="5"/>
  <c r="L4019" i="5"/>
  <c r="M4019" i="5"/>
  <c r="H4020" i="5"/>
  <c r="I4020" i="5"/>
  <c r="J4020" i="5"/>
  <c r="K4020" i="5"/>
  <c r="L4020" i="5"/>
  <c r="M4020" i="5"/>
  <c r="H4021" i="5"/>
  <c r="I4021" i="5"/>
  <c r="J4021" i="5"/>
  <c r="K4021" i="5"/>
  <c r="L4021" i="5"/>
  <c r="M4021" i="5"/>
  <c r="H4022" i="5"/>
  <c r="I4022" i="5"/>
  <c r="J4022" i="5"/>
  <c r="K4022" i="5"/>
  <c r="L4022" i="5"/>
  <c r="M4022" i="5"/>
  <c r="H4023" i="5"/>
  <c r="I4023" i="5"/>
  <c r="J4023" i="5"/>
  <c r="K4023" i="5"/>
  <c r="L4023" i="5"/>
  <c r="M4023" i="5"/>
  <c r="H4024" i="5"/>
  <c r="I4024" i="5"/>
  <c r="J4024" i="5"/>
  <c r="K4024" i="5"/>
  <c r="L4024" i="5"/>
  <c r="M4024" i="5"/>
  <c r="H4025" i="5"/>
  <c r="I4025" i="5"/>
  <c r="J4025" i="5"/>
  <c r="K4025" i="5"/>
  <c r="L4025" i="5"/>
  <c r="M4025" i="5"/>
  <c r="H4026" i="5"/>
  <c r="I4026" i="5"/>
  <c r="J4026" i="5"/>
  <c r="K4026" i="5"/>
  <c r="L4026" i="5"/>
  <c r="M4026" i="5"/>
  <c r="H4027" i="5"/>
  <c r="I4027" i="5"/>
  <c r="J4027" i="5"/>
  <c r="K4027" i="5"/>
  <c r="L4027" i="5"/>
  <c r="M4027" i="5"/>
  <c r="H4028" i="5"/>
  <c r="I4028" i="5"/>
  <c r="J4028" i="5"/>
  <c r="K4028" i="5"/>
  <c r="L4028" i="5"/>
  <c r="M4028" i="5"/>
  <c r="H4029" i="5"/>
  <c r="I4029" i="5"/>
  <c r="J4029" i="5"/>
  <c r="K4029" i="5"/>
  <c r="L4029" i="5"/>
  <c r="M4029" i="5"/>
  <c r="H4030" i="5"/>
  <c r="I4030" i="5"/>
  <c r="J4030" i="5"/>
  <c r="K4030" i="5"/>
  <c r="L4030" i="5"/>
  <c r="M4030" i="5"/>
  <c r="H4031" i="5"/>
  <c r="I4031" i="5"/>
  <c r="J4031" i="5"/>
  <c r="K4031" i="5"/>
  <c r="L4031" i="5"/>
  <c r="M4031" i="5"/>
  <c r="H4032" i="5"/>
  <c r="I4032" i="5"/>
  <c r="J4032" i="5"/>
  <c r="K4032" i="5"/>
  <c r="L4032" i="5"/>
  <c r="M4032" i="5"/>
  <c r="H4033" i="5"/>
  <c r="I4033" i="5"/>
  <c r="J4033" i="5"/>
  <c r="K4033" i="5"/>
  <c r="L4033" i="5"/>
  <c r="M4033" i="5"/>
  <c r="H4034" i="5"/>
  <c r="I4034" i="5"/>
  <c r="J4034" i="5"/>
  <c r="K4034" i="5"/>
  <c r="L4034" i="5"/>
  <c r="M4034" i="5"/>
  <c r="H4035" i="5"/>
  <c r="I4035" i="5"/>
  <c r="J4035" i="5"/>
  <c r="K4035" i="5"/>
  <c r="L4035" i="5"/>
  <c r="M4035" i="5"/>
  <c r="H4036" i="5"/>
  <c r="I4036" i="5"/>
  <c r="J4036" i="5"/>
  <c r="K4036" i="5"/>
  <c r="L4036" i="5"/>
  <c r="M4036" i="5"/>
  <c r="H4037" i="5"/>
  <c r="I4037" i="5"/>
  <c r="J4037" i="5"/>
  <c r="K4037" i="5"/>
  <c r="L4037" i="5"/>
  <c r="M4037" i="5"/>
  <c r="H4038" i="5"/>
  <c r="I4038" i="5"/>
  <c r="J4038" i="5"/>
  <c r="K4038" i="5"/>
  <c r="L4038" i="5"/>
  <c r="M4038" i="5"/>
  <c r="H4039" i="5"/>
  <c r="I4039" i="5"/>
  <c r="J4039" i="5"/>
  <c r="K4039" i="5"/>
  <c r="L4039" i="5"/>
  <c r="M4039" i="5"/>
  <c r="H4040" i="5"/>
  <c r="I4040" i="5"/>
  <c r="J4040" i="5"/>
  <c r="K4040" i="5"/>
  <c r="L4040" i="5"/>
  <c r="M4040" i="5"/>
  <c r="H4041" i="5"/>
  <c r="I4041" i="5"/>
  <c r="J4041" i="5"/>
  <c r="K4041" i="5"/>
  <c r="L4041" i="5"/>
  <c r="M4041" i="5"/>
  <c r="H4042" i="5"/>
  <c r="I4042" i="5"/>
  <c r="J4042" i="5"/>
  <c r="K4042" i="5"/>
  <c r="L4042" i="5"/>
  <c r="M4042" i="5"/>
  <c r="H4043" i="5"/>
  <c r="I4043" i="5"/>
  <c r="J4043" i="5"/>
  <c r="K4043" i="5"/>
  <c r="L4043" i="5"/>
  <c r="M4043" i="5"/>
  <c r="H4044" i="5"/>
  <c r="I4044" i="5"/>
  <c r="J4044" i="5"/>
  <c r="K4044" i="5"/>
  <c r="L4044" i="5"/>
  <c r="M4044" i="5"/>
  <c r="H4045" i="5"/>
  <c r="I4045" i="5"/>
  <c r="J4045" i="5"/>
  <c r="K4045" i="5"/>
  <c r="L4045" i="5"/>
  <c r="M4045" i="5"/>
  <c r="H4046" i="5"/>
  <c r="I4046" i="5"/>
  <c r="J4046" i="5"/>
  <c r="K4046" i="5"/>
  <c r="L4046" i="5"/>
  <c r="M4046" i="5"/>
  <c r="H4047" i="5"/>
  <c r="I4047" i="5"/>
  <c r="J4047" i="5"/>
  <c r="K4047" i="5"/>
  <c r="L4047" i="5"/>
  <c r="M4047" i="5"/>
  <c r="H4048" i="5"/>
  <c r="I4048" i="5"/>
  <c r="J4048" i="5"/>
  <c r="K4048" i="5"/>
  <c r="L4048" i="5"/>
  <c r="M4048" i="5"/>
  <c r="H4049" i="5"/>
  <c r="I4049" i="5"/>
  <c r="J4049" i="5"/>
  <c r="K4049" i="5"/>
  <c r="L4049" i="5"/>
  <c r="M4049" i="5"/>
  <c r="H4050" i="5"/>
  <c r="I4050" i="5"/>
  <c r="J4050" i="5"/>
  <c r="K4050" i="5"/>
  <c r="L4050" i="5"/>
  <c r="M4050" i="5"/>
  <c r="H4051" i="5"/>
  <c r="I4051" i="5"/>
  <c r="J4051" i="5"/>
  <c r="K4051" i="5"/>
  <c r="L4051" i="5"/>
  <c r="M4051" i="5"/>
  <c r="H4052" i="5"/>
  <c r="I4052" i="5"/>
  <c r="J4052" i="5"/>
  <c r="K4052" i="5"/>
  <c r="L4052" i="5"/>
  <c r="M4052" i="5"/>
  <c r="H4053" i="5"/>
  <c r="I4053" i="5"/>
  <c r="J4053" i="5"/>
  <c r="K4053" i="5"/>
  <c r="L4053" i="5"/>
  <c r="M4053" i="5"/>
  <c r="H4054" i="5"/>
  <c r="I4054" i="5"/>
  <c r="J4054" i="5"/>
  <c r="K4054" i="5"/>
  <c r="L4054" i="5"/>
  <c r="M4054" i="5"/>
  <c r="H4055" i="5"/>
  <c r="I4055" i="5"/>
  <c r="J4055" i="5"/>
  <c r="K4055" i="5"/>
  <c r="L4055" i="5"/>
  <c r="M4055" i="5"/>
  <c r="H4056" i="5"/>
  <c r="I4056" i="5"/>
  <c r="J4056" i="5"/>
  <c r="K4056" i="5"/>
  <c r="L4056" i="5"/>
  <c r="M4056" i="5"/>
  <c r="H4057" i="5"/>
  <c r="I4057" i="5"/>
  <c r="J4057" i="5"/>
  <c r="K4057" i="5"/>
  <c r="L4057" i="5"/>
  <c r="M4057" i="5"/>
  <c r="H4058" i="5"/>
  <c r="I4058" i="5"/>
  <c r="J4058" i="5"/>
  <c r="K4058" i="5"/>
  <c r="L4058" i="5"/>
  <c r="M4058" i="5"/>
  <c r="H4059" i="5"/>
  <c r="I4059" i="5"/>
  <c r="J4059" i="5"/>
  <c r="K4059" i="5"/>
  <c r="L4059" i="5"/>
  <c r="M4059" i="5"/>
  <c r="H4060" i="5"/>
  <c r="I4060" i="5"/>
  <c r="J4060" i="5"/>
  <c r="K4060" i="5"/>
  <c r="L4060" i="5"/>
  <c r="M4060" i="5"/>
  <c r="H4061" i="5"/>
  <c r="I4061" i="5"/>
  <c r="J4061" i="5"/>
  <c r="K4061" i="5"/>
  <c r="L4061" i="5"/>
  <c r="M4061" i="5"/>
  <c r="H4062" i="5"/>
  <c r="I4062" i="5"/>
  <c r="J4062" i="5"/>
  <c r="K4062" i="5"/>
  <c r="L4062" i="5"/>
  <c r="M4062" i="5"/>
  <c r="H4063" i="5"/>
  <c r="I4063" i="5"/>
  <c r="J4063" i="5"/>
  <c r="K4063" i="5"/>
  <c r="L4063" i="5"/>
  <c r="M4063" i="5"/>
  <c r="H4064" i="5"/>
  <c r="I4064" i="5"/>
  <c r="J4064" i="5"/>
  <c r="K4064" i="5"/>
  <c r="L4064" i="5"/>
  <c r="M4064" i="5"/>
  <c r="H4065" i="5"/>
  <c r="I4065" i="5"/>
  <c r="J4065" i="5"/>
  <c r="K4065" i="5"/>
  <c r="L4065" i="5"/>
  <c r="M4065" i="5"/>
  <c r="H4066" i="5"/>
  <c r="I4066" i="5"/>
  <c r="J4066" i="5"/>
  <c r="K4066" i="5"/>
  <c r="L4066" i="5"/>
  <c r="M4066" i="5"/>
  <c r="H4067" i="5"/>
  <c r="I4067" i="5"/>
  <c r="J4067" i="5"/>
  <c r="K4067" i="5"/>
  <c r="L4067" i="5"/>
  <c r="M4067" i="5"/>
  <c r="H4068" i="5"/>
  <c r="I4068" i="5"/>
  <c r="J4068" i="5"/>
  <c r="K4068" i="5"/>
  <c r="L4068" i="5"/>
  <c r="M4068" i="5"/>
  <c r="H4069" i="5"/>
  <c r="I4069" i="5"/>
  <c r="J4069" i="5"/>
  <c r="K4069" i="5"/>
  <c r="L4069" i="5"/>
  <c r="M4069" i="5"/>
  <c r="H4070" i="5"/>
  <c r="I4070" i="5"/>
  <c r="J4070" i="5"/>
  <c r="K4070" i="5"/>
  <c r="L4070" i="5"/>
  <c r="M4070" i="5"/>
  <c r="H4071" i="5"/>
  <c r="I4071" i="5"/>
  <c r="J4071" i="5"/>
  <c r="K4071" i="5"/>
  <c r="L4071" i="5"/>
  <c r="M4071" i="5"/>
  <c r="H4072" i="5"/>
  <c r="I4072" i="5"/>
  <c r="J4072" i="5"/>
  <c r="K4072" i="5"/>
  <c r="L4072" i="5"/>
  <c r="M4072" i="5"/>
  <c r="H4073" i="5"/>
  <c r="I4073" i="5"/>
  <c r="J4073" i="5"/>
  <c r="K4073" i="5"/>
  <c r="L4073" i="5"/>
  <c r="M4073" i="5"/>
  <c r="H4074" i="5"/>
  <c r="I4074" i="5"/>
  <c r="J4074" i="5"/>
  <c r="K4074" i="5"/>
  <c r="L4074" i="5"/>
  <c r="M4074" i="5"/>
  <c r="H4075" i="5"/>
  <c r="I4075" i="5"/>
  <c r="J4075" i="5"/>
  <c r="K4075" i="5"/>
  <c r="L4075" i="5"/>
  <c r="M4075" i="5"/>
  <c r="H4076" i="5"/>
  <c r="I4076" i="5"/>
  <c r="J4076" i="5"/>
  <c r="K4076" i="5"/>
  <c r="L4076" i="5"/>
  <c r="M4076" i="5"/>
  <c r="H4077" i="5"/>
  <c r="I4077" i="5"/>
  <c r="J4077" i="5"/>
  <c r="K4077" i="5"/>
  <c r="L4077" i="5"/>
  <c r="M4077" i="5"/>
  <c r="H4078" i="5"/>
  <c r="I4078" i="5"/>
  <c r="J4078" i="5"/>
  <c r="K4078" i="5"/>
  <c r="L4078" i="5"/>
  <c r="M4078" i="5"/>
  <c r="H4079" i="5"/>
  <c r="I4079" i="5"/>
  <c r="J4079" i="5"/>
  <c r="K4079" i="5"/>
  <c r="L4079" i="5"/>
  <c r="M4079" i="5"/>
  <c r="H4080" i="5"/>
  <c r="I4080" i="5"/>
  <c r="J4080" i="5"/>
  <c r="K4080" i="5"/>
  <c r="L4080" i="5"/>
  <c r="M4080" i="5"/>
  <c r="H4081" i="5"/>
  <c r="I4081" i="5"/>
  <c r="J4081" i="5"/>
  <c r="K4081" i="5"/>
  <c r="L4081" i="5"/>
  <c r="M4081" i="5"/>
  <c r="H4082" i="5"/>
  <c r="I4082" i="5"/>
  <c r="J4082" i="5"/>
  <c r="K4082" i="5"/>
  <c r="L4082" i="5"/>
  <c r="M4082" i="5"/>
  <c r="H4083" i="5"/>
  <c r="I4083" i="5"/>
  <c r="J4083" i="5"/>
  <c r="K4083" i="5"/>
  <c r="L4083" i="5"/>
  <c r="M4083" i="5"/>
  <c r="H4084" i="5"/>
  <c r="I4084" i="5"/>
  <c r="J4084" i="5"/>
  <c r="K4084" i="5"/>
  <c r="L4084" i="5"/>
  <c r="M4084" i="5"/>
  <c r="H4085" i="5"/>
  <c r="I4085" i="5"/>
  <c r="J4085" i="5"/>
  <c r="K4085" i="5"/>
  <c r="L4085" i="5"/>
  <c r="M4085" i="5"/>
  <c r="H4086" i="5"/>
  <c r="I4086" i="5"/>
  <c r="J4086" i="5"/>
  <c r="K4086" i="5"/>
  <c r="L4086" i="5"/>
  <c r="M4086" i="5"/>
  <c r="H4087" i="5"/>
  <c r="I4087" i="5"/>
  <c r="J4087" i="5"/>
  <c r="K4087" i="5"/>
  <c r="L4087" i="5"/>
  <c r="M4087" i="5"/>
  <c r="H4088" i="5"/>
  <c r="I4088" i="5"/>
  <c r="J4088" i="5"/>
  <c r="K4088" i="5"/>
  <c r="L4088" i="5"/>
  <c r="M4088" i="5"/>
  <c r="H4089" i="5"/>
  <c r="I4089" i="5"/>
  <c r="J4089" i="5"/>
  <c r="K4089" i="5"/>
  <c r="L4089" i="5"/>
  <c r="M4089" i="5"/>
  <c r="H4090" i="5"/>
  <c r="I4090" i="5"/>
  <c r="J4090" i="5"/>
  <c r="K4090" i="5"/>
  <c r="L4090" i="5"/>
  <c r="M4090" i="5"/>
  <c r="H4091" i="5"/>
  <c r="I4091" i="5"/>
  <c r="J4091" i="5"/>
  <c r="K4091" i="5"/>
  <c r="L4091" i="5"/>
  <c r="M4091" i="5"/>
  <c r="H4092" i="5"/>
  <c r="I4092" i="5"/>
  <c r="J4092" i="5"/>
  <c r="K4092" i="5"/>
  <c r="L4092" i="5"/>
  <c r="M4092" i="5"/>
  <c r="H4093" i="5"/>
  <c r="I4093" i="5"/>
  <c r="J4093" i="5"/>
  <c r="K4093" i="5"/>
  <c r="L4093" i="5"/>
  <c r="M4093" i="5"/>
  <c r="H4094" i="5"/>
  <c r="I4094" i="5"/>
  <c r="J4094" i="5"/>
  <c r="K4094" i="5"/>
  <c r="L4094" i="5"/>
  <c r="M4094" i="5"/>
  <c r="H4095" i="5"/>
  <c r="I4095" i="5"/>
  <c r="J4095" i="5"/>
  <c r="K4095" i="5"/>
  <c r="L4095" i="5"/>
  <c r="M4095" i="5"/>
  <c r="H4096" i="5"/>
  <c r="I4096" i="5"/>
  <c r="J4096" i="5"/>
  <c r="K4096" i="5"/>
  <c r="L4096" i="5"/>
  <c r="M4096" i="5"/>
  <c r="H4097" i="5"/>
  <c r="I4097" i="5"/>
  <c r="J4097" i="5"/>
  <c r="K4097" i="5"/>
  <c r="L4097" i="5"/>
  <c r="M4097" i="5"/>
  <c r="H4098" i="5"/>
  <c r="I4098" i="5"/>
  <c r="J4098" i="5"/>
  <c r="K4098" i="5"/>
  <c r="L4098" i="5"/>
  <c r="M4098" i="5"/>
  <c r="H4099" i="5"/>
  <c r="I4099" i="5"/>
  <c r="J4099" i="5"/>
  <c r="K4099" i="5"/>
  <c r="L4099" i="5"/>
  <c r="M4099" i="5"/>
  <c r="H4100" i="5"/>
  <c r="I4100" i="5"/>
  <c r="J4100" i="5"/>
  <c r="K4100" i="5"/>
  <c r="L4100" i="5"/>
  <c r="M4100" i="5"/>
  <c r="H4101" i="5"/>
  <c r="I4101" i="5"/>
  <c r="J4101" i="5"/>
  <c r="K4101" i="5"/>
  <c r="L4101" i="5"/>
  <c r="M4101" i="5"/>
  <c r="H4102" i="5"/>
  <c r="I4102" i="5"/>
  <c r="J4102" i="5"/>
  <c r="K4102" i="5"/>
  <c r="L4102" i="5"/>
  <c r="M4102" i="5"/>
  <c r="H4103" i="5"/>
  <c r="I4103" i="5"/>
  <c r="J4103" i="5"/>
  <c r="K4103" i="5"/>
  <c r="L4103" i="5"/>
  <c r="M4103" i="5"/>
  <c r="H4104" i="5"/>
  <c r="I4104" i="5"/>
  <c r="J4104" i="5"/>
  <c r="K4104" i="5"/>
  <c r="L4104" i="5"/>
  <c r="M4104" i="5"/>
  <c r="H4105" i="5"/>
  <c r="I4105" i="5"/>
  <c r="J4105" i="5"/>
  <c r="K4105" i="5"/>
  <c r="L4105" i="5"/>
  <c r="M4105" i="5"/>
  <c r="H4106" i="5"/>
  <c r="I4106" i="5"/>
  <c r="J4106" i="5"/>
  <c r="K4106" i="5"/>
  <c r="L4106" i="5"/>
  <c r="M4106" i="5"/>
  <c r="H4107" i="5"/>
  <c r="I4107" i="5"/>
  <c r="J4107" i="5"/>
  <c r="K4107" i="5"/>
  <c r="L4107" i="5"/>
  <c r="M4107" i="5"/>
  <c r="H4108" i="5"/>
  <c r="I4108" i="5"/>
  <c r="J4108" i="5"/>
  <c r="K4108" i="5"/>
  <c r="L4108" i="5"/>
  <c r="M4108" i="5"/>
  <c r="H4109" i="5"/>
  <c r="I4109" i="5"/>
  <c r="J4109" i="5"/>
  <c r="K4109" i="5"/>
  <c r="L4109" i="5"/>
  <c r="M4109" i="5"/>
  <c r="H4110" i="5"/>
  <c r="I4110" i="5"/>
  <c r="J4110" i="5"/>
  <c r="K4110" i="5"/>
  <c r="L4110" i="5"/>
  <c r="M4110" i="5"/>
  <c r="H4111" i="5"/>
  <c r="I4111" i="5"/>
  <c r="J4111" i="5"/>
  <c r="K4111" i="5"/>
  <c r="L4111" i="5"/>
  <c r="M4111" i="5"/>
  <c r="H4112" i="5"/>
  <c r="I4112" i="5"/>
  <c r="J4112" i="5"/>
  <c r="K4112" i="5"/>
  <c r="L4112" i="5"/>
  <c r="M4112" i="5"/>
  <c r="H4113" i="5"/>
  <c r="I4113" i="5"/>
  <c r="J4113" i="5"/>
  <c r="K4113" i="5"/>
  <c r="L4113" i="5"/>
  <c r="M4113" i="5"/>
  <c r="H4114" i="5"/>
  <c r="I4114" i="5"/>
  <c r="J4114" i="5"/>
  <c r="K4114" i="5"/>
  <c r="L4114" i="5"/>
  <c r="M4114" i="5"/>
  <c r="H4115" i="5"/>
  <c r="I4115" i="5"/>
  <c r="J4115" i="5"/>
  <c r="K4115" i="5"/>
  <c r="L4115" i="5"/>
  <c r="M4115" i="5"/>
  <c r="H4116" i="5"/>
  <c r="I4116" i="5"/>
  <c r="J4116" i="5"/>
  <c r="K4116" i="5"/>
  <c r="L4116" i="5"/>
  <c r="M4116" i="5"/>
  <c r="H4117" i="5"/>
  <c r="I4117" i="5"/>
  <c r="J4117" i="5"/>
  <c r="K4117" i="5"/>
  <c r="L4117" i="5"/>
  <c r="M4117" i="5"/>
  <c r="H4118" i="5"/>
  <c r="I4118" i="5"/>
  <c r="J4118" i="5"/>
  <c r="K4118" i="5"/>
  <c r="L4118" i="5"/>
  <c r="M4118" i="5"/>
  <c r="H4119" i="5"/>
  <c r="I4119" i="5"/>
  <c r="J4119" i="5"/>
  <c r="K4119" i="5"/>
  <c r="L4119" i="5"/>
  <c r="M4119" i="5"/>
  <c r="H4120" i="5"/>
  <c r="I4120" i="5"/>
  <c r="J4120" i="5"/>
  <c r="K4120" i="5"/>
  <c r="L4120" i="5"/>
  <c r="M4120" i="5"/>
  <c r="H4121" i="5"/>
  <c r="I4121" i="5"/>
  <c r="J4121" i="5"/>
  <c r="K4121" i="5"/>
  <c r="L4121" i="5"/>
  <c r="M4121" i="5"/>
  <c r="H4122" i="5"/>
  <c r="I4122" i="5"/>
  <c r="J4122" i="5"/>
  <c r="K4122" i="5"/>
  <c r="L4122" i="5"/>
  <c r="M4122" i="5"/>
  <c r="H4123" i="5"/>
  <c r="I4123" i="5"/>
  <c r="J4123" i="5"/>
  <c r="K4123" i="5"/>
  <c r="L4123" i="5"/>
  <c r="M4123" i="5"/>
  <c r="H4124" i="5"/>
  <c r="I4124" i="5"/>
  <c r="J4124" i="5"/>
  <c r="K4124" i="5"/>
  <c r="L4124" i="5"/>
  <c r="M4124" i="5"/>
  <c r="H4125" i="5"/>
  <c r="I4125" i="5"/>
  <c r="J4125" i="5"/>
  <c r="K4125" i="5"/>
  <c r="L4125" i="5"/>
  <c r="M4125" i="5"/>
  <c r="H4126" i="5"/>
  <c r="I4126" i="5"/>
  <c r="J4126" i="5"/>
  <c r="K4126" i="5"/>
  <c r="L4126" i="5"/>
  <c r="M4126" i="5"/>
  <c r="H4127" i="5"/>
  <c r="I4127" i="5"/>
  <c r="J4127" i="5"/>
  <c r="K4127" i="5"/>
  <c r="L4127" i="5"/>
  <c r="M4127" i="5"/>
  <c r="H4128" i="5"/>
  <c r="I4128" i="5"/>
  <c r="J4128" i="5"/>
  <c r="K4128" i="5"/>
  <c r="L4128" i="5"/>
  <c r="M4128" i="5"/>
  <c r="H4129" i="5"/>
  <c r="I4129" i="5"/>
  <c r="J4129" i="5"/>
  <c r="K4129" i="5"/>
  <c r="L4129" i="5"/>
  <c r="M4129" i="5"/>
  <c r="H4130" i="5"/>
  <c r="I4130" i="5"/>
  <c r="J4130" i="5"/>
  <c r="K4130" i="5"/>
  <c r="L4130" i="5"/>
  <c r="M4130" i="5"/>
  <c r="H4131" i="5"/>
  <c r="I4131" i="5"/>
  <c r="J4131" i="5"/>
  <c r="K4131" i="5"/>
  <c r="L4131" i="5"/>
  <c r="M4131" i="5"/>
  <c r="H4132" i="5"/>
  <c r="I4132" i="5"/>
  <c r="J4132" i="5"/>
  <c r="K4132" i="5"/>
  <c r="L4132" i="5"/>
  <c r="M4132" i="5"/>
  <c r="H4133" i="5"/>
  <c r="I4133" i="5"/>
  <c r="J4133" i="5"/>
  <c r="K4133" i="5"/>
  <c r="L4133" i="5"/>
  <c r="M4133" i="5"/>
  <c r="H4134" i="5"/>
  <c r="I4134" i="5"/>
  <c r="J4134" i="5"/>
  <c r="K4134" i="5"/>
  <c r="L4134" i="5"/>
  <c r="M4134" i="5"/>
  <c r="H4135" i="5"/>
  <c r="I4135" i="5"/>
  <c r="J4135" i="5"/>
  <c r="K4135" i="5"/>
  <c r="L4135" i="5"/>
  <c r="M4135" i="5"/>
  <c r="H4136" i="5"/>
  <c r="I4136" i="5"/>
  <c r="J4136" i="5"/>
  <c r="K4136" i="5"/>
  <c r="L4136" i="5"/>
  <c r="M4136" i="5"/>
  <c r="H4137" i="5"/>
  <c r="I4137" i="5"/>
  <c r="J4137" i="5"/>
  <c r="K4137" i="5"/>
  <c r="L4137" i="5"/>
  <c r="M4137" i="5"/>
  <c r="H4138" i="5"/>
  <c r="I4138" i="5"/>
  <c r="J4138" i="5"/>
  <c r="K4138" i="5"/>
  <c r="L4138" i="5"/>
  <c r="M4138" i="5"/>
  <c r="H4139" i="5"/>
  <c r="I4139" i="5"/>
  <c r="J4139" i="5"/>
  <c r="K4139" i="5"/>
  <c r="L4139" i="5"/>
  <c r="M4139" i="5"/>
  <c r="H4140" i="5"/>
  <c r="I4140" i="5"/>
  <c r="J4140" i="5"/>
  <c r="K4140" i="5"/>
  <c r="L4140" i="5"/>
  <c r="M4140" i="5"/>
  <c r="H4141" i="5"/>
  <c r="I4141" i="5"/>
  <c r="J4141" i="5"/>
  <c r="K4141" i="5"/>
  <c r="L4141" i="5"/>
  <c r="M4141" i="5"/>
  <c r="H4142" i="5"/>
  <c r="I4142" i="5"/>
  <c r="J4142" i="5"/>
  <c r="K4142" i="5"/>
  <c r="L4142" i="5"/>
  <c r="M4142" i="5"/>
  <c r="H4143" i="5"/>
  <c r="I4143" i="5"/>
  <c r="J4143" i="5"/>
  <c r="K4143" i="5"/>
  <c r="L4143" i="5"/>
  <c r="M4143" i="5"/>
  <c r="H4144" i="5"/>
  <c r="I4144" i="5"/>
  <c r="J4144" i="5"/>
  <c r="K4144" i="5"/>
  <c r="L4144" i="5"/>
  <c r="M4144" i="5"/>
  <c r="H4145" i="5"/>
  <c r="I4145" i="5"/>
  <c r="J4145" i="5"/>
  <c r="K4145" i="5"/>
  <c r="L4145" i="5"/>
  <c r="M4145" i="5"/>
  <c r="H4146" i="5"/>
  <c r="I4146" i="5"/>
  <c r="J4146" i="5"/>
  <c r="K4146" i="5"/>
  <c r="L4146" i="5"/>
  <c r="M4146" i="5"/>
  <c r="H4147" i="5"/>
  <c r="I4147" i="5"/>
  <c r="J4147" i="5"/>
  <c r="K4147" i="5"/>
  <c r="L4147" i="5"/>
  <c r="M4147" i="5"/>
  <c r="H4148" i="5"/>
  <c r="I4148" i="5"/>
  <c r="J4148" i="5"/>
  <c r="K4148" i="5"/>
  <c r="L4148" i="5"/>
  <c r="M4148" i="5"/>
  <c r="H4149" i="5"/>
  <c r="I4149" i="5"/>
  <c r="J4149" i="5"/>
  <c r="K4149" i="5"/>
  <c r="L4149" i="5"/>
  <c r="M4149" i="5"/>
  <c r="H4150" i="5"/>
  <c r="I4150" i="5"/>
  <c r="J4150" i="5"/>
  <c r="K4150" i="5"/>
  <c r="L4150" i="5"/>
  <c r="M4150" i="5"/>
  <c r="H4151" i="5"/>
  <c r="I4151" i="5"/>
  <c r="J4151" i="5"/>
  <c r="K4151" i="5"/>
  <c r="L4151" i="5"/>
  <c r="M4151" i="5"/>
  <c r="H4152" i="5"/>
  <c r="I4152" i="5"/>
  <c r="J4152" i="5"/>
  <c r="K4152" i="5"/>
  <c r="L4152" i="5"/>
  <c r="M4152" i="5"/>
  <c r="H4153" i="5"/>
  <c r="I4153" i="5"/>
  <c r="J4153" i="5"/>
  <c r="K4153" i="5"/>
  <c r="L4153" i="5"/>
  <c r="M4153" i="5"/>
  <c r="H4154" i="5"/>
  <c r="I4154" i="5"/>
  <c r="J4154" i="5"/>
  <c r="K4154" i="5"/>
  <c r="L4154" i="5"/>
  <c r="M4154" i="5"/>
  <c r="H4155" i="5"/>
  <c r="I4155" i="5"/>
  <c r="J4155" i="5"/>
  <c r="K4155" i="5"/>
  <c r="L4155" i="5"/>
  <c r="M4155" i="5"/>
  <c r="H4156" i="5"/>
  <c r="I4156" i="5"/>
  <c r="J4156" i="5"/>
  <c r="K4156" i="5"/>
  <c r="L4156" i="5"/>
  <c r="M4156" i="5"/>
  <c r="H4157" i="5"/>
  <c r="I4157" i="5"/>
  <c r="J4157" i="5"/>
  <c r="K4157" i="5"/>
  <c r="L4157" i="5"/>
  <c r="M4157" i="5"/>
  <c r="H4158" i="5"/>
  <c r="I4158" i="5"/>
  <c r="J4158" i="5"/>
  <c r="K4158" i="5"/>
  <c r="L4158" i="5"/>
  <c r="M4158" i="5"/>
  <c r="H4159" i="5"/>
  <c r="I4159" i="5"/>
  <c r="J4159" i="5"/>
  <c r="K4159" i="5"/>
  <c r="L4159" i="5"/>
  <c r="M4159" i="5"/>
  <c r="H4160" i="5"/>
  <c r="I4160" i="5"/>
  <c r="J4160" i="5"/>
  <c r="K4160" i="5"/>
  <c r="L4160" i="5"/>
  <c r="M4160" i="5"/>
  <c r="H4161" i="5"/>
  <c r="I4161" i="5"/>
  <c r="J4161" i="5"/>
  <c r="K4161" i="5"/>
  <c r="L4161" i="5"/>
  <c r="M4161" i="5"/>
  <c r="H4162" i="5"/>
  <c r="I4162" i="5"/>
  <c r="J4162" i="5"/>
  <c r="K4162" i="5"/>
  <c r="L4162" i="5"/>
  <c r="M4162" i="5"/>
  <c r="H4163" i="5"/>
  <c r="I4163" i="5"/>
  <c r="J4163" i="5"/>
  <c r="K4163" i="5"/>
  <c r="L4163" i="5"/>
  <c r="M4163" i="5"/>
  <c r="H4164" i="5"/>
  <c r="I4164" i="5"/>
  <c r="J4164" i="5"/>
  <c r="K4164" i="5"/>
  <c r="L4164" i="5"/>
  <c r="M4164" i="5"/>
  <c r="H4165" i="5"/>
  <c r="I4165" i="5"/>
  <c r="J4165" i="5"/>
  <c r="K4165" i="5"/>
  <c r="L4165" i="5"/>
  <c r="M4165" i="5"/>
  <c r="H4166" i="5"/>
  <c r="I4166" i="5"/>
  <c r="J4166" i="5"/>
  <c r="K4166" i="5"/>
  <c r="L4166" i="5"/>
  <c r="M4166" i="5"/>
  <c r="H4167" i="5"/>
  <c r="I4167" i="5"/>
  <c r="J4167" i="5"/>
  <c r="K4167" i="5"/>
  <c r="L4167" i="5"/>
  <c r="M4167" i="5"/>
  <c r="H4168" i="5"/>
  <c r="I4168" i="5"/>
  <c r="J4168" i="5"/>
  <c r="K4168" i="5"/>
  <c r="L4168" i="5"/>
  <c r="M4168" i="5"/>
  <c r="H4169" i="5"/>
  <c r="I4169" i="5"/>
  <c r="J4169" i="5"/>
  <c r="K4169" i="5"/>
  <c r="L4169" i="5"/>
  <c r="M4169" i="5"/>
  <c r="H4170" i="5"/>
  <c r="I4170" i="5"/>
  <c r="J4170" i="5"/>
  <c r="K4170" i="5"/>
  <c r="L4170" i="5"/>
  <c r="M4170" i="5"/>
  <c r="H4171" i="5"/>
  <c r="I4171" i="5"/>
  <c r="J4171" i="5"/>
  <c r="K4171" i="5"/>
  <c r="L4171" i="5"/>
  <c r="M4171" i="5"/>
  <c r="H4172" i="5"/>
  <c r="I4172" i="5"/>
  <c r="J4172" i="5"/>
  <c r="K4172" i="5"/>
  <c r="L4172" i="5"/>
  <c r="M4172" i="5"/>
  <c r="H4173" i="5"/>
  <c r="I4173" i="5"/>
  <c r="J4173" i="5"/>
  <c r="K4173" i="5"/>
  <c r="L4173" i="5"/>
  <c r="M4173" i="5"/>
  <c r="H4174" i="5"/>
  <c r="I4174" i="5"/>
  <c r="J4174" i="5"/>
  <c r="K4174" i="5"/>
  <c r="L4174" i="5"/>
  <c r="M4174" i="5"/>
  <c r="H4175" i="5"/>
  <c r="I4175" i="5"/>
  <c r="J4175" i="5"/>
  <c r="K4175" i="5"/>
  <c r="L4175" i="5"/>
  <c r="M4175" i="5"/>
  <c r="H4176" i="5"/>
  <c r="I4176" i="5"/>
  <c r="J4176" i="5"/>
  <c r="K4176" i="5"/>
  <c r="L4176" i="5"/>
  <c r="M4176" i="5"/>
  <c r="H4177" i="5"/>
  <c r="I4177" i="5"/>
  <c r="J4177" i="5"/>
  <c r="K4177" i="5"/>
  <c r="L4177" i="5"/>
  <c r="M4177" i="5"/>
  <c r="H4178" i="5"/>
  <c r="I4178" i="5"/>
  <c r="J4178" i="5"/>
  <c r="K4178" i="5"/>
  <c r="L4178" i="5"/>
  <c r="M4178" i="5"/>
  <c r="H4179" i="5"/>
  <c r="I4179" i="5"/>
  <c r="J4179" i="5"/>
  <c r="K4179" i="5"/>
  <c r="L4179" i="5"/>
  <c r="M4179" i="5"/>
  <c r="H4180" i="5"/>
  <c r="I4180" i="5"/>
  <c r="J4180" i="5"/>
  <c r="K4180" i="5"/>
  <c r="L4180" i="5"/>
  <c r="M4180" i="5"/>
  <c r="H4181" i="5"/>
  <c r="I4181" i="5"/>
  <c r="J4181" i="5"/>
  <c r="K4181" i="5"/>
  <c r="L4181" i="5"/>
  <c r="M4181" i="5"/>
  <c r="H4182" i="5"/>
  <c r="I4182" i="5"/>
  <c r="J4182" i="5"/>
  <c r="K4182" i="5"/>
  <c r="L4182" i="5"/>
  <c r="M4182" i="5"/>
  <c r="H4183" i="5"/>
  <c r="I4183" i="5"/>
  <c r="J4183" i="5"/>
  <c r="K4183" i="5"/>
  <c r="L4183" i="5"/>
  <c r="M4183" i="5"/>
  <c r="H4184" i="5"/>
  <c r="I4184" i="5"/>
  <c r="J4184" i="5"/>
  <c r="K4184" i="5"/>
  <c r="L4184" i="5"/>
  <c r="M4184" i="5"/>
  <c r="H4185" i="5"/>
  <c r="I4185" i="5"/>
  <c r="J4185" i="5"/>
  <c r="K4185" i="5"/>
  <c r="L4185" i="5"/>
  <c r="M4185" i="5"/>
  <c r="H4186" i="5"/>
  <c r="I4186" i="5"/>
  <c r="J4186" i="5"/>
  <c r="K4186" i="5"/>
  <c r="L4186" i="5"/>
  <c r="M4186" i="5"/>
  <c r="H4187" i="5"/>
  <c r="I4187" i="5"/>
  <c r="J4187" i="5"/>
  <c r="K4187" i="5"/>
  <c r="L4187" i="5"/>
  <c r="M4187" i="5"/>
  <c r="H4188" i="5"/>
  <c r="I4188" i="5"/>
  <c r="J4188" i="5"/>
  <c r="K4188" i="5"/>
  <c r="L4188" i="5"/>
  <c r="M4188" i="5"/>
  <c r="H4189" i="5"/>
  <c r="I4189" i="5"/>
  <c r="J4189" i="5"/>
  <c r="K4189" i="5"/>
  <c r="L4189" i="5"/>
  <c r="M4189" i="5"/>
  <c r="H4190" i="5"/>
  <c r="I4190" i="5"/>
  <c r="J4190" i="5"/>
  <c r="K4190" i="5"/>
  <c r="L4190" i="5"/>
  <c r="M4190" i="5"/>
  <c r="H4191" i="5"/>
  <c r="I4191" i="5"/>
  <c r="J4191" i="5"/>
  <c r="K4191" i="5"/>
  <c r="L4191" i="5"/>
  <c r="M4191" i="5"/>
  <c r="H4192" i="5"/>
  <c r="I4192" i="5"/>
  <c r="J4192" i="5"/>
  <c r="K4192" i="5"/>
  <c r="L4192" i="5"/>
  <c r="M4192" i="5"/>
  <c r="H4193" i="5"/>
  <c r="I4193" i="5"/>
  <c r="J4193" i="5"/>
  <c r="K4193" i="5"/>
  <c r="L4193" i="5"/>
  <c r="M4193" i="5"/>
  <c r="H4194" i="5"/>
  <c r="I4194" i="5"/>
  <c r="J4194" i="5"/>
  <c r="K4194" i="5"/>
  <c r="L4194" i="5"/>
  <c r="M4194" i="5"/>
  <c r="H4195" i="5"/>
  <c r="I4195" i="5"/>
  <c r="J4195" i="5"/>
  <c r="K4195" i="5"/>
  <c r="L4195" i="5"/>
  <c r="M4195" i="5"/>
  <c r="H4196" i="5"/>
  <c r="I4196" i="5"/>
  <c r="J4196" i="5"/>
  <c r="K4196" i="5"/>
  <c r="L4196" i="5"/>
  <c r="M4196" i="5"/>
  <c r="H4197" i="5"/>
  <c r="I4197" i="5"/>
  <c r="J4197" i="5"/>
  <c r="K4197" i="5"/>
  <c r="L4197" i="5"/>
  <c r="M4197" i="5"/>
  <c r="H4198" i="5"/>
  <c r="I4198" i="5"/>
  <c r="J4198" i="5"/>
  <c r="K4198" i="5"/>
  <c r="L4198" i="5"/>
  <c r="M4198" i="5"/>
  <c r="H4199" i="5"/>
  <c r="I4199" i="5"/>
  <c r="J4199" i="5"/>
  <c r="K4199" i="5"/>
  <c r="L4199" i="5"/>
  <c r="M4199" i="5"/>
  <c r="H4200" i="5"/>
  <c r="I4200" i="5"/>
  <c r="J4200" i="5"/>
  <c r="K4200" i="5"/>
  <c r="L4200" i="5"/>
  <c r="M4200" i="5"/>
  <c r="H4201" i="5"/>
  <c r="I4201" i="5"/>
  <c r="J4201" i="5"/>
  <c r="K4201" i="5"/>
  <c r="L4201" i="5"/>
  <c r="M4201" i="5"/>
  <c r="H4202" i="5"/>
  <c r="I4202" i="5"/>
  <c r="J4202" i="5"/>
  <c r="K4202" i="5"/>
  <c r="L4202" i="5"/>
  <c r="M4202" i="5"/>
  <c r="H4203" i="5"/>
  <c r="I4203" i="5"/>
  <c r="J4203" i="5"/>
  <c r="K4203" i="5"/>
  <c r="L4203" i="5"/>
  <c r="M4203" i="5"/>
  <c r="H4204" i="5"/>
  <c r="I4204" i="5"/>
  <c r="J4204" i="5"/>
  <c r="K4204" i="5"/>
  <c r="L4204" i="5"/>
  <c r="M4204" i="5"/>
  <c r="H4205" i="5"/>
  <c r="I4205" i="5"/>
  <c r="J4205" i="5"/>
  <c r="K4205" i="5"/>
  <c r="L4205" i="5"/>
  <c r="M4205" i="5"/>
  <c r="H4206" i="5"/>
  <c r="I4206" i="5"/>
  <c r="J4206" i="5"/>
  <c r="K4206" i="5"/>
  <c r="L4206" i="5"/>
  <c r="M4206" i="5"/>
  <c r="H4207" i="5"/>
  <c r="I4207" i="5"/>
  <c r="J4207" i="5"/>
  <c r="K4207" i="5"/>
  <c r="L4207" i="5"/>
  <c r="M4207" i="5"/>
  <c r="H4208" i="5"/>
  <c r="I4208" i="5"/>
  <c r="J4208" i="5"/>
  <c r="K4208" i="5"/>
  <c r="L4208" i="5"/>
  <c r="M4208" i="5"/>
  <c r="H4209" i="5"/>
  <c r="I4209" i="5"/>
  <c r="J4209" i="5"/>
  <c r="K4209" i="5"/>
  <c r="L4209" i="5"/>
  <c r="M4209" i="5"/>
  <c r="H4210" i="5"/>
  <c r="I4210" i="5"/>
  <c r="J4210" i="5"/>
  <c r="K4210" i="5"/>
  <c r="L4210" i="5"/>
  <c r="M4210" i="5"/>
  <c r="H4211" i="5"/>
  <c r="I4211" i="5"/>
  <c r="J4211" i="5"/>
  <c r="K4211" i="5"/>
  <c r="L4211" i="5"/>
  <c r="M4211" i="5"/>
  <c r="H4212" i="5"/>
  <c r="I4212" i="5"/>
  <c r="J4212" i="5"/>
  <c r="K4212" i="5"/>
  <c r="L4212" i="5"/>
  <c r="M4212" i="5"/>
  <c r="H4213" i="5"/>
  <c r="I4213" i="5"/>
  <c r="J4213" i="5"/>
  <c r="K4213" i="5"/>
  <c r="L4213" i="5"/>
  <c r="M4213" i="5"/>
  <c r="H4214" i="5"/>
  <c r="I4214" i="5"/>
  <c r="J4214" i="5"/>
  <c r="K4214" i="5"/>
  <c r="L4214" i="5"/>
  <c r="M4214" i="5"/>
  <c r="H4215" i="5"/>
  <c r="I4215" i="5"/>
  <c r="J4215" i="5"/>
  <c r="K4215" i="5"/>
  <c r="L4215" i="5"/>
  <c r="M4215" i="5"/>
  <c r="H4216" i="5"/>
  <c r="I4216" i="5"/>
  <c r="J4216" i="5"/>
  <c r="K4216" i="5"/>
  <c r="L4216" i="5"/>
  <c r="M4216" i="5"/>
  <c r="H4217" i="5"/>
  <c r="I4217" i="5"/>
  <c r="J4217" i="5"/>
  <c r="K4217" i="5"/>
  <c r="L4217" i="5"/>
  <c r="M4217" i="5"/>
  <c r="H4218" i="5"/>
  <c r="I4218" i="5"/>
  <c r="J4218" i="5"/>
  <c r="K4218" i="5"/>
  <c r="L4218" i="5"/>
  <c r="M4218" i="5"/>
  <c r="H4219" i="5"/>
  <c r="I4219" i="5"/>
  <c r="J4219" i="5"/>
  <c r="K4219" i="5"/>
  <c r="L4219" i="5"/>
  <c r="M4219" i="5"/>
  <c r="H4220" i="5"/>
  <c r="I4220" i="5"/>
  <c r="J4220" i="5"/>
  <c r="K4220" i="5"/>
  <c r="L4220" i="5"/>
  <c r="M4220" i="5"/>
  <c r="H4221" i="5"/>
  <c r="I4221" i="5"/>
  <c r="J4221" i="5"/>
  <c r="K4221" i="5"/>
  <c r="L4221" i="5"/>
  <c r="M4221" i="5"/>
  <c r="H4222" i="5"/>
  <c r="I4222" i="5"/>
  <c r="J4222" i="5"/>
  <c r="K4222" i="5"/>
  <c r="L4222" i="5"/>
  <c r="M4222" i="5"/>
  <c r="H4223" i="5"/>
  <c r="I4223" i="5"/>
  <c r="J4223" i="5"/>
  <c r="K4223" i="5"/>
  <c r="L4223" i="5"/>
  <c r="M4223" i="5"/>
  <c r="H4224" i="5"/>
  <c r="I4224" i="5"/>
  <c r="J4224" i="5"/>
  <c r="K4224" i="5"/>
  <c r="L4224" i="5"/>
  <c r="M4224" i="5"/>
  <c r="H4225" i="5"/>
  <c r="I4225" i="5"/>
  <c r="J4225" i="5"/>
  <c r="K4225" i="5"/>
  <c r="L4225" i="5"/>
  <c r="M4225" i="5"/>
  <c r="H4226" i="5"/>
  <c r="I4226" i="5"/>
  <c r="J4226" i="5"/>
  <c r="K4226" i="5"/>
  <c r="L4226" i="5"/>
  <c r="M4226" i="5"/>
  <c r="H4227" i="5"/>
  <c r="I4227" i="5"/>
  <c r="J4227" i="5"/>
  <c r="K4227" i="5"/>
  <c r="L4227" i="5"/>
  <c r="M4227" i="5"/>
  <c r="H4228" i="5"/>
  <c r="I4228" i="5"/>
  <c r="J4228" i="5"/>
  <c r="K4228" i="5"/>
  <c r="L4228" i="5"/>
  <c r="M4228" i="5"/>
  <c r="H4229" i="5"/>
  <c r="I4229" i="5"/>
  <c r="J4229" i="5"/>
  <c r="K4229" i="5"/>
  <c r="L4229" i="5"/>
  <c r="M4229" i="5"/>
  <c r="H4230" i="5"/>
  <c r="I4230" i="5"/>
  <c r="J4230" i="5"/>
  <c r="K4230" i="5"/>
  <c r="L4230" i="5"/>
  <c r="M4230" i="5"/>
  <c r="H4231" i="5"/>
  <c r="I4231" i="5"/>
  <c r="J4231" i="5"/>
  <c r="K4231" i="5"/>
  <c r="L4231" i="5"/>
  <c r="M4231" i="5"/>
  <c r="H4232" i="5"/>
  <c r="I4232" i="5"/>
  <c r="J4232" i="5"/>
  <c r="K4232" i="5"/>
  <c r="L4232" i="5"/>
  <c r="M4232" i="5"/>
  <c r="H4233" i="5"/>
  <c r="I4233" i="5"/>
  <c r="J4233" i="5"/>
  <c r="K4233" i="5"/>
  <c r="L4233" i="5"/>
  <c r="M4233" i="5"/>
  <c r="H4234" i="5"/>
  <c r="I4234" i="5"/>
  <c r="J4234" i="5"/>
  <c r="K4234" i="5"/>
  <c r="L4234" i="5"/>
  <c r="M4234" i="5"/>
  <c r="H4235" i="5"/>
  <c r="I4235" i="5"/>
  <c r="J4235" i="5"/>
  <c r="K4235" i="5"/>
  <c r="L4235" i="5"/>
  <c r="M4235" i="5"/>
  <c r="H4236" i="5"/>
  <c r="I4236" i="5"/>
  <c r="J4236" i="5"/>
  <c r="K4236" i="5"/>
  <c r="L4236" i="5"/>
  <c r="M4236" i="5"/>
  <c r="H4237" i="5"/>
  <c r="I4237" i="5"/>
  <c r="J4237" i="5"/>
  <c r="K4237" i="5"/>
  <c r="L4237" i="5"/>
  <c r="M4237" i="5"/>
  <c r="H4238" i="5"/>
  <c r="I4238" i="5"/>
  <c r="J4238" i="5"/>
  <c r="K4238" i="5"/>
  <c r="L4238" i="5"/>
  <c r="M4238" i="5"/>
  <c r="H4239" i="5"/>
  <c r="I4239" i="5"/>
  <c r="J4239" i="5"/>
  <c r="K4239" i="5"/>
  <c r="L4239" i="5"/>
  <c r="M4239" i="5"/>
  <c r="H4240" i="5"/>
  <c r="I4240" i="5"/>
  <c r="J4240" i="5"/>
  <c r="K4240" i="5"/>
  <c r="L4240" i="5"/>
  <c r="M4240" i="5"/>
  <c r="H4241" i="5"/>
  <c r="I4241" i="5"/>
  <c r="J4241" i="5"/>
  <c r="K4241" i="5"/>
  <c r="L4241" i="5"/>
  <c r="M4241" i="5"/>
  <c r="H4242" i="5"/>
  <c r="I4242" i="5"/>
  <c r="J4242" i="5"/>
  <c r="K4242" i="5"/>
  <c r="L4242" i="5"/>
  <c r="M4242" i="5"/>
  <c r="H4243" i="5"/>
  <c r="I4243" i="5"/>
  <c r="J4243" i="5"/>
  <c r="K4243" i="5"/>
  <c r="L4243" i="5"/>
  <c r="M4243" i="5"/>
  <c r="H4244" i="5"/>
  <c r="I4244" i="5"/>
  <c r="J4244" i="5"/>
  <c r="K4244" i="5"/>
  <c r="L4244" i="5"/>
  <c r="M4244" i="5"/>
  <c r="H4245" i="5"/>
  <c r="I4245" i="5"/>
  <c r="J4245" i="5"/>
  <c r="K4245" i="5"/>
  <c r="L4245" i="5"/>
  <c r="M4245" i="5"/>
  <c r="H4246" i="5"/>
  <c r="I4246" i="5"/>
  <c r="J4246" i="5"/>
  <c r="K4246" i="5"/>
  <c r="L4246" i="5"/>
  <c r="M4246" i="5"/>
  <c r="H4247" i="5"/>
  <c r="I4247" i="5"/>
  <c r="J4247" i="5"/>
  <c r="K4247" i="5"/>
  <c r="L4247" i="5"/>
  <c r="M4247" i="5"/>
  <c r="H4248" i="5"/>
  <c r="I4248" i="5"/>
  <c r="J4248" i="5"/>
  <c r="K4248" i="5"/>
  <c r="L4248" i="5"/>
  <c r="M4248" i="5"/>
  <c r="H4249" i="5"/>
  <c r="I4249" i="5"/>
  <c r="J4249" i="5"/>
  <c r="K4249" i="5"/>
  <c r="L4249" i="5"/>
  <c r="M4249" i="5"/>
  <c r="H4250" i="5"/>
  <c r="I4250" i="5"/>
  <c r="J4250" i="5"/>
  <c r="K4250" i="5"/>
  <c r="L4250" i="5"/>
  <c r="M4250" i="5"/>
  <c r="H4251" i="5"/>
  <c r="I4251" i="5"/>
  <c r="J4251" i="5"/>
  <c r="K4251" i="5"/>
  <c r="L4251" i="5"/>
  <c r="M4251" i="5"/>
  <c r="H4252" i="5"/>
  <c r="I4252" i="5"/>
  <c r="J4252" i="5"/>
  <c r="K4252" i="5"/>
  <c r="L4252" i="5"/>
  <c r="M4252" i="5"/>
  <c r="H4253" i="5"/>
  <c r="I4253" i="5"/>
  <c r="J4253" i="5"/>
  <c r="K4253" i="5"/>
  <c r="L4253" i="5"/>
  <c r="M4253" i="5"/>
  <c r="H4254" i="5"/>
  <c r="I4254" i="5"/>
  <c r="J4254" i="5"/>
  <c r="K4254" i="5"/>
  <c r="L4254" i="5"/>
  <c r="M4254" i="5"/>
  <c r="H4255" i="5"/>
  <c r="I4255" i="5"/>
  <c r="J4255" i="5"/>
  <c r="K4255" i="5"/>
  <c r="L4255" i="5"/>
  <c r="M4255" i="5"/>
  <c r="H4256" i="5"/>
  <c r="I4256" i="5"/>
  <c r="J4256" i="5"/>
  <c r="K4256" i="5"/>
  <c r="L4256" i="5"/>
  <c r="M4256" i="5"/>
  <c r="H4257" i="5"/>
  <c r="I4257" i="5"/>
  <c r="J4257" i="5"/>
  <c r="K4257" i="5"/>
  <c r="L4257" i="5"/>
  <c r="M4257" i="5"/>
  <c r="H4258" i="5"/>
  <c r="I4258" i="5"/>
  <c r="J4258" i="5"/>
  <c r="K4258" i="5"/>
  <c r="L4258" i="5"/>
  <c r="M4258" i="5"/>
  <c r="H4259" i="5"/>
  <c r="I4259" i="5"/>
  <c r="J4259" i="5"/>
  <c r="K4259" i="5"/>
  <c r="L4259" i="5"/>
  <c r="M4259" i="5"/>
  <c r="H4260" i="5"/>
  <c r="I4260" i="5"/>
  <c r="J4260" i="5"/>
  <c r="K4260" i="5"/>
  <c r="L4260" i="5"/>
  <c r="M4260" i="5"/>
  <c r="H4261" i="5"/>
  <c r="I4261" i="5"/>
  <c r="J4261" i="5"/>
  <c r="K4261" i="5"/>
  <c r="L4261" i="5"/>
  <c r="M4261" i="5"/>
  <c r="H4262" i="5"/>
  <c r="I4262" i="5"/>
  <c r="J4262" i="5"/>
  <c r="K4262" i="5"/>
  <c r="L4262" i="5"/>
  <c r="M4262" i="5"/>
  <c r="H4263" i="5"/>
  <c r="I4263" i="5"/>
  <c r="J4263" i="5"/>
  <c r="K4263" i="5"/>
  <c r="L4263" i="5"/>
  <c r="M4263" i="5"/>
  <c r="H4264" i="5"/>
  <c r="I4264" i="5"/>
  <c r="J4264" i="5"/>
  <c r="K4264" i="5"/>
  <c r="L4264" i="5"/>
  <c r="M4264" i="5"/>
  <c r="H4265" i="5"/>
  <c r="I4265" i="5"/>
  <c r="J4265" i="5"/>
  <c r="K4265" i="5"/>
  <c r="L4265" i="5"/>
  <c r="M4265" i="5"/>
  <c r="H4266" i="5"/>
  <c r="I4266" i="5"/>
  <c r="J4266" i="5"/>
  <c r="K4266" i="5"/>
  <c r="L4266" i="5"/>
  <c r="M4266" i="5"/>
  <c r="H4267" i="5"/>
  <c r="I4267" i="5"/>
  <c r="J4267" i="5"/>
  <c r="K4267" i="5"/>
  <c r="L4267" i="5"/>
  <c r="M4267" i="5"/>
  <c r="H4268" i="5"/>
  <c r="I4268" i="5"/>
  <c r="J4268" i="5"/>
  <c r="K4268" i="5"/>
  <c r="L4268" i="5"/>
  <c r="M4268" i="5"/>
  <c r="H4269" i="5"/>
  <c r="I4269" i="5"/>
  <c r="J4269" i="5"/>
  <c r="K4269" i="5"/>
  <c r="L4269" i="5"/>
  <c r="M4269" i="5"/>
  <c r="H4270" i="5"/>
  <c r="I4270" i="5"/>
  <c r="J4270" i="5"/>
  <c r="K4270" i="5"/>
  <c r="L4270" i="5"/>
  <c r="M4270" i="5"/>
  <c r="H4271" i="5"/>
  <c r="I4271" i="5"/>
  <c r="J4271" i="5"/>
  <c r="K4271" i="5"/>
  <c r="L4271" i="5"/>
  <c r="M4271" i="5"/>
  <c r="H4272" i="5"/>
  <c r="I4272" i="5"/>
  <c r="J4272" i="5"/>
  <c r="K4272" i="5"/>
  <c r="L4272" i="5"/>
  <c r="M4272" i="5"/>
  <c r="H4273" i="5"/>
  <c r="I4273" i="5"/>
  <c r="J4273" i="5"/>
  <c r="K4273" i="5"/>
  <c r="L4273" i="5"/>
  <c r="M4273" i="5"/>
  <c r="H4274" i="5"/>
  <c r="I4274" i="5"/>
  <c r="J4274" i="5"/>
  <c r="K4274" i="5"/>
  <c r="L4274" i="5"/>
  <c r="M4274" i="5"/>
  <c r="H4275" i="5"/>
  <c r="I4275" i="5"/>
  <c r="J4275" i="5"/>
  <c r="K4275" i="5"/>
  <c r="L4275" i="5"/>
  <c r="M4275" i="5"/>
  <c r="H4276" i="5"/>
  <c r="I4276" i="5"/>
  <c r="J4276" i="5"/>
  <c r="K4276" i="5"/>
  <c r="L4276" i="5"/>
  <c r="M4276" i="5"/>
  <c r="H4277" i="5"/>
  <c r="I4277" i="5"/>
  <c r="J4277" i="5"/>
  <c r="K4277" i="5"/>
  <c r="L4277" i="5"/>
  <c r="M4277" i="5"/>
  <c r="H4278" i="5"/>
  <c r="I4278" i="5"/>
  <c r="J4278" i="5"/>
  <c r="K4278" i="5"/>
  <c r="L4278" i="5"/>
  <c r="M4278" i="5"/>
  <c r="H4279" i="5"/>
  <c r="I4279" i="5"/>
  <c r="J4279" i="5"/>
  <c r="K4279" i="5"/>
  <c r="L4279" i="5"/>
  <c r="M4279" i="5"/>
  <c r="H4280" i="5"/>
  <c r="I4280" i="5"/>
  <c r="J4280" i="5"/>
  <c r="K4280" i="5"/>
  <c r="L4280" i="5"/>
  <c r="M4280" i="5"/>
  <c r="H4281" i="5"/>
  <c r="I4281" i="5"/>
  <c r="J4281" i="5"/>
  <c r="K4281" i="5"/>
  <c r="L4281" i="5"/>
  <c r="M4281" i="5"/>
  <c r="H4282" i="5"/>
  <c r="I4282" i="5"/>
  <c r="J4282" i="5"/>
  <c r="K4282" i="5"/>
  <c r="L4282" i="5"/>
  <c r="M4282" i="5"/>
  <c r="H4283" i="5"/>
  <c r="I4283" i="5"/>
  <c r="J4283" i="5"/>
  <c r="K4283" i="5"/>
  <c r="L4283" i="5"/>
  <c r="M4283" i="5"/>
  <c r="H4284" i="5"/>
  <c r="I4284" i="5"/>
  <c r="J4284" i="5"/>
  <c r="K4284" i="5"/>
  <c r="L4284" i="5"/>
  <c r="M4284" i="5"/>
  <c r="H4285" i="5"/>
  <c r="I4285" i="5"/>
  <c r="J4285" i="5"/>
  <c r="K4285" i="5"/>
  <c r="L4285" i="5"/>
  <c r="M4285" i="5"/>
  <c r="H4286" i="5"/>
  <c r="I4286" i="5"/>
  <c r="J4286" i="5"/>
  <c r="K4286" i="5"/>
  <c r="L4286" i="5"/>
  <c r="M4286" i="5"/>
  <c r="H4287" i="5"/>
  <c r="I4287" i="5"/>
  <c r="J4287" i="5"/>
  <c r="K4287" i="5"/>
  <c r="L4287" i="5"/>
  <c r="M4287" i="5"/>
  <c r="H4288" i="5"/>
  <c r="I4288" i="5"/>
  <c r="J4288" i="5"/>
  <c r="K4288" i="5"/>
  <c r="L4288" i="5"/>
  <c r="M4288" i="5"/>
  <c r="H4289" i="5"/>
  <c r="I4289" i="5"/>
  <c r="J4289" i="5"/>
  <c r="K4289" i="5"/>
  <c r="L4289" i="5"/>
  <c r="M4289" i="5"/>
  <c r="H4290" i="5"/>
  <c r="I4290" i="5"/>
  <c r="J4290" i="5"/>
  <c r="K4290" i="5"/>
  <c r="L4290" i="5"/>
  <c r="M4290" i="5"/>
  <c r="H4291" i="5"/>
  <c r="I4291" i="5"/>
  <c r="J4291" i="5"/>
  <c r="K4291" i="5"/>
  <c r="L4291" i="5"/>
  <c r="M4291" i="5"/>
  <c r="H4292" i="5"/>
  <c r="I4292" i="5"/>
  <c r="J4292" i="5"/>
  <c r="K4292" i="5"/>
  <c r="L4292" i="5"/>
  <c r="M4292" i="5"/>
  <c r="H4293" i="5"/>
  <c r="I4293" i="5"/>
  <c r="J4293" i="5"/>
  <c r="K4293" i="5"/>
  <c r="L4293" i="5"/>
  <c r="M4293" i="5"/>
  <c r="H4294" i="5"/>
  <c r="I4294" i="5"/>
  <c r="J4294" i="5"/>
  <c r="K4294" i="5"/>
  <c r="L4294" i="5"/>
  <c r="M4294" i="5"/>
  <c r="H4295" i="5"/>
  <c r="I4295" i="5"/>
  <c r="J4295" i="5"/>
  <c r="K4295" i="5"/>
  <c r="L4295" i="5"/>
  <c r="M4295" i="5"/>
  <c r="H4296" i="5"/>
  <c r="I4296" i="5"/>
  <c r="J4296" i="5"/>
  <c r="K4296" i="5"/>
  <c r="L4296" i="5"/>
  <c r="M4296" i="5"/>
  <c r="H4297" i="5"/>
  <c r="I4297" i="5"/>
  <c r="J4297" i="5"/>
  <c r="K4297" i="5"/>
  <c r="L4297" i="5"/>
  <c r="M4297" i="5"/>
  <c r="H4298" i="5"/>
  <c r="I4298" i="5"/>
  <c r="J4298" i="5"/>
  <c r="K4298" i="5"/>
  <c r="L4298" i="5"/>
  <c r="M4298" i="5"/>
  <c r="H4299" i="5"/>
  <c r="I4299" i="5"/>
  <c r="J4299" i="5"/>
  <c r="K4299" i="5"/>
  <c r="L4299" i="5"/>
  <c r="M4299" i="5"/>
  <c r="H4300" i="5"/>
  <c r="I4300" i="5"/>
  <c r="J4300" i="5"/>
  <c r="K4300" i="5"/>
  <c r="L4300" i="5"/>
  <c r="M4300" i="5"/>
  <c r="H4301" i="5"/>
  <c r="I4301" i="5"/>
  <c r="J4301" i="5"/>
  <c r="K4301" i="5"/>
  <c r="L4301" i="5"/>
  <c r="M4301" i="5"/>
  <c r="H4302" i="5"/>
  <c r="I4302" i="5"/>
  <c r="J4302" i="5"/>
  <c r="K4302" i="5"/>
  <c r="L4302" i="5"/>
  <c r="M4302" i="5"/>
  <c r="H4303" i="5"/>
  <c r="I4303" i="5"/>
  <c r="J4303" i="5"/>
  <c r="K4303" i="5"/>
  <c r="L4303" i="5"/>
  <c r="M4303" i="5"/>
  <c r="H4304" i="5"/>
  <c r="I4304" i="5"/>
  <c r="J4304" i="5"/>
  <c r="K4304" i="5"/>
  <c r="L4304" i="5"/>
  <c r="M4304" i="5"/>
  <c r="H4305" i="5"/>
  <c r="I4305" i="5"/>
  <c r="J4305" i="5"/>
  <c r="K4305" i="5"/>
  <c r="L4305" i="5"/>
  <c r="M4305" i="5"/>
  <c r="H4306" i="5"/>
  <c r="I4306" i="5"/>
  <c r="J4306" i="5"/>
  <c r="K4306" i="5"/>
  <c r="L4306" i="5"/>
  <c r="M4306" i="5"/>
  <c r="H4307" i="5"/>
  <c r="I4307" i="5"/>
  <c r="J4307" i="5"/>
  <c r="K4307" i="5"/>
  <c r="L4307" i="5"/>
  <c r="M4307" i="5"/>
  <c r="H4308" i="5"/>
  <c r="I4308" i="5"/>
  <c r="J4308" i="5"/>
  <c r="K4308" i="5"/>
  <c r="L4308" i="5"/>
  <c r="M4308" i="5"/>
  <c r="H4309" i="5"/>
  <c r="I4309" i="5"/>
  <c r="J4309" i="5"/>
  <c r="K4309" i="5"/>
  <c r="L4309" i="5"/>
  <c r="M4309" i="5"/>
  <c r="H4310" i="5"/>
  <c r="I4310" i="5"/>
  <c r="J4310" i="5"/>
  <c r="K4310" i="5"/>
  <c r="L4310" i="5"/>
  <c r="M4310" i="5"/>
  <c r="H4311" i="5"/>
  <c r="I4311" i="5"/>
  <c r="J4311" i="5"/>
  <c r="K4311" i="5"/>
  <c r="L4311" i="5"/>
  <c r="M4311" i="5"/>
  <c r="H4312" i="5"/>
  <c r="I4312" i="5"/>
  <c r="J4312" i="5"/>
  <c r="K4312" i="5"/>
  <c r="L4312" i="5"/>
  <c r="M4312" i="5"/>
  <c r="H4313" i="5"/>
  <c r="I4313" i="5"/>
  <c r="J4313" i="5"/>
  <c r="K4313" i="5"/>
  <c r="L4313" i="5"/>
  <c r="M4313" i="5"/>
  <c r="H4314" i="5"/>
  <c r="I4314" i="5"/>
  <c r="J4314" i="5"/>
  <c r="K4314" i="5"/>
  <c r="L4314" i="5"/>
  <c r="M4314" i="5"/>
  <c r="H4315" i="5"/>
  <c r="I4315" i="5"/>
  <c r="J4315" i="5"/>
  <c r="K4315" i="5"/>
  <c r="L4315" i="5"/>
  <c r="M4315" i="5"/>
  <c r="H4316" i="5"/>
  <c r="I4316" i="5"/>
  <c r="J4316" i="5"/>
  <c r="K4316" i="5"/>
  <c r="L4316" i="5"/>
  <c r="M4316" i="5"/>
  <c r="H4317" i="5"/>
  <c r="I4317" i="5"/>
  <c r="J4317" i="5"/>
  <c r="K4317" i="5"/>
  <c r="L4317" i="5"/>
  <c r="M4317" i="5"/>
  <c r="H4318" i="5"/>
  <c r="I4318" i="5"/>
  <c r="J4318" i="5"/>
  <c r="K4318" i="5"/>
  <c r="L4318" i="5"/>
  <c r="M4318" i="5"/>
  <c r="H4319" i="5"/>
  <c r="I4319" i="5"/>
  <c r="J4319" i="5"/>
  <c r="K4319" i="5"/>
  <c r="L4319" i="5"/>
  <c r="M4319" i="5"/>
  <c r="H4320" i="5"/>
  <c r="I4320" i="5"/>
  <c r="J4320" i="5"/>
  <c r="K4320" i="5"/>
  <c r="L4320" i="5"/>
  <c r="M4320" i="5"/>
  <c r="H4321" i="5"/>
  <c r="I4321" i="5"/>
  <c r="J4321" i="5"/>
  <c r="K4321" i="5"/>
  <c r="L4321" i="5"/>
  <c r="M4321" i="5"/>
  <c r="H4322" i="5"/>
  <c r="I4322" i="5"/>
  <c r="J4322" i="5"/>
  <c r="K4322" i="5"/>
  <c r="L4322" i="5"/>
  <c r="M4322" i="5"/>
  <c r="H4323" i="5"/>
  <c r="I4323" i="5"/>
  <c r="J4323" i="5"/>
  <c r="K4323" i="5"/>
  <c r="L4323" i="5"/>
  <c r="M4323" i="5"/>
  <c r="H4324" i="5"/>
  <c r="I4324" i="5"/>
  <c r="J4324" i="5"/>
  <c r="K4324" i="5"/>
  <c r="L4324" i="5"/>
  <c r="M4324" i="5"/>
  <c r="H4325" i="5"/>
  <c r="I4325" i="5"/>
  <c r="J4325" i="5"/>
  <c r="K4325" i="5"/>
  <c r="L4325" i="5"/>
  <c r="M4325" i="5"/>
  <c r="H4326" i="5"/>
  <c r="I4326" i="5"/>
  <c r="J4326" i="5"/>
  <c r="K4326" i="5"/>
  <c r="L4326" i="5"/>
  <c r="M4326" i="5"/>
  <c r="H4327" i="5"/>
  <c r="I4327" i="5"/>
  <c r="J4327" i="5"/>
  <c r="K4327" i="5"/>
  <c r="L4327" i="5"/>
  <c r="M4327" i="5"/>
  <c r="H4328" i="5"/>
  <c r="I4328" i="5"/>
  <c r="J4328" i="5"/>
  <c r="K4328" i="5"/>
  <c r="L4328" i="5"/>
  <c r="M4328" i="5"/>
  <c r="H4329" i="5"/>
  <c r="I4329" i="5"/>
  <c r="J4329" i="5"/>
  <c r="K4329" i="5"/>
  <c r="L4329" i="5"/>
  <c r="M4329" i="5"/>
  <c r="H4330" i="5"/>
  <c r="I4330" i="5"/>
  <c r="J4330" i="5"/>
  <c r="K4330" i="5"/>
  <c r="L4330" i="5"/>
  <c r="M4330" i="5"/>
  <c r="H4331" i="5"/>
  <c r="I4331" i="5"/>
  <c r="J4331" i="5"/>
  <c r="K4331" i="5"/>
  <c r="L4331" i="5"/>
  <c r="M4331" i="5"/>
  <c r="H4332" i="5"/>
  <c r="I4332" i="5"/>
  <c r="J4332" i="5"/>
  <c r="K4332" i="5"/>
  <c r="L4332" i="5"/>
  <c r="M4332" i="5"/>
  <c r="H4333" i="5"/>
  <c r="I4333" i="5"/>
  <c r="J4333" i="5"/>
  <c r="K4333" i="5"/>
  <c r="L4333" i="5"/>
  <c r="M4333" i="5"/>
  <c r="H4334" i="5"/>
  <c r="I4334" i="5"/>
  <c r="J4334" i="5"/>
  <c r="K4334" i="5"/>
  <c r="L4334" i="5"/>
  <c r="M4334" i="5"/>
  <c r="H4335" i="5"/>
  <c r="I4335" i="5"/>
  <c r="J4335" i="5"/>
  <c r="K4335" i="5"/>
  <c r="L4335" i="5"/>
  <c r="M4335" i="5"/>
  <c r="H4336" i="5"/>
  <c r="I4336" i="5"/>
  <c r="J4336" i="5"/>
  <c r="K4336" i="5"/>
  <c r="L4336" i="5"/>
  <c r="M4336" i="5"/>
  <c r="H4337" i="5"/>
  <c r="I4337" i="5"/>
  <c r="J4337" i="5"/>
  <c r="K4337" i="5"/>
  <c r="L4337" i="5"/>
  <c r="M4337" i="5"/>
  <c r="H4338" i="5"/>
  <c r="I4338" i="5"/>
  <c r="J4338" i="5"/>
  <c r="K4338" i="5"/>
  <c r="L4338" i="5"/>
  <c r="M4338" i="5"/>
  <c r="H4339" i="5"/>
  <c r="I4339" i="5"/>
  <c r="J4339" i="5"/>
  <c r="K4339" i="5"/>
  <c r="L4339" i="5"/>
  <c r="M4339" i="5"/>
  <c r="H4340" i="5"/>
  <c r="I4340" i="5"/>
  <c r="J4340" i="5"/>
  <c r="K4340" i="5"/>
  <c r="L4340" i="5"/>
  <c r="M4340" i="5"/>
  <c r="H4341" i="5"/>
  <c r="I4341" i="5"/>
  <c r="J4341" i="5"/>
  <c r="K4341" i="5"/>
  <c r="L4341" i="5"/>
  <c r="M4341" i="5"/>
  <c r="H4342" i="5"/>
  <c r="I4342" i="5"/>
  <c r="J4342" i="5"/>
  <c r="K4342" i="5"/>
  <c r="L4342" i="5"/>
  <c r="M4342" i="5"/>
  <c r="H4343" i="5"/>
  <c r="I4343" i="5"/>
  <c r="J4343" i="5"/>
  <c r="K4343" i="5"/>
  <c r="L4343" i="5"/>
  <c r="M4343" i="5"/>
  <c r="H4344" i="5"/>
  <c r="I4344" i="5"/>
  <c r="J4344" i="5"/>
  <c r="K4344" i="5"/>
  <c r="L4344" i="5"/>
  <c r="M4344" i="5"/>
  <c r="H4345" i="5"/>
  <c r="I4345" i="5"/>
  <c r="J4345" i="5"/>
  <c r="K4345" i="5"/>
  <c r="L4345" i="5"/>
  <c r="M4345" i="5"/>
  <c r="H4346" i="5"/>
  <c r="I4346" i="5"/>
  <c r="J4346" i="5"/>
  <c r="K4346" i="5"/>
  <c r="L4346" i="5"/>
  <c r="M4346" i="5"/>
  <c r="H4347" i="5"/>
  <c r="I4347" i="5"/>
  <c r="J4347" i="5"/>
  <c r="K4347" i="5"/>
  <c r="L4347" i="5"/>
  <c r="M4347" i="5"/>
  <c r="H4348" i="5"/>
  <c r="I4348" i="5"/>
  <c r="J4348" i="5"/>
  <c r="K4348" i="5"/>
  <c r="L4348" i="5"/>
  <c r="M4348" i="5"/>
  <c r="H4349" i="5"/>
  <c r="I4349" i="5"/>
  <c r="J4349" i="5"/>
  <c r="K4349" i="5"/>
  <c r="L4349" i="5"/>
  <c r="M4349" i="5"/>
  <c r="H4350" i="5"/>
  <c r="I4350" i="5"/>
  <c r="J4350" i="5"/>
  <c r="K4350" i="5"/>
  <c r="L4350" i="5"/>
  <c r="M4350" i="5"/>
  <c r="H4351" i="5"/>
  <c r="I4351" i="5"/>
  <c r="J4351" i="5"/>
  <c r="K4351" i="5"/>
  <c r="L4351" i="5"/>
  <c r="M4351" i="5"/>
  <c r="H4352" i="5"/>
  <c r="I4352" i="5"/>
  <c r="J4352" i="5"/>
  <c r="K4352" i="5"/>
  <c r="L4352" i="5"/>
  <c r="M4352" i="5"/>
  <c r="H4353" i="5"/>
  <c r="I4353" i="5"/>
  <c r="J4353" i="5"/>
  <c r="K4353" i="5"/>
  <c r="L4353" i="5"/>
  <c r="M4353" i="5"/>
  <c r="H4354" i="5"/>
  <c r="I4354" i="5"/>
  <c r="J4354" i="5"/>
  <c r="K4354" i="5"/>
  <c r="L4354" i="5"/>
  <c r="M4354" i="5"/>
  <c r="H4355" i="5"/>
  <c r="I4355" i="5"/>
  <c r="J4355" i="5"/>
  <c r="K4355" i="5"/>
  <c r="L4355" i="5"/>
  <c r="M4355" i="5"/>
  <c r="H4356" i="5"/>
  <c r="I4356" i="5"/>
  <c r="J4356" i="5"/>
  <c r="K4356" i="5"/>
  <c r="L4356" i="5"/>
  <c r="M4356" i="5"/>
  <c r="H4357" i="5"/>
  <c r="I4357" i="5"/>
  <c r="J4357" i="5"/>
  <c r="K4357" i="5"/>
  <c r="L4357" i="5"/>
  <c r="M4357" i="5"/>
  <c r="H4358" i="5"/>
  <c r="I4358" i="5"/>
  <c r="J4358" i="5"/>
  <c r="K4358" i="5"/>
  <c r="L4358" i="5"/>
  <c r="M4358" i="5"/>
  <c r="H4359" i="5"/>
  <c r="I4359" i="5"/>
  <c r="J4359" i="5"/>
  <c r="K4359" i="5"/>
  <c r="L4359" i="5"/>
  <c r="M4359" i="5"/>
  <c r="H4360" i="5"/>
  <c r="I4360" i="5"/>
  <c r="J4360" i="5"/>
  <c r="K4360" i="5"/>
  <c r="L4360" i="5"/>
  <c r="M4360" i="5"/>
  <c r="H4361" i="5"/>
  <c r="I4361" i="5"/>
  <c r="J4361" i="5"/>
  <c r="K4361" i="5"/>
  <c r="L4361" i="5"/>
  <c r="M4361" i="5"/>
  <c r="H4362" i="5"/>
  <c r="I4362" i="5"/>
  <c r="J4362" i="5"/>
  <c r="K4362" i="5"/>
  <c r="L4362" i="5"/>
  <c r="M4362" i="5"/>
  <c r="H4363" i="5"/>
  <c r="I4363" i="5"/>
  <c r="J4363" i="5"/>
  <c r="K4363" i="5"/>
  <c r="L4363" i="5"/>
  <c r="M4363" i="5"/>
  <c r="H4364" i="5"/>
  <c r="I4364" i="5"/>
  <c r="J4364" i="5"/>
  <c r="K4364" i="5"/>
  <c r="L4364" i="5"/>
  <c r="M4364" i="5"/>
  <c r="H4365" i="5"/>
  <c r="I4365" i="5"/>
  <c r="J4365" i="5"/>
  <c r="K4365" i="5"/>
  <c r="L4365" i="5"/>
  <c r="M4365" i="5"/>
  <c r="H4366" i="5"/>
  <c r="I4366" i="5"/>
  <c r="J4366" i="5"/>
  <c r="K4366" i="5"/>
  <c r="L4366" i="5"/>
  <c r="M4366" i="5"/>
  <c r="H4367" i="5"/>
  <c r="I4367" i="5"/>
  <c r="J4367" i="5"/>
  <c r="K4367" i="5"/>
  <c r="L4367" i="5"/>
  <c r="M4367" i="5"/>
  <c r="H4368" i="5"/>
  <c r="I4368" i="5"/>
  <c r="J4368" i="5"/>
  <c r="K4368" i="5"/>
  <c r="L4368" i="5"/>
  <c r="M4368" i="5"/>
  <c r="H4369" i="5"/>
  <c r="I4369" i="5"/>
  <c r="J4369" i="5"/>
  <c r="K4369" i="5"/>
  <c r="L4369" i="5"/>
  <c r="M4369" i="5"/>
  <c r="H4370" i="5"/>
  <c r="I4370" i="5"/>
  <c r="J4370" i="5"/>
  <c r="K4370" i="5"/>
  <c r="L4370" i="5"/>
  <c r="M4370" i="5"/>
  <c r="H4371" i="5"/>
  <c r="I4371" i="5"/>
  <c r="J4371" i="5"/>
  <c r="K4371" i="5"/>
  <c r="L4371" i="5"/>
  <c r="M4371" i="5"/>
  <c r="H4372" i="5"/>
  <c r="I4372" i="5"/>
  <c r="J4372" i="5"/>
  <c r="K4372" i="5"/>
  <c r="L4372" i="5"/>
  <c r="M4372" i="5"/>
  <c r="H4373" i="5"/>
  <c r="I4373" i="5"/>
  <c r="J4373" i="5"/>
  <c r="K4373" i="5"/>
  <c r="L4373" i="5"/>
  <c r="M4373" i="5"/>
  <c r="H4374" i="5"/>
  <c r="I4374" i="5"/>
  <c r="J4374" i="5"/>
  <c r="K4374" i="5"/>
  <c r="L4374" i="5"/>
  <c r="M4374" i="5"/>
  <c r="H4375" i="5"/>
  <c r="I4375" i="5"/>
  <c r="J4375" i="5"/>
  <c r="K4375" i="5"/>
  <c r="L4375" i="5"/>
  <c r="M4375" i="5"/>
  <c r="H4376" i="5"/>
  <c r="I4376" i="5"/>
  <c r="J4376" i="5"/>
  <c r="K4376" i="5"/>
  <c r="L4376" i="5"/>
  <c r="M4376" i="5"/>
  <c r="H4377" i="5"/>
  <c r="I4377" i="5"/>
  <c r="J4377" i="5"/>
  <c r="K4377" i="5"/>
  <c r="L4377" i="5"/>
  <c r="M4377" i="5"/>
  <c r="H4378" i="5"/>
  <c r="I4378" i="5"/>
  <c r="J4378" i="5"/>
  <c r="K4378" i="5"/>
  <c r="L4378" i="5"/>
  <c r="M4378" i="5"/>
  <c r="H4379" i="5"/>
  <c r="I4379" i="5"/>
  <c r="J4379" i="5"/>
  <c r="K4379" i="5"/>
  <c r="L4379" i="5"/>
  <c r="M4379" i="5"/>
  <c r="H4380" i="5"/>
  <c r="I4380" i="5"/>
  <c r="J4380" i="5"/>
  <c r="K4380" i="5"/>
  <c r="L4380" i="5"/>
  <c r="M4380" i="5"/>
  <c r="H4381" i="5"/>
  <c r="I4381" i="5"/>
  <c r="J4381" i="5"/>
  <c r="K4381" i="5"/>
  <c r="L4381" i="5"/>
  <c r="M4381" i="5"/>
  <c r="H4382" i="5"/>
  <c r="I4382" i="5"/>
  <c r="J4382" i="5"/>
  <c r="K4382" i="5"/>
  <c r="L4382" i="5"/>
  <c r="M4382" i="5"/>
  <c r="H4383" i="5"/>
  <c r="I4383" i="5"/>
  <c r="J4383" i="5"/>
  <c r="K4383" i="5"/>
  <c r="L4383" i="5"/>
  <c r="M4383" i="5"/>
  <c r="H4384" i="5"/>
  <c r="I4384" i="5"/>
  <c r="J4384" i="5"/>
  <c r="K4384" i="5"/>
  <c r="L4384" i="5"/>
  <c r="M4384" i="5"/>
  <c r="H4385" i="5"/>
  <c r="I4385" i="5"/>
  <c r="J4385" i="5"/>
  <c r="K4385" i="5"/>
  <c r="L4385" i="5"/>
  <c r="M4385" i="5"/>
  <c r="H4386" i="5"/>
  <c r="I4386" i="5"/>
  <c r="J4386" i="5"/>
  <c r="K4386" i="5"/>
  <c r="L4386" i="5"/>
  <c r="M4386" i="5"/>
  <c r="H4387" i="5"/>
  <c r="I4387" i="5"/>
  <c r="J4387" i="5"/>
  <c r="K4387" i="5"/>
  <c r="L4387" i="5"/>
  <c r="M4387" i="5"/>
  <c r="H4388" i="5"/>
  <c r="I4388" i="5"/>
  <c r="J4388" i="5"/>
  <c r="K4388" i="5"/>
  <c r="L4388" i="5"/>
  <c r="M4388" i="5"/>
  <c r="H4389" i="5"/>
  <c r="I4389" i="5"/>
  <c r="J4389" i="5"/>
  <c r="K4389" i="5"/>
  <c r="L4389" i="5"/>
  <c r="M4389" i="5"/>
  <c r="H4390" i="5"/>
  <c r="I4390" i="5"/>
  <c r="J4390" i="5"/>
  <c r="K4390" i="5"/>
  <c r="L4390" i="5"/>
  <c r="M4390" i="5"/>
  <c r="H4391" i="5"/>
  <c r="I4391" i="5"/>
  <c r="J4391" i="5"/>
  <c r="K4391" i="5"/>
  <c r="L4391" i="5"/>
  <c r="M4391" i="5"/>
  <c r="H4392" i="5"/>
  <c r="I4392" i="5"/>
  <c r="J4392" i="5"/>
  <c r="K4392" i="5"/>
  <c r="L4392" i="5"/>
  <c r="M4392" i="5"/>
  <c r="H4393" i="5"/>
  <c r="I4393" i="5"/>
  <c r="J4393" i="5"/>
  <c r="K4393" i="5"/>
  <c r="L4393" i="5"/>
  <c r="M4393" i="5"/>
  <c r="H4394" i="5"/>
  <c r="I4394" i="5"/>
  <c r="J4394" i="5"/>
  <c r="K4394" i="5"/>
  <c r="L4394" i="5"/>
  <c r="M4394" i="5"/>
  <c r="H4395" i="5"/>
  <c r="I4395" i="5"/>
  <c r="J4395" i="5"/>
  <c r="K4395" i="5"/>
  <c r="L4395" i="5"/>
  <c r="M4395" i="5"/>
  <c r="H4396" i="5"/>
  <c r="I4396" i="5"/>
  <c r="J4396" i="5"/>
  <c r="K4396" i="5"/>
  <c r="L4396" i="5"/>
  <c r="M4396" i="5"/>
  <c r="H4397" i="5"/>
  <c r="I4397" i="5"/>
  <c r="J4397" i="5"/>
  <c r="K4397" i="5"/>
  <c r="L4397" i="5"/>
  <c r="M4397" i="5"/>
  <c r="H4398" i="5"/>
  <c r="I4398" i="5"/>
  <c r="J4398" i="5"/>
  <c r="K4398" i="5"/>
  <c r="L4398" i="5"/>
  <c r="M4398" i="5"/>
  <c r="H4399" i="5"/>
  <c r="I4399" i="5"/>
  <c r="J4399" i="5"/>
  <c r="K4399" i="5"/>
  <c r="L4399" i="5"/>
  <c r="M4399" i="5"/>
  <c r="H4400" i="5"/>
  <c r="I4400" i="5"/>
  <c r="J4400" i="5"/>
  <c r="K4400" i="5"/>
  <c r="L4400" i="5"/>
  <c r="M4400" i="5"/>
  <c r="H4401" i="5"/>
  <c r="I4401" i="5"/>
  <c r="J4401" i="5"/>
  <c r="K4401" i="5"/>
  <c r="L4401" i="5"/>
  <c r="M4401" i="5"/>
  <c r="H4402" i="5"/>
  <c r="I4402" i="5"/>
  <c r="J4402" i="5"/>
  <c r="K4402" i="5"/>
  <c r="L4402" i="5"/>
  <c r="M4402" i="5"/>
  <c r="H4403" i="5"/>
  <c r="I4403" i="5"/>
  <c r="J4403" i="5"/>
  <c r="K4403" i="5"/>
  <c r="L4403" i="5"/>
  <c r="M4403" i="5"/>
  <c r="H4404" i="5"/>
  <c r="I4404" i="5"/>
  <c r="J4404" i="5"/>
  <c r="K4404" i="5"/>
  <c r="L4404" i="5"/>
  <c r="M4404" i="5"/>
  <c r="H4405" i="5"/>
  <c r="I4405" i="5"/>
  <c r="J4405" i="5"/>
  <c r="K4405" i="5"/>
  <c r="L4405" i="5"/>
  <c r="M4405" i="5"/>
  <c r="H4406" i="5"/>
  <c r="I4406" i="5"/>
  <c r="J4406" i="5"/>
  <c r="K4406" i="5"/>
  <c r="L4406" i="5"/>
  <c r="M4406" i="5"/>
  <c r="H4407" i="5"/>
  <c r="I4407" i="5"/>
  <c r="J4407" i="5"/>
  <c r="K4407" i="5"/>
  <c r="L4407" i="5"/>
  <c r="M4407" i="5"/>
  <c r="H4408" i="5"/>
  <c r="I4408" i="5"/>
  <c r="J4408" i="5"/>
  <c r="K4408" i="5"/>
  <c r="L4408" i="5"/>
  <c r="M4408" i="5"/>
  <c r="H4409" i="5"/>
  <c r="I4409" i="5"/>
  <c r="J4409" i="5"/>
  <c r="K4409" i="5"/>
  <c r="L4409" i="5"/>
  <c r="M4409" i="5"/>
  <c r="H4410" i="5"/>
  <c r="I4410" i="5"/>
  <c r="J4410" i="5"/>
  <c r="K4410" i="5"/>
  <c r="L4410" i="5"/>
  <c r="M4410" i="5"/>
  <c r="H4411" i="5"/>
  <c r="I4411" i="5"/>
  <c r="J4411" i="5"/>
  <c r="K4411" i="5"/>
  <c r="L4411" i="5"/>
  <c r="M4411" i="5"/>
  <c r="H4412" i="5"/>
  <c r="I4412" i="5"/>
  <c r="J4412" i="5"/>
  <c r="K4412" i="5"/>
  <c r="L4412" i="5"/>
  <c r="M4412" i="5"/>
  <c r="H4413" i="5"/>
  <c r="I4413" i="5"/>
  <c r="J4413" i="5"/>
  <c r="K4413" i="5"/>
  <c r="L4413" i="5"/>
  <c r="M4413" i="5"/>
  <c r="H4414" i="5"/>
  <c r="I4414" i="5"/>
  <c r="J4414" i="5"/>
  <c r="K4414" i="5"/>
  <c r="L4414" i="5"/>
  <c r="M4414" i="5"/>
  <c r="H4415" i="5"/>
  <c r="I4415" i="5"/>
  <c r="J4415" i="5"/>
  <c r="K4415" i="5"/>
  <c r="L4415" i="5"/>
  <c r="M4415" i="5"/>
  <c r="H4416" i="5"/>
  <c r="I4416" i="5"/>
  <c r="J4416" i="5"/>
  <c r="K4416" i="5"/>
  <c r="L4416" i="5"/>
  <c r="M4416" i="5"/>
  <c r="H4417" i="5"/>
  <c r="I4417" i="5"/>
  <c r="J4417" i="5"/>
  <c r="K4417" i="5"/>
  <c r="L4417" i="5"/>
  <c r="M4417" i="5"/>
  <c r="H4418" i="5"/>
  <c r="I4418" i="5"/>
  <c r="J4418" i="5"/>
  <c r="K4418" i="5"/>
  <c r="L4418" i="5"/>
  <c r="M4418" i="5"/>
  <c r="H4419" i="5"/>
  <c r="I4419" i="5"/>
  <c r="J4419" i="5"/>
  <c r="K4419" i="5"/>
  <c r="L4419" i="5"/>
  <c r="M4419" i="5"/>
  <c r="H4420" i="5"/>
  <c r="I4420" i="5"/>
  <c r="J4420" i="5"/>
  <c r="K4420" i="5"/>
  <c r="L4420" i="5"/>
  <c r="M4420" i="5"/>
  <c r="H4421" i="5"/>
  <c r="I4421" i="5"/>
  <c r="J4421" i="5"/>
  <c r="K4421" i="5"/>
  <c r="L4421" i="5"/>
  <c r="M4421" i="5"/>
  <c r="H4422" i="5"/>
  <c r="I4422" i="5"/>
  <c r="J4422" i="5"/>
  <c r="K4422" i="5"/>
  <c r="L4422" i="5"/>
  <c r="M4422" i="5"/>
  <c r="H4423" i="5"/>
  <c r="I4423" i="5"/>
  <c r="J4423" i="5"/>
  <c r="K4423" i="5"/>
  <c r="L4423" i="5"/>
  <c r="M4423" i="5"/>
  <c r="H4424" i="5"/>
  <c r="I4424" i="5"/>
  <c r="J4424" i="5"/>
  <c r="K4424" i="5"/>
  <c r="L4424" i="5"/>
  <c r="M4424" i="5"/>
  <c r="H4425" i="5"/>
  <c r="I4425" i="5"/>
  <c r="J4425" i="5"/>
  <c r="K4425" i="5"/>
  <c r="L4425" i="5"/>
  <c r="M4425" i="5"/>
  <c r="H4426" i="5"/>
  <c r="I4426" i="5"/>
  <c r="J4426" i="5"/>
  <c r="K4426" i="5"/>
  <c r="L4426" i="5"/>
  <c r="M4426" i="5"/>
  <c r="H4427" i="5"/>
  <c r="I4427" i="5"/>
  <c r="J4427" i="5"/>
  <c r="K4427" i="5"/>
  <c r="L4427" i="5"/>
  <c r="M4427" i="5"/>
  <c r="H4428" i="5"/>
  <c r="I4428" i="5"/>
  <c r="J4428" i="5"/>
  <c r="K4428" i="5"/>
  <c r="L4428" i="5"/>
  <c r="M4428" i="5"/>
  <c r="H4429" i="5"/>
  <c r="I4429" i="5"/>
  <c r="J4429" i="5"/>
  <c r="K4429" i="5"/>
  <c r="L4429" i="5"/>
  <c r="M4429" i="5"/>
  <c r="H4430" i="5"/>
  <c r="I4430" i="5"/>
  <c r="J4430" i="5"/>
  <c r="K4430" i="5"/>
  <c r="L4430" i="5"/>
  <c r="M4430" i="5"/>
  <c r="H4431" i="5"/>
  <c r="I4431" i="5"/>
  <c r="J4431" i="5"/>
  <c r="K4431" i="5"/>
  <c r="L4431" i="5"/>
  <c r="M4431" i="5"/>
  <c r="H4432" i="5"/>
  <c r="I4432" i="5"/>
  <c r="J4432" i="5"/>
  <c r="K4432" i="5"/>
  <c r="L4432" i="5"/>
  <c r="M4432" i="5"/>
  <c r="H4433" i="5"/>
  <c r="I4433" i="5"/>
  <c r="J4433" i="5"/>
  <c r="K4433" i="5"/>
  <c r="L4433" i="5"/>
  <c r="M4433" i="5"/>
  <c r="H4434" i="5"/>
  <c r="I4434" i="5"/>
  <c r="J4434" i="5"/>
  <c r="K4434" i="5"/>
  <c r="L4434" i="5"/>
  <c r="M4434" i="5"/>
  <c r="H4435" i="5"/>
  <c r="I4435" i="5"/>
  <c r="J4435" i="5"/>
  <c r="K4435" i="5"/>
  <c r="L4435" i="5"/>
  <c r="M4435" i="5"/>
  <c r="H4436" i="5"/>
  <c r="I4436" i="5"/>
  <c r="J4436" i="5"/>
  <c r="K4436" i="5"/>
  <c r="L4436" i="5"/>
  <c r="M4436" i="5"/>
  <c r="H4437" i="5"/>
  <c r="I4437" i="5"/>
  <c r="J4437" i="5"/>
  <c r="K4437" i="5"/>
  <c r="L4437" i="5"/>
  <c r="M4437" i="5"/>
  <c r="H4438" i="5"/>
  <c r="I4438" i="5"/>
  <c r="J4438" i="5"/>
  <c r="K4438" i="5"/>
  <c r="L4438" i="5"/>
  <c r="M4438" i="5"/>
  <c r="H4439" i="5"/>
  <c r="I4439" i="5"/>
  <c r="J4439" i="5"/>
  <c r="K4439" i="5"/>
  <c r="L4439" i="5"/>
  <c r="M4439" i="5"/>
  <c r="H4440" i="5"/>
  <c r="I4440" i="5"/>
  <c r="J4440" i="5"/>
  <c r="K4440" i="5"/>
  <c r="L4440" i="5"/>
  <c r="M4440" i="5"/>
  <c r="H4441" i="5"/>
  <c r="I4441" i="5"/>
  <c r="J4441" i="5"/>
  <c r="K4441" i="5"/>
  <c r="L4441" i="5"/>
  <c r="M4441" i="5"/>
  <c r="H4442" i="5"/>
  <c r="I4442" i="5"/>
  <c r="J4442" i="5"/>
  <c r="K4442" i="5"/>
  <c r="L4442" i="5"/>
  <c r="M4442" i="5"/>
  <c r="H4443" i="5"/>
  <c r="I4443" i="5"/>
  <c r="J4443" i="5"/>
  <c r="K4443" i="5"/>
  <c r="L4443" i="5"/>
  <c r="M4443" i="5"/>
  <c r="H4444" i="5"/>
  <c r="I4444" i="5"/>
  <c r="J4444" i="5"/>
  <c r="K4444" i="5"/>
  <c r="L4444" i="5"/>
  <c r="M4444" i="5"/>
  <c r="H4445" i="5"/>
  <c r="I4445" i="5"/>
  <c r="J4445" i="5"/>
  <c r="K4445" i="5"/>
  <c r="L4445" i="5"/>
  <c r="M4445" i="5"/>
  <c r="H4446" i="5"/>
  <c r="I4446" i="5"/>
  <c r="J4446" i="5"/>
  <c r="K4446" i="5"/>
  <c r="L4446" i="5"/>
  <c r="M4446" i="5"/>
  <c r="H4447" i="5"/>
  <c r="I4447" i="5"/>
  <c r="J4447" i="5"/>
  <c r="K4447" i="5"/>
  <c r="L4447" i="5"/>
  <c r="M4447" i="5"/>
  <c r="H4448" i="5"/>
  <c r="I4448" i="5"/>
  <c r="J4448" i="5"/>
  <c r="K4448" i="5"/>
  <c r="L4448" i="5"/>
  <c r="M4448" i="5"/>
  <c r="H4449" i="5"/>
  <c r="I4449" i="5"/>
  <c r="J4449" i="5"/>
  <c r="K4449" i="5"/>
  <c r="L4449" i="5"/>
  <c r="M4449" i="5"/>
  <c r="H4450" i="5"/>
  <c r="I4450" i="5"/>
  <c r="J4450" i="5"/>
  <c r="K4450" i="5"/>
  <c r="L4450" i="5"/>
  <c r="M4450" i="5"/>
  <c r="H4451" i="5"/>
  <c r="I4451" i="5"/>
  <c r="J4451" i="5"/>
  <c r="K4451" i="5"/>
  <c r="L4451" i="5"/>
  <c r="M4451" i="5"/>
  <c r="H4452" i="5"/>
  <c r="I4452" i="5"/>
  <c r="J4452" i="5"/>
  <c r="K4452" i="5"/>
  <c r="L4452" i="5"/>
  <c r="M4452" i="5"/>
  <c r="H4453" i="5"/>
  <c r="I4453" i="5"/>
  <c r="J4453" i="5"/>
  <c r="K4453" i="5"/>
  <c r="L4453" i="5"/>
  <c r="M4453" i="5"/>
  <c r="H4454" i="5"/>
  <c r="I4454" i="5"/>
  <c r="J4454" i="5"/>
  <c r="K4454" i="5"/>
  <c r="L4454" i="5"/>
  <c r="M4454" i="5"/>
  <c r="H4455" i="5"/>
  <c r="I4455" i="5"/>
  <c r="J4455" i="5"/>
  <c r="K4455" i="5"/>
  <c r="L4455" i="5"/>
  <c r="M4455" i="5"/>
  <c r="H4456" i="5"/>
  <c r="I4456" i="5"/>
  <c r="J4456" i="5"/>
  <c r="K4456" i="5"/>
  <c r="L4456" i="5"/>
  <c r="M4456" i="5"/>
  <c r="H4457" i="5"/>
  <c r="I4457" i="5"/>
  <c r="J4457" i="5"/>
  <c r="K4457" i="5"/>
  <c r="L4457" i="5"/>
  <c r="M4457" i="5"/>
  <c r="H4458" i="5"/>
  <c r="I4458" i="5"/>
  <c r="J4458" i="5"/>
  <c r="K4458" i="5"/>
  <c r="L4458" i="5"/>
  <c r="M4458" i="5"/>
  <c r="H4459" i="5"/>
  <c r="I4459" i="5"/>
  <c r="J4459" i="5"/>
  <c r="K4459" i="5"/>
  <c r="L4459" i="5"/>
  <c r="M4459" i="5"/>
  <c r="H4460" i="5"/>
  <c r="I4460" i="5"/>
  <c r="J4460" i="5"/>
  <c r="K4460" i="5"/>
  <c r="L4460" i="5"/>
  <c r="M4460" i="5"/>
  <c r="H4461" i="5"/>
  <c r="I4461" i="5"/>
  <c r="J4461" i="5"/>
  <c r="K4461" i="5"/>
  <c r="L4461" i="5"/>
  <c r="M4461" i="5"/>
  <c r="H4462" i="5"/>
  <c r="I4462" i="5"/>
  <c r="J4462" i="5"/>
  <c r="K4462" i="5"/>
  <c r="L4462" i="5"/>
  <c r="M4462" i="5"/>
  <c r="H4463" i="5"/>
  <c r="I4463" i="5"/>
  <c r="J4463" i="5"/>
  <c r="K4463" i="5"/>
  <c r="L4463" i="5"/>
  <c r="M4463" i="5"/>
  <c r="H4464" i="5"/>
  <c r="I4464" i="5"/>
  <c r="J4464" i="5"/>
  <c r="K4464" i="5"/>
  <c r="L4464" i="5"/>
  <c r="M4464" i="5"/>
  <c r="H4465" i="5"/>
  <c r="I4465" i="5"/>
  <c r="J4465" i="5"/>
  <c r="K4465" i="5"/>
  <c r="L4465" i="5"/>
  <c r="M4465" i="5"/>
  <c r="H4466" i="5"/>
  <c r="I4466" i="5"/>
  <c r="J4466" i="5"/>
  <c r="K4466" i="5"/>
  <c r="L4466" i="5"/>
  <c r="M4466" i="5"/>
  <c r="H4467" i="5"/>
  <c r="I4467" i="5"/>
  <c r="J4467" i="5"/>
  <c r="K4467" i="5"/>
  <c r="L4467" i="5"/>
  <c r="M4467" i="5"/>
  <c r="H4468" i="5"/>
  <c r="I4468" i="5"/>
  <c r="J4468" i="5"/>
  <c r="K4468" i="5"/>
  <c r="L4468" i="5"/>
  <c r="M4468" i="5"/>
  <c r="H4469" i="5"/>
  <c r="I4469" i="5"/>
  <c r="J4469" i="5"/>
  <c r="K4469" i="5"/>
  <c r="L4469" i="5"/>
  <c r="M4469" i="5"/>
  <c r="H4470" i="5"/>
  <c r="I4470" i="5"/>
  <c r="J4470" i="5"/>
  <c r="K4470" i="5"/>
  <c r="L4470" i="5"/>
  <c r="M4470" i="5"/>
  <c r="H4471" i="5"/>
  <c r="I4471" i="5"/>
  <c r="J4471" i="5"/>
  <c r="K4471" i="5"/>
  <c r="L4471" i="5"/>
  <c r="M4471" i="5"/>
  <c r="H4472" i="5"/>
  <c r="I4472" i="5"/>
  <c r="J4472" i="5"/>
  <c r="K4472" i="5"/>
  <c r="L4472" i="5"/>
  <c r="M4472" i="5"/>
  <c r="H4473" i="5"/>
  <c r="I4473" i="5"/>
  <c r="J4473" i="5"/>
  <c r="K4473" i="5"/>
  <c r="L4473" i="5"/>
  <c r="M4473" i="5"/>
  <c r="H4474" i="5"/>
  <c r="I4474" i="5"/>
  <c r="J4474" i="5"/>
  <c r="K4474" i="5"/>
  <c r="L4474" i="5"/>
  <c r="M4474" i="5"/>
  <c r="H4475" i="5"/>
  <c r="I4475" i="5"/>
  <c r="J4475" i="5"/>
  <c r="K4475" i="5"/>
  <c r="L4475" i="5"/>
  <c r="M4475" i="5"/>
  <c r="H4476" i="5"/>
  <c r="I4476" i="5"/>
  <c r="J4476" i="5"/>
  <c r="K4476" i="5"/>
  <c r="L4476" i="5"/>
  <c r="M4476" i="5"/>
  <c r="H4477" i="5"/>
  <c r="I4477" i="5"/>
  <c r="J4477" i="5"/>
  <c r="K4477" i="5"/>
  <c r="L4477" i="5"/>
  <c r="M4477" i="5"/>
  <c r="H4478" i="5"/>
  <c r="I4478" i="5"/>
  <c r="J4478" i="5"/>
  <c r="K4478" i="5"/>
  <c r="L4478" i="5"/>
  <c r="M4478" i="5"/>
  <c r="H4479" i="5"/>
  <c r="I4479" i="5"/>
  <c r="J4479" i="5"/>
  <c r="K4479" i="5"/>
  <c r="L4479" i="5"/>
  <c r="M4479" i="5"/>
  <c r="H4480" i="5"/>
  <c r="I4480" i="5"/>
  <c r="J4480" i="5"/>
  <c r="K4480" i="5"/>
  <c r="L4480" i="5"/>
  <c r="M4480" i="5"/>
  <c r="H4481" i="5"/>
  <c r="I4481" i="5"/>
  <c r="J4481" i="5"/>
  <c r="K4481" i="5"/>
  <c r="L4481" i="5"/>
  <c r="M4481" i="5"/>
  <c r="H4482" i="5"/>
  <c r="I4482" i="5"/>
  <c r="J4482" i="5"/>
  <c r="K4482" i="5"/>
  <c r="L4482" i="5"/>
  <c r="M4482" i="5"/>
  <c r="H4483" i="5"/>
  <c r="I4483" i="5"/>
  <c r="J4483" i="5"/>
  <c r="K4483" i="5"/>
  <c r="L4483" i="5"/>
  <c r="M4483" i="5"/>
  <c r="H4484" i="5"/>
  <c r="I4484" i="5"/>
  <c r="J4484" i="5"/>
  <c r="K4484" i="5"/>
  <c r="L4484" i="5"/>
  <c r="M4484" i="5"/>
  <c r="H4485" i="5"/>
  <c r="I4485" i="5"/>
  <c r="J4485" i="5"/>
  <c r="K4485" i="5"/>
  <c r="L4485" i="5"/>
  <c r="M4485" i="5"/>
  <c r="H4486" i="5"/>
  <c r="I4486" i="5"/>
  <c r="J4486" i="5"/>
  <c r="K4486" i="5"/>
  <c r="L4486" i="5"/>
  <c r="M4486" i="5"/>
  <c r="H4487" i="5"/>
  <c r="I4487" i="5"/>
  <c r="J4487" i="5"/>
  <c r="K4487" i="5"/>
  <c r="L4487" i="5"/>
  <c r="M4487" i="5"/>
  <c r="H4488" i="5"/>
  <c r="I4488" i="5"/>
  <c r="J4488" i="5"/>
  <c r="K4488" i="5"/>
  <c r="L4488" i="5"/>
  <c r="M4488" i="5"/>
  <c r="H4489" i="5"/>
  <c r="I4489" i="5"/>
  <c r="J4489" i="5"/>
  <c r="K4489" i="5"/>
  <c r="L4489" i="5"/>
  <c r="M4489" i="5"/>
  <c r="H4490" i="5"/>
  <c r="I4490" i="5"/>
  <c r="J4490" i="5"/>
  <c r="K4490" i="5"/>
  <c r="L4490" i="5"/>
  <c r="M4490" i="5"/>
  <c r="H4491" i="5"/>
  <c r="I4491" i="5"/>
  <c r="J4491" i="5"/>
  <c r="K4491" i="5"/>
  <c r="L4491" i="5"/>
  <c r="M4491" i="5"/>
  <c r="H4492" i="5"/>
  <c r="I4492" i="5"/>
  <c r="J4492" i="5"/>
  <c r="K4492" i="5"/>
  <c r="L4492" i="5"/>
  <c r="M4492" i="5"/>
  <c r="H4493" i="5"/>
  <c r="I4493" i="5"/>
  <c r="J4493" i="5"/>
  <c r="K4493" i="5"/>
  <c r="L4493" i="5"/>
  <c r="M4493" i="5"/>
  <c r="H4494" i="5"/>
  <c r="I4494" i="5"/>
  <c r="J4494" i="5"/>
  <c r="K4494" i="5"/>
  <c r="L4494" i="5"/>
  <c r="M4494" i="5"/>
  <c r="H4495" i="5"/>
  <c r="I4495" i="5"/>
  <c r="J4495" i="5"/>
  <c r="K4495" i="5"/>
  <c r="L4495" i="5"/>
  <c r="M4495" i="5"/>
  <c r="H4496" i="5"/>
  <c r="I4496" i="5"/>
  <c r="J4496" i="5"/>
  <c r="K4496" i="5"/>
  <c r="L4496" i="5"/>
  <c r="M4496" i="5"/>
  <c r="H4497" i="5"/>
  <c r="I4497" i="5"/>
  <c r="J4497" i="5"/>
  <c r="K4497" i="5"/>
  <c r="L4497" i="5"/>
  <c r="M4497" i="5"/>
  <c r="H4498" i="5"/>
  <c r="I4498" i="5"/>
  <c r="J4498" i="5"/>
  <c r="K4498" i="5"/>
  <c r="L4498" i="5"/>
  <c r="M4498" i="5"/>
  <c r="H4499" i="5"/>
  <c r="I4499" i="5"/>
  <c r="J4499" i="5"/>
  <c r="K4499" i="5"/>
  <c r="L4499" i="5"/>
  <c r="M4499" i="5"/>
  <c r="H4500" i="5"/>
  <c r="I4500" i="5"/>
  <c r="J4500" i="5"/>
  <c r="K4500" i="5"/>
  <c r="L4500" i="5"/>
  <c r="M4500" i="5"/>
  <c r="H4501" i="5"/>
  <c r="I4501" i="5"/>
  <c r="J4501" i="5"/>
  <c r="K4501" i="5"/>
  <c r="L4501" i="5"/>
  <c r="M4501" i="5"/>
  <c r="H4502" i="5"/>
  <c r="I4502" i="5"/>
  <c r="J4502" i="5"/>
  <c r="K4502" i="5"/>
  <c r="L4502" i="5"/>
  <c r="M4502" i="5"/>
  <c r="H4503" i="5"/>
  <c r="I4503" i="5"/>
  <c r="J4503" i="5"/>
  <c r="K4503" i="5"/>
  <c r="L4503" i="5"/>
  <c r="M4503" i="5"/>
  <c r="H4504" i="5"/>
  <c r="I4504" i="5"/>
  <c r="J4504" i="5"/>
  <c r="K4504" i="5"/>
  <c r="L4504" i="5"/>
  <c r="M4504" i="5"/>
  <c r="H4505" i="5"/>
  <c r="I4505" i="5"/>
  <c r="J4505" i="5"/>
  <c r="K4505" i="5"/>
  <c r="L4505" i="5"/>
  <c r="M4505" i="5"/>
  <c r="H4506" i="5"/>
  <c r="I4506" i="5"/>
  <c r="J4506" i="5"/>
  <c r="K4506" i="5"/>
  <c r="L4506" i="5"/>
  <c r="M4506" i="5"/>
  <c r="H4507" i="5"/>
  <c r="I4507" i="5"/>
  <c r="J4507" i="5"/>
  <c r="K4507" i="5"/>
  <c r="L4507" i="5"/>
  <c r="M4507" i="5"/>
  <c r="H4508" i="5"/>
  <c r="I4508" i="5"/>
  <c r="J4508" i="5"/>
  <c r="K4508" i="5"/>
  <c r="L4508" i="5"/>
  <c r="M4508" i="5"/>
  <c r="H4509" i="5"/>
  <c r="I4509" i="5"/>
  <c r="J4509" i="5"/>
  <c r="K4509" i="5"/>
  <c r="L4509" i="5"/>
  <c r="M4509" i="5"/>
  <c r="H4510" i="5"/>
  <c r="I4510" i="5"/>
  <c r="J4510" i="5"/>
  <c r="K4510" i="5"/>
  <c r="L4510" i="5"/>
  <c r="M4510" i="5"/>
  <c r="H4511" i="5"/>
  <c r="I4511" i="5"/>
  <c r="J4511" i="5"/>
  <c r="K4511" i="5"/>
  <c r="L4511" i="5"/>
  <c r="M4511" i="5"/>
  <c r="H4512" i="5"/>
  <c r="I4512" i="5"/>
  <c r="J4512" i="5"/>
  <c r="K4512" i="5"/>
  <c r="L4512" i="5"/>
  <c r="M4512" i="5"/>
  <c r="H4513" i="5"/>
  <c r="I4513" i="5"/>
  <c r="J4513" i="5"/>
  <c r="K4513" i="5"/>
  <c r="L4513" i="5"/>
  <c r="M4513" i="5"/>
  <c r="H4514" i="5"/>
  <c r="I4514" i="5"/>
  <c r="J4514" i="5"/>
  <c r="K4514" i="5"/>
  <c r="L4514" i="5"/>
  <c r="M4514" i="5"/>
  <c r="H4515" i="5"/>
  <c r="I4515" i="5"/>
  <c r="J4515" i="5"/>
  <c r="K4515" i="5"/>
  <c r="L4515" i="5"/>
  <c r="M4515" i="5"/>
  <c r="H4516" i="5"/>
  <c r="I4516" i="5"/>
  <c r="J4516" i="5"/>
  <c r="K4516" i="5"/>
  <c r="L4516" i="5"/>
  <c r="M4516" i="5"/>
  <c r="H4517" i="5"/>
  <c r="I4517" i="5"/>
  <c r="J4517" i="5"/>
  <c r="K4517" i="5"/>
  <c r="L4517" i="5"/>
  <c r="M4517" i="5"/>
  <c r="H4518" i="5"/>
  <c r="I4518" i="5"/>
  <c r="J4518" i="5"/>
  <c r="K4518" i="5"/>
  <c r="L4518" i="5"/>
  <c r="M4518" i="5"/>
  <c r="H4519" i="5"/>
  <c r="I4519" i="5"/>
  <c r="J4519" i="5"/>
  <c r="K4519" i="5"/>
  <c r="L4519" i="5"/>
  <c r="M4519" i="5"/>
  <c r="H4520" i="5"/>
  <c r="I4520" i="5"/>
  <c r="J4520" i="5"/>
  <c r="K4520" i="5"/>
  <c r="L4520" i="5"/>
  <c r="M4520" i="5"/>
  <c r="H4521" i="5"/>
  <c r="I4521" i="5"/>
  <c r="J4521" i="5"/>
  <c r="K4521" i="5"/>
  <c r="L4521" i="5"/>
  <c r="M4521" i="5"/>
  <c r="H4522" i="5"/>
  <c r="I4522" i="5"/>
  <c r="J4522" i="5"/>
  <c r="K4522" i="5"/>
  <c r="L4522" i="5"/>
  <c r="M4522" i="5"/>
  <c r="H4523" i="5"/>
  <c r="I4523" i="5"/>
  <c r="J4523" i="5"/>
  <c r="K4523" i="5"/>
  <c r="L4523" i="5"/>
  <c r="M4523" i="5"/>
  <c r="H4524" i="5"/>
  <c r="I4524" i="5"/>
  <c r="J4524" i="5"/>
  <c r="K4524" i="5"/>
  <c r="L4524" i="5"/>
  <c r="M4524" i="5"/>
  <c r="H4525" i="5"/>
  <c r="I4525" i="5"/>
  <c r="J4525" i="5"/>
  <c r="K4525" i="5"/>
  <c r="L4525" i="5"/>
  <c r="M4525" i="5"/>
  <c r="H4526" i="5"/>
  <c r="I4526" i="5"/>
  <c r="J4526" i="5"/>
  <c r="K4526" i="5"/>
  <c r="L4526" i="5"/>
  <c r="M4526" i="5"/>
  <c r="H4527" i="5"/>
  <c r="I4527" i="5"/>
  <c r="J4527" i="5"/>
  <c r="K4527" i="5"/>
  <c r="L4527" i="5"/>
  <c r="M4527" i="5"/>
  <c r="H4528" i="5"/>
  <c r="I4528" i="5"/>
  <c r="J4528" i="5"/>
  <c r="K4528" i="5"/>
  <c r="L4528" i="5"/>
  <c r="M4528" i="5"/>
  <c r="H4529" i="5"/>
  <c r="I4529" i="5"/>
  <c r="J4529" i="5"/>
  <c r="K4529" i="5"/>
  <c r="L4529" i="5"/>
  <c r="M4529" i="5"/>
  <c r="H4530" i="5"/>
  <c r="I4530" i="5"/>
  <c r="J4530" i="5"/>
  <c r="K4530" i="5"/>
  <c r="L4530" i="5"/>
  <c r="M4530" i="5"/>
  <c r="H4531" i="5"/>
  <c r="I4531" i="5"/>
  <c r="J4531" i="5"/>
  <c r="K4531" i="5"/>
  <c r="L4531" i="5"/>
  <c r="M4531" i="5"/>
  <c r="H4532" i="5"/>
  <c r="I4532" i="5"/>
  <c r="J4532" i="5"/>
  <c r="K4532" i="5"/>
  <c r="L4532" i="5"/>
  <c r="M4532" i="5"/>
  <c r="H4533" i="5"/>
  <c r="I4533" i="5"/>
  <c r="J4533" i="5"/>
  <c r="K4533" i="5"/>
  <c r="L4533" i="5"/>
  <c r="M4533" i="5"/>
  <c r="H4534" i="5"/>
  <c r="I4534" i="5"/>
  <c r="J4534" i="5"/>
  <c r="K4534" i="5"/>
  <c r="L4534" i="5"/>
  <c r="M4534" i="5"/>
  <c r="H4535" i="5"/>
  <c r="I4535" i="5"/>
  <c r="J4535" i="5"/>
  <c r="K4535" i="5"/>
  <c r="L4535" i="5"/>
  <c r="M4535" i="5"/>
  <c r="H4536" i="5"/>
  <c r="I4536" i="5"/>
  <c r="J4536" i="5"/>
  <c r="K4536" i="5"/>
  <c r="L4536" i="5"/>
  <c r="M4536" i="5"/>
  <c r="H4537" i="5"/>
  <c r="I4537" i="5"/>
  <c r="J4537" i="5"/>
  <c r="K4537" i="5"/>
  <c r="L4537" i="5"/>
  <c r="M4537" i="5"/>
  <c r="H4538" i="5"/>
  <c r="I4538" i="5"/>
  <c r="J4538" i="5"/>
  <c r="K4538" i="5"/>
  <c r="L4538" i="5"/>
  <c r="M4538" i="5"/>
  <c r="H4539" i="5"/>
  <c r="I4539" i="5"/>
  <c r="J4539" i="5"/>
  <c r="K4539" i="5"/>
  <c r="L4539" i="5"/>
  <c r="M4539" i="5"/>
  <c r="H4540" i="5"/>
  <c r="I4540" i="5"/>
  <c r="J4540" i="5"/>
  <c r="K4540" i="5"/>
  <c r="L4540" i="5"/>
  <c r="M4540" i="5"/>
  <c r="H4541" i="5"/>
  <c r="I4541" i="5"/>
  <c r="J4541" i="5"/>
  <c r="K4541" i="5"/>
  <c r="L4541" i="5"/>
  <c r="M4541" i="5"/>
  <c r="H4542" i="5"/>
  <c r="I4542" i="5"/>
  <c r="J4542" i="5"/>
  <c r="K4542" i="5"/>
  <c r="L4542" i="5"/>
  <c r="M4542" i="5"/>
  <c r="H4543" i="5"/>
  <c r="I4543" i="5"/>
  <c r="J4543" i="5"/>
  <c r="K4543" i="5"/>
  <c r="L4543" i="5"/>
  <c r="M4543" i="5"/>
  <c r="H4544" i="5"/>
  <c r="I4544" i="5"/>
  <c r="J4544" i="5"/>
  <c r="K4544" i="5"/>
  <c r="L4544" i="5"/>
  <c r="M4544" i="5"/>
  <c r="H4545" i="5"/>
  <c r="I4545" i="5"/>
  <c r="J4545" i="5"/>
  <c r="K4545" i="5"/>
  <c r="L4545" i="5"/>
  <c r="M4545" i="5"/>
  <c r="H4546" i="5"/>
  <c r="I4546" i="5"/>
  <c r="J4546" i="5"/>
  <c r="K4546" i="5"/>
  <c r="L4546" i="5"/>
  <c r="M4546" i="5"/>
  <c r="H4547" i="5"/>
  <c r="I4547" i="5"/>
  <c r="J4547" i="5"/>
  <c r="K4547" i="5"/>
  <c r="L4547" i="5"/>
  <c r="M4547" i="5"/>
  <c r="H4548" i="5"/>
  <c r="I4548" i="5"/>
  <c r="J4548" i="5"/>
  <c r="K4548" i="5"/>
  <c r="L4548" i="5"/>
  <c r="M4548" i="5"/>
  <c r="H4549" i="5"/>
  <c r="I4549" i="5"/>
  <c r="J4549" i="5"/>
  <c r="K4549" i="5"/>
  <c r="L4549" i="5"/>
  <c r="M4549" i="5"/>
  <c r="H4550" i="5"/>
  <c r="I4550" i="5"/>
  <c r="J4550" i="5"/>
  <c r="K4550" i="5"/>
  <c r="L4550" i="5"/>
  <c r="M4550" i="5"/>
  <c r="H4551" i="5"/>
  <c r="I4551" i="5"/>
  <c r="J4551" i="5"/>
  <c r="K4551" i="5"/>
  <c r="L4551" i="5"/>
  <c r="M4551" i="5"/>
  <c r="H4552" i="5"/>
  <c r="I4552" i="5"/>
  <c r="J4552" i="5"/>
  <c r="K4552" i="5"/>
  <c r="L4552" i="5"/>
  <c r="M4552" i="5"/>
  <c r="H4553" i="5"/>
  <c r="I4553" i="5"/>
  <c r="J4553" i="5"/>
  <c r="K4553" i="5"/>
  <c r="L4553" i="5"/>
  <c r="M4553" i="5"/>
  <c r="H4554" i="5"/>
  <c r="I4554" i="5"/>
  <c r="J4554" i="5"/>
  <c r="K4554" i="5"/>
  <c r="L4554" i="5"/>
  <c r="M4554" i="5"/>
  <c r="H4555" i="5"/>
  <c r="I4555" i="5"/>
  <c r="J4555" i="5"/>
  <c r="K4555" i="5"/>
  <c r="L4555" i="5"/>
  <c r="M4555" i="5"/>
  <c r="H4556" i="5"/>
  <c r="I4556" i="5"/>
  <c r="J4556" i="5"/>
  <c r="K4556" i="5"/>
  <c r="L4556" i="5"/>
  <c r="M4556" i="5"/>
  <c r="H4557" i="5"/>
  <c r="I4557" i="5"/>
  <c r="J4557" i="5"/>
  <c r="K4557" i="5"/>
  <c r="L4557" i="5"/>
  <c r="M4557" i="5"/>
  <c r="H4558" i="5"/>
  <c r="I4558" i="5"/>
  <c r="J4558" i="5"/>
  <c r="K4558" i="5"/>
  <c r="L4558" i="5"/>
  <c r="M4558" i="5"/>
  <c r="H4559" i="5"/>
  <c r="I4559" i="5"/>
  <c r="J4559" i="5"/>
  <c r="K4559" i="5"/>
  <c r="L4559" i="5"/>
  <c r="M4559" i="5"/>
  <c r="H4560" i="5"/>
  <c r="I4560" i="5"/>
  <c r="J4560" i="5"/>
  <c r="K4560" i="5"/>
  <c r="L4560" i="5"/>
  <c r="M4560" i="5"/>
  <c r="H4561" i="5"/>
  <c r="I4561" i="5"/>
  <c r="J4561" i="5"/>
  <c r="K4561" i="5"/>
  <c r="L4561" i="5"/>
  <c r="M4561" i="5"/>
  <c r="H4562" i="5"/>
  <c r="I4562" i="5"/>
  <c r="J4562" i="5"/>
  <c r="K4562" i="5"/>
  <c r="L4562" i="5"/>
  <c r="M4562" i="5"/>
  <c r="H4563" i="5"/>
  <c r="I4563" i="5"/>
  <c r="J4563" i="5"/>
  <c r="K4563" i="5"/>
  <c r="L4563" i="5"/>
  <c r="M4563" i="5"/>
  <c r="H4564" i="5"/>
  <c r="I4564" i="5"/>
  <c r="J4564" i="5"/>
  <c r="K4564" i="5"/>
  <c r="L4564" i="5"/>
  <c r="M4564" i="5"/>
  <c r="H4565" i="5"/>
  <c r="I4565" i="5"/>
  <c r="J4565" i="5"/>
  <c r="K4565" i="5"/>
  <c r="L4565" i="5"/>
  <c r="M4565" i="5"/>
  <c r="H4566" i="5"/>
  <c r="I4566" i="5"/>
  <c r="J4566" i="5"/>
  <c r="K4566" i="5"/>
  <c r="L4566" i="5"/>
  <c r="M4566" i="5"/>
  <c r="H4567" i="5"/>
  <c r="I4567" i="5"/>
  <c r="J4567" i="5"/>
  <c r="K4567" i="5"/>
  <c r="L4567" i="5"/>
  <c r="M4567" i="5"/>
  <c r="H4568" i="5"/>
  <c r="I4568" i="5"/>
  <c r="J4568" i="5"/>
  <c r="K4568" i="5"/>
  <c r="L4568" i="5"/>
  <c r="M4568" i="5"/>
  <c r="H4569" i="5"/>
  <c r="I4569" i="5"/>
  <c r="J4569" i="5"/>
  <c r="K4569" i="5"/>
  <c r="L4569" i="5"/>
  <c r="M4569" i="5"/>
  <c r="H4570" i="5"/>
  <c r="I4570" i="5"/>
  <c r="J4570" i="5"/>
  <c r="K4570" i="5"/>
  <c r="L4570" i="5"/>
  <c r="M4570" i="5"/>
  <c r="H4571" i="5"/>
  <c r="I4571" i="5"/>
  <c r="J4571" i="5"/>
  <c r="K4571" i="5"/>
  <c r="L4571" i="5"/>
  <c r="M4571" i="5"/>
  <c r="H4572" i="5"/>
  <c r="I4572" i="5"/>
  <c r="J4572" i="5"/>
  <c r="K4572" i="5"/>
  <c r="L4572" i="5"/>
  <c r="M4572" i="5"/>
  <c r="H4573" i="5"/>
  <c r="I4573" i="5"/>
  <c r="J4573" i="5"/>
  <c r="K4573" i="5"/>
  <c r="L4573" i="5"/>
  <c r="M4573" i="5"/>
  <c r="H4574" i="5"/>
  <c r="I4574" i="5"/>
  <c r="J4574" i="5"/>
  <c r="K4574" i="5"/>
  <c r="L4574" i="5"/>
  <c r="M4574" i="5"/>
  <c r="H4575" i="5"/>
  <c r="I4575" i="5"/>
  <c r="J4575" i="5"/>
  <c r="K4575" i="5"/>
  <c r="L4575" i="5"/>
  <c r="M4575" i="5"/>
  <c r="H4576" i="5"/>
  <c r="I4576" i="5"/>
  <c r="J4576" i="5"/>
  <c r="K4576" i="5"/>
  <c r="L4576" i="5"/>
  <c r="M4576" i="5"/>
  <c r="H4577" i="5"/>
  <c r="I4577" i="5"/>
  <c r="J4577" i="5"/>
  <c r="K4577" i="5"/>
  <c r="L4577" i="5"/>
  <c r="M4577" i="5"/>
  <c r="H4578" i="5"/>
  <c r="I4578" i="5"/>
  <c r="J4578" i="5"/>
  <c r="K4578" i="5"/>
  <c r="L4578" i="5"/>
  <c r="M4578" i="5"/>
  <c r="H4579" i="5"/>
  <c r="I4579" i="5"/>
  <c r="J4579" i="5"/>
  <c r="K4579" i="5"/>
  <c r="L4579" i="5"/>
  <c r="M4579" i="5"/>
  <c r="H4580" i="5"/>
  <c r="I4580" i="5"/>
  <c r="J4580" i="5"/>
  <c r="K4580" i="5"/>
  <c r="L4580" i="5"/>
  <c r="M4580" i="5"/>
  <c r="H4581" i="5"/>
  <c r="I4581" i="5"/>
  <c r="J4581" i="5"/>
  <c r="K4581" i="5"/>
  <c r="L4581" i="5"/>
  <c r="M4581" i="5"/>
  <c r="H4582" i="5"/>
  <c r="I4582" i="5"/>
  <c r="J4582" i="5"/>
  <c r="K4582" i="5"/>
  <c r="L4582" i="5"/>
  <c r="M4582" i="5"/>
  <c r="H4583" i="5"/>
  <c r="I4583" i="5"/>
  <c r="J4583" i="5"/>
  <c r="K4583" i="5"/>
  <c r="L4583" i="5"/>
  <c r="M4583" i="5"/>
  <c r="H4584" i="5"/>
  <c r="I4584" i="5"/>
  <c r="J4584" i="5"/>
  <c r="K4584" i="5"/>
  <c r="L4584" i="5"/>
  <c r="M4584" i="5"/>
  <c r="H4585" i="5"/>
  <c r="I4585" i="5"/>
  <c r="J4585" i="5"/>
  <c r="K4585" i="5"/>
  <c r="L4585" i="5"/>
  <c r="M4585" i="5"/>
  <c r="H4586" i="5"/>
  <c r="I4586" i="5"/>
  <c r="J4586" i="5"/>
  <c r="K4586" i="5"/>
  <c r="L4586" i="5"/>
  <c r="M4586" i="5"/>
  <c r="H4587" i="5"/>
  <c r="I4587" i="5"/>
  <c r="J4587" i="5"/>
  <c r="K4587" i="5"/>
  <c r="L4587" i="5"/>
  <c r="M4587" i="5"/>
  <c r="H4588" i="5"/>
  <c r="I4588" i="5"/>
  <c r="J4588" i="5"/>
  <c r="K4588" i="5"/>
  <c r="L4588" i="5"/>
  <c r="M4588" i="5"/>
  <c r="H4589" i="5"/>
  <c r="I4589" i="5"/>
  <c r="J4589" i="5"/>
  <c r="K4589" i="5"/>
  <c r="L4589" i="5"/>
  <c r="M4589" i="5"/>
  <c r="H4590" i="5"/>
  <c r="I4590" i="5"/>
  <c r="J4590" i="5"/>
  <c r="K4590" i="5"/>
  <c r="L4590" i="5"/>
  <c r="M4590" i="5"/>
  <c r="H4591" i="5"/>
  <c r="I4591" i="5"/>
  <c r="J4591" i="5"/>
  <c r="K4591" i="5"/>
  <c r="L4591" i="5"/>
  <c r="M4591" i="5"/>
  <c r="H4592" i="5"/>
  <c r="I4592" i="5"/>
  <c r="J4592" i="5"/>
  <c r="K4592" i="5"/>
  <c r="L4592" i="5"/>
  <c r="M4592" i="5"/>
  <c r="H4593" i="5"/>
  <c r="I4593" i="5"/>
  <c r="J4593" i="5"/>
  <c r="K4593" i="5"/>
  <c r="L4593" i="5"/>
  <c r="M4593" i="5"/>
  <c r="H4594" i="5"/>
  <c r="I4594" i="5"/>
  <c r="J4594" i="5"/>
  <c r="K4594" i="5"/>
  <c r="L4594" i="5"/>
  <c r="M4594" i="5"/>
  <c r="H4595" i="5"/>
  <c r="I4595" i="5"/>
  <c r="J4595" i="5"/>
  <c r="K4595" i="5"/>
  <c r="L4595" i="5"/>
  <c r="M4595" i="5"/>
  <c r="H4596" i="5"/>
  <c r="I4596" i="5"/>
  <c r="J4596" i="5"/>
  <c r="K4596" i="5"/>
  <c r="L4596" i="5"/>
  <c r="M4596" i="5"/>
  <c r="H4597" i="5"/>
  <c r="I4597" i="5"/>
  <c r="J4597" i="5"/>
  <c r="K4597" i="5"/>
  <c r="L4597" i="5"/>
  <c r="M4597" i="5"/>
  <c r="H4598" i="5"/>
  <c r="I4598" i="5"/>
  <c r="J4598" i="5"/>
  <c r="K4598" i="5"/>
  <c r="L4598" i="5"/>
  <c r="M4598" i="5"/>
  <c r="H4599" i="5"/>
  <c r="I4599" i="5"/>
  <c r="J4599" i="5"/>
  <c r="K4599" i="5"/>
  <c r="L4599" i="5"/>
  <c r="M4599" i="5"/>
  <c r="H4600" i="5"/>
  <c r="I4600" i="5"/>
  <c r="J4600" i="5"/>
  <c r="K4600" i="5"/>
  <c r="L4600" i="5"/>
  <c r="M4600" i="5"/>
  <c r="H4601" i="5"/>
  <c r="I4601" i="5"/>
  <c r="J4601" i="5"/>
  <c r="K4601" i="5"/>
  <c r="L4601" i="5"/>
  <c r="M4601" i="5"/>
  <c r="H4602" i="5"/>
  <c r="I4602" i="5"/>
  <c r="J4602" i="5"/>
  <c r="K4602" i="5"/>
  <c r="L4602" i="5"/>
  <c r="M4602" i="5"/>
  <c r="H4603" i="5"/>
  <c r="I4603" i="5"/>
  <c r="J4603" i="5"/>
  <c r="K4603" i="5"/>
  <c r="L4603" i="5"/>
  <c r="M4603" i="5"/>
  <c r="H4604" i="5"/>
  <c r="I4604" i="5"/>
  <c r="J4604" i="5"/>
  <c r="K4604" i="5"/>
  <c r="L4604" i="5"/>
  <c r="M4604" i="5"/>
  <c r="H4605" i="5"/>
  <c r="I4605" i="5"/>
  <c r="J4605" i="5"/>
  <c r="K4605" i="5"/>
  <c r="L4605" i="5"/>
  <c r="M4605" i="5"/>
  <c r="H4606" i="5"/>
  <c r="I4606" i="5"/>
  <c r="J4606" i="5"/>
  <c r="K4606" i="5"/>
  <c r="L4606" i="5"/>
  <c r="M4606" i="5"/>
  <c r="H4607" i="5"/>
  <c r="I4607" i="5"/>
  <c r="J4607" i="5"/>
  <c r="K4607" i="5"/>
  <c r="L4607" i="5"/>
  <c r="M4607" i="5"/>
  <c r="H4608" i="5"/>
  <c r="I4608" i="5"/>
  <c r="J4608" i="5"/>
  <c r="K4608" i="5"/>
  <c r="L4608" i="5"/>
  <c r="M4608" i="5"/>
  <c r="H4609" i="5"/>
  <c r="I4609" i="5"/>
  <c r="J4609" i="5"/>
  <c r="K4609" i="5"/>
  <c r="L4609" i="5"/>
  <c r="M4609" i="5"/>
  <c r="H4610" i="5"/>
  <c r="I4610" i="5"/>
  <c r="J4610" i="5"/>
  <c r="K4610" i="5"/>
  <c r="L4610" i="5"/>
  <c r="M4610" i="5"/>
  <c r="H4611" i="5"/>
  <c r="I4611" i="5"/>
  <c r="J4611" i="5"/>
  <c r="K4611" i="5"/>
  <c r="L4611" i="5"/>
  <c r="M4611" i="5"/>
  <c r="H4612" i="5"/>
  <c r="I4612" i="5"/>
  <c r="J4612" i="5"/>
  <c r="K4612" i="5"/>
  <c r="L4612" i="5"/>
  <c r="M4612" i="5"/>
  <c r="H4613" i="5"/>
  <c r="I4613" i="5"/>
  <c r="J4613" i="5"/>
  <c r="K4613" i="5"/>
  <c r="L4613" i="5"/>
  <c r="M4613" i="5"/>
  <c r="H4614" i="5"/>
  <c r="I4614" i="5"/>
  <c r="J4614" i="5"/>
  <c r="K4614" i="5"/>
  <c r="L4614" i="5"/>
  <c r="M4614" i="5"/>
  <c r="H4615" i="5"/>
  <c r="I4615" i="5"/>
  <c r="J4615" i="5"/>
  <c r="K4615" i="5"/>
  <c r="L4615" i="5"/>
  <c r="M4615" i="5"/>
  <c r="H4616" i="5"/>
  <c r="I4616" i="5"/>
  <c r="J4616" i="5"/>
  <c r="K4616" i="5"/>
  <c r="L4616" i="5"/>
  <c r="M4616" i="5"/>
  <c r="H4617" i="5"/>
  <c r="I4617" i="5"/>
  <c r="J4617" i="5"/>
  <c r="K4617" i="5"/>
  <c r="L4617" i="5"/>
  <c r="M4617" i="5"/>
  <c r="H4618" i="5"/>
  <c r="I4618" i="5"/>
  <c r="J4618" i="5"/>
  <c r="K4618" i="5"/>
  <c r="L4618" i="5"/>
  <c r="M4618" i="5"/>
  <c r="H4619" i="5"/>
  <c r="I4619" i="5"/>
  <c r="J4619" i="5"/>
  <c r="K4619" i="5"/>
  <c r="L4619" i="5"/>
  <c r="M4619" i="5"/>
  <c r="H4620" i="5"/>
  <c r="I4620" i="5"/>
  <c r="J4620" i="5"/>
  <c r="K4620" i="5"/>
  <c r="L4620" i="5"/>
  <c r="M4620" i="5"/>
  <c r="H4621" i="5"/>
  <c r="I4621" i="5"/>
  <c r="J4621" i="5"/>
  <c r="K4621" i="5"/>
  <c r="L4621" i="5"/>
  <c r="M4621" i="5"/>
  <c r="H4622" i="5"/>
  <c r="I4622" i="5"/>
  <c r="J4622" i="5"/>
  <c r="K4622" i="5"/>
  <c r="L4622" i="5"/>
  <c r="M4622" i="5"/>
  <c r="H4623" i="5"/>
  <c r="I4623" i="5"/>
  <c r="J4623" i="5"/>
  <c r="K4623" i="5"/>
  <c r="L4623" i="5"/>
  <c r="M4623" i="5"/>
  <c r="H4624" i="5"/>
  <c r="I4624" i="5"/>
  <c r="J4624" i="5"/>
  <c r="K4624" i="5"/>
  <c r="L4624" i="5"/>
  <c r="M4624" i="5"/>
  <c r="H4625" i="5"/>
  <c r="I4625" i="5"/>
  <c r="J4625" i="5"/>
  <c r="K4625" i="5"/>
  <c r="L4625" i="5"/>
  <c r="M4625" i="5"/>
  <c r="H4626" i="5"/>
  <c r="I4626" i="5"/>
  <c r="J4626" i="5"/>
  <c r="K4626" i="5"/>
  <c r="L4626" i="5"/>
  <c r="M4626" i="5"/>
  <c r="H4627" i="5"/>
  <c r="I4627" i="5"/>
  <c r="J4627" i="5"/>
  <c r="K4627" i="5"/>
  <c r="L4627" i="5"/>
  <c r="M4627" i="5"/>
  <c r="H4628" i="5"/>
  <c r="I4628" i="5"/>
  <c r="J4628" i="5"/>
  <c r="K4628" i="5"/>
  <c r="L4628" i="5"/>
  <c r="M4628" i="5"/>
  <c r="H4629" i="5"/>
  <c r="I4629" i="5"/>
  <c r="J4629" i="5"/>
  <c r="K4629" i="5"/>
  <c r="L4629" i="5"/>
  <c r="M4629" i="5"/>
  <c r="H4630" i="5"/>
  <c r="I4630" i="5"/>
  <c r="J4630" i="5"/>
  <c r="K4630" i="5"/>
  <c r="L4630" i="5"/>
  <c r="M4630" i="5"/>
  <c r="H4631" i="5"/>
  <c r="I4631" i="5"/>
  <c r="J4631" i="5"/>
  <c r="K4631" i="5"/>
  <c r="L4631" i="5"/>
  <c r="M4631" i="5"/>
  <c r="H4632" i="5"/>
  <c r="I4632" i="5"/>
  <c r="J4632" i="5"/>
  <c r="K4632" i="5"/>
  <c r="L4632" i="5"/>
  <c r="M4632" i="5"/>
  <c r="H4633" i="5"/>
  <c r="I4633" i="5"/>
  <c r="J4633" i="5"/>
  <c r="K4633" i="5"/>
  <c r="L4633" i="5"/>
  <c r="M4633" i="5"/>
  <c r="H4634" i="5"/>
  <c r="I4634" i="5"/>
  <c r="J4634" i="5"/>
  <c r="K4634" i="5"/>
  <c r="L4634" i="5"/>
  <c r="M4634" i="5"/>
  <c r="H4635" i="5"/>
  <c r="I4635" i="5"/>
  <c r="J4635" i="5"/>
  <c r="K4635" i="5"/>
  <c r="L4635" i="5"/>
  <c r="M4635" i="5"/>
  <c r="H4636" i="5"/>
  <c r="I4636" i="5"/>
  <c r="J4636" i="5"/>
  <c r="K4636" i="5"/>
  <c r="L4636" i="5"/>
  <c r="M4636" i="5"/>
  <c r="H4637" i="5"/>
  <c r="I4637" i="5"/>
  <c r="J4637" i="5"/>
  <c r="K4637" i="5"/>
  <c r="L4637" i="5"/>
  <c r="M4637" i="5"/>
  <c r="H4638" i="5"/>
  <c r="I4638" i="5"/>
  <c r="J4638" i="5"/>
  <c r="K4638" i="5"/>
  <c r="L4638" i="5"/>
  <c r="M4638" i="5"/>
  <c r="H4639" i="5"/>
  <c r="I4639" i="5"/>
  <c r="J4639" i="5"/>
  <c r="K4639" i="5"/>
  <c r="L4639" i="5"/>
  <c r="M4639" i="5"/>
  <c r="H4640" i="5"/>
  <c r="I4640" i="5"/>
  <c r="J4640" i="5"/>
  <c r="K4640" i="5"/>
  <c r="L4640" i="5"/>
  <c r="M4640" i="5"/>
  <c r="H4641" i="5"/>
  <c r="I4641" i="5"/>
  <c r="J4641" i="5"/>
  <c r="K4641" i="5"/>
  <c r="L4641" i="5"/>
  <c r="M4641" i="5"/>
  <c r="H4642" i="5"/>
  <c r="I4642" i="5"/>
  <c r="J4642" i="5"/>
  <c r="K4642" i="5"/>
  <c r="L4642" i="5"/>
  <c r="M4642" i="5"/>
  <c r="H4643" i="5"/>
  <c r="I4643" i="5"/>
  <c r="J4643" i="5"/>
  <c r="K4643" i="5"/>
  <c r="L4643" i="5"/>
  <c r="M4643" i="5"/>
  <c r="H4644" i="5"/>
  <c r="I4644" i="5"/>
  <c r="J4644" i="5"/>
  <c r="K4644" i="5"/>
  <c r="L4644" i="5"/>
  <c r="M4644" i="5"/>
  <c r="H4645" i="5"/>
  <c r="I4645" i="5"/>
  <c r="J4645" i="5"/>
  <c r="K4645" i="5"/>
  <c r="L4645" i="5"/>
  <c r="M4645" i="5"/>
  <c r="H4646" i="5"/>
  <c r="I4646" i="5"/>
  <c r="J4646" i="5"/>
  <c r="K4646" i="5"/>
  <c r="L4646" i="5"/>
  <c r="M4646" i="5"/>
  <c r="H4647" i="5"/>
  <c r="I4647" i="5"/>
  <c r="J4647" i="5"/>
  <c r="K4647" i="5"/>
  <c r="L4647" i="5"/>
  <c r="M4647" i="5"/>
  <c r="H4648" i="5"/>
  <c r="I4648" i="5"/>
  <c r="J4648" i="5"/>
  <c r="K4648" i="5"/>
  <c r="L4648" i="5"/>
  <c r="M4648" i="5"/>
  <c r="H4649" i="5"/>
  <c r="I4649" i="5"/>
  <c r="J4649" i="5"/>
  <c r="K4649" i="5"/>
  <c r="L4649" i="5"/>
  <c r="M4649" i="5"/>
  <c r="H4650" i="5"/>
  <c r="I4650" i="5"/>
  <c r="J4650" i="5"/>
  <c r="K4650" i="5"/>
  <c r="L4650" i="5"/>
  <c r="M4650" i="5"/>
  <c r="H4651" i="5"/>
  <c r="I4651" i="5"/>
  <c r="J4651" i="5"/>
  <c r="K4651" i="5"/>
  <c r="L4651" i="5"/>
  <c r="M4651" i="5"/>
  <c r="H4652" i="5"/>
  <c r="I4652" i="5"/>
  <c r="J4652" i="5"/>
  <c r="K4652" i="5"/>
  <c r="L4652" i="5"/>
  <c r="M4652" i="5"/>
  <c r="H4653" i="5"/>
  <c r="I4653" i="5"/>
  <c r="J4653" i="5"/>
  <c r="K4653" i="5"/>
  <c r="L4653" i="5"/>
  <c r="M4653" i="5"/>
  <c r="H4654" i="5"/>
  <c r="I4654" i="5"/>
  <c r="J4654" i="5"/>
  <c r="K4654" i="5"/>
  <c r="L4654" i="5"/>
  <c r="M4654" i="5"/>
  <c r="H4655" i="5"/>
  <c r="I4655" i="5"/>
  <c r="J4655" i="5"/>
  <c r="K4655" i="5"/>
  <c r="L4655" i="5"/>
  <c r="M4655" i="5"/>
  <c r="H4656" i="5"/>
  <c r="I4656" i="5"/>
  <c r="J4656" i="5"/>
  <c r="K4656" i="5"/>
  <c r="L4656" i="5"/>
  <c r="M4656" i="5"/>
  <c r="H4657" i="5"/>
  <c r="I4657" i="5"/>
  <c r="J4657" i="5"/>
  <c r="K4657" i="5"/>
  <c r="L4657" i="5"/>
  <c r="M4657" i="5"/>
  <c r="H4658" i="5"/>
  <c r="I4658" i="5"/>
  <c r="J4658" i="5"/>
  <c r="K4658" i="5"/>
  <c r="L4658" i="5"/>
  <c r="M4658" i="5"/>
  <c r="H4659" i="5"/>
  <c r="I4659" i="5"/>
  <c r="J4659" i="5"/>
  <c r="K4659" i="5"/>
  <c r="L4659" i="5"/>
  <c r="M4659" i="5"/>
  <c r="H4660" i="5"/>
  <c r="I4660" i="5"/>
  <c r="J4660" i="5"/>
  <c r="K4660" i="5"/>
  <c r="L4660" i="5"/>
  <c r="M4660" i="5"/>
  <c r="H4661" i="5"/>
  <c r="I4661" i="5"/>
  <c r="J4661" i="5"/>
  <c r="K4661" i="5"/>
  <c r="L4661" i="5"/>
  <c r="M4661" i="5"/>
  <c r="H4662" i="5"/>
  <c r="I4662" i="5"/>
  <c r="J4662" i="5"/>
  <c r="K4662" i="5"/>
  <c r="L4662" i="5"/>
  <c r="M4662" i="5"/>
  <c r="H4663" i="5"/>
  <c r="I4663" i="5"/>
  <c r="J4663" i="5"/>
  <c r="K4663" i="5"/>
  <c r="L4663" i="5"/>
  <c r="M4663" i="5"/>
  <c r="H4664" i="5"/>
  <c r="I4664" i="5"/>
  <c r="J4664" i="5"/>
  <c r="K4664" i="5"/>
  <c r="L4664" i="5"/>
  <c r="M4664" i="5"/>
  <c r="H4665" i="5"/>
  <c r="I4665" i="5"/>
  <c r="J4665" i="5"/>
  <c r="K4665" i="5"/>
  <c r="L4665" i="5"/>
  <c r="M4665" i="5"/>
  <c r="H4666" i="5"/>
  <c r="I4666" i="5"/>
  <c r="J4666" i="5"/>
  <c r="K4666" i="5"/>
  <c r="L4666" i="5"/>
  <c r="M4666" i="5"/>
  <c r="H4667" i="5"/>
  <c r="I4667" i="5"/>
  <c r="J4667" i="5"/>
  <c r="K4667" i="5"/>
  <c r="L4667" i="5"/>
  <c r="M4667" i="5"/>
  <c r="H4668" i="5"/>
  <c r="I4668" i="5"/>
  <c r="J4668" i="5"/>
  <c r="K4668" i="5"/>
  <c r="L4668" i="5"/>
  <c r="M4668" i="5"/>
  <c r="H4669" i="5"/>
  <c r="I4669" i="5"/>
  <c r="J4669" i="5"/>
  <c r="K4669" i="5"/>
  <c r="L4669" i="5"/>
  <c r="M4669" i="5"/>
  <c r="H4670" i="5"/>
  <c r="I4670" i="5"/>
  <c r="J4670" i="5"/>
  <c r="K4670" i="5"/>
  <c r="L4670" i="5"/>
  <c r="M4670" i="5"/>
  <c r="H4671" i="5"/>
  <c r="I4671" i="5"/>
  <c r="J4671" i="5"/>
  <c r="K4671" i="5"/>
  <c r="L4671" i="5"/>
  <c r="M4671" i="5"/>
  <c r="H4672" i="5"/>
  <c r="I4672" i="5"/>
  <c r="J4672" i="5"/>
  <c r="K4672" i="5"/>
  <c r="L4672" i="5"/>
  <c r="M4672" i="5"/>
  <c r="H4673" i="5"/>
  <c r="I4673" i="5"/>
  <c r="J4673" i="5"/>
  <c r="K4673" i="5"/>
  <c r="L4673" i="5"/>
  <c r="M4673" i="5"/>
  <c r="H4674" i="5"/>
  <c r="I4674" i="5"/>
  <c r="J4674" i="5"/>
  <c r="K4674" i="5"/>
  <c r="L4674" i="5"/>
  <c r="M4674" i="5"/>
  <c r="H4675" i="5"/>
  <c r="I4675" i="5"/>
  <c r="J4675" i="5"/>
  <c r="K4675" i="5"/>
  <c r="L4675" i="5"/>
  <c r="M4675" i="5"/>
  <c r="H4676" i="5"/>
  <c r="I4676" i="5"/>
  <c r="J4676" i="5"/>
  <c r="K4676" i="5"/>
  <c r="L4676" i="5"/>
  <c r="M4676" i="5"/>
  <c r="H4677" i="5"/>
  <c r="I4677" i="5"/>
  <c r="J4677" i="5"/>
  <c r="K4677" i="5"/>
  <c r="L4677" i="5"/>
  <c r="M4677" i="5"/>
  <c r="H4678" i="5"/>
  <c r="I4678" i="5"/>
  <c r="J4678" i="5"/>
  <c r="K4678" i="5"/>
  <c r="L4678" i="5"/>
  <c r="M4678" i="5"/>
  <c r="H4679" i="5"/>
  <c r="I4679" i="5"/>
  <c r="J4679" i="5"/>
  <c r="K4679" i="5"/>
  <c r="L4679" i="5"/>
  <c r="M4679" i="5"/>
  <c r="H4680" i="5"/>
  <c r="I4680" i="5"/>
  <c r="J4680" i="5"/>
  <c r="K4680" i="5"/>
  <c r="L4680" i="5"/>
  <c r="M4680" i="5"/>
  <c r="H4681" i="5"/>
  <c r="I4681" i="5"/>
  <c r="J4681" i="5"/>
  <c r="K4681" i="5"/>
  <c r="L4681" i="5"/>
  <c r="M4681" i="5"/>
  <c r="H4682" i="5"/>
  <c r="I4682" i="5"/>
  <c r="J4682" i="5"/>
  <c r="K4682" i="5"/>
  <c r="L4682" i="5"/>
  <c r="M4682" i="5"/>
  <c r="H4683" i="5"/>
  <c r="I4683" i="5"/>
  <c r="J4683" i="5"/>
  <c r="K4683" i="5"/>
  <c r="L4683" i="5"/>
  <c r="M4683" i="5"/>
  <c r="H4684" i="5"/>
  <c r="I4684" i="5"/>
  <c r="J4684" i="5"/>
  <c r="K4684" i="5"/>
  <c r="L4684" i="5"/>
  <c r="M4684" i="5"/>
  <c r="H4685" i="5"/>
  <c r="I4685" i="5"/>
  <c r="J4685" i="5"/>
  <c r="K4685" i="5"/>
  <c r="L4685" i="5"/>
  <c r="M4685" i="5"/>
  <c r="H4686" i="5"/>
  <c r="I4686" i="5"/>
  <c r="J4686" i="5"/>
  <c r="K4686" i="5"/>
  <c r="L4686" i="5"/>
  <c r="M4686" i="5"/>
  <c r="H4687" i="5"/>
  <c r="I4687" i="5"/>
  <c r="J4687" i="5"/>
  <c r="K4687" i="5"/>
  <c r="L4687" i="5"/>
  <c r="M4687" i="5"/>
  <c r="H4688" i="5"/>
  <c r="I4688" i="5"/>
  <c r="J4688" i="5"/>
  <c r="K4688" i="5"/>
  <c r="L4688" i="5"/>
  <c r="M4688" i="5"/>
  <c r="H4689" i="5"/>
  <c r="I4689" i="5"/>
  <c r="J4689" i="5"/>
  <c r="K4689" i="5"/>
  <c r="L4689" i="5"/>
  <c r="M4689" i="5"/>
  <c r="H4690" i="5"/>
  <c r="I4690" i="5"/>
  <c r="J4690" i="5"/>
  <c r="K4690" i="5"/>
  <c r="L4690" i="5"/>
  <c r="M4690" i="5"/>
  <c r="H4691" i="5"/>
  <c r="I4691" i="5"/>
  <c r="J4691" i="5"/>
  <c r="K4691" i="5"/>
  <c r="L4691" i="5"/>
  <c r="M4691" i="5"/>
  <c r="H4692" i="5"/>
  <c r="I4692" i="5"/>
  <c r="J4692" i="5"/>
  <c r="K4692" i="5"/>
  <c r="L4692" i="5"/>
  <c r="M4692" i="5"/>
  <c r="H4693" i="5"/>
  <c r="I4693" i="5"/>
  <c r="J4693" i="5"/>
  <c r="K4693" i="5"/>
  <c r="L4693" i="5"/>
  <c r="M4693" i="5"/>
  <c r="H4694" i="5"/>
  <c r="I4694" i="5"/>
  <c r="J4694" i="5"/>
  <c r="K4694" i="5"/>
  <c r="L4694" i="5"/>
  <c r="M4694" i="5"/>
  <c r="H4695" i="5"/>
  <c r="I4695" i="5"/>
  <c r="J4695" i="5"/>
  <c r="K4695" i="5"/>
  <c r="L4695" i="5"/>
  <c r="M4695" i="5"/>
  <c r="H4696" i="5"/>
  <c r="I4696" i="5"/>
  <c r="J4696" i="5"/>
  <c r="K4696" i="5"/>
  <c r="L4696" i="5"/>
  <c r="M4696" i="5"/>
  <c r="H4697" i="5"/>
  <c r="I4697" i="5"/>
  <c r="J4697" i="5"/>
  <c r="K4697" i="5"/>
  <c r="L4697" i="5"/>
  <c r="M4697" i="5"/>
  <c r="H4698" i="5"/>
  <c r="I4698" i="5"/>
  <c r="J4698" i="5"/>
  <c r="K4698" i="5"/>
  <c r="L4698" i="5"/>
  <c r="M4698" i="5"/>
  <c r="H4699" i="5"/>
  <c r="I4699" i="5"/>
  <c r="J4699" i="5"/>
  <c r="K4699" i="5"/>
  <c r="L4699" i="5"/>
  <c r="M4699" i="5"/>
  <c r="H4700" i="5"/>
  <c r="I4700" i="5"/>
  <c r="J4700" i="5"/>
  <c r="K4700" i="5"/>
  <c r="L4700" i="5"/>
  <c r="M4700" i="5"/>
  <c r="H4701" i="5"/>
  <c r="I4701" i="5"/>
  <c r="J4701" i="5"/>
  <c r="K4701" i="5"/>
  <c r="L4701" i="5"/>
  <c r="M4701" i="5"/>
  <c r="H4702" i="5"/>
  <c r="I4702" i="5"/>
  <c r="J4702" i="5"/>
  <c r="K4702" i="5"/>
  <c r="L4702" i="5"/>
  <c r="M4702" i="5"/>
  <c r="H4703" i="5"/>
  <c r="I4703" i="5"/>
  <c r="J4703" i="5"/>
  <c r="K4703" i="5"/>
  <c r="L4703" i="5"/>
  <c r="M4703" i="5"/>
  <c r="H4704" i="5"/>
  <c r="I4704" i="5"/>
  <c r="J4704" i="5"/>
  <c r="K4704" i="5"/>
  <c r="L4704" i="5"/>
  <c r="M4704" i="5"/>
  <c r="H4705" i="5"/>
  <c r="I4705" i="5"/>
  <c r="J4705" i="5"/>
  <c r="K4705" i="5"/>
  <c r="L4705" i="5"/>
  <c r="M4705" i="5"/>
  <c r="H4706" i="5"/>
  <c r="I4706" i="5"/>
  <c r="J4706" i="5"/>
  <c r="K4706" i="5"/>
  <c r="L4706" i="5"/>
  <c r="M4706" i="5"/>
  <c r="H4707" i="5"/>
  <c r="I4707" i="5"/>
  <c r="J4707" i="5"/>
  <c r="K4707" i="5"/>
  <c r="L4707" i="5"/>
  <c r="M4707" i="5"/>
  <c r="H4708" i="5"/>
  <c r="I4708" i="5"/>
  <c r="J4708" i="5"/>
  <c r="K4708" i="5"/>
  <c r="L4708" i="5"/>
  <c r="M4708" i="5"/>
  <c r="H4709" i="5"/>
  <c r="I4709" i="5"/>
  <c r="J4709" i="5"/>
  <c r="K4709" i="5"/>
  <c r="L4709" i="5"/>
  <c r="M4709" i="5"/>
  <c r="H4710" i="5"/>
  <c r="I4710" i="5"/>
  <c r="J4710" i="5"/>
  <c r="K4710" i="5"/>
  <c r="L4710" i="5"/>
  <c r="M4710" i="5"/>
  <c r="H4711" i="5"/>
  <c r="I4711" i="5"/>
  <c r="J4711" i="5"/>
  <c r="K4711" i="5"/>
  <c r="L4711" i="5"/>
  <c r="M4711" i="5"/>
  <c r="H4712" i="5"/>
  <c r="I4712" i="5"/>
  <c r="J4712" i="5"/>
  <c r="K4712" i="5"/>
  <c r="L4712" i="5"/>
  <c r="M4712" i="5"/>
  <c r="H4713" i="5"/>
  <c r="I4713" i="5"/>
  <c r="J4713" i="5"/>
  <c r="K4713" i="5"/>
  <c r="L4713" i="5"/>
  <c r="M4713" i="5"/>
  <c r="H4714" i="5"/>
  <c r="I4714" i="5"/>
  <c r="J4714" i="5"/>
  <c r="K4714" i="5"/>
  <c r="L4714" i="5"/>
  <c r="M4714" i="5"/>
  <c r="H4715" i="5"/>
  <c r="I4715" i="5"/>
  <c r="J4715" i="5"/>
  <c r="K4715" i="5"/>
  <c r="L4715" i="5"/>
  <c r="M4715" i="5"/>
  <c r="H4716" i="5"/>
  <c r="I4716" i="5"/>
  <c r="J4716" i="5"/>
  <c r="K4716" i="5"/>
  <c r="L4716" i="5"/>
  <c r="M4716" i="5"/>
  <c r="H4717" i="5"/>
  <c r="I4717" i="5"/>
  <c r="J4717" i="5"/>
  <c r="K4717" i="5"/>
  <c r="L4717" i="5"/>
  <c r="M4717" i="5"/>
  <c r="H4718" i="5"/>
  <c r="I4718" i="5"/>
  <c r="J4718" i="5"/>
  <c r="K4718" i="5"/>
  <c r="L4718" i="5"/>
  <c r="M4718" i="5"/>
  <c r="H4719" i="5"/>
  <c r="I4719" i="5"/>
  <c r="J4719" i="5"/>
  <c r="K4719" i="5"/>
  <c r="L4719" i="5"/>
  <c r="M4719" i="5"/>
  <c r="H4720" i="5"/>
  <c r="I4720" i="5"/>
  <c r="J4720" i="5"/>
  <c r="K4720" i="5"/>
  <c r="L4720" i="5"/>
  <c r="M4720" i="5"/>
  <c r="H4721" i="5"/>
  <c r="I4721" i="5"/>
  <c r="J4721" i="5"/>
  <c r="K4721" i="5"/>
  <c r="L4721" i="5"/>
  <c r="M4721" i="5"/>
  <c r="H4722" i="5"/>
  <c r="I4722" i="5"/>
  <c r="J4722" i="5"/>
  <c r="K4722" i="5"/>
  <c r="L4722" i="5"/>
  <c r="M4722" i="5"/>
  <c r="H4723" i="5"/>
  <c r="I4723" i="5"/>
  <c r="J4723" i="5"/>
  <c r="K4723" i="5"/>
  <c r="L4723" i="5"/>
  <c r="M4723" i="5"/>
  <c r="H4724" i="5"/>
  <c r="I4724" i="5"/>
  <c r="J4724" i="5"/>
  <c r="K4724" i="5"/>
  <c r="L4724" i="5"/>
  <c r="M4724" i="5"/>
  <c r="H4725" i="5"/>
  <c r="I4725" i="5"/>
  <c r="J4725" i="5"/>
  <c r="K4725" i="5"/>
  <c r="L4725" i="5"/>
  <c r="M4725" i="5"/>
  <c r="H4726" i="5"/>
  <c r="I4726" i="5"/>
  <c r="J4726" i="5"/>
  <c r="K4726" i="5"/>
  <c r="L4726" i="5"/>
  <c r="M4726" i="5"/>
  <c r="H4727" i="5"/>
  <c r="I4727" i="5"/>
  <c r="J4727" i="5"/>
  <c r="K4727" i="5"/>
  <c r="L4727" i="5"/>
  <c r="M4727" i="5"/>
  <c r="H4728" i="5"/>
  <c r="I4728" i="5"/>
  <c r="J4728" i="5"/>
  <c r="K4728" i="5"/>
  <c r="L4728" i="5"/>
  <c r="M4728" i="5"/>
  <c r="H4729" i="5"/>
  <c r="I4729" i="5"/>
  <c r="J4729" i="5"/>
  <c r="K4729" i="5"/>
  <c r="L4729" i="5"/>
  <c r="M4729" i="5"/>
  <c r="H4730" i="5"/>
  <c r="I4730" i="5"/>
  <c r="J4730" i="5"/>
  <c r="K4730" i="5"/>
  <c r="L4730" i="5"/>
  <c r="M4730" i="5"/>
  <c r="H4731" i="5"/>
  <c r="I4731" i="5"/>
  <c r="J4731" i="5"/>
  <c r="K4731" i="5"/>
  <c r="L4731" i="5"/>
  <c r="M4731" i="5"/>
  <c r="H4732" i="5"/>
  <c r="I4732" i="5"/>
  <c r="J4732" i="5"/>
  <c r="K4732" i="5"/>
  <c r="L4732" i="5"/>
  <c r="M4732" i="5"/>
  <c r="H4733" i="5"/>
  <c r="I4733" i="5"/>
  <c r="J4733" i="5"/>
  <c r="K4733" i="5"/>
  <c r="L4733" i="5"/>
  <c r="M4733" i="5"/>
  <c r="H4734" i="5"/>
  <c r="I4734" i="5"/>
  <c r="J4734" i="5"/>
  <c r="K4734" i="5"/>
  <c r="L4734" i="5"/>
  <c r="M4734" i="5"/>
  <c r="H4735" i="5"/>
  <c r="I4735" i="5"/>
  <c r="J4735" i="5"/>
  <c r="K4735" i="5"/>
  <c r="L4735" i="5"/>
  <c r="M4735" i="5"/>
  <c r="H4736" i="5"/>
  <c r="I4736" i="5"/>
  <c r="J4736" i="5"/>
  <c r="K4736" i="5"/>
  <c r="L4736" i="5"/>
  <c r="M4736" i="5"/>
  <c r="H4737" i="5"/>
  <c r="I4737" i="5"/>
  <c r="J4737" i="5"/>
  <c r="K4737" i="5"/>
  <c r="L4737" i="5"/>
  <c r="M4737" i="5"/>
  <c r="H4738" i="5"/>
  <c r="I4738" i="5"/>
  <c r="J4738" i="5"/>
  <c r="K4738" i="5"/>
  <c r="L4738" i="5"/>
  <c r="M4738" i="5"/>
  <c r="H4739" i="5"/>
  <c r="I4739" i="5"/>
  <c r="J4739" i="5"/>
  <c r="K4739" i="5"/>
  <c r="L4739" i="5"/>
  <c r="M4739" i="5"/>
  <c r="H4740" i="5"/>
  <c r="I4740" i="5"/>
  <c r="J4740" i="5"/>
  <c r="K4740" i="5"/>
  <c r="L4740" i="5"/>
  <c r="M4740" i="5"/>
  <c r="H4741" i="5"/>
  <c r="I4741" i="5"/>
  <c r="J4741" i="5"/>
  <c r="K4741" i="5"/>
  <c r="L4741" i="5"/>
  <c r="M4741" i="5"/>
  <c r="H4742" i="5"/>
  <c r="I4742" i="5"/>
  <c r="J4742" i="5"/>
  <c r="K4742" i="5"/>
  <c r="L4742" i="5"/>
  <c r="M4742" i="5"/>
  <c r="H4743" i="5"/>
  <c r="I4743" i="5"/>
  <c r="J4743" i="5"/>
  <c r="K4743" i="5"/>
  <c r="L4743" i="5"/>
  <c r="M4743" i="5"/>
  <c r="H4744" i="5"/>
  <c r="I4744" i="5"/>
  <c r="J4744" i="5"/>
  <c r="K4744" i="5"/>
  <c r="L4744" i="5"/>
  <c r="M4744" i="5"/>
  <c r="H4745" i="5"/>
  <c r="I4745" i="5"/>
  <c r="J4745" i="5"/>
  <c r="K4745" i="5"/>
  <c r="L4745" i="5"/>
  <c r="M4745" i="5"/>
  <c r="H4746" i="5"/>
  <c r="I4746" i="5"/>
  <c r="J4746" i="5"/>
  <c r="K4746" i="5"/>
  <c r="L4746" i="5"/>
  <c r="M4746" i="5"/>
  <c r="H4747" i="5"/>
  <c r="I4747" i="5"/>
  <c r="J4747" i="5"/>
  <c r="K4747" i="5"/>
  <c r="L4747" i="5"/>
  <c r="M4747" i="5"/>
  <c r="H4748" i="5"/>
  <c r="I4748" i="5"/>
  <c r="J4748" i="5"/>
  <c r="K4748" i="5"/>
  <c r="L4748" i="5"/>
  <c r="M4748" i="5"/>
  <c r="H4749" i="5"/>
  <c r="I4749" i="5"/>
  <c r="J4749" i="5"/>
  <c r="K4749" i="5"/>
  <c r="L4749" i="5"/>
  <c r="M4749" i="5"/>
  <c r="H4750" i="5"/>
  <c r="I4750" i="5"/>
  <c r="J4750" i="5"/>
  <c r="K4750" i="5"/>
  <c r="L4750" i="5"/>
  <c r="M4750" i="5"/>
  <c r="H4751" i="5"/>
  <c r="I4751" i="5"/>
  <c r="J4751" i="5"/>
  <c r="K4751" i="5"/>
  <c r="L4751" i="5"/>
  <c r="M4751" i="5"/>
  <c r="H4752" i="5"/>
  <c r="I4752" i="5"/>
  <c r="J4752" i="5"/>
  <c r="K4752" i="5"/>
  <c r="L4752" i="5"/>
  <c r="M4752" i="5"/>
  <c r="H4753" i="5"/>
  <c r="I4753" i="5"/>
  <c r="J4753" i="5"/>
  <c r="K4753" i="5"/>
  <c r="L4753" i="5"/>
  <c r="M4753" i="5"/>
  <c r="H4754" i="5"/>
  <c r="I4754" i="5"/>
  <c r="J4754" i="5"/>
  <c r="K4754" i="5"/>
  <c r="L4754" i="5"/>
  <c r="M4754" i="5"/>
  <c r="H4755" i="5"/>
  <c r="I4755" i="5"/>
  <c r="J4755" i="5"/>
  <c r="K4755" i="5"/>
  <c r="L4755" i="5"/>
  <c r="M4755" i="5"/>
  <c r="H4756" i="5"/>
  <c r="I4756" i="5"/>
  <c r="J4756" i="5"/>
  <c r="K4756" i="5"/>
  <c r="L4756" i="5"/>
  <c r="M4756" i="5"/>
  <c r="H4757" i="5"/>
  <c r="I4757" i="5"/>
  <c r="J4757" i="5"/>
  <c r="K4757" i="5"/>
  <c r="L4757" i="5"/>
  <c r="M4757" i="5"/>
  <c r="H4758" i="5"/>
  <c r="I4758" i="5"/>
  <c r="J4758" i="5"/>
  <c r="K4758" i="5"/>
  <c r="L4758" i="5"/>
  <c r="M4758" i="5"/>
  <c r="H4759" i="5"/>
  <c r="I4759" i="5"/>
  <c r="J4759" i="5"/>
  <c r="K4759" i="5"/>
  <c r="L4759" i="5"/>
  <c r="M4759" i="5"/>
  <c r="H4760" i="5"/>
  <c r="I4760" i="5"/>
  <c r="J4760" i="5"/>
  <c r="K4760" i="5"/>
  <c r="L4760" i="5"/>
  <c r="M4760" i="5"/>
  <c r="H4761" i="5"/>
  <c r="I4761" i="5"/>
  <c r="J4761" i="5"/>
  <c r="K4761" i="5"/>
  <c r="L4761" i="5"/>
  <c r="M4761" i="5"/>
  <c r="H4762" i="5"/>
  <c r="I4762" i="5"/>
  <c r="J4762" i="5"/>
  <c r="K4762" i="5"/>
  <c r="L4762" i="5"/>
  <c r="M4762" i="5"/>
  <c r="H4763" i="5"/>
  <c r="I4763" i="5"/>
  <c r="J4763" i="5"/>
  <c r="K4763" i="5"/>
  <c r="L4763" i="5"/>
  <c r="M4763" i="5"/>
  <c r="H4764" i="5"/>
  <c r="I4764" i="5"/>
  <c r="J4764" i="5"/>
  <c r="K4764" i="5"/>
  <c r="L4764" i="5"/>
  <c r="M4764" i="5"/>
  <c r="H4765" i="5"/>
  <c r="I4765" i="5"/>
  <c r="J4765" i="5"/>
  <c r="K4765" i="5"/>
  <c r="L4765" i="5"/>
  <c r="M4765" i="5"/>
  <c r="H4766" i="5"/>
  <c r="I4766" i="5"/>
  <c r="J4766" i="5"/>
  <c r="K4766" i="5"/>
  <c r="L4766" i="5"/>
  <c r="M4766" i="5"/>
  <c r="H4767" i="5"/>
  <c r="I4767" i="5"/>
  <c r="J4767" i="5"/>
  <c r="K4767" i="5"/>
  <c r="L4767" i="5"/>
  <c r="M4767" i="5"/>
  <c r="H4768" i="5"/>
  <c r="I4768" i="5"/>
  <c r="J4768" i="5"/>
  <c r="K4768" i="5"/>
  <c r="L4768" i="5"/>
  <c r="M4768" i="5"/>
  <c r="H4769" i="5"/>
  <c r="I4769" i="5"/>
  <c r="J4769" i="5"/>
  <c r="K4769" i="5"/>
  <c r="L4769" i="5"/>
  <c r="M4769" i="5"/>
  <c r="H4770" i="5"/>
  <c r="I4770" i="5"/>
  <c r="J4770" i="5"/>
  <c r="K4770" i="5"/>
  <c r="L4770" i="5"/>
  <c r="M4770" i="5"/>
  <c r="H4771" i="5"/>
  <c r="I4771" i="5"/>
  <c r="J4771" i="5"/>
  <c r="K4771" i="5"/>
  <c r="L4771" i="5"/>
  <c r="M4771" i="5"/>
  <c r="H4772" i="5"/>
  <c r="I4772" i="5"/>
  <c r="J4772" i="5"/>
  <c r="K4772" i="5"/>
  <c r="L4772" i="5"/>
  <c r="M4772" i="5"/>
  <c r="H4773" i="5"/>
  <c r="I4773" i="5"/>
  <c r="J4773" i="5"/>
  <c r="K4773" i="5"/>
  <c r="L4773" i="5"/>
  <c r="M4773" i="5"/>
  <c r="H4774" i="5"/>
  <c r="I4774" i="5"/>
  <c r="J4774" i="5"/>
  <c r="K4774" i="5"/>
  <c r="L4774" i="5"/>
  <c r="M4774" i="5"/>
  <c r="H4775" i="5"/>
  <c r="I4775" i="5"/>
  <c r="J4775" i="5"/>
  <c r="K4775" i="5"/>
  <c r="L4775" i="5"/>
  <c r="M4775" i="5"/>
  <c r="H4776" i="5"/>
  <c r="I4776" i="5"/>
  <c r="J4776" i="5"/>
  <c r="K4776" i="5"/>
  <c r="L4776" i="5"/>
  <c r="M4776" i="5"/>
  <c r="H4777" i="5"/>
  <c r="I4777" i="5"/>
  <c r="J4777" i="5"/>
  <c r="K4777" i="5"/>
  <c r="L4777" i="5"/>
  <c r="M4777" i="5"/>
  <c r="H4778" i="5"/>
  <c r="I4778" i="5"/>
  <c r="J4778" i="5"/>
  <c r="K4778" i="5"/>
  <c r="L4778" i="5"/>
  <c r="M4778" i="5"/>
  <c r="H4779" i="5"/>
  <c r="I4779" i="5"/>
  <c r="J4779" i="5"/>
  <c r="K4779" i="5"/>
  <c r="L4779" i="5"/>
  <c r="M4779" i="5"/>
  <c r="H4780" i="5"/>
  <c r="I4780" i="5"/>
  <c r="J4780" i="5"/>
  <c r="K4780" i="5"/>
  <c r="L4780" i="5"/>
  <c r="M4780" i="5"/>
  <c r="H4781" i="5"/>
  <c r="I4781" i="5"/>
  <c r="J4781" i="5"/>
  <c r="K4781" i="5"/>
  <c r="L4781" i="5"/>
  <c r="M4781" i="5"/>
  <c r="H4782" i="5"/>
  <c r="I4782" i="5"/>
  <c r="J4782" i="5"/>
  <c r="K4782" i="5"/>
  <c r="L4782" i="5"/>
  <c r="M4782" i="5"/>
  <c r="H4783" i="5"/>
  <c r="I4783" i="5"/>
  <c r="J4783" i="5"/>
  <c r="K4783" i="5"/>
  <c r="L4783" i="5"/>
  <c r="M4783" i="5"/>
  <c r="H4784" i="5"/>
  <c r="I4784" i="5"/>
  <c r="J4784" i="5"/>
  <c r="K4784" i="5"/>
  <c r="L4784" i="5"/>
  <c r="M4784" i="5"/>
  <c r="H4785" i="5"/>
  <c r="I4785" i="5"/>
  <c r="J4785" i="5"/>
  <c r="K4785" i="5"/>
  <c r="L4785" i="5"/>
  <c r="M4785" i="5"/>
  <c r="H4786" i="5"/>
  <c r="I4786" i="5"/>
  <c r="J4786" i="5"/>
  <c r="K4786" i="5"/>
  <c r="L4786" i="5"/>
  <c r="M4786" i="5"/>
  <c r="H4787" i="5"/>
  <c r="I4787" i="5"/>
  <c r="J4787" i="5"/>
  <c r="K4787" i="5"/>
  <c r="L4787" i="5"/>
  <c r="M4787" i="5"/>
  <c r="H4788" i="5"/>
  <c r="I4788" i="5"/>
  <c r="J4788" i="5"/>
  <c r="K4788" i="5"/>
  <c r="L4788" i="5"/>
  <c r="M4788" i="5"/>
  <c r="H4789" i="5"/>
  <c r="I4789" i="5"/>
  <c r="J4789" i="5"/>
  <c r="K4789" i="5"/>
  <c r="L4789" i="5"/>
  <c r="M4789" i="5"/>
  <c r="H4790" i="5"/>
  <c r="I4790" i="5"/>
  <c r="J4790" i="5"/>
  <c r="K4790" i="5"/>
  <c r="L4790" i="5"/>
  <c r="M4790" i="5"/>
  <c r="H4791" i="5"/>
  <c r="I4791" i="5"/>
  <c r="J4791" i="5"/>
  <c r="K4791" i="5"/>
  <c r="L4791" i="5"/>
  <c r="M4791" i="5"/>
  <c r="H4792" i="5"/>
  <c r="I4792" i="5"/>
  <c r="J4792" i="5"/>
  <c r="K4792" i="5"/>
  <c r="L4792" i="5"/>
  <c r="M4792" i="5"/>
  <c r="H4793" i="5"/>
  <c r="I4793" i="5"/>
  <c r="J4793" i="5"/>
  <c r="K4793" i="5"/>
  <c r="L4793" i="5"/>
  <c r="M4793" i="5"/>
  <c r="H4794" i="5"/>
  <c r="I4794" i="5"/>
  <c r="J4794" i="5"/>
  <c r="K4794" i="5"/>
  <c r="L4794" i="5"/>
  <c r="M4794" i="5"/>
  <c r="H4795" i="5"/>
  <c r="I4795" i="5"/>
  <c r="J4795" i="5"/>
  <c r="K4795" i="5"/>
  <c r="L4795" i="5"/>
  <c r="M4795" i="5"/>
  <c r="H4796" i="5"/>
  <c r="I4796" i="5"/>
  <c r="J4796" i="5"/>
  <c r="K4796" i="5"/>
  <c r="L4796" i="5"/>
  <c r="M4796" i="5"/>
  <c r="H4797" i="5"/>
  <c r="I4797" i="5"/>
  <c r="J4797" i="5"/>
  <c r="K4797" i="5"/>
  <c r="L4797" i="5"/>
  <c r="M4797" i="5"/>
  <c r="H4798" i="5"/>
  <c r="I4798" i="5"/>
  <c r="J4798" i="5"/>
  <c r="K4798" i="5"/>
  <c r="L4798" i="5"/>
  <c r="M4798" i="5"/>
  <c r="H4799" i="5"/>
  <c r="I4799" i="5"/>
  <c r="J4799" i="5"/>
  <c r="K4799" i="5"/>
  <c r="L4799" i="5"/>
  <c r="M4799" i="5"/>
  <c r="H4800" i="5"/>
  <c r="I4800" i="5"/>
  <c r="J4800" i="5"/>
  <c r="K4800" i="5"/>
  <c r="L4800" i="5"/>
  <c r="M4800" i="5"/>
  <c r="H4801" i="5"/>
  <c r="I4801" i="5"/>
  <c r="J4801" i="5"/>
  <c r="K4801" i="5"/>
  <c r="L4801" i="5"/>
  <c r="M4801" i="5"/>
  <c r="H4802" i="5"/>
  <c r="I4802" i="5"/>
  <c r="J4802" i="5"/>
  <c r="K4802" i="5"/>
  <c r="L4802" i="5"/>
  <c r="M4802" i="5"/>
  <c r="H4803" i="5"/>
  <c r="I4803" i="5"/>
  <c r="J4803" i="5"/>
  <c r="K4803" i="5"/>
  <c r="L4803" i="5"/>
  <c r="M4803" i="5"/>
  <c r="H4804" i="5"/>
  <c r="I4804" i="5"/>
  <c r="J4804" i="5"/>
  <c r="K4804" i="5"/>
  <c r="L4804" i="5"/>
  <c r="M4804" i="5"/>
  <c r="H4805" i="5"/>
  <c r="I4805" i="5"/>
  <c r="J4805" i="5"/>
  <c r="K4805" i="5"/>
  <c r="L4805" i="5"/>
  <c r="M4805" i="5"/>
  <c r="H4806" i="5"/>
  <c r="I4806" i="5"/>
  <c r="J4806" i="5"/>
  <c r="K4806" i="5"/>
  <c r="L4806" i="5"/>
  <c r="M4806" i="5"/>
  <c r="H4807" i="5"/>
  <c r="I4807" i="5"/>
  <c r="J4807" i="5"/>
  <c r="K4807" i="5"/>
  <c r="L4807" i="5"/>
  <c r="M4807" i="5"/>
  <c r="H4808" i="5"/>
  <c r="I4808" i="5"/>
  <c r="J4808" i="5"/>
  <c r="K4808" i="5"/>
  <c r="L4808" i="5"/>
  <c r="M4808" i="5"/>
  <c r="H4809" i="5"/>
  <c r="I4809" i="5"/>
  <c r="J4809" i="5"/>
  <c r="K4809" i="5"/>
  <c r="L4809" i="5"/>
  <c r="M4809" i="5"/>
  <c r="H4810" i="5"/>
  <c r="I4810" i="5"/>
  <c r="J4810" i="5"/>
  <c r="K4810" i="5"/>
  <c r="L4810" i="5"/>
  <c r="M4810" i="5"/>
  <c r="H4811" i="5"/>
  <c r="I4811" i="5"/>
  <c r="J4811" i="5"/>
  <c r="K4811" i="5"/>
  <c r="L4811" i="5"/>
  <c r="M4811" i="5"/>
  <c r="H4812" i="5"/>
  <c r="I4812" i="5"/>
  <c r="J4812" i="5"/>
  <c r="K4812" i="5"/>
  <c r="L4812" i="5"/>
  <c r="M4812" i="5"/>
  <c r="H4813" i="5"/>
  <c r="I4813" i="5"/>
  <c r="J4813" i="5"/>
  <c r="K4813" i="5"/>
  <c r="L4813" i="5"/>
  <c r="M4813" i="5"/>
  <c r="H4814" i="5"/>
  <c r="I4814" i="5"/>
  <c r="J4814" i="5"/>
  <c r="K4814" i="5"/>
  <c r="L4814" i="5"/>
  <c r="M4814" i="5"/>
  <c r="H4815" i="5"/>
  <c r="I4815" i="5"/>
  <c r="J4815" i="5"/>
  <c r="K4815" i="5"/>
  <c r="L4815" i="5"/>
  <c r="M4815" i="5"/>
  <c r="H4816" i="5"/>
  <c r="I4816" i="5"/>
  <c r="J4816" i="5"/>
  <c r="K4816" i="5"/>
  <c r="L4816" i="5"/>
  <c r="M4816" i="5"/>
  <c r="H4817" i="5"/>
  <c r="I4817" i="5"/>
  <c r="J4817" i="5"/>
  <c r="K4817" i="5"/>
  <c r="L4817" i="5"/>
  <c r="M4817" i="5"/>
  <c r="H4818" i="5"/>
  <c r="I4818" i="5"/>
  <c r="J4818" i="5"/>
  <c r="K4818" i="5"/>
  <c r="L4818" i="5"/>
  <c r="M4818" i="5"/>
  <c r="H4819" i="5"/>
  <c r="I4819" i="5"/>
  <c r="J4819" i="5"/>
  <c r="K4819" i="5"/>
  <c r="L4819" i="5"/>
  <c r="M4819" i="5"/>
  <c r="H4820" i="5"/>
  <c r="I4820" i="5"/>
  <c r="J4820" i="5"/>
  <c r="K4820" i="5"/>
  <c r="L4820" i="5"/>
  <c r="M4820" i="5"/>
  <c r="H4821" i="5"/>
  <c r="I4821" i="5"/>
  <c r="J4821" i="5"/>
  <c r="K4821" i="5"/>
  <c r="L4821" i="5"/>
  <c r="M4821" i="5"/>
  <c r="H4822" i="5"/>
  <c r="I4822" i="5"/>
  <c r="J4822" i="5"/>
  <c r="K4822" i="5"/>
  <c r="L4822" i="5"/>
  <c r="M4822" i="5"/>
  <c r="H4823" i="5"/>
  <c r="I4823" i="5"/>
  <c r="J4823" i="5"/>
  <c r="K4823" i="5"/>
  <c r="L4823" i="5"/>
  <c r="M4823" i="5"/>
  <c r="H4824" i="5"/>
  <c r="I4824" i="5"/>
  <c r="J4824" i="5"/>
  <c r="K4824" i="5"/>
  <c r="L4824" i="5"/>
  <c r="M4824" i="5"/>
  <c r="H4825" i="5"/>
  <c r="I4825" i="5"/>
  <c r="J4825" i="5"/>
  <c r="K4825" i="5"/>
  <c r="L4825" i="5"/>
  <c r="M4825" i="5"/>
  <c r="H4826" i="5"/>
  <c r="I4826" i="5"/>
  <c r="J4826" i="5"/>
  <c r="K4826" i="5"/>
  <c r="L4826" i="5"/>
  <c r="M4826" i="5"/>
  <c r="H4827" i="5"/>
  <c r="I4827" i="5"/>
  <c r="J4827" i="5"/>
  <c r="K4827" i="5"/>
  <c r="L4827" i="5"/>
  <c r="M4827" i="5"/>
  <c r="H4828" i="5"/>
  <c r="I4828" i="5"/>
  <c r="J4828" i="5"/>
  <c r="K4828" i="5"/>
  <c r="L4828" i="5"/>
  <c r="M4828" i="5"/>
  <c r="H4829" i="5"/>
  <c r="I4829" i="5"/>
  <c r="J4829" i="5"/>
  <c r="K4829" i="5"/>
  <c r="L4829" i="5"/>
  <c r="M4829" i="5"/>
  <c r="H4830" i="5"/>
  <c r="I4830" i="5"/>
  <c r="J4830" i="5"/>
  <c r="K4830" i="5"/>
  <c r="L4830" i="5"/>
  <c r="M4830" i="5"/>
  <c r="H4831" i="5"/>
  <c r="I4831" i="5"/>
  <c r="J4831" i="5"/>
  <c r="K4831" i="5"/>
  <c r="L4831" i="5"/>
  <c r="M4831" i="5"/>
  <c r="H4832" i="5"/>
  <c r="I4832" i="5"/>
  <c r="J4832" i="5"/>
  <c r="K4832" i="5"/>
  <c r="L4832" i="5"/>
  <c r="M4832" i="5"/>
  <c r="H4833" i="5"/>
  <c r="I4833" i="5"/>
  <c r="J4833" i="5"/>
  <c r="K4833" i="5"/>
  <c r="L4833" i="5"/>
  <c r="M4833" i="5"/>
  <c r="H4834" i="5"/>
  <c r="I4834" i="5"/>
  <c r="J4834" i="5"/>
  <c r="K4834" i="5"/>
  <c r="L4834" i="5"/>
  <c r="M4834" i="5"/>
  <c r="H4835" i="5"/>
  <c r="I4835" i="5"/>
  <c r="J4835" i="5"/>
  <c r="K4835" i="5"/>
  <c r="L4835" i="5"/>
  <c r="M4835" i="5"/>
  <c r="H4836" i="5"/>
  <c r="I4836" i="5"/>
  <c r="J4836" i="5"/>
  <c r="K4836" i="5"/>
  <c r="L4836" i="5"/>
  <c r="M4836" i="5"/>
  <c r="H4837" i="5"/>
  <c r="I4837" i="5"/>
  <c r="J4837" i="5"/>
  <c r="K4837" i="5"/>
  <c r="L4837" i="5"/>
  <c r="M4837" i="5"/>
  <c r="H4838" i="5"/>
  <c r="I4838" i="5"/>
  <c r="J4838" i="5"/>
  <c r="K4838" i="5"/>
  <c r="L4838" i="5"/>
  <c r="M4838" i="5"/>
  <c r="H4839" i="5"/>
  <c r="I4839" i="5"/>
  <c r="J4839" i="5"/>
  <c r="K4839" i="5"/>
  <c r="L4839" i="5"/>
  <c r="M4839" i="5"/>
  <c r="H4840" i="5"/>
  <c r="I4840" i="5"/>
  <c r="J4840" i="5"/>
  <c r="K4840" i="5"/>
  <c r="L4840" i="5"/>
  <c r="M4840" i="5"/>
  <c r="H4841" i="5"/>
  <c r="I4841" i="5"/>
  <c r="J4841" i="5"/>
  <c r="K4841" i="5"/>
  <c r="L4841" i="5"/>
  <c r="M4841" i="5"/>
  <c r="H4842" i="5"/>
  <c r="I4842" i="5"/>
  <c r="J4842" i="5"/>
  <c r="K4842" i="5"/>
  <c r="L4842" i="5"/>
  <c r="M4842" i="5"/>
  <c r="H4843" i="5"/>
  <c r="I4843" i="5"/>
  <c r="J4843" i="5"/>
  <c r="K4843" i="5"/>
  <c r="L4843" i="5"/>
  <c r="M4843" i="5"/>
  <c r="H4844" i="5"/>
  <c r="I4844" i="5"/>
  <c r="J4844" i="5"/>
  <c r="K4844" i="5"/>
  <c r="L4844" i="5"/>
  <c r="M4844" i="5"/>
  <c r="H4845" i="5"/>
  <c r="I4845" i="5"/>
  <c r="J4845" i="5"/>
  <c r="K4845" i="5"/>
  <c r="L4845" i="5"/>
  <c r="M4845" i="5"/>
  <c r="H4846" i="5"/>
  <c r="I4846" i="5"/>
  <c r="J4846" i="5"/>
  <c r="K4846" i="5"/>
  <c r="L4846" i="5"/>
  <c r="M4846" i="5"/>
  <c r="H4847" i="5"/>
  <c r="I4847" i="5"/>
  <c r="J4847" i="5"/>
  <c r="K4847" i="5"/>
  <c r="L4847" i="5"/>
  <c r="M4847" i="5"/>
  <c r="H4848" i="5"/>
  <c r="I4848" i="5"/>
  <c r="J4848" i="5"/>
  <c r="K4848" i="5"/>
  <c r="L4848" i="5"/>
  <c r="M4848" i="5"/>
  <c r="H4849" i="5"/>
  <c r="I4849" i="5"/>
  <c r="J4849" i="5"/>
  <c r="K4849" i="5"/>
  <c r="L4849" i="5"/>
  <c r="M4849" i="5"/>
  <c r="H4850" i="5"/>
  <c r="I4850" i="5"/>
  <c r="J4850" i="5"/>
  <c r="K4850" i="5"/>
  <c r="L4850" i="5"/>
  <c r="M4850" i="5"/>
  <c r="H4851" i="5"/>
  <c r="I4851" i="5"/>
  <c r="J4851" i="5"/>
  <c r="K4851" i="5"/>
  <c r="L4851" i="5"/>
  <c r="M4851" i="5"/>
  <c r="H4852" i="5"/>
  <c r="I4852" i="5"/>
  <c r="J4852" i="5"/>
  <c r="K4852" i="5"/>
  <c r="L4852" i="5"/>
  <c r="M4852" i="5"/>
  <c r="H4853" i="5"/>
  <c r="I4853" i="5"/>
  <c r="J4853" i="5"/>
  <c r="K4853" i="5"/>
  <c r="L4853" i="5"/>
  <c r="M4853" i="5"/>
  <c r="H4854" i="5"/>
  <c r="I4854" i="5"/>
  <c r="J4854" i="5"/>
  <c r="K4854" i="5"/>
  <c r="L4854" i="5"/>
  <c r="M4854" i="5"/>
  <c r="H4855" i="5"/>
  <c r="I4855" i="5"/>
  <c r="J4855" i="5"/>
  <c r="K4855" i="5"/>
  <c r="L4855" i="5"/>
  <c r="M4855" i="5"/>
  <c r="H4856" i="5"/>
  <c r="I4856" i="5"/>
  <c r="J4856" i="5"/>
  <c r="K4856" i="5"/>
  <c r="L4856" i="5"/>
  <c r="M4856" i="5"/>
  <c r="H4857" i="5"/>
  <c r="I4857" i="5"/>
  <c r="J4857" i="5"/>
  <c r="K4857" i="5"/>
  <c r="L4857" i="5"/>
  <c r="M4857" i="5"/>
  <c r="H4858" i="5"/>
  <c r="I4858" i="5"/>
  <c r="J4858" i="5"/>
  <c r="K4858" i="5"/>
  <c r="L4858" i="5"/>
  <c r="M4858" i="5"/>
  <c r="H4859" i="5"/>
  <c r="I4859" i="5"/>
  <c r="J4859" i="5"/>
  <c r="K4859" i="5"/>
  <c r="L4859" i="5"/>
  <c r="M4859" i="5"/>
  <c r="H4860" i="5"/>
  <c r="I4860" i="5"/>
  <c r="J4860" i="5"/>
  <c r="K4860" i="5"/>
  <c r="L4860" i="5"/>
  <c r="M4860" i="5"/>
  <c r="H4861" i="5"/>
  <c r="I4861" i="5"/>
  <c r="J4861" i="5"/>
  <c r="K4861" i="5"/>
  <c r="L4861" i="5"/>
  <c r="M4861" i="5"/>
  <c r="H4862" i="5"/>
  <c r="I4862" i="5"/>
  <c r="J4862" i="5"/>
  <c r="K4862" i="5"/>
  <c r="L4862" i="5"/>
  <c r="M4862" i="5"/>
  <c r="H4863" i="5"/>
  <c r="I4863" i="5"/>
  <c r="J4863" i="5"/>
  <c r="K4863" i="5"/>
  <c r="L4863" i="5"/>
  <c r="M4863" i="5"/>
  <c r="H4864" i="5"/>
  <c r="I4864" i="5"/>
  <c r="J4864" i="5"/>
  <c r="K4864" i="5"/>
  <c r="L4864" i="5"/>
  <c r="M4864" i="5"/>
  <c r="H4865" i="5"/>
  <c r="I4865" i="5"/>
  <c r="J4865" i="5"/>
  <c r="K4865" i="5"/>
  <c r="L4865" i="5"/>
  <c r="M4865" i="5"/>
  <c r="H4866" i="5"/>
  <c r="I4866" i="5"/>
  <c r="J4866" i="5"/>
  <c r="K4866" i="5"/>
  <c r="L4866" i="5"/>
  <c r="M4866" i="5"/>
  <c r="H4867" i="5"/>
  <c r="I4867" i="5"/>
  <c r="J4867" i="5"/>
  <c r="K4867" i="5"/>
  <c r="L4867" i="5"/>
  <c r="M4867" i="5"/>
  <c r="H4868" i="5"/>
  <c r="I4868" i="5"/>
  <c r="J4868" i="5"/>
  <c r="K4868" i="5"/>
  <c r="L4868" i="5"/>
  <c r="M4868" i="5"/>
  <c r="H4869" i="5"/>
  <c r="I4869" i="5"/>
  <c r="J4869" i="5"/>
  <c r="K4869" i="5"/>
  <c r="L4869" i="5"/>
  <c r="M4869" i="5"/>
  <c r="H4870" i="5"/>
  <c r="I4870" i="5"/>
  <c r="J4870" i="5"/>
  <c r="K4870" i="5"/>
  <c r="L4870" i="5"/>
  <c r="M4870" i="5"/>
  <c r="H4871" i="5"/>
  <c r="I4871" i="5"/>
  <c r="J4871" i="5"/>
  <c r="K4871" i="5"/>
  <c r="L4871" i="5"/>
  <c r="M4871" i="5"/>
  <c r="H4872" i="5"/>
  <c r="I4872" i="5"/>
  <c r="J4872" i="5"/>
  <c r="K4872" i="5"/>
  <c r="L4872" i="5"/>
  <c r="M4872" i="5"/>
  <c r="H4873" i="5"/>
  <c r="I4873" i="5"/>
  <c r="J4873" i="5"/>
  <c r="K4873" i="5"/>
  <c r="L4873" i="5"/>
  <c r="M4873" i="5"/>
  <c r="H4874" i="5"/>
  <c r="I4874" i="5"/>
  <c r="J4874" i="5"/>
  <c r="K4874" i="5"/>
  <c r="L4874" i="5"/>
  <c r="M4874" i="5"/>
  <c r="H4875" i="5"/>
  <c r="I4875" i="5"/>
  <c r="J4875" i="5"/>
  <c r="K4875" i="5"/>
  <c r="L4875" i="5"/>
  <c r="M4875" i="5"/>
  <c r="H4876" i="5"/>
  <c r="I4876" i="5"/>
  <c r="J4876" i="5"/>
  <c r="K4876" i="5"/>
  <c r="L4876" i="5"/>
  <c r="M4876" i="5"/>
  <c r="H4877" i="5"/>
  <c r="I4877" i="5"/>
  <c r="J4877" i="5"/>
  <c r="K4877" i="5"/>
  <c r="L4877" i="5"/>
  <c r="M4877" i="5"/>
  <c r="H4878" i="5"/>
  <c r="I4878" i="5"/>
  <c r="J4878" i="5"/>
  <c r="K4878" i="5"/>
  <c r="L4878" i="5"/>
  <c r="M4878" i="5"/>
  <c r="H4879" i="5"/>
  <c r="I4879" i="5"/>
  <c r="J4879" i="5"/>
  <c r="K4879" i="5"/>
  <c r="L4879" i="5"/>
  <c r="M4879" i="5"/>
  <c r="H4880" i="5"/>
  <c r="I4880" i="5"/>
  <c r="J4880" i="5"/>
  <c r="K4880" i="5"/>
  <c r="L4880" i="5"/>
  <c r="M4880" i="5"/>
  <c r="H4881" i="5"/>
  <c r="I4881" i="5"/>
  <c r="J4881" i="5"/>
  <c r="K4881" i="5"/>
  <c r="L4881" i="5"/>
  <c r="M4881" i="5"/>
  <c r="H4882" i="5"/>
  <c r="I4882" i="5"/>
  <c r="J4882" i="5"/>
  <c r="K4882" i="5"/>
  <c r="L4882" i="5"/>
  <c r="M4882" i="5"/>
  <c r="H4883" i="5"/>
  <c r="I4883" i="5"/>
  <c r="J4883" i="5"/>
  <c r="K4883" i="5"/>
  <c r="L4883" i="5"/>
  <c r="M4883" i="5"/>
  <c r="H4884" i="5"/>
  <c r="I4884" i="5"/>
  <c r="J4884" i="5"/>
  <c r="K4884" i="5"/>
  <c r="L4884" i="5"/>
  <c r="M4884" i="5"/>
  <c r="H4885" i="5"/>
  <c r="I4885" i="5"/>
  <c r="J4885" i="5"/>
  <c r="K4885" i="5"/>
  <c r="L4885" i="5"/>
  <c r="M4885" i="5"/>
  <c r="H4886" i="5"/>
  <c r="I4886" i="5"/>
  <c r="J4886" i="5"/>
  <c r="K4886" i="5"/>
  <c r="L4886" i="5"/>
  <c r="M4886" i="5"/>
  <c r="H4887" i="5"/>
  <c r="I4887" i="5"/>
  <c r="J4887" i="5"/>
  <c r="K4887" i="5"/>
  <c r="L4887" i="5"/>
  <c r="M4887" i="5"/>
  <c r="H4888" i="5"/>
  <c r="I4888" i="5"/>
  <c r="J4888" i="5"/>
  <c r="K4888" i="5"/>
  <c r="L4888" i="5"/>
  <c r="M4888" i="5"/>
  <c r="H4889" i="5"/>
  <c r="I4889" i="5"/>
  <c r="J4889" i="5"/>
  <c r="K4889" i="5"/>
  <c r="L4889" i="5"/>
  <c r="M4889" i="5"/>
  <c r="H4890" i="5"/>
  <c r="I4890" i="5"/>
  <c r="J4890" i="5"/>
  <c r="K4890" i="5"/>
  <c r="L4890" i="5"/>
  <c r="M4890" i="5"/>
  <c r="H4891" i="5"/>
  <c r="I4891" i="5"/>
  <c r="J4891" i="5"/>
  <c r="K4891" i="5"/>
  <c r="L4891" i="5"/>
  <c r="M4891" i="5"/>
  <c r="H4892" i="5"/>
  <c r="I4892" i="5"/>
  <c r="J4892" i="5"/>
  <c r="K4892" i="5"/>
  <c r="L4892" i="5"/>
  <c r="M4892" i="5"/>
  <c r="H4893" i="5"/>
  <c r="I4893" i="5"/>
  <c r="J4893" i="5"/>
  <c r="K4893" i="5"/>
  <c r="L4893" i="5"/>
  <c r="M4893" i="5"/>
  <c r="H4894" i="5"/>
  <c r="I4894" i="5"/>
  <c r="J4894" i="5"/>
  <c r="K4894" i="5"/>
  <c r="L4894" i="5"/>
  <c r="M4894" i="5"/>
  <c r="H4895" i="5"/>
  <c r="I4895" i="5"/>
  <c r="J4895" i="5"/>
  <c r="K4895" i="5"/>
  <c r="L4895" i="5"/>
  <c r="M4895" i="5"/>
  <c r="H4896" i="5"/>
  <c r="I4896" i="5"/>
  <c r="J4896" i="5"/>
  <c r="K4896" i="5"/>
  <c r="L4896" i="5"/>
  <c r="M4896" i="5"/>
  <c r="H4897" i="5"/>
  <c r="I4897" i="5"/>
  <c r="J4897" i="5"/>
  <c r="K4897" i="5"/>
  <c r="L4897" i="5"/>
  <c r="M4897" i="5"/>
  <c r="H4898" i="5"/>
  <c r="I4898" i="5"/>
  <c r="J4898" i="5"/>
  <c r="K4898" i="5"/>
  <c r="L4898" i="5"/>
  <c r="M4898" i="5"/>
  <c r="H4899" i="5"/>
  <c r="I4899" i="5"/>
  <c r="J4899" i="5"/>
  <c r="K4899" i="5"/>
  <c r="L4899" i="5"/>
  <c r="M4899" i="5"/>
  <c r="H4900" i="5"/>
  <c r="I4900" i="5"/>
  <c r="J4900" i="5"/>
  <c r="K4900" i="5"/>
  <c r="L4900" i="5"/>
  <c r="M4900" i="5"/>
  <c r="H4901" i="5"/>
  <c r="I4901" i="5"/>
  <c r="J4901" i="5"/>
  <c r="K4901" i="5"/>
  <c r="L4901" i="5"/>
  <c r="M4901" i="5"/>
  <c r="H4902" i="5"/>
  <c r="I4902" i="5"/>
  <c r="J4902" i="5"/>
  <c r="K4902" i="5"/>
  <c r="L4902" i="5"/>
  <c r="M4902" i="5"/>
  <c r="H4903" i="5"/>
  <c r="I4903" i="5"/>
  <c r="J4903" i="5"/>
  <c r="K4903" i="5"/>
  <c r="L4903" i="5"/>
  <c r="M4903" i="5"/>
  <c r="H4904" i="5"/>
  <c r="I4904" i="5"/>
  <c r="J4904" i="5"/>
  <c r="K4904" i="5"/>
  <c r="L4904" i="5"/>
  <c r="M4904" i="5"/>
  <c r="H4905" i="5"/>
  <c r="I4905" i="5"/>
  <c r="J4905" i="5"/>
  <c r="K4905" i="5"/>
  <c r="L4905" i="5"/>
  <c r="M4905" i="5"/>
  <c r="H4906" i="5"/>
  <c r="I4906" i="5"/>
  <c r="J4906" i="5"/>
  <c r="K4906" i="5"/>
  <c r="L4906" i="5"/>
  <c r="M4906" i="5"/>
  <c r="H4907" i="5"/>
  <c r="I4907" i="5"/>
  <c r="J4907" i="5"/>
  <c r="K4907" i="5"/>
  <c r="L4907" i="5"/>
  <c r="M4907" i="5"/>
  <c r="H4908" i="5"/>
  <c r="I4908" i="5"/>
  <c r="J4908" i="5"/>
  <c r="K4908" i="5"/>
  <c r="L4908" i="5"/>
  <c r="M4908" i="5"/>
  <c r="H4909" i="5"/>
  <c r="I4909" i="5"/>
  <c r="J4909" i="5"/>
  <c r="K4909" i="5"/>
  <c r="L4909" i="5"/>
  <c r="M4909" i="5"/>
  <c r="H4910" i="5"/>
  <c r="I4910" i="5"/>
  <c r="J4910" i="5"/>
  <c r="K4910" i="5"/>
  <c r="L4910" i="5"/>
  <c r="M4910" i="5"/>
  <c r="H4911" i="5"/>
  <c r="I4911" i="5"/>
  <c r="J4911" i="5"/>
  <c r="K4911" i="5"/>
  <c r="L4911" i="5"/>
  <c r="M4911" i="5"/>
  <c r="H4912" i="5"/>
  <c r="I4912" i="5"/>
  <c r="J4912" i="5"/>
  <c r="K4912" i="5"/>
  <c r="L4912" i="5"/>
  <c r="M4912" i="5"/>
  <c r="H4913" i="5"/>
  <c r="I4913" i="5"/>
  <c r="J4913" i="5"/>
  <c r="K4913" i="5"/>
  <c r="L4913" i="5"/>
  <c r="M4913" i="5"/>
  <c r="H4914" i="5"/>
  <c r="I4914" i="5"/>
  <c r="J4914" i="5"/>
  <c r="K4914" i="5"/>
  <c r="L4914" i="5"/>
  <c r="M4914" i="5"/>
  <c r="H4915" i="5"/>
  <c r="I4915" i="5"/>
  <c r="J4915" i="5"/>
  <c r="K4915" i="5"/>
  <c r="L4915" i="5"/>
  <c r="M4915" i="5"/>
  <c r="H4916" i="5"/>
  <c r="I4916" i="5"/>
  <c r="J4916" i="5"/>
  <c r="K4916" i="5"/>
  <c r="L4916" i="5"/>
  <c r="M4916" i="5"/>
  <c r="H4917" i="5"/>
  <c r="I4917" i="5"/>
  <c r="J4917" i="5"/>
  <c r="K4917" i="5"/>
  <c r="L4917" i="5"/>
  <c r="M4917" i="5"/>
  <c r="H4918" i="5"/>
  <c r="I4918" i="5"/>
  <c r="J4918" i="5"/>
  <c r="K4918" i="5"/>
  <c r="L4918" i="5"/>
  <c r="M4918" i="5"/>
  <c r="H4919" i="5"/>
  <c r="I4919" i="5"/>
  <c r="J4919" i="5"/>
  <c r="K4919" i="5"/>
  <c r="L4919" i="5"/>
  <c r="M4919" i="5"/>
  <c r="H4920" i="5"/>
  <c r="I4920" i="5"/>
  <c r="J4920" i="5"/>
  <c r="K4920" i="5"/>
  <c r="L4920" i="5"/>
  <c r="M4920" i="5"/>
  <c r="H4921" i="5"/>
  <c r="I4921" i="5"/>
  <c r="J4921" i="5"/>
  <c r="K4921" i="5"/>
  <c r="L4921" i="5"/>
  <c r="M4921" i="5"/>
  <c r="H4922" i="5"/>
  <c r="I4922" i="5"/>
  <c r="J4922" i="5"/>
  <c r="K4922" i="5"/>
  <c r="L4922" i="5"/>
  <c r="M4922" i="5"/>
  <c r="H4923" i="5"/>
  <c r="I4923" i="5"/>
  <c r="J4923" i="5"/>
  <c r="K4923" i="5"/>
  <c r="L4923" i="5"/>
  <c r="M4923" i="5"/>
  <c r="H4924" i="5"/>
  <c r="I4924" i="5"/>
  <c r="J4924" i="5"/>
  <c r="K4924" i="5"/>
  <c r="L4924" i="5"/>
  <c r="M4924" i="5"/>
  <c r="H4925" i="5"/>
  <c r="I4925" i="5"/>
  <c r="J4925" i="5"/>
  <c r="K4925" i="5"/>
  <c r="L4925" i="5"/>
  <c r="M4925" i="5"/>
  <c r="H4926" i="5"/>
  <c r="I4926" i="5"/>
  <c r="J4926" i="5"/>
  <c r="K4926" i="5"/>
  <c r="L4926" i="5"/>
  <c r="M4926" i="5"/>
  <c r="H4927" i="5"/>
  <c r="I4927" i="5"/>
  <c r="J4927" i="5"/>
  <c r="K4927" i="5"/>
  <c r="L4927" i="5"/>
  <c r="M4927" i="5"/>
  <c r="H4928" i="5"/>
  <c r="I4928" i="5"/>
  <c r="J4928" i="5"/>
  <c r="K4928" i="5"/>
  <c r="L4928" i="5"/>
  <c r="M4928" i="5"/>
  <c r="H4929" i="5"/>
  <c r="I4929" i="5"/>
  <c r="J4929" i="5"/>
  <c r="K4929" i="5"/>
  <c r="L4929" i="5"/>
  <c r="M4929" i="5"/>
  <c r="H4930" i="5"/>
  <c r="I4930" i="5"/>
  <c r="J4930" i="5"/>
  <c r="K4930" i="5"/>
  <c r="L4930" i="5"/>
  <c r="M4930" i="5"/>
  <c r="H4931" i="5"/>
  <c r="I4931" i="5"/>
  <c r="J4931" i="5"/>
  <c r="K4931" i="5"/>
  <c r="L4931" i="5"/>
  <c r="M4931" i="5"/>
  <c r="H4932" i="5"/>
  <c r="I4932" i="5"/>
  <c r="J4932" i="5"/>
  <c r="K4932" i="5"/>
  <c r="L4932" i="5"/>
  <c r="M4932" i="5"/>
  <c r="H4933" i="5"/>
  <c r="I4933" i="5"/>
  <c r="J4933" i="5"/>
  <c r="K4933" i="5"/>
  <c r="L4933" i="5"/>
  <c r="M4933" i="5"/>
  <c r="H4934" i="5"/>
  <c r="I4934" i="5"/>
  <c r="J4934" i="5"/>
  <c r="K4934" i="5"/>
  <c r="L4934" i="5"/>
  <c r="M4934" i="5"/>
  <c r="H4935" i="5"/>
  <c r="I4935" i="5"/>
  <c r="J4935" i="5"/>
  <c r="K4935" i="5"/>
  <c r="L4935" i="5"/>
  <c r="M4935" i="5"/>
  <c r="H4936" i="5"/>
  <c r="I4936" i="5"/>
  <c r="J4936" i="5"/>
  <c r="K4936" i="5"/>
  <c r="L4936" i="5"/>
  <c r="M4936" i="5"/>
  <c r="H4937" i="5"/>
  <c r="I4937" i="5"/>
  <c r="J4937" i="5"/>
  <c r="K4937" i="5"/>
  <c r="L4937" i="5"/>
  <c r="M4937" i="5"/>
  <c r="H4938" i="5"/>
  <c r="I4938" i="5"/>
  <c r="J4938" i="5"/>
  <c r="K4938" i="5"/>
  <c r="L4938" i="5"/>
  <c r="M4938" i="5"/>
  <c r="H4939" i="5"/>
  <c r="I4939" i="5"/>
  <c r="J4939" i="5"/>
  <c r="K4939" i="5"/>
  <c r="L4939" i="5"/>
  <c r="M4939" i="5"/>
  <c r="H4940" i="5"/>
  <c r="I4940" i="5"/>
  <c r="J4940" i="5"/>
  <c r="K4940" i="5"/>
  <c r="L4940" i="5"/>
  <c r="M4940" i="5"/>
  <c r="H4941" i="5"/>
  <c r="I4941" i="5"/>
  <c r="J4941" i="5"/>
  <c r="K4941" i="5"/>
  <c r="L4941" i="5"/>
  <c r="M4941" i="5"/>
  <c r="H4942" i="5"/>
  <c r="I4942" i="5"/>
  <c r="J4942" i="5"/>
  <c r="K4942" i="5"/>
  <c r="L4942" i="5"/>
  <c r="M4942" i="5"/>
  <c r="H4943" i="5"/>
  <c r="I4943" i="5"/>
  <c r="J4943" i="5"/>
  <c r="K4943" i="5"/>
  <c r="L4943" i="5"/>
  <c r="M4943" i="5"/>
  <c r="H4944" i="5"/>
  <c r="I4944" i="5"/>
  <c r="J4944" i="5"/>
  <c r="K4944" i="5"/>
  <c r="L4944" i="5"/>
  <c r="M4944" i="5"/>
  <c r="H4945" i="5"/>
  <c r="I4945" i="5"/>
  <c r="J4945" i="5"/>
  <c r="K4945" i="5"/>
  <c r="L4945" i="5"/>
  <c r="M4945" i="5"/>
  <c r="H4946" i="5"/>
  <c r="I4946" i="5"/>
  <c r="J4946" i="5"/>
  <c r="K4946" i="5"/>
  <c r="L4946" i="5"/>
  <c r="M4946" i="5"/>
  <c r="H4947" i="5"/>
  <c r="I4947" i="5"/>
  <c r="J4947" i="5"/>
  <c r="K4947" i="5"/>
  <c r="L4947" i="5"/>
  <c r="M4947" i="5"/>
  <c r="H4948" i="5"/>
  <c r="I4948" i="5"/>
  <c r="J4948" i="5"/>
  <c r="K4948" i="5"/>
  <c r="L4948" i="5"/>
  <c r="M4948" i="5"/>
  <c r="H4949" i="5"/>
  <c r="I4949" i="5"/>
  <c r="J4949" i="5"/>
  <c r="K4949" i="5"/>
  <c r="L4949" i="5"/>
  <c r="M4949" i="5"/>
  <c r="H4950" i="5"/>
  <c r="I4950" i="5"/>
  <c r="J4950" i="5"/>
  <c r="K4950" i="5"/>
  <c r="L4950" i="5"/>
  <c r="M4950" i="5"/>
  <c r="H4951" i="5"/>
  <c r="I4951" i="5"/>
  <c r="J4951" i="5"/>
  <c r="K4951" i="5"/>
  <c r="L4951" i="5"/>
  <c r="M4951" i="5"/>
  <c r="H4952" i="5"/>
  <c r="I4952" i="5"/>
  <c r="J4952" i="5"/>
  <c r="K4952" i="5"/>
  <c r="L4952" i="5"/>
  <c r="M4952" i="5"/>
  <c r="H4953" i="5"/>
  <c r="I4953" i="5"/>
  <c r="J4953" i="5"/>
  <c r="K4953" i="5"/>
  <c r="L4953" i="5"/>
  <c r="M4953" i="5"/>
  <c r="H4954" i="5"/>
  <c r="I4954" i="5"/>
  <c r="J4954" i="5"/>
  <c r="K4954" i="5"/>
  <c r="L4954" i="5"/>
  <c r="M4954" i="5"/>
  <c r="H4955" i="5"/>
  <c r="I4955" i="5"/>
  <c r="J4955" i="5"/>
  <c r="K4955" i="5"/>
  <c r="L4955" i="5"/>
  <c r="M4955" i="5"/>
  <c r="H4956" i="5"/>
  <c r="I4956" i="5"/>
  <c r="J4956" i="5"/>
  <c r="K4956" i="5"/>
  <c r="L4956" i="5"/>
  <c r="M4956" i="5"/>
  <c r="H4957" i="5"/>
  <c r="I4957" i="5"/>
  <c r="J4957" i="5"/>
  <c r="K4957" i="5"/>
  <c r="L4957" i="5"/>
  <c r="M4957" i="5"/>
  <c r="H4958" i="5"/>
  <c r="I4958" i="5"/>
  <c r="J4958" i="5"/>
  <c r="K4958" i="5"/>
  <c r="L4958" i="5"/>
  <c r="M4958" i="5"/>
  <c r="H4959" i="5"/>
  <c r="I4959" i="5"/>
  <c r="J4959" i="5"/>
  <c r="K4959" i="5"/>
  <c r="L4959" i="5"/>
  <c r="M4959" i="5"/>
  <c r="H4960" i="5"/>
  <c r="I4960" i="5"/>
  <c r="J4960" i="5"/>
  <c r="K4960" i="5"/>
  <c r="L4960" i="5"/>
  <c r="M4960" i="5"/>
  <c r="H4961" i="5"/>
  <c r="I4961" i="5"/>
  <c r="J4961" i="5"/>
  <c r="K4961" i="5"/>
  <c r="L4961" i="5"/>
  <c r="M4961" i="5"/>
  <c r="H4962" i="5"/>
  <c r="I4962" i="5"/>
  <c r="J4962" i="5"/>
  <c r="K4962" i="5"/>
  <c r="L4962" i="5"/>
  <c r="M4962" i="5"/>
  <c r="H4963" i="5"/>
  <c r="I4963" i="5"/>
  <c r="J4963" i="5"/>
  <c r="K4963" i="5"/>
  <c r="L4963" i="5"/>
  <c r="M4963" i="5"/>
  <c r="H4964" i="5"/>
  <c r="I4964" i="5"/>
  <c r="J4964" i="5"/>
  <c r="K4964" i="5"/>
  <c r="L4964" i="5"/>
  <c r="M4964" i="5"/>
  <c r="H4965" i="5"/>
  <c r="I4965" i="5"/>
  <c r="J4965" i="5"/>
  <c r="K4965" i="5"/>
  <c r="L4965" i="5"/>
  <c r="M4965" i="5"/>
  <c r="H4966" i="5"/>
  <c r="I4966" i="5"/>
  <c r="J4966" i="5"/>
  <c r="K4966" i="5"/>
  <c r="L4966" i="5"/>
  <c r="M4966" i="5"/>
  <c r="H4967" i="5"/>
  <c r="I4967" i="5"/>
  <c r="J4967" i="5"/>
  <c r="K4967" i="5"/>
  <c r="L4967" i="5"/>
  <c r="M4967" i="5"/>
  <c r="H4968" i="5"/>
  <c r="I4968" i="5"/>
  <c r="J4968" i="5"/>
  <c r="K4968" i="5"/>
  <c r="L4968" i="5"/>
  <c r="M4968" i="5"/>
  <c r="H4969" i="5"/>
  <c r="I4969" i="5"/>
  <c r="J4969" i="5"/>
  <c r="K4969" i="5"/>
  <c r="L4969" i="5"/>
  <c r="M4969" i="5"/>
  <c r="H4970" i="5"/>
  <c r="I4970" i="5"/>
  <c r="J4970" i="5"/>
  <c r="K4970" i="5"/>
  <c r="L4970" i="5"/>
  <c r="M4970" i="5"/>
  <c r="H4971" i="5"/>
  <c r="I4971" i="5"/>
  <c r="J4971" i="5"/>
  <c r="K4971" i="5"/>
  <c r="L4971" i="5"/>
  <c r="M4971" i="5"/>
  <c r="H4972" i="5"/>
  <c r="I4972" i="5"/>
  <c r="J4972" i="5"/>
  <c r="K4972" i="5"/>
  <c r="L4972" i="5"/>
  <c r="M4972" i="5"/>
  <c r="H4973" i="5"/>
  <c r="I4973" i="5"/>
  <c r="J4973" i="5"/>
  <c r="K4973" i="5"/>
  <c r="L4973" i="5"/>
  <c r="M4973" i="5"/>
  <c r="H4974" i="5"/>
  <c r="I4974" i="5"/>
  <c r="J4974" i="5"/>
  <c r="K4974" i="5"/>
  <c r="L4974" i="5"/>
  <c r="M4974" i="5"/>
  <c r="H4975" i="5"/>
  <c r="I4975" i="5"/>
  <c r="J4975" i="5"/>
  <c r="K4975" i="5"/>
  <c r="L4975" i="5"/>
  <c r="M4975" i="5"/>
  <c r="H4976" i="5"/>
  <c r="I4976" i="5"/>
  <c r="J4976" i="5"/>
  <c r="K4976" i="5"/>
  <c r="L4976" i="5"/>
  <c r="M4976" i="5"/>
  <c r="H4977" i="5"/>
  <c r="I4977" i="5"/>
  <c r="J4977" i="5"/>
  <c r="K4977" i="5"/>
  <c r="L4977" i="5"/>
  <c r="M4977" i="5"/>
  <c r="H4978" i="5"/>
  <c r="I4978" i="5"/>
  <c r="J4978" i="5"/>
  <c r="K4978" i="5"/>
  <c r="L4978" i="5"/>
  <c r="M4978" i="5"/>
  <c r="H4979" i="5"/>
  <c r="I4979" i="5"/>
  <c r="J4979" i="5"/>
  <c r="K4979" i="5"/>
  <c r="L4979" i="5"/>
  <c r="M4979" i="5"/>
  <c r="H4980" i="5"/>
  <c r="I4980" i="5"/>
  <c r="J4980" i="5"/>
  <c r="K4980" i="5"/>
  <c r="L4980" i="5"/>
  <c r="M4980" i="5"/>
  <c r="H4981" i="5"/>
  <c r="I4981" i="5"/>
  <c r="J4981" i="5"/>
  <c r="K4981" i="5"/>
  <c r="L4981" i="5"/>
  <c r="M4981" i="5"/>
  <c r="H4982" i="5"/>
  <c r="I4982" i="5"/>
  <c r="J4982" i="5"/>
  <c r="K4982" i="5"/>
  <c r="L4982" i="5"/>
  <c r="M4982" i="5"/>
  <c r="H4983" i="5"/>
  <c r="I4983" i="5"/>
  <c r="J4983" i="5"/>
  <c r="K4983" i="5"/>
  <c r="L4983" i="5"/>
  <c r="M4983" i="5"/>
  <c r="H4984" i="5"/>
  <c r="I4984" i="5"/>
  <c r="J4984" i="5"/>
  <c r="K4984" i="5"/>
  <c r="L4984" i="5"/>
  <c r="M4984" i="5"/>
  <c r="H4985" i="5"/>
  <c r="I4985" i="5"/>
  <c r="J4985" i="5"/>
  <c r="K4985" i="5"/>
  <c r="L4985" i="5"/>
  <c r="M4985" i="5"/>
  <c r="H4986" i="5"/>
  <c r="I4986" i="5"/>
  <c r="J4986" i="5"/>
  <c r="K4986" i="5"/>
  <c r="L4986" i="5"/>
  <c r="M4986" i="5"/>
  <c r="H4987" i="5"/>
  <c r="I4987" i="5"/>
  <c r="J4987" i="5"/>
  <c r="K4987" i="5"/>
  <c r="L4987" i="5"/>
  <c r="M4987" i="5"/>
  <c r="H4988" i="5"/>
  <c r="I4988" i="5"/>
  <c r="J4988" i="5"/>
  <c r="K4988" i="5"/>
  <c r="L4988" i="5"/>
  <c r="M4988" i="5"/>
  <c r="H4989" i="5"/>
  <c r="I4989" i="5"/>
  <c r="J4989" i="5"/>
  <c r="K4989" i="5"/>
  <c r="L4989" i="5"/>
  <c r="M4989" i="5"/>
  <c r="H4990" i="5"/>
  <c r="I4990" i="5"/>
  <c r="J4990" i="5"/>
  <c r="K4990" i="5"/>
  <c r="L4990" i="5"/>
  <c r="M4990" i="5"/>
  <c r="H4991" i="5"/>
  <c r="I4991" i="5"/>
  <c r="J4991" i="5"/>
  <c r="K4991" i="5"/>
  <c r="L4991" i="5"/>
  <c r="M4991" i="5"/>
  <c r="H4992" i="5"/>
  <c r="I4992" i="5"/>
  <c r="J4992" i="5"/>
  <c r="K4992" i="5"/>
  <c r="L4992" i="5"/>
  <c r="M4992" i="5"/>
  <c r="H4993" i="5"/>
  <c r="I4993" i="5"/>
  <c r="J4993" i="5"/>
  <c r="K4993" i="5"/>
  <c r="L4993" i="5"/>
  <c r="M4993" i="5"/>
  <c r="H4994" i="5"/>
  <c r="I4994" i="5"/>
  <c r="J4994" i="5"/>
  <c r="K4994" i="5"/>
  <c r="L4994" i="5"/>
  <c r="M4994" i="5"/>
  <c r="H4995" i="5"/>
  <c r="I4995" i="5"/>
  <c r="J4995" i="5"/>
  <c r="K4995" i="5"/>
  <c r="L4995" i="5"/>
  <c r="M4995" i="5"/>
  <c r="H4996" i="5"/>
  <c r="I4996" i="5"/>
  <c r="J4996" i="5"/>
  <c r="K4996" i="5"/>
  <c r="L4996" i="5"/>
  <c r="M4996" i="5"/>
  <c r="H4997" i="5"/>
  <c r="I4997" i="5"/>
  <c r="J4997" i="5"/>
  <c r="K4997" i="5"/>
  <c r="L4997" i="5"/>
  <c r="M4997" i="5"/>
  <c r="H4998" i="5"/>
  <c r="I4998" i="5"/>
  <c r="J4998" i="5"/>
  <c r="K4998" i="5"/>
  <c r="L4998" i="5"/>
  <c r="M4998" i="5"/>
  <c r="H4999" i="5"/>
  <c r="I4999" i="5"/>
  <c r="J4999" i="5"/>
  <c r="K4999" i="5"/>
  <c r="L4999" i="5"/>
  <c r="M4999" i="5"/>
  <c r="H5000" i="5"/>
  <c r="I5000" i="5"/>
  <c r="J5000" i="5"/>
  <c r="K5000" i="5"/>
  <c r="L5000" i="5"/>
  <c r="M5000" i="5"/>
  <c r="H5001" i="5"/>
  <c r="I5001" i="5"/>
  <c r="J5001" i="5"/>
  <c r="K5001" i="5"/>
  <c r="L5001" i="5"/>
  <c r="M5001" i="5"/>
  <c r="H5002" i="5"/>
  <c r="I5002" i="5"/>
  <c r="J5002" i="5"/>
  <c r="K5002" i="5"/>
  <c r="L5002" i="5"/>
  <c r="M5002" i="5"/>
  <c r="H5003" i="5"/>
  <c r="I5003" i="5"/>
  <c r="J5003" i="5"/>
  <c r="K5003" i="5"/>
  <c r="L5003" i="5"/>
  <c r="M5003" i="5"/>
  <c r="H5004" i="5"/>
  <c r="I5004" i="5"/>
  <c r="J5004" i="5"/>
  <c r="K5004" i="5"/>
  <c r="L5004" i="5"/>
  <c r="M5004" i="5"/>
  <c r="H5005" i="5"/>
  <c r="I5005" i="5"/>
  <c r="J5005" i="5"/>
  <c r="K5005" i="5"/>
  <c r="L5005" i="5"/>
  <c r="M5005" i="5"/>
  <c r="H5006" i="5"/>
  <c r="I5006" i="5"/>
  <c r="J5006" i="5"/>
  <c r="K5006" i="5"/>
  <c r="L5006" i="5"/>
  <c r="M5006" i="5"/>
  <c r="H5007" i="5"/>
  <c r="I5007" i="5"/>
  <c r="J5007" i="5"/>
  <c r="K5007" i="5"/>
  <c r="L5007" i="5"/>
  <c r="M5007" i="5"/>
  <c r="H5008" i="5"/>
  <c r="I5008" i="5"/>
  <c r="J5008" i="5"/>
  <c r="K5008" i="5"/>
  <c r="L5008" i="5"/>
  <c r="M5008" i="5"/>
  <c r="H5009" i="5"/>
  <c r="I5009" i="5"/>
  <c r="J5009" i="5"/>
  <c r="K5009" i="5"/>
  <c r="L5009" i="5"/>
  <c r="M5009" i="5"/>
  <c r="H5010" i="5"/>
  <c r="I5010" i="5"/>
  <c r="J5010" i="5"/>
  <c r="K5010" i="5"/>
  <c r="L5010" i="5"/>
  <c r="M5010" i="5"/>
  <c r="H5011" i="5"/>
  <c r="I5011" i="5"/>
  <c r="J5011" i="5"/>
  <c r="K5011" i="5"/>
  <c r="L5011" i="5"/>
  <c r="M5011" i="5"/>
  <c r="H5012" i="5"/>
  <c r="I5012" i="5"/>
  <c r="J5012" i="5"/>
  <c r="K5012" i="5"/>
  <c r="L5012" i="5"/>
  <c r="M5012" i="5"/>
  <c r="H5013" i="5"/>
  <c r="I5013" i="5"/>
  <c r="J5013" i="5"/>
  <c r="K5013" i="5"/>
  <c r="L5013" i="5"/>
  <c r="M5013" i="5"/>
  <c r="H5014" i="5"/>
  <c r="I5014" i="5"/>
  <c r="J5014" i="5"/>
  <c r="K5014" i="5"/>
  <c r="L5014" i="5"/>
  <c r="M5014" i="5"/>
  <c r="H5015" i="5"/>
  <c r="I5015" i="5"/>
  <c r="J5015" i="5"/>
  <c r="K5015" i="5"/>
  <c r="L5015" i="5"/>
  <c r="M5015" i="5"/>
  <c r="H5016" i="5"/>
  <c r="I5016" i="5"/>
  <c r="J5016" i="5"/>
  <c r="K5016" i="5"/>
  <c r="L5016" i="5"/>
  <c r="M5016" i="5"/>
  <c r="H5017" i="5"/>
  <c r="I5017" i="5"/>
  <c r="J5017" i="5"/>
  <c r="K5017" i="5"/>
  <c r="L5017" i="5"/>
  <c r="M5017" i="5"/>
  <c r="H5018" i="5"/>
  <c r="I5018" i="5"/>
  <c r="J5018" i="5"/>
  <c r="K5018" i="5"/>
  <c r="L5018" i="5"/>
  <c r="M5018" i="5"/>
  <c r="H5019" i="5"/>
  <c r="I5019" i="5"/>
  <c r="J5019" i="5"/>
  <c r="K5019" i="5"/>
  <c r="L5019" i="5"/>
  <c r="M5019" i="5"/>
  <c r="H5020" i="5"/>
  <c r="I5020" i="5"/>
  <c r="J5020" i="5"/>
  <c r="K5020" i="5"/>
  <c r="L5020" i="5"/>
  <c r="M5020" i="5"/>
  <c r="H5021" i="5"/>
  <c r="I5021" i="5"/>
  <c r="J5021" i="5"/>
  <c r="K5021" i="5"/>
  <c r="L5021" i="5"/>
  <c r="M5021" i="5"/>
  <c r="H5022" i="5"/>
  <c r="I5022" i="5"/>
  <c r="J5022" i="5"/>
  <c r="K5022" i="5"/>
  <c r="L5022" i="5"/>
  <c r="M5022" i="5"/>
  <c r="H5023" i="5"/>
  <c r="I5023" i="5"/>
  <c r="J5023" i="5"/>
  <c r="K5023" i="5"/>
  <c r="L5023" i="5"/>
  <c r="M5023" i="5"/>
  <c r="H5024" i="5"/>
  <c r="I5024" i="5"/>
  <c r="J5024" i="5"/>
  <c r="K5024" i="5"/>
  <c r="L5024" i="5"/>
  <c r="M5024" i="5"/>
  <c r="H5025" i="5"/>
  <c r="I5025" i="5"/>
  <c r="J5025" i="5"/>
  <c r="K5025" i="5"/>
  <c r="L5025" i="5"/>
  <c r="M5025" i="5"/>
  <c r="H5026" i="5"/>
  <c r="I5026" i="5"/>
  <c r="J5026" i="5"/>
  <c r="K5026" i="5"/>
  <c r="L5026" i="5"/>
  <c r="M5026" i="5"/>
  <c r="H5027" i="5"/>
  <c r="I5027" i="5"/>
  <c r="J5027" i="5"/>
  <c r="K5027" i="5"/>
  <c r="L5027" i="5"/>
  <c r="M5027" i="5"/>
  <c r="H5028" i="5"/>
  <c r="I5028" i="5"/>
  <c r="J5028" i="5"/>
  <c r="K5028" i="5"/>
  <c r="L5028" i="5"/>
  <c r="M5028" i="5"/>
  <c r="H5029" i="5"/>
  <c r="I5029" i="5"/>
  <c r="J5029" i="5"/>
  <c r="K5029" i="5"/>
  <c r="L5029" i="5"/>
  <c r="M5029" i="5"/>
  <c r="H5030" i="5"/>
  <c r="I5030" i="5"/>
  <c r="J5030" i="5"/>
  <c r="K5030" i="5"/>
  <c r="L5030" i="5"/>
  <c r="M5030" i="5"/>
  <c r="H5031" i="5"/>
  <c r="I5031" i="5"/>
  <c r="J5031" i="5"/>
  <c r="K5031" i="5"/>
  <c r="L5031" i="5"/>
  <c r="M5031" i="5"/>
  <c r="H5032" i="5"/>
  <c r="I5032" i="5"/>
  <c r="J5032" i="5"/>
  <c r="K5032" i="5"/>
  <c r="L5032" i="5"/>
  <c r="M5032" i="5"/>
  <c r="H5033" i="5"/>
  <c r="I5033" i="5"/>
  <c r="J5033" i="5"/>
  <c r="K5033" i="5"/>
  <c r="L5033" i="5"/>
  <c r="M5033" i="5"/>
  <c r="H5034" i="5"/>
  <c r="I5034" i="5"/>
  <c r="J5034" i="5"/>
  <c r="K5034" i="5"/>
  <c r="L5034" i="5"/>
  <c r="M5034" i="5"/>
  <c r="H5035" i="5"/>
  <c r="I5035" i="5"/>
  <c r="J5035" i="5"/>
  <c r="K5035" i="5"/>
  <c r="L5035" i="5"/>
  <c r="M5035" i="5"/>
  <c r="H5036" i="5"/>
  <c r="I5036" i="5"/>
  <c r="J5036" i="5"/>
  <c r="K5036" i="5"/>
  <c r="L5036" i="5"/>
  <c r="M5036" i="5"/>
  <c r="H5037" i="5"/>
  <c r="I5037" i="5"/>
  <c r="J5037" i="5"/>
  <c r="K5037" i="5"/>
  <c r="L5037" i="5"/>
  <c r="M5037" i="5"/>
  <c r="H5038" i="5"/>
  <c r="I5038" i="5"/>
  <c r="J5038" i="5"/>
  <c r="K5038" i="5"/>
  <c r="L5038" i="5"/>
  <c r="M5038" i="5"/>
  <c r="H5039" i="5"/>
  <c r="I5039" i="5"/>
  <c r="J5039" i="5"/>
  <c r="K5039" i="5"/>
  <c r="L5039" i="5"/>
  <c r="M5039" i="5"/>
  <c r="H5040" i="5"/>
  <c r="I5040" i="5"/>
  <c r="J5040" i="5"/>
  <c r="K5040" i="5"/>
  <c r="L5040" i="5"/>
  <c r="M5040" i="5"/>
  <c r="H5041" i="5"/>
  <c r="I5041" i="5"/>
  <c r="J5041" i="5"/>
  <c r="K5041" i="5"/>
  <c r="L5041" i="5"/>
  <c r="M5041" i="5"/>
  <c r="H5042" i="5"/>
  <c r="I5042" i="5"/>
  <c r="J5042" i="5"/>
  <c r="K5042" i="5"/>
  <c r="L5042" i="5"/>
  <c r="M5042" i="5"/>
  <c r="H5043" i="5"/>
  <c r="I5043" i="5"/>
  <c r="J5043" i="5"/>
  <c r="K5043" i="5"/>
  <c r="L5043" i="5"/>
  <c r="M5043" i="5"/>
  <c r="H5044" i="5"/>
  <c r="I5044" i="5"/>
  <c r="J5044" i="5"/>
  <c r="K5044" i="5"/>
  <c r="L5044" i="5"/>
  <c r="M5044" i="5"/>
  <c r="H5045" i="5"/>
  <c r="I5045" i="5"/>
  <c r="J5045" i="5"/>
  <c r="K5045" i="5"/>
  <c r="L5045" i="5"/>
  <c r="M5045" i="5"/>
  <c r="H5046" i="5"/>
  <c r="I5046" i="5"/>
  <c r="J5046" i="5"/>
  <c r="K5046" i="5"/>
  <c r="L5046" i="5"/>
  <c r="M5046" i="5"/>
  <c r="H5047" i="5"/>
  <c r="I5047" i="5"/>
  <c r="J5047" i="5"/>
  <c r="K5047" i="5"/>
  <c r="L5047" i="5"/>
  <c r="M5047" i="5"/>
  <c r="H5048" i="5"/>
  <c r="I5048" i="5"/>
  <c r="J5048" i="5"/>
  <c r="K5048" i="5"/>
  <c r="L5048" i="5"/>
  <c r="M5048" i="5"/>
  <c r="H5049" i="5"/>
  <c r="I5049" i="5"/>
  <c r="J5049" i="5"/>
  <c r="K5049" i="5"/>
  <c r="L5049" i="5"/>
  <c r="M5049" i="5"/>
  <c r="H5050" i="5"/>
  <c r="I5050" i="5"/>
  <c r="J5050" i="5"/>
  <c r="K5050" i="5"/>
  <c r="L5050" i="5"/>
  <c r="M5050" i="5"/>
  <c r="H5051" i="5"/>
  <c r="I5051" i="5"/>
  <c r="J5051" i="5"/>
  <c r="K5051" i="5"/>
  <c r="L5051" i="5"/>
  <c r="M5051" i="5"/>
  <c r="H5052" i="5"/>
  <c r="I5052" i="5"/>
  <c r="J5052" i="5"/>
  <c r="K5052" i="5"/>
  <c r="L5052" i="5"/>
  <c r="M5052" i="5"/>
  <c r="H5053" i="5"/>
  <c r="I5053" i="5"/>
  <c r="J5053" i="5"/>
  <c r="K5053" i="5"/>
  <c r="L5053" i="5"/>
  <c r="M5053" i="5"/>
  <c r="H5054" i="5"/>
  <c r="I5054" i="5"/>
  <c r="J5054" i="5"/>
  <c r="K5054" i="5"/>
  <c r="L5054" i="5"/>
  <c r="M5054" i="5"/>
  <c r="H5055" i="5"/>
  <c r="I5055" i="5"/>
  <c r="J5055" i="5"/>
  <c r="K5055" i="5"/>
  <c r="L5055" i="5"/>
  <c r="M5055" i="5"/>
  <c r="H5056" i="5"/>
  <c r="I5056" i="5"/>
  <c r="J5056" i="5"/>
  <c r="K5056" i="5"/>
  <c r="L5056" i="5"/>
  <c r="M5056" i="5"/>
  <c r="H5057" i="5"/>
  <c r="I5057" i="5"/>
  <c r="J5057" i="5"/>
  <c r="K5057" i="5"/>
  <c r="L5057" i="5"/>
  <c r="M5057" i="5"/>
  <c r="H5058" i="5"/>
  <c r="I5058" i="5"/>
  <c r="J5058" i="5"/>
  <c r="K5058" i="5"/>
  <c r="L5058" i="5"/>
  <c r="M5058" i="5"/>
  <c r="H5059" i="5"/>
  <c r="I5059" i="5"/>
  <c r="J5059" i="5"/>
  <c r="K5059" i="5"/>
  <c r="L5059" i="5"/>
  <c r="M5059" i="5"/>
  <c r="H5060" i="5"/>
  <c r="I5060" i="5"/>
  <c r="J5060" i="5"/>
  <c r="K5060" i="5"/>
  <c r="L5060" i="5"/>
  <c r="M5060" i="5"/>
  <c r="H5061" i="5"/>
  <c r="I5061" i="5"/>
  <c r="J5061" i="5"/>
  <c r="K5061" i="5"/>
  <c r="L5061" i="5"/>
  <c r="M5061" i="5"/>
  <c r="H5062" i="5"/>
  <c r="I5062" i="5"/>
  <c r="J5062" i="5"/>
  <c r="K5062" i="5"/>
  <c r="L5062" i="5"/>
  <c r="M5062" i="5"/>
  <c r="H5063" i="5"/>
  <c r="I5063" i="5"/>
  <c r="J5063" i="5"/>
  <c r="K5063" i="5"/>
  <c r="L5063" i="5"/>
  <c r="M5063" i="5"/>
  <c r="H5064" i="5"/>
  <c r="I5064" i="5"/>
  <c r="J5064" i="5"/>
  <c r="K5064" i="5"/>
  <c r="L5064" i="5"/>
  <c r="M5064" i="5"/>
  <c r="H5065" i="5"/>
  <c r="I5065" i="5"/>
  <c r="J5065" i="5"/>
  <c r="K5065" i="5"/>
  <c r="L5065" i="5"/>
  <c r="M5065" i="5"/>
  <c r="H5066" i="5"/>
  <c r="I5066" i="5"/>
  <c r="J5066" i="5"/>
  <c r="K5066" i="5"/>
  <c r="L5066" i="5"/>
  <c r="M5066" i="5"/>
  <c r="H5067" i="5"/>
  <c r="I5067" i="5"/>
  <c r="J5067" i="5"/>
  <c r="K5067" i="5"/>
  <c r="L5067" i="5"/>
  <c r="M5067" i="5"/>
  <c r="H5068" i="5"/>
  <c r="I5068" i="5"/>
  <c r="J5068" i="5"/>
  <c r="K5068" i="5"/>
  <c r="L5068" i="5"/>
  <c r="M5068" i="5"/>
  <c r="H5069" i="5"/>
  <c r="I5069" i="5"/>
  <c r="J5069" i="5"/>
  <c r="K5069" i="5"/>
  <c r="L5069" i="5"/>
  <c r="M5069" i="5"/>
  <c r="H5070" i="5"/>
  <c r="I5070" i="5"/>
  <c r="J5070" i="5"/>
  <c r="K5070" i="5"/>
  <c r="L5070" i="5"/>
  <c r="M5070" i="5"/>
  <c r="H5071" i="5"/>
  <c r="I5071" i="5"/>
  <c r="J5071" i="5"/>
  <c r="K5071" i="5"/>
  <c r="L5071" i="5"/>
  <c r="M5071" i="5"/>
  <c r="H5072" i="5"/>
  <c r="I5072" i="5"/>
  <c r="J5072" i="5"/>
  <c r="K5072" i="5"/>
  <c r="L5072" i="5"/>
  <c r="M5072" i="5"/>
  <c r="H5073" i="5"/>
  <c r="I5073" i="5"/>
  <c r="J5073" i="5"/>
  <c r="K5073" i="5"/>
  <c r="L5073" i="5"/>
  <c r="M5073" i="5"/>
  <c r="H5074" i="5"/>
  <c r="I5074" i="5"/>
  <c r="J5074" i="5"/>
  <c r="K5074" i="5"/>
  <c r="L5074" i="5"/>
  <c r="M5074" i="5"/>
  <c r="H5075" i="5"/>
  <c r="I5075" i="5"/>
  <c r="J5075" i="5"/>
  <c r="K5075" i="5"/>
  <c r="L5075" i="5"/>
  <c r="M5075" i="5"/>
  <c r="H5076" i="5"/>
  <c r="I5076" i="5"/>
  <c r="J5076" i="5"/>
  <c r="K5076" i="5"/>
  <c r="L5076" i="5"/>
  <c r="M5076" i="5"/>
  <c r="H5077" i="5"/>
  <c r="I5077" i="5"/>
  <c r="J5077" i="5"/>
  <c r="K5077" i="5"/>
  <c r="L5077" i="5"/>
  <c r="M5077" i="5"/>
  <c r="H5078" i="5"/>
  <c r="I5078" i="5"/>
  <c r="J5078" i="5"/>
  <c r="K5078" i="5"/>
  <c r="L5078" i="5"/>
  <c r="M5078" i="5"/>
  <c r="H5079" i="5"/>
  <c r="I5079" i="5"/>
  <c r="J5079" i="5"/>
  <c r="K5079" i="5"/>
  <c r="L5079" i="5"/>
  <c r="M5079" i="5"/>
  <c r="H5080" i="5"/>
  <c r="I5080" i="5"/>
  <c r="J5080" i="5"/>
  <c r="K5080" i="5"/>
  <c r="L5080" i="5"/>
  <c r="M5080" i="5"/>
  <c r="H5081" i="5"/>
  <c r="I5081" i="5"/>
  <c r="J5081" i="5"/>
  <c r="K5081" i="5"/>
  <c r="L5081" i="5"/>
  <c r="M5081" i="5"/>
  <c r="H5082" i="5"/>
  <c r="I5082" i="5"/>
  <c r="J5082" i="5"/>
  <c r="K5082" i="5"/>
  <c r="L5082" i="5"/>
  <c r="M5082" i="5"/>
  <c r="H5083" i="5"/>
  <c r="I5083" i="5"/>
  <c r="J5083" i="5"/>
  <c r="K5083" i="5"/>
  <c r="L5083" i="5"/>
  <c r="M5083" i="5"/>
  <c r="H5084" i="5"/>
  <c r="I5084" i="5"/>
  <c r="J5084" i="5"/>
  <c r="K5084" i="5"/>
  <c r="L5084" i="5"/>
  <c r="M5084" i="5"/>
  <c r="H5085" i="5"/>
  <c r="I5085" i="5"/>
  <c r="J5085" i="5"/>
  <c r="K5085" i="5"/>
  <c r="L5085" i="5"/>
  <c r="M5085" i="5"/>
  <c r="H5086" i="5"/>
  <c r="I5086" i="5"/>
  <c r="J5086" i="5"/>
  <c r="K5086" i="5"/>
  <c r="L5086" i="5"/>
  <c r="M5086" i="5"/>
  <c r="H5087" i="5"/>
  <c r="I5087" i="5"/>
  <c r="J5087" i="5"/>
  <c r="K5087" i="5"/>
  <c r="L5087" i="5"/>
  <c r="M5087" i="5"/>
  <c r="H5088" i="5"/>
  <c r="I5088" i="5"/>
  <c r="J5088" i="5"/>
  <c r="K5088" i="5"/>
  <c r="L5088" i="5"/>
  <c r="M5088" i="5"/>
  <c r="H5089" i="5"/>
  <c r="I5089" i="5"/>
  <c r="J5089" i="5"/>
  <c r="K5089" i="5"/>
  <c r="L5089" i="5"/>
  <c r="M5089" i="5"/>
  <c r="H5090" i="5"/>
  <c r="I5090" i="5"/>
  <c r="J5090" i="5"/>
  <c r="K5090" i="5"/>
  <c r="L5090" i="5"/>
  <c r="M5090" i="5"/>
  <c r="H5091" i="5"/>
  <c r="I5091" i="5"/>
  <c r="J5091" i="5"/>
  <c r="K5091" i="5"/>
  <c r="L5091" i="5"/>
  <c r="M5091" i="5"/>
  <c r="H5092" i="5"/>
  <c r="I5092" i="5"/>
  <c r="J5092" i="5"/>
  <c r="K5092" i="5"/>
  <c r="L5092" i="5"/>
  <c r="M5092" i="5"/>
  <c r="H5093" i="5"/>
  <c r="I5093" i="5"/>
  <c r="J5093" i="5"/>
  <c r="K5093" i="5"/>
  <c r="L5093" i="5"/>
  <c r="M5093" i="5"/>
  <c r="H5094" i="5"/>
  <c r="I5094" i="5"/>
  <c r="J5094" i="5"/>
  <c r="K5094" i="5"/>
  <c r="L5094" i="5"/>
  <c r="M5094" i="5"/>
  <c r="H5095" i="5"/>
  <c r="I5095" i="5"/>
  <c r="J5095" i="5"/>
  <c r="K5095" i="5"/>
  <c r="L5095" i="5"/>
  <c r="M5095" i="5"/>
  <c r="H5096" i="5"/>
  <c r="I5096" i="5"/>
  <c r="J5096" i="5"/>
  <c r="K5096" i="5"/>
  <c r="L5096" i="5"/>
  <c r="M5096" i="5"/>
  <c r="H5097" i="5"/>
  <c r="I5097" i="5"/>
  <c r="J5097" i="5"/>
  <c r="K5097" i="5"/>
  <c r="L5097" i="5"/>
  <c r="M5097" i="5"/>
  <c r="H5098" i="5"/>
  <c r="I5098" i="5"/>
  <c r="J5098" i="5"/>
  <c r="K5098" i="5"/>
  <c r="L5098" i="5"/>
  <c r="M5098" i="5"/>
  <c r="H5099" i="5"/>
  <c r="I5099" i="5"/>
  <c r="J5099" i="5"/>
  <c r="K5099" i="5"/>
  <c r="L5099" i="5"/>
  <c r="M5099" i="5"/>
  <c r="H5100" i="5"/>
  <c r="I5100" i="5"/>
  <c r="J5100" i="5"/>
  <c r="K5100" i="5"/>
  <c r="L5100" i="5"/>
  <c r="M5100" i="5"/>
  <c r="H5101" i="5"/>
  <c r="I5101" i="5"/>
  <c r="J5101" i="5"/>
  <c r="K5101" i="5"/>
  <c r="L5101" i="5"/>
  <c r="M5101" i="5"/>
  <c r="H5102" i="5"/>
  <c r="I5102" i="5"/>
  <c r="J5102" i="5"/>
  <c r="K5102" i="5"/>
  <c r="L5102" i="5"/>
  <c r="M5102" i="5"/>
  <c r="H5103" i="5"/>
  <c r="I5103" i="5"/>
  <c r="J5103" i="5"/>
  <c r="K5103" i="5"/>
  <c r="L5103" i="5"/>
  <c r="M5103" i="5"/>
  <c r="H5104" i="5"/>
  <c r="I5104" i="5"/>
  <c r="J5104" i="5"/>
  <c r="K5104" i="5"/>
  <c r="L5104" i="5"/>
  <c r="M5104" i="5"/>
  <c r="H5105" i="5"/>
  <c r="I5105" i="5"/>
  <c r="J5105" i="5"/>
  <c r="K5105" i="5"/>
  <c r="L5105" i="5"/>
  <c r="M5105" i="5"/>
  <c r="H5106" i="5"/>
  <c r="I5106" i="5"/>
  <c r="J5106" i="5"/>
  <c r="K5106" i="5"/>
  <c r="L5106" i="5"/>
  <c r="M5106" i="5"/>
  <c r="H5107" i="5"/>
  <c r="I5107" i="5"/>
  <c r="J5107" i="5"/>
  <c r="K5107" i="5"/>
  <c r="L5107" i="5"/>
  <c r="M5107" i="5"/>
  <c r="H5108" i="5"/>
  <c r="I5108" i="5"/>
  <c r="J5108" i="5"/>
  <c r="K5108" i="5"/>
  <c r="L5108" i="5"/>
  <c r="M5108" i="5"/>
  <c r="H5109" i="5"/>
  <c r="I5109" i="5"/>
  <c r="J5109" i="5"/>
  <c r="K5109" i="5"/>
  <c r="L5109" i="5"/>
  <c r="M5109" i="5"/>
  <c r="H5110" i="5"/>
  <c r="I5110" i="5"/>
  <c r="J5110" i="5"/>
  <c r="K5110" i="5"/>
  <c r="L5110" i="5"/>
  <c r="M5110" i="5"/>
  <c r="H5111" i="5"/>
  <c r="I5111" i="5"/>
  <c r="J5111" i="5"/>
  <c r="K5111" i="5"/>
  <c r="L5111" i="5"/>
  <c r="M5111" i="5"/>
  <c r="H5112" i="5"/>
  <c r="I5112" i="5"/>
  <c r="J5112" i="5"/>
  <c r="K5112" i="5"/>
  <c r="L5112" i="5"/>
  <c r="M5112" i="5"/>
  <c r="H5113" i="5"/>
  <c r="I5113" i="5"/>
  <c r="J5113" i="5"/>
  <c r="K5113" i="5"/>
  <c r="L5113" i="5"/>
  <c r="M5113" i="5"/>
  <c r="H5114" i="5"/>
  <c r="I5114" i="5"/>
  <c r="J5114" i="5"/>
  <c r="K5114" i="5"/>
  <c r="L5114" i="5"/>
  <c r="M5114" i="5"/>
  <c r="H5115" i="5"/>
  <c r="I5115" i="5"/>
  <c r="J5115" i="5"/>
  <c r="K5115" i="5"/>
  <c r="L5115" i="5"/>
  <c r="M5115" i="5"/>
  <c r="H5116" i="5"/>
  <c r="I5116" i="5"/>
  <c r="J5116" i="5"/>
  <c r="K5116" i="5"/>
  <c r="L5116" i="5"/>
  <c r="M5116" i="5"/>
  <c r="H5117" i="5"/>
  <c r="I5117" i="5"/>
  <c r="J5117" i="5"/>
  <c r="K5117" i="5"/>
  <c r="L5117" i="5"/>
  <c r="M5117" i="5"/>
  <c r="H5118" i="5"/>
  <c r="I5118" i="5"/>
  <c r="J5118" i="5"/>
  <c r="K5118" i="5"/>
  <c r="L5118" i="5"/>
  <c r="M5118" i="5"/>
  <c r="H5119" i="5"/>
  <c r="I5119" i="5"/>
  <c r="J5119" i="5"/>
  <c r="K5119" i="5"/>
  <c r="L5119" i="5"/>
  <c r="M5119" i="5"/>
  <c r="H5120" i="5"/>
  <c r="I5120" i="5"/>
  <c r="J5120" i="5"/>
  <c r="K5120" i="5"/>
  <c r="L5120" i="5"/>
  <c r="M5120" i="5"/>
  <c r="H5121" i="5"/>
  <c r="I5121" i="5"/>
  <c r="J5121" i="5"/>
  <c r="K5121" i="5"/>
  <c r="L5121" i="5"/>
  <c r="M5121" i="5"/>
  <c r="H5122" i="5"/>
  <c r="I5122" i="5"/>
  <c r="J5122" i="5"/>
  <c r="K5122" i="5"/>
  <c r="L5122" i="5"/>
  <c r="M5122" i="5"/>
  <c r="H5123" i="5"/>
  <c r="I5123" i="5"/>
  <c r="J5123" i="5"/>
  <c r="K5123" i="5"/>
  <c r="L5123" i="5"/>
  <c r="M5123" i="5"/>
  <c r="H5124" i="5"/>
  <c r="I5124" i="5"/>
  <c r="J5124" i="5"/>
  <c r="K5124" i="5"/>
  <c r="L5124" i="5"/>
  <c r="M5124" i="5"/>
  <c r="H5125" i="5"/>
  <c r="I5125" i="5"/>
  <c r="J5125" i="5"/>
  <c r="K5125" i="5"/>
  <c r="L5125" i="5"/>
  <c r="M5125" i="5"/>
  <c r="H5126" i="5"/>
  <c r="I5126" i="5"/>
  <c r="J5126" i="5"/>
  <c r="K5126" i="5"/>
  <c r="L5126" i="5"/>
  <c r="M5126" i="5"/>
  <c r="H5127" i="5"/>
  <c r="I5127" i="5"/>
  <c r="J5127" i="5"/>
  <c r="K5127" i="5"/>
  <c r="L5127" i="5"/>
  <c r="M5127" i="5"/>
  <c r="H5128" i="5"/>
  <c r="I5128" i="5"/>
  <c r="J5128" i="5"/>
  <c r="K5128" i="5"/>
  <c r="L5128" i="5"/>
  <c r="M5128" i="5"/>
  <c r="H5129" i="5"/>
  <c r="I5129" i="5"/>
  <c r="J5129" i="5"/>
  <c r="K5129" i="5"/>
  <c r="L5129" i="5"/>
  <c r="M5129" i="5"/>
  <c r="H5130" i="5"/>
  <c r="I5130" i="5"/>
  <c r="J5130" i="5"/>
  <c r="K5130" i="5"/>
  <c r="L5130" i="5"/>
  <c r="M5130" i="5"/>
  <c r="H5131" i="5"/>
  <c r="I5131" i="5"/>
  <c r="J5131" i="5"/>
  <c r="K5131" i="5"/>
  <c r="L5131" i="5"/>
  <c r="M5131" i="5"/>
  <c r="H5132" i="5"/>
  <c r="I5132" i="5"/>
  <c r="J5132" i="5"/>
  <c r="K5132" i="5"/>
  <c r="L5132" i="5"/>
  <c r="M5132" i="5"/>
  <c r="H5133" i="5"/>
  <c r="I5133" i="5"/>
  <c r="J5133" i="5"/>
  <c r="K5133" i="5"/>
  <c r="L5133" i="5"/>
  <c r="M5133" i="5"/>
  <c r="H5134" i="5"/>
  <c r="I5134" i="5"/>
  <c r="J5134" i="5"/>
  <c r="K5134" i="5"/>
  <c r="L5134" i="5"/>
  <c r="M5134" i="5"/>
  <c r="H5135" i="5"/>
  <c r="I5135" i="5"/>
  <c r="J5135" i="5"/>
  <c r="K5135" i="5"/>
  <c r="L5135" i="5"/>
  <c r="M5135" i="5"/>
  <c r="H5136" i="5"/>
  <c r="I5136" i="5"/>
  <c r="J5136" i="5"/>
  <c r="K5136" i="5"/>
  <c r="L5136" i="5"/>
  <c r="M5136" i="5"/>
  <c r="H5137" i="5"/>
  <c r="I5137" i="5"/>
  <c r="J5137" i="5"/>
  <c r="K5137" i="5"/>
  <c r="L5137" i="5"/>
  <c r="M5137" i="5"/>
  <c r="H5138" i="5"/>
  <c r="I5138" i="5"/>
  <c r="J5138" i="5"/>
  <c r="K5138" i="5"/>
  <c r="L5138" i="5"/>
  <c r="M5138" i="5"/>
  <c r="H5139" i="5"/>
  <c r="I5139" i="5"/>
  <c r="J5139" i="5"/>
  <c r="K5139" i="5"/>
  <c r="L5139" i="5"/>
  <c r="M5139" i="5"/>
  <c r="H5140" i="5"/>
  <c r="I5140" i="5"/>
  <c r="J5140" i="5"/>
  <c r="K5140" i="5"/>
  <c r="L5140" i="5"/>
  <c r="M5140" i="5"/>
  <c r="H5141" i="5"/>
  <c r="I5141" i="5"/>
  <c r="J5141" i="5"/>
  <c r="K5141" i="5"/>
  <c r="L5141" i="5"/>
  <c r="M5141" i="5"/>
  <c r="H5142" i="5"/>
  <c r="I5142" i="5"/>
  <c r="J5142" i="5"/>
  <c r="K5142" i="5"/>
  <c r="L5142" i="5"/>
  <c r="M5142" i="5"/>
  <c r="H5143" i="5"/>
  <c r="I5143" i="5"/>
  <c r="J5143" i="5"/>
  <c r="K5143" i="5"/>
  <c r="L5143" i="5"/>
  <c r="M5143" i="5"/>
  <c r="H5144" i="5"/>
  <c r="I5144" i="5"/>
  <c r="J5144" i="5"/>
  <c r="K5144" i="5"/>
  <c r="L5144" i="5"/>
  <c r="M5144" i="5"/>
  <c r="H5145" i="5"/>
  <c r="I5145" i="5"/>
  <c r="J5145" i="5"/>
  <c r="K5145" i="5"/>
  <c r="L5145" i="5"/>
  <c r="M5145" i="5"/>
  <c r="H5146" i="5"/>
  <c r="I5146" i="5"/>
  <c r="J5146" i="5"/>
  <c r="K5146" i="5"/>
  <c r="L5146" i="5"/>
  <c r="M5146" i="5"/>
  <c r="H5147" i="5"/>
  <c r="I5147" i="5"/>
  <c r="J5147" i="5"/>
  <c r="K5147" i="5"/>
  <c r="L5147" i="5"/>
  <c r="M5147" i="5"/>
  <c r="H5148" i="5"/>
  <c r="I5148" i="5"/>
  <c r="J5148" i="5"/>
  <c r="K5148" i="5"/>
  <c r="L5148" i="5"/>
  <c r="M5148" i="5"/>
  <c r="H5149" i="5"/>
  <c r="I5149" i="5"/>
  <c r="J5149" i="5"/>
  <c r="K5149" i="5"/>
  <c r="L5149" i="5"/>
  <c r="M5149" i="5"/>
  <c r="H5150" i="5"/>
  <c r="I5150" i="5"/>
  <c r="J5150" i="5"/>
  <c r="K5150" i="5"/>
  <c r="L5150" i="5"/>
  <c r="M5150" i="5"/>
  <c r="H5151" i="5"/>
  <c r="I5151" i="5"/>
  <c r="J5151" i="5"/>
  <c r="K5151" i="5"/>
  <c r="L5151" i="5"/>
  <c r="M5151" i="5"/>
  <c r="H5152" i="5"/>
  <c r="I5152" i="5"/>
  <c r="J5152" i="5"/>
  <c r="K5152" i="5"/>
  <c r="L5152" i="5"/>
  <c r="M5152" i="5"/>
  <c r="H5153" i="5"/>
  <c r="I5153" i="5"/>
  <c r="J5153" i="5"/>
  <c r="K5153" i="5"/>
  <c r="L5153" i="5"/>
  <c r="M5153" i="5"/>
  <c r="H5154" i="5"/>
  <c r="I5154" i="5"/>
  <c r="J5154" i="5"/>
  <c r="K5154" i="5"/>
  <c r="L5154" i="5"/>
  <c r="M5154" i="5"/>
  <c r="H5155" i="5"/>
  <c r="I5155" i="5"/>
  <c r="J5155" i="5"/>
  <c r="K5155" i="5"/>
  <c r="L5155" i="5"/>
  <c r="M5155" i="5"/>
  <c r="H5156" i="5"/>
  <c r="I5156" i="5"/>
  <c r="J5156" i="5"/>
  <c r="K5156" i="5"/>
  <c r="L5156" i="5"/>
  <c r="M5156" i="5"/>
  <c r="H5157" i="5"/>
  <c r="I5157" i="5"/>
  <c r="J5157" i="5"/>
  <c r="K5157" i="5"/>
  <c r="L5157" i="5"/>
  <c r="M5157" i="5"/>
  <c r="H5158" i="5"/>
  <c r="I5158" i="5"/>
  <c r="J5158" i="5"/>
  <c r="K5158" i="5"/>
  <c r="L5158" i="5"/>
  <c r="M5158" i="5"/>
  <c r="H5159" i="5"/>
  <c r="I5159" i="5"/>
  <c r="J5159" i="5"/>
  <c r="K5159" i="5"/>
  <c r="L5159" i="5"/>
  <c r="M5159" i="5"/>
  <c r="H5160" i="5"/>
  <c r="I5160" i="5"/>
  <c r="J5160" i="5"/>
  <c r="K5160" i="5"/>
  <c r="L5160" i="5"/>
  <c r="M5160" i="5"/>
  <c r="H5161" i="5"/>
  <c r="I5161" i="5"/>
  <c r="J5161" i="5"/>
  <c r="K5161" i="5"/>
  <c r="L5161" i="5"/>
  <c r="M5161" i="5"/>
  <c r="H5162" i="5"/>
  <c r="I5162" i="5"/>
  <c r="J5162" i="5"/>
  <c r="K5162" i="5"/>
  <c r="L5162" i="5"/>
  <c r="M5162" i="5"/>
  <c r="H5163" i="5"/>
  <c r="I5163" i="5"/>
  <c r="J5163" i="5"/>
  <c r="K5163" i="5"/>
  <c r="L5163" i="5"/>
  <c r="M5163" i="5"/>
  <c r="H5164" i="5"/>
  <c r="I5164" i="5"/>
  <c r="J5164" i="5"/>
  <c r="K5164" i="5"/>
  <c r="L5164" i="5"/>
  <c r="M5164" i="5"/>
  <c r="H5165" i="5"/>
  <c r="I5165" i="5"/>
  <c r="J5165" i="5"/>
  <c r="K5165" i="5"/>
  <c r="L5165" i="5"/>
  <c r="M5165" i="5"/>
  <c r="H5166" i="5"/>
  <c r="I5166" i="5"/>
  <c r="J5166" i="5"/>
  <c r="K5166" i="5"/>
  <c r="L5166" i="5"/>
  <c r="M5166" i="5"/>
  <c r="H5167" i="5"/>
  <c r="I5167" i="5"/>
  <c r="J5167" i="5"/>
  <c r="K5167" i="5"/>
  <c r="L5167" i="5"/>
  <c r="M5167" i="5"/>
  <c r="H5168" i="5"/>
  <c r="I5168" i="5"/>
  <c r="J5168" i="5"/>
  <c r="K5168" i="5"/>
  <c r="L5168" i="5"/>
  <c r="M5168" i="5"/>
  <c r="H5169" i="5"/>
  <c r="I5169" i="5"/>
  <c r="J5169" i="5"/>
  <c r="K5169" i="5"/>
  <c r="L5169" i="5"/>
  <c r="M5169" i="5"/>
  <c r="H5170" i="5"/>
  <c r="I5170" i="5"/>
  <c r="J5170" i="5"/>
  <c r="K5170" i="5"/>
  <c r="L5170" i="5"/>
  <c r="M5170" i="5"/>
  <c r="H5171" i="5"/>
  <c r="I5171" i="5"/>
  <c r="J5171" i="5"/>
  <c r="K5171" i="5"/>
  <c r="L5171" i="5"/>
  <c r="M5171" i="5"/>
  <c r="H5172" i="5"/>
  <c r="I5172" i="5"/>
  <c r="J5172" i="5"/>
  <c r="K5172" i="5"/>
  <c r="L5172" i="5"/>
  <c r="M5172" i="5"/>
  <c r="H5173" i="5"/>
  <c r="I5173" i="5"/>
  <c r="J5173" i="5"/>
  <c r="K5173" i="5"/>
  <c r="L5173" i="5"/>
  <c r="M5173" i="5"/>
  <c r="H5174" i="5"/>
  <c r="I5174" i="5"/>
  <c r="J5174" i="5"/>
  <c r="K5174" i="5"/>
  <c r="L5174" i="5"/>
  <c r="M5174" i="5"/>
  <c r="H5175" i="5"/>
  <c r="I5175" i="5"/>
  <c r="J5175" i="5"/>
  <c r="K5175" i="5"/>
  <c r="L5175" i="5"/>
  <c r="M5175" i="5"/>
  <c r="H5176" i="5"/>
  <c r="I5176" i="5"/>
  <c r="J5176" i="5"/>
  <c r="K5176" i="5"/>
  <c r="L5176" i="5"/>
  <c r="M5176" i="5"/>
  <c r="H5177" i="5"/>
  <c r="I5177" i="5"/>
  <c r="J5177" i="5"/>
  <c r="K5177" i="5"/>
  <c r="L5177" i="5"/>
  <c r="M5177" i="5"/>
  <c r="H5178" i="5"/>
  <c r="I5178" i="5"/>
  <c r="J5178" i="5"/>
  <c r="K5178" i="5"/>
  <c r="L5178" i="5"/>
  <c r="M5178" i="5"/>
  <c r="H5179" i="5"/>
  <c r="I5179" i="5"/>
  <c r="J5179" i="5"/>
  <c r="K5179" i="5"/>
  <c r="L5179" i="5"/>
  <c r="M5179" i="5"/>
  <c r="H5180" i="5"/>
  <c r="I5180" i="5"/>
  <c r="J5180" i="5"/>
  <c r="K5180" i="5"/>
  <c r="L5180" i="5"/>
  <c r="M5180" i="5"/>
  <c r="H5181" i="5"/>
  <c r="I5181" i="5"/>
  <c r="J5181" i="5"/>
  <c r="K5181" i="5"/>
  <c r="L5181" i="5"/>
  <c r="M5181" i="5"/>
  <c r="H5182" i="5"/>
  <c r="I5182" i="5"/>
  <c r="J5182" i="5"/>
  <c r="K5182" i="5"/>
  <c r="L5182" i="5"/>
  <c r="M5182" i="5"/>
  <c r="H5183" i="5"/>
  <c r="I5183" i="5"/>
  <c r="J5183" i="5"/>
  <c r="K5183" i="5"/>
  <c r="L5183" i="5"/>
  <c r="M5183" i="5"/>
  <c r="H5184" i="5"/>
  <c r="I5184" i="5"/>
  <c r="J5184" i="5"/>
  <c r="K5184" i="5"/>
  <c r="L5184" i="5"/>
  <c r="M5184" i="5"/>
  <c r="H5185" i="5"/>
  <c r="I5185" i="5"/>
  <c r="J5185" i="5"/>
  <c r="K5185" i="5"/>
  <c r="L5185" i="5"/>
  <c r="M5185" i="5"/>
  <c r="H5186" i="5"/>
  <c r="I5186" i="5"/>
  <c r="J5186" i="5"/>
  <c r="K5186" i="5"/>
  <c r="L5186" i="5"/>
  <c r="M5186" i="5"/>
  <c r="H5187" i="5"/>
  <c r="I5187" i="5"/>
  <c r="J5187" i="5"/>
  <c r="K5187" i="5"/>
  <c r="L5187" i="5"/>
  <c r="M5187" i="5"/>
  <c r="H5188" i="5"/>
  <c r="I5188" i="5"/>
  <c r="J5188" i="5"/>
  <c r="K5188" i="5"/>
  <c r="L5188" i="5"/>
  <c r="M5188" i="5"/>
  <c r="H5189" i="5"/>
  <c r="I5189" i="5"/>
  <c r="J5189" i="5"/>
  <c r="K5189" i="5"/>
  <c r="L5189" i="5"/>
  <c r="M5189" i="5"/>
  <c r="H5190" i="5"/>
  <c r="I5190" i="5"/>
  <c r="J5190" i="5"/>
  <c r="K5190" i="5"/>
  <c r="L5190" i="5"/>
  <c r="M5190" i="5"/>
  <c r="H5191" i="5"/>
  <c r="I5191" i="5"/>
  <c r="J5191" i="5"/>
  <c r="K5191" i="5"/>
  <c r="L5191" i="5"/>
  <c r="M5191" i="5"/>
  <c r="H5192" i="5"/>
  <c r="I5192" i="5"/>
  <c r="J5192" i="5"/>
  <c r="K5192" i="5"/>
  <c r="L5192" i="5"/>
  <c r="M5192" i="5"/>
  <c r="H5193" i="5"/>
  <c r="I5193" i="5"/>
  <c r="J5193" i="5"/>
  <c r="K5193" i="5"/>
  <c r="L5193" i="5"/>
  <c r="M5193" i="5"/>
  <c r="H5194" i="5"/>
  <c r="I5194" i="5"/>
  <c r="J5194" i="5"/>
  <c r="K5194" i="5"/>
  <c r="L5194" i="5"/>
  <c r="M5194" i="5"/>
  <c r="H5195" i="5"/>
  <c r="I5195" i="5"/>
  <c r="J5195" i="5"/>
  <c r="K5195" i="5"/>
  <c r="L5195" i="5"/>
  <c r="M5195" i="5"/>
  <c r="H5196" i="5"/>
  <c r="I5196" i="5"/>
  <c r="J5196" i="5"/>
  <c r="K5196" i="5"/>
  <c r="L5196" i="5"/>
  <c r="M5196" i="5"/>
  <c r="H5197" i="5"/>
  <c r="I5197" i="5"/>
  <c r="J5197" i="5"/>
  <c r="K5197" i="5"/>
  <c r="L5197" i="5"/>
  <c r="M5197" i="5"/>
  <c r="H5198" i="5"/>
  <c r="I5198" i="5"/>
  <c r="J5198" i="5"/>
  <c r="K5198" i="5"/>
  <c r="L5198" i="5"/>
  <c r="M5198" i="5"/>
  <c r="H5199" i="5"/>
  <c r="I5199" i="5"/>
  <c r="J5199" i="5"/>
  <c r="K5199" i="5"/>
  <c r="L5199" i="5"/>
  <c r="M5199" i="5"/>
  <c r="H5200" i="5"/>
  <c r="I5200" i="5"/>
  <c r="J5200" i="5"/>
  <c r="K5200" i="5"/>
  <c r="L5200" i="5"/>
  <c r="M5200" i="5"/>
  <c r="H5201" i="5"/>
  <c r="I5201" i="5"/>
  <c r="J5201" i="5"/>
  <c r="K5201" i="5"/>
  <c r="L5201" i="5"/>
  <c r="M5201" i="5"/>
  <c r="H5202" i="5"/>
  <c r="I5202" i="5"/>
  <c r="J5202" i="5"/>
  <c r="K5202" i="5"/>
  <c r="L5202" i="5"/>
  <c r="M5202" i="5"/>
  <c r="H5203" i="5"/>
  <c r="I5203" i="5"/>
  <c r="J5203" i="5"/>
  <c r="K5203" i="5"/>
  <c r="L5203" i="5"/>
  <c r="M5203" i="5"/>
  <c r="H5204" i="5"/>
  <c r="I5204" i="5"/>
  <c r="J5204" i="5"/>
  <c r="K5204" i="5"/>
  <c r="L5204" i="5"/>
  <c r="M5204" i="5"/>
  <c r="H5205" i="5"/>
  <c r="I5205" i="5"/>
  <c r="J5205" i="5"/>
  <c r="K5205" i="5"/>
  <c r="L5205" i="5"/>
  <c r="M5205" i="5"/>
  <c r="H5206" i="5"/>
  <c r="I5206" i="5"/>
  <c r="J5206" i="5"/>
  <c r="K5206" i="5"/>
  <c r="L5206" i="5"/>
  <c r="M5206" i="5"/>
  <c r="H5207" i="5"/>
  <c r="I5207" i="5"/>
  <c r="J5207" i="5"/>
  <c r="K5207" i="5"/>
  <c r="L5207" i="5"/>
  <c r="M5207" i="5"/>
  <c r="H5208" i="5"/>
  <c r="I5208" i="5"/>
  <c r="J5208" i="5"/>
  <c r="K5208" i="5"/>
  <c r="L5208" i="5"/>
  <c r="M5208" i="5"/>
  <c r="H5209" i="5"/>
  <c r="I5209" i="5"/>
  <c r="J5209" i="5"/>
  <c r="K5209" i="5"/>
  <c r="L5209" i="5"/>
  <c r="M5209" i="5"/>
  <c r="H5210" i="5"/>
  <c r="I5210" i="5"/>
  <c r="J5210" i="5"/>
  <c r="K5210" i="5"/>
  <c r="L5210" i="5"/>
  <c r="M5210" i="5"/>
  <c r="H5211" i="5"/>
  <c r="I5211" i="5"/>
  <c r="J5211" i="5"/>
  <c r="K5211" i="5"/>
  <c r="L5211" i="5"/>
  <c r="M5211" i="5"/>
  <c r="H5212" i="5"/>
  <c r="I5212" i="5"/>
  <c r="J5212" i="5"/>
  <c r="K5212" i="5"/>
  <c r="L5212" i="5"/>
  <c r="M5212" i="5"/>
  <c r="H5213" i="5"/>
  <c r="I5213" i="5"/>
  <c r="J5213" i="5"/>
  <c r="K5213" i="5"/>
  <c r="L5213" i="5"/>
  <c r="M5213" i="5"/>
  <c r="H5214" i="5"/>
  <c r="I5214" i="5"/>
  <c r="J5214" i="5"/>
  <c r="K5214" i="5"/>
  <c r="L5214" i="5"/>
  <c r="M5214" i="5"/>
  <c r="H5215" i="5"/>
  <c r="I5215" i="5"/>
  <c r="J5215" i="5"/>
  <c r="K5215" i="5"/>
  <c r="L5215" i="5"/>
  <c r="M5215" i="5"/>
  <c r="H5216" i="5"/>
  <c r="I5216" i="5"/>
  <c r="J5216" i="5"/>
  <c r="K5216" i="5"/>
  <c r="L5216" i="5"/>
  <c r="M5216" i="5"/>
  <c r="H5217" i="5"/>
  <c r="I5217" i="5"/>
  <c r="J5217" i="5"/>
  <c r="K5217" i="5"/>
  <c r="L5217" i="5"/>
  <c r="M5217" i="5"/>
  <c r="H5218" i="5"/>
  <c r="I5218" i="5"/>
  <c r="J5218" i="5"/>
  <c r="K5218" i="5"/>
  <c r="L5218" i="5"/>
  <c r="M5218" i="5"/>
  <c r="H5219" i="5"/>
  <c r="I5219" i="5"/>
  <c r="J5219" i="5"/>
  <c r="K5219" i="5"/>
  <c r="L5219" i="5"/>
  <c r="M5219" i="5"/>
  <c r="H5220" i="5"/>
  <c r="I5220" i="5"/>
  <c r="J5220" i="5"/>
  <c r="K5220" i="5"/>
  <c r="L5220" i="5"/>
  <c r="M5220" i="5"/>
  <c r="H5221" i="5"/>
  <c r="I5221" i="5"/>
  <c r="J5221" i="5"/>
  <c r="K5221" i="5"/>
  <c r="L5221" i="5"/>
  <c r="M5221" i="5"/>
  <c r="H5222" i="5"/>
  <c r="I5222" i="5"/>
  <c r="J5222" i="5"/>
  <c r="K5222" i="5"/>
  <c r="L5222" i="5"/>
  <c r="M5222" i="5"/>
  <c r="H5223" i="5"/>
  <c r="I5223" i="5"/>
  <c r="J5223" i="5"/>
  <c r="K5223" i="5"/>
  <c r="L5223" i="5"/>
  <c r="M5223" i="5"/>
  <c r="H5224" i="5"/>
  <c r="I5224" i="5"/>
  <c r="J5224" i="5"/>
  <c r="K5224" i="5"/>
  <c r="L5224" i="5"/>
  <c r="M5224" i="5"/>
  <c r="H5225" i="5"/>
  <c r="I5225" i="5"/>
  <c r="J5225" i="5"/>
  <c r="K5225" i="5"/>
  <c r="L5225" i="5"/>
  <c r="M5225" i="5"/>
  <c r="H5226" i="5"/>
  <c r="I5226" i="5"/>
  <c r="J5226" i="5"/>
  <c r="K5226" i="5"/>
  <c r="L5226" i="5"/>
  <c r="M5226" i="5"/>
  <c r="H5227" i="5"/>
  <c r="I5227" i="5"/>
  <c r="J5227" i="5"/>
  <c r="K5227" i="5"/>
  <c r="L5227" i="5"/>
  <c r="M5227" i="5"/>
  <c r="H5228" i="5"/>
  <c r="I5228" i="5"/>
  <c r="J5228" i="5"/>
  <c r="K5228" i="5"/>
  <c r="L5228" i="5"/>
  <c r="M5228" i="5"/>
  <c r="H5229" i="5"/>
  <c r="I5229" i="5"/>
  <c r="J5229" i="5"/>
  <c r="K5229" i="5"/>
  <c r="L5229" i="5"/>
  <c r="M5229" i="5"/>
  <c r="H5230" i="5"/>
  <c r="I5230" i="5"/>
  <c r="J5230" i="5"/>
  <c r="K5230" i="5"/>
  <c r="L5230" i="5"/>
  <c r="M5230" i="5"/>
  <c r="H5231" i="5"/>
  <c r="I5231" i="5"/>
  <c r="J5231" i="5"/>
  <c r="K5231" i="5"/>
  <c r="L5231" i="5"/>
  <c r="M5231" i="5"/>
  <c r="H5232" i="5"/>
  <c r="I5232" i="5"/>
  <c r="J5232" i="5"/>
  <c r="K5232" i="5"/>
  <c r="L5232" i="5"/>
  <c r="M5232" i="5"/>
  <c r="H5233" i="5"/>
  <c r="I5233" i="5"/>
  <c r="J5233" i="5"/>
  <c r="K5233" i="5"/>
  <c r="L5233" i="5"/>
  <c r="M5233" i="5"/>
  <c r="H5234" i="5"/>
  <c r="I5234" i="5"/>
  <c r="J5234" i="5"/>
  <c r="K5234" i="5"/>
  <c r="L5234" i="5"/>
  <c r="M5234" i="5"/>
  <c r="H5235" i="5"/>
  <c r="I5235" i="5"/>
  <c r="J5235" i="5"/>
  <c r="K5235" i="5"/>
  <c r="L5235" i="5"/>
  <c r="M5235" i="5"/>
  <c r="H5236" i="5"/>
  <c r="I5236" i="5"/>
  <c r="J5236" i="5"/>
  <c r="K5236" i="5"/>
  <c r="L5236" i="5"/>
  <c r="M5236" i="5"/>
  <c r="H5237" i="5"/>
  <c r="I5237" i="5"/>
  <c r="J5237" i="5"/>
  <c r="K5237" i="5"/>
  <c r="L5237" i="5"/>
  <c r="M5237" i="5"/>
  <c r="H5238" i="5"/>
  <c r="I5238" i="5"/>
  <c r="J5238" i="5"/>
  <c r="K5238" i="5"/>
  <c r="L5238" i="5"/>
  <c r="M5238" i="5"/>
  <c r="H5239" i="5"/>
  <c r="I5239" i="5"/>
  <c r="J5239" i="5"/>
  <c r="K5239" i="5"/>
  <c r="L5239" i="5"/>
  <c r="M5239" i="5"/>
  <c r="H5240" i="5"/>
  <c r="I5240" i="5"/>
  <c r="J5240" i="5"/>
  <c r="K5240" i="5"/>
  <c r="L5240" i="5"/>
  <c r="M5240" i="5"/>
  <c r="H5241" i="5"/>
  <c r="I5241" i="5"/>
  <c r="J5241" i="5"/>
  <c r="K5241" i="5"/>
  <c r="L5241" i="5"/>
  <c r="M5241" i="5"/>
  <c r="H5242" i="5"/>
  <c r="I5242" i="5"/>
  <c r="J5242" i="5"/>
  <c r="K5242" i="5"/>
  <c r="L5242" i="5"/>
  <c r="M5242" i="5"/>
  <c r="H5243" i="5"/>
  <c r="I5243" i="5"/>
  <c r="J5243" i="5"/>
  <c r="K5243" i="5"/>
  <c r="L5243" i="5"/>
  <c r="M5243" i="5"/>
  <c r="H5244" i="5"/>
  <c r="I5244" i="5"/>
  <c r="J5244" i="5"/>
  <c r="K5244" i="5"/>
  <c r="L5244" i="5"/>
  <c r="M5244" i="5"/>
  <c r="H5245" i="5"/>
  <c r="I5245" i="5"/>
  <c r="J5245" i="5"/>
  <c r="K5245" i="5"/>
  <c r="L5245" i="5"/>
  <c r="M5245" i="5"/>
  <c r="H5246" i="5"/>
  <c r="I5246" i="5"/>
  <c r="J5246" i="5"/>
  <c r="K5246" i="5"/>
  <c r="L5246" i="5"/>
  <c r="M5246" i="5"/>
  <c r="H5247" i="5"/>
  <c r="I5247" i="5"/>
  <c r="J5247" i="5"/>
  <c r="K5247" i="5"/>
  <c r="L5247" i="5"/>
  <c r="M5247" i="5"/>
  <c r="H5248" i="5"/>
  <c r="I5248" i="5"/>
  <c r="J5248" i="5"/>
  <c r="K5248" i="5"/>
  <c r="L5248" i="5"/>
  <c r="M5248" i="5"/>
  <c r="H5249" i="5"/>
  <c r="I5249" i="5"/>
  <c r="J5249" i="5"/>
  <c r="K5249" i="5"/>
  <c r="L5249" i="5"/>
  <c r="M5249" i="5"/>
  <c r="H5250" i="5"/>
  <c r="I5250" i="5"/>
  <c r="J5250" i="5"/>
  <c r="K5250" i="5"/>
  <c r="L5250" i="5"/>
  <c r="M5250" i="5"/>
  <c r="H5251" i="5"/>
  <c r="I5251" i="5"/>
  <c r="J5251" i="5"/>
  <c r="K5251" i="5"/>
  <c r="L5251" i="5"/>
  <c r="M5251" i="5"/>
  <c r="H5252" i="5"/>
  <c r="I5252" i="5"/>
  <c r="J5252" i="5"/>
  <c r="K5252" i="5"/>
  <c r="L5252" i="5"/>
  <c r="M5252" i="5"/>
  <c r="H5253" i="5"/>
  <c r="I5253" i="5"/>
  <c r="J5253" i="5"/>
  <c r="K5253" i="5"/>
  <c r="L5253" i="5"/>
  <c r="M5253" i="5"/>
  <c r="H5254" i="5"/>
  <c r="I5254" i="5"/>
  <c r="J5254" i="5"/>
  <c r="K5254" i="5"/>
  <c r="L5254" i="5"/>
  <c r="M5254" i="5"/>
  <c r="H5255" i="5"/>
  <c r="I5255" i="5"/>
  <c r="J5255" i="5"/>
  <c r="K5255" i="5"/>
  <c r="L5255" i="5"/>
  <c r="M5255" i="5"/>
  <c r="H5256" i="5"/>
  <c r="I5256" i="5"/>
  <c r="J5256" i="5"/>
  <c r="K5256" i="5"/>
  <c r="L5256" i="5"/>
  <c r="M5256" i="5"/>
  <c r="H5257" i="5"/>
  <c r="I5257" i="5"/>
  <c r="J5257" i="5"/>
  <c r="K5257" i="5"/>
  <c r="L5257" i="5"/>
  <c r="M5257" i="5"/>
  <c r="H5258" i="5"/>
  <c r="I5258" i="5"/>
  <c r="J5258" i="5"/>
  <c r="K5258" i="5"/>
  <c r="L5258" i="5"/>
  <c r="M5258" i="5"/>
  <c r="H5259" i="5"/>
  <c r="I5259" i="5"/>
  <c r="J5259" i="5"/>
  <c r="K5259" i="5"/>
  <c r="L5259" i="5"/>
  <c r="M5259" i="5"/>
  <c r="H5260" i="5"/>
  <c r="I5260" i="5"/>
  <c r="J5260" i="5"/>
  <c r="K5260" i="5"/>
  <c r="L5260" i="5"/>
  <c r="M5260" i="5"/>
  <c r="H5261" i="5"/>
  <c r="I5261" i="5"/>
  <c r="J5261" i="5"/>
  <c r="K5261" i="5"/>
  <c r="L5261" i="5"/>
  <c r="M5261" i="5"/>
  <c r="H5262" i="5"/>
  <c r="I5262" i="5"/>
  <c r="J5262" i="5"/>
  <c r="K5262" i="5"/>
  <c r="L5262" i="5"/>
  <c r="M5262" i="5"/>
  <c r="H5263" i="5"/>
  <c r="I5263" i="5"/>
  <c r="J5263" i="5"/>
  <c r="K5263" i="5"/>
  <c r="L5263" i="5"/>
  <c r="M5263" i="5"/>
  <c r="H5264" i="5"/>
  <c r="I5264" i="5"/>
  <c r="J5264" i="5"/>
  <c r="K5264" i="5"/>
  <c r="L5264" i="5"/>
  <c r="M5264" i="5"/>
  <c r="H5265" i="5"/>
  <c r="I5265" i="5"/>
  <c r="J5265" i="5"/>
  <c r="K5265" i="5"/>
  <c r="L5265" i="5"/>
  <c r="M5265" i="5"/>
  <c r="H5266" i="5"/>
  <c r="I5266" i="5"/>
  <c r="J5266" i="5"/>
  <c r="K5266" i="5"/>
  <c r="L5266" i="5"/>
  <c r="M5266" i="5"/>
  <c r="H5267" i="5"/>
  <c r="I5267" i="5"/>
  <c r="J5267" i="5"/>
  <c r="K5267" i="5"/>
  <c r="L5267" i="5"/>
  <c r="M5267" i="5"/>
  <c r="H5268" i="5"/>
  <c r="I5268" i="5"/>
  <c r="J5268" i="5"/>
  <c r="K5268" i="5"/>
  <c r="L5268" i="5"/>
  <c r="M5268" i="5"/>
  <c r="H5269" i="5"/>
  <c r="I5269" i="5"/>
  <c r="J5269" i="5"/>
  <c r="K5269" i="5"/>
  <c r="L5269" i="5"/>
  <c r="M5269" i="5"/>
  <c r="H5270" i="5"/>
  <c r="I5270" i="5"/>
  <c r="J5270" i="5"/>
  <c r="K5270" i="5"/>
  <c r="L5270" i="5"/>
  <c r="M5270" i="5"/>
  <c r="H5271" i="5"/>
  <c r="I5271" i="5"/>
  <c r="J5271" i="5"/>
  <c r="K5271" i="5"/>
  <c r="L5271" i="5"/>
  <c r="M5271" i="5"/>
  <c r="H5272" i="5"/>
  <c r="I5272" i="5"/>
  <c r="J5272" i="5"/>
  <c r="K5272" i="5"/>
  <c r="L5272" i="5"/>
  <c r="M5272" i="5"/>
  <c r="H5273" i="5"/>
  <c r="I5273" i="5"/>
  <c r="J5273" i="5"/>
  <c r="K5273" i="5"/>
  <c r="L5273" i="5"/>
  <c r="M5273" i="5"/>
  <c r="H5274" i="5"/>
  <c r="I5274" i="5"/>
  <c r="J5274" i="5"/>
  <c r="K5274" i="5"/>
  <c r="L5274" i="5"/>
  <c r="M5274" i="5"/>
  <c r="H5275" i="5"/>
  <c r="I5275" i="5"/>
  <c r="J5275" i="5"/>
  <c r="K5275" i="5"/>
  <c r="L5275" i="5"/>
  <c r="M5275" i="5"/>
  <c r="H5276" i="5"/>
  <c r="I5276" i="5"/>
  <c r="J5276" i="5"/>
  <c r="K5276" i="5"/>
  <c r="L5276" i="5"/>
  <c r="M5276" i="5"/>
  <c r="H5277" i="5"/>
  <c r="I5277" i="5"/>
  <c r="J5277" i="5"/>
  <c r="K5277" i="5"/>
  <c r="L5277" i="5"/>
  <c r="M5277" i="5"/>
  <c r="H5278" i="5"/>
  <c r="I5278" i="5"/>
  <c r="J5278" i="5"/>
  <c r="K5278" i="5"/>
  <c r="L5278" i="5"/>
  <c r="M5278" i="5"/>
  <c r="H5279" i="5"/>
  <c r="I5279" i="5"/>
  <c r="J5279" i="5"/>
  <c r="K5279" i="5"/>
  <c r="L5279" i="5"/>
  <c r="M5279" i="5"/>
  <c r="H5280" i="5"/>
  <c r="I5280" i="5"/>
  <c r="J5280" i="5"/>
  <c r="K5280" i="5"/>
  <c r="L5280" i="5"/>
  <c r="M5280" i="5"/>
  <c r="H5281" i="5"/>
  <c r="I5281" i="5"/>
  <c r="J5281" i="5"/>
  <c r="K5281" i="5"/>
  <c r="L5281" i="5"/>
  <c r="M5281" i="5"/>
  <c r="H5282" i="5"/>
  <c r="I5282" i="5"/>
  <c r="J5282" i="5"/>
  <c r="K5282" i="5"/>
  <c r="L5282" i="5"/>
  <c r="M5282" i="5"/>
  <c r="H5283" i="5"/>
  <c r="I5283" i="5"/>
  <c r="J5283" i="5"/>
  <c r="K5283" i="5"/>
  <c r="L5283" i="5"/>
  <c r="M5283" i="5"/>
  <c r="H5284" i="5"/>
  <c r="I5284" i="5"/>
  <c r="J5284" i="5"/>
  <c r="K5284" i="5"/>
  <c r="L5284" i="5"/>
  <c r="M5284" i="5"/>
  <c r="H5285" i="5"/>
  <c r="I5285" i="5"/>
  <c r="J5285" i="5"/>
  <c r="K5285" i="5"/>
  <c r="L5285" i="5"/>
  <c r="M5285" i="5"/>
  <c r="H5286" i="5"/>
  <c r="I5286" i="5"/>
  <c r="J5286" i="5"/>
  <c r="K5286" i="5"/>
  <c r="L5286" i="5"/>
  <c r="M5286" i="5"/>
  <c r="H5287" i="5"/>
  <c r="I5287" i="5"/>
  <c r="J5287" i="5"/>
  <c r="K5287" i="5"/>
  <c r="L5287" i="5"/>
  <c r="M5287" i="5"/>
  <c r="H5288" i="5"/>
  <c r="I5288" i="5"/>
  <c r="J5288" i="5"/>
  <c r="K5288" i="5"/>
  <c r="L5288" i="5"/>
  <c r="M5288" i="5"/>
  <c r="H5289" i="5"/>
  <c r="I5289" i="5"/>
  <c r="J5289" i="5"/>
  <c r="K5289" i="5"/>
  <c r="L5289" i="5"/>
  <c r="M5289" i="5"/>
  <c r="H5290" i="5"/>
  <c r="I5290" i="5"/>
  <c r="J5290" i="5"/>
  <c r="K5290" i="5"/>
  <c r="L5290" i="5"/>
  <c r="M5290" i="5"/>
  <c r="H5291" i="5"/>
  <c r="I5291" i="5"/>
  <c r="J5291" i="5"/>
  <c r="K5291" i="5"/>
  <c r="L5291" i="5"/>
  <c r="M5291" i="5"/>
  <c r="H5292" i="5"/>
  <c r="I5292" i="5"/>
  <c r="J5292" i="5"/>
  <c r="K5292" i="5"/>
  <c r="L5292" i="5"/>
  <c r="M5292" i="5"/>
  <c r="H5293" i="5"/>
  <c r="I5293" i="5"/>
  <c r="J5293" i="5"/>
  <c r="K5293" i="5"/>
  <c r="L5293" i="5"/>
  <c r="M5293" i="5"/>
  <c r="H5294" i="5"/>
  <c r="I5294" i="5"/>
  <c r="J5294" i="5"/>
  <c r="K5294" i="5"/>
  <c r="L5294" i="5"/>
  <c r="M5294" i="5"/>
  <c r="H5295" i="5"/>
  <c r="I5295" i="5"/>
  <c r="J5295" i="5"/>
  <c r="K5295" i="5"/>
  <c r="L5295" i="5"/>
  <c r="M5295" i="5"/>
  <c r="H5296" i="5"/>
  <c r="I5296" i="5"/>
  <c r="J5296" i="5"/>
  <c r="K5296" i="5"/>
  <c r="L5296" i="5"/>
  <c r="M5296" i="5"/>
  <c r="H5297" i="5"/>
  <c r="I5297" i="5"/>
  <c r="J5297" i="5"/>
  <c r="K5297" i="5"/>
  <c r="L5297" i="5"/>
  <c r="M5297" i="5"/>
  <c r="H5298" i="5"/>
  <c r="I5298" i="5"/>
  <c r="J5298" i="5"/>
  <c r="K5298" i="5"/>
  <c r="L5298" i="5"/>
  <c r="M5298" i="5"/>
  <c r="H5299" i="5"/>
  <c r="I5299" i="5"/>
  <c r="J5299" i="5"/>
  <c r="K5299" i="5"/>
  <c r="L5299" i="5"/>
  <c r="M5299" i="5"/>
  <c r="H5300" i="5"/>
  <c r="I5300" i="5"/>
  <c r="J5300" i="5"/>
  <c r="K5300" i="5"/>
  <c r="L5300" i="5"/>
  <c r="M5300" i="5"/>
  <c r="H5301" i="5"/>
  <c r="I5301" i="5"/>
  <c r="J5301" i="5"/>
  <c r="K5301" i="5"/>
  <c r="L5301" i="5"/>
  <c r="M5301" i="5"/>
  <c r="H5302" i="5"/>
  <c r="I5302" i="5"/>
  <c r="J5302" i="5"/>
  <c r="K5302" i="5"/>
  <c r="L5302" i="5"/>
  <c r="M5302" i="5"/>
  <c r="H5303" i="5"/>
  <c r="I5303" i="5"/>
  <c r="J5303" i="5"/>
  <c r="K5303" i="5"/>
  <c r="L5303" i="5"/>
  <c r="M5303" i="5"/>
  <c r="H5304" i="5"/>
  <c r="I5304" i="5"/>
  <c r="J5304" i="5"/>
  <c r="K5304" i="5"/>
  <c r="L5304" i="5"/>
  <c r="M5304" i="5"/>
  <c r="H5305" i="5"/>
  <c r="I5305" i="5"/>
  <c r="J5305" i="5"/>
  <c r="K5305" i="5"/>
  <c r="L5305" i="5"/>
  <c r="M5305" i="5"/>
  <c r="H5306" i="5"/>
  <c r="I5306" i="5"/>
  <c r="J5306" i="5"/>
  <c r="K5306" i="5"/>
  <c r="L5306" i="5"/>
  <c r="M5306" i="5"/>
  <c r="H5307" i="5"/>
  <c r="I5307" i="5"/>
  <c r="J5307" i="5"/>
  <c r="K5307" i="5"/>
  <c r="L5307" i="5"/>
  <c r="M5307" i="5"/>
  <c r="H5308" i="5"/>
  <c r="I5308" i="5"/>
  <c r="J5308" i="5"/>
  <c r="K5308" i="5"/>
  <c r="L5308" i="5"/>
  <c r="M5308" i="5"/>
  <c r="H5309" i="5"/>
  <c r="I5309" i="5"/>
  <c r="J5309" i="5"/>
  <c r="K5309" i="5"/>
  <c r="L5309" i="5"/>
  <c r="M5309" i="5"/>
  <c r="H5310" i="5"/>
  <c r="I5310" i="5"/>
  <c r="J5310" i="5"/>
  <c r="K5310" i="5"/>
  <c r="L5310" i="5"/>
  <c r="M5310" i="5"/>
  <c r="H5311" i="5"/>
  <c r="I5311" i="5"/>
  <c r="J5311" i="5"/>
  <c r="K5311" i="5"/>
  <c r="L5311" i="5"/>
  <c r="M5311" i="5"/>
  <c r="H5312" i="5"/>
  <c r="I5312" i="5"/>
  <c r="J5312" i="5"/>
  <c r="K5312" i="5"/>
  <c r="L5312" i="5"/>
  <c r="M5312" i="5"/>
  <c r="H5313" i="5"/>
  <c r="I5313" i="5"/>
  <c r="J5313" i="5"/>
  <c r="K5313" i="5"/>
  <c r="L5313" i="5"/>
  <c r="M5313" i="5"/>
  <c r="H5314" i="5"/>
  <c r="I5314" i="5"/>
  <c r="J5314" i="5"/>
  <c r="K5314" i="5"/>
  <c r="L5314" i="5"/>
  <c r="M5314" i="5"/>
  <c r="H5315" i="5"/>
  <c r="I5315" i="5"/>
  <c r="J5315" i="5"/>
  <c r="K5315" i="5"/>
  <c r="L5315" i="5"/>
  <c r="M5315" i="5"/>
  <c r="H5316" i="5"/>
  <c r="I5316" i="5"/>
  <c r="J5316" i="5"/>
  <c r="K5316" i="5"/>
  <c r="L5316" i="5"/>
  <c r="M5316" i="5"/>
  <c r="H5317" i="5"/>
  <c r="I5317" i="5"/>
  <c r="J5317" i="5"/>
  <c r="K5317" i="5"/>
  <c r="L5317" i="5"/>
  <c r="M5317" i="5"/>
  <c r="H5318" i="5"/>
  <c r="I5318" i="5"/>
  <c r="J5318" i="5"/>
  <c r="K5318" i="5"/>
  <c r="L5318" i="5"/>
  <c r="M5318" i="5"/>
  <c r="H5319" i="5"/>
  <c r="I5319" i="5"/>
  <c r="J5319" i="5"/>
  <c r="K5319" i="5"/>
  <c r="L5319" i="5"/>
  <c r="M5319" i="5"/>
  <c r="H5320" i="5"/>
  <c r="I5320" i="5"/>
  <c r="J5320" i="5"/>
  <c r="K5320" i="5"/>
  <c r="L5320" i="5"/>
  <c r="M5320" i="5"/>
  <c r="H5321" i="5"/>
  <c r="I5321" i="5"/>
  <c r="J5321" i="5"/>
  <c r="K5321" i="5"/>
  <c r="L5321" i="5"/>
  <c r="M5321" i="5"/>
  <c r="H5322" i="5"/>
  <c r="I5322" i="5"/>
  <c r="J5322" i="5"/>
  <c r="K5322" i="5"/>
  <c r="L5322" i="5"/>
  <c r="M5322" i="5"/>
  <c r="H5323" i="5"/>
  <c r="I5323" i="5"/>
  <c r="J5323" i="5"/>
  <c r="K5323" i="5"/>
  <c r="L5323" i="5"/>
  <c r="M5323" i="5"/>
  <c r="H5324" i="5"/>
  <c r="I5324" i="5"/>
  <c r="J5324" i="5"/>
  <c r="K5324" i="5"/>
  <c r="L5324" i="5"/>
  <c r="M5324" i="5"/>
  <c r="H5325" i="5"/>
  <c r="I5325" i="5"/>
  <c r="J5325" i="5"/>
  <c r="K5325" i="5"/>
  <c r="L5325" i="5"/>
  <c r="M5325" i="5"/>
  <c r="H5326" i="5"/>
  <c r="I5326" i="5"/>
  <c r="J5326" i="5"/>
  <c r="K5326" i="5"/>
  <c r="L5326" i="5"/>
  <c r="M5326" i="5"/>
  <c r="H5327" i="5"/>
  <c r="I5327" i="5"/>
  <c r="J5327" i="5"/>
  <c r="K5327" i="5"/>
  <c r="L5327" i="5"/>
  <c r="M5327" i="5"/>
  <c r="H5328" i="5"/>
  <c r="I5328" i="5"/>
  <c r="J5328" i="5"/>
  <c r="K5328" i="5"/>
  <c r="L5328" i="5"/>
  <c r="M5328" i="5"/>
  <c r="H5329" i="5"/>
  <c r="I5329" i="5"/>
  <c r="J5329" i="5"/>
  <c r="K5329" i="5"/>
  <c r="L5329" i="5"/>
  <c r="M5329" i="5"/>
  <c r="H5330" i="5"/>
  <c r="I5330" i="5"/>
  <c r="J5330" i="5"/>
  <c r="K5330" i="5"/>
  <c r="L5330" i="5"/>
  <c r="M5330" i="5"/>
  <c r="H5331" i="5"/>
  <c r="I5331" i="5"/>
  <c r="J5331" i="5"/>
  <c r="K5331" i="5"/>
  <c r="L5331" i="5"/>
  <c r="M5331" i="5"/>
  <c r="H5332" i="5"/>
  <c r="I5332" i="5"/>
  <c r="J5332" i="5"/>
  <c r="K5332" i="5"/>
  <c r="L5332" i="5"/>
  <c r="M5332" i="5"/>
  <c r="H5333" i="5"/>
  <c r="I5333" i="5"/>
  <c r="J5333" i="5"/>
  <c r="K5333" i="5"/>
  <c r="L5333" i="5"/>
  <c r="M5333" i="5"/>
  <c r="H5334" i="5"/>
  <c r="I5334" i="5"/>
  <c r="J5334" i="5"/>
  <c r="K5334" i="5"/>
  <c r="L5334" i="5"/>
  <c r="M5334" i="5"/>
  <c r="H5335" i="5"/>
  <c r="I5335" i="5"/>
  <c r="J5335" i="5"/>
  <c r="K5335" i="5"/>
  <c r="L5335" i="5"/>
  <c r="M5335" i="5"/>
  <c r="H5336" i="5"/>
  <c r="I5336" i="5"/>
  <c r="J5336" i="5"/>
  <c r="K5336" i="5"/>
  <c r="L5336" i="5"/>
  <c r="M5336" i="5"/>
  <c r="H5337" i="5"/>
  <c r="I5337" i="5"/>
  <c r="J5337" i="5"/>
  <c r="K5337" i="5"/>
  <c r="L5337" i="5"/>
  <c r="M5337" i="5"/>
  <c r="H5338" i="5"/>
  <c r="I5338" i="5"/>
  <c r="J5338" i="5"/>
  <c r="K5338" i="5"/>
  <c r="L5338" i="5"/>
  <c r="M5338" i="5"/>
  <c r="H5339" i="5"/>
  <c r="I5339" i="5"/>
  <c r="J5339" i="5"/>
  <c r="K5339" i="5"/>
  <c r="L5339" i="5"/>
  <c r="M5339" i="5"/>
  <c r="H5340" i="5"/>
  <c r="I5340" i="5"/>
  <c r="J5340" i="5"/>
  <c r="K5340" i="5"/>
  <c r="L5340" i="5"/>
  <c r="M5340" i="5"/>
  <c r="H5341" i="5"/>
  <c r="I5341" i="5"/>
  <c r="J5341" i="5"/>
  <c r="K5341" i="5"/>
  <c r="L5341" i="5"/>
  <c r="M5341" i="5"/>
  <c r="H5342" i="5"/>
  <c r="I5342" i="5"/>
  <c r="J5342" i="5"/>
  <c r="K5342" i="5"/>
  <c r="L5342" i="5"/>
  <c r="M5342" i="5"/>
  <c r="H5343" i="5"/>
  <c r="I5343" i="5"/>
  <c r="J5343" i="5"/>
  <c r="K5343" i="5"/>
  <c r="L5343" i="5"/>
  <c r="M5343" i="5"/>
  <c r="H5344" i="5"/>
  <c r="I5344" i="5"/>
  <c r="J5344" i="5"/>
  <c r="K5344" i="5"/>
  <c r="L5344" i="5"/>
  <c r="M5344" i="5"/>
  <c r="H5345" i="5"/>
  <c r="I5345" i="5"/>
  <c r="J5345" i="5"/>
  <c r="K5345" i="5"/>
  <c r="L5345" i="5"/>
  <c r="M5345" i="5"/>
  <c r="H5346" i="5"/>
  <c r="I5346" i="5"/>
  <c r="J5346" i="5"/>
  <c r="K5346" i="5"/>
  <c r="L5346" i="5"/>
  <c r="M5346" i="5"/>
  <c r="H5347" i="5"/>
  <c r="I5347" i="5"/>
  <c r="J5347" i="5"/>
  <c r="K5347" i="5"/>
  <c r="L5347" i="5"/>
  <c r="M5347" i="5"/>
  <c r="H5348" i="5"/>
  <c r="I5348" i="5"/>
  <c r="J5348" i="5"/>
  <c r="K5348" i="5"/>
  <c r="L5348" i="5"/>
  <c r="M5348" i="5"/>
  <c r="H5349" i="5"/>
  <c r="I5349" i="5"/>
  <c r="J5349" i="5"/>
  <c r="K5349" i="5"/>
  <c r="L5349" i="5"/>
  <c r="M5349" i="5"/>
  <c r="H5350" i="5"/>
  <c r="I5350" i="5"/>
  <c r="J5350" i="5"/>
  <c r="K5350" i="5"/>
  <c r="L5350" i="5"/>
  <c r="M5350" i="5"/>
  <c r="H5351" i="5"/>
  <c r="I5351" i="5"/>
  <c r="J5351" i="5"/>
  <c r="K5351" i="5"/>
  <c r="L5351" i="5"/>
  <c r="M5351" i="5"/>
  <c r="H5352" i="5"/>
  <c r="I5352" i="5"/>
  <c r="J5352" i="5"/>
  <c r="K5352" i="5"/>
  <c r="L5352" i="5"/>
  <c r="M5352" i="5"/>
  <c r="H5353" i="5"/>
  <c r="I5353" i="5"/>
  <c r="J5353" i="5"/>
  <c r="K5353" i="5"/>
  <c r="L5353" i="5"/>
  <c r="M5353" i="5"/>
  <c r="H5354" i="5"/>
  <c r="I5354" i="5"/>
  <c r="J5354" i="5"/>
  <c r="K5354" i="5"/>
  <c r="L5354" i="5"/>
  <c r="M5354" i="5"/>
  <c r="H5355" i="5"/>
  <c r="I5355" i="5"/>
  <c r="J5355" i="5"/>
  <c r="K5355" i="5"/>
  <c r="L5355" i="5"/>
  <c r="M5355" i="5"/>
  <c r="H5356" i="5"/>
  <c r="I5356" i="5"/>
  <c r="J5356" i="5"/>
  <c r="K5356" i="5"/>
  <c r="L5356" i="5"/>
  <c r="M5356" i="5"/>
  <c r="H5357" i="5"/>
  <c r="I5357" i="5"/>
  <c r="J5357" i="5"/>
  <c r="K5357" i="5"/>
  <c r="L5357" i="5"/>
  <c r="M5357" i="5"/>
  <c r="H5358" i="5"/>
  <c r="I5358" i="5"/>
  <c r="J5358" i="5"/>
  <c r="K5358" i="5"/>
  <c r="L5358" i="5"/>
  <c r="M5358" i="5"/>
  <c r="H5359" i="5"/>
  <c r="I5359" i="5"/>
  <c r="J5359" i="5"/>
  <c r="K5359" i="5"/>
  <c r="L5359" i="5"/>
  <c r="M5359" i="5"/>
  <c r="H5360" i="5"/>
  <c r="I5360" i="5"/>
  <c r="J5360" i="5"/>
  <c r="K5360" i="5"/>
  <c r="L5360" i="5"/>
  <c r="M5360" i="5"/>
  <c r="H5361" i="5"/>
  <c r="I5361" i="5"/>
  <c r="J5361" i="5"/>
  <c r="K5361" i="5"/>
  <c r="L5361" i="5"/>
  <c r="M5361" i="5"/>
  <c r="H5362" i="5"/>
  <c r="I5362" i="5"/>
  <c r="J5362" i="5"/>
  <c r="K5362" i="5"/>
  <c r="L5362" i="5"/>
  <c r="M5362" i="5"/>
  <c r="H5363" i="5"/>
  <c r="I5363" i="5"/>
  <c r="J5363" i="5"/>
  <c r="K5363" i="5"/>
  <c r="L5363" i="5"/>
  <c r="M5363" i="5"/>
  <c r="H5364" i="5"/>
  <c r="I5364" i="5"/>
  <c r="J5364" i="5"/>
  <c r="K5364" i="5"/>
  <c r="L5364" i="5"/>
  <c r="M5364" i="5"/>
  <c r="H5365" i="5"/>
  <c r="I5365" i="5"/>
  <c r="J5365" i="5"/>
  <c r="K5365" i="5"/>
  <c r="L5365" i="5"/>
  <c r="M5365" i="5"/>
  <c r="H5366" i="5"/>
  <c r="I5366" i="5"/>
  <c r="J5366" i="5"/>
  <c r="K5366" i="5"/>
  <c r="L5366" i="5"/>
  <c r="M5366" i="5"/>
  <c r="H5367" i="5"/>
  <c r="I5367" i="5"/>
  <c r="J5367" i="5"/>
  <c r="K5367" i="5"/>
  <c r="L5367" i="5"/>
  <c r="M5367" i="5"/>
  <c r="H5368" i="5"/>
  <c r="I5368" i="5"/>
  <c r="J5368" i="5"/>
  <c r="K5368" i="5"/>
  <c r="L5368" i="5"/>
  <c r="M5368" i="5"/>
  <c r="H5369" i="5"/>
  <c r="I5369" i="5"/>
  <c r="J5369" i="5"/>
  <c r="K5369" i="5"/>
  <c r="L5369" i="5"/>
  <c r="M5369" i="5"/>
  <c r="H5370" i="5"/>
  <c r="I5370" i="5"/>
  <c r="J5370" i="5"/>
  <c r="K5370" i="5"/>
  <c r="L5370" i="5"/>
  <c r="M5370" i="5"/>
  <c r="H5371" i="5"/>
  <c r="I5371" i="5"/>
  <c r="J5371" i="5"/>
  <c r="K5371" i="5"/>
  <c r="L5371" i="5"/>
  <c r="M5371" i="5"/>
  <c r="H5372" i="5"/>
  <c r="I5372" i="5"/>
  <c r="J5372" i="5"/>
  <c r="K5372" i="5"/>
  <c r="L5372" i="5"/>
  <c r="M5372" i="5"/>
  <c r="H5373" i="5"/>
  <c r="I5373" i="5"/>
  <c r="J5373" i="5"/>
  <c r="K5373" i="5"/>
  <c r="L5373" i="5"/>
  <c r="M5373" i="5"/>
  <c r="H5374" i="5"/>
  <c r="I5374" i="5"/>
  <c r="J5374" i="5"/>
  <c r="K5374" i="5"/>
  <c r="L5374" i="5"/>
  <c r="M5374" i="5"/>
  <c r="H5375" i="5"/>
  <c r="I5375" i="5"/>
  <c r="J5375" i="5"/>
  <c r="K5375" i="5"/>
  <c r="L5375" i="5"/>
  <c r="M5375" i="5"/>
  <c r="H5376" i="5"/>
  <c r="I5376" i="5"/>
  <c r="J5376" i="5"/>
  <c r="K5376" i="5"/>
  <c r="L5376" i="5"/>
  <c r="M5376" i="5"/>
  <c r="H5377" i="5"/>
  <c r="I5377" i="5"/>
  <c r="J5377" i="5"/>
  <c r="K5377" i="5"/>
  <c r="L5377" i="5"/>
  <c r="M5377" i="5"/>
  <c r="H5378" i="5"/>
  <c r="I5378" i="5"/>
  <c r="J5378" i="5"/>
  <c r="K5378" i="5"/>
  <c r="L5378" i="5"/>
  <c r="M5378" i="5"/>
  <c r="H5379" i="5"/>
  <c r="I5379" i="5"/>
  <c r="J5379" i="5"/>
  <c r="K5379" i="5"/>
  <c r="L5379" i="5"/>
  <c r="M5379" i="5"/>
  <c r="H5380" i="5"/>
  <c r="I5380" i="5"/>
  <c r="J5380" i="5"/>
  <c r="K5380" i="5"/>
  <c r="L5380" i="5"/>
  <c r="M5380" i="5"/>
  <c r="H5381" i="5"/>
  <c r="I5381" i="5"/>
  <c r="J5381" i="5"/>
  <c r="K5381" i="5"/>
  <c r="L5381" i="5"/>
  <c r="M5381" i="5"/>
  <c r="H5382" i="5"/>
  <c r="I5382" i="5"/>
  <c r="J5382" i="5"/>
  <c r="K5382" i="5"/>
  <c r="L5382" i="5"/>
  <c r="M5382" i="5"/>
  <c r="H5383" i="5"/>
  <c r="I5383" i="5"/>
  <c r="J5383" i="5"/>
  <c r="K5383" i="5"/>
  <c r="L5383" i="5"/>
  <c r="M5383" i="5"/>
  <c r="H5384" i="5"/>
  <c r="I5384" i="5"/>
  <c r="J5384" i="5"/>
  <c r="K5384" i="5"/>
  <c r="L5384" i="5"/>
  <c r="M5384" i="5"/>
  <c r="H5385" i="5"/>
  <c r="I5385" i="5"/>
  <c r="J5385" i="5"/>
  <c r="K5385" i="5"/>
  <c r="L5385" i="5"/>
  <c r="M5385" i="5"/>
  <c r="H5386" i="5"/>
  <c r="I5386" i="5"/>
  <c r="J5386" i="5"/>
  <c r="K5386" i="5"/>
  <c r="L5386" i="5"/>
  <c r="M5386" i="5"/>
  <c r="H5387" i="5"/>
  <c r="I5387" i="5"/>
  <c r="J5387" i="5"/>
  <c r="K5387" i="5"/>
  <c r="L5387" i="5"/>
  <c r="M5387" i="5"/>
  <c r="H5388" i="5"/>
  <c r="I5388" i="5"/>
  <c r="J5388" i="5"/>
  <c r="K5388" i="5"/>
  <c r="L5388" i="5"/>
  <c r="M5388" i="5"/>
  <c r="H5389" i="5"/>
  <c r="I5389" i="5"/>
  <c r="J5389" i="5"/>
  <c r="K5389" i="5"/>
  <c r="L5389" i="5"/>
  <c r="M5389" i="5"/>
  <c r="H5390" i="5"/>
  <c r="I5390" i="5"/>
  <c r="J5390" i="5"/>
  <c r="K5390" i="5"/>
  <c r="L5390" i="5"/>
  <c r="M5390" i="5"/>
  <c r="H5391" i="5"/>
  <c r="I5391" i="5"/>
  <c r="J5391" i="5"/>
  <c r="K5391" i="5"/>
  <c r="L5391" i="5"/>
  <c r="M5391" i="5"/>
  <c r="H5392" i="5"/>
  <c r="I5392" i="5"/>
  <c r="J5392" i="5"/>
  <c r="K5392" i="5"/>
  <c r="L5392" i="5"/>
  <c r="M5392" i="5"/>
  <c r="H5393" i="5"/>
  <c r="I5393" i="5"/>
  <c r="J5393" i="5"/>
  <c r="K5393" i="5"/>
  <c r="L5393" i="5"/>
  <c r="M5393" i="5"/>
  <c r="H5394" i="5"/>
  <c r="I5394" i="5"/>
  <c r="J5394" i="5"/>
  <c r="K5394" i="5"/>
  <c r="L5394" i="5"/>
  <c r="M5394" i="5"/>
  <c r="H5395" i="5"/>
  <c r="I5395" i="5"/>
  <c r="J5395" i="5"/>
  <c r="K5395" i="5"/>
  <c r="L5395" i="5"/>
  <c r="M5395" i="5"/>
  <c r="H5396" i="5"/>
  <c r="I5396" i="5"/>
  <c r="J5396" i="5"/>
  <c r="K5396" i="5"/>
  <c r="L5396" i="5"/>
  <c r="M5396" i="5"/>
  <c r="H5397" i="5"/>
  <c r="I5397" i="5"/>
  <c r="J5397" i="5"/>
  <c r="K5397" i="5"/>
  <c r="L5397" i="5"/>
  <c r="M5397" i="5"/>
  <c r="H5398" i="5"/>
  <c r="I5398" i="5"/>
  <c r="J5398" i="5"/>
  <c r="K5398" i="5"/>
  <c r="L5398" i="5"/>
  <c r="M5398" i="5"/>
  <c r="H5399" i="5"/>
  <c r="I5399" i="5"/>
  <c r="J5399" i="5"/>
  <c r="K5399" i="5"/>
  <c r="L5399" i="5"/>
  <c r="M5399" i="5"/>
  <c r="H5400" i="5"/>
  <c r="I5400" i="5"/>
  <c r="J5400" i="5"/>
  <c r="K5400" i="5"/>
  <c r="L5400" i="5"/>
  <c r="M5400" i="5"/>
  <c r="H5401" i="5"/>
  <c r="I5401" i="5"/>
  <c r="J5401" i="5"/>
  <c r="K5401" i="5"/>
  <c r="L5401" i="5"/>
  <c r="M5401" i="5"/>
  <c r="H5402" i="5"/>
  <c r="I5402" i="5"/>
  <c r="J5402" i="5"/>
  <c r="K5402" i="5"/>
  <c r="L5402" i="5"/>
  <c r="M5402" i="5"/>
  <c r="H5403" i="5"/>
  <c r="I5403" i="5"/>
  <c r="J5403" i="5"/>
  <c r="K5403" i="5"/>
  <c r="L5403" i="5"/>
  <c r="M5403" i="5"/>
  <c r="H5404" i="5"/>
  <c r="I5404" i="5"/>
  <c r="J5404" i="5"/>
  <c r="K5404" i="5"/>
  <c r="L5404" i="5"/>
  <c r="M5404" i="5"/>
  <c r="H5405" i="5"/>
  <c r="I5405" i="5"/>
  <c r="J5405" i="5"/>
  <c r="K5405" i="5"/>
  <c r="L5405" i="5"/>
  <c r="M5405" i="5"/>
  <c r="H5406" i="5"/>
  <c r="I5406" i="5"/>
  <c r="J5406" i="5"/>
  <c r="K5406" i="5"/>
  <c r="L5406" i="5"/>
  <c r="M5406" i="5"/>
  <c r="H5407" i="5"/>
  <c r="I5407" i="5"/>
  <c r="J5407" i="5"/>
  <c r="K5407" i="5"/>
  <c r="L5407" i="5"/>
  <c r="M5407" i="5"/>
  <c r="H5408" i="5"/>
  <c r="I5408" i="5"/>
  <c r="J5408" i="5"/>
  <c r="K5408" i="5"/>
  <c r="L5408" i="5"/>
  <c r="M5408" i="5"/>
  <c r="H5409" i="5"/>
  <c r="I5409" i="5"/>
  <c r="J5409" i="5"/>
  <c r="K5409" i="5"/>
  <c r="L5409" i="5"/>
  <c r="M5409" i="5"/>
  <c r="H5410" i="5"/>
  <c r="I5410" i="5"/>
  <c r="J5410" i="5"/>
  <c r="K5410" i="5"/>
  <c r="L5410" i="5"/>
  <c r="M5410" i="5"/>
  <c r="H5411" i="5"/>
  <c r="I5411" i="5"/>
  <c r="J5411" i="5"/>
  <c r="K5411" i="5"/>
  <c r="L5411" i="5"/>
  <c r="M5411" i="5"/>
  <c r="H5412" i="5"/>
  <c r="I5412" i="5"/>
  <c r="J5412" i="5"/>
  <c r="K5412" i="5"/>
  <c r="L5412" i="5"/>
  <c r="M5412" i="5"/>
  <c r="H5413" i="5"/>
  <c r="I5413" i="5"/>
  <c r="J5413" i="5"/>
  <c r="K5413" i="5"/>
  <c r="L5413" i="5"/>
  <c r="M5413" i="5"/>
  <c r="H5414" i="5"/>
  <c r="I5414" i="5"/>
  <c r="J5414" i="5"/>
  <c r="K5414" i="5"/>
  <c r="L5414" i="5"/>
  <c r="M5414" i="5"/>
  <c r="H5415" i="5"/>
  <c r="I5415" i="5"/>
  <c r="J5415" i="5"/>
  <c r="K5415" i="5"/>
  <c r="L5415" i="5"/>
  <c r="M5415" i="5"/>
  <c r="H5416" i="5"/>
  <c r="I5416" i="5"/>
  <c r="J5416" i="5"/>
  <c r="K5416" i="5"/>
  <c r="L5416" i="5"/>
  <c r="M5416" i="5"/>
  <c r="H5417" i="5"/>
  <c r="I5417" i="5"/>
  <c r="J5417" i="5"/>
  <c r="K5417" i="5"/>
  <c r="L5417" i="5"/>
  <c r="M5417" i="5"/>
  <c r="H5418" i="5"/>
  <c r="I5418" i="5"/>
  <c r="J5418" i="5"/>
  <c r="K5418" i="5"/>
  <c r="L5418" i="5"/>
  <c r="M5418" i="5"/>
  <c r="H5419" i="5"/>
  <c r="I5419" i="5"/>
  <c r="J5419" i="5"/>
  <c r="K5419" i="5"/>
  <c r="L5419" i="5"/>
  <c r="M5419" i="5"/>
  <c r="H5420" i="5"/>
  <c r="I5420" i="5"/>
  <c r="J5420" i="5"/>
  <c r="K5420" i="5"/>
  <c r="L5420" i="5"/>
  <c r="M5420" i="5"/>
  <c r="H5421" i="5"/>
  <c r="I5421" i="5"/>
  <c r="J5421" i="5"/>
  <c r="K5421" i="5"/>
  <c r="L5421" i="5"/>
  <c r="M5421" i="5"/>
  <c r="H5422" i="5"/>
  <c r="I5422" i="5"/>
  <c r="J5422" i="5"/>
  <c r="K5422" i="5"/>
  <c r="L5422" i="5"/>
  <c r="M5422" i="5"/>
  <c r="H5423" i="5"/>
  <c r="I5423" i="5"/>
  <c r="J5423" i="5"/>
  <c r="K5423" i="5"/>
  <c r="L5423" i="5"/>
  <c r="M5423" i="5"/>
  <c r="H5424" i="5"/>
  <c r="I5424" i="5"/>
  <c r="J5424" i="5"/>
  <c r="K5424" i="5"/>
  <c r="L5424" i="5"/>
  <c r="M5424" i="5"/>
  <c r="H5425" i="5"/>
  <c r="I5425" i="5"/>
  <c r="J5425" i="5"/>
  <c r="K5425" i="5"/>
  <c r="L5425" i="5"/>
  <c r="M5425" i="5"/>
  <c r="H5426" i="5"/>
  <c r="I5426" i="5"/>
  <c r="J5426" i="5"/>
  <c r="K5426" i="5"/>
  <c r="L5426" i="5"/>
  <c r="M5426" i="5"/>
  <c r="H5427" i="5"/>
  <c r="I5427" i="5"/>
  <c r="J5427" i="5"/>
  <c r="K5427" i="5"/>
  <c r="L5427" i="5"/>
  <c r="M5427" i="5"/>
  <c r="H5428" i="5"/>
  <c r="I5428" i="5"/>
  <c r="J5428" i="5"/>
  <c r="K5428" i="5"/>
  <c r="L5428" i="5"/>
  <c r="M5428" i="5"/>
  <c r="H5429" i="5"/>
  <c r="I5429" i="5"/>
  <c r="J5429" i="5"/>
  <c r="K5429" i="5"/>
  <c r="L5429" i="5"/>
  <c r="M5429" i="5"/>
  <c r="H5430" i="5"/>
  <c r="I5430" i="5"/>
  <c r="J5430" i="5"/>
  <c r="K5430" i="5"/>
  <c r="L5430" i="5"/>
  <c r="M5430" i="5"/>
  <c r="H5431" i="5"/>
  <c r="I5431" i="5"/>
  <c r="J5431" i="5"/>
  <c r="K5431" i="5"/>
  <c r="L5431" i="5"/>
  <c r="M5431" i="5"/>
  <c r="H5432" i="5"/>
  <c r="I5432" i="5"/>
  <c r="J5432" i="5"/>
  <c r="K5432" i="5"/>
  <c r="L5432" i="5"/>
  <c r="M5432" i="5"/>
  <c r="H5433" i="5"/>
  <c r="I5433" i="5"/>
  <c r="J5433" i="5"/>
  <c r="K5433" i="5"/>
  <c r="L5433" i="5"/>
  <c r="M5433" i="5"/>
  <c r="H5434" i="5"/>
  <c r="I5434" i="5"/>
  <c r="J5434" i="5"/>
  <c r="K5434" i="5"/>
  <c r="L5434" i="5"/>
  <c r="M5434" i="5"/>
  <c r="H5435" i="5"/>
  <c r="I5435" i="5"/>
  <c r="J5435" i="5"/>
  <c r="K5435" i="5"/>
  <c r="L5435" i="5"/>
  <c r="M5435" i="5"/>
  <c r="H5436" i="5"/>
  <c r="I5436" i="5"/>
  <c r="J5436" i="5"/>
  <c r="K5436" i="5"/>
  <c r="L5436" i="5"/>
  <c r="M5436" i="5"/>
  <c r="H5437" i="5"/>
  <c r="I5437" i="5"/>
  <c r="J5437" i="5"/>
  <c r="K5437" i="5"/>
  <c r="L5437" i="5"/>
  <c r="M5437" i="5"/>
  <c r="H5438" i="5"/>
  <c r="I5438" i="5"/>
  <c r="J5438" i="5"/>
  <c r="K5438" i="5"/>
  <c r="L5438" i="5"/>
  <c r="M5438" i="5"/>
  <c r="H5439" i="5"/>
  <c r="I5439" i="5"/>
  <c r="J5439" i="5"/>
  <c r="K5439" i="5"/>
  <c r="L5439" i="5"/>
  <c r="M5439" i="5"/>
  <c r="H5440" i="5"/>
  <c r="I5440" i="5"/>
  <c r="J5440" i="5"/>
  <c r="K5440" i="5"/>
  <c r="L5440" i="5"/>
  <c r="M5440" i="5"/>
  <c r="H5441" i="5"/>
  <c r="I5441" i="5"/>
  <c r="J5441" i="5"/>
  <c r="K5441" i="5"/>
  <c r="L5441" i="5"/>
  <c r="M5441" i="5"/>
  <c r="H5442" i="5"/>
  <c r="I5442" i="5"/>
  <c r="J5442" i="5"/>
  <c r="K5442" i="5"/>
  <c r="L5442" i="5"/>
  <c r="M5442" i="5"/>
  <c r="H5443" i="5"/>
  <c r="I5443" i="5"/>
  <c r="J5443" i="5"/>
  <c r="K5443" i="5"/>
  <c r="L5443" i="5"/>
  <c r="M5443" i="5"/>
  <c r="H5444" i="5"/>
  <c r="I5444" i="5"/>
  <c r="J5444" i="5"/>
  <c r="K5444" i="5"/>
  <c r="L5444" i="5"/>
  <c r="M5444" i="5"/>
  <c r="H5445" i="5"/>
  <c r="I5445" i="5"/>
  <c r="J5445" i="5"/>
  <c r="K5445" i="5"/>
  <c r="L5445" i="5"/>
  <c r="M5445" i="5"/>
  <c r="H5446" i="5"/>
  <c r="I5446" i="5"/>
  <c r="J5446" i="5"/>
  <c r="K5446" i="5"/>
  <c r="L5446" i="5"/>
  <c r="M5446" i="5"/>
  <c r="H5447" i="5"/>
  <c r="I5447" i="5"/>
  <c r="J5447" i="5"/>
  <c r="K5447" i="5"/>
  <c r="L5447" i="5"/>
  <c r="M5447" i="5"/>
  <c r="H5448" i="5"/>
  <c r="I5448" i="5"/>
  <c r="J5448" i="5"/>
  <c r="K5448" i="5"/>
  <c r="L5448" i="5"/>
  <c r="M5448" i="5"/>
  <c r="H5449" i="5"/>
  <c r="I5449" i="5"/>
  <c r="J5449" i="5"/>
  <c r="K5449" i="5"/>
  <c r="L5449" i="5"/>
  <c r="M5449" i="5"/>
  <c r="H5450" i="5"/>
  <c r="I5450" i="5"/>
  <c r="J5450" i="5"/>
  <c r="K5450" i="5"/>
  <c r="L5450" i="5"/>
  <c r="M5450" i="5"/>
  <c r="H5451" i="5"/>
  <c r="I5451" i="5"/>
  <c r="J5451" i="5"/>
  <c r="K5451" i="5"/>
  <c r="L5451" i="5"/>
  <c r="M5451" i="5"/>
  <c r="H5452" i="5"/>
  <c r="I5452" i="5"/>
  <c r="J5452" i="5"/>
  <c r="K5452" i="5"/>
  <c r="L5452" i="5"/>
  <c r="M5452" i="5"/>
  <c r="H5453" i="5"/>
  <c r="I5453" i="5"/>
  <c r="J5453" i="5"/>
  <c r="K5453" i="5"/>
  <c r="L5453" i="5"/>
  <c r="M5453" i="5"/>
  <c r="H5454" i="5"/>
  <c r="I5454" i="5"/>
  <c r="J5454" i="5"/>
  <c r="K5454" i="5"/>
  <c r="L5454" i="5"/>
  <c r="M5454" i="5"/>
  <c r="H5455" i="5"/>
  <c r="I5455" i="5"/>
  <c r="J5455" i="5"/>
  <c r="K5455" i="5"/>
  <c r="L5455" i="5"/>
  <c r="M5455" i="5"/>
  <c r="H5456" i="5"/>
  <c r="I5456" i="5"/>
  <c r="J5456" i="5"/>
  <c r="K5456" i="5"/>
  <c r="L5456" i="5"/>
  <c r="M5456" i="5"/>
  <c r="H5457" i="5"/>
  <c r="I5457" i="5"/>
  <c r="J5457" i="5"/>
  <c r="K5457" i="5"/>
  <c r="L5457" i="5"/>
  <c r="M5457" i="5"/>
  <c r="H5458" i="5"/>
  <c r="I5458" i="5"/>
  <c r="J5458" i="5"/>
  <c r="K5458" i="5"/>
  <c r="L5458" i="5"/>
  <c r="M5458" i="5"/>
  <c r="H5459" i="5"/>
  <c r="I5459" i="5"/>
  <c r="J5459" i="5"/>
  <c r="K5459" i="5"/>
  <c r="L5459" i="5"/>
  <c r="M5459" i="5"/>
  <c r="H5460" i="5"/>
  <c r="I5460" i="5"/>
  <c r="J5460" i="5"/>
  <c r="K5460" i="5"/>
  <c r="L5460" i="5"/>
  <c r="M5460" i="5"/>
  <c r="H5461" i="5"/>
  <c r="I5461" i="5"/>
  <c r="J5461" i="5"/>
  <c r="K5461" i="5"/>
  <c r="L5461" i="5"/>
  <c r="M5461" i="5"/>
  <c r="H5462" i="5"/>
  <c r="I5462" i="5"/>
  <c r="J5462" i="5"/>
  <c r="K5462" i="5"/>
  <c r="L5462" i="5"/>
  <c r="M5462" i="5"/>
  <c r="H5463" i="5"/>
  <c r="I5463" i="5"/>
  <c r="J5463" i="5"/>
  <c r="K5463" i="5"/>
  <c r="L5463" i="5"/>
  <c r="M5463" i="5"/>
  <c r="H5464" i="5"/>
  <c r="I5464" i="5"/>
  <c r="J5464" i="5"/>
  <c r="K5464" i="5"/>
  <c r="L5464" i="5"/>
  <c r="M5464" i="5"/>
  <c r="H5465" i="5"/>
  <c r="I5465" i="5"/>
  <c r="J5465" i="5"/>
  <c r="K5465" i="5"/>
  <c r="L5465" i="5"/>
  <c r="M5465" i="5"/>
  <c r="H5466" i="5"/>
  <c r="I5466" i="5"/>
  <c r="J5466" i="5"/>
  <c r="K5466" i="5"/>
  <c r="L5466" i="5"/>
  <c r="M5466" i="5"/>
  <c r="H5467" i="5"/>
  <c r="I5467" i="5"/>
  <c r="J5467" i="5"/>
  <c r="K5467" i="5"/>
  <c r="L5467" i="5"/>
  <c r="M5467" i="5"/>
  <c r="H5468" i="5"/>
  <c r="I5468" i="5"/>
  <c r="J5468" i="5"/>
  <c r="K5468" i="5"/>
  <c r="L5468" i="5"/>
  <c r="M5468" i="5"/>
  <c r="H5469" i="5"/>
  <c r="I5469" i="5"/>
  <c r="J5469" i="5"/>
  <c r="K5469" i="5"/>
  <c r="L5469" i="5"/>
  <c r="M5469" i="5"/>
  <c r="H5470" i="5"/>
  <c r="I5470" i="5"/>
  <c r="J5470" i="5"/>
  <c r="K5470" i="5"/>
  <c r="L5470" i="5"/>
  <c r="M5470" i="5"/>
  <c r="H5471" i="5"/>
  <c r="I5471" i="5"/>
  <c r="J5471" i="5"/>
  <c r="K5471" i="5"/>
  <c r="L5471" i="5"/>
  <c r="M5471" i="5"/>
  <c r="H5472" i="5"/>
  <c r="I5472" i="5"/>
  <c r="J5472" i="5"/>
  <c r="K5472" i="5"/>
  <c r="L5472" i="5"/>
  <c r="M5472" i="5"/>
  <c r="H5473" i="5"/>
  <c r="I5473" i="5"/>
  <c r="J5473" i="5"/>
  <c r="K5473" i="5"/>
  <c r="L5473" i="5"/>
  <c r="M5473" i="5"/>
  <c r="H5474" i="5"/>
  <c r="I5474" i="5"/>
  <c r="J5474" i="5"/>
  <c r="K5474" i="5"/>
  <c r="L5474" i="5"/>
  <c r="M5474" i="5"/>
  <c r="H5475" i="5"/>
  <c r="I5475" i="5"/>
  <c r="J5475" i="5"/>
  <c r="K5475" i="5"/>
  <c r="L5475" i="5"/>
  <c r="M5475" i="5"/>
  <c r="H5476" i="5"/>
  <c r="I5476" i="5"/>
  <c r="J5476" i="5"/>
  <c r="K5476" i="5"/>
  <c r="L5476" i="5"/>
  <c r="M5476" i="5"/>
  <c r="H5477" i="5"/>
  <c r="I5477" i="5"/>
  <c r="J5477" i="5"/>
  <c r="K5477" i="5"/>
  <c r="L5477" i="5"/>
  <c r="M5477" i="5"/>
  <c r="H5478" i="5"/>
  <c r="I5478" i="5"/>
  <c r="J5478" i="5"/>
  <c r="K5478" i="5"/>
  <c r="L5478" i="5"/>
  <c r="M5478" i="5"/>
  <c r="H5479" i="5"/>
  <c r="I5479" i="5"/>
  <c r="J5479" i="5"/>
  <c r="K5479" i="5"/>
  <c r="L5479" i="5"/>
  <c r="M5479" i="5"/>
  <c r="H5480" i="5"/>
  <c r="I5480" i="5"/>
  <c r="J5480" i="5"/>
  <c r="K5480" i="5"/>
  <c r="L5480" i="5"/>
  <c r="M5480" i="5"/>
  <c r="H5481" i="5"/>
  <c r="I5481" i="5"/>
  <c r="J5481" i="5"/>
  <c r="K5481" i="5"/>
  <c r="L5481" i="5"/>
  <c r="M5481" i="5"/>
  <c r="H5482" i="5"/>
  <c r="I5482" i="5"/>
  <c r="J5482" i="5"/>
  <c r="K5482" i="5"/>
  <c r="L5482" i="5"/>
  <c r="M5482" i="5"/>
  <c r="H5483" i="5"/>
  <c r="I5483" i="5"/>
  <c r="J5483" i="5"/>
  <c r="K5483" i="5"/>
  <c r="L5483" i="5"/>
  <c r="M5483" i="5"/>
  <c r="H5484" i="5"/>
  <c r="I5484" i="5"/>
  <c r="J5484" i="5"/>
  <c r="K5484" i="5"/>
  <c r="L5484" i="5"/>
  <c r="M5484" i="5"/>
  <c r="H5485" i="5"/>
  <c r="I5485" i="5"/>
  <c r="J5485" i="5"/>
  <c r="K5485" i="5"/>
  <c r="L5485" i="5"/>
  <c r="M5485" i="5"/>
  <c r="H5486" i="5"/>
  <c r="I5486" i="5"/>
  <c r="J5486" i="5"/>
  <c r="K5486" i="5"/>
  <c r="L5486" i="5"/>
  <c r="M5486" i="5"/>
  <c r="H5487" i="5"/>
  <c r="I5487" i="5"/>
  <c r="J5487" i="5"/>
  <c r="K5487" i="5"/>
  <c r="L5487" i="5"/>
  <c r="M5487" i="5"/>
  <c r="H5488" i="5"/>
  <c r="I5488" i="5"/>
  <c r="J5488" i="5"/>
  <c r="K5488" i="5"/>
  <c r="L5488" i="5"/>
  <c r="M5488" i="5"/>
  <c r="H5489" i="5"/>
  <c r="I5489" i="5"/>
  <c r="J5489" i="5"/>
  <c r="K5489" i="5"/>
  <c r="L5489" i="5"/>
  <c r="M5489" i="5"/>
  <c r="H5490" i="5"/>
  <c r="I5490" i="5"/>
  <c r="J5490" i="5"/>
  <c r="K5490" i="5"/>
  <c r="L5490" i="5"/>
  <c r="M5490" i="5"/>
  <c r="H5491" i="5"/>
  <c r="I5491" i="5"/>
  <c r="J5491" i="5"/>
  <c r="K5491" i="5"/>
  <c r="L5491" i="5"/>
  <c r="M5491" i="5"/>
  <c r="H5492" i="5"/>
  <c r="I5492" i="5"/>
  <c r="J5492" i="5"/>
  <c r="K5492" i="5"/>
  <c r="L5492" i="5"/>
  <c r="M5492" i="5"/>
  <c r="H5493" i="5"/>
  <c r="I5493" i="5"/>
  <c r="J5493" i="5"/>
  <c r="K5493" i="5"/>
  <c r="L5493" i="5"/>
  <c r="M5493" i="5"/>
  <c r="H5494" i="5"/>
  <c r="I5494" i="5"/>
  <c r="J5494" i="5"/>
  <c r="K5494" i="5"/>
  <c r="L5494" i="5"/>
  <c r="M5494" i="5"/>
  <c r="H5495" i="5"/>
  <c r="I5495" i="5"/>
  <c r="J5495" i="5"/>
  <c r="K5495" i="5"/>
  <c r="L5495" i="5"/>
  <c r="M5495" i="5"/>
  <c r="H5496" i="5"/>
  <c r="I5496" i="5"/>
  <c r="J5496" i="5"/>
  <c r="K5496" i="5"/>
  <c r="L5496" i="5"/>
  <c r="M5496" i="5"/>
  <c r="H5497" i="5"/>
  <c r="I5497" i="5"/>
  <c r="J5497" i="5"/>
  <c r="K5497" i="5"/>
  <c r="L5497" i="5"/>
  <c r="M5497" i="5"/>
  <c r="H5498" i="5"/>
  <c r="I5498" i="5"/>
  <c r="J5498" i="5"/>
  <c r="K5498" i="5"/>
  <c r="L5498" i="5"/>
  <c r="M5498" i="5"/>
  <c r="H5499" i="5"/>
  <c r="I5499" i="5"/>
  <c r="J5499" i="5"/>
  <c r="K5499" i="5"/>
  <c r="L5499" i="5"/>
  <c r="M5499" i="5"/>
  <c r="H5500" i="5"/>
  <c r="I5500" i="5"/>
  <c r="J5500" i="5"/>
  <c r="K5500" i="5"/>
  <c r="L5500" i="5"/>
  <c r="M5500" i="5"/>
  <c r="H5501" i="5"/>
  <c r="I5501" i="5"/>
  <c r="J5501" i="5"/>
  <c r="K5501" i="5"/>
  <c r="L5501" i="5"/>
  <c r="M5501" i="5"/>
  <c r="H5502" i="5"/>
  <c r="I5502" i="5"/>
  <c r="J5502" i="5"/>
  <c r="K5502" i="5"/>
  <c r="L5502" i="5"/>
  <c r="M5502" i="5"/>
  <c r="H5503" i="5"/>
  <c r="I5503" i="5"/>
  <c r="J5503" i="5"/>
  <c r="K5503" i="5"/>
  <c r="L5503" i="5"/>
  <c r="M5503" i="5"/>
  <c r="H5504" i="5"/>
  <c r="I5504" i="5"/>
  <c r="J5504" i="5"/>
  <c r="K5504" i="5"/>
  <c r="L5504" i="5"/>
  <c r="M5504" i="5"/>
  <c r="H5505" i="5"/>
  <c r="I5505" i="5"/>
  <c r="J5505" i="5"/>
  <c r="K5505" i="5"/>
  <c r="L5505" i="5"/>
  <c r="M5505" i="5"/>
  <c r="H5506" i="5"/>
  <c r="I5506" i="5"/>
  <c r="J5506" i="5"/>
  <c r="K5506" i="5"/>
  <c r="L5506" i="5"/>
  <c r="M5506" i="5"/>
  <c r="H5507" i="5"/>
  <c r="I5507" i="5"/>
  <c r="J5507" i="5"/>
  <c r="K5507" i="5"/>
  <c r="L5507" i="5"/>
  <c r="M5507" i="5"/>
  <c r="H5508" i="5"/>
  <c r="I5508" i="5"/>
  <c r="J5508" i="5"/>
  <c r="K5508" i="5"/>
  <c r="L5508" i="5"/>
  <c r="M5508" i="5"/>
  <c r="H5509" i="5"/>
  <c r="I5509" i="5"/>
  <c r="J5509" i="5"/>
  <c r="K5509" i="5"/>
  <c r="L5509" i="5"/>
  <c r="M5509" i="5"/>
  <c r="H5510" i="5"/>
  <c r="I5510" i="5"/>
  <c r="J5510" i="5"/>
  <c r="K5510" i="5"/>
  <c r="L5510" i="5"/>
  <c r="M5510" i="5"/>
  <c r="H5511" i="5"/>
  <c r="I5511" i="5"/>
  <c r="J5511" i="5"/>
  <c r="K5511" i="5"/>
  <c r="L5511" i="5"/>
  <c r="M5511" i="5"/>
  <c r="H5512" i="5"/>
  <c r="I5512" i="5"/>
  <c r="J5512" i="5"/>
  <c r="K5512" i="5"/>
  <c r="L5512" i="5"/>
  <c r="M5512" i="5"/>
  <c r="H5513" i="5"/>
  <c r="I5513" i="5"/>
  <c r="J5513" i="5"/>
  <c r="K5513" i="5"/>
  <c r="L5513" i="5"/>
  <c r="M5513" i="5"/>
  <c r="H5514" i="5"/>
  <c r="I5514" i="5"/>
  <c r="J5514" i="5"/>
  <c r="K5514" i="5"/>
  <c r="L5514" i="5"/>
  <c r="M5514" i="5"/>
  <c r="H5515" i="5"/>
  <c r="I5515" i="5"/>
  <c r="J5515" i="5"/>
  <c r="K5515" i="5"/>
  <c r="L5515" i="5"/>
  <c r="M5515" i="5"/>
  <c r="H5516" i="5"/>
  <c r="I5516" i="5"/>
  <c r="J5516" i="5"/>
  <c r="K5516" i="5"/>
  <c r="L5516" i="5"/>
  <c r="M5516" i="5"/>
  <c r="H5517" i="5"/>
  <c r="I5517" i="5"/>
  <c r="J5517" i="5"/>
  <c r="K5517" i="5"/>
  <c r="L5517" i="5"/>
  <c r="M5517" i="5"/>
  <c r="H5518" i="5"/>
  <c r="I5518" i="5"/>
  <c r="J5518" i="5"/>
  <c r="K5518" i="5"/>
  <c r="L5518" i="5"/>
  <c r="M5518" i="5"/>
  <c r="H5519" i="5"/>
  <c r="I5519" i="5"/>
  <c r="J5519" i="5"/>
  <c r="K5519" i="5"/>
  <c r="L5519" i="5"/>
  <c r="M5519" i="5"/>
  <c r="H5520" i="5"/>
  <c r="I5520" i="5"/>
  <c r="J5520" i="5"/>
  <c r="K5520" i="5"/>
  <c r="L5520" i="5"/>
  <c r="M5520" i="5"/>
  <c r="H5521" i="5"/>
  <c r="I5521" i="5"/>
  <c r="J5521" i="5"/>
  <c r="K5521" i="5"/>
  <c r="L5521" i="5"/>
  <c r="M5521" i="5"/>
  <c r="H5522" i="5"/>
  <c r="I5522" i="5"/>
  <c r="J5522" i="5"/>
  <c r="K5522" i="5"/>
  <c r="L5522" i="5"/>
  <c r="M5522" i="5"/>
  <c r="H5523" i="5"/>
  <c r="I5523" i="5"/>
  <c r="J5523" i="5"/>
  <c r="K5523" i="5"/>
  <c r="L5523" i="5"/>
  <c r="M5523" i="5"/>
  <c r="H5524" i="5"/>
  <c r="I5524" i="5"/>
  <c r="J5524" i="5"/>
  <c r="K5524" i="5"/>
  <c r="L5524" i="5"/>
  <c r="M5524" i="5"/>
  <c r="H5525" i="5"/>
  <c r="I5525" i="5"/>
  <c r="J5525" i="5"/>
  <c r="K5525" i="5"/>
  <c r="L5525" i="5"/>
  <c r="M5525" i="5"/>
  <c r="H5526" i="5"/>
  <c r="I5526" i="5"/>
  <c r="J5526" i="5"/>
  <c r="K5526" i="5"/>
  <c r="L5526" i="5"/>
  <c r="M5526" i="5"/>
  <c r="H5527" i="5"/>
  <c r="I5527" i="5"/>
  <c r="J5527" i="5"/>
  <c r="K5527" i="5"/>
  <c r="L5527" i="5"/>
  <c r="M5527" i="5"/>
  <c r="H5528" i="5"/>
  <c r="I5528" i="5"/>
  <c r="J5528" i="5"/>
  <c r="K5528" i="5"/>
  <c r="L5528" i="5"/>
  <c r="M5528" i="5"/>
  <c r="H5529" i="5"/>
  <c r="I5529" i="5"/>
  <c r="J5529" i="5"/>
  <c r="K5529" i="5"/>
  <c r="L5529" i="5"/>
  <c r="M5529" i="5"/>
  <c r="H5530" i="5"/>
  <c r="I5530" i="5"/>
  <c r="J5530" i="5"/>
  <c r="K5530" i="5"/>
  <c r="L5530" i="5"/>
  <c r="M5530" i="5"/>
  <c r="H5531" i="5"/>
  <c r="I5531" i="5"/>
  <c r="J5531" i="5"/>
  <c r="K5531" i="5"/>
  <c r="L5531" i="5"/>
  <c r="M5531" i="5"/>
  <c r="H5532" i="5"/>
  <c r="I5532" i="5"/>
  <c r="J5532" i="5"/>
  <c r="K5532" i="5"/>
  <c r="L5532" i="5"/>
  <c r="M5532" i="5"/>
  <c r="H5533" i="5"/>
  <c r="I5533" i="5"/>
  <c r="J5533" i="5"/>
  <c r="K5533" i="5"/>
  <c r="L5533" i="5"/>
  <c r="M5533" i="5"/>
  <c r="H5534" i="5"/>
  <c r="I5534" i="5"/>
  <c r="J5534" i="5"/>
  <c r="K5534" i="5"/>
  <c r="L5534" i="5"/>
  <c r="M5534" i="5"/>
  <c r="H5535" i="5"/>
  <c r="I5535" i="5"/>
  <c r="J5535" i="5"/>
  <c r="K5535" i="5"/>
  <c r="L5535" i="5"/>
  <c r="M5535" i="5"/>
  <c r="H5536" i="5"/>
  <c r="I5536" i="5"/>
  <c r="J5536" i="5"/>
  <c r="K5536" i="5"/>
  <c r="L5536" i="5"/>
  <c r="M5536" i="5"/>
  <c r="H5537" i="5"/>
  <c r="I5537" i="5"/>
  <c r="J5537" i="5"/>
  <c r="K5537" i="5"/>
  <c r="L5537" i="5"/>
  <c r="M5537" i="5"/>
  <c r="H5538" i="5"/>
  <c r="I5538" i="5"/>
  <c r="J5538" i="5"/>
  <c r="K5538" i="5"/>
  <c r="L5538" i="5"/>
  <c r="M5538" i="5"/>
  <c r="H5539" i="5"/>
  <c r="I5539" i="5"/>
  <c r="J5539" i="5"/>
  <c r="K5539" i="5"/>
  <c r="L5539" i="5"/>
  <c r="M5539" i="5"/>
  <c r="H5540" i="5"/>
  <c r="I5540" i="5"/>
  <c r="J5540" i="5"/>
  <c r="K5540" i="5"/>
  <c r="L5540" i="5"/>
  <c r="M5540" i="5"/>
  <c r="H5541" i="5"/>
  <c r="I5541" i="5"/>
  <c r="J5541" i="5"/>
  <c r="K5541" i="5"/>
  <c r="L5541" i="5"/>
  <c r="M5541" i="5"/>
  <c r="H5542" i="5"/>
  <c r="I5542" i="5"/>
  <c r="J5542" i="5"/>
  <c r="K5542" i="5"/>
  <c r="L5542" i="5"/>
  <c r="M5542" i="5"/>
  <c r="H5543" i="5"/>
  <c r="I5543" i="5"/>
  <c r="J5543" i="5"/>
  <c r="K5543" i="5"/>
  <c r="L5543" i="5"/>
  <c r="M5543" i="5"/>
  <c r="H5544" i="5"/>
  <c r="I5544" i="5"/>
  <c r="J5544" i="5"/>
  <c r="K5544" i="5"/>
  <c r="L5544" i="5"/>
  <c r="M5544" i="5"/>
  <c r="H5545" i="5"/>
  <c r="I5545" i="5"/>
  <c r="J5545" i="5"/>
  <c r="K5545" i="5"/>
  <c r="L5545" i="5"/>
  <c r="M5545" i="5"/>
  <c r="H5546" i="5"/>
  <c r="I5546" i="5"/>
  <c r="J5546" i="5"/>
  <c r="K5546" i="5"/>
  <c r="L5546" i="5"/>
  <c r="M5546" i="5"/>
  <c r="H5547" i="5"/>
  <c r="I5547" i="5"/>
  <c r="J5547" i="5"/>
  <c r="K5547" i="5"/>
  <c r="L5547" i="5"/>
  <c r="M5547" i="5"/>
  <c r="H5548" i="5"/>
  <c r="I5548" i="5"/>
  <c r="J5548" i="5"/>
  <c r="K5548" i="5"/>
  <c r="L5548" i="5"/>
  <c r="M5548" i="5"/>
  <c r="H5549" i="5"/>
  <c r="I5549" i="5"/>
  <c r="J5549" i="5"/>
  <c r="K5549" i="5"/>
  <c r="L5549" i="5"/>
  <c r="M5549" i="5"/>
  <c r="H5550" i="5"/>
  <c r="I5550" i="5"/>
  <c r="J5550" i="5"/>
  <c r="K5550" i="5"/>
  <c r="L5550" i="5"/>
  <c r="M5550" i="5"/>
  <c r="H5551" i="5"/>
  <c r="I5551" i="5"/>
  <c r="J5551" i="5"/>
  <c r="K5551" i="5"/>
  <c r="L5551" i="5"/>
  <c r="M5551" i="5"/>
  <c r="H5552" i="5"/>
  <c r="I5552" i="5"/>
  <c r="J5552" i="5"/>
  <c r="K5552" i="5"/>
  <c r="L5552" i="5"/>
  <c r="M5552" i="5"/>
  <c r="H5553" i="5"/>
  <c r="I5553" i="5"/>
  <c r="J5553" i="5"/>
  <c r="K5553" i="5"/>
  <c r="L5553" i="5"/>
  <c r="M5553" i="5"/>
  <c r="H5554" i="5"/>
  <c r="I5554" i="5"/>
  <c r="J5554" i="5"/>
  <c r="K5554" i="5"/>
  <c r="L5554" i="5"/>
  <c r="M5554" i="5"/>
  <c r="H5555" i="5"/>
  <c r="I5555" i="5"/>
  <c r="J5555" i="5"/>
  <c r="K5555" i="5"/>
  <c r="L5555" i="5"/>
  <c r="M5555" i="5"/>
  <c r="H5556" i="5"/>
  <c r="I5556" i="5"/>
  <c r="J5556" i="5"/>
  <c r="K5556" i="5"/>
  <c r="L5556" i="5"/>
  <c r="M5556" i="5"/>
  <c r="H5557" i="5"/>
  <c r="I5557" i="5"/>
  <c r="J5557" i="5"/>
  <c r="K5557" i="5"/>
  <c r="L5557" i="5"/>
  <c r="M5557" i="5"/>
  <c r="H5558" i="5"/>
  <c r="I5558" i="5"/>
  <c r="J5558" i="5"/>
  <c r="K5558" i="5"/>
  <c r="L5558" i="5"/>
  <c r="M5558" i="5"/>
  <c r="H5559" i="5"/>
  <c r="I5559" i="5"/>
  <c r="J5559" i="5"/>
  <c r="K5559" i="5"/>
  <c r="L5559" i="5"/>
  <c r="M5559" i="5"/>
  <c r="H5560" i="5"/>
  <c r="I5560" i="5"/>
  <c r="J5560" i="5"/>
  <c r="K5560" i="5"/>
  <c r="L5560" i="5"/>
  <c r="M5560" i="5"/>
  <c r="H5561" i="5"/>
  <c r="I5561" i="5"/>
  <c r="J5561" i="5"/>
  <c r="K5561" i="5"/>
  <c r="L5561" i="5"/>
  <c r="M5561" i="5"/>
  <c r="H5562" i="5"/>
  <c r="I5562" i="5"/>
  <c r="J5562" i="5"/>
  <c r="K5562" i="5"/>
  <c r="L5562" i="5"/>
  <c r="M5562" i="5"/>
  <c r="H5563" i="5"/>
  <c r="I5563" i="5"/>
  <c r="J5563" i="5"/>
  <c r="K5563" i="5"/>
  <c r="L5563" i="5"/>
  <c r="M5563" i="5"/>
  <c r="H5564" i="5"/>
  <c r="I5564" i="5"/>
  <c r="J5564" i="5"/>
  <c r="K5564" i="5"/>
  <c r="L5564" i="5"/>
  <c r="M5564" i="5"/>
  <c r="H5565" i="5"/>
  <c r="I5565" i="5"/>
  <c r="J5565" i="5"/>
  <c r="K5565" i="5"/>
  <c r="L5565" i="5"/>
  <c r="M5565" i="5"/>
  <c r="H5566" i="5"/>
  <c r="I5566" i="5"/>
  <c r="J5566" i="5"/>
  <c r="K5566" i="5"/>
  <c r="L5566" i="5"/>
  <c r="M5566" i="5"/>
  <c r="H5567" i="5"/>
  <c r="I5567" i="5"/>
  <c r="J5567" i="5"/>
  <c r="K5567" i="5"/>
  <c r="L5567" i="5"/>
  <c r="M5567" i="5"/>
  <c r="H5568" i="5"/>
  <c r="I5568" i="5"/>
  <c r="J5568" i="5"/>
  <c r="K5568" i="5"/>
  <c r="L5568" i="5"/>
  <c r="M5568" i="5"/>
  <c r="H5569" i="5"/>
  <c r="I5569" i="5"/>
  <c r="J5569" i="5"/>
  <c r="K5569" i="5"/>
  <c r="L5569" i="5"/>
  <c r="M5569" i="5"/>
  <c r="H5570" i="5"/>
  <c r="I5570" i="5"/>
  <c r="J5570" i="5"/>
  <c r="K5570" i="5"/>
  <c r="L5570" i="5"/>
  <c r="M5570" i="5"/>
  <c r="H5571" i="5"/>
  <c r="I5571" i="5"/>
  <c r="J5571" i="5"/>
  <c r="K5571" i="5"/>
  <c r="L5571" i="5"/>
  <c r="M5571" i="5"/>
  <c r="H5572" i="5"/>
  <c r="I5572" i="5"/>
  <c r="J5572" i="5"/>
  <c r="K5572" i="5"/>
  <c r="L5572" i="5"/>
  <c r="M5572" i="5"/>
  <c r="H5573" i="5"/>
  <c r="I5573" i="5"/>
  <c r="J5573" i="5"/>
  <c r="K5573" i="5"/>
  <c r="L5573" i="5"/>
  <c r="M5573" i="5"/>
  <c r="H5574" i="5"/>
  <c r="I5574" i="5"/>
  <c r="J5574" i="5"/>
  <c r="K5574" i="5"/>
  <c r="L5574" i="5"/>
  <c r="M5574" i="5"/>
  <c r="H5575" i="5"/>
  <c r="I5575" i="5"/>
  <c r="J5575" i="5"/>
  <c r="K5575" i="5"/>
  <c r="L5575" i="5"/>
  <c r="M5575" i="5"/>
  <c r="H5576" i="5"/>
  <c r="I5576" i="5"/>
  <c r="J5576" i="5"/>
  <c r="K5576" i="5"/>
  <c r="L5576" i="5"/>
  <c r="M5576" i="5"/>
  <c r="H5577" i="5"/>
  <c r="I5577" i="5"/>
  <c r="J5577" i="5"/>
  <c r="K5577" i="5"/>
  <c r="L5577" i="5"/>
  <c r="M5577" i="5"/>
  <c r="H5578" i="5"/>
  <c r="I5578" i="5"/>
  <c r="J5578" i="5"/>
  <c r="K5578" i="5"/>
  <c r="L5578" i="5"/>
  <c r="M5578" i="5"/>
  <c r="H5579" i="5"/>
  <c r="I5579" i="5"/>
  <c r="J5579" i="5"/>
  <c r="K5579" i="5"/>
  <c r="L5579" i="5"/>
  <c r="M5579" i="5"/>
  <c r="H5580" i="5"/>
  <c r="I5580" i="5"/>
  <c r="J5580" i="5"/>
  <c r="K5580" i="5"/>
  <c r="L5580" i="5"/>
  <c r="M5580" i="5"/>
  <c r="H5581" i="5"/>
  <c r="I5581" i="5"/>
  <c r="J5581" i="5"/>
  <c r="K5581" i="5"/>
  <c r="L5581" i="5"/>
  <c r="M5581" i="5"/>
  <c r="H5582" i="5"/>
  <c r="I5582" i="5"/>
  <c r="J5582" i="5"/>
  <c r="K5582" i="5"/>
  <c r="L5582" i="5"/>
  <c r="M5582" i="5"/>
  <c r="H5583" i="5"/>
  <c r="I5583" i="5"/>
  <c r="J5583" i="5"/>
  <c r="K5583" i="5"/>
  <c r="L5583" i="5"/>
  <c r="M5583" i="5"/>
  <c r="H5584" i="5"/>
  <c r="I5584" i="5"/>
  <c r="J5584" i="5"/>
  <c r="K5584" i="5"/>
  <c r="L5584" i="5"/>
  <c r="M5584" i="5"/>
  <c r="H5585" i="5"/>
  <c r="I5585" i="5"/>
  <c r="J5585" i="5"/>
  <c r="K5585" i="5"/>
  <c r="L5585" i="5"/>
  <c r="M5585" i="5"/>
  <c r="H5586" i="5"/>
  <c r="I5586" i="5"/>
  <c r="J5586" i="5"/>
  <c r="K5586" i="5"/>
  <c r="L5586" i="5"/>
  <c r="M5586" i="5"/>
  <c r="H5587" i="5"/>
  <c r="I5587" i="5"/>
  <c r="J5587" i="5"/>
  <c r="K5587" i="5"/>
  <c r="L5587" i="5"/>
  <c r="M5587" i="5"/>
  <c r="H5588" i="5"/>
  <c r="I5588" i="5"/>
  <c r="J5588" i="5"/>
  <c r="K5588" i="5"/>
  <c r="L5588" i="5"/>
  <c r="M5588" i="5"/>
  <c r="H5589" i="5"/>
  <c r="I5589" i="5"/>
  <c r="J5589" i="5"/>
  <c r="K5589" i="5"/>
  <c r="L5589" i="5"/>
  <c r="M5589" i="5"/>
  <c r="H5590" i="5"/>
  <c r="I5590" i="5"/>
  <c r="J5590" i="5"/>
  <c r="K5590" i="5"/>
  <c r="L5590" i="5"/>
  <c r="M5590" i="5"/>
  <c r="H5591" i="5"/>
  <c r="I5591" i="5"/>
  <c r="J5591" i="5"/>
  <c r="K5591" i="5"/>
  <c r="L5591" i="5"/>
  <c r="M5591" i="5"/>
  <c r="H5592" i="5"/>
  <c r="I5592" i="5"/>
  <c r="J5592" i="5"/>
  <c r="K5592" i="5"/>
  <c r="L5592" i="5"/>
  <c r="M5592" i="5"/>
  <c r="H5593" i="5"/>
  <c r="I5593" i="5"/>
  <c r="J5593" i="5"/>
  <c r="K5593" i="5"/>
  <c r="L5593" i="5"/>
  <c r="M5593" i="5"/>
  <c r="H5594" i="5"/>
  <c r="I5594" i="5"/>
  <c r="J5594" i="5"/>
  <c r="K5594" i="5"/>
  <c r="L5594" i="5"/>
  <c r="M5594" i="5"/>
  <c r="H5595" i="5"/>
  <c r="I5595" i="5"/>
  <c r="J5595" i="5"/>
  <c r="K5595" i="5"/>
  <c r="L5595" i="5"/>
  <c r="M5595" i="5"/>
  <c r="H5596" i="5"/>
  <c r="I5596" i="5"/>
  <c r="J5596" i="5"/>
  <c r="K5596" i="5"/>
  <c r="L5596" i="5"/>
  <c r="M5596" i="5"/>
  <c r="H5597" i="5"/>
  <c r="I5597" i="5"/>
  <c r="J5597" i="5"/>
  <c r="K5597" i="5"/>
  <c r="L5597" i="5"/>
  <c r="M5597" i="5"/>
  <c r="H5598" i="5"/>
  <c r="I5598" i="5"/>
  <c r="J5598" i="5"/>
  <c r="K5598" i="5"/>
  <c r="L5598" i="5"/>
  <c r="M5598" i="5"/>
  <c r="H5599" i="5"/>
  <c r="I5599" i="5"/>
  <c r="J5599" i="5"/>
  <c r="K5599" i="5"/>
  <c r="L5599" i="5"/>
  <c r="M5599" i="5"/>
  <c r="H5600" i="5"/>
  <c r="I5600" i="5"/>
  <c r="J5600" i="5"/>
  <c r="K5600" i="5"/>
  <c r="L5600" i="5"/>
  <c r="M5600" i="5"/>
  <c r="H5601" i="5"/>
  <c r="I5601" i="5"/>
  <c r="J5601" i="5"/>
  <c r="K5601" i="5"/>
  <c r="L5601" i="5"/>
  <c r="M5601" i="5"/>
  <c r="H5602" i="5"/>
  <c r="I5602" i="5"/>
  <c r="J5602" i="5"/>
  <c r="K5602" i="5"/>
  <c r="L5602" i="5"/>
  <c r="M5602" i="5"/>
  <c r="H5603" i="5"/>
  <c r="I5603" i="5"/>
  <c r="J5603" i="5"/>
  <c r="K5603" i="5"/>
  <c r="L5603" i="5"/>
  <c r="M5603" i="5"/>
  <c r="H5604" i="5"/>
  <c r="I5604" i="5"/>
  <c r="J5604" i="5"/>
  <c r="K5604" i="5"/>
  <c r="L5604" i="5"/>
  <c r="M5604" i="5"/>
  <c r="H5605" i="5"/>
  <c r="I5605" i="5"/>
  <c r="J5605" i="5"/>
  <c r="K5605" i="5"/>
  <c r="L5605" i="5"/>
  <c r="M5605" i="5"/>
  <c r="H5606" i="5"/>
  <c r="I5606" i="5"/>
  <c r="J5606" i="5"/>
  <c r="K5606" i="5"/>
  <c r="L5606" i="5"/>
  <c r="M5606" i="5"/>
  <c r="H5607" i="5"/>
  <c r="I5607" i="5"/>
  <c r="J5607" i="5"/>
  <c r="K5607" i="5"/>
  <c r="L5607" i="5"/>
  <c r="M5607" i="5"/>
  <c r="H5608" i="5"/>
  <c r="I5608" i="5"/>
  <c r="J5608" i="5"/>
  <c r="K5608" i="5"/>
  <c r="L5608" i="5"/>
  <c r="M5608" i="5"/>
  <c r="H5609" i="5"/>
  <c r="I5609" i="5"/>
  <c r="J5609" i="5"/>
  <c r="K5609" i="5"/>
  <c r="L5609" i="5"/>
  <c r="M5609" i="5"/>
  <c r="H5610" i="5"/>
  <c r="I5610" i="5"/>
  <c r="J5610" i="5"/>
  <c r="K5610" i="5"/>
  <c r="L5610" i="5"/>
  <c r="M5610" i="5"/>
  <c r="H5611" i="5"/>
  <c r="I5611" i="5"/>
  <c r="J5611" i="5"/>
  <c r="K5611" i="5"/>
  <c r="L5611" i="5"/>
  <c r="M5611" i="5"/>
  <c r="H5612" i="5"/>
  <c r="I5612" i="5"/>
  <c r="J5612" i="5"/>
  <c r="K5612" i="5"/>
  <c r="L5612" i="5"/>
  <c r="M5612" i="5"/>
  <c r="H5613" i="5"/>
  <c r="I5613" i="5"/>
  <c r="J5613" i="5"/>
  <c r="K5613" i="5"/>
  <c r="L5613" i="5"/>
  <c r="M5613" i="5"/>
  <c r="H5614" i="5"/>
  <c r="I5614" i="5"/>
  <c r="J5614" i="5"/>
  <c r="K5614" i="5"/>
  <c r="L5614" i="5"/>
  <c r="M5614" i="5"/>
  <c r="H5615" i="5"/>
  <c r="I5615" i="5"/>
  <c r="J5615" i="5"/>
  <c r="K5615" i="5"/>
  <c r="L5615" i="5"/>
  <c r="M5615" i="5"/>
  <c r="H5616" i="5"/>
  <c r="I5616" i="5"/>
  <c r="J5616" i="5"/>
  <c r="K5616" i="5"/>
  <c r="L5616" i="5"/>
  <c r="M5616" i="5"/>
  <c r="H5617" i="5"/>
  <c r="I5617" i="5"/>
  <c r="J5617" i="5"/>
  <c r="K5617" i="5"/>
  <c r="L5617" i="5"/>
  <c r="M5617" i="5"/>
  <c r="H5618" i="5"/>
  <c r="I5618" i="5"/>
  <c r="J5618" i="5"/>
  <c r="K5618" i="5"/>
  <c r="L5618" i="5"/>
  <c r="M5618" i="5"/>
  <c r="H5619" i="5"/>
  <c r="I5619" i="5"/>
  <c r="J5619" i="5"/>
  <c r="K5619" i="5"/>
  <c r="L5619" i="5"/>
  <c r="M5619" i="5"/>
  <c r="H5620" i="5"/>
  <c r="I5620" i="5"/>
  <c r="J5620" i="5"/>
  <c r="K5620" i="5"/>
  <c r="L5620" i="5"/>
  <c r="M5620" i="5"/>
  <c r="H5621" i="5"/>
  <c r="I5621" i="5"/>
  <c r="J5621" i="5"/>
  <c r="K5621" i="5"/>
  <c r="L5621" i="5"/>
  <c r="M5621" i="5"/>
  <c r="H5622" i="5"/>
  <c r="I5622" i="5"/>
  <c r="J5622" i="5"/>
  <c r="K5622" i="5"/>
  <c r="L5622" i="5"/>
  <c r="M5622" i="5"/>
  <c r="H5623" i="5"/>
  <c r="I5623" i="5"/>
  <c r="J5623" i="5"/>
  <c r="K5623" i="5"/>
  <c r="L5623" i="5"/>
  <c r="M5623" i="5"/>
  <c r="H5624" i="5"/>
  <c r="I5624" i="5"/>
  <c r="J5624" i="5"/>
  <c r="K5624" i="5"/>
  <c r="L5624" i="5"/>
  <c r="M5624" i="5"/>
  <c r="H5625" i="5"/>
  <c r="I5625" i="5"/>
  <c r="J5625" i="5"/>
  <c r="K5625" i="5"/>
  <c r="L5625" i="5"/>
  <c r="M5625" i="5"/>
  <c r="H5626" i="5"/>
  <c r="I5626" i="5"/>
  <c r="J5626" i="5"/>
  <c r="K5626" i="5"/>
  <c r="L5626" i="5"/>
  <c r="M5626" i="5"/>
  <c r="H5627" i="5"/>
  <c r="I5627" i="5"/>
  <c r="J5627" i="5"/>
  <c r="K5627" i="5"/>
  <c r="L5627" i="5"/>
  <c r="M5627" i="5"/>
  <c r="H5628" i="5"/>
  <c r="I5628" i="5"/>
  <c r="J5628" i="5"/>
  <c r="K5628" i="5"/>
  <c r="L5628" i="5"/>
  <c r="M5628" i="5"/>
  <c r="H5629" i="5"/>
  <c r="I5629" i="5"/>
  <c r="J5629" i="5"/>
  <c r="K5629" i="5"/>
  <c r="L5629" i="5"/>
  <c r="M5629" i="5"/>
  <c r="H5630" i="5"/>
  <c r="I5630" i="5"/>
  <c r="J5630" i="5"/>
  <c r="K5630" i="5"/>
  <c r="L5630" i="5"/>
  <c r="M5630" i="5"/>
  <c r="H5631" i="5"/>
  <c r="I5631" i="5"/>
  <c r="J5631" i="5"/>
  <c r="K5631" i="5"/>
  <c r="L5631" i="5"/>
  <c r="M5631" i="5"/>
  <c r="H5632" i="5"/>
  <c r="I5632" i="5"/>
  <c r="J5632" i="5"/>
  <c r="K5632" i="5"/>
  <c r="L5632" i="5"/>
  <c r="M5632" i="5"/>
  <c r="H5633" i="5"/>
  <c r="I5633" i="5"/>
  <c r="J5633" i="5"/>
  <c r="K5633" i="5"/>
  <c r="L5633" i="5"/>
  <c r="M5633" i="5"/>
  <c r="H5634" i="5"/>
  <c r="I5634" i="5"/>
  <c r="J5634" i="5"/>
  <c r="K5634" i="5"/>
  <c r="L5634" i="5"/>
  <c r="M5634" i="5"/>
  <c r="H5635" i="5"/>
  <c r="I5635" i="5"/>
  <c r="J5635" i="5"/>
  <c r="K5635" i="5"/>
  <c r="L5635" i="5"/>
  <c r="M5635" i="5"/>
  <c r="H5636" i="5"/>
  <c r="I5636" i="5"/>
  <c r="J5636" i="5"/>
  <c r="K5636" i="5"/>
  <c r="L5636" i="5"/>
  <c r="M5636" i="5"/>
  <c r="H5637" i="5"/>
  <c r="I5637" i="5"/>
  <c r="J5637" i="5"/>
  <c r="K5637" i="5"/>
  <c r="L5637" i="5"/>
  <c r="M5637" i="5"/>
  <c r="H5638" i="5"/>
  <c r="I5638" i="5"/>
  <c r="J5638" i="5"/>
  <c r="K5638" i="5"/>
  <c r="L5638" i="5"/>
  <c r="M5638" i="5"/>
  <c r="H5639" i="5"/>
  <c r="I5639" i="5"/>
  <c r="J5639" i="5"/>
  <c r="K5639" i="5"/>
  <c r="L5639" i="5"/>
  <c r="M5639" i="5"/>
  <c r="H5640" i="5"/>
  <c r="I5640" i="5"/>
  <c r="J5640" i="5"/>
  <c r="K5640" i="5"/>
  <c r="L5640" i="5"/>
  <c r="M5640" i="5"/>
  <c r="H5641" i="5"/>
  <c r="I5641" i="5"/>
  <c r="J5641" i="5"/>
  <c r="K5641" i="5"/>
  <c r="L5641" i="5"/>
  <c r="M5641" i="5"/>
  <c r="H5642" i="5"/>
  <c r="I5642" i="5"/>
  <c r="J5642" i="5"/>
  <c r="K5642" i="5"/>
  <c r="L5642" i="5"/>
  <c r="M5642" i="5"/>
  <c r="H5643" i="5"/>
  <c r="I5643" i="5"/>
  <c r="J5643" i="5"/>
  <c r="K5643" i="5"/>
  <c r="L5643" i="5"/>
  <c r="M5643" i="5"/>
  <c r="H5644" i="5"/>
  <c r="I5644" i="5"/>
  <c r="J5644" i="5"/>
  <c r="K5644" i="5"/>
  <c r="L5644" i="5"/>
  <c r="M5644" i="5"/>
  <c r="H5645" i="5"/>
  <c r="I5645" i="5"/>
  <c r="J5645" i="5"/>
  <c r="K5645" i="5"/>
  <c r="L5645" i="5"/>
  <c r="M5645" i="5"/>
  <c r="H5646" i="5"/>
  <c r="I5646" i="5"/>
  <c r="J5646" i="5"/>
  <c r="K5646" i="5"/>
  <c r="L5646" i="5"/>
  <c r="M5646" i="5"/>
  <c r="H5647" i="5"/>
  <c r="I5647" i="5"/>
  <c r="J5647" i="5"/>
  <c r="K5647" i="5"/>
  <c r="L5647" i="5"/>
  <c r="M5647" i="5"/>
  <c r="H5648" i="5"/>
  <c r="I5648" i="5"/>
  <c r="J5648" i="5"/>
  <c r="K5648" i="5"/>
  <c r="L5648" i="5"/>
  <c r="M5648" i="5"/>
  <c r="H5649" i="5"/>
  <c r="I5649" i="5"/>
  <c r="J5649" i="5"/>
  <c r="K5649" i="5"/>
  <c r="L5649" i="5"/>
  <c r="M5649" i="5"/>
  <c r="H5650" i="5"/>
  <c r="I5650" i="5"/>
  <c r="J5650" i="5"/>
  <c r="K5650" i="5"/>
  <c r="L5650" i="5"/>
  <c r="M5650" i="5"/>
  <c r="H5651" i="5"/>
  <c r="I5651" i="5"/>
  <c r="J5651" i="5"/>
  <c r="K5651" i="5"/>
  <c r="L5651" i="5"/>
  <c r="M5651" i="5"/>
  <c r="H5652" i="5"/>
  <c r="I5652" i="5"/>
  <c r="J5652" i="5"/>
  <c r="K5652" i="5"/>
  <c r="L5652" i="5"/>
  <c r="M5652" i="5"/>
  <c r="H5653" i="5"/>
  <c r="I5653" i="5"/>
  <c r="J5653" i="5"/>
  <c r="K5653" i="5"/>
  <c r="L5653" i="5"/>
  <c r="M5653" i="5"/>
  <c r="H5654" i="5"/>
  <c r="I5654" i="5"/>
  <c r="J5654" i="5"/>
  <c r="K5654" i="5"/>
  <c r="L5654" i="5"/>
  <c r="M5654" i="5"/>
  <c r="H5655" i="5"/>
  <c r="I5655" i="5"/>
  <c r="J5655" i="5"/>
  <c r="K5655" i="5"/>
  <c r="L5655" i="5"/>
  <c r="M5655" i="5"/>
  <c r="H5656" i="5"/>
  <c r="I5656" i="5"/>
  <c r="J5656" i="5"/>
  <c r="K5656" i="5"/>
  <c r="L5656" i="5"/>
  <c r="M5656" i="5"/>
  <c r="H5657" i="5"/>
  <c r="I5657" i="5"/>
  <c r="J5657" i="5"/>
  <c r="K5657" i="5"/>
  <c r="L5657" i="5"/>
  <c r="M5657" i="5"/>
  <c r="H5658" i="5"/>
  <c r="I5658" i="5"/>
  <c r="J5658" i="5"/>
  <c r="K5658" i="5"/>
  <c r="L5658" i="5"/>
  <c r="M5658" i="5"/>
  <c r="H5659" i="5"/>
  <c r="I5659" i="5"/>
  <c r="J5659" i="5"/>
  <c r="K5659" i="5"/>
  <c r="L5659" i="5"/>
  <c r="M5659" i="5"/>
  <c r="H5660" i="5"/>
  <c r="I5660" i="5"/>
  <c r="J5660" i="5"/>
  <c r="K5660" i="5"/>
  <c r="L5660" i="5"/>
  <c r="M5660" i="5"/>
  <c r="H5661" i="5"/>
  <c r="I5661" i="5"/>
  <c r="J5661" i="5"/>
  <c r="K5661" i="5"/>
  <c r="L5661" i="5"/>
  <c r="M5661" i="5"/>
  <c r="H5662" i="5"/>
  <c r="I5662" i="5"/>
  <c r="J5662" i="5"/>
  <c r="K5662" i="5"/>
  <c r="L5662" i="5"/>
  <c r="M5662" i="5"/>
  <c r="H5663" i="5"/>
  <c r="I5663" i="5"/>
  <c r="J5663" i="5"/>
  <c r="K5663" i="5"/>
  <c r="L5663" i="5"/>
  <c r="M5663" i="5"/>
  <c r="H5664" i="5"/>
  <c r="I5664" i="5"/>
  <c r="J5664" i="5"/>
  <c r="K5664" i="5"/>
  <c r="L5664" i="5"/>
  <c r="M5664" i="5"/>
  <c r="H5665" i="5"/>
  <c r="I5665" i="5"/>
  <c r="J5665" i="5"/>
  <c r="K5665" i="5"/>
  <c r="L5665" i="5"/>
  <c r="M5665" i="5"/>
  <c r="H5666" i="5"/>
  <c r="I5666" i="5"/>
  <c r="J5666" i="5"/>
  <c r="K5666" i="5"/>
  <c r="L5666" i="5"/>
  <c r="M5666" i="5"/>
  <c r="H5667" i="5"/>
  <c r="I5667" i="5"/>
  <c r="J5667" i="5"/>
  <c r="K5667" i="5"/>
  <c r="L5667" i="5"/>
  <c r="M5667" i="5"/>
  <c r="H5668" i="5"/>
  <c r="I5668" i="5"/>
  <c r="J5668" i="5"/>
  <c r="K5668" i="5"/>
  <c r="L5668" i="5"/>
  <c r="M5668" i="5"/>
  <c r="H5669" i="5"/>
  <c r="I5669" i="5"/>
  <c r="J5669" i="5"/>
  <c r="K5669" i="5"/>
  <c r="L5669" i="5"/>
  <c r="M5669" i="5"/>
  <c r="H5670" i="5"/>
  <c r="I5670" i="5"/>
  <c r="J5670" i="5"/>
  <c r="K5670" i="5"/>
  <c r="L5670" i="5"/>
  <c r="M5670" i="5"/>
  <c r="H5671" i="5"/>
  <c r="I5671" i="5"/>
  <c r="J5671" i="5"/>
  <c r="K5671" i="5"/>
  <c r="L5671" i="5"/>
  <c r="M5671" i="5"/>
  <c r="H5672" i="5"/>
  <c r="I5672" i="5"/>
  <c r="J5672" i="5"/>
  <c r="K5672" i="5"/>
  <c r="L5672" i="5"/>
  <c r="M5672" i="5"/>
  <c r="H5673" i="5"/>
  <c r="I5673" i="5"/>
  <c r="J5673" i="5"/>
  <c r="K5673" i="5"/>
  <c r="L5673" i="5"/>
  <c r="M5673" i="5"/>
  <c r="H5674" i="5"/>
  <c r="I5674" i="5"/>
  <c r="J5674" i="5"/>
  <c r="K5674" i="5"/>
  <c r="L5674" i="5"/>
  <c r="M5674" i="5"/>
  <c r="H5675" i="5"/>
  <c r="I5675" i="5"/>
  <c r="J5675" i="5"/>
  <c r="K5675" i="5"/>
  <c r="L5675" i="5"/>
  <c r="M5675" i="5"/>
  <c r="H5676" i="5"/>
  <c r="I5676" i="5"/>
  <c r="J5676" i="5"/>
  <c r="K5676" i="5"/>
  <c r="L5676" i="5"/>
  <c r="M5676" i="5"/>
  <c r="H5677" i="5"/>
  <c r="I5677" i="5"/>
  <c r="J5677" i="5"/>
  <c r="K5677" i="5"/>
  <c r="L5677" i="5"/>
  <c r="M5677" i="5"/>
  <c r="H5678" i="5"/>
  <c r="I5678" i="5"/>
  <c r="J5678" i="5"/>
  <c r="K5678" i="5"/>
  <c r="L5678" i="5"/>
  <c r="M5678" i="5"/>
  <c r="H5679" i="5"/>
  <c r="I5679" i="5"/>
  <c r="J5679" i="5"/>
  <c r="K5679" i="5"/>
  <c r="L5679" i="5"/>
  <c r="M5679" i="5"/>
  <c r="H5680" i="5"/>
  <c r="I5680" i="5"/>
  <c r="J5680" i="5"/>
  <c r="K5680" i="5"/>
  <c r="L5680" i="5"/>
  <c r="M5680" i="5"/>
  <c r="H5681" i="5"/>
  <c r="I5681" i="5"/>
  <c r="J5681" i="5"/>
  <c r="K5681" i="5"/>
  <c r="L5681" i="5"/>
  <c r="M5681" i="5"/>
  <c r="H5682" i="5"/>
  <c r="I5682" i="5"/>
  <c r="J5682" i="5"/>
  <c r="K5682" i="5"/>
  <c r="L5682" i="5"/>
  <c r="M5682" i="5"/>
  <c r="H5683" i="5"/>
  <c r="I5683" i="5"/>
  <c r="J5683" i="5"/>
  <c r="K5683" i="5"/>
  <c r="L5683" i="5"/>
  <c r="M5683" i="5"/>
  <c r="H5684" i="5"/>
  <c r="I5684" i="5"/>
  <c r="J5684" i="5"/>
  <c r="K5684" i="5"/>
  <c r="L5684" i="5"/>
  <c r="M5684" i="5"/>
  <c r="H5685" i="5"/>
  <c r="I5685" i="5"/>
  <c r="J5685" i="5"/>
  <c r="K5685" i="5"/>
  <c r="L5685" i="5"/>
  <c r="M5685" i="5"/>
  <c r="H5686" i="5"/>
  <c r="I5686" i="5"/>
  <c r="J5686" i="5"/>
  <c r="K5686" i="5"/>
  <c r="L5686" i="5"/>
  <c r="M5686" i="5"/>
  <c r="H5687" i="5"/>
  <c r="I5687" i="5"/>
  <c r="J5687" i="5"/>
  <c r="K5687" i="5"/>
  <c r="L5687" i="5"/>
  <c r="M5687" i="5"/>
  <c r="H5688" i="5"/>
  <c r="I5688" i="5"/>
  <c r="J5688" i="5"/>
  <c r="K5688" i="5"/>
  <c r="L5688" i="5"/>
  <c r="M5688" i="5"/>
  <c r="H5689" i="5"/>
  <c r="I5689" i="5"/>
  <c r="J5689" i="5"/>
  <c r="K5689" i="5"/>
  <c r="L5689" i="5"/>
  <c r="M5689" i="5"/>
  <c r="H5690" i="5"/>
  <c r="I5690" i="5"/>
  <c r="J5690" i="5"/>
  <c r="K5690" i="5"/>
  <c r="L5690" i="5"/>
  <c r="M5690" i="5"/>
  <c r="H5691" i="5"/>
  <c r="I5691" i="5"/>
  <c r="J5691" i="5"/>
  <c r="K5691" i="5"/>
  <c r="L5691" i="5"/>
  <c r="M5691" i="5"/>
  <c r="H5692" i="5"/>
  <c r="I5692" i="5"/>
  <c r="J5692" i="5"/>
  <c r="K5692" i="5"/>
  <c r="L5692" i="5"/>
  <c r="M5692" i="5"/>
  <c r="H5693" i="5"/>
  <c r="I5693" i="5"/>
  <c r="J5693" i="5"/>
  <c r="K5693" i="5"/>
  <c r="L5693" i="5"/>
  <c r="M5693" i="5"/>
  <c r="H5694" i="5"/>
  <c r="I5694" i="5"/>
  <c r="J5694" i="5"/>
  <c r="K5694" i="5"/>
  <c r="L5694" i="5"/>
  <c r="M5694" i="5"/>
  <c r="H5695" i="5"/>
  <c r="I5695" i="5"/>
  <c r="J5695" i="5"/>
  <c r="K5695" i="5"/>
  <c r="L5695" i="5"/>
  <c r="M5695" i="5"/>
  <c r="H5696" i="5"/>
  <c r="I5696" i="5"/>
  <c r="J5696" i="5"/>
  <c r="K5696" i="5"/>
  <c r="L5696" i="5"/>
  <c r="M5696" i="5"/>
  <c r="H5697" i="5"/>
  <c r="I5697" i="5"/>
  <c r="J5697" i="5"/>
  <c r="K5697" i="5"/>
  <c r="L5697" i="5"/>
  <c r="M5697" i="5"/>
  <c r="H5698" i="5"/>
  <c r="I5698" i="5"/>
  <c r="J5698" i="5"/>
  <c r="K5698" i="5"/>
  <c r="L5698" i="5"/>
  <c r="M5698" i="5"/>
  <c r="H5699" i="5"/>
  <c r="I5699" i="5"/>
  <c r="J5699" i="5"/>
  <c r="K5699" i="5"/>
  <c r="L5699" i="5"/>
  <c r="M5699" i="5"/>
  <c r="H5700" i="5"/>
  <c r="I5700" i="5"/>
  <c r="J5700" i="5"/>
  <c r="K5700" i="5"/>
  <c r="L5700" i="5"/>
  <c r="M5700" i="5"/>
  <c r="H5701" i="5"/>
  <c r="I5701" i="5"/>
  <c r="J5701" i="5"/>
  <c r="K5701" i="5"/>
  <c r="L5701" i="5"/>
  <c r="M5701" i="5"/>
  <c r="H5702" i="5"/>
  <c r="I5702" i="5"/>
  <c r="J5702" i="5"/>
  <c r="K5702" i="5"/>
  <c r="L5702" i="5"/>
  <c r="M5702" i="5"/>
  <c r="H5703" i="5"/>
  <c r="I5703" i="5"/>
  <c r="J5703" i="5"/>
  <c r="K5703" i="5"/>
  <c r="L5703" i="5"/>
  <c r="M5703" i="5"/>
  <c r="H5704" i="5"/>
  <c r="I5704" i="5"/>
  <c r="J5704" i="5"/>
  <c r="K5704" i="5"/>
  <c r="L5704" i="5"/>
  <c r="M5704" i="5"/>
  <c r="H5705" i="5"/>
  <c r="I5705" i="5"/>
  <c r="J5705" i="5"/>
  <c r="K5705" i="5"/>
  <c r="L5705" i="5"/>
  <c r="M5705" i="5"/>
  <c r="H5706" i="5"/>
  <c r="I5706" i="5"/>
  <c r="J5706" i="5"/>
  <c r="K5706" i="5"/>
  <c r="L5706" i="5"/>
  <c r="M5706" i="5"/>
  <c r="H5707" i="5"/>
  <c r="I5707" i="5"/>
  <c r="J5707" i="5"/>
  <c r="K5707" i="5"/>
  <c r="L5707" i="5"/>
  <c r="M5707" i="5"/>
  <c r="H5708" i="5"/>
  <c r="I5708" i="5"/>
  <c r="J5708" i="5"/>
  <c r="K5708" i="5"/>
  <c r="L5708" i="5"/>
  <c r="M5708" i="5"/>
  <c r="H5709" i="5"/>
  <c r="I5709" i="5"/>
  <c r="J5709" i="5"/>
  <c r="K5709" i="5"/>
  <c r="L5709" i="5"/>
  <c r="M5709" i="5"/>
  <c r="H5710" i="5"/>
  <c r="I5710" i="5"/>
  <c r="J5710" i="5"/>
  <c r="K5710" i="5"/>
  <c r="L5710" i="5"/>
  <c r="M5710" i="5"/>
  <c r="H5711" i="5"/>
  <c r="I5711" i="5"/>
  <c r="J5711" i="5"/>
  <c r="K5711" i="5"/>
  <c r="L5711" i="5"/>
  <c r="M5711" i="5"/>
  <c r="H5712" i="5"/>
  <c r="I5712" i="5"/>
  <c r="J5712" i="5"/>
  <c r="K5712" i="5"/>
  <c r="L5712" i="5"/>
  <c r="M5712" i="5"/>
  <c r="H5713" i="5"/>
  <c r="I5713" i="5"/>
  <c r="J5713" i="5"/>
  <c r="K5713" i="5"/>
  <c r="L5713" i="5"/>
  <c r="M5713" i="5"/>
  <c r="H5714" i="5"/>
  <c r="I5714" i="5"/>
  <c r="J5714" i="5"/>
  <c r="K5714" i="5"/>
  <c r="L5714" i="5"/>
  <c r="M5714" i="5"/>
  <c r="H5715" i="5"/>
  <c r="I5715" i="5"/>
  <c r="J5715" i="5"/>
  <c r="K5715" i="5"/>
  <c r="L5715" i="5"/>
  <c r="M5715" i="5"/>
  <c r="H5716" i="5"/>
  <c r="I5716" i="5"/>
  <c r="J5716" i="5"/>
  <c r="K5716" i="5"/>
  <c r="L5716" i="5"/>
  <c r="M5716" i="5"/>
  <c r="H5717" i="5"/>
  <c r="I5717" i="5"/>
  <c r="J5717" i="5"/>
  <c r="K5717" i="5"/>
  <c r="L5717" i="5"/>
  <c r="M5717" i="5"/>
  <c r="H5718" i="5"/>
  <c r="I5718" i="5"/>
  <c r="J5718" i="5"/>
  <c r="K5718" i="5"/>
  <c r="L5718" i="5"/>
  <c r="M5718" i="5"/>
  <c r="H5719" i="5"/>
  <c r="I5719" i="5"/>
  <c r="J5719" i="5"/>
  <c r="K5719" i="5"/>
  <c r="L5719" i="5"/>
  <c r="M5719" i="5"/>
  <c r="H5720" i="5"/>
  <c r="I5720" i="5"/>
  <c r="J5720" i="5"/>
  <c r="K5720" i="5"/>
  <c r="L5720" i="5"/>
  <c r="M5720" i="5"/>
  <c r="H5721" i="5"/>
  <c r="I5721" i="5"/>
  <c r="J5721" i="5"/>
  <c r="K5721" i="5"/>
  <c r="L5721" i="5"/>
  <c r="M5721" i="5"/>
  <c r="H5722" i="5"/>
  <c r="I5722" i="5"/>
  <c r="J5722" i="5"/>
  <c r="K5722" i="5"/>
  <c r="L5722" i="5"/>
  <c r="M5722" i="5"/>
  <c r="H5723" i="5"/>
  <c r="I5723" i="5"/>
  <c r="J5723" i="5"/>
  <c r="K5723" i="5"/>
  <c r="L5723" i="5"/>
  <c r="M5723" i="5"/>
  <c r="H5724" i="5"/>
  <c r="I5724" i="5"/>
  <c r="J5724" i="5"/>
  <c r="K5724" i="5"/>
  <c r="L5724" i="5"/>
  <c r="M5724" i="5"/>
  <c r="H5725" i="5"/>
  <c r="I5725" i="5"/>
  <c r="J5725" i="5"/>
  <c r="K5725" i="5"/>
  <c r="L5725" i="5"/>
  <c r="M5725" i="5"/>
  <c r="H5726" i="5"/>
  <c r="I5726" i="5"/>
  <c r="J5726" i="5"/>
  <c r="K5726" i="5"/>
  <c r="L5726" i="5"/>
  <c r="M5726" i="5"/>
  <c r="H5727" i="5"/>
  <c r="I5727" i="5"/>
  <c r="J5727" i="5"/>
  <c r="K5727" i="5"/>
  <c r="L5727" i="5"/>
  <c r="M5727" i="5"/>
  <c r="H5728" i="5"/>
  <c r="I5728" i="5"/>
  <c r="J5728" i="5"/>
  <c r="K5728" i="5"/>
  <c r="L5728" i="5"/>
  <c r="M5728" i="5"/>
  <c r="H5729" i="5"/>
  <c r="I5729" i="5"/>
  <c r="J5729" i="5"/>
  <c r="K5729" i="5"/>
  <c r="L5729" i="5"/>
  <c r="M5729" i="5"/>
  <c r="H5730" i="5"/>
  <c r="I5730" i="5"/>
  <c r="J5730" i="5"/>
  <c r="K5730" i="5"/>
  <c r="L5730" i="5"/>
  <c r="M5730" i="5"/>
  <c r="H5731" i="5"/>
  <c r="I5731" i="5"/>
  <c r="J5731" i="5"/>
  <c r="K5731" i="5"/>
  <c r="L5731" i="5"/>
  <c r="M5731" i="5"/>
  <c r="H5732" i="5"/>
  <c r="I5732" i="5"/>
  <c r="J5732" i="5"/>
  <c r="K5732" i="5"/>
  <c r="L5732" i="5"/>
  <c r="M5732" i="5"/>
  <c r="H5733" i="5"/>
  <c r="I5733" i="5"/>
  <c r="J5733" i="5"/>
  <c r="K5733" i="5"/>
  <c r="L5733" i="5"/>
  <c r="M5733" i="5"/>
  <c r="H5734" i="5"/>
  <c r="I5734" i="5"/>
  <c r="J5734" i="5"/>
  <c r="K5734" i="5"/>
  <c r="L5734" i="5"/>
  <c r="M5734" i="5"/>
  <c r="H5735" i="5"/>
  <c r="I5735" i="5"/>
  <c r="J5735" i="5"/>
  <c r="K5735" i="5"/>
  <c r="L5735" i="5"/>
  <c r="M5735" i="5"/>
  <c r="H5736" i="5"/>
  <c r="I5736" i="5"/>
  <c r="J5736" i="5"/>
  <c r="K5736" i="5"/>
  <c r="L5736" i="5"/>
  <c r="M5736" i="5"/>
  <c r="H5737" i="5"/>
  <c r="I5737" i="5"/>
  <c r="J5737" i="5"/>
  <c r="K5737" i="5"/>
  <c r="L5737" i="5"/>
  <c r="M5737" i="5"/>
  <c r="H5738" i="5"/>
  <c r="I5738" i="5"/>
  <c r="J5738" i="5"/>
  <c r="K5738" i="5"/>
  <c r="L5738" i="5"/>
  <c r="M5738" i="5"/>
  <c r="H5739" i="5"/>
  <c r="I5739" i="5"/>
  <c r="J5739" i="5"/>
  <c r="K5739" i="5"/>
  <c r="L5739" i="5"/>
  <c r="M5739" i="5"/>
  <c r="H5740" i="5"/>
  <c r="I5740" i="5"/>
  <c r="J5740" i="5"/>
  <c r="K5740" i="5"/>
  <c r="L5740" i="5"/>
  <c r="M5740" i="5"/>
  <c r="H5741" i="5"/>
  <c r="I5741" i="5"/>
  <c r="J5741" i="5"/>
  <c r="K5741" i="5"/>
  <c r="L5741" i="5"/>
  <c r="M5741" i="5"/>
  <c r="H5742" i="5"/>
  <c r="I5742" i="5"/>
  <c r="J5742" i="5"/>
  <c r="K5742" i="5"/>
  <c r="L5742" i="5"/>
  <c r="M5742" i="5"/>
  <c r="H5743" i="5"/>
  <c r="I5743" i="5"/>
  <c r="J5743" i="5"/>
  <c r="K5743" i="5"/>
  <c r="L5743" i="5"/>
  <c r="M5743" i="5"/>
  <c r="H5744" i="5"/>
  <c r="I5744" i="5"/>
  <c r="J5744" i="5"/>
  <c r="K5744" i="5"/>
  <c r="L5744" i="5"/>
  <c r="M5744" i="5"/>
  <c r="H5745" i="5"/>
  <c r="I5745" i="5"/>
  <c r="J5745" i="5"/>
  <c r="K5745" i="5"/>
  <c r="L5745" i="5"/>
  <c r="M5745" i="5"/>
  <c r="H5746" i="5"/>
  <c r="I5746" i="5"/>
  <c r="J5746" i="5"/>
  <c r="K5746" i="5"/>
  <c r="L5746" i="5"/>
  <c r="M5746" i="5"/>
  <c r="H5747" i="5"/>
  <c r="I5747" i="5"/>
  <c r="J5747" i="5"/>
  <c r="K5747" i="5"/>
  <c r="L5747" i="5"/>
  <c r="M5747" i="5"/>
  <c r="H5748" i="5"/>
  <c r="I5748" i="5"/>
  <c r="J5748" i="5"/>
  <c r="K5748" i="5"/>
  <c r="L5748" i="5"/>
  <c r="M5748" i="5"/>
  <c r="H5749" i="5"/>
  <c r="I5749" i="5"/>
  <c r="J5749" i="5"/>
  <c r="K5749" i="5"/>
  <c r="L5749" i="5"/>
  <c r="M5749" i="5"/>
  <c r="H5750" i="5"/>
  <c r="I5750" i="5"/>
  <c r="J5750" i="5"/>
  <c r="K5750" i="5"/>
  <c r="L5750" i="5"/>
  <c r="M5750" i="5"/>
  <c r="H5751" i="5"/>
  <c r="I5751" i="5"/>
  <c r="J5751" i="5"/>
  <c r="K5751" i="5"/>
  <c r="L5751" i="5"/>
  <c r="M5751" i="5"/>
  <c r="H5752" i="5"/>
  <c r="I5752" i="5"/>
  <c r="J5752" i="5"/>
  <c r="K5752" i="5"/>
  <c r="L5752" i="5"/>
  <c r="M5752" i="5"/>
  <c r="H5753" i="5"/>
  <c r="I5753" i="5"/>
  <c r="J5753" i="5"/>
  <c r="K5753" i="5"/>
  <c r="L5753" i="5"/>
  <c r="M5753" i="5"/>
  <c r="H5754" i="5"/>
  <c r="I5754" i="5"/>
  <c r="J5754" i="5"/>
  <c r="K5754" i="5"/>
  <c r="L5754" i="5"/>
  <c r="M5754" i="5"/>
  <c r="H5755" i="5"/>
  <c r="I5755" i="5"/>
  <c r="J5755" i="5"/>
  <c r="K5755" i="5"/>
  <c r="L5755" i="5"/>
  <c r="M5755" i="5"/>
  <c r="H5756" i="5"/>
  <c r="I5756" i="5"/>
  <c r="J5756" i="5"/>
  <c r="K5756" i="5"/>
  <c r="L5756" i="5"/>
  <c r="M5756" i="5"/>
  <c r="H5757" i="5"/>
  <c r="I5757" i="5"/>
  <c r="J5757" i="5"/>
  <c r="K5757" i="5"/>
  <c r="L5757" i="5"/>
  <c r="M5757" i="5"/>
  <c r="H5758" i="5"/>
  <c r="I5758" i="5"/>
  <c r="J5758" i="5"/>
  <c r="K5758" i="5"/>
  <c r="L5758" i="5"/>
  <c r="M5758" i="5"/>
  <c r="H5759" i="5"/>
  <c r="I5759" i="5"/>
  <c r="J5759" i="5"/>
  <c r="K5759" i="5"/>
  <c r="L5759" i="5"/>
  <c r="M5759" i="5"/>
  <c r="H5760" i="5"/>
  <c r="I5760" i="5"/>
  <c r="J5760" i="5"/>
  <c r="K5760" i="5"/>
  <c r="L5760" i="5"/>
  <c r="M5760" i="5"/>
  <c r="H5761" i="5"/>
  <c r="I5761" i="5"/>
  <c r="J5761" i="5"/>
  <c r="K5761" i="5"/>
  <c r="L5761" i="5"/>
  <c r="M5761" i="5"/>
  <c r="H5762" i="5"/>
  <c r="I5762" i="5"/>
  <c r="J5762" i="5"/>
  <c r="K5762" i="5"/>
  <c r="L5762" i="5"/>
  <c r="M5762" i="5"/>
  <c r="H5763" i="5"/>
  <c r="I5763" i="5"/>
  <c r="J5763" i="5"/>
  <c r="K5763" i="5"/>
  <c r="L5763" i="5"/>
  <c r="M5763" i="5"/>
  <c r="H5764" i="5"/>
  <c r="I5764" i="5"/>
  <c r="J5764" i="5"/>
  <c r="K5764" i="5"/>
  <c r="L5764" i="5"/>
  <c r="M5764" i="5"/>
  <c r="H5765" i="5"/>
  <c r="I5765" i="5"/>
  <c r="J5765" i="5"/>
  <c r="K5765" i="5"/>
  <c r="L5765" i="5"/>
  <c r="M5765" i="5"/>
  <c r="H5766" i="5"/>
  <c r="I5766" i="5"/>
  <c r="J5766" i="5"/>
  <c r="K5766" i="5"/>
  <c r="L5766" i="5"/>
  <c r="M5766" i="5"/>
  <c r="H5767" i="5"/>
  <c r="I5767" i="5"/>
  <c r="J5767" i="5"/>
  <c r="K5767" i="5"/>
  <c r="L5767" i="5"/>
  <c r="M5767" i="5"/>
  <c r="H5768" i="5"/>
  <c r="I5768" i="5"/>
  <c r="J5768" i="5"/>
  <c r="K5768" i="5"/>
  <c r="L5768" i="5"/>
  <c r="M5768" i="5"/>
  <c r="H5769" i="5"/>
  <c r="I5769" i="5"/>
  <c r="J5769" i="5"/>
  <c r="K5769" i="5"/>
  <c r="L5769" i="5"/>
  <c r="M5769" i="5"/>
  <c r="H5770" i="5"/>
  <c r="I5770" i="5"/>
  <c r="J5770" i="5"/>
  <c r="K5770" i="5"/>
  <c r="L5770" i="5"/>
  <c r="M5770" i="5"/>
  <c r="H5771" i="5"/>
  <c r="I5771" i="5"/>
  <c r="J5771" i="5"/>
  <c r="K5771" i="5"/>
  <c r="L5771" i="5"/>
  <c r="M5771" i="5"/>
  <c r="H5772" i="5"/>
  <c r="I5772" i="5"/>
  <c r="J5772" i="5"/>
  <c r="K5772" i="5"/>
  <c r="L5772" i="5"/>
  <c r="M5772" i="5"/>
  <c r="H5773" i="5"/>
  <c r="I5773" i="5"/>
  <c r="J5773" i="5"/>
  <c r="K5773" i="5"/>
  <c r="L5773" i="5"/>
  <c r="M5773" i="5"/>
  <c r="H5774" i="5"/>
  <c r="I5774" i="5"/>
  <c r="J5774" i="5"/>
  <c r="K5774" i="5"/>
  <c r="L5774" i="5"/>
  <c r="M5774" i="5"/>
  <c r="H5775" i="5"/>
  <c r="I5775" i="5"/>
  <c r="J5775" i="5"/>
  <c r="K5775" i="5"/>
  <c r="L5775" i="5"/>
  <c r="M5775" i="5"/>
  <c r="H5776" i="5"/>
  <c r="I5776" i="5"/>
  <c r="J5776" i="5"/>
  <c r="K5776" i="5"/>
  <c r="L5776" i="5"/>
  <c r="M5776" i="5"/>
  <c r="H5777" i="5"/>
  <c r="I5777" i="5"/>
  <c r="J5777" i="5"/>
  <c r="K5777" i="5"/>
  <c r="L5777" i="5"/>
  <c r="M5777" i="5"/>
  <c r="H5778" i="5"/>
  <c r="I5778" i="5"/>
  <c r="J5778" i="5"/>
  <c r="K5778" i="5"/>
  <c r="L5778" i="5"/>
  <c r="M5778" i="5"/>
  <c r="H5779" i="5"/>
  <c r="I5779" i="5"/>
  <c r="J5779" i="5"/>
  <c r="K5779" i="5"/>
  <c r="L5779" i="5"/>
  <c r="M5779" i="5"/>
  <c r="H5780" i="5"/>
  <c r="I5780" i="5"/>
  <c r="J5780" i="5"/>
  <c r="K5780" i="5"/>
  <c r="L5780" i="5"/>
  <c r="M5780" i="5"/>
  <c r="H5781" i="5"/>
  <c r="I5781" i="5"/>
  <c r="J5781" i="5"/>
  <c r="K5781" i="5"/>
  <c r="L5781" i="5"/>
  <c r="M5781" i="5"/>
  <c r="H5782" i="5"/>
  <c r="I5782" i="5"/>
  <c r="J5782" i="5"/>
  <c r="K5782" i="5"/>
  <c r="L5782" i="5"/>
  <c r="M5782" i="5"/>
  <c r="H5783" i="5"/>
  <c r="I5783" i="5"/>
  <c r="J5783" i="5"/>
  <c r="K5783" i="5"/>
  <c r="L5783" i="5"/>
  <c r="M5783" i="5"/>
  <c r="H5784" i="5"/>
  <c r="I5784" i="5"/>
  <c r="J5784" i="5"/>
  <c r="K5784" i="5"/>
  <c r="L5784" i="5"/>
  <c r="M5784" i="5"/>
  <c r="H5785" i="5"/>
  <c r="I5785" i="5"/>
  <c r="J5785" i="5"/>
  <c r="K5785" i="5"/>
  <c r="L5785" i="5"/>
  <c r="M5785" i="5"/>
  <c r="H5786" i="5"/>
  <c r="I5786" i="5"/>
  <c r="J5786" i="5"/>
  <c r="K5786" i="5"/>
  <c r="L5786" i="5"/>
  <c r="M5786" i="5"/>
  <c r="H5787" i="5"/>
  <c r="I5787" i="5"/>
  <c r="J5787" i="5"/>
  <c r="K5787" i="5"/>
  <c r="L5787" i="5"/>
  <c r="M5787" i="5"/>
  <c r="H5788" i="5"/>
  <c r="I5788" i="5"/>
  <c r="J5788" i="5"/>
  <c r="K5788" i="5"/>
  <c r="L5788" i="5"/>
  <c r="M5788" i="5"/>
  <c r="H5789" i="5"/>
  <c r="I5789" i="5"/>
  <c r="J5789" i="5"/>
  <c r="K5789" i="5"/>
  <c r="L5789" i="5"/>
  <c r="M5789" i="5"/>
  <c r="H5790" i="5"/>
  <c r="I5790" i="5"/>
  <c r="J5790" i="5"/>
  <c r="K5790" i="5"/>
  <c r="L5790" i="5"/>
  <c r="M5790" i="5"/>
  <c r="H5791" i="5"/>
  <c r="I5791" i="5"/>
  <c r="J5791" i="5"/>
  <c r="K5791" i="5"/>
  <c r="L5791" i="5"/>
  <c r="M5791" i="5"/>
  <c r="H5792" i="5"/>
  <c r="I5792" i="5"/>
  <c r="J5792" i="5"/>
  <c r="K5792" i="5"/>
  <c r="L5792" i="5"/>
  <c r="M5792" i="5"/>
  <c r="H5793" i="5"/>
  <c r="I5793" i="5"/>
  <c r="J5793" i="5"/>
  <c r="K5793" i="5"/>
  <c r="L5793" i="5"/>
  <c r="M5793" i="5"/>
  <c r="H5794" i="5"/>
  <c r="I5794" i="5"/>
  <c r="J5794" i="5"/>
  <c r="K5794" i="5"/>
  <c r="L5794" i="5"/>
  <c r="M5794" i="5"/>
  <c r="H5795" i="5"/>
  <c r="I5795" i="5"/>
  <c r="J5795" i="5"/>
  <c r="K5795" i="5"/>
  <c r="L5795" i="5"/>
  <c r="M5795" i="5"/>
  <c r="H5796" i="5"/>
  <c r="I5796" i="5"/>
  <c r="J5796" i="5"/>
  <c r="K5796" i="5"/>
  <c r="L5796" i="5"/>
  <c r="M5796" i="5"/>
  <c r="H5797" i="5"/>
  <c r="I5797" i="5"/>
  <c r="J5797" i="5"/>
  <c r="K5797" i="5"/>
  <c r="L5797" i="5"/>
  <c r="M5797" i="5"/>
  <c r="H5798" i="5"/>
  <c r="I5798" i="5"/>
  <c r="J5798" i="5"/>
  <c r="K5798" i="5"/>
  <c r="L5798" i="5"/>
  <c r="M5798" i="5"/>
  <c r="H5799" i="5"/>
  <c r="I5799" i="5"/>
  <c r="J5799" i="5"/>
  <c r="K5799" i="5"/>
  <c r="L5799" i="5"/>
  <c r="M5799" i="5"/>
  <c r="H5800" i="5"/>
  <c r="I5800" i="5"/>
  <c r="J5800" i="5"/>
  <c r="K5800" i="5"/>
  <c r="L5800" i="5"/>
  <c r="M5800" i="5"/>
  <c r="H5801" i="5"/>
  <c r="I5801" i="5"/>
  <c r="J5801" i="5"/>
  <c r="K5801" i="5"/>
  <c r="L5801" i="5"/>
  <c r="M5801" i="5"/>
  <c r="H5802" i="5"/>
  <c r="I5802" i="5"/>
  <c r="J5802" i="5"/>
  <c r="K5802" i="5"/>
  <c r="L5802" i="5"/>
  <c r="M5802" i="5"/>
  <c r="H5803" i="5"/>
  <c r="I5803" i="5"/>
  <c r="J5803" i="5"/>
  <c r="K5803" i="5"/>
  <c r="L5803" i="5"/>
  <c r="M5803" i="5"/>
  <c r="H5804" i="5"/>
  <c r="I5804" i="5"/>
  <c r="J5804" i="5"/>
  <c r="K5804" i="5"/>
  <c r="L5804" i="5"/>
  <c r="M5804" i="5"/>
  <c r="H5805" i="5"/>
  <c r="I5805" i="5"/>
  <c r="J5805" i="5"/>
  <c r="K5805" i="5"/>
  <c r="L5805" i="5"/>
  <c r="M5805" i="5"/>
  <c r="H5806" i="5"/>
  <c r="I5806" i="5"/>
  <c r="J5806" i="5"/>
  <c r="K5806" i="5"/>
  <c r="L5806" i="5"/>
  <c r="M5806" i="5"/>
  <c r="H5807" i="5"/>
  <c r="I5807" i="5"/>
  <c r="J5807" i="5"/>
  <c r="K5807" i="5"/>
  <c r="L5807" i="5"/>
  <c r="M5807" i="5"/>
  <c r="H5808" i="5"/>
  <c r="I5808" i="5"/>
  <c r="J5808" i="5"/>
  <c r="K5808" i="5"/>
  <c r="L5808" i="5"/>
  <c r="M5808" i="5"/>
  <c r="H5809" i="5"/>
  <c r="I5809" i="5"/>
  <c r="J5809" i="5"/>
  <c r="K5809" i="5"/>
  <c r="L5809" i="5"/>
  <c r="M5809" i="5"/>
  <c r="H5810" i="5"/>
  <c r="I5810" i="5"/>
  <c r="J5810" i="5"/>
  <c r="K5810" i="5"/>
  <c r="L5810" i="5"/>
  <c r="M5810" i="5"/>
  <c r="H5811" i="5"/>
  <c r="I5811" i="5"/>
  <c r="J5811" i="5"/>
  <c r="K5811" i="5"/>
  <c r="L5811" i="5"/>
  <c r="M5811" i="5"/>
  <c r="H5812" i="5"/>
  <c r="I5812" i="5"/>
  <c r="J5812" i="5"/>
  <c r="K5812" i="5"/>
  <c r="L5812" i="5"/>
  <c r="M5812" i="5"/>
  <c r="H5813" i="5"/>
  <c r="I5813" i="5"/>
  <c r="J5813" i="5"/>
  <c r="K5813" i="5"/>
  <c r="L5813" i="5"/>
  <c r="M5813" i="5"/>
  <c r="H5814" i="5"/>
  <c r="I5814" i="5"/>
  <c r="J5814" i="5"/>
  <c r="K5814" i="5"/>
  <c r="L5814" i="5"/>
  <c r="M5814" i="5"/>
  <c r="H5815" i="5"/>
  <c r="I5815" i="5"/>
  <c r="J5815" i="5"/>
  <c r="K5815" i="5"/>
  <c r="L5815" i="5"/>
  <c r="M5815" i="5"/>
  <c r="H5816" i="5"/>
  <c r="I5816" i="5"/>
  <c r="J5816" i="5"/>
  <c r="K5816" i="5"/>
  <c r="L5816" i="5"/>
  <c r="M5816" i="5"/>
  <c r="H5817" i="5"/>
  <c r="I5817" i="5"/>
  <c r="J5817" i="5"/>
  <c r="K5817" i="5"/>
  <c r="L5817" i="5"/>
  <c r="M5817" i="5"/>
  <c r="H5818" i="5"/>
  <c r="I5818" i="5"/>
  <c r="J5818" i="5"/>
  <c r="K5818" i="5"/>
  <c r="L5818" i="5"/>
  <c r="M5818" i="5"/>
  <c r="H5819" i="5"/>
  <c r="I5819" i="5"/>
  <c r="J5819" i="5"/>
  <c r="K5819" i="5"/>
  <c r="L5819" i="5"/>
  <c r="M5819" i="5"/>
  <c r="H5820" i="5"/>
  <c r="I5820" i="5"/>
  <c r="J5820" i="5"/>
  <c r="K5820" i="5"/>
  <c r="L5820" i="5"/>
  <c r="M5820" i="5"/>
  <c r="H5821" i="5"/>
  <c r="I5821" i="5"/>
  <c r="J5821" i="5"/>
  <c r="K5821" i="5"/>
  <c r="L5821" i="5"/>
  <c r="M5821" i="5"/>
  <c r="H5822" i="5"/>
  <c r="I5822" i="5"/>
  <c r="J5822" i="5"/>
  <c r="K5822" i="5"/>
  <c r="L5822" i="5"/>
  <c r="M5822" i="5"/>
  <c r="H5823" i="5"/>
  <c r="I5823" i="5"/>
  <c r="J5823" i="5"/>
  <c r="K5823" i="5"/>
  <c r="L5823" i="5"/>
  <c r="M5823" i="5"/>
  <c r="H5824" i="5"/>
  <c r="I5824" i="5"/>
  <c r="J5824" i="5"/>
  <c r="K5824" i="5"/>
  <c r="L5824" i="5"/>
  <c r="M5824" i="5"/>
  <c r="H5825" i="5"/>
  <c r="I5825" i="5"/>
  <c r="J5825" i="5"/>
  <c r="K5825" i="5"/>
  <c r="L5825" i="5"/>
  <c r="M5825" i="5"/>
  <c r="H5826" i="5"/>
  <c r="I5826" i="5"/>
  <c r="J5826" i="5"/>
  <c r="K5826" i="5"/>
  <c r="L5826" i="5"/>
  <c r="M5826" i="5"/>
  <c r="H5827" i="5"/>
  <c r="I5827" i="5"/>
  <c r="J5827" i="5"/>
  <c r="K5827" i="5"/>
  <c r="L5827" i="5"/>
  <c r="M5827" i="5"/>
  <c r="H5828" i="5"/>
  <c r="I5828" i="5"/>
  <c r="J5828" i="5"/>
  <c r="K5828" i="5"/>
  <c r="L5828" i="5"/>
  <c r="M5828" i="5"/>
  <c r="H5829" i="5"/>
  <c r="I5829" i="5"/>
  <c r="J5829" i="5"/>
  <c r="K5829" i="5"/>
  <c r="L5829" i="5"/>
  <c r="M5829" i="5"/>
  <c r="H5830" i="5"/>
  <c r="I5830" i="5"/>
  <c r="J5830" i="5"/>
  <c r="K5830" i="5"/>
  <c r="L5830" i="5"/>
  <c r="M5830" i="5"/>
  <c r="H5831" i="5"/>
  <c r="I5831" i="5"/>
  <c r="J5831" i="5"/>
  <c r="K5831" i="5"/>
  <c r="L5831" i="5"/>
  <c r="M5831" i="5"/>
  <c r="H5832" i="5"/>
  <c r="I5832" i="5"/>
  <c r="J5832" i="5"/>
  <c r="K5832" i="5"/>
  <c r="L5832" i="5"/>
  <c r="M5832" i="5"/>
  <c r="H5833" i="5"/>
  <c r="I5833" i="5"/>
  <c r="J5833" i="5"/>
  <c r="K5833" i="5"/>
  <c r="L5833" i="5"/>
  <c r="M5833" i="5"/>
  <c r="H5834" i="5"/>
  <c r="I5834" i="5"/>
  <c r="J5834" i="5"/>
  <c r="K5834" i="5"/>
  <c r="L5834" i="5"/>
  <c r="M5834" i="5"/>
  <c r="H5835" i="5"/>
  <c r="I5835" i="5"/>
  <c r="J5835" i="5"/>
  <c r="K5835" i="5"/>
  <c r="L5835" i="5"/>
  <c r="M5835" i="5"/>
  <c r="H5836" i="5"/>
  <c r="I5836" i="5"/>
  <c r="J5836" i="5"/>
  <c r="K5836" i="5"/>
  <c r="L5836" i="5"/>
  <c r="M5836" i="5"/>
  <c r="H5837" i="5"/>
  <c r="I5837" i="5"/>
  <c r="J5837" i="5"/>
  <c r="K5837" i="5"/>
  <c r="L5837" i="5"/>
  <c r="M5837" i="5"/>
  <c r="H5838" i="5"/>
  <c r="I5838" i="5"/>
  <c r="J5838" i="5"/>
  <c r="K5838" i="5"/>
  <c r="L5838" i="5"/>
  <c r="M5838" i="5"/>
  <c r="H5839" i="5"/>
  <c r="I5839" i="5"/>
  <c r="J5839" i="5"/>
  <c r="K5839" i="5"/>
  <c r="L5839" i="5"/>
  <c r="M5839" i="5"/>
  <c r="H5840" i="5"/>
  <c r="I5840" i="5"/>
  <c r="J5840" i="5"/>
  <c r="K5840" i="5"/>
  <c r="L5840" i="5"/>
  <c r="M5840" i="5"/>
  <c r="H5841" i="5"/>
  <c r="I5841" i="5"/>
  <c r="J5841" i="5"/>
  <c r="K5841" i="5"/>
  <c r="L5841" i="5"/>
  <c r="M5841" i="5"/>
  <c r="H5842" i="5"/>
  <c r="I5842" i="5"/>
  <c r="J5842" i="5"/>
  <c r="K5842" i="5"/>
  <c r="L5842" i="5"/>
  <c r="M5842" i="5"/>
  <c r="H5843" i="5"/>
  <c r="I5843" i="5"/>
  <c r="J5843" i="5"/>
  <c r="K5843" i="5"/>
  <c r="L5843" i="5"/>
  <c r="M5843" i="5"/>
  <c r="H5844" i="5"/>
  <c r="I5844" i="5"/>
  <c r="J5844" i="5"/>
  <c r="K5844" i="5"/>
  <c r="L5844" i="5"/>
  <c r="M5844" i="5"/>
  <c r="H5845" i="5"/>
  <c r="I5845" i="5"/>
  <c r="J5845" i="5"/>
  <c r="K5845" i="5"/>
  <c r="L5845" i="5"/>
  <c r="M5845" i="5"/>
  <c r="H5846" i="5"/>
  <c r="I5846" i="5"/>
  <c r="J5846" i="5"/>
  <c r="K5846" i="5"/>
  <c r="L5846" i="5"/>
  <c r="M5846" i="5"/>
  <c r="H5847" i="5"/>
  <c r="I5847" i="5"/>
  <c r="J5847" i="5"/>
  <c r="K5847" i="5"/>
  <c r="L5847" i="5"/>
  <c r="M5847" i="5"/>
  <c r="H5848" i="5"/>
  <c r="I5848" i="5"/>
  <c r="J5848" i="5"/>
  <c r="K5848" i="5"/>
  <c r="L5848" i="5"/>
  <c r="M5848" i="5"/>
  <c r="H5849" i="5"/>
  <c r="I5849" i="5"/>
  <c r="J5849" i="5"/>
  <c r="K5849" i="5"/>
  <c r="L5849" i="5"/>
  <c r="M5849" i="5"/>
  <c r="H5850" i="5"/>
  <c r="I5850" i="5"/>
  <c r="J5850" i="5"/>
  <c r="K5850" i="5"/>
  <c r="L5850" i="5"/>
  <c r="M5850" i="5"/>
  <c r="H5851" i="5"/>
  <c r="I5851" i="5"/>
  <c r="J5851" i="5"/>
  <c r="K5851" i="5"/>
  <c r="L5851" i="5"/>
  <c r="M5851" i="5"/>
  <c r="H5852" i="5"/>
  <c r="I5852" i="5"/>
  <c r="J5852" i="5"/>
  <c r="K5852" i="5"/>
  <c r="L5852" i="5"/>
  <c r="M5852" i="5"/>
  <c r="H5853" i="5"/>
  <c r="I5853" i="5"/>
  <c r="J5853" i="5"/>
  <c r="K5853" i="5"/>
  <c r="L5853" i="5"/>
  <c r="M5853" i="5"/>
  <c r="H5854" i="5"/>
  <c r="I5854" i="5"/>
  <c r="J5854" i="5"/>
  <c r="K5854" i="5"/>
  <c r="L5854" i="5"/>
  <c r="M5854" i="5"/>
  <c r="H5855" i="5"/>
  <c r="I5855" i="5"/>
  <c r="J5855" i="5"/>
  <c r="K5855" i="5"/>
  <c r="L5855" i="5"/>
  <c r="M5855" i="5"/>
  <c r="H5856" i="5"/>
  <c r="I5856" i="5"/>
  <c r="J5856" i="5"/>
  <c r="K5856" i="5"/>
  <c r="L5856" i="5"/>
  <c r="M5856" i="5"/>
  <c r="H5857" i="5"/>
  <c r="I5857" i="5"/>
  <c r="J5857" i="5"/>
  <c r="K5857" i="5"/>
  <c r="L5857" i="5"/>
  <c r="M5857" i="5"/>
  <c r="H5858" i="5"/>
  <c r="I5858" i="5"/>
  <c r="J5858" i="5"/>
  <c r="K5858" i="5"/>
  <c r="L5858" i="5"/>
  <c r="M5858" i="5"/>
  <c r="H5859" i="5"/>
  <c r="I5859" i="5"/>
  <c r="J5859" i="5"/>
  <c r="K5859" i="5"/>
  <c r="L5859" i="5"/>
  <c r="M5859" i="5"/>
  <c r="H5860" i="5"/>
  <c r="I5860" i="5"/>
  <c r="J5860" i="5"/>
  <c r="K5860" i="5"/>
  <c r="L5860" i="5"/>
  <c r="M5860" i="5"/>
  <c r="H5861" i="5"/>
  <c r="I5861" i="5"/>
  <c r="J5861" i="5"/>
  <c r="K5861" i="5"/>
  <c r="L5861" i="5"/>
  <c r="M5861" i="5"/>
  <c r="H5862" i="5"/>
  <c r="I5862" i="5"/>
  <c r="J5862" i="5"/>
  <c r="K5862" i="5"/>
  <c r="L5862" i="5"/>
  <c r="M5862" i="5"/>
  <c r="H5863" i="5"/>
  <c r="I5863" i="5"/>
  <c r="J5863" i="5"/>
  <c r="K5863" i="5"/>
  <c r="L5863" i="5"/>
  <c r="M5863" i="5"/>
  <c r="H5864" i="5"/>
  <c r="I5864" i="5"/>
  <c r="J5864" i="5"/>
  <c r="K5864" i="5"/>
  <c r="L5864" i="5"/>
  <c r="M5864" i="5"/>
  <c r="H5865" i="5"/>
  <c r="I5865" i="5"/>
  <c r="J5865" i="5"/>
  <c r="K5865" i="5"/>
  <c r="L5865" i="5"/>
  <c r="M5865" i="5"/>
  <c r="H5866" i="5"/>
  <c r="I5866" i="5"/>
  <c r="J5866" i="5"/>
  <c r="K5866" i="5"/>
  <c r="L5866" i="5"/>
  <c r="M5866" i="5"/>
  <c r="H5867" i="5"/>
  <c r="I5867" i="5"/>
  <c r="J5867" i="5"/>
  <c r="K5867" i="5"/>
  <c r="L5867" i="5"/>
  <c r="M5867" i="5"/>
  <c r="H5868" i="5"/>
  <c r="I5868" i="5"/>
  <c r="J5868" i="5"/>
  <c r="K5868" i="5"/>
  <c r="L5868" i="5"/>
  <c r="M5868" i="5"/>
  <c r="H5869" i="5"/>
  <c r="I5869" i="5"/>
  <c r="J5869" i="5"/>
  <c r="K5869" i="5"/>
  <c r="L5869" i="5"/>
  <c r="M5869" i="5"/>
  <c r="H5870" i="5"/>
  <c r="I5870" i="5"/>
  <c r="J5870" i="5"/>
  <c r="K5870" i="5"/>
  <c r="L5870" i="5"/>
  <c r="M5870" i="5"/>
  <c r="H5871" i="5"/>
  <c r="I5871" i="5"/>
  <c r="J5871" i="5"/>
  <c r="K5871" i="5"/>
  <c r="L5871" i="5"/>
  <c r="M5871" i="5"/>
  <c r="H5872" i="5"/>
  <c r="I5872" i="5"/>
  <c r="J5872" i="5"/>
  <c r="K5872" i="5"/>
  <c r="L5872" i="5"/>
  <c r="M5872" i="5"/>
  <c r="H5873" i="5"/>
  <c r="I5873" i="5"/>
  <c r="J5873" i="5"/>
  <c r="K5873" i="5"/>
  <c r="L5873" i="5"/>
  <c r="M5873" i="5"/>
  <c r="H5874" i="5"/>
  <c r="I5874" i="5"/>
  <c r="J5874" i="5"/>
  <c r="K5874" i="5"/>
  <c r="L5874" i="5"/>
  <c r="M5874" i="5"/>
  <c r="H5875" i="5"/>
  <c r="I5875" i="5"/>
  <c r="J5875" i="5"/>
  <c r="K5875" i="5"/>
  <c r="L5875" i="5"/>
  <c r="M5875" i="5"/>
  <c r="H5876" i="5"/>
  <c r="I5876" i="5"/>
  <c r="J5876" i="5"/>
  <c r="K5876" i="5"/>
  <c r="L5876" i="5"/>
  <c r="M5876" i="5"/>
  <c r="H5877" i="5"/>
  <c r="I5877" i="5"/>
  <c r="J5877" i="5"/>
  <c r="K5877" i="5"/>
  <c r="L5877" i="5"/>
  <c r="M5877" i="5"/>
  <c r="H5878" i="5"/>
  <c r="I5878" i="5"/>
  <c r="J5878" i="5"/>
  <c r="K5878" i="5"/>
  <c r="L5878" i="5"/>
  <c r="M5878" i="5"/>
  <c r="H5879" i="5"/>
  <c r="I5879" i="5"/>
  <c r="J5879" i="5"/>
  <c r="K5879" i="5"/>
  <c r="L5879" i="5"/>
  <c r="M5879" i="5"/>
  <c r="H5880" i="5"/>
  <c r="I5880" i="5"/>
  <c r="J5880" i="5"/>
  <c r="K5880" i="5"/>
  <c r="L5880" i="5"/>
  <c r="M5880" i="5"/>
  <c r="H5881" i="5"/>
  <c r="I5881" i="5"/>
  <c r="J5881" i="5"/>
  <c r="K5881" i="5"/>
  <c r="L5881" i="5"/>
  <c r="M5881" i="5"/>
  <c r="H5882" i="5"/>
  <c r="I5882" i="5"/>
  <c r="J5882" i="5"/>
  <c r="K5882" i="5"/>
  <c r="L5882" i="5"/>
  <c r="M5882" i="5"/>
  <c r="H5883" i="5"/>
  <c r="I5883" i="5"/>
  <c r="J5883" i="5"/>
  <c r="K5883" i="5"/>
  <c r="L5883" i="5"/>
  <c r="M5883" i="5"/>
  <c r="H5884" i="5"/>
  <c r="I5884" i="5"/>
  <c r="J5884" i="5"/>
  <c r="K5884" i="5"/>
  <c r="L5884" i="5"/>
  <c r="M5884" i="5"/>
  <c r="H5885" i="5"/>
  <c r="I5885" i="5"/>
  <c r="J5885" i="5"/>
  <c r="K5885" i="5"/>
  <c r="L5885" i="5"/>
  <c r="M5885" i="5"/>
  <c r="H5886" i="5"/>
  <c r="I5886" i="5"/>
  <c r="J5886" i="5"/>
  <c r="K5886" i="5"/>
  <c r="L5886" i="5"/>
  <c r="M5886" i="5"/>
  <c r="H5887" i="5"/>
  <c r="I5887" i="5"/>
  <c r="J5887" i="5"/>
  <c r="K5887" i="5"/>
  <c r="L5887" i="5"/>
  <c r="M5887" i="5"/>
  <c r="H5888" i="5"/>
  <c r="I5888" i="5"/>
  <c r="J5888" i="5"/>
  <c r="K5888" i="5"/>
  <c r="L5888" i="5"/>
  <c r="M5888" i="5"/>
  <c r="H5889" i="5"/>
  <c r="I5889" i="5"/>
  <c r="J5889" i="5"/>
  <c r="K5889" i="5"/>
  <c r="L5889" i="5"/>
  <c r="M5889" i="5"/>
  <c r="H5890" i="5"/>
  <c r="I5890" i="5"/>
  <c r="J5890" i="5"/>
  <c r="K5890" i="5"/>
  <c r="L5890" i="5"/>
  <c r="M5890" i="5"/>
  <c r="H5891" i="5"/>
  <c r="I5891" i="5"/>
  <c r="J5891" i="5"/>
  <c r="K5891" i="5"/>
  <c r="L5891" i="5"/>
  <c r="M5891" i="5"/>
  <c r="H5892" i="5"/>
  <c r="I5892" i="5"/>
  <c r="J5892" i="5"/>
  <c r="K5892" i="5"/>
  <c r="L5892" i="5"/>
  <c r="M5892" i="5"/>
  <c r="H5893" i="5"/>
  <c r="I5893" i="5"/>
  <c r="J5893" i="5"/>
  <c r="K5893" i="5"/>
  <c r="L5893" i="5"/>
  <c r="M5893" i="5"/>
  <c r="H5894" i="5"/>
  <c r="I5894" i="5"/>
  <c r="J5894" i="5"/>
  <c r="K5894" i="5"/>
  <c r="L5894" i="5"/>
  <c r="M5894" i="5"/>
  <c r="H5895" i="5"/>
  <c r="I5895" i="5"/>
  <c r="J5895" i="5"/>
  <c r="K5895" i="5"/>
  <c r="L5895" i="5"/>
  <c r="M5895" i="5"/>
  <c r="H5896" i="5"/>
  <c r="I5896" i="5"/>
  <c r="J5896" i="5"/>
  <c r="K5896" i="5"/>
  <c r="L5896" i="5"/>
  <c r="M5896" i="5"/>
  <c r="H5897" i="5"/>
  <c r="I5897" i="5"/>
  <c r="J5897" i="5"/>
  <c r="K5897" i="5"/>
  <c r="L5897" i="5"/>
  <c r="M5897" i="5"/>
  <c r="H5898" i="5"/>
  <c r="I5898" i="5"/>
  <c r="J5898" i="5"/>
  <c r="K5898" i="5"/>
  <c r="L5898" i="5"/>
  <c r="M5898" i="5"/>
  <c r="H5899" i="5"/>
  <c r="I5899" i="5"/>
  <c r="J5899" i="5"/>
  <c r="K5899" i="5"/>
  <c r="L5899" i="5"/>
  <c r="M5899" i="5"/>
  <c r="H5900" i="5"/>
  <c r="I5900" i="5"/>
  <c r="J5900" i="5"/>
  <c r="K5900" i="5"/>
  <c r="L5900" i="5"/>
  <c r="M5900" i="5"/>
  <c r="H5901" i="5"/>
  <c r="I5901" i="5"/>
  <c r="J5901" i="5"/>
  <c r="K5901" i="5"/>
  <c r="L5901" i="5"/>
  <c r="M5901" i="5"/>
  <c r="H5902" i="5"/>
  <c r="I5902" i="5"/>
  <c r="J5902" i="5"/>
  <c r="K5902" i="5"/>
  <c r="L5902" i="5"/>
  <c r="M5902" i="5"/>
  <c r="H5903" i="5"/>
  <c r="I5903" i="5"/>
  <c r="J5903" i="5"/>
  <c r="K5903" i="5"/>
  <c r="L5903" i="5"/>
  <c r="M5903" i="5"/>
  <c r="H5904" i="5"/>
  <c r="I5904" i="5"/>
  <c r="J5904" i="5"/>
  <c r="K5904" i="5"/>
  <c r="L5904" i="5"/>
  <c r="M5904" i="5"/>
  <c r="H5905" i="5"/>
  <c r="I5905" i="5"/>
  <c r="J5905" i="5"/>
  <c r="K5905" i="5"/>
  <c r="L5905" i="5"/>
  <c r="M5905" i="5"/>
  <c r="H5906" i="5"/>
  <c r="I5906" i="5"/>
  <c r="J5906" i="5"/>
  <c r="K5906" i="5"/>
  <c r="L5906" i="5"/>
  <c r="M5906" i="5"/>
  <c r="H5907" i="5"/>
  <c r="I5907" i="5"/>
  <c r="J5907" i="5"/>
  <c r="K5907" i="5"/>
  <c r="L5907" i="5"/>
  <c r="M5907" i="5"/>
  <c r="H5908" i="5"/>
  <c r="I5908" i="5"/>
  <c r="J5908" i="5"/>
  <c r="K5908" i="5"/>
  <c r="L5908" i="5"/>
  <c r="M5908" i="5"/>
  <c r="H5909" i="5"/>
  <c r="I5909" i="5"/>
  <c r="J5909" i="5"/>
  <c r="K5909" i="5"/>
  <c r="L5909" i="5"/>
  <c r="M5909" i="5"/>
  <c r="H5910" i="5"/>
  <c r="I5910" i="5"/>
  <c r="J5910" i="5"/>
  <c r="K5910" i="5"/>
  <c r="L5910" i="5"/>
  <c r="M5910" i="5"/>
  <c r="H5911" i="5"/>
  <c r="I5911" i="5"/>
  <c r="J5911" i="5"/>
  <c r="K5911" i="5"/>
  <c r="L5911" i="5"/>
  <c r="M5911" i="5"/>
  <c r="H5912" i="5"/>
  <c r="I5912" i="5"/>
  <c r="J5912" i="5"/>
  <c r="K5912" i="5"/>
  <c r="L5912" i="5"/>
  <c r="M5912" i="5"/>
  <c r="H5913" i="5"/>
  <c r="I5913" i="5"/>
  <c r="J5913" i="5"/>
  <c r="K5913" i="5"/>
  <c r="L5913" i="5"/>
  <c r="M5913" i="5"/>
  <c r="H5914" i="5"/>
  <c r="I5914" i="5"/>
  <c r="J5914" i="5"/>
  <c r="K5914" i="5"/>
  <c r="L5914" i="5"/>
  <c r="M5914" i="5"/>
  <c r="H5915" i="5"/>
  <c r="I5915" i="5"/>
  <c r="J5915" i="5"/>
  <c r="K5915" i="5"/>
  <c r="L5915" i="5"/>
  <c r="M5915" i="5"/>
  <c r="H5916" i="5"/>
  <c r="I5916" i="5"/>
  <c r="J5916" i="5"/>
  <c r="K5916" i="5"/>
  <c r="L5916" i="5"/>
  <c r="M5916" i="5"/>
  <c r="H5917" i="5"/>
  <c r="I5917" i="5"/>
  <c r="J5917" i="5"/>
  <c r="K5917" i="5"/>
  <c r="L5917" i="5"/>
  <c r="M5917" i="5"/>
  <c r="H5918" i="5"/>
  <c r="I5918" i="5"/>
  <c r="J5918" i="5"/>
  <c r="K5918" i="5"/>
  <c r="L5918" i="5"/>
  <c r="M5918" i="5"/>
  <c r="H5919" i="5"/>
  <c r="I5919" i="5"/>
  <c r="J5919" i="5"/>
  <c r="K5919" i="5"/>
  <c r="L5919" i="5"/>
  <c r="M5919" i="5"/>
  <c r="H5920" i="5"/>
  <c r="I5920" i="5"/>
  <c r="J5920" i="5"/>
  <c r="K5920" i="5"/>
  <c r="L5920" i="5"/>
  <c r="M5920" i="5"/>
  <c r="H5921" i="5"/>
  <c r="I5921" i="5"/>
  <c r="J5921" i="5"/>
  <c r="K5921" i="5"/>
  <c r="L5921" i="5"/>
  <c r="M5921" i="5"/>
  <c r="H5922" i="5"/>
  <c r="I5922" i="5"/>
  <c r="J5922" i="5"/>
  <c r="K5922" i="5"/>
  <c r="L5922" i="5"/>
  <c r="M5922" i="5"/>
  <c r="H5923" i="5"/>
  <c r="I5923" i="5"/>
  <c r="J5923" i="5"/>
  <c r="K5923" i="5"/>
  <c r="L5923" i="5"/>
  <c r="M5923" i="5"/>
  <c r="H5924" i="5"/>
  <c r="I5924" i="5"/>
  <c r="J5924" i="5"/>
  <c r="K5924" i="5"/>
  <c r="L5924" i="5"/>
  <c r="M5924" i="5"/>
  <c r="H5925" i="5"/>
  <c r="I5925" i="5"/>
  <c r="J5925" i="5"/>
  <c r="K5925" i="5"/>
  <c r="L5925" i="5"/>
  <c r="M5925" i="5"/>
  <c r="H5926" i="5"/>
  <c r="I5926" i="5"/>
  <c r="J5926" i="5"/>
  <c r="K5926" i="5"/>
  <c r="L5926" i="5"/>
  <c r="M5926" i="5"/>
  <c r="H5927" i="5"/>
  <c r="I5927" i="5"/>
  <c r="J5927" i="5"/>
  <c r="K5927" i="5"/>
  <c r="L5927" i="5"/>
  <c r="M5927" i="5"/>
  <c r="H5928" i="5"/>
  <c r="I5928" i="5"/>
  <c r="J5928" i="5"/>
  <c r="K5928" i="5"/>
  <c r="L5928" i="5"/>
  <c r="M5928" i="5"/>
  <c r="H5929" i="5"/>
  <c r="I5929" i="5"/>
  <c r="J5929" i="5"/>
  <c r="K5929" i="5"/>
  <c r="L5929" i="5"/>
  <c r="M5929" i="5"/>
  <c r="H5930" i="5"/>
  <c r="I5930" i="5"/>
  <c r="J5930" i="5"/>
  <c r="K5930" i="5"/>
  <c r="L5930" i="5"/>
  <c r="M5930" i="5"/>
  <c r="H5931" i="5"/>
  <c r="I5931" i="5"/>
  <c r="J5931" i="5"/>
  <c r="K5931" i="5"/>
  <c r="L5931" i="5"/>
  <c r="M5931" i="5"/>
  <c r="H5932" i="5"/>
  <c r="I5932" i="5"/>
  <c r="J5932" i="5"/>
  <c r="K5932" i="5"/>
  <c r="L5932" i="5"/>
  <c r="M5932" i="5"/>
  <c r="H5933" i="5"/>
  <c r="I5933" i="5"/>
  <c r="J5933" i="5"/>
  <c r="K5933" i="5"/>
  <c r="L5933" i="5"/>
  <c r="M5933" i="5"/>
  <c r="H5934" i="5"/>
  <c r="I5934" i="5"/>
  <c r="J5934" i="5"/>
  <c r="K5934" i="5"/>
  <c r="L5934" i="5"/>
  <c r="M5934" i="5"/>
  <c r="H5935" i="5"/>
  <c r="I5935" i="5"/>
  <c r="J5935" i="5"/>
  <c r="K5935" i="5"/>
  <c r="L5935" i="5"/>
  <c r="M5935" i="5"/>
  <c r="H5936" i="5"/>
  <c r="I5936" i="5"/>
  <c r="J5936" i="5"/>
  <c r="K5936" i="5"/>
  <c r="L5936" i="5"/>
  <c r="M5936" i="5"/>
  <c r="H5937" i="5"/>
  <c r="I5937" i="5"/>
  <c r="J5937" i="5"/>
  <c r="K5937" i="5"/>
  <c r="L5937" i="5"/>
  <c r="M5937" i="5"/>
  <c r="H5938" i="5"/>
  <c r="I5938" i="5"/>
  <c r="J5938" i="5"/>
  <c r="K5938" i="5"/>
  <c r="L5938" i="5"/>
  <c r="M5938" i="5"/>
  <c r="H5939" i="5"/>
  <c r="I5939" i="5"/>
  <c r="J5939" i="5"/>
  <c r="K5939" i="5"/>
  <c r="L5939" i="5"/>
  <c r="M5939" i="5"/>
  <c r="H5940" i="5"/>
  <c r="I5940" i="5"/>
  <c r="J5940" i="5"/>
  <c r="K5940" i="5"/>
  <c r="L5940" i="5"/>
  <c r="M5940" i="5"/>
  <c r="H5941" i="5"/>
  <c r="I5941" i="5"/>
  <c r="J5941" i="5"/>
  <c r="K5941" i="5"/>
  <c r="L5941" i="5"/>
  <c r="M5941" i="5"/>
  <c r="H5942" i="5"/>
  <c r="I5942" i="5"/>
  <c r="J5942" i="5"/>
  <c r="K5942" i="5"/>
  <c r="L5942" i="5"/>
  <c r="M5942" i="5"/>
  <c r="H5943" i="5"/>
  <c r="I5943" i="5"/>
  <c r="J5943" i="5"/>
  <c r="K5943" i="5"/>
  <c r="L5943" i="5"/>
  <c r="M5943" i="5"/>
  <c r="H5944" i="5"/>
  <c r="I5944" i="5"/>
  <c r="J5944" i="5"/>
  <c r="K5944" i="5"/>
  <c r="L5944" i="5"/>
  <c r="M5944" i="5"/>
  <c r="H5945" i="5"/>
  <c r="I5945" i="5"/>
  <c r="J5945" i="5"/>
  <c r="K5945" i="5"/>
  <c r="L5945" i="5"/>
  <c r="M5945" i="5"/>
  <c r="H5946" i="5"/>
  <c r="I5946" i="5"/>
  <c r="J5946" i="5"/>
  <c r="K5946" i="5"/>
  <c r="L5946" i="5"/>
  <c r="M5946" i="5"/>
  <c r="H5947" i="5"/>
  <c r="I5947" i="5"/>
  <c r="J5947" i="5"/>
  <c r="K5947" i="5"/>
  <c r="L5947" i="5"/>
  <c r="M5947" i="5"/>
  <c r="H5948" i="5"/>
  <c r="I5948" i="5"/>
  <c r="J5948" i="5"/>
  <c r="K5948" i="5"/>
  <c r="L5948" i="5"/>
  <c r="M5948" i="5"/>
  <c r="H5949" i="5"/>
  <c r="I5949" i="5"/>
  <c r="J5949" i="5"/>
  <c r="K5949" i="5"/>
  <c r="L5949" i="5"/>
  <c r="M5949" i="5"/>
  <c r="H5950" i="5"/>
  <c r="I5950" i="5"/>
  <c r="J5950" i="5"/>
  <c r="K5950" i="5"/>
  <c r="L5950" i="5"/>
  <c r="M5950" i="5"/>
  <c r="H5951" i="5"/>
  <c r="I5951" i="5"/>
  <c r="J5951" i="5"/>
  <c r="K5951" i="5"/>
  <c r="L5951" i="5"/>
  <c r="M5951" i="5"/>
  <c r="H5952" i="5"/>
  <c r="I5952" i="5"/>
  <c r="J5952" i="5"/>
  <c r="K5952" i="5"/>
  <c r="L5952" i="5"/>
  <c r="M5952" i="5"/>
  <c r="H5953" i="5"/>
  <c r="I5953" i="5"/>
  <c r="J5953" i="5"/>
  <c r="K5953" i="5"/>
  <c r="L5953" i="5"/>
  <c r="M5953" i="5"/>
  <c r="H5954" i="5"/>
  <c r="I5954" i="5"/>
  <c r="J5954" i="5"/>
  <c r="K5954" i="5"/>
  <c r="L5954" i="5"/>
  <c r="M5954" i="5"/>
  <c r="H5955" i="5"/>
  <c r="I5955" i="5"/>
  <c r="J5955" i="5"/>
  <c r="K5955" i="5"/>
  <c r="L5955" i="5"/>
  <c r="M5955" i="5"/>
  <c r="H5956" i="5"/>
  <c r="I5956" i="5"/>
  <c r="J5956" i="5"/>
  <c r="K5956" i="5"/>
  <c r="L5956" i="5"/>
  <c r="M5956" i="5"/>
  <c r="H5957" i="5"/>
  <c r="I5957" i="5"/>
  <c r="J5957" i="5"/>
  <c r="K5957" i="5"/>
  <c r="L5957" i="5"/>
  <c r="M5957" i="5"/>
  <c r="H5958" i="5"/>
  <c r="I5958" i="5"/>
  <c r="J5958" i="5"/>
  <c r="K5958" i="5"/>
  <c r="L5958" i="5"/>
  <c r="M5958" i="5"/>
  <c r="H5959" i="5"/>
  <c r="I5959" i="5"/>
  <c r="J5959" i="5"/>
  <c r="K5959" i="5"/>
  <c r="L5959" i="5"/>
  <c r="M5959" i="5"/>
  <c r="H5960" i="5"/>
  <c r="I5960" i="5"/>
  <c r="J5960" i="5"/>
  <c r="K5960" i="5"/>
  <c r="L5960" i="5"/>
  <c r="M5960" i="5"/>
  <c r="H5961" i="5"/>
  <c r="I5961" i="5"/>
  <c r="J5961" i="5"/>
  <c r="K5961" i="5"/>
  <c r="L5961" i="5"/>
  <c r="M5961" i="5"/>
  <c r="H5962" i="5"/>
  <c r="I5962" i="5"/>
  <c r="J5962" i="5"/>
  <c r="K5962" i="5"/>
  <c r="L5962" i="5"/>
  <c r="M5962" i="5"/>
  <c r="H5963" i="5"/>
  <c r="I5963" i="5"/>
  <c r="J5963" i="5"/>
  <c r="K5963" i="5"/>
  <c r="L5963" i="5"/>
  <c r="M5963" i="5"/>
  <c r="H5964" i="5"/>
  <c r="I5964" i="5"/>
  <c r="J5964" i="5"/>
  <c r="K5964" i="5"/>
  <c r="L5964" i="5"/>
  <c r="M5964" i="5"/>
  <c r="H5965" i="5"/>
  <c r="I5965" i="5"/>
  <c r="J5965" i="5"/>
  <c r="K5965" i="5"/>
  <c r="L5965" i="5"/>
  <c r="M5965" i="5"/>
  <c r="H5966" i="5"/>
  <c r="I5966" i="5"/>
  <c r="J5966" i="5"/>
  <c r="K5966" i="5"/>
  <c r="L5966" i="5"/>
  <c r="M5966" i="5"/>
  <c r="H5967" i="5"/>
  <c r="I5967" i="5"/>
  <c r="J5967" i="5"/>
  <c r="K5967" i="5"/>
  <c r="L5967" i="5"/>
  <c r="M5967" i="5"/>
  <c r="H5968" i="5"/>
  <c r="I5968" i="5"/>
  <c r="J5968" i="5"/>
  <c r="K5968" i="5"/>
  <c r="L5968" i="5"/>
  <c r="M5968" i="5"/>
  <c r="H5969" i="5"/>
  <c r="I5969" i="5"/>
  <c r="J5969" i="5"/>
  <c r="K5969" i="5"/>
  <c r="L5969" i="5"/>
  <c r="M5969" i="5"/>
  <c r="H5970" i="5"/>
  <c r="I5970" i="5"/>
  <c r="J5970" i="5"/>
  <c r="K5970" i="5"/>
  <c r="L5970" i="5"/>
  <c r="M5970" i="5"/>
  <c r="H5971" i="5"/>
  <c r="I5971" i="5"/>
  <c r="J5971" i="5"/>
  <c r="K5971" i="5"/>
  <c r="L5971" i="5"/>
  <c r="M5971" i="5"/>
  <c r="H5972" i="5"/>
  <c r="I5972" i="5"/>
  <c r="J5972" i="5"/>
  <c r="K5972" i="5"/>
  <c r="L5972" i="5"/>
  <c r="M5972" i="5"/>
  <c r="H5973" i="5"/>
  <c r="I5973" i="5"/>
  <c r="J5973" i="5"/>
  <c r="K5973" i="5"/>
  <c r="L5973" i="5"/>
  <c r="M5973" i="5"/>
  <c r="H5974" i="5"/>
  <c r="I5974" i="5"/>
  <c r="J5974" i="5"/>
  <c r="K5974" i="5"/>
  <c r="L5974" i="5"/>
  <c r="M5974" i="5"/>
  <c r="H5975" i="5"/>
  <c r="I5975" i="5"/>
  <c r="J5975" i="5"/>
  <c r="K5975" i="5"/>
  <c r="L5975" i="5"/>
  <c r="M5975" i="5"/>
  <c r="H5976" i="5"/>
  <c r="I5976" i="5"/>
  <c r="J5976" i="5"/>
  <c r="K5976" i="5"/>
  <c r="L5976" i="5"/>
  <c r="M5976" i="5"/>
  <c r="H5977" i="5"/>
  <c r="I5977" i="5"/>
  <c r="J5977" i="5"/>
  <c r="K5977" i="5"/>
  <c r="L5977" i="5"/>
  <c r="M5977" i="5"/>
  <c r="H5978" i="5"/>
  <c r="I5978" i="5"/>
  <c r="J5978" i="5"/>
  <c r="K5978" i="5"/>
  <c r="L5978" i="5"/>
  <c r="M5978" i="5"/>
  <c r="H5979" i="5"/>
  <c r="I5979" i="5"/>
  <c r="J5979" i="5"/>
  <c r="K5979" i="5"/>
  <c r="L5979" i="5"/>
  <c r="M5979" i="5"/>
  <c r="H5980" i="5"/>
  <c r="I5980" i="5"/>
  <c r="J5980" i="5"/>
  <c r="K5980" i="5"/>
  <c r="L5980" i="5"/>
  <c r="M5980" i="5"/>
  <c r="H5981" i="5"/>
  <c r="I5981" i="5"/>
  <c r="J5981" i="5"/>
  <c r="K5981" i="5"/>
  <c r="L5981" i="5"/>
  <c r="M5981" i="5"/>
  <c r="H5982" i="5"/>
  <c r="I5982" i="5"/>
  <c r="J5982" i="5"/>
  <c r="K5982" i="5"/>
  <c r="L5982" i="5"/>
  <c r="M5982" i="5"/>
  <c r="H5983" i="5"/>
  <c r="I5983" i="5"/>
  <c r="J5983" i="5"/>
  <c r="K5983" i="5"/>
  <c r="L5983" i="5"/>
  <c r="M5983" i="5"/>
  <c r="H5984" i="5"/>
  <c r="I5984" i="5"/>
  <c r="J5984" i="5"/>
  <c r="K5984" i="5"/>
  <c r="L5984" i="5"/>
  <c r="M5984" i="5"/>
  <c r="H5985" i="5"/>
  <c r="I5985" i="5"/>
  <c r="J5985" i="5"/>
  <c r="K5985" i="5"/>
  <c r="L5985" i="5"/>
  <c r="M5985" i="5"/>
  <c r="H5986" i="5"/>
  <c r="I5986" i="5"/>
  <c r="J5986" i="5"/>
  <c r="K5986" i="5"/>
  <c r="L5986" i="5"/>
  <c r="M5986" i="5"/>
  <c r="H5987" i="5"/>
  <c r="I5987" i="5"/>
  <c r="J5987" i="5"/>
  <c r="K5987" i="5"/>
  <c r="L5987" i="5"/>
  <c r="M5987" i="5"/>
  <c r="H5988" i="5"/>
  <c r="I5988" i="5"/>
  <c r="J5988" i="5"/>
  <c r="K5988" i="5"/>
  <c r="L5988" i="5"/>
  <c r="M5988" i="5"/>
  <c r="H5989" i="5"/>
  <c r="I5989" i="5"/>
  <c r="J5989" i="5"/>
  <c r="K5989" i="5"/>
  <c r="L5989" i="5"/>
  <c r="M5989" i="5"/>
  <c r="H5990" i="5"/>
  <c r="I5990" i="5"/>
  <c r="J5990" i="5"/>
  <c r="K5990" i="5"/>
  <c r="L5990" i="5"/>
  <c r="M5990" i="5"/>
  <c r="H5991" i="5"/>
  <c r="I5991" i="5"/>
  <c r="J5991" i="5"/>
  <c r="K5991" i="5"/>
  <c r="L5991" i="5"/>
  <c r="M5991" i="5"/>
  <c r="H5992" i="5"/>
  <c r="I5992" i="5"/>
  <c r="J5992" i="5"/>
  <c r="K5992" i="5"/>
  <c r="L5992" i="5"/>
  <c r="M5992" i="5"/>
  <c r="H5993" i="5"/>
  <c r="I5993" i="5"/>
  <c r="J5993" i="5"/>
  <c r="K5993" i="5"/>
  <c r="L5993" i="5"/>
  <c r="M5993" i="5"/>
  <c r="H5994" i="5"/>
  <c r="I5994" i="5"/>
  <c r="J5994" i="5"/>
  <c r="K5994" i="5"/>
  <c r="L5994" i="5"/>
  <c r="M5994" i="5"/>
  <c r="H5995" i="5"/>
  <c r="I5995" i="5"/>
  <c r="J5995" i="5"/>
  <c r="K5995" i="5"/>
  <c r="L5995" i="5"/>
  <c r="M5995" i="5"/>
  <c r="H5996" i="5"/>
  <c r="I5996" i="5"/>
  <c r="J5996" i="5"/>
  <c r="K5996" i="5"/>
  <c r="L5996" i="5"/>
  <c r="M5996" i="5"/>
  <c r="H5997" i="5"/>
  <c r="I5997" i="5"/>
  <c r="J5997" i="5"/>
  <c r="K5997" i="5"/>
  <c r="L5997" i="5"/>
  <c r="M5997" i="5"/>
  <c r="H5998" i="5"/>
  <c r="I5998" i="5"/>
  <c r="J5998" i="5"/>
  <c r="K5998" i="5"/>
  <c r="L5998" i="5"/>
  <c r="M5998" i="5"/>
  <c r="H5999" i="5"/>
  <c r="I5999" i="5"/>
  <c r="J5999" i="5"/>
  <c r="K5999" i="5"/>
  <c r="L5999" i="5"/>
  <c r="M5999" i="5"/>
  <c r="H6000" i="5"/>
  <c r="I6000" i="5"/>
  <c r="J6000" i="5"/>
  <c r="K6000" i="5"/>
  <c r="L6000" i="5"/>
  <c r="M6000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703" i="5"/>
  <c r="F703" i="5"/>
  <c r="E704" i="5"/>
  <c r="F704" i="5"/>
  <c r="E705" i="5"/>
  <c r="F705" i="5"/>
  <c r="E706" i="5"/>
  <c r="F706" i="5"/>
  <c r="E707" i="5"/>
  <c r="F707" i="5"/>
  <c r="E708" i="5"/>
  <c r="F708" i="5"/>
  <c r="E709" i="5"/>
  <c r="F709" i="5"/>
  <c r="E710" i="5"/>
  <c r="F710" i="5"/>
  <c r="E711" i="5"/>
  <c r="F711" i="5"/>
  <c r="E712" i="5"/>
  <c r="F712" i="5"/>
  <c r="E713" i="5"/>
  <c r="F713" i="5"/>
  <c r="E714" i="5"/>
  <c r="F714" i="5"/>
  <c r="E715" i="5"/>
  <c r="F715" i="5"/>
  <c r="E716" i="5"/>
  <c r="F716" i="5"/>
  <c r="E717" i="5"/>
  <c r="F717" i="5"/>
  <c r="E718" i="5"/>
  <c r="F718" i="5"/>
  <c r="E719" i="5"/>
  <c r="F719" i="5"/>
  <c r="E720" i="5"/>
  <c r="F720" i="5"/>
  <c r="E721" i="5"/>
  <c r="F721" i="5"/>
  <c r="E722" i="5"/>
  <c r="F722" i="5"/>
  <c r="E723" i="5"/>
  <c r="F723" i="5"/>
  <c r="E724" i="5"/>
  <c r="F724" i="5"/>
  <c r="E725" i="5"/>
  <c r="F725" i="5"/>
  <c r="E726" i="5"/>
  <c r="F726" i="5"/>
  <c r="E727" i="5"/>
  <c r="F727" i="5"/>
  <c r="E728" i="5"/>
  <c r="F728" i="5"/>
  <c r="E729" i="5"/>
  <c r="F729" i="5"/>
  <c r="E730" i="5"/>
  <c r="F730" i="5"/>
  <c r="E731" i="5"/>
  <c r="F731" i="5"/>
  <c r="E732" i="5"/>
  <c r="F732" i="5"/>
  <c r="E733" i="5"/>
  <c r="F733" i="5"/>
  <c r="E734" i="5"/>
  <c r="F734" i="5"/>
  <c r="E735" i="5"/>
  <c r="F735" i="5"/>
  <c r="E736" i="5"/>
  <c r="F736" i="5"/>
  <c r="E737" i="5"/>
  <c r="F737" i="5"/>
  <c r="E738" i="5"/>
  <c r="F738" i="5"/>
  <c r="E739" i="5"/>
  <c r="F739" i="5"/>
  <c r="E740" i="5"/>
  <c r="F740" i="5"/>
  <c r="E741" i="5"/>
  <c r="F741" i="5"/>
  <c r="E742" i="5"/>
  <c r="F742" i="5"/>
  <c r="E743" i="5"/>
  <c r="F743" i="5"/>
  <c r="E744" i="5"/>
  <c r="F744" i="5"/>
  <c r="E745" i="5"/>
  <c r="F745" i="5"/>
  <c r="E746" i="5"/>
  <c r="F746" i="5"/>
  <c r="E747" i="5"/>
  <c r="F747" i="5"/>
  <c r="E748" i="5"/>
  <c r="F748" i="5"/>
  <c r="E749" i="5"/>
  <c r="F749" i="5"/>
  <c r="E750" i="5"/>
  <c r="F750" i="5"/>
  <c r="E751" i="5"/>
  <c r="F751" i="5"/>
  <c r="E752" i="5"/>
  <c r="F752" i="5"/>
  <c r="E753" i="5"/>
  <c r="F753" i="5"/>
  <c r="E754" i="5"/>
  <c r="F754" i="5"/>
  <c r="E755" i="5"/>
  <c r="F755" i="5"/>
  <c r="E756" i="5"/>
  <c r="F756" i="5"/>
  <c r="E757" i="5"/>
  <c r="F757" i="5"/>
  <c r="E758" i="5"/>
  <c r="F758" i="5"/>
  <c r="E759" i="5"/>
  <c r="F759" i="5"/>
  <c r="E760" i="5"/>
  <c r="F760" i="5"/>
  <c r="E761" i="5"/>
  <c r="F761" i="5"/>
  <c r="E762" i="5"/>
  <c r="F762" i="5"/>
  <c r="E763" i="5"/>
  <c r="F763" i="5"/>
  <c r="E764" i="5"/>
  <c r="F764" i="5"/>
  <c r="E765" i="5"/>
  <c r="F765" i="5"/>
  <c r="E766" i="5"/>
  <c r="F766" i="5"/>
  <c r="E767" i="5"/>
  <c r="F767" i="5"/>
  <c r="E768" i="5"/>
  <c r="F768" i="5"/>
  <c r="E769" i="5"/>
  <c r="F769" i="5"/>
  <c r="E770" i="5"/>
  <c r="F770" i="5"/>
  <c r="E771" i="5"/>
  <c r="F771" i="5"/>
  <c r="E772" i="5"/>
  <c r="F772" i="5"/>
  <c r="E773" i="5"/>
  <c r="F773" i="5"/>
  <c r="E774" i="5"/>
  <c r="F774" i="5"/>
  <c r="E775" i="5"/>
  <c r="F775" i="5"/>
  <c r="E776" i="5"/>
  <c r="F776" i="5"/>
  <c r="E777" i="5"/>
  <c r="F777" i="5"/>
  <c r="E778" i="5"/>
  <c r="F778" i="5"/>
  <c r="E779" i="5"/>
  <c r="F779" i="5"/>
  <c r="E780" i="5"/>
  <c r="F780" i="5"/>
  <c r="E781" i="5"/>
  <c r="F781" i="5"/>
  <c r="E782" i="5"/>
  <c r="F782" i="5"/>
  <c r="E783" i="5"/>
  <c r="F783" i="5"/>
  <c r="E784" i="5"/>
  <c r="F784" i="5"/>
  <c r="E785" i="5"/>
  <c r="F785" i="5"/>
  <c r="E786" i="5"/>
  <c r="F786" i="5"/>
  <c r="E787" i="5"/>
  <c r="F787" i="5"/>
  <c r="E788" i="5"/>
  <c r="F788" i="5"/>
  <c r="E789" i="5"/>
  <c r="F789" i="5"/>
  <c r="E790" i="5"/>
  <c r="F790" i="5"/>
  <c r="E791" i="5"/>
  <c r="F791" i="5"/>
  <c r="E792" i="5"/>
  <c r="F792" i="5"/>
  <c r="E793" i="5"/>
  <c r="F793" i="5"/>
  <c r="E794" i="5"/>
  <c r="F794" i="5"/>
  <c r="E795" i="5"/>
  <c r="F795" i="5"/>
  <c r="E796" i="5"/>
  <c r="F796" i="5"/>
  <c r="E797" i="5"/>
  <c r="F797" i="5"/>
  <c r="E798" i="5"/>
  <c r="F798" i="5"/>
  <c r="E799" i="5"/>
  <c r="F799" i="5"/>
  <c r="E800" i="5"/>
  <c r="F800" i="5"/>
  <c r="E801" i="5"/>
  <c r="F801" i="5"/>
  <c r="E802" i="5"/>
  <c r="F802" i="5"/>
  <c r="E803" i="5"/>
  <c r="F803" i="5"/>
  <c r="E804" i="5"/>
  <c r="F804" i="5"/>
  <c r="E805" i="5"/>
  <c r="F805" i="5"/>
  <c r="E806" i="5"/>
  <c r="F806" i="5"/>
  <c r="E807" i="5"/>
  <c r="F807" i="5"/>
  <c r="E808" i="5"/>
  <c r="F808" i="5"/>
  <c r="E809" i="5"/>
  <c r="F809" i="5"/>
  <c r="E810" i="5"/>
  <c r="F810" i="5"/>
  <c r="E811" i="5"/>
  <c r="F811" i="5"/>
  <c r="E812" i="5"/>
  <c r="F812" i="5"/>
  <c r="E813" i="5"/>
  <c r="F813" i="5"/>
  <c r="E814" i="5"/>
  <c r="F814" i="5"/>
  <c r="E815" i="5"/>
  <c r="F815" i="5"/>
  <c r="E816" i="5"/>
  <c r="F816" i="5"/>
  <c r="E817" i="5"/>
  <c r="F817" i="5"/>
  <c r="E818" i="5"/>
  <c r="F818" i="5"/>
  <c r="E819" i="5"/>
  <c r="F819" i="5"/>
  <c r="E820" i="5"/>
  <c r="F820" i="5"/>
  <c r="E821" i="5"/>
  <c r="F821" i="5"/>
  <c r="E822" i="5"/>
  <c r="F822" i="5"/>
  <c r="E823" i="5"/>
  <c r="F823" i="5"/>
  <c r="E824" i="5"/>
  <c r="F824" i="5"/>
  <c r="E825" i="5"/>
  <c r="F825" i="5"/>
  <c r="E826" i="5"/>
  <c r="F826" i="5"/>
  <c r="E827" i="5"/>
  <c r="F827" i="5"/>
  <c r="E828" i="5"/>
  <c r="F828" i="5"/>
  <c r="E829" i="5"/>
  <c r="F829" i="5"/>
  <c r="E830" i="5"/>
  <c r="F830" i="5"/>
  <c r="E831" i="5"/>
  <c r="F831" i="5"/>
  <c r="E832" i="5"/>
  <c r="F832" i="5"/>
  <c r="E833" i="5"/>
  <c r="F833" i="5"/>
  <c r="E834" i="5"/>
  <c r="F834" i="5"/>
  <c r="E835" i="5"/>
  <c r="F835" i="5"/>
  <c r="E836" i="5"/>
  <c r="F836" i="5"/>
  <c r="E837" i="5"/>
  <c r="F837" i="5"/>
  <c r="E838" i="5"/>
  <c r="F838" i="5"/>
  <c r="E839" i="5"/>
  <c r="F839" i="5"/>
  <c r="E840" i="5"/>
  <c r="F840" i="5"/>
  <c r="E841" i="5"/>
  <c r="F841" i="5"/>
  <c r="E842" i="5"/>
  <c r="F842" i="5"/>
  <c r="E843" i="5"/>
  <c r="F843" i="5"/>
  <c r="E844" i="5"/>
  <c r="F844" i="5"/>
  <c r="E845" i="5"/>
  <c r="F845" i="5"/>
  <c r="E846" i="5"/>
  <c r="F846" i="5"/>
  <c r="E847" i="5"/>
  <c r="F847" i="5"/>
  <c r="E848" i="5"/>
  <c r="F848" i="5"/>
  <c r="E849" i="5"/>
  <c r="F849" i="5"/>
  <c r="E850" i="5"/>
  <c r="F850" i="5"/>
  <c r="E851" i="5"/>
  <c r="F851" i="5"/>
  <c r="E852" i="5"/>
  <c r="F852" i="5"/>
  <c r="E853" i="5"/>
  <c r="F853" i="5"/>
  <c r="E854" i="5"/>
  <c r="F854" i="5"/>
  <c r="E855" i="5"/>
  <c r="F855" i="5"/>
  <c r="E856" i="5"/>
  <c r="F856" i="5"/>
  <c r="E857" i="5"/>
  <c r="F857" i="5"/>
  <c r="E858" i="5"/>
  <c r="F858" i="5"/>
  <c r="E859" i="5"/>
  <c r="F859" i="5"/>
  <c r="E860" i="5"/>
  <c r="F860" i="5"/>
  <c r="E861" i="5"/>
  <c r="F861" i="5"/>
  <c r="E862" i="5"/>
  <c r="F862" i="5"/>
  <c r="E863" i="5"/>
  <c r="F863" i="5"/>
  <c r="E864" i="5"/>
  <c r="F864" i="5"/>
  <c r="E865" i="5"/>
  <c r="F865" i="5"/>
  <c r="E866" i="5"/>
  <c r="F866" i="5"/>
  <c r="E867" i="5"/>
  <c r="F867" i="5"/>
  <c r="E868" i="5"/>
  <c r="F868" i="5"/>
  <c r="E869" i="5"/>
  <c r="F869" i="5"/>
  <c r="E870" i="5"/>
  <c r="F870" i="5"/>
  <c r="E871" i="5"/>
  <c r="F871" i="5"/>
  <c r="E872" i="5"/>
  <c r="F872" i="5"/>
  <c r="E873" i="5"/>
  <c r="F873" i="5"/>
  <c r="E874" i="5"/>
  <c r="F874" i="5"/>
  <c r="E875" i="5"/>
  <c r="F875" i="5"/>
  <c r="E876" i="5"/>
  <c r="F876" i="5"/>
  <c r="E877" i="5"/>
  <c r="F877" i="5"/>
  <c r="E878" i="5"/>
  <c r="F878" i="5"/>
  <c r="E879" i="5"/>
  <c r="F879" i="5"/>
  <c r="E880" i="5"/>
  <c r="F880" i="5"/>
  <c r="E881" i="5"/>
  <c r="F881" i="5"/>
  <c r="E882" i="5"/>
  <c r="F882" i="5"/>
  <c r="E883" i="5"/>
  <c r="F883" i="5"/>
  <c r="E884" i="5"/>
  <c r="F884" i="5"/>
  <c r="E885" i="5"/>
  <c r="F885" i="5"/>
  <c r="E886" i="5"/>
  <c r="F886" i="5"/>
  <c r="E887" i="5"/>
  <c r="F887" i="5"/>
  <c r="E888" i="5"/>
  <c r="F888" i="5"/>
  <c r="E889" i="5"/>
  <c r="F889" i="5"/>
  <c r="E890" i="5"/>
  <c r="F890" i="5"/>
  <c r="E891" i="5"/>
  <c r="F891" i="5"/>
  <c r="E892" i="5"/>
  <c r="F892" i="5"/>
  <c r="E893" i="5"/>
  <c r="F893" i="5"/>
  <c r="E894" i="5"/>
  <c r="F894" i="5"/>
  <c r="E895" i="5"/>
  <c r="F895" i="5"/>
  <c r="E896" i="5"/>
  <c r="F896" i="5"/>
  <c r="E897" i="5"/>
  <c r="F897" i="5"/>
  <c r="E898" i="5"/>
  <c r="F898" i="5"/>
  <c r="E899" i="5"/>
  <c r="F899" i="5"/>
  <c r="E900" i="5"/>
  <c r="F900" i="5"/>
  <c r="E901" i="5"/>
  <c r="F901" i="5"/>
  <c r="E902" i="5"/>
  <c r="F902" i="5"/>
  <c r="E903" i="5"/>
  <c r="F903" i="5"/>
  <c r="E904" i="5"/>
  <c r="F904" i="5"/>
  <c r="E905" i="5"/>
  <c r="F905" i="5"/>
  <c r="E906" i="5"/>
  <c r="F906" i="5"/>
  <c r="E907" i="5"/>
  <c r="F907" i="5"/>
  <c r="E908" i="5"/>
  <c r="F908" i="5"/>
  <c r="E909" i="5"/>
  <c r="F909" i="5"/>
  <c r="E910" i="5"/>
  <c r="F910" i="5"/>
  <c r="E911" i="5"/>
  <c r="F911" i="5"/>
  <c r="E912" i="5"/>
  <c r="F912" i="5"/>
  <c r="E913" i="5"/>
  <c r="F913" i="5"/>
  <c r="E914" i="5"/>
  <c r="F914" i="5"/>
  <c r="E915" i="5"/>
  <c r="F915" i="5"/>
  <c r="E916" i="5"/>
  <c r="F916" i="5"/>
  <c r="E917" i="5"/>
  <c r="F917" i="5"/>
  <c r="E918" i="5"/>
  <c r="F918" i="5"/>
  <c r="E919" i="5"/>
  <c r="F919" i="5"/>
  <c r="E920" i="5"/>
  <c r="F920" i="5"/>
  <c r="E921" i="5"/>
  <c r="F921" i="5"/>
  <c r="E922" i="5"/>
  <c r="F922" i="5"/>
  <c r="E923" i="5"/>
  <c r="F923" i="5"/>
  <c r="E924" i="5"/>
  <c r="F924" i="5"/>
  <c r="E925" i="5"/>
  <c r="F925" i="5"/>
  <c r="E926" i="5"/>
  <c r="F926" i="5"/>
  <c r="E927" i="5"/>
  <c r="F927" i="5"/>
  <c r="E928" i="5"/>
  <c r="F928" i="5"/>
  <c r="E929" i="5"/>
  <c r="F929" i="5"/>
  <c r="E930" i="5"/>
  <c r="F930" i="5"/>
  <c r="E931" i="5"/>
  <c r="F931" i="5"/>
  <c r="E932" i="5"/>
  <c r="F932" i="5"/>
  <c r="E933" i="5"/>
  <c r="F933" i="5"/>
  <c r="E934" i="5"/>
  <c r="F934" i="5"/>
  <c r="E935" i="5"/>
  <c r="F935" i="5"/>
  <c r="E936" i="5"/>
  <c r="F936" i="5"/>
  <c r="E937" i="5"/>
  <c r="F937" i="5"/>
  <c r="E938" i="5"/>
  <c r="F938" i="5"/>
  <c r="E939" i="5"/>
  <c r="F939" i="5"/>
  <c r="E940" i="5"/>
  <c r="F940" i="5"/>
  <c r="E941" i="5"/>
  <c r="F941" i="5"/>
  <c r="E942" i="5"/>
  <c r="F942" i="5"/>
  <c r="E943" i="5"/>
  <c r="F943" i="5"/>
  <c r="E944" i="5"/>
  <c r="F944" i="5"/>
  <c r="E945" i="5"/>
  <c r="F945" i="5"/>
  <c r="E946" i="5"/>
  <c r="F946" i="5"/>
  <c r="E947" i="5"/>
  <c r="F947" i="5"/>
  <c r="E948" i="5"/>
  <c r="F948" i="5"/>
  <c r="E949" i="5"/>
  <c r="F949" i="5"/>
  <c r="E950" i="5"/>
  <c r="F950" i="5"/>
  <c r="E951" i="5"/>
  <c r="F951" i="5"/>
  <c r="E952" i="5"/>
  <c r="F952" i="5"/>
  <c r="E953" i="5"/>
  <c r="F953" i="5"/>
  <c r="E954" i="5"/>
  <c r="F954" i="5"/>
  <c r="E955" i="5"/>
  <c r="F955" i="5"/>
  <c r="E956" i="5"/>
  <c r="F956" i="5"/>
  <c r="E957" i="5"/>
  <c r="F957" i="5"/>
  <c r="E958" i="5"/>
  <c r="F958" i="5"/>
  <c r="E959" i="5"/>
  <c r="F959" i="5"/>
  <c r="E960" i="5"/>
  <c r="F960" i="5"/>
  <c r="E961" i="5"/>
  <c r="F961" i="5"/>
  <c r="E962" i="5"/>
  <c r="F962" i="5"/>
  <c r="E963" i="5"/>
  <c r="F963" i="5"/>
  <c r="E964" i="5"/>
  <c r="F964" i="5"/>
  <c r="E965" i="5"/>
  <c r="F965" i="5"/>
  <c r="E966" i="5"/>
  <c r="F966" i="5"/>
  <c r="E967" i="5"/>
  <c r="F967" i="5"/>
  <c r="E968" i="5"/>
  <c r="F968" i="5"/>
  <c r="E969" i="5"/>
  <c r="F969" i="5"/>
  <c r="E970" i="5"/>
  <c r="F970" i="5"/>
  <c r="E971" i="5"/>
  <c r="F971" i="5"/>
  <c r="E972" i="5"/>
  <c r="F972" i="5"/>
  <c r="E973" i="5"/>
  <c r="F973" i="5"/>
  <c r="E974" i="5"/>
  <c r="F974" i="5"/>
  <c r="E975" i="5"/>
  <c r="F975" i="5"/>
  <c r="E976" i="5"/>
  <c r="F976" i="5"/>
  <c r="E977" i="5"/>
  <c r="F977" i="5"/>
  <c r="E978" i="5"/>
  <c r="F978" i="5"/>
  <c r="E979" i="5"/>
  <c r="F979" i="5"/>
  <c r="E980" i="5"/>
  <c r="F980" i="5"/>
  <c r="E981" i="5"/>
  <c r="F981" i="5"/>
  <c r="E982" i="5"/>
  <c r="F982" i="5"/>
  <c r="E983" i="5"/>
  <c r="F983" i="5"/>
  <c r="E984" i="5"/>
  <c r="F984" i="5"/>
  <c r="E985" i="5"/>
  <c r="F985" i="5"/>
  <c r="E986" i="5"/>
  <c r="F986" i="5"/>
  <c r="E987" i="5"/>
  <c r="F987" i="5"/>
  <c r="E988" i="5"/>
  <c r="F988" i="5"/>
  <c r="E989" i="5"/>
  <c r="F989" i="5"/>
  <c r="E990" i="5"/>
  <c r="F990" i="5"/>
  <c r="E991" i="5"/>
  <c r="F991" i="5"/>
  <c r="E992" i="5"/>
  <c r="F992" i="5"/>
  <c r="E993" i="5"/>
  <c r="F993" i="5"/>
  <c r="E994" i="5"/>
  <c r="F994" i="5"/>
  <c r="E995" i="5"/>
  <c r="F995" i="5"/>
  <c r="E996" i="5"/>
  <c r="F996" i="5"/>
  <c r="E997" i="5"/>
  <c r="F997" i="5"/>
  <c r="E998" i="5"/>
  <c r="F998" i="5"/>
  <c r="E999" i="5"/>
  <c r="F999" i="5"/>
  <c r="E1000" i="5"/>
  <c r="F1000" i="5"/>
  <c r="E1001" i="5"/>
  <c r="F1001" i="5"/>
  <c r="E1002" i="5"/>
  <c r="F1002" i="5"/>
  <c r="E1003" i="5"/>
  <c r="F1003" i="5"/>
  <c r="E1004" i="5"/>
  <c r="F1004" i="5"/>
  <c r="E1005" i="5"/>
  <c r="F1005" i="5"/>
  <c r="E1006" i="5"/>
  <c r="F1006" i="5"/>
  <c r="E1007" i="5"/>
  <c r="F1007" i="5"/>
  <c r="E1008" i="5"/>
  <c r="F1008" i="5"/>
  <c r="E1009" i="5"/>
  <c r="F1009" i="5"/>
  <c r="E1010" i="5"/>
  <c r="F1010" i="5"/>
  <c r="E1011" i="5"/>
  <c r="F1011" i="5"/>
  <c r="E1012" i="5"/>
  <c r="F1012" i="5"/>
  <c r="E1013" i="5"/>
  <c r="F1013" i="5"/>
  <c r="E1014" i="5"/>
  <c r="F1014" i="5"/>
  <c r="E1015" i="5"/>
  <c r="F1015" i="5"/>
  <c r="E1016" i="5"/>
  <c r="F1016" i="5"/>
  <c r="E1017" i="5"/>
  <c r="F1017" i="5"/>
  <c r="E1018" i="5"/>
  <c r="F1018" i="5"/>
  <c r="E1019" i="5"/>
  <c r="F1019" i="5"/>
  <c r="E1020" i="5"/>
  <c r="F1020" i="5"/>
  <c r="E1021" i="5"/>
  <c r="F1021" i="5"/>
  <c r="E1022" i="5"/>
  <c r="F1022" i="5"/>
  <c r="E1023" i="5"/>
  <c r="F1023" i="5"/>
  <c r="E1024" i="5"/>
  <c r="F1024" i="5"/>
  <c r="E1025" i="5"/>
  <c r="F1025" i="5"/>
  <c r="E1026" i="5"/>
  <c r="F1026" i="5"/>
  <c r="E1027" i="5"/>
  <c r="F1027" i="5"/>
  <c r="E1028" i="5"/>
  <c r="F1028" i="5"/>
  <c r="E1029" i="5"/>
  <c r="F1029" i="5"/>
  <c r="E1030" i="5"/>
  <c r="F1030" i="5"/>
  <c r="E1031" i="5"/>
  <c r="F1031" i="5"/>
  <c r="E1032" i="5"/>
  <c r="F1032" i="5"/>
  <c r="E1033" i="5"/>
  <c r="F1033" i="5"/>
  <c r="E1034" i="5"/>
  <c r="F1034" i="5"/>
  <c r="E1035" i="5"/>
  <c r="F1035" i="5"/>
  <c r="E1036" i="5"/>
  <c r="F1036" i="5"/>
  <c r="E1037" i="5"/>
  <c r="F1037" i="5"/>
  <c r="E1038" i="5"/>
  <c r="F1038" i="5"/>
  <c r="E1039" i="5"/>
  <c r="F1039" i="5"/>
  <c r="E1040" i="5"/>
  <c r="F1040" i="5"/>
  <c r="E1041" i="5"/>
  <c r="F1041" i="5"/>
  <c r="E1042" i="5"/>
  <c r="F1042" i="5"/>
  <c r="E1043" i="5"/>
  <c r="F1043" i="5"/>
  <c r="E1044" i="5"/>
  <c r="F1044" i="5"/>
  <c r="E1045" i="5"/>
  <c r="F1045" i="5"/>
  <c r="E1046" i="5"/>
  <c r="F1046" i="5"/>
  <c r="E1047" i="5"/>
  <c r="F1047" i="5"/>
  <c r="E1048" i="5"/>
  <c r="F1048" i="5"/>
  <c r="E1049" i="5"/>
  <c r="F1049" i="5"/>
  <c r="E1050" i="5"/>
  <c r="F1050" i="5"/>
  <c r="E1051" i="5"/>
  <c r="F1051" i="5"/>
  <c r="E1052" i="5"/>
  <c r="F1052" i="5"/>
  <c r="E1053" i="5"/>
  <c r="F1053" i="5"/>
  <c r="E1054" i="5"/>
  <c r="F1054" i="5"/>
  <c r="E1055" i="5"/>
  <c r="F1055" i="5"/>
  <c r="E1056" i="5"/>
  <c r="F1056" i="5"/>
  <c r="E1057" i="5"/>
  <c r="F1057" i="5"/>
  <c r="E1058" i="5"/>
  <c r="F1058" i="5"/>
  <c r="E1059" i="5"/>
  <c r="F1059" i="5"/>
  <c r="E1060" i="5"/>
  <c r="F1060" i="5"/>
  <c r="E1061" i="5"/>
  <c r="F1061" i="5"/>
  <c r="E1062" i="5"/>
  <c r="F1062" i="5"/>
  <c r="E1063" i="5"/>
  <c r="F1063" i="5"/>
  <c r="E1064" i="5"/>
  <c r="F1064" i="5"/>
  <c r="E1065" i="5"/>
  <c r="F1065" i="5"/>
  <c r="E1066" i="5"/>
  <c r="F1066" i="5"/>
  <c r="E1067" i="5"/>
  <c r="F1067" i="5"/>
  <c r="E1068" i="5"/>
  <c r="F1068" i="5"/>
  <c r="E1069" i="5"/>
  <c r="F1069" i="5"/>
  <c r="E1070" i="5"/>
  <c r="F1070" i="5"/>
  <c r="E1071" i="5"/>
  <c r="F1071" i="5"/>
  <c r="E1072" i="5"/>
  <c r="F1072" i="5"/>
  <c r="E1073" i="5"/>
  <c r="F1073" i="5"/>
  <c r="E1074" i="5"/>
  <c r="F1074" i="5"/>
  <c r="E1075" i="5"/>
  <c r="F1075" i="5"/>
  <c r="E1076" i="5"/>
  <c r="F1076" i="5"/>
  <c r="E1077" i="5"/>
  <c r="F1077" i="5"/>
  <c r="E1078" i="5"/>
  <c r="F1078" i="5"/>
  <c r="E1079" i="5"/>
  <c r="F1079" i="5"/>
  <c r="E1080" i="5"/>
  <c r="F1080" i="5"/>
  <c r="E1081" i="5"/>
  <c r="F1081" i="5"/>
  <c r="E1082" i="5"/>
  <c r="F1082" i="5"/>
  <c r="E1083" i="5"/>
  <c r="F1083" i="5"/>
  <c r="E1084" i="5"/>
  <c r="F1084" i="5"/>
  <c r="E1085" i="5"/>
  <c r="F1085" i="5"/>
  <c r="E1086" i="5"/>
  <c r="F1086" i="5"/>
  <c r="E1087" i="5"/>
  <c r="F1087" i="5"/>
  <c r="E1088" i="5"/>
  <c r="F1088" i="5"/>
  <c r="E1089" i="5"/>
  <c r="F1089" i="5"/>
  <c r="E1090" i="5"/>
  <c r="F1090" i="5"/>
  <c r="E1091" i="5"/>
  <c r="F1091" i="5"/>
  <c r="E1092" i="5"/>
  <c r="F1092" i="5"/>
  <c r="E1093" i="5"/>
  <c r="F1093" i="5"/>
  <c r="E1094" i="5"/>
  <c r="F1094" i="5"/>
  <c r="E1095" i="5"/>
  <c r="F1095" i="5"/>
  <c r="E1096" i="5"/>
  <c r="F1096" i="5"/>
  <c r="E1097" i="5"/>
  <c r="F1097" i="5"/>
  <c r="E1098" i="5"/>
  <c r="F1098" i="5"/>
  <c r="E1099" i="5"/>
  <c r="F1099" i="5"/>
  <c r="E1100" i="5"/>
  <c r="F1100" i="5"/>
  <c r="E1101" i="5"/>
  <c r="F1101" i="5"/>
  <c r="E1102" i="5"/>
  <c r="F1102" i="5"/>
  <c r="E1103" i="5"/>
  <c r="F1103" i="5"/>
  <c r="E1104" i="5"/>
  <c r="F1104" i="5"/>
  <c r="E1105" i="5"/>
  <c r="F1105" i="5"/>
  <c r="E1106" i="5"/>
  <c r="F1106" i="5"/>
  <c r="E1107" i="5"/>
  <c r="F1107" i="5"/>
  <c r="E1108" i="5"/>
  <c r="F1108" i="5"/>
  <c r="E1109" i="5"/>
  <c r="F1109" i="5"/>
  <c r="E1110" i="5"/>
  <c r="F1110" i="5"/>
  <c r="E1111" i="5"/>
  <c r="F1111" i="5"/>
  <c r="E1112" i="5"/>
  <c r="F1112" i="5"/>
  <c r="E1113" i="5"/>
  <c r="F1113" i="5"/>
  <c r="E1114" i="5"/>
  <c r="F1114" i="5"/>
  <c r="E1115" i="5"/>
  <c r="F1115" i="5"/>
  <c r="E1116" i="5"/>
  <c r="F1116" i="5"/>
  <c r="E1117" i="5"/>
  <c r="F1117" i="5"/>
  <c r="E1118" i="5"/>
  <c r="F1118" i="5"/>
  <c r="E1119" i="5"/>
  <c r="F1119" i="5"/>
  <c r="E1120" i="5"/>
  <c r="F1120" i="5"/>
  <c r="E1121" i="5"/>
  <c r="F1121" i="5"/>
  <c r="E1122" i="5"/>
  <c r="F1122" i="5"/>
  <c r="E1123" i="5"/>
  <c r="F1123" i="5"/>
  <c r="E1124" i="5"/>
  <c r="F1124" i="5"/>
  <c r="E1125" i="5"/>
  <c r="F1125" i="5"/>
  <c r="E1126" i="5"/>
  <c r="F1126" i="5"/>
  <c r="E1127" i="5"/>
  <c r="F1127" i="5"/>
  <c r="E1128" i="5"/>
  <c r="F1128" i="5"/>
  <c r="E1129" i="5"/>
  <c r="F1129" i="5"/>
  <c r="E1130" i="5"/>
  <c r="F1130" i="5"/>
  <c r="E1131" i="5"/>
  <c r="F1131" i="5"/>
  <c r="E1132" i="5"/>
  <c r="F1132" i="5"/>
  <c r="E1133" i="5"/>
  <c r="F1133" i="5"/>
  <c r="E1134" i="5"/>
  <c r="F1134" i="5"/>
  <c r="E1135" i="5"/>
  <c r="F1135" i="5"/>
  <c r="E1136" i="5"/>
  <c r="F1136" i="5"/>
  <c r="E1137" i="5"/>
  <c r="F1137" i="5"/>
  <c r="E1138" i="5"/>
  <c r="F1138" i="5"/>
  <c r="E1139" i="5"/>
  <c r="F1139" i="5"/>
  <c r="E1140" i="5"/>
  <c r="F1140" i="5"/>
  <c r="E1141" i="5"/>
  <c r="F1141" i="5"/>
  <c r="E1142" i="5"/>
  <c r="F1142" i="5"/>
  <c r="E1143" i="5"/>
  <c r="F1143" i="5"/>
  <c r="E1144" i="5"/>
  <c r="F1144" i="5"/>
  <c r="E1145" i="5"/>
  <c r="F1145" i="5"/>
  <c r="E1146" i="5"/>
  <c r="F1146" i="5"/>
  <c r="E1147" i="5"/>
  <c r="F1147" i="5"/>
  <c r="E1148" i="5"/>
  <c r="F1148" i="5"/>
  <c r="E1149" i="5"/>
  <c r="F1149" i="5"/>
  <c r="E1150" i="5"/>
  <c r="F1150" i="5"/>
  <c r="E1151" i="5"/>
  <c r="F1151" i="5"/>
  <c r="E1152" i="5"/>
  <c r="F1152" i="5"/>
  <c r="E1153" i="5"/>
  <c r="F1153" i="5"/>
  <c r="E1154" i="5"/>
  <c r="F1154" i="5"/>
  <c r="E1155" i="5"/>
  <c r="F1155" i="5"/>
  <c r="E1156" i="5"/>
  <c r="F1156" i="5"/>
  <c r="E1157" i="5"/>
  <c r="F1157" i="5"/>
  <c r="E1158" i="5"/>
  <c r="F1158" i="5"/>
  <c r="E1159" i="5"/>
  <c r="F1159" i="5"/>
  <c r="E1160" i="5"/>
  <c r="F1160" i="5"/>
  <c r="E1161" i="5"/>
  <c r="F1161" i="5"/>
  <c r="E1162" i="5"/>
  <c r="F1162" i="5"/>
  <c r="E1163" i="5"/>
  <c r="F1163" i="5"/>
  <c r="E1164" i="5"/>
  <c r="F1164" i="5"/>
  <c r="E1165" i="5"/>
  <c r="F1165" i="5"/>
  <c r="E1166" i="5"/>
  <c r="F1166" i="5"/>
  <c r="E1167" i="5"/>
  <c r="F1167" i="5"/>
  <c r="E1168" i="5"/>
  <c r="F1168" i="5"/>
  <c r="E1169" i="5"/>
  <c r="F1169" i="5"/>
  <c r="E1170" i="5"/>
  <c r="F1170" i="5"/>
  <c r="E1171" i="5"/>
  <c r="F1171" i="5"/>
  <c r="E1172" i="5"/>
  <c r="F1172" i="5"/>
  <c r="E1173" i="5"/>
  <c r="F1173" i="5"/>
  <c r="E1174" i="5"/>
  <c r="F1174" i="5"/>
  <c r="E1175" i="5"/>
  <c r="F1175" i="5"/>
  <c r="E1176" i="5"/>
  <c r="F1176" i="5"/>
  <c r="E1177" i="5"/>
  <c r="F1177" i="5"/>
  <c r="E1178" i="5"/>
  <c r="F1178" i="5"/>
  <c r="E1179" i="5"/>
  <c r="F1179" i="5"/>
  <c r="E1180" i="5"/>
  <c r="F1180" i="5"/>
  <c r="E1181" i="5"/>
  <c r="F1181" i="5"/>
  <c r="E1182" i="5"/>
  <c r="F1182" i="5"/>
  <c r="E1183" i="5"/>
  <c r="F1183" i="5"/>
  <c r="E1184" i="5"/>
  <c r="F1184" i="5"/>
  <c r="E1185" i="5"/>
  <c r="F1185" i="5"/>
  <c r="E1186" i="5"/>
  <c r="F1186" i="5"/>
  <c r="E1187" i="5"/>
  <c r="F1187" i="5"/>
  <c r="E1188" i="5"/>
  <c r="F1188" i="5"/>
  <c r="E1189" i="5"/>
  <c r="F1189" i="5"/>
  <c r="E1190" i="5"/>
  <c r="F1190" i="5"/>
  <c r="E1191" i="5"/>
  <c r="F1191" i="5"/>
  <c r="E1192" i="5"/>
  <c r="F1192" i="5"/>
  <c r="E1193" i="5"/>
  <c r="F1193" i="5"/>
  <c r="E1194" i="5"/>
  <c r="F1194" i="5"/>
  <c r="E1195" i="5"/>
  <c r="F1195" i="5"/>
  <c r="E1196" i="5"/>
  <c r="F1196" i="5"/>
  <c r="E1197" i="5"/>
  <c r="F1197" i="5"/>
  <c r="E1198" i="5"/>
  <c r="F1198" i="5"/>
  <c r="E1199" i="5"/>
  <c r="F1199" i="5"/>
  <c r="E1200" i="5"/>
  <c r="F1200" i="5"/>
  <c r="E1201" i="5"/>
  <c r="F1201" i="5"/>
  <c r="E1202" i="5"/>
  <c r="F1202" i="5"/>
  <c r="E1203" i="5"/>
  <c r="F1203" i="5"/>
  <c r="E1204" i="5"/>
  <c r="F1204" i="5"/>
  <c r="E1205" i="5"/>
  <c r="F1205" i="5"/>
  <c r="E1206" i="5"/>
  <c r="F1206" i="5"/>
  <c r="E1207" i="5"/>
  <c r="F1207" i="5"/>
  <c r="E1208" i="5"/>
  <c r="F1208" i="5"/>
  <c r="E1209" i="5"/>
  <c r="F1209" i="5"/>
  <c r="E1210" i="5"/>
  <c r="F1210" i="5"/>
  <c r="E1211" i="5"/>
  <c r="F1211" i="5"/>
  <c r="E1212" i="5"/>
  <c r="F1212" i="5"/>
  <c r="E1213" i="5"/>
  <c r="F1213" i="5"/>
  <c r="E1214" i="5"/>
  <c r="F1214" i="5"/>
  <c r="E1215" i="5"/>
  <c r="F1215" i="5"/>
  <c r="E1216" i="5"/>
  <c r="F1216" i="5"/>
  <c r="E1217" i="5"/>
  <c r="F1217" i="5"/>
  <c r="E1218" i="5"/>
  <c r="F1218" i="5"/>
  <c r="E1219" i="5"/>
  <c r="F1219" i="5"/>
  <c r="E1220" i="5"/>
  <c r="F1220" i="5"/>
  <c r="E1221" i="5"/>
  <c r="F1221" i="5"/>
  <c r="E1222" i="5"/>
  <c r="F1222" i="5"/>
  <c r="E1223" i="5"/>
  <c r="F1223" i="5"/>
  <c r="E1224" i="5"/>
  <c r="F1224" i="5"/>
  <c r="E1225" i="5"/>
  <c r="F1225" i="5"/>
  <c r="E1226" i="5"/>
  <c r="F1226" i="5"/>
  <c r="E1227" i="5"/>
  <c r="F1227" i="5"/>
  <c r="E1228" i="5"/>
  <c r="F1228" i="5"/>
  <c r="E1229" i="5"/>
  <c r="F1229" i="5"/>
  <c r="E1230" i="5"/>
  <c r="F1230" i="5"/>
  <c r="E1231" i="5"/>
  <c r="F1231" i="5"/>
  <c r="E1232" i="5"/>
  <c r="F1232" i="5"/>
  <c r="E1233" i="5"/>
  <c r="F1233" i="5"/>
  <c r="E1234" i="5"/>
  <c r="F1234" i="5"/>
  <c r="E1235" i="5"/>
  <c r="F1235" i="5"/>
  <c r="E1236" i="5"/>
  <c r="F1236" i="5"/>
  <c r="E1237" i="5"/>
  <c r="F1237" i="5"/>
  <c r="E1238" i="5"/>
  <c r="F1238" i="5"/>
  <c r="E1239" i="5"/>
  <c r="F1239" i="5"/>
  <c r="E1240" i="5"/>
  <c r="F1240" i="5"/>
  <c r="E1241" i="5"/>
  <c r="F1241" i="5"/>
  <c r="E1242" i="5"/>
  <c r="F1242" i="5"/>
  <c r="E1243" i="5"/>
  <c r="F1243" i="5"/>
  <c r="E1244" i="5"/>
  <c r="F1244" i="5"/>
  <c r="E1245" i="5"/>
  <c r="F1245" i="5"/>
  <c r="E1246" i="5"/>
  <c r="F1246" i="5"/>
  <c r="E1247" i="5"/>
  <c r="F1247" i="5"/>
  <c r="E1248" i="5"/>
  <c r="F1248" i="5"/>
  <c r="E1249" i="5"/>
  <c r="F1249" i="5"/>
  <c r="E1250" i="5"/>
  <c r="F1250" i="5"/>
  <c r="E1251" i="5"/>
  <c r="F1251" i="5"/>
  <c r="E1252" i="5"/>
  <c r="F1252" i="5"/>
  <c r="E1253" i="5"/>
  <c r="F1253" i="5"/>
  <c r="E1254" i="5"/>
  <c r="F1254" i="5"/>
  <c r="E1255" i="5"/>
  <c r="F1255" i="5"/>
  <c r="E1256" i="5"/>
  <c r="F1256" i="5"/>
  <c r="E1257" i="5"/>
  <c r="F1257" i="5"/>
  <c r="E1258" i="5"/>
  <c r="F1258" i="5"/>
  <c r="E1259" i="5"/>
  <c r="F1259" i="5"/>
  <c r="E1260" i="5"/>
  <c r="F1260" i="5"/>
  <c r="E1261" i="5"/>
  <c r="F1261" i="5"/>
  <c r="E1262" i="5"/>
  <c r="F1262" i="5"/>
  <c r="E1263" i="5"/>
  <c r="F1263" i="5"/>
  <c r="E1264" i="5"/>
  <c r="F1264" i="5"/>
  <c r="E1265" i="5"/>
  <c r="F1265" i="5"/>
  <c r="E1266" i="5"/>
  <c r="F1266" i="5"/>
  <c r="E1267" i="5"/>
  <c r="F1267" i="5"/>
  <c r="E1268" i="5"/>
  <c r="F1268" i="5"/>
  <c r="E1269" i="5"/>
  <c r="F1269" i="5"/>
  <c r="E1270" i="5"/>
  <c r="F1270" i="5"/>
  <c r="E1271" i="5"/>
  <c r="F1271" i="5"/>
  <c r="E1272" i="5"/>
  <c r="F1272" i="5"/>
  <c r="E1273" i="5"/>
  <c r="F1273" i="5"/>
  <c r="E1274" i="5"/>
  <c r="F1274" i="5"/>
  <c r="E1275" i="5"/>
  <c r="F1275" i="5"/>
  <c r="E1276" i="5"/>
  <c r="F1276" i="5"/>
  <c r="E1277" i="5"/>
  <c r="F1277" i="5"/>
  <c r="E1278" i="5"/>
  <c r="F1278" i="5"/>
  <c r="E1279" i="5"/>
  <c r="F1279" i="5"/>
  <c r="E1280" i="5"/>
  <c r="F1280" i="5"/>
  <c r="E1281" i="5"/>
  <c r="F1281" i="5"/>
  <c r="E1282" i="5"/>
  <c r="F1282" i="5"/>
  <c r="E1283" i="5"/>
  <c r="F1283" i="5"/>
  <c r="E1284" i="5"/>
  <c r="F1284" i="5"/>
  <c r="E1285" i="5"/>
  <c r="F1285" i="5"/>
  <c r="E1286" i="5"/>
  <c r="F1286" i="5"/>
  <c r="E1287" i="5"/>
  <c r="F1287" i="5"/>
  <c r="E1288" i="5"/>
  <c r="F1288" i="5"/>
  <c r="E1289" i="5"/>
  <c r="F1289" i="5"/>
  <c r="E1290" i="5"/>
  <c r="F1290" i="5"/>
  <c r="E1291" i="5"/>
  <c r="F1291" i="5"/>
  <c r="E1292" i="5"/>
  <c r="F1292" i="5"/>
  <c r="E1293" i="5"/>
  <c r="F1293" i="5"/>
  <c r="E1294" i="5"/>
  <c r="F1294" i="5"/>
  <c r="E1295" i="5"/>
  <c r="F1295" i="5"/>
  <c r="E1296" i="5"/>
  <c r="F1296" i="5"/>
  <c r="E1297" i="5"/>
  <c r="F1297" i="5"/>
  <c r="E1298" i="5"/>
  <c r="F1298" i="5"/>
  <c r="E1299" i="5"/>
  <c r="F1299" i="5"/>
  <c r="E1300" i="5"/>
  <c r="F1300" i="5"/>
  <c r="E1301" i="5"/>
  <c r="F1301" i="5"/>
  <c r="E1302" i="5"/>
  <c r="F1302" i="5"/>
  <c r="E1303" i="5"/>
  <c r="F1303" i="5"/>
  <c r="E1304" i="5"/>
  <c r="F1304" i="5"/>
  <c r="E1305" i="5"/>
  <c r="F1305" i="5"/>
  <c r="E1306" i="5"/>
  <c r="F1306" i="5"/>
  <c r="E1307" i="5"/>
  <c r="F1307" i="5"/>
  <c r="E1308" i="5"/>
  <c r="F1308" i="5"/>
  <c r="E1309" i="5"/>
  <c r="F1309" i="5"/>
  <c r="E1310" i="5"/>
  <c r="F1310" i="5"/>
  <c r="E1311" i="5"/>
  <c r="F1311" i="5"/>
  <c r="E1312" i="5"/>
  <c r="F1312" i="5"/>
  <c r="E1313" i="5"/>
  <c r="F1313" i="5"/>
  <c r="E1314" i="5"/>
  <c r="F1314" i="5"/>
  <c r="E1315" i="5"/>
  <c r="F1315" i="5"/>
  <c r="E1316" i="5"/>
  <c r="F1316" i="5"/>
  <c r="E1317" i="5"/>
  <c r="F1317" i="5"/>
  <c r="E1318" i="5"/>
  <c r="F1318" i="5"/>
  <c r="E1319" i="5"/>
  <c r="F1319" i="5"/>
  <c r="E1320" i="5"/>
  <c r="F1320" i="5"/>
  <c r="E1321" i="5"/>
  <c r="F1321" i="5"/>
  <c r="E1322" i="5"/>
  <c r="F1322" i="5"/>
  <c r="E1323" i="5"/>
  <c r="F1323" i="5"/>
  <c r="E1324" i="5"/>
  <c r="F1324" i="5"/>
  <c r="E1325" i="5"/>
  <c r="F1325" i="5"/>
  <c r="E1326" i="5"/>
  <c r="F1326" i="5"/>
  <c r="E1327" i="5"/>
  <c r="F1327" i="5"/>
  <c r="E1328" i="5"/>
  <c r="F1328" i="5"/>
  <c r="E1329" i="5"/>
  <c r="F1329" i="5"/>
  <c r="E1330" i="5"/>
  <c r="F1330" i="5"/>
  <c r="E1331" i="5"/>
  <c r="F1331" i="5"/>
  <c r="E1332" i="5"/>
  <c r="F1332" i="5"/>
  <c r="E1333" i="5"/>
  <c r="F1333" i="5"/>
  <c r="E1334" i="5"/>
  <c r="F1334" i="5"/>
  <c r="E1335" i="5"/>
  <c r="F1335" i="5"/>
  <c r="E1336" i="5"/>
  <c r="F1336" i="5"/>
  <c r="E1337" i="5"/>
  <c r="F1337" i="5"/>
  <c r="E1338" i="5"/>
  <c r="F1338" i="5"/>
  <c r="E1339" i="5"/>
  <c r="F1339" i="5"/>
  <c r="E1340" i="5"/>
  <c r="F1340" i="5"/>
  <c r="E1341" i="5"/>
  <c r="F1341" i="5"/>
  <c r="E1342" i="5"/>
  <c r="F1342" i="5"/>
  <c r="E1343" i="5"/>
  <c r="F1343" i="5"/>
  <c r="E1344" i="5"/>
  <c r="F1344" i="5"/>
  <c r="E1345" i="5"/>
  <c r="F1345" i="5"/>
  <c r="E1346" i="5"/>
  <c r="F1346" i="5"/>
  <c r="E1347" i="5"/>
  <c r="F1347" i="5"/>
  <c r="E1348" i="5"/>
  <c r="F1348" i="5"/>
  <c r="E1349" i="5"/>
  <c r="F1349" i="5"/>
  <c r="E1350" i="5"/>
  <c r="F1350" i="5"/>
  <c r="E1351" i="5"/>
  <c r="F1351" i="5"/>
  <c r="E1352" i="5"/>
  <c r="F1352" i="5"/>
  <c r="E1353" i="5"/>
  <c r="F1353" i="5"/>
  <c r="E1354" i="5"/>
  <c r="F1354" i="5"/>
  <c r="E1355" i="5"/>
  <c r="F1355" i="5"/>
  <c r="E1356" i="5"/>
  <c r="F1356" i="5"/>
  <c r="E1357" i="5"/>
  <c r="F1357" i="5"/>
  <c r="E1358" i="5"/>
  <c r="F1358" i="5"/>
  <c r="E1359" i="5"/>
  <c r="F1359" i="5"/>
  <c r="E1360" i="5"/>
  <c r="F1360" i="5"/>
  <c r="E1361" i="5"/>
  <c r="F1361" i="5"/>
  <c r="E1362" i="5"/>
  <c r="F1362" i="5"/>
  <c r="E1363" i="5"/>
  <c r="F1363" i="5"/>
  <c r="E1364" i="5"/>
  <c r="F1364" i="5"/>
  <c r="E1365" i="5"/>
  <c r="F1365" i="5"/>
  <c r="E1366" i="5"/>
  <c r="F1366" i="5"/>
  <c r="E1367" i="5"/>
  <c r="F1367" i="5"/>
  <c r="E1368" i="5"/>
  <c r="F1368" i="5"/>
  <c r="E1369" i="5"/>
  <c r="F1369" i="5"/>
  <c r="E1370" i="5"/>
  <c r="F1370" i="5"/>
  <c r="E1371" i="5"/>
  <c r="F1371" i="5"/>
  <c r="E1372" i="5"/>
  <c r="F1372" i="5"/>
  <c r="E1373" i="5"/>
  <c r="F1373" i="5"/>
  <c r="E1374" i="5"/>
  <c r="F1374" i="5"/>
  <c r="E1375" i="5"/>
  <c r="F1375" i="5"/>
  <c r="E1376" i="5"/>
  <c r="F1376" i="5"/>
  <c r="E1377" i="5"/>
  <c r="F1377" i="5"/>
  <c r="E1378" i="5"/>
  <c r="F1378" i="5"/>
  <c r="E1379" i="5"/>
  <c r="F1379" i="5"/>
  <c r="E1380" i="5"/>
  <c r="F1380" i="5"/>
  <c r="E1381" i="5"/>
  <c r="F1381" i="5"/>
  <c r="E1382" i="5"/>
  <c r="F1382" i="5"/>
  <c r="E1383" i="5"/>
  <c r="F1383" i="5"/>
  <c r="E1384" i="5"/>
  <c r="F1384" i="5"/>
  <c r="E1385" i="5"/>
  <c r="F1385" i="5"/>
  <c r="E1386" i="5"/>
  <c r="F1386" i="5"/>
  <c r="E1387" i="5"/>
  <c r="F1387" i="5"/>
  <c r="E1388" i="5"/>
  <c r="F1388" i="5"/>
  <c r="E1389" i="5"/>
  <c r="F1389" i="5"/>
  <c r="E1390" i="5"/>
  <c r="F1390" i="5"/>
  <c r="E1391" i="5"/>
  <c r="F1391" i="5"/>
  <c r="E1392" i="5"/>
  <c r="F1392" i="5"/>
  <c r="E1393" i="5"/>
  <c r="F1393" i="5"/>
  <c r="E1394" i="5"/>
  <c r="F1394" i="5"/>
  <c r="E1395" i="5"/>
  <c r="F1395" i="5"/>
  <c r="E1396" i="5"/>
  <c r="F1396" i="5"/>
  <c r="E1397" i="5"/>
  <c r="F1397" i="5"/>
  <c r="E1398" i="5"/>
  <c r="F1398" i="5"/>
  <c r="E1399" i="5"/>
  <c r="F1399" i="5"/>
  <c r="E1400" i="5"/>
  <c r="F1400" i="5"/>
  <c r="E1401" i="5"/>
  <c r="F1401" i="5"/>
  <c r="E1402" i="5"/>
  <c r="F1402" i="5"/>
  <c r="E1403" i="5"/>
  <c r="F1403" i="5"/>
  <c r="E1404" i="5"/>
  <c r="F1404" i="5"/>
  <c r="E1405" i="5"/>
  <c r="F1405" i="5"/>
  <c r="E1406" i="5"/>
  <c r="F1406" i="5"/>
  <c r="E1407" i="5"/>
  <c r="F1407" i="5"/>
  <c r="E1408" i="5"/>
  <c r="F1408" i="5"/>
  <c r="E1409" i="5"/>
  <c r="F1409" i="5"/>
  <c r="E1410" i="5"/>
  <c r="F1410" i="5"/>
  <c r="E1411" i="5"/>
  <c r="F1411" i="5"/>
  <c r="E1412" i="5"/>
  <c r="F1412" i="5"/>
  <c r="E1413" i="5"/>
  <c r="F1413" i="5"/>
  <c r="E1414" i="5"/>
  <c r="F1414" i="5"/>
  <c r="E1415" i="5"/>
  <c r="F1415" i="5"/>
  <c r="E1416" i="5"/>
  <c r="F1416" i="5"/>
  <c r="E1417" i="5"/>
  <c r="F1417" i="5"/>
  <c r="E1418" i="5"/>
  <c r="F1418" i="5"/>
  <c r="E1419" i="5"/>
  <c r="F1419" i="5"/>
  <c r="E1420" i="5"/>
  <c r="F1420" i="5"/>
  <c r="E1421" i="5"/>
  <c r="F1421" i="5"/>
  <c r="E1422" i="5"/>
  <c r="F1422" i="5"/>
  <c r="E1423" i="5"/>
  <c r="F1423" i="5"/>
  <c r="E1424" i="5"/>
  <c r="F1424" i="5"/>
  <c r="E1425" i="5"/>
  <c r="F1425" i="5"/>
  <c r="E1426" i="5"/>
  <c r="F1426" i="5"/>
  <c r="E1427" i="5"/>
  <c r="F1427" i="5"/>
  <c r="E1428" i="5"/>
  <c r="F1428" i="5"/>
  <c r="E1429" i="5"/>
  <c r="F1429" i="5"/>
  <c r="E1430" i="5"/>
  <c r="F1430" i="5"/>
  <c r="E1431" i="5"/>
  <c r="F1431" i="5"/>
  <c r="E1432" i="5"/>
  <c r="F1432" i="5"/>
  <c r="E1433" i="5"/>
  <c r="F1433" i="5"/>
  <c r="E1434" i="5"/>
  <c r="F1434" i="5"/>
  <c r="E1435" i="5"/>
  <c r="F1435" i="5"/>
  <c r="E1436" i="5"/>
  <c r="F1436" i="5"/>
  <c r="E1437" i="5"/>
  <c r="F1437" i="5"/>
  <c r="E1438" i="5"/>
  <c r="F1438" i="5"/>
  <c r="E1439" i="5"/>
  <c r="F1439" i="5"/>
  <c r="E1440" i="5"/>
  <c r="F1440" i="5"/>
  <c r="E1441" i="5"/>
  <c r="F1441" i="5"/>
  <c r="E1442" i="5"/>
  <c r="F1442" i="5"/>
  <c r="E1443" i="5"/>
  <c r="F1443" i="5"/>
  <c r="E1444" i="5"/>
  <c r="F1444" i="5"/>
  <c r="E1445" i="5"/>
  <c r="F1445" i="5"/>
  <c r="E1446" i="5"/>
  <c r="F1446" i="5"/>
  <c r="E1447" i="5"/>
  <c r="F1447" i="5"/>
  <c r="E1448" i="5"/>
  <c r="F1448" i="5"/>
  <c r="E1449" i="5"/>
  <c r="F1449" i="5"/>
  <c r="E1450" i="5"/>
  <c r="F1450" i="5"/>
  <c r="E1451" i="5"/>
  <c r="F1451" i="5"/>
  <c r="E1452" i="5"/>
  <c r="F1452" i="5"/>
  <c r="E1453" i="5"/>
  <c r="F1453" i="5"/>
  <c r="E1454" i="5"/>
  <c r="F1454" i="5"/>
  <c r="E1455" i="5"/>
  <c r="F1455" i="5"/>
  <c r="E1456" i="5"/>
  <c r="F1456" i="5"/>
  <c r="E1457" i="5"/>
  <c r="F1457" i="5"/>
  <c r="E1458" i="5"/>
  <c r="F1458" i="5"/>
  <c r="E1459" i="5"/>
  <c r="F1459" i="5"/>
  <c r="E1460" i="5"/>
  <c r="F1460" i="5"/>
  <c r="E1461" i="5"/>
  <c r="F1461" i="5"/>
  <c r="E1462" i="5"/>
  <c r="F1462" i="5"/>
  <c r="E1463" i="5"/>
  <c r="F1463" i="5"/>
  <c r="E1464" i="5"/>
  <c r="F1464" i="5"/>
  <c r="E1465" i="5"/>
  <c r="F1465" i="5"/>
  <c r="E1466" i="5"/>
  <c r="F1466" i="5"/>
  <c r="E1467" i="5"/>
  <c r="F1467" i="5"/>
  <c r="E1468" i="5"/>
  <c r="F1468" i="5"/>
  <c r="E1469" i="5"/>
  <c r="F1469" i="5"/>
  <c r="E1470" i="5"/>
  <c r="F1470" i="5"/>
  <c r="E1471" i="5"/>
  <c r="F1471" i="5"/>
  <c r="E1472" i="5"/>
  <c r="F1472" i="5"/>
  <c r="E1473" i="5"/>
  <c r="F1473" i="5"/>
  <c r="E1474" i="5"/>
  <c r="F1474" i="5"/>
  <c r="E1475" i="5"/>
  <c r="F1475" i="5"/>
  <c r="E1476" i="5"/>
  <c r="F1476" i="5"/>
  <c r="E1477" i="5"/>
  <c r="F1477" i="5"/>
  <c r="E1478" i="5"/>
  <c r="F1478" i="5"/>
  <c r="E1479" i="5"/>
  <c r="F1479" i="5"/>
  <c r="E1480" i="5"/>
  <c r="F1480" i="5"/>
  <c r="E1481" i="5"/>
  <c r="F1481" i="5"/>
  <c r="E1482" i="5"/>
  <c r="F1482" i="5"/>
  <c r="E1483" i="5"/>
  <c r="F1483" i="5"/>
  <c r="E1484" i="5"/>
  <c r="F1484" i="5"/>
  <c r="E1485" i="5"/>
  <c r="F1485" i="5"/>
  <c r="E1486" i="5"/>
  <c r="F1486" i="5"/>
  <c r="E1487" i="5"/>
  <c r="F1487" i="5"/>
  <c r="E1488" i="5"/>
  <c r="F1488" i="5"/>
  <c r="E1489" i="5"/>
  <c r="F1489" i="5"/>
  <c r="E1490" i="5"/>
  <c r="F1490" i="5"/>
  <c r="E1491" i="5"/>
  <c r="F1491" i="5"/>
  <c r="E1492" i="5"/>
  <c r="F1492" i="5"/>
  <c r="E1493" i="5"/>
  <c r="F1493" i="5"/>
  <c r="E1494" i="5"/>
  <c r="F1494" i="5"/>
  <c r="E1495" i="5"/>
  <c r="F1495" i="5"/>
  <c r="E1496" i="5"/>
  <c r="F1496" i="5"/>
  <c r="E1497" i="5"/>
  <c r="F1497" i="5"/>
  <c r="E1498" i="5"/>
  <c r="F1498" i="5"/>
  <c r="E1499" i="5"/>
  <c r="F1499" i="5"/>
  <c r="E1500" i="5"/>
  <c r="F1500" i="5"/>
  <c r="E1501" i="5"/>
  <c r="F1501" i="5"/>
  <c r="E1502" i="5"/>
  <c r="F1502" i="5"/>
  <c r="E1503" i="5"/>
  <c r="F1503" i="5"/>
  <c r="E1504" i="5"/>
  <c r="F1504" i="5"/>
  <c r="E1505" i="5"/>
  <c r="F1505" i="5"/>
  <c r="E1506" i="5"/>
  <c r="F1506" i="5"/>
  <c r="E1507" i="5"/>
  <c r="F1507" i="5"/>
  <c r="E1508" i="5"/>
  <c r="F1508" i="5"/>
  <c r="E1509" i="5"/>
  <c r="F1509" i="5"/>
  <c r="E1510" i="5"/>
  <c r="F1510" i="5"/>
  <c r="E1511" i="5"/>
  <c r="F1511" i="5"/>
  <c r="E1512" i="5"/>
  <c r="F1512" i="5"/>
  <c r="E1513" i="5"/>
  <c r="F1513" i="5"/>
  <c r="E1514" i="5"/>
  <c r="F1514" i="5"/>
  <c r="E1515" i="5"/>
  <c r="F1515" i="5"/>
  <c r="E1516" i="5"/>
  <c r="F1516" i="5"/>
  <c r="E1517" i="5"/>
  <c r="F1517" i="5"/>
  <c r="E1518" i="5"/>
  <c r="F1518" i="5"/>
  <c r="E1519" i="5"/>
  <c r="F1519" i="5"/>
  <c r="E1520" i="5"/>
  <c r="F1520" i="5"/>
  <c r="E1521" i="5"/>
  <c r="F1521" i="5"/>
  <c r="E1522" i="5"/>
  <c r="F1522" i="5"/>
  <c r="E1523" i="5"/>
  <c r="F1523" i="5"/>
  <c r="E1524" i="5"/>
  <c r="F1524" i="5"/>
  <c r="E1525" i="5"/>
  <c r="F1525" i="5"/>
  <c r="E1526" i="5"/>
  <c r="F1526" i="5"/>
  <c r="E1527" i="5"/>
  <c r="F1527" i="5"/>
  <c r="E1528" i="5"/>
  <c r="F1528" i="5"/>
  <c r="E1529" i="5"/>
  <c r="F1529" i="5"/>
  <c r="E1530" i="5"/>
  <c r="F1530" i="5"/>
  <c r="E1531" i="5"/>
  <c r="F1531" i="5"/>
  <c r="E1532" i="5"/>
  <c r="F1532" i="5"/>
  <c r="E1533" i="5"/>
  <c r="F1533" i="5"/>
  <c r="E1534" i="5"/>
  <c r="F1534" i="5"/>
  <c r="E1535" i="5"/>
  <c r="F1535" i="5"/>
  <c r="E1536" i="5"/>
  <c r="F1536" i="5"/>
  <c r="E1537" i="5"/>
  <c r="F1537" i="5"/>
  <c r="E1538" i="5"/>
  <c r="F1538" i="5"/>
  <c r="E1539" i="5"/>
  <c r="F1539" i="5"/>
  <c r="E1540" i="5"/>
  <c r="F1540" i="5"/>
  <c r="E1541" i="5"/>
  <c r="F1541" i="5"/>
  <c r="E1542" i="5"/>
  <c r="F1542" i="5"/>
  <c r="E1543" i="5"/>
  <c r="F1543" i="5"/>
  <c r="E1544" i="5"/>
  <c r="F1544" i="5"/>
  <c r="E1545" i="5"/>
  <c r="F1545" i="5"/>
  <c r="E1546" i="5"/>
  <c r="F1546" i="5"/>
  <c r="E1547" i="5"/>
  <c r="F1547" i="5"/>
  <c r="E1548" i="5"/>
  <c r="F1548" i="5"/>
  <c r="E1549" i="5"/>
  <c r="F1549" i="5"/>
  <c r="E1550" i="5"/>
  <c r="F1550" i="5"/>
  <c r="E1551" i="5"/>
  <c r="F1551" i="5"/>
  <c r="E1552" i="5"/>
  <c r="F1552" i="5"/>
  <c r="E1553" i="5"/>
  <c r="F1553" i="5"/>
  <c r="E1554" i="5"/>
  <c r="F1554" i="5"/>
  <c r="E1555" i="5"/>
  <c r="F1555" i="5"/>
  <c r="E1556" i="5"/>
  <c r="F1556" i="5"/>
  <c r="E1557" i="5"/>
  <c r="F1557" i="5"/>
  <c r="E1558" i="5"/>
  <c r="F1558" i="5"/>
  <c r="E1559" i="5"/>
  <c r="F1559" i="5"/>
  <c r="E1560" i="5"/>
  <c r="F1560" i="5"/>
  <c r="E1561" i="5"/>
  <c r="F1561" i="5"/>
  <c r="E1562" i="5"/>
  <c r="F1562" i="5"/>
  <c r="E1563" i="5"/>
  <c r="F1563" i="5"/>
  <c r="E1564" i="5"/>
  <c r="F1564" i="5"/>
  <c r="E1565" i="5"/>
  <c r="F1565" i="5"/>
  <c r="E1566" i="5"/>
  <c r="F1566" i="5"/>
  <c r="E1567" i="5"/>
  <c r="F1567" i="5"/>
  <c r="E1568" i="5"/>
  <c r="F1568" i="5"/>
  <c r="E1569" i="5"/>
  <c r="F1569" i="5"/>
  <c r="E1570" i="5"/>
  <c r="F1570" i="5"/>
  <c r="E1571" i="5"/>
  <c r="F1571" i="5"/>
  <c r="E1572" i="5"/>
  <c r="F1572" i="5"/>
  <c r="E1573" i="5"/>
  <c r="F1573" i="5"/>
  <c r="E1574" i="5"/>
  <c r="F1574" i="5"/>
  <c r="E1575" i="5"/>
  <c r="F1575" i="5"/>
  <c r="E1576" i="5"/>
  <c r="F1576" i="5"/>
  <c r="E1577" i="5"/>
  <c r="F1577" i="5"/>
  <c r="E1578" i="5"/>
  <c r="F1578" i="5"/>
  <c r="E1579" i="5"/>
  <c r="F1579" i="5"/>
  <c r="E1580" i="5"/>
  <c r="F1580" i="5"/>
  <c r="E1581" i="5"/>
  <c r="F1581" i="5"/>
  <c r="E1582" i="5"/>
  <c r="F1582" i="5"/>
  <c r="E1583" i="5"/>
  <c r="F1583" i="5"/>
  <c r="E1584" i="5"/>
  <c r="F1584" i="5"/>
  <c r="E1585" i="5"/>
  <c r="F1585" i="5"/>
  <c r="E1586" i="5"/>
  <c r="F1586" i="5"/>
  <c r="E1587" i="5"/>
  <c r="F1587" i="5"/>
  <c r="E1588" i="5"/>
  <c r="F1588" i="5"/>
  <c r="E1589" i="5"/>
  <c r="F1589" i="5"/>
  <c r="E1590" i="5"/>
  <c r="F1590" i="5"/>
  <c r="E1591" i="5"/>
  <c r="F1591" i="5"/>
  <c r="E1592" i="5"/>
  <c r="F1592" i="5"/>
  <c r="E1593" i="5"/>
  <c r="F1593" i="5"/>
  <c r="E1594" i="5"/>
  <c r="F1594" i="5"/>
  <c r="E1595" i="5"/>
  <c r="F1595" i="5"/>
  <c r="E1596" i="5"/>
  <c r="F1596" i="5"/>
  <c r="E1597" i="5"/>
  <c r="F1597" i="5"/>
  <c r="E1598" i="5"/>
  <c r="F1598" i="5"/>
  <c r="E1599" i="5"/>
  <c r="F1599" i="5"/>
  <c r="E1600" i="5"/>
  <c r="F1600" i="5"/>
  <c r="E1601" i="5"/>
  <c r="F1601" i="5"/>
  <c r="E1602" i="5"/>
  <c r="F1602" i="5"/>
  <c r="E1603" i="5"/>
  <c r="F1603" i="5"/>
  <c r="E1604" i="5"/>
  <c r="F1604" i="5"/>
  <c r="E1605" i="5"/>
  <c r="F1605" i="5"/>
  <c r="E1606" i="5"/>
  <c r="F1606" i="5"/>
  <c r="E1607" i="5"/>
  <c r="F1607" i="5"/>
  <c r="E1608" i="5"/>
  <c r="F1608" i="5"/>
  <c r="E1609" i="5"/>
  <c r="F1609" i="5"/>
  <c r="E1610" i="5"/>
  <c r="F1610" i="5"/>
  <c r="E1611" i="5"/>
  <c r="F1611" i="5"/>
  <c r="E1612" i="5"/>
  <c r="F1612" i="5"/>
  <c r="E1613" i="5"/>
  <c r="F1613" i="5"/>
  <c r="E1614" i="5"/>
  <c r="F1614" i="5"/>
  <c r="E1615" i="5"/>
  <c r="F1615" i="5"/>
  <c r="E1616" i="5"/>
  <c r="F1616" i="5"/>
  <c r="E1617" i="5"/>
  <c r="F1617" i="5"/>
  <c r="E1618" i="5"/>
  <c r="F1618" i="5"/>
  <c r="E1619" i="5"/>
  <c r="F1619" i="5"/>
  <c r="E1620" i="5"/>
  <c r="F1620" i="5"/>
  <c r="E1621" i="5"/>
  <c r="F1621" i="5"/>
  <c r="E1622" i="5"/>
  <c r="F1622" i="5"/>
  <c r="E1623" i="5"/>
  <c r="F1623" i="5"/>
  <c r="E1624" i="5"/>
  <c r="F1624" i="5"/>
  <c r="E1625" i="5"/>
  <c r="F1625" i="5"/>
  <c r="E1626" i="5"/>
  <c r="F1626" i="5"/>
  <c r="E1627" i="5"/>
  <c r="F1627" i="5"/>
  <c r="E1628" i="5"/>
  <c r="F1628" i="5"/>
  <c r="E1629" i="5"/>
  <c r="F1629" i="5"/>
  <c r="E1630" i="5"/>
  <c r="F1630" i="5"/>
  <c r="E1631" i="5"/>
  <c r="F1631" i="5"/>
  <c r="E1632" i="5"/>
  <c r="F1632" i="5"/>
  <c r="E1633" i="5"/>
  <c r="F1633" i="5"/>
  <c r="E1634" i="5"/>
  <c r="F1634" i="5"/>
  <c r="E1635" i="5"/>
  <c r="F1635" i="5"/>
  <c r="E1636" i="5"/>
  <c r="F1636" i="5"/>
  <c r="E1637" i="5"/>
  <c r="F1637" i="5"/>
  <c r="E1638" i="5"/>
  <c r="F1638" i="5"/>
  <c r="E1639" i="5"/>
  <c r="F1639" i="5"/>
  <c r="E1640" i="5"/>
  <c r="F1640" i="5"/>
  <c r="E1641" i="5"/>
  <c r="F1641" i="5"/>
  <c r="E1642" i="5"/>
  <c r="F1642" i="5"/>
  <c r="E1643" i="5"/>
  <c r="F1643" i="5"/>
  <c r="E1644" i="5"/>
  <c r="F1644" i="5"/>
  <c r="E1645" i="5"/>
  <c r="F1645" i="5"/>
  <c r="E1646" i="5"/>
  <c r="F1646" i="5"/>
  <c r="E1647" i="5"/>
  <c r="F1647" i="5"/>
  <c r="E1648" i="5"/>
  <c r="F1648" i="5"/>
  <c r="E1649" i="5"/>
  <c r="F1649" i="5"/>
  <c r="E1650" i="5"/>
  <c r="F1650" i="5"/>
  <c r="E1651" i="5"/>
  <c r="F1651" i="5"/>
  <c r="E1652" i="5"/>
  <c r="F1652" i="5"/>
  <c r="E1653" i="5"/>
  <c r="F1653" i="5"/>
  <c r="E1654" i="5"/>
  <c r="F1654" i="5"/>
  <c r="E1655" i="5"/>
  <c r="F1655" i="5"/>
  <c r="E1656" i="5"/>
  <c r="F1656" i="5"/>
  <c r="E1657" i="5"/>
  <c r="F1657" i="5"/>
  <c r="E1658" i="5"/>
  <c r="F1658" i="5"/>
  <c r="E1659" i="5"/>
  <c r="F1659" i="5"/>
  <c r="E1660" i="5"/>
  <c r="F1660" i="5"/>
  <c r="E1661" i="5"/>
  <c r="F1661" i="5"/>
  <c r="E1662" i="5"/>
  <c r="F1662" i="5"/>
  <c r="E1663" i="5"/>
  <c r="F1663" i="5"/>
  <c r="E1664" i="5"/>
  <c r="F1664" i="5"/>
  <c r="E1665" i="5"/>
  <c r="F1665" i="5"/>
  <c r="E1666" i="5"/>
  <c r="F1666" i="5"/>
  <c r="E1667" i="5"/>
  <c r="F1667" i="5"/>
  <c r="E1668" i="5"/>
  <c r="F1668" i="5"/>
  <c r="E1669" i="5"/>
  <c r="F1669" i="5"/>
  <c r="E1670" i="5"/>
  <c r="F1670" i="5"/>
  <c r="E1671" i="5"/>
  <c r="F1671" i="5"/>
  <c r="E1672" i="5"/>
  <c r="F1672" i="5"/>
  <c r="E1673" i="5"/>
  <c r="F1673" i="5"/>
  <c r="E1674" i="5"/>
  <c r="F1674" i="5"/>
  <c r="E1675" i="5"/>
  <c r="F1675" i="5"/>
  <c r="E1676" i="5"/>
  <c r="F1676" i="5"/>
  <c r="E1677" i="5"/>
  <c r="F1677" i="5"/>
  <c r="E1678" i="5"/>
  <c r="F1678" i="5"/>
  <c r="E1679" i="5"/>
  <c r="F1679" i="5"/>
  <c r="E1680" i="5"/>
  <c r="F1680" i="5"/>
  <c r="E1681" i="5"/>
  <c r="F1681" i="5"/>
  <c r="E1682" i="5"/>
  <c r="F1682" i="5"/>
  <c r="E1683" i="5"/>
  <c r="F1683" i="5"/>
  <c r="E1684" i="5"/>
  <c r="F1684" i="5"/>
  <c r="E1685" i="5"/>
  <c r="F1685" i="5"/>
  <c r="E1686" i="5"/>
  <c r="F1686" i="5"/>
  <c r="E1687" i="5"/>
  <c r="F1687" i="5"/>
  <c r="E1688" i="5"/>
  <c r="F1688" i="5"/>
  <c r="E1689" i="5"/>
  <c r="F1689" i="5"/>
  <c r="E1690" i="5"/>
  <c r="F1690" i="5"/>
  <c r="E1691" i="5"/>
  <c r="F1691" i="5"/>
  <c r="E1692" i="5"/>
  <c r="F1692" i="5"/>
  <c r="E1693" i="5"/>
  <c r="F1693" i="5"/>
  <c r="E1694" i="5"/>
  <c r="F1694" i="5"/>
  <c r="E1695" i="5"/>
  <c r="F1695" i="5"/>
  <c r="E1696" i="5"/>
  <c r="F1696" i="5"/>
  <c r="E1697" i="5"/>
  <c r="F1697" i="5"/>
  <c r="E1698" i="5"/>
  <c r="F1698" i="5"/>
  <c r="E1699" i="5"/>
  <c r="F1699" i="5"/>
  <c r="E1700" i="5"/>
  <c r="F1700" i="5"/>
  <c r="E1701" i="5"/>
  <c r="F1701" i="5"/>
  <c r="E1702" i="5"/>
  <c r="F1702" i="5"/>
  <c r="E1703" i="5"/>
  <c r="F1703" i="5"/>
  <c r="E1704" i="5"/>
  <c r="F1704" i="5"/>
  <c r="E1705" i="5"/>
  <c r="F1705" i="5"/>
  <c r="E1706" i="5"/>
  <c r="F1706" i="5"/>
  <c r="E1707" i="5"/>
  <c r="F1707" i="5"/>
  <c r="E1708" i="5"/>
  <c r="F1708" i="5"/>
  <c r="E1709" i="5"/>
  <c r="F1709" i="5"/>
  <c r="E1710" i="5"/>
  <c r="F1710" i="5"/>
  <c r="E1711" i="5"/>
  <c r="F1711" i="5"/>
  <c r="E1712" i="5"/>
  <c r="F1712" i="5"/>
  <c r="E1713" i="5"/>
  <c r="F1713" i="5"/>
  <c r="E1714" i="5"/>
  <c r="F1714" i="5"/>
  <c r="E1715" i="5"/>
  <c r="F1715" i="5"/>
  <c r="E1716" i="5"/>
  <c r="F1716" i="5"/>
  <c r="E1717" i="5"/>
  <c r="F1717" i="5"/>
  <c r="E1718" i="5"/>
  <c r="F1718" i="5"/>
  <c r="E1719" i="5"/>
  <c r="F1719" i="5"/>
  <c r="E1720" i="5"/>
  <c r="F1720" i="5"/>
  <c r="E1721" i="5"/>
  <c r="F1721" i="5"/>
  <c r="E1722" i="5"/>
  <c r="F1722" i="5"/>
  <c r="E1723" i="5"/>
  <c r="F1723" i="5"/>
  <c r="E1724" i="5"/>
  <c r="F1724" i="5"/>
  <c r="E1725" i="5"/>
  <c r="F1725" i="5"/>
  <c r="E1726" i="5"/>
  <c r="F1726" i="5"/>
  <c r="E1727" i="5"/>
  <c r="F1727" i="5"/>
  <c r="E1728" i="5"/>
  <c r="F1728" i="5"/>
  <c r="E1729" i="5"/>
  <c r="F1729" i="5"/>
  <c r="E1730" i="5"/>
  <c r="F1730" i="5"/>
  <c r="E1731" i="5"/>
  <c r="F1731" i="5"/>
  <c r="E1732" i="5"/>
  <c r="F1732" i="5"/>
  <c r="E1733" i="5"/>
  <c r="F1733" i="5"/>
  <c r="E1734" i="5"/>
  <c r="F1734" i="5"/>
  <c r="E1735" i="5"/>
  <c r="F1735" i="5"/>
  <c r="E1736" i="5"/>
  <c r="F1736" i="5"/>
  <c r="E1737" i="5"/>
  <c r="F1737" i="5"/>
  <c r="E1738" i="5"/>
  <c r="F1738" i="5"/>
  <c r="E1739" i="5"/>
  <c r="F1739" i="5"/>
  <c r="E1740" i="5"/>
  <c r="F1740" i="5"/>
  <c r="E1741" i="5"/>
  <c r="F1741" i="5"/>
  <c r="E1742" i="5"/>
  <c r="F1742" i="5"/>
  <c r="E1743" i="5"/>
  <c r="F1743" i="5"/>
  <c r="E1744" i="5"/>
  <c r="F1744" i="5"/>
  <c r="E1745" i="5"/>
  <c r="F1745" i="5"/>
  <c r="E1746" i="5"/>
  <c r="F1746" i="5"/>
  <c r="E1747" i="5"/>
  <c r="F1747" i="5"/>
  <c r="E1748" i="5"/>
  <c r="F1748" i="5"/>
  <c r="E1749" i="5"/>
  <c r="F1749" i="5"/>
  <c r="E1750" i="5"/>
  <c r="F1750" i="5"/>
  <c r="E1751" i="5"/>
  <c r="F1751" i="5"/>
  <c r="E1752" i="5"/>
  <c r="F1752" i="5"/>
  <c r="E1753" i="5"/>
  <c r="F1753" i="5"/>
  <c r="E1754" i="5"/>
  <c r="F1754" i="5"/>
  <c r="E1755" i="5"/>
  <c r="F1755" i="5"/>
  <c r="E1756" i="5"/>
  <c r="F1756" i="5"/>
  <c r="E1757" i="5"/>
  <c r="F1757" i="5"/>
  <c r="E1758" i="5"/>
  <c r="F1758" i="5"/>
  <c r="E1759" i="5"/>
  <c r="F1759" i="5"/>
  <c r="E1760" i="5"/>
  <c r="F1760" i="5"/>
  <c r="E1761" i="5"/>
  <c r="F1761" i="5"/>
  <c r="E1762" i="5"/>
  <c r="F1762" i="5"/>
  <c r="E1763" i="5"/>
  <c r="F1763" i="5"/>
  <c r="E1764" i="5"/>
  <c r="F1764" i="5"/>
  <c r="E1765" i="5"/>
  <c r="F1765" i="5"/>
  <c r="E1766" i="5"/>
  <c r="F1766" i="5"/>
  <c r="E1767" i="5"/>
  <c r="F1767" i="5"/>
  <c r="E1768" i="5"/>
  <c r="F1768" i="5"/>
  <c r="E1769" i="5"/>
  <c r="F1769" i="5"/>
  <c r="E1770" i="5"/>
  <c r="F1770" i="5"/>
  <c r="E1771" i="5"/>
  <c r="F1771" i="5"/>
  <c r="E1772" i="5"/>
  <c r="F1772" i="5"/>
  <c r="E1773" i="5"/>
  <c r="F1773" i="5"/>
  <c r="E1774" i="5"/>
  <c r="F1774" i="5"/>
  <c r="E1775" i="5"/>
  <c r="F1775" i="5"/>
  <c r="E1776" i="5"/>
  <c r="F1776" i="5"/>
  <c r="E1777" i="5"/>
  <c r="F1777" i="5"/>
  <c r="E1778" i="5"/>
  <c r="F1778" i="5"/>
  <c r="E1779" i="5"/>
  <c r="F1779" i="5"/>
  <c r="E1780" i="5"/>
  <c r="F1780" i="5"/>
  <c r="E1781" i="5"/>
  <c r="F1781" i="5"/>
  <c r="E1782" i="5"/>
  <c r="F1782" i="5"/>
  <c r="E1783" i="5"/>
  <c r="F1783" i="5"/>
  <c r="E1784" i="5"/>
  <c r="F1784" i="5"/>
  <c r="E1785" i="5"/>
  <c r="F1785" i="5"/>
  <c r="E1786" i="5"/>
  <c r="F1786" i="5"/>
  <c r="E1787" i="5"/>
  <c r="F1787" i="5"/>
  <c r="E1788" i="5"/>
  <c r="F1788" i="5"/>
  <c r="E1789" i="5"/>
  <c r="F1789" i="5"/>
  <c r="E1790" i="5"/>
  <c r="F1790" i="5"/>
  <c r="E1791" i="5"/>
  <c r="F1791" i="5"/>
  <c r="E1792" i="5"/>
  <c r="F1792" i="5"/>
  <c r="E1793" i="5"/>
  <c r="F1793" i="5"/>
  <c r="E1794" i="5"/>
  <c r="F1794" i="5"/>
  <c r="E1795" i="5"/>
  <c r="F1795" i="5"/>
  <c r="E1796" i="5"/>
  <c r="F1796" i="5"/>
  <c r="E1797" i="5"/>
  <c r="F1797" i="5"/>
  <c r="E1798" i="5"/>
  <c r="F1798" i="5"/>
  <c r="E1799" i="5"/>
  <c r="F1799" i="5"/>
  <c r="E1800" i="5"/>
  <c r="F1800" i="5"/>
  <c r="E1801" i="5"/>
  <c r="F1801" i="5"/>
  <c r="E1802" i="5"/>
  <c r="F1802" i="5"/>
  <c r="E1803" i="5"/>
  <c r="F1803" i="5"/>
  <c r="E1804" i="5"/>
  <c r="F1804" i="5"/>
  <c r="E1805" i="5"/>
  <c r="F1805" i="5"/>
  <c r="E1806" i="5"/>
  <c r="F1806" i="5"/>
  <c r="E1807" i="5"/>
  <c r="F1807" i="5"/>
  <c r="E1808" i="5"/>
  <c r="F1808" i="5"/>
  <c r="E1809" i="5"/>
  <c r="F1809" i="5"/>
  <c r="E1810" i="5"/>
  <c r="F1810" i="5"/>
  <c r="E1811" i="5"/>
  <c r="F1811" i="5"/>
  <c r="E1812" i="5"/>
  <c r="F1812" i="5"/>
  <c r="E1813" i="5"/>
  <c r="F1813" i="5"/>
  <c r="E1814" i="5"/>
  <c r="F1814" i="5"/>
  <c r="E1815" i="5"/>
  <c r="F1815" i="5"/>
  <c r="E1816" i="5"/>
  <c r="F1816" i="5"/>
  <c r="E1817" i="5"/>
  <c r="F1817" i="5"/>
  <c r="E1818" i="5"/>
  <c r="F1818" i="5"/>
  <c r="E1819" i="5"/>
  <c r="F1819" i="5"/>
  <c r="E1820" i="5"/>
  <c r="F1820" i="5"/>
  <c r="E1821" i="5"/>
  <c r="F1821" i="5"/>
  <c r="E1822" i="5"/>
  <c r="F1822" i="5"/>
  <c r="E1823" i="5"/>
  <c r="F1823" i="5"/>
  <c r="E1824" i="5"/>
  <c r="F1824" i="5"/>
  <c r="E1825" i="5"/>
  <c r="F1825" i="5"/>
  <c r="E1826" i="5"/>
  <c r="F1826" i="5"/>
  <c r="E1827" i="5"/>
  <c r="F1827" i="5"/>
  <c r="E1828" i="5"/>
  <c r="F1828" i="5"/>
  <c r="E1829" i="5"/>
  <c r="F1829" i="5"/>
  <c r="E1830" i="5"/>
  <c r="F1830" i="5"/>
  <c r="E1831" i="5"/>
  <c r="F1831" i="5"/>
  <c r="E1832" i="5"/>
  <c r="F1832" i="5"/>
  <c r="E1833" i="5"/>
  <c r="F1833" i="5"/>
  <c r="E1834" i="5"/>
  <c r="F1834" i="5"/>
  <c r="E1835" i="5"/>
  <c r="F1835" i="5"/>
  <c r="E1836" i="5"/>
  <c r="F1836" i="5"/>
  <c r="E1837" i="5"/>
  <c r="F1837" i="5"/>
  <c r="E1838" i="5"/>
  <c r="F1838" i="5"/>
  <c r="E1839" i="5"/>
  <c r="F1839" i="5"/>
  <c r="E1840" i="5"/>
  <c r="F1840" i="5"/>
  <c r="E1841" i="5"/>
  <c r="F1841" i="5"/>
  <c r="E1842" i="5"/>
  <c r="F1842" i="5"/>
  <c r="E1843" i="5"/>
  <c r="F1843" i="5"/>
  <c r="E1844" i="5"/>
  <c r="F1844" i="5"/>
  <c r="E1845" i="5"/>
  <c r="F1845" i="5"/>
  <c r="E1846" i="5"/>
  <c r="F1846" i="5"/>
  <c r="E1847" i="5"/>
  <c r="F1847" i="5"/>
  <c r="E1848" i="5"/>
  <c r="F1848" i="5"/>
  <c r="E1849" i="5"/>
  <c r="F1849" i="5"/>
  <c r="E1850" i="5"/>
  <c r="F1850" i="5"/>
  <c r="E1851" i="5"/>
  <c r="F1851" i="5"/>
  <c r="E1852" i="5"/>
  <c r="F1852" i="5"/>
  <c r="E1853" i="5"/>
  <c r="F1853" i="5"/>
  <c r="E1854" i="5"/>
  <c r="F1854" i="5"/>
  <c r="E1855" i="5"/>
  <c r="F1855" i="5"/>
  <c r="E1856" i="5"/>
  <c r="F1856" i="5"/>
  <c r="E1857" i="5"/>
  <c r="F1857" i="5"/>
  <c r="E1858" i="5"/>
  <c r="F1858" i="5"/>
  <c r="E1859" i="5"/>
  <c r="F1859" i="5"/>
  <c r="E1860" i="5"/>
  <c r="F1860" i="5"/>
  <c r="E1861" i="5"/>
  <c r="F1861" i="5"/>
  <c r="E1862" i="5"/>
  <c r="F1862" i="5"/>
  <c r="E1863" i="5"/>
  <c r="F1863" i="5"/>
  <c r="E1864" i="5"/>
  <c r="F1864" i="5"/>
  <c r="E1865" i="5"/>
  <c r="F1865" i="5"/>
  <c r="E1866" i="5"/>
  <c r="F1866" i="5"/>
  <c r="E1867" i="5"/>
  <c r="F1867" i="5"/>
  <c r="E1868" i="5"/>
  <c r="F1868" i="5"/>
  <c r="E1869" i="5"/>
  <c r="F1869" i="5"/>
  <c r="E1870" i="5"/>
  <c r="F1870" i="5"/>
  <c r="E1871" i="5"/>
  <c r="F1871" i="5"/>
  <c r="E1872" i="5"/>
  <c r="F1872" i="5"/>
  <c r="E1873" i="5"/>
  <c r="F1873" i="5"/>
  <c r="E1874" i="5"/>
  <c r="F1874" i="5"/>
  <c r="E1875" i="5"/>
  <c r="F1875" i="5"/>
  <c r="E1876" i="5"/>
  <c r="F1876" i="5"/>
  <c r="E1877" i="5"/>
  <c r="F1877" i="5"/>
  <c r="E1878" i="5"/>
  <c r="F1878" i="5"/>
  <c r="E1879" i="5"/>
  <c r="F1879" i="5"/>
  <c r="E1880" i="5"/>
  <c r="F1880" i="5"/>
  <c r="E1881" i="5"/>
  <c r="F1881" i="5"/>
  <c r="E1882" i="5"/>
  <c r="F1882" i="5"/>
  <c r="E1883" i="5"/>
  <c r="F1883" i="5"/>
  <c r="E1884" i="5"/>
  <c r="F1884" i="5"/>
  <c r="E1885" i="5"/>
  <c r="F1885" i="5"/>
  <c r="E1886" i="5"/>
  <c r="F1886" i="5"/>
  <c r="E1887" i="5"/>
  <c r="F1887" i="5"/>
  <c r="E1888" i="5"/>
  <c r="F1888" i="5"/>
  <c r="E1889" i="5"/>
  <c r="F1889" i="5"/>
  <c r="E1890" i="5"/>
  <c r="F1890" i="5"/>
  <c r="E1891" i="5"/>
  <c r="F1891" i="5"/>
  <c r="E1892" i="5"/>
  <c r="F1892" i="5"/>
  <c r="E1893" i="5"/>
  <c r="F1893" i="5"/>
  <c r="E1894" i="5"/>
  <c r="F1894" i="5"/>
  <c r="E1895" i="5"/>
  <c r="F1895" i="5"/>
  <c r="E1896" i="5"/>
  <c r="F1896" i="5"/>
  <c r="E1897" i="5"/>
  <c r="F1897" i="5"/>
  <c r="E1898" i="5"/>
  <c r="F1898" i="5"/>
  <c r="E1899" i="5"/>
  <c r="F1899" i="5"/>
  <c r="E1900" i="5"/>
  <c r="F1900" i="5"/>
  <c r="E1901" i="5"/>
  <c r="F1901" i="5"/>
  <c r="E1902" i="5"/>
  <c r="F1902" i="5"/>
  <c r="E1903" i="5"/>
  <c r="F1903" i="5"/>
  <c r="E1904" i="5"/>
  <c r="F1904" i="5"/>
  <c r="E1905" i="5"/>
  <c r="F1905" i="5"/>
  <c r="E1906" i="5"/>
  <c r="F1906" i="5"/>
  <c r="E1907" i="5"/>
  <c r="F1907" i="5"/>
  <c r="E1908" i="5"/>
  <c r="F1908" i="5"/>
  <c r="E1909" i="5"/>
  <c r="F1909" i="5"/>
  <c r="E1910" i="5"/>
  <c r="F1910" i="5"/>
  <c r="E1911" i="5"/>
  <c r="F1911" i="5"/>
  <c r="E1912" i="5"/>
  <c r="F1912" i="5"/>
  <c r="E1913" i="5"/>
  <c r="F1913" i="5"/>
  <c r="E1914" i="5"/>
  <c r="F1914" i="5"/>
  <c r="E1915" i="5"/>
  <c r="F1915" i="5"/>
  <c r="E1916" i="5"/>
  <c r="F1916" i="5"/>
  <c r="E1917" i="5"/>
  <c r="F1917" i="5"/>
  <c r="E1918" i="5"/>
  <c r="F1918" i="5"/>
  <c r="E1919" i="5"/>
  <c r="F1919" i="5"/>
  <c r="E1920" i="5"/>
  <c r="F1920" i="5"/>
  <c r="E1921" i="5"/>
  <c r="F1921" i="5"/>
  <c r="E1922" i="5"/>
  <c r="F1922" i="5"/>
  <c r="E1923" i="5"/>
  <c r="F1923" i="5"/>
  <c r="E1924" i="5"/>
  <c r="F1924" i="5"/>
  <c r="E1925" i="5"/>
  <c r="F1925" i="5"/>
  <c r="E1926" i="5"/>
  <c r="F1926" i="5"/>
  <c r="E1927" i="5"/>
  <c r="F1927" i="5"/>
  <c r="E1928" i="5"/>
  <c r="F1928" i="5"/>
  <c r="E1929" i="5"/>
  <c r="F1929" i="5"/>
  <c r="E1930" i="5"/>
  <c r="F1930" i="5"/>
  <c r="E1931" i="5"/>
  <c r="F1931" i="5"/>
  <c r="E1932" i="5"/>
  <c r="F1932" i="5"/>
  <c r="E1933" i="5"/>
  <c r="F1933" i="5"/>
  <c r="E1934" i="5"/>
  <c r="F1934" i="5"/>
  <c r="E1935" i="5"/>
  <c r="F1935" i="5"/>
  <c r="E1936" i="5"/>
  <c r="F1936" i="5"/>
  <c r="E1937" i="5"/>
  <c r="F1937" i="5"/>
  <c r="E1938" i="5"/>
  <c r="F1938" i="5"/>
  <c r="E1939" i="5"/>
  <c r="F1939" i="5"/>
  <c r="E1940" i="5"/>
  <c r="F1940" i="5"/>
  <c r="E1941" i="5"/>
  <c r="F1941" i="5"/>
  <c r="E1942" i="5"/>
  <c r="F1942" i="5"/>
  <c r="E1943" i="5"/>
  <c r="F1943" i="5"/>
  <c r="E1944" i="5"/>
  <c r="F1944" i="5"/>
  <c r="E1945" i="5"/>
  <c r="F1945" i="5"/>
  <c r="E1946" i="5"/>
  <c r="F1946" i="5"/>
  <c r="E1947" i="5"/>
  <c r="F1947" i="5"/>
  <c r="E1948" i="5"/>
  <c r="F1948" i="5"/>
  <c r="E1949" i="5"/>
  <c r="F1949" i="5"/>
  <c r="E1950" i="5"/>
  <c r="F1950" i="5"/>
  <c r="E1951" i="5"/>
  <c r="F1951" i="5"/>
  <c r="E1952" i="5"/>
  <c r="F1952" i="5"/>
  <c r="E1953" i="5"/>
  <c r="F1953" i="5"/>
  <c r="E1954" i="5"/>
  <c r="F1954" i="5"/>
  <c r="E1955" i="5"/>
  <c r="F1955" i="5"/>
  <c r="E1956" i="5"/>
  <c r="F1956" i="5"/>
  <c r="E1957" i="5"/>
  <c r="F1957" i="5"/>
  <c r="E1958" i="5"/>
  <c r="F1958" i="5"/>
  <c r="E1959" i="5"/>
  <c r="F1959" i="5"/>
  <c r="E1960" i="5"/>
  <c r="F1960" i="5"/>
  <c r="E1961" i="5"/>
  <c r="F1961" i="5"/>
  <c r="E1962" i="5"/>
  <c r="F1962" i="5"/>
  <c r="E1963" i="5"/>
  <c r="F1963" i="5"/>
  <c r="E1964" i="5"/>
  <c r="F1964" i="5"/>
  <c r="E1965" i="5"/>
  <c r="F1965" i="5"/>
  <c r="E1966" i="5"/>
  <c r="F1966" i="5"/>
  <c r="E1967" i="5"/>
  <c r="F1967" i="5"/>
  <c r="E1968" i="5"/>
  <c r="F1968" i="5"/>
  <c r="E1969" i="5"/>
  <c r="F1969" i="5"/>
  <c r="E1970" i="5"/>
  <c r="F1970" i="5"/>
  <c r="E1971" i="5"/>
  <c r="F1971" i="5"/>
  <c r="E1972" i="5"/>
  <c r="F1972" i="5"/>
  <c r="E1973" i="5"/>
  <c r="F1973" i="5"/>
  <c r="E1974" i="5"/>
  <c r="F1974" i="5"/>
  <c r="E1975" i="5"/>
  <c r="F1975" i="5"/>
  <c r="E1976" i="5"/>
  <c r="F1976" i="5"/>
  <c r="E1977" i="5"/>
  <c r="F1977" i="5"/>
  <c r="E1978" i="5"/>
  <c r="F1978" i="5"/>
  <c r="E1979" i="5"/>
  <c r="F1979" i="5"/>
  <c r="E1980" i="5"/>
  <c r="F1980" i="5"/>
  <c r="E1981" i="5"/>
  <c r="F1981" i="5"/>
  <c r="E1982" i="5"/>
  <c r="F1982" i="5"/>
  <c r="E1983" i="5"/>
  <c r="F1983" i="5"/>
  <c r="E1984" i="5"/>
  <c r="F1984" i="5"/>
  <c r="E1985" i="5"/>
  <c r="F1985" i="5"/>
  <c r="E1986" i="5"/>
  <c r="F1986" i="5"/>
  <c r="E1987" i="5"/>
  <c r="F1987" i="5"/>
  <c r="E1988" i="5"/>
  <c r="F1988" i="5"/>
  <c r="E1989" i="5"/>
  <c r="F1989" i="5"/>
  <c r="E1990" i="5"/>
  <c r="F1990" i="5"/>
  <c r="E1991" i="5"/>
  <c r="F1991" i="5"/>
  <c r="E1992" i="5"/>
  <c r="F1992" i="5"/>
  <c r="E1993" i="5"/>
  <c r="F1993" i="5"/>
  <c r="E1994" i="5"/>
  <c r="F1994" i="5"/>
  <c r="E1995" i="5"/>
  <c r="F1995" i="5"/>
  <c r="E1996" i="5"/>
  <c r="F1996" i="5"/>
  <c r="E1997" i="5"/>
  <c r="F1997" i="5"/>
  <c r="E1998" i="5"/>
  <c r="F1998" i="5"/>
  <c r="E1999" i="5"/>
  <c r="F1999" i="5"/>
  <c r="E2000" i="5"/>
  <c r="F2000" i="5"/>
  <c r="E2001" i="5"/>
  <c r="F2001" i="5"/>
  <c r="E2002" i="5"/>
  <c r="F2002" i="5"/>
  <c r="E2003" i="5"/>
  <c r="F2003" i="5"/>
  <c r="E2004" i="5"/>
  <c r="F2004" i="5"/>
  <c r="E2005" i="5"/>
  <c r="F2005" i="5"/>
  <c r="E2006" i="5"/>
  <c r="F2006" i="5"/>
  <c r="E2007" i="5"/>
  <c r="F2007" i="5"/>
  <c r="E2008" i="5"/>
  <c r="F2008" i="5"/>
  <c r="E2009" i="5"/>
  <c r="F2009" i="5"/>
  <c r="E2010" i="5"/>
  <c r="F2010" i="5"/>
  <c r="E2011" i="5"/>
  <c r="F2011" i="5"/>
  <c r="E2012" i="5"/>
  <c r="F2012" i="5"/>
  <c r="E2013" i="5"/>
  <c r="F2013" i="5"/>
  <c r="E2014" i="5"/>
  <c r="F2014" i="5"/>
  <c r="E2015" i="5"/>
  <c r="F2015" i="5"/>
  <c r="E2016" i="5"/>
  <c r="F2016" i="5"/>
  <c r="E2017" i="5"/>
  <c r="F2017" i="5"/>
  <c r="E2018" i="5"/>
  <c r="F2018" i="5"/>
  <c r="E2019" i="5"/>
  <c r="F2019" i="5"/>
  <c r="E2020" i="5"/>
  <c r="F2020" i="5"/>
  <c r="E2021" i="5"/>
  <c r="F2021" i="5"/>
  <c r="E2022" i="5"/>
  <c r="F2022" i="5"/>
  <c r="E2023" i="5"/>
  <c r="F2023" i="5"/>
  <c r="E2024" i="5"/>
  <c r="F2024" i="5"/>
  <c r="E2025" i="5"/>
  <c r="F2025" i="5"/>
  <c r="E2026" i="5"/>
  <c r="F2026" i="5"/>
  <c r="E2027" i="5"/>
  <c r="F2027" i="5"/>
  <c r="E2028" i="5"/>
  <c r="F2028" i="5"/>
  <c r="E2029" i="5"/>
  <c r="F2029" i="5"/>
  <c r="E2030" i="5"/>
  <c r="F2030" i="5"/>
  <c r="E2031" i="5"/>
  <c r="F2031" i="5"/>
  <c r="E2032" i="5"/>
  <c r="F2032" i="5"/>
  <c r="E2033" i="5"/>
  <c r="F2033" i="5"/>
  <c r="E2034" i="5"/>
  <c r="F2034" i="5"/>
  <c r="E2035" i="5"/>
  <c r="F2035" i="5"/>
  <c r="E2036" i="5"/>
  <c r="F2036" i="5"/>
  <c r="E2037" i="5"/>
  <c r="F2037" i="5"/>
  <c r="E2038" i="5"/>
  <c r="F2038" i="5"/>
  <c r="E2039" i="5"/>
  <c r="F2039" i="5"/>
  <c r="E2040" i="5"/>
  <c r="F2040" i="5"/>
  <c r="E2041" i="5"/>
  <c r="F2041" i="5"/>
  <c r="E2042" i="5"/>
  <c r="F2042" i="5"/>
  <c r="E2043" i="5"/>
  <c r="F2043" i="5"/>
  <c r="E2044" i="5"/>
  <c r="F2044" i="5"/>
  <c r="E2045" i="5"/>
  <c r="F2045" i="5"/>
  <c r="E2046" i="5"/>
  <c r="F2046" i="5"/>
  <c r="E2047" i="5"/>
  <c r="F2047" i="5"/>
  <c r="E2048" i="5"/>
  <c r="F2048" i="5"/>
  <c r="E2049" i="5"/>
  <c r="F2049" i="5"/>
  <c r="E2050" i="5"/>
  <c r="F2050" i="5"/>
  <c r="E2051" i="5"/>
  <c r="F2051" i="5"/>
  <c r="E2052" i="5"/>
  <c r="F2052" i="5"/>
  <c r="E2053" i="5"/>
  <c r="F2053" i="5"/>
  <c r="E2054" i="5"/>
  <c r="F2054" i="5"/>
  <c r="E2055" i="5"/>
  <c r="F2055" i="5"/>
  <c r="E2056" i="5"/>
  <c r="F2056" i="5"/>
  <c r="E2057" i="5"/>
  <c r="F2057" i="5"/>
  <c r="E2058" i="5"/>
  <c r="F2058" i="5"/>
  <c r="E2059" i="5"/>
  <c r="F2059" i="5"/>
  <c r="E2060" i="5"/>
  <c r="F2060" i="5"/>
  <c r="E2061" i="5"/>
  <c r="F2061" i="5"/>
  <c r="E2062" i="5"/>
  <c r="F2062" i="5"/>
  <c r="E2063" i="5"/>
  <c r="F2063" i="5"/>
  <c r="E2064" i="5"/>
  <c r="F2064" i="5"/>
  <c r="E2065" i="5"/>
  <c r="F2065" i="5"/>
  <c r="E2066" i="5"/>
  <c r="F2066" i="5"/>
  <c r="E2067" i="5"/>
  <c r="F2067" i="5"/>
  <c r="E2068" i="5"/>
  <c r="F2068" i="5"/>
  <c r="E2069" i="5"/>
  <c r="F2069" i="5"/>
  <c r="E2070" i="5"/>
  <c r="F2070" i="5"/>
  <c r="E2071" i="5"/>
  <c r="F2071" i="5"/>
  <c r="E2072" i="5"/>
  <c r="F2072" i="5"/>
  <c r="E2073" i="5"/>
  <c r="F2073" i="5"/>
  <c r="E2074" i="5"/>
  <c r="F2074" i="5"/>
  <c r="E2075" i="5"/>
  <c r="F2075" i="5"/>
  <c r="E2076" i="5"/>
  <c r="F2076" i="5"/>
  <c r="E2077" i="5"/>
  <c r="F2077" i="5"/>
  <c r="E2078" i="5"/>
  <c r="F2078" i="5"/>
  <c r="E2079" i="5"/>
  <c r="F2079" i="5"/>
  <c r="E2080" i="5"/>
  <c r="F2080" i="5"/>
  <c r="E2081" i="5"/>
  <c r="F2081" i="5"/>
  <c r="E2082" i="5"/>
  <c r="F2082" i="5"/>
  <c r="E2083" i="5"/>
  <c r="F2083" i="5"/>
  <c r="E2084" i="5"/>
  <c r="F2084" i="5"/>
  <c r="E2085" i="5"/>
  <c r="F2085" i="5"/>
  <c r="E2086" i="5"/>
  <c r="F2086" i="5"/>
  <c r="E2087" i="5"/>
  <c r="F2087" i="5"/>
  <c r="E2088" i="5"/>
  <c r="F2088" i="5"/>
  <c r="E2089" i="5"/>
  <c r="F2089" i="5"/>
  <c r="E2090" i="5"/>
  <c r="F2090" i="5"/>
  <c r="E2091" i="5"/>
  <c r="F2091" i="5"/>
  <c r="E2092" i="5"/>
  <c r="F2092" i="5"/>
  <c r="E2093" i="5"/>
  <c r="F2093" i="5"/>
  <c r="E2094" i="5"/>
  <c r="F2094" i="5"/>
  <c r="E2095" i="5"/>
  <c r="F2095" i="5"/>
  <c r="E2096" i="5"/>
  <c r="F2096" i="5"/>
  <c r="E2097" i="5"/>
  <c r="F2097" i="5"/>
  <c r="E2098" i="5"/>
  <c r="F2098" i="5"/>
  <c r="E2099" i="5"/>
  <c r="F2099" i="5"/>
  <c r="E2100" i="5"/>
  <c r="F2100" i="5"/>
  <c r="E2101" i="5"/>
  <c r="F2101" i="5"/>
  <c r="E2102" i="5"/>
  <c r="F2102" i="5"/>
  <c r="E2103" i="5"/>
  <c r="F2103" i="5"/>
  <c r="E2104" i="5"/>
  <c r="F2104" i="5"/>
  <c r="E2105" i="5"/>
  <c r="F2105" i="5"/>
  <c r="E2106" i="5"/>
  <c r="F2106" i="5"/>
  <c r="E2107" i="5"/>
  <c r="F2107" i="5"/>
  <c r="E2108" i="5"/>
  <c r="F2108" i="5"/>
  <c r="E2109" i="5"/>
  <c r="F2109" i="5"/>
  <c r="E2110" i="5"/>
  <c r="F2110" i="5"/>
  <c r="E2111" i="5"/>
  <c r="F2111" i="5"/>
  <c r="E2112" i="5"/>
  <c r="F2112" i="5"/>
  <c r="E2113" i="5"/>
  <c r="F2113" i="5"/>
  <c r="E2114" i="5"/>
  <c r="F2114" i="5"/>
  <c r="E2115" i="5"/>
  <c r="F2115" i="5"/>
  <c r="E2116" i="5"/>
  <c r="F2116" i="5"/>
  <c r="E2117" i="5"/>
  <c r="F2117" i="5"/>
  <c r="E2118" i="5"/>
  <c r="F2118" i="5"/>
  <c r="E2119" i="5"/>
  <c r="F2119" i="5"/>
  <c r="E2120" i="5"/>
  <c r="F2120" i="5"/>
  <c r="E2121" i="5"/>
  <c r="F2121" i="5"/>
  <c r="E2122" i="5"/>
  <c r="F2122" i="5"/>
  <c r="E2123" i="5"/>
  <c r="F2123" i="5"/>
  <c r="E2124" i="5"/>
  <c r="F2124" i="5"/>
  <c r="E2125" i="5"/>
  <c r="F2125" i="5"/>
  <c r="E2126" i="5"/>
  <c r="F2126" i="5"/>
  <c r="E2127" i="5"/>
  <c r="F2127" i="5"/>
  <c r="E2128" i="5"/>
  <c r="F2128" i="5"/>
  <c r="E2129" i="5"/>
  <c r="F2129" i="5"/>
  <c r="E2130" i="5"/>
  <c r="F2130" i="5"/>
  <c r="E2131" i="5"/>
  <c r="F2131" i="5"/>
  <c r="E2132" i="5"/>
  <c r="F2132" i="5"/>
  <c r="E2133" i="5"/>
  <c r="F2133" i="5"/>
  <c r="E2134" i="5"/>
  <c r="F2134" i="5"/>
  <c r="E2135" i="5"/>
  <c r="F2135" i="5"/>
  <c r="E2136" i="5"/>
  <c r="F2136" i="5"/>
  <c r="E2137" i="5"/>
  <c r="F2137" i="5"/>
  <c r="E2138" i="5"/>
  <c r="F2138" i="5"/>
  <c r="E2139" i="5"/>
  <c r="F2139" i="5"/>
  <c r="E2140" i="5"/>
  <c r="F2140" i="5"/>
  <c r="E2141" i="5"/>
  <c r="F2141" i="5"/>
  <c r="E2142" i="5"/>
  <c r="F2142" i="5"/>
  <c r="E2143" i="5"/>
  <c r="F2143" i="5"/>
  <c r="E2144" i="5"/>
  <c r="F2144" i="5"/>
  <c r="E2145" i="5"/>
  <c r="F2145" i="5"/>
  <c r="E2146" i="5"/>
  <c r="F2146" i="5"/>
  <c r="E2147" i="5"/>
  <c r="F2147" i="5"/>
  <c r="E2148" i="5"/>
  <c r="F2148" i="5"/>
  <c r="E2149" i="5"/>
  <c r="F2149" i="5"/>
  <c r="E2150" i="5"/>
  <c r="F2150" i="5"/>
  <c r="E2151" i="5"/>
  <c r="F2151" i="5"/>
  <c r="E2152" i="5"/>
  <c r="F2152" i="5"/>
  <c r="E2153" i="5"/>
  <c r="F2153" i="5"/>
  <c r="E2154" i="5"/>
  <c r="F2154" i="5"/>
  <c r="E2155" i="5"/>
  <c r="F2155" i="5"/>
  <c r="E2156" i="5"/>
  <c r="F2156" i="5"/>
  <c r="E2157" i="5"/>
  <c r="F2157" i="5"/>
  <c r="E2158" i="5"/>
  <c r="F2158" i="5"/>
  <c r="E2159" i="5"/>
  <c r="F2159" i="5"/>
  <c r="E2160" i="5"/>
  <c r="F2160" i="5"/>
  <c r="E2161" i="5"/>
  <c r="F2161" i="5"/>
  <c r="E2162" i="5"/>
  <c r="F2162" i="5"/>
  <c r="E2163" i="5"/>
  <c r="F2163" i="5"/>
  <c r="E2164" i="5"/>
  <c r="F2164" i="5"/>
  <c r="E2165" i="5"/>
  <c r="F2165" i="5"/>
  <c r="E2166" i="5"/>
  <c r="F2166" i="5"/>
  <c r="E2167" i="5"/>
  <c r="F2167" i="5"/>
  <c r="E2168" i="5"/>
  <c r="F2168" i="5"/>
  <c r="E2169" i="5"/>
  <c r="F2169" i="5"/>
  <c r="E2170" i="5"/>
  <c r="F2170" i="5"/>
  <c r="E2171" i="5"/>
  <c r="F2171" i="5"/>
  <c r="E2172" i="5"/>
  <c r="F2172" i="5"/>
  <c r="E2173" i="5"/>
  <c r="F2173" i="5"/>
  <c r="E2174" i="5"/>
  <c r="F2174" i="5"/>
  <c r="E2175" i="5"/>
  <c r="F2175" i="5"/>
  <c r="E2176" i="5"/>
  <c r="F2176" i="5"/>
  <c r="E2177" i="5"/>
  <c r="F2177" i="5"/>
  <c r="E2178" i="5"/>
  <c r="F2178" i="5"/>
  <c r="E2179" i="5"/>
  <c r="F2179" i="5"/>
  <c r="E2180" i="5"/>
  <c r="F2180" i="5"/>
  <c r="E2181" i="5"/>
  <c r="F2181" i="5"/>
  <c r="E2182" i="5"/>
  <c r="F2182" i="5"/>
  <c r="E2183" i="5"/>
  <c r="F2183" i="5"/>
  <c r="E2184" i="5"/>
  <c r="F2184" i="5"/>
  <c r="E2185" i="5"/>
  <c r="F2185" i="5"/>
  <c r="E2186" i="5"/>
  <c r="F2186" i="5"/>
  <c r="E2187" i="5"/>
  <c r="F2187" i="5"/>
  <c r="E2188" i="5"/>
  <c r="F2188" i="5"/>
  <c r="E2189" i="5"/>
  <c r="F2189" i="5"/>
  <c r="E2190" i="5"/>
  <c r="F2190" i="5"/>
  <c r="E2191" i="5"/>
  <c r="F2191" i="5"/>
  <c r="E2192" i="5"/>
  <c r="F2192" i="5"/>
  <c r="E2193" i="5"/>
  <c r="F2193" i="5"/>
  <c r="E2194" i="5"/>
  <c r="F2194" i="5"/>
  <c r="E2195" i="5"/>
  <c r="F2195" i="5"/>
  <c r="E2196" i="5"/>
  <c r="F2196" i="5"/>
  <c r="E2197" i="5"/>
  <c r="F2197" i="5"/>
  <c r="E2198" i="5"/>
  <c r="F2198" i="5"/>
  <c r="E2199" i="5"/>
  <c r="F2199" i="5"/>
  <c r="E2200" i="5"/>
  <c r="F2200" i="5"/>
  <c r="E2201" i="5"/>
  <c r="F2201" i="5"/>
  <c r="E2202" i="5"/>
  <c r="F2202" i="5"/>
  <c r="E2203" i="5"/>
  <c r="F2203" i="5"/>
  <c r="E2204" i="5"/>
  <c r="F2204" i="5"/>
  <c r="E2205" i="5"/>
  <c r="F2205" i="5"/>
  <c r="E2206" i="5"/>
  <c r="F2206" i="5"/>
  <c r="E2207" i="5"/>
  <c r="F2207" i="5"/>
  <c r="E2208" i="5"/>
  <c r="F2208" i="5"/>
  <c r="E2209" i="5"/>
  <c r="F2209" i="5"/>
  <c r="E2210" i="5"/>
  <c r="F2210" i="5"/>
  <c r="E2211" i="5"/>
  <c r="F2211" i="5"/>
  <c r="E2212" i="5"/>
  <c r="F2212" i="5"/>
  <c r="E2213" i="5"/>
  <c r="F2213" i="5"/>
  <c r="E2214" i="5"/>
  <c r="F2214" i="5"/>
  <c r="E2215" i="5"/>
  <c r="F2215" i="5"/>
  <c r="E2216" i="5"/>
  <c r="F2216" i="5"/>
  <c r="E2217" i="5"/>
  <c r="F2217" i="5"/>
  <c r="E2218" i="5"/>
  <c r="F2218" i="5"/>
  <c r="E2219" i="5"/>
  <c r="F2219" i="5"/>
  <c r="E2220" i="5"/>
  <c r="F2220" i="5"/>
  <c r="E2221" i="5"/>
  <c r="F2221" i="5"/>
  <c r="E2222" i="5"/>
  <c r="F2222" i="5"/>
  <c r="E2223" i="5"/>
  <c r="F2223" i="5"/>
  <c r="E2224" i="5"/>
  <c r="F2224" i="5"/>
  <c r="E2225" i="5"/>
  <c r="F2225" i="5"/>
  <c r="E2226" i="5"/>
  <c r="F2226" i="5"/>
  <c r="E2227" i="5"/>
  <c r="F2227" i="5"/>
  <c r="E2228" i="5"/>
  <c r="F2228" i="5"/>
  <c r="E2229" i="5"/>
  <c r="F2229" i="5"/>
  <c r="E2230" i="5"/>
  <c r="F2230" i="5"/>
  <c r="E2231" i="5"/>
  <c r="F2231" i="5"/>
  <c r="E2232" i="5"/>
  <c r="F2232" i="5"/>
  <c r="E2233" i="5"/>
  <c r="F2233" i="5"/>
  <c r="E2234" i="5"/>
  <c r="F2234" i="5"/>
  <c r="E2235" i="5"/>
  <c r="F2235" i="5"/>
  <c r="E2236" i="5"/>
  <c r="F2236" i="5"/>
  <c r="E2237" i="5"/>
  <c r="F2237" i="5"/>
  <c r="E2238" i="5"/>
  <c r="F2238" i="5"/>
  <c r="E2239" i="5"/>
  <c r="F2239" i="5"/>
  <c r="E2240" i="5"/>
  <c r="F2240" i="5"/>
  <c r="E2241" i="5"/>
  <c r="F2241" i="5"/>
  <c r="E2242" i="5"/>
  <c r="F2242" i="5"/>
  <c r="E2243" i="5"/>
  <c r="F2243" i="5"/>
  <c r="E2244" i="5"/>
  <c r="F2244" i="5"/>
  <c r="E2245" i="5"/>
  <c r="F2245" i="5"/>
  <c r="E2246" i="5"/>
  <c r="F2246" i="5"/>
  <c r="E2247" i="5"/>
  <c r="F2247" i="5"/>
  <c r="E2248" i="5"/>
  <c r="F2248" i="5"/>
  <c r="E2249" i="5"/>
  <c r="F2249" i="5"/>
  <c r="E2250" i="5"/>
  <c r="F2250" i="5"/>
  <c r="E2251" i="5"/>
  <c r="F2251" i="5"/>
  <c r="E2252" i="5"/>
  <c r="F2252" i="5"/>
  <c r="E2253" i="5"/>
  <c r="F2253" i="5"/>
  <c r="E2254" i="5"/>
  <c r="F2254" i="5"/>
  <c r="E2255" i="5"/>
  <c r="F2255" i="5"/>
  <c r="E2256" i="5"/>
  <c r="F2256" i="5"/>
  <c r="E2257" i="5"/>
  <c r="F2257" i="5"/>
  <c r="E2258" i="5"/>
  <c r="F2258" i="5"/>
  <c r="E2259" i="5"/>
  <c r="F2259" i="5"/>
  <c r="E2260" i="5"/>
  <c r="F2260" i="5"/>
  <c r="E2261" i="5"/>
  <c r="F2261" i="5"/>
  <c r="E2262" i="5"/>
  <c r="F2262" i="5"/>
  <c r="E2263" i="5"/>
  <c r="F2263" i="5"/>
  <c r="E2264" i="5"/>
  <c r="F2264" i="5"/>
  <c r="E2265" i="5"/>
  <c r="F2265" i="5"/>
  <c r="E2266" i="5"/>
  <c r="F2266" i="5"/>
  <c r="E2267" i="5"/>
  <c r="F2267" i="5"/>
  <c r="E2268" i="5"/>
  <c r="F2268" i="5"/>
  <c r="E2269" i="5"/>
  <c r="F2269" i="5"/>
  <c r="E2270" i="5"/>
  <c r="F2270" i="5"/>
  <c r="E2271" i="5"/>
  <c r="F2271" i="5"/>
  <c r="E2272" i="5"/>
  <c r="F2272" i="5"/>
  <c r="E2273" i="5"/>
  <c r="F2273" i="5"/>
  <c r="E2274" i="5"/>
  <c r="F2274" i="5"/>
  <c r="E2275" i="5"/>
  <c r="F2275" i="5"/>
  <c r="E2276" i="5"/>
  <c r="F2276" i="5"/>
  <c r="E2277" i="5"/>
  <c r="F2277" i="5"/>
  <c r="E2278" i="5"/>
  <c r="F2278" i="5"/>
  <c r="E2279" i="5"/>
  <c r="F2279" i="5"/>
  <c r="E2280" i="5"/>
  <c r="F2280" i="5"/>
  <c r="E2281" i="5"/>
  <c r="F2281" i="5"/>
  <c r="E2282" i="5"/>
  <c r="F2282" i="5"/>
  <c r="E2283" i="5"/>
  <c r="F2283" i="5"/>
  <c r="E2284" i="5"/>
  <c r="F2284" i="5"/>
  <c r="E2285" i="5"/>
  <c r="F2285" i="5"/>
  <c r="E2286" i="5"/>
  <c r="F2286" i="5"/>
  <c r="E2287" i="5"/>
  <c r="F2287" i="5"/>
  <c r="E2288" i="5"/>
  <c r="F2288" i="5"/>
  <c r="E2289" i="5"/>
  <c r="F2289" i="5"/>
  <c r="E2290" i="5"/>
  <c r="F2290" i="5"/>
  <c r="E2291" i="5"/>
  <c r="F2291" i="5"/>
  <c r="E2292" i="5"/>
  <c r="F2292" i="5"/>
  <c r="E2293" i="5"/>
  <c r="F2293" i="5"/>
  <c r="E2294" i="5"/>
  <c r="F2294" i="5"/>
  <c r="E2295" i="5"/>
  <c r="F2295" i="5"/>
  <c r="E2296" i="5"/>
  <c r="F2296" i="5"/>
  <c r="E2297" i="5"/>
  <c r="F2297" i="5"/>
  <c r="E2298" i="5"/>
  <c r="F2298" i="5"/>
  <c r="E2299" i="5"/>
  <c r="F2299" i="5"/>
  <c r="E2300" i="5"/>
  <c r="F2300" i="5"/>
  <c r="E2301" i="5"/>
  <c r="F2301" i="5"/>
  <c r="E2302" i="5"/>
  <c r="F2302" i="5"/>
  <c r="E2303" i="5"/>
  <c r="F2303" i="5"/>
  <c r="E2304" i="5"/>
  <c r="F2304" i="5"/>
  <c r="E2305" i="5"/>
  <c r="F2305" i="5"/>
  <c r="E2306" i="5"/>
  <c r="F2306" i="5"/>
  <c r="E2307" i="5"/>
  <c r="F2307" i="5"/>
  <c r="E2308" i="5"/>
  <c r="F2308" i="5"/>
  <c r="E2309" i="5"/>
  <c r="F2309" i="5"/>
  <c r="E2310" i="5"/>
  <c r="F2310" i="5"/>
  <c r="E2311" i="5"/>
  <c r="F2311" i="5"/>
  <c r="E2312" i="5"/>
  <c r="F2312" i="5"/>
  <c r="E2313" i="5"/>
  <c r="F2313" i="5"/>
  <c r="E2314" i="5"/>
  <c r="F2314" i="5"/>
  <c r="E2315" i="5"/>
  <c r="F2315" i="5"/>
  <c r="E2316" i="5"/>
  <c r="F2316" i="5"/>
  <c r="E2317" i="5"/>
  <c r="F2317" i="5"/>
  <c r="E2318" i="5"/>
  <c r="F2318" i="5"/>
  <c r="E2319" i="5"/>
  <c r="F2319" i="5"/>
  <c r="E2320" i="5"/>
  <c r="F2320" i="5"/>
  <c r="E2321" i="5"/>
  <c r="F2321" i="5"/>
  <c r="E2322" i="5"/>
  <c r="F2322" i="5"/>
  <c r="E2323" i="5"/>
  <c r="F2323" i="5"/>
  <c r="E2324" i="5"/>
  <c r="F2324" i="5"/>
  <c r="E2325" i="5"/>
  <c r="F2325" i="5"/>
  <c r="E2326" i="5"/>
  <c r="F2326" i="5"/>
  <c r="E2327" i="5"/>
  <c r="F2327" i="5"/>
  <c r="E2328" i="5"/>
  <c r="F2328" i="5"/>
  <c r="E2329" i="5"/>
  <c r="F2329" i="5"/>
  <c r="E2330" i="5"/>
  <c r="F2330" i="5"/>
  <c r="E2331" i="5"/>
  <c r="F2331" i="5"/>
  <c r="E2332" i="5"/>
  <c r="F2332" i="5"/>
  <c r="E2333" i="5"/>
  <c r="F2333" i="5"/>
  <c r="E2334" i="5"/>
  <c r="F2334" i="5"/>
  <c r="E2335" i="5"/>
  <c r="F2335" i="5"/>
  <c r="E2336" i="5"/>
  <c r="F2336" i="5"/>
  <c r="E2337" i="5"/>
  <c r="F2337" i="5"/>
  <c r="E2338" i="5"/>
  <c r="F2338" i="5"/>
  <c r="E2339" i="5"/>
  <c r="F2339" i="5"/>
  <c r="E2340" i="5"/>
  <c r="F2340" i="5"/>
  <c r="E2341" i="5"/>
  <c r="F2341" i="5"/>
  <c r="E2342" i="5"/>
  <c r="F2342" i="5"/>
  <c r="E2343" i="5"/>
  <c r="F2343" i="5"/>
  <c r="E2344" i="5"/>
  <c r="F2344" i="5"/>
  <c r="E2345" i="5"/>
  <c r="F2345" i="5"/>
  <c r="E2346" i="5"/>
  <c r="F2346" i="5"/>
  <c r="E2347" i="5"/>
  <c r="F2347" i="5"/>
  <c r="E2348" i="5"/>
  <c r="F2348" i="5"/>
  <c r="E2349" i="5"/>
  <c r="F2349" i="5"/>
  <c r="E2350" i="5"/>
  <c r="F2350" i="5"/>
  <c r="E2351" i="5"/>
  <c r="F2351" i="5"/>
  <c r="E2352" i="5"/>
  <c r="F2352" i="5"/>
  <c r="E2353" i="5"/>
  <c r="F2353" i="5"/>
  <c r="E2354" i="5"/>
  <c r="F2354" i="5"/>
  <c r="E2355" i="5"/>
  <c r="F2355" i="5"/>
  <c r="E2356" i="5"/>
  <c r="F2356" i="5"/>
  <c r="E2357" i="5"/>
  <c r="F2357" i="5"/>
  <c r="E2358" i="5"/>
  <c r="F2358" i="5"/>
  <c r="E2359" i="5"/>
  <c r="F2359" i="5"/>
  <c r="E2360" i="5"/>
  <c r="F2360" i="5"/>
  <c r="E2361" i="5"/>
  <c r="F2361" i="5"/>
  <c r="E2362" i="5"/>
  <c r="F2362" i="5"/>
  <c r="E2363" i="5"/>
  <c r="F2363" i="5"/>
  <c r="E2364" i="5"/>
  <c r="F2364" i="5"/>
  <c r="E2365" i="5"/>
  <c r="F2365" i="5"/>
  <c r="E2366" i="5"/>
  <c r="F2366" i="5"/>
  <c r="E2367" i="5"/>
  <c r="F2367" i="5"/>
  <c r="E2368" i="5"/>
  <c r="F2368" i="5"/>
  <c r="E2369" i="5"/>
  <c r="F2369" i="5"/>
  <c r="E2370" i="5"/>
  <c r="F2370" i="5"/>
  <c r="E2371" i="5"/>
  <c r="F2371" i="5"/>
  <c r="E2372" i="5"/>
  <c r="F2372" i="5"/>
  <c r="E2373" i="5"/>
  <c r="F2373" i="5"/>
  <c r="E2374" i="5"/>
  <c r="F2374" i="5"/>
  <c r="E2375" i="5"/>
  <c r="F2375" i="5"/>
  <c r="E2376" i="5"/>
  <c r="F2376" i="5"/>
  <c r="E2377" i="5"/>
  <c r="F2377" i="5"/>
  <c r="E2378" i="5"/>
  <c r="F2378" i="5"/>
  <c r="E2379" i="5"/>
  <c r="F2379" i="5"/>
  <c r="E2380" i="5"/>
  <c r="F2380" i="5"/>
  <c r="E2381" i="5"/>
  <c r="F2381" i="5"/>
  <c r="E2382" i="5"/>
  <c r="F2382" i="5"/>
  <c r="E2383" i="5"/>
  <c r="F2383" i="5"/>
  <c r="E2384" i="5"/>
  <c r="F2384" i="5"/>
  <c r="E2385" i="5"/>
  <c r="F2385" i="5"/>
  <c r="E2386" i="5"/>
  <c r="F2386" i="5"/>
  <c r="E2387" i="5"/>
  <c r="F2387" i="5"/>
  <c r="E2388" i="5"/>
  <c r="F2388" i="5"/>
  <c r="E2389" i="5"/>
  <c r="F2389" i="5"/>
  <c r="E2390" i="5"/>
  <c r="F2390" i="5"/>
  <c r="E2391" i="5"/>
  <c r="F2391" i="5"/>
  <c r="E2392" i="5"/>
  <c r="F2392" i="5"/>
  <c r="E2393" i="5"/>
  <c r="F2393" i="5"/>
  <c r="E2394" i="5"/>
  <c r="F2394" i="5"/>
  <c r="E2395" i="5"/>
  <c r="F2395" i="5"/>
  <c r="E2396" i="5"/>
  <c r="F2396" i="5"/>
  <c r="E2397" i="5"/>
  <c r="F2397" i="5"/>
  <c r="E2398" i="5"/>
  <c r="F2398" i="5"/>
  <c r="E2399" i="5"/>
  <c r="F2399" i="5"/>
  <c r="E2400" i="5"/>
  <c r="F2400" i="5"/>
  <c r="E2401" i="5"/>
  <c r="F2401" i="5"/>
  <c r="E2402" i="5"/>
  <c r="F2402" i="5"/>
  <c r="E2403" i="5"/>
  <c r="F2403" i="5"/>
  <c r="E2404" i="5"/>
  <c r="F2404" i="5"/>
  <c r="E2405" i="5"/>
  <c r="F2405" i="5"/>
  <c r="E2406" i="5"/>
  <c r="F2406" i="5"/>
  <c r="E2407" i="5"/>
  <c r="F2407" i="5"/>
  <c r="E2408" i="5"/>
  <c r="F2408" i="5"/>
  <c r="E2409" i="5"/>
  <c r="F2409" i="5"/>
  <c r="E2410" i="5"/>
  <c r="F2410" i="5"/>
  <c r="E2411" i="5"/>
  <c r="F2411" i="5"/>
  <c r="E2412" i="5"/>
  <c r="F2412" i="5"/>
  <c r="E2413" i="5"/>
  <c r="F2413" i="5"/>
  <c r="E2414" i="5"/>
  <c r="F2414" i="5"/>
  <c r="E2415" i="5"/>
  <c r="F2415" i="5"/>
  <c r="E2416" i="5"/>
  <c r="F2416" i="5"/>
  <c r="E2417" i="5"/>
  <c r="F2417" i="5"/>
  <c r="E2418" i="5"/>
  <c r="F2418" i="5"/>
  <c r="E2419" i="5"/>
  <c r="F2419" i="5"/>
  <c r="E2420" i="5"/>
  <c r="F2420" i="5"/>
  <c r="E2421" i="5"/>
  <c r="F2421" i="5"/>
  <c r="E2422" i="5"/>
  <c r="F2422" i="5"/>
  <c r="E2423" i="5"/>
  <c r="F2423" i="5"/>
  <c r="E2424" i="5"/>
  <c r="F2424" i="5"/>
  <c r="E2425" i="5"/>
  <c r="F2425" i="5"/>
  <c r="E2426" i="5"/>
  <c r="F2426" i="5"/>
  <c r="E2427" i="5"/>
  <c r="F2427" i="5"/>
  <c r="E2428" i="5"/>
  <c r="F2428" i="5"/>
  <c r="E2429" i="5"/>
  <c r="F2429" i="5"/>
  <c r="E2430" i="5"/>
  <c r="F2430" i="5"/>
  <c r="E2431" i="5"/>
  <c r="F2431" i="5"/>
  <c r="E2432" i="5"/>
  <c r="F2432" i="5"/>
  <c r="E2433" i="5"/>
  <c r="F2433" i="5"/>
  <c r="E2434" i="5"/>
  <c r="F2434" i="5"/>
  <c r="E2435" i="5"/>
  <c r="F2435" i="5"/>
  <c r="E2436" i="5"/>
  <c r="F2436" i="5"/>
  <c r="E2437" i="5"/>
  <c r="F2437" i="5"/>
  <c r="E2438" i="5"/>
  <c r="F2438" i="5"/>
  <c r="E2439" i="5"/>
  <c r="F2439" i="5"/>
  <c r="E2440" i="5"/>
  <c r="F2440" i="5"/>
  <c r="E2441" i="5"/>
  <c r="F2441" i="5"/>
  <c r="E2442" i="5"/>
  <c r="F2442" i="5"/>
  <c r="E2443" i="5"/>
  <c r="F2443" i="5"/>
  <c r="E2444" i="5"/>
  <c r="F2444" i="5"/>
  <c r="E2445" i="5"/>
  <c r="F2445" i="5"/>
  <c r="E2446" i="5"/>
  <c r="F2446" i="5"/>
  <c r="E2447" i="5"/>
  <c r="F2447" i="5"/>
  <c r="E2448" i="5"/>
  <c r="F2448" i="5"/>
  <c r="E2449" i="5"/>
  <c r="F2449" i="5"/>
  <c r="E2450" i="5"/>
  <c r="F2450" i="5"/>
  <c r="E2451" i="5"/>
  <c r="F2451" i="5"/>
  <c r="E2452" i="5"/>
  <c r="F2452" i="5"/>
  <c r="E2453" i="5"/>
  <c r="F2453" i="5"/>
  <c r="E2454" i="5"/>
  <c r="F2454" i="5"/>
  <c r="E2455" i="5"/>
  <c r="F2455" i="5"/>
  <c r="E2456" i="5"/>
  <c r="F2456" i="5"/>
  <c r="E2457" i="5"/>
  <c r="F2457" i="5"/>
  <c r="E2458" i="5"/>
  <c r="F2458" i="5"/>
  <c r="E2459" i="5"/>
  <c r="F2459" i="5"/>
  <c r="E2460" i="5"/>
  <c r="F2460" i="5"/>
  <c r="E2461" i="5"/>
  <c r="F2461" i="5"/>
  <c r="E2462" i="5"/>
  <c r="F2462" i="5"/>
  <c r="E2463" i="5"/>
  <c r="F2463" i="5"/>
  <c r="E2464" i="5"/>
  <c r="F2464" i="5"/>
  <c r="E2465" i="5"/>
  <c r="F2465" i="5"/>
  <c r="E2466" i="5"/>
  <c r="F2466" i="5"/>
  <c r="E2467" i="5"/>
  <c r="F2467" i="5"/>
  <c r="E2468" i="5"/>
  <c r="F2468" i="5"/>
  <c r="E2469" i="5"/>
  <c r="F2469" i="5"/>
  <c r="E2470" i="5"/>
  <c r="F2470" i="5"/>
  <c r="E2471" i="5"/>
  <c r="F2471" i="5"/>
  <c r="E2472" i="5"/>
  <c r="F2472" i="5"/>
  <c r="E2473" i="5"/>
  <c r="F2473" i="5"/>
  <c r="E2474" i="5"/>
  <c r="F2474" i="5"/>
  <c r="E2475" i="5"/>
  <c r="F2475" i="5"/>
  <c r="E2476" i="5"/>
  <c r="F2476" i="5"/>
  <c r="E2477" i="5"/>
  <c r="F2477" i="5"/>
  <c r="E2478" i="5"/>
  <c r="F2478" i="5"/>
  <c r="E2479" i="5"/>
  <c r="F2479" i="5"/>
  <c r="E2480" i="5"/>
  <c r="F2480" i="5"/>
  <c r="E2481" i="5"/>
  <c r="F2481" i="5"/>
  <c r="E2482" i="5"/>
  <c r="F2482" i="5"/>
  <c r="E2483" i="5"/>
  <c r="F2483" i="5"/>
  <c r="E2484" i="5"/>
  <c r="F2484" i="5"/>
  <c r="E2485" i="5"/>
  <c r="F2485" i="5"/>
  <c r="E2486" i="5"/>
  <c r="F2486" i="5"/>
  <c r="E2487" i="5"/>
  <c r="F2487" i="5"/>
  <c r="E2488" i="5"/>
  <c r="F2488" i="5"/>
  <c r="E2489" i="5"/>
  <c r="F2489" i="5"/>
  <c r="E2490" i="5"/>
  <c r="F2490" i="5"/>
  <c r="E2491" i="5"/>
  <c r="F2491" i="5"/>
  <c r="E2492" i="5"/>
  <c r="F2492" i="5"/>
  <c r="E2493" i="5"/>
  <c r="F2493" i="5"/>
  <c r="E2494" i="5"/>
  <c r="F2494" i="5"/>
  <c r="E2495" i="5"/>
  <c r="F2495" i="5"/>
  <c r="E2496" i="5"/>
  <c r="F2496" i="5"/>
  <c r="E2497" i="5"/>
  <c r="F2497" i="5"/>
  <c r="E2498" i="5"/>
  <c r="F2498" i="5"/>
  <c r="E2499" i="5"/>
  <c r="F2499" i="5"/>
  <c r="E2500" i="5"/>
  <c r="F2500" i="5"/>
  <c r="E2501" i="5"/>
  <c r="F2501" i="5"/>
  <c r="E2502" i="5"/>
  <c r="F2502" i="5"/>
  <c r="E2503" i="5"/>
  <c r="F2503" i="5"/>
  <c r="E2504" i="5"/>
  <c r="F2504" i="5"/>
  <c r="E2505" i="5"/>
  <c r="F2505" i="5"/>
  <c r="E2506" i="5"/>
  <c r="F2506" i="5"/>
  <c r="E2507" i="5"/>
  <c r="F2507" i="5"/>
  <c r="E2508" i="5"/>
  <c r="F2508" i="5"/>
  <c r="E2509" i="5"/>
  <c r="F2509" i="5"/>
  <c r="E2510" i="5"/>
  <c r="F2510" i="5"/>
  <c r="E2511" i="5"/>
  <c r="F2511" i="5"/>
  <c r="E2512" i="5"/>
  <c r="F2512" i="5"/>
  <c r="E2513" i="5"/>
  <c r="F2513" i="5"/>
  <c r="E2514" i="5"/>
  <c r="F2514" i="5"/>
  <c r="E2515" i="5"/>
  <c r="F2515" i="5"/>
  <c r="E2516" i="5"/>
  <c r="F2516" i="5"/>
  <c r="E2517" i="5"/>
  <c r="F2517" i="5"/>
  <c r="E2518" i="5"/>
  <c r="F2518" i="5"/>
  <c r="E2519" i="5"/>
  <c r="F2519" i="5"/>
  <c r="E2520" i="5"/>
  <c r="F2520" i="5"/>
  <c r="E2521" i="5"/>
  <c r="F2521" i="5"/>
  <c r="E2522" i="5"/>
  <c r="F2522" i="5"/>
  <c r="E2523" i="5"/>
  <c r="F2523" i="5"/>
  <c r="E2524" i="5"/>
  <c r="F2524" i="5"/>
  <c r="E2525" i="5"/>
  <c r="F2525" i="5"/>
  <c r="E2526" i="5"/>
  <c r="F2526" i="5"/>
  <c r="E2527" i="5"/>
  <c r="F2527" i="5"/>
  <c r="E2528" i="5"/>
  <c r="F2528" i="5"/>
  <c r="E2529" i="5"/>
  <c r="F2529" i="5"/>
  <c r="E2530" i="5"/>
  <c r="F2530" i="5"/>
  <c r="E2531" i="5"/>
  <c r="F2531" i="5"/>
  <c r="E2532" i="5"/>
  <c r="F2532" i="5"/>
  <c r="E2533" i="5"/>
  <c r="F2533" i="5"/>
  <c r="E2534" i="5"/>
  <c r="F2534" i="5"/>
  <c r="E2535" i="5"/>
  <c r="F2535" i="5"/>
  <c r="E2536" i="5"/>
  <c r="F2536" i="5"/>
  <c r="E2537" i="5"/>
  <c r="F2537" i="5"/>
  <c r="E2538" i="5"/>
  <c r="F2538" i="5"/>
  <c r="E2539" i="5"/>
  <c r="F2539" i="5"/>
  <c r="E2540" i="5"/>
  <c r="F2540" i="5"/>
  <c r="E2541" i="5"/>
  <c r="F2541" i="5"/>
  <c r="E2542" i="5"/>
  <c r="F2542" i="5"/>
  <c r="E2543" i="5"/>
  <c r="F2543" i="5"/>
  <c r="E2544" i="5"/>
  <c r="F2544" i="5"/>
  <c r="E2545" i="5"/>
  <c r="F2545" i="5"/>
  <c r="E2546" i="5"/>
  <c r="F2546" i="5"/>
  <c r="E2547" i="5"/>
  <c r="F2547" i="5"/>
  <c r="E2548" i="5"/>
  <c r="F2548" i="5"/>
  <c r="E2549" i="5"/>
  <c r="F2549" i="5"/>
  <c r="E2550" i="5"/>
  <c r="F2550" i="5"/>
  <c r="E2551" i="5"/>
  <c r="F2551" i="5"/>
  <c r="E2552" i="5"/>
  <c r="F2552" i="5"/>
  <c r="E2553" i="5"/>
  <c r="F2553" i="5"/>
  <c r="E2554" i="5"/>
  <c r="F2554" i="5"/>
  <c r="E2555" i="5"/>
  <c r="F2555" i="5"/>
  <c r="E2556" i="5"/>
  <c r="F2556" i="5"/>
  <c r="E2557" i="5"/>
  <c r="F2557" i="5"/>
  <c r="E2558" i="5"/>
  <c r="F2558" i="5"/>
  <c r="E2559" i="5"/>
  <c r="F2559" i="5"/>
  <c r="E2560" i="5"/>
  <c r="F2560" i="5"/>
  <c r="E2561" i="5"/>
  <c r="F2561" i="5"/>
  <c r="E2562" i="5"/>
  <c r="F2562" i="5"/>
  <c r="E2563" i="5"/>
  <c r="F2563" i="5"/>
  <c r="E2564" i="5"/>
  <c r="F2564" i="5"/>
  <c r="E2565" i="5"/>
  <c r="F2565" i="5"/>
  <c r="E2566" i="5"/>
  <c r="F2566" i="5"/>
  <c r="E2567" i="5"/>
  <c r="F2567" i="5"/>
  <c r="E2568" i="5"/>
  <c r="F2568" i="5"/>
  <c r="E2569" i="5"/>
  <c r="F2569" i="5"/>
  <c r="E2570" i="5"/>
  <c r="F2570" i="5"/>
  <c r="E2571" i="5"/>
  <c r="F2571" i="5"/>
  <c r="E2572" i="5"/>
  <c r="F2572" i="5"/>
  <c r="E2573" i="5"/>
  <c r="F2573" i="5"/>
  <c r="E2574" i="5"/>
  <c r="F2574" i="5"/>
  <c r="E2575" i="5"/>
  <c r="F2575" i="5"/>
  <c r="E2576" i="5"/>
  <c r="F2576" i="5"/>
  <c r="E2577" i="5"/>
  <c r="F2577" i="5"/>
  <c r="E2578" i="5"/>
  <c r="F2578" i="5"/>
  <c r="E2579" i="5"/>
  <c r="F2579" i="5"/>
  <c r="E2580" i="5"/>
  <c r="F2580" i="5"/>
  <c r="E2581" i="5"/>
  <c r="F2581" i="5"/>
  <c r="E2582" i="5"/>
  <c r="F2582" i="5"/>
  <c r="E2583" i="5"/>
  <c r="F2583" i="5"/>
  <c r="E2584" i="5"/>
  <c r="F2584" i="5"/>
  <c r="E2585" i="5"/>
  <c r="F2585" i="5"/>
  <c r="E2586" i="5"/>
  <c r="F2586" i="5"/>
  <c r="E2587" i="5"/>
  <c r="F2587" i="5"/>
  <c r="E2588" i="5"/>
  <c r="F2588" i="5"/>
  <c r="E2589" i="5"/>
  <c r="F2589" i="5"/>
  <c r="E2590" i="5"/>
  <c r="F2590" i="5"/>
  <c r="E2591" i="5"/>
  <c r="F2591" i="5"/>
  <c r="E2592" i="5"/>
  <c r="F2592" i="5"/>
  <c r="E2593" i="5"/>
  <c r="F2593" i="5"/>
  <c r="E2594" i="5"/>
  <c r="F2594" i="5"/>
  <c r="E2595" i="5"/>
  <c r="F2595" i="5"/>
  <c r="E2596" i="5"/>
  <c r="F2596" i="5"/>
  <c r="E2597" i="5"/>
  <c r="F2597" i="5"/>
  <c r="E2598" i="5"/>
  <c r="F2598" i="5"/>
  <c r="E2599" i="5"/>
  <c r="F2599" i="5"/>
  <c r="E2600" i="5"/>
  <c r="F2600" i="5"/>
  <c r="E2601" i="5"/>
  <c r="F2601" i="5"/>
  <c r="E2602" i="5"/>
  <c r="F2602" i="5"/>
  <c r="E2603" i="5"/>
  <c r="F2603" i="5"/>
  <c r="E2604" i="5"/>
  <c r="F2604" i="5"/>
  <c r="E2605" i="5"/>
  <c r="F2605" i="5"/>
  <c r="E2606" i="5"/>
  <c r="F2606" i="5"/>
  <c r="E2607" i="5"/>
  <c r="F2607" i="5"/>
  <c r="E2608" i="5"/>
  <c r="F2608" i="5"/>
  <c r="E2609" i="5"/>
  <c r="F2609" i="5"/>
  <c r="E2610" i="5"/>
  <c r="F2610" i="5"/>
  <c r="E2611" i="5"/>
  <c r="F2611" i="5"/>
  <c r="E2612" i="5"/>
  <c r="F2612" i="5"/>
  <c r="E2613" i="5"/>
  <c r="F2613" i="5"/>
  <c r="E2614" i="5"/>
  <c r="F2614" i="5"/>
  <c r="E2615" i="5"/>
  <c r="F2615" i="5"/>
  <c r="E2616" i="5"/>
  <c r="F2616" i="5"/>
  <c r="E2617" i="5"/>
  <c r="F2617" i="5"/>
  <c r="E2618" i="5"/>
  <c r="F2618" i="5"/>
  <c r="E2619" i="5"/>
  <c r="F2619" i="5"/>
  <c r="E2620" i="5"/>
  <c r="F2620" i="5"/>
  <c r="E2621" i="5"/>
  <c r="F2621" i="5"/>
  <c r="E2622" i="5"/>
  <c r="F2622" i="5"/>
  <c r="E2623" i="5"/>
  <c r="F2623" i="5"/>
  <c r="E2624" i="5"/>
  <c r="F2624" i="5"/>
  <c r="E2625" i="5"/>
  <c r="F2625" i="5"/>
  <c r="E2626" i="5"/>
  <c r="F2626" i="5"/>
  <c r="E2627" i="5"/>
  <c r="F2627" i="5"/>
  <c r="E2628" i="5"/>
  <c r="F2628" i="5"/>
  <c r="E2629" i="5"/>
  <c r="F2629" i="5"/>
  <c r="E2630" i="5"/>
  <c r="F2630" i="5"/>
  <c r="E2631" i="5"/>
  <c r="F2631" i="5"/>
  <c r="E2632" i="5"/>
  <c r="F2632" i="5"/>
  <c r="E2633" i="5"/>
  <c r="F2633" i="5"/>
  <c r="E2634" i="5"/>
  <c r="F2634" i="5"/>
  <c r="E2635" i="5"/>
  <c r="F2635" i="5"/>
  <c r="E2636" i="5"/>
  <c r="F2636" i="5"/>
  <c r="E2637" i="5"/>
  <c r="F2637" i="5"/>
  <c r="E2638" i="5"/>
  <c r="F2638" i="5"/>
  <c r="E2639" i="5"/>
  <c r="F2639" i="5"/>
  <c r="E2640" i="5"/>
  <c r="F2640" i="5"/>
  <c r="E2641" i="5"/>
  <c r="F2641" i="5"/>
  <c r="E2642" i="5"/>
  <c r="F2642" i="5"/>
  <c r="E2643" i="5"/>
  <c r="F2643" i="5"/>
  <c r="E2644" i="5"/>
  <c r="F2644" i="5"/>
  <c r="E2645" i="5"/>
  <c r="F2645" i="5"/>
  <c r="E2646" i="5"/>
  <c r="F2646" i="5"/>
  <c r="E2647" i="5"/>
  <c r="F2647" i="5"/>
  <c r="E2648" i="5"/>
  <c r="F2648" i="5"/>
  <c r="E2649" i="5"/>
  <c r="F2649" i="5"/>
  <c r="E2650" i="5"/>
  <c r="F2650" i="5"/>
  <c r="E2651" i="5"/>
  <c r="F2651" i="5"/>
  <c r="E2652" i="5"/>
  <c r="F2652" i="5"/>
  <c r="E2653" i="5"/>
  <c r="F2653" i="5"/>
  <c r="E2654" i="5"/>
  <c r="F2654" i="5"/>
  <c r="E2655" i="5"/>
  <c r="F2655" i="5"/>
  <c r="E2656" i="5"/>
  <c r="F2656" i="5"/>
  <c r="E2657" i="5"/>
  <c r="F2657" i="5"/>
  <c r="E2658" i="5"/>
  <c r="F2658" i="5"/>
  <c r="E2659" i="5"/>
  <c r="F2659" i="5"/>
  <c r="E2660" i="5"/>
  <c r="F2660" i="5"/>
  <c r="E2661" i="5"/>
  <c r="F2661" i="5"/>
  <c r="E2662" i="5"/>
  <c r="F2662" i="5"/>
  <c r="E2663" i="5"/>
  <c r="F2663" i="5"/>
  <c r="E2664" i="5"/>
  <c r="F2664" i="5"/>
  <c r="E2665" i="5"/>
  <c r="F2665" i="5"/>
  <c r="E2666" i="5"/>
  <c r="F2666" i="5"/>
  <c r="E2667" i="5"/>
  <c r="F2667" i="5"/>
  <c r="E2668" i="5"/>
  <c r="F2668" i="5"/>
  <c r="E2669" i="5"/>
  <c r="F2669" i="5"/>
  <c r="E2670" i="5"/>
  <c r="F2670" i="5"/>
  <c r="E2671" i="5"/>
  <c r="F2671" i="5"/>
  <c r="E2672" i="5"/>
  <c r="F2672" i="5"/>
  <c r="E2673" i="5"/>
  <c r="F2673" i="5"/>
  <c r="E2674" i="5"/>
  <c r="F2674" i="5"/>
  <c r="E2675" i="5"/>
  <c r="F2675" i="5"/>
  <c r="E2676" i="5"/>
  <c r="F2676" i="5"/>
  <c r="E2677" i="5"/>
  <c r="F2677" i="5"/>
  <c r="E2678" i="5"/>
  <c r="F2678" i="5"/>
  <c r="E2679" i="5"/>
  <c r="F2679" i="5"/>
  <c r="E2680" i="5"/>
  <c r="F2680" i="5"/>
  <c r="E2681" i="5"/>
  <c r="F2681" i="5"/>
  <c r="E2682" i="5"/>
  <c r="F2682" i="5"/>
  <c r="E2683" i="5"/>
  <c r="F2683" i="5"/>
  <c r="E2684" i="5"/>
  <c r="F2684" i="5"/>
  <c r="E2685" i="5"/>
  <c r="F2685" i="5"/>
  <c r="E2686" i="5"/>
  <c r="F2686" i="5"/>
  <c r="E2687" i="5"/>
  <c r="F2687" i="5"/>
  <c r="E2688" i="5"/>
  <c r="F2688" i="5"/>
  <c r="E2689" i="5"/>
  <c r="F2689" i="5"/>
  <c r="E2690" i="5"/>
  <c r="F2690" i="5"/>
  <c r="E2691" i="5"/>
  <c r="F2691" i="5"/>
  <c r="E2692" i="5"/>
  <c r="F2692" i="5"/>
  <c r="E2693" i="5"/>
  <c r="F2693" i="5"/>
  <c r="E2694" i="5"/>
  <c r="F2694" i="5"/>
  <c r="E2695" i="5"/>
  <c r="F2695" i="5"/>
  <c r="E2696" i="5"/>
  <c r="F2696" i="5"/>
  <c r="E2697" i="5"/>
  <c r="F2697" i="5"/>
  <c r="E2698" i="5"/>
  <c r="F2698" i="5"/>
  <c r="E2699" i="5"/>
  <c r="F2699" i="5"/>
  <c r="E2700" i="5"/>
  <c r="F2700" i="5"/>
  <c r="E2701" i="5"/>
  <c r="F2701" i="5"/>
  <c r="E2702" i="5"/>
  <c r="F2702" i="5"/>
  <c r="E2703" i="5"/>
  <c r="F2703" i="5"/>
  <c r="E2704" i="5"/>
  <c r="F2704" i="5"/>
  <c r="E2705" i="5"/>
  <c r="F2705" i="5"/>
  <c r="E2706" i="5"/>
  <c r="F2706" i="5"/>
  <c r="E2707" i="5"/>
  <c r="F2707" i="5"/>
  <c r="E2708" i="5"/>
  <c r="F2708" i="5"/>
  <c r="E2709" i="5"/>
  <c r="F2709" i="5"/>
  <c r="E2710" i="5"/>
  <c r="F2710" i="5"/>
  <c r="E2711" i="5"/>
  <c r="F2711" i="5"/>
  <c r="E2712" i="5"/>
  <c r="F2712" i="5"/>
  <c r="E2713" i="5"/>
  <c r="F2713" i="5"/>
  <c r="E2714" i="5"/>
  <c r="F2714" i="5"/>
  <c r="E2715" i="5"/>
  <c r="F2715" i="5"/>
  <c r="E2716" i="5"/>
  <c r="F2716" i="5"/>
  <c r="E2717" i="5"/>
  <c r="F2717" i="5"/>
  <c r="E2718" i="5"/>
  <c r="F2718" i="5"/>
  <c r="E2719" i="5"/>
  <c r="F2719" i="5"/>
  <c r="E2720" i="5"/>
  <c r="F2720" i="5"/>
  <c r="E2721" i="5"/>
  <c r="F2721" i="5"/>
  <c r="E2722" i="5"/>
  <c r="F2722" i="5"/>
  <c r="E2723" i="5"/>
  <c r="F2723" i="5"/>
  <c r="E2724" i="5"/>
  <c r="F2724" i="5"/>
  <c r="E2725" i="5"/>
  <c r="F2725" i="5"/>
  <c r="E2726" i="5"/>
  <c r="F2726" i="5"/>
  <c r="E2727" i="5"/>
  <c r="F2727" i="5"/>
  <c r="E2728" i="5"/>
  <c r="F2728" i="5"/>
  <c r="E2729" i="5"/>
  <c r="F2729" i="5"/>
  <c r="E2730" i="5"/>
  <c r="F2730" i="5"/>
  <c r="E2731" i="5"/>
  <c r="F2731" i="5"/>
  <c r="E2732" i="5"/>
  <c r="F2732" i="5"/>
  <c r="E2733" i="5"/>
  <c r="F2733" i="5"/>
  <c r="E2734" i="5"/>
  <c r="F2734" i="5"/>
  <c r="E2735" i="5"/>
  <c r="F2735" i="5"/>
  <c r="E2736" i="5"/>
  <c r="F2736" i="5"/>
  <c r="E2737" i="5"/>
  <c r="F2737" i="5"/>
  <c r="E2738" i="5"/>
  <c r="F2738" i="5"/>
  <c r="E2739" i="5"/>
  <c r="F2739" i="5"/>
  <c r="E2740" i="5"/>
  <c r="F2740" i="5"/>
  <c r="E2741" i="5"/>
  <c r="F2741" i="5"/>
  <c r="E2742" i="5"/>
  <c r="F2742" i="5"/>
  <c r="E2743" i="5"/>
  <c r="F2743" i="5"/>
  <c r="E2744" i="5"/>
  <c r="F2744" i="5"/>
  <c r="E2745" i="5"/>
  <c r="F2745" i="5"/>
  <c r="E2746" i="5"/>
  <c r="F2746" i="5"/>
  <c r="E2747" i="5"/>
  <c r="F2747" i="5"/>
  <c r="E2748" i="5"/>
  <c r="F2748" i="5"/>
  <c r="E2749" i="5"/>
  <c r="F2749" i="5"/>
  <c r="E2750" i="5"/>
  <c r="F2750" i="5"/>
  <c r="E2751" i="5"/>
  <c r="F2751" i="5"/>
  <c r="E2752" i="5"/>
  <c r="F2752" i="5"/>
  <c r="E2753" i="5"/>
  <c r="F2753" i="5"/>
  <c r="E2754" i="5"/>
  <c r="F2754" i="5"/>
  <c r="E2755" i="5"/>
  <c r="F2755" i="5"/>
  <c r="E2756" i="5"/>
  <c r="F2756" i="5"/>
  <c r="E2757" i="5"/>
  <c r="F2757" i="5"/>
  <c r="E2758" i="5"/>
  <c r="F2758" i="5"/>
  <c r="E2759" i="5"/>
  <c r="F2759" i="5"/>
  <c r="E2760" i="5"/>
  <c r="F2760" i="5"/>
  <c r="E2761" i="5"/>
  <c r="F2761" i="5"/>
  <c r="E2762" i="5"/>
  <c r="F2762" i="5"/>
  <c r="E2763" i="5"/>
  <c r="F2763" i="5"/>
  <c r="E2764" i="5"/>
  <c r="F2764" i="5"/>
  <c r="E2765" i="5"/>
  <c r="F2765" i="5"/>
  <c r="E2766" i="5"/>
  <c r="F2766" i="5"/>
  <c r="E2767" i="5"/>
  <c r="F2767" i="5"/>
  <c r="E2768" i="5"/>
  <c r="F2768" i="5"/>
  <c r="E2769" i="5"/>
  <c r="F2769" i="5"/>
  <c r="E2770" i="5"/>
  <c r="F2770" i="5"/>
  <c r="E2771" i="5"/>
  <c r="F2771" i="5"/>
  <c r="E2772" i="5"/>
  <c r="F2772" i="5"/>
  <c r="E2773" i="5"/>
  <c r="F2773" i="5"/>
  <c r="E2774" i="5"/>
  <c r="F2774" i="5"/>
  <c r="E2775" i="5"/>
  <c r="F2775" i="5"/>
  <c r="E2776" i="5"/>
  <c r="F2776" i="5"/>
  <c r="E2777" i="5"/>
  <c r="F2777" i="5"/>
  <c r="E2778" i="5"/>
  <c r="F2778" i="5"/>
  <c r="E2779" i="5"/>
  <c r="F2779" i="5"/>
  <c r="E2780" i="5"/>
  <c r="F2780" i="5"/>
  <c r="E2781" i="5"/>
  <c r="F2781" i="5"/>
  <c r="E2782" i="5"/>
  <c r="F2782" i="5"/>
  <c r="E2783" i="5"/>
  <c r="F2783" i="5"/>
  <c r="E2784" i="5"/>
  <c r="F2784" i="5"/>
  <c r="E2785" i="5"/>
  <c r="F2785" i="5"/>
  <c r="E2786" i="5"/>
  <c r="F2786" i="5"/>
  <c r="E2787" i="5"/>
  <c r="F2787" i="5"/>
  <c r="E2788" i="5"/>
  <c r="F2788" i="5"/>
  <c r="E2789" i="5"/>
  <c r="F2789" i="5"/>
  <c r="E2790" i="5"/>
  <c r="F2790" i="5"/>
  <c r="E2791" i="5"/>
  <c r="F2791" i="5"/>
  <c r="E2792" i="5"/>
  <c r="F2792" i="5"/>
  <c r="E2793" i="5"/>
  <c r="F2793" i="5"/>
  <c r="E2794" i="5"/>
  <c r="F2794" i="5"/>
  <c r="E2795" i="5"/>
  <c r="F2795" i="5"/>
  <c r="E2796" i="5"/>
  <c r="F2796" i="5"/>
  <c r="E2797" i="5"/>
  <c r="F2797" i="5"/>
  <c r="E2798" i="5"/>
  <c r="F2798" i="5"/>
  <c r="E2799" i="5"/>
  <c r="F2799" i="5"/>
  <c r="E2800" i="5"/>
  <c r="F2800" i="5"/>
  <c r="E2801" i="5"/>
  <c r="F2801" i="5"/>
  <c r="E2802" i="5"/>
  <c r="F2802" i="5"/>
  <c r="E2803" i="5"/>
  <c r="F2803" i="5"/>
  <c r="E2804" i="5"/>
  <c r="F2804" i="5"/>
  <c r="E2805" i="5"/>
  <c r="F2805" i="5"/>
  <c r="E2806" i="5"/>
  <c r="F2806" i="5"/>
  <c r="E2807" i="5"/>
  <c r="F2807" i="5"/>
  <c r="E2808" i="5"/>
  <c r="F2808" i="5"/>
  <c r="E2809" i="5"/>
  <c r="F2809" i="5"/>
  <c r="E2810" i="5"/>
  <c r="F2810" i="5"/>
  <c r="E2811" i="5"/>
  <c r="F2811" i="5"/>
  <c r="E2812" i="5"/>
  <c r="F2812" i="5"/>
  <c r="E2813" i="5"/>
  <c r="F2813" i="5"/>
  <c r="E2814" i="5"/>
  <c r="F2814" i="5"/>
  <c r="E2815" i="5"/>
  <c r="F2815" i="5"/>
  <c r="E2816" i="5"/>
  <c r="F2816" i="5"/>
  <c r="E2817" i="5"/>
  <c r="F2817" i="5"/>
  <c r="E2818" i="5"/>
  <c r="F2818" i="5"/>
  <c r="E2819" i="5"/>
  <c r="F2819" i="5"/>
  <c r="E2820" i="5"/>
  <c r="F2820" i="5"/>
  <c r="E2821" i="5"/>
  <c r="F2821" i="5"/>
  <c r="E2822" i="5"/>
  <c r="F2822" i="5"/>
  <c r="E2823" i="5"/>
  <c r="F2823" i="5"/>
  <c r="E2824" i="5"/>
  <c r="F2824" i="5"/>
  <c r="E2825" i="5"/>
  <c r="F2825" i="5"/>
  <c r="E2826" i="5"/>
  <c r="F2826" i="5"/>
  <c r="E2827" i="5"/>
  <c r="F2827" i="5"/>
  <c r="E2828" i="5"/>
  <c r="F2828" i="5"/>
  <c r="E2829" i="5"/>
  <c r="F2829" i="5"/>
  <c r="E2830" i="5"/>
  <c r="F2830" i="5"/>
  <c r="E2831" i="5"/>
  <c r="F2831" i="5"/>
  <c r="E2832" i="5"/>
  <c r="F2832" i="5"/>
  <c r="E2833" i="5"/>
  <c r="F2833" i="5"/>
  <c r="E2834" i="5"/>
  <c r="F2834" i="5"/>
  <c r="E2835" i="5"/>
  <c r="F2835" i="5"/>
  <c r="E2836" i="5"/>
  <c r="F2836" i="5"/>
  <c r="E2837" i="5"/>
  <c r="F2837" i="5"/>
  <c r="E2838" i="5"/>
  <c r="F2838" i="5"/>
  <c r="E2839" i="5"/>
  <c r="F2839" i="5"/>
  <c r="E2840" i="5"/>
  <c r="F2840" i="5"/>
  <c r="E2841" i="5"/>
  <c r="F2841" i="5"/>
  <c r="E2842" i="5"/>
  <c r="F2842" i="5"/>
  <c r="E2843" i="5"/>
  <c r="F2843" i="5"/>
  <c r="E2844" i="5"/>
  <c r="F2844" i="5"/>
  <c r="E2845" i="5"/>
  <c r="F2845" i="5"/>
  <c r="E2846" i="5"/>
  <c r="F2846" i="5"/>
  <c r="E2847" i="5"/>
  <c r="F2847" i="5"/>
  <c r="E2848" i="5"/>
  <c r="F2848" i="5"/>
  <c r="E2849" i="5"/>
  <c r="F2849" i="5"/>
  <c r="E2850" i="5"/>
  <c r="F2850" i="5"/>
  <c r="E2851" i="5"/>
  <c r="F2851" i="5"/>
  <c r="E2852" i="5"/>
  <c r="F2852" i="5"/>
  <c r="E2853" i="5"/>
  <c r="F2853" i="5"/>
  <c r="E2854" i="5"/>
  <c r="F2854" i="5"/>
  <c r="E2855" i="5"/>
  <c r="F2855" i="5"/>
  <c r="E2856" i="5"/>
  <c r="F2856" i="5"/>
  <c r="E2857" i="5"/>
  <c r="F2857" i="5"/>
  <c r="E2858" i="5"/>
  <c r="F2858" i="5"/>
  <c r="E2859" i="5"/>
  <c r="F2859" i="5"/>
  <c r="E2860" i="5"/>
  <c r="F2860" i="5"/>
  <c r="E2861" i="5"/>
  <c r="F2861" i="5"/>
  <c r="E2862" i="5"/>
  <c r="F2862" i="5"/>
  <c r="E2863" i="5"/>
  <c r="F2863" i="5"/>
  <c r="E2864" i="5"/>
  <c r="F2864" i="5"/>
  <c r="E2865" i="5"/>
  <c r="F2865" i="5"/>
  <c r="E2866" i="5"/>
  <c r="F2866" i="5"/>
  <c r="E2867" i="5"/>
  <c r="F2867" i="5"/>
  <c r="E2868" i="5"/>
  <c r="F2868" i="5"/>
  <c r="E2869" i="5"/>
  <c r="F2869" i="5"/>
  <c r="E2870" i="5"/>
  <c r="F2870" i="5"/>
  <c r="E2871" i="5"/>
  <c r="F2871" i="5"/>
  <c r="E2872" i="5"/>
  <c r="F2872" i="5"/>
  <c r="E2873" i="5"/>
  <c r="F2873" i="5"/>
  <c r="E2874" i="5"/>
  <c r="F2874" i="5"/>
  <c r="E2875" i="5"/>
  <c r="F2875" i="5"/>
  <c r="E2876" i="5"/>
  <c r="F2876" i="5"/>
  <c r="E2877" i="5"/>
  <c r="F2877" i="5"/>
  <c r="E2878" i="5"/>
  <c r="F2878" i="5"/>
  <c r="E2879" i="5"/>
  <c r="F2879" i="5"/>
  <c r="E2880" i="5"/>
  <c r="F2880" i="5"/>
  <c r="E2881" i="5"/>
  <c r="F2881" i="5"/>
  <c r="E2882" i="5"/>
  <c r="F2882" i="5"/>
  <c r="E2883" i="5"/>
  <c r="F2883" i="5"/>
  <c r="E2884" i="5"/>
  <c r="F2884" i="5"/>
  <c r="E2885" i="5"/>
  <c r="F2885" i="5"/>
  <c r="E2886" i="5"/>
  <c r="F2886" i="5"/>
  <c r="E2887" i="5"/>
  <c r="F2887" i="5"/>
  <c r="E2888" i="5"/>
  <c r="F2888" i="5"/>
  <c r="E2889" i="5"/>
  <c r="F2889" i="5"/>
  <c r="E2890" i="5"/>
  <c r="F2890" i="5"/>
  <c r="E2891" i="5"/>
  <c r="F2891" i="5"/>
  <c r="E2892" i="5"/>
  <c r="F2892" i="5"/>
  <c r="E2893" i="5"/>
  <c r="F2893" i="5"/>
  <c r="E2894" i="5"/>
  <c r="F2894" i="5"/>
  <c r="E2895" i="5"/>
  <c r="F2895" i="5"/>
  <c r="E2896" i="5"/>
  <c r="F2896" i="5"/>
  <c r="E2897" i="5"/>
  <c r="F2897" i="5"/>
  <c r="E2898" i="5"/>
  <c r="F2898" i="5"/>
  <c r="E2899" i="5"/>
  <c r="F2899" i="5"/>
  <c r="E2900" i="5"/>
  <c r="F2900" i="5"/>
  <c r="E2901" i="5"/>
  <c r="F2901" i="5"/>
  <c r="E2902" i="5"/>
  <c r="F2902" i="5"/>
  <c r="E2903" i="5"/>
  <c r="F2903" i="5"/>
  <c r="E2904" i="5"/>
  <c r="F2904" i="5"/>
  <c r="E2905" i="5"/>
  <c r="F2905" i="5"/>
  <c r="E2906" i="5"/>
  <c r="F2906" i="5"/>
  <c r="E2907" i="5"/>
  <c r="F2907" i="5"/>
  <c r="E2908" i="5"/>
  <c r="F2908" i="5"/>
  <c r="E2909" i="5"/>
  <c r="F2909" i="5"/>
  <c r="E2910" i="5"/>
  <c r="F2910" i="5"/>
  <c r="E2911" i="5"/>
  <c r="F2911" i="5"/>
  <c r="E2912" i="5"/>
  <c r="F2912" i="5"/>
  <c r="E2913" i="5"/>
  <c r="F2913" i="5"/>
  <c r="E2914" i="5"/>
  <c r="F2914" i="5"/>
  <c r="E2915" i="5"/>
  <c r="F2915" i="5"/>
  <c r="E2916" i="5"/>
  <c r="F2916" i="5"/>
  <c r="E2917" i="5"/>
  <c r="F2917" i="5"/>
  <c r="E2918" i="5"/>
  <c r="F2918" i="5"/>
  <c r="E2919" i="5"/>
  <c r="F2919" i="5"/>
  <c r="E2920" i="5"/>
  <c r="F2920" i="5"/>
  <c r="E2921" i="5"/>
  <c r="F2921" i="5"/>
  <c r="E2922" i="5"/>
  <c r="F2922" i="5"/>
  <c r="E2923" i="5"/>
  <c r="F2923" i="5"/>
  <c r="E2924" i="5"/>
  <c r="F2924" i="5"/>
  <c r="E2925" i="5"/>
  <c r="F2925" i="5"/>
  <c r="E2926" i="5"/>
  <c r="F2926" i="5"/>
  <c r="E2927" i="5"/>
  <c r="F2927" i="5"/>
  <c r="E2928" i="5"/>
  <c r="F2928" i="5"/>
  <c r="E2929" i="5"/>
  <c r="F2929" i="5"/>
  <c r="E2930" i="5"/>
  <c r="F2930" i="5"/>
  <c r="E2931" i="5"/>
  <c r="F2931" i="5"/>
  <c r="E2932" i="5"/>
  <c r="F2932" i="5"/>
  <c r="E2933" i="5"/>
  <c r="F2933" i="5"/>
  <c r="E2934" i="5"/>
  <c r="F2934" i="5"/>
  <c r="E2935" i="5"/>
  <c r="F2935" i="5"/>
  <c r="E2936" i="5"/>
  <c r="F2936" i="5"/>
  <c r="E2937" i="5"/>
  <c r="F2937" i="5"/>
  <c r="E2938" i="5"/>
  <c r="F2938" i="5"/>
  <c r="E2939" i="5"/>
  <c r="F2939" i="5"/>
  <c r="E2940" i="5"/>
  <c r="F2940" i="5"/>
  <c r="E2941" i="5"/>
  <c r="F2941" i="5"/>
  <c r="E2942" i="5"/>
  <c r="F2942" i="5"/>
  <c r="E2943" i="5"/>
  <c r="F2943" i="5"/>
  <c r="E2944" i="5"/>
  <c r="F2944" i="5"/>
  <c r="E2945" i="5"/>
  <c r="F2945" i="5"/>
  <c r="E2946" i="5"/>
  <c r="F2946" i="5"/>
  <c r="E2947" i="5"/>
  <c r="F2947" i="5"/>
  <c r="E2948" i="5"/>
  <c r="F2948" i="5"/>
  <c r="E2949" i="5"/>
  <c r="F2949" i="5"/>
  <c r="E2950" i="5"/>
  <c r="F2950" i="5"/>
  <c r="E2951" i="5"/>
  <c r="F2951" i="5"/>
  <c r="E2952" i="5"/>
  <c r="F2952" i="5"/>
  <c r="E2953" i="5"/>
  <c r="F2953" i="5"/>
  <c r="E2954" i="5"/>
  <c r="F2954" i="5"/>
  <c r="E2955" i="5"/>
  <c r="F2955" i="5"/>
  <c r="E2956" i="5"/>
  <c r="F2956" i="5"/>
  <c r="E2957" i="5"/>
  <c r="F2957" i="5"/>
  <c r="E2958" i="5"/>
  <c r="F2958" i="5"/>
  <c r="E2959" i="5"/>
  <c r="F2959" i="5"/>
  <c r="E2960" i="5"/>
  <c r="F2960" i="5"/>
  <c r="E2961" i="5"/>
  <c r="F2961" i="5"/>
  <c r="E2962" i="5"/>
  <c r="F2962" i="5"/>
  <c r="E2963" i="5"/>
  <c r="F2963" i="5"/>
  <c r="E2964" i="5"/>
  <c r="F2964" i="5"/>
  <c r="E2965" i="5"/>
  <c r="F2965" i="5"/>
  <c r="E2966" i="5"/>
  <c r="F2966" i="5"/>
  <c r="E2967" i="5"/>
  <c r="F2967" i="5"/>
  <c r="E2968" i="5"/>
  <c r="F2968" i="5"/>
  <c r="E2969" i="5"/>
  <c r="F2969" i="5"/>
  <c r="E2970" i="5"/>
  <c r="F2970" i="5"/>
  <c r="E2971" i="5"/>
  <c r="F2971" i="5"/>
  <c r="E2972" i="5"/>
  <c r="F2972" i="5"/>
  <c r="E2973" i="5"/>
  <c r="F2973" i="5"/>
  <c r="E2974" i="5"/>
  <c r="F2974" i="5"/>
  <c r="E2975" i="5"/>
  <c r="F2975" i="5"/>
  <c r="E2976" i="5"/>
  <c r="F2976" i="5"/>
  <c r="E2977" i="5"/>
  <c r="F2977" i="5"/>
  <c r="E2978" i="5"/>
  <c r="F2978" i="5"/>
  <c r="E2979" i="5"/>
  <c r="F2979" i="5"/>
  <c r="E2980" i="5"/>
  <c r="F2980" i="5"/>
  <c r="E2981" i="5"/>
  <c r="F2981" i="5"/>
  <c r="E2982" i="5"/>
  <c r="F2982" i="5"/>
  <c r="E2983" i="5"/>
  <c r="F2983" i="5"/>
  <c r="E2984" i="5"/>
  <c r="F2984" i="5"/>
  <c r="E2985" i="5"/>
  <c r="F2985" i="5"/>
  <c r="E2986" i="5"/>
  <c r="F2986" i="5"/>
  <c r="E2987" i="5"/>
  <c r="F2987" i="5"/>
  <c r="E2988" i="5"/>
  <c r="F2988" i="5"/>
  <c r="E2989" i="5"/>
  <c r="F2989" i="5"/>
  <c r="E2990" i="5"/>
  <c r="F2990" i="5"/>
  <c r="E2991" i="5"/>
  <c r="F2991" i="5"/>
  <c r="E2992" i="5"/>
  <c r="F2992" i="5"/>
  <c r="E2993" i="5"/>
  <c r="F2993" i="5"/>
  <c r="E2994" i="5"/>
  <c r="F2994" i="5"/>
  <c r="E2995" i="5"/>
  <c r="F2995" i="5"/>
  <c r="E2996" i="5"/>
  <c r="F2996" i="5"/>
  <c r="E2997" i="5"/>
  <c r="F2997" i="5"/>
  <c r="E2998" i="5"/>
  <c r="F2998" i="5"/>
  <c r="E2999" i="5"/>
  <c r="F2999" i="5"/>
  <c r="E3000" i="5"/>
  <c r="F3000" i="5"/>
  <c r="E3001" i="5"/>
  <c r="F3001" i="5"/>
  <c r="E3002" i="5"/>
  <c r="F3002" i="5"/>
  <c r="E3003" i="5"/>
  <c r="F3003" i="5"/>
  <c r="E3004" i="5"/>
  <c r="F3004" i="5"/>
  <c r="E3005" i="5"/>
  <c r="F3005" i="5"/>
  <c r="E3006" i="5"/>
  <c r="F3006" i="5"/>
  <c r="E3007" i="5"/>
  <c r="F3007" i="5"/>
  <c r="E3008" i="5"/>
  <c r="F3008" i="5"/>
  <c r="E3009" i="5"/>
  <c r="F3009" i="5"/>
  <c r="E3010" i="5"/>
  <c r="F3010" i="5"/>
  <c r="E3011" i="5"/>
  <c r="F3011" i="5"/>
  <c r="E3012" i="5"/>
  <c r="F3012" i="5"/>
  <c r="E3013" i="5"/>
  <c r="F3013" i="5"/>
  <c r="E3014" i="5"/>
  <c r="F3014" i="5"/>
  <c r="E3015" i="5"/>
  <c r="F3015" i="5"/>
  <c r="E3016" i="5"/>
  <c r="F3016" i="5"/>
  <c r="E3017" i="5"/>
  <c r="F3017" i="5"/>
  <c r="E3018" i="5"/>
  <c r="F3018" i="5"/>
  <c r="E3019" i="5"/>
  <c r="F3019" i="5"/>
  <c r="E3020" i="5"/>
  <c r="F3020" i="5"/>
  <c r="E3021" i="5"/>
  <c r="F3021" i="5"/>
  <c r="E3022" i="5"/>
  <c r="F3022" i="5"/>
  <c r="E3023" i="5"/>
  <c r="F3023" i="5"/>
  <c r="E3024" i="5"/>
  <c r="F3024" i="5"/>
  <c r="E3025" i="5"/>
  <c r="F3025" i="5"/>
  <c r="E3026" i="5"/>
  <c r="F3026" i="5"/>
  <c r="E3027" i="5"/>
  <c r="F3027" i="5"/>
  <c r="E3028" i="5"/>
  <c r="F3028" i="5"/>
  <c r="E3029" i="5"/>
  <c r="F3029" i="5"/>
  <c r="E3030" i="5"/>
  <c r="F3030" i="5"/>
  <c r="E3031" i="5"/>
  <c r="F3031" i="5"/>
  <c r="E3032" i="5"/>
  <c r="F3032" i="5"/>
  <c r="E3033" i="5"/>
  <c r="F3033" i="5"/>
  <c r="E3034" i="5"/>
  <c r="F3034" i="5"/>
  <c r="E3035" i="5"/>
  <c r="F3035" i="5"/>
  <c r="E3036" i="5"/>
  <c r="F3036" i="5"/>
  <c r="E3037" i="5"/>
  <c r="F3037" i="5"/>
  <c r="E3038" i="5"/>
  <c r="F3038" i="5"/>
  <c r="E3039" i="5"/>
  <c r="F3039" i="5"/>
  <c r="E3040" i="5"/>
  <c r="F3040" i="5"/>
  <c r="E3041" i="5"/>
  <c r="F3041" i="5"/>
  <c r="E3042" i="5"/>
  <c r="F3042" i="5"/>
  <c r="E3043" i="5"/>
  <c r="F3043" i="5"/>
  <c r="E3044" i="5"/>
  <c r="F3044" i="5"/>
  <c r="E3045" i="5"/>
  <c r="F3045" i="5"/>
  <c r="E3046" i="5"/>
  <c r="F3046" i="5"/>
  <c r="E3047" i="5"/>
  <c r="F3047" i="5"/>
  <c r="E3048" i="5"/>
  <c r="F3048" i="5"/>
  <c r="E3049" i="5"/>
  <c r="F3049" i="5"/>
  <c r="E3050" i="5"/>
  <c r="F3050" i="5"/>
  <c r="E3051" i="5"/>
  <c r="F3051" i="5"/>
  <c r="E3052" i="5"/>
  <c r="F3052" i="5"/>
  <c r="E3053" i="5"/>
  <c r="F3053" i="5"/>
  <c r="E3054" i="5"/>
  <c r="F3054" i="5"/>
  <c r="E3055" i="5"/>
  <c r="F3055" i="5"/>
  <c r="E3056" i="5"/>
  <c r="F3056" i="5"/>
  <c r="E3057" i="5"/>
  <c r="F3057" i="5"/>
  <c r="E3058" i="5"/>
  <c r="F3058" i="5"/>
  <c r="E3059" i="5"/>
  <c r="F3059" i="5"/>
  <c r="E3060" i="5"/>
  <c r="F3060" i="5"/>
  <c r="E3061" i="5"/>
  <c r="F3061" i="5"/>
  <c r="E3062" i="5"/>
  <c r="F3062" i="5"/>
  <c r="E3063" i="5"/>
  <c r="F3063" i="5"/>
  <c r="E3064" i="5"/>
  <c r="F3064" i="5"/>
  <c r="E3065" i="5"/>
  <c r="F3065" i="5"/>
  <c r="E3066" i="5"/>
  <c r="F3066" i="5"/>
  <c r="E3067" i="5"/>
  <c r="F3067" i="5"/>
  <c r="E3068" i="5"/>
  <c r="F3068" i="5"/>
  <c r="E3069" i="5"/>
  <c r="F3069" i="5"/>
  <c r="E3070" i="5"/>
  <c r="F3070" i="5"/>
  <c r="E3071" i="5"/>
  <c r="F3071" i="5"/>
  <c r="E3072" i="5"/>
  <c r="F3072" i="5"/>
  <c r="E3073" i="5"/>
  <c r="F3073" i="5"/>
  <c r="E3074" i="5"/>
  <c r="F3074" i="5"/>
  <c r="E3075" i="5"/>
  <c r="F3075" i="5"/>
  <c r="E3076" i="5"/>
  <c r="F3076" i="5"/>
  <c r="E3077" i="5"/>
  <c r="F3077" i="5"/>
  <c r="E3078" i="5"/>
  <c r="F3078" i="5"/>
  <c r="E3079" i="5"/>
  <c r="F3079" i="5"/>
  <c r="E3080" i="5"/>
  <c r="F3080" i="5"/>
  <c r="E3081" i="5"/>
  <c r="F3081" i="5"/>
  <c r="E3082" i="5"/>
  <c r="F3082" i="5"/>
  <c r="E3083" i="5"/>
  <c r="F3083" i="5"/>
  <c r="E3084" i="5"/>
  <c r="F3084" i="5"/>
  <c r="E3085" i="5"/>
  <c r="F3085" i="5"/>
  <c r="E3086" i="5"/>
  <c r="F3086" i="5"/>
  <c r="E3087" i="5"/>
  <c r="F3087" i="5"/>
  <c r="E3088" i="5"/>
  <c r="F3088" i="5"/>
  <c r="E3089" i="5"/>
  <c r="F3089" i="5"/>
  <c r="E3090" i="5"/>
  <c r="F3090" i="5"/>
  <c r="E3091" i="5"/>
  <c r="F3091" i="5"/>
  <c r="E3092" i="5"/>
  <c r="F3092" i="5"/>
  <c r="E3093" i="5"/>
  <c r="F3093" i="5"/>
  <c r="E3094" i="5"/>
  <c r="F3094" i="5"/>
  <c r="E3095" i="5"/>
  <c r="F3095" i="5"/>
  <c r="E3096" i="5"/>
  <c r="F3096" i="5"/>
  <c r="E3097" i="5"/>
  <c r="F3097" i="5"/>
  <c r="E3098" i="5"/>
  <c r="F3098" i="5"/>
  <c r="E3099" i="5"/>
  <c r="F3099" i="5"/>
  <c r="E3100" i="5"/>
  <c r="F3100" i="5"/>
  <c r="E3101" i="5"/>
  <c r="F3101" i="5"/>
  <c r="E3102" i="5"/>
  <c r="F3102" i="5"/>
  <c r="E3103" i="5"/>
  <c r="F3103" i="5"/>
  <c r="E3104" i="5"/>
  <c r="F3104" i="5"/>
  <c r="E3105" i="5"/>
  <c r="F3105" i="5"/>
  <c r="E3106" i="5"/>
  <c r="F3106" i="5"/>
  <c r="E3107" i="5"/>
  <c r="F3107" i="5"/>
  <c r="E3108" i="5"/>
  <c r="F3108" i="5"/>
  <c r="E3109" i="5"/>
  <c r="F3109" i="5"/>
  <c r="E3110" i="5"/>
  <c r="F3110" i="5"/>
  <c r="E3111" i="5"/>
  <c r="F3111" i="5"/>
  <c r="E3112" i="5"/>
  <c r="F3112" i="5"/>
  <c r="E3113" i="5"/>
  <c r="F3113" i="5"/>
  <c r="E3114" i="5"/>
  <c r="F3114" i="5"/>
  <c r="E3115" i="5"/>
  <c r="F3115" i="5"/>
  <c r="E3116" i="5"/>
  <c r="F3116" i="5"/>
  <c r="E3117" i="5"/>
  <c r="F3117" i="5"/>
  <c r="E3118" i="5"/>
  <c r="F3118" i="5"/>
  <c r="E3119" i="5"/>
  <c r="F3119" i="5"/>
  <c r="E3120" i="5"/>
  <c r="F3120" i="5"/>
  <c r="E3121" i="5"/>
  <c r="F3121" i="5"/>
  <c r="E3122" i="5"/>
  <c r="F3122" i="5"/>
  <c r="E3123" i="5"/>
  <c r="F3123" i="5"/>
  <c r="E3124" i="5"/>
  <c r="F3124" i="5"/>
  <c r="E3125" i="5"/>
  <c r="F3125" i="5"/>
  <c r="E3126" i="5"/>
  <c r="F3126" i="5"/>
  <c r="E3127" i="5"/>
  <c r="F3127" i="5"/>
  <c r="E3128" i="5"/>
  <c r="F3128" i="5"/>
  <c r="E3129" i="5"/>
  <c r="F3129" i="5"/>
  <c r="E3130" i="5"/>
  <c r="F3130" i="5"/>
  <c r="E3131" i="5"/>
  <c r="F3131" i="5"/>
  <c r="E3132" i="5"/>
  <c r="F3132" i="5"/>
  <c r="E3133" i="5"/>
  <c r="F3133" i="5"/>
  <c r="E3134" i="5"/>
  <c r="F3134" i="5"/>
  <c r="E3135" i="5"/>
  <c r="F3135" i="5"/>
  <c r="E3136" i="5"/>
  <c r="F3136" i="5"/>
  <c r="E3137" i="5"/>
  <c r="F3137" i="5"/>
  <c r="E3138" i="5"/>
  <c r="F3138" i="5"/>
  <c r="E3139" i="5"/>
  <c r="F3139" i="5"/>
  <c r="E3140" i="5"/>
  <c r="F3140" i="5"/>
  <c r="E3141" i="5"/>
  <c r="F3141" i="5"/>
  <c r="E3142" i="5"/>
  <c r="F3142" i="5"/>
  <c r="E3143" i="5"/>
  <c r="F3143" i="5"/>
  <c r="E3144" i="5"/>
  <c r="F3144" i="5"/>
  <c r="E3145" i="5"/>
  <c r="F3145" i="5"/>
  <c r="E3146" i="5"/>
  <c r="F3146" i="5"/>
  <c r="E3147" i="5"/>
  <c r="F3147" i="5"/>
  <c r="E3148" i="5"/>
  <c r="F3148" i="5"/>
  <c r="E3149" i="5"/>
  <c r="F3149" i="5"/>
  <c r="E3150" i="5"/>
  <c r="F3150" i="5"/>
  <c r="E3151" i="5"/>
  <c r="F3151" i="5"/>
  <c r="E3152" i="5"/>
  <c r="F3152" i="5"/>
  <c r="E3153" i="5"/>
  <c r="F3153" i="5"/>
  <c r="E3154" i="5"/>
  <c r="F3154" i="5"/>
  <c r="E3155" i="5"/>
  <c r="F3155" i="5"/>
  <c r="E3156" i="5"/>
  <c r="F3156" i="5"/>
  <c r="E3157" i="5"/>
  <c r="F3157" i="5"/>
  <c r="E3158" i="5"/>
  <c r="F3158" i="5"/>
  <c r="E3159" i="5"/>
  <c r="F3159" i="5"/>
  <c r="E3160" i="5"/>
  <c r="F3160" i="5"/>
  <c r="E3161" i="5"/>
  <c r="F3161" i="5"/>
  <c r="E3162" i="5"/>
  <c r="F3162" i="5"/>
  <c r="E3163" i="5"/>
  <c r="F3163" i="5"/>
  <c r="E3164" i="5"/>
  <c r="F3164" i="5"/>
  <c r="E3165" i="5"/>
  <c r="F3165" i="5"/>
  <c r="E3166" i="5"/>
  <c r="F3166" i="5"/>
  <c r="E3167" i="5"/>
  <c r="F3167" i="5"/>
  <c r="E3168" i="5"/>
  <c r="F3168" i="5"/>
  <c r="E3169" i="5"/>
  <c r="F3169" i="5"/>
  <c r="E3170" i="5"/>
  <c r="F3170" i="5"/>
  <c r="E3171" i="5"/>
  <c r="F3171" i="5"/>
  <c r="E3172" i="5"/>
  <c r="F3172" i="5"/>
  <c r="E3173" i="5"/>
  <c r="F3173" i="5"/>
  <c r="E3174" i="5"/>
  <c r="F3174" i="5"/>
  <c r="E3175" i="5"/>
  <c r="F3175" i="5"/>
  <c r="E3176" i="5"/>
  <c r="F3176" i="5"/>
  <c r="E3177" i="5"/>
  <c r="F3177" i="5"/>
  <c r="E3178" i="5"/>
  <c r="F3178" i="5"/>
  <c r="E3179" i="5"/>
  <c r="F3179" i="5"/>
  <c r="E3180" i="5"/>
  <c r="F3180" i="5"/>
  <c r="E3181" i="5"/>
  <c r="F3181" i="5"/>
  <c r="E3182" i="5"/>
  <c r="F3182" i="5"/>
  <c r="E3183" i="5"/>
  <c r="F3183" i="5"/>
  <c r="E3184" i="5"/>
  <c r="F3184" i="5"/>
  <c r="E3185" i="5"/>
  <c r="F3185" i="5"/>
  <c r="E3186" i="5"/>
  <c r="F3186" i="5"/>
  <c r="E3187" i="5"/>
  <c r="F3187" i="5"/>
  <c r="E3188" i="5"/>
  <c r="F3188" i="5"/>
  <c r="E3189" i="5"/>
  <c r="F3189" i="5"/>
  <c r="E3190" i="5"/>
  <c r="F3190" i="5"/>
  <c r="E3191" i="5"/>
  <c r="F3191" i="5"/>
  <c r="E3192" i="5"/>
  <c r="F3192" i="5"/>
  <c r="E3193" i="5"/>
  <c r="F3193" i="5"/>
  <c r="E3194" i="5"/>
  <c r="F3194" i="5"/>
  <c r="E3195" i="5"/>
  <c r="F3195" i="5"/>
  <c r="E3196" i="5"/>
  <c r="F3196" i="5"/>
  <c r="E3197" i="5"/>
  <c r="F3197" i="5"/>
  <c r="E3198" i="5"/>
  <c r="F3198" i="5"/>
  <c r="E3199" i="5"/>
  <c r="F3199" i="5"/>
  <c r="E3200" i="5"/>
  <c r="F3200" i="5"/>
  <c r="E3201" i="5"/>
  <c r="F3201" i="5"/>
  <c r="E3202" i="5"/>
  <c r="F3202" i="5"/>
  <c r="E3203" i="5"/>
  <c r="F3203" i="5"/>
  <c r="E3204" i="5"/>
  <c r="F3204" i="5"/>
  <c r="E3205" i="5"/>
  <c r="F3205" i="5"/>
  <c r="E3206" i="5"/>
  <c r="F3206" i="5"/>
  <c r="E3207" i="5"/>
  <c r="F3207" i="5"/>
  <c r="E3208" i="5"/>
  <c r="F3208" i="5"/>
  <c r="E3209" i="5"/>
  <c r="F3209" i="5"/>
  <c r="E3210" i="5"/>
  <c r="F3210" i="5"/>
  <c r="E3211" i="5"/>
  <c r="F3211" i="5"/>
  <c r="E3212" i="5"/>
  <c r="F3212" i="5"/>
  <c r="E3213" i="5"/>
  <c r="F3213" i="5"/>
  <c r="E3214" i="5"/>
  <c r="F3214" i="5"/>
  <c r="E3215" i="5"/>
  <c r="F3215" i="5"/>
  <c r="E3216" i="5"/>
  <c r="F3216" i="5"/>
  <c r="E3217" i="5"/>
  <c r="F3217" i="5"/>
  <c r="E3218" i="5"/>
  <c r="F3218" i="5"/>
  <c r="E3219" i="5"/>
  <c r="F3219" i="5"/>
  <c r="E3220" i="5"/>
  <c r="F3220" i="5"/>
  <c r="E3221" i="5"/>
  <c r="F3221" i="5"/>
  <c r="E3222" i="5"/>
  <c r="F3222" i="5"/>
  <c r="E3223" i="5"/>
  <c r="F3223" i="5"/>
  <c r="E3224" i="5"/>
  <c r="F3224" i="5"/>
  <c r="E3225" i="5"/>
  <c r="F3225" i="5"/>
  <c r="E3226" i="5"/>
  <c r="F3226" i="5"/>
  <c r="E3227" i="5"/>
  <c r="F3227" i="5"/>
  <c r="E3228" i="5"/>
  <c r="F3228" i="5"/>
  <c r="E3229" i="5"/>
  <c r="F3229" i="5"/>
  <c r="E3230" i="5"/>
  <c r="F3230" i="5"/>
  <c r="E3231" i="5"/>
  <c r="F3231" i="5"/>
  <c r="E3232" i="5"/>
  <c r="F3232" i="5"/>
  <c r="E3233" i="5"/>
  <c r="F3233" i="5"/>
  <c r="E3234" i="5"/>
  <c r="F3234" i="5"/>
  <c r="E3235" i="5"/>
  <c r="F3235" i="5"/>
  <c r="E3236" i="5"/>
  <c r="F3236" i="5"/>
  <c r="E3237" i="5"/>
  <c r="F3237" i="5"/>
  <c r="E3238" i="5"/>
  <c r="F3238" i="5"/>
  <c r="E3239" i="5"/>
  <c r="F3239" i="5"/>
  <c r="E3240" i="5"/>
  <c r="F3240" i="5"/>
  <c r="E3241" i="5"/>
  <c r="F3241" i="5"/>
  <c r="E3242" i="5"/>
  <c r="F3242" i="5"/>
  <c r="E3243" i="5"/>
  <c r="F3243" i="5"/>
  <c r="E3244" i="5"/>
  <c r="F3244" i="5"/>
  <c r="E3245" i="5"/>
  <c r="F3245" i="5"/>
  <c r="E3246" i="5"/>
  <c r="F3246" i="5"/>
  <c r="E3247" i="5"/>
  <c r="F3247" i="5"/>
  <c r="E3248" i="5"/>
  <c r="F3248" i="5"/>
  <c r="E3249" i="5"/>
  <c r="F3249" i="5"/>
  <c r="E3250" i="5"/>
  <c r="F3250" i="5"/>
  <c r="E3251" i="5"/>
  <c r="F3251" i="5"/>
  <c r="E3252" i="5"/>
  <c r="F3252" i="5"/>
  <c r="E3253" i="5"/>
  <c r="F3253" i="5"/>
  <c r="E3254" i="5"/>
  <c r="F3254" i="5"/>
  <c r="E3255" i="5"/>
  <c r="F3255" i="5"/>
  <c r="E3256" i="5"/>
  <c r="F3256" i="5"/>
  <c r="E3257" i="5"/>
  <c r="F3257" i="5"/>
  <c r="E3258" i="5"/>
  <c r="F3258" i="5"/>
  <c r="E3259" i="5"/>
  <c r="F3259" i="5"/>
  <c r="E3260" i="5"/>
  <c r="F3260" i="5"/>
  <c r="E3261" i="5"/>
  <c r="F3261" i="5"/>
  <c r="E3262" i="5"/>
  <c r="F3262" i="5"/>
  <c r="E3263" i="5"/>
  <c r="F3263" i="5"/>
  <c r="E3264" i="5"/>
  <c r="F3264" i="5"/>
  <c r="E3265" i="5"/>
  <c r="F3265" i="5"/>
  <c r="E3266" i="5"/>
  <c r="F3266" i="5"/>
  <c r="E3267" i="5"/>
  <c r="F3267" i="5"/>
  <c r="E3268" i="5"/>
  <c r="F3268" i="5"/>
  <c r="E3269" i="5"/>
  <c r="F3269" i="5"/>
  <c r="E3270" i="5"/>
  <c r="F3270" i="5"/>
  <c r="E3271" i="5"/>
  <c r="F3271" i="5"/>
  <c r="E3272" i="5"/>
  <c r="F3272" i="5"/>
  <c r="E3273" i="5"/>
  <c r="F3273" i="5"/>
  <c r="E3274" i="5"/>
  <c r="F3274" i="5"/>
  <c r="E3275" i="5"/>
  <c r="F3275" i="5"/>
  <c r="E3276" i="5"/>
  <c r="F3276" i="5"/>
  <c r="E3277" i="5"/>
  <c r="F3277" i="5"/>
  <c r="E3278" i="5"/>
  <c r="F3278" i="5"/>
  <c r="E3279" i="5"/>
  <c r="F3279" i="5"/>
  <c r="E3280" i="5"/>
  <c r="F3280" i="5"/>
  <c r="E3281" i="5"/>
  <c r="F3281" i="5"/>
  <c r="E3282" i="5"/>
  <c r="F3282" i="5"/>
  <c r="E3283" i="5"/>
  <c r="F3283" i="5"/>
  <c r="E3284" i="5"/>
  <c r="F3284" i="5"/>
  <c r="E3285" i="5"/>
  <c r="F3285" i="5"/>
  <c r="E3286" i="5"/>
  <c r="F3286" i="5"/>
  <c r="E3287" i="5"/>
  <c r="F3287" i="5"/>
  <c r="E3288" i="5"/>
  <c r="F3288" i="5"/>
  <c r="E3289" i="5"/>
  <c r="F3289" i="5"/>
  <c r="E3290" i="5"/>
  <c r="F3290" i="5"/>
  <c r="E3291" i="5"/>
  <c r="F3291" i="5"/>
  <c r="E3292" i="5"/>
  <c r="F3292" i="5"/>
  <c r="E3293" i="5"/>
  <c r="F3293" i="5"/>
  <c r="E3294" i="5"/>
  <c r="F3294" i="5"/>
  <c r="E3295" i="5"/>
  <c r="F3295" i="5"/>
  <c r="E3296" i="5"/>
  <c r="F3296" i="5"/>
  <c r="E3297" i="5"/>
  <c r="F3297" i="5"/>
  <c r="E3298" i="5"/>
  <c r="F3298" i="5"/>
  <c r="E3299" i="5"/>
  <c r="F3299" i="5"/>
  <c r="E3300" i="5"/>
  <c r="F3300" i="5"/>
  <c r="E3301" i="5"/>
  <c r="F3301" i="5"/>
  <c r="E3302" i="5"/>
  <c r="F3302" i="5"/>
  <c r="E3303" i="5"/>
  <c r="F3303" i="5"/>
  <c r="E3304" i="5"/>
  <c r="F3304" i="5"/>
  <c r="E3305" i="5"/>
  <c r="F3305" i="5"/>
  <c r="E3306" i="5"/>
  <c r="F3306" i="5"/>
  <c r="E3307" i="5"/>
  <c r="F3307" i="5"/>
  <c r="E3308" i="5"/>
  <c r="F3308" i="5"/>
  <c r="E3309" i="5"/>
  <c r="F3309" i="5"/>
  <c r="E3310" i="5"/>
  <c r="F3310" i="5"/>
  <c r="E3311" i="5"/>
  <c r="F3311" i="5"/>
  <c r="E3312" i="5"/>
  <c r="F3312" i="5"/>
  <c r="E3313" i="5"/>
  <c r="F3313" i="5"/>
  <c r="E3314" i="5"/>
  <c r="F3314" i="5"/>
  <c r="E3315" i="5"/>
  <c r="F3315" i="5"/>
  <c r="E3316" i="5"/>
  <c r="F3316" i="5"/>
  <c r="E3317" i="5"/>
  <c r="F3317" i="5"/>
  <c r="E3318" i="5"/>
  <c r="F3318" i="5"/>
  <c r="E3319" i="5"/>
  <c r="F3319" i="5"/>
  <c r="E3320" i="5"/>
  <c r="F3320" i="5"/>
  <c r="E3321" i="5"/>
  <c r="F3321" i="5"/>
  <c r="E3322" i="5"/>
  <c r="F3322" i="5"/>
  <c r="E3323" i="5"/>
  <c r="F3323" i="5"/>
  <c r="E3324" i="5"/>
  <c r="F3324" i="5"/>
  <c r="E3325" i="5"/>
  <c r="F3325" i="5"/>
  <c r="E3326" i="5"/>
  <c r="F3326" i="5"/>
  <c r="E3327" i="5"/>
  <c r="F3327" i="5"/>
  <c r="E3328" i="5"/>
  <c r="F3328" i="5"/>
  <c r="E3329" i="5"/>
  <c r="F3329" i="5"/>
  <c r="E3330" i="5"/>
  <c r="F3330" i="5"/>
  <c r="E3331" i="5"/>
  <c r="F3331" i="5"/>
  <c r="E3332" i="5"/>
  <c r="F3332" i="5"/>
  <c r="E3333" i="5"/>
  <c r="F3333" i="5"/>
  <c r="E3334" i="5"/>
  <c r="F3334" i="5"/>
  <c r="E3335" i="5"/>
  <c r="F3335" i="5"/>
  <c r="E3336" i="5"/>
  <c r="F3336" i="5"/>
  <c r="E3337" i="5"/>
  <c r="F3337" i="5"/>
  <c r="E3338" i="5"/>
  <c r="F3338" i="5"/>
  <c r="E3339" i="5"/>
  <c r="F3339" i="5"/>
  <c r="E3340" i="5"/>
  <c r="F3340" i="5"/>
  <c r="E3341" i="5"/>
  <c r="F3341" i="5"/>
  <c r="E3342" i="5"/>
  <c r="F3342" i="5"/>
  <c r="E3343" i="5"/>
  <c r="F3343" i="5"/>
  <c r="E3344" i="5"/>
  <c r="F3344" i="5"/>
  <c r="E3345" i="5"/>
  <c r="F3345" i="5"/>
  <c r="E3346" i="5"/>
  <c r="F3346" i="5"/>
  <c r="E3347" i="5"/>
  <c r="F3347" i="5"/>
  <c r="E3348" i="5"/>
  <c r="F3348" i="5"/>
  <c r="E3349" i="5"/>
  <c r="F3349" i="5"/>
  <c r="E3350" i="5"/>
  <c r="F3350" i="5"/>
  <c r="E3351" i="5"/>
  <c r="F3351" i="5"/>
  <c r="E3352" i="5"/>
  <c r="F3352" i="5"/>
  <c r="E3353" i="5"/>
  <c r="F3353" i="5"/>
  <c r="E3354" i="5"/>
  <c r="F3354" i="5"/>
  <c r="E3355" i="5"/>
  <c r="F3355" i="5"/>
  <c r="E3356" i="5"/>
  <c r="F3356" i="5"/>
  <c r="E3357" i="5"/>
  <c r="F3357" i="5"/>
  <c r="E3358" i="5"/>
  <c r="F3358" i="5"/>
  <c r="E3359" i="5"/>
  <c r="F3359" i="5"/>
  <c r="E3360" i="5"/>
  <c r="F3360" i="5"/>
  <c r="E3361" i="5"/>
  <c r="F3361" i="5"/>
  <c r="E3362" i="5"/>
  <c r="F3362" i="5"/>
  <c r="E3363" i="5"/>
  <c r="F3363" i="5"/>
  <c r="E3364" i="5"/>
  <c r="F3364" i="5"/>
  <c r="E3365" i="5"/>
  <c r="F3365" i="5"/>
  <c r="E3366" i="5"/>
  <c r="F3366" i="5"/>
  <c r="E3367" i="5"/>
  <c r="F3367" i="5"/>
  <c r="E3368" i="5"/>
  <c r="F3368" i="5"/>
  <c r="E3369" i="5"/>
  <c r="F3369" i="5"/>
  <c r="E3370" i="5"/>
  <c r="F3370" i="5"/>
  <c r="E3371" i="5"/>
  <c r="F3371" i="5"/>
  <c r="E3372" i="5"/>
  <c r="F3372" i="5"/>
  <c r="E3373" i="5"/>
  <c r="F3373" i="5"/>
  <c r="E3374" i="5"/>
  <c r="F3374" i="5"/>
  <c r="E3375" i="5"/>
  <c r="F3375" i="5"/>
  <c r="E3376" i="5"/>
  <c r="F3376" i="5"/>
  <c r="E3377" i="5"/>
  <c r="F3377" i="5"/>
  <c r="E3378" i="5"/>
  <c r="F3378" i="5"/>
  <c r="E3379" i="5"/>
  <c r="F3379" i="5"/>
  <c r="E3380" i="5"/>
  <c r="F3380" i="5"/>
  <c r="E3381" i="5"/>
  <c r="F3381" i="5"/>
  <c r="E3382" i="5"/>
  <c r="F3382" i="5"/>
  <c r="E3383" i="5"/>
  <c r="F3383" i="5"/>
  <c r="E3384" i="5"/>
  <c r="F3384" i="5"/>
  <c r="E3385" i="5"/>
  <c r="F3385" i="5"/>
  <c r="E3386" i="5"/>
  <c r="F3386" i="5"/>
  <c r="E3387" i="5"/>
  <c r="F3387" i="5"/>
  <c r="E3388" i="5"/>
  <c r="F3388" i="5"/>
  <c r="E3389" i="5"/>
  <c r="F3389" i="5"/>
  <c r="E3390" i="5"/>
  <c r="F3390" i="5"/>
  <c r="E3391" i="5"/>
  <c r="F3391" i="5"/>
  <c r="E3392" i="5"/>
  <c r="F3392" i="5"/>
  <c r="E3393" i="5"/>
  <c r="F3393" i="5"/>
  <c r="E3394" i="5"/>
  <c r="F3394" i="5"/>
  <c r="E3395" i="5"/>
  <c r="F3395" i="5"/>
  <c r="E3396" i="5"/>
  <c r="F3396" i="5"/>
  <c r="E3397" i="5"/>
  <c r="F3397" i="5"/>
  <c r="E3398" i="5"/>
  <c r="F3398" i="5"/>
  <c r="E3399" i="5"/>
  <c r="F3399" i="5"/>
  <c r="E3400" i="5"/>
  <c r="F3400" i="5"/>
  <c r="E3401" i="5"/>
  <c r="F3401" i="5"/>
  <c r="E3402" i="5"/>
  <c r="F3402" i="5"/>
  <c r="E3403" i="5"/>
  <c r="F3403" i="5"/>
  <c r="E3404" i="5"/>
  <c r="F3404" i="5"/>
  <c r="E3405" i="5"/>
  <c r="F3405" i="5"/>
  <c r="E3406" i="5"/>
  <c r="F3406" i="5"/>
  <c r="E3407" i="5"/>
  <c r="F3407" i="5"/>
  <c r="E3408" i="5"/>
  <c r="F3408" i="5"/>
  <c r="E3409" i="5"/>
  <c r="F3409" i="5"/>
  <c r="E3410" i="5"/>
  <c r="F3410" i="5"/>
  <c r="E3411" i="5"/>
  <c r="F3411" i="5"/>
  <c r="E3412" i="5"/>
  <c r="F3412" i="5"/>
  <c r="E3413" i="5"/>
  <c r="F3413" i="5"/>
  <c r="E3414" i="5"/>
  <c r="F3414" i="5"/>
  <c r="E3415" i="5"/>
  <c r="F3415" i="5"/>
  <c r="E3416" i="5"/>
  <c r="F3416" i="5"/>
  <c r="E3417" i="5"/>
  <c r="F3417" i="5"/>
  <c r="E3418" i="5"/>
  <c r="F3418" i="5"/>
  <c r="E3419" i="5"/>
  <c r="F3419" i="5"/>
  <c r="E3420" i="5"/>
  <c r="F3420" i="5"/>
  <c r="E3421" i="5"/>
  <c r="F3421" i="5"/>
  <c r="E3422" i="5"/>
  <c r="F3422" i="5"/>
  <c r="E3423" i="5"/>
  <c r="F3423" i="5"/>
  <c r="E3424" i="5"/>
  <c r="F3424" i="5"/>
  <c r="E3425" i="5"/>
  <c r="F3425" i="5"/>
  <c r="E3426" i="5"/>
  <c r="F3426" i="5"/>
  <c r="E3427" i="5"/>
  <c r="F3427" i="5"/>
  <c r="E3428" i="5"/>
  <c r="F3428" i="5"/>
  <c r="E3429" i="5"/>
  <c r="F3429" i="5"/>
  <c r="E3430" i="5"/>
  <c r="F3430" i="5"/>
  <c r="E3431" i="5"/>
  <c r="F3431" i="5"/>
  <c r="E3432" i="5"/>
  <c r="F3432" i="5"/>
  <c r="E3433" i="5"/>
  <c r="F3433" i="5"/>
  <c r="E3434" i="5"/>
  <c r="F3434" i="5"/>
  <c r="E3435" i="5"/>
  <c r="F3435" i="5"/>
  <c r="E3436" i="5"/>
  <c r="F3436" i="5"/>
  <c r="E3437" i="5"/>
  <c r="F3437" i="5"/>
  <c r="E3438" i="5"/>
  <c r="F3438" i="5"/>
  <c r="E3439" i="5"/>
  <c r="F3439" i="5"/>
  <c r="E3440" i="5"/>
  <c r="F3440" i="5"/>
  <c r="E3441" i="5"/>
  <c r="F3441" i="5"/>
  <c r="E3442" i="5"/>
  <c r="F3442" i="5"/>
  <c r="E3443" i="5"/>
  <c r="F3443" i="5"/>
  <c r="E3444" i="5"/>
  <c r="F3444" i="5"/>
  <c r="E3445" i="5"/>
  <c r="F3445" i="5"/>
  <c r="E3446" i="5"/>
  <c r="F3446" i="5"/>
  <c r="E3447" i="5"/>
  <c r="F3447" i="5"/>
  <c r="E3448" i="5"/>
  <c r="F3448" i="5"/>
  <c r="E3449" i="5"/>
  <c r="F3449" i="5"/>
  <c r="E3450" i="5"/>
  <c r="F3450" i="5"/>
  <c r="E3451" i="5"/>
  <c r="F3451" i="5"/>
  <c r="E3452" i="5"/>
  <c r="F3452" i="5"/>
  <c r="E3453" i="5"/>
  <c r="F3453" i="5"/>
  <c r="E3454" i="5"/>
  <c r="F3454" i="5"/>
  <c r="E3455" i="5"/>
  <c r="F3455" i="5"/>
  <c r="E3456" i="5"/>
  <c r="F3456" i="5"/>
  <c r="E3457" i="5"/>
  <c r="F3457" i="5"/>
  <c r="E3458" i="5"/>
  <c r="F3458" i="5"/>
  <c r="E3459" i="5"/>
  <c r="F3459" i="5"/>
  <c r="E3460" i="5"/>
  <c r="F3460" i="5"/>
  <c r="E3461" i="5"/>
  <c r="F3461" i="5"/>
  <c r="E3462" i="5"/>
  <c r="F3462" i="5"/>
  <c r="E3463" i="5"/>
  <c r="F3463" i="5"/>
  <c r="E3464" i="5"/>
  <c r="F3464" i="5"/>
  <c r="E3465" i="5"/>
  <c r="F3465" i="5"/>
  <c r="E3466" i="5"/>
  <c r="F3466" i="5"/>
  <c r="E3467" i="5"/>
  <c r="F3467" i="5"/>
  <c r="E3468" i="5"/>
  <c r="F3468" i="5"/>
  <c r="E3469" i="5"/>
  <c r="F3469" i="5"/>
  <c r="E3470" i="5"/>
  <c r="F3470" i="5"/>
  <c r="E3471" i="5"/>
  <c r="F3471" i="5"/>
  <c r="E3472" i="5"/>
  <c r="F3472" i="5"/>
  <c r="E3473" i="5"/>
  <c r="F3473" i="5"/>
  <c r="E3474" i="5"/>
  <c r="F3474" i="5"/>
  <c r="E3475" i="5"/>
  <c r="F3475" i="5"/>
  <c r="E3476" i="5"/>
  <c r="F3476" i="5"/>
  <c r="E3477" i="5"/>
  <c r="F3477" i="5"/>
  <c r="E3478" i="5"/>
  <c r="F3478" i="5"/>
  <c r="E3479" i="5"/>
  <c r="F3479" i="5"/>
  <c r="E3480" i="5"/>
  <c r="F3480" i="5"/>
  <c r="E3481" i="5"/>
  <c r="F3481" i="5"/>
  <c r="E3482" i="5"/>
  <c r="F3482" i="5"/>
  <c r="E3483" i="5"/>
  <c r="F3483" i="5"/>
  <c r="E3484" i="5"/>
  <c r="F3484" i="5"/>
  <c r="E3485" i="5"/>
  <c r="F3485" i="5"/>
  <c r="E3486" i="5"/>
  <c r="F3486" i="5"/>
  <c r="E3487" i="5"/>
  <c r="F3487" i="5"/>
  <c r="E3488" i="5"/>
  <c r="F3488" i="5"/>
  <c r="E3489" i="5"/>
  <c r="F3489" i="5"/>
  <c r="E3490" i="5"/>
  <c r="F3490" i="5"/>
  <c r="E3491" i="5"/>
  <c r="F3491" i="5"/>
  <c r="E3492" i="5"/>
  <c r="F3492" i="5"/>
  <c r="E3493" i="5"/>
  <c r="F3493" i="5"/>
  <c r="E3494" i="5"/>
  <c r="F3494" i="5"/>
  <c r="E3495" i="5"/>
  <c r="F3495" i="5"/>
  <c r="E3496" i="5"/>
  <c r="F3496" i="5"/>
  <c r="E3497" i="5"/>
  <c r="F3497" i="5"/>
  <c r="E3498" i="5"/>
  <c r="F3498" i="5"/>
  <c r="E3499" i="5"/>
  <c r="F3499" i="5"/>
  <c r="E3500" i="5"/>
  <c r="F3500" i="5"/>
  <c r="E3501" i="5"/>
  <c r="F3501" i="5"/>
  <c r="E3502" i="5"/>
  <c r="F3502" i="5"/>
  <c r="E3503" i="5"/>
  <c r="F3503" i="5"/>
  <c r="E3504" i="5"/>
  <c r="F3504" i="5"/>
  <c r="E3505" i="5"/>
  <c r="F3505" i="5"/>
  <c r="E3506" i="5"/>
  <c r="F3506" i="5"/>
  <c r="E3507" i="5"/>
  <c r="F3507" i="5"/>
  <c r="E3508" i="5"/>
  <c r="F3508" i="5"/>
  <c r="E3509" i="5"/>
  <c r="F3509" i="5"/>
  <c r="E3510" i="5"/>
  <c r="F3510" i="5"/>
  <c r="E3511" i="5"/>
  <c r="F3511" i="5"/>
  <c r="E3512" i="5"/>
  <c r="F3512" i="5"/>
  <c r="E3513" i="5"/>
  <c r="F3513" i="5"/>
  <c r="E3514" i="5"/>
  <c r="F3514" i="5"/>
  <c r="E3515" i="5"/>
  <c r="F3515" i="5"/>
  <c r="E3516" i="5"/>
  <c r="F3516" i="5"/>
  <c r="E3517" i="5"/>
  <c r="F3517" i="5"/>
  <c r="E3518" i="5"/>
  <c r="F3518" i="5"/>
  <c r="E3519" i="5"/>
  <c r="F3519" i="5"/>
  <c r="E3520" i="5"/>
  <c r="F3520" i="5"/>
  <c r="E3521" i="5"/>
  <c r="F3521" i="5"/>
  <c r="E3522" i="5"/>
  <c r="F3522" i="5"/>
  <c r="E3523" i="5"/>
  <c r="F3523" i="5"/>
  <c r="E3524" i="5"/>
  <c r="F3524" i="5"/>
  <c r="E3525" i="5"/>
  <c r="F3525" i="5"/>
  <c r="E3526" i="5"/>
  <c r="F3526" i="5"/>
  <c r="E3527" i="5"/>
  <c r="F3527" i="5"/>
  <c r="E3528" i="5"/>
  <c r="F3528" i="5"/>
  <c r="E3529" i="5"/>
  <c r="F3529" i="5"/>
  <c r="E3530" i="5"/>
  <c r="F3530" i="5"/>
  <c r="E3531" i="5"/>
  <c r="F3531" i="5"/>
  <c r="E3532" i="5"/>
  <c r="F3532" i="5"/>
  <c r="E3533" i="5"/>
  <c r="F3533" i="5"/>
  <c r="E3534" i="5"/>
  <c r="F3534" i="5"/>
  <c r="E3535" i="5"/>
  <c r="F3535" i="5"/>
  <c r="E3536" i="5"/>
  <c r="F3536" i="5"/>
  <c r="E3537" i="5"/>
  <c r="F3537" i="5"/>
  <c r="E3538" i="5"/>
  <c r="F3538" i="5"/>
  <c r="E3539" i="5"/>
  <c r="F3539" i="5"/>
  <c r="E3540" i="5"/>
  <c r="F3540" i="5"/>
  <c r="E3541" i="5"/>
  <c r="F3541" i="5"/>
  <c r="E3542" i="5"/>
  <c r="F3542" i="5"/>
  <c r="E3543" i="5"/>
  <c r="F3543" i="5"/>
  <c r="E3544" i="5"/>
  <c r="F3544" i="5"/>
  <c r="E3545" i="5"/>
  <c r="F3545" i="5"/>
  <c r="E3546" i="5"/>
  <c r="F3546" i="5"/>
  <c r="E3547" i="5"/>
  <c r="F3547" i="5"/>
  <c r="E3548" i="5"/>
  <c r="F3548" i="5"/>
  <c r="E3549" i="5"/>
  <c r="F3549" i="5"/>
  <c r="E3550" i="5"/>
  <c r="F3550" i="5"/>
  <c r="E3551" i="5"/>
  <c r="F3551" i="5"/>
  <c r="E3552" i="5"/>
  <c r="F3552" i="5"/>
  <c r="E3553" i="5"/>
  <c r="F3553" i="5"/>
  <c r="E3554" i="5"/>
  <c r="F3554" i="5"/>
  <c r="E3555" i="5"/>
  <c r="F3555" i="5"/>
  <c r="E3556" i="5"/>
  <c r="F3556" i="5"/>
  <c r="E3557" i="5"/>
  <c r="F3557" i="5"/>
  <c r="E3558" i="5"/>
  <c r="F3558" i="5"/>
  <c r="E3559" i="5"/>
  <c r="F3559" i="5"/>
  <c r="E3560" i="5"/>
  <c r="F3560" i="5"/>
  <c r="E3561" i="5"/>
  <c r="F3561" i="5"/>
  <c r="E3562" i="5"/>
  <c r="F3562" i="5"/>
  <c r="E3563" i="5"/>
  <c r="F3563" i="5"/>
  <c r="E3564" i="5"/>
  <c r="F3564" i="5"/>
  <c r="E3565" i="5"/>
  <c r="F3565" i="5"/>
  <c r="E3566" i="5"/>
  <c r="F3566" i="5"/>
  <c r="E3567" i="5"/>
  <c r="F3567" i="5"/>
  <c r="E3568" i="5"/>
  <c r="F3568" i="5"/>
  <c r="E3569" i="5"/>
  <c r="F3569" i="5"/>
  <c r="E3570" i="5"/>
  <c r="F3570" i="5"/>
  <c r="E3571" i="5"/>
  <c r="F3571" i="5"/>
  <c r="E3572" i="5"/>
  <c r="F3572" i="5"/>
  <c r="E3573" i="5"/>
  <c r="F3573" i="5"/>
  <c r="E3574" i="5"/>
  <c r="F3574" i="5"/>
  <c r="E3575" i="5"/>
  <c r="F3575" i="5"/>
  <c r="E3576" i="5"/>
  <c r="F3576" i="5"/>
  <c r="E3577" i="5"/>
  <c r="F3577" i="5"/>
  <c r="E3578" i="5"/>
  <c r="F3578" i="5"/>
  <c r="E3579" i="5"/>
  <c r="F3579" i="5"/>
  <c r="E3580" i="5"/>
  <c r="F3580" i="5"/>
  <c r="E3581" i="5"/>
  <c r="F3581" i="5"/>
  <c r="E3582" i="5"/>
  <c r="F3582" i="5"/>
  <c r="E3583" i="5"/>
  <c r="F3583" i="5"/>
  <c r="E3584" i="5"/>
  <c r="F3584" i="5"/>
  <c r="E3585" i="5"/>
  <c r="F3585" i="5"/>
  <c r="E3586" i="5"/>
  <c r="F3586" i="5"/>
  <c r="E3587" i="5"/>
  <c r="F3587" i="5"/>
  <c r="E3588" i="5"/>
  <c r="F3588" i="5"/>
  <c r="E3589" i="5"/>
  <c r="F3589" i="5"/>
  <c r="E3590" i="5"/>
  <c r="F3590" i="5"/>
  <c r="E3591" i="5"/>
  <c r="F3591" i="5"/>
  <c r="E3592" i="5"/>
  <c r="F3592" i="5"/>
  <c r="E3593" i="5"/>
  <c r="F3593" i="5"/>
  <c r="E3594" i="5"/>
  <c r="F3594" i="5"/>
  <c r="E3595" i="5"/>
  <c r="F3595" i="5"/>
  <c r="E3596" i="5"/>
  <c r="F3596" i="5"/>
  <c r="E3597" i="5"/>
  <c r="F3597" i="5"/>
  <c r="E3598" i="5"/>
  <c r="F3598" i="5"/>
  <c r="E3599" i="5"/>
  <c r="F3599" i="5"/>
  <c r="E3600" i="5"/>
  <c r="F3600" i="5"/>
  <c r="E3601" i="5"/>
  <c r="F3601" i="5"/>
  <c r="E3602" i="5"/>
  <c r="F3602" i="5"/>
  <c r="E3603" i="5"/>
  <c r="F3603" i="5"/>
  <c r="E3604" i="5"/>
  <c r="F3604" i="5"/>
  <c r="E3605" i="5"/>
  <c r="F3605" i="5"/>
  <c r="E3606" i="5"/>
  <c r="F3606" i="5"/>
  <c r="E3607" i="5"/>
  <c r="F3607" i="5"/>
  <c r="E3608" i="5"/>
  <c r="F3608" i="5"/>
  <c r="E3609" i="5"/>
  <c r="F3609" i="5"/>
  <c r="E3610" i="5"/>
  <c r="F3610" i="5"/>
  <c r="E3611" i="5"/>
  <c r="F3611" i="5"/>
  <c r="E3612" i="5"/>
  <c r="F3612" i="5"/>
  <c r="E3613" i="5"/>
  <c r="F3613" i="5"/>
  <c r="E3614" i="5"/>
  <c r="F3614" i="5"/>
  <c r="E3615" i="5"/>
  <c r="F3615" i="5"/>
  <c r="E3616" i="5"/>
  <c r="F3616" i="5"/>
  <c r="E3617" i="5"/>
  <c r="F3617" i="5"/>
  <c r="E3618" i="5"/>
  <c r="F3618" i="5"/>
  <c r="E3619" i="5"/>
  <c r="F3619" i="5"/>
  <c r="E3620" i="5"/>
  <c r="F3620" i="5"/>
  <c r="E3621" i="5"/>
  <c r="F3621" i="5"/>
  <c r="E3622" i="5"/>
  <c r="F3622" i="5"/>
  <c r="E3623" i="5"/>
  <c r="F3623" i="5"/>
  <c r="E3624" i="5"/>
  <c r="F3624" i="5"/>
  <c r="E3625" i="5"/>
  <c r="F3625" i="5"/>
  <c r="E3626" i="5"/>
  <c r="F3626" i="5"/>
  <c r="E3627" i="5"/>
  <c r="F3627" i="5"/>
  <c r="E3628" i="5"/>
  <c r="F3628" i="5"/>
  <c r="E3629" i="5"/>
  <c r="F3629" i="5"/>
  <c r="E3630" i="5"/>
  <c r="F3630" i="5"/>
  <c r="E3631" i="5"/>
  <c r="F3631" i="5"/>
  <c r="E3632" i="5"/>
  <c r="F3632" i="5"/>
  <c r="E3633" i="5"/>
  <c r="F3633" i="5"/>
  <c r="E3634" i="5"/>
  <c r="F3634" i="5"/>
  <c r="E3635" i="5"/>
  <c r="F3635" i="5"/>
  <c r="E3636" i="5"/>
  <c r="F3636" i="5"/>
  <c r="E3637" i="5"/>
  <c r="F3637" i="5"/>
  <c r="E3638" i="5"/>
  <c r="F3638" i="5"/>
  <c r="E3639" i="5"/>
  <c r="F3639" i="5"/>
  <c r="E3640" i="5"/>
  <c r="F3640" i="5"/>
  <c r="E3641" i="5"/>
  <c r="F3641" i="5"/>
  <c r="E3642" i="5"/>
  <c r="F3642" i="5"/>
  <c r="E3643" i="5"/>
  <c r="F3643" i="5"/>
  <c r="E3644" i="5"/>
  <c r="F3644" i="5"/>
  <c r="E3645" i="5"/>
  <c r="F3645" i="5"/>
  <c r="E3646" i="5"/>
  <c r="F3646" i="5"/>
  <c r="E3647" i="5"/>
  <c r="F3647" i="5"/>
  <c r="E3648" i="5"/>
  <c r="F3648" i="5"/>
  <c r="E3649" i="5"/>
  <c r="F3649" i="5"/>
  <c r="E3650" i="5"/>
  <c r="F3650" i="5"/>
  <c r="E3651" i="5"/>
  <c r="F3651" i="5"/>
  <c r="E3652" i="5"/>
  <c r="F3652" i="5"/>
  <c r="E3653" i="5"/>
  <c r="F3653" i="5"/>
  <c r="E3654" i="5"/>
  <c r="F3654" i="5"/>
  <c r="E3655" i="5"/>
  <c r="F3655" i="5"/>
  <c r="E3656" i="5"/>
  <c r="F3656" i="5"/>
  <c r="E3657" i="5"/>
  <c r="F3657" i="5"/>
  <c r="E3658" i="5"/>
  <c r="F3658" i="5"/>
  <c r="E3659" i="5"/>
  <c r="F3659" i="5"/>
  <c r="E3660" i="5"/>
  <c r="F3660" i="5"/>
  <c r="E3661" i="5"/>
  <c r="F3661" i="5"/>
  <c r="E3662" i="5"/>
  <c r="F3662" i="5"/>
  <c r="E3663" i="5"/>
  <c r="F3663" i="5"/>
  <c r="E3664" i="5"/>
  <c r="F3664" i="5"/>
  <c r="E3665" i="5"/>
  <c r="F3665" i="5"/>
  <c r="E3666" i="5"/>
  <c r="F3666" i="5"/>
  <c r="E3667" i="5"/>
  <c r="F3667" i="5"/>
  <c r="E3668" i="5"/>
  <c r="F3668" i="5"/>
  <c r="E3669" i="5"/>
  <c r="F3669" i="5"/>
  <c r="E3670" i="5"/>
  <c r="F3670" i="5"/>
  <c r="E3671" i="5"/>
  <c r="F3671" i="5"/>
  <c r="E3672" i="5"/>
  <c r="F3672" i="5"/>
  <c r="E3673" i="5"/>
  <c r="F3673" i="5"/>
  <c r="E3674" i="5"/>
  <c r="F3674" i="5"/>
  <c r="E3675" i="5"/>
  <c r="F3675" i="5"/>
  <c r="E3676" i="5"/>
  <c r="F3676" i="5"/>
  <c r="E3677" i="5"/>
  <c r="F3677" i="5"/>
  <c r="E3678" i="5"/>
  <c r="F3678" i="5"/>
  <c r="E3679" i="5"/>
  <c r="F3679" i="5"/>
  <c r="E3680" i="5"/>
  <c r="F3680" i="5"/>
  <c r="E3681" i="5"/>
  <c r="F3681" i="5"/>
  <c r="E3682" i="5"/>
  <c r="F3682" i="5"/>
  <c r="E3683" i="5"/>
  <c r="F3683" i="5"/>
  <c r="E3684" i="5"/>
  <c r="F3684" i="5"/>
  <c r="E3685" i="5"/>
  <c r="F3685" i="5"/>
  <c r="E3686" i="5"/>
  <c r="F3686" i="5"/>
  <c r="E3687" i="5"/>
  <c r="F3687" i="5"/>
  <c r="E3688" i="5"/>
  <c r="F3688" i="5"/>
  <c r="E3689" i="5"/>
  <c r="F3689" i="5"/>
  <c r="E3690" i="5"/>
  <c r="F3690" i="5"/>
  <c r="E3691" i="5"/>
  <c r="F3691" i="5"/>
  <c r="E3692" i="5"/>
  <c r="F3692" i="5"/>
  <c r="E3693" i="5"/>
  <c r="F3693" i="5"/>
  <c r="E3694" i="5"/>
  <c r="F3694" i="5"/>
  <c r="E3695" i="5"/>
  <c r="F3695" i="5"/>
  <c r="E3696" i="5"/>
  <c r="F3696" i="5"/>
  <c r="E3697" i="5"/>
  <c r="F3697" i="5"/>
  <c r="E3698" i="5"/>
  <c r="F3698" i="5"/>
  <c r="E3699" i="5"/>
  <c r="F3699" i="5"/>
  <c r="E3700" i="5"/>
  <c r="F3700" i="5"/>
  <c r="E3701" i="5"/>
  <c r="F3701" i="5"/>
  <c r="E3702" i="5"/>
  <c r="F3702" i="5"/>
  <c r="E3703" i="5"/>
  <c r="F3703" i="5"/>
  <c r="E3704" i="5"/>
  <c r="F3704" i="5"/>
  <c r="E3705" i="5"/>
  <c r="F3705" i="5"/>
  <c r="E3706" i="5"/>
  <c r="F3706" i="5"/>
  <c r="E3707" i="5"/>
  <c r="F3707" i="5"/>
  <c r="E3708" i="5"/>
  <c r="F3708" i="5"/>
  <c r="E3709" i="5"/>
  <c r="F3709" i="5"/>
  <c r="E3710" i="5"/>
  <c r="F3710" i="5"/>
  <c r="E3711" i="5"/>
  <c r="F3711" i="5"/>
  <c r="E3712" i="5"/>
  <c r="F3712" i="5"/>
  <c r="E3713" i="5"/>
  <c r="F3713" i="5"/>
  <c r="E3714" i="5"/>
  <c r="F3714" i="5"/>
  <c r="E3715" i="5"/>
  <c r="F3715" i="5"/>
  <c r="E3716" i="5"/>
  <c r="F3716" i="5"/>
  <c r="E3717" i="5"/>
  <c r="F3717" i="5"/>
  <c r="E3718" i="5"/>
  <c r="F3718" i="5"/>
  <c r="E3719" i="5"/>
  <c r="F3719" i="5"/>
  <c r="E3720" i="5"/>
  <c r="F3720" i="5"/>
  <c r="E3721" i="5"/>
  <c r="F3721" i="5"/>
  <c r="E3722" i="5"/>
  <c r="F3722" i="5"/>
  <c r="E3723" i="5"/>
  <c r="F3723" i="5"/>
  <c r="E3724" i="5"/>
  <c r="F3724" i="5"/>
  <c r="E3725" i="5"/>
  <c r="F3725" i="5"/>
  <c r="E3726" i="5"/>
  <c r="F3726" i="5"/>
  <c r="E3727" i="5"/>
  <c r="F3727" i="5"/>
  <c r="E3728" i="5"/>
  <c r="F3728" i="5"/>
  <c r="E3729" i="5"/>
  <c r="F3729" i="5"/>
  <c r="E3730" i="5"/>
  <c r="F3730" i="5"/>
  <c r="E3731" i="5"/>
  <c r="F3731" i="5"/>
  <c r="E3732" i="5"/>
  <c r="F3732" i="5"/>
  <c r="E3733" i="5"/>
  <c r="F3733" i="5"/>
  <c r="E3734" i="5"/>
  <c r="F3734" i="5"/>
  <c r="E3735" i="5"/>
  <c r="F3735" i="5"/>
  <c r="E3736" i="5"/>
  <c r="F3736" i="5"/>
  <c r="E3737" i="5"/>
  <c r="F3737" i="5"/>
  <c r="E3738" i="5"/>
  <c r="F3738" i="5"/>
  <c r="E3739" i="5"/>
  <c r="F3739" i="5"/>
  <c r="E3740" i="5"/>
  <c r="F3740" i="5"/>
  <c r="E3741" i="5"/>
  <c r="F3741" i="5"/>
  <c r="E3742" i="5"/>
  <c r="F3742" i="5"/>
  <c r="E3743" i="5"/>
  <c r="F3743" i="5"/>
  <c r="E3744" i="5"/>
  <c r="F3744" i="5"/>
  <c r="E3745" i="5"/>
  <c r="F3745" i="5"/>
  <c r="E3746" i="5"/>
  <c r="F3746" i="5"/>
  <c r="E3747" i="5"/>
  <c r="F3747" i="5"/>
  <c r="E3748" i="5"/>
  <c r="F3748" i="5"/>
  <c r="E3749" i="5"/>
  <c r="F3749" i="5"/>
  <c r="E3750" i="5"/>
  <c r="F3750" i="5"/>
  <c r="E3751" i="5"/>
  <c r="F3751" i="5"/>
  <c r="E3752" i="5"/>
  <c r="F3752" i="5"/>
  <c r="E3753" i="5"/>
  <c r="F3753" i="5"/>
  <c r="E3754" i="5"/>
  <c r="F3754" i="5"/>
  <c r="E3755" i="5"/>
  <c r="F3755" i="5"/>
  <c r="E3756" i="5"/>
  <c r="F3756" i="5"/>
  <c r="E3757" i="5"/>
  <c r="F3757" i="5"/>
  <c r="E3758" i="5"/>
  <c r="F3758" i="5"/>
  <c r="E3759" i="5"/>
  <c r="F3759" i="5"/>
  <c r="E3760" i="5"/>
  <c r="F3760" i="5"/>
  <c r="E3761" i="5"/>
  <c r="F3761" i="5"/>
  <c r="E3762" i="5"/>
  <c r="F3762" i="5"/>
  <c r="E3763" i="5"/>
  <c r="F3763" i="5"/>
  <c r="E3764" i="5"/>
  <c r="F3764" i="5"/>
  <c r="E3765" i="5"/>
  <c r="F3765" i="5"/>
  <c r="E3766" i="5"/>
  <c r="F3766" i="5"/>
  <c r="E3767" i="5"/>
  <c r="F3767" i="5"/>
  <c r="E3768" i="5"/>
  <c r="F3768" i="5"/>
  <c r="E3769" i="5"/>
  <c r="F3769" i="5"/>
  <c r="E3770" i="5"/>
  <c r="F3770" i="5"/>
  <c r="E3771" i="5"/>
  <c r="F3771" i="5"/>
  <c r="E3772" i="5"/>
  <c r="F3772" i="5"/>
  <c r="E3773" i="5"/>
  <c r="F3773" i="5"/>
  <c r="E3774" i="5"/>
  <c r="F3774" i="5"/>
  <c r="E3775" i="5"/>
  <c r="F3775" i="5"/>
  <c r="E3776" i="5"/>
  <c r="F3776" i="5"/>
  <c r="E3777" i="5"/>
  <c r="F3777" i="5"/>
  <c r="E3778" i="5"/>
  <c r="F3778" i="5"/>
  <c r="E3779" i="5"/>
  <c r="F3779" i="5"/>
  <c r="E3780" i="5"/>
  <c r="F3780" i="5"/>
  <c r="E3781" i="5"/>
  <c r="F3781" i="5"/>
  <c r="E3782" i="5"/>
  <c r="F3782" i="5"/>
  <c r="E3783" i="5"/>
  <c r="F3783" i="5"/>
  <c r="E3784" i="5"/>
  <c r="F3784" i="5"/>
  <c r="E3785" i="5"/>
  <c r="F3785" i="5"/>
  <c r="E3786" i="5"/>
  <c r="F3786" i="5"/>
  <c r="E3787" i="5"/>
  <c r="F3787" i="5"/>
  <c r="E3788" i="5"/>
  <c r="F3788" i="5"/>
  <c r="E3789" i="5"/>
  <c r="F3789" i="5"/>
  <c r="E3790" i="5"/>
  <c r="F3790" i="5"/>
  <c r="E3791" i="5"/>
  <c r="F3791" i="5"/>
  <c r="E3792" i="5"/>
  <c r="F3792" i="5"/>
  <c r="E3793" i="5"/>
  <c r="F3793" i="5"/>
  <c r="E3794" i="5"/>
  <c r="F3794" i="5"/>
  <c r="E3795" i="5"/>
  <c r="F3795" i="5"/>
  <c r="E3796" i="5"/>
  <c r="F3796" i="5"/>
  <c r="E3797" i="5"/>
  <c r="F3797" i="5"/>
  <c r="E3798" i="5"/>
  <c r="F3798" i="5"/>
  <c r="E3799" i="5"/>
  <c r="F3799" i="5"/>
  <c r="E3800" i="5"/>
  <c r="F3800" i="5"/>
  <c r="E3801" i="5"/>
  <c r="F3801" i="5"/>
  <c r="E3802" i="5"/>
  <c r="F3802" i="5"/>
  <c r="E3803" i="5"/>
  <c r="F3803" i="5"/>
  <c r="E3804" i="5"/>
  <c r="F3804" i="5"/>
  <c r="E3805" i="5"/>
  <c r="F3805" i="5"/>
  <c r="E3806" i="5"/>
  <c r="F3806" i="5"/>
  <c r="E3807" i="5"/>
  <c r="F3807" i="5"/>
  <c r="E3808" i="5"/>
  <c r="F3808" i="5"/>
  <c r="E3809" i="5"/>
  <c r="F3809" i="5"/>
  <c r="E3810" i="5"/>
  <c r="F3810" i="5"/>
  <c r="E3811" i="5"/>
  <c r="F3811" i="5"/>
  <c r="E3812" i="5"/>
  <c r="F3812" i="5"/>
  <c r="E3813" i="5"/>
  <c r="F3813" i="5"/>
  <c r="E3814" i="5"/>
  <c r="F3814" i="5"/>
  <c r="E3815" i="5"/>
  <c r="F3815" i="5"/>
  <c r="E3816" i="5"/>
  <c r="F3816" i="5"/>
  <c r="E3817" i="5"/>
  <c r="F3817" i="5"/>
  <c r="E3818" i="5"/>
  <c r="F3818" i="5"/>
  <c r="E3819" i="5"/>
  <c r="F3819" i="5"/>
  <c r="E3820" i="5"/>
  <c r="F3820" i="5"/>
  <c r="E3821" i="5"/>
  <c r="F3821" i="5"/>
  <c r="E3822" i="5"/>
  <c r="F3822" i="5"/>
  <c r="E3823" i="5"/>
  <c r="F3823" i="5"/>
  <c r="E3824" i="5"/>
  <c r="F3824" i="5"/>
  <c r="E3825" i="5"/>
  <c r="F3825" i="5"/>
  <c r="E3826" i="5"/>
  <c r="F3826" i="5"/>
  <c r="E3827" i="5"/>
  <c r="F3827" i="5"/>
  <c r="E3828" i="5"/>
  <c r="F3828" i="5"/>
  <c r="E3829" i="5"/>
  <c r="F3829" i="5"/>
  <c r="E3830" i="5"/>
  <c r="F3830" i="5"/>
  <c r="E3831" i="5"/>
  <c r="F3831" i="5"/>
  <c r="E3832" i="5"/>
  <c r="F3832" i="5"/>
  <c r="E3833" i="5"/>
  <c r="F3833" i="5"/>
  <c r="E3834" i="5"/>
  <c r="F3834" i="5"/>
  <c r="E3835" i="5"/>
  <c r="F3835" i="5"/>
  <c r="E3836" i="5"/>
  <c r="F3836" i="5"/>
  <c r="E3837" i="5"/>
  <c r="F3837" i="5"/>
  <c r="E3838" i="5"/>
  <c r="F3838" i="5"/>
  <c r="E3839" i="5"/>
  <c r="F3839" i="5"/>
  <c r="E3840" i="5"/>
  <c r="F3840" i="5"/>
  <c r="E3841" i="5"/>
  <c r="F3841" i="5"/>
  <c r="E3842" i="5"/>
  <c r="F3842" i="5"/>
  <c r="E3843" i="5"/>
  <c r="F3843" i="5"/>
  <c r="E3844" i="5"/>
  <c r="F3844" i="5"/>
  <c r="E3845" i="5"/>
  <c r="F3845" i="5"/>
  <c r="E3846" i="5"/>
  <c r="F3846" i="5"/>
  <c r="E3847" i="5"/>
  <c r="F3847" i="5"/>
  <c r="E3848" i="5"/>
  <c r="F3848" i="5"/>
  <c r="E3849" i="5"/>
  <c r="F3849" i="5"/>
  <c r="E3850" i="5"/>
  <c r="F3850" i="5"/>
  <c r="E3851" i="5"/>
  <c r="F3851" i="5"/>
  <c r="E3852" i="5"/>
  <c r="F3852" i="5"/>
  <c r="E3853" i="5"/>
  <c r="F3853" i="5"/>
  <c r="E3854" i="5"/>
  <c r="F3854" i="5"/>
  <c r="E3855" i="5"/>
  <c r="F3855" i="5"/>
  <c r="E3856" i="5"/>
  <c r="F3856" i="5"/>
  <c r="E3857" i="5"/>
  <c r="F3857" i="5"/>
  <c r="E3858" i="5"/>
  <c r="F3858" i="5"/>
  <c r="E3859" i="5"/>
  <c r="F3859" i="5"/>
  <c r="E3860" i="5"/>
  <c r="F3860" i="5"/>
  <c r="E3861" i="5"/>
  <c r="F3861" i="5"/>
  <c r="E3862" i="5"/>
  <c r="F3862" i="5"/>
  <c r="E3863" i="5"/>
  <c r="F3863" i="5"/>
  <c r="E3864" i="5"/>
  <c r="F3864" i="5"/>
  <c r="E3865" i="5"/>
  <c r="F3865" i="5"/>
  <c r="E3866" i="5"/>
  <c r="F3866" i="5"/>
  <c r="E3867" i="5"/>
  <c r="F3867" i="5"/>
  <c r="E3868" i="5"/>
  <c r="F3868" i="5"/>
  <c r="E3869" i="5"/>
  <c r="F3869" i="5"/>
  <c r="E3870" i="5"/>
  <c r="F3870" i="5"/>
  <c r="E3871" i="5"/>
  <c r="F3871" i="5"/>
  <c r="E3872" i="5"/>
  <c r="F3872" i="5"/>
  <c r="E3873" i="5"/>
  <c r="F3873" i="5"/>
  <c r="E3874" i="5"/>
  <c r="F3874" i="5"/>
  <c r="E3875" i="5"/>
  <c r="F3875" i="5"/>
  <c r="E3876" i="5"/>
  <c r="F3876" i="5"/>
  <c r="E3877" i="5"/>
  <c r="F3877" i="5"/>
  <c r="E3878" i="5"/>
  <c r="F3878" i="5"/>
  <c r="E3879" i="5"/>
  <c r="F3879" i="5"/>
  <c r="E3880" i="5"/>
  <c r="F3880" i="5"/>
  <c r="E3881" i="5"/>
  <c r="F3881" i="5"/>
  <c r="E3882" i="5"/>
  <c r="F3882" i="5"/>
  <c r="E3883" i="5"/>
  <c r="F3883" i="5"/>
  <c r="E3884" i="5"/>
  <c r="F3884" i="5"/>
  <c r="E3885" i="5"/>
  <c r="F3885" i="5"/>
  <c r="E3886" i="5"/>
  <c r="F3886" i="5"/>
  <c r="E3887" i="5"/>
  <c r="F3887" i="5"/>
  <c r="E3888" i="5"/>
  <c r="F3888" i="5"/>
  <c r="E3889" i="5"/>
  <c r="F3889" i="5"/>
  <c r="E3890" i="5"/>
  <c r="F3890" i="5"/>
  <c r="E3891" i="5"/>
  <c r="F3891" i="5"/>
  <c r="E3892" i="5"/>
  <c r="F3892" i="5"/>
  <c r="E3893" i="5"/>
  <c r="F3893" i="5"/>
  <c r="E3894" i="5"/>
  <c r="F3894" i="5"/>
  <c r="E3895" i="5"/>
  <c r="F3895" i="5"/>
  <c r="E3896" i="5"/>
  <c r="F3896" i="5"/>
  <c r="E3897" i="5"/>
  <c r="F3897" i="5"/>
  <c r="E3898" i="5"/>
  <c r="F3898" i="5"/>
  <c r="E3899" i="5"/>
  <c r="F3899" i="5"/>
  <c r="E3900" i="5"/>
  <c r="F3900" i="5"/>
  <c r="E3901" i="5"/>
  <c r="F3901" i="5"/>
  <c r="E3902" i="5"/>
  <c r="F3902" i="5"/>
  <c r="E3903" i="5"/>
  <c r="F3903" i="5"/>
  <c r="E3904" i="5"/>
  <c r="F3904" i="5"/>
  <c r="E3905" i="5"/>
  <c r="F3905" i="5"/>
  <c r="E3906" i="5"/>
  <c r="F3906" i="5"/>
  <c r="E3907" i="5"/>
  <c r="F3907" i="5"/>
  <c r="E3908" i="5"/>
  <c r="F3908" i="5"/>
  <c r="E3909" i="5"/>
  <c r="F3909" i="5"/>
  <c r="E3910" i="5"/>
  <c r="F3910" i="5"/>
  <c r="E3911" i="5"/>
  <c r="F3911" i="5"/>
  <c r="E3912" i="5"/>
  <c r="F3912" i="5"/>
  <c r="E3913" i="5"/>
  <c r="F3913" i="5"/>
  <c r="E3914" i="5"/>
  <c r="F3914" i="5"/>
  <c r="E3915" i="5"/>
  <c r="F3915" i="5"/>
  <c r="E3916" i="5"/>
  <c r="F3916" i="5"/>
  <c r="E3917" i="5"/>
  <c r="F3917" i="5"/>
  <c r="E3918" i="5"/>
  <c r="F3918" i="5"/>
  <c r="E3919" i="5"/>
  <c r="F3919" i="5"/>
  <c r="E3920" i="5"/>
  <c r="F3920" i="5"/>
  <c r="E3921" i="5"/>
  <c r="F3921" i="5"/>
  <c r="E3922" i="5"/>
  <c r="F3922" i="5"/>
  <c r="E3923" i="5"/>
  <c r="F3923" i="5"/>
  <c r="E3924" i="5"/>
  <c r="F3924" i="5"/>
  <c r="E3925" i="5"/>
  <c r="F3925" i="5"/>
  <c r="E3926" i="5"/>
  <c r="F3926" i="5"/>
  <c r="E3927" i="5"/>
  <c r="F3927" i="5"/>
  <c r="E3928" i="5"/>
  <c r="F3928" i="5"/>
  <c r="E3929" i="5"/>
  <c r="F3929" i="5"/>
  <c r="E3930" i="5"/>
  <c r="F3930" i="5"/>
  <c r="E3931" i="5"/>
  <c r="F3931" i="5"/>
  <c r="E3932" i="5"/>
  <c r="F3932" i="5"/>
  <c r="E3933" i="5"/>
  <c r="F3933" i="5"/>
  <c r="E3934" i="5"/>
  <c r="F3934" i="5"/>
  <c r="E3935" i="5"/>
  <c r="F3935" i="5"/>
  <c r="E3936" i="5"/>
  <c r="F3936" i="5"/>
  <c r="E3937" i="5"/>
  <c r="F3937" i="5"/>
  <c r="E3938" i="5"/>
  <c r="F3938" i="5"/>
  <c r="E3939" i="5"/>
  <c r="F3939" i="5"/>
  <c r="E3940" i="5"/>
  <c r="F3940" i="5"/>
  <c r="E3941" i="5"/>
  <c r="F3941" i="5"/>
  <c r="E3942" i="5"/>
  <c r="F3942" i="5"/>
  <c r="E3943" i="5"/>
  <c r="F3943" i="5"/>
  <c r="E3944" i="5"/>
  <c r="F3944" i="5"/>
  <c r="E3945" i="5"/>
  <c r="F3945" i="5"/>
  <c r="E3946" i="5"/>
  <c r="F3946" i="5"/>
  <c r="E3947" i="5"/>
  <c r="F3947" i="5"/>
  <c r="E3948" i="5"/>
  <c r="F3948" i="5"/>
  <c r="E3949" i="5"/>
  <c r="F3949" i="5"/>
  <c r="E3950" i="5"/>
  <c r="F3950" i="5"/>
  <c r="E3951" i="5"/>
  <c r="F3951" i="5"/>
  <c r="E3952" i="5"/>
  <c r="F3952" i="5"/>
  <c r="E3953" i="5"/>
  <c r="F3953" i="5"/>
  <c r="E3954" i="5"/>
  <c r="F3954" i="5"/>
  <c r="E3955" i="5"/>
  <c r="F3955" i="5"/>
  <c r="E3956" i="5"/>
  <c r="F3956" i="5"/>
  <c r="E3957" i="5"/>
  <c r="F3957" i="5"/>
  <c r="E3958" i="5"/>
  <c r="F3958" i="5"/>
  <c r="E3959" i="5"/>
  <c r="F3959" i="5"/>
  <c r="E3960" i="5"/>
  <c r="F3960" i="5"/>
  <c r="E3961" i="5"/>
  <c r="F3961" i="5"/>
  <c r="E3962" i="5"/>
  <c r="F3962" i="5"/>
  <c r="E3963" i="5"/>
  <c r="F3963" i="5"/>
  <c r="E3964" i="5"/>
  <c r="F3964" i="5"/>
  <c r="E3965" i="5"/>
  <c r="F3965" i="5"/>
  <c r="E3966" i="5"/>
  <c r="F3966" i="5"/>
  <c r="E3967" i="5"/>
  <c r="F3967" i="5"/>
  <c r="E3968" i="5"/>
  <c r="F3968" i="5"/>
  <c r="E3969" i="5"/>
  <c r="F3969" i="5"/>
  <c r="E3970" i="5"/>
  <c r="F3970" i="5"/>
  <c r="E3971" i="5"/>
  <c r="F3971" i="5"/>
  <c r="E3972" i="5"/>
  <c r="F3972" i="5"/>
  <c r="E3973" i="5"/>
  <c r="F3973" i="5"/>
  <c r="E3974" i="5"/>
  <c r="F3974" i="5"/>
  <c r="E3975" i="5"/>
  <c r="F3975" i="5"/>
  <c r="E3976" i="5"/>
  <c r="F3976" i="5"/>
  <c r="E3977" i="5"/>
  <c r="F3977" i="5"/>
  <c r="E3978" i="5"/>
  <c r="F3978" i="5"/>
  <c r="E3979" i="5"/>
  <c r="F3979" i="5"/>
  <c r="E3980" i="5"/>
  <c r="F3980" i="5"/>
  <c r="E3981" i="5"/>
  <c r="F3981" i="5"/>
  <c r="E3982" i="5"/>
  <c r="F3982" i="5"/>
  <c r="E3983" i="5"/>
  <c r="F3983" i="5"/>
  <c r="E3984" i="5"/>
  <c r="F3984" i="5"/>
  <c r="E3985" i="5"/>
  <c r="F3985" i="5"/>
  <c r="E3986" i="5"/>
  <c r="F3986" i="5"/>
  <c r="E3987" i="5"/>
  <c r="F3987" i="5"/>
  <c r="E3988" i="5"/>
  <c r="F3988" i="5"/>
  <c r="E3989" i="5"/>
  <c r="F3989" i="5"/>
  <c r="E3990" i="5"/>
  <c r="F3990" i="5"/>
  <c r="E3991" i="5"/>
  <c r="F3991" i="5"/>
  <c r="E3992" i="5"/>
  <c r="F3992" i="5"/>
  <c r="E3993" i="5"/>
  <c r="F3993" i="5"/>
  <c r="E3994" i="5"/>
  <c r="F3994" i="5"/>
  <c r="E3995" i="5"/>
  <c r="F3995" i="5"/>
  <c r="E3996" i="5"/>
  <c r="F3996" i="5"/>
  <c r="E3997" i="5"/>
  <c r="F3997" i="5"/>
  <c r="E3998" i="5"/>
  <c r="F3998" i="5"/>
  <c r="E3999" i="5"/>
  <c r="F3999" i="5"/>
  <c r="E4000" i="5"/>
  <c r="F4000" i="5"/>
  <c r="E4001" i="5"/>
  <c r="F4001" i="5"/>
  <c r="E4002" i="5"/>
  <c r="F4002" i="5"/>
  <c r="E4003" i="5"/>
  <c r="F4003" i="5"/>
  <c r="E4004" i="5"/>
  <c r="F4004" i="5"/>
  <c r="E4005" i="5"/>
  <c r="F4005" i="5"/>
  <c r="E4006" i="5"/>
  <c r="F4006" i="5"/>
  <c r="E4007" i="5"/>
  <c r="F4007" i="5"/>
  <c r="E4008" i="5"/>
  <c r="F4008" i="5"/>
  <c r="E4009" i="5"/>
  <c r="F4009" i="5"/>
  <c r="E4010" i="5"/>
  <c r="F4010" i="5"/>
  <c r="E4011" i="5"/>
  <c r="F4011" i="5"/>
  <c r="E4012" i="5"/>
  <c r="F4012" i="5"/>
  <c r="E4013" i="5"/>
  <c r="F4013" i="5"/>
  <c r="E4014" i="5"/>
  <c r="F4014" i="5"/>
  <c r="E4015" i="5"/>
  <c r="F4015" i="5"/>
  <c r="E4016" i="5"/>
  <c r="F4016" i="5"/>
  <c r="E4017" i="5"/>
  <c r="F4017" i="5"/>
  <c r="E4018" i="5"/>
  <c r="F4018" i="5"/>
  <c r="E4019" i="5"/>
  <c r="F4019" i="5"/>
  <c r="E4020" i="5"/>
  <c r="F4020" i="5"/>
  <c r="E4021" i="5"/>
  <c r="F4021" i="5"/>
  <c r="E4022" i="5"/>
  <c r="F4022" i="5"/>
  <c r="E4023" i="5"/>
  <c r="F4023" i="5"/>
  <c r="E4024" i="5"/>
  <c r="F4024" i="5"/>
  <c r="E4025" i="5"/>
  <c r="F4025" i="5"/>
  <c r="E4026" i="5"/>
  <c r="F4026" i="5"/>
  <c r="E4027" i="5"/>
  <c r="F4027" i="5"/>
  <c r="E4028" i="5"/>
  <c r="F4028" i="5"/>
  <c r="E4029" i="5"/>
  <c r="F4029" i="5"/>
  <c r="E4030" i="5"/>
  <c r="F4030" i="5"/>
  <c r="E4031" i="5"/>
  <c r="F4031" i="5"/>
  <c r="E4032" i="5"/>
  <c r="F4032" i="5"/>
  <c r="E4033" i="5"/>
  <c r="F4033" i="5"/>
  <c r="E4034" i="5"/>
  <c r="F4034" i="5"/>
  <c r="E4035" i="5"/>
  <c r="F4035" i="5"/>
  <c r="E4036" i="5"/>
  <c r="F4036" i="5"/>
  <c r="E4037" i="5"/>
  <c r="F4037" i="5"/>
  <c r="E4038" i="5"/>
  <c r="F4038" i="5"/>
  <c r="E4039" i="5"/>
  <c r="F4039" i="5"/>
  <c r="E4040" i="5"/>
  <c r="F4040" i="5"/>
  <c r="E4041" i="5"/>
  <c r="F4041" i="5"/>
  <c r="E4042" i="5"/>
  <c r="F4042" i="5"/>
  <c r="E4043" i="5"/>
  <c r="F4043" i="5"/>
  <c r="E4044" i="5"/>
  <c r="F4044" i="5"/>
  <c r="E4045" i="5"/>
  <c r="F4045" i="5"/>
  <c r="E4046" i="5"/>
  <c r="F4046" i="5"/>
  <c r="E4047" i="5"/>
  <c r="F4047" i="5"/>
  <c r="E4048" i="5"/>
  <c r="F4048" i="5"/>
  <c r="E4049" i="5"/>
  <c r="F4049" i="5"/>
  <c r="E4050" i="5"/>
  <c r="F4050" i="5"/>
  <c r="E4051" i="5"/>
  <c r="F4051" i="5"/>
  <c r="E4052" i="5"/>
  <c r="F4052" i="5"/>
  <c r="E4053" i="5"/>
  <c r="F4053" i="5"/>
  <c r="E4054" i="5"/>
  <c r="F4054" i="5"/>
  <c r="E4055" i="5"/>
  <c r="F4055" i="5"/>
  <c r="E4056" i="5"/>
  <c r="F4056" i="5"/>
  <c r="E4057" i="5"/>
  <c r="F4057" i="5"/>
  <c r="E4058" i="5"/>
  <c r="F4058" i="5"/>
  <c r="E4059" i="5"/>
  <c r="F4059" i="5"/>
  <c r="E4060" i="5"/>
  <c r="F4060" i="5"/>
  <c r="E4061" i="5"/>
  <c r="F4061" i="5"/>
  <c r="E4062" i="5"/>
  <c r="F4062" i="5"/>
  <c r="E4063" i="5"/>
  <c r="F4063" i="5"/>
  <c r="E4064" i="5"/>
  <c r="F4064" i="5"/>
  <c r="E4065" i="5"/>
  <c r="F4065" i="5"/>
  <c r="E4066" i="5"/>
  <c r="F4066" i="5"/>
  <c r="E4067" i="5"/>
  <c r="F4067" i="5"/>
  <c r="E4068" i="5"/>
  <c r="F4068" i="5"/>
  <c r="E4069" i="5"/>
  <c r="F4069" i="5"/>
  <c r="E4070" i="5"/>
  <c r="F4070" i="5"/>
  <c r="E4071" i="5"/>
  <c r="F4071" i="5"/>
  <c r="E4072" i="5"/>
  <c r="F4072" i="5"/>
  <c r="E4073" i="5"/>
  <c r="F4073" i="5"/>
  <c r="E4074" i="5"/>
  <c r="F4074" i="5"/>
  <c r="E4075" i="5"/>
  <c r="F4075" i="5"/>
  <c r="E4076" i="5"/>
  <c r="F4076" i="5"/>
  <c r="E4077" i="5"/>
  <c r="F4077" i="5"/>
  <c r="E4078" i="5"/>
  <c r="F4078" i="5"/>
  <c r="E4079" i="5"/>
  <c r="F4079" i="5"/>
  <c r="E4080" i="5"/>
  <c r="F4080" i="5"/>
  <c r="E4081" i="5"/>
  <c r="F4081" i="5"/>
  <c r="E4082" i="5"/>
  <c r="F4082" i="5"/>
  <c r="E4083" i="5"/>
  <c r="F4083" i="5"/>
  <c r="E4084" i="5"/>
  <c r="F4084" i="5"/>
  <c r="E4085" i="5"/>
  <c r="F4085" i="5"/>
  <c r="E4086" i="5"/>
  <c r="F4086" i="5"/>
  <c r="E4087" i="5"/>
  <c r="F4087" i="5"/>
  <c r="E4088" i="5"/>
  <c r="F4088" i="5"/>
  <c r="E4089" i="5"/>
  <c r="F4089" i="5"/>
  <c r="E4090" i="5"/>
  <c r="F4090" i="5"/>
  <c r="E4091" i="5"/>
  <c r="F4091" i="5"/>
  <c r="E4092" i="5"/>
  <c r="F4092" i="5"/>
  <c r="E4093" i="5"/>
  <c r="F4093" i="5"/>
  <c r="E4094" i="5"/>
  <c r="F4094" i="5"/>
  <c r="E4095" i="5"/>
  <c r="F4095" i="5"/>
  <c r="E4096" i="5"/>
  <c r="F4096" i="5"/>
  <c r="E4097" i="5"/>
  <c r="F4097" i="5"/>
  <c r="E4098" i="5"/>
  <c r="F4098" i="5"/>
  <c r="E4099" i="5"/>
  <c r="F4099" i="5"/>
  <c r="E4100" i="5"/>
  <c r="F4100" i="5"/>
  <c r="E4101" i="5"/>
  <c r="F4101" i="5"/>
  <c r="E4102" i="5"/>
  <c r="F4102" i="5"/>
  <c r="E4103" i="5"/>
  <c r="F4103" i="5"/>
  <c r="E4104" i="5"/>
  <c r="F4104" i="5"/>
  <c r="E4105" i="5"/>
  <c r="F4105" i="5"/>
  <c r="E4106" i="5"/>
  <c r="F4106" i="5"/>
  <c r="E4107" i="5"/>
  <c r="F4107" i="5"/>
  <c r="E4108" i="5"/>
  <c r="F4108" i="5"/>
  <c r="E4109" i="5"/>
  <c r="F4109" i="5"/>
  <c r="E4110" i="5"/>
  <c r="F4110" i="5"/>
  <c r="E4111" i="5"/>
  <c r="F4111" i="5"/>
  <c r="E4112" i="5"/>
  <c r="F4112" i="5"/>
  <c r="E4113" i="5"/>
  <c r="F4113" i="5"/>
  <c r="E4114" i="5"/>
  <c r="F4114" i="5"/>
  <c r="E4115" i="5"/>
  <c r="F4115" i="5"/>
  <c r="E4116" i="5"/>
  <c r="F4116" i="5"/>
  <c r="E4117" i="5"/>
  <c r="F4117" i="5"/>
  <c r="E4118" i="5"/>
  <c r="F4118" i="5"/>
  <c r="E4119" i="5"/>
  <c r="F4119" i="5"/>
  <c r="E4120" i="5"/>
  <c r="F4120" i="5"/>
  <c r="E4121" i="5"/>
  <c r="F4121" i="5"/>
  <c r="E4122" i="5"/>
  <c r="F4122" i="5"/>
  <c r="E4123" i="5"/>
  <c r="F4123" i="5"/>
  <c r="E4124" i="5"/>
  <c r="F4124" i="5"/>
  <c r="E4125" i="5"/>
  <c r="F4125" i="5"/>
  <c r="E4126" i="5"/>
  <c r="F4126" i="5"/>
  <c r="E4127" i="5"/>
  <c r="F4127" i="5"/>
  <c r="E4128" i="5"/>
  <c r="F4128" i="5"/>
  <c r="E4129" i="5"/>
  <c r="F4129" i="5"/>
  <c r="E4130" i="5"/>
  <c r="F4130" i="5"/>
  <c r="E4131" i="5"/>
  <c r="F4131" i="5"/>
  <c r="E4132" i="5"/>
  <c r="F4132" i="5"/>
  <c r="E4133" i="5"/>
  <c r="F4133" i="5"/>
  <c r="E4134" i="5"/>
  <c r="F4134" i="5"/>
  <c r="E4135" i="5"/>
  <c r="F4135" i="5"/>
  <c r="E4136" i="5"/>
  <c r="F4136" i="5"/>
  <c r="E4137" i="5"/>
  <c r="F4137" i="5"/>
  <c r="E4138" i="5"/>
  <c r="F4138" i="5"/>
  <c r="E4139" i="5"/>
  <c r="F4139" i="5"/>
  <c r="E4140" i="5"/>
  <c r="F4140" i="5"/>
  <c r="E4141" i="5"/>
  <c r="F4141" i="5"/>
  <c r="E4142" i="5"/>
  <c r="F4142" i="5"/>
  <c r="E4143" i="5"/>
  <c r="F4143" i="5"/>
  <c r="E4144" i="5"/>
  <c r="F4144" i="5"/>
  <c r="E4145" i="5"/>
  <c r="F4145" i="5"/>
  <c r="E4146" i="5"/>
  <c r="F4146" i="5"/>
  <c r="E4147" i="5"/>
  <c r="F4147" i="5"/>
  <c r="E4148" i="5"/>
  <c r="F4148" i="5"/>
  <c r="E4149" i="5"/>
  <c r="F4149" i="5"/>
  <c r="E4150" i="5"/>
  <c r="F4150" i="5"/>
  <c r="E4151" i="5"/>
  <c r="F4151" i="5"/>
  <c r="E4152" i="5"/>
  <c r="F4152" i="5"/>
  <c r="E4153" i="5"/>
  <c r="F4153" i="5"/>
  <c r="E4154" i="5"/>
  <c r="F4154" i="5"/>
  <c r="E4155" i="5"/>
  <c r="F4155" i="5"/>
  <c r="E4156" i="5"/>
  <c r="F4156" i="5"/>
  <c r="E4157" i="5"/>
  <c r="F4157" i="5"/>
  <c r="E4158" i="5"/>
  <c r="F4158" i="5"/>
  <c r="E4159" i="5"/>
  <c r="F4159" i="5"/>
  <c r="E4160" i="5"/>
  <c r="F4160" i="5"/>
  <c r="E4161" i="5"/>
  <c r="F4161" i="5"/>
  <c r="E4162" i="5"/>
  <c r="F4162" i="5"/>
  <c r="E4163" i="5"/>
  <c r="F4163" i="5"/>
  <c r="E4164" i="5"/>
  <c r="F4164" i="5"/>
  <c r="E4165" i="5"/>
  <c r="F4165" i="5"/>
  <c r="E4166" i="5"/>
  <c r="F4166" i="5"/>
  <c r="E4167" i="5"/>
  <c r="F4167" i="5"/>
  <c r="E4168" i="5"/>
  <c r="F4168" i="5"/>
  <c r="E4169" i="5"/>
  <c r="F4169" i="5"/>
  <c r="E4170" i="5"/>
  <c r="F4170" i="5"/>
  <c r="E4171" i="5"/>
  <c r="F4171" i="5"/>
  <c r="E4172" i="5"/>
  <c r="F4172" i="5"/>
  <c r="E4173" i="5"/>
  <c r="F4173" i="5"/>
  <c r="E4174" i="5"/>
  <c r="F4174" i="5"/>
  <c r="E4175" i="5"/>
  <c r="F4175" i="5"/>
  <c r="E4176" i="5"/>
  <c r="F4176" i="5"/>
  <c r="E4177" i="5"/>
  <c r="F4177" i="5"/>
  <c r="E4178" i="5"/>
  <c r="F4178" i="5"/>
  <c r="E4179" i="5"/>
  <c r="F4179" i="5"/>
  <c r="E4180" i="5"/>
  <c r="F4180" i="5"/>
  <c r="E4181" i="5"/>
  <c r="F4181" i="5"/>
  <c r="E4182" i="5"/>
  <c r="F4182" i="5"/>
  <c r="E4183" i="5"/>
  <c r="F4183" i="5"/>
  <c r="E4184" i="5"/>
  <c r="F4184" i="5"/>
  <c r="E4185" i="5"/>
  <c r="F4185" i="5"/>
  <c r="E4186" i="5"/>
  <c r="F4186" i="5"/>
  <c r="E4187" i="5"/>
  <c r="F4187" i="5"/>
  <c r="E4188" i="5"/>
  <c r="F4188" i="5"/>
  <c r="E4189" i="5"/>
  <c r="F4189" i="5"/>
  <c r="E4190" i="5"/>
  <c r="F4190" i="5"/>
  <c r="E4191" i="5"/>
  <c r="F4191" i="5"/>
  <c r="E4192" i="5"/>
  <c r="F4192" i="5"/>
  <c r="E4193" i="5"/>
  <c r="F4193" i="5"/>
  <c r="E4194" i="5"/>
  <c r="F4194" i="5"/>
  <c r="E4195" i="5"/>
  <c r="F4195" i="5"/>
  <c r="E4196" i="5"/>
  <c r="F4196" i="5"/>
  <c r="E4197" i="5"/>
  <c r="F4197" i="5"/>
  <c r="E4198" i="5"/>
  <c r="F4198" i="5"/>
  <c r="E4199" i="5"/>
  <c r="F4199" i="5"/>
  <c r="E4200" i="5"/>
  <c r="F4200" i="5"/>
  <c r="E4201" i="5"/>
  <c r="F4201" i="5"/>
  <c r="E4202" i="5"/>
  <c r="F4202" i="5"/>
  <c r="E4203" i="5"/>
  <c r="F4203" i="5"/>
  <c r="E4204" i="5"/>
  <c r="F4204" i="5"/>
  <c r="E4205" i="5"/>
  <c r="F4205" i="5"/>
  <c r="E4206" i="5"/>
  <c r="F4206" i="5"/>
  <c r="E4207" i="5"/>
  <c r="F4207" i="5"/>
  <c r="E4208" i="5"/>
  <c r="F4208" i="5"/>
  <c r="E4209" i="5"/>
  <c r="F4209" i="5"/>
  <c r="E4210" i="5"/>
  <c r="F4210" i="5"/>
  <c r="E4211" i="5"/>
  <c r="F4211" i="5"/>
  <c r="E4212" i="5"/>
  <c r="F4212" i="5"/>
  <c r="E4213" i="5"/>
  <c r="F4213" i="5"/>
  <c r="E4214" i="5"/>
  <c r="F4214" i="5"/>
  <c r="E4215" i="5"/>
  <c r="F4215" i="5"/>
  <c r="E4216" i="5"/>
  <c r="F4216" i="5"/>
  <c r="E4217" i="5"/>
  <c r="F4217" i="5"/>
  <c r="E4218" i="5"/>
  <c r="F4218" i="5"/>
  <c r="E4219" i="5"/>
  <c r="F4219" i="5"/>
  <c r="E4220" i="5"/>
  <c r="F4220" i="5"/>
  <c r="E4221" i="5"/>
  <c r="F4221" i="5"/>
  <c r="E4222" i="5"/>
  <c r="F4222" i="5"/>
  <c r="E4223" i="5"/>
  <c r="F4223" i="5"/>
  <c r="E4224" i="5"/>
  <c r="F4224" i="5"/>
  <c r="E4225" i="5"/>
  <c r="F4225" i="5"/>
  <c r="E4226" i="5"/>
  <c r="F4226" i="5"/>
  <c r="E4227" i="5"/>
  <c r="F4227" i="5"/>
  <c r="E4228" i="5"/>
  <c r="F4228" i="5"/>
  <c r="E4229" i="5"/>
  <c r="F4229" i="5"/>
  <c r="E4230" i="5"/>
  <c r="F4230" i="5"/>
  <c r="E4231" i="5"/>
  <c r="F4231" i="5"/>
  <c r="E4232" i="5"/>
  <c r="F4232" i="5"/>
  <c r="E4233" i="5"/>
  <c r="F4233" i="5"/>
  <c r="E4234" i="5"/>
  <c r="F4234" i="5"/>
  <c r="E4235" i="5"/>
  <c r="F4235" i="5"/>
  <c r="E4236" i="5"/>
  <c r="F4236" i="5"/>
  <c r="E4237" i="5"/>
  <c r="F4237" i="5"/>
  <c r="E4238" i="5"/>
  <c r="F4238" i="5"/>
  <c r="E4239" i="5"/>
  <c r="F4239" i="5"/>
  <c r="E4240" i="5"/>
  <c r="F4240" i="5"/>
  <c r="E4241" i="5"/>
  <c r="F4241" i="5"/>
  <c r="E4242" i="5"/>
  <c r="F4242" i="5"/>
  <c r="E4243" i="5"/>
  <c r="F4243" i="5"/>
  <c r="E4244" i="5"/>
  <c r="F4244" i="5"/>
  <c r="E4245" i="5"/>
  <c r="F4245" i="5"/>
  <c r="E4246" i="5"/>
  <c r="F4246" i="5"/>
  <c r="E4247" i="5"/>
  <c r="F4247" i="5"/>
  <c r="E4248" i="5"/>
  <c r="F4248" i="5"/>
  <c r="E4249" i="5"/>
  <c r="F4249" i="5"/>
  <c r="E4250" i="5"/>
  <c r="F4250" i="5"/>
  <c r="E4251" i="5"/>
  <c r="F4251" i="5"/>
  <c r="E4252" i="5"/>
  <c r="F4252" i="5"/>
  <c r="E4253" i="5"/>
  <c r="F4253" i="5"/>
  <c r="E4254" i="5"/>
  <c r="F4254" i="5"/>
  <c r="E4255" i="5"/>
  <c r="F4255" i="5"/>
  <c r="E4256" i="5"/>
  <c r="F4256" i="5"/>
  <c r="E4257" i="5"/>
  <c r="F4257" i="5"/>
  <c r="E4258" i="5"/>
  <c r="F4258" i="5"/>
  <c r="E4259" i="5"/>
  <c r="F4259" i="5"/>
  <c r="E4260" i="5"/>
  <c r="F4260" i="5"/>
  <c r="E4261" i="5"/>
  <c r="F4261" i="5"/>
  <c r="E4262" i="5"/>
  <c r="F4262" i="5"/>
  <c r="E4263" i="5"/>
  <c r="F4263" i="5"/>
  <c r="E4264" i="5"/>
  <c r="F4264" i="5"/>
  <c r="E4265" i="5"/>
  <c r="F4265" i="5"/>
  <c r="E4266" i="5"/>
  <c r="F4266" i="5"/>
  <c r="E4267" i="5"/>
  <c r="F4267" i="5"/>
  <c r="E4268" i="5"/>
  <c r="F4268" i="5"/>
  <c r="E4269" i="5"/>
  <c r="F4269" i="5"/>
  <c r="E4270" i="5"/>
  <c r="F4270" i="5"/>
  <c r="E4271" i="5"/>
  <c r="F4271" i="5"/>
  <c r="E4272" i="5"/>
  <c r="F4272" i="5"/>
  <c r="E4273" i="5"/>
  <c r="F4273" i="5"/>
  <c r="E4274" i="5"/>
  <c r="F4274" i="5"/>
  <c r="E4275" i="5"/>
  <c r="F4275" i="5"/>
  <c r="E4276" i="5"/>
  <c r="F4276" i="5"/>
  <c r="E4277" i="5"/>
  <c r="F4277" i="5"/>
  <c r="E4278" i="5"/>
  <c r="F4278" i="5"/>
  <c r="E4279" i="5"/>
  <c r="F4279" i="5"/>
  <c r="E4280" i="5"/>
  <c r="F4280" i="5"/>
  <c r="E4281" i="5"/>
  <c r="F4281" i="5"/>
  <c r="E4282" i="5"/>
  <c r="F4282" i="5"/>
  <c r="E4283" i="5"/>
  <c r="F4283" i="5"/>
  <c r="E4284" i="5"/>
  <c r="F4284" i="5"/>
  <c r="E4285" i="5"/>
  <c r="F4285" i="5"/>
  <c r="E4286" i="5"/>
  <c r="F4286" i="5"/>
  <c r="E4287" i="5"/>
  <c r="F4287" i="5"/>
  <c r="E4288" i="5"/>
  <c r="F4288" i="5"/>
  <c r="E4289" i="5"/>
  <c r="F4289" i="5"/>
  <c r="E4290" i="5"/>
  <c r="F4290" i="5"/>
  <c r="E4291" i="5"/>
  <c r="F4291" i="5"/>
  <c r="E4292" i="5"/>
  <c r="F4292" i="5"/>
  <c r="E4293" i="5"/>
  <c r="F4293" i="5"/>
  <c r="E4294" i="5"/>
  <c r="F4294" i="5"/>
  <c r="E4295" i="5"/>
  <c r="F4295" i="5"/>
  <c r="E4296" i="5"/>
  <c r="F4296" i="5"/>
  <c r="E4297" i="5"/>
  <c r="F4297" i="5"/>
  <c r="E4298" i="5"/>
  <c r="F4298" i="5"/>
  <c r="E4299" i="5"/>
  <c r="F4299" i="5"/>
  <c r="E4300" i="5"/>
  <c r="F4300" i="5"/>
  <c r="E4301" i="5"/>
  <c r="F4301" i="5"/>
  <c r="E4302" i="5"/>
  <c r="F4302" i="5"/>
  <c r="E4303" i="5"/>
  <c r="F4303" i="5"/>
  <c r="E4304" i="5"/>
  <c r="F4304" i="5"/>
  <c r="E4305" i="5"/>
  <c r="F4305" i="5"/>
  <c r="E4306" i="5"/>
  <c r="F4306" i="5"/>
  <c r="E4307" i="5"/>
  <c r="F4307" i="5"/>
  <c r="E4308" i="5"/>
  <c r="F4308" i="5"/>
  <c r="E4309" i="5"/>
  <c r="F4309" i="5"/>
  <c r="E4310" i="5"/>
  <c r="F4310" i="5"/>
  <c r="E4311" i="5"/>
  <c r="F4311" i="5"/>
  <c r="E4312" i="5"/>
  <c r="F4312" i="5"/>
  <c r="E4313" i="5"/>
  <c r="F4313" i="5"/>
  <c r="E4314" i="5"/>
  <c r="F4314" i="5"/>
  <c r="E4315" i="5"/>
  <c r="F4315" i="5"/>
  <c r="E4316" i="5"/>
  <c r="F4316" i="5"/>
  <c r="E4317" i="5"/>
  <c r="F4317" i="5"/>
  <c r="E4318" i="5"/>
  <c r="F4318" i="5"/>
  <c r="E4319" i="5"/>
  <c r="F4319" i="5"/>
  <c r="E4320" i="5"/>
  <c r="F4320" i="5"/>
  <c r="E4321" i="5"/>
  <c r="F4321" i="5"/>
  <c r="E4322" i="5"/>
  <c r="F4322" i="5"/>
  <c r="E4323" i="5"/>
  <c r="F4323" i="5"/>
  <c r="E4324" i="5"/>
  <c r="F4324" i="5"/>
  <c r="E4325" i="5"/>
  <c r="F4325" i="5"/>
  <c r="E4326" i="5"/>
  <c r="F4326" i="5"/>
  <c r="E4327" i="5"/>
  <c r="F4327" i="5"/>
  <c r="E4328" i="5"/>
  <c r="F4328" i="5"/>
  <c r="E4329" i="5"/>
  <c r="F4329" i="5"/>
  <c r="E4330" i="5"/>
  <c r="F4330" i="5"/>
  <c r="E4331" i="5"/>
  <c r="F4331" i="5"/>
  <c r="E4332" i="5"/>
  <c r="F4332" i="5"/>
  <c r="E4333" i="5"/>
  <c r="F4333" i="5"/>
  <c r="E4334" i="5"/>
  <c r="F4334" i="5"/>
  <c r="E4335" i="5"/>
  <c r="F4335" i="5"/>
  <c r="E4336" i="5"/>
  <c r="F4336" i="5"/>
  <c r="E4337" i="5"/>
  <c r="F4337" i="5"/>
  <c r="E4338" i="5"/>
  <c r="F4338" i="5"/>
  <c r="E4339" i="5"/>
  <c r="F4339" i="5"/>
  <c r="E4340" i="5"/>
  <c r="F4340" i="5"/>
  <c r="E4341" i="5"/>
  <c r="F4341" i="5"/>
  <c r="E4342" i="5"/>
  <c r="F4342" i="5"/>
  <c r="E4343" i="5"/>
  <c r="F4343" i="5"/>
  <c r="E4344" i="5"/>
  <c r="F4344" i="5"/>
  <c r="E4345" i="5"/>
  <c r="F4345" i="5"/>
  <c r="E4346" i="5"/>
  <c r="F4346" i="5"/>
  <c r="E4347" i="5"/>
  <c r="F4347" i="5"/>
  <c r="E4348" i="5"/>
  <c r="F4348" i="5"/>
  <c r="E4349" i="5"/>
  <c r="F4349" i="5"/>
  <c r="E4350" i="5"/>
  <c r="F4350" i="5"/>
  <c r="E4351" i="5"/>
  <c r="F4351" i="5"/>
  <c r="E4352" i="5"/>
  <c r="F4352" i="5"/>
  <c r="E4353" i="5"/>
  <c r="F4353" i="5"/>
  <c r="E4354" i="5"/>
  <c r="F4354" i="5"/>
  <c r="E4355" i="5"/>
  <c r="F4355" i="5"/>
  <c r="E4356" i="5"/>
  <c r="F4356" i="5"/>
  <c r="E4357" i="5"/>
  <c r="F4357" i="5"/>
  <c r="E4358" i="5"/>
  <c r="F4358" i="5"/>
  <c r="E4359" i="5"/>
  <c r="F4359" i="5"/>
  <c r="E4360" i="5"/>
  <c r="F4360" i="5"/>
  <c r="E4361" i="5"/>
  <c r="F4361" i="5"/>
  <c r="E4362" i="5"/>
  <c r="F4362" i="5"/>
  <c r="E4363" i="5"/>
  <c r="F4363" i="5"/>
  <c r="E4364" i="5"/>
  <c r="F4364" i="5"/>
  <c r="E4365" i="5"/>
  <c r="F4365" i="5"/>
  <c r="E4366" i="5"/>
  <c r="F4366" i="5"/>
  <c r="E4367" i="5"/>
  <c r="F4367" i="5"/>
  <c r="E4368" i="5"/>
  <c r="F4368" i="5"/>
  <c r="E4369" i="5"/>
  <c r="F4369" i="5"/>
  <c r="E4370" i="5"/>
  <c r="F4370" i="5"/>
  <c r="E4371" i="5"/>
  <c r="F4371" i="5"/>
  <c r="E4372" i="5"/>
  <c r="F4372" i="5"/>
  <c r="E4373" i="5"/>
  <c r="F4373" i="5"/>
  <c r="E4374" i="5"/>
  <c r="F4374" i="5"/>
  <c r="E4375" i="5"/>
  <c r="F4375" i="5"/>
  <c r="E4376" i="5"/>
  <c r="F4376" i="5"/>
  <c r="E4377" i="5"/>
  <c r="F4377" i="5"/>
  <c r="E4378" i="5"/>
  <c r="F4378" i="5"/>
  <c r="E4379" i="5"/>
  <c r="F4379" i="5"/>
  <c r="E4380" i="5"/>
  <c r="F4380" i="5"/>
  <c r="E4381" i="5"/>
  <c r="F4381" i="5"/>
  <c r="E4382" i="5"/>
  <c r="F4382" i="5"/>
  <c r="E4383" i="5"/>
  <c r="F4383" i="5"/>
  <c r="E4384" i="5"/>
  <c r="F4384" i="5"/>
  <c r="E4385" i="5"/>
  <c r="F4385" i="5"/>
  <c r="E4386" i="5"/>
  <c r="F4386" i="5"/>
  <c r="E4387" i="5"/>
  <c r="F4387" i="5"/>
  <c r="E4388" i="5"/>
  <c r="F4388" i="5"/>
  <c r="E4389" i="5"/>
  <c r="F4389" i="5"/>
  <c r="E4390" i="5"/>
  <c r="F4390" i="5"/>
  <c r="E4391" i="5"/>
  <c r="F4391" i="5"/>
  <c r="E4392" i="5"/>
  <c r="F4392" i="5"/>
  <c r="E4393" i="5"/>
  <c r="F4393" i="5"/>
  <c r="E4394" i="5"/>
  <c r="F4394" i="5"/>
  <c r="E4395" i="5"/>
  <c r="F4395" i="5"/>
  <c r="E4396" i="5"/>
  <c r="F4396" i="5"/>
  <c r="E4397" i="5"/>
  <c r="F4397" i="5"/>
  <c r="E4398" i="5"/>
  <c r="F4398" i="5"/>
  <c r="E4399" i="5"/>
  <c r="F4399" i="5"/>
  <c r="E4400" i="5"/>
  <c r="F4400" i="5"/>
  <c r="E4401" i="5"/>
  <c r="F4401" i="5"/>
  <c r="E4402" i="5"/>
  <c r="F4402" i="5"/>
  <c r="E4403" i="5"/>
  <c r="F4403" i="5"/>
  <c r="E4404" i="5"/>
  <c r="F4404" i="5"/>
  <c r="E4405" i="5"/>
  <c r="F4405" i="5"/>
  <c r="E4406" i="5"/>
  <c r="F4406" i="5"/>
  <c r="E4407" i="5"/>
  <c r="F4407" i="5"/>
  <c r="E4408" i="5"/>
  <c r="F4408" i="5"/>
  <c r="E4409" i="5"/>
  <c r="F4409" i="5"/>
  <c r="E4410" i="5"/>
  <c r="F4410" i="5"/>
  <c r="E4411" i="5"/>
  <c r="F4411" i="5"/>
  <c r="E4412" i="5"/>
  <c r="F4412" i="5"/>
  <c r="E4413" i="5"/>
  <c r="F4413" i="5"/>
  <c r="E4414" i="5"/>
  <c r="F4414" i="5"/>
  <c r="E4415" i="5"/>
  <c r="F4415" i="5"/>
  <c r="E4416" i="5"/>
  <c r="F4416" i="5"/>
  <c r="E4417" i="5"/>
  <c r="F4417" i="5"/>
  <c r="E4418" i="5"/>
  <c r="F4418" i="5"/>
  <c r="E4419" i="5"/>
  <c r="F4419" i="5"/>
  <c r="E4420" i="5"/>
  <c r="F4420" i="5"/>
  <c r="E4421" i="5"/>
  <c r="F4421" i="5"/>
  <c r="E4422" i="5"/>
  <c r="F4422" i="5"/>
  <c r="E4423" i="5"/>
  <c r="F4423" i="5"/>
  <c r="E4424" i="5"/>
  <c r="F4424" i="5"/>
  <c r="E4425" i="5"/>
  <c r="F4425" i="5"/>
  <c r="E4426" i="5"/>
  <c r="F4426" i="5"/>
  <c r="E4427" i="5"/>
  <c r="F4427" i="5"/>
  <c r="E4428" i="5"/>
  <c r="F4428" i="5"/>
  <c r="E4429" i="5"/>
  <c r="F4429" i="5"/>
  <c r="E4430" i="5"/>
  <c r="F4430" i="5"/>
  <c r="E4431" i="5"/>
  <c r="F4431" i="5"/>
  <c r="E4432" i="5"/>
  <c r="F4432" i="5"/>
  <c r="E4433" i="5"/>
  <c r="F4433" i="5"/>
  <c r="E4434" i="5"/>
  <c r="F4434" i="5"/>
  <c r="E4435" i="5"/>
  <c r="F4435" i="5"/>
  <c r="E4436" i="5"/>
  <c r="F4436" i="5"/>
  <c r="E4437" i="5"/>
  <c r="F4437" i="5"/>
  <c r="E4438" i="5"/>
  <c r="F4438" i="5"/>
  <c r="E4439" i="5"/>
  <c r="F4439" i="5"/>
  <c r="E4440" i="5"/>
  <c r="F4440" i="5"/>
  <c r="E4441" i="5"/>
  <c r="F4441" i="5"/>
  <c r="E4442" i="5"/>
  <c r="F4442" i="5"/>
  <c r="E4443" i="5"/>
  <c r="F4443" i="5"/>
  <c r="E4444" i="5"/>
  <c r="F4444" i="5"/>
  <c r="E4445" i="5"/>
  <c r="F4445" i="5"/>
  <c r="E4446" i="5"/>
  <c r="F4446" i="5"/>
  <c r="E4447" i="5"/>
  <c r="F4447" i="5"/>
  <c r="E4448" i="5"/>
  <c r="F4448" i="5"/>
  <c r="E4449" i="5"/>
  <c r="F4449" i="5"/>
  <c r="E4450" i="5"/>
  <c r="F4450" i="5"/>
  <c r="E4451" i="5"/>
  <c r="F4451" i="5"/>
  <c r="E4452" i="5"/>
  <c r="F4452" i="5"/>
  <c r="E4453" i="5"/>
  <c r="F4453" i="5"/>
  <c r="E4454" i="5"/>
  <c r="F4454" i="5"/>
  <c r="E4455" i="5"/>
  <c r="F4455" i="5"/>
  <c r="E4456" i="5"/>
  <c r="F4456" i="5"/>
  <c r="E4457" i="5"/>
  <c r="F4457" i="5"/>
  <c r="E4458" i="5"/>
  <c r="F4458" i="5"/>
  <c r="E4459" i="5"/>
  <c r="F4459" i="5"/>
  <c r="E4460" i="5"/>
  <c r="F4460" i="5"/>
  <c r="E4461" i="5"/>
  <c r="F4461" i="5"/>
  <c r="E4462" i="5"/>
  <c r="F4462" i="5"/>
  <c r="E4463" i="5"/>
  <c r="F4463" i="5"/>
  <c r="E4464" i="5"/>
  <c r="F4464" i="5"/>
  <c r="E4465" i="5"/>
  <c r="F4465" i="5"/>
  <c r="E4466" i="5"/>
  <c r="F4466" i="5"/>
  <c r="E4467" i="5"/>
  <c r="F4467" i="5"/>
  <c r="E4468" i="5"/>
  <c r="F4468" i="5"/>
  <c r="E4469" i="5"/>
  <c r="F4469" i="5"/>
  <c r="E4470" i="5"/>
  <c r="F4470" i="5"/>
  <c r="E4471" i="5"/>
  <c r="F4471" i="5"/>
  <c r="E4472" i="5"/>
  <c r="F4472" i="5"/>
  <c r="E4473" i="5"/>
  <c r="F4473" i="5"/>
  <c r="E4474" i="5"/>
  <c r="F4474" i="5"/>
  <c r="E4475" i="5"/>
  <c r="F4475" i="5"/>
  <c r="E4476" i="5"/>
  <c r="F4476" i="5"/>
  <c r="E4477" i="5"/>
  <c r="F4477" i="5"/>
  <c r="E4478" i="5"/>
  <c r="F4478" i="5"/>
  <c r="E4479" i="5"/>
  <c r="F4479" i="5"/>
  <c r="E4480" i="5"/>
  <c r="F4480" i="5"/>
  <c r="E4481" i="5"/>
  <c r="F4481" i="5"/>
  <c r="E4482" i="5"/>
  <c r="F4482" i="5"/>
  <c r="E4483" i="5"/>
  <c r="F4483" i="5"/>
  <c r="E4484" i="5"/>
  <c r="F4484" i="5"/>
  <c r="E4485" i="5"/>
  <c r="F4485" i="5"/>
  <c r="E4486" i="5"/>
  <c r="F4486" i="5"/>
  <c r="E4487" i="5"/>
  <c r="F4487" i="5"/>
  <c r="E4488" i="5"/>
  <c r="F4488" i="5"/>
  <c r="E4489" i="5"/>
  <c r="F4489" i="5"/>
  <c r="E4490" i="5"/>
  <c r="F4490" i="5"/>
  <c r="E4491" i="5"/>
  <c r="F4491" i="5"/>
  <c r="E4492" i="5"/>
  <c r="F4492" i="5"/>
  <c r="E4493" i="5"/>
  <c r="F4493" i="5"/>
  <c r="E4494" i="5"/>
  <c r="F4494" i="5"/>
  <c r="E4495" i="5"/>
  <c r="F4495" i="5"/>
  <c r="E4496" i="5"/>
  <c r="F4496" i="5"/>
  <c r="E4497" i="5"/>
  <c r="F4497" i="5"/>
  <c r="E4498" i="5"/>
  <c r="F4498" i="5"/>
  <c r="E4499" i="5"/>
  <c r="F4499" i="5"/>
  <c r="E4500" i="5"/>
  <c r="F4500" i="5"/>
  <c r="E4501" i="5"/>
  <c r="F4501" i="5"/>
  <c r="E4502" i="5"/>
  <c r="F4502" i="5"/>
  <c r="E4503" i="5"/>
  <c r="F4503" i="5"/>
  <c r="E4504" i="5"/>
  <c r="F4504" i="5"/>
  <c r="E4505" i="5"/>
  <c r="F4505" i="5"/>
  <c r="E4506" i="5"/>
  <c r="F4506" i="5"/>
  <c r="E4507" i="5"/>
  <c r="F4507" i="5"/>
  <c r="E4508" i="5"/>
  <c r="F4508" i="5"/>
  <c r="E4509" i="5"/>
  <c r="F4509" i="5"/>
  <c r="E4510" i="5"/>
  <c r="F4510" i="5"/>
  <c r="E4511" i="5"/>
  <c r="F4511" i="5"/>
  <c r="E4512" i="5"/>
  <c r="F4512" i="5"/>
  <c r="E4513" i="5"/>
  <c r="F4513" i="5"/>
  <c r="E4514" i="5"/>
  <c r="F4514" i="5"/>
  <c r="E4515" i="5"/>
  <c r="F4515" i="5"/>
  <c r="E4516" i="5"/>
  <c r="F4516" i="5"/>
  <c r="E4517" i="5"/>
  <c r="F4517" i="5"/>
  <c r="E4518" i="5"/>
  <c r="F4518" i="5"/>
  <c r="E4519" i="5"/>
  <c r="F4519" i="5"/>
  <c r="E4520" i="5"/>
  <c r="F4520" i="5"/>
  <c r="E4521" i="5"/>
  <c r="F4521" i="5"/>
  <c r="E4522" i="5"/>
  <c r="F4522" i="5"/>
  <c r="E4523" i="5"/>
  <c r="F4523" i="5"/>
  <c r="E4524" i="5"/>
  <c r="F4524" i="5"/>
  <c r="E4525" i="5"/>
  <c r="F4525" i="5"/>
  <c r="E4526" i="5"/>
  <c r="F4526" i="5"/>
  <c r="E4527" i="5"/>
  <c r="F4527" i="5"/>
  <c r="E4528" i="5"/>
  <c r="F4528" i="5"/>
  <c r="E4529" i="5"/>
  <c r="F4529" i="5"/>
  <c r="E4530" i="5"/>
  <c r="F4530" i="5"/>
  <c r="E4531" i="5"/>
  <c r="F4531" i="5"/>
  <c r="E4532" i="5"/>
  <c r="F4532" i="5"/>
  <c r="E4533" i="5"/>
  <c r="F4533" i="5"/>
  <c r="E4534" i="5"/>
  <c r="F4534" i="5"/>
  <c r="E4535" i="5"/>
  <c r="F4535" i="5"/>
  <c r="E4536" i="5"/>
  <c r="F4536" i="5"/>
  <c r="E4537" i="5"/>
  <c r="F4537" i="5"/>
  <c r="E4538" i="5"/>
  <c r="F4538" i="5"/>
  <c r="E4539" i="5"/>
  <c r="F4539" i="5"/>
  <c r="E4540" i="5"/>
  <c r="F4540" i="5"/>
  <c r="E4541" i="5"/>
  <c r="F4541" i="5"/>
  <c r="E4542" i="5"/>
  <c r="F4542" i="5"/>
  <c r="E4543" i="5"/>
  <c r="F4543" i="5"/>
  <c r="E4544" i="5"/>
  <c r="F4544" i="5"/>
  <c r="E4545" i="5"/>
  <c r="F4545" i="5"/>
  <c r="E4546" i="5"/>
  <c r="F4546" i="5"/>
  <c r="E4547" i="5"/>
  <c r="F4547" i="5"/>
  <c r="E4548" i="5"/>
  <c r="F4548" i="5"/>
  <c r="E4549" i="5"/>
  <c r="F4549" i="5"/>
  <c r="E4550" i="5"/>
  <c r="F4550" i="5"/>
  <c r="E4551" i="5"/>
  <c r="F4551" i="5"/>
  <c r="E4552" i="5"/>
  <c r="F4552" i="5"/>
  <c r="E4553" i="5"/>
  <c r="F4553" i="5"/>
  <c r="E4554" i="5"/>
  <c r="F4554" i="5"/>
  <c r="E4555" i="5"/>
  <c r="F4555" i="5"/>
  <c r="E4556" i="5"/>
  <c r="F4556" i="5"/>
  <c r="E4557" i="5"/>
  <c r="F4557" i="5"/>
  <c r="E4558" i="5"/>
  <c r="F4558" i="5"/>
  <c r="E4559" i="5"/>
  <c r="F4559" i="5"/>
  <c r="E4560" i="5"/>
  <c r="F4560" i="5"/>
  <c r="E4561" i="5"/>
  <c r="F4561" i="5"/>
  <c r="E4562" i="5"/>
  <c r="F4562" i="5"/>
  <c r="E4563" i="5"/>
  <c r="F4563" i="5"/>
  <c r="E4564" i="5"/>
  <c r="F4564" i="5"/>
  <c r="E4565" i="5"/>
  <c r="F4565" i="5"/>
  <c r="E4566" i="5"/>
  <c r="F4566" i="5"/>
  <c r="E4567" i="5"/>
  <c r="F4567" i="5"/>
  <c r="E4568" i="5"/>
  <c r="F4568" i="5"/>
  <c r="E4569" i="5"/>
  <c r="F4569" i="5"/>
  <c r="E4570" i="5"/>
  <c r="F4570" i="5"/>
  <c r="E4571" i="5"/>
  <c r="F4571" i="5"/>
  <c r="E4572" i="5"/>
  <c r="F4572" i="5"/>
  <c r="E4573" i="5"/>
  <c r="F4573" i="5"/>
  <c r="E4574" i="5"/>
  <c r="F4574" i="5"/>
  <c r="E4575" i="5"/>
  <c r="F4575" i="5"/>
  <c r="E4576" i="5"/>
  <c r="F4576" i="5"/>
  <c r="E4577" i="5"/>
  <c r="F4577" i="5"/>
  <c r="E4578" i="5"/>
  <c r="F4578" i="5"/>
  <c r="E4579" i="5"/>
  <c r="F4579" i="5"/>
  <c r="E4580" i="5"/>
  <c r="F4580" i="5"/>
  <c r="E4581" i="5"/>
  <c r="F4581" i="5"/>
  <c r="E4582" i="5"/>
  <c r="F4582" i="5"/>
  <c r="E4583" i="5"/>
  <c r="F4583" i="5"/>
  <c r="E4584" i="5"/>
  <c r="F4584" i="5"/>
  <c r="E4585" i="5"/>
  <c r="F4585" i="5"/>
  <c r="E4586" i="5"/>
  <c r="F4586" i="5"/>
  <c r="E4587" i="5"/>
  <c r="F4587" i="5"/>
  <c r="E4588" i="5"/>
  <c r="F4588" i="5"/>
  <c r="E4589" i="5"/>
  <c r="F4589" i="5"/>
  <c r="E4590" i="5"/>
  <c r="F4590" i="5"/>
  <c r="E4591" i="5"/>
  <c r="F4591" i="5"/>
  <c r="E4592" i="5"/>
  <c r="F4592" i="5"/>
  <c r="E4593" i="5"/>
  <c r="F4593" i="5"/>
  <c r="E4594" i="5"/>
  <c r="F4594" i="5"/>
  <c r="E4595" i="5"/>
  <c r="F4595" i="5"/>
  <c r="E4596" i="5"/>
  <c r="F4596" i="5"/>
  <c r="E4597" i="5"/>
  <c r="F4597" i="5"/>
  <c r="E4598" i="5"/>
  <c r="F4598" i="5"/>
  <c r="E4599" i="5"/>
  <c r="F4599" i="5"/>
  <c r="E4600" i="5"/>
  <c r="F4600" i="5"/>
  <c r="E4601" i="5"/>
  <c r="F4601" i="5"/>
  <c r="E4602" i="5"/>
  <c r="F4602" i="5"/>
  <c r="E4603" i="5"/>
  <c r="F4603" i="5"/>
  <c r="E4604" i="5"/>
  <c r="F4604" i="5"/>
  <c r="E4605" i="5"/>
  <c r="F4605" i="5"/>
  <c r="E4606" i="5"/>
  <c r="F4606" i="5"/>
  <c r="E4607" i="5"/>
  <c r="F4607" i="5"/>
  <c r="E4608" i="5"/>
  <c r="F4608" i="5"/>
  <c r="E4609" i="5"/>
  <c r="F4609" i="5"/>
  <c r="E4610" i="5"/>
  <c r="F4610" i="5"/>
  <c r="E4611" i="5"/>
  <c r="F4611" i="5"/>
  <c r="E4612" i="5"/>
  <c r="F4612" i="5"/>
  <c r="E4613" i="5"/>
  <c r="F4613" i="5"/>
  <c r="E4614" i="5"/>
  <c r="F4614" i="5"/>
  <c r="E4615" i="5"/>
  <c r="F4615" i="5"/>
  <c r="E4616" i="5"/>
  <c r="F4616" i="5"/>
  <c r="E4617" i="5"/>
  <c r="F4617" i="5"/>
  <c r="E4618" i="5"/>
  <c r="F4618" i="5"/>
  <c r="E4619" i="5"/>
  <c r="F4619" i="5"/>
  <c r="E4620" i="5"/>
  <c r="F4620" i="5"/>
  <c r="E4621" i="5"/>
  <c r="F4621" i="5"/>
  <c r="E4622" i="5"/>
  <c r="F4622" i="5"/>
  <c r="E4623" i="5"/>
  <c r="F4623" i="5"/>
  <c r="E4624" i="5"/>
  <c r="F4624" i="5"/>
  <c r="E4625" i="5"/>
  <c r="F4625" i="5"/>
  <c r="E4626" i="5"/>
  <c r="F4626" i="5"/>
  <c r="E4627" i="5"/>
  <c r="F4627" i="5"/>
  <c r="E4628" i="5"/>
  <c r="F4628" i="5"/>
  <c r="E4629" i="5"/>
  <c r="F4629" i="5"/>
  <c r="E4630" i="5"/>
  <c r="F4630" i="5"/>
  <c r="E4631" i="5"/>
  <c r="F4631" i="5"/>
  <c r="E4632" i="5"/>
  <c r="F4632" i="5"/>
  <c r="E4633" i="5"/>
  <c r="F4633" i="5"/>
  <c r="E4634" i="5"/>
  <c r="F4634" i="5"/>
  <c r="E4635" i="5"/>
  <c r="F4635" i="5"/>
  <c r="E4636" i="5"/>
  <c r="F4636" i="5"/>
  <c r="E4637" i="5"/>
  <c r="F4637" i="5"/>
  <c r="E4638" i="5"/>
  <c r="F4638" i="5"/>
  <c r="E4639" i="5"/>
  <c r="F4639" i="5"/>
  <c r="E4640" i="5"/>
  <c r="F4640" i="5"/>
  <c r="E4641" i="5"/>
  <c r="F4641" i="5"/>
  <c r="E4642" i="5"/>
  <c r="F4642" i="5"/>
  <c r="E4643" i="5"/>
  <c r="F4643" i="5"/>
  <c r="E4644" i="5"/>
  <c r="F4644" i="5"/>
  <c r="E4645" i="5"/>
  <c r="F4645" i="5"/>
  <c r="E4646" i="5"/>
  <c r="F4646" i="5"/>
  <c r="E4647" i="5"/>
  <c r="F4647" i="5"/>
  <c r="E4648" i="5"/>
  <c r="F4648" i="5"/>
  <c r="E4649" i="5"/>
  <c r="F4649" i="5"/>
  <c r="E4650" i="5"/>
  <c r="F4650" i="5"/>
  <c r="E4651" i="5"/>
  <c r="F4651" i="5"/>
  <c r="E4652" i="5"/>
  <c r="F4652" i="5"/>
  <c r="E4653" i="5"/>
  <c r="F4653" i="5"/>
  <c r="E4654" i="5"/>
  <c r="F4654" i="5"/>
  <c r="E4655" i="5"/>
  <c r="F4655" i="5"/>
  <c r="E4656" i="5"/>
  <c r="F4656" i="5"/>
  <c r="E4657" i="5"/>
  <c r="F4657" i="5"/>
  <c r="E4658" i="5"/>
  <c r="F4658" i="5"/>
  <c r="E4659" i="5"/>
  <c r="F4659" i="5"/>
  <c r="E4660" i="5"/>
  <c r="F4660" i="5"/>
  <c r="E4661" i="5"/>
  <c r="F4661" i="5"/>
  <c r="E4662" i="5"/>
  <c r="F4662" i="5"/>
  <c r="E4663" i="5"/>
  <c r="F4663" i="5"/>
  <c r="E4664" i="5"/>
  <c r="F4664" i="5"/>
  <c r="E4665" i="5"/>
  <c r="F4665" i="5"/>
  <c r="E4666" i="5"/>
  <c r="F4666" i="5"/>
  <c r="E4667" i="5"/>
  <c r="F4667" i="5"/>
  <c r="E4668" i="5"/>
  <c r="F4668" i="5"/>
  <c r="E4669" i="5"/>
  <c r="F4669" i="5"/>
  <c r="E4670" i="5"/>
  <c r="F4670" i="5"/>
  <c r="E4671" i="5"/>
  <c r="F4671" i="5"/>
  <c r="E4672" i="5"/>
  <c r="F4672" i="5"/>
  <c r="E4673" i="5"/>
  <c r="F4673" i="5"/>
  <c r="E4674" i="5"/>
  <c r="F4674" i="5"/>
  <c r="E4675" i="5"/>
  <c r="F4675" i="5"/>
  <c r="E4676" i="5"/>
  <c r="F4676" i="5"/>
  <c r="E4677" i="5"/>
  <c r="F4677" i="5"/>
  <c r="E4678" i="5"/>
  <c r="F4678" i="5"/>
  <c r="E4679" i="5"/>
  <c r="F4679" i="5"/>
  <c r="E4680" i="5"/>
  <c r="F4680" i="5"/>
  <c r="E4681" i="5"/>
  <c r="F4681" i="5"/>
  <c r="E4682" i="5"/>
  <c r="F4682" i="5"/>
  <c r="E4683" i="5"/>
  <c r="F4683" i="5"/>
  <c r="E4684" i="5"/>
  <c r="F4684" i="5"/>
  <c r="E4685" i="5"/>
  <c r="F4685" i="5"/>
  <c r="E4686" i="5"/>
  <c r="F4686" i="5"/>
  <c r="E4687" i="5"/>
  <c r="F4687" i="5"/>
  <c r="E4688" i="5"/>
  <c r="F4688" i="5"/>
  <c r="E4689" i="5"/>
  <c r="F4689" i="5"/>
  <c r="E4690" i="5"/>
  <c r="F4690" i="5"/>
  <c r="E4691" i="5"/>
  <c r="F4691" i="5"/>
  <c r="E4692" i="5"/>
  <c r="F4692" i="5"/>
  <c r="E4693" i="5"/>
  <c r="F4693" i="5"/>
  <c r="E4694" i="5"/>
  <c r="F4694" i="5"/>
  <c r="E4695" i="5"/>
  <c r="F4695" i="5"/>
  <c r="E4696" i="5"/>
  <c r="F4696" i="5"/>
  <c r="E4697" i="5"/>
  <c r="F4697" i="5"/>
  <c r="E4698" i="5"/>
  <c r="F4698" i="5"/>
  <c r="E4699" i="5"/>
  <c r="F4699" i="5"/>
  <c r="E4700" i="5"/>
  <c r="F4700" i="5"/>
  <c r="E4701" i="5"/>
  <c r="F4701" i="5"/>
  <c r="E4702" i="5"/>
  <c r="F4702" i="5"/>
  <c r="E4703" i="5"/>
  <c r="F4703" i="5"/>
  <c r="E4704" i="5"/>
  <c r="F4704" i="5"/>
  <c r="E4705" i="5"/>
  <c r="F4705" i="5"/>
  <c r="E4706" i="5"/>
  <c r="F4706" i="5"/>
  <c r="E4707" i="5"/>
  <c r="F4707" i="5"/>
  <c r="E4708" i="5"/>
  <c r="F4708" i="5"/>
  <c r="E4709" i="5"/>
  <c r="F4709" i="5"/>
  <c r="E4710" i="5"/>
  <c r="F4710" i="5"/>
  <c r="E4711" i="5"/>
  <c r="F4711" i="5"/>
  <c r="E4712" i="5"/>
  <c r="F4712" i="5"/>
  <c r="E4713" i="5"/>
  <c r="F4713" i="5"/>
  <c r="E4714" i="5"/>
  <c r="F4714" i="5"/>
  <c r="E4715" i="5"/>
  <c r="F4715" i="5"/>
  <c r="E4716" i="5"/>
  <c r="F4716" i="5"/>
  <c r="E4717" i="5"/>
  <c r="F4717" i="5"/>
  <c r="E4718" i="5"/>
  <c r="F4718" i="5"/>
  <c r="E4719" i="5"/>
  <c r="F4719" i="5"/>
  <c r="E4720" i="5"/>
  <c r="F4720" i="5"/>
  <c r="E4721" i="5"/>
  <c r="F4721" i="5"/>
  <c r="E4722" i="5"/>
  <c r="F4722" i="5"/>
  <c r="E4723" i="5"/>
  <c r="F4723" i="5"/>
  <c r="E4724" i="5"/>
  <c r="F4724" i="5"/>
  <c r="E4725" i="5"/>
  <c r="F4725" i="5"/>
  <c r="E4726" i="5"/>
  <c r="F4726" i="5"/>
  <c r="E4727" i="5"/>
  <c r="F4727" i="5"/>
  <c r="E4728" i="5"/>
  <c r="F4728" i="5"/>
  <c r="E4729" i="5"/>
  <c r="F4729" i="5"/>
  <c r="E4730" i="5"/>
  <c r="F4730" i="5"/>
  <c r="E4731" i="5"/>
  <c r="F4731" i="5"/>
  <c r="E4732" i="5"/>
  <c r="F4732" i="5"/>
  <c r="E4733" i="5"/>
  <c r="F4733" i="5"/>
  <c r="E4734" i="5"/>
  <c r="F4734" i="5"/>
  <c r="E4735" i="5"/>
  <c r="F4735" i="5"/>
  <c r="E4736" i="5"/>
  <c r="F4736" i="5"/>
  <c r="E4737" i="5"/>
  <c r="F4737" i="5"/>
  <c r="E4738" i="5"/>
  <c r="F4738" i="5"/>
  <c r="E4739" i="5"/>
  <c r="F4739" i="5"/>
  <c r="E4740" i="5"/>
  <c r="F4740" i="5"/>
  <c r="E4741" i="5"/>
  <c r="F4741" i="5"/>
  <c r="E4742" i="5"/>
  <c r="F4742" i="5"/>
  <c r="E4743" i="5"/>
  <c r="F4743" i="5"/>
  <c r="E4744" i="5"/>
  <c r="F4744" i="5"/>
  <c r="E4745" i="5"/>
  <c r="F4745" i="5"/>
  <c r="E4746" i="5"/>
  <c r="F4746" i="5"/>
  <c r="E4747" i="5"/>
  <c r="F4747" i="5"/>
  <c r="E4748" i="5"/>
  <c r="F4748" i="5"/>
  <c r="E4749" i="5"/>
  <c r="F4749" i="5"/>
  <c r="E4750" i="5"/>
  <c r="F4750" i="5"/>
  <c r="E4751" i="5"/>
  <c r="F4751" i="5"/>
  <c r="E4752" i="5"/>
  <c r="F4752" i="5"/>
  <c r="E4753" i="5"/>
  <c r="F4753" i="5"/>
  <c r="E4754" i="5"/>
  <c r="F4754" i="5"/>
  <c r="E4755" i="5"/>
  <c r="F4755" i="5"/>
  <c r="E4756" i="5"/>
  <c r="F4756" i="5"/>
  <c r="E4757" i="5"/>
  <c r="F4757" i="5"/>
  <c r="E4758" i="5"/>
  <c r="F4758" i="5"/>
  <c r="E4759" i="5"/>
  <c r="F4759" i="5"/>
  <c r="E4760" i="5"/>
  <c r="F4760" i="5"/>
  <c r="E4761" i="5"/>
  <c r="F4761" i="5"/>
  <c r="E4762" i="5"/>
  <c r="F4762" i="5"/>
  <c r="E4763" i="5"/>
  <c r="F4763" i="5"/>
  <c r="E4764" i="5"/>
  <c r="F4764" i="5"/>
  <c r="E4765" i="5"/>
  <c r="F4765" i="5"/>
  <c r="E4766" i="5"/>
  <c r="F4766" i="5"/>
  <c r="E4767" i="5"/>
  <c r="F4767" i="5"/>
  <c r="E4768" i="5"/>
  <c r="F4768" i="5"/>
  <c r="E4769" i="5"/>
  <c r="F4769" i="5"/>
  <c r="E4770" i="5"/>
  <c r="F4770" i="5"/>
  <c r="E4771" i="5"/>
  <c r="F4771" i="5"/>
  <c r="E4772" i="5"/>
  <c r="F4772" i="5"/>
  <c r="E4773" i="5"/>
  <c r="F4773" i="5"/>
  <c r="E4774" i="5"/>
  <c r="F4774" i="5"/>
  <c r="E4775" i="5"/>
  <c r="F4775" i="5"/>
  <c r="E4776" i="5"/>
  <c r="F4776" i="5"/>
  <c r="E4777" i="5"/>
  <c r="F4777" i="5"/>
  <c r="E4778" i="5"/>
  <c r="F4778" i="5"/>
  <c r="E4779" i="5"/>
  <c r="F4779" i="5"/>
  <c r="E4780" i="5"/>
  <c r="F4780" i="5"/>
  <c r="E4781" i="5"/>
  <c r="F4781" i="5"/>
  <c r="E4782" i="5"/>
  <c r="F4782" i="5"/>
  <c r="E4783" i="5"/>
  <c r="F4783" i="5"/>
  <c r="E4784" i="5"/>
  <c r="F4784" i="5"/>
  <c r="E4785" i="5"/>
  <c r="F4785" i="5"/>
  <c r="E4786" i="5"/>
  <c r="F4786" i="5"/>
  <c r="E4787" i="5"/>
  <c r="F4787" i="5"/>
  <c r="E4788" i="5"/>
  <c r="F4788" i="5"/>
  <c r="E4789" i="5"/>
  <c r="F4789" i="5"/>
  <c r="E4790" i="5"/>
  <c r="F4790" i="5"/>
  <c r="E4791" i="5"/>
  <c r="F4791" i="5"/>
  <c r="E4792" i="5"/>
  <c r="F4792" i="5"/>
  <c r="E4793" i="5"/>
  <c r="F4793" i="5"/>
  <c r="E4794" i="5"/>
  <c r="F4794" i="5"/>
  <c r="E4795" i="5"/>
  <c r="F4795" i="5"/>
  <c r="E4796" i="5"/>
  <c r="F4796" i="5"/>
  <c r="E4797" i="5"/>
  <c r="F4797" i="5"/>
  <c r="E4798" i="5"/>
  <c r="F4798" i="5"/>
  <c r="E4799" i="5"/>
  <c r="F4799" i="5"/>
  <c r="E4800" i="5"/>
  <c r="F4800" i="5"/>
  <c r="E4801" i="5"/>
  <c r="F4801" i="5"/>
  <c r="E4802" i="5"/>
  <c r="F4802" i="5"/>
  <c r="E4803" i="5"/>
  <c r="F4803" i="5"/>
  <c r="E4804" i="5"/>
  <c r="F4804" i="5"/>
  <c r="E4805" i="5"/>
  <c r="F4805" i="5"/>
  <c r="E4806" i="5"/>
  <c r="F4806" i="5"/>
  <c r="E4807" i="5"/>
  <c r="F4807" i="5"/>
  <c r="E4808" i="5"/>
  <c r="F4808" i="5"/>
  <c r="E4809" i="5"/>
  <c r="F4809" i="5"/>
  <c r="E4810" i="5"/>
  <c r="F4810" i="5"/>
  <c r="E4811" i="5"/>
  <c r="F4811" i="5"/>
  <c r="E4812" i="5"/>
  <c r="F4812" i="5"/>
  <c r="E4813" i="5"/>
  <c r="F4813" i="5"/>
  <c r="E4814" i="5"/>
  <c r="F4814" i="5"/>
  <c r="E4815" i="5"/>
  <c r="F4815" i="5"/>
  <c r="E4816" i="5"/>
  <c r="F4816" i="5"/>
  <c r="E4817" i="5"/>
  <c r="F4817" i="5"/>
  <c r="E4818" i="5"/>
  <c r="F4818" i="5"/>
  <c r="E4819" i="5"/>
  <c r="F4819" i="5"/>
  <c r="E4820" i="5"/>
  <c r="F4820" i="5"/>
  <c r="E4821" i="5"/>
  <c r="F4821" i="5"/>
  <c r="E4822" i="5"/>
  <c r="F4822" i="5"/>
  <c r="E4823" i="5"/>
  <c r="F4823" i="5"/>
  <c r="E4824" i="5"/>
  <c r="F4824" i="5"/>
  <c r="E4825" i="5"/>
  <c r="F4825" i="5"/>
  <c r="E4826" i="5"/>
  <c r="F4826" i="5"/>
  <c r="E4827" i="5"/>
  <c r="F4827" i="5"/>
  <c r="E4828" i="5"/>
  <c r="F4828" i="5"/>
  <c r="E4829" i="5"/>
  <c r="F4829" i="5"/>
  <c r="E4830" i="5"/>
  <c r="F4830" i="5"/>
  <c r="E4831" i="5"/>
  <c r="F4831" i="5"/>
  <c r="E4832" i="5"/>
  <c r="F4832" i="5"/>
  <c r="E4833" i="5"/>
  <c r="F4833" i="5"/>
  <c r="E4834" i="5"/>
  <c r="F4834" i="5"/>
  <c r="E4835" i="5"/>
  <c r="F4835" i="5"/>
  <c r="E4836" i="5"/>
  <c r="F4836" i="5"/>
  <c r="E4837" i="5"/>
  <c r="F4837" i="5"/>
  <c r="E4838" i="5"/>
  <c r="F4838" i="5"/>
  <c r="E4839" i="5"/>
  <c r="F4839" i="5"/>
  <c r="E4840" i="5"/>
  <c r="F4840" i="5"/>
  <c r="E4841" i="5"/>
  <c r="F4841" i="5"/>
  <c r="E4842" i="5"/>
  <c r="F4842" i="5"/>
  <c r="E4843" i="5"/>
  <c r="F4843" i="5"/>
  <c r="E4844" i="5"/>
  <c r="F4844" i="5"/>
  <c r="E4845" i="5"/>
  <c r="F4845" i="5"/>
  <c r="E4846" i="5"/>
  <c r="F4846" i="5"/>
  <c r="E4847" i="5"/>
  <c r="F4847" i="5"/>
  <c r="E4848" i="5"/>
  <c r="F4848" i="5"/>
  <c r="E4849" i="5"/>
  <c r="F4849" i="5"/>
  <c r="E4850" i="5"/>
  <c r="F4850" i="5"/>
  <c r="E4851" i="5"/>
  <c r="F4851" i="5"/>
  <c r="E4852" i="5"/>
  <c r="F4852" i="5"/>
  <c r="E4853" i="5"/>
  <c r="F4853" i="5"/>
  <c r="E4854" i="5"/>
  <c r="F4854" i="5"/>
  <c r="E4855" i="5"/>
  <c r="F4855" i="5"/>
  <c r="E4856" i="5"/>
  <c r="F4856" i="5"/>
  <c r="E4857" i="5"/>
  <c r="F4857" i="5"/>
  <c r="E4858" i="5"/>
  <c r="F4858" i="5"/>
  <c r="E4859" i="5"/>
  <c r="F4859" i="5"/>
  <c r="E4860" i="5"/>
  <c r="F4860" i="5"/>
  <c r="E4861" i="5"/>
  <c r="F4861" i="5"/>
  <c r="E4862" i="5"/>
  <c r="F4862" i="5"/>
  <c r="E4863" i="5"/>
  <c r="F4863" i="5"/>
  <c r="E4864" i="5"/>
  <c r="F4864" i="5"/>
  <c r="E4865" i="5"/>
  <c r="F4865" i="5"/>
  <c r="E4866" i="5"/>
  <c r="F4866" i="5"/>
  <c r="E4867" i="5"/>
  <c r="F4867" i="5"/>
  <c r="E4868" i="5"/>
  <c r="F4868" i="5"/>
  <c r="E4869" i="5"/>
  <c r="F4869" i="5"/>
  <c r="E4870" i="5"/>
  <c r="F4870" i="5"/>
  <c r="E4871" i="5"/>
  <c r="F4871" i="5"/>
  <c r="E4872" i="5"/>
  <c r="F4872" i="5"/>
  <c r="E4873" i="5"/>
  <c r="F4873" i="5"/>
  <c r="E4874" i="5"/>
  <c r="F4874" i="5"/>
  <c r="E4875" i="5"/>
  <c r="F4875" i="5"/>
  <c r="E4876" i="5"/>
  <c r="F4876" i="5"/>
  <c r="E4877" i="5"/>
  <c r="F4877" i="5"/>
  <c r="E4878" i="5"/>
  <c r="F4878" i="5"/>
  <c r="E4879" i="5"/>
  <c r="F4879" i="5"/>
  <c r="E4880" i="5"/>
  <c r="F4880" i="5"/>
  <c r="E4881" i="5"/>
  <c r="F4881" i="5"/>
  <c r="E4882" i="5"/>
  <c r="F4882" i="5"/>
  <c r="E4883" i="5"/>
  <c r="F4883" i="5"/>
  <c r="E4884" i="5"/>
  <c r="F4884" i="5"/>
  <c r="E4885" i="5"/>
  <c r="F4885" i="5"/>
  <c r="E4886" i="5"/>
  <c r="F4886" i="5"/>
  <c r="E4887" i="5"/>
  <c r="F4887" i="5"/>
  <c r="E4888" i="5"/>
  <c r="F4888" i="5"/>
  <c r="E4889" i="5"/>
  <c r="F4889" i="5"/>
  <c r="E4890" i="5"/>
  <c r="F4890" i="5"/>
  <c r="E4891" i="5"/>
  <c r="F4891" i="5"/>
  <c r="E4892" i="5"/>
  <c r="F4892" i="5"/>
  <c r="E4893" i="5"/>
  <c r="F4893" i="5"/>
  <c r="E4894" i="5"/>
  <c r="F4894" i="5"/>
  <c r="E4895" i="5"/>
  <c r="F4895" i="5"/>
  <c r="E4896" i="5"/>
  <c r="F4896" i="5"/>
  <c r="E4897" i="5"/>
  <c r="F4897" i="5"/>
  <c r="E4898" i="5"/>
  <c r="F4898" i="5"/>
  <c r="E4899" i="5"/>
  <c r="F4899" i="5"/>
  <c r="E4900" i="5"/>
  <c r="F4900" i="5"/>
  <c r="E4901" i="5"/>
  <c r="F4901" i="5"/>
  <c r="E4902" i="5"/>
  <c r="F4902" i="5"/>
  <c r="E4903" i="5"/>
  <c r="F4903" i="5"/>
  <c r="E4904" i="5"/>
  <c r="F4904" i="5"/>
  <c r="E4905" i="5"/>
  <c r="F4905" i="5"/>
  <c r="E4906" i="5"/>
  <c r="F4906" i="5"/>
  <c r="E4907" i="5"/>
  <c r="F4907" i="5"/>
  <c r="E4908" i="5"/>
  <c r="F4908" i="5"/>
  <c r="E4909" i="5"/>
  <c r="F4909" i="5"/>
  <c r="E4910" i="5"/>
  <c r="F4910" i="5"/>
  <c r="E4911" i="5"/>
  <c r="F4911" i="5"/>
  <c r="E4912" i="5"/>
  <c r="F4912" i="5"/>
  <c r="E4913" i="5"/>
  <c r="F4913" i="5"/>
  <c r="E4914" i="5"/>
  <c r="F4914" i="5"/>
  <c r="E4915" i="5"/>
  <c r="F4915" i="5"/>
  <c r="E4916" i="5"/>
  <c r="F4916" i="5"/>
  <c r="E4917" i="5"/>
  <c r="F4917" i="5"/>
  <c r="E4918" i="5"/>
  <c r="F4918" i="5"/>
  <c r="E4919" i="5"/>
  <c r="F4919" i="5"/>
  <c r="E4920" i="5"/>
  <c r="F4920" i="5"/>
  <c r="E4921" i="5"/>
  <c r="F4921" i="5"/>
  <c r="E4922" i="5"/>
  <c r="F4922" i="5"/>
  <c r="E4923" i="5"/>
  <c r="F4923" i="5"/>
  <c r="E4924" i="5"/>
  <c r="F4924" i="5"/>
  <c r="E4925" i="5"/>
  <c r="F4925" i="5"/>
  <c r="E4926" i="5"/>
  <c r="F4926" i="5"/>
  <c r="E4927" i="5"/>
  <c r="F4927" i="5"/>
  <c r="E4928" i="5"/>
  <c r="F4928" i="5"/>
  <c r="E4929" i="5"/>
  <c r="F4929" i="5"/>
  <c r="E4930" i="5"/>
  <c r="F4930" i="5"/>
  <c r="E4931" i="5"/>
  <c r="F4931" i="5"/>
  <c r="E4932" i="5"/>
  <c r="F4932" i="5"/>
  <c r="E4933" i="5"/>
  <c r="F4933" i="5"/>
  <c r="E4934" i="5"/>
  <c r="F4934" i="5"/>
  <c r="E4935" i="5"/>
  <c r="F4935" i="5"/>
  <c r="E4936" i="5"/>
  <c r="F4936" i="5"/>
  <c r="E4937" i="5"/>
  <c r="F4937" i="5"/>
  <c r="E4938" i="5"/>
  <c r="F4938" i="5"/>
  <c r="E4939" i="5"/>
  <c r="F4939" i="5"/>
  <c r="E4940" i="5"/>
  <c r="F4940" i="5"/>
  <c r="E4941" i="5"/>
  <c r="F4941" i="5"/>
  <c r="E4942" i="5"/>
  <c r="F4942" i="5"/>
  <c r="E4943" i="5"/>
  <c r="F4943" i="5"/>
  <c r="E4944" i="5"/>
  <c r="F4944" i="5"/>
  <c r="E4945" i="5"/>
  <c r="F4945" i="5"/>
  <c r="E4946" i="5"/>
  <c r="F4946" i="5"/>
  <c r="E4947" i="5"/>
  <c r="F4947" i="5"/>
  <c r="E4948" i="5"/>
  <c r="F4948" i="5"/>
  <c r="E4949" i="5"/>
  <c r="F4949" i="5"/>
  <c r="E4950" i="5"/>
  <c r="F4950" i="5"/>
  <c r="E4951" i="5"/>
  <c r="F4951" i="5"/>
  <c r="E4952" i="5"/>
  <c r="F4952" i="5"/>
  <c r="E4953" i="5"/>
  <c r="F4953" i="5"/>
  <c r="E4954" i="5"/>
  <c r="F4954" i="5"/>
  <c r="E4955" i="5"/>
  <c r="F4955" i="5"/>
  <c r="E4956" i="5"/>
  <c r="F4956" i="5"/>
  <c r="E4957" i="5"/>
  <c r="F4957" i="5"/>
  <c r="E4958" i="5"/>
  <c r="F4958" i="5"/>
  <c r="E4959" i="5"/>
  <c r="F4959" i="5"/>
  <c r="E4960" i="5"/>
  <c r="F4960" i="5"/>
  <c r="E4961" i="5"/>
  <c r="F4961" i="5"/>
  <c r="E4962" i="5"/>
  <c r="F4962" i="5"/>
  <c r="E4963" i="5"/>
  <c r="F4963" i="5"/>
  <c r="E4964" i="5"/>
  <c r="F4964" i="5"/>
  <c r="E4965" i="5"/>
  <c r="F4965" i="5"/>
  <c r="E4966" i="5"/>
  <c r="F4966" i="5"/>
  <c r="E4967" i="5"/>
  <c r="F4967" i="5"/>
  <c r="E4968" i="5"/>
  <c r="F4968" i="5"/>
  <c r="E4969" i="5"/>
  <c r="F4969" i="5"/>
  <c r="E4970" i="5"/>
  <c r="F4970" i="5"/>
  <c r="E4971" i="5"/>
  <c r="F4971" i="5"/>
  <c r="E4972" i="5"/>
  <c r="F4972" i="5"/>
  <c r="E4973" i="5"/>
  <c r="F4973" i="5"/>
  <c r="E4974" i="5"/>
  <c r="F4974" i="5"/>
  <c r="E4975" i="5"/>
  <c r="F4975" i="5"/>
  <c r="E4976" i="5"/>
  <c r="F4976" i="5"/>
  <c r="E4977" i="5"/>
  <c r="F4977" i="5"/>
  <c r="E4978" i="5"/>
  <c r="F4978" i="5"/>
  <c r="E4979" i="5"/>
  <c r="F4979" i="5"/>
  <c r="E4980" i="5"/>
  <c r="F4980" i="5"/>
  <c r="E4981" i="5"/>
  <c r="F4981" i="5"/>
  <c r="E4982" i="5"/>
  <c r="F4982" i="5"/>
  <c r="E4983" i="5"/>
  <c r="F4983" i="5"/>
  <c r="E4984" i="5"/>
  <c r="F4984" i="5"/>
  <c r="E4985" i="5"/>
  <c r="F4985" i="5"/>
  <c r="E4986" i="5"/>
  <c r="F4986" i="5"/>
  <c r="E4987" i="5"/>
  <c r="F4987" i="5"/>
  <c r="E4988" i="5"/>
  <c r="F4988" i="5"/>
  <c r="E4989" i="5"/>
  <c r="F4989" i="5"/>
  <c r="E4990" i="5"/>
  <c r="F4990" i="5"/>
  <c r="E4991" i="5"/>
  <c r="F4991" i="5"/>
  <c r="E4992" i="5"/>
  <c r="F4992" i="5"/>
  <c r="E4993" i="5"/>
  <c r="F4993" i="5"/>
  <c r="E4994" i="5"/>
  <c r="F4994" i="5"/>
  <c r="E4995" i="5"/>
  <c r="F4995" i="5"/>
  <c r="E4996" i="5"/>
  <c r="F4996" i="5"/>
  <c r="E4997" i="5"/>
  <c r="F4997" i="5"/>
  <c r="E4998" i="5"/>
  <c r="F4998" i="5"/>
  <c r="E4999" i="5"/>
  <c r="F4999" i="5"/>
  <c r="E5000" i="5"/>
  <c r="F5000" i="5"/>
  <c r="E5001" i="5"/>
  <c r="F5001" i="5"/>
  <c r="E5002" i="5"/>
  <c r="F5002" i="5"/>
  <c r="E5003" i="5"/>
  <c r="F5003" i="5"/>
  <c r="E5004" i="5"/>
  <c r="F5004" i="5"/>
  <c r="E5005" i="5"/>
  <c r="F5005" i="5"/>
  <c r="E5006" i="5"/>
  <c r="F5006" i="5"/>
  <c r="E5007" i="5"/>
  <c r="F5007" i="5"/>
  <c r="E5008" i="5"/>
  <c r="F5008" i="5"/>
  <c r="E5009" i="5"/>
  <c r="F5009" i="5"/>
  <c r="E5010" i="5"/>
  <c r="F5010" i="5"/>
  <c r="E5011" i="5"/>
  <c r="F5011" i="5"/>
  <c r="E5012" i="5"/>
  <c r="F5012" i="5"/>
  <c r="E5013" i="5"/>
  <c r="F5013" i="5"/>
  <c r="E5014" i="5"/>
  <c r="F5014" i="5"/>
  <c r="E5015" i="5"/>
  <c r="F5015" i="5"/>
  <c r="E5016" i="5"/>
  <c r="F5016" i="5"/>
  <c r="E5017" i="5"/>
  <c r="F5017" i="5"/>
  <c r="E5018" i="5"/>
  <c r="F5018" i="5"/>
  <c r="E5019" i="5"/>
  <c r="F5019" i="5"/>
  <c r="E5020" i="5"/>
  <c r="F5020" i="5"/>
  <c r="E5021" i="5"/>
  <c r="F5021" i="5"/>
  <c r="E5022" i="5"/>
  <c r="F5022" i="5"/>
  <c r="E5023" i="5"/>
  <c r="F5023" i="5"/>
  <c r="E5024" i="5"/>
  <c r="F5024" i="5"/>
  <c r="E5025" i="5"/>
  <c r="F5025" i="5"/>
  <c r="E5026" i="5"/>
  <c r="F5026" i="5"/>
  <c r="E5027" i="5"/>
  <c r="F5027" i="5"/>
  <c r="E5028" i="5"/>
  <c r="F5028" i="5"/>
  <c r="E5029" i="5"/>
  <c r="F5029" i="5"/>
  <c r="E5030" i="5"/>
  <c r="F5030" i="5"/>
  <c r="E5031" i="5"/>
  <c r="F5031" i="5"/>
  <c r="E5032" i="5"/>
  <c r="F5032" i="5"/>
  <c r="E5033" i="5"/>
  <c r="F5033" i="5"/>
  <c r="E5034" i="5"/>
  <c r="F5034" i="5"/>
  <c r="E5035" i="5"/>
  <c r="F5035" i="5"/>
  <c r="E5036" i="5"/>
  <c r="F5036" i="5"/>
  <c r="E5037" i="5"/>
  <c r="F5037" i="5"/>
  <c r="E5038" i="5"/>
  <c r="F5038" i="5"/>
  <c r="E5039" i="5"/>
  <c r="F5039" i="5"/>
  <c r="E5040" i="5"/>
  <c r="F5040" i="5"/>
  <c r="E5041" i="5"/>
  <c r="F5041" i="5"/>
  <c r="E5042" i="5"/>
  <c r="F5042" i="5"/>
  <c r="E5043" i="5"/>
  <c r="F5043" i="5"/>
  <c r="E5044" i="5"/>
  <c r="F5044" i="5"/>
  <c r="E5045" i="5"/>
  <c r="F5045" i="5"/>
  <c r="E5046" i="5"/>
  <c r="F5046" i="5"/>
  <c r="E5047" i="5"/>
  <c r="F5047" i="5"/>
  <c r="E5048" i="5"/>
  <c r="F5048" i="5"/>
  <c r="E5049" i="5"/>
  <c r="F5049" i="5"/>
  <c r="E5050" i="5"/>
  <c r="F5050" i="5"/>
  <c r="E5051" i="5"/>
  <c r="F5051" i="5"/>
  <c r="E5052" i="5"/>
  <c r="F5052" i="5"/>
  <c r="E5053" i="5"/>
  <c r="F5053" i="5"/>
  <c r="E5054" i="5"/>
  <c r="F5054" i="5"/>
  <c r="E5055" i="5"/>
  <c r="F5055" i="5"/>
  <c r="E5056" i="5"/>
  <c r="F5056" i="5"/>
  <c r="E5057" i="5"/>
  <c r="F5057" i="5"/>
  <c r="E5058" i="5"/>
  <c r="F5058" i="5"/>
  <c r="E5059" i="5"/>
  <c r="F5059" i="5"/>
  <c r="E5060" i="5"/>
  <c r="F5060" i="5"/>
  <c r="E5061" i="5"/>
  <c r="F5061" i="5"/>
  <c r="E5062" i="5"/>
  <c r="F5062" i="5"/>
  <c r="E5063" i="5"/>
  <c r="F5063" i="5"/>
  <c r="E5064" i="5"/>
  <c r="F5064" i="5"/>
  <c r="E5065" i="5"/>
  <c r="F5065" i="5"/>
  <c r="E5066" i="5"/>
  <c r="F5066" i="5"/>
  <c r="E5067" i="5"/>
  <c r="F5067" i="5"/>
  <c r="E5068" i="5"/>
  <c r="F5068" i="5"/>
  <c r="E5069" i="5"/>
  <c r="F5069" i="5"/>
  <c r="E5070" i="5"/>
  <c r="F5070" i="5"/>
  <c r="E5071" i="5"/>
  <c r="F5071" i="5"/>
  <c r="E5072" i="5"/>
  <c r="F5072" i="5"/>
  <c r="E5073" i="5"/>
  <c r="F5073" i="5"/>
  <c r="E5074" i="5"/>
  <c r="F5074" i="5"/>
  <c r="E5075" i="5"/>
  <c r="F5075" i="5"/>
  <c r="E5076" i="5"/>
  <c r="F5076" i="5"/>
  <c r="E5077" i="5"/>
  <c r="F5077" i="5"/>
  <c r="E5078" i="5"/>
  <c r="F5078" i="5"/>
  <c r="E5079" i="5"/>
  <c r="F5079" i="5"/>
  <c r="E5080" i="5"/>
  <c r="F5080" i="5"/>
  <c r="E5081" i="5"/>
  <c r="F5081" i="5"/>
  <c r="E5082" i="5"/>
  <c r="F5082" i="5"/>
  <c r="E5083" i="5"/>
  <c r="F5083" i="5"/>
  <c r="E5084" i="5"/>
  <c r="F5084" i="5"/>
  <c r="E5085" i="5"/>
  <c r="F5085" i="5"/>
  <c r="E5086" i="5"/>
  <c r="F5086" i="5"/>
  <c r="E5087" i="5"/>
  <c r="F5087" i="5"/>
  <c r="E5088" i="5"/>
  <c r="F5088" i="5"/>
  <c r="E5089" i="5"/>
  <c r="F5089" i="5"/>
  <c r="E5090" i="5"/>
  <c r="F5090" i="5"/>
  <c r="E5091" i="5"/>
  <c r="F5091" i="5"/>
  <c r="E5092" i="5"/>
  <c r="F5092" i="5"/>
  <c r="E5093" i="5"/>
  <c r="F5093" i="5"/>
  <c r="E5094" i="5"/>
  <c r="F5094" i="5"/>
  <c r="E5095" i="5"/>
  <c r="F5095" i="5"/>
  <c r="E5096" i="5"/>
  <c r="F5096" i="5"/>
  <c r="E5097" i="5"/>
  <c r="F5097" i="5"/>
  <c r="E5098" i="5"/>
  <c r="F5098" i="5"/>
  <c r="E5099" i="5"/>
  <c r="F5099" i="5"/>
  <c r="E5100" i="5"/>
  <c r="F5100" i="5"/>
  <c r="E5101" i="5"/>
  <c r="F5101" i="5"/>
  <c r="E5102" i="5"/>
  <c r="F5102" i="5"/>
  <c r="E5103" i="5"/>
  <c r="F5103" i="5"/>
  <c r="E5104" i="5"/>
  <c r="F5104" i="5"/>
  <c r="E5105" i="5"/>
  <c r="F5105" i="5"/>
  <c r="E5106" i="5"/>
  <c r="F5106" i="5"/>
  <c r="E5107" i="5"/>
  <c r="F5107" i="5"/>
  <c r="E5108" i="5"/>
  <c r="F5108" i="5"/>
  <c r="E5109" i="5"/>
  <c r="F5109" i="5"/>
  <c r="E5110" i="5"/>
  <c r="F5110" i="5"/>
  <c r="E5111" i="5"/>
  <c r="F5111" i="5"/>
  <c r="E5112" i="5"/>
  <c r="F5112" i="5"/>
  <c r="E5113" i="5"/>
  <c r="F5113" i="5"/>
  <c r="E5114" i="5"/>
  <c r="F5114" i="5"/>
  <c r="E5115" i="5"/>
  <c r="F5115" i="5"/>
  <c r="E5116" i="5"/>
  <c r="F5116" i="5"/>
  <c r="E5117" i="5"/>
  <c r="F5117" i="5"/>
  <c r="E5118" i="5"/>
  <c r="F5118" i="5"/>
  <c r="E5119" i="5"/>
  <c r="F5119" i="5"/>
  <c r="E5120" i="5"/>
  <c r="F5120" i="5"/>
  <c r="E5121" i="5"/>
  <c r="F5121" i="5"/>
  <c r="E5122" i="5"/>
  <c r="F5122" i="5"/>
  <c r="E5123" i="5"/>
  <c r="F5123" i="5"/>
  <c r="E5124" i="5"/>
  <c r="F5124" i="5"/>
  <c r="E5125" i="5"/>
  <c r="F5125" i="5"/>
  <c r="E5126" i="5"/>
  <c r="F5126" i="5"/>
  <c r="E5127" i="5"/>
  <c r="F5127" i="5"/>
  <c r="E5128" i="5"/>
  <c r="F5128" i="5"/>
  <c r="E5129" i="5"/>
  <c r="F5129" i="5"/>
  <c r="E5130" i="5"/>
  <c r="F5130" i="5"/>
  <c r="E5131" i="5"/>
  <c r="F5131" i="5"/>
  <c r="E5132" i="5"/>
  <c r="F5132" i="5"/>
  <c r="E5133" i="5"/>
  <c r="F5133" i="5"/>
  <c r="E5134" i="5"/>
  <c r="F5134" i="5"/>
  <c r="E5135" i="5"/>
  <c r="F5135" i="5"/>
  <c r="E5136" i="5"/>
  <c r="F5136" i="5"/>
  <c r="E5137" i="5"/>
  <c r="F5137" i="5"/>
  <c r="E5138" i="5"/>
  <c r="F5138" i="5"/>
  <c r="E5139" i="5"/>
  <c r="F5139" i="5"/>
  <c r="E5140" i="5"/>
  <c r="F5140" i="5"/>
  <c r="E5141" i="5"/>
  <c r="F5141" i="5"/>
  <c r="E5142" i="5"/>
  <c r="F5142" i="5"/>
  <c r="E5143" i="5"/>
  <c r="F5143" i="5"/>
  <c r="E5144" i="5"/>
  <c r="F5144" i="5"/>
  <c r="E5145" i="5"/>
  <c r="F5145" i="5"/>
  <c r="E5146" i="5"/>
  <c r="F5146" i="5"/>
  <c r="E5147" i="5"/>
  <c r="F5147" i="5"/>
  <c r="E5148" i="5"/>
  <c r="F5148" i="5"/>
  <c r="E5149" i="5"/>
  <c r="F5149" i="5"/>
  <c r="E5150" i="5"/>
  <c r="F5150" i="5"/>
  <c r="E5151" i="5"/>
  <c r="F5151" i="5"/>
  <c r="E5152" i="5"/>
  <c r="F5152" i="5"/>
  <c r="E5153" i="5"/>
  <c r="F5153" i="5"/>
  <c r="E5154" i="5"/>
  <c r="F5154" i="5"/>
  <c r="E5155" i="5"/>
  <c r="F5155" i="5"/>
  <c r="E5156" i="5"/>
  <c r="F5156" i="5"/>
  <c r="E5157" i="5"/>
  <c r="F5157" i="5"/>
  <c r="E5158" i="5"/>
  <c r="F5158" i="5"/>
  <c r="E5159" i="5"/>
  <c r="F5159" i="5"/>
  <c r="E5160" i="5"/>
  <c r="F5160" i="5"/>
  <c r="E5161" i="5"/>
  <c r="F5161" i="5"/>
  <c r="E5162" i="5"/>
  <c r="F5162" i="5"/>
  <c r="E5163" i="5"/>
  <c r="F5163" i="5"/>
  <c r="E5164" i="5"/>
  <c r="F5164" i="5"/>
  <c r="E5165" i="5"/>
  <c r="F5165" i="5"/>
  <c r="E5166" i="5"/>
  <c r="F5166" i="5"/>
  <c r="E5167" i="5"/>
  <c r="F5167" i="5"/>
  <c r="E5168" i="5"/>
  <c r="F5168" i="5"/>
  <c r="E5169" i="5"/>
  <c r="F5169" i="5"/>
  <c r="E5170" i="5"/>
  <c r="F5170" i="5"/>
  <c r="E5171" i="5"/>
  <c r="F5171" i="5"/>
  <c r="E5172" i="5"/>
  <c r="F5172" i="5"/>
  <c r="E5173" i="5"/>
  <c r="F5173" i="5"/>
  <c r="E5174" i="5"/>
  <c r="F5174" i="5"/>
  <c r="E5175" i="5"/>
  <c r="F5175" i="5"/>
  <c r="E5176" i="5"/>
  <c r="F5176" i="5"/>
  <c r="E5177" i="5"/>
  <c r="F5177" i="5"/>
  <c r="E5178" i="5"/>
  <c r="F5178" i="5"/>
  <c r="E5179" i="5"/>
  <c r="F5179" i="5"/>
  <c r="E5180" i="5"/>
  <c r="F5180" i="5"/>
  <c r="E5181" i="5"/>
  <c r="F5181" i="5"/>
  <c r="E5182" i="5"/>
  <c r="F5182" i="5"/>
  <c r="E5183" i="5"/>
  <c r="F5183" i="5"/>
  <c r="E5184" i="5"/>
  <c r="F5184" i="5"/>
  <c r="E5185" i="5"/>
  <c r="F5185" i="5"/>
  <c r="E5186" i="5"/>
  <c r="F5186" i="5"/>
  <c r="E5187" i="5"/>
  <c r="F5187" i="5"/>
  <c r="E5188" i="5"/>
  <c r="F5188" i="5"/>
  <c r="E5189" i="5"/>
  <c r="F5189" i="5"/>
  <c r="E5190" i="5"/>
  <c r="F5190" i="5"/>
  <c r="E5191" i="5"/>
  <c r="F5191" i="5"/>
  <c r="E5192" i="5"/>
  <c r="F5192" i="5"/>
  <c r="E5193" i="5"/>
  <c r="F5193" i="5"/>
  <c r="E5194" i="5"/>
  <c r="F5194" i="5"/>
  <c r="E5195" i="5"/>
  <c r="F5195" i="5"/>
  <c r="E5196" i="5"/>
  <c r="F5196" i="5"/>
  <c r="E5197" i="5"/>
  <c r="F5197" i="5"/>
  <c r="E5198" i="5"/>
  <c r="F5198" i="5"/>
  <c r="E5199" i="5"/>
  <c r="F5199" i="5"/>
  <c r="E5200" i="5"/>
  <c r="F5200" i="5"/>
  <c r="E5201" i="5"/>
  <c r="F5201" i="5"/>
  <c r="E5202" i="5"/>
  <c r="F5202" i="5"/>
  <c r="E5203" i="5"/>
  <c r="F5203" i="5"/>
  <c r="E5204" i="5"/>
  <c r="F5204" i="5"/>
  <c r="E5205" i="5"/>
  <c r="F5205" i="5"/>
  <c r="E5206" i="5"/>
  <c r="F5206" i="5"/>
  <c r="E5207" i="5"/>
  <c r="F5207" i="5"/>
  <c r="E5208" i="5"/>
  <c r="F5208" i="5"/>
  <c r="E5209" i="5"/>
  <c r="F5209" i="5"/>
  <c r="E5210" i="5"/>
  <c r="F5210" i="5"/>
  <c r="E5211" i="5"/>
  <c r="F5211" i="5"/>
  <c r="E5212" i="5"/>
  <c r="F5212" i="5"/>
  <c r="E5213" i="5"/>
  <c r="F5213" i="5"/>
  <c r="E5214" i="5"/>
  <c r="F5214" i="5"/>
  <c r="E5215" i="5"/>
  <c r="F5215" i="5"/>
  <c r="E5216" i="5"/>
  <c r="F5216" i="5"/>
  <c r="E5217" i="5"/>
  <c r="F5217" i="5"/>
  <c r="E5218" i="5"/>
  <c r="F5218" i="5"/>
  <c r="E5219" i="5"/>
  <c r="F5219" i="5"/>
  <c r="E5220" i="5"/>
  <c r="F5220" i="5"/>
  <c r="E5221" i="5"/>
  <c r="F5221" i="5"/>
  <c r="E5222" i="5"/>
  <c r="F5222" i="5"/>
  <c r="E5223" i="5"/>
  <c r="F5223" i="5"/>
  <c r="E5224" i="5"/>
  <c r="F5224" i="5"/>
  <c r="E5225" i="5"/>
  <c r="F5225" i="5"/>
  <c r="E5226" i="5"/>
  <c r="F5226" i="5"/>
  <c r="E5227" i="5"/>
  <c r="F5227" i="5"/>
  <c r="E5228" i="5"/>
  <c r="F5228" i="5"/>
  <c r="E5229" i="5"/>
  <c r="F5229" i="5"/>
  <c r="E5230" i="5"/>
  <c r="F5230" i="5"/>
  <c r="E5231" i="5"/>
  <c r="F5231" i="5"/>
  <c r="E5232" i="5"/>
  <c r="F5232" i="5"/>
  <c r="E5233" i="5"/>
  <c r="F5233" i="5"/>
  <c r="E5234" i="5"/>
  <c r="F5234" i="5"/>
  <c r="E5235" i="5"/>
  <c r="F5235" i="5"/>
  <c r="E5236" i="5"/>
  <c r="F5236" i="5"/>
  <c r="E5237" i="5"/>
  <c r="F5237" i="5"/>
  <c r="E5238" i="5"/>
  <c r="F5238" i="5"/>
  <c r="E5239" i="5"/>
  <c r="F5239" i="5"/>
  <c r="E5240" i="5"/>
  <c r="F5240" i="5"/>
  <c r="E5241" i="5"/>
  <c r="F5241" i="5"/>
  <c r="E5242" i="5"/>
  <c r="F5242" i="5"/>
  <c r="E5243" i="5"/>
  <c r="F5243" i="5"/>
  <c r="E5244" i="5"/>
  <c r="F5244" i="5"/>
  <c r="E5245" i="5"/>
  <c r="F5245" i="5"/>
  <c r="E5246" i="5"/>
  <c r="F5246" i="5"/>
  <c r="E5247" i="5"/>
  <c r="F5247" i="5"/>
  <c r="E5248" i="5"/>
  <c r="F5248" i="5"/>
  <c r="E5249" i="5"/>
  <c r="F5249" i="5"/>
  <c r="E5250" i="5"/>
  <c r="F5250" i="5"/>
  <c r="E5251" i="5"/>
  <c r="F5251" i="5"/>
  <c r="E5252" i="5"/>
  <c r="F5252" i="5"/>
  <c r="E5253" i="5"/>
  <c r="F5253" i="5"/>
  <c r="E5254" i="5"/>
  <c r="F5254" i="5"/>
  <c r="E5255" i="5"/>
  <c r="F5255" i="5"/>
  <c r="E5256" i="5"/>
  <c r="F5256" i="5"/>
  <c r="E5257" i="5"/>
  <c r="F5257" i="5"/>
  <c r="E5258" i="5"/>
  <c r="F5258" i="5"/>
  <c r="E5259" i="5"/>
  <c r="F5259" i="5"/>
  <c r="E5260" i="5"/>
  <c r="F5260" i="5"/>
  <c r="E5261" i="5"/>
  <c r="F5261" i="5"/>
  <c r="E5262" i="5"/>
  <c r="F5262" i="5"/>
  <c r="E5263" i="5"/>
  <c r="F5263" i="5"/>
  <c r="E5264" i="5"/>
  <c r="F5264" i="5"/>
  <c r="E5265" i="5"/>
  <c r="F5265" i="5"/>
  <c r="E5266" i="5"/>
  <c r="F5266" i="5"/>
  <c r="E5267" i="5"/>
  <c r="F5267" i="5"/>
  <c r="E5268" i="5"/>
  <c r="F5268" i="5"/>
  <c r="E5269" i="5"/>
  <c r="F5269" i="5"/>
  <c r="E5270" i="5"/>
  <c r="F5270" i="5"/>
  <c r="E5271" i="5"/>
  <c r="F5271" i="5"/>
  <c r="E5272" i="5"/>
  <c r="F5272" i="5"/>
  <c r="E5273" i="5"/>
  <c r="F5273" i="5"/>
  <c r="E5274" i="5"/>
  <c r="F5274" i="5"/>
  <c r="E5275" i="5"/>
  <c r="F5275" i="5"/>
  <c r="E5276" i="5"/>
  <c r="F5276" i="5"/>
  <c r="E5277" i="5"/>
  <c r="F5277" i="5"/>
  <c r="E5278" i="5"/>
  <c r="F5278" i="5"/>
  <c r="E5279" i="5"/>
  <c r="F5279" i="5"/>
  <c r="E5280" i="5"/>
  <c r="F5280" i="5"/>
  <c r="E5281" i="5"/>
  <c r="F5281" i="5"/>
  <c r="E5282" i="5"/>
  <c r="F5282" i="5"/>
  <c r="E5283" i="5"/>
  <c r="F5283" i="5"/>
  <c r="E5284" i="5"/>
  <c r="F5284" i="5"/>
  <c r="E5285" i="5"/>
  <c r="F5285" i="5"/>
  <c r="E5286" i="5"/>
  <c r="F5286" i="5"/>
  <c r="E5287" i="5"/>
  <c r="F5287" i="5"/>
  <c r="E5288" i="5"/>
  <c r="F5288" i="5"/>
  <c r="E5289" i="5"/>
  <c r="F5289" i="5"/>
  <c r="E5290" i="5"/>
  <c r="F5290" i="5"/>
  <c r="E5291" i="5"/>
  <c r="F5291" i="5"/>
  <c r="E5292" i="5"/>
  <c r="F5292" i="5"/>
  <c r="E5293" i="5"/>
  <c r="F5293" i="5"/>
  <c r="E5294" i="5"/>
  <c r="F5294" i="5"/>
  <c r="E5295" i="5"/>
  <c r="F5295" i="5"/>
  <c r="E5296" i="5"/>
  <c r="F5296" i="5"/>
  <c r="E5297" i="5"/>
  <c r="F5297" i="5"/>
  <c r="E5298" i="5"/>
  <c r="F5298" i="5"/>
  <c r="E5299" i="5"/>
  <c r="F5299" i="5"/>
  <c r="E5300" i="5"/>
  <c r="F5300" i="5"/>
  <c r="E5301" i="5"/>
  <c r="F5301" i="5"/>
  <c r="E5302" i="5"/>
  <c r="F5302" i="5"/>
  <c r="E5303" i="5"/>
  <c r="F5303" i="5"/>
  <c r="E5304" i="5"/>
  <c r="F5304" i="5"/>
  <c r="E5305" i="5"/>
  <c r="F5305" i="5"/>
  <c r="E5306" i="5"/>
  <c r="F5306" i="5"/>
  <c r="E5307" i="5"/>
  <c r="F5307" i="5"/>
  <c r="E5308" i="5"/>
  <c r="F5308" i="5"/>
  <c r="E5309" i="5"/>
  <c r="F5309" i="5"/>
  <c r="E5310" i="5"/>
  <c r="F5310" i="5"/>
  <c r="E5311" i="5"/>
  <c r="F5311" i="5"/>
  <c r="E5312" i="5"/>
  <c r="F5312" i="5"/>
  <c r="E5313" i="5"/>
  <c r="F5313" i="5"/>
  <c r="E5314" i="5"/>
  <c r="F5314" i="5"/>
  <c r="E5315" i="5"/>
  <c r="F5315" i="5"/>
  <c r="E5316" i="5"/>
  <c r="F5316" i="5"/>
  <c r="E5317" i="5"/>
  <c r="F5317" i="5"/>
  <c r="E5318" i="5"/>
  <c r="F5318" i="5"/>
  <c r="E5319" i="5"/>
  <c r="F5319" i="5"/>
  <c r="E5320" i="5"/>
  <c r="F5320" i="5"/>
  <c r="E5321" i="5"/>
  <c r="F5321" i="5"/>
  <c r="E5322" i="5"/>
  <c r="F5322" i="5"/>
  <c r="E5323" i="5"/>
  <c r="F5323" i="5"/>
  <c r="E5324" i="5"/>
  <c r="F5324" i="5"/>
  <c r="E5325" i="5"/>
  <c r="F5325" i="5"/>
  <c r="E5326" i="5"/>
  <c r="F5326" i="5"/>
  <c r="E5327" i="5"/>
  <c r="F5327" i="5"/>
  <c r="E5328" i="5"/>
  <c r="F5328" i="5"/>
  <c r="E5329" i="5"/>
  <c r="F5329" i="5"/>
  <c r="E5330" i="5"/>
  <c r="F5330" i="5"/>
  <c r="E5331" i="5"/>
  <c r="F5331" i="5"/>
  <c r="E5332" i="5"/>
  <c r="F5332" i="5"/>
  <c r="E5333" i="5"/>
  <c r="F5333" i="5"/>
  <c r="E5334" i="5"/>
  <c r="F5334" i="5"/>
  <c r="E5335" i="5"/>
  <c r="F5335" i="5"/>
  <c r="E5336" i="5"/>
  <c r="F5336" i="5"/>
  <c r="E5337" i="5"/>
  <c r="F5337" i="5"/>
  <c r="E5338" i="5"/>
  <c r="F5338" i="5"/>
  <c r="E5339" i="5"/>
  <c r="F5339" i="5"/>
  <c r="E5340" i="5"/>
  <c r="F5340" i="5"/>
  <c r="E5341" i="5"/>
  <c r="F5341" i="5"/>
  <c r="E5342" i="5"/>
  <c r="F5342" i="5"/>
  <c r="E5343" i="5"/>
  <c r="F5343" i="5"/>
  <c r="E5344" i="5"/>
  <c r="F5344" i="5"/>
  <c r="E5345" i="5"/>
  <c r="F5345" i="5"/>
  <c r="E5346" i="5"/>
  <c r="F5346" i="5"/>
  <c r="E5347" i="5"/>
  <c r="F5347" i="5"/>
  <c r="E5348" i="5"/>
  <c r="F5348" i="5"/>
  <c r="E5349" i="5"/>
  <c r="F5349" i="5"/>
  <c r="E5350" i="5"/>
  <c r="F5350" i="5"/>
  <c r="E5351" i="5"/>
  <c r="F5351" i="5"/>
  <c r="E5352" i="5"/>
  <c r="F5352" i="5"/>
  <c r="E5353" i="5"/>
  <c r="F5353" i="5"/>
  <c r="E5354" i="5"/>
  <c r="F5354" i="5"/>
  <c r="E5355" i="5"/>
  <c r="F5355" i="5"/>
  <c r="E5356" i="5"/>
  <c r="F5356" i="5"/>
  <c r="E5357" i="5"/>
  <c r="F5357" i="5"/>
  <c r="E5358" i="5"/>
  <c r="F5358" i="5"/>
  <c r="E5359" i="5"/>
  <c r="F5359" i="5"/>
  <c r="E5360" i="5"/>
  <c r="F5360" i="5"/>
  <c r="E5361" i="5"/>
  <c r="F5361" i="5"/>
  <c r="E5362" i="5"/>
  <c r="F5362" i="5"/>
  <c r="E5363" i="5"/>
  <c r="F5363" i="5"/>
  <c r="E5364" i="5"/>
  <c r="F5364" i="5"/>
  <c r="E5365" i="5"/>
  <c r="F5365" i="5"/>
  <c r="E5366" i="5"/>
  <c r="F5366" i="5"/>
  <c r="E5367" i="5"/>
  <c r="F5367" i="5"/>
  <c r="E5368" i="5"/>
  <c r="F5368" i="5"/>
  <c r="E5369" i="5"/>
  <c r="F5369" i="5"/>
  <c r="E5370" i="5"/>
  <c r="F5370" i="5"/>
  <c r="E5371" i="5"/>
  <c r="F5371" i="5"/>
  <c r="E5372" i="5"/>
  <c r="F5372" i="5"/>
  <c r="E5373" i="5"/>
  <c r="F5373" i="5"/>
  <c r="E5374" i="5"/>
  <c r="F5374" i="5"/>
  <c r="E5375" i="5"/>
  <c r="F5375" i="5"/>
  <c r="E5376" i="5"/>
  <c r="F5376" i="5"/>
  <c r="E5377" i="5"/>
  <c r="F5377" i="5"/>
  <c r="E5378" i="5"/>
  <c r="F5378" i="5"/>
  <c r="E5379" i="5"/>
  <c r="F5379" i="5"/>
  <c r="E5380" i="5"/>
  <c r="F5380" i="5"/>
  <c r="E5381" i="5"/>
  <c r="F5381" i="5"/>
  <c r="E5382" i="5"/>
  <c r="F5382" i="5"/>
  <c r="E5383" i="5"/>
  <c r="F5383" i="5"/>
  <c r="E5384" i="5"/>
  <c r="F5384" i="5"/>
  <c r="E5385" i="5"/>
  <c r="F5385" i="5"/>
  <c r="E5386" i="5"/>
  <c r="F5386" i="5"/>
  <c r="E5387" i="5"/>
  <c r="F5387" i="5"/>
  <c r="E5388" i="5"/>
  <c r="F5388" i="5"/>
  <c r="E5389" i="5"/>
  <c r="F5389" i="5"/>
  <c r="E5390" i="5"/>
  <c r="F5390" i="5"/>
  <c r="E5391" i="5"/>
  <c r="F5391" i="5"/>
  <c r="E5392" i="5"/>
  <c r="F5392" i="5"/>
  <c r="E5393" i="5"/>
  <c r="F5393" i="5"/>
  <c r="E5394" i="5"/>
  <c r="F5394" i="5"/>
  <c r="E5395" i="5"/>
  <c r="F5395" i="5"/>
  <c r="E5396" i="5"/>
  <c r="F5396" i="5"/>
  <c r="E5397" i="5"/>
  <c r="F5397" i="5"/>
  <c r="E5398" i="5"/>
  <c r="F5398" i="5"/>
  <c r="E5399" i="5"/>
  <c r="F5399" i="5"/>
  <c r="E5400" i="5"/>
  <c r="F5400" i="5"/>
  <c r="E5401" i="5"/>
  <c r="F5401" i="5"/>
  <c r="E5402" i="5"/>
  <c r="F5402" i="5"/>
  <c r="E5403" i="5"/>
  <c r="F5403" i="5"/>
  <c r="E5404" i="5"/>
  <c r="F5404" i="5"/>
  <c r="E5405" i="5"/>
  <c r="F5405" i="5"/>
  <c r="E5406" i="5"/>
  <c r="F5406" i="5"/>
  <c r="E5407" i="5"/>
  <c r="F5407" i="5"/>
  <c r="E5408" i="5"/>
  <c r="F5408" i="5"/>
  <c r="E5409" i="5"/>
  <c r="F5409" i="5"/>
  <c r="E5410" i="5"/>
  <c r="F5410" i="5"/>
  <c r="E5411" i="5"/>
  <c r="F5411" i="5"/>
  <c r="E5412" i="5"/>
  <c r="F5412" i="5"/>
  <c r="E5413" i="5"/>
  <c r="F5413" i="5"/>
  <c r="E5414" i="5"/>
  <c r="F5414" i="5"/>
  <c r="E5415" i="5"/>
  <c r="F5415" i="5"/>
  <c r="E5416" i="5"/>
  <c r="F5416" i="5"/>
  <c r="E5417" i="5"/>
  <c r="F5417" i="5"/>
  <c r="E5418" i="5"/>
  <c r="F5418" i="5"/>
  <c r="E5419" i="5"/>
  <c r="F5419" i="5"/>
  <c r="E5420" i="5"/>
  <c r="F5420" i="5"/>
  <c r="E5421" i="5"/>
  <c r="F5421" i="5"/>
  <c r="E5422" i="5"/>
  <c r="F5422" i="5"/>
  <c r="E5423" i="5"/>
  <c r="F5423" i="5"/>
  <c r="E5424" i="5"/>
  <c r="F5424" i="5"/>
  <c r="E5425" i="5"/>
  <c r="F5425" i="5"/>
  <c r="E5426" i="5"/>
  <c r="F5426" i="5"/>
  <c r="E5427" i="5"/>
  <c r="F5427" i="5"/>
  <c r="E5428" i="5"/>
  <c r="F5428" i="5"/>
  <c r="E5429" i="5"/>
  <c r="F5429" i="5"/>
  <c r="E5430" i="5"/>
  <c r="F5430" i="5"/>
  <c r="E5431" i="5"/>
  <c r="F5431" i="5"/>
  <c r="E5432" i="5"/>
  <c r="F5432" i="5"/>
  <c r="E5433" i="5"/>
  <c r="F5433" i="5"/>
  <c r="E5434" i="5"/>
  <c r="F5434" i="5"/>
  <c r="E5435" i="5"/>
  <c r="F5435" i="5"/>
  <c r="E5436" i="5"/>
  <c r="F5436" i="5"/>
  <c r="E5437" i="5"/>
  <c r="F5437" i="5"/>
  <c r="E5438" i="5"/>
  <c r="F5438" i="5"/>
  <c r="E5439" i="5"/>
  <c r="F5439" i="5"/>
  <c r="E5440" i="5"/>
  <c r="F5440" i="5"/>
  <c r="E5441" i="5"/>
  <c r="F5441" i="5"/>
  <c r="E5442" i="5"/>
  <c r="F5442" i="5"/>
  <c r="E5443" i="5"/>
  <c r="F5443" i="5"/>
  <c r="E5444" i="5"/>
  <c r="F5444" i="5"/>
  <c r="E5445" i="5"/>
  <c r="F5445" i="5"/>
  <c r="E5446" i="5"/>
  <c r="F5446" i="5"/>
  <c r="E5447" i="5"/>
  <c r="F5447" i="5"/>
  <c r="E5448" i="5"/>
  <c r="F5448" i="5"/>
  <c r="E5449" i="5"/>
  <c r="F5449" i="5"/>
  <c r="E5450" i="5"/>
  <c r="F5450" i="5"/>
  <c r="E5451" i="5"/>
  <c r="F5451" i="5"/>
  <c r="E5452" i="5"/>
  <c r="F5452" i="5"/>
  <c r="E5453" i="5"/>
  <c r="F5453" i="5"/>
  <c r="E5454" i="5"/>
  <c r="F5454" i="5"/>
  <c r="E5455" i="5"/>
  <c r="F5455" i="5"/>
  <c r="E5456" i="5"/>
  <c r="F5456" i="5"/>
  <c r="E5457" i="5"/>
  <c r="F5457" i="5"/>
  <c r="E5458" i="5"/>
  <c r="F5458" i="5"/>
  <c r="E5459" i="5"/>
  <c r="F5459" i="5"/>
  <c r="E5460" i="5"/>
  <c r="F5460" i="5"/>
  <c r="E5461" i="5"/>
  <c r="F5461" i="5"/>
  <c r="E5462" i="5"/>
  <c r="F5462" i="5"/>
  <c r="E5463" i="5"/>
  <c r="F5463" i="5"/>
  <c r="E5464" i="5"/>
  <c r="F5464" i="5"/>
  <c r="E5465" i="5"/>
  <c r="F5465" i="5"/>
  <c r="E5466" i="5"/>
  <c r="F5466" i="5"/>
  <c r="E5467" i="5"/>
  <c r="F5467" i="5"/>
  <c r="E5468" i="5"/>
  <c r="F5468" i="5"/>
  <c r="E5469" i="5"/>
  <c r="F5469" i="5"/>
  <c r="E5470" i="5"/>
  <c r="F5470" i="5"/>
  <c r="E5471" i="5"/>
  <c r="F5471" i="5"/>
  <c r="E5472" i="5"/>
  <c r="F5472" i="5"/>
  <c r="E5473" i="5"/>
  <c r="F5473" i="5"/>
  <c r="E5474" i="5"/>
  <c r="F5474" i="5"/>
  <c r="E5475" i="5"/>
  <c r="F5475" i="5"/>
  <c r="E5476" i="5"/>
  <c r="F5476" i="5"/>
  <c r="E5477" i="5"/>
  <c r="F5477" i="5"/>
  <c r="E5478" i="5"/>
  <c r="F5478" i="5"/>
  <c r="E5479" i="5"/>
  <c r="F5479" i="5"/>
  <c r="E5480" i="5"/>
  <c r="F5480" i="5"/>
  <c r="E5481" i="5"/>
  <c r="F5481" i="5"/>
  <c r="E5482" i="5"/>
  <c r="F5482" i="5"/>
  <c r="E5483" i="5"/>
  <c r="F5483" i="5"/>
  <c r="E5484" i="5"/>
  <c r="F5484" i="5"/>
  <c r="E5485" i="5"/>
  <c r="F5485" i="5"/>
  <c r="E5486" i="5"/>
  <c r="F5486" i="5"/>
  <c r="E5487" i="5"/>
  <c r="F5487" i="5"/>
  <c r="E5488" i="5"/>
  <c r="F5488" i="5"/>
  <c r="E5489" i="5"/>
  <c r="F5489" i="5"/>
  <c r="E5490" i="5"/>
  <c r="F5490" i="5"/>
  <c r="E5491" i="5"/>
  <c r="F5491" i="5"/>
  <c r="E5492" i="5"/>
  <c r="F5492" i="5"/>
  <c r="E5493" i="5"/>
  <c r="F5493" i="5"/>
  <c r="E5494" i="5"/>
  <c r="F5494" i="5"/>
  <c r="E5495" i="5"/>
  <c r="F5495" i="5"/>
  <c r="E5496" i="5"/>
  <c r="F5496" i="5"/>
  <c r="E5497" i="5"/>
  <c r="F5497" i="5"/>
  <c r="E5498" i="5"/>
  <c r="F5498" i="5"/>
  <c r="E5499" i="5"/>
  <c r="F5499" i="5"/>
  <c r="E5500" i="5"/>
  <c r="F5500" i="5"/>
  <c r="E5501" i="5"/>
  <c r="F5501" i="5"/>
  <c r="E5502" i="5"/>
  <c r="F5502" i="5"/>
  <c r="E5503" i="5"/>
  <c r="F5503" i="5"/>
  <c r="E5504" i="5"/>
  <c r="F5504" i="5"/>
  <c r="E5505" i="5"/>
  <c r="F5505" i="5"/>
  <c r="E5506" i="5"/>
  <c r="F5506" i="5"/>
  <c r="E5507" i="5"/>
  <c r="F5507" i="5"/>
  <c r="E5508" i="5"/>
  <c r="F5508" i="5"/>
  <c r="E5509" i="5"/>
  <c r="F5509" i="5"/>
  <c r="E5510" i="5"/>
  <c r="F5510" i="5"/>
  <c r="E5511" i="5"/>
  <c r="F5511" i="5"/>
  <c r="E5512" i="5"/>
  <c r="F5512" i="5"/>
  <c r="E5513" i="5"/>
  <c r="F5513" i="5"/>
  <c r="E5514" i="5"/>
  <c r="F5514" i="5"/>
  <c r="E5515" i="5"/>
  <c r="F5515" i="5"/>
  <c r="E5516" i="5"/>
  <c r="F5516" i="5"/>
  <c r="E5517" i="5"/>
  <c r="F5517" i="5"/>
  <c r="E5518" i="5"/>
  <c r="F5518" i="5"/>
  <c r="E5519" i="5"/>
  <c r="F5519" i="5"/>
  <c r="E5520" i="5"/>
  <c r="F5520" i="5"/>
  <c r="E5521" i="5"/>
  <c r="F5521" i="5"/>
  <c r="E5522" i="5"/>
  <c r="F5522" i="5"/>
  <c r="E5523" i="5"/>
  <c r="F5523" i="5"/>
  <c r="E5524" i="5"/>
  <c r="F5524" i="5"/>
  <c r="E5525" i="5"/>
  <c r="F5525" i="5"/>
  <c r="E5526" i="5"/>
  <c r="F5526" i="5"/>
  <c r="E5527" i="5"/>
  <c r="F5527" i="5"/>
  <c r="E5528" i="5"/>
  <c r="F5528" i="5"/>
  <c r="E5529" i="5"/>
  <c r="F5529" i="5"/>
  <c r="E5530" i="5"/>
  <c r="F5530" i="5"/>
  <c r="E5531" i="5"/>
  <c r="F5531" i="5"/>
  <c r="E5532" i="5"/>
  <c r="F5532" i="5"/>
  <c r="E5533" i="5"/>
  <c r="F5533" i="5"/>
  <c r="E5534" i="5"/>
  <c r="F5534" i="5"/>
  <c r="E5535" i="5"/>
  <c r="F5535" i="5"/>
  <c r="E5536" i="5"/>
  <c r="F5536" i="5"/>
  <c r="E5537" i="5"/>
  <c r="F5537" i="5"/>
  <c r="E5538" i="5"/>
  <c r="F5538" i="5"/>
  <c r="E5539" i="5"/>
  <c r="F5539" i="5"/>
  <c r="E5540" i="5"/>
  <c r="F5540" i="5"/>
  <c r="E5541" i="5"/>
  <c r="F5541" i="5"/>
  <c r="E5542" i="5"/>
  <c r="F5542" i="5"/>
  <c r="E5543" i="5"/>
  <c r="F5543" i="5"/>
  <c r="E5544" i="5"/>
  <c r="F5544" i="5"/>
  <c r="E5545" i="5"/>
  <c r="F5545" i="5"/>
  <c r="E5546" i="5"/>
  <c r="F5546" i="5"/>
  <c r="E5547" i="5"/>
  <c r="F5547" i="5"/>
  <c r="E5548" i="5"/>
  <c r="F5548" i="5"/>
  <c r="E5549" i="5"/>
  <c r="F5549" i="5"/>
  <c r="E5550" i="5"/>
  <c r="F5550" i="5"/>
  <c r="E5551" i="5"/>
  <c r="F5551" i="5"/>
  <c r="E5552" i="5"/>
  <c r="F5552" i="5"/>
  <c r="E5553" i="5"/>
  <c r="F5553" i="5"/>
  <c r="E5554" i="5"/>
  <c r="F5554" i="5"/>
  <c r="E5555" i="5"/>
  <c r="F5555" i="5"/>
  <c r="E5556" i="5"/>
  <c r="F5556" i="5"/>
  <c r="E5557" i="5"/>
  <c r="F5557" i="5"/>
  <c r="E5558" i="5"/>
  <c r="F5558" i="5"/>
  <c r="E5559" i="5"/>
  <c r="F5559" i="5"/>
  <c r="E5560" i="5"/>
  <c r="F5560" i="5"/>
  <c r="E5561" i="5"/>
  <c r="F5561" i="5"/>
  <c r="E5562" i="5"/>
  <c r="F5562" i="5"/>
  <c r="E5563" i="5"/>
  <c r="F5563" i="5"/>
  <c r="E5564" i="5"/>
  <c r="F5564" i="5"/>
  <c r="E5565" i="5"/>
  <c r="F5565" i="5"/>
  <c r="E5566" i="5"/>
  <c r="F5566" i="5"/>
  <c r="E5567" i="5"/>
  <c r="F5567" i="5"/>
  <c r="E5568" i="5"/>
  <c r="F5568" i="5"/>
  <c r="E5569" i="5"/>
  <c r="F5569" i="5"/>
  <c r="E5570" i="5"/>
  <c r="F5570" i="5"/>
  <c r="E5571" i="5"/>
  <c r="F5571" i="5"/>
  <c r="E5572" i="5"/>
  <c r="F5572" i="5"/>
  <c r="E5573" i="5"/>
  <c r="F5573" i="5"/>
  <c r="E5574" i="5"/>
  <c r="F5574" i="5"/>
  <c r="E5575" i="5"/>
  <c r="F5575" i="5"/>
  <c r="E5576" i="5"/>
  <c r="F5576" i="5"/>
  <c r="E5577" i="5"/>
  <c r="F5577" i="5"/>
  <c r="E5578" i="5"/>
  <c r="F5578" i="5"/>
  <c r="E5579" i="5"/>
  <c r="F5579" i="5"/>
  <c r="E5580" i="5"/>
  <c r="F5580" i="5"/>
  <c r="E5581" i="5"/>
  <c r="F5581" i="5"/>
  <c r="E5582" i="5"/>
  <c r="F5582" i="5"/>
  <c r="E5583" i="5"/>
  <c r="F5583" i="5"/>
  <c r="E5584" i="5"/>
  <c r="F5584" i="5"/>
  <c r="E5585" i="5"/>
  <c r="F5585" i="5"/>
  <c r="E5586" i="5"/>
  <c r="F5586" i="5"/>
  <c r="E5587" i="5"/>
  <c r="F5587" i="5"/>
  <c r="E5588" i="5"/>
  <c r="F5588" i="5"/>
  <c r="E5589" i="5"/>
  <c r="F5589" i="5"/>
  <c r="E5590" i="5"/>
  <c r="F5590" i="5"/>
  <c r="E5591" i="5"/>
  <c r="F5591" i="5"/>
  <c r="E5592" i="5"/>
  <c r="F5592" i="5"/>
  <c r="E5593" i="5"/>
  <c r="F5593" i="5"/>
  <c r="E5594" i="5"/>
  <c r="F5594" i="5"/>
  <c r="E5595" i="5"/>
  <c r="F5595" i="5"/>
  <c r="E5596" i="5"/>
  <c r="F5596" i="5"/>
  <c r="E5597" i="5"/>
  <c r="F5597" i="5"/>
  <c r="E5598" i="5"/>
  <c r="F5598" i="5"/>
  <c r="E5599" i="5"/>
  <c r="F5599" i="5"/>
  <c r="E5600" i="5"/>
  <c r="F5600" i="5"/>
  <c r="E5601" i="5"/>
  <c r="F5601" i="5"/>
  <c r="E5602" i="5"/>
  <c r="F5602" i="5"/>
  <c r="E5603" i="5"/>
  <c r="F5603" i="5"/>
  <c r="E5604" i="5"/>
  <c r="F5604" i="5"/>
  <c r="E5605" i="5"/>
  <c r="F5605" i="5"/>
  <c r="E5606" i="5"/>
  <c r="F5606" i="5"/>
  <c r="E5607" i="5"/>
  <c r="F5607" i="5"/>
  <c r="E5608" i="5"/>
  <c r="F5608" i="5"/>
  <c r="E5609" i="5"/>
  <c r="F5609" i="5"/>
  <c r="E5610" i="5"/>
  <c r="F5610" i="5"/>
  <c r="E5611" i="5"/>
  <c r="F5611" i="5"/>
  <c r="E5612" i="5"/>
  <c r="F5612" i="5"/>
  <c r="E5613" i="5"/>
  <c r="F5613" i="5"/>
  <c r="E5614" i="5"/>
  <c r="F5614" i="5"/>
  <c r="E5615" i="5"/>
  <c r="F5615" i="5"/>
  <c r="E5616" i="5"/>
  <c r="F5616" i="5"/>
  <c r="E5617" i="5"/>
  <c r="F5617" i="5"/>
  <c r="E5618" i="5"/>
  <c r="F5618" i="5"/>
  <c r="E5619" i="5"/>
  <c r="F5619" i="5"/>
  <c r="E5620" i="5"/>
  <c r="F5620" i="5"/>
  <c r="E5621" i="5"/>
  <c r="F5621" i="5"/>
  <c r="E5622" i="5"/>
  <c r="F5622" i="5"/>
  <c r="E5623" i="5"/>
  <c r="F5623" i="5"/>
  <c r="E5624" i="5"/>
  <c r="F5624" i="5"/>
  <c r="E5625" i="5"/>
  <c r="F5625" i="5"/>
  <c r="E5626" i="5"/>
  <c r="F5626" i="5"/>
  <c r="E5627" i="5"/>
  <c r="F5627" i="5"/>
  <c r="E5628" i="5"/>
  <c r="F5628" i="5"/>
  <c r="E5629" i="5"/>
  <c r="F5629" i="5"/>
  <c r="E5630" i="5"/>
  <c r="F5630" i="5"/>
  <c r="E5631" i="5"/>
  <c r="F5631" i="5"/>
  <c r="E5632" i="5"/>
  <c r="F5632" i="5"/>
  <c r="E5633" i="5"/>
  <c r="F5633" i="5"/>
  <c r="E5634" i="5"/>
  <c r="F5634" i="5"/>
  <c r="E5635" i="5"/>
  <c r="F5635" i="5"/>
  <c r="E5636" i="5"/>
  <c r="F5636" i="5"/>
  <c r="E5637" i="5"/>
  <c r="F5637" i="5"/>
  <c r="E5638" i="5"/>
  <c r="F5638" i="5"/>
  <c r="E5639" i="5"/>
  <c r="F5639" i="5"/>
  <c r="E5640" i="5"/>
  <c r="F5640" i="5"/>
  <c r="E5641" i="5"/>
  <c r="F5641" i="5"/>
  <c r="E5642" i="5"/>
  <c r="F5642" i="5"/>
  <c r="E5643" i="5"/>
  <c r="F5643" i="5"/>
  <c r="E5644" i="5"/>
  <c r="F5644" i="5"/>
  <c r="E5645" i="5"/>
  <c r="F5645" i="5"/>
  <c r="E5646" i="5"/>
  <c r="F5646" i="5"/>
  <c r="E5647" i="5"/>
  <c r="F5647" i="5"/>
  <c r="E5648" i="5"/>
  <c r="F5648" i="5"/>
  <c r="E5649" i="5"/>
  <c r="F5649" i="5"/>
  <c r="E5650" i="5"/>
  <c r="F5650" i="5"/>
  <c r="E5651" i="5"/>
  <c r="F5651" i="5"/>
  <c r="E5652" i="5"/>
  <c r="F5652" i="5"/>
  <c r="E5653" i="5"/>
  <c r="F5653" i="5"/>
  <c r="E5654" i="5"/>
  <c r="F5654" i="5"/>
  <c r="E5655" i="5"/>
  <c r="F5655" i="5"/>
  <c r="E5656" i="5"/>
  <c r="F5656" i="5"/>
  <c r="E5657" i="5"/>
  <c r="F5657" i="5"/>
  <c r="E5658" i="5"/>
  <c r="F5658" i="5"/>
  <c r="E5659" i="5"/>
  <c r="F5659" i="5"/>
  <c r="E5660" i="5"/>
  <c r="F5660" i="5"/>
  <c r="E5661" i="5"/>
  <c r="F5661" i="5"/>
  <c r="E5662" i="5"/>
  <c r="F5662" i="5"/>
  <c r="E5663" i="5"/>
  <c r="F5663" i="5"/>
  <c r="E5664" i="5"/>
  <c r="F5664" i="5"/>
  <c r="E5665" i="5"/>
  <c r="F5665" i="5"/>
  <c r="E5666" i="5"/>
  <c r="F5666" i="5"/>
  <c r="E5667" i="5"/>
  <c r="F5667" i="5"/>
  <c r="E5668" i="5"/>
  <c r="F5668" i="5"/>
  <c r="E5669" i="5"/>
  <c r="F5669" i="5"/>
  <c r="E5670" i="5"/>
  <c r="F5670" i="5"/>
  <c r="E5671" i="5"/>
  <c r="F5671" i="5"/>
  <c r="E5672" i="5"/>
  <c r="F5672" i="5"/>
  <c r="E5673" i="5"/>
  <c r="F5673" i="5"/>
  <c r="E5674" i="5"/>
  <c r="F5674" i="5"/>
  <c r="E5675" i="5"/>
  <c r="F5675" i="5"/>
  <c r="E5676" i="5"/>
  <c r="F5676" i="5"/>
  <c r="E5677" i="5"/>
  <c r="F5677" i="5"/>
  <c r="E5678" i="5"/>
  <c r="F5678" i="5"/>
  <c r="E5679" i="5"/>
  <c r="F5679" i="5"/>
  <c r="E5680" i="5"/>
  <c r="F5680" i="5"/>
  <c r="E5681" i="5"/>
  <c r="F5681" i="5"/>
  <c r="E5682" i="5"/>
  <c r="F5682" i="5"/>
  <c r="E5683" i="5"/>
  <c r="F5683" i="5"/>
  <c r="E5684" i="5"/>
  <c r="F5684" i="5"/>
  <c r="E5685" i="5"/>
  <c r="F5685" i="5"/>
  <c r="E5686" i="5"/>
  <c r="F5686" i="5"/>
  <c r="E5687" i="5"/>
  <c r="F5687" i="5"/>
  <c r="E5688" i="5"/>
  <c r="F5688" i="5"/>
  <c r="E5689" i="5"/>
  <c r="F5689" i="5"/>
  <c r="E5690" i="5"/>
  <c r="F5690" i="5"/>
  <c r="E5691" i="5"/>
  <c r="F5691" i="5"/>
  <c r="E5692" i="5"/>
  <c r="F5692" i="5"/>
  <c r="E5693" i="5"/>
  <c r="F5693" i="5"/>
  <c r="E5694" i="5"/>
  <c r="F5694" i="5"/>
  <c r="E5695" i="5"/>
  <c r="F5695" i="5"/>
  <c r="E5696" i="5"/>
  <c r="F5696" i="5"/>
  <c r="E5697" i="5"/>
  <c r="F5697" i="5"/>
  <c r="E5698" i="5"/>
  <c r="F5698" i="5"/>
  <c r="E5699" i="5"/>
  <c r="F5699" i="5"/>
  <c r="E5700" i="5"/>
  <c r="F5700" i="5"/>
  <c r="E5701" i="5"/>
  <c r="F5701" i="5"/>
  <c r="E5702" i="5"/>
  <c r="F5702" i="5"/>
  <c r="E5703" i="5"/>
  <c r="F5703" i="5"/>
  <c r="E5704" i="5"/>
  <c r="F5704" i="5"/>
  <c r="E5705" i="5"/>
  <c r="F5705" i="5"/>
  <c r="E5706" i="5"/>
  <c r="F5706" i="5"/>
  <c r="E5707" i="5"/>
  <c r="F5707" i="5"/>
  <c r="E5708" i="5"/>
  <c r="F5708" i="5"/>
  <c r="E5709" i="5"/>
  <c r="F5709" i="5"/>
  <c r="E5710" i="5"/>
  <c r="F5710" i="5"/>
  <c r="E5711" i="5"/>
  <c r="F5711" i="5"/>
  <c r="E5712" i="5"/>
  <c r="F5712" i="5"/>
  <c r="E5713" i="5"/>
  <c r="F5713" i="5"/>
  <c r="E5714" i="5"/>
  <c r="F5714" i="5"/>
  <c r="E5715" i="5"/>
  <c r="F5715" i="5"/>
  <c r="E5716" i="5"/>
  <c r="F5716" i="5"/>
  <c r="E5717" i="5"/>
  <c r="F5717" i="5"/>
  <c r="E5718" i="5"/>
  <c r="F5718" i="5"/>
  <c r="E5719" i="5"/>
  <c r="F5719" i="5"/>
  <c r="E5720" i="5"/>
  <c r="F5720" i="5"/>
  <c r="E5721" i="5"/>
  <c r="F5721" i="5"/>
  <c r="E5722" i="5"/>
  <c r="F5722" i="5"/>
  <c r="E5723" i="5"/>
  <c r="F5723" i="5"/>
  <c r="E5724" i="5"/>
  <c r="F5724" i="5"/>
  <c r="E5725" i="5"/>
  <c r="F5725" i="5"/>
  <c r="E5726" i="5"/>
  <c r="F5726" i="5"/>
  <c r="E5727" i="5"/>
  <c r="F5727" i="5"/>
  <c r="E5728" i="5"/>
  <c r="F5728" i="5"/>
  <c r="E5729" i="5"/>
  <c r="F5729" i="5"/>
  <c r="E5730" i="5"/>
  <c r="F5730" i="5"/>
  <c r="E5731" i="5"/>
  <c r="F5731" i="5"/>
  <c r="E5732" i="5"/>
  <c r="F5732" i="5"/>
  <c r="E5733" i="5"/>
  <c r="F5733" i="5"/>
  <c r="E5734" i="5"/>
  <c r="F5734" i="5"/>
  <c r="E5735" i="5"/>
  <c r="F5735" i="5"/>
  <c r="E5736" i="5"/>
  <c r="F5736" i="5"/>
  <c r="E5737" i="5"/>
  <c r="F5737" i="5"/>
  <c r="E5738" i="5"/>
  <c r="F5738" i="5"/>
  <c r="E5739" i="5"/>
  <c r="F5739" i="5"/>
  <c r="E5740" i="5"/>
  <c r="F5740" i="5"/>
  <c r="E5741" i="5"/>
  <c r="F5741" i="5"/>
  <c r="E5742" i="5"/>
  <c r="F5742" i="5"/>
  <c r="E5743" i="5"/>
  <c r="F5743" i="5"/>
  <c r="E5744" i="5"/>
  <c r="F5744" i="5"/>
  <c r="E5745" i="5"/>
  <c r="F5745" i="5"/>
  <c r="E5746" i="5"/>
  <c r="F5746" i="5"/>
  <c r="E5747" i="5"/>
  <c r="F5747" i="5"/>
  <c r="E5748" i="5"/>
  <c r="F5748" i="5"/>
  <c r="E5749" i="5"/>
  <c r="F5749" i="5"/>
  <c r="E5750" i="5"/>
  <c r="F5750" i="5"/>
  <c r="E5751" i="5"/>
  <c r="F5751" i="5"/>
  <c r="E5752" i="5"/>
  <c r="F5752" i="5"/>
  <c r="E5753" i="5"/>
  <c r="F5753" i="5"/>
  <c r="E5754" i="5"/>
  <c r="F5754" i="5"/>
  <c r="E5755" i="5"/>
  <c r="F5755" i="5"/>
  <c r="E5756" i="5"/>
  <c r="F5756" i="5"/>
  <c r="E5757" i="5"/>
  <c r="F5757" i="5"/>
  <c r="E5758" i="5"/>
  <c r="F5758" i="5"/>
  <c r="E5759" i="5"/>
  <c r="F5759" i="5"/>
  <c r="E5760" i="5"/>
  <c r="F5760" i="5"/>
  <c r="E5761" i="5"/>
  <c r="F5761" i="5"/>
  <c r="E5762" i="5"/>
  <c r="F5762" i="5"/>
  <c r="E5763" i="5"/>
  <c r="F5763" i="5"/>
  <c r="E5764" i="5"/>
  <c r="F5764" i="5"/>
  <c r="E5765" i="5"/>
  <c r="F5765" i="5"/>
  <c r="E5766" i="5"/>
  <c r="F5766" i="5"/>
  <c r="E5767" i="5"/>
  <c r="F5767" i="5"/>
  <c r="E5768" i="5"/>
  <c r="F5768" i="5"/>
  <c r="E5769" i="5"/>
  <c r="F5769" i="5"/>
  <c r="E5770" i="5"/>
  <c r="F5770" i="5"/>
  <c r="E5771" i="5"/>
  <c r="F5771" i="5"/>
  <c r="E5772" i="5"/>
  <c r="F5772" i="5"/>
  <c r="E5773" i="5"/>
  <c r="F5773" i="5"/>
  <c r="E5774" i="5"/>
  <c r="F5774" i="5"/>
  <c r="E5775" i="5"/>
  <c r="F5775" i="5"/>
  <c r="E5776" i="5"/>
  <c r="F5776" i="5"/>
  <c r="E5777" i="5"/>
  <c r="F5777" i="5"/>
  <c r="E5778" i="5"/>
  <c r="F5778" i="5"/>
  <c r="E5779" i="5"/>
  <c r="F5779" i="5"/>
  <c r="E5780" i="5"/>
  <c r="F5780" i="5"/>
  <c r="E5781" i="5"/>
  <c r="F5781" i="5"/>
  <c r="E5782" i="5"/>
  <c r="F5782" i="5"/>
  <c r="E5783" i="5"/>
  <c r="F5783" i="5"/>
  <c r="E5784" i="5"/>
  <c r="F5784" i="5"/>
  <c r="E5785" i="5"/>
  <c r="F5785" i="5"/>
  <c r="E5786" i="5"/>
  <c r="F5786" i="5"/>
  <c r="E5787" i="5"/>
  <c r="F5787" i="5"/>
  <c r="E5788" i="5"/>
  <c r="F5788" i="5"/>
  <c r="E5789" i="5"/>
  <c r="F5789" i="5"/>
  <c r="E5790" i="5"/>
  <c r="F5790" i="5"/>
  <c r="E5791" i="5"/>
  <c r="F5791" i="5"/>
  <c r="E5792" i="5"/>
  <c r="F5792" i="5"/>
  <c r="E5793" i="5"/>
  <c r="F5793" i="5"/>
  <c r="E5794" i="5"/>
  <c r="F5794" i="5"/>
  <c r="E5795" i="5"/>
  <c r="F5795" i="5"/>
  <c r="E5796" i="5"/>
  <c r="F5796" i="5"/>
  <c r="E5797" i="5"/>
  <c r="F5797" i="5"/>
  <c r="E5798" i="5"/>
  <c r="F5798" i="5"/>
  <c r="E5799" i="5"/>
  <c r="F5799" i="5"/>
  <c r="E5800" i="5"/>
  <c r="F5800" i="5"/>
  <c r="E5801" i="5"/>
  <c r="F5801" i="5"/>
  <c r="E5802" i="5"/>
  <c r="F5802" i="5"/>
  <c r="E5803" i="5"/>
  <c r="F5803" i="5"/>
  <c r="E5804" i="5"/>
  <c r="F5804" i="5"/>
  <c r="E5805" i="5"/>
  <c r="F5805" i="5"/>
  <c r="E5806" i="5"/>
  <c r="F5806" i="5"/>
  <c r="E5807" i="5"/>
  <c r="F5807" i="5"/>
  <c r="E5808" i="5"/>
  <c r="F5808" i="5"/>
  <c r="E5809" i="5"/>
  <c r="F5809" i="5"/>
  <c r="E5810" i="5"/>
  <c r="F5810" i="5"/>
  <c r="E5811" i="5"/>
  <c r="F5811" i="5"/>
  <c r="E5812" i="5"/>
  <c r="F5812" i="5"/>
  <c r="E5813" i="5"/>
  <c r="F5813" i="5"/>
  <c r="E5814" i="5"/>
  <c r="F5814" i="5"/>
  <c r="E5815" i="5"/>
  <c r="F5815" i="5"/>
  <c r="E5816" i="5"/>
  <c r="F5816" i="5"/>
  <c r="E5817" i="5"/>
  <c r="F5817" i="5"/>
  <c r="E5818" i="5"/>
  <c r="F5818" i="5"/>
  <c r="E5819" i="5"/>
  <c r="F5819" i="5"/>
  <c r="E5820" i="5"/>
  <c r="F5820" i="5"/>
  <c r="E5821" i="5"/>
  <c r="F5821" i="5"/>
  <c r="E5822" i="5"/>
  <c r="F5822" i="5"/>
  <c r="E5823" i="5"/>
  <c r="F5823" i="5"/>
  <c r="E5824" i="5"/>
  <c r="F5824" i="5"/>
  <c r="E5825" i="5"/>
  <c r="F5825" i="5"/>
  <c r="E5826" i="5"/>
  <c r="F5826" i="5"/>
  <c r="E5827" i="5"/>
  <c r="F5827" i="5"/>
  <c r="E5828" i="5"/>
  <c r="F5828" i="5"/>
  <c r="E5829" i="5"/>
  <c r="F5829" i="5"/>
  <c r="E5830" i="5"/>
  <c r="F5830" i="5"/>
  <c r="E5831" i="5"/>
  <c r="F5831" i="5"/>
  <c r="E5832" i="5"/>
  <c r="F5832" i="5"/>
  <c r="E5833" i="5"/>
  <c r="F5833" i="5"/>
  <c r="E5834" i="5"/>
  <c r="F5834" i="5"/>
  <c r="E5835" i="5"/>
  <c r="F5835" i="5"/>
  <c r="E5836" i="5"/>
  <c r="F5836" i="5"/>
  <c r="E5837" i="5"/>
  <c r="F5837" i="5"/>
  <c r="E5838" i="5"/>
  <c r="F5838" i="5"/>
  <c r="E5839" i="5"/>
  <c r="F5839" i="5"/>
  <c r="E5840" i="5"/>
  <c r="F5840" i="5"/>
  <c r="E5841" i="5"/>
  <c r="F5841" i="5"/>
  <c r="E5842" i="5"/>
  <c r="F5842" i="5"/>
  <c r="E5843" i="5"/>
  <c r="F5843" i="5"/>
  <c r="E5844" i="5"/>
  <c r="F5844" i="5"/>
  <c r="E5845" i="5"/>
  <c r="F5845" i="5"/>
  <c r="E5846" i="5"/>
  <c r="F5846" i="5"/>
  <c r="E5847" i="5"/>
  <c r="F5847" i="5"/>
  <c r="E5848" i="5"/>
  <c r="F5848" i="5"/>
  <c r="E5849" i="5"/>
  <c r="F5849" i="5"/>
  <c r="E5850" i="5"/>
  <c r="F5850" i="5"/>
  <c r="E5851" i="5"/>
  <c r="F5851" i="5"/>
  <c r="E5852" i="5"/>
  <c r="F5852" i="5"/>
  <c r="E5853" i="5"/>
  <c r="F5853" i="5"/>
  <c r="E5854" i="5"/>
  <c r="F5854" i="5"/>
  <c r="E5855" i="5"/>
  <c r="F5855" i="5"/>
  <c r="E5856" i="5"/>
  <c r="F5856" i="5"/>
  <c r="E5857" i="5"/>
  <c r="F5857" i="5"/>
  <c r="E5858" i="5"/>
  <c r="F5858" i="5"/>
  <c r="E5859" i="5"/>
  <c r="F5859" i="5"/>
  <c r="E5860" i="5"/>
  <c r="F5860" i="5"/>
  <c r="E5861" i="5"/>
  <c r="F5861" i="5"/>
  <c r="E5862" i="5"/>
  <c r="F5862" i="5"/>
  <c r="E5863" i="5"/>
  <c r="F5863" i="5"/>
  <c r="E5864" i="5"/>
  <c r="F5864" i="5"/>
  <c r="E5865" i="5"/>
  <c r="F5865" i="5"/>
  <c r="E5866" i="5"/>
  <c r="F5866" i="5"/>
  <c r="E5867" i="5"/>
  <c r="F5867" i="5"/>
  <c r="E5868" i="5"/>
  <c r="F5868" i="5"/>
  <c r="E5869" i="5"/>
  <c r="F5869" i="5"/>
  <c r="E5870" i="5"/>
  <c r="F5870" i="5"/>
  <c r="E5871" i="5"/>
  <c r="F5871" i="5"/>
  <c r="E5872" i="5"/>
  <c r="F5872" i="5"/>
  <c r="E5873" i="5"/>
  <c r="F5873" i="5"/>
  <c r="E5874" i="5"/>
  <c r="F5874" i="5"/>
  <c r="E5875" i="5"/>
  <c r="F5875" i="5"/>
  <c r="E5876" i="5"/>
  <c r="F5876" i="5"/>
  <c r="E5877" i="5"/>
  <c r="F5877" i="5"/>
  <c r="E5878" i="5"/>
  <c r="F5878" i="5"/>
  <c r="E5879" i="5"/>
  <c r="F5879" i="5"/>
  <c r="E5880" i="5"/>
  <c r="F5880" i="5"/>
  <c r="E5881" i="5"/>
  <c r="F5881" i="5"/>
  <c r="E5882" i="5"/>
  <c r="F5882" i="5"/>
  <c r="E5883" i="5"/>
  <c r="F5883" i="5"/>
  <c r="E5884" i="5"/>
  <c r="F5884" i="5"/>
  <c r="E5885" i="5"/>
  <c r="F5885" i="5"/>
  <c r="E5886" i="5"/>
  <c r="F5886" i="5"/>
  <c r="E5887" i="5"/>
  <c r="F5887" i="5"/>
  <c r="E5888" i="5"/>
  <c r="F5888" i="5"/>
  <c r="E5889" i="5"/>
  <c r="F5889" i="5"/>
  <c r="E5890" i="5"/>
  <c r="F5890" i="5"/>
  <c r="E5891" i="5"/>
  <c r="F5891" i="5"/>
  <c r="E5892" i="5"/>
  <c r="F5892" i="5"/>
  <c r="E5893" i="5"/>
  <c r="F5893" i="5"/>
  <c r="E5894" i="5"/>
  <c r="F5894" i="5"/>
  <c r="E5895" i="5"/>
  <c r="F5895" i="5"/>
  <c r="E5896" i="5"/>
  <c r="F5896" i="5"/>
  <c r="E5897" i="5"/>
  <c r="F5897" i="5"/>
  <c r="E5898" i="5"/>
  <c r="F5898" i="5"/>
  <c r="E5899" i="5"/>
  <c r="F5899" i="5"/>
  <c r="E5900" i="5"/>
  <c r="F5900" i="5"/>
  <c r="E5901" i="5"/>
  <c r="F5901" i="5"/>
  <c r="E5902" i="5"/>
  <c r="F5902" i="5"/>
  <c r="E5903" i="5"/>
  <c r="F5903" i="5"/>
  <c r="E5904" i="5"/>
  <c r="F5904" i="5"/>
  <c r="E5905" i="5"/>
  <c r="F5905" i="5"/>
  <c r="E5906" i="5"/>
  <c r="F5906" i="5"/>
  <c r="E5907" i="5"/>
  <c r="F5907" i="5"/>
  <c r="E5908" i="5"/>
  <c r="F5908" i="5"/>
  <c r="E5909" i="5"/>
  <c r="F5909" i="5"/>
  <c r="E5910" i="5"/>
  <c r="F5910" i="5"/>
  <c r="E5911" i="5"/>
  <c r="F5911" i="5"/>
  <c r="E5912" i="5"/>
  <c r="F5912" i="5"/>
  <c r="E5913" i="5"/>
  <c r="F5913" i="5"/>
  <c r="E5914" i="5"/>
  <c r="F5914" i="5"/>
  <c r="E5915" i="5"/>
  <c r="F5915" i="5"/>
  <c r="E5916" i="5"/>
  <c r="F5916" i="5"/>
  <c r="E5917" i="5"/>
  <c r="F5917" i="5"/>
  <c r="E5918" i="5"/>
  <c r="F5918" i="5"/>
  <c r="E5919" i="5"/>
  <c r="F5919" i="5"/>
  <c r="E5920" i="5"/>
  <c r="F5920" i="5"/>
  <c r="E5921" i="5"/>
  <c r="F5921" i="5"/>
  <c r="E5922" i="5"/>
  <c r="F5922" i="5"/>
  <c r="E5923" i="5"/>
  <c r="F5923" i="5"/>
  <c r="E5924" i="5"/>
  <c r="F5924" i="5"/>
  <c r="E5925" i="5"/>
  <c r="F5925" i="5"/>
  <c r="E5926" i="5"/>
  <c r="F5926" i="5"/>
  <c r="E5927" i="5"/>
  <c r="F5927" i="5"/>
  <c r="E5928" i="5"/>
  <c r="F5928" i="5"/>
  <c r="E5929" i="5"/>
  <c r="F5929" i="5"/>
  <c r="E5930" i="5"/>
  <c r="F5930" i="5"/>
  <c r="E5931" i="5"/>
  <c r="F5931" i="5"/>
  <c r="E5932" i="5"/>
  <c r="F5932" i="5"/>
  <c r="E5933" i="5"/>
  <c r="F5933" i="5"/>
  <c r="E5934" i="5"/>
  <c r="F5934" i="5"/>
  <c r="E5935" i="5"/>
  <c r="F5935" i="5"/>
  <c r="E5936" i="5"/>
  <c r="F5936" i="5"/>
  <c r="E5937" i="5"/>
  <c r="F5937" i="5"/>
  <c r="E5938" i="5"/>
  <c r="F5938" i="5"/>
  <c r="E5939" i="5"/>
  <c r="F5939" i="5"/>
  <c r="E5940" i="5"/>
  <c r="F5940" i="5"/>
  <c r="E5941" i="5"/>
  <c r="F5941" i="5"/>
  <c r="E5942" i="5"/>
  <c r="F5942" i="5"/>
  <c r="E5943" i="5"/>
  <c r="F5943" i="5"/>
  <c r="E5944" i="5"/>
  <c r="F5944" i="5"/>
  <c r="E5945" i="5"/>
  <c r="F5945" i="5"/>
  <c r="E5946" i="5"/>
  <c r="F5946" i="5"/>
  <c r="E5947" i="5"/>
  <c r="F5947" i="5"/>
  <c r="E5948" i="5"/>
  <c r="F5948" i="5"/>
  <c r="E5949" i="5"/>
  <c r="F5949" i="5"/>
  <c r="E5950" i="5"/>
  <c r="F5950" i="5"/>
  <c r="E5951" i="5"/>
  <c r="F5951" i="5"/>
  <c r="E5952" i="5"/>
  <c r="F5952" i="5"/>
  <c r="E5953" i="5"/>
  <c r="F5953" i="5"/>
  <c r="E5954" i="5"/>
  <c r="F5954" i="5"/>
  <c r="E5955" i="5"/>
  <c r="F5955" i="5"/>
  <c r="E5956" i="5"/>
  <c r="F5956" i="5"/>
  <c r="E5957" i="5"/>
  <c r="F5957" i="5"/>
  <c r="E5958" i="5"/>
  <c r="F5958" i="5"/>
  <c r="E5959" i="5"/>
  <c r="F5959" i="5"/>
  <c r="E5960" i="5"/>
  <c r="F5960" i="5"/>
  <c r="E5961" i="5"/>
  <c r="F5961" i="5"/>
  <c r="E5962" i="5"/>
  <c r="F5962" i="5"/>
  <c r="E5963" i="5"/>
  <c r="F5963" i="5"/>
  <c r="E5964" i="5"/>
  <c r="F5964" i="5"/>
  <c r="E5965" i="5"/>
  <c r="F5965" i="5"/>
  <c r="E5966" i="5"/>
  <c r="F5966" i="5"/>
  <c r="E5967" i="5"/>
  <c r="F5967" i="5"/>
  <c r="E5968" i="5"/>
  <c r="F5968" i="5"/>
  <c r="E5969" i="5"/>
  <c r="F5969" i="5"/>
  <c r="E5970" i="5"/>
  <c r="F5970" i="5"/>
  <c r="E5971" i="5"/>
  <c r="F5971" i="5"/>
  <c r="E5972" i="5"/>
  <c r="F5972" i="5"/>
  <c r="E5973" i="5"/>
  <c r="F5973" i="5"/>
  <c r="E5974" i="5"/>
  <c r="F5974" i="5"/>
  <c r="E5975" i="5"/>
  <c r="F5975" i="5"/>
  <c r="E5976" i="5"/>
  <c r="F5976" i="5"/>
  <c r="E5977" i="5"/>
  <c r="F5977" i="5"/>
  <c r="E5978" i="5"/>
  <c r="F5978" i="5"/>
  <c r="E5979" i="5"/>
  <c r="F5979" i="5"/>
  <c r="E5980" i="5"/>
  <c r="F5980" i="5"/>
  <c r="E5981" i="5"/>
  <c r="F5981" i="5"/>
  <c r="E5982" i="5"/>
  <c r="F5982" i="5"/>
  <c r="E5983" i="5"/>
  <c r="F5983" i="5"/>
  <c r="E5984" i="5"/>
  <c r="F5984" i="5"/>
  <c r="E5985" i="5"/>
  <c r="F5985" i="5"/>
  <c r="E5986" i="5"/>
  <c r="F5986" i="5"/>
  <c r="E5987" i="5"/>
  <c r="F5987" i="5"/>
  <c r="E5988" i="5"/>
  <c r="F5988" i="5"/>
  <c r="E5989" i="5"/>
  <c r="F5989" i="5"/>
  <c r="E5990" i="5"/>
  <c r="F5990" i="5"/>
  <c r="E5991" i="5"/>
  <c r="F5991" i="5"/>
  <c r="E5992" i="5"/>
  <c r="F5992" i="5"/>
  <c r="E5993" i="5"/>
  <c r="F5993" i="5"/>
  <c r="E5994" i="5"/>
  <c r="F5994" i="5"/>
  <c r="E5995" i="5"/>
  <c r="F5995" i="5"/>
  <c r="E5996" i="5"/>
  <c r="F5996" i="5"/>
  <c r="E5997" i="5"/>
  <c r="F5997" i="5"/>
  <c r="E5998" i="5"/>
  <c r="F5998" i="5"/>
  <c r="E5999" i="5"/>
  <c r="F5999" i="5"/>
  <c r="E6000" i="5"/>
  <c r="F6000" i="5"/>
  <c r="Q65" i="5" l="1"/>
  <c r="Q66" i="5"/>
  <c r="Q67" i="5"/>
  <c r="Q68" i="5"/>
  <c r="Q69" i="5"/>
  <c r="Q70" i="5"/>
  <c r="Q71" i="5"/>
  <c r="Q72" i="5"/>
  <c r="Q73" i="5"/>
  <c r="Q74" i="5"/>
  <c r="Q75" i="5"/>
  <c r="Q76" i="5"/>
  <c r="H3" i="5" l="1"/>
  <c r="F1" i="5" l="1"/>
  <c r="D1" i="5" l="1"/>
  <c r="C1" i="5"/>
  <c r="B1" i="5"/>
  <c r="A1" i="5"/>
  <c r="N1" i="5"/>
  <c r="M1" i="5"/>
  <c r="L1" i="5"/>
  <c r="K1" i="5"/>
  <c r="E1" i="5"/>
  <c r="I1" i="5"/>
</calcChain>
</file>

<file path=xl/connections.xml><?xml version="1.0" encoding="utf-8"?>
<connections xmlns="http://schemas.openxmlformats.org/spreadsheetml/2006/main">
  <connection id="1" name="GlobalExtract" type="1" refreshedVersion="6" background="1" saveData="1">
    <dbPr connection="DSN=MS Access Database;DBQ=Q:\Global Range Plan\Global Range Plan Database\Global and Regional DB Superset\AllInOne_GLOBAL.accdb;DefaultDir=Q:\Global Range Plan\Global Range Plan Database\Global and Regional DB Superset;DriverId=25;FIL=MS Access;MaxBufferSize=2048;PageTimeout=5;" command="SELECT qryAttributeSheet_NewFlowWithDescriptors.*_x000d__x000a_FROM qryAttributeSheet_NewFlowWithDescriptors_x000d__x000a_WHERE (((qryAttributeSheet_NewFlowWithDescriptors.PlanYrQtr)=[?]));"/>
    <parameters count="1">
      <parameter name="Parameter1" parameterType="cell" cell="'Control '!$D$8"/>
    </parameters>
  </connection>
  <connection id="2" name="Query tblPlanYrQtrs" type="1" refreshedVersion="6" background="1" refreshOnLoad="1" saveData="1">
    <dbPr connection="DSN=MS Access Database;DBQ=Q:\Global Range Plan\Global Range Plan Database\Global and Regional DB Superset\AllInOne_GLOBAL.accdb;DefaultDir=Q:\Global Range Plan\Global Range Plan Database\Global and Regional DB Superset;DriverId=25;FIL=MS Access;MaxBufferSize=2048;PageTimeout=5;" command="SELECT tblGlobalPlanMaster.PlanYrQtr_x000d__x000a_FROM tblGlobalPlanMaster tblGlobalPlanMaster_x000d__x000a_WHERE (tblGlobalPlanMaster.PlanYear)&gt;=Year(Now())_x000d__x000a__x000d__x000a_GROUP BY tblGlobalPlanMaster.PlanYrQtr"/>
  </connection>
  <connection id="3" name="Query tblPRR_BUContacts" type="1" refreshedVersion="6" background="1" saveData="1">
    <dbPr connection="DSN=MS Access Database;DBQ=Q:\Global Range Plan\Global Range Plan Database\Global and Regional DB Superset\AllInOne_GLOBAL.accdb;DefaultDir=Q:\Global Range Plan\Global Range Plan Database\Global and Regional DB Superset;DriverId=25;FIL=MS Access;MaxBufferSize=2048;PageTimeout=5;" command="SELECT tblPRR_BUContacts.PD_Designer, tblPRR_BUContacts.[Business Unit Contact], tblPRR_BUContacts.[Alternate BU Contacts]  FROM tblPRR_BUContacts  WHERE (((tblPRR_BUContacts.PD_Designer) Is Not Null));"/>
  </connection>
</connections>
</file>

<file path=xl/sharedStrings.xml><?xml version="1.0" encoding="utf-8"?>
<sst xmlns="http://schemas.openxmlformats.org/spreadsheetml/2006/main" count="26519" uniqueCount="1539">
  <si>
    <t>Required</t>
  </si>
  <si>
    <t>Plan Year Quarter:</t>
  </si>
  <si>
    <t>WHOLESALE ATTRIBUTE SHEET</t>
  </si>
  <si>
    <t>PD_Designer</t>
  </si>
  <si>
    <t>Business Unit Contact</t>
  </si>
  <si>
    <t>Alternate BU Contacts</t>
  </si>
  <si>
    <t>PlanYrQtr</t>
  </si>
  <si>
    <t>Aderonke Fletcher</t>
  </si>
  <si>
    <t>Aderonke.fletcher@disney.com</t>
  </si>
  <si>
    <t>Adrienne Nichols</t>
  </si>
  <si>
    <t>Adrienne.nichols@disney.com</t>
  </si>
  <si>
    <t>Allison Rodrigues</t>
  </si>
  <si>
    <t>Allison.Rodrigues@disney.com</t>
  </si>
  <si>
    <t>Annie Bartley</t>
  </si>
  <si>
    <t>Annie.Bartley.com</t>
  </si>
  <si>
    <t>April Worpell</t>
  </si>
  <si>
    <t>April.L.Worpell@disney.com</t>
  </si>
  <si>
    <t>Billy Nagle</t>
  </si>
  <si>
    <t>William.j.Nagle@disney.com                                 </t>
  </si>
  <si>
    <t>Lisa.m.Osgood-Perez@disney.com</t>
  </si>
  <si>
    <t>Chris Bach</t>
  </si>
  <si>
    <t>Christopher.M.Bach@disney.com</t>
  </si>
  <si>
    <t>Michele.D.Cazian@disney.com</t>
  </si>
  <si>
    <t>Christina Bonet</t>
  </si>
  <si>
    <t>Christina.Bonet@disney.com</t>
  </si>
  <si>
    <t>Kim.Sammons@disney.com; Rhonda.Levine@disney.com</t>
  </si>
  <si>
    <t>Claire French</t>
  </si>
  <si>
    <t>Claire.I.French@disney.com</t>
  </si>
  <si>
    <t>Samantha.Lee@disney.com</t>
  </si>
  <si>
    <t>Courtney Price</t>
  </si>
  <si>
    <t>Courtney.Price@disney.com</t>
  </si>
  <si>
    <t>Dale Buys</t>
  </si>
  <si>
    <t>Dale.Buys@disney.com</t>
  </si>
  <si>
    <t>Eileen Risco</t>
  </si>
  <si>
    <t>Eileen.risco@disney.com                                     </t>
  </si>
  <si>
    <t>Steven.hegedus@disney.com</t>
  </si>
  <si>
    <t>Erin Harries</t>
  </si>
  <si>
    <t>Erin.e.Harries@disney.com                                   </t>
  </si>
  <si>
    <t>Heather Mcclure</t>
  </si>
  <si>
    <t>Heather.Mcclure@disney.com</t>
  </si>
  <si>
    <t>Jaison Sim</t>
  </si>
  <si>
    <t>Jaison.Sim@disney.com</t>
  </si>
  <si>
    <t>Miranda.Lee@disney.com</t>
  </si>
  <si>
    <t>Jane Jessee</t>
  </si>
  <si>
    <t>Jane.A.Jessee@disney.com</t>
  </si>
  <si>
    <t>Rhonda.Levine@disney.com</t>
  </si>
  <si>
    <t>Jenny Doi</t>
  </si>
  <si>
    <t>JenniferAnn.N.Doi@disney.com</t>
  </si>
  <si>
    <t>Jojo Ongaco</t>
  </si>
  <si>
    <t>Jojo.Ongaco@disney.com</t>
  </si>
  <si>
    <t>Kim Sammons</t>
  </si>
  <si>
    <t>Kim.Sammons@disney.com</t>
  </si>
  <si>
    <t>Christina.Bonet@disney.com; Rhonda.Levine@disney.com</t>
  </si>
  <si>
    <t>Kristin Bartzokis</t>
  </si>
  <si>
    <t>Kristin.L.Bartzokis@disney.com</t>
  </si>
  <si>
    <t>Leanne Capobianco</t>
  </si>
  <si>
    <t>Leanne.J.Capobianco@disney.com</t>
  </si>
  <si>
    <t>Leslie Wolf</t>
  </si>
  <si>
    <t>Leslie.A.Wolf@disney.com</t>
  </si>
  <si>
    <t>Lisa Osgood-Perez</t>
  </si>
  <si>
    <t>Lisa.M.Osgood-Perez@disney.com</t>
  </si>
  <si>
    <t>Megan Goheen</t>
  </si>
  <si>
    <t>Megan.E.Goheen@disney.com</t>
  </si>
  <si>
    <t>Michele Cazian</t>
  </si>
  <si>
    <t>Christopher.M.Bach@disney.com; Leanne.J.Capobianco@disney.com</t>
  </si>
  <si>
    <t>Miranda Lee</t>
  </si>
  <si>
    <t>Miranda.Lee@Disney.com</t>
  </si>
  <si>
    <t>Nancy Ashman</t>
  </si>
  <si>
    <t>Nancy.L.Ashman@disney.com</t>
  </si>
  <si>
    <t>Natalie Yancey</t>
  </si>
  <si>
    <t>Natalie.Yancey@disney.com</t>
  </si>
  <si>
    <t>Natasha Warren</t>
  </si>
  <si>
    <t>Natasha.R.Warren@disney.com</t>
  </si>
  <si>
    <t>Rhonda Levine</t>
  </si>
  <si>
    <t>Christina.Bonet@disney.com; Wanda.L.Hogan@disney.com</t>
  </si>
  <si>
    <t>Robert Chen</t>
  </si>
  <si>
    <t>robert.chen@disney.com</t>
  </si>
  <si>
    <t>Heather.McClure@disney.com</t>
  </si>
  <si>
    <t>Sal Solis</t>
  </si>
  <si>
    <t>Sal.X.Solis@disney.com</t>
  </si>
  <si>
    <t>Samantha Lee</t>
  </si>
  <si>
    <t>Steve Hegedus</t>
  </si>
  <si>
    <t>Steve.Hegedus@disney.com</t>
  </si>
  <si>
    <t>Susie Carrillo</t>
  </si>
  <si>
    <t>Susan.M.Carrillo@disney.com</t>
  </si>
  <si>
    <t>Tenis Kopansky</t>
  </si>
  <si>
    <t>Tenis.kopansky@disney.com</t>
  </si>
  <si>
    <t>Tiffany Meisel</t>
  </si>
  <si>
    <t>Tiffany.Meisel@disney.com</t>
  </si>
  <si>
    <t>Timm Lundeen</t>
  </si>
  <si>
    <t>Timm.Lundeen@disney.com</t>
  </si>
  <si>
    <t>Veronica Straub</t>
  </si>
  <si>
    <t>Veronica.N.Straug@disney.com</t>
  </si>
  <si>
    <t>Wanda Hogan</t>
  </si>
  <si>
    <t>Wanda.L.Hogan@disney.com</t>
  </si>
  <si>
    <t>Winnie Tsang</t>
  </si>
  <si>
    <t>Winnie.Tsang@disney.com</t>
  </si>
  <si>
    <t>Class Name</t>
  </si>
  <si>
    <t>Subclass Name</t>
  </si>
  <si>
    <t>Vendor #</t>
  </si>
  <si>
    <t>Vendor Name</t>
  </si>
  <si>
    <t>GRC</t>
  </si>
  <si>
    <t>ProductName</t>
  </si>
  <si>
    <t>VendorName</t>
  </si>
  <si>
    <t>TAR</t>
  </si>
  <si>
    <t>TAA</t>
  </si>
  <si>
    <t>LVP</t>
  </si>
  <si>
    <t>ALS</t>
  </si>
  <si>
    <t>OTHER ACCESSORIES</t>
  </si>
  <si>
    <t>OTHER HOME</t>
  </si>
  <si>
    <t>DINNERWARE</t>
  </si>
  <si>
    <t>BAGS</t>
  </si>
  <si>
    <t>UNDERWEAR</t>
  </si>
  <si>
    <t>FOOTWEAR</t>
  </si>
  <si>
    <t>BABY ACCESSORIES</t>
  </si>
  <si>
    <t>STATIONERY</t>
  </si>
  <si>
    <t>DRINKWARE</t>
  </si>
  <si>
    <t>HOME DECOR</t>
  </si>
  <si>
    <t>SEASONAL HOME</t>
  </si>
  <si>
    <t>ADULT TREND</t>
  </si>
  <si>
    <t>CORE ADULT GRAPHICS</t>
  </si>
  <si>
    <t>CORE ADULT APPAREL</t>
  </si>
  <si>
    <t>CORE ADULT SLEEP</t>
  </si>
  <si>
    <t>CORE KIDS GRAPHICS</t>
  </si>
  <si>
    <t>MEDIUM PLUSH</t>
  </si>
  <si>
    <t>PINS</t>
  </si>
  <si>
    <t>BOYS TOYS</t>
  </si>
  <si>
    <t>GIRLS TOYS</t>
  </si>
  <si>
    <t>OTHER PLUSH</t>
  </si>
  <si>
    <t>LARGE PLUSH</t>
  </si>
  <si>
    <t>SMALL PLUSH</t>
  </si>
  <si>
    <t>MBBs</t>
  </si>
  <si>
    <t>ADULT COSTUMES</t>
  </si>
  <si>
    <t>TOWELS</t>
  </si>
  <si>
    <t>OUTLET ADULT GRAPHICS</t>
  </si>
  <si>
    <t>GIRLS OUTERWEAR</t>
  </si>
  <si>
    <t>BOYS OUTERWEAR</t>
  </si>
  <si>
    <t>GIRLS FLEECE</t>
  </si>
  <si>
    <t>GIRLS TOPS</t>
  </si>
  <si>
    <t>GIRLS BOTTOMS</t>
  </si>
  <si>
    <t>GIRLS APPAREL SETS</t>
  </si>
  <si>
    <t>GIRLS DRESSES</t>
  </si>
  <si>
    <t>BOYS FLEECE</t>
  </si>
  <si>
    <t>BOYS BOTTOMS</t>
  </si>
  <si>
    <t>BOYS PJ PALS</t>
  </si>
  <si>
    <t>GIRLS PJ PALS</t>
  </si>
  <si>
    <t>GOWNS</t>
  </si>
  <si>
    <t>SETS</t>
  </si>
  <si>
    <t>ROBES</t>
  </si>
  <si>
    <t>DELUXE SWIM</t>
  </si>
  <si>
    <t>1 PIECE</t>
  </si>
  <si>
    <t>COVERUPS</t>
  </si>
  <si>
    <t>2 PIECE</t>
  </si>
  <si>
    <t>TRUNKS</t>
  </si>
  <si>
    <t>RASH GUARDS</t>
  </si>
  <si>
    <t>OUTLET KIDS GRAPHICS</t>
  </si>
  <si>
    <t>BABY APPAREL</t>
  </si>
  <si>
    <t>BABY GIFT</t>
  </si>
  <si>
    <t>BABY TOYS</t>
  </si>
  <si>
    <t>GIFTS / COLLECTIBLES</t>
  </si>
  <si>
    <t>Line</t>
  </si>
  <si>
    <t>Accessories</t>
  </si>
  <si>
    <t>Hardlines</t>
  </si>
  <si>
    <t>Softlines</t>
  </si>
  <si>
    <t>Dept</t>
  </si>
  <si>
    <t>Class</t>
  </si>
  <si>
    <t>OTHER TOYS</t>
  </si>
  <si>
    <t>SEASONAL PLUSH</t>
  </si>
  <si>
    <t>GIANT / JUMBO PLUSH</t>
  </si>
  <si>
    <t>TOYS CITY SPECIFIC</t>
  </si>
  <si>
    <t>PLUSH DOLLS</t>
  </si>
  <si>
    <t>GIRLS COSTUMES</t>
  </si>
  <si>
    <t>COSTUME ACCESSORIES</t>
  </si>
  <si>
    <t>BABY COSTUMES</t>
  </si>
  <si>
    <t>BOYS COSTUMES</t>
  </si>
  <si>
    <t>ACCESSORIES CITY SPECIFIC</t>
  </si>
  <si>
    <t>WARMWEAR</t>
  </si>
  <si>
    <t>ADULT CITY SPECIFIC</t>
  </si>
  <si>
    <t>Soft</t>
  </si>
  <si>
    <t>BOYS TOPS</t>
  </si>
  <si>
    <t>BOYS APPAREL OTHER</t>
  </si>
  <si>
    <t>GIRLS APPAREL OTHER</t>
  </si>
  <si>
    <t>NIGHTSHIRTS</t>
  </si>
  <si>
    <t>OUTLET ADULT SLEEP</t>
  </si>
  <si>
    <t>OTHER SLEEPWEAR</t>
  </si>
  <si>
    <t>KIDS CITY SPECIFIC</t>
  </si>
  <si>
    <t>BABY HOME</t>
  </si>
  <si>
    <t>GIFT BOXES</t>
  </si>
  <si>
    <t>GIFT BAGS</t>
  </si>
  <si>
    <t>HOME CITY SPECIFIC</t>
  </si>
  <si>
    <t>SCHOOL SUPPLIES</t>
  </si>
  <si>
    <t>PARKS ONLY-SPECIAL</t>
  </si>
  <si>
    <t>Role Play</t>
  </si>
  <si>
    <t>GRC_GlobalCode</t>
  </si>
  <si>
    <t>Class_Name</t>
  </si>
  <si>
    <t>SubClass_Name</t>
  </si>
  <si>
    <t>VendorID</t>
  </si>
  <si>
    <t>Size1</t>
  </si>
  <si>
    <t>Size2</t>
  </si>
  <si>
    <t>Size3</t>
  </si>
  <si>
    <t>Size4</t>
  </si>
  <si>
    <t>Size5</t>
  </si>
  <si>
    <t>Size6</t>
  </si>
  <si>
    <t>Size7</t>
  </si>
  <si>
    <t>Size8</t>
  </si>
  <si>
    <t>Size9</t>
  </si>
  <si>
    <t>Size10</t>
  </si>
  <si>
    <t>001Q322U007</t>
  </si>
  <si>
    <t>New</t>
  </si>
  <si>
    <t>Product Name</t>
  </si>
  <si>
    <t>Sourcing Contact</t>
  </si>
  <si>
    <t>PD Designer</t>
  </si>
  <si>
    <t>DepartmentNumber</t>
  </si>
  <si>
    <t>SortOrder</t>
  </si>
  <si>
    <t>Size11</t>
  </si>
  <si>
    <t>Simone Scharf</t>
  </si>
  <si>
    <t>Simone.Scharf@Disney.com</t>
  </si>
  <si>
    <t>Flow</t>
  </si>
  <si>
    <t/>
  </si>
  <si>
    <t>HOME</t>
  </si>
  <si>
    <t>OTHER HOME ACC</t>
  </si>
  <si>
    <t>BOYS CORE TOYS</t>
  </si>
  <si>
    <t>One Size - 2001</t>
  </si>
  <si>
    <t>ACCESSORIES</t>
  </si>
  <si>
    <t>BACKPACKS</t>
  </si>
  <si>
    <t>KIDS OTHER ACCESSORIES</t>
  </si>
  <si>
    <t>0</t>
  </si>
  <si>
    <t>OTHER DRINKWARE</t>
  </si>
  <si>
    <t xml:space="preserve">CHENGTEH CHINAWARE </t>
  </si>
  <si>
    <t>C &amp; M COMPANY</t>
  </si>
  <si>
    <t xml:space="preserve">STOR, S.L. </t>
  </si>
  <si>
    <t>APPAREL</t>
  </si>
  <si>
    <t>ADULT APPAREL</t>
  </si>
  <si>
    <t>MENS S - 0121</t>
  </si>
  <si>
    <t>MENS M - 0122</t>
  </si>
  <si>
    <t>MENS L - 0123</t>
  </si>
  <si>
    <t>MENS XL - 0124</t>
  </si>
  <si>
    <t>MENS XXL - 0125</t>
  </si>
  <si>
    <t>GIRLS APPAREL</t>
  </si>
  <si>
    <t>XS (4) - 0111</t>
  </si>
  <si>
    <t>S (5/6) - 0112</t>
  </si>
  <si>
    <t>M (7/8) - 0114</t>
  </si>
  <si>
    <t>L (10/12) - 0115</t>
  </si>
  <si>
    <t>XL (14) - 0117</t>
  </si>
  <si>
    <t>3 - 0161</t>
  </si>
  <si>
    <t>4 - 0162</t>
  </si>
  <si>
    <t>5/6 - 0211</t>
  </si>
  <si>
    <t>7/8 - 0212</t>
  </si>
  <si>
    <t>9/10 - 0216</t>
  </si>
  <si>
    <t>11/12 - 1005</t>
  </si>
  <si>
    <t>13 - 1006</t>
  </si>
  <si>
    <t>GIRL CORE TOYS</t>
  </si>
  <si>
    <t>BOY CORE TOYS</t>
  </si>
  <si>
    <t>No Size - 0000</t>
  </si>
  <si>
    <t>PLUSH</t>
  </si>
  <si>
    <t>MED CHARACTER PLUSH</t>
  </si>
  <si>
    <t>ACE NOVELTY CO LTD</t>
  </si>
  <si>
    <t>LARGE CHARACTER PLUSH</t>
  </si>
  <si>
    <t xml:space="preserve">SNAP GLOBAL SOLUTIONS </t>
  </si>
  <si>
    <t>COSTUMES</t>
  </si>
  <si>
    <t>KIDS COSTUMES</t>
  </si>
  <si>
    <t>LUNCH TOTES</t>
  </si>
  <si>
    <t>MENS APPAREL</t>
  </si>
  <si>
    <t>Uni S - 0202</t>
  </si>
  <si>
    <t>Uni M - 0203</t>
  </si>
  <si>
    <t>Uni L - 0204</t>
  </si>
  <si>
    <t>Uni XL - 0205</t>
  </si>
  <si>
    <t>Uni XXL - 0206</t>
  </si>
  <si>
    <t>BOYS APPAREL</t>
  </si>
  <si>
    <t>SLEEPWEAR</t>
  </si>
  <si>
    <t>KIDS 2PC COTTON PAJAMA</t>
  </si>
  <si>
    <t>5 - 0163</t>
  </si>
  <si>
    <t>6 - 0164</t>
  </si>
  <si>
    <t>7 - 0165</t>
  </si>
  <si>
    <t>8 - 0166</t>
  </si>
  <si>
    <t>10 - 0167</t>
  </si>
  <si>
    <t>KIDS GRAPHIC TEES</t>
  </si>
  <si>
    <t>3-6mo - 0151</t>
  </si>
  <si>
    <t>6-9mo - 0152</t>
  </si>
  <si>
    <t>9-12mo - 0345</t>
  </si>
  <si>
    <t>12-18mo - 0352</t>
  </si>
  <si>
    <t>18-24mo - 0354</t>
  </si>
  <si>
    <t>Stephanie Ayala</t>
  </si>
  <si>
    <t>Stephanie.D.Ayala@disney.com</t>
  </si>
  <si>
    <t>Doug Catanzaro</t>
  </si>
  <si>
    <t>doug.catanzaro@disney.com</t>
  </si>
  <si>
    <t>Matthew Sturniolo</t>
  </si>
  <si>
    <t>matthew.sturniolo@disney.com</t>
  </si>
  <si>
    <t>Ponpay Bounsengxay</t>
  </si>
  <si>
    <t>ponpay@bounsengxay@disney.com</t>
  </si>
  <si>
    <t>Mens 3XL - 0126</t>
  </si>
  <si>
    <t>DREAM INTERNATIONAL USA INC</t>
  </si>
  <si>
    <t>ADULT OTHER ACCESSORIES</t>
  </si>
  <si>
    <t>Size</t>
  </si>
  <si>
    <t>Apparel</t>
  </si>
  <si>
    <t>Category</t>
  </si>
  <si>
    <t>Item Type</t>
  </si>
  <si>
    <t>Bags_and_Luggage</t>
  </si>
  <si>
    <t>Cooking_Apron</t>
  </si>
  <si>
    <t>Eyewear</t>
  </si>
  <si>
    <t>Footwear</t>
  </si>
  <si>
    <t>Headwear</t>
  </si>
  <si>
    <t>Jewelry</t>
  </si>
  <si>
    <t>Lunch_Totes</t>
  </si>
  <si>
    <t>Pet</t>
  </si>
  <si>
    <t>Pins_and_Charms</t>
  </si>
  <si>
    <t>Socks</t>
  </si>
  <si>
    <t>Towels</t>
  </si>
  <si>
    <t>Umbrella</t>
  </si>
  <si>
    <t>Outerwear_Top</t>
  </si>
  <si>
    <t>Dress_Bottom</t>
  </si>
  <si>
    <t>Sets</t>
  </si>
  <si>
    <t>Swimwear</t>
  </si>
  <si>
    <t>Cuddleez</t>
  </si>
  <si>
    <t>Dolls_and_Figures</t>
  </si>
  <si>
    <t>Drinkware</t>
  </si>
  <si>
    <t>Home</t>
  </si>
  <si>
    <t>Playing_House_Toys</t>
  </si>
  <si>
    <t>Plush</t>
  </si>
  <si>
    <t>Seasonal</t>
  </si>
  <si>
    <t>Stationery</t>
  </si>
  <si>
    <t>Tabletop</t>
  </si>
  <si>
    <t>Toys</t>
  </si>
  <si>
    <t>Water_and_Pool_Toys</t>
  </si>
  <si>
    <t>Accessory</t>
  </si>
  <si>
    <t>BACKPACK</t>
  </si>
  <si>
    <t>Cooking Apron</t>
  </si>
  <si>
    <t>EYEWEAR</t>
  </si>
  <si>
    <t>BALLET FLATS</t>
  </si>
  <si>
    <t>HAT</t>
  </si>
  <si>
    <t>JEWELRY SETS</t>
  </si>
  <si>
    <t>PET BEDS</t>
  </si>
  <si>
    <t>BAG ACCESSORIES</t>
  </si>
  <si>
    <t>CASUAL SOCKS</t>
  </si>
  <si>
    <t>BEACH TOWELS</t>
  </si>
  <si>
    <t>UMBRELLA</t>
  </si>
  <si>
    <t>HANDBAG</t>
  </si>
  <si>
    <t>FASHION BOOTS</t>
  </si>
  <si>
    <t>HEADBANDS</t>
  </si>
  <si>
    <t xml:space="preserve">PET BOWL </t>
  </si>
  <si>
    <t>LUGGAGE</t>
  </si>
  <si>
    <t>LOAFER SLIPPER</t>
  </si>
  <si>
    <t>PET COLLAR</t>
  </si>
  <si>
    <t>PINS AND CLIPS</t>
  </si>
  <si>
    <t>WALLETS AND ID HOLDER</t>
  </si>
  <si>
    <t>MARY JANE SHOES</t>
  </si>
  <si>
    <t>PET TOY</t>
  </si>
  <si>
    <t>SLIDE SANDALS</t>
  </si>
  <si>
    <t>SNEAKERS</t>
  </si>
  <si>
    <t>Coats and Jackets</t>
  </si>
  <si>
    <t>Dresses</t>
  </si>
  <si>
    <t>Top and Bottom Sets</t>
  </si>
  <si>
    <t>Coverups</t>
  </si>
  <si>
    <t>Sweatshirts</t>
  </si>
  <si>
    <t>Child Bodysuit</t>
  </si>
  <si>
    <t>Shirt Sets</t>
  </si>
  <si>
    <t>One Piece Swimsuits</t>
  </si>
  <si>
    <t>Button Down Shirts</t>
  </si>
  <si>
    <t>Fashion Pants</t>
  </si>
  <si>
    <t>Apparel Accessories Sets</t>
  </si>
  <si>
    <t>Midkini Sets</t>
  </si>
  <si>
    <t>Pullover Sweaters</t>
  </si>
  <si>
    <t>Jogger Pants</t>
  </si>
  <si>
    <t>Swim Trunks</t>
  </si>
  <si>
    <t>Cardigans</t>
  </si>
  <si>
    <t>Rompers and Jumpsuits</t>
  </si>
  <si>
    <t>Rash Guard</t>
  </si>
  <si>
    <t>Tee Shirts</t>
  </si>
  <si>
    <t>Hosiery Leggings</t>
  </si>
  <si>
    <t>DECORATIVE PILLOW (Cuddleez)</t>
  </si>
  <si>
    <t>Fashion Dolls</t>
  </si>
  <si>
    <t>DRINKWARE/MUG</t>
  </si>
  <si>
    <t>WATER GLOBES</t>
  </si>
  <si>
    <t>Housekeeping toys</t>
  </si>
  <si>
    <t>STUFFED ANIMAL</t>
  </si>
  <si>
    <t>TREE TOPPERS</t>
  </si>
  <si>
    <t>WRITING INSTRUMENT SET</t>
  </si>
  <si>
    <t>DINNERWARE SETS</t>
  </si>
  <si>
    <t>Toy Blasters</t>
  </si>
  <si>
    <t>Water Floats and Inflatable</t>
  </si>
  <si>
    <t>Doll Playsets</t>
  </si>
  <si>
    <t>DRINKWARE/WATER BOTTLE</t>
  </si>
  <si>
    <t>THROW BLANKET</t>
  </si>
  <si>
    <t>Play Tents and Tunnels</t>
  </si>
  <si>
    <t>DECORATIVE PILLOW (Plush)</t>
  </si>
  <si>
    <t>TREE ORNAMENT</t>
  </si>
  <si>
    <t>LUNCH BOXES AND BAGS</t>
  </si>
  <si>
    <t>Toy Vehicles</t>
  </si>
  <si>
    <t>Pool Games and Toys</t>
  </si>
  <si>
    <t>Mini Figures</t>
  </si>
  <si>
    <t>DRINKWARE SETS</t>
  </si>
  <si>
    <t>DECORATIVE PILLOW (Home)</t>
  </si>
  <si>
    <t>Cooking and dining toys</t>
  </si>
  <si>
    <t>TREE SKIRTS</t>
  </si>
  <si>
    <t>Toy Vehicles Playsets</t>
  </si>
  <si>
    <t>Water Blasters</t>
  </si>
  <si>
    <t>ACTION FIGURES</t>
  </si>
  <si>
    <t>ORNAMENT SETS</t>
  </si>
  <si>
    <t>SERVING PLATTERS</t>
  </si>
  <si>
    <t>Electronic Games</t>
  </si>
  <si>
    <t>Bubble Machines</t>
  </si>
  <si>
    <t>HOLIDAY STOCKINGS</t>
  </si>
  <si>
    <t>SERVING BOWL</t>
  </si>
  <si>
    <t>Tabletop Arcade Games</t>
  </si>
  <si>
    <t>Bath Toys</t>
  </si>
  <si>
    <t>ADVENT CALENDARS</t>
  </si>
  <si>
    <t>DINING PLATES</t>
  </si>
  <si>
    <t>Activity Playmats</t>
  </si>
  <si>
    <t>WREATHS</t>
  </si>
  <si>
    <t>SERVING STANDS</t>
  </si>
  <si>
    <t>Ball pits and Accessories</t>
  </si>
  <si>
    <t>BANNERS AND GARLANDS</t>
  </si>
  <si>
    <t>KITCHEN TEXTILE SET</t>
  </si>
  <si>
    <t>PUZZLE SET</t>
  </si>
  <si>
    <t>DECORATIVE SCULPTURES</t>
  </si>
  <si>
    <t>MEASURING CUPS</t>
  </si>
  <si>
    <t>Toy Guitars and String Instruments</t>
  </si>
  <si>
    <t>MEASURING SPOONS</t>
  </si>
  <si>
    <t>KITCHEN UTENSIL SETS</t>
  </si>
  <si>
    <t>MIXING BOWL SETS</t>
  </si>
  <si>
    <t>FLATWARE SETS</t>
  </si>
  <si>
    <t>SALT AND PEPPER SHAKER SETS</t>
  </si>
  <si>
    <t>SERVING TRAYS</t>
  </si>
  <si>
    <t>BAKEWARE SETS</t>
  </si>
  <si>
    <t>Costume HEADWEAR</t>
  </si>
  <si>
    <t>Costume Full Body Apparel</t>
  </si>
  <si>
    <t>Costume Footwear</t>
  </si>
  <si>
    <t>Costume ACCESSORY SET</t>
  </si>
  <si>
    <t>Costume Apparel Sets</t>
  </si>
  <si>
    <t>Costume JEWELRY</t>
  </si>
  <si>
    <t>Costume HANDHELD PROPS</t>
  </si>
  <si>
    <t>Costume_Footwear</t>
  </si>
  <si>
    <t>1) Choose the YrQtr you would like to create templates from.</t>
  </si>
  <si>
    <t>2) Select Refresh Lookup Tables</t>
  </si>
  <si>
    <t xml:space="preserve">5) Click Create Mainlines Templates to create all four templates with the updated data.  The new templates are located here: </t>
  </si>
  <si>
    <t>Q:\DISNEY COLLECTIONS\New Wholesale Attribute Sheets\Current Attribute Templates</t>
  </si>
  <si>
    <t>This step takes 4-8 minutes dependent on the number of GRCs and sizes.  Please be patient.</t>
  </si>
  <si>
    <t>3) Choose whether to keep the GRCs and your selections in the GRC tab, or delete them.  If you choose "Yes", you'll have to re-populate the dropdowns.  Choose "Yes" if you're creating templates for a new quarter for the first time.</t>
  </si>
  <si>
    <t>4) On the GRCs tab, select from the dropdowns in columns N,O and P AND populate the GRCs you want in each template (column G).  This will determine which template the data is populated to, and the conditional formatting.</t>
  </si>
  <si>
    <t>YrQtr</t>
  </si>
  <si>
    <t>SOUVENIRS</t>
  </si>
  <si>
    <t>SMALL TOYS AND SOUVIES</t>
  </si>
  <si>
    <t>ADULT FASHION APPAREL</t>
  </si>
  <si>
    <t>TRADING</t>
  </si>
  <si>
    <t>KIDS ACCESSORIES</t>
  </si>
  <si>
    <t>PET COSTUME</t>
  </si>
  <si>
    <t>ADULT SLEEPWEAR</t>
  </si>
  <si>
    <t>14 - 0169</t>
  </si>
  <si>
    <t>Outer CP Unit</t>
  </si>
  <si>
    <t>Inner CP Unit</t>
  </si>
  <si>
    <t>Margaret Tift</t>
  </si>
  <si>
    <t>margaret.m.tift@disney.com</t>
  </si>
  <si>
    <t>FIGURINE SETS</t>
  </si>
  <si>
    <t>One Size - 0001</t>
  </si>
  <si>
    <t>MENS XS - 0120</t>
  </si>
  <si>
    <t>2 - 0160</t>
  </si>
  <si>
    <t>XXS (2/3) - 0110</t>
  </si>
  <si>
    <t>0-3mo - 0150</t>
  </si>
  <si>
    <t>Susan.M.Carrillo@disney.com; melanie.gola.-nd@disney.com</t>
  </si>
  <si>
    <t>Virginia Feliciano</t>
  </si>
  <si>
    <t>Virginia.feliciano@disney.com</t>
  </si>
  <si>
    <t>Danielle Roach</t>
  </si>
  <si>
    <t>Danielle.Roach@disney.com</t>
  </si>
  <si>
    <t>Emily Fisher</t>
  </si>
  <si>
    <t>emily.fisher@disney.com</t>
  </si>
  <si>
    <t>Steven.Hegedus@disney.com</t>
  </si>
  <si>
    <t>Non-Sourced</t>
  </si>
  <si>
    <t>Adrienne.nichols@disney.com;melanie.gola.-nd@disney.com</t>
  </si>
  <si>
    <t>BOY ACT FIG/MOVING</t>
  </si>
  <si>
    <t>MINI CHARACTER PLUSH</t>
  </si>
  <si>
    <t>Sarah Allan</t>
  </si>
  <si>
    <t>103Q223U115</t>
  </si>
  <si>
    <t>MV223 GROOT BF RYC PLSH</t>
  </si>
  <si>
    <t>KIDS COSTUME FOOTWEAR</t>
  </si>
  <si>
    <t>NB - 1137</t>
  </si>
  <si>
    <t>KIDS DRINKWARE</t>
  </si>
  <si>
    <t>chad.spence@disney.com</t>
  </si>
  <si>
    <t>Gabrielle Clouse</t>
  </si>
  <si>
    <t>gabrielle.clouse.-nd@disney.com</t>
  </si>
  <si>
    <t>Sarah.Allan@disney.com</t>
  </si>
  <si>
    <t>Terrance Douglas</t>
  </si>
  <si>
    <t>Terrance.Douglas@disney.com</t>
  </si>
  <si>
    <t>Eric Pfeiffer</t>
  </si>
  <si>
    <t>Eric.Pfeiffer.-ND@disney.com</t>
  </si>
  <si>
    <t>101Q323U057</t>
  </si>
  <si>
    <t>103Q323U060</t>
  </si>
  <si>
    <t>103Q323U061</t>
  </si>
  <si>
    <t>103Q323U151</t>
  </si>
  <si>
    <t>SIS323 FLOUNDER MC PLSH</t>
  </si>
  <si>
    <t>103Q323U152</t>
  </si>
  <si>
    <t>SIS323 SBSTN MC PLSH</t>
  </si>
  <si>
    <t>CUDLIE ACCESSORIES LLC</t>
  </si>
  <si>
    <t>BIOWORLD MERCHANDISING INC</t>
  </si>
  <si>
    <t>105Q323U019</t>
  </si>
  <si>
    <t>ENC323 BTS LBAG</t>
  </si>
  <si>
    <t>105Q323U022</t>
  </si>
  <si>
    <t>MP223 BTS PRCESS BPK</t>
  </si>
  <si>
    <t>105Q323U023</t>
  </si>
  <si>
    <t>MP223 BTS PRCESS LBG</t>
  </si>
  <si>
    <t>S - 0121</t>
  </si>
  <si>
    <t>M - 0122</t>
  </si>
  <si>
    <t>L - 0123</t>
  </si>
  <si>
    <t>XL - 0124</t>
  </si>
  <si>
    <t>XXL - 0125</t>
  </si>
  <si>
    <t>3XL - 0126</t>
  </si>
  <si>
    <t>BABY SLEEPWEAR</t>
  </si>
  <si>
    <t>115Q323U011</t>
  </si>
  <si>
    <t>MP323 FBM BTS YTH DRINKWR</t>
  </si>
  <si>
    <t>ADULT DRINKWARE</t>
  </si>
  <si>
    <t>ENC323 FBM BTS YTH DRNKWR</t>
  </si>
  <si>
    <t>117Q323U001</t>
  </si>
  <si>
    <t>MP323 BTS MP ZIP KIT</t>
  </si>
  <si>
    <t>117Q323U011</t>
  </si>
  <si>
    <t>ENC323 BTS ENCNTO ZIP KIT</t>
  </si>
  <si>
    <t>Chad Spence</t>
  </si>
  <si>
    <t>MEGA GAIN INTL LTD (C)</t>
  </si>
  <si>
    <t xml:space="preserve">DANU INTERNATIONAL LIMITED (I) </t>
  </si>
  <si>
    <t>105Q323U018</t>
  </si>
  <si>
    <t>ENC323 BTS BKPK</t>
  </si>
  <si>
    <t>LIGHTUPTOYS.COM LLC (I)</t>
  </si>
  <si>
    <t>C AND M TRADING(HK)LTD(I)</t>
  </si>
  <si>
    <t>WAGON INTERNATIONAL</t>
  </si>
  <si>
    <t>HONG KONG CHEUNG HING CO</t>
  </si>
  <si>
    <t xml:space="preserve">UNCAS MFG CO </t>
  </si>
  <si>
    <t>Amanda Albuquerque</t>
  </si>
  <si>
    <t>Amanda.Albuquerque@disney.com</t>
  </si>
  <si>
    <t xml:space="preserve">Anais Lavalli </t>
  </si>
  <si>
    <t>Anais.Lavalli@disney.com</t>
  </si>
  <si>
    <t>Patricia Honer</t>
  </si>
  <si>
    <t>patricia.a.honer@disney.com</t>
  </si>
  <si>
    <t>Valerie Ferris</t>
  </si>
  <si>
    <t>Valerie.Ferris@disney.com</t>
  </si>
  <si>
    <t>GIRLS CORE TOYS</t>
  </si>
  <si>
    <t>101Q323U058</t>
  </si>
  <si>
    <t>103Q323U144</t>
  </si>
  <si>
    <t>MVGG3 ROCKET SC PLSH</t>
  </si>
  <si>
    <t>PAVILION INVESTMENT LT(I)</t>
  </si>
  <si>
    <t xml:space="preserve">BERNARDO MFG. (I) </t>
  </si>
  <si>
    <t>CROWN CERAMICS CO LTD(I)</t>
  </si>
  <si>
    <t>CHENGTEH CHINAWARE(TH)(I)</t>
  </si>
  <si>
    <t>BRINWARE LLC (I)</t>
  </si>
  <si>
    <t>LIFETIME BRANDS (I)</t>
  </si>
  <si>
    <t>EDCO</t>
  </si>
  <si>
    <t>Y</t>
  </si>
  <si>
    <t>SOFT DOLLS</t>
  </si>
  <si>
    <t>115Q323U060</t>
  </si>
  <si>
    <t>Melanie Gola</t>
  </si>
  <si>
    <t>melanie.l.gola@disney.com</t>
  </si>
  <si>
    <t>020Q120U037</t>
  </si>
  <si>
    <t>020Q220U026</t>
  </si>
  <si>
    <t>MM BALLOON GL WAND</t>
  </si>
  <si>
    <t>020Q421U038</t>
  </si>
  <si>
    <t>MTTY BUBBLE WAND H22</t>
  </si>
  <si>
    <t>030V421U129</t>
  </si>
  <si>
    <t>MRVQ421 IRNMN BKPK</t>
  </si>
  <si>
    <t>035M420U808</t>
  </si>
  <si>
    <t>050Q121U031</t>
  </si>
  <si>
    <t>MMIAM121 PEN LUP</t>
  </si>
  <si>
    <t>050Q121U032</t>
  </si>
  <si>
    <t>MNIAM121 PEN LUP</t>
  </si>
  <si>
    <t xml:space="preserve">CAMINO INTL LTD </t>
  </si>
  <si>
    <t>050Q322U005</t>
  </si>
  <si>
    <t>MRVL322 SPMN FIG PEN</t>
  </si>
  <si>
    <t>052S321U047</t>
  </si>
  <si>
    <t>GROOT FLWR POT MUG</t>
  </si>
  <si>
    <t>054Q119U071</t>
  </si>
  <si>
    <t>SW19 ORN3D MFALCON</t>
  </si>
  <si>
    <t>ORNAMENTS</t>
  </si>
  <si>
    <t>082Q321U154</t>
  </si>
  <si>
    <t>MAD HATTER HAT OEPN</t>
  </si>
  <si>
    <t>101Q122B059</t>
  </si>
  <si>
    <t>FS ENCANTO H22</t>
  </si>
  <si>
    <t>101Q122G017</t>
  </si>
  <si>
    <t>101Q123U089</t>
  </si>
  <si>
    <t>MV123 STRK IND ARC RCTR</t>
  </si>
  <si>
    <t>101Q123U106</t>
  </si>
  <si>
    <t>ILY123 RAP ACCESSORY PK</t>
  </si>
  <si>
    <t>GIRLS DOLLS</t>
  </si>
  <si>
    <t>SUN WING MING INDUSTRIAL</t>
  </si>
  <si>
    <t>101Q123U144</t>
  </si>
  <si>
    <t>CARS123 BUBBLE RC</t>
  </si>
  <si>
    <t>101Q219G028</t>
  </si>
  <si>
    <t>101Q221B033</t>
  </si>
  <si>
    <t>FS TOY STORY P21</t>
  </si>
  <si>
    <t>101Q221G029</t>
  </si>
  <si>
    <t>101Q222B038</t>
  </si>
  <si>
    <t>TINKER BELL LANTERN</t>
  </si>
  <si>
    <t>TINKER BELL GARDEN</t>
  </si>
  <si>
    <t>101Q323U107</t>
  </si>
  <si>
    <t xml:space="preserve">LUM323 FIGURINE SET </t>
  </si>
  <si>
    <t>101Q418D184</t>
  </si>
  <si>
    <t>101Q420B011</t>
  </si>
  <si>
    <t>101Q420B030</t>
  </si>
  <si>
    <t>FS MICKEY F20</t>
  </si>
  <si>
    <t xml:space="preserve">DREAM INTL LTD CO </t>
  </si>
  <si>
    <t>101Q420B175</t>
  </si>
  <si>
    <t>OT AVENGERS BATH SET F20</t>
  </si>
  <si>
    <t>101Q420G034</t>
  </si>
  <si>
    <t>OT MOANA BATH SET F20</t>
  </si>
  <si>
    <t>101Q420G184</t>
  </si>
  <si>
    <t>101Q421B268</t>
  </si>
  <si>
    <t>FS WTP F21</t>
  </si>
  <si>
    <t>101Q421B272</t>
  </si>
  <si>
    <t>ALICE FS ANNIV F21</t>
  </si>
  <si>
    <t>101Q421B288</t>
  </si>
  <si>
    <t>FS SPIDERMAN F21</t>
  </si>
  <si>
    <t>101Q421G016</t>
  </si>
  <si>
    <t>101Q422L060</t>
  </si>
  <si>
    <t>MVE22 SUPERFLY SPDRMN</t>
  </si>
  <si>
    <t>101Q422M009</t>
  </si>
  <si>
    <t>NBCQ422 ZERO ON LEASH</t>
  </si>
  <si>
    <t>101Q422M084</t>
  </si>
  <si>
    <t>101Q423U004</t>
  </si>
  <si>
    <t>D100SM423 PUZZLE</t>
  </si>
  <si>
    <t>SIMNEX INDUSTRIAL LTD</t>
  </si>
  <si>
    <t>101Q423U022</t>
  </si>
  <si>
    <t>101Q423U023</t>
  </si>
  <si>
    <t>101Q423U034</t>
  </si>
  <si>
    <t>FROZEN CAPE</t>
  </si>
  <si>
    <t>101Q423U036</t>
  </si>
  <si>
    <t>FROZEN ROLEPLAY</t>
  </si>
  <si>
    <t>101Q423U050</t>
  </si>
  <si>
    <t>STORYBOOK DL SNOW</t>
  </si>
  <si>
    <t>101Q423U051</t>
  </si>
  <si>
    <t>STORYBOOK DL RAP</t>
  </si>
  <si>
    <t>101Q423U052</t>
  </si>
  <si>
    <t>STORYBOOK DL ANNA</t>
  </si>
  <si>
    <t>101Q423U053</t>
  </si>
  <si>
    <t>STORYBOOK DL ELSA</t>
  </si>
  <si>
    <t>101Q423U054</t>
  </si>
  <si>
    <t>STORYBOOK DL TINK</t>
  </si>
  <si>
    <t>101Q423U055</t>
  </si>
  <si>
    <t>STORYBOOK DL POCA</t>
  </si>
  <si>
    <t>101Q423U057</t>
  </si>
  <si>
    <t>STORYBOOK DL TIANA</t>
  </si>
  <si>
    <t>101Q423U059</t>
  </si>
  <si>
    <t>Groot Candy Pot Game</t>
  </si>
  <si>
    <t>101Q423U060</t>
  </si>
  <si>
    <t>101Q423U079</t>
  </si>
  <si>
    <t>HW423 GLOW NKLC</t>
  </si>
  <si>
    <t>101Q423U080</t>
  </si>
  <si>
    <t>HW423 GLWWND FOGBBLS</t>
  </si>
  <si>
    <t>101Q423U082</t>
  </si>
  <si>
    <t>NBC423 GLOW NKLC</t>
  </si>
  <si>
    <t>101Q423U084</t>
  </si>
  <si>
    <t>NBC423 PZL 30TH ANV</t>
  </si>
  <si>
    <t>101Q423U092</t>
  </si>
  <si>
    <t>MM 423 DLX GAME ST</t>
  </si>
  <si>
    <t>101Q423U093</t>
  </si>
  <si>
    <t>423 STRYBK PZL ST</t>
  </si>
  <si>
    <t>BLUENET INTERNATIONAL (I)</t>
  </si>
  <si>
    <t>101Q423U099</t>
  </si>
  <si>
    <t>STORYBOOK DL ARIEL</t>
  </si>
  <si>
    <t>101Q423U100</t>
  </si>
  <si>
    <t>STORYBOOK DL AURORA</t>
  </si>
  <si>
    <t>101Q423U101</t>
  </si>
  <si>
    <t>STORYBOOK DL BELLE</t>
  </si>
  <si>
    <t>101Q423U102</t>
  </si>
  <si>
    <t>STORYBOOK DL CINDY</t>
  </si>
  <si>
    <t>101Q423U103</t>
  </si>
  <si>
    <t>STORYBOOK DL MULAN</t>
  </si>
  <si>
    <t>101Q423U104</t>
  </si>
  <si>
    <t>STORYBOOK DL MIRABEL</t>
  </si>
  <si>
    <t>101Q423U105</t>
  </si>
  <si>
    <t>STORYBOOK DL MOANA</t>
  </si>
  <si>
    <t>101Q423U107</t>
  </si>
  <si>
    <t>ENCANTO DOLL GIFT SET</t>
  </si>
  <si>
    <t>101Q423U108</t>
  </si>
  <si>
    <t>STORYBOOK DL JASMINE</t>
  </si>
  <si>
    <t>101Q423U124</t>
  </si>
  <si>
    <t>MGE23 COLLAPSING GROOT</t>
  </si>
  <si>
    <t>101Q423U128</t>
  </si>
  <si>
    <t>TS AF BOX COLLECTION</t>
  </si>
  <si>
    <t>103Q122D505</t>
  </si>
  <si>
    <t>MC POOH SUS H22</t>
  </si>
  <si>
    <t>Danu International</t>
  </si>
  <si>
    <t>103Q122D516</t>
  </si>
  <si>
    <t>MBBP POOH SUS H22</t>
  </si>
  <si>
    <t>103Q122D518</t>
  </si>
  <si>
    <t>MBBP EEYORE SUS H22</t>
  </si>
  <si>
    <t>103Q122D519</t>
  </si>
  <si>
    <t>Hulk Cuddleez</t>
  </si>
  <si>
    <t>103Q123U079</t>
  </si>
  <si>
    <t>SIMBA Q123 RYC MBBP</t>
  </si>
  <si>
    <t>103Q123U082</t>
  </si>
  <si>
    <t>NALA Q123 RYC MBBP</t>
  </si>
  <si>
    <t>103Q123U088</t>
  </si>
  <si>
    <t>MARIE Q123 RYC LC</t>
  </si>
  <si>
    <t>103Q123U120</t>
  </si>
  <si>
    <t>TS123 WOODY RYC PLSH MC</t>
  </si>
  <si>
    <t>103Q124U094</t>
  </si>
  <si>
    <t>GROOT CUDDLEEZ RYC PLSH</t>
  </si>
  <si>
    <t>103Q222D093</t>
  </si>
  <si>
    <t>WEIGHTED PLUTO P22</t>
  </si>
  <si>
    <t>ELSA223 SD PLSH</t>
  </si>
  <si>
    <t>MULAN223 SD PLSH</t>
  </si>
  <si>
    <t>103Q223U024</t>
  </si>
  <si>
    <t>BABIES223 TODD SC PLSH</t>
  </si>
  <si>
    <t>103Q223U066</t>
  </si>
  <si>
    <t>BABIES223 MM SC PLSH</t>
  </si>
  <si>
    <t>103Q223U067</t>
  </si>
  <si>
    <t>BABIES223 MN SC PLSH</t>
  </si>
  <si>
    <t>103Q223U068</t>
  </si>
  <si>
    <t>BABIES223 PLUTO SC PLSH</t>
  </si>
  <si>
    <t>BABY PLUSH</t>
  </si>
  <si>
    <t>103Q223U069</t>
  </si>
  <si>
    <t>BABIES223 SIMBA SC PLSH</t>
  </si>
  <si>
    <t>103Q223U071</t>
  </si>
  <si>
    <t>BABIES223 LADY SC PLSH</t>
  </si>
  <si>
    <t>103Q223U072</t>
  </si>
  <si>
    <t>BABIES223 PATCH SC PLSH</t>
  </si>
  <si>
    <t>103Q223U074</t>
  </si>
  <si>
    <t>BABIES223 POOH SC PLSH</t>
  </si>
  <si>
    <t>103Q223U075</t>
  </si>
  <si>
    <t>BABIES223 EEYORE SC PLSH</t>
  </si>
  <si>
    <t>103Q223U076</t>
  </si>
  <si>
    <t>BABIES223 STCH SC PLSH</t>
  </si>
  <si>
    <t>103Q223U077</t>
  </si>
  <si>
    <t>BABIES223 ANGEL SC PLSH</t>
  </si>
  <si>
    <t>103Q223U078</t>
  </si>
  <si>
    <t>BABIES223 MARIE SC PLSH</t>
  </si>
  <si>
    <t>103Q223U079</t>
  </si>
  <si>
    <t>BABIES223 PIGLET SC PLSH</t>
  </si>
  <si>
    <t>103Q223U106</t>
  </si>
  <si>
    <t>SMBA Q223 WEIGHTED MC</t>
  </si>
  <si>
    <t>103Q318D392</t>
  </si>
  <si>
    <t>103Q319D468</t>
  </si>
  <si>
    <t>LC DUMBO CUDDLEEZ S9</t>
  </si>
  <si>
    <t>103Q321D072</t>
  </si>
  <si>
    <t>15IN WEIGHTED EEYORE S21</t>
  </si>
  <si>
    <t>103Q322D056</t>
  </si>
  <si>
    <t>103Q323U033</t>
  </si>
  <si>
    <t>LADY323 RYC MC PLSH</t>
  </si>
  <si>
    <t>103Q323U036</t>
  </si>
  <si>
    <t>THUMPER323 RYC MC PLSH</t>
  </si>
  <si>
    <t>103Q323U039</t>
  </si>
  <si>
    <t>BAMBI323 RYC MC PLSH</t>
  </si>
  <si>
    <t>103Q323U040</t>
  </si>
  <si>
    <t>CHESHIRE323 RYC MC PLSH</t>
  </si>
  <si>
    <t>103Q323U041</t>
  </si>
  <si>
    <t>LUCKY323 RYC MC PLSH</t>
  </si>
  <si>
    <t>103Q323U044</t>
  </si>
  <si>
    <t>PRNCS MN323 RYC SC PLSH</t>
  </si>
  <si>
    <t>103Q323U045</t>
  </si>
  <si>
    <t>PRNCS MN323 RYC MC PLSH</t>
  </si>
  <si>
    <t>SD 323 SNW RYC PLSH</t>
  </si>
  <si>
    <t>SD 323 TNK RYC PLSH</t>
  </si>
  <si>
    <t>103Q323U150</t>
  </si>
  <si>
    <t xml:space="preserve">15IN WEIGHTED MN </t>
  </si>
  <si>
    <t>103Q422D007</t>
  </si>
  <si>
    <t>SC SUSTAINABLE RED MINNIE</t>
  </si>
  <si>
    <t>103Q422D008</t>
  </si>
  <si>
    <t>MC SUSTAINABLE RED MINNIE</t>
  </si>
  <si>
    <t>103Q422D010</t>
  </si>
  <si>
    <t>JUMBO SUS RED MINNIE</t>
  </si>
  <si>
    <t>103Q422D013</t>
  </si>
  <si>
    <t>MC SUS PINK MINNIE</t>
  </si>
  <si>
    <t>103Q422D016</t>
  </si>
  <si>
    <t>MBBP SUSTAINABLE PLUTO</t>
  </si>
  <si>
    <t>103Q422D146</t>
  </si>
  <si>
    <t>BIG FEET ABU</t>
  </si>
  <si>
    <t>103Q422D218</t>
  </si>
  <si>
    <t>GROGU CUDDLEEZ</t>
  </si>
  <si>
    <t>103Q423U015</t>
  </si>
  <si>
    <t>103Q423U028</t>
  </si>
  <si>
    <t>MV423 MIGHTY MILES PLSH</t>
  </si>
  <si>
    <t>103Q423U033</t>
  </si>
  <si>
    <t>MNCH423 MM CLSCPL MC PLSH</t>
  </si>
  <si>
    <t>TSUM TSUM PLUSH</t>
  </si>
  <si>
    <t>103Q423U039</t>
  </si>
  <si>
    <t>MC WEIGHTED 1.0 DUMBO</t>
  </si>
  <si>
    <t>103Q423U043</t>
  </si>
  <si>
    <t>SWH23 GROGU PMPKN PLSH</t>
  </si>
  <si>
    <t>103Q423U046</t>
  </si>
  <si>
    <t xml:space="preserve">NBC 423 SUSTAINABLE JACK </t>
  </si>
  <si>
    <t>103Q423U047</t>
  </si>
  <si>
    <t xml:space="preserve">NBC 423 SUSTAINABLE sally </t>
  </si>
  <si>
    <t>103Q423U048</t>
  </si>
  <si>
    <t>NBC 423 SUSTAINABLE OOGIE BOOGIE</t>
  </si>
  <si>
    <t>103Q423U049</t>
  </si>
  <si>
    <t>NBC423 SNTA RYC SC PLSH</t>
  </si>
  <si>
    <t>103Q423U050</t>
  </si>
  <si>
    <t>NBC423 ZERO RYC SC PLSH</t>
  </si>
  <si>
    <t>103Q423U051</t>
  </si>
  <si>
    <t>NBC423 SNJK RYC SC PLSH</t>
  </si>
  <si>
    <t>103Q423U058</t>
  </si>
  <si>
    <t>SWAT23  AHSOKA SOFT DOLL</t>
  </si>
  <si>
    <t>103Q423U061</t>
  </si>
  <si>
    <t>NUIMOS NBCQ423 JCK OUTFIT</t>
  </si>
  <si>
    <t>103Q423U066</t>
  </si>
  <si>
    <t>HW423 STITCH MC PLSH</t>
  </si>
  <si>
    <t>103Q423U070</t>
  </si>
  <si>
    <t xml:space="preserve">HW423 MM SC SIS PLSH </t>
  </si>
  <si>
    <t>103Q423U071</t>
  </si>
  <si>
    <t xml:space="preserve">HW423 MN SC SIS PLSH </t>
  </si>
  <si>
    <t>103Q423U084</t>
  </si>
  <si>
    <t>HP423 SNDRSN STR PLSH</t>
  </si>
  <si>
    <t>103Q423U085</t>
  </si>
  <si>
    <t xml:space="preserve">HP423 BINX SC PLSH </t>
  </si>
  <si>
    <t>103Q423U087</t>
  </si>
  <si>
    <t>SD423 LUISA RYC PLSH</t>
  </si>
  <si>
    <t>103Q423U088</t>
  </si>
  <si>
    <t>SD423  ISABELA RYC PLSH</t>
  </si>
  <si>
    <t>103Q423U089</t>
  </si>
  <si>
    <t>SD423 BRUNO RYC PLSH</t>
  </si>
  <si>
    <t>103Q423U090</t>
  </si>
  <si>
    <t>SD423 MERIDA RYC PLSH</t>
  </si>
  <si>
    <t>103Q423U092</t>
  </si>
  <si>
    <t>NUIMOS423 CNDRL PLSH</t>
  </si>
  <si>
    <t>103Q423U093</t>
  </si>
  <si>
    <t>NUIMOS423 CNDRL OUTFIT</t>
  </si>
  <si>
    <t>103Q423U096</t>
  </si>
  <si>
    <t>BABIES423 PUA RYC PLSH</t>
  </si>
  <si>
    <t>103Q423U097</t>
  </si>
  <si>
    <t>FN423 NEMO RYC SC PLSH</t>
  </si>
  <si>
    <t>103Q423U098</t>
  </si>
  <si>
    <t>FN423 DORY RYC SC PLSH</t>
  </si>
  <si>
    <t>103Q423U099</t>
  </si>
  <si>
    <t>FN423 SQUIRT RYC SC PLSH</t>
  </si>
  <si>
    <t>103Q423U100</t>
  </si>
  <si>
    <t>FN 423 BRUCE RYC MC PLSH</t>
  </si>
  <si>
    <t>103Q423U110</t>
  </si>
  <si>
    <t>FN423 BBDORY RYC SC PLSH</t>
  </si>
  <si>
    <t>103Q423U119</t>
  </si>
  <si>
    <t>CDLZ423 BMX RYC LC PLSH</t>
  </si>
  <si>
    <t>103Q423U129</t>
  </si>
  <si>
    <t xml:space="preserve">SD423 MIRABEL RYC PLSH </t>
  </si>
  <si>
    <t>104Q323U014</t>
  </si>
  <si>
    <t>MM BBY COSTUME</t>
  </si>
  <si>
    <t>BABY COSTUME BODYSUITS</t>
  </si>
  <si>
    <t>6-12mo - 0351</t>
  </si>
  <si>
    <t>104Q323U015</t>
  </si>
  <si>
    <t>PLUTO BBY COSTUME</t>
  </si>
  <si>
    <t>104Q323U016</t>
  </si>
  <si>
    <t>SIMBA BBY COSTUME</t>
  </si>
  <si>
    <t>104Q323U017</t>
  </si>
  <si>
    <t>STITCH BBY COSTUME</t>
  </si>
  <si>
    <t>104Q323U025</t>
  </si>
  <si>
    <t>ALICE COSTUME SE</t>
  </si>
  <si>
    <t>104Q419D049</t>
  </si>
  <si>
    <t>RAP-COSTUME-G-F19</t>
  </si>
  <si>
    <t>ROYAL REGENT PRODUCTS</t>
  </si>
  <si>
    <t>104Q422D056</t>
  </si>
  <si>
    <t>TINKERBELL-WINGS-G-F22</t>
  </si>
  <si>
    <t>KIDS COSTUME ACCESSORIES</t>
  </si>
  <si>
    <t>BEJEWELED ACCESSORIES (BA)</t>
  </si>
  <si>
    <t>104Q423U006</t>
  </si>
  <si>
    <t>LALM423 DLX COS G</t>
  </si>
  <si>
    <t>104Q423U009</t>
  </si>
  <si>
    <t>LM423 WAND G</t>
  </si>
  <si>
    <t>104Q423U015</t>
  </si>
  <si>
    <t>LM423 TRITON ACC A</t>
  </si>
  <si>
    <t>104Q423U020</t>
  </si>
  <si>
    <t>AUR423 WAND G</t>
  </si>
  <si>
    <t>104Q423U022</t>
  </si>
  <si>
    <t>BELLE423 WAND G</t>
  </si>
  <si>
    <t>104Q423U028</t>
  </si>
  <si>
    <t>CIND423 DLX COS G</t>
  </si>
  <si>
    <t>104Q423U030</t>
  </si>
  <si>
    <t>CIND423 WAND G</t>
  </si>
  <si>
    <t>104Q423U049</t>
  </si>
  <si>
    <t>RAP423 WAND G</t>
  </si>
  <si>
    <t>104Q423U070</t>
  </si>
  <si>
    <t>ENC423 MIRA COS G</t>
  </si>
  <si>
    <t>104Q423U071</t>
  </si>
  <si>
    <t>ENC423 MIRA DLX COS G</t>
  </si>
  <si>
    <t>104Q423U086</t>
  </si>
  <si>
    <t>MCESM23 SM CSTM YTH</t>
  </si>
  <si>
    <t>104Q423U088</t>
  </si>
  <si>
    <t>MCESM23 MILES CSTM YTH</t>
  </si>
  <si>
    <t>104Q423U090</t>
  </si>
  <si>
    <t>RLPL23 MVL LKI SET ADL</t>
  </si>
  <si>
    <t>104Q423U095</t>
  </si>
  <si>
    <t xml:space="preserve">RLPLY423 YTH MN PNK G </t>
  </si>
  <si>
    <t>104Q423U099</t>
  </si>
  <si>
    <t xml:space="preserve">RLPLY423 INFNT MN PNK </t>
  </si>
  <si>
    <t>104Q423U100</t>
  </si>
  <si>
    <t>RLPLY423 INFNT MN HDBND</t>
  </si>
  <si>
    <t>104Q423U102</t>
  </si>
  <si>
    <t>104Q423U103</t>
  </si>
  <si>
    <t>RLPLY423 RDMN ASCRY SET</t>
  </si>
  <si>
    <t>104Q423U104</t>
  </si>
  <si>
    <t>RLPLY423 NBC JACK</t>
  </si>
  <si>
    <t>104Q423U107</t>
  </si>
  <si>
    <t>RLPLY423 MN WITCH</t>
  </si>
  <si>
    <t>104Q423U108</t>
  </si>
  <si>
    <t>RPLY423 MN WITCH HAT</t>
  </si>
  <si>
    <t>104Q423U117</t>
  </si>
  <si>
    <t>RLPLY423 NBC SALLY</t>
  </si>
  <si>
    <t>104Q423U127</t>
  </si>
  <si>
    <t>CIN423 SHOE G</t>
  </si>
  <si>
    <t>5/6 - 0330</t>
  </si>
  <si>
    <t>7/8 - 0331</t>
  </si>
  <si>
    <t>9/10 - 0332</t>
  </si>
  <si>
    <t>11/12 - 0333</t>
  </si>
  <si>
    <t>13/1 - 0334</t>
  </si>
  <si>
    <t>2/3 - 0335</t>
  </si>
  <si>
    <t>4/5 - 0336</t>
  </si>
  <si>
    <t>104Q423U128</t>
  </si>
  <si>
    <t xml:space="preserve">MCEIM23 IM CSTM YTH </t>
  </si>
  <si>
    <t>104Q423U129</t>
  </si>
  <si>
    <t xml:space="preserve">MCECA23 CA CSTM YTH </t>
  </si>
  <si>
    <t>3</t>
  </si>
  <si>
    <t>4</t>
  </si>
  <si>
    <t>5/6</t>
  </si>
  <si>
    <t>7/8</t>
  </si>
  <si>
    <t>9/10</t>
  </si>
  <si>
    <t>11/12</t>
  </si>
  <si>
    <t>13</t>
  </si>
  <si>
    <t>104Q423U130</t>
  </si>
  <si>
    <t>MCEBP23 BP CSTM YTH</t>
  </si>
  <si>
    <t>104Q423U131</t>
  </si>
  <si>
    <t>RLPLY PNK MN ACSRY SET</t>
  </si>
  <si>
    <t>104Q423U150</t>
  </si>
  <si>
    <t>NBC ADLT JACKSKL JKT</t>
  </si>
  <si>
    <t>105Q223U303</t>
  </si>
  <si>
    <t>LM223 BTS YTH BKPK</t>
  </si>
  <si>
    <t>105Q223U304</t>
  </si>
  <si>
    <t>LITTLE MERMAID CLASSIC Bts youth lunch tote</t>
  </si>
  <si>
    <t>105Q323U020</t>
  </si>
  <si>
    <t>PXTSSQ323 BTS TS BPK</t>
  </si>
  <si>
    <t>105Q323U021</t>
  </si>
  <si>
    <t>PXTSSQ323 BTS TS LBG</t>
  </si>
  <si>
    <t>105Q323U086</t>
  </si>
  <si>
    <t>MVBTS23 SM Y BKPK</t>
  </si>
  <si>
    <t>105Q323U087</t>
  </si>
  <si>
    <t>MVBTS23 SM Y LN TOTE</t>
  </si>
  <si>
    <t>105Q323U130</t>
  </si>
  <si>
    <t>SWBTS23 Y BCKPK</t>
  </si>
  <si>
    <t>105Q323U131</t>
  </si>
  <si>
    <t>SWBTS23 Y LNCH TOTE</t>
  </si>
  <si>
    <t>105Q323U257</t>
  </si>
  <si>
    <t>MM323 BKPK YTH</t>
  </si>
  <si>
    <t>105Q323U258</t>
  </si>
  <si>
    <t>MM323 LNCH TTE YTH</t>
  </si>
  <si>
    <t>105Q323U259</t>
  </si>
  <si>
    <t>MN323 BKPK YTH</t>
  </si>
  <si>
    <t>105Q323U260</t>
  </si>
  <si>
    <t>MN323 LNCH TTE YTH</t>
  </si>
  <si>
    <t>105Q423U078</t>
  </si>
  <si>
    <t>MCEGS23 GS MBKPK</t>
  </si>
  <si>
    <t>105Q423U106</t>
  </si>
  <si>
    <t>MCESM23 SM WEBB BKPK YTH</t>
  </si>
  <si>
    <t>105Q423U131</t>
  </si>
  <si>
    <t>HW423 MM MTL KC</t>
  </si>
  <si>
    <t>105Q423U135</t>
  </si>
  <si>
    <t>HW423 MM PWP TTE</t>
  </si>
  <si>
    <t>105Q423U139</t>
  </si>
  <si>
    <t>HW423 MN HDBND BLK</t>
  </si>
  <si>
    <t>105Q423U147</t>
  </si>
  <si>
    <t>EN LA FAM YT LUGGAGE</t>
  </si>
  <si>
    <t>TRAVEL LUGGAGE</t>
  </si>
  <si>
    <t>105Q423U148</t>
  </si>
  <si>
    <t>ENC LA FAM YTH BKPK</t>
  </si>
  <si>
    <t>105Q423U154</t>
  </si>
  <si>
    <t>EN LA FAM FLR EAR HB</t>
  </si>
  <si>
    <t>105Q423U175</t>
  </si>
  <si>
    <t>MP423 DRAWSTRING BAG</t>
  </si>
  <si>
    <t>105Q423U223</t>
  </si>
  <si>
    <t>D100SM423 TOTE</t>
  </si>
  <si>
    <t>105Q423U227</t>
  </si>
  <si>
    <t>D100SM423 MM BOW HDBND</t>
  </si>
  <si>
    <t>105Q423U254</t>
  </si>
  <si>
    <t>MP EAR HEADBAND</t>
  </si>
  <si>
    <t>105Q423U291</t>
  </si>
  <si>
    <t>D100 BEAUTY EAR HB</t>
  </si>
  <si>
    <t>105Q423U298</t>
  </si>
  <si>
    <t>DMB 423 PLSH KC</t>
  </si>
  <si>
    <t>105Q423U301</t>
  </si>
  <si>
    <t>MAR 423 PLSH KC</t>
  </si>
  <si>
    <t>105Q423U303</t>
  </si>
  <si>
    <t>PP 423 MTL KC</t>
  </si>
  <si>
    <t>105Q423U304</t>
  </si>
  <si>
    <t>Q423 MMC PWP BKPK</t>
  </si>
  <si>
    <t>105Q423U357</t>
  </si>
  <si>
    <t>NBC423 HRT CBDY</t>
  </si>
  <si>
    <t>105Q423U364</t>
  </si>
  <si>
    <t>CEE423 DSY HDBND</t>
  </si>
  <si>
    <t>105Q423U371</t>
  </si>
  <si>
    <t>CEE423 FB5 NKLC</t>
  </si>
  <si>
    <t>105Q423U374</t>
  </si>
  <si>
    <t>NBC423 FLDG FAN</t>
  </si>
  <si>
    <t>105Q423U383</t>
  </si>
  <si>
    <t>JWL423 MN FLWR BRAC</t>
  </si>
  <si>
    <t>105Q423U384</t>
  </si>
  <si>
    <t xml:space="preserve">JWL423 MN FLWR ERNG </t>
  </si>
  <si>
    <t>106Q423U054</t>
  </si>
  <si>
    <t>MCESM23  GAW LS FLC</t>
  </si>
  <si>
    <t>106Q423U055</t>
  </si>
  <si>
    <t>MCESM23  GAW TEE</t>
  </si>
  <si>
    <t>106Q423U063</t>
  </si>
  <si>
    <t>MCEBP23 BP GAW TEE</t>
  </si>
  <si>
    <t>106Q423U208</t>
  </si>
  <si>
    <t>HW423 M BRDG SS WHT T GBL</t>
  </si>
  <si>
    <t>ADULT GRAPHIC TEES</t>
  </si>
  <si>
    <t>106Q423U209</t>
  </si>
  <si>
    <t>HW423 M PRM TD DD T</t>
  </si>
  <si>
    <t>106Q423U217</t>
  </si>
  <si>
    <t>D100SM423 M PRM T</t>
  </si>
  <si>
    <t>UNISEX XS - 0201</t>
  </si>
  <si>
    <t>UNISEX S - 0202</t>
  </si>
  <si>
    <t>UNISEX M - 0203</t>
  </si>
  <si>
    <t>UNISEX L - 0204</t>
  </si>
  <si>
    <t>UNISEX XL - 0205</t>
  </si>
  <si>
    <t>UNISEX XXL - 0206</t>
  </si>
  <si>
    <t>106Q423U251</t>
  </si>
  <si>
    <t xml:space="preserve">NBC423 M BLK POHD FLC </t>
  </si>
  <si>
    <t>106Q423U253</t>
  </si>
  <si>
    <t>NBC423 M BLK FLC BTM</t>
  </si>
  <si>
    <t>106Q423U261</t>
  </si>
  <si>
    <t>NBCT423 M PRM GRY SS T</t>
  </si>
  <si>
    <t>106Q423U310</t>
  </si>
  <si>
    <t>MGE23 GAP WE R GRT</t>
  </si>
  <si>
    <t>106Q423U312</t>
  </si>
  <si>
    <t>MGE23 GRT POHD</t>
  </si>
  <si>
    <t>107Q423U029</t>
  </si>
  <si>
    <t>DVE23 IAM TOP YTH</t>
  </si>
  <si>
    <t>107Q423U030</t>
  </si>
  <si>
    <t>MCESM23 IAM TOP SS YTH</t>
  </si>
  <si>
    <t>107Q423U031</t>
  </si>
  <si>
    <t>MCESM23 MILES RGLN SS YTH</t>
  </si>
  <si>
    <t>107Q423U032</t>
  </si>
  <si>
    <t>MCESM23 HDFLC 2FER YTH</t>
  </si>
  <si>
    <t>107Q423U054</t>
  </si>
  <si>
    <t>MCEIM23 IM IAM T SS YTH</t>
  </si>
  <si>
    <t>107Q423U055</t>
  </si>
  <si>
    <t>MCESG23 GS IAM ZFLC YTH</t>
  </si>
  <si>
    <t>107Q423U058</t>
  </si>
  <si>
    <t>NBC423 YTH JCK BTTM B</t>
  </si>
  <si>
    <t>107Q423U059</t>
  </si>
  <si>
    <t>NBC423 YTH HOOD FLC B</t>
  </si>
  <si>
    <t>107Q423U081</t>
  </si>
  <si>
    <t>MGE23 HDFLC GI YTH</t>
  </si>
  <si>
    <t>KIDS NIGHTSHIRTS</t>
  </si>
  <si>
    <t>109M423U058</t>
  </si>
  <si>
    <t>HW423 PNK LB SLP ST</t>
  </si>
  <si>
    <t>Uni XS - 0201</t>
  </si>
  <si>
    <t>109Q423U003</t>
  </si>
  <si>
    <t>EN423 NS G</t>
  </si>
  <si>
    <t>109Q423U013</t>
  </si>
  <si>
    <t>423 ELSA DLX GWN G</t>
  </si>
  <si>
    <t>109Q423U014</t>
  </si>
  <si>
    <t>423 ANNA DLX GWN G</t>
  </si>
  <si>
    <t>109Q423U021</t>
  </si>
  <si>
    <t xml:space="preserve">HW423 Y SLP NGHTSHRT G </t>
  </si>
  <si>
    <t>109Q423U026</t>
  </si>
  <si>
    <t xml:space="preserve">HW423 Y CTTN PJ ST B </t>
  </si>
  <si>
    <t>109Q423U034</t>
  </si>
  <si>
    <t xml:space="preserve">MVL423  SM CSTM PJ ST </t>
  </si>
  <si>
    <t>109Q423U036</t>
  </si>
  <si>
    <t>MVL423 SM LL TF OC PJ ST</t>
  </si>
  <si>
    <t>109Q423U040</t>
  </si>
  <si>
    <t>MVL423 HULK CSTM PJ ST</t>
  </si>
  <si>
    <t>LONG SLEEVE PJ BOYS</t>
  </si>
  <si>
    <t>109Q423U041</t>
  </si>
  <si>
    <t xml:space="preserve">HW423 BBY GN SLPWR </t>
  </si>
  <si>
    <t>109Q423U049</t>
  </si>
  <si>
    <t xml:space="preserve">PTR423 YTH CTTN PJ SET B </t>
  </si>
  <si>
    <t>109Q423U051</t>
  </si>
  <si>
    <t xml:space="preserve">PTR423 BBY GN SLP </t>
  </si>
  <si>
    <t>XXS (3) - 1170</t>
  </si>
  <si>
    <t>111Q423U027L</t>
  </si>
  <si>
    <t>HW423  WL Y ZH FLC DLR</t>
  </si>
  <si>
    <t>111Q423U029</t>
  </si>
  <si>
    <t>HW423 Y BRDGE TEE B</t>
  </si>
  <si>
    <t>111Q423U029L</t>
  </si>
  <si>
    <t>111Q423U031</t>
  </si>
  <si>
    <t>MCESM23 GAW AMZG T YTH</t>
  </si>
  <si>
    <t>111Q423U036</t>
  </si>
  <si>
    <t>DVE23 DRTHVDR GAW T YTH</t>
  </si>
  <si>
    <t>111Q423U041</t>
  </si>
  <si>
    <t xml:space="preserve">NBC423 YTH SS BRGD TEE B </t>
  </si>
  <si>
    <t>111Q423U048</t>
  </si>
  <si>
    <t xml:space="preserve">PTR423 YTH PRM TEE G </t>
  </si>
  <si>
    <t>111Q423U050</t>
  </si>
  <si>
    <t xml:space="preserve">PTR423 YTH PRM S/S B </t>
  </si>
  <si>
    <t>111Q423U060</t>
  </si>
  <si>
    <t>HW423 YTH S/S MN TEE G</t>
  </si>
  <si>
    <t>111Q423U063</t>
  </si>
  <si>
    <t>MGE23 GRT RCKT TS B YTH</t>
  </si>
  <si>
    <t>112Q423U002</t>
  </si>
  <si>
    <t>423 JAS MSG BS BBY G</t>
  </si>
  <si>
    <t>112Q423U005</t>
  </si>
  <si>
    <t>423 IAM ARIEL BS BBY G</t>
  </si>
  <si>
    <t>112Q423U006</t>
  </si>
  <si>
    <t>423 IAM FLNDR BS BBY B</t>
  </si>
  <si>
    <t>112Q423U019</t>
  </si>
  <si>
    <t>423 IAM ARL SHOE BBY G</t>
  </si>
  <si>
    <t>0-6mo - 0350</t>
  </si>
  <si>
    <t>112Q423U020</t>
  </si>
  <si>
    <t>423 IAM FLND SHOE BBY B</t>
  </si>
  <si>
    <t>112Q423U022</t>
  </si>
  <si>
    <t>PTR423 BABY SET B</t>
  </si>
  <si>
    <t>BABY BOYS APPAREL</t>
  </si>
  <si>
    <t>112Q423U023</t>
  </si>
  <si>
    <t>423 IAM WOODY BS BBY B</t>
  </si>
  <si>
    <t>112Q423U024</t>
  </si>
  <si>
    <t>423 IAM JESSI BS BBY G</t>
  </si>
  <si>
    <t>115Q223U028</t>
  </si>
  <si>
    <t>MVL223 SM SCLPTD MUG</t>
  </si>
  <si>
    <t>115Q223U092</t>
  </si>
  <si>
    <t>AC223 BTS YTH SS WATER BTL</t>
  </si>
  <si>
    <t>115Q223U093</t>
  </si>
  <si>
    <t>AC223 FBM BTS YOUTH WATER BOTTLE</t>
  </si>
  <si>
    <t>115Q323U015</t>
  </si>
  <si>
    <t>TS323 FBM BTS YTH DRINKWR</t>
  </si>
  <si>
    <t>115Q323U016</t>
  </si>
  <si>
    <t>TS323 BTS YTH DRINKWARE</t>
  </si>
  <si>
    <t>115Q323U038</t>
  </si>
  <si>
    <t>MVBTS23 SM Y SS WB</t>
  </si>
  <si>
    <t>115Q323U039</t>
  </si>
  <si>
    <t>MVBTS23 SM Y  PLS WB</t>
  </si>
  <si>
    <t>115Q323U052</t>
  </si>
  <si>
    <t>SWBTS23 Y SS WTR BTL</t>
  </si>
  <si>
    <t>115Q323U103</t>
  </si>
  <si>
    <t>BTS323 AC WB MM</t>
  </si>
  <si>
    <t>115Q323U104</t>
  </si>
  <si>
    <t>BTS323 AC WB MN</t>
  </si>
  <si>
    <t>115Q323U125</t>
  </si>
  <si>
    <t>BTSQ323 MM SS WB</t>
  </si>
  <si>
    <t>115Q323U126</t>
  </si>
  <si>
    <t>BTSQ323 MN SS WB</t>
  </si>
  <si>
    <t>115Q422D121</t>
  </si>
  <si>
    <t>NBCQ422 OOGIE MUG</t>
  </si>
  <si>
    <t>115Q423U008</t>
  </si>
  <si>
    <t>115Q423U009</t>
  </si>
  <si>
    <t>MGE23 AC TMBLR WPLSH CRR</t>
  </si>
  <si>
    <t>RONGHENG GIFTS CO LTD (I)</t>
  </si>
  <si>
    <t>115Q423U010</t>
  </si>
  <si>
    <t>MCESM23 FLPTOP TMBLR YTH</t>
  </si>
  <si>
    <t>115Q423U016</t>
  </si>
  <si>
    <t>MCEBP23 HEAT RVL MUG</t>
  </si>
  <si>
    <t>115Q423U017</t>
  </si>
  <si>
    <t>MCEIM23 HEAT RVL MUG</t>
  </si>
  <si>
    <t>115Q423U023</t>
  </si>
  <si>
    <t>NBCT423 WATER BTTL</t>
  </si>
  <si>
    <t>115Q423U028</t>
  </si>
  <si>
    <t>HYDQ423 DSY CFF GLASS</t>
  </si>
  <si>
    <t>115Q423U029</t>
  </si>
  <si>
    <t>HYDQ423 DD CFF GLASS</t>
  </si>
  <si>
    <t>115Q423U032</t>
  </si>
  <si>
    <t xml:space="preserve">HYDRQ423 MN YTH TMBLR </t>
  </si>
  <si>
    <t>115Q423U033</t>
  </si>
  <si>
    <t>HYDRQ423 MM YTH TMBR</t>
  </si>
  <si>
    <t>115Q423U037</t>
  </si>
  <si>
    <t>MUGQ423 QUEEN HEART</t>
  </si>
  <si>
    <t>115Q423U043</t>
  </si>
  <si>
    <t>MUG423 MM HAND</t>
  </si>
  <si>
    <t>115Q423U056</t>
  </si>
  <si>
    <t>MW423 S6 PLATES W STAND</t>
  </si>
  <si>
    <t>COOKING TOOLS</t>
  </si>
  <si>
    <t>115Q423U058</t>
  </si>
  <si>
    <t>MP423 YOUTH DRINKWARE</t>
  </si>
  <si>
    <t>115Q423U098</t>
  </si>
  <si>
    <t>SWAT23 AHSK MUG</t>
  </si>
  <si>
    <t>115Q423U100</t>
  </si>
  <si>
    <t>HYDQ423 GARDEN MM WB</t>
  </si>
  <si>
    <t>115Q423U107</t>
  </si>
  <si>
    <t>MUGQ423 HCUS PCS SPN</t>
  </si>
  <si>
    <t>115Q423U108</t>
  </si>
  <si>
    <t>D100SM423 MUG</t>
  </si>
  <si>
    <t>CROWN CERAMICS CO LTD</t>
  </si>
  <si>
    <t>115Q423U112</t>
  </si>
  <si>
    <t xml:space="preserve">MGE23 WTRBL YTH </t>
  </si>
  <si>
    <t>116Q123U177</t>
  </si>
  <si>
    <t>PAN123 WENDY OEPN</t>
  </si>
  <si>
    <t>116Q123U178</t>
  </si>
  <si>
    <t>PAN123 JON MIKE OEPN</t>
  </si>
  <si>
    <t>116Q123U180</t>
  </si>
  <si>
    <t>PAN123 PIRATES OEPN</t>
  </si>
  <si>
    <t>116Q123U182</t>
  </si>
  <si>
    <t>WTP123 SILLYISM OEPN</t>
  </si>
  <si>
    <t>116Q123U584</t>
  </si>
  <si>
    <t>MVL23 THOR ORN</t>
  </si>
  <si>
    <t>116Q123U585</t>
  </si>
  <si>
    <t>MVL23 CPT MVL ORN</t>
  </si>
  <si>
    <t>116Q123U586</t>
  </si>
  <si>
    <t>MVL23 BLK PANTHER ORN</t>
  </si>
  <si>
    <t>116Q123U587</t>
  </si>
  <si>
    <t>MVL23 IRON MAN ORN</t>
  </si>
  <si>
    <t>116Q124U220</t>
  </si>
  <si>
    <t>D100SM423 MM CONCERT ORN</t>
  </si>
  <si>
    <t>HARDLINES ROOM ACCESSORIES</t>
  </si>
  <si>
    <t>EDCO (I)</t>
  </si>
  <si>
    <t>TILTWORKS, INC. (I)</t>
  </si>
  <si>
    <t>XS PET - 0665</t>
  </si>
  <si>
    <t>SML PET - 0666</t>
  </si>
  <si>
    <t>MED PET - 0667</t>
  </si>
  <si>
    <t>LARGE PET - 0668</t>
  </si>
  <si>
    <t>XL PET - 0669</t>
  </si>
  <si>
    <t>116Q423U003</t>
  </si>
  <si>
    <t>HW423 MICKEY OEPNCZ</t>
  </si>
  <si>
    <t>116Q423U004</t>
  </si>
  <si>
    <t>HW423 MINNIE OEPNCZ</t>
  </si>
  <si>
    <t>116Q423U006</t>
  </si>
  <si>
    <t>HW423 PLUTO OEPNCZ</t>
  </si>
  <si>
    <t>116Q423U007</t>
  </si>
  <si>
    <t>HW423 PMKIN MM OEPNCZ</t>
  </si>
  <si>
    <t>116Q423U008</t>
  </si>
  <si>
    <t>HW423 DAISY OEPNCZ</t>
  </si>
  <si>
    <t>116Q423U021</t>
  </si>
  <si>
    <t>NBC423 JACK OEPNCZ</t>
  </si>
  <si>
    <t>116Q423U022</t>
  </si>
  <si>
    <t>NBC423 SALLY OEPNCZ</t>
  </si>
  <si>
    <t>116Q423U026</t>
  </si>
  <si>
    <t>LNYRD23 MM OE</t>
  </si>
  <si>
    <t>116Q423U189</t>
  </si>
  <si>
    <t>MCESM23 SPIDERMAN OEPN</t>
  </si>
  <si>
    <t>116Q423U192</t>
  </si>
  <si>
    <t>MCEIM23 IRON MAN OEPN</t>
  </si>
  <si>
    <t>116Q423U207</t>
  </si>
  <si>
    <t>MGE23 GROOT ORNAMENT</t>
  </si>
  <si>
    <t>116Q423U208</t>
  </si>
  <si>
    <t>116Q423U209</t>
  </si>
  <si>
    <t>MGE23 GROOT FLC THROW</t>
  </si>
  <si>
    <t>116Q423U211</t>
  </si>
  <si>
    <t>CORE423 CD SB ORN</t>
  </si>
  <si>
    <t>116Q423U212</t>
  </si>
  <si>
    <t xml:space="preserve">CORE423 JB SB ORN </t>
  </si>
  <si>
    <t>116Q423U213</t>
  </si>
  <si>
    <t>CORE423 GALA SB ORN</t>
  </si>
  <si>
    <t>116Q423U217</t>
  </si>
  <si>
    <t>CORE423 TRAMP SB ORN</t>
  </si>
  <si>
    <t>116Q423U219</t>
  </si>
  <si>
    <t>NBCT423 JACK ORN</t>
  </si>
  <si>
    <t>116Q423U225</t>
  </si>
  <si>
    <t>LGCY423 MULAN25</t>
  </si>
  <si>
    <t>116Q423U226</t>
  </si>
  <si>
    <t>LGCY423 BUGS25</t>
  </si>
  <si>
    <t>116Q423U227</t>
  </si>
  <si>
    <t>LGCY423 NEMO20</t>
  </si>
  <si>
    <t>116Q423U228</t>
  </si>
  <si>
    <t>LGCY423 BEAR20</t>
  </si>
  <si>
    <t>116Q423U229</t>
  </si>
  <si>
    <t>LGCY423 WALLE15</t>
  </si>
  <si>
    <t>116Q423U230</t>
  </si>
  <si>
    <t>LGCY423 MU10</t>
  </si>
  <si>
    <t>116Q423U231</t>
  </si>
  <si>
    <t>LGCY423 FROZN10</t>
  </si>
  <si>
    <t>116Q423U232</t>
  </si>
  <si>
    <t>SKTC423 FROZEN LM</t>
  </si>
  <si>
    <t>116Q423U233</t>
  </si>
  <si>
    <t>SKTC423 SCALLOP 3D</t>
  </si>
  <si>
    <t>116Q423U234</t>
  </si>
  <si>
    <t>SKTC423 LUMEN DOME</t>
  </si>
  <si>
    <t>116Q423U235</t>
  </si>
  <si>
    <t>SKTC423 KUZCO 3D</t>
  </si>
  <si>
    <t>116Q423U236</t>
  </si>
  <si>
    <t>SKTC423 ESMERALDA 3D</t>
  </si>
  <si>
    <t>116Q423U237</t>
  </si>
  <si>
    <t>SKTC423 RAPUNZEL 3D</t>
  </si>
  <si>
    <t>116Q423U238</t>
  </si>
  <si>
    <t>SKTC423 HERC MEG 3D</t>
  </si>
  <si>
    <t>116Q423U289</t>
  </si>
  <si>
    <t>116Q423U295</t>
  </si>
  <si>
    <t>116Q423U303</t>
  </si>
  <si>
    <t>HW423 PMPKN MUG</t>
  </si>
  <si>
    <t>116Q423U304</t>
  </si>
  <si>
    <t>HW423 LG PMPKN LUP</t>
  </si>
  <si>
    <t>116Q423U305</t>
  </si>
  <si>
    <t>HW423 DOOR SIGN LUP</t>
  </si>
  <si>
    <t>116Q423U306</t>
  </si>
  <si>
    <t>HW423 DOORMAT</t>
  </si>
  <si>
    <t>SOFTLINES ROOM ACCESSORIES</t>
  </si>
  <si>
    <t>116Q423U307</t>
  </si>
  <si>
    <t>HW423 THROW</t>
  </si>
  <si>
    <t>HW423 PMPKN CNDY BWL</t>
  </si>
  <si>
    <t>ADULT DINNERWARE</t>
  </si>
  <si>
    <t>HW423 SM PMPKN LUP</t>
  </si>
  <si>
    <t>116Q423U310</t>
  </si>
  <si>
    <t>HW423 PMPKN VTV HLDR</t>
  </si>
  <si>
    <t>116Q423U311</t>
  </si>
  <si>
    <t>HW423 KITCHEN TOWEL</t>
  </si>
  <si>
    <t>116Q423U312</t>
  </si>
  <si>
    <t>HW423 WINDOW CLNGS</t>
  </si>
  <si>
    <t>116Q423U313</t>
  </si>
  <si>
    <t>HW423 COUNTDWN CAL</t>
  </si>
  <si>
    <t>116Q423U314</t>
  </si>
  <si>
    <t>HW423 FAB5 SCENE LUP</t>
  </si>
  <si>
    <t>XXS PET - 1214</t>
  </si>
  <si>
    <t>S PET - 0666</t>
  </si>
  <si>
    <t>M PET - 0667</t>
  </si>
  <si>
    <t>L PET - 0668</t>
  </si>
  <si>
    <t>XXL PET - 1028</t>
  </si>
  <si>
    <t>116Q423U326</t>
  </si>
  <si>
    <t>SWPA23 BALL TOY LU</t>
  </si>
  <si>
    <t>NBC423 ROULETTE WHL</t>
  </si>
  <si>
    <t>116Q423U333</t>
  </si>
  <si>
    <t>NBC423 FROGS DIFFUSR</t>
  </si>
  <si>
    <t>116Q423U344</t>
  </si>
  <si>
    <t>NBCT423 THROW</t>
  </si>
  <si>
    <t>116Q423U351</t>
  </si>
  <si>
    <t>MW423 WHISK</t>
  </si>
  <si>
    <t>KITCHEN ACCESSORIES</t>
  </si>
  <si>
    <t>116Q423U353</t>
  </si>
  <si>
    <t>MW423 S6 REUSE BAGS</t>
  </si>
  <si>
    <t>116Q423U354</t>
  </si>
  <si>
    <t>MW423 S2 FOOD STRAGE</t>
  </si>
  <si>
    <t>116Q423U358</t>
  </si>
  <si>
    <t>MW423 S3 MIXNG BOWLS</t>
  </si>
  <si>
    <t>116Q423U359</t>
  </si>
  <si>
    <t>MW423 S4 MEASURE CUP</t>
  </si>
  <si>
    <t>116Q423U360</t>
  </si>
  <si>
    <t>MW423 KITCHEN TOWEL</t>
  </si>
  <si>
    <t>116Q423U361</t>
  </si>
  <si>
    <t>MW423 APRON MM</t>
  </si>
  <si>
    <t>116Q423U362</t>
  </si>
  <si>
    <t>MW423 APRON MINNIE</t>
  </si>
  <si>
    <t>116Q423U367</t>
  </si>
  <si>
    <t>MW423 UTENSIL HLDR</t>
  </si>
  <si>
    <t>116Q423U369</t>
  </si>
  <si>
    <t>MW423 POUR BOTTLE</t>
  </si>
  <si>
    <t>116Q423U370</t>
  </si>
  <si>
    <t>MW423 COFFEE PRESS</t>
  </si>
  <si>
    <t>116Q423U371</t>
  </si>
  <si>
    <t>MW423 STIRSTICKS CUP</t>
  </si>
  <si>
    <t>116Q423U372</t>
  </si>
  <si>
    <t>MW423 MUG W STENCILS</t>
  </si>
  <si>
    <t>116Q423U422</t>
  </si>
  <si>
    <t>SW423 EP 1 ORNAMENT</t>
  </si>
  <si>
    <t>116Q423U423</t>
  </si>
  <si>
    <t>SW423 EP 2 ORNAMENT</t>
  </si>
  <si>
    <t>116Q423U424</t>
  </si>
  <si>
    <t>SW423 EP 3 ORNAMENT</t>
  </si>
  <si>
    <t>116Q423U425</t>
  </si>
  <si>
    <t>MP423 PILLOW</t>
  </si>
  <si>
    <t>116Q423U426</t>
  </si>
  <si>
    <t>MP423 THROW</t>
  </si>
  <si>
    <t>116Q423U444</t>
  </si>
  <si>
    <t>CORE423 STTCH SB ORN</t>
  </si>
  <si>
    <t>116Q423U449</t>
  </si>
  <si>
    <t>Q423 URSULA PET COSTUME</t>
  </si>
  <si>
    <t>116Q423U508</t>
  </si>
  <si>
    <t>NBCT423 OOGIE ORN</t>
  </si>
  <si>
    <t>116Q423U528</t>
  </si>
  <si>
    <t>HW423 PET PMKN CSTM</t>
  </si>
  <si>
    <t>116Q423U530</t>
  </si>
  <si>
    <t>D100SM423 THROW</t>
  </si>
  <si>
    <t>116Q423U533</t>
  </si>
  <si>
    <t>MW423 CORNCOB HLDERS</t>
  </si>
  <si>
    <t>116Q423U543</t>
  </si>
  <si>
    <t>HW423 PMPKN TRT BKT LUP</t>
  </si>
  <si>
    <t>116Q423U551</t>
  </si>
  <si>
    <t xml:space="preserve"> VINYL SERIES 1 </t>
  </si>
  <si>
    <t>117Q123U047</t>
  </si>
  <si>
    <t>MVL123 IRN MN CC FIG PEN</t>
  </si>
  <si>
    <t>117Q123U048</t>
  </si>
  <si>
    <t>MARVEL DELUX ART KIT</t>
  </si>
  <si>
    <t xml:space="preserve">ARTAPOWER INTERNATIONAL </t>
  </si>
  <si>
    <t>117Q223U017</t>
  </si>
  <si>
    <t>AC223 ZIP KIT</t>
  </si>
  <si>
    <t>117Q323U003</t>
  </si>
  <si>
    <t>TS323 BTS TY STRY ZIP KIT</t>
  </si>
  <si>
    <t>117Q323U005</t>
  </si>
  <si>
    <t>MVBTS23 SM ZIP KIT</t>
  </si>
  <si>
    <t>117Q323U009</t>
  </si>
  <si>
    <t>SWBTS23 GGU ZIP KIT</t>
  </si>
  <si>
    <t>117Q323U037</t>
  </si>
  <si>
    <t>DC323 BTS ZIPKIT MM</t>
  </si>
  <si>
    <t>117Q323U038</t>
  </si>
  <si>
    <t>DC323 BTS ZIPKIT MN</t>
  </si>
  <si>
    <t>117Q423U006</t>
  </si>
  <si>
    <t>DVE23 VDR JOURNAL</t>
  </si>
  <si>
    <t>38564</t>
  </si>
  <si>
    <t>DTO1230304NSS</t>
  </si>
  <si>
    <t>DTO1330101NSS</t>
  </si>
  <si>
    <t>DTO1330305NSS</t>
  </si>
  <si>
    <t>U118-HA-08001</t>
  </si>
  <si>
    <t>U118-HA-08002</t>
  </si>
  <si>
    <t>U119-HK-05009</t>
  </si>
  <si>
    <t>U217-HK-01001</t>
  </si>
  <si>
    <t>U217-HK-01002</t>
  </si>
  <si>
    <t>U319-HK-03002</t>
  </si>
  <si>
    <t>U319-HK-03004</t>
  </si>
  <si>
    <t>U416-HK-03005</t>
  </si>
  <si>
    <t>101Q223U005</t>
  </si>
  <si>
    <t>103Q422D012</t>
  </si>
  <si>
    <t>103Q422D004</t>
  </si>
  <si>
    <t>103Q422D014</t>
  </si>
  <si>
    <t>103Q423U095</t>
  </si>
  <si>
    <t>103Q422D032</t>
  </si>
  <si>
    <t>103Q223U073</t>
  </si>
  <si>
    <t>103Q422D036</t>
  </si>
  <si>
    <t>103Q122D512</t>
  </si>
  <si>
    <t>115Q423U040</t>
  </si>
  <si>
    <t>115Q423U041</t>
  </si>
  <si>
    <t>116Q423U352</t>
  </si>
  <si>
    <t>116Q423U357</t>
  </si>
  <si>
    <t>116Q423U356</t>
  </si>
  <si>
    <t>116Q423U364</t>
  </si>
  <si>
    <t>116Q423U368</t>
  </si>
  <si>
    <t>109Q423U063</t>
  </si>
  <si>
    <t>105Q423U297</t>
  </si>
  <si>
    <t>105Q423U299</t>
  </si>
  <si>
    <t>105Q423U300</t>
  </si>
  <si>
    <t>105Q423U302</t>
  </si>
  <si>
    <t>105Q423U332</t>
  </si>
  <si>
    <t>103Q422D033</t>
  </si>
  <si>
    <t>104Q422D135</t>
  </si>
  <si>
    <t>HYUNDAI</t>
  </si>
  <si>
    <t>Apparel_</t>
  </si>
  <si>
    <t>Glow</t>
  </si>
  <si>
    <t>Role_Play</t>
  </si>
  <si>
    <t>020Q420U005</t>
  </si>
  <si>
    <t>103Q423U101</t>
  </si>
  <si>
    <t>103Q423U041</t>
  </si>
  <si>
    <t>103Q121D016</t>
  </si>
  <si>
    <t>U118-HA-08003</t>
  </si>
  <si>
    <t>115Q423U066</t>
  </si>
  <si>
    <t>115Q423U020</t>
  </si>
  <si>
    <t>115Q223U033</t>
  </si>
  <si>
    <t>115Q221D142</t>
  </si>
  <si>
    <t>101Q220B309</t>
  </si>
  <si>
    <t>FS ZOOTOPIA P20</t>
  </si>
  <si>
    <t>SUN WING MING IND LTD</t>
  </si>
  <si>
    <t>CAMINO INTERNATIONAL LTD (I)</t>
  </si>
  <si>
    <t>SIMNEX INDUSTRIAL LTD (I)</t>
  </si>
  <si>
    <t>OVATION HOLDINGS LTD (I)</t>
  </si>
  <si>
    <t xml:space="preserve">INTERNATIONAL TOY (I)  </t>
  </si>
  <si>
    <t>103Q223U017</t>
  </si>
  <si>
    <t>ANNA223 SD PLSH</t>
  </si>
  <si>
    <t>103Q223U018</t>
  </si>
  <si>
    <t>103Q223U022</t>
  </si>
  <si>
    <t>103Q423U022</t>
  </si>
  <si>
    <t xml:space="preserve">LC DUMBO CUDDLEEZ </t>
  </si>
  <si>
    <t>103Q423U114</t>
  </si>
  <si>
    <t>CDDLZ423 HOL STCH LC PLSH</t>
  </si>
  <si>
    <t>104Q422D011</t>
  </si>
  <si>
    <t xml:space="preserve">CIN-LTUPSHOE-G-F22 </t>
  </si>
  <si>
    <t>BEJEWELED ACCESSORIES (BA) CREATIONS LIMITED (I)</t>
  </si>
  <si>
    <t>AMSCAN ASIA INTL. LTD (I)</t>
  </si>
  <si>
    <t>ZHEJIANG EMF COSPLAY CULTURE INDUSTRY CO., LTD. (I)</t>
  </si>
  <si>
    <t>BIOWORLD MERCHANDISING(I)</t>
  </si>
  <si>
    <t>CHUNG JEN (I)</t>
  </si>
  <si>
    <t>CONCEPT ONE (I)</t>
  </si>
  <si>
    <t>EDEN UNLIMITED (I)</t>
  </si>
  <si>
    <t>UNITED TEXTILE (I)</t>
  </si>
  <si>
    <t>I APPAREL INTL GRP (I)</t>
  </si>
  <si>
    <t>OTI QINGDAO (I)</t>
  </si>
  <si>
    <t>JIANGYINSHI ZHENGWEI (I)</t>
  </si>
  <si>
    <t>SINO(HK) BUSINESS TRA (I)</t>
  </si>
  <si>
    <t>SOUND N LIGHT (I)</t>
  </si>
  <si>
    <t>ACTIVE LINE INTERNATIO(I)</t>
  </si>
  <si>
    <t>EASTLANDS INDUSTRIAL CO., LTD.</t>
  </si>
  <si>
    <t>116Q423U308</t>
  </si>
  <si>
    <t>116q423u309</t>
  </si>
  <si>
    <t>DOUBLE TRIUMPH INT CO (I)</t>
  </si>
  <si>
    <t>RUAI SHEN CO., LTD. (I)</t>
  </si>
  <si>
    <t>SUCCESS (I)</t>
  </si>
  <si>
    <t>116q423u332</t>
  </si>
  <si>
    <t>PRO PRODUCTS CO.,LTD. (I)</t>
  </si>
  <si>
    <t>SARA ROSE INTL.INC.(I)</t>
  </si>
  <si>
    <t>ARTAPOWER INTERNATIONAL G</t>
  </si>
  <si>
    <t>Jessee, Jane A</t>
  </si>
  <si>
    <t>Allan, Sarah</t>
  </si>
  <si>
    <t>Scharf, Simone</t>
  </si>
  <si>
    <t>Tift, Margaret M.</t>
  </si>
  <si>
    <t>Risco, Eileen M.</t>
  </si>
  <si>
    <t>Unknown</t>
  </si>
  <si>
    <t>Ashman, Nancy L.</t>
  </si>
  <si>
    <t>Capobianco, Leanne J.</t>
  </si>
  <si>
    <t>Sturniolo, Matthew</t>
  </si>
  <si>
    <t>MM THRU THE YEARS PUZZLE</t>
  </si>
  <si>
    <t>SWGG23 GROGU PRAM BMP N GO</t>
  </si>
  <si>
    <t xml:space="preserve">CAMINO INTERNATIONAL LTD (INDONESIA) </t>
  </si>
  <si>
    <t>SW23 GROGU MNDO PLLBCK</t>
  </si>
  <si>
    <t>BLUENET INTERNAT'L (HK) CO LTD (SZ)</t>
  </si>
  <si>
    <t>DW WHSL PUZZLE 4PK P22</t>
  </si>
  <si>
    <t>DSPF PINOCCHIO 80TH PUZZLE</t>
  </si>
  <si>
    <t>MW423 TEA STORAGE</t>
  </si>
  <si>
    <t xml:space="preserve">LIFETIME BRANDS  INC.    ( FOB Ningbo ) </t>
  </si>
  <si>
    <t>MW423 COFFEE STORAGE</t>
  </si>
  <si>
    <t>BABIES423 BOLT RYC PLSH</t>
  </si>
  <si>
    <t>SNAP GLOBAL SOLUTIONS LTD (SHA)</t>
  </si>
  <si>
    <t>MBBP SUSTAINABLE ANGEL</t>
  </si>
  <si>
    <t>SNAP GLOBAL SOLUTIONS (I)</t>
  </si>
  <si>
    <t xml:space="preserve">FN423 HANK RYC MC PLSH </t>
  </si>
  <si>
    <t>SW423 GROGU SC RYC PLSH</t>
  </si>
  <si>
    <t>MC SUSTAINABLE STITCH</t>
  </si>
  <si>
    <t>SC SUS PINK MINNIE</t>
  </si>
  <si>
    <t>DREAM INTL LTD CO (I)</t>
  </si>
  <si>
    <t>SC EEYORE SUS H22</t>
  </si>
  <si>
    <t>DANU INTERNATIONAL LTD(I)</t>
  </si>
  <si>
    <t>LC RECYCLED STITCH</t>
  </si>
  <si>
    <t>LC RECYCLED PINK MINNIE</t>
  </si>
  <si>
    <t>LC SUSTAINABLE MICKEY</t>
  </si>
  <si>
    <t>ACE NOVELTY CO LTD (I)</t>
  </si>
  <si>
    <t>POOH CUDDLEEZ H21</t>
  </si>
  <si>
    <t>BABIES223 BAMBI SC PLSH</t>
  </si>
  <si>
    <t>LNYRD23 PIXR MULT OE</t>
  </si>
  <si>
    <t>Pavilion</t>
  </si>
  <si>
    <t>ENC MIRBL ANTON OEPN</t>
  </si>
  <si>
    <t>Edco</t>
  </si>
  <si>
    <t>CEE423 M AOP LS SLP SET</t>
  </si>
  <si>
    <t>MENS XS-XXXL PRK EXT</t>
  </si>
  <si>
    <t>MENS SLEEPWEAR</t>
  </si>
  <si>
    <t>UNITED TEXTILE INDUSTRY LTD</t>
  </si>
  <si>
    <t>GFY MV 423 MTL KC</t>
  </si>
  <si>
    <t>CHUNG JEN EMBLEM CO LTD</t>
  </si>
  <si>
    <t>DLE 423 PLSH KC</t>
  </si>
  <si>
    <t>ACE NOVELTY CO LTD (SZ)</t>
  </si>
  <si>
    <t>CHP 423 PLSH KC</t>
  </si>
  <si>
    <t>GFY 423 PLSH KC</t>
  </si>
  <si>
    <t>JWL423 MN BRAC</t>
  </si>
  <si>
    <t>JEWELLERY &amp; WATCHES</t>
  </si>
  <si>
    <t>SHALOM INTERNATIONAL (I)</t>
  </si>
  <si>
    <t>MVL423 SKBK COM EARH ORN​</t>
  </si>
  <si>
    <t>J-GLORY CO LTD</t>
  </si>
  <si>
    <t>UNCAS INTERNATIONAL (I)</t>
  </si>
  <si>
    <t>YANG LI ENTERPRISE CO (I)</t>
  </si>
  <si>
    <t>MW423 COMPOST BIN</t>
  </si>
  <si>
    <t>BRINWARE LLC (INDIA )</t>
  </si>
  <si>
    <t>MW423 CUTTING BOARD</t>
  </si>
  <si>
    <t xml:space="preserve"> HOME DECOR</t>
  </si>
  <si>
    <t>BRINWARE LLC</t>
  </si>
  <si>
    <t>MW423 S2 SPLATULAS</t>
  </si>
  <si>
    <t>SHANGHAI SINO BUSINESS TRADING CO</t>
  </si>
  <si>
    <t>STITCH MUG WITH SPOON</t>
  </si>
  <si>
    <t>MINNIE MUG WITH SPOON</t>
  </si>
  <si>
    <t>MICKEY MUG WITH SPOON</t>
  </si>
  <si>
    <t>EN423 CERAMIC MUG</t>
  </si>
  <si>
    <t>CROWN CERAMICS CO LTD (I)</t>
  </si>
  <si>
    <t>MUGQ423 FLOWER</t>
  </si>
  <si>
    <t>CHENGTEH CHINAWARE (TH) CO LTD</t>
  </si>
  <si>
    <t>SWGG23 DOME WTRBL W STRW</t>
  </si>
  <si>
    <t>MA6023 MUG​</t>
  </si>
  <si>
    <t>DHCQ223 MUG</t>
  </si>
  <si>
    <t>CM NEW CHIP MUG P21</t>
  </si>
  <si>
    <t>MUGQ423 CD GLASS</t>
  </si>
  <si>
    <t>CINDY HORSE AND CARRIAGE</t>
  </si>
  <si>
    <t>CAMINO INTL LTD (I)</t>
  </si>
  <si>
    <t>STRYBK PLAYSET RAPNZL</t>
  </si>
  <si>
    <t>STRYBK PLAYSET ARIEL</t>
  </si>
  <si>
    <t>5 INCH ANIM PLAYSET MOANA</t>
  </si>
  <si>
    <t>MV423 AVNGR FSD</t>
  </si>
  <si>
    <t>SWGG23 WNDUP WALKING GROGU</t>
  </si>
  <si>
    <t>DELUXE RED MINNIE COSTUME</t>
  </si>
  <si>
    <t>RAPUNZEL-WIG-MUL-G-F19</t>
  </si>
  <si>
    <t>LF CENTENNIAL PTE LTD (I)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</si>
</sst>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.00_);_(* \(#,##0.00\);_(* &quot;&quot;??_);_(@_)"/>
  </numFmts>
  <fonts count="1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sz val="10"/>
      <color rgb="FFFF0000"/>
      <name val="Verdana"/>
      <family val="2"/>
    </font>
    <font>
      <b/>
      <sz val="16"/>
      <name val="Verdana"/>
      <family val="2"/>
    </font>
    <font>
      <b/>
      <sz val="14"/>
      <name val="Verdana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9CCFF"/>
        <bgColor rgb="FF000000"/>
      </patternFill>
    </fill>
    <fill>
      <patternFill patternType="solid">
        <fgColor rgb="FF4F81BD"/>
        <bgColor rgb="FF4F81BD"/>
      </patternFill>
    </fill>
    <fill>
      <patternFill patternType="solid">
        <fgColor rgb="FFDCE6F1"/>
        <bgColor rgb="FFDCE6F1"/>
      </patternFill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rgb="FF95B3D7"/>
      </left>
      <right/>
      <top style="thin">
        <color rgb="FF95B3D7"/>
      </top>
      <bottom/>
      <diagonal/>
    </border>
    <border>
      <left/>
      <right/>
      <top style="thin">
        <color rgb="FF95B3D7"/>
      </top>
      <bottom/>
      <diagonal/>
    </border>
    <border>
      <left/>
      <right style="thin">
        <color rgb="FF95B3D7"/>
      </right>
      <top style="thin">
        <color rgb="FF95B3D7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rgb="FF95B3D7"/>
      </right>
      <top/>
      <bottom style="thin">
        <color rgb="FF95B3D7"/>
      </bottom>
      <diagonal/>
    </border>
    <border>
      <left/>
      <right/>
      <top/>
      <bottom style="thin">
        <color rgb="FF95B3D7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/>
      <top/>
      <bottom/>
      <diagonal/>
    </border>
    <border>
      <left/>
      <right style="thin">
        <color rgb="FF95B3D7"/>
      </right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62">
    <xf numFmtId="0" fontId="0" fillId="0" borderId="0" xfId="0"/>
    <xf numFmtId="0" fontId="1" fillId="2" borderId="0" xfId="0" applyFont="1" applyFill="1" applyBorder="1" applyProtection="1"/>
    <xf numFmtId="0" fontId="2" fillId="2" borderId="0" xfId="0" applyFont="1" applyFill="1" applyBorder="1" applyProtection="1"/>
    <xf numFmtId="0" fontId="0" fillId="0" borderId="1" xfId="0" applyBorder="1"/>
    <xf numFmtId="0" fontId="1" fillId="2" borderId="0" xfId="0" applyFont="1" applyFill="1" applyBorder="1" applyAlignment="1" applyProtection="1">
      <alignment horizontal="left"/>
    </xf>
    <xf numFmtId="0" fontId="3" fillId="2" borderId="0" xfId="0" applyFont="1" applyFill="1" applyBorder="1" applyAlignment="1" applyProtection="1">
      <alignment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6" fillId="3" borderId="2" xfId="0" applyFont="1" applyFill="1" applyBorder="1"/>
    <xf numFmtId="0" fontId="6" fillId="3" borderId="3" xfId="0" applyFont="1" applyFill="1" applyBorder="1"/>
    <xf numFmtId="0" fontId="6" fillId="3" borderId="4" xfId="0" applyFont="1" applyFill="1" applyBorder="1"/>
    <xf numFmtId="0" fontId="7" fillId="4" borderId="2" xfId="0" applyFont="1" applyFill="1" applyBorder="1"/>
    <xf numFmtId="0" fontId="7" fillId="4" borderId="3" xfId="0" applyFont="1" applyFill="1" applyBorder="1"/>
    <xf numFmtId="0" fontId="7" fillId="4" borderId="4" xfId="0" applyFont="1" applyFill="1" applyBorder="1"/>
    <xf numFmtId="0" fontId="7" fillId="0" borderId="2" xfId="0" applyFont="1" applyFill="1" applyBorder="1"/>
    <xf numFmtId="0" fontId="7" fillId="0" borderId="3" xfId="0" applyFont="1" applyFill="1" applyBorder="1"/>
    <xf numFmtId="0" fontId="7" fillId="0" borderId="4" xfId="0" applyFont="1" applyFill="1" applyBorder="1"/>
    <xf numFmtId="0" fontId="7" fillId="0" borderId="5" xfId="0" applyFont="1" applyFill="1" applyBorder="1"/>
    <xf numFmtId="0" fontId="7" fillId="0" borderId="6" xfId="0" applyFont="1" applyFill="1" applyBorder="1"/>
    <xf numFmtId="0" fontId="7" fillId="0" borderId="7" xfId="0" applyFont="1" applyFill="1" applyBorder="1"/>
    <xf numFmtId="0" fontId="0" fillId="0" borderId="0" xfId="0"/>
    <xf numFmtId="0" fontId="4" fillId="2" borderId="0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/>
    <xf numFmtId="0" fontId="6" fillId="3" borderId="13" xfId="0" applyFont="1" applyFill="1" applyBorder="1"/>
    <xf numFmtId="43" fontId="8" fillId="5" borderId="8" xfId="0" applyNumberFormat="1" applyFont="1" applyFill="1" applyBorder="1" applyAlignment="1">
      <alignment horizontal="center"/>
    </xf>
    <xf numFmtId="43" fontId="8" fillId="5" borderId="11" xfId="0" applyNumberFormat="1" applyFont="1" applyFill="1" applyBorder="1" applyAlignment="1">
      <alignment horizontal="center"/>
    </xf>
    <xf numFmtId="43" fontId="8" fillId="5" borderId="9" xfId="0" applyNumberFormat="1" applyFont="1" applyFill="1" applyBorder="1" applyAlignment="1">
      <alignment horizontal="center"/>
    </xf>
    <xf numFmtId="164" fontId="0" fillId="6" borderId="10" xfId="0" applyNumberFormat="1" applyFill="1" applyBorder="1"/>
    <xf numFmtId="164" fontId="0" fillId="8" borderId="10" xfId="0" applyNumberFormat="1" applyFill="1" applyBorder="1"/>
    <xf numFmtId="49" fontId="0" fillId="7" borderId="14" xfId="0" applyNumberFormat="1" applyFont="1" applyFill="1" applyBorder="1"/>
    <xf numFmtId="49" fontId="0" fillId="0" borderId="0" xfId="0" applyNumberFormat="1"/>
    <xf numFmtId="49" fontId="0" fillId="6" borderId="10" xfId="0" applyNumberFormat="1" applyFill="1" applyBorder="1"/>
    <xf numFmtId="164" fontId="0" fillId="9" borderId="10" xfId="0" applyNumberFormat="1" applyFill="1" applyBorder="1"/>
    <xf numFmtId="0" fontId="0" fillId="10" borderId="1" xfId="0" applyFill="1" applyBorder="1" applyAlignment="1">
      <alignment horizontal="center" vertical="center"/>
    </xf>
    <xf numFmtId="0" fontId="10" fillId="11" borderId="1" xfId="0" applyFont="1" applyFill="1" applyBorder="1" applyAlignment="1">
      <alignment horizontal="left" vertical="top"/>
    </xf>
    <xf numFmtId="0" fontId="10" fillId="0" borderId="1" xfId="0" applyFont="1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0" fillId="0" borderId="1" xfId="0" applyBorder="1" applyAlignment="1"/>
    <xf numFmtId="0" fontId="11" fillId="0" borderId="16" xfId="0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/>
    </xf>
    <xf numFmtId="0" fontId="0" fillId="0" borderId="17" xfId="0" applyBorder="1" applyAlignment="1"/>
    <xf numFmtId="0" fontId="9" fillId="0" borderId="0" xfId="0" applyFont="1"/>
    <xf numFmtId="0" fontId="12" fillId="0" borderId="0" xfId="1"/>
    <xf numFmtId="164" fontId="0" fillId="0" borderId="10" xfId="0" applyNumberFormat="1" applyFill="1" applyBorder="1"/>
    <xf numFmtId="0" fontId="0" fillId="6" borderId="10" xfId="0" applyNumberFormat="1" applyFill="1" applyBorder="1"/>
    <xf numFmtId="0" fontId="0" fillId="0" borderId="0" xfId="0" applyFill="1"/>
    <xf numFmtId="0" fontId="0" fillId="10" borderId="18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164" fontId="0" fillId="8" borderId="19" xfId="0" applyNumberFormat="1" applyFill="1" applyBorder="1"/>
    <xf numFmtId="0" fontId="7" fillId="0" borderId="21" xfId="0" applyFont="1" applyFill="1" applyBorder="1"/>
    <xf numFmtId="0" fontId="7" fillId="0" borderId="0" xfId="0" applyFont="1" applyFill="1" applyBorder="1"/>
    <xf numFmtId="0" fontId="7" fillId="0" borderId="22" xfId="0" applyFont="1" applyFill="1" applyBorder="1"/>
    <xf numFmtId="0" fontId="0" fillId="0" borderId="0" xfId="0" applyNumberFormat="1" applyAlignment="1">
      <alignment horizontal="left"/>
    </xf>
    <xf numFmtId="0" fontId="0" fillId="0" borderId="20" xfId="0" applyFont="1" applyFill="1" applyBorder="1"/>
    <xf numFmtId="0" fontId="7" fillId="0" borderId="0" xfId="0" applyFont="1" applyFill="1"/>
    <xf numFmtId="1" fontId="0" fillId="0" borderId="0" xfId="0" applyNumberFormat="1"/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horizontal="center"/>
    </xf>
    <xf numFmtId="0" fontId="4" fillId="2" borderId="0" xfId="0" applyFont="1" applyFill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rgb="FF95B3D7"/>
        </top>
        <bottom style="thin">
          <color rgb="FF95B3D7"/>
        </bottom>
        <vertical/>
        <horizontal style="thin">
          <color rgb="FF95B3D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rgb="FF95B3D7"/>
        </top>
        <bottom style="thin">
          <color rgb="FF95B3D7"/>
        </bottom>
        <vertical/>
        <horizontal style="thin">
          <color rgb="FF95B3D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rgb="FF95B3D7"/>
        </top>
        <bottom style="thin">
          <color rgb="FF95B3D7"/>
        </bottom>
        <vertical/>
        <horizontal style="thin">
          <color rgb="FF95B3D7"/>
        </horizontal>
      </border>
    </dxf>
    <dxf>
      <border>
        <top style="thin">
          <color rgb="FF95B3D7"/>
        </top>
      </border>
    </dxf>
    <dxf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</border>
    </dxf>
    <dxf>
      <border>
        <bottom style="thin">
          <color rgb="FF95B3D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4F81BD"/>
          <bgColor rgb="FF4F81BD"/>
        </patternFill>
      </fill>
    </dxf>
    <dxf>
      <border outline="0">
        <bottom style="thin">
          <color rgb="FF95B3D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4F81BD"/>
          <bgColor rgb="FF4F81B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rgb="FF95B3D7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rgb="FF95B3D7"/>
        </left>
        <right/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209550</xdr:rowOff>
        </xdr:from>
        <xdr:to>
          <xdr:col>9</xdr:col>
          <xdr:colOff>285750</xdr:colOff>
          <xdr:row>9</xdr:row>
          <xdr:rowOff>31750</xdr:rowOff>
        </xdr:to>
        <xdr:sp macro="" textlink="">
          <xdr:nvSpPr>
            <xdr:cNvPr id="2050" name="Button 2" descr="Refresh Range Detail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Lookup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50800</xdr:colOff>
          <xdr:row>10</xdr:row>
          <xdr:rowOff>127000</xdr:rowOff>
        </xdr:from>
        <xdr:to>
          <xdr:col>9</xdr:col>
          <xdr:colOff>279400</xdr:colOff>
          <xdr:row>13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Mainlines Templates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4</xdr:col>
      <xdr:colOff>504457</xdr:colOff>
      <xdr:row>8</xdr:row>
      <xdr:rowOff>85548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0"/>
          <a:ext cx="2942857" cy="14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3</xdr:col>
      <xdr:colOff>133105</xdr:colOff>
      <xdr:row>14</xdr:row>
      <xdr:rowOff>180881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095500"/>
          <a:ext cx="1961905" cy="7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30</xdr:row>
      <xdr:rowOff>57150</xdr:rowOff>
    </xdr:from>
    <xdr:to>
      <xdr:col>7</xdr:col>
      <xdr:colOff>485209</xdr:colOff>
      <xdr:row>39</xdr:row>
      <xdr:rowOff>133126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5772150"/>
          <a:ext cx="4523809" cy="17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3</xdr:col>
      <xdr:colOff>66438</xdr:colOff>
      <xdr:row>46</xdr:row>
      <xdr:rowOff>104667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8001000"/>
          <a:ext cx="1895238" cy="866667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30</xdr:row>
      <xdr:rowOff>66675</xdr:rowOff>
    </xdr:from>
    <xdr:to>
      <xdr:col>10</xdr:col>
      <xdr:colOff>152237</xdr:colOff>
      <xdr:row>34</xdr:row>
      <xdr:rowOff>180865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43475" y="5781675"/>
          <a:ext cx="1304762" cy="8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6</xdr:col>
      <xdr:colOff>437638</xdr:colOff>
      <xdr:row>27</xdr:row>
      <xdr:rowOff>18833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29000"/>
          <a:ext cx="4095238" cy="173333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Query from MS Access Database" connectionId="1" autoFormatId="16" applyNumberFormats="0" applyBorderFormats="0" applyFontFormats="0" applyPatternFormats="0" applyAlignmentFormats="0" applyWidthHeightFormats="0">
  <queryTableRefresh preserveSortFilterLayout="0" nextId="26" unboundColumnsRight="1">
    <queryTableFields count="25">
      <queryTableField id="1" name="PlanYrQtr" tableColumnId="1"/>
      <queryTableField id="2" name="GRC_GlobalCode" tableColumnId="2"/>
      <queryTableField id="3" name="TAR" tableColumnId="3"/>
      <queryTableField id="4" name="TAA" tableColumnId="4"/>
      <queryTableField id="5" name="LVP" tableColumnId="5"/>
      <queryTableField id="6" name="ALS" tableColumnId="6"/>
      <queryTableField id="7" name="PD Designer" tableColumnId="7"/>
      <queryTableField id="8" name="DepartmentNumber" tableColumnId="8"/>
      <queryTableField id="9" name="ProductName" tableColumnId="9"/>
      <queryTableField id="10" name="Class_Name" tableColumnId="10"/>
      <queryTableField id="11" name="SubClass_Name" tableColumnId="11"/>
      <queryTableField id="12" name="VendorID" tableColumnId="12"/>
      <queryTableField id="13" name="VendorName" tableColumnId="13"/>
      <queryTableField id="14" name="SortOrder" tableColumnId="14"/>
      <queryTableField id="15" name="Size1" tableColumnId="15"/>
      <queryTableField id="16" name="Size2" tableColumnId="16"/>
      <queryTableField id="17" name="Size3" tableColumnId="17"/>
      <queryTableField id="18" name="Size4" tableColumnId="18"/>
      <queryTableField id="19" name="Size5" tableColumnId="19"/>
      <queryTableField id="20" name="Size6" tableColumnId="20"/>
      <queryTableField id="21" name="Size7" tableColumnId="21"/>
      <queryTableField id="22" name="Size8" tableColumnId="22"/>
      <queryTableField id="23" name="Size9" tableColumnId="23"/>
      <queryTableField id="24" name="Size10" tableColumnId="24"/>
      <queryTableField id="25" dataBound="0" tableColumnId="25"/>
    </queryTableFields>
  </queryTableRefresh>
</queryTable>
</file>

<file path=xl/queryTables/queryTable2.xml><?xml version="1.0" encoding="utf-8"?>
<queryTable xmlns="http://schemas.openxmlformats.org/spreadsheetml/2006/main" name="Query from MS Access Database_23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PD_Designer" tableColumnId="1"/>
      <queryTableField id="2" name="Business Unit Contact" tableColumnId="2"/>
      <queryTableField id="3" name="Alternate BU Contacts" tableColumnId="3"/>
    </queryTableFields>
  </queryTableRefresh>
</queryTable>
</file>

<file path=xl/queryTables/queryTable3.xml><?xml version="1.0" encoding="utf-8"?>
<queryTable xmlns="http://schemas.openxmlformats.org/spreadsheetml/2006/main" name="ExternalData_2" refreshOnLoad="1" connectionId="2" autoFormatId="16" applyNumberFormats="0" applyBorderFormats="0" applyFontFormats="0" applyPatternFormats="0" applyAlignmentFormats="0" applyWidthHeightFormats="0">
  <queryTableRefresh nextId="2">
    <queryTableFields count="1">
      <queryTableField id="1" name="PlanYrQtr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blGlobalRPExtract" displayName="tblGlobalRPExtract" ref="A1:Y422" tableType="queryTable" totalsRowShown="0">
  <autoFilter ref="A1:Y422"/>
  <tableColumns count="25">
    <tableColumn id="1" uniqueName="1" name="PlanYrQtr" queryTableFieldId="1"/>
    <tableColumn id="2" uniqueName="2" name="GRC_GlobalCode" queryTableFieldId="2"/>
    <tableColumn id="3" uniqueName="3" name="TAR" queryTableFieldId="3"/>
    <tableColumn id="4" uniqueName="4" name="TAA" queryTableFieldId="4"/>
    <tableColumn id="5" uniqueName="5" name="LVP" queryTableFieldId="5"/>
    <tableColumn id="6" uniqueName="6" name="ALS" queryTableFieldId="6"/>
    <tableColumn id="7" uniqueName="7" name="PD Designer" queryTableFieldId="7"/>
    <tableColumn id="8" uniqueName="8" name="DepartmentNumber" queryTableFieldId="8"/>
    <tableColumn id="9" uniqueName="9" name="ProductName" queryTableFieldId="9"/>
    <tableColumn id="10" uniqueName="10" name="Class_Name" queryTableFieldId="10"/>
    <tableColumn id="11" uniqueName="11" name="SubClass_Name" queryTableFieldId="11"/>
    <tableColumn id="12" uniqueName="12" name="VendorID" queryTableFieldId="12"/>
    <tableColumn id="13" uniqueName="13" name="VendorName" queryTableFieldId="13"/>
    <tableColumn id="14" uniqueName="14" name="SortOrder" queryTableFieldId="14"/>
    <tableColumn id="15" uniqueName="15" name="Size1" queryTableFieldId="15"/>
    <tableColumn id="16" uniqueName="16" name="Size2" queryTableFieldId="16"/>
    <tableColumn id="17" uniqueName="17" name="Size3" queryTableFieldId="17"/>
    <tableColumn id="18" uniqueName="18" name="Size4" queryTableFieldId="18"/>
    <tableColumn id="19" uniqueName="19" name="Size5" queryTableFieldId="19"/>
    <tableColumn id="20" uniqueName="20" name="Size6" queryTableFieldId="20"/>
    <tableColumn id="21" uniqueName="21" name="Size7" queryTableFieldId="21"/>
    <tableColumn id="22" uniqueName="22" name="Size8" queryTableFieldId="22"/>
    <tableColumn id="23" uniqueName="23" name="Size9" queryTableFieldId="23"/>
    <tableColumn id="24" uniqueName="24" name="Size10" queryTableFieldId="24"/>
    <tableColumn id="25" uniqueName="25" name="Size11" queryTableField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BUContacts" displayName="tblBUContacts" ref="A1:C62" tableType="queryTable" totalsRowShown="0">
  <autoFilter ref="A1:C62"/>
  <tableColumns count="3">
    <tableColumn id="1" uniqueName="1" name="PD_Designer" queryTableFieldId="1" dataDxfId="11"/>
    <tableColumn id="2" uniqueName="2" name="Business Unit Contact" queryTableFieldId="2" dataDxfId="10"/>
    <tableColumn id="3" uniqueName="3" name="Alternate BU Contacts" queryTableFieldId="3" dataDxfId="9"/>
  </tableColumns>
  <tableStyleInfo name="TableStyleMedium2 2" showFirstColumn="0" showLastColumn="0" showRowStripes="1" showColumnStripes="0"/>
</table>
</file>

<file path=xl/tables/table3.xml><?xml version="1.0" encoding="utf-8"?>
<table xmlns="http://schemas.openxmlformats.org/spreadsheetml/2006/main" id="2" name="tblPlanYrQtrs" displayName="tblPlanYrQtrs" ref="F1:F6" tableType="queryTable" totalsRowShown="0" headerRowDxfId="8" headerRowBorderDxfId="7">
  <autoFilter ref="F1:F6"/>
  <tableColumns count="1">
    <tableColumn id="1" uniqueName="1" name="PlanYrQtr" queryTableField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ClassLines" displayName="tblClassLines" ref="I1:K82" totalsRowShown="0" headerRowDxfId="6" headerRowBorderDxfId="5" tableBorderDxfId="4" totalsRowBorderDxfId="3">
  <autoFilter ref="I1:K82"/>
  <tableColumns count="3">
    <tableColumn id="1" name="Dept" dataDxfId="2"/>
    <tableColumn id="2" name="Class" dataDxfId="1"/>
    <tableColumn id="3" name="Line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N1:N31" totalsRowShown="0">
  <autoFilter ref="N1:N31"/>
  <tableColumns count="1">
    <tableColumn id="1" name="Category"/>
  </tableColumns>
  <tableStyleInfo name="TableStyleMedium2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Current%20Attribute%20Templat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P29"/>
  <sheetViews>
    <sheetView workbookViewId="0">
      <selection activeCell="F18" sqref="F18"/>
    </sheetView>
  </sheetViews>
  <sheetFormatPr defaultRowHeight="14.5" x14ac:dyDescent="0.35"/>
  <cols>
    <col min="1" max="1" width="5.26953125" customWidth="1"/>
    <col min="2" max="2" width="6.54296875" customWidth="1"/>
    <col min="3" max="3" width="19.26953125" customWidth="1"/>
    <col min="4" max="4" width="10.26953125" customWidth="1"/>
    <col min="5" max="5" width="1.7265625" customWidth="1"/>
    <col min="13" max="13" width="5" customWidth="1"/>
  </cols>
  <sheetData>
    <row r="1" spans="1:16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9"/>
      <c r="O1" s="19"/>
    </row>
    <row r="2" spans="1:1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9"/>
      <c r="O2" s="19"/>
      <c r="P2" s="19"/>
    </row>
    <row r="3" spans="1:16" ht="19.5" customHeight="1" x14ac:dyDescent="0.35">
      <c r="A3" s="1"/>
      <c r="B3" s="1"/>
      <c r="C3" s="1"/>
      <c r="D3" s="61" t="s">
        <v>2</v>
      </c>
      <c r="E3" s="61"/>
      <c r="F3" s="61"/>
      <c r="G3" s="61"/>
      <c r="H3" s="61"/>
      <c r="I3" s="61"/>
      <c r="J3" s="61"/>
      <c r="K3" s="5"/>
      <c r="L3" s="5"/>
      <c r="M3" s="5"/>
      <c r="N3" s="19"/>
      <c r="O3" s="19"/>
      <c r="P3" s="19"/>
    </row>
    <row r="4" spans="1:16" ht="19.5" customHeight="1" x14ac:dyDescent="0.35">
      <c r="A4" s="1"/>
      <c r="B4" s="1"/>
      <c r="C4" s="1"/>
      <c r="D4" s="6"/>
      <c r="E4" s="6"/>
      <c r="F4" s="6"/>
      <c r="G4" s="6"/>
      <c r="H4" s="6"/>
      <c r="I4" s="6"/>
      <c r="J4" s="6"/>
      <c r="K4" s="5"/>
      <c r="L4" s="5"/>
      <c r="M4" s="5"/>
      <c r="N4" s="19"/>
      <c r="O4" s="19"/>
      <c r="P4" s="19"/>
    </row>
    <row r="5" spans="1:16" ht="19.5" customHeight="1" x14ac:dyDescent="0.35">
      <c r="A5" s="1"/>
      <c r="B5" s="1"/>
      <c r="C5" s="1"/>
      <c r="D5" s="6"/>
      <c r="E5" s="6"/>
      <c r="F5" s="6"/>
      <c r="G5" s="6"/>
      <c r="H5" s="6"/>
      <c r="I5" s="6"/>
      <c r="J5" s="6"/>
      <c r="K5" s="5"/>
      <c r="L5" s="5"/>
      <c r="M5" s="5"/>
      <c r="N5" s="19"/>
      <c r="O5" s="19"/>
      <c r="P5" s="19"/>
    </row>
    <row r="6" spans="1:16" ht="19.5" customHeight="1" x14ac:dyDescent="0.35">
      <c r="A6" s="1"/>
      <c r="B6" s="1"/>
      <c r="C6" s="1"/>
      <c r="D6" s="6"/>
      <c r="E6" s="6"/>
      <c r="F6" s="6"/>
      <c r="G6" s="6"/>
      <c r="H6" s="6"/>
      <c r="I6" s="6"/>
      <c r="J6" s="6"/>
      <c r="K6" s="5"/>
      <c r="L6" s="5"/>
      <c r="M6" s="5"/>
      <c r="N6" s="19"/>
      <c r="O6" s="19"/>
      <c r="P6" s="19"/>
    </row>
    <row r="7" spans="1:16" s="19" customFormat="1" ht="19.5" customHeight="1" x14ac:dyDescent="0.35">
      <c r="A7" s="1"/>
      <c r="B7" s="1"/>
      <c r="C7" s="1"/>
      <c r="D7" s="20"/>
      <c r="E7" s="20"/>
      <c r="F7" s="20"/>
      <c r="G7" s="20"/>
      <c r="H7" s="20"/>
      <c r="I7" s="20"/>
      <c r="J7" s="20"/>
      <c r="K7" s="5"/>
      <c r="L7" s="5"/>
      <c r="M7" s="5"/>
    </row>
    <row r="8" spans="1:16" x14ac:dyDescent="0.35">
      <c r="A8" s="1"/>
      <c r="B8" s="1"/>
      <c r="C8" s="4" t="s">
        <v>1</v>
      </c>
      <c r="D8" s="3">
        <v>202304</v>
      </c>
      <c r="E8" s="1"/>
      <c r="F8" s="2" t="s">
        <v>0</v>
      </c>
      <c r="G8" s="1"/>
      <c r="H8" s="1"/>
      <c r="I8" s="1"/>
      <c r="J8" s="1"/>
      <c r="K8" s="1"/>
      <c r="L8" s="1"/>
      <c r="M8" s="1"/>
      <c r="N8" s="19"/>
      <c r="O8" s="19"/>
      <c r="P8" s="19"/>
    </row>
    <row r="9" spans="1:16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9"/>
      <c r="O9" s="19"/>
      <c r="P9" s="19"/>
    </row>
    <row r="10" spans="1:16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9"/>
      <c r="O10" s="19"/>
      <c r="P10" s="19"/>
    </row>
    <row r="11" spans="1:16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9"/>
      <c r="O11" s="19"/>
      <c r="P11" s="19"/>
    </row>
    <row r="12" spans="1:16" x14ac:dyDescent="0.3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9"/>
      <c r="O12" s="19"/>
      <c r="P12" s="19"/>
    </row>
    <row r="13" spans="1:16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9"/>
      <c r="O13" s="19"/>
      <c r="P13" s="19"/>
    </row>
    <row r="14" spans="1:16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9"/>
      <c r="O14" s="19"/>
      <c r="P14" s="19"/>
    </row>
    <row r="15" spans="1:16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9"/>
      <c r="O15" s="19"/>
      <c r="P15" s="19"/>
    </row>
    <row r="16" spans="1:16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9"/>
      <c r="O16" s="19"/>
      <c r="P16" s="19"/>
    </row>
    <row r="17" spans="1:16" x14ac:dyDescent="0.3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9"/>
      <c r="O17" s="19"/>
      <c r="P17" s="19"/>
    </row>
    <row r="18" spans="1:16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9"/>
      <c r="O18" s="19"/>
      <c r="P18" s="19"/>
    </row>
    <row r="19" spans="1:1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9"/>
      <c r="O19" s="19"/>
      <c r="P19" s="19"/>
    </row>
    <row r="20" spans="1:1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9"/>
      <c r="O20" s="19"/>
      <c r="P20" s="19"/>
    </row>
    <row r="21" spans="1:1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9"/>
      <c r="O21" s="19"/>
      <c r="P21" s="19"/>
    </row>
    <row r="22" spans="1:1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9"/>
      <c r="O22" s="19"/>
      <c r="P22" s="19"/>
    </row>
    <row r="23" spans="1:16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9"/>
      <c r="O23" s="19"/>
      <c r="P23" s="19"/>
    </row>
    <row r="24" spans="1:16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9"/>
      <c r="O24" s="19"/>
      <c r="P24" s="19"/>
    </row>
    <row r="25" spans="1:16" x14ac:dyDescent="0.3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9"/>
      <c r="O25" s="19"/>
      <c r="P25" s="19"/>
    </row>
    <row r="26" spans="1:16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9"/>
      <c r="O26" s="19"/>
      <c r="P26" s="19"/>
    </row>
    <row r="27" spans="1:16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9"/>
      <c r="O27" s="19"/>
      <c r="P27" s="19"/>
    </row>
    <row r="28" spans="1:16" x14ac:dyDescent="0.35">
      <c r="M28" s="19"/>
      <c r="N28" s="19"/>
      <c r="O28" s="19"/>
      <c r="P28" s="19"/>
    </row>
    <row r="29" spans="1:16" x14ac:dyDescent="0.35">
      <c r="M29" s="19"/>
      <c r="N29" s="19"/>
      <c r="O29" s="19"/>
      <c r="P29" s="19"/>
    </row>
  </sheetData>
  <mergeCells count="1">
    <mergeCell ref="D3:J3"/>
  </mergeCells>
  <dataValidations count="1">
    <dataValidation type="list" allowBlank="1" showInputMessage="1" showErrorMessage="1" sqref="D8">
      <formula1>INDIRECT("tblPlanYrQtrs")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LookupTables" altText="Refresh Range Detail">
                <anchor moveWithCells="1">
                  <from>
                    <xdr:col>7</xdr:col>
                    <xdr:colOff>57150</xdr:colOff>
                    <xdr:row>6</xdr:row>
                    <xdr:rowOff>209550</xdr:rowOff>
                  </from>
                  <to>
                    <xdr:col>9</xdr:col>
                    <xdr:colOff>285750</xdr:colOff>
                    <xdr:row>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reateMainlinesTemplates">
                <anchor moveWithCells="1">
                  <from>
                    <xdr:col>7</xdr:col>
                    <xdr:colOff>50800</xdr:colOff>
                    <xdr:row>10</xdr:row>
                    <xdr:rowOff>127000</xdr:rowOff>
                  </from>
                  <to>
                    <xdr:col>9</xdr:col>
                    <xdr:colOff>279400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N44"/>
  <sheetViews>
    <sheetView workbookViewId="0">
      <selection activeCell="U41" sqref="U41"/>
    </sheetView>
  </sheetViews>
  <sheetFormatPr defaultRowHeight="14.5" x14ac:dyDescent="0.35"/>
  <sheetData>
    <row r="1" spans="1:1" x14ac:dyDescent="0.35">
      <c r="A1" s="44" t="s">
        <v>432</v>
      </c>
    </row>
    <row r="11" spans="1:1" x14ac:dyDescent="0.35">
      <c r="A11" s="44" t="s">
        <v>433</v>
      </c>
    </row>
    <row r="18" spans="1:1" x14ac:dyDescent="0.35">
      <c r="A18" s="44" t="s">
        <v>437</v>
      </c>
    </row>
    <row r="30" spans="1:1" x14ac:dyDescent="0.35">
      <c r="A30" s="44" t="s">
        <v>438</v>
      </c>
    </row>
    <row r="42" spans="1:14" x14ac:dyDescent="0.35">
      <c r="A42" s="44" t="s">
        <v>434</v>
      </c>
      <c r="N42" s="45" t="s">
        <v>435</v>
      </c>
    </row>
    <row r="44" spans="1:14" x14ac:dyDescent="0.35">
      <c r="E44" s="44" t="s">
        <v>436</v>
      </c>
    </row>
  </sheetData>
  <hyperlinks>
    <hyperlink ref="N42" r:id="rId1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6001"/>
  <sheetViews>
    <sheetView tabSelected="1" topLeftCell="G2" zoomScaleNormal="100" workbookViewId="0">
      <selection activeCell="G61" sqref="G61"/>
    </sheetView>
  </sheetViews>
  <sheetFormatPr defaultRowHeight="14.5" x14ac:dyDescent="0.35"/>
  <cols>
    <col min="1" max="4" width="9.1796875" style="19"/>
    <col min="5" max="5" width="27" customWidth="1"/>
    <col min="6" max="6" width="27.26953125" customWidth="1"/>
    <col min="7" max="7" width="22.1796875" style="29" bestFit="1" customWidth="1"/>
    <col min="8" max="8" width="11.81640625" style="29" customWidth="1"/>
    <col min="9" max="9" width="39.453125" style="19" customWidth="1"/>
    <col min="10" max="10" width="21" style="19" customWidth="1"/>
    <col min="11" max="11" width="27.453125" customWidth="1"/>
    <col min="12" max="12" width="11.54296875" style="29" customWidth="1"/>
    <col min="13" max="13" width="42.7265625" customWidth="1"/>
    <col min="14" max="14" width="21.453125" customWidth="1"/>
    <col min="15" max="15" width="18.26953125" customWidth="1"/>
    <col min="16" max="16" width="30.1796875" bestFit="1" customWidth="1"/>
    <col min="18" max="18" width="14.453125" customWidth="1"/>
    <col min="19" max="19" width="14.7265625" customWidth="1"/>
  </cols>
  <sheetData>
    <row r="1" spans="1:19" ht="23.25" hidden="1" customHeight="1" x14ac:dyDescent="0.35">
      <c r="A1" s="26" t="e">
        <f>WholesaleExtract!#REF!</f>
        <v>#REF!</v>
      </c>
      <c r="B1" s="26" t="e">
        <f>WholesaleExtract!#REF!</f>
        <v>#REF!</v>
      </c>
      <c r="C1" s="26" t="e">
        <f>WholesaleExtract!#REF!</f>
        <v>#REF!</v>
      </c>
      <c r="D1" s="26" t="e">
        <f>WholesaleExtract!#REF!</f>
        <v>#REF!</v>
      </c>
      <c r="E1" s="26" t="e">
        <f>WholesaleExtract!#REF!</f>
        <v>#REF!</v>
      </c>
      <c r="F1" s="27" t="e">
        <f>WholesaleExtract!#REF!</f>
        <v>#REF!</v>
      </c>
      <c r="G1" s="28" t="s">
        <v>207</v>
      </c>
      <c r="H1" s="31"/>
      <c r="I1" s="26" t="e">
        <f>WholesaleExtract!#REF!</f>
        <v>#REF!</v>
      </c>
      <c r="J1" s="31"/>
      <c r="K1" s="26" t="e">
        <f>WholesaleExtract!#REF!</f>
        <v>#REF!</v>
      </c>
      <c r="L1" s="30" t="e">
        <f>WholesaleExtract!#REF!</f>
        <v>#REF!</v>
      </c>
      <c r="M1" s="26" t="e">
        <f>WholesaleExtract!#REF!</f>
        <v>#REF!</v>
      </c>
      <c r="N1" s="27" t="e">
        <f>WholesaleExtract!#REF!</f>
        <v>#REF!</v>
      </c>
    </row>
    <row r="2" spans="1:19" x14ac:dyDescent="0.35">
      <c r="A2" s="23" t="s">
        <v>104</v>
      </c>
      <c r="B2" s="23" t="s">
        <v>1399</v>
      </c>
      <c r="C2" s="23" t="s">
        <v>106</v>
      </c>
      <c r="D2" s="23" t="s">
        <v>107</v>
      </c>
      <c r="E2" s="24" t="s">
        <v>97</v>
      </c>
      <c r="F2" s="25" t="s">
        <v>210</v>
      </c>
      <c r="G2" s="25" t="s">
        <v>101</v>
      </c>
      <c r="H2" s="25" t="s">
        <v>196</v>
      </c>
      <c r="I2" s="25" t="s">
        <v>209</v>
      </c>
      <c r="J2" s="25" t="s">
        <v>293</v>
      </c>
      <c r="K2" s="25" t="s">
        <v>98</v>
      </c>
      <c r="L2" s="25" t="s">
        <v>99</v>
      </c>
      <c r="M2" s="24" t="s">
        <v>100</v>
      </c>
      <c r="N2" s="25" t="s">
        <v>160</v>
      </c>
      <c r="O2" s="25" t="s">
        <v>295</v>
      </c>
      <c r="P2" s="25" t="s">
        <v>296</v>
      </c>
      <c r="Q2" s="25" t="s">
        <v>439</v>
      </c>
      <c r="R2" s="25" t="s">
        <v>448</v>
      </c>
      <c r="S2" s="25" t="s">
        <v>449</v>
      </c>
    </row>
    <row r="3" spans="1:19" x14ac:dyDescent="0.35">
      <c r="A3" s="26" t="s">
        <v>543</v>
      </c>
      <c r="B3" s="26" t="s">
        <v>543</v>
      </c>
      <c r="C3" s="26"/>
      <c r="D3" s="26" t="s">
        <v>543</v>
      </c>
      <c r="E3" s="26" t="s">
        <v>126</v>
      </c>
      <c r="F3" s="26" t="s">
        <v>514</v>
      </c>
      <c r="G3" s="59" t="s">
        <v>1369</v>
      </c>
      <c r="H3" s="47">
        <f>IFERROR(VLOOKUP(G3,WholesaleExtract!B:L,11,FALSE),"")</f>
        <v>0</v>
      </c>
      <c r="I3" s="26" t="s">
        <v>1462</v>
      </c>
      <c r="J3" s="26" t="s">
        <v>222</v>
      </c>
      <c r="K3" s="26" t="s">
        <v>221</v>
      </c>
      <c r="L3" s="47">
        <v>0</v>
      </c>
      <c r="M3" s="47" t="s">
        <v>650</v>
      </c>
      <c r="N3" s="27" t="s">
        <v>162</v>
      </c>
      <c r="O3" s="19" t="s">
        <v>322</v>
      </c>
      <c r="P3" s="19" t="s">
        <v>413</v>
      </c>
      <c r="Q3" s="47">
        <v>202304</v>
      </c>
    </row>
    <row r="4" spans="1:19" x14ac:dyDescent="0.35">
      <c r="A4" s="26" t="s">
        <v>543</v>
      </c>
      <c r="B4" s="26" t="s">
        <v>543</v>
      </c>
      <c r="C4" s="26"/>
      <c r="D4" s="26" t="s">
        <v>543</v>
      </c>
      <c r="E4" s="26" t="s">
        <v>126</v>
      </c>
      <c r="F4" s="26" t="s">
        <v>514</v>
      </c>
      <c r="G4" s="59" t="s">
        <v>616</v>
      </c>
      <c r="H4" s="47">
        <f>IFERROR(VLOOKUP(G4,WholesaleExtract!B:L,11,FALSE),"")</f>
        <v>0</v>
      </c>
      <c r="I4" s="26" t="s">
        <v>1463</v>
      </c>
      <c r="J4" s="26" t="s">
        <v>222</v>
      </c>
      <c r="K4" s="26" t="s">
        <v>221</v>
      </c>
      <c r="L4" s="47">
        <v>0</v>
      </c>
      <c r="M4" s="47" t="s">
        <v>1464</v>
      </c>
      <c r="N4" s="27" t="s">
        <v>162</v>
      </c>
      <c r="O4" s="19" t="s">
        <v>322</v>
      </c>
      <c r="P4" s="19" t="s">
        <v>387</v>
      </c>
      <c r="Q4" s="47">
        <v>202304</v>
      </c>
      <c r="R4" s="19"/>
      <c r="S4" s="19"/>
    </row>
    <row r="5" spans="1:19" x14ac:dyDescent="0.35">
      <c r="A5" s="26" t="s">
        <v>543</v>
      </c>
      <c r="B5" s="26" t="s">
        <v>543</v>
      </c>
      <c r="C5" s="26"/>
      <c r="D5" s="26" t="s">
        <v>543</v>
      </c>
      <c r="E5" s="26" t="s">
        <v>126</v>
      </c>
      <c r="F5" s="26" t="s">
        <v>514</v>
      </c>
      <c r="G5" s="59" t="s">
        <v>615</v>
      </c>
      <c r="H5" s="47">
        <f>IFERROR(VLOOKUP(G5,WholesaleExtract!B:L,11,FALSE),"")</f>
        <v>0</v>
      </c>
      <c r="I5" s="26" t="s">
        <v>1465</v>
      </c>
      <c r="J5" s="26" t="s">
        <v>222</v>
      </c>
      <c r="K5" s="26" t="s">
        <v>221</v>
      </c>
      <c r="L5" s="47">
        <v>0</v>
      </c>
      <c r="M5" s="47" t="s">
        <v>1466</v>
      </c>
      <c r="N5" s="27" t="s">
        <v>162</v>
      </c>
      <c r="O5" s="19" t="s">
        <v>322</v>
      </c>
      <c r="P5" s="19" t="s">
        <v>387</v>
      </c>
      <c r="Q5" s="47">
        <v>202304</v>
      </c>
      <c r="R5" s="19"/>
      <c r="S5" s="19"/>
    </row>
    <row r="6" spans="1:19" x14ac:dyDescent="0.35">
      <c r="A6" s="26" t="s">
        <v>543</v>
      </c>
      <c r="B6" s="26" t="s">
        <v>543</v>
      </c>
      <c r="C6" s="26"/>
      <c r="D6" s="26" t="s">
        <v>543</v>
      </c>
      <c r="E6" s="26" t="s">
        <v>126</v>
      </c>
      <c r="F6" s="26" t="s">
        <v>514</v>
      </c>
      <c r="G6" s="59" t="s">
        <v>585</v>
      </c>
      <c r="H6" s="47">
        <f>IFERROR(VLOOKUP(G6,WholesaleExtract!B:L,11,FALSE),"")</f>
        <v>0</v>
      </c>
      <c r="I6" s="26" t="s">
        <v>1467</v>
      </c>
      <c r="J6" s="26" t="s">
        <v>222</v>
      </c>
      <c r="K6" s="26" t="s">
        <v>221</v>
      </c>
      <c r="L6" s="47">
        <v>0</v>
      </c>
      <c r="M6" s="47" t="s">
        <v>1416</v>
      </c>
      <c r="N6" s="27" t="s">
        <v>162</v>
      </c>
      <c r="O6" s="19" t="s">
        <v>322</v>
      </c>
      <c r="P6" s="19" t="s">
        <v>413</v>
      </c>
      <c r="Q6" s="47">
        <v>202304</v>
      </c>
      <c r="R6" s="19"/>
      <c r="S6" s="19"/>
    </row>
    <row r="7" spans="1:19" x14ac:dyDescent="0.35">
      <c r="A7" s="26" t="s">
        <v>543</v>
      </c>
      <c r="B7" s="26" t="s">
        <v>543</v>
      </c>
      <c r="C7" s="26"/>
      <c r="D7" s="26" t="s">
        <v>543</v>
      </c>
      <c r="E7" s="26" t="s">
        <v>126</v>
      </c>
      <c r="F7" s="26" t="s">
        <v>514</v>
      </c>
      <c r="G7" s="59" t="s">
        <v>1403</v>
      </c>
      <c r="H7" s="47" t="str">
        <f>IFERROR(VLOOKUP(G7,WholesaleExtract!B:L,11,FALSE),"")</f>
        <v/>
      </c>
      <c r="I7" s="26" t="s">
        <v>1468</v>
      </c>
      <c r="J7" s="26" t="s">
        <v>222</v>
      </c>
      <c r="K7" s="26" t="s">
        <v>221</v>
      </c>
      <c r="L7" s="47" t="s">
        <v>218</v>
      </c>
      <c r="M7" s="47" t="s">
        <v>650</v>
      </c>
      <c r="N7" s="27" t="s">
        <v>162</v>
      </c>
      <c r="O7" s="19" t="s">
        <v>322</v>
      </c>
      <c r="P7" s="19" t="s">
        <v>413</v>
      </c>
      <c r="Q7" s="47">
        <v>202304</v>
      </c>
      <c r="R7" s="19"/>
      <c r="S7" s="19"/>
    </row>
    <row r="8" spans="1:19" x14ac:dyDescent="0.35">
      <c r="A8" s="26" t="s">
        <v>543</v>
      </c>
      <c r="B8" s="26" t="s">
        <v>543</v>
      </c>
      <c r="C8" s="26"/>
      <c r="D8" s="26" t="s">
        <v>543</v>
      </c>
      <c r="E8" s="26" t="s">
        <v>219</v>
      </c>
      <c r="F8" s="26" t="s">
        <v>1453</v>
      </c>
      <c r="G8" s="60" t="s">
        <v>1387</v>
      </c>
      <c r="H8" s="47" t="str">
        <f>IFERROR(VLOOKUP(G8,WholesaleExtract!B:L,11,FALSE),"")</f>
        <v/>
      </c>
      <c r="I8" s="26" t="s">
        <v>1469</v>
      </c>
      <c r="J8" s="26" t="s">
        <v>253</v>
      </c>
      <c r="K8" s="26" t="s">
        <v>117</v>
      </c>
      <c r="L8" s="47" t="s">
        <v>218</v>
      </c>
      <c r="M8" s="47" t="s">
        <v>1470</v>
      </c>
      <c r="N8" s="27" t="s">
        <v>162</v>
      </c>
      <c r="O8" s="19" t="s">
        <v>321</v>
      </c>
      <c r="P8" s="19" t="s">
        <v>377</v>
      </c>
      <c r="Q8" s="47">
        <v>202304</v>
      </c>
      <c r="R8" s="19"/>
      <c r="S8" s="19"/>
    </row>
    <row r="9" spans="1:19" x14ac:dyDescent="0.35">
      <c r="A9" s="26" t="s">
        <v>543</v>
      </c>
      <c r="B9" s="26" t="s">
        <v>543</v>
      </c>
      <c r="C9" s="26"/>
      <c r="D9" s="26" t="s">
        <v>543</v>
      </c>
      <c r="E9" s="26" t="s">
        <v>219</v>
      </c>
      <c r="F9" s="26" t="s">
        <v>1453</v>
      </c>
      <c r="G9" s="60" t="s">
        <v>1388</v>
      </c>
      <c r="H9" s="47" t="str">
        <f>IFERROR(VLOOKUP(G9,WholesaleExtract!B:L,11,FALSE),"")</f>
        <v/>
      </c>
      <c r="I9" s="26" t="s">
        <v>1471</v>
      </c>
      <c r="J9" s="26" t="s">
        <v>253</v>
      </c>
      <c r="K9" s="26" t="s">
        <v>117</v>
      </c>
      <c r="L9" s="47" t="s">
        <v>218</v>
      </c>
      <c r="M9" s="47" t="s">
        <v>1470</v>
      </c>
      <c r="N9" s="27" t="s">
        <v>162</v>
      </c>
      <c r="O9" s="19" t="s">
        <v>321</v>
      </c>
      <c r="P9" s="19" t="s">
        <v>377</v>
      </c>
      <c r="Q9" s="47">
        <v>202304</v>
      </c>
      <c r="R9" s="19"/>
      <c r="S9" s="19"/>
    </row>
    <row r="10" spans="1:19" x14ac:dyDescent="0.35">
      <c r="A10" s="26" t="s">
        <v>543</v>
      </c>
      <c r="B10" s="26" t="s">
        <v>543</v>
      </c>
      <c r="C10" s="26"/>
      <c r="D10" s="26" t="s">
        <v>543</v>
      </c>
      <c r="E10" s="26" t="s">
        <v>254</v>
      </c>
      <c r="F10" s="26" t="s">
        <v>1454</v>
      </c>
      <c r="G10" s="60" t="s">
        <v>1379</v>
      </c>
      <c r="H10" s="47" t="str">
        <f>IFERROR(VLOOKUP(G10,WholesaleExtract!B:L,11,FALSE),"")</f>
        <v/>
      </c>
      <c r="I10" s="26" t="s">
        <v>1472</v>
      </c>
      <c r="J10" s="26" t="s">
        <v>253</v>
      </c>
      <c r="K10" s="26" t="s">
        <v>130</v>
      </c>
      <c r="L10" s="47" t="s">
        <v>218</v>
      </c>
      <c r="M10" s="47" t="s">
        <v>1473</v>
      </c>
      <c r="N10" s="27" t="s">
        <v>162</v>
      </c>
      <c r="O10" s="19" t="s">
        <v>318</v>
      </c>
      <c r="P10" s="19" t="s">
        <v>374</v>
      </c>
      <c r="Q10" s="47">
        <v>202304</v>
      </c>
      <c r="R10" s="19"/>
      <c r="S10" s="19"/>
    </row>
    <row r="11" spans="1:19" x14ac:dyDescent="0.35">
      <c r="A11" s="26" t="s">
        <v>543</v>
      </c>
      <c r="B11" s="26" t="s">
        <v>543</v>
      </c>
      <c r="C11" s="26"/>
      <c r="D11" s="26" t="s">
        <v>543</v>
      </c>
      <c r="E11" s="26" t="s">
        <v>254</v>
      </c>
      <c r="F11" s="26" t="s">
        <v>1454</v>
      </c>
      <c r="G11" s="59" t="s">
        <v>1382</v>
      </c>
      <c r="H11" s="47" t="str">
        <f>IFERROR(VLOOKUP(G11,WholesaleExtract!B:L,11,FALSE),"")</f>
        <v/>
      </c>
      <c r="I11" s="26" t="s">
        <v>1474</v>
      </c>
      <c r="J11" s="26" t="s">
        <v>222</v>
      </c>
      <c r="K11" s="26" t="s">
        <v>469</v>
      </c>
      <c r="L11" s="47" t="s">
        <v>218</v>
      </c>
      <c r="M11" s="47" t="s">
        <v>1475</v>
      </c>
      <c r="N11" s="27" t="s">
        <v>162</v>
      </c>
      <c r="O11" s="19" t="s">
        <v>318</v>
      </c>
      <c r="P11" s="19" t="s">
        <v>374</v>
      </c>
      <c r="Q11" s="47">
        <v>202304</v>
      </c>
      <c r="R11" s="19"/>
      <c r="S11" s="19"/>
    </row>
    <row r="12" spans="1:19" x14ac:dyDescent="0.35">
      <c r="A12" s="26" t="s">
        <v>543</v>
      </c>
      <c r="B12" s="26" t="s">
        <v>543</v>
      </c>
      <c r="C12" s="26"/>
      <c r="D12" s="26" t="s">
        <v>543</v>
      </c>
      <c r="E12" s="26" t="s">
        <v>254</v>
      </c>
      <c r="F12" s="26" t="s">
        <v>1454</v>
      </c>
      <c r="G12" s="59" t="s">
        <v>1404</v>
      </c>
      <c r="H12" s="47" t="str">
        <f>IFERROR(VLOOKUP(G12,WholesaleExtract!B:L,11,FALSE),"")</f>
        <v/>
      </c>
      <c r="I12" s="26" t="s">
        <v>1476</v>
      </c>
      <c r="J12" s="26" t="s">
        <v>222</v>
      </c>
      <c r="K12" s="26" t="s">
        <v>255</v>
      </c>
      <c r="L12" s="47" t="s">
        <v>218</v>
      </c>
      <c r="M12" s="47" t="s">
        <v>1475</v>
      </c>
      <c r="N12" s="27" t="s">
        <v>162</v>
      </c>
      <c r="O12" s="19" t="s">
        <v>318</v>
      </c>
      <c r="P12" s="19" t="s">
        <v>374</v>
      </c>
      <c r="Q12" s="47">
        <v>202304</v>
      </c>
      <c r="R12" s="19"/>
      <c r="S12" s="19"/>
    </row>
    <row r="13" spans="1:19" x14ac:dyDescent="0.35">
      <c r="A13" s="26" t="s">
        <v>543</v>
      </c>
      <c r="B13" s="26" t="s">
        <v>543</v>
      </c>
      <c r="C13" s="26"/>
      <c r="D13" s="26" t="s">
        <v>543</v>
      </c>
      <c r="E13" s="26" t="s">
        <v>254</v>
      </c>
      <c r="F13" s="26" t="s">
        <v>1454</v>
      </c>
      <c r="G13" s="59" t="s">
        <v>1405</v>
      </c>
      <c r="H13" s="47" t="str">
        <f>IFERROR(VLOOKUP(G13,WholesaleExtract!B:L,11,FALSE),"")</f>
        <v/>
      </c>
      <c r="I13" s="26" t="s">
        <v>1477</v>
      </c>
      <c r="J13" s="26" t="s">
        <v>222</v>
      </c>
      <c r="K13" s="26" t="s">
        <v>255</v>
      </c>
      <c r="L13" s="47" t="s">
        <v>218</v>
      </c>
      <c r="M13" s="47" t="s">
        <v>1475</v>
      </c>
      <c r="N13" s="27" t="s">
        <v>162</v>
      </c>
      <c r="O13" s="19" t="s">
        <v>318</v>
      </c>
      <c r="P13" s="19" t="s">
        <v>374</v>
      </c>
      <c r="Q13" s="47">
        <v>202304</v>
      </c>
      <c r="R13" s="19"/>
      <c r="S13" s="19"/>
    </row>
    <row r="14" spans="1:19" x14ac:dyDescent="0.35">
      <c r="A14" s="26" t="s">
        <v>543</v>
      </c>
      <c r="B14" s="26" t="s">
        <v>543</v>
      </c>
      <c r="C14" s="26"/>
      <c r="D14" s="26" t="s">
        <v>543</v>
      </c>
      <c r="E14" s="26" t="s">
        <v>254</v>
      </c>
      <c r="F14" s="26" t="s">
        <v>1454</v>
      </c>
      <c r="G14" s="59" t="s">
        <v>1380</v>
      </c>
      <c r="H14" s="47" t="str">
        <f>IFERROR(VLOOKUP(G14,WholesaleExtract!B:L,11,FALSE),"")</f>
        <v/>
      </c>
      <c r="I14" s="26" t="s">
        <v>1478</v>
      </c>
      <c r="J14" s="26" t="s">
        <v>222</v>
      </c>
      <c r="K14" s="26" t="s">
        <v>255</v>
      </c>
      <c r="L14" s="47" t="s">
        <v>218</v>
      </c>
      <c r="M14" s="47" t="s">
        <v>1475</v>
      </c>
      <c r="N14" s="27" t="s">
        <v>162</v>
      </c>
      <c r="O14" s="19" t="s">
        <v>318</v>
      </c>
      <c r="P14" s="19" t="s">
        <v>374</v>
      </c>
      <c r="Q14" s="47">
        <v>202304</v>
      </c>
      <c r="R14" s="19"/>
      <c r="S14" s="19"/>
    </row>
    <row r="15" spans="1:19" x14ac:dyDescent="0.35">
      <c r="A15" s="26" t="s">
        <v>543</v>
      </c>
      <c r="B15" s="26" t="s">
        <v>543</v>
      </c>
      <c r="C15" s="26"/>
      <c r="D15" s="26" t="s">
        <v>543</v>
      </c>
      <c r="E15" s="26" t="s">
        <v>254</v>
      </c>
      <c r="F15" s="26" t="s">
        <v>1454</v>
      </c>
      <c r="G15" s="59" t="s">
        <v>1376</v>
      </c>
      <c r="H15" s="47" t="str">
        <f>IFERROR(VLOOKUP(G15,WholesaleExtract!B:L,11,FALSE),"")</f>
        <v/>
      </c>
      <c r="I15" s="26" t="s">
        <v>1479</v>
      </c>
      <c r="J15" s="26" t="s">
        <v>222</v>
      </c>
      <c r="K15" s="26" t="s">
        <v>255</v>
      </c>
      <c r="L15" s="47" t="s">
        <v>218</v>
      </c>
      <c r="M15" s="47" t="s">
        <v>1480</v>
      </c>
      <c r="N15" s="27" t="s">
        <v>162</v>
      </c>
      <c r="O15" s="19" t="s">
        <v>318</v>
      </c>
      <c r="P15" s="19" t="s">
        <v>374</v>
      </c>
      <c r="Q15" s="47">
        <v>202304</v>
      </c>
      <c r="R15" s="19"/>
      <c r="S15" s="19"/>
    </row>
    <row r="16" spans="1:19" x14ac:dyDescent="0.35">
      <c r="A16" s="26" t="s">
        <v>543</v>
      </c>
      <c r="B16" s="26" t="s">
        <v>543</v>
      </c>
      <c r="C16" s="26"/>
      <c r="D16" s="26" t="s">
        <v>543</v>
      </c>
      <c r="E16" s="26" t="s">
        <v>254</v>
      </c>
      <c r="F16" s="26" t="s">
        <v>1454</v>
      </c>
      <c r="G16" s="59" t="s">
        <v>1383</v>
      </c>
      <c r="H16" s="47" t="str">
        <f>IFERROR(VLOOKUP(G16,WholesaleExtract!B:L,11,FALSE),"")</f>
        <v/>
      </c>
      <c r="I16" s="26" t="s">
        <v>1481</v>
      </c>
      <c r="J16" s="26" t="s">
        <v>222</v>
      </c>
      <c r="K16" s="26" t="s">
        <v>255</v>
      </c>
      <c r="L16" s="47" t="s">
        <v>218</v>
      </c>
      <c r="M16" s="47" t="s">
        <v>1482</v>
      </c>
      <c r="N16" s="27" t="s">
        <v>162</v>
      </c>
      <c r="O16" s="19" t="s">
        <v>318</v>
      </c>
      <c r="P16" s="19" t="s">
        <v>374</v>
      </c>
      <c r="Q16" s="47">
        <v>202304</v>
      </c>
      <c r="R16" s="19"/>
      <c r="S16" s="19"/>
    </row>
    <row r="17" spans="1:19" x14ac:dyDescent="0.35">
      <c r="A17" s="26" t="s">
        <v>543</v>
      </c>
      <c r="B17" s="26" t="s">
        <v>543</v>
      </c>
      <c r="C17" s="26"/>
      <c r="D17" s="26" t="s">
        <v>543</v>
      </c>
      <c r="E17" s="26" t="s">
        <v>254</v>
      </c>
      <c r="F17" s="26" t="s">
        <v>1454</v>
      </c>
      <c r="G17" s="59" t="s">
        <v>1397</v>
      </c>
      <c r="H17" s="47" t="str">
        <f>IFERROR(VLOOKUP(G17,WholesaleExtract!B:L,11,FALSE),"")</f>
        <v/>
      </c>
      <c r="I17" s="26" t="s">
        <v>1483</v>
      </c>
      <c r="J17" s="26" t="s">
        <v>222</v>
      </c>
      <c r="K17" s="26" t="s">
        <v>257</v>
      </c>
      <c r="L17" s="47" t="s">
        <v>218</v>
      </c>
      <c r="M17" s="47" t="s">
        <v>1475</v>
      </c>
      <c r="N17" s="27" t="s">
        <v>162</v>
      </c>
      <c r="O17" s="19" t="s">
        <v>318</v>
      </c>
      <c r="P17" s="19" t="s">
        <v>374</v>
      </c>
      <c r="Q17" s="47">
        <v>202304</v>
      </c>
      <c r="R17" s="19"/>
      <c r="S17" s="19"/>
    </row>
    <row r="18" spans="1:19" x14ac:dyDescent="0.35">
      <c r="A18" s="26" t="s">
        <v>543</v>
      </c>
      <c r="B18" s="26" t="s">
        <v>543</v>
      </c>
      <c r="C18" s="26"/>
      <c r="D18" s="26" t="s">
        <v>543</v>
      </c>
      <c r="E18" s="26" t="s">
        <v>254</v>
      </c>
      <c r="F18" s="26" t="s">
        <v>1454</v>
      </c>
      <c r="G18" s="59" t="s">
        <v>1378</v>
      </c>
      <c r="H18" s="47" t="str">
        <f>IFERROR(VLOOKUP(G18,WholesaleExtract!B:L,11,FALSE),"")</f>
        <v/>
      </c>
      <c r="I18" s="26" t="s">
        <v>1484</v>
      </c>
      <c r="J18" s="26" t="s">
        <v>222</v>
      </c>
      <c r="K18" s="26" t="s">
        <v>257</v>
      </c>
      <c r="L18" s="47" t="s">
        <v>218</v>
      </c>
      <c r="M18" s="47" t="s">
        <v>1480</v>
      </c>
      <c r="N18" s="27" t="s">
        <v>162</v>
      </c>
      <c r="O18" s="19" t="s">
        <v>318</v>
      </c>
      <c r="P18" s="19" t="s">
        <v>374</v>
      </c>
      <c r="Q18" s="47">
        <v>202304</v>
      </c>
      <c r="R18" s="19"/>
      <c r="S18" s="19"/>
    </row>
    <row r="19" spans="1:19" x14ac:dyDescent="0.35">
      <c r="A19" s="26" t="s">
        <v>543</v>
      </c>
      <c r="B19" s="26" t="s">
        <v>543</v>
      </c>
      <c r="C19" s="26"/>
      <c r="D19" s="26" t="s">
        <v>543</v>
      </c>
      <c r="E19" s="26" t="s">
        <v>254</v>
      </c>
      <c r="F19" s="26" t="s">
        <v>1454</v>
      </c>
      <c r="G19" s="59" t="s">
        <v>1377</v>
      </c>
      <c r="H19" s="47" t="str">
        <f>IFERROR(VLOOKUP(G19,WholesaleExtract!B:L,11,FALSE),"")</f>
        <v/>
      </c>
      <c r="I19" s="26" t="s">
        <v>1485</v>
      </c>
      <c r="J19" s="26" t="s">
        <v>222</v>
      </c>
      <c r="K19" s="26" t="s">
        <v>257</v>
      </c>
      <c r="L19" s="47" t="s">
        <v>218</v>
      </c>
      <c r="M19" s="47" t="s">
        <v>1480</v>
      </c>
      <c r="N19" s="27" t="s">
        <v>162</v>
      </c>
      <c r="O19" s="19" t="s">
        <v>318</v>
      </c>
      <c r="P19" s="19" t="s">
        <v>374</v>
      </c>
      <c r="Q19" s="47">
        <v>202304</v>
      </c>
      <c r="R19" s="19"/>
      <c r="S19" s="19"/>
    </row>
    <row r="20" spans="1:19" x14ac:dyDescent="0.35">
      <c r="A20" s="26" t="s">
        <v>543</v>
      </c>
      <c r="B20" s="26" t="s">
        <v>543</v>
      </c>
      <c r="C20" s="26"/>
      <c r="D20" s="26" t="s">
        <v>543</v>
      </c>
      <c r="E20" s="26" t="s">
        <v>254</v>
      </c>
      <c r="F20" s="26" t="s">
        <v>53</v>
      </c>
      <c r="G20" s="59" t="s">
        <v>726</v>
      </c>
      <c r="H20" s="47">
        <f>IFERROR(VLOOKUP(G20,WholesaleExtract!B:L,11,FALSE),"")</f>
        <v>4128</v>
      </c>
      <c r="I20" s="26" t="s">
        <v>727</v>
      </c>
      <c r="J20" s="26" t="s">
        <v>222</v>
      </c>
      <c r="K20" s="26" t="s">
        <v>257</v>
      </c>
      <c r="L20" s="47">
        <v>4128</v>
      </c>
      <c r="M20" s="47" t="s">
        <v>1486</v>
      </c>
      <c r="N20" s="27" t="s">
        <v>162</v>
      </c>
      <c r="O20" s="19" t="s">
        <v>318</v>
      </c>
      <c r="P20" s="19" t="s">
        <v>374</v>
      </c>
      <c r="Q20" s="47">
        <v>202304</v>
      </c>
      <c r="R20" s="19"/>
      <c r="S20" s="19"/>
    </row>
    <row r="21" spans="1:19" x14ac:dyDescent="0.35">
      <c r="A21" s="26" t="s">
        <v>543</v>
      </c>
      <c r="B21" s="26" t="s">
        <v>543</v>
      </c>
      <c r="C21" s="26"/>
      <c r="D21" s="26" t="s">
        <v>543</v>
      </c>
      <c r="E21" s="26" t="s">
        <v>254</v>
      </c>
      <c r="F21" s="26" t="s">
        <v>1454</v>
      </c>
      <c r="G21" s="59" t="s">
        <v>1406</v>
      </c>
      <c r="H21" s="47" t="str">
        <f>IFERROR(VLOOKUP(G21,WholesaleExtract!B:L,11,FALSE),"")</f>
        <v/>
      </c>
      <c r="I21" s="26" t="s">
        <v>1487</v>
      </c>
      <c r="J21" s="26" t="s">
        <v>222</v>
      </c>
      <c r="K21" s="26" t="s">
        <v>257</v>
      </c>
      <c r="L21" s="47" t="s">
        <v>218</v>
      </c>
      <c r="M21" s="47" t="s">
        <v>1486</v>
      </c>
      <c r="N21" s="27" t="s">
        <v>162</v>
      </c>
      <c r="O21" s="19" t="s">
        <v>318</v>
      </c>
      <c r="P21" s="19" t="s">
        <v>374</v>
      </c>
      <c r="Q21" s="47">
        <v>202304</v>
      </c>
      <c r="R21" s="19"/>
      <c r="S21" s="19"/>
    </row>
    <row r="22" spans="1:19" x14ac:dyDescent="0.35">
      <c r="A22" s="26" t="s">
        <v>543</v>
      </c>
      <c r="B22" s="26" t="s">
        <v>543</v>
      </c>
      <c r="C22" s="26"/>
      <c r="D22" s="26" t="s">
        <v>543</v>
      </c>
      <c r="E22" s="26" t="s">
        <v>254</v>
      </c>
      <c r="F22" s="26" t="s">
        <v>1454</v>
      </c>
      <c r="G22" s="59" t="s">
        <v>1381</v>
      </c>
      <c r="H22" s="47" t="str">
        <f>IFERROR(VLOOKUP(G22,WholesaleExtract!B:L,11,FALSE),"")</f>
        <v/>
      </c>
      <c r="I22" s="26" t="s">
        <v>1488</v>
      </c>
      <c r="J22" s="26" t="s">
        <v>222</v>
      </c>
      <c r="K22" s="26" t="s">
        <v>704</v>
      </c>
      <c r="L22" s="47" t="s">
        <v>218</v>
      </c>
      <c r="M22" s="47" t="s">
        <v>1473</v>
      </c>
      <c r="N22" s="27" t="s">
        <v>162</v>
      </c>
      <c r="O22" s="19" t="s">
        <v>318</v>
      </c>
      <c r="P22" s="19" t="s">
        <v>374</v>
      </c>
      <c r="Q22" s="47">
        <v>202304</v>
      </c>
      <c r="R22" s="19"/>
      <c r="S22" s="19"/>
    </row>
    <row r="23" spans="1:19" x14ac:dyDescent="0.35">
      <c r="A23" s="26" t="s">
        <v>543</v>
      </c>
      <c r="B23" s="26" t="s">
        <v>543</v>
      </c>
      <c r="C23" s="26"/>
      <c r="D23" s="26" t="s">
        <v>543</v>
      </c>
      <c r="E23" s="26" t="s">
        <v>440</v>
      </c>
      <c r="F23" s="26" t="s">
        <v>29</v>
      </c>
      <c r="G23" s="59" t="s">
        <v>1254</v>
      </c>
      <c r="H23" s="47">
        <f>IFERROR(VLOOKUP(G23,WholesaleExtract!B:L,11,FALSE),"")</f>
        <v>0</v>
      </c>
      <c r="I23" s="26" t="s">
        <v>1489</v>
      </c>
      <c r="J23" s="26" t="s">
        <v>222</v>
      </c>
      <c r="K23" s="26" t="s">
        <v>441</v>
      </c>
      <c r="L23" s="47">
        <v>0</v>
      </c>
      <c r="M23" s="47" t="s">
        <v>1490</v>
      </c>
      <c r="N23" s="27" t="s">
        <v>161</v>
      </c>
      <c r="O23" s="19" t="s">
        <v>305</v>
      </c>
      <c r="P23" s="19" t="s">
        <v>125</v>
      </c>
      <c r="Q23" s="47">
        <v>202304</v>
      </c>
      <c r="R23" s="19"/>
      <c r="S23" s="19"/>
    </row>
    <row r="24" spans="1:19" x14ac:dyDescent="0.35">
      <c r="A24" s="26" t="s">
        <v>543</v>
      </c>
      <c r="B24" s="26" t="s">
        <v>543</v>
      </c>
      <c r="C24" s="26"/>
      <c r="D24" s="26" t="s">
        <v>543</v>
      </c>
      <c r="E24" s="26" t="s">
        <v>440</v>
      </c>
      <c r="F24" s="26" t="s">
        <v>29</v>
      </c>
      <c r="G24" s="59" t="s">
        <v>1253</v>
      </c>
      <c r="H24" s="47">
        <f>IFERROR(VLOOKUP(G24,WholesaleExtract!B:L,11,FALSE),"")</f>
        <v>0</v>
      </c>
      <c r="I24" s="26" t="s">
        <v>1491</v>
      </c>
      <c r="J24" s="26" t="s">
        <v>222</v>
      </c>
      <c r="K24" s="26" t="s">
        <v>441</v>
      </c>
      <c r="L24" s="47">
        <v>0</v>
      </c>
      <c r="M24" s="47" t="s">
        <v>1492</v>
      </c>
      <c r="N24" s="27" t="s">
        <v>161</v>
      </c>
      <c r="O24" s="19" t="s">
        <v>305</v>
      </c>
      <c r="P24" s="19" t="s">
        <v>125</v>
      </c>
      <c r="Q24" s="47">
        <v>202304</v>
      </c>
      <c r="R24" s="19"/>
      <c r="S24" s="19"/>
    </row>
    <row r="25" spans="1:19" x14ac:dyDescent="0.35">
      <c r="A25" s="26" t="s">
        <v>543</v>
      </c>
      <c r="B25" s="26" t="s">
        <v>543</v>
      </c>
      <c r="C25" s="26"/>
      <c r="D25" s="26" t="s">
        <v>543</v>
      </c>
      <c r="E25" s="26" t="s">
        <v>440</v>
      </c>
      <c r="F25" s="26" t="s">
        <v>29</v>
      </c>
      <c r="G25" s="60" t="s">
        <v>1208</v>
      </c>
      <c r="H25" s="47">
        <f>IFERROR(VLOOKUP(G25,WholesaleExtract!B:L,11,FALSE),"")</f>
        <v>0</v>
      </c>
      <c r="I25" s="26" t="s">
        <v>1209</v>
      </c>
      <c r="J25" s="26" t="s">
        <v>222</v>
      </c>
      <c r="K25" s="26" t="s">
        <v>441</v>
      </c>
      <c r="L25" s="47">
        <v>0</v>
      </c>
      <c r="M25" s="47" t="s">
        <v>1492</v>
      </c>
      <c r="N25" s="27" t="s">
        <v>161</v>
      </c>
      <c r="O25" s="19" t="s">
        <v>305</v>
      </c>
      <c r="P25" s="19" t="s">
        <v>125</v>
      </c>
      <c r="Q25" s="47">
        <v>202304</v>
      </c>
      <c r="R25" s="19"/>
      <c r="S25" s="19"/>
    </row>
    <row r="26" spans="1:19" x14ac:dyDescent="0.35">
      <c r="A26" s="26" t="s">
        <v>543</v>
      </c>
      <c r="B26" s="26" t="s">
        <v>543</v>
      </c>
      <c r="C26" s="26"/>
      <c r="D26" s="26" t="s">
        <v>543</v>
      </c>
      <c r="E26" s="26" t="s">
        <v>223</v>
      </c>
      <c r="F26" s="26" t="s">
        <v>29</v>
      </c>
      <c r="G26" s="60" t="s">
        <v>1206</v>
      </c>
      <c r="H26" s="47">
        <f>IFERROR(VLOOKUP(G26,WholesaleExtract!B:L,11,FALSE),"")</f>
        <v>0</v>
      </c>
      <c r="I26" s="26" t="s">
        <v>1207</v>
      </c>
      <c r="J26" s="26" t="s">
        <v>253</v>
      </c>
      <c r="K26" s="26" t="s">
        <v>108</v>
      </c>
      <c r="L26" s="47">
        <v>0</v>
      </c>
      <c r="M26" s="47" t="s">
        <v>1492</v>
      </c>
      <c r="N26" s="27" t="s">
        <v>161</v>
      </c>
      <c r="O26" s="19" t="s">
        <v>305</v>
      </c>
      <c r="P26" s="19" t="s">
        <v>125</v>
      </c>
      <c r="Q26" s="47">
        <v>202304</v>
      </c>
      <c r="R26" s="19"/>
      <c r="S26" s="19"/>
    </row>
    <row r="27" spans="1:19" x14ac:dyDescent="0.35">
      <c r="A27" s="26" t="s">
        <v>543</v>
      </c>
      <c r="B27" s="26" t="s">
        <v>543</v>
      </c>
      <c r="C27" s="26"/>
      <c r="D27" s="26" t="s">
        <v>543</v>
      </c>
      <c r="E27" s="26" t="s">
        <v>262</v>
      </c>
      <c r="F27" s="26" t="s">
        <v>1455</v>
      </c>
      <c r="G27" s="60" t="s">
        <v>1391</v>
      </c>
      <c r="H27" s="47" t="str">
        <f>IFERROR(VLOOKUP(G27,WholesaleExtract!B:L,11,FALSE),"")</f>
        <v/>
      </c>
      <c r="I27" s="26" t="s">
        <v>1493</v>
      </c>
      <c r="J27" s="26" t="s">
        <v>1494</v>
      </c>
      <c r="K27" s="26" t="s">
        <v>1495</v>
      </c>
      <c r="L27" s="47" t="s">
        <v>218</v>
      </c>
      <c r="M27" s="47" t="s">
        <v>1496</v>
      </c>
      <c r="N27" s="27" t="s">
        <v>1400</v>
      </c>
      <c r="O27" s="19" t="s">
        <v>309</v>
      </c>
      <c r="P27" s="19" t="s">
        <v>367</v>
      </c>
      <c r="Q27" s="47">
        <v>202304</v>
      </c>
      <c r="R27" s="19"/>
      <c r="S27" s="19"/>
    </row>
    <row r="28" spans="1:19" x14ac:dyDescent="0.35">
      <c r="A28" s="26" t="s">
        <v>543</v>
      </c>
      <c r="B28" s="26" t="s">
        <v>543</v>
      </c>
      <c r="C28" s="26"/>
      <c r="D28" s="26" t="s">
        <v>543</v>
      </c>
      <c r="E28" s="26" t="s">
        <v>223</v>
      </c>
      <c r="F28" s="26" t="s">
        <v>1456</v>
      </c>
      <c r="G28" s="60" t="s">
        <v>1395</v>
      </c>
      <c r="H28" s="47" t="str">
        <f>IFERROR(VLOOKUP(G28,WholesaleExtract!B:L,11,FALSE),"")</f>
        <v/>
      </c>
      <c r="I28" s="26" t="s">
        <v>1497</v>
      </c>
      <c r="J28" s="26" t="s">
        <v>253</v>
      </c>
      <c r="K28" s="26" t="s">
        <v>108</v>
      </c>
      <c r="L28" s="47" t="s">
        <v>218</v>
      </c>
      <c r="M28" s="47" t="s">
        <v>1498</v>
      </c>
      <c r="N28" s="27" t="s">
        <v>161</v>
      </c>
      <c r="O28" s="19" t="s">
        <v>302</v>
      </c>
      <c r="P28" s="19" t="s">
        <v>330</v>
      </c>
      <c r="Q28" s="47">
        <v>202304</v>
      </c>
      <c r="R28" s="19"/>
      <c r="S28" s="19"/>
    </row>
    <row r="29" spans="1:19" x14ac:dyDescent="0.35">
      <c r="A29" s="26" t="s">
        <v>543</v>
      </c>
      <c r="B29" s="26" t="s">
        <v>543</v>
      </c>
      <c r="C29" s="26"/>
      <c r="D29" s="26" t="s">
        <v>543</v>
      </c>
      <c r="E29" s="26" t="s">
        <v>223</v>
      </c>
      <c r="F29" s="26" t="s">
        <v>1456</v>
      </c>
      <c r="G29" s="60" t="s">
        <v>1394</v>
      </c>
      <c r="H29" s="47" t="str">
        <f>IFERROR(VLOOKUP(G29,WholesaleExtract!B:L,11,FALSE),"")</f>
        <v/>
      </c>
      <c r="I29" s="26" t="s">
        <v>1499</v>
      </c>
      <c r="J29" s="26" t="s">
        <v>253</v>
      </c>
      <c r="K29" s="26" t="s">
        <v>108</v>
      </c>
      <c r="L29" s="47" t="s">
        <v>218</v>
      </c>
      <c r="M29" s="47" t="s">
        <v>1500</v>
      </c>
      <c r="N29" s="27" t="s">
        <v>161</v>
      </c>
      <c r="O29" s="19" t="s">
        <v>302</v>
      </c>
      <c r="P29" s="19" t="s">
        <v>330</v>
      </c>
      <c r="Q29" s="47">
        <v>202304</v>
      </c>
      <c r="R29" s="19"/>
      <c r="S29" s="19"/>
    </row>
    <row r="30" spans="1:19" x14ac:dyDescent="0.35">
      <c r="A30" s="26" t="s">
        <v>543</v>
      </c>
      <c r="B30" s="26" t="s">
        <v>543</v>
      </c>
      <c r="C30" s="26"/>
      <c r="D30" s="26" t="s">
        <v>543</v>
      </c>
      <c r="E30" s="26" t="s">
        <v>223</v>
      </c>
      <c r="F30" s="26" t="s">
        <v>1456</v>
      </c>
      <c r="G30" s="60" t="s">
        <v>1393</v>
      </c>
      <c r="H30" s="47" t="str">
        <f>IFERROR(VLOOKUP(G30,WholesaleExtract!B:L,11,FALSE),"")</f>
        <v/>
      </c>
      <c r="I30" s="26" t="s">
        <v>1501</v>
      </c>
      <c r="J30" s="26" t="s">
        <v>253</v>
      </c>
      <c r="K30" s="26" t="s">
        <v>108</v>
      </c>
      <c r="L30" s="47" t="s">
        <v>218</v>
      </c>
      <c r="M30" s="47" t="s">
        <v>1500</v>
      </c>
      <c r="N30" s="27" t="s">
        <v>161</v>
      </c>
      <c r="O30" s="19" t="s">
        <v>302</v>
      </c>
      <c r="P30" s="19" t="s">
        <v>330</v>
      </c>
      <c r="Q30" s="47">
        <v>202304</v>
      </c>
      <c r="R30" s="19"/>
      <c r="S30" s="19"/>
    </row>
    <row r="31" spans="1:19" x14ac:dyDescent="0.35">
      <c r="A31" s="26" t="s">
        <v>543</v>
      </c>
      <c r="B31" s="26" t="s">
        <v>543</v>
      </c>
      <c r="C31" s="26"/>
      <c r="D31" s="26" t="s">
        <v>543</v>
      </c>
      <c r="E31" s="26" t="s">
        <v>223</v>
      </c>
      <c r="F31" s="26" t="s">
        <v>1456</v>
      </c>
      <c r="G31" s="60" t="s">
        <v>1392</v>
      </c>
      <c r="H31" s="47" t="str">
        <f>IFERROR(VLOOKUP(G31,WholesaleExtract!B:L,11,FALSE),"")</f>
        <v/>
      </c>
      <c r="I31" s="26" t="s">
        <v>1502</v>
      </c>
      <c r="J31" s="26" t="s">
        <v>253</v>
      </c>
      <c r="K31" s="26" t="s">
        <v>108</v>
      </c>
      <c r="L31" s="47" t="s">
        <v>218</v>
      </c>
      <c r="M31" s="47" t="s">
        <v>1500</v>
      </c>
      <c r="N31" s="27" t="s">
        <v>161</v>
      </c>
      <c r="O31" s="19" t="s">
        <v>302</v>
      </c>
      <c r="P31" s="19" t="s">
        <v>330</v>
      </c>
      <c r="Q31" s="47">
        <v>202304</v>
      </c>
      <c r="R31" s="19"/>
      <c r="S31" s="19"/>
    </row>
    <row r="32" spans="1:19" x14ac:dyDescent="0.35">
      <c r="A32" s="26" t="s">
        <v>543</v>
      </c>
      <c r="B32" s="26" t="s">
        <v>543</v>
      </c>
      <c r="C32" s="26"/>
      <c r="D32" s="26" t="s">
        <v>543</v>
      </c>
      <c r="E32" s="26" t="s">
        <v>223</v>
      </c>
      <c r="F32" s="26" t="s">
        <v>1457</v>
      </c>
      <c r="G32" s="60" t="s">
        <v>1396</v>
      </c>
      <c r="H32" s="47" t="str">
        <f>IFERROR(VLOOKUP(G32,WholesaleExtract!B:L,11,FALSE),"")</f>
        <v/>
      </c>
      <c r="I32" s="26" t="s">
        <v>1503</v>
      </c>
      <c r="J32" s="26" t="s">
        <v>253</v>
      </c>
      <c r="K32" s="26" t="s">
        <v>1504</v>
      </c>
      <c r="L32" s="47" t="s">
        <v>218</v>
      </c>
      <c r="M32" s="47" t="s">
        <v>1505</v>
      </c>
      <c r="N32" s="27" t="s">
        <v>161</v>
      </c>
      <c r="O32" s="19" t="s">
        <v>302</v>
      </c>
      <c r="P32" s="19" t="s">
        <v>330</v>
      </c>
      <c r="Q32" s="47">
        <v>202304</v>
      </c>
      <c r="R32" s="19"/>
      <c r="S32" s="19"/>
    </row>
    <row r="33" spans="1:19" x14ac:dyDescent="0.35">
      <c r="A33" s="26" t="s">
        <v>543</v>
      </c>
      <c r="B33" s="26" t="s">
        <v>543</v>
      </c>
      <c r="C33" s="26"/>
      <c r="D33" s="26" t="s">
        <v>543</v>
      </c>
      <c r="E33" s="26" t="s">
        <v>219</v>
      </c>
      <c r="F33" s="26" t="s">
        <v>20</v>
      </c>
      <c r="G33" s="59" t="s">
        <v>1212</v>
      </c>
      <c r="H33" s="47">
        <f>IFERROR(VLOOKUP(G33,WholesaleExtract!B:L,11,FALSE),"")</f>
        <v>0</v>
      </c>
      <c r="I33" s="26" t="s">
        <v>1506</v>
      </c>
      <c r="J33" s="26" t="s">
        <v>222</v>
      </c>
      <c r="K33" s="26" t="s">
        <v>1182</v>
      </c>
      <c r="L33" s="47">
        <v>0</v>
      </c>
      <c r="M33" s="47" t="s">
        <v>1507</v>
      </c>
      <c r="N33" s="27" t="s">
        <v>161</v>
      </c>
      <c r="O33" s="19" t="s">
        <v>302</v>
      </c>
      <c r="P33" s="19" t="s">
        <v>330</v>
      </c>
      <c r="Q33" s="47">
        <v>202304</v>
      </c>
      <c r="R33" s="19"/>
      <c r="S33" s="19"/>
    </row>
    <row r="34" spans="1:19" x14ac:dyDescent="0.35">
      <c r="A34" s="26" t="s">
        <v>543</v>
      </c>
      <c r="B34" s="26" t="s">
        <v>543</v>
      </c>
      <c r="C34" s="26"/>
      <c r="D34" s="26" t="s">
        <v>543</v>
      </c>
      <c r="E34" s="26" t="s">
        <v>223</v>
      </c>
      <c r="F34" s="26" t="s">
        <v>33</v>
      </c>
      <c r="G34" s="60" t="s">
        <v>984</v>
      </c>
      <c r="H34" s="47">
        <f>IFERROR(VLOOKUP(G34,WholesaleExtract!B:L,11,FALSE),"")</f>
        <v>0</v>
      </c>
      <c r="I34" s="26" t="s">
        <v>985</v>
      </c>
      <c r="J34" s="26" t="s">
        <v>222</v>
      </c>
      <c r="K34" s="26" t="s">
        <v>292</v>
      </c>
      <c r="L34" s="47">
        <v>0</v>
      </c>
      <c r="M34" s="47" t="s">
        <v>1505</v>
      </c>
      <c r="N34" s="27" t="s">
        <v>161</v>
      </c>
      <c r="O34" s="19" t="s">
        <v>302</v>
      </c>
      <c r="P34" s="19" t="s">
        <v>330</v>
      </c>
      <c r="Q34" s="47">
        <v>202304</v>
      </c>
      <c r="R34" s="19"/>
      <c r="S34" s="19"/>
    </row>
    <row r="35" spans="1:19" x14ac:dyDescent="0.35">
      <c r="A35" s="26" t="s">
        <v>543</v>
      </c>
      <c r="B35" s="26" t="s">
        <v>543</v>
      </c>
      <c r="C35" s="26"/>
      <c r="D35" s="26" t="s">
        <v>543</v>
      </c>
      <c r="E35" s="26" t="s">
        <v>223</v>
      </c>
      <c r="F35" s="26" t="s">
        <v>33</v>
      </c>
      <c r="G35" s="60" t="s">
        <v>982</v>
      </c>
      <c r="H35" s="47">
        <f>IFERROR(VLOOKUP(G35,WholesaleExtract!B:L,11,FALSE),"")</f>
        <v>0</v>
      </c>
      <c r="I35" s="26" t="s">
        <v>983</v>
      </c>
      <c r="J35" s="26" t="s">
        <v>222</v>
      </c>
      <c r="K35" s="26" t="s">
        <v>292</v>
      </c>
      <c r="L35" s="47">
        <v>0</v>
      </c>
      <c r="M35" s="47" t="s">
        <v>1505</v>
      </c>
      <c r="N35" s="27" t="s">
        <v>161</v>
      </c>
      <c r="O35" s="19" t="s">
        <v>302</v>
      </c>
      <c r="P35" s="19" t="s">
        <v>330</v>
      </c>
      <c r="Q35" s="47">
        <v>202304</v>
      </c>
      <c r="R35" s="19"/>
      <c r="S35" s="19"/>
    </row>
    <row r="36" spans="1:19" x14ac:dyDescent="0.35">
      <c r="A36" s="26" t="s">
        <v>543</v>
      </c>
      <c r="B36" s="26" t="s">
        <v>543</v>
      </c>
      <c r="C36" s="26"/>
      <c r="D36" s="26" t="s">
        <v>543</v>
      </c>
      <c r="E36" s="26" t="s">
        <v>223</v>
      </c>
      <c r="F36" s="26" t="s">
        <v>33</v>
      </c>
      <c r="G36" s="60" t="s">
        <v>978</v>
      </c>
      <c r="H36" s="47">
        <f>IFERROR(VLOOKUP(G36,WholesaleExtract!B:L,11,FALSE),"")</f>
        <v>0</v>
      </c>
      <c r="I36" s="26" t="s">
        <v>979</v>
      </c>
      <c r="J36" s="26" t="s">
        <v>222</v>
      </c>
      <c r="K36" s="26" t="s">
        <v>292</v>
      </c>
      <c r="L36" s="47">
        <v>0</v>
      </c>
      <c r="M36" s="47" t="s">
        <v>1508</v>
      </c>
      <c r="N36" s="27" t="s">
        <v>161</v>
      </c>
      <c r="O36" s="19" t="s">
        <v>302</v>
      </c>
      <c r="P36" s="19" t="s">
        <v>330</v>
      </c>
      <c r="Q36" s="47">
        <v>202304</v>
      </c>
      <c r="R36" s="19"/>
      <c r="S36" s="19"/>
    </row>
    <row r="37" spans="1:19" x14ac:dyDescent="0.35">
      <c r="A37" s="26" t="s">
        <v>543</v>
      </c>
      <c r="B37" s="26" t="s">
        <v>543</v>
      </c>
      <c r="C37" s="26"/>
      <c r="D37" s="26" t="s">
        <v>543</v>
      </c>
      <c r="E37" s="26" t="s">
        <v>223</v>
      </c>
      <c r="F37" s="26" t="s">
        <v>81</v>
      </c>
      <c r="G37" s="60" t="s">
        <v>964</v>
      </c>
      <c r="H37" s="47">
        <f>IFERROR(VLOOKUP(G37,WholesaleExtract!B:L,11,FALSE),"")</f>
        <v>0</v>
      </c>
      <c r="I37" s="26" t="s">
        <v>965</v>
      </c>
      <c r="J37" s="26" t="s">
        <v>222</v>
      </c>
      <c r="K37" s="26" t="s">
        <v>292</v>
      </c>
      <c r="L37" s="47">
        <v>0</v>
      </c>
      <c r="M37" s="47" t="s">
        <v>1509</v>
      </c>
      <c r="N37" s="27" t="s">
        <v>161</v>
      </c>
      <c r="O37" s="19" t="s">
        <v>302</v>
      </c>
      <c r="P37" s="19" t="s">
        <v>330</v>
      </c>
      <c r="Q37" s="47">
        <v>202304</v>
      </c>
      <c r="R37" s="19"/>
      <c r="S37" s="19"/>
    </row>
    <row r="38" spans="1:19" x14ac:dyDescent="0.35">
      <c r="A38" s="26" t="s">
        <v>543</v>
      </c>
      <c r="B38" s="26" t="s">
        <v>543</v>
      </c>
      <c r="C38" s="26"/>
      <c r="D38" s="26" t="s">
        <v>543</v>
      </c>
      <c r="E38" s="26" t="s">
        <v>219</v>
      </c>
      <c r="F38" s="26" t="s">
        <v>1453</v>
      </c>
      <c r="G38" s="60" t="s">
        <v>1390</v>
      </c>
      <c r="H38" s="47" t="str">
        <f>IFERROR(VLOOKUP(G38,WholesaleExtract!B:L,11,FALSE),"")</f>
        <v/>
      </c>
      <c r="I38" s="26" t="s">
        <v>1510</v>
      </c>
      <c r="J38" s="26" t="s">
        <v>253</v>
      </c>
      <c r="K38" s="26" t="s">
        <v>117</v>
      </c>
      <c r="L38" s="47" t="s">
        <v>218</v>
      </c>
      <c r="M38" s="47" t="s">
        <v>1511</v>
      </c>
      <c r="N38" s="27" t="s">
        <v>162</v>
      </c>
      <c r="O38" s="19" t="s">
        <v>321</v>
      </c>
      <c r="P38" s="19" t="s">
        <v>386</v>
      </c>
      <c r="Q38" s="47">
        <v>202304</v>
      </c>
      <c r="R38" s="19"/>
      <c r="S38" s="19"/>
    </row>
    <row r="39" spans="1:19" x14ac:dyDescent="0.35">
      <c r="A39" s="26" t="s">
        <v>543</v>
      </c>
      <c r="B39" s="26" t="s">
        <v>543</v>
      </c>
      <c r="C39" s="26"/>
      <c r="D39" s="26" t="s">
        <v>543</v>
      </c>
      <c r="E39" s="26" t="s">
        <v>219</v>
      </c>
      <c r="F39" s="26" t="s">
        <v>1453</v>
      </c>
      <c r="G39" s="60" t="s">
        <v>1389</v>
      </c>
      <c r="H39" s="47" t="str">
        <f>IFERROR(VLOOKUP(G39,WholesaleExtract!B:L,11,FALSE),"")</f>
        <v/>
      </c>
      <c r="I39" s="26" t="s">
        <v>1512</v>
      </c>
      <c r="J39" s="26" t="s">
        <v>253</v>
      </c>
      <c r="K39" s="26" t="s">
        <v>1513</v>
      </c>
      <c r="L39" s="47" t="s">
        <v>218</v>
      </c>
      <c r="M39" s="47" t="s">
        <v>1514</v>
      </c>
      <c r="N39" s="27" t="s">
        <v>162</v>
      </c>
      <c r="O39" s="19" t="s">
        <v>321</v>
      </c>
      <c r="P39" s="19" t="s">
        <v>398</v>
      </c>
      <c r="Q39" s="47">
        <v>202304</v>
      </c>
      <c r="R39" s="19"/>
      <c r="S39" s="19"/>
    </row>
    <row r="40" spans="1:19" x14ac:dyDescent="0.35">
      <c r="A40" s="26" t="s">
        <v>543</v>
      </c>
      <c r="B40" s="26" t="s">
        <v>543</v>
      </c>
      <c r="C40" s="26"/>
      <c r="D40" s="26" t="s">
        <v>543</v>
      </c>
      <c r="E40" s="26" t="s">
        <v>219</v>
      </c>
      <c r="F40" s="26" t="s">
        <v>1453</v>
      </c>
      <c r="G40" s="60" t="s">
        <v>1386</v>
      </c>
      <c r="H40" s="47" t="str">
        <f>IFERROR(VLOOKUP(G40,WholesaleExtract!B:L,11,FALSE),"")</f>
        <v/>
      </c>
      <c r="I40" s="26" t="s">
        <v>1515</v>
      </c>
      <c r="J40" s="26" t="s">
        <v>253</v>
      </c>
      <c r="K40" s="26" t="s">
        <v>1513</v>
      </c>
      <c r="L40" s="47" t="s">
        <v>218</v>
      </c>
      <c r="M40" s="47" t="s">
        <v>1514</v>
      </c>
      <c r="N40" s="27" t="s">
        <v>162</v>
      </c>
      <c r="O40" s="19" t="s">
        <v>321</v>
      </c>
      <c r="P40" s="19" t="s">
        <v>418</v>
      </c>
      <c r="Q40" s="47">
        <v>202304</v>
      </c>
      <c r="R40" s="19"/>
      <c r="S40" s="19"/>
    </row>
    <row r="41" spans="1:19" x14ac:dyDescent="0.35">
      <c r="A41" s="26" t="s">
        <v>543</v>
      </c>
      <c r="B41" s="26" t="s">
        <v>543</v>
      </c>
      <c r="C41" s="26"/>
      <c r="D41" s="26" t="s">
        <v>543</v>
      </c>
      <c r="E41" s="26" t="s">
        <v>223</v>
      </c>
      <c r="F41" s="26" t="s">
        <v>81</v>
      </c>
      <c r="G41" s="60" t="s">
        <v>962</v>
      </c>
      <c r="H41" s="47">
        <f>IFERROR(VLOOKUP(G41,WholesaleExtract!B:L,11,FALSE),"")</f>
        <v>0</v>
      </c>
      <c r="I41" s="26" t="s">
        <v>963</v>
      </c>
      <c r="J41" s="26" t="s">
        <v>222</v>
      </c>
      <c r="K41" s="26" t="s">
        <v>292</v>
      </c>
      <c r="L41" s="47">
        <v>0</v>
      </c>
      <c r="M41" s="47" t="s">
        <v>1509</v>
      </c>
      <c r="N41" s="27" t="s">
        <v>161</v>
      </c>
      <c r="O41" s="19" t="s">
        <v>301</v>
      </c>
      <c r="P41" s="19" t="s">
        <v>338</v>
      </c>
      <c r="Q41" s="47">
        <v>202304</v>
      </c>
      <c r="R41" s="19"/>
      <c r="S41" s="19"/>
    </row>
    <row r="42" spans="1:19" x14ac:dyDescent="0.35">
      <c r="A42" s="26" t="s">
        <v>543</v>
      </c>
      <c r="B42" s="26" t="s">
        <v>543</v>
      </c>
      <c r="C42" s="26"/>
      <c r="D42" s="26" t="s">
        <v>543</v>
      </c>
      <c r="E42" s="26" t="s">
        <v>223</v>
      </c>
      <c r="F42" s="26" t="s">
        <v>81</v>
      </c>
      <c r="G42" s="60" t="s">
        <v>954</v>
      </c>
      <c r="H42" s="47">
        <f>IFERROR(VLOOKUP(G42,WholesaleExtract!B:L,11,FALSE),"")</f>
        <v>0</v>
      </c>
      <c r="I42" s="26" t="s">
        <v>955</v>
      </c>
      <c r="J42" s="26" t="s">
        <v>222</v>
      </c>
      <c r="K42" s="26" t="s">
        <v>292</v>
      </c>
      <c r="L42" s="47">
        <v>0</v>
      </c>
      <c r="M42" s="47" t="s">
        <v>1509</v>
      </c>
      <c r="N42" s="27" t="s">
        <v>161</v>
      </c>
      <c r="O42" s="19" t="s">
        <v>301</v>
      </c>
      <c r="P42" s="19" t="s">
        <v>338</v>
      </c>
      <c r="Q42" s="47">
        <v>202304</v>
      </c>
      <c r="R42" s="19"/>
      <c r="S42" s="19"/>
    </row>
    <row r="43" spans="1:19" x14ac:dyDescent="0.35">
      <c r="A43" s="26" t="s">
        <v>543</v>
      </c>
      <c r="B43" s="26" t="s">
        <v>543</v>
      </c>
      <c r="C43" s="26"/>
      <c r="D43" s="26" t="s">
        <v>543</v>
      </c>
      <c r="E43" s="26" t="s">
        <v>223</v>
      </c>
      <c r="F43" s="26" t="s">
        <v>81</v>
      </c>
      <c r="G43" s="60" t="s">
        <v>1089</v>
      </c>
      <c r="H43" s="47">
        <f>IFERROR(VLOOKUP(G43,WholesaleExtract!B:L,11,FALSE),"")</f>
        <v>5754</v>
      </c>
      <c r="I43" s="26" t="s">
        <v>1090</v>
      </c>
      <c r="J43" s="26" t="s">
        <v>1088</v>
      </c>
      <c r="K43" s="26" t="s">
        <v>114</v>
      </c>
      <c r="L43" s="47">
        <v>5754</v>
      </c>
      <c r="M43" s="47" t="s">
        <v>1516</v>
      </c>
      <c r="N43" s="27" t="s">
        <v>161</v>
      </c>
      <c r="O43" s="19" t="s">
        <v>300</v>
      </c>
      <c r="P43" s="19" t="s">
        <v>328</v>
      </c>
      <c r="Q43" s="47">
        <v>202304</v>
      </c>
      <c r="R43" s="19"/>
      <c r="S43" s="19"/>
    </row>
    <row r="44" spans="1:19" x14ac:dyDescent="0.35">
      <c r="A44" s="26" t="s">
        <v>543</v>
      </c>
      <c r="B44" s="26" t="s">
        <v>543</v>
      </c>
      <c r="C44" s="26"/>
      <c r="D44" s="26" t="s">
        <v>543</v>
      </c>
      <c r="E44" s="26" t="s">
        <v>223</v>
      </c>
      <c r="F44" s="26" t="s">
        <v>81</v>
      </c>
      <c r="G44" s="60" t="s">
        <v>1086</v>
      </c>
      <c r="H44" s="47">
        <f>IFERROR(VLOOKUP(G44,WholesaleExtract!B:L,11,FALSE),"")</f>
        <v>5754</v>
      </c>
      <c r="I44" s="26" t="s">
        <v>1087</v>
      </c>
      <c r="J44" s="26" t="s">
        <v>1088</v>
      </c>
      <c r="K44" s="26" t="s">
        <v>114</v>
      </c>
      <c r="L44" s="47">
        <v>5754</v>
      </c>
      <c r="M44" s="47" t="s">
        <v>1516</v>
      </c>
      <c r="N44" s="27" t="s">
        <v>161</v>
      </c>
      <c r="O44" s="19" t="s">
        <v>300</v>
      </c>
      <c r="P44" s="19" t="s">
        <v>328</v>
      </c>
      <c r="Q44" s="47">
        <v>202304</v>
      </c>
      <c r="R44" s="19"/>
      <c r="S44" s="19"/>
    </row>
    <row r="45" spans="1:19" x14ac:dyDescent="0.35">
      <c r="A45" s="26" t="s">
        <v>543</v>
      </c>
      <c r="B45" s="26" t="s">
        <v>543</v>
      </c>
      <c r="C45" s="26"/>
      <c r="D45" s="26" t="s">
        <v>543</v>
      </c>
      <c r="E45" s="26" t="s">
        <v>219</v>
      </c>
      <c r="F45" s="26" t="s">
        <v>1458</v>
      </c>
      <c r="G45" s="59" t="s">
        <v>1407</v>
      </c>
      <c r="H45" s="47" t="str">
        <f>IFERROR(VLOOKUP(G45,WholesaleExtract!B:L,11,FALSE),"")</f>
        <v/>
      </c>
      <c r="I45" s="26" t="s">
        <v>1517</v>
      </c>
      <c r="J45" s="26" t="s">
        <v>222</v>
      </c>
      <c r="K45" s="26" t="s">
        <v>475</v>
      </c>
      <c r="L45" s="47" t="s">
        <v>218</v>
      </c>
      <c r="M45" s="47" t="s">
        <v>539</v>
      </c>
      <c r="N45" s="27" t="s">
        <v>162</v>
      </c>
      <c r="O45" s="19" t="s">
        <v>315</v>
      </c>
      <c r="P45" s="19" t="s">
        <v>371</v>
      </c>
      <c r="Q45" s="47">
        <v>202304</v>
      </c>
      <c r="R45" s="19"/>
      <c r="S45" s="19"/>
    </row>
    <row r="46" spans="1:19" x14ac:dyDescent="0.35">
      <c r="A46" s="26" t="s">
        <v>543</v>
      </c>
      <c r="B46" s="26" t="s">
        <v>543</v>
      </c>
      <c r="C46" s="26"/>
      <c r="D46" s="26" t="s">
        <v>543</v>
      </c>
      <c r="E46" s="26" t="s">
        <v>219</v>
      </c>
      <c r="F46" s="26" t="s">
        <v>1458</v>
      </c>
      <c r="G46" s="59" t="s">
        <v>1368</v>
      </c>
      <c r="H46" s="47">
        <f>IFERROR(VLOOKUP(G46,WholesaleExtract!B:L,11,FALSE),"")</f>
        <v>0</v>
      </c>
      <c r="I46" s="26" t="s">
        <v>1518</v>
      </c>
      <c r="J46" s="26" t="s">
        <v>222</v>
      </c>
      <c r="K46" s="26" t="s">
        <v>116</v>
      </c>
      <c r="L46" s="47">
        <v>0</v>
      </c>
      <c r="M46" s="47" t="s">
        <v>539</v>
      </c>
      <c r="N46" s="27" t="s">
        <v>162</v>
      </c>
      <c r="O46" s="19" t="s">
        <v>315</v>
      </c>
      <c r="P46" s="19" t="s">
        <v>371</v>
      </c>
      <c r="Q46" s="47">
        <v>202304</v>
      </c>
      <c r="R46" s="19"/>
      <c r="S46" s="19"/>
    </row>
    <row r="47" spans="1:19" x14ac:dyDescent="0.35">
      <c r="A47" s="26" t="s">
        <v>543</v>
      </c>
      <c r="B47" s="26" t="s">
        <v>543</v>
      </c>
      <c r="C47" s="26"/>
      <c r="D47" s="26" t="s">
        <v>543</v>
      </c>
      <c r="E47" s="26" t="s">
        <v>219</v>
      </c>
      <c r="F47" s="26" t="s">
        <v>1458</v>
      </c>
      <c r="G47" s="59" t="s">
        <v>1367</v>
      </c>
      <c r="H47" s="47">
        <f>IFERROR(VLOOKUP(G47,WholesaleExtract!B:L,11,FALSE),"")</f>
        <v>0</v>
      </c>
      <c r="I47" s="26" t="s">
        <v>1519</v>
      </c>
      <c r="J47" s="26" t="s">
        <v>222</v>
      </c>
      <c r="K47" s="26" t="s">
        <v>116</v>
      </c>
      <c r="L47" s="47">
        <v>0</v>
      </c>
      <c r="M47" s="47" t="s">
        <v>539</v>
      </c>
      <c r="N47" s="27" t="s">
        <v>162</v>
      </c>
      <c r="O47" s="19" t="s">
        <v>315</v>
      </c>
      <c r="P47" s="19" t="s">
        <v>371</v>
      </c>
      <c r="Q47" s="47">
        <v>202304</v>
      </c>
      <c r="R47" s="19"/>
      <c r="S47" s="19"/>
    </row>
    <row r="48" spans="1:19" x14ac:dyDescent="0.35">
      <c r="A48" s="26" t="s">
        <v>543</v>
      </c>
      <c r="B48" s="26" t="s">
        <v>543</v>
      </c>
      <c r="C48" s="26"/>
      <c r="D48" s="26" t="s">
        <v>543</v>
      </c>
      <c r="E48" s="26" t="s">
        <v>219</v>
      </c>
      <c r="F48" s="26" t="s">
        <v>1459</v>
      </c>
      <c r="G48" s="59" t="s">
        <v>1408</v>
      </c>
      <c r="H48" s="47" t="str">
        <f>IFERROR(VLOOKUP(G48,WholesaleExtract!B:L,11,FALSE),"")</f>
        <v/>
      </c>
      <c r="I48" s="26" t="s">
        <v>1520</v>
      </c>
      <c r="J48" s="26" t="s">
        <v>222</v>
      </c>
      <c r="K48" s="26" t="s">
        <v>116</v>
      </c>
      <c r="L48" s="47" t="s">
        <v>218</v>
      </c>
      <c r="M48" s="47" t="s">
        <v>1521</v>
      </c>
      <c r="N48" s="27" t="s">
        <v>162</v>
      </c>
      <c r="O48" s="19" t="s">
        <v>315</v>
      </c>
      <c r="P48" s="19" t="s">
        <v>371</v>
      </c>
      <c r="Q48" s="47">
        <v>202304</v>
      </c>
      <c r="R48" s="19"/>
      <c r="S48" s="19"/>
    </row>
    <row r="49" spans="1:19" x14ac:dyDescent="0.35">
      <c r="A49" s="26" t="s">
        <v>543</v>
      </c>
      <c r="B49" s="26" t="s">
        <v>543</v>
      </c>
      <c r="C49" s="26"/>
      <c r="D49" s="26" t="s">
        <v>543</v>
      </c>
      <c r="E49" s="26" t="s">
        <v>219</v>
      </c>
      <c r="F49" s="26" t="s">
        <v>1459</v>
      </c>
      <c r="G49" s="59" t="s">
        <v>1384</v>
      </c>
      <c r="H49" s="47" t="str">
        <f>IFERROR(VLOOKUP(G49,WholesaleExtract!B:L,11,FALSE),"")</f>
        <v/>
      </c>
      <c r="I49" s="26" t="s">
        <v>1522</v>
      </c>
      <c r="J49" s="26" t="s">
        <v>222</v>
      </c>
      <c r="K49" s="26" t="s">
        <v>116</v>
      </c>
      <c r="L49" s="47" t="s">
        <v>218</v>
      </c>
      <c r="M49" s="47" t="s">
        <v>1523</v>
      </c>
      <c r="N49" s="27" t="s">
        <v>162</v>
      </c>
      <c r="O49" s="19" t="s">
        <v>315</v>
      </c>
      <c r="P49" s="19" t="s">
        <v>371</v>
      </c>
      <c r="Q49" s="47">
        <v>202304</v>
      </c>
      <c r="R49" s="19"/>
      <c r="S49" s="19"/>
    </row>
    <row r="50" spans="1:19" x14ac:dyDescent="0.35">
      <c r="A50" s="26" t="s">
        <v>543</v>
      </c>
      <c r="B50" s="26" t="s">
        <v>543</v>
      </c>
      <c r="C50" s="26"/>
      <c r="D50" s="26" t="s">
        <v>543</v>
      </c>
      <c r="E50" s="26" t="s">
        <v>219</v>
      </c>
      <c r="F50" s="26" t="s">
        <v>1458</v>
      </c>
      <c r="G50" s="59" t="s">
        <v>1409</v>
      </c>
      <c r="H50" s="47" t="str">
        <f>IFERROR(VLOOKUP(G50,WholesaleExtract!B:L,11,FALSE),"")</f>
        <v/>
      </c>
      <c r="I50" s="26" t="s">
        <v>1524</v>
      </c>
      <c r="J50" s="26" t="s">
        <v>222</v>
      </c>
      <c r="K50" s="26" t="s">
        <v>116</v>
      </c>
      <c r="L50" s="47" t="s">
        <v>218</v>
      </c>
      <c r="M50" s="47" t="s">
        <v>520</v>
      </c>
      <c r="N50" s="27" t="s">
        <v>162</v>
      </c>
      <c r="O50" s="19" t="s">
        <v>315</v>
      </c>
      <c r="P50" s="19" t="s">
        <v>381</v>
      </c>
      <c r="Q50" s="47">
        <v>202304</v>
      </c>
      <c r="R50" s="19"/>
      <c r="S50" s="19"/>
    </row>
    <row r="51" spans="1:19" x14ac:dyDescent="0.35">
      <c r="A51" s="26" t="s">
        <v>543</v>
      </c>
      <c r="B51" s="26" t="s">
        <v>543</v>
      </c>
      <c r="C51" s="26"/>
      <c r="D51" s="26" t="s">
        <v>543</v>
      </c>
      <c r="E51" s="26" t="s">
        <v>219</v>
      </c>
      <c r="F51" s="26" t="s">
        <v>83</v>
      </c>
      <c r="G51" s="59" t="s">
        <v>1124</v>
      </c>
      <c r="H51" s="47">
        <f>IFERROR(VLOOKUP(G51,WholesaleExtract!B:L,11,FALSE),"")</f>
        <v>0</v>
      </c>
      <c r="I51" s="26" t="s">
        <v>1525</v>
      </c>
      <c r="J51" s="26" t="s">
        <v>222</v>
      </c>
      <c r="K51" s="26" t="s">
        <v>116</v>
      </c>
      <c r="L51" s="47">
        <v>0</v>
      </c>
      <c r="M51" s="47" t="s">
        <v>1523</v>
      </c>
      <c r="N51" s="27" t="s">
        <v>162</v>
      </c>
      <c r="O51" s="19" t="s">
        <v>315</v>
      </c>
      <c r="P51" s="19" t="s">
        <v>371</v>
      </c>
      <c r="Q51" s="47">
        <v>202304</v>
      </c>
      <c r="R51" s="19"/>
      <c r="S51" s="19"/>
    </row>
    <row r="52" spans="1:19" x14ac:dyDescent="0.35">
      <c r="A52" s="26" t="s">
        <v>543</v>
      </c>
      <c r="B52" s="26" t="s">
        <v>543</v>
      </c>
      <c r="C52" s="26"/>
      <c r="D52" s="26" t="s">
        <v>543</v>
      </c>
      <c r="E52" s="26" t="s">
        <v>219</v>
      </c>
      <c r="F52" s="26" t="s">
        <v>1458</v>
      </c>
      <c r="G52" s="59" t="s">
        <v>1410</v>
      </c>
      <c r="H52" s="47" t="str">
        <f>IFERROR(VLOOKUP(G52,WholesaleExtract!B:L,11,FALSE),"")</f>
        <v/>
      </c>
      <c r="I52" s="26" t="s">
        <v>1526</v>
      </c>
      <c r="J52" s="26" t="s">
        <v>222</v>
      </c>
      <c r="K52" s="26" t="s">
        <v>116</v>
      </c>
      <c r="L52" s="47" t="s">
        <v>218</v>
      </c>
      <c r="M52" s="47" t="s">
        <v>539</v>
      </c>
      <c r="N52" s="27" t="s">
        <v>162</v>
      </c>
      <c r="O52" s="19" t="s">
        <v>315</v>
      </c>
      <c r="P52" s="19" t="s">
        <v>371</v>
      </c>
      <c r="Q52" s="47">
        <v>202304</v>
      </c>
      <c r="R52" s="19"/>
      <c r="S52" s="19"/>
    </row>
    <row r="53" spans="1:19" x14ac:dyDescent="0.35">
      <c r="A53" s="26" t="s">
        <v>543</v>
      </c>
      <c r="B53" s="26" t="s">
        <v>543</v>
      </c>
      <c r="C53" s="26"/>
      <c r="D53" s="26" t="s">
        <v>543</v>
      </c>
      <c r="E53" s="26" t="s">
        <v>219</v>
      </c>
      <c r="F53" s="26" t="s">
        <v>1458</v>
      </c>
      <c r="G53" s="59" t="s">
        <v>1411</v>
      </c>
      <c r="H53" s="47" t="str">
        <f>IFERROR(VLOOKUP(G53,WholesaleExtract!B:L,11,FALSE),"")</f>
        <v/>
      </c>
      <c r="I53" s="26" t="s">
        <v>1527</v>
      </c>
      <c r="J53" s="26" t="s">
        <v>222</v>
      </c>
      <c r="K53" s="26" t="s">
        <v>116</v>
      </c>
      <c r="L53" s="47" t="s">
        <v>218</v>
      </c>
      <c r="M53" s="47" t="s">
        <v>539</v>
      </c>
      <c r="N53" s="27" t="s">
        <v>162</v>
      </c>
      <c r="O53" s="19" t="s">
        <v>315</v>
      </c>
      <c r="P53" s="19" t="s">
        <v>371</v>
      </c>
      <c r="Q53" s="47">
        <v>202304</v>
      </c>
      <c r="R53" s="19"/>
      <c r="S53" s="19"/>
    </row>
    <row r="54" spans="1:19" x14ac:dyDescent="0.35">
      <c r="A54" s="26" t="s">
        <v>543</v>
      </c>
      <c r="B54" s="26" t="s">
        <v>543</v>
      </c>
      <c r="C54" s="26"/>
      <c r="D54" s="26" t="s">
        <v>543</v>
      </c>
      <c r="E54" s="26" t="s">
        <v>219</v>
      </c>
      <c r="F54" s="26" t="s">
        <v>1460</v>
      </c>
      <c r="G54" s="60" t="s">
        <v>1385</v>
      </c>
      <c r="H54" s="47" t="str">
        <f>IFERROR(VLOOKUP(G54,WholesaleExtract!B:L,11,FALSE),"")</f>
        <v/>
      </c>
      <c r="I54" s="26" t="s">
        <v>1528</v>
      </c>
      <c r="J54" s="26" t="s">
        <v>253</v>
      </c>
      <c r="K54" s="26" t="s">
        <v>508</v>
      </c>
      <c r="L54" s="47" t="s">
        <v>218</v>
      </c>
      <c r="M54" s="47" t="s">
        <v>1514</v>
      </c>
      <c r="N54" s="27" t="s">
        <v>162</v>
      </c>
      <c r="O54" s="19" t="s">
        <v>315</v>
      </c>
      <c r="P54" s="19" t="s">
        <v>371</v>
      </c>
      <c r="Q54" s="47">
        <v>202304</v>
      </c>
      <c r="R54" s="19"/>
      <c r="S54" s="19"/>
    </row>
    <row r="55" spans="1:19" x14ac:dyDescent="0.35">
      <c r="A55" s="26" t="s">
        <v>543</v>
      </c>
      <c r="B55" s="26" t="s">
        <v>543</v>
      </c>
      <c r="C55" s="26"/>
      <c r="D55" s="26" t="s">
        <v>543</v>
      </c>
      <c r="E55" s="26" t="s">
        <v>127</v>
      </c>
      <c r="F55" s="26" t="s">
        <v>1458</v>
      </c>
      <c r="G55" s="59" t="s">
        <v>1374</v>
      </c>
      <c r="H55" s="47">
        <f>IFERROR(VLOOKUP(G55,WholesaleExtract!B:L,11,FALSE),"")</f>
        <v>0</v>
      </c>
      <c r="I55" s="26" t="s">
        <v>1529</v>
      </c>
      <c r="J55" s="26" t="s">
        <v>222</v>
      </c>
      <c r="K55" s="26" t="s">
        <v>532</v>
      </c>
      <c r="L55" s="47">
        <v>0</v>
      </c>
      <c r="M55" s="47" t="s">
        <v>1530</v>
      </c>
      <c r="N55" s="27" t="s">
        <v>162</v>
      </c>
      <c r="O55" s="19" t="s">
        <v>314</v>
      </c>
      <c r="P55" s="19" t="s">
        <v>380</v>
      </c>
      <c r="Q55" s="47">
        <v>202304</v>
      </c>
      <c r="R55" s="19"/>
      <c r="S55" s="19"/>
    </row>
    <row r="56" spans="1:19" x14ac:dyDescent="0.35">
      <c r="A56" s="26" t="s">
        <v>543</v>
      </c>
      <c r="B56" s="26" t="s">
        <v>543</v>
      </c>
      <c r="C56" s="26"/>
      <c r="D56" s="26" t="s">
        <v>543</v>
      </c>
      <c r="E56" s="26" t="s">
        <v>127</v>
      </c>
      <c r="F56" s="26" t="s">
        <v>1458</v>
      </c>
      <c r="G56" s="59" t="s">
        <v>1373</v>
      </c>
      <c r="H56" s="47">
        <f>IFERROR(VLOOKUP(G56,WholesaleExtract!B:L,11,FALSE),"")</f>
        <v>0</v>
      </c>
      <c r="I56" s="26" t="s">
        <v>1531</v>
      </c>
      <c r="J56" s="26" t="s">
        <v>222</v>
      </c>
      <c r="K56" s="26" t="s">
        <v>532</v>
      </c>
      <c r="L56" s="47">
        <v>0</v>
      </c>
      <c r="M56" s="47" t="s">
        <v>1416</v>
      </c>
      <c r="N56" s="27" t="s">
        <v>162</v>
      </c>
      <c r="O56" s="19" t="s">
        <v>314</v>
      </c>
      <c r="P56" s="19" t="s">
        <v>380</v>
      </c>
      <c r="Q56" s="47">
        <v>202304</v>
      </c>
      <c r="R56" s="19"/>
      <c r="S56" s="19"/>
    </row>
    <row r="57" spans="1:19" x14ac:dyDescent="0.35">
      <c r="A57" s="26" t="s">
        <v>543</v>
      </c>
      <c r="B57" s="26" t="s">
        <v>543</v>
      </c>
      <c r="C57" s="26"/>
      <c r="D57" s="26" t="s">
        <v>543</v>
      </c>
      <c r="E57" s="26" t="s">
        <v>127</v>
      </c>
      <c r="F57" s="26" t="s">
        <v>1458</v>
      </c>
      <c r="G57" s="59" t="s">
        <v>1372</v>
      </c>
      <c r="H57" s="47">
        <f>IFERROR(VLOOKUP(G57,WholesaleExtract!B:L,11,FALSE),"")</f>
        <v>0</v>
      </c>
      <c r="I57" s="26" t="s">
        <v>1532</v>
      </c>
      <c r="J57" s="26" t="s">
        <v>222</v>
      </c>
      <c r="K57" s="26" t="s">
        <v>532</v>
      </c>
      <c r="L57" s="47">
        <v>0</v>
      </c>
      <c r="M57" s="47" t="s">
        <v>1416</v>
      </c>
      <c r="N57" s="27" t="s">
        <v>162</v>
      </c>
      <c r="O57" s="19" t="s">
        <v>314</v>
      </c>
      <c r="P57" s="19" t="s">
        <v>380</v>
      </c>
      <c r="Q57" s="47">
        <v>202304</v>
      </c>
      <c r="R57" s="19"/>
      <c r="S57" s="19"/>
    </row>
    <row r="58" spans="1:19" x14ac:dyDescent="0.35">
      <c r="A58" s="26" t="s">
        <v>543</v>
      </c>
      <c r="B58" s="26" t="s">
        <v>543</v>
      </c>
      <c r="C58" s="26"/>
      <c r="D58" s="26" t="s">
        <v>543</v>
      </c>
      <c r="E58" s="26" t="s">
        <v>127</v>
      </c>
      <c r="F58" s="26" t="s">
        <v>1458</v>
      </c>
      <c r="G58" s="59" t="s">
        <v>606</v>
      </c>
      <c r="H58" s="47">
        <f>IFERROR(VLOOKUP(G58,WholesaleExtract!B:L,11,FALSE),"")</f>
        <v>0</v>
      </c>
      <c r="I58" s="26" t="s">
        <v>1533</v>
      </c>
      <c r="J58" s="26" t="s">
        <v>222</v>
      </c>
      <c r="K58" s="26" t="s">
        <v>532</v>
      </c>
      <c r="L58" s="47">
        <v>0</v>
      </c>
      <c r="M58" s="47" t="s">
        <v>1414</v>
      </c>
      <c r="N58" s="27" t="s">
        <v>162</v>
      </c>
      <c r="O58" s="19" t="s">
        <v>314</v>
      </c>
      <c r="P58" s="19" t="s">
        <v>380</v>
      </c>
      <c r="Q58" s="47">
        <v>202304</v>
      </c>
      <c r="R58" s="19"/>
      <c r="S58" s="19"/>
    </row>
    <row r="59" spans="1:19" x14ac:dyDescent="0.35">
      <c r="A59" s="26" t="s">
        <v>543</v>
      </c>
      <c r="B59" s="26" t="s">
        <v>543</v>
      </c>
      <c r="C59" s="26"/>
      <c r="D59" s="26" t="s">
        <v>543</v>
      </c>
      <c r="E59" s="26" t="s">
        <v>440</v>
      </c>
      <c r="F59" s="26" t="s">
        <v>1461</v>
      </c>
      <c r="G59" s="59" t="s">
        <v>1375</v>
      </c>
      <c r="H59" s="47" t="str">
        <f>IFERROR(VLOOKUP(G59,WholesaleExtract!B:L,11,FALSE),"")</f>
        <v/>
      </c>
      <c r="I59" s="26" t="s">
        <v>1534</v>
      </c>
      <c r="J59" s="26" t="s">
        <v>222</v>
      </c>
      <c r="K59" s="26" t="s">
        <v>452</v>
      </c>
      <c r="L59" s="47" t="s">
        <v>218</v>
      </c>
      <c r="M59" s="47" t="s">
        <v>1464</v>
      </c>
      <c r="N59" s="27" t="s">
        <v>162</v>
      </c>
      <c r="O59" s="19" t="s">
        <v>314</v>
      </c>
      <c r="P59" s="19" t="s">
        <v>396</v>
      </c>
      <c r="Q59" s="47">
        <v>202304</v>
      </c>
      <c r="R59" s="19"/>
      <c r="S59" s="19"/>
    </row>
    <row r="60" spans="1:19" x14ac:dyDescent="0.35">
      <c r="A60" s="26" t="s">
        <v>543</v>
      </c>
      <c r="B60" s="26" t="s">
        <v>543</v>
      </c>
      <c r="C60" s="26"/>
      <c r="D60" s="26" t="s">
        <v>543</v>
      </c>
      <c r="E60" s="26" t="s">
        <v>126</v>
      </c>
      <c r="F60" s="26" t="s">
        <v>514</v>
      </c>
      <c r="G60" s="59" t="s">
        <v>637</v>
      </c>
      <c r="H60" s="47">
        <f>IFERROR(VLOOKUP(G60,WholesaleExtract!B:L,11,FALSE),"")</f>
        <v>0</v>
      </c>
      <c r="I60" s="26" t="s">
        <v>1535</v>
      </c>
      <c r="J60" s="26" t="s">
        <v>222</v>
      </c>
      <c r="K60" s="26" t="s">
        <v>221</v>
      </c>
      <c r="L60" s="47">
        <v>0</v>
      </c>
      <c r="M60" s="47" t="s">
        <v>1464</v>
      </c>
      <c r="N60" s="27" t="s">
        <v>162</v>
      </c>
      <c r="O60" s="19" t="s">
        <v>314</v>
      </c>
      <c r="P60" s="19" t="s">
        <v>396</v>
      </c>
      <c r="Q60" s="47">
        <v>202304</v>
      </c>
      <c r="R60" s="19"/>
      <c r="S60" s="19"/>
    </row>
    <row r="61" spans="1:19" x14ac:dyDescent="0.35">
      <c r="A61" s="26" t="s">
        <v>543</v>
      </c>
      <c r="B61" s="26" t="s">
        <v>543</v>
      </c>
      <c r="C61" s="26"/>
      <c r="D61" s="26" t="s">
        <v>543</v>
      </c>
      <c r="E61" s="26" t="s">
        <v>172</v>
      </c>
      <c r="F61" s="26" t="s">
        <v>57</v>
      </c>
      <c r="G61" s="60" t="s">
        <v>889</v>
      </c>
      <c r="H61" s="47">
        <f>IFERROR(VLOOKUP(G61,WholesaleExtract!B:L,11,FALSE),"")</f>
        <v>0</v>
      </c>
      <c r="I61" s="26" t="s">
        <v>890</v>
      </c>
      <c r="J61" s="26" t="s">
        <v>891</v>
      </c>
      <c r="K61" s="26" t="s">
        <v>473</v>
      </c>
      <c r="L61" s="47">
        <v>0</v>
      </c>
      <c r="M61" s="47" t="s">
        <v>1516</v>
      </c>
      <c r="N61" s="27" t="s">
        <v>1402</v>
      </c>
      <c r="O61" s="19" t="s">
        <v>431</v>
      </c>
      <c r="P61" s="19" t="s">
        <v>426</v>
      </c>
      <c r="Q61" s="47">
        <v>202304</v>
      </c>
      <c r="R61" s="19"/>
      <c r="S61" s="19"/>
    </row>
    <row r="62" spans="1:19" x14ac:dyDescent="0.35">
      <c r="A62" s="26" t="s">
        <v>543</v>
      </c>
      <c r="B62" s="26" t="s">
        <v>543</v>
      </c>
      <c r="C62" s="26"/>
      <c r="D62" s="26" t="s">
        <v>543</v>
      </c>
      <c r="E62" s="26" t="s">
        <v>223</v>
      </c>
      <c r="F62" s="26" t="s">
        <v>81</v>
      </c>
      <c r="G62" s="60" t="s">
        <v>956</v>
      </c>
      <c r="H62" s="47">
        <f>IFERROR(VLOOKUP(G62,WholesaleExtract!B:L,11,FALSE),"")</f>
        <v>5994</v>
      </c>
      <c r="I62" s="26" t="s">
        <v>957</v>
      </c>
      <c r="J62" s="26" t="s">
        <v>253</v>
      </c>
      <c r="K62" s="26" t="s">
        <v>108</v>
      </c>
      <c r="L62" s="47">
        <v>5994</v>
      </c>
      <c r="M62" s="47" t="s">
        <v>1434</v>
      </c>
      <c r="N62" s="27" t="s">
        <v>161</v>
      </c>
      <c r="O62" s="19" t="s">
        <v>297</v>
      </c>
      <c r="P62" s="19" t="s">
        <v>325</v>
      </c>
      <c r="Q62" s="47">
        <v>202304</v>
      </c>
      <c r="R62" s="19"/>
      <c r="S62" s="19"/>
    </row>
    <row r="63" spans="1:19" x14ac:dyDescent="0.35">
      <c r="A63" s="26" t="s">
        <v>543</v>
      </c>
      <c r="B63" s="26" t="s">
        <v>543</v>
      </c>
      <c r="C63" s="26"/>
      <c r="D63" s="26" t="s">
        <v>543</v>
      </c>
      <c r="E63" s="26" t="s">
        <v>259</v>
      </c>
      <c r="F63" s="26" t="s">
        <v>459</v>
      </c>
      <c r="G63" s="59" t="s">
        <v>878</v>
      </c>
      <c r="H63" s="47">
        <f>IFERROR(VLOOKUP(G63,WholesaleExtract!B:L,11,FALSE),"")</f>
        <v>0</v>
      </c>
      <c r="I63" s="26" t="s">
        <v>1536</v>
      </c>
      <c r="J63" s="26" t="s">
        <v>244</v>
      </c>
      <c r="K63" s="26" t="s">
        <v>260</v>
      </c>
      <c r="L63" s="47">
        <v>0</v>
      </c>
      <c r="M63" s="47" t="s">
        <v>522</v>
      </c>
      <c r="N63" s="27" t="s">
        <v>1402</v>
      </c>
      <c r="O63" s="19" t="s">
        <v>294</v>
      </c>
      <c r="P63" s="19" t="s">
        <v>428</v>
      </c>
      <c r="Q63" s="47">
        <v>202304</v>
      </c>
      <c r="R63" s="19"/>
      <c r="S63" s="19"/>
    </row>
    <row r="64" spans="1:19" x14ac:dyDescent="0.35">
      <c r="A64" s="26" t="s">
        <v>543</v>
      </c>
      <c r="B64" s="26" t="s">
        <v>543</v>
      </c>
      <c r="C64" s="26"/>
      <c r="D64" s="26" t="s">
        <v>543</v>
      </c>
      <c r="E64" s="26" t="s">
        <v>172</v>
      </c>
      <c r="F64" s="26" t="s">
        <v>57</v>
      </c>
      <c r="G64" s="59" t="s">
        <v>1398</v>
      </c>
      <c r="H64" s="47" t="str">
        <f>IFERROR(VLOOKUP(G64,WholesaleExtract!B:L,11,FALSE),"")</f>
        <v/>
      </c>
      <c r="I64" s="26" t="s">
        <v>1537</v>
      </c>
      <c r="J64" s="26" t="s">
        <v>222</v>
      </c>
      <c r="K64" s="26" t="s">
        <v>844</v>
      </c>
      <c r="L64" s="47" t="s">
        <v>218</v>
      </c>
      <c r="M64" s="47" t="s">
        <v>1538</v>
      </c>
      <c r="N64" s="27" t="s">
        <v>1402</v>
      </c>
      <c r="O64" s="19" t="s">
        <v>324</v>
      </c>
      <c r="P64" s="19" t="s">
        <v>424</v>
      </c>
      <c r="Q64" s="47">
        <v>202304</v>
      </c>
      <c r="R64" s="19"/>
      <c r="S64" s="19"/>
    </row>
    <row r="65" spans="1:19" x14ac:dyDescent="0.35">
      <c r="A65" s="26" t="s">
        <v>543</v>
      </c>
      <c r="B65" s="26" t="s">
        <v>543</v>
      </c>
      <c r="C65" s="26"/>
      <c r="D65" s="26" t="s">
        <v>543</v>
      </c>
      <c r="E65" s="26" t="str">
        <f>IFERROR(VLOOKUP(G65,WholesaleExtract!B:J,9,FALSE),"")</f>
        <v/>
      </c>
      <c r="F65" s="26" t="str">
        <f>IFERROR(VLOOKUP(G65,WholesaleExtract!B:J,6,FALSE),"")</f>
        <v/>
      </c>
      <c r="G65" s="19"/>
      <c r="H65" s="47" t="str">
        <f>IFERROR(VLOOKUP(G65,WholesaleExtract!B:L,11,FALSE),"")</f>
        <v/>
      </c>
      <c r="I65" s="26" t="str">
        <f>IFERROR(VLOOKUP(G65,WholesaleExtract!B:O,8,FALSE),"")</f>
        <v/>
      </c>
      <c r="J65" s="26" t="str">
        <f>IFERROR(VLOOKUP(G65,WholesaleExtract!B:O,14,FALSE),"")</f>
        <v/>
      </c>
      <c r="K65" s="26" t="str">
        <f>IFERROR(VLOOKUP(G65,WholesaleExtract!B:K,10,FALSE),"")</f>
        <v/>
      </c>
      <c r="L65" s="47" t="str">
        <f>IFERROR(VLOOKUP(G65,WholesaleExtract!B:L,11,FALSE),"")</f>
        <v/>
      </c>
      <c r="M65" s="47" t="str">
        <f>IFERROR(VLOOKUP(G65,WholesaleExtract!B:M,12,FALSE),"")</f>
        <v/>
      </c>
      <c r="N65" s="27"/>
      <c r="O65" s="19"/>
      <c r="P65" s="19"/>
      <c r="Q65" s="47" t="str">
        <f>IFERROR(INDEX(WholesaleExtract!A:A,MATCH(GRCs!G65,WholesaleExtract!B:B,0)),"")</f>
        <v/>
      </c>
      <c r="R65" s="19"/>
      <c r="S65" s="19"/>
    </row>
    <row r="66" spans="1:19" x14ac:dyDescent="0.35">
      <c r="A66" s="26" t="s">
        <v>543</v>
      </c>
      <c r="B66" s="26" t="s">
        <v>543</v>
      </c>
      <c r="C66" s="26"/>
      <c r="D66" s="26" t="s">
        <v>543</v>
      </c>
      <c r="E66" s="26" t="str">
        <f>IFERROR(VLOOKUP(G66,WholesaleExtract!B:J,9,FALSE),"")</f>
        <v/>
      </c>
      <c r="F66" s="26" t="str">
        <f>IFERROR(VLOOKUP(G66,WholesaleExtract!B:J,6,FALSE),"")</f>
        <v/>
      </c>
      <c r="G66" s="19"/>
      <c r="H66" s="47" t="str">
        <f>IFERROR(VLOOKUP(G66,WholesaleExtract!B:L,11,FALSE),"")</f>
        <v/>
      </c>
      <c r="I66" s="26" t="str">
        <f>IFERROR(VLOOKUP(G66,WholesaleExtract!B:O,8,FALSE),"")</f>
        <v/>
      </c>
      <c r="J66" s="26" t="str">
        <f>IFERROR(VLOOKUP(G66,WholesaleExtract!B:O,14,FALSE),"")</f>
        <v/>
      </c>
      <c r="K66" s="26" t="str">
        <f>IFERROR(VLOOKUP(G66,WholesaleExtract!B:K,10,FALSE),"")</f>
        <v/>
      </c>
      <c r="L66" s="47" t="str">
        <f>IFERROR(VLOOKUP(G66,WholesaleExtract!B:L,11,FALSE),"")</f>
        <v/>
      </c>
      <c r="M66" s="47" t="str">
        <f>IFERROR(VLOOKUP(G66,WholesaleExtract!B:M,12,FALSE),"")</f>
        <v/>
      </c>
      <c r="N66" s="27"/>
      <c r="O66" s="19"/>
      <c r="P66" s="19"/>
      <c r="Q66" s="47" t="str">
        <f>IFERROR(INDEX(WholesaleExtract!A:A,MATCH(GRCs!G66,WholesaleExtract!B:B,0)),"")</f>
        <v/>
      </c>
      <c r="R66" s="19"/>
      <c r="S66" s="19"/>
    </row>
    <row r="67" spans="1:19" x14ac:dyDescent="0.35">
      <c r="A67" s="26" t="s">
        <v>543</v>
      </c>
      <c r="B67" s="26" t="s">
        <v>543</v>
      </c>
      <c r="C67" s="26"/>
      <c r="D67" s="26" t="s">
        <v>543</v>
      </c>
      <c r="E67" s="26" t="str">
        <f>IFERROR(VLOOKUP(G67,WholesaleExtract!B:J,9,FALSE),"")</f>
        <v/>
      </c>
      <c r="F67" s="26" t="str">
        <f>IFERROR(VLOOKUP(G67,WholesaleExtract!B:J,6,FALSE),"")</f>
        <v/>
      </c>
      <c r="G67" s="19"/>
      <c r="H67" s="47" t="str">
        <f>IFERROR(VLOOKUP(G67,WholesaleExtract!B:L,11,FALSE),"")</f>
        <v/>
      </c>
      <c r="I67" s="26" t="str">
        <f>IFERROR(VLOOKUP(G67,WholesaleExtract!B:O,8,FALSE),"")</f>
        <v/>
      </c>
      <c r="J67" s="26" t="str">
        <f>IFERROR(VLOOKUP(G67,WholesaleExtract!B:O,14,FALSE),"")</f>
        <v/>
      </c>
      <c r="K67" s="26" t="str">
        <f>IFERROR(VLOOKUP(G67,WholesaleExtract!B:K,10,FALSE),"")</f>
        <v/>
      </c>
      <c r="L67" s="47" t="str">
        <f>IFERROR(VLOOKUP(G67,WholesaleExtract!B:L,11,FALSE),"")</f>
        <v/>
      </c>
      <c r="M67" s="47" t="str">
        <f>IFERROR(VLOOKUP(G67,WholesaleExtract!B:M,12,FALSE),"")</f>
        <v/>
      </c>
      <c r="N67" s="27"/>
      <c r="O67" s="19"/>
      <c r="P67" s="19"/>
      <c r="Q67" s="47" t="str">
        <f>IFERROR(INDEX(WholesaleExtract!A:A,MATCH(GRCs!G67,WholesaleExtract!B:B,0)),"")</f>
        <v/>
      </c>
      <c r="R67" s="19"/>
      <c r="S67" s="19"/>
    </row>
    <row r="68" spans="1:19" x14ac:dyDescent="0.35">
      <c r="A68" s="26" t="s">
        <v>543</v>
      </c>
      <c r="B68" s="26" t="s">
        <v>543</v>
      </c>
      <c r="C68" s="26"/>
      <c r="D68" s="26" t="s">
        <v>543</v>
      </c>
      <c r="E68" s="26" t="str">
        <f>IFERROR(VLOOKUP(G68,WholesaleExtract!B:J,9,FALSE),"")</f>
        <v/>
      </c>
      <c r="F68" s="26" t="str">
        <f>IFERROR(VLOOKUP(G68,WholesaleExtract!B:J,6,FALSE),"")</f>
        <v/>
      </c>
      <c r="G68" s="19"/>
      <c r="H68" s="47" t="str">
        <f>IFERROR(VLOOKUP(G68,WholesaleExtract!B:L,11,FALSE),"")</f>
        <v/>
      </c>
      <c r="I68" s="26" t="str">
        <f>IFERROR(VLOOKUP(G68,WholesaleExtract!B:O,8,FALSE),"")</f>
        <v/>
      </c>
      <c r="J68" s="26" t="str">
        <f>IFERROR(VLOOKUP(G68,WholesaleExtract!B:O,14,FALSE),"")</f>
        <v/>
      </c>
      <c r="K68" s="26" t="str">
        <f>IFERROR(VLOOKUP(G68,WholesaleExtract!B:K,10,FALSE),"")</f>
        <v/>
      </c>
      <c r="L68" s="47" t="str">
        <f>IFERROR(VLOOKUP(G68,WholesaleExtract!B:L,11,FALSE),"")</f>
        <v/>
      </c>
      <c r="M68" s="47" t="str">
        <f>IFERROR(VLOOKUP(G68,WholesaleExtract!B:M,12,FALSE),"")</f>
        <v/>
      </c>
      <c r="N68" s="27"/>
      <c r="O68" s="19"/>
      <c r="P68" s="19"/>
      <c r="Q68" s="47" t="str">
        <f>IFERROR(INDEX(WholesaleExtract!A:A,MATCH(GRCs!G68,WholesaleExtract!B:B,0)),"")</f>
        <v/>
      </c>
      <c r="R68" s="19"/>
      <c r="S68" s="19"/>
    </row>
    <row r="69" spans="1:19" x14ac:dyDescent="0.35">
      <c r="A69" s="26" t="s">
        <v>543</v>
      </c>
      <c r="B69" s="26" t="s">
        <v>543</v>
      </c>
      <c r="C69" s="26"/>
      <c r="D69" s="26" t="s">
        <v>543</v>
      </c>
      <c r="E69" s="26" t="str">
        <f>IFERROR(VLOOKUP(G69,WholesaleExtract!B:J,9,FALSE),"")</f>
        <v/>
      </c>
      <c r="F69" s="26" t="str">
        <f>IFERROR(VLOOKUP(G69,WholesaleExtract!B:J,6,FALSE),"")</f>
        <v/>
      </c>
      <c r="G69" s="19"/>
      <c r="H69" s="47" t="str">
        <f>IFERROR(VLOOKUP(G69,WholesaleExtract!B:L,11,FALSE),"")</f>
        <v/>
      </c>
      <c r="I69" s="26" t="str">
        <f>IFERROR(VLOOKUP(G69,WholesaleExtract!B:O,8,FALSE),"")</f>
        <v/>
      </c>
      <c r="J69" s="26" t="str">
        <f>IFERROR(VLOOKUP(G69,WholesaleExtract!B:O,14,FALSE),"")</f>
        <v/>
      </c>
      <c r="K69" s="26" t="str">
        <f>IFERROR(VLOOKUP(G69,WholesaleExtract!B:K,10,FALSE),"")</f>
        <v/>
      </c>
      <c r="L69" s="47" t="str">
        <f>IFERROR(VLOOKUP(G69,WholesaleExtract!B:L,11,FALSE),"")</f>
        <v/>
      </c>
      <c r="M69" s="47" t="str">
        <f>IFERROR(VLOOKUP(G69,WholesaleExtract!B:M,12,FALSE),"")</f>
        <v/>
      </c>
      <c r="N69" s="27"/>
      <c r="O69" s="19"/>
      <c r="P69" s="19"/>
      <c r="Q69" s="47" t="str">
        <f>IFERROR(INDEX(WholesaleExtract!A:A,MATCH(GRCs!G69,WholesaleExtract!B:B,0)),"")</f>
        <v/>
      </c>
      <c r="R69" s="19"/>
      <c r="S69" s="19"/>
    </row>
    <row r="70" spans="1:19" x14ac:dyDescent="0.35">
      <c r="A70" s="26" t="s">
        <v>543</v>
      </c>
      <c r="B70" s="26" t="s">
        <v>543</v>
      </c>
      <c r="C70" s="26"/>
      <c r="D70" s="26" t="s">
        <v>543</v>
      </c>
      <c r="E70" s="26" t="str">
        <f>IFERROR(VLOOKUP(G70,WholesaleExtract!B:J,9,FALSE),"")</f>
        <v/>
      </c>
      <c r="F70" s="26" t="str">
        <f>IFERROR(VLOOKUP(G70,WholesaleExtract!B:J,6,FALSE),"")</f>
        <v/>
      </c>
      <c r="G70" s="19"/>
      <c r="H70" s="47" t="str">
        <f>IFERROR(VLOOKUP(G70,WholesaleExtract!B:L,11,FALSE),"")</f>
        <v/>
      </c>
      <c r="I70" s="26" t="str">
        <f>IFERROR(VLOOKUP(G70,WholesaleExtract!B:O,8,FALSE),"")</f>
        <v/>
      </c>
      <c r="J70" s="26" t="str">
        <f>IFERROR(VLOOKUP(G70,WholesaleExtract!B:O,14,FALSE),"")</f>
        <v/>
      </c>
      <c r="K70" s="26" t="str">
        <f>IFERROR(VLOOKUP(G70,WholesaleExtract!B:K,10,FALSE),"")</f>
        <v/>
      </c>
      <c r="L70" s="47" t="str">
        <f>IFERROR(VLOOKUP(G70,WholesaleExtract!B:L,11,FALSE),"")</f>
        <v/>
      </c>
      <c r="M70" s="47" t="str">
        <f>IFERROR(VLOOKUP(G70,WholesaleExtract!B:M,12,FALSE),"")</f>
        <v/>
      </c>
      <c r="N70" s="27"/>
      <c r="O70" s="19"/>
      <c r="P70" s="19"/>
      <c r="Q70" s="47" t="str">
        <f>IFERROR(INDEX(WholesaleExtract!A:A,MATCH(GRCs!G70,WholesaleExtract!B:B,0)),"")</f>
        <v/>
      </c>
      <c r="R70" s="19"/>
      <c r="S70" s="19"/>
    </row>
    <row r="71" spans="1:19" x14ac:dyDescent="0.35">
      <c r="A71" s="26" t="s">
        <v>543</v>
      </c>
      <c r="B71" s="26" t="s">
        <v>543</v>
      </c>
      <c r="C71" s="26"/>
      <c r="D71" s="26" t="s">
        <v>543</v>
      </c>
      <c r="E71" s="26" t="str">
        <f>IFERROR(VLOOKUP(G71,WholesaleExtract!B:J,9,FALSE),"")</f>
        <v/>
      </c>
      <c r="F71" s="26" t="str">
        <f>IFERROR(VLOOKUP(G71,WholesaleExtract!B:J,6,FALSE),"")</f>
        <v/>
      </c>
      <c r="G71" s="19"/>
      <c r="H71" s="47" t="str">
        <f>IFERROR(VLOOKUP(G71,WholesaleExtract!B:L,11,FALSE),"")</f>
        <v/>
      </c>
      <c r="I71" s="26" t="str">
        <f>IFERROR(VLOOKUP(G71,WholesaleExtract!B:O,8,FALSE),"")</f>
        <v/>
      </c>
      <c r="J71" s="26" t="str">
        <f>IFERROR(VLOOKUP(G71,WholesaleExtract!B:O,14,FALSE),"")</f>
        <v/>
      </c>
      <c r="K71" s="26" t="str">
        <f>IFERROR(VLOOKUP(G71,WholesaleExtract!B:K,10,FALSE),"")</f>
        <v/>
      </c>
      <c r="L71" s="47" t="str">
        <f>IFERROR(VLOOKUP(G71,WholesaleExtract!B:L,11,FALSE),"")</f>
        <v/>
      </c>
      <c r="M71" s="47" t="str">
        <f>IFERROR(VLOOKUP(G71,WholesaleExtract!B:M,12,FALSE),"")</f>
        <v/>
      </c>
      <c r="N71" s="27"/>
      <c r="O71" s="19"/>
      <c r="P71" s="19"/>
      <c r="Q71" s="47" t="str">
        <f>IFERROR(INDEX(WholesaleExtract!A:A,MATCH(GRCs!G71,WholesaleExtract!B:B,0)),"")</f>
        <v/>
      </c>
      <c r="R71" s="19"/>
      <c r="S71" s="19"/>
    </row>
    <row r="72" spans="1:19" x14ac:dyDescent="0.35">
      <c r="A72" s="26" t="s">
        <v>543</v>
      </c>
      <c r="B72" s="26" t="s">
        <v>543</v>
      </c>
      <c r="C72" s="26"/>
      <c r="D72" s="26" t="s">
        <v>543</v>
      </c>
      <c r="E72" s="26" t="str">
        <f>IFERROR(VLOOKUP(G72,WholesaleExtract!B:J,9,FALSE),"")</f>
        <v/>
      </c>
      <c r="F72" s="26" t="str">
        <f>IFERROR(VLOOKUP(G72,WholesaleExtract!B:J,6,FALSE),"")</f>
        <v/>
      </c>
      <c r="G72" s="19"/>
      <c r="H72" s="47" t="str">
        <f>IFERROR(VLOOKUP(G72,WholesaleExtract!B:L,11,FALSE),"")</f>
        <v/>
      </c>
      <c r="I72" s="26" t="str">
        <f>IFERROR(VLOOKUP(G72,WholesaleExtract!B:O,8,FALSE),"")</f>
        <v/>
      </c>
      <c r="J72" s="26" t="str">
        <f>IFERROR(VLOOKUP(G72,WholesaleExtract!B:O,14,FALSE),"")</f>
        <v/>
      </c>
      <c r="K72" s="26" t="str">
        <f>IFERROR(VLOOKUP(G72,WholesaleExtract!B:K,10,FALSE),"")</f>
        <v/>
      </c>
      <c r="L72" s="47" t="str">
        <f>IFERROR(VLOOKUP(G72,WholesaleExtract!B:L,11,FALSE),"")</f>
        <v/>
      </c>
      <c r="M72" s="47" t="str">
        <f>IFERROR(VLOOKUP(G72,WholesaleExtract!B:M,12,FALSE),"")</f>
        <v/>
      </c>
      <c r="N72" s="27"/>
      <c r="O72" s="19"/>
      <c r="P72" s="19"/>
      <c r="Q72" s="47" t="str">
        <f>IFERROR(INDEX(WholesaleExtract!A:A,MATCH(GRCs!G72,WholesaleExtract!B:B,0)),"")</f>
        <v/>
      </c>
      <c r="R72" s="19"/>
      <c r="S72" s="19"/>
    </row>
    <row r="73" spans="1:19" x14ac:dyDescent="0.35">
      <c r="A73" s="26" t="s">
        <v>543</v>
      </c>
      <c r="B73" s="26" t="s">
        <v>543</v>
      </c>
      <c r="C73" s="26"/>
      <c r="D73" s="26" t="s">
        <v>543</v>
      </c>
      <c r="E73" s="26" t="str">
        <f>IFERROR(VLOOKUP(G73,WholesaleExtract!B:J,9,FALSE),"")</f>
        <v/>
      </c>
      <c r="F73" s="26" t="str">
        <f>IFERROR(VLOOKUP(G73,WholesaleExtract!B:J,6,FALSE),"")</f>
        <v/>
      </c>
      <c r="G73" s="19"/>
      <c r="H73" s="47" t="str">
        <f>IFERROR(VLOOKUP(G73,WholesaleExtract!B:L,11,FALSE),"")</f>
        <v/>
      </c>
      <c r="I73" s="26" t="str">
        <f>IFERROR(VLOOKUP(G73,WholesaleExtract!B:O,8,FALSE),"")</f>
        <v/>
      </c>
      <c r="J73" s="26" t="str">
        <f>IFERROR(VLOOKUP(G73,WholesaleExtract!B:O,14,FALSE),"")</f>
        <v/>
      </c>
      <c r="K73" s="26" t="str">
        <f>IFERROR(VLOOKUP(G73,WholesaleExtract!B:K,10,FALSE),"")</f>
        <v/>
      </c>
      <c r="L73" s="47" t="str">
        <f>IFERROR(VLOOKUP(G73,WholesaleExtract!B:L,11,FALSE),"")</f>
        <v/>
      </c>
      <c r="M73" s="47" t="str">
        <f>IFERROR(VLOOKUP(G73,WholesaleExtract!B:M,12,FALSE),"")</f>
        <v/>
      </c>
      <c r="N73" s="27"/>
      <c r="O73" s="19"/>
      <c r="P73" s="19"/>
      <c r="Q73" s="47" t="str">
        <f>IFERROR(INDEX(WholesaleExtract!A:A,MATCH(GRCs!G73,WholesaleExtract!B:B,0)),"")</f>
        <v/>
      </c>
      <c r="R73" s="19"/>
      <c r="S73" s="19"/>
    </row>
    <row r="74" spans="1:19" x14ac:dyDescent="0.35">
      <c r="A74" s="26" t="s">
        <v>543</v>
      </c>
      <c r="B74" s="26" t="s">
        <v>543</v>
      </c>
      <c r="C74" s="26"/>
      <c r="D74" s="26" t="s">
        <v>543</v>
      </c>
      <c r="E74" s="26" t="str">
        <f>IFERROR(VLOOKUP(G74,WholesaleExtract!B:J,9,FALSE),"")</f>
        <v/>
      </c>
      <c r="F74" s="26" t="str">
        <f>IFERROR(VLOOKUP(G74,WholesaleExtract!B:J,6,FALSE),"")</f>
        <v/>
      </c>
      <c r="G74" s="19"/>
      <c r="H74" s="47" t="str">
        <f>IFERROR(VLOOKUP(G74,WholesaleExtract!B:L,11,FALSE),"")</f>
        <v/>
      </c>
      <c r="I74" s="26" t="str">
        <f>IFERROR(VLOOKUP(G74,WholesaleExtract!B:O,8,FALSE),"")</f>
        <v/>
      </c>
      <c r="J74" s="26" t="str">
        <f>IFERROR(VLOOKUP(G74,WholesaleExtract!B:O,14,FALSE),"")</f>
        <v/>
      </c>
      <c r="K74" s="26" t="str">
        <f>IFERROR(VLOOKUP(G74,WholesaleExtract!B:K,10,FALSE),"")</f>
        <v/>
      </c>
      <c r="L74" s="47" t="str">
        <f>IFERROR(VLOOKUP(G74,WholesaleExtract!B:L,11,FALSE),"")</f>
        <v/>
      </c>
      <c r="M74" s="47" t="str">
        <f>IFERROR(VLOOKUP(G74,WholesaleExtract!B:M,12,FALSE),"")</f>
        <v/>
      </c>
      <c r="N74" s="27"/>
      <c r="O74" s="19"/>
      <c r="P74" s="19"/>
      <c r="Q74" s="47" t="str">
        <f>IFERROR(INDEX(WholesaleExtract!A:A,MATCH(GRCs!G74,WholesaleExtract!B:B,0)),"")</f>
        <v/>
      </c>
      <c r="R74" s="19"/>
      <c r="S74" s="19"/>
    </row>
    <row r="75" spans="1:19" x14ac:dyDescent="0.35">
      <c r="A75" s="26" t="s">
        <v>543</v>
      </c>
      <c r="B75" s="26" t="s">
        <v>543</v>
      </c>
      <c r="C75" s="26"/>
      <c r="D75" s="26" t="s">
        <v>543</v>
      </c>
      <c r="E75" s="26" t="str">
        <f>IFERROR(VLOOKUP(G75,WholesaleExtract!B:J,9,FALSE),"")</f>
        <v/>
      </c>
      <c r="F75" s="26" t="str">
        <f>IFERROR(VLOOKUP(G75,WholesaleExtract!B:J,6,FALSE),"")</f>
        <v/>
      </c>
      <c r="G75" s="19"/>
      <c r="H75" s="47" t="str">
        <f>IFERROR(VLOOKUP(G75,WholesaleExtract!B:L,11,FALSE),"")</f>
        <v/>
      </c>
      <c r="I75" s="26" t="str">
        <f>IFERROR(VLOOKUP(G75,WholesaleExtract!B:O,8,FALSE),"")</f>
        <v/>
      </c>
      <c r="J75" s="26" t="str">
        <f>IFERROR(VLOOKUP(G75,WholesaleExtract!B:O,14,FALSE),"")</f>
        <v/>
      </c>
      <c r="K75" s="26" t="str">
        <f>IFERROR(VLOOKUP(G75,WholesaleExtract!B:K,10,FALSE),"")</f>
        <v/>
      </c>
      <c r="L75" s="47" t="str">
        <f>IFERROR(VLOOKUP(G75,WholesaleExtract!B:L,11,FALSE),"")</f>
        <v/>
      </c>
      <c r="M75" s="47" t="str">
        <f>IFERROR(VLOOKUP(G75,WholesaleExtract!B:M,12,FALSE),"")</f>
        <v/>
      </c>
      <c r="N75" s="27"/>
      <c r="O75" s="19"/>
      <c r="P75" s="19"/>
      <c r="Q75" s="47" t="str">
        <f>IFERROR(INDEX(WholesaleExtract!A:A,MATCH(GRCs!G75,WholesaleExtract!B:B,0)),"")</f>
        <v/>
      </c>
      <c r="R75" s="19"/>
      <c r="S75" s="19"/>
    </row>
    <row r="76" spans="1:19" x14ac:dyDescent="0.35">
      <c r="A76" s="26" t="s">
        <v>543</v>
      </c>
      <c r="B76" s="26" t="s">
        <v>543</v>
      </c>
      <c r="C76" s="26"/>
      <c r="D76" s="26" t="s">
        <v>543</v>
      </c>
      <c r="E76" s="26" t="str">
        <f>IFERROR(VLOOKUP(G76,WholesaleExtract!B:J,9,FALSE),"")</f>
        <v/>
      </c>
      <c r="F76" s="26" t="str">
        <f>IFERROR(VLOOKUP(G76,WholesaleExtract!B:J,6,FALSE),"")</f>
        <v/>
      </c>
      <c r="G76" s="19"/>
      <c r="H76" s="47" t="str">
        <f>IFERROR(VLOOKUP(G76,WholesaleExtract!B:L,11,FALSE),"")</f>
        <v/>
      </c>
      <c r="I76" s="26" t="str">
        <f>IFERROR(VLOOKUP(G76,WholesaleExtract!B:O,8,FALSE),"")</f>
        <v/>
      </c>
      <c r="J76" s="26" t="str">
        <f>IFERROR(VLOOKUP(G76,WholesaleExtract!B:O,14,FALSE),"")</f>
        <v/>
      </c>
      <c r="K76" s="26" t="str">
        <f>IFERROR(VLOOKUP(G76,WholesaleExtract!B:K,10,FALSE),"")</f>
        <v/>
      </c>
      <c r="L76" s="47" t="str">
        <f>IFERROR(VLOOKUP(G76,WholesaleExtract!B:L,11,FALSE),"")</f>
        <v/>
      </c>
      <c r="M76" s="47" t="str">
        <f>IFERROR(VLOOKUP(G76,WholesaleExtract!B:M,12,FALSE),"")</f>
        <v/>
      </c>
      <c r="N76" s="27"/>
      <c r="O76" s="19"/>
      <c r="P76" s="19"/>
      <c r="Q76" s="47" t="str">
        <f>IFERROR(INDEX(WholesaleExtract!A:A,MATCH(GRCs!G76,WholesaleExtract!B:B,0)),"")</f>
        <v/>
      </c>
      <c r="R76" s="19"/>
      <c r="S76" s="19"/>
    </row>
    <row r="77" spans="1:19" x14ac:dyDescent="0.35">
      <c r="A77" s="26" t="s">
        <v>543</v>
      </c>
      <c r="B77" s="26" t="s">
        <v>543</v>
      </c>
      <c r="C77" s="26"/>
      <c r="D77" s="26" t="s">
        <v>543</v>
      </c>
      <c r="E77" s="26" t="str">
        <f>IFERROR(VLOOKUP(G77,WholesaleExtract!B:J,9,FALSE),"")</f>
        <v/>
      </c>
      <c r="F77" s="26" t="str">
        <f>IFERROR(VLOOKUP(G77,WholesaleExtract!B:J,6,FALSE),"")</f>
        <v/>
      </c>
      <c r="G77" s="19"/>
      <c r="H77" s="47" t="str">
        <f>IFERROR(VLOOKUP(G77,WholesaleExtract!B:L,11,FALSE),"")</f>
        <v/>
      </c>
      <c r="I77" s="26" t="str">
        <f>IFERROR(VLOOKUP(G77,WholesaleExtract!B:O,8,FALSE),"")</f>
        <v/>
      </c>
      <c r="J77" s="26" t="str">
        <f>IFERROR(VLOOKUP(G77,WholesaleExtract!B:O,14,FALSE),"")</f>
        <v/>
      </c>
      <c r="K77" s="26" t="str">
        <f>IFERROR(VLOOKUP(G77,WholesaleExtract!B:K,10,FALSE),"")</f>
        <v/>
      </c>
      <c r="L77" s="47" t="str">
        <f>IFERROR(VLOOKUP(G77,WholesaleExtract!B:L,11,FALSE),"")</f>
        <v/>
      </c>
      <c r="M77" s="47" t="str">
        <f>IFERROR(VLOOKUP(G77,WholesaleExtract!B:M,12,FALSE),"")</f>
        <v/>
      </c>
      <c r="N77" s="27"/>
      <c r="O77" s="19"/>
      <c r="P77" s="19"/>
      <c r="Q77" s="47">
        <v>202304</v>
      </c>
      <c r="R77" s="19"/>
      <c r="S77" s="19"/>
    </row>
    <row r="78" spans="1:19" x14ac:dyDescent="0.35">
      <c r="A78" s="26" t="s">
        <v>543</v>
      </c>
      <c r="B78" s="26" t="s">
        <v>543</v>
      </c>
      <c r="C78" s="26"/>
      <c r="D78" s="26" t="s">
        <v>543</v>
      </c>
      <c r="E78" s="26" t="str">
        <f>IFERROR(VLOOKUP(G78,WholesaleExtract!B:J,9,FALSE),"")</f>
        <v/>
      </c>
      <c r="F78" s="26" t="str">
        <f>IFERROR(VLOOKUP(G78,WholesaleExtract!B:J,6,FALSE),"")</f>
        <v/>
      </c>
      <c r="G78" s="19"/>
      <c r="H78" s="47" t="str">
        <f>IFERROR(VLOOKUP(G78,WholesaleExtract!B:L,11,FALSE),"")</f>
        <v/>
      </c>
      <c r="I78" s="26" t="str">
        <f>IFERROR(VLOOKUP(G78,WholesaleExtract!B:O,8,FALSE),"")</f>
        <v/>
      </c>
      <c r="J78" s="26" t="str">
        <f>IFERROR(VLOOKUP(G78,WholesaleExtract!B:O,14,FALSE),"")</f>
        <v/>
      </c>
      <c r="K78" s="26" t="str">
        <f>IFERROR(VLOOKUP(G78,WholesaleExtract!B:K,10,FALSE),"")</f>
        <v/>
      </c>
      <c r="L78" s="47" t="str">
        <f>IFERROR(VLOOKUP(G78,WholesaleExtract!B:L,11,FALSE),"")</f>
        <v/>
      </c>
      <c r="M78" s="47" t="str">
        <f>IFERROR(VLOOKUP(G78,WholesaleExtract!B:M,12,FALSE),"")</f>
        <v/>
      </c>
      <c r="N78" s="27"/>
      <c r="O78" s="19"/>
      <c r="P78" s="19"/>
      <c r="Q78" s="47"/>
      <c r="R78" s="19"/>
      <c r="S78" s="19"/>
    </row>
    <row r="79" spans="1:19" x14ac:dyDescent="0.35">
      <c r="A79" s="26" t="s">
        <v>543</v>
      </c>
      <c r="B79" s="26" t="s">
        <v>543</v>
      </c>
      <c r="C79" s="26"/>
      <c r="D79" s="26" t="s">
        <v>543</v>
      </c>
      <c r="E79" s="26" t="str">
        <f>IFERROR(VLOOKUP(G79,WholesaleExtract!B:J,9,FALSE),"")</f>
        <v/>
      </c>
      <c r="F79" s="26" t="str">
        <f>IFERROR(VLOOKUP(G79,WholesaleExtract!B:J,6,FALSE),"")</f>
        <v/>
      </c>
      <c r="G79" s="19"/>
      <c r="H79" s="47" t="str">
        <f>IFERROR(VLOOKUP(G79,WholesaleExtract!B:L,11,FALSE),"")</f>
        <v/>
      </c>
      <c r="I79" s="26" t="str">
        <f>IFERROR(VLOOKUP(G79,WholesaleExtract!B:O,8,FALSE),"")</f>
        <v/>
      </c>
      <c r="J79" s="26" t="str">
        <f>IFERROR(VLOOKUP(G79,WholesaleExtract!B:O,14,FALSE),"")</f>
        <v/>
      </c>
      <c r="K79" s="26" t="str">
        <f>IFERROR(VLOOKUP(G79,WholesaleExtract!B:K,10,FALSE),"")</f>
        <v/>
      </c>
      <c r="L79" s="47" t="str">
        <f>IFERROR(VLOOKUP(G79,WholesaleExtract!B:L,11,FALSE),"")</f>
        <v/>
      </c>
      <c r="M79" s="47" t="str">
        <f>IFERROR(VLOOKUP(G79,WholesaleExtract!B:M,12,FALSE),"")</f>
        <v/>
      </c>
      <c r="N79" s="27"/>
      <c r="O79" s="19"/>
      <c r="P79" s="19"/>
      <c r="Q79" s="47"/>
      <c r="R79" s="19"/>
      <c r="S79" s="19"/>
    </row>
    <row r="80" spans="1:19" x14ac:dyDescent="0.35">
      <c r="A80" s="26" t="s">
        <v>543</v>
      </c>
      <c r="B80" s="26" t="s">
        <v>543</v>
      </c>
      <c r="C80" s="26"/>
      <c r="D80" s="26" t="s">
        <v>543</v>
      </c>
      <c r="E80" s="26" t="str">
        <f>IFERROR(VLOOKUP(G80,WholesaleExtract!B:J,9,FALSE),"")</f>
        <v/>
      </c>
      <c r="F80" s="26" t="str">
        <f>IFERROR(VLOOKUP(G80,WholesaleExtract!B:J,6,FALSE),"")</f>
        <v/>
      </c>
      <c r="G80" s="19"/>
      <c r="H80" s="47" t="str">
        <f>IFERROR(VLOOKUP(G80,WholesaleExtract!B:L,11,FALSE),"")</f>
        <v/>
      </c>
      <c r="I80" s="26" t="str">
        <f>IFERROR(VLOOKUP(G80,WholesaleExtract!B:O,8,FALSE),"")</f>
        <v/>
      </c>
      <c r="J80" s="26" t="str">
        <f>IFERROR(VLOOKUP(G80,WholesaleExtract!B:O,14,FALSE),"")</f>
        <v/>
      </c>
      <c r="K80" s="26" t="str">
        <f>IFERROR(VLOOKUP(G80,WholesaleExtract!B:K,10,FALSE),"")</f>
        <v/>
      </c>
      <c r="L80" s="47" t="str">
        <f>IFERROR(VLOOKUP(G80,WholesaleExtract!B:L,11,FALSE),"")</f>
        <v/>
      </c>
      <c r="M80" s="47" t="str">
        <f>IFERROR(VLOOKUP(G80,WholesaleExtract!B:M,12,FALSE),"")</f>
        <v/>
      </c>
      <c r="N80" s="27"/>
      <c r="O80" s="19"/>
      <c r="P80" s="19"/>
      <c r="Q80" s="47"/>
      <c r="R80" s="19"/>
      <c r="S80" s="19"/>
    </row>
    <row r="81" spans="1:19" x14ac:dyDescent="0.35">
      <c r="A81" s="26" t="s">
        <v>543</v>
      </c>
      <c r="B81" s="26" t="s">
        <v>543</v>
      </c>
      <c r="C81" s="26"/>
      <c r="D81" s="26" t="s">
        <v>543</v>
      </c>
      <c r="E81" s="26" t="str">
        <f>IFERROR(VLOOKUP(G81,WholesaleExtract!B:J,9,FALSE),"")</f>
        <v/>
      </c>
      <c r="F81" s="26" t="str">
        <f>IFERROR(VLOOKUP(G81,WholesaleExtract!B:J,6,FALSE),"")</f>
        <v/>
      </c>
      <c r="G81" s="19"/>
      <c r="H81" s="47" t="str">
        <f>IFERROR(VLOOKUP(G81,WholesaleExtract!B:L,11,FALSE),"")</f>
        <v/>
      </c>
      <c r="I81" s="26" t="str">
        <f>IFERROR(VLOOKUP(G81,WholesaleExtract!B:O,8,FALSE),"")</f>
        <v/>
      </c>
      <c r="J81" s="26" t="str">
        <f>IFERROR(VLOOKUP(G81,WholesaleExtract!B:O,14,FALSE),"")</f>
        <v/>
      </c>
      <c r="K81" s="26" t="str">
        <f>IFERROR(VLOOKUP(G81,WholesaleExtract!B:K,10,FALSE),"")</f>
        <v/>
      </c>
      <c r="L81" s="47" t="str">
        <f>IFERROR(VLOOKUP(G81,WholesaleExtract!B:L,11,FALSE),"")</f>
        <v/>
      </c>
      <c r="M81" s="47" t="str">
        <f>IFERROR(VLOOKUP(G81,WholesaleExtract!B:M,12,FALSE),"")</f>
        <v/>
      </c>
      <c r="N81" s="27"/>
      <c r="O81" s="19"/>
      <c r="P81" s="19"/>
      <c r="Q81" s="47"/>
      <c r="R81" s="19"/>
      <c r="S81" s="19"/>
    </row>
    <row r="82" spans="1:19" x14ac:dyDescent="0.35">
      <c r="A82" s="26" t="s">
        <v>543</v>
      </c>
      <c r="B82" s="26" t="s">
        <v>543</v>
      </c>
      <c r="C82" s="26"/>
      <c r="D82" s="26" t="s">
        <v>543</v>
      </c>
      <c r="E82" s="26" t="str">
        <f>IFERROR(VLOOKUP(G82,WholesaleExtract!B:J,9,FALSE),"")</f>
        <v/>
      </c>
      <c r="F82" s="26" t="str">
        <f>IFERROR(VLOOKUP(G82,WholesaleExtract!B:J,6,FALSE),"")</f>
        <v/>
      </c>
      <c r="G82" s="48"/>
      <c r="H82" s="47" t="str">
        <f>IFERROR(VLOOKUP(G82,WholesaleExtract!B:L,11,FALSE),"")</f>
        <v/>
      </c>
      <c r="I82" s="26" t="str">
        <f>IFERROR(VLOOKUP(G82,WholesaleExtract!B:O,8,FALSE),"")</f>
        <v/>
      </c>
      <c r="J82" s="26" t="str">
        <f>IFERROR(VLOOKUP(G82,WholesaleExtract!B:O,14,FALSE),"")</f>
        <v/>
      </c>
      <c r="K82" s="26" t="str">
        <f>IFERROR(VLOOKUP(G82,WholesaleExtract!B:K,10,FALSE),"")</f>
        <v/>
      </c>
      <c r="L82" s="47" t="str">
        <f>IFERROR(VLOOKUP(G82,WholesaleExtract!B:L,11,FALSE),"")</f>
        <v/>
      </c>
      <c r="M82" s="47" t="str">
        <f>IFERROR(VLOOKUP(G82,WholesaleExtract!B:M,12,FALSE),"")</f>
        <v/>
      </c>
      <c r="N82" s="27"/>
      <c r="O82" s="19"/>
      <c r="P82" s="19"/>
      <c r="Q82" s="47"/>
      <c r="R82" s="19"/>
      <c r="S82" s="19"/>
    </row>
    <row r="83" spans="1:19" x14ac:dyDescent="0.35">
      <c r="A83" s="26" t="s">
        <v>543</v>
      </c>
      <c r="B83" s="26" t="s">
        <v>543</v>
      </c>
      <c r="C83" s="26"/>
      <c r="D83" s="26" t="s">
        <v>543</v>
      </c>
      <c r="E83" s="26" t="str">
        <f>IFERROR(VLOOKUP(G83,WholesaleExtract!B:J,9,FALSE),"")</f>
        <v/>
      </c>
      <c r="F83" s="26" t="str">
        <f>IFERROR(VLOOKUP(G83,WholesaleExtract!B:J,6,FALSE),"")</f>
        <v/>
      </c>
      <c r="G83" s="48"/>
      <c r="H83" s="47" t="str">
        <f>IFERROR(VLOOKUP(G83,WholesaleExtract!B:L,11,FALSE),"")</f>
        <v/>
      </c>
      <c r="I83" s="26" t="str">
        <f>IFERROR(VLOOKUP(G83,WholesaleExtract!B:O,8,FALSE),"")</f>
        <v/>
      </c>
      <c r="J83" s="26" t="str">
        <f>IFERROR(VLOOKUP(G83,WholesaleExtract!B:O,14,FALSE),"")</f>
        <v/>
      </c>
      <c r="K83" s="26" t="str">
        <f>IFERROR(VLOOKUP(G83,WholesaleExtract!B:K,10,FALSE),"")</f>
        <v/>
      </c>
      <c r="L83" s="47" t="str">
        <f>IFERROR(VLOOKUP(G83,WholesaleExtract!B:L,11,FALSE),"")</f>
        <v/>
      </c>
      <c r="M83" s="47" t="str">
        <f>IFERROR(VLOOKUP(G83,WholesaleExtract!B:M,12,FALSE),"")</f>
        <v/>
      </c>
      <c r="N83" s="27"/>
      <c r="O83" s="19"/>
      <c r="P83" s="19"/>
      <c r="Q83" s="47"/>
      <c r="R83" s="19"/>
      <c r="S83" s="19"/>
    </row>
    <row r="84" spans="1:19" x14ac:dyDescent="0.35">
      <c r="A84" s="26" t="s">
        <v>543</v>
      </c>
      <c r="B84" s="26" t="s">
        <v>543</v>
      </c>
      <c r="C84" s="26"/>
      <c r="D84" s="26" t="s">
        <v>543</v>
      </c>
      <c r="E84" s="26" t="str">
        <f>IFERROR(VLOOKUP(G84,WholesaleExtract!B:J,9,FALSE),"")</f>
        <v/>
      </c>
      <c r="F84" s="26" t="str">
        <f>IFERROR(VLOOKUP(G84,WholesaleExtract!B:J,6,FALSE),"")</f>
        <v/>
      </c>
      <c r="G84" s="48"/>
      <c r="H84" s="47" t="str">
        <f>IFERROR(VLOOKUP(G84,WholesaleExtract!B:L,11,FALSE),"")</f>
        <v/>
      </c>
      <c r="I84" s="26" t="str">
        <f>IFERROR(VLOOKUP(G84,WholesaleExtract!B:O,8,FALSE),"")</f>
        <v/>
      </c>
      <c r="J84" s="26" t="str">
        <f>IFERROR(VLOOKUP(G84,WholesaleExtract!B:O,14,FALSE),"")</f>
        <v/>
      </c>
      <c r="K84" s="26" t="str">
        <f>IFERROR(VLOOKUP(G84,WholesaleExtract!B:K,10,FALSE),"")</f>
        <v/>
      </c>
      <c r="L84" s="47" t="str">
        <f>IFERROR(VLOOKUP(G84,WholesaleExtract!B:L,11,FALSE),"")</f>
        <v/>
      </c>
      <c r="M84" s="47" t="str">
        <f>IFERROR(VLOOKUP(G84,WholesaleExtract!B:M,12,FALSE),"")</f>
        <v/>
      </c>
      <c r="N84" s="27"/>
      <c r="O84" s="19"/>
      <c r="P84" s="19"/>
      <c r="Q84" s="47"/>
      <c r="R84" s="19"/>
      <c r="S84" s="19"/>
    </row>
    <row r="85" spans="1:19" s="19" customFormat="1" x14ac:dyDescent="0.35">
      <c r="A85" s="26" t="s">
        <v>543</v>
      </c>
      <c r="B85" s="26" t="s">
        <v>543</v>
      </c>
      <c r="C85" s="26"/>
      <c r="D85" s="26" t="s">
        <v>543</v>
      </c>
      <c r="E85" s="26" t="str">
        <f>IFERROR(VLOOKUP(G85,WholesaleExtract!B:J,9,FALSE),"")</f>
        <v/>
      </c>
      <c r="F85" s="26" t="str">
        <f>IFERROR(VLOOKUP(G85,WholesaleExtract!B:J,6,FALSE),"")</f>
        <v/>
      </c>
      <c r="G85" s="48"/>
      <c r="H85" s="47" t="str">
        <f>IFERROR(VLOOKUP(G85,WholesaleExtract!B:L,11,FALSE),"")</f>
        <v/>
      </c>
      <c r="I85" s="26" t="str">
        <f>IFERROR(VLOOKUP(G85,WholesaleExtract!B:O,8,FALSE),"")</f>
        <v/>
      </c>
      <c r="J85" s="26" t="str">
        <f>IFERROR(VLOOKUP(G85,WholesaleExtract!B:O,14,FALSE),"")</f>
        <v/>
      </c>
      <c r="K85" s="26" t="str">
        <f>IFERROR(VLOOKUP(G85,WholesaleExtract!B:K,10,FALSE),"")</f>
        <v/>
      </c>
      <c r="L85" s="47" t="str">
        <f>IFERROR(VLOOKUP(G85,WholesaleExtract!B:L,11,FALSE),"")</f>
        <v/>
      </c>
      <c r="M85" s="47" t="str">
        <f>IFERROR(VLOOKUP(G85,WholesaleExtract!B:M,12,FALSE),"")</f>
        <v/>
      </c>
      <c r="N85" s="27"/>
      <c r="Q85" s="47"/>
    </row>
    <row r="86" spans="1:19" x14ac:dyDescent="0.35">
      <c r="A86" s="26" t="s">
        <v>543</v>
      </c>
      <c r="B86" s="26" t="s">
        <v>543</v>
      </c>
      <c r="C86" s="26"/>
      <c r="D86" s="26" t="s">
        <v>543</v>
      </c>
      <c r="E86" s="26" t="str">
        <f>IFERROR(VLOOKUP(G86,WholesaleExtract!B:J,9,FALSE),"")</f>
        <v/>
      </c>
      <c r="F86" s="26" t="str">
        <f>IFERROR(VLOOKUP(G86,WholesaleExtract!B:J,6,FALSE),"")</f>
        <v/>
      </c>
      <c r="G86" s="19"/>
      <c r="H86" s="47" t="str">
        <f>IFERROR(VLOOKUP(G86,WholesaleExtract!B:L,11,FALSE),"")</f>
        <v/>
      </c>
      <c r="I86" s="26" t="str">
        <f>IFERROR(VLOOKUP(G86,WholesaleExtract!B:O,8,FALSE),"")</f>
        <v/>
      </c>
      <c r="J86" s="26" t="str">
        <f>IFERROR(VLOOKUP(G86,WholesaleExtract!B:O,14,FALSE),"")</f>
        <v/>
      </c>
      <c r="K86" s="26" t="str">
        <f>IFERROR(VLOOKUP(G86,WholesaleExtract!B:K,10,FALSE),"")</f>
        <v/>
      </c>
      <c r="L86" s="47" t="str">
        <f>IFERROR(VLOOKUP(G86,WholesaleExtract!B:L,11,FALSE),"")</f>
        <v/>
      </c>
      <c r="M86" s="47" t="str">
        <f>IFERROR(VLOOKUP(G86,WholesaleExtract!B:M,12,FALSE),"")</f>
        <v/>
      </c>
      <c r="N86" s="27"/>
      <c r="O86" s="19"/>
      <c r="P86" s="19"/>
      <c r="Q86" s="47"/>
      <c r="R86" s="19"/>
      <c r="S86" s="19"/>
    </row>
    <row r="87" spans="1:19" x14ac:dyDescent="0.35">
      <c r="A87" s="26" t="s">
        <v>543</v>
      </c>
      <c r="B87" s="26" t="s">
        <v>543</v>
      </c>
      <c r="C87" s="26"/>
      <c r="D87" s="26" t="s">
        <v>543</v>
      </c>
      <c r="E87" s="26" t="str">
        <f>IFERROR(VLOOKUP(G87,WholesaleExtract!B:J,9,FALSE),"")</f>
        <v/>
      </c>
      <c r="F87" s="26" t="str">
        <f>IFERROR(VLOOKUP(G87,WholesaleExtract!B:J,6,FALSE),"")</f>
        <v/>
      </c>
      <c r="G87" s="19"/>
      <c r="H87" s="47" t="str">
        <f>IFERROR(VLOOKUP(G87,WholesaleExtract!B:L,11,FALSE),"")</f>
        <v/>
      </c>
      <c r="I87" s="26" t="str">
        <f>IFERROR(VLOOKUP(G87,WholesaleExtract!B:O,8,FALSE),"")</f>
        <v/>
      </c>
      <c r="J87" s="26" t="str">
        <f>IFERROR(VLOOKUP(G87,WholesaleExtract!B:O,14,FALSE),"")</f>
        <v/>
      </c>
      <c r="K87" s="26" t="str">
        <f>IFERROR(VLOOKUP(G87,WholesaleExtract!B:K,10,FALSE),"")</f>
        <v/>
      </c>
      <c r="L87" s="47" t="str">
        <f>IFERROR(VLOOKUP(G87,WholesaleExtract!B:L,11,FALSE),"")</f>
        <v/>
      </c>
      <c r="M87" s="47" t="str">
        <f>IFERROR(VLOOKUP(G87,WholesaleExtract!B:M,12,FALSE),"")</f>
        <v/>
      </c>
      <c r="N87" s="27"/>
      <c r="O87" s="19"/>
      <c r="P87" s="19"/>
      <c r="Q87" s="47"/>
      <c r="R87" s="19"/>
      <c r="S87" s="19"/>
    </row>
    <row r="88" spans="1:19" x14ac:dyDescent="0.35">
      <c r="A88" s="26" t="s">
        <v>543</v>
      </c>
      <c r="B88" s="26" t="s">
        <v>543</v>
      </c>
      <c r="C88" s="26"/>
      <c r="D88" s="26" t="s">
        <v>543</v>
      </c>
      <c r="E88" s="26" t="str">
        <f>IFERROR(VLOOKUP(G88,WholesaleExtract!B:J,9,FALSE),"")</f>
        <v/>
      </c>
      <c r="F88" s="26" t="str">
        <f>IFERROR(VLOOKUP(G88,WholesaleExtract!B:J,6,FALSE),"")</f>
        <v/>
      </c>
      <c r="G88" s="19"/>
      <c r="H88" s="47" t="str">
        <f>IFERROR(VLOOKUP(G88,WholesaleExtract!B:L,11,FALSE),"")</f>
        <v/>
      </c>
      <c r="I88" s="26" t="str">
        <f>IFERROR(VLOOKUP(G88,WholesaleExtract!B:O,8,FALSE),"")</f>
        <v/>
      </c>
      <c r="J88" s="26" t="str">
        <f>IFERROR(VLOOKUP(G88,WholesaleExtract!B:O,14,FALSE),"")</f>
        <v/>
      </c>
      <c r="K88" s="26" t="str">
        <f>IFERROR(VLOOKUP(G88,WholesaleExtract!B:K,10,FALSE),"")</f>
        <v/>
      </c>
      <c r="L88" s="47" t="str">
        <f>IFERROR(VLOOKUP(G88,WholesaleExtract!B:L,11,FALSE),"")</f>
        <v/>
      </c>
      <c r="M88" s="47" t="str">
        <f>IFERROR(VLOOKUP(G88,WholesaleExtract!B:M,12,FALSE),"")</f>
        <v/>
      </c>
      <c r="N88" s="27"/>
      <c r="O88" s="19"/>
      <c r="P88" s="19"/>
      <c r="Q88" s="47"/>
      <c r="R88" s="19"/>
      <c r="S88" s="19"/>
    </row>
    <row r="89" spans="1:19" x14ac:dyDescent="0.35">
      <c r="A89" s="26" t="s">
        <v>543</v>
      </c>
      <c r="B89" s="26" t="s">
        <v>543</v>
      </c>
      <c r="C89" s="26"/>
      <c r="D89" s="26" t="s">
        <v>543</v>
      </c>
      <c r="E89" s="26" t="str">
        <f>IFERROR(VLOOKUP(G89,WholesaleExtract!B:J,9,FALSE),"")</f>
        <v/>
      </c>
      <c r="F89" s="26" t="str">
        <f>IFERROR(VLOOKUP(G89,WholesaleExtract!B:J,6,FALSE),"")</f>
        <v/>
      </c>
      <c r="G89" s="19"/>
      <c r="H89" s="47" t="str">
        <f>IFERROR(VLOOKUP(G89,WholesaleExtract!B:L,11,FALSE),"")</f>
        <v/>
      </c>
      <c r="I89" s="26" t="str">
        <f>IFERROR(VLOOKUP(G89,WholesaleExtract!B:O,8,FALSE),"")</f>
        <v/>
      </c>
      <c r="J89" s="26" t="str">
        <f>IFERROR(VLOOKUP(G89,WholesaleExtract!B:O,14,FALSE),"")</f>
        <v/>
      </c>
      <c r="K89" s="26" t="str">
        <f>IFERROR(VLOOKUP(G89,WholesaleExtract!B:K,10,FALSE),"")</f>
        <v/>
      </c>
      <c r="L89" s="47" t="str">
        <f>IFERROR(VLOOKUP(G89,WholesaleExtract!B:L,11,FALSE),"")</f>
        <v/>
      </c>
      <c r="M89" s="47" t="str">
        <f>IFERROR(VLOOKUP(G89,WholesaleExtract!B:M,12,FALSE),"")</f>
        <v/>
      </c>
      <c r="N89" s="27"/>
      <c r="O89" s="19"/>
      <c r="P89" s="19"/>
      <c r="Q89" s="47"/>
      <c r="R89" s="19"/>
      <c r="S89" s="19"/>
    </row>
    <row r="90" spans="1:19" x14ac:dyDescent="0.35">
      <c r="A90" s="26" t="s">
        <v>543</v>
      </c>
      <c r="B90" s="26" t="s">
        <v>543</v>
      </c>
      <c r="C90" s="26"/>
      <c r="D90" s="26" t="s">
        <v>543</v>
      </c>
      <c r="E90" s="26" t="str">
        <f>IFERROR(VLOOKUP(G90,WholesaleExtract!B:J,9,FALSE),"")</f>
        <v/>
      </c>
      <c r="F90" s="26" t="str">
        <f>IFERROR(VLOOKUP(G90,WholesaleExtract!B:J,6,FALSE),"")</f>
        <v/>
      </c>
      <c r="G90" s="19"/>
      <c r="H90" s="47" t="str">
        <f>IFERROR(VLOOKUP(G90,WholesaleExtract!B:L,11,FALSE),"")</f>
        <v/>
      </c>
      <c r="I90" s="26" t="str">
        <f>IFERROR(VLOOKUP(G90,WholesaleExtract!B:O,8,FALSE),"")</f>
        <v/>
      </c>
      <c r="J90" s="26" t="str">
        <f>IFERROR(VLOOKUP(G90,WholesaleExtract!B:O,14,FALSE),"")</f>
        <v/>
      </c>
      <c r="K90" s="26" t="str">
        <f>IFERROR(VLOOKUP(G90,WholesaleExtract!B:K,10,FALSE),"")</f>
        <v/>
      </c>
      <c r="L90" s="47" t="str">
        <f>IFERROR(VLOOKUP(G90,WholesaleExtract!B:L,11,FALSE),"")</f>
        <v/>
      </c>
      <c r="M90" s="47" t="str">
        <f>IFERROR(VLOOKUP(G90,WholesaleExtract!B:M,12,FALSE),"")</f>
        <v/>
      </c>
      <c r="N90" s="27"/>
      <c r="O90" s="19"/>
      <c r="P90" s="19"/>
      <c r="Q90" s="47"/>
      <c r="R90" s="19"/>
      <c r="S90" s="19"/>
    </row>
    <row r="91" spans="1:19" x14ac:dyDescent="0.35">
      <c r="A91" s="26" t="s">
        <v>543</v>
      </c>
      <c r="B91" s="26" t="s">
        <v>543</v>
      </c>
      <c r="C91" s="26"/>
      <c r="D91" s="26" t="s">
        <v>543</v>
      </c>
      <c r="E91" s="26" t="str">
        <f>IFERROR(VLOOKUP(G91,WholesaleExtract!B:J,9,FALSE),"")</f>
        <v/>
      </c>
      <c r="F91" s="26" t="str">
        <f>IFERROR(VLOOKUP(G91,WholesaleExtract!B:J,6,FALSE),"")</f>
        <v/>
      </c>
      <c r="G91" s="19"/>
      <c r="H91" s="47" t="str">
        <f>IFERROR(VLOOKUP(G91,WholesaleExtract!B:L,11,FALSE),"")</f>
        <v/>
      </c>
      <c r="I91" s="26" t="str">
        <f>IFERROR(VLOOKUP(G91,WholesaleExtract!B:O,8,FALSE),"")</f>
        <v/>
      </c>
      <c r="J91" s="26" t="str">
        <f>IFERROR(VLOOKUP(G91,WholesaleExtract!B:O,14,FALSE),"")</f>
        <v/>
      </c>
      <c r="K91" s="26" t="str">
        <f>IFERROR(VLOOKUP(G91,WholesaleExtract!B:K,10,FALSE),"")</f>
        <v/>
      </c>
      <c r="L91" s="47" t="str">
        <f>IFERROR(VLOOKUP(G91,WholesaleExtract!B:L,11,FALSE),"")</f>
        <v/>
      </c>
      <c r="M91" s="47" t="str">
        <f>IFERROR(VLOOKUP(G91,WholesaleExtract!B:M,12,FALSE),"")</f>
        <v/>
      </c>
      <c r="N91" s="27"/>
      <c r="O91" s="19"/>
      <c r="P91" s="19"/>
      <c r="Q91" s="47"/>
      <c r="R91" s="19"/>
      <c r="S91" s="19"/>
    </row>
    <row r="92" spans="1:19" x14ac:dyDescent="0.35">
      <c r="A92" s="26" t="s">
        <v>543</v>
      </c>
      <c r="B92" s="26" t="s">
        <v>543</v>
      </c>
      <c r="C92" s="26"/>
      <c r="D92" s="26" t="s">
        <v>543</v>
      </c>
      <c r="E92" s="26" t="str">
        <f>IFERROR(VLOOKUP(G92,WholesaleExtract!B:J,9,FALSE),"")</f>
        <v/>
      </c>
      <c r="F92" s="26" t="str">
        <f>IFERROR(VLOOKUP(G92,WholesaleExtract!B:J,6,FALSE),"")</f>
        <v/>
      </c>
      <c r="G92" s="19"/>
      <c r="H92" s="47" t="str">
        <f>IFERROR(VLOOKUP(G92,WholesaleExtract!B:L,11,FALSE),"")</f>
        <v/>
      </c>
      <c r="I92" s="26" t="str">
        <f>IFERROR(VLOOKUP(G92,WholesaleExtract!B:O,8,FALSE),"")</f>
        <v/>
      </c>
      <c r="J92" s="26" t="str">
        <f>IFERROR(VLOOKUP(G92,WholesaleExtract!B:O,14,FALSE),"")</f>
        <v/>
      </c>
      <c r="K92" s="26" t="str">
        <f>IFERROR(VLOOKUP(G92,WholesaleExtract!B:K,10,FALSE),"")</f>
        <v/>
      </c>
      <c r="L92" s="47" t="str">
        <f>IFERROR(VLOOKUP(G92,WholesaleExtract!B:L,11,FALSE),"")</f>
        <v/>
      </c>
      <c r="M92" s="47" t="str">
        <f>IFERROR(VLOOKUP(G92,WholesaleExtract!B:M,12,FALSE),"")</f>
        <v/>
      </c>
      <c r="N92" s="27"/>
      <c r="O92" s="19"/>
      <c r="P92" s="19"/>
      <c r="Q92" s="47"/>
      <c r="R92" s="19"/>
      <c r="S92" s="19"/>
    </row>
    <row r="93" spans="1:19" x14ac:dyDescent="0.35">
      <c r="A93" s="26" t="s">
        <v>543</v>
      </c>
      <c r="B93" s="26" t="s">
        <v>543</v>
      </c>
      <c r="C93" s="26"/>
      <c r="D93" s="26" t="s">
        <v>543</v>
      </c>
      <c r="E93" s="26" t="str">
        <f>IFERROR(VLOOKUP(G93,WholesaleExtract!B:J,9,FALSE),"")</f>
        <v/>
      </c>
      <c r="F93" s="26" t="str">
        <f>IFERROR(VLOOKUP(G93,WholesaleExtract!B:J,6,FALSE),"")</f>
        <v/>
      </c>
      <c r="G93" s="19"/>
      <c r="H93" s="47" t="str">
        <f>IFERROR(VLOOKUP(G93,WholesaleExtract!B:L,11,FALSE),"")</f>
        <v/>
      </c>
      <c r="I93" s="26" t="str">
        <f>IFERROR(VLOOKUP(G93,WholesaleExtract!B:O,8,FALSE),"")</f>
        <v/>
      </c>
      <c r="J93" s="26" t="str">
        <f>IFERROR(VLOOKUP(G93,WholesaleExtract!B:O,14,FALSE),"")</f>
        <v/>
      </c>
      <c r="K93" s="26" t="str">
        <f>IFERROR(VLOOKUP(G93,WholesaleExtract!B:K,10,FALSE),"")</f>
        <v/>
      </c>
      <c r="L93" s="47" t="str">
        <f>IFERROR(VLOOKUP(G93,WholesaleExtract!B:L,11,FALSE),"")</f>
        <v/>
      </c>
      <c r="M93" s="47" t="str">
        <f>IFERROR(VLOOKUP(G93,WholesaleExtract!B:M,12,FALSE),"")</f>
        <v/>
      </c>
      <c r="N93" s="27"/>
      <c r="O93" s="19"/>
      <c r="P93" s="19"/>
      <c r="Q93" s="47"/>
      <c r="R93" s="19"/>
      <c r="S93" s="19"/>
    </row>
    <row r="94" spans="1:19" x14ac:dyDescent="0.35">
      <c r="A94" s="26" t="s">
        <v>543</v>
      </c>
      <c r="B94" s="26" t="s">
        <v>543</v>
      </c>
      <c r="C94" s="26"/>
      <c r="D94" s="26" t="s">
        <v>543</v>
      </c>
      <c r="E94" s="26" t="str">
        <f>IFERROR(VLOOKUP(G94,WholesaleExtract!B:J,9,FALSE),"")</f>
        <v/>
      </c>
      <c r="F94" s="26" t="str">
        <f>IFERROR(VLOOKUP(G94,WholesaleExtract!B:J,6,FALSE),"")</f>
        <v/>
      </c>
      <c r="G94" s="19"/>
      <c r="H94" s="47" t="str">
        <f>IFERROR(VLOOKUP(G94,WholesaleExtract!B:L,11,FALSE),"")</f>
        <v/>
      </c>
      <c r="I94" s="26" t="str">
        <f>IFERROR(VLOOKUP(G94,WholesaleExtract!B:O,8,FALSE),"")</f>
        <v/>
      </c>
      <c r="J94" s="26" t="str">
        <f>IFERROR(VLOOKUP(G94,WholesaleExtract!B:O,14,FALSE),"")</f>
        <v/>
      </c>
      <c r="K94" s="26" t="str">
        <f>IFERROR(VLOOKUP(G94,WholesaleExtract!B:K,10,FALSE),"")</f>
        <v/>
      </c>
      <c r="L94" s="47" t="str">
        <f>IFERROR(VLOOKUP(G94,WholesaleExtract!B:L,11,FALSE),"")</f>
        <v/>
      </c>
      <c r="M94" s="47" t="str">
        <f>IFERROR(VLOOKUP(G94,WholesaleExtract!B:M,12,FALSE),"")</f>
        <v/>
      </c>
      <c r="N94" s="27"/>
      <c r="O94" s="19"/>
      <c r="P94" s="19"/>
      <c r="Q94" s="47"/>
      <c r="R94" s="19"/>
      <c r="S94" s="19"/>
    </row>
    <row r="95" spans="1:19" x14ac:dyDescent="0.35">
      <c r="A95" s="26" t="s">
        <v>543</v>
      </c>
      <c r="B95" s="26" t="s">
        <v>543</v>
      </c>
      <c r="C95" s="26"/>
      <c r="D95" s="26" t="s">
        <v>543</v>
      </c>
      <c r="E95" s="26" t="str">
        <f>IFERROR(VLOOKUP(G95,WholesaleExtract!B:J,9,FALSE),"")</f>
        <v/>
      </c>
      <c r="F95" s="26" t="str">
        <f>IFERROR(VLOOKUP(G95,WholesaleExtract!B:J,6,FALSE),"")</f>
        <v/>
      </c>
      <c r="G95" s="19"/>
      <c r="H95" s="47" t="str">
        <f>IFERROR(VLOOKUP(G95,WholesaleExtract!B:L,11,FALSE),"")</f>
        <v/>
      </c>
      <c r="I95" s="26" t="str">
        <f>IFERROR(VLOOKUP(G95,WholesaleExtract!B:O,8,FALSE),"")</f>
        <v/>
      </c>
      <c r="J95" s="26" t="str">
        <f>IFERROR(VLOOKUP(G95,WholesaleExtract!B:O,14,FALSE),"")</f>
        <v/>
      </c>
      <c r="K95" s="26" t="str">
        <f>IFERROR(VLOOKUP(G95,WholesaleExtract!B:K,10,FALSE),"")</f>
        <v/>
      </c>
      <c r="L95" s="47" t="str">
        <f>IFERROR(VLOOKUP(G95,WholesaleExtract!B:L,11,FALSE),"")</f>
        <v/>
      </c>
      <c r="M95" s="47" t="str">
        <f>IFERROR(VLOOKUP(G95,WholesaleExtract!B:M,12,FALSE),"")</f>
        <v/>
      </c>
      <c r="N95" s="27"/>
      <c r="O95" s="19"/>
      <c r="P95" s="19"/>
      <c r="Q95" s="47"/>
      <c r="R95" s="19"/>
      <c r="S95" s="19"/>
    </row>
    <row r="96" spans="1:19" x14ac:dyDescent="0.35">
      <c r="A96" s="26" t="s">
        <v>543</v>
      </c>
      <c r="B96" s="26" t="s">
        <v>543</v>
      </c>
      <c r="C96" s="26"/>
      <c r="D96" s="26" t="s">
        <v>543</v>
      </c>
      <c r="E96" s="26" t="str">
        <f>IFERROR(VLOOKUP(G96,WholesaleExtract!B:J,9,FALSE),"")</f>
        <v/>
      </c>
      <c r="F96" s="26" t="str">
        <f>IFERROR(VLOOKUP(G96,WholesaleExtract!B:J,6,FALSE),"")</f>
        <v/>
      </c>
      <c r="G96" s="19"/>
      <c r="H96" s="47" t="str">
        <f>IFERROR(VLOOKUP(G96,WholesaleExtract!B:L,11,FALSE),"")</f>
        <v/>
      </c>
      <c r="I96" s="26" t="str">
        <f>IFERROR(VLOOKUP(G96,WholesaleExtract!B:O,8,FALSE),"")</f>
        <v/>
      </c>
      <c r="J96" s="26" t="str">
        <f>IFERROR(VLOOKUP(G96,WholesaleExtract!B:O,14,FALSE),"")</f>
        <v/>
      </c>
      <c r="K96" s="26" t="str">
        <f>IFERROR(VLOOKUP(G96,WholesaleExtract!B:K,10,FALSE),"")</f>
        <v/>
      </c>
      <c r="L96" s="47" t="str">
        <f>IFERROR(VLOOKUP(G96,WholesaleExtract!B:L,11,FALSE),"")</f>
        <v/>
      </c>
      <c r="M96" s="47" t="str">
        <f>IFERROR(VLOOKUP(G96,WholesaleExtract!B:M,12,FALSE),"")</f>
        <v/>
      </c>
      <c r="N96" s="27"/>
      <c r="O96" s="19"/>
      <c r="P96" s="19"/>
      <c r="Q96" s="47"/>
      <c r="R96" s="19"/>
      <c r="S96" s="19"/>
    </row>
    <row r="97" spans="1:19" x14ac:dyDescent="0.35">
      <c r="A97" s="26" t="s">
        <v>543</v>
      </c>
      <c r="B97" s="26" t="s">
        <v>543</v>
      </c>
      <c r="C97" s="26"/>
      <c r="D97" s="26" t="s">
        <v>543</v>
      </c>
      <c r="E97" s="26" t="str">
        <f>IFERROR(VLOOKUP(G97,WholesaleExtract!B:J,9,FALSE),"")</f>
        <v/>
      </c>
      <c r="F97" s="26" t="str">
        <f>IFERROR(VLOOKUP(G97,WholesaleExtract!B:J,6,FALSE),"")</f>
        <v/>
      </c>
      <c r="G97" s="19"/>
      <c r="H97" s="47" t="str">
        <f>IFERROR(VLOOKUP(G97,WholesaleExtract!B:L,11,FALSE),"")</f>
        <v/>
      </c>
      <c r="I97" s="26" t="str">
        <f>IFERROR(VLOOKUP(G97,WholesaleExtract!B:O,8,FALSE),"")</f>
        <v/>
      </c>
      <c r="J97" s="26" t="str">
        <f>IFERROR(VLOOKUP(G97,WholesaleExtract!B:O,14,FALSE),"")</f>
        <v/>
      </c>
      <c r="K97" s="26" t="str">
        <f>IFERROR(VLOOKUP(G97,WholesaleExtract!B:K,10,FALSE),"")</f>
        <v/>
      </c>
      <c r="L97" s="47" t="str">
        <f>IFERROR(VLOOKUP(G97,WholesaleExtract!B:L,11,FALSE),"")</f>
        <v/>
      </c>
      <c r="M97" s="47" t="str">
        <f>IFERROR(VLOOKUP(G97,WholesaleExtract!B:M,12,FALSE),"")</f>
        <v/>
      </c>
      <c r="N97" s="27"/>
      <c r="O97" s="19"/>
      <c r="P97" s="19"/>
      <c r="Q97" s="47"/>
      <c r="R97" s="19"/>
      <c r="S97" s="19"/>
    </row>
    <row r="98" spans="1:19" x14ac:dyDescent="0.35">
      <c r="A98" s="26" t="s">
        <v>543</v>
      </c>
      <c r="B98" s="26" t="s">
        <v>543</v>
      </c>
      <c r="C98" s="26"/>
      <c r="D98" s="26" t="s">
        <v>543</v>
      </c>
      <c r="E98" s="26" t="str">
        <f>IFERROR(VLOOKUP(G98,WholesaleExtract!B:J,9,FALSE),"")</f>
        <v/>
      </c>
      <c r="F98" s="26" t="str">
        <f>IFERROR(VLOOKUP(G98,WholesaleExtract!B:J,6,FALSE),"")</f>
        <v/>
      </c>
      <c r="G98" s="19"/>
      <c r="H98" s="47" t="str">
        <f>IFERROR(VLOOKUP(G98,WholesaleExtract!B:L,11,FALSE),"")</f>
        <v/>
      </c>
      <c r="I98" s="26" t="str">
        <f>IFERROR(VLOOKUP(G98,WholesaleExtract!B:O,8,FALSE),"")</f>
        <v/>
      </c>
      <c r="J98" s="26" t="str">
        <f>IFERROR(VLOOKUP(G98,WholesaleExtract!B:O,14,FALSE),"")</f>
        <v/>
      </c>
      <c r="K98" s="26" t="str">
        <f>IFERROR(VLOOKUP(G98,WholesaleExtract!B:K,10,FALSE),"")</f>
        <v/>
      </c>
      <c r="L98" s="47" t="str">
        <f>IFERROR(VLOOKUP(G98,WholesaleExtract!B:L,11,FALSE),"")</f>
        <v/>
      </c>
      <c r="M98" s="47" t="str">
        <f>IFERROR(VLOOKUP(G98,WholesaleExtract!B:M,12,FALSE),"")</f>
        <v/>
      </c>
      <c r="N98" s="27"/>
      <c r="O98" s="19"/>
      <c r="P98" s="19"/>
      <c r="Q98" s="47"/>
      <c r="R98" s="19"/>
      <c r="S98" s="19"/>
    </row>
    <row r="99" spans="1:19" x14ac:dyDescent="0.35">
      <c r="A99" s="26" t="s">
        <v>543</v>
      </c>
      <c r="B99" s="26" t="s">
        <v>543</v>
      </c>
      <c r="C99" s="26"/>
      <c r="D99" s="26" t="s">
        <v>543</v>
      </c>
      <c r="E99" s="26" t="str">
        <f>IFERROR(VLOOKUP(G99,WholesaleExtract!B:J,9,FALSE),"")</f>
        <v/>
      </c>
      <c r="F99" s="26" t="str">
        <f>IFERROR(VLOOKUP(G99,WholesaleExtract!B:J,6,FALSE),"")</f>
        <v/>
      </c>
      <c r="G99" s="19"/>
      <c r="H99" s="47" t="str">
        <f>IFERROR(VLOOKUP(G99,WholesaleExtract!B:L,11,FALSE),"")</f>
        <v/>
      </c>
      <c r="I99" s="26" t="str">
        <f>IFERROR(VLOOKUP(G99,WholesaleExtract!B:O,8,FALSE),"")</f>
        <v/>
      </c>
      <c r="J99" s="26" t="str">
        <f>IFERROR(VLOOKUP(G99,WholesaleExtract!B:O,14,FALSE),"")</f>
        <v/>
      </c>
      <c r="K99" s="26" t="str">
        <f>IFERROR(VLOOKUP(G99,WholesaleExtract!B:K,10,FALSE),"")</f>
        <v/>
      </c>
      <c r="L99" s="47" t="str">
        <f>IFERROR(VLOOKUP(G99,WholesaleExtract!B:L,11,FALSE),"")</f>
        <v/>
      </c>
      <c r="M99" s="47" t="str">
        <f>IFERROR(VLOOKUP(G99,WholesaleExtract!B:M,12,FALSE),"")</f>
        <v/>
      </c>
      <c r="N99" s="27"/>
      <c r="O99" s="19"/>
      <c r="P99" s="19"/>
      <c r="Q99" s="47"/>
      <c r="R99" s="19"/>
      <c r="S99" s="19"/>
    </row>
    <row r="100" spans="1:19" x14ac:dyDescent="0.35">
      <c r="A100" s="26" t="s">
        <v>543</v>
      </c>
      <c r="B100" s="26" t="s">
        <v>543</v>
      </c>
      <c r="C100" s="26"/>
      <c r="D100" s="26" t="s">
        <v>543</v>
      </c>
      <c r="E100" s="26" t="str">
        <f>IFERROR(VLOOKUP(G100,WholesaleExtract!B:J,9,FALSE),"")</f>
        <v/>
      </c>
      <c r="F100" s="26" t="str">
        <f>IFERROR(VLOOKUP(G100,WholesaleExtract!B:J,6,FALSE),"")</f>
        <v/>
      </c>
      <c r="G100" s="19"/>
      <c r="H100" s="47" t="str">
        <f>IFERROR(VLOOKUP(G100,WholesaleExtract!B:L,11,FALSE),"")</f>
        <v/>
      </c>
      <c r="I100" s="26" t="str">
        <f>IFERROR(VLOOKUP(G100,WholesaleExtract!B:O,8,FALSE),"")</f>
        <v/>
      </c>
      <c r="J100" s="26" t="str">
        <f>IFERROR(VLOOKUP(G100,WholesaleExtract!B:O,14,FALSE),"")</f>
        <v/>
      </c>
      <c r="K100" s="26" t="str">
        <f>IFERROR(VLOOKUP(G100,WholesaleExtract!B:K,10,FALSE),"")</f>
        <v/>
      </c>
      <c r="L100" s="47" t="str">
        <f>IFERROR(VLOOKUP(G100,WholesaleExtract!B:L,11,FALSE),"")</f>
        <v/>
      </c>
      <c r="M100" s="47" t="str">
        <f>IFERROR(VLOOKUP(G100,WholesaleExtract!B:M,12,FALSE),"")</f>
        <v/>
      </c>
      <c r="N100" s="27"/>
      <c r="O100" s="19"/>
      <c r="P100" s="19"/>
      <c r="Q100" s="47"/>
      <c r="R100" s="19"/>
      <c r="S100" s="19"/>
    </row>
    <row r="101" spans="1:19" x14ac:dyDescent="0.35">
      <c r="A101" s="26" t="s">
        <v>543</v>
      </c>
      <c r="B101" s="26" t="s">
        <v>543</v>
      </c>
      <c r="C101" s="26"/>
      <c r="D101" s="26" t="s">
        <v>543</v>
      </c>
      <c r="E101" s="26" t="str">
        <f>IFERROR(VLOOKUP(G101,WholesaleExtract!B:J,9,FALSE),"")</f>
        <v/>
      </c>
      <c r="F101" s="26" t="str">
        <f>IFERROR(VLOOKUP(G101,WholesaleExtract!B:J,6,FALSE),"")</f>
        <v/>
      </c>
      <c r="G101" s="19"/>
      <c r="H101" s="47" t="str">
        <f>IFERROR(VLOOKUP(G101,WholesaleExtract!B:L,11,FALSE),"")</f>
        <v/>
      </c>
      <c r="I101" s="26" t="str">
        <f>IFERROR(VLOOKUP(G101,WholesaleExtract!B:O,8,FALSE),"")</f>
        <v/>
      </c>
      <c r="J101" s="26" t="str">
        <f>IFERROR(VLOOKUP(G101,WholesaleExtract!B:O,14,FALSE),"")</f>
        <v/>
      </c>
      <c r="K101" s="26" t="str">
        <f>IFERROR(VLOOKUP(G101,WholesaleExtract!B:K,10,FALSE),"")</f>
        <v/>
      </c>
      <c r="L101" s="47" t="str">
        <f>IFERROR(VLOOKUP(G101,WholesaleExtract!B:L,11,FALSE),"")</f>
        <v/>
      </c>
      <c r="M101" s="47" t="str">
        <f>IFERROR(VLOOKUP(G101,WholesaleExtract!B:M,12,FALSE),"")</f>
        <v/>
      </c>
      <c r="N101" s="27"/>
      <c r="O101" s="19"/>
      <c r="P101" s="19"/>
      <c r="Q101" s="47"/>
      <c r="R101" s="19"/>
      <c r="S101" s="19"/>
    </row>
    <row r="102" spans="1:19" x14ac:dyDescent="0.35">
      <c r="A102" s="26" t="s">
        <v>543</v>
      </c>
      <c r="B102" s="26" t="s">
        <v>543</v>
      </c>
      <c r="C102" s="26"/>
      <c r="D102" s="26" t="s">
        <v>543</v>
      </c>
      <c r="E102" s="26" t="str">
        <f>IFERROR(VLOOKUP(G102,WholesaleExtract!B:J,9,FALSE),"")</f>
        <v/>
      </c>
      <c r="F102" s="26" t="str">
        <f>IFERROR(VLOOKUP(G102,WholesaleExtract!B:J,6,FALSE),"")</f>
        <v/>
      </c>
      <c r="G102" s="19"/>
      <c r="H102" s="47" t="str">
        <f>IFERROR(VLOOKUP(G102,WholesaleExtract!B:L,11,FALSE),"")</f>
        <v/>
      </c>
      <c r="I102" s="26" t="str">
        <f>IFERROR(VLOOKUP(G102,WholesaleExtract!B:O,8,FALSE),"")</f>
        <v/>
      </c>
      <c r="J102" s="26" t="str">
        <f>IFERROR(VLOOKUP(G102,WholesaleExtract!B:O,14,FALSE),"")</f>
        <v/>
      </c>
      <c r="K102" s="26" t="str">
        <f>IFERROR(VLOOKUP(G102,WholesaleExtract!B:K,10,FALSE),"")</f>
        <v/>
      </c>
      <c r="L102" s="47" t="str">
        <f>IFERROR(VLOOKUP(G102,WholesaleExtract!B:L,11,FALSE),"")</f>
        <v/>
      </c>
      <c r="M102" s="47" t="str">
        <f>IFERROR(VLOOKUP(G102,WholesaleExtract!B:M,12,FALSE),"")</f>
        <v/>
      </c>
      <c r="N102" s="27"/>
      <c r="O102" s="19"/>
      <c r="P102" s="19"/>
      <c r="Q102" s="47"/>
      <c r="R102" s="19"/>
      <c r="S102" s="19"/>
    </row>
    <row r="103" spans="1:19" x14ac:dyDescent="0.35">
      <c r="A103" s="26" t="s">
        <v>543</v>
      </c>
      <c r="B103" s="26" t="s">
        <v>543</v>
      </c>
      <c r="C103" s="26"/>
      <c r="D103" s="26" t="s">
        <v>543</v>
      </c>
      <c r="E103" s="26" t="str">
        <f>IFERROR(VLOOKUP(G103,WholesaleExtract!B:J,9,FALSE),"")</f>
        <v/>
      </c>
      <c r="F103" s="26" t="str">
        <f>IFERROR(VLOOKUP(G103,WholesaleExtract!B:J,6,FALSE),"")</f>
        <v/>
      </c>
      <c r="G103" s="19"/>
      <c r="H103" s="47" t="str">
        <f>IFERROR(VLOOKUP(G103,WholesaleExtract!B:L,11,FALSE),"")</f>
        <v/>
      </c>
      <c r="I103" s="26" t="str">
        <f>IFERROR(VLOOKUP(G103,WholesaleExtract!B:O,8,FALSE),"")</f>
        <v/>
      </c>
      <c r="J103" s="26" t="str">
        <f>IFERROR(VLOOKUP(G103,WholesaleExtract!B:O,14,FALSE),"")</f>
        <v/>
      </c>
      <c r="K103" s="26" t="str">
        <f>IFERROR(VLOOKUP(G103,WholesaleExtract!B:K,10,FALSE),"")</f>
        <v/>
      </c>
      <c r="L103" s="47" t="str">
        <f>IFERROR(VLOOKUP(G103,WholesaleExtract!B:L,11,FALSE),"")</f>
        <v/>
      </c>
      <c r="M103" s="47" t="str">
        <f>IFERROR(VLOOKUP(G103,WholesaleExtract!B:M,12,FALSE),"")</f>
        <v/>
      </c>
      <c r="N103" s="27"/>
      <c r="O103" s="19"/>
      <c r="P103" s="19"/>
      <c r="Q103" s="47"/>
      <c r="R103" s="19"/>
      <c r="S103" s="19"/>
    </row>
    <row r="104" spans="1:19" x14ac:dyDescent="0.35">
      <c r="A104" s="26" t="s">
        <v>543</v>
      </c>
      <c r="B104" s="26" t="s">
        <v>543</v>
      </c>
      <c r="C104" s="26"/>
      <c r="D104" s="26" t="s">
        <v>543</v>
      </c>
      <c r="E104" s="26" t="str">
        <f>IFERROR(VLOOKUP(G104,WholesaleExtract!B:J,9,FALSE),"")</f>
        <v/>
      </c>
      <c r="F104" s="26" t="str">
        <f>IFERROR(VLOOKUP(G104,WholesaleExtract!B:J,6,FALSE),"")</f>
        <v/>
      </c>
      <c r="G104" s="19"/>
      <c r="H104" s="47" t="str">
        <f>IFERROR(VLOOKUP(G104,WholesaleExtract!B:L,11,FALSE),"")</f>
        <v/>
      </c>
      <c r="I104" s="26" t="str">
        <f>IFERROR(VLOOKUP(G104,WholesaleExtract!B:O,8,FALSE),"")</f>
        <v/>
      </c>
      <c r="J104" s="26" t="str">
        <f>IFERROR(VLOOKUP(G104,WholesaleExtract!B:O,14,FALSE),"")</f>
        <v/>
      </c>
      <c r="K104" s="26" t="str">
        <f>IFERROR(VLOOKUP(G104,WholesaleExtract!B:K,10,FALSE),"")</f>
        <v/>
      </c>
      <c r="L104" s="47" t="str">
        <f>IFERROR(VLOOKUP(G104,WholesaleExtract!B:L,11,FALSE),"")</f>
        <v/>
      </c>
      <c r="M104" s="47" t="str">
        <f>IFERROR(VLOOKUP(G104,WholesaleExtract!B:M,12,FALSE),"")</f>
        <v/>
      </c>
      <c r="N104" s="27"/>
      <c r="O104" s="19"/>
      <c r="P104" s="19"/>
      <c r="Q104" s="47"/>
      <c r="R104" s="19"/>
      <c r="S104" s="19"/>
    </row>
    <row r="105" spans="1:19" x14ac:dyDescent="0.35">
      <c r="A105" s="26" t="s">
        <v>543</v>
      </c>
      <c r="B105" s="26" t="s">
        <v>543</v>
      </c>
      <c r="C105" s="26"/>
      <c r="D105" s="26" t="s">
        <v>543</v>
      </c>
      <c r="E105" s="26" t="str">
        <f>IFERROR(VLOOKUP(G105,WholesaleExtract!B:J,9,FALSE),"")</f>
        <v/>
      </c>
      <c r="F105" s="26" t="str">
        <f>IFERROR(VLOOKUP(G105,WholesaleExtract!B:J,6,FALSE),"")</f>
        <v/>
      </c>
      <c r="G105" s="19"/>
      <c r="H105" s="47" t="str">
        <f>IFERROR(VLOOKUP(G105,WholesaleExtract!B:L,11,FALSE),"")</f>
        <v/>
      </c>
      <c r="I105" s="26" t="str">
        <f>IFERROR(VLOOKUP(G105,WholesaleExtract!B:O,8,FALSE),"")</f>
        <v/>
      </c>
      <c r="J105" s="26" t="str">
        <f>IFERROR(VLOOKUP(G105,WholesaleExtract!B:O,14,FALSE),"")</f>
        <v/>
      </c>
      <c r="K105" s="26" t="str">
        <f>IFERROR(VLOOKUP(G105,WholesaleExtract!B:K,10,FALSE),"")</f>
        <v/>
      </c>
      <c r="L105" s="47" t="str">
        <f>IFERROR(VLOOKUP(G105,WholesaleExtract!B:L,11,FALSE),"")</f>
        <v/>
      </c>
      <c r="M105" s="47" t="str">
        <f>IFERROR(VLOOKUP(G105,WholesaleExtract!B:M,12,FALSE),"")</f>
        <v/>
      </c>
      <c r="N105" s="27"/>
      <c r="O105" s="19"/>
      <c r="P105" s="19"/>
      <c r="Q105" s="47"/>
      <c r="R105" s="19"/>
      <c r="S105" s="19"/>
    </row>
    <row r="106" spans="1:19" x14ac:dyDescent="0.35">
      <c r="A106" s="26" t="s">
        <v>543</v>
      </c>
      <c r="B106" s="26" t="s">
        <v>543</v>
      </c>
      <c r="C106" s="26"/>
      <c r="D106" s="26" t="s">
        <v>543</v>
      </c>
      <c r="E106" s="26" t="str">
        <f>IFERROR(VLOOKUP(G106,WholesaleExtract!B:J,9,FALSE),"")</f>
        <v/>
      </c>
      <c r="F106" s="26" t="str">
        <f>IFERROR(VLOOKUP(G106,WholesaleExtract!B:J,6,FALSE),"")</f>
        <v/>
      </c>
      <c r="G106" s="19"/>
      <c r="H106" s="47" t="str">
        <f>IFERROR(VLOOKUP(G106,WholesaleExtract!B:L,11,FALSE),"")</f>
        <v/>
      </c>
      <c r="I106" s="26" t="str">
        <f>IFERROR(VLOOKUP(G106,WholesaleExtract!B:O,8,FALSE),"")</f>
        <v/>
      </c>
      <c r="J106" s="26" t="str">
        <f>IFERROR(VLOOKUP(G106,WholesaleExtract!B:O,14,FALSE),"")</f>
        <v/>
      </c>
      <c r="K106" s="26" t="str">
        <f>IFERROR(VLOOKUP(G106,WholesaleExtract!B:K,10,FALSE),"")</f>
        <v/>
      </c>
      <c r="L106" s="47" t="str">
        <f>IFERROR(VLOOKUP(G106,WholesaleExtract!B:L,11,FALSE),"")</f>
        <v/>
      </c>
      <c r="M106" s="47" t="str">
        <f>IFERROR(VLOOKUP(G106,WholesaleExtract!B:M,12,FALSE),"")</f>
        <v/>
      </c>
      <c r="N106" s="27"/>
      <c r="O106" s="19"/>
      <c r="P106" s="19"/>
      <c r="Q106" s="47"/>
      <c r="R106" s="19"/>
      <c r="S106" s="19"/>
    </row>
    <row r="107" spans="1:19" x14ac:dyDescent="0.35">
      <c r="A107" s="26" t="s">
        <v>543</v>
      </c>
      <c r="B107" s="26" t="s">
        <v>543</v>
      </c>
      <c r="C107" s="26"/>
      <c r="D107" s="26" t="s">
        <v>543</v>
      </c>
      <c r="E107" s="26" t="str">
        <f>IFERROR(VLOOKUP(G107,WholesaleExtract!B:J,9,FALSE),"")</f>
        <v/>
      </c>
      <c r="F107" s="26" t="str">
        <f>IFERROR(VLOOKUP(G107,WholesaleExtract!B:J,6,FALSE),"")</f>
        <v/>
      </c>
      <c r="G107" s="19"/>
      <c r="H107" s="47" t="str">
        <f>IFERROR(VLOOKUP(G107,WholesaleExtract!B:L,11,FALSE),"")</f>
        <v/>
      </c>
      <c r="I107" s="26" t="str">
        <f>IFERROR(VLOOKUP(G107,WholesaleExtract!B:O,8,FALSE),"")</f>
        <v/>
      </c>
      <c r="J107" s="26" t="str">
        <f>IFERROR(VLOOKUP(G107,WholesaleExtract!B:O,14,FALSE),"")</f>
        <v/>
      </c>
      <c r="K107" s="26" t="str">
        <f>IFERROR(VLOOKUP(G107,WholesaleExtract!B:K,10,FALSE),"")</f>
        <v/>
      </c>
      <c r="L107" s="47" t="str">
        <f>IFERROR(VLOOKUP(G107,WholesaleExtract!B:L,11,FALSE),"")</f>
        <v/>
      </c>
      <c r="M107" s="47" t="str">
        <f>IFERROR(VLOOKUP(G107,WholesaleExtract!B:M,12,FALSE),"")</f>
        <v/>
      </c>
      <c r="N107" s="27"/>
      <c r="O107" s="19"/>
      <c r="P107" s="19"/>
      <c r="Q107" s="47"/>
      <c r="R107" s="19"/>
      <c r="S107" s="19"/>
    </row>
    <row r="108" spans="1:19" x14ac:dyDescent="0.35">
      <c r="A108" s="26" t="s">
        <v>543</v>
      </c>
      <c r="B108" s="26" t="s">
        <v>543</v>
      </c>
      <c r="C108" s="26"/>
      <c r="D108" s="26" t="s">
        <v>543</v>
      </c>
      <c r="E108" s="26" t="str">
        <f>IFERROR(VLOOKUP(G108,WholesaleExtract!B:J,9,FALSE),"")</f>
        <v/>
      </c>
      <c r="F108" s="26" t="str">
        <f>IFERROR(VLOOKUP(G108,WholesaleExtract!B:J,6,FALSE),"")</f>
        <v/>
      </c>
      <c r="G108" s="19"/>
      <c r="H108" s="47" t="str">
        <f>IFERROR(VLOOKUP(G108,WholesaleExtract!B:L,11,FALSE),"")</f>
        <v/>
      </c>
      <c r="I108" s="26" t="str">
        <f>IFERROR(VLOOKUP(G108,WholesaleExtract!B:O,8,FALSE),"")</f>
        <v/>
      </c>
      <c r="J108" s="26" t="str">
        <f>IFERROR(VLOOKUP(G108,WholesaleExtract!B:O,14,FALSE),"")</f>
        <v/>
      </c>
      <c r="K108" s="26" t="str">
        <f>IFERROR(VLOOKUP(G108,WholesaleExtract!B:K,10,FALSE),"")</f>
        <v/>
      </c>
      <c r="L108" s="47" t="str">
        <f>IFERROR(VLOOKUP(G108,WholesaleExtract!B:L,11,FALSE),"")</f>
        <v/>
      </c>
      <c r="M108" s="47" t="str">
        <f>IFERROR(VLOOKUP(G108,WholesaleExtract!B:M,12,FALSE),"")</f>
        <v/>
      </c>
      <c r="N108" s="27"/>
      <c r="O108" s="19"/>
      <c r="P108" s="19"/>
      <c r="Q108" s="47"/>
      <c r="R108" s="19"/>
      <c r="S108" s="19"/>
    </row>
    <row r="109" spans="1:19" x14ac:dyDescent="0.35">
      <c r="A109" s="26" t="s">
        <v>543</v>
      </c>
      <c r="B109" s="26" t="s">
        <v>543</v>
      </c>
      <c r="C109" s="26"/>
      <c r="D109" s="26" t="s">
        <v>543</v>
      </c>
      <c r="E109" s="26" t="str">
        <f>IFERROR(VLOOKUP(G109,WholesaleExtract!B:J,9,FALSE),"")</f>
        <v/>
      </c>
      <c r="F109" s="26" t="str">
        <f>IFERROR(VLOOKUP(G109,WholesaleExtract!B:J,6,FALSE),"")</f>
        <v/>
      </c>
      <c r="G109" s="19"/>
      <c r="H109" s="47" t="str">
        <f>IFERROR(VLOOKUP(G109,WholesaleExtract!B:L,11,FALSE),"")</f>
        <v/>
      </c>
      <c r="I109" s="26" t="str">
        <f>IFERROR(VLOOKUP(G109,WholesaleExtract!B:O,8,FALSE),"")</f>
        <v/>
      </c>
      <c r="J109" s="26" t="str">
        <f>IFERROR(VLOOKUP(G109,WholesaleExtract!B:O,14,FALSE),"")</f>
        <v/>
      </c>
      <c r="K109" s="26" t="str">
        <f>IFERROR(VLOOKUP(G109,WholesaleExtract!B:K,10,FALSE),"")</f>
        <v/>
      </c>
      <c r="L109" s="47" t="str">
        <f>IFERROR(VLOOKUP(G109,WholesaleExtract!B:L,11,FALSE),"")</f>
        <v/>
      </c>
      <c r="M109" s="47" t="str">
        <f>IFERROR(VLOOKUP(G109,WholesaleExtract!B:M,12,FALSE),"")</f>
        <v/>
      </c>
      <c r="N109" s="27"/>
      <c r="O109" s="19"/>
      <c r="P109" s="19"/>
      <c r="Q109" s="47"/>
      <c r="R109" s="19"/>
      <c r="S109" s="19"/>
    </row>
    <row r="110" spans="1:19" x14ac:dyDescent="0.35">
      <c r="A110" s="26" t="s">
        <v>543</v>
      </c>
      <c r="B110" s="26" t="s">
        <v>543</v>
      </c>
      <c r="C110" s="26"/>
      <c r="D110" s="26" t="s">
        <v>543</v>
      </c>
      <c r="E110" s="26" t="str">
        <f>IFERROR(VLOOKUP(G110,WholesaleExtract!B:J,9,FALSE),"")</f>
        <v/>
      </c>
      <c r="F110" s="26" t="str">
        <f>IFERROR(VLOOKUP(G110,WholesaleExtract!B:J,6,FALSE),"")</f>
        <v/>
      </c>
      <c r="G110" s="19"/>
      <c r="H110" s="47" t="str">
        <f>IFERROR(VLOOKUP(G110,WholesaleExtract!B:L,11,FALSE),"")</f>
        <v/>
      </c>
      <c r="I110" s="26" t="str">
        <f>IFERROR(VLOOKUP(G110,WholesaleExtract!B:O,8,FALSE),"")</f>
        <v/>
      </c>
      <c r="J110" s="26" t="str">
        <f>IFERROR(VLOOKUP(G110,WholesaleExtract!B:O,14,FALSE),"")</f>
        <v/>
      </c>
      <c r="K110" s="26" t="str">
        <f>IFERROR(VLOOKUP(G110,WholesaleExtract!B:K,10,FALSE),"")</f>
        <v/>
      </c>
      <c r="L110" s="47" t="str">
        <f>IFERROR(VLOOKUP(G110,WholesaleExtract!B:L,11,FALSE),"")</f>
        <v/>
      </c>
      <c r="M110" s="47" t="str">
        <f>IFERROR(VLOOKUP(G110,WholesaleExtract!B:M,12,FALSE),"")</f>
        <v/>
      </c>
      <c r="N110" s="27"/>
      <c r="O110" s="19"/>
      <c r="P110" s="19"/>
      <c r="Q110" s="47"/>
      <c r="R110" s="19"/>
      <c r="S110" s="19"/>
    </row>
    <row r="111" spans="1:19" x14ac:dyDescent="0.35">
      <c r="A111" s="26" t="s">
        <v>543</v>
      </c>
      <c r="B111" s="26" t="s">
        <v>543</v>
      </c>
      <c r="C111" s="26"/>
      <c r="D111" s="26" t="s">
        <v>543</v>
      </c>
      <c r="E111" s="26" t="str">
        <f>IFERROR(VLOOKUP(G111,WholesaleExtract!B:J,9,FALSE),"")</f>
        <v/>
      </c>
      <c r="F111" s="26" t="str">
        <f>IFERROR(VLOOKUP(G111,WholesaleExtract!B:J,6,FALSE),"")</f>
        <v/>
      </c>
      <c r="G111" s="19"/>
      <c r="H111" s="47" t="str">
        <f>IFERROR(VLOOKUP(G111,WholesaleExtract!B:L,11,FALSE),"")</f>
        <v/>
      </c>
      <c r="I111" s="26" t="str">
        <f>IFERROR(VLOOKUP(G111,WholesaleExtract!B:O,8,FALSE),"")</f>
        <v/>
      </c>
      <c r="J111" s="26" t="str">
        <f>IFERROR(VLOOKUP(G111,WholesaleExtract!B:O,14,FALSE),"")</f>
        <v/>
      </c>
      <c r="K111" s="26" t="str">
        <f>IFERROR(VLOOKUP(G111,WholesaleExtract!B:K,10,FALSE),"")</f>
        <v/>
      </c>
      <c r="L111" s="47" t="str">
        <f>IFERROR(VLOOKUP(G111,WholesaleExtract!B:L,11,FALSE),"")</f>
        <v/>
      </c>
      <c r="M111" s="47" t="str">
        <f>IFERROR(VLOOKUP(G111,WholesaleExtract!B:M,12,FALSE),"")</f>
        <v/>
      </c>
      <c r="N111" s="27"/>
      <c r="O111" s="19"/>
      <c r="P111" s="19"/>
      <c r="Q111" s="47"/>
      <c r="R111" s="19"/>
      <c r="S111" s="19"/>
    </row>
    <row r="112" spans="1:19" x14ac:dyDescent="0.35">
      <c r="A112" s="26" t="s">
        <v>543</v>
      </c>
      <c r="B112" s="26" t="s">
        <v>543</v>
      </c>
      <c r="C112" s="26"/>
      <c r="D112" s="26" t="s">
        <v>543</v>
      </c>
      <c r="E112" s="26" t="str">
        <f>IFERROR(VLOOKUP(G112,WholesaleExtract!B:J,9,FALSE),"")</f>
        <v/>
      </c>
      <c r="F112" s="26" t="str">
        <f>IFERROR(VLOOKUP(G112,WholesaleExtract!B:J,6,FALSE),"")</f>
        <v/>
      </c>
      <c r="G112" s="19"/>
      <c r="H112" s="47" t="str">
        <f>IFERROR(VLOOKUP(G112,WholesaleExtract!B:L,11,FALSE),"")</f>
        <v/>
      </c>
      <c r="I112" s="26" t="str">
        <f>IFERROR(VLOOKUP(G112,WholesaleExtract!B:O,8,FALSE),"")</f>
        <v/>
      </c>
      <c r="J112" s="26" t="str">
        <f>IFERROR(VLOOKUP(G112,WholesaleExtract!B:O,14,FALSE),"")</f>
        <v/>
      </c>
      <c r="K112" s="26" t="str">
        <f>IFERROR(VLOOKUP(G112,WholesaleExtract!B:K,10,FALSE),"")</f>
        <v/>
      </c>
      <c r="L112" s="47" t="str">
        <f>IFERROR(VLOOKUP(G112,WholesaleExtract!B:L,11,FALSE),"")</f>
        <v/>
      </c>
      <c r="M112" s="47" t="str">
        <f>IFERROR(VLOOKUP(G112,WholesaleExtract!B:M,12,FALSE),"")</f>
        <v/>
      </c>
      <c r="N112" s="27"/>
      <c r="O112" s="19"/>
      <c r="P112" s="19"/>
      <c r="Q112" s="47"/>
      <c r="R112" s="19"/>
      <c r="S112" s="19"/>
    </row>
    <row r="113" spans="1:19" x14ac:dyDescent="0.35">
      <c r="A113" s="26" t="s">
        <v>543</v>
      </c>
      <c r="B113" s="26" t="s">
        <v>543</v>
      </c>
      <c r="C113" s="26"/>
      <c r="D113" s="26" t="s">
        <v>543</v>
      </c>
      <c r="E113" s="26" t="str">
        <f>IFERROR(VLOOKUP(G113,WholesaleExtract!B:J,9,FALSE),"")</f>
        <v/>
      </c>
      <c r="F113" s="26" t="str">
        <f>IFERROR(VLOOKUP(G113,WholesaleExtract!B:J,6,FALSE),"")</f>
        <v/>
      </c>
      <c r="G113" s="19"/>
      <c r="H113" s="47" t="str">
        <f>IFERROR(VLOOKUP(G113,WholesaleExtract!B:L,11,FALSE),"")</f>
        <v/>
      </c>
      <c r="I113" s="26" t="str">
        <f>IFERROR(VLOOKUP(G113,WholesaleExtract!B:O,8,FALSE),"")</f>
        <v/>
      </c>
      <c r="J113" s="26" t="str">
        <f>IFERROR(VLOOKUP(G113,WholesaleExtract!B:O,14,FALSE),"")</f>
        <v/>
      </c>
      <c r="K113" s="26" t="str">
        <f>IFERROR(VLOOKUP(G113,WholesaleExtract!B:K,10,FALSE),"")</f>
        <v/>
      </c>
      <c r="L113" s="47" t="str">
        <f>IFERROR(VLOOKUP(G113,WholesaleExtract!B:L,11,FALSE),"")</f>
        <v/>
      </c>
      <c r="M113" s="47" t="str">
        <f>IFERROR(VLOOKUP(G113,WholesaleExtract!B:M,12,FALSE),"")</f>
        <v/>
      </c>
      <c r="N113" s="27"/>
      <c r="O113" s="19"/>
      <c r="P113" s="19"/>
      <c r="Q113" s="47"/>
      <c r="R113" s="19"/>
      <c r="S113" s="19"/>
    </row>
    <row r="114" spans="1:19" x14ac:dyDescent="0.35">
      <c r="A114" s="26" t="s">
        <v>543</v>
      </c>
      <c r="B114" s="26" t="s">
        <v>543</v>
      </c>
      <c r="C114" s="26"/>
      <c r="D114" s="26" t="s">
        <v>543</v>
      </c>
      <c r="E114" s="26" t="str">
        <f>IFERROR(VLOOKUP(G114,WholesaleExtract!B:J,9,FALSE),"")</f>
        <v/>
      </c>
      <c r="F114" s="26" t="str">
        <f>IFERROR(VLOOKUP(G114,WholesaleExtract!B:J,6,FALSE),"")</f>
        <v/>
      </c>
      <c r="G114" s="19"/>
      <c r="H114" s="47" t="str">
        <f>IFERROR(VLOOKUP(G114,WholesaleExtract!B:L,11,FALSE),"")</f>
        <v/>
      </c>
      <c r="I114" s="26" t="str">
        <f>IFERROR(VLOOKUP(G114,WholesaleExtract!B:O,8,FALSE),"")</f>
        <v/>
      </c>
      <c r="J114" s="26" t="str">
        <f>IFERROR(VLOOKUP(G114,WholesaleExtract!B:O,14,FALSE),"")</f>
        <v/>
      </c>
      <c r="K114" s="26" t="str">
        <f>IFERROR(VLOOKUP(G114,WholesaleExtract!B:K,10,FALSE),"")</f>
        <v/>
      </c>
      <c r="L114" s="47" t="str">
        <f>IFERROR(VLOOKUP(G114,WholesaleExtract!B:L,11,FALSE),"")</f>
        <v/>
      </c>
      <c r="M114" s="47" t="str">
        <f>IFERROR(VLOOKUP(G114,WholesaleExtract!B:M,12,FALSE),"")</f>
        <v/>
      </c>
      <c r="N114" s="27"/>
      <c r="O114" s="19"/>
      <c r="P114" s="19"/>
      <c r="Q114" s="47"/>
      <c r="R114" s="19"/>
      <c r="S114" s="19"/>
    </row>
    <row r="115" spans="1:19" x14ac:dyDescent="0.35">
      <c r="A115" s="26" t="s">
        <v>543</v>
      </c>
      <c r="B115" s="26" t="s">
        <v>543</v>
      </c>
      <c r="C115" s="26"/>
      <c r="D115" s="26" t="s">
        <v>543</v>
      </c>
      <c r="E115" s="26" t="str">
        <f>IFERROR(VLOOKUP(G115,WholesaleExtract!B:J,9,FALSE),"")</f>
        <v/>
      </c>
      <c r="F115" s="26" t="str">
        <f>IFERROR(VLOOKUP(G115,WholesaleExtract!B:J,6,FALSE),"")</f>
        <v/>
      </c>
      <c r="G115" s="19"/>
      <c r="H115" s="47" t="str">
        <f>IFERROR(VLOOKUP(G115,WholesaleExtract!B:L,11,FALSE),"")</f>
        <v/>
      </c>
      <c r="I115" s="26" t="str">
        <f>IFERROR(VLOOKUP(G115,WholesaleExtract!B:O,8,FALSE),"")</f>
        <v/>
      </c>
      <c r="J115" s="26" t="str">
        <f>IFERROR(VLOOKUP(G115,WholesaleExtract!B:O,14,FALSE),"")</f>
        <v/>
      </c>
      <c r="K115" s="26" t="str">
        <f>IFERROR(VLOOKUP(G115,WholesaleExtract!B:K,10,FALSE),"")</f>
        <v/>
      </c>
      <c r="L115" s="47" t="str">
        <f>IFERROR(VLOOKUP(G115,WholesaleExtract!B:L,11,FALSE),"")</f>
        <v/>
      </c>
      <c r="M115" s="47" t="str">
        <f>IFERROR(VLOOKUP(G115,WholesaleExtract!B:M,12,FALSE),"")</f>
        <v/>
      </c>
      <c r="N115" s="27"/>
      <c r="O115" s="19"/>
      <c r="P115" s="19"/>
      <c r="Q115" s="47"/>
      <c r="R115" s="19"/>
      <c r="S115" s="19"/>
    </row>
    <row r="116" spans="1:19" x14ac:dyDescent="0.35">
      <c r="A116" s="26" t="s">
        <v>543</v>
      </c>
      <c r="B116" s="26" t="s">
        <v>543</v>
      </c>
      <c r="C116" s="26"/>
      <c r="D116" s="26" t="s">
        <v>543</v>
      </c>
      <c r="E116" s="26" t="str">
        <f>IFERROR(VLOOKUP(G116,WholesaleExtract!B:J,9,FALSE),"")</f>
        <v/>
      </c>
      <c r="F116" s="26" t="str">
        <f>IFERROR(VLOOKUP(G116,WholesaleExtract!B:J,6,FALSE),"")</f>
        <v/>
      </c>
      <c r="G116" s="19"/>
      <c r="H116" s="47" t="str">
        <f>IFERROR(VLOOKUP(G116,WholesaleExtract!B:L,11,FALSE),"")</f>
        <v/>
      </c>
      <c r="I116" s="26" t="str">
        <f>IFERROR(VLOOKUP(G116,WholesaleExtract!B:O,8,FALSE),"")</f>
        <v/>
      </c>
      <c r="J116" s="26" t="str">
        <f>IFERROR(VLOOKUP(G116,WholesaleExtract!B:O,14,FALSE),"")</f>
        <v/>
      </c>
      <c r="K116" s="26" t="str">
        <f>IFERROR(VLOOKUP(G116,WholesaleExtract!B:K,10,FALSE),"")</f>
        <v/>
      </c>
      <c r="L116" s="47" t="str">
        <f>IFERROR(VLOOKUP(G116,WholesaleExtract!B:L,11,FALSE),"")</f>
        <v/>
      </c>
      <c r="M116" s="47" t="str">
        <f>IFERROR(VLOOKUP(G116,WholesaleExtract!B:M,12,FALSE),"")</f>
        <v/>
      </c>
      <c r="N116" s="27"/>
      <c r="O116" s="19"/>
      <c r="P116" s="19"/>
      <c r="Q116" s="47"/>
      <c r="R116" s="19"/>
      <c r="S116" s="19"/>
    </row>
    <row r="117" spans="1:19" x14ac:dyDescent="0.35">
      <c r="A117" s="26" t="s">
        <v>543</v>
      </c>
      <c r="B117" s="26" t="s">
        <v>543</v>
      </c>
      <c r="C117" s="26"/>
      <c r="D117" s="26" t="s">
        <v>543</v>
      </c>
      <c r="E117" s="26" t="str">
        <f>IFERROR(VLOOKUP(G117,WholesaleExtract!B:J,9,FALSE),"")</f>
        <v/>
      </c>
      <c r="F117" s="26" t="str">
        <f>IFERROR(VLOOKUP(G117,WholesaleExtract!B:J,6,FALSE),"")</f>
        <v/>
      </c>
      <c r="G117" s="19"/>
      <c r="H117" s="47" t="str">
        <f>IFERROR(VLOOKUP(G117,WholesaleExtract!B:L,11,FALSE),"")</f>
        <v/>
      </c>
      <c r="I117" s="26" t="str">
        <f>IFERROR(VLOOKUP(G117,WholesaleExtract!B:O,8,FALSE),"")</f>
        <v/>
      </c>
      <c r="J117" s="26" t="str">
        <f>IFERROR(VLOOKUP(G117,WholesaleExtract!B:O,14,FALSE),"")</f>
        <v/>
      </c>
      <c r="K117" s="26" t="str">
        <f>IFERROR(VLOOKUP(G117,WholesaleExtract!B:K,10,FALSE),"")</f>
        <v/>
      </c>
      <c r="L117" s="47" t="str">
        <f>IFERROR(VLOOKUP(G117,WholesaleExtract!B:L,11,FALSE),"")</f>
        <v/>
      </c>
      <c r="M117" s="47" t="str">
        <f>IFERROR(VLOOKUP(G117,WholesaleExtract!B:M,12,FALSE),"")</f>
        <v/>
      </c>
      <c r="N117" s="27"/>
      <c r="O117" s="19"/>
      <c r="P117" s="19"/>
      <c r="Q117" s="47"/>
      <c r="R117" s="19"/>
      <c r="S117" s="19"/>
    </row>
    <row r="118" spans="1:19" x14ac:dyDescent="0.35">
      <c r="A118" s="26" t="s">
        <v>543</v>
      </c>
      <c r="B118" s="26" t="s">
        <v>543</v>
      </c>
      <c r="C118" s="26"/>
      <c r="D118" s="26" t="s">
        <v>543</v>
      </c>
      <c r="E118" s="26" t="str">
        <f>IFERROR(VLOOKUP(G118,WholesaleExtract!B:J,9,FALSE),"")</f>
        <v/>
      </c>
      <c r="F118" s="26" t="str">
        <f>IFERROR(VLOOKUP(G118,WholesaleExtract!B:J,6,FALSE),"")</f>
        <v/>
      </c>
      <c r="G118" s="19"/>
      <c r="H118" s="47" t="str">
        <f>IFERROR(VLOOKUP(G118,WholesaleExtract!B:L,11,FALSE),"")</f>
        <v/>
      </c>
      <c r="I118" s="26" t="str">
        <f>IFERROR(VLOOKUP(G118,WholesaleExtract!B:O,8,FALSE),"")</f>
        <v/>
      </c>
      <c r="J118" s="26" t="str">
        <f>IFERROR(VLOOKUP(G118,WholesaleExtract!B:O,14,FALSE),"")</f>
        <v/>
      </c>
      <c r="K118" s="26" t="str">
        <f>IFERROR(VLOOKUP(G118,WholesaleExtract!B:K,10,FALSE),"")</f>
        <v/>
      </c>
      <c r="L118" s="47" t="str">
        <f>IFERROR(VLOOKUP(G118,WholesaleExtract!B:L,11,FALSE),"")</f>
        <v/>
      </c>
      <c r="M118" s="47" t="str">
        <f>IFERROR(VLOOKUP(G118,WholesaleExtract!B:M,12,FALSE),"")</f>
        <v/>
      </c>
      <c r="N118" s="27"/>
      <c r="O118" s="19"/>
      <c r="P118" s="19"/>
      <c r="Q118" s="47"/>
      <c r="R118" s="19"/>
      <c r="S118" s="19"/>
    </row>
    <row r="119" spans="1:19" x14ac:dyDescent="0.35">
      <c r="A119" s="26" t="s">
        <v>543</v>
      </c>
      <c r="B119" s="26" t="s">
        <v>543</v>
      </c>
      <c r="C119" s="26"/>
      <c r="D119" s="26" t="s">
        <v>543</v>
      </c>
      <c r="E119" s="26" t="str">
        <f>IFERROR(VLOOKUP(G119,WholesaleExtract!B:J,9,FALSE),"")</f>
        <v/>
      </c>
      <c r="F119" s="26" t="str">
        <f>IFERROR(VLOOKUP(G119,WholesaleExtract!B:J,6,FALSE),"")</f>
        <v/>
      </c>
      <c r="G119" s="19"/>
      <c r="H119" s="47" t="str">
        <f>IFERROR(VLOOKUP(G119,WholesaleExtract!B:L,11,FALSE),"")</f>
        <v/>
      </c>
      <c r="I119" s="26" t="str">
        <f>IFERROR(VLOOKUP(G119,WholesaleExtract!B:O,8,FALSE),"")</f>
        <v/>
      </c>
      <c r="J119" s="26" t="str">
        <f>IFERROR(VLOOKUP(G119,WholesaleExtract!B:O,14,FALSE),"")</f>
        <v/>
      </c>
      <c r="K119" s="26" t="str">
        <f>IFERROR(VLOOKUP(G119,WholesaleExtract!B:K,10,FALSE),"")</f>
        <v/>
      </c>
      <c r="L119" s="47" t="str">
        <f>IFERROR(VLOOKUP(G119,WholesaleExtract!B:L,11,FALSE),"")</f>
        <v/>
      </c>
      <c r="M119" s="47" t="str">
        <f>IFERROR(VLOOKUP(G119,WholesaleExtract!B:M,12,FALSE),"")</f>
        <v/>
      </c>
      <c r="N119" s="27"/>
      <c r="O119" s="19"/>
      <c r="P119" s="19"/>
      <c r="Q119" s="47"/>
      <c r="R119" s="19"/>
      <c r="S119" s="19"/>
    </row>
    <row r="120" spans="1:19" x14ac:dyDescent="0.35">
      <c r="A120" s="26" t="s">
        <v>543</v>
      </c>
      <c r="B120" s="26" t="s">
        <v>543</v>
      </c>
      <c r="C120" s="26"/>
      <c r="D120" s="26" t="s">
        <v>543</v>
      </c>
      <c r="E120" s="26" t="str">
        <f>IFERROR(VLOOKUP(G120,WholesaleExtract!B:J,9,FALSE),"")</f>
        <v/>
      </c>
      <c r="F120" s="26" t="str">
        <f>IFERROR(VLOOKUP(G120,WholesaleExtract!B:J,6,FALSE),"")</f>
        <v/>
      </c>
      <c r="G120" s="19"/>
      <c r="H120" s="47" t="str">
        <f>IFERROR(VLOOKUP(G120,WholesaleExtract!B:L,11,FALSE),"")</f>
        <v/>
      </c>
      <c r="I120" s="26" t="str">
        <f>IFERROR(VLOOKUP(G120,WholesaleExtract!B:O,8,FALSE),"")</f>
        <v/>
      </c>
      <c r="J120" s="26" t="str">
        <f>IFERROR(VLOOKUP(G120,WholesaleExtract!B:O,14,FALSE),"")</f>
        <v/>
      </c>
      <c r="K120" s="26" t="str">
        <f>IFERROR(VLOOKUP(G120,WholesaleExtract!B:K,10,FALSE),"")</f>
        <v/>
      </c>
      <c r="L120" s="47" t="str">
        <f>IFERROR(VLOOKUP(G120,WholesaleExtract!B:L,11,FALSE),"")</f>
        <v/>
      </c>
      <c r="M120" s="47" t="str">
        <f>IFERROR(VLOOKUP(G120,WholesaleExtract!B:M,12,FALSE),"")</f>
        <v/>
      </c>
      <c r="N120" s="27"/>
      <c r="O120" s="19"/>
      <c r="P120" s="19"/>
      <c r="Q120" s="47"/>
      <c r="R120" s="19"/>
      <c r="S120" s="19"/>
    </row>
    <row r="121" spans="1:19" x14ac:dyDescent="0.35">
      <c r="A121" s="26" t="s">
        <v>543</v>
      </c>
      <c r="B121" s="26" t="s">
        <v>543</v>
      </c>
      <c r="C121" s="26"/>
      <c r="D121" s="26" t="s">
        <v>543</v>
      </c>
      <c r="E121" s="26" t="str">
        <f>IFERROR(VLOOKUP(G121,WholesaleExtract!B:J,9,FALSE),"")</f>
        <v/>
      </c>
      <c r="F121" s="26" t="str">
        <f>IFERROR(VLOOKUP(G121,WholesaleExtract!B:J,6,FALSE),"")</f>
        <v/>
      </c>
      <c r="G121" s="19"/>
      <c r="H121" s="47" t="str">
        <f>IFERROR(VLOOKUP(G121,WholesaleExtract!B:L,11,FALSE),"")</f>
        <v/>
      </c>
      <c r="I121" s="26" t="str">
        <f>IFERROR(VLOOKUP(G121,WholesaleExtract!B:O,8,FALSE),"")</f>
        <v/>
      </c>
      <c r="J121" s="26" t="str">
        <f>IFERROR(VLOOKUP(G121,WholesaleExtract!B:O,14,FALSE),"")</f>
        <v/>
      </c>
      <c r="K121" s="26" t="str">
        <f>IFERROR(VLOOKUP(G121,WholesaleExtract!B:K,10,FALSE),"")</f>
        <v/>
      </c>
      <c r="L121" s="47" t="str">
        <f>IFERROR(VLOOKUP(G121,WholesaleExtract!B:L,11,FALSE),"")</f>
        <v/>
      </c>
      <c r="M121" s="47" t="str">
        <f>IFERROR(VLOOKUP(G121,WholesaleExtract!B:M,12,FALSE),"")</f>
        <v/>
      </c>
      <c r="N121" s="27"/>
      <c r="O121" s="19"/>
      <c r="P121" s="19"/>
      <c r="Q121" s="47"/>
      <c r="R121" s="19"/>
      <c r="S121" s="19"/>
    </row>
    <row r="122" spans="1:19" x14ac:dyDescent="0.35">
      <c r="A122" s="26" t="s">
        <v>543</v>
      </c>
      <c r="B122" s="26" t="s">
        <v>543</v>
      </c>
      <c r="C122" s="26"/>
      <c r="D122" s="26" t="s">
        <v>543</v>
      </c>
      <c r="E122" s="26" t="str">
        <f>IFERROR(VLOOKUP(G122,WholesaleExtract!B:J,9,FALSE),"")</f>
        <v/>
      </c>
      <c r="F122" s="26" t="str">
        <f>IFERROR(VLOOKUP(G122,WholesaleExtract!B:J,6,FALSE),"")</f>
        <v/>
      </c>
      <c r="G122" s="19"/>
      <c r="H122" s="47" t="str">
        <f>IFERROR(VLOOKUP(G122,WholesaleExtract!B:L,11,FALSE),"")</f>
        <v/>
      </c>
      <c r="I122" s="26" t="str">
        <f>IFERROR(VLOOKUP(G122,WholesaleExtract!B:O,8,FALSE),"")</f>
        <v/>
      </c>
      <c r="J122" s="26" t="str">
        <f>IFERROR(VLOOKUP(G122,WholesaleExtract!B:O,14,FALSE),"")</f>
        <v/>
      </c>
      <c r="K122" s="26" t="str">
        <f>IFERROR(VLOOKUP(G122,WholesaleExtract!B:K,10,FALSE),"")</f>
        <v/>
      </c>
      <c r="L122" s="47" t="str">
        <f>IFERROR(VLOOKUP(G122,WholesaleExtract!B:L,11,FALSE),"")</f>
        <v/>
      </c>
      <c r="M122" s="47" t="str">
        <f>IFERROR(VLOOKUP(G122,WholesaleExtract!B:M,12,FALSE),"")</f>
        <v/>
      </c>
      <c r="N122" s="27"/>
      <c r="O122" s="19"/>
      <c r="P122" s="19"/>
      <c r="Q122" s="47"/>
      <c r="R122" s="19"/>
      <c r="S122" s="19"/>
    </row>
    <row r="123" spans="1:19" x14ac:dyDescent="0.35">
      <c r="A123" s="26" t="s">
        <v>543</v>
      </c>
      <c r="B123" s="26" t="s">
        <v>543</v>
      </c>
      <c r="C123" s="26"/>
      <c r="D123" s="26" t="s">
        <v>543</v>
      </c>
      <c r="E123" s="26" t="str">
        <f>IFERROR(VLOOKUP(G123,WholesaleExtract!B:J,9,FALSE),"")</f>
        <v/>
      </c>
      <c r="F123" s="26" t="str">
        <f>IFERROR(VLOOKUP(G123,WholesaleExtract!B:J,6,FALSE),"")</f>
        <v/>
      </c>
      <c r="G123" s="19"/>
      <c r="H123" s="47" t="str">
        <f>IFERROR(VLOOKUP(G123,WholesaleExtract!B:L,11,FALSE),"")</f>
        <v/>
      </c>
      <c r="I123" s="26" t="str">
        <f>IFERROR(VLOOKUP(G123,WholesaleExtract!B:O,8,FALSE),"")</f>
        <v/>
      </c>
      <c r="J123" s="26" t="str">
        <f>IFERROR(VLOOKUP(G123,WholesaleExtract!B:O,14,FALSE),"")</f>
        <v/>
      </c>
      <c r="K123" s="26" t="str">
        <f>IFERROR(VLOOKUP(G123,WholesaleExtract!B:K,10,FALSE),"")</f>
        <v/>
      </c>
      <c r="L123" s="47" t="str">
        <f>IFERROR(VLOOKUP(G123,WholesaleExtract!B:L,11,FALSE),"")</f>
        <v/>
      </c>
      <c r="M123" s="47" t="str">
        <f>IFERROR(VLOOKUP(G123,WholesaleExtract!B:M,12,FALSE),"")</f>
        <v/>
      </c>
      <c r="N123" s="27"/>
      <c r="O123" s="19"/>
      <c r="P123" s="19"/>
      <c r="Q123" s="47"/>
      <c r="R123" s="19"/>
      <c r="S123" s="19"/>
    </row>
    <row r="124" spans="1:19" x14ac:dyDescent="0.35">
      <c r="A124" s="26" t="s">
        <v>543</v>
      </c>
      <c r="B124" s="26" t="s">
        <v>543</v>
      </c>
      <c r="C124" s="26"/>
      <c r="D124" s="26" t="s">
        <v>543</v>
      </c>
      <c r="E124" s="26" t="str">
        <f>IFERROR(VLOOKUP(G124,WholesaleExtract!B:J,9,FALSE),"")</f>
        <v/>
      </c>
      <c r="F124" s="26" t="str">
        <f>IFERROR(VLOOKUP(G124,WholesaleExtract!B:J,6,FALSE),"")</f>
        <v/>
      </c>
      <c r="G124" s="19"/>
      <c r="H124" s="47" t="str">
        <f>IFERROR(VLOOKUP(G124,WholesaleExtract!B:L,11,FALSE),"")</f>
        <v/>
      </c>
      <c r="I124" s="26" t="str">
        <f>IFERROR(VLOOKUP(G124,WholesaleExtract!B:O,8,FALSE),"")</f>
        <v/>
      </c>
      <c r="J124" s="26" t="str">
        <f>IFERROR(VLOOKUP(G124,WholesaleExtract!B:O,14,FALSE),"")</f>
        <v/>
      </c>
      <c r="K124" s="26" t="str">
        <f>IFERROR(VLOOKUP(G124,WholesaleExtract!B:K,10,FALSE),"")</f>
        <v/>
      </c>
      <c r="L124" s="47" t="str">
        <f>IFERROR(VLOOKUP(G124,WholesaleExtract!B:L,11,FALSE),"")</f>
        <v/>
      </c>
      <c r="M124" s="47" t="str">
        <f>IFERROR(VLOOKUP(G124,WholesaleExtract!B:M,12,FALSE),"")</f>
        <v/>
      </c>
      <c r="N124" s="27"/>
      <c r="O124" s="19"/>
      <c r="P124" s="19"/>
      <c r="Q124" s="47"/>
      <c r="R124" s="19"/>
      <c r="S124" s="19"/>
    </row>
    <row r="125" spans="1:19" x14ac:dyDescent="0.35">
      <c r="A125" s="26" t="s">
        <v>543</v>
      </c>
      <c r="B125" s="26" t="s">
        <v>543</v>
      </c>
      <c r="C125" s="26"/>
      <c r="D125" s="26" t="s">
        <v>543</v>
      </c>
      <c r="E125" s="26" t="str">
        <f>IFERROR(VLOOKUP(G125,WholesaleExtract!B:J,9,FALSE),"")</f>
        <v/>
      </c>
      <c r="F125" s="26" t="str">
        <f>IFERROR(VLOOKUP(G125,WholesaleExtract!B:J,6,FALSE),"")</f>
        <v/>
      </c>
      <c r="G125" s="19"/>
      <c r="H125" s="47" t="str">
        <f>IFERROR(VLOOKUP(G125,WholesaleExtract!B:L,11,FALSE),"")</f>
        <v/>
      </c>
      <c r="I125" s="26" t="str">
        <f>IFERROR(VLOOKUP(G125,WholesaleExtract!B:O,8,FALSE),"")</f>
        <v/>
      </c>
      <c r="J125" s="26" t="str">
        <f>IFERROR(VLOOKUP(G125,WholesaleExtract!B:O,14,FALSE),"")</f>
        <v/>
      </c>
      <c r="K125" s="26" t="str">
        <f>IFERROR(VLOOKUP(G125,WholesaleExtract!B:K,10,FALSE),"")</f>
        <v/>
      </c>
      <c r="L125" s="47" t="str">
        <f>IFERROR(VLOOKUP(G125,WholesaleExtract!B:L,11,FALSE),"")</f>
        <v/>
      </c>
      <c r="M125" s="47" t="str">
        <f>IFERROR(VLOOKUP(G125,WholesaleExtract!B:M,12,FALSE),"")</f>
        <v/>
      </c>
      <c r="N125" s="27"/>
      <c r="O125" s="19"/>
      <c r="P125" s="19"/>
      <c r="Q125" s="47"/>
      <c r="R125" s="19"/>
      <c r="S125" s="19"/>
    </row>
    <row r="126" spans="1:19" x14ac:dyDescent="0.35">
      <c r="A126" s="26" t="s">
        <v>543</v>
      </c>
      <c r="B126" s="26" t="s">
        <v>543</v>
      </c>
      <c r="C126" s="26"/>
      <c r="D126" s="26" t="s">
        <v>543</v>
      </c>
      <c r="E126" s="26" t="str">
        <f>IFERROR(VLOOKUP(G126,WholesaleExtract!B:J,9,FALSE),"")</f>
        <v/>
      </c>
      <c r="F126" s="26" t="str">
        <f>IFERROR(VLOOKUP(G126,WholesaleExtract!B:J,6,FALSE),"")</f>
        <v/>
      </c>
      <c r="G126" s="19"/>
      <c r="H126" s="47" t="str">
        <f>IFERROR(VLOOKUP(G126,WholesaleExtract!B:L,11,FALSE),"")</f>
        <v/>
      </c>
      <c r="I126" s="26" t="str">
        <f>IFERROR(VLOOKUP(G126,WholesaleExtract!B:O,8,FALSE),"")</f>
        <v/>
      </c>
      <c r="J126" s="26" t="str">
        <f>IFERROR(VLOOKUP(G126,WholesaleExtract!B:O,14,FALSE),"")</f>
        <v/>
      </c>
      <c r="K126" s="26" t="str">
        <f>IFERROR(VLOOKUP(G126,WholesaleExtract!B:K,10,FALSE),"")</f>
        <v/>
      </c>
      <c r="L126" s="47" t="str">
        <f>IFERROR(VLOOKUP(G126,WholesaleExtract!B:L,11,FALSE),"")</f>
        <v/>
      </c>
      <c r="M126" s="47" t="str">
        <f>IFERROR(VLOOKUP(G126,WholesaleExtract!B:M,12,FALSE),"")</f>
        <v/>
      </c>
      <c r="N126" s="27"/>
      <c r="O126" s="19"/>
      <c r="P126" s="19"/>
      <c r="Q126" s="47"/>
      <c r="R126" s="19"/>
      <c r="S126" s="19"/>
    </row>
    <row r="127" spans="1:19" x14ac:dyDescent="0.35">
      <c r="A127" s="26" t="s">
        <v>543</v>
      </c>
      <c r="B127" s="26" t="s">
        <v>543</v>
      </c>
      <c r="C127" s="26"/>
      <c r="D127" s="26" t="s">
        <v>543</v>
      </c>
      <c r="E127" s="26" t="str">
        <f>IFERROR(VLOOKUP(G127,WholesaleExtract!B:J,9,FALSE),"")</f>
        <v/>
      </c>
      <c r="F127" s="26" t="str">
        <f>IFERROR(VLOOKUP(G127,WholesaleExtract!B:J,6,FALSE),"")</f>
        <v/>
      </c>
      <c r="G127" s="19"/>
      <c r="H127" s="47" t="str">
        <f>IFERROR(VLOOKUP(G127,WholesaleExtract!B:L,11,FALSE),"")</f>
        <v/>
      </c>
      <c r="I127" s="26" t="str">
        <f>IFERROR(VLOOKUP(G127,WholesaleExtract!B:O,8,FALSE),"")</f>
        <v/>
      </c>
      <c r="J127" s="26" t="str">
        <f>IFERROR(VLOOKUP(G127,WholesaleExtract!B:O,14,FALSE),"")</f>
        <v/>
      </c>
      <c r="K127" s="26" t="str">
        <f>IFERROR(VLOOKUP(G127,WholesaleExtract!B:K,10,FALSE),"")</f>
        <v/>
      </c>
      <c r="L127" s="47" t="str">
        <f>IFERROR(VLOOKUP(G127,WholesaleExtract!B:L,11,FALSE),"")</f>
        <v/>
      </c>
      <c r="M127" s="47" t="str">
        <f>IFERROR(VLOOKUP(G127,WholesaleExtract!B:M,12,FALSE),"")</f>
        <v/>
      </c>
      <c r="N127" s="27"/>
      <c r="O127" s="19"/>
      <c r="P127" s="19"/>
      <c r="Q127" s="47"/>
      <c r="R127" s="19"/>
      <c r="S127" s="19"/>
    </row>
    <row r="128" spans="1:19" x14ac:dyDescent="0.35">
      <c r="A128" s="26" t="s">
        <v>543</v>
      </c>
      <c r="B128" s="26" t="s">
        <v>543</v>
      </c>
      <c r="C128" s="26"/>
      <c r="D128" s="26" t="s">
        <v>543</v>
      </c>
      <c r="E128" s="26" t="str">
        <f>IFERROR(VLOOKUP(G128,WholesaleExtract!B:J,9,FALSE),"")</f>
        <v/>
      </c>
      <c r="F128" s="26" t="str">
        <f>IFERROR(VLOOKUP(G128,WholesaleExtract!B:J,6,FALSE),"")</f>
        <v/>
      </c>
      <c r="G128" s="19"/>
      <c r="H128" s="47" t="str">
        <f>IFERROR(VLOOKUP(G128,WholesaleExtract!B:L,11,FALSE),"")</f>
        <v/>
      </c>
      <c r="I128" s="26" t="str">
        <f>IFERROR(VLOOKUP(G128,WholesaleExtract!B:O,8,FALSE),"")</f>
        <v/>
      </c>
      <c r="J128" s="26" t="str">
        <f>IFERROR(VLOOKUP(G128,WholesaleExtract!B:O,14,FALSE),"")</f>
        <v/>
      </c>
      <c r="K128" s="26" t="str">
        <f>IFERROR(VLOOKUP(G128,WholesaleExtract!B:K,10,FALSE),"")</f>
        <v/>
      </c>
      <c r="L128" s="47" t="str">
        <f>IFERROR(VLOOKUP(G128,WholesaleExtract!B:L,11,FALSE),"")</f>
        <v/>
      </c>
      <c r="M128" s="47" t="str">
        <f>IFERROR(VLOOKUP(G128,WholesaleExtract!B:M,12,FALSE),"")</f>
        <v/>
      </c>
      <c r="N128" s="27"/>
      <c r="O128" s="19"/>
      <c r="P128" s="19"/>
      <c r="Q128" s="47"/>
      <c r="R128" s="19"/>
      <c r="S128" s="19"/>
    </row>
    <row r="129" spans="1:19" x14ac:dyDescent="0.35">
      <c r="A129" s="26" t="s">
        <v>543</v>
      </c>
      <c r="B129" s="26" t="s">
        <v>543</v>
      </c>
      <c r="C129" s="26"/>
      <c r="D129" s="26" t="s">
        <v>543</v>
      </c>
      <c r="E129" s="26" t="str">
        <f>IFERROR(VLOOKUP(G129,WholesaleExtract!B:J,9,FALSE),"")</f>
        <v/>
      </c>
      <c r="F129" s="26" t="str">
        <f>IFERROR(VLOOKUP(G129,WholesaleExtract!B:J,6,FALSE),"")</f>
        <v/>
      </c>
      <c r="G129" s="19"/>
      <c r="H129" s="47" t="str">
        <f>IFERROR(VLOOKUP(G129,WholesaleExtract!B:L,11,FALSE),"")</f>
        <v/>
      </c>
      <c r="I129" s="26" t="str">
        <f>IFERROR(VLOOKUP(G129,WholesaleExtract!B:O,8,FALSE),"")</f>
        <v/>
      </c>
      <c r="J129" s="26" t="str">
        <f>IFERROR(VLOOKUP(G129,WholesaleExtract!B:O,14,FALSE),"")</f>
        <v/>
      </c>
      <c r="K129" s="26" t="str">
        <f>IFERROR(VLOOKUP(G129,WholesaleExtract!B:K,10,FALSE),"")</f>
        <v/>
      </c>
      <c r="L129" s="47" t="str">
        <f>IFERROR(VLOOKUP(G129,WholesaleExtract!B:L,11,FALSE),"")</f>
        <v/>
      </c>
      <c r="M129" s="47" t="str">
        <f>IFERROR(VLOOKUP(G129,WholesaleExtract!B:M,12,FALSE),"")</f>
        <v/>
      </c>
      <c r="N129" s="27"/>
      <c r="O129" s="19"/>
      <c r="P129" s="19"/>
      <c r="Q129" s="47"/>
      <c r="R129" s="19"/>
      <c r="S129" s="19"/>
    </row>
    <row r="130" spans="1:19" x14ac:dyDescent="0.35">
      <c r="A130" s="26" t="s">
        <v>543</v>
      </c>
      <c r="B130" s="26" t="s">
        <v>543</v>
      </c>
      <c r="C130" s="26"/>
      <c r="D130" s="26" t="s">
        <v>543</v>
      </c>
      <c r="E130" s="26" t="str">
        <f>IFERROR(VLOOKUP(G130,WholesaleExtract!B:J,9,FALSE),"")</f>
        <v/>
      </c>
      <c r="F130" s="26" t="str">
        <f>IFERROR(VLOOKUP(G130,WholesaleExtract!B:J,6,FALSE),"")</f>
        <v/>
      </c>
      <c r="G130" s="19"/>
      <c r="H130" s="47" t="str">
        <f>IFERROR(VLOOKUP(G130,WholesaleExtract!B:L,11,FALSE),"")</f>
        <v/>
      </c>
      <c r="I130" s="26" t="str">
        <f>IFERROR(VLOOKUP(G130,WholesaleExtract!B:O,8,FALSE),"")</f>
        <v/>
      </c>
      <c r="J130" s="26" t="str">
        <f>IFERROR(VLOOKUP(G130,WholesaleExtract!B:O,14,FALSE),"")</f>
        <v/>
      </c>
      <c r="K130" s="26" t="str">
        <f>IFERROR(VLOOKUP(G130,WholesaleExtract!B:K,10,FALSE),"")</f>
        <v/>
      </c>
      <c r="L130" s="47" t="str">
        <f>IFERROR(VLOOKUP(G130,WholesaleExtract!B:L,11,FALSE),"")</f>
        <v/>
      </c>
      <c r="M130" s="47" t="str">
        <f>IFERROR(VLOOKUP(G130,WholesaleExtract!B:M,12,FALSE),"")</f>
        <v/>
      </c>
      <c r="N130" s="27"/>
      <c r="O130" s="19"/>
      <c r="P130" s="19"/>
      <c r="Q130" s="47"/>
      <c r="R130" s="19"/>
      <c r="S130" s="19"/>
    </row>
    <row r="131" spans="1:19" x14ac:dyDescent="0.35">
      <c r="A131" s="26" t="s">
        <v>543</v>
      </c>
      <c r="B131" s="26" t="s">
        <v>543</v>
      </c>
      <c r="C131" s="26"/>
      <c r="D131" s="26" t="s">
        <v>543</v>
      </c>
      <c r="E131" s="26" t="str">
        <f>IFERROR(VLOOKUP(G131,WholesaleExtract!B:J,9,FALSE),"")</f>
        <v/>
      </c>
      <c r="F131" s="26" t="str">
        <f>IFERROR(VLOOKUP(G131,WholesaleExtract!B:J,6,FALSE),"")</f>
        <v/>
      </c>
      <c r="G131" s="19"/>
      <c r="H131" s="47" t="str">
        <f>IFERROR(VLOOKUP(G131,WholesaleExtract!B:L,11,FALSE),"")</f>
        <v/>
      </c>
      <c r="I131" s="26" t="str">
        <f>IFERROR(VLOOKUP(G131,WholesaleExtract!B:O,8,FALSE),"")</f>
        <v/>
      </c>
      <c r="J131" s="26" t="str">
        <f>IFERROR(VLOOKUP(G131,WholesaleExtract!B:O,14,FALSE),"")</f>
        <v/>
      </c>
      <c r="K131" s="26" t="str">
        <f>IFERROR(VLOOKUP(G131,WholesaleExtract!B:K,10,FALSE),"")</f>
        <v/>
      </c>
      <c r="L131" s="47" t="str">
        <f>IFERROR(VLOOKUP(G131,WholesaleExtract!B:L,11,FALSE),"")</f>
        <v/>
      </c>
      <c r="M131" s="47" t="str">
        <f>IFERROR(VLOOKUP(G131,WholesaleExtract!B:M,12,FALSE),"")</f>
        <v/>
      </c>
      <c r="N131" s="27"/>
      <c r="O131" s="19"/>
      <c r="P131" s="19"/>
      <c r="Q131" s="47"/>
      <c r="R131" s="19"/>
      <c r="S131" s="19"/>
    </row>
    <row r="132" spans="1:19" x14ac:dyDescent="0.35">
      <c r="A132" s="26" t="s">
        <v>543</v>
      </c>
      <c r="B132" s="26" t="s">
        <v>543</v>
      </c>
      <c r="C132" s="26"/>
      <c r="D132" s="26" t="s">
        <v>543</v>
      </c>
      <c r="E132" s="26" t="str">
        <f>IFERROR(VLOOKUP(G132,WholesaleExtract!B:J,9,FALSE),"")</f>
        <v/>
      </c>
      <c r="F132" s="26" t="str">
        <f>IFERROR(VLOOKUP(G132,WholesaleExtract!B:J,6,FALSE),"")</f>
        <v/>
      </c>
      <c r="G132" s="19"/>
      <c r="H132" s="47" t="str">
        <f>IFERROR(VLOOKUP(G132,WholesaleExtract!B:L,11,FALSE),"")</f>
        <v/>
      </c>
      <c r="I132" s="26" t="str">
        <f>IFERROR(VLOOKUP(G132,WholesaleExtract!B:O,8,FALSE),"")</f>
        <v/>
      </c>
      <c r="J132" s="26" t="str">
        <f>IFERROR(VLOOKUP(G132,WholesaleExtract!B:O,14,FALSE),"")</f>
        <v/>
      </c>
      <c r="K132" s="26" t="str">
        <f>IFERROR(VLOOKUP(G132,WholesaleExtract!B:K,10,FALSE),"")</f>
        <v/>
      </c>
      <c r="L132" s="47" t="str">
        <f>IFERROR(VLOOKUP(G132,WholesaleExtract!B:L,11,FALSE),"")</f>
        <v/>
      </c>
      <c r="M132" s="47" t="str">
        <f>IFERROR(VLOOKUP(G132,WholesaleExtract!B:M,12,FALSE),"")</f>
        <v/>
      </c>
      <c r="N132" s="27"/>
      <c r="O132" s="19"/>
      <c r="P132" s="19"/>
      <c r="Q132" s="47"/>
      <c r="R132" s="19"/>
      <c r="S132" s="19"/>
    </row>
    <row r="133" spans="1:19" x14ac:dyDescent="0.35">
      <c r="A133" s="26" t="s">
        <v>543</v>
      </c>
      <c r="B133" s="26" t="s">
        <v>543</v>
      </c>
      <c r="C133" s="26"/>
      <c r="D133" s="26" t="s">
        <v>543</v>
      </c>
      <c r="E133" s="26" t="str">
        <f>IFERROR(VLOOKUP(G133,WholesaleExtract!B:J,9,FALSE),"")</f>
        <v/>
      </c>
      <c r="F133" s="26" t="str">
        <f>IFERROR(VLOOKUP(G133,WholesaleExtract!B:J,6,FALSE),"")</f>
        <v/>
      </c>
      <c r="G133" s="19"/>
      <c r="H133" s="47" t="str">
        <f>IFERROR(VLOOKUP(G133,WholesaleExtract!B:L,11,FALSE),"")</f>
        <v/>
      </c>
      <c r="I133" s="26" t="str">
        <f>IFERROR(VLOOKUP(G133,WholesaleExtract!B:O,8,FALSE),"")</f>
        <v/>
      </c>
      <c r="J133" s="26" t="str">
        <f>IFERROR(VLOOKUP(G133,WholesaleExtract!B:O,14,FALSE),"")</f>
        <v/>
      </c>
      <c r="K133" s="26" t="str">
        <f>IFERROR(VLOOKUP(G133,WholesaleExtract!B:K,10,FALSE),"")</f>
        <v/>
      </c>
      <c r="L133" s="47" t="str">
        <f>IFERROR(VLOOKUP(G133,WholesaleExtract!B:L,11,FALSE),"")</f>
        <v/>
      </c>
      <c r="M133" s="47" t="str">
        <f>IFERROR(VLOOKUP(G133,WholesaleExtract!B:M,12,FALSE),"")</f>
        <v/>
      </c>
      <c r="N133" s="27"/>
      <c r="O133" s="19"/>
      <c r="P133" s="19"/>
      <c r="Q133" s="47"/>
      <c r="R133" s="19"/>
      <c r="S133" s="19"/>
    </row>
    <row r="134" spans="1:19" x14ac:dyDescent="0.35">
      <c r="A134" s="26" t="s">
        <v>543</v>
      </c>
      <c r="B134" s="26" t="s">
        <v>543</v>
      </c>
      <c r="C134" s="26"/>
      <c r="D134" s="26" t="s">
        <v>543</v>
      </c>
      <c r="E134" s="26" t="str">
        <f>IFERROR(VLOOKUP(G134,WholesaleExtract!B:J,9,FALSE),"")</f>
        <v/>
      </c>
      <c r="F134" s="26" t="str">
        <f>IFERROR(VLOOKUP(G134,WholesaleExtract!B:J,6,FALSE),"")</f>
        <v/>
      </c>
      <c r="G134" s="19"/>
      <c r="H134" s="47" t="str">
        <f>IFERROR(VLOOKUP(G134,WholesaleExtract!B:L,11,FALSE),"")</f>
        <v/>
      </c>
      <c r="I134" s="26" t="str">
        <f>IFERROR(VLOOKUP(G134,WholesaleExtract!B:O,8,FALSE),"")</f>
        <v/>
      </c>
      <c r="J134" s="26" t="str">
        <f>IFERROR(VLOOKUP(G134,WholesaleExtract!B:O,14,FALSE),"")</f>
        <v/>
      </c>
      <c r="K134" s="26" t="str">
        <f>IFERROR(VLOOKUP(G134,WholesaleExtract!B:K,10,FALSE),"")</f>
        <v/>
      </c>
      <c r="L134" s="47" t="str">
        <f>IFERROR(VLOOKUP(G134,WholesaleExtract!B:L,11,FALSE),"")</f>
        <v/>
      </c>
      <c r="M134" s="47" t="str">
        <f>IFERROR(VLOOKUP(G134,WholesaleExtract!B:M,12,FALSE),"")</f>
        <v/>
      </c>
      <c r="N134" s="27"/>
      <c r="O134" s="19"/>
      <c r="P134" s="19"/>
      <c r="Q134" s="47"/>
      <c r="R134" s="19"/>
      <c r="S134" s="19"/>
    </row>
    <row r="135" spans="1:19" x14ac:dyDescent="0.35">
      <c r="A135" s="26" t="s">
        <v>543</v>
      </c>
      <c r="B135" s="26" t="s">
        <v>543</v>
      </c>
      <c r="C135" s="26"/>
      <c r="D135" s="26" t="s">
        <v>543</v>
      </c>
      <c r="E135" s="26" t="str">
        <f>IFERROR(VLOOKUP(G135,WholesaleExtract!B:J,9,FALSE),"")</f>
        <v/>
      </c>
      <c r="F135" s="26" t="str">
        <f>IFERROR(VLOOKUP(G135,WholesaleExtract!B:J,6,FALSE),"")</f>
        <v/>
      </c>
      <c r="G135" s="19"/>
      <c r="H135" s="47" t="str">
        <f>IFERROR(VLOOKUP(G135,WholesaleExtract!B:L,11,FALSE),"")</f>
        <v/>
      </c>
      <c r="I135" s="26" t="str">
        <f>IFERROR(VLOOKUP(G135,WholesaleExtract!B:O,8,FALSE),"")</f>
        <v/>
      </c>
      <c r="J135" s="26" t="str">
        <f>IFERROR(VLOOKUP(G135,WholesaleExtract!B:O,14,FALSE),"")</f>
        <v/>
      </c>
      <c r="K135" s="26" t="str">
        <f>IFERROR(VLOOKUP(G135,WholesaleExtract!B:K,10,FALSE),"")</f>
        <v/>
      </c>
      <c r="L135" s="47" t="str">
        <f>IFERROR(VLOOKUP(G135,WholesaleExtract!B:L,11,FALSE),"")</f>
        <v/>
      </c>
      <c r="M135" s="47" t="str">
        <f>IFERROR(VLOOKUP(G135,WholesaleExtract!B:M,12,FALSE),"")</f>
        <v/>
      </c>
      <c r="N135" s="27"/>
      <c r="O135" s="19"/>
      <c r="P135" s="19"/>
      <c r="Q135" s="47"/>
      <c r="R135" s="19"/>
      <c r="S135" s="19"/>
    </row>
    <row r="136" spans="1:19" x14ac:dyDescent="0.35">
      <c r="A136" s="26" t="s">
        <v>543</v>
      </c>
      <c r="B136" s="26" t="s">
        <v>543</v>
      </c>
      <c r="C136" s="26"/>
      <c r="D136" s="26" t="s">
        <v>543</v>
      </c>
      <c r="E136" s="26" t="str">
        <f>IFERROR(VLOOKUP(G136,WholesaleExtract!B:J,9,FALSE),"")</f>
        <v/>
      </c>
      <c r="F136" s="26" t="str">
        <f>IFERROR(VLOOKUP(G136,WholesaleExtract!B:J,6,FALSE),"")</f>
        <v/>
      </c>
      <c r="G136" s="19"/>
      <c r="H136" s="47" t="str">
        <f>IFERROR(VLOOKUP(G136,WholesaleExtract!B:L,11,FALSE),"")</f>
        <v/>
      </c>
      <c r="I136" s="26" t="str">
        <f>IFERROR(VLOOKUP(G136,WholesaleExtract!B:O,8,FALSE),"")</f>
        <v/>
      </c>
      <c r="J136" s="26" t="str">
        <f>IFERROR(VLOOKUP(G136,WholesaleExtract!B:O,14,FALSE),"")</f>
        <v/>
      </c>
      <c r="K136" s="26" t="str">
        <f>IFERROR(VLOOKUP(G136,WholesaleExtract!B:K,10,FALSE),"")</f>
        <v/>
      </c>
      <c r="L136" s="47" t="str">
        <f>IFERROR(VLOOKUP(G136,WholesaleExtract!B:L,11,FALSE),"")</f>
        <v/>
      </c>
      <c r="M136" s="47" t="str">
        <f>IFERROR(VLOOKUP(G136,WholesaleExtract!B:M,12,FALSE),"")</f>
        <v/>
      </c>
      <c r="N136" s="27"/>
      <c r="O136" s="19"/>
      <c r="P136" s="19"/>
      <c r="Q136" s="47"/>
      <c r="R136" s="19"/>
      <c r="S136" s="19"/>
    </row>
    <row r="137" spans="1:19" x14ac:dyDescent="0.35">
      <c r="A137" s="26" t="s">
        <v>543</v>
      </c>
      <c r="B137" s="26" t="s">
        <v>543</v>
      </c>
      <c r="C137" s="26"/>
      <c r="D137" s="26" t="s">
        <v>543</v>
      </c>
      <c r="E137" s="26" t="str">
        <f>IFERROR(VLOOKUP(G137,WholesaleExtract!B:J,9,FALSE),"")</f>
        <v/>
      </c>
      <c r="F137" s="26" t="str">
        <f>IFERROR(VLOOKUP(G137,WholesaleExtract!B:J,6,FALSE),"")</f>
        <v/>
      </c>
      <c r="G137" s="19"/>
      <c r="H137" s="47" t="str">
        <f>IFERROR(VLOOKUP(G137,WholesaleExtract!B:L,11,FALSE),"")</f>
        <v/>
      </c>
      <c r="I137" s="26" t="str">
        <f>IFERROR(VLOOKUP(G137,WholesaleExtract!B:O,8,FALSE),"")</f>
        <v/>
      </c>
      <c r="J137" s="26" t="str">
        <f>IFERROR(VLOOKUP(G137,WholesaleExtract!B:O,14,FALSE),"")</f>
        <v/>
      </c>
      <c r="K137" s="26" t="str">
        <f>IFERROR(VLOOKUP(G137,WholesaleExtract!B:K,10,FALSE),"")</f>
        <v/>
      </c>
      <c r="L137" s="47" t="str">
        <f>IFERROR(VLOOKUP(G137,WholesaleExtract!B:L,11,FALSE),"")</f>
        <v/>
      </c>
      <c r="M137" s="47" t="str">
        <f>IFERROR(VLOOKUP(G137,WholesaleExtract!B:M,12,FALSE),"")</f>
        <v/>
      </c>
      <c r="N137" s="27"/>
      <c r="O137" s="19"/>
      <c r="P137" s="19"/>
      <c r="Q137" s="47"/>
      <c r="R137" s="19"/>
      <c r="S137" s="19"/>
    </row>
    <row r="138" spans="1:19" x14ac:dyDescent="0.35">
      <c r="A138" s="26" t="s">
        <v>543</v>
      </c>
      <c r="B138" s="26" t="s">
        <v>543</v>
      </c>
      <c r="C138" s="26"/>
      <c r="D138" s="26" t="s">
        <v>543</v>
      </c>
      <c r="E138" s="26" t="str">
        <f>IFERROR(VLOOKUP(G138,WholesaleExtract!B:J,9,FALSE),"")</f>
        <v/>
      </c>
      <c r="F138" s="26" t="str">
        <f>IFERROR(VLOOKUP(G138,WholesaleExtract!B:J,6,FALSE),"")</f>
        <v/>
      </c>
      <c r="G138" s="19"/>
      <c r="H138" s="47" t="str">
        <f>IFERROR(VLOOKUP(G138,WholesaleExtract!B:L,11,FALSE),"")</f>
        <v/>
      </c>
      <c r="I138" s="26" t="str">
        <f>IFERROR(VLOOKUP(G138,WholesaleExtract!B:O,8,FALSE),"")</f>
        <v/>
      </c>
      <c r="J138" s="26" t="str">
        <f>IFERROR(VLOOKUP(G138,WholesaleExtract!B:O,14,FALSE),"")</f>
        <v/>
      </c>
      <c r="K138" s="26" t="str">
        <f>IFERROR(VLOOKUP(G138,WholesaleExtract!B:K,10,FALSE),"")</f>
        <v/>
      </c>
      <c r="L138" s="47" t="str">
        <f>IFERROR(VLOOKUP(G138,WholesaleExtract!B:L,11,FALSE),"")</f>
        <v/>
      </c>
      <c r="M138" s="47" t="str">
        <f>IFERROR(VLOOKUP(G138,WholesaleExtract!B:M,12,FALSE),"")</f>
        <v/>
      </c>
      <c r="N138" s="27"/>
      <c r="O138" s="19"/>
      <c r="P138" s="19"/>
      <c r="Q138" s="47"/>
      <c r="R138" s="19"/>
      <c r="S138" s="19"/>
    </row>
    <row r="139" spans="1:19" x14ac:dyDescent="0.35">
      <c r="A139" s="26" t="s">
        <v>543</v>
      </c>
      <c r="B139" s="26" t="s">
        <v>543</v>
      </c>
      <c r="C139" s="26"/>
      <c r="D139" s="26" t="s">
        <v>543</v>
      </c>
      <c r="E139" s="26" t="str">
        <f>IFERROR(VLOOKUP(G139,WholesaleExtract!B:J,9,FALSE),"")</f>
        <v/>
      </c>
      <c r="F139" s="26" t="str">
        <f>IFERROR(VLOOKUP(G139,WholesaleExtract!B:J,6,FALSE),"")</f>
        <v/>
      </c>
      <c r="G139" s="19"/>
      <c r="H139" s="47" t="str">
        <f>IFERROR(VLOOKUP(G139,WholesaleExtract!B:L,11,FALSE),"")</f>
        <v/>
      </c>
      <c r="I139" s="26" t="str">
        <f>IFERROR(VLOOKUP(G139,WholesaleExtract!B:O,8,FALSE),"")</f>
        <v/>
      </c>
      <c r="J139" s="26" t="str">
        <f>IFERROR(VLOOKUP(G139,WholesaleExtract!B:O,14,FALSE),"")</f>
        <v/>
      </c>
      <c r="K139" s="26" t="str">
        <f>IFERROR(VLOOKUP(G139,WholesaleExtract!B:K,10,FALSE),"")</f>
        <v/>
      </c>
      <c r="L139" s="47" t="str">
        <f>IFERROR(VLOOKUP(G139,WholesaleExtract!B:L,11,FALSE),"")</f>
        <v/>
      </c>
      <c r="M139" s="47" t="str">
        <f>IFERROR(VLOOKUP(G139,WholesaleExtract!B:M,12,FALSE),"")</f>
        <v/>
      </c>
      <c r="N139" s="27"/>
      <c r="O139" s="19"/>
      <c r="P139" s="19"/>
      <c r="Q139" s="47"/>
      <c r="R139" s="19"/>
      <c r="S139" s="19"/>
    </row>
    <row r="140" spans="1:19" x14ac:dyDescent="0.35">
      <c r="A140" s="26" t="s">
        <v>543</v>
      </c>
      <c r="B140" s="26" t="s">
        <v>543</v>
      </c>
      <c r="C140" s="26"/>
      <c r="D140" s="26" t="s">
        <v>543</v>
      </c>
      <c r="E140" s="26" t="str">
        <f>IFERROR(VLOOKUP(G140,WholesaleExtract!B:J,9,FALSE),"")</f>
        <v/>
      </c>
      <c r="F140" s="26" t="str">
        <f>IFERROR(VLOOKUP(G140,WholesaleExtract!B:J,6,FALSE),"")</f>
        <v/>
      </c>
      <c r="G140" s="19"/>
      <c r="H140" s="47" t="str">
        <f>IFERROR(VLOOKUP(G140,WholesaleExtract!B:L,11,FALSE),"")</f>
        <v/>
      </c>
      <c r="I140" s="26" t="str">
        <f>IFERROR(VLOOKUP(G140,WholesaleExtract!B:O,8,FALSE),"")</f>
        <v/>
      </c>
      <c r="J140" s="26" t="str">
        <f>IFERROR(VLOOKUP(G140,WholesaleExtract!B:O,14,FALSE),"")</f>
        <v/>
      </c>
      <c r="K140" s="26" t="str">
        <f>IFERROR(VLOOKUP(G140,WholesaleExtract!B:K,10,FALSE),"")</f>
        <v/>
      </c>
      <c r="L140" s="47" t="str">
        <f>IFERROR(VLOOKUP(G140,WholesaleExtract!B:L,11,FALSE),"")</f>
        <v/>
      </c>
      <c r="M140" s="47" t="str">
        <f>IFERROR(VLOOKUP(G140,WholesaleExtract!B:M,12,FALSE),"")</f>
        <v/>
      </c>
      <c r="N140" s="27"/>
      <c r="O140" s="19"/>
      <c r="P140" s="19"/>
      <c r="Q140" s="47"/>
      <c r="R140" s="19"/>
      <c r="S140" s="19"/>
    </row>
    <row r="141" spans="1:19" x14ac:dyDescent="0.35">
      <c r="A141" s="26" t="s">
        <v>543</v>
      </c>
      <c r="B141" s="26" t="s">
        <v>543</v>
      </c>
      <c r="C141" s="26"/>
      <c r="D141" s="26" t="s">
        <v>543</v>
      </c>
      <c r="E141" s="26" t="str">
        <f>IFERROR(VLOOKUP(G141,WholesaleExtract!B:J,9,FALSE),"")</f>
        <v/>
      </c>
      <c r="F141" s="26" t="str">
        <f>IFERROR(VLOOKUP(G141,WholesaleExtract!B:J,6,FALSE),"")</f>
        <v/>
      </c>
      <c r="G141" s="19"/>
      <c r="H141" s="47" t="str">
        <f>IFERROR(VLOOKUP(G141,WholesaleExtract!B:L,11,FALSE),"")</f>
        <v/>
      </c>
      <c r="I141" s="26" t="str">
        <f>IFERROR(VLOOKUP(G141,WholesaleExtract!B:O,8,FALSE),"")</f>
        <v/>
      </c>
      <c r="J141" s="26" t="str">
        <f>IFERROR(VLOOKUP(G141,WholesaleExtract!B:O,14,FALSE),"")</f>
        <v/>
      </c>
      <c r="K141" s="26" t="str">
        <f>IFERROR(VLOOKUP(G141,WholesaleExtract!B:K,10,FALSE),"")</f>
        <v/>
      </c>
      <c r="L141" s="47" t="str">
        <f>IFERROR(VLOOKUP(G141,WholesaleExtract!B:L,11,FALSE),"")</f>
        <v/>
      </c>
      <c r="M141" s="47" t="str">
        <f>IFERROR(VLOOKUP(G141,WholesaleExtract!B:M,12,FALSE),"")</f>
        <v/>
      </c>
      <c r="N141" s="27"/>
      <c r="O141" s="19"/>
      <c r="P141" s="19"/>
      <c r="Q141" s="47"/>
      <c r="R141" s="19"/>
      <c r="S141" s="19"/>
    </row>
    <row r="142" spans="1:19" x14ac:dyDescent="0.35">
      <c r="A142" s="26" t="s">
        <v>543</v>
      </c>
      <c r="B142" s="26" t="s">
        <v>543</v>
      </c>
      <c r="C142" s="26"/>
      <c r="D142" s="26" t="s">
        <v>543</v>
      </c>
      <c r="E142" s="26" t="str">
        <f>IFERROR(VLOOKUP(G142,WholesaleExtract!B:J,9,FALSE),"")</f>
        <v/>
      </c>
      <c r="F142" s="26" t="str">
        <f>IFERROR(VLOOKUP(G142,WholesaleExtract!B:J,6,FALSE),"")</f>
        <v/>
      </c>
      <c r="G142" s="19"/>
      <c r="H142" s="47" t="str">
        <f>IFERROR(VLOOKUP(G142,WholesaleExtract!B:L,11,FALSE),"")</f>
        <v/>
      </c>
      <c r="I142" s="26" t="str">
        <f>IFERROR(VLOOKUP(G142,WholesaleExtract!B:O,8,FALSE),"")</f>
        <v/>
      </c>
      <c r="J142" s="26" t="str">
        <f>IFERROR(VLOOKUP(G142,WholesaleExtract!B:O,14,FALSE),"")</f>
        <v/>
      </c>
      <c r="K142" s="26" t="str">
        <f>IFERROR(VLOOKUP(G142,WholesaleExtract!B:K,10,FALSE),"")</f>
        <v/>
      </c>
      <c r="L142" s="47" t="str">
        <f>IFERROR(VLOOKUP(G142,WholesaleExtract!B:L,11,FALSE),"")</f>
        <v/>
      </c>
      <c r="M142" s="47" t="str">
        <f>IFERROR(VLOOKUP(G142,WholesaleExtract!B:M,12,FALSE),"")</f>
        <v/>
      </c>
      <c r="N142" s="27"/>
      <c r="O142" s="19"/>
      <c r="P142" s="19"/>
      <c r="Q142" s="47"/>
      <c r="R142" s="19"/>
      <c r="S142" s="19"/>
    </row>
    <row r="143" spans="1:19" x14ac:dyDescent="0.35">
      <c r="A143" s="26" t="s">
        <v>543</v>
      </c>
      <c r="B143" s="26" t="s">
        <v>543</v>
      </c>
      <c r="C143" s="26"/>
      <c r="D143" s="26" t="s">
        <v>543</v>
      </c>
      <c r="E143" s="26" t="str">
        <f>IFERROR(VLOOKUP(G143,WholesaleExtract!B:J,9,FALSE),"")</f>
        <v/>
      </c>
      <c r="F143" s="26" t="str">
        <f>IFERROR(VLOOKUP(G143,WholesaleExtract!B:J,6,FALSE),"")</f>
        <v/>
      </c>
      <c r="G143" s="19"/>
      <c r="H143" s="47" t="str">
        <f>IFERROR(VLOOKUP(G143,WholesaleExtract!B:L,11,FALSE),"")</f>
        <v/>
      </c>
      <c r="I143" s="26" t="str">
        <f>IFERROR(VLOOKUP(G143,WholesaleExtract!B:O,8,FALSE),"")</f>
        <v/>
      </c>
      <c r="J143" s="26" t="str">
        <f>IFERROR(VLOOKUP(G143,WholesaleExtract!B:O,14,FALSE),"")</f>
        <v/>
      </c>
      <c r="K143" s="26" t="str">
        <f>IFERROR(VLOOKUP(G143,WholesaleExtract!B:K,10,FALSE),"")</f>
        <v/>
      </c>
      <c r="L143" s="47" t="str">
        <f>IFERROR(VLOOKUP(G143,WholesaleExtract!B:L,11,FALSE),"")</f>
        <v/>
      </c>
      <c r="M143" s="47" t="str">
        <f>IFERROR(VLOOKUP(G143,WholesaleExtract!B:M,12,FALSE),"")</f>
        <v/>
      </c>
      <c r="N143" s="27"/>
      <c r="O143" s="19"/>
      <c r="P143" s="19"/>
      <c r="Q143" s="47"/>
      <c r="R143" s="19"/>
      <c r="S143" s="19"/>
    </row>
    <row r="144" spans="1:19" x14ac:dyDescent="0.35">
      <c r="A144" s="26" t="s">
        <v>543</v>
      </c>
      <c r="B144" s="26" t="s">
        <v>543</v>
      </c>
      <c r="C144" s="26"/>
      <c r="D144" s="26" t="s">
        <v>543</v>
      </c>
      <c r="E144" s="26" t="str">
        <f>IFERROR(VLOOKUP(G144,WholesaleExtract!B:J,9,FALSE),"")</f>
        <v/>
      </c>
      <c r="F144" s="26" t="str">
        <f>IFERROR(VLOOKUP(G144,WholesaleExtract!B:J,6,FALSE),"")</f>
        <v/>
      </c>
      <c r="G144" s="19"/>
      <c r="H144" s="47" t="str">
        <f>IFERROR(VLOOKUP(G144,WholesaleExtract!B:L,11,FALSE),"")</f>
        <v/>
      </c>
      <c r="I144" s="26" t="str">
        <f>IFERROR(VLOOKUP(G144,WholesaleExtract!B:O,8,FALSE),"")</f>
        <v/>
      </c>
      <c r="J144" s="26" t="str">
        <f>IFERROR(VLOOKUP(G144,WholesaleExtract!B:O,14,FALSE),"")</f>
        <v/>
      </c>
      <c r="K144" s="26" t="str">
        <f>IFERROR(VLOOKUP(G144,WholesaleExtract!B:K,10,FALSE),"")</f>
        <v/>
      </c>
      <c r="L144" s="47" t="str">
        <f>IFERROR(VLOOKUP(G144,WholesaleExtract!B:L,11,FALSE),"")</f>
        <v/>
      </c>
      <c r="M144" s="47" t="str">
        <f>IFERROR(VLOOKUP(G144,WholesaleExtract!B:M,12,FALSE),"")</f>
        <v/>
      </c>
      <c r="N144" s="27"/>
      <c r="O144" s="19"/>
      <c r="P144" s="19"/>
      <c r="Q144" s="47"/>
      <c r="R144" s="19"/>
      <c r="S144" s="19"/>
    </row>
    <row r="145" spans="1:19" x14ac:dyDescent="0.35">
      <c r="A145" s="26" t="s">
        <v>543</v>
      </c>
      <c r="B145" s="26" t="s">
        <v>543</v>
      </c>
      <c r="C145" s="26"/>
      <c r="D145" s="26" t="s">
        <v>543</v>
      </c>
      <c r="E145" s="26" t="str">
        <f>IFERROR(VLOOKUP(G145,WholesaleExtract!B:J,9,FALSE),"")</f>
        <v/>
      </c>
      <c r="F145" s="26" t="str">
        <f>IFERROR(VLOOKUP(G145,WholesaleExtract!B:J,6,FALSE),"")</f>
        <v/>
      </c>
      <c r="G145" s="19"/>
      <c r="H145" s="47" t="str">
        <f>IFERROR(VLOOKUP(G145,WholesaleExtract!B:L,11,FALSE),"")</f>
        <v/>
      </c>
      <c r="I145" s="26" t="str">
        <f>IFERROR(VLOOKUP(G145,WholesaleExtract!B:O,8,FALSE),"")</f>
        <v/>
      </c>
      <c r="J145" s="26" t="str">
        <f>IFERROR(VLOOKUP(G145,WholesaleExtract!B:O,14,FALSE),"")</f>
        <v/>
      </c>
      <c r="K145" s="26" t="str">
        <f>IFERROR(VLOOKUP(G145,WholesaleExtract!B:K,10,FALSE),"")</f>
        <v/>
      </c>
      <c r="L145" s="47" t="str">
        <f>IFERROR(VLOOKUP(G145,WholesaleExtract!B:L,11,FALSE),"")</f>
        <v/>
      </c>
      <c r="M145" s="47" t="str">
        <f>IFERROR(VLOOKUP(G145,WholesaleExtract!B:M,12,FALSE),"")</f>
        <v/>
      </c>
      <c r="N145" s="27"/>
      <c r="O145" s="19"/>
      <c r="P145" s="19"/>
      <c r="Q145" s="47"/>
      <c r="R145" s="19"/>
      <c r="S145" s="19"/>
    </row>
    <row r="146" spans="1:19" x14ac:dyDescent="0.35">
      <c r="A146" s="26" t="s">
        <v>543</v>
      </c>
      <c r="B146" s="26" t="s">
        <v>543</v>
      </c>
      <c r="C146" s="26"/>
      <c r="D146" s="26" t="s">
        <v>543</v>
      </c>
      <c r="E146" s="26" t="str">
        <f>IFERROR(VLOOKUP(G146,WholesaleExtract!B:J,9,FALSE),"")</f>
        <v/>
      </c>
      <c r="F146" s="26" t="str">
        <f>IFERROR(VLOOKUP(G146,WholesaleExtract!B:J,6,FALSE),"")</f>
        <v/>
      </c>
      <c r="G146" s="19"/>
      <c r="H146" s="47" t="str">
        <f>IFERROR(VLOOKUP(G146,WholesaleExtract!B:L,11,FALSE),"")</f>
        <v/>
      </c>
      <c r="I146" s="26" t="str">
        <f>IFERROR(VLOOKUP(G146,WholesaleExtract!B:O,8,FALSE),"")</f>
        <v/>
      </c>
      <c r="J146" s="26" t="str">
        <f>IFERROR(VLOOKUP(G146,WholesaleExtract!B:O,14,FALSE),"")</f>
        <v/>
      </c>
      <c r="K146" s="26" t="str">
        <f>IFERROR(VLOOKUP(G146,WholesaleExtract!B:K,10,FALSE),"")</f>
        <v/>
      </c>
      <c r="L146" s="47" t="str">
        <f>IFERROR(VLOOKUP(G146,WholesaleExtract!B:L,11,FALSE),"")</f>
        <v/>
      </c>
      <c r="M146" s="47" t="str">
        <f>IFERROR(VLOOKUP(G146,WholesaleExtract!B:M,12,FALSE),"")</f>
        <v/>
      </c>
      <c r="N146" s="27"/>
      <c r="O146" s="19"/>
      <c r="P146" s="19"/>
      <c r="Q146" s="47"/>
      <c r="R146" s="19"/>
      <c r="S146" s="19"/>
    </row>
    <row r="147" spans="1:19" x14ac:dyDescent="0.35">
      <c r="A147" s="26" t="s">
        <v>543</v>
      </c>
      <c r="B147" s="26" t="s">
        <v>543</v>
      </c>
      <c r="C147" s="26"/>
      <c r="D147" s="26" t="s">
        <v>543</v>
      </c>
      <c r="E147" s="26" t="str">
        <f>IFERROR(VLOOKUP(G147,WholesaleExtract!B:J,9,FALSE),"")</f>
        <v/>
      </c>
      <c r="F147" s="26" t="str">
        <f>IFERROR(VLOOKUP(G147,WholesaleExtract!B:J,6,FALSE),"")</f>
        <v/>
      </c>
      <c r="G147" s="19"/>
      <c r="H147" s="47" t="str">
        <f>IFERROR(VLOOKUP(G147,WholesaleExtract!B:L,11,FALSE),"")</f>
        <v/>
      </c>
      <c r="I147" s="26" t="str">
        <f>IFERROR(VLOOKUP(G147,WholesaleExtract!B:O,8,FALSE),"")</f>
        <v/>
      </c>
      <c r="J147" s="26" t="str">
        <f>IFERROR(VLOOKUP(G147,WholesaleExtract!B:O,14,FALSE),"")</f>
        <v/>
      </c>
      <c r="K147" s="26" t="str">
        <f>IFERROR(VLOOKUP(G147,WholesaleExtract!B:K,10,FALSE),"")</f>
        <v/>
      </c>
      <c r="L147" s="47" t="str">
        <f>IFERROR(VLOOKUP(G147,WholesaleExtract!B:L,11,FALSE),"")</f>
        <v/>
      </c>
      <c r="M147" s="47" t="str">
        <f>IFERROR(VLOOKUP(G147,WholesaleExtract!B:M,12,FALSE),"")</f>
        <v/>
      </c>
      <c r="N147" s="27"/>
      <c r="O147" s="19"/>
      <c r="P147" s="19"/>
      <c r="Q147" s="47"/>
      <c r="R147" s="19"/>
      <c r="S147" s="19"/>
    </row>
    <row r="148" spans="1:19" x14ac:dyDescent="0.35">
      <c r="A148" s="26" t="s">
        <v>543</v>
      </c>
      <c r="B148" s="26" t="s">
        <v>543</v>
      </c>
      <c r="C148" s="26"/>
      <c r="D148" s="26" t="s">
        <v>543</v>
      </c>
      <c r="E148" s="26" t="str">
        <f>IFERROR(VLOOKUP(G148,WholesaleExtract!B:J,9,FALSE),"")</f>
        <v/>
      </c>
      <c r="F148" s="26" t="str">
        <f>IFERROR(VLOOKUP(G148,WholesaleExtract!B:J,6,FALSE),"")</f>
        <v/>
      </c>
      <c r="G148" s="19"/>
      <c r="H148" s="47" t="str">
        <f>IFERROR(VLOOKUP(G148,WholesaleExtract!B:L,11,FALSE),"")</f>
        <v/>
      </c>
      <c r="I148" s="26" t="str">
        <f>IFERROR(VLOOKUP(G148,WholesaleExtract!B:O,8,FALSE),"")</f>
        <v/>
      </c>
      <c r="J148" s="26" t="str">
        <f>IFERROR(VLOOKUP(G148,WholesaleExtract!B:O,14,FALSE),"")</f>
        <v/>
      </c>
      <c r="K148" s="26" t="str">
        <f>IFERROR(VLOOKUP(G148,WholesaleExtract!B:K,10,FALSE),"")</f>
        <v/>
      </c>
      <c r="L148" s="47" t="str">
        <f>IFERROR(VLOOKUP(G148,WholesaleExtract!B:L,11,FALSE),"")</f>
        <v/>
      </c>
      <c r="M148" s="47" t="str">
        <f>IFERROR(VLOOKUP(G148,WholesaleExtract!B:M,12,FALSE),"")</f>
        <v/>
      </c>
      <c r="N148" s="27"/>
      <c r="O148" s="19"/>
      <c r="P148" s="19"/>
      <c r="Q148" s="47"/>
      <c r="R148" s="19"/>
      <c r="S148" s="19"/>
    </row>
    <row r="149" spans="1:19" x14ac:dyDescent="0.35">
      <c r="A149" s="26" t="s">
        <v>543</v>
      </c>
      <c r="B149" s="26" t="s">
        <v>543</v>
      </c>
      <c r="C149" s="26"/>
      <c r="D149" s="26" t="s">
        <v>543</v>
      </c>
      <c r="E149" s="26" t="str">
        <f>IFERROR(VLOOKUP(G149,WholesaleExtract!B:J,9,FALSE),"")</f>
        <v/>
      </c>
      <c r="F149" s="26" t="str">
        <f>IFERROR(VLOOKUP(G149,WholesaleExtract!B:J,6,FALSE),"")</f>
        <v/>
      </c>
      <c r="G149" s="19"/>
      <c r="H149" s="47" t="str">
        <f>IFERROR(VLOOKUP(G149,WholesaleExtract!B:L,11,FALSE),"")</f>
        <v/>
      </c>
      <c r="I149" s="26" t="str">
        <f>IFERROR(VLOOKUP(G149,WholesaleExtract!B:O,8,FALSE),"")</f>
        <v/>
      </c>
      <c r="J149" s="26" t="str">
        <f>IFERROR(VLOOKUP(G149,WholesaleExtract!B:O,14,FALSE),"")</f>
        <v/>
      </c>
      <c r="K149" s="26" t="str">
        <f>IFERROR(VLOOKUP(G149,WholesaleExtract!B:K,10,FALSE),"")</f>
        <v/>
      </c>
      <c r="L149" s="47" t="str">
        <f>IFERROR(VLOOKUP(G149,WholesaleExtract!B:L,11,FALSE),"")</f>
        <v/>
      </c>
      <c r="M149" s="47" t="str">
        <f>IFERROR(VLOOKUP(G149,WholesaleExtract!B:M,12,FALSE),"")</f>
        <v/>
      </c>
      <c r="N149" s="27"/>
      <c r="O149" s="19"/>
      <c r="P149" s="19"/>
      <c r="Q149" s="47"/>
      <c r="R149" s="19"/>
      <c r="S149" s="19"/>
    </row>
    <row r="150" spans="1:19" x14ac:dyDescent="0.35">
      <c r="A150" s="26" t="s">
        <v>543</v>
      </c>
      <c r="B150" s="26" t="s">
        <v>543</v>
      </c>
      <c r="C150" s="26"/>
      <c r="D150" s="26" t="s">
        <v>543</v>
      </c>
      <c r="E150" s="26" t="str">
        <f>IFERROR(VLOOKUP(G150,WholesaleExtract!B:J,9,FALSE),"")</f>
        <v/>
      </c>
      <c r="F150" s="26" t="str">
        <f>IFERROR(VLOOKUP(G150,WholesaleExtract!B:J,6,FALSE),"")</f>
        <v/>
      </c>
      <c r="G150" s="19"/>
      <c r="H150" s="47" t="str">
        <f>IFERROR(VLOOKUP(G150,WholesaleExtract!B:L,11,FALSE),"")</f>
        <v/>
      </c>
      <c r="I150" s="26" t="str">
        <f>IFERROR(VLOOKUP(G150,WholesaleExtract!B:O,8,FALSE),"")</f>
        <v/>
      </c>
      <c r="J150" s="26" t="str">
        <f>IFERROR(VLOOKUP(G150,WholesaleExtract!B:O,14,FALSE),"")</f>
        <v/>
      </c>
      <c r="K150" s="26" t="str">
        <f>IFERROR(VLOOKUP(G150,WholesaleExtract!B:K,10,FALSE),"")</f>
        <v/>
      </c>
      <c r="L150" s="47" t="str">
        <f>IFERROR(VLOOKUP(G150,WholesaleExtract!B:L,11,FALSE),"")</f>
        <v/>
      </c>
      <c r="M150" s="47" t="str">
        <f>IFERROR(VLOOKUP(G150,WholesaleExtract!B:M,12,FALSE),"")</f>
        <v/>
      </c>
      <c r="N150" s="27"/>
      <c r="O150" s="19"/>
      <c r="P150" s="19"/>
      <c r="Q150" s="47"/>
      <c r="R150" s="19"/>
      <c r="S150" s="19"/>
    </row>
    <row r="151" spans="1:19" x14ac:dyDescent="0.35">
      <c r="A151" s="26" t="s">
        <v>543</v>
      </c>
      <c r="B151" s="26" t="s">
        <v>543</v>
      </c>
      <c r="C151" s="26"/>
      <c r="D151" s="26" t="s">
        <v>543</v>
      </c>
      <c r="E151" s="26" t="str">
        <f>IFERROR(VLOOKUP(G151,WholesaleExtract!B:J,9,FALSE),"")</f>
        <v/>
      </c>
      <c r="F151" s="26" t="str">
        <f>IFERROR(VLOOKUP(G151,WholesaleExtract!B:J,6,FALSE),"")</f>
        <v/>
      </c>
      <c r="G151" s="19"/>
      <c r="H151" s="47" t="str">
        <f>IFERROR(VLOOKUP(G151,WholesaleExtract!B:L,11,FALSE),"")</f>
        <v/>
      </c>
      <c r="I151" s="26" t="str">
        <f>IFERROR(VLOOKUP(G151,WholesaleExtract!B:O,8,FALSE),"")</f>
        <v/>
      </c>
      <c r="J151" s="26" t="str">
        <f>IFERROR(VLOOKUP(G151,WholesaleExtract!B:O,14,FALSE),"")</f>
        <v/>
      </c>
      <c r="K151" s="26" t="str">
        <f>IFERROR(VLOOKUP(G151,WholesaleExtract!B:K,10,FALSE),"")</f>
        <v/>
      </c>
      <c r="L151" s="47" t="str">
        <f>IFERROR(VLOOKUP(G151,WholesaleExtract!B:L,11,FALSE),"")</f>
        <v/>
      </c>
      <c r="M151" s="47" t="str">
        <f>IFERROR(VLOOKUP(G151,WholesaleExtract!B:M,12,FALSE),"")</f>
        <v/>
      </c>
      <c r="N151" s="27"/>
      <c r="O151" s="19"/>
      <c r="P151" s="19"/>
      <c r="Q151" s="47"/>
      <c r="R151" s="19"/>
      <c r="S151" s="19"/>
    </row>
    <row r="152" spans="1:19" x14ac:dyDescent="0.35">
      <c r="A152" s="26" t="s">
        <v>543</v>
      </c>
      <c r="B152" s="26" t="s">
        <v>543</v>
      </c>
      <c r="C152" s="26"/>
      <c r="D152" s="26" t="s">
        <v>543</v>
      </c>
      <c r="E152" s="26" t="str">
        <f>IFERROR(VLOOKUP(G152,WholesaleExtract!B:J,9,FALSE),"")</f>
        <v/>
      </c>
      <c r="F152" s="26" t="str">
        <f>IFERROR(VLOOKUP(G152,WholesaleExtract!B:J,6,FALSE),"")</f>
        <v/>
      </c>
      <c r="G152" s="19"/>
      <c r="H152" s="47" t="str">
        <f>IFERROR(VLOOKUP(G152,WholesaleExtract!B:L,11,FALSE),"")</f>
        <v/>
      </c>
      <c r="I152" s="26" t="str">
        <f>IFERROR(VLOOKUP(G152,WholesaleExtract!B:O,8,FALSE),"")</f>
        <v/>
      </c>
      <c r="J152" s="26" t="str">
        <f>IFERROR(VLOOKUP(G152,WholesaleExtract!B:O,14,FALSE),"")</f>
        <v/>
      </c>
      <c r="K152" s="26" t="str">
        <f>IFERROR(VLOOKUP(G152,WholesaleExtract!B:K,10,FALSE),"")</f>
        <v/>
      </c>
      <c r="L152" s="47" t="str">
        <f>IFERROR(VLOOKUP(G152,WholesaleExtract!B:L,11,FALSE),"")</f>
        <v/>
      </c>
      <c r="M152" s="47" t="str">
        <f>IFERROR(VLOOKUP(G152,WholesaleExtract!B:M,12,FALSE),"")</f>
        <v/>
      </c>
      <c r="N152" s="27"/>
      <c r="O152" s="19"/>
      <c r="P152" s="19"/>
      <c r="Q152" s="47"/>
      <c r="R152" s="19"/>
      <c r="S152" s="19"/>
    </row>
    <row r="153" spans="1:19" x14ac:dyDescent="0.35">
      <c r="A153" s="26" t="s">
        <v>543</v>
      </c>
      <c r="B153" s="26" t="s">
        <v>543</v>
      </c>
      <c r="C153" s="26"/>
      <c r="D153" s="26" t="s">
        <v>543</v>
      </c>
      <c r="E153" s="26" t="str">
        <f>IFERROR(VLOOKUP(G153,WholesaleExtract!B:J,9,FALSE),"")</f>
        <v/>
      </c>
      <c r="F153" s="26" t="str">
        <f>IFERROR(VLOOKUP(G153,WholesaleExtract!B:J,6,FALSE),"")</f>
        <v/>
      </c>
      <c r="G153" s="19"/>
      <c r="H153" s="47" t="str">
        <f>IFERROR(VLOOKUP(G153,WholesaleExtract!B:L,11,FALSE),"")</f>
        <v/>
      </c>
      <c r="I153" s="26" t="str">
        <f>IFERROR(VLOOKUP(G153,WholesaleExtract!B:O,8,FALSE),"")</f>
        <v/>
      </c>
      <c r="J153" s="26" t="str">
        <f>IFERROR(VLOOKUP(G153,WholesaleExtract!B:O,14,FALSE),"")</f>
        <v/>
      </c>
      <c r="K153" s="26" t="str">
        <f>IFERROR(VLOOKUP(G153,WholesaleExtract!B:K,10,FALSE),"")</f>
        <v/>
      </c>
      <c r="L153" s="47" t="str">
        <f>IFERROR(VLOOKUP(G153,WholesaleExtract!B:L,11,FALSE),"")</f>
        <v/>
      </c>
      <c r="M153" s="47" t="str">
        <f>IFERROR(VLOOKUP(G153,WholesaleExtract!B:M,12,FALSE),"")</f>
        <v/>
      </c>
      <c r="N153" s="27"/>
      <c r="O153" s="19"/>
      <c r="P153" s="19"/>
      <c r="Q153" s="47"/>
      <c r="R153" s="19"/>
      <c r="S153" s="19"/>
    </row>
    <row r="154" spans="1:19" x14ac:dyDescent="0.35">
      <c r="A154" s="26" t="s">
        <v>543</v>
      </c>
      <c r="B154" s="26" t="s">
        <v>543</v>
      </c>
      <c r="C154" s="26"/>
      <c r="D154" s="26" t="s">
        <v>543</v>
      </c>
      <c r="E154" s="26" t="str">
        <f>IFERROR(VLOOKUP(G154,WholesaleExtract!B:J,9,FALSE),"")</f>
        <v/>
      </c>
      <c r="F154" s="26" t="str">
        <f>IFERROR(VLOOKUP(G154,WholesaleExtract!B:J,6,FALSE),"")</f>
        <v/>
      </c>
      <c r="G154" s="19"/>
      <c r="H154" s="47" t="str">
        <f>IFERROR(VLOOKUP(G154,WholesaleExtract!B:L,11,FALSE),"")</f>
        <v/>
      </c>
      <c r="I154" s="26" t="str">
        <f>IFERROR(VLOOKUP(G154,WholesaleExtract!B:O,8,FALSE),"")</f>
        <v/>
      </c>
      <c r="J154" s="26" t="str">
        <f>IFERROR(VLOOKUP(G154,WholesaleExtract!B:O,14,FALSE),"")</f>
        <v/>
      </c>
      <c r="K154" s="26" t="str">
        <f>IFERROR(VLOOKUP(G154,WholesaleExtract!B:K,10,FALSE),"")</f>
        <v/>
      </c>
      <c r="L154" s="47" t="str">
        <f>IFERROR(VLOOKUP(G154,WholesaleExtract!B:L,11,FALSE),"")</f>
        <v/>
      </c>
      <c r="M154" s="47" t="str">
        <f>IFERROR(VLOOKUP(G154,WholesaleExtract!B:M,12,FALSE),"")</f>
        <v/>
      </c>
      <c r="N154" s="27"/>
      <c r="O154" s="19"/>
      <c r="P154" s="19"/>
      <c r="Q154" s="47"/>
      <c r="R154" s="19"/>
      <c r="S154" s="19"/>
    </row>
    <row r="155" spans="1:19" x14ac:dyDescent="0.35">
      <c r="A155" s="26" t="s">
        <v>543</v>
      </c>
      <c r="B155" s="26" t="s">
        <v>543</v>
      </c>
      <c r="C155" s="26"/>
      <c r="D155" s="26" t="s">
        <v>543</v>
      </c>
      <c r="E155" s="26" t="str">
        <f>IFERROR(VLOOKUP(G155,WholesaleExtract!B:J,9,FALSE),"")</f>
        <v/>
      </c>
      <c r="F155" s="26" t="str">
        <f>IFERROR(VLOOKUP(G155,WholesaleExtract!B:J,6,FALSE),"")</f>
        <v/>
      </c>
      <c r="G155" s="19"/>
      <c r="H155" s="47" t="str">
        <f>IFERROR(VLOOKUP(G155,WholesaleExtract!B:L,11,FALSE),"")</f>
        <v/>
      </c>
      <c r="I155" s="26" t="str">
        <f>IFERROR(VLOOKUP(G155,WholesaleExtract!B:O,8,FALSE),"")</f>
        <v/>
      </c>
      <c r="J155" s="26" t="str">
        <f>IFERROR(VLOOKUP(G155,WholesaleExtract!B:O,14,FALSE),"")</f>
        <v/>
      </c>
      <c r="K155" s="26" t="str">
        <f>IFERROR(VLOOKUP(G155,WholesaleExtract!B:K,10,FALSE),"")</f>
        <v/>
      </c>
      <c r="L155" s="47" t="str">
        <f>IFERROR(VLOOKUP(G155,WholesaleExtract!B:L,11,FALSE),"")</f>
        <v/>
      </c>
      <c r="M155" s="47" t="str">
        <f>IFERROR(VLOOKUP(G155,WholesaleExtract!B:M,12,FALSE),"")</f>
        <v/>
      </c>
      <c r="N155" s="27"/>
      <c r="O155" s="19"/>
      <c r="P155" s="19"/>
      <c r="Q155" s="47"/>
      <c r="R155" s="19"/>
      <c r="S155" s="19"/>
    </row>
    <row r="156" spans="1:19" x14ac:dyDescent="0.35">
      <c r="A156" s="26" t="s">
        <v>543</v>
      </c>
      <c r="B156" s="26" t="s">
        <v>543</v>
      </c>
      <c r="C156" s="26"/>
      <c r="D156" s="26" t="s">
        <v>543</v>
      </c>
      <c r="E156" s="26" t="str">
        <f>IFERROR(VLOOKUP(G156,WholesaleExtract!B:J,9,FALSE),"")</f>
        <v/>
      </c>
      <c r="F156" s="26" t="str">
        <f>IFERROR(VLOOKUP(G156,WholesaleExtract!B:J,6,FALSE),"")</f>
        <v/>
      </c>
      <c r="G156" s="19"/>
      <c r="H156" s="47" t="str">
        <f>IFERROR(VLOOKUP(G156,WholesaleExtract!B:L,11,FALSE),"")</f>
        <v/>
      </c>
      <c r="I156" s="26" t="str">
        <f>IFERROR(VLOOKUP(G156,WholesaleExtract!B:O,8,FALSE),"")</f>
        <v/>
      </c>
      <c r="J156" s="26" t="str">
        <f>IFERROR(VLOOKUP(G156,WholesaleExtract!B:O,14,FALSE),"")</f>
        <v/>
      </c>
      <c r="K156" s="26" t="str">
        <f>IFERROR(VLOOKUP(G156,WholesaleExtract!B:K,10,FALSE),"")</f>
        <v/>
      </c>
      <c r="L156" s="47" t="str">
        <f>IFERROR(VLOOKUP(G156,WholesaleExtract!B:L,11,FALSE),"")</f>
        <v/>
      </c>
      <c r="M156" s="47" t="str">
        <f>IFERROR(VLOOKUP(G156,WholesaleExtract!B:M,12,FALSE),"")</f>
        <v/>
      </c>
      <c r="N156" s="27"/>
      <c r="O156" s="19"/>
      <c r="P156" s="19"/>
      <c r="Q156" s="47"/>
      <c r="R156" s="19"/>
      <c r="S156" s="19"/>
    </row>
    <row r="157" spans="1:19" x14ac:dyDescent="0.35">
      <c r="A157" s="26" t="s">
        <v>543</v>
      </c>
      <c r="B157" s="26" t="s">
        <v>543</v>
      </c>
      <c r="C157" s="26"/>
      <c r="D157" s="26" t="s">
        <v>543</v>
      </c>
      <c r="E157" s="26" t="str">
        <f>IFERROR(VLOOKUP(G157,WholesaleExtract!B:J,9,FALSE),"")</f>
        <v/>
      </c>
      <c r="F157" s="26" t="str">
        <f>IFERROR(VLOOKUP(G157,WholesaleExtract!B:J,6,FALSE),"")</f>
        <v/>
      </c>
      <c r="G157" s="19"/>
      <c r="H157" s="47" t="str">
        <f>IFERROR(VLOOKUP(G157,WholesaleExtract!B:L,11,FALSE),"")</f>
        <v/>
      </c>
      <c r="I157" s="26" t="str">
        <f>IFERROR(VLOOKUP(G157,WholesaleExtract!B:O,8,FALSE),"")</f>
        <v/>
      </c>
      <c r="J157" s="26" t="str">
        <f>IFERROR(VLOOKUP(G157,WholesaleExtract!B:O,14,FALSE),"")</f>
        <v/>
      </c>
      <c r="K157" s="26" t="str">
        <f>IFERROR(VLOOKUP(G157,WholesaleExtract!B:K,10,FALSE),"")</f>
        <v/>
      </c>
      <c r="L157" s="47" t="str">
        <f>IFERROR(VLOOKUP(G157,WholesaleExtract!B:L,11,FALSE),"")</f>
        <v/>
      </c>
      <c r="M157" s="47" t="str">
        <f>IFERROR(VLOOKUP(G157,WholesaleExtract!B:M,12,FALSE),"")</f>
        <v/>
      </c>
      <c r="N157" s="27"/>
      <c r="O157" s="19"/>
      <c r="P157" s="19"/>
      <c r="Q157" s="47"/>
      <c r="R157" s="19"/>
      <c r="S157" s="19"/>
    </row>
    <row r="158" spans="1:19" x14ac:dyDescent="0.35">
      <c r="A158" s="26" t="s">
        <v>543</v>
      </c>
      <c r="B158" s="26" t="s">
        <v>543</v>
      </c>
      <c r="C158" s="26"/>
      <c r="D158" s="26" t="s">
        <v>543</v>
      </c>
      <c r="E158" s="26" t="str">
        <f>IFERROR(VLOOKUP(G158,WholesaleExtract!B:J,9,FALSE),"")</f>
        <v/>
      </c>
      <c r="F158" s="26" t="str">
        <f>IFERROR(VLOOKUP(G158,WholesaleExtract!B:J,6,FALSE),"")</f>
        <v/>
      </c>
      <c r="G158" s="19"/>
      <c r="H158" s="47" t="str">
        <f>IFERROR(VLOOKUP(G158,WholesaleExtract!B:L,11,FALSE),"")</f>
        <v/>
      </c>
      <c r="I158" s="26" t="str">
        <f>IFERROR(VLOOKUP(G158,WholesaleExtract!B:O,8,FALSE),"")</f>
        <v/>
      </c>
      <c r="J158" s="26" t="str">
        <f>IFERROR(VLOOKUP(G158,WholesaleExtract!B:O,14,FALSE),"")</f>
        <v/>
      </c>
      <c r="K158" s="26" t="str">
        <f>IFERROR(VLOOKUP(G158,WholesaleExtract!B:K,10,FALSE),"")</f>
        <v/>
      </c>
      <c r="L158" s="47" t="str">
        <f>IFERROR(VLOOKUP(G158,WholesaleExtract!B:L,11,FALSE),"")</f>
        <v/>
      </c>
      <c r="M158" s="47" t="str">
        <f>IFERROR(VLOOKUP(G158,WholesaleExtract!B:M,12,FALSE),"")</f>
        <v/>
      </c>
      <c r="N158" s="27"/>
      <c r="O158" s="19"/>
      <c r="P158" s="19"/>
      <c r="Q158" s="47"/>
      <c r="R158" s="19"/>
      <c r="S158" s="19"/>
    </row>
    <row r="159" spans="1:19" x14ac:dyDescent="0.35">
      <c r="A159" s="26" t="s">
        <v>543</v>
      </c>
      <c r="B159" s="26" t="s">
        <v>543</v>
      </c>
      <c r="C159" s="26"/>
      <c r="D159" s="26" t="s">
        <v>543</v>
      </c>
      <c r="E159" s="26" t="str">
        <f>IFERROR(VLOOKUP(G159,WholesaleExtract!B:J,9,FALSE),"")</f>
        <v/>
      </c>
      <c r="F159" s="26" t="str">
        <f>IFERROR(VLOOKUP(G159,WholesaleExtract!B:J,6,FALSE),"")</f>
        <v/>
      </c>
      <c r="G159" s="19"/>
      <c r="H159" s="47" t="str">
        <f>IFERROR(VLOOKUP(G159,WholesaleExtract!B:L,11,FALSE),"")</f>
        <v/>
      </c>
      <c r="I159" s="26" t="str">
        <f>IFERROR(VLOOKUP(G159,WholesaleExtract!B:O,8,FALSE),"")</f>
        <v/>
      </c>
      <c r="J159" s="26" t="str">
        <f>IFERROR(VLOOKUP(G159,WholesaleExtract!B:O,14,FALSE),"")</f>
        <v/>
      </c>
      <c r="K159" s="26" t="str">
        <f>IFERROR(VLOOKUP(G159,WholesaleExtract!B:K,10,FALSE),"")</f>
        <v/>
      </c>
      <c r="L159" s="47" t="str">
        <f>IFERROR(VLOOKUP(G159,WholesaleExtract!B:L,11,FALSE),"")</f>
        <v/>
      </c>
      <c r="M159" s="47" t="str">
        <f>IFERROR(VLOOKUP(G159,WholesaleExtract!B:M,12,FALSE),"")</f>
        <v/>
      </c>
      <c r="N159" s="27"/>
      <c r="O159" s="19"/>
      <c r="P159" s="19"/>
      <c r="Q159" s="47"/>
      <c r="R159" s="19"/>
      <c r="S159" s="19"/>
    </row>
    <row r="160" spans="1:19" x14ac:dyDescent="0.35">
      <c r="A160" s="26" t="s">
        <v>543</v>
      </c>
      <c r="B160" s="26" t="s">
        <v>543</v>
      </c>
      <c r="C160" s="26"/>
      <c r="D160" s="26" t="s">
        <v>543</v>
      </c>
      <c r="E160" s="26" t="str">
        <f>IFERROR(VLOOKUP(G160,WholesaleExtract!B:J,9,FALSE),"")</f>
        <v/>
      </c>
      <c r="F160" s="26" t="str">
        <f>IFERROR(VLOOKUP(G160,WholesaleExtract!B:J,6,FALSE),"")</f>
        <v/>
      </c>
      <c r="G160" s="19"/>
      <c r="H160" s="47" t="str">
        <f>IFERROR(VLOOKUP(G160,WholesaleExtract!B:L,11,FALSE),"")</f>
        <v/>
      </c>
      <c r="I160" s="26" t="str">
        <f>IFERROR(VLOOKUP(G160,WholesaleExtract!B:O,8,FALSE),"")</f>
        <v/>
      </c>
      <c r="J160" s="26" t="str">
        <f>IFERROR(VLOOKUP(G160,WholesaleExtract!B:O,14,FALSE),"")</f>
        <v/>
      </c>
      <c r="K160" s="26" t="str">
        <f>IFERROR(VLOOKUP(G160,WholesaleExtract!B:K,10,FALSE),"")</f>
        <v/>
      </c>
      <c r="L160" s="47" t="str">
        <f>IFERROR(VLOOKUP(G160,WholesaleExtract!B:L,11,FALSE),"")</f>
        <v/>
      </c>
      <c r="M160" s="47" t="str">
        <f>IFERROR(VLOOKUP(G160,WholesaleExtract!B:M,12,FALSE),"")</f>
        <v/>
      </c>
      <c r="N160" s="27"/>
      <c r="O160" s="19"/>
      <c r="P160" s="19"/>
      <c r="Q160" s="47"/>
      <c r="R160" s="19"/>
      <c r="S160" s="19"/>
    </row>
    <row r="161" spans="1:19" x14ac:dyDescent="0.35">
      <c r="A161" s="26" t="s">
        <v>543</v>
      </c>
      <c r="B161" s="26" t="s">
        <v>543</v>
      </c>
      <c r="C161" s="26"/>
      <c r="D161" s="26" t="s">
        <v>543</v>
      </c>
      <c r="E161" s="26" t="str">
        <f>IFERROR(VLOOKUP(G161,WholesaleExtract!B:J,9,FALSE),"")</f>
        <v/>
      </c>
      <c r="F161" s="26" t="str">
        <f>IFERROR(VLOOKUP(G161,WholesaleExtract!B:J,6,FALSE),"")</f>
        <v/>
      </c>
      <c r="G161" s="19"/>
      <c r="H161" s="47" t="str">
        <f>IFERROR(VLOOKUP(G161,WholesaleExtract!B:L,11,FALSE),"")</f>
        <v/>
      </c>
      <c r="I161" s="26" t="str">
        <f>IFERROR(VLOOKUP(G161,WholesaleExtract!B:O,8,FALSE),"")</f>
        <v/>
      </c>
      <c r="J161" s="26" t="str">
        <f>IFERROR(VLOOKUP(G161,WholesaleExtract!B:O,14,FALSE),"")</f>
        <v/>
      </c>
      <c r="K161" s="26" t="str">
        <f>IFERROR(VLOOKUP(G161,WholesaleExtract!B:K,10,FALSE),"")</f>
        <v/>
      </c>
      <c r="L161" s="47" t="str">
        <f>IFERROR(VLOOKUP(G161,WholesaleExtract!B:L,11,FALSE),"")</f>
        <v/>
      </c>
      <c r="M161" s="47" t="str">
        <f>IFERROR(VLOOKUP(G161,WholesaleExtract!B:M,12,FALSE),"")</f>
        <v/>
      </c>
      <c r="N161" s="27"/>
      <c r="O161" s="19"/>
      <c r="P161" s="19"/>
      <c r="Q161" s="47"/>
      <c r="R161" s="19"/>
      <c r="S161" s="19"/>
    </row>
    <row r="162" spans="1:19" x14ac:dyDescent="0.35">
      <c r="A162" s="26" t="s">
        <v>543</v>
      </c>
      <c r="B162" s="26" t="s">
        <v>543</v>
      </c>
      <c r="C162" s="26"/>
      <c r="D162" s="26" t="s">
        <v>543</v>
      </c>
      <c r="E162" s="26" t="str">
        <f>IFERROR(VLOOKUP(G162,WholesaleExtract!B:J,9,FALSE),"")</f>
        <v/>
      </c>
      <c r="F162" s="26" t="str">
        <f>IFERROR(VLOOKUP(G162,WholesaleExtract!B:J,6,FALSE),"")</f>
        <v/>
      </c>
      <c r="G162" s="19"/>
      <c r="H162" s="47" t="str">
        <f>IFERROR(VLOOKUP(G162,WholesaleExtract!B:L,11,FALSE),"")</f>
        <v/>
      </c>
      <c r="I162" s="26" t="str">
        <f>IFERROR(VLOOKUP(G162,WholesaleExtract!B:O,8,FALSE),"")</f>
        <v/>
      </c>
      <c r="J162" s="26" t="str">
        <f>IFERROR(VLOOKUP(G162,WholesaleExtract!B:O,14,FALSE),"")</f>
        <v/>
      </c>
      <c r="K162" s="26" t="str">
        <f>IFERROR(VLOOKUP(G162,WholesaleExtract!B:K,10,FALSE),"")</f>
        <v/>
      </c>
      <c r="L162" s="47" t="str">
        <f>IFERROR(VLOOKUP(G162,WholesaleExtract!B:L,11,FALSE),"")</f>
        <v/>
      </c>
      <c r="M162" s="47" t="str">
        <f>IFERROR(VLOOKUP(G162,WholesaleExtract!B:M,12,FALSE),"")</f>
        <v/>
      </c>
      <c r="N162" s="27"/>
      <c r="O162" s="19"/>
      <c r="P162" s="19"/>
      <c r="Q162" s="47"/>
      <c r="R162" s="19"/>
      <c r="S162" s="19"/>
    </row>
    <row r="163" spans="1:19" x14ac:dyDescent="0.35">
      <c r="A163" s="26" t="s">
        <v>543</v>
      </c>
      <c r="B163" s="26" t="s">
        <v>543</v>
      </c>
      <c r="C163" s="26"/>
      <c r="D163" s="26" t="s">
        <v>543</v>
      </c>
      <c r="E163" s="26" t="str">
        <f>IFERROR(VLOOKUP(G163,WholesaleExtract!B:J,9,FALSE),"")</f>
        <v/>
      </c>
      <c r="F163" s="26" t="str">
        <f>IFERROR(VLOOKUP(G163,WholesaleExtract!B:J,6,FALSE),"")</f>
        <v/>
      </c>
      <c r="G163" s="19"/>
      <c r="H163" s="47" t="str">
        <f>IFERROR(VLOOKUP(G163,WholesaleExtract!B:L,11,FALSE),"")</f>
        <v/>
      </c>
      <c r="I163" s="26" t="str">
        <f>IFERROR(VLOOKUP(G163,WholesaleExtract!B:O,8,FALSE),"")</f>
        <v/>
      </c>
      <c r="J163" s="26" t="str">
        <f>IFERROR(VLOOKUP(G163,WholesaleExtract!B:O,14,FALSE),"")</f>
        <v/>
      </c>
      <c r="K163" s="26" t="str">
        <f>IFERROR(VLOOKUP(G163,WholesaleExtract!B:K,10,FALSE),"")</f>
        <v/>
      </c>
      <c r="L163" s="47" t="str">
        <f>IFERROR(VLOOKUP(G163,WholesaleExtract!B:L,11,FALSE),"")</f>
        <v/>
      </c>
      <c r="M163" s="47" t="str">
        <f>IFERROR(VLOOKUP(G163,WholesaleExtract!B:M,12,FALSE),"")</f>
        <v/>
      </c>
      <c r="N163" s="27"/>
      <c r="O163" s="19"/>
      <c r="P163" s="19"/>
      <c r="Q163" s="47"/>
      <c r="R163" s="19"/>
      <c r="S163" s="19"/>
    </row>
    <row r="164" spans="1:19" x14ac:dyDescent="0.35">
      <c r="A164" s="26" t="s">
        <v>543</v>
      </c>
      <c r="B164" s="26" t="s">
        <v>543</v>
      </c>
      <c r="C164" s="26"/>
      <c r="D164" s="26" t="s">
        <v>543</v>
      </c>
      <c r="E164" s="26" t="str">
        <f>IFERROR(VLOOKUP(G164,WholesaleExtract!B:J,9,FALSE),"")</f>
        <v/>
      </c>
      <c r="F164" s="26" t="str">
        <f>IFERROR(VLOOKUP(G164,WholesaleExtract!B:J,6,FALSE),"")</f>
        <v/>
      </c>
      <c r="G164" s="19"/>
      <c r="H164" s="47" t="str">
        <f>IFERROR(VLOOKUP(G164,WholesaleExtract!B:L,11,FALSE),"")</f>
        <v/>
      </c>
      <c r="I164" s="26" t="str">
        <f>IFERROR(VLOOKUP(G164,WholesaleExtract!B:O,8,FALSE),"")</f>
        <v/>
      </c>
      <c r="J164" s="26" t="str">
        <f>IFERROR(VLOOKUP(G164,WholesaleExtract!B:O,14,FALSE),"")</f>
        <v/>
      </c>
      <c r="K164" s="26" t="str">
        <f>IFERROR(VLOOKUP(G164,WholesaleExtract!B:K,10,FALSE),"")</f>
        <v/>
      </c>
      <c r="L164" s="47" t="str">
        <f>IFERROR(VLOOKUP(G164,WholesaleExtract!B:L,11,FALSE),"")</f>
        <v/>
      </c>
      <c r="M164" s="47" t="str">
        <f>IFERROR(VLOOKUP(G164,WholesaleExtract!B:M,12,FALSE),"")</f>
        <v/>
      </c>
      <c r="N164" s="27"/>
      <c r="O164" s="19"/>
      <c r="P164" s="19"/>
      <c r="Q164" s="47"/>
      <c r="R164" s="19"/>
      <c r="S164" s="19"/>
    </row>
    <row r="165" spans="1:19" x14ac:dyDescent="0.35">
      <c r="A165" s="26" t="s">
        <v>543</v>
      </c>
      <c r="B165" s="26" t="s">
        <v>543</v>
      </c>
      <c r="C165" s="26"/>
      <c r="D165" s="26" t="s">
        <v>543</v>
      </c>
      <c r="E165" s="26" t="str">
        <f>IFERROR(VLOOKUP(G165,WholesaleExtract!B:J,9,FALSE),"")</f>
        <v/>
      </c>
      <c r="F165" s="26" t="str">
        <f>IFERROR(VLOOKUP(G165,WholesaleExtract!B:J,6,FALSE),"")</f>
        <v/>
      </c>
      <c r="G165" s="19"/>
      <c r="H165" s="47" t="str">
        <f>IFERROR(VLOOKUP(G165,WholesaleExtract!B:L,11,FALSE),"")</f>
        <v/>
      </c>
      <c r="I165" s="26" t="str">
        <f>IFERROR(VLOOKUP(G165,WholesaleExtract!B:O,8,FALSE),"")</f>
        <v/>
      </c>
      <c r="J165" s="26" t="str">
        <f>IFERROR(VLOOKUP(G165,WholesaleExtract!B:O,14,FALSE),"")</f>
        <v/>
      </c>
      <c r="K165" s="26" t="str">
        <f>IFERROR(VLOOKUP(G165,WholesaleExtract!B:K,10,FALSE),"")</f>
        <v/>
      </c>
      <c r="L165" s="47" t="str">
        <f>IFERROR(VLOOKUP(G165,WholesaleExtract!B:L,11,FALSE),"")</f>
        <v/>
      </c>
      <c r="M165" s="47" t="str">
        <f>IFERROR(VLOOKUP(G165,WholesaleExtract!B:M,12,FALSE),"")</f>
        <v/>
      </c>
      <c r="N165" s="27"/>
      <c r="O165" s="19"/>
      <c r="P165" s="19"/>
      <c r="Q165" s="47"/>
      <c r="R165" s="19"/>
      <c r="S165" s="19"/>
    </row>
    <row r="166" spans="1:19" x14ac:dyDescent="0.35">
      <c r="A166" s="26" t="s">
        <v>543</v>
      </c>
      <c r="B166" s="26" t="s">
        <v>543</v>
      </c>
      <c r="C166" s="26"/>
      <c r="D166" s="26" t="s">
        <v>543</v>
      </c>
      <c r="E166" s="26" t="str">
        <f>IFERROR(VLOOKUP(G166,WholesaleExtract!B:J,9,FALSE),"")</f>
        <v/>
      </c>
      <c r="F166" s="26" t="str">
        <f>IFERROR(VLOOKUP(G166,WholesaleExtract!B:J,6,FALSE),"")</f>
        <v/>
      </c>
      <c r="G166" s="55"/>
      <c r="H166" s="47" t="str">
        <f>IFERROR(VLOOKUP(G166,WholesaleExtract!B:L,11,FALSE),"")</f>
        <v/>
      </c>
      <c r="I166" s="26" t="str">
        <f>IFERROR(VLOOKUP(G166,WholesaleExtract!B:O,8,FALSE),"")</f>
        <v/>
      </c>
      <c r="J166" s="26" t="str">
        <f>IFERROR(VLOOKUP(G166,WholesaleExtract!B:O,14,FALSE),"")</f>
        <v/>
      </c>
      <c r="K166" s="26" t="str">
        <f>IFERROR(VLOOKUP(G166,WholesaleExtract!B:K,10,FALSE),"")</f>
        <v/>
      </c>
      <c r="L166" s="47" t="str">
        <f>IFERROR(VLOOKUP(G166,WholesaleExtract!B:L,11,FALSE),"")</f>
        <v/>
      </c>
      <c r="M166" s="47" t="str">
        <f>IFERROR(VLOOKUP(G166,WholesaleExtract!B:M,12,FALSE),"")</f>
        <v/>
      </c>
      <c r="N166" s="27"/>
      <c r="O166" s="19"/>
      <c r="P166" s="19"/>
      <c r="Q166" s="47"/>
      <c r="R166" s="19"/>
      <c r="S166" s="19"/>
    </row>
    <row r="167" spans="1:19" x14ac:dyDescent="0.35">
      <c r="A167" s="26" t="s">
        <v>543</v>
      </c>
      <c r="B167" s="26" t="s">
        <v>543</v>
      </c>
      <c r="C167" s="26"/>
      <c r="D167" s="26" t="s">
        <v>543</v>
      </c>
      <c r="E167" s="26" t="str">
        <f>IFERROR(VLOOKUP(G167,WholesaleExtract!B:J,9,FALSE),"")</f>
        <v/>
      </c>
      <c r="F167" s="26" t="str">
        <f>IFERROR(VLOOKUP(G167,WholesaleExtract!B:J,6,FALSE),"")</f>
        <v/>
      </c>
      <c r="G167" s="56"/>
      <c r="H167" s="47" t="str">
        <f>IFERROR(VLOOKUP(G167,WholesaleExtract!B:L,11,FALSE),"")</f>
        <v/>
      </c>
      <c r="I167" s="26" t="str">
        <f>IFERROR(VLOOKUP(G167,WholesaleExtract!B:O,8,FALSE),"")</f>
        <v/>
      </c>
      <c r="J167" s="26" t="str">
        <f>IFERROR(VLOOKUP(G167,WholesaleExtract!B:O,14,FALSE),"")</f>
        <v/>
      </c>
      <c r="K167" s="26" t="str">
        <f>IFERROR(VLOOKUP(G167,WholesaleExtract!B:K,10,FALSE),"")</f>
        <v/>
      </c>
      <c r="L167" s="47" t="str">
        <f>IFERROR(VLOOKUP(G167,WholesaleExtract!B:L,11,FALSE),"")</f>
        <v/>
      </c>
      <c r="M167" s="47" t="str">
        <f>IFERROR(VLOOKUP(G167,WholesaleExtract!B:M,12,FALSE),"")</f>
        <v/>
      </c>
      <c r="N167" s="27"/>
      <c r="O167" s="19"/>
      <c r="P167" s="19"/>
      <c r="Q167" s="47"/>
      <c r="R167" s="19"/>
      <c r="S167" s="19"/>
    </row>
    <row r="168" spans="1:19" x14ac:dyDescent="0.35">
      <c r="A168" s="26" t="s">
        <v>543</v>
      </c>
      <c r="B168" s="26" t="s">
        <v>543</v>
      </c>
      <c r="C168" s="26"/>
      <c r="D168" s="26" t="s">
        <v>543</v>
      </c>
      <c r="E168" s="26" t="str">
        <f>IFERROR(VLOOKUP(G168,WholesaleExtract!B:J,9,FALSE),"")</f>
        <v/>
      </c>
      <c r="F168" s="26" t="str">
        <f>IFERROR(VLOOKUP(G168,WholesaleExtract!B:J,6,FALSE),"")</f>
        <v/>
      </c>
      <c r="G168" s="19"/>
      <c r="H168" s="47" t="str">
        <f>IFERROR(VLOOKUP(G168,WholesaleExtract!B:L,11,FALSE),"")</f>
        <v/>
      </c>
      <c r="I168" s="26" t="str">
        <f>IFERROR(VLOOKUP(G168,WholesaleExtract!B:O,8,FALSE),"")</f>
        <v/>
      </c>
      <c r="J168" s="26" t="str">
        <f>IFERROR(VLOOKUP(G168,WholesaleExtract!B:O,14,FALSE),"")</f>
        <v/>
      </c>
      <c r="K168" s="26" t="str">
        <f>IFERROR(VLOOKUP(G168,WholesaleExtract!B:K,10,FALSE),"")</f>
        <v/>
      </c>
      <c r="L168" s="47" t="str">
        <f>IFERROR(VLOOKUP(G168,WholesaleExtract!B:L,11,FALSE),"")</f>
        <v/>
      </c>
      <c r="M168" s="47" t="str">
        <f>IFERROR(VLOOKUP(G168,WholesaleExtract!B:M,12,FALSE),"")</f>
        <v/>
      </c>
      <c r="N168" s="27"/>
      <c r="O168" s="19"/>
      <c r="P168" s="19"/>
      <c r="Q168" s="47"/>
      <c r="R168" s="19"/>
      <c r="S168" s="19"/>
    </row>
    <row r="169" spans="1:19" x14ac:dyDescent="0.35">
      <c r="A169" s="26" t="s">
        <v>543</v>
      </c>
      <c r="B169" s="26" t="s">
        <v>543</v>
      </c>
      <c r="C169" s="26"/>
      <c r="D169" s="26" t="s">
        <v>543</v>
      </c>
      <c r="E169" s="26" t="str">
        <f>IFERROR(VLOOKUP(G169,WholesaleExtract!B:J,9,FALSE),"")</f>
        <v/>
      </c>
      <c r="F169" s="26" t="str">
        <f>IFERROR(VLOOKUP(G169,WholesaleExtract!B:J,6,FALSE),"")</f>
        <v/>
      </c>
      <c r="G169" s="19"/>
      <c r="H169" s="47" t="str">
        <f>IFERROR(VLOOKUP(G169,WholesaleExtract!B:L,11,FALSE),"")</f>
        <v/>
      </c>
      <c r="I169" s="26" t="str">
        <f>IFERROR(VLOOKUP(G169,WholesaleExtract!B:O,8,FALSE),"")</f>
        <v/>
      </c>
      <c r="J169" s="26" t="str">
        <f>IFERROR(VLOOKUP(G169,WholesaleExtract!B:O,14,FALSE),"")</f>
        <v/>
      </c>
      <c r="K169" s="26" t="str">
        <f>IFERROR(VLOOKUP(G169,WholesaleExtract!B:K,10,FALSE),"")</f>
        <v/>
      </c>
      <c r="L169" s="47" t="str">
        <f>IFERROR(VLOOKUP(G169,WholesaleExtract!B:L,11,FALSE),"")</f>
        <v/>
      </c>
      <c r="M169" s="47" t="str">
        <f>IFERROR(VLOOKUP(G169,WholesaleExtract!B:M,12,FALSE),"")</f>
        <v/>
      </c>
      <c r="N169" s="27"/>
      <c r="O169" s="19"/>
      <c r="P169" s="19"/>
      <c r="Q169" s="47"/>
      <c r="R169" s="19"/>
      <c r="S169" s="19"/>
    </row>
    <row r="170" spans="1:19" x14ac:dyDescent="0.35">
      <c r="A170" s="26" t="s">
        <v>543</v>
      </c>
      <c r="B170" s="26" t="s">
        <v>543</v>
      </c>
      <c r="C170" s="26"/>
      <c r="D170" s="26" t="s">
        <v>543</v>
      </c>
      <c r="E170" s="26" t="str">
        <f>IFERROR(VLOOKUP(G170,WholesaleExtract!B:J,9,FALSE),"")</f>
        <v/>
      </c>
      <c r="F170" s="26" t="str">
        <f>IFERROR(VLOOKUP(G170,WholesaleExtract!B:J,6,FALSE),"")</f>
        <v/>
      </c>
      <c r="G170" s="19"/>
      <c r="H170" s="47" t="str">
        <f>IFERROR(VLOOKUP(G170,WholesaleExtract!B:L,11,FALSE),"")</f>
        <v/>
      </c>
      <c r="I170" s="26" t="str">
        <f>IFERROR(VLOOKUP(G170,WholesaleExtract!B:O,8,FALSE),"")</f>
        <v/>
      </c>
      <c r="J170" s="26" t="str">
        <f>IFERROR(VLOOKUP(G170,WholesaleExtract!B:O,14,FALSE),"")</f>
        <v/>
      </c>
      <c r="K170" s="26" t="str">
        <f>IFERROR(VLOOKUP(G170,WholesaleExtract!B:K,10,FALSE),"")</f>
        <v/>
      </c>
      <c r="L170" s="47" t="str">
        <f>IFERROR(VLOOKUP(G170,WholesaleExtract!B:L,11,FALSE),"")</f>
        <v/>
      </c>
      <c r="M170" s="47" t="str">
        <f>IFERROR(VLOOKUP(G170,WholesaleExtract!B:M,12,FALSE),"")</f>
        <v/>
      </c>
      <c r="N170" s="27"/>
      <c r="O170" s="19"/>
      <c r="P170" s="19"/>
      <c r="Q170" s="47"/>
      <c r="R170" s="19"/>
      <c r="S170" s="19"/>
    </row>
    <row r="171" spans="1:19" x14ac:dyDescent="0.35">
      <c r="A171" s="26" t="s">
        <v>543</v>
      </c>
      <c r="B171" s="26" t="s">
        <v>543</v>
      </c>
      <c r="C171" s="26"/>
      <c r="D171" s="26" t="s">
        <v>543</v>
      </c>
      <c r="E171" s="26" t="str">
        <f>IFERROR(VLOOKUP(G171,WholesaleExtract!B:J,9,FALSE),"")</f>
        <v/>
      </c>
      <c r="F171" s="26" t="str">
        <f>IFERROR(VLOOKUP(G171,WholesaleExtract!B:J,6,FALSE),"")</f>
        <v/>
      </c>
      <c r="G171" s="19"/>
      <c r="H171" s="47" t="str">
        <f>IFERROR(VLOOKUP(G171,WholesaleExtract!B:L,11,FALSE),"")</f>
        <v/>
      </c>
      <c r="I171" s="26" t="str">
        <f>IFERROR(VLOOKUP(G171,WholesaleExtract!B:O,8,FALSE),"")</f>
        <v/>
      </c>
      <c r="J171" s="26" t="str">
        <f>IFERROR(VLOOKUP(G171,WholesaleExtract!B:O,14,FALSE),"")</f>
        <v/>
      </c>
      <c r="K171" s="26" t="str">
        <f>IFERROR(VLOOKUP(G171,WholesaleExtract!B:K,10,FALSE),"")</f>
        <v/>
      </c>
      <c r="L171" s="47" t="str">
        <f>IFERROR(VLOOKUP(G171,WholesaleExtract!B:L,11,FALSE),"")</f>
        <v/>
      </c>
      <c r="M171" s="47" t="str">
        <f>IFERROR(VLOOKUP(G171,WholesaleExtract!B:M,12,FALSE),"")</f>
        <v/>
      </c>
      <c r="N171" s="27"/>
      <c r="O171" s="19"/>
      <c r="P171" s="19"/>
      <c r="Q171" s="47"/>
      <c r="R171" s="19"/>
      <c r="S171" s="19"/>
    </row>
    <row r="172" spans="1:19" x14ac:dyDescent="0.35">
      <c r="A172" s="26" t="s">
        <v>543</v>
      </c>
      <c r="B172" s="26" t="s">
        <v>543</v>
      </c>
      <c r="C172" s="26"/>
      <c r="D172" s="26" t="s">
        <v>543</v>
      </c>
      <c r="E172" s="26" t="str">
        <f>IFERROR(VLOOKUP(G172,WholesaleExtract!B:J,9,FALSE),"")</f>
        <v/>
      </c>
      <c r="F172" s="26" t="str">
        <f>IFERROR(VLOOKUP(G172,WholesaleExtract!B:J,6,FALSE),"")</f>
        <v/>
      </c>
      <c r="G172" s="19"/>
      <c r="H172" s="47" t="str">
        <f>IFERROR(VLOOKUP(G172,WholesaleExtract!B:L,11,FALSE),"")</f>
        <v/>
      </c>
      <c r="I172" s="26" t="str">
        <f>IFERROR(VLOOKUP(G172,WholesaleExtract!B:O,8,FALSE),"")</f>
        <v/>
      </c>
      <c r="J172" s="26" t="str">
        <f>IFERROR(VLOOKUP(G172,WholesaleExtract!B:O,14,FALSE),"")</f>
        <v/>
      </c>
      <c r="K172" s="26" t="str">
        <f>IFERROR(VLOOKUP(G172,WholesaleExtract!B:K,10,FALSE),"")</f>
        <v/>
      </c>
      <c r="L172" s="47" t="str">
        <f>IFERROR(VLOOKUP(G172,WholesaleExtract!B:L,11,FALSE),"")</f>
        <v/>
      </c>
      <c r="M172" s="47" t="str">
        <f>IFERROR(VLOOKUP(G172,WholesaleExtract!B:M,12,FALSE),"")</f>
        <v/>
      </c>
      <c r="N172" s="27"/>
      <c r="O172" s="19"/>
      <c r="P172" s="19"/>
      <c r="Q172" s="47"/>
      <c r="R172" s="19"/>
      <c r="S172" s="19"/>
    </row>
    <row r="173" spans="1:19" x14ac:dyDescent="0.35">
      <c r="A173" s="26" t="s">
        <v>543</v>
      </c>
      <c r="B173" s="26" t="s">
        <v>543</v>
      </c>
      <c r="C173" s="26"/>
      <c r="D173" s="26" t="s">
        <v>543</v>
      </c>
      <c r="E173" s="26" t="str">
        <f>IFERROR(VLOOKUP(G173,WholesaleExtract!B:J,9,FALSE),"")</f>
        <v/>
      </c>
      <c r="F173" s="26" t="str">
        <f>IFERROR(VLOOKUP(G173,WholesaleExtract!B:J,6,FALSE),"")</f>
        <v/>
      </c>
      <c r="G173" s="19"/>
      <c r="H173" s="47" t="str">
        <f>IFERROR(VLOOKUP(G173,WholesaleExtract!B:L,11,FALSE),"")</f>
        <v/>
      </c>
      <c r="I173" s="26" t="str">
        <f>IFERROR(VLOOKUP(G173,WholesaleExtract!B:O,8,FALSE),"")</f>
        <v/>
      </c>
      <c r="J173" s="26" t="str">
        <f>IFERROR(VLOOKUP(G173,WholesaleExtract!B:O,14,FALSE),"")</f>
        <v/>
      </c>
      <c r="K173" s="26" t="str">
        <f>IFERROR(VLOOKUP(G173,WholesaleExtract!B:K,10,FALSE),"")</f>
        <v/>
      </c>
      <c r="L173" s="47" t="str">
        <f>IFERROR(VLOOKUP(G173,WholesaleExtract!B:L,11,FALSE),"")</f>
        <v/>
      </c>
      <c r="M173" s="47" t="str">
        <f>IFERROR(VLOOKUP(G173,WholesaleExtract!B:M,12,FALSE),"")</f>
        <v/>
      </c>
      <c r="N173" s="27"/>
      <c r="O173" s="19"/>
      <c r="P173" s="19"/>
      <c r="Q173" s="47"/>
      <c r="R173" s="19"/>
      <c r="S173" s="19"/>
    </row>
    <row r="174" spans="1:19" x14ac:dyDescent="0.35">
      <c r="A174" s="26" t="s">
        <v>543</v>
      </c>
      <c r="B174" s="26" t="s">
        <v>543</v>
      </c>
      <c r="C174" s="26"/>
      <c r="D174" s="26" t="s">
        <v>543</v>
      </c>
      <c r="E174" s="26" t="str">
        <f>IFERROR(VLOOKUP(G174,WholesaleExtract!B:J,9,FALSE),"")</f>
        <v/>
      </c>
      <c r="F174" s="26" t="str">
        <f>IFERROR(VLOOKUP(G174,WholesaleExtract!B:J,6,FALSE),"")</f>
        <v/>
      </c>
      <c r="G174" s="19"/>
      <c r="H174" s="47" t="str">
        <f>IFERROR(VLOOKUP(G174,WholesaleExtract!B:L,11,FALSE),"")</f>
        <v/>
      </c>
      <c r="I174" s="26" t="str">
        <f>IFERROR(VLOOKUP(G174,WholesaleExtract!B:O,8,FALSE),"")</f>
        <v/>
      </c>
      <c r="J174" s="26" t="str">
        <f>IFERROR(VLOOKUP(G174,WholesaleExtract!B:O,14,FALSE),"")</f>
        <v/>
      </c>
      <c r="K174" s="26" t="str">
        <f>IFERROR(VLOOKUP(G174,WholesaleExtract!B:K,10,FALSE),"")</f>
        <v/>
      </c>
      <c r="L174" s="47" t="str">
        <f>IFERROR(VLOOKUP(G174,WholesaleExtract!B:L,11,FALSE),"")</f>
        <v/>
      </c>
      <c r="M174" s="47" t="str">
        <f>IFERROR(VLOOKUP(G174,WholesaleExtract!B:M,12,FALSE),"")</f>
        <v/>
      </c>
      <c r="N174" s="27"/>
      <c r="O174" s="19"/>
      <c r="P174" s="19"/>
      <c r="Q174" s="47"/>
      <c r="R174" s="19"/>
      <c r="S174" s="19"/>
    </row>
    <row r="175" spans="1:19" x14ac:dyDescent="0.35">
      <c r="A175" s="26" t="s">
        <v>543</v>
      </c>
      <c r="B175" s="26" t="s">
        <v>543</v>
      </c>
      <c r="C175" s="26"/>
      <c r="D175" s="26" t="s">
        <v>543</v>
      </c>
      <c r="E175" s="26" t="str">
        <f>IFERROR(VLOOKUP(G175,WholesaleExtract!B:J,9,FALSE),"")</f>
        <v/>
      </c>
      <c r="F175" s="26" t="str">
        <f>IFERROR(VLOOKUP(G175,WholesaleExtract!B:J,6,FALSE),"")</f>
        <v/>
      </c>
      <c r="G175" s="19"/>
      <c r="H175" s="47" t="str">
        <f>IFERROR(VLOOKUP(G175,WholesaleExtract!B:L,11,FALSE),"")</f>
        <v/>
      </c>
      <c r="I175" s="26" t="str">
        <f>IFERROR(VLOOKUP(G175,WholesaleExtract!B:O,8,FALSE),"")</f>
        <v/>
      </c>
      <c r="J175" s="26" t="str">
        <f>IFERROR(VLOOKUP(G175,WholesaleExtract!B:O,14,FALSE),"")</f>
        <v/>
      </c>
      <c r="K175" s="26" t="str">
        <f>IFERROR(VLOOKUP(G175,WholesaleExtract!B:K,10,FALSE),"")</f>
        <v/>
      </c>
      <c r="L175" s="47" t="str">
        <f>IFERROR(VLOOKUP(G175,WholesaleExtract!B:L,11,FALSE),"")</f>
        <v/>
      </c>
      <c r="M175" s="47" t="str">
        <f>IFERROR(VLOOKUP(G175,WholesaleExtract!B:M,12,FALSE),"")</f>
        <v/>
      </c>
      <c r="N175" s="27"/>
      <c r="O175" s="19"/>
      <c r="P175" s="19"/>
      <c r="Q175" s="47"/>
      <c r="R175" s="19"/>
      <c r="S175" s="19"/>
    </row>
    <row r="176" spans="1:19" x14ac:dyDescent="0.35">
      <c r="A176" s="26" t="s">
        <v>543</v>
      </c>
      <c r="B176" s="26" t="s">
        <v>543</v>
      </c>
      <c r="C176" s="26"/>
      <c r="D176" s="26" t="s">
        <v>543</v>
      </c>
      <c r="E176" s="26" t="str">
        <f>IFERROR(VLOOKUP(G176,WholesaleExtract!B:J,9,FALSE),"")</f>
        <v/>
      </c>
      <c r="F176" s="26" t="str">
        <f>IFERROR(VLOOKUP(G176,WholesaleExtract!B:J,6,FALSE),"")</f>
        <v/>
      </c>
      <c r="G176" s="19"/>
      <c r="H176" s="47" t="str">
        <f>IFERROR(VLOOKUP(G176,WholesaleExtract!B:L,11,FALSE),"")</f>
        <v/>
      </c>
      <c r="I176" s="26" t="str">
        <f>IFERROR(VLOOKUP(G176,WholesaleExtract!B:O,8,FALSE),"")</f>
        <v/>
      </c>
      <c r="J176" s="26" t="str">
        <f>IFERROR(VLOOKUP(G176,WholesaleExtract!B:O,14,FALSE),"")</f>
        <v/>
      </c>
      <c r="K176" s="26" t="str">
        <f>IFERROR(VLOOKUP(G176,WholesaleExtract!B:K,10,FALSE),"")</f>
        <v/>
      </c>
      <c r="L176" s="47" t="str">
        <f>IFERROR(VLOOKUP(G176,WholesaleExtract!B:L,11,FALSE),"")</f>
        <v/>
      </c>
      <c r="M176" s="47" t="str">
        <f>IFERROR(VLOOKUP(G176,WholesaleExtract!B:M,12,FALSE),"")</f>
        <v/>
      </c>
      <c r="N176" s="27"/>
      <c r="O176" s="19"/>
      <c r="P176" s="19"/>
      <c r="Q176" s="47"/>
      <c r="R176" s="19"/>
      <c r="S176" s="19"/>
    </row>
    <row r="177" spans="1:19" x14ac:dyDescent="0.35">
      <c r="A177" s="26" t="s">
        <v>543</v>
      </c>
      <c r="B177" s="26" t="s">
        <v>543</v>
      </c>
      <c r="C177" s="26"/>
      <c r="D177" s="26" t="s">
        <v>543</v>
      </c>
      <c r="E177" s="26" t="str">
        <f>IFERROR(VLOOKUP(G177,WholesaleExtract!B:J,9,FALSE),"")</f>
        <v/>
      </c>
      <c r="F177" s="26" t="str">
        <f>IFERROR(VLOOKUP(G177,WholesaleExtract!B:J,6,FALSE),"")</f>
        <v/>
      </c>
      <c r="G177" s="19"/>
      <c r="H177" s="47" t="str">
        <f>IFERROR(VLOOKUP(G177,WholesaleExtract!B:L,11,FALSE),"")</f>
        <v/>
      </c>
      <c r="I177" s="26" t="str">
        <f>IFERROR(VLOOKUP(G177,WholesaleExtract!B:O,8,FALSE),"")</f>
        <v/>
      </c>
      <c r="J177" s="26" t="str">
        <f>IFERROR(VLOOKUP(G177,WholesaleExtract!B:O,14,FALSE),"")</f>
        <v/>
      </c>
      <c r="K177" s="26" t="str">
        <f>IFERROR(VLOOKUP(G177,WholesaleExtract!B:K,10,FALSE),"")</f>
        <v/>
      </c>
      <c r="L177" s="47" t="str">
        <f>IFERROR(VLOOKUP(G177,WholesaleExtract!B:L,11,FALSE),"")</f>
        <v/>
      </c>
      <c r="M177" s="47" t="str">
        <f>IFERROR(VLOOKUP(G177,WholesaleExtract!B:M,12,FALSE),"")</f>
        <v/>
      </c>
      <c r="N177" s="27"/>
      <c r="O177" s="19"/>
      <c r="P177" s="19"/>
      <c r="Q177" s="47"/>
      <c r="R177" s="19"/>
      <c r="S177" s="19"/>
    </row>
    <row r="178" spans="1:19" x14ac:dyDescent="0.35">
      <c r="A178" s="26" t="s">
        <v>543</v>
      </c>
      <c r="B178" s="26" t="s">
        <v>543</v>
      </c>
      <c r="C178" s="26"/>
      <c r="D178" s="26" t="s">
        <v>543</v>
      </c>
      <c r="E178" s="26" t="str">
        <f>IFERROR(VLOOKUP(G178,WholesaleExtract!B:J,9,FALSE),"")</f>
        <v/>
      </c>
      <c r="F178" s="26" t="str">
        <f>IFERROR(VLOOKUP(G178,WholesaleExtract!B:J,6,FALSE),"")</f>
        <v/>
      </c>
      <c r="G178" s="19"/>
      <c r="H178" s="47" t="str">
        <f>IFERROR(VLOOKUP(G178,WholesaleExtract!B:L,11,FALSE),"")</f>
        <v/>
      </c>
      <c r="I178" s="26" t="str">
        <f>IFERROR(VLOOKUP(G178,WholesaleExtract!B:O,8,FALSE),"")</f>
        <v/>
      </c>
      <c r="J178" s="26" t="str">
        <f>IFERROR(VLOOKUP(G178,WholesaleExtract!B:O,14,FALSE),"")</f>
        <v/>
      </c>
      <c r="K178" s="26" t="str">
        <f>IFERROR(VLOOKUP(G178,WholesaleExtract!B:K,10,FALSE),"")</f>
        <v/>
      </c>
      <c r="L178" s="47" t="str">
        <f>IFERROR(VLOOKUP(G178,WholesaleExtract!B:L,11,FALSE),"")</f>
        <v/>
      </c>
      <c r="M178" s="47" t="str">
        <f>IFERROR(VLOOKUP(G178,WholesaleExtract!B:M,12,FALSE),"")</f>
        <v/>
      </c>
      <c r="N178" s="27"/>
      <c r="O178" s="19"/>
      <c r="P178" s="19"/>
      <c r="Q178" s="47"/>
      <c r="R178" s="19"/>
      <c r="S178" s="19"/>
    </row>
    <row r="179" spans="1:19" x14ac:dyDescent="0.35">
      <c r="A179" s="26" t="s">
        <v>543</v>
      </c>
      <c r="B179" s="26" t="s">
        <v>543</v>
      </c>
      <c r="C179" s="26"/>
      <c r="D179" s="26" t="s">
        <v>543</v>
      </c>
      <c r="E179" s="26" t="str">
        <f>IFERROR(VLOOKUP(G179,WholesaleExtract!B:J,9,FALSE),"")</f>
        <v/>
      </c>
      <c r="F179" s="26" t="str">
        <f>IFERROR(VLOOKUP(G179,WholesaleExtract!B:J,6,FALSE),"")</f>
        <v/>
      </c>
      <c r="G179" s="19"/>
      <c r="H179" s="47" t="str">
        <f>IFERROR(VLOOKUP(G179,WholesaleExtract!B:L,11,FALSE),"")</f>
        <v/>
      </c>
      <c r="I179" s="26" t="str">
        <f>IFERROR(VLOOKUP(G179,WholesaleExtract!B:O,8,FALSE),"")</f>
        <v/>
      </c>
      <c r="J179" s="26" t="str">
        <f>IFERROR(VLOOKUP(G179,WholesaleExtract!B:O,14,FALSE),"")</f>
        <v/>
      </c>
      <c r="K179" s="26" t="str">
        <f>IFERROR(VLOOKUP(G179,WholesaleExtract!B:K,10,FALSE),"")</f>
        <v/>
      </c>
      <c r="L179" s="47" t="str">
        <f>IFERROR(VLOOKUP(G179,WholesaleExtract!B:L,11,FALSE),"")</f>
        <v/>
      </c>
      <c r="M179" s="47" t="str">
        <f>IFERROR(VLOOKUP(G179,WholesaleExtract!B:M,12,FALSE),"")</f>
        <v/>
      </c>
      <c r="N179" s="27"/>
      <c r="O179" s="19"/>
      <c r="P179" s="19"/>
      <c r="Q179" s="47"/>
      <c r="R179" s="19"/>
      <c r="S179" s="19"/>
    </row>
    <row r="180" spans="1:19" x14ac:dyDescent="0.35">
      <c r="A180" s="26" t="s">
        <v>543</v>
      </c>
      <c r="B180" s="26" t="s">
        <v>543</v>
      </c>
      <c r="C180" s="26"/>
      <c r="D180" s="26" t="s">
        <v>543</v>
      </c>
      <c r="E180" s="26" t="str">
        <f>IFERROR(VLOOKUP(G180,WholesaleExtract!B:J,9,FALSE),"")</f>
        <v/>
      </c>
      <c r="F180" s="26" t="str">
        <f>IFERROR(VLOOKUP(G180,WholesaleExtract!B:J,6,FALSE),"")</f>
        <v/>
      </c>
      <c r="G180" s="19"/>
      <c r="H180" s="47" t="str">
        <f>IFERROR(VLOOKUP(G180,WholesaleExtract!B:L,11,FALSE),"")</f>
        <v/>
      </c>
      <c r="I180" s="26" t="str">
        <f>IFERROR(VLOOKUP(G180,WholesaleExtract!B:O,8,FALSE),"")</f>
        <v/>
      </c>
      <c r="J180" s="26" t="str">
        <f>IFERROR(VLOOKUP(G180,WholesaleExtract!B:O,14,FALSE),"")</f>
        <v/>
      </c>
      <c r="K180" s="26" t="str">
        <f>IFERROR(VLOOKUP(G180,WholesaleExtract!B:K,10,FALSE),"")</f>
        <v/>
      </c>
      <c r="L180" s="47" t="str">
        <f>IFERROR(VLOOKUP(G180,WholesaleExtract!B:L,11,FALSE),"")</f>
        <v/>
      </c>
      <c r="M180" s="47" t="str">
        <f>IFERROR(VLOOKUP(G180,WholesaleExtract!B:M,12,FALSE),"")</f>
        <v/>
      </c>
      <c r="N180" s="27"/>
      <c r="O180" s="19"/>
      <c r="P180" s="19"/>
      <c r="Q180" s="47"/>
      <c r="R180" s="19"/>
      <c r="S180" s="19"/>
    </row>
    <row r="181" spans="1:19" x14ac:dyDescent="0.35">
      <c r="A181" s="26" t="s">
        <v>543</v>
      </c>
      <c r="B181" s="26" t="s">
        <v>543</v>
      </c>
      <c r="C181" s="26"/>
      <c r="D181" s="26" t="s">
        <v>543</v>
      </c>
      <c r="E181" s="26" t="str">
        <f>IFERROR(VLOOKUP(G181,WholesaleExtract!B:J,9,FALSE),"")</f>
        <v/>
      </c>
      <c r="F181" s="26" t="str">
        <f>IFERROR(VLOOKUP(G181,WholesaleExtract!B:J,6,FALSE),"")</f>
        <v/>
      </c>
      <c r="G181" s="19"/>
      <c r="H181" s="47" t="str">
        <f>IFERROR(VLOOKUP(G181,WholesaleExtract!B:L,11,FALSE),"")</f>
        <v/>
      </c>
      <c r="I181" s="26" t="str">
        <f>IFERROR(VLOOKUP(G181,WholesaleExtract!B:O,8,FALSE),"")</f>
        <v/>
      </c>
      <c r="J181" s="26" t="str">
        <f>IFERROR(VLOOKUP(G181,WholesaleExtract!B:O,14,FALSE),"")</f>
        <v/>
      </c>
      <c r="K181" s="26" t="str">
        <f>IFERROR(VLOOKUP(G181,WholesaleExtract!B:K,10,FALSE),"")</f>
        <v/>
      </c>
      <c r="L181" s="47" t="str">
        <f>IFERROR(VLOOKUP(G181,WholesaleExtract!B:L,11,FALSE),"")</f>
        <v/>
      </c>
      <c r="M181" s="47" t="str">
        <f>IFERROR(VLOOKUP(G181,WholesaleExtract!B:M,12,FALSE),"")</f>
        <v/>
      </c>
      <c r="N181" s="27"/>
      <c r="O181" s="19"/>
      <c r="P181" s="19"/>
      <c r="Q181" s="47"/>
      <c r="R181" s="19"/>
      <c r="S181" s="19"/>
    </row>
    <row r="182" spans="1:19" x14ac:dyDescent="0.35">
      <c r="A182" s="26" t="s">
        <v>543</v>
      </c>
      <c r="B182" s="26" t="s">
        <v>543</v>
      </c>
      <c r="C182" s="26"/>
      <c r="D182" s="26" t="s">
        <v>543</v>
      </c>
      <c r="E182" s="26" t="str">
        <f>IFERROR(VLOOKUP(G182,WholesaleExtract!B:J,9,FALSE),"")</f>
        <v/>
      </c>
      <c r="F182" s="26" t="str">
        <f>IFERROR(VLOOKUP(G182,WholesaleExtract!B:J,6,FALSE),"")</f>
        <v/>
      </c>
      <c r="G182" s="19"/>
      <c r="H182" s="47" t="str">
        <f>IFERROR(VLOOKUP(G182,WholesaleExtract!B:L,11,FALSE),"")</f>
        <v/>
      </c>
      <c r="I182" s="26" t="str">
        <f>IFERROR(VLOOKUP(G182,WholesaleExtract!B:O,8,FALSE),"")</f>
        <v/>
      </c>
      <c r="J182" s="26" t="str">
        <f>IFERROR(VLOOKUP(G182,WholesaleExtract!B:O,14,FALSE),"")</f>
        <v/>
      </c>
      <c r="K182" s="26" t="str">
        <f>IFERROR(VLOOKUP(G182,WholesaleExtract!B:K,10,FALSE),"")</f>
        <v/>
      </c>
      <c r="L182" s="47" t="str">
        <f>IFERROR(VLOOKUP(G182,WholesaleExtract!B:L,11,FALSE),"")</f>
        <v/>
      </c>
      <c r="M182" s="47" t="str">
        <f>IFERROR(VLOOKUP(G182,WholesaleExtract!B:M,12,FALSE),"")</f>
        <v/>
      </c>
      <c r="N182" s="27"/>
      <c r="O182" s="19"/>
      <c r="P182" s="19"/>
      <c r="Q182" s="47"/>
      <c r="R182" s="19"/>
      <c r="S182" s="19"/>
    </row>
    <row r="183" spans="1:19" x14ac:dyDescent="0.35">
      <c r="A183" s="26" t="s">
        <v>543</v>
      </c>
      <c r="B183" s="26" t="s">
        <v>543</v>
      </c>
      <c r="C183" s="26"/>
      <c r="D183" s="26" t="s">
        <v>543</v>
      </c>
      <c r="E183" s="26" t="str">
        <f>IFERROR(VLOOKUP(G183,WholesaleExtract!B:J,9,FALSE),"")</f>
        <v/>
      </c>
      <c r="F183" s="26" t="str">
        <f>IFERROR(VLOOKUP(G183,WholesaleExtract!B:J,6,FALSE),"")</f>
        <v/>
      </c>
      <c r="G183" s="19"/>
      <c r="H183" s="47" t="str">
        <f>IFERROR(VLOOKUP(G183,WholesaleExtract!B:L,11,FALSE),"")</f>
        <v/>
      </c>
      <c r="I183" s="26" t="str">
        <f>IFERROR(VLOOKUP(G183,WholesaleExtract!B:O,8,FALSE),"")</f>
        <v/>
      </c>
      <c r="J183" s="26" t="str">
        <f>IFERROR(VLOOKUP(G183,WholesaleExtract!B:O,14,FALSE),"")</f>
        <v/>
      </c>
      <c r="K183" s="26" t="str">
        <f>IFERROR(VLOOKUP(G183,WholesaleExtract!B:K,10,FALSE),"")</f>
        <v/>
      </c>
      <c r="L183" s="47" t="str">
        <f>IFERROR(VLOOKUP(G183,WholesaleExtract!B:L,11,FALSE),"")</f>
        <v/>
      </c>
      <c r="M183" s="47" t="str">
        <f>IFERROR(VLOOKUP(G183,WholesaleExtract!B:M,12,FALSE),"")</f>
        <v/>
      </c>
      <c r="N183" s="27"/>
      <c r="O183" s="19"/>
      <c r="P183" s="19"/>
      <c r="Q183" s="47"/>
      <c r="R183" s="19"/>
      <c r="S183" s="19"/>
    </row>
    <row r="184" spans="1:19" x14ac:dyDescent="0.35">
      <c r="A184" s="26" t="s">
        <v>543</v>
      </c>
      <c r="B184" s="26" t="s">
        <v>543</v>
      </c>
      <c r="C184" s="26"/>
      <c r="D184" s="26" t="s">
        <v>543</v>
      </c>
      <c r="E184" s="26" t="str">
        <f>IFERROR(VLOOKUP(G184,WholesaleExtract!B:J,9,FALSE),"")</f>
        <v/>
      </c>
      <c r="F184" s="26" t="str">
        <f>IFERROR(VLOOKUP(G184,WholesaleExtract!B:J,6,FALSE),"")</f>
        <v/>
      </c>
      <c r="G184" s="19"/>
      <c r="H184" s="47" t="str">
        <f>IFERROR(VLOOKUP(G184,WholesaleExtract!B:L,11,FALSE),"")</f>
        <v/>
      </c>
      <c r="I184" s="26" t="str">
        <f>IFERROR(VLOOKUP(G184,WholesaleExtract!B:O,8,FALSE),"")</f>
        <v/>
      </c>
      <c r="J184" s="26" t="str">
        <f>IFERROR(VLOOKUP(G184,WholesaleExtract!B:O,14,FALSE),"")</f>
        <v/>
      </c>
      <c r="K184" s="26" t="str">
        <f>IFERROR(VLOOKUP(G184,WholesaleExtract!B:K,10,FALSE),"")</f>
        <v/>
      </c>
      <c r="L184" s="47" t="str">
        <f>IFERROR(VLOOKUP(G184,WholesaleExtract!B:L,11,FALSE),"")</f>
        <v/>
      </c>
      <c r="M184" s="47" t="str">
        <f>IFERROR(VLOOKUP(G184,WholesaleExtract!B:M,12,FALSE),"")</f>
        <v/>
      </c>
      <c r="N184" s="27"/>
      <c r="O184" s="19"/>
      <c r="P184" s="19"/>
      <c r="Q184" s="47"/>
      <c r="R184" s="19"/>
      <c r="S184" s="19"/>
    </row>
    <row r="185" spans="1:19" x14ac:dyDescent="0.35">
      <c r="A185" s="26" t="s">
        <v>543</v>
      </c>
      <c r="B185" s="26" t="s">
        <v>543</v>
      </c>
      <c r="C185" s="26"/>
      <c r="D185" s="26" t="s">
        <v>543</v>
      </c>
      <c r="E185" s="26" t="str">
        <f>IFERROR(VLOOKUP(G185,WholesaleExtract!B:J,9,FALSE),"")</f>
        <v/>
      </c>
      <c r="F185" s="26" t="str">
        <f>IFERROR(VLOOKUP(G185,WholesaleExtract!B:J,6,FALSE),"")</f>
        <v/>
      </c>
      <c r="G185" s="19"/>
      <c r="H185" s="47" t="str">
        <f>IFERROR(VLOOKUP(G185,WholesaleExtract!B:L,11,FALSE),"")</f>
        <v/>
      </c>
      <c r="I185" s="26" t="str">
        <f>IFERROR(VLOOKUP(G185,WholesaleExtract!B:O,8,FALSE),"")</f>
        <v/>
      </c>
      <c r="J185" s="26" t="str">
        <f>IFERROR(VLOOKUP(G185,WholesaleExtract!B:O,14,FALSE),"")</f>
        <v/>
      </c>
      <c r="K185" s="26" t="str">
        <f>IFERROR(VLOOKUP(G185,WholesaleExtract!B:K,10,FALSE),"")</f>
        <v/>
      </c>
      <c r="L185" s="47" t="str">
        <f>IFERROR(VLOOKUP(G185,WholesaleExtract!B:L,11,FALSE),"")</f>
        <v/>
      </c>
      <c r="M185" s="47" t="str">
        <f>IFERROR(VLOOKUP(G185,WholesaleExtract!B:M,12,FALSE),"")</f>
        <v/>
      </c>
      <c r="N185" s="27"/>
      <c r="O185" s="19"/>
      <c r="P185" s="19"/>
      <c r="Q185" s="47"/>
      <c r="R185" s="19"/>
      <c r="S185" s="19"/>
    </row>
    <row r="186" spans="1:19" x14ac:dyDescent="0.35">
      <c r="A186" s="26" t="s">
        <v>543</v>
      </c>
      <c r="B186" s="26" t="s">
        <v>543</v>
      </c>
      <c r="C186" s="26"/>
      <c r="D186" s="26" t="s">
        <v>543</v>
      </c>
      <c r="E186" s="26" t="str">
        <f>IFERROR(VLOOKUP(G186,WholesaleExtract!B:J,9,FALSE),"")</f>
        <v/>
      </c>
      <c r="F186" s="26" t="str">
        <f>IFERROR(VLOOKUP(G186,WholesaleExtract!B:J,6,FALSE),"")</f>
        <v/>
      </c>
      <c r="G186" s="19"/>
      <c r="H186" s="47" t="str">
        <f>IFERROR(VLOOKUP(G186,WholesaleExtract!B:L,11,FALSE),"")</f>
        <v/>
      </c>
      <c r="I186" s="26" t="str">
        <f>IFERROR(VLOOKUP(G186,WholesaleExtract!B:O,8,FALSE),"")</f>
        <v/>
      </c>
      <c r="J186" s="26" t="str">
        <f>IFERROR(VLOOKUP(G186,WholesaleExtract!B:O,14,FALSE),"")</f>
        <v/>
      </c>
      <c r="K186" s="26" t="str">
        <f>IFERROR(VLOOKUP(G186,WholesaleExtract!B:K,10,FALSE),"")</f>
        <v/>
      </c>
      <c r="L186" s="47" t="str">
        <f>IFERROR(VLOOKUP(G186,WholesaleExtract!B:L,11,FALSE),"")</f>
        <v/>
      </c>
      <c r="M186" s="47" t="str">
        <f>IFERROR(VLOOKUP(G186,WholesaleExtract!B:M,12,FALSE),"")</f>
        <v/>
      </c>
      <c r="N186" s="27"/>
      <c r="O186" s="19"/>
      <c r="P186" s="19"/>
      <c r="Q186" s="47"/>
      <c r="R186" s="19"/>
      <c r="S186" s="19"/>
    </row>
    <row r="187" spans="1:19" x14ac:dyDescent="0.35">
      <c r="A187" s="26" t="s">
        <v>543</v>
      </c>
      <c r="B187" s="26" t="s">
        <v>543</v>
      </c>
      <c r="C187" s="26"/>
      <c r="D187" s="26" t="s">
        <v>543</v>
      </c>
      <c r="E187" s="26" t="str">
        <f>IFERROR(VLOOKUP(G187,WholesaleExtract!B:J,9,FALSE),"")</f>
        <v/>
      </c>
      <c r="F187" s="26" t="str">
        <f>IFERROR(VLOOKUP(G187,WholesaleExtract!B:J,6,FALSE),"")</f>
        <v/>
      </c>
      <c r="G187" s="19"/>
      <c r="H187" s="47" t="str">
        <f>IFERROR(VLOOKUP(G187,WholesaleExtract!B:L,11,FALSE),"")</f>
        <v/>
      </c>
      <c r="I187" s="26" t="str">
        <f>IFERROR(VLOOKUP(G187,WholesaleExtract!B:O,8,FALSE),"")</f>
        <v/>
      </c>
      <c r="J187" s="26" t="str">
        <f>IFERROR(VLOOKUP(G187,WholesaleExtract!B:O,14,FALSE),"")</f>
        <v/>
      </c>
      <c r="K187" s="26" t="str">
        <f>IFERROR(VLOOKUP(G187,WholesaleExtract!B:K,10,FALSE),"")</f>
        <v/>
      </c>
      <c r="L187" s="47" t="str">
        <f>IFERROR(VLOOKUP(G187,WholesaleExtract!B:L,11,FALSE),"")</f>
        <v/>
      </c>
      <c r="M187" s="47" t="str">
        <f>IFERROR(VLOOKUP(G187,WholesaleExtract!B:M,12,FALSE),"")</f>
        <v/>
      </c>
      <c r="N187" s="27"/>
      <c r="O187" s="19"/>
      <c r="P187" s="19"/>
      <c r="Q187" s="47"/>
      <c r="R187" s="19"/>
      <c r="S187" s="19"/>
    </row>
    <row r="188" spans="1:19" x14ac:dyDescent="0.35">
      <c r="A188" s="26" t="s">
        <v>543</v>
      </c>
      <c r="B188" s="26" t="s">
        <v>543</v>
      </c>
      <c r="C188" s="26"/>
      <c r="D188" s="26" t="s">
        <v>543</v>
      </c>
      <c r="E188" s="26" t="str">
        <f>IFERROR(VLOOKUP(G188,WholesaleExtract!B:J,9,FALSE),"")</f>
        <v/>
      </c>
      <c r="F188" s="26" t="str">
        <f>IFERROR(VLOOKUP(G188,WholesaleExtract!B:J,6,FALSE),"")</f>
        <v/>
      </c>
      <c r="G188" s="19"/>
      <c r="H188" s="47" t="str">
        <f>IFERROR(VLOOKUP(G188,WholesaleExtract!B:L,11,FALSE),"")</f>
        <v/>
      </c>
      <c r="I188" s="26" t="str">
        <f>IFERROR(VLOOKUP(G188,WholesaleExtract!B:O,8,FALSE),"")</f>
        <v/>
      </c>
      <c r="J188" s="26" t="str">
        <f>IFERROR(VLOOKUP(G188,WholesaleExtract!B:O,14,FALSE),"")</f>
        <v/>
      </c>
      <c r="K188" s="26" t="str">
        <f>IFERROR(VLOOKUP(G188,WholesaleExtract!B:K,10,FALSE),"")</f>
        <v/>
      </c>
      <c r="L188" s="47" t="str">
        <f>IFERROR(VLOOKUP(G188,WholesaleExtract!B:L,11,FALSE),"")</f>
        <v/>
      </c>
      <c r="M188" s="47" t="str">
        <f>IFERROR(VLOOKUP(G188,WholesaleExtract!B:M,12,FALSE),"")</f>
        <v/>
      </c>
      <c r="N188" s="27"/>
      <c r="O188" s="19"/>
      <c r="P188" s="19"/>
      <c r="Q188" s="47"/>
      <c r="R188" s="19"/>
      <c r="S188" s="19"/>
    </row>
    <row r="189" spans="1:19" x14ac:dyDescent="0.35">
      <c r="A189" s="26" t="s">
        <v>543</v>
      </c>
      <c r="B189" s="26" t="s">
        <v>543</v>
      </c>
      <c r="C189" s="26"/>
      <c r="D189" s="26" t="s">
        <v>543</v>
      </c>
      <c r="E189" s="26" t="str">
        <f>IFERROR(VLOOKUP(G189,WholesaleExtract!B:J,9,FALSE),"")</f>
        <v/>
      </c>
      <c r="F189" s="26" t="str">
        <f>IFERROR(VLOOKUP(G189,WholesaleExtract!B:J,6,FALSE),"")</f>
        <v/>
      </c>
      <c r="G189" s="19"/>
      <c r="H189" s="47" t="str">
        <f>IFERROR(VLOOKUP(G189,WholesaleExtract!B:L,11,FALSE),"")</f>
        <v/>
      </c>
      <c r="I189" s="26" t="str">
        <f>IFERROR(VLOOKUP(G189,WholesaleExtract!B:O,8,FALSE),"")</f>
        <v/>
      </c>
      <c r="J189" s="26" t="str">
        <f>IFERROR(VLOOKUP(G189,WholesaleExtract!B:O,14,FALSE),"")</f>
        <v/>
      </c>
      <c r="K189" s="26" t="str">
        <f>IFERROR(VLOOKUP(G189,WholesaleExtract!B:K,10,FALSE),"")</f>
        <v/>
      </c>
      <c r="L189" s="47" t="str">
        <f>IFERROR(VLOOKUP(G189,WholesaleExtract!B:L,11,FALSE),"")</f>
        <v/>
      </c>
      <c r="M189" s="47" t="str">
        <f>IFERROR(VLOOKUP(G189,WholesaleExtract!B:M,12,FALSE),"")</f>
        <v/>
      </c>
      <c r="N189" s="27"/>
      <c r="O189" s="19"/>
      <c r="P189" s="19"/>
      <c r="Q189" s="47"/>
      <c r="R189" s="19"/>
      <c r="S189" s="19"/>
    </row>
    <row r="190" spans="1:19" x14ac:dyDescent="0.35">
      <c r="A190" s="26" t="s">
        <v>543</v>
      </c>
      <c r="B190" s="26" t="s">
        <v>543</v>
      </c>
      <c r="C190" s="26"/>
      <c r="D190" s="26" t="s">
        <v>543</v>
      </c>
      <c r="E190" s="26" t="str">
        <f>IFERROR(VLOOKUP(G190,WholesaleExtract!B:J,9,FALSE),"")</f>
        <v/>
      </c>
      <c r="F190" s="26" t="str">
        <f>IFERROR(VLOOKUP(G190,WholesaleExtract!B:J,6,FALSE),"")</f>
        <v/>
      </c>
      <c r="G190" s="19"/>
      <c r="H190" s="47" t="str">
        <f>IFERROR(VLOOKUP(G190,WholesaleExtract!B:L,11,FALSE),"")</f>
        <v/>
      </c>
      <c r="I190" s="26" t="str">
        <f>IFERROR(VLOOKUP(G190,WholesaleExtract!B:O,8,FALSE),"")</f>
        <v/>
      </c>
      <c r="J190" s="26" t="str">
        <f>IFERROR(VLOOKUP(G190,WholesaleExtract!B:O,14,FALSE),"")</f>
        <v/>
      </c>
      <c r="K190" s="26" t="str">
        <f>IFERROR(VLOOKUP(G190,WholesaleExtract!B:K,10,FALSE),"")</f>
        <v/>
      </c>
      <c r="L190" s="47" t="str">
        <f>IFERROR(VLOOKUP(G190,WholesaleExtract!B:L,11,FALSE),"")</f>
        <v/>
      </c>
      <c r="M190" s="47" t="str">
        <f>IFERROR(VLOOKUP(G190,WholesaleExtract!B:M,12,FALSE),"")</f>
        <v/>
      </c>
      <c r="N190" s="27"/>
      <c r="O190" s="19"/>
      <c r="P190" s="19"/>
      <c r="Q190" s="47"/>
      <c r="R190" s="19"/>
      <c r="S190" s="19"/>
    </row>
    <row r="191" spans="1:19" x14ac:dyDescent="0.35">
      <c r="A191" s="26" t="s">
        <v>543</v>
      </c>
      <c r="B191" s="26" t="s">
        <v>543</v>
      </c>
      <c r="C191" s="26"/>
      <c r="D191" s="26" t="s">
        <v>543</v>
      </c>
      <c r="E191" s="26" t="str">
        <f>IFERROR(VLOOKUP(G191,WholesaleExtract!B:J,9,FALSE),"")</f>
        <v/>
      </c>
      <c r="F191" s="26" t="str">
        <f>IFERROR(VLOOKUP(G191,WholesaleExtract!B:J,6,FALSE),"")</f>
        <v/>
      </c>
      <c r="G191" s="19"/>
      <c r="H191" s="47" t="str">
        <f>IFERROR(VLOOKUP(G191,WholesaleExtract!B:L,11,FALSE),"")</f>
        <v/>
      </c>
      <c r="I191" s="26" t="str">
        <f>IFERROR(VLOOKUP(G191,WholesaleExtract!B:O,8,FALSE),"")</f>
        <v/>
      </c>
      <c r="J191" s="26" t="str">
        <f>IFERROR(VLOOKUP(G191,WholesaleExtract!B:O,14,FALSE),"")</f>
        <v/>
      </c>
      <c r="K191" s="26" t="str">
        <f>IFERROR(VLOOKUP(G191,WholesaleExtract!B:K,10,FALSE),"")</f>
        <v/>
      </c>
      <c r="L191" s="47" t="str">
        <f>IFERROR(VLOOKUP(G191,WholesaleExtract!B:L,11,FALSE),"")</f>
        <v/>
      </c>
      <c r="M191" s="47" t="str">
        <f>IFERROR(VLOOKUP(G191,WholesaleExtract!B:M,12,FALSE),"")</f>
        <v/>
      </c>
      <c r="N191" s="27"/>
      <c r="O191" s="19"/>
      <c r="P191" s="19"/>
      <c r="Q191" s="47"/>
      <c r="R191" s="19"/>
      <c r="S191" s="19"/>
    </row>
    <row r="192" spans="1:19" x14ac:dyDescent="0.35">
      <c r="A192" s="26" t="s">
        <v>543</v>
      </c>
      <c r="B192" s="26" t="s">
        <v>543</v>
      </c>
      <c r="C192" s="26"/>
      <c r="D192" s="26" t="s">
        <v>543</v>
      </c>
      <c r="E192" s="26" t="str">
        <f>IFERROR(VLOOKUP(G192,WholesaleExtract!B:J,9,FALSE),"")</f>
        <v/>
      </c>
      <c r="F192" s="26" t="str">
        <f>IFERROR(VLOOKUP(G192,WholesaleExtract!B:J,6,FALSE),"")</f>
        <v/>
      </c>
      <c r="G192" s="19"/>
      <c r="H192" s="47" t="str">
        <f>IFERROR(VLOOKUP(G192,WholesaleExtract!B:L,11,FALSE),"")</f>
        <v/>
      </c>
      <c r="I192" s="26" t="str">
        <f>IFERROR(VLOOKUP(G192,WholesaleExtract!B:O,8,FALSE),"")</f>
        <v/>
      </c>
      <c r="J192" s="26" t="str">
        <f>IFERROR(VLOOKUP(G192,WholesaleExtract!B:O,14,FALSE),"")</f>
        <v/>
      </c>
      <c r="K192" s="26" t="str">
        <f>IFERROR(VLOOKUP(G192,WholesaleExtract!B:K,10,FALSE),"")</f>
        <v/>
      </c>
      <c r="L192" s="47" t="str">
        <f>IFERROR(VLOOKUP(G192,WholesaleExtract!B:L,11,FALSE),"")</f>
        <v/>
      </c>
      <c r="M192" s="47" t="str">
        <f>IFERROR(VLOOKUP(G192,WholesaleExtract!B:M,12,FALSE),"")</f>
        <v/>
      </c>
      <c r="N192" s="27"/>
      <c r="O192" s="19"/>
      <c r="P192" s="19"/>
      <c r="Q192" s="47"/>
      <c r="R192" s="19"/>
      <c r="S192" s="19"/>
    </row>
    <row r="193" spans="1:19" x14ac:dyDescent="0.35">
      <c r="A193" s="26" t="s">
        <v>543</v>
      </c>
      <c r="B193" s="26" t="s">
        <v>543</v>
      </c>
      <c r="C193" s="26"/>
      <c r="D193" s="26" t="s">
        <v>543</v>
      </c>
      <c r="E193" s="26" t="str">
        <f>IFERROR(VLOOKUP(G193,WholesaleExtract!B:J,9,FALSE),"")</f>
        <v/>
      </c>
      <c r="F193" s="26" t="str">
        <f>IFERROR(VLOOKUP(G193,WholesaleExtract!B:J,6,FALSE),"")</f>
        <v/>
      </c>
      <c r="G193" s="19"/>
      <c r="H193" s="47" t="str">
        <f>IFERROR(VLOOKUP(G193,WholesaleExtract!B:L,11,FALSE),"")</f>
        <v/>
      </c>
      <c r="I193" s="26" t="str">
        <f>IFERROR(VLOOKUP(G193,WholesaleExtract!B:O,8,FALSE),"")</f>
        <v/>
      </c>
      <c r="J193" s="26" t="str">
        <f>IFERROR(VLOOKUP(G193,WholesaleExtract!B:O,14,FALSE),"")</f>
        <v/>
      </c>
      <c r="K193" s="26" t="str">
        <f>IFERROR(VLOOKUP(G193,WholesaleExtract!B:K,10,FALSE),"")</f>
        <v/>
      </c>
      <c r="L193" s="47" t="str">
        <f>IFERROR(VLOOKUP(G193,WholesaleExtract!B:L,11,FALSE),"")</f>
        <v/>
      </c>
      <c r="M193" s="47" t="str">
        <f>IFERROR(VLOOKUP(G193,WholesaleExtract!B:M,12,FALSE),"")</f>
        <v/>
      </c>
      <c r="N193" s="27"/>
      <c r="O193" s="19"/>
      <c r="P193" s="19"/>
      <c r="Q193" s="47"/>
      <c r="R193" s="19"/>
      <c r="S193" s="19"/>
    </row>
    <row r="194" spans="1:19" x14ac:dyDescent="0.35">
      <c r="A194" s="26" t="s">
        <v>543</v>
      </c>
      <c r="B194" s="26" t="s">
        <v>543</v>
      </c>
      <c r="C194" s="26"/>
      <c r="D194" s="26" t="s">
        <v>543</v>
      </c>
      <c r="E194" s="26" t="str">
        <f>IFERROR(VLOOKUP(G194,WholesaleExtract!B:J,9,FALSE),"")</f>
        <v/>
      </c>
      <c r="F194" s="26" t="str">
        <f>IFERROR(VLOOKUP(G194,WholesaleExtract!B:J,6,FALSE),"")</f>
        <v/>
      </c>
      <c r="G194" s="19"/>
      <c r="H194" s="47" t="str">
        <f>IFERROR(VLOOKUP(G194,WholesaleExtract!B:L,11,FALSE),"")</f>
        <v/>
      </c>
      <c r="I194" s="26" t="str">
        <f>IFERROR(VLOOKUP(G194,WholesaleExtract!B:O,8,FALSE),"")</f>
        <v/>
      </c>
      <c r="J194" s="26" t="str">
        <f>IFERROR(VLOOKUP(G194,WholesaleExtract!B:O,14,FALSE),"")</f>
        <v/>
      </c>
      <c r="K194" s="26" t="str">
        <f>IFERROR(VLOOKUP(G194,WholesaleExtract!B:K,10,FALSE),"")</f>
        <v/>
      </c>
      <c r="L194" s="47" t="str">
        <f>IFERROR(VLOOKUP(G194,WholesaleExtract!B:L,11,FALSE),"")</f>
        <v/>
      </c>
      <c r="M194" s="47" t="str">
        <f>IFERROR(VLOOKUP(G194,WholesaleExtract!B:M,12,FALSE),"")</f>
        <v/>
      </c>
      <c r="N194" s="27"/>
      <c r="O194" s="19"/>
      <c r="P194" s="19"/>
      <c r="Q194" s="47"/>
      <c r="R194" s="19"/>
      <c r="S194" s="19"/>
    </row>
    <row r="195" spans="1:19" x14ac:dyDescent="0.35">
      <c r="A195" s="26" t="s">
        <v>543</v>
      </c>
      <c r="B195" s="26" t="s">
        <v>543</v>
      </c>
      <c r="C195" s="26"/>
      <c r="D195" s="26" t="s">
        <v>543</v>
      </c>
      <c r="E195" s="26" t="str">
        <f>IFERROR(VLOOKUP(G195,WholesaleExtract!B:J,9,FALSE),"")</f>
        <v/>
      </c>
      <c r="F195" s="26" t="str">
        <f>IFERROR(VLOOKUP(G195,WholesaleExtract!B:J,6,FALSE),"")</f>
        <v/>
      </c>
      <c r="G195" s="19"/>
      <c r="H195" s="47" t="str">
        <f>IFERROR(VLOOKUP(G195,WholesaleExtract!B:L,11,FALSE),"")</f>
        <v/>
      </c>
      <c r="I195" s="26" t="str">
        <f>IFERROR(VLOOKUP(G195,WholesaleExtract!B:O,8,FALSE),"")</f>
        <v/>
      </c>
      <c r="J195" s="26" t="str">
        <f>IFERROR(VLOOKUP(G195,WholesaleExtract!B:O,14,FALSE),"")</f>
        <v/>
      </c>
      <c r="K195" s="26" t="str">
        <f>IFERROR(VLOOKUP(G195,WholesaleExtract!B:K,10,FALSE),"")</f>
        <v/>
      </c>
      <c r="L195" s="47" t="str">
        <f>IFERROR(VLOOKUP(G195,WholesaleExtract!B:L,11,FALSE),"")</f>
        <v/>
      </c>
      <c r="M195" s="47" t="str">
        <f>IFERROR(VLOOKUP(G195,WholesaleExtract!B:M,12,FALSE),"")</f>
        <v/>
      </c>
      <c r="N195" s="27"/>
      <c r="O195" s="19"/>
      <c r="P195" s="19"/>
      <c r="Q195" s="47"/>
      <c r="R195" s="19"/>
      <c r="S195" s="19"/>
    </row>
    <row r="196" spans="1:19" x14ac:dyDescent="0.35">
      <c r="A196" s="26" t="s">
        <v>543</v>
      </c>
      <c r="B196" s="26" t="s">
        <v>543</v>
      </c>
      <c r="C196" s="26"/>
      <c r="D196" s="26" t="s">
        <v>543</v>
      </c>
      <c r="E196" s="26" t="str">
        <f>IFERROR(VLOOKUP(G196,WholesaleExtract!B:J,9,FALSE),"")</f>
        <v/>
      </c>
      <c r="F196" s="26" t="str">
        <f>IFERROR(VLOOKUP(G196,WholesaleExtract!B:J,6,FALSE),"")</f>
        <v/>
      </c>
      <c r="G196" s="19"/>
      <c r="H196" s="47" t="str">
        <f>IFERROR(VLOOKUP(G196,WholesaleExtract!B:L,11,FALSE),"")</f>
        <v/>
      </c>
      <c r="I196" s="26" t="str">
        <f>IFERROR(VLOOKUP(G196,WholesaleExtract!B:O,8,FALSE),"")</f>
        <v/>
      </c>
      <c r="J196" s="26" t="str">
        <f>IFERROR(VLOOKUP(G196,WholesaleExtract!B:O,14,FALSE),"")</f>
        <v/>
      </c>
      <c r="K196" s="26" t="str">
        <f>IFERROR(VLOOKUP(G196,WholesaleExtract!B:K,10,FALSE),"")</f>
        <v/>
      </c>
      <c r="L196" s="47" t="str">
        <f>IFERROR(VLOOKUP(G196,WholesaleExtract!B:L,11,FALSE),"")</f>
        <v/>
      </c>
      <c r="M196" s="47" t="str">
        <f>IFERROR(VLOOKUP(G196,WholesaleExtract!B:M,12,FALSE),"")</f>
        <v/>
      </c>
      <c r="N196" s="27"/>
      <c r="O196" s="19"/>
      <c r="P196" s="19"/>
      <c r="Q196" s="47"/>
      <c r="R196" s="19"/>
      <c r="S196" s="19"/>
    </row>
    <row r="197" spans="1:19" x14ac:dyDescent="0.35">
      <c r="A197" s="26" t="s">
        <v>543</v>
      </c>
      <c r="B197" s="26" t="s">
        <v>543</v>
      </c>
      <c r="C197" s="26"/>
      <c r="D197" s="26" t="s">
        <v>543</v>
      </c>
      <c r="E197" s="26" t="str">
        <f>IFERROR(VLOOKUP(G197,WholesaleExtract!B:J,9,FALSE),"")</f>
        <v/>
      </c>
      <c r="F197" s="26" t="str">
        <f>IFERROR(VLOOKUP(G197,WholesaleExtract!B:J,6,FALSE),"")</f>
        <v/>
      </c>
      <c r="G197" s="19"/>
      <c r="H197" s="47" t="str">
        <f>IFERROR(VLOOKUP(G197,WholesaleExtract!B:L,11,FALSE),"")</f>
        <v/>
      </c>
      <c r="I197" s="26" t="str">
        <f>IFERROR(VLOOKUP(G197,WholesaleExtract!B:O,8,FALSE),"")</f>
        <v/>
      </c>
      <c r="J197" s="26" t="str">
        <f>IFERROR(VLOOKUP(G197,WholesaleExtract!B:O,14,FALSE),"")</f>
        <v/>
      </c>
      <c r="K197" s="26" t="str">
        <f>IFERROR(VLOOKUP(G197,WholesaleExtract!B:K,10,FALSE),"")</f>
        <v/>
      </c>
      <c r="L197" s="47" t="str">
        <f>IFERROR(VLOOKUP(G197,WholesaleExtract!B:L,11,FALSE),"")</f>
        <v/>
      </c>
      <c r="M197" s="47" t="str">
        <f>IFERROR(VLOOKUP(G197,WholesaleExtract!B:M,12,FALSE),"")</f>
        <v/>
      </c>
      <c r="N197" s="27"/>
      <c r="O197" s="19"/>
      <c r="P197" s="19"/>
      <c r="Q197" s="47"/>
      <c r="R197" s="19"/>
      <c r="S197" s="19"/>
    </row>
    <row r="198" spans="1:19" x14ac:dyDescent="0.35">
      <c r="A198" s="26" t="s">
        <v>543</v>
      </c>
      <c r="B198" s="26" t="s">
        <v>543</v>
      </c>
      <c r="C198" s="26"/>
      <c r="D198" s="26" t="s">
        <v>543</v>
      </c>
      <c r="E198" s="26" t="str">
        <f>IFERROR(VLOOKUP(G198,WholesaleExtract!B:J,9,FALSE),"")</f>
        <v/>
      </c>
      <c r="F198" s="26" t="str">
        <f>IFERROR(VLOOKUP(G198,WholesaleExtract!B:J,6,FALSE),"")</f>
        <v/>
      </c>
      <c r="G198" s="19"/>
      <c r="H198" s="47" t="str">
        <f>IFERROR(VLOOKUP(G198,WholesaleExtract!B:L,11,FALSE),"")</f>
        <v/>
      </c>
      <c r="I198" s="26" t="str">
        <f>IFERROR(VLOOKUP(G198,WholesaleExtract!B:O,8,FALSE),"")</f>
        <v/>
      </c>
      <c r="J198" s="26" t="str">
        <f>IFERROR(VLOOKUP(G198,WholesaleExtract!B:O,14,FALSE),"")</f>
        <v/>
      </c>
      <c r="K198" s="26" t="str">
        <f>IFERROR(VLOOKUP(G198,WholesaleExtract!B:K,10,FALSE),"")</f>
        <v/>
      </c>
      <c r="L198" s="47" t="str">
        <f>IFERROR(VLOOKUP(G198,WholesaleExtract!B:L,11,FALSE),"")</f>
        <v/>
      </c>
      <c r="M198" s="47" t="str">
        <f>IFERROR(VLOOKUP(G198,WholesaleExtract!B:M,12,FALSE),"")</f>
        <v/>
      </c>
      <c r="N198" s="27"/>
      <c r="O198" s="19"/>
      <c r="P198" s="19"/>
      <c r="Q198" s="47"/>
      <c r="R198" s="19"/>
      <c r="S198" s="19"/>
    </row>
    <row r="199" spans="1:19" x14ac:dyDescent="0.35">
      <c r="A199" s="26" t="s">
        <v>543</v>
      </c>
      <c r="B199" s="26" t="s">
        <v>543</v>
      </c>
      <c r="C199" s="26"/>
      <c r="D199" s="26" t="s">
        <v>543</v>
      </c>
      <c r="E199" s="26" t="str">
        <f>IFERROR(VLOOKUP(G199,WholesaleExtract!B:J,9,FALSE),"")</f>
        <v/>
      </c>
      <c r="F199" s="26" t="str">
        <f>IFERROR(VLOOKUP(G199,WholesaleExtract!B:J,6,FALSE),"")</f>
        <v/>
      </c>
      <c r="G199" s="19"/>
      <c r="H199" s="47" t="str">
        <f>IFERROR(VLOOKUP(G199,WholesaleExtract!B:L,11,FALSE),"")</f>
        <v/>
      </c>
      <c r="I199" s="26" t="str">
        <f>IFERROR(VLOOKUP(G199,WholesaleExtract!B:O,8,FALSE),"")</f>
        <v/>
      </c>
      <c r="J199" s="26" t="str">
        <f>IFERROR(VLOOKUP(G199,WholesaleExtract!B:O,14,FALSE),"")</f>
        <v/>
      </c>
      <c r="K199" s="26" t="str">
        <f>IFERROR(VLOOKUP(G199,WholesaleExtract!B:K,10,FALSE),"")</f>
        <v/>
      </c>
      <c r="L199" s="47" t="str">
        <f>IFERROR(VLOOKUP(G199,WholesaleExtract!B:L,11,FALSE),"")</f>
        <v/>
      </c>
      <c r="M199" s="47" t="str">
        <f>IFERROR(VLOOKUP(G199,WholesaleExtract!B:M,12,FALSE),"")</f>
        <v/>
      </c>
      <c r="N199" s="27"/>
      <c r="O199" s="19"/>
      <c r="P199" s="19"/>
      <c r="Q199" s="47"/>
      <c r="R199" s="19"/>
      <c r="S199" s="19"/>
    </row>
    <row r="200" spans="1:19" x14ac:dyDescent="0.35">
      <c r="A200" s="26" t="s">
        <v>543</v>
      </c>
      <c r="B200" s="26" t="s">
        <v>543</v>
      </c>
      <c r="C200" s="26"/>
      <c r="D200" s="26" t="s">
        <v>543</v>
      </c>
      <c r="E200" s="26" t="str">
        <f>IFERROR(VLOOKUP(G200,WholesaleExtract!B:J,9,FALSE),"")</f>
        <v/>
      </c>
      <c r="F200" s="26" t="str">
        <f>IFERROR(VLOOKUP(G200,WholesaleExtract!B:J,6,FALSE),"")</f>
        <v/>
      </c>
      <c r="G200" s="19"/>
      <c r="H200" s="47" t="str">
        <f>IFERROR(VLOOKUP(G200,WholesaleExtract!B:L,11,FALSE),"")</f>
        <v/>
      </c>
      <c r="I200" s="26" t="str">
        <f>IFERROR(VLOOKUP(G200,WholesaleExtract!B:O,8,FALSE),"")</f>
        <v/>
      </c>
      <c r="J200" s="26" t="str">
        <f>IFERROR(VLOOKUP(G200,WholesaleExtract!B:O,14,FALSE),"")</f>
        <v/>
      </c>
      <c r="K200" s="26" t="str">
        <f>IFERROR(VLOOKUP(G200,WholesaleExtract!B:K,10,FALSE),"")</f>
        <v/>
      </c>
      <c r="L200" s="47" t="str">
        <f>IFERROR(VLOOKUP(G200,WholesaleExtract!B:L,11,FALSE),"")</f>
        <v/>
      </c>
      <c r="M200" s="47" t="str">
        <f>IFERROR(VLOOKUP(G200,WholesaleExtract!B:M,12,FALSE),"")</f>
        <v/>
      </c>
      <c r="N200" s="27"/>
      <c r="O200" s="19"/>
      <c r="P200" s="19"/>
      <c r="Q200" s="47"/>
      <c r="R200" s="19"/>
      <c r="S200" s="19"/>
    </row>
    <row r="201" spans="1:19" x14ac:dyDescent="0.35">
      <c r="A201" s="26" t="s">
        <v>543</v>
      </c>
      <c r="B201" s="26" t="s">
        <v>543</v>
      </c>
      <c r="C201" s="26"/>
      <c r="D201" s="26" t="s">
        <v>543</v>
      </c>
      <c r="E201" s="26" t="str">
        <f>IFERROR(VLOOKUP(G201,WholesaleExtract!B:J,9,FALSE),"")</f>
        <v/>
      </c>
      <c r="F201" s="26" t="str">
        <f>IFERROR(VLOOKUP(G201,WholesaleExtract!B:J,6,FALSE),"")</f>
        <v/>
      </c>
      <c r="G201" s="19"/>
      <c r="H201" s="47" t="str">
        <f>IFERROR(VLOOKUP(G201,WholesaleExtract!B:L,11,FALSE),"")</f>
        <v/>
      </c>
      <c r="I201" s="26" t="str">
        <f>IFERROR(VLOOKUP(G201,WholesaleExtract!B:O,8,FALSE),"")</f>
        <v/>
      </c>
      <c r="J201" s="26" t="str">
        <f>IFERROR(VLOOKUP(G201,WholesaleExtract!B:O,14,FALSE),"")</f>
        <v/>
      </c>
      <c r="K201" s="26" t="str">
        <f>IFERROR(VLOOKUP(G201,WholesaleExtract!B:K,10,FALSE),"")</f>
        <v/>
      </c>
      <c r="L201" s="47" t="str">
        <f>IFERROR(VLOOKUP(G201,WholesaleExtract!B:L,11,FALSE),"")</f>
        <v/>
      </c>
      <c r="M201" s="47" t="str">
        <f>IFERROR(VLOOKUP(G201,WholesaleExtract!B:M,12,FALSE),"")</f>
        <v/>
      </c>
      <c r="N201" s="27"/>
      <c r="O201" s="19"/>
      <c r="P201" s="19"/>
      <c r="Q201" s="47"/>
      <c r="R201" s="19"/>
      <c r="S201" s="19"/>
    </row>
    <row r="202" spans="1:19" x14ac:dyDescent="0.35">
      <c r="A202" s="26" t="s">
        <v>543</v>
      </c>
      <c r="B202" s="26" t="s">
        <v>543</v>
      </c>
      <c r="C202" s="26"/>
      <c r="D202" s="26" t="s">
        <v>543</v>
      </c>
      <c r="E202" s="26" t="str">
        <f>IFERROR(VLOOKUP(G202,WholesaleExtract!B:J,9,FALSE),"")</f>
        <v/>
      </c>
      <c r="F202" s="26" t="str">
        <f>IFERROR(VLOOKUP(G202,WholesaleExtract!B:J,6,FALSE),"")</f>
        <v/>
      </c>
      <c r="G202" s="19"/>
      <c r="H202" s="47" t="str">
        <f>IFERROR(VLOOKUP(G202,WholesaleExtract!B:L,11,FALSE),"")</f>
        <v/>
      </c>
      <c r="I202" s="26" t="str">
        <f>IFERROR(VLOOKUP(G202,WholesaleExtract!B:O,8,FALSE),"")</f>
        <v/>
      </c>
      <c r="J202" s="26" t="str">
        <f>IFERROR(VLOOKUP(G202,WholesaleExtract!B:O,14,FALSE),"")</f>
        <v/>
      </c>
      <c r="K202" s="26" t="str">
        <f>IFERROR(VLOOKUP(G202,WholesaleExtract!B:K,10,FALSE),"")</f>
        <v/>
      </c>
      <c r="L202" s="47" t="str">
        <f>IFERROR(VLOOKUP(G202,WholesaleExtract!B:L,11,FALSE),"")</f>
        <v/>
      </c>
      <c r="M202" s="47" t="str">
        <f>IFERROR(VLOOKUP(G202,WholesaleExtract!B:M,12,FALSE),"")</f>
        <v/>
      </c>
      <c r="N202" s="27"/>
      <c r="O202" s="19"/>
      <c r="P202" s="19"/>
      <c r="Q202" s="47"/>
      <c r="R202" s="19"/>
      <c r="S202" s="19"/>
    </row>
    <row r="203" spans="1:19" x14ac:dyDescent="0.35">
      <c r="A203" s="26" t="s">
        <v>543</v>
      </c>
      <c r="B203" s="26" t="s">
        <v>543</v>
      </c>
      <c r="C203" s="26"/>
      <c r="D203" s="26" t="s">
        <v>543</v>
      </c>
      <c r="E203" s="26" t="str">
        <f>IFERROR(VLOOKUP(G203,WholesaleExtract!B:J,9,FALSE),"")</f>
        <v/>
      </c>
      <c r="F203" s="26" t="str">
        <f>IFERROR(VLOOKUP(G203,WholesaleExtract!B:J,6,FALSE),"")</f>
        <v/>
      </c>
      <c r="G203" s="19"/>
      <c r="H203" s="47" t="str">
        <f>IFERROR(VLOOKUP(G203,WholesaleExtract!B:L,11,FALSE),"")</f>
        <v/>
      </c>
      <c r="I203" s="26" t="str">
        <f>IFERROR(VLOOKUP(G203,WholesaleExtract!B:O,8,FALSE),"")</f>
        <v/>
      </c>
      <c r="J203" s="26" t="str">
        <f>IFERROR(VLOOKUP(G203,WholesaleExtract!B:O,14,FALSE),"")</f>
        <v/>
      </c>
      <c r="K203" s="26" t="str">
        <f>IFERROR(VLOOKUP(G203,WholesaleExtract!B:K,10,FALSE),"")</f>
        <v/>
      </c>
      <c r="L203" s="47" t="str">
        <f>IFERROR(VLOOKUP(G203,WholesaleExtract!B:L,11,FALSE),"")</f>
        <v/>
      </c>
      <c r="M203" s="47" t="str">
        <f>IFERROR(VLOOKUP(G203,WholesaleExtract!B:M,12,FALSE),"")</f>
        <v/>
      </c>
      <c r="N203" s="27"/>
      <c r="O203" s="19"/>
      <c r="P203" s="19"/>
      <c r="Q203" s="47"/>
      <c r="R203" s="19"/>
      <c r="S203" s="19"/>
    </row>
    <row r="204" spans="1:19" x14ac:dyDescent="0.35">
      <c r="A204" s="26" t="s">
        <v>543</v>
      </c>
      <c r="B204" s="26" t="s">
        <v>543</v>
      </c>
      <c r="C204" s="26"/>
      <c r="D204" s="26" t="s">
        <v>543</v>
      </c>
      <c r="E204" s="26" t="str">
        <f>IFERROR(VLOOKUP(G204,WholesaleExtract!B:J,9,FALSE),"")</f>
        <v/>
      </c>
      <c r="F204" s="26" t="str">
        <f>IFERROR(VLOOKUP(G204,WholesaleExtract!B:J,6,FALSE),"")</f>
        <v/>
      </c>
      <c r="G204" s="19"/>
      <c r="H204" s="47" t="str">
        <f>IFERROR(VLOOKUP(G204,WholesaleExtract!B:L,11,FALSE),"")</f>
        <v/>
      </c>
      <c r="I204" s="26" t="str">
        <f>IFERROR(VLOOKUP(G204,WholesaleExtract!B:O,8,FALSE),"")</f>
        <v/>
      </c>
      <c r="J204" s="26" t="str">
        <f>IFERROR(VLOOKUP(G204,WholesaleExtract!B:O,14,FALSE),"")</f>
        <v/>
      </c>
      <c r="K204" s="26" t="str">
        <f>IFERROR(VLOOKUP(G204,WholesaleExtract!B:K,10,FALSE),"")</f>
        <v/>
      </c>
      <c r="L204" s="47" t="str">
        <f>IFERROR(VLOOKUP(G204,WholesaleExtract!B:L,11,FALSE),"")</f>
        <v/>
      </c>
      <c r="M204" s="47" t="str">
        <f>IFERROR(VLOOKUP(G204,WholesaleExtract!B:M,12,FALSE),"")</f>
        <v/>
      </c>
      <c r="N204" s="27"/>
      <c r="O204" s="19"/>
      <c r="P204" s="19"/>
      <c r="Q204" s="47"/>
      <c r="R204" s="19"/>
      <c r="S204" s="19"/>
    </row>
    <row r="205" spans="1:19" x14ac:dyDescent="0.35">
      <c r="A205" s="26" t="s">
        <v>543</v>
      </c>
      <c r="B205" s="26" t="s">
        <v>543</v>
      </c>
      <c r="C205" s="26"/>
      <c r="D205" s="26" t="s">
        <v>543</v>
      </c>
      <c r="E205" s="26" t="str">
        <f>IFERROR(VLOOKUP(G205,WholesaleExtract!B:J,9,FALSE),"")</f>
        <v/>
      </c>
      <c r="F205" s="26" t="str">
        <f>IFERROR(VLOOKUP(G205,WholesaleExtract!B:J,6,FALSE),"")</f>
        <v/>
      </c>
      <c r="G205" s="19"/>
      <c r="H205" s="47" t="str">
        <f>IFERROR(VLOOKUP(G205,WholesaleExtract!B:L,11,FALSE),"")</f>
        <v/>
      </c>
      <c r="I205" s="26" t="str">
        <f>IFERROR(VLOOKUP(G205,WholesaleExtract!B:O,8,FALSE),"")</f>
        <v/>
      </c>
      <c r="J205" s="26" t="str">
        <f>IFERROR(VLOOKUP(G205,WholesaleExtract!B:O,14,FALSE),"")</f>
        <v/>
      </c>
      <c r="K205" s="26" t="str">
        <f>IFERROR(VLOOKUP(G205,WholesaleExtract!B:K,10,FALSE),"")</f>
        <v/>
      </c>
      <c r="L205" s="47" t="str">
        <f>IFERROR(VLOOKUP(G205,WholesaleExtract!B:L,11,FALSE),"")</f>
        <v/>
      </c>
      <c r="M205" s="47" t="str">
        <f>IFERROR(VLOOKUP(G205,WholesaleExtract!B:M,12,FALSE),"")</f>
        <v/>
      </c>
      <c r="N205" s="27"/>
      <c r="O205" s="19"/>
      <c r="P205" s="19"/>
      <c r="Q205" s="47"/>
      <c r="R205" s="19"/>
      <c r="S205" s="19"/>
    </row>
    <row r="206" spans="1:19" x14ac:dyDescent="0.35">
      <c r="A206" s="26" t="s">
        <v>543</v>
      </c>
      <c r="B206" s="26" t="s">
        <v>543</v>
      </c>
      <c r="C206" s="26"/>
      <c r="D206" s="26" t="s">
        <v>543</v>
      </c>
      <c r="E206" s="26" t="str">
        <f>IFERROR(VLOOKUP(G206,WholesaleExtract!B:J,9,FALSE),"")</f>
        <v/>
      </c>
      <c r="F206" s="26" t="str">
        <f>IFERROR(VLOOKUP(G206,WholesaleExtract!B:J,6,FALSE),"")</f>
        <v/>
      </c>
      <c r="G206" s="19"/>
      <c r="H206" s="47" t="str">
        <f>IFERROR(VLOOKUP(G206,WholesaleExtract!B:L,11,FALSE),"")</f>
        <v/>
      </c>
      <c r="I206" s="26" t="str">
        <f>IFERROR(VLOOKUP(G206,WholesaleExtract!B:O,8,FALSE),"")</f>
        <v/>
      </c>
      <c r="J206" s="26" t="str">
        <f>IFERROR(VLOOKUP(G206,WholesaleExtract!B:O,14,FALSE),"")</f>
        <v/>
      </c>
      <c r="K206" s="26" t="str">
        <f>IFERROR(VLOOKUP(G206,WholesaleExtract!B:K,10,FALSE),"")</f>
        <v/>
      </c>
      <c r="L206" s="47" t="str">
        <f>IFERROR(VLOOKUP(G206,WholesaleExtract!B:L,11,FALSE),"")</f>
        <v/>
      </c>
      <c r="M206" s="47" t="str">
        <f>IFERROR(VLOOKUP(G206,WholesaleExtract!B:M,12,FALSE),"")</f>
        <v/>
      </c>
      <c r="N206" s="27"/>
      <c r="O206" s="19"/>
      <c r="P206" s="19"/>
      <c r="Q206" s="47"/>
      <c r="R206" s="19"/>
      <c r="S206" s="19"/>
    </row>
    <row r="207" spans="1:19" x14ac:dyDescent="0.35">
      <c r="A207" s="26" t="s">
        <v>543</v>
      </c>
      <c r="B207" s="26" t="s">
        <v>543</v>
      </c>
      <c r="C207" s="26"/>
      <c r="D207" s="26" t="s">
        <v>543</v>
      </c>
      <c r="E207" s="26" t="str">
        <f>IFERROR(VLOOKUP(G207,WholesaleExtract!B:J,9,FALSE),"")</f>
        <v/>
      </c>
      <c r="F207" s="26" t="str">
        <f>IFERROR(VLOOKUP(G207,WholesaleExtract!B:J,6,FALSE),"")</f>
        <v/>
      </c>
      <c r="G207" s="19"/>
      <c r="H207" s="47" t="str">
        <f>IFERROR(VLOOKUP(G207,WholesaleExtract!B:L,11,FALSE),"")</f>
        <v/>
      </c>
      <c r="I207" s="26" t="str">
        <f>IFERROR(VLOOKUP(G207,WholesaleExtract!B:O,8,FALSE),"")</f>
        <v/>
      </c>
      <c r="J207" s="26" t="str">
        <f>IFERROR(VLOOKUP(G207,WholesaleExtract!B:O,14,FALSE),"")</f>
        <v/>
      </c>
      <c r="K207" s="26" t="str">
        <f>IFERROR(VLOOKUP(G207,WholesaleExtract!B:K,10,FALSE),"")</f>
        <v/>
      </c>
      <c r="L207" s="47" t="str">
        <f>IFERROR(VLOOKUP(G207,WholesaleExtract!B:L,11,FALSE),"")</f>
        <v/>
      </c>
      <c r="M207" s="47" t="str">
        <f>IFERROR(VLOOKUP(G207,WholesaleExtract!B:M,12,FALSE),"")</f>
        <v/>
      </c>
      <c r="N207" s="27"/>
      <c r="O207" s="19"/>
      <c r="P207" s="19"/>
      <c r="Q207" s="47"/>
      <c r="R207" s="19"/>
      <c r="S207" s="19"/>
    </row>
    <row r="208" spans="1:19" x14ac:dyDescent="0.35">
      <c r="A208" s="26" t="s">
        <v>543</v>
      </c>
      <c r="B208" s="26" t="s">
        <v>543</v>
      </c>
      <c r="C208" s="26"/>
      <c r="D208" s="26" t="s">
        <v>543</v>
      </c>
      <c r="E208" s="26" t="str">
        <f>IFERROR(VLOOKUP(G208,WholesaleExtract!B:J,9,FALSE),"")</f>
        <v/>
      </c>
      <c r="F208" s="26" t="str">
        <f>IFERROR(VLOOKUP(G208,WholesaleExtract!B:J,6,FALSE),"")</f>
        <v/>
      </c>
      <c r="G208" s="19"/>
      <c r="H208" s="47" t="str">
        <f>IFERROR(VLOOKUP(G208,WholesaleExtract!B:L,11,FALSE),"")</f>
        <v/>
      </c>
      <c r="I208" s="26" t="str">
        <f>IFERROR(VLOOKUP(G208,WholesaleExtract!B:O,8,FALSE),"")</f>
        <v/>
      </c>
      <c r="J208" s="26" t="str">
        <f>IFERROR(VLOOKUP(G208,WholesaleExtract!B:O,14,FALSE),"")</f>
        <v/>
      </c>
      <c r="K208" s="26" t="str">
        <f>IFERROR(VLOOKUP(G208,WholesaleExtract!B:K,10,FALSE),"")</f>
        <v/>
      </c>
      <c r="L208" s="47" t="str">
        <f>IFERROR(VLOOKUP(G208,WholesaleExtract!B:L,11,FALSE),"")</f>
        <v/>
      </c>
      <c r="M208" s="47" t="str">
        <f>IFERROR(VLOOKUP(G208,WholesaleExtract!B:M,12,FALSE),"")</f>
        <v/>
      </c>
      <c r="N208" s="27"/>
      <c r="O208" s="19"/>
      <c r="P208" s="19"/>
      <c r="Q208" s="47"/>
      <c r="R208" s="19"/>
      <c r="S208" s="19"/>
    </row>
    <row r="209" spans="1:19" x14ac:dyDescent="0.35">
      <c r="A209" s="26" t="s">
        <v>543</v>
      </c>
      <c r="B209" s="26" t="s">
        <v>543</v>
      </c>
      <c r="C209" s="26"/>
      <c r="D209" s="26" t="s">
        <v>543</v>
      </c>
      <c r="E209" s="26" t="str">
        <f>IFERROR(VLOOKUP(G209,WholesaleExtract!B:J,9,FALSE),"")</f>
        <v/>
      </c>
      <c r="F209" s="26" t="str">
        <f>IFERROR(VLOOKUP(G209,WholesaleExtract!B:J,6,FALSE),"")</f>
        <v/>
      </c>
      <c r="G209" s="19"/>
      <c r="H209" s="47" t="str">
        <f>IFERROR(VLOOKUP(G209,WholesaleExtract!B:L,11,FALSE),"")</f>
        <v/>
      </c>
      <c r="I209" s="26" t="str">
        <f>IFERROR(VLOOKUP(G209,WholesaleExtract!B:O,8,FALSE),"")</f>
        <v/>
      </c>
      <c r="J209" s="26" t="str">
        <f>IFERROR(VLOOKUP(G209,WholesaleExtract!B:O,14,FALSE),"")</f>
        <v/>
      </c>
      <c r="K209" s="26" t="str">
        <f>IFERROR(VLOOKUP(G209,WholesaleExtract!B:K,10,FALSE),"")</f>
        <v/>
      </c>
      <c r="L209" s="47" t="str">
        <f>IFERROR(VLOOKUP(G209,WholesaleExtract!B:L,11,FALSE),"")</f>
        <v/>
      </c>
      <c r="M209" s="47" t="str">
        <f>IFERROR(VLOOKUP(G209,WholesaleExtract!B:M,12,FALSE),"")</f>
        <v/>
      </c>
      <c r="N209" s="27"/>
      <c r="O209" s="19"/>
      <c r="P209" s="19"/>
      <c r="Q209" s="47"/>
      <c r="R209" s="19"/>
      <c r="S209" s="19"/>
    </row>
    <row r="210" spans="1:19" x14ac:dyDescent="0.35">
      <c r="A210" s="26" t="s">
        <v>543</v>
      </c>
      <c r="B210" s="26" t="s">
        <v>543</v>
      </c>
      <c r="C210" s="26"/>
      <c r="D210" s="26" t="s">
        <v>543</v>
      </c>
      <c r="E210" s="26" t="str">
        <f>IFERROR(VLOOKUP(G210,WholesaleExtract!B:J,9,FALSE),"")</f>
        <v/>
      </c>
      <c r="F210" s="26" t="str">
        <f>IFERROR(VLOOKUP(G210,WholesaleExtract!B:J,6,FALSE),"")</f>
        <v/>
      </c>
      <c r="G210" s="19"/>
      <c r="H210" s="47" t="str">
        <f>IFERROR(VLOOKUP(G210,WholesaleExtract!B:L,11,FALSE),"")</f>
        <v/>
      </c>
      <c r="I210" s="26" t="str">
        <f>IFERROR(VLOOKUP(G210,WholesaleExtract!B:O,8,FALSE),"")</f>
        <v/>
      </c>
      <c r="J210" s="26" t="str">
        <f>IFERROR(VLOOKUP(G210,WholesaleExtract!B:O,14,FALSE),"")</f>
        <v/>
      </c>
      <c r="K210" s="26" t="str">
        <f>IFERROR(VLOOKUP(G210,WholesaleExtract!B:K,10,FALSE),"")</f>
        <v/>
      </c>
      <c r="L210" s="47" t="str">
        <f>IFERROR(VLOOKUP(G210,WholesaleExtract!B:L,11,FALSE),"")</f>
        <v/>
      </c>
      <c r="M210" s="47" t="str">
        <f>IFERROR(VLOOKUP(G210,WholesaleExtract!B:M,12,FALSE),"")</f>
        <v/>
      </c>
      <c r="N210" s="27"/>
      <c r="O210" s="19"/>
      <c r="P210" s="19"/>
      <c r="Q210" s="47"/>
      <c r="R210" s="19"/>
      <c r="S210" s="19"/>
    </row>
    <row r="211" spans="1:19" x14ac:dyDescent="0.35">
      <c r="A211" s="26" t="s">
        <v>543</v>
      </c>
      <c r="B211" s="26" t="s">
        <v>543</v>
      </c>
      <c r="C211" s="26"/>
      <c r="D211" s="26" t="s">
        <v>543</v>
      </c>
      <c r="E211" s="26" t="str">
        <f>IFERROR(VLOOKUP(G211,WholesaleExtract!B:J,9,FALSE),"")</f>
        <v/>
      </c>
      <c r="F211" s="26" t="str">
        <f>IFERROR(VLOOKUP(G211,WholesaleExtract!B:J,6,FALSE),"")</f>
        <v/>
      </c>
      <c r="G211" s="19"/>
      <c r="H211" s="47" t="str">
        <f>IFERROR(VLOOKUP(G211,WholesaleExtract!B:L,11,FALSE),"")</f>
        <v/>
      </c>
      <c r="I211" s="26" t="str">
        <f>IFERROR(VLOOKUP(G211,WholesaleExtract!B:O,8,FALSE),"")</f>
        <v/>
      </c>
      <c r="J211" s="26" t="str">
        <f>IFERROR(VLOOKUP(G211,WholesaleExtract!B:O,14,FALSE),"")</f>
        <v/>
      </c>
      <c r="K211" s="26" t="str">
        <f>IFERROR(VLOOKUP(G211,WholesaleExtract!B:K,10,FALSE),"")</f>
        <v/>
      </c>
      <c r="L211" s="47" t="str">
        <f>IFERROR(VLOOKUP(G211,WholesaleExtract!B:L,11,FALSE),"")</f>
        <v/>
      </c>
      <c r="M211" s="47" t="str">
        <f>IFERROR(VLOOKUP(G211,WholesaleExtract!B:M,12,FALSE),"")</f>
        <v/>
      </c>
      <c r="N211" s="27"/>
      <c r="O211" s="19"/>
      <c r="P211" s="19"/>
      <c r="Q211" s="47"/>
      <c r="R211" s="19"/>
      <c r="S211" s="19"/>
    </row>
    <row r="212" spans="1:19" x14ac:dyDescent="0.35">
      <c r="A212" s="26" t="s">
        <v>543</v>
      </c>
      <c r="B212" s="26" t="s">
        <v>543</v>
      </c>
      <c r="C212" s="26"/>
      <c r="D212" s="26" t="s">
        <v>543</v>
      </c>
      <c r="E212" s="26" t="str">
        <f>IFERROR(VLOOKUP(G212,WholesaleExtract!B:J,9,FALSE),"")</f>
        <v/>
      </c>
      <c r="F212" s="26" t="str">
        <f>IFERROR(VLOOKUP(G212,WholesaleExtract!B:J,6,FALSE),"")</f>
        <v/>
      </c>
      <c r="G212" s="19"/>
      <c r="H212" s="47" t="str">
        <f>IFERROR(VLOOKUP(G212,WholesaleExtract!B:L,11,FALSE),"")</f>
        <v/>
      </c>
      <c r="I212" s="26" t="str">
        <f>IFERROR(VLOOKUP(G212,WholesaleExtract!B:O,8,FALSE),"")</f>
        <v/>
      </c>
      <c r="J212" s="26" t="str">
        <f>IFERROR(VLOOKUP(G212,WholesaleExtract!B:O,14,FALSE),"")</f>
        <v/>
      </c>
      <c r="K212" s="26" t="str">
        <f>IFERROR(VLOOKUP(G212,WholesaleExtract!B:K,10,FALSE),"")</f>
        <v/>
      </c>
      <c r="L212" s="47" t="str">
        <f>IFERROR(VLOOKUP(G212,WholesaleExtract!B:L,11,FALSE),"")</f>
        <v/>
      </c>
      <c r="M212" s="47" t="str">
        <f>IFERROR(VLOOKUP(G212,WholesaleExtract!B:M,12,FALSE),"")</f>
        <v/>
      </c>
      <c r="N212" s="27"/>
      <c r="O212" s="19"/>
      <c r="P212" s="19"/>
      <c r="Q212" s="47"/>
      <c r="R212" s="19"/>
      <c r="S212" s="19"/>
    </row>
    <row r="213" spans="1:19" x14ac:dyDescent="0.35">
      <c r="A213" s="26" t="s">
        <v>543</v>
      </c>
      <c r="B213" s="26" t="s">
        <v>543</v>
      </c>
      <c r="C213" s="26"/>
      <c r="D213" s="26" t="s">
        <v>543</v>
      </c>
      <c r="E213" s="26" t="str">
        <f>IFERROR(VLOOKUP(G213,WholesaleExtract!B:J,9,FALSE),"")</f>
        <v/>
      </c>
      <c r="F213" s="26" t="str">
        <f>IFERROR(VLOOKUP(G213,WholesaleExtract!B:J,6,FALSE),"")</f>
        <v/>
      </c>
      <c r="G213" s="19"/>
      <c r="H213" s="47" t="str">
        <f>IFERROR(VLOOKUP(G213,WholesaleExtract!B:L,11,FALSE),"")</f>
        <v/>
      </c>
      <c r="I213" s="26" t="str">
        <f>IFERROR(VLOOKUP(G213,WholesaleExtract!B:O,8,FALSE),"")</f>
        <v/>
      </c>
      <c r="J213" s="26" t="str">
        <f>IFERROR(VLOOKUP(G213,WholesaleExtract!B:O,14,FALSE),"")</f>
        <v/>
      </c>
      <c r="K213" s="26" t="str">
        <f>IFERROR(VLOOKUP(G213,WholesaleExtract!B:K,10,FALSE),"")</f>
        <v/>
      </c>
      <c r="L213" s="47" t="str">
        <f>IFERROR(VLOOKUP(G213,WholesaleExtract!B:L,11,FALSE),"")</f>
        <v/>
      </c>
      <c r="M213" s="47" t="str">
        <f>IFERROR(VLOOKUP(G213,WholesaleExtract!B:M,12,FALSE),"")</f>
        <v/>
      </c>
      <c r="N213" s="27"/>
      <c r="O213" s="19"/>
      <c r="P213" s="19"/>
      <c r="Q213" s="47"/>
      <c r="R213" s="19"/>
      <c r="S213" s="19"/>
    </row>
    <row r="214" spans="1:19" x14ac:dyDescent="0.35">
      <c r="A214" s="26" t="s">
        <v>543</v>
      </c>
      <c r="B214" s="26" t="s">
        <v>543</v>
      </c>
      <c r="C214" s="26"/>
      <c r="D214" s="26" t="s">
        <v>543</v>
      </c>
      <c r="E214" s="26" t="str">
        <f>IFERROR(VLOOKUP(G214,WholesaleExtract!B:J,9,FALSE),"")</f>
        <v/>
      </c>
      <c r="F214" s="26" t="str">
        <f>IFERROR(VLOOKUP(G214,WholesaleExtract!B:J,6,FALSE),"")</f>
        <v/>
      </c>
      <c r="G214" s="19"/>
      <c r="H214" s="47" t="str">
        <f>IFERROR(VLOOKUP(G214,WholesaleExtract!B:L,11,FALSE),"")</f>
        <v/>
      </c>
      <c r="I214" s="26" t="str">
        <f>IFERROR(VLOOKUP(G214,WholesaleExtract!B:O,8,FALSE),"")</f>
        <v/>
      </c>
      <c r="J214" s="26" t="str">
        <f>IFERROR(VLOOKUP(G214,WholesaleExtract!B:O,14,FALSE),"")</f>
        <v/>
      </c>
      <c r="K214" s="26" t="str">
        <f>IFERROR(VLOOKUP(G214,WholesaleExtract!B:K,10,FALSE),"")</f>
        <v/>
      </c>
      <c r="L214" s="47" t="str">
        <f>IFERROR(VLOOKUP(G214,WholesaleExtract!B:L,11,FALSE),"")</f>
        <v/>
      </c>
      <c r="M214" s="47" t="str">
        <f>IFERROR(VLOOKUP(G214,WholesaleExtract!B:M,12,FALSE),"")</f>
        <v/>
      </c>
      <c r="N214" s="27"/>
      <c r="O214" s="19"/>
      <c r="P214" s="19"/>
      <c r="Q214" s="47"/>
      <c r="R214" s="19"/>
      <c r="S214" s="19"/>
    </row>
    <row r="215" spans="1:19" x14ac:dyDescent="0.35">
      <c r="A215" s="26" t="s">
        <v>543</v>
      </c>
      <c r="B215" s="26" t="s">
        <v>543</v>
      </c>
      <c r="C215" s="26"/>
      <c r="D215" s="26" t="s">
        <v>543</v>
      </c>
      <c r="E215" s="26" t="str">
        <f>IFERROR(VLOOKUP(G215,WholesaleExtract!B:J,9,FALSE),"")</f>
        <v/>
      </c>
      <c r="F215" s="26" t="str">
        <f>IFERROR(VLOOKUP(G215,WholesaleExtract!B:J,6,FALSE),"")</f>
        <v/>
      </c>
      <c r="G215" s="19"/>
      <c r="H215" s="47" t="str">
        <f>IFERROR(VLOOKUP(G215,WholesaleExtract!B:L,11,FALSE),"")</f>
        <v/>
      </c>
      <c r="I215" s="26" t="str">
        <f>IFERROR(VLOOKUP(G215,WholesaleExtract!B:O,8,FALSE),"")</f>
        <v/>
      </c>
      <c r="J215" s="26" t="str">
        <f>IFERROR(VLOOKUP(G215,WholesaleExtract!B:O,14,FALSE),"")</f>
        <v/>
      </c>
      <c r="K215" s="26" t="str">
        <f>IFERROR(VLOOKUP(G215,WholesaleExtract!B:K,10,FALSE),"")</f>
        <v/>
      </c>
      <c r="L215" s="47" t="str">
        <f>IFERROR(VLOOKUP(G215,WholesaleExtract!B:L,11,FALSE),"")</f>
        <v/>
      </c>
      <c r="M215" s="47" t="str">
        <f>IFERROR(VLOOKUP(G215,WholesaleExtract!B:M,12,FALSE),"")</f>
        <v/>
      </c>
      <c r="N215" s="27"/>
      <c r="O215" s="19"/>
      <c r="P215" s="19"/>
      <c r="Q215" s="47"/>
      <c r="R215" s="19"/>
      <c r="S215" s="19"/>
    </row>
    <row r="216" spans="1:19" x14ac:dyDescent="0.35">
      <c r="A216" s="26" t="s">
        <v>543</v>
      </c>
      <c r="B216" s="26" t="s">
        <v>543</v>
      </c>
      <c r="C216" s="26"/>
      <c r="D216" s="26" t="s">
        <v>543</v>
      </c>
      <c r="E216" s="26" t="str">
        <f>IFERROR(VLOOKUP(G216,WholesaleExtract!B:J,9,FALSE),"")</f>
        <v/>
      </c>
      <c r="F216" s="26" t="str">
        <f>IFERROR(VLOOKUP(G216,WholesaleExtract!B:J,6,FALSE),"")</f>
        <v/>
      </c>
      <c r="G216" s="19"/>
      <c r="H216" s="47" t="str">
        <f>IFERROR(VLOOKUP(G216,WholesaleExtract!B:L,11,FALSE),"")</f>
        <v/>
      </c>
      <c r="I216" s="26" t="str">
        <f>IFERROR(VLOOKUP(G216,WholesaleExtract!B:O,8,FALSE),"")</f>
        <v/>
      </c>
      <c r="J216" s="26" t="str">
        <f>IFERROR(VLOOKUP(G216,WholesaleExtract!B:O,14,FALSE),"")</f>
        <v/>
      </c>
      <c r="K216" s="26" t="str">
        <f>IFERROR(VLOOKUP(G216,WholesaleExtract!B:K,10,FALSE),"")</f>
        <v/>
      </c>
      <c r="L216" s="47" t="str">
        <f>IFERROR(VLOOKUP(G216,WholesaleExtract!B:L,11,FALSE),"")</f>
        <v/>
      </c>
      <c r="M216" s="47" t="str">
        <f>IFERROR(VLOOKUP(G216,WholesaleExtract!B:M,12,FALSE),"")</f>
        <v/>
      </c>
      <c r="N216" s="27"/>
      <c r="O216" s="19"/>
      <c r="P216" s="19"/>
      <c r="Q216" s="47"/>
      <c r="R216" s="19"/>
      <c r="S216" s="19"/>
    </row>
    <row r="217" spans="1:19" x14ac:dyDescent="0.35">
      <c r="A217" s="26" t="s">
        <v>543</v>
      </c>
      <c r="B217" s="26" t="s">
        <v>543</v>
      </c>
      <c r="C217" s="26"/>
      <c r="D217" s="26" t="s">
        <v>543</v>
      </c>
      <c r="E217" s="26" t="str">
        <f>IFERROR(VLOOKUP(G217,WholesaleExtract!B:J,9,FALSE),"")</f>
        <v/>
      </c>
      <c r="F217" s="26" t="str">
        <f>IFERROR(VLOOKUP(G217,WholesaleExtract!B:J,6,FALSE),"")</f>
        <v/>
      </c>
      <c r="G217" s="19"/>
      <c r="H217" s="47" t="str">
        <f>IFERROR(VLOOKUP(G217,WholesaleExtract!B:L,11,FALSE),"")</f>
        <v/>
      </c>
      <c r="I217" s="26" t="str">
        <f>IFERROR(VLOOKUP(G217,WholesaleExtract!B:O,8,FALSE),"")</f>
        <v/>
      </c>
      <c r="J217" s="26" t="str">
        <f>IFERROR(VLOOKUP(G217,WholesaleExtract!B:O,14,FALSE),"")</f>
        <v/>
      </c>
      <c r="K217" s="26" t="str">
        <f>IFERROR(VLOOKUP(G217,WholesaleExtract!B:K,10,FALSE),"")</f>
        <v/>
      </c>
      <c r="L217" s="47" t="str">
        <f>IFERROR(VLOOKUP(G217,WholesaleExtract!B:L,11,FALSE),"")</f>
        <v/>
      </c>
      <c r="M217" s="47" t="str">
        <f>IFERROR(VLOOKUP(G217,WholesaleExtract!B:M,12,FALSE),"")</f>
        <v/>
      </c>
      <c r="N217" s="27"/>
      <c r="O217" s="19"/>
      <c r="P217" s="19"/>
      <c r="Q217" s="47"/>
      <c r="R217" s="19"/>
      <c r="S217" s="19"/>
    </row>
    <row r="218" spans="1:19" x14ac:dyDescent="0.35">
      <c r="A218" s="26" t="s">
        <v>543</v>
      </c>
      <c r="B218" s="26" t="s">
        <v>543</v>
      </c>
      <c r="C218" s="26"/>
      <c r="D218" s="26" t="s">
        <v>543</v>
      </c>
      <c r="E218" s="26" t="str">
        <f>IFERROR(VLOOKUP(G218,WholesaleExtract!B:J,9,FALSE),"")</f>
        <v/>
      </c>
      <c r="F218" s="26" t="str">
        <f>IFERROR(VLOOKUP(G218,WholesaleExtract!B:J,6,FALSE),"")</f>
        <v/>
      </c>
      <c r="G218" s="19"/>
      <c r="H218" s="47" t="str">
        <f>IFERROR(VLOOKUP(G218,WholesaleExtract!B:L,11,FALSE),"")</f>
        <v/>
      </c>
      <c r="I218" s="26" t="str">
        <f>IFERROR(VLOOKUP(G218,WholesaleExtract!B:O,8,FALSE),"")</f>
        <v/>
      </c>
      <c r="J218" s="26" t="str">
        <f>IFERROR(VLOOKUP(G218,WholesaleExtract!B:O,14,FALSE),"")</f>
        <v/>
      </c>
      <c r="K218" s="26" t="str">
        <f>IFERROR(VLOOKUP(G218,WholesaleExtract!B:K,10,FALSE),"")</f>
        <v/>
      </c>
      <c r="L218" s="47" t="str">
        <f>IFERROR(VLOOKUP(G218,WholesaleExtract!B:L,11,FALSE),"")</f>
        <v/>
      </c>
      <c r="M218" s="47" t="str">
        <f>IFERROR(VLOOKUP(G218,WholesaleExtract!B:M,12,FALSE),"")</f>
        <v/>
      </c>
      <c r="N218" s="27"/>
      <c r="O218" s="19"/>
      <c r="P218" s="19"/>
      <c r="Q218" s="47"/>
      <c r="R218" s="19"/>
      <c r="S218" s="19"/>
    </row>
    <row r="219" spans="1:19" x14ac:dyDescent="0.35">
      <c r="A219" s="26" t="s">
        <v>543</v>
      </c>
      <c r="B219" s="26" t="s">
        <v>543</v>
      </c>
      <c r="C219" s="26"/>
      <c r="D219" s="26" t="s">
        <v>543</v>
      </c>
      <c r="E219" s="26" t="str">
        <f>IFERROR(VLOOKUP(G219,WholesaleExtract!B:J,9,FALSE),"")</f>
        <v/>
      </c>
      <c r="F219" s="26" t="str">
        <f>IFERROR(VLOOKUP(G219,WholesaleExtract!B:J,6,FALSE),"")</f>
        <v/>
      </c>
      <c r="G219" s="19"/>
      <c r="H219" s="47" t="str">
        <f>IFERROR(VLOOKUP(G219,WholesaleExtract!B:L,11,FALSE),"")</f>
        <v/>
      </c>
      <c r="I219" s="26" t="str">
        <f>IFERROR(VLOOKUP(G219,WholesaleExtract!B:O,8,FALSE),"")</f>
        <v/>
      </c>
      <c r="J219" s="26" t="str">
        <f>IFERROR(VLOOKUP(G219,WholesaleExtract!B:O,14,FALSE),"")</f>
        <v/>
      </c>
      <c r="K219" s="26" t="str">
        <f>IFERROR(VLOOKUP(G219,WholesaleExtract!B:K,10,FALSE),"")</f>
        <v/>
      </c>
      <c r="L219" s="47" t="str">
        <f>IFERROR(VLOOKUP(G219,WholesaleExtract!B:L,11,FALSE),"")</f>
        <v/>
      </c>
      <c r="M219" s="47" t="str">
        <f>IFERROR(VLOOKUP(G219,WholesaleExtract!B:M,12,FALSE),"")</f>
        <v/>
      </c>
      <c r="N219" s="27"/>
      <c r="O219" s="19"/>
      <c r="P219" s="19"/>
      <c r="Q219" s="47"/>
      <c r="R219" s="19"/>
      <c r="S219" s="19"/>
    </row>
    <row r="220" spans="1:19" x14ac:dyDescent="0.35">
      <c r="A220" s="26" t="s">
        <v>543</v>
      </c>
      <c r="B220" s="26" t="s">
        <v>543</v>
      </c>
      <c r="C220" s="26"/>
      <c r="D220" s="26" t="s">
        <v>543</v>
      </c>
      <c r="E220" s="26" t="str">
        <f>IFERROR(VLOOKUP(G220,WholesaleExtract!B:J,9,FALSE),"")</f>
        <v/>
      </c>
      <c r="F220" s="26" t="str">
        <f>IFERROR(VLOOKUP(G220,WholesaleExtract!B:J,6,FALSE),"")</f>
        <v/>
      </c>
      <c r="G220" s="19"/>
      <c r="H220" s="47" t="str">
        <f>IFERROR(VLOOKUP(G220,WholesaleExtract!B:L,11,FALSE),"")</f>
        <v/>
      </c>
      <c r="I220" s="26" t="str">
        <f>IFERROR(VLOOKUP(G220,WholesaleExtract!B:O,8,FALSE),"")</f>
        <v/>
      </c>
      <c r="J220" s="26" t="str">
        <f>IFERROR(VLOOKUP(G220,WholesaleExtract!B:O,14,FALSE),"")</f>
        <v/>
      </c>
      <c r="K220" s="26" t="str">
        <f>IFERROR(VLOOKUP(G220,WholesaleExtract!B:K,10,FALSE),"")</f>
        <v/>
      </c>
      <c r="L220" s="47" t="str">
        <f>IFERROR(VLOOKUP(G220,WholesaleExtract!B:L,11,FALSE),"")</f>
        <v/>
      </c>
      <c r="M220" s="47" t="str">
        <f>IFERROR(VLOOKUP(G220,WholesaleExtract!B:M,12,FALSE),"")</f>
        <v/>
      </c>
      <c r="N220" s="27"/>
      <c r="O220" s="19"/>
      <c r="P220" s="19"/>
      <c r="Q220" s="47"/>
      <c r="R220" s="19"/>
      <c r="S220" s="19"/>
    </row>
    <row r="221" spans="1:19" x14ac:dyDescent="0.35">
      <c r="A221" s="26" t="s">
        <v>543</v>
      </c>
      <c r="B221" s="26" t="s">
        <v>543</v>
      </c>
      <c r="C221" s="26"/>
      <c r="D221" s="26" t="s">
        <v>543</v>
      </c>
      <c r="E221" s="26" t="str">
        <f>IFERROR(VLOOKUP(G221,WholesaleExtract!B:J,9,FALSE),"")</f>
        <v/>
      </c>
      <c r="F221" s="26" t="str">
        <f>IFERROR(VLOOKUP(G221,WholesaleExtract!B:J,6,FALSE),"")</f>
        <v/>
      </c>
      <c r="G221" s="19"/>
      <c r="H221" s="47" t="str">
        <f>IFERROR(VLOOKUP(G221,WholesaleExtract!B:L,11,FALSE),"")</f>
        <v/>
      </c>
      <c r="I221" s="26" t="str">
        <f>IFERROR(VLOOKUP(G221,WholesaleExtract!B:O,8,FALSE),"")</f>
        <v/>
      </c>
      <c r="J221" s="26" t="str">
        <f>IFERROR(VLOOKUP(G221,WholesaleExtract!B:O,14,FALSE),"")</f>
        <v/>
      </c>
      <c r="K221" s="26" t="str">
        <f>IFERROR(VLOOKUP(G221,WholesaleExtract!B:K,10,FALSE),"")</f>
        <v/>
      </c>
      <c r="L221" s="47" t="str">
        <f>IFERROR(VLOOKUP(G221,WholesaleExtract!B:L,11,FALSE),"")</f>
        <v/>
      </c>
      <c r="M221" s="47" t="str">
        <f>IFERROR(VLOOKUP(G221,WholesaleExtract!B:M,12,FALSE),"")</f>
        <v/>
      </c>
      <c r="N221" s="27"/>
      <c r="O221" s="19"/>
      <c r="P221" s="19"/>
      <c r="Q221" s="47"/>
      <c r="R221" s="19"/>
      <c r="S221" s="19"/>
    </row>
    <row r="222" spans="1:19" x14ac:dyDescent="0.35">
      <c r="A222" s="26" t="s">
        <v>543</v>
      </c>
      <c r="B222" s="26" t="s">
        <v>543</v>
      </c>
      <c r="C222" s="26"/>
      <c r="D222" s="26" t="s">
        <v>543</v>
      </c>
      <c r="E222" s="26" t="str">
        <f>IFERROR(VLOOKUP(G222,WholesaleExtract!B:J,9,FALSE),"")</f>
        <v/>
      </c>
      <c r="F222" s="26" t="str">
        <f>IFERROR(VLOOKUP(G222,WholesaleExtract!B:J,6,FALSE),"")</f>
        <v/>
      </c>
      <c r="G222" s="19"/>
      <c r="H222" s="47" t="str">
        <f>IFERROR(VLOOKUP(G222,WholesaleExtract!B:L,11,FALSE),"")</f>
        <v/>
      </c>
      <c r="I222" s="26" t="str">
        <f>IFERROR(VLOOKUP(G222,WholesaleExtract!B:O,8,FALSE),"")</f>
        <v/>
      </c>
      <c r="J222" s="26" t="str">
        <f>IFERROR(VLOOKUP(G222,WholesaleExtract!B:O,14,FALSE),"")</f>
        <v/>
      </c>
      <c r="K222" s="26" t="str">
        <f>IFERROR(VLOOKUP(G222,WholesaleExtract!B:K,10,FALSE),"")</f>
        <v/>
      </c>
      <c r="L222" s="47" t="str">
        <f>IFERROR(VLOOKUP(G222,WholesaleExtract!B:L,11,FALSE),"")</f>
        <v/>
      </c>
      <c r="M222" s="47" t="str">
        <f>IFERROR(VLOOKUP(G222,WholesaleExtract!B:M,12,FALSE),"")</f>
        <v/>
      </c>
      <c r="N222" s="27"/>
      <c r="O222" s="19"/>
      <c r="P222" s="19"/>
      <c r="Q222" s="47"/>
      <c r="R222" s="19"/>
      <c r="S222" s="19"/>
    </row>
    <row r="223" spans="1:19" x14ac:dyDescent="0.35">
      <c r="A223" s="26" t="s">
        <v>543</v>
      </c>
      <c r="B223" s="26" t="s">
        <v>543</v>
      </c>
      <c r="C223" s="26"/>
      <c r="D223" s="26" t="s">
        <v>543</v>
      </c>
      <c r="E223" s="26" t="str">
        <f>IFERROR(VLOOKUP(G223,WholesaleExtract!B:J,9,FALSE),"")</f>
        <v/>
      </c>
      <c r="F223" s="26" t="str">
        <f>IFERROR(VLOOKUP(G223,WholesaleExtract!B:J,6,FALSE),"")</f>
        <v/>
      </c>
      <c r="G223" s="19"/>
      <c r="H223" s="47" t="str">
        <f>IFERROR(VLOOKUP(G223,WholesaleExtract!B:L,11,FALSE),"")</f>
        <v/>
      </c>
      <c r="I223" s="26" t="str">
        <f>IFERROR(VLOOKUP(G223,WholesaleExtract!B:O,8,FALSE),"")</f>
        <v/>
      </c>
      <c r="J223" s="26" t="str">
        <f>IFERROR(VLOOKUP(G223,WholesaleExtract!B:O,14,FALSE),"")</f>
        <v/>
      </c>
      <c r="K223" s="26" t="str">
        <f>IFERROR(VLOOKUP(G223,WholesaleExtract!B:K,10,FALSE),"")</f>
        <v/>
      </c>
      <c r="L223" s="47" t="str">
        <f>IFERROR(VLOOKUP(G223,WholesaleExtract!B:L,11,FALSE),"")</f>
        <v/>
      </c>
      <c r="M223" s="47" t="str">
        <f>IFERROR(VLOOKUP(G223,WholesaleExtract!B:M,12,FALSE),"")</f>
        <v/>
      </c>
      <c r="N223" s="27"/>
      <c r="O223" s="19"/>
      <c r="P223" s="19"/>
      <c r="Q223" s="47"/>
      <c r="R223" s="19"/>
      <c r="S223" s="19"/>
    </row>
    <row r="224" spans="1:19" x14ac:dyDescent="0.35">
      <c r="A224" s="26" t="s">
        <v>543</v>
      </c>
      <c r="B224" s="26" t="s">
        <v>543</v>
      </c>
      <c r="C224" s="26"/>
      <c r="D224" s="26" t="s">
        <v>543</v>
      </c>
      <c r="E224" s="26" t="str">
        <f>IFERROR(VLOOKUP(G224,WholesaleExtract!B:J,9,FALSE),"")</f>
        <v/>
      </c>
      <c r="F224" s="26" t="str">
        <f>IFERROR(VLOOKUP(G224,WholesaleExtract!B:J,6,FALSE),"")</f>
        <v/>
      </c>
      <c r="G224" s="19"/>
      <c r="H224" s="47" t="str">
        <f>IFERROR(VLOOKUP(G224,WholesaleExtract!B:L,11,FALSE),"")</f>
        <v/>
      </c>
      <c r="I224" s="26" t="str">
        <f>IFERROR(VLOOKUP(G224,WholesaleExtract!B:O,8,FALSE),"")</f>
        <v/>
      </c>
      <c r="J224" s="26" t="str">
        <f>IFERROR(VLOOKUP(G224,WholesaleExtract!B:O,14,FALSE),"")</f>
        <v/>
      </c>
      <c r="K224" s="26" t="str">
        <f>IFERROR(VLOOKUP(G224,WholesaleExtract!B:K,10,FALSE),"")</f>
        <v/>
      </c>
      <c r="L224" s="47" t="str">
        <f>IFERROR(VLOOKUP(G224,WholesaleExtract!B:L,11,FALSE),"")</f>
        <v/>
      </c>
      <c r="M224" s="47" t="str">
        <f>IFERROR(VLOOKUP(G224,WholesaleExtract!B:M,12,FALSE),"")</f>
        <v/>
      </c>
      <c r="N224" s="27"/>
      <c r="O224" s="19"/>
      <c r="P224" s="19"/>
      <c r="Q224" s="47"/>
      <c r="R224" s="19"/>
      <c r="S224" s="19"/>
    </row>
    <row r="225" spans="1:19" x14ac:dyDescent="0.35">
      <c r="A225" s="26" t="s">
        <v>543</v>
      </c>
      <c r="B225" s="26" t="s">
        <v>543</v>
      </c>
      <c r="C225" s="26"/>
      <c r="D225" s="26" t="s">
        <v>543</v>
      </c>
      <c r="E225" s="26" t="str">
        <f>IFERROR(VLOOKUP(G225,WholesaleExtract!B:J,9,FALSE),"")</f>
        <v/>
      </c>
      <c r="F225" s="26" t="str">
        <f>IFERROR(VLOOKUP(G225,WholesaleExtract!B:J,6,FALSE),"")</f>
        <v/>
      </c>
      <c r="G225" s="19"/>
      <c r="H225" s="47" t="str">
        <f>IFERROR(VLOOKUP(G225,WholesaleExtract!B:L,11,FALSE),"")</f>
        <v/>
      </c>
      <c r="I225" s="26" t="str">
        <f>IFERROR(VLOOKUP(G225,WholesaleExtract!B:O,8,FALSE),"")</f>
        <v/>
      </c>
      <c r="J225" s="26" t="str">
        <f>IFERROR(VLOOKUP(G225,WholesaleExtract!B:O,14,FALSE),"")</f>
        <v/>
      </c>
      <c r="K225" s="26" t="str">
        <f>IFERROR(VLOOKUP(G225,WholesaleExtract!B:K,10,FALSE),"")</f>
        <v/>
      </c>
      <c r="L225" s="47" t="str">
        <f>IFERROR(VLOOKUP(G225,WholesaleExtract!B:L,11,FALSE),"")</f>
        <v/>
      </c>
      <c r="M225" s="47" t="str">
        <f>IFERROR(VLOOKUP(G225,WholesaleExtract!B:M,12,FALSE),"")</f>
        <v/>
      </c>
      <c r="N225" s="27"/>
      <c r="O225" s="19"/>
      <c r="P225" s="19"/>
      <c r="Q225" s="47"/>
      <c r="R225" s="19"/>
      <c r="S225" s="19"/>
    </row>
    <row r="226" spans="1:19" x14ac:dyDescent="0.35">
      <c r="A226" s="26" t="s">
        <v>543</v>
      </c>
      <c r="B226" s="26" t="s">
        <v>543</v>
      </c>
      <c r="C226" s="26"/>
      <c r="D226" s="26" t="s">
        <v>543</v>
      </c>
      <c r="E226" s="26" t="str">
        <f>IFERROR(VLOOKUP(G226,WholesaleExtract!B:J,9,FALSE),"")</f>
        <v/>
      </c>
      <c r="F226" s="26" t="str">
        <f>IFERROR(VLOOKUP(G226,WholesaleExtract!B:J,6,FALSE),"")</f>
        <v/>
      </c>
      <c r="G226" s="19"/>
      <c r="H226" s="47" t="str">
        <f>IFERROR(VLOOKUP(G226,WholesaleExtract!B:L,11,FALSE),"")</f>
        <v/>
      </c>
      <c r="I226" s="26" t="str">
        <f>IFERROR(VLOOKUP(G226,WholesaleExtract!B:O,8,FALSE),"")</f>
        <v/>
      </c>
      <c r="J226" s="26" t="str">
        <f>IFERROR(VLOOKUP(G226,WholesaleExtract!B:O,14,FALSE),"")</f>
        <v/>
      </c>
      <c r="K226" s="26" t="str">
        <f>IFERROR(VLOOKUP(G226,WholesaleExtract!B:K,10,FALSE),"")</f>
        <v/>
      </c>
      <c r="L226" s="47" t="str">
        <f>IFERROR(VLOOKUP(G226,WholesaleExtract!B:L,11,FALSE),"")</f>
        <v/>
      </c>
      <c r="M226" s="47" t="str">
        <f>IFERROR(VLOOKUP(G226,WholesaleExtract!B:M,12,FALSE),"")</f>
        <v/>
      </c>
      <c r="N226" s="27"/>
      <c r="O226" s="19"/>
      <c r="P226" s="19"/>
      <c r="Q226" s="47"/>
      <c r="R226" s="19"/>
      <c r="S226" s="19"/>
    </row>
    <row r="227" spans="1:19" x14ac:dyDescent="0.35">
      <c r="A227" s="26" t="s">
        <v>543</v>
      </c>
      <c r="B227" s="26" t="s">
        <v>543</v>
      </c>
      <c r="C227" s="26"/>
      <c r="D227" s="26" t="s">
        <v>543</v>
      </c>
      <c r="E227" s="26" t="str">
        <f>IFERROR(VLOOKUP(G227,WholesaleExtract!B:J,9,FALSE),"")</f>
        <v/>
      </c>
      <c r="F227" s="26" t="str">
        <f>IFERROR(VLOOKUP(G227,WholesaleExtract!B:J,6,FALSE),"")</f>
        <v/>
      </c>
      <c r="G227" s="19"/>
      <c r="H227" s="47" t="str">
        <f>IFERROR(VLOOKUP(G227,WholesaleExtract!B:L,11,FALSE),"")</f>
        <v/>
      </c>
      <c r="I227" s="26" t="str">
        <f>IFERROR(VLOOKUP(G227,WholesaleExtract!B:O,8,FALSE),"")</f>
        <v/>
      </c>
      <c r="J227" s="26" t="str">
        <f>IFERROR(VLOOKUP(G227,WholesaleExtract!B:O,14,FALSE),"")</f>
        <v/>
      </c>
      <c r="K227" s="26" t="str">
        <f>IFERROR(VLOOKUP(G227,WholesaleExtract!B:K,10,FALSE),"")</f>
        <v/>
      </c>
      <c r="L227" s="47" t="str">
        <f>IFERROR(VLOOKUP(G227,WholesaleExtract!B:L,11,FALSE),"")</f>
        <v/>
      </c>
      <c r="M227" s="47" t="str">
        <f>IFERROR(VLOOKUP(G227,WholesaleExtract!B:M,12,FALSE),"")</f>
        <v/>
      </c>
      <c r="N227" s="27"/>
      <c r="O227" s="19"/>
      <c r="P227" s="19"/>
      <c r="Q227" s="47"/>
      <c r="R227" s="19"/>
      <c r="S227" s="19"/>
    </row>
    <row r="228" spans="1:19" x14ac:dyDescent="0.35">
      <c r="A228" s="26" t="s">
        <v>543</v>
      </c>
      <c r="B228" s="26" t="s">
        <v>543</v>
      </c>
      <c r="C228" s="26"/>
      <c r="D228" s="26" t="s">
        <v>543</v>
      </c>
      <c r="E228" s="26" t="str">
        <f>IFERROR(VLOOKUP(G228,WholesaleExtract!B:J,9,FALSE),"")</f>
        <v/>
      </c>
      <c r="F228" s="26" t="str">
        <f>IFERROR(VLOOKUP(G228,WholesaleExtract!B:J,6,FALSE),"")</f>
        <v/>
      </c>
      <c r="G228" s="19"/>
      <c r="H228" s="47" t="str">
        <f>IFERROR(VLOOKUP(G228,WholesaleExtract!B:L,11,FALSE),"")</f>
        <v/>
      </c>
      <c r="I228" s="26" t="str">
        <f>IFERROR(VLOOKUP(G228,WholesaleExtract!B:O,8,FALSE),"")</f>
        <v/>
      </c>
      <c r="J228" s="26" t="str">
        <f>IFERROR(VLOOKUP(G228,WholesaleExtract!B:O,14,FALSE),"")</f>
        <v/>
      </c>
      <c r="K228" s="26" t="str">
        <f>IFERROR(VLOOKUP(G228,WholesaleExtract!B:K,10,FALSE),"")</f>
        <v/>
      </c>
      <c r="L228" s="47" t="str">
        <f>IFERROR(VLOOKUP(G228,WholesaleExtract!B:L,11,FALSE),"")</f>
        <v/>
      </c>
      <c r="M228" s="47" t="str">
        <f>IFERROR(VLOOKUP(G228,WholesaleExtract!B:M,12,FALSE),"")</f>
        <v/>
      </c>
      <c r="N228" s="27"/>
      <c r="O228" s="19"/>
      <c r="P228" s="19"/>
      <c r="Q228" s="47"/>
      <c r="R228" s="19"/>
      <c r="S228" s="19"/>
    </row>
    <row r="229" spans="1:19" x14ac:dyDescent="0.35">
      <c r="A229" s="26" t="s">
        <v>543</v>
      </c>
      <c r="B229" s="26" t="s">
        <v>543</v>
      </c>
      <c r="C229" s="26"/>
      <c r="D229" s="26" t="s">
        <v>543</v>
      </c>
      <c r="E229" s="26" t="str">
        <f>IFERROR(VLOOKUP(G229,WholesaleExtract!B:J,9,FALSE),"")</f>
        <v/>
      </c>
      <c r="F229" s="26" t="str">
        <f>IFERROR(VLOOKUP(G229,WholesaleExtract!B:J,6,FALSE),"")</f>
        <v/>
      </c>
      <c r="G229" s="19"/>
      <c r="H229" s="47" t="str">
        <f>IFERROR(VLOOKUP(G229,WholesaleExtract!B:L,11,FALSE),"")</f>
        <v/>
      </c>
      <c r="I229" s="26" t="str">
        <f>IFERROR(VLOOKUP(G229,WholesaleExtract!B:O,8,FALSE),"")</f>
        <v/>
      </c>
      <c r="J229" s="26" t="str">
        <f>IFERROR(VLOOKUP(G229,WholesaleExtract!B:O,14,FALSE),"")</f>
        <v/>
      </c>
      <c r="K229" s="26" t="str">
        <f>IFERROR(VLOOKUP(G229,WholesaleExtract!B:K,10,FALSE),"")</f>
        <v/>
      </c>
      <c r="L229" s="47" t="str">
        <f>IFERROR(VLOOKUP(G229,WholesaleExtract!B:L,11,FALSE),"")</f>
        <v/>
      </c>
      <c r="M229" s="47" t="str">
        <f>IFERROR(VLOOKUP(G229,WholesaleExtract!B:M,12,FALSE),"")</f>
        <v/>
      </c>
      <c r="N229" s="27"/>
      <c r="O229" s="19"/>
      <c r="P229" s="19"/>
      <c r="Q229" s="47"/>
      <c r="R229" s="19"/>
      <c r="S229" s="19"/>
    </row>
    <row r="230" spans="1:19" x14ac:dyDescent="0.35">
      <c r="A230" s="26" t="s">
        <v>543</v>
      </c>
      <c r="B230" s="26" t="s">
        <v>543</v>
      </c>
      <c r="C230" s="26"/>
      <c r="D230" s="26" t="s">
        <v>543</v>
      </c>
      <c r="E230" s="26" t="str">
        <f>IFERROR(VLOOKUP(G230,WholesaleExtract!B:J,9,FALSE),"")</f>
        <v/>
      </c>
      <c r="F230" s="26" t="str">
        <f>IFERROR(VLOOKUP(G230,WholesaleExtract!B:J,6,FALSE),"")</f>
        <v/>
      </c>
      <c r="G230" s="19"/>
      <c r="H230" s="47" t="str">
        <f>IFERROR(VLOOKUP(G230,WholesaleExtract!B:L,11,FALSE),"")</f>
        <v/>
      </c>
      <c r="I230" s="26" t="str">
        <f>IFERROR(VLOOKUP(G230,WholesaleExtract!B:O,8,FALSE),"")</f>
        <v/>
      </c>
      <c r="J230" s="26" t="str">
        <f>IFERROR(VLOOKUP(G230,WholesaleExtract!B:O,14,FALSE),"")</f>
        <v/>
      </c>
      <c r="K230" s="26" t="str">
        <f>IFERROR(VLOOKUP(G230,WholesaleExtract!B:K,10,FALSE),"")</f>
        <v/>
      </c>
      <c r="L230" s="47" t="str">
        <f>IFERROR(VLOOKUP(G230,WholesaleExtract!B:L,11,FALSE),"")</f>
        <v/>
      </c>
      <c r="M230" s="47" t="str">
        <f>IFERROR(VLOOKUP(G230,WholesaleExtract!B:M,12,FALSE),"")</f>
        <v/>
      </c>
      <c r="N230" s="27"/>
      <c r="O230" s="19"/>
      <c r="P230" s="19"/>
      <c r="Q230" s="47"/>
      <c r="R230" s="19"/>
      <c r="S230" s="19"/>
    </row>
    <row r="231" spans="1:19" x14ac:dyDescent="0.35">
      <c r="A231" s="26" t="s">
        <v>543</v>
      </c>
      <c r="B231" s="26" t="s">
        <v>543</v>
      </c>
      <c r="C231" s="26"/>
      <c r="D231" s="26" t="s">
        <v>543</v>
      </c>
      <c r="E231" s="26" t="str">
        <f>IFERROR(VLOOKUP(G231,WholesaleExtract!B:J,9,FALSE),"")</f>
        <v/>
      </c>
      <c r="F231" s="26" t="str">
        <f>IFERROR(VLOOKUP(G231,WholesaleExtract!B:J,6,FALSE),"")</f>
        <v/>
      </c>
      <c r="G231" s="19"/>
      <c r="H231" s="47" t="str">
        <f>IFERROR(VLOOKUP(G231,WholesaleExtract!B:L,11,FALSE),"")</f>
        <v/>
      </c>
      <c r="I231" s="26" t="str">
        <f>IFERROR(VLOOKUP(G231,WholesaleExtract!B:O,8,FALSE),"")</f>
        <v/>
      </c>
      <c r="J231" s="26" t="str">
        <f>IFERROR(VLOOKUP(G231,WholesaleExtract!B:O,14,FALSE),"")</f>
        <v/>
      </c>
      <c r="K231" s="26" t="str">
        <f>IFERROR(VLOOKUP(G231,WholesaleExtract!B:K,10,FALSE),"")</f>
        <v/>
      </c>
      <c r="L231" s="47" t="str">
        <f>IFERROR(VLOOKUP(G231,WholesaleExtract!B:L,11,FALSE),"")</f>
        <v/>
      </c>
      <c r="M231" s="47" t="str">
        <f>IFERROR(VLOOKUP(G231,WholesaleExtract!B:M,12,FALSE),"")</f>
        <v/>
      </c>
      <c r="N231" s="27"/>
      <c r="O231" s="19"/>
      <c r="P231" s="19"/>
      <c r="Q231" s="47"/>
      <c r="R231" s="19"/>
      <c r="S231" s="19"/>
    </row>
    <row r="232" spans="1:19" x14ac:dyDescent="0.35">
      <c r="A232" s="26" t="s">
        <v>543</v>
      </c>
      <c r="B232" s="26" t="s">
        <v>543</v>
      </c>
      <c r="C232" s="26"/>
      <c r="D232" s="26" t="s">
        <v>543</v>
      </c>
      <c r="E232" s="26" t="str">
        <f>IFERROR(VLOOKUP(G232,WholesaleExtract!B:J,9,FALSE),"")</f>
        <v/>
      </c>
      <c r="F232" s="26" t="str">
        <f>IFERROR(VLOOKUP(G232,WholesaleExtract!B:J,6,FALSE),"")</f>
        <v/>
      </c>
      <c r="G232" s="19"/>
      <c r="H232" s="47" t="str">
        <f>IFERROR(VLOOKUP(G232,WholesaleExtract!B:L,11,FALSE),"")</f>
        <v/>
      </c>
      <c r="I232" s="26" t="str">
        <f>IFERROR(VLOOKUP(G232,WholesaleExtract!B:O,8,FALSE),"")</f>
        <v/>
      </c>
      <c r="J232" s="26" t="str">
        <f>IFERROR(VLOOKUP(G232,WholesaleExtract!B:O,14,FALSE),"")</f>
        <v/>
      </c>
      <c r="K232" s="26" t="str">
        <f>IFERROR(VLOOKUP(G232,WholesaleExtract!B:K,10,FALSE),"")</f>
        <v/>
      </c>
      <c r="L232" s="47" t="str">
        <f>IFERROR(VLOOKUP(G232,WholesaleExtract!B:L,11,FALSE),"")</f>
        <v/>
      </c>
      <c r="M232" s="47" t="str">
        <f>IFERROR(VLOOKUP(G232,WholesaleExtract!B:M,12,FALSE),"")</f>
        <v/>
      </c>
      <c r="N232" s="27"/>
      <c r="O232" s="19"/>
      <c r="P232" s="19"/>
      <c r="Q232" s="47"/>
      <c r="R232" s="19"/>
      <c r="S232" s="19"/>
    </row>
    <row r="233" spans="1:19" x14ac:dyDescent="0.35">
      <c r="A233" s="26" t="s">
        <v>543</v>
      </c>
      <c r="B233" s="26" t="s">
        <v>543</v>
      </c>
      <c r="C233" s="26"/>
      <c r="D233" s="26" t="s">
        <v>543</v>
      </c>
      <c r="E233" s="26" t="str">
        <f>IFERROR(VLOOKUP(G233,WholesaleExtract!B:J,9,FALSE),"")</f>
        <v/>
      </c>
      <c r="F233" s="26" t="str">
        <f>IFERROR(VLOOKUP(G233,WholesaleExtract!B:J,6,FALSE),"")</f>
        <v/>
      </c>
      <c r="G233" s="19"/>
      <c r="H233" s="47" t="str">
        <f>IFERROR(VLOOKUP(G233,WholesaleExtract!B:L,11,FALSE),"")</f>
        <v/>
      </c>
      <c r="I233" s="26" t="str">
        <f>IFERROR(VLOOKUP(G233,WholesaleExtract!B:O,8,FALSE),"")</f>
        <v/>
      </c>
      <c r="J233" s="26" t="str">
        <f>IFERROR(VLOOKUP(G233,WholesaleExtract!B:O,14,FALSE),"")</f>
        <v/>
      </c>
      <c r="K233" s="26" t="str">
        <f>IFERROR(VLOOKUP(G233,WholesaleExtract!B:K,10,FALSE),"")</f>
        <v/>
      </c>
      <c r="L233" s="47" t="str">
        <f>IFERROR(VLOOKUP(G233,WholesaleExtract!B:L,11,FALSE),"")</f>
        <v/>
      </c>
      <c r="M233" s="47" t="str">
        <f>IFERROR(VLOOKUP(G233,WholesaleExtract!B:M,12,FALSE),"")</f>
        <v/>
      </c>
      <c r="N233" s="27"/>
      <c r="O233" s="19"/>
      <c r="P233" s="19"/>
      <c r="Q233" s="47"/>
      <c r="R233" s="19"/>
      <c r="S233" s="19"/>
    </row>
    <row r="234" spans="1:19" x14ac:dyDescent="0.35">
      <c r="A234" s="26" t="s">
        <v>543</v>
      </c>
      <c r="B234" s="26" t="s">
        <v>543</v>
      </c>
      <c r="C234" s="26"/>
      <c r="D234" s="26" t="s">
        <v>543</v>
      </c>
      <c r="E234" s="26" t="str">
        <f>IFERROR(VLOOKUP(G234,WholesaleExtract!B:J,9,FALSE),"")</f>
        <v/>
      </c>
      <c r="F234" s="26" t="str">
        <f>IFERROR(VLOOKUP(G234,WholesaleExtract!B:J,6,FALSE),"")</f>
        <v/>
      </c>
      <c r="G234" s="19"/>
      <c r="H234" s="47" t="str">
        <f>IFERROR(VLOOKUP(G234,WholesaleExtract!B:L,11,FALSE),"")</f>
        <v/>
      </c>
      <c r="I234" s="26" t="str">
        <f>IFERROR(VLOOKUP(G234,WholesaleExtract!B:O,8,FALSE),"")</f>
        <v/>
      </c>
      <c r="J234" s="26" t="str">
        <f>IFERROR(VLOOKUP(G234,WholesaleExtract!B:O,14,FALSE),"")</f>
        <v/>
      </c>
      <c r="K234" s="26" t="str">
        <f>IFERROR(VLOOKUP(G234,WholesaleExtract!B:K,10,FALSE),"")</f>
        <v/>
      </c>
      <c r="L234" s="47" t="str">
        <f>IFERROR(VLOOKUP(G234,WholesaleExtract!B:L,11,FALSE),"")</f>
        <v/>
      </c>
      <c r="M234" s="47" t="str">
        <f>IFERROR(VLOOKUP(G234,WholesaleExtract!B:M,12,FALSE),"")</f>
        <v/>
      </c>
      <c r="N234" s="27"/>
      <c r="O234" s="19"/>
      <c r="P234" s="19"/>
      <c r="Q234" s="47"/>
      <c r="R234" s="19"/>
      <c r="S234" s="19"/>
    </row>
    <row r="235" spans="1:19" x14ac:dyDescent="0.35">
      <c r="A235" s="26" t="s">
        <v>543</v>
      </c>
      <c r="B235" s="26" t="s">
        <v>543</v>
      </c>
      <c r="C235" s="26"/>
      <c r="D235" s="26" t="s">
        <v>543</v>
      </c>
      <c r="E235" s="26" t="str">
        <f>IFERROR(VLOOKUP(G235,WholesaleExtract!B:J,9,FALSE),"")</f>
        <v/>
      </c>
      <c r="F235" s="26" t="str">
        <f>IFERROR(VLOOKUP(G235,WholesaleExtract!B:J,6,FALSE),"")</f>
        <v/>
      </c>
      <c r="G235" s="19"/>
      <c r="H235" s="47" t="str">
        <f>IFERROR(VLOOKUP(G235,WholesaleExtract!B:L,11,FALSE),"")</f>
        <v/>
      </c>
      <c r="I235" s="26" t="str">
        <f>IFERROR(VLOOKUP(G235,WholesaleExtract!B:O,8,FALSE),"")</f>
        <v/>
      </c>
      <c r="J235" s="26" t="str">
        <f>IFERROR(VLOOKUP(G235,WholesaleExtract!B:O,14,FALSE),"")</f>
        <v/>
      </c>
      <c r="K235" s="26" t="str">
        <f>IFERROR(VLOOKUP(G235,WholesaleExtract!B:K,10,FALSE),"")</f>
        <v/>
      </c>
      <c r="L235" s="47" t="str">
        <f>IFERROR(VLOOKUP(G235,WholesaleExtract!B:L,11,FALSE),"")</f>
        <v/>
      </c>
      <c r="M235" s="47" t="str">
        <f>IFERROR(VLOOKUP(G235,WholesaleExtract!B:M,12,FALSE),"")</f>
        <v/>
      </c>
      <c r="N235" s="27"/>
      <c r="O235" s="19"/>
      <c r="P235" s="19"/>
      <c r="Q235" s="47"/>
      <c r="R235" s="19"/>
      <c r="S235" s="19"/>
    </row>
    <row r="236" spans="1:19" x14ac:dyDescent="0.35">
      <c r="A236" s="26" t="s">
        <v>543</v>
      </c>
      <c r="B236" s="26" t="s">
        <v>543</v>
      </c>
      <c r="C236" s="26"/>
      <c r="D236" s="26" t="s">
        <v>543</v>
      </c>
      <c r="E236" s="26" t="str">
        <f>IFERROR(VLOOKUP(G236,WholesaleExtract!B:J,9,FALSE),"")</f>
        <v/>
      </c>
      <c r="F236" s="26" t="str">
        <f>IFERROR(VLOOKUP(G236,WholesaleExtract!B:J,6,FALSE),"")</f>
        <v/>
      </c>
      <c r="G236" s="19"/>
      <c r="H236" s="47" t="str">
        <f>IFERROR(VLOOKUP(G236,WholesaleExtract!B:L,11,FALSE),"")</f>
        <v/>
      </c>
      <c r="I236" s="26" t="str">
        <f>IFERROR(VLOOKUP(G236,WholesaleExtract!B:O,8,FALSE),"")</f>
        <v/>
      </c>
      <c r="J236" s="26" t="str">
        <f>IFERROR(VLOOKUP(G236,WholesaleExtract!B:O,14,FALSE),"")</f>
        <v/>
      </c>
      <c r="K236" s="26" t="str">
        <f>IFERROR(VLOOKUP(G236,WholesaleExtract!B:K,10,FALSE),"")</f>
        <v/>
      </c>
      <c r="L236" s="47" t="str">
        <f>IFERROR(VLOOKUP(G236,WholesaleExtract!B:L,11,FALSE),"")</f>
        <v/>
      </c>
      <c r="M236" s="47" t="str">
        <f>IFERROR(VLOOKUP(G236,WholesaleExtract!B:M,12,FALSE),"")</f>
        <v/>
      </c>
      <c r="N236" s="27"/>
      <c r="O236" s="19"/>
      <c r="P236" s="19"/>
      <c r="Q236" s="47"/>
      <c r="R236" s="19"/>
      <c r="S236" s="19"/>
    </row>
    <row r="237" spans="1:19" x14ac:dyDescent="0.35">
      <c r="A237" s="26" t="s">
        <v>543</v>
      </c>
      <c r="B237" s="26" t="s">
        <v>543</v>
      </c>
      <c r="C237" s="26"/>
      <c r="D237" s="26" t="s">
        <v>543</v>
      </c>
      <c r="E237" s="26" t="str">
        <f>IFERROR(VLOOKUP(G237,WholesaleExtract!B:J,9,FALSE),"")</f>
        <v/>
      </c>
      <c r="F237" s="26" t="str">
        <f>IFERROR(VLOOKUP(G237,WholesaleExtract!B:J,6,FALSE),"")</f>
        <v/>
      </c>
      <c r="G237" s="19"/>
      <c r="H237" s="47" t="str">
        <f>IFERROR(VLOOKUP(G237,WholesaleExtract!B:L,11,FALSE),"")</f>
        <v/>
      </c>
      <c r="I237" s="26" t="str">
        <f>IFERROR(VLOOKUP(G237,WholesaleExtract!B:O,8,FALSE),"")</f>
        <v/>
      </c>
      <c r="J237" s="26" t="str">
        <f>IFERROR(VLOOKUP(G237,WholesaleExtract!B:O,14,FALSE),"")</f>
        <v/>
      </c>
      <c r="K237" s="26" t="str">
        <f>IFERROR(VLOOKUP(G237,WholesaleExtract!B:K,10,FALSE),"")</f>
        <v/>
      </c>
      <c r="L237" s="47" t="str">
        <f>IFERROR(VLOOKUP(G237,WholesaleExtract!B:L,11,FALSE),"")</f>
        <v/>
      </c>
      <c r="M237" s="47" t="str">
        <f>IFERROR(VLOOKUP(G237,WholesaleExtract!B:M,12,FALSE),"")</f>
        <v/>
      </c>
      <c r="N237" s="27"/>
      <c r="O237" s="19"/>
      <c r="P237" s="19"/>
      <c r="Q237" s="47"/>
      <c r="R237" s="19"/>
      <c r="S237" s="19"/>
    </row>
    <row r="238" spans="1:19" x14ac:dyDescent="0.35">
      <c r="A238" s="26" t="s">
        <v>543</v>
      </c>
      <c r="B238" s="26" t="s">
        <v>543</v>
      </c>
      <c r="C238" s="26"/>
      <c r="D238" s="26" t="s">
        <v>543</v>
      </c>
      <c r="E238" s="26" t="str">
        <f>IFERROR(VLOOKUP(G238,WholesaleExtract!B:J,9,FALSE),"")</f>
        <v/>
      </c>
      <c r="F238" s="26" t="str">
        <f>IFERROR(VLOOKUP(G238,WholesaleExtract!B:J,6,FALSE),"")</f>
        <v/>
      </c>
      <c r="G238" s="19"/>
      <c r="H238" s="47" t="str">
        <f>IFERROR(VLOOKUP(G238,WholesaleExtract!B:L,11,FALSE),"")</f>
        <v/>
      </c>
      <c r="I238" s="26" t="str">
        <f>IFERROR(VLOOKUP(G238,WholesaleExtract!B:O,8,FALSE),"")</f>
        <v/>
      </c>
      <c r="J238" s="26" t="str">
        <f>IFERROR(VLOOKUP(G238,WholesaleExtract!B:O,14,FALSE),"")</f>
        <v/>
      </c>
      <c r="K238" s="26" t="str">
        <f>IFERROR(VLOOKUP(G238,WholesaleExtract!B:K,10,FALSE),"")</f>
        <v/>
      </c>
      <c r="L238" s="47" t="str">
        <f>IFERROR(VLOOKUP(G238,WholesaleExtract!B:L,11,FALSE),"")</f>
        <v/>
      </c>
      <c r="M238" s="47" t="str">
        <f>IFERROR(VLOOKUP(G238,WholesaleExtract!B:M,12,FALSE),"")</f>
        <v/>
      </c>
      <c r="N238" s="27"/>
      <c r="O238" s="19"/>
      <c r="P238" s="19"/>
      <c r="Q238" s="47"/>
      <c r="R238" s="19"/>
      <c r="S238" s="19"/>
    </row>
    <row r="239" spans="1:19" x14ac:dyDescent="0.35">
      <c r="A239" s="26" t="s">
        <v>543</v>
      </c>
      <c r="B239" s="26" t="s">
        <v>543</v>
      </c>
      <c r="C239" s="26"/>
      <c r="D239" s="26" t="s">
        <v>543</v>
      </c>
      <c r="E239" s="26" t="str">
        <f>IFERROR(VLOOKUP(G239,WholesaleExtract!B:J,9,FALSE),"")</f>
        <v/>
      </c>
      <c r="F239" s="26" t="str">
        <f>IFERROR(VLOOKUP(G239,WholesaleExtract!B:J,6,FALSE),"")</f>
        <v/>
      </c>
      <c r="G239" s="19"/>
      <c r="H239" s="47" t="str">
        <f>IFERROR(VLOOKUP(G239,WholesaleExtract!B:L,11,FALSE),"")</f>
        <v/>
      </c>
      <c r="I239" s="26" t="str">
        <f>IFERROR(VLOOKUP(G239,WholesaleExtract!B:O,8,FALSE),"")</f>
        <v/>
      </c>
      <c r="J239" s="26" t="str">
        <f>IFERROR(VLOOKUP(G239,WholesaleExtract!B:O,14,FALSE),"")</f>
        <v/>
      </c>
      <c r="K239" s="26" t="str">
        <f>IFERROR(VLOOKUP(G239,WholesaleExtract!B:K,10,FALSE),"")</f>
        <v/>
      </c>
      <c r="L239" s="47" t="str">
        <f>IFERROR(VLOOKUP(G239,WholesaleExtract!B:L,11,FALSE),"")</f>
        <v/>
      </c>
      <c r="M239" s="47" t="str">
        <f>IFERROR(VLOOKUP(G239,WholesaleExtract!B:M,12,FALSE),"")</f>
        <v/>
      </c>
      <c r="N239" s="27"/>
      <c r="O239" s="19"/>
      <c r="P239" s="19"/>
      <c r="Q239" s="47"/>
      <c r="R239" s="19"/>
      <c r="S239" s="19"/>
    </row>
    <row r="240" spans="1:19" x14ac:dyDescent="0.35">
      <c r="A240" s="26" t="s">
        <v>543</v>
      </c>
      <c r="B240" s="26" t="s">
        <v>543</v>
      </c>
      <c r="C240" s="26"/>
      <c r="D240" s="26" t="s">
        <v>543</v>
      </c>
      <c r="E240" s="26" t="str">
        <f>IFERROR(VLOOKUP(G240,WholesaleExtract!B:J,9,FALSE),"")</f>
        <v/>
      </c>
      <c r="F240" s="26" t="str">
        <f>IFERROR(VLOOKUP(G240,WholesaleExtract!B:J,6,FALSE),"")</f>
        <v/>
      </c>
      <c r="G240" s="19"/>
      <c r="H240" s="47" t="str">
        <f>IFERROR(VLOOKUP(G240,WholesaleExtract!B:L,11,FALSE),"")</f>
        <v/>
      </c>
      <c r="I240" s="26" t="str">
        <f>IFERROR(VLOOKUP(G240,WholesaleExtract!B:O,8,FALSE),"")</f>
        <v/>
      </c>
      <c r="J240" s="26" t="str">
        <f>IFERROR(VLOOKUP(G240,WholesaleExtract!B:O,14,FALSE),"")</f>
        <v/>
      </c>
      <c r="K240" s="26" t="str">
        <f>IFERROR(VLOOKUP(G240,WholesaleExtract!B:K,10,FALSE),"")</f>
        <v/>
      </c>
      <c r="L240" s="47" t="str">
        <f>IFERROR(VLOOKUP(G240,WholesaleExtract!B:L,11,FALSE),"")</f>
        <v/>
      </c>
      <c r="M240" s="47" t="str">
        <f>IFERROR(VLOOKUP(G240,WholesaleExtract!B:M,12,FALSE),"")</f>
        <v/>
      </c>
      <c r="N240" s="27"/>
      <c r="O240" s="19"/>
      <c r="P240" s="19"/>
      <c r="Q240" s="47"/>
      <c r="R240" s="19"/>
      <c r="S240" s="19"/>
    </row>
    <row r="241" spans="1:19" x14ac:dyDescent="0.35">
      <c r="A241" s="26" t="s">
        <v>543</v>
      </c>
      <c r="B241" s="26" t="s">
        <v>543</v>
      </c>
      <c r="C241" s="26"/>
      <c r="D241" s="26" t="s">
        <v>543</v>
      </c>
      <c r="E241" s="26" t="str">
        <f>IFERROR(VLOOKUP(G241,WholesaleExtract!B:J,9,FALSE),"")</f>
        <v/>
      </c>
      <c r="F241" s="26" t="str">
        <f>IFERROR(VLOOKUP(G241,WholesaleExtract!B:J,6,FALSE),"")</f>
        <v/>
      </c>
      <c r="G241" s="19"/>
      <c r="H241" s="47" t="str">
        <f>IFERROR(VLOOKUP(G241,WholesaleExtract!B:L,11,FALSE),"")</f>
        <v/>
      </c>
      <c r="I241" s="26" t="str">
        <f>IFERROR(VLOOKUP(G241,WholesaleExtract!B:O,8,FALSE),"")</f>
        <v/>
      </c>
      <c r="J241" s="26" t="str">
        <f>IFERROR(VLOOKUP(G241,WholesaleExtract!B:O,14,FALSE),"")</f>
        <v/>
      </c>
      <c r="K241" s="26" t="str">
        <f>IFERROR(VLOOKUP(G241,WholesaleExtract!B:K,10,FALSE),"")</f>
        <v/>
      </c>
      <c r="L241" s="47" t="str">
        <f>IFERROR(VLOOKUP(G241,WholesaleExtract!B:L,11,FALSE),"")</f>
        <v/>
      </c>
      <c r="M241" s="47" t="str">
        <f>IFERROR(VLOOKUP(G241,WholesaleExtract!B:M,12,FALSE),"")</f>
        <v/>
      </c>
      <c r="N241" s="27"/>
      <c r="O241" s="19"/>
      <c r="P241" s="19"/>
      <c r="Q241" s="47"/>
      <c r="R241" s="19"/>
      <c r="S241" s="19"/>
    </row>
    <row r="242" spans="1:19" x14ac:dyDescent="0.35">
      <c r="A242" s="26" t="s">
        <v>543</v>
      </c>
      <c r="B242" s="26" t="s">
        <v>543</v>
      </c>
      <c r="C242" s="26"/>
      <c r="D242" s="26" t="s">
        <v>543</v>
      </c>
      <c r="E242" s="26" t="str">
        <f>IFERROR(VLOOKUP(G242,WholesaleExtract!B:J,9,FALSE),"")</f>
        <v/>
      </c>
      <c r="F242" s="26" t="str">
        <f>IFERROR(VLOOKUP(G242,WholesaleExtract!B:J,6,FALSE),"")</f>
        <v/>
      </c>
      <c r="G242" s="19"/>
      <c r="H242" s="47" t="str">
        <f>IFERROR(VLOOKUP(G242,WholesaleExtract!B:L,11,FALSE),"")</f>
        <v/>
      </c>
      <c r="I242" s="26" t="str">
        <f>IFERROR(VLOOKUP(G242,WholesaleExtract!B:O,8,FALSE),"")</f>
        <v/>
      </c>
      <c r="J242" s="26" t="str">
        <f>IFERROR(VLOOKUP(G242,WholesaleExtract!B:O,14,FALSE),"")</f>
        <v/>
      </c>
      <c r="K242" s="26" t="str">
        <f>IFERROR(VLOOKUP(G242,WholesaleExtract!B:K,10,FALSE),"")</f>
        <v/>
      </c>
      <c r="L242" s="47" t="str">
        <f>IFERROR(VLOOKUP(G242,WholesaleExtract!B:L,11,FALSE),"")</f>
        <v/>
      </c>
      <c r="M242" s="47" t="str">
        <f>IFERROR(VLOOKUP(G242,WholesaleExtract!B:M,12,FALSE),"")</f>
        <v/>
      </c>
      <c r="N242" s="27"/>
      <c r="O242" s="19"/>
      <c r="P242" s="19"/>
      <c r="Q242" s="47"/>
      <c r="R242" s="19"/>
      <c r="S242" s="19"/>
    </row>
    <row r="243" spans="1:19" x14ac:dyDescent="0.35">
      <c r="A243" s="26" t="s">
        <v>543</v>
      </c>
      <c r="B243" s="26" t="s">
        <v>543</v>
      </c>
      <c r="C243" s="26"/>
      <c r="D243" s="26" t="s">
        <v>543</v>
      </c>
      <c r="E243" s="26" t="str">
        <f>IFERROR(VLOOKUP(G243,WholesaleExtract!B:J,9,FALSE),"")</f>
        <v/>
      </c>
      <c r="F243" s="26" t="str">
        <f>IFERROR(VLOOKUP(G243,WholesaleExtract!B:J,6,FALSE),"")</f>
        <v/>
      </c>
      <c r="G243" s="19"/>
      <c r="H243" s="47" t="str">
        <f>IFERROR(VLOOKUP(G243,WholesaleExtract!B:L,11,FALSE),"")</f>
        <v/>
      </c>
      <c r="I243" s="26" t="str">
        <f>IFERROR(VLOOKUP(G243,WholesaleExtract!B:O,8,FALSE),"")</f>
        <v/>
      </c>
      <c r="J243" s="26" t="str">
        <f>IFERROR(VLOOKUP(G243,WholesaleExtract!B:O,14,FALSE),"")</f>
        <v/>
      </c>
      <c r="K243" s="26" t="str">
        <f>IFERROR(VLOOKUP(G243,WholesaleExtract!B:K,10,FALSE),"")</f>
        <v/>
      </c>
      <c r="L243" s="47" t="str">
        <f>IFERROR(VLOOKUP(G243,WholesaleExtract!B:L,11,FALSE),"")</f>
        <v/>
      </c>
      <c r="M243" s="47" t="str">
        <f>IFERROR(VLOOKUP(G243,WholesaleExtract!B:M,12,FALSE),"")</f>
        <v/>
      </c>
      <c r="N243" s="27"/>
      <c r="O243" s="19"/>
      <c r="P243" s="19"/>
      <c r="Q243" s="47"/>
      <c r="R243" s="19"/>
      <c r="S243" s="19"/>
    </row>
    <row r="244" spans="1:19" x14ac:dyDescent="0.35">
      <c r="A244" s="26" t="s">
        <v>543</v>
      </c>
      <c r="B244" s="26" t="s">
        <v>543</v>
      </c>
      <c r="C244" s="26"/>
      <c r="D244" s="26" t="s">
        <v>543</v>
      </c>
      <c r="E244" s="26" t="str">
        <f>IFERROR(VLOOKUP(G244,WholesaleExtract!B:J,9,FALSE),"")</f>
        <v/>
      </c>
      <c r="F244" s="26" t="str">
        <f>IFERROR(VLOOKUP(G244,WholesaleExtract!B:J,6,FALSE),"")</f>
        <v/>
      </c>
      <c r="G244" s="19"/>
      <c r="H244" s="47" t="str">
        <f>IFERROR(VLOOKUP(G244,WholesaleExtract!B:L,11,FALSE),"")</f>
        <v/>
      </c>
      <c r="I244" s="26" t="str">
        <f>IFERROR(VLOOKUP(G244,WholesaleExtract!B:O,8,FALSE),"")</f>
        <v/>
      </c>
      <c r="J244" s="26" t="str">
        <f>IFERROR(VLOOKUP(G244,WholesaleExtract!B:O,14,FALSE),"")</f>
        <v/>
      </c>
      <c r="K244" s="26" t="str">
        <f>IFERROR(VLOOKUP(G244,WholesaleExtract!B:K,10,FALSE),"")</f>
        <v/>
      </c>
      <c r="L244" s="47" t="str">
        <f>IFERROR(VLOOKUP(G244,WholesaleExtract!B:L,11,FALSE),"")</f>
        <v/>
      </c>
      <c r="M244" s="47" t="str">
        <f>IFERROR(VLOOKUP(G244,WholesaleExtract!B:M,12,FALSE),"")</f>
        <v/>
      </c>
      <c r="N244" s="27"/>
      <c r="O244" s="19"/>
      <c r="P244" s="19"/>
      <c r="Q244" s="47"/>
      <c r="R244" s="19"/>
      <c r="S244" s="19"/>
    </row>
    <row r="245" spans="1:19" x14ac:dyDescent="0.35">
      <c r="A245" s="26" t="s">
        <v>543</v>
      </c>
      <c r="B245" s="26" t="s">
        <v>543</v>
      </c>
      <c r="C245" s="26"/>
      <c r="D245" s="26" t="s">
        <v>543</v>
      </c>
      <c r="E245" s="26" t="str">
        <f>IFERROR(VLOOKUP(G245,WholesaleExtract!B:J,9,FALSE),"")</f>
        <v/>
      </c>
      <c r="F245" s="26" t="str">
        <f>IFERROR(VLOOKUP(G245,WholesaleExtract!B:J,6,FALSE),"")</f>
        <v/>
      </c>
      <c r="G245" s="19"/>
      <c r="H245" s="47" t="str">
        <f>IFERROR(VLOOKUP(G245,WholesaleExtract!B:L,11,FALSE),"")</f>
        <v/>
      </c>
      <c r="I245" s="26" t="str">
        <f>IFERROR(VLOOKUP(G245,WholesaleExtract!B:O,8,FALSE),"")</f>
        <v/>
      </c>
      <c r="J245" s="26" t="str">
        <f>IFERROR(VLOOKUP(G245,WholesaleExtract!B:O,14,FALSE),"")</f>
        <v/>
      </c>
      <c r="K245" s="26" t="str">
        <f>IFERROR(VLOOKUP(G245,WholesaleExtract!B:K,10,FALSE),"")</f>
        <v/>
      </c>
      <c r="L245" s="47" t="str">
        <f>IFERROR(VLOOKUP(G245,WholesaleExtract!B:L,11,FALSE),"")</f>
        <v/>
      </c>
      <c r="M245" s="47" t="str">
        <f>IFERROR(VLOOKUP(G245,WholesaleExtract!B:M,12,FALSE),"")</f>
        <v/>
      </c>
      <c r="N245" s="27"/>
      <c r="O245" s="19"/>
      <c r="P245" s="19"/>
      <c r="Q245" s="47"/>
      <c r="R245" s="19"/>
      <c r="S245" s="19"/>
    </row>
    <row r="246" spans="1:19" x14ac:dyDescent="0.35">
      <c r="A246" s="26" t="s">
        <v>543</v>
      </c>
      <c r="B246" s="26" t="s">
        <v>543</v>
      </c>
      <c r="C246" s="26"/>
      <c r="D246" s="26" t="s">
        <v>543</v>
      </c>
      <c r="E246" s="26" t="str">
        <f>IFERROR(VLOOKUP(G246,WholesaleExtract!B:J,9,FALSE),"")</f>
        <v/>
      </c>
      <c r="F246" s="26" t="str">
        <f>IFERROR(VLOOKUP(G246,WholesaleExtract!B:J,6,FALSE),"")</f>
        <v/>
      </c>
      <c r="G246" s="19"/>
      <c r="H246" s="47" t="str">
        <f>IFERROR(VLOOKUP(G246,WholesaleExtract!B:L,11,FALSE),"")</f>
        <v/>
      </c>
      <c r="I246" s="26" t="str">
        <f>IFERROR(VLOOKUP(G246,WholesaleExtract!B:O,8,FALSE),"")</f>
        <v/>
      </c>
      <c r="J246" s="26" t="str">
        <f>IFERROR(VLOOKUP(G246,WholesaleExtract!B:O,14,FALSE),"")</f>
        <v/>
      </c>
      <c r="K246" s="26" t="str">
        <f>IFERROR(VLOOKUP(G246,WholesaleExtract!B:K,10,FALSE),"")</f>
        <v/>
      </c>
      <c r="L246" s="47" t="str">
        <f>IFERROR(VLOOKUP(G246,WholesaleExtract!B:L,11,FALSE),"")</f>
        <v/>
      </c>
      <c r="M246" s="47" t="str">
        <f>IFERROR(VLOOKUP(G246,WholesaleExtract!B:M,12,FALSE),"")</f>
        <v/>
      </c>
      <c r="N246" s="27"/>
      <c r="O246" s="19"/>
      <c r="P246" s="19"/>
      <c r="Q246" s="47"/>
      <c r="R246" s="19"/>
      <c r="S246" s="19"/>
    </row>
    <row r="247" spans="1:19" x14ac:dyDescent="0.35">
      <c r="A247" s="26" t="s">
        <v>543</v>
      </c>
      <c r="B247" s="26" t="s">
        <v>543</v>
      </c>
      <c r="C247" s="26"/>
      <c r="D247" s="26" t="s">
        <v>543</v>
      </c>
      <c r="E247" s="26" t="str">
        <f>IFERROR(VLOOKUP(G247,WholesaleExtract!B:J,9,FALSE),"")</f>
        <v/>
      </c>
      <c r="F247" s="26" t="str">
        <f>IFERROR(VLOOKUP(G247,WholesaleExtract!B:J,6,FALSE),"")</f>
        <v/>
      </c>
      <c r="G247" s="19"/>
      <c r="H247" s="47" t="str">
        <f>IFERROR(VLOOKUP(G247,WholesaleExtract!B:L,11,FALSE),"")</f>
        <v/>
      </c>
      <c r="I247" s="26" t="str">
        <f>IFERROR(VLOOKUP(G247,WholesaleExtract!B:O,8,FALSE),"")</f>
        <v/>
      </c>
      <c r="J247" s="26" t="str">
        <f>IFERROR(VLOOKUP(G247,WholesaleExtract!B:O,14,FALSE),"")</f>
        <v/>
      </c>
      <c r="K247" s="26" t="str">
        <f>IFERROR(VLOOKUP(G247,WholesaleExtract!B:K,10,FALSE),"")</f>
        <v/>
      </c>
      <c r="L247" s="47" t="str">
        <f>IFERROR(VLOOKUP(G247,WholesaleExtract!B:L,11,FALSE),"")</f>
        <v/>
      </c>
      <c r="M247" s="47" t="str">
        <f>IFERROR(VLOOKUP(G247,WholesaleExtract!B:M,12,FALSE),"")</f>
        <v/>
      </c>
      <c r="N247" s="27"/>
      <c r="O247" s="19"/>
      <c r="P247" s="19"/>
      <c r="Q247" s="47"/>
      <c r="R247" s="19"/>
      <c r="S247" s="19"/>
    </row>
    <row r="248" spans="1:19" x14ac:dyDescent="0.35">
      <c r="A248" s="26" t="s">
        <v>543</v>
      </c>
      <c r="B248" s="26" t="s">
        <v>543</v>
      </c>
      <c r="C248" s="26"/>
      <c r="D248" s="26" t="s">
        <v>543</v>
      </c>
      <c r="E248" s="26" t="str">
        <f>IFERROR(VLOOKUP(G248,WholesaleExtract!B:J,9,FALSE),"")</f>
        <v/>
      </c>
      <c r="F248" s="26" t="str">
        <f>IFERROR(VLOOKUP(G248,WholesaleExtract!B:J,6,FALSE),"")</f>
        <v/>
      </c>
      <c r="G248" s="19"/>
      <c r="H248" s="47" t="str">
        <f>IFERROR(VLOOKUP(G248,WholesaleExtract!B:L,11,FALSE),"")</f>
        <v/>
      </c>
      <c r="I248" s="26" t="str">
        <f>IFERROR(VLOOKUP(G248,WholesaleExtract!B:O,8,FALSE),"")</f>
        <v/>
      </c>
      <c r="J248" s="26" t="str">
        <f>IFERROR(VLOOKUP(G248,WholesaleExtract!B:O,14,FALSE),"")</f>
        <v/>
      </c>
      <c r="K248" s="26" t="str">
        <f>IFERROR(VLOOKUP(G248,WholesaleExtract!B:K,10,FALSE),"")</f>
        <v/>
      </c>
      <c r="L248" s="47" t="str">
        <f>IFERROR(VLOOKUP(G248,WholesaleExtract!B:L,11,FALSE),"")</f>
        <v/>
      </c>
      <c r="M248" s="47" t="str">
        <f>IFERROR(VLOOKUP(G248,WholesaleExtract!B:M,12,FALSE),"")</f>
        <v/>
      </c>
      <c r="N248" s="27"/>
      <c r="O248" s="19"/>
      <c r="P248" s="19"/>
      <c r="Q248" s="47"/>
      <c r="R248" s="19"/>
      <c r="S248" s="19"/>
    </row>
    <row r="249" spans="1:19" x14ac:dyDescent="0.35">
      <c r="A249" s="26" t="s">
        <v>543</v>
      </c>
      <c r="B249" s="26" t="s">
        <v>543</v>
      </c>
      <c r="C249" s="26"/>
      <c r="D249" s="26" t="s">
        <v>543</v>
      </c>
      <c r="E249" s="26" t="str">
        <f>IFERROR(VLOOKUP(G249,WholesaleExtract!B:J,9,FALSE),"")</f>
        <v/>
      </c>
      <c r="F249" s="26" t="str">
        <f>IFERROR(VLOOKUP(G249,WholesaleExtract!B:J,6,FALSE),"")</f>
        <v/>
      </c>
      <c r="G249" s="19"/>
      <c r="H249" s="47" t="str">
        <f>IFERROR(VLOOKUP(G249,WholesaleExtract!B:L,11,FALSE),"")</f>
        <v/>
      </c>
      <c r="I249" s="26" t="str">
        <f>IFERROR(VLOOKUP(G249,WholesaleExtract!B:O,8,FALSE),"")</f>
        <v/>
      </c>
      <c r="J249" s="26" t="str">
        <f>IFERROR(VLOOKUP(G249,WholesaleExtract!B:O,14,FALSE),"")</f>
        <v/>
      </c>
      <c r="K249" s="26" t="str">
        <f>IFERROR(VLOOKUP(G249,WholesaleExtract!B:K,10,FALSE),"")</f>
        <v/>
      </c>
      <c r="L249" s="47" t="str">
        <f>IFERROR(VLOOKUP(G249,WholesaleExtract!B:L,11,FALSE),"")</f>
        <v/>
      </c>
      <c r="M249" s="47" t="str">
        <f>IFERROR(VLOOKUP(G249,WholesaleExtract!B:M,12,FALSE),"")</f>
        <v/>
      </c>
      <c r="N249" s="27"/>
      <c r="O249" s="19"/>
      <c r="P249" s="19"/>
      <c r="Q249" s="47"/>
      <c r="R249" s="19"/>
      <c r="S249" s="19"/>
    </row>
    <row r="250" spans="1:19" x14ac:dyDescent="0.35">
      <c r="A250" s="26" t="s">
        <v>543</v>
      </c>
      <c r="B250" s="26" t="s">
        <v>543</v>
      </c>
      <c r="C250" s="26"/>
      <c r="D250" s="26" t="s">
        <v>543</v>
      </c>
      <c r="E250" s="26" t="str">
        <f>IFERROR(VLOOKUP(G250,WholesaleExtract!B:J,9,FALSE),"")</f>
        <v/>
      </c>
      <c r="F250" s="26" t="str">
        <f>IFERROR(VLOOKUP(G250,WholesaleExtract!B:J,6,FALSE),"")</f>
        <v/>
      </c>
      <c r="G250" s="19"/>
      <c r="H250" s="47" t="str">
        <f>IFERROR(VLOOKUP(G250,WholesaleExtract!B:L,11,FALSE),"")</f>
        <v/>
      </c>
      <c r="I250" s="26" t="str">
        <f>IFERROR(VLOOKUP(G250,WholesaleExtract!B:O,8,FALSE),"")</f>
        <v/>
      </c>
      <c r="J250" s="26" t="str">
        <f>IFERROR(VLOOKUP(G250,WholesaleExtract!B:O,14,FALSE),"")</f>
        <v/>
      </c>
      <c r="K250" s="26" t="str">
        <f>IFERROR(VLOOKUP(G250,WholesaleExtract!B:K,10,FALSE),"")</f>
        <v/>
      </c>
      <c r="L250" s="47" t="str">
        <f>IFERROR(VLOOKUP(G250,WholesaleExtract!B:L,11,FALSE),"")</f>
        <v/>
      </c>
      <c r="M250" s="47" t="str">
        <f>IFERROR(VLOOKUP(G250,WholesaleExtract!B:M,12,FALSE),"")</f>
        <v/>
      </c>
      <c r="N250" s="27"/>
      <c r="O250" s="19"/>
      <c r="P250" s="19"/>
      <c r="Q250" s="47"/>
      <c r="R250" s="19"/>
      <c r="S250" s="19"/>
    </row>
    <row r="251" spans="1:19" x14ac:dyDescent="0.35">
      <c r="A251" s="26" t="s">
        <v>543</v>
      </c>
      <c r="B251" s="26" t="s">
        <v>543</v>
      </c>
      <c r="C251" s="26"/>
      <c r="D251" s="26" t="s">
        <v>543</v>
      </c>
      <c r="E251" s="26" t="str">
        <f>IFERROR(VLOOKUP(G251,WholesaleExtract!B:J,9,FALSE),"")</f>
        <v/>
      </c>
      <c r="F251" s="26" t="str">
        <f>IFERROR(VLOOKUP(G251,WholesaleExtract!B:J,6,FALSE),"")</f>
        <v/>
      </c>
      <c r="G251" s="19"/>
      <c r="H251" s="47" t="str">
        <f>IFERROR(VLOOKUP(G251,WholesaleExtract!B:L,11,FALSE),"")</f>
        <v/>
      </c>
      <c r="I251" s="26" t="str">
        <f>IFERROR(VLOOKUP(G251,WholesaleExtract!B:O,8,FALSE),"")</f>
        <v/>
      </c>
      <c r="J251" s="26" t="str">
        <f>IFERROR(VLOOKUP(G251,WholesaleExtract!B:O,14,FALSE),"")</f>
        <v/>
      </c>
      <c r="K251" s="26" t="str">
        <f>IFERROR(VLOOKUP(G251,WholesaleExtract!B:K,10,FALSE),"")</f>
        <v/>
      </c>
      <c r="L251" s="47" t="str">
        <f>IFERROR(VLOOKUP(G251,WholesaleExtract!B:L,11,FALSE),"")</f>
        <v/>
      </c>
      <c r="M251" s="47" t="str">
        <f>IFERROR(VLOOKUP(G251,WholesaleExtract!B:M,12,FALSE),"")</f>
        <v/>
      </c>
      <c r="N251" s="27"/>
      <c r="O251" s="19"/>
      <c r="P251" s="19"/>
      <c r="Q251" s="47"/>
      <c r="R251" s="19"/>
      <c r="S251" s="19"/>
    </row>
    <row r="252" spans="1:19" x14ac:dyDescent="0.35">
      <c r="A252" s="26" t="s">
        <v>543</v>
      </c>
      <c r="B252" s="26" t="s">
        <v>543</v>
      </c>
      <c r="C252" s="26"/>
      <c r="D252" s="26" t="s">
        <v>543</v>
      </c>
      <c r="E252" s="26" t="str">
        <f>IFERROR(VLOOKUP(G252,WholesaleExtract!B:J,9,FALSE),"")</f>
        <v/>
      </c>
      <c r="F252" s="26" t="str">
        <f>IFERROR(VLOOKUP(G252,WholesaleExtract!B:J,6,FALSE),"")</f>
        <v/>
      </c>
      <c r="G252" s="19"/>
      <c r="H252" s="47" t="str">
        <f>IFERROR(VLOOKUP(G252,WholesaleExtract!B:L,11,FALSE),"")</f>
        <v/>
      </c>
      <c r="I252" s="26" t="str">
        <f>IFERROR(VLOOKUP(G252,WholesaleExtract!B:O,8,FALSE),"")</f>
        <v/>
      </c>
      <c r="J252" s="26" t="str">
        <f>IFERROR(VLOOKUP(G252,WholesaleExtract!B:O,14,FALSE),"")</f>
        <v/>
      </c>
      <c r="K252" s="26" t="str">
        <f>IFERROR(VLOOKUP(G252,WholesaleExtract!B:K,10,FALSE),"")</f>
        <v/>
      </c>
      <c r="L252" s="47" t="str">
        <f>IFERROR(VLOOKUP(G252,WholesaleExtract!B:L,11,FALSE),"")</f>
        <v/>
      </c>
      <c r="M252" s="47" t="str">
        <f>IFERROR(VLOOKUP(G252,WholesaleExtract!B:M,12,FALSE),"")</f>
        <v/>
      </c>
      <c r="N252" s="27"/>
      <c r="O252" s="19"/>
      <c r="P252" s="19"/>
      <c r="Q252" s="47"/>
      <c r="R252" s="19"/>
      <c r="S252" s="19"/>
    </row>
    <row r="253" spans="1:19" x14ac:dyDescent="0.35">
      <c r="A253" s="26" t="s">
        <v>543</v>
      </c>
      <c r="B253" s="26" t="s">
        <v>543</v>
      </c>
      <c r="C253" s="26"/>
      <c r="D253" s="26" t="s">
        <v>543</v>
      </c>
      <c r="E253" s="26" t="str">
        <f>IFERROR(VLOOKUP(G253,WholesaleExtract!B:J,9,FALSE),"")</f>
        <v/>
      </c>
      <c r="F253" s="26" t="str">
        <f>IFERROR(VLOOKUP(G253,WholesaleExtract!B:J,6,FALSE),"")</f>
        <v/>
      </c>
      <c r="G253" s="19"/>
      <c r="H253" s="47" t="str">
        <f>IFERROR(VLOOKUP(G253,WholesaleExtract!B:L,11,FALSE),"")</f>
        <v/>
      </c>
      <c r="I253" s="26" t="str">
        <f>IFERROR(VLOOKUP(G253,WholesaleExtract!B:O,8,FALSE),"")</f>
        <v/>
      </c>
      <c r="J253" s="26" t="str">
        <f>IFERROR(VLOOKUP(G253,WholesaleExtract!B:O,14,FALSE),"")</f>
        <v/>
      </c>
      <c r="K253" s="26" t="str">
        <f>IFERROR(VLOOKUP(G253,WholesaleExtract!B:K,10,FALSE),"")</f>
        <v/>
      </c>
      <c r="L253" s="47" t="str">
        <f>IFERROR(VLOOKUP(G253,WholesaleExtract!B:L,11,FALSE),"")</f>
        <v/>
      </c>
      <c r="M253" s="47" t="str">
        <f>IFERROR(VLOOKUP(G253,WholesaleExtract!B:M,12,FALSE),"")</f>
        <v/>
      </c>
      <c r="N253" s="27"/>
      <c r="O253" s="19"/>
      <c r="P253" s="19"/>
      <c r="Q253" s="47"/>
      <c r="R253" s="19"/>
      <c r="S253" s="19"/>
    </row>
    <row r="254" spans="1:19" x14ac:dyDescent="0.35">
      <c r="A254" s="26" t="s">
        <v>543</v>
      </c>
      <c r="B254" s="26" t="s">
        <v>543</v>
      </c>
      <c r="C254" s="26"/>
      <c r="D254" s="26" t="s">
        <v>543</v>
      </c>
      <c r="E254" s="26" t="str">
        <f>IFERROR(VLOOKUP(G254,WholesaleExtract!B:J,9,FALSE),"")</f>
        <v/>
      </c>
      <c r="F254" s="26" t="str">
        <f>IFERROR(VLOOKUP(G254,WholesaleExtract!B:J,6,FALSE),"")</f>
        <v/>
      </c>
      <c r="G254" s="19"/>
      <c r="H254" s="47" t="str">
        <f>IFERROR(VLOOKUP(G254,WholesaleExtract!B:L,11,FALSE),"")</f>
        <v/>
      </c>
      <c r="I254" s="26" t="str">
        <f>IFERROR(VLOOKUP(G254,WholesaleExtract!B:O,8,FALSE),"")</f>
        <v/>
      </c>
      <c r="J254" s="26" t="str">
        <f>IFERROR(VLOOKUP(G254,WholesaleExtract!B:O,14,FALSE),"")</f>
        <v/>
      </c>
      <c r="K254" s="26" t="str">
        <f>IFERROR(VLOOKUP(G254,WholesaleExtract!B:K,10,FALSE),"")</f>
        <v/>
      </c>
      <c r="L254" s="47" t="str">
        <f>IFERROR(VLOOKUP(G254,WholesaleExtract!B:L,11,FALSE),"")</f>
        <v/>
      </c>
      <c r="M254" s="47" t="str">
        <f>IFERROR(VLOOKUP(G254,WholesaleExtract!B:M,12,FALSE),"")</f>
        <v/>
      </c>
      <c r="N254" s="27"/>
      <c r="O254" s="19"/>
      <c r="P254" s="19"/>
      <c r="Q254" s="47"/>
      <c r="R254" s="19"/>
      <c r="S254" s="19"/>
    </row>
    <row r="255" spans="1:19" x14ac:dyDescent="0.35">
      <c r="A255" s="26" t="s">
        <v>543</v>
      </c>
      <c r="B255" s="26" t="s">
        <v>543</v>
      </c>
      <c r="C255" s="26"/>
      <c r="D255" s="26" t="s">
        <v>543</v>
      </c>
      <c r="E255" s="26" t="str">
        <f>IFERROR(VLOOKUP(G255,WholesaleExtract!B:J,9,FALSE),"")</f>
        <v/>
      </c>
      <c r="F255" s="26" t="str">
        <f>IFERROR(VLOOKUP(G255,WholesaleExtract!B:J,6,FALSE),"")</f>
        <v/>
      </c>
      <c r="G255" s="19"/>
      <c r="H255" s="47" t="str">
        <f>IFERROR(VLOOKUP(G255,WholesaleExtract!B:L,11,FALSE),"")</f>
        <v/>
      </c>
      <c r="I255" s="26" t="str">
        <f>IFERROR(VLOOKUP(G255,WholesaleExtract!B:O,8,FALSE),"")</f>
        <v/>
      </c>
      <c r="J255" s="26" t="str">
        <f>IFERROR(VLOOKUP(G255,WholesaleExtract!B:O,14,FALSE),"")</f>
        <v/>
      </c>
      <c r="K255" s="26" t="str">
        <f>IFERROR(VLOOKUP(G255,WholesaleExtract!B:K,10,FALSE),"")</f>
        <v/>
      </c>
      <c r="L255" s="47" t="str">
        <f>IFERROR(VLOOKUP(G255,WholesaleExtract!B:L,11,FALSE),"")</f>
        <v/>
      </c>
      <c r="M255" s="47" t="str">
        <f>IFERROR(VLOOKUP(G255,WholesaleExtract!B:M,12,FALSE),"")</f>
        <v/>
      </c>
      <c r="N255" s="27"/>
      <c r="O255" s="19"/>
      <c r="P255" s="19"/>
      <c r="Q255" s="47"/>
      <c r="R255" s="19"/>
      <c r="S255" s="19"/>
    </row>
    <row r="256" spans="1:19" x14ac:dyDescent="0.35">
      <c r="A256" s="26" t="s">
        <v>543</v>
      </c>
      <c r="B256" s="26" t="s">
        <v>543</v>
      </c>
      <c r="C256" s="26"/>
      <c r="D256" s="26" t="s">
        <v>543</v>
      </c>
      <c r="E256" s="26" t="str">
        <f>IFERROR(VLOOKUP(G256,WholesaleExtract!B:J,9,FALSE),"")</f>
        <v/>
      </c>
      <c r="F256" s="26" t="str">
        <f>IFERROR(VLOOKUP(G256,WholesaleExtract!B:J,6,FALSE),"")</f>
        <v/>
      </c>
      <c r="G256" s="19"/>
      <c r="H256" s="47" t="str">
        <f>IFERROR(VLOOKUP(G256,WholesaleExtract!B:L,11,FALSE),"")</f>
        <v/>
      </c>
      <c r="I256" s="26" t="str">
        <f>IFERROR(VLOOKUP(G256,WholesaleExtract!B:O,8,FALSE),"")</f>
        <v/>
      </c>
      <c r="J256" s="26" t="str">
        <f>IFERROR(VLOOKUP(G256,WholesaleExtract!B:O,14,FALSE),"")</f>
        <v/>
      </c>
      <c r="K256" s="26" t="str">
        <f>IFERROR(VLOOKUP(G256,WholesaleExtract!B:K,10,FALSE),"")</f>
        <v/>
      </c>
      <c r="L256" s="47" t="str">
        <f>IFERROR(VLOOKUP(G256,WholesaleExtract!B:L,11,FALSE),"")</f>
        <v/>
      </c>
      <c r="M256" s="47" t="str">
        <f>IFERROR(VLOOKUP(G256,WholesaleExtract!B:M,12,FALSE),"")</f>
        <v/>
      </c>
      <c r="N256" s="27"/>
      <c r="O256" s="19"/>
      <c r="P256" s="19"/>
      <c r="Q256" s="47"/>
      <c r="R256" s="19"/>
      <c r="S256" s="19"/>
    </row>
    <row r="257" spans="1:19" x14ac:dyDescent="0.35">
      <c r="A257" s="26" t="s">
        <v>543</v>
      </c>
      <c r="B257" s="26" t="s">
        <v>543</v>
      </c>
      <c r="C257" s="26"/>
      <c r="D257" s="26" t="s">
        <v>543</v>
      </c>
      <c r="E257" s="26" t="str">
        <f>IFERROR(VLOOKUP(G257,WholesaleExtract!B:J,9,FALSE),"")</f>
        <v/>
      </c>
      <c r="F257" s="26" t="str">
        <f>IFERROR(VLOOKUP(G257,WholesaleExtract!B:J,6,FALSE),"")</f>
        <v/>
      </c>
      <c r="G257" s="19"/>
      <c r="H257" s="47" t="str">
        <f>IFERROR(VLOOKUP(G257,WholesaleExtract!B:L,11,FALSE),"")</f>
        <v/>
      </c>
      <c r="I257" s="26" t="str">
        <f>IFERROR(VLOOKUP(G257,WholesaleExtract!B:O,8,FALSE),"")</f>
        <v/>
      </c>
      <c r="J257" s="26" t="str">
        <f>IFERROR(VLOOKUP(G257,WholesaleExtract!B:O,14,FALSE),"")</f>
        <v/>
      </c>
      <c r="K257" s="26" t="str">
        <f>IFERROR(VLOOKUP(G257,WholesaleExtract!B:K,10,FALSE),"")</f>
        <v/>
      </c>
      <c r="L257" s="47" t="str">
        <f>IFERROR(VLOOKUP(G257,WholesaleExtract!B:L,11,FALSE),"")</f>
        <v/>
      </c>
      <c r="M257" s="47" t="str">
        <f>IFERROR(VLOOKUP(G257,WholesaleExtract!B:M,12,FALSE),"")</f>
        <v/>
      </c>
      <c r="N257" s="27"/>
      <c r="O257" s="19"/>
      <c r="P257" s="19"/>
      <c r="Q257" s="47"/>
      <c r="R257" s="19"/>
      <c r="S257" s="19"/>
    </row>
    <row r="258" spans="1:19" x14ac:dyDescent="0.35">
      <c r="A258" s="26" t="s">
        <v>543</v>
      </c>
      <c r="B258" s="26" t="s">
        <v>543</v>
      </c>
      <c r="C258" s="26"/>
      <c r="D258" s="26" t="s">
        <v>543</v>
      </c>
      <c r="E258" s="26" t="str">
        <f>IFERROR(VLOOKUP(G258,WholesaleExtract!B:J,9,FALSE),"")</f>
        <v/>
      </c>
      <c r="F258" s="26" t="str">
        <f>IFERROR(VLOOKUP(G258,WholesaleExtract!B:J,6,FALSE),"")</f>
        <v/>
      </c>
      <c r="G258" s="19"/>
      <c r="H258" s="47" t="str">
        <f>IFERROR(VLOOKUP(G258,WholesaleExtract!B:L,11,FALSE),"")</f>
        <v/>
      </c>
      <c r="I258" s="26" t="str">
        <f>IFERROR(VLOOKUP(G258,WholesaleExtract!B:O,8,FALSE),"")</f>
        <v/>
      </c>
      <c r="J258" s="26" t="str">
        <f>IFERROR(VLOOKUP(G258,WholesaleExtract!B:O,14,FALSE),"")</f>
        <v/>
      </c>
      <c r="K258" s="26" t="str">
        <f>IFERROR(VLOOKUP(G258,WholesaleExtract!B:K,10,FALSE),"")</f>
        <v/>
      </c>
      <c r="L258" s="47" t="str">
        <f>IFERROR(VLOOKUP(G258,WholesaleExtract!B:L,11,FALSE),"")</f>
        <v/>
      </c>
      <c r="M258" s="47" t="str">
        <f>IFERROR(VLOOKUP(G258,WholesaleExtract!B:M,12,FALSE),"")</f>
        <v/>
      </c>
      <c r="N258" s="27"/>
      <c r="O258" s="19"/>
      <c r="P258" s="19"/>
      <c r="Q258" s="47"/>
      <c r="R258" s="19"/>
      <c r="S258" s="19"/>
    </row>
    <row r="259" spans="1:19" x14ac:dyDescent="0.35">
      <c r="A259" s="26" t="s">
        <v>543</v>
      </c>
      <c r="B259" s="26" t="s">
        <v>543</v>
      </c>
      <c r="C259" s="26"/>
      <c r="D259" s="26" t="s">
        <v>543</v>
      </c>
      <c r="E259" s="26" t="str">
        <f>IFERROR(VLOOKUP(G259,WholesaleExtract!B:J,9,FALSE),"")</f>
        <v/>
      </c>
      <c r="F259" s="26" t="str">
        <f>IFERROR(VLOOKUP(G259,WholesaleExtract!B:J,6,FALSE),"")</f>
        <v/>
      </c>
      <c r="G259" s="19"/>
      <c r="H259" s="47" t="str">
        <f>IFERROR(VLOOKUP(G259,WholesaleExtract!B:L,11,FALSE),"")</f>
        <v/>
      </c>
      <c r="I259" s="26" t="str">
        <f>IFERROR(VLOOKUP(G259,WholesaleExtract!B:O,8,FALSE),"")</f>
        <v/>
      </c>
      <c r="J259" s="26" t="str">
        <f>IFERROR(VLOOKUP(G259,WholesaleExtract!B:O,14,FALSE),"")</f>
        <v/>
      </c>
      <c r="K259" s="26" t="str">
        <f>IFERROR(VLOOKUP(G259,WholesaleExtract!B:K,10,FALSE),"")</f>
        <v/>
      </c>
      <c r="L259" s="47" t="str">
        <f>IFERROR(VLOOKUP(G259,WholesaleExtract!B:L,11,FALSE),"")</f>
        <v/>
      </c>
      <c r="M259" s="47" t="str">
        <f>IFERROR(VLOOKUP(G259,WholesaleExtract!B:M,12,FALSE),"")</f>
        <v/>
      </c>
      <c r="N259" s="27"/>
      <c r="O259" s="19"/>
      <c r="P259" s="19"/>
      <c r="Q259" s="47"/>
      <c r="R259" s="19"/>
      <c r="S259" s="19"/>
    </row>
    <row r="260" spans="1:19" x14ac:dyDescent="0.35">
      <c r="A260" s="26" t="s">
        <v>543</v>
      </c>
      <c r="B260" s="26" t="s">
        <v>543</v>
      </c>
      <c r="C260" s="26"/>
      <c r="D260" s="26" t="s">
        <v>543</v>
      </c>
      <c r="E260" s="26" t="str">
        <f>IFERROR(VLOOKUP(G260,WholesaleExtract!B:J,9,FALSE),"")</f>
        <v/>
      </c>
      <c r="F260" s="26" t="str">
        <f>IFERROR(VLOOKUP(G260,WholesaleExtract!B:J,6,FALSE),"")</f>
        <v/>
      </c>
      <c r="G260" s="19"/>
      <c r="H260" s="47" t="str">
        <f>IFERROR(VLOOKUP(G260,WholesaleExtract!B:L,11,FALSE),"")</f>
        <v/>
      </c>
      <c r="I260" s="26" t="str">
        <f>IFERROR(VLOOKUP(G260,WholesaleExtract!B:O,8,FALSE),"")</f>
        <v/>
      </c>
      <c r="J260" s="26" t="str">
        <f>IFERROR(VLOOKUP(G260,WholesaleExtract!B:O,14,FALSE),"")</f>
        <v/>
      </c>
      <c r="K260" s="26" t="str">
        <f>IFERROR(VLOOKUP(G260,WholesaleExtract!B:K,10,FALSE),"")</f>
        <v/>
      </c>
      <c r="L260" s="47" t="str">
        <f>IFERROR(VLOOKUP(G260,WholesaleExtract!B:L,11,FALSE),"")</f>
        <v/>
      </c>
      <c r="M260" s="47" t="str">
        <f>IFERROR(VLOOKUP(G260,WholesaleExtract!B:M,12,FALSE),"")</f>
        <v/>
      </c>
      <c r="N260" s="27"/>
      <c r="O260" s="19"/>
      <c r="P260" s="19"/>
      <c r="Q260" s="47"/>
      <c r="R260" s="19"/>
      <c r="S260" s="19"/>
    </row>
    <row r="261" spans="1:19" x14ac:dyDescent="0.35">
      <c r="A261" s="26" t="s">
        <v>543</v>
      </c>
      <c r="B261" s="26" t="s">
        <v>543</v>
      </c>
      <c r="C261" s="26"/>
      <c r="D261" s="26" t="s">
        <v>543</v>
      </c>
      <c r="E261" s="26" t="str">
        <f>IFERROR(VLOOKUP(G261,WholesaleExtract!B:J,9,FALSE),"")</f>
        <v/>
      </c>
      <c r="F261" s="26" t="str">
        <f>IFERROR(VLOOKUP(G261,WholesaleExtract!B:J,6,FALSE),"")</f>
        <v/>
      </c>
      <c r="G261" s="19"/>
      <c r="H261" s="47" t="str">
        <f>IFERROR(VLOOKUP(G261,WholesaleExtract!B:L,11,FALSE),"")</f>
        <v/>
      </c>
      <c r="I261" s="26" t="str">
        <f>IFERROR(VLOOKUP(G261,WholesaleExtract!B:O,8,FALSE),"")</f>
        <v/>
      </c>
      <c r="J261" s="26" t="str">
        <f>IFERROR(VLOOKUP(G261,WholesaleExtract!B:O,14,FALSE),"")</f>
        <v/>
      </c>
      <c r="K261" s="26" t="str">
        <f>IFERROR(VLOOKUP(G261,WholesaleExtract!B:K,10,FALSE),"")</f>
        <v/>
      </c>
      <c r="L261" s="47" t="str">
        <f>IFERROR(VLOOKUP(G261,WholesaleExtract!B:L,11,FALSE),"")</f>
        <v/>
      </c>
      <c r="M261" s="47" t="str">
        <f>IFERROR(VLOOKUP(G261,WholesaleExtract!B:M,12,FALSE),"")</f>
        <v/>
      </c>
      <c r="N261" s="27"/>
      <c r="O261" s="19"/>
      <c r="P261" s="19"/>
      <c r="Q261" s="47"/>
      <c r="R261" s="19"/>
      <c r="S261" s="19"/>
    </row>
    <row r="262" spans="1:19" x14ac:dyDescent="0.35">
      <c r="A262" s="26" t="s">
        <v>543</v>
      </c>
      <c r="B262" s="26" t="s">
        <v>543</v>
      </c>
      <c r="C262" s="26"/>
      <c r="D262" s="26" t="s">
        <v>543</v>
      </c>
      <c r="E262" s="26" t="str">
        <f>IFERROR(VLOOKUP(G262,WholesaleExtract!B:J,9,FALSE),"")</f>
        <v/>
      </c>
      <c r="F262" s="26" t="str">
        <f>IFERROR(VLOOKUP(G262,WholesaleExtract!B:J,6,FALSE),"")</f>
        <v/>
      </c>
      <c r="G262" s="19"/>
      <c r="H262" s="47" t="str">
        <f>IFERROR(VLOOKUP(G262,WholesaleExtract!B:L,11,FALSE),"")</f>
        <v/>
      </c>
      <c r="I262" s="26" t="str">
        <f>IFERROR(VLOOKUP(G262,WholesaleExtract!B:O,8,FALSE),"")</f>
        <v/>
      </c>
      <c r="J262" s="26" t="str">
        <f>IFERROR(VLOOKUP(G262,WholesaleExtract!B:O,14,FALSE),"")</f>
        <v/>
      </c>
      <c r="K262" s="26" t="str">
        <f>IFERROR(VLOOKUP(G262,WholesaleExtract!B:K,10,FALSE),"")</f>
        <v/>
      </c>
      <c r="L262" s="47" t="str">
        <f>IFERROR(VLOOKUP(G262,WholesaleExtract!B:L,11,FALSE),"")</f>
        <v/>
      </c>
      <c r="M262" s="47" t="str">
        <f>IFERROR(VLOOKUP(G262,WholesaleExtract!B:M,12,FALSE),"")</f>
        <v/>
      </c>
      <c r="N262" s="27"/>
      <c r="O262" s="48"/>
      <c r="P262" s="19"/>
      <c r="Q262" s="47"/>
      <c r="R262" s="19"/>
      <c r="S262" s="19"/>
    </row>
    <row r="263" spans="1:19" x14ac:dyDescent="0.35">
      <c r="A263" s="26" t="s">
        <v>543</v>
      </c>
      <c r="B263" s="26" t="s">
        <v>543</v>
      </c>
      <c r="C263" s="26"/>
      <c r="D263" s="26" t="s">
        <v>543</v>
      </c>
      <c r="E263" s="26" t="str">
        <f>IFERROR(VLOOKUP(G263,WholesaleExtract!B:J,9,FALSE),"")</f>
        <v/>
      </c>
      <c r="F263" s="26" t="str">
        <f>IFERROR(VLOOKUP(G263,WholesaleExtract!B:J,6,FALSE),"")</f>
        <v/>
      </c>
      <c r="G263" s="19"/>
      <c r="H263" s="47" t="str">
        <f>IFERROR(VLOOKUP(G263,WholesaleExtract!B:L,11,FALSE),"")</f>
        <v/>
      </c>
      <c r="I263" s="26" t="str">
        <f>IFERROR(VLOOKUP(G263,WholesaleExtract!B:O,8,FALSE),"")</f>
        <v/>
      </c>
      <c r="J263" s="26" t="str">
        <f>IFERROR(VLOOKUP(G263,WholesaleExtract!B:O,14,FALSE),"")</f>
        <v/>
      </c>
      <c r="K263" s="26" t="str">
        <f>IFERROR(VLOOKUP(G263,WholesaleExtract!B:K,10,FALSE),"")</f>
        <v/>
      </c>
      <c r="L263" s="47" t="str">
        <f>IFERROR(VLOOKUP(G263,WholesaleExtract!B:L,11,FALSE),"")</f>
        <v/>
      </c>
      <c r="M263" s="47" t="str">
        <f>IFERROR(VLOOKUP(G263,WholesaleExtract!B:M,12,FALSE),"")</f>
        <v/>
      </c>
      <c r="N263" s="27"/>
      <c r="O263" s="48"/>
      <c r="P263" s="19"/>
      <c r="Q263" s="47"/>
      <c r="R263" s="19"/>
      <c r="S263" s="19"/>
    </row>
    <row r="264" spans="1:19" x14ac:dyDescent="0.35">
      <c r="A264" s="26" t="s">
        <v>543</v>
      </c>
      <c r="B264" s="26" t="s">
        <v>543</v>
      </c>
      <c r="C264" s="26"/>
      <c r="D264" s="26" t="s">
        <v>543</v>
      </c>
      <c r="E264" s="26" t="str">
        <f>IFERROR(VLOOKUP(G264,WholesaleExtract!B:J,9,FALSE),"")</f>
        <v/>
      </c>
      <c r="F264" s="26" t="str">
        <f>IFERROR(VLOOKUP(G264,WholesaleExtract!B:J,6,FALSE),"")</f>
        <v/>
      </c>
      <c r="G264" s="19"/>
      <c r="H264" s="47" t="str">
        <f>IFERROR(VLOOKUP(G264,WholesaleExtract!B:L,11,FALSE),"")</f>
        <v/>
      </c>
      <c r="I264" s="26" t="str">
        <f>IFERROR(VLOOKUP(G264,WholesaleExtract!B:O,8,FALSE),"")</f>
        <v/>
      </c>
      <c r="J264" s="26" t="str">
        <f>IFERROR(VLOOKUP(G264,WholesaleExtract!B:O,14,FALSE),"")</f>
        <v/>
      </c>
      <c r="K264" s="26" t="str">
        <f>IFERROR(VLOOKUP(G264,WholesaleExtract!B:K,10,FALSE),"")</f>
        <v/>
      </c>
      <c r="L264" s="47" t="str">
        <f>IFERROR(VLOOKUP(G264,WholesaleExtract!B:L,11,FALSE),"")</f>
        <v/>
      </c>
      <c r="M264" s="47" t="str">
        <f>IFERROR(VLOOKUP(G264,WholesaleExtract!B:M,12,FALSE),"")</f>
        <v/>
      </c>
      <c r="N264" s="27"/>
      <c r="O264" s="19"/>
      <c r="P264" s="19"/>
      <c r="Q264" s="47"/>
      <c r="R264" s="19"/>
      <c r="S264" s="19"/>
    </row>
    <row r="265" spans="1:19" x14ac:dyDescent="0.35">
      <c r="A265" s="26" t="s">
        <v>543</v>
      </c>
      <c r="B265" s="26" t="s">
        <v>543</v>
      </c>
      <c r="C265" s="26"/>
      <c r="D265" s="26" t="s">
        <v>543</v>
      </c>
      <c r="E265" s="26" t="str">
        <f>IFERROR(VLOOKUP(G265,WholesaleExtract!B:J,9,FALSE),"")</f>
        <v/>
      </c>
      <c r="F265" s="26" t="str">
        <f>IFERROR(VLOOKUP(G265,WholesaleExtract!B:J,6,FALSE),"")</f>
        <v/>
      </c>
      <c r="G265" s="19"/>
      <c r="H265" s="47" t="str">
        <f>IFERROR(VLOOKUP(G265,WholesaleExtract!B:L,11,FALSE),"")</f>
        <v/>
      </c>
      <c r="I265" s="26" t="str">
        <f>IFERROR(VLOOKUP(G265,WholesaleExtract!B:O,8,FALSE),"")</f>
        <v/>
      </c>
      <c r="J265" s="26" t="str">
        <f>IFERROR(VLOOKUP(G265,WholesaleExtract!B:O,14,FALSE),"")</f>
        <v/>
      </c>
      <c r="K265" s="26" t="str">
        <f>IFERROR(VLOOKUP(G265,WholesaleExtract!B:K,10,FALSE),"")</f>
        <v/>
      </c>
      <c r="L265" s="47" t="str">
        <f>IFERROR(VLOOKUP(G265,WholesaleExtract!B:L,11,FALSE),"")</f>
        <v/>
      </c>
      <c r="M265" s="47" t="str">
        <f>IFERROR(VLOOKUP(G265,WholesaleExtract!B:M,12,FALSE),"")</f>
        <v/>
      </c>
      <c r="N265" s="27"/>
      <c r="O265" s="19"/>
      <c r="P265" s="19"/>
      <c r="Q265" s="47"/>
      <c r="R265" s="19"/>
      <c r="S265" s="19"/>
    </row>
    <row r="266" spans="1:19" x14ac:dyDescent="0.35">
      <c r="A266" s="26" t="s">
        <v>543</v>
      </c>
      <c r="B266" s="26" t="s">
        <v>543</v>
      </c>
      <c r="C266" s="26"/>
      <c r="D266" s="26" t="s">
        <v>543</v>
      </c>
      <c r="E266" s="26" t="str">
        <f>IFERROR(VLOOKUP(G266,WholesaleExtract!B:J,9,FALSE),"")</f>
        <v/>
      </c>
      <c r="F266" s="26" t="str">
        <f>IFERROR(VLOOKUP(G266,WholesaleExtract!B:J,6,FALSE),"")</f>
        <v/>
      </c>
      <c r="G266" s="19"/>
      <c r="H266" s="47" t="str">
        <f>IFERROR(VLOOKUP(G266,WholesaleExtract!B:L,11,FALSE),"")</f>
        <v/>
      </c>
      <c r="I266" s="26" t="str">
        <f>IFERROR(VLOOKUP(G266,WholesaleExtract!B:O,8,FALSE),"")</f>
        <v/>
      </c>
      <c r="J266" s="26" t="str">
        <f>IFERROR(VLOOKUP(G266,WholesaleExtract!B:O,14,FALSE),"")</f>
        <v/>
      </c>
      <c r="K266" s="26" t="str">
        <f>IFERROR(VLOOKUP(G266,WholesaleExtract!B:K,10,FALSE),"")</f>
        <v/>
      </c>
      <c r="L266" s="47" t="str">
        <f>IFERROR(VLOOKUP(G266,WholesaleExtract!B:L,11,FALSE),"")</f>
        <v/>
      </c>
      <c r="M266" s="47" t="str">
        <f>IFERROR(VLOOKUP(G266,WholesaleExtract!B:M,12,FALSE),"")</f>
        <v/>
      </c>
      <c r="N266" s="27"/>
      <c r="O266" s="19"/>
      <c r="P266" s="19"/>
      <c r="Q266" s="47"/>
      <c r="R266" s="19"/>
      <c r="S266" s="19"/>
    </row>
    <row r="267" spans="1:19" x14ac:dyDescent="0.35">
      <c r="A267" s="26" t="s">
        <v>543</v>
      </c>
      <c r="B267" s="26" t="s">
        <v>543</v>
      </c>
      <c r="C267" s="26"/>
      <c r="D267" s="26" t="s">
        <v>543</v>
      </c>
      <c r="E267" s="26" t="str">
        <f>IFERROR(VLOOKUP(G267,WholesaleExtract!B:J,9,FALSE),"")</f>
        <v/>
      </c>
      <c r="F267" s="26" t="str">
        <f>IFERROR(VLOOKUP(G267,WholesaleExtract!B:J,6,FALSE),"")</f>
        <v/>
      </c>
      <c r="G267" s="19"/>
      <c r="H267" s="47" t="str">
        <f>IFERROR(VLOOKUP(G267,WholesaleExtract!B:L,11,FALSE),"")</f>
        <v/>
      </c>
      <c r="I267" s="26" t="str">
        <f>IFERROR(VLOOKUP(G267,WholesaleExtract!B:O,8,FALSE),"")</f>
        <v/>
      </c>
      <c r="J267" s="26" t="str">
        <f>IFERROR(VLOOKUP(G267,WholesaleExtract!B:O,14,FALSE),"")</f>
        <v/>
      </c>
      <c r="K267" s="26" t="str">
        <f>IFERROR(VLOOKUP(G267,WholesaleExtract!B:K,10,FALSE),"")</f>
        <v/>
      </c>
      <c r="L267" s="47" t="str">
        <f>IFERROR(VLOOKUP(G267,WholesaleExtract!B:L,11,FALSE),"")</f>
        <v/>
      </c>
      <c r="M267" s="47" t="str">
        <f>IFERROR(VLOOKUP(G267,WholesaleExtract!B:M,12,FALSE),"")</f>
        <v/>
      </c>
      <c r="N267" s="27"/>
      <c r="O267" s="19"/>
      <c r="P267" s="19"/>
      <c r="Q267" s="47"/>
      <c r="R267" s="19"/>
      <c r="S267" s="19"/>
    </row>
    <row r="268" spans="1:19" x14ac:dyDescent="0.35">
      <c r="A268" s="26" t="s">
        <v>543</v>
      </c>
      <c r="B268" s="26" t="s">
        <v>543</v>
      </c>
      <c r="C268" s="26"/>
      <c r="D268" s="26" t="s">
        <v>543</v>
      </c>
      <c r="E268" s="26" t="str">
        <f>IFERROR(VLOOKUP(G268,WholesaleExtract!B:J,9,FALSE),"")</f>
        <v/>
      </c>
      <c r="F268" s="26" t="str">
        <f>IFERROR(VLOOKUP(G268,WholesaleExtract!B:J,6,FALSE),"")</f>
        <v/>
      </c>
      <c r="G268" s="19"/>
      <c r="H268" s="47" t="str">
        <f>IFERROR(VLOOKUP(G268,WholesaleExtract!B:L,11,FALSE),"")</f>
        <v/>
      </c>
      <c r="I268" s="26" t="str">
        <f>IFERROR(VLOOKUP(G268,WholesaleExtract!B:O,8,FALSE),"")</f>
        <v/>
      </c>
      <c r="J268" s="26" t="str">
        <f>IFERROR(VLOOKUP(G268,WholesaleExtract!B:O,14,FALSE),"")</f>
        <v/>
      </c>
      <c r="K268" s="26" t="str">
        <f>IFERROR(VLOOKUP(G268,WholesaleExtract!B:K,10,FALSE),"")</f>
        <v/>
      </c>
      <c r="L268" s="47" t="str">
        <f>IFERROR(VLOOKUP(G268,WholesaleExtract!B:L,11,FALSE),"")</f>
        <v/>
      </c>
      <c r="M268" s="47" t="str">
        <f>IFERROR(VLOOKUP(G268,WholesaleExtract!B:M,12,FALSE),"")</f>
        <v/>
      </c>
      <c r="N268" s="27"/>
      <c r="O268" s="19"/>
      <c r="P268" s="19"/>
      <c r="Q268" s="47"/>
      <c r="R268" s="19"/>
      <c r="S268" s="19"/>
    </row>
    <row r="269" spans="1:19" x14ac:dyDescent="0.35">
      <c r="A269" s="26" t="s">
        <v>543</v>
      </c>
      <c r="B269" s="26" t="s">
        <v>543</v>
      </c>
      <c r="C269" s="26"/>
      <c r="D269" s="26" t="s">
        <v>543</v>
      </c>
      <c r="E269" s="26" t="str">
        <f>IFERROR(VLOOKUP(G269,WholesaleExtract!B:J,9,FALSE),"")</f>
        <v/>
      </c>
      <c r="F269" s="26" t="str">
        <f>IFERROR(VLOOKUP(G269,WholesaleExtract!B:J,6,FALSE),"")</f>
        <v/>
      </c>
      <c r="G269" s="19"/>
      <c r="H269" s="47" t="str">
        <f>IFERROR(VLOOKUP(G269,WholesaleExtract!B:L,11,FALSE),"")</f>
        <v/>
      </c>
      <c r="I269" s="26" t="str">
        <f>IFERROR(VLOOKUP(G269,WholesaleExtract!B:O,8,FALSE),"")</f>
        <v/>
      </c>
      <c r="J269" s="26" t="str">
        <f>IFERROR(VLOOKUP(G269,WholesaleExtract!B:O,14,FALSE),"")</f>
        <v/>
      </c>
      <c r="K269" s="26" t="str">
        <f>IFERROR(VLOOKUP(G269,WholesaleExtract!B:K,10,FALSE),"")</f>
        <v/>
      </c>
      <c r="L269" s="47" t="str">
        <f>IFERROR(VLOOKUP(G269,WholesaleExtract!B:L,11,FALSE),"")</f>
        <v/>
      </c>
      <c r="M269" s="47" t="str">
        <f>IFERROR(VLOOKUP(G269,WholesaleExtract!B:M,12,FALSE),"")</f>
        <v/>
      </c>
      <c r="N269" s="27"/>
      <c r="O269" s="19"/>
      <c r="P269" s="19"/>
      <c r="Q269" s="47"/>
      <c r="R269" s="19"/>
      <c r="S269" s="19"/>
    </row>
    <row r="270" spans="1:19" x14ac:dyDescent="0.35">
      <c r="A270" s="26" t="s">
        <v>543</v>
      </c>
      <c r="B270" s="26" t="s">
        <v>543</v>
      </c>
      <c r="C270" s="26"/>
      <c r="D270" s="26" t="s">
        <v>543</v>
      </c>
      <c r="E270" s="26" t="str">
        <f>IFERROR(VLOOKUP(G270,WholesaleExtract!B:J,9,FALSE),"")</f>
        <v/>
      </c>
      <c r="F270" s="26" t="str">
        <f>IFERROR(VLOOKUP(G270,WholesaleExtract!B:J,6,FALSE),"")</f>
        <v/>
      </c>
      <c r="G270" s="19"/>
      <c r="H270" s="47" t="str">
        <f>IFERROR(VLOOKUP(G270,WholesaleExtract!B:L,11,FALSE),"")</f>
        <v/>
      </c>
      <c r="I270" s="26" t="str">
        <f>IFERROR(VLOOKUP(G270,WholesaleExtract!B:O,8,FALSE),"")</f>
        <v/>
      </c>
      <c r="J270" s="26" t="str">
        <f>IFERROR(VLOOKUP(G270,WholesaleExtract!B:O,14,FALSE),"")</f>
        <v/>
      </c>
      <c r="K270" s="26" t="str">
        <f>IFERROR(VLOOKUP(G270,WholesaleExtract!B:K,10,FALSE),"")</f>
        <v/>
      </c>
      <c r="L270" s="47" t="str">
        <f>IFERROR(VLOOKUP(G270,WholesaleExtract!B:L,11,FALSE),"")</f>
        <v/>
      </c>
      <c r="M270" s="47" t="str">
        <f>IFERROR(VLOOKUP(G270,WholesaleExtract!B:M,12,FALSE),"")</f>
        <v/>
      </c>
      <c r="N270" s="27"/>
      <c r="O270" s="19"/>
      <c r="P270" s="19"/>
      <c r="Q270" s="47"/>
      <c r="R270" s="19"/>
      <c r="S270" s="19"/>
    </row>
    <row r="271" spans="1:19" x14ac:dyDescent="0.35">
      <c r="A271" s="26" t="s">
        <v>543</v>
      </c>
      <c r="B271" s="26" t="s">
        <v>543</v>
      </c>
      <c r="C271" s="26"/>
      <c r="D271" s="26" t="s">
        <v>543</v>
      </c>
      <c r="E271" s="26" t="str">
        <f>IFERROR(VLOOKUP(G271,WholesaleExtract!B:J,9,FALSE),"")</f>
        <v/>
      </c>
      <c r="F271" s="26" t="str">
        <f>IFERROR(VLOOKUP(G271,WholesaleExtract!B:J,6,FALSE),"")</f>
        <v/>
      </c>
      <c r="G271" s="19"/>
      <c r="H271" s="47" t="str">
        <f>IFERROR(VLOOKUP(G271,WholesaleExtract!B:L,11,FALSE),"")</f>
        <v/>
      </c>
      <c r="I271" s="26" t="str">
        <f>IFERROR(VLOOKUP(G271,WholesaleExtract!B:O,8,FALSE),"")</f>
        <v/>
      </c>
      <c r="J271" s="26" t="str">
        <f>IFERROR(VLOOKUP(G271,WholesaleExtract!B:O,14,FALSE),"")</f>
        <v/>
      </c>
      <c r="K271" s="26" t="str">
        <f>IFERROR(VLOOKUP(G271,WholesaleExtract!B:K,10,FALSE),"")</f>
        <v/>
      </c>
      <c r="L271" s="47" t="str">
        <f>IFERROR(VLOOKUP(G271,WholesaleExtract!B:L,11,FALSE),"")</f>
        <v/>
      </c>
      <c r="M271" s="47" t="str">
        <f>IFERROR(VLOOKUP(G271,WholesaleExtract!B:M,12,FALSE),"")</f>
        <v/>
      </c>
      <c r="N271" s="27"/>
      <c r="O271" s="19"/>
      <c r="P271" s="19"/>
      <c r="Q271" s="47"/>
      <c r="R271" s="19"/>
      <c r="S271" s="19"/>
    </row>
    <row r="272" spans="1:19" x14ac:dyDescent="0.35">
      <c r="A272" s="26" t="s">
        <v>543</v>
      </c>
      <c r="B272" s="26" t="s">
        <v>543</v>
      </c>
      <c r="C272" s="26"/>
      <c r="D272" s="26" t="s">
        <v>543</v>
      </c>
      <c r="E272" s="26" t="str">
        <f>IFERROR(VLOOKUP(G272,WholesaleExtract!B:J,9,FALSE),"")</f>
        <v/>
      </c>
      <c r="F272" s="26" t="str">
        <f>IFERROR(VLOOKUP(G272,WholesaleExtract!B:J,6,FALSE),"")</f>
        <v/>
      </c>
      <c r="G272" s="19"/>
      <c r="H272" s="47" t="str">
        <f>IFERROR(VLOOKUP(G272,WholesaleExtract!B:L,11,FALSE),"")</f>
        <v/>
      </c>
      <c r="I272" s="26" t="str">
        <f>IFERROR(VLOOKUP(G272,WholesaleExtract!B:O,8,FALSE),"")</f>
        <v/>
      </c>
      <c r="J272" s="26" t="str">
        <f>IFERROR(VLOOKUP(G272,WholesaleExtract!B:O,14,FALSE),"")</f>
        <v/>
      </c>
      <c r="K272" s="26" t="str">
        <f>IFERROR(VLOOKUP(G272,WholesaleExtract!B:K,10,FALSE),"")</f>
        <v/>
      </c>
      <c r="L272" s="47" t="str">
        <f>IFERROR(VLOOKUP(G272,WholesaleExtract!B:L,11,FALSE),"")</f>
        <v/>
      </c>
      <c r="M272" s="47" t="str">
        <f>IFERROR(VLOOKUP(G272,WholesaleExtract!B:M,12,FALSE),"")</f>
        <v/>
      </c>
      <c r="N272" s="27"/>
      <c r="O272" s="19"/>
      <c r="P272" s="19"/>
      <c r="Q272" s="47"/>
      <c r="R272" s="19"/>
      <c r="S272" s="19"/>
    </row>
    <row r="273" spans="1:19" x14ac:dyDescent="0.35">
      <c r="A273" s="26" t="s">
        <v>543</v>
      </c>
      <c r="B273" s="26" t="s">
        <v>543</v>
      </c>
      <c r="C273" s="26"/>
      <c r="D273" s="26" t="s">
        <v>543</v>
      </c>
      <c r="E273" s="26" t="str">
        <f>IFERROR(VLOOKUP(G273,WholesaleExtract!B:J,9,FALSE),"")</f>
        <v/>
      </c>
      <c r="F273" s="26" t="str">
        <f>IFERROR(VLOOKUP(G273,WholesaleExtract!B:J,6,FALSE),"")</f>
        <v/>
      </c>
      <c r="G273" s="19"/>
      <c r="H273" s="47" t="str">
        <f>IFERROR(VLOOKUP(G273,WholesaleExtract!B:L,11,FALSE),"")</f>
        <v/>
      </c>
      <c r="I273" s="26" t="str">
        <f>IFERROR(VLOOKUP(G273,WholesaleExtract!B:O,8,FALSE),"")</f>
        <v/>
      </c>
      <c r="J273" s="26" t="str">
        <f>IFERROR(VLOOKUP(G273,WholesaleExtract!B:O,14,FALSE),"")</f>
        <v/>
      </c>
      <c r="K273" s="26" t="str">
        <f>IFERROR(VLOOKUP(G273,WholesaleExtract!B:K,10,FALSE),"")</f>
        <v/>
      </c>
      <c r="L273" s="47" t="str">
        <f>IFERROR(VLOOKUP(G273,WholesaleExtract!B:L,11,FALSE),"")</f>
        <v/>
      </c>
      <c r="M273" s="47" t="str">
        <f>IFERROR(VLOOKUP(G273,WholesaleExtract!B:M,12,FALSE),"")</f>
        <v/>
      </c>
      <c r="N273" s="27"/>
      <c r="O273" s="19"/>
      <c r="P273" s="19"/>
      <c r="Q273" s="47"/>
      <c r="R273" s="19"/>
      <c r="S273" s="19"/>
    </row>
    <row r="274" spans="1:19" x14ac:dyDescent="0.35">
      <c r="A274" s="26" t="s">
        <v>543</v>
      </c>
      <c r="B274" s="26" t="s">
        <v>543</v>
      </c>
      <c r="C274" s="26"/>
      <c r="D274" s="26" t="s">
        <v>543</v>
      </c>
      <c r="E274" s="26" t="str">
        <f>IFERROR(VLOOKUP(G274,WholesaleExtract!B:J,9,FALSE),"")</f>
        <v/>
      </c>
      <c r="F274" s="26" t="str">
        <f>IFERROR(VLOOKUP(G274,WholesaleExtract!B:J,6,FALSE),"")</f>
        <v/>
      </c>
      <c r="G274" s="19"/>
      <c r="H274" s="47" t="str">
        <f>IFERROR(VLOOKUP(G274,WholesaleExtract!B:L,11,FALSE),"")</f>
        <v/>
      </c>
      <c r="I274" s="26" t="str">
        <f>IFERROR(VLOOKUP(G274,WholesaleExtract!B:O,8,FALSE),"")</f>
        <v/>
      </c>
      <c r="J274" s="26" t="str">
        <f>IFERROR(VLOOKUP(G274,WholesaleExtract!B:O,14,FALSE),"")</f>
        <v/>
      </c>
      <c r="K274" s="26" t="str">
        <f>IFERROR(VLOOKUP(G274,WholesaleExtract!B:K,10,FALSE),"")</f>
        <v/>
      </c>
      <c r="L274" s="47" t="str">
        <f>IFERROR(VLOOKUP(G274,WholesaleExtract!B:L,11,FALSE),"")</f>
        <v/>
      </c>
      <c r="M274" s="47" t="str">
        <f>IFERROR(VLOOKUP(G274,WholesaleExtract!B:M,12,FALSE),"")</f>
        <v/>
      </c>
      <c r="N274" s="27"/>
      <c r="O274" s="19"/>
      <c r="P274" s="19"/>
      <c r="Q274" s="47"/>
      <c r="R274" s="19"/>
      <c r="S274" s="19"/>
    </row>
    <row r="275" spans="1:19" x14ac:dyDescent="0.35">
      <c r="A275" s="26" t="s">
        <v>543</v>
      </c>
      <c r="B275" s="26" t="s">
        <v>543</v>
      </c>
      <c r="C275" s="26"/>
      <c r="D275" s="26" t="s">
        <v>543</v>
      </c>
      <c r="E275" s="26" t="str">
        <f>IFERROR(VLOOKUP(G275,WholesaleExtract!B:J,9,FALSE),"")</f>
        <v/>
      </c>
      <c r="F275" s="26" t="str">
        <f>IFERROR(VLOOKUP(G275,WholesaleExtract!B:J,6,FALSE),"")</f>
        <v/>
      </c>
      <c r="G275" s="19"/>
      <c r="H275" s="47" t="str">
        <f>IFERROR(VLOOKUP(G275,WholesaleExtract!B:L,11,FALSE),"")</f>
        <v/>
      </c>
      <c r="I275" s="26" t="str">
        <f>IFERROR(VLOOKUP(G275,WholesaleExtract!B:O,8,FALSE),"")</f>
        <v/>
      </c>
      <c r="J275" s="26" t="str">
        <f>IFERROR(VLOOKUP(G275,WholesaleExtract!B:O,14,FALSE),"")</f>
        <v/>
      </c>
      <c r="K275" s="26" t="str">
        <f>IFERROR(VLOOKUP(G275,WholesaleExtract!B:K,10,FALSE),"")</f>
        <v/>
      </c>
      <c r="L275" s="47" t="str">
        <f>IFERROR(VLOOKUP(G275,WholesaleExtract!B:L,11,FALSE),"")</f>
        <v/>
      </c>
      <c r="M275" s="47" t="str">
        <f>IFERROR(VLOOKUP(G275,WholesaleExtract!B:M,12,FALSE),"")</f>
        <v/>
      </c>
      <c r="N275" s="27"/>
      <c r="O275" s="19"/>
      <c r="P275" s="19"/>
      <c r="Q275" s="47"/>
      <c r="R275" s="19"/>
      <c r="S275" s="19"/>
    </row>
    <row r="276" spans="1:19" x14ac:dyDescent="0.35">
      <c r="A276" s="26" t="s">
        <v>543</v>
      </c>
      <c r="B276" s="26" t="s">
        <v>543</v>
      </c>
      <c r="C276" s="26"/>
      <c r="D276" s="26" t="s">
        <v>543</v>
      </c>
      <c r="E276" s="26" t="str">
        <f>IFERROR(VLOOKUP(G276,WholesaleExtract!B:J,9,FALSE),"")</f>
        <v/>
      </c>
      <c r="F276" s="26" t="str">
        <f>IFERROR(VLOOKUP(G276,WholesaleExtract!B:J,6,FALSE),"")</f>
        <v/>
      </c>
      <c r="G276" s="19"/>
      <c r="H276" s="47" t="str">
        <f>IFERROR(VLOOKUP(G276,WholesaleExtract!B:L,11,FALSE),"")</f>
        <v/>
      </c>
      <c r="I276" s="26" t="str">
        <f>IFERROR(VLOOKUP(G276,WholesaleExtract!B:O,8,FALSE),"")</f>
        <v/>
      </c>
      <c r="J276" s="26" t="str">
        <f>IFERROR(VLOOKUP(G276,WholesaleExtract!B:O,14,FALSE),"")</f>
        <v/>
      </c>
      <c r="K276" s="26" t="str">
        <f>IFERROR(VLOOKUP(G276,WholesaleExtract!B:K,10,FALSE),"")</f>
        <v/>
      </c>
      <c r="L276" s="47" t="str">
        <f>IFERROR(VLOOKUP(G276,WholesaleExtract!B:L,11,FALSE),"")</f>
        <v/>
      </c>
      <c r="M276" s="47" t="str">
        <f>IFERROR(VLOOKUP(G276,WholesaleExtract!B:M,12,FALSE),"")</f>
        <v/>
      </c>
      <c r="N276" s="27"/>
      <c r="O276" s="19"/>
      <c r="P276" s="19"/>
      <c r="Q276" s="47"/>
      <c r="R276" s="19"/>
      <c r="S276" s="19"/>
    </row>
    <row r="277" spans="1:19" x14ac:dyDescent="0.35">
      <c r="A277" s="26" t="s">
        <v>543</v>
      </c>
      <c r="B277" s="26" t="s">
        <v>543</v>
      </c>
      <c r="C277" s="26"/>
      <c r="D277" s="26" t="s">
        <v>543</v>
      </c>
      <c r="E277" s="26" t="str">
        <f>IFERROR(VLOOKUP(G277,WholesaleExtract!B:J,9,FALSE),"")</f>
        <v/>
      </c>
      <c r="F277" s="26" t="str">
        <f>IFERROR(VLOOKUP(G277,WholesaleExtract!B:J,6,FALSE),"")</f>
        <v/>
      </c>
      <c r="G277" s="19"/>
      <c r="H277" s="47" t="str">
        <f>IFERROR(VLOOKUP(G277,WholesaleExtract!B:L,11,FALSE),"")</f>
        <v/>
      </c>
      <c r="I277" s="26" t="str">
        <f>IFERROR(VLOOKUP(G277,WholesaleExtract!B:O,8,FALSE),"")</f>
        <v/>
      </c>
      <c r="J277" s="26" t="str">
        <f>IFERROR(VLOOKUP(G277,WholesaleExtract!B:O,14,FALSE),"")</f>
        <v/>
      </c>
      <c r="K277" s="26" t="str">
        <f>IFERROR(VLOOKUP(G277,WholesaleExtract!B:K,10,FALSE),"")</f>
        <v/>
      </c>
      <c r="L277" s="47" t="str">
        <f>IFERROR(VLOOKUP(G277,WholesaleExtract!B:L,11,FALSE),"")</f>
        <v/>
      </c>
      <c r="M277" s="47" t="str">
        <f>IFERROR(VLOOKUP(G277,WholesaleExtract!B:M,12,FALSE),"")</f>
        <v/>
      </c>
      <c r="N277" s="27"/>
      <c r="O277" s="19"/>
      <c r="P277" s="19"/>
      <c r="Q277" s="47"/>
      <c r="R277" s="19"/>
      <c r="S277" s="19"/>
    </row>
    <row r="278" spans="1:19" x14ac:dyDescent="0.35">
      <c r="A278" s="26" t="s">
        <v>543</v>
      </c>
      <c r="B278" s="26" t="s">
        <v>543</v>
      </c>
      <c r="C278" s="26"/>
      <c r="D278" s="26" t="s">
        <v>543</v>
      </c>
      <c r="E278" s="26" t="str">
        <f>IFERROR(VLOOKUP(G278,WholesaleExtract!B:J,9,FALSE),"")</f>
        <v/>
      </c>
      <c r="F278" s="26" t="str">
        <f>IFERROR(VLOOKUP(G278,WholesaleExtract!B:J,6,FALSE),"")</f>
        <v/>
      </c>
      <c r="G278" s="19"/>
      <c r="H278" s="47" t="str">
        <f>IFERROR(VLOOKUP(G278,WholesaleExtract!B:L,11,FALSE),"")</f>
        <v/>
      </c>
      <c r="I278" s="26" t="str">
        <f>IFERROR(VLOOKUP(G278,WholesaleExtract!B:O,8,FALSE),"")</f>
        <v/>
      </c>
      <c r="J278" s="26" t="str">
        <f>IFERROR(VLOOKUP(G278,WholesaleExtract!B:O,14,FALSE),"")</f>
        <v/>
      </c>
      <c r="K278" s="26" t="str">
        <f>IFERROR(VLOOKUP(G278,WholesaleExtract!B:K,10,FALSE),"")</f>
        <v/>
      </c>
      <c r="L278" s="47" t="str">
        <f>IFERROR(VLOOKUP(G278,WholesaleExtract!B:L,11,FALSE),"")</f>
        <v/>
      </c>
      <c r="M278" s="47" t="str">
        <f>IFERROR(VLOOKUP(G278,WholesaleExtract!B:M,12,FALSE),"")</f>
        <v/>
      </c>
      <c r="N278" s="27"/>
      <c r="O278" s="19"/>
      <c r="P278" s="19"/>
      <c r="Q278" s="47"/>
      <c r="R278" s="19"/>
      <c r="S278" s="19"/>
    </row>
    <row r="279" spans="1:19" x14ac:dyDescent="0.35">
      <c r="A279" s="26" t="s">
        <v>543</v>
      </c>
      <c r="B279" s="26" t="s">
        <v>543</v>
      </c>
      <c r="C279" s="26"/>
      <c r="D279" s="26" t="s">
        <v>543</v>
      </c>
      <c r="E279" s="26" t="str">
        <f>IFERROR(VLOOKUP(G279,WholesaleExtract!B:J,9,FALSE),"")</f>
        <v/>
      </c>
      <c r="F279" s="26" t="str">
        <f>IFERROR(VLOOKUP(G279,WholesaleExtract!B:J,6,FALSE),"")</f>
        <v/>
      </c>
      <c r="G279" s="19"/>
      <c r="H279" s="47" t="str">
        <f>IFERROR(VLOOKUP(G279,WholesaleExtract!B:L,11,FALSE),"")</f>
        <v/>
      </c>
      <c r="I279" s="26" t="str">
        <f>IFERROR(VLOOKUP(G279,WholesaleExtract!B:O,8,FALSE),"")</f>
        <v/>
      </c>
      <c r="J279" s="26" t="str">
        <f>IFERROR(VLOOKUP(G279,WholesaleExtract!B:O,14,FALSE),"")</f>
        <v/>
      </c>
      <c r="K279" s="26" t="str">
        <f>IFERROR(VLOOKUP(G279,WholesaleExtract!B:K,10,FALSE),"")</f>
        <v/>
      </c>
      <c r="L279" s="47" t="str">
        <f>IFERROR(VLOOKUP(G279,WholesaleExtract!B:L,11,FALSE),"")</f>
        <v/>
      </c>
      <c r="M279" s="47" t="str">
        <f>IFERROR(VLOOKUP(G279,WholesaleExtract!B:M,12,FALSE),"")</f>
        <v/>
      </c>
      <c r="N279" s="27"/>
      <c r="O279" s="19"/>
      <c r="P279" s="19"/>
      <c r="Q279" s="47"/>
      <c r="R279" s="19"/>
      <c r="S279" s="19"/>
    </row>
    <row r="280" spans="1:19" x14ac:dyDescent="0.35">
      <c r="A280" s="26" t="s">
        <v>543</v>
      </c>
      <c r="B280" s="26" t="s">
        <v>543</v>
      </c>
      <c r="C280" s="26"/>
      <c r="D280" s="26" t="s">
        <v>543</v>
      </c>
      <c r="E280" s="26" t="str">
        <f>IFERROR(VLOOKUP(G280,WholesaleExtract!B:J,9,FALSE),"")</f>
        <v/>
      </c>
      <c r="F280" s="26" t="str">
        <f>IFERROR(VLOOKUP(G280,WholesaleExtract!B:J,6,FALSE),"")</f>
        <v/>
      </c>
      <c r="G280" s="19"/>
      <c r="H280" s="47" t="str">
        <f>IFERROR(VLOOKUP(G280,WholesaleExtract!B:L,11,FALSE),"")</f>
        <v/>
      </c>
      <c r="I280" s="26" t="str">
        <f>IFERROR(VLOOKUP(G280,WholesaleExtract!B:O,8,FALSE),"")</f>
        <v/>
      </c>
      <c r="J280" s="26" t="str">
        <f>IFERROR(VLOOKUP(G280,WholesaleExtract!B:O,14,FALSE),"")</f>
        <v/>
      </c>
      <c r="K280" s="26" t="str">
        <f>IFERROR(VLOOKUP(G280,WholesaleExtract!B:K,10,FALSE),"")</f>
        <v/>
      </c>
      <c r="L280" s="47" t="str">
        <f>IFERROR(VLOOKUP(G280,WholesaleExtract!B:L,11,FALSE),"")</f>
        <v/>
      </c>
      <c r="M280" s="47" t="str">
        <f>IFERROR(VLOOKUP(G280,WholesaleExtract!B:M,12,FALSE),"")</f>
        <v/>
      </c>
      <c r="N280" s="27"/>
      <c r="O280" s="19"/>
      <c r="P280" s="19"/>
      <c r="Q280" s="47"/>
      <c r="R280" s="19"/>
      <c r="S280" s="19"/>
    </row>
    <row r="281" spans="1:19" x14ac:dyDescent="0.35">
      <c r="A281" s="26" t="s">
        <v>543</v>
      </c>
      <c r="B281" s="26" t="s">
        <v>543</v>
      </c>
      <c r="C281" s="26"/>
      <c r="D281" s="26" t="s">
        <v>543</v>
      </c>
      <c r="E281" s="26" t="str">
        <f>IFERROR(VLOOKUP(G281,WholesaleExtract!B:J,9,FALSE),"")</f>
        <v/>
      </c>
      <c r="F281" s="26" t="str">
        <f>IFERROR(VLOOKUP(G281,WholesaleExtract!B:J,6,FALSE),"")</f>
        <v/>
      </c>
      <c r="G281" s="19"/>
      <c r="H281" s="47" t="str">
        <f>IFERROR(VLOOKUP(G281,WholesaleExtract!B:L,11,FALSE),"")</f>
        <v/>
      </c>
      <c r="I281" s="26" t="str">
        <f>IFERROR(VLOOKUP(G281,WholesaleExtract!B:O,8,FALSE),"")</f>
        <v/>
      </c>
      <c r="J281" s="26" t="str">
        <f>IFERROR(VLOOKUP(G281,WholesaleExtract!B:O,14,FALSE),"")</f>
        <v/>
      </c>
      <c r="K281" s="26" t="str">
        <f>IFERROR(VLOOKUP(G281,WholesaleExtract!B:K,10,FALSE),"")</f>
        <v/>
      </c>
      <c r="L281" s="47" t="str">
        <f>IFERROR(VLOOKUP(G281,WholesaleExtract!B:L,11,FALSE),"")</f>
        <v/>
      </c>
      <c r="M281" s="47" t="str">
        <f>IFERROR(VLOOKUP(G281,WholesaleExtract!B:M,12,FALSE),"")</f>
        <v/>
      </c>
      <c r="N281" s="27"/>
      <c r="O281" s="19"/>
      <c r="P281" s="19"/>
      <c r="Q281" s="47"/>
      <c r="R281" s="19"/>
      <c r="S281" s="19"/>
    </row>
    <row r="282" spans="1:19" x14ac:dyDescent="0.35">
      <c r="A282" s="26" t="s">
        <v>543</v>
      </c>
      <c r="B282" s="26" t="s">
        <v>543</v>
      </c>
      <c r="C282" s="26"/>
      <c r="D282" s="26" t="s">
        <v>543</v>
      </c>
      <c r="E282" s="26" t="str">
        <f>IFERROR(VLOOKUP(G282,WholesaleExtract!B:J,9,FALSE),"")</f>
        <v/>
      </c>
      <c r="F282" s="26" t="str">
        <f>IFERROR(VLOOKUP(G282,WholesaleExtract!B:J,6,FALSE),"")</f>
        <v/>
      </c>
      <c r="G282" s="19"/>
      <c r="H282" s="47" t="str">
        <f>IFERROR(VLOOKUP(G282,WholesaleExtract!B:L,11,FALSE),"")</f>
        <v/>
      </c>
      <c r="I282" s="26" t="str">
        <f>IFERROR(VLOOKUP(G282,WholesaleExtract!B:O,8,FALSE),"")</f>
        <v/>
      </c>
      <c r="J282" s="26" t="str">
        <f>IFERROR(VLOOKUP(G282,WholesaleExtract!B:O,14,FALSE),"")</f>
        <v/>
      </c>
      <c r="K282" s="26" t="str">
        <f>IFERROR(VLOOKUP(G282,WholesaleExtract!B:K,10,FALSE),"")</f>
        <v/>
      </c>
      <c r="L282" s="47" t="str">
        <f>IFERROR(VLOOKUP(G282,WholesaleExtract!B:L,11,FALSE),"")</f>
        <v/>
      </c>
      <c r="M282" s="47" t="str">
        <f>IFERROR(VLOOKUP(G282,WholesaleExtract!B:M,12,FALSE),"")</f>
        <v/>
      </c>
      <c r="N282" s="27"/>
      <c r="O282" s="19"/>
      <c r="P282" s="19"/>
      <c r="Q282" s="47"/>
      <c r="R282" s="19"/>
      <c r="S282" s="19"/>
    </row>
    <row r="283" spans="1:19" x14ac:dyDescent="0.35">
      <c r="A283" s="26" t="s">
        <v>543</v>
      </c>
      <c r="B283" s="26" t="s">
        <v>543</v>
      </c>
      <c r="C283" s="26"/>
      <c r="D283" s="26" t="s">
        <v>543</v>
      </c>
      <c r="E283" s="26" t="str">
        <f>IFERROR(VLOOKUP(G283,WholesaleExtract!B:J,9,FALSE),"")</f>
        <v/>
      </c>
      <c r="F283" s="26" t="str">
        <f>IFERROR(VLOOKUP(G283,WholesaleExtract!B:J,6,FALSE),"")</f>
        <v/>
      </c>
      <c r="G283" s="19"/>
      <c r="H283" s="47" t="str">
        <f>IFERROR(VLOOKUP(G283,WholesaleExtract!B:L,11,FALSE),"")</f>
        <v/>
      </c>
      <c r="I283" s="26" t="str">
        <f>IFERROR(VLOOKUP(G283,WholesaleExtract!B:O,8,FALSE),"")</f>
        <v/>
      </c>
      <c r="J283" s="26" t="str">
        <f>IFERROR(VLOOKUP(G283,WholesaleExtract!B:O,14,FALSE),"")</f>
        <v/>
      </c>
      <c r="K283" s="26" t="str">
        <f>IFERROR(VLOOKUP(G283,WholesaleExtract!B:K,10,FALSE),"")</f>
        <v/>
      </c>
      <c r="L283" s="47" t="str">
        <f>IFERROR(VLOOKUP(G283,WholesaleExtract!B:L,11,FALSE),"")</f>
        <v/>
      </c>
      <c r="M283" s="47" t="str">
        <f>IFERROR(VLOOKUP(G283,WholesaleExtract!B:M,12,FALSE),"")</f>
        <v/>
      </c>
      <c r="N283" s="27"/>
      <c r="O283" s="19"/>
      <c r="P283" s="19"/>
      <c r="Q283" s="47"/>
      <c r="R283" s="19"/>
      <c r="S283" s="19"/>
    </row>
    <row r="284" spans="1:19" x14ac:dyDescent="0.35">
      <c r="A284" s="26" t="s">
        <v>543</v>
      </c>
      <c r="B284" s="26" t="s">
        <v>543</v>
      </c>
      <c r="C284" s="26"/>
      <c r="D284" s="26" t="s">
        <v>543</v>
      </c>
      <c r="E284" s="26" t="str">
        <f>IFERROR(VLOOKUP(G284,WholesaleExtract!B:J,9,FALSE),"")</f>
        <v/>
      </c>
      <c r="F284" s="26" t="str">
        <f>IFERROR(VLOOKUP(G284,WholesaleExtract!B:J,6,FALSE),"")</f>
        <v/>
      </c>
      <c r="G284" s="19"/>
      <c r="H284" s="47" t="str">
        <f>IFERROR(VLOOKUP(G284,WholesaleExtract!B:L,11,FALSE),"")</f>
        <v/>
      </c>
      <c r="I284" s="26" t="str">
        <f>IFERROR(VLOOKUP(G284,WholesaleExtract!B:O,8,FALSE),"")</f>
        <v/>
      </c>
      <c r="J284" s="26" t="str">
        <f>IFERROR(VLOOKUP(G284,WholesaleExtract!B:O,14,FALSE),"")</f>
        <v/>
      </c>
      <c r="K284" s="26" t="str">
        <f>IFERROR(VLOOKUP(G284,WholesaleExtract!B:K,10,FALSE),"")</f>
        <v/>
      </c>
      <c r="L284" s="47" t="str">
        <f>IFERROR(VLOOKUP(G284,WholesaleExtract!B:L,11,FALSE),"")</f>
        <v/>
      </c>
      <c r="M284" s="47" t="str">
        <f>IFERROR(VLOOKUP(G284,WholesaleExtract!B:M,12,FALSE),"")</f>
        <v/>
      </c>
      <c r="N284" s="27"/>
      <c r="O284" s="19"/>
      <c r="P284" s="19"/>
      <c r="Q284" s="47"/>
      <c r="R284" s="19"/>
      <c r="S284" s="19"/>
    </row>
    <row r="285" spans="1:19" x14ac:dyDescent="0.35">
      <c r="A285" s="26" t="s">
        <v>543</v>
      </c>
      <c r="B285" s="26" t="s">
        <v>543</v>
      </c>
      <c r="C285" s="26"/>
      <c r="D285" s="26" t="s">
        <v>543</v>
      </c>
      <c r="E285" s="26" t="str">
        <f>IFERROR(VLOOKUP(G285,WholesaleExtract!B:J,9,FALSE),"")</f>
        <v/>
      </c>
      <c r="F285" s="26" t="str">
        <f>IFERROR(VLOOKUP(G285,WholesaleExtract!B:J,6,FALSE),"")</f>
        <v/>
      </c>
      <c r="G285" s="19"/>
      <c r="H285" s="47" t="str">
        <f>IFERROR(VLOOKUP(G285,WholesaleExtract!B:L,11,FALSE),"")</f>
        <v/>
      </c>
      <c r="I285" s="26" t="str">
        <f>IFERROR(VLOOKUP(G285,WholesaleExtract!B:O,8,FALSE),"")</f>
        <v/>
      </c>
      <c r="J285" s="26" t="str">
        <f>IFERROR(VLOOKUP(G285,WholesaleExtract!B:O,14,FALSE),"")</f>
        <v/>
      </c>
      <c r="K285" s="26" t="str">
        <f>IFERROR(VLOOKUP(G285,WholesaleExtract!B:K,10,FALSE),"")</f>
        <v/>
      </c>
      <c r="L285" s="47" t="str">
        <f>IFERROR(VLOOKUP(G285,WholesaleExtract!B:L,11,FALSE),"")</f>
        <v/>
      </c>
      <c r="M285" s="47" t="str">
        <f>IFERROR(VLOOKUP(G285,WholesaleExtract!B:M,12,FALSE),"")</f>
        <v/>
      </c>
      <c r="N285" s="27"/>
      <c r="O285" s="19"/>
      <c r="P285" s="19"/>
      <c r="Q285" s="47"/>
      <c r="R285" s="19"/>
      <c r="S285" s="19"/>
    </row>
    <row r="286" spans="1:19" x14ac:dyDescent="0.35">
      <c r="A286" s="26" t="s">
        <v>543</v>
      </c>
      <c r="B286" s="26" t="s">
        <v>543</v>
      </c>
      <c r="C286" s="26"/>
      <c r="D286" s="26" t="s">
        <v>543</v>
      </c>
      <c r="E286" s="26" t="str">
        <f>IFERROR(VLOOKUP(G286,WholesaleExtract!B:J,9,FALSE),"")</f>
        <v/>
      </c>
      <c r="F286" s="26" t="str">
        <f>IFERROR(VLOOKUP(G286,WholesaleExtract!B:J,6,FALSE),"")</f>
        <v/>
      </c>
      <c r="G286" s="19"/>
      <c r="H286" s="47" t="str">
        <f>IFERROR(VLOOKUP(G286,WholesaleExtract!B:L,11,FALSE),"")</f>
        <v/>
      </c>
      <c r="I286" s="26" t="str">
        <f>IFERROR(VLOOKUP(G286,WholesaleExtract!B:O,8,FALSE),"")</f>
        <v/>
      </c>
      <c r="J286" s="26" t="str">
        <f>IFERROR(VLOOKUP(G286,WholesaleExtract!B:O,14,FALSE),"")</f>
        <v/>
      </c>
      <c r="K286" s="26" t="str">
        <f>IFERROR(VLOOKUP(G286,WholesaleExtract!B:K,10,FALSE),"")</f>
        <v/>
      </c>
      <c r="L286" s="47" t="str">
        <f>IFERROR(VLOOKUP(G286,WholesaleExtract!B:L,11,FALSE),"")</f>
        <v/>
      </c>
      <c r="M286" s="47" t="str">
        <f>IFERROR(VLOOKUP(G286,WholesaleExtract!B:M,12,FALSE),"")</f>
        <v/>
      </c>
      <c r="N286" s="27"/>
      <c r="O286" s="19"/>
      <c r="P286" s="19"/>
      <c r="Q286" s="47"/>
      <c r="R286" s="19"/>
      <c r="S286" s="19"/>
    </row>
    <row r="287" spans="1:19" x14ac:dyDescent="0.35">
      <c r="A287" s="26" t="s">
        <v>543</v>
      </c>
      <c r="B287" s="26" t="s">
        <v>543</v>
      </c>
      <c r="C287" s="26"/>
      <c r="D287" s="26" t="s">
        <v>543</v>
      </c>
      <c r="E287" s="26" t="str">
        <f>IFERROR(VLOOKUP(G287,WholesaleExtract!B:J,9,FALSE),"")</f>
        <v/>
      </c>
      <c r="F287" s="26" t="str">
        <f>IFERROR(VLOOKUP(G287,WholesaleExtract!B:J,6,FALSE),"")</f>
        <v/>
      </c>
      <c r="G287" s="19"/>
      <c r="H287" s="47" t="str">
        <f>IFERROR(VLOOKUP(G287,WholesaleExtract!B:L,11,FALSE),"")</f>
        <v/>
      </c>
      <c r="I287" s="26" t="str">
        <f>IFERROR(VLOOKUP(G287,WholesaleExtract!B:O,8,FALSE),"")</f>
        <v/>
      </c>
      <c r="J287" s="26" t="str">
        <f>IFERROR(VLOOKUP(G287,WholesaleExtract!B:O,14,FALSE),"")</f>
        <v/>
      </c>
      <c r="K287" s="26" t="str">
        <f>IFERROR(VLOOKUP(G287,WholesaleExtract!B:K,10,FALSE),"")</f>
        <v/>
      </c>
      <c r="L287" s="47" t="str">
        <f>IFERROR(VLOOKUP(G287,WholesaleExtract!B:L,11,FALSE),"")</f>
        <v/>
      </c>
      <c r="M287" s="47" t="str">
        <f>IFERROR(VLOOKUP(G287,WholesaleExtract!B:M,12,FALSE),"")</f>
        <v/>
      </c>
      <c r="N287" s="27"/>
      <c r="O287" s="19"/>
      <c r="P287" s="19"/>
      <c r="Q287" s="47"/>
      <c r="R287" s="19"/>
      <c r="S287" s="19"/>
    </row>
    <row r="288" spans="1:19" x14ac:dyDescent="0.35">
      <c r="A288" s="26" t="s">
        <v>543</v>
      </c>
      <c r="B288" s="26" t="s">
        <v>543</v>
      </c>
      <c r="C288" s="26"/>
      <c r="D288" s="26" t="s">
        <v>543</v>
      </c>
      <c r="E288" s="26" t="str">
        <f>IFERROR(VLOOKUP(G288,WholesaleExtract!B:J,9,FALSE),"")</f>
        <v/>
      </c>
      <c r="F288" s="26" t="str">
        <f>IFERROR(VLOOKUP(G288,WholesaleExtract!B:J,6,FALSE),"")</f>
        <v/>
      </c>
      <c r="G288" s="19"/>
      <c r="H288" s="47" t="str">
        <f>IFERROR(VLOOKUP(G288,WholesaleExtract!B:L,11,FALSE),"")</f>
        <v/>
      </c>
      <c r="I288" s="26" t="str">
        <f>IFERROR(VLOOKUP(G288,WholesaleExtract!B:O,8,FALSE),"")</f>
        <v/>
      </c>
      <c r="J288" s="26" t="str">
        <f>IFERROR(VLOOKUP(G288,WholesaleExtract!B:O,14,FALSE),"")</f>
        <v/>
      </c>
      <c r="K288" s="26" t="str">
        <f>IFERROR(VLOOKUP(G288,WholesaleExtract!B:K,10,FALSE),"")</f>
        <v/>
      </c>
      <c r="L288" s="47" t="str">
        <f>IFERROR(VLOOKUP(G288,WholesaleExtract!B:L,11,FALSE),"")</f>
        <v/>
      </c>
      <c r="M288" s="47" t="str">
        <f>IFERROR(VLOOKUP(G288,WholesaleExtract!B:M,12,FALSE),"")</f>
        <v/>
      </c>
      <c r="N288" s="27"/>
      <c r="O288" s="19"/>
      <c r="P288" s="19"/>
      <c r="Q288" s="47"/>
      <c r="R288" s="19"/>
      <c r="S288" s="19"/>
    </row>
    <row r="289" spans="1:19" x14ac:dyDescent="0.35">
      <c r="A289" s="26" t="s">
        <v>543</v>
      </c>
      <c r="B289" s="26" t="s">
        <v>543</v>
      </c>
      <c r="C289" s="26"/>
      <c r="D289" s="26" t="s">
        <v>543</v>
      </c>
      <c r="E289" s="26" t="str">
        <f>IFERROR(VLOOKUP(G289,WholesaleExtract!B:J,9,FALSE),"")</f>
        <v/>
      </c>
      <c r="F289" s="26" t="str">
        <f>IFERROR(VLOOKUP(G289,WholesaleExtract!B:J,6,FALSE),"")</f>
        <v/>
      </c>
      <c r="G289" s="19"/>
      <c r="H289" s="47" t="str">
        <f>IFERROR(VLOOKUP(G289,WholesaleExtract!B:L,11,FALSE),"")</f>
        <v/>
      </c>
      <c r="I289" s="26" t="str">
        <f>IFERROR(VLOOKUP(G289,WholesaleExtract!B:O,8,FALSE),"")</f>
        <v/>
      </c>
      <c r="J289" s="26" t="str">
        <f>IFERROR(VLOOKUP(G289,WholesaleExtract!B:O,14,FALSE),"")</f>
        <v/>
      </c>
      <c r="K289" s="26" t="str">
        <f>IFERROR(VLOOKUP(G289,WholesaleExtract!B:K,10,FALSE),"")</f>
        <v/>
      </c>
      <c r="L289" s="47" t="str">
        <f>IFERROR(VLOOKUP(G289,WholesaleExtract!B:L,11,FALSE),"")</f>
        <v/>
      </c>
      <c r="M289" s="47" t="str">
        <f>IFERROR(VLOOKUP(G289,WholesaleExtract!B:M,12,FALSE),"")</f>
        <v/>
      </c>
      <c r="N289" s="27"/>
      <c r="O289" s="19"/>
      <c r="P289" s="19"/>
      <c r="Q289" s="47"/>
      <c r="R289" s="19"/>
      <c r="S289" s="19"/>
    </row>
    <row r="290" spans="1:19" x14ac:dyDescent="0.35">
      <c r="A290" s="26" t="s">
        <v>543</v>
      </c>
      <c r="B290" s="26" t="s">
        <v>543</v>
      </c>
      <c r="C290" s="26"/>
      <c r="D290" s="26" t="s">
        <v>543</v>
      </c>
      <c r="E290" s="26" t="str">
        <f>IFERROR(VLOOKUP(G290,WholesaleExtract!B:J,9,FALSE),"")</f>
        <v/>
      </c>
      <c r="F290" s="26" t="str">
        <f>IFERROR(VLOOKUP(G290,WholesaleExtract!B:J,6,FALSE),"")</f>
        <v/>
      </c>
      <c r="G290" s="19"/>
      <c r="H290" s="47" t="str">
        <f>IFERROR(VLOOKUP(G290,WholesaleExtract!B:L,11,FALSE),"")</f>
        <v/>
      </c>
      <c r="I290" s="26" t="str">
        <f>IFERROR(VLOOKUP(G290,WholesaleExtract!B:O,8,FALSE),"")</f>
        <v/>
      </c>
      <c r="J290" s="26" t="str">
        <f>IFERROR(VLOOKUP(G290,WholesaleExtract!B:O,14,FALSE),"")</f>
        <v/>
      </c>
      <c r="K290" s="26" t="str">
        <f>IFERROR(VLOOKUP(G290,WholesaleExtract!B:K,10,FALSE),"")</f>
        <v/>
      </c>
      <c r="L290" s="47" t="str">
        <f>IFERROR(VLOOKUP(G290,WholesaleExtract!B:L,11,FALSE),"")</f>
        <v/>
      </c>
      <c r="M290" s="47" t="str">
        <f>IFERROR(VLOOKUP(G290,WholesaleExtract!B:M,12,FALSE),"")</f>
        <v/>
      </c>
      <c r="N290" s="27"/>
      <c r="O290" s="19"/>
      <c r="P290" s="19"/>
      <c r="Q290" s="47"/>
      <c r="R290" s="19"/>
      <c r="S290" s="19"/>
    </row>
    <row r="291" spans="1:19" x14ac:dyDescent="0.35">
      <c r="A291" s="26" t="s">
        <v>543</v>
      </c>
      <c r="B291" s="26" t="s">
        <v>543</v>
      </c>
      <c r="C291" s="26"/>
      <c r="D291" s="26" t="s">
        <v>543</v>
      </c>
      <c r="E291" s="26" t="str">
        <f>IFERROR(VLOOKUP(G291,WholesaleExtract!B:J,9,FALSE),"")</f>
        <v/>
      </c>
      <c r="F291" s="26" t="str">
        <f>IFERROR(VLOOKUP(G291,WholesaleExtract!B:J,6,FALSE),"")</f>
        <v/>
      </c>
      <c r="G291" s="19"/>
      <c r="H291" s="47" t="str">
        <f>IFERROR(VLOOKUP(G291,WholesaleExtract!B:L,11,FALSE),"")</f>
        <v/>
      </c>
      <c r="I291" s="26" t="str">
        <f>IFERROR(VLOOKUP(G291,WholesaleExtract!B:O,8,FALSE),"")</f>
        <v/>
      </c>
      <c r="J291" s="26" t="str">
        <f>IFERROR(VLOOKUP(G291,WholesaleExtract!B:O,14,FALSE),"")</f>
        <v/>
      </c>
      <c r="K291" s="26" t="str">
        <f>IFERROR(VLOOKUP(G291,WholesaleExtract!B:K,10,FALSE),"")</f>
        <v/>
      </c>
      <c r="L291" s="47" t="str">
        <f>IFERROR(VLOOKUP(G291,WholesaleExtract!B:L,11,FALSE),"")</f>
        <v/>
      </c>
      <c r="M291" s="47" t="str">
        <f>IFERROR(VLOOKUP(G291,WholesaleExtract!B:M,12,FALSE),"")</f>
        <v/>
      </c>
      <c r="N291" s="27"/>
      <c r="O291" s="19"/>
      <c r="P291" s="19"/>
      <c r="Q291" s="47"/>
      <c r="R291" s="19"/>
      <c r="S291" s="19"/>
    </row>
    <row r="292" spans="1:19" x14ac:dyDescent="0.35">
      <c r="A292" s="26" t="s">
        <v>543</v>
      </c>
      <c r="B292" s="26" t="s">
        <v>543</v>
      </c>
      <c r="C292" s="26"/>
      <c r="D292" s="26" t="s">
        <v>543</v>
      </c>
      <c r="E292" s="26" t="str">
        <f>IFERROR(VLOOKUP(G292,WholesaleExtract!B:J,9,FALSE),"")</f>
        <v/>
      </c>
      <c r="F292" s="26" t="str">
        <f>IFERROR(VLOOKUP(G292,WholesaleExtract!B:J,6,FALSE),"")</f>
        <v/>
      </c>
      <c r="G292" s="19"/>
      <c r="H292" s="47" t="str">
        <f>IFERROR(VLOOKUP(G292,WholesaleExtract!B:L,11,FALSE),"")</f>
        <v/>
      </c>
      <c r="I292" s="26" t="str">
        <f>IFERROR(VLOOKUP(G292,WholesaleExtract!B:O,8,FALSE),"")</f>
        <v/>
      </c>
      <c r="J292" s="26" t="str">
        <f>IFERROR(VLOOKUP(G292,WholesaleExtract!B:O,14,FALSE),"")</f>
        <v/>
      </c>
      <c r="K292" s="26" t="str">
        <f>IFERROR(VLOOKUP(G292,WholesaleExtract!B:K,10,FALSE),"")</f>
        <v/>
      </c>
      <c r="L292" s="47" t="str">
        <f>IFERROR(VLOOKUP(G292,WholesaleExtract!B:L,11,FALSE),"")</f>
        <v/>
      </c>
      <c r="M292" s="47" t="str">
        <f>IFERROR(VLOOKUP(G292,WholesaleExtract!B:M,12,FALSE),"")</f>
        <v/>
      </c>
      <c r="N292" s="27"/>
      <c r="O292" s="19"/>
      <c r="P292" s="19"/>
      <c r="Q292" s="47"/>
      <c r="R292" s="19"/>
      <c r="S292" s="19"/>
    </row>
    <row r="293" spans="1:19" x14ac:dyDescent="0.35">
      <c r="A293" s="26" t="s">
        <v>543</v>
      </c>
      <c r="B293" s="26" t="s">
        <v>543</v>
      </c>
      <c r="C293" s="26"/>
      <c r="D293" s="26" t="s">
        <v>543</v>
      </c>
      <c r="E293" s="26" t="str">
        <f>IFERROR(VLOOKUP(G293,WholesaleExtract!B:J,9,FALSE),"")</f>
        <v/>
      </c>
      <c r="F293" s="26" t="str">
        <f>IFERROR(VLOOKUP(G293,WholesaleExtract!B:J,6,FALSE),"")</f>
        <v/>
      </c>
      <c r="G293" s="19"/>
      <c r="H293" s="47" t="str">
        <f>IFERROR(VLOOKUP(G293,WholesaleExtract!B:L,11,FALSE),"")</f>
        <v/>
      </c>
      <c r="I293" s="26" t="str">
        <f>IFERROR(VLOOKUP(G293,WholesaleExtract!B:O,8,FALSE),"")</f>
        <v/>
      </c>
      <c r="J293" s="26" t="str">
        <f>IFERROR(VLOOKUP(G293,WholesaleExtract!B:O,14,FALSE),"")</f>
        <v/>
      </c>
      <c r="K293" s="26" t="str">
        <f>IFERROR(VLOOKUP(G293,WholesaleExtract!B:K,10,FALSE),"")</f>
        <v/>
      </c>
      <c r="L293" s="47" t="str">
        <f>IFERROR(VLOOKUP(G293,WholesaleExtract!B:L,11,FALSE),"")</f>
        <v/>
      </c>
      <c r="M293" s="47" t="str">
        <f>IFERROR(VLOOKUP(G293,WholesaleExtract!B:M,12,FALSE),"")</f>
        <v/>
      </c>
      <c r="N293" s="27"/>
      <c r="O293" s="19"/>
      <c r="P293" s="19"/>
      <c r="Q293" s="47"/>
      <c r="R293" s="19"/>
      <c r="S293" s="19"/>
    </row>
    <row r="294" spans="1:19" x14ac:dyDescent="0.35">
      <c r="A294" s="26" t="s">
        <v>543</v>
      </c>
      <c r="B294" s="26" t="s">
        <v>543</v>
      </c>
      <c r="C294" s="26"/>
      <c r="D294" s="26" t="s">
        <v>543</v>
      </c>
      <c r="E294" s="26" t="str">
        <f>IFERROR(VLOOKUP(G294,WholesaleExtract!B:J,9,FALSE),"")</f>
        <v/>
      </c>
      <c r="F294" s="26" t="str">
        <f>IFERROR(VLOOKUP(G294,WholesaleExtract!B:J,6,FALSE),"")</f>
        <v/>
      </c>
      <c r="G294" s="19"/>
      <c r="H294" s="47" t="str">
        <f>IFERROR(VLOOKUP(G294,WholesaleExtract!B:L,11,FALSE),"")</f>
        <v/>
      </c>
      <c r="I294" s="26" t="str">
        <f>IFERROR(VLOOKUP(G294,WholesaleExtract!B:O,8,FALSE),"")</f>
        <v/>
      </c>
      <c r="J294" s="26" t="str">
        <f>IFERROR(VLOOKUP(G294,WholesaleExtract!B:O,14,FALSE),"")</f>
        <v/>
      </c>
      <c r="K294" s="26" t="str">
        <f>IFERROR(VLOOKUP(G294,WholesaleExtract!B:K,10,FALSE),"")</f>
        <v/>
      </c>
      <c r="L294" s="47" t="str">
        <f>IFERROR(VLOOKUP(G294,WholesaleExtract!B:L,11,FALSE),"")</f>
        <v/>
      </c>
      <c r="M294" s="47" t="str">
        <f>IFERROR(VLOOKUP(G294,WholesaleExtract!B:M,12,FALSE),"")</f>
        <v/>
      </c>
      <c r="N294" s="27"/>
      <c r="O294" s="19"/>
      <c r="P294" s="19"/>
      <c r="Q294" s="47"/>
      <c r="R294" s="19"/>
      <c r="S294" s="19"/>
    </row>
    <row r="295" spans="1:19" x14ac:dyDescent="0.35">
      <c r="A295" s="26" t="s">
        <v>543</v>
      </c>
      <c r="B295" s="26" t="s">
        <v>543</v>
      </c>
      <c r="C295" s="26"/>
      <c r="D295" s="26" t="s">
        <v>543</v>
      </c>
      <c r="E295" s="26" t="str">
        <f>IFERROR(VLOOKUP(G295,WholesaleExtract!B:J,9,FALSE),"")</f>
        <v/>
      </c>
      <c r="F295" s="26" t="str">
        <f>IFERROR(VLOOKUP(G295,WholesaleExtract!B:J,6,FALSE),"")</f>
        <v/>
      </c>
      <c r="G295" s="19"/>
      <c r="H295" s="47" t="str">
        <f>IFERROR(VLOOKUP(G295,WholesaleExtract!B:L,11,FALSE),"")</f>
        <v/>
      </c>
      <c r="I295" s="26" t="str">
        <f>IFERROR(VLOOKUP(G295,WholesaleExtract!B:O,8,FALSE),"")</f>
        <v/>
      </c>
      <c r="J295" s="26" t="str">
        <f>IFERROR(VLOOKUP(G295,WholesaleExtract!B:O,14,FALSE),"")</f>
        <v/>
      </c>
      <c r="K295" s="26" t="str">
        <f>IFERROR(VLOOKUP(G295,WholesaleExtract!B:K,10,FALSE),"")</f>
        <v/>
      </c>
      <c r="L295" s="47" t="str">
        <f>IFERROR(VLOOKUP(G295,WholesaleExtract!B:L,11,FALSE),"")</f>
        <v/>
      </c>
      <c r="M295" s="47" t="str">
        <f>IFERROR(VLOOKUP(G295,WholesaleExtract!B:M,12,FALSE),"")</f>
        <v/>
      </c>
      <c r="N295" s="27"/>
      <c r="O295" s="19"/>
      <c r="P295" s="19"/>
      <c r="Q295" s="47"/>
      <c r="R295" s="19"/>
      <c r="S295" s="19"/>
    </row>
    <row r="296" spans="1:19" x14ac:dyDescent="0.35">
      <c r="A296" s="26" t="s">
        <v>543</v>
      </c>
      <c r="B296" s="26" t="s">
        <v>543</v>
      </c>
      <c r="C296" s="26"/>
      <c r="D296" s="26" t="s">
        <v>543</v>
      </c>
      <c r="E296" s="26" t="str">
        <f>IFERROR(VLOOKUP(G296,WholesaleExtract!B:J,9,FALSE),"")</f>
        <v/>
      </c>
      <c r="F296" s="26" t="str">
        <f>IFERROR(VLOOKUP(G296,WholesaleExtract!B:J,6,FALSE),"")</f>
        <v/>
      </c>
      <c r="G296" s="19"/>
      <c r="H296" s="47" t="str">
        <f>IFERROR(VLOOKUP(G296,WholesaleExtract!B:L,11,FALSE),"")</f>
        <v/>
      </c>
      <c r="I296" s="26" t="str">
        <f>IFERROR(VLOOKUP(G296,WholesaleExtract!B:O,8,FALSE),"")</f>
        <v/>
      </c>
      <c r="J296" s="26" t="str">
        <f>IFERROR(VLOOKUP(G296,WholesaleExtract!B:O,14,FALSE),"")</f>
        <v/>
      </c>
      <c r="K296" s="26" t="str">
        <f>IFERROR(VLOOKUP(G296,WholesaleExtract!B:K,10,FALSE),"")</f>
        <v/>
      </c>
      <c r="L296" s="47" t="str">
        <f>IFERROR(VLOOKUP(G296,WholesaleExtract!B:L,11,FALSE),"")</f>
        <v/>
      </c>
      <c r="M296" s="47" t="str">
        <f>IFERROR(VLOOKUP(G296,WholesaleExtract!B:M,12,FALSE),"")</f>
        <v/>
      </c>
      <c r="N296" s="27"/>
      <c r="O296" s="19"/>
      <c r="P296" s="19"/>
      <c r="Q296" s="47"/>
      <c r="R296" s="19"/>
      <c r="S296" s="19"/>
    </row>
    <row r="297" spans="1:19" x14ac:dyDescent="0.35">
      <c r="A297" s="26" t="s">
        <v>543</v>
      </c>
      <c r="B297" s="26" t="s">
        <v>543</v>
      </c>
      <c r="C297" s="26"/>
      <c r="D297" s="26" t="s">
        <v>543</v>
      </c>
      <c r="E297" s="26" t="str">
        <f>IFERROR(VLOOKUP(G297,WholesaleExtract!B:J,9,FALSE),"")</f>
        <v/>
      </c>
      <c r="F297" s="26" t="str">
        <f>IFERROR(VLOOKUP(G297,WholesaleExtract!B:J,6,FALSE),"")</f>
        <v/>
      </c>
      <c r="G297" s="19"/>
      <c r="H297" s="47" t="str">
        <f>IFERROR(VLOOKUP(G297,WholesaleExtract!B:L,11,FALSE),"")</f>
        <v/>
      </c>
      <c r="I297" s="26" t="str">
        <f>IFERROR(VLOOKUP(G297,WholesaleExtract!B:O,8,FALSE),"")</f>
        <v/>
      </c>
      <c r="J297" s="26" t="str">
        <f>IFERROR(VLOOKUP(G297,WholesaleExtract!B:O,14,FALSE),"")</f>
        <v/>
      </c>
      <c r="K297" s="26" t="str">
        <f>IFERROR(VLOOKUP(G297,WholesaleExtract!B:K,10,FALSE),"")</f>
        <v/>
      </c>
      <c r="L297" s="47" t="str">
        <f>IFERROR(VLOOKUP(G297,WholesaleExtract!B:L,11,FALSE),"")</f>
        <v/>
      </c>
      <c r="M297" s="47" t="str">
        <f>IFERROR(VLOOKUP(G297,WholesaleExtract!B:M,12,FALSE),"")</f>
        <v/>
      </c>
      <c r="N297" s="27"/>
      <c r="O297" s="19"/>
      <c r="P297" s="19"/>
      <c r="Q297" s="47"/>
      <c r="R297" s="19"/>
      <c r="S297" s="19"/>
    </row>
    <row r="298" spans="1:19" x14ac:dyDescent="0.35">
      <c r="A298" s="26" t="s">
        <v>543</v>
      </c>
      <c r="B298" s="26" t="s">
        <v>543</v>
      </c>
      <c r="C298" s="26"/>
      <c r="D298" s="26" t="s">
        <v>543</v>
      </c>
      <c r="E298" s="26" t="str">
        <f>IFERROR(VLOOKUP(G298,WholesaleExtract!B:J,9,FALSE),"")</f>
        <v/>
      </c>
      <c r="F298" s="26" t="str">
        <f>IFERROR(VLOOKUP(G298,WholesaleExtract!B:J,6,FALSE),"")</f>
        <v/>
      </c>
      <c r="G298" s="19"/>
      <c r="H298" s="47" t="str">
        <f>IFERROR(VLOOKUP(G298,WholesaleExtract!B:L,11,FALSE),"")</f>
        <v/>
      </c>
      <c r="I298" s="26" t="str">
        <f>IFERROR(VLOOKUP(G298,WholesaleExtract!B:O,8,FALSE),"")</f>
        <v/>
      </c>
      <c r="J298" s="26" t="str">
        <f>IFERROR(VLOOKUP(G298,WholesaleExtract!B:O,14,FALSE),"")</f>
        <v/>
      </c>
      <c r="K298" s="26" t="str">
        <f>IFERROR(VLOOKUP(G298,WholesaleExtract!B:K,10,FALSE),"")</f>
        <v/>
      </c>
      <c r="L298" s="47" t="str">
        <f>IFERROR(VLOOKUP(G298,WholesaleExtract!B:L,11,FALSE),"")</f>
        <v/>
      </c>
      <c r="M298" s="47" t="str">
        <f>IFERROR(VLOOKUP(G298,WholesaleExtract!B:M,12,FALSE),"")</f>
        <v/>
      </c>
      <c r="N298" s="27"/>
      <c r="O298" s="19"/>
      <c r="P298" s="19"/>
      <c r="Q298" s="47"/>
      <c r="R298" s="19"/>
      <c r="S298" s="19"/>
    </row>
    <row r="299" spans="1:19" x14ac:dyDescent="0.35">
      <c r="A299" s="26" t="s">
        <v>543</v>
      </c>
      <c r="B299" s="26" t="s">
        <v>543</v>
      </c>
      <c r="C299" s="26"/>
      <c r="D299" s="26" t="s">
        <v>543</v>
      </c>
      <c r="E299" s="26" t="str">
        <f>IFERROR(VLOOKUP(G299,WholesaleExtract!B:J,9,FALSE),"")</f>
        <v/>
      </c>
      <c r="F299" s="26" t="str">
        <f>IFERROR(VLOOKUP(G299,WholesaleExtract!B:J,6,FALSE),"")</f>
        <v/>
      </c>
      <c r="G299" s="19"/>
      <c r="H299" s="47" t="str">
        <f>IFERROR(VLOOKUP(G299,WholesaleExtract!B:L,11,FALSE),"")</f>
        <v/>
      </c>
      <c r="I299" s="26" t="str">
        <f>IFERROR(VLOOKUP(G299,WholesaleExtract!B:O,8,FALSE),"")</f>
        <v/>
      </c>
      <c r="J299" s="26" t="str">
        <f>IFERROR(VLOOKUP(G299,WholesaleExtract!B:O,14,FALSE),"")</f>
        <v/>
      </c>
      <c r="K299" s="26" t="str">
        <f>IFERROR(VLOOKUP(G299,WholesaleExtract!B:K,10,FALSE),"")</f>
        <v/>
      </c>
      <c r="L299" s="47" t="str">
        <f>IFERROR(VLOOKUP(G299,WholesaleExtract!B:L,11,FALSE),"")</f>
        <v/>
      </c>
      <c r="M299" s="47" t="str">
        <f>IFERROR(VLOOKUP(G299,WholesaleExtract!B:M,12,FALSE),"")</f>
        <v/>
      </c>
      <c r="N299" s="27"/>
      <c r="O299" s="19"/>
      <c r="P299" s="19"/>
      <c r="Q299" s="47"/>
      <c r="R299" s="19"/>
      <c r="S299" s="19"/>
    </row>
    <row r="300" spans="1:19" x14ac:dyDescent="0.35">
      <c r="A300" s="26" t="s">
        <v>543</v>
      </c>
      <c r="B300" s="26" t="s">
        <v>543</v>
      </c>
      <c r="C300" s="26"/>
      <c r="D300" s="26" t="s">
        <v>543</v>
      </c>
      <c r="E300" s="26" t="str">
        <f>IFERROR(VLOOKUP(G300,WholesaleExtract!B:J,9,FALSE),"")</f>
        <v/>
      </c>
      <c r="F300" s="26" t="str">
        <f>IFERROR(VLOOKUP(G300,WholesaleExtract!B:J,6,FALSE),"")</f>
        <v/>
      </c>
      <c r="G300" s="19"/>
      <c r="H300" s="47" t="str">
        <f>IFERROR(VLOOKUP(G300,WholesaleExtract!B:L,11,FALSE),"")</f>
        <v/>
      </c>
      <c r="I300" s="26" t="str">
        <f>IFERROR(VLOOKUP(G300,WholesaleExtract!B:O,8,FALSE),"")</f>
        <v/>
      </c>
      <c r="J300" s="26" t="str">
        <f>IFERROR(VLOOKUP(G300,WholesaleExtract!B:O,14,FALSE),"")</f>
        <v/>
      </c>
      <c r="K300" s="26" t="str">
        <f>IFERROR(VLOOKUP(G300,WholesaleExtract!B:K,10,FALSE),"")</f>
        <v/>
      </c>
      <c r="L300" s="47" t="str">
        <f>IFERROR(VLOOKUP(G300,WholesaleExtract!B:L,11,FALSE),"")</f>
        <v/>
      </c>
      <c r="M300" s="47" t="str">
        <f>IFERROR(VLOOKUP(G300,WholesaleExtract!B:M,12,FALSE),"")</f>
        <v/>
      </c>
      <c r="N300" s="27"/>
      <c r="O300" s="19"/>
      <c r="P300" s="19"/>
      <c r="Q300" s="47"/>
      <c r="R300" s="19"/>
      <c r="S300" s="19"/>
    </row>
    <row r="301" spans="1:19" x14ac:dyDescent="0.35">
      <c r="A301" s="26" t="s">
        <v>543</v>
      </c>
      <c r="B301" s="26" t="s">
        <v>543</v>
      </c>
      <c r="C301" s="26"/>
      <c r="D301" s="26" t="s">
        <v>543</v>
      </c>
      <c r="E301" s="26" t="str">
        <f>IFERROR(VLOOKUP(G301,WholesaleExtract!B:J,9,FALSE),"")</f>
        <v/>
      </c>
      <c r="F301" s="26" t="str">
        <f>IFERROR(VLOOKUP(G301,WholesaleExtract!B:J,6,FALSE),"")</f>
        <v/>
      </c>
      <c r="G301" s="19"/>
      <c r="H301" s="47" t="str">
        <f>IFERROR(VLOOKUP(G301,WholesaleExtract!B:L,11,FALSE),"")</f>
        <v/>
      </c>
      <c r="I301" s="26" t="str">
        <f>IFERROR(VLOOKUP(G301,WholesaleExtract!B:O,8,FALSE),"")</f>
        <v/>
      </c>
      <c r="J301" s="26" t="str">
        <f>IFERROR(VLOOKUP(G301,WholesaleExtract!B:O,14,FALSE),"")</f>
        <v/>
      </c>
      <c r="K301" s="26" t="str">
        <f>IFERROR(VLOOKUP(G301,WholesaleExtract!B:K,10,FALSE),"")</f>
        <v/>
      </c>
      <c r="L301" s="47" t="str">
        <f>IFERROR(VLOOKUP(G301,WholesaleExtract!B:L,11,FALSE),"")</f>
        <v/>
      </c>
      <c r="M301" s="47" t="str">
        <f>IFERROR(VLOOKUP(G301,WholesaleExtract!B:M,12,FALSE),"")</f>
        <v/>
      </c>
      <c r="N301" s="27"/>
      <c r="O301" s="19"/>
      <c r="P301" s="19"/>
      <c r="Q301" s="47"/>
      <c r="R301" s="19"/>
      <c r="S301" s="19"/>
    </row>
    <row r="302" spans="1:19" x14ac:dyDescent="0.35">
      <c r="A302" s="26" t="s">
        <v>543</v>
      </c>
      <c r="B302" s="26" t="s">
        <v>543</v>
      </c>
      <c r="C302" s="26"/>
      <c r="D302" s="26" t="s">
        <v>543</v>
      </c>
      <c r="E302" s="26" t="str">
        <f>IFERROR(VLOOKUP(G302,WholesaleExtract!B:J,9,FALSE),"")</f>
        <v/>
      </c>
      <c r="F302" s="26" t="str">
        <f>IFERROR(VLOOKUP(G302,WholesaleExtract!B:J,6,FALSE),"")</f>
        <v/>
      </c>
      <c r="G302" s="19"/>
      <c r="H302" s="47" t="str">
        <f>IFERROR(VLOOKUP(G302,WholesaleExtract!B:L,11,FALSE),"")</f>
        <v/>
      </c>
      <c r="I302" s="26" t="str">
        <f>IFERROR(VLOOKUP(G302,WholesaleExtract!B:O,8,FALSE),"")</f>
        <v/>
      </c>
      <c r="J302" s="26" t="str">
        <f>IFERROR(VLOOKUP(G302,WholesaleExtract!B:O,14,FALSE),"")</f>
        <v/>
      </c>
      <c r="K302" s="26" t="str">
        <f>IFERROR(VLOOKUP(G302,WholesaleExtract!B:K,10,FALSE),"")</f>
        <v/>
      </c>
      <c r="L302" s="47" t="str">
        <f>IFERROR(VLOOKUP(G302,WholesaleExtract!B:L,11,FALSE),"")</f>
        <v/>
      </c>
      <c r="M302" s="47" t="str">
        <f>IFERROR(VLOOKUP(G302,WholesaleExtract!B:M,12,FALSE),"")</f>
        <v/>
      </c>
      <c r="N302" s="27"/>
      <c r="O302" s="19"/>
      <c r="P302" s="19"/>
      <c r="Q302" s="47"/>
      <c r="R302" s="19"/>
      <c r="S302" s="19"/>
    </row>
    <row r="303" spans="1:19" x14ac:dyDescent="0.35">
      <c r="A303" s="26" t="s">
        <v>543</v>
      </c>
      <c r="B303" s="26" t="s">
        <v>543</v>
      </c>
      <c r="C303" s="26"/>
      <c r="D303" s="26" t="s">
        <v>543</v>
      </c>
      <c r="E303" s="26" t="str">
        <f>IFERROR(VLOOKUP(G303,WholesaleExtract!B:J,9,FALSE),"")</f>
        <v/>
      </c>
      <c r="F303" s="26" t="str">
        <f>IFERROR(VLOOKUP(G303,WholesaleExtract!B:J,6,FALSE),"")</f>
        <v/>
      </c>
      <c r="G303" s="19"/>
      <c r="H303" s="47" t="str">
        <f>IFERROR(VLOOKUP(G303,WholesaleExtract!B:L,11,FALSE),"")</f>
        <v/>
      </c>
      <c r="I303" s="26" t="str">
        <f>IFERROR(VLOOKUP(G303,WholesaleExtract!B:O,8,FALSE),"")</f>
        <v/>
      </c>
      <c r="J303" s="26" t="str">
        <f>IFERROR(VLOOKUP(G303,WholesaleExtract!B:O,14,FALSE),"")</f>
        <v/>
      </c>
      <c r="K303" s="26" t="str">
        <f>IFERROR(VLOOKUP(G303,WholesaleExtract!B:K,10,FALSE),"")</f>
        <v/>
      </c>
      <c r="L303" s="47" t="str">
        <f>IFERROR(VLOOKUP(G303,WholesaleExtract!B:L,11,FALSE),"")</f>
        <v/>
      </c>
      <c r="M303" s="47" t="str">
        <f>IFERROR(VLOOKUP(G303,WholesaleExtract!B:M,12,FALSE),"")</f>
        <v/>
      </c>
      <c r="N303" s="27"/>
      <c r="O303" s="19"/>
      <c r="P303" s="19"/>
      <c r="Q303" s="47"/>
      <c r="R303" s="19"/>
      <c r="S303" s="19"/>
    </row>
    <row r="304" spans="1:19" x14ac:dyDescent="0.35">
      <c r="A304" s="26" t="s">
        <v>543</v>
      </c>
      <c r="B304" s="26" t="s">
        <v>543</v>
      </c>
      <c r="C304" s="26"/>
      <c r="D304" s="26" t="s">
        <v>543</v>
      </c>
      <c r="E304" s="26" t="str">
        <f>IFERROR(VLOOKUP(G304,WholesaleExtract!B:J,9,FALSE),"")</f>
        <v/>
      </c>
      <c r="F304" s="26" t="str">
        <f>IFERROR(VLOOKUP(G304,WholesaleExtract!B:J,6,FALSE),"")</f>
        <v/>
      </c>
      <c r="G304" s="19"/>
      <c r="H304" s="47" t="str">
        <f>IFERROR(VLOOKUP(G304,WholesaleExtract!B:L,11,FALSE),"")</f>
        <v/>
      </c>
      <c r="I304" s="26" t="str">
        <f>IFERROR(VLOOKUP(G304,WholesaleExtract!B:O,8,FALSE),"")</f>
        <v/>
      </c>
      <c r="J304" s="26" t="str">
        <f>IFERROR(VLOOKUP(G304,WholesaleExtract!B:O,14,FALSE),"")</f>
        <v/>
      </c>
      <c r="K304" s="26" t="str">
        <f>IFERROR(VLOOKUP(G304,WholesaleExtract!B:K,10,FALSE),"")</f>
        <v/>
      </c>
      <c r="L304" s="47" t="str">
        <f>IFERROR(VLOOKUP(G304,WholesaleExtract!B:L,11,FALSE),"")</f>
        <v/>
      </c>
      <c r="M304" s="47" t="str">
        <f>IFERROR(VLOOKUP(G304,WholesaleExtract!B:M,12,FALSE),"")</f>
        <v/>
      </c>
      <c r="N304" s="27"/>
      <c r="O304" s="19"/>
      <c r="P304" s="19"/>
      <c r="Q304" s="47"/>
      <c r="R304" s="19"/>
      <c r="S304" s="19"/>
    </row>
    <row r="305" spans="1:19" x14ac:dyDescent="0.35">
      <c r="A305" s="26" t="s">
        <v>543</v>
      </c>
      <c r="B305" s="26" t="s">
        <v>543</v>
      </c>
      <c r="C305" s="26"/>
      <c r="D305" s="26" t="s">
        <v>543</v>
      </c>
      <c r="E305" s="26" t="str">
        <f>IFERROR(VLOOKUP(G305,WholesaleExtract!B:J,9,FALSE),"")</f>
        <v/>
      </c>
      <c r="F305" s="26" t="str">
        <f>IFERROR(VLOOKUP(G305,WholesaleExtract!B:J,6,FALSE),"")</f>
        <v/>
      </c>
      <c r="G305" s="19"/>
      <c r="H305" s="47" t="str">
        <f>IFERROR(VLOOKUP(G305,WholesaleExtract!B:L,11,FALSE),"")</f>
        <v/>
      </c>
      <c r="I305" s="26" t="str">
        <f>IFERROR(VLOOKUP(G305,WholesaleExtract!B:O,8,FALSE),"")</f>
        <v/>
      </c>
      <c r="J305" s="26" t="str">
        <f>IFERROR(VLOOKUP(G305,WholesaleExtract!B:O,14,FALSE),"")</f>
        <v/>
      </c>
      <c r="K305" s="26" t="str">
        <f>IFERROR(VLOOKUP(G305,WholesaleExtract!B:K,10,FALSE),"")</f>
        <v/>
      </c>
      <c r="L305" s="47" t="str">
        <f>IFERROR(VLOOKUP(G305,WholesaleExtract!B:L,11,FALSE),"")</f>
        <v/>
      </c>
      <c r="M305" s="47" t="str">
        <f>IFERROR(VLOOKUP(G305,WholesaleExtract!B:M,12,FALSE),"")</f>
        <v/>
      </c>
      <c r="N305" s="27"/>
      <c r="O305" s="19"/>
      <c r="P305" s="19"/>
      <c r="Q305" s="47"/>
      <c r="R305" s="19"/>
      <c r="S305" s="19"/>
    </row>
    <row r="306" spans="1:19" x14ac:dyDescent="0.35">
      <c r="A306" s="26" t="s">
        <v>543</v>
      </c>
      <c r="B306" s="26" t="s">
        <v>543</v>
      </c>
      <c r="C306" s="26"/>
      <c r="D306" s="26" t="s">
        <v>543</v>
      </c>
      <c r="E306" s="26" t="str">
        <f>IFERROR(VLOOKUP(G306,WholesaleExtract!B:J,9,FALSE),"")</f>
        <v/>
      </c>
      <c r="F306" s="26" t="str">
        <f>IFERROR(VLOOKUP(G306,WholesaleExtract!B:J,6,FALSE),"")</f>
        <v/>
      </c>
      <c r="G306" s="19"/>
      <c r="H306" s="47" t="str">
        <f>IFERROR(VLOOKUP(G306,WholesaleExtract!B:L,11,FALSE),"")</f>
        <v/>
      </c>
      <c r="I306" s="26" t="str">
        <f>IFERROR(VLOOKUP(G306,WholesaleExtract!B:O,8,FALSE),"")</f>
        <v/>
      </c>
      <c r="J306" s="26" t="str">
        <f>IFERROR(VLOOKUP(G306,WholesaleExtract!B:O,14,FALSE),"")</f>
        <v/>
      </c>
      <c r="K306" s="26" t="str">
        <f>IFERROR(VLOOKUP(G306,WholesaleExtract!B:K,10,FALSE),"")</f>
        <v/>
      </c>
      <c r="L306" s="47" t="str">
        <f>IFERROR(VLOOKUP(G306,WholesaleExtract!B:L,11,FALSE),"")</f>
        <v/>
      </c>
      <c r="M306" s="47" t="str">
        <f>IFERROR(VLOOKUP(G306,WholesaleExtract!B:M,12,FALSE),"")</f>
        <v/>
      </c>
      <c r="N306" s="27"/>
      <c r="O306" s="19"/>
      <c r="P306" s="19"/>
      <c r="Q306" s="47"/>
      <c r="R306" s="19"/>
      <c r="S306" s="19"/>
    </row>
    <row r="307" spans="1:19" x14ac:dyDescent="0.35">
      <c r="A307" s="26" t="s">
        <v>543</v>
      </c>
      <c r="B307" s="26" t="s">
        <v>543</v>
      </c>
      <c r="C307" s="26"/>
      <c r="D307" s="26" t="s">
        <v>543</v>
      </c>
      <c r="E307" s="26" t="str">
        <f>IFERROR(VLOOKUP(G307,WholesaleExtract!B:J,9,FALSE),"")</f>
        <v/>
      </c>
      <c r="F307" s="26" t="str">
        <f>IFERROR(VLOOKUP(G307,WholesaleExtract!B:J,6,FALSE),"")</f>
        <v/>
      </c>
      <c r="G307" s="19"/>
      <c r="H307" s="47" t="str">
        <f>IFERROR(VLOOKUP(G307,WholesaleExtract!B:L,11,FALSE),"")</f>
        <v/>
      </c>
      <c r="I307" s="26" t="str">
        <f>IFERROR(VLOOKUP(G307,WholesaleExtract!B:O,8,FALSE),"")</f>
        <v/>
      </c>
      <c r="J307" s="26" t="str">
        <f>IFERROR(VLOOKUP(G307,WholesaleExtract!B:O,14,FALSE),"")</f>
        <v/>
      </c>
      <c r="K307" s="26" t="str">
        <f>IFERROR(VLOOKUP(G307,WholesaleExtract!B:K,10,FALSE),"")</f>
        <v/>
      </c>
      <c r="L307" s="47" t="str">
        <f>IFERROR(VLOOKUP(G307,WholesaleExtract!B:L,11,FALSE),"")</f>
        <v/>
      </c>
      <c r="M307" s="47" t="str">
        <f>IFERROR(VLOOKUP(G307,WholesaleExtract!B:M,12,FALSE),"")</f>
        <v/>
      </c>
      <c r="N307" s="27"/>
      <c r="O307" s="19"/>
      <c r="P307" s="19"/>
      <c r="Q307" s="47"/>
      <c r="R307" s="19"/>
      <c r="S307" s="19"/>
    </row>
    <row r="308" spans="1:19" x14ac:dyDescent="0.35">
      <c r="A308" s="26" t="s">
        <v>543</v>
      </c>
      <c r="B308" s="26" t="s">
        <v>543</v>
      </c>
      <c r="C308" s="26"/>
      <c r="D308" s="26" t="s">
        <v>543</v>
      </c>
      <c r="E308" s="26" t="str">
        <f>IFERROR(VLOOKUP(G308,WholesaleExtract!B:J,9,FALSE),"")</f>
        <v/>
      </c>
      <c r="F308" s="26" t="str">
        <f>IFERROR(VLOOKUP(G308,WholesaleExtract!B:J,6,FALSE),"")</f>
        <v/>
      </c>
      <c r="G308" s="19"/>
      <c r="H308" s="47" t="str">
        <f>IFERROR(VLOOKUP(G308,WholesaleExtract!B:L,11,FALSE),"")</f>
        <v/>
      </c>
      <c r="I308" s="26" t="str">
        <f>IFERROR(VLOOKUP(G308,WholesaleExtract!B:O,8,FALSE),"")</f>
        <v/>
      </c>
      <c r="J308" s="26" t="str">
        <f>IFERROR(VLOOKUP(G308,WholesaleExtract!B:O,14,FALSE),"")</f>
        <v/>
      </c>
      <c r="K308" s="26" t="str">
        <f>IFERROR(VLOOKUP(G308,WholesaleExtract!B:K,10,FALSE),"")</f>
        <v/>
      </c>
      <c r="L308" s="47" t="str">
        <f>IFERROR(VLOOKUP(G308,WholesaleExtract!B:L,11,FALSE),"")</f>
        <v/>
      </c>
      <c r="M308" s="47" t="str">
        <f>IFERROR(VLOOKUP(G308,WholesaleExtract!B:M,12,FALSE),"")</f>
        <v/>
      </c>
      <c r="N308" s="27"/>
      <c r="O308" s="19"/>
      <c r="P308" s="19"/>
      <c r="Q308" s="47"/>
      <c r="R308" s="19"/>
      <c r="S308" s="19"/>
    </row>
    <row r="309" spans="1:19" x14ac:dyDescent="0.35">
      <c r="A309" s="26" t="s">
        <v>543</v>
      </c>
      <c r="B309" s="26" t="s">
        <v>543</v>
      </c>
      <c r="C309" s="26"/>
      <c r="D309" s="26" t="s">
        <v>543</v>
      </c>
      <c r="E309" s="26" t="str">
        <f>IFERROR(VLOOKUP(G309,WholesaleExtract!B:J,9,FALSE),"")</f>
        <v/>
      </c>
      <c r="F309" s="26" t="str">
        <f>IFERROR(VLOOKUP(G309,WholesaleExtract!B:J,6,FALSE),"")</f>
        <v/>
      </c>
      <c r="G309" s="19"/>
      <c r="H309" s="47" t="str">
        <f>IFERROR(VLOOKUP(G309,WholesaleExtract!B:L,11,FALSE),"")</f>
        <v/>
      </c>
      <c r="I309" s="26" t="str">
        <f>IFERROR(VLOOKUP(G309,WholesaleExtract!B:O,8,FALSE),"")</f>
        <v/>
      </c>
      <c r="J309" s="26" t="str">
        <f>IFERROR(VLOOKUP(G309,WholesaleExtract!B:O,14,FALSE),"")</f>
        <v/>
      </c>
      <c r="K309" s="26" t="str">
        <f>IFERROR(VLOOKUP(G309,WholesaleExtract!B:K,10,FALSE),"")</f>
        <v/>
      </c>
      <c r="L309" s="47" t="str">
        <f>IFERROR(VLOOKUP(G309,WholesaleExtract!B:L,11,FALSE),"")</f>
        <v/>
      </c>
      <c r="M309" s="47" t="str">
        <f>IFERROR(VLOOKUP(G309,WholesaleExtract!B:M,12,FALSE),"")</f>
        <v/>
      </c>
      <c r="N309" s="27"/>
      <c r="O309" s="19"/>
      <c r="P309" s="19"/>
      <c r="Q309" s="47"/>
      <c r="R309" s="19"/>
      <c r="S309" s="19"/>
    </row>
    <row r="310" spans="1:19" x14ac:dyDescent="0.35">
      <c r="A310" s="26" t="s">
        <v>543</v>
      </c>
      <c r="B310" s="26" t="s">
        <v>543</v>
      </c>
      <c r="C310" s="26"/>
      <c r="D310" s="26" t="s">
        <v>543</v>
      </c>
      <c r="E310" s="26" t="str">
        <f>IFERROR(VLOOKUP(G310,WholesaleExtract!B:J,9,FALSE),"")</f>
        <v/>
      </c>
      <c r="F310" s="26" t="str">
        <f>IFERROR(VLOOKUP(G310,WholesaleExtract!B:J,6,FALSE),"")</f>
        <v/>
      </c>
      <c r="G310" s="19"/>
      <c r="H310" s="47" t="str">
        <f>IFERROR(VLOOKUP(G310,WholesaleExtract!B:L,11,FALSE),"")</f>
        <v/>
      </c>
      <c r="I310" s="26" t="str">
        <f>IFERROR(VLOOKUP(G310,WholesaleExtract!B:O,8,FALSE),"")</f>
        <v/>
      </c>
      <c r="J310" s="26" t="str">
        <f>IFERROR(VLOOKUP(G310,WholesaleExtract!B:O,14,FALSE),"")</f>
        <v/>
      </c>
      <c r="K310" s="26" t="str">
        <f>IFERROR(VLOOKUP(G310,WholesaleExtract!B:K,10,FALSE),"")</f>
        <v/>
      </c>
      <c r="L310" s="47" t="str">
        <f>IFERROR(VLOOKUP(G310,WholesaleExtract!B:L,11,FALSE),"")</f>
        <v/>
      </c>
      <c r="M310" s="47" t="str">
        <f>IFERROR(VLOOKUP(G310,WholesaleExtract!B:M,12,FALSE),"")</f>
        <v/>
      </c>
      <c r="N310" s="27"/>
      <c r="O310" s="19"/>
      <c r="P310" s="19"/>
      <c r="Q310" s="47"/>
      <c r="R310" s="19"/>
      <c r="S310" s="19"/>
    </row>
    <row r="311" spans="1:19" x14ac:dyDescent="0.35">
      <c r="A311" s="26" t="s">
        <v>543</v>
      </c>
      <c r="B311" s="26" t="s">
        <v>543</v>
      </c>
      <c r="C311" s="26"/>
      <c r="D311" s="26" t="s">
        <v>543</v>
      </c>
      <c r="E311" s="26" t="str">
        <f>IFERROR(VLOOKUP(G311,WholesaleExtract!B:J,9,FALSE),"")</f>
        <v/>
      </c>
      <c r="F311" s="26" t="str">
        <f>IFERROR(VLOOKUP(G311,WholesaleExtract!B:J,6,FALSE),"")</f>
        <v/>
      </c>
      <c r="G311" s="19"/>
      <c r="H311" s="47" t="str">
        <f>IFERROR(VLOOKUP(G311,WholesaleExtract!B:L,11,FALSE),"")</f>
        <v/>
      </c>
      <c r="I311" s="26" t="str">
        <f>IFERROR(VLOOKUP(G311,WholesaleExtract!B:O,8,FALSE),"")</f>
        <v/>
      </c>
      <c r="J311" s="26" t="str">
        <f>IFERROR(VLOOKUP(G311,WholesaleExtract!B:O,14,FALSE),"")</f>
        <v/>
      </c>
      <c r="K311" s="26" t="str">
        <f>IFERROR(VLOOKUP(G311,WholesaleExtract!B:K,10,FALSE),"")</f>
        <v/>
      </c>
      <c r="L311" s="47" t="str">
        <f>IFERROR(VLOOKUP(G311,WholesaleExtract!B:L,11,FALSE),"")</f>
        <v/>
      </c>
      <c r="M311" s="47" t="str">
        <f>IFERROR(VLOOKUP(G311,WholesaleExtract!B:M,12,FALSE),"")</f>
        <v/>
      </c>
      <c r="N311" s="27"/>
      <c r="O311" s="19"/>
      <c r="P311" s="19"/>
      <c r="Q311" s="47"/>
      <c r="R311" s="19"/>
      <c r="S311" s="19"/>
    </row>
    <row r="312" spans="1:19" x14ac:dyDescent="0.35">
      <c r="A312" s="26" t="s">
        <v>543</v>
      </c>
      <c r="B312" s="26" t="s">
        <v>543</v>
      </c>
      <c r="C312" s="26"/>
      <c r="D312" s="26" t="s">
        <v>543</v>
      </c>
      <c r="E312" s="26" t="str">
        <f>IFERROR(VLOOKUP(G312,WholesaleExtract!B:J,9,FALSE),"")</f>
        <v/>
      </c>
      <c r="F312" s="26" t="str">
        <f>IFERROR(VLOOKUP(G312,WholesaleExtract!B:J,6,FALSE),"")</f>
        <v/>
      </c>
      <c r="G312" s="19"/>
      <c r="H312" s="47" t="str">
        <f>IFERROR(VLOOKUP(G312,WholesaleExtract!B:L,11,FALSE),"")</f>
        <v/>
      </c>
      <c r="I312" s="26" t="str">
        <f>IFERROR(VLOOKUP(G312,WholesaleExtract!B:O,8,FALSE),"")</f>
        <v/>
      </c>
      <c r="J312" s="26" t="str">
        <f>IFERROR(VLOOKUP(G312,WholesaleExtract!B:O,14,FALSE),"")</f>
        <v/>
      </c>
      <c r="K312" s="26" t="str">
        <f>IFERROR(VLOOKUP(G312,WholesaleExtract!B:K,10,FALSE),"")</f>
        <v/>
      </c>
      <c r="L312" s="47" t="str">
        <f>IFERROR(VLOOKUP(G312,WholesaleExtract!B:L,11,FALSE),"")</f>
        <v/>
      </c>
      <c r="M312" s="47" t="str">
        <f>IFERROR(VLOOKUP(G312,WholesaleExtract!B:M,12,FALSE),"")</f>
        <v/>
      </c>
      <c r="N312" s="27"/>
      <c r="O312" s="19"/>
      <c r="P312" s="19"/>
      <c r="Q312" s="47"/>
      <c r="R312" s="19"/>
      <c r="S312" s="19"/>
    </row>
    <row r="313" spans="1:19" x14ac:dyDescent="0.35">
      <c r="A313" s="26" t="s">
        <v>543</v>
      </c>
      <c r="B313" s="26" t="s">
        <v>543</v>
      </c>
      <c r="C313" s="26"/>
      <c r="D313" s="26" t="s">
        <v>543</v>
      </c>
      <c r="E313" s="26" t="str">
        <f>IFERROR(VLOOKUP(G313,WholesaleExtract!B:J,9,FALSE),"")</f>
        <v/>
      </c>
      <c r="F313" s="26" t="str">
        <f>IFERROR(VLOOKUP(G313,WholesaleExtract!B:J,6,FALSE),"")</f>
        <v/>
      </c>
      <c r="G313" s="19"/>
      <c r="H313" s="47" t="str">
        <f>IFERROR(VLOOKUP(G313,WholesaleExtract!B:L,11,FALSE),"")</f>
        <v/>
      </c>
      <c r="I313" s="26" t="str">
        <f>IFERROR(VLOOKUP(G313,WholesaleExtract!B:O,8,FALSE),"")</f>
        <v/>
      </c>
      <c r="J313" s="26" t="str">
        <f>IFERROR(VLOOKUP(G313,WholesaleExtract!B:O,14,FALSE),"")</f>
        <v/>
      </c>
      <c r="K313" s="26" t="str">
        <f>IFERROR(VLOOKUP(G313,WholesaleExtract!B:K,10,FALSE),"")</f>
        <v/>
      </c>
      <c r="L313" s="47" t="str">
        <f>IFERROR(VLOOKUP(G313,WholesaleExtract!B:L,11,FALSE),"")</f>
        <v/>
      </c>
      <c r="M313" s="47" t="str">
        <f>IFERROR(VLOOKUP(G313,WholesaleExtract!B:M,12,FALSE),"")</f>
        <v/>
      </c>
      <c r="N313" s="27"/>
      <c r="O313" s="19"/>
      <c r="P313" s="19"/>
      <c r="Q313" s="47"/>
      <c r="R313" s="19"/>
      <c r="S313" s="19"/>
    </row>
    <row r="314" spans="1:19" x14ac:dyDescent="0.35">
      <c r="A314" s="26" t="s">
        <v>543</v>
      </c>
      <c r="B314" s="26" t="s">
        <v>543</v>
      </c>
      <c r="C314" s="26"/>
      <c r="D314" s="26" t="s">
        <v>543</v>
      </c>
      <c r="E314" s="26" t="str">
        <f>IFERROR(VLOOKUP(G314,WholesaleExtract!B:J,9,FALSE),"")</f>
        <v/>
      </c>
      <c r="F314" s="26" t="str">
        <f>IFERROR(VLOOKUP(G314,WholesaleExtract!B:J,6,FALSE),"")</f>
        <v/>
      </c>
      <c r="G314" s="19"/>
      <c r="H314" s="47" t="str">
        <f>IFERROR(VLOOKUP(G314,WholesaleExtract!B:L,11,FALSE),"")</f>
        <v/>
      </c>
      <c r="I314" s="26" t="str">
        <f>IFERROR(VLOOKUP(G314,WholesaleExtract!B:O,8,FALSE),"")</f>
        <v/>
      </c>
      <c r="J314" s="26" t="str">
        <f>IFERROR(VLOOKUP(G314,WholesaleExtract!B:O,14,FALSE),"")</f>
        <v/>
      </c>
      <c r="K314" s="26" t="str">
        <f>IFERROR(VLOOKUP(G314,WholesaleExtract!B:K,10,FALSE),"")</f>
        <v/>
      </c>
      <c r="L314" s="47" t="str">
        <f>IFERROR(VLOOKUP(G314,WholesaleExtract!B:L,11,FALSE),"")</f>
        <v/>
      </c>
      <c r="M314" s="47" t="str">
        <f>IFERROR(VLOOKUP(G314,WholesaleExtract!B:M,12,FALSE),"")</f>
        <v/>
      </c>
      <c r="N314" s="27"/>
      <c r="O314" s="19"/>
      <c r="P314" s="19"/>
      <c r="Q314" s="47"/>
      <c r="R314" s="19"/>
      <c r="S314" s="19"/>
    </row>
    <row r="315" spans="1:19" x14ac:dyDescent="0.35">
      <c r="A315" s="26" t="s">
        <v>543</v>
      </c>
      <c r="B315" s="26" t="s">
        <v>543</v>
      </c>
      <c r="C315" s="26"/>
      <c r="D315" s="26" t="s">
        <v>543</v>
      </c>
      <c r="E315" s="26" t="str">
        <f>IFERROR(VLOOKUP(G315,WholesaleExtract!B:J,9,FALSE),"")</f>
        <v/>
      </c>
      <c r="F315" s="26" t="str">
        <f>IFERROR(VLOOKUP(G315,WholesaleExtract!B:J,6,FALSE),"")</f>
        <v/>
      </c>
      <c r="G315" s="19"/>
      <c r="H315" s="47" t="str">
        <f>IFERROR(VLOOKUP(G315,WholesaleExtract!B:L,11,FALSE),"")</f>
        <v/>
      </c>
      <c r="I315" s="26" t="str">
        <f>IFERROR(VLOOKUP(G315,WholesaleExtract!B:O,8,FALSE),"")</f>
        <v/>
      </c>
      <c r="J315" s="26" t="str">
        <f>IFERROR(VLOOKUP(G315,WholesaleExtract!B:O,14,FALSE),"")</f>
        <v/>
      </c>
      <c r="K315" s="26" t="str">
        <f>IFERROR(VLOOKUP(G315,WholesaleExtract!B:K,10,FALSE),"")</f>
        <v/>
      </c>
      <c r="L315" s="47" t="str">
        <f>IFERROR(VLOOKUP(G315,WholesaleExtract!B:L,11,FALSE),"")</f>
        <v/>
      </c>
      <c r="M315" s="47" t="str">
        <f>IFERROR(VLOOKUP(G315,WholesaleExtract!B:M,12,FALSE),"")</f>
        <v/>
      </c>
      <c r="N315" s="27"/>
      <c r="O315" s="19"/>
      <c r="P315" s="19"/>
      <c r="Q315" s="47"/>
      <c r="R315" s="19"/>
      <c r="S315" s="19"/>
    </row>
    <row r="316" spans="1:19" x14ac:dyDescent="0.35">
      <c r="A316" s="26" t="s">
        <v>543</v>
      </c>
      <c r="B316" s="26" t="s">
        <v>543</v>
      </c>
      <c r="C316" s="26"/>
      <c r="D316" s="26" t="s">
        <v>543</v>
      </c>
      <c r="E316" s="26" t="str">
        <f>IFERROR(VLOOKUP(G316,WholesaleExtract!B:J,9,FALSE),"")</f>
        <v/>
      </c>
      <c r="F316" s="26" t="str">
        <f>IFERROR(VLOOKUP(G316,WholesaleExtract!B:J,6,FALSE),"")</f>
        <v/>
      </c>
      <c r="G316" s="19"/>
      <c r="H316" s="47" t="str">
        <f>IFERROR(VLOOKUP(G316,WholesaleExtract!B:L,11,FALSE),"")</f>
        <v/>
      </c>
      <c r="I316" s="26" t="str">
        <f>IFERROR(VLOOKUP(G316,WholesaleExtract!B:O,8,FALSE),"")</f>
        <v/>
      </c>
      <c r="J316" s="26" t="str">
        <f>IFERROR(VLOOKUP(G316,WholesaleExtract!B:O,14,FALSE),"")</f>
        <v/>
      </c>
      <c r="K316" s="26" t="str">
        <f>IFERROR(VLOOKUP(G316,WholesaleExtract!B:K,10,FALSE),"")</f>
        <v/>
      </c>
      <c r="L316" s="47" t="str">
        <f>IFERROR(VLOOKUP(G316,WholesaleExtract!B:L,11,FALSE),"")</f>
        <v/>
      </c>
      <c r="M316" s="47" t="str">
        <f>IFERROR(VLOOKUP(G316,WholesaleExtract!B:M,12,FALSE),"")</f>
        <v/>
      </c>
      <c r="N316" s="27"/>
      <c r="O316" s="19"/>
      <c r="P316" s="19"/>
      <c r="Q316" s="47"/>
      <c r="R316" s="19"/>
      <c r="S316" s="19"/>
    </row>
    <row r="317" spans="1:19" x14ac:dyDescent="0.35">
      <c r="A317" s="26" t="s">
        <v>543</v>
      </c>
      <c r="B317" s="26" t="s">
        <v>543</v>
      </c>
      <c r="C317" s="26"/>
      <c r="D317" s="26" t="s">
        <v>543</v>
      </c>
      <c r="E317" s="26" t="str">
        <f>IFERROR(VLOOKUP(G317,WholesaleExtract!B:J,9,FALSE),"")</f>
        <v/>
      </c>
      <c r="F317" s="26" t="str">
        <f>IFERROR(VLOOKUP(G317,WholesaleExtract!B:J,6,FALSE),"")</f>
        <v/>
      </c>
      <c r="G317" s="19"/>
      <c r="H317" s="47" t="str">
        <f>IFERROR(VLOOKUP(G317,WholesaleExtract!B:L,11,FALSE),"")</f>
        <v/>
      </c>
      <c r="I317" s="26" t="str">
        <f>IFERROR(VLOOKUP(G317,WholesaleExtract!B:O,8,FALSE),"")</f>
        <v/>
      </c>
      <c r="J317" s="26" t="str">
        <f>IFERROR(VLOOKUP(G317,WholesaleExtract!B:O,14,FALSE),"")</f>
        <v/>
      </c>
      <c r="K317" s="26" t="str">
        <f>IFERROR(VLOOKUP(G317,WholesaleExtract!B:K,10,FALSE),"")</f>
        <v/>
      </c>
      <c r="L317" s="47" t="str">
        <f>IFERROR(VLOOKUP(G317,WholesaleExtract!B:L,11,FALSE),"")</f>
        <v/>
      </c>
      <c r="M317" s="47" t="str">
        <f>IFERROR(VLOOKUP(G317,WholesaleExtract!B:M,12,FALSE),"")</f>
        <v/>
      </c>
      <c r="N317" s="27"/>
      <c r="O317" s="19"/>
      <c r="P317" s="19"/>
      <c r="Q317" s="47"/>
      <c r="R317" s="19"/>
      <c r="S317" s="19"/>
    </row>
    <row r="318" spans="1:19" x14ac:dyDescent="0.35">
      <c r="A318" s="26" t="s">
        <v>543</v>
      </c>
      <c r="B318" s="26" t="s">
        <v>543</v>
      </c>
      <c r="C318" s="26"/>
      <c r="D318" s="26" t="s">
        <v>543</v>
      </c>
      <c r="E318" s="26" t="str">
        <f>IFERROR(VLOOKUP(G318,WholesaleExtract!B:J,9,FALSE),"")</f>
        <v/>
      </c>
      <c r="F318" s="26" t="str">
        <f>IFERROR(VLOOKUP(G318,WholesaleExtract!B:J,6,FALSE),"")</f>
        <v/>
      </c>
      <c r="G318" s="19"/>
      <c r="H318" s="47" t="str">
        <f>IFERROR(VLOOKUP(G318,WholesaleExtract!B:L,11,FALSE),"")</f>
        <v/>
      </c>
      <c r="I318" s="26" t="str">
        <f>IFERROR(VLOOKUP(G318,WholesaleExtract!B:O,8,FALSE),"")</f>
        <v/>
      </c>
      <c r="J318" s="26" t="str">
        <f>IFERROR(VLOOKUP(G318,WholesaleExtract!B:O,14,FALSE),"")</f>
        <v/>
      </c>
      <c r="K318" s="26" t="str">
        <f>IFERROR(VLOOKUP(G318,WholesaleExtract!B:K,10,FALSE),"")</f>
        <v/>
      </c>
      <c r="L318" s="47" t="str">
        <f>IFERROR(VLOOKUP(G318,WholesaleExtract!B:L,11,FALSE),"")</f>
        <v/>
      </c>
      <c r="M318" s="47" t="str">
        <f>IFERROR(VLOOKUP(G318,WholesaleExtract!B:M,12,FALSE),"")</f>
        <v/>
      </c>
      <c r="N318" s="27"/>
      <c r="O318" s="19"/>
      <c r="P318" s="19"/>
      <c r="Q318" s="47"/>
      <c r="R318" s="19"/>
      <c r="S318" s="19"/>
    </row>
    <row r="319" spans="1:19" x14ac:dyDescent="0.35">
      <c r="A319" s="26" t="s">
        <v>543</v>
      </c>
      <c r="B319" s="26" t="s">
        <v>543</v>
      </c>
      <c r="C319" s="26"/>
      <c r="D319" s="26" t="s">
        <v>543</v>
      </c>
      <c r="E319" s="26" t="str">
        <f>IFERROR(VLOOKUP(G319,WholesaleExtract!B:J,9,FALSE),"")</f>
        <v/>
      </c>
      <c r="F319" s="26" t="str">
        <f>IFERROR(VLOOKUP(G319,WholesaleExtract!B:J,6,FALSE),"")</f>
        <v/>
      </c>
      <c r="G319" s="19"/>
      <c r="H319" s="47" t="str">
        <f>IFERROR(VLOOKUP(G319,WholesaleExtract!B:L,11,FALSE),"")</f>
        <v/>
      </c>
      <c r="I319" s="26" t="str">
        <f>IFERROR(VLOOKUP(G319,WholesaleExtract!B:O,8,FALSE),"")</f>
        <v/>
      </c>
      <c r="J319" s="26" t="str">
        <f>IFERROR(VLOOKUP(G319,WholesaleExtract!B:O,14,FALSE),"")</f>
        <v/>
      </c>
      <c r="K319" s="26" t="str">
        <f>IFERROR(VLOOKUP(G319,WholesaleExtract!B:K,10,FALSE),"")</f>
        <v/>
      </c>
      <c r="L319" s="47" t="str">
        <f>IFERROR(VLOOKUP(G319,WholesaleExtract!B:L,11,FALSE),"")</f>
        <v/>
      </c>
      <c r="M319" s="47" t="str">
        <f>IFERROR(VLOOKUP(G319,WholesaleExtract!B:M,12,FALSE),"")</f>
        <v/>
      </c>
      <c r="N319" s="27"/>
      <c r="O319" s="19"/>
      <c r="P319" s="19"/>
      <c r="Q319" s="47"/>
      <c r="R319" s="19"/>
      <c r="S319" s="19"/>
    </row>
    <row r="320" spans="1:19" x14ac:dyDescent="0.35">
      <c r="A320" s="26" t="s">
        <v>543</v>
      </c>
      <c r="B320" s="26" t="s">
        <v>543</v>
      </c>
      <c r="C320" s="26"/>
      <c r="D320" s="26" t="s">
        <v>543</v>
      </c>
      <c r="E320" s="26" t="str">
        <f>IFERROR(VLOOKUP(G320,WholesaleExtract!B:J,9,FALSE),"")</f>
        <v/>
      </c>
      <c r="F320" s="26" t="str">
        <f>IFERROR(VLOOKUP(G320,WholesaleExtract!B:J,6,FALSE),"")</f>
        <v/>
      </c>
      <c r="G320" s="19"/>
      <c r="H320" s="47" t="str">
        <f>IFERROR(VLOOKUP(G320,WholesaleExtract!B:L,11,FALSE),"")</f>
        <v/>
      </c>
      <c r="I320" s="26" t="str">
        <f>IFERROR(VLOOKUP(G320,WholesaleExtract!B:O,8,FALSE),"")</f>
        <v/>
      </c>
      <c r="J320" s="26" t="str">
        <f>IFERROR(VLOOKUP(G320,WholesaleExtract!B:O,14,FALSE),"")</f>
        <v/>
      </c>
      <c r="K320" s="26" t="str">
        <f>IFERROR(VLOOKUP(G320,WholesaleExtract!B:K,10,FALSE),"")</f>
        <v/>
      </c>
      <c r="L320" s="47" t="str">
        <f>IFERROR(VLOOKUP(G320,WholesaleExtract!B:L,11,FALSE),"")</f>
        <v/>
      </c>
      <c r="M320" s="47" t="str">
        <f>IFERROR(VLOOKUP(G320,WholesaleExtract!B:M,12,FALSE),"")</f>
        <v/>
      </c>
      <c r="N320" s="27"/>
      <c r="O320" s="19"/>
      <c r="P320" s="19"/>
      <c r="Q320" s="47"/>
      <c r="R320" s="19"/>
      <c r="S320" s="19"/>
    </row>
    <row r="321" spans="1:19" x14ac:dyDescent="0.35">
      <c r="A321" s="26" t="s">
        <v>543</v>
      </c>
      <c r="B321" s="26" t="s">
        <v>543</v>
      </c>
      <c r="C321" s="26"/>
      <c r="D321" s="26" t="s">
        <v>543</v>
      </c>
      <c r="E321" s="26" t="str">
        <f>IFERROR(VLOOKUP(G321,WholesaleExtract!B:J,9,FALSE),"")</f>
        <v/>
      </c>
      <c r="F321" s="26" t="str">
        <f>IFERROR(VLOOKUP(G321,WholesaleExtract!B:J,6,FALSE),"")</f>
        <v/>
      </c>
      <c r="G321" s="19"/>
      <c r="H321" s="47" t="str">
        <f>IFERROR(VLOOKUP(G321,WholesaleExtract!B:L,11,FALSE),"")</f>
        <v/>
      </c>
      <c r="I321" s="26" t="str">
        <f>IFERROR(VLOOKUP(G321,WholesaleExtract!B:O,8,FALSE),"")</f>
        <v/>
      </c>
      <c r="J321" s="26" t="str">
        <f>IFERROR(VLOOKUP(G321,WholesaleExtract!B:O,14,FALSE),"")</f>
        <v/>
      </c>
      <c r="K321" s="26" t="str">
        <f>IFERROR(VLOOKUP(G321,WholesaleExtract!B:K,10,FALSE),"")</f>
        <v/>
      </c>
      <c r="L321" s="47" t="str">
        <f>IFERROR(VLOOKUP(G321,WholesaleExtract!B:L,11,FALSE),"")</f>
        <v/>
      </c>
      <c r="M321" s="47" t="str">
        <f>IFERROR(VLOOKUP(G321,WholesaleExtract!B:M,12,FALSE),"")</f>
        <v/>
      </c>
      <c r="N321" s="27"/>
      <c r="O321" s="19"/>
      <c r="P321" s="19"/>
      <c r="Q321" s="47"/>
      <c r="R321" s="19"/>
      <c r="S321" s="19"/>
    </row>
    <row r="322" spans="1:19" x14ac:dyDescent="0.35">
      <c r="A322" s="26" t="s">
        <v>543</v>
      </c>
      <c r="B322" s="26" t="s">
        <v>543</v>
      </c>
      <c r="C322" s="26"/>
      <c r="D322" s="26" t="s">
        <v>543</v>
      </c>
      <c r="E322" s="26" t="str">
        <f>IFERROR(VLOOKUP(G322,WholesaleExtract!B:J,9,FALSE),"")</f>
        <v/>
      </c>
      <c r="F322" s="26" t="str">
        <f>IFERROR(VLOOKUP(G322,WholesaleExtract!B:J,6,FALSE),"")</f>
        <v/>
      </c>
      <c r="G322" s="19"/>
      <c r="H322" s="47" t="str">
        <f>IFERROR(VLOOKUP(G322,WholesaleExtract!B:L,11,FALSE),"")</f>
        <v/>
      </c>
      <c r="I322" s="26" t="str">
        <f>IFERROR(VLOOKUP(G322,WholesaleExtract!B:O,8,FALSE),"")</f>
        <v/>
      </c>
      <c r="J322" s="26" t="str">
        <f>IFERROR(VLOOKUP(G322,WholesaleExtract!B:O,14,FALSE),"")</f>
        <v/>
      </c>
      <c r="K322" s="26" t="str">
        <f>IFERROR(VLOOKUP(G322,WholesaleExtract!B:K,10,FALSE),"")</f>
        <v/>
      </c>
      <c r="L322" s="47" t="str">
        <f>IFERROR(VLOOKUP(G322,WholesaleExtract!B:L,11,FALSE),"")</f>
        <v/>
      </c>
      <c r="M322" s="47" t="str">
        <f>IFERROR(VLOOKUP(G322,WholesaleExtract!B:M,12,FALSE),"")</f>
        <v/>
      </c>
      <c r="N322" s="27"/>
      <c r="O322" s="19"/>
      <c r="P322" s="19"/>
      <c r="Q322" s="47"/>
      <c r="R322" s="19"/>
      <c r="S322" s="19"/>
    </row>
    <row r="323" spans="1:19" x14ac:dyDescent="0.35">
      <c r="A323" s="26" t="s">
        <v>543</v>
      </c>
      <c r="B323" s="26" t="s">
        <v>543</v>
      </c>
      <c r="C323" s="26"/>
      <c r="D323" s="26" t="s">
        <v>543</v>
      </c>
      <c r="E323" s="26" t="str">
        <f>IFERROR(VLOOKUP(G323,WholesaleExtract!B:J,9,FALSE),"")</f>
        <v/>
      </c>
      <c r="F323" s="26" t="str">
        <f>IFERROR(VLOOKUP(G323,WholesaleExtract!B:J,6,FALSE),"")</f>
        <v/>
      </c>
      <c r="G323" s="19"/>
      <c r="H323" s="47" t="str">
        <f>IFERROR(VLOOKUP(G323,WholesaleExtract!B:L,11,FALSE),"")</f>
        <v/>
      </c>
      <c r="I323" s="26" t="str">
        <f>IFERROR(VLOOKUP(G323,WholesaleExtract!B:O,8,FALSE),"")</f>
        <v/>
      </c>
      <c r="J323" s="26" t="str">
        <f>IFERROR(VLOOKUP(G323,WholesaleExtract!B:O,14,FALSE),"")</f>
        <v/>
      </c>
      <c r="K323" s="26" t="str">
        <f>IFERROR(VLOOKUP(G323,WholesaleExtract!B:K,10,FALSE),"")</f>
        <v/>
      </c>
      <c r="L323" s="47" t="str">
        <f>IFERROR(VLOOKUP(G323,WholesaleExtract!B:L,11,FALSE),"")</f>
        <v/>
      </c>
      <c r="M323" s="47" t="str">
        <f>IFERROR(VLOOKUP(G323,WholesaleExtract!B:M,12,FALSE),"")</f>
        <v/>
      </c>
      <c r="N323" s="27"/>
      <c r="O323" s="19"/>
      <c r="P323" s="19"/>
      <c r="Q323" s="47"/>
      <c r="R323" s="19"/>
      <c r="S323" s="19"/>
    </row>
    <row r="324" spans="1:19" x14ac:dyDescent="0.35">
      <c r="A324" s="26" t="s">
        <v>543</v>
      </c>
      <c r="B324" s="26" t="s">
        <v>543</v>
      </c>
      <c r="C324" s="26"/>
      <c r="D324" s="26" t="s">
        <v>543</v>
      </c>
      <c r="E324" s="26" t="str">
        <f>IFERROR(VLOOKUP(G324,WholesaleExtract!B:J,9,FALSE),"")</f>
        <v/>
      </c>
      <c r="F324" s="26" t="str">
        <f>IFERROR(VLOOKUP(G324,WholesaleExtract!B:J,6,FALSE),"")</f>
        <v/>
      </c>
      <c r="G324" s="19"/>
      <c r="H324" s="47" t="str">
        <f>IFERROR(VLOOKUP(G324,WholesaleExtract!B:L,11,FALSE),"")</f>
        <v/>
      </c>
      <c r="I324" s="26" t="str">
        <f>IFERROR(VLOOKUP(G324,WholesaleExtract!B:O,8,FALSE),"")</f>
        <v/>
      </c>
      <c r="J324" s="26" t="str">
        <f>IFERROR(VLOOKUP(G324,WholesaleExtract!B:O,14,FALSE),"")</f>
        <v/>
      </c>
      <c r="K324" s="26" t="str">
        <f>IFERROR(VLOOKUP(G324,WholesaleExtract!B:K,10,FALSE),"")</f>
        <v/>
      </c>
      <c r="L324" s="47" t="str">
        <f>IFERROR(VLOOKUP(G324,WholesaleExtract!B:L,11,FALSE),"")</f>
        <v/>
      </c>
      <c r="M324" s="47" t="str">
        <f>IFERROR(VLOOKUP(G324,WholesaleExtract!B:M,12,FALSE),"")</f>
        <v/>
      </c>
      <c r="N324" s="27"/>
      <c r="O324" s="19"/>
      <c r="P324" s="19"/>
      <c r="Q324" s="47"/>
      <c r="R324" s="19"/>
      <c r="S324" s="19"/>
    </row>
    <row r="325" spans="1:19" x14ac:dyDescent="0.35">
      <c r="A325" s="26" t="s">
        <v>543</v>
      </c>
      <c r="B325" s="26" t="s">
        <v>543</v>
      </c>
      <c r="C325" s="26"/>
      <c r="D325" s="26" t="s">
        <v>543</v>
      </c>
      <c r="E325" s="26" t="str">
        <f>IFERROR(VLOOKUP(G325,WholesaleExtract!B:J,9,FALSE),"")</f>
        <v/>
      </c>
      <c r="F325" s="26" t="str">
        <f>IFERROR(VLOOKUP(G325,WholesaleExtract!B:J,6,FALSE),"")</f>
        <v/>
      </c>
      <c r="G325" s="19"/>
      <c r="H325" s="47" t="str">
        <f>IFERROR(VLOOKUP(G325,WholesaleExtract!B:L,11,FALSE),"")</f>
        <v/>
      </c>
      <c r="I325" s="26" t="str">
        <f>IFERROR(VLOOKUP(G325,WholesaleExtract!B:O,8,FALSE),"")</f>
        <v/>
      </c>
      <c r="J325" s="26" t="str">
        <f>IFERROR(VLOOKUP(G325,WholesaleExtract!B:O,14,FALSE),"")</f>
        <v/>
      </c>
      <c r="K325" s="26" t="str">
        <f>IFERROR(VLOOKUP(G325,WholesaleExtract!B:K,10,FALSE),"")</f>
        <v/>
      </c>
      <c r="L325" s="47" t="str">
        <f>IFERROR(VLOOKUP(G325,WholesaleExtract!B:L,11,FALSE),"")</f>
        <v/>
      </c>
      <c r="M325" s="47" t="str">
        <f>IFERROR(VLOOKUP(G325,WholesaleExtract!B:M,12,FALSE),"")</f>
        <v/>
      </c>
      <c r="N325" s="27"/>
      <c r="O325" s="19"/>
      <c r="P325" s="19"/>
      <c r="Q325" s="47"/>
      <c r="R325" s="19"/>
      <c r="S325" s="19"/>
    </row>
    <row r="326" spans="1:19" x14ac:dyDescent="0.35">
      <c r="A326" s="26" t="s">
        <v>543</v>
      </c>
      <c r="B326" s="26" t="s">
        <v>543</v>
      </c>
      <c r="C326" s="26"/>
      <c r="D326" s="26" t="s">
        <v>543</v>
      </c>
      <c r="E326" s="26" t="str">
        <f>IFERROR(VLOOKUP(G326,WholesaleExtract!B:J,9,FALSE),"")</f>
        <v/>
      </c>
      <c r="F326" s="26" t="str">
        <f>IFERROR(VLOOKUP(G326,WholesaleExtract!B:J,6,FALSE),"")</f>
        <v/>
      </c>
      <c r="G326" s="19"/>
      <c r="H326" s="47" t="str">
        <f>IFERROR(VLOOKUP(G326,WholesaleExtract!B:L,11,FALSE),"")</f>
        <v/>
      </c>
      <c r="I326" s="26" t="str">
        <f>IFERROR(VLOOKUP(G326,WholesaleExtract!B:O,8,FALSE),"")</f>
        <v/>
      </c>
      <c r="J326" s="26" t="str">
        <f>IFERROR(VLOOKUP(G326,WholesaleExtract!B:O,14,FALSE),"")</f>
        <v/>
      </c>
      <c r="K326" s="26" t="str">
        <f>IFERROR(VLOOKUP(G326,WholesaleExtract!B:K,10,FALSE),"")</f>
        <v/>
      </c>
      <c r="L326" s="47" t="str">
        <f>IFERROR(VLOOKUP(G326,WholesaleExtract!B:L,11,FALSE),"")</f>
        <v/>
      </c>
      <c r="M326" s="47" t="str">
        <f>IFERROR(VLOOKUP(G326,WholesaleExtract!B:M,12,FALSE),"")</f>
        <v/>
      </c>
      <c r="N326" s="27"/>
      <c r="O326" s="19"/>
      <c r="P326" s="19"/>
      <c r="Q326" s="47"/>
      <c r="R326" s="19"/>
      <c r="S326" s="19"/>
    </row>
    <row r="327" spans="1:19" x14ac:dyDescent="0.35">
      <c r="A327" s="26" t="s">
        <v>543</v>
      </c>
      <c r="B327" s="26" t="s">
        <v>543</v>
      </c>
      <c r="C327" s="26"/>
      <c r="D327" s="26" t="s">
        <v>543</v>
      </c>
      <c r="E327" s="26" t="str">
        <f>IFERROR(VLOOKUP(G327,WholesaleExtract!B:J,9,FALSE),"")</f>
        <v/>
      </c>
      <c r="F327" s="26" t="str">
        <f>IFERROR(VLOOKUP(G327,WholesaleExtract!B:J,6,FALSE),"")</f>
        <v/>
      </c>
      <c r="G327" s="19"/>
      <c r="H327" s="47" t="str">
        <f>IFERROR(VLOOKUP(G327,WholesaleExtract!B:L,11,FALSE),"")</f>
        <v/>
      </c>
      <c r="I327" s="26" t="str">
        <f>IFERROR(VLOOKUP(G327,WholesaleExtract!B:O,8,FALSE),"")</f>
        <v/>
      </c>
      <c r="J327" s="26" t="str">
        <f>IFERROR(VLOOKUP(G327,WholesaleExtract!B:O,14,FALSE),"")</f>
        <v/>
      </c>
      <c r="K327" s="26" t="str">
        <f>IFERROR(VLOOKUP(G327,WholesaleExtract!B:K,10,FALSE),"")</f>
        <v/>
      </c>
      <c r="L327" s="47" t="str">
        <f>IFERROR(VLOOKUP(G327,WholesaleExtract!B:L,11,FALSE),"")</f>
        <v/>
      </c>
      <c r="M327" s="47" t="str">
        <f>IFERROR(VLOOKUP(G327,WholesaleExtract!B:M,12,FALSE),"")</f>
        <v/>
      </c>
      <c r="N327" s="27"/>
      <c r="O327" s="19"/>
      <c r="P327" s="19"/>
      <c r="Q327" s="47"/>
      <c r="R327" s="19"/>
      <c r="S327" s="19"/>
    </row>
    <row r="328" spans="1:19" x14ac:dyDescent="0.35">
      <c r="A328" s="26" t="s">
        <v>543</v>
      </c>
      <c r="B328" s="26" t="s">
        <v>543</v>
      </c>
      <c r="C328" s="26"/>
      <c r="D328" s="26" t="s">
        <v>543</v>
      </c>
      <c r="E328" s="26" t="str">
        <f>IFERROR(VLOOKUP(G328,WholesaleExtract!B:J,9,FALSE),"")</f>
        <v/>
      </c>
      <c r="F328" s="26" t="str">
        <f>IFERROR(VLOOKUP(G328,WholesaleExtract!B:J,6,FALSE),"")</f>
        <v/>
      </c>
      <c r="G328" s="19"/>
      <c r="H328" s="47" t="str">
        <f>IFERROR(VLOOKUP(G328,WholesaleExtract!B:L,11,FALSE),"")</f>
        <v/>
      </c>
      <c r="I328" s="26" t="str">
        <f>IFERROR(VLOOKUP(G328,WholesaleExtract!B:O,8,FALSE),"")</f>
        <v/>
      </c>
      <c r="J328" s="26" t="str">
        <f>IFERROR(VLOOKUP(G328,WholesaleExtract!B:O,14,FALSE),"")</f>
        <v/>
      </c>
      <c r="K328" s="26" t="str">
        <f>IFERROR(VLOOKUP(G328,WholesaleExtract!B:K,10,FALSE),"")</f>
        <v/>
      </c>
      <c r="L328" s="47" t="str">
        <f>IFERROR(VLOOKUP(G328,WholesaleExtract!B:L,11,FALSE),"")</f>
        <v/>
      </c>
      <c r="M328" s="47" t="str">
        <f>IFERROR(VLOOKUP(G328,WholesaleExtract!B:M,12,FALSE),"")</f>
        <v/>
      </c>
      <c r="N328" s="27"/>
      <c r="O328" s="19"/>
      <c r="P328" s="19"/>
      <c r="Q328" s="47"/>
      <c r="R328" s="19"/>
      <c r="S328" s="19"/>
    </row>
    <row r="329" spans="1:19" x14ac:dyDescent="0.35">
      <c r="A329" s="26" t="s">
        <v>543</v>
      </c>
      <c r="B329" s="26" t="s">
        <v>543</v>
      </c>
      <c r="C329" s="26"/>
      <c r="D329" s="26" t="s">
        <v>543</v>
      </c>
      <c r="E329" s="26" t="str">
        <f>IFERROR(VLOOKUP(G329,WholesaleExtract!B:J,9,FALSE),"")</f>
        <v/>
      </c>
      <c r="F329" s="26" t="str">
        <f>IFERROR(VLOOKUP(G329,WholesaleExtract!B:J,6,FALSE),"")</f>
        <v/>
      </c>
      <c r="G329" s="19"/>
      <c r="H329" s="47" t="str">
        <f>IFERROR(VLOOKUP(G329,WholesaleExtract!B:L,11,FALSE),"")</f>
        <v/>
      </c>
      <c r="I329" s="26" t="str">
        <f>IFERROR(VLOOKUP(G329,WholesaleExtract!B:O,8,FALSE),"")</f>
        <v/>
      </c>
      <c r="J329" s="26" t="str">
        <f>IFERROR(VLOOKUP(G329,WholesaleExtract!B:O,14,FALSE),"")</f>
        <v/>
      </c>
      <c r="K329" s="26" t="str">
        <f>IFERROR(VLOOKUP(G329,WholesaleExtract!B:K,10,FALSE),"")</f>
        <v/>
      </c>
      <c r="L329" s="47" t="str">
        <f>IFERROR(VLOOKUP(G329,WholesaleExtract!B:L,11,FALSE),"")</f>
        <v/>
      </c>
      <c r="M329" s="47" t="str">
        <f>IFERROR(VLOOKUP(G329,WholesaleExtract!B:M,12,FALSE),"")</f>
        <v/>
      </c>
      <c r="N329" s="27"/>
      <c r="O329" s="19"/>
      <c r="P329" s="19"/>
      <c r="Q329" s="47"/>
      <c r="R329" s="19"/>
      <c r="S329" s="19"/>
    </row>
    <row r="330" spans="1:19" x14ac:dyDescent="0.35">
      <c r="A330" s="26" t="s">
        <v>543</v>
      </c>
      <c r="B330" s="26" t="s">
        <v>543</v>
      </c>
      <c r="C330" s="26"/>
      <c r="D330" s="26" t="s">
        <v>543</v>
      </c>
      <c r="E330" s="26" t="str">
        <f>IFERROR(VLOOKUP(G330,WholesaleExtract!B:J,9,FALSE),"")</f>
        <v/>
      </c>
      <c r="F330" s="26" t="str">
        <f>IFERROR(VLOOKUP(G330,WholesaleExtract!B:J,6,FALSE),"")</f>
        <v/>
      </c>
      <c r="G330" s="19"/>
      <c r="H330" s="47" t="str">
        <f>IFERROR(VLOOKUP(G330,WholesaleExtract!B:L,11,FALSE),"")</f>
        <v/>
      </c>
      <c r="I330" s="26" t="str">
        <f>IFERROR(VLOOKUP(G330,WholesaleExtract!B:O,8,FALSE),"")</f>
        <v/>
      </c>
      <c r="J330" s="26" t="str">
        <f>IFERROR(VLOOKUP(G330,WholesaleExtract!B:O,14,FALSE),"")</f>
        <v/>
      </c>
      <c r="K330" s="26" t="str">
        <f>IFERROR(VLOOKUP(G330,WholesaleExtract!B:K,10,FALSE),"")</f>
        <v/>
      </c>
      <c r="L330" s="47" t="str">
        <f>IFERROR(VLOOKUP(G330,WholesaleExtract!B:L,11,FALSE),"")</f>
        <v/>
      </c>
      <c r="M330" s="47" t="str">
        <f>IFERROR(VLOOKUP(G330,WholesaleExtract!B:M,12,FALSE),"")</f>
        <v/>
      </c>
      <c r="N330" s="27"/>
      <c r="O330" s="19"/>
      <c r="P330" s="19"/>
      <c r="Q330" s="47"/>
      <c r="R330" s="19"/>
      <c r="S330" s="19"/>
    </row>
    <row r="331" spans="1:19" x14ac:dyDescent="0.35">
      <c r="A331" s="26" t="s">
        <v>543</v>
      </c>
      <c r="B331" s="26" t="s">
        <v>543</v>
      </c>
      <c r="C331" s="26"/>
      <c r="D331" s="26" t="s">
        <v>543</v>
      </c>
      <c r="E331" s="26" t="str">
        <f>IFERROR(VLOOKUP(G331,WholesaleExtract!B:J,9,FALSE),"")</f>
        <v/>
      </c>
      <c r="F331" s="26" t="str">
        <f>IFERROR(VLOOKUP(G331,WholesaleExtract!B:J,6,FALSE),"")</f>
        <v/>
      </c>
      <c r="G331" s="19"/>
      <c r="H331" s="47" t="str">
        <f>IFERROR(VLOOKUP(G331,WholesaleExtract!B:L,11,FALSE),"")</f>
        <v/>
      </c>
      <c r="I331" s="26" t="str">
        <f>IFERROR(VLOOKUP(G331,WholesaleExtract!B:O,8,FALSE),"")</f>
        <v/>
      </c>
      <c r="J331" s="26" t="str">
        <f>IFERROR(VLOOKUP(G331,WholesaleExtract!B:O,14,FALSE),"")</f>
        <v/>
      </c>
      <c r="K331" s="26" t="str">
        <f>IFERROR(VLOOKUP(G331,WholesaleExtract!B:K,10,FALSE),"")</f>
        <v/>
      </c>
      <c r="L331" s="47" t="str">
        <f>IFERROR(VLOOKUP(G331,WholesaleExtract!B:L,11,FALSE),"")</f>
        <v/>
      </c>
      <c r="M331" s="47" t="str">
        <f>IFERROR(VLOOKUP(G331,WholesaleExtract!B:M,12,FALSE),"")</f>
        <v/>
      </c>
      <c r="N331" s="27"/>
      <c r="O331" s="19"/>
      <c r="P331" s="19"/>
      <c r="Q331" s="47"/>
      <c r="R331" s="19"/>
      <c r="S331" s="19"/>
    </row>
    <row r="332" spans="1:19" x14ac:dyDescent="0.35">
      <c r="A332" s="26" t="s">
        <v>543</v>
      </c>
      <c r="B332" s="26" t="s">
        <v>543</v>
      </c>
      <c r="C332" s="26"/>
      <c r="D332" s="26" t="s">
        <v>543</v>
      </c>
      <c r="E332" s="26" t="str">
        <f>IFERROR(VLOOKUP(G332,WholesaleExtract!B:J,9,FALSE),"")</f>
        <v/>
      </c>
      <c r="F332" s="26" t="str">
        <f>IFERROR(VLOOKUP(G332,WholesaleExtract!B:J,6,FALSE),"")</f>
        <v/>
      </c>
      <c r="G332" s="19"/>
      <c r="H332" s="47" t="str">
        <f>IFERROR(VLOOKUP(G332,WholesaleExtract!B:L,11,FALSE),"")</f>
        <v/>
      </c>
      <c r="I332" s="26" t="str">
        <f>IFERROR(VLOOKUP(G332,WholesaleExtract!B:O,8,FALSE),"")</f>
        <v/>
      </c>
      <c r="J332" s="26" t="str">
        <f>IFERROR(VLOOKUP(G332,WholesaleExtract!B:O,14,FALSE),"")</f>
        <v/>
      </c>
      <c r="K332" s="26" t="str">
        <f>IFERROR(VLOOKUP(G332,WholesaleExtract!B:K,10,FALSE),"")</f>
        <v/>
      </c>
      <c r="L332" s="47" t="str">
        <f>IFERROR(VLOOKUP(G332,WholesaleExtract!B:L,11,FALSE),"")</f>
        <v/>
      </c>
      <c r="M332" s="47" t="str">
        <f>IFERROR(VLOOKUP(G332,WholesaleExtract!B:M,12,FALSE),"")</f>
        <v/>
      </c>
      <c r="N332" s="27"/>
      <c r="O332" s="19"/>
      <c r="P332" s="19"/>
      <c r="Q332" s="47"/>
      <c r="R332" s="19"/>
      <c r="S332" s="19"/>
    </row>
    <row r="333" spans="1:19" x14ac:dyDescent="0.35">
      <c r="A333" s="26" t="s">
        <v>543</v>
      </c>
      <c r="B333" s="26" t="s">
        <v>543</v>
      </c>
      <c r="C333" s="26"/>
      <c r="D333" s="26" t="s">
        <v>543</v>
      </c>
      <c r="E333" s="26" t="str">
        <f>IFERROR(VLOOKUP(G333,WholesaleExtract!B:J,9,FALSE),"")</f>
        <v/>
      </c>
      <c r="F333" s="26" t="str">
        <f>IFERROR(VLOOKUP(G333,WholesaleExtract!B:J,6,FALSE),"")</f>
        <v/>
      </c>
      <c r="G333" s="19"/>
      <c r="H333" s="47" t="str">
        <f>IFERROR(VLOOKUP(G333,WholesaleExtract!B:L,11,FALSE),"")</f>
        <v/>
      </c>
      <c r="I333" s="26" t="str">
        <f>IFERROR(VLOOKUP(G333,WholesaleExtract!B:O,8,FALSE),"")</f>
        <v/>
      </c>
      <c r="J333" s="26" t="str">
        <f>IFERROR(VLOOKUP(G333,WholesaleExtract!B:O,14,FALSE),"")</f>
        <v/>
      </c>
      <c r="K333" s="26" t="str">
        <f>IFERROR(VLOOKUP(G333,WholesaleExtract!B:K,10,FALSE),"")</f>
        <v/>
      </c>
      <c r="L333" s="47" t="str">
        <f>IFERROR(VLOOKUP(G333,WholesaleExtract!B:L,11,FALSE),"")</f>
        <v/>
      </c>
      <c r="M333" s="47" t="str">
        <f>IFERROR(VLOOKUP(G333,WholesaleExtract!B:M,12,FALSE),"")</f>
        <v/>
      </c>
      <c r="N333" s="27"/>
      <c r="O333" s="19"/>
      <c r="P333" s="19"/>
      <c r="Q333" s="47"/>
      <c r="R333" s="19"/>
      <c r="S333" s="19"/>
    </row>
    <row r="334" spans="1:19" x14ac:dyDescent="0.35">
      <c r="A334" s="26" t="s">
        <v>543</v>
      </c>
      <c r="B334" s="26" t="s">
        <v>543</v>
      </c>
      <c r="C334" s="26"/>
      <c r="D334" s="26" t="s">
        <v>543</v>
      </c>
      <c r="E334" s="26" t="str">
        <f>IFERROR(VLOOKUP(G334,WholesaleExtract!B:J,9,FALSE),"")</f>
        <v/>
      </c>
      <c r="F334" s="26" t="str">
        <f>IFERROR(VLOOKUP(G334,WholesaleExtract!B:J,6,FALSE),"")</f>
        <v/>
      </c>
      <c r="G334" s="19"/>
      <c r="H334" s="47" t="str">
        <f>IFERROR(VLOOKUP(G334,WholesaleExtract!B:L,11,FALSE),"")</f>
        <v/>
      </c>
      <c r="I334" s="26" t="str">
        <f>IFERROR(VLOOKUP(G334,WholesaleExtract!B:O,8,FALSE),"")</f>
        <v/>
      </c>
      <c r="J334" s="26" t="str">
        <f>IFERROR(VLOOKUP(G334,WholesaleExtract!B:O,14,FALSE),"")</f>
        <v/>
      </c>
      <c r="K334" s="26" t="str">
        <f>IFERROR(VLOOKUP(G334,WholesaleExtract!B:K,10,FALSE),"")</f>
        <v/>
      </c>
      <c r="L334" s="47" t="str">
        <f>IFERROR(VLOOKUP(G334,WholesaleExtract!B:L,11,FALSE),"")</f>
        <v/>
      </c>
      <c r="M334" s="47" t="str">
        <f>IFERROR(VLOOKUP(G334,WholesaleExtract!B:M,12,FALSE),"")</f>
        <v/>
      </c>
      <c r="N334" s="27"/>
      <c r="O334" s="19"/>
      <c r="P334" s="19"/>
      <c r="Q334" s="47"/>
      <c r="R334" s="19"/>
      <c r="S334" s="19"/>
    </row>
    <row r="335" spans="1:19" x14ac:dyDescent="0.35">
      <c r="A335" s="26" t="s">
        <v>543</v>
      </c>
      <c r="B335" s="26" t="s">
        <v>543</v>
      </c>
      <c r="C335" s="26"/>
      <c r="D335" s="26" t="s">
        <v>543</v>
      </c>
      <c r="E335" s="26" t="str">
        <f>IFERROR(VLOOKUP(G335,WholesaleExtract!B:J,9,FALSE),"")</f>
        <v/>
      </c>
      <c r="F335" s="26" t="str">
        <f>IFERROR(VLOOKUP(G335,WholesaleExtract!B:J,6,FALSE),"")</f>
        <v/>
      </c>
      <c r="G335" s="19"/>
      <c r="H335" s="47" t="str">
        <f>IFERROR(VLOOKUP(G335,WholesaleExtract!B:L,11,FALSE),"")</f>
        <v/>
      </c>
      <c r="I335" s="26" t="str">
        <f>IFERROR(VLOOKUP(G335,WholesaleExtract!B:O,8,FALSE),"")</f>
        <v/>
      </c>
      <c r="J335" s="26" t="str">
        <f>IFERROR(VLOOKUP(G335,WholesaleExtract!B:O,14,FALSE),"")</f>
        <v/>
      </c>
      <c r="K335" s="26" t="str">
        <f>IFERROR(VLOOKUP(G335,WholesaleExtract!B:K,10,FALSE),"")</f>
        <v/>
      </c>
      <c r="L335" s="47" t="str">
        <f>IFERROR(VLOOKUP(G335,WholesaleExtract!B:L,11,FALSE),"")</f>
        <v/>
      </c>
      <c r="M335" s="47" t="str">
        <f>IFERROR(VLOOKUP(G335,WholesaleExtract!B:M,12,FALSE),"")</f>
        <v/>
      </c>
      <c r="N335" s="27"/>
      <c r="O335" s="19"/>
      <c r="P335" s="19"/>
      <c r="Q335" s="47"/>
      <c r="R335" s="19"/>
      <c r="S335" s="19"/>
    </row>
    <row r="336" spans="1:19" x14ac:dyDescent="0.35">
      <c r="A336" s="26" t="s">
        <v>543</v>
      </c>
      <c r="B336" s="26" t="s">
        <v>543</v>
      </c>
      <c r="C336" s="26"/>
      <c r="D336" s="26" t="s">
        <v>543</v>
      </c>
      <c r="E336" s="26" t="str">
        <f>IFERROR(VLOOKUP(G336,WholesaleExtract!B:J,9,FALSE),"")</f>
        <v/>
      </c>
      <c r="F336" s="26" t="str">
        <f>IFERROR(VLOOKUP(G336,WholesaleExtract!B:J,6,FALSE),"")</f>
        <v/>
      </c>
      <c r="G336" s="19"/>
      <c r="H336" s="47" t="str">
        <f>IFERROR(VLOOKUP(G336,WholesaleExtract!B:L,11,FALSE),"")</f>
        <v/>
      </c>
      <c r="I336" s="26" t="str">
        <f>IFERROR(VLOOKUP(G336,WholesaleExtract!B:O,8,FALSE),"")</f>
        <v/>
      </c>
      <c r="J336" s="26" t="str">
        <f>IFERROR(VLOOKUP(G336,WholesaleExtract!B:O,14,FALSE),"")</f>
        <v/>
      </c>
      <c r="K336" s="26" t="str">
        <f>IFERROR(VLOOKUP(G336,WholesaleExtract!B:K,10,FALSE),"")</f>
        <v/>
      </c>
      <c r="L336" s="47" t="str">
        <f>IFERROR(VLOOKUP(G336,WholesaleExtract!B:L,11,FALSE),"")</f>
        <v/>
      </c>
      <c r="M336" s="47" t="str">
        <f>IFERROR(VLOOKUP(G336,WholesaleExtract!B:M,12,FALSE),"")</f>
        <v/>
      </c>
      <c r="N336" s="27"/>
      <c r="O336" s="19"/>
      <c r="P336" s="19"/>
      <c r="Q336" s="47"/>
      <c r="R336" s="19"/>
      <c r="S336" s="19"/>
    </row>
    <row r="337" spans="1:19" x14ac:dyDescent="0.35">
      <c r="A337" s="26" t="s">
        <v>543</v>
      </c>
      <c r="B337" s="26" t="s">
        <v>543</v>
      </c>
      <c r="C337" s="26"/>
      <c r="D337" s="26" t="s">
        <v>543</v>
      </c>
      <c r="E337" s="26" t="str">
        <f>IFERROR(VLOOKUP(G337,WholesaleExtract!B:J,9,FALSE),"")</f>
        <v/>
      </c>
      <c r="F337" s="26" t="str">
        <f>IFERROR(VLOOKUP(G337,WholesaleExtract!B:J,6,FALSE),"")</f>
        <v/>
      </c>
      <c r="G337" s="19"/>
      <c r="H337" s="47" t="str">
        <f>IFERROR(VLOOKUP(G337,WholesaleExtract!B:L,11,FALSE),"")</f>
        <v/>
      </c>
      <c r="I337" s="26" t="str">
        <f>IFERROR(VLOOKUP(G337,WholesaleExtract!B:O,8,FALSE),"")</f>
        <v/>
      </c>
      <c r="J337" s="26" t="str">
        <f>IFERROR(VLOOKUP(G337,WholesaleExtract!B:O,14,FALSE),"")</f>
        <v/>
      </c>
      <c r="K337" s="26" t="str">
        <f>IFERROR(VLOOKUP(G337,WholesaleExtract!B:K,10,FALSE),"")</f>
        <v/>
      </c>
      <c r="L337" s="47" t="str">
        <f>IFERROR(VLOOKUP(G337,WholesaleExtract!B:L,11,FALSE),"")</f>
        <v/>
      </c>
      <c r="M337" s="47" t="str">
        <f>IFERROR(VLOOKUP(G337,WholesaleExtract!B:M,12,FALSE),"")</f>
        <v/>
      </c>
      <c r="N337" s="27"/>
      <c r="O337" s="19"/>
      <c r="P337" s="19"/>
      <c r="Q337" s="47"/>
      <c r="R337" s="19"/>
      <c r="S337" s="19"/>
    </row>
    <row r="338" spans="1:19" x14ac:dyDescent="0.35">
      <c r="A338" s="26" t="s">
        <v>543</v>
      </c>
      <c r="B338" s="26" t="s">
        <v>543</v>
      </c>
      <c r="C338" s="26"/>
      <c r="D338" s="26" t="s">
        <v>543</v>
      </c>
      <c r="E338" s="26" t="str">
        <f>IFERROR(VLOOKUP(G338,WholesaleExtract!B:J,9,FALSE),"")</f>
        <v/>
      </c>
      <c r="F338" s="26" t="str">
        <f>IFERROR(VLOOKUP(G338,WholesaleExtract!B:J,6,FALSE),"")</f>
        <v/>
      </c>
      <c r="G338" s="19"/>
      <c r="H338" s="47" t="str">
        <f>IFERROR(VLOOKUP(G338,WholesaleExtract!B:L,11,FALSE),"")</f>
        <v/>
      </c>
      <c r="I338" s="26" t="str">
        <f>IFERROR(VLOOKUP(G338,WholesaleExtract!B:O,8,FALSE),"")</f>
        <v/>
      </c>
      <c r="J338" s="26" t="str">
        <f>IFERROR(VLOOKUP(G338,WholesaleExtract!B:O,14,FALSE),"")</f>
        <v/>
      </c>
      <c r="K338" s="26" t="str">
        <f>IFERROR(VLOOKUP(G338,WholesaleExtract!B:K,10,FALSE),"")</f>
        <v/>
      </c>
      <c r="L338" s="47" t="str">
        <f>IFERROR(VLOOKUP(G338,WholesaleExtract!B:L,11,FALSE),"")</f>
        <v/>
      </c>
      <c r="M338" s="47" t="str">
        <f>IFERROR(VLOOKUP(G338,WholesaleExtract!B:M,12,FALSE),"")</f>
        <v/>
      </c>
      <c r="N338" s="27"/>
      <c r="O338" s="19"/>
      <c r="P338" s="19"/>
      <c r="Q338" s="47"/>
      <c r="R338" s="19"/>
      <c r="S338" s="19"/>
    </row>
    <row r="339" spans="1:19" x14ac:dyDescent="0.35">
      <c r="A339" s="26" t="s">
        <v>543</v>
      </c>
      <c r="B339" s="26" t="s">
        <v>543</v>
      </c>
      <c r="C339" s="26"/>
      <c r="D339" s="26" t="s">
        <v>543</v>
      </c>
      <c r="E339" s="26" t="str">
        <f>IFERROR(VLOOKUP(G339,WholesaleExtract!B:J,9,FALSE),"")</f>
        <v/>
      </c>
      <c r="F339" s="26" t="str">
        <f>IFERROR(VLOOKUP(G339,WholesaleExtract!B:J,6,FALSE),"")</f>
        <v/>
      </c>
      <c r="G339" s="19"/>
      <c r="H339" s="47" t="str">
        <f>IFERROR(VLOOKUP(G339,WholesaleExtract!B:L,11,FALSE),"")</f>
        <v/>
      </c>
      <c r="I339" s="26" t="str">
        <f>IFERROR(VLOOKUP(G339,WholesaleExtract!B:O,8,FALSE),"")</f>
        <v/>
      </c>
      <c r="J339" s="26" t="str">
        <f>IFERROR(VLOOKUP(G339,WholesaleExtract!B:O,14,FALSE),"")</f>
        <v/>
      </c>
      <c r="K339" s="26" t="str">
        <f>IFERROR(VLOOKUP(G339,WholesaleExtract!B:K,10,FALSE),"")</f>
        <v/>
      </c>
      <c r="L339" s="47" t="str">
        <f>IFERROR(VLOOKUP(G339,WholesaleExtract!B:L,11,FALSE),"")</f>
        <v/>
      </c>
      <c r="M339" s="47" t="str">
        <f>IFERROR(VLOOKUP(G339,WholesaleExtract!B:M,12,FALSE),"")</f>
        <v/>
      </c>
      <c r="N339" s="27"/>
      <c r="O339" s="19"/>
      <c r="P339" s="19"/>
      <c r="Q339" s="47"/>
      <c r="R339" s="19"/>
      <c r="S339" s="19"/>
    </row>
    <row r="340" spans="1:19" x14ac:dyDescent="0.35">
      <c r="A340" s="26" t="s">
        <v>543</v>
      </c>
      <c r="B340" s="26" t="s">
        <v>543</v>
      </c>
      <c r="C340" s="26"/>
      <c r="D340" s="26" t="s">
        <v>543</v>
      </c>
      <c r="E340" s="26" t="str">
        <f>IFERROR(VLOOKUP(G340,WholesaleExtract!B:J,9,FALSE),"")</f>
        <v/>
      </c>
      <c r="F340" s="26" t="str">
        <f>IFERROR(VLOOKUP(G340,WholesaleExtract!B:J,6,FALSE),"")</f>
        <v/>
      </c>
      <c r="G340" s="19"/>
      <c r="H340" s="47" t="str">
        <f>IFERROR(VLOOKUP(G340,WholesaleExtract!B:L,11,FALSE),"")</f>
        <v/>
      </c>
      <c r="I340" s="26" t="str">
        <f>IFERROR(VLOOKUP(G340,WholesaleExtract!B:O,8,FALSE),"")</f>
        <v/>
      </c>
      <c r="J340" s="26" t="str">
        <f>IFERROR(VLOOKUP(G340,WholesaleExtract!B:O,14,FALSE),"")</f>
        <v/>
      </c>
      <c r="K340" s="26" t="str">
        <f>IFERROR(VLOOKUP(G340,WholesaleExtract!B:K,10,FALSE),"")</f>
        <v/>
      </c>
      <c r="L340" s="47" t="str">
        <f>IFERROR(VLOOKUP(G340,WholesaleExtract!B:L,11,FALSE),"")</f>
        <v/>
      </c>
      <c r="M340" s="47" t="str">
        <f>IFERROR(VLOOKUP(G340,WholesaleExtract!B:M,12,FALSE),"")</f>
        <v/>
      </c>
      <c r="N340" s="27"/>
      <c r="O340" s="19"/>
      <c r="P340" s="19"/>
      <c r="Q340" s="47"/>
      <c r="R340" s="19"/>
      <c r="S340" s="19"/>
    </row>
    <row r="341" spans="1:19" x14ac:dyDescent="0.35">
      <c r="A341" s="26" t="s">
        <v>543</v>
      </c>
      <c r="B341" s="26" t="s">
        <v>543</v>
      </c>
      <c r="C341" s="26"/>
      <c r="D341" s="26" t="s">
        <v>543</v>
      </c>
      <c r="E341" s="26" t="str">
        <f>IFERROR(VLOOKUP(G341,WholesaleExtract!B:J,9,FALSE),"")</f>
        <v/>
      </c>
      <c r="F341" s="26" t="str">
        <f>IFERROR(VLOOKUP(G341,WholesaleExtract!B:J,6,FALSE),"")</f>
        <v/>
      </c>
      <c r="G341" s="19"/>
      <c r="H341" s="47" t="str">
        <f>IFERROR(VLOOKUP(G341,WholesaleExtract!B:L,11,FALSE),"")</f>
        <v/>
      </c>
      <c r="I341" s="26" t="str">
        <f>IFERROR(VLOOKUP(G341,WholesaleExtract!B:O,8,FALSE),"")</f>
        <v/>
      </c>
      <c r="J341" s="26" t="str">
        <f>IFERROR(VLOOKUP(G341,WholesaleExtract!B:O,14,FALSE),"")</f>
        <v/>
      </c>
      <c r="K341" s="26" t="str">
        <f>IFERROR(VLOOKUP(G341,WholesaleExtract!B:K,10,FALSE),"")</f>
        <v/>
      </c>
      <c r="L341" s="47" t="str">
        <f>IFERROR(VLOOKUP(G341,WholesaleExtract!B:L,11,FALSE),"")</f>
        <v/>
      </c>
      <c r="M341" s="47" t="str">
        <f>IFERROR(VLOOKUP(G341,WholesaleExtract!B:M,12,FALSE),"")</f>
        <v/>
      </c>
      <c r="N341" s="27"/>
      <c r="O341" s="19"/>
      <c r="P341" s="19"/>
      <c r="Q341" s="47"/>
      <c r="R341" s="19"/>
      <c r="S341" s="19"/>
    </row>
    <row r="342" spans="1:19" x14ac:dyDescent="0.35">
      <c r="A342" s="26" t="s">
        <v>543</v>
      </c>
      <c r="B342" s="26" t="s">
        <v>543</v>
      </c>
      <c r="C342" s="26"/>
      <c r="D342" s="26" t="s">
        <v>543</v>
      </c>
      <c r="E342" s="26" t="str">
        <f>IFERROR(VLOOKUP(G342,WholesaleExtract!B:J,9,FALSE),"")</f>
        <v/>
      </c>
      <c r="F342" s="26" t="str">
        <f>IFERROR(VLOOKUP(G342,WholesaleExtract!B:J,6,FALSE),"")</f>
        <v/>
      </c>
      <c r="G342" s="19"/>
      <c r="H342" s="47" t="str">
        <f>IFERROR(VLOOKUP(G342,WholesaleExtract!B:L,11,FALSE),"")</f>
        <v/>
      </c>
      <c r="I342" s="26" t="str">
        <f>IFERROR(VLOOKUP(G342,WholesaleExtract!B:O,8,FALSE),"")</f>
        <v/>
      </c>
      <c r="J342" s="26" t="str">
        <f>IFERROR(VLOOKUP(G342,WholesaleExtract!B:O,14,FALSE),"")</f>
        <v/>
      </c>
      <c r="K342" s="26" t="str">
        <f>IFERROR(VLOOKUP(G342,WholesaleExtract!B:K,10,FALSE),"")</f>
        <v/>
      </c>
      <c r="L342" s="47" t="str">
        <f>IFERROR(VLOOKUP(G342,WholesaleExtract!B:L,11,FALSE),"")</f>
        <v/>
      </c>
      <c r="M342" s="47" t="str">
        <f>IFERROR(VLOOKUP(G342,WholesaleExtract!B:M,12,FALSE),"")</f>
        <v/>
      </c>
      <c r="N342" s="27"/>
      <c r="O342" s="19"/>
      <c r="P342" s="19"/>
      <c r="Q342" s="47"/>
      <c r="R342" s="19"/>
      <c r="S342" s="19"/>
    </row>
    <row r="343" spans="1:19" x14ac:dyDescent="0.35">
      <c r="A343" s="26" t="s">
        <v>543</v>
      </c>
      <c r="B343" s="26" t="s">
        <v>543</v>
      </c>
      <c r="C343" s="26"/>
      <c r="D343" s="26" t="s">
        <v>543</v>
      </c>
      <c r="E343" s="26" t="str">
        <f>IFERROR(VLOOKUP(G343,WholesaleExtract!B:J,9,FALSE),"")</f>
        <v/>
      </c>
      <c r="F343" s="26" t="str">
        <f>IFERROR(VLOOKUP(G343,WholesaleExtract!B:J,6,FALSE),"")</f>
        <v/>
      </c>
      <c r="G343" s="19"/>
      <c r="H343" s="47" t="str">
        <f>IFERROR(VLOOKUP(G343,WholesaleExtract!B:L,11,FALSE),"")</f>
        <v/>
      </c>
      <c r="I343" s="26" t="str">
        <f>IFERROR(VLOOKUP(G343,WholesaleExtract!B:O,8,FALSE),"")</f>
        <v/>
      </c>
      <c r="J343" s="26" t="str">
        <f>IFERROR(VLOOKUP(G343,WholesaleExtract!B:O,14,FALSE),"")</f>
        <v/>
      </c>
      <c r="K343" s="26" t="str">
        <f>IFERROR(VLOOKUP(G343,WholesaleExtract!B:K,10,FALSE),"")</f>
        <v/>
      </c>
      <c r="L343" s="47" t="str">
        <f>IFERROR(VLOOKUP(G343,WholesaleExtract!B:L,11,FALSE),"")</f>
        <v/>
      </c>
      <c r="M343" s="47" t="str">
        <f>IFERROR(VLOOKUP(G343,WholesaleExtract!B:M,12,FALSE),"")</f>
        <v/>
      </c>
      <c r="N343" s="27"/>
      <c r="O343" s="19"/>
      <c r="P343" s="19"/>
      <c r="Q343" s="47"/>
      <c r="R343" s="19"/>
      <c r="S343" s="19"/>
    </row>
    <row r="344" spans="1:19" x14ac:dyDescent="0.35">
      <c r="A344" s="26" t="s">
        <v>543</v>
      </c>
      <c r="B344" s="26" t="s">
        <v>543</v>
      </c>
      <c r="C344" s="26"/>
      <c r="D344" s="26" t="s">
        <v>543</v>
      </c>
      <c r="E344" s="26" t="str">
        <f>IFERROR(VLOOKUP(G344,WholesaleExtract!B:J,9,FALSE),"")</f>
        <v/>
      </c>
      <c r="F344" s="26" t="str">
        <f>IFERROR(VLOOKUP(G344,WholesaleExtract!B:J,6,FALSE),"")</f>
        <v/>
      </c>
      <c r="G344" s="19"/>
      <c r="H344" s="47" t="str">
        <f>IFERROR(VLOOKUP(G344,WholesaleExtract!B:L,11,FALSE),"")</f>
        <v/>
      </c>
      <c r="I344" s="26" t="str">
        <f>IFERROR(VLOOKUP(G344,WholesaleExtract!B:O,8,FALSE),"")</f>
        <v/>
      </c>
      <c r="J344" s="26" t="str">
        <f>IFERROR(VLOOKUP(G344,WholesaleExtract!B:O,14,FALSE),"")</f>
        <v/>
      </c>
      <c r="K344" s="26" t="str">
        <f>IFERROR(VLOOKUP(G344,WholesaleExtract!B:K,10,FALSE),"")</f>
        <v/>
      </c>
      <c r="L344" s="47" t="str">
        <f>IFERROR(VLOOKUP(G344,WholesaleExtract!B:L,11,FALSE),"")</f>
        <v/>
      </c>
      <c r="M344" s="47" t="str">
        <f>IFERROR(VLOOKUP(G344,WholesaleExtract!B:M,12,FALSE),"")</f>
        <v/>
      </c>
      <c r="N344" s="27"/>
      <c r="O344" s="19"/>
      <c r="P344" s="19"/>
      <c r="Q344" s="47"/>
      <c r="R344" s="19"/>
      <c r="S344" s="19"/>
    </row>
    <row r="345" spans="1:19" x14ac:dyDescent="0.35">
      <c r="A345" s="26" t="s">
        <v>543</v>
      </c>
      <c r="B345" s="26" t="s">
        <v>543</v>
      </c>
      <c r="C345" s="26"/>
      <c r="D345" s="26" t="s">
        <v>543</v>
      </c>
      <c r="E345" s="26" t="str">
        <f>IFERROR(VLOOKUP(G345,WholesaleExtract!B:J,9,FALSE),"")</f>
        <v/>
      </c>
      <c r="F345" s="26" t="str">
        <f>IFERROR(VLOOKUP(G345,WholesaleExtract!B:J,6,FALSE),"")</f>
        <v/>
      </c>
      <c r="G345" s="19"/>
      <c r="H345" s="47" t="str">
        <f>IFERROR(VLOOKUP(G345,WholesaleExtract!B:L,11,FALSE),"")</f>
        <v/>
      </c>
      <c r="I345" s="26" t="str">
        <f>IFERROR(VLOOKUP(G345,WholesaleExtract!B:O,8,FALSE),"")</f>
        <v/>
      </c>
      <c r="J345" s="26" t="str">
        <f>IFERROR(VLOOKUP(G345,WholesaleExtract!B:O,14,FALSE),"")</f>
        <v/>
      </c>
      <c r="K345" s="26" t="str">
        <f>IFERROR(VLOOKUP(G345,WholesaleExtract!B:K,10,FALSE),"")</f>
        <v/>
      </c>
      <c r="L345" s="47" t="str">
        <f>IFERROR(VLOOKUP(G345,WholesaleExtract!B:L,11,FALSE),"")</f>
        <v/>
      </c>
      <c r="M345" s="47" t="str">
        <f>IFERROR(VLOOKUP(G345,WholesaleExtract!B:M,12,FALSE),"")</f>
        <v/>
      </c>
      <c r="N345" s="27"/>
      <c r="O345" s="19"/>
      <c r="P345" s="19"/>
      <c r="Q345" s="47"/>
      <c r="R345" s="19"/>
      <c r="S345" s="19"/>
    </row>
    <row r="346" spans="1:19" x14ac:dyDescent="0.35">
      <c r="A346" s="26" t="s">
        <v>543</v>
      </c>
      <c r="B346" s="26" t="s">
        <v>543</v>
      </c>
      <c r="C346" s="26"/>
      <c r="D346" s="26" t="s">
        <v>543</v>
      </c>
      <c r="E346" s="26" t="str">
        <f>IFERROR(VLOOKUP(G346,WholesaleExtract!B:J,9,FALSE),"")</f>
        <v/>
      </c>
      <c r="F346" s="26" t="str">
        <f>IFERROR(VLOOKUP(G346,WholesaleExtract!B:J,6,FALSE),"")</f>
        <v/>
      </c>
      <c r="G346" s="19"/>
      <c r="H346" s="47" t="str">
        <f>IFERROR(VLOOKUP(G346,WholesaleExtract!B:L,11,FALSE),"")</f>
        <v/>
      </c>
      <c r="I346" s="26" t="str">
        <f>IFERROR(VLOOKUP(G346,WholesaleExtract!B:O,8,FALSE),"")</f>
        <v/>
      </c>
      <c r="J346" s="26" t="str">
        <f>IFERROR(VLOOKUP(G346,WholesaleExtract!B:O,14,FALSE),"")</f>
        <v/>
      </c>
      <c r="K346" s="26" t="str">
        <f>IFERROR(VLOOKUP(G346,WholesaleExtract!B:K,10,FALSE),"")</f>
        <v/>
      </c>
      <c r="L346" s="47" t="str">
        <f>IFERROR(VLOOKUP(G346,WholesaleExtract!B:L,11,FALSE),"")</f>
        <v/>
      </c>
      <c r="M346" s="47" t="str">
        <f>IFERROR(VLOOKUP(G346,WholesaleExtract!B:M,12,FALSE),"")</f>
        <v/>
      </c>
      <c r="N346" s="27"/>
      <c r="O346" s="19"/>
      <c r="P346" s="19"/>
      <c r="Q346" s="47"/>
      <c r="R346" s="19"/>
      <c r="S346" s="19"/>
    </row>
    <row r="347" spans="1:19" x14ac:dyDescent="0.35">
      <c r="A347" s="26" t="s">
        <v>543</v>
      </c>
      <c r="B347" s="26" t="s">
        <v>543</v>
      </c>
      <c r="C347" s="26"/>
      <c r="D347" s="26" t="s">
        <v>543</v>
      </c>
      <c r="E347" s="26" t="str">
        <f>IFERROR(VLOOKUP(G347,WholesaleExtract!B:J,9,FALSE),"")</f>
        <v/>
      </c>
      <c r="F347" s="26" t="str">
        <f>IFERROR(VLOOKUP(G347,WholesaleExtract!B:J,6,FALSE),"")</f>
        <v/>
      </c>
      <c r="G347" s="19"/>
      <c r="H347" s="47" t="str">
        <f>IFERROR(VLOOKUP(G347,WholesaleExtract!B:L,11,FALSE),"")</f>
        <v/>
      </c>
      <c r="I347" s="26" t="str">
        <f>IFERROR(VLOOKUP(G347,WholesaleExtract!B:O,8,FALSE),"")</f>
        <v/>
      </c>
      <c r="J347" s="26" t="str">
        <f>IFERROR(VLOOKUP(G347,WholesaleExtract!B:O,14,FALSE),"")</f>
        <v/>
      </c>
      <c r="K347" s="26" t="str">
        <f>IFERROR(VLOOKUP(G347,WholesaleExtract!B:K,10,FALSE),"")</f>
        <v/>
      </c>
      <c r="L347" s="47" t="str">
        <f>IFERROR(VLOOKUP(G347,WholesaleExtract!B:L,11,FALSE),"")</f>
        <v/>
      </c>
      <c r="M347" s="47" t="str">
        <f>IFERROR(VLOOKUP(G347,WholesaleExtract!B:M,12,FALSE),"")</f>
        <v/>
      </c>
      <c r="N347" s="27"/>
      <c r="O347" s="19"/>
      <c r="P347" s="19"/>
      <c r="Q347" s="47"/>
      <c r="R347" s="19"/>
      <c r="S347" s="19"/>
    </row>
    <row r="348" spans="1:19" x14ac:dyDescent="0.35">
      <c r="A348" s="26" t="s">
        <v>543</v>
      </c>
      <c r="B348" s="26" t="s">
        <v>543</v>
      </c>
      <c r="C348" s="26"/>
      <c r="D348" s="26" t="s">
        <v>543</v>
      </c>
      <c r="E348" s="26" t="str">
        <f>IFERROR(VLOOKUP(G348,WholesaleExtract!B:J,9,FALSE),"")</f>
        <v/>
      </c>
      <c r="F348" s="26" t="str">
        <f>IFERROR(VLOOKUP(G348,WholesaleExtract!B:J,6,FALSE),"")</f>
        <v/>
      </c>
      <c r="G348" s="19"/>
      <c r="H348" s="47" t="str">
        <f>IFERROR(VLOOKUP(G348,WholesaleExtract!B:L,11,FALSE),"")</f>
        <v/>
      </c>
      <c r="I348" s="26" t="str">
        <f>IFERROR(VLOOKUP(G348,WholesaleExtract!B:O,8,FALSE),"")</f>
        <v/>
      </c>
      <c r="J348" s="26" t="str">
        <f>IFERROR(VLOOKUP(G348,WholesaleExtract!B:O,14,FALSE),"")</f>
        <v/>
      </c>
      <c r="K348" s="26" t="str">
        <f>IFERROR(VLOOKUP(G348,WholesaleExtract!B:K,10,FALSE),"")</f>
        <v/>
      </c>
      <c r="L348" s="47" t="str">
        <f>IFERROR(VLOOKUP(G348,WholesaleExtract!B:L,11,FALSE),"")</f>
        <v/>
      </c>
      <c r="M348" s="47" t="str">
        <f>IFERROR(VLOOKUP(G348,WholesaleExtract!B:M,12,FALSE),"")</f>
        <v/>
      </c>
      <c r="N348" s="27"/>
      <c r="O348" s="19"/>
      <c r="P348" s="19"/>
      <c r="Q348" s="47"/>
      <c r="R348" s="19"/>
      <c r="S348" s="19"/>
    </row>
    <row r="349" spans="1:19" x14ac:dyDescent="0.35">
      <c r="A349" s="26" t="s">
        <v>543</v>
      </c>
      <c r="B349" s="26" t="s">
        <v>543</v>
      </c>
      <c r="C349" s="26"/>
      <c r="D349" s="26" t="s">
        <v>543</v>
      </c>
      <c r="E349" s="26" t="str">
        <f>IFERROR(VLOOKUP(G349,WholesaleExtract!B:J,9,FALSE),"")</f>
        <v/>
      </c>
      <c r="F349" s="26" t="str">
        <f>IFERROR(VLOOKUP(G349,WholesaleExtract!B:J,6,FALSE),"")</f>
        <v/>
      </c>
      <c r="G349" s="19"/>
      <c r="H349" s="47" t="str">
        <f>IFERROR(VLOOKUP(G349,WholesaleExtract!B:L,11,FALSE),"")</f>
        <v/>
      </c>
      <c r="I349" s="26" t="str">
        <f>IFERROR(VLOOKUP(G349,WholesaleExtract!B:O,8,FALSE),"")</f>
        <v/>
      </c>
      <c r="J349" s="26" t="str">
        <f>IFERROR(VLOOKUP(G349,WholesaleExtract!B:O,14,FALSE),"")</f>
        <v/>
      </c>
      <c r="K349" s="26" t="str">
        <f>IFERROR(VLOOKUP(G349,WholesaleExtract!B:K,10,FALSE),"")</f>
        <v/>
      </c>
      <c r="L349" s="47" t="str">
        <f>IFERROR(VLOOKUP(G349,WholesaleExtract!B:L,11,FALSE),"")</f>
        <v/>
      </c>
      <c r="M349" s="47" t="str">
        <f>IFERROR(VLOOKUP(G349,WholesaleExtract!B:M,12,FALSE),"")</f>
        <v/>
      </c>
      <c r="N349" s="27"/>
      <c r="O349" s="19"/>
      <c r="P349" s="19"/>
      <c r="Q349" s="47"/>
      <c r="R349" s="19"/>
      <c r="S349" s="19"/>
    </row>
    <row r="350" spans="1:19" x14ac:dyDescent="0.35">
      <c r="A350" s="26" t="s">
        <v>543</v>
      </c>
      <c r="B350" s="26" t="s">
        <v>543</v>
      </c>
      <c r="C350" s="26"/>
      <c r="D350" s="26" t="s">
        <v>543</v>
      </c>
      <c r="E350" s="26" t="str">
        <f>IFERROR(VLOOKUP(G350,WholesaleExtract!B:J,9,FALSE),"")</f>
        <v/>
      </c>
      <c r="F350" s="26" t="str">
        <f>IFERROR(VLOOKUP(G350,WholesaleExtract!B:J,6,FALSE),"")</f>
        <v/>
      </c>
      <c r="G350" s="19"/>
      <c r="H350" s="47" t="str">
        <f>IFERROR(VLOOKUP(G350,WholesaleExtract!B:L,11,FALSE),"")</f>
        <v/>
      </c>
      <c r="I350" s="26" t="str">
        <f>IFERROR(VLOOKUP(G350,WholesaleExtract!B:O,8,FALSE),"")</f>
        <v/>
      </c>
      <c r="J350" s="26" t="str">
        <f>IFERROR(VLOOKUP(G350,WholesaleExtract!B:O,14,FALSE),"")</f>
        <v/>
      </c>
      <c r="K350" s="26" t="str">
        <f>IFERROR(VLOOKUP(G350,WholesaleExtract!B:K,10,FALSE),"")</f>
        <v/>
      </c>
      <c r="L350" s="47" t="str">
        <f>IFERROR(VLOOKUP(G350,WholesaleExtract!B:L,11,FALSE),"")</f>
        <v/>
      </c>
      <c r="M350" s="47" t="str">
        <f>IFERROR(VLOOKUP(G350,WholesaleExtract!B:M,12,FALSE),"")</f>
        <v/>
      </c>
      <c r="N350" s="27"/>
      <c r="O350" s="19"/>
      <c r="P350" s="19"/>
      <c r="Q350" s="47"/>
      <c r="R350" s="19"/>
      <c r="S350" s="19"/>
    </row>
    <row r="351" spans="1:19" x14ac:dyDescent="0.35">
      <c r="A351" s="26" t="s">
        <v>543</v>
      </c>
      <c r="B351" s="26" t="s">
        <v>543</v>
      </c>
      <c r="C351" s="26"/>
      <c r="D351" s="26" t="s">
        <v>543</v>
      </c>
      <c r="E351" s="26" t="str">
        <f>IFERROR(VLOOKUP(G351,WholesaleExtract!B:J,9,FALSE),"")</f>
        <v/>
      </c>
      <c r="F351" s="26" t="str">
        <f>IFERROR(VLOOKUP(G351,WholesaleExtract!B:J,6,FALSE),"")</f>
        <v/>
      </c>
      <c r="G351" s="19"/>
      <c r="H351" s="47" t="str">
        <f>IFERROR(VLOOKUP(G351,WholesaleExtract!B:L,11,FALSE),"")</f>
        <v/>
      </c>
      <c r="I351" s="26" t="str">
        <f>IFERROR(VLOOKUP(G351,WholesaleExtract!B:O,8,FALSE),"")</f>
        <v/>
      </c>
      <c r="J351" s="26" t="str">
        <f>IFERROR(VLOOKUP(G351,WholesaleExtract!B:O,14,FALSE),"")</f>
        <v/>
      </c>
      <c r="K351" s="26" t="str">
        <f>IFERROR(VLOOKUP(G351,WholesaleExtract!B:K,10,FALSE),"")</f>
        <v/>
      </c>
      <c r="L351" s="47" t="str">
        <f>IFERROR(VLOOKUP(G351,WholesaleExtract!B:L,11,FALSE),"")</f>
        <v/>
      </c>
      <c r="M351" s="47" t="str">
        <f>IFERROR(VLOOKUP(G351,WholesaleExtract!B:M,12,FALSE),"")</f>
        <v/>
      </c>
      <c r="N351" s="27"/>
      <c r="O351" s="19"/>
      <c r="P351" s="19"/>
      <c r="Q351" s="47"/>
      <c r="R351" s="19"/>
      <c r="S351" s="19"/>
    </row>
    <row r="352" spans="1:19" x14ac:dyDescent="0.35">
      <c r="A352" s="26" t="s">
        <v>543</v>
      </c>
      <c r="B352" s="26" t="s">
        <v>543</v>
      </c>
      <c r="C352" s="26"/>
      <c r="D352" s="26" t="s">
        <v>543</v>
      </c>
      <c r="E352" s="26" t="str">
        <f>IFERROR(VLOOKUP(G352,WholesaleExtract!B:J,9,FALSE),"")</f>
        <v/>
      </c>
      <c r="F352" s="26" t="str">
        <f>IFERROR(VLOOKUP(G352,WholesaleExtract!B:J,6,FALSE),"")</f>
        <v/>
      </c>
      <c r="G352" s="19"/>
      <c r="H352" s="47" t="str">
        <f>IFERROR(VLOOKUP(G352,WholesaleExtract!B:L,11,FALSE),"")</f>
        <v/>
      </c>
      <c r="I352" s="26" t="str">
        <f>IFERROR(VLOOKUP(G352,WholesaleExtract!B:O,8,FALSE),"")</f>
        <v/>
      </c>
      <c r="J352" s="26" t="str">
        <f>IFERROR(VLOOKUP(G352,WholesaleExtract!B:O,14,FALSE),"")</f>
        <v/>
      </c>
      <c r="K352" s="26" t="str">
        <f>IFERROR(VLOOKUP(G352,WholesaleExtract!B:K,10,FALSE),"")</f>
        <v/>
      </c>
      <c r="L352" s="47" t="str">
        <f>IFERROR(VLOOKUP(G352,WholesaleExtract!B:L,11,FALSE),"")</f>
        <v/>
      </c>
      <c r="M352" s="47" t="str">
        <f>IFERROR(VLOOKUP(G352,WholesaleExtract!B:M,12,FALSE),"")</f>
        <v/>
      </c>
      <c r="N352" s="27"/>
      <c r="O352" s="19"/>
      <c r="P352" s="19"/>
      <c r="Q352" s="47"/>
      <c r="R352" s="19"/>
      <c r="S352" s="19"/>
    </row>
    <row r="353" spans="1:19" x14ac:dyDescent="0.35">
      <c r="A353" s="26" t="s">
        <v>543</v>
      </c>
      <c r="B353" s="26" t="s">
        <v>543</v>
      </c>
      <c r="C353" s="26"/>
      <c r="D353" s="26" t="s">
        <v>543</v>
      </c>
      <c r="E353" s="26" t="str">
        <f>IFERROR(VLOOKUP(G353,WholesaleExtract!B:J,9,FALSE),"")</f>
        <v/>
      </c>
      <c r="F353" s="26" t="str">
        <f>IFERROR(VLOOKUP(G353,WholesaleExtract!B:J,6,FALSE),"")</f>
        <v/>
      </c>
      <c r="G353" s="19"/>
      <c r="H353" s="47" t="str">
        <f>IFERROR(VLOOKUP(G353,WholesaleExtract!B:L,11,FALSE),"")</f>
        <v/>
      </c>
      <c r="I353" s="26" t="str">
        <f>IFERROR(VLOOKUP(G353,WholesaleExtract!B:O,8,FALSE),"")</f>
        <v/>
      </c>
      <c r="J353" s="26" t="str">
        <f>IFERROR(VLOOKUP(G353,WholesaleExtract!B:O,14,FALSE),"")</f>
        <v/>
      </c>
      <c r="K353" s="26" t="str">
        <f>IFERROR(VLOOKUP(G353,WholesaleExtract!B:K,10,FALSE),"")</f>
        <v/>
      </c>
      <c r="L353" s="47" t="str">
        <f>IFERROR(VLOOKUP(G353,WholesaleExtract!B:L,11,FALSE),"")</f>
        <v/>
      </c>
      <c r="M353" s="47" t="str">
        <f>IFERROR(VLOOKUP(G353,WholesaleExtract!B:M,12,FALSE),"")</f>
        <v/>
      </c>
      <c r="N353" s="27"/>
      <c r="O353" s="19"/>
      <c r="P353" s="19"/>
      <c r="Q353" s="47"/>
      <c r="R353" s="19"/>
      <c r="S353" s="19"/>
    </row>
    <row r="354" spans="1:19" x14ac:dyDescent="0.35">
      <c r="A354" s="26" t="s">
        <v>543</v>
      </c>
      <c r="B354" s="26" t="s">
        <v>543</v>
      </c>
      <c r="C354" s="26"/>
      <c r="D354" s="26" t="s">
        <v>543</v>
      </c>
      <c r="E354" s="26" t="str">
        <f>IFERROR(VLOOKUP(G354,WholesaleExtract!B:J,9,FALSE),"")</f>
        <v/>
      </c>
      <c r="F354" s="26" t="str">
        <f>IFERROR(VLOOKUP(G354,WholesaleExtract!B:J,6,FALSE),"")</f>
        <v/>
      </c>
      <c r="G354" s="19"/>
      <c r="H354" s="47" t="str">
        <f>IFERROR(VLOOKUP(G354,WholesaleExtract!B:L,11,FALSE),"")</f>
        <v/>
      </c>
      <c r="I354" s="26" t="str">
        <f>IFERROR(VLOOKUP(G354,WholesaleExtract!B:O,8,FALSE),"")</f>
        <v/>
      </c>
      <c r="J354" s="26" t="str">
        <f>IFERROR(VLOOKUP(G354,WholesaleExtract!B:O,14,FALSE),"")</f>
        <v/>
      </c>
      <c r="K354" s="26" t="str">
        <f>IFERROR(VLOOKUP(G354,WholesaleExtract!B:K,10,FALSE),"")</f>
        <v/>
      </c>
      <c r="L354" s="47" t="str">
        <f>IFERROR(VLOOKUP(G354,WholesaleExtract!B:L,11,FALSE),"")</f>
        <v/>
      </c>
      <c r="M354" s="47" t="str">
        <f>IFERROR(VLOOKUP(G354,WholesaleExtract!B:M,12,FALSE),"")</f>
        <v/>
      </c>
      <c r="N354" s="27"/>
      <c r="O354" s="19"/>
      <c r="P354" s="19"/>
      <c r="Q354" s="47"/>
      <c r="R354" s="19"/>
      <c r="S354" s="19"/>
    </row>
    <row r="355" spans="1:19" x14ac:dyDescent="0.35">
      <c r="A355" s="26" t="s">
        <v>543</v>
      </c>
      <c r="B355" s="26" t="s">
        <v>543</v>
      </c>
      <c r="C355" s="26"/>
      <c r="D355" s="26" t="s">
        <v>543</v>
      </c>
      <c r="E355" s="26" t="str">
        <f>IFERROR(VLOOKUP(G355,WholesaleExtract!B:J,9,FALSE),"")</f>
        <v/>
      </c>
      <c r="F355" s="26" t="str">
        <f>IFERROR(VLOOKUP(G355,WholesaleExtract!B:J,6,FALSE),"")</f>
        <v/>
      </c>
      <c r="G355" s="19"/>
      <c r="H355" s="47" t="str">
        <f>IFERROR(VLOOKUP(G355,WholesaleExtract!B:L,11,FALSE),"")</f>
        <v/>
      </c>
      <c r="I355" s="26" t="str">
        <f>IFERROR(VLOOKUP(G355,WholesaleExtract!B:O,8,FALSE),"")</f>
        <v/>
      </c>
      <c r="J355" s="26" t="str">
        <f>IFERROR(VLOOKUP(G355,WholesaleExtract!B:O,14,FALSE),"")</f>
        <v/>
      </c>
      <c r="K355" s="26" t="str">
        <f>IFERROR(VLOOKUP(G355,WholesaleExtract!B:K,10,FALSE),"")</f>
        <v/>
      </c>
      <c r="L355" s="47" t="str">
        <f>IFERROR(VLOOKUP(G355,WholesaleExtract!B:L,11,FALSE),"")</f>
        <v/>
      </c>
      <c r="M355" s="47" t="str">
        <f>IFERROR(VLOOKUP(G355,WholesaleExtract!B:M,12,FALSE),"")</f>
        <v/>
      </c>
      <c r="N355" s="27"/>
      <c r="O355" s="19"/>
      <c r="P355" s="19"/>
      <c r="Q355" s="47"/>
      <c r="R355" s="19"/>
      <c r="S355" s="19"/>
    </row>
    <row r="356" spans="1:19" x14ac:dyDescent="0.35">
      <c r="A356" s="26" t="s">
        <v>543</v>
      </c>
      <c r="B356" s="26" t="s">
        <v>543</v>
      </c>
      <c r="C356" s="26"/>
      <c r="D356" s="26" t="s">
        <v>543</v>
      </c>
      <c r="E356" s="26" t="str">
        <f>IFERROR(VLOOKUP(G356,WholesaleExtract!B:J,9,FALSE),"")</f>
        <v/>
      </c>
      <c r="F356" s="26" t="str">
        <f>IFERROR(VLOOKUP(G356,WholesaleExtract!B:J,6,FALSE),"")</f>
        <v/>
      </c>
      <c r="G356" s="19"/>
      <c r="H356" s="47" t="str">
        <f>IFERROR(VLOOKUP(G356,WholesaleExtract!B:L,11,FALSE),"")</f>
        <v/>
      </c>
      <c r="I356" s="26" t="str">
        <f>IFERROR(VLOOKUP(G356,WholesaleExtract!B:O,8,FALSE),"")</f>
        <v/>
      </c>
      <c r="J356" s="26" t="str">
        <f>IFERROR(VLOOKUP(G356,WholesaleExtract!B:O,14,FALSE),"")</f>
        <v/>
      </c>
      <c r="K356" s="26" t="str">
        <f>IFERROR(VLOOKUP(G356,WholesaleExtract!B:K,10,FALSE),"")</f>
        <v/>
      </c>
      <c r="L356" s="47" t="str">
        <f>IFERROR(VLOOKUP(G356,WholesaleExtract!B:L,11,FALSE),"")</f>
        <v/>
      </c>
      <c r="M356" s="47" t="str">
        <f>IFERROR(VLOOKUP(G356,WholesaleExtract!B:M,12,FALSE),"")</f>
        <v/>
      </c>
      <c r="N356" s="27"/>
      <c r="O356" s="19"/>
      <c r="P356" s="19"/>
      <c r="Q356" s="47"/>
      <c r="R356" s="19"/>
      <c r="S356" s="19"/>
    </row>
    <row r="357" spans="1:19" x14ac:dyDescent="0.35">
      <c r="A357" s="26" t="s">
        <v>543</v>
      </c>
      <c r="B357" s="26" t="s">
        <v>543</v>
      </c>
      <c r="C357" s="26"/>
      <c r="D357" s="26" t="s">
        <v>543</v>
      </c>
      <c r="E357" s="26" t="str">
        <f>IFERROR(VLOOKUP(G357,WholesaleExtract!B:J,9,FALSE),"")</f>
        <v/>
      </c>
      <c r="F357" s="26" t="str">
        <f>IFERROR(VLOOKUP(G357,WholesaleExtract!B:J,6,FALSE),"")</f>
        <v/>
      </c>
      <c r="G357" s="19"/>
      <c r="H357" s="47" t="str">
        <f>IFERROR(VLOOKUP(G357,WholesaleExtract!B:L,11,FALSE),"")</f>
        <v/>
      </c>
      <c r="I357" s="26" t="str">
        <f>IFERROR(VLOOKUP(G357,WholesaleExtract!B:O,8,FALSE),"")</f>
        <v/>
      </c>
      <c r="J357" s="26" t="str">
        <f>IFERROR(VLOOKUP(G357,WholesaleExtract!B:O,14,FALSE),"")</f>
        <v/>
      </c>
      <c r="K357" s="26" t="str">
        <f>IFERROR(VLOOKUP(G357,WholesaleExtract!B:K,10,FALSE),"")</f>
        <v/>
      </c>
      <c r="L357" s="47" t="str">
        <f>IFERROR(VLOOKUP(G357,WholesaleExtract!B:L,11,FALSE),"")</f>
        <v/>
      </c>
      <c r="M357" s="47" t="str">
        <f>IFERROR(VLOOKUP(G357,WholesaleExtract!B:M,12,FALSE),"")</f>
        <v/>
      </c>
      <c r="N357" s="27"/>
      <c r="O357" s="19"/>
      <c r="P357" s="19"/>
      <c r="Q357" s="47"/>
      <c r="R357" s="19"/>
      <c r="S357" s="19"/>
    </row>
    <row r="358" spans="1:19" x14ac:dyDescent="0.35">
      <c r="A358" s="26" t="s">
        <v>543</v>
      </c>
      <c r="B358" s="26" t="s">
        <v>543</v>
      </c>
      <c r="C358" s="26"/>
      <c r="D358" s="26" t="s">
        <v>543</v>
      </c>
      <c r="E358" s="26" t="str">
        <f>IFERROR(VLOOKUP(G358,WholesaleExtract!B:J,9,FALSE),"")</f>
        <v/>
      </c>
      <c r="F358" s="26" t="str">
        <f>IFERROR(VLOOKUP(G358,WholesaleExtract!B:J,6,FALSE),"")</f>
        <v/>
      </c>
      <c r="G358" s="19"/>
      <c r="H358" s="47" t="str">
        <f>IFERROR(VLOOKUP(G358,WholesaleExtract!B:L,11,FALSE),"")</f>
        <v/>
      </c>
      <c r="I358" s="26" t="str">
        <f>IFERROR(VLOOKUP(G358,WholesaleExtract!B:O,8,FALSE),"")</f>
        <v/>
      </c>
      <c r="J358" s="26" t="str">
        <f>IFERROR(VLOOKUP(G358,WholesaleExtract!B:O,14,FALSE),"")</f>
        <v/>
      </c>
      <c r="K358" s="26" t="str">
        <f>IFERROR(VLOOKUP(G358,WholesaleExtract!B:K,10,FALSE),"")</f>
        <v/>
      </c>
      <c r="L358" s="47" t="str">
        <f>IFERROR(VLOOKUP(G358,WholesaleExtract!B:L,11,FALSE),"")</f>
        <v/>
      </c>
      <c r="M358" s="47" t="str">
        <f>IFERROR(VLOOKUP(G358,WholesaleExtract!B:M,12,FALSE),"")</f>
        <v/>
      </c>
      <c r="N358" s="27"/>
      <c r="O358" s="19"/>
      <c r="P358" s="19"/>
      <c r="Q358" s="47"/>
      <c r="R358" s="19"/>
      <c r="S358" s="19"/>
    </row>
    <row r="359" spans="1:19" x14ac:dyDescent="0.35">
      <c r="A359" s="26" t="s">
        <v>543</v>
      </c>
      <c r="B359" s="26" t="s">
        <v>543</v>
      </c>
      <c r="C359" s="26"/>
      <c r="D359" s="26" t="s">
        <v>543</v>
      </c>
      <c r="E359" s="26" t="str">
        <f>IFERROR(VLOOKUP(G359,WholesaleExtract!B:J,9,FALSE),"")</f>
        <v/>
      </c>
      <c r="F359" s="26" t="str">
        <f>IFERROR(VLOOKUP(G359,WholesaleExtract!B:J,6,FALSE),"")</f>
        <v/>
      </c>
      <c r="G359" s="19"/>
      <c r="H359" s="47" t="str">
        <f>IFERROR(VLOOKUP(G359,WholesaleExtract!B:L,11,FALSE),"")</f>
        <v/>
      </c>
      <c r="I359" s="26" t="str">
        <f>IFERROR(VLOOKUP(G359,WholesaleExtract!B:O,8,FALSE),"")</f>
        <v/>
      </c>
      <c r="J359" s="26" t="str">
        <f>IFERROR(VLOOKUP(G359,WholesaleExtract!B:O,14,FALSE),"")</f>
        <v/>
      </c>
      <c r="K359" s="26" t="str">
        <f>IFERROR(VLOOKUP(G359,WholesaleExtract!B:K,10,FALSE),"")</f>
        <v/>
      </c>
      <c r="L359" s="47" t="str">
        <f>IFERROR(VLOOKUP(G359,WholesaleExtract!B:L,11,FALSE),"")</f>
        <v/>
      </c>
      <c r="M359" s="47" t="str">
        <f>IFERROR(VLOOKUP(G359,WholesaleExtract!B:M,12,FALSE),"")</f>
        <v/>
      </c>
      <c r="N359" s="27"/>
      <c r="O359" s="19"/>
      <c r="P359" s="19"/>
      <c r="Q359" s="47"/>
      <c r="R359" s="19"/>
      <c r="S359" s="19"/>
    </row>
    <row r="360" spans="1:19" x14ac:dyDescent="0.35">
      <c r="A360" s="26" t="s">
        <v>543</v>
      </c>
      <c r="B360" s="26" t="s">
        <v>543</v>
      </c>
      <c r="C360" s="26"/>
      <c r="D360" s="26" t="s">
        <v>543</v>
      </c>
      <c r="E360" s="26" t="str">
        <f>IFERROR(VLOOKUP(G360,WholesaleExtract!B:J,9,FALSE),"")</f>
        <v/>
      </c>
      <c r="F360" s="26" t="str">
        <f>IFERROR(VLOOKUP(G360,WholesaleExtract!B:J,6,FALSE),"")</f>
        <v/>
      </c>
      <c r="G360" s="19"/>
      <c r="H360" s="47" t="str">
        <f>IFERROR(VLOOKUP(G360,WholesaleExtract!B:L,11,FALSE),"")</f>
        <v/>
      </c>
      <c r="I360" s="26" t="str">
        <f>IFERROR(VLOOKUP(G360,WholesaleExtract!B:O,8,FALSE),"")</f>
        <v/>
      </c>
      <c r="J360" s="26" t="str">
        <f>IFERROR(VLOOKUP(G360,WholesaleExtract!B:O,14,FALSE),"")</f>
        <v/>
      </c>
      <c r="K360" s="26" t="str">
        <f>IFERROR(VLOOKUP(G360,WholesaleExtract!B:K,10,FALSE),"")</f>
        <v/>
      </c>
      <c r="L360" s="47" t="str">
        <f>IFERROR(VLOOKUP(G360,WholesaleExtract!B:L,11,FALSE),"")</f>
        <v/>
      </c>
      <c r="M360" s="47" t="str">
        <f>IFERROR(VLOOKUP(G360,WholesaleExtract!B:M,12,FALSE),"")</f>
        <v/>
      </c>
      <c r="N360" s="27"/>
      <c r="O360" s="19"/>
      <c r="P360" s="19"/>
      <c r="Q360" s="47"/>
      <c r="R360" s="19"/>
      <c r="S360" s="19"/>
    </row>
    <row r="361" spans="1:19" x14ac:dyDescent="0.35">
      <c r="A361" s="26" t="s">
        <v>543</v>
      </c>
      <c r="B361" s="26" t="s">
        <v>543</v>
      </c>
      <c r="C361" s="26"/>
      <c r="D361" s="26" t="s">
        <v>543</v>
      </c>
      <c r="E361" s="26" t="str">
        <f>IFERROR(VLOOKUP(G361,WholesaleExtract!B:J,9,FALSE),"")</f>
        <v/>
      </c>
      <c r="F361" s="26" t="str">
        <f>IFERROR(VLOOKUP(G361,WholesaleExtract!B:J,6,FALSE),"")</f>
        <v/>
      </c>
      <c r="G361" s="19"/>
      <c r="H361" s="47" t="str">
        <f>IFERROR(VLOOKUP(G361,WholesaleExtract!B:L,11,FALSE),"")</f>
        <v/>
      </c>
      <c r="I361" s="26" t="str">
        <f>IFERROR(VLOOKUP(G361,WholesaleExtract!B:O,8,FALSE),"")</f>
        <v/>
      </c>
      <c r="J361" s="26" t="str">
        <f>IFERROR(VLOOKUP(G361,WholesaleExtract!B:O,14,FALSE),"")</f>
        <v/>
      </c>
      <c r="K361" s="26" t="str">
        <f>IFERROR(VLOOKUP(G361,WholesaleExtract!B:K,10,FALSE),"")</f>
        <v/>
      </c>
      <c r="L361" s="47" t="str">
        <f>IFERROR(VLOOKUP(G361,WholesaleExtract!B:L,11,FALSE),"")</f>
        <v/>
      </c>
      <c r="M361" s="47" t="str">
        <f>IFERROR(VLOOKUP(G361,WholesaleExtract!B:M,12,FALSE),"")</f>
        <v/>
      </c>
      <c r="N361" s="27"/>
      <c r="O361" s="19"/>
      <c r="P361" s="19"/>
      <c r="Q361" s="47"/>
      <c r="R361" s="19"/>
      <c r="S361" s="19"/>
    </row>
    <row r="362" spans="1:19" x14ac:dyDescent="0.35">
      <c r="A362" s="26" t="s">
        <v>543</v>
      </c>
      <c r="B362" s="26" t="s">
        <v>543</v>
      </c>
      <c r="C362" s="26"/>
      <c r="D362" s="26" t="s">
        <v>543</v>
      </c>
      <c r="E362" s="26" t="str">
        <f>IFERROR(VLOOKUP(G362,WholesaleExtract!B:J,9,FALSE),"")</f>
        <v/>
      </c>
      <c r="F362" s="26" t="str">
        <f>IFERROR(VLOOKUP(G362,WholesaleExtract!B:J,6,FALSE),"")</f>
        <v/>
      </c>
      <c r="G362" s="19"/>
      <c r="H362" s="47" t="str">
        <f>IFERROR(VLOOKUP(G362,WholesaleExtract!B:L,11,FALSE),"")</f>
        <v/>
      </c>
      <c r="I362" s="26" t="str">
        <f>IFERROR(VLOOKUP(G362,WholesaleExtract!B:O,8,FALSE),"")</f>
        <v/>
      </c>
      <c r="J362" s="26" t="str">
        <f>IFERROR(VLOOKUP(G362,WholesaleExtract!B:O,14,FALSE),"")</f>
        <v/>
      </c>
      <c r="K362" s="26" t="str">
        <f>IFERROR(VLOOKUP(G362,WholesaleExtract!B:K,10,FALSE),"")</f>
        <v/>
      </c>
      <c r="L362" s="47" t="str">
        <f>IFERROR(VLOOKUP(G362,WholesaleExtract!B:L,11,FALSE),"")</f>
        <v/>
      </c>
      <c r="M362" s="47" t="str">
        <f>IFERROR(VLOOKUP(G362,WholesaleExtract!B:M,12,FALSE),"")</f>
        <v/>
      </c>
      <c r="N362" s="27"/>
      <c r="O362" s="19"/>
      <c r="P362" s="19"/>
      <c r="Q362" s="47"/>
      <c r="R362" s="19"/>
      <c r="S362" s="19"/>
    </row>
    <row r="363" spans="1:19" x14ac:dyDescent="0.35">
      <c r="A363" s="26" t="s">
        <v>543</v>
      </c>
      <c r="B363" s="26" t="s">
        <v>543</v>
      </c>
      <c r="C363" s="26"/>
      <c r="D363" s="26" t="s">
        <v>543</v>
      </c>
      <c r="E363" s="26" t="str">
        <f>IFERROR(VLOOKUP(G363,WholesaleExtract!B:J,9,FALSE),"")</f>
        <v/>
      </c>
      <c r="F363" s="26" t="str">
        <f>IFERROR(VLOOKUP(G363,WholesaleExtract!B:J,6,FALSE),"")</f>
        <v/>
      </c>
      <c r="G363" s="19"/>
      <c r="H363" s="47" t="str">
        <f>IFERROR(VLOOKUP(G363,WholesaleExtract!B:L,11,FALSE),"")</f>
        <v/>
      </c>
      <c r="I363" s="26" t="str">
        <f>IFERROR(VLOOKUP(G363,WholesaleExtract!B:O,8,FALSE),"")</f>
        <v/>
      </c>
      <c r="J363" s="26" t="str">
        <f>IFERROR(VLOOKUP(G363,WholesaleExtract!B:O,14,FALSE),"")</f>
        <v/>
      </c>
      <c r="K363" s="26" t="str">
        <f>IFERROR(VLOOKUP(G363,WholesaleExtract!B:K,10,FALSE),"")</f>
        <v/>
      </c>
      <c r="L363" s="47" t="str">
        <f>IFERROR(VLOOKUP(G363,WholesaleExtract!B:L,11,FALSE),"")</f>
        <v/>
      </c>
      <c r="M363" s="47" t="str">
        <f>IFERROR(VLOOKUP(G363,WholesaleExtract!B:M,12,FALSE),"")</f>
        <v/>
      </c>
      <c r="N363" s="27"/>
      <c r="O363" s="19"/>
      <c r="P363" s="19"/>
      <c r="Q363" s="47"/>
      <c r="R363" s="19"/>
      <c r="S363" s="19"/>
    </row>
    <row r="364" spans="1:19" x14ac:dyDescent="0.35">
      <c r="A364" s="26" t="s">
        <v>543</v>
      </c>
      <c r="B364" s="26" t="s">
        <v>543</v>
      </c>
      <c r="C364" s="26"/>
      <c r="D364" s="26" t="s">
        <v>543</v>
      </c>
      <c r="E364" s="26" t="str">
        <f>IFERROR(VLOOKUP(G364,WholesaleExtract!B:J,9,FALSE),"")</f>
        <v/>
      </c>
      <c r="F364" s="26" t="str">
        <f>IFERROR(VLOOKUP(G364,WholesaleExtract!B:J,6,FALSE),"")</f>
        <v/>
      </c>
      <c r="G364" s="19"/>
      <c r="H364" s="47" t="str">
        <f>IFERROR(VLOOKUP(G364,WholesaleExtract!B:L,11,FALSE),"")</f>
        <v/>
      </c>
      <c r="I364" s="26" t="str">
        <f>IFERROR(VLOOKUP(G364,WholesaleExtract!B:O,8,FALSE),"")</f>
        <v/>
      </c>
      <c r="J364" s="26" t="str">
        <f>IFERROR(VLOOKUP(G364,WholesaleExtract!B:O,14,FALSE),"")</f>
        <v/>
      </c>
      <c r="K364" s="26" t="str">
        <f>IFERROR(VLOOKUP(G364,WholesaleExtract!B:K,10,FALSE),"")</f>
        <v/>
      </c>
      <c r="L364" s="47" t="str">
        <f>IFERROR(VLOOKUP(G364,WholesaleExtract!B:L,11,FALSE),"")</f>
        <v/>
      </c>
      <c r="M364" s="47" t="str">
        <f>IFERROR(VLOOKUP(G364,WholesaleExtract!B:M,12,FALSE),"")</f>
        <v/>
      </c>
      <c r="N364" s="27"/>
      <c r="O364" s="19"/>
      <c r="P364" s="19"/>
      <c r="Q364" s="47"/>
      <c r="R364" s="19"/>
      <c r="S364" s="19"/>
    </row>
    <row r="365" spans="1:19" x14ac:dyDescent="0.35">
      <c r="A365" s="26" t="s">
        <v>543</v>
      </c>
      <c r="B365" s="26" t="s">
        <v>543</v>
      </c>
      <c r="C365" s="26"/>
      <c r="D365" s="26" t="s">
        <v>543</v>
      </c>
      <c r="E365" s="26" t="str">
        <f>IFERROR(VLOOKUP(G365,WholesaleExtract!B:J,9,FALSE),"")</f>
        <v/>
      </c>
      <c r="F365" s="26" t="str">
        <f>IFERROR(VLOOKUP(G365,WholesaleExtract!B:J,6,FALSE),"")</f>
        <v/>
      </c>
      <c r="G365" s="19"/>
      <c r="H365" s="47" t="str">
        <f>IFERROR(VLOOKUP(G365,WholesaleExtract!B:L,11,FALSE),"")</f>
        <v/>
      </c>
      <c r="I365" s="26" t="str">
        <f>IFERROR(VLOOKUP(G365,WholesaleExtract!B:O,8,FALSE),"")</f>
        <v/>
      </c>
      <c r="J365" s="26" t="str">
        <f>IFERROR(VLOOKUP(G365,WholesaleExtract!B:O,14,FALSE),"")</f>
        <v/>
      </c>
      <c r="K365" s="26" t="str">
        <f>IFERROR(VLOOKUP(G365,WholesaleExtract!B:K,10,FALSE),"")</f>
        <v/>
      </c>
      <c r="L365" s="47" t="str">
        <f>IFERROR(VLOOKUP(G365,WholesaleExtract!B:L,11,FALSE),"")</f>
        <v/>
      </c>
      <c r="M365" s="47" t="str">
        <f>IFERROR(VLOOKUP(G365,WholesaleExtract!B:M,12,FALSE),"")</f>
        <v/>
      </c>
      <c r="N365" s="27"/>
      <c r="O365" s="19"/>
      <c r="P365" s="19"/>
      <c r="Q365" s="47"/>
      <c r="R365" s="19"/>
      <c r="S365" s="19"/>
    </row>
    <row r="366" spans="1:19" x14ac:dyDescent="0.35">
      <c r="A366" s="26" t="s">
        <v>543</v>
      </c>
      <c r="B366" s="26" t="s">
        <v>543</v>
      </c>
      <c r="C366" s="26"/>
      <c r="D366" s="26" t="s">
        <v>543</v>
      </c>
      <c r="E366" s="26" t="str">
        <f>IFERROR(VLOOKUP(G366,WholesaleExtract!B:J,9,FALSE),"")</f>
        <v/>
      </c>
      <c r="F366" s="26" t="str">
        <f>IFERROR(VLOOKUP(G366,WholesaleExtract!B:J,6,FALSE),"")</f>
        <v/>
      </c>
      <c r="G366" s="19"/>
      <c r="H366" s="47" t="str">
        <f>IFERROR(VLOOKUP(G366,WholesaleExtract!B:L,11,FALSE),"")</f>
        <v/>
      </c>
      <c r="I366" s="26" t="str">
        <f>IFERROR(VLOOKUP(G366,WholesaleExtract!B:O,8,FALSE),"")</f>
        <v/>
      </c>
      <c r="J366" s="26" t="str">
        <f>IFERROR(VLOOKUP(G366,WholesaleExtract!B:O,14,FALSE),"")</f>
        <v/>
      </c>
      <c r="K366" s="26" t="str">
        <f>IFERROR(VLOOKUP(G366,WholesaleExtract!B:K,10,FALSE),"")</f>
        <v/>
      </c>
      <c r="L366" s="47" t="str">
        <f>IFERROR(VLOOKUP(G366,WholesaleExtract!B:L,11,FALSE),"")</f>
        <v/>
      </c>
      <c r="M366" s="47" t="str">
        <f>IFERROR(VLOOKUP(G366,WholesaleExtract!B:M,12,FALSE),"")</f>
        <v/>
      </c>
      <c r="N366" s="27"/>
      <c r="O366" s="19"/>
      <c r="P366" s="19"/>
      <c r="Q366" s="47"/>
      <c r="R366" s="19"/>
      <c r="S366" s="19"/>
    </row>
    <row r="367" spans="1:19" x14ac:dyDescent="0.35">
      <c r="A367" s="26" t="s">
        <v>543</v>
      </c>
      <c r="B367" s="26" t="s">
        <v>543</v>
      </c>
      <c r="C367" s="26"/>
      <c r="D367" s="26" t="s">
        <v>543</v>
      </c>
      <c r="E367" s="26" t="str">
        <f>IFERROR(VLOOKUP(G367,WholesaleExtract!B:J,9,FALSE),"")</f>
        <v/>
      </c>
      <c r="F367" s="26" t="str">
        <f>IFERROR(VLOOKUP(G367,WholesaleExtract!B:J,6,FALSE),"")</f>
        <v/>
      </c>
      <c r="G367" s="19"/>
      <c r="H367" s="47" t="str">
        <f>IFERROR(VLOOKUP(G367,WholesaleExtract!B:L,11,FALSE),"")</f>
        <v/>
      </c>
      <c r="I367" s="26" t="str">
        <f>IFERROR(VLOOKUP(G367,WholesaleExtract!B:O,8,FALSE),"")</f>
        <v/>
      </c>
      <c r="J367" s="26" t="str">
        <f>IFERROR(VLOOKUP(G367,WholesaleExtract!B:O,14,FALSE),"")</f>
        <v/>
      </c>
      <c r="K367" s="26" t="str">
        <f>IFERROR(VLOOKUP(G367,WholesaleExtract!B:K,10,FALSE),"")</f>
        <v/>
      </c>
      <c r="L367" s="47" t="str">
        <f>IFERROR(VLOOKUP(G367,WholesaleExtract!B:L,11,FALSE),"")</f>
        <v/>
      </c>
      <c r="M367" s="47" t="str">
        <f>IFERROR(VLOOKUP(G367,WholesaleExtract!B:M,12,FALSE),"")</f>
        <v/>
      </c>
      <c r="N367" s="27"/>
      <c r="O367" s="19"/>
      <c r="P367" s="19"/>
      <c r="Q367" s="47"/>
      <c r="R367" s="19"/>
      <c r="S367" s="19"/>
    </row>
    <row r="368" spans="1:19" x14ac:dyDescent="0.35">
      <c r="A368" s="26" t="s">
        <v>543</v>
      </c>
      <c r="B368" s="26" t="s">
        <v>543</v>
      </c>
      <c r="C368" s="26"/>
      <c r="D368" s="26" t="s">
        <v>543</v>
      </c>
      <c r="E368" s="26" t="str">
        <f>IFERROR(VLOOKUP(G368,WholesaleExtract!B:J,9,FALSE),"")</f>
        <v/>
      </c>
      <c r="F368" s="26" t="str">
        <f>IFERROR(VLOOKUP(G368,WholesaleExtract!B:J,6,FALSE),"")</f>
        <v/>
      </c>
      <c r="G368" s="19"/>
      <c r="H368" s="47" t="str">
        <f>IFERROR(VLOOKUP(G368,WholesaleExtract!B:L,11,FALSE),"")</f>
        <v/>
      </c>
      <c r="I368" s="26" t="str">
        <f>IFERROR(VLOOKUP(G368,WholesaleExtract!B:O,8,FALSE),"")</f>
        <v/>
      </c>
      <c r="J368" s="26" t="str">
        <f>IFERROR(VLOOKUP(G368,WholesaleExtract!B:O,14,FALSE),"")</f>
        <v/>
      </c>
      <c r="K368" s="26" t="str">
        <f>IFERROR(VLOOKUP(G368,WholesaleExtract!B:K,10,FALSE),"")</f>
        <v/>
      </c>
      <c r="L368" s="47" t="str">
        <f>IFERROR(VLOOKUP(G368,WholesaleExtract!B:L,11,FALSE),"")</f>
        <v/>
      </c>
      <c r="M368" s="47" t="str">
        <f>IFERROR(VLOOKUP(G368,WholesaleExtract!B:M,12,FALSE),"")</f>
        <v/>
      </c>
      <c r="N368" s="27"/>
      <c r="O368" s="19"/>
      <c r="P368" s="19"/>
      <c r="Q368" s="47"/>
      <c r="R368" s="19"/>
      <c r="S368" s="19"/>
    </row>
    <row r="369" spans="1:19" x14ac:dyDescent="0.35">
      <c r="A369" s="26" t="s">
        <v>543</v>
      </c>
      <c r="B369" s="26" t="s">
        <v>543</v>
      </c>
      <c r="C369" s="26"/>
      <c r="D369" s="26" t="s">
        <v>543</v>
      </c>
      <c r="E369" s="26" t="str">
        <f>IFERROR(VLOOKUP(G369,WholesaleExtract!B:J,9,FALSE),"")</f>
        <v/>
      </c>
      <c r="F369" s="26" t="str">
        <f>IFERROR(VLOOKUP(G369,WholesaleExtract!B:J,6,FALSE),"")</f>
        <v/>
      </c>
      <c r="G369" s="19"/>
      <c r="H369" s="47" t="str">
        <f>IFERROR(VLOOKUP(G369,WholesaleExtract!B:L,11,FALSE),"")</f>
        <v/>
      </c>
      <c r="I369" s="26" t="str">
        <f>IFERROR(VLOOKUP(G369,WholesaleExtract!B:O,8,FALSE),"")</f>
        <v/>
      </c>
      <c r="J369" s="26" t="str">
        <f>IFERROR(VLOOKUP(G369,WholesaleExtract!B:O,14,FALSE),"")</f>
        <v/>
      </c>
      <c r="K369" s="26" t="str">
        <f>IFERROR(VLOOKUP(G369,WholesaleExtract!B:K,10,FALSE),"")</f>
        <v/>
      </c>
      <c r="L369" s="47" t="str">
        <f>IFERROR(VLOOKUP(G369,WholesaleExtract!B:L,11,FALSE),"")</f>
        <v/>
      </c>
      <c r="M369" s="47" t="str">
        <f>IFERROR(VLOOKUP(G369,WholesaleExtract!B:M,12,FALSE),"")</f>
        <v/>
      </c>
      <c r="N369" s="27"/>
      <c r="O369" s="19"/>
      <c r="P369" s="19"/>
      <c r="Q369" s="47"/>
      <c r="R369" s="19"/>
      <c r="S369" s="19"/>
    </row>
    <row r="370" spans="1:19" x14ac:dyDescent="0.35">
      <c r="A370" s="26" t="s">
        <v>543</v>
      </c>
      <c r="B370" s="26" t="s">
        <v>543</v>
      </c>
      <c r="C370" s="26"/>
      <c r="D370" s="26" t="s">
        <v>543</v>
      </c>
      <c r="E370" s="26" t="str">
        <f>IFERROR(VLOOKUP(G370,WholesaleExtract!B:J,9,FALSE),"")</f>
        <v/>
      </c>
      <c r="F370" s="26" t="str">
        <f>IFERROR(VLOOKUP(G370,WholesaleExtract!B:J,6,FALSE),"")</f>
        <v/>
      </c>
      <c r="G370" s="19"/>
      <c r="H370" s="47" t="str">
        <f>IFERROR(VLOOKUP(G370,WholesaleExtract!B:L,11,FALSE),"")</f>
        <v/>
      </c>
      <c r="I370" s="26" t="str">
        <f>IFERROR(VLOOKUP(G370,WholesaleExtract!B:O,8,FALSE),"")</f>
        <v/>
      </c>
      <c r="J370" s="26" t="str">
        <f>IFERROR(VLOOKUP(G370,WholesaleExtract!B:O,14,FALSE),"")</f>
        <v/>
      </c>
      <c r="K370" s="26" t="str">
        <f>IFERROR(VLOOKUP(G370,WholesaleExtract!B:K,10,FALSE),"")</f>
        <v/>
      </c>
      <c r="L370" s="47" t="str">
        <f>IFERROR(VLOOKUP(G370,WholesaleExtract!B:L,11,FALSE),"")</f>
        <v/>
      </c>
      <c r="M370" s="47" t="str">
        <f>IFERROR(VLOOKUP(G370,WholesaleExtract!B:M,12,FALSE),"")</f>
        <v/>
      </c>
      <c r="N370" s="27"/>
      <c r="O370" s="19"/>
      <c r="P370" s="19"/>
      <c r="Q370" s="47"/>
      <c r="R370" s="19"/>
      <c r="S370" s="19"/>
    </row>
    <row r="371" spans="1:19" x14ac:dyDescent="0.35">
      <c r="A371" s="26" t="s">
        <v>543</v>
      </c>
      <c r="B371" s="26" t="s">
        <v>543</v>
      </c>
      <c r="C371" s="26"/>
      <c r="D371" s="26" t="s">
        <v>543</v>
      </c>
      <c r="E371" s="26" t="str">
        <f>IFERROR(VLOOKUP(G371,WholesaleExtract!B:J,9,FALSE),"")</f>
        <v/>
      </c>
      <c r="F371" s="26" t="str">
        <f>IFERROR(VLOOKUP(G371,WholesaleExtract!B:J,6,FALSE),"")</f>
        <v/>
      </c>
      <c r="G371" s="19"/>
      <c r="H371" s="47" t="str">
        <f>IFERROR(VLOOKUP(G371,WholesaleExtract!B:L,11,FALSE),"")</f>
        <v/>
      </c>
      <c r="I371" s="26" t="str">
        <f>IFERROR(VLOOKUP(G371,WholesaleExtract!B:O,8,FALSE),"")</f>
        <v/>
      </c>
      <c r="J371" s="26" t="str">
        <f>IFERROR(VLOOKUP(G371,WholesaleExtract!B:O,14,FALSE),"")</f>
        <v/>
      </c>
      <c r="K371" s="26" t="str">
        <f>IFERROR(VLOOKUP(G371,WholesaleExtract!B:K,10,FALSE),"")</f>
        <v/>
      </c>
      <c r="L371" s="47" t="str">
        <f>IFERROR(VLOOKUP(G371,WholesaleExtract!B:L,11,FALSE),"")</f>
        <v/>
      </c>
      <c r="M371" s="47" t="str">
        <f>IFERROR(VLOOKUP(G371,WholesaleExtract!B:M,12,FALSE),"")</f>
        <v/>
      </c>
      <c r="N371" s="27"/>
      <c r="O371" s="19"/>
      <c r="P371" s="19"/>
      <c r="Q371" s="47"/>
      <c r="R371" s="19"/>
      <c r="S371" s="19"/>
    </row>
    <row r="372" spans="1:19" x14ac:dyDescent="0.35">
      <c r="A372" s="26" t="s">
        <v>543</v>
      </c>
      <c r="B372" s="26" t="s">
        <v>543</v>
      </c>
      <c r="C372" s="26"/>
      <c r="D372" s="26" t="s">
        <v>543</v>
      </c>
      <c r="E372" s="26" t="str">
        <f>IFERROR(VLOOKUP(G372,WholesaleExtract!B:J,9,FALSE),"")</f>
        <v/>
      </c>
      <c r="F372" s="26" t="str">
        <f>IFERROR(VLOOKUP(G372,WholesaleExtract!B:J,6,FALSE),"")</f>
        <v/>
      </c>
      <c r="G372" s="19"/>
      <c r="H372" s="47" t="str">
        <f>IFERROR(VLOOKUP(G372,WholesaleExtract!B:L,11,FALSE),"")</f>
        <v/>
      </c>
      <c r="I372" s="26" t="str">
        <f>IFERROR(VLOOKUP(G372,WholesaleExtract!B:O,8,FALSE),"")</f>
        <v/>
      </c>
      <c r="J372" s="26" t="str">
        <f>IFERROR(VLOOKUP(G372,WholesaleExtract!B:O,14,FALSE),"")</f>
        <v/>
      </c>
      <c r="K372" s="26" t="str">
        <f>IFERROR(VLOOKUP(G372,WholesaleExtract!B:K,10,FALSE),"")</f>
        <v/>
      </c>
      <c r="L372" s="47" t="str">
        <f>IFERROR(VLOOKUP(G372,WholesaleExtract!B:L,11,FALSE),"")</f>
        <v/>
      </c>
      <c r="M372" s="47" t="str">
        <f>IFERROR(VLOOKUP(G372,WholesaleExtract!B:M,12,FALSE),"")</f>
        <v/>
      </c>
      <c r="N372" s="27"/>
      <c r="O372" s="19"/>
      <c r="P372" s="19"/>
      <c r="Q372" s="47"/>
      <c r="R372" s="19"/>
      <c r="S372" s="19"/>
    </row>
    <row r="373" spans="1:19" x14ac:dyDescent="0.35">
      <c r="A373" s="26" t="s">
        <v>543</v>
      </c>
      <c r="B373" s="26" t="s">
        <v>543</v>
      </c>
      <c r="C373" s="26"/>
      <c r="D373" s="26" t="s">
        <v>543</v>
      </c>
      <c r="E373" s="26" t="str">
        <f>IFERROR(VLOOKUP(G373,WholesaleExtract!B:J,9,FALSE),"")</f>
        <v/>
      </c>
      <c r="F373" s="26" t="str">
        <f>IFERROR(VLOOKUP(G373,WholesaleExtract!B:J,6,FALSE),"")</f>
        <v/>
      </c>
      <c r="G373" s="19"/>
      <c r="H373" s="47" t="str">
        <f>IFERROR(VLOOKUP(G373,WholesaleExtract!B:L,11,FALSE),"")</f>
        <v/>
      </c>
      <c r="I373" s="26" t="str">
        <f>IFERROR(VLOOKUP(G373,WholesaleExtract!B:O,8,FALSE),"")</f>
        <v/>
      </c>
      <c r="J373" s="26" t="str">
        <f>IFERROR(VLOOKUP(G373,WholesaleExtract!B:O,14,FALSE),"")</f>
        <v/>
      </c>
      <c r="K373" s="26" t="str">
        <f>IFERROR(VLOOKUP(G373,WholesaleExtract!B:K,10,FALSE),"")</f>
        <v/>
      </c>
      <c r="L373" s="47" t="str">
        <f>IFERROR(VLOOKUP(G373,WholesaleExtract!B:L,11,FALSE),"")</f>
        <v/>
      </c>
      <c r="M373" s="47" t="str">
        <f>IFERROR(VLOOKUP(G373,WholesaleExtract!B:M,12,FALSE),"")</f>
        <v/>
      </c>
      <c r="N373" s="27"/>
      <c r="O373" s="19"/>
      <c r="P373" s="19"/>
      <c r="Q373" s="47"/>
      <c r="R373" s="19"/>
      <c r="S373" s="19"/>
    </row>
    <row r="374" spans="1:19" x14ac:dyDescent="0.35">
      <c r="A374" s="26" t="s">
        <v>543</v>
      </c>
      <c r="B374" s="26" t="s">
        <v>543</v>
      </c>
      <c r="C374" s="26"/>
      <c r="D374" s="26" t="s">
        <v>543</v>
      </c>
      <c r="E374" s="26" t="str">
        <f>IFERROR(VLOOKUP(G374,WholesaleExtract!B:J,9,FALSE),"")</f>
        <v/>
      </c>
      <c r="F374" s="26" t="str">
        <f>IFERROR(VLOOKUP(G374,WholesaleExtract!B:J,6,FALSE),"")</f>
        <v/>
      </c>
      <c r="G374" s="19"/>
      <c r="H374" s="47" t="str">
        <f>IFERROR(VLOOKUP(G374,WholesaleExtract!B:L,11,FALSE),"")</f>
        <v/>
      </c>
      <c r="I374" s="26" t="str">
        <f>IFERROR(VLOOKUP(G374,WholesaleExtract!B:O,8,FALSE),"")</f>
        <v/>
      </c>
      <c r="J374" s="26" t="str">
        <f>IFERROR(VLOOKUP(G374,WholesaleExtract!B:O,14,FALSE),"")</f>
        <v/>
      </c>
      <c r="K374" s="26" t="str">
        <f>IFERROR(VLOOKUP(G374,WholesaleExtract!B:K,10,FALSE),"")</f>
        <v/>
      </c>
      <c r="L374" s="47" t="str">
        <f>IFERROR(VLOOKUP(G374,WholesaleExtract!B:L,11,FALSE),"")</f>
        <v/>
      </c>
      <c r="M374" s="47" t="str">
        <f>IFERROR(VLOOKUP(G374,WholesaleExtract!B:M,12,FALSE),"")</f>
        <v/>
      </c>
      <c r="N374" s="27"/>
      <c r="O374" s="19"/>
      <c r="P374" s="19"/>
      <c r="Q374" s="47"/>
      <c r="R374" s="19"/>
      <c r="S374" s="19"/>
    </row>
    <row r="375" spans="1:19" x14ac:dyDescent="0.35">
      <c r="A375" s="26" t="s">
        <v>543</v>
      </c>
      <c r="B375" s="26" t="s">
        <v>543</v>
      </c>
      <c r="C375" s="26"/>
      <c r="D375" s="26" t="s">
        <v>543</v>
      </c>
      <c r="E375" s="26" t="str">
        <f>IFERROR(VLOOKUP(G375,WholesaleExtract!B:J,9,FALSE),"")</f>
        <v/>
      </c>
      <c r="F375" s="26" t="str">
        <f>IFERROR(VLOOKUP(G375,WholesaleExtract!B:J,6,FALSE),"")</f>
        <v/>
      </c>
      <c r="G375" s="19"/>
      <c r="H375" s="47" t="str">
        <f>IFERROR(VLOOKUP(G375,WholesaleExtract!B:L,11,FALSE),"")</f>
        <v/>
      </c>
      <c r="I375" s="26" t="str">
        <f>IFERROR(VLOOKUP(G375,WholesaleExtract!B:O,8,FALSE),"")</f>
        <v/>
      </c>
      <c r="J375" s="26" t="str">
        <f>IFERROR(VLOOKUP(G375,WholesaleExtract!B:O,14,FALSE),"")</f>
        <v/>
      </c>
      <c r="K375" s="26" t="str">
        <f>IFERROR(VLOOKUP(G375,WholesaleExtract!B:K,10,FALSE),"")</f>
        <v/>
      </c>
      <c r="L375" s="47" t="str">
        <f>IFERROR(VLOOKUP(G375,WholesaleExtract!B:L,11,FALSE),"")</f>
        <v/>
      </c>
      <c r="M375" s="47" t="str">
        <f>IFERROR(VLOOKUP(G375,WholesaleExtract!B:M,12,FALSE),"")</f>
        <v/>
      </c>
      <c r="N375" s="27"/>
      <c r="O375" s="19"/>
      <c r="P375" s="19"/>
      <c r="Q375" s="47"/>
      <c r="R375" s="19"/>
      <c r="S375" s="19"/>
    </row>
    <row r="376" spans="1:19" x14ac:dyDescent="0.35">
      <c r="A376" s="26" t="s">
        <v>543</v>
      </c>
      <c r="B376" s="26" t="s">
        <v>543</v>
      </c>
      <c r="C376" s="26"/>
      <c r="D376" s="26" t="s">
        <v>543</v>
      </c>
      <c r="E376" s="26" t="str">
        <f>IFERROR(VLOOKUP(G376,WholesaleExtract!B:J,9,FALSE),"")</f>
        <v/>
      </c>
      <c r="F376" s="26" t="str">
        <f>IFERROR(VLOOKUP(G376,WholesaleExtract!B:J,6,FALSE),"")</f>
        <v/>
      </c>
      <c r="G376" s="19"/>
      <c r="H376" s="47" t="str">
        <f>IFERROR(VLOOKUP(G376,WholesaleExtract!B:L,11,FALSE),"")</f>
        <v/>
      </c>
      <c r="I376" s="26" t="str">
        <f>IFERROR(VLOOKUP(G376,WholesaleExtract!B:O,8,FALSE),"")</f>
        <v/>
      </c>
      <c r="J376" s="26" t="str">
        <f>IFERROR(VLOOKUP(G376,WholesaleExtract!B:O,14,FALSE),"")</f>
        <v/>
      </c>
      <c r="K376" s="26" t="str">
        <f>IFERROR(VLOOKUP(G376,WholesaleExtract!B:K,10,FALSE),"")</f>
        <v/>
      </c>
      <c r="L376" s="47" t="str">
        <f>IFERROR(VLOOKUP(G376,WholesaleExtract!B:L,11,FALSE),"")</f>
        <v/>
      </c>
      <c r="M376" s="47" t="str">
        <f>IFERROR(VLOOKUP(G376,WholesaleExtract!B:M,12,FALSE),"")</f>
        <v/>
      </c>
      <c r="N376" s="27"/>
      <c r="O376" s="19"/>
      <c r="P376" s="19"/>
      <c r="Q376" s="47"/>
      <c r="R376" s="19"/>
      <c r="S376" s="19"/>
    </row>
    <row r="377" spans="1:19" x14ac:dyDescent="0.35">
      <c r="A377" s="26" t="s">
        <v>543</v>
      </c>
      <c r="B377" s="26" t="s">
        <v>543</v>
      </c>
      <c r="C377" s="26"/>
      <c r="D377" s="26" t="s">
        <v>543</v>
      </c>
      <c r="E377" s="26" t="str">
        <f>IFERROR(VLOOKUP(G377,WholesaleExtract!B:J,9,FALSE),"")</f>
        <v/>
      </c>
      <c r="F377" s="26" t="str">
        <f>IFERROR(VLOOKUP(G377,WholesaleExtract!B:J,6,FALSE),"")</f>
        <v/>
      </c>
      <c r="G377" s="19"/>
      <c r="H377" s="47" t="str">
        <f>IFERROR(VLOOKUP(G377,WholesaleExtract!B:L,11,FALSE),"")</f>
        <v/>
      </c>
      <c r="I377" s="26" t="str">
        <f>IFERROR(VLOOKUP(G377,WholesaleExtract!B:O,8,FALSE),"")</f>
        <v/>
      </c>
      <c r="J377" s="26" t="str">
        <f>IFERROR(VLOOKUP(G377,WholesaleExtract!B:O,14,FALSE),"")</f>
        <v/>
      </c>
      <c r="K377" s="26" t="str">
        <f>IFERROR(VLOOKUP(G377,WholesaleExtract!B:K,10,FALSE),"")</f>
        <v/>
      </c>
      <c r="L377" s="47" t="str">
        <f>IFERROR(VLOOKUP(G377,WholesaleExtract!B:L,11,FALSE),"")</f>
        <v/>
      </c>
      <c r="M377" s="47" t="str">
        <f>IFERROR(VLOOKUP(G377,WholesaleExtract!B:M,12,FALSE),"")</f>
        <v/>
      </c>
      <c r="N377" s="27"/>
      <c r="O377" s="19"/>
      <c r="P377" s="19"/>
      <c r="Q377" s="47"/>
      <c r="R377" s="19"/>
      <c r="S377" s="19"/>
    </row>
    <row r="378" spans="1:19" x14ac:dyDescent="0.35">
      <c r="A378" s="26" t="s">
        <v>543</v>
      </c>
      <c r="B378" s="26" t="s">
        <v>543</v>
      </c>
      <c r="C378" s="26"/>
      <c r="D378" s="26" t="s">
        <v>543</v>
      </c>
      <c r="E378" s="26" t="str">
        <f>IFERROR(VLOOKUP(G378,WholesaleExtract!B:J,9,FALSE),"")</f>
        <v/>
      </c>
      <c r="F378" s="26" t="str">
        <f>IFERROR(VLOOKUP(G378,WholesaleExtract!B:J,6,FALSE),"")</f>
        <v/>
      </c>
      <c r="G378" s="19"/>
      <c r="H378" s="47" t="str">
        <f>IFERROR(VLOOKUP(G378,WholesaleExtract!B:L,11,FALSE),"")</f>
        <v/>
      </c>
      <c r="I378" s="26" t="str">
        <f>IFERROR(VLOOKUP(G378,WholesaleExtract!B:O,8,FALSE),"")</f>
        <v/>
      </c>
      <c r="J378" s="26" t="str">
        <f>IFERROR(VLOOKUP(G378,WholesaleExtract!B:O,14,FALSE),"")</f>
        <v/>
      </c>
      <c r="K378" s="26" t="str">
        <f>IFERROR(VLOOKUP(G378,WholesaleExtract!B:K,10,FALSE),"")</f>
        <v/>
      </c>
      <c r="L378" s="47" t="str">
        <f>IFERROR(VLOOKUP(G378,WholesaleExtract!B:L,11,FALSE),"")</f>
        <v/>
      </c>
      <c r="M378" s="47" t="str">
        <f>IFERROR(VLOOKUP(G378,WholesaleExtract!B:M,12,FALSE),"")</f>
        <v/>
      </c>
      <c r="N378" s="27"/>
      <c r="O378" s="19"/>
      <c r="P378" s="19"/>
      <c r="Q378" s="47"/>
      <c r="R378" s="19"/>
      <c r="S378" s="19"/>
    </row>
    <row r="379" spans="1:19" x14ac:dyDescent="0.35">
      <c r="A379" s="26" t="s">
        <v>543</v>
      </c>
      <c r="B379" s="26" t="s">
        <v>543</v>
      </c>
      <c r="C379" s="26"/>
      <c r="D379" s="26" t="s">
        <v>543</v>
      </c>
      <c r="E379" s="26" t="str">
        <f>IFERROR(VLOOKUP(G379,WholesaleExtract!B:J,9,FALSE),"")</f>
        <v/>
      </c>
      <c r="F379" s="26" t="str">
        <f>IFERROR(VLOOKUP(G379,WholesaleExtract!B:J,6,FALSE),"")</f>
        <v/>
      </c>
      <c r="G379" s="19"/>
      <c r="H379" s="47" t="str">
        <f>IFERROR(VLOOKUP(G379,WholesaleExtract!B:L,11,FALSE),"")</f>
        <v/>
      </c>
      <c r="I379" s="26" t="str">
        <f>IFERROR(VLOOKUP(G379,WholesaleExtract!B:O,8,FALSE),"")</f>
        <v/>
      </c>
      <c r="J379" s="26" t="str">
        <f>IFERROR(VLOOKUP(G379,WholesaleExtract!B:O,14,FALSE),"")</f>
        <v/>
      </c>
      <c r="K379" s="26" t="str">
        <f>IFERROR(VLOOKUP(G379,WholesaleExtract!B:K,10,FALSE),"")</f>
        <v/>
      </c>
      <c r="L379" s="47" t="str">
        <f>IFERROR(VLOOKUP(G379,WholesaleExtract!B:L,11,FALSE),"")</f>
        <v/>
      </c>
      <c r="M379" s="47" t="str">
        <f>IFERROR(VLOOKUP(G379,WholesaleExtract!B:M,12,FALSE),"")</f>
        <v/>
      </c>
      <c r="N379" s="27"/>
      <c r="O379" s="19"/>
      <c r="P379" s="19"/>
      <c r="Q379" s="47"/>
      <c r="R379" s="19"/>
      <c r="S379" s="19"/>
    </row>
    <row r="380" spans="1:19" x14ac:dyDescent="0.35">
      <c r="A380" s="26" t="s">
        <v>543</v>
      </c>
      <c r="B380" s="26" t="s">
        <v>543</v>
      </c>
      <c r="C380" s="26"/>
      <c r="D380" s="26" t="s">
        <v>543</v>
      </c>
      <c r="E380" s="26" t="str">
        <f>IFERROR(VLOOKUP(G380,WholesaleExtract!B:J,9,FALSE),"")</f>
        <v/>
      </c>
      <c r="F380" s="26" t="str">
        <f>IFERROR(VLOOKUP(G380,WholesaleExtract!B:J,6,FALSE),"")</f>
        <v/>
      </c>
      <c r="G380" s="19"/>
      <c r="H380" s="47" t="str">
        <f>IFERROR(VLOOKUP(G380,WholesaleExtract!B:L,11,FALSE),"")</f>
        <v/>
      </c>
      <c r="I380" s="26" t="str">
        <f>IFERROR(VLOOKUP(G380,WholesaleExtract!B:O,8,FALSE),"")</f>
        <v/>
      </c>
      <c r="J380" s="26" t="str">
        <f>IFERROR(VLOOKUP(G380,WholesaleExtract!B:O,14,FALSE),"")</f>
        <v/>
      </c>
      <c r="K380" s="26" t="str">
        <f>IFERROR(VLOOKUP(G380,WholesaleExtract!B:K,10,FALSE),"")</f>
        <v/>
      </c>
      <c r="L380" s="47" t="str">
        <f>IFERROR(VLOOKUP(G380,WholesaleExtract!B:L,11,FALSE),"")</f>
        <v/>
      </c>
      <c r="M380" s="47" t="str">
        <f>IFERROR(VLOOKUP(G380,WholesaleExtract!B:M,12,FALSE),"")</f>
        <v/>
      </c>
      <c r="N380" s="27"/>
      <c r="O380" s="19"/>
      <c r="P380" s="19"/>
      <c r="Q380" s="47"/>
      <c r="R380" s="19"/>
      <c r="S380" s="19"/>
    </row>
    <row r="381" spans="1:19" x14ac:dyDescent="0.35">
      <c r="A381" s="26" t="s">
        <v>543</v>
      </c>
      <c r="B381" s="26" t="s">
        <v>543</v>
      </c>
      <c r="C381" s="26"/>
      <c r="D381" s="26" t="s">
        <v>543</v>
      </c>
      <c r="E381" s="26" t="str">
        <f>IFERROR(VLOOKUP(G381,WholesaleExtract!B:J,9,FALSE),"")</f>
        <v/>
      </c>
      <c r="F381" s="26" t="str">
        <f>IFERROR(VLOOKUP(G381,WholesaleExtract!B:J,6,FALSE),"")</f>
        <v/>
      </c>
      <c r="G381" s="19"/>
      <c r="H381" s="47" t="str">
        <f>IFERROR(VLOOKUP(G381,WholesaleExtract!B:L,11,FALSE),"")</f>
        <v/>
      </c>
      <c r="I381" s="26" t="str">
        <f>IFERROR(VLOOKUP(G381,WholesaleExtract!B:O,8,FALSE),"")</f>
        <v/>
      </c>
      <c r="J381" s="26" t="str">
        <f>IFERROR(VLOOKUP(G381,WholesaleExtract!B:O,14,FALSE),"")</f>
        <v/>
      </c>
      <c r="K381" s="26" t="str">
        <f>IFERROR(VLOOKUP(G381,WholesaleExtract!B:K,10,FALSE),"")</f>
        <v/>
      </c>
      <c r="L381" s="47" t="str">
        <f>IFERROR(VLOOKUP(G381,WholesaleExtract!B:L,11,FALSE),"")</f>
        <v/>
      </c>
      <c r="M381" s="47" t="str">
        <f>IFERROR(VLOOKUP(G381,WholesaleExtract!B:M,12,FALSE),"")</f>
        <v/>
      </c>
      <c r="N381" s="27"/>
      <c r="O381" s="19"/>
      <c r="P381" s="19"/>
      <c r="Q381" s="47"/>
      <c r="R381" s="19"/>
      <c r="S381" s="19"/>
    </row>
    <row r="382" spans="1:19" x14ac:dyDescent="0.35">
      <c r="A382" s="26" t="s">
        <v>543</v>
      </c>
      <c r="B382" s="26" t="s">
        <v>543</v>
      </c>
      <c r="C382" s="26"/>
      <c r="D382" s="26" t="s">
        <v>543</v>
      </c>
      <c r="E382" s="26" t="str">
        <f>IFERROR(VLOOKUP(G382,WholesaleExtract!B:J,9,FALSE),"")</f>
        <v/>
      </c>
      <c r="F382" s="26" t="str">
        <f>IFERROR(VLOOKUP(G382,WholesaleExtract!B:J,6,FALSE),"")</f>
        <v/>
      </c>
      <c r="G382" s="19"/>
      <c r="H382" s="47" t="str">
        <f>IFERROR(VLOOKUP(G382,WholesaleExtract!B:L,11,FALSE),"")</f>
        <v/>
      </c>
      <c r="I382" s="26" t="str">
        <f>IFERROR(VLOOKUP(G382,WholesaleExtract!B:O,8,FALSE),"")</f>
        <v/>
      </c>
      <c r="J382" s="26" t="str">
        <f>IFERROR(VLOOKUP(G382,WholesaleExtract!B:O,14,FALSE),"")</f>
        <v/>
      </c>
      <c r="K382" s="26" t="str">
        <f>IFERROR(VLOOKUP(G382,WholesaleExtract!B:K,10,FALSE),"")</f>
        <v/>
      </c>
      <c r="L382" s="47" t="str">
        <f>IFERROR(VLOOKUP(G382,WholesaleExtract!B:L,11,FALSE),"")</f>
        <v/>
      </c>
      <c r="M382" s="47" t="str">
        <f>IFERROR(VLOOKUP(G382,WholesaleExtract!B:M,12,FALSE),"")</f>
        <v/>
      </c>
      <c r="N382" s="27"/>
      <c r="O382" s="19"/>
      <c r="P382" s="19"/>
      <c r="Q382" s="47"/>
      <c r="R382" s="19"/>
      <c r="S382" s="19"/>
    </row>
    <row r="383" spans="1:19" x14ac:dyDescent="0.35">
      <c r="A383" s="26" t="s">
        <v>543</v>
      </c>
      <c r="B383" s="26" t="s">
        <v>543</v>
      </c>
      <c r="C383" s="26"/>
      <c r="D383" s="26" t="s">
        <v>543</v>
      </c>
      <c r="E383" s="26" t="str">
        <f>IFERROR(VLOOKUP(G383,WholesaleExtract!B:J,9,FALSE),"")</f>
        <v/>
      </c>
      <c r="F383" s="26" t="str">
        <f>IFERROR(VLOOKUP(G383,WholesaleExtract!B:J,6,FALSE),"")</f>
        <v/>
      </c>
      <c r="G383" s="19"/>
      <c r="H383" s="47" t="str">
        <f>IFERROR(VLOOKUP(G383,WholesaleExtract!B:L,11,FALSE),"")</f>
        <v/>
      </c>
      <c r="I383" s="26" t="str">
        <f>IFERROR(VLOOKUP(G383,WholesaleExtract!B:O,8,FALSE),"")</f>
        <v/>
      </c>
      <c r="J383" s="26" t="str">
        <f>IFERROR(VLOOKUP(G383,WholesaleExtract!B:O,14,FALSE),"")</f>
        <v/>
      </c>
      <c r="K383" s="26" t="str">
        <f>IFERROR(VLOOKUP(G383,WholesaleExtract!B:K,10,FALSE),"")</f>
        <v/>
      </c>
      <c r="L383" s="47" t="str">
        <f>IFERROR(VLOOKUP(G383,WholesaleExtract!B:L,11,FALSE),"")</f>
        <v/>
      </c>
      <c r="M383" s="47" t="str">
        <f>IFERROR(VLOOKUP(G383,WholesaleExtract!B:M,12,FALSE),"")</f>
        <v/>
      </c>
      <c r="N383" s="27"/>
      <c r="O383" s="19"/>
      <c r="P383" s="19"/>
      <c r="Q383" s="47"/>
      <c r="R383" s="19"/>
      <c r="S383" s="19"/>
    </row>
    <row r="384" spans="1:19" x14ac:dyDescent="0.35">
      <c r="A384" s="26" t="s">
        <v>543</v>
      </c>
      <c r="B384" s="26" t="s">
        <v>543</v>
      </c>
      <c r="C384" s="26"/>
      <c r="D384" s="26" t="s">
        <v>543</v>
      </c>
      <c r="E384" s="26" t="str">
        <f>IFERROR(VLOOKUP(G384,WholesaleExtract!B:J,9,FALSE),"")</f>
        <v/>
      </c>
      <c r="F384" s="26" t="str">
        <f>IFERROR(VLOOKUP(G384,WholesaleExtract!B:J,6,FALSE),"")</f>
        <v/>
      </c>
      <c r="G384" s="58"/>
      <c r="H384" s="47" t="str">
        <f>IFERROR(VLOOKUP(G384,WholesaleExtract!B:L,11,FALSE),"")</f>
        <v/>
      </c>
      <c r="I384" s="26" t="str">
        <f>IFERROR(VLOOKUP(G384,WholesaleExtract!B:O,8,FALSE),"")</f>
        <v/>
      </c>
      <c r="J384" s="26" t="str">
        <f>IFERROR(VLOOKUP(G384,WholesaleExtract!B:O,14,FALSE),"")</f>
        <v/>
      </c>
      <c r="K384" s="26" t="str">
        <f>IFERROR(VLOOKUP(G384,WholesaleExtract!B:K,10,FALSE),"")</f>
        <v/>
      </c>
      <c r="L384" s="47" t="str">
        <f>IFERROR(VLOOKUP(G384,WholesaleExtract!B:L,11,FALSE),"")</f>
        <v/>
      </c>
      <c r="M384" s="47" t="str">
        <f>IFERROR(VLOOKUP(G384,WholesaleExtract!B:M,12,FALSE),"")</f>
        <v/>
      </c>
      <c r="N384" s="27"/>
      <c r="O384" s="19"/>
      <c r="P384" s="19"/>
      <c r="Q384" s="47"/>
      <c r="R384" s="19"/>
      <c r="S384" s="19"/>
    </row>
    <row r="385" spans="1:19" x14ac:dyDescent="0.35">
      <c r="A385" s="26" t="s">
        <v>543</v>
      </c>
      <c r="B385" s="26" t="s">
        <v>543</v>
      </c>
      <c r="C385" s="26"/>
      <c r="D385" s="26" t="s">
        <v>543</v>
      </c>
      <c r="E385" s="26" t="str">
        <f>IFERROR(VLOOKUP(G385,WholesaleExtract!B:J,9,FALSE),"")</f>
        <v/>
      </c>
      <c r="F385" s="26" t="str">
        <f>IFERROR(VLOOKUP(G385,WholesaleExtract!B:J,6,FALSE),"")</f>
        <v/>
      </c>
      <c r="G385" s="19"/>
      <c r="H385" s="47" t="str">
        <f>IFERROR(VLOOKUP(G385,WholesaleExtract!B:L,11,FALSE),"")</f>
        <v/>
      </c>
      <c r="I385" s="26" t="str">
        <f>IFERROR(VLOOKUP(G385,WholesaleExtract!B:O,8,FALSE),"")</f>
        <v/>
      </c>
      <c r="J385" s="26" t="str">
        <f>IFERROR(VLOOKUP(G385,WholesaleExtract!B:O,14,FALSE),"")</f>
        <v/>
      </c>
      <c r="K385" s="26" t="str">
        <f>IFERROR(VLOOKUP(G385,WholesaleExtract!B:K,10,FALSE),"")</f>
        <v/>
      </c>
      <c r="L385" s="47" t="str">
        <f>IFERROR(VLOOKUP(G385,WholesaleExtract!B:L,11,FALSE),"")</f>
        <v/>
      </c>
      <c r="M385" s="47" t="str">
        <f>IFERROR(VLOOKUP(G385,WholesaleExtract!B:M,12,FALSE),"")</f>
        <v/>
      </c>
      <c r="N385" s="27"/>
      <c r="O385" s="19"/>
      <c r="P385" s="19"/>
      <c r="Q385" s="47"/>
      <c r="R385" s="19"/>
      <c r="S385" s="19"/>
    </row>
    <row r="386" spans="1:19" x14ac:dyDescent="0.35">
      <c r="A386" s="26" t="s">
        <v>543</v>
      </c>
      <c r="B386" s="26" t="s">
        <v>543</v>
      </c>
      <c r="C386" s="26"/>
      <c r="D386" s="26" t="s">
        <v>543</v>
      </c>
      <c r="E386" s="26" t="str">
        <f>IFERROR(VLOOKUP(G386,WholesaleExtract!B:J,9,FALSE),"")</f>
        <v/>
      </c>
      <c r="F386" s="26" t="str">
        <f>IFERROR(VLOOKUP(G386,WholesaleExtract!B:J,6,FALSE),"")</f>
        <v/>
      </c>
      <c r="G386" s="19"/>
      <c r="H386" s="47" t="str">
        <f>IFERROR(VLOOKUP(G386,WholesaleExtract!B:L,11,FALSE),"")</f>
        <v/>
      </c>
      <c r="I386" s="26" t="str">
        <f>IFERROR(VLOOKUP(G386,WholesaleExtract!B:O,8,FALSE),"")</f>
        <v/>
      </c>
      <c r="J386" s="26" t="str">
        <f>IFERROR(VLOOKUP(G386,WholesaleExtract!B:O,14,FALSE),"")</f>
        <v/>
      </c>
      <c r="K386" s="26" t="str">
        <f>IFERROR(VLOOKUP(G386,WholesaleExtract!B:K,10,FALSE),"")</f>
        <v/>
      </c>
      <c r="L386" s="47" t="str">
        <f>IFERROR(VLOOKUP(G386,WholesaleExtract!B:L,11,FALSE),"")</f>
        <v/>
      </c>
      <c r="M386" s="47" t="str">
        <f>IFERROR(VLOOKUP(G386,WholesaleExtract!B:M,12,FALSE),"")</f>
        <v/>
      </c>
      <c r="N386" s="27"/>
      <c r="O386" s="19"/>
      <c r="P386" s="19"/>
      <c r="Q386" s="47"/>
      <c r="R386" s="19"/>
      <c r="S386" s="19"/>
    </row>
    <row r="387" spans="1:19" x14ac:dyDescent="0.35">
      <c r="A387" s="26" t="s">
        <v>543</v>
      </c>
      <c r="B387" s="26" t="s">
        <v>543</v>
      </c>
      <c r="C387" s="26"/>
      <c r="D387" s="26" t="s">
        <v>543</v>
      </c>
      <c r="E387" s="26" t="str">
        <f>IFERROR(VLOOKUP(G387,WholesaleExtract!B:J,9,FALSE),"")</f>
        <v/>
      </c>
      <c r="F387" s="26" t="str">
        <f>IFERROR(VLOOKUP(G387,WholesaleExtract!B:J,6,FALSE),"")</f>
        <v/>
      </c>
      <c r="G387" s="19"/>
      <c r="H387" s="47" t="str">
        <f>IFERROR(VLOOKUP(G387,WholesaleExtract!B:L,11,FALSE),"")</f>
        <v/>
      </c>
      <c r="I387" s="26" t="str">
        <f>IFERROR(VLOOKUP(G387,WholesaleExtract!B:O,8,FALSE),"")</f>
        <v/>
      </c>
      <c r="J387" s="26" t="str">
        <f>IFERROR(VLOOKUP(G387,WholesaleExtract!B:O,14,FALSE),"")</f>
        <v/>
      </c>
      <c r="K387" s="26" t="str">
        <f>IFERROR(VLOOKUP(G387,WholesaleExtract!B:K,10,FALSE),"")</f>
        <v/>
      </c>
      <c r="L387" s="47" t="str">
        <f>IFERROR(VLOOKUP(G387,WholesaleExtract!B:L,11,FALSE),"")</f>
        <v/>
      </c>
      <c r="M387" s="47" t="str">
        <f>IFERROR(VLOOKUP(G387,WholesaleExtract!B:M,12,FALSE),"")</f>
        <v/>
      </c>
      <c r="N387" s="27"/>
      <c r="O387" s="19"/>
      <c r="P387" s="19"/>
      <c r="Q387" s="47"/>
      <c r="R387" s="19"/>
      <c r="S387" s="19"/>
    </row>
    <row r="388" spans="1:19" x14ac:dyDescent="0.35">
      <c r="A388" s="26" t="s">
        <v>543</v>
      </c>
      <c r="B388" s="26" t="s">
        <v>543</v>
      </c>
      <c r="C388" s="26"/>
      <c r="D388" s="26" t="s">
        <v>543</v>
      </c>
      <c r="E388" s="26" t="str">
        <f>IFERROR(VLOOKUP(G388,WholesaleExtract!B:J,9,FALSE),"")</f>
        <v/>
      </c>
      <c r="F388" s="26" t="str">
        <f>IFERROR(VLOOKUP(G388,WholesaleExtract!B:J,6,FALSE),"")</f>
        <v/>
      </c>
      <c r="G388" s="19"/>
      <c r="H388" s="47" t="str">
        <f>IFERROR(VLOOKUP(G388,WholesaleExtract!B:L,11,FALSE),"")</f>
        <v/>
      </c>
      <c r="I388" s="26" t="str">
        <f>IFERROR(VLOOKUP(G388,WholesaleExtract!B:O,8,FALSE),"")</f>
        <v/>
      </c>
      <c r="J388" s="26" t="str">
        <f>IFERROR(VLOOKUP(G388,WholesaleExtract!B:O,14,FALSE),"")</f>
        <v/>
      </c>
      <c r="K388" s="26" t="str">
        <f>IFERROR(VLOOKUP(G388,WholesaleExtract!B:K,10,FALSE),"")</f>
        <v/>
      </c>
      <c r="L388" s="47" t="str">
        <f>IFERROR(VLOOKUP(G388,WholesaleExtract!B:L,11,FALSE),"")</f>
        <v/>
      </c>
      <c r="M388" s="47" t="str">
        <f>IFERROR(VLOOKUP(G388,WholesaleExtract!B:M,12,FALSE),"")</f>
        <v/>
      </c>
      <c r="N388" s="27"/>
      <c r="O388" s="19"/>
      <c r="P388" s="19"/>
      <c r="Q388" s="47"/>
      <c r="R388" s="19"/>
      <c r="S388" s="19"/>
    </row>
    <row r="389" spans="1:19" x14ac:dyDescent="0.35">
      <c r="A389" s="26" t="s">
        <v>543</v>
      </c>
      <c r="B389" s="26" t="s">
        <v>543</v>
      </c>
      <c r="C389" s="26"/>
      <c r="D389" s="26" t="s">
        <v>543</v>
      </c>
      <c r="E389" s="26" t="str">
        <f>IFERROR(VLOOKUP(G389,WholesaleExtract!B:J,9,FALSE),"")</f>
        <v/>
      </c>
      <c r="F389" s="26" t="str">
        <f>IFERROR(VLOOKUP(G389,WholesaleExtract!B:J,6,FALSE),"")</f>
        <v/>
      </c>
      <c r="G389" s="19"/>
      <c r="H389" s="47" t="str">
        <f>IFERROR(VLOOKUP(G389,WholesaleExtract!B:L,11,FALSE),"")</f>
        <v/>
      </c>
      <c r="I389" s="26" t="str">
        <f>IFERROR(VLOOKUP(G389,WholesaleExtract!B:O,8,FALSE),"")</f>
        <v/>
      </c>
      <c r="J389" s="26" t="str">
        <f>IFERROR(VLOOKUP(G389,WholesaleExtract!B:O,14,FALSE),"")</f>
        <v/>
      </c>
      <c r="K389" s="26" t="str">
        <f>IFERROR(VLOOKUP(G389,WholesaleExtract!B:K,10,FALSE),"")</f>
        <v/>
      </c>
      <c r="L389" s="47" t="str">
        <f>IFERROR(VLOOKUP(G389,WholesaleExtract!B:L,11,FALSE),"")</f>
        <v/>
      </c>
      <c r="M389" s="47" t="str">
        <f>IFERROR(VLOOKUP(G389,WholesaleExtract!B:M,12,FALSE),"")</f>
        <v/>
      </c>
      <c r="N389" s="27"/>
      <c r="O389" s="19"/>
      <c r="P389" s="19"/>
      <c r="Q389" s="47"/>
      <c r="R389" s="19"/>
      <c r="S389" s="19"/>
    </row>
    <row r="390" spans="1:19" x14ac:dyDescent="0.35">
      <c r="A390" s="26" t="s">
        <v>543</v>
      </c>
      <c r="B390" s="26" t="s">
        <v>543</v>
      </c>
      <c r="C390" s="26"/>
      <c r="D390" s="26" t="s">
        <v>543</v>
      </c>
      <c r="E390" s="26" t="str">
        <f>IFERROR(VLOOKUP(G390,WholesaleExtract!B:J,9,FALSE),"")</f>
        <v/>
      </c>
      <c r="F390" s="26" t="str">
        <f>IFERROR(VLOOKUP(G390,WholesaleExtract!B:J,6,FALSE),"")</f>
        <v/>
      </c>
      <c r="G390" s="19"/>
      <c r="H390" s="47" t="str">
        <f>IFERROR(VLOOKUP(G390,WholesaleExtract!B:L,11,FALSE),"")</f>
        <v/>
      </c>
      <c r="I390" s="26" t="str">
        <f>IFERROR(VLOOKUP(G390,WholesaleExtract!B:O,8,FALSE),"")</f>
        <v/>
      </c>
      <c r="J390" s="26" t="str">
        <f>IFERROR(VLOOKUP(G390,WholesaleExtract!B:O,14,FALSE),"")</f>
        <v/>
      </c>
      <c r="K390" s="26" t="str">
        <f>IFERROR(VLOOKUP(G390,WholesaleExtract!B:K,10,FALSE),"")</f>
        <v/>
      </c>
      <c r="L390" s="47" t="str">
        <f>IFERROR(VLOOKUP(G390,WholesaleExtract!B:L,11,FALSE),"")</f>
        <v/>
      </c>
      <c r="M390" s="47" t="str">
        <f>IFERROR(VLOOKUP(G390,WholesaleExtract!B:M,12,FALSE),"")</f>
        <v/>
      </c>
      <c r="N390" s="27"/>
      <c r="O390" s="19"/>
      <c r="P390" s="19"/>
      <c r="Q390" s="47"/>
      <c r="R390" s="19"/>
      <c r="S390" s="19"/>
    </row>
    <row r="391" spans="1:19" x14ac:dyDescent="0.35">
      <c r="A391" s="26" t="s">
        <v>543</v>
      </c>
      <c r="B391" s="26" t="s">
        <v>543</v>
      </c>
      <c r="C391" s="26"/>
      <c r="D391" s="26" t="s">
        <v>543</v>
      </c>
      <c r="E391" s="26" t="str">
        <f>IFERROR(VLOOKUP(G391,WholesaleExtract!B:J,9,FALSE),"")</f>
        <v/>
      </c>
      <c r="F391" s="26" t="str">
        <f>IFERROR(VLOOKUP(G391,WholesaleExtract!B:J,6,FALSE),"")</f>
        <v/>
      </c>
      <c r="G391" s="19"/>
      <c r="H391" s="47" t="str">
        <f>IFERROR(VLOOKUP(G391,WholesaleExtract!B:L,11,FALSE),"")</f>
        <v/>
      </c>
      <c r="I391" s="26" t="str">
        <f>IFERROR(VLOOKUP(G391,WholesaleExtract!B:O,8,FALSE),"")</f>
        <v/>
      </c>
      <c r="J391" s="26" t="str">
        <f>IFERROR(VLOOKUP(G391,WholesaleExtract!B:O,14,FALSE),"")</f>
        <v/>
      </c>
      <c r="K391" s="26" t="str">
        <f>IFERROR(VLOOKUP(G391,WholesaleExtract!B:K,10,FALSE),"")</f>
        <v/>
      </c>
      <c r="L391" s="47" t="str">
        <f>IFERROR(VLOOKUP(G391,WholesaleExtract!B:L,11,FALSE),"")</f>
        <v/>
      </c>
      <c r="M391" s="47" t="str">
        <f>IFERROR(VLOOKUP(G391,WholesaleExtract!B:M,12,FALSE),"")</f>
        <v/>
      </c>
      <c r="N391" s="27"/>
      <c r="O391" s="19"/>
      <c r="P391" s="19"/>
      <c r="Q391" s="47"/>
      <c r="R391" s="19"/>
      <c r="S391" s="19"/>
    </row>
    <row r="392" spans="1:19" x14ac:dyDescent="0.35">
      <c r="A392" s="26" t="s">
        <v>543</v>
      </c>
      <c r="B392" s="26" t="s">
        <v>543</v>
      </c>
      <c r="C392" s="26"/>
      <c r="D392" s="26" t="s">
        <v>543</v>
      </c>
      <c r="E392" s="26" t="str">
        <f>IFERROR(VLOOKUP(G392,WholesaleExtract!B:J,9,FALSE),"")</f>
        <v/>
      </c>
      <c r="F392" s="26" t="str">
        <f>IFERROR(VLOOKUP(G392,WholesaleExtract!B:J,6,FALSE),"")</f>
        <v/>
      </c>
      <c r="G392" s="19"/>
      <c r="H392" s="47" t="str">
        <f>IFERROR(VLOOKUP(G392,WholesaleExtract!B:L,11,FALSE),"")</f>
        <v/>
      </c>
      <c r="I392" s="26" t="str">
        <f>IFERROR(VLOOKUP(G392,WholesaleExtract!B:O,8,FALSE),"")</f>
        <v/>
      </c>
      <c r="J392" s="26" t="str">
        <f>IFERROR(VLOOKUP(G392,WholesaleExtract!B:O,14,FALSE),"")</f>
        <v/>
      </c>
      <c r="K392" s="26" t="str">
        <f>IFERROR(VLOOKUP(G392,WholesaleExtract!B:K,10,FALSE),"")</f>
        <v/>
      </c>
      <c r="L392" s="47" t="str">
        <f>IFERROR(VLOOKUP(G392,WholesaleExtract!B:L,11,FALSE),"")</f>
        <v/>
      </c>
      <c r="M392" s="47" t="str">
        <f>IFERROR(VLOOKUP(G392,WholesaleExtract!B:M,12,FALSE),"")</f>
        <v/>
      </c>
      <c r="N392" s="27"/>
      <c r="O392" s="19"/>
      <c r="P392" s="19"/>
      <c r="Q392" s="47"/>
      <c r="R392" s="19"/>
      <c r="S392" s="19"/>
    </row>
    <row r="393" spans="1:19" x14ac:dyDescent="0.35">
      <c r="A393" s="26" t="s">
        <v>543</v>
      </c>
      <c r="B393" s="26" t="s">
        <v>543</v>
      </c>
      <c r="C393" s="26"/>
      <c r="D393" s="26" t="s">
        <v>543</v>
      </c>
      <c r="E393" s="26" t="str">
        <f>IFERROR(VLOOKUP(G393,WholesaleExtract!B:J,9,FALSE),"")</f>
        <v/>
      </c>
      <c r="F393" s="26" t="str">
        <f>IFERROR(VLOOKUP(G393,WholesaleExtract!B:J,6,FALSE),"")</f>
        <v/>
      </c>
      <c r="G393" s="19"/>
      <c r="H393" s="47" t="str">
        <f>IFERROR(VLOOKUP(G393,WholesaleExtract!B:L,11,FALSE),"")</f>
        <v/>
      </c>
      <c r="I393" s="26" t="str">
        <f>IFERROR(VLOOKUP(G393,WholesaleExtract!B:O,8,FALSE),"")</f>
        <v/>
      </c>
      <c r="J393" s="26" t="str">
        <f>IFERROR(VLOOKUP(G393,WholesaleExtract!B:O,14,FALSE),"")</f>
        <v/>
      </c>
      <c r="K393" s="26" t="str">
        <f>IFERROR(VLOOKUP(G393,WholesaleExtract!B:K,10,FALSE),"")</f>
        <v/>
      </c>
      <c r="L393" s="47" t="str">
        <f>IFERROR(VLOOKUP(G393,WholesaleExtract!B:L,11,FALSE),"")</f>
        <v/>
      </c>
      <c r="M393" s="47" t="str">
        <f>IFERROR(VLOOKUP(G393,WholesaleExtract!B:M,12,FALSE),"")</f>
        <v/>
      </c>
      <c r="N393" s="27"/>
      <c r="O393" s="19"/>
      <c r="P393" s="19"/>
      <c r="Q393" s="47"/>
      <c r="R393" s="19"/>
      <c r="S393" s="19"/>
    </row>
    <row r="394" spans="1:19" x14ac:dyDescent="0.35">
      <c r="A394" s="26" t="s">
        <v>543</v>
      </c>
      <c r="B394" s="26" t="s">
        <v>543</v>
      </c>
      <c r="C394" s="26"/>
      <c r="D394" s="26" t="s">
        <v>543</v>
      </c>
      <c r="E394" s="26" t="str">
        <f>IFERROR(VLOOKUP(G394,WholesaleExtract!B:J,9,FALSE),"")</f>
        <v/>
      </c>
      <c r="F394" s="26" t="str">
        <f>IFERROR(VLOOKUP(G394,WholesaleExtract!B:J,6,FALSE),"")</f>
        <v/>
      </c>
      <c r="G394" s="19"/>
      <c r="H394" s="47" t="str">
        <f>IFERROR(VLOOKUP(G394,WholesaleExtract!B:L,11,FALSE),"")</f>
        <v/>
      </c>
      <c r="I394" s="26" t="str">
        <f>IFERROR(VLOOKUP(G394,WholesaleExtract!B:O,8,FALSE),"")</f>
        <v/>
      </c>
      <c r="J394" s="26" t="str">
        <f>IFERROR(VLOOKUP(G394,WholesaleExtract!B:O,14,FALSE),"")</f>
        <v/>
      </c>
      <c r="K394" s="26" t="str">
        <f>IFERROR(VLOOKUP(G394,WholesaleExtract!B:K,10,FALSE),"")</f>
        <v/>
      </c>
      <c r="L394" s="47" t="str">
        <f>IFERROR(VLOOKUP(G394,WholesaleExtract!B:L,11,FALSE),"")</f>
        <v/>
      </c>
      <c r="M394" s="47" t="str">
        <f>IFERROR(VLOOKUP(G394,WholesaleExtract!B:M,12,FALSE),"")</f>
        <v/>
      </c>
      <c r="N394" s="27"/>
      <c r="O394" s="19"/>
      <c r="P394" s="19"/>
      <c r="Q394" s="47"/>
      <c r="R394" s="19"/>
      <c r="S394" s="19"/>
    </row>
    <row r="395" spans="1:19" x14ac:dyDescent="0.35">
      <c r="A395" s="26" t="s">
        <v>543</v>
      </c>
      <c r="B395" s="26" t="s">
        <v>543</v>
      </c>
      <c r="C395" s="26"/>
      <c r="D395" s="26" t="s">
        <v>543</v>
      </c>
      <c r="E395" s="26" t="str">
        <f>IFERROR(VLOOKUP(G395,WholesaleExtract!B:J,9,FALSE),"")</f>
        <v/>
      </c>
      <c r="F395" s="26" t="str">
        <f>IFERROR(VLOOKUP(G395,WholesaleExtract!B:J,6,FALSE),"")</f>
        <v/>
      </c>
      <c r="G395" s="19"/>
      <c r="H395" s="47" t="str">
        <f>IFERROR(VLOOKUP(G395,WholesaleExtract!B:L,11,FALSE),"")</f>
        <v/>
      </c>
      <c r="I395" s="26" t="str">
        <f>IFERROR(VLOOKUP(G395,WholesaleExtract!B:O,8,FALSE),"")</f>
        <v/>
      </c>
      <c r="J395" s="26" t="str">
        <f>IFERROR(VLOOKUP(G395,WholesaleExtract!B:O,14,FALSE),"")</f>
        <v/>
      </c>
      <c r="K395" s="26" t="str">
        <f>IFERROR(VLOOKUP(G395,WholesaleExtract!B:K,10,FALSE),"")</f>
        <v/>
      </c>
      <c r="L395" s="47" t="str">
        <f>IFERROR(VLOOKUP(G395,WholesaleExtract!B:L,11,FALSE),"")</f>
        <v/>
      </c>
      <c r="M395" s="47" t="str">
        <f>IFERROR(VLOOKUP(G395,WholesaleExtract!B:M,12,FALSE),"")</f>
        <v/>
      </c>
      <c r="N395" s="27"/>
      <c r="O395" s="19"/>
      <c r="P395" s="19"/>
      <c r="Q395" s="47"/>
      <c r="R395" s="19"/>
      <c r="S395" s="19"/>
    </row>
    <row r="396" spans="1:19" x14ac:dyDescent="0.35">
      <c r="A396" s="26" t="s">
        <v>543</v>
      </c>
      <c r="B396" s="26" t="s">
        <v>543</v>
      </c>
      <c r="C396" s="26"/>
      <c r="D396" s="26" t="s">
        <v>543</v>
      </c>
      <c r="E396" s="26" t="str">
        <f>IFERROR(VLOOKUP(G396,WholesaleExtract!B:J,9,FALSE),"")</f>
        <v/>
      </c>
      <c r="F396" s="26" t="str">
        <f>IFERROR(VLOOKUP(G396,WholesaleExtract!B:J,6,FALSE),"")</f>
        <v/>
      </c>
      <c r="G396" s="19"/>
      <c r="H396" s="47" t="str">
        <f>IFERROR(VLOOKUP(G396,WholesaleExtract!B:L,11,FALSE),"")</f>
        <v/>
      </c>
      <c r="I396" s="26" t="str">
        <f>IFERROR(VLOOKUP(G396,WholesaleExtract!B:O,8,FALSE),"")</f>
        <v/>
      </c>
      <c r="J396" s="26" t="str">
        <f>IFERROR(VLOOKUP(G396,WholesaleExtract!B:O,14,FALSE),"")</f>
        <v/>
      </c>
      <c r="K396" s="26" t="str">
        <f>IFERROR(VLOOKUP(G396,WholesaleExtract!B:K,10,FALSE),"")</f>
        <v/>
      </c>
      <c r="L396" s="47" t="str">
        <f>IFERROR(VLOOKUP(G396,WholesaleExtract!B:L,11,FALSE),"")</f>
        <v/>
      </c>
      <c r="M396" s="47" t="str">
        <f>IFERROR(VLOOKUP(G396,WholesaleExtract!B:M,12,FALSE),"")</f>
        <v/>
      </c>
      <c r="N396" s="27"/>
      <c r="O396" s="19"/>
      <c r="P396" s="19"/>
      <c r="Q396" s="47"/>
      <c r="R396" s="19"/>
      <c r="S396" s="19"/>
    </row>
    <row r="397" spans="1:19" x14ac:dyDescent="0.35">
      <c r="A397" s="26" t="s">
        <v>543</v>
      </c>
      <c r="B397" s="26" t="s">
        <v>543</v>
      </c>
      <c r="C397" s="26"/>
      <c r="D397" s="26" t="s">
        <v>543</v>
      </c>
      <c r="E397" s="26" t="str">
        <f>IFERROR(VLOOKUP(G397,WholesaleExtract!B:J,9,FALSE),"")</f>
        <v/>
      </c>
      <c r="F397" s="26" t="str">
        <f>IFERROR(VLOOKUP(G397,WholesaleExtract!B:J,6,FALSE),"")</f>
        <v/>
      </c>
      <c r="G397" s="19"/>
      <c r="H397" s="47" t="str">
        <f>IFERROR(VLOOKUP(G397,WholesaleExtract!B:L,11,FALSE),"")</f>
        <v/>
      </c>
      <c r="I397" s="26" t="str">
        <f>IFERROR(VLOOKUP(G397,WholesaleExtract!B:O,8,FALSE),"")</f>
        <v/>
      </c>
      <c r="J397" s="26" t="str">
        <f>IFERROR(VLOOKUP(G397,WholesaleExtract!B:O,14,FALSE),"")</f>
        <v/>
      </c>
      <c r="K397" s="26" t="str">
        <f>IFERROR(VLOOKUP(G397,WholesaleExtract!B:K,10,FALSE),"")</f>
        <v/>
      </c>
      <c r="L397" s="47" t="str">
        <f>IFERROR(VLOOKUP(G397,WholesaleExtract!B:L,11,FALSE),"")</f>
        <v/>
      </c>
      <c r="M397" s="47" t="str">
        <f>IFERROR(VLOOKUP(G397,WholesaleExtract!B:M,12,FALSE),"")</f>
        <v/>
      </c>
      <c r="N397" s="27"/>
      <c r="O397" s="19"/>
      <c r="P397" s="19"/>
      <c r="Q397" s="47"/>
      <c r="R397" s="19"/>
      <c r="S397" s="19"/>
    </row>
    <row r="398" spans="1:19" x14ac:dyDescent="0.35">
      <c r="A398" s="26" t="s">
        <v>543</v>
      </c>
      <c r="B398" s="26" t="s">
        <v>543</v>
      </c>
      <c r="C398" s="26"/>
      <c r="D398" s="26" t="s">
        <v>543</v>
      </c>
      <c r="E398" s="26" t="str">
        <f>IFERROR(VLOOKUP(G398,WholesaleExtract!B:J,9,FALSE),"")</f>
        <v/>
      </c>
      <c r="F398" s="26" t="str">
        <f>IFERROR(VLOOKUP(G398,WholesaleExtract!B:J,6,FALSE),"")</f>
        <v/>
      </c>
      <c r="G398" s="19"/>
      <c r="H398" s="47" t="str">
        <f>IFERROR(VLOOKUP(G398,WholesaleExtract!B:L,11,FALSE),"")</f>
        <v/>
      </c>
      <c r="I398" s="26" t="str">
        <f>IFERROR(VLOOKUP(G398,WholesaleExtract!B:O,8,FALSE),"")</f>
        <v/>
      </c>
      <c r="J398" s="26" t="str">
        <f>IFERROR(VLOOKUP(G398,WholesaleExtract!B:O,14,FALSE),"")</f>
        <v/>
      </c>
      <c r="K398" s="26" t="str">
        <f>IFERROR(VLOOKUP(G398,WholesaleExtract!B:K,10,FALSE),"")</f>
        <v/>
      </c>
      <c r="L398" s="47" t="str">
        <f>IFERROR(VLOOKUP(G398,WholesaleExtract!B:L,11,FALSE),"")</f>
        <v/>
      </c>
      <c r="M398" s="47" t="str">
        <f>IFERROR(VLOOKUP(G398,WholesaleExtract!B:M,12,FALSE),"")</f>
        <v/>
      </c>
      <c r="N398" s="27"/>
      <c r="O398" s="19"/>
      <c r="P398" s="19"/>
      <c r="Q398" s="47"/>
      <c r="R398" s="19"/>
      <c r="S398" s="19"/>
    </row>
    <row r="399" spans="1:19" x14ac:dyDescent="0.35">
      <c r="A399" s="26" t="s">
        <v>543</v>
      </c>
      <c r="B399" s="26" t="s">
        <v>543</v>
      </c>
      <c r="C399" s="26"/>
      <c r="D399" s="26" t="s">
        <v>543</v>
      </c>
      <c r="E399" s="26" t="str">
        <f>IFERROR(VLOOKUP(G399,WholesaleExtract!B:J,9,FALSE),"")</f>
        <v/>
      </c>
      <c r="F399" s="26" t="str">
        <f>IFERROR(VLOOKUP(G399,WholesaleExtract!B:J,6,FALSE),"")</f>
        <v/>
      </c>
      <c r="G399" s="19"/>
      <c r="H399" s="47" t="str">
        <f>IFERROR(VLOOKUP(G399,WholesaleExtract!B:L,11,FALSE),"")</f>
        <v/>
      </c>
      <c r="I399" s="26" t="str">
        <f>IFERROR(VLOOKUP(G399,WholesaleExtract!B:O,8,FALSE),"")</f>
        <v/>
      </c>
      <c r="J399" s="26" t="str">
        <f>IFERROR(VLOOKUP(G399,WholesaleExtract!B:O,14,FALSE),"")</f>
        <v/>
      </c>
      <c r="K399" s="26" t="str">
        <f>IFERROR(VLOOKUP(G399,WholesaleExtract!B:K,10,FALSE),"")</f>
        <v/>
      </c>
      <c r="L399" s="47" t="str">
        <f>IFERROR(VLOOKUP(G399,WholesaleExtract!B:L,11,FALSE),"")</f>
        <v/>
      </c>
      <c r="M399" s="47" t="str">
        <f>IFERROR(VLOOKUP(G399,WholesaleExtract!B:M,12,FALSE),"")</f>
        <v/>
      </c>
      <c r="N399" s="27"/>
      <c r="O399" s="19"/>
      <c r="P399" s="19"/>
      <c r="Q399" s="47"/>
      <c r="R399" s="19"/>
      <c r="S399" s="19"/>
    </row>
    <row r="400" spans="1:19" x14ac:dyDescent="0.35">
      <c r="A400" s="26" t="s">
        <v>543</v>
      </c>
      <c r="B400" s="26" t="s">
        <v>543</v>
      </c>
      <c r="C400" s="26"/>
      <c r="D400" s="26" t="s">
        <v>543</v>
      </c>
      <c r="E400" s="26" t="str">
        <f>IFERROR(VLOOKUP(G400,WholesaleExtract!B:J,9,FALSE),"")</f>
        <v/>
      </c>
      <c r="F400" s="26" t="str">
        <f>IFERROR(VLOOKUP(G400,WholesaleExtract!B:J,6,FALSE),"")</f>
        <v/>
      </c>
      <c r="G400" s="19"/>
      <c r="H400" s="47" t="str">
        <f>IFERROR(VLOOKUP(G400,WholesaleExtract!B:L,11,FALSE),"")</f>
        <v/>
      </c>
      <c r="I400" s="26" t="str">
        <f>IFERROR(VLOOKUP(G400,WholesaleExtract!B:O,8,FALSE),"")</f>
        <v/>
      </c>
      <c r="J400" s="26" t="str">
        <f>IFERROR(VLOOKUP(G400,WholesaleExtract!B:O,14,FALSE),"")</f>
        <v/>
      </c>
      <c r="K400" s="26" t="str">
        <f>IFERROR(VLOOKUP(G400,WholesaleExtract!B:K,10,FALSE),"")</f>
        <v/>
      </c>
      <c r="L400" s="47" t="str">
        <f>IFERROR(VLOOKUP(G400,WholesaleExtract!B:L,11,FALSE),"")</f>
        <v/>
      </c>
      <c r="M400" s="47" t="str">
        <f>IFERROR(VLOOKUP(G400,WholesaleExtract!B:M,12,FALSE),"")</f>
        <v/>
      </c>
      <c r="N400" s="27"/>
      <c r="O400" s="19"/>
      <c r="P400" s="19"/>
      <c r="Q400" s="47"/>
      <c r="R400" s="19"/>
      <c r="S400" s="19"/>
    </row>
    <row r="401" spans="1:19" x14ac:dyDescent="0.35">
      <c r="A401" s="26" t="s">
        <v>543</v>
      </c>
      <c r="B401" s="26" t="s">
        <v>543</v>
      </c>
      <c r="C401" s="26"/>
      <c r="D401" s="26" t="s">
        <v>543</v>
      </c>
      <c r="E401" s="26" t="str">
        <f>IFERROR(VLOOKUP(G401,WholesaleExtract!B:J,9,FALSE),"")</f>
        <v/>
      </c>
      <c r="F401" s="26" t="str">
        <f>IFERROR(VLOOKUP(G401,WholesaleExtract!B:J,6,FALSE),"")</f>
        <v/>
      </c>
      <c r="G401" s="19"/>
      <c r="H401" s="47" t="str">
        <f>IFERROR(VLOOKUP(G401,WholesaleExtract!B:L,11,FALSE),"")</f>
        <v/>
      </c>
      <c r="I401" s="26" t="str">
        <f>IFERROR(VLOOKUP(G401,WholesaleExtract!B:O,8,FALSE),"")</f>
        <v/>
      </c>
      <c r="J401" s="26" t="str">
        <f>IFERROR(VLOOKUP(G401,WholesaleExtract!B:O,14,FALSE),"")</f>
        <v/>
      </c>
      <c r="K401" s="26" t="str">
        <f>IFERROR(VLOOKUP(G401,WholesaleExtract!B:K,10,FALSE),"")</f>
        <v/>
      </c>
      <c r="L401" s="47" t="str">
        <f>IFERROR(VLOOKUP(G401,WholesaleExtract!B:L,11,FALSE),"")</f>
        <v/>
      </c>
      <c r="M401" s="47" t="str">
        <f>IFERROR(VLOOKUP(G401,WholesaleExtract!B:M,12,FALSE),"")</f>
        <v/>
      </c>
      <c r="N401" s="27"/>
      <c r="O401" s="19"/>
      <c r="P401" s="19"/>
      <c r="Q401" s="47"/>
      <c r="R401" s="19"/>
      <c r="S401" s="19"/>
    </row>
    <row r="402" spans="1:19" x14ac:dyDescent="0.35">
      <c r="A402" s="26" t="s">
        <v>543</v>
      </c>
      <c r="B402" s="26" t="s">
        <v>543</v>
      </c>
      <c r="C402" s="26"/>
      <c r="D402" s="26" t="s">
        <v>543</v>
      </c>
      <c r="E402" s="26" t="str">
        <f>IFERROR(VLOOKUP(G402,WholesaleExtract!B:J,9,FALSE),"")</f>
        <v/>
      </c>
      <c r="F402" s="26" t="str">
        <f>IFERROR(VLOOKUP(G402,WholesaleExtract!B:J,6,FALSE),"")</f>
        <v/>
      </c>
      <c r="G402" s="19"/>
      <c r="H402" s="47" t="str">
        <f>IFERROR(VLOOKUP(G402,WholesaleExtract!B:L,11,FALSE),"")</f>
        <v/>
      </c>
      <c r="I402" s="26" t="str">
        <f>IFERROR(VLOOKUP(G402,WholesaleExtract!B:O,8,FALSE),"")</f>
        <v/>
      </c>
      <c r="J402" s="26" t="str">
        <f>IFERROR(VLOOKUP(G402,WholesaleExtract!B:O,14,FALSE),"")</f>
        <v/>
      </c>
      <c r="K402" s="26" t="str">
        <f>IFERROR(VLOOKUP(G402,WholesaleExtract!B:K,10,FALSE),"")</f>
        <v/>
      </c>
      <c r="L402" s="47" t="str">
        <f>IFERROR(VLOOKUP(G402,WholesaleExtract!B:L,11,FALSE),"")</f>
        <v/>
      </c>
      <c r="M402" s="47" t="str">
        <f>IFERROR(VLOOKUP(G402,WholesaleExtract!B:M,12,FALSE),"")</f>
        <v/>
      </c>
      <c r="N402" s="27"/>
      <c r="O402" s="19"/>
      <c r="P402" s="19"/>
      <c r="Q402" s="47"/>
      <c r="R402" s="19"/>
      <c r="S402" s="19"/>
    </row>
    <row r="403" spans="1:19" x14ac:dyDescent="0.35">
      <c r="A403" s="26" t="s">
        <v>543</v>
      </c>
      <c r="B403" s="26" t="s">
        <v>543</v>
      </c>
      <c r="C403" s="26"/>
      <c r="D403" s="26" t="s">
        <v>543</v>
      </c>
      <c r="E403" s="26" t="str">
        <f>IFERROR(VLOOKUP(G403,WholesaleExtract!B:J,9,FALSE),"")</f>
        <v/>
      </c>
      <c r="F403" s="26" t="str">
        <f>IFERROR(VLOOKUP(G403,WholesaleExtract!B:J,6,FALSE),"")</f>
        <v/>
      </c>
      <c r="G403" s="19"/>
      <c r="H403" s="47" t="str">
        <f>IFERROR(VLOOKUP(G403,WholesaleExtract!B:L,11,FALSE),"")</f>
        <v/>
      </c>
      <c r="I403" s="26" t="str">
        <f>IFERROR(VLOOKUP(G403,WholesaleExtract!B:O,8,FALSE),"")</f>
        <v/>
      </c>
      <c r="J403" s="26" t="str">
        <f>IFERROR(VLOOKUP(G403,WholesaleExtract!B:O,14,FALSE),"")</f>
        <v/>
      </c>
      <c r="K403" s="26" t="str">
        <f>IFERROR(VLOOKUP(G403,WholesaleExtract!B:K,10,FALSE),"")</f>
        <v/>
      </c>
      <c r="L403" s="47" t="str">
        <f>IFERROR(VLOOKUP(G403,WholesaleExtract!B:L,11,FALSE),"")</f>
        <v/>
      </c>
      <c r="M403" s="47" t="str">
        <f>IFERROR(VLOOKUP(G403,WholesaleExtract!B:M,12,FALSE),"")</f>
        <v/>
      </c>
      <c r="N403" s="27"/>
      <c r="O403" s="19"/>
      <c r="P403" s="19"/>
      <c r="Q403" s="47"/>
      <c r="R403" s="19"/>
      <c r="S403" s="19"/>
    </row>
    <row r="404" spans="1:19" x14ac:dyDescent="0.35">
      <c r="A404" s="26" t="s">
        <v>543</v>
      </c>
      <c r="B404" s="26" t="s">
        <v>543</v>
      </c>
      <c r="C404" s="26"/>
      <c r="D404" s="26" t="s">
        <v>543</v>
      </c>
      <c r="E404" s="26" t="str">
        <f>IFERROR(VLOOKUP(G404,WholesaleExtract!B:J,9,FALSE),"")</f>
        <v/>
      </c>
      <c r="F404" s="26" t="str">
        <f>IFERROR(VLOOKUP(G404,WholesaleExtract!B:J,6,FALSE),"")</f>
        <v/>
      </c>
      <c r="G404" s="19"/>
      <c r="H404" s="47" t="str">
        <f>IFERROR(VLOOKUP(G404,WholesaleExtract!B:L,11,FALSE),"")</f>
        <v/>
      </c>
      <c r="I404" s="26" t="str">
        <f>IFERROR(VLOOKUP(G404,WholesaleExtract!B:O,8,FALSE),"")</f>
        <v/>
      </c>
      <c r="J404" s="26" t="str">
        <f>IFERROR(VLOOKUP(G404,WholesaleExtract!B:O,14,FALSE),"")</f>
        <v/>
      </c>
      <c r="K404" s="26" t="str">
        <f>IFERROR(VLOOKUP(G404,WholesaleExtract!B:K,10,FALSE),"")</f>
        <v/>
      </c>
      <c r="L404" s="47" t="str">
        <f>IFERROR(VLOOKUP(G404,WholesaleExtract!B:L,11,FALSE),"")</f>
        <v/>
      </c>
      <c r="M404" s="47" t="str">
        <f>IFERROR(VLOOKUP(G404,WholesaleExtract!B:M,12,FALSE),"")</f>
        <v/>
      </c>
      <c r="N404" s="27"/>
      <c r="O404" s="19"/>
      <c r="P404" s="19"/>
      <c r="Q404" s="47"/>
      <c r="R404" s="19"/>
      <c r="S404" s="19"/>
    </row>
    <row r="405" spans="1:19" x14ac:dyDescent="0.35">
      <c r="A405" s="26" t="s">
        <v>543</v>
      </c>
      <c r="B405" s="26" t="s">
        <v>543</v>
      </c>
      <c r="C405" s="26"/>
      <c r="D405" s="26" t="s">
        <v>543</v>
      </c>
      <c r="E405" s="26" t="str">
        <f>IFERROR(VLOOKUP(G405,WholesaleExtract!B:J,9,FALSE),"")</f>
        <v/>
      </c>
      <c r="F405" s="26" t="str">
        <f>IFERROR(VLOOKUP(G405,WholesaleExtract!B:J,6,FALSE),"")</f>
        <v/>
      </c>
      <c r="G405" s="19"/>
      <c r="H405" s="47" t="str">
        <f>IFERROR(VLOOKUP(G405,WholesaleExtract!B:L,11,FALSE),"")</f>
        <v/>
      </c>
      <c r="I405" s="26" t="str">
        <f>IFERROR(VLOOKUP(G405,WholesaleExtract!B:O,8,FALSE),"")</f>
        <v/>
      </c>
      <c r="J405" s="26" t="str">
        <f>IFERROR(VLOOKUP(G405,WholesaleExtract!B:O,14,FALSE),"")</f>
        <v/>
      </c>
      <c r="K405" s="26" t="str">
        <f>IFERROR(VLOOKUP(G405,WholesaleExtract!B:K,10,FALSE),"")</f>
        <v/>
      </c>
      <c r="L405" s="47" t="str">
        <f>IFERROR(VLOOKUP(G405,WholesaleExtract!B:L,11,FALSE),"")</f>
        <v/>
      </c>
      <c r="M405" s="47" t="str">
        <f>IFERROR(VLOOKUP(G405,WholesaleExtract!B:M,12,FALSE),"")</f>
        <v/>
      </c>
      <c r="N405" s="27"/>
      <c r="O405" s="19"/>
      <c r="P405" s="19"/>
      <c r="Q405" s="47"/>
      <c r="R405" s="19"/>
      <c r="S405" s="19"/>
    </row>
    <row r="406" spans="1:19" x14ac:dyDescent="0.35">
      <c r="A406" s="26" t="s">
        <v>543</v>
      </c>
      <c r="B406" s="26" t="s">
        <v>543</v>
      </c>
      <c r="C406" s="26"/>
      <c r="D406" s="26" t="s">
        <v>543</v>
      </c>
      <c r="E406" s="26" t="str">
        <f>IFERROR(VLOOKUP(G406,WholesaleExtract!B:J,9,FALSE),"")</f>
        <v/>
      </c>
      <c r="F406" s="26" t="str">
        <f>IFERROR(VLOOKUP(G406,WholesaleExtract!B:J,6,FALSE),"")</f>
        <v/>
      </c>
      <c r="G406" s="19"/>
      <c r="H406" s="47" t="str">
        <f>IFERROR(VLOOKUP(G406,WholesaleExtract!B:L,11,FALSE),"")</f>
        <v/>
      </c>
      <c r="I406" s="26" t="str">
        <f>IFERROR(VLOOKUP(G406,WholesaleExtract!B:O,8,FALSE),"")</f>
        <v/>
      </c>
      <c r="J406" s="26" t="str">
        <f>IFERROR(VLOOKUP(G406,WholesaleExtract!B:O,14,FALSE),"")</f>
        <v/>
      </c>
      <c r="K406" s="26" t="str">
        <f>IFERROR(VLOOKUP(G406,WholesaleExtract!B:K,10,FALSE),"")</f>
        <v/>
      </c>
      <c r="L406" s="47" t="str">
        <f>IFERROR(VLOOKUP(G406,WholesaleExtract!B:L,11,FALSE),"")</f>
        <v/>
      </c>
      <c r="M406" s="47" t="str">
        <f>IFERROR(VLOOKUP(G406,WholesaleExtract!B:M,12,FALSE),"")</f>
        <v/>
      </c>
      <c r="N406" s="27"/>
      <c r="O406" s="19"/>
      <c r="P406" s="19"/>
      <c r="Q406" s="47"/>
      <c r="R406" s="19"/>
      <c r="S406" s="19"/>
    </row>
    <row r="407" spans="1:19" x14ac:dyDescent="0.35">
      <c r="A407" s="26" t="s">
        <v>543</v>
      </c>
      <c r="B407" s="26" t="s">
        <v>543</v>
      </c>
      <c r="C407" s="26"/>
      <c r="D407" s="26" t="s">
        <v>543</v>
      </c>
      <c r="E407" s="26" t="str">
        <f>IFERROR(VLOOKUP(G407,WholesaleExtract!B:J,9,FALSE),"")</f>
        <v/>
      </c>
      <c r="F407" s="26" t="str">
        <f>IFERROR(VLOOKUP(G407,WholesaleExtract!B:J,6,FALSE),"")</f>
        <v/>
      </c>
      <c r="G407" s="19"/>
      <c r="H407" s="47" t="str">
        <f>IFERROR(VLOOKUP(G407,WholesaleExtract!B:L,11,FALSE),"")</f>
        <v/>
      </c>
      <c r="I407" s="26" t="str">
        <f>IFERROR(VLOOKUP(G407,WholesaleExtract!B:O,8,FALSE),"")</f>
        <v/>
      </c>
      <c r="J407" s="26" t="str">
        <f>IFERROR(VLOOKUP(G407,WholesaleExtract!B:O,14,FALSE),"")</f>
        <v/>
      </c>
      <c r="K407" s="26" t="str">
        <f>IFERROR(VLOOKUP(G407,WholesaleExtract!B:K,10,FALSE),"")</f>
        <v/>
      </c>
      <c r="L407" s="47" t="str">
        <f>IFERROR(VLOOKUP(G407,WholesaleExtract!B:L,11,FALSE),"")</f>
        <v/>
      </c>
      <c r="M407" s="47" t="str">
        <f>IFERROR(VLOOKUP(G407,WholesaleExtract!B:M,12,FALSE),"")</f>
        <v/>
      </c>
      <c r="N407" s="27"/>
      <c r="O407" s="19"/>
      <c r="P407" s="19"/>
      <c r="Q407" s="47"/>
      <c r="R407" s="19"/>
      <c r="S407" s="19"/>
    </row>
    <row r="408" spans="1:19" x14ac:dyDescent="0.35">
      <c r="A408" s="26" t="s">
        <v>543</v>
      </c>
      <c r="B408" s="26" t="s">
        <v>543</v>
      </c>
      <c r="C408" s="26"/>
      <c r="D408" s="26" t="s">
        <v>543</v>
      </c>
      <c r="E408" s="26" t="str">
        <f>IFERROR(VLOOKUP(G408,WholesaleExtract!B:J,9,FALSE),"")</f>
        <v/>
      </c>
      <c r="F408" s="26" t="str">
        <f>IFERROR(VLOOKUP(G408,WholesaleExtract!B:J,6,FALSE),"")</f>
        <v/>
      </c>
      <c r="G408" s="19"/>
      <c r="H408" s="47" t="str">
        <f>IFERROR(VLOOKUP(G408,WholesaleExtract!B:L,11,FALSE),"")</f>
        <v/>
      </c>
      <c r="I408" s="26" t="str">
        <f>IFERROR(VLOOKUP(G408,WholesaleExtract!B:O,8,FALSE),"")</f>
        <v/>
      </c>
      <c r="J408" s="26" t="str">
        <f>IFERROR(VLOOKUP(G408,WholesaleExtract!B:O,14,FALSE),"")</f>
        <v/>
      </c>
      <c r="K408" s="26" t="str">
        <f>IFERROR(VLOOKUP(G408,WholesaleExtract!B:K,10,FALSE),"")</f>
        <v/>
      </c>
      <c r="L408" s="47" t="str">
        <f>IFERROR(VLOOKUP(G408,WholesaleExtract!B:L,11,FALSE),"")</f>
        <v/>
      </c>
      <c r="M408" s="47" t="str">
        <f>IFERROR(VLOOKUP(G408,WholesaleExtract!B:M,12,FALSE),"")</f>
        <v/>
      </c>
      <c r="N408" s="27"/>
      <c r="O408" s="19"/>
      <c r="P408" s="19"/>
      <c r="Q408" s="47"/>
      <c r="R408" s="19"/>
      <c r="S408" s="19"/>
    </row>
    <row r="409" spans="1:19" x14ac:dyDescent="0.35">
      <c r="A409" s="26" t="s">
        <v>543</v>
      </c>
      <c r="B409" s="26" t="s">
        <v>543</v>
      </c>
      <c r="C409" s="26"/>
      <c r="D409" s="26" t="s">
        <v>543</v>
      </c>
      <c r="E409" s="26" t="str">
        <f>IFERROR(VLOOKUP(G409,WholesaleExtract!B:J,9,FALSE),"")</f>
        <v/>
      </c>
      <c r="F409" s="26" t="str">
        <f>IFERROR(VLOOKUP(G409,WholesaleExtract!B:J,6,FALSE),"")</f>
        <v/>
      </c>
      <c r="G409" s="19"/>
      <c r="H409" s="47" t="str">
        <f>IFERROR(VLOOKUP(G409,WholesaleExtract!B:L,11,FALSE),"")</f>
        <v/>
      </c>
      <c r="I409" s="26" t="str">
        <f>IFERROR(VLOOKUP(G409,WholesaleExtract!B:O,8,FALSE),"")</f>
        <v/>
      </c>
      <c r="J409" s="26" t="str">
        <f>IFERROR(VLOOKUP(G409,WholesaleExtract!B:O,14,FALSE),"")</f>
        <v/>
      </c>
      <c r="K409" s="26" t="str">
        <f>IFERROR(VLOOKUP(G409,WholesaleExtract!B:K,10,FALSE),"")</f>
        <v/>
      </c>
      <c r="L409" s="47" t="str">
        <f>IFERROR(VLOOKUP(G409,WholesaleExtract!B:L,11,FALSE),"")</f>
        <v/>
      </c>
      <c r="M409" s="47" t="str">
        <f>IFERROR(VLOOKUP(G409,WholesaleExtract!B:M,12,FALSE),"")</f>
        <v/>
      </c>
      <c r="N409" s="27"/>
      <c r="O409" s="19"/>
      <c r="P409" s="19"/>
      <c r="Q409" s="47"/>
      <c r="R409" s="19"/>
      <c r="S409" s="19"/>
    </row>
    <row r="410" spans="1:19" x14ac:dyDescent="0.35">
      <c r="A410" s="26" t="s">
        <v>543</v>
      </c>
      <c r="B410" s="26" t="s">
        <v>543</v>
      </c>
      <c r="C410" s="26"/>
      <c r="D410" s="26" t="s">
        <v>543</v>
      </c>
      <c r="E410" s="26" t="str">
        <f>IFERROR(VLOOKUP(G410,WholesaleExtract!B:J,9,FALSE),"")</f>
        <v/>
      </c>
      <c r="F410" s="26" t="str">
        <f>IFERROR(VLOOKUP(G410,WholesaleExtract!B:J,6,FALSE),"")</f>
        <v/>
      </c>
      <c r="G410" s="19"/>
      <c r="H410" s="47" t="str">
        <f>IFERROR(VLOOKUP(G410,WholesaleExtract!B:L,11,FALSE),"")</f>
        <v/>
      </c>
      <c r="I410" s="26" t="str">
        <f>IFERROR(VLOOKUP(G410,WholesaleExtract!B:O,8,FALSE),"")</f>
        <v/>
      </c>
      <c r="J410" s="26" t="str">
        <f>IFERROR(VLOOKUP(G410,WholesaleExtract!B:O,14,FALSE),"")</f>
        <v/>
      </c>
      <c r="K410" s="26" t="str">
        <f>IFERROR(VLOOKUP(G410,WholesaleExtract!B:K,10,FALSE),"")</f>
        <v/>
      </c>
      <c r="L410" s="47" t="str">
        <f>IFERROR(VLOOKUP(G410,WholesaleExtract!B:L,11,FALSE),"")</f>
        <v/>
      </c>
      <c r="M410" s="47" t="str">
        <f>IFERROR(VLOOKUP(G410,WholesaleExtract!B:M,12,FALSE),"")</f>
        <v/>
      </c>
      <c r="N410" s="27"/>
      <c r="O410" s="19"/>
      <c r="P410" s="19"/>
      <c r="Q410" s="47"/>
      <c r="R410" s="19"/>
      <c r="S410" s="19"/>
    </row>
    <row r="411" spans="1:19" x14ac:dyDescent="0.35">
      <c r="A411" s="26" t="s">
        <v>543</v>
      </c>
      <c r="B411" s="26" t="s">
        <v>543</v>
      </c>
      <c r="C411" s="26"/>
      <c r="D411" s="26" t="s">
        <v>543</v>
      </c>
      <c r="E411" s="26" t="str">
        <f>IFERROR(VLOOKUP(G411,WholesaleExtract!B:J,9,FALSE),"")</f>
        <v/>
      </c>
      <c r="F411" s="26" t="str">
        <f>IFERROR(VLOOKUP(G411,WholesaleExtract!B:J,6,FALSE),"")</f>
        <v/>
      </c>
      <c r="G411" s="19"/>
      <c r="H411" s="47" t="str">
        <f>IFERROR(VLOOKUP(G411,WholesaleExtract!B:L,11,FALSE),"")</f>
        <v/>
      </c>
      <c r="I411" s="26" t="str">
        <f>IFERROR(VLOOKUP(G411,WholesaleExtract!B:O,8,FALSE),"")</f>
        <v/>
      </c>
      <c r="J411" s="26" t="str">
        <f>IFERROR(VLOOKUP(G411,WholesaleExtract!B:O,14,FALSE),"")</f>
        <v/>
      </c>
      <c r="K411" s="26" t="str">
        <f>IFERROR(VLOOKUP(G411,WholesaleExtract!B:K,10,FALSE),"")</f>
        <v/>
      </c>
      <c r="L411" s="47" t="str">
        <f>IFERROR(VLOOKUP(G411,WholesaleExtract!B:L,11,FALSE),"")</f>
        <v/>
      </c>
      <c r="M411" s="47" t="str">
        <f>IFERROR(VLOOKUP(G411,WholesaleExtract!B:M,12,FALSE),"")</f>
        <v/>
      </c>
      <c r="N411" s="27"/>
      <c r="O411" s="19"/>
      <c r="P411" s="19"/>
      <c r="Q411" s="47"/>
      <c r="R411" s="19"/>
      <c r="S411" s="19"/>
    </row>
    <row r="412" spans="1:19" x14ac:dyDescent="0.35">
      <c r="A412" s="26" t="s">
        <v>543</v>
      </c>
      <c r="B412" s="26" t="s">
        <v>543</v>
      </c>
      <c r="C412" s="26"/>
      <c r="D412" s="26" t="s">
        <v>543</v>
      </c>
      <c r="E412" s="26" t="str">
        <f>IFERROR(VLOOKUP(G412,WholesaleExtract!B:J,9,FALSE),"")</f>
        <v/>
      </c>
      <c r="F412" s="26" t="str">
        <f>IFERROR(VLOOKUP(G412,WholesaleExtract!B:J,6,FALSE),"")</f>
        <v/>
      </c>
      <c r="G412" s="19"/>
      <c r="H412" s="47" t="str">
        <f>IFERROR(VLOOKUP(G412,WholesaleExtract!B:L,11,FALSE),"")</f>
        <v/>
      </c>
      <c r="I412" s="26" t="str">
        <f>IFERROR(VLOOKUP(G412,WholesaleExtract!B:O,8,FALSE),"")</f>
        <v/>
      </c>
      <c r="J412" s="26" t="str">
        <f>IFERROR(VLOOKUP(G412,WholesaleExtract!B:O,14,FALSE),"")</f>
        <v/>
      </c>
      <c r="K412" s="26" t="str">
        <f>IFERROR(VLOOKUP(G412,WholesaleExtract!B:K,10,FALSE),"")</f>
        <v/>
      </c>
      <c r="L412" s="47" t="str">
        <f>IFERROR(VLOOKUP(G412,WholesaleExtract!B:L,11,FALSE),"")</f>
        <v/>
      </c>
      <c r="M412" s="47" t="str">
        <f>IFERROR(VLOOKUP(G412,WholesaleExtract!B:M,12,FALSE),"")</f>
        <v/>
      </c>
      <c r="N412" s="27"/>
      <c r="O412" s="19"/>
      <c r="P412" s="19"/>
      <c r="Q412" s="47"/>
      <c r="R412" s="19"/>
      <c r="S412" s="19"/>
    </row>
    <row r="413" spans="1:19" x14ac:dyDescent="0.35">
      <c r="A413" s="26" t="s">
        <v>543</v>
      </c>
      <c r="B413" s="26" t="s">
        <v>543</v>
      </c>
      <c r="C413" s="26"/>
      <c r="D413" s="26" t="s">
        <v>543</v>
      </c>
      <c r="E413" s="26" t="str">
        <f>IFERROR(VLOOKUP(G413,WholesaleExtract!B:J,9,FALSE),"")</f>
        <v/>
      </c>
      <c r="F413" s="26" t="str">
        <f>IFERROR(VLOOKUP(G413,WholesaleExtract!B:J,6,FALSE),"")</f>
        <v/>
      </c>
      <c r="G413" s="19"/>
      <c r="H413" s="47" t="str">
        <f>IFERROR(VLOOKUP(G413,WholesaleExtract!B:L,11,FALSE),"")</f>
        <v/>
      </c>
      <c r="I413" s="26" t="str">
        <f>IFERROR(VLOOKUP(G413,WholesaleExtract!B:O,8,FALSE),"")</f>
        <v/>
      </c>
      <c r="J413" s="26" t="str">
        <f>IFERROR(VLOOKUP(G413,WholesaleExtract!B:O,14,FALSE),"")</f>
        <v/>
      </c>
      <c r="K413" s="26" t="str">
        <f>IFERROR(VLOOKUP(G413,WholesaleExtract!B:K,10,FALSE),"")</f>
        <v/>
      </c>
      <c r="L413" s="47" t="str">
        <f>IFERROR(VLOOKUP(G413,WholesaleExtract!B:L,11,FALSE),"")</f>
        <v/>
      </c>
      <c r="M413" s="47" t="str">
        <f>IFERROR(VLOOKUP(G413,WholesaleExtract!B:M,12,FALSE),"")</f>
        <v/>
      </c>
      <c r="N413" s="27"/>
      <c r="O413" s="19"/>
      <c r="P413" s="19"/>
      <c r="Q413" s="47"/>
      <c r="R413" s="19"/>
      <c r="S413" s="19"/>
    </row>
    <row r="414" spans="1:19" x14ac:dyDescent="0.35">
      <c r="A414" s="26" t="s">
        <v>543</v>
      </c>
      <c r="B414" s="26" t="s">
        <v>543</v>
      </c>
      <c r="C414" s="26"/>
      <c r="D414" s="26" t="s">
        <v>543</v>
      </c>
      <c r="E414" s="26" t="str">
        <f>IFERROR(VLOOKUP(G414,WholesaleExtract!B:J,9,FALSE),"")</f>
        <v/>
      </c>
      <c r="F414" s="26" t="str">
        <f>IFERROR(VLOOKUP(G414,WholesaleExtract!B:J,6,FALSE),"")</f>
        <v/>
      </c>
      <c r="G414" s="19"/>
      <c r="H414" s="47" t="str">
        <f>IFERROR(VLOOKUP(G414,WholesaleExtract!B:L,11,FALSE),"")</f>
        <v/>
      </c>
      <c r="I414" s="26" t="str">
        <f>IFERROR(VLOOKUP(G414,WholesaleExtract!B:O,8,FALSE),"")</f>
        <v/>
      </c>
      <c r="J414" s="26" t="str">
        <f>IFERROR(VLOOKUP(G414,WholesaleExtract!B:O,14,FALSE),"")</f>
        <v/>
      </c>
      <c r="K414" s="26" t="str">
        <f>IFERROR(VLOOKUP(G414,WholesaleExtract!B:K,10,FALSE),"")</f>
        <v/>
      </c>
      <c r="L414" s="47" t="str">
        <f>IFERROR(VLOOKUP(G414,WholesaleExtract!B:L,11,FALSE),"")</f>
        <v/>
      </c>
      <c r="M414" s="47" t="str">
        <f>IFERROR(VLOOKUP(G414,WholesaleExtract!B:M,12,FALSE),"")</f>
        <v/>
      </c>
      <c r="N414" s="27"/>
      <c r="O414" s="19"/>
      <c r="P414" s="19"/>
      <c r="Q414" s="47"/>
      <c r="R414" s="19"/>
      <c r="S414" s="19"/>
    </row>
    <row r="415" spans="1:19" x14ac:dyDescent="0.35">
      <c r="A415" s="26" t="s">
        <v>543</v>
      </c>
      <c r="B415" s="26" t="s">
        <v>543</v>
      </c>
      <c r="C415" s="26"/>
      <c r="D415" s="26" t="s">
        <v>543</v>
      </c>
      <c r="E415" s="26" t="str">
        <f>IFERROR(VLOOKUP(G415,WholesaleExtract!B:J,9,FALSE),"")</f>
        <v/>
      </c>
      <c r="F415" s="26" t="str">
        <f>IFERROR(VLOOKUP(G415,WholesaleExtract!B:J,6,FALSE),"")</f>
        <v/>
      </c>
      <c r="G415" s="19"/>
      <c r="H415" s="47" t="str">
        <f>IFERROR(VLOOKUP(G415,WholesaleExtract!B:L,11,FALSE),"")</f>
        <v/>
      </c>
      <c r="I415" s="26" t="str">
        <f>IFERROR(VLOOKUP(G415,WholesaleExtract!B:O,8,FALSE),"")</f>
        <v/>
      </c>
      <c r="J415" s="26" t="str">
        <f>IFERROR(VLOOKUP(G415,WholesaleExtract!B:O,14,FALSE),"")</f>
        <v/>
      </c>
      <c r="K415" s="26" t="str">
        <f>IFERROR(VLOOKUP(G415,WholesaleExtract!B:K,10,FALSE),"")</f>
        <v/>
      </c>
      <c r="L415" s="47" t="str">
        <f>IFERROR(VLOOKUP(G415,WholesaleExtract!B:L,11,FALSE),"")</f>
        <v/>
      </c>
      <c r="M415" s="47" t="str">
        <f>IFERROR(VLOOKUP(G415,WholesaleExtract!B:M,12,FALSE),"")</f>
        <v/>
      </c>
      <c r="N415" s="27"/>
      <c r="O415" s="19"/>
      <c r="P415" s="19"/>
      <c r="Q415" s="47"/>
      <c r="R415" s="19"/>
      <c r="S415" s="19"/>
    </row>
    <row r="416" spans="1:19" x14ac:dyDescent="0.35">
      <c r="A416" s="26" t="s">
        <v>543</v>
      </c>
      <c r="B416" s="26" t="s">
        <v>543</v>
      </c>
      <c r="C416" s="26"/>
      <c r="D416" s="26" t="s">
        <v>543</v>
      </c>
      <c r="E416" s="26" t="str">
        <f>IFERROR(VLOOKUP(G416,WholesaleExtract!B:J,9,FALSE),"")</f>
        <v/>
      </c>
      <c r="F416" s="26" t="str">
        <f>IFERROR(VLOOKUP(G416,WholesaleExtract!B:J,6,FALSE),"")</f>
        <v/>
      </c>
      <c r="G416" s="19"/>
      <c r="H416" s="47" t="str">
        <f>IFERROR(VLOOKUP(G416,WholesaleExtract!B:L,11,FALSE),"")</f>
        <v/>
      </c>
      <c r="I416" s="26" t="str">
        <f>IFERROR(VLOOKUP(G416,WholesaleExtract!B:O,8,FALSE),"")</f>
        <v/>
      </c>
      <c r="J416" s="26" t="str">
        <f>IFERROR(VLOOKUP(G416,WholesaleExtract!B:O,14,FALSE),"")</f>
        <v/>
      </c>
      <c r="K416" s="26" t="str">
        <f>IFERROR(VLOOKUP(G416,WholesaleExtract!B:K,10,FALSE),"")</f>
        <v/>
      </c>
      <c r="L416" s="47" t="str">
        <f>IFERROR(VLOOKUP(G416,WholesaleExtract!B:L,11,FALSE),"")</f>
        <v/>
      </c>
      <c r="M416" s="47" t="str">
        <f>IFERROR(VLOOKUP(G416,WholesaleExtract!B:M,12,FALSE),"")</f>
        <v/>
      </c>
      <c r="N416" s="27"/>
      <c r="O416" s="19"/>
      <c r="P416" s="19"/>
      <c r="Q416" s="47"/>
      <c r="R416" s="19"/>
      <c r="S416" s="19"/>
    </row>
    <row r="417" spans="1:19" x14ac:dyDescent="0.35">
      <c r="A417" s="26" t="s">
        <v>543</v>
      </c>
      <c r="B417" s="26" t="s">
        <v>543</v>
      </c>
      <c r="C417" s="26"/>
      <c r="D417" s="26" t="s">
        <v>543</v>
      </c>
      <c r="E417" s="26" t="str">
        <f>IFERROR(VLOOKUP(G417,WholesaleExtract!B:J,9,FALSE),"")</f>
        <v/>
      </c>
      <c r="F417" s="26" t="str">
        <f>IFERROR(VLOOKUP(G417,WholesaleExtract!B:J,6,FALSE),"")</f>
        <v/>
      </c>
      <c r="G417" s="19"/>
      <c r="H417" s="47" t="str">
        <f>IFERROR(VLOOKUP(G417,WholesaleExtract!B:L,11,FALSE),"")</f>
        <v/>
      </c>
      <c r="I417" s="26" t="str">
        <f>IFERROR(VLOOKUP(G417,WholesaleExtract!B:O,8,FALSE),"")</f>
        <v/>
      </c>
      <c r="J417" s="26" t="str">
        <f>IFERROR(VLOOKUP(G417,WholesaleExtract!B:O,14,FALSE),"")</f>
        <v/>
      </c>
      <c r="K417" s="26" t="str">
        <f>IFERROR(VLOOKUP(G417,WholesaleExtract!B:K,10,FALSE),"")</f>
        <v/>
      </c>
      <c r="L417" s="47" t="str">
        <f>IFERROR(VLOOKUP(G417,WholesaleExtract!B:L,11,FALSE),"")</f>
        <v/>
      </c>
      <c r="M417" s="47" t="str">
        <f>IFERROR(VLOOKUP(G417,WholesaleExtract!B:M,12,FALSE),"")</f>
        <v/>
      </c>
      <c r="N417" s="27"/>
      <c r="O417" s="19"/>
      <c r="P417" s="19"/>
      <c r="Q417" s="47"/>
      <c r="R417" s="19"/>
      <c r="S417" s="19"/>
    </row>
    <row r="418" spans="1:19" x14ac:dyDescent="0.35">
      <c r="A418" s="26" t="s">
        <v>543</v>
      </c>
      <c r="B418" s="26" t="s">
        <v>543</v>
      </c>
      <c r="C418" s="26"/>
      <c r="D418" s="26" t="s">
        <v>543</v>
      </c>
      <c r="E418" s="26" t="str">
        <f>IFERROR(VLOOKUP(G418,WholesaleExtract!B:J,9,FALSE),"")</f>
        <v/>
      </c>
      <c r="F418" s="26" t="str">
        <f>IFERROR(VLOOKUP(G418,WholesaleExtract!B:J,6,FALSE),"")</f>
        <v/>
      </c>
      <c r="G418" s="19"/>
      <c r="H418" s="47" t="str">
        <f>IFERROR(VLOOKUP(G418,WholesaleExtract!B:L,11,FALSE),"")</f>
        <v/>
      </c>
      <c r="I418" s="26" t="str">
        <f>IFERROR(VLOOKUP(G418,WholesaleExtract!B:O,8,FALSE),"")</f>
        <v/>
      </c>
      <c r="J418" s="26" t="str">
        <f>IFERROR(VLOOKUP(G418,WholesaleExtract!B:O,14,FALSE),"")</f>
        <v/>
      </c>
      <c r="K418" s="26" t="str">
        <f>IFERROR(VLOOKUP(G418,WholesaleExtract!B:K,10,FALSE),"")</f>
        <v/>
      </c>
      <c r="L418" s="47" t="str">
        <f>IFERROR(VLOOKUP(G418,WholesaleExtract!B:L,11,FALSE),"")</f>
        <v/>
      </c>
      <c r="M418" s="47" t="str">
        <f>IFERROR(VLOOKUP(G418,WholesaleExtract!B:M,12,FALSE),"")</f>
        <v/>
      </c>
      <c r="N418" s="27"/>
      <c r="O418" s="19"/>
      <c r="P418" s="19"/>
      <c r="Q418" s="47"/>
      <c r="R418" s="19"/>
      <c r="S418" s="19"/>
    </row>
    <row r="419" spans="1:19" x14ac:dyDescent="0.35">
      <c r="A419" s="26" t="s">
        <v>543</v>
      </c>
      <c r="B419" s="26" t="s">
        <v>543</v>
      </c>
      <c r="C419" s="26"/>
      <c r="D419" s="26" t="s">
        <v>543</v>
      </c>
      <c r="E419" s="26" t="str">
        <f>IFERROR(VLOOKUP(G419,WholesaleExtract!B:J,9,FALSE),"")</f>
        <v/>
      </c>
      <c r="F419" s="26" t="str">
        <f>IFERROR(VLOOKUP(G419,WholesaleExtract!B:J,6,FALSE),"")</f>
        <v/>
      </c>
      <c r="G419" s="19"/>
      <c r="H419" s="47" t="str">
        <f>IFERROR(VLOOKUP(G419,WholesaleExtract!B:L,11,FALSE),"")</f>
        <v/>
      </c>
      <c r="I419" s="26" t="str">
        <f>IFERROR(VLOOKUP(G419,WholesaleExtract!B:O,8,FALSE),"")</f>
        <v/>
      </c>
      <c r="J419" s="26" t="str">
        <f>IFERROR(VLOOKUP(G419,WholesaleExtract!B:O,14,FALSE),"")</f>
        <v/>
      </c>
      <c r="K419" s="26" t="str">
        <f>IFERROR(VLOOKUP(G419,WholesaleExtract!B:K,10,FALSE),"")</f>
        <v/>
      </c>
      <c r="L419" s="47" t="str">
        <f>IFERROR(VLOOKUP(G419,WholesaleExtract!B:L,11,FALSE),"")</f>
        <v/>
      </c>
      <c r="M419" s="47" t="str">
        <f>IFERROR(VLOOKUP(G419,WholesaleExtract!B:M,12,FALSE),"")</f>
        <v/>
      </c>
      <c r="N419" s="27"/>
      <c r="O419" s="19"/>
      <c r="P419" s="19"/>
      <c r="Q419" s="47"/>
      <c r="R419" s="19"/>
      <c r="S419" s="19"/>
    </row>
    <row r="420" spans="1:19" x14ac:dyDescent="0.35">
      <c r="A420" s="26" t="s">
        <v>543</v>
      </c>
      <c r="B420" s="26" t="s">
        <v>543</v>
      </c>
      <c r="C420" s="26"/>
      <c r="D420" s="26" t="s">
        <v>543</v>
      </c>
      <c r="E420" s="26" t="str">
        <f>IFERROR(VLOOKUP(G420,WholesaleExtract!B:J,9,FALSE),"")</f>
        <v/>
      </c>
      <c r="F420" s="26" t="str">
        <f>IFERROR(VLOOKUP(G420,WholesaleExtract!B:J,6,FALSE),"")</f>
        <v/>
      </c>
      <c r="G420" s="19"/>
      <c r="H420" s="47" t="str">
        <f>IFERROR(VLOOKUP(G420,WholesaleExtract!B:L,11,FALSE),"")</f>
        <v/>
      </c>
      <c r="I420" s="26" t="str">
        <f>IFERROR(VLOOKUP(G420,WholesaleExtract!B:O,8,FALSE),"")</f>
        <v/>
      </c>
      <c r="J420" s="26" t="str">
        <f>IFERROR(VLOOKUP(G420,WholesaleExtract!B:O,14,FALSE),"")</f>
        <v/>
      </c>
      <c r="K420" s="26" t="str">
        <f>IFERROR(VLOOKUP(G420,WholesaleExtract!B:K,10,FALSE),"")</f>
        <v/>
      </c>
      <c r="L420" s="47" t="str">
        <f>IFERROR(VLOOKUP(G420,WholesaleExtract!B:L,11,FALSE),"")</f>
        <v/>
      </c>
      <c r="M420" s="47" t="str">
        <f>IFERROR(VLOOKUP(G420,WholesaleExtract!B:M,12,FALSE),"")</f>
        <v/>
      </c>
      <c r="N420" s="27"/>
      <c r="O420" s="19"/>
      <c r="P420" s="19"/>
      <c r="Q420" s="47"/>
      <c r="R420" s="19"/>
      <c r="S420" s="19"/>
    </row>
    <row r="421" spans="1:19" x14ac:dyDescent="0.35">
      <c r="A421" s="26" t="s">
        <v>543</v>
      </c>
      <c r="B421" s="26" t="s">
        <v>543</v>
      </c>
      <c r="C421" s="26"/>
      <c r="D421" s="26" t="s">
        <v>543</v>
      </c>
      <c r="E421" s="26" t="str">
        <f>IFERROR(VLOOKUP(G421,WholesaleExtract!B:J,9,FALSE),"")</f>
        <v/>
      </c>
      <c r="F421" s="26" t="str">
        <f>IFERROR(VLOOKUP(G421,WholesaleExtract!B:J,6,FALSE),"")</f>
        <v/>
      </c>
      <c r="G421" s="19"/>
      <c r="H421" s="47" t="str">
        <f>IFERROR(VLOOKUP(G421,WholesaleExtract!B:L,11,FALSE),"")</f>
        <v/>
      </c>
      <c r="I421" s="26" t="str">
        <f>IFERROR(VLOOKUP(G421,WholesaleExtract!B:O,8,FALSE),"")</f>
        <v/>
      </c>
      <c r="J421" s="26" t="str">
        <f>IFERROR(VLOOKUP(G421,WholesaleExtract!B:O,14,FALSE),"")</f>
        <v/>
      </c>
      <c r="K421" s="26" t="str">
        <f>IFERROR(VLOOKUP(G421,WholesaleExtract!B:K,10,FALSE),"")</f>
        <v/>
      </c>
      <c r="L421" s="47" t="str">
        <f>IFERROR(VLOOKUP(G421,WholesaleExtract!B:L,11,FALSE),"")</f>
        <v/>
      </c>
      <c r="M421" s="47" t="str">
        <f>IFERROR(VLOOKUP(G421,WholesaleExtract!B:M,12,FALSE),"")</f>
        <v/>
      </c>
      <c r="N421" s="27"/>
      <c r="O421" s="19"/>
      <c r="P421" s="19"/>
      <c r="Q421" s="47"/>
      <c r="R421" s="19"/>
      <c r="S421" s="19"/>
    </row>
    <row r="422" spans="1:19" x14ac:dyDescent="0.35">
      <c r="A422" s="26" t="s">
        <v>543</v>
      </c>
      <c r="B422" s="26" t="s">
        <v>543</v>
      </c>
      <c r="C422" s="26"/>
      <c r="D422" s="26" t="s">
        <v>543</v>
      </c>
      <c r="E422" s="26" t="str">
        <f>IFERROR(VLOOKUP(G422,WholesaleExtract!B:J,9,FALSE),"")</f>
        <v/>
      </c>
      <c r="F422" s="26" t="str">
        <f>IFERROR(VLOOKUP(G422,WholesaleExtract!B:J,6,FALSE),"")</f>
        <v/>
      </c>
      <c r="G422" s="19"/>
      <c r="H422" s="47" t="str">
        <f>IFERROR(VLOOKUP(G422,WholesaleExtract!B:L,11,FALSE),"")</f>
        <v/>
      </c>
      <c r="I422" s="26" t="str">
        <f>IFERROR(VLOOKUP(G422,WholesaleExtract!B:O,8,FALSE),"")</f>
        <v/>
      </c>
      <c r="J422" s="26" t="str">
        <f>IFERROR(VLOOKUP(G422,WholesaleExtract!B:O,14,FALSE),"")</f>
        <v/>
      </c>
      <c r="K422" s="26" t="str">
        <f>IFERROR(VLOOKUP(G422,WholesaleExtract!B:K,10,FALSE),"")</f>
        <v/>
      </c>
      <c r="L422" s="47" t="str">
        <f>IFERROR(VLOOKUP(G422,WholesaleExtract!B:L,11,FALSE),"")</f>
        <v/>
      </c>
      <c r="M422" s="47" t="str">
        <f>IFERROR(VLOOKUP(G422,WholesaleExtract!B:M,12,FALSE),"")</f>
        <v/>
      </c>
      <c r="N422" s="27"/>
      <c r="O422" s="19"/>
      <c r="P422" s="19"/>
      <c r="Q422" s="47"/>
      <c r="R422" s="19"/>
      <c r="S422" s="19"/>
    </row>
    <row r="423" spans="1:19" x14ac:dyDescent="0.35">
      <c r="A423" s="26" t="s">
        <v>543</v>
      </c>
      <c r="B423" s="26" t="s">
        <v>543</v>
      </c>
      <c r="C423" s="26"/>
      <c r="D423" s="26" t="s">
        <v>543</v>
      </c>
      <c r="E423" s="26" t="str">
        <f>IFERROR(VLOOKUP(G423,WholesaleExtract!B:J,9,FALSE),"")</f>
        <v/>
      </c>
      <c r="F423" s="26" t="str">
        <f>IFERROR(VLOOKUP(G423,WholesaleExtract!B:J,6,FALSE),"")</f>
        <v/>
      </c>
      <c r="G423" s="48"/>
      <c r="H423" s="47" t="str">
        <f>IFERROR(VLOOKUP(G423,WholesaleExtract!B:L,11,FALSE),"")</f>
        <v/>
      </c>
      <c r="I423" s="26" t="str">
        <f>IFERROR(VLOOKUP(G423,WholesaleExtract!B:O,8,FALSE),"")</f>
        <v/>
      </c>
      <c r="J423" s="26" t="str">
        <f>IFERROR(VLOOKUP(G423,WholesaleExtract!B:O,14,FALSE),"")</f>
        <v/>
      </c>
      <c r="K423" s="26" t="str">
        <f>IFERROR(VLOOKUP(G423,WholesaleExtract!B:K,10,FALSE),"")</f>
        <v/>
      </c>
      <c r="L423" s="47" t="str">
        <f>IFERROR(VLOOKUP(G423,WholesaleExtract!B:L,11,FALSE),"")</f>
        <v/>
      </c>
      <c r="M423" s="47" t="str">
        <f>IFERROR(VLOOKUP(G423,WholesaleExtract!B:M,12,FALSE),"")</f>
        <v/>
      </c>
      <c r="N423" s="27"/>
      <c r="O423" s="19"/>
      <c r="P423" s="19"/>
      <c r="Q423" s="47"/>
      <c r="R423" s="19"/>
      <c r="S423" s="19"/>
    </row>
    <row r="424" spans="1:19" x14ac:dyDescent="0.35">
      <c r="A424" s="26" t="s">
        <v>543</v>
      </c>
      <c r="B424" s="26" t="s">
        <v>543</v>
      </c>
      <c r="C424" s="26"/>
      <c r="D424" s="26" t="s">
        <v>543</v>
      </c>
      <c r="E424" s="26" t="str">
        <f>IFERROR(VLOOKUP(G424,WholesaleExtract!B:J,9,FALSE),"")</f>
        <v/>
      </c>
      <c r="F424" s="26" t="str">
        <f>IFERROR(VLOOKUP(G424,WholesaleExtract!B:J,6,FALSE),"")</f>
        <v/>
      </c>
      <c r="G424" s="48"/>
      <c r="H424" s="47" t="str">
        <f>IFERROR(VLOOKUP(G424,WholesaleExtract!B:L,11,FALSE),"")</f>
        <v/>
      </c>
      <c r="I424" s="26" t="str">
        <f>IFERROR(VLOOKUP(G424,WholesaleExtract!B:O,8,FALSE),"")</f>
        <v/>
      </c>
      <c r="J424" s="26" t="str">
        <f>IFERROR(VLOOKUP(G424,WholesaleExtract!B:O,14,FALSE),"")</f>
        <v/>
      </c>
      <c r="K424" s="26" t="str">
        <f>IFERROR(VLOOKUP(G424,WholesaleExtract!B:K,10,FALSE),"")</f>
        <v/>
      </c>
      <c r="L424" s="47" t="str">
        <f>IFERROR(VLOOKUP(G424,WholesaleExtract!B:L,11,FALSE),"")</f>
        <v/>
      </c>
      <c r="M424" s="47" t="str">
        <f>IFERROR(VLOOKUP(G424,WholesaleExtract!B:M,12,FALSE),"")</f>
        <v/>
      </c>
      <c r="N424" s="27"/>
      <c r="O424" s="19"/>
      <c r="P424" s="19"/>
      <c r="Q424" s="47"/>
      <c r="R424" s="19"/>
      <c r="S424" s="19"/>
    </row>
    <row r="425" spans="1:19" x14ac:dyDescent="0.35">
      <c r="A425" s="26" t="s">
        <v>543</v>
      </c>
      <c r="B425" s="26" t="s">
        <v>543</v>
      </c>
      <c r="C425" s="26"/>
      <c r="D425" s="26" t="s">
        <v>543</v>
      </c>
      <c r="E425" s="26" t="str">
        <f>IFERROR(VLOOKUP(G425,WholesaleExtract!B:J,9,FALSE),"")</f>
        <v/>
      </c>
      <c r="F425" s="26" t="str">
        <f>IFERROR(VLOOKUP(G425,WholesaleExtract!B:J,6,FALSE),"")</f>
        <v/>
      </c>
      <c r="G425" s="48"/>
      <c r="H425" s="47" t="str">
        <f>IFERROR(VLOOKUP(G425,WholesaleExtract!B:L,11,FALSE),"")</f>
        <v/>
      </c>
      <c r="I425" s="26" t="str">
        <f>IFERROR(VLOOKUP(G425,WholesaleExtract!B:O,8,FALSE),"")</f>
        <v/>
      </c>
      <c r="J425" s="26" t="str">
        <f>IFERROR(VLOOKUP(G425,WholesaleExtract!B:O,14,FALSE),"")</f>
        <v/>
      </c>
      <c r="K425" s="26" t="str">
        <f>IFERROR(VLOOKUP(G425,WholesaleExtract!B:K,10,FALSE),"")</f>
        <v/>
      </c>
      <c r="L425" s="47" t="str">
        <f>IFERROR(VLOOKUP(G425,WholesaleExtract!B:L,11,FALSE),"")</f>
        <v/>
      </c>
      <c r="M425" s="47" t="str">
        <f>IFERROR(VLOOKUP(G425,WholesaleExtract!B:M,12,FALSE),"")</f>
        <v/>
      </c>
      <c r="N425" s="27"/>
      <c r="O425" s="19"/>
      <c r="P425" s="19"/>
      <c r="Q425" s="47"/>
      <c r="R425" s="19"/>
      <c r="S425" s="19"/>
    </row>
    <row r="426" spans="1:19" x14ac:dyDescent="0.35">
      <c r="A426" s="26" t="s">
        <v>543</v>
      </c>
      <c r="B426" s="26" t="s">
        <v>543</v>
      </c>
      <c r="C426" s="26"/>
      <c r="D426" s="26" t="s">
        <v>543</v>
      </c>
      <c r="E426" s="26" t="str">
        <f>IFERROR(VLOOKUP(G426,WholesaleExtract!B:J,9,FALSE),"")</f>
        <v/>
      </c>
      <c r="F426" s="26" t="str">
        <f>IFERROR(VLOOKUP(G426,WholesaleExtract!B:J,6,FALSE),"")</f>
        <v/>
      </c>
      <c r="G426" s="48"/>
      <c r="H426" s="47" t="str">
        <f>IFERROR(VLOOKUP(G426,WholesaleExtract!B:L,11,FALSE),"")</f>
        <v/>
      </c>
      <c r="I426" s="26" t="str">
        <f>IFERROR(VLOOKUP(G426,WholesaleExtract!B:O,8,FALSE),"")</f>
        <v/>
      </c>
      <c r="J426" s="26" t="str">
        <f>IFERROR(VLOOKUP(G426,WholesaleExtract!B:O,14,FALSE),"")</f>
        <v/>
      </c>
      <c r="K426" s="26" t="str">
        <f>IFERROR(VLOOKUP(G426,WholesaleExtract!B:K,10,FALSE),"")</f>
        <v/>
      </c>
      <c r="L426" s="47" t="str">
        <f>IFERROR(VLOOKUP(G426,WholesaleExtract!B:L,11,FALSE),"")</f>
        <v/>
      </c>
      <c r="M426" s="47" t="str">
        <f>IFERROR(VLOOKUP(G426,WholesaleExtract!B:M,12,FALSE),"")</f>
        <v/>
      </c>
      <c r="N426" s="27"/>
      <c r="O426" s="19"/>
      <c r="P426" s="19"/>
      <c r="Q426" s="47"/>
      <c r="R426" s="19"/>
      <c r="S426" s="19"/>
    </row>
    <row r="427" spans="1:19" x14ac:dyDescent="0.35">
      <c r="A427" s="26" t="s">
        <v>543</v>
      </c>
      <c r="B427" s="26" t="s">
        <v>543</v>
      </c>
      <c r="C427" s="26"/>
      <c r="D427" s="26" t="s">
        <v>543</v>
      </c>
      <c r="E427" s="26" t="str">
        <f>IFERROR(VLOOKUP(G427,WholesaleExtract!B:J,9,FALSE),"")</f>
        <v/>
      </c>
      <c r="F427" s="26" t="str">
        <f>IFERROR(VLOOKUP(G427,WholesaleExtract!B:J,6,FALSE),"")</f>
        <v/>
      </c>
      <c r="G427" s="48"/>
      <c r="H427" s="47" t="str">
        <f>IFERROR(VLOOKUP(G427,WholesaleExtract!B:L,11,FALSE),"")</f>
        <v/>
      </c>
      <c r="I427" s="26" t="str">
        <f>IFERROR(VLOOKUP(G427,WholesaleExtract!B:O,8,FALSE),"")</f>
        <v/>
      </c>
      <c r="J427" s="26" t="str">
        <f>IFERROR(VLOOKUP(G427,WholesaleExtract!B:O,14,FALSE),"")</f>
        <v/>
      </c>
      <c r="K427" s="26" t="str">
        <f>IFERROR(VLOOKUP(G427,WholesaleExtract!B:K,10,FALSE),"")</f>
        <v/>
      </c>
      <c r="L427" s="47" t="str">
        <f>IFERROR(VLOOKUP(G427,WholesaleExtract!B:L,11,FALSE),"")</f>
        <v/>
      </c>
      <c r="M427" s="47" t="str">
        <f>IFERROR(VLOOKUP(G427,WholesaleExtract!B:M,12,FALSE),"")</f>
        <v/>
      </c>
      <c r="N427" s="27"/>
      <c r="O427" s="19"/>
      <c r="P427" s="19"/>
      <c r="Q427" s="47"/>
      <c r="R427" s="19"/>
      <c r="S427" s="19"/>
    </row>
    <row r="428" spans="1:19" x14ac:dyDescent="0.35">
      <c r="A428" s="26" t="s">
        <v>543</v>
      </c>
      <c r="B428" s="26" t="s">
        <v>543</v>
      </c>
      <c r="C428" s="26"/>
      <c r="D428" s="26" t="s">
        <v>543</v>
      </c>
      <c r="E428" s="26" t="str">
        <f>IFERROR(VLOOKUP(G428,WholesaleExtract!B:J,9,FALSE),"")</f>
        <v/>
      </c>
      <c r="F428" s="26" t="str">
        <f>IFERROR(VLOOKUP(G428,WholesaleExtract!B:J,6,FALSE),"")</f>
        <v/>
      </c>
      <c r="G428" s="48"/>
      <c r="H428" s="47" t="str">
        <f>IFERROR(VLOOKUP(G428,WholesaleExtract!B:L,11,FALSE),"")</f>
        <v/>
      </c>
      <c r="I428" s="26" t="str">
        <f>IFERROR(VLOOKUP(G428,WholesaleExtract!B:O,8,FALSE),"")</f>
        <v/>
      </c>
      <c r="J428" s="26" t="str">
        <f>IFERROR(VLOOKUP(G428,WholesaleExtract!B:O,14,FALSE),"")</f>
        <v/>
      </c>
      <c r="K428" s="26" t="str">
        <f>IFERROR(VLOOKUP(G428,WholesaleExtract!B:K,10,FALSE),"")</f>
        <v/>
      </c>
      <c r="L428" s="47" t="str">
        <f>IFERROR(VLOOKUP(G428,WholesaleExtract!B:L,11,FALSE),"")</f>
        <v/>
      </c>
      <c r="M428" s="47" t="str">
        <f>IFERROR(VLOOKUP(G428,WholesaleExtract!B:M,12,FALSE),"")</f>
        <v/>
      </c>
      <c r="N428" s="27"/>
      <c r="O428" s="19"/>
      <c r="P428" s="19"/>
      <c r="Q428" s="47"/>
      <c r="R428" s="19"/>
      <c r="S428" s="19"/>
    </row>
    <row r="429" spans="1:19" x14ac:dyDescent="0.35">
      <c r="A429" s="26" t="s">
        <v>543</v>
      </c>
      <c r="B429" s="26" t="s">
        <v>543</v>
      </c>
      <c r="C429" s="26"/>
      <c r="D429" s="26" t="s">
        <v>543</v>
      </c>
      <c r="E429" s="26" t="str">
        <f>IFERROR(VLOOKUP(G429,WholesaleExtract!B:J,9,FALSE),"")</f>
        <v/>
      </c>
      <c r="F429" s="26" t="str">
        <f>IFERROR(VLOOKUP(G429,WholesaleExtract!B:J,6,FALSE),"")</f>
        <v/>
      </c>
      <c r="G429" s="48"/>
      <c r="H429" s="47" t="str">
        <f>IFERROR(VLOOKUP(G429,WholesaleExtract!B:L,11,FALSE),"")</f>
        <v/>
      </c>
      <c r="I429" s="26" t="str">
        <f>IFERROR(VLOOKUP(G429,WholesaleExtract!B:O,8,FALSE),"")</f>
        <v/>
      </c>
      <c r="J429" s="26" t="str">
        <f>IFERROR(VLOOKUP(G429,WholesaleExtract!B:O,14,FALSE),"")</f>
        <v/>
      </c>
      <c r="K429" s="26" t="str">
        <f>IFERROR(VLOOKUP(G429,WholesaleExtract!B:K,10,FALSE),"")</f>
        <v/>
      </c>
      <c r="L429" s="47" t="str">
        <f>IFERROR(VLOOKUP(G429,WholesaleExtract!B:L,11,FALSE),"")</f>
        <v/>
      </c>
      <c r="M429" s="47" t="str">
        <f>IFERROR(VLOOKUP(G429,WholesaleExtract!B:M,12,FALSE),"")</f>
        <v/>
      </c>
      <c r="N429" s="27"/>
      <c r="O429" s="19"/>
      <c r="P429" s="19"/>
      <c r="Q429" s="47"/>
      <c r="R429" s="19"/>
      <c r="S429" s="19"/>
    </row>
    <row r="430" spans="1:19" x14ac:dyDescent="0.35">
      <c r="A430" s="26" t="s">
        <v>543</v>
      </c>
      <c r="B430" s="26" t="s">
        <v>543</v>
      </c>
      <c r="C430" s="26"/>
      <c r="D430" s="26" t="s">
        <v>543</v>
      </c>
      <c r="E430" s="26" t="str">
        <f>IFERROR(VLOOKUP(G430,WholesaleExtract!B:J,9,FALSE),"")</f>
        <v/>
      </c>
      <c r="F430" s="26" t="str">
        <f>IFERROR(VLOOKUP(G430,WholesaleExtract!B:J,6,FALSE),"")</f>
        <v/>
      </c>
      <c r="G430" s="48"/>
      <c r="H430" s="47" t="str">
        <f>IFERROR(VLOOKUP(G430,WholesaleExtract!B:L,11,FALSE),"")</f>
        <v/>
      </c>
      <c r="I430" s="26" t="str">
        <f>IFERROR(VLOOKUP(G430,WholesaleExtract!B:O,8,FALSE),"")</f>
        <v/>
      </c>
      <c r="J430" s="26" t="str">
        <f>IFERROR(VLOOKUP(G430,WholesaleExtract!B:O,14,FALSE),"")</f>
        <v/>
      </c>
      <c r="K430" s="26" t="str">
        <f>IFERROR(VLOOKUP(G430,WholesaleExtract!B:K,10,FALSE),"")</f>
        <v/>
      </c>
      <c r="L430" s="47" t="str">
        <f>IFERROR(VLOOKUP(G430,WholesaleExtract!B:L,11,FALSE),"")</f>
        <v/>
      </c>
      <c r="M430" s="47" t="str">
        <f>IFERROR(VLOOKUP(G430,WholesaleExtract!B:M,12,FALSE),"")</f>
        <v/>
      </c>
      <c r="N430" s="27"/>
      <c r="O430" s="19"/>
      <c r="P430" s="19"/>
      <c r="Q430" s="47"/>
      <c r="R430" s="19"/>
      <c r="S430" s="19"/>
    </row>
    <row r="431" spans="1:19" x14ac:dyDescent="0.35">
      <c r="A431" s="26" t="s">
        <v>543</v>
      </c>
      <c r="B431" s="26" t="s">
        <v>543</v>
      </c>
      <c r="C431" s="26"/>
      <c r="D431" s="26" t="s">
        <v>543</v>
      </c>
      <c r="E431" s="26" t="str">
        <f>IFERROR(VLOOKUP(G431,WholesaleExtract!B:J,9,FALSE),"")</f>
        <v/>
      </c>
      <c r="F431" s="26" t="str">
        <f>IFERROR(VLOOKUP(G431,WholesaleExtract!B:J,6,FALSE),"")</f>
        <v/>
      </c>
      <c r="G431" s="48"/>
      <c r="H431" s="47" t="str">
        <f>IFERROR(VLOOKUP(G431,WholesaleExtract!B:L,11,FALSE),"")</f>
        <v/>
      </c>
      <c r="I431" s="26" t="str">
        <f>IFERROR(VLOOKUP(G431,WholesaleExtract!B:O,8,FALSE),"")</f>
        <v/>
      </c>
      <c r="J431" s="26" t="str">
        <f>IFERROR(VLOOKUP(G431,WholesaleExtract!B:O,14,FALSE),"")</f>
        <v/>
      </c>
      <c r="K431" s="26" t="str">
        <f>IFERROR(VLOOKUP(G431,WholesaleExtract!B:K,10,FALSE),"")</f>
        <v/>
      </c>
      <c r="L431" s="47" t="str">
        <f>IFERROR(VLOOKUP(G431,WholesaleExtract!B:L,11,FALSE),"")</f>
        <v/>
      </c>
      <c r="M431" s="47" t="str">
        <f>IFERROR(VLOOKUP(G431,WholesaleExtract!B:M,12,FALSE),"")</f>
        <v/>
      </c>
      <c r="N431" s="27"/>
      <c r="O431" s="19"/>
      <c r="P431" s="19"/>
      <c r="Q431" s="47"/>
      <c r="R431" s="19"/>
      <c r="S431" s="19"/>
    </row>
    <row r="432" spans="1:19" x14ac:dyDescent="0.35">
      <c r="A432" s="26" t="s">
        <v>543</v>
      </c>
      <c r="B432" s="26" t="s">
        <v>543</v>
      </c>
      <c r="C432" s="26"/>
      <c r="D432" s="26" t="s">
        <v>543</v>
      </c>
      <c r="E432" s="26" t="str">
        <f>IFERROR(VLOOKUP(G432,WholesaleExtract!B:J,9,FALSE),"")</f>
        <v/>
      </c>
      <c r="F432" s="26" t="str">
        <f>IFERROR(VLOOKUP(G432,WholesaleExtract!B:J,6,FALSE),"")</f>
        <v/>
      </c>
      <c r="G432" s="48"/>
      <c r="H432" s="47" t="str">
        <f>IFERROR(VLOOKUP(G432,WholesaleExtract!B:L,11,FALSE),"")</f>
        <v/>
      </c>
      <c r="I432" s="26" t="str">
        <f>IFERROR(VLOOKUP(G432,WholesaleExtract!B:O,8,FALSE),"")</f>
        <v/>
      </c>
      <c r="J432" s="26" t="str">
        <f>IFERROR(VLOOKUP(G432,WholesaleExtract!B:O,14,FALSE),"")</f>
        <v/>
      </c>
      <c r="K432" s="26" t="str">
        <f>IFERROR(VLOOKUP(G432,WholesaleExtract!B:K,10,FALSE),"")</f>
        <v/>
      </c>
      <c r="L432" s="47" t="str">
        <f>IFERROR(VLOOKUP(G432,WholesaleExtract!B:L,11,FALSE),"")</f>
        <v/>
      </c>
      <c r="M432" s="47" t="str">
        <f>IFERROR(VLOOKUP(G432,WholesaleExtract!B:M,12,FALSE),"")</f>
        <v/>
      </c>
      <c r="N432" s="27"/>
      <c r="O432" s="19"/>
      <c r="P432" s="19"/>
      <c r="Q432" s="47"/>
      <c r="R432" s="19"/>
      <c r="S432" s="19"/>
    </row>
    <row r="433" spans="1:19" x14ac:dyDescent="0.35">
      <c r="A433" s="26" t="s">
        <v>543</v>
      </c>
      <c r="B433" s="26" t="s">
        <v>543</v>
      </c>
      <c r="C433" s="26"/>
      <c r="D433" s="26" t="s">
        <v>543</v>
      </c>
      <c r="E433" s="26" t="str">
        <f>IFERROR(VLOOKUP(G433,WholesaleExtract!B:J,9,FALSE),"")</f>
        <v/>
      </c>
      <c r="F433" s="26" t="str">
        <f>IFERROR(VLOOKUP(G433,WholesaleExtract!B:J,6,FALSE),"")</f>
        <v/>
      </c>
      <c r="G433" s="48"/>
      <c r="H433" s="47" t="str">
        <f>IFERROR(VLOOKUP(G433,WholesaleExtract!B:L,11,FALSE),"")</f>
        <v/>
      </c>
      <c r="I433" s="26" t="str">
        <f>IFERROR(VLOOKUP(G433,WholesaleExtract!B:O,8,FALSE),"")</f>
        <v/>
      </c>
      <c r="J433" s="26" t="str">
        <f>IFERROR(VLOOKUP(G433,WholesaleExtract!B:O,14,FALSE),"")</f>
        <v/>
      </c>
      <c r="K433" s="26" t="str">
        <f>IFERROR(VLOOKUP(G433,WholesaleExtract!B:K,10,FALSE),"")</f>
        <v/>
      </c>
      <c r="L433" s="47" t="str">
        <f>IFERROR(VLOOKUP(G433,WholesaleExtract!B:L,11,FALSE),"")</f>
        <v/>
      </c>
      <c r="M433" s="47" t="str">
        <f>IFERROR(VLOOKUP(G433,WholesaleExtract!B:M,12,FALSE),"")</f>
        <v/>
      </c>
      <c r="N433" s="27"/>
      <c r="O433" s="19"/>
      <c r="P433" s="19"/>
      <c r="Q433" s="47"/>
      <c r="R433" s="19"/>
      <c r="S433" s="19"/>
    </row>
    <row r="434" spans="1:19" x14ac:dyDescent="0.35">
      <c r="A434" s="26" t="s">
        <v>543</v>
      </c>
      <c r="B434" s="26" t="s">
        <v>543</v>
      </c>
      <c r="C434" s="26"/>
      <c r="D434" s="26" t="s">
        <v>543</v>
      </c>
      <c r="E434" s="26" t="str">
        <f>IFERROR(VLOOKUP(G434,WholesaleExtract!B:J,9,FALSE),"")</f>
        <v/>
      </c>
      <c r="F434" s="26" t="str">
        <f>IFERROR(VLOOKUP(G434,WholesaleExtract!B:J,6,FALSE),"")</f>
        <v/>
      </c>
      <c r="G434" s="48"/>
      <c r="H434" s="47" t="str">
        <f>IFERROR(VLOOKUP(G434,WholesaleExtract!B:L,11,FALSE),"")</f>
        <v/>
      </c>
      <c r="I434" s="26" t="str">
        <f>IFERROR(VLOOKUP(G434,WholesaleExtract!B:O,8,FALSE),"")</f>
        <v/>
      </c>
      <c r="J434" s="26" t="str">
        <f>IFERROR(VLOOKUP(G434,WholesaleExtract!B:O,14,FALSE),"")</f>
        <v/>
      </c>
      <c r="K434" s="26" t="str">
        <f>IFERROR(VLOOKUP(G434,WholesaleExtract!B:K,10,FALSE),"")</f>
        <v/>
      </c>
      <c r="L434" s="47" t="str">
        <f>IFERROR(VLOOKUP(G434,WholesaleExtract!B:L,11,FALSE),"")</f>
        <v/>
      </c>
      <c r="M434" s="47" t="str">
        <f>IFERROR(VLOOKUP(G434,WholesaleExtract!B:M,12,FALSE),"")</f>
        <v/>
      </c>
      <c r="N434" s="27"/>
      <c r="O434" s="19"/>
      <c r="P434" s="19"/>
      <c r="Q434" s="47"/>
      <c r="R434" s="19"/>
      <c r="S434" s="19"/>
    </row>
    <row r="435" spans="1:19" x14ac:dyDescent="0.35">
      <c r="A435" s="26" t="s">
        <v>543</v>
      </c>
      <c r="B435" s="26" t="s">
        <v>543</v>
      </c>
      <c r="C435" s="26"/>
      <c r="D435" s="26" t="s">
        <v>543</v>
      </c>
      <c r="E435" s="26" t="str">
        <f>IFERROR(VLOOKUP(G435,WholesaleExtract!B:J,9,FALSE),"")</f>
        <v/>
      </c>
      <c r="F435" s="26" t="str">
        <f>IFERROR(VLOOKUP(G435,WholesaleExtract!B:J,6,FALSE),"")</f>
        <v/>
      </c>
      <c r="G435" s="48"/>
      <c r="H435" s="47" t="str">
        <f>IFERROR(VLOOKUP(G435,WholesaleExtract!B:L,11,FALSE),"")</f>
        <v/>
      </c>
      <c r="I435" s="26" t="str">
        <f>IFERROR(VLOOKUP(G435,WholesaleExtract!B:O,8,FALSE),"")</f>
        <v/>
      </c>
      <c r="J435" s="26" t="str">
        <f>IFERROR(VLOOKUP(G435,WholesaleExtract!B:O,14,FALSE),"")</f>
        <v/>
      </c>
      <c r="K435" s="26" t="str">
        <f>IFERROR(VLOOKUP(G435,WholesaleExtract!B:K,10,FALSE),"")</f>
        <v/>
      </c>
      <c r="L435" s="47" t="str">
        <f>IFERROR(VLOOKUP(G435,WholesaleExtract!B:L,11,FALSE),"")</f>
        <v/>
      </c>
      <c r="M435" s="47" t="str">
        <f>IFERROR(VLOOKUP(G435,WholesaleExtract!B:M,12,FALSE),"")</f>
        <v/>
      </c>
      <c r="N435" s="27"/>
      <c r="O435" s="19"/>
      <c r="P435" s="19"/>
      <c r="Q435" s="47"/>
      <c r="R435" s="19"/>
      <c r="S435" s="19"/>
    </row>
    <row r="436" spans="1:19" x14ac:dyDescent="0.35">
      <c r="A436" s="26" t="s">
        <v>543</v>
      </c>
      <c r="B436" s="26" t="s">
        <v>543</v>
      </c>
      <c r="C436" s="26"/>
      <c r="D436" s="26" t="s">
        <v>543</v>
      </c>
      <c r="E436" s="26" t="str">
        <f>IFERROR(VLOOKUP(G436,WholesaleExtract!B:J,9,FALSE),"")</f>
        <v/>
      </c>
      <c r="F436" s="26" t="str">
        <f>IFERROR(VLOOKUP(G436,WholesaleExtract!B:J,6,FALSE),"")</f>
        <v/>
      </c>
      <c r="G436" s="48"/>
      <c r="H436" s="47" t="str">
        <f>IFERROR(VLOOKUP(G436,WholesaleExtract!B:L,11,FALSE),"")</f>
        <v/>
      </c>
      <c r="I436" s="26" t="str">
        <f>IFERROR(VLOOKUP(G436,WholesaleExtract!B:O,8,FALSE),"")</f>
        <v/>
      </c>
      <c r="J436" s="26" t="str">
        <f>IFERROR(VLOOKUP(G436,WholesaleExtract!B:O,14,FALSE),"")</f>
        <v/>
      </c>
      <c r="K436" s="26" t="str">
        <f>IFERROR(VLOOKUP(G436,WholesaleExtract!B:K,10,FALSE),"")</f>
        <v/>
      </c>
      <c r="L436" s="47" t="str">
        <f>IFERROR(VLOOKUP(G436,WholesaleExtract!B:L,11,FALSE),"")</f>
        <v/>
      </c>
      <c r="M436" s="47" t="str">
        <f>IFERROR(VLOOKUP(G436,WholesaleExtract!B:M,12,FALSE),"")</f>
        <v/>
      </c>
      <c r="N436" s="27"/>
      <c r="O436" s="19"/>
      <c r="P436" s="19"/>
      <c r="Q436" s="47"/>
      <c r="R436" s="19"/>
      <c r="S436" s="19"/>
    </row>
    <row r="437" spans="1:19" x14ac:dyDescent="0.35">
      <c r="A437" s="26" t="s">
        <v>543</v>
      </c>
      <c r="B437" s="26" t="s">
        <v>543</v>
      </c>
      <c r="C437" s="26"/>
      <c r="D437" s="26" t="s">
        <v>543</v>
      </c>
      <c r="E437" s="26" t="str">
        <f>IFERROR(VLOOKUP(G437,WholesaleExtract!B:J,9,FALSE),"")</f>
        <v/>
      </c>
      <c r="F437" s="26" t="str">
        <f>IFERROR(VLOOKUP(G437,WholesaleExtract!B:J,6,FALSE),"")</f>
        <v/>
      </c>
      <c r="G437" s="48"/>
      <c r="H437" s="47" t="str">
        <f>IFERROR(VLOOKUP(G437,WholesaleExtract!B:L,11,FALSE),"")</f>
        <v/>
      </c>
      <c r="I437" s="26" t="str">
        <f>IFERROR(VLOOKUP(G437,WholesaleExtract!B:O,8,FALSE),"")</f>
        <v/>
      </c>
      <c r="J437" s="26" t="str">
        <f>IFERROR(VLOOKUP(G437,WholesaleExtract!B:O,14,FALSE),"")</f>
        <v/>
      </c>
      <c r="K437" s="26" t="str">
        <f>IFERROR(VLOOKUP(G437,WholesaleExtract!B:K,10,FALSE),"")</f>
        <v/>
      </c>
      <c r="L437" s="47" t="str">
        <f>IFERROR(VLOOKUP(G437,WholesaleExtract!B:L,11,FALSE),"")</f>
        <v/>
      </c>
      <c r="M437" s="47" t="str">
        <f>IFERROR(VLOOKUP(G437,WholesaleExtract!B:M,12,FALSE),"")</f>
        <v/>
      </c>
      <c r="N437" s="27"/>
      <c r="O437" s="19"/>
      <c r="P437" s="19"/>
      <c r="Q437" s="47"/>
      <c r="R437" s="19"/>
      <c r="S437" s="19"/>
    </row>
    <row r="438" spans="1:19" x14ac:dyDescent="0.35">
      <c r="A438" s="26" t="s">
        <v>543</v>
      </c>
      <c r="B438" s="26" t="s">
        <v>543</v>
      </c>
      <c r="C438" s="26"/>
      <c r="D438" s="26" t="s">
        <v>543</v>
      </c>
      <c r="E438" s="26" t="str">
        <f>IFERROR(VLOOKUP(G438,WholesaleExtract!B:J,9,FALSE),"")</f>
        <v/>
      </c>
      <c r="F438" s="26" t="str">
        <f>IFERROR(VLOOKUP(G438,WholesaleExtract!B:J,6,FALSE),"")</f>
        <v/>
      </c>
      <c r="G438" s="48"/>
      <c r="H438" s="47" t="str">
        <f>IFERROR(VLOOKUP(G438,WholesaleExtract!B:L,11,FALSE),"")</f>
        <v/>
      </c>
      <c r="I438" s="26" t="str">
        <f>IFERROR(VLOOKUP(G438,WholesaleExtract!B:O,8,FALSE),"")</f>
        <v/>
      </c>
      <c r="J438" s="26" t="str">
        <f>IFERROR(VLOOKUP(G438,WholesaleExtract!B:O,14,FALSE),"")</f>
        <v/>
      </c>
      <c r="K438" s="26" t="str">
        <f>IFERROR(VLOOKUP(G438,WholesaleExtract!B:K,10,FALSE),"")</f>
        <v/>
      </c>
      <c r="L438" s="47" t="str">
        <f>IFERROR(VLOOKUP(G438,WholesaleExtract!B:L,11,FALSE),"")</f>
        <v/>
      </c>
      <c r="M438" s="47" t="str">
        <f>IFERROR(VLOOKUP(G438,WholesaleExtract!B:M,12,FALSE),"")</f>
        <v/>
      </c>
      <c r="N438" s="27"/>
      <c r="O438" s="19"/>
      <c r="P438" s="19"/>
      <c r="Q438" s="47"/>
      <c r="R438" s="19"/>
      <c r="S438" s="19"/>
    </row>
    <row r="439" spans="1:19" x14ac:dyDescent="0.35">
      <c r="A439" s="26" t="s">
        <v>543</v>
      </c>
      <c r="B439" s="26" t="s">
        <v>543</v>
      </c>
      <c r="C439" s="26"/>
      <c r="D439" s="26" t="s">
        <v>543</v>
      </c>
      <c r="E439" s="26" t="str">
        <f>IFERROR(VLOOKUP(G439,WholesaleExtract!B:J,9,FALSE),"")</f>
        <v/>
      </c>
      <c r="F439" s="26" t="str">
        <f>IFERROR(VLOOKUP(G439,WholesaleExtract!B:J,6,FALSE),"")</f>
        <v/>
      </c>
      <c r="G439" s="48"/>
      <c r="H439" s="47" t="str">
        <f>IFERROR(VLOOKUP(G439,WholesaleExtract!B:L,11,FALSE),"")</f>
        <v/>
      </c>
      <c r="I439" s="26" t="str">
        <f>IFERROR(VLOOKUP(G439,WholesaleExtract!B:O,8,FALSE),"")</f>
        <v/>
      </c>
      <c r="J439" s="26" t="str">
        <f>IFERROR(VLOOKUP(G439,WholesaleExtract!B:O,14,FALSE),"")</f>
        <v/>
      </c>
      <c r="K439" s="26" t="str">
        <f>IFERROR(VLOOKUP(G439,WholesaleExtract!B:K,10,FALSE),"")</f>
        <v/>
      </c>
      <c r="L439" s="47" t="str">
        <f>IFERROR(VLOOKUP(G439,WholesaleExtract!B:L,11,FALSE),"")</f>
        <v/>
      </c>
      <c r="M439" s="47" t="str">
        <f>IFERROR(VLOOKUP(G439,WholesaleExtract!B:M,12,FALSE),"")</f>
        <v/>
      </c>
      <c r="N439" s="27"/>
      <c r="O439" s="19"/>
      <c r="P439" s="19"/>
      <c r="Q439" s="47"/>
      <c r="R439" s="19"/>
      <c r="S439" s="19"/>
    </row>
    <row r="440" spans="1:19" x14ac:dyDescent="0.35">
      <c r="A440" s="26" t="s">
        <v>543</v>
      </c>
      <c r="B440" s="26" t="s">
        <v>543</v>
      </c>
      <c r="C440" s="26"/>
      <c r="D440" s="26" t="s">
        <v>543</v>
      </c>
      <c r="E440" s="26" t="str">
        <f>IFERROR(VLOOKUP(G440,WholesaleExtract!B:J,9,FALSE),"")</f>
        <v/>
      </c>
      <c r="F440" s="26" t="str">
        <f>IFERROR(VLOOKUP(G440,WholesaleExtract!B:J,6,FALSE),"")</f>
        <v/>
      </c>
      <c r="G440" s="48"/>
      <c r="H440" s="47" t="str">
        <f>IFERROR(VLOOKUP(G440,WholesaleExtract!B:L,11,FALSE),"")</f>
        <v/>
      </c>
      <c r="I440" s="26" t="str">
        <f>IFERROR(VLOOKUP(G440,WholesaleExtract!B:O,8,FALSE),"")</f>
        <v/>
      </c>
      <c r="J440" s="26" t="str">
        <f>IFERROR(VLOOKUP(G440,WholesaleExtract!B:O,14,FALSE),"")</f>
        <v/>
      </c>
      <c r="K440" s="26" t="str">
        <f>IFERROR(VLOOKUP(G440,WholesaleExtract!B:K,10,FALSE),"")</f>
        <v/>
      </c>
      <c r="L440" s="47" t="str">
        <f>IFERROR(VLOOKUP(G440,WholesaleExtract!B:L,11,FALSE),"")</f>
        <v/>
      </c>
      <c r="M440" s="47" t="str">
        <f>IFERROR(VLOOKUP(G440,WholesaleExtract!B:M,12,FALSE),"")</f>
        <v/>
      </c>
      <c r="N440" s="27"/>
      <c r="O440" s="19"/>
      <c r="P440" s="19"/>
      <c r="Q440" s="47"/>
      <c r="R440" s="19"/>
      <c r="S440" s="19"/>
    </row>
    <row r="441" spans="1:19" x14ac:dyDescent="0.35">
      <c r="A441" s="26" t="s">
        <v>543</v>
      </c>
      <c r="B441" s="26" t="s">
        <v>543</v>
      </c>
      <c r="C441" s="26"/>
      <c r="D441" s="26" t="s">
        <v>543</v>
      </c>
      <c r="E441" s="26" t="str">
        <f>IFERROR(VLOOKUP(G441,WholesaleExtract!B:J,9,FALSE),"")</f>
        <v/>
      </c>
      <c r="F441" s="26" t="str">
        <f>IFERROR(VLOOKUP(G441,WholesaleExtract!B:J,6,FALSE),"")</f>
        <v/>
      </c>
      <c r="G441" s="48"/>
      <c r="H441" s="47" t="str">
        <f>IFERROR(VLOOKUP(G441,WholesaleExtract!B:L,11,FALSE),"")</f>
        <v/>
      </c>
      <c r="I441" s="26" t="str">
        <f>IFERROR(VLOOKUP(G441,WholesaleExtract!B:O,8,FALSE),"")</f>
        <v/>
      </c>
      <c r="J441" s="26" t="str">
        <f>IFERROR(VLOOKUP(G441,WholesaleExtract!B:O,14,FALSE),"")</f>
        <v/>
      </c>
      <c r="K441" s="26" t="str">
        <f>IFERROR(VLOOKUP(G441,WholesaleExtract!B:K,10,FALSE),"")</f>
        <v/>
      </c>
      <c r="L441" s="47" t="str">
        <f>IFERROR(VLOOKUP(G441,WholesaleExtract!B:L,11,FALSE),"")</f>
        <v/>
      </c>
      <c r="M441" s="47" t="str">
        <f>IFERROR(VLOOKUP(G441,WholesaleExtract!B:M,12,FALSE),"")</f>
        <v/>
      </c>
      <c r="N441" s="27"/>
      <c r="O441" s="19"/>
      <c r="P441" s="19"/>
      <c r="Q441" s="47"/>
      <c r="R441" s="19"/>
      <c r="S441" s="19"/>
    </row>
    <row r="442" spans="1:19" x14ac:dyDescent="0.35">
      <c r="A442" s="26" t="s">
        <v>543</v>
      </c>
      <c r="B442" s="26" t="s">
        <v>543</v>
      </c>
      <c r="C442" s="26"/>
      <c r="D442" s="26" t="s">
        <v>543</v>
      </c>
      <c r="E442" s="26" t="str">
        <f>IFERROR(VLOOKUP(G442,WholesaleExtract!B:J,9,FALSE),"")</f>
        <v/>
      </c>
      <c r="F442" s="26" t="str">
        <f>IFERROR(VLOOKUP(G442,WholesaleExtract!B:J,6,FALSE),"")</f>
        <v/>
      </c>
      <c r="G442" s="48"/>
      <c r="H442" s="47" t="str">
        <f>IFERROR(VLOOKUP(G442,WholesaleExtract!B:L,11,FALSE),"")</f>
        <v/>
      </c>
      <c r="I442" s="26" t="str">
        <f>IFERROR(VLOOKUP(G442,WholesaleExtract!B:O,8,FALSE),"")</f>
        <v/>
      </c>
      <c r="J442" s="26" t="str">
        <f>IFERROR(VLOOKUP(G442,WholesaleExtract!B:O,14,FALSE),"")</f>
        <v/>
      </c>
      <c r="K442" s="26" t="str">
        <f>IFERROR(VLOOKUP(G442,WholesaleExtract!B:K,10,FALSE),"")</f>
        <v/>
      </c>
      <c r="L442" s="47" t="str">
        <f>IFERROR(VLOOKUP(G442,WholesaleExtract!B:L,11,FALSE),"")</f>
        <v/>
      </c>
      <c r="M442" s="47" t="str">
        <f>IFERROR(VLOOKUP(G442,WholesaleExtract!B:M,12,FALSE),"")</f>
        <v/>
      </c>
      <c r="N442" s="27"/>
      <c r="O442" s="19"/>
      <c r="P442" s="19"/>
      <c r="Q442" s="47"/>
      <c r="R442" s="19"/>
      <c r="S442" s="19"/>
    </row>
    <row r="443" spans="1:19" x14ac:dyDescent="0.35">
      <c r="A443" s="26" t="s">
        <v>543</v>
      </c>
      <c r="B443" s="26" t="s">
        <v>543</v>
      </c>
      <c r="C443" s="26"/>
      <c r="D443" s="26" t="s">
        <v>543</v>
      </c>
      <c r="E443" s="26" t="str">
        <f>IFERROR(VLOOKUP(G443,WholesaleExtract!B:J,9,FALSE),"")</f>
        <v/>
      </c>
      <c r="F443" s="26" t="str">
        <f>IFERROR(VLOOKUP(G443,WholesaleExtract!B:J,6,FALSE),"")</f>
        <v/>
      </c>
      <c r="G443" s="48"/>
      <c r="H443" s="47" t="str">
        <f>IFERROR(VLOOKUP(G443,WholesaleExtract!B:L,11,FALSE),"")</f>
        <v/>
      </c>
      <c r="I443" s="26" t="str">
        <f>IFERROR(VLOOKUP(G443,WholesaleExtract!B:O,8,FALSE),"")</f>
        <v/>
      </c>
      <c r="J443" s="26" t="str">
        <f>IFERROR(VLOOKUP(G443,WholesaleExtract!B:O,14,FALSE),"")</f>
        <v/>
      </c>
      <c r="K443" s="26" t="str">
        <f>IFERROR(VLOOKUP(G443,WholesaleExtract!B:K,10,FALSE),"")</f>
        <v/>
      </c>
      <c r="L443" s="47" t="str">
        <f>IFERROR(VLOOKUP(G443,WholesaleExtract!B:L,11,FALSE),"")</f>
        <v/>
      </c>
      <c r="M443" s="47" t="str">
        <f>IFERROR(VLOOKUP(G443,WholesaleExtract!B:M,12,FALSE),"")</f>
        <v/>
      </c>
      <c r="N443" s="27"/>
      <c r="O443" s="19"/>
      <c r="P443" s="19"/>
      <c r="Q443" s="47"/>
      <c r="R443" s="19"/>
      <c r="S443" s="19"/>
    </row>
    <row r="444" spans="1:19" x14ac:dyDescent="0.35">
      <c r="A444" s="26" t="s">
        <v>543</v>
      </c>
      <c r="B444" s="26" t="s">
        <v>543</v>
      </c>
      <c r="C444" s="26"/>
      <c r="D444" s="26" t="s">
        <v>543</v>
      </c>
      <c r="E444" s="26" t="str">
        <f>IFERROR(VLOOKUP(G444,WholesaleExtract!B:J,9,FALSE),"")</f>
        <v/>
      </c>
      <c r="F444" s="26" t="str">
        <f>IFERROR(VLOOKUP(G444,WholesaleExtract!B:J,6,FALSE),"")</f>
        <v/>
      </c>
      <c r="G444" s="48"/>
      <c r="H444" s="47" t="str">
        <f>IFERROR(VLOOKUP(G444,WholesaleExtract!B:L,11,FALSE),"")</f>
        <v/>
      </c>
      <c r="I444" s="26" t="str">
        <f>IFERROR(VLOOKUP(G444,WholesaleExtract!B:O,8,FALSE),"")</f>
        <v/>
      </c>
      <c r="J444" s="26" t="str">
        <f>IFERROR(VLOOKUP(G444,WholesaleExtract!B:O,14,FALSE),"")</f>
        <v/>
      </c>
      <c r="K444" s="26" t="str">
        <f>IFERROR(VLOOKUP(G444,WholesaleExtract!B:K,10,FALSE),"")</f>
        <v/>
      </c>
      <c r="L444" s="47" t="str">
        <f>IFERROR(VLOOKUP(G444,WholesaleExtract!B:L,11,FALSE),"")</f>
        <v/>
      </c>
      <c r="M444" s="47" t="str">
        <f>IFERROR(VLOOKUP(G444,WholesaleExtract!B:M,12,FALSE),"")</f>
        <v/>
      </c>
      <c r="N444" s="27"/>
      <c r="O444" s="19"/>
      <c r="P444" s="19"/>
      <c r="Q444" s="47"/>
      <c r="R444" s="19"/>
      <c r="S444" s="19"/>
    </row>
    <row r="445" spans="1:19" x14ac:dyDescent="0.35">
      <c r="A445" s="26" t="s">
        <v>543</v>
      </c>
      <c r="B445" s="26" t="s">
        <v>543</v>
      </c>
      <c r="C445" s="26"/>
      <c r="D445" s="26" t="s">
        <v>543</v>
      </c>
      <c r="E445" s="26" t="str">
        <f>IFERROR(VLOOKUP(G445,WholesaleExtract!B:J,9,FALSE),"")</f>
        <v/>
      </c>
      <c r="F445" s="26" t="str">
        <f>IFERROR(VLOOKUP(G445,WholesaleExtract!B:J,6,FALSE),"")</f>
        <v/>
      </c>
      <c r="G445" s="48"/>
      <c r="H445" s="47" t="str">
        <f>IFERROR(VLOOKUP(G445,WholesaleExtract!B:L,11,FALSE),"")</f>
        <v/>
      </c>
      <c r="I445" s="26" t="str">
        <f>IFERROR(VLOOKUP(G445,WholesaleExtract!B:O,8,FALSE),"")</f>
        <v/>
      </c>
      <c r="J445" s="26" t="str">
        <f>IFERROR(VLOOKUP(G445,WholesaleExtract!B:O,14,FALSE),"")</f>
        <v/>
      </c>
      <c r="K445" s="26" t="str">
        <f>IFERROR(VLOOKUP(G445,WholesaleExtract!B:K,10,FALSE),"")</f>
        <v/>
      </c>
      <c r="L445" s="47" t="str">
        <f>IFERROR(VLOOKUP(G445,WholesaleExtract!B:L,11,FALSE),"")</f>
        <v/>
      </c>
      <c r="M445" s="47" t="str">
        <f>IFERROR(VLOOKUP(G445,WholesaleExtract!B:M,12,FALSE),"")</f>
        <v/>
      </c>
      <c r="N445" s="27"/>
      <c r="O445" s="19"/>
      <c r="P445" s="19"/>
      <c r="Q445" s="47"/>
      <c r="R445" s="19"/>
      <c r="S445" s="19"/>
    </row>
    <row r="446" spans="1:19" x14ac:dyDescent="0.35">
      <c r="A446" s="26" t="s">
        <v>543</v>
      </c>
      <c r="B446" s="26" t="s">
        <v>543</v>
      </c>
      <c r="C446" s="26"/>
      <c r="D446" s="26" t="s">
        <v>543</v>
      </c>
      <c r="E446" s="26" t="str">
        <f>IFERROR(VLOOKUP(G446,WholesaleExtract!B:J,9,FALSE),"")</f>
        <v/>
      </c>
      <c r="F446" s="26" t="str">
        <f>IFERROR(VLOOKUP(G446,WholesaleExtract!B:J,6,FALSE),"")</f>
        <v/>
      </c>
      <c r="G446" s="48"/>
      <c r="H446" s="47" t="str">
        <f>IFERROR(VLOOKUP(G446,WholesaleExtract!B:L,11,FALSE),"")</f>
        <v/>
      </c>
      <c r="I446" s="26" t="str">
        <f>IFERROR(VLOOKUP(G446,WholesaleExtract!B:O,8,FALSE),"")</f>
        <v/>
      </c>
      <c r="J446" s="26" t="str">
        <f>IFERROR(VLOOKUP(G446,WholesaleExtract!B:O,14,FALSE),"")</f>
        <v/>
      </c>
      <c r="K446" s="26" t="str">
        <f>IFERROR(VLOOKUP(G446,WholesaleExtract!B:K,10,FALSE),"")</f>
        <v/>
      </c>
      <c r="L446" s="47" t="str">
        <f>IFERROR(VLOOKUP(G446,WholesaleExtract!B:L,11,FALSE),"")</f>
        <v/>
      </c>
      <c r="M446" s="47" t="str">
        <f>IFERROR(VLOOKUP(G446,WholesaleExtract!B:M,12,FALSE),"")</f>
        <v/>
      </c>
      <c r="N446" s="27"/>
      <c r="O446" s="19"/>
      <c r="P446" s="19"/>
      <c r="Q446" s="47"/>
      <c r="R446" s="19"/>
      <c r="S446" s="19"/>
    </row>
    <row r="447" spans="1:19" x14ac:dyDescent="0.35">
      <c r="A447" s="26" t="s">
        <v>543</v>
      </c>
      <c r="B447" s="26" t="s">
        <v>543</v>
      </c>
      <c r="C447" s="26"/>
      <c r="D447" s="26" t="s">
        <v>543</v>
      </c>
      <c r="E447" s="26" t="str">
        <f>IFERROR(VLOOKUP(G447,WholesaleExtract!B:J,9,FALSE),"")</f>
        <v/>
      </c>
      <c r="F447" s="26" t="str">
        <f>IFERROR(VLOOKUP(G447,WholesaleExtract!B:J,6,FALSE),"")</f>
        <v/>
      </c>
      <c r="G447" s="48"/>
      <c r="H447" s="47" t="str">
        <f>IFERROR(VLOOKUP(G447,WholesaleExtract!B:L,11,FALSE),"")</f>
        <v/>
      </c>
      <c r="I447" s="26" t="str">
        <f>IFERROR(VLOOKUP(G447,WholesaleExtract!B:O,8,FALSE),"")</f>
        <v/>
      </c>
      <c r="J447" s="26" t="str">
        <f>IFERROR(VLOOKUP(G447,WholesaleExtract!B:O,14,FALSE),"")</f>
        <v/>
      </c>
      <c r="K447" s="26" t="str">
        <f>IFERROR(VLOOKUP(G447,WholesaleExtract!B:K,10,FALSE),"")</f>
        <v/>
      </c>
      <c r="L447" s="47" t="str">
        <f>IFERROR(VLOOKUP(G447,WholesaleExtract!B:L,11,FALSE),"")</f>
        <v/>
      </c>
      <c r="M447" s="47" t="str">
        <f>IFERROR(VLOOKUP(G447,WholesaleExtract!B:M,12,FALSE),"")</f>
        <v/>
      </c>
      <c r="N447" s="27"/>
      <c r="O447" s="19"/>
      <c r="P447" s="19"/>
      <c r="Q447" s="47"/>
      <c r="R447" s="19"/>
      <c r="S447" s="19"/>
    </row>
    <row r="448" spans="1:19" x14ac:dyDescent="0.35">
      <c r="A448" s="26" t="s">
        <v>543</v>
      </c>
      <c r="B448" s="26" t="s">
        <v>543</v>
      </c>
      <c r="C448" s="26"/>
      <c r="D448" s="26" t="s">
        <v>543</v>
      </c>
      <c r="E448" s="26" t="str">
        <f>IFERROR(VLOOKUP(G448,WholesaleExtract!B:J,9,FALSE),"")</f>
        <v/>
      </c>
      <c r="F448" s="26" t="str">
        <f>IFERROR(VLOOKUP(G448,WholesaleExtract!B:J,6,FALSE),"")</f>
        <v/>
      </c>
      <c r="G448" s="48"/>
      <c r="H448" s="47" t="str">
        <f>IFERROR(VLOOKUP(G448,WholesaleExtract!B:L,11,FALSE),"")</f>
        <v/>
      </c>
      <c r="I448" s="26" t="str">
        <f>IFERROR(VLOOKUP(G448,WholesaleExtract!B:O,8,FALSE),"")</f>
        <v/>
      </c>
      <c r="J448" s="26" t="str">
        <f>IFERROR(VLOOKUP(G448,WholesaleExtract!B:O,14,FALSE),"")</f>
        <v/>
      </c>
      <c r="K448" s="26" t="str">
        <f>IFERROR(VLOOKUP(G448,WholesaleExtract!B:K,10,FALSE),"")</f>
        <v/>
      </c>
      <c r="L448" s="47" t="str">
        <f>IFERROR(VLOOKUP(G448,WholesaleExtract!B:L,11,FALSE),"")</f>
        <v/>
      </c>
      <c r="M448" s="47" t="str">
        <f>IFERROR(VLOOKUP(G448,WholesaleExtract!B:M,12,FALSE),"")</f>
        <v/>
      </c>
      <c r="N448" s="27"/>
      <c r="O448" s="19"/>
      <c r="P448" s="19"/>
      <c r="Q448" s="47"/>
      <c r="R448" s="19"/>
      <c r="S448" s="19"/>
    </row>
    <row r="449" spans="1:19" x14ac:dyDescent="0.35">
      <c r="A449" s="26" t="s">
        <v>543</v>
      </c>
      <c r="B449" s="26" t="s">
        <v>543</v>
      </c>
      <c r="C449" s="26"/>
      <c r="D449" s="26" t="s">
        <v>543</v>
      </c>
      <c r="E449" s="26" t="str">
        <f>IFERROR(VLOOKUP(G449,WholesaleExtract!B:J,9,FALSE),"")</f>
        <v/>
      </c>
      <c r="F449" s="26" t="str">
        <f>IFERROR(VLOOKUP(G449,WholesaleExtract!B:J,6,FALSE),"")</f>
        <v/>
      </c>
      <c r="G449" s="48"/>
      <c r="H449" s="47" t="str">
        <f>IFERROR(VLOOKUP(G449,WholesaleExtract!B:L,11,FALSE),"")</f>
        <v/>
      </c>
      <c r="I449" s="26" t="str">
        <f>IFERROR(VLOOKUP(G449,WholesaleExtract!B:O,8,FALSE),"")</f>
        <v/>
      </c>
      <c r="J449" s="26" t="str">
        <f>IFERROR(VLOOKUP(G449,WholesaleExtract!B:O,14,FALSE),"")</f>
        <v/>
      </c>
      <c r="K449" s="26" t="str">
        <f>IFERROR(VLOOKUP(G449,WholesaleExtract!B:K,10,FALSE),"")</f>
        <v/>
      </c>
      <c r="L449" s="47" t="str">
        <f>IFERROR(VLOOKUP(G449,WholesaleExtract!B:L,11,FALSE),"")</f>
        <v/>
      </c>
      <c r="M449" s="47" t="str">
        <f>IFERROR(VLOOKUP(G449,WholesaleExtract!B:M,12,FALSE),"")</f>
        <v/>
      </c>
      <c r="N449" s="27"/>
      <c r="O449" s="19"/>
      <c r="P449" s="19"/>
      <c r="Q449" s="47"/>
      <c r="R449" s="19"/>
      <c r="S449" s="19"/>
    </row>
    <row r="450" spans="1:19" x14ac:dyDescent="0.35">
      <c r="A450" s="26" t="s">
        <v>543</v>
      </c>
      <c r="B450" s="26" t="s">
        <v>543</v>
      </c>
      <c r="C450" s="26"/>
      <c r="D450" s="26" t="s">
        <v>543</v>
      </c>
      <c r="E450" s="26" t="str">
        <f>IFERROR(VLOOKUP(G450,WholesaleExtract!B:J,9,FALSE),"")</f>
        <v/>
      </c>
      <c r="F450" s="26" t="str">
        <f>IFERROR(VLOOKUP(G450,WholesaleExtract!B:J,6,FALSE),"")</f>
        <v/>
      </c>
      <c r="G450" s="48"/>
      <c r="H450" s="47" t="str">
        <f>IFERROR(VLOOKUP(G450,WholesaleExtract!B:L,11,FALSE),"")</f>
        <v/>
      </c>
      <c r="I450" s="26" t="str">
        <f>IFERROR(VLOOKUP(G450,WholesaleExtract!B:O,8,FALSE),"")</f>
        <v/>
      </c>
      <c r="J450" s="26" t="str">
        <f>IFERROR(VLOOKUP(G450,WholesaleExtract!B:O,14,FALSE),"")</f>
        <v/>
      </c>
      <c r="K450" s="26" t="str">
        <f>IFERROR(VLOOKUP(G450,WholesaleExtract!B:K,10,FALSE),"")</f>
        <v/>
      </c>
      <c r="L450" s="47" t="str">
        <f>IFERROR(VLOOKUP(G450,WholesaleExtract!B:L,11,FALSE),"")</f>
        <v/>
      </c>
      <c r="M450" s="47" t="str">
        <f>IFERROR(VLOOKUP(G450,WholesaleExtract!B:M,12,FALSE),"")</f>
        <v/>
      </c>
      <c r="N450" s="27"/>
      <c r="O450" s="19"/>
      <c r="P450" s="19"/>
      <c r="Q450" s="47"/>
      <c r="R450" s="19"/>
      <c r="S450" s="19"/>
    </row>
    <row r="451" spans="1:19" x14ac:dyDescent="0.35">
      <c r="A451" s="26" t="s">
        <v>543</v>
      </c>
      <c r="B451" s="26" t="s">
        <v>543</v>
      </c>
      <c r="C451" s="26"/>
      <c r="D451" s="26" t="s">
        <v>543</v>
      </c>
      <c r="E451" s="26" t="str">
        <f>IFERROR(VLOOKUP(G451,WholesaleExtract!B:J,9,FALSE),"")</f>
        <v/>
      </c>
      <c r="F451" s="26" t="str">
        <f>IFERROR(VLOOKUP(G451,WholesaleExtract!B:J,6,FALSE),"")</f>
        <v/>
      </c>
      <c r="G451" s="48"/>
      <c r="H451" s="47" t="str">
        <f>IFERROR(VLOOKUP(G451,WholesaleExtract!B:L,11,FALSE),"")</f>
        <v/>
      </c>
      <c r="I451" s="26" t="str">
        <f>IFERROR(VLOOKUP(G451,WholesaleExtract!B:O,8,FALSE),"")</f>
        <v/>
      </c>
      <c r="J451" s="26" t="str">
        <f>IFERROR(VLOOKUP(G451,WholesaleExtract!B:O,14,FALSE),"")</f>
        <v/>
      </c>
      <c r="K451" s="26" t="str">
        <f>IFERROR(VLOOKUP(G451,WholesaleExtract!B:K,10,FALSE),"")</f>
        <v/>
      </c>
      <c r="L451" s="47" t="str">
        <f>IFERROR(VLOOKUP(G451,WholesaleExtract!B:L,11,FALSE),"")</f>
        <v/>
      </c>
      <c r="M451" s="47" t="str">
        <f>IFERROR(VLOOKUP(G451,WholesaleExtract!B:M,12,FALSE),"")</f>
        <v/>
      </c>
      <c r="N451" s="27"/>
      <c r="O451" s="19"/>
      <c r="P451" s="19"/>
      <c r="Q451" s="47"/>
      <c r="R451" s="19"/>
      <c r="S451" s="19"/>
    </row>
    <row r="452" spans="1:19" x14ac:dyDescent="0.35">
      <c r="A452" s="26" t="s">
        <v>543</v>
      </c>
      <c r="B452" s="26" t="s">
        <v>543</v>
      </c>
      <c r="C452" s="26"/>
      <c r="D452" s="26" t="s">
        <v>543</v>
      </c>
      <c r="E452" s="26" t="str">
        <f>IFERROR(VLOOKUP(G452,WholesaleExtract!B:J,9,FALSE),"")</f>
        <v/>
      </c>
      <c r="F452" s="26" t="str">
        <f>IFERROR(VLOOKUP(G452,WholesaleExtract!B:J,6,FALSE),"")</f>
        <v/>
      </c>
      <c r="G452" s="48"/>
      <c r="H452" s="47" t="str">
        <f>IFERROR(VLOOKUP(G452,WholesaleExtract!B:L,11,FALSE),"")</f>
        <v/>
      </c>
      <c r="I452" s="26" t="str">
        <f>IFERROR(VLOOKUP(G452,WholesaleExtract!B:O,8,FALSE),"")</f>
        <v/>
      </c>
      <c r="J452" s="26" t="str">
        <f>IFERROR(VLOOKUP(G452,WholesaleExtract!B:O,14,FALSE),"")</f>
        <v/>
      </c>
      <c r="K452" s="26" t="str">
        <f>IFERROR(VLOOKUP(G452,WholesaleExtract!B:K,10,FALSE),"")</f>
        <v/>
      </c>
      <c r="L452" s="47" t="str">
        <f>IFERROR(VLOOKUP(G452,WholesaleExtract!B:L,11,FALSE),"")</f>
        <v/>
      </c>
      <c r="M452" s="47" t="str">
        <f>IFERROR(VLOOKUP(G452,WholesaleExtract!B:M,12,FALSE),"")</f>
        <v/>
      </c>
      <c r="N452" s="27"/>
      <c r="O452" s="19"/>
      <c r="P452" s="19"/>
      <c r="Q452" s="47"/>
      <c r="R452" s="19"/>
      <c r="S452" s="19"/>
    </row>
    <row r="453" spans="1:19" x14ac:dyDescent="0.35">
      <c r="A453" s="26" t="s">
        <v>543</v>
      </c>
      <c r="B453" s="26" t="s">
        <v>543</v>
      </c>
      <c r="C453" s="26"/>
      <c r="D453" s="26" t="s">
        <v>543</v>
      </c>
      <c r="E453" s="26" t="str">
        <f>IFERROR(VLOOKUP(G453,WholesaleExtract!B:J,9,FALSE),"")</f>
        <v/>
      </c>
      <c r="F453" s="26" t="str">
        <f>IFERROR(VLOOKUP(G453,WholesaleExtract!B:J,6,FALSE),"")</f>
        <v/>
      </c>
      <c r="G453" s="48"/>
      <c r="H453" s="47" t="str">
        <f>IFERROR(VLOOKUP(G453,WholesaleExtract!B:L,11,FALSE),"")</f>
        <v/>
      </c>
      <c r="I453" s="26" t="str">
        <f>IFERROR(VLOOKUP(G453,WholesaleExtract!B:O,8,FALSE),"")</f>
        <v/>
      </c>
      <c r="J453" s="26" t="str">
        <f>IFERROR(VLOOKUP(G453,WholesaleExtract!B:O,14,FALSE),"")</f>
        <v/>
      </c>
      <c r="K453" s="26" t="str">
        <f>IFERROR(VLOOKUP(G453,WholesaleExtract!B:K,10,FALSE),"")</f>
        <v/>
      </c>
      <c r="L453" s="47" t="str">
        <f>IFERROR(VLOOKUP(G453,WholesaleExtract!B:L,11,FALSE),"")</f>
        <v/>
      </c>
      <c r="M453" s="47" t="str">
        <f>IFERROR(VLOOKUP(G453,WholesaleExtract!B:M,12,FALSE),"")</f>
        <v/>
      </c>
      <c r="N453" s="27"/>
      <c r="O453" s="19"/>
      <c r="P453" s="19"/>
      <c r="Q453" s="47"/>
      <c r="R453" s="19"/>
      <c r="S453" s="19"/>
    </row>
    <row r="454" spans="1:19" x14ac:dyDescent="0.35">
      <c r="A454" s="26" t="s">
        <v>543</v>
      </c>
      <c r="B454" s="26" t="s">
        <v>543</v>
      </c>
      <c r="C454" s="26"/>
      <c r="D454" s="26" t="s">
        <v>543</v>
      </c>
      <c r="E454" s="26" t="str">
        <f>IFERROR(VLOOKUP(G454,WholesaleExtract!B:J,9,FALSE),"")</f>
        <v/>
      </c>
      <c r="F454" s="26" t="str">
        <f>IFERROR(VLOOKUP(G454,WholesaleExtract!B:J,6,FALSE),"")</f>
        <v/>
      </c>
      <c r="G454" s="48"/>
      <c r="H454" s="47" t="str">
        <f>IFERROR(VLOOKUP(G454,WholesaleExtract!B:L,11,FALSE),"")</f>
        <v/>
      </c>
      <c r="I454" s="26" t="str">
        <f>IFERROR(VLOOKUP(G454,WholesaleExtract!B:O,8,FALSE),"")</f>
        <v/>
      </c>
      <c r="J454" s="26" t="str">
        <f>IFERROR(VLOOKUP(G454,WholesaleExtract!B:O,14,FALSE),"")</f>
        <v/>
      </c>
      <c r="K454" s="26" t="str">
        <f>IFERROR(VLOOKUP(G454,WholesaleExtract!B:K,10,FALSE),"")</f>
        <v/>
      </c>
      <c r="L454" s="47" t="str">
        <f>IFERROR(VLOOKUP(G454,WholesaleExtract!B:L,11,FALSE),"")</f>
        <v/>
      </c>
      <c r="M454" s="47" t="str">
        <f>IFERROR(VLOOKUP(G454,WholesaleExtract!B:M,12,FALSE),"")</f>
        <v/>
      </c>
      <c r="N454" s="27"/>
      <c r="O454" s="19"/>
      <c r="P454" s="19"/>
      <c r="Q454" s="47"/>
      <c r="R454" s="19"/>
      <c r="S454" s="19"/>
    </row>
    <row r="455" spans="1:19" x14ac:dyDescent="0.35">
      <c r="A455" s="26" t="s">
        <v>543</v>
      </c>
      <c r="B455" s="26" t="s">
        <v>543</v>
      </c>
      <c r="C455" s="26"/>
      <c r="D455" s="26" t="s">
        <v>543</v>
      </c>
      <c r="E455" s="26" t="str">
        <f>IFERROR(VLOOKUP(G455,WholesaleExtract!B:J,9,FALSE),"")</f>
        <v/>
      </c>
      <c r="F455" s="26" t="str">
        <f>IFERROR(VLOOKUP(G455,WholesaleExtract!B:J,6,FALSE),"")</f>
        <v/>
      </c>
      <c r="G455" s="48"/>
      <c r="H455" s="47" t="str">
        <f>IFERROR(VLOOKUP(G455,WholesaleExtract!B:L,11,FALSE),"")</f>
        <v/>
      </c>
      <c r="I455" s="26" t="str">
        <f>IFERROR(VLOOKUP(G455,WholesaleExtract!B:O,8,FALSE),"")</f>
        <v/>
      </c>
      <c r="J455" s="26" t="str">
        <f>IFERROR(VLOOKUP(G455,WholesaleExtract!B:O,14,FALSE),"")</f>
        <v/>
      </c>
      <c r="K455" s="26" t="str">
        <f>IFERROR(VLOOKUP(G455,WholesaleExtract!B:K,10,FALSE),"")</f>
        <v/>
      </c>
      <c r="L455" s="47" t="str">
        <f>IFERROR(VLOOKUP(G455,WholesaleExtract!B:L,11,FALSE),"")</f>
        <v/>
      </c>
      <c r="M455" s="47" t="str">
        <f>IFERROR(VLOOKUP(G455,WholesaleExtract!B:M,12,FALSE),"")</f>
        <v/>
      </c>
      <c r="N455" s="27"/>
      <c r="O455" s="19"/>
      <c r="P455" s="19"/>
      <c r="Q455" s="47"/>
      <c r="R455" s="19"/>
      <c r="S455" s="19"/>
    </row>
    <row r="456" spans="1:19" x14ac:dyDescent="0.35">
      <c r="A456" s="26" t="s">
        <v>543</v>
      </c>
      <c r="B456" s="26" t="s">
        <v>543</v>
      </c>
      <c r="C456" s="26"/>
      <c r="D456" s="26" t="s">
        <v>543</v>
      </c>
      <c r="E456" s="26" t="str">
        <f>IFERROR(VLOOKUP(G456,WholesaleExtract!B:J,9,FALSE),"")</f>
        <v/>
      </c>
      <c r="F456" s="26" t="str">
        <f>IFERROR(VLOOKUP(G456,WholesaleExtract!B:J,6,FALSE),"")</f>
        <v/>
      </c>
      <c r="G456" s="48"/>
      <c r="H456" s="47" t="str">
        <f>IFERROR(VLOOKUP(G456,WholesaleExtract!B:L,11,FALSE),"")</f>
        <v/>
      </c>
      <c r="I456" s="26" t="str">
        <f>IFERROR(VLOOKUP(G456,WholesaleExtract!B:O,8,FALSE),"")</f>
        <v/>
      </c>
      <c r="J456" s="26" t="str">
        <f>IFERROR(VLOOKUP(G456,WholesaleExtract!B:O,14,FALSE),"")</f>
        <v/>
      </c>
      <c r="K456" s="26" t="str">
        <f>IFERROR(VLOOKUP(G456,WholesaleExtract!B:K,10,FALSE),"")</f>
        <v/>
      </c>
      <c r="L456" s="47" t="str">
        <f>IFERROR(VLOOKUP(G456,WholesaleExtract!B:L,11,FALSE),"")</f>
        <v/>
      </c>
      <c r="M456" s="47" t="str">
        <f>IFERROR(VLOOKUP(G456,WholesaleExtract!B:M,12,FALSE),"")</f>
        <v/>
      </c>
      <c r="N456" s="27"/>
      <c r="O456" s="19"/>
      <c r="P456" s="19"/>
      <c r="Q456" s="47"/>
      <c r="R456" s="19"/>
      <c r="S456" s="19"/>
    </row>
    <row r="457" spans="1:19" x14ac:dyDescent="0.35">
      <c r="A457" s="26" t="s">
        <v>543</v>
      </c>
      <c r="B457" s="26" t="s">
        <v>543</v>
      </c>
      <c r="C457" s="26"/>
      <c r="D457" s="26" t="s">
        <v>543</v>
      </c>
      <c r="E457" s="26" t="str">
        <f>IFERROR(VLOOKUP(G457,WholesaleExtract!B:J,9,FALSE),"")</f>
        <v/>
      </c>
      <c r="F457" s="26" t="str">
        <f>IFERROR(VLOOKUP(G457,WholesaleExtract!B:J,6,FALSE),"")</f>
        <v/>
      </c>
      <c r="G457" s="48"/>
      <c r="H457" s="47" t="str">
        <f>IFERROR(VLOOKUP(G457,WholesaleExtract!B:L,11,FALSE),"")</f>
        <v/>
      </c>
      <c r="I457" s="26" t="str">
        <f>IFERROR(VLOOKUP(G457,WholesaleExtract!B:O,8,FALSE),"")</f>
        <v/>
      </c>
      <c r="J457" s="26" t="str">
        <f>IFERROR(VLOOKUP(G457,WholesaleExtract!B:O,14,FALSE),"")</f>
        <v/>
      </c>
      <c r="K457" s="26" t="str">
        <f>IFERROR(VLOOKUP(G457,WholesaleExtract!B:K,10,FALSE),"")</f>
        <v/>
      </c>
      <c r="L457" s="47" t="str">
        <f>IFERROR(VLOOKUP(G457,WholesaleExtract!B:L,11,FALSE),"")</f>
        <v/>
      </c>
      <c r="M457" s="47" t="str">
        <f>IFERROR(VLOOKUP(G457,WholesaleExtract!B:M,12,FALSE),"")</f>
        <v/>
      </c>
      <c r="N457" s="27"/>
      <c r="O457" s="19"/>
      <c r="P457" s="19"/>
      <c r="Q457" s="47"/>
      <c r="R457" s="19"/>
      <c r="S457" s="19"/>
    </row>
    <row r="458" spans="1:19" x14ac:dyDescent="0.35">
      <c r="A458" s="26" t="s">
        <v>543</v>
      </c>
      <c r="B458" s="26" t="s">
        <v>543</v>
      </c>
      <c r="C458" s="26"/>
      <c r="D458" s="26" t="s">
        <v>543</v>
      </c>
      <c r="E458" s="26" t="str">
        <f>IFERROR(VLOOKUP(G458,WholesaleExtract!B:J,9,FALSE),"")</f>
        <v/>
      </c>
      <c r="F458" s="26" t="str">
        <f>IFERROR(VLOOKUP(G458,WholesaleExtract!B:J,6,FALSE),"")</f>
        <v/>
      </c>
      <c r="G458" s="48"/>
      <c r="H458" s="47" t="str">
        <f>IFERROR(VLOOKUP(G458,WholesaleExtract!B:L,11,FALSE),"")</f>
        <v/>
      </c>
      <c r="I458" s="26" t="str">
        <f>IFERROR(VLOOKUP(G458,WholesaleExtract!B:O,8,FALSE),"")</f>
        <v/>
      </c>
      <c r="J458" s="26" t="str">
        <f>IFERROR(VLOOKUP(G458,WholesaleExtract!B:O,14,FALSE),"")</f>
        <v/>
      </c>
      <c r="K458" s="26" t="str">
        <f>IFERROR(VLOOKUP(G458,WholesaleExtract!B:K,10,FALSE),"")</f>
        <v/>
      </c>
      <c r="L458" s="47" t="str">
        <f>IFERROR(VLOOKUP(G458,WholesaleExtract!B:L,11,FALSE),"")</f>
        <v/>
      </c>
      <c r="M458" s="47" t="str">
        <f>IFERROR(VLOOKUP(G458,WholesaleExtract!B:M,12,FALSE),"")</f>
        <v/>
      </c>
      <c r="N458" s="27"/>
      <c r="O458" s="19"/>
      <c r="P458" s="19"/>
      <c r="Q458" s="47"/>
      <c r="R458" s="19"/>
      <c r="S458" s="19"/>
    </row>
    <row r="459" spans="1:19" x14ac:dyDescent="0.35">
      <c r="A459" s="26" t="s">
        <v>543</v>
      </c>
      <c r="B459" s="26" t="s">
        <v>543</v>
      </c>
      <c r="C459" s="26"/>
      <c r="D459" s="26" t="s">
        <v>543</v>
      </c>
      <c r="E459" s="26" t="str">
        <f>IFERROR(VLOOKUP(G459,WholesaleExtract!B:J,9,FALSE),"")</f>
        <v/>
      </c>
      <c r="F459" s="26" t="str">
        <f>IFERROR(VLOOKUP(G459,WholesaleExtract!B:J,6,FALSE),"")</f>
        <v/>
      </c>
      <c r="G459" s="48"/>
      <c r="H459" s="47" t="str">
        <f>IFERROR(VLOOKUP(G459,WholesaleExtract!B:L,11,FALSE),"")</f>
        <v/>
      </c>
      <c r="I459" s="26" t="str">
        <f>IFERROR(VLOOKUP(G459,WholesaleExtract!B:O,8,FALSE),"")</f>
        <v/>
      </c>
      <c r="J459" s="26" t="str">
        <f>IFERROR(VLOOKUP(G459,WholesaleExtract!B:O,14,FALSE),"")</f>
        <v/>
      </c>
      <c r="K459" s="26" t="str">
        <f>IFERROR(VLOOKUP(G459,WholesaleExtract!B:K,10,FALSE),"")</f>
        <v/>
      </c>
      <c r="L459" s="47" t="str">
        <f>IFERROR(VLOOKUP(G459,WholesaleExtract!B:L,11,FALSE),"")</f>
        <v/>
      </c>
      <c r="M459" s="47" t="str">
        <f>IFERROR(VLOOKUP(G459,WholesaleExtract!B:M,12,FALSE),"")</f>
        <v/>
      </c>
      <c r="N459" s="27"/>
      <c r="O459" s="19"/>
      <c r="P459" s="19"/>
      <c r="Q459" s="47"/>
      <c r="R459" s="19"/>
      <c r="S459" s="19"/>
    </row>
    <row r="460" spans="1:19" x14ac:dyDescent="0.35">
      <c r="A460" s="26" t="s">
        <v>543</v>
      </c>
      <c r="B460" s="26" t="s">
        <v>543</v>
      </c>
      <c r="C460" s="26"/>
      <c r="D460" s="26" t="s">
        <v>543</v>
      </c>
      <c r="E460" s="26" t="str">
        <f>IFERROR(VLOOKUP(G460,WholesaleExtract!B:J,9,FALSE),"")</f>
        <v/>
      </c>
      <c r="F460" s="26" t="str">
        <f>IFERROR(VLOOKUP(G460,WholesaleExtract!B:J,6,FALSE),"")</f>
        <v/>
      </c>
      <c r="G460" s="48"/>
      <c r="H460" s="47" t="str">
        <f>IFERROR(VLOOKUP(G460,WholesaleExtract!B:L,11,FALSE),"")</f>
        <v/>
      </c>
      <c r="I460" s="26" t="str">
        <f>IFERROR(VLOOKUP(G460,WholesaleExtract!B:O,8,FALSE),"")</f>
        <v/>
      </c>
      <c r="J460" s="26" t="str">
        <f>IFERROR(VLOOKUP(G460,WholesaleExtract!B:O,14,FALSE),"")</f>
        <v/>
      </c>
      <c r="K460" s="26" t="str">
        <f>IFERROR(VLOOKUP(G460,WholesaleExtract!B:K,10,FALSE),"")</f>
        <v/>
      </c>
      <c r="L460" s="47" t="str">
        <f>IFERROR(VLOOKUP(G460,WholesaleExtract!B:L,11,FALSE),"")</f>
        <v/>
      </c>
      <c r="M460" s="47" t="str">
        <f>IFERROR(VLOOKUP(G460,WholesaleExtract!B:M,12,FALSE),"")</f>
        <v/>
      </c>
      <c r="N460" s="27"/>
      <c r="O460" s="19"/>
      <c r="P460" s="19"/>
      <c r="Q460" s="47"/>
      <c r="R460" s="19"/>
      <c r="S460" s="19"/>
    </row>
    <row r="461" spans="1:19" x14ac:dyDescent="0.35">
      <c r="A461" s="26" t="s">
        <v>543</v>
      </c>
      <c r="B461" s="26" t="s">
        <v>543</v>
      </c>
      <c r="C461" s="26"/>
      <c r="D461" s="26" t="s">
        <v>543</v>
      </c>
      <c r="E461" s="26" t="str">
        <f>IFERROR(VLOOKUP(G461,WholesaleExtract!B:J,9,FALSE),"")</f>
        <v/>
      </c>
      <c r="F461" s="26" t="str">
        <f>IFERROR(VLOOKUP(G461,WholesaleExtract!B:J,6,FALSE),"")</f>
        <v/>
      </c>
      <c r="G461" s="48"/>
      <c r="H461" s="47" t="str">
        <f>IFERROR(VLOOKUP(G461,WholesaleExtract!B:L,11,FALSE),"")</f>
        <v/>
      </c>
      <c r="I461" s="26" t="str">
        <f>IFERROR(VLOOKUP(G461,WholesaleExtract!B:O,8,FALSE),"")</f>
        <v/>
      </c>
      <c r="J461" s="26" t="str">
        <f>IFERROR(VLOOKUP(G461,WholesaleExtract!B:O,14,FALSE),"")</f>
        <v/>
      </c>
      <c r="K461" s="26" t="str">
        <f>IFERROR(VLOOKUP(G461,WholesaleExtract!B:K,10,FALSE),"")</f>
        <v/>
      </c>
      <c r="L461" s="47" t="str">
        <f>IFERROR(VLOOKUP(G461,WholesaleExtract!B:L,11,FALSE),"")</f>
        <v/>
      </c>
      <c r="M461" s="47" t="str">
        <f>IFERROR(VLOOKUP(G461,WholesaleExtract!B:M,12,FALSE),"")</f>
        <v/>
      </c>
      <c r="N461" s="27"/>
      <c r="O461" s="19"/>
      <c r="P461" s="19"/>
      <c r="Q461" s="47"/>
      <c r="R461" s="19"/>
      <c r="S461" s="19"/>
    </row>
    <row r="462" spans="1:19" x14ac:dyDescent="0.35">
      <c r="A462" s="26" t="s">
        <v>543</v>
      </c>
      <c r="B462" s="26" t="s">
        <v>543</v>
      </c>
      <c r="C462" s="26"/>
      <c r="D462" s="26" t="s">
        <v>543</v>
      </c>
      <c r="E462" s="26" t="str">
        <f>IFERROR(VLOOKUP(G462,WholesaleExtract!B:J,9,FALSE),"")</f>
        <v/>
      </c>
      <c r="F462" s="26" t="str">
        <f>IFERROR(VLOOKUP(G462,WholesaleExtract!B:J,6,FALSE),"")</f>
        <v/>
      </c>
      <c r="G462" s="48"/>
      <c r="H462" s="47" t="str">
        <f>IFERROR(VLOOKUP(G462,WholesaleExtract!B:L,11,FALSE),"")</f>
        <v/>
      </c>
      <c r="I462" s="26" t="str">
        <f>IFERROR(VLOOKUP(G462,WholesaleExtract!B:O,8,FALSE),"")</f>
        <v/>
      </c>
      <c r="J462" s="26" t="str">
        <f>IFERROR(VLOOKUP(G462,WholesaleExtract!B:O,14,FALSE),"")</f>
        <v/>
      </c>
      <c r="K462" s="26" t="str">
        <f>IFERROR(VLOOKUP(G462,WholesaleExtract!B:K,10,FALSE),"")</f>
        <v/>
      </c>
      <c r="L462" s="47" t="str">
        <f>IFERROR(VLOOKUP(G462,WholesaleExtract!B:L,11,FALSE),"")</f>
        <v/>
      </c>
      <c r="M462" s="47" t="str">
        <f>IFERROR(VLOOKUP(G462,WholesaleExtract!B:M,12,FALSE),"")</f>
        <v/>
      </c>
      <c r="N462" s="27"/>
      <c r="O462" s="19"/>
      <c r="P462" s="19"/>
      <c r="Q462" s="47"/>
      <c r="R462" s="19"/>
      <c r="S462" s="19"/>
    </row>
    <row r="463" spans="1:19" x14ac:dyDescent="0.35">
      <c r="A463" s="26" t="s">
        <v>543</v>
      </c>
      <c r="B463" s="26" t="s">
        <v>543</v>
      </c>
      <c r="C463" s="26"/>
      <c r="D463" s="26" t="s">
        <v>543</v>
      </c>
      <c r="E463" s="26" t="str">
        <f>IFERROR(VLOOKUP(G463,WholesaleExtract!B:J,9,FALSE),"")</f>
        <v/>
      </c>
      <c r="F463" s="26" t="str">
        <f>IFERROR(VLOOKUP(G463,WholesaleExtract!B:J,6,FALSE),"")</f>
        <v/>
      </c>
      <c r="G463" s="48"/>
      <c r="H463" s="47" t="str">
        <f>IFERROR(VLOOKUP(G463,WholesaleExtract!B:L,11,FALSE),"")</f>
        <v/>
      </c>
      <c r="I463" s="26" t="str">
        <f>IFERROR(VLOOKUP(G463,WholesaleExtract!B:O,8,FALSE),"")</f>
        <v/>
      </c>
      <c r="J463" s="26" t="str">
        <f>IFERROR(VLOOKUP(G463,WholesaleExtract!B:O,14,FALSE),"")</f>
        <v/>
      </c>
      <c r="K463" s="26" t="str">
        <f>IFERROR(VLOOKUP(G463,WholesaleExtract!B:K,10,FALSE),"")</f>
        <v/>
      </c>
      <c r="L463" s="47" t="str">
        <f>IFERROR(VLOOKUP(G463,WholesaleExtract!B:L,11,FALSE),"")</f>
        <v/>
      </c>
      <c r="M463" s="47" t="str">
        <f>IFERROR(VLOOKUP(G463,WholesaleExtract!B:M,12,FALSE),"")</f>
        <v/>
      </c>
      <c r="N463" s="27"/>
      <c r="O463" s="19"/>
      <c r="P463" s="19"/>
      <c r="Q463" s="47"/>
      <c r="R463" s="19"/>
      <c r="S463" s="19"/>
    </row>
    <row r="464" spans="1:19" x14ac:dyDescent="0.35">
      <c r="A464" s="26" t="s">
        <v>543</v>
      </c>
      <c r="B464" s="26" t="s">
        <v>543</v>
      </c>
      <c r="C464" s="26"/>
      <c r="D464" s="26" t="s">
        <v>543</v>
      </c>
      <c r="E464" s="26" t="str">
        <f>IFERROR(VLOOKUP(G464,WholesaleExtract!B:J,9,FALSE),"")</f>
        <v/>
      </c>
      <c r="F464" s="26" t="str">
        <f>IFERROR(VLOOKUP(G464,WholesaleExtract!B:J,6,FALSE),"")</f>
        <v/>
      </c>
      <c r="G464" s="48"/>
      <c r="H464" s="47" t="str">
        <f>IFERROR(VLOOKUP(G464,WholesaleExtract!B:L,11,FALSE),"")</f>
        <v/>
      </c>
      <c r="I464" s="26" t="str">
        <f>IFERROR(VLOOKUP(G464,WholesaleExtract!B:O,8,FALSE),"")</f>
        <v/>
      </c>
      <c r="J464" s="26" t="str">
        <f>IFERROR(VLOOKUP(G464,WholesaleExtract!B:O,14,FALSE),"")</f>
        <v/>
      </c>
      <c r="K464" s="26" t="str">
        <f>IFERROR(VLOOKUP(G464,WholesaleExtract!B:K,10,FALSE),"")</f>
        <v/>
      </c>
      <c r="L464" s="47" t="str">
        <f>IFERROR(VLOOKUP(G464,WholesaleExtract!B:L,11,FALSE),"")</f>
        <v/>
      </c>
      <c r="M464" s="47" t="str">
        <f>IFERROR(VLOOKUP(G464,WholesaleExtract!B:M,12,FALSE),"")</f>
        <v/>
      </c>
      <c r="N464" s="27"/>
      <c r="O464" s="19"/>
      <c r="P464" s="19"/>
      <c r="Q464" s="47"/>
      <c r="R464" s="19"/>
      <c r="S464" s="19"/>
    </row>
    <row r="465" spans="1:19" x14ac:dyDescent="0.35">
      <c r="A465" s="26" t="s">
        <v>543</v>
      </c>
      <c r="B465" s="26" t="s">
        <v>543</v>
      </c>
      <c r="C465" s="26"/>
      <c r="D465" s="26" t="s">
        <v>543</v>
      </c>
      <c r="E465" s="26" t="str">
        <f>IFERROR(VLOOKUP(G465,WholesaleExtract!B:J,9,FALSE),"")</f>
        <v/>
      </c>
      <c r="F465" s="26" t="str">
        <f>IFERROR(VLOOKUP(G465,WholesaleExtract!B:J,6,FALSE),"")</f>
        <v/>
      </c>
      <c r="G465" s="48"/>
      <c r="H465" s="47" t="str">
        <f>IFERROR(VLOOKUP(G465,WholesaleExtract!B:L,11,FALSE),"")</f>
        <v/>
      </c>
      <c r="I465" s="26" t="str">
        <f>IFERROR(VLOOKUP(G465,WholesaleExtract!B:O,8,FALSE),"")</f>
        <v/>
      </c>
      <c r="J465" s="26" t="str">
        <f>IFERROR(VLOOKUP(G465,WholesaleExtract!B:O,14,FALSE),"")</f>
        <v/>
      </c>
      <c r="K465" s="26" t="str">
        <f>IFERROR(VLOOKUP(G465,WholesaleExtract!B:K,10,FALSE),"")</f>
        <v/>
      </c>
      <c r="L465" s="47" t="str">
        <f>IFERROR(VLOOKUP(G465,WholesaleExtract!B:L,11,FALSE),"")</f>
        <v/>
      </c>
      <c r="M465" s="47" t="str">
        <f>IFERROR(VLOOKUP(G465,WholesaleExtract!B:M,12,FALSE),"")</f>
        <v/>
      </c>
      <c r="N465" s="27"/>
      <c r="O465" s="19"/>
      <c r="P465" s="19"/>
      <c r="Q465" s="47"/>
      <c r="R465" s="19"/>
      <c r="S465" s="19"/>
    </row>
    <row r="466" spans="1:19" x14ac:dyDescent="0.35">
      <c r="A466" s="26" t="s">
        <v>543</v>
      </c>
      <c r="B466" s="26" t="s">
        <v>543</v>
      </c>
      <c r="C466" s="26"/>
      <c r="D466" s="26" t="s">
        <v>543</v>
      </c>
      <c r="E466" s="26" t="str">
        <f>IFERROR(VLOOKUP(G466,WholesaleExtract!B:J,9,FALSE),"")</f>
        <v/>
      </c>
      <c r="F466" s="26" t="str">
        <f>IFERROR(VLOOKUP(G466,WholesaleExtract!B:J,6,FALSE),"")</f>
        <v/>
      </c>
      <c r="G466" s="48"/>
      <c r="H466" s="47" t="str">
        <f>IFERROR(VLOOKUP(G466,WholesaleExtract!B:L,11,FALSE),"")</f>
        <v/>
      </c>
      <c r="I466" s="26" t="str">
        <f>IFERROR(VLOOKUP(G466,WholesaleExtract!B:O,8,FALSE),"")</f>
        <v/>
      </c>
      <c r="J466" s="26" t="str">
        <f>IFERROR(VLOOKUP(G466,WholesaleExtract!B:O,14,FALSE),"")</f>
        <v/>
      </c>
      <c r="K466" s="26" t="str">
        <f>IFERROR(VLOOKUP(G466,WholesaleExtract!B:K,10,FALSE),"")</f>
        <v/>
      </c>
      <c r="L466" s="47" t="str">
        <f>IFERROR(VLOOKUP(G466,WholesaleExtract!B:L,11,FALSE),"")</f>
        <v/>
      </c>
      <c r="M466" s="47" t="str">
        <f>IFERROR(VLOOKUP(G466,WholesaleExtract!B:M,12,FALSE),"")</f>
        <v/>
      </c>
      <c r="N466" s="27"/>
      <c r="O466" s="19"/>
      <c r="P466" s="19"/>
      <c r="Q466" s="47"/>
      <c r="R466" s="19"/>
      <c r="S466" s="19"/>
    </row>
    <row r="467" spans="1:19" x14ac:dyDescent="0.35">
      <c r="A467" s="26" t="s">
        <v>543</v>
      </c>
      <c r="B467" s="26" t="s">
        <v>543</v>
      </c>
      <c r="C467" s="26"/>
      <c r="D467" s="26" t="s">
        <v>543</v>
      </c>
      <c r="E467" s="26" t="str">
        <f>IFERROR(VLOOKUP(G467,WholesaleExtract!B:J,9,FALSE),"")</f>
        <v/>
      </c>
      <c r="F467" s="26" t="str">
        <f>IFERROR(VLOOKUP(G467,WholesaleExtract!B:J,6,FALSE),"")</f>
        <v/>
      </c>
      <c r="G467" s="48"/>
      <c r="H467" s="47" t="str">
        <f>IFERROR(VLOOKUP(G467,WholesaleExtract!B:L,11,FALSE),"")</f>
        <v/>
      </c>
      <c r="I467" s="26" t="str">
        <f>IFERROR(VLOOKUP(G467,WholesaleExtract!B:O,8,FALSE),"")</f>
        <v/>
      </c>
      <c r="J467" s="26" t="str">
        <f>IFERROR(VLOOKUP(G467,WholesaleExtract!B:O,14,FALSE),"")</f>
        <v/>
      </c>
      <c r="K467" s="26" t="str">
        <f>IFERROR(VLOOKUP(G467,WholesaleExtract!B:K,10,FALSE),"")</f>
        <v/>
      </c>
      <c r="L467" s="47" t="str">
        <f>IFERROR(VLOOKUP(G467,WholesaleExtract!B:L,11,FALSE),"")</f>
        <v/>
      </c>
      <c r="M467" s="47" t="str">
        <f>IFERROR(VLOOKUP(G467,WholesaleExtract!B:M,12,FALSE),"")</f>
        <v/>
      </c>
      <c r="N467" s="27"/>
      <c r="O467" s="19"/>
      <c r="P467" s="19"/>
      <c r="Q467" s="47"/>
      <c r="R467" s="19"/>
      <c r="S467" s="19"/>
    </row>
    <row r="468" spans="1:19" x14ac:dyDescent="0.35">
      <c r="A468" s="26" t="s">
        <v>543</v>
      </c>
      <c r="B468" s="26" t="s">
        <v>543</v>
      </c>
      <c r="C468" s="26"/>
      <c r="D468" s="26" t="s">
        <v>543</v>
      </c>
      <c r="E468" s="26" t="str">
        <f>IFERROR(VLOOKUP(G468,WholesaleExtract!B:J,9,FALSE),"")</f>
        <v/>
      </c>
      <c r="F468" s="26" t="str">
        <f>IFERROR(VLOOKUP(G468,WholesaleExtract!B:J,6,FALSE),"")</f>
        <v/>
      </c>
      <c r="G468" s="48"/>
      <c r="H468" s="47" t="str">
        <f>IFERROR(VLOOKUP(G468,WholesaleExtract!B:L,11,FALSE),"")</f>
        <v/>
      </c>
      <c r="I468" s="26" t="str">
        <f>IFERROR(VLOOKUP(G468,WholesaleExtract!B:O,8,FALSE),"")</f>
        <v/>
      </c>
      <c r="J468" s="26" t="str">
        <f>IFERROR(VLOOKUP(G468,WholesaleExtract!B:O,14,FALSE),"")</f>
        <v/>
      </c>
      <c r="K468" s="26" t="str">
        <f>IFERROR(VLOOKUP(G468,WholesaleExtract!B:K,10,FALSE),"")</f>
        <v/>
      </c>
      <c r="L468" s="47" t="str">
        <f>IFERROR(VLOOKUP(G468,WholesaleExtract!B:L,11,FALSE),"")</f>
        <v/>
      </c>
      <c r="M468" s="47" t="str">
        <f>IFERROR(VLOOKUP(G468,WholesaleExtract!B:M,12,FALSE),"")</f>
        <v/>
      </c>
      <c r="N468" s="27"/>
      <c r="O468" s="19"/>
      <c r="P468" s="19"/>
      <c r="Q468" s="47"/>
      <c r="R468" s="19"/>
      <c r="S468" s="19"/>
    </row>
    <row r="469" spans="1:19" x14ac:dyDescent="0.35">
      <c r="A469" s="26" t="s">
        <v>543</v>
      </c>
      <c r="B469" s="26" t="s">
        <v>543</v>
      </c>
      <c r="C469" s="26"/>
      <c r="D469" s="26" t="s">
        <v>543</v>
      </c>
      <c r="E469" s="26" t="str">
        <f>IFERROR(VLOOKUP(G469,WholesaleExtract!B:J,9,FALSE),"")</f>
        <v/>
      </c>
      <c r="F469" s="26" t="str">
        <f>IFERROR(VLOOKUP(G469,WholesaleExtract!B:J,6,FALSE),"")</f>
        <v/>
      </c>
      <c r="G469" s="48"/>
      <c r="H469" s="47" t="str">
        <f>IFERROR(VLOOKUP(G469,WholesaleExtract!B:L,11,FALSE),"")</f>
        <v/>
      </c>
      <c r="I469" s="26" t="str">
        <f>IFERROR(VLOOKUP(G469,WholesaleExtract!B:O,8,FALSE),"")</f>
        <v/>
      </c>
      <c r="J469" s="26" t="str">
        <f>IFERROR(VLOOKUP(G469,WholesaleExtract!B:O,14,FALSE),"")</f>
        <v/>
      </c>
      <c r="K469" s="26" t="str">
        <f>IFERROR(VLOOKUP(G469,WholesaleExtract!B:K,10,FALSE),"")</f>
        <v/>
      </c>
      <c r="L469" s="47" t="str">
        <f>IFERROR(VLOOKUP(G469,WholesaleExtract!B:L,11,FALSE),"")</f>
        <v/>
      </c>
      <c r="M469" s="47" t="str">
        <f>IFERROR(VLOOKUP(G469,WholesaleExtract!B:M,12,FALSE),"")</f>
        <v/>
      </c>
      <c r="N469" s="27"/>
      <c r="O469" s="19"/>
      <c r="P469" s="19"/>
      <c r="Q469" s="47"/>
      <c r="R469" s="19"/>
      <c r="S469" s="19"/>
    </row>
    <row r="470" spans="1:19" x14ac:dyDescent="0.35">
      <c r="A470" s="26" t="s">
        <v>543</v>
      </c>
      <c r="B470" s="26" t="s">
        <v>543</v>
      </c>
      <c r="C470" s="26"/>
      <c r="D470" s="26" t="s">
        <v>543</v>
      </c>
      <c r="E470" s="26" t="str">
        <f>IFERROR(VLOOKUP(G470,WholesaleExtract!B:J,9,FALSE),"")</f>
        <v/>
      </c>
      <c r="F470" s="26" t="str">
        <f>IFERROR(VLOOKUP(G470,WholesaleExtract!B:J,6,FALSE),"")</f>
        <v/>
      </c>
      <c r="G470" s="48"/>
      <c r="H470" s="47" t="str">
        <f>IFERROR(VLOOKUP(G470,WholesaleExtract!B:L,11,FALSE),"")</f>
        <v/>
      </c>
      <c r="I470" s="26" t="str">
        <f>IFERROR(VLOOKUP(G470,WholesaleExtract!B:O,8,FALSE),"")</f>
        <v/>
      </c>
      <c r="J470" s="26" t="str">
        <f>IFERROR(VLOOKUP(G470,WholesaleExtract!B:O,14,FALSE),"")</f>
        <v/>
      </c>
      <c r="K470" s="26" t="str">
        <f>IFERROR(VLOOKUP(G470,WholesaleExtract!B:K,10,FALSE),"")</f>
        <v/>
      </c>
      <c r="L470" s="47" t="str">
        <f>IFERROR(VLOOKUP(G470,WholesaleExtract!B:L,11,FALSE),"")</f>
        <v/>
      </c>
      <c r="M470" s="47" t="str">
        <f>IFERROR(VLOOKUP(G470,WholesaleExtract!B:M,12,FALSE),"")</f>
        <v/>
      </c>
      <c r="N470" s="27"/>
      <c r="O470" s="19"/>
      <c r="P470" s="19"/>
      <c r="Q470" s="47"/>
      <c r="R470" s="19"/>
      <c r="S470" s="19"/>
    </row>
    <row r="471" spans="1:19" x14ac:dyDescent="0.35">
      <c r="A471" s="26" t="s">
        <v>543</v>
      </c>
      <c r="B471" s="26" t="s">
        <v>543</v>
      </c>
      <c r="C471" s="26"/>
      <c r="D471" s="26" t="s">
        <v>543</v>
      </c>
      <c r="E471" s="26" t="str">
        <f>IFERROR(VLOOKUP(G471,WholesaleExtract!B:J,9,FALSE),"")</f>
        <v/>
      </c>
      <c r="F471" s="26" t="str">
        <f>IFERROR(VLOOKUP(G471,WholesaleExtract!B:J,6,FALSE),"")</f>
        <v/>
      </c>
      <c r="G471" s="48"/>
      <c r="H471" s="47" t="str">
        <f>IFERROR(VLOOKUP(G471,WholesaleExtract!B:L,11,FALSE),"")</f>
        <v/>
      </c>
      <c r="I471" s="26" t="str">
        <f>IFERROR(VLOOKUP(G471,WholesaleExtract!B:O,8,FALSE),"")</f>
        <v/>
      </c>
      <c r="J471" s="26" t="str">
        <f>IFERROR(VLOOKUP(G471,WholesaleExtract!B:O,14,FALSE),"")</f>
        <v/>
      </c>
      <c r="K471" s="26" t="str">
        <f>IFERROR(VLOOKUP(G471,WholesaleExtract!B:K,10,FALSE),"")</f>
        <v/>
      </c>
      <c r="L471" s="47" t="str">
        <f>IFERROR(VLOOKUP(G471,WholesaleExtract!B:L,11,FALSE),"")</f>
        <v/>
      </c>
      <c r="M471" s="47" t="str">
        <f>IFERROR(VLOOKUP(G471,WholesaleExtract!B:M,12,FALSE),"")</f>
        <v/>
      </c>
      <c r="N471" s="27"/>
      <c r="O471" s="19"/>
      <c r="P471" s="19"/>
      <c r="Q471" s="47"/>
      <c r="R471" s="19"/>
      <c r="S471" s="19"/>
    </row>
    <row r="472" spans="1:19" x14ac:dyDescent="0.35">
      <c r="A472" s="26" t="s">
        <v>543</v>
      </c>
      <c r="B472" s="26" t="s">
        <v>543</v>
      </c>
      <c r="C472" s="26"/>
      <c r="D472" s="26" t="s">
        <v>543</v>
      </c>
      <c r="E472" s="26" t="str">
        <f>IFERROR(VLOOKUP(G472,WholesaleExtract!B:J,9,FALSE),"")</f>
        <v/>
      </c>
      <c r="F472" s="26" t="str">
        <f>IFERROR(VLOOKUP(G472,WholesaleExtract!B:J,6,FALSE),"")</f>
        <v/>
      </c>
      <c r="G472" s="48"/>
      <c r="H472" s="47" t="str">
        <f>IFERROR(VLOOKUP(G472,WholesaleExtract!B:L,11,FALSE),"")</f>
        <v/>
      </c>
      <c r="I472" s="26" t="str">
        <f>IFERROR(VLOOKUP(G472,WholesaleExtract!B:O,8,FALSE),"")</f>
        <v/>
      </c>
      <c r="J472" s="26" t="str">
        <f>IFERROR(VLOOKUP(G472,WholesaleExtract!B:O,14,FALSE),"")</f>
        <v/>
      </c>
      <c r="K472" s="26" t="str">
        <f>IFERROR(VLOOKUP(G472,WholesaleExtract!B:K,10,FALSE),"")</f>
        <v/>
      </c>
      <c r="L472" s="47" t="str">
        <f>IFERROR(VLOOKUP(G472,WholesaleExtract!B:L,11,FALSE),"")</f>
        <v/>
      </c>
      <c r="M472" s="47" t="str">
        <f>IFERROR(VLOOKUP(G472,WholesaleExtract!B:M,12,FALSE),"")</f>
        <v/>
      </c>
      <c r="N472" s="27"/>
      <c r="O472" s="19"/>
      <c r="P472" s="19"/>
      <c r="Q472" s="47"/>
      <c r="R472" s="19"/>
      <c r="S472" s="19"/>
    </row>
    <row r="473" spans="1:19" x14ac:dyDescent="0.35">
      <c r="A473" s="26" t="s">
        <v>543</v>
      </c>
      <c r="B473" s="26" t="s">
        <v>543</v>
      </c>
      <c r="C473" s="26"/>
      <c r="D473" s="26" t="s">
        <v>543</v>
      </c>
      <c r="E473" s="26" t="str">
        <f>IFERROR(VLOOKUP(G473,WholesaleExtract!B:J,9,FALSE),"")</f>
        <v/>
      </c>
      <c r="F473" s="26" t="str">
        <f>IFERROR(VLOOKUP(G473,WholesaleExtract!B:J,6,FALSE),"")</f>
        <v/>
      </c>
      <c r="G473" s="48"/>
      <c r="H473" s="47" t="str">
        <f>IFERROR(VLOOKUP(G473,WholesaleExtract!B:L,11,FALSE),"")</f>
        <v/>
      </c>
      <c r="I473" s="26" t="str">
        <f>IFERROR(VLOOKUP(G473,WholesaleExtract!B:O,8,FALSE),"")</f>
        <v/>
      </c>
      <c r="J473" s="26" t="str">
        <f>IFERROR(VLOOKUP(G473,WholesaleExtract!B:O,14,FALSE),"")</f>
        <v/>
      </c>
      <c r="K473" s="26" t="str">
        <f>IFERROR(VLOOKUP(G473,WholesaleExtract!B:K,10,FALSE),"")</f>
        <v/>
      </c>
      <c r="L473" s="47" t="str">
        <f>IFERROR(VLOOKUP(G473,WholesaleExtract!B:L,11,FALSE),"")</f>
        <v/>
      </c>
      <c r="M473" s="47" t="str">
        <f>IFERROR(VLOOKUP(G473,WholesaleExtract!B:M,12,FALSE),"")</f>
        <v/>
      </c>
      <c r="N473" s="27"/>
      <c r="O473" s="19"/>
      <c r="P473" s="19"/>
      <c r="Q473" s="47"/>
      <c r="R473" s="19"/>
      <c r="S473" s="19"/>
    </row>
    <row r="474" spans="1:19" x14ac:dyDescent="0.35">
      <c r="A474" s="26" t="s">
        <v>543</v>
      </c>
      <c r="B474" s="26" t="s">
        <v>543</v>
      </c>
      <c r="C474" s="26"/>
      <c r="D474" s="26" t="s">
        <v>543</v>
      </c>
      <c r="E474" s="26" t="str">
        <f>IFERROR(VLOOKUP(G474,WholesaleExtract!B:J,9,FALSE),"")</f>
        <v/>
      </c>
      <c r="F474" s="26" t="str">
        <f>IFERROR(VLOOKUP(G474,WholesaleExtract!B:J,6,FALSE),"")</f>
        <v/>
      </c>
      <c r="G474" s="48"/>
      <c r="H474" s="47" t="str">
        <f>IFERROR(VLOOKUP(G474,WholesaleExtract!B:L,11,FALSE),"")</f>
        <v/>
      </c>
      <c r="I474" s="26" t="str">
        <f>IFERROR(VLOOKUP(G474,WholesaleExtract!B:O,8,FALSE),"")</f>
        <v/>
      </c>
      <c r="J474" s="26" t="str">
        <f>IFERROR(VLOOKUP(G474,WholesaleExtract!B:O,14,FALSE),"")</f>
        <v/>
      </c>
      <c r="K474" s="26" t="str">
        <f>IFERROR(VLOOKUP(G474,WholesaleExtract!B:K,10,FALSE),"")</f>
        <v/>
      </c>
      <c r="L474" s="47" t="str">
        <f>IFERROR(VLOOKUP(G474,WholesaleExtract!B:L,11,FALSE),"")</f>
        <v/>
      </c>
      <c r="M474" s="47" t="str">
        <f>IFERROR(VLOOKUP(G474,WholesaleExtract!B:M,12,FALSE),"")</f>
        <v/>
      </c>
      <c r="N474" s="27"/>
      <c r="O474" s="19"/>
      <c r="P474" s="19"/>
      <c r="Q474" s="47"/>
      <c r="R474" s="19"/>
      <c r="S474" s="19"/>
    </row>
    <row r="475" spans="1:19" x14ac:dyDescent="0.35">
      <c r="A475" s="26" t="s">
        <v>543</v>
      </c>
      <c r="B475" s="26" t="s">
        <v>543</v>
      </c>
      <c r="C475" s="26"/>
      <c r="D475" s="26" t="s">
        <v>543</v>
      </c>
      <c r="E475" s="26" t="str">
        <f>IFERROR(VLOOKUP(G475,WholesaleExtract!B:J,9,FALSE),"")</f>
        <v/>
      </c>
      <c r="F475" s="26" t="str">
        <f>IFERROR(VLOOKUP(G475,WholesaleExtract!B:J,6,FALSE),"")</f>
        <v/>
      </c>
      <c r="G475" s="48"/>
      <c r="H475" s="47" t="str">
        <f>IFERROR(VLOOKUP(G475,WholesaleExtract!B:L,11,FALSE),"")</f>
        <v/>
      </c>
      <c r="I475" s="26" t="str">
        <f>IFERROR(VLOOKUP(G475,WholesaleExtract!B:O,8,FALSE),"")</f>
        <v/>
      </c>
      <c r="J475" s="26" t="str">
        <f>IFERROR(VLOOKUP(G475,WholesaleExtract!B:O,14,FALSE),"")</f>
        <v/>
      </c>
      <c r="K475" s="26" t="str">
        <f>IFERROR(VLOOKUP(G475,WholesaleExtract!B:K,10,FALSE),"")</f>
        <v/>
      </c>
      <c r="L475" s="47" t="str">
        <f>IFERROR(VLOOKUP(G475,WholesaleExtract!B:L,11,FALSE),"")</f>
        <v/>
      </c>
      <c r="M475" s="47" t="str">
        <f>IFERROR(VLOOKUP(G475,WholesaleExtract!B:M,12,FALSE),"")</f>
        <v/>
      </c>
      <c r="N475" s="27"/>
      <c r="O475" s="19"/>
      <c r="P475" s="19"/>
      <c r="Q475" s="47"/>
      <c r="R475" s="19"/>
      <c r="S475" s="19"/>
    </row>
    <row r="476" spans="1:19" x14ac:dyDescent="0.35">
      <c r="A476" s="26" t="s">
        <v>543</v>
      </c>
      <c r="B476" s="26" t="s">
        <v>543</v>
      </c>
      <c r="C476" s="26"/>
      <c r="D476" s="26" t="s">
        <v>543</v>
      </c>
      <c r="E476" s="26" t="str">
        <f>IFERROR(VLOOKUP(G476,WholesaleExtract!B:J,9,FALSE),"")</f>
        <v/>
      </c>
      <c r="F476" s="26" t="str">
        <f>IFERROR(VLOOKUP(G476,WholesaleExtract!B:J,6,FALSE),"")</f>
        <v/>
      </c>
      <c r="G476" s="48"/>
      <c r="H476" s="47" t="str">
        <f>IFERROR(VLOOKUP(G476,WholesaleExtract!B:L,11,FALSE),"")</f>
        <v/>
      </c>
      <c r="I476" s="26" t="str">
        <f>IFERROR(VLOOKUP(G476,WholesaleExtract!B:O,8,FALSE),"")</f>
        <v/>
      </c>
      <c r="J476" s="26" t="str">
        <f>IFERROR(VLOOKUP(G476,WholesaleExtract!B:O,14,FALSE),"")</f>
        <v/>
      </c>
      <c r="K476" s="26" t="str">
        <f>IFERROR(VLOOKUP(G476,WholesaleExtract!B:K,10,FALSE),"")</f>
        <v/>
      </c>
      <c r="L476" s="47" t="str">
        <f>IFERROR(VLOOKUP(G476,WholesaleExtract!B:L,11,FALSE),"")</f>
        <v/>
      </c>
      <c r="M476" s="47" t="str">
        <f>IFERROR(VLOOKUP(G476,WholesaleExtract!B:M,12,FALSE),"")</f>
        <v/>
      </c>
      <c r="N476" s="27"/>
      <c r="O476" s="19"/>
      <c r="P476" s="19"/>
      <c r="Q476" s="47"/>
      <c r="R476" s="19"/>
      <c r="S476" s="19"/>
    </row>
    <row r="477" spans="1:19" x14ac:dyDescent="0.35">
      <c r="A477" s="26" t="s">
        <v>543</v>
      </c>
      <c r="B477" s="26" t="s">
        <v>543</v>
      </c>
      <c r="C477" s="26"/>
      <c r="D477" s="26" t="s">
        <v>543</v>
      </c>
      <c r="E477" s="26" t="str">
        <f>IFERROR(VLOOKUP(G477,WholesaleExtract!B:J,9,FALSE),"")</f>
        <v/>
      </c>
      <c r="F477" s="26" t="str">
        <f>IFERROR(VLOOKUP(G477,WholesaleExtract!B:J,6,FALSE),"")</f>
        <v/>
      </c>
      <c r="G477" s="48"/>
      <c r="H477" s="47" t="str">
        <f>IFERROR(VLOOKUP(G477,WholesaleExtract!B:L,11,FALSE),"")</f>
        <v/>
      </c>
      <c r="I477" s="26" t="str">
        <f>IFERROR(VLOOKUP(G477,WholesaleExtract!B:O,8,FALSE),"")</f>
        <v/>
      </c>
      <c r="J477" s="26" t="str">
        <f>IFERROR(VLOOKUP(G477,WholesaleExtract!B:O,14,FALSE),"")</f>
        <v/>
      </c>
      <c r="K477" s="26" t="str">
        <f>IFERROR(VLOOKUP(G477,WholesaleExtract!B:K,10,FALSE),"")</f>
        <v/>
      </c>
      <c r="L477" s="47" t="str">
        <f>IFERROR(VLOOKUP(G477,WholesaleExtract!B:L,11,FALSE),"")</f>
        <v/>
      </c>
      <c r="M477" s="47" t="str">
        <f>IFERROR(VLOOKUP(G477,WholesaleExtract!B:M,12,FALSE),"")</f>
        <v/>
      </c>
      <c r="N477" s="27"/>
      <c r="O477" s="19"/>
      <c r="P477" s="19"/>
      <c r="Q477" s="47"/>
      <c r="R477" s="19"/>
      <c r="S477" s="19"/>
    </row>
    <row r="478" spans="1:19" x14ac:dyDescent="0.35">
      <c r="A478" s="26" t="s">
        <v>543</v>
      </c>
      <c r="B478" s="26" t="s">
        <v>543</v>
      </c>
      <c r="C478" s="26"/>
      <c r="D478" s="26" t="s">
        <v>543</v>
      </c>
      <c r="E478" s="26" t="str">
        <f>IFERROR(VLOOKUP(G478,WholesaleExtract!B:J,9,FALSE),"")</f>
        <v/>
      </c>
      <c r="F478" s="26" t="str">
        <f>IFERROR(VLOOKUP(G478,WholesaleExtract!B:J,6,FALSE),"")</f>
        <v/>
      </c>
      <c r="G478" s="48"/>
      <c r="H478" s="47" t="str">
        <f>IFERROR(VLOOKUP(G478,WholesaleExtract!B:L,11,FALSE),"")</f>
        <v/>
      </c>
      <c r="I478" s="26" t="str">
        <f>IFERROR(VLOOKUP(G478,WholesaleExtract!B:O,8,FALSE),"")</f>
        <v/>
      </c>
      <c r="J478" s="26" t="str">
        <f>IFERROR(VLOOKUP(G478,WholesaleExtract!B:O,14,FALSE),"")</f>
        <v/>
      </c>
      <c r="K478" s="26" t="str">
        <f>IFERROR(VLOOKUP(G478,WholesaleExtract!B:K,10,FALSE),"")</f>
        <v/>
      </c>
      <c r="L478" s="47" t="str">
        <f>IFERROR(VLOOKUP(G478,WholesaleExtract!B:L,11,FALSE),"")</f>
        <v/>
      </c>
      <c r="M478" s="47" t="str">
        <f>IFERROR(VLOOKUP(G478,WholesaleExtract!B:M,12,FALSE),"")</f>
        <v/>
      </c>
      <c r="N478" s="27"/>
      <c r="O478" s="19"/>
      <c r="P478" s="19"/>
      <c r="Q478" s="47"/>
      <c r="R478" s="19"/>
      <c r="S478" s="19"/>
    </row>
    <row r="479" spans="1:19" x14ac:dyDescent="0.35">
      <c r="A479" s="26" t="s">
        <v>543</v>
      </c>
      <c r="B479" s="26" t="s">
        <v>543</v>
      </c>
      <c r="C479" s="26"/>
      <c r="D479" s="26" t="s">
        <v>543</v>
      </c>
      <c r="E479" s="26" t="str">
        <f>IFERROR(VLOOKUP(G479,WholesaleExtract!B:J,9,FALSE),"")</f>
        <v/>
      </c>
      <c r="F479" s="26" t="str">
        <f>IFERROR(VLOOKUP(G479,WholesaleExtract!B:J,6,FALSE),"")</f>
        <v/>
      </c>
      <c r="G479" s="48"/>
      <c r="H479" s="47" t="str">
        <f>IFERROR(VLOOKUP(G479,WholesaleExtract!B:L,11,FALSE),"")</f>
        <v/>
      </c>
      <c r="I479" s="26" t="str">
        <f>IFERROR(VLOOKUP(G479,WholesaleExtract!B:O,8,FALSE),"")</f>
        <v/>
      </c>
      <c r="J479" s="26" t="str">
        <f>IFERROR(VLOOKUP(G479,WholesaleExtract!B:O,14,FALSE),"")</f>
        <v/>
      </c>
      <c r="K479" s="26" t="str">
        <f>IFERROR(VLOOKUP(G479,WholesaleExtract!B:K,10,FALSE),"")</f>
        <v/>
      </c>
      <c r="L479" s="47" t="str">
        <f>IFERROR(VLOOKUP(G479,WholesaleExtract!B:L,11,FALSE),"")</f>
        <v/>
      </c>
      <c r="M479" s="47" t="str">
        <f>IFERROR(VLOOKUP(G479,WholesaleExtract!B:M,12,FALSE),"")</f>
        <v/>
      </c>
      <c r="N479" s="27"/>
      <c r="O479" s="19"/>
      <c r="P479" s="19"/>
      <c r="Q479" s="47"/>
      <c r="R479" s="19"/>
      <c r="S479" s="19"/>
    </row>
    <row r="480" spans="1:19" x14ac:dyDescent="0.35">
      <c r="A480" s="26" t="s">
        <v>543</v>
      </c>
      <c r="B480" s="26" t="s">
        <v>543</v>
      </c>
      <c r="C480" s="26"/>
      <c r="D480" s="26" t="s">
        <v>543</v>
      </c>
      <c r="E480" s="26" t="str">
        <f>IFERROR(VLOOKUP(G480,WholesaleExtract!B:J,9,FALSE),"")</f>
        <v/>
      </c>
      <c r="F480" s="26" t="str">
        <f>IFERROR(VLOOKUP(G480,WholesaleExtract!B:J,6,FALSE),"")</f>
        <v/>
      </c>
      <c r="G480" s="48"/>
      <c r="H480" s="47" t="str">
        <f>IFERROR(VLOOKUP(G480,WholesaleExtract!B:L,11,FALSE),"")</f>
        <v/>
      </c>
      <c r="I480" s="26" t="str">
        <f>IFERROR(VLOOKUP(G480,WholesaleExtract!B:O,8,FALSE),"")</f>
        <v/>
      </c>
      <c r="J480" s="26" t="str">
        <f>IFERROR(VLOOKUP(G480,WholesaleExtract!B:O,14,FALSE),"")</f>
        <v/>
      </c>
      <c r="K480" s="26" t="str">
        <f>IFERROR(VLOOKUP(G480,WholesaleExtract!B:K,10,FALSE),"")</f>
        <v/>
      </c>
      <c r="L480" s="47" t="str">
        <f>IFERROR(VLOOKUP(G480,WholesaleExtract!B:L,11,FALSE),"")</f>
        <v/>
      </c>
      <c r="M480" s="47" t="str">
        <f>IFERROR(VLOOKUP(G480,WholesaleExtract!B:M,12,FALSE),"")</f>
        <v/>
      </c>
      <c r="N480" s="27"/>
      <c r="O480" s="19"/>
      <c r="P480" s="19"/>
      <c r="Q480" s="47"/>
      <c r="R480" s="19"/>
      <c r="S480" s="19"/>
    </row>
    <row r="481" spans="1:19" x14ac:dyDescent="0.35">
      <c r="A481" s="26" t="s">
        <v>543</v>
      </c>
      <c r="B481" s="26" t="s">
        <v>543</v>
      </c>
      <c r="C481" s="26"/>
      <c r="D481" s="26" t="s">
        <v>543</v>
      </c>
      <c r="E481" s="26" t="str">
        <f>IFERROR(VLOOKUP(G481,WholesaleExtract!B:J,9,FALSE),"")</f>
        <v/>
      </c>
      <c r="F481" s="26" t="str">
        <f>IFERROR(VLOOKUP(G481,WholesaleExtract!B:J,6,FALSE),"")</f>
        <v/>
      </c>
      <c r="G481" s="48"/>
      <c r="H481" s="47" t="str">
        <f>IFERROR(VLOOKUP(G481,WholesaleExtract!B:L,11,FALSE),"")</f>
        <v/>
      </c>
      <c r="I481" s="26" t="str">
        <f>IFERROR(VLOOKUP(G481,WholesaleExtract!B:O,8,FALSE),"")</f>
        <v/>
      </c>
      <c r="J481" s="26" t="str">
        <f>IFERROR(VLOOKUP(G481,WholesaleExtract!B:O,14,FALSE),"")</f>
        <v/>
      </c>
      <c r="K481" s="26" t="str">
        <f>IFERROR(VLOOKUP(G481,WholesaleExtract!B:K,10,FALSE),"")</f>
        <v/>
      </c>
      <c r="L481" s="47" t="str">
        <f>IFERROR(VLOOKUP(G481,WholesaleExtract!B:L,11,FALSE),"")</f>
        <v/>
      </c>
      <c r="M481" s="47" t="str">
        <f>IFERROR(VLOOKUP(G481,WholesaleExtract!B:M,12,FALSE),"")</f>
        <v/>
      </c>
      <c r="N481" s="27"/>
      <c r="O481" s="19"/>
      <c r="P481" s="19"/>
      <c r="Q481" s="47"/>
      <c r="R481" s="19"/>
      <c r="S481" s="19"/>
    </row>
    <row r="482" spans="1:19" x14ac:dyDescent="0.35">
      <c r="A482" s="26" t="s">
        <v>543</v>
      </c>
      <c r="B482" s="26" t="s">
        <v>543</v>
      </c>
      <c r="C482" s="26"/>
      <c r="D482" s="26" t="s">
        <v>543</v>
      </c>
      <c r="E482" s="26" t="str">
        <f>IFERROR(VLOOKUP(G482,WholesaleExtract!B:J,9,FALSE),"")</f>
        <v/>
      </c>
      <c r="F482" s="26" t="str">
        <f>IFERROR(VLOOKUP(G482,WholesaleExtract!B:J,6,FALSE),"")</f>
        <v/>
      </c>
      <c r="G482" s="48"/>
      <c r="H482" s="47" t="str">
        <f>IFERROR(VLOOKUP(G482,WholesaleExtract!B:L,11,FALSE),"")</f>
        <v/>
      </c>
      <c r="I482" s="26" t="str">
        <f>IFERROR(VLOOKUP(G482,WholesaleExtract!B:O,8,FALSE),"")</f>
        <v/>
      </c>
      <c r="J482" s="26" t="str">
        <f>IFERROR(VLOOKUP(G482,WholesaleExtract!B:O,14,FALSE),"")</f>
        <v/>
      </c>
      <c r="K482" s="26" t="str">
        <f>IFERROR(VLOOKUP(G482,WholesaleExtract!B:K,10,FALSE),"")</f>
        <v/>
      </c>
      <c r="L482" s="47" t="str">
        <f>IFERROR(VLOOKUP(G482,WholesaleExtract!B:L,11,FALSE),"")</f>
        <v/>
      </c>
      <c r="M482" s="47" t="str">
        <f>IFERROR(VLOOKUP(G482,WholesaleExtract!B:M,12,FALSE),"")</f>
        <v/>
      </c>
      <c r="N482" s="27"/>
      <c r="O482" s="19"/>
      <c r="P482" s="19"/>
      <c r="Q482" s="47"/>
      <c r="R482" s="19"/>
      <c r="S482" s="19"/>
    </row>
    <row r="483" spans="1:19" x14ac:dyDescent="0.35">
      <c r="A483" s="26" t="s">
        <v>543</v>
      </c>
      <c r="B483" s="26" t="s">
        <v>543</v>
      </c>
      <c r="C483" s="26"/>
      <c r="D483" s="26" t="s">
        <v>543</v>
      </c>
      <c r="E483" s="26" t="str">
        <f>IFERROR(VLOOKUP(G483,WholesaleExtract!B:J,9,FALSE),"")</f>
        <v/>
      </c>
      <c r="F483" s="26" t="str">
        <f>IFERROR(VLOOKUP(G483,WholesaleExtract!B:J,6,FALSE),"")</f>
        <v/>
      </c>
      <c r="G483" s="48"/>
      <c r="H483" s="47" t="str">
        <f>IFERROR(VLOOKUP(G483,WholesaleExtract!B:L,11,FALSE),"")</f>
        <v/>
      </c>
      <c r="I483" s="26" t="str">
        <f>IFERROR(VLOOKUP(G483,WholesaleExtract!B:O,8,FALSE),"")</f>
        <v/>
      </c>
      <c r="J483" s="26" t="str">
        <f>IFERROR(VLOOKUP(G483,WholesaleExtract!B:O,14,FALSE),"")</f>
        <v/>
      </c>
      <c r="K483" s="26" t="str">
        <f>IFERROR(VLOOKUP(G483,WholesaleExtract!B:K,10,FALSE),"")</f>
        <v/>
      </c>
      <c r="L483" s="47" t="str">
        <f>IFERROR(VLOOKUP(G483,WholesaleExtract!B:L,11,FALSE),"")</f>
        <v/>
      </c>
      <c r="M483" s="47" t="str">
        <f>IFERROR(VLOOKUP(G483,WholesaleExtract!B:M,12,FALSE),"")</f>
        <v/>
      </c>
      <c r="N483" s="27"/>
      <c r="O483" s="19"/>
      <c r="P483" s="19"/>
      <c r="Q483" s="47"/>
      <c r="R483" s="19"/>
      <c r="S483" s="19"/>
    </row>
    <row r="484" spans="1:19" x14ac:dyDescent="0.35">
      <c r="A484" s="26" t="s">
        <v>543</v>
      </c>
      <c r="B484" s="26" t="s">
        <v>543</v>
      </c>
      <c r="C484" s="26"/>
      <c r="D484" s="26" t="s">
        <v>543</v>
      </c>
      <c r="E484" s="26" t="str">
        <f>IFERROR(VLOOKUP(G484,WholesaleExtract!B:J,9,FALSE),"")</f>
        <v/>
      </c>
      <c r="F484" s="26" t="str">
        <f>IFERROR(VLOOKUP(G484,WholesaleExtract!B:J,6,FALSE),"")</f>
        <v/>
      </c>
      <c r="G484" s="48"/>
      <c r="H484" s="47" t="str">
        <f>IFERROR(VLOOKUP(G484,WholesaleExtract!B:L,11,FALSE),"")</f>
        <v/>
      </c>
      <c r="I484" s="26" t="str">
        <f>IFERROR(VLOOKUP(G484,WholesaleExtract!B:O,8,FALSE),"")</f>
        <v/>
      </c>
      <c r="J484" s="26" t="str">
        <f>IFERROR(VLOOKUP(G484,WholesaleExtract!B:O,14,FALSE),"")</f>
        <v/>
      </c>
      <c r="K484" s="26" t="str">
        <f>IFERROR(VLOOKUP(G484,WholesaleExtract!B:K,10,FALSE),"")</f>
        <v/>
      </c>
      <c r="L484" s="47" t="str">
        <f>IFERROR(VLOOKUP(G484,WholesaleExtract!B:L,11,FALSE),"")</f>
        <v/>
      </c>
      <c r="M484" s="47" t="str">
        <f>IFERROR(VLOOKUP(G484,WholesaleExtract!B:M,12,FALSE),"")</f>
        <v/>
      </c>
      <c r="N484" s="27"/>
      <c r="O484" s="19"/>
      <c r="P484" s="19"/>
      <c r="Q484" s="47"/>
      <c r="R484" s="19"/>
      <c r="S484" s="19"/>
    </row>
    <row r="485" spans="1:19" x14ac:dyDescent="0.35">
      <c r="A485" s="26" t="s">
        <v>543</v>
      </c>
      <c r="B485" s="26" t="s">
        <v>543</v>
      </c>
      <c r="C485" s="26"/>
      <c r="D485" s="26" t="s">
        <v>543</v>
      </c>
      <c r="E485" s="26" t="str">
        <f>IFERROR(VLOOKUP(G485,WholesaleExtract!B:J,9,FALSE),"")</f>
        <v/>
      </c>
      <c r="F485" s="26" t="str">
        <f>IFERROR(VLOOKUP(G485,WholesaleExtract!B:J,6,FALSE),"")</f>
        <v/>
      </c>
      <c r="G485" s="48"/>
      <c r="H485" s="47" t="str">
        <f>IFERROR(VLOOKUP(G485,WholesaleExtract!B:L,11,FALSE),"")</f>
        <v/>
      </c>
      <c r="I485" s="26" t="str">
        <f>IFERROR(VLOOKUP(G485,WholesaleExtract!B:O,8,FALSE),"")</f>
        <v/>
      </c>
      <c r="J485" s="26" t="str">
        <f>IFERROR(VLOOKUP(G485,WholesaleExtract!B:O,14,FALSE),"")</f>
        <v/>
      </c>
      <c r="K485" s="26" t="str">
        <f>IFERROR(VLOOKUP(G485,WholesaleExtract!B:K,10,FALSE),"")</f>
        <v/>
      </c>
      <c r="L485" s="47" t="str">
        <f>IFERROR(VLOOKUP(G485,WholesaleExtract!B:L,11,FALSE),"")</f>
        <v/>
      </c>
      <c r="M485" s="47" t="str">
        <f>IFERROR(VLOOKUP(G485,WholesaleExtract!B:M,12,FALSE),"")</f>
        <v/>
      </c>
      <c r="N485" s="27"/>
      <c r="O485" s="19"/>
      <c r="P485" s="19"/>
      <c r="Q485" s="47"/>
      <c r="R485" s="19"/>
      <c r="S485" s="19"/>
    </row>
    <row r="486" spans="1:19" x14ac:dyDescent="0.35">
      <c r="A486" s="26" t="s">
        <v>543</v>
      </c>
      <c r="B486" s="26" t="s">
        <v>543</v>
      </c>
      <c r="C486" s="26"/>
      <c r="D486" s="26" t="s">
        <v>543</v>
      </c>
      <c r="E486" s="26" t="str">
        <f>IFERROR(VLOOKUP(G486,WholesaleExtract!B:J,9,FALSE),"")</f>
        <v/>
      </c>
      <c r="F486" s="26" t="str">
        <f>IFERROR(VLOOKUP(G486,WholesaleExtract!B:J,6,FALSE),"")</f>
        <v/>
      </c>
      <c r="G486" s="48"/>
      <c r="H486" s="47" t="str">
        <f>IFERROR(VLOOKUP(G486,WholesaleExtract!B:L,11,FALSE),"")</f>
        <v/>
      </c>
      <c r="I486" s="26" t="str">
        <f>IFERROR(VLOOKUP(G486,WholesaleExtract!B:O,8,FALSE),"")</f>
        <v/>
      </c>
      <c r="J486" s="26" t="str">
        <f>IFERROR(VLOOKUP(G486,WholesaleExtract!B:O,14,FALSE),"")</f>
        <v/>
      </c>
      <c r="K486" s="26" t="str">
        <f>IFERROR(VLOOKUP(G486,WholesaleExtract!B:K,10,FALSE),"")</f>
        <v/>
      </c>
      <c r="L486" s="47" t="str">
        <f>IFERROR(VLOOKUP(G486,WholesaleExtract!B:L,11,FALSE),"")</f>
        <v/>
      </c>
      <c r="M486" s="47" t="str">
        <f>IFERROR(VLOOKUP(G486,WholesaleExtract!B:M,12,FALSE),"")</f>
        <v/>
      </c>
      <c r="N486" s="27"/>
      <c r="O486" s="19"/>
      <c r="P486" s="19"/>
      <c r="Q486" s="47"/>
      <c r="R486" s="19"/>
      <c r="S486" s="19"/>
    </row>
    <row r="487" spans="1:19" x14ac:dyDescent="0.35">
      <c r="A487" s="26" t="s">
        <v>543</v>
      </c>
      <c r="B487" s="26" t="s">
        <v>543</v>
      </c>
      <c r="C487" s="26"/>
      <c r="D487" s="26" t="s">
        <v>543</v>
      </c>
      <c r="E487" s="26" t="str">
        <f>IFERROR(VLOOKUP(G487,WholesaleExtract!B:J,9,FALSE),"")</f>
        <v/>
      </c>
      <c r="F487" s="26" t="str">
        <f>IFERROR(VLOOKUP(G487,WholesaleExtract!B:J,6,FALSE),"")</f>
        <v/>
      </c>
      <c r="G487" s="48"/>
      <c r="H487" s="47" t="str">
        <f>IFERROR(VLOOKUP(G487,WholesaleExtract!B:L,11,FALSE),"")</f>
        <v/>
      </c>
      <c r="I487" s="26" t="str">
        <f>IFERROR(VLOOKUP(G487,WholesaleExtract!B:O,8,FALSE),"")</f>
        <v/>
      </c>
      <c r="J487" s="26" t="str">
        <f>IFERROR(VLOOKUP(G487,WholesaleExtract!B:O,14,FALSE),"")</f>
        <v/>
      </c>
      <c r="K487" s="26" t="str">
        <f>IFERROR(VLOOKUP(G487,WholesaleExtract!B:K,10,FALSE),"")</f>
        <v/>
      </c>
      <c r="L487" s="47" t="str">
        <f>IFERROR(VLOOKUP(G487,WholesaleExtract!B:L,11,FALSE),"")</f>
        <v/>
      </c>
      <c r="M487" s="47" t="str">
        <f>IFERROR(VLOOKUP(G487,WholesaleExtract!B:M,12,FALSE),"")</f>
        <v/>
      </c>
      <c r="N487" s="27"/>
      <c r="O487" s="19"/>
      <c r="P487" s="19"/>
      <c r="Q487" s="47"/>
      <c r="R487" s="19"/>
      <c r="S487" s="19"/>
    </row>
    <row r="488" spans="1:19" x14ac:dyDescent="0.35">
      <c r="A488" s="26" t="s">
        <v>543</v>
      </c>
      <c r="B488" s="26" t="s">
        <v>543</v>
      </c>
      <c r="C488" s="26"/>
      <c r="D488" s="26" t="s">
        <v>543</v>
      </c>
      <c r="E488" s="26" t="str">
        <f>IFERROR(VLOOKUP(G488,WholesaleExtract!B:J,9,FALSE),"")</f>
        <v/>
      </c>
      <c r="F488" s="26" t="str">
        <f>IFERROR(VLOOKUP(G488,WholesaleExtract!B:J,6,FALSE),"")</f>
        <v/>
      </c>
      <c r="G488" s="48"/>
      <c r="H488" s="47" t="str">
        <f>IFERROR(VLOOKUP(G488,WholesaleExtract!B:L,11,FALSE),"")</f>
        <v/>
      </c>
      <c r="I488" s="26" t="str">
        <f>IFERROR(VLOOKUP(G488,WholesaleExtract!B:O,8,FALSE),"")</f>
        <v/>
      </c>
      <c r="J488" s="26" t="str">
        <f>IFERROR(VLOOKUP(G488,WholesaleExtract!B:O,14,FALSE),"")</f>
        <v/>
      </c>
      <c r="K488" s="26" t="str">
        <f>IFERROR(VLOOKUP(G488,WholesaleExtract!B:K,10,FALSE),"")</f>
        <v/>
      </c>
      <c r="L488" s="47" t="str">
        <f>IFERROR(VLOOKUP(G488,WholesaleExtract!B:L,11,FALSE),"")</f>
        <v/>
      </c>
      <c r="M488" s="47" t="str">
        <f>IFERROR(VLOOKUP(G488,WholesaleExtract!B:M,12,FALSE),"")</f>
        <v/>
      </c>
      <c r="N488" s="27"/>
      <c r="O488" s="19"/>
      <c r="P488" s="19"/>
      <c r="Q488" s="47"/>
      <c r="R488" s="19"/>
      <c r="S488" s="19"/>
    </row>
    <row r="489" spans="1:19" x14ac:dyDescent="0.35">
      <c r="A489" s="26" t="s">
        <v>543</v>
      </c>
      <c r="B489" s="26" t="s">
        <v>543</v>
      </c>
      <c r="C489" s="26"/>
      <c r="D489" s="26" t="s">
        <v>543</v>
      </c>
      <c r="E489" s="26" t="str">
        <f>IFERROR(VLOOKUP(G489,WholesaleExtract!B:J,9,FALSE),"")</f>
        <v/>
      </c>
      <c r="F489" s="26" t="str">
        <f>IFERROR(VLOOKUP(G489,WholesaleExtract!B:J,6,FALSE),"")</f>
        <v/>
      </c>
      <c r="G489" s="48"/>
      <c r="H489" s="47" t="str">
        <f>IFERROR(VLOOKUP(G489,WholesaleExtract!B:L,11,FALSE),"")</f>
        <v/>
      </c>
      <c r="I489" s="26" t="str">
        <f>IFERROR(VLOOKUP(G489,WholesaleExtract!B:O,8,FALSE),"")</f>
        <v/>
      </c>
      <c r="J489" s="26" t="str">
        <f>IFERROR(VLOOKUP(G489,WholesaleExtract!B:O,14,FALSE),"")</f>
        <v/>
      </c>
      <c r="K489" s="26" t="str">
        <f>IFERROR(VLOOKUP(G489,WholesaleExtract!B:K,10,FALSE),"")</f>
        <v/>
      </c>
      <c r="L489" s="47" t="str">
        <f>IFERROR(VLOOKUP(G489,WholesaleExtract!B:L,11,FALSE),"")</f>
        <v/>
      </c>
      <c r="M489" s="47" t="str">
        <f>IFERROR(VLOOKUP(G489,WholesaleExtract!B:M,12,FALSE),"")</f>
        <v/>
      </c>
      <c r="N489" s="27"/>
      <c r="O489" s="19"/>
      <c r="P489" s="19"/>
      <c r="Q489" s="47"/>
      <c r="R489" s="19"/>
      <c r="S489" s="19"/>
    </row>
    <row r="490" spans="1:19" x14ac:dyDescent="0.35">
      <c r="A490" s="26" t="s">
        <v>543</v>
      </c>
      <c r="B490" s="26" t="s">
        <v>543</v>
      </c>
      <c r="C490" s="26"/>
      <c r="D490" s="26" t="s">
        <v>543</v>
      </c>
      <c r="E490" s="26" t="str">
        <f>IFERROR(VLOOKUP(G490,WholesaleExtract!B:J,9,FALSE),"")</f>
        <v/>
      </c>
      <c r="F490" s="26" t="str">
        <f>IFERROR(VLOOKUP(G490,WholesaleExtract!B:J,6,FALSE),"")</f>
        <v/>
      </c>
      <c r="G490" s="48"/>
      <c r="H490" s="47" t="str">
        <f>IFERROR(VLOOKUP(G490,WholesaleExtract!B:L,11,FALSE),"")</f>
        <v/>
      </c>
      <c r="I490" s="26" t="str">
        <f>IFERROR(VLOOKUP(G490,WholesaleExtract!B:O,8,FALSE),"")</f>
        <v/>
      </c>
      <c r="J490" s="26" t="str">
        <f>IFERROR(VLOOKUP(G490,WholesaleExtract!B:O,14,FALSE),"")</f>
        <v/>
      </c>
      <c r="K490" s="26" t="str">
        <f>IFERROR(VLOOKUP(G490,WholesaleExtract!B:K,10,FALSE),"")</f>
        <v/>
      </c>
      <c r="L490" s="47" t="str">
        <f>IFERROR(VLOOKUP(G490,WholesaleExtract!B:L,11,FALSE),"")</f>
        <v/>
      </c>
      <c r="M490" s="47" t="str">
        <f>IFERROR(VLOOKUP(G490,WholesaleExtract!B:M,12,FALSE),"")</f>
        <v/>
      </c>
      <c r="N490" s="27"/>
      <c r="O490" s="19"/>
      <c r="P490" s="19"/>
      <c r="Q490" s="47"/>
      <c r="R490" s="19"/>
      <c r="S490" s="19"/>
    </row>
    <row r="491" spans="1:19" x14ac:dyDescent="0.35">
      <c r="A491" s="26" t="s">
        <v>543</v>
      </c>
      <c r="B491" s="26" t="s">
        <v>543</v>
      </c>
      <c r="C491" s="26"/>
      <c r="D491" s="26" t="s">
        <v>543</v>
      </c>
      <c r="E491" s="26" t="str">
        <f>IFERROR(VLOOKUP(G491,WholesaleExtract!B:J,9,FALSE),"")</f>
        <v/>
      </c>
      <c r="F491" s="26" t="str">
        <f>IFERROR(VLOOKUP(G491,WholesaleExtract!B:J,6,FALSE),"")</f>
        <v/>
      </c>
      <c r="G491" s="48"/>
      <c r="H491" s="47" t="str">
        <f>IFERROR(VLOOKUP(G491,WholesaleExtract!B:L,11,FALSE),"")</f>
        <v/>
      </c>
      <c r="I491" s="26" t="str">
        <f>IFERROR(VLOOKUP(G491,WholesaleExtract!B:O,8,FALSE),"")</f>
        <v/>
      </c>
      <c r="J491" s="26" t="str">
        <f>IFERROR(VLOOKUP(G491,WholesaleExtract!B:O,14,FALSE),"")</f>
        <v/>
      </c>
      <c r="K491" s="26" t="str">
        <f>IFERROR(VLOOKUP(G491,WholesaleExtract!B:K,10,FALSE),"")</f>
        <v/>
      </c>
      <c r="L491" s="47" t="str">
        <f>IFERROR(VLOOKUP(G491,WholesaleExtract!B:L,11,FALSE),"")</f>
        <v/>
      </c>
      <c r="M491" s="47" t="str">
        <f>IFERROR(VLOOKUP(G491,WholesaleExtract!B:M,12,FALSE),"")</f>
        <v/>
      </c>
      <c r="N491" s="27"/>
      <c r="O491" s="19"/>
      <c r="P491" s="19"/>
      <c r="Q491" s="47"/>
      <c r="R491" s="19"/>
      <c r="S491" s="19"/>
    </row>
    <row r="492" spans="1:19" x14ac:dyDescent="0.35">
      <c r="A492" s="26" t="s">
        <v>543</v>
      </c>
      <c r="B492" s="26" t="s">
        <v>543</v>
      </c>
      <c r="C492" s="26"/>
      <c r="D492" s="26" t="s">
        <v>543</v>
      </c>
      <c r="E492" s="26" t="str">
        <f>IFERROR(VLOOKUP(G492,WholesaleExtract!B:J,9,FALSE),"")</f>
        <v/>
      </c>
      <c r="F492" s="26" t="str">
        <f>IFERROR(VLOOKUP(G492,WholesaleExtract!B:J,6,FALSE),"")</f>
        <v/>
      </c>
      <c r="G492" s="48"/>
      <c r="H492" s="47" t="str">
        <f>IFERROR(VLOOKUP(G492,WholesaleExtract!B:L,11,FALSE),"")</f>
        <v/>
      </c>
      <c r="I492" s="26" t="str">
        <f>IFERROR(VLOOKUP(G492,WholesaleExtract!B:O,8,FALSE),"")</f>
        <v/>
      </c>
      <c r="J492" s="26" t="str">
        <f>IFERROR(VLOOKUP(G492,WholesaleExtract!B:O,14,FALSE),"")</f>
        <v/>
      </c>
      <c r="K492" s="26" t="str">
        <f>IFERROR(VLOOKUP(G492,WholesaleExtract!B:K,10,FALSE),"")</f>
        <v/>
      </c>
      <c r="L492" s="47" t="str">
        <f>IFERROR(VLOOKUP(G492,WholesaleExtract!B:L,11,FALSE),"")</f>
        <v/>
      </c>
      <c r="M492" s="47" t="str">
        <f>IFERROR(VLOOKUP(G492,WholesaleExtract!B:M,12,FALSE),"")</f>
        <v/>
      </c>
      <c r="N492" s="27"/>
      <c r="O492" s="19"/>
      <c r="P492" s="19"/>
      <c r="Q492" s="47"/>
      <c r="R492" s="19"/>
      <c r="S492" s="19"/>
    </row>
    <row r="493" spans="1:19" x14ac:dyDescent="0.35">
      <c r="A493" s="26" t="s">
        <v>543</v>
      </c>
      <c r="B493" s="26" t="s">
        <v>543</v>
      </c>
      <c r="C493" s="26"/>
      <c r="D493" s="26" t="s">
        <v>543</v>
      </c>
      <c r="E493" s="26" t="str">
        <f>IFERROR(VLOOKUP(G493,WholesaleExtract!B:J,9,FALSE),"")</f>
        <v/>
      </c>
      <c r="F493" s="26" t="str">
        <f>IFERROR(VLOOKUP(G493,WholesaleExtract!B:J,6,FALSE),"")</f>
        <v/>
      </c>
      <c r="G493" s="48"/>
      <c r="H493" s="47" t="str">
        <f>IFERROR(VLOOKUP(G493,WholesaleExtract!B:L,11,FALSE),"")</f>
        <v/>
      </c>
      <c r="I493" s="26" t="str">
        <f>IFERROR(VLOOKUP(G493,WholesaleExtract!B:O,8,FALSE),"")</f>
        <v/>
      </c>
      <c r="J493" s="26" t="str">
        <f>IFERROR(VLOOKUP(G493,WholesaleExtract!B:O,14,FALSE),"")</f>
        <v/>
      </c>
      <c r="K493" s="26" t="str">
        <f>IFERROR(VLOOKUP(G493,WholesaleExtract!B:K,10,FALSE),"")</f>
        <v/>
      </c>
      <c r="L493" s="47" t="str">
        <f>IFERROR(VLOOKUP(G493,WholesaleExtract!B:L,11,FALSE),"")</f>
        <v/>
      </c>
      <c r="M493" s="47" t="str">
        <f>IFERROR(VLOOKUP(G493,WholesaleExtract!B:M,12,FALSE),"")</f>
        <v/>
      </c>
      <c r="N493" s="27"/>
      <c r="O493" s="19"/>
      <c r="P493" s="19"/>
      <c r="Q493" s="47"/>
      <c r="R493" s="19"/>
      <c r="S493" s="19"/>
    </row>
    <row r="494" spans="1:19" x14ac:dyDescent="0.35">
      <c r="A494" s="26" t="s">
        <v>543</v>
      </c>
      <c r="B494" s="26" t="s">
        <v>543</v>
      </c>
      <c r="C494" s="26"/>
      <c r="D494" s="26" t="s">
        <v>543</v>
      </c>
      <c r="E494" s="26" t="str">
        <f>IFERROR(VLOOKUP(G494,WholesaleExtract!B:J,9,FALSE),"")</f>
        <v/>
      </c>
      <c r="F494" s="26" t="str">
        <f>IFERROR(VLOOKUP(G494,WholesaleExtract!B:J,6,FALSE),"")</f>
        <v/>
      </c>
      <c r="G494" s="48"/>
      <c r="H494" s="47" t="str">
        <f>IFERROR(VLOOKUP(G494,WholesaleExtract!B:L,11,FALSE),"")</f>
        <v/>
      </c>
      <c r="I494" s="26" t="str">
        <f>IFERROR(VLOOKUP(G494,WholesaleExtract!B:O,8,FALSE),"")</f>
        <v/>
      </c>
      <c r="J494" s="26" t="str">
        <f>IFERROR(VLOOKUP(G494,WholesaleExtract!B:O,14,FALSE),"")</f>
        <v/>
      </c>
      <c r="K494" s="26" t="str">
        <f>IFERROR(VLOOKUP(G494,WholesaleExtract!B:K,10,FALSE),"")</f>
        <v/>
      </c>
      <c r="L494" s="47" t="str">
        <f>IFERROR(VLOOKUP(G494,WholesaleExtract!B:L,11,FALSE),"")</f>
        <v/>
      </c>
      <c r="M494" s="47" t="str">
        <f>IFERROR(VLOOKUP(G494,WholesaleExtract!B:M,12,FALSE),"")</f>
        <v/>
      </c>
      <c r="N494" s="27"/>
      <c r="O494" s="19"/>
      <c r="P494" s="19"/>
      <c r="Q494" s="47"/>
      <c r="R494" s="19"/>
      <c r="S494" s="19"/>
    </row>
    <row r="495" spans="1:19" x14ac:dyDescent="0.35">
      <c r="A495" s="26" t="s">
        <v>543</v>
      </c>
      <c r="B495" s="26" t="s">
        <v>543</v>
      </c>
      <c r="C495" s="26"/>
      <c r="D495" s="26" t="s">
        <v>543</v>
      </c>
      <c r="E495" s="26" t="str">
        <f>IFERROR(VLOOKUP(G495,WholesaleExtract!B:J,9,FALSE),"")</f>
        <v/>
      </c>
      <c r="F495" s="26" t="str">
        <f>IFERROR(VLOOKUP(G495,WholesaleExtract!B:J,6,FALSE),"")</f>
        <v/>
      </c>
      <c r="G495" s="48"/>
      <c r="H495" s="47" t="str">
        <f>IFERROR(VLOOKUP(G495,WholesaleExtract!B:L,11,FALSE),"")</f>
        <v/>
      </c>
      <c r="I495" s="26" t="str">
        <f>IFERROR(VLOOKUP(G495,WholesaleExtract!B:O,8,FALSE),"")</f>
        <v/>
      </c>
      <c r="J495" s="26" t="str">
        <f>IFERROR(VLOOKUP(G495,WholesaleExtract!B:O,14,FALSE),"")</f>
        <v/>
      </c>
      <c r="K495" s="26" t="str">
        <f>IFERROR(VLOOKUP(G495,WholesaleExtract!B:K,10,FALSE),"")</f>
        <v/>
      </c>
      <c r="L495" s="47" t="str">
        <f>IFERROR(VLOOKUP(G495,WholesaleExtract!B:L,11,FALSE),"")</f>
        <v/>
      </c>
      <c r="M495" s="47" t="str">
        <f>IFERROR(VLOOKUP(G495,WholesaleExtract!B:M,12,FALSE),"")</f>
        <v/>
      </c>
      <c r="N495" s="27"/>
      <c r="O495" s="19"/>
      <c r="P495" s="19"/>
      <c r="Q495" s="47"/>
      <c r="R495" s="19"/>
      <c r="S495" s="19"/>
    </row>
    <row r="496" spans="1:19" x14ac:dyDescent="0.35">
      <c r="A496" s="26" t="s">
        <v>543</v>
      </c>
      <c r="B496" s="26" t="s">
        <v>543</v>
      </c>
      <c r="C496" s="26"/>
      <c r="D496" s="26" t="s">
        <v>543</v>
      </c>
      <c r="E496" s="26" t="str">
        <f>IFERROR(VLOOKUP(G496,WholesaleExtract!B:J,9,FALSE),"")</f>
        <v/>
      </c>
      <c r="F496" s="26" t="str">
        <f>IFERROR(VLOOKUP(G496,WholesaleExtract!B:J,6,FALSE),"")</f>
        <v/>
      </c>
      <c r="G496" s="48"/>
      <c r="H496" s="47" t="str">
        <f>IFERROR(VLOOKUP(G496,WholesaleExtract!B:L,11,FALSE),"")</f>
        <v/>
      </c>
      <c r="I496" s="26" t="str">
        <f>IFERROR(VLOOKUP(G496,WholesaleExtract!B:O,8,FALSE),"")</f>
        <v/>
      </c>
      <c r="J496" s="26" t="str">
        <f>IFERROR(VLOOKUP(G496,WholesaleExtract!B:O,14,FALSE),"")</f>
        <v/>
      </c>
      <c r="K496" s="26" t="str">
        <f>IFERROR(VLOOKUP(G496,WholesaleExtract!B:K,10,FALSE),"")</f>
        <v/>
      </c>
      <c r="L496" s="47" t="str">
        <f>IFERROR(VLOOKUP(G496,WholesaleExtract!B:L,11,FALSE),"")</f>
        <v/>
      </c>
      <c r="M496" s="47" t="str">
        <f>IFERROR(VLOOKUP(G496,WholesaleExtract!B:M,12,FALSE),"")</f>
        <v/>
      </c>
      <c r="N496" s="27"/>
      <c r="O496" s="19"/>
      <c r="P496" s="19"/>
      <c r="Q496" s="47"/>
      <c r="R496" s="19"/>
      <c r="S496" s="19"/>
    </row>
    <row r="497" spans="1:19" x14ac:dyDescent="0.35">
      <c r="A497" s="26" t="s">
        <v>543</v>
      </c>
      <c r="B497" s="26" t="s">
        <v>543</v>
      </c>
      <c r="C497" s="26"/>
      <c r="D497" s="26" t="s">
        <v>543</v>
      </c>
      <c r="E497" s="26" t="str">
        <f>IFERROR(VLOOKUP(G497,WholesaleExtract!B:J,9,FALSE),"")</f>
        <v/>
      </c>
      <c r="F497" s="26" t="str">
        <f>IFERROR(VLOOKUP(G497,WholesaleExtract!B:J,6,FALSE),"")</f>
        <v/>
      </c>
      <c r="G497" s="48"/>
      <c r="H497" s="47" t="str">
        <f>IFERROR(VLOOKUP(G497,WholesaleExtract!B:L,11,FALSE),"")</f>
        <v/>
      </c>
      <c r="I497" s="26" t="str">
        <f>IFERROR(VLOOKUP(G497,WholesaleExtract!B:O,8,FALSE),"")</f>
        <v/>
      </c>
      <c r="J497" s="26" t="str">
        <f>IFERROR(VLOOKUP(G497,WholesaleExtract!B:O,14,FALSE),"")</f>
        <v/>
      </c>
      <c r="K497" s="26" t="str">
        <f>IFERROR(VLOOKUP(G497,WholesaleExtract!B:K,10,FALSE),"")</f>
        <v/>
      </c>
      <c r="L497" s="47" t="str">
        <f>IFERROR(VLOOKUP(G497,WholesaleExtract!B:L,11,FALSE),"")</f>
        <v/>
      </c>
      <c r="M497" s="47" t="str">
        <f>IFERROR(VLOOKUP(G497,WholesaleExtract!B:M,12,FALSE),"")</f>
        <v/>
      </c>
      <c r="N497" s="27"/>
      <c r="O497" s="19"/>
      <c r="P497" s="19"/>
      <c r="Q497" s="47"/>
      <c r="R497" s="19"/>
      <c r="S497" s="19"/>
    </row>
    <row r="498" spans="1:19" x14ac:dyDescent="0.35">
      <c r="A498" s="26" t="s">
        <v>543</v>
      </c>
      <c r="B498" s="26" t="s">
        <v>543</v>
      </c>
      <c r="C498" s="26"/>
      <c r="D498" s="26" t="s">
        <v>543</v>
      </c>
      <c r="E498" s="26" t="str">
        <f>IFERROR(VLOOKUP(G498,WholesaleExtract!B:J,9,FALSE),"")</f>
        <v/>
      </c>
      <c r="F498" s="26" t="str">
        <f>IFERROR(VLOOKUP(G498,WholesaleExtract!B:J,6,FALSE),"")</f>
        <v/>
      </c>
      <c r="G498" s="48"/>
      <c r="H498" s="47" t="str">
        <f>IFERROR(VLOOKUP(G498,WholesaleExtract!B:L,11,FALSE),"")</f>
        <v/>
      </c>
      <c r="I498" s="26" t="str">
        <f>IFERROR(VLOOKUP(G498,WholesaleExtract!B:O,8,FALSE),"")</f>
        <v/>
      </c>
      <c r="J498" s="26" t="str">
        <f>IFERROR(VLOOKUP(G498,WholesaleExtract!B:O,14,FALSE),"")</f>
        <v/>
      </c>
      <c r="K498" s="26" t="str">
        <f>IFERROR(VLOOKUP(G498,WholesaleExtract!B:K,10,FALSE),"")</f>
        <v/>
      </c>
      <c r="L498" s="47" t="str">
        <f>IFERROR(VLOOKUP(G498,WholesaleExtract!B:L,11,FALSE),"")</f>
        <v/>
      </c>
      <c r="M498" s="47" t="str">
        <f>IFERROR(VLOOKUP(G498,WholesaleExtract!B:M,12,FALSE),"")</f>
        <v/>
      </c>
      <c r="N498" s="27"/>
      <c r="O498" s="19"/>
      <c r="P498" s="19"/>
      <c r="Q498" s="47"/>
      <c r="R498" s="19"/>
      <c r="S498" s="19"/>
    </row>
    <row r="499" spans="1:19" x14ac:dyDescent="0.35">
      <c r="A499" s="26" t="s">
        <v>543</v>
      </c>
      <c r="B499" s="26" t="s">
        <v>543</v>
      </c>
      <c r="C499" s="26"/>
      <c r="D499" s="26" t="s">
        <v>543</v>
      </c>
      <c r="E499" s="26" t="str">
        <f>IFERROR(VLOOKUP(G499,WholesaleExtract!B:J,9,FALSE),"")</f>
        <v/>
      </c>
      <c r="F499" s="26" t="str">
        <f>IFERROR(VLOOKUP(G499,WholesaleExtract!B:J,6,FALSE),"")</f>
        <v/>
      </c>
      <c r="G499" s="48"/>
      <c r="H499" s="47" t="str">
        <f>IFERROR(VLOOKUP(G499,WholesaleExtract!B:L,11,FALSE),"")</f>
        <v/>
      </c>
      <c r="I499" s="26" t="str">
        <f>IFERROR(VLOOKUP(G499,WholesaleExtract!B:O,8,FALSE),"")</f>
        <v/>
      </c>
      <c r="J499" s="26" t="str">
        <f>IFERROR(VLOOKUP(G499,WholesaleExtract!B:O,14,FALSE),"")</f>
        <v/>
      </c>
      <c r="K499" s="26" t="str">
        <f>IFERROR(VLOOKUP(G499,WholesaleExtract!B:K,10,FALSE),"")</f>
        <v/>
      </c>
      <c r="L499" s="47" t="str">
        <f>IFERROR(VLOOKUP(G499,WholesaleExtract!B:L,11,FALSE),"")</f>
        <v/>
      </c>
      <c r="M499" s="47" t="str">
        <f>IFERROR(VLOOKUP(G499,WholesaleExtract!B:M,12,FALSE),"")</f>
        <v/>
      </c>
      <c r="N499" s="27"/>
      <c r="O499" s="19"/>
      <c r="P499" s="19"/>
      <c r="Q499" s="47"/>
      <c r="R499" s="19"/>
      <c r="S499" s="19"/>
    </row>
    <row r="500" spans="1:19" x14ac:dyDescent="0.35">
      <c r="A500" s="26" t="s">
        <v>543</v>
      </c>
      <c r="B500" s="26" t="s">
        <v>543</v>
      </c>
      <c r="C500" s="26"/>
      <c r="D500" s="26" t="s">
        <v>543</v>
      </c>
      <c r="E500" s="26" t="str">
        <f>IFERROR(VLOOKUP(G500,WholesaleExtract!B:J,9,FALSE),"")</f>
        <v/>
      </c>
      <c r="F500" s="26" t="str">
        <f>IFERROR(VLOOKUP(G500,WholesaleExtract!B:J,6,FALSE),"")</f>
        <v/>
      </c>
      <c r="G500" s="48"/>
      <c r="H500" s="47" t="str">
        <f>IFERROR(VLOOKUP(G500,WholesaleExtract!B:L,11,FALSE),"")</f>
        <v/>
      </c>
      <c r="I500" s="26" t="str">
        <f>IFERROR(VLOOKUP(G500,WholesaleExtract!B:O,8,FALSE),"")</f>
        <v/>
      </c>
      <c r="J500" s="26" t="str">
        <f>IFERROR(VLOOKUP(G500,WholesaleExtract!B:O,14,FALSE),"")</f>
        <v/>
      </c>
      <c r="K500" s="26" t="str">
        <f>IFERROR(VLOOKUP(G500,WholesaleExtract!B:K,10,FALSE),"")</f>
        <v/>
      </c>
      <c r="L500" s="47" t="str">
        <f>IFERROR(VLOOKUP(G500,WholesaleExtract!B:L,11,FALSE),"")</f>
        <v/>
      </c>
      <c r="M500" s="47" t="str">
        <f>IFERROR(VLOOKUP(G500,WholesaleExtract!B:M,12,FALSE),"")</f>
        <v/>
      </c>
      <c r="N500" s="27"/>
      <c r="O500" s="19"/>
      <c r="P500" s="19"/>
      <c r="Q500" s="47"/>
      <c r="R500" s="19"/>
      <c r="S500" s="19"/>
    </row>
    <row r="501" spans="1:19" x14ac:dyDescent="0.35">
      <c r="A501" s="26" t="s">
        <v>543</v>
      </c>
      <c r="B501" s="26" t="s">
        <v>543</v>
      </c>
      <c r="C501" s="26"/>
      <c r="D501" s="26" t="s">
        <v>543</v>
      </c>
      <c r="E501" s="26" t="str">
        <f>IFERROR(VLOOKUP(G501,WholesaleExtract!B:J,9,FALSE),"")</f>
        <v/>
      </c>
      <c r="F501" s="26" t="str">
        <f>IFERROR(VLOOKUP(G501,WholesaleExtract!B:J,6,FALSE),"")</f>
        <v/>
      </c>
      <c r="G501" s="48"/>
      <c r="H501" s="47" t="str">
        <f>IFERROR(VLOOKUP(G501,WholesaleExtract!B:L,11,FALSE),"")</f>
        <v/>
      </c>
      <c r="I501" s="26" t="str">
        <f>IFERROR(VLOOKUP(G501,WholesaleExtract!B:O,8,FALSE),"")</f>
        <v/>
      </c>
      <c r="J501" s="26" t="str">
        <f>IFERROR(VLOOKUP(G501,WholesaleExtract!B:O,14,FALSE),"")</f>
        <v/>
      </c>
      <c r="K501" s="26" t="str">
        <f>IFERROR(VLOOKUP(G501,WholesaleExtract!B:K,10,FALSE),"")</f>
        <v/>
      </c>
      <c r="L501" s="47" t="str">
        <f>IFERROR(VLOOKUP(G501,WholesaleExtract!B:L,11,FALSE),"")</f>
        <v/>
      </c>
      <c r="M501" s="47" t="str">
        <f>IFERROR(VLOOKUP(G501,WholesaleExtract!B:M,12,FALSE),"")</f>
        <v/>
      </c>
      <c r="N501" s="27"/>
      <c r="O501" s="19"/>
      <c r="P501" s="19"/>
      <c r="Q501" s="47"/>
      <c r="R501" s="19"/>
      <c r="S501" s="19"/>
    </row>
    <row r="502" spans="1:19" x14ac:dyDescent="0.35">
      <c r="A502" s="26" t="s">
        <v>543</v>
      </c>
      <c r="B502" s="26" t="s">
        <v>543</v>
      </c>
      <c r="C502" s="26"/>
      <c r="D502" s="26" t="s">
        <v>543</v>
      </c>
      <c r="E502" s="26" t="str">
        <f>IFERROR(VLOOKUP(G502,WholesaleExtract!B:J,9,FALSE),"")</f>
        <v/>
      </c>
      <c r="F502" s="26" t="str">
        <f>IFERROR(VLOOKUP(G502,WholesaleExtract!B:J,6,FALSE),"")</f>
        <v/>
      </c>
      <c r="G502" s="48"/>
      <c r="H502" s="47" t="str">
        <f>IFERROR(VLOOKUP(G502,WholesaleExtract!B:L,11,FALSE),"")</f>
        <v/>
      </c>
      <c r="I502" s="26" t="str">
        <f>IFERROR(VLOOKUP(G502,WholesaleExtract!B:O,8,FALSE),"")</f>
        <v/>
      </c>
      <c r="J502" s="26" t="str">
        <f>IFERROR(VLOOKUP(G502,WholesaleExtract!B:O,14,FALSE),"")</f>
        <v/>
      </c>
      <c r="K502" s="26" t="str">
        <f>IFERROR(VLOOKUP(G502,WholesaleExtract!B:K,10,FALSE),"")</f>
        <v/>
      </c>
      <c r="L502" s="47" t="str">
        <f>IFERROR(VLOOKUP(G502,WholesaleExtract!B:L,11,FALSE),"")</f>
        <v/>
      </c>
      <c r="M502" s="47" t="str">
        <f>IFERROR(VLOOKUP(G502,WholesaleExtract!B:M,12,FALSE),"")</f>
        <v/>
      </c>
      <c r="N502" s="27"/>
      <c r="O502" s="19"/>
      <c r="P502" s="19"/>
      <c r="Q502" s="47"/>
      <c r="R502" s="19"/>
      <c r="S502" s="19"/>
    </row>
    <row r="503" spans="1:19" x14ac:dyDescent="0.35">
      <c r="A503" s="26" t="s">
        <v>543</v>
      </c>
      <c r="B503" s="26" t="s">
        <v>543</v>
      </c>
      <c r="C503" s="26"/>
      <c r="D503" s="26" t="s">
        <v>543</v>
      </c>
      <c r="E503" s="26" t="str">
        <f>IFERROR(VLOOKUP(G503,WholesaleExtract!B:J,9,FALSE),"")</f>
        <v/>
      </c>
      <c r="F503" s="26" t="str">
        <f>IFERROR(VLOOKUP(G503,WholesaleExtract!B:J,6,FALSE),"")</f>
        <v/>
      </c>
      <c r="G503" s="48"/>
      <c r="H503" s="47" t="str">
        <f>IFERROR(VLOOKUP(G503,WholesaleExtract!B:L,11,FALSE),"")</f>
        <v/>
      </c>
      <c r="I503" s="26" t="str">
        <f>IFERROR(VLOOKUP(G503,WholesaleExtract!B:O,8,FALSE),"")</f>
        <v/>
      </c>
      <c r="J503" s="26" t="str">
        <f>IFERROR(VLOOKUP(G503,WholesaleExtract!B:O,14,FALSE),"")</f>
        <v/>
      </c>
      <c r="K503" s="26" t="str">
        <f>IFERROR(VLOOKUP(G503,WholesaleExtract!B:K,10,FALSE),"")</f>
        <v/>
      </c>
      <c r="L503" s="47" t="str">
        <f>IFERROR(VLOOKUP(G503,WholesaleExtract!B:L,11,FALSE),"")</f>
        <v/>
      </c>
      <c r="M503" s="47" t="str">
        <f>IFERROR(VLOOKUP(G503,WholesaleExtract!B:M,12,FALSE),"")</f>
        <v/>
      </c>
      <c r="N503" s="27"/>
      <c r="O503" s="19"/>
      <c r="P503" s="19"/>
      <c r="Q503" s="47"/>
      <c r="R503" s="19"/>
      <c r="S503" s="19"/>
    </row>
    <row r="504" spans="1:19" x14ac:dyDescent="0.35">
      <c r="A504" s="26" t="s">
        <v>543</v>
      </c>
      <c r="B504" s="26" t="s">
        <v>543</v>
      </c>
      <c r="C504" s="26"/>
      <c r="D504" s="26" t="s">
        <v>543</v>
      </c>
      <c r="E504" s="26" t="str">
        <f>IFERROR(VLOOKUP(G504,WholesaleExtract!B:J,9,FALSE),"")</f>
        <v/>
      </c>
      <c r="F504" s="26" t="str">
        <f>IFERROR(VLOOKUP(G504,WholesaleExtract!B:J,6,FALSE),"")</f>
        <v/>
      </c>
      <c r="G504" s="48"/>
      <c r="H504" s="47" t="str">
        <f>IFERROR(VLOOKUP(G504,WholesaleExtract!B:L,11,FALSE),"")</f>
        <v/>
      </c>
      <c r="I504" s="26" t="str">
        <f>IFERROR(VLOOKUP(G504,WholesaleExtract!B:O,8,FALSE),"")</f>
        <v/>
      </c>
      <c r="J504" s="26" t="str">
        <f>IFERROR(VLOOKUP(G504,WholesaleExtract!B:O,14,FALSE),"")</f>
        <v/>
      </c>
      <c r="K504" s="26" t="str">
        <f>IFERROR(VLOOKUP(G504,WholesaleExtract!B:K,10,FALSE),"")</f>
        <v/>
      </c>
      <c r="L504" s="47" t="str">
        <f>IFERROR(VLOOKUP(G504,WholesaleExtract!B:L,11,FALSE),"")</f>
        <v/>
      </c>
      <c r="M504" s="47" t="str">
        <f>IFERROR(VLOOKUP(G504,WholesaleExtract!B:M,12,FALSE),"")</f>
        <v/>
      </c>
      <c r="N504" s="27"/>
      <c r="O504" s="19"/>
      <c r="P504" s="19"/>
      <c r="Q504" s="47"/>
      <c r="R504" s="19"/>
      <c r="S504" s="19"/>
    </row>
    <row r="505" spans="1:19" x14ac:dyDescent="0.35">
      <c r="A505" s="26" t="s">
        <v>543</v>
      </c>
      <c r="B505" s="26" t="s">
        <v>543</v>
      </c>
      <c r="C505" s="26"/>
      <c r="D505" s="26" t="s">
        <v>543</v>
      </c>
      <c r="E505" s="26" t="str">
        <f>IFERROR(VLOOKUP(G505,WholesaleExtract!B:J,9,FALSE),"")</f>
        <v/>
      </c>
      <c r="F505" s="26" t="str">
        <f>IFERROR(VLOOKUP(G505,WholesaleExtract!B:J,6,FALSE),"")</f>
        <v/>
      </c>
      <c r="G505" s="48"/>
      <c r="H505" s="47" t="str">
        <f>IFERROR(VLOOKUP(G505,WholesaleExtract!B:L,11,FALSE),"")</f>
        <v/>
      </c>
      <c r="I505" s="26" t="str">
        <f>IFERROR(VLOOKUP(G505,WholesaleExtract!B:O,8,FALSE),"")</f>
        <v/>
      </c>
      <c r="J505" s="26" t="str">
        <f>IFERROR(VLOOKUP(G505,WholesaleExtract!B:O,14,FALSE),"")</f>
        <v/>
      </c>
      <c r="K505" s="26" t="str">
        <f>IFERROR(VLOOKUP(G505,WholesaleExtract!B:K,10,FALSE),"")</f>
        <v/>
      </c>
      <c r="L505" s="47" t="str">
        <f>IFERROR(VLOOKUP(G505,WholesaleExtract!B:L,11,FALSE),"")</f>
        <v/>
      </c>
      <c r="M505" s="47" t="str">
        <f>IFERROR(VLOOKUP(G505,WholesaleExtract!B:M,12,FALSE),"")</f>
        <v/>
      </c>
      <c r="N505" s="27"/>
      <c r="O505" s="19"/>
      <c r="P505" s="19"/>
      <c r="Q505" s="47"/>
      <c r="R505" s="19"/>
      <c r="S505" s="19"/>
    </row>
    <row r="506" spans="1:19" x14ac:dyDescent="0.35">
      <c r="A506" s="26" t="s">
        <v>543</v>
      </c>
      <c r="B506" s="26" t="s">
        <v>543</v>
      </c>
      <c r="C506" s="26"/>
      <c r="D506" s="26" t="s">
        <v>543</v>
      </c>
      <c r="E506" s="26" t="str">
        <f>IFERROR(VLOOKUP(G506,WholesaleExtract!B:J,9,FALSE),"")</f>
        <v/>
      </c>
      <c r="F506" s="26" t="str">
        <f>IFERROR(VLOOKUP(G506,WholesaleExtract!B:J,6,FALSE),"")</f>
        <v/>
      </c>
      <c r="G506" s="48"/>
      <c r="H506" s="47" t="str">
        <f>IFERROR(VLOOKUP(G506,WholesaleExtract!B:L,11,FALSE),"")</f>
        <v/>
      </c>
      <c r="I506" s="26" t="str">
        <f>IFERROR(VLOOKUP(G506,WholesaleExtract!B:O,8,FALSE),"")</f>
        <v/>
      </c>
      <c r="J506" s="26" t="str">
        <f>IFERROR(VLOOKUP(G506,WholesaleExtract!B:O,14,FALSE),"")</f>
        <v/>
      </c>
      <c r="K506" s="26" t="str">
        <f>IFERROR(VLOOKUP(G506,WholesaleExtract!B:K,10,FALSE),"")</f>
        <v/>
      </c>
      <c r="L506" s="47" t="str">
        <f>IFERROR(VLOOKUP(G506,WholesaleExtract!B:L,11,FALSE),"")</f>
        <v/>
      </c>
      <c r="M506" s="47" t="str">
        <f>IFERROR(VLOOKUP(G506,WholesaleExtract!B:M,12,FALSE),"")</f>
        <v/>
      </c>
      <c r="N506" s="27"/>
      <c r="O506" s="19"/>
      <c r="P506" s="19"/>
      <c r="Q506" s="47"/>
      <c r="R506" s="19"/>
      <c r="S506" s="19"/>
    </row>
    <row r="507" spans="1:19" x14ac:dyDescent="0.35">
      <c r="A507" s="26" t="s">
        <v>543</v>
      </c>
      <c r="B507" s="26" t="s">
        <v>543</v>
      </c>
      <c r="C507" s="26"/>
      <c r="D507" s="26" t="s">
        <v>543</v>
      </c>
      <c r="E507" s="26" t="str">
        <f>IFERROR(VLOOKUP(G507,WholesaleExtract!B:J,9,FALSE),"")</f>
        <v/>
      </c>
      <c r="F507" s="26" t="str">
        <f>IFERROR(VLOOKUP(G507,WholesaleExtract!B:J,6,FALSE),"")</f>
        <v/>
      </c>
      <c r="G507" s="48"/>
      <c r="H507" s="47" t="str">
        <f>IFERROR(VLOOKUP(G507,WholesaleExtract!B:L,11,FALSE),"")</f>
        <v/>
      </c>
      <c r="I507" s="26" t="str">
        <f>IFERROR(VLOOKUP(G507,WholesaleExtract!B:O,8,FALSE),"")</f>
        <v/>
      </c>
      <c r="J507" s="26" t="str">
        <f>IFERROR(VLOOKUP(G507,WholesaleExtract!B:O,14,FALSE),"")</f>
        <v/>
      </c>
      <c r="K507" s="26" t="str">
        <f>IFERROR(VLOOKUP(G507,WholesaleExtract!B:K,10,FALSE),"")</f>
        <v/>
      </c>
      <c r="L507" s="47" t="str">
        <f>IFERROR(VLOOKUP(G507,WholesaleExtract!B:L,11,FALSE),"")</f>
        <v/>
      </c>
      <c r="M507" s="47" t="str">
        <f>IFERROR(VLOOKUP(G507,WholesaleExtract!B:M,12,FALSE),"")</f>
        <v/>
      </c>
      <c r="N507" s="27"/>
      <c r="O507" s="19"/>
      <c r="P507" s="19"/>
      <c r="Q507" s="47"/>
      <c r="R507" s="19"/>
      <c r="S507" s="19"/>
    </row>
    <row r="508" spans="1:19" x14ac:dyDescent="0.35">
      <c r="A508" s="26" t="s">
        <v>543</v>
      </c>
      <c r="B508" s="26" t="s">
        <v>543</v>
      </c>
      <c r="C508" s="26"/>
      <c r="D508" s="26" t="s">
        <v>543</v>
      </c>
      <c r="E508" s="26" t="str">
        <f>IFERROR(VLOOKUP(G508,WholesaleExtract!B:J,9,FALSE),"")</f>
        <v/>
      </c>
      <c r="F508" s="26" t="str">
        <f>IFERROR(VLOOKUP(G508,WholesaleExtract!B:J,6,FALSE),"")</f>
        <v/>
      </c>
      <c r="G508" s="48"/>
      <c r="H508" s="47" t="str">
        <f>IFERROR(VLOOKUP(G508,WholesaleExtract!B:L,11,FALSE),"")</f>
        <v/>
      </c>
      <c r="I508" s="26" t="str">
        <f>IFERROR(VLOOKUP(G508,WholesaleExtract!B:O,8,FALSE),"")</f>
        <v/>
      </c>
      <c r="J508" s="26" t="str">
        <f>IFERROR(VLOOKUP(G508,WholesaleExtract!B:O,14,FALSE),"")</f>
        <v/>
      </c>
      <c r="K508" s="26" t="str">
        <f>IFERROR(VLOOKUP(G508,WholesaleExtract!B:K,10,FALSE),"")</f>
        <v/>
      </c>
      <c r="L508" s="47" t="str">
        <f>IFERROR(VLOOKUP(G508,WholesaleExtract!B:L,11,FALSE),"")</f>
        <v/>
      </c>
      <c r="M508" s="47" t="str">
        <f>IFERROR(VLOOKUP(G508,WholesaleExtract!B:M,12,FALSE),"")</f>
        <v/>
      </c>
      <c r="N508" s="27"/>
      <c r="O508" s="19"/>
      <c r="P508" s="19"/>
      <c r="Q508" s="47"/>
      <c r="R508" s="19"/>
      <c r="S508" s="19"/>
    </row>
    <row r="509" spans="1:19" x14ac:dyDescent="0.35">
      <c r="A509" s="26" t="s">
        <v>543</v>
      </c>
      <c r="B509" s="26" t="s">
        <v>543</v>
      </c>
      <c r="C509" s="26"/>
      <c r="D509" s="26" t="s">
        <v>543</v>
      </c>
      <c r="E509" s="26" t="str">
        <f>IFERROR(VLOOKUP(G509,WholesaleExtract!B:J,9,FALSE),"")</f>
        <v/>
      </c>
      <c r="F509" s="26" t="str">
        <f>IFERROR(VLOOKUP(G509,WholesaleExtract!B:J,6,FALSE),"")</f>
        <v/>
      </c>
      <c r="G509" s="48"/>
      <c r="H509" s="47" t="str">
        <f>IFERROR(VLOOKUP(G509,WholesaleExtract!B:L,11,FALSE),"")</f>
        <v/>
      </c>
      <c r="I509" s="26" t="str">
        <f>IFERROR(VLOOKUP(G509,WholesaleExtract!B:O,8,FALSE),"")</f>
        <v/>
      </c>
      <c r="J509" s="26" t="str">
        <f>IFERROR(VLOOKUP(G509,WholesaleExtract!B:O,14,FALSE),"")</f>
        <v/>
      </c>
      <c r="K509" s="26" t="str">
        <f>IFERROR(VLOOKUP(G509,WholesaleExtract!B:K,10,FALSE),"")</f>
        <v/>
      </c>
      <c r="L509" s="47" t="str">
        <f>IFERROR(VLOOKUP(G509,WholesaleExtract!B:L,11,FALSE),"")</f>
        <v/>
      </c>
      <c r="M509" s="47" t="str">
        <f>IFERROR(VLOOKUP(G509,WholesaleExtract!B:M,12,FALSE),"")</f>
        <v/>
      </c>
      <c r="N509" s="27"/>
      <c r="O509" s="19"/>
      <c r="P509" s="19"/>
      <c r="Q509" s="47"/>
      <c r="R509" s="19"/>
      <c r="S509" s="19"/>
    </row>
    <row r="510" spans="1:19" x14ac:dyDescent="0.35">
      <c r="A510" s="26" t="s">
        <v>543</v>
      </c>
      <c r="B510" s="26" t="s">
        <v>543</v>
      </c>
      <c r="C510" s="26"/>
      <c r="D510" s="26" t="s">
        <v>543</v>
      </c>
      <c r="E510" s="26" t="str">
        <f>IFERROR(VLOOKUP(G510,WholesaleExtract!B:J,9,FALSE),"")</f>
        <v/>
      </c>
      <c r="F510" s="26" t="str">
        <f>IFERROR(VLOOKUP(G510,WholesaleExtract!B:J,6,FALSE),"")</f>
        <v/>
      </c>
      <c r="G510" s="48"/>
      <c r="H510" s="47" t="str">
        <f>IFERROR(VLOOKUP(G510,WholesaleExtract!B:L,11,FALSE),"")</f>
        <v/>
      </c>
      <c r="I510" s="26" t="str">
        <f>IFERROR(VLOOKUP(G510,WholesaleExtract!B:O,8,FALSE),"")</f>
        <v/>
      </c>
      <c r="J510" s="26" t="str">
        <f>IFERROR(VLOOKUP(G510,WholesaleExtract!B:O,14,FALSE),"")</f>
        <v/>
      </c>
      <c r="K510" s="26" t="str">
        <f>IFERROR(VLOOKUP(G510,WholesaleExtract!B:K,10,FALSE),"")</f>
        <v/>
      </c>
      <c r="L510" s="47" t="str">
        <f>IFERROR(VLOOKUP(G510,WholesaleExtract!B:L,11,FALSE),"")</f>
        <v/>
      </c>
      <c r="M510" s="47" t="str">
        <f>IFERROR(VLOOKUP(G510,WholesaleExtract!B:M,12,FALSE),"")</f>
        <v/>
      </c>
      <c r="N510" s="27"/>
      <c r="O510" s="19"/>
      <c r="P510" s="19"/>
      <c r="Q510" s="47"/>
      <c r="R510" s="19"/>
      <c r="S510" s="19"/>
    </row>
    <row r="511" spans="1:19" x14ac:dyDescent="0.35">
      <c r="A511" s="26" t="s">
        <v>543</v>
      </c>
      <c r="B511" s="26" t="s">
        <v>543</v>
      </c>
      <c r="C511" s="26"/>
      <c r="D511" s="26" t="s">
        <v>543</v>
      </c>
      <c r="E511" s="26" t="str">
        <f>IFERROR(VLOOKUP(G511,WholesaleExtract!B:J,9,FALSE),"")</f>
        <v/>
      </c>
      <c r="F511" s="26" t="str">
        <f>IFERROR(VLOOKUP(G511,WholesaleExtract!B:J,6,FALSE),"")</f>
        <v/>
      </c>
      <c r="G511" s="48"/>
      <c r="H511" s="47" t="str">
        <f>IFERROR(VLOOKUP(G511,WholesaleExtract!B:L,11,FALSE),"")</f>
        <v/>
      </c>
      <c r="I511" s="26" t="str">
        <f>IFERROR(VLOOKUP(G511,WholesaleExtract!B:O,8,FALSE),"")</f>
        <v/>
      </c>
      <c r="J511" s="26" t="str">
        <f>IFERROR(VLOOKUP(G511,WholesaleExtract!B:O,14,FALSE),"")</f>
        <v/>
      </c>
      <c r="K511" s="26" t="str">
        <f>IFERROR(VLOOKUP(G511,WholesaleExtract!B:K,10,FALSE),"")</f>
        <v/>
      </c>
      <c r="L511" s="47" t="str">
        <f>IFERROR(VLOOKUP(G511,WholesaleExtract!B:L,11,FALSE),"")</f>
        <v/>
      </c>
      <c r="M511" s="47" t="str">
        <f>IFERROR(VLOOKUP(G511,WholesaleExtract!B:M,12,FALSE),"")</f>
        <v/>
      </c>
      <c r="N511" s="27"/>
      <c r="O511" s="19"/>
      <c r="P511" s="19"/>
      <c r="Q511" s="47"/>
      <c r="R511" s="19"/>
      <c r="S511" s="19"/>
    </row>
    <row r="512" spans="1:19" x14ac:dyDescent="0.35">
      <c r="A512" s="26" t="s">
        <v>543</v>
      </c>
      <c r="B512" s="26" t="s">
        <v>543</v>
      </c>
      <c r="C512" s="26"/>
      <c r="D512" s="26" t="s">
        <v>543</v>
      </c>
      <c r="E512" s="26" t="str">
        <f>IFERROR(VLOOKUP(G512,WholesaleExtract!B:J,9,FALSE),"")</f>
        <v/>
      </c>
      <c r="F512" s="26" t="str">
        <f>IFERROR(VLOOKUP(G512,WholesaleExtract!B:J,6,FALSE),"")</f>
        <v/>
      </c>
      <c r="G512" s="48"/>
      <c r="H512" s="47" t="str">
        <f>IFERROR(VLOOKUP(G512,WholesaleExtract!B:L,11,FALSE),"")</f>
        <v/>
      </c>
      <c r="I512" s="26" t="str">
        <f>IFERROR(VLOOKUP(G512,WholesaleExtract!B:O,8,FALSE),"")</f>
        <v/>
      </c>
      <c r="J512" s="26" t="str">
        <f>IFERROR(VLOOKUP(G512,WholesaleExtract!B:O,14,FALSE),"")</f>
        <v/>
      </c>
      <c r="K512" s="26" t="str">
        <f>IFERROR(VLOOKUP(G512,WholesaleExtract!B:K,10,FALSE),"")</f>
        <v/>
      </c>
      <c r="L512" s="47" t="str">
        <f>IFERROR(VLOOKUP(G512,WholesaleExtract!B:L,11,FALSE),"")</f>
        <v/>
      </c>
      <c r="M512" s="47" t="str">
        <f>IFERROR(VLOOKUP(G512,WholesaleExtract!B:M,12,FALSE),"")</f>
        <v/>
      </c>
      <c r="N512" s="27"/>
      <c r="O512" s="19"/>
      <c r="P512" s="19"/>
      <c r="Q512" s="47"/>
      <c r="R512" s="19"/>
      <c r="S512" s="19"/>
    </row>
    <row r="513" spans="1:19" x14ac:dyDescent="0.35">
      <c r="A513" s="26" t="s">
        <v>543</v>
      </c>
      <c r="B513" s="26" t="s">
        <v>543</v>
      </c>
      <c r="C513" s="26"/>
      <c r="D513" s="26" t="s">
        <v>543</v>
      </c>
      <c r="E513" s="26" t="str">
        <f>IFERROR(VLOOKUP(G513,WholesaleExtract!B:J,9,FALSE),"")</f>
        <v/>
      </c>
      <c r="F513" s="26" t="str">
        <f>IFERROR(VLOOKUP(G513,WholesaleExtract!B:J,6,FALSE),"")</f>
        <v/>
      </c>
      <c r="G513" s="48"/>
      <c r="H513" s="47" t="str">
        <f>IFERROR(VLOOKUP(G513,WholesaleExtract!B:L,11,FALSE),"")</f>
        <v/>
      </c>
      <c r="I513" s="26" t="str">
        <f>IFERROR(VLOOKUP(G513,WholesaleExtract!B:O,8,FALSE),"")</f>
        <v/>
      </c>
      <c r="J513" s="26" t="str">
        <f>IFERROR(VLOOKUP(G513,WholesaleExtract!B:O,14,FALSE),"")</f>
        <v/>
      </c>
      <c r="K513" s="26" t="str">
        <f>IFERROR(VLOOKUP(G513,WholesaleExtract!B:K,10,FALSE),"")</f>
        <v/>
      </c>
      <c r="L513" s="47" t="str">
        <f>IFERROR(VLOOKUP(G513,WholesaleExtract!B:L,11,FALSE),"")</f>
        <v/>
      </c>
      <c r="M513" s="47" t="str">
        <f>IFERROR(VLOOKUP(G513,WholesaleExtract!B:M,12,FALSE),"")</f>
        <v/>
      </c>
      <c r="N513" s="27"/>
      <c r="O513" s="19"/>
      <c r="P513" s="19"/>
      <c r="Q513" s="47"/>
      <c r="R513" s="19"/>
      <c r="S513" s="19"/>
    </row>
    <row r="514" spans="1:19" x14ac:dyDescent="0.35">
      <c r="A514" s="26" t="s">
        <v>543</v>
      </c>
      <c r="B514" s="26" t="s">
        <v>543</v>
      </c>
      <c r="C514" s="26"/>
      <c r="D514" s="26" t="s">
        <v>543</v>
      </c>
      <c r="E514" s="26" t="str">
        <f>IFERROR(VLOOKUP(G514,WholesaleExtract!B:J,9,FALSE),"")</f>
        <v/>
      </c>
      <c r="F514" s="26" t="str">
        <f>IFERROR(VLOOKUP(G514,WholesaleExtract!B:J,6,FALSE),"")</f>
        <v/>
      </c>
      <c r="G514" s="48"/>
      <c r="H514" s="47" t="str">
        <f>IFERROR(VLOOKUP(G514,WholesaleExtract!B:L,11,FALSE),"")</f>
        <v/>
      </c>
      <c r="I514" s="26" t="str">
        <f>IFERROR(VLOOKUP(G514,WholesaleExtract!B:O,8,FALSE),"")</f>
        <v/>
      </c>
      <c r="J514" s="26" t="str">
        <f>IFERROR(VLOOKUP(G514,WholesaleExtract!B:O,14,FALSE),"")</f>
        <v/>
      </c>
      <c r="K514" s="26" t="str">
        <f>IFERROR(VLOOKUP(G514,WholesaleExtract!B:K,10,FALSE),"")</f>
        <v/>
      </c>
      <c r="L514" s="47" t="str">
        <f>IFERROR(VLOOKUP(G514,WholesaleExtract!B:L,11,FALSE),"")</f>
        <v/>
      </c>
      <c r="M514" s="47" t="str">
        <f>IFERROR(VLOOKUP(G514,WholesaleExtract!B:M,12,FALSE),"")</f>
        <v/>
      </c>
      <c r="N514" s="27"/>
      <c r="O514" s="19"/>
      <c r="P514" s="19"/>
      <c r="Q514" s="47"/>
      <c r="R514" s="19"/>
      <c r="S514" s="19"/>
    </row>
    <row r="515" spans="1:19" x14ac:dyDescent="0.35">
      <c r="A515" s="26" t="s">
        <v>543</v>
      </c>
      <c r="B515" s="26" t="s">
        <v>543</v>
      </c>
      <c r="C515" s="26"/>
      <c r="D515" s="26" t="s">
        <v>543</v>
      </c>
      <c r="E515" s="26" t="str">
        <f>IFERROR(VLOOKUP(G515,WholesaleExtract!B:J,9,FALSE),"")</f>
        <v/>
      </c>
      <c r="F515" s="26" t="str">
        <f>IFERROR(VLOOKUP(G515,WholesaleExtract!B:J,6,FALSE),"")</f>
        <v/>
      </c>
      <c r="G515" s="48"/>
      <c r="H515" s="47" t="str">
        <f>IFERROR(VLOOKUP(G515,WholesaleExtract!B:L,11,FALSE),"")</f>
        <v/>
      </c>
      <c r="I515" s="26" t="str">
        <f>IFERROR(VLOOKUP(G515,WholesaleExtract!B:O,8,FALSE),"")</f>
        <v/>
      </c>
      <c r="J515" s="26" t="str">
        <f>IFERROR(VLOOKUP(G515,WholesaleExtract!B:O,14,FALSE),"")</f>
        <v/>
      </c>
      <c r="K515" s="26" t="str">
        <f>IFERROR(VLOOKUP(G515,WholesaleExtract!B:K,10,FALSE),"")</f>
        <v/>
      </c>
      <c r="L515" s="47" t="str">
        <f>IFERROR(VLOOKUP(G515,WholesaleExtract!B:L,11,FALSE),"")</f>
        <v/>
      </c>
      <c r="M515" s="47" t="str">
        <f>IFERROR(VLOOKUP(G515,WholesaleExtract!B:M,12,FALSE),"")</f>
        <v/>
      </c>
      <c r="N515" s="27"/>
      <c r="O515" s="19"/>
      <c r="P515" s="19"/>
      <c r="Q515" s="47"/>
      <c r="R515" s="19"/>
      <c r="S515" s="19"/>
    </row>
    <row r="516" spans="1:19" x14ac:dyDescent="0.35">
      <c r="A516" s="26" t="s">
        <v>543</v>
      </c>
      <c r="B516" s="26" t="s">
        <v>543</v>
      </c>
      <c r="C516" s="26"/>
      <c r="D516" s="26" t="s">
        <v>543</v>
      </c>
      <c r="E516" s="26" t="str">
        <f>IFERROR(VLOOKUP(G516,WholesaleExtract!B:J,9,FALSE),"")</f>
        <v/>
      </c>
      <c r="F516" s="26" t="str">
        <f>IFERROR(VLOOKUP(G516,WholesaleExtract!B:J,6,FALSE),"")</f>
        <v/>
      </c>
      <c r="G516" s="48"/>
      <c r="H516" s="47" t="str">
        <f>IFERROR(VLOOKUP(G516,WholesaleExtract!B:L,11,FALSE),"")</f>
        <v/>
      </c>
      <c r="I516" s="26" t="str">
        <f>IFERROR(VLOOKUP(G516,WholesaleExtract!B:O,8,FALSE),"")</f>
        <v/>
      </c>
      <c r="J516" s="26" t="str">
        <f>IFERROR(VLOOKUP(G516,WholesaleExtract!B:O,14,FALSE),"")</f>
        <v/>
      </c>
      <c r="K516" s="26" t="str">
        <f>IFERROR(VLOOKUP(G516,WholesaleExtract!B:K,10,FALSE),"")</f>
        <v/>
      </c>
      <c r="L516" s="47" t="str">
        <f>IFERROR(VLOOKUP(G516,WholesaleExtract!B:L,11,FALSE),"")</f>
        <v/>
      </c>
      <c r="M516" s="47" t="str">
        <f>IFERROR(VLOOKUP(G516,WholesaleExtract!B:M,12,FALSE),"")</f>
        <v/>
      </c>
      <c r="N516" s="27"/>
      <c r="O516" s="19"/>
      <c r="P516" s="19"/>
      <c r="Q516" s="47"/>
      <c r="R516" s="19"/>
      <c r="S516" s="19"/>
    </row>
    <row r="517" spans="1:19" x14ac:dyDescent="0.35">
      <c r="A517" s="26" t="s">
        <v>543</v>
      </c>
      <c r="B517" s="26" t="s">
        <v>543</v>
      </c>
      <c r="C517" s="26"/>
      <c r="D517" s="26" t="s">
        <v>543</v>
      </c>
      <c r="E517" s="26" t="str">
        <f>IFERROR(VLOOKUP(G517,WholesaleExtract!B:J,9,FALSE),"")</f>
        <v/>
      </c>
      <c r="F517" s="26" t="str">
        <f>IFERROR(VLOOKUP(G517,WholesaleExtract!B:J,6,FALSE),"")</f>
        <v/>
      </c>
      <c r="G517" s="48"/>
      <c r="H517" s="47" t="str">
        <f>IFERROR(VLOOKUP(G517,WholesaleExtract!B:L,11,FALSE),"")</f>
        <v/>
      </c>
      <c r="I517" s="26" t="str">
        <f>IFERROR(VLOOKUP(G517,WholesaleExtract!B:O,8,FALSE),"")</f>
        <v/>
      </c>
      <c r="J517" s="26" t="str">
        <f>IFERROR(VLOOKUP(G517,WholesaleExtract!B:O,14,FALSE),"")</f>
        <v/>
      </c>
      <c r="K517" s="26" t="str">
        <f>IFERROR(VLOOKUP(G517,WholesaleExtract!B:K,10,FALSE),"")</f>
        <v/>
      </c>
      <c r="L517" s="47" t="str">
        <f>IFERROR(VLOOKUP(G517,WholesaleExtract!B:L,11,FALSE),"")</f>
        <v/>
      </c>
      <c r="M517" s="47" t="str">
        <f>IFERROR(VLOOKUP(G517,WholesaleExtract!B:M,12,FALSE),"")</f>
        <v/>
      </c>
      <c r="N517" s="27"/>
      <c r="O517" s="19"/>
      <c r="P517" s="19"/>
      <c r="Q517" s="47"/>
      <c r="R517" s="19"/>
      <c r="S517" s="19"/>
    </row>
    <row r="518" spans="1:19" x14ac:dyDescent="0.35">
      <c r="A518" s="26" t="s">
        <v>543</v>
      </c>
      <c r="B518" s="26" t="s">
        <v>543</v>
      </c>
      <c r="C518" s="26"/>
      <c r="D518" s="26" t="s">
        <v>543</v>
      </c>
      <c r="E518" s="26" t="str">
        <f>IFERROR(VLOOKUP(G518,WholesaleExtract!B:J,9,FALSE),"")</f>
        <v/>
      </c>
      <c r="F518" s="26" t="str">
        <f>IFERROR(VLOOKUP(G518,WholesaleExtract!B:J,6,FALSE),"")</f>
        <v/>
      </c>
      <c r="G518" s="48"/>
      <c r="H518" s="47" t="str">
        <f>IFERROR(VLOOKUP(G518,WholesaleExtract!B:L,11,FALSE),"")</f>
        <v/>
      </c>
      <c r="I518" s="26" t="str">
        <f>IFERROR(VLOOKUP(G518,WholesaleExtract!B:O,8,FALSE),"")</f>
        <v/>
      </c>
      <c r="J518" s="26" t="str">
        <f>IFERROR(VLOOKUP(G518,WholesaleExtract!B:O,14,FALSE),"")</f>
        <v/>
      </c>
      <c r="K518" s="26" t="str">
        <f>IFERROR(VLOOKUP(G518,WholesaleExtract!B:K,10,FALSE),"")</f>
        <v/>
      </c>
      <c r="L518" s="47" t="str">
        <f>IFERROR(VLOOKUP(G518,WholesaleExtract!B:L,11,FALSE),"")</f>
        <v/>
      </c>
      <c r="M518" s="47" t="str">
        <f>IFERROR(VLOOKUP(G518,WholesaleExtract!B:M,12,FALSE),"")</f>
        <v/>
      </c>
      <c r="N518" s="27"/>
      <c r="O518" s="19"/>
      <c r="P518" s="19"/>
      <c r="Q518" s="47"/>
      <c r="R518" s="19"/>
      <c r="S518" s="19"/>
    </row>
    <row r="519" spans="1:19" x14ac:dyDescent="0.35">
      <c r="A519" s="26" t="s">
        <v>543</v>
      </c>
      <c r="B519" s="26" t="s">
        <v>543</v>
      </c>
      <c r="C519" s="26"/>
      <c r="D519" s="26" t="s">
        <v>543</v>
      </c>
      <c r="E519" s="26" t="str">
        <f>IFERROR(VLOOKUP(G519,WholesaleExtract!B:J,9,FALSE),"")</f>
        <v/>
      </c>
      <c r="F519" s="26" t="str">
        <f>IFERROR(VLOOKUP(G519,WholesaleExtract!B:J,6,FALSE),"")</f>
        <v/>
      </c>
      <c r="G519" s="48"/>
      <c r="H519" s="47" t="str">
        <f>IFERROR(VLOOKUP(G519,WholesaleExtract!B:L,11,FALSE),"")</f>
        <v/>
      </c>
      <c r="I519" s="26" t="str">
        <f>IFERROR(VLOOKUP(G519,WholesaleExtract!B:O,8,FALSE),"")</f>
        <v/>
      </c>
      <c r="J519" s="26" t="str">
        <f>IFERROR(VLOOKUP(G519,WholesaleExtract!B:O,14,FALSE),"")</f>
        <v/>
      </c>
      <c r="K519" s="26" t="str">
        <f>IFERROR(VLOOKUP(G519,WholesaleExtract!B:K,10,FALSE),"")</f>
        <v/>
      </c>
      <c r="L519" s="47" t="str">
        <f>IFERROR(VLOOKUP(G519,WholesaleExtract!B:L,11,FALSE),"")</f>
        <v/>
      </c>
      <c r="M519" s="47" t="str">
        <f>IFERROR(VLOOKUP(G519,WholesaleExtract!B:M,12,FALSE),"")</f>
        <v/>
      </c>
      <c r="N519" s="27"/>
      <c r="O519" s="19"/>
      <c r="P519" s="19"/>
      <c r="Q519" s="47"/>
      <c r="R519" s="19"/>
      <c r="S519" s="19"/>
    </row>
    <row r="520" spans="1:19" x14ac:dyDescent="0.35">
      <c r="A520" s="26" t="s">
        <v>543</v>
      </c>
      <c r="B520" s="26" t="s">
        <v>543</v>
      </c>
      <c r="C520" s="26"/>
      <c r="D520" s="26" t="s">
        <v>543</v>
      </c>
      <c r="E520" s="26" t="str">
        <f>IFERROR(VLOOKUP(G520,WholesaleExtract!B:J,9,FALSE),"")</f>
        <v/>
      </c>
      <c r="F520" s="26" t="str">
        <f>IFERROR(VLOOKUP(G520,WholesaleExtract!B:J,6,FALSE),"")</f>
        <v/>
      </c>
      <c r="G520" s="48"/>
      <c r="H520" s="47" t="str">
        <f>IFERROR(VLOOKUP(G520,WholesaleExtract!B:L,11,FALSE),"")</f>
        <v/>
      </c>
      <c r="I520" s="26" t="str">
        <f>IFERROR(VLOOKUP(G520,WholesaleExtract!B:O,8,FALSE),"")</f>
        <v/>
      </c>
      <c r="J520" s="26" t="str">
        <f>IFERROR(VLOOKUP(G520,WholesaleExtract!B:O,14,FALSE),"")</f>
        <v/>
      </c>
      <c r="K520" s="26" t="str">
        <f>IFERROR(VLOOKUP(G520,WholesaleExtract!B:K,10,FALSE),"")</f>
        <v/>
      </c>
      <c r="L520" s="47" t="str">
        <f>IFERROR(VLOOKUP(G520,WholesaleExtract!B:L,11,FALSE),"")</f>
        <v/>
      </c>
      <c r="M520" s="47" t="str">
        <f>IFERROR(VLOOKUP(G520,WholesaleExtract!B:M,12,FALSE),"")</f>
        <v/>
      </c>
      <c r="N520" s="27"/>
      <c r="O520" s="19"/>
      <c r="P520" s="19"/>
      <c r="Q520" s="47"/>
      <c r="R520" s="19"/>
      <c r="S520" s="19"/>
    </row>
    <row r="521" spans="1:19" x14ac:dyDescent="0.35">
      <c r="A521" s="26" t="s">
        <v>543</v>
      </c>
      <c r="B521" s="26" t="s">
        <v>543</v>
      </c>
      <c r="C521" s="26"/>
      <c r="D521" s="26" t="s">
        <v>543</v>
      </c>
      <c r="E521" s="26" t="str">
        <f>IFERROR(VLOOKUP(G521,WholesaleExtract!B:J,9,FALSE),"")</f>
        <v/>
      </c>
      <c r="F521" s="26" t="str">
        <f>IFERROR(VLOOKUP(G521,WholesaleExtract!B:J,6,FALSE),"")</f>
        <v/>
      </c>
      <c r="G521" s="48"/>
      <c r="H521" s="47" t="str">
        <f>IFERROR(VLOOKUP(G521,WholesaleExtract!B:L,11,FALSE),"")</f>
        <v/>
      </c>
      <c r="I521" s="26" t="str">
        <f>IFERROR(VLOOKUP(G521,WholesaleExtract!B:O,8,FALSE),"")</f>
        <v/>
      </c>
      <c r="J521" s="26" t="str">
        <f>IFERROR(VLOOKUP(G521,WholesaleExtract!B:O,14,FALSE),"")</f>
        <v/>
      </c>
      <c r="K521" s="26" t="str">
        <f>IFERROR(VLOOKUP(G521,WholesaleExtract!B:K,10,FALSE),"")</f>
        <v/>
      </c>
      <c r="L521" s="47" t="str">
        <f>IFERROR(VLOOKUP(G521,WholesaleExtract!B:L,11,FALSE),"")</f>
        <v/>
      </c>
      <c r="M521" s="47" t="str">
        <f>IFERROR(VLOOKUP(G521,WholesaleExtract!B:M,12,FALSE),"")</f>
        <v/>
      </c>
      <c r="N521" s="27"/>
      <c r="O521" s="19"/>
      <c r="P521" s="19"/>
      <c r="Q521" s="47"/>
      <c r="R521" s="19"/>
      <c r="S521" s="19"/>
    </row>
    <row r="522" spans="1:19" x14ac:dyDescent="0.35">
      <c r="A522" s="26" t="s">
        <v>543</v>
      </c>
      <c r="B522" s="26" t="s">
        <v>543</v>
      </c>
      <c r="C522" s="26"/>
      <c r="D522" s="26" t="s">
        <v>543</v>
      </c>
      <c r="E522" s="26" t="str">
        <f>IFERROR(VLOOKUP(G522,WholesaleExtract!B:J,9,FALSE),"")</f>
        <v/>
      </c>
      <c r="F522" s="26" t="str">
        <f>IFERROR(VLOOKUP(G522,WholesaleExtract!B:J,6,FALSE),"")</f>
        <v/>
      </c>
      <c r="G522" s="48"/>
      <c r="H522" s="47" t="str">
        <f>IFERROR(VLOOKUP(G522,WholesaleExtract!B:L,11,FALSE),"")</f>
        <v/>
      </c>
      <c r="I522" s="26" t="str">
        <f>IFERROR(VLOOKUP(G522,WholesaleExtract!B:O,8,FALSE),"")</f>
        <v/>
      </c>
      <c r="J522" s="26" t="str">
        <f>IFERROR(VLOOKUP(G522,WholesaleExtract!B:O,14,FALSE),"")</f>
        <v/>
      </c>
      <c r="K522" s="26" t="str">
        <f>IFERROR(VLOOKUP(G522,WholesaleExtract!B:K,10,FALSE),"")</f>
        <v/>
      </c>
      <c r="L522" s="47" t="str">
        <f>IFERROR(VLOOKUP(G522,WholesaleExtract!B:L,11,FALSE),"")</f>
        <v/>
      </c>
      <c r="M522" s="47" t="str">
        <f>IFERROR(VLOOKUP(G522,WholesaleExtract!B:M,12,FALSE),"")</f>
        <v/>
      </c>
      <c r="N522" s="27"/>
      <c r="O522" s="19"/>
      <c r="P522" s="19"/>
      <c r="Q522" s="47"/>
      <c r="R522" s="19"/>
      <c r="S522" s="19"/>
    </row>
    <row r="523" spans="1:19" x14ac:dyDescent="0.35">
      <c r="A523" s="26" t="s">
        <v>543</v>
      </c>
      <c r="B523" s="26" t="s">
        <v>543</v>
      </c>
      <c r="C523" s="26"/>
      <c r="D523" s="26" t="s">
        <v>543</v>
      </c>
      <c r="E523" s="26" t="str">
        <f>IFERROR(VLOOKUP(G523,WholesaleExtract!B:J,9,FALSE),"")</f>
        <v/>
      </c>
      <c r="F523" s="26" t="str">
        <f>IFERROR(VLOOKUP(G523,WholesaleExtract!B:J,6,FALSE),"")</f>
        <v/>
      </c>
      <c r="G523" s="48"/>
      <c r="H523" s="47" t="str">
        <f>IFERROR(VLOOKUP(G523,WholesaleExtract!B:L,11,FALSE),"")</f>
        <v/>
      </c>
      <c r="I523" s="26" t="str">
        <f>IFERROR(VLOOKUP(G523,WholesaleExtract!B:O,8,FALSE),"")</f>
        <v/>
      </c>
      <c r="J523" s="26" t="str">
        <f>IFERROR(VLOOKUP(G523,WholesaleExtract!B:O,14,FALSE),"")</f>
        <v/>
      </c>
      <c r="K523" s="26" t="str">
        <f>IFERROR(VLOOKUP(G523,WholesaleExtract!B:K,10,FALSE),"")</f>
        <v/>
      </c>
      <c r="L523" s="47" t="str">
        <f>IFERROR(VLOOKUP(G523,WholesaleExtract!B:L,11,FALSE),"")</f>
        <v/>
      </c>
      <c r="M523" s="47" t="str">
        <f>IFERROR(VLOOKUP(G523,WholesaleExtract!B:M,12,FALSE),"")</f>
        <v/>
      </c>
      <c r="N523" s="27"/>
      <c r="O523" s="19"/>
      <c r="P523" s="19"/>
      <c r="Q523" s="47"/>
      <c r="R523" s="19"/>
      <c r="S523" s="19"/>
    </row>
    <row r="524" spans="1:19" x14ac:dyDescent="0.35">
      <c r="A524" s="26" t="s">
        <v>543</v>
      </c>
      <c r="B524" s="26" t="s">
        <v>543</v>
      </c>
      <c r="C524" s="26"/>
      <c r="D524" s="26" t="s">
        <v>543</v>
      </c>
      <c r="E524" s="26" t="str">
        <f>IFERROR(VLOOKUP(G524,WholesaleExtract!B:J,9,FALSE),"")</f>
        <v/>
      </c>
      <c r="F524" s="26" t="str">
        <f>IFERROR(VLOOKUP(G524,WholesaleExtract!B:J,6,FALSE),"")</f>
        <v/>
      </c>
      <c r="G524" s="48"/>
      <c r="H524" s="47" t="str">
        <f>IFERROR(VLOOKUP(G524,WholesaleExtract!B:L,11,FALSE),"")</f>
        <v/>
      </c>
      <c r="I524" s="26" t="str">
        <f>IFERROR(VLOOKUP(G524,WholesaleExtract!B:O,8,FALSE),"")</f>
        <v/>
      </c>
      <c r="J524" s="26" t="str">
        <f>IFERROR(VLOOKUP(G524,WholesaleExtract!B:O,14,FALSE),"")</f>
        <v/>
      </c>
      <c r="K524" s="26" t="str">
        <f>IFERROR(VLOOKUP(G524,WholesaleExtract!B:K,10,FALSE),"")</f>
        <v/>
      </c>
      <c r="L524" s="47" t="str">
        <f>IFERROR(VLOOKUP(G524,WholesaleExtract!B:L,11,FALSE),"")</f>
        <v/>
      </c>
      <c r="M524" s="47" t="str">
        <f>IFERROR(VLOOKUP(G524,WholesaleExtract!B:M,12,FALSE),"")</f>
        <v/>
      </c>
      <c r="N524" s="27"/>
      <c r="O524" s="19"/>
      <c r="P524" s="19"/>
      <c r="Q524" s="47"/>
      <c r="R524" s="19"/>
      <c r="S524" s="19"/>
    </row>
    <row r="525" spans="1:19" x14ac:dyDescent="0.35">
      <c r="A525" s="26" t="s">
        <v>543</v>
      </c>
      <c r="B525" s="26" t="s">
        <v>543</v>
      </c>
      <c r="C525" s="26"/>
      <c r="D525" s="26" t="s">
        <v>543</v>
      </c>
      <c r="E525" s="26" t="str">
        <f>IFERROR(VLOOKUP(G525,WholesaleExtract!B:J,9,FALSE),"")</f>
        <v/>
      </c>
      <c r="F525" s="26" t="str">
        <f>IFERROR(VLOOKUP(G525,WholesaleExtract!B:J,6,FALSE),"")</f>
        <v/>
      </c>
      <c r="G525" s="48"/>
      <c r="H525" s="47" t="str">
        <f>IFERROR(VLOOKUP(G525,WholesaleExtract!B:L,11,FALSE),"")</f>
        <v/>
      </c>
      <c r="I525" s="26" t="str">
        <f>IFERROR(VLOOKUP(G525,WholesaleExtract!B:O,8,FALSE),"")</f>
        <v/>
      </c>
      <c r="J525" s="26" t="str">
        <f>IFERROR(VLOOKUP(G525,WholesaleExtract!B:O,14,FALSE),"")</f>
        <v/>
      </c>
      <c r="K525" s="26" t="str">
        <f>IFERROR(VLOOKUP(G525,WholesaleExtract!B:K,10,FALSE),"")</f>
        <v/>
      </c>
      <c r="L525" s="47" t="str">
        <f>IFERROR(VLOOKUP(G525,WholesaleExtract!B:L,11,FALSE),"")</f>
        <v/>
      </c>
      <c r="M525" s="47" t="str">
        <f>IFERROR(VLOOKUP(G525,WholesaleExtract!B:M,12,FALSE),"")</f>
        <v/>
      </c>
      <c r="N525" s="27"/>
      <c r="O525" s="19"/>
      <c r="P525" s="19"/>
      <c r="Q525" s="47"/>
      <c r="R525" s="19"/>
      <c r="S525" s="19"/>
    </row>
    <row r="526" spans="1:19" x14ac:dyDescent="0.35">
      <c r="A526" s="26" t="s">
        <v>543</v>
      </c>
      <c r="B526" s="26" t="s">
        <v>543</v>
      </c>
      <c r="C526" s="26"/>
      <c r="D526" s="26" t="s">
        <v>543</v>
      </c>
      <c r="E526" s="26" t="str">
        <f>IFERROR(VLOOKUP(G526,WholesaleExtract!B:J,9,FALSE),"")</f>
        <v/>
      </c>
      <c r="F526" s="26" t="str">
        <f>IFERROR(VLOOKUP(G526,WholesaleExtract!B:J,6,FALSE),"")</f>
        <v/>
      </c>
      <c r="G526" s="48"/>
      <c r="H526" s="47" t="str">
        <f>IFERROR(VLOOKUP(G526,WholesaleExtract!B:L,11,FALSE),"")</f>
        <v/>
      </c>
      <c r="I526" s="26" t="str">
        <f>IFERROR(VLOOKUP(G526,WholesaleExtract!B:O,8,FALSE),"")</f>
        <v/>
      </c>
      <c r="J526" s="26" t="str">
        <f>IFERROR(VLOOKUP(G526,WholesaleExtract!B:O,14,FALSE),"")</f>
        <v/>
      </c>
      <c r="K526" s="26" t="str">
        <f>IFERROR(VLOOKUP(G526,WholesaleExtract!B:K,10,FALSE),"")</f>
        <v/>
      </c>
      <c r="L526" s="47" t="str">
        <f>IFERROR(VLOOKUP(G526,WholesaleExtract!B:L,11,FALSE),"")</f>
        <v/>
      </c>
      <c r="M526" s="47" t="str">
        <f>IFERROR(VLOOKUP(G526,WholesaleExtract!B:M,12,FALSE),"")</f>
        <v/>
      </c>
      <c r="N526" s="27"/>
      <c r="O526" s="19"/>
      <c r="P526" s="19"/>
      <c r="Q526" s="47"/>
      <c r="R526" s="19"/>
      <c r="S526" s="19"/>
    </row>
    <row r="527" spans="1:19" x14ac:dyDescent="0.35">
      <c r="A527" s="26" t="s">
        <v>543</v>
      </c>
      <c r="B527" s="26" t="s">
        <v>543</v>
      </c>
      <c r="C527" s="26"/>
      <c r="D527" s="26" t="s">
        <v>543</v>
      </c>
      <c r="E527" s="26" t="str">
        <f>IFERROR(VLOOKUP(G527,WholesaleExtract!B:J,9,FALSE),"")</f>
        <v/>
      </c>
      <c r="F527" s="26" t="str">
        <f>IFERROR(VLOOKUP(G527,WholesaleExtract!B:J,6,FALSE),"")</f>
        <v/>
      </c>
      <c r="G527" s="48"/>
      <c r="H527" s="47" t="str">
        <f>IFERROR(VLOOKUP(G527,WholesaleExtract!B:L,11,FALSE),"")</f>
        <v/>
      </c>
      <c r="I527" s="26" t="str">
        <f>IFERROR(VLOOKUP(G527,WholesaleExtract!B:O,8,FALSE),"")</f>
        <v/>
      </c>
      <c r="J527" s="26" t="str">
        <f>IFERROR(VLOOKUP(G527,WholesaleExtract!B:O,14,FALSE),"")</f>
        <v/>
      </c>
      <c r="K527" s="26" t="str">
        <f>IFERROR(VLOOKUP(G527,WholesaleExtract!B:K,10,FALSE),"")</f>
        <v/>
      </c>
      <c r="L527" s="47" t="str">
        <f>IFERROR(VLOOKUP(G527,WholesaleExtract!B:L,11,FALSE),"")</f>
        <v/>
      </c>
      <c r="M527" s="47" t="str">
        <f>IFERROR(VLOOKUP(G527,WholesaleExtract!B:M,12,FALSE),"")</f>
        <v/>
      </c>
      <c r="N527" s="27"/>
      <c r="O527" s="19"/>
      <c r="P527" s="19"/>
      <c r="Q527" s="47"/>
      <c r="R527" s="19"/>
      <c r="S527" s="19"/>
    </row>
    <row r="528" spans="1:19" x14ac:dyDescent="0.35">
      <c r="A528" s="26" t="s">
        <v>543</v>
      </c>
      <c r="B528" s="26" t="s">
        <v>543</v>
      </c>
      <c r="C528" s="26"/>
      <c r="D528" s="26" t="s">
        <v>543</v>
      </c>
      <c r="E528" s="26" t="str">
        <f>IFERROR(VLOOKUP(G528,WholesaleExtract!B:J,9,FALSE),"")</f>
        <v/>
      </c>
      <c r="F528" s="26" t="str">
        <f>IFERROR(VLOOKUP(G528,WholesaleExtract!B:J,6,FALSE),"")</f>
        <v/>
      </c>
      <c r="G528" s="48"/>
      <c r="H528" s="47" t="str">
        <f>IFERROR(VLOOKUP(G528,WholesaleExtract!B:L,11,FALSE),"")</f>
        <v/>
      </c>
      <c r="I528" s="26" t="str">
        <f>IFERROR(VLOOKUP(G528,WholesaleExtract!B:O,8,FALSE),"")</f>
        <v/>
      </c>
      <c r="J528" s="26" t="str">
        <f>IFERROR(VLOOKUP(G528,WholesaleExtract!B:O,14,FALSE),"")</f>
        <v/>
      </c>
      <c r="K528" s="26" t="str">
        <f>IFERROR(VLOOKUP(G528,WholesaleExtract!B:K,10,FALSE),"")</f>
        <v/>
      </c>
      <c r="L528" s="47" t="str">
        <f>IFERROR(VLOOKUP(G528,WholesaleExtract!B:L,11,FALSE),"")</f>
        <v/>
      </c>
      <c r="M528" s="47" t="str">
        <f>IFERROR(VLOOKUP(G528,WholesaleExtract!B:M,12,FALSE),"")</f>
        <v/>
      </c>
      <c r="N528" s="27"/>
      <c r="O528" s="19"/>
      <c r="P528" s="19"/>
      <c r="Q528" s="47"/>
      <c r="R528" s="19"/>
      <c r="S528" s="19"/>
    </row>
    <row r="529" spans="1:19" x14ac:dyDescent="0.35">
      <c r="A529" s="26" t="s">
        <v>543</v>
      </c>
      <c r="B529" s="26" t="s">
        <v>543</v>
      </c>
      <c r="C529" s="26"/>
      <c r="D529" s="26" t="s">
        <v>543</v>
      </c>
      <c r="E529" s="26" t="str">
        <f>IFERROR(VLOOKUP(G529,WholesaleExtract!B:J,9,FALSE),"")</f>
        <v/>
      </c>
      <c r="F529" s="26" t="str">
        <f>IFERROR(VLOOKUP(G529,WholesaleExtract!B:J,6,FALSE),"")</f>
        <v/>
      </c>
      <c r="G529" s="48"/>
      <c r="H529" s="47" t="str">
        <f>IFERROR(VLOOKUP(G529,WholesaleExtract!B:L,11,FALSE),"")</f>
        <v/>
      </c>
      <c r="I529" s="26" t="str">
        <f>IFERROR(VLOOKUP(G529,WholesaleExtract!B:O,8,FALSE),"")</f>
        <v/>
      </c>
      <c r="J529" s="26" t="str">
        <f>IFERROR(VLOOKUP(G529,WholesaleExtract!B:O,14,FALSE),"")</f>
        <v/>
      </c>
      <c r="K529" s="26" t="str">
        <f>IFERROR(VLOOKUP(G529,WholesaleExtract!B:K,10,FALSE),"")</f>
        <v/>
      </c>
      <c r="L529" s="47" t="str">
        <f>IFERROR(VLOOKUP(G529,WholesaleExtract!B:L,11,FALSE),"")</f>
        <v/>
      </c>
      <c r="M529" s="47" t="str">
        <f>IFERROR(VLOOKUP(G529,WholesaleExtract!B:M,12,FALSE),"")</f>
        <v/>
      </c>
      <c r="N529" s="27"/>
      <c r="O529" s="19"/>
      <c r="P529" s="19"/>
      <c r="Q529" s="47"/>
      <c r="R529" s="19"/>
      <c r="S529" s="19"/>
    </row>
    <row r="530" spans="1:19" x14ac:dyDescent="0.35">
      <c r="A530" s="26" t="s">
        <v>543</v>
      </c>
      <c r="B530" s="26" t="s">
        <v>543</v>
      </c>
      <c r="C530" s="26"/>
      <c r="D530" s="26" t="s">
        <v>543</v>
      </c>
      <c r="E530" s="26" t="str">
        <f>IFERROR(VLOOKUP(G530,WholesaleExtract!B:J,9,FALSE),"")</f>
        <v/>
      </c>
      <c r="F530" s="26" t="str">
        <f>IFERROR(VLOOKUP(G530,WholesaleExtract!B:J,6,FALSE),"")</f>
        <v/>
      </c>
      <c r="G530" s="48"/>
      <c r="H530" s="47" t="str">
        <f>IFERROR(VLOOKUP(G530,WholesaleExtract!B:L,11,FALSE),"")</f>
        <v/>
      </c>
      <c r="I530" s="26" t="str">
        <f>IFERROR(VLOOKUP(G530,WholesaleExtract!B:O,8,FALSE),"")</f>
        <v/>
      </c>
      <c r="J530" s="26" t="str">
        <f>IFERROR(VLOOKUP(G530,WholesaleExtract!B:O,14,FALSE),"")</f>
        <v/>
      </c>
      <c r="K530" s="26" t="str">
        <f>IFERROR(VLOOKUP(G530,WholesaleExtract!B:K,10,FALSE),"")</f>
        <v/>
      </c>
      <c r="L530" s="47" t="str">
        <f>IFERROR(VLOOKUP(G530,WholesaleExtract!B:L,11,FALSE),"")</f>
        <v/>
      </c>
      <c r="M530" s="47" t="str">
        <f>IFERROR(VLOOKUP(G530,WholesaleExtract!B:M,12,FALSE),"")</f>
        <v/>
      </c>
      <c r="N530" s="27"/>
      <c r="O530" s="19"/>
      <c r="P530" s="19"/>
      <c r="Q530" s="47"/>
      <c r="R530" s="19"/>
      <c r="S530" s="19"/>
    </row>
    <row r="531" spans="1:19" x14ac:dyDescent="0.35">
      <c r="A531" s="26" t="s">
        <v>543</v>
      </c>
      <c r="B531" s="26" t="s">
        <v>543</v>
      </c>
      <c r="C531" s="26"/>
      <c r="D531" s="26" t="s">
        <v>543</v>
      </c>
      <c r="E531" s="26" t="str">
        <f>IFERROR(VLOOKUP(G531,WholesaleExtract!B:J,9,FALSE),"")</f>
        <v/>
      </c>
      <c r="F531" s="26" t="str">
        <f>IFERROR(VLOOKUP(G531,WholesaleExtract!B:J,6,FALSE),"")</f>
        <v/>
      </c>
      <c r="G531" s="48"/>
      <c r="H531" s="47" t="str">
        <f>IFERROR(VLOOKUP(G531,WholesaleExtract!B:L,11,FALSE),"")</f>
        <v/>
      </c>
      <c r="I531" s="26" t="str">
        <f>IFERROR(VLOOKUP(G531,WholesaleExtract!B:O,8,FALSE),"")</f>
        <v/>
      </c>
      <c r="J531" s="26" t="str">
        <f>IFERROR(VLOOKUP(G531,WholesaleExtract!B:O,14,FALSE),"")</f>
        <v/>
      </c>
      <c r="K531" s="26" t="str">
        <f>IFERROR(VLOOKUP(G531,WholesaleExtract!B:K,10,FALSE),"")</f>
        <v/>
      </c>
      <c r="L531" s="47" t="str">
        <f>IFERROR(VLOOKUP(G531,WholesaleExtract!B:L,11,FALSE),"")</f>
        <v/>
      </c>
      <c r="M531" s="47" t="str">
        <f>IFERROR(VLOOKUP(G531,WholesaleExtract!B:M,12,FALSE),"")</f>
        <v/>
      </c>
      <c r="N531" s="27"/>
      <c r="O531" s="19"/>
      <c r="P531" s="19"/>
      <c r="Q531" s="47"/>
      <c r="R531" s="19"/>
      <c r="S531" s="19"/>
    </row>
    <row r="532" spans="1:19" x14ac:dyDescent="0.35">
      <c r="A532" s="26" t="s">
        <v>543</v>
      </c>
      <c r="B532" s="26" t="s">
        <v>543</v>
      </c>
      <c r="C532" s="26"/>
      <c r="D532" s="26" t="s">
        <v>543</v>
      </c>
      <c r="E532" s="26" t="str">
        <f>IFERROR(VLOOKUP(G532,WholesaleExtract!B:J,9,FALSE),"")</f>
        <v/>
      </c>
      <c r="F532" s="26" t="str">
        <f>IFERROR(VLOOKUP(G532,WholesaleExtract!B:J,6,FALSE),"")</f>
        <v/>
      </c>
      <c r="G532" s="48"/>
      <c r="H532" s="47" t="str">
        <f>IFERROR(VLOOKUP(G532,WholesaleExtract!B:L,11,FALSE),"")</f>
        <v/>
      </c>
      <c r="I532" s="26" t="str">
        <f>IFERROR(VLOOKUP(G532,WholesaleExtract!B:O,8,FALSE),"")</f>
        <v/>
      </c>
      <c r="J532" s="26" t="str">
        <f>IFERROR(VLOOKUP(G532,WholesaleExtract!B:O,14,FALSE),"")</f>
        <v/>
      </c>
      <c r="K532" s="26" t="str">
        <f>IFERROR(VLOOKUP(G532,WholesaleExtract!B:K,10,FALSE),"")</f>
        <v/>
      </c>
      <c r="L532" s="47" t="str">
        <f>IFERROR(VLOOKUP(G532,WholesaleExtract!B:L,11,FALSE),"")</f>
        <v/>
      </c>
      <c r="M532" s="47" t="str">
        <f>IFERROR(VLOOKUP(G532,WholesaleExtract!B:M,12,FALSE),"")</f>
        <v/>
      </c>
      <c r="N532" s="27"/>
      <c r="O532" s="19"/>
      <c r="P532" s="19"/>
      <c r="Q532" s="47"/>
      <c r="R532" s="19"/>
      <c r="S532" s="19"/>
    </row>
    <row r="533" spans="1:19" x14ac:dyDescent="0.35">
      <c r="A533" s="26" t="s">
        <v>543</v>
      </c>
      <c r="B533" s="26" t="s">
        <v>543</v>
      </c>
      <c r="C533" s="26"/>
      <c r="D533" s="26" t="s">
        <v>543</v>
      </c>
      <c r="E533" s="26" t="str">
        <f>IFERROR(VLOOKUP(G533,WholesaleExtract!B:J,9,FALSE),"")</f>
        <v/>
      </c>
      <c r="F533" s="26" t="str">
        <f>IFERROR(VLOOKUP(G533,WholesaleExtract!B:J,6,FALSE),"")</f>
        <v/>
      </c>
      <c r="G533" s="48"/>
      <c r="H533" s="47" t="str">
        <f>IFERROR(VLOOKUP(G533,WholesaleExtract!B:L,11,FALSE),"")</f>
        <v/>
      </c>
      <c r="I533" s="26" t="str">
        <f>IFERROR(VLOOKUP(G533,WholesaleExtract!B:O,8,FALSE),"")</f>
        <v/>
      </c>
      <c r="J533" s="26" t="str">
        <f>IFERROR(VLOOKUP(G533,WholesaleExtract!B:O,14,FALSE),"")</f>
        <v/>
      </c>
      <c r="K533" s="26" t="str">
        <f>IFERROR(VLOOKUP(G533,WholesaleExtract!B:K,10,FALSE),"")</f>
        <v/>
      </c>
      <c r="L533" s="47" t="str">
        <f>IFERROR(VLOOKUP(G533,WholesaleExtract!B:L,11,FALSE),"")</f>
        <v/>
      </c>
      <c r="M533" s="47" t="str">
        <f>IFERROR(VLOOKUP(G533,WholesaleExtract!B:M,12,FALSE),"")</f>
        <v/>
      </c>
      <c r="N533" s="27"/>
      <c r="O533" s="19"/>
      <c r="P533" s="19"/>
      <c r="Q533" s="47"/>
      <c r="R533" s="19"/>
      <c r="S533" s="19"/>
    </row>
    <row r="534" spans="1:19" x14ac:dyDescent="0.35">
      <c r="A534" s="26" t="s">
        <v>543</v>
      </c>
      <c r="B534" s="26" t="s">
        <v>543</v>
      </c>
      <c r="C534" s="26"/>
      <c r="D534" s="26" t="s">
        <v>543</v>
      </c>
      <c r="E534" s="26" t="str">
        <f>IFERROR(VLOOKUP(G534,WholesaleExtract!B:J,9,FALSE),"")</f>
        <v/>
      </c>
      <c r="F534" s="26" t="str">
        <f>IFERROR(VLOOKUP(G534,WholesaleExtract!B:J,6,FALSE),"")</f>
        <v/>
      </c>
      <c r="G534" s="48"/>
      <c r="H534" s="47" t="str">
        <f>IFERROR(VLOOKUP(G534,WholesaleExtract!B:L,11,FALSE),"")</f>
        <v/>
      </c>
      <c r="I534" s="26" t="str">
        <f>IFERROR(VLOOKUP(G534,WholesaleExtract!B:O,8,FALSE),"")</f>
        <v/>
      </c>
      <c r="J534" s="26" t="str">
        <f>IFERROR(VLOOKUP(G534,WholesaleExtract!B:O,14,FALSE),"")</f>
        <v/>
      </c>
      <c r="K534" s="26" t="str">
        <f>IFERROR(VLOOKUP(G534,WholesaleExtract!B:K,10,FALSE),"")</f>
        <v/>
      </c>
      <c r="L534" s="47" t="str">
        <f>IFERROR(VLOOKUP(G534,WholesaleExtract!B:L,11,FALSE),"")</f>
        <v/>
      </c>
      <c r="M534" s="47" t="str">
        <f>IFERROR(VLOOKUP(G534,WholesaleExtract!B:M,12,FALSE),"")</f>
        <v/>
      </c>
      <c r="N534" s="27"/>
      <c r="O534" s="19"/>
      <c r="P534" s="19"/>
      <c r="Q534" s="47"/>
      <c r="R534" s="19"/>
      <c r="S534" s="19"/>
    </row>
    <row r="535" spans="1:19" x14ac:dyDescent="0.35">
      <c r="A535" s="26" t="s">
        <v>543</v>
      </c>
      <c r="B535" s="26" t="s">
        <v>543</v>
      </c>
      <c r="C535" s="26"/>
      <c r="D535" s="26" t="s">
        <v>543</v>
      </c>
      <c r="E535" s="26" t="str">
        <f>IFERROR(VLOOKUP(G535,WholesaleExtract!B:J,9,FALSE),"")</f>
        <v/>
      </c>
      <c r="F535" s="26" t="str">
        <f>IFERROR(VLOOKUP(G535,WholesaleExtract!B:J,6,FALSE),"")</f>
        <v/>
      </c>
      <c r="G535" s="48"/>
      <c r="H535" s="47" t="str">
        <f>IFERROR(VLOOKUP(G535,WholesaleExtract!B:L,11,FALSE),"")</f>
        <v/>
      </c>
      <c r="I535" s="26" t="str">
        <f>IFERROR(VLOOKUP(G535,WholesaleExtract!B:O,8,FALSE),"")</f>
        <v/>
      </c>
      <c r="J535" s="26" t="str">
        <f>IFERROR(VLOOKUP(G535,WholesaleExtract!B:O,14,FALSE),"")</f>
        <v/>
      </c>
      <c r="K535" s="26" t="str">
        <f>IFERROR(VLOOKUP(G535,WholesaleExtract!B:K,10,FALSE),"")</f>
        <v/>
      </c>
      <c r="L535" s="47" t="str">
        <f>IFERROR(VLOOKUP(G535,WholesaleExtract!B:L,11,FALSE),"")</f>
        <v/>
      </c>
      <c r="M535" s="47" t="str">
        <f>IFERROR(VLOOKUP(G535,WholesaleExtract!B:M,12,FALSE),"")</f>
        <v/>
      </c>
      <c r="N535" s="27"/>
      <c r="O535" s="19"/>
      <c r="P535" s="19"/>
      <c r="Q535" s="47"/>
      <c r="R535" s="19"/>
      <c r="S535" s="19"/>
    </row>
    <row r="536" spans="1:19" x14ac:dyDescent="0.35">
      <c r="A536" s="26" t="s">
        <v>543</v>
      </c>
      <c r="B536" s="26" t="s">
        <v>543</v>
      </c>
      <c r="C536" s="26"/>
      <c r="D536" s="26" t="s">
        <v>543</v>
      </c>
      <c r="E536" s="26" t="str">
        <f>IFERROR(VLOOKUP(G536,WholesaleExtract!B:J,9,FALSE),"")</f>
        <v/>
      </c>
      <c r="F536" s="26" t="str">
        <f>IFERROR(VLOOKUP(G536,WholesaleExtract!B:J,6,FALSE),"")</f>
        <v/>
      </c>
      <c r="G536" s="48"/>
      <c r="H536" s="47" t="str">
        <f>IFERROR(VLOOKUP(G536,WholesaleExtract!B:L,11,FALSE),"")</f>
        <v/>
      </c>
      <c r="I536" s="26" t="str">
        <f>IFERROR(VLOOKUP(G536,WholesaleExtract!B:O,8,FALSE),"")</f>
        <v/>
      </c>
      <c r="J536" s="26" t="str">
        <f>IFERROR(VLOOKUP(G536,WholesaleExtract!B:O,14,FALSE),"")</f>
        <v/>
      </c>
      <c r="K536" s="26" t="str">
        <f>IFERROR(VLOOKUP(G536,WholesaleExtract!B:K,10,FALSE),"")</f>
        <v/>
      </c>
      <c r="L536" s="47" t="str">
        <f>IFERROR(VLOOKUP(G536,WholesaleExtract!B:L,11,FALSE),"")</f>
        <v/>
      </c>
      <c r="M536" s="47" t="str">
        <f>IFERROR(VLOOKUP(G536,WholesaleExtract!B:M,12,FALSE),"")</f>
        <v/>
      </c>
      <c r="N536" s="27"/>
      <c r="O536" s="19"/>
      <c r="P536" s="19"/>
      <c r="Q536" s="47"/>
      <c r="R536" s="19"/>
      <c r="S536" s="19"/>
    </row>
    <row r="537" spans="1:19" x14ac:dyDescent="0.35">
      <c r="A537" s="26" t="s">
        <v>543</v>
      </c>
      <c r="B537" s="26" t="s">
        <v>543</v>
      </c>
      <c r="C537" s="26"/>
      <c r="D537" s="26" t="s">
        <v>543</v>
      </c>
      <c r="E537" s="26" t="str">
        <f>IFERROR(VLOOKUP(G537,WholesaleExtract!B:J,9,FALSE),"")</f>
        <v/>
      </c>
      <c r="F537" s="26" t="str">
        <f>IFERROR(VLOOKUP(G537,WholesaleExtract!B:J,6,FALSE),"")</f>
        <v/>
      </c>
      <c r="G537" s="48"/>
      <c r="H537" s="47" t="str">
        <f>IFERROR(VLOOKUP(G537,WholesaleExtract!B:L,11,FALSE),"")</f>
        <v/>
      </c>
      <c r="I537" s="26" t="str">
        <f>IFERROR(VLOOKUP(G537,WholesaleExtract!B:O,8,FALSE),"")</f>
        <v/>
      </c>
      <c r="J537" s="26" t="str">
        <f>IFERROR(VLOOKUP(G537,WholesaleExtract!B:O,14,FALSE),"")</f>
        <v/>
      </c>
      <c r="K537" s="26" t="str">
        <f>IFERROR(VLOOKUP(G537,WholesaleExtract!B:K,10,FALSE),"")</f>
        <v/>
      </c>
      <c r="L537" s="47" t="str">
        <f>IFERROR(VLOOKUP(G537,WholesaleExtract!B:L,11,FALSE),"")</f>
        <v/>
      </c>
      <c r="M537" s="47" t="str">
        <f>IFERROR(VLOOKUP(G537,WholesaleExtract!B:M,12,FALSE),"")</f>
        <v/>
      </c>
      <c r="N537" s="27"/>
      <c r="O537" s="19"/>
      <c r="P537" s="19"/>
      <c r="Q537" s="47"/>
      <c r="R537" s="19"/>
      <c r="S537" s="19"/>
    </row>
    <row r="538" spans="1:19" x14ac:dyDescent="0.35">
      <c r="A538" s="26" t="s">
        <v>543</v>
      </c>
      <c r="B538" s="26" t="s">
        <v>543</v>
      </c>
      <c r="C538" s="26"/>
      <c r="D538" s="26" t="s">
        <v>543</v>
      </c>
      <c r="E538" s="26" t="str">
        <f>IFERROR(VLOOKUP(G538,WholesaleExtract!B:J,9,FALSE),"")</f>
        <v/>
      </c>
      <c r="F538" s="26" t="str">
        <f>IFERROR(VLOOKUP(G538,WholesaleExtract!B:J,6,FALSE),"")</f>
        <v/>
      </c>
      <c r="G538" s="48"/>
      <c r="H538" s="47" t="str">
        <f>IFERROR(VLOOKUP(G538,WholesaleExtract!B:L,11,FALSE),"")</f>
        <v/>
      </c>
      <c r="I538" s="26" t="str">
        <f>IFERROR(VLOOKUP(G538,WholesaleExtract!B:O,8,FALSE),"")</f>
        <v/>
      </c>
      <c r="J538" s="26" t="str">
        <f>IFERROR(VLOOKUP(G538,WholesaleExtract!B:O,14,FALSE),"")</f>
        <v/>
      </c>
      <c r="K538" s="26" t="str">
        <f>IFERROR(VLOOKUP(G538,WholesaleExtract!B:K,10,FALSE),"")</f>
        <v/>
      </c>
      <c r="L538" s="47" t="str">
        <f>IFERROR(VLOOKUP(G538,WholesaleExtract!B:L,11,FALSE),"")</f>
        <v/>
      </c>
      <c r="M538" s="47" t="str">
        <f>IFERROR(VLOOKUP(G538,WholesaleExtract!B:M,12,FALSE),"")</f>
        <v/>
      </c>
      <c r="N538" s="27"/>
      <c r="O538" s="19"/>
      <c r="P538" s="19"/>
      <c r="Q538" s="47"/>
      <c r="R538" s="19"/>
      <c r="S538" s="19"/>
    </row>
    <row r="539" spans="1:19" x14ac:dyDescent="0.35">
      <c r="A539" s="26" t="s">
        <v>543</v>
      </c>
      <c r="B539" s="26" t="s">
        <v>543</v>
      </c>
      <c r="C539" s="26"/>
      <c r="D539" s="26" t="s">
        <v>543</v>
      </c>
      <c r="E539" s="26" t="str">
        <f>IFERROR(VLOOKUP(G539,WholesaleExtract!B:J,9,FALSE),"")</f>
        <v/>
      </c>
      <c r="F539" s="26" t="str">
        <f>IFERROR(VLOOKUP(G539,WholesaleExtract!B:J,6,FALSE),"")</f>
        <v/>
      </c>
      <c r="G539" s="48"/>
      <c r="H539" s="47" t="str">
        <f>IFERROR(VLOOKUP(G539,WholesaleExtract!B:L,11,FALSE),"")</f>
        <v/>
      </c>
      <c r="I539" s="26" t="str">
        <f>IFERROR(VLOOKUP(G539,WholesaleExtract!B:O,8,FALSE),"")</f>
        <v/>
      </c>
      <c r="J539" s="26" t="str">
        <f>IFERROR(VLOOKUP(G539,WholesaleExtract!B:O,14,FALSE),"")</f>
        <v/>
      </c>
      <c r="K539" s="26" t="str">
        <f>IFERROR(VLOOKUP(G539,WholesaleExtract!B:K,10,FALSE),"")</f>
        <v/>
      </c>
      <c r="L539" s="47" t="str">
        <f>IFERROR(VLOOKUP(G539,WholesaleExtract!B:L,11,FALSE),"")</f>
        <v/>
      </c>
      <c r="M539" s="47" t="str">
        <f>IFERROR(VLOOKUP(G539,WholesaleExtract!B:M,12,FALSE),"")</f>
        <v/>
      </c>
      <c r="N539" s="27"/>
      <c r="O539" s="19"/>
      <c r="P539" s="19"/>
      <c r="Q539" s="47"/>
      <c r="R539" s="19"/>
      <c r="S539" s="19"/>
    </row>
    <row r="540" spans="1:19" x14ac:dyDescent="0.35">
      <c r="A540" s="26" t="s">
        <v>543</v>
      </c>
      <c r="B540" s="26" t="s">
        <v>543</v>
      </c>
      <c r="C540" s="26"/>
      <c r="D540" s="26" t="s">
        <v>543</v>
      </c>
      <c r="E540" s="26" t="str">
        <f>IFERROR(VLOOKUP(G540,WholesaleExtract!B:J,9,FALSE),"")</f>
        <v/>
      </c>
      <c r="F540" s="26" t="str">
        <f>IFERROR(VLOOKUP(G540,WholesaleExtract!B:J,6,FALSE),"")</f>
        <v/>
      </c>
      <c r="G540" s="48"/>
      <c r="H540" s="47" t="str">
        <f>IFERROR(VLOOKUP(G540,WholesaleExtract!B:L,11,FALSE),"")</f>
        <v/>
      </c>
      <c r="I540" s="26" t="str">
        <f>IFERROR(VLOOKUP(G540,WholesaleExtract!B:O,8,FALSE),"")</f>
        <v/>
      </c>
      <c r="J540" s="26" t="str">
        <f>IFERROR(VLOOKUP(G540,WholesaleExtract!B:O,14,FALSE),"")</f>
        <v/>
      </c>
      <c r="K540" s="26" t="str">
        <f>IFERROR(VLOOKUP(G540,WholesaleExtract!B:K,10,FALSE),"")</f>
        <v/>
      </c>
      <c r="L540" s="47" t="str">
        <f>IFERROR(VLOOKUP(G540,WholesaleExtract!B:L,11,FALSE),"")</f>
        <v/>
      </c>
      <c r="M540" s="47" t="str">
        <f>IFERROR(VLOOKUP(G540,WholesaleExtract!B:M,12,FALSE),"")</f>
        <v/>
      </c>
      <c r="N540" s="27"/>
      <c r="O540" s="19"/>
      <c r="P540" s="19"/>
      <c r="Q540" s="47"/>
      <c r="R540" s="19"/>
      <c r="S540" s="19"/>
    </row>
    <row r="541" spans="1:19" x14ac:dyDescent="0.35">
      <c r="A541" s="26" t="s">
        <v>543</v>
      </c>
      <c r="B541" s="26" t="s">
        <v>543</v>
      </c>
      <c r="C541" s="26"/>
      <c r="D541" s="26" t="s">
        <v>543</v>
      </c>
      <c r="E541" s="26" t="str">
        <f>IFERROR(VLOOKUP(G541,WholesaleExtract!B:J,9,FALSE),"")</f>
        <v/>
      </c>
      <c r="F541" s="26" t="str">
        <f>IFERROR(VLOOKUP(G541,WholesaleExtract!B:J,6,FALSE),"")</f>
        <v/>
      </c>
      <c r="G541" s="48"/>
      <c r="H541" s="47" t="str">
        <f>IFERROR(VLOOKUP(G541,WholesaleExtract!B:L,11,FALSE),"")</f>
        <v/>
      </c>
      <c r="I541" s="26" t="str">
        <f>IFERROR(VLOOKUP(G541,WholesaleExtract!B:O,8,FALSE),"")</f>
        <v/>
      </c>
      <c r="J541" s="26" t="str">
        <f>IFERROR(VLOOKUP(G541,WholesaleExtract!B:O,14,FALSE),"")</f>
        <v/>
      </c>
      <c r="K541" s="26" t="str">
        <f>IFERROR(VLOOKUP(G541,WholesaleExtract!B:K,10,FALSE),"")</f>
        <v/>
      </c>
      <c r="L541" s="47" t="str">
        <f>IFERROR(VLOOKUP(G541,WholesaleExtract!B:L,11,FALSE),"")</f>
        <v/>
      </c>
      <c r="M541" s="47" t="str">
        <f>IFERROR(VLOOKUP(G541,WholesaleExtract!B:M,12,FALSE),"")</f>
        <v/>
      </c>
      <c r="N541" s="27"/>
      <c r="O541" s="19"/>
      <c r="P541" s="19"/>
      <c r="Q541" s="47"/>
      <c r="R541" s="19"/>
      <c r="S541" s="19"/>
    </row>
    <row r="542" spans="1:19" x14ac:dyDescent="0.35">
      <c r="A542" s="26" t="s">
        <v>543</v>
      </c>
      <c r="B542" s="26" t="s">
        <v>543</v>
      </c>
      <c r="C542" s="26"/>
      <c r="D542" s="26" t="s">
        <v>543</v>
      </c>
      <c r="E542" s="26" t="str">
        <f>IFERROR(VLOOKUP(G542,WholesaleExtract!B:J,9,FALSE),"")</f>
        <v/>
      </c>
      <c r="F542" s="26" t="str">
        <f>IFERROR(VLOOKUP(G542,WholesaleExtract!B:J,6,FALSE),"")</f>
        <v/>
      </c>
      <c r="G542" s="48"/>
      <c r="H542" s="47" t="str">
        <f>IFERROR(VLOOKUP(G542,WholesaleExtract!B:L,11,FALSE),"")</f>
        <v/>
      </c>
      <c r="I542" s="26" t="str">
        <f>IFERROR(VLOOKUP(G542,WholesaleExtract!B:O,8,FALSE),"")</f>
        <v/>
      </c>
      <c r="J542" s="26" t="str">
        <f>IFERROR(VLOOKUP(G542,WholesaleExtract!B:O,14,FALSE),"")</f>
        <v/>
      </c>
      <c r="K542" s="26" t="str">
        <f>IFERROR(VLOOKUP(G542,WholesaleExtract!B:K,10,FALSE),"")</f>
        <v/>
      </c>
      <c r="L542" s="47" t="str">
        <f>IFERROR(VLOOKUP(G542,WholesaleExtract!B:L,11,FALSE),"")</f>
        <v/>
      </c>
      <c r="M542" s="47" t="str">
        <f>IFERROR(VLOOKUP(G542,WholesaleExtract!B:M,12,FALSE),"")</f>
        <v/>
      </c>
      <c r="N542" s="27"/>
      <c r="O542" s="19"/>
      <c r="P542" s="19"/>
      <c r="Q542" s="47"/>
      <c r="R542" s="19"/>
      <c r="S542" s="19"/>
    </row>
    <row r="543" spans="1:19" x14ac:dyDescent="0.35">
      <c r="A543" s="26" t="s">
        <v>543</v>
      </c>
      <c r="B543" s="26" t="s">
        <v>543</v>
      </c>
      <c r="C543" s="26"/>
      <c r="D543" s="26" t="s">
        <v>543</v>
      </c>
      <c r="E543" s="26" t="str">
        <f>IFERROR(VLOOKUP(G543,WholesaleExtract!B:J,9,FALSE),"")</f>
        <v/>
      </c>
      <c r="F543" s="26" t="str">
        <f>IFERROR(VLOOKUP(G543,WholesaleExtract!B:J,6,FALSE),"")</f>
        <v/>
      </c>
      <c r="G543" s="48"/>
      <c r="H543" s="47" t="str">
        <f>IFERROR(VLOOKUP(G543,WholesaleExtract!B:L,11,FALSE),"")</f>
        <v/>
      </c>
      <c r="I543" s="26" t="str">
        <f>IFERROR(VLOOKUP(G543,WholesaleExtract!B:O,8,FALSE),"")</f>
        <v/>
      </c>
      <c r="J543" s="26" t="str">
        <f>IFERROR(VLOOKUP(G543,WholesaleExtract!B:O,14,FALSE),"")</f>
        <v/>
      </c>
      <c r="K543" s="26" t="str">
        <f>IFERROR(VLOOKUP(G543,WholesaleExtract!B:K,10,FALSE),"")</f>
        <v/>
      </c>
      <c r="L543" s="47" t="str">
        <f>IFERROR(VLOOKUP(G543,WholesaleExtract!B:L,11,FALSE),"")</f>
        <v/>
      </c>
      <c r="M543" s="47" t="str">
        <f>IFERROR(VLOOKUP(G543,WholesaleExtract!B:M,12,FALSE),"")</f>
        <v/>
      </c>
      <c r="N543" s="27"/>
      <c r="O543" s="19"/>
      <c r="P543" s="19"/>
      <c r="Q543" s="47"/>
      <c r="R543" s="19"/>
      <c r="S543" s="19"/>
    </row>
    <row r="544" spans="1:19" x14ac:dyDescent="0.35">
      <c r="A544" s="26" t="s">
        <v>543</v>
      </c>
      <c r="B544" s="26" t="s">
        <v>543</v>
      </c>
      <c r="C544" s="26"/>
      <c r="D544" s="26" t="s">
        <v>543</v>
      </c>
      <c r="E544" s="26" t="str">
        <f>IFERROR(VLOOKUP(G544,WholesaleExtract!B:J,9,FALSE),"")</f>
        <v/>
      </c>
      <c r="F544" s="26" t="str">
        <f>IFERROR(VLOOKUP(G544,WholesaleExtract!B:J,6,FALSE),"")</f>
        <v/>
      </c>
      <c r="G544" s="48"/>
      <c r="H544" s="47" t="str">
        <f>IFERROR(VLOOKUP(G544,WholesaleExtract!B:L,11,FALSE),"")</f>
        <v/>
      </c>
      <c r="I544" s="26" t="str">
        <f>IFERROR(VLOOKUP(G544,WholesaleExtract!B:O,8,FALSE),"")</f>
        <v/>
      </c>
      <c r="J544" s="26" t="str">
        <f>IFERROR(VLOOKUP(G544,WholesaleExtract!B:O,14,FALSE),"")</f>
        <v/>
      </c>
      <c r="K544" s="26" t="str">
        <f>IFERROR(VLOOKUP(G544,WholesaleExtract!B:K,10,FALSE),"")</f>
        <v/>
      </c>
      <c r="L544" s="47" t="str">
        <f>IFERROR(VLOOKUP(G544,WholesaleExtract!B:L,11,FALSE),"")</f>
        <v/>
      </c>
      <c r="M544" s="47" t="str">
        <f>IFERROR(VLOOKUP(G544,WholesaleExtract!B:M,12,FALSE),"")</f>
        <v/>
      </c>
      <c r="N544" s="27"/>
      <c r="O544" s="19"/>
      <c r="P544" s="19"/>
      <c r="Q544" s="47"/>
      <c r="R544" s="19"/>
      <c r="S544" s="19"/>
    </row>
    <row r="545" spans="1:19" x14ac:dyDescent="0.35">
      <c r="A545" s="26" t="s">
        <v>543</v>
      </c>
      <c r="B545" s="26" t="s">
        <v>543</v>
      </c>
      <c r="C545" s="26"/>
      <c r="D545" s="26" t="s">
        <v>543</v>
      </c>
      <c r="E545" s="26" t="str">
        <f>IFERROR(VLOOKUP(G545,WholesaleExtract!B:J,9,FALSE),"")</f>
        <v/>
      </c>
      <c r="F545" s="26" t="str">
        <f>IFERROR(VLOOKUP(G545,WholesaleExtract!B:J,6,FALSE),"")</f>
        <v/>
      </c>
      <c r="G545" s="48"/>
      <c r="H545" s="47" t="str">
        <f>IFERROR(VLOOKUP(G545,WholesaleExtract!B:L,11,FALSE),"")</f>
        <v/>
      </c>
      <c r="I545" s="26" t="str">
        <f>IFERROR(VLOOKUP(G545,WholesaleExtract!B:O,8,FALSE),"")</f>
        <v/>
      </c>
      <c r="J545" s="26" t="str">
        <f>IFERROR(VLOOKUP(G545,WholesaleExtract!B:O,14,FALSE),"")</f>
        <v/>
      </c>
      <c r="K545" s="26" t="str">
        <f>IFERROR(VLOOKUP(G545,WholesaleExtract!B:K,10,FALSE),"")</f>
        <v/>
      </c>
      <c r="L545" s="47" t="str">
        <f>IFERROR(VLOOKUP(G545,WholesaleExtract!B:L,11,FALSE),"")</f>
        <v/>
      </c>
      <c r="M545" s="47" t="str">
        <f>IFERROR(VLOOKUP(G545,WholesaleExtract!B:M,12,FALSE),"")</f>
        <v/>
      </c>
      <c r="N545" s="27"/>
      <c r="O545" s="19"/>
      <c r="P545" s="19"/>
      <c r="Q545" s="47"/>
      <c r="R545" s="19"/>
      <c r="S545" s="19"/>
    </row>
    <row r="546" spans="1:19" x14ac:dyDescent="0.35">
      <c r="A546" s="26" t="s">
        <v>543</v>
      </c>
      <c r="B546" s="26" t="s">
        <v>543</v>
      </c>
      <c r="C546" s="26"/>
      <c r="D546" s="26" t="s">
        <v>543</v>
      </c>
      <c r="E546" s="26" t="str">
        <f>IFERROR(VLOOKUP(G546,WholesaleExtract!B:J,9,FALSE),"")</f>
        <v/>
      </c>
      <c r="F546" s="26" t="str">
        <f>IFERROR(VLOOKUP(G546,WholesaleExtract!B:J,6,FALSE),"")</f>
        <v/>
      </c>
      <c r="G546" s="48"/>
      <c r="H546" s="47" t="str">
        <f>IFERROR(VLOOKUP(G546,WholesaleExtract!B:L,11,FALSE),"")</f>
        <v/>
      </c>
      <c r="I546" s="26" t="str">
        <f>IFERROR(VLOOKUP(G546,WholesaleExtract!B:O,8,FALSE),"")</f>
        <v/>
      </c>
      <c r="J546" s="26" t="str">
        <f>IFERROR(VLOOKUP(G546,WholesaleExtract!B:O,14,FALSE),"")</f>
        <v/>
      </c>
      <c r="K546" s="26" t="str">
        <f>IFERROR(VLOOKUP(G546,WholesaleExtract!B:K,10,FALSE),"")</f>
        <v/>
      </c>
      <c r="L546" s="47" t="str">
        <f>IFERROR(VLOOKUP(G546,WholesaleExtract!B:L,11,FALSE),"")</f>
        <v/>
      </c>
      <c r="M546" s="47" t="str">
        <f>IFERROR(VLOOKUP(G546,WholesaleExtract!B:M,12,FALSE),"")</f>
        <v/>
      </c>
      <c r="N546" s="27"/>
      <c r="O546" s="19"/>
      <c r="P546" s="19"/>
      <c r="Q546" s="47"/>
      <c r="R546" s="19"/>
      <c r="S546" s="19"/>
    </row>
    <row r="547" spans="1:19" x14ac:dyDescent="0.35">
      <c r="A547" s="26" t="s">
        <v>543</v>
      </c>
      <c r="B547" s="26" t="s">
        <v>543</v>
      </c>
      <c r="C547" s="26"/>
      <c r="D547" s="26" t="s">
        <v>543</v>
      </c>
      <c r="E547" s="26" t="str">
        <f>IFERROR(VLOOKUP(G547,WholesaleExtract!B:J,9,FALSE),"")</f>
        <v/>
      </c>
      <c r="F547" s="26" t="str">
        <f>IFERROR(VLOOKUP(G547,WholesaleExtract!B:J,6,FALSE),"")</f>
        <v/>
      </c>
      <c r="G547" s="48"/>
      <c r="H547" s="47" t="str">
        <f>IFERROR(VLOOKUP(G547,WholesaleExtract!B:L,11,FALSE),"")</f>
        <v/>
      </c>
      <c r="I547" s="26" t="str">
        <f>IFERROR(VLOOKUP(G547,WholesaleExtract!B:O,8,FALSE),"")</f>
        <v/>
      </c>
      <c r="J547" s="26" t="str">
        <f>IFERROR(VLOOKUP(G547,WholesaleExtract!B:O,14,FALSE),"")</f>
        <v/>
      </c>
      <c r="K547" s="26" t="str">
        <f>IFERROR(VLOOKUP(G547,WholesaleExtract!B:K,10,FALSE),"")</f>
        <v/>
      </c>
      <c r="L547" s="47" t="str">
        <f>IFERROR(VLOOKUP(G547,WholesaleExtract!B:L,11,FALSE),"")</f>
        <v/>
      </c>
      <c r="M547" s="47" t="str">
        <f>IFERROR(VLOOKUP(G547,WholesaleExtract!B:M,12,FALSE),"")</f>
        <v/>
      </c>
      <c r="N547" s="27"/>
      <c r="O547" s="19"/>
      <c r="P547" s="19"/>
      <c r="Q547" s="47"/>
      <c r="R547" s="19"/>
      <c r="S547" s="19"/>
    </row>
    <row r="548" spans="1:19" x14ac:dyDescent="0.35">
      <c r="A548" s="26" t="s">
        <v>543</v>
      </c>
      <c r="B548" s="26" t="s">
        <v>543</v>
      </c>
      <c r="C548" s="26"/>
      <c r="D548" s="26" t="s">
        <v>543</v>
      </c>
      <c r="E548" s="26" t="str">
        <f>IFERROR(VLOOKUP(G548,WholesaleExtract!B:J,9,FALSE),"")</f>
        <v/>
      </c>
      <c r="F548" s="26" t="str">
        <f>IFERROR(VLOOKUP(G548,WholesaleExtract!B:J,6,FALSE),"")</f>
        <v/>
      </c>
      <c r="G548" s="48"/>
      <c r="H548" s="47" t="str">
        <f>IFERROR(VLOOKUP(G548,WholesaleExtract!B:L,11,FALSE),"")</f>
        <v/>
      </c>
      <c r="I548" s="26" t="str">
        <f>IFERROR(VLOOKUP(G548,WholesaleExtract!B:O,8,FALSE),"")</f>
        <v/>
      </c>
      <c r="J548" s="26" t="str">
        <f>IFERROR(VLOOKUP(G548,WholesaleExtract!B:O,14,FALSE),"")</f>
        <v/>
      </c>
      <c r="K548" s="26" t="str">
        <f>IFERROR(VLOOKUP(G548,WholesaleExtract!B:K,10,FALSE),"")</f>
        <v/>
      </c>
      <c r="L548" s="47" t="str">
        <f>IFERROR(VLOOKUP(G548,WholesaleExtract!B:L,11,FALSE),"")</f>
        <v/>
      </c>
      <c r="M548" s="47" t="str">
        <f>IFERROR(VLOOKUP(G548,WholesaleExtract!B:M,12,FALSE),"")</f>
        <v/>
      </c>
      <c r="N548" s="27"/>
      <c r="O548" s="19"/>
      <c r="P548" s="19"/>
      <c r="Q548" s="47"/>
      <c r="R548" s="19"/>
      <c r="S548" s="19"/>
    </row>
    <row r="549" spans="1:19" x14ac:dyDescent="0.35">
      <c r="A549" s="26" t="s">
        <v>543</v>
      </c>
      <c r="B549" s="26" t="s">
        <v>543</v>
      </c>
      <c r="C549" s="26"/>
      <c r="D549" s="26" t="s">
        <v>543</v>
      </c>
      <c r="E549" s="26" t="str">
        <f>IFERROR(VLOOKUP(G549,WholesaleExtract!B:J,9,FALSE),"")</f>
        <v/>
      </c>
      <c r="F549" s="26" t="str">
        <f>IFERROR(VLOOKUP(G549,WholesaleExtract!B:J,6,FALSE),"")</f>
        <v/>
      </c>
      <c r="G549" s="48"/>
      <c r="H549" s="47" t="str">
        <f>IFERROR(VLOOKUP(G549,WholesaleExtract!B:L,11,FALSE),"")</f>
        <v/>
      </c>
      <c r="I549" s="26" t="str">
        <f>IFERROR(VLOOKUP(G549,WholesaleExtract!B:O,8,FALSE),"")</f>
        <v/>
      </c>
      <c r="J549" s="26" t="str">
        <f>IFERROR(VLOOKUP(G549,WholesaleExtract!B:O,14,FALSE),"")</f>
        <v/>
      </c>
      <c r="K549" s="26" t="str">
        <f>IFERROR(VLOOKUP(G549,WholesaleExtract!B:K,10,FALSE),"")</f>
        <v/>
      </c>
      <c r="L549" s="47" t="str">
        <f>IFERROR(VLOOKUP(G549,WholesaleExtract!B:L,11,FALSE),"")</f>
        <v/>
      </c>
      <c r="M549" s="47" t="str">
        <f>IFERROR(VLOOKUP(G549,WholesaleExtract!B:M,12,FALSE),"")</f>
        <v/>
      </c>
      <c r="N549" s="27"/>
      <c r="O549" s="19"/>
      <c r="P549" s="19"/>
      <c r="Q549" s="47"/>
      <c r="R549" s="19"/>
      <c r="S549" s="19"/>
    </row>
    <row r="550" spans="1:19" x14ac:dyDescent="0.35">
      <c r="A550" s="26" t="s">
        <v>543</v>
      </c>
      <c r="B550" s="26" t="s">
        <v>543</v>
      </c>
      <c r="C550" s="26"/>
      <c r="D550" s="26" t="s">
        <v>543</v>
      </c>
      <c r="E550" s="26" t="str">
        <f>IFERROR(VLOOKUP(G550,WholesaleExtract!B:J,9,FALSE),"")</f>
        <v/>
      </c>
      <c r="F550" s="26" t="str">
        <f>IFERROR(VLOOKUP(G550,WholesaleExtract!B:J,6,FALSE),"")</f>
        <v/>
      </c>
      <c r="G550" s="48"/>
      <c r="H550" s="47" t="str">
        <f>IFERROR(VLOOKUP(G550,WholesaleExtract!B:L,11,FALSE),"")</f>
        <v/>
      </c>
      <c r="I550" s="26" t="str">
        <f>IFERROR(VLOOKUP(G550,WholesaleExtract!B:O,8,FALSE),"")</f>
        <v/>
      </c>
      <c r="J550" s="26" t="str">
        <f>IFERROR(VLOOKUP(G550,WholesaleExtract!B:O,14,FALSE),"")</f>
        <v/>
      </c>
      <c r="K550" s="26" t="str">
        <f>IFERROR(VLOOKUP(G550,WholesaleExtract!B:K,10,FALSE),"")</f>
        <v/>
      </c>
      <c r="L550" s="47" t="str">
        <f>IFERROR(VLOOKUP(G550,WholesaleExtract!B:L,11,FALSE),"")</f>
        <v/>
      </c>
      <c r="M550" s="47" t="str">
        <f>IFERROR(VLOOKUP(G550,WholesaleExtract!B:M,12,FALSE),"")</f>
        <v/>
      </c>
      <c r="N550" s="27"/>
      <c r="O550" s="19"/>
      <c r="P550" s="19"/>
      <c r="Q550" s="47"/>
      <c r="R550" s="19"/>
      <c r="S550" s="19"/>
    </row>
    <row r="551" spans="1:19" x14ac:dyDescent="0.35">
      <c r="A551" s="26" t="s">
        <v>543</v>
      </c>
      <c r="B551" s="26" t="s">
        <v>543</v>
      </c>
      <c r="C551" s="26"/>
      <c r="D551" s="26" t="s">
        <v>543</v>
      </c>
      <c r="E551" s="26" t="str">
        <f>IFERROR(VLOOKUP(G551,WholesaleExtract!B:J,9,FALSE),"")</f>
        <v/>
      </c>
      <c r="F551" s="26" t="str">
        <f>IFERROR(VLOOKUP(G551,WholesaleExtract!B:J,6,FALSE),"")</f>
        <v/>
      </c>
      <c r="G551" s="48"/>
      <c r="H551" s="47" t="str">
        <f>IFERROR(VLOOKUP(G551,WholesaleExtract!B:L,11,FALSE),"")</f>
        <v/>
      </c>
      <c r="I551" s="26" t="str">
        <f>IFERROR(VLOOKUP(G551,WholesaleExtract!B:O,8,FALSE),"")</f>
        <v/>
      </c>
      <c r="J551" s="26" t="str">
        <f>IFERROR(VLOOKUP(G551,WholesaleExtract!B:O,14,FALSE),"")</f>
        <v/>
      </c>
      <c r="K551" s="26" t="str">
        <f>IFERROR(VLOOKUP(G551,WholesaleExtract!B:K,10,FALSE),"")</f>
        <v/>
      </c>
      <c r="L551" s="47" t="str">
        <f>IFERROR(VLOOKUP(G551,WholesaleExtract!B:L,11,FALSE),"")</f>
        <v/>
      </c>
      <c r="M551" s="47" t="str">
        <f>IFERROR(VLOOKUP(G551,WholesaleExtract!B:M,12,FALSE),"")</f>
        <v/>
      </c>
      <c r="N551" s="27"/>
      <c r="O551" s="19"/>
      <c r="P551" s="19"/>
      <c r="Q551" s="47"/>
      <c r="R551" s="19"/>
      <c r="S551" s="19"/>
    </row>
    <row r="552" spans="1:19" x14ac:dyDescent="0.35">
      <c r="A552" s="26" t="s">
        <v>543</v>
      </c>
      <c r="B552" s="26" t="s">
        <v>543</v>
      </c>
      <c r="C552" s="26"/>
      <c r="D552" s="26" t="s">
        <v>543</v>
      </c>
      <c r="E552" s="26" t="str">
        <f>IFERROR(VLOOKUP(G552,WholesaleExtract!B:J,9,FALSE),"")</f>
        <v/>
      </c>
      <c r="F552" s="26" t="str">
        <f>IFERROR(VLOOKUP(G552,WholesaleExtract!B:J,6,FALSE),"")</f>
        <v/>
      </c>
      <c r="G552" s="48"/>
      <c r="H552" s="47" t="str">
        <f>IFERROR(VLOOKUP(G552,WholesaleExtract!B:L,11,FALSE),"")</f>
        <v/>
      </c>
      <c r="I552" s="26" t="str">
        <f>IFERROR(VLOOKUP(G552,WholesaleExtract!B:O,8,FALSE),"")</f>
        <v/>
      </c>
      <c r="J552" s="26" t="str">
        <f>IFERROR(VLOOKUP(G552,WholesaleExtract!B:O,14,FALSE),"")</f>
        <v/>
      </c>
      <c r="K552" s="26" t="str">
        <f>IFERROR(VLOOKUP(G552,WholesaleExtract!B:K,10,FALSE),"")</f>
        <v/>
      </c>
      <c r="L552" s="47" t="str">
        <f>IFERROR(VLOOKUP(G552,WholesaleExtract!B:L,11,FALSE),"")</f>
        <v/>
      </c>
      <c r="M552" s="47" t="str">
        <f>IFERROR(VLOOKUP(G552,WholesaleExtract!B:M,12,FALSE),"")</f>
        <v/>
      </c>
      <c r="N552" s="27"/>
      <c r="O552" s="19"/>
      <c r="P552" s="19"/>
      <c r="Q552" s="47"/>
      <c r="R552" s="19"/>
      <c r="S552" s="19"/>
    </row>
    <row r="553" spans="1:19" x14ac:dyDescent="0.35">
      <c r="A553" s="26" t="s">
        <v>543</v>
      </c>
      <c r="B553" s="26" t="s">
        <v>543</v>
      </c>
      <c r="C553" s="26"/>
      <c r="D553" s="26" t="s">
        <v>543</v>
      </c>
      <c r="E553" s="26" t="str">
        <f>IFERROR(VLOOKUP(G553,WholesaleExtract!B:J,9,FALSE),"")</f>
        <v/>
      </c>
      <c r="F553" s="26" t="str">
        <f>IFERROR(VLOOKUP(G553,WholesaleExtract!B:J,6,FALSE),"")</f>
        <v/>
      </c>
      <c r="G553" s="48"/>
      <c r="H553" s="47" t="str">
        <f>IFERROR(VLOOKUP(G553,WholesaleExtract!B:L,11,FALSE),"")</f>
        <v/>
      </c>
      <c r="I553" s="26" t="str">
        <f>IFERROR(VLOOKUP(G553,WholesaleExtract!B:O,8,FALSE),"")</f>
        <v/>
      </c>
      <c r="J553" s="26" t="str">
        <f>IFERROR(VLOOKUP(G553,WholesaleExtract!B:O,14,FALSE),"")</f>
        <v/>
      </c>
      <c r="K553" s="26" t="str">
        <f>IFERROR(VLOOKUP(G553,WholesaleExtract!B:K,10,FALSE),"")</f>
        <v/>
      </c>
      <c r="L553" s="47" t="str">
        <f>IFERROR(VLOOKUP(G553,WholesaleExtract!B:L,11,FALSE),"")</f>
        <v/>
      </c>
      <c r="M553" s="47" t="str">
        <f>IFERROR(VLOOKUP(G553,WholesaleExtract!B:M,12,FALSE),"")</f>
        <v/>
      </c>
      <c r="N553" s="27"/>
      <c r="O553" s="19"/>
      <c r="P553" s="19"/>
      <c r="Q553" s="47"/>
      <c r="R553" s="19"/>
      <c r="S553" s="19"/>
    </row>
    <row r="554" spans="1:19" x14ac:dyDescent="0.35">
      <c r="A554" s="26" t="s">
        <v>543</v>
      </c>
      <c r="B554" s="26" t="s">
        <v>543</v>
      </c>
      <c r="C554" s="26"/>
      <c r="D554" s="26" t="s">
        <v>543</v>
      </c>
      <c r="E554" s="26" t="str">
        <f>IFERROR(VLOOKUP(G554,WholesaleExtract!B:J,9,FALSE),"")</f>
        <v/>
      </c>
      <c r="F554" s="26" t="str">
        <f>IFERROR(VLOOKUP(G554,WholesaleExtract!B:J,6,FALSE),"")</f>
        <v/>
      </c>
      <c r="G554" s="48"/>
      <c r="H554" s="47" t="str">
        <f>IFERROR(VLOOKUP(G554,WholesaleExtract!B:L,11,FALSE),"")</f>
        <v/>
      </c>
      <c r="I554" s="26" t="str">
        <f>IFERROR(VLOOKUP(G554,WholesaleExtract!B:O,8,FALSE),"")</f>
        <v/>
      </c>
      <c r="J554" s="26" t="str">
        <f>IFERROR(VLOOKUP(G554,WholesaleExtract!B:O,14,FALSE),"")</f>
        <v/>
      </c>
      <c r="K554" s="26" t="str">
        <f>IFERROR(VLOOKUP(G554,WholesaleExtract!B:K,10,FALSE),"")</f>
        <v/>
      </c>
      <c r="L554" s="47" t="str">
        <f>IFERROR(VLOOKUP(G554,WholesaleExtract!B:L,11,FALSE),"")</f>
        <v/>
      </c>
      <c r="M554" s="47" t="str">
        <f>IFERROR(VLOOKUP(G554,WholesaleExtract!B:M,12,FALSE),"")</f>
        <v/>
      </c>
      <c r="N554" s="27"/>
      <c r="O554" s="19"/>
      <c r="P554" s="19"/>
      <c r="Q554" s="47"/>
      <c r="R554" s="19"/>
      <c r="S554" s="19"/>
    </row>
    <row r="555" spans="1:19" x14ac:dyDescent="0.35">
      <c r="A555" s="26" t="s">
        <v>543</v>
      </c>
      <c r="B555" s="26" t="s">
        <v>543</v>
      </c>
      <c r="C555" s="26"/>
      <c r="D555" s="26" t="s">
        <v>543</v>
      </c>
      <c r="E555" s="26" t="str">
        <f>IFERROR(VLOOKUP(G555,WholesaleExtract!B:J,9,FALSE),"")</f>
        <v/>
      </c>
      <c r="F555" s="26" t="str">
        <f>IFERROR(VLOOKUP(G555,WholesaleExtract!B:J,6,FALSE),"")</f>
        <v/>
      </c>
      <c r="G555" s="48"/>
      <c r="H555" s="47" t="str">
        <f>IFERROR(VLOOKUP(G555,WholesaleExtract!B:L,11,FALSE),"")</f>
        <v/>
      </c>
      <c r="I555" s="26" t="str">
        <f>IFERROR(VLOOKUP(G555,WholesaleExtract!B:O,8,FALSE),"")</f>
        <v/>
      </c>
      <c r="J555" s="26" t="str">
        <f>IFERROR(VLOOKUP(G555,WholesaleExtract!B:O,14,FALSE),"")</f>
        <v/>
      </c>
      <c r="K555" s="26" t="str">
        <f>IFERROR(VLOOKUP(G555,WholesaleExtract!B:K,10,FALSE),"")</f>
        <v/>
      </c>
      <c r="L555" s="47" t="str">
        <f>IFERROR(VLOOKUP(G555,WholesaleExtract!B:L,11,FALSE),"")</f>
        <v/>
      </c>
      <c r="M555" s="47" t="str">
        <f>IFERROR(VLOOKUP(G555,WholesaleExtract!B:M,12,FALSE),"")</f>
        <v/>
      </c>
      <c r="N555" s="27"/>
      <c r="O555" s="19"/>
      <c r="P555" s="19"/>
      <c r="Q555" s="47"/>
      <c r="R555" s="19"/>
      <c r="S555" s="19"/>
    </row>
    <row r="556" spans="1:19" x14ac:dyDescent="0.35">
      <c r="A556" s="26" t="s">
        <v>543</v>
      </c>
      <c r="B556" s="26" t="s">
        <v>543</v>
      </c>
      <c r="C556" s="26"/>
      <c r="D556" s="26" t="s">
        <v>543</v>
      </c>
      <c r="E556" s="26" t="str">
        <f>IFERROR(VLOOKUP(G556,WholesaleExtract!B:J,9,FALSE),"")</f>
        <v/>
      </c>
      <c r="F556" s="26" t="str">
        <f>IFERROR(VLOOKUP(G556,WholesaleExtract!B:J,6,FALSE),"")</f>
        <v/>
      </c>
      <c r="G556" s="48"/>
      <c r="H556" s="47" t="str">
        <f>IFERROR(VLOOKUP(G556,WholesaleExtract!B:L,11,FALSE),"")</f>
        <v/>
      </c>
      <c r="I556" s="26" t="str">
        <f>IFERROR(VLOOKUP(G556,WholesaleExtract!B:O,8,FALSE),"")</f>
        <v/>
      </c>
      <c r="J556" s="26" t="str">
        <f>IFERROR(VLOOKUP(G556,WholesaleExtract!B:O,14,FALSE),"")</f>
        <v/>
      </c>
      <c r="K556" s="26" t="str">
        <f>IFERROR(VLOOKUP(G556,WholesaleExtract!B:K,10,FALSE),"")</f>
        <v/>
      </c>
      <c r="L556" s="47" t="str">
        <f>IFERROR(VLOOKUP(G556,WholesaleExtract!B:L,11,FALSE),"")</f>
        <v/>
      </c>
      <c r="M556" s="47" t="str">
        <f>IFERROR(VLOOKUP(G556,WholesaleExtract!B:M,12,FALSE),"")</f>
        <v/>
      </c>
      <c r="N556" s="27"/>
      <c r="O556" s="19"/>
      <c r="P556" s="19"/>
      <c r="Q556" s="47"/>
      <c r="R556" s="19"/>
      <c r="S556" s="19"/>
    </row>
    <row r="557" spans="1:19" x14ac:dyDescent="0.35">
      <c r="A557" s="26" t="s">
        <v>543</v>
      </c>
      <c r="B557" s="26" t="s">
        <v>543</v>
      </c>
      <c r="C557" s="26"/>
      <c r="D557" s="26" t="s">
        <v>543</v>
      </c>
      <c r="E557" s="26" t="str">
        <f>IFERROR(VLOOKUP(G557,WholesaleExtract!B:J,9,FALSE),"")</f>
        <v/>
      </c>
      <c r="F557" s="26" t="str">
        <f>IFERROR(VLOOKUP(G557,WholesaleExtract!B:J,6,FALSE),"")</f>
        <v/>
      </c>
      <c r="G557" s="48"/>
      <c r="H557" s="47" t="str">
        <f>IFERROR(VLOOKUP(G557,WholesaleExtract!B:L,11,FALSE),"")</f>
        <v/>
      </c>
      <c r="I557" s="26" t="str">
        <f>IFERROR(VLOOKUP(G557,WholesaleExtract!B:O,8,FALSE),"")</f>
        <v/>
      </c>
      <c r="J557" s="26" t="str">
        <f>IFERROR(VLOOKUP(G557,WholesaleExtract!B:O,14,FALSE),"")</f>
        <v/>
      </c>
      <c r="K557" s="26" t="str">
        <f>IFERROR(VLOOKUP(G557,WholesaleExtract!B:K,10,FALSE),"")</f>
        <v/>
      </c>
      <c r="L557" s="47" t="str">
        <f>IFERROR(VLOOKUP(G557,WholesaleExtract!B:L,11,FALSE),"")</f>
        <v/>
      </c>
      <c r="M557" s="47" t="str">
        <f>IFERROR(VLOOKUP(G557,WholesaleExtract!B:M,12,FALSE),"")</f>
        <v/>
      </c>
      <c r="N557" s="27"/>
      <c r="O557" s="19"/>
      <c r="P557" s="19"/>
      <c r="Q557" s="47"/>
      <c r="R557" s="19"/>
      <c r="S557" s="19"/>
    </row>
    <row r="558" spans="1:19" x14ac:dyDescent="0.35">
      <c r="A558" s="26" t="s">
        <v>543</v>
      </c>
      <c r="B558" s="26" t="s">
        <v>543</v>
      </c>
      <c r="C558" s="26"/>
      <c r="D558" s="26" t="s">
        <v>543</v>
      </c>
      <c r="E558" s="26" t="str">
        <f>IFERROR(VLOOKUP(G558,WholesaleExtract!B:J,9,FALSE),"")</f>
        <v/>
      </c>
      <c r="F558" s="26" t="str">
        <f>IFERROR(VLOOKUP(G558,WholesaleExtract!B:J,6,FALSE),"")</f>
        <v/>
      </c>
      <c r="G558" s="48"/>
      <c r="H558" s="47" t="str">
        <f>IFERROR(VLOOKUP(G558,WholesaleExtract!B:L,11,FALSE),"")</f>
        <v/>
      </c>
      <c r="I558" s="26" t="str">
        <f>IFERROR(VLOOKUP(G558,WholesaleExtract!B:O,8,FALSE),"")</f>
        <v/>
      </c>
      <c r="J558" s="26" t="str">
        <f>IFERROR(VLOOKUP(G558,WholesaleExtract!B:O,14,FALSE),"")</f>
        <v/>
      </c>
      <c r="K558" s="26" t="str">
        <f>IFERROR(VLOOKUP(G558,WholesaleExtract!B:K,10,FALSE),"")</f>
        <v/>
      </c>
      <c r="L558" s="47" t="str">
        <f>IFERROR(VLOOKUP(G558,WholesaleExtract!B:L,11,FALSE),"")</f>
        <v/>
      </c>
      <c r="M558" s="47" t="str">
        <f>IFERROR(VLOOKUP(G558,WholesaleExtract!B:M,12,FALSE),"")</f>
        <v/>
      </c>
      <c r="N558" s="27"/>
      <c r="O558" s="19"/>
      <c r="P558" s="19"/>
      <c r="Q558" s="47"/>
      <c r="R558" s="19"/>
      <c r="S558" s="19"/>
    </row>
    <row r="559" spans="1:19" x14ac:dyDescent="0.35">
      <c r="A559" s="26" t="s">
        <v>543</v>
      </c>
      <c r="B559" s="26" t="s">
        <v>543</v>
      </c>
      <c r="C559" s="26"/>
      <c r="D559" s="26" t="s">
        <v>543</v>
      </c>
      <c r="E559" s="26" t="str">
        <f>IFERROR(VLOOKUP(G559,WholesaleExtract!B:J,9,FALSE),"")</f>
        <v/>
      </c>
      <c r="F559" s="26" t="str">
        <f>IFERROR(VLOOKUP(G559,WholesaleExtract!B:J,6,FALSE),"")</f>
        <v/>
      </c>
      <c r="G559" s="48"/>
      <c r="H559" s="47" t="str">
        <f>IFERROR(VLOOKUP(G559,WholesaleExtract!B:L,11,FALSE),"")</f>
        <v/>
      </c>
      <c r="I559" s="26" t="str">
        <f>IFERROR(VLOOKUP(G559,WholesaleExtract!B:O,8,FALSE),"")</f>
        <v/>
      </c>
      <c r="J559" s="26" t="str">
        <f>IFERROR(VLOOKUP(G559,WholesaleExtract!B:O,14,FALSE),"")</f>
        <v/>
      </c>
      <c r="K559" s="26" t="str">
        <f>IFERROR(VLOOKUP(G559,WholesaleExtract!B:K,10,FALSE),"")</f>
        <v/>
      </c>
      <c r="L559" s="47" t="str">
        <f>IFERROR(VLOOKUP(G559,WholesaleExtract!B:L,11,FALSE),"")</f>
        <v/>
      </c>
      <c r="M559" s="47" t="str">
        <f>IFERROR(VLOOKUP(G559,WholesaleExtract!B:M,12,FALSE),"")</f>
        <v/>
      </c>
      <c r="N559" s="27"/>
      <c r="O559" s="19"/>
      <c r="P559" s="19"/>
      <c r="Q559" s="47"/>
      <c r="R559" s="19"/>
      <c r="S559" s="19"/>
    </row>
    <row r="560" spans="1:19" x14ac:dyDescent="0.35">
      <c r="A560" s="26" t="s">
        <v>543</v>
      </c>
      <c r="B560" s="26" t="s">
        <v>543</v>
      </c>
      <c r="C560" s="26"/>
      <c r="D560" s="26" t="s">
        <v>543</v>
      </c>
      <c r="E560" s="26" t="str">
        <f>IFERROR(VLOOKUP(G560,WholesaleExtract!B:J,9,FALSE),"")</f>
        <v/>
      </c>
      <c r="F560" s="26" t="str">
        <f>IFERROR(VLOOKUP(G560,WholesaleExtract!B:J,6,FALSE),"")</f>
        <v/>
      </c>
      <c r="G560" s="48"/>
      <c r="H560" s="47" t="str">
        <f>IFERROR(VLOOKUP(G560,WholesaleExtract!B:L,11,FALSE),"")</f>
        <v/>
      </c>
      <c r="I560" s="26" t="str">
        <f>IFERROR(VLOOKUP(G560,WholesaleExtract!B:O,8,FALSE),"")</f>
        <v/>
      </c>
      <c r="J560" s="26" t="str">
        <f>IFERROR(VLOOKUP(G560,WholesaleExtract!B:O,14,FALSE),"")</f>
        <v/>
      </c>
      <c r="K560" s="26" t="str">
        <f>IFERROR(VLOOKUP(G560,WholesaleExtract!B:K,10,FALSE),"")</f>
        <v/>
      </c>
      <c r="L560" s="47" t="str">
        <f>IFERROR(VLOOKUP(G560,WholesaleExtract!B:L,11,FALSE),"")</f>
        <v/>
      </c>
      <c r="M560" s="47" t="str">
        <f>IFERROR(VLOOKUP(G560,WholesaleExtract!B:M,12,FALSE),"")</f>
        <v/>
      </c>
      <c r="N560" s="27"/>
      <c r="O560" s="19"/>
      <c r="P560" s="19"/>
      <c r="Q560" s="47"/>
      <c r="R560" s="19"/>
      <c r="S560" s="19"/>
    </row>
    <row r="561" spans="1:19" x14ac:dyDescent="0.35">
      <c r="A561" s="26" t="s">
        <v>543</v>
      </c>
      <c r="B561" s="26" t="s">
        <v>543</v>
      </c>
      <c r="C561" s="26"/>
      <c r="D561" s="26" t="s">
        <v>543</v>
      </c>
      <c r="E561" s="26" t="str">
        <f>IFERROR(VLOOKUP(G561,WholesaleExtract!B:J,9,FALSE),"")</f>
        <v/>
      </c>
      <c r="F561" s="26" t="str">
        <f>IFERROR(VLOOKUP(G561,WholesaleExtract!B:J,6,FALSE),"")</f>
        <v/>
      </c>
      <c r="G561" s="48"/>
      <c r="H561" s="47" t="str">
        <f>IFERROR(VLOOKUP(G561,WholesaleExtract!B:L,11,FALSE),"")</f>
        <v/>
      </c>
      <c r="I561" s="26" t="str">
        <f>IFERROR(VLOOKUP(G561,WholesaleExtract!B:O,8,FALSE),"")</f>
        <v/>
      </c>
      <c r="J561" s="26" t="str">
        <f>IFERROR(VLOOKUP(G561,WholesaleExtract!B:O,14,FALSE),"")</f>
        <v/>
      </c>
      <c r="K561" s="26" t="str">
        <f>IFERROR(VLOOKUP(G561,WholesaleExtract!B:K,10,FALSE),"")</f>
        <v/>
      </c>
      <c r="L561" s="47" t="str">
        <f>IFERROR(VLOOKUP(G561,WholesaleExtract!B:L,11,FALSE),"")</f>
        <v/>
      </c>
      <c r="M561" s="47" t="str">
        <f>IFERROR(VLOOKUP(G561,WholesaleExtract!B:M,12,FALSE),"")</f>
        <v/>
      </c>
      <c r="N561" s="27"/>
      <c r="O561" s="19"/>
      <c r="P561" s="19"/>
      <c r="Q561" s="47"/>
      <c r="R561" s="19"/>
      <c r="S561" s="19"/>
    </row>
    <row r="562" spans="1:19" x14ac:dyDescent="0.35">
      <c r="A562" s="26" t="s">
        <v>543</v>
      </c>
      <c r="B562" s="26" t="s">
        <v>543</v>
      </c>
      <c r="C562" s="26"/>
      <c r="D562" s="26" t="s">
        <v>543</v>
      </c>
      <c r="E562" s="26" t="str">
        <f>IFERROR(VLOOKUP(G562,WholesaleExtract!B:J,9,FALSE),"")</f>
        <v/>
      </c>
      <c r="F562" s="26" t="str">
        <f>IFERROR(VLOOKUP(G562,WholesaleExtract!B:J,6,FALSE),"")</f>
        <v/>
      </c>
      <c r="G562" s="48"/>
      <c r="H562" s="47" t="str">
        <f>IFERROR(VLOOKUP(G562,WholesaleExtract!B:L,11,FALSE),"")</f>
        <v/>
      </c>
      <c r="I562" s="26" t="str">
        <f>IFERROR(VLOOKUP(G562,WholesaleExtract!B:O,8,FALSE),"")</f>
        <v/>
      </c>
      <c r="J562" s="26" t="str">
        <f>IFERROR(VLOOKUP(G562,WholesaleExtract!B:O,14,FALSE),"")</f>
        <v/>
      </c>
      <c r="K562" s="26" t="str">
        <f>IFERROR(VLOOKUP(G562,WholesaleExtract!B:K,10,FALSE),"")</f>
        <v/>
      </c>
      <c r="L562" s="47" t="str">
        <f>IFERROR(VLOOKUP(G562,WholesaleExtract!B:L,11,FALSE),"")</f>
        <v/>
      </c>
      <c r="M562" s="47" t="str">
        <f>IFERROR(VLOOKUP(G562,WholesaleExtract!B:M,12,FALSE),"")</f>
        <v/>
      </c>
      <c r="N562" s="27"/>
      <c r="O562" s="19"/>
      <c r="P562" s="19"/>
      <c r="Q562" s="47"/>
      <c r="R562" s="19"/>
      <c r="S562" s="19"/>
    </row>
    <row r="563" spans="1:19" x14ac:dyDescent="0.35">
      <c r="A563" s="26" t="s">
        <v>543</v>
      </c>
      <c r="B563" s="26" t="s">
        <v>543</v>
      </c>
      <c r="C563" s="26"/>
      <c r="D563" s="26" t="s">
        <v>543</v>
      </c>
      <c r="E563" s="26" t="str">
        <f>IFERROR(VLOOKUP(G563,WholesaleExtract!B:J,9,FALSE),"")</f>
        <v/>
      </c>
      <c r="F563" s="26" t="str">
        <f>IFERROR(VLOOKUP(G563,WholesaleExtract!B:J,6,FALSE),"")</f>
        <v/>
      </c>
      <c r="G563" s="48"/>
      <c r="H563" s="47" t="str">
        <f>IFERROR(VLOOKUP(G563,WholesaleExtract!B:L,11,FALSE),"")</f>
        <v/>
      </c>
      <c r="I563" s="26" t="str">
        <f>IFERROR(VLOOKUP(G563,WholesaleExtract!B:O,8,FALSE),"")</f>
        <v/>
      </c>
      <c r="J563" s="26" t="str">
        <f>IFERROR(VLOOKUP(G563,WholesaleExtract!B:O,14,FALSE),"")</f>
        <v/>
      </c>
      <c r="K563" s="26" t="str">
        <f>IFERROR(VLOOKUP(G563,WholesaleExtract!B:K,10,FALSE),"")</f>
        <v/>
      </c>
      <c r="L563" s="47" t="str">
        <f>IFERROR(VLOOKUP(G563,WholesaleExtract!B:L,11,FALSE),"")</f>
        <v/>
      </c>
      <c r="M563" s="47" t="str">
        <f>IFERROR(VLOOKUP(G563,WholesaleExtract!B:M,12,FALSE),"")</f>
        <v/>
      </c>
      <c r="N563" s="27"/>
      <c r="O563" s="19"/>
      <c r="P563" s="19"/>
      <c r="Q563" s="47"/>
      <c r="R563" s="19"/>
      <c r="S563" s="19"/>
    </row>
    <row r="564" spans="1:19" x14ac:dyDescent="0.35">
      <c r="A564" s="26" t="s">
        <v>543</v>
      </c>
      <c r="B564" s="26" t="s">
        <v>543</v>
      </c>
      <c r="C564" s="26"/>
      <c r="D564" s="26" t="s">
        <v>543</v>
      </c>
      <c r="E564" s="26" t="str">
        <f>IFERROR(VLOOKUP(G564,WholesaleExtract!B:J,9,FALSE),"")</f>
        <v/>
      </c>
      <c r="F564" s="26" t="str">
        <f>IFERROR(VLOOKUP(G564,WholesaleExtract!B:J,6,FALSE),"")</f>
        <v/>
      </c>
      <c r="G564" s="48"/>
      <c r="H564" s="47" t="str">
        <f>IFERROR(VLOOKUP(G564,WholesaleExtract!B:L,11,FALSE),"")</f>
        <v/>
      </c>
      <c r="I564" s="26" t="str">
        <f>IFERROR(VLOOKUP(G564,WholesaleExtract!B:O,8,FALSE),"")</f>
        <v/>
      </c>
      <c r="J564" s="26" t="str">
        <f>IFERROR(VLOOKUP(G564,WholesaleExtract!B:O,14,FALSE),"")</f>
        <v/>
      </c>
      <c r="K564" s="26" t="str">
        <f>IFERROR(VLOOKUP(G564,WholesaleExtract!B:K,10,FALSE),"")</f>
        <v/>
      </c>
      <c r="L564" s="47" t="str">
        <f>IFERROR(VLOOKUP(G564,WholesaleExtract!B:L,11,FALSE),"")</f>
        <v/>
      </c>
      <c r="M564" s="47" t="str">
        <f>IFERROR(VLOOKUP(G564,WholesaleExtract!B:M,12,FALSE),"")</f>
        <v/>
      </c>
      <c r="N564" s="27"/>
      <c r="O564" s="19"/>
      <c r="P564" s="19"/>
      <c r="Q564" s="47"/>
      <c r="R564" s="19"/>
      <c r="S564" s="19"/>
    </row>
    <row r="565" spans="1:19" x14ac:dyDescent="0.35">
      <c r="A565" s="26" t="s">
        <v>543</v>
      </c>
      <c r="B565" s="26" t="s">
        <v>543</v>
      </c>
      <c r="C565" s="26"/>
      <c r="D565" s="26" t="s">
        <v>543</v>
      </c>
      <c r="E565" s="26" t="str">
        <f>IFERROR(VLOOKUP(G565,WholesaleExtract!B:J,9,FALSE),"")</f>
        <v/>
      </c>
      <c r="F565" s="26" t="str">
        <f>IFERROR(VLOOKUP(G565,WholesaleExtract!B:J,6,FALSE),"")</f>
        <v/>
      </c>
      <c r="G565" s="48"/>
      <c r="H565" s="47" t="str">
        <f>IFERROR(VLOOKUP(G565,WholesaleExtract!B:L,11,FALSE),"")</f>
        <v/>
      </c>
      <c r="I565" s="26" t="str">
        <f>IFERROR(VLOOKUP(G565,WholesaleExtract!B:O,8,FALSE),"")</f>
        <v/>
      </c>
      <c r="J565" s="26" t="str">
        <f>IFERROR(VLOOKUP(G565,WholesaleExtract!B:O,14,FALSE),"")</f>
        <v/>
      </c>
      <c r="K565" s="26" t="str">
        <f>IFERROR(VLOOKUP(G565,WholesaleExtract!B:K,10,FALSE),"")</f>
        <v/>
      </c>
      <c r="L565" s="47" t="str">
        <f>IFERROR(VLOOKUP(G565,WholesaleExtract!B:L,11,FALSE),"")</f>
        <v/>
      </c>
      <c r="M565" s="47" t="str">
        <f>IFERROR(VLOOKUP(G565,WholesaleExtract!B:M,12,FALSE),"")</f>
        <v/>
      </c>
      <c r="N565" s="27"/>
      <c r="O565" s="19"/>
      <c r="P565" s="19"/>
      <c r="Q565" s="47"/>
      <c r="R565" s="19"/>
      <c r="S565" s="19"/>
    </row>
    <row r="566" spans="1:19" x14ac:dyDescent="0.35">
      <c r="A566" s="26" t="s">
        <v>543</v>
      </c>
      <c r="B566" s="26" t="s">
        <v>543</v>
      </c>
      <c r="C566" s="26"/>
      <c r="D566" s="26" t="s">
        <v>543</v>
      </c>
      <c r="E566" s="26" t="str">
        <f>IFERROR(VLOOKUP(G566,WholesaleExtract!B:J,9,FALSE),"")</f>
        <v/>
      </c>
      <c r="F566" s="26" t="str">
        <f>IFERROR(VLOOKUP(G566,WholesaleExtract!B:J,6,FALSE),"")</f>
        <v/>
      </c>
      <c r="G566" s="48"/>
      <c r="H566" s="47" t="str">
        <f>IFERROR(VLOOKUP(G566,WholesaleExtract!B:L,11,FALSE),"")</f>
        <v/>
      </c>
      <c r="I566" s="26" t="str">
        <f>IFERROR(VLOOKUP(G566,WholesaleExtract!B:O,8,FALSE),"")</f>
        <v/>
      </c>
      <c r="J566" s="26" t="str">
        <f>IFERROR(VLOOKUP(G566,WholesaleExtract!B:O,14,FALSE),"")</f>
        <v/>
      </c>
      <c r="K566" s="26" t="str">
        <f>IFERROR(VLOOKUP(G566,WholesaleExtract!B:K,10,FALSE),"")</f>
        <v/>
      </c>
      <c r="L566" s="47" t="str">
        <f>IFERROR(VLOOKUP(G566,WholesaleExtract!B:L,11,FALSE),"")</f>
        <v/>
      </c>
      <c r="M566" s="47" t="str">
        <f>IFERROR(VLOOKUP(G566,WholesaleExtract!B:M,12,FALSE),"")</f>
        <v/>
      </c>
      <c r="N566" s="27"/>
      <c r="O566" s="19"/>
      <c r="P566" s="19"/>
      <c r="Q566" s="47"/>
      <c r="R566" s="19"/>
      <c r="S566" s="19"/>
    </row>
    <row r="567" spans="1:19" x14ac:dyDescent="0.35">
      <c r="A567" s="26" t="s">
        <v>543</v>
      </c>
      <c r="B567" s="26" t="s">
        <v>543</v>
      </c>
      <c r="C567" s="26"/>
      <c r="D567" s="26" t="s">
        <v>543</v>
      </c>
      <c r="E567" s="26" t="str">
        <f>IFERROR(VLOOKUP(G567,WholesaleExtract!B:J,9,FALSE),"")</f>
        <v/>
      </c>
      <c r="F567" s="26" t="str">
        <f>IFERROR(VLOOKUP(G567,WholesaleExtract!B:J,6,FALSE),"")</f>
        <v/>
      </c>
      <c r="G567" s="48"/>
      <c r="H567" s="47" t="str">
        <f>IFERROR(VLOOKUP(G567,WholesaleExtract!B:L,11,FALSE),"")</f>
        <v/>
      </c>
      <c r="I567" s="26" t="str">
        <f>IFERROR(VLOOKUP(G567,WholesaleExtract!B:O,8,FALSE),"")</f>
        <v/>
      </c>
      <c r="J567" s="26" t="str">
        <f>IFERROR(VLOOKUP(G567,WholesaleExtract!B:O,14,FALSE),"")</f>
        <v/>
      </c>
      <c r="K567" s="26" t="str">
        <f>IFERROR(VLOOKUP(G567,WholesaleExtract!B:K,10,FALSE),"")</f>
        <v/>
      </c>
      <c r="L567" s="47" t="str">
        <f>IFERROR(VLOOKUP(G567,WholesaleExtract!B:L,11,FALSE),"")</f>
        <v/>
      </c>
      <c r="M567" s="47" t="str">
        <f>IFERROR(VLOOKUP(G567,WholesaleExtract!B:M,12,FALSE),"")</f>
        <v/>
      </c>
      <c r="N567" s="27"/>
      <c r="O567" s="19"/>
      <c r="P567" s="19"/>
      <c r="Q567" s="47"/>
      <c r="R567" s="19"/>
      <c r="S567" s="19"/>
    </row>
    <row r="568" spans="1:19" x14ac:dyDescent="0.35">
      <c r="A568" s="26" t="s">
        <v>543</v>
      </c>
      <c r="B568" s="26" t="s">
        <v>543</v>
      </c>
      <c r="C568" s="26"/>
      <c r="D568" s="26" t="s">
        <v>543</v>
      </c>
      <c r="E568" s="26" t="str">
        <f>IFERROR(VLOOKUP(G568,WholesaleExtract!B:J,9,FALSE),"")</f>
        <v/>
      </c>
      <c r="F568" s="26" t="str">
        <f>IFERROR(VLOOKUP(G568,WholesaleExtract!B:J,6,FALSE),"")</f>
        <v/>
      </c>
      <c r="G568" s="48"/>
      <c r="H568" s="47" t="str">
        <f>IFERROR(VLOOKUP(G568,WholesaleExtract!B:L,11,FALSE),"")</f>
        <v/>
      </c>
      <c r="I568" s="26" t="str">
        <f>IFERROR(VLOOKUP(G568,WholesaleExtract!B:O,8,FALSE),"")</f>
        <v/>
      </c>
      <c r="J568" s="26" t="str">
        <f>IFERROR(VLOOKUP(G568,WholesaleExtract!B:O,14,FALSE),"")</f>
        <v/>
      </c>
      <c r="K568" s="26" t="str">
        <f>IFERROR(VLOOKUP(G568,WholesaleExtract!B:K,10,FALSE),"")</f>
        <v/>
      </c>
      <c r="L568" s="47" t="str">
        <f>IFERROR(VLOOKUP(G568,WholesaleExtract!B:L,11,FALSE),"")</f>
        <v/>
      </c>
      <c r="M568" s="47" t="str">
        <f>IFERROR(VLOOKUP(G568,WholesaleExtract!B:M,12,FALSE),"")</f>
        <v/>
      </c>
      <c r="N568" s="27"/>
      <c r="O568" s="19"/>
      <c r="P568" s="19"/>
      <c r="Q568" s="47"/>
      <c r="R568" s="19"/>
      <c r="S568" s="19"/>
    </row>
    <row r="569" spans="1:19" x14ac:dyDescent="0.35">
      <c r="A569" s="26" t="s">
        <v>543</v>
      </c>
      <c r="B569" s="26" t="s">
        <v>543</v>
      </c>
      <c r="C569" s="26"/>
      <c r="D569" s="26" t="s">
        <v>543</v>
      </c>
      <c r="E569" s="26" t="str">
        <f>IFERROR(VLOOKUP(G569,WholesaleExtract!B:J,9,FALSE),"")</f>
        <v/>
      </c>
      <c r="F569" s="26" t="str">
        <f>IFERROR(VLOOKUP(G569,WholesaleExtract!B:J,6,FALSE),"")</f>
        <v/>
      </c>
      <c r="G569" s="48"/>
      <c r="H569" s="47" t="str">
        <f>IFERROR(VLOOKUP(G569,WholesaleExtract!B:L,11,FALSE),"")</f>
        <v/>
      </c>
      <c r="I569" s="26" t="str">
        <f>IFERROR(VLOOKUP(G569,WholesaleExtract!B:O,8,FALSE),"")</f>
        <v/>
      </c>
      <c r="J569" s="26" t="str">
        <f>IFERROR(VLOOKUP(G569,WholesaleExtract!B:O,14,FALSE),"")</f>
        <v/>
      </c>
      <c r="K569" s="26" t="str">
        <f>IFERROR(VLOOKUP(G569,WholesaleExtract!B:K,10,FALSE),"")</f>
        <v/>
      </c>
      <c r="L569" s="47" t="str">
        <f>IFERROR(VLOOKUP(G569,WholesaleExtract!B:L,11,FALSE),"")</f>
        <v/>
      </c>
      <c r="M569" s="47" t="str">
        <f>IFERROR(VLOOKUP(G569,WholesaleExtract!B:M,12,FALSE),"")</f>
        <v/>
      </c>
      <c r="N569" s="27"/>
      <c r="O569" s="19"/>
      <c r="P569" s="19"/>
      <c r="Q569" s="47"/>
      <c r="R569" s="19"/>
      <c r="S569" s="19"/>
    </row>
    <row r="570" spans="1:19" x14ac:dyDescent="0.35">
      <c r="A570" s="26" t="s">
        <v>543</v>
      </c>
      <c r="B570" s="26" t="s">
        <v>543</v>
      </c>
      <c r="C570" s="26"/>
      <c r="D570" s="26" t="s">
        <v>543</v>
      </c>
      <c r="E570" s="26" t="str">
        <f>IFERROR(VLOOKUP(G570,WholesaleExtract!B:J,9,FALSE),"")</f>
        <v/>
      </c>
      <c r="F570" s="26" t="str">
        <f>IFERROR(VLOOKUP(G570,WholesaleExtract!B:J,6,FALSE),"")</f>
        <v/>
      </c>
      <c r="G570" s="48"/>
      <c r="H570" s="47" t="str">
        <f>IFERROR(VLOOKUP(G570,WholesaleExtract!B:L,11,FALSE),"")</f>
        <v/>
      </c>
      <c r="I570" s="26" t="str">
        <f>IFERROR(VLOOKUP(G570,WholesaleExtract!B:O,8,FALSE),"")</f>
        <v/>
      </c>
      <c r="J570" s="26" t="str">
        <f>IFERROR(VLOOKUP(G570,WholesaleExtract!B:O,14,FALSE),"")</f>
        <v/>
      </c>
      <c r="K570" s="26" t="str">
        <f>IFERROR(VLOOKUP(G570,WholesaleExtract!B:K,10,FALSE),"")</f>
        <v/>
      </c>
      <c r="L570" s="47" t="str">
        <f>IFERROR(VLOOKUP(G570,WholesaleExtract!B:L,11,FALSE),"")</f>
        <v/>
      </c>
      <c r="M570" s="47" t="str">
        <f>IFERROR(VLOOKUP(G570,WholesaleExtract!B:M,12,FALSE),"")</f>
        <v/>
      </c>
      <c r="N570" s="27"/>
      <c r="O570" s="19"/>
      <c r="P570" s="19"/>
      <c r="Q570" s="47"/>
      <c r="R570" s="19"/>
      <c r="S570" s="19"/>
    </row>
    <row r="571" spans="1:19" x14ac:dyDescent="0.35">
      <c r="A571" s="26" t="s">
        <v>543</v>
      </c>
      <c r="B571" s="26" t="s">
        <v>543</v>
      </c>
      <c r="C571" s="26"/>
      <c r="D571" s="26" t="s">
        <v>543</v>
      </c>
      <c r="E571" s="26" t="str">
        <f>IFERROR(VLOOKUP(G571,WholesaleExtract!B:J,9,FALSE),"")</f>
        <v/>
      </c>
      <c r="F571" s="26" t="str">
        <f>IFERROR(VLOOKUP(G571,WholesaleExtract!B:J,6,FALSE),"")</f>
        <v/>
      </c>
      <c r="G571" s="48"/>
      <c r="H571" s="47" t="str">
        <f>IFERROR(VLOOKUP(G571,WholesaleExtract!B:L,11,FALSE),"")</f>
        <v/>
      </c>
      <c r="I571" s="26" t="str">
        <f>IFERROR(VLOOKUP(G571,WholesaleExtract!B:O,8,FALSE),"")</f>
        <v/>
      </c>
      <c r="J571" s="26" t="str">
        <f>IFERROR(VLOOKUP(G571,WholesaleExtract!B:O,14,FALSE),"")</f>
        <v/>
      </c>
      <c r="K571" s="26" t="str">
        <f>IFERROR(VLOOKUP(G571,WholesaleExtract!B:K,10,FALSE),"")</f>
        <v/>
      </c>
      <c r="L571" s="47" t="str">
        <f>IFERROR(VLOOKUP(G571,WholesaleExtract!B:L,11,FALSE),"")</f>
        <v/>
      </c>
      <c r="M571" s="47" t="str">
        <f>IFERROR(VLOOKUP(G571,WholesaleExtract!B:M,12,FALSE),"")</f>
        <v/>
      </c>
      <c r="N571" s="27"/>
      <c r="O571" s="19"/>
      <c r="P571" s="19"/>
      <c r="Q571" s="47"/>
      <c r="R571" s="19"/>
      <c r="S571" s="19"/>
    </row>
    <row r="572" spans="1:19" x14ac:dyDescent="0.35">
      <c r="A572" s="26" t="s">
        <v>543</v>
      </c>
      <c r="B572" s="26" t="s">
        <v>543</v>
      </c>
      <c r="C572" s="26"/>
      <c r="D572" s="26" t="s">
        <v>543</v>
      </c>
      <c r="E572" s="26" t="str">
        <f>IFERROR(VLOOKUP(G572,WholesaleExtract!B:J,9,FALSE),"")</f>
        <v/>
      </c>
      <c r="F572" s="26" t="str">
        <f>IFERROR(VLOOKUP(G572,WholesaleExtract!B:J,6,FALSE),"")</f>
        <v/>
      </c>
      <c r="G572" s="48"/>
      <c r="H572" s="47" t="str">
        <f>IFERROR(VLOOKUP(G572,WholesaleExtract!B:L,11,FALSE),"")</f>
        <v/>
      </c>
      <c r="I572" s="26" t="str">
        <f>IFERROR(VLOOKUP(G572,WholesaleExtract!B:O,8,FALSE),"")</f>
        <v/>
      </c>
      <c r="J572" s="26" t="str">
        <f>IFERROR(VLOOKUP(G572,WholesaleExtract!B:O,14,FALSE),"")</f>
        <v/>
      </c>
      <c r="K572" s="26" t="str">
        <f>IFERROR(VLOOKUP(G572,WholesaleExtract!B:K,10,FALSE),"")</f>
        <v/>
      </c>
      <c r="L572" s="47" t="str">
        <f>IFERROR(VLOOKUP(G572,WholesaleExtract!B:L,11,FALSE),"")</f>
        <v/>
      </c>
      <c r="M572" s="47" t="str">
        <f>IFERROR(VLOOKUP(G572,WholesaleExtract!B:M,12,FALSE),"")</f>
        <v/>
      </c>
      <c r="N572" s="27"/>
      <c r="O572" s="19"/>
      <c r="P572" s="19"/>
      <c r="Q572" s="47"/>
      <c r="R572" s="19"/>
      <c r="S572" s="19"/>
    </row>
    <row r="573" spans="1:19" x14ac:dyDescent="0.35">
      <c r="A573" s="26" t="s">
        <v>543</v>
      </c>
      <c r="B573" s="26" t="s">
        <v>543</v>
      </c>
      <c r="C573" s="26"/>
      <c r="D573" s="26" t="s">
        <v>543</v>
      </c>
      <c r="E573" s="26" t="str">
        <f>IFERROR(VLOOKUP(G573,WholesaleExtract!B:J,9,FALSE),"")</f>
        <v/>
      </c>
      <c r="F573" s="26" t="str">
        <f>IFERROR(VLOOKUP(G573,WholesaleExtract!B:J,6,FALSE),"")</f>
        <v/>
      </c>
      <c r="G573" s="48"/>
      <c r="H573" s="47" t="str">
        <f>IFERROR(VLOOKUP(G573,WholesaleExtract!B:L,11,FALSE),"")</f>
        <v/>
      </c>
      <c r="I573" s="26" t="str">
        <f>IFERROR(VLOOKUP(G573,WholesaleExtract!B:O,8,FALSE),"")</f>
        <v/>
      </c>
      <c r="J573" s="26" t="str">
        <f>IFERROR(VLOOKUP(G573,WholesaleExtract!B:O,14,FALSE),"")</f>
        <v/>
      </c>
      <c r="K573" s="26" t="str">
        <f>IFERROR(VLOOKUP(G573,WholesaleExtract!B:K,10,FALSE),"")</f>
        <v/>
      </c>
      <c r="L573" s="47" t="str">
        <f>IFERROR(VLOOKUP(G573,WholesaleExtract!B:L,11,FALSE),"")</f>
        <v/>
      </c>
      <c r="M573" s="47" t="str">
        <f>IFERROR(VLOOKUP(G573,WholesaleExtract!B:M,12,FALSE),"")</f>
        <v/>
      </c>
      <c r="N573" s="27"/>
      <c r="O573" s="19"/>
      <c r="P573" s="19"/>
      <c r="Q573" s="47"/>
      <c r="R573" s="19"/>
      <c r="S573" s="19"/>
    </row>
    <row r="574" spans="1:19" x14ac:dyDescent="0.35">
      <c r="A574" s="26" t="s">
        <v>543</v>
      </c>
      <c r="B574" s="26" t="s">
        <v>543</v>
      </c>
      <c r="C574" s="26"/>
      <c r="D574" s="26" t="s">
        <v>543</v>
      </c>
      <c r="E574" s="26" t="str">
        <f>IFERROR(VLOOKUP(G574,WholesaleExtract!B:J,9,FALSE),"")</f>
        <v/>
      </c>
      <c r="F574" s="26" t="str">
        <f>IFERROR(VLOOKUP(G574,WholesaleExtract!B:J,6,FALSE),"")</f>
        <v/>
      </c>
      <c r="G574" s="48"/>
      <c r="H574" s="47" t="str">
        <f>IFERROR(VLOOKUP(G574,WholesaleExtract!B:L,11,FALSE),"")</f>
        <v/>
      </c>
      <c r="I574" s="26" t="str">
        <f>IFERROR(VLOOKUP(G574,WholesaleExtract!B:O,8,FALSE),"")</f>
        <v/>
      </c>
      <c r="J574" s="26" t="str">
        <f>IFERROR(VLOOKUP(G574,WholesaleExtract!B:O,14,FALSE),"")</f>
        <v/>
      </c>
      <c r="K574" s="26" t="str">
        <f>IFERROR(VLOOKUP(G574,WholesaleExtract!B:K,10,FALSE),"")</f>
        <v/>
      </c>
      <c r="L574" s="47" t="str">
        <f>IFERROR(VLOOKUP(G574,WholesaleExtract!B:L,11,FALSE),"")</f>
        <v/>
      </c>
      <c r="M574" s="47" t="str">
        <f>IFERROR(VLOOKUP(G574,WholesaleExtract!B:M,12,FALSE),"")</f>
        <v/>
      </c>
      <c r="N574" s="27"/>
      <c r="O574" s="19"/>
      <c r="P574" s="19"/>
      <c r="Q574" s="47"/>
      <c r="R574" s="19"/>
      <c r="S574" s="19"/>
    </row>
    <row r="575" spans="1:19" x14ac:dyDescent="0.35">
      <c r="A575" s="26" t="s">
        <v>543</v>
      </c>
      <c r="B575" s="26" t="s">
        <v>543</v>
      </c>
      <c r="C575" s="26"/>
      <c r="D575" s="26" t="s">
        <v>543</v>
      </c>
      <c r="E575" s="26" t="str">
        <f>IFERROR(VLOOKUP(G575,WholesaleExtract!B:J,9,FALSE),"")</f>
        <v/>
      </c>
      <c r="F575" s="26" t="str">
        <f>IFERROR(VLOOKUP(G575,WholesaleExtract!B:J,6,FALSE),"")</f>
        <v/>
      </c>
      <c r="G575" s="48"/>
      <c r="H575" s="47" t="str">
        <f>IFERROR(VLOOKUP(G575,WholesaleExtract!B:L,11,FALSE),"")</f>
        <v/>
      </c>
      <c r="I575" s="26" t="str">
        <f>IFERROR(VLOOKUP(G575,WholesaleExtract!B:O,8,FALSE),"")</f>
        <v/>
      </c>
      <c r="J575" s="26" t="str">
        <f>IFERROR(VLOOKUP(G575,WholesaleExtract!B:O,14,FALSE),"")</f>
        <v/>
      </c>
      <c r="K575" s="26" t="str">
        <f>IFERROR(VLOOKUP(G575,WholesaleExtract!B:K,10,FALSE),"")</f>
        <v/>
      </c>
      <c r="L575" s="47" t="str">
        <f>IFERROR(VLOOKUP(G575,WholesaleExtract!B:L,11,FALSE),"")</f>
        <v/>
      </c>
      <c r="M575" s="47" t="str">
        <f>IFERROR(VLOOKUP(G575,WholesaleExtract!B:M,12,FALSE),"")</f>
        <v/>
      </c>
      <c r="N575" s="27"/>
      <c r="O575" s="19"/>
      <c r="P575" s="19"/>
      <c r="Q575" s="47"/>
      <c r="R575" s="19"/>
      <c r="S575" s="19"/>
    </row>
    <row r="576" spans="1:19" x14ac:dyDescent="0.35">
      <c r="A576" s="26" t="s">
        <v>543</v>
      </c>
      <c r="B576" s="26" t="s">
        <v>543</v>
      </c>
      <c r="C576" s="26"/>
      <c r="D576" s="26" t="s">
        <v>543</v>
      </c>
      <c r="E576" s="26" t="str">
        <f>IFERROR(VLOOKUP(G576,WholesaleExtract!B:J,9,FALSE),"")</f>
        <v/>
      </c>
      <c r="F576" s="26" t="str">
        <f>IFERROR(VLOOKUP(G576,WholesaleExtract!B:J,6,FALSE),"")</f>
        <v/>
      </c>
      <c r="G576" s="48"/>
      <c r="H576" s="47" t="str">
        <f>IFERROR(VLOOKUP(G576,WholesaleExtract!B:L,11,FALSE),"")</f>
        <v/>
      </c>
      <c r="I576" s="26" t="str">
        <f>IFERROR(VLOOKUP(G576,WholesaleExtract!B:O,8,FALSE),"")</f>
        <v/>
      </c>
      <c r="J576" s="26" t="str">
        <f>IFERROR(VLOOKUP(G576,WholesaleExtract!B:O,14,FALSE),"")</f>
        <v/>
      </c>
      <c r="K576" s="26" t="str">
        <f>IFERROR(VLOOKUP(G576,WholesaleExtract!B:K,10,FALSE),"")</f>
        <v/>
      </c>
      <c r="L576" s="47" t="str">
        <f>IFERROR(VLOOKUP(G576,WholesaleExtract!B:L,11,FALSE),"")</f>
        <v/>
      </c>
      <c r="M576" s="47" t="str">
        <f>IFERROR(VLOOKUP(G576,WholesaleExtract!B:M,12,FALSE),"")</f>
        <v/>
      </c>
      <c r="N576" s="27"/>
      <c r="O576" s="19"/>
      <c r="P576" s="19"/>
      <c r="Q576" s="47"/>
      <c r="R576" s="19"/>
      <c r="S576" s="19"/>
    </row>
    <row r="577" spans="1:19" x14ac:dyDescent="0.35">
      <c r="A577" s="26" t="s">
        <v>543</v>
      </c>
      <c r="B577" s="26" t="s">
        <v>543</v>
      </c>
      <c r="C577" s="26"/>
      <c r="D577" s="26" t="s">
        <v>543</v>
      </c>
      <c r="E577" s="26" t="str">
        <f>IFERROR(VLOOKUP(G577,WholesaleExtract!B:J,9,FALSE),"")</f>
        <v/>
      </c>
      <c r="F577" s="26" t="str">
        <f>IFERROR(VLOOKUP(G577,WholesaleExtract!B:J,6,FALSE),"")</f>
        <v/>
      </c>
      <c r="G577" s="48"/>
      <c r="H577" s="47" t="str">
        <f>IFERROR(VLOOKUP(G577,WholesaleExtract!B:L,11,FALSE),"")</f>
        <v/>
      </c>
      <c r="I577" s="26" t="str">
        <f>IFERROR(VLOOKUP(G577,WholesaleExtract!B:O,8,FALSE),"")</f>
        <v/>
      </c>
      <c r="J577" s="26" t="str">
        <f>IFERROR(VLOOKUP(G577,WholesaleExtract!B:O,14,FALSE),"")</f>
        <v/>
      </c>
      <c r="K577" s="26" t="str">
        <f>IFERROR(VLOOKUP(G577,WholesaleExtract!B:K,10,FALSE),"")</f>
        <v/>
      </c>
      <c r="L577" s="47" t="str">
        <f>IFERROR(VLOOKUP(G577,WholesaleExtract!B:L,11,FALSE),"")</f>
        <v/>
      </c>
      <c r="M577" s="47" t="str">
        <f>IFERROR(VLOOKUP(G577,WholesaleExtract!B:M,12,FALSE),"")</f>
        <v/>
      </c>
      <c r="N577" s="27"/>
      <c r="O577" s="19"/>
      <c r="P577" s="19"/>
      <c r="Q577" s="47"/>
      <c r="R577" s="19"/>
      <c r="S577" s="19"/>
    </row>
    <row r="578" spans="1:19" x14ac:dyDescent="0.35">
      <c r="A578" s="26" t="s">
        <v>543</v>
      </c>
      <c r="B578" s="26" t="s">
        <v>543</v>
      </c>
      <c r="C578" s="26"/>
      <c r="D578" s="26" t="s">
        <v>543</v>
      </c>
      <c r="E578" s="26" t="str">
        <f>IFERROR(VLOOKUP(G578,WholesaleExtract!B:J,9,FALSE),"")</f>
        <v/>
      </c>
      <c r="F578" s="26" t="str">
        <f>IFERROR(VLOOKUP(G578,WholesaleExtract!B:J,6,FALSE),"")</f>
        <v/>
      </c>
      <c r="G578" s="48"/>
      <c r="H578" s="47" t="str">
        <f>IFERROR(VLOOKUP(G578,WholesaleExtract!B:L,11,FALSE),"")</f>
        <v/>
      </c>
      <c r="I578" s="26" t="str">
        <f>IFERROR(VLOOKUP(G578,WholesaleExtract!B:O,8,FALSE),"")</f>
        <v/>
      </c>
      <c r="J578" s="26" t="str">
        <f>IFERROR(VLOOKUP(G578,WholesaleExtract!B:O,14,FALSE),"")</f>
        <v/>
      </c>
      <c r="K578" s="26" t="str">
        <f>IFERROR(VLOOKUP(G578,WholesaleExtract!B:K,10,FALSE),"")</f>
        <v/>
      </c>
      <c r="L578" s="47" t="str">
        <f>IFERROR(VLOOKUP(G578,WholesaleExtract!B:L,11,FALSE),"")</f>
        <v/>
      </c>
      <c r="M578" s="47" t="str">
        <f>IFERROR(VLOOKUP(G578,WholesaleExtract!B:M,12,FALSE),"")</f>
        <v/>
      </c>
      <c r="N578" s="27"/>
      <c r="O578" s="19"/>
      <c r="P578" s="19"/>
      <c r="Q578" s="47"/>
      <c r="R578" s="19"/>
      <c r="S578" s="19"/>
    </row>
    <row r="579" spans="1:19" x14ac:dyDescent="0.35">
      <c r="A579" s="26" t="s">
        <v>543</v>
      </c>
      <c r="B579" s="26" t="s">
        <v>543</v>
      </c>
      <c r="C579" s="26"/>
      <c r="D579" s="26" t="s">
        <v>543</v>
      </c>
      <c r="E579" s="26" t="str">
        <f>IFERROR(VLOOKUP(G579,WholesaleExtract!B:J,9,FALSE),"")</f>
        <v/>
      </c>
      <c r="F579" s="26" t="str">
        <f>IFERROR(VLOOKUP(G579,WholesaleExtract!B:J,6,FALSE),"")</f>
        <v/>
      </c>
      <c r="G579" s="48"/>
      <c r="H579" s="47" t="str">
        <f>IFERROR(VLOOKUP(G579,WholesaleExtract!B:L,11,FALSE),"")</f>
        <v/>
      </c>
      <c r="I579" s="26" t="str">
        <f>IFERROR(VLOOKUP(G579,WholesaleExtract!B:O,8,FALSE),"")</f>
        <v/>
      </c>
      <c r="J579" s="26" t="str">
        <f>IFERROR(VLOOKUP(G579,WholesaleExtract!B:O,14,FALSE),"")</f>
        <v/>
      </c>
      <c r="K579" s="26" t="str">
        <f>IFERROR(VLOOKUP(G579,WholesaleExtract!B:K,10,FALSE),"")</f>
        <v/>
      </c>
      <c r="L579" s="47" t="str">
        <f>IFERROR(VLOOKUP(G579,WholesaleExtract!B:L,11,FALSE),"")</f>
        <v/>
      </c>
      <c r="M579" s="47" t="str">
        <f>IFERROR(VLOOKUP(G579,WholesaleExtract!B:M,12,FALSE),"")</f>
        <v/>
      </c>
      <c r="N579" s="27"/>
      <c r="O579" s="19"/>
      <c r="P579" s="19"/>
      <c r="Q579" s="47"/>
      <c r="R579" s="19"/>
      <c r="S579" s="19"/>
    </row>
    <row r="580" spans="1:19" x14ac:dyDescent="0.35">
      <c r="A580" s="26" t="s">
        <v>543</v>
      </c>
      <c r="B580" s="26" t="s">
        <v>543</v>
      </c>
      <c r="C580" s="26"/>
      <c r="D580" s="26" t="s">
        <v>543</v>
      </c>
      <c r="E580" s="26" t="str">
        <f>IFERROR(VLOOKUP(G580,WholesaleExtract!B:J,9,FALSE),"")</f>
        <v/>
      </c>
      <c r="F580" s="26" t="str">
        <f>IFERROR(VLOOKUP(G580,WholesaleExtract!B:J,6,FALSE),"")</f>
        <v/>
      </c>
      <c r="G580" s="48"/>
      <c r="H580" s="47" t="str">
        <f>IFERROR(VLOOKUP(G580,WholesaleExtract!B:L,11,FALSE),"")</f>
        <v/>
      </c>
      <c r="I580" s="26" t="str">
        <f>IFERROR(VLOOKUP(G580,WholesaleExtract!B:O,8,FALSE),"")</f>
        <v/>
      </c>
      <c r="J580" s="26" t="str">
        <f>IFERROR(VLOOKUP(G580,WholesaleExtract!B:O,14,FALSE),"")</f>
        <v/>
      </c>
      <c r="K580" s="26" t="str">
        <f>IFERROR(VLOOKUP(G580,WholesaleExtract!B:K,10,FALSE),"")</f>
        <v/>
      </c>
      <c r="L580" s="47" t="str">
        <f>IFERROR(VLOOKUP(G580,WholesaleExtract!B:L,11,FALSE),"")</f>
        <v/>
      </c>
      <c r="M580" s="47" t="str">
        <f>IFERROR(VLOOKUP(G580,WholesaleExtract!B:M,12,FALSE),"")</f>
        <v/>
      </c>
      <c r="N580" s="27"/>
      <c r="O580" s="19"/>
      <c r="P580" s="19"/>
      <c r="Q580" s="47"/>
      <c r="R580" s="19"/>
      <c r="S580" s="19"/>
    </row>
    <row r="581" spans="1:19" x14ac:dyDescent="0.35">
      <c r="A581" s="26" t="s">
        <v>543</v>
      </c>
      <c r="B581" s="26" t="s">
        <v>543</v>
      </c>
      <c r="C581" s="26"/>
      <c r="D581" s="26" t="s">
        <v>543</v>
      </c>
      <c r="E581" s="26" t="str">
        <f>IFERROR(VLOOKUP(G581,WholesaleExtract!B:J,9,FALSE),"")</f>
        <v/>
      </c>
      <c r="F581" s="26" t="str">
        <f>IFERROR(VLOOKUP(G581,WholesaleExtract!B:J,6,FALSE),"")</f>
        <v/>
      </c>
      <c r="G581" s="48"/>
      <c r="H581" s="47" t="str">
        <f>IFERROR(VLOOKUP(G581,WholesaleExtract!B:L,11,FALSE),"")</f>
        <v/>
      </c>
      <c r="I581" s="26" t="str">
        <f>IFERROR(VLOOKUP(G581,WholesaleExtract!B:O,8,FALSE),"")</f>
        <v/>
      </c>
      <c r="J581" s="26" t="str">
        <f>IFERROR(VLOOKUP(G581,WholesaleExtract!B:O,14,FALSE),"")</f>
        <v/>
      </c>
      <c r="K581" s="26" t="str">
        <f>IFERROR(VLOOKUP(G581,WholesaleExtract!B:K,10,FALSE),"")</f>
        <v/>
      </c>
      <c r="L581" s="47" t="str">
        <f>IFERROR(VLOOKUP(G581,WholesaleExtract!B:L,11,FALSE),"")</f>
        <v/>
      </c>
      <c r="M581" s="47" t="str">
        <f>IFERROR(VLOOKUP(G581,WholesaleExtract!B:M,12,FALSE),"")</f>
        <v/>
      </c>
      <c r="N581" s="27"/>
      <c r="O581" s="19"/>
      <c r="P581" s="19"/>
      <c r="Q581" s="47"/>
      <c r="R581" s="19"/>
      <c r="S581" s="19"/>
    </row>
    <row r="582" spans="1:19" x14ac:dyDescent="0.35">
      <c r="A582" s="26" t="s">
        <v>543</v>
      </c>
      <c r="B582" s="26" t="s">
        <v>543</v>
      </c>
      <c r="C582" s="26"/>
      <c r="D582" s="26" t="s">
        <v>543</v>
      </c>
      <c r="E582" s="26" t="str">
        <f>IFERROR(VLOOKUP(G582,WholesaleExtract!B:J,9,FALSE),"")</f>
        <v/>
      </c>
      <c r="F582" s="26" t="str">
        <f>IFERROR(VLOOKUP(G582,WholesaleExtract!B:J,6,FALSE),"")</f>
        <v/>
      </c>
      <c r="G582" s="48"/>
      <c r="H582" s="47" t="str">
        <f>IFERROR(VLOOKUP(G582,WholesaleExtract!B:L,11,FALSE),"")</f>
        <v/>
      </c>
      <c r="I582" s="26" t="str">
        <f>IFERROR(VLOOKUP(G582,WholesaleExtract!B:O,8,FALSE),"")</f>
        <v/>
      </c>
      <c r="J582" s="26" t="str">
        <f>IFERROR(VLOOKUP(G582,WholesaleExtract!B:O,14,FALSE),"")</f>
        <v/>
      </c>
      <c r="K582" s="26" t="str">
        <f>IFERROR(VLOOKUP(G582,WholesaleExtract!B:K,10,FALSE),"")</f>
        <v/>
      </c>
      <c r="L582" s="47" t="str">
        <f>IFERROR(VLOOKUP(G582,WholesaleExtract!B:L,11,FALSE),"")</f>
        <v/>
      </c>
      <c r="M582" s="47" t="str">
        <f>IFERROR(VLOOKUP(G582,WholesaleExtract!B:M,12,FALSE),"")</f>
        <v/>
      </c>
      <c r="N582" s="27"/>
      <c r="O582" s="19"/>
      <c r="P582" s="19"/>
      <c r="Q582" s="47"/>
      <c r="R582" s="19"/>
      <c r="S582" s="19"/>
    </row>
    <row r="583" spans="1:19" x14ac:dyDescent="0.35">
      <c r="A583" s="26" t="s">
        <v>543</v>
      </c>
      <c r="B583" s="26" t="s">
        <v>543</v>
      </c>
      <c r="C583" s="26"/>
      <c r="D583" s="26" t="s">
        <v>543</v>
      </c>
      <c r="E583" s="26" t="str">
        <f>IFERROR(VLOOKUP(G583,WholesaleExtract!B:J,9,FALSE),"")</f>
        <v/>
      </c>
      <c r="F583" s="26" t="str">
        <f>IFERROR(VLOOKUP(G583,WholesaleExtract!B:J,6,FALSE),"")</f>
        <v/>
      </c>
      <c r="G583" s="48"/>
      <c r="H583" s="47" t="str">
        <f>IFERROR(VLOOKUP(G583,WholesaleExtract!B:L,11,FALSE),"")</f>
        <v/>
      </c>
      <c r="I583" s="26" t="str">
        <f>IFERROR(VLOOKUP(G583,WholesaleExtract!B:O,8,FALSE),"")</f>
        <v/>
      </c>
      <c r="J583" s="26" t="str">
        <f>IFERROR(VLOOKUP(G583,WholesaleExtract!B:O,14,FALSE),"")</f>
        <v/>
      </c>
      <c r="K583" s="26" t="str">
        <f>IFERROR(VLOOKUP(G583,WholesaleExtract!B:K,10,FALSE),"")</f>
        <v/>
      </c>
      <c r="L583" s="47" t="str">
        <f>IFERROR(VLOOKUP(G583,WholesaleExtract!B:L,11,FALSE),"")</f>
        <v/>
      </c>
      <c r="M583" s="47" t="str">
        <f>IFERROR(VLOOKUP(G583,WholesaleExtract!B:M,12,FALSE),"")</f>
        <v/>
      </c>
      <c r="N583" s="27"/>
      <c r="O583" s="19"/>
      <c r="P583" s="19"/>
      <c r="Q583" s="47"/>
      <c r="R583" s="19"/>
      <c r="S583" s="19"/>
    </row>
    <row r="584" spans="1:19" x14ac:dyDescent="0.35">
      <c r="A584" s="26" t="s">
        <v>543</v>
      </c>
      <c r="B584" s="26" t="s">
        <v>543</v>
      </c>
      <c r="C584" s="26"/>
      <c r="D584" s="26" t="s">
        <v>543</v>
      </c>
      <c r="E584" s="26" t="str">
        <f>IFERROR(VLOOKUP(G584,WholesaleExtract!B:J,9,FALSE),"")</f>
        <v/>
      </c>
      <c r="F584" s="26" t="str">
        <f>IFERROR(VLOOKUP(G584,WholesaleExtract!B:J,6,FALSE),"")</f>
        <v/>
      </c>
      <c r="G584" s="48"/>
      <c r="H584" s="47" t="str">
        <f>IFERROR(VLOOKUP(G584,WholesaleExtract!B:L,11,FALSE),"")</f>
        <v/>
      </c>
      <c r="I584" s="26" t="str">
        <f>IFERROR(VLOOKUP(G584,WholesaleExtract!B:O,8,FALSE),"")</f>
        <v/>
      </c>
      <c r="J584" s="26" t="str">
        <f>IFERROR(VLOOKUP(G584,WholesaleExtract!B:O,14,FALSE),"")</f>
        <v/>
      </c>
      <c r="K584" s="26" t="str">
        <f>IFERROR(VLOOKUP(G584,WholesaleExtract!B:K,10,FALSE),"")</f>
        <v/>
      </c>
      <c r="L584" s="47" t="str">
        <f>IFERROR(VLOOKUP(G584,WholesaleExtract!B:L,11,FALSE),"")</f>
        <v/>
      </c>
      <c r="M584" s="47" t="str">
        <f>IFERROR(VLOOKUP(G584,WholesaleExtract!B:M,12,FALSE),"")</f>
        <v/>
      </c>
      <c r="N584" s="27"/>
      <c r="O584" s="19"/>
      <c r="P584" s="19"/>
      <c r="Q584" s="47"/>
      <c r="R584" s="19"/>
      <c r="S584" s="19"/>
    </row>
    <row r="585" spans="1:19" x14ac:dyDescent="0.35">
      <c r="A585" s="26" t="s">
        <v>543</v>
      </c>
      <c r="B585" s="26" t="s">
        <v>543</v>
      </c>
      <c r="C585" s="26"/>
      <c r="D585" s="26" t="s">
        <v>543</v>
      </c>
      <c r="E585" s="26" t="str">
        <f>IFERROR(VLOOKUP(G585,WholesaleExtract!B:J,9,FALSE),"")</f>
        <v/>
      </c>
      <c r="F585" s="26" t="str">
        <f>IFERROR(VLOOKUP(G585,WholesaleExtract!B:J,6,FALSE),"")</f>
        <v/>
      </c>
      <c r="G585" s="48"/>
      <c r="H585" s="47" t="str">
        <f>IFERROR(VLOOKUP(G585,WholesaleExtract!B:L,11,FALSE),"")</f>
        <v/>
      </c>
      <c r="I585" s="26" t="str">
        <f>IFERROR(VLOOKUP(G585,WholesaleExtract!B:O,8,FALSE),"")</f>
        <v/>
      </c>
      <c r="J585" s="26" t="str">
        <f>IFERROR(VLOOKUP(G585,WholesaleExtract!B:O,14,FALSE),"")</f>
        <v/>
      </c>
      <c r="K585" s="26" t="str">
        <f>IFERROR(VLOOKUP(G585,WholesaleExtract!B:K,10,FALSE),"")</f>
        <v/>
      </c>
      <c r="L585" s="47" t="str">
        <f>IFERROR(VLOOKUP(G585,WholesaleExtract!B:L,11,FALSE),"")</f>
        <v/>
      </c>
      <c r="M585" s="47" t="str">
        <f>IFERROR(VLOOKUP(G585,WholesaleExtract!B:M,12,FALSE),"")</f>
        <v/>
      </c>
      <c r="N585" s="27"/>
      <c r="O585" s="19"/>
      <c r="P585" s="19"/>
      <c r="Q585" s="47"/>
      <c r="R585" s="19"/>
      <c r="S585" s="19"/>
    </row>
    <row r="586" spans="1:19" x14ac:dyDescent="0.35">
      <c r="A586" s="26" t="s">
        <v>543</v>
      </c>
      <c r="B586" s="26" t="s">
        <v>543</v>
      </c>
      <c r="C586" s="26"/>
      <c r="D586" s="26" t="s">
        <v>543</v>
      </c>
      <c r="E586" s="26" t="str">
        <f>IFERROR(VLOOKUP(G586,WholesaleExtract!B:J,9,FALSE),"")</f>
        <v/>
      </c>
      <c r="F586" s="26" t="str">
        <f>IFERROR(VLOOKUP(G586,WholesaleExtract!B:J,6,FALSE),"")</f>
        <v/>
      </c>
      <c r="G586" s="48"/>
      <c r="H586" s="47" t="str">
        <f>IFERROR(VLOOKUP(G586,WholesaleExtract!B:L,11,FALSE),"")</f>
        <v/>
      </c>
      <c r="I586" s="26" t="str">
        <f>IFERROR(VLOOKUP(G586,WholesaleExtract!B:O,8,FALSE),"")</f>
        <v/>
      </c>
      <c r="J586" s="26" t="str">
        <f>IFERROR(VLOOKUP(G586,WholesaleExtract!B:O,14,FALSE),"")</f>
        <v/>
      </c>
      <c r="K586" s="26" t="str">
        <f>IFERROR(VLOOKUP(G586,WholesaleExtract!B:K,10,FALSE),"")</f>
        <v/>
      </c>
      <c r="L586" s="47" t="str">
        <f>IFERROR(VLOOKUP(G586,WholesaleExtract!B:L,11,FALSE),"")</f>
        <v/>
      </c>
      <c r="M586" s="47" t="str">
        <f>IFERROR(VLOOKUP(G586,WholesaleExtract!B:M,12,FALSE),"")</f>
        <v/>
      </c>
      <c r="N586" s="27"/>
      <c r="O586" s="19"/>
      <c r="P586" s="19"/>
      <c r="Q586" s="47"/>
      <c r="R586" s="19"/>
      <c r="S586" s="19"/>
    </row>
    <row r="587" spans="1:19" x14ac:dyDescent="0.35">
      <c r="A587" s="26" t="s">
        <v>543</v>
      </c>
      <c r="B587" s="26" t="s">
        <v>543</v>
      </c>
      <c r="C587" s="26"/>
      <c r="D587" s="26" t="s">
        <v>543</v>
      </c>
      <c r="E587" s="26" t="str">
        <f>IFERROR(VLOOKUP(G587,WholesaleExtract!B:J,9,FALSE),"")</f>
        <v/>
      </c>
      <c r="F587" s="26" t="str">
        <f>IFERROR(VLOOKUP(G587,WholesaleExtract!B:J,6,FALSE),"")</f>
        <v/>
      </c>
      <c r="G587" s="48"/>
      <c r="H587" s="47" t="str">
        <f>IFERROR(VLOOKUP(G587,WholesaleExtract!B:L,11,FALSE),"")</f>
        <v/>
      </c>
      <c r="I587" s="26" t="str">
        <f>IFERROR(VLOOKUP(G587,WholesaleExtract!B:O,8,FALSE),"")</f>
        <v/>
      </c>
      <c r="J587" s="26" t="str">
        <f>IFERROR(VLOOKUP(G587,WholesaleExtract!B:O,14,FALSE),"")</f>
        <v/>
      </c>
      <c r="K587" s="26" t="str">
        <f>IFERROR(VLOOKUP(G587,WholesaleExtract!B:K,10,FALSE),"")</f>
        <v/>
      </c>
      <c r="L587" s="47" t="str">
        <f>IFERROR(VLOOKUP(G587,WholesaleExtract!B:L,11,FALSE),"")</f>
        <v/>
      </c>
      <c r="M587" s="47" t="str">
        <f>IFERROR(VLOOKUP(G587,WholesaleExtract!B:M,12,FALSE),"")</f>
        <v/>
      </c>
      <c r="N587" s="27"/>
      <c r="O587" s="19"/>
      <c r="P587" s="19"/>
      <c r="Q587" s="47"/>
      <c r="R587" s="19"/>
      <c r="S587" s="19"/>
    </row>
    <row r="588" spans="1:19" x14ac:dyDescent="0.35">
      <c r="A588" s="26" t="s">
        <v>543</v>
      </c>
      <c r="B588" s="26" t="s">
        <v>543</v>
      </c>
      <c r="C588" s="26"/>
      <c r="D588" s="26" t="s">
        <v>543</v>
      </c>
      <c r="E588" s="26" t="str">
        <f>IFERROR(VLOOKUP(G588,WholesaleExtract!B:J,9,FALSE),"")</f>
        <v/>
      </c>
      <c r="F588" s="26" t="str">
        <f>IFERROR(VLOOKUP(G588,WholesaleExtract!B:J,6,FALSE),"")</f>
        <v/>
      </c>
      <c r="G588" s="48"/>
      <c r="H588" s="47" t="str">
        <f>IFERROR(VLOOKUP(G588,WholesaleExtract!B:L,11,FALSE),"")</f>
        <v/>
      </c>
      <c r="I588" s="26" t="str">
        <f>IFERROR(VLOOKUP(G588,WholesaleExtract!B:O,8,FALSE),"")</f>
        <v/>
      </c>
      <c r="J588" s="26" t="str">
        <f>IFERROR(VLOOKUP(G588,WholesaleExtract!B:O,14,FALSE),"")</f>
        <v/>
      </c>
      <c r="K588" s="26" t="str">
        <f>IFERROR(VLOOKUP(G588,WholesaleExtract!B:K,10,FALSE),"")</f>
        <v/>
      </c>
      <c r="L588" s="47" t="str">
        <f>IFERROR(VLOOKUP(G588,WholesaleExtract!B:L,11,FALSE),"")</f>
        <v/>
      </c>
      <c r="M588" s="47" t="str">
        <f>IFERROR(VLOOKUP(G588,WholesaleExtract!B:M,12,FALSE),"")</f>
        <v/>
      </c>
      <c r="N588" s="27"/>
      <c r="O588" s="19"/>
      <c r="P588" s="19"/>
      <c r="Q588" s="47"/>
      <c r="R588" s="19"/>
      <c r="S588" s="19"/>
    </row>
    <row r="589" spans="1:19" x14ac:dyDescent="0.35">
      <c r="A589" s="26" t="s">
        <v>543</v>
      </c>
      <c r="B589" s="26" t="s">
        <v>543</v>
      </c>
      <c r="C589" s="26"/>
      <c r="D589" s="26" t="s">
        <v>543</v>
      </c>
      <c r="E589" s="26" t="str">
        <f>IFERROR(VLOOKUP(G589,WholesaleExtract!B:J,9,FALSE),"")</f>
        <v/>
      </c>
      <c r="F589" s="26" t="str">
        <f>IFERROR(VLOOKUP(G589,WholesaleExtract!B:J,6,FALSE),"")</f>
        <v/>
      </c>
      <c r="G589" s="48"/>
      <c r="H589" s="47" t="str">
        <f>IFERROR(VLOOKUP(G589,WholesaleExtract!B:L,11,FALSE),"")</f>
        <v/>
      </c>
      <c r="I589" s="26" t="str">
        <f>IFERROR(VLOOKUP(G589,WholesaleExtract!B:O,8,FALSE),"")</f>
        <v/>
      </c>
      <c r="J589" s="26" t="str">
        <f>IFERROR(VLOOKUP(G589,WholesaleExtract!B:O,14,FALSE),"")</f>
        <v/>
      </c>
      <c r="K589" s="26" t="str">
        <f>IFERROR(VLOOKUP(G589,WholesaleExtract!B:K,10,FALSE),"")</f>
        <v/>
      </c>
      <c r="L589" s="47" t="str">
        <f>IFERROR(VLOOKUP(G589,WholesaleExtract!B:L,11,FALSE),"")</f>
        <v/>
      </c>
      <c r="M589" s="47" t="str">
        <f>IFERROR(VLOOKUP(G589,WholesaleExtract!B:M,12,FALSE),"")</f>
        <v/>
      </c>
      <c r="N589" s="27"/>
      <c r="O589" s="19"/>
      <c r="P589" s="19"/>
      <c r="Q589" s="47"/>
      <c r="R589" s="19"/>
      <c r="S589" s="19"/>
    </row>
    <row r="590" spans="1:19" x14ac:dyDescent="0.35">
      <c r="A590" s="26" t="s">
        <v>543</v>
      </c>
      <c r="B590" s="26" t="s">
        <v>543</v>
      </c>
      <c r="C590" s="26"/>
      <c r="D590" s="26" t="s">
        <v>543</v>
      </c>
      <c r="E590" s="26" t="str">
        <f>IFERROR(VLOOKUP(G590,WholesaleExtract!B:J,9,FALSE),"")</f>
        <v/>
      </c>
      <c r="F590" s="26" t="str">
        <f>IFERROR(VLOOKUP(G590,WholesaleExtract!B:J,6,FALSE),"")</f>
        <v/>
      </c>
      <c r="G590" s="48"/>
      <c r="H590" s="47" t="str">
        <f>IFERROR(VLOOKUP(G590,WholesaleExtract!B:L,11,FALSE),"")</f>
        <v/>
      </c>
      <c r="I590" s="26" t="str">
        <f>IFERROR(VLOOKUP(G590,WholesaleExtract!B:O,8,FALSE),"")</f>
        <v/>
      </c>
      <c r="J590" s="26" t="str">
        <f>IFERROR(VLOOKUP(G590,WholesaleExtract!B:O,14,FALSE),"")</f>
        <v/>
      </c>
      <c r="K590" s="26" t="str">
        <f>IFERROR(VLOOKUP(G590,WholesaleExtract!B:K,10,FALSE),"")</f>
        <v/>
      </c>
      <c r="L590" s="47" t="str">
        <f>IFERROR(VLOOKUP(G590,WholesaleExtract!B:L,11,FALSE),"")</f>
        <v/>
      </c>
      <c r="M590" s="47" t="str">
        <f>IFERROR(VLOOKUP(G590,WholesaleExtract!B:M,12,FALSE),"")</f>
        <v/>
      </c>
      <c r="N590" s="27"/>
      <c r="O590" s="19"/>
      <c r="P590" s="19"/>
      <c r="Q590" s="47"/>
      <c r="R590" s="19"/>
      <c r="S590" s="19"/>
    </row>
    <row r="591" spans="1:19" x14ac:dyDescent="0.35">
      <c r="A591" s="26" t="s">
        <v>543</v>
      </c>
      <c r="B591" s="26" t="s">
        <v>543</v>
      </c>
      <c r="C591" s="26"/>
      <c r="D591" s="26" t="s">
        <v>543</v>
      </c>
      <c r="E591" s="26" t="str">
        <f>IFERROR(VLOOKUP(G591,WholesaleExtract!B:J,9,FALSE),"")</f>
        <v/>
      </c>
      <c r="F591" s="26" t="str">
        <f>IFERROR(VLOOKUP(G591,WholesaleExtract!B:J,6,FALSE),"")</f>
        <v/>
      </c>
      <c r="G591" s="48"/>
      <c r="H591" s="47" t="str">
        <f>IFERROR(VLOOKUP(G591,WholesaleExtract!B:L,11,FALSE),"")</f>
        <v/>
      </c>
      <c r="I591" s="26" t="str">
        <f>IFERROR(VLOOKUP(G591,WholesaleExtract!B:O,8,FALSE),"")</f>
        <v/>
      </c>
      <c r="J591" s="26" t="str">
        <f>IFERROR(VLOOKUP(G591,WholesaleExtract!B:O,14,FALSE),"")</f>
        <v/>
      </c>
      <c r="K591" s="26" t="str">
        <f>IFERROR(VLOOKUP(G591,WholesaleExtract!B:K,10,FALSE),"")</f>
        <v/>
      </c>
      <c r="L591" s="47" t="str">
        <f>IFERROR(VLOOKUP(G591,WholesaleExtract!B:L,11,FALSE),"")</f>
        <v/>
      </c>
      <c r="M591" s="47" t="str">
        <f>IFERROR(VLOOKUP(G591,WholesaleExtract!B:M,12,FALSE),"")</f>
        <v/>
      </c>
      <c r="N591" s="27"/>
      <c r="O591" s="19"/>
      <c r="P591" s="19"/>
      <c r="Q591" s="47"/>
      <c r="R591" s="19"/>
      <c r="S591" s="19"/>
    </row>
    <row r="592" spans="1:19" x14ac:dyDescent="0.35">
      <c r="A592" s="26" t="s">
        <v>543</v>
      </c>
      <c r="B592" s="26" t="s">
        <v>543</v>
      </c>
      <c r="C592" s="26"/>
      <c r="D592" s="26" t="s">
        <v>543</v>
      </c>
      <c r="E592" s="26" t="str">
        <f>IFERROR(VLOOKUP(G592,WholesaleExtract!B:J,9,FALSE),"")</f>
        <v/>
      </c>
      <c r="F592" s="26" t="str">
        <f>IFERROR(VLOOKUP(G592,WholesaleExtract!B:J,6,FALSE),"")</f>
        <v/>
      </c>
      <c r="G592" s="48"/>
      <c r="H592" s="47" t="str">
        <f>IFERROR(VLOOKUP(G592,WholesaleExtract!B:L,11,FALSE),"")</f>
        <v/>
      </c>
      <c r="I592" s="26" t="str">
        <f>IFERROR(VLOOKUP(G592,WholesaleExtract!B:O,8,FALSE),"")</f>
        <v/>
      </c>
      <c r="J592" s="26" t="str">
        <f>IFERROR(VLOOKUP(G592,WholesaleExtract!B:O,14,FALSE),"")</f>
        <v/>
      </c>
      <c r="K592" s="26" t="str">
        <f>IFERROR(VLOOKUP(G592,WholesaleExtract!B:K,10,FALSE),"")</f>
        <v/>
      </c>
      <c r="L592" s="47" t="str">
        <f>IFERROR(VLOOKUP(G592,WholesaleExtract!B:L,11,FALSE),"")</f>
        <v/>
      </c>
      <c r="M592" s="47" t="str">
        <f>IFERROR(VLOOKUP(G592,WholesaleExtract!B:M,12,FALSE),"")</f>
        <v/>
      </c>
      <c r="N592" s="27"/>
      <c r="O592" s="19"/>
      <c r="P592" s="19"/>
      <c r="Q592" s="47"/>
      <c r="R592" s="19"/>
      <c r="S592" s="19"/>
    </row>
    <row r="593" spans="1:19" x14ac:dyDescent="0.35">
      <c r="A593" s="26" t="s">
        <v>543</v>
      </c>
      <c r="B593" s="26" t="s">
        <v>543</v>
      </c>
      <c r="C593" s="26"/>
      <c r="D593" s="26" t="s">
        <v>543</v>
      </c>
      <c r="E593" s="26" t="str">
        <f>IFERROR(VLOOKUP(G593,WholesaleExtract!B:J,9,FALSE),"")</f>
        <v/>
      </c>
      <c r="F593" s="26" t="str">
        <f>IFERROR(VLOOKUP(G593,WholesaleExtract!B:J,6,FALSE),"")</f>
        <v/>
      </c>
      <c r="G593" s="48"/>
      <c r="H593" s="47" t="str">
        <f>IFERROR(VLOOKUP(G593,WholesaleExtract!B:L,11,FALSE),"")</f>
        <v/>
      </c>
      <c r="I593" s="26" t="str">
        <f>IFERROR(VLOOKUP(G593,WholesaleExtract!B:O,8,FALSE),"")</f>
        <v/>
      </c>
      <c r="J593" s="26" t="str">
        <f>IFERROR(VLOOKUP(G593,WholesaleExtract!B:O,14,FALSE),"")</f>
        <v/>
      </c>
      <c r="K593" s="26" t="str">
        <f>IFERROR(VLOOKUP(G593,WholesaleExtract!B:K,10,FALSE),"")</f>
        <v/>
      </c>
      <c r="L593" s="47" t="str">
        <f>IFERROR(VLOOKUP(G593,WholesaleExtract!B:L,11,FALSE),"")</f>
        <v/>
      </c>
      <c r="M593" s="47" t="str">
        <f>IFERROR(VLOOKUP(G593,WholesaleExtract!B:M,12,FALSE),"")</f>
        <v/>
      </c>
      <c r="N593" s="27"/>
      <c r="O593" s="19"/>
      <c r="P593" s="19"/>
      <c r="Q593" s="47"/>
      <c r="R593" s="19"/>
      <c r="S593" s="19"/>
    </row>
    <row r="594" spans="1:19" x14ac:dyDescent="0.35">
      <c r="A594" s="26" t="s">
        <v>543</v>
      </c>
      <c r="B594" s="26" t="s">
        <v>543</v>
      </c>
      <c r="C594" s="26"/>
      <c r="D594" s="26" t="s">
        <v>543</v>
      </c>
      <c r="E594" s="26" t="str">
        <f>IFERROR(VLOOKUP(G594,WholesaleExtract!B:J,9,FALSE),"")</f>
        <v/>
      </c>
      <c r="F594" s="26" t="str">
        <f>IFERROR(VLOOKUP(G594,WholesaleExtract!B:J,6,FALSE),"")</f>
        <v/>
      </c>
      <c r="G594" s="48"/>
      <c r="H594" s="47" t="str">
        <f>IFERROR(VLOOKUP(G594,WholesaleExtract!B:L,11,FALSE),"")</f>
        <v/>
      </c>
      <c r="I594" s="26" t="str">
        <f>IFERROR(VLOOKUP(G594,WholesaleExtract!B:O,8,FALSE),"")</f>
        <v/>
      </c>
      <c r="J594" s="26" t="str">
        <f>IFERROR(VLOOKUP(G594,WholesaleExtract!B:O,14,FALSE),"")</f>
        <v/>
      </c>
      <c r="K594" s="26" t="str">
        <f>IFERROR(VLOOKUP(G594,WholesaleExtract!B:K,10,FALSE),"")</f>
        <v/>
      </c>
      <c r="L594" s="47" t="str">
        <f>IFERROR(VLOOKUP(G594,WholesaleExtract!B:L,11,FALSE),"")</f>
        <v/>
      </c>
      <c r="M594" s="47" t="str">
        <f>IFERROR(VLOOKUP(G594,WholesaleExtract!B:M,12,FALSE),"")</f>
        <v/>
      </c>
      <c r="N594" s="27"/>
      <c r="O594" s="19"/>
      <c r="P594" s="19"/>
      <c r="Q594" s="47"/>
      <c r="R594" s="19"/>
      <c r="S594" s="19"/>
    </row>
    <row r="595" spans="1:19" x14ac:dyDescent="0.35">
      <c r="A595" s="26" t="s">
        <v>543</v>
      </c>
      <c r="B595" s="26" t="s">
        <v>543</v>
      </c>
      <c r="C595" s="26"/>
      <c r="D595" s="26" t="s">
        <v>543</v>
      </c>
      <c r="E595" s="26" t="str">
        <f>IFERROR(VLOOKUP(G595,WholesaleExtract!B:J,9,FALSE),"")</f>
        <v/>
      </c>
      <c r="F595" s="26" t="str">
        <f>IFERROR(VLOOKUP(G595,WholesaleExtract!B:J,6,FALSE),"")</f>
        <v/>
      </c>
      <c r="G595" s="48"/>
      <c r="H595" s="47" t="str">
        <f>IFERROR(VLOOKUP(G595,WholesaleExtract!B:L,11,FALSE),"")</f>
        <v/>
      </c>
      <c r="I595" s="26" t="str">
        <f>IFERROR(VLOOKUP(G595,WholesaleExtract!B:O,8,FALSE),"")</f>
        <v/>
      </c>
      <c r="J595" s="26" t="str">
        <f>IFERROR(VLOOKUP(G595,WholesaleExtract!B:O,14,FALSE),"")</f>
        <v/>
      </c>
      <c r="K595" s="26" t="str">
        <f>IFERROR(VLOOKUP(G595,WholesaleExtract!B:K,10,FALSE),"")</f>
        <v/>
      </c>
      <c r="L595" s="47" t="str">
        <f>IFERROR(VLOOKUP(G595,WholesaleExtract!B:L,11,FALSE),"")</f>
        <v/>
      </c>
      <c r="M595" s="47" t="str">
        <f>IFERROR(VLOOKUP(G595,WholesaleExtract!B:M,12,FALSE),"")</f>
        <v/>
      </c>
      <c r="N595" s="27"/>
      <c r="O595" s="19"/>
      <c r="P595" s="19"/>
      <c r="Q595" s="47"/>
      <c r="R595" s="19"/>
      <c r="S595" s="19"/>
    </row>
    <row r="596" spans="1:19" x14ac:dyDescent="0.35">
      <c r="A596" s="26" t="s">
        <v>543</v>
      </c>
      <c r="B596" s="26" t="s">
        <v>543</v>
      </c>
      <c r="C596" s="26"/>
      <c r="D596" s="26" t="s">
        <v>543</v>
      </c>
      <c r="E596" s="26" t="str">
        <f>IFERROR(VLOOKUP(G596,WholesaleExtract!B:J,9,FALSE),"")</f>
        <v/>
      </c>
      <c r="F596" s="26" t="str">
        <f>IFERROR(VLOOKUP(G596,WholesaleExtract!B:J,6,FALSE),"")</f>
        <v/>
      </c>
      <c r="G596" s="48"/>
      <c r="H596" s="47" t="str">
        <f>IFERROR(VLOOKUP(G596,WholesaleExtract!B:L,11,FALSE),"")</f>
        <v/>
      </c>
      <c r="I596" s="26" t="str">
        <f>IFERROR(VLOOKUP(G596,WholesaleExtract!B:O,8,FALSE),"")</f>
        <v/>
      </c>
      <c r="J596" s="26" t="str">
        <f>IFERROR(VLOOKUP(G596,WholesaleExtract!B:O,14,FALSE),"")</f>
        <v/>
      </c>
      <c r="K596" s="26" t="str">
        <f>IFERROR(VLOOKUP(G596,WholesaleExtract!B:K,10,FALSE),"")</f>
        <v/>
      </c>
      <c r="L596" s="47" t="str">
        <f>IFERROR(VLOOKUP(G596,WholesaleExtract!B:L,11,FALSE),"")</f>
        <v/>
      </c>
      <c r="M596" s="47" t="str">
        <f>IFERROR(VLOOKUP(G596,WholesaleExtract!B:M,12,FALSE),"")</f>
        <v/>
      </c>
      <c r="N596" s="27"/>
      <c r="O596" s="19"/>
      <c r="P596" s="19"/>
      <c r="Q596" s="47"/>
      <c r="R596" s="19"/>
      <c r="S596" s="19"/>
    </row>
    <row r="597" spans="1:19" x14ac:dyDescent="0.35">
      <c r="A597" s="26" t="s">
        <v>543</v>
      </c>
      <c r="B597" s="26" t="s">
        <v>543</v>
      </c>
      <c r="C597" s="26"/>
      <c r="D597" s="26" t="s">
        <v>543</v>
      </c>
      <c r="E597" s="26" t="str">
        <f>IFERROR(VLOOKUP(G597,WholesaleExtract!B:J,9,FALSE),"")</f>
        <v/>
      </c>
      <c r="F597" s="26" t="str">
        <f>IFERROR(VLOOKUP(G597,WholesaleExtract!B:J,6,FALSE),"")</f>
        <v/>
      </c>
      <c r="G597" s="48"/>
      <c r="H597" s="47" t="str">
        <f>IFERROR(VLOOKUP(G597,WholesaleExtract!B:L,11,FALSE),"")</f>
        <v/>
      </c>
      <c r="I597" s="26" t="str">
        <f>IFERROR(VLOOKUP(G597,WholesaleExtract!B:O,8,FALSE),"")</f>
        <v/>
      </c>
      <c r="J597" s="26" t="str">
        <f>IFERROR(VLOOKUP(G597,WholesaleExtract!B:O,14,FALSE),"")</f>
        <v/>
      </c>
      <c r="K597" s="26" t="str">
        <f>IFERROR(VLOOKUP(G597,WholesaleExtract!B:K,10,FALSE),"")</f>
        <v/>
      </c>
      <c r="L597" s="47" t="str">
        <f>IFERROR(VLOOKUP(G597,WholesaleExtract!B:L,11,FALSE),"")</f>
        <v/>
      </c>
      <c r="M597" s="47" t="str">
        <f>IFERROR(VLOOKUP(G597,WholesaleExtract!B:M,12,FALSE),"")</f>
        <v/>
      </c>
      <c r="N597" s="27"/>
      <c r="O597" s="19"/>
      <c r="P597" s="19"/>
      <c r="Q597" s="47"/>
      <c r="R597" s="19"/>
      <c r="S597" s="19"/>
    </row>
    <row r="598" spans="1:19" x14ac:dyDescent="0.35">
      <c r="A598" s="26" t="s">
        <v>543</v>
      </c>
      <c r="B598" s="26" t="s">
        <v>543</v>
      </c>
      <c r="C598" s="26"/>
      <c r="D598" s="26" t="s">
        <v>543</v>
      </c>
      <c r="E598" s="26" t="str">
        <f>IFERROR(VLOOKUP(G598,WholesaleExtract!B:J,9,FALSE),"")</f>
        <v/>
      </c>
      <c r="F598" s="26" t="str">
        <f>IFERROR(VLOOKUP(G598,WholesaleExtract!B:J,6,FALSE),"")</f>
        <v/>
      </c>
      <c r="G598" s="48"/>
      <c r="H598" s="47" t="str">
        <f>IFERROR(VLOOKUP(G598,WholesaleExtract!B:L,11,FALSE),"")</f>
        <v/>
      </c>
      <c r="I598" s="26" t="str">
        <f>IFERROR(VLOOKUP(G598,WholesaleExtract!B:O,8,FALSE),"")</f>
        <v/>
      </c>
      <c r="J598" s="26" t="str">
        <f>IFERROR(VLOOKUP(G598,WholesaleExtract!B:O,14,FALSE),"")</f>
        <v/>
      </c>
      <c r="K598" s="26" t="str">
        <f>IFERROR(VLOOKUP(G598,WholesaleExtract!B:K,10,FALSE),"")</f>
        <v/>
      </c>
      <c r="L598" s="47" t="str">
        <f>IFERROR(VLOOKUP(G598,WholesaleExtract!B:L,11,FALSE),"")</f>
        <v/>
      </c>
      <c r="M598" s="47" t="str">
        <f>IFERROR(VLOOKUP(G598,WholesaleExtract!B:M,12,FALSE),"")</f>
        <v/>
      </c>
      <c r="N598" s="27"/>
      <c r="O598" s="19"/>
      <c r="P598" s="19"/>
      <c r="Q598" s="47"/>
      <c r="R598" s="19"/>
      <c r="S598" s="19"/>
    </row>
    <row r="599" spans="1:19" x14ac:dyDescent="0.35">
      <c r="A599" s="26" t="s">
        <v>543</v>
      </c>
      <c r="B599" s="26" t="s">
        <v>543</v>
      </c>
      <c r="C599" s="26"/>
      <c r="D599" s="26" t="s">
        <v>543</v>
      </c>
      <c r="E599" s="26" t="str">
        <f>IFERROR(VLOOKUP(G599,WholesaleExtract!B:J,9,FALSE),"")</f>
        <v/>
      </c>
      <c r="F599" s="26" t="str">
        <f>IFERROR(VLOOKUP(G599,WholesaleExtract!B:J,6,FALSE),"")</f>
        <v/>
      </c>
      <c r="G599" s="48"/>
      <c r="H599" s="47" t="str">
        <f>IFERROR(VLOOKUP(G599,WholesaleExtract!B:L,11,FALSE),"")</f>
        <v/>
      </c>
      <c r="I599" s="26" t="str">
        <f>IFERROR(VLOOKUP(G599,WholesaleExtract!B:O,8,FALSE),"")</f>
        <v/>
      </c>
      <c r="J599" s="26" t="str">
        <f>IFERROR(VLOOKUP(G599,WholesaleExtract!B:O,14,FALSE),"")</f>
        <v/>
      </c>
      <c r="K599" s="26" t="str">
        <f>IFERROR(VLOOKUP(G599,WholesaleExtract!B:K,10,FALSE),"")</f>
        <v/>
      </c>
      <c r="L599" s="47" t="str">
        <f>IFERROR(VLOOKUP(G599,WholesaleExtract!B:L,11,FALSE),"")</f>
        <v/>
      </c>
      <c r="M599" s="47" t="str">
        <f>IFERROR(VLOOKUP(G599,WholesaleExtract!B:M,12,FALSE),"")</f>
        <v/>
      </c>
      <c r="N599" s="27"/>
      <c r="O599" s="19"/>
      <c r="P599" s="19"/>
      <c r="Q599" s="47"/>
      <c r="R599" s="19"/>
      <c r="S599" s="19"/>
    </row>
    <row r="600" spans="1:19" x14ac:dyDescent="0.35">
      <c r="A600" s="26" t="s">
        <v>543</v>
      </c>
      <c r="B600" s="26" t="s">
        <v>543</v>
      </c>
      <c r="C600" s="26"/>
      <c r="D600" s="26" t="s">
        <v>543</v>
      </c>
      <c r="E600" s="26" t="str">
        <f>IFERROR(VLOOKUP(G600,WholesaleExtract!B:J,9,FALSE),"")</f>
        <v/>
      </c>
      <c r="F600" s="26" t="str">
        <f>IFERROR(VLOOKUP(G600,WholesaleExtract!B:J,6,FALSE),"")</f>
        <v/>
      </c>
      <c r="G600" s="48"/>
      <c r="H600" s="47" t="str">
        <f>IFERROR(VLOOKUP(G600,WholesaleExtract!B:L,11,FALSE),"")</f>
        <v/>
      </c>
      <c r="I600" s="26" t="str">
        <f>IFERROR(VLOOKUP(G600,WholesaleExtract!B:O,8,FALSE),"")</f>
        <v/>
      </c>
      <c r="J600" s="26" t="str">
        <f>IFERROR(VLOOKUP(G600,WholesaleExtract!B:O,14,FALSE),"")</f>
        <v/>
      </c>
      <c r="K600" s="26" t="str">
        <f>IFERROR(VLOOKUP(G600,WholesaleExtract!B:K,10,FALSE),"")</f>
        <v/>
      </c>
      <c r="L600" s="47" t="str">
        <f>IFERROR(VLOOKUP(G600,WholesaleExtract!B:L,11,FALSE),"")</f>
        <v/>
      </c>
      <c r="M600" s="47" t="str">
        <f>IFERROR(VLOOKUP(G600,WholesaleExtract!B:M,12,FALSE),"")</f>
        <v/>
      </c>
      <c r="N600" s="27"/>
      <c r="O600" s="19"/>
      <c r="P600" s="19"/>
      <c r="Q600" s="47"/>
      <c r="R600" s="19"/>
      <c r="S600" s="19"/>
    </row>
    <row r="601" spans="1:19" x14ac:dyDescent="0.35">
      <c r="A601" s="26" t="s">
        <v>543</v>
      </c>
      <c r="B601" s="26" t="s">
        <v>543</v>
      </c>
      <c r="C601" s="26"/>
      <c r="D601" s="26" t="s">
        <v>543</v>
      </c>
      <c r="E601" s="26" t="str">
        <f>IFERROR(VLOOKUP(G601,WholesaleExtract!B:J,9,FALSE),"")</f>
        <v/>
      </c>
      <c r="F601" s="26" t="str">
        <f>IFERROR(VLOOKUP(G601,WholesaleExtract!B:J,6,FALSE),"")</f>
        <v/>
      </c>
      <c r="G601" s="48"/>
      <c r="H601" s="47" t="str">
        <f>IFERROR(VLOOKUP(G601,WholesaleExtract!B:L,11,FALSE),"")</f>
        <v/>
      </c>
      <c r="I601" s="26" t="str">
        <f>IFERROR(VLOOKUP(G601,WholesaleExtract!B:O,8,FALSE),"")</f>
        <v/>
      </c>
      <c r="J601" s="26" t="str">
        <f>IFERROR(VLOOKUP(G601,WholesaleExtract!B:O,14,FALSE),"")</f>
        <v/>
      </c>
      <c r="K601" s="26" t="str">
        <f>IFERROR(VLOOKUP(G601,WholesaleExtract!B:K,10,FALSE),"")</f>
        <v/>
      </c>
      <c r="L601" s="47" t="str">
        <f>IFERROR(VLOOKUP(G601,WholesaleExtract!B:L,11,FALSE),"")</f>
        <v/>
      </c>
      <c r="M601" s="47" t="str">
        <f>IFERROR(VLOOKUP(G601,WholesaleExtract!B:M,12,FALSE),"")</f>
        <v/>
      </c>
      <c r="N601" s="27"/>
      <c r="O601" s="19"/>
      <c r="P601" s="19"/>
      <c r="Q601" s="47"/>
      <c r="R601" s="19"/>
      <c r="S601" s="19"/>
    </row>
    <row r="602" spans="1:19" x14ac:dyDescent="0.35">
      <c r="A602" s="26" t="s">
        <v>543</v>
      </c>
      <c r="B602" s="26" t="s">
        <v>543</v>
      </c>
      <c r="C602" s="26"/>
      <c r="D602" s="26" t="s">
        <v>543</v>
      </c>
      <c r="E602" s="26" t="str">
        <f>IFERROR(VLOOKUP(G602,WholesaleExtract!B:J,9,FALSE),"")</f>
        <v/>
      </c>
      <c r="F602" s="26" t="str">
        <f>IFERROR(VLOOKUP(G602,WholesaleExtract!B:J,6,FALSE),"")</f>
        <v/>
      </c>
      <c r="G602" s="48"/>
      <c r="H602" s="47" t="str">
        <f>IFERROR(VLOOKUP(G602,WholesaleExtract!B:L,11,FALSE),"")</f>
        <v/>
      </c>
      <c r="I602" s="26" t="str">
        <f>IFERROR(VLOOKUP(G602,WholesaleExtract!B:O,8,FALSE),"")</f>
        <v/>
      </c>
      <c r="J602" s="26" t="str">
        <f>IFERROR(VLOOKUP(G602,WholesaleExtract!B:O,14,FALSE),"")</f>
        <v/>
      </c>
      <c r="K602" s="26" t="str">
        <f>IFERROR(VLOOKUP(G602,WholesaleExtract!B:K,10,FALSE),"")</f>
        <v/>
      </c>
      <c r="L602" s="47" t="str">
        <f>IFERROR(VLOOKUP(G602,WholesaleExtract!B:L,11,FALSE),"")</f>
        <v/>
      </c>
      <c r="M602" s="47" t="str">
        <f>IFERROR(VLOOKUP(G602,WholesaleExtract!B:M,12,FALSE),"")</f>
        <v/>
      </c>
      <c r="N602" s="27"/>
      <c r="O602" s="19"/>
      <c r="P602" s="19"/>
      <c r="Q602" s="47"/>
      <c r="R602" s="19"/>
      <c r="S602" s="19"/>
    </row>
    <row r="603" spans="1:19" x14ac:dyDescent="0.35">
      <c r="A603" s="26" t="s">
        <v>543</v>
      </c>
      <c r="B603" s="26" t="s">
        <v>543</v>
      </c>
      <c r="C603" s="26"/>
      <c r="D603" s="26" t="s">
        <v>543</v>
      </c>
      <c r="E603" s="26" t="str">
        <f>IFERROR(VLOOKUP(G603,WholesaleExtract!B:J,9,FALSE),"")</f>
        <v/>
      </c>
      <c r="F603" s="26" t="str">
        <f>IFERROR(VLOOKUP(G603,WholesaleExtract!B:J,6,FALSE),"")</f>
        <v/>
      </c>
      <c r="G603" s="48"/>
      <c r="H603" s="47" t="str">
        <f>IFERROR(VLOOKUP(G603,WholesaleExtract!B:L,11,FALSE),"")</f>
        <v/>
      </c>
      <c r="I603" s="26" t="str">
        <f>IFERROR(VLOOKUP(G603,WholesaleExtract!B:O,8,FALSE),"")</f>
        <v/>
      </c>
      <c r="J603" s="26" t="str">
        <f>IFERROR(VLOOKUP(G603,WholesaleExtract!B:O,14,FALSE),"")</f>
        <v/>
      </c>
      <c r="K603" s="26" t="str">
        <f>IFERROR(VLOOKUP(G603,WholesaleExtract!B:K,10,FALSE),"")</f>
        <v/>
      </c>
      <c r="L603" s="47" t="str">
        <f>IFERROR(VLOOKUP(G603,WholesaleExtract!B:L,11,FALSE),"")</f>
        <v/>
      </c>
      <c r="M603" s="47" t="str">
        <f>IFERROR(VLOOKUP(G603,WholesaleExtract!B:M,12,FALSE),"")</f>
        <v/>
      </c>
      <c r="N603" s="27"/>
      <c r="O603" s="19"/>
      <c r="P603" s="19"/>
      <c r="Q603" s="47"/>
      <c r="R603" s="19"/>
      <c r="S603" s="19"/>
    </row>
    <row r="604" spans="1:19" x14ac:dyDescent="0.35">
      <c r="A604" s="26" t="s">
        <v>543</v>
      </c>
      <c r="B604" s="26" t="s">
        <v>543</v>
      </c>
      <c r="C604" s="26"/>
      <c r="D604" s="26" t="s">
        <v>543</v>
      </c>
      <c r="E604" s="26" t="str">
        <f>IFERROR(VLOOKUP(G604,WholesaleExtract!B:J,9,FALSE),"")</f>
        <v/>
      </c>
      <c r="F604" s="26" t="str">
        <f>IFERROR(VLOOKUP(G604,WholesaleExtract!B:J,6,FALSE),"")</f>
        <v/>
      </c>
      <c r="G604" s="48"/>
      <c r="H604" s="47" t="str">
        <f>IFERROR(VLOOKUP(G604,WholesaleExtract!B:L,11,FALSE),"")</f>
        <v/>
      </c>
      <c r="I604" s="26" t="str">
        <f>IFERROR(VLOOKUP(G604,WholesaleExtract!B:O,8,FALSE),"")</f>
        <v/>
      </c>
      <c r="J604" s="26" t="str">
        <f>IFERROR(VLOOKUP(G604,WholesaleExtract!B:O,14,FALSE),"")</f>
        <v/>
      </c>
      <c r="K604" s="26" t="str">
        <f>IFERROR(VLOOKUP(G604,WholesaleExtract!B:K,10,FALSE),"")</f>
        <v/>
      </c>
      <c r="L604" s="47" t="str">
        <f>IFERROR(VLOOKUP(G604,WholesaleExtract!B:L,11,FALSE),"")</f>
        <v/>
      </c>
      <c r="M604" s="47" t="str">
        <f>IFERROR(VLOOKUP(G604,WholesaleExtract!B:M,12,FALSE),"")</f>
        <v/>
      </c>
      <c r="N604" s="27"/>
      <c r="O604" s="19"/>
      <c r="P604" s="19"/>
      <c r="Q604" s="47"/>
      <c r="R604" s="19"/>
      <c r="S604" s="19"/>
    </row>
    <row r="605" spans="1:19" x14ac:dyDescent="0.35">
      <c r="A605" s="26" t="s">
        <v>543</v>
      </c>
      <c r="B605" s="26" t="s">
        <v>543</v>
      </c>
      <c r="C605" s="26"/>
      <c r="D605" s="26" t="s">
        <v>543</v>
      </c>
      <c r="E605" s="26" t="str">
        <f>IFERROR(VLOOKUP(G605,WholesaleExtract!B:J,9,FALSE),"")</f>
        <v/>
      </c>
      <c r="F605" s="26" t="str">
        <f>IFERROR(VLOOKUP(G605,WholesaleExtract!B:J,6,FALSE),"")</f>
        <v/>
      </c>
      <c r="G605" s="48"/>
      <c r="H605" s="47" t="str">
        <f>IFERROR(VLOOKUP(G605,WholesaleExtract!B:L,11,FALSE),"")</f>
        <v/>
      </c>
      <c r="I605" s="26" t="str">
        <f>IFERROR(VLOOKUP(G605,WholesaleExtract!B:O,8,FALSE),"")</f>
        <v/>
      </c>
      <c r="J605" s="26" t="str">
        <f>IFERROR(VLOOKUP(G605,WholesaleExtract!B:O,14,FALSE),"")</f>
        <v/>
      </c>
      <c r="K605" s="26" t="str">
        <f>IFERROR(VLOOKUP(G605,WholesaleExtract!B:K,10,FALSE),"")</f>
        <v/>
      </c>
      <c r="L605" s="47" t="str">
        <f>IFERROR(VLOOKUP(G605,WholesaleExtract!B:L,11,FALSE),"")</f>
        <v/>
      </c>
      <c r="M605" s="47" t="str">
        <f>IFERROR(VLOOKUP(G605,WholesaleExtract!B:M,12,FALSE),"")</f>
        <v/>
      </c>
      <c r="N605" s="27"/>
      <c r="O605" s="19"/>
      <c r="P605" s="19"/>
      <c r="Q605" s="47"/>
      <c r="R605" s="19"/>
      <c r="S605" s="19"/>
    </row>
    <row r="606" spans="1:19" x14ac:dyDescent="0.35">
      <c r="A606" s="26" t="s">
        <v>543</v>
      </c>
      <c r="B606" s="26" t="s">
        <v>543</v>
      </c>
      <c r="C606" s="26"/>
      <c r="D606" s="26" t="s">
        <v>543</v>
      </c>
      <c r="E606" s="26" t="str">
        <f>IFERROR(VLOOKUP(G606,WholesaleExtract!B:J,9,FALSE),"")</f>
        <v/>
      </c>
      <c r="F606" s="26" t="str">
        <f>IFERROR(VLOOKUP(G606,WholesaleExtract!B:J,6,FALSE),"")</f>
        <v/>
      </c>
      <c r="G606" s="48"/>
      <c r="H606" s="47" t="str">
        <f>IFERROR(VLOOKUP(G606,WholesaleExtract!B:L,11,FALSE),"")</f>
        <v/>
      </c>
      <c r="I606" s="26" t="str">
        <f>IFERROR(VLOOKUP(G606,WholesaleExtract!B:O,8,FALSE),"")</f>
        <v/>
      </c>
      <c r="J606" s="26" t="str">
        <f>IFERROR(VLOOKUP(G606,WholesaleExtract!B:O,14,FALSE),"")</f>
        <v/>
      </c>
      <c r="K606" s="26" t="str">
        <f>IFERROR(VLOOKUP(G606,WholesaleExtract!B:K,10,FALSE),"")</f>
        <v/>
      </c>
      <c r="L606" s="47" t="str">
        <f>IFERROR(VLOOKUP(G606,WholesaleExtract!B:L,11,FALSE),"")</f>
        <v/>
      </c>
      <c r="M606" s="47" t="str">
        <f>IFERROR(VLOOKUP(G606,WholesaleExtract!B:M,12,FALSE),"")</f>
        <v/>
      </c>
      <c r="N606" s="27"/>
      <c r="O606" s="19"/>
      <c r="P606" s="19"/>
      <c r="Q606" s="47"/>
      <c r="R606" s="19"/>
      <c r="S606" s="19"/>
    </row>
    <row r="607" spans="1:19" x14ac:dyDescent="0.35">
      <c r="A607" s="26" t="s">
        <v>543</v>
      </c>
      <c r="B607" s="26" t="s">
        <v>543</v>
      </c>
      <c r="C607" s="26"/>
      <c r="D607" s="26" t="s">
        <v>543</v>
      </c>
      <c r="E607" s="26" t="str">
        <f>IFERROR(VLOOKUP(G607,WholesaleExtract!B:J,9,FALSE),"")</f>
        <v/>
      </c>
      <c r="F607" s="26" t="str">
        <f>IFERROR(VLOOKUP(G607,WholesaleExtract!B:J,6,FALSE),"")</f>
        <v/>
      </c>
      <c r="G607" s="48"/>
      <c r="H607" s="47" t="str">
        <f>IFERROR(VLOOKUP(G607,WholesaleExtract!B:L,11,FALSE),"")</f>
        <v/>
      </c>
      <c r="I607" s="26" t="str">
        <f>IFERROR(VLOOKUP(G607,WholesaleExtract!B:O,8,FALSE),"")</f>
        <v/>
      </c>
      <c r="J607" s="26" t="str">
        <f>IFERROR(VLOOKUP(G607,WholesaleExtract!B:O,14,FALSE),"")</f>
        <v/>
      </c>
      <c r="K607" s="26" t="str">
        <f>IFERROR(VLOOKUP(G607,WholesaleExtract!B:K,10,FALSE),"")</f>
        <v/>
      </c>
      <c r="L607" s="47" t="str">
        <f>IFERROR(VLOOKUP(G607,WholesaleExtract!B:L,11,FALSE),"")</f>
        <v/>
      </c>
      <c r="M607" s="47" t="str">
        <f>IFERROR(VLOOKUP(G607,WholesaleExtract!B:M,12,FALSE),"")</f>
        <v/>
      </c>
      <c r="N607" s="27"/>
      <c r="O607" s="19"/>
      <c r="P607" s="19"/>
      <c r="Q607" s="47"/>
      <c r="R607" s="19"/>
      <c r="S607" s="19"/>
    </row>
    <row r="608" spans="1:19" x14ac:dyDescent="0.35">
      <c r="A608" s="26" t="s">
        <v>543</v>
      </c>
      <c r="B608" s="26" t="s">
        <v>543</v>
      </c>
      <c r="C608" s="26"/>
      <c r="D608" s="26" t="s">
        <v>543</v>
      </c>
      <c r="E608" s="26" t="str">
        <f>IFERROR(VLOOKUP(G608,WholesaleExtract!B:J,9,FALSE),"")</f>
        <v/>
      </c>
      <c r="F608" s="26" t="str">
        <f>IFERROR(VLOOKUP(G608,WholesaleExtract!B:J,6,FALSE),"")</f>
        <v/>
      </c>
      <c r="G608" s="48"/>
      <c r="H608" s="47" t="str">
        <f>IFERROR(VLOOKUP(G608,WholesaleExtract!B:L,11,FALSE),"")</f>
        <v/>
      </c>
      <c r="I608" s="26" t="str">
        <f>IFERROR(VLOOKUP(G608,WholesaleExtract!B:O,8,FALSE),"")</f>
        <v/>
      </c>
      <c r="J608" s="26" t="str">
        <f>IFERROR(VLOOKUP(G608,WholesaleExtract!B:O,14,FALSE),"")</f>
        <v/>
      </c>
      <c r="K608" s="26" t="str">
        <f>IFERROR(VLOOKUP(G608,WholesaleExtract!B:K,10,FALSE),"")</f>
        <v/>
      </c>
      <c r="L608" s="47" t="str">
        <f>IFERROR(VLOOKUP(G608,WholesaleExtract!B:L,11,FALSE),"")</f>
        <v/>
      </c>
      <c r="M608" s="47" t="str">
        <f>IFERROR(VLOOKUP(G608,WholesaleExtract!B:M,12,FALSE),"")</f>
        <v/>
      </c>
      <c r="N608" s="27"/>
      <c r="O608" s="19"/>
      <c r="P608" s="19"/>
      <c r="Q608" s="47"/>
      <c r="R608" s="19"/>
      <c r="S608" s="19"/>
    </row>
    <row r="609" spans="1:19" x14ac:dyDescent="0.35">
      <c r="A609" s="26" t="s">
        <v>543</v>
      </c>
      <c r="B609" s="26" t="s">
        <v>543</v>
      </c>
      <c r="C609" s="26"/>
      <c r="D609" s="26" t="s">
        <v>543</v>
      </c>
      <c r="E609" s="26" t="str">
        <f>IFERROR(VLOOKUP(G609,WholesaleExtract!B:J,9,FALSE),"")</f>
        <v/>
      </c>
      <c r="F609" s="26" t="str">
        <f>IFERROR(VLOOKUP(G609,WholesaleExtract!B:J,6,FALSE),"")</f>
        <v/>
      </c>
      <c r="G609" s="48"/>
      <c r="H609" s="47" t="str">
        <f>IFERROR(VLOOKUP(G609,WholesaleExtract!B:L,11,FALSE),"")</f>
        <v/>
      </c>
      <c r="I609" s="26" t="str">
        <f>IFERROR(VLOOKUP(G609,WholesaleExtract!B:O,8,FALSE),"")</f>
        <v/>
      </c>
      <c r="J609" s="26" t="str">
        <f>IFERROR(VLOOKUP(G609,WholesaleExtract!B:O,14,FALSE),"")</f>
        <v/>
      </c>
      <c r="K609" s="26" t="str">
        <f>IFERROR(VLOOKUP(G609,WholesaleExtract!B:K,10,FALSE),"")</f>
        <v/>
      </c>
      <c r="L609" s="47" t="str">
        <f>IFERROR(VLOOKUP(G609,WholesaleExtract!B:L,11,FALSE),"")</f>
        <v/>
      </c>
      <c r="M609" s="47" t="str">
        <f>IFERROR(VLOOKUP(G609,WholesaleExtract!B:M,12,FALSE),"")</f>
        <v/>
      </c>
      <c r="N609" s="27"/>
      <c r="O609" s="19"/>
      <c r="P609" s="19"/>
      <c r="Q609" s="47"/>
      <c r="R609" s="19"/>
      <c r="S609" s="19"/>
    </row>
    <row r="610" spans="1:19" x14ac:dyDescent="0.35">
      <c r="A610" s="26" t="s">
        <v>543</v>
      </c>
      <c r="B610" s="26" t="s">
        <v>543</v>
      </c>
      <c r="C610" s="26"/>
      <c r="D610" s="26" t="s">
        <v>543</v>
      </c>
      <c r="E610" s="26" t="str">
        <f>IFERROR(VLOOKUP(G610,WholesaleExtract!B:J,9,FALSE),"")</f>
        <v/>
      </c>
      <c r="F610" s="26" t="str">
        <f>IFERROR(VLOOKUP(G610,WholesaleExtract!B:J,6,FALSE),"")</f>
        <v/>
      </c>
      <c r="G610" s="48"/>
      <c r="H610" s="47" t="str">
        <f>IFERROR(VLOOKUP(G610,WholesaleExtract!B:L,11,FALSE),"")</f>
        <v/>
      </c>
      <c r="I610" s="26" t="str">
        <f>IFERROR(VLOOKUP(G610,WholesaleExtract!B:O,8,FALSE),"")</f>
        <v/>
      </c>
      <c r="J610" s="26" t="str">
        <f>IFERROR(VLOOKUP(G610,WholesaleExtract!B:O,14,FALSE),"")</f>
        <v/>
      </c>
      <c r="K610" s="26" t="str">
        <f>IFERROR(VLOOKUP(G610,WholesaleExtract!B:K,10,FALSE),"")</f>
        <v/>
      </c>
      <c r="L610" s="47" t="str">
        <f>IFERROR(VLOOKUP(G610,WholesaleExtract!B:L,11,FALSE),"")</f>
        <v/>
      </c>
      <c r="M610" s="47" t="str">
        <f>IFERROR(VLOOKUP(G610,WholesaleExtract!B:M,12,FALSE),"")</f>
        <v/>
      </c>
      <c r="N610" s="27"/>
      <c r="O610" s="19"/>
      <c r="P610" s="19"/>
      <c r="Q610" s="47"/>
      <c r="R610" s="19"/>
      <c r="S610" s="19"/>
    </row>
    <row r="611" spans="1:19" x14ac:dyDescent="0.35">
      <c r="A611" s="26" t="s">
        <v>543</v>
      </c>
      <c r="B611" s="26" t="s">
        <v>543</v>
      </c>
      <c r="C611" s="26"/>
      <c r="D611" s="26" t="s">
        <v>543</v>
      </c>
      <c r="E611" s="26" t="str">
        <f>IFERROR(VLOOKUP(G611,WholesaleExtract!B:J,9,FALSE),"")</f>
        <v/>
      </c>
      <c r="F611" s="26" t="str">
        <f>IFERROR(VLOOKUP(G611,WholesaleExtract!B:J,6,FALSE),"")</f>
        <v/>
      </c>
      <c r="G611" s="48"/>
      <c r="H611" s="47" t="str">
        <f>IFERROR(VLOOKUP(G611,WholesaleExtract!B:L,11,FALSE),"")</f>
        <v/>
      </c>
      <c r="I611" s="26" t="str">
        <f>IFERROR(VLOOKUP(G611,WholesaleExtract!B:O,8,FALSE),"")</f>
        <v/>
      </c>
      <c r="J611" s="26" t="str">
        <f>IFERROR(VLOOKUP(G611,WholesaleExtract!B:O,14,FALSE),"")</f>
        <v/>
      </c>
      <c r="K611" s="26" t="str">
        <f>IFERROR(VLOOKUP(G611,WholesaleExtract!B:K,10,FALSE),"")</f>
        <v/>
      </c>
      <c r="L611" s="47" t="str">
        <f>IFERROR(VLOOKUP(G611,WholesaleExtract!B:L,11,FALSE),"")</f>
        <v/>
      </c>
      <c r="M611" s="47" t="str">
        <f>IFERROR(VLOOKUP(G611,WholesaleExtract!B:M,12,FALSE),"")</f>
        <v/>
      </c>
      <c r="N611" s="27"/>
      <c r="O611" s="19"/>
      <c r="P611" s="19"/>
      <c r="Q611" s="47"/>
      <c r="R611" s="19"/>
      <c r="S611" s="19"/>
    </row>
    <row r="612" spans="1:19" x14ac:dyDescent="0.35">
      <c r="A612" s="26" t="s">
        <v>543</v>
      </c>
      <c r="B612" s="26" t="s">
        <v>543</v>
      </c>
      <c r="C612" s="26"/>
      <c r="D612" s="26" t="s">
        <v>543</v>
      </c>
      <c r="E612" s="26" t="str">
        <f>IFERROR(VLOOKUP(G612,WholesaleExtract!B:J,9,FALSE),"")</f>
        <v/>
      </c>
      <c r="F612" s="26" t="str">
        <f>IFERROR(VLOOKUP(G612,WholesaleExtract!B:J,6,FALSE),"")</f>
        <v/>
      </c>
      <c r="G612" s="48"/>
      <c r="H612" s="47" t="str">
        <f>IFERROR(VLOOKUP(G612,WholesaleExtract!B:L,11,FALSE),"")</f>
        <v/>
      </c>
      <c r="I612" s="26" t="str">
        <f>IFERROR(VLOOKUP(G612,WholesaleExtract!B:O,8,FALSE),"")</f>
        <v/>
      </c>
      <c r="J612" s="26" t="str">
        <f>IFERROR(VLOOKUP(G612,WholesaleExtract!B:O,14,FALSE),"")</f>
        <v/>
      </c>
      <c r="K612" s="26" t="str">
        <f>IFERROR(VLOOKUP(G612,WholesaleExtract!B:K,10,FALSE),"")</f>
        <v/>
      </c>
      <c r="L612" s="47" t="str">
        <f>IFERROR(VLOOKUP(G612,WholesaleExtract!B:L,11,FALSE),"")</f>
        <v/>
      </c>
      <c r="M612" s="47" t="str">
        <f>IFERROR(VLOOKUP(G612,WholesaleExtract!B:M,12,FALSE),"")</f>
        <v/>
      </c>
      <c r="N612" s="27"/>
      <c r="O612" s="19"/>
      <c r="P612" s="19"/>
      <c r="Q612" s="47"/>
      <c r="R612" s="19"/>
      <c r="S612" s="19"/>
    </row>
    <row r="613" spans="1:19" x14ac:dyDescent="0.35">
      <c r="A613" s="26" t="s">
        <v>543</v>
      </c>
      <c r="B613" s="26" t="s">
        <v>543</v>
      </c>
      <c r="C613" s="26"/>
      <c r="D613" s="26" t="s">
        <v>543</v>
      </c>
      <c r="E613" s="26" t="str">
        <f>IFERROR(VLOOKUP(G613,WholesaleExtract!B:J,9,FALSE),"")</f>
        <v/>
      </c>
      <c r="F613" s="26" t="str">
        <f>IFERROR(VLOOKUP(G613,WholesaleExtract!B:J,6,FALSE),"")</f>
        <v/>
      </c>
      <c r="G613" s="48"/>
      <c r="H613" s="47" t="str">
        <f>IFERROR(VLOOKUP(G613,WholesaleExtract!B:L,11,FALSE),"")</f>
        <v/>
      </c>
      <c r="I613" s="26" t="str">
        <f>IFERROR(VLOOKUP(G613,WholesaleExtract!B:O,8,FALSE),"")</f>
        <v/>
      </c>
      <c r="J613" s="26" t="str">
        <f>IFERROR(VLOOKUP(G613,WholesaleExtract!B:O,14,FALSE),"")</f>
        <v/>
      </c>
      <c r="K613" s="26" t="str">
        <f>IFERROR(VLOOKUP(G613,WholesaleExtract!B:K,10,FALSE),"")</f>
        <v/>
      </c>
      <c r="L613" s="47" t="str">
        <f>IFERROR(VLOOKUP(G613,WholesaleExtract!B:L,11,FALSE),"")</f>
        <v/>
      </c>
      <c r="M613" s="47" t="str">
        <f>IFERROR(VLOOKUP(G613,WholesaleExtract!B:M,12,FALSE),"")</f>
        <v/>
      </c>
      <c r="N613" s="27"/>
      <c r="O613" s="19"/>
      <c r="P613" s="19"/>
      <c r="Q613" s="47"/>
      <c r="R613" s="19"/>
      <c r="S613" s="19"/>
    </row>
    <row r="614" spans="1:19" x14ac:dyDescent="0.35">
      <c r="A614" s="26" t="s">
        <v>543</v>
      </c>
      <c r="B614" s="26" t="s">
        <v>543</v>
      </c>
      <c r="C614" s="26"/>
      <c r="D614" s="26" t="s">
        <v>543</v>
      </c>
      <c r="E614" s="26" t="str">
        <f>IFERROR(VLOOKUP(G614,WholesaleExtract!B:J,9,FALSE),"")</f>
        <v/>
      </c>
      <c r="F614" s="26" t="str">
        <f>IFERROR(VLOOKUP(G614,WholesaleExtract!B:J,6,FALSE),"")</f>
        <v/>
      </c>
      <c r="G614" s="48"/>
      <c r="H614" s="47" t="str">
        <f>IFERROR(VLOOKUP(G614,WholesaleExtract!B:L,11,FALSE),"")</f>
        <v/>
      </c>
      <c r="I614" s="26" t="str">
        <f>IFERROR(VLOOKUP(G614,WholesaleExtract!B:O,8,FALSE),"")</f>
        <v/>
      </c>
      <c r="J614" s="26" t="str">
        <f>IFERROR(VLOOKUP(G614,WholesaleExtract!B:O,14,FALSE),"")</f>
        <v/>
      </c>
      <c r="K614" s="26" t="str">
        <f>IFERROR(VLOOKUP(G614,WholesaleExtract!B:K,10,FALSE),"")</f>
        <v/>
      </c>
      <c r="L614" s="47" t="str">
        <f>IFERROR(VLOOKUP(G614,WholesaleExtract!B:L,11,FALSE),"")</f>
        <v/>
      </c>
      <c r="M614" s="47" t="str">
        <f>IFERROR(VLOOKUP(G614,WholesaleExtract!B:M,12,FALSE),"")</f>
        <v/>
      </c>
      <c r="N614" s="27"/>
      <c r="O614" s="19"/>
      <c r="P614" s="19"/>
      <c r="Q614" s="47"/>
      <c r="R614" s="19"/>
      <c r="S614" s="19"/>
    </row>
    <row r="615" spans="1:19" x14ac:dyDescent="0.35">
      <c r="A615" s="26" t="s">
        <v>543</v>
      </c>
      <c r="B615" s="26" t="s">
        <v>543</v>
      </c>
      <c r="C615" s="26"/>
      <c r="D615" s="26" t="s">
        <v>543</v>
      </c>
      <c r="E615" s="26" t="str">
        <f>IFERROR(VLOOKUP(G615,WholesaleExtract!B:J,9,FALSE),"")</f>
        <v/>
      </c>
      <c r="F615" s="26" t="str">
        <f>IFERROR(VLOOKUP(G615,WholesaleExtract!B:J,6,FALSE),"")</f>
        <v/>
      </c>
      <c r="G615" s="48"/>
      <c r="H615" s="47" t="str">
        <f>IFERROR(VLOOKUP(G615,WholesaleExtract!B:L,11,FALSE),"")</f>
        <v/>
      </c>
      <c r="I615" s="26" t="str">
        <f>IFERROR(VLOOKUP(G615,WholesaleExtract!B:O,8,FALSE),"")</f>
        <v/>
      </c>
      <c r="J615" s="26" t="str">
        <f>IFERROR(VLOOKUP(G615,WholesaleExtract!B:O,14,FALSE),"")</f>
        <v/>
      </c>
      <c r="K615" s="26" t="str">
        <f>IFERROR(VLOOKUP(G615,WholesaleExtract!B:K,10,FALSE),"")</f>
        <v/>
      </c>
      <c r="L615" s="47" t="str">
        <f>IFERROR(VLOOKUP(G615,WholesaleExtract!B:L,11,FALSE),"")</f>
        <v/>
      </c>
      <c r="M615" s="47" t="str">
        <f>IFERROR(VLOOKUP(G615,WholesaleExtract!B:M,12,FALSE),"")</f>
        <v/>
      </c>
      <c r="N615" s="27"/>
      <c r="O615" s="19"/>
      <c r="P615" s="19"/>
      <c r="Q615" s="47"/>
      <c r="R615" s="19"/>
      <c r="S615" s="19"/>
    </row>
    <row r="616" spans="1:19" x14ac:dyDescent="0.35">
      <c r="A616" s="26" t="s">
        <v>543</v>
      </c>
      <c r="B616" s="26" t="s">
        <v>543</v>
      </c>
      <c r="C616" s="26"/>
      <c r="D616" s="26" t="s">
        <v>543</v>
      </c>
      <c r="E616" s="26" t="str">
        <f>IFERROR(VLOOKUP(G616,WholesaleExtract!B:J,9,FALSE),"")</f>
        <v/>
      </c>
      <c r="F616" s="26" t="str">
        <f>IFERROR(VLOOKUP(G616,WholesaleExtract!B:J,6,FALSE),"")</f>
        <v/>
      </c>
      <c r="G616" s="48"/>
      <c r="H616" s="47" t="str">
        <f>IFERROR(VLOOKUP(G616,WholesaleExtract!B:L,11,FALSE),"")</f>
        <v/>
      </c>
      <c r="I616" s="26" t="str">
        <f>IFERROR(VLOOKUP(G616,WholesaleExtract!B:O,8,FALSE),"")</f>
        <v/>
      </c>
      <c r="J616" s="26" t="str">
        <f>IFERROR(VLOOKUP(G616,WholesaleExtract!B:O,14,FALSE),"")</f>
        <v/>
      </c>
      <c r="K616" s="26" t="str">
        <f>IFERROR(VLOOKUP(G616,WholesaleExtract!B:K,10,FALSE),"")</f>
        <v/>
      </c>
      <c r="L616" s="47" t="str">
        <f>IFERROR(VLOOKUP(G616,WholesaleExtract!B:L,11,FALSE),"")</f>
        <v/>
      </c>
      <c r="M616" s="47" t="str">
        <f>IFERROR(VLOOKUP(G616,WholesaleExtract!B:M,12,FALSE),"")</f>
        <v/>
      </c>
      <c r="N616" s="27"/>
      <c r="O616" s="19"/>
      <c r="P616" s="19"/>
      <c r="Q616" s="47"/>
      <c r="R616" s="19"/>
      <c r="S616" s="19"/>
    </row>
    <row r="617" spans="1:19" x14ac:dyDescent="0.35">
      <c r="A617" s="26" t="s">
        <v>543</v>
      </c>
      <c r="B617" s="26" t="s">
        <v>543</v>
      </c>
      <c r="C617" s="26"/>
      <c r="D617" s="26" t="s">
        <v>543</v>
      </c>
      <c r="E617" s="26" t="str">
        <f>IFERROR(VLOOKUP(G617,WholesaleExtract!B:J,9,FALSE),"")</f>
        <v/>
      </c>
      <c r="F617" s="26" t="str">
        <f>IFERROR(VLOOKUP(G617,WholesaleExtract!B:J,6,FALSE),"")</f>
        <v/>
      </c>
      <c r="G617" s="48"/>
      <c r="H617" s="47" t="str">
        <f>IFERROR(VLOOKUP(G617,WholesaleExtract!B:L,11,FALSE),"")</f>
        <v/>
      </c>
      <c r="I617" s="26" t="str">
        <f>IFERROR(VLOOKUP(G617,WholesaleExtract!B:O,8,FALSE),"")</f>
        <v/>
      </c>
      <c r="J617" s="26" t="str">
        <f>IFERROR(VLOOKUP(G617,WholesaleExtract!B:O,14,FALSE),"")</f>
        <v/>
      </c>
      <c r="K617" s="26" t="str">
        <f>IFERROR(VLOOKUP(G617,WholesaleExtract!B:K,10,FALSE),"")</f>
        <v/>
      </c>
      <c r="L617" s="47" t="str">
        <f>IFERROR(VLOOKUP(G617,WholesaleExtract!B:L,11,FALSE),"")</f>
        <v/>
      </c>
      <c r="M617" s="47" t="str">
        <f>IFERROR(VLOOKUP(G617,WholesaleExtract!B:M,12,FALSE),"")</f>
        <v/>
      </c>
      <c r="N617" s="27"/>
      <c r="O617" s="19"/>
      <c r="P617" s="19"/>
      <c r="Q617" s="47"/>
      <c r="R617" s="19"/>
      <c r="S617" s="19"/>
    </row>
    <row r="618" spans="1:19" x14ac:dyDescent="0.35">
      <c r="A618" s="26" t="s">
        <v>543</v>
      </c>
      <c r="B618" s="26" t="s">
        <v>543</v>
      </c>
      <c r="C618" s="26"/>
      <c r="D618" s="26" t="s">
        <v>543</v>
      </c>
      <c r="E618" s="26" t="str">
        <f>IFERROR(VLOOKUP(G618,WholesaleExtract!B:J,9,FALSE),"")</f>
        <v/>
      </c>
      <c r="F618" s="26" t="str">
        <f>IFERROR(VLOOKUP(G618,WholesaleExtract!B:J,6,FALSE),"")</f>
        <v/>
      </c>
      <c r="G618" s="48"/>
      <c r="H618" s="47" t="str">
        <f>IFERROR(VLOOKUP(G618,WholesaleExtract!B:L,11,FALSE),"")</f>
        <v/>
      </c>
      <c r="I618" s="26" t="str">
        <f>IFERROR(VLOOKUP(G618,WholesaleExtract!B:O,8,FALSE),"")</f>
        <v/>
      </c>
      <c r="J618" s="26" t="str">
        <f>IFERROR(VLOOKUP(G618,WholesaleExtract!B:O,14,FALSE),"")</f>
        <v/>
      </c>
      <c r="K618" s="26" t="str">
        <f>IFERROR(VLOOKUP(G618,WholesaleExtract!B:K,10,FALSE),"")</f>
        <v/>
      </c>
      <c r="L618" s="47" t="str">
        <f>IFERROR(VLOOKUP(G618,WholesaleExtract!B:L,11,FALSE),"")</f>
        <v/>
      </c>
      <c r="M618" s="47" t="str">
        <f>IFERROR(VLOOKUP(G618,WholesaleExtract!B:M,12,FALSE),"")</f>
        <v/>
      </c>
      <c r="N618" s="27"/>
      <c r="O618" s="19"/>
      <c r="P618" s="19"/>
      <c r="Q618" s="47"/>
      <c r="R618" s="19"/>
      <c r="S618" s="19"/>
    </row>
    <row r="619" spans="1:19" x14ac:dyDescent="0.35">
      <c r="A619" s="26" t="s">
        <v>543</v>
      </c>
      <c r="B619" s="26" t="s">
        <v>543</v>
      </c>
      <c r="C619" s="26"/>
      <c r="D619" s="26" t="s">
        <v>543</v>
      </c>
      <c r="E619" s="26" t="str">
        <f>IFERROR(VLOOKUP(G619,WholesaleExtract!B:J,9,FALSE),"")</f>
        <v/>
      </c>
      <c r="F619" s="26" t="str">
        <f>IFERROR(VLOOKUP(G619,WholesaleExtract!B:J,6,FALSE),"")</f>
        <v/>
      </c>
      <c r="G619" s="48"/>
      <c r="H619" s="47" t="str">
        <f>IFERROR(VLOOKUP(G619,WholesaleExtract!B:L,11,FALSE),"")</f>
        <v/>
      </c>
      <c r="I619" s="26" t="str">
        <f>IFERROR(VLOOKUP(G619,WholesaleExtract!B:O,8,FALSE),"")</f>
        <v/>
      </c>
      <c r="J619" s="26" t="str">
        <f>IFERROR(VLOOKUP(G619,WholesaleExtract!B:O,14,FALSE),"")</f>
        <v/>
      </c>
      <c r="K619" s="26" t="str">
        <f>IFERROR(VLOOKUP(G619,WholesaleExtract!B:K,10,FALSE),"")</f>
        <v/>
      </c>
      <c r="L619" s="47" t="str">
        <f>IFERROR(VLOOKUP(G619,WholesaleExtract!B:L,11,FALSE),"")</f>
        <v/>
      </c>
      <c r="M619" s="47" t="str">
        <f>IFERROR(VLOOKUP(G619,WholesaleExtract!B:M,12,FALSE),"")</f>
        <v/>
      </c>
      <c r="N619" s="27"/>
      <c r="O619" s="19"/>
      <c r="P619" s="19"/>
      <c r="Q619" s="47"/>
      <c r="R619" s="19"/>
      <c r="S619" s="19"/>
    </row>
    <row r="620" spans="1:19" x14ac:dyDescent="0.35">
      <c r="A620" s="26" t="s">
        <v>543</v>
      </c>
      <c r="B620" s="26" t="s">
        <v>543</v>
      </c>
      <c r="C620" s="26"/>
      <c r="D620" s="26" t="s">
        <v>543</v>
      </c>
      <c r="E620" s="26" t="str">
        <f>IFERROR(VLOOKUP(G620,WholesaleExtract!B:J,9,FALSE),"")</f>
        <v/>
      </c>
      <c r="F620" s="26" t="str">
        <f>IFERROR(VLOOKUP(G620,WholesaleExtract!B:J,6,FALSE),"")</f>
        <v/>
      </c>
      <c r="G620" s="48"/>
      <c r="H620" s="47" t="str">
        <f>IFERROR(VLOOKUP(G620,WholesaleExtract!B:L,11,FALSE),"")</f>
        <v/>
      </c>
      <c r="I620" s="26" t="str">
        <f>IFERROR(VLOOKUP(G620,WholesaleExtract!B:O,8,FALSE),"")</f>
        <v/>
      </c>
      <c r="J620" s="26" t="str">
        <f>IFERROR(VLOOKUP(G620,WholesaleExtract!B:O,14,FALSE),"")</f>
        <v/>
      </c>
      <c r="K620" s="26" t="str">
        <f>IFERROR(VLOOKUP(G620,WholesaleExtract!B:K,10,FALSE),"")</f>
        <v/>
      </c>
      <c r="L620" s="47" t="str">
        <f>IFERROR(VLOOKUP(G620,WholesaleExtract!B:L,11,FALSE),"")</f>
        <v/>
      </c>
      <c r="M620" s="47" t="str">
        <f>IFERROR(VLOOKUP(G620,WholesaleExtract!B:M,12,FALSE),"")</f>
        <v/>
      </c>
      <c r="N620" s="27"/>
      <c r="O620" s="19"/>
      <c r="P620" s="19"/>
      <c r="Q620" s="47"/>
      <c r="R620" s="19"/>
      <c r="S620" s="19"/>
    </row>
    <row r="621" spans="1:19" x14ac:dyDescent="0.35">
      <c r="A621" s="26" t="s">
        <v>543</v>
      </c>
      <c r="B621" s="26" t="s">
        <v>543</v>
      </c>
      <c r="C621" s="26"/>
      <c r="D621" s="26" t="s">
        <v>543</v>
      </c>
      <c r="E621" s="26" t="str">
        <f>IFERROR(VLOOKUP(G621,WholesaleExtract!B:J,9,FALSE),"")</f>
        <v/>
      </c>
      <c r="F621" s="26" t="str">
        <f>IFERROR(VLOOKUP(G621,WholesaleExtract!B:J,6,FALSE),"")</f>
        <v/>
      </c>
      <c r="G621" s="48"/>
      <c r="H621" s="47" t="str">
        <f>IFERROR(VLOOKUP(G621,WholesaleExtract!B:L,11,FALSE),"")</f>
        <v/>
      </c>
      <c r="I621" s="26" t="str">
        <f>IFERROR(VLOOKUP(G621,WholesaleExtract!B:O,8,FALSE),"")</f>
        <v/>
      </c>
      <c r="J621" s="26" t="str">
        <f>IFERROR(VLOOKUP(G621,WholesaleExtract!B:O,14,FALSE),"")</f>
        <v/>
      </c>
      <c r="K621" s="26" t="str">
        <f>IFERROR(VLOOKUP(G621,WholesaleExtract!B:K,10,FALSE),"")</f>
        <v/>
      </c>
      <c r="L621" s="47" t="str">
        <f>IFERROR(VLOOKUP(G621,WholesaleExtract!B:L,11,FALSE),"")</f>
        <v/>
      </c>
      <c r="M621" s="47" t="str">
        <f>IFERROR(VLOOKUP(G621,WholesaleExtract!B:M,12,FALSE),"")</f>
        <v/>
      </c>
      <c r="N621" s="27"/>
      <c r="O621" s="19"/>
      <c r="P621" s="19"/>
      <c r="Q621" s="47"/>
      <c r="R621" s="19"/>
      <c r="S621" s="19"/>
    </row>
    <row r="622" spans="1:19" x14ac:dyDescent="0.35">
      <c r="A622" s="26" t="s">
        <v>543</v>
      </c>
      <c r="B622" s="26" t="s">
        <v>543</v>
      </c>
      <c r="C622" s="26"/>
      <c r="D622" s="26" t="s">
        <v>543</v>
      </c>
      <c r="E622" s="26" t="str">
        <f>IFERROR(VLOOKUP(G622,WholesaleExtract!B:J,9,FALSE),"")</f>
        <v/>
      </c>
      <c r="F622" s="26" t="str">
        <f>IFERROR(VLOOKUP(G622,WholesaleExtract!B:J,6,FALSE),"")</f>
        <v/>
      </c>
      <c r="G622" s="48"/>
      <c r="H622" s="47" t="str">
        <f>IFERROR(VLOOKUP(G622,WholesaleExtract!B:L,11,FALSE),"")</f>
        <v/>
      </c>
      <c r="I622" s="26" t="str">
        <f>IFERROR(VLOOKUP(G622,WholesaleExtract!B:O,8,FALSE),"")</f>
        <v/>
      </c>
      <c r="J622" s="26" t="str">
        <f>IFERROR(VLOOKUP(G622,WholesaleExtract!B:O,14,FALSE),"")</f>
        <v/>
      </c>
      <c r="K622" s="26" t="str">
        <f>IFERROR(VLOOKUP(G622,WholesaleExtract!B:K,10,FALSE),"")</f>
        <v/>
      </c>
      <c r="L622" s="47" t="str">
        <f>IFERROR(VLOOKUP(G622,WholesaleExtract!B:L,11,FALSE),"")</f>
        <v/>
      </c>
      <c r="M622" s="47" t="str">
        <f>IFERROR(VLOOKUP(G622,WholesaleExtract!B:M,12,FALSE),"")</f>
        <v/>
      </c>
      <c r="N622" s="27"/>
      <c r="O622" s="19"/>
      <c r="P622" s="19"/>
      <c r="Q622" s="47"/>
      <c r="R622" s="19"/>
      <c r="S622" s="19"/>
    </row>
    <row r="623" spans="1:19" x14ac:dyDescent="0.35">
      <c r="A623" s="26" t="s">
        <v>543</v>
      </c>
      <c r="B623" s="26" t="s">
        <v>543</v>
      </c>
      <c r="C623" s="26"/>
      <c r="D623" s="26" t="s">
        <v>543</v>
      </c>
      <c r="E623" s="26" t="str">
        <f>IFERROR(VLOOKUP(G623,WholesaleExtract!B:J,9,FALSE),"")</f>
        <v/>
      </c>
      <c r="F623" s="26" t="str">
        <f>IFERROR(VLOOKUP(G623,WholesaleExtract!B:J,6,FALSE),"")</f>
        <v/>
      </c>
      <c r="G623" s="48"/>
      <c r="H623" s="47" t="str">
        <f>IFERROR(VLOOKUP(G623,WholesaleExtract!B:L,11,FALSE),"")</f>
        <v/>
      </c>
      <c r="I623" s="26" t="str">
        <f>IFERROR(VLOOKUP(G623,WholesaleExtract!B:O,8,FALSE),"")</f>
        <v/>
      </c>
      <c r="J623" s="26" t="str">
        <f>IFERROR(VLOOKUP(G623,WholesaleExtract!B:O,14,FALSE),"")</f>
        <v/>
      </c>
      <c r="K623" s="26" t="str">
        <f>IFERROR(VLOOKUP(G623,WholesaleExtract!B:K,10,FALSE),"")</f>
        <v/>
      </c>
      <c r="L623" s="47" t="str">
        <f>IFERROR(VLOOKUP(G623,WholesaleExtract!B:L,11,FALSE),"")</f>
        <v/>
      </c>
      <c r="M623" s="47" t="str">
        <f>IFERROR(VLOOKUP(G623,WholesaleExtract!B:M,12,FALSE),"")</f>
        <v/>
      </c>
      <c r="N623" s="27"/>
      <c r="O623" s="19"/>
      <c r="P623" s="19"/>
      <c r="Q623" s="47"/>
      <c r="R623" s="19"/>
      <c r="S623" s="19"/>
    </row>
    <row r="624" spans="1:19" x14ac:dyDescent="0.35">
      <c r="A624" s="26" t="s">
        <v>543</v>
      </c>
      <c r="B624" s="26" t="s">
        <v>543</v>
      </c>
      <c r="C624" s="26"/>
      <c r="D624" s="26" t="s">
        <v>543</v>
      </c>
      <c r="E624" s="26" t="str">
        <f>IFERROR(VLOOKUP(G624,WholesaleExtract!B:J,9,FALSE),"")</f>
        <v/>
      </c>
      <c r="F624" s="26" t="str">
        <f>IFERROR(VLOOKUP(G624,WholesaleExtract!B:J,6,FALSE),"")</f>
        <v/>
      </c>
      <c r="G624" s="48"/>
      <c r="H624" s="47" t="str">
        <f>IFERROR(VLOOKUP(G624,WholesaleExtract!B:L,11,FALSE),"")</f>
        <v/>
      </c>
      <c r="I624" s="26" t="str">
        <f>IFERROR(VLOOKUP(G624,WholesaleExtract!B:O,8,FALSE),"")</f>
        <v/>
      </c>
      <c r="J624" s="26" t="str">
        <f>IFERROR(VLOOKUP(G624,WholesaleExtract!B:O,14,FALSE),"")</f>
        <v/>
      </c>
      <c r="K624" s="26" t="str">
        <f>IFERROR(VLOOKUP(G624,WholesaleExtract!B:K,10,FALSE),"")</f>
        <v/>
      </c>
      <c r="L624" s="47" t="str">
        <f>IFERROR(VLOOKUP(G624,WholesaleExtract!B:L,11,FALSE),"")</f>
        <v/>
      </c>
      <c r="M624" s="47" t="str">
        <f>IFERROR(VLOOKUP(G624,WholesaleExtract!B:M,12,FALSE),"")</f>
        <v/>
      </c>
      <c r="N624" s="27"/>
      <c r="O624" s="19"/>
      <c r="P624" s="19"/>
      <c r="Q624" s="47"/>
      <c r="R624" s="19"/>
      <c r="S624" s="19"/>
    </row>
    <row r="625" spans="1:19" x14ac:dyDescent="0.35">
      <c r="A625" s="26" t="s">
        <v>543</v>
      </c>
      <c r="B625" s="26" t="s">
        <v>543</v>
      </c>
      <c r="C625" s="26"/>
      <c r="D625" s="26" t="s">
        <v>543</v>
      </c>
      <c r="E625" s="26" t="str">
        <f>IFERROR(VLOOKUP(G625,WholesaleExtract!B:J,9,FALSE),"")</f>
        <v/>
      </c>
      <c r="F625" s="26" t="str">
        <f>IFERROR(VLOOKUP(G625,WholesaleExtract!B:J,6,FALSE),"")</f>
        <v/>
      </c>
      <c r="G625" s="48"/>
      <c r="H625" s="47" t="str">
        <f>IFERROR(VLOOKUP(G625,WholesaleExtract!B:L,11,FALSE),"")</f>
        <v/>
      </c>
      <c r="I625" s="26" t="str">
        <f>IFERROR(VLOOKUP(G625,WholesaleExtract!B:O,8,FALSE),"")</f>
        <v/>
      </c>
      <c r="J625" s="26" t="str">
        <f>IFERROR(VLOOKUP(G625,WholesaleExtract!B:O,14,FALSE),"")</f>
        <v/>
      </c>
      <c r="K625" s="26" t="str">
        <f>IFERROR(VLOOKUP(G625,WholesaleExtract!B:K,10,FALSE),"")</f>
        <v/>
      </c>
      <c r="L625" s="47" t="str">
        <f>IFERROR(VLOOKUP(G625,WholesaleExtract!B:L,11,FALSE),"")</f>
        <v/>
      </c>
      <c r="M625" s="47" t="str">
        <f>IFERROR(VLOOKUP(G625,WholesaleExtract!B:M,12,FALSE),"")</f>
        <v/>
      </c>
      <c r="N625" s="27"/>
      <c r="O625" s="19"/>
      <c r="P625" s="19"/>
      <c r="Q625" s="47"/>
      <c r="R625" s="19"/>
      <c r="S625" s="19"/>
    </row>
    <row r="626" spans="1:19" x14ac:dyDescent="0.35">
      <c r="A626" s="26" t="s">
        <v>543</v>
      </c>
      <c r="B626" s="26" t="s">
        <v>543</v>
      </c>
      <c r="C626" s="26"/>
      <c r="D626" s="26" t="s">
        <v>543</v>
      </c>
      <c r="E626" s="26" t="str">
        <f>IFERROR(VLOOKUP(G626,WholesaleExtract!B:J,9,FALSE),"")</f>
        <v/>
      </c>
      <c r="F626" s="26" t="str">
        <f>IFERROR(VLOOKUP(G626,WholesaleExtract!B:J,6,FALSE),"")</f>
        <v/>
      </c>
      <c r="G626" s="48"/>
      <c r="H626" s="47" t="str">
        <f>IFERROR(VLOOKUP(G626,WholesaleExtract!B:L,11,FALSE),"")</f>
        <v/>
      </c>
      <c r="I626" s="26" t="str">
        <f>IFERROR(VLOOKUP(G626,WholesaleExtract!B:O,8,FALSE),"")</f>
        <v/>
      </c>
      <c r="J626" s="26" t="str">
        <f>IFERROR(VLOOKUP(G626,WholesaleExtract!B:O,14,FALSE),"")</f>
        <v/>
      </c>
      <c r="K626" s="26" t="str">
        <f>IFERROR(VLOOKUP(G626,WholesaleExtract!B:K,10,FALSE),"")</f>
        <v/>
      </c>
      <c r="L626" s="47" t="str">
        <f>IFERROR(VLOOKUP(G626,WholesaleExtract!B:L,11,FALSE),"")</f>
        <v/>
      </c>
      <c r="M626" s="47" t="str">
        <f>IFERROR(VLOOKUP(G626,WholesaleExtract!B:M,12,FALSE),"")</f>
        <v/>
      </c>
      <c r="N626" s="27"/>
      <c r="O626" s="19"/>
      <c r="P626" s="19"/>
      <c r="Q626" s="47"/>
      <c r="R626" s="19"/>
      <c r="S626" s="19"/>
    </row>
    <row r="627" spans="1:19" x14ac:dyDescent="0.35">
      <c r="A627" s="26" t="s">
        <v>543</v>
      </c>
      <c r="B627" s="26" t="s">
        <v>543</v>
      </c>
      <c r="C627" s="26"/>
      <c r="D627" s="26" t="s">
        <v>543</v>
      </c>
      <c r="E627" s="26" t="str">
        <f>IFERROR(VLOOKUP(G627,WholesaleExtract!B:J,9,FALSE),"")</f>
        <v/>
      </c>
      <c r="F627" s="26" t="str">
        <f>IFERROR(VLOOKUP(G627,WholesaleExtract!B:J,6,FALSE),"")</f>
        <v/>
      </c>
      <c r="G627" s="46"/>
      <c r="H627" s="47" t="str">
        <f>IFERROR(VLOOKUP(G627,WholesaleExtract!B:L,11,FALSE),"")</f>
        <v/>
      </c>
      <c r="I627" s="26" t="str">
        <f>IFERROR(VLOOKUP(G627,WholesaleExtract!B:O,8,FALSE),"")</f>
        <v/>
      </c>
      <c r="J627" s="26" t="str">
        <f>IFERROR(VLOOKUP(G627,WholesaleExtract!B:O,14,FALSE),"")</f>
        <v/>
      </c>
      <c r="K627" s="26" t="str">
        <f>IFERROR(VLOOKUP(G627,WholesaleExtract!B:K,10,FALSE),"")</f>
        <v/>
      </c>
      <c r="L627" s="47" t="str">
        <f>IFERROR(VLOOKUP(G627,WholesaleExtract!B:L,11,FALSE),"")</f>
        <v/>
      </c>
      <c r="M627" s="47" t="str">
        <f>IFERROR(VLOOKUP(G627,WholesaleExtract!B:M,12,FALSE),"")</f>
        <v/>
      </c>
      <c r="N627" s="27"/>
      <c r="O627" s="19"/>
      <c r="P627" s="19"/>
      <c r="Q627" s="47"/>
      <c r="R627" s="19"/>
      <c r="S627" s="19"/>
    </row>
    <row r="628" spans="1:19" x14ac:dyDescent="0.35">
      <c r="A628" s="26" t="s">
        <v>543</v>
      </c>
      <c r="B628" s="26" t="s">
        <v>543</v>
      </c>
      <c r="C628" s="26"/>
      <c r="D628" s="26" t="s">
        <v>543</v>
      </c>
      <c r="E628" s="26" t="str">
        <f>IFERROR(VLOOKUP(G628,WholesaleExtract!B:J,9,FALSE),"")</f>
        <v/>
      </c>
      <c r="F628" s="26" t="str">
        <f>IFERROR(VLOOKUP(G628,WholesaleExtract!B:J,6,FALSE),"")</f>
        <v/>
      </c>
      <c r="G628" s="46"/>
      <c r="H628" s="47" t="str">
        <f>IFERROR(VLOOKUP(G628,WholesaleExtract!B:L,11,FALSE),"")</f>
        <v/>
      </c>
      <c r="I628" s="26" t="str">
        <f>IFERROR(VLOOKUP(G628,WholesaleExtract!B:O,8,FALSE),"")</f>
        <v/>
      </c>
      <c r="J628" s="26" t="str">
        <f>IFERROR(VLOOKUP(G628,WholesaleExtract!B:O,14,FALSE),"")</f>
        <v/>
      </c>
      <c r="K628" s="26" t="str">
        <f>IFERROR(VLOOKUP(G628,WholesaleExtract!B:K,10,FALSE),"")</f>
        <v/>
      </c>
      <c r="L628" s="47" t="str">
        <f>IFERROR(VLOOKUP(G628,WholesaleExtract!B:L,11,FALSE),"")</f>
        <v/>
      </c>
      <c r="M628" s="47" t="str">
        <f>IFERROR(VLOOKUP(G628,WholesaleExtract!B:M,12,FALSE),"")</f>
        <v/>
      </c>
      <c r="N628" s="27"/>
      <c r="O628" s="19"/>
      <c r="P628" s="19"/>
      <c r="Q628" s="47"/>
      <c r="R628" s="19"/>
      <c r="S628" s="19"/>
    </row>
    <row r="629" spans="1:19" x14ac:dyDescent="0.35">
      <c r="A629" s="26" t="s">
        <v>543</v>
      </c>
      <c r="B629" s="26" t="s">
        <v>543</v>
      </c>
      <c r="C629" s="26"/>
      <c r="D629" s="26" t="s">
        <v>543</v>
      </c>
      <c r="E629" s="26" t="str">
        <f>IFERROR(VLOOKUP(G629,WholesaleExtract!B:J,9,FALSE),"")</f>
        <v/>
      </c>
      <c r="F629" s="26" t="str">
        <f>IFERROR(VLOOKUP(G629,WholesaleExtract!B:J,6,FALSE),"")</f>
        <v/>
      </c>
      <c r="G629" s="46"/>
      <c r="H629" s="47" t="str">
        <f>IFERROR(VLOOKUP(G629,WholesaleExtract!B:L,11,FALSE),"")</f>
        <v/>
      </c>
      <c r="I629" s="26" t="str">
        <f>IFERROR(VLOOKUP(G629,WholesaleExtract!B:O,8,FALSE),"")</f>
        <v/>
      </c>
      <c r="J629" s="26" t="str">
        <f>IFERROR(VLOOKUP(G629,WholesaleExtract!B:O,14,FALSE),"")</f>
        <v/>
      </c>
      <c r="K629" s="26" t="str">
        <f>IFERROR(VLOOKUP(G629,WholesaleExtract!B:K,10,FALSE),"")</f>
        <v/>
      </c>
      <c r="L629" s="47" t="str">
        <f>IFERROR(VLOOKUP(G629,WholesaleExtract!B:L,11,FALSE),"")</f>
        <v/>
      </c>
      <c r="M629" s="47" t="str">
        <f>IFERROR(VLOOKUP(G629,WholesaleExtract!B:M,12,FALSE),"")</f>
        <v/>
      </c>
      <c r="N629" s="27"/>
      <c r="O629" s="19"/>
      <c r="P629" s="19"/>
      <c r="Q629" s="47"/>
      <c r="R629" s="19"/>
      <c r="S629" s="19"/>
    </row>
    <row r="630" spans="1:19" x14ac:dyDescent="0.35">
      <c r="A630" s="26" t="s">
        <v>543</v>
      </c>
      <c r="B630" s="26" t="s">
        <v>543</v>
      </c>
      <c r="C630" s="26"/>
      <c r="D630" s="26" t="s">
        <v>543</v>
      </c>
      <c r="E630" s="26" t="str">
        <f>IFERROR(VLOOKUP(G630,WholesaleExtract!B:J,9,FALSE),"")</f>
        <v/>
      </c>
      <c r="F630" s="26" t="str">
        <f>IFERROR(VLOOKUP(G630,WholesaleExtract!B:J,6,FALSE),"")</f>
        <v/>
      </c>
      <c r="G630" s="46"/>
      <c r="H630" s="47" t="str">
        <f>IFERROR(VLOOKUP(G630,WholesaleExtract!B:L,11,FALSE),"")</f>
        <v/>
      </c>
      <c r="I630" s="26" t="str">
        <f>IFERROR(VLOOKUP(G630,WholesaleExtract!B:O,8,FALSE),"")</f>
        <v/>
      </c>
      <c r="J630" s="26" t="str">
        <f>IFERROR(VLOOKUP(G630,WholesaleExtract!B:O,14,FALSE),"")</f>
        <v/>
      </c>
      <c r="K630" s="26" t="str">
        <f>IFERROR(VLOOKUP(G630,WholesaleExtract!B:K,10,FALSE),"")</f>
        <v/>
      </c>
      <c r="L630" s="47" t="str">
        <f>IFERROR(VLOOKUP(G630,WholesaleExtract!B:L,11,FALSE),"")</f>
        <v/>
      </c>
      <c r="M630" s="47" t="str">
        <f>IFERROR(VLOOKUP(G630,WholesaleExtract!B:M,12,FALSE),"")</f>
        <v/>
      </c>
      <c r="N630" s="27"/>
      <c r="O630" s="19"/>
      <c r="P630" s="19"/>
      <c r="Q630" s="47"/>
      <c r="R630" s="19"/>
      <c r="S630" s="19"/>
    </row>
    <row r="631" spans="1:19" x14ac:dyDescent="0.35">
      <c r="A631" s="26" t="s">
        <v>543</v>
      </c>
      <c r="B631" s="26" t="s">
        <v>543</v>
      </c>
      <c r="C631" s="26"/>
      <c r="D631" s="26" t="s">
        <v>543</v>
      </c>
      <c r="E631" s="26" t="str">
        <f>IFERROR(VLOOKUP(G631,WholesaleExtract!B:J,9,FALSE),"")</f>
        <v/>
      </c>
      <c r="F631" s="26" t="str">
        <f>IFERROR(VLOOKUP(G631,WholesaleExtract!B:J,6,FALSE),"")</f>
        <v/>
      </c>
      <c r="G631" s="46"/>
      <c r="H631" s="47" t="str">
        <f>IFERROR(VLOOKUP(G631,WholesaleExtract!B:L,11,FALSE),"")</f>
        <v/>
      </c>
      <c r="I631" s="26" t="str">
        <f>IFERROR(VLOOKUP(G631,WholesaleExtract!B:O,8,FALSE),"")</f>
        <v/>
      </c>
      <c r="J631" s="26" t="str">
        <f>IFERROR(VLOOKUP(G631,WholesaleExtract!B:O,14,FALSE),"")</f>
        <v/>
      </c>
      <c r="K631" s="26" t="str">
        <f>IFERROR(VLOOKUP(G631,WholesaleExtract!B:K,10,FALSE),"")</f>
        <v/>
      </c>
      <c r="L631" s="47" t="str">
        <f>IFERROR(VLOOKUP(G631,WholesaleExtract!B:L,11,FALSE),"")</f>
        <v/>
      </c>
      <c r="M631" s="47" t="str">
        <f>IFERROR(VLOOKUP(G631,WholesaleExtract!B:M,12,FALSE),"")</f>
        <v/>
      </c>
      <c r="N631" s="27"/>
      <c r="O631" s="19"/>
      <c r="P631" s="19"/>
      <c r="Q631" s="47"/>
      <c r="R631" s="19"/>
      <c r="S631" s="19"/>
    </row>
    <row r="632" spans="1:19" x14ac:dyDescent="0.35">
      <c r="A632" s="26" t="s">
        <v>543</v>
      </c>
      <c r="B632" s="26" t="s">
        <v>543</v>
      </c>
      <c r="C632" s="26"/>
      <c r="D632" s="26" t="s">
        <v>543</v>
      </c>
      <c r="E632" s="26" t="str">
        <f>IFERROR(VLOOKUP(G632,WholesaleExtract!B:J,9,FALSE),"")</f>
        <v/>
      </c>
      <c r="F632" s="26" t="str">
        <f>IFERROR(VLOOKUP(G632,WholesaleExtract!B:J,6,FALSE),"")</f>
        <v/>
      </c>
      <c r="G632" s="46"/>
      <c r="H632" s="47" t="str">
        <f>IFERROR(VLOOKUP(G632,WholesaleExtract!B:L,11,FALSE),"")</f>
        <v/>
      </c>
      <c r="I632" s="26" t="str">
        <f>IFERROR(VLOOKUP(G632,WholesaleExtract!B:O,8,FALSE),"")</f>
        <v/>
      </c>
      <c r="J632" s="26" t="str">
        <f>IFERROR(VLOOKUP(G632,WholesaleExtract!B:O,14,FALSE),"")</f>
        <v/>
      </c>
      <c r="K632" s="26" t="str">
        <f>IFERROR(VLOOKUP(G632,WholesaleExtract!B:K,10,FALSE),"")</f>
        <v/>
      </c>
      <c r="L632" s="47" t="str">
        <f>IFERROR(VLOOKUP(G632,WholesaleExtract!B:L,11,FALSE),"")</f>
        <v/>
      </c>
      <c r="M632" s="47" t="str">
        <f>IFERROR(VLOOKUP(G632,WholesaleExtract!B:M,12,FALSE),"")</f>
        <v/>
      </c>
      <c r="N632" s="27"/>
      <c r="O632" s="19"/>
      <c r="P632" s="19"/>
      <c r="Q632" s="47"/>
      <c r="R632" s="19"/>
      <c r="S632" s="19"/>
    </row>
    <row r="633" spans="1:19" x14ac:dyDescent="0.35">
      <c r="A633" s="26" t="s">
        <v>543</v>
      </c>
      <c r="B633" s="26" t="s">
        <v>543</v>
      </c>
      <c r="C633" s="26"/>
      <c r="D633" s="26" t="s">
        <v>543</v>
      </c>
      <c r="E633" s="26" t="str">
        <f>IFERROR(VLOOKUP(G633,WholesaleExtract!B:J,9,FALSE),"")</f>
        <v/>
      </c>
      <c r="F633" s="26" t="str">
        <f>IFERROR(VLOOKUP(G633,WholesaleExtract!B:J,6,FALSE),"")</f>
        <v/>
      </c>
      <c r="G633" s="46"/>
      <c r="H633" s="47" t="str">
        <f>IFERROR(VLOOKUP(G633,WholesaleExtract!B:L,11,FALSE),"")</f>
        <v/>
      </c>
      <c r="I633" s="26" t="str">
        <f>IFERROR(VLOOKUP(G633,WholesaleExtract!B:O,8,FALSE),"")</f>
        <v/>
      </c>
      <c r="J633" s="26" t="str">
        <f>IFERROR(VLOOKUP(G633,WholesaleExtract!B:O,14,FALSE),"")</f>
        <v/>
      </c>
      <c r="K633" s="26" t="str">
        <f>IFERROR(VLOOKUP(G633,WholesaleExtract!B:K,10,FALSE),"")</f>
        <v/>
      </c>
      <c r="L633" s="47" t="str">
        <f>IFERROR(VLOOKUP(G633,WholesaleExtract!B:L,11,FALSE),"")</f>
        <v/>
      </c>
      <c r="M633" s="47" t="str">
        <f>IFERROR(VLOOKUP(G633,WholesaleExtract!B:M,12,FALSE),"")</f>
        <v/>
      </c>
      <c r="N633" s="27"/>
      <c r="O633" s="19"/>
      <c r="P633" s="19"/>
      <c r="Q633" s="47"/>
      <c r="R633" s="19"/>
      <c r="S633" s="19"/>
    </row>
    <row r="634" spans="1:19" x14ac:dyDescent="0.35">
      <c r="A634" s="26" t="s">
        <v>543</v>
      </c>
      <c r="B634" s="26" t="s">
        <v>543</v>
      </c>
      <c r="C634" s="26"/>
      <c r="D634" s="26" t="s">
        <v>543</v>
      </c>
      <c r="E634" s="26" t="str">
        <f>IFERROR(VLOOKUP(G634,WholesaleExtract!B:J,9,FALSE),"")</f>
        <v/>
      </c>
      <c r="F634" s="26" t="str">
        <f>IFERROR(VLOOKUP(G634,WholesaleExtract!B:J,6,FALSE),"")</f>
        <v/>
      </c>
      <c r="G634" s="46"/>
      <c r="H634" s="47" t="str">
        <f>IFERROR(VLOOKUP(G634,WholesaleExtract!B:L,11,FALSE),"")</f>
        <v/>
      </c>
      <c r="I634" s="26" t="str">
        <f>IFERROR(VLOOKUP(G634,WholesaleExtract!B:O,8,FALSE),"")</f>
        <v/>
      </c>
      <c r="J634" s="26" t="str">
        <f>IFERROR(VLOOKUP(G634,WholesaleExtract!B:O,14,FALSE),"")</f>
        <v/>
      </c>
      <c r="K634" s="26" t="str">
        <f>IFERROR(VLOOKUP(G634,WholesaleExtract!B:K,10,FALSE),"")</f>
        <v/>
      </c>
      <c r="L634" s="47" t="str">
        <f>IFERROR(VLOOKUP(G634,WholesaleExtract!B:L,11,FALSE),"")</f>
        <v/>
      </c>
      <c r="M634" s="47" t="str">
        <f>IFERROR(VLOOKUP(G634,WholesaleExtract!B:M,12,FALSE),"")</f>
        <v/>
      </c>
      <c r="N634" s="27"/>
      <c r="O634" s="19"/>
      <c r="P634" s="19"/>
      <c r="Q634" s="47"/>
      <c r="R634" s="19"/>
      <c r="S634" s="19"/>
    </row>
    <row r="635" spans="1:19" x14ac:dyDescent="0.35">
      <c r="A635" s="26" t="s">
        <v>543</v>
      </c>
      <c r="B635" s="26" t="s">
        <v>543</v>
      </c>
      <c r="C635" s="26"/>
      <c r="D635" s="26" t="s">
        <v>543</v>
      </c>
      <c r="E635" s="26" t="str">
        <f>IFERROR(VLOOKUP(G635,WholesaleExtract!B:J,9,FALSE),"")</f>
        <v/>
      </c>
      <c r="F635" s="26" t="str">
        <f>IFERROR(VLOOKUP(G635,WholesaleExtract!B:J,6,FALSE),"")</f>
        <v/>
      </c>
      <c r="G635" s="46"/>
      <c r="H635" s="47" t="str">
        <f>IFERROR(VLOOKUP(G635,WholesaleExtract!B:L,11,FALSE),"")</f>
        <v/>
      </c>
      <c r="I635" s="26" t="str">
        <f>IFERROR(VLOOKUP(G635,WholesaleExtract!B:O,8,FALSE),"")</f>
        <v/>
      </c>
      <c r="J635" s="26" t="str">
        <f>IFERROR(VLOOKUP(G635,WholesaleExtract!B:O,14,FALSE),"")</f>
        <v/>
      </c>
      <c r="K635" s="26" t="str">
        <f>IFERROR(VLOOKUP(G635,WholesaleExtract!B:K,10,FALSE),"")</f>
        <v/>
      </c>
      <c r="L635" s="47" t="str">
        <f>IFERROR(VLOOKUP(G635,WholesaleExtract!B:L,11,FALSE),"")</f>
        <v/>
      </c>
      <c r="M635" s="47" t="str">
        <f>IFERROR(VLOOKUP(G635,WholesaleExtract!B:M,12,FALSE),"")</f>
        <v/>
      </c>
      <c r="N635" s="27"/>
      <c r="O635" s="19"/>
      <c r="P635" s="19"/>
      <c r="Q635" s="47"/>
      <c r="R635" s="19"/>
      <c r="S635" s="19"/>
    </row>
    <row r="636" spans="1:19" x14ac:dyDescent="0.35">
      <c r="A636" s="26" t="s">
        <v>543</v>
      </c>
      <c r="B636" s="26" t="s">
        <v>543</v>
      </c>
      <c r="C636" s="26"/>
      <c r="D636" s="26" t="s">
        <v>543</v>
      </c>
      <c r="E636" s="26" t="str">
        <f>IFERROR(VLOOKUP(G636,WholesaleExtract!B:J,9,FALSE),"")</f>
        <v/>
      </c>
      <c r="F636" s="26" t="str">
        <f>IFERROR(VLOOKUP(G636,WholesaleExtract!B:J,6,FALSE),"")</f>
        <v/>
      </c>
      <c r="G636" s="46"/>
      <c r="H636" s="47" t="str">
        <f>IFERROR(VLOOKUP(G636,WholesaleExtract!B:L,11,FALSE),"")</f>
        <v/>
      </c>
      <c r="I636" s="26" t="str">
        <f>IFERROR(VLOOKUP(G636,WholesaleExtract!B:O,8,FALSE),"")</f>
        <v/>
      </c>
      <c r="J636" s="26" t="str">
        <f>IFERROR(VLOOKUP(G636,WholesaleExtract!B:O,14,FALSE),"")</f>
        <v/>
      </c>
      <c r="K636" s="26" t="str">
        <f>IFERROR(VLOOKUP(G636,WholesaleExtract!B:K,10,FALSE),"")</f>
        <v/>
      </c>
      <c r="L636" s="47" t="str">
        <f>IFERROR(VLOOKUP(G636,WholesaleExtract!B:L,11,FALSE),"")</f>
        <v/>
      </c>
      <c r="M636" s="47" t="str">
        <f>IFERROR(VLOOKUP(G636,WholesaleExtract!B:M,12,FALSE),"")</f>
        <v/>
      </c>
      <c r="N636" s="27"/>
      <c r="O636" s="19"/>
      <c r="P636" s="19"/>
      <c r="Q636" s="47"/>
      <c r="R636" s="19"/>
      <c r="S636" s="19"/>
    </row>
    <row r="637" spans="1:19" x14ac:dyDescent="0.35">
      <c r="A637" s="26" t="s">
        <v>543</v>
      </c>
      <c r="B637" s="26" t="s">
        <v>543</v>
      </c>
      <c r="C637" s="26"/>
      <c r="D637" s="26" t="s">
        <v>543</v>
      </c>
      <c r="E637" s="26" t="str">
        <f>IFERROR(VLOOKUP(G637,WholesaleExtract!B:J,9,FALSE),"")</f>
        <v/>
      </c>
      <c r="F637" s="26" t="str">
        <f>IFERROR(VLOOKUP(G637,WholesaleExtract!B:J,6,FALSE),"")</f>
        <v/>
      </c>
      <c r="G637" s="46"/>
      <c r="H637" s="47" t="str">
        <f>IFERROR(VLOOKUP(G637,WholesaleExtract!B:L,11,FALSE),"")</f>
        <v/>
      </c>
      <c r="I637" s="26" t="str">
        <f>IFERROR(VLOOKUP(G637,WholesaleExtract!B:O,8,FALSE),"")</f>
        <v/>
      </c>
      <c r="J637" s="26" t="str">
        <f>IFERROR(VLOOKUP(G637,WholesaleExtract!B:O,14,FALSE),"")</f>
        <v/>
      </c>
      <c r="K637" s="26" t="str">
        <f>IFERROR(VLOOKUP(G637,WholesaleExtract!B:K,10,FALSE),"")</f>
        <v/>
      </c>
      <c r="L637" s="47" t="str">
        <f>IFERROR(VLOOKUP(G637,WholesaleExtract!B:L,11,FALSE),"")</f>
        <v/>
      </c>
      <c r="M637" s="47" t="str">
        <f>IFERROR(VLOOKUP(G637,WholesaleExtract!B:M,12,FALSE),"")</f>
        <v/>
      </c>
      <c r="N637" s="27"/>
      <c r="O637" s="19"/>
      <c r="P637" s="19"/>
      <c r="Q637" s="47"/>
      <c r="R637" s="19"/>
      <c r="S637" s="19"/>
    </row>
    <row r="638" spans="1:19" x14ac:dyDescent="0.35">
      <c r="A638" s="26" t="s">
        <v>543</v>
      </c>
      <c r="B638" s="26" t="s">
        <v>543</v>
      </c>
      <c r="C638" s="26"/>
      <c r="D638" s="26" t="s">
        <v>543</v>
      </c>
      <c r="E638" s="26" t="str">
        <f>IFERROR(VLOOKUP(G638,WholesaleExtract!B:J,9,FALSE),"")</f>
        <v/>
      </c>
      <c r="F638" s="26" t="str">
        <f>IFERROR(VLOOKUP(G638,WholesaleExtract!B:J,6,FALSE),"")</f>
        <v/>
      </c>
      <c r="G638" s="46"/>
      <c r="H638" s="47" t="str">
        <f>IFERROR(VLOOKUP(G638,WholesaleExtract!B:L,11,FALSE),"")</f>
        <v/>
      </c>
      <c r="I638" s="26" t="str">
        <f>IFERROR(VLOOKUP(G638,WholesaleExtract!B:O,8,FALSE),"")</f>
        <v/>
      </c>
      <c r="J638" s="26" t="str">
        <f>IFERROR(VLOOKUP(G638,WholesaleExtract!B:O,14,FALSE),"")</f>
        <v/>
      </c>
      <c r="K638" s="26" t="str">
        <f>IFERROR(VLOOKUP(G638,WholesaleExtract!B:K,10,FALSE),"")</f>
        <v/>
      </c>
      <c r="L638" s="47" t="str">
        <f>IFERROR(VLOOKUP(G638,WholesaleExtract!B:L,11,FALSE),"")</f>
        <v/>
      </c>
      <c r="M638" s="47" t="str">
        <f>IFERROR(VLOOKUP(G638,WholesaleExtract!B:M,12,FALSE),"")</f>
        <v/>
      </c>
      <c r="N638" s="27"/>
      <c r="O638" s="19"/>
      <c r="P638" s="19"/>
      <c r="Q638" s="47"/>
      <c r="R638" s="19"/>
      <c r="S638" s="19"/>
    </row>
    <row r="639" spans="1:19" x14ac:dyDescent="0.35">
      <c r="A639" s="26" t="s">
        <v>543</v>
      </c>
      <c r="B639" s="26" t="s">
        <v>543</v>
      </c>
      <c r="C639" s="26"/>
      <c r="D639" s="26" t="s">
        <v>543</v>
      </c>
      <c r="E639" s="26" t="str">
        <f>IFERROR(VLOOKUP(G639,WholesaleExtract!B:J,9,FALSE),"")</f>
        <v/>
      </c>
      <c r="F639" s="26" t="str">
        <f>IFERROR(VLOOKUP(G639,WholesaleExtract!B:J,6,FALSE),"")</f>
        <v/>
      </c>
      <c r="G639" s="46"/>
      <c r="H639" s="47" t="str">
        <f>IFERROR(VLOOKUP(G639,WholesaleExtract!B:L,11,FALSE),"")</f>
        <v/>
      </c>
      <c r="I639" s="26" t="str">
        <f>IFERROR(VLOOKUP(G639,WholesaleExtract!B:O,8,FALSE),"")</f>
        <v/>
      </c>
      <c r="J639" s="26" t="str">
        <f>IFERROR(VLOOKUP(G639,WholesaleExtract!B:O,14,FALSE),"")</f>
        <v/>
      </c>
      <c r="K639" s="26" t="str">
        <f>IFERROR(VLOOKUP(G639,WholesaleExtract!B:K,10,FALSE),"")</f>
        <v/>
      </c>
      <c r="L639" s="47" t="str">
        <f>IFERROR(VLOOKUP(G639,WholesaleExtract!B:L,11,FALSE),"")</f>
        <v/>
      </c>
      <c r="M639" s="47" t="str">
        <f>IFERROR(VLOOKUP(G639,WholesaleExtract!B:M,12,FALSE),"")</f>
        <v/>
      </c>
      <c r="N639" s="27"/>
      <c r="O639" s="19"/>
      <c r="P639" s="19"/>
      <c r="Q639" s="47"/>
      <c r="R639" s="19"/>
      <c r="S639" s="19"/>
    </row>
    <row r="640" spans="1:19" x14ac:dyDescent="0.35">
      <c r="A640" s="26" t="s">
        <v>543</v>
      </c>
      <c r="B640" s="26" t="s">
        <v>543</v>
      </c>
      <c r="C640" s="26"/>
      <c r="D640" s="26" t="s">
        <v>543</v>
      </c>
      <c r="E640" s="26" t="str">
        <f>IFERROR(VLOOKUP(G640,WholesaleExtract!B:J,9,FALSE),"")</f>
        <v/>
      </c>
      <c r="F640" s="26" t="str">
        <f>IFERROR(VLOOKUP(G640,WholesaleExtract!B:J,6,FALSE),"")</f>
        <v/>
      </c>
      <c r="G640" s="46"/>
      <c r="H640" s="47" t="str">
        <f>IFERROR(VLOOKUP(G640,WholesaleExtract!B:L,11,FALSE),"")</f>
        <v/>
      </c>
      <c r="I640" s="26" t="str">
        <f>IFERROR(VLOOKUP(G640,WholesaleExtract!B:O,8,FALSE),"")</f>
        <v/>
      </c>
      <c r="J640" s="26" t="str">
        <f>IFERROR(VLOOKUP(G640,WholesaleExtract!B:O,14,FALSE),"")</f>
        <v/>
      </c>
      <c r="K640" s="26" t="str">
        <f>IFERROR(VLOOKUP(G640,WholesaleExtract!B:K,10,FALSE),"")</f>
        <v/>
      </c>
      <c r="L640" s="47" t="str">
        <f>IFERROR(VLOOKUP(G640,WholesaleExtract!B:L,11,FALSE),"")</f>
        <v/>
      </c>
      <c r="M640" s="47" t="str">
        <f>IFERROR(VLOOKUP(G640,WholesaleExtract!B:M,12,FALSE),"")</f>
        <v/>
      </c>
      <c r="N640" s="27"/>
      <c r="O640" s="19"/>
      <c r="P640" s="19"/>
      <c r="Q640" s="47"/>
      <c r="R640" s="19"/>
      <c r="S640" s="19"/>
    </row>
    <row r="641" spans="1:19" x14ac:dyDescent="0.35">
      <c r="A641" s="26" t="s">
        <v>543</v>
      </c>
      <c r="B641" s="26" t="s">
        <v>543</v>
      </c>
      <c r="C641" s="26"/>
      <c r="D641" s="26" t="s">
        <v>543</v>
      </c>
      <c r="E641" s="26" t="str">
        <f>IFERROR(VLOOKUP(G641,WholesaleExtract!B:J,9,FALSE),"")</f>
        <v/>
      </c>
      <c r="F641" s="26" t="str">
        <f>IFERROR(VLOOKUP(G641,WholesaleExtract!B:J,6,FALSE),"")</f>
        <v/>
      </c>
      <c r="G641" s="46"/>
      <c r="H641" s="47" t="str">
        <f>IFERROR(VLOOKUP(G641,WholesaleExtract!B:L,11,FALSE),"")</f>
        <v/>
      </c>
      <c r="I641" s="26" t="str">
        <f>IFERROR(VLOOKUP(G641,WholesaleExtract!B:O,8,FALSE),"")</f>
        <v/>
      </c>
      <c r="J641" s="26" t="str">
        <f>IFERROR(VLOOKUP(G641,WholesaleExtract!B:O,14,FALSE),"")</f>
        <v/>
      </c>
      <c r="K641" s="26" t="str">
        <f>IFERROR(VLOOKUP(G641,WholesaleExtract!B:K,10,FALSE),"")</f>
        <v/>
      </c>
      <c r="L641" s="47" t="str">
        <f>IFERROR(VLOOKUP(G641,WholesaleExtract!B:L,11,FALSE),"")</f>
        <v/>
      </c>
      <c r="M641" s="47" t="str">
        <f>IFERROR(VLOOKUP(G641,WholesaleExtract!B:M,12,FALSE),"")</f>
        <v/>
      </c>
      <c r="N641" s="27"/>
      <c r="O641" s="19"/>
      <c r="P641" s="19"/>
      <c r="Q641" s="47"/>
      <c r="R641" s="19"/>
      <c r="S641" s="19"/>
    </row>
    <row r="642" spans="1:19" x14ac:dyDescent="0.35">
      <c r="A642" s="26" t="s">
        <v>543</v>
      </c>
      <c r="B642" s="26" t="s">
        <v>543</v>
      </c>
      <c r="C642" s="26"/>
      <c r="D642" s="26" t="s">
        <v>543</v>
      </c>
      <c r="E642" s="26" t="str">
        <f>IFERROR(VLOOKUP(G642,WholesaleExtract!B:J,9,FALSE),"")</f>
        <v/>
      </c>
      <c r="F642" s="26" t="str">
        <f>IFERROR(VLOOKUP(G642,WholesaleExtract!B:J,6,FALSE),"")</f>
        <v/>
      </c>
      <c r="G642" s="46"/>
      <c r="H642" s="47" t="str">
        <f>IFERROR(VLOOKUP(G642,WholesaleExtract!B:L,11,FALSE),"")</f>
        <v/>
      </c>
      <c r="I642" s="26" t="str">
        <f>IFERROR(VLOOKUP(G642,WholesaleExtract!B:O,8,FALSE),"")</f>
        <v/>
      </c>
      <c r="J642" s="26" t="str">
        <f>IFERROR(VLOOKUP(G642,WholesaleExtract!B:O,14,FALSE),"")</f>
        <v/>
      </c>
      <c r="K642" s="26" t="str">
        <f>IFERROR(VLOOKUP(G642,WholesaleExtract!B:K,10,FALSE),"")</f>
        <v/>
      </c>
      <c r="L642" s="47" t="str">
        <f>IFERROR(VLOOKUP(G642,WholesaleExtract!B:L,11,FALSE),"")</f>
        <v/>
      </c>
      <c r="M642" s="47" t="str">
        <f>IFERROR(VLOOKUP(G642,WholesaleExtract!B:M,12,FALSE),"")</f>
        <v/>
      </c>
      <c r="N642" s="27"/>
      <c r="O642" s="19"/>
      <c r="P642" s="19"/>
      <c r="Q642" s="47"/>
      <c r="R642" s="19"/>
      <c r="S642" s="19"/>
    </row>
    <row r="643" spans="1:19" x14ac:dyDescent="0.35">
      <c r="A643" s="26" t="s">
        <v>543</v>
      </c>
      <c r="B643" s="26" t="s">
        <v>543</v>
      </c>
      <c r="C643" s="26"/>
      <c r="D643" s="26" t="s">
        <v>543</v>
      </c>
      <c r="E643" s="26" t="str">
        <f>IFERROR(VLOOKUP(G643,WholesaleExtract!B:J,9,FALSE),"")</f>
        <v/>
      </c>
      <c r="F643" s="26" t="str">
        <f>IFERROR(VLOOKUP(G643,WholesaleExtract!B:J,6,FALSE),"")</f>
        <v/>
      </c>
      <c r="G643" s="46"/>
      <c r="H643" s="47" t="str">
        <f>IFERROR(VLOOKUP(G643,WholesaleExtract!B:L,11,FALSE),"")</f>
        <v/>
      </c>
      <c r="I643" s="26" t="str">
        <f>IFERROR(VLOOKUP(G643,WholesaleExtract!B:O,8,FALSE),"")</f>
        <v/>
      </c>
      <c r="J643" s="26" t="str">
        <f>IFERROR(VLOOKUP(G643,WholesaleExtract!B:O,14,FALSE),"")</f>
        <v/>
      </c>
      <c r="K643" s="26" t="str">
        <f>IFERROR(VLOOKUP(G643,WholesaleExtract!B:K,10,FALSE),"")</f>
        <v/>
      </c>
      <c r="L643" s="47" t="str">
        <f>IFERROR(VLOOKUP(G643,WholesaleExtract!B:L,11,FALSE),"")</f>
        <v/>
      </c>
      <c r="M643" s="47" t="str">
        <f>IFERROR(VLOOKUP(G643,WholesaleExtract!B:M,12,FALSE),"")</f>
        <v/>
      </c>
      <c r="N643" s="27"/>
      <c r="O643" s="19"/>
      <c r="P643" s="19"/>
      <c r="Q643" s="47"/>
      <c r="R643" s="19"/>
      <c r="S643" s="19"/>
    </row>
    <row r="644" spans="1:19" x14ac:dyDescent="0.35">
      <c r="A644" s="26" t="s">
        <v>543</v>
      </c>
      <c r="B644" s="26" t="s">
        <v>543</v>
      </c>
      <c r="C644" s="26"/>
      <c r="D644" s="26" t="s">
        <v>543</v>
      </c>
      <c r="E644" s="26" t="str">
        <f>IFERROR(VLOOKUP(G644,WholesaleExtract!B:J,9,FALSE),"")</f>
        <v/>
      </c>
      <c r="F644" s="26" t="str">
        <f>IFERROR(VLOOKUP(G644,WholesaleExtract!B:J,6,FALSE),"")</f>
        <v/>
      </c>
      <c r="G644" s="46"/>
      <c r="H644" s="47" t="str">
        <f>IFERROR(VLOOKUP(G644,WholesaleExtract!B:L,11,FALSE),"")</f>
        <v/>
      </c>
      <c r="I644" s="26" t="str">
        <f>IFERROR(VLOOKUP(G644,WholesaleExtract!B:O,8,FALSE),"")</f>
        <v/>
      </c>
      <c r="J644" s="26" t="str">
        <f>IFERROR(VLOOKUP(G644,WholesaleExtract!B:O,14,FALSE),"")</f>
        <v/>
      </c>
      <c r="K644" s="26" t="str">
        <f>IFERROR(VLOOKUP(G644,WholesaleExtract!B:K,10,FALSE),"")</f>
        <v/>
      </c>
      <c r="L644" s="47" t="str">
        <f>IFERROR(VLOOKUP(G644,WholesaleExtract!B:L,11,FALSE),"")</f>
        <v/>
      </c>
      <c r="M644" s="47" t="str">
        <f>IFERROR(VLOOKUP(G644,WholesaleExtract!B:M,12,FALSE),"")</f>
        <v/>
      </c>
      <c r="N644" s="27"/>
      <c r="O644" s="19"/>
      <c r="P644" s="19"/>
      <c r="Q644" s="47"/>
      <c r="R644" s="19"/>
      <c r="S644" s="19"/>
    </row>
    <row r="645" spans="1:19" x14ac:dyDescent="0.35">
      <c r="A645" s="26" t="s">
        <v>543</v>
      </c>
      <c r="B645" s="26" t="s">
        <v>543</v>
      </c>
      <c r="C645" s="26"/>
      <c r="D645" s="26" t="s">
        <v>543</v>
      </c>
      <c r="E645" s="26" t="str">
        <f>IFERROR(VLOOKUP(G645,WholesaleExtract!B:J,9,FALSE),"")</f>
        <v/>
      </c>
      <c r="F645" s="26" t="str">
        <f>IFERROR(VLOOKUP(G645,WholesaleExtract!B:J,6,FALSE),"")</f>
        <v/>
      </c>
      <c r="G645" s="46"/>
      <c r="H645" s="47" t="str">
        <f>IFERROR(VLOOKUP(G645,WholesaleExtract!B:L,11,FALSE),"")</f>
        <v/>
      </c>
      <c r="I645" s="26" t="str">
        <f>IFERROR(VLOOKUP(G645,WholesaleExtract!B:O,8,FALSE),"")</f>
        <v/>
      </c>
      <c r="J645" s="26" t="str">
        <f>IFERROR(VLOOKUP(G645,WholesaleExtract!B:O,14,FALSE),"")</f>
        <v/>
      </c>
      <c r="K645" s="26" t="str">
        <f>IFERROR(VLOOKUP(G645,WholesaleExtract!B:K,10,FALSE),"")</f>
        <v/>
      </c>
      <c r="L645" s="47" t="str">
        <f>IFERROR(VLOOKUP(G645,WholesaleExtract!B:L,11,FALSE),"")</f>
        <v/>
      </c>
      <c r="M645" s="47" t="str">
        <f>IFERROR(VLOOKUP(G645,WholesaleExtract!B:M,12,FALSE),"")</f>
        <v/>
      </c>
      <c r="N645" s="27"/>
      <c r="O645" s="19"/>
      <c r="P645" s="19"/>
      <c r="Q645" s="47"/>
      <c r="R645" s="19"/>
      <c r="S645" s="19"/>
    </row>
    <row r="646" spans="1:19" x14ac:dyDescent="0.35">
      <c r="A646" s="26" t="s">
        <v>543</v>
      </c>
      <c r="B646" s="26" t="s">
        <v>543</v>
      </c>
      <c r="C646" s="26"/>
      <c r="D646" s="26" t="s">
        <v>543</v>
      </c>
      <c r="E646" s="26" t="str">
        <f>IFERROR(VLOOKUP(G646,WholesaleExtract!B:J,9,FALSE),"")</f>
        <v/>
      </c>
      <c r="F646" s="26" t="str">
        <f>IFERROR(VLOOKUP(G646,WholesaleExtract!B:J,6,FALSE),"")</f>
        <v/>
      </c>
      <c r="G646" s="46"/>
      <c r="H646" s="47" t="str">
        <f>IFERROR(VLOOKUP(G646,WholesaleExtract!B:L,11,FALSE),"")</f>
        <v/>
      </c>
      <c r="I646" s="26" t="str">
        <f>IFERROR(VLOOKUP(G646,WholesaleExtract!B:O,8,FALSE),"")</f>
        <v/>
      </c>
      <c r="J646" s="26" t="str">
        <f>IFERROR(VLOOKUP(G646,WholesaleExtract!B:O,14,FALSE),"")</f>
        <v/>
      </c>
      <c r="K646" s="26" t="str">
        <f>IFERROR(VLOOKUP(G646,WholesaleExtract!B:K,10,FALSE),"")</f>
        <v/>
      </c>
      <c r="L646" s="47" t="str">
        <f>IFERROR(VLOOKUP(G646,WholesaleExtract!B:L,11,FALSE),"")</f>
        <v/>
      </c>
      <c r="M646" s="47" t="str">
        <f>IFERROR(VLOOKUP(G646,WholesaleExtract!B:M,12,FALSE),"")</f>
        <v/>
      </c>
      <c r="N646" s="27"/>
      <c r="O646" s="19"/>
      <c r="P646" s="19"/>
      <c r="Q646" s="47"/>
      <c r="R646" s="19"/>
      <c r="S646" s="19"/>
    </row>
    <row r="647" spans="1:19" x14ac:dyDescent="0.35">
      <c r="A647" s="26" t="s">
        <v>543</v>
      </c>
      <c r="B647" s="26" t="s">
        <v>543</v>
      </c>
      <c r="C647" s="26"/>
      <c r="D647" s="26" t="s">
        <v>543</v>
      </c>
      <c r="E647" s="26" t="str">
        <f>IFERROR(VLOOKUP(G647,WholesaleExtract!B:J,9,FALSE),"")</f>
        <v/>
      </c>
      <c r="F647" s="26" t="str">
        <f>IFERROR(VLOOKUP(G647,WholesaleExtract!B:J,6,FALSE),"")</f>
        <v/>
      </c>
      <c r="G647" s="46"/>
      <c r="H647" s="47" t="str">
        <f>IFERROR(VLOOKUP(G647,WholesaleExtract!B:L,11,FALSE),"")</f>
        <v/>
      </c>
      <c r="I647" s="26" t="str">
        <f>IFERROR(VLOOKUP(G647,WholesaleExtract!B:O,8,FALSE),"")</f>
        <v/>
      </c>
      <c r="J647" s="26" t="str">
        <f>IFERROR(VLOOKUP(G647,WholesaleExtract!B:O,14,FALSE),"")</f>
        <v/>
      </c>
      <c r="K647" s="26" t="str">
        <f>IFERROR(VLOOKUP(G647,WholesaleExtract!B:K,10,FALSE),"")</f>
        <v/>
      </c>
      <c r="L647" s="47" t="str">
        <f>IFERROR(VLOOKUP(G647,WholesaleExtract!B:L,11,FALSE),"")</f>
        <v/>
      </c>
      <c r="M647" s="47" t="str">
        <f>IFERROR(VLOOKUP(G647,WholesaleExtract!B:M,12,FALSE),"")</f>
        <v/>
      </c>
      <c r="N647" s="27"/>
      <c r="O647" s="19"/>
      <c r="P647" s="19"/>
      <c r="Q647" s="47"/>
      <c r="R647" s="19"/>
      <c r="S647" s="19"/>
    </row>
    <row r="648" spans="1:19" x14ac:dyDescent="0.35">
      <c r="A648" s="26" t="s">
        <v>543</v>
      </c>
      <c r="B648" s="26" t="s">
        <v>543</v>
      </c>
      <c r="C648" s="26"/>
      <c r="D648" s="26" t="s">
        <v>543</v>
      </c>
      <c r="E648" s="26" t="str">
        <f>IFERROR(VLOOKUP(G648,WholesaleExtract!B:J,9,FALSE),"")</f>
        <v/>
      </c>
      <c r="F648" s="26" t="str">
        <f>IFERROR(VLOOKUP(G648,WholesaleExtract!B:J,6,FALSE),"")</f>
        <v/>
      </c>
      <c r="G648" s="46"/>
      <c r="H648" s="47" t="str">
        <f>IFERROR(VLOOKUP(G648,WholesaleExtract!B:L,11,FALSE),"")</f>
        <v/>
      </c>
      <c r="I648" s="26" t="str">
        <f>IFERROR(VLOOKUP(G648,WholesaleExtract!B:O,8,FALSE),"")</f>
        <v/>
      </c>
      <c r="J648" s="26" t="str">
        <f>IFERROR(VLOOKUP(G648,WholesaleExtract!B:O,14,FALSE),"")</f>
        <v/>
      </c>
      <c r="K648" s="26" t="str">
        <f>IFERROR(VLOOKUP(G648,WholesaleExtract!B:K,10,FALSE),"")</f>
        <v/>
      </c>
      <c r="L648" s="47" t="str">
        <f>IFERROR(VLOOKUP(G648,WholesaleExtract!B:L,11,FALSE),"")</f>
        <v/>
      </c>
      <c r="M648" s="47" t="str">
        <f>IFERROR(VLOOKUP(G648,WholesaleExtract!B:M,12,FALSE),"")</f>
        <v/>
      </c>
      <c r="N648" s="27"/>
      <c r="O648" s="19"/>
      <c r="P648" s="19"/>
      <c r="Q648" s="47"/>
      <c r="R648" s="19"/>
      <c r="S648" s="19"/>
    </row>
    <row r="649" spans="1:19" x14ac:dyDescent="0.35">
      <c r="A649" s="26" t="s">
        <v>543</v>
      </c>
      <c r="B649" s="26" t="s">
        <v>543</v>
      </c>
      <c r="C649" s="26"/>
      <c r="D649" s="26" t="s">
        <v>543</v>
      </c>
      <c r="E649" s="26" t="str">
        <f>IFERROR(VLOOKUP(G649,WholesaleExtract!B:J,9,FALSE),"")</f>
        <v/>
      </c>
      <c r="F649" s="26" t="str">
        <f>IFERROR(VLOOKUP(G649,WholesaleExtract!B:J,6,FALSE),"")</f>
        <v/>
      </c>
      <c r="G649" s="46"/>
      <c r="H649" s="47" t="str">
        <f>IFERROR(VLOOKUP(G649,WholesaleExtract!B:L,11,FALSE),"")</f>
        <v/>
      </c>
      <c r="I649" s="26" t="str">
        <f>IFERROR(VLOOKUP(G649,WholesaleExtract!B:O,8,FALSE),"")</f>
        <v/>
      </c>
      <c r="J649" s="26" t="str">
        <f>IFERROR(VLOOKUP(G649,WholesaleExtract!B:O,14,FALSE),"")</f>
        <v/>
      </c>
      <c r="K649" s="26" t="str">
        <f>IFERROR(VLOOKUP(G649,WholesaleExtract!B:K,10,FALSE),"")</f>
        <v/>
      </c>
      <c r="L649" s="47" t="str">
        <f>IFERROR(VLOOKUP(G649,WholesaleExtract!B:L,11,FALSE),"")</f>
        <v/>
      </c>
      <c r="M649" s="47" t="str">
        <f>IFERROR(VLOOKUP(G649,WholesaleExtract!B:M,12,FALSE),"")</f>
        <v/>
      </c>
      <c r="N649" s="27"/>
      <c r="O649" s="19"/>
      <c r="P649" s="19"/>
      <c r="Q649" s="47"/>
      <c r="R649" s="19"/>
      <c r="S649" s="19"/>
    </row>
    <row r="650" spans="1:19" x14ac:dyDescent="0.35">
      <c r="A650" s="26" t="s">
        <v>543</v>
      </c>
      <c r="B650" s="26" t="s">
        <v>543</v>
      </c>
      <c r="C650" s="26"/>
      <c r="D650" s="26" t="s">
        <v>543</v>
      </c>
      <c r="E650" s="26" t="str">
        <f>IFERROR(VLOOKUP(G650,WholesaleExtract!B:J,9,FALSE),"")</f>
        <v/>
      </c>
      <c r="F650" s="26" t="str">
        <f>IFERROR(VLOOKUP(G650,WholesaleExtract!B:J,6,FALSE),"")</f>
        <v/>
      </c>
      <c r="G650" s="46"/>
      <c r="H650" s="47" t="str">
        <f>IFERROR(VLOOKUP(G650,WholesaleExtract!B:L,11,FALSE),"")</f>
        <v/>
      </c>
      <c r="I650" s="26" t="str">
        <f>IFERROR(VLOOKUP(G650,WholesaleExtract!B:O,8,FALSE),"")</f>
        <v/>
      </c>
      <c r="J650" s="26" t="str">
        <f>IFERROR(VLOOKUP(G650,WholesaleExtract!B:O,14,FALSE),"")</f>
        <v/>
      </c>
      <c r="K650" s="26" t="str">
        <f>IFERROR(VLOOKUP(G650,WholesaleExtract!B:K,10,FALSE),"")</f>
        <v/>
      </c>
      <c r="L650" s="47" t="str">
        <f>IFERROR(VLOOKUP(G650,WholesaleExtract!B:L,11,FALSE),"")</f>
        <v/>
      </c>
      <c r="M650" s="47" t="str">
        <f>IFERROR(VLOOKUP(G650,WholesaleExtract!B:M,12,FALSE),"")</f>
        <v/>
      </c>
      <c r="N650" s="27"/>
      <c r="O650" s="19"/>
      <c r="P650" s="19"/>
      <c r="Q650" s="47"/>
      <c r="R650" s="19"/>
      <c r="S650" s="19"/>
    </row>
    <row r="651" spans="1:19" x14ac:dyDescent="0.35">
      <c r="A651" s="26" t="s">
        <v>543</v>
      </c>
      <c r="B651" s="26" t="s">
        <v>543</v>
      </c>
      <c r="C651" s="26"/>
      <c r="D651" s="26" t="s">
        <v>543</v>
      </c>
      <c r="E651" s="26" t="str">
        <f>IFERROR(VLOOKUP(G651,WholesaleExtract!B:J,9,FALSE),"")</f>
        <v/>
      </c>
      <c r="F651" s="26" t="str">
        <f>IFERROR(VLOOKUP(G651,WholesaleExtract!B:J,6,FALSE),"")</f>
        <v/>
      </c>
      <c r="G651" s="46"/>
      <c r="H651" s="47" t="str">
        <f>IFERROR(VLOOKUP(G651,WholesaleExtract!B:L,11,FALSE),"")</f>
        <v/>
      </c>
      <c r="I651" s="26" t="str">
        <f>IFERROR(VLOOKUP(G651,WholesaleExtract!B:O,8,FALSE),"")</f>
        <v/>
      </c>
      <c r="J651" s="26" t="str">
        <f>IFERROR(VLOOKUP(G651,WholesaleExtract!B:O,14,FALSE),"")</f>
        <v/>
      </c>
      <c r="K651" s="26" t="str">
        <f>IFERROR(VLOOKUP(G651,WholesaleExtract!B:K,10,FALSE),"")</f>
        <v/>
      </c>
      <c r="L651" s="47" t="str">
        <f>IFERROR(VLOOKUP(G651,WholesaleExtract!B:L,11,FALSE),"")</f>
        <v/>
      </c>
      <c r="M651" s="47" t="str">
        <f>IFERROR(VLOOKUP(G651,WholesaleExtract!B:M,12,FALSE),"")</f>
        <v/>
      </c>
      <c r="N651" s="27"/>
      <c r="O651" s="19"/>
      <c r="P651" s="19"/>
      <c r="Q651" s="47"/>
      <c r="R651" s="19"/>
      <c r="S651" s="19"/>
    </row>
    <row r="652" spans="1:19" x14ac:dyDescent="0.35">
      <c r="A652" s="26" t="s">
        <v>543</v>
      </c>
      <c r="B652" s="26" t="s">
        <v>543</v>
      </c>
      <c r="C652" s="26"/>
      <c r="D652" s="26" t="s">
        <v>543</v>
      </c>
      <c r="E652" s="26" t="str">
        <f>IFERROR(VLOOKUP(G652,WholesaleExtract!B:J,9,FALSE),"")</f>
        <v/>
      </c>
      <c r="F652" s="26" t="str">
        <f>IFERROR(VLOOKUP(G652,WholesaleExtract!B:J,6,FALSE),"")</f>
        <v/>
      </c>
      <c r="G652" s="46"/>
      <c r="H652" s="47" t="str">
        <f>IFERROR(VLOOKUP(G652,WholesaleExtract!B:L,11,FALSE),"")</f>
        <v/>
      </c>
      <c r="I652" s="26" t="str">
        <f>IFERROR(VLOOKUP(G652,WholesaleExtract!B:O,8,FALSE),"")</f>
        <v/>
      </c>
      <c r="J652" s="26" t="str">
        <f>IFERROR(VLOOKUP(G652,WholesaleExtract!B:O,14,FALSE),"")</f>
        <v/>
      </c>
      <c r="K652" s="26" t="str">
        <f>IFERROR(VLOOKUP(G652,WholesaleExtract!B:K,10,FALSE),"")</f>
        <v/>
      </c>
      <c r="L652" s="47" t="str">
        <f>IFERROR(VLOOKUP(G652,WholesaleExtract!B:L,11,FALSE),"")</f>
        <v/>
      </c>
      <c r="M652" s="47" t="str">
        <f>IFERROR(VLOOKUP(G652,WholesaleExtract!B:M,12,FALSE),"")</f>
        <v/>
      </c>
      <c r="N652" s="27"/>
      <c r="O652" s="19"/>
      <c r="P652" s="19"/>
      <c r="Q652" s="47"/>
      <c r="R652" s="19"/>
      <c r="S652" s="19"/>
    </row>
    <row r="653" spans="1:19" x14ac:dyDescent="0.35">
      <c r="A653" s="26" t="s">
        <v>543</v>
      </c>
      <c r="B653" s="26" t="s">
        <v>543</v>
      </c>
      <c r="C653" s="26"/>
      <c r="D653" s="26" t="s">
        <v>543</v>
      </c>
      <c r="E653" s="26" t="str">
        <f>IFERROR(VLOOKUP(G653,WholesaleExtract!B:J,9,FALSE),"")</f>
        <v/>
      </c>
      <c r="F653" s="26" t="str">
        <f>IFERROR(VLOOKUP(G653,WholesaleExtract!B:J,6,FALSE),"")</f>
        <v/>
      </c>
      <c r="G653" s="46"/>
      <c r="H653" s="47" t="str">
        <f>IFERROR(VLOOKUP(G653,WholesaleExtract!B:L,11,FALSE),"")</f>
        <v/>
      </c>
      <c r="I653" s="26" t="str">
        <f>IFERROR(VLOOKUP(G653,WholesaleExtract!B:O,8,FALSE),"")</f>
        <v/>
      </c>
      <c r="J653" s="26" t="str">
        <f>IFERROR(VLOOKUP(G653,WholesaleExtract!B:O,14,FALSE),"")</f>
        <v/>
      </c>
      <c r="K653" s="26" t="str">
        <f>IFERROR(VLOOKUP(G653,WholesaleExtract!B:K,10,FALSE),"")</f>
        <v/>
      </c>
      <c r="L653" s="47" t="str">
        <f>IFERROR(VLOOKUP(G653,WholesaleExtract!B:L,11,FALSE),"")</f>
        <v/>
      </c>
      <c r="M653" s="47" t="str">
        <f>IFERROR(VLOOKUP(G653,WholesaleExtract!B:M,12,FALSE),"")</f>
        <v/>
      </c>
      <c r="N653" s="27"/>
      <c r="O653" s="19"/>
      <c r="P653" s="19"/>
      <c r="Q653" s="47"/>
      <c r="R653" s="19"/>
      <c r="S653" s="19"/>
    </row>
    <row r="654" spans="1:19" x14ac:dyDescent="0.35">
      <c r="A654" s="26" t="s">
        <v>543</v>
      </c>
      <c r="B654" s="26" t="s">
        <v>543</v>
      </c>
      <c r="C654" s="26"/>
      <c r="D654" s="26" t="s">
        <v>543</v>
      </c>
      <c r="E654" s="26" t="str">
        <f>IFERROR(VLOOKUP(G654,WholesaleExtract!B:J,9,FALSE),"")</f>
        <v/>
      </c>
      <c r="F654" s="26" t="str">
        <f>IFERROR(VLOOKUP(G654,WholesaleExtract!B:J,6,FALSE),"")</f>
        <v/>
      </c>
      <c r="G654" s="46"/>
      <c r="H654" s="47" t="str">
        <f>IFERROR(VLOOKUP(G654,WholesaleExtract!B:L,11,FALSE),"")</f>
        <v/>
      </c>
      <c r="I654" s="26" t="str">
        <f>IFERROR(VLOOKUP(G654,WholesaleExtract!B:O,8,FALSE),"")</f>
        <v/>
      </c>
      <c r="J654" s="26" t="str">
        <f>IFERROR(VLOOKUP(G654,WholesaleExtract!B:O,14,FALSE),"")</f>
        <v/>
      </c>
      <c r="K654" s="26" t="str">
        <f>IFERROR(VLOOKUP(G654,WholesaleExtract!B:K,10,FALSE),"")</f>
        <v/>
      </c>
      <c r="L654" s="47" t="str">
        <f>IFERROR(VLOOKUP(G654,WholesaleExtract!B:L,11,FALSE),"")</f>
        <v/>
      </c>
      <c r="M654" s="47" t="str">
        <f>IFERROR(VLOOKUP(G654,WholesaleExtract!B:M,12,FALSE),"")</f>
        <v/>
      </c>
      <c r="N654" s="27"/>
      <c r="O654" s="19"/>
      <c r="P654" s="19"/>
      <c r="Q654" s="47"/>
      <c r="R654" s="19"/>
      <c r="S654" s="19"/>
    </row>
    <row r="655" spans="1:19" x14ac:dyDescent="0.35">
      <c r="A655" s="26" t="s">
        <v>543</v>
      </c>
      <c r="B655" s="26" t="s">
        <v>543</v>
      </c>
      <c r="C655" s="26"/>
      <c r="D655" s="26" t="s">
        <v>543</v>
      </c>
      <c r="E655" s="26" t="str">
        <f>IFERROR(VLOOKUP(G655,WholesaleExtract!B:J,9,FALSE),"")</f>
        <v/>
      </c>
      <c r="F655" s="26" t="str">
        <f>IFERROR(VLOOKUP(G655,WholesaleExtract!B:J,6,FALSE),"")</f>
        <v/>
      </c>
      <c r="G655" s="46"/>
      <c r="H655" s="47" t="str">
        <f>IFERROR(VLOOKUP(G655,WholesaleExtract!B:L,11,FALSE),"")</f>
        <v/>
      </c>
      <c r="I655" s="26" t="str">
        <f>IFERROR(VLOOKUP(G655,WholesaleExtract!B:O,8,FALSE),"")</f>
        <v/>
      </c>
      <c r="J655" s="26" t="str">
        <f>IFERROR(VLOOKUP(G655,WholesaleExtract!B:O,14,FALSE),"")</f>
        <v/>
      </c>
      <c r="K655" s="26" t="str">
        <f>IFERROR(VLOOKUP(G655,WholesaleExtract!B:K,10,FALSE),"")</f>
        <v/>
      </c>
      <c r="L655" s="47" t="str">
        <f>IFERROR(VLOOKUP(G655,WholesaleExtract!B:L,11,FALSE),"")</f>
        <v/>
      </c>
      <c r="M655" s="47" t="str">
        <f>IFERROR(VLOOKUP(G655,WholesaleExtract!B:M,12,FALSE),"")</f>
        <v/>
      </c>
      <c r="N655" s="27"/>
      <c r="O655" s="19"/>
      <c r="P655" s="19"/>
      <c r="Q655" s="47"/>
      <c r="R655" s="19"/>
      <c r="S655" s="19"/>
    </row>
    <row r="656" spans="1:19" x14ac:dyDescent="0.35">
      <c r="A656" s="26" t="s">
        <v>543</v>
      </c>
      <c r="B656" s="26" t="s">
        <v>543</v>
      </c>
      <c r="C656" s="26"/>
      <c r="D656" s="26" t="s">
        <v>543</v>
      </c>
      <c r="E656" s="26" t="str">
        <f>IFERROR(VLOOKUP(G656,WholesaleExtract!B:J,9,FALSE),"")</f>
        <v/>
      </c>
      <c r="F656" s="26" t="str">
        <f>IFERROR(VLOOKUP(G656,WholesaleExtract!B:J,6,FALSE),"")</f>
        <v/>
      </c>
      <c r="G656" s="46"/>
      <c r="H656" s="47" t="str">
        <f>IFERROR(VLOOKUP(G656,WholesaleExtract!B:L,11,FALSE),"")</f>
        <v/>
      </c>
      <c r="I656" s="26" t="str">
        <f>IFERROR(VLOOKUP(G656,WholesaleExtract!B:O,8,FALSE),"")</f>
        <v/>
      </c>
      <c r="J656" s="26" t="str">
        <f>IFERROR(VLOOKUP(G656,WholesaleExtract!B:O,14,FALSE),"")</f>
        <v/>
      </c>
      <c r="K656" s="26" t="str">
        <f>IFERROR(VLOOKUP(G656,WholesaleExtract!B:K,10,FALSE),"")</f>
        <v/>
      </c>
      <c r="L656" s="47" t="str">
        <f>IFERROR(VLOOKUP(G656,WholesaleExtract!B:L,11,FALSE),"")</f>
        <v/>
      </c>
      <c r="M656" s="47" t="str">
        <f>IFERROR(VLOOKUP(G656,WholesaleExtract!B:M,12,FALSE),"")</f>
        <v/>
      </c>
      <c r="N656" s="27"/>
      <c r="O656" s="19"/>
      <c r="P656" s="19"/>
      <c r="Q656" s="47"/>
      <c r="R656" s="19"/>
      <c r="S656" s="19"/>
    </row>
    <row r="657" spans="1:19" x14ac:dyDescent="0.35">
      <c r="A657" s="26" t="s">
        <v>543</v>
      </c>
      <c r="B657" s="26" t="s">
        <v>543</v>
      </c>
      <c r="C657" s="26"/>
      <c r="D657" s="26" t="s">
        <v>543</v>
      </c>
      <c r="E657" s="26" t="str">
        <f>IFERROR(VLOOKUP(G657,WholesaleExtract!B:J,9,FALSE),"")</f>
        <v/>
      </c>
      <c r="F657" s="26" t="str">
        <f>IFERROR(VLOOKUP(G657,WholesaleExtract!B:J,6,FALSE),"")</f>
        <v/>
      </c>
      <c r="G657" s="46"/>
      <c r="H657" s="47" t="str">
        <f>IFERROR(VLOOKUP(G657,WholesaleExtract!B:L,11,FALSE),"")</f>
        <v/>
      </c>
      <c r="I657" s="26" t="str">
        <f>IFERROR(VLOOKUP(G657,WholesaleExtract!B:O,8,FALSE),"")</f>
        <v/>
      </c>
      <c r="J657" s="26" t="str">
        <f>IFERROR(VLOOKUP(G657,WholesaleExtract!B:O,14,FALSE),"")</f>
        <v/>
      </c>
      <c r="K657" s="26" t="str">
        <f>IFERROR(VLOOKUP(G657,WholesaleExtract!B:K,10,FALSE),"")</f>
        <v/>
      </c>
      <c r="L657" s="47" t="str">
        <f>IFERROR(VLOOKUP(G657,WholesaleExtract!B:L,11,FALSE),"")</f>
        <v/>
      </c>
      <c r="M657" s="47" t="str">
        <f>IFERROR(VLOOKUP(G657,WholesaleExtract!B:M,12,FALSE),"")</f>
        <v/>
      </c>
      <c r="N657" s="27"/>
      <c r="O657" s="19"/>
      <c r="P657" s="19"/>
      <c r="Q657" s="47"/>
      <c r="R657" s="19"/>
      <c r="S657" s="19"/>
    </row>
    <row r="658" spans="1:19" x14ac:dyDescent="0.35">
      <c r="A658" s="26" t="s">
        <v>543</v>
      </c>
      <c r="B658" s="26" t="s">
        <v>543</v>
      </c>
      <c r="C658" s="26"/>
      <c r="D658" s="26" t="s">
        <v>543</v>
      </c>
      <c r="E658" s="26" t="str">
        <f>IFERROR(VLOOKUP(G658,WholesaleExtract!B:J,9,FALSE),"")</f>
        <v/>
      </c>
      <c r="F658" s="26" t="str">
        <f>IFERROR(VLOOKUP(G658,WholesaleExtract!B:J,6,FALSE),"")</f>
        <v/>
      </c>
      <c r="G658" s="46"/>
      <c r="H658" s="47" t="str">
        <f>IFERROR(VLOOKUP(G658,WholesaleExtract!B:L,11,FALSE),"")</f>
        <v/>
      </c>
      <c r="I658" s="26" t="str">
        <f>IFERROR(VLOOKUP(G658,WholesaleExtract!B:O,8,FALSE),"")</f>
        <v/>
      </c>
      <c r="J658" s="26" t="str">
        <f>IFERROR(VLOOKUP(G658,WholesaleExtract!B:O,14,FALSE),"")</f>
        <v/>
      </c>
      <c r="K658" s="26" t="str">
        <f>IFERROR(VLOOKUP(G658,WholesaleExtract!B:K,10,FALSE),"")</f>
        <v/>
      </c>
      <c r="L658" s="47" t="str">
        <f>IFERROR(VLOOKUP(G658,WholesaleExtract!B:L,11,FALSE),"")</f>
        <v/>
      </c>
      <c r="M658" s="47" t="str">
        <f>IFERROR(VLOOKUP(G658,WholesaleExtract!B:M,12,FALSE),"")</f>
        <v/>
      </c>
      <c r="N658" s="27"/>
      <c r="O658" s="19"/>
      <c r="P658" s="19"/>
      <c r="Q658" s="47"/>
      <c r="R658" s="19"/>
      <c r="S658" s="19"/>
    </row>
    <row r="659" spans="1:19" x14ac:dyDescent="0.35">
      <c r="A659" s="26" t="s">
        <v>543</v>
      </c>
      <c r="B659" s="26" t="s">
        <v>543</v>
      </c>
      <c r="C659" s="26"/>
      <c r="D659" s="26" t="s">
        <v>543</v>
      </c>
      <c r="E659" s="26" t="str">
        <f>IFERROR(VLOOKUP(G659,WholesaleExtract!B:J,9,FALSE),"")</f>
        <v/>
      </c>
      <c r="F659" s="26" t="str">
        <f>IFERROR(VLOOKUP(G659,WholesaleExtract!B:J,6,FALSE),"")</f>
        <v/>
      </c>
      <c r="G659" s="46"/>
      <c r="H659" s="47" t="str">
        <f>IFERROR(VLOOKUP(G659,WholesaleExtract!B:L,11,FALSE),"")</f>
        <v/>
      </c>
      <c r="I659" s="26" t="str">
        <f>IFERROR(VLOOKUP(G659,WholesaleExtract!B:O,8,FALSE),"")</f>
        <v/>
      </c>
      <c r="J659" s="26" t="str">
        <f>IFERROR(VLOOKUP(G659,WholesaleExtract!B:O,14,FALSE),"")</f>
        <v/>
      </c>
      <c r="K659" s="26" t="str">
        <f>IFERROR(VLOOKUP(G659,WholesaleExtract!B:K,10,FALSE),"")</f>
        <v/>
      </c>
      <c r="L659" s="47" t="str">
        <f>IFERROR(VLOOKUP(G659,WholesaleExtract!B:L,11,FALSE),"")</f>
        <v/>
      </c>
      <c r="M659" s="47" t="str">
        <f>IFERROR(VLOOKUP(G659,WholesaleExtract!B:M,12,FALSE),"")</f>
        <v/>
      </c>
      <c r="N659" s="27"/>
      <c r="O659" s="19"/>
      <c r="P659" s="19"/>
      <c r="Q659" s="47"/>
      <c r="R659" s="19"/>
      <c r="S659" s="19"/>
    </row>
    <row r="660" spans="1:19" x14ac:dyDescent="0.35">
      <c r="A660" s="26" t="s">
        <v>543</v>
      </c>
      <c r="B660" s="26" t="s">
        <v>543</v>
      </c>
      <c r="C660" s="26"/>
      <c r="D660" s="26" t="s">
        <v>543</v>
      </c>
      <c r="E660" s="26" t="str">
        <f>IFERROR(VLOOKUP(G660,WholesaleExtract!B:J,9,FALSE),"")</f>
        <v/>
      </c>
      <c r="F660" s="26" t="str">
        <f>IFERROR(VLOOKUP(G660,WholesaleExtract!B:J,6,FALSE),"")</f>
        <v/>
      </c>
      <c r="G660" s="46"/>
      <c r="H660" s="47" t="str">
        <f>IFERROR(VLOOKUP(G660,WholesaleExtract!B:L,11,FALSE),"")</f>
        <v/>
      </c>
      <c r="I660" s="26" t="str">
        <f>IFERROR(VLOOKUP(G660,WholesaleExtract!B:O,8,FALSE),"")</f>
        <v/>
      </c>
      <c r="J660" s="26" t="str">
        <f>IFERROR(VLOOKUP(G660,WholesaleExtract!B:O,14,FALSE),"")</f>
        <v/>
      </c>
      <c r="K660" s="26" t="str">
        <f>IFERROR(VLOOKUP(G660,WholesaleExtract!B:K,10,FALSE),"")</f>
        <v/>
      </c>
      <c r="L660" s="47" t="str">
        <f>IFERROR(VLOOKUP(G660,WholesaleExtract!B:L,11,FALSE),"")</f>
        <v/>
      </c>
      <c r="M660" s="47" t="str">
        <f>IFERROR(VLOOKUP(G660,WholesaleExtract!B:M,12,FALSE),"")</f>
        <v/>
      </c>
      <c r="N660" s="27"/>
      <c r="O660" s="19"/>
      <c r="P660" s="19"/>
      <c r="Q660" s="47"/>
      <c r="R660" s="19"/>
      <c r="S660" s="19"/>
    </row>
    <row r="661" spans="1:19" x14ac:dyDescent="0.35">
      <c r="A661" s="26" t="s">
        <v>543</v>
      </c>
      <c r="B661" s="26" t="s">
        <v>543</v>
      </c>
      <c r="C661" s="26"/>
      <c r="D661" s="26" t="s">
        <v>543</v>
      </c>
      <c r="E661" s="26" t="str">
        <f>IFERROR(VLOOKUP(G661,WholesaleExtract!B:J,9,FALSE),"")</f>
        <v/>
      </c>
      <c r="F661" s="26" t="str">
        <f>IFERROR(VLOOKUP(G661,WholesaleExtract!B:J,6,FALSE),"")</f>
        <v/>
      </c>
      <c r="G661" s="46"/>
      <c r="H661" s="47" t="str">
        <f>IFERROR(VLOOKUP(G661,WholesaleExtract!B:L,11,FALSE),"")</f>
        <v/>
      </c>
      <c r="I661" s="26" t="str">
        <f>IFERROR(VLOOKUP(G661,WholesaleExtract!B:O,8,FALSE),"")</f>
        <v/>
      </c>
      <c r="J661" s="26" t="str">
        <f>IFERROR(VLOOKUP(G661,WholesaleExtract!B:O,14,FALSE),"")</f>
        <v/>
      </c>
      <c r="K661" s="26" t="str">
        <f>IFERROR(VLOOKUP(G661,WholesaleExtract!B:K,10,FALSE),"")</f>
        <v/>
      </c>
      <c r="L661" s="47" t="str">
        <f>IFERROR(VLOOKUP(G661,WholesaleExtract!B:L,11,FALSE),"")</f>
        <v/>
      </c>
      <c r="M661" s="47" t="str">
        <f>IFERROR(VLOOKUP(G661,WholesaleExtract!B:M,12,FALSE),"")</f>
        <v/>
      </c>
      <c r="N661" s="27"/>
      <c r="O661" s="19"/>
      <c r="P661" s="19"/>
      <c r="Q661" s="47"/>
      <c r="R661" s="19"/>
      <c r="S661" s="19"/>
    </row>
    <row r="662" spans="1:19" x14ac:dyDescent="0.35">
      <c r="A662" s="26" t="s">
        <v>543</v>
      </c>
      <c r="B662" s="26" t="s">
        <v>543</v>
      </c>
      <c r="C662" s="26"/>
      <c r="D662" s="26" t="s">
        <v>543</v>
      </c>
      <c r="E662" s="26" t="str">
        <f>IFERROR(VLOOKUP(G662,WholesaleExtract!B:J,9,FALSE),"")</f>
        <v/>
      </c>
      <c r="F662" s="26" t="str">
        <f>IFERROR(VLOOKUP(G662,WholesaleExtract!B:J,6,FALSE),"")</f>
        <v/>
      </c>
      <c r="G662" s="46"/>
      <c r="H662" s="47" t="str">
        <f>IFERROR(VLOOKUP(G662,WholesaleExtract!B:L,11,FALSE),"")</f>
        <v/>
      </c>
      <c r="I662" s="26" t="str">
        <f>IFERROR(VLOOKUP(G662,WholesaleExtract!B:O,8,FALSE),"")</f>
        <v/>
      </c>
      <c r="J662" s="26" t="str">
        <f>IFERROR(VLOOKUP(G662,WholesaleExtract!B:O,14,FALSE),"")</f>
        <v/>
      </c>
      <c r="K662" s="26" t="str">
        <f>IFERROR(VLOOKUP(G662,WholesaleExtract!B:K,10,FALSE),"")</f>
        <v/>
      </c>
      <c r="L662" s="47" t="str">
        <f>IFERROR(VLOOKUP(G662,WholesaleExtract!B:L,11,FALSE),"")</f>
        <v/>
      </c>
      <c r="M662" s="47" t="str">
        <f>IFERROR(VLOOKUP(G662,WholesaleExtract!B:M,12,FALSE),"")</f>
        <v/>
      </c>
      <c r="N662" s="27"/>
      <c r="O662" s="19"/>
      <c r="P662" s="19"/>
      <c r="Q662" s="47"/>
      <c r="R662" s="19"/>
      <c r="S662" s="19"/>
    </row>
    <row r="663" spans="1:19" x14ac:dyDescent="0.35">
      <c r="A663" s="26" t="s">
        <v>543</v>
      </c>
      <c r="B663" s="26" t="s">
        <v>543</v>
      </c>
      <c r="C663" s="26"/>
      <c r="D663" s="26" t="s">
        <v>543</v>
      </c>
      <c r="E663" s="26" t="str">
        <f>IFERROR(VLOOKUP(G663,WholesaleExtract!B:J,9,FALSE),"")</f>
        <v/>
      </c>
      <c r="F663" s="26" t="str">
        <f>IFERROR(VLOOKUP(G663,WholesaleExtract!B:J,6,FALSE),"")</f>
        <v/>
      </c>
      <c r="G663" s="46"/>
      <c r="H663" s="47" t="str">
        <f>IFERROR(VLOOKUP(G663,WholesaleExtract!B:L,11,FALSE),"")</f>
        <v/>
      </c>
      <c r="I663" s="26" t="str">
        <f>IFERROR(VLOOKUP(G663,WholesaleExtract!B:O,8,FALSE),"")</f>
        <v/>
      </c>
      <c r="J663" s="26" t="str">
        <f>IFERROR(VLOOKUP(G663,WholesaleExtract!B:O,14,FALSE),"")</f>
        <v/>
      </c>
      <c r="K663" s="26" t="str">
        <f>IFERROR(VLOOKUP(G663,WholesaleExtract!B:K,10,FALSE),"")</f>
        <v/>
      </c>
      <c r="L663" s="47" t="str">
        <f>IFERROR(VLOOKUP(G663,WholesaleExtract!B:L,11,FALSE),"")</f>
        <v/>
      </c>
      <c r="M663" s="47" t="str">
        <f>IFERROR(VLOOKUP(G663,WholesaleExtract!B:M,12,FALSE),"")</f>
        <v/>
      </c>
      <c r="N663" s="27"/>
      <c r="O663" s="19"/>
      <c r="P663" s="19"/>
      <c r="Q663" s="47"/>
      <c r="R663" s="19"/>
      <c r="S663" s="19"/>
    </row>
    <row r="664" spans="1:19" x14ac:dyDescent="0.35">
      <c r="A664" s="26" t="s">
        <v>543</v>
      </c>
      <c r="B664" s="26" t="s">
        <v>543</v>
      </c>
      <c r="C664" s="26"/>
      <c r="D664" s="26" t="s">
        <v>543</v>
      </c>
      <c r="E664" s="26" t="str">
        <f>IFERROR(VLOOKUP(G664,WholesaleExtract!B:J,9,FALSE),"")</f>
        <v/>
      </c>
      <c r="F664" s="26" t="str">
        <f>IFERROR(VLOOKUP(G664,WholesaleExtract!B:J,6,FALSE),"")</f>
        <v/>
      </c>
      <c r="G664" s="46"/>
      <c r="H664" s="47" t="str">
        <f>IFERROR(VLOOKUP(G664,WholesaleExtract!B:L,11,FALSE),"")</f>
        <v/>
      </c>
      <c r="I664" s="26" t="str">
        <f>IFERROR(VLOOKUP(G664,WholesaleExtract!B:O,8,FALSE),"")</f>
        <v/>
      </c>
      <c r="J664" s="26" t="str">
        <f>IFERROR(VLOOKUP(G664,WholesaleExtract!B:O,14,FALSE),"")</f>
        <v/>
      </c>
      <c r="K664" s="26" t="str">
        <f>IFERROR(VLOOKUP(G664,WholesaleExtract!B:K,10,FALSE),"")</f>
        <v/>
      </c>
      <c r="L664" s="47" t="str">
        <f>IFERROR(VLOOKUP(G664,WholesaleExtract!B:L,11,FALSE),"")</f>
        <v/>
      </c>
      <c r="M664" s="47" t="str">
        <f>IFERROR(VLOOKUP(G664,WholesaleExtract!B:M,12,FALSE),"")</f>
        <v/>
      </c>
      <c r="N664" s="27"/>
      <c r="O664" s="19"/>
      <c r="P664" s="19"/>
      <c r="Q664" s="47"/>
      <c r="R664" s="19"/>
      <c r="S664" s="19"/>
    </row>
    <row r="665" spans="1:19" x14ac:dyDescent="0.35">
      <c r="A665" s="26" t="s">
        <v>543</v>
      </c>
      <c r="B665" s="26" t="s">
        <v>543</v>
      </c>
      <c r="C665" s="26"/>
      <c r="D665" s="26" t="s">
        <v>543</v>
      </c>
      <c r="E665" s="26" t="str">
        <f>IFERROR(VLOOKUP(G665,WholesaleExtract!B:J,9,FALSE),"")</f>
        <v/>
      </c>
      <c r="F665" s="26" t="str">
        <f>IFERROR(VLOOKUP(G665,WholesaleExtract!B:J,6,FALSE),"")</f>
        <v/>
      </c>
      <c r="G665" s="46"/>
      <c r="H665" s="47" t="str">
        <f>IFERROR(VLOOKUP(G665,WholesaleExtract!B:L,11,FALSE),"")</f>
        <v/>
      </c>
      <c r="I665" s="26" t="str">
        <f>IFERROR(VLOOKUP(G665,WholesaleExtract!B:O,8,FALSE),"")</f>
        <v/>
      </c>
      <c r="J665" s="26" t="str">
        <f>IFERROR(VLOOKUP(G665,WholesaleExtract!B:O,14,FALSE),"")</f>
        <v/>
      </c>
      <c r="K665" s="26" t="str">
        <f>IFERROR(VLOOKUP(G665,WholesaleExtract!B:K,10,FALSE),"")</f>
        <v/>
      </c>
      <c r="L665" s="47" t="str">
        <f>IFERROR(VLOOKUP(G665,WholesaleExtract!B:L,11,FALSE),"")</f>
        <v/>
      </c>
      <c r="M665" s="47" t="str">
        <f>IFERROR(VLOOKUP(G665,WholesaleExtract!B:M,12,FALSE),"")</f>
        <v/>
      </c>
      <c r="N665" s="27"/>
      <c r="O665" s="19"/>
      <c r="P665" s="19"/>
      <c r="Q665" s="47"/>
      <c r="R665" s="19"/>
      <c r="S665" s="19"/>
    </row>
    <row r="666" spans="1:19" x14ac:dyDescent="0.35">
      <c r="A666" s="26" t="s">
        <v>543</v>
      </c>
      <c r="B666" s="26" t="s">
        <v>543</v>
      </c>
      <c r="C666" s="26"/>
      <c r="D666" s="26" t="s">
        <v>543</v>
      </c>
      <c r="E666" s="26" t="str">
        <f>IFERROR(VLOOKUP(G666,WholesaleExtract!B:J,9,FALSE),"")</f>
        <v/>
      </c>
      <c r="F666" s="26" t="str">
        <f>IFERROR(VLOOKUP(G666,WholesaleExtract!B:J,6,FALSE),"")</f>
        <v/>
      </c>
      <c r="G666" s="46"/>
      <c r="H666" s="47" t="str">
        <f>IFERROR(VLOOKUP(G666,WholesaleExtract!B:L,11,FALSE),"")</f>
        <v/>
      </c>
      <c r="I666" s="26" t="str">
        <f>IFERROR(VLOOKUP(G666,WholesaleExtract!B:O,8,FALSE),"")</f>
        <v/>
      </c>
      <c r="J666" s="26" t="str">
        <f>IFERROR(VLOOKUP(G666,WholesaleExtract!B:O,14,FALSE),"")</f>
        <v/>
      </c>
      <c r="K666" s="26" t="str">
        <f>IFERROR(VLOOKUP(G666,WholesaleExtract!B:K,10,FALSE),"")</f>
        <v/>
      </c>
      <c r="L666" s="47" t="str">
        <f>IFERROR(VLOOKUP(G666,WholesaleExtract!B:L,11,FALSE),"")</f>
        <v/>
      </c>
      <c r="M666" s="47" t="str">
        <f>IFERROR(VLOOKUP(G666,WholesaleExtract!B:M,12,FALSE),"")</f>
        <v/>
      </c>
      <c r="N666" s="27"/>
      <c r="O666" s="19"/>
      <c r="P666" s="19"/>
      <c r="Q666" s="47"/>
      <c r="R666" s="19"/>
      <c r="S666" s="19"/>
    </row>
    <row r="667" spans="1:19" x14ac:dyDescent="0.35">
      <c r="A667" s="26" t="s">
        <v>543</v>
      </c>
      <c r="B667" s="26" t="s">
        <v>543</v>
      </c>
      <c r="C667" s="26"/>
      <c r="D667" s="26" t="s">
        <v>543</v>
      </c>
      <c r="E667" s="26" t="str">
        <f>IFERROR(VLOOKUP(G667,WholesaleExtract!B:J,9,FALSE),"")</f>
        <v/>
      </c>
      <c r="F667" s="26" t="str">
        <f>IFERROR(VLOOKUP(G667,WholesaleExtract!B:J,6,FALSE),"")</f>
        <v/>
      </c>
      <c r="G667" s="46"/>
      <c r="H667" s="47" t="str">
        <f>IFERROR(VLOOKUP(G667,WholesaleExtract!B:L,11,FALSE),"")</f>
        <v/>
      </c>
      <c r="I667" s="26" t="str">
        <f>IFERROR(VLOOKUP(G667,WholesaleExtract!B:O,8,FALSE),"")</f>
        <v/>
      </c>
      <c r="J667" s="26" t="str">
        <f>IFERROR(VLOOKUP(G667,WholesaleExtract!B:O,14,FALSE),"")</f>
        <v/>
      </c>
      <c r="K667" s="26" t="str">
        <f>IFERROR(VLOOKUP(G667,WholesaleExtract!B:K,10,FALSE),"")</f>
        <v/>
      </c>
      <c r="L667" s="47" t="str">
        <f>IFERROR(VLOOKUP(G667,WholesaleExtract!B:L,11,FALSE),"")</f>
        <v/>
      </c>
      <c r="M667" s="47" t="str">
        <f>IFERROR(VLOOKUP(G667,WholesaleExtract!B:M,12,FALSE),"")</f>
        <v/>
      </c>
      <c r="N667" s="27"/>
      <c r="O667" s="19"/>
      <c r="P667" s="19"/>
      <c r="Q667" s="47"/>
      <c r="R667" s="19"/>
      <c r="S667" s="19"/>
    </row>
    <row r="668" spans="1:19" x14ac:dyDescent="0.35">
      <c r="A668" s="26" t="s">
        <v>543</v>
      </c>
      <c r="B668" s="26" t="s">
        <v>543</v>
      </c>
      <c r="C668" s="26"/>
      <c r="D668" s="26" t="s">
        <v>543</v>
      </c>
      <c r="E668" s="26" t="str">
        <f>IFERROR(VLOOKUP(G668,WholesaleExtract!B:J,9,FALSE),"")</f>
        <v/>
      </c>
      <c r="F668" s="26" t="str">
        <f>IFERROR(VLOOKUP(G668,WholesaleExtract!B:J,6,FALSE),"")</f>
        <v/>
      </c>
      <c r="G668" s="46"/>
      <c r="H668" s="47" t="str">
        <f>IFERROR(VLOOKUP(G668,WholesaleExtract!B:L,11,FALSE),"")</f>
        <v/>
      </c>
      <c r="I668" s="26" t="str">
        <f>IFERROR(VLOOKUP(G668,WholesaleExtract!B:O,8,FALSE),"")</f>
        <v/>
      </c>
      <c r="J668" s="26" t="str">
        <f>IFERROR(VLOOKUP(G668,WholesaleExtract!B:O,14,FALSE),"")</f>
        <v/>
      </c>
      <c r="K668" s="26" t="str">
        <f>IFERROR(VLOOKUP(G668,WholesaleExtract!B:K,10,FALSE),"")</f>
        <v/>
      </c>
      <c r="L668" s="47" t="str">
        <f>IFERROR(VLOOKUP(G668,WholesaleExtract!B:L,11,FALSE),"")</f>
        <v/>
      </c>
      <c r="M668" s="47" t="str">
        <f>IFERROR(VLOOKUP(G668,WholesaleExtract!B:M,12,FALSE),"")</f>
        <v/>
      </c>
      <c r="N668" s="27"/>
      <c r="O668" s="19"/>
      <c r="P668" s="19"/>
      <c r="Q668" s="47"/>
      <c r="R668" s="19"/>
      <c r="S668" s="19"/>
    </row>
    <row r="669" spans="1:19" x14ac:dyDescent="0.35">
      <c r="A669" s="26" t="s">
        <v>543</v>
      </c>
      <c r="B669" s="26" t="s">
        <v>543</v>
      </c>
      <c r="C669" s="26"/>
      <c r="D669" s="26" t="s">
        <v>543</v>
      </c>
      <c r="E669" s="26" t="str">
        <f>IFERROR(VLOOKUP(G669,WholesaleExtract!B:J,9,FALSE),"")</f>
        <v/>
      </c>
      <c r="F669" s="26" t="str">
        <f>IFERROR(VLOOKUP(G669,WholesaleExtract!B:J,6,FALSE),"")</f>
        <v/>
      </c>
      <c r="G669" s="46"/>
      <c r="H669" s="47" t="str">
        <f>IFERROR(VLOOKUP(G669,WholesaleExtract!B:L,11,FALSE),"")</f>
        <v/>
      </c>
      <c r="I669" s="26" t="str">
        <f>IFERROR(VLOOKUP(G669,WholesaleExtract!B:O,8,FALSE),"")</f>
        <v/>
      </c>
      <c r="J669" s="26" t="str">
        <f>IFERROR(VLOOKUP(G669,WholesaleExtract!B:O,14,FALSE),"")</f>
        <v/>
      </c>
      <c r="K669" s="26" t="str">
        <f>IFERROR(VLOOKUP(G669,WholesaleExtract!B:K,10,FALSE),"")</f>
        <v/>
      </c>
      <c r="L669" s="47" t="str">
        <f>IFERROR(VLOOKUP(G669,WholesaleExtract!B:L,11,FALSE),"")</f>
        <v/>
      </c>
      <c r="M669" s="47" t="str">
        <f>IFERROR(VLOOKUP(G669,WholesaleExtract!B:M,12,FALSE),"")</f>
        <v/>
      </c>
      <c r="N669" s="27"/>
      <c r="O669" s="19"/>
      <c r="P669" s="19"/>
      <c r="Q669" s="47"/>
      <c r="R669" s="19"/>
      <c r="S669" s="19"/>
    </row>
    <row r="670" spans="1:19" x14ac:dyDescent="0.35">
      <c r="A670" s="26" t="s">
        <v>543</v>
      </c>
      <c r="B670" s="26" t="s">
        <v>543</v>
      </c>
      <c r="C670" s="26"/>
      <c r="D670" s="26" t="s">
        <v>543</v>
      </c>
      <c r="E670" s="26" t="str">
        <f>IFERROR(VLOOKUP(G670,WholesaleExtract!B:J,9,FALSE),"")</f>
        <v/>
      </c>
      <c r="F670" s="26" t="str">
        <f>IFERROR(VLOOKUP(G670,WholesaleExtract!B:J,6,FALSE),"")</f>
        <v/>
      </c>
      <c r="G670" s="46"/>
      <c r="H670" s="47" t="str">
        <f>IFERROR(VLOOKUP(G670,WholesaleExtract!B:L,11,FALSE),"")</f>
        <v/>
      </c>
      <c r="I670" s="26" t="str">
        <f>IFERROR(VLOOKUP(G670,WholesaleExtract!B:O,8,FALSE),"")</f>
        <v/>
      </c>
      <c r="J670" s="26" t="str">
        <f>IFERROR(VLOOKUP(G670,WholesaleExtract!B:O,14,FALSE),"")</f>
        <v/>
      </c>
      <c r="K670" s="26" t="str">
        <f>IFERROR(VLOOKUP(G670,WholesaleExtract!B:K,10,FALSE),"")</f>
        <v/>
      </c>
      <c r="L670" s="47" t="str">
        <f>IFERROR(VLOOKUP(G670,WholesaleExtract!B:L,11,FALSE),"")</f>
        <v/>
      </c>
      <c r="M670" s="47" t="str">
        <f>IFERROR(VLOOKUP(G670,WholesaleExtract!B:M,12,FALSE),"")</f>
        <v/>
      </c>
      <c r="N670" s="27"/>
      <c r="O670" s="19"/>
      <c r="P670" s="19"/>
      <c r="Q670" s="47"/>
      <c r="R670" s="19"/>
      <c r="S670" s="19"/>
    </row>
    <row r="671" spans="1:19" x14ac:dyDescent="0.35">
      <c r="A671" s="26" t="s">
        <v>543</v>
      </c>
      <c r="B671" s="26" t="s">
        <v>543</v>
      </c>
      <c r="C671" s="26"/>
      <c r="D671" s="26" t="s">
        <v>543</v>
      </c>
      <c r="E671" s="26" t="str">
        <f>IFERROR(VLOOKUP(G671,WholesaleExtract!B:J,9,FALSE),"")</f>
        <v/>
      </c>
      <c r="F671" s="26" t="str">
        <f>IFERROR(VLOOKUP(G671,WholesaleExtract!B:J,6,FALSE),"")</f>
        <v/>
      </c>
      <c r="G671" s="46"/>
      <c r="H671" s="47" t="str">
        <f>IFERROR(VLOOKUP(G671,WholesaleExtract!B:L,11,FALSE),"")</f>
        <v/>
      </c>
      <c r="I671" s="26" t="str">
        <f>IFERROR(VLOOKUP(G671,WholesaleExtract!B:O,8,FALSE),"")</f>
        <v/>
      </c>
      <c r="J671" s="26" t="str">
        <f>IFERROR(VLOOKUP(G671,WholesaleExtract!B:O,14,FALSE),"")</f>
        <v/>
      </c>
      <c r="K671" s="26" t="str">
        <f>IFERROR(VLOOKUP(G671,WholesaleExtract!B:K,10,FALSE),"")</f>
        <v/>
      </c>
      <c r="L671" s="47" t="str">
        <f>IFERROR(VLOOKUP(G671,WholesaleExtract!B:L,11,FALSE),"")</f>
        <v/>
      </c>
      <c r="M671" s="47" t="str">
        <f>IFERROR(VLOOKUP(G671,WholesaleExtract!B:M,12,FALSE),"")</f>
        <v/>
      </c>
      <c r="N671" s="27"/>
      <c r="O671" s="19"/>
      <c r="P671" s="19"/>
      <c r="Q671" s="47"/>
      <c r="R671" s="19"/>
      <c r="S671" s="19"/>
    </row>
    <row r="672" spans="1:19" x14ac:dyDescent="0.35">
      <c r="A672" s="26" t="s">
        <v>543</v>
      </c>
      <c r="B672" s="26" t="s">
        <v>543</v>
      </c>
      <c r="C672" s="26"/>
      <c r="D672" s="26" t="s">
        <v>543</v>
      </c>
      <c r="E672" s="26" t="str">
        <f>IFERROR(VLOOKUP(G672,WholesaleExtract!B:J,9,FALSE),"")</f>
        <v/>
      </c>
      <c r="F672" s="26" t="str">
        <f>IFERROR(VLOOKUP(G672,WholesaleExtract!B:J,6,FALSE),"")</f>
        <v/>
      </c>
      <c r="G672" s="46"/>
      <c r="H672" s="47" t="str">
        <f>IFERROR(VLOOKUP(G672,WholesaleExtract!B:L,11,FALSE),"")</f>
        <v/>
      </c>
      <c r="I672" s="26" t="str">
        <f>IFERROR(VLOOKUP(G672,WholesaleExtract!B:O,8,FALSE),"")</f>
        <v/>
      </c>
      <c r="J672" s="26" t="str">
        <f>IFERROR(VLOOKUP(G672,WholesaleExtract!B:O,14,FALSE),"")</f>
        <v/>
      </c>
      <c r="K672" s="26" t="str">
        <f>IFERROR(VLOOKUP(G672,WholesaleExtract!B:K,10,FALSE),"")</f>
        <v/>
      </c>
      <c r="L672" s="47" t="str">
        <f>IFERROR(VLOOKUP(G672,WholesaleExtract!B:L,11,FALSE),"")</f>
        <v/>
      </c>
      <c r="M672" s="47" t="str">
        <f>IFERROR(VLOOKUP(G672,WholesaleExtract!B:M,12,FALSE),"")</f>
        <v/>
      </c>
      <c r="N672" s="27"/>
      <c r="O672" s="19"/>
      <c r="P672" s="19"/>
      <c r="Q672" s="47"/>
      <c r="R672" s="19"/>
      <c r="S672" s="19"/>
    </row>
    <row r="673" spans="1:19" x14ac:dyDescent="0.35">
      <c r="A673" s="26" t="s">
        <v>543</v>
      </c>
      <c r="B673" s="26" t="s">
        <v>543</v>
      </c>
      <c r="C673" s="26"/>
      <c r="D673" s="26" t="s">
        <v>543</v>
      </c>
      <c r="E673" s="26" t="str">
        <f>IFERROR(VLOOKUP(G673,WholesaleExtract!B:J,9,FALSE),"")</f>
        <v/>
      </c>
      <c r="F673" s="26" t="str">
        <f>IFERROR(VLOOKUP(G673,WholesaleExtract!B:J,6,FALSE),"")</f>
        <v/>
      </c>
      <c r="G673" s="46"/>
      <c r="H673" s="47" t="str">
        <f>IFERROR(VLOOKUP(G673,WholesaleExtract!B:L,11,FALSE),"")</f>
        <v/>
      </c>
      <c r="I673" s="26" t="str">
        <f>IFERROR(VLOOKUP(G673,WholesaleExtract!B:O,8,FALSE),"")</f>
        <v/>
      </c>
      <c r="J673" s="26" t="str">
        <f>IFERROR(VLOOKUP(G673,WholesaleExtract!B:O,14,FALSE),"")</f>
        <v/>
      </c>
      <c r="K673" s="26" t="str">
        <f>IFERROR(VLOOKUP(G673,WholesaleExtract!B:K,10,FALSE),"")</f>
        <v/>
      </c>
      <c r="L673" s="47" t="str">
        <f>IFERROR(VLOOKUP(G673,WholesaleExtract!B:L,11,FALSE),"")</f>
        <v/>
      </c>
      <c r="M673" s="47" t="str">
        <f>IFERROR(VLOOKUP(G673,WholesaleExtract!B:M,12,FALSE),"")</f>
        <v/>
      </c>
      <c r="N673" s="27"/>
      <c r="O673" s="19"/>
      <c r="P673" s="19"/>
      <c r="Q673" s="47"/>
      <c r="R673" s="19"/>
      <c r="S673" s="19"/>
    </row>
    <row r="674" spans="1:19" x14ac:dyDescent="0.35">
      <c r="A674" s="26" t="s">
        <v>543</v>
      </c>
      <c r="B674" s="26" t="s">
        <v>543</v>
      </c>
      <c r="C674" s="26"/>
      <c r="D674" s="26" t="s">
        <v>543</v>
      </c>
      <c r="E674" s="26" t="str">
        <f>IFERROR(VLOOKUP(G674,WholesaleExtract!B:J,9,FALSE),"")</f>
        <v/>
      </c>
      <c r="F674" s="26" t="str">
        <f>IFERROR(VLOOKUP(G674,WholesaleExtract!B:J,6,FALSE),"")</f>
        <v/>
      </c>
      <c r="G674" s="46"/>
      <c r="H674" s="47" t="str">
        <f>IFERROR(VLOOKUP(G674,WholesaleExtract!B:L,11,FALSE),"")</f>
        <v/>
      </c>
      <c r="I674" s="26" t="str">
        <f>IFERROR(VLOOKUP(G674,WholesaleExtract!B:O,8,FALSE),"")</f>
        <v/>
      </c>
      <c r="J674" s="26" t="str">
        <f>IFERROR(VLOOKUP(G674,WholesaleExtract!B:O,14,FALSE),"")</f>
        <v/>
      </c>
      <c r="K674" s="26" t="str">
        <f>IFERROR(VLOOKUP(G674,WholesaleExtract!B:K,10,FALSE),"")</f>
        <v/>
      </c>
      <c r="L674" s="47" t="str">
        <f>IFERROR(VLOOKUP(G674,WholesaleExtract!B:L,11,FALSE),"")</f>
        <v/>
      </c>
      <c r="M674" s="47" t="str">
        <f>IFERROR(VLOOKUP(G674,WholesaleExtract!B:M,12,FALSE),"")</f>
        <v/>
      </c>
      <c r="N674" s="27"/>
      <c r="O674" s="19"/>
      <c r="P674" s="19"/>
      <c r="Q674" s="47"/>
      <c r="R674" s="19"/>
      <c r="S674" s="19"/>
    </row>
    <row r="675" spans="1:19" x14ac:dyDescent="0.35">
      <c r="A675" s="26" t="s">
        <v>543</v>
      </c>
      <c r="B675" s="26" t="s">
        <v>543</v>
      </c>
      <c r="C675" s="26"/>
      <c r="D675" s="26" t="s">
        <v>543</v>
      </c>
      <c r="E675" s="26" t="str">
        <f>IFERROR(VLOOKUP(G675,WholesaleExtract!B:J,9,FALSE),"")</f>
        <v/>
      </c>
      <c r="F675" s="26" t="str">
        <f>IFERROR(VLOOKUP(G675,WholesaleExtract!B:J,6,FALSE),"")</f>
        <v/>
      </c>
      <c r="G675" s="46"/>
      <c r="H675" s="47" t="str">
        <f>IFERROR(VLOOKUP(G675,WholesaleExtract!B:L,11,FALSE),"")</f>
        <v/>
      </c>
      <c r="I675" s="26" t="str">
        <f>IFERROR(VLOOKUP(G675,WholesaleExtract!B:O,8,FALSE),"")</f>
        <v/>
      </c>
      <c r="J675" s="26" t="str">
        <f>IFERROR(VLOOKUP(G675,WholesaleExtract!B:O,14,FALSE),"")</f>
        <v/>
      </c>
      <c r="K675" s="26" t="str">
        <f>IFERROR(VLOOKUP(G675,WholesaleExtract!B:K,10,FALSE),"")</f>
        <v/>
      </c>
      <c r="L675" s="47" t="str">
        <f>IFERROR(VLOOKUP(G675,WholesaleExtract!B:L,11,FALSE),"")</f>
        <v/>
      </c>
      <c r="M675" s="47" t="str">
        <f>IFERROR(VLOOKUP(G675,WholesaleExtract!B:M,12,FALSE),"")</f>
        <v/>
      </c>
      <c r="N675" s="27"/>
      <c r="O675" s="19"/>
      <c r="P675" s="19"/>
      <c r="Q675" s="47"/>
      <c r="R675" s="19"/>
      <c r="S675" s="19"/>
    </row>
    <row r="676" spans="1:19" x14ac:dyDescent="0.35">
      <c r="A676" s="26" t="s">
        <v>543</v>
      </c>
      <c r="B676" s="26" t="s">
        <v>543</v>
      </c>
      <c r="C676" s="26"/>
      <c r="D676" s="26" t="s">
        <v>543</v>
      </c>
      <c r="E676" s="26" t="str">
        <f>IFERROR(VLOOKUP(G676,WholesaleExtract!B:J,9,FALSE),"")</f>
        <v/>
      </c>
      <c r="F676" s="26" t="str">
        <f>IFERROR(VLOOKUP(G676,WholesaleExtract!B:J,6,FALSE),"")</f>
        <v/>
      </c>
      <c r="G676" s="46"/>
      <c r="H676" s="47" t="str">
        <f>IFERROR(VLOOKUP(G676,WholesaleExtract!B:L,11,FALSE),"")</f>
        <v/>
      </c>
      <c r="I676" s="26" t="str">
        <f>IFERROR(VLOOKUP(G676,WholesaleExtract!B:O,8,FALSE),"")</f>
        <v/>
      </c>
      <c r="J676" s="26" t="str">
        <f>IFERROR(VLOOKUP(G676,WholesaleExtract!B:O,14,FALSE),"")</f>
        <v/>
      </c>
      <c r="K676" s="26" t="str">
        <f>IFERROR(VLOOKUP(G676,WholesaleExtract!B:K,10,FALSE),"")</f>
        <v/>
      </c>
      <c r="L676" s="47" t="str">
        <f>IFERROR(VLOOKUP(G676,WholesaleExtract!B:L,11,FALSE),"")</f>
        <v/>
      </c>
      <c r="M676" s="47" t="str">
        <f>IFERROR(VLOOKUP(G676,WholesaleExtract!B:M,12,FALSE),"")</f>
        <v/>
      </c>
      <c r="N676" s="27"/>
      <c r="O676" s="19"/>
      <c r="P676" s="19"/>
      <c r="Q676" s="47"/>
      <c r="R676" s="19"/>
      <c r="S676" s="19"/>
    </row>
    <row r="677" spans="1:19" x14ac:dyDescent="0.35">
      <c r="A677" s="26" t="s">
        <v>543</v>
      </c>
      <c r="B677" s="26" t="s">
        <v>543</v>
      </c>
      <c r="C677" s="26"/>
      <c r="D677" s="26" t="s">
        <v>543</v>
      </c>
      <c r="E677" s="26" t="str">
        <f>IFERROR(VLOOKUP(G677,WholesaleExtract!B:J,9,FALSE),"")</f>
        <v/>
      </c>
      <c r="F677" s="26" t="str">
        <f>IFERROR(VLOOKUP(G677,WholesaleExtract!B:J,6,FALSE),"")</f>
        <v/>
      </c>
      <c r="G677" s="46"/>
      <c r="H677" s="47" t="str">
        <f>IFERROR(VLOOKUP(G677,WholesaleExtract!B:L,11,FALSE),"")</f>
        <v/>
      </c>
      <c r="I677" s="26" t="str">
        <f>IFERROR(VLOOKUP(G677,WholesaleExtract!B:O,8,FALSE),"")</f>
        <v/>
      </c>
      <c r="J677" s="26" t="str">
        <f>IFERROR(VLOOKUP(G677,WholesaleExtract!B:O,14,FALSE),"")</f>
        <v/>
      </c>
      <c r="K677" s="26" t="str">
        <f>IFERROR(VLOOKUP(G677,WholesaleExtract!B:K,10,FALSE),"")</f>
        <v/>
      </c>
      <c r="L677" s="47" t="str">
        <f>IFERROR(VLOOKUP(G677,WholesaleExtract!B:L,11,FALSE),"")</f>
        <v/>
      </c>
      <c r="M677" s="47" t="str">
        <f>IFERROR(VLOOKUP(G677,WholesaleExtract!B:M,12,FALSE),"")</f>
        <v/>
      </c>
      <c r="N677" s="27"/>
      <c r="O677" s="19"/>
      <c r="P677" s="19"/>
      <c r="Q677" s="47"/>
      <c r="R677" s="19"/>
      <c r="S677" s="19"/>
    </row>
    <row r="678" spans="1:19" x14ac:dyDescent="0.35">
      <c r="A678" s="26" t="s">
        <v>543</v>
      </c>
      <c r="B678" s="26" t="s">
        <v>543</v>
      </c>
      <c r="C678" s="26"/>
      <c r="D678" s="26" t="s">
        <v>543</v>
      </c>
      <c r="E678" s="26" t="str">
        <f>IFERROR(VLOOKUP(G678,WholesaleExtract!B:J,9,FALSE),"")</f>
        <v/>
      </c>
      <c r="F678" s="26" t="str">
        <f>IFERROR(VLOOKUP(G678,WholesaleExtract!B:J,6,FALSE),"")</f>
        <v/>
      </c>
      <c r="G678" s="46"/>
      <c r="H678" s="47" t="str">
        <f>IFERROR(VLOOKUP(G678,WholesaleExtract!B:L,11,FALSE),"")</f>
        <v/>
      </c>
      <c r="I678" s="26" t="str">
        <f>IFERROR(VLOOKUP(G678,WholesaleExtract!B:O,8,FALSE),"")</f>
        <v/>
      </c>
      <c r="J678" s="26" t="str">
        <f>IFERROR(VLOOKUP(G678,WholesaleExtract!B:O,14,FALSE),"")</f>
        <v/>
      </c>
      <c r="K678" s="26" t="str">
        <f>IFERROR(VLOOKUP(G678,WholesaleExtract!B:K,10,FALSE),"")</f>
        <v/>
      </c>
      <c r="L678" s="47" t="str">
        <f>IFERROR(VLOOKUP(G678,WholesaleExtract!B:L,11,FALSE),"")</f>
        <v/>
      </c>
      <c r="M678" s="47" t="str">
        <f>IFERROR(VLOOKUP(G678,WholesaleExtract!B:M,12,FALSE),"")</f>
        <v/>
      </c>
      <c r="N678" s="27"/>
      <c r="O678" s="19"/>
      <c r="P678" s="19"/>
      <c r="Q678" s="47"/>
      <c r="R678" s="19"/>
      <c r="S678" s="19"/>
    </row>
    <row r="679" spans="1:19" x14ac:dyDescent="0.35">
      <c r="A679" s="26" t="s">
        <v>543</v>
      </c>
      <c r="B679" s="26" t="s">
        <v>543</v>
      </c>
      <c r="C679" s="26"/>
      <c r="D679" s="26" t="s">
        <v>543</v>
      </c>
      <c r="E679" s="26" t="str">
        <f>IFERROR(VLOOKUP(G679,WholesaleExtract!B:J,9,FALSE),"")</f>
        <v/>
      </c>
      <c r="F679" s="26" t="str">
        <f>IFERROR(VLOOKUP(G679,WholesaleExtract!B:J,6,FALSE),"")</f>
        <v/>
      </c>
      <c r="G679" s="46"/>
      <c r="H679" s="47" t="str">
        <f>IFERROR(VLOOKUP(G679,WholesaleExtract!B:L,11,FALSE),"")</f>
        <v/>
      </c>
      <c r="I679" s="26" t="str">
        <f>IFERROR(VLOOKUP(G679,WholesaleExtract!B:O,8,FALSE),"")</f>
        <v/>
      </c>
      <c r="J679" s="26" t="str">
        <f>IFERROR(VLOOKUP(G679,WholesaleExtract!B:O,14,FALSE),"")</f>
        <v/>
      </c>
      <c r="K679" s="26" t="str">
        <f>IFERROR(VLOOKUP(G679,WholesaleExtract!B:K,10,FALSE),"")</f>
        <v/>
      </c>
      <c r="L679" s="47" t="str">
        <f>IFERROR(VLOOKUP(G679,WholesaleExtract!B:L,11,FALSE),"")</f>
        <v/>
      </c>
      <c r="M679" s="47" t="str">
        <f>IFERROR(VLOOKUP(G679,WholesaleExtract!B:M,12,FALSE),"")</f>
        <v/>
      </c>
      <c r="N679" s="27"/>
      <c r="O679" s="19"/>
      <c r="P679" s="19"/>
      <c r="Q679" s="47"/>
      <c r="R679" s="19"/>
      <c r="S679" s="19"/>
    </row>
    <row r="680" spans="1:19" x14ac:dyDescent="0.35">
      <c r="A680" s="26" t="s">
        <v>543</v>
      </c>
      <c r="B680" s="26" t="s">
        <v>543</v>
      </c>
      <c r="C680" s="26"/>
      <c r="D680" s="26" t="s">
        <v>543</v>
      </c>
      <c r="E680" s="26" t="str">
        <f>IFERROR(VLOOKUP(G680,WholesaleExtract!B:J,9,FALSE),"")</f>
        <v/>
      </c>
      <c r="F680" s="26" t="str">
        <f>IFERROR(VLOOKUP(G680,WholesaleExtract!B:J,6,FALSE),"")</f>
        <v/>
      </c>
      <c r="G680" s="46"/>
      <c r="H680" s="47" t="str">
        <f>IFERROR(VLOOKUP(G680,WholesaleExtract!B:L,11,FALSE),"")</f>
        <v/>
      </c>
      <c r="I680" s="26" t="str">
        <f>IFERROR(VLOOKUP(G680,WholesaleExtract!B:O,8,FALSE),"")</f>
        <v/>
      </c>
      <c r="J680" s="26" t="str">
        <f>IFERROR(VLOOKUP(G680,WholesaleExtract!B:O,14,FALSE),"")</f>
        <v/>
      </c>
      <c r="K680" s="26" t="str">
        <f>IFERROR(VLOOKUP(G680,WholesaleExtract!B:K,10,FALSE),"")</f>
        <v/>
      </c>
      <c r="L680" s="47" t="str">
        <f>IFERROR(VLOOKUP(G680,WholesaleExtract!B:L,11,FALSE),"")</f>
        <v/>
      </c>
      <c r="M680" s="47" t="str">
        <f>IFERROR(VLOOKUP(G680,WholesaleExtract!B:M,12,FALSE),"")</f>
        <v/>
      </c>
      <c r="N680" s="27"/>
      <c r="O680" s="19"/>
      <c r="P680" s="19"/>
      <c r="Q680" s="47"/>
      <c r="R680" s="19"/>
      <c r="S680" s="19"/>
    </row>
    <row r="681" spans="1:19" x14ac:dyDescent="0.35">
      <c r="A681" s="26" t="s">
        <v>543</v>
      </c>
      <c r="B681" s="26" t="s">
        <v>543</v>
      </c>
      <c r="C681" s="26"/>
      <c r="D681" s="26" t="s">
        <v>543</v>
      </c>
      <c r="E681" s="26" t="str">
        <f>IFERROR(VLOOKUP(G681,WholesaleExtract!B:J,9,FALSE),"")</f>
        <v/>
      </c>
      <c r="F681" s="26" t="str">
        <f>IFERROR(VLOOKUP(G681,WholesaleExtract!B:J,6,FALSE),"")</f>
        <v/>
      </c>
      <c r="G681" s="46"/>
      <c r="H681" s="47" t="str">
        <f>IFERROR(VLOOKUP(G681,WholesaleExtract!B:L,11,FALSE),"")</f>
        <v/>
      </c>
      <c r="I681" s="26" t="str">
        <f>IFERROR(VLOOKUP(G681,WholesaleExtract!B:O,8,FALSE),"")</f>
        <v/>
      </c>
      <c r="J681" s="26" t="str">
        <f>IFERROR(VLOOKUP(G681,WholesaleExtract!B:O,14,FALSE),"")</f>
        <v/>
      </c>
      <c r="K681" s="26" t="str">
        <f>IFERROR(VLOOKUP(G681,WholesaleExtract!B:K,10,FALSE),"")</f>
        <v/>
      </c>
      <c r="L681" s="47" t="str">
        <f>IFERROR(VLOOKUP(G681,WholesaleExtract!B:L,11,FALSE),"")</f>
        <v/>
      </c>
      <c r="M681" s="47" t="str">
        <f>IFERROR(VLOOKUP(G681,WholesaleExtract!B:M,12,FALSE),"")</f>
        <v/>
      </c>
      <c r="N681" s="27"/>
      <c r="O681" s="19"/>
      <c r="P681" s="19"/>
      <c r="Q681" s="47"/>
      <c r="R681" s="19"/>
      <c r="S681" s="19"/>
    </row>
    <row r="682" spans="1:19" x14ac:dyDescent="0.35">
      <c r="A682" s="26" t="s">
        <v>543</v>
      </c>
      <c r="B682" s="26" t="s">
        <v>543</v>
      </c>
      <c r="C682" s="26"/>
      <c r="D682" s="26" t="s">
        <v>543</v>
      </c>
      <c r="E682" s="26" t="str">
        <f>IFERROR(VLOOKUP(G682,WholesaleExtract!B:J,9,FALSE),"")</f>
        <v/>
      </c>
      <c r="F682" s="26" t="str">
        <f>IFERROR(VLOOKUP(G682,WholesaleExtract!B:J,6,FALSE),"")</f>
        <v/>
      </c>
      <c r="G682" s="46"/>
      <c r="H682" s="47" t="str">
        <f>IFERROR(VLOOKUP(G682,WholesaleExtract!B:L,11,FALSE),"")</f>
        <v/>
      </c>
      <c r="I682" s="26" t="str">
        <f>IFERROR(VLOOKUP(G682,WholesaleExtract!B:O,8,FALSE),"")</f>
        <v/>
      </c>
      <c r="J682" s="26" t="str">
        <f>IFERROR(VLOOKUP(G682,WholesaleExtract!B:O,14,FALSE),"")</f>
        <v/>
      </c>
      <c r="K682" s="26" t="str">
        <f>IFERROR(VLOOKUP(G682,WholesaleExtract!B:K,10,FALSE),"")</f>
        <v/>
      </c>
      <c r="L682" s="47" t="str">
        <f>IFERROR(VLOOKUP(G682,WholesaleExtract!B:L,11,FALSE),"")</f>
        <v/>
      </c>
      <c r="M682" s="47" t="str">
        <f>IFERROR(VLOOKUP(G682,WholesaleExtract!B:M,12,FALSE),"")</f>
        <v/>
      </c>
      <c r="N682" s="27"/>
      <c r="O682" s="19"/>
      <c r="P682" s="19"/>
      <c r="Q682" s="47"/>
      <c r="R682" s="19"/>
      <c r="S682" s="19"/>
    </row>
    <row r="683" spans="1:19" x14ac:dyDescent="0.35">
      <c r="A683" s="26" t="s">
        <v>543</v>
      </c>
      <c r="B683" s="26" t="s">
        <v>543</v>
      </c>
      <c r="C683" s="26"/>
      <c r="D683" s="26" t="s">
        <v>543</v>
      </c>
      <c r="E683" s="26" t="str">
        <f>IFERROR(VLOOKUP(G683,WholesaleExtract!B:J,9,FALSE),"")</f>
        <v/>
      </c>
      <c r="F683" s="26" t="str">
        <f>IFERROR(VLOOKUP(G683,WholesaleExtract!B:J,6,FALSE),"")</f>
        <v/>
      </c>
      <c r="G683" s="46"/>
      <c r="H683" s="47" t="str">
        <f>IFERROR(VLOOKUP(G683,WholesaleExtract!B:L,11,FALSE),"")</f>
        <v/>
      </c>
      <c r="I683" s="26" t="str">
        <f>IFERROR(VLOOKUP(G683,WholesaleExtract!B:O,8,FALSE),"")</f>
        <v/>
      </c>
      <c r="J683" s="26" t="str">
        <f>IFERROR(VLOOKUP(G683,WholesaleExtract!B:O,14,FALSE),"")</f>
        <v/>
      </c>
      <c r="K683" s="26" t="str">
        <f>IFERROR(VLOOKUP(G683,WholesaleExtract!B:K,10,FALSE),"")</f>
        <v/>
      </c>
      <c r="L683" s="47" t="str">
        <f>IFERROR(VLOOKUP(G683,WholesaleExtract!B:L,11,FALSE),"")</f>
        <v/>
      </c>
      <c r="M683" s="47" t="str">
        <f>IFERROR(VLOOKUP(G683,WholesaleExtract!B:M,12,FALSE),"")</f>
        <v/>
      </c>
      <c r="N683" s="27"/>
      <c r="O683" s="19"/>
      <c r="P683" s="19"/>
      <c r="Q683" s="47"/>
      <c r="R683" s="19"/>
      <c r="S683" s="19"/>
    </row>
    <row r="684" spans="1:19" x14ac:dyDescent="0.35">
      <c r="A684" s="26" t="s">
        <v>543</v>
      </c>
      <c r="B684" s="26" t="s">
        <v>543</v>
      </c>
      <c r="C684" s="26"/>
      <c r="D684" s="26" t="s">
        <v>543</v>
      </c>
      <c r="E684" s="26" t="str">
        <f>IFERROR(VLOOKUP(G684,WholesaleExtract!B:J,9,FALSE),"")</f>
        <v/>
      </c>
      <c r="F684" s="26" t="str">
        <f>IFERROR(VLOOKUP(G684,WholesaleExtract!B:J,6,FALSE),"")</f>
        <v/>
      </c>
      <c r="G684" s="46"/>
      <c r="H684" s="47" t="str">
        <f>IFERROR(VLOOKUP(G684,WholesaleExtract!B:L,11,FALSE),"")</f>
        <v/>
      </c>
      <c r="I684" s="26" t="str">
        <f>IFERROR(VLOOKUP(G684,WholesaleExtract!B:O,8,FALSE),"")</f>
        <v/>
      </c>
      <c r="J684" s="26" t="str">
        <f>IFERROR(VLOOKUP(G684,WholesaleExtract!B:O,14,FALSE),"")</f>
        <v/>
      </c>
      <c r="K684" s="26" t="str">
        <f>IFERROR(VLOOKUP(G684,WholesaleExtract!B:K,10,FALSE),"")</f>
        <v/>
      </c>
      <c r="L684" s="47" t="str">
        <f>IFERROR(VLOOKUP(G684,WholesaleExtract!B:L,11,FALSE),"")</f>
        <v/>
      </c>
      <c r="M684" s="47" t="str">
        <f>IFERROR(VLOOKUP(G684,WholesaleExtract!B:M,12,FALSE),"")</f>
        <v/>
      </c>
      <c r="N684" s="27"/>
      <c r="O684" s="19"/>
      <c r="P684" s="19"/>
      <c r="Q684" s="47"/>
      <c r="R684" s="19"/>
      <c r="S684" s="19"/>
    </row>
    <row r="685" spans="1:19" x14ac:dyDescent="0.35">
      <c r="A685" s="26" t="s">
        <v>543</v>
      </c>
      <c r="B685" s="26" t="s">
        <v>543</v>
      </c>
      <c r="C685" s="26"/>
      <c r="D685" s="26" t="s">
        <v>543</v>
      </c>
      <c r="E685" s="26" t="str">
        <f>IFERROR(VLOOKUP(G685,WholesaleExtract!B:J,9,FALSE),"")</f>
        <v/>
      </c>
      <c r="F685" s="26" t="str">
        <f>IFERROR(VLOOKUP(G685,WholesaleExtract!B:J,6,FALSE),"")</f>
        <v/>
      </c>
      <c r="G685" s="46"/>
      <c r="H685" s="47" t="str">
        <f>IFERROR(VLOOKUP(G685,WholesaleExtract!B:L,11,FALSE),"")</f>
        <v/>
      </c>
      <c r="I685" s="26" t="str">
        <f>IFERROR(VLOOKUP(G685,WholesaleExtract!B:O,8,FALSE),"")</f>
        <v/>
      </c>
      <c r="J685" s="26" t="str">
        <f>IFERROR(VLOOKUP(G685,WholesaleExtract!B:O,14,FALSE),"")</f>
        <v/>
      </c>
      <c r="K685" s="26" t="str">
        <f>IFERROR(VLOOKUP(G685,WholesaleExtract!B:K,10,FALSE),"")</f>
        <v/>
      </c>
      <c r="L685" s="47" t="str">
        <f>IFERROR(VLOOKUP(G685,WholesaleExtract!B:L,11,FALSE),"")</f>
        <v/>
      </c>
      <c r="M685" s="47" t="str">
        <f>IFERROR(VLOOKUP(G685,WholesaleExtract!B:M,12,FALSE),"")</f>
        <v/>
      </c>
      <c r="N685" s="27"/>
      <c r="O685" s="19"/>
      <c r="P685" s="19"/>
      <c r="Q685" s="47"/>
      <c r="R685" s="19"/>
      <c r="S685" s="19"/>
    </row>
    <row r="686" spans="1:19" x14ac:dyDescent="0.35">
      <c r="A686" s="26" t="s">
        <v>543</v>
      </c>
      <c r="B686" s="26" t="s">
        <v>543</v>
      </c>
      <c r="C686" s="26"/>
      <c r="D686" s="26" t="s">
        <v>543</v>
      </c>
      <c r="E686" s="26" t="str">
        <f>IFERROR(VLOOKUP(G686,WholesaleExtract!B:J,9,FALSE),"")</f>
        <v/>
      </c>
      <c r="F686" s="26" t="str">
        <f>IFERROR(VLOOKUP(G686,WholesaleExtract!B:J,6,FALSE),"")</f>
        <v/>
      </c>
      <c r="G686" s="46"/>
      <c r="H686" s="47" t="str">
        <f>IFERROR(VLOOKUP(G686,WholesaleExtract!B:L,11,FALSE),"")</f>
        <v/>
      </c>
      <c r="I686" s="26" t="str">
        <f>IFERROR(VLOOKUP(G686,WholesaleExtract!B:O,8,FALSE),"")</f>
        <v/>
      </c>
      <c r="J686" s="26" t="str">
        <f>IFERROR(VLOOKUP(G686,WholesaleExtract!B:O,14,FALSE),"")</f>
        <v/>
      </c>
      <c r="K686" s="26" t="str">
        <f>IFERROR(VLOOKUP(G686,WholesaleExtract!B:K,10,FALSE),"")</f>
        <v/>
      </c>
      <c r="L686" s="47" t="str">
        <f>IFERROR(VLOOKUP(G686,WholesaleExtract!B:L,11,FALSE),"")</f>
        <v/>
      </c>
      <c r="M686" s="47" t="str">
        <f>IFERROR(VLOOKUP(G686,WholesaleExtract!B:M,12,FALSE),"")</f>
        <v/>
      </c>
      <c r="N686" s="27"/>
      <c r="O686" s="19"/>
      <c r="P686" s="19"/>
      <c r="Q686" s="47"/>
      <c r="R686" s="19"/>
      <c r="S686" s="19"/>
    </row>
    <row r="687" spans="1:19" x14ac:dyDescent="0.35">
      <c r="A687" s="26" t="s">
        <v>543</v>
      </c>
      <c r="B687" s="26" t="s">
        <v>543</v>
      </c>
      <c r="C687" s="26"/>
      <c r="D687" s="26" t="s">
        <v>543</v>
      </c>
      <c r="E687" s="26" t="str">
        <f>IFERROR(VLOOKUP(G687,WholesaleExtract!B:J,9,FALSE),"")</f>
        <v/>
      </c>
      <c r="F687" s="26" t="str">
        <f>IFERROR(VLOOKUP(G687,WholesaleExtract!B:J,6,FALSE),"")</f>
        <v/>
      </c>
      <c r="G687" s="46"/>
      <c r="H687" s="47" t="str">
        <f>IFERROR(VLOOKUP(G687,WholesaleExtract!B:L,11,FALSE),"")</f>
        <v/>
      </c>
      <c r="I687" s="26" t="str">
        <f>IFERROR(VLOOKUP(G687,WholesaleExtract!B:O,8,FALSE),"")</f>
        <v/>
      </c>
      <c r="J687" s="26" t="str">
        <f>IFERROR(VLOOKUP(G687,WholesaleExtract!B:O,14,FALSE),"")</f>
        <v/>
      </c>
      <c r="K687" s="26" t="str">
        <f>IFERROR(VLOOKUP(G687,WholesaleExtract!B:K,10,FALSE),"")</f>
        <v/>
      </c>
      <c r="L687" s="47" t="str">
        <f>IFERROR(VLOOKUP(G687,WholesaleExtract!B:L,11,FALSE),"")</f>
        <v/>
      </c>
      <c r="M687" s="47" t="str">
        <f>IFERROR(VLOOKUP(G687,WholesaleExtract!B:M,12,FALSE),"")</f>
        <v/>
      </c>
      <c r="N687" s="27"/>
      <c r="O687" s="19"/>
      <c r="P687" s="19"/>
      <c r="Q687" s="47"/>
      <c r="R687" s="19"/>
      <c r="S687" s="19"/>
    </row>
    <row r="688" spans="1:19" x14ac:dyDescent="0.35">
      <c r="A688" s="26" t="s">
        <v>543</v>
      </c>
      <c r="B688" s="26" t="s">
        <v>543</v>
      </c>
      <c r="C688" s="26"/>
      <c r="D688" s="26" t="s">
        <v>543</v>
      </c>
      <c r="E688" s="26" t="str">
        <f>IFERROR(VLOOKUP(G688,WholesaleExtract!B:J,9,FALSE),"")</f>
        <v/>
      </c>
      <c r="F688" s="26" t="str">
        <f>IFERROR(VLOOKUP(G688,WholesaleExtract!B:J,6,FALSE),"")</f>
        <v/>
      </c>
      <c r="G688" s="46"/>
      <c r="H688" s="47" t="str">
        <f>IFERROR(VLOOKUP(G688,WholesaleExtract!B:L,11,FALSE),"")</f>
        <v/>
      </c>
      <c r="I688" s="26" t="str">
        <f>IFERROR(VLOOKUP(G688,WholesaleExtract!B:O,8,FALSE),"")</f>
        <v/>
      </c>
      <c r="J688" s="26" t="str">
        <f>IFERROR(VLOOKUP(G688,WholesaleExtract!B:O,14,FALSE),"")</f>
        <v/>
      </c>
      <c r="K688" s="26" t="str">
        <f>IFERROR(VLOOKUP(G688,WholesaleExtract!B:K,10,FALSE),"")</f>
        <v/>
      </c>
      <c r="L688" s="47" t="str">
        <f>IFERROR(VLOOKUP(G688,WholesaleExtract!B:L,11,FALSE),"")</f>
        <v/>
      </c>
      <c r="M688" s="47" t="str">
        <f>IFERROR(VLOOKUP(G688,WholesaleExtract!B:M,12,FALSE),"")</f>
        <v/>
      </c>
      <c r="N688" s="27"/>
      <c r="O688" s="19"/>
      <c r="P688" s="19"/>
      <c r="Q688" s="47"/>
      <c r="R688" s="19"/>
      <c r="S688" s="19"/>
    </row>
    <row r="689" spans="1:19" x14ac:dyDescent="0.35">
      <c r="A689" s="26" t="s">
        <v>543</v>
      </c>
      <c r="B689" s="26" t="s">
        <v>543</v>
      </c>
      <c r="C689" s="26"/>
      <c r="D689" s="26" t="s">
        <v>543</v>
      </c>
      <c r="E689" s="26" t="str">
        <f>IFERROR(VLOOKUP(G689,WholesaleExtract!B:J,9,FALSE),"")</f>
        <v/>
      </c>
      <c r="F689" s="26" t="str">
        <f>IFERROR(VLOOKUP(G689,WholesaleExtract!B:J,6,FALSE),"")</f>
        <v/>
      </c>
      <c r="G689" s="46"/>
      <c r="H689" s="47" t="str">
        <f>IFERROR(VLOOKUP(G689,WholesaleExtract!B:L,11,FALSE),"")</f>
        <v/>
      </c>
      <c r="I689" s="26" t="str">
        <f>IFERROR(VLOOKUP(G689,WholesaleExtract!B:O,8,FALSE),"")</f>
        <v/>
      </c>
      <c r="J689" s="26" t="str">
        <f>IFERROR(VLOOKUP(G689,WholesaleExtract!B:O,14,FALSE),"")</f>
        <v/>
      </c>
      <c r="K689" s="26" t="str">
        <f>IFERROR(VLOOKUP(G689,WholesaleExtract!B:K,10,FALSE),"")</f>
        <v/>
      </c>
      <c r="L689" s="47" t="str">
        <f>IFERROR(VLOOKUP(G689,WholesaleExtract!B:L,11,FALSE),"")</f>
        <v/>
      </c>
      <c r="M689" s="47" t="str">
        <f>IFERROR(VLOOKUP(G689,WholesaleExtract!B:M,12,FALSE),"")</f>
        <v/>
      </c>
      <c r="N689" s="27"/>
      <c r="O689" s="19"/>
      <c r="P689" s="19"/>
      <c r="Q689" s="47"/>
      <c r="R689" s="19"/>
      <c r="S689" s="19"/>
    </row>
    <row r="690" spans="1:19" x14ac:dyDescent="0.35">
      <c r="A690" s="26" t="s">
        <v>543</v>
      </c>
      <c r="B690" s="26" t="s">
        <v>543</v>
      </c>
      <c r="C690" s="26"/>
      <c r="D690" s="26" t="s">
        <v>543</v>
      </c>
      <c r="E690" s="26" t="str">
        <f>IFERROR(VLOOKUP(G690,WholesaleExtract!B:J,9,FALSE),"")</f>
        <v/>
      </c>
      <c r="F690" s="26" t="str">
        <f>IFERROR(VLOOKUP(G690,WholesaleExtract!B:J,6,FALSE),"")</f>
        <v/>
      </c>
      <c r="G690" s="46"/>
      <c r="H690" s="47" t="str">
        <f>IFERROR(VLOOKUP(G690,WholesaleExtract!B:L,11,FALSE),"")</f>
        <v/>
      </c>
      <c r="I690" s="26" t="str">
        <f>IFERROR(VLOOKUP(G690,WholesaleExtract!B:O,8,FALSE),"")</f>
        <v/>
      </c>
      <c r="J690" s="26" t="str">
        <f>IFERROR(VLOOKUP(G690,WholesaleExtract!B:O,14,FALSE),"")</f>
        <v/>
      </c>
      <c r="K690" s="26" t="str">
        <f>IFERROR(VLOOKUP(G690,WholesaleExtract!B:K,10,FALSE),"")</f>
        <v/>
      </c>
      <c r="L690" s="47" t="str">
        <f>IFERROR(VLOOKUP(G690,WholesaleExtract!B:L,11,FALSE),"")</f>
        <v/>
      </c>
      <c r="M690" s="47" t="str">
        <f>IFERROR(VLOOKUP(G690,WholesaleExtract!B:M,12,FALSE),"")</f>
        <v/>
      </c>
      <c r="N690" s="27"/>
      <c r="O690" s="19"/>
      <c r="P690" s="19"/>
      <c r="Q690" s="47"/>
      <c r="R690" s="19"/>
      <c r="S690" s="19"/>
    </row>
    <row r="691" spans="1:19" x14ac:dyDescent="0.35">
      <c r="A691" s="26" t="s">
        <v>543</v>
      </c>
      <c r="B691" s="26" t="s">
        <v>543</v>
      </c>
      <c r="C691" s="26"/>
      <c r="D691" s="26" t="s">
        <v>543</v>
      </c>
      <c r="E691" s="26" t="str">
        <f>IFERROR(VLOOKUP(G691,WholesaleExtract!B:J,9,FALSE),"")</f>
        <v/>
      </c>
      <c r="F691" s="26" t="str">
        <f>IFERROR(VLOOKUP(G691,WholesaleExtract!B:J,6,FALSE),"")</f>
        <v/>
      </c>
      <c r="G691" s="46"/>
      <c r="H691" s="47" t="str">
        <f>IFERROR(VLOOKUP(G691,WholesaleExtract!B:L,11,FALSE),"")</f>
        <v/>
      </c>
      <c r="I691" s="26" t="str">
        <f>IFERROR(VLOOKUP(G691,WholesaleExtract!B:O,8,FALSE),"")</f>
        <v/>
      </c>
      <c r="J691" s="26" t="str">
        <f>IFERROR(VLOOKUP(G691,WholesaleExtract!B:O,14,FALSE),"")</f>
        <v/>
      </c>
      <c r="K691" s="26" t="str">
        <f>IFERROR(VLOOKUP(G691,WholesaleExtract!B:K,10,FALSE),"")</f>
        <v/>
      </c>
      <c r="L691" s="47" t="str">
        <f>IFERROR(VLOOKUP(G691,WholesaleExtract!B:L,11,FALSE),"")</f>
        <v/>
      </c>
      <c r="M691" s="47" t="str">
        <f>IFERROR(VLOOKUP(G691,WholesaleExtract!B:M,12,FALSE),"")</f>
        <v/>
      </c>
      <c r="N691" s="27"/>
      <c r="O691" s="19"/>
      <c r="P691" s="19"/>
      <c r="Q691" s="47"/>
      <c r="R691" s="19"/>
      <c r="S691" s="19"/>
    </row>
    <row r="692" spans="1:19" x14ac:dyDescent="0.35">
      <c r="A692" s="26" t="s">
        <v>543</v>
      </c>
      <c r="B692" s="26" t="s">
        <v>543</v>
      </c>
      <c r="C692" s="26"/>
      <c r="D692" s="26" t="s">
        <v>543</v>
      </c>
      <c r="E692" s="26" t="str">
        <f>IFERROR(VLOOKUP(G692,WholesaleExtract!B:J,9,FALSE),"")</f>
        <v/>
      </c>
      <c r="F692" s="26" t="str">
        <f>IFERROR(VLOOKUP(G692,WholesaleExtract!B:J,6,FALSE),"")</f>
        <v/>
      </c>
      <c r="G692" s="46"/>
      <c r="H692" s="47" t="str">
        <f>IFERROR(VLOOKUP(G692,WholesaleExtract!B:L,11,FALSE),"")</f>
        <v/>
      </c>
      <c r="I692" s="26" t="str">
        <f>IFERROR(VLOOKUP(G692,WholesaleExtract!B:O,8,FALSE),"")</f>
        <v/>
      </c>
      <c r="J692" s="26" t="str">
        <f>IFERROR(VLOOKUP(G692,WholesaleExtract!B:O,14,FALSE),"")</f>
        <v/>
      </c>
      <c r="K692" s="26" t="str">
        <f>IFERROR(VLOOKUP(G692,WholesaleExtract!B:K,10,FALSE),"")</f>
        <v/>
      </c>
      <c r="L692" s="47" t="str">
        <f>IFERROR(VLOOKUP(G692,WholesaleExtract!B:L,11,FALSE),"")</f>
        <v/>
      </c>
      <c r="M692" s="47" t="str">
        <f>IFERROR(VLOOKUP(G692,WholesaleExtract!B:M,12,FALSE),"")</f>
        <v/>
      </c>
      <c r="N692" s="27"/>
      <c r="O692" s="19"/>
      <c r="P692" s="19"/>
      <c r="Q692" s="47"/>
      <c r="R692" s="19"/>
      <c r="S692" s="19"/>
    </row>
    <row r="693" spans="1:19" x14ac:dyDescent="0.35">
      <c r="A693" s="26" t="s">
        <v>543</v>
      </c>
      <c r="B693" s="26" t="s">
        <v>543</v>
      </c>
      <c r="C693" s="26"/>
      <c r="D693" s="26" t="s">
        <v>543</v>
      </c>
      <c r="E693" s="26" t="str">
        <f>IFERROR(VLOOKUP(G693,WholesaleExtract!B:J,9,FALSE),"")</f>
        <v/>
      </c>
      <c r="F693" s="26" t="str">
        <f>IFERROR(VLOOKUP(G693,WholesaleExtract!B:J,6,FALSE),"")</f>
        <v/>
      </c>
      <c r="G693" s="46"/>
      <c r="H693" s="47" t="str">
        <f>IFERROR(VLOOKUP(G693,WholesaleExtract!B:L,11,FALSE),"")</f>
        <v/>
      </c>
      <c r="I693" s="26" t="str">
        <f>IFERROR(VLOOKUP(G693,WholesaleExtract!B:O,8,FALSE),"")</f>
        <v/>
      </c>
      <c r="J693" s="26" t="str">
        <f>IFERROR(VLOOKUP(G693,WholesaleExtract!B:O,14,FALSE),"")</f>
        <v/>
      </c>
      <c r="K693" s="26" t="str">
        <f>IFERROR(VLOOKUP(G693,WholesaleExtract!B:K,10,FALSE),"")</f>
        <v/>
      </c>
      <c r="L693" s="47" t="str">
        <f>IFERROR(VLOOKUP(G693,WholesaleExtract!B:L,11,FALSE),"")</f>
        <v/>
      </c>
      <c r="M693" s="47" t="str">
        <f>IFERROR(VLOOKUP(G693,WholesaleExtract!B:M,12,FALSE),"")</f>
        <v/>
      </c>
      <c r="N693" s="27"/>
      <c r="O693" s="19"/>
      <c r="P693" s="19"/>
      <c r="Q693" s="47"/>
      <c r="R693" s="19"/>
      <c r="S693" s="19"/>
    </row>
    <row r="694" spans="1:19" x14ac:dyDescent="0.35">
      <c r="A694" s="26" t="s">
        <v>543</v>
      </c>
      <c r="B694" s="26" t="s">
        <v>543</v>
      </c>
      <c r="C694" s="26"/>
      <c r="D694" s="26" t="s">
        <v>543</v>
      </c>
      <c r="E694" s="26" t="str">
        <f>IFERROR(VLOOKUP(G694,WholesaleExtract!B:J,9,FALSE),"")</f>
        <v/>
      </c>
      <c r="F694" s="26" t="str">
        <f>IFERROR(VLOOKUP(G694,WholesaleExtract!B:J,6,FALSE),"")</f>
        <v/>
      </c>
      <c r="G694" s="46"/>
      <c r="H694" s="47" t="str">
        <f>IFERROR(VLOOKUP(G694,WholesaleExtract!B:L,11,FALSE),"")</f>
        <v/>
      </c>
      <c r="I694" s="26" t="str">
        <f>IFERROR(VLOOKUP(G694,WholesaleExtract!B:O,8,FALSE),"")</f>
        <v/>
      </c>
      <c r="J694" s="26" t="str">
        <f>IFERROR(VLOOKUP(G694,WholesaleExtract!B:O,14,FALSE),"")</f>
        <v/>
      </c>
      <c r="K694" s="26" t="str">
        <f>IFERROR(VLOOKUP(G694,WholesaleExtract!B:K,10,FALSE),"")</f>
        <v/>
      </c>
      <c r="L694" s="47" t="str">
        <f>IFERROR(VLOOKUP(G694,WholesaleExtract!B:L,11,FALSE),"")</f>
        <v/>
      </c>
      <c r="M694" s="47" t="str">
        <f>IFERROR(VLOOKUP(G694,WholesaleExtract!B:M,12,FALSE),"")</f>
        <v/>
      </c>
      <c r="N694" s="27"/>
      <c r="O694" s="19"/>
      <c r="P694" s="19"/>
      <c r="Q694" s="47"/>
      <c r="R694" s="19"/>
      <c r="S694" s="19"/>
    </row>
    <row r="695" spans="1:19" x14ac:dyDescent="0.35">
      <c r="A695" s="26" t="s">
        <v>543</v>
      </c>
      <c r="B695" s="26" t="s">
        <v>543</v>
      </c>
      <c r="C695" s="26"/>
      <c r="D695" s="26" t="s">
        <v>543</v>
      </c>
      <c r="E695" s="26" t="str">
        <f>IFERROR(VLOOKUP(G695,WholesaleExtract!B:J,9,FALSE),"")</f>
        <v/>
      </c>
      <c r="F695" s="26" t="str">
        <f>IFERROR(VLOOKUP(G695,WholesaleExtract!B:J,6,FALSE),"")</f>
        <v/>
      </c>
      <c r="G695" s="46"/>
      <c r="H695" s="47" t="str">
        <f>IFERROR(VLOOKUP(G695,WholesaleExtract!B:L,11,FALSE),"")</f>
        <v/>
      </c>
      <c r="I695" s="26" t="str">
        <f>IFERROR(VLOOKUP(G695,WholesaleExtract!B:O,8,FALSE),"")</f>
        <v/>
      </c>
      <c r="J695" s="26" t="str">
        <f>IFERROR(VLOOKUP(G695,WholesaleExtract!B:O,14,FALSE),"")</f>
        <v/>
      </c>
      <c r="K695" s="26" t="str">
        <f>IFERROR(VLOOKUP(G695,WholesaleExtract!B:K,10,FALSE),"")</f>
        <v/>
      </c>
      <c r="L695" s="47" t="str">
        <f>IFERROR(VLOOKUP(G695,WholesaleExtract!B:L,11,FALSE),"")</f>
        <v/>
      </c>
      <c r="M695" s="47" t="str">
        <f>IFERROR(VLOOKUP(G695,WholesaleExtract!B:M,12,FALSE),"")</f>
        <v/>
      </c>
      <c r="N695" s="27"/>
      <c r="O695" s="19"/>
      <c r="P695" s="19"/>
      <c r="Q695" s="47"/>
      <c r="R695" s="19"/>
      <c r="S695" s="19"/>
    </row>
    <row r="696" spans="1:19" x14ac:dyDescent="0.35">
      <c r="A696" s="26" t="s">
        <v>543</v>
      </c>
      <c r="B696" s="26" t="s">
        <v>543</v>
      </c>
      <c r="C696" s="26"/>
      <c r="D696" s="26" t="s">
        <v>543</v>
      </c>
      <c r="E696" s="26" t="str">
        <f>IFERROR(VLOOKUP(G696,WholesaleExtract!B:J,9,FALSE),"")</f>
        <v/>
      </c>
      <c r="F696" s="26" t="str">
        <f>IFERROR(VLOOKUP(G696,WholesaleExtract!B:J,6,FALSE),"")</f>
        <v/>
      </c>
      <c r="G696" s="46"/>
      <c r="H696" s="47" t="str">
        <f>IFERROR(VLOOKUP(G696,WholesaleExtract!B:L,11,FALSE),"")</f>
        <v/>
      </c>
      <c r="I696" s="26" t="str">
        <f>IFERROR(VLOOKUP(G696,WholesaleExtract!B:O,8,FALSE),"")</f>
        <v/>
      </c>
      <c r="J696" s="26" t="str">
        <f>IFERROR(VLOOKUP(G696,WholesaleExtract!B:O,14,FALSE),"")</f>
        <v/>
      </c>
      <c r="K696" s="26" t="str">
        <f>IFERROR(VLOOKUP(G696,WholesaleExtract!B:K,10,FALSE),"")</f>
        <v/>
      </c>
      <c r="L696" s="47" t="str">
        <f>IFERROR(VLOOKUP(G696,WholesaleExtract!B:L,11,FALSE),"")</f>
        <v/>
      </c>
      <c r="M696" s="47" t="str">
        <f>IFERROR(VLOOKUP(G696,WholesaleExtract!B:M,12,FALSE),"")</f>
        <v/>
      </c>
      <c r="N696" s="27"/>
      <c r="O696" s="19"/>
      <c r="P696" s="19"/>
      <c r="Q696" s="47"/>
      <c r="R696" s="19"/>
      <c r="S696" s="19"/>
    </row>
    <row r="697" spans="1:19" x14ac:dyDescent="0.35">
      <c r="A697" s="26" t="s">
        <v>543</v>
      </c>
      <c r="B697" s="26" t="s">
        <v>543</v>
      </c>
      <c r="C697" s="26"/>
      <c r="D697" s="26" t="s">
        <v>543</v>
      </c>
      <c r="E697" s="26" t="str">
        <f>IFERROR(VLOOKUP(G697,WholesaleExtract!B:J,9,FALSE),"")</f>
        <v/>
      </c>
      <c r="F697" s="26" t="str">
        <f>IFERROR(VLOOKUP(G697,WholesaleExtract!B:J,6,FALSE),"")</f>
        <v/>
      </c>
      <c r="G697" s="46"/>
      <c r="H697" s="47" t="str">
        <f>IFERROR(VLOOKUP(G697,WholesaleExtract!B:L,11,FALSE),"")</f>
        <v/>
      </c>
      <c r="I697" s="26" t="str">
        <f>IFERROR(VLOOKUP(G697,WholesaleExtract!B:O,8,FALSE),"")</f>
        <v/>
      </c>
      <c r="J697" s="26" t="str">
        <f>IFERROR(VLOOKUP(G697,WholesaleExtract!B:O,14,FALSE),"")</f>
        <v/>
      </c>
      <c r="K697" s="26" t="str">
        <f>IFERROR(VLOOKUP(G697,WholesaleExtract!B:K,10,FALSE),"")</f>
        <v/>
      </c>
      <c r="L697" s="47" t="str">
        <f>IFERROR(VLOOKUP(G697,WholesaleExtract!B:L,11,FALSE),"")</f>
        <v/>
      </c>
      <c r="M697" s="47" t="str">
        <f>IFERROR(VLOOKUP(G697,WholesaleExtract!B:M,12,FALSE),"")</f>
        <v/>
      </c>
      <c r="N697" s="27"/>
      <c r="O697" s="19"/>
      <c r="P697" s="19"/>
      <c r="Q697" s="47"/>
      <c r="R697" s="19"/>
      <c r="S697" s="19"/>
    </row>
    <row r="698" spans="1:19" x14ac:dyDescent="0.35">
      <c r="A698" s="26" t="s">
        <v>543</v>
      </c>
      <c r="B698" s="26" t="s">
        <v>543</v>
      </c>
      <c r="C698" s="26"/>
      <c r="D698" s="26" t="s">
        <v>543</v>
      </c>
      <c r="E698" s="26" t="str">
        <f>IFERROR(VLOOKUP(G698,WholesaleExtract!B:J,9,FALSE),"")</f>
        <v/>
      </c>
      <c r="F698" s="26" t="str">
        <f>IFERROR(VLOOKUP(G698,WholesaleExtract!B:J,6,FALSE),"")</f>
        <v/>
      </c>
      <c r="G698" s="46"/>
      <c r="H698" s="47" t="str">
        <f>IFERROR(VLOOKUP(G698,WholesaleExtract!B:L,11,FALSE),"")</f>
        <v/>
      </c>
      <c r="I698" s="26" t="str">
        <f>IFERROR(VLOOKUP(G698,WholesaleExtract!B:O,8,FALSE),"")</f>
        <v/>
      </c>
      <c r="J698" s="26" t="str">
        <f>IFERROR(VLOOKUP(G698,WholesaleExtract!B:O,14,FALSE),"")</f>
        <v/>
      </c>
      <c r="K698" s="26" t="str">
        <f>IFERROR(VLOOKUP(G698,WholesaleExtract!B:K,10,FALSE),"")</f>
        <v/>
      </c>
      <c r="L698" s="47" t="str">
        <f>IFERROR(VLOOKUP(G698,WholesaleExtract!B:L,11,FALSE),"")</f>
        <v/>
      </c>
      <c r="M698" s="47" t="str">
        <f>IFERROR(VLOOKUP(G698,WholesaleExtract!B:M,12,FALSE),"")</f>
        <v/>
      </c>
      <c r="N698" s="27"/>
      <c r="O698" s="19"/>
      <c r="P698" s="19"/>
      <c r="Q698" s="47"/>
      <c r="R698" s="19"/>
      <c r="S698" s="19"/>
    </row>
    <row r="699" spans="1:19" x14ac:dyDescent="0.35">
      <c r="A699" s="26" t="s">
        <v>543</v>
      </c>
      <c r="B699" s="26" t="s">
        <v>543</v>
      </c>
      <c r="C699" s="26"/>
      <c r="D699" s="26" t="s">
        <v>543</v>
      </c>
      <c r="E699" s="26" t="str">
        <f>IFERROR(VLOOKUP(G699,WholesaleExtract!B:J,9,FALSE),"")</f>
        <v/>
      </c>
      <c r="F699" s="26" t="str">
        <f>IFERROR(VLOOKUP(G699,WholesaleExtract!B:J,6,FALSE),"")</f>
        <v/>
      </c>
      <c r="G699" s="46"/>
      <c r="H699" s="47" t="str">
        <f>IFERROR(VLOOKUP(G699,WholesaleExtract!B:L,11,FALSE),"")</f>
        <v/>
      </c>
      <c r="I699" s="26" t="str">
        <f>IFERROR(VLOOKUP(G699,WholesaleExtract!B:O,8,FALSE),"")</f>
        <v/>
      </c>
      <c r="J699" s="26" t="str">
        <f>IFERROR(VLOOKUP(G699,WholesaleExtract!B:O,14,FALSE),"")</f>
        <v/>
      </c>
      <c r="K699" s="26" t="str">
        <f>IFERROR(VLOOKUP(G699,WholesaleExtract!B:K,10,FALSE),"")</f>
        <v/>
      </c>
      <c r="L699" s="47" t="str">
        <f>IFERROR(VLOOKUP(G699,WholesaleExtract!B:L,11,FALSE),"")</f>
        <v/>
      </c>
      <c r="M699" s="47" t="str">
        <f>IFERROR(VLOOKUP(G699,WholesaleExtract!B:M,12,FALSE),"")</f>
        <v/>
      </c>
      <c r="N699" s="27"/>
      <c r="O699" s="19"/>
      <c r="P699" s="19"/>
      <c r="Q699" s="47"/>
      <c r="R699" s="19"/>
      <c r="S699" s="19"/>
    </row>
    <row r="700" spans="1:19" x14ac:dyDescent="0.35">
      <c r="A700" s="26" t="s">
        <v>543</v>
      </c>
      <c r="B700" s="26" t="s">
        <v>543</v>
      </c>
      <c r="C700" s="26"/>
      <c r="D700" s="26" t="s">
        <v>543</v>
      </c>
      <c r="E700" s="26" t="str">
        <f>IFERROR(VLOOKUP(G700,WholesaleExtract!B:J,9,FALSE),"")</f>
        <v/>
      </c>
      <c r="F700" s="26" t="str">
        <f>IFERROR(VLOOKUP(G700,WholesaleExtract!B:J,6,FALSE),"")</f>
        <v/>
      </c>
      <c r="G700" s="46"/>
      <c r="H700" s="47" t="str">
        <f>IFERROR(VLOOKUP(G700,WholesaleExtract!B:L,11,FALSE),"")</f>
        <v/>
      </c>
      <c r="I700" s="26" t="str">
        <f>IFERROR(VLOOKUP(G700,WholesaleExtract!B:O,8,FALSE),"")</f>
        <v/>
      </c>
      <c r="J700" s="26" t="str">
        <f>IFERROR(VLOOKUP(G700,WholesaleExtract!B:O,14,FALSE),"")</f>
        <v/>
      </c>
      <c r="K700" s="26" t="str">
        <f>IFERROR(VLOOKUP(G700,WholesaleExtract!B:K,10,FALSE),"")</f>
        <v/>
      </c>
      <c r="L700" s="47" t="str">
        <f>IFERROR(VLOOKUP(G700,WholesaleExtract!B:L,11,FALSE),"")</f>
        <v/>
      </c>
      <c r="M700" s="47" t="str">
        <f>IFERROR(VLOOKUP(G700,WholesaleExtract!B:M,12,FALSE),"")</f>
        <v/>
      </c>
      <c r="N700" s="27"/>
      <c r="O700" s="19"/>
      <c r="P700" s="19"/>
      <c r="Q700" s="47"/>
      <c r="R700" s="19"/>
      <c r="S700" s="19"/>
    </row>
    <row r="701" spans="1:19" x14ac:dyDescent="0.35">
      <c r="A701" s="26" t="s">
        <v>543</v>
      </c>
      <c r="B701" s="26" t="s">
        <v>543</v>
      </c>
      <c r="C701" s="26"/>
      <c r="D701" s="26" t="s">
        <v>543</v>
      </c>
      <c r="E701" s="26" t="str">
        <f>IFERROR(VLOOKUP(G701,WholesaleExtract!B:J,9,FALSE),"")</f>
        <v/>
      </c>
      <c r="F701" s="26" t="str">
        <f>IFERROR(VLOOKUP(G701,WholesaleExtract!B:J,6,FALSE),"")</f>
        <v/>
      </c>
      <c r="G701" s="46"/>
      <c r="H701" s="47" t="str">
        <f>IFERROR(VLOOKUP(G701,WholesaleExtract!B:L,11,FALSE),"")</f>
        <v/>
      </c>
      <c r="I701" s="26" t="str">
        <f>IFERROR(VLOOKUP(G701,WholesaleExtract!B:O,8,FALSE),"")</f>
        <v/>
      </c>
      <c r="J701" s="26" t="str">
        <f>IFERROR(VLOOKUP(G701,WholesaleExtract!B:O,14,FALSE),"")</f>
        <v/>
      </c>
      <c r="K701" s="26" t="str">
        <f>IFERROR(VLOOKUP(G701,WholesaleExtract!B:K,10,FALSE),"")</f>
        <v/>
      </c>
      <c r="L701" s="47" t="str">
        <f>IFERROR(VLOOKUP(G701,WholesaleExtract!B:L,11,FALSE),"")</f>
        <v/>
      </c>
      <c r="M701" s="47" t="str">
        <f>IFERROR(VLOOKUP(G701,WholesaleExtract!B:M,12,FALSE),"")</f>
        <v/>
      </c>
      <c r="N701" s="27"/>
      <c r="O701" s="19"/>
      <c r="P701" s="19"/>
      <c r="Q701" s="47"/>
      <c r="R701" s="19"/>
      <c r="S701" s="19"/>
    </row>
    <row r="702" spans="1:19" x14ac:dyDescent="0.35">
      <c r="A702" s="26" t="s">
        <v>543</v>
      </c>
      <c r="B702" s="26" t="s">
        <v>543</v>
      </c>
      <c r="C702" s="26"/>
      <c r="D702" s="26" t="s">
        <v>543</v>
      </c>
      <c r="E702" s="26" t="str">
        <f>IFERROR(VLOOKUP(G702,WholesaleExtract!B:J,9,FALSE),"")</f>
        <v/>
      </c>
      <c r="F702" s="26" t="str">
        <f>IFERROR(VLOOKUP(G702,WholesaleExtract!B:J,6,FALSE),"")</f>
        <v/>
      </c>
      <c r="G702" s="46"/>
      <c r="H702" s="47" t="str">
        <f>IFERROR(VLOOKUP(G702,WholesaleExtract!B:L,11,FALSE),"")</f>
        <v/>
      </c>
      <c r="I702" s="26" t="str">
        <f>IFERROR(VLOOKUP(G702,WholesaleExtract!B:O,8,FALSE),"")</f>
        <v/>
      </c>
      <c r="J702" s="26" t="str">
        <f>IFERROR(VLOOKUP(G702,WholesaleExtract!B:O,14,FALSE),"")</f>
        <v/>
      </c>
      <c r="K702" s="26" t="str">
        <f>IFERROR(VLOOKUP(G702,WholesaleExtract!B:K,10,FALSE),"")</f>
        <v/>
      </c>
      <c r="L702" s="47" t="str">
        <f>IFERROR(VLOOKUP(G702,WholesaleExtract!B:L,11,FALSE),"")</f>
        <v/>
      </c>
      <c r="M702" s="47" t="str">
        <f>IFERROR(VLOOKUP(G702,WholesaleExtract!B:M,12,FALSE),"")</f>
        <v/>
      </c>
      <c r="N702" s="27"/>
      <c r="O702" s="19"/>
      <c r="P702" s="19"/>
      <c r="Q702" s="47"/>
      <c r="R702" s="19"/>
      <c r="S702" s="19"/>
    </row>
    <row r="703" spans="1:19" x14ac:dyDescent="0.35">
      <c r="A703" s="26" t="s">
        <v>543</v>
      </c>
      <c r="B703" s="26" t="s">
        <v>543</v>
      </c>
      <c r="C703" s="26"/>
      <c r="D703" s="26" t="s">
        <v>543</v>
      </c>
      <c r="E703" s="26" t="str">
        <f>IFERROR(VLOOKUP(G703,WholesaleExtract!B:J,9,FALSE),"")</f>
        <v/>
      </c>
      <c r="F703" s="26" t="str">
        <f>IFERROR(VLOOKUP(G703,WholesaleExtract!B:J,6,FALSE),"")</f>
        <v/>
      </c>
      <c r="G703" s="46"/>
      <c r="H703" s="47" t="str">
        <f>IFERROR(VLOOKUP(G703,WholesaleExtract!B:L,11,FALSE),"")</f>
        <v/>
      </c>
      <c r="I703" s="26" t="str">
        <f>IFERROR(VLOOKUP(G703,WholesaleExtract!B:O,8,FALSE),"")</f>
        <v/>
      </c>
      <c r="J703" s="26" t="str">
        <f>IFERROR(VLOOKUP(G703,WholesaleExtract!B:O,14,FALSE),"")</f>
        <v/>
      </c>
      <c r="K703" s="26" t="str">
        <f>IFERROR(VLOOKUP(G703,WholesaleExtract!B:K,10,FALSE),"")</f>
        <v/>
      </c>
      <c r="L703" s="47" t="str">
        <f>IFERROR(VLOOKUP(G703,WholesaleExtract!B:L,11,FALSE),"")</f>
        <v/>
      </c>
      <c r="M703" s="47" t="str">
        <f>IFERROR(VLOOKUP(G703,WholesaleExtract!B:M,12,FALSE),"")</f>
        <v/>
      </c>
      <c r="N703" s="27"/>
      <c r="O703" s="19"/>
      <c r="P703" s="19"/>
      <c r="Q703" s="47"/>
      <c r="R703" s="19"/>
      <c r="S703" s="19"/>
    </row>
    <row r="704" spans="1:19" x14ac:dyDescent="0.35">
      <c r="A704" s="26" t="s">
        <v>543</v>
      </c>
      <c r="B704" s="26" t="s">
        <v>543</v>
      </c>
      <c r="C704" s="26"/>
      <c r="D704" s="26" t="s">
        <v>543</v>
      </c>
      <c r="E704" s="26" t="str">
        <f>IFERROR(VLOOKUP(G704,WholesaleExtract!B:J,9,FALSE),"")</f>
        <v/>
      </c>
      <c r="F704" s="26" t="str">
        <f>IFERROR(VLOOKUP(G704,WholesaleExtract!B:J,6,FALSE),"")</f>
        <v/>
      </c>
      <c r="G704" s="46"/>
      <c r="H704" s="47" t="str">
        <f>IFERROR(VLOOKUP(G704,WholesaleExtract!B:L,11,FALSE),"")</f>
        <v/>
      </c>
      <c r="I704" s="26" t="str">
        <f>IFERROR(VLOOKUP(G704,WholesaleExtract!B:O,8,FALSE),"")</f>
        <v/>
      </c>
      <c r="J704" s="26" t="str">
        <f>IFERROR(VLOOKUP(G704,WholesaleExtract!B:O,14,FALSE),"")</f>
        <v/>
      </c>
      <c r="K704" s="26" t="str">
        <f>IFERROR(VLOOKUP(G704,WholesaleExtract!B:K,10,FALSE),"")</f>
        <v/>
      </c>
      <c r="L704" s="47" t="str">
        <f>IFERROR(VLOOKUP(G704,WholesaleExtract!B:L,11,FALSE),"")</f>
        <v/>
      </c>
      <c r="M704" s="47" t="str">
        <f>IFERROR(VLOOKUP(G704,WholesaleExtract!B:M,12,FALSE),"")</f>
        <v/>
      </c>
      <c r="N704" s="27"/>
      <c r="O704" s="19"/>
      <c r="P704" s="19"/>
      <c r="Q704" s="47"/>
      <c r="R704" s="19"/>
      <c r="S704" s="19"/>
    </row>
    <row r="705" spans="1:19" x14ac:dyDescent="0.35">
      <c r="A705" s="26" t="s">
        <v>543</v>
      </c>
      <c r="B705" s="26" t="s">
        <v>543</v>
      </c>
      <c r="C705" s="26"/>
      <c r="D705" s="26" t="s">
        <v>543</v>
      </c>
      <c r="E705" s="26" t="str">
        <f>IFERROR(VLOOKUP(G705,WholesaleExtract!B:J,9,FALSE),"")</f>
        <v/>
      </c>
      <c r="F705" s="26" t="str">
        <f>IFERROR(VLOOKUP(G705,WholesaleExtract!B:J,6,FALSE),"")</f>
        <v/>
      </c>
      <c r="G705" s="46"/>
      <c r="H705" s="47" t="str">
        <f>IFERROR(VLOOKUP(G705,WholesaleExtract!B:L,11,FALSE),"")</f>
        <v/>
      </c>
      <c r="I705" s="26" t="str">
        <f>IFERROR(VLOOKUP(G705,WholesaleExtract!B:O,8,FALSE),"")</f>
        <v/>
      </c>
      <c r="J705" s="26" t="str">
        <f>IFERROR(VLOOKUP(G705,WholesaleExtract!B:O,14,FALSE),"")</f>
        <v/>
      </c>
      <c r="K705" s="26" t="str">
        <f>IFERROR(VLOOKUP(G705,WholesaleExtract!B:K,10,FALSE),"")</f>
        <v/>
      </c>
      <c r="L705" s="47" t="str">
        <f>IFERROR(VLOOKUP(G705,WholesaleExtract!B:L,11,FALSE),"")</f>
        <v/>
      </c>
      <c r="M705" s="47" t="str">
        <f>IFERROR(VLOOKUP(G705,WholesaleExtract!B:M,12,FALSE),"")</f>
        <v/>
      </c>
      <c r="N705" s="27"/>
      <c r="O705" s="19"/>
      <c r="P705" s="19"/>
      <c r="Q705" s="47"/>
      <c r="R705" s="19"/>
      <c r="S705" s="19"/>
    </row>
    <row r="706" spans="1:19" x14ac:dyDescent="0.35">
      <c r="A706" s="26" t="s">
        <v>543</v>
      </c>
      <c r="B706" s="26" t="s">
        <v>543</v>
      </c>
      <c r="C706" s="26"/>
      <c r="D706" s="26" t="s">
        <v>543</v>
      </c>
      <c r="E706" s="26" t="str">
        <f>IFERROR(VLOOKUP(G706,WholesaleExtract!B:J,9,FALSE),"")</f>
        <v/>
      </c>
      <c r="F706" s="26" t="str">
        <f>IFERROR(VLOOKUP(G706,WholesaleExtract!B:J,6,FALSE),"")</f>
        <v/>
      </c>
      <c r="G706" s="46"/>
      <c r="H706" s="47" t="str">
        <f>IFERROR(VLOOKUP(G706,WholesaleExtract!B:L,11,FALSE),"")</f>
        <v/>
      </c>
      <c r="I706" s="26" t="str">
        <f>IFERROR(VLOOKUP(G706,WholesaleExtract!B:O,8,FALSE),"")</f>
        <v/>
      </c>
      <c r="J706" s="26" t="str">
        <f>IFERROR(VLOOKUP(G706,WholesaleExtract!B:O,14,FALSE),"")</f>
        <v/>
      </c>
      <c r="K706" s="26" t="str">
        <f>IFERROR(VLOOKUP(G706,WholesaleExtract!B:K,10,FALSE),"")</f>
        <v/>
      </c>
      <c r="L706" s="47" t="str">
        <f>IFERROR(VLOOKUP(G706,WholesaleExtract!B:L,11,FALSE),"")</f>
        <v/>
      </c>
      <c r="M706" s="47" t="str">
        <f>IFERROR(VLOOKUP(G706,WholesaleExtract!B:M,12,FALSE),"")</f>
        <v/>
      </c>
      <c r="N706" s="27"/>
      <c r="O706" s="19"/>
      <c r="P706" s="19"/>
      <c r="Q706" s="47"/>
      <c r="R706" s="19"/>
      <c r="S706" s="19"/>
    </row>
    <row r="707" spans="1:19" x14ac:dyDescent="0.35">
      <c r="A707" s="26" t="s">
        <v>543</v>
      </c>
      <c r="B707" s="26" t="s">
        <v>543</v>
      </c>
      <c r="C707" s="26"/>
      <c r="D707" s="26" t="s">
        <v>543</v>
      </c>
      <c r="E707" s="26" t="str">
        <f>IFERROR(VLOOKUP(G707,WholesaleExtract!B:J,9,FALSE),"")</f>
        <v/>
      </c>
      <c r="F707" s="26" t="str">
        <f>IFERROR(VLOOKUP(G707,WholesaleExtract!B:J,6,FALSE),"")</f>
        <v/>
      </c>
      <c r="G707" s="46"/>
      <c r="H707" s="47" t="str">
        <f>IFERROR(VLOOKUP(G707,WholesaleExtract!B:L,11,FALSE),"")</f>
        <v/>
      </c>
      <c r="I707" s="26" t="str">
        <f>IFERROR(VLOOKUP(G707,WholesaleExtract!B:O,8,FALSE),"")</f>
        <v/>
      </c>
      <c r="J707" s="26" t="str">
        <f>IFERROR(VLOOKUP(G707,WholesaleExtract!B:O,14,FALSE),"")</f>
        <v/>
      </c>
      <c r="K707" s="26" t="str">
        <f>IFERROR(VLOOKUP(G707,WholesaleExtract!B:K,10,FALSE),"")</f>
        <v/>
      </c>
      <c r="L707" s="47" t="str">
        <f>IFERROR(VLOOKUP(G707,WholesaleExtract!B:L,11,FALSE),"")</f>
        <v/>
      </c>
      <c r="M707" s="47" t="str">
        <f>IFERROR(VLOOKUP(G707,WholesaleExtract!B:M,12,FALSE),"")</f>
        <v/>
      </c>
      <c r="N707" s="27"/>
      <c r="O707" s="19"/>
      <c r="P707" s="19"/>
      <c r="Q707" s="47"/>
      <c r="R707" s="19"/>
      <c r="S707" s="19"/>
    </row>
    <row r="708" spans="1:19" x14ac:dyDescent="0.35">
      <c r="A708" s="26" t="s">
        <v>543</v>
      </c>
      <c r="B708" s="26" t="s">
        <v>543</v>
      </c>
      <c r="C708" s="26"/>
      <c r="D708" s="26" t="s">
        <v>543</v>
      </c>
      <c r="E708" s="26" t="str">
        <f>IFERROR(VLOOKUP(G708,WholesaleExtract!B:J,9,FALSE),"")</f>
        <v/>
      </c>
      <c r="F708" s="26" t="str">
        <f>IFERROR(VLOOKUP(G708,WholesaleExtract!B:J,6,FALSE),"")</f>
        <v/>
      </c>
      <c r="G708" s="46"/>
      <c r="H708" s="47" t="str">
        <f>IFERROR(VLOOKUP(G708,WholesaleExtract!B:L,11,FALSE),"")</f>
        <v/>
      </c>
      <c r="I708" s="26" t="str">
        <f>IFERROR(VLOOKUP(G708,WholesaleExtract!B:O,8,FALSE),"")</f>
        <v/>
      </c>
      <c r="J708" s="26" t="str">
        <f>IFERROR(VLOOKUP(G708,WholesaleExtract!B:O,14,FALSE),"")</f>
        <v/>
      </c>
      <c r="K708" s="26" t="str">
        <f>IFERROR(VLOOKUP(G708,WholesaleExtract!B:K,10,FALSE),"")</f>
        <v/>
      </c>
      <c r="L708" s="47" t="str">
        <f>IFERROR(VLOOKUP(G708,WholesaleExtract!B:L,11,FALSE),"")</f>
        <v/>
      </c>
      <c r="M708" s="47" t="str">
        <f>IFERROR(VLOOKUP(G708,WholesaleExtract!B:M,12,FALSE),"")</f>
        <v/>
      </c>
      <c r="N708" s="27"/>
      <c r="O708" s="19"/>
      <c r="P708" s="19"/>
      <c r="Q708" s="47"/>
      <c r="R708" s="19"/>
      <c r="S708" s="19"/>
    </row>
    <row r="709" spans="1:19" x14ac:dyDescent="0.35">
      <c r="A709" s="26" t="s">
        <v>543</v>
      </c>
      <c r="B709" s="26" t="s">
        <v>543</v>
      </c>
      <c r="C709" s="26"/>
      <c r="D709" s="26" t="s">
        <v>543</v>
      </c>
      <c r="E709" s="26" t="str">
        <f>IFERROR(VLOOKUP(G709,WholesaleExtract!B:J,9,FALSE),"")</f>
        <v/>
      </c>
      <c r="F709" s="26" t="str">
        <f>IFERROR(VLOOKUP(G709,WholesaleExtract!B:J,6,FALSE),"")</f>
        <v/>
      </c>
      <c r="G709" s="46"/>
      <c r="H709" s="47" t="str">
        <f>IFERROR(VLOOKUP(G709,WholesaleExtract!B:L,11,FALSE),"")</f>
        <v/>
      </c>
      <c r="I709" s="26" t="str">
        <f>IFERROR(VLOOKUP(G709,WholesaleExtract!B:O,8,FALSE),"")</f>
        <v/>
      </c>
      <c r="J709" s="26" t="str">
        <f>IFERROR(VLOOKUP(G709,WholesaleExtract!B:O,14,FALSE),"")</f>
        <v/>
      </c>
      <c r="K709" s="26" t="str">
        <f>IFERROR(VLOOKUP(G709,WholesaleExtract!B:K,10,FALSE),"")</f>
        <v/>
      </c>
      <c r="L709" s="47" t="str">
        <f>IFERROR(VLOOKUP(G709,WholesaleExtract!B:L,11,FALSE),"")</f>
        <v/>
      </c>
      <c r="M709" s="47" t="str">
        <f>IFERROR(VLOOKUP(G709,WholesaleExtract!B:M,12,FALSE),"")</f>
        <v/>
      </c>
      <c r="N709" s="27"/>
      <c r="O709" s="19"/>
      <c r="P709" s="19"/>
      <c r="Q709" s="47"/>
      <c r="R709" s="19"/>
      <c r="S709" s="19"/>
    </row>
    <row r="710" spans="1:19" x14ac:dyDescent="0.35">
      <c r="A710" s="26" t="s">
        <v>543</v>
      </c>
      <c r="B710" s="26" t="s">
        <v>543</v>
      </c>
      <c r="C710" s="26"/>
      <c r="D710" s="26" t="s">
        <v>543</v>
      </c>
      <c r="E710" s="26" t="str">
        <f>IFERROR(VLOOKUP(G710,WholesaleExtract!B:J,9,FALSE),"")</f>
        <v/>
      </c>
      <c r="F710" s="26" t="str">
        <f>IFERROR(VLOOKUP(G710,WholesaleExtract!B:J,6,FALSE),"")</f>
        <v/>
      </c>
      <c r="G710" s="46"/>
      <c r="H710" s="47" t="str">
        <f>IFERROR(VLOOKUP(G710,WholesaleExtract!B:L,11,FALSE),"")</f>
        <v/>
      </c>
      <c r="I710" s="26" t="str">
        <f>IFERROR(VLOOKUP(G710,WholesaleExtract!B:O,8,FALSE),"")</f>
        <v/>
      </c>
      <c r="J710" s="26" t="str">
        <f>IFERROR(VLOOKUP(G710,WholesaleExtract!B:O,14,FALSE),"")</f>
        <v/>
      </c>
      <c r="K710" s="26" t="str">
        <f>IFERROR(VLOOKUP(G710,WholesaleExtract!B:K,10,FALSE),"")</f>
        <v/>
      </c>
      <c r="L710" s="47" t="str">
        <f>IFERROR(VLOOKUP(G710,WholesaleExtract!B:L,11,FALSE),"")</f>
        <v/>
      </c>
      <c r="M710" s="47" t="str">
        <f>IFERROR(VLOOKUP(G710,WholesaleExtract!B:M,12,FALSE),"")</f>
        <v/>
      </c>
      <c r="N710" s="27"/>
      <c r="O710" s="19"/>
      <c r="P710" s="19"/>
      <c r="Q710" s="47"/>
      <c r="R710" s="19"/>
      <c r="S710" s="19"/>
    </row>
    <row r="711" spans="1:19" x14ac:dyDescent="0.35">
      <c r="A711" s="26" t="s">
        <v>543</v>
      </c>
      <c r="B711" s="26" t="s">
        <v>543</v>
      </c>
      <c r="C711" s="26"/>
      <c r="D711" s="26" t="s">
        <v>543</v>
      </c>
      <c r="E711" s="26" t="str">
        <f>IFERROR(VLOOKUP(G711,WholesaleExtract!B:J,9,FALSE),"")</f>
        <v/>
      </c>
      <c r="F711" s="26" t="str">
        <f>IFERROR(VLOOKUP(G711,WholesaleExtract!B:J,6,FALSE),"")</f>
        <v/>
      </c>
      <c r="G711" s="46"/>
      <c r="H711" s="47" t="str">
        <f>IFERROR(VLOOKUP(G711,WholesaleExtract!B:L,11,FALSE),"")</f>
        <v/>
      </c>
      <c r="I711" s="26" t="str">
        <f>IFERROR(VLOOKUP(G711,WholesaleExtract!B:O,8,FALSE),"")</f>
        <v/>
      </c>
      <c r="J711" s="26" t="str">
        <f>IFERROR(VLOOKUP(G711,WholesaleExtract!B:O,14,FALSE),"")</f>
        <v/>
      </c>
      <c r="K711" s="26" t="str">
        <f>IFERROR(VLOOKUP(G711,WholesaleExtract!B:K,10,FALSE),"")</f>
        <v/>
      </c>
      <c r="L711" s="47" t="str">
        <f>IFERROR(VLOOKUP(G711,WholesaleExtract!B:L,11,FALSE),"")</f>
        <v/>
      </c>
      <c r="M711" s="47" t="str">
        <f>IFERROR(VLOOKUP(G711,WholesaleExtract!B:M,12,FALSE),"")</f>
        <v/>
      </c>
      <c r="N711" s="27"/>
      <c r="O711" s="19"/>
      <c r="P711" s="19"/>
      <c r="Q711" s="47"/>
      <c r="R711" s="19"/>
      <c r="S711" s="19"/>
    </row>
    <row r="712" spans="1:19" x14ac:dyDescent="0.35">
      <c r="A712" s="26" t="s">
        <v>543</v>
      </c>
      <c r="B712" s="26" t="s">
        <v>543</v>
      </c>
      <c r="C712" s="26"/>
      <c r="D712" s="26" t="s">
        <v>543</v>
      </c>
      <c r="E712" s="26" t="str">
        <f>IFERROR(VLOOKUP(G712,WholesaleExtract!B:J,9,FALSE),"")</f>
        <v/>
      </c>
      <c r="F712" s="26" t="str">
        <f>IFERROR(VLOOKUP(G712,WholesaleExtract!B:J,6,FALSE),"")</f>
        <v/>
      </c>
      <c r="G712" s="46"/>
      <c r="H712" s="47" t="str">
        <f>IFERROR(VLOOKUP(G712,WholesaleExtract!B:L,11,FALSE),"")</f>
        <v/>
      </c>
      <c r="I712" s="26" t="str">
        <f>IFERROR(VLOOKUP(G712,WholesaleExtract!B:O,8,FALSE),"")</f>
        <v/>
      </c>
      <c r="J712" s="26" t="str">
        <f>IFERROR(VLOOKUP(G712,WholesaleExtract!B:O,14,FALSE),"")</f>
        <v/>
      </c>
      <c r="K712" s="26" t="str">
        <f>IFERROR(VLOOKUP(G712,WholesaleExtract!B:K,10,FALSE),"")</f>
        <v/>
      </c>
      <c r="L712" s="47" t="str">
        <f>IFERROR(VLOOKUP(G712,WholesaleExtract!B:L,11,FALSE),"")</f>
        <v/>
      </c>
      <c r="M712" s="47" t="str">
        <f>IFERROR(VLOOKUP(G712,WholesaleExtract!B:M,12,FALSE),"")</f>
        <v/>
      </c>
      <c r="N712" s="27"/>
      <c r="O712" s="19"/>
      <c r="P712" s="19"/>
      <c r="Q712" s="47"/>
      <c r="R712" s="19"/>
      <c r="S712" s="19"/>
    </row>
    <row r="713" spans="1:19" x14ac:dyDescent="0.35">
      <c r="A713" s="26" t="s">
        <v>543</v>
      </c>
      <c r="B713" s="26" t="s">
        <v>543</v>
      </c>
      <c r="C713" s="26"/>
      <c r="D713" s="26" t="s">
        <v>543</v>
      </c>
      <c r="E713" s="26" t="str">
        <f>IFERROR(VLOOKUP(G713,WholesaleExtract!B:J,9,FALSE),"")</f>
        <v/>
      </c>
      <c r="F713" s="26" t="str">
        <f>IFERROR(VLOOKUP(G713,WholesaleExtract!B:J,6,FALSE),"")</f>
        <v/>
      </c>
      <c r="G713" s="46"/>
      <c r="H713" s="47" t="str">
        <f>IFERROR(VLOOKUP(G713,WholesaleExtract!B:L,11,FALSE),"")</f>
        <v/>
      </c>
      <c r="I713" s="26" t="str">
        <f>IFERROR(VLOOKUP(G713,WholesaleExtract!B:O,8,FALSE),"")</f>
        <v/>
      </c>
      <c r="J713" s="26" t="str">
        <f>IFERROR(VLOOKUP(G713,WholesaleExtract!B:O,14,FALSE),"")</f>
        <v/>
      </c>
      <c r="K713" s="26" t="str">
        <f>IFERROR(VLOOKUP(G713,WholesaleExtract!B:K,10,FALSE),"")</f>
        <v/>
      </c>
      <c r="L713" s="47" t="str">
        <f>IFERROR(VLOOKUP(G713,WholesaleExtract!B:L,11,FALSE),"")</f>
        <v/>
      </c>
      <c r="M713" s="47" t="str">
        <f>IFERROR(VLOOKUP(G713,WholesaleExtract!B:M,12,FALSE),"")</f>
        <v/>
      </c>
      <c r="N713" s="27"/>
      <c r="O713" s="19"/>
      <c r="P713" s="19"/>
      <c r="Q713" s="47"/>
      <c r="R713" s="19"/>
      <c r="S713" s="19"/>
    </row>
    <row r="714" spans="1:19" x14ac:dyDescent="0.35">
      <c r="A714" s="26" t="s">
        <v>543</v>
      </c>
      <c r="B714" s="26" t="s">
        <v>543</v>
      </c>
      <c r="C714" s="26"/>
      <c r="D714" s="26" t="s">
        <v>543</v>
      </c>
      <c r="E714" s="26" t="str">
        <f>IFERROR(VLOOKUP(G714,WholesaleExtract!B:J,9,FALSE),"")</f>
        <v/>
      </c>
      <c r="F714" s="26" t="str">
        <f>IFERROR(VLOOKUP(G714,WholesaleExtract!B:J,6,FALSE),"")</f>
        <v/>
      </c>
      <c r="G714" s="46"/>
      <c r="H714" s="47" t="str">
        <f>IFERROR(VLOOKUP(G714,WholesaleExtract!B:L,11,FALSE),"")</f>
        <v/>
      </c>
      <c r="I714" s="26" t="str">
        <f>IFERROR(VLOOKUP(G714,WholesaleExtract!B:O,8,FALSE),"")</f>
        <v/>
      </c>
      <c r="J714" s="26" t="str">
        <f>IFERROR(VLOOKUP(G714,WholesaleExtract!B:O,14,FALSE),"")</f>
        <v/>
      </c>
      <c r="K714" s="26" t="str">
        <f>IFERROR(VLOOKUP(G714,WholesaleExtract!B:K,10,FALSE),"")</f>
        <v/>
      </c>
      <c r="L714" s="47" t="str">
        <f>IFERROR(VLOOKUP(G714,WholesaleExtract!B:L,11,FALSE),"")</f>
        <v/>
      </c>
      <c r="M714" s="47" t="str">
        <f>IFERROR(VLOOKUP(G714,WholesaleExtract!B:M,12,FALSE),"")</f>
        <v/>
      </c>
      <c r="N714" s="27"/>
      <c r="O714" s="19"/>
      <c r="P714" s="19"/>
      <c r="Q714" s="47"/>
      <c r="R714" s="19"/>
      <c r="S714" s="19"/>
    </row>
    <row r="715" spans="1:19" x14ac:dyDescent="0.35">
      <c r="A715" s="26" t="s">
        <v>543</v>
      </c>
      <c r="B715" s="26" t="s">
        <v>543</v>
      </c>
      <c r="C715" s="26"/>
      <c r="D715" s="26" t="s">
        <v>543</v>
      </c>
      <c r="E715" s="26" t="str">
        <f>IFERROR(VLOOKUP(G715,WholesaleExtract!B:J,9,FALSE),"")</f>
        <v/>
      </c>
      <c r="F715" s="26" t="str">
        <f>IFERROR(VLOOKUP(G715,WholesaleExtract!B:J,6,FALSE),"")</f>
        <v/>
      </c>
      <c r="G715" s="46"/>
      <c r="H715" s="47" t="str">
        <f>IFERROR(VLOOKUP(G715,WholesaleExtract!B:L,11,FALSE),"")</f>
        <v/>
      </c>
      <c r="I715" s="26" t="str">
        <f>IFERROR(VLOOKUP(G715,WholesaleExtract!B:O,8,FALSE),"")</f>
        <v/>
      </c>
      <c r="J715" s="26" t="str">
        <f>IFERROR(VLOOKUP(G715,WholesaleExtract!B:O,14,FALSE),"")</f>
        <v/>
      </c>
      <c r="K715" s="26" t="str">
        <f>IFERROR(VLOOKUP(G715,WholesaleExtract!B:K,10,FALSE),"")</f>
        <v/>
      </c>
      <c r="L715" s="47" t="str">
        <f>IFERROR(VLOOKUP(G715,WholesaleExtract!B:L,11,FALSE),"")</f>
        <v/>
      </c>
      <c r="M715" s="47" t="str">
        <f>IFERROR(VLOOKUP(G715,WholesaleExtract!B:M,12,FALSE),"")</f>
        <v/>
      </c>
      <c r="N715" s="27"/>
      <c r="O715" s="19"/>
      <c r="P715" s="19"/>
      <c r="Q715" s="47"/>
      <c r="R715" s="19"/>
      <c r="S715" s="19"/>
    </row>
    <row r="716" spans="1:19" x14ac:dyDescent="0.35">
      <c r="A716" s="26" t="s">
        <v>543</v>
      </c>
      <c r="B716" s="26" t="s">
        <v>543</v>
      </c>
      <c r="C716" s="26"/>
      <c r="D716" s="26" t="s">
        <v>543</v>
      </c>
      <c r="E716" s="26" t="str">
        <f>IFERROR(VLOOKUP(G716,WholesaleExtract!B:J,9,FALSE),"")</f>
        <v/>
      </c>
      <c r="F716" s="26" t="str">
        <f>IFERROR(VLOOKUP(G716,WholesaleExtract!B:J,6,FALSE),"")</f>
        <v/>
      </c>
      <c r="G716" s="46"/>
      <c r="H716" s="47" t="str">
        <f>IFERROR(VLOOKUP(G716,WholesaleExtract!B:L,11,FALSE),"")</f>
        <v/>
      </c>
      <c r="I716" s="26" t="str">
        <f>IFERROR(VLOOKUP(G716,WholesaleExtract!B:O,8,FALSE),"")</f>
        <v/>
      </c>
      <c r="J716" s="26" t="str">
        <f>IFERROR(VLOOKUP(G716,WholesaleExtract!B:O,14,FALSE),"")</f>
        <v/>
      </c>
      <c r="K716" s="26" t="str">
        <f>IFERROR(VLOOKUP(G716,WholesaleExtract!B:K,10,FALSE),"")</f>
        <v/>
      </c>
      <c r="L716" s="47" t="str">
        <f>IFERROR(VLOOKUP(G716,WholesaleExtract!B:L,11,FALSE),"")</f>
        <v/>
      </c>
      <c r="M716" s="47" t="str">
        <f>IFERROR(VLOOKUP(G716,WholesaleExtract!B:M,12,FALSE),"")</f>
        <v/>
      </c>
      <c r="N716" s="27"/>
      <c r="O716" s="19"/>
      <c r="P716" s="19"/>
      <c r="Q716" s="47"/>
      <c r="R716" s="19"/>
      <c r="S716" s="19"/>
    </row>
    <row r="717" spans="1:19" x14ac:dyDescent="0.35">
      <c r="A717" s="26" t="s">
        <v>543</v>
      </c>
      <c r="B717" s="26" t="s">
        <v>543</v>
      </c>
      <c r="C717" s="26"/>
      <c r="D717" s="26" t="s">
        <v>543</v>
      </c>
      <c r="E717" s="26" t="str">
        <f>IFERROR(VLOOKUP(G717,WholesaleExtract!B:J,9,FALSE),"")</f>
        <v/>
      </c>
      <c r="F717" s="26" t="str">
        <f>IFERROR(VLOOKUP(G717,WholesaleExtract!B:J,6,FALSE),"")</f>
        <v/>
      </c>
      <c r="G717" s="46"/>
      <c r="H717" s="47" t="str">
        <f>IFERROR(VLOOKUP(G717,WholesaleExtract!B:L,11,FALSE),"")</f>
        <v/>
      </c>
      <c r="I717" s="26" t="str">
        <f>IFERROR(VLOOKUP(G717,WholesaleExtract!B:O,8,FALSE),"")</f>
        <v/>
      </c>
      <c r="J717" s="26" t="str">
        <f>IFERROR(VLOOKUP(G717,WholesaleExtract!B:O,14,FALSE),"")</f>
        <v/>
      </c>
      <c r="K717" s="26" t="str">
        <f>IFERROR(VLOOKUP(G717,WholesaleExtract!B:K,10,FALSE),"")</f>
        <v/>
      </c>
      <c r="L717" s="47" t="str">
        <f>IFERROR(VLOOKUP(G717,WholesaleExtract!B:L,11,FALSE),"")</f>
        <v/>
      </c>
      <c r="M717" s="47" t="str">
        <f>IFERROR(VLOOKUP(G717,WholesaleExtract!B:M,12,FALSE),"")</f>
        <v/>
      </c>
      <c r="N717" s="27"/>
      <c r="O717" s="19"/>
      <c r="P717" s="19"/>
      <c r="Q717" s="47"/>
      <c r="R717" s="19"/>
      <c r="S717" s="19"/>
    </row>
    <row r="718" spans="1:19" x14ac:dyDescent="0.35">
      <c r="A718" s="26" t="s">
        <v>543</v>
      </c>
      <c r="B718" s="26" t="s">
        <v>543</v>
      </c>
      <c r="C718" s="26"/>
      <c r="D718" s="26" t="s">
        <v>543</v>
      </c>
      <c r="E718" s="26" t="str">
        <f>IFERROR(VLOOKUP(G718,WholesaleExtract!B:J,9,FALSE),"")</f>
        <v/>
      </c>
      <c r="F718" s="26" t="str">
        <f>IFERROR(VLOOKUP(G718,WholesaleExtract!B:J,6,FALSE),"")</f>
        <v/>
      </c>
      <c r="G718" s="46"/>
      <c r="H718" s="47" t="str">
        <f>IFERROR(VLOOKUP(G718,WholesaleExtract!B:L,11,FALSE),"")</f>
        <v/>
      </c>
      <c r="I718" s="26" t="str">
        <f>IFERROR(VLOOKUP(G718,WholesaleExtract!B:O,8,FALSE),"")</f>
        <v/>
      </c>
      <c r="J718" s="26" t="str">
        <f>IFERROR(VLOOKUP(G718,WholesaleExtract!B:O,14,FALSE),"")</f>
        <v/>
      </c>
      <c r="K718" s="26" t="str">
        <f>IFERROR(VLOOKUP(G718,WholesaleExtract!B:K,10,FALSE),"")</f>
        <v/>
      </c>
      <c r="L718" s="47" t="str">
        <f>IFERROR(VLOOKUP(G718,WholesaleExtract!B:L,11,FALSE),"")</f>
        <v/>
      </c>
      <c r="M718" s="47" t="str">
        <f>IFERROR(VLOOKUP(G718,WholesaleExtract!B:M,12,FALSE),"")</f>
        <v/>
      </c>
      <c r="N718" s="27"/>
      <c r="O718" s="19"/>
      <c r="P718" s="19"/>
      <c r="Q718" s="47"/>
      <c r="R718" s="19"/>
      <c r="S718" s="19"/>
    </row>
    <row r="719" spans="1:19" x14ac:dyDescent="0.35">
      <c r="A719" s="26" t="s">
        <v>543</v>
      </c>
      <c r="B719" s="26" t="s">
        <v>543</v>
      </c>
      <c r="C719" s="26"/>
      <c r="D719" s="26" t="s">
        <v>543</v>
      </c>
      <c r="E719" s="26" t="str">
        <f>IFERROR(VLOOKUP(G719,WholesaleExtract!B:J,9,FALSE),"")</f>
        <v/>
      </c>
      <c r="F719" s="26" t="str">
        <f>IFERROR(VLOOKUP(G719,WholesaleExtract!B:J,6,FALSE),"")</f>
        <v/>
      </c>
      <c r="G719" s="46"/>
      <c r="H719" s="47" t="str">
        <f>IFERROR(VLOOKUP(G719,WholesaleExtract!B:L,11,FALSE),"")</f>
        <v/>
      </c>
      <c r="I719" s="26" t="str">
        <f>IFERROR(VLOOKUP(G719,WholesaleExtract!B:O,8,FALSE),"")</f>
        <v/>
      </c>
      <c r="J719" s="26" t="str">
        <f>IFERROR(VLOOKUP(G719,WholesaleExtract!B:O,14,FALSE),"")</f>
        <v/>
      </c>
      <c r="K719" s="26" t="str">
        <f>IFERROR(VLOOKUP(G719,WholesaleExtract!B:K,10,FALSE),"")</f>
        <v/>
      </c>
      <c r="L719" s="47" t="str">
        <f>IFERROR(VLOOKUP(G719,WholesaleExtract!B:L,11,FALSE),"")</f>
        <v/>
      </c>
      <c r="M719" s="47" t="str">
        <f>IFERROR(VLOOKUP(G719,WholesaleExtract!B:M,12,FALSE),"")</f>
        <v/>
      </c>
      <c r="N719" s="27"/>
      <c r="O719" s="19"/>
      <c r="P719" s="19"/>
      <c r="Q719" s="47"/>
      <c r="R719" s="19"/>
      <c r="S719" s="19"/>
    </row>
    <row r="720" spans="1:19" x14ac:dyDescent="0.35">
      <c r="A720" s="26" t="s">
        <v>543</v>
      </c>
      <c r="B720" s="26" t="s">
        <v>543</v>
      </c>
      <c r="C720" s="26"/>
      <c r="D720" s="26" t="s">
        <v>543</v>
      </c>
      <c r="E720" s="26" t="str">
        <f>IFERROR(VLOOKUP(G720,WholesaleExtract!B:J,9,FALSE),"")</f>
        <v/>
      </c>
      <c r="F720" s="26" t="str">
        <f>IFERROR(VLOOKUP(G720,WholesaleExtract!B:J,6,FALSE),"")</f>
        <v/>
      </c>
      <c r="G720" s="46"/>
      <c r="H720" s="47" t="str">
        <f>IFERROR(VLOOKUP(G720,WholesaleExtract!B:L,11,FALSE),"")</f>
        <v/>
      </c>
      <c r="I720" s="26" t="str">
        <f>IFERROR(VLOOKUP(G720,WholesaleExtract!B:O,8,FALSE),"")</f>
        <v/>
      </c>
      <c r="J720" s="26" t="str">
        <f>IFERROR(VLOOKUP(G720,WholesaleExtract!B:O,14,FALSE),"")</f>
        <v/>
      </c>
      <c r="K720" s="26" t="str">
        <f>IFERROR(VLOOKUP(G720,WholesaleExtract!B:K,10,FALSE),"")</f>
        <v/>
      </c>
      <c r="L720" s="47" t="str">
        <f>IFERROR(VLOOKUP(G720,WholesaleExtract!B:L,11,FALSE),"")</f>
        <v/>
      </c>
      <c r="M720" s="47" t="str">
        <f>IFERROR(VLOOKUP(G720,WholesaleExtract!B:M,12,FALSE),"")</f>
        <v/>
      </c>
      <c r="N720" s="27"/>
      <c r="O720" s="19"/>
      <c r="P720" s="19"/>
      <c r="Q720" s="47"/>
      <c r="R720" s="19"/>
      <c r="S720" s="19"/>
    </row>
    <row r="721" spans="1:19" x14ac:dyDescent="0.35">
      <c r="A721" s="26" t="s">
        <v>543</v>
      </c>
      <c r="B721" s="26" t="s">
        <v>543</v>
      </c>
      <c r="C721" s="26"/>
      <c r="D721" s="26" t="s">
        <v>543</v>
      </c>
      <c r="E721" s="26" t="str">
        <f>IFERROR(VLOOKUP(G721,WholesaleExtract!B:J,9,FALSE),"")</f>
        <v/>
      </c>
      <c r="F721" s="26" t="str">
        <f>IFERROR(VLOOKUP(G721,WholesaleExtract!B:J,6,FALSE),"")</f>
        <v/>
      </c>
      <c r="G721" s="46"/>
      <c r="H721" s="47" t="str">
        <f>IFERROR(VLOOKUP(G721,WholesaleExtract!B:L,11,FALSE),"")</f>
        <v/>
      </c>
      <c r="I721" s="26" t="str">
        <f>IFERROR(VLOOKUP(G721,WholesaleExtract!B:O,8,FALSE),"")</f>
        <v/>
      </c>
      <c r="J721" s="26" t="str">
        <f>IFERROR(VLOOKUP(G721,WholesaleExtract!B:O,14,FALSE),"")</f>
        <v/>
      </c>
      <c r="K721" s="26" t="str">
        <f>IFERROR(VLOOKUP(G721,WholesaleExtract!B:K,10,FALSE),"")</f>
        <v/>
      </c>
      <c r="L721" s="47" t="str">
        <f>IFERROR(VLOOKUP(G721,WholesaleExtract!B:L,11,FALSE),"")</f>
        <v/>
      </c>
      <c r="M721" s="47" t="str">
        <f>IFERROR(VLOOKUP(G721,WholesaleExtract!B:M,12,FALSE),"")</f>
        <v/>
      </c>
      <c r="N721" s="27"/>
      <c r="O721" s="19"/>
      <c r="P721" s="19"/>
      <c r="Q721" s="47"/>
      <c r="R721" s="19"/>
      <c r="S721" s="19"/>
    </row>
    <row r="722" spans="1:19" x14ac:dyDescent="0.35">
      <c r="A722" s="26" t="s">
        <v>543</v>
      </c>
      <c r="B722" s="26" t="s">
        <v>543</v>
      </c>
      <c r="C722" s="26"/>
      <c r="D722" s="26" t="s">
        <v>543</v>
      </c>
      <c r="E722" s="26" t="str">
        <f>IFERROR(VLOOKUP(G722,WholesaleExtract!B:J,9,FALSE),"")</f>
        <v/>
      </c>
      <c r="F722" s="26" t="str">
        <f>IFERROR(VLOOKUP(G722,WholesaleExtract!B:J,6,FALSE),"")</f>
        <v/>
      </c>
      <c r="G722" s="46"/>
      <c r="H722" s="47" t="str">
        <f>IFERROR(VLOOKUP(G722,WholesaleExtract!B:L,11,FALSE),"")</f>
        <v/>
      </c>
      <c r="I722" s="26" t="str">
        <f>IFERROR(VLOOKUP(G722,WholesaleExtract!B:O,8,FALSE),"")</f>
        <v/>
      </c>
      <c r="J722" s="26" t="str">
        <f>IFERROR(VLOOKUP(G722,WholesaleExtract!B:O,14,FALSE),"")</f>
        <v/>
      </c>
      <c r="K722" s="26" t="str">
        <f>IFERROR(VLOOKUP(G722,WholesaleExtract!B:K,10,FALSE),"")</f>
        <v/>
      </c>
      <c r="L722" s="47" t="str">
        <f>IFERROR(VLOOKUP(G722,WholesaleExtract!B:L,11,FALSE),"")</f>
        <v/>
      </c>
      <c r="M722" s="47" t="str">
        <f>IFERROR(VLOOKUP(G722,WholesaleExtract!B:M,12,FALSE),"")</f>
        <v/>
      </c>
      <c r="N722" s="27"/>
      <c r="O722" s="19"/>
      <c r="P722" s="19"/>
      <c r="Q722" s="47"/>
      <c r="R722" s="19"/>
      <c r="S722" s="19"/>
    </row>
    <row r="723" spans="1:19" x14ac:dyDescent="0.35">
      <c r="A723" s="26" t="s">
        <v>543</v>
      </c>
      <c r="B723" s="26" t="s">
        <v>543</v>
      </c>
      <c r="C723" s="26"/>
      <c r="D723" s="26" t="s">
        <v>543</v>
      </c>
      <c r="E723" s="26" t="str">
        <f>IFERROR(VLOOKUP(G723,WholesaleExtract!B:J,9,FALSE),"")</f>
        <v/>
      </c>
      <c r="F723" s="26" t="str">
        <f>IFERROR(VLOOKUP(G723,WholesaleExtract!B:J,6,FALSE),"")</f>
        <v/>
      </c>
      <c r="G723" s="46"/>
      <c r="H723" s="47" t="str">
        <f>IFERROR(VLOOKUP(G723,WholesaleExtract!B:L,11,FALSE),"")</f>
        <v/>
      </c>
      <c r="I723" s="26" t="str">
        <f>IFERROR(VLOOKUP(G723,WholesaleExtract!B:O,8,FALSE),"")</f>
        <v/>
      </c>
      <c r="J723" s="26" t="str">
        <f>IFERROR(VLOOKUP(G723,WholesaleExtract!B:O,14,FALSE),"")</f>
        <v/>
      </c>
      <c r="K723" s="26" t="str">
        <f>IFERROR(VLOOKUP(G723,WholesaleExtract!B:K,10,FALSE),"")</f>
        <v/>
      </c>
      <c r="L723" s="47" t="str">
        <f>IFERROR(VLOOKUP(G723,WholesaleExtract!B:L,11,FALSE),"")</f>
        <v/>
      </c>
      <c r="M723" s="47" t="str">
        <f>IFERROR(VLOOKUP(G723,WholesaleExtract!B:M,12,FALSE),"")</f>
        <v/>
      </c>
      <c r="N723" s="27"/>
      <c r="O723" s="19"/>
      <c r="P723" s="19"/>
      <c r="Q723" s="47"/>
      <c r="R723" s="19"/>
      <c r="S723" s="19"/>
    </row>
    <row r="724" spans="1:19" x14ac:dyDescent="0.35">
      <c r="A724" s="26" t="s">
        <v>543</v>
      </c>
      <c r="B724" s="26" t="s">
        <v>543</v>
      </c>
      <c r="C724" s="26"/>
      <c r="D724" s="26" t="s">
        <v>543</v>
      </c>
      <c r="E724" s="26" t="str">
        <f>IFERROR(VLOOKUP(G724,WholesaleExtract!B:J,9,FALSE),"")</f>
        <v/>
      </c>
      <c r="F724" s="26" t="str">
        <f>IFERROR(VLOOKUP(G724,WholesaleExtract!B:J,6,FALSE),"")</f>
        <v/>
      </c>
      <c r="G724" s="46"/>
      <c r="H724" s="47" t="str">
        <f>IFERROR(VLOOKUP(G724,WholesaleExtract!B:L,11,FALSE),"")</f>
        <v/>
      </c>
      <c r="I724" s="26" t="str">
        <f>IFERROR(VLOOKUP(G724,WholesaleExtract!B:O,8,FALSE),"")</f>
        <v/>
      </c>
      <c r="J724" s="26" t="str">
        <f>IFERROR(VLOOKUP(G724,WholesaleExtract!B:O,14,FALSE),"")</f>
        <v/>
      </c>
      <c r="K724" s="26" t="str">
        <f>IFERROR(VLOOKUP(G724,WholesaleExtract!B:K,10,FALSE),"")</f>
        <v/>
      </c>
      <c r="L724" s="47" t="str">
        <f>IFERROR(VLOOKUP(G724,WholesaleExtract!B:L,11,FALSE),"")</f>
        <v/>
      </c>
      <c r="M724" s="47" t="str">
        <f>IFERROR(VLOOKUP(G724,WholesaleExtract!B:M,12,FALSE),"")</f>
        <v/>
      </c>
      <c r="N724" s="27"/>
      <c r="O724" s="19"/>
      <c r="P724" s="19"/>
      <c r="Q724" s="47"/>
      <c r="R724" s="19"/>
      <c r="S724" s="19"/>
    </row>
    <row r="725" spans="1:19" x14ac:dyDescent="0.35">
      <c r="A725" s="26" t="s">
        <v>543</v>
      </c>
      <c r="B725" s="26" t="s">
        <v>543</v>
      </c>
      <c r="C725" s="26"/>
      <c r="D725" s="26" t="s">
        <v>543</v>
      </c>
      <c r="E725" s="26" t="str">
        <f>IFERROR(VLOOKUP(G725,WholesaleExtract!B:J,9,FALSE),"")</f>
        <v/>
      </c>
      <c r="F725" s="26" t="str">
        <f>IFERROR(VLOOKUP(G725,WholesaleExtract!B:J,6,FALSE),"")</f>
        <v/>
      </c>
      <c r="G725" s="46"/>
      <c r="H725" s="47" t="str">
        <f>IFERROR(VLOOKUP(G725,WholesaleExtract!B:L,11,FALSE),"")</f>
        <v/>
      </c>
      <c r="I725" s="26" t="str">
        <f>IFERROR(VLOOKUP(G725,WholesaleExtract!B:O,8,FALSE),"")</f>
        <v/>
      </c>
      <c r="J725" s="26" t="str">
        <f>IFERROR(VLOOKUP(G725,WholesaleExtract!B:O,14,FALSE),"")</f>
        <v/>
      </c>
      <c r="K725" s="26" t="str">
        <f>IFERROR(VLOOKUP(G725,WholesaleExtract!B:K,10,FALSE),"")</f>
        <v/>
      </c>
      <c r="L725" s="47" t="str">
        <f>IFERROR(VLOOKUP(G725,WholesaleExtract!B:L,11,FALSE),"")</f>
        <v/>
      </c>
      <c r="M725" s="47" t="str">
        <f>IFERROR(VLOOKUP(G725,WholesaleExtract!B:M,12,FALSE),"")</f>
        <v/>
      </c>
      <c r="N725" s="27"/>
      <c r="O725" s="19"/>
      <c r="P725" s="19"/>
      <c r="Q725" s="47"/>
      <c r="R725" s="19"/>
      <c r="S725" s="19"/>
    </row>
    <row r="726" spans="1:19" x14ac:dyDescent="0.35">
      <c r="A726" s="26" t="s">
        <v>543</v>
      </c>
      <c r="B726" s="26" t="s">
        <v>543</v>
      </c>
      <c r="C726" s="26"/>
      <c r="D726" s="26" t="s">
        <v>543</v>
      </c>
      <c r="E726" s="26" t="str">
        <f>IFERROR(VLOOKUP(G726,WholesaleExtract!B:J,9,FALSE),"")</f>
        <v/>
      </c>
      <c r="F726" s="26" t="str">
        <f>IFERROR(VLOOKUP(G726,WholesaleExtract!B:J,6,FALSE),"")</f>
        <v/>
      </c>
      <c r="G726" s="46"/>
      <c r="H726" s="47" t="str">
        <f>IFERROR(VLOOKUP(G726,WholesaleExtract!B:L,11,FALSE),"")</f>
        <v/>
      </c>
      <c r="I726" s="26" t="str">
        <f>IFERROR(VLOOKUP(G726,WholesaleExtract!B:O,8,FALSE),"")</f>
        <v/>
      </c>
      <c r="J726" s="26" t="str">
        <f>IFERROR(VLOOKUP(G726,WholesaleExtract!B:O,14,FALSE),"")</f>
        <v/>
      </c>
      <c r="K726" s="26" t="str">
        <f>IFERROR(VLOOKUP(G726,WholesaleExtract!B:K,10,FALSE),"")</f>
        <v/>
      </c>
      <c r="L726" s="47" t="str">
        <f>IFERROR(VLOOKUP(G726,WholesaleExtract!B:L,11,FALSE),"")</f>
        <v/>
      </c>
      <c r="M726" s="47" t="str">
        <f>IFERROR(VLOOKUP(G726,WholesaleExtract!B:M,12,FALSE),"")</f>
        <v/>
      </c>
      <c r="N726" s="27"/>
      <c r="O726" s="19"/>
      <c r="P726" s="19"/>
      <c r="Q726" s="47"/>
      <c r="R726" s="19"/>
      <c r="S726" s="19"/>
    </row>
    <row r="727" spans="1:19" x14ac:dyDescent="0.35">
      <c r="A727" s="26" t="s">
        <v>543</v>
      </c>
      <c r="B727" s="26" t="s">
        <v>543</v>
      </c>
      <c r="C727" s="26"/>
      <c r="D727" s="26" t="s">
        <v>543</v>
      </c>
      <c r="E727" s="26" t="str">
        <f>IFERROR(VLOOKUP(G727,WholesaleExtract!B:J,9,FALSE),"")</f>
        <v/>
      </c>
      <c r="F727" s="26" t="str">
        <f>IFERROR(VLOOKUP(G727,WholesaleExtract!B:J,6,FALSE),"")</f>
        <v/>
      </c>
      <c r="G727" s="46"/>
      <c r="H727" s="47" t="str">
        <f>IFERROR(VLOOKUP(G727,WholesaleExtract!B:L,11,FALSE),"")</f>
        <v/>
      </c>
      <c r="I727" s="26" t="str">
        <f>IFERROR(VLOOKUP(G727,WholesaleExtract!B:O,8,FALSE),"")</f>
        <v/>
      </c>
      <c r="J727" s="26" t="str">
        <f>IFERROR(VLOOKUP(G727,WholesaleExtract!B:O,14,FALSE),"")</f>
        <v/>
      </c>
      <c r="K727" s="26" t="str">
        <f>IFERROR(VLOOKUP(G727,WholesaleExtract!B:K,10,FALSE),"")</f>
        <v/>
      </c>
      <c r="L727" s="47" t="str">
        <f>IFERROR(VLOOKUP(G727,WholesaleExtract!B:L,11,FALSE),"")</f>
        <v/>
      </c>
      <c r="M727" s="47" t="str">
        <f>IFERROR(VLOOKUP(G727,WholesaleExtract!B:M,12,FALSE),"")</f>
        <v/>
      </c>
      <c r="N727" s="27"/>
      <c r="O727" s="19"/>
      <c r="P727" s="19"/>
      <c r="Q727" s="47"/>
      <c r="R727" s="19"/>
      <c r="S727" s="19"/>
    </row>
    <row r="728" spans="1:19" x14ac:dyDescent="0.35">
      <c r="A728" s="26" t="s">
        <v>543</v>
      </c>
      <c r="B728" s="26" t="s">
        <v>543</v>
      </c>
      <c r="C728" s="26"/>
      <c r="D728" s="26" t="s">
        <v>543</v>
      </c>
      <c r="E728" s="26" t="str">
        <f>IFERROR(VLOOKUP(G728,WholesaleExtract!B:J,9,FALSE),"")</f>
        <v/>
      </c>
      <c r="F728" s="26" t="str">
        <f>IFERROR(VLOOKUP(G728,WholesaleExtract!B:J,6,FALSE),"")</f>
        <v/>
      </c>
      <c r="G728" s="46"/>
      <c r="H728" s="47" t="str">
        <f>IFERROR(VLOOKUP(G728,WholesaleExtract!B:L,11,FALSE),"")</f>
        <v/>
      </c>
      <c r="I728" s="26" t="str">
        <f>IFERROR(VLOOKUP(G728,WholesaleExtract!B:O,8,FALSE),"")</f>
        <v/>
      </c>
      <c r="J728" s="26" t="str">
        <f>IFERROR(VLOOKUP(G728,WholesaleExtract!B:O,14,FALSE),"")</f>
        <v/>
      </c>
      <c r="K728" s="26" t="str">
        <f>IFERROR(VLOOKUP(G728,WholesaleExtract!B:K,10,FALSE),"")</f>
        <v/>
      </c>
      <c r="L728" s="47" t="str">
        <f>IFERROR(VLOOKUP(G728,WholesaleExtract!B:L,11,FALSE),"")</f>
        <v/>
      </c>
      <c r="M728" s="47" t="str">
        <f>IFERROR(VLOOKUP(G728,WholesaleExtract!B:M,12,FALSE),"")</f>
        <v/>
      </c>
      <c r="N728" s="27"/>
      <c r="O728" s="19"/>
      <c r="P728" s="19"/>
      <c r="Q728" s="47"/>
      <c r="R728" s="19"/>
      <c r="S728" s="19"/>
    </row>
    <row r="729" spans="1:19" x14ac:dyDescent="0.35">
      <c r="A729" s="26" t="s">
        <v>543</v>
      </c>
      <c r="B729" s="26" t="s">
        <v>543</v>
      </c>
      <c r="C729" s="26"/>
      <c r="D729" s="26" t="s">
        <v>543</v>
      </c>
      <c r="E729" s="26" t="str">
        <f>IFERROR(VLOOKUP(G729,WholesaleExtract!B:J,9,FALSE),"")</f>
        <v/>
      </c>
      <c r="F729" s="26" t="str">
        <f>IFERROR(VLOOKUP(G729,WholesaleExtract!B:J,6,FALSE),"")</f>
        <v/>
      </c>
      <c r="G729" s="46"/>
      <c r="H729" s="47" t="str">
        <f>IFERROR(VLOOKUP(G729,WholesaleExtract!B:L,11,FALSE),"")</f>
        <v/>
      </c>
      <c r="I729" s="26" t="str">
        <f>IFERROR(VLOOKUP(G729,WholesaleExtract!B:O,8,FALSE),"")</f>
        <v/>
      </c>
      <c r="J729" s="26" t="str">
        <f>IFERROR(VLOOKUP(G729,WholesaleExtract!B:O,14,FALSE),"")</f>
        <v/>
      </c>
      <c r="K729" s="26" t="str">
        <f>IFERROR(VLOOKUP(G729,WholesaleExtract!B:K,10,FALSE),"")</f>
        <v/>
      </c>
      <c r="L729" s="47" t="str">
        <f>IFERROR(VLOOKUP(G729,WholesaleExtract!B:L,11,FALSE),"")</f>
        <v/>
      </c>
      <c r="M729" s="47" t="str">
        <f>IFERROR(VLOOKUP(G729,WholesaleExtract!B:M,12,FALSE),"")</f>
        <v/>
      </c>
      <c r="N729" s="27"/>
      <c r="O729" s="19"/>
      <c r="P729" s="19"/>
      <c r="Q729" s="47"/>
      <c r="R729" s="19"/>
      <c r="S729" s="19"/>
    </row>
    <row r="730" spans="1:19" x14ac:dyDescent="0.35">
      <c r="A730" s="26" t="s">
        <v>543</v>
      </c>
      <c r="B730" s="26" t="s">
        <v>543</v>
      </c>
      <c r="C730" s="26"/>
      <c r="D730" s="26" t="s">
        <v>543</v>
      </c>
      <c r="E730" s="26" t="str">
        <f>IFERROR(VLOOKUP(G730,WholesaleExtract!B:J,9,FALSE),"")</f>
        <v/>
      </c>
      <c r="F730" s="26" t="str">
        <f>IFERROR(VLOOKUP(G730,WholesaleExtract!B:J,6,FALSE),"")</f>
        <v/>
      </c>
      <c r="G730" s="46"/>
      <c r="H730" s="47" t="str">
        <f>IFERROR(VLOOKUP(G730,WholesaleExtract!B:L,11,FALSE),"")</f>
        <v/>
      </c>
      <c r="I730" s="26" t="str">
        <f>IFERROR(VLOOKUP(G730,WholesaleExtract!B:O,8,FALSE),"")</f>
        <v/>
      </c>
      <c r="J730" s="26" t="str">
        <f>IFERROR(VLOOKUP(G730,WholesaleExtract!B:O,14,FALSE),"")</f>
        <v/>
      </c>
      <c r="K730" s="26" t="str">
        <f>IFERROR(VLOOKUP(G730,WholesaleExtract!B:K,10,FALSE),"")</f>
        <v/>
      </c>
      <c r="L730" s="47" t="str">
        <f>IFERROR(VLOOKUP(G730,WholesaleExtract!B:L,11,FALSE),"")</f>
        <v/>
      </c>
      <c r="M730" s="47" t="str">
        <f>IFERROR(VLOOKUP(G730,WholesaleExtract!B:M,12,FALSE),"")</f>
        <v/>
      </c>
      <c r="N730" s="27"/>
      <c r="O730" s="19"/>
      <c r="P730" s="19"/>
      <c r="Q730" s="47"/>
      <c r="R730" s="19"/>
      <c r="S730" s="19"/>
    </row>
    <row r="731" spans="1:19" x14ac:dyDescent="0.35">
      <c r="A731" s="26" t="s">
        <v>543</v>
      </c>
      <c r="B731" s="26" t="s">
        <v>543</v>
      </c>
      <c r="C731" s="26"/>
      <c r="D731" s="26" t="s">
        <v>543</v>
      </c>
      <c r="E731" s="26" t="str">
        <f>IFERROR(VLOOKUP(G731,WholesaleExtract!B:J,9,FALSE),"")</f>
        <v/>
      </c>
      <c r="F731" s="26" t="str">
        <f>IFERROR(VLOOKUP(G731,WholesaleExtract!B:J,6,FALSE),"")</f>
        <v/>
      </c>
      <c r="G731" s="46"/>
      <c r="H731" s="47" t="str">
        <f>IFERROR(VLOOKUP(G731,WholesaleExtract!B:L,11,FALSE),"")</f>
        <v/>
      </c>
      <c r="I731" s="26" t="str">
        <f>IFERROR(VLOOKUP(G731,WholesaleExtract!B:O,8,FALSE),"")</f>
        <v/>
      </c>
      <c r="J731" s="26" t="str">
        <f>IFERROR(VLOOKUP(G731,WholesaleExtract!B:O,14,FALSE),"")</f>
        <v/>
      </c>
      <c r="K731" s="26" t="str">
        <f>IFERROR(VLOOKUP(G731,WholesaleExtract!B:K,10,FALSE),"")</f>
        <v/>
      </c>
      <c r="L731" s="47" t="str">
        <f>IFERROR(VLOOKUP(G731,WholesaleExtract!B:L,11,FALSE),"")</f>
        <v/>
      </c>
      <c r="M731" s="47" t="str">
        <f>IFERROR(VLOOKUP(G731,WholesaleExtract!B:M,12,FALSE),"")</f>
        <v/>
      </c>
      <c r="N731" s="27"/>
      <c r="O731" s="19"/>
      <c r="P731" s="19"/>
      <c r="Q731" s="47"/>
      <c r="R731" s="19"/>
      <c r="S731" s="19"/>
    </row>
    <row r="732" spans="1:19" x14ac:dyDescent="0.35">
      <c r="A732" s="26" t="s">
        <v>543</v>
      </c>
      <c r="B732" s="26" t="s">
        <v>543</v>
      </c>
      <c r="C732" s="26"/>
      <c r="D732" s="26" t="s">
        <v>543</v>
      </c>
      <c r="E732" s="26" t="str">
        <f>IFERROR(VLOOKUP(G732,WholesaleExtract!B:J,9,FALSE),"")</f>
        <v/>
      </c>
      <c r="F732" s="26" t="str">
        <f>IFERROR(VLOOKUP(G732,WholesaleExtract!B:J,6,FALSE),"")</f>
        <v/>
      </c>
      <c r="G732" s="46"/>
      <c r="H732" s="47" t="str">
        <f>IFERROR(VLOOKUP(G732,WholesaleExtract!B:L,11,FALSE),"")</f>
        <v/>
      </c>
      <c r="I732" s="26" t="str">
        <f>IFERROR(VLOOKUP(G732,WholesaleExtract!B:O,8,FALSE),"")</f>
        <v/>
      </c>
      <c r="J732" s="26" t="str">
        <f>IFERROR(VLOOKUP(G732,WholesaleExtract!B:O,14,FALSE),"")</f>
        <v/>
      </c>
      <c r="K732" s="26" t="str">
        <f>IFERROR(VLOOKUP(G732,WholesaleExtract!B:K,10,FALSE),"")</f>
        <v/>
      </c>
      <c r="L732" s="47" t="str">
        <f>IFERROR(VLOOKUP(G732,WholesaleExtract!B:L,11,FALSE),"")</f>
        <v/>
      </c>
      <c r="M732" s="47" t="str">
        <f>IFERROR(VLOOKUP(G732,WholesaleExtract!B:M,12,FALSE),"")</f>
        <v/>
      </c>
      <c r="N732" s="27"/>
      <c r="O732" s="19"/>
      <c r="P732" s="19"/>
      <c r="Q732" s="47"/>
      <c r="R732" s="19"/>
      <c r="S732" s="19"/>
    </row>
    <row r="733" spans="1:19" x14ac:dyDescent="0.35">
      <c r="A733" s="26" t="s">
        <v>543</v>
      </c>
      <c r="B733" s="26" t="s">
        <v>543</v>
      </c>
      <c r="C733" s="26"/>
      <c r="D733" s="26" t="s">
        <v>543</v>
      </c>
      <c r="E733" s="26" t="str">
        <f>IFERROR(VLOOKUP(G733,WholesaleExtract!B:J,9,FALSE),"")</f>
        <v/>
      </c>
      <c r="F733" s="26" t="str">
        <f>IFERROR(VLOOKUP(G733,WholesaleExtract!B:J,6,FALSE),"")</f>
        <v/>
      </c>
      <c r="G733" s="46"/>
      <c r="H733" s="47" t="str">
        <f>IFERROR(VLOOKUP(G733,WholesaleExtract!B:L,11,FALSE),"")</f>
        <v/>
      </c>
      <c r="I733" s="26" t="str">
        <f>IFERROR(VLOOKUP(G733,WholesaleExtract!B:O,8,FALSE),"")</f>
        <v/>
      </c>
      <c r="J733" s="26" t="str">
        <f>IFERROR(VLOOKUP(G733,WholesaleExtract!B:O,14,FALSE),"")</f>
        <v/>
      </c>
      <c r="K733" s="26" t="str">
        <f>IFERROR(VLOOKUP(G733,WholesaleExtract!B:K,10,FALSE),"")</f>
        <v/>
      </c>
      <c r="L733" s="47" t="str">
        <f>IFERROR(VLOOKUP(G733,WholesaleExtract!B:L,11,FALSE),"")</f>
        <v/>
      </c>
      <c r="M733" s="47" t="str">
        <f>IFERROR(VLOOKUP(G733,WholesaleExtract!B:M,12,FALSE),"")</f>
        <v/>
      </c>
      <c r="N733" s="27"/>
      <c r="O733" s="19"/>
      <c r="P733" s="19"/>
      <c r="Q733" s="47"/>
      <c r="R733" s="19"/>
      <c r="S733" s="19"/>
    </row>
    <row r="734" spans="1:19" x14ac:dyDescent="0.35">
      <c r="A734" s="26" t="s">
        <v>543</v>
      </c>
      <c r="B734" s="26" t="s">
        <v>543</v>
      </c>
      <c r="C734" s="26"/>
      <c r="D734" s="26" t="s">
        <v>543</v>
      </c>
      <c r="E734" s="26" t="str">
        <f>IFERROR(VLOOKUP(G734,WholesaleExtract!B:J,9,FALSE),"")</f>
        <v/>
      </c>
      <c r="F734" s="26" t="str">
        <f>IFERROR(VLOOKUP(G734,WholesaleExtract!B:J,6,FALSE),"")</f>
        <v/>
      </c>
      <c r="G734" s="46"/>
      <c r="H734" s="47" t="str">
        <f>IFERROR(VLOOKUP(G734,WholesaleExtract!B:L,11,FALSE),"")</f>
        <v/>
      </c>
      <c r="I734" s="26" t="str">
        <f>IFERROR(VLOOKUP(G734,WholesaleExtract!B:O,8,FALSE),"")</f>
        <v/>
      </c>
      <c r="J734" s="26" t="str">
        <f>IFERROR(VLOOKUP(G734,WholesaleExtract!B:O,14,FALSE),"")</f>
        <v/>
      </c>
      <c r="K734" s="26" t="str">
        <f>IFERROR(VLOOKUP(G734,WholesaleExtract!B:K,10,FALSE),"")</f>
        <v/>
      </c>
      <c r="L734" s="47" t="str">
        <f>IFERROR(VLOOKUP(G734,WholesaleExtract!B:L,11,FALSE),"")</f>
        <v/>
      </c>
      <c r="M734" s="47" t="str">
        <f>IFERROR(VLOOKUP(G734,WholesaleExtract!B:M,12,FALSE),"")</f>
        <v/>
      </c>
      <c r="N734" s="27"/>
      <c r="O734" s="19"/>
      <c r="P734" s="19"/>
      <c r="Q734" s="47"/>
      <c r="R734" s="19"/>
      <c r="S734" s="19"/>
    </row>
    <row r="735" spans="1:19" x14ac:dyDescent="0.35">
      <c r="A735" s="26" t="s">
        <v>543</v>
      </c>
      <c r="B735" s="26" t="s">
        <v>543</v>
      </c>
      <c r="C735" s="26"/>
      <c r="D735" s="26" t="s">
        <v>543</v>
      </c>
      <c r="E735" s="26" t="str">
        <f>IFERROR(VLOOKUP(G735,WholesaleExtract!B:J,9,FALSE),"")</f>
        <v/>
      </c>
      <c r="F735" s="26" t="str">
        <f>IFERROR(VLOOKUP(G735,WholesaleExtract!B:J,6,FALSE),"")</f>
        <v/>
      </c>
      <c r="G735" s="46"/>
      <c r="H735" s="47" t="str">
        <f>IFERROR(VLOOKUP(G735,WholesaleExtract!B:L,11,FALSE),"")</f>
        <v/>
      </c>
      <c r="I735" s="26" t="str">
        <f>IFERROR(VLOOKUP(G735,WholesaleExtract!B:O,8,FALSE),"")</f>
        <v/>
      </c>
      <c r="J735" s="26" t="str">
        <f>IFERROR(VLOOKUP(G735,WholesaleExtract!B:O,14,FALSE),"")</f>
        <v/>
      </c>
      <c r="K735" s="26" t="str">
        <f>IFERROR(VLOOKUP(G735,WholesaleExtract!B:K,10,FALSE),"")</f>
        <v/>
      </c>
      <c r="L735" s="47" t="str">
        <f>IFERROR(VLOOKUP(G735,WholesaleExtract!B:L,11,FALSE),"")</f>
        <v/>
      </c>
      <c r="M735" s="47" t="str">
        <f>IFERROR(VLOOKUP(G735,WholesaleExtract!B:M,12,FALSE),"")</f>
        <v/>
      </c>
      <c r="N735" s="27"/>
      <c r="O735" s="19"/>
      <c r="P735" s="19"/>
      <c r="Q735" s="47"/>
      <c r="R735" s="19"/>
      <c r="S735" s="19"/>
    </row>
    <row r="736" spans="1:19" x14ac:dyDescent="0.35">
      <c r="A736" s="26" t="s">
        <v>543</v>
      </c>
      <c r="B736" s="26" t="s">
        <v>543</v>
      </c>
      <c r="C736" s="26"/>
      <c r="D736" s="26" t="s">
        <v>543</v>
      </c>
      <c r="E736" s="26" t="str">
        <f>IFERROR(VLOOKUP(G736,WholesaleExtract!B:J,9,FALSE),"")</f>
        <v/>
      </c>
      <c r="F736" s="26" t="str">
        <f>IFERROR(VLOOKUP(G736,WholesaleExtract!B:J,6,FALSE),"")</f>
        <v/>
      </c>
      <c r="G736" s="46"/>
      <c r="H736" s="47" t="str">
        <f>IFERROR(VLOOKUP(G736,WholesaleExtract!B:L,11,FALSE),"")</f>
        <v/>
      </c>
      <c r="I736" s="26" t="str">
        <f>IFERROR(VLOOKUP(G736,WholesaleExtract!B:O,8,FALSE),"")</f>
        <v/>
      </c>
      <c r="J736" s="26" t="str">
        <f>IFERROR(VLOOKUP(G736,WholesaleExtract!B:O,14,FALSE),"")</f>
        <v/>
      </c>
      <c r="K736" s="26" t="str">
        <f>IFERROR(VLOOKUP(G736,WholesaleExtract!B:K,10,FALSE),"")</f>
        <v/>
      </c>
      <c r="L736" s="47" t="str">
        <f>IFERROR(VLOOKUP(G736,WholesaleExtract!B:L,11,FALSE),"")</f>
        <v/>
      </c>
      <c r="M736" s="47" t="str">
        <f>IFERROR(VLOOKUP(G736,WholesaleExtract!B:M,12,FALSE),"")</f>
        <v/>
      </c>
      <c r="N736" s="27"/>
      <c r="O736" s="19"/>
      <c r="P736" s="19"/>
      <c r="Q736" s="47"/>
      <c r="R736" s="19"/>
      <c r="S736" s="19"/>
    </row>
    <row r="737" spans="1:19" x14ac:dyDescent="0.35">
      <c r="A737" s="26" t="s">
        <v>543</v>
      </c>
      <c r="B737" s="26" t="s">
        <v>543</v>
      </c>
      <c r="C737" s="26"/>
      <c r="D737" s="26" t="s">
        <v>543</v>
      </c>
      <c r="E737" s="26" t="str">
        <f>IFERROR(VLOOKUP(G737,WholesaleExtract!B:J,9,FALSE),"")</f>
        <v/>
      </c>
      <c r="F737" s="26" t="str">
        <f>IFERROR(VLOOKUP(G737,WholesaleExtract!B:J,6,FALSE),"")</f>
        <v/>
      </c>
      <c r="G737" s="46"/>
      <c r="H737" s="47" t="str">
        <f>IFERROR(VLOOKUP(G737,WholesaleExtract!B:L,11,FALSE),"")</f>
        <v/>
      </c>
      <c r="I737" s="26" t="str">
        <f>IFERROR(VLOOKUP(G737,WholesaleExtract!B:O,8,FALSE),"")</f>
        <v/>
      </c>
      <c r="J737" s="26" t="str">
        <f>IFERROR(VLOOKUP(G737,WholesaleExtract!B:O,14,FALSE),"")</f>
        <v/>
      </c>
      <c r="K737" s="26" t="str">
        <f>IFERROR(VLOOKUP(G737,WholesaleExtract!B:K,10,FALSE),"")</f>
        <v/>
      </c>
      <c r="L737" s="47" t="str">
        <f>IFERROR(VLOOKUP(G737,WholesaleExtract!B:L,11,FALSE),"")</f>
        <v/>
      </c>
      <c r="M737" s="47" t="str">
        <f>IFERROR(VLOOKUP(G737,WholesaleExtract!B:M,12,FALSE),"")</f>
        <v/>
      </c>
      <c r="N737" s="27"/>
      <c r="O737" s="19"/>
      <c r="P737" s="19"/>
      <c r="Q737" s="47"/>
      <c r="R737" s="19"/>
      <c r="S737" s="19"/>
    </row>
    <row r="738" spans="1:19" x14ac:dyDescent="0.35">
      <c r="A738" s="26" t="s">
        <v>543</v>
      </c>
      <c r="B738" s="26" t="s">
        <v>543</v>
      </c>
      <c r="C738" s="26"/>
      <c r="D738" s="26" t="s">
        <v>543</v>
      </c>
      <c r="E738" s="26" t="str">
        <f>IFERROR(VLOOKUP(G738,WholesaleExtract!B:J,9,FALSE),"")</f>
        <v/>
      </c>
      <c r="F738" s="26" t="str">
        <f>IFERROR(VLOOKUP(G738,WholesaleExtract!B:J,6,FALSE),"")</f>
        <v/>
      </c>
      <c r="G738" s="46"/>
      <c r="H738" s="47" t="str">
        <f>IFERROR(VLOOKUP(G738,WholesaleExtract!B:L,11,FALSE),"")</f>
        <v/>
      </c>
      <c r="I738" s="26" t="str">
        <f>IFERROR(VLOOKUP(G738,WholesaleExtract!B:O,8,FALSE),"")</f>
        <v/>
      </c>
      <c r="J738" s="26" t="str">
        <f>IFERROR(VLOOKUP(G738,WholesaleExtract!B:O,14,FALSE),"")</f>
        <v/>
      </c>
      <c r="K738" s="26" t="str">
        <f>IFERROR(VLOOKUP(G738,WholesaleExtract!B:K,10,FALSE),"")</f>
        <v/>
      </c>
      <c r="L738" s="47" t="str">
        <f>IFERROR(VLOOKUP(G738,WholesaleExtract!B:L,11,FALSE),"")</f>
        <v/>
      </c>
      <c r="M738" s="47" t="str">
        <f>IFERROR(VLOOKUP(G738,WholesaleExtract!B:M,12,FALSE),"")</f>
        <v/>
      </c>
      <c r="N738" s="27"/>
      <c r="O738" s="19"/>
      <c r="P738" s="19"/>
      <c r="Q738" s="47"/>
      <c r="R738" s="19"/>
      <c r="S738" s="19"/>
    </row>
    <row r="739" spans="1:19" x14ac:dyDescent="0.35">
      <c r="A739" s="26" t="s">
        <v>543</v>
      </c>
      <c r="B739" s="26" t="s">
        <v>543</v>
      </c>
      <c r="C739" s="26"/>
      <c r="D739" s="26" t="s">
        <v>543</v>
      </c>
      <c r="E739" s="26" t="str">
        <f>IFERROR(VLOOKUP(G739,WholesaleExtract!B:J,9,FALSE),"")</f>
        <v/>
      </c>
      <c r="F739" s="26" t="str">
        <f>IFERROR(VLOOKUP(G739,WholesaleExtract!B:J,6,FALSE),"")</f>
        <v/>
      </c>
      <c r="G739" s="46"/>
      <c r="H739" s="47" t="str">
        <f>IFERROR(VLOOKUP(G739,WholesaleExtract!B:L,11,FALSE),"")</f>
        <v/>
      </c>
      <c r="I739" s="26" t="str">
        <f>IFERROR(VLOOKUP(G739,WholesaleExtract!B:O,8,FALSE),"")</f>
        <v/>
      </c>
      <c r="J739" s="26" t="str">
        <f>IFERROR(VLOOKUP(G739,WholesaleExtract!B:O,14,FALSE),"")</f>
        <v/>
      </c>
      <c r="K739" s="26" t="str">
        <f>IFERROR(VLOOKUP(G739,WholesaleExtract!B:K,10,FALSE),"")</f>
        <v/>
      </c>
      <c r="L739" s="47" t="str">
        <f>IFERROR(VLOOKUP(G739,WholesaleExtract!B:L,11,FALSE),"")</f>
        <v/>
      </c>
      <c r="M739" s="47" t="str">
        <f>IFERROR(VLOOKUP(G739,WholesaleExtract!B:M,12,FALSE),"")</f>
        <v/>
      </c>
      <c r="N739" s="27"/>
      <c r="O739" s="19"/>
      <c r="P739" s="19"/>
      <c r="Q739" s="47"/>
      <c r="R739" s="19"/>
      <c r="S739" s="19"/>
    </row>
    <row r="740" spans="1:19" x14ac:dyDescent="0.35">
      <c r="A740" s="26" t="s">
        <v>543</v>
      </c>
      <c r="B740" s="26" t="s">
        <v>543</v>
      </c>
      <c r="C740" s="26"/>
      <c r="D740" s="26" t="s">
        <v>543</v>
      </c>
      <c r="E740" s="26" t="str">
        <f>IFERROR(VLOOKUP(G740,WholesaleExtract!B:J,9,FALSE),"")</f>
        <v/>
      </c>
      <c r="F740" s="26" t="str">
        <f>IFERROR(VLOOKUP(G740,WholesaleExtract!B:J,6,FALSE),"")</f>
        <v/>
      </c>
      <c r="G740" s="46"/>
      <c r="H740" s="47" t="str">
        <f>IFERROR(VLOOKUP(G740,WholesaleExtract!B:L,11,FALSE),"")</f>
        <v/>
      </c>
      <c r="I740" s="26" t="str">
        <f>IFERROR(VLOOKUP(G740,WholesaleExtract!B:O,8,FALSE),"")</f>
        <v/>
      </c>
      <c r="J740" s="26" t="str">
        <f>IFERROR(VLOOKUP(G740,WholesaleExtract!B:O,14,FALSE),"")</f>
        <v/>
      </c>
      <c r="K740" s="26" t="str">
        <f>IFERROR(VLOOKUP(G740,WholesaleExtract!B:K,10,FALSE),"")</f>
        <v/>
      </c>
      <c r="L740" s="47" t="str">
        <f>IFERROR(VLOOKUP(G740,WholesaleExtract!B:L,11,FALSE),"")</f>
        <v/>
      </c>
      <c r="M740" s="47" t="str">
        <f>IFERROR(VLOOKUP(G740,WholesaleExtract!B:M,12,FALSE),"")</f>
        <v/>
      </c>
      <c r="N740" s="27"/>
      <c r="O740" s="19"/>
      <c r="P740" s="19"/>
      <c r="Q740" s="47"/>
      <c r="R740" s="19"/>
      <c r="S740" s="19"/>
    </row>
    <row r="741" spans="1:19" x14ac:dyDescent="0.35">
      <c r="A741" s="26" t="s">
        <v>543</v>
      </c>
      <c r="B741" s="26" t="s">
        <v>543</v>
      </c>
      <c r="C741" s="26"/>
      <c r="D741" s="26" t="s">
        <v>543</v>
      </c>
      <c r="E741" s="26" t="str">
        <f>IFERROR(VLOOKUP(G741,WholesaleExtract!B:J,9,FALSE),"")</f>
        <v/>
      </c>
      <c r="F741" s="26" t="str">
        <f>IFERROR(VLOOKUP(G741,WholesaleExtract!B:J,6,FALSE),"")</f>
        <v/>
      </c>
      <c r="G741" s="46"/>
      <c r="H741" s="47" t="str">
        <f>IFERROR(VLOOKUP(G741,WholesaleExtract!B:L,11,FALSE),"")</f>
        <v/>
      </c>
      <c r="I741" s="26" t="str">
        <f>IFERROR(VLOOKUP(G741,WholesaleExtract!B:O,8,FALSE),"")</f>
        <v/>
      </c>
      <c r="J741" s="26" t="str">
        <f>IFERROR(VLOOKUP(G741,WholesaleExtract!B:O,14,FALSE),"")</f>
        <v/>
      </c>
      <c r="K741" s="26" t="str">
        <f>IFERROR(VLOOKUP(G741,WholesaleExtract!B:K,10,FALSE),"")</f>
        <v/>
      </c>
      <c r="L741" s="47" t="str">
        <f>IFERROR(VLOOKUP(G741,WholesaleExtract!B:L,11,FALSE),"")</f>
        <v/>
      </c>
      <c r="M741" s="47" t="str">
        <f>IFERROR(VLOOKUP(G741,WholesaleExtract!B:M,12,FALSE),"")</f>
        <v/>
      </c>
      <c r="N741" s="27"/>
      <c r="O741" s="19"/>
      <c r="P741" s="19"/>
      <c r="Q741" s="47"/>
      <c r="R741" s="19"/>
      <c r="S741" s="19"/>
    </row>
    <row r="742" spans="1:19" x14ac:dyDescent="0.35">
      <c r="A742" s="26" t="s">
        <v>543</v>
      </c>
      <c r="B742" s="26" t="s">
        <v>543</v>
      </c>
      <c r="C742" s="26"/>
      <c r="D742" s="26" t="s">
        <v>543</v>
      </c>
      <c r="E742" s="26" t="str">
        <f>IFERROR(VLOOKUP(G742,WholesaleExtract!B:J,9,FALSE),"")</f>
        <v/>
      </c>
      <c r="F742" s="26" t="str">
        <f>IFERROR(VLOOKUP(G742,WholesaleExtract!B:J,6,FALSE),"")</f>
        <v/>
      </c>
      <c r="G742" s="46"/>
      <c r="H742" s="47" t="str">
        <f>IFERROR(VLOOKUP(G742,WholesaleExtract!B:L,11,FALSE),"")</f>
        <v/>
      </c>
      <c r="I742" s="26" t="str">
        <f>IFERROR(VLOOKUP(G742,WholesaleExtract!B:O,8,FALSE),"")</f>
        <v/>
      </c>
      <c r="J742" s="26" t="str">
        <f>IFERROR(VLOOKUP(G742,WholesaleExtract!B:O,14,FALSE),"")</f>
        <v/>
      </c>
      <c r="K742" s="26" t="str">
        <f>IFERROR(VLOOKUP(G742,WholesaleExtract!B:K,10,FALSE),"")</f>
        <v/>
      </c>
      <c r="L742" s="47" t="str">
        <f>IFERROR(VLOOKUP(G742,WholesaleExtract!B:L,11,FALSE),"")</f>
        <v/>
      </c>
      <c r="M742" s="47" t="str">
        <f>IFERROR(VLOOKUP(G742,WholesaleExtract!B:M,12,FALSE),"")</f>
        <v/>
      </c>
      <c r="N742" s="27"/>
      <c r="O742" s="19"/>
      <c r="P742" s="19"/>
      <c r="Q742" s="47"/>
      <c r="R742" s="19"/>
      <c r="S742" s="19"/>
    </row>
    <row r="743" spans="1:19" x14ac:dyDescent="0.35">
      <c r="A743" s="26" t="s">
        <v>543</v>
      </c>
      <c r="B743" s="26" t="s">
        <v>543</v>
      </c>
      <c r="C743" s="26"/>
      <c r="D743" s="26" t="s">
        <v>543</v>
      </c>
      <c r="E743" s="26" t="str">
        <f>IFERROR(VLOOKUP(G743,WholesaleExtract!B:J,9,FALSE),"")</f>
        <v/>
      </c>
      <c r="F743" s="26" t="str">
        <f>IFERROR(VLOOKUP(G743,WholesaleExtract!B:J,6,FALSE),"")</f>
        <v/>
      </c>
      <c r="G743" s="46"/>
      <c r="H743" s="47" t="str">
        <f>IFERROR(VLOOKUP(G743,WholesaleExtract!B:L,11,FALSE),"")</f>
        <v/>
      </c>
      <c r="I743" s="26" t="str">
        <f>IFERROR(VLOOKUP(G743,WholesaleExtract!B:O,8,FALSE),"")</f>
        <v/>
      </c>
      <c r="J743" s="26" t="str">
        <f>IFERROR(VLOOKUP(G743,WholesaleExtract!B:O,14,FALSE),"")</f>
        <v/>
      </c>
      <c r="K743" s="26" t="str">
        <f>IFERROR(VLOOKUP(G743,WholesaleExtract!B:K,10,FALSE),"")</f>
        <v/>
      </c>
      <c r="L743" s="47" t="str">
        <f>IFERROR(VLOOKUP(G743,WholesaleExtract!B:L,11,FALSE),"")</f>
        <v/>
      </c>
      <c r="M743" s="47" t="str">
        <f>IFERROR(VLOOKUP(G743,WholesaleExtract!B:M,12,FALSE),"")</f>
        <v/>
      </c>
      <c r="N743" s="27"/>
      <c r="O743" s="19"/>
      <c r="P743" s="19"/>
      <c r="Q743" s="47"/>
      <c r="R743" s="19"/>
      <c r="S743" s="19"/>
    </row>
    <row r="744" spans="1:19" x14ac:dyDescent="0.35">
      <c r="A744" s="26" t="s">
        <v>543</v>
      </c>
      <c r="B744" s="26" t="s">
        <v>543</v>
      </c>
      <c r="C744" s="26"/>
      <c r="D744" s="26" t="s">
        <v>543</v>
      </c>
      <c r="E744" s="26" t="str">
        <f>IFERROR(VLOOKUP(G744,WholesaleExtract!B:J,9,FALSE),"")</f>
        <v/>
      </c>
      <c r="F744" s="26" t="str">
        <f>IFERROR(VLOOKUP(G744,WholesaleExtract!B:J,6,FALSE),"")</f>
        <v/>
      </c>
      <c r="G744" s="46"/>
      <c r="H744" s="47" t="str">
        <f>IFERROR(VLOOKUP(G744,WholesaleExtract!B:L,11,FALSE),"")</f>
        <v/>
      </c>
      <c r="I744" s="26" t="str">
        <f>IFERROR(VLOOKUP(G744,WholesaleExtract!B:O,8,FALSE),"")</f>
        <v/>
      </c>
      <c r="J744" s="26" t="str">
        <f>IFERROR(VLOOKUP(G744,WholesaleExtract!B:O,14,FALSE),"")</f>
        <v/>
      </c>
      <c r="K744" s="26" t="str">
        <f>IFERROR(VLOOKUP(G744,WholesaleExtract!B:K,10,FALSE),"")</f>
        <v/>
      </c>
      <c r="L744" s="47" t="str">
        <f>IFERROR(VLOOKUP(G744,WholesaleExtract!B:L,11,FALSE),"")</f>
        <v/>
      </c>
      <c r="M744" s="47" t="str">
        <f>IFERROR(VLOOKUP(G744,WholesaleExtract!B:M,12,FALSE),"")</f>
        <v/>
      </c>
      <c r="N744" s="27"/>
      <c r="O744" s="19"/>
      <c r="P744" s="19"/>
      <c r="Q744" s="47"/>
      <c r="R744" s="19"/>
      <c r="S744" s="19"/>
    </row>
    <row r="745" spans="1:19" x14ac:dyDescent="0.35">
      <c r="A745" s="26" t="s">
        <v>543</v>
      </c>
      <c r="B745" s="26" t="s">
        <v>543</v>
      </c>
      <c r="C745" s="26"/>
      <c r="D745" s="26" t="s">
        <v>543</v>
      </c>
      <c r="E745" s="26" t="str">
        <f>IFERROR(VLOOKUP(G745,WholesaleExtract!B:J,9,FALSE),"")</f>
        <v/>
      </c>
      <c r="F745" s="26" t="str">
        <f>IFERROR(VLOOKUP(G745,WholesaleExtract!B:J,6,FALSE),"")</f>
        <v/>
      </c>
      <c r="G745" s="46"/>
      <c r="H745" s="47" t="str">
        <f>IFERROR(VLOOKUP(G745,WholesaleExtract!B:L,11,FALSE),"")</f>
        <v/>
      </c>
      <c r="I745" s="26" t="str">
        <f>IFERROR(VLOOKUP(G745,WholesaleExtract!B:O,8,FALSE),"")</f>
        <v/>
      </c>
      <c r="J745" s="26" t="str">
        <f>IFERROR(VLOOKUP(G745,WholesaleExtract!B:O,14,FALSE),"")</f>
        <v/>
      </c>
      <c r="K745" s="26" t="str">
        <f>IFERROR(VLOOKUP(G745,WholesaleExtract!B:K,10,FALSE),"")</f>
        <v/>
      </c>
      <c r="L745" s="47" t="str">
        <f>IFERROR(VLOOKUP(G745,WholesaleExtract!B:L,11,FALSE),"")</f>
        <v/>
      </c>
      <c r="M745" s="47" t="str">
        <f>IFERROR(VLOOKUP(G745,WholesaleExtract!B:M,12,FALSE),"")</f>
        <v/>
      </c>
      <c r="N745" s="27"/>
      <c r="O745" s="19"/>
      <c r="P745" s="19"/>
      <c r="Q745" s="47"/>
      <c r="R745" s="19"/>
      <c r="S745" s="19"/>
    </row>
    <row r="746" spans="1:19" x14ac:dyDescent="0.35">
      <c r="A746" s="26" t="s">
        <v>543</v>
      </c>
      <c r="B746" s="26" t="s">
        <v>543</v>
      </c>
      <c r="C746" s="26"/>
      <c r="D746" s="26" t="s">
        <v>543</v>
      </c>
      <c r="E746" s="26" t="str">
        <f>IFERROR(VLOOKUP(G746,WholesaleExtract!B:J,9,FALSE),"")</f>
        <v/>
      </c>
      <c r="F746" s="26" t="str">
        <f>IFERROR(VLOOKUP(G746,WholesaleExtract!B:J,6,FALSE),"")</f>
        <v/>
      </c>
      <c r="G746" s="46"/>
      <c r="H746" s="47" t="str">
        <f>IFERROR(VLOOKUP(G746,WholesaleExtract!B:L,11,FALSE),"")</f>
        <v/>
      </c>
      <c r="I746" s="26" t="str">
        <f>IFERROR(VLOOKUP(G746,WholesaleExtract!B:O,8,FALSE),"")</f>
        <v/>
      </c>
      <c r="J746" s="26" t="str">
        <f>IFERROR(VLOOKUP(G746,WholesaleExtract!B:O,14,FALSE),"")</f>
        <v/>
      </c>
      <c r="K746" s="26" t="str">
        <f>IFERROR(VLOOKUP(G746,WholesaleExtract!B:K,10,FALSE),"")</f>
        <v/>
      </c>
      <c r="L746" s="47" t="str">
        <f>IFERROR(VLOOKUP(G746,WholesaleExtract!B:L,11,FALSE),"")</f>
        <v/>
      </c>
      <c r="M746" s="47" t="str">
        <f>IFERROR(VLOOKUP(G746,WholesaleExtract!B:M,12,FALSE),"")</f>
        <v/>
      </c>
      <c r="N746" s="27"/>
      <c r="O746" s="19"/>
      <c r="P746" s="19"/>
      <c r="Q746" s="47"/>
      <c r="R746" s="19"/>
      <c r="S746" s="19"/>
    </row>
    <row r="747" spans="1:19" x14ac:dyDescent="0.35">
      <c r="A747" s="26" t="s">
        <v>543</v>
      </c>
      <c r="B747" s="26" t="s">
        <v>543</v>
      </c>
      <c r="C747" s="26"/>
      <c r="D747" s="26" t="s">
        <v>543</v>
      </c>
      <c r="E747" s="26" t="str">
        <f>IFERROR(VLOOKUP(G747,WholesaleExtract!B:J,9,FALSE),"")</f>
        <v/>
      </c>
      <c r="F747" s="26" t="str">
        <f>IFERROR(VLOOKUP(G747,WholesaleExtract!B:J,6,FALSE),"")</f>
        <v/>
      </c>
      <c r="G747" s="46"/>
      <c r="H747" s="47" t="str">
        <f>IFERROR(VLOOKUP(G747,WholesaleExtract!B:L,11,FALSE),"")</f>
        <v/>
      </c>
      <c r="I747" s="26" t="str">
        <f>IFERROR(VLOOKUP(G747,WholesaleExtract!B:O,8,FALSE),"")</f>
        <v/>
      </c>
      <c r="J747" s="26" t="str">
        <f>IFERROR(VLOOKUP(G747,WholesaleExtract!B:O,14,FALSE),"")</f>
        <v/>
      </c>
      <c r="K747" s="26" t="str">
        <f>IFERROR(VLOOKUP(G747,WholesaleExtract!B:K,10,FALSE),"")</f>
        <v/>
      </c>
      <c r="L747" s="47" t="str">
        <f>IFERROR(VLOOKUP(G747,WholesaleExtract!B:L,11,FALSE),"")</f>
        <v/>
      </c>
      <c r="M747" s="47" t="str">
        <f>IFERROR(VLOOKUP(G747,WholesaleExtract!B:M,12,FALSE),"")</f>
        <v/>
      </c>
      <c r="N747" s="27"/>
      <c r="O747" s="19"/>
      <c r="P747" s="19"/>
      <c r="Q747" s="47"/>
      <c r="R747" s="19"/>
      <c r="S747" s="19"/>
    </row>
    <row r="748" spans="1:19" x14ac:dyDescent="0.35">
      <c r="A748" s="26" t="s">
        <v>543</v>
      </c>
      <c r="B748" s="26" t="s">
        <v>543</v>
      </c>
      <c r="C748" s="26"/>
      <c r="D748" s="26" t="s">
        <v>543</v>
      </c>
      <c r="E748" s="26" t="str">
        <f>IFERROR(VLOOKUP(G748,WholesaleExtract!B:J,9,FALSE),"")</f>
        <v/>
      </c>
      <c r="F748" s="26" t="str">
        <f>IFERROR(VLOOKUP(G748,WholesaleExtract!B:J,6,FALSE),"")</f>
        <v/>
      </c>
      <c r="G748" s="46"/>
      <c r="H748" s="47" t="str">
        <f>IFERROR(VLOOKUP(G748,WholesaleExtract!B:L,11,FALSE),"")</f>
        <v/>
      </c>
      <c r="I748" s="26" t="str">
        <f>IFERROR(VLOOKUP(G748,WholesaleExtract!B:O,8,FALSE),"")</f>
        <v/>
      </c>
      <c r="J748" s="26" t="str">
        <f>IFERROR(VLOOKUP(G748,WholesaleExtract!B:O,14,FALSE),"")</f>
        <v/>
      </c>
      <c r="K748" s="26" t="str">
        <f>IFERROR(VLOOKUP(G748,WholesaleExtract!B:K,10,FALSE),"")</f>
        <v/>
      </c>
      <c r="L748" s="47" t="str">
        <f>IFERROR(VLOOKUP(G748,WholesaleExtract!B:L,11,FALSE),"")</f>
        <v/>
      </c>
      <c r="M748" s="47" t="str">
        <f>IFERROR(VLOOKUP(G748,WholesaleExtract!B:M,12,FALSE),"")</f>
        <v/>
      </c>
      <c r="N748" s="27"/>
      <c r="O748" s="19"/>
      <c r="P748" s="19"/>
      <c r="Q748" s="47"/>
      <c r="R748" s="19"/>
      <c r="S748" s="19"/>
    </row>
    <row r="749" spans="1:19" x14ac:dyDescent="0.35">
      <c r="A749" s="26" t="s">
        <v>543</v>
      </c>
      <c r="B749" s="26" t="s">
        <v>543</v>
      </c>
      <c r="C749" s="26"/>
      <c r="D749" s="26" t="s">
        <v>543</v>
      </c>
      <c r="E749" s="26" t="str">
        <f>IFERROR(VLOOKUP(G749,WholesaleExtract!B:J,9,FALSE),"")</f>
        <v/>
      </c>
      <c r="F749" s="26" t="str">
        <f>IFERROR(VLOOKUP(G749,WholesaleExtract!B:J,6,FALSE),"")</f>
        <v/>
      </c>
      <c r="G749" s="46"/>
      <c r="H749" s="47" t="str">
        <f>IFERROR(VLOOKUP(G749,WholesaleExtract!B:L,11,FALSE),"")</f>
        <v/>
      </c>
      <c r="I749" s="26" t="str">
        <f>IFERROR(VLOOKUP(G749,WholesaleExtract!B:O,8,FALSE),"")</f>
        <v/>
      </c>
      <c r="J749" s="26" t="str">
        <f>IFERROR(VLOOKUP(G749,WholesaleExtract!B:O,14,FALSE),"")</f>
        <v/>
      </c>
      <c r="K749" s="26" t="str">
        <f>IFERROR(VLOOKUP(G749,WholesaleExtract!B:K,10,FALSE),"")</f>
        <v/>
      </c>
      <c r="L749" s="47" t="str">
        <f>IFERROR(VLOOKUP(G749,WholesaleExtract!B:L,11,FALSE),"")</f>
        <v/>
      </c>
      <c r="M749" s="47" t="str">
        <f>IFERROR(VLOOKUP(G749,WholesaleExtract!B:M,12,FALSE),"")</f>
        <v/>
      </c>
      <c r="N749" s="27"/>
      <c r="O749" s="19"/>
      <c r="P749" s="19"/>
      <c r="Q749" s="47"/>
      <c r="R749" s="19"/>
      <c r="S749" s="19"/>
    </row>
    <row r="750" spans="1:19" x14ac:dyDescent="0.35">
      <c r="A750" s="26" t="s">
        <v>543</v>
      </c>
      <c r="B750" s="26" t="s">
        <v>543</v>
      </c>
      <c r="C750" s="26"/>
      <c r="D750" s="26" t="s">
        <v>543</v>
      </c>
      <c r="E750" s="26" t="str">
        <f>IFERROR(VLOOKUP(G750,WholesaleExtract!B:J,9,FALSE),"")</f>
        <v/>
      </c>
      <c r="F750" s="26" t="str">
        <f>IFERROR(VLOOKUP(G750,WholesaleExtract!B:J,6,FALSE),"")</f>
        <v/>
      </c>
      <c r="G750" s="46"/>
      <c r="H750" s="47" t="str">
        <f>IFERROR(VLOOKUP(G750,WholesaleExtract!B:L,11,FALSE),"")</f>
        <v/>
      </c>
      <c r="I750" s="26" t="str">
        <f>IFERROR(VLOOKUP(G750,WholesaleExtract!B:O,8,FALSE),"")</f>
        <v/>
      </c>
      <c r="J750" s="26" t="str">
        <f>IFERROR(VLOOKUP(G750,WholesaleExtract!B:O,14,FALSE),"")</f>
        <v/>
      </c>
      <c r="K750" s="26" t="str">
        <f>IFERROR(VLOOKUP(G750,WholesaleExtract!B:K,10,FALSE),"")</f>
        <v/>
      </c>
      <c r="L750" s="47" t="str">
        <f>IFERROR(VLOOKUP(G750,WholesaleExtract!B:L,11,FALSE),"")</f>
        <v/>
      </c>
      <c r="M750" s="47" t="str">
        <f>IFERROR(VLOOKUP(G750,WholesaleExtract!B:M,12,FALSE),"")</f>
        <v/>
      </c>
      <c r="N750" s="27"/>
      <c r="O750" s="19"/>
      <c r="P750" s="19"/>
      <c r="Q750" s="47"/>
      <c r="R750" s="19"/>
      <c r="S750" s="19"/>
    </row>
    <row r="751" spans="1:19" x14ac:dyDescent="0.35">
      <c r="A751" s="26" t="s">
        <v>543</v>
      </c>
      <c r="B751" s="26" t="s">
        <v>543</v>
      </c>
      <c r="C751" s="26"/>
      <c r="D751" s="26" t="s">
        <v>543</v>
      </c>
      <c r="E751" s="26" t="str">
        <f>IFERROR(VLOOKUP(G751,WholesaleExtract!B:J,9,FALSE),"")</f>
        <v/>
      </c>
      <c r="F751" s="26" t="str">
        <f>IFERROR(VLOOKUP(G751,WholesaleExtract!B:J,6,FALSE),"")</f>
        <v/>
      </c>
      <c r="G751" s="46"/>
      <c r="H751" s="47" t="str">
        <f>IFERROR(VLOOKUP(G751,WholesaleExtract!B:L,11,FALSE),"")</f>
        <v/>
      </c>
      <c r="I751" s="26" t="str">
        <f>IFERROR(VLOOKUP(G751,WholesaleExtract!B:O,8,FALSE),"")</f>
        <v/>
      </c>
      <c r="J751" s="26" t="str">
        <f>IFERROR(VLOOKUP(G751,WholesaleExtract!B:O,14,FALSE),"")</f>
        <v/>
      </c>
      <c r="K751" s="26" t="str">
        <f>IFERROR(VLOOKUP(G751,WholesaleExtract!B:K,10,FALSE),"")</f>
        <v/>
      </c>
      <c r="L751" s="47" t="str">
        <f>IFERROR(VLOOKUP(G751,WholesaleExtract!B:L,11,FALSE),"")</f>
        <v/>
      </c>
      <c r="M751" s="47" t="str">
        <f>IFERROR(VLOOKUP(G751,WholesaleExtract!B:M,12,FALSE),"")</f>
        <v/>
      </c>
      <c r="N751" s="27"/>
      <c r="O751" s="19"/>
      <c r="P751" s="19"/>
      <c r="Q751" s="47"/>
      <c r="R751" s="19"/>
      <c r="S751" s="19"/>
    </row>
    <row r="752" spans="1:19" x14ac:dyDescent="0.35">
      <c r="A752" s="26" t="s">
        <v>543</v>
      </c>
      <c r="B752" s="26" t="s">
        <v>543</v>
      </c>
      <c r="C752" s="26"/>
      <c r="D752" s="26" t="s">
        <v>543</v>
      </c>
      <c r="E752" s="26" t="str">
        <f>IFERROR(VLOOKUP(G752,WholesaleExtract!B:J,9,FALSE),"")</f>
        <v/>
      </c>
      <c r="F752" s="26" t="str">
        <f>IFERROR(VLOOKUP(G752,WholesaleExtract!B:J,6,FALSE),"")</f>
        <v/>
      </c>
      <c r="G752" s="46"/>
      <c r="H752" s="47" t="str">
        <f>IFERROR(VLOOKUP(G752,WholesaleExtract!B:L,11,FALSE),"")</f>
        <v/>
      </c>
      <c r="I752" s="26" t="str">
        <f>IFERROR(VLOOKUP(G752,WholesaleExtract!B:O,8,FALSE),"")</f>
        <v/>
      </c>
      <c r="J752" s="26" t="str">
        <f>IFERROR(VLOOKUP(G752,WholesaleExtract!B:O,14,FALSE),"")</f>
        <v/>
      </c>
      <c r="K752" s="26" t="str">
        <f>IFERROR(VLOOKUP(G752,WholesaleExtract!B:K,10,FALSE),"")</f>
        <v/>
      </c>
      <c r="L752" s="47" t="str">
        <f>IFERROR(VLOOKUP(G752,WholesaleExtract!B:L,11,FALSE),"")</f>
        <v/>
      </c>
      <c r="M752" s="47" t="str">
        <f>IFERROR(VLOOKUP(G752,WholesaleExtract!B:M,12,FALSE),"")</f>
        <v/>
      </c>
      <c r="N752" s="27"/>
      <c r="O752" s="19"/>
      <c r="P752" s="19"/>
      <c r="Q752" s="47"/>
      <c r="R752" s="19"/>
      <c r="S752" s="19"/>
    </row>
    <row r="753" spans="1:19" x14ac:dyDescent="0.35">
      <c r="A753" s="26" t="s">
        <v>543</v>
      </c>
      <c r="B753" s="26" t="s">
        <v>543</v>
      </c>
      <c r="C753" s="26"/>
      <c r="D753" s="26" t="s">
        <v>543</v>
      </c>
      <c r="E753" s="26" t="str">
        <f>IFERROR(VLOOKUP(G753,WholesaleExtract!B:J,9,FALSE),"")</f>
        <v/>
      </c>
      <c r="F753" s="26" t="str">
        <f>IFERROR(VLOOKUP(G753,WholesaleExtract!B:J,6,FALSE),"")</f>
        <v/>
      </c>
      <c r="G753" s="46"/>
      <c r="H753" s="47" t="str">
        <f>IFERROR(VLOOKUP(G753,WholesaleExtract!B:L,11,FALSE),"")</f>
        <v/>
      </c>
      <c r="I753" s="26" t="str">
        <f>IFERROR(VLOOKUP(G753,WholesaleExtract!B:O,8,FALSE),"")</f>
        <v/>
      </c>
      <c r="J753" s="26" t="str">
        <f>IFERROR(VLOOKUP(G753,WholesaleExtract!B:O,14,FALSE),"")</f>
        <v/>
      </c>
      <c r="K753" s="26" t="str">
        <f>IFERROR(VLOOKUP(G753,WholesaleExtract!B:K,10,FALSE),"")</f>
        <v/>
      </c>
      <c r="L753" s="47" t="str">
        <f>IFERROR(VLOOKUP(G753,WholesaleExtract!B:L,11,FALSE),"")</f>
        <v/>
      </c>
      <c r="M753" s="47" t="str">
        <f>IFERROR(VLOOKUP(G753,WholesaleExtract!B:M,12,FALSE),"")</f>
        <v/>
      </c>
      <c r="N753" s="27"/>
      <c r="O753" s="19"/>
      <c r="P753" s="19"/>
      <c r="Q753" s="47"/>
      <c r="R753" s="19"/>
      <c r="S753" s="19"/>
    </row>
    <row r="754" spans="1:19" x14ac:dyDescent="0.35">
      <c r="A754" s="26" t="s">
        <v>543</v>
      </c>
      <c r="B754" s="26" t="s">
        <v>543</v>
      </c>
      <c r="C754" s="26"/>
      <c r="D754" s="26" t="s">
        <v>543</v>
      </c>
      <c r="E754" s="26" t="str">
        <f>IFERROR(VLOOKUP(G754,WholesaleExtract!B:J,9,FALSE),"")</f>
        <v/>
      </c>
      <c r="F754" s="26" t="str">
        <f>IFERROR(VLOOKUP(G754,WholesaleExtract!B:J,6,FALSE),"")</f>
        <v/>
      </c>
      <c r="G754" s="46"/>
      <c r="H754" s="47" t="str">
        <f>IFERROR(VLOOKUP(G754,WholesaleExtract!B:L,11,FALSE),"")</f>
        <v/>
      </c>
      <c r="I754" s="26" t="str">
        <f>IFERROR(VLOOKUP(G754,WholesaleExtract!B:O,8,FALSE),"")</f>
        <v/>
      </c>
      <c r="J754" s="26" t="str">
        <f>IFERROR(VLOOKUP(G754,WholesaleExtract!B:O,14,FALSE),"")</f>
        <v/>
      </c>
      <c r="K754" s="26" t="str">
        <f>IFERROR(VLOOKUP(G754,WholesaleExtract!B:K,10,FALSE),"")</f>
        <v/>
      </c>
      <c r="L754" s="47" t="str">
        <f>IFERROR(VLOOKUP(G754,WholesaleExtract!B:L,11,FALSE),"")</f>
        <v/>
      </c>
      <c r="M754" s="47" t="str">
        <f>IFERROR(VLOOKUP(G754,WholesaleExtract!B:M,12,FALSE),"")</f>
        <v/>
      </c>
      <c r="N754" s="27"/>
      <c r="O754" s="19"/>
      <c r="P754" s="19"/>
      <c r="Q754" s="47"/>
      <c r="R754" s="19"/>
      <c r="S754" s="19"/>
    </row>
    <row r="755" spans="1:19" x14ac:dyDescent="0.35">
      <c r="A755" s="26" t="s">
        <v>543</v>
      </c>
      <c r="B755" s="26" t="s">
        <v>543</v>
      </c>
      <c r="C755" s="26"/>
      <c r="D755" s="26" t="s">
        <v>543</v>
      </c>
      <c r="E755" s="26" t="str">
        <f>IFERROR(VLOOKUP(G755,WholesaleExtract!B:J,9,FALSE),"")</f>
        <v/>
      </c>
      <c r="F755" s="26" t="str">
        <f>IFERROR(VLOOKUP(G755,WholesaleExtract!B:J,6,FALSE),"")</f>
        <v/>
      </c>
      <c r="G755" s="46"/>
      <c r="H755" s="47" t="str">
        <f>IFERROR(VLOOKUP(G755,WholesaleExtract!B:L,11,FALSE),"")</f>
        <v/>
      </c>
      <c r="I755" s="26" t="str">
        <f>IFERROR(VLOOKUP(G755,WholesaleExtract!B:O,8,FALSE),"")</f>
        <v/>
      </c>
      <c r="J755" s="26" t="str">
        <f>IFERROR(VLOOKUP(G755,WholesaleExtract!B:O,14,FALSE),"")</f>
        <v/>
      </c>
      <c r="K755" s="26" t="str">
        <f>IFERROR(VLOOKUP(G755,WholesaleExtract!B:K,10,FALSE),"")</f>
        <v/>
      </c>
      <c r="L755" s="47" t="str">
        <f>IFERROR(VLOOKUP(G755,WholesaleExtract!B:L,11,FALSE),"")</f>
        <v/>
      </c>
      <c r="M755" s="47" t="str">
        <f>IFERROR(VLOOKUP(G755,WholesaleExtract!B:M,12,FALSE),"")</f>
        <v/>
      </c>
      <c r="N755" s="27"/>
      <c r="O755" s="19"/>
      <c r="P755" s="19"/>
      <c r="Q755" s="47"/>
      <c r="R755" s="19"/>
      <c r="S755" s="19"/>
    </row>
    <row r="756" spans="1:19" x14ac:dyDescent="0.35">
      <c r="A756" s="26" t="s">
        <v>543</v>
      </c>
      <c r="B756" s="26" t="s">
        <v>543</v>
      </c>
      <c r="C756" s="26"/>
      <c r="D756" s="26" t="s">
        <v>543</v>
      </c>
      <c r="E756" s="26" t="str">
        <f>IFERROR(VLOOKUP(G756,WholesaleExtract!B:J,9,FALSE),"")</f>
        <v/>
      </c>
      <c r="F756" s="26" t="str">
        <f>IFERROR(VLOOKUP(G756,WholesaleExtract!B:J,6,FALSE),"")</f>
        <v/>
      </c>
      <c r="G756" s="46"/>
      <c r="H756" s="47" t="str">
        <f>IFERROR(VLOOKUP(G756,WholesaleExtract!B:L,11,FALSE),"")</f>
        <v/>
      </c>
      <c r="I756" s="26" t="str">
        <f>IFERROR(VLOOKUP(G756,WholesaleExtract!B:O,8,FALSE),"")</f>
        <v/>
      </c>
      <c r="J756" s="26" t="str">
        <f>IFERROR(VLOOKUP(G756,WholesaleExtract!B:O,14,FALSE),"")</f>
        <v/>
      </c>
      <c r="K756" s="26" t="str">
        <f>IFERROR(VLOOKUP(G756,WholesaleExtract!B:K,10,FALSE),"")</f>
        <v/>
      </c>
      <c r="L756" s="47" t="str">
        <f>IFERROR(VLOOKUP(G756,WholesaleExtract!B:L,11,FALSE),"")</f>
        <v/>
      </c>
      <c r="M756" s="47" t="str">
        <f>IFERROR(VLOOKUP(G756,WholesaleExtract!B:M,12,FALSE),"")</f>
        <v/>
      </c>
      <c r="N756" s="27"/>
      <c r="O756" s="19"/>
      <c r="P756" s="19"/>
      <c r="Q756" s="47"/>
      <c r="R756" s="19"/>
      <c r="S756" s="19"/>
    </row>
    <row r="757" spans="1:19" x14ac:dyDescent="0.35">
      <c r="A757" s="26" t="s">
        <v>543</v>
      </c>
      <c r="B757" s="26" t="s">
        <v>543</v>
      </c>
      <c r="C757" s="26"/>
      <c r="D757" s="26" t="s">
        <v>543</v>
      </c>
      <c r="E757" s="26" t="str">
        <f>IFERROR(VLOOKUP(G757,WholesaleExtract!B:J,9,FALSE),"")</f>
        <v/>
      </c>
      <c r="F757" s="26" t="str">
        <f>IFERROR(VLOOKUP(G757,WholesaleExtract!B:J,6,FALSE),"")</f>
        <v/>
      </c>
      <c r="G757" s="46"/>
      <c r="H757" s="47" t="str">
        <f>IFERROR(VLOOKUP(G757,WholesaleExtract!B:L,11,FALSE),"")</f>
        <v/>
      </c>
      <c r="I757" s="26" t="str">
        <f>IFERROR(VLOOKUP(G757,WholesaleExtract!B:O,8,FALSE),"")</f>
        <v/>
      </c>
      <c r="J757" s="26" t="str">
        <f>IFERROR(VLOOKUP(G757,WholesaleExtract!B:O,14,FALSE),"")</f>
        <v/>
      </c>
      <c r="K757" s="26" t="str">
        <f>IFERROR(VLOOKUP(G757,WholesaleExtract!B:K,10,FALSE),"")</f>
        <v/>
      </c>
      <c r="L757" s="47" t="str">
        <f>IFERROR(VLOOKUP(G757,WholesaleExtract!B:L,11,FALSE),"")</f>
        <v/>
      </c>
      <c r="M757" s="47" t="str">
        <f>IFERROR(VLOOKUP(G757,WholesaleExtract!B:M,12,FALSE),"")</f>
        <v/>
      </c>
      <c r="N757" s="27"/>
      <c r="O757" s="19"/>
      <c r="P757" s="19"/>
      <c r="Q757" s="47"/>
      <c r="R757" s="19"/>
      <c r="S757" s="19"/>
    </row>
    <row r="758" spans="1:19" x14ac:dyDescent="0.35">
      <c r="A758" s="26" t="s">
        <v>543</v>
      </c>
      <c r="B758" s="26" t="s">
        <v>543</v>
      </c>
      <c r="C758" s="26"/>
      <c r="D758" s="26" t="s">
        <v>543</v>
      </c>
      <c r="E758" s="26" t="str">
        <f>IFERROR(VLOOKUP(G758,WholesaleExtract!B:J,9,FALSE),"")</f>
        <v/>
      </c>
      <c r="F758" s="26" t="str">
        <f>IFERROR(VLOOKUP(G758,WholesaleExtract!B:J,6,FALSE),"")</f>
        <v/>
      </c>
      <c r="G758" s="46"/>
      <c r="H758" s="47" t="str">
        <f>IFERROR(VLOOKUP(G758,WholesaleExtract!B:L,11,FALSE),"")</f>
        <v/>
      </c>
      <c r="I758" s="26" t="str">
        <f>IFERROR(VLOOKUP(G758,WholesaleExtract!B:O,8,FALSE),"")</f>
        <v/>
      </c>
      <c r="J758" s="26" t="str">
        <f>IFERROR(VLOOKUP(G758,WholesaleExtract!B:O,14,FALSE),"")</f>
        <v/>
      </c>
      <c r="K758" s="26" t="str">
        <f>IFERROR(VLOOKUP(G758,WholesaleExtract!B:K,10,FALSE),"")</f>
        <v/>
      </c>
      <c r="L758" s="47" t="str">
        <f>IFERROR(VLOOKUP(G758,WholesaleExtract!B:L,11,FALSE),"")</f>
        <v/>
      </c>
      <c r="M758" s="47" t="str">
        <f>IFERROR(VLOOKUP(G758,WholesaleExtract!B:M,12,FALSE),"")</f>
        <v/>
      </c>
      <c r="N758" s="27"/>
      <c r="O758" s="19"/>
      <c r="P758" s="19"/>
      <c r="Q758" s="47"/>
      <c r="R758" s="19"/>
      <c r="S758" s="19"/>
    </row>
    <row r="759" spans="1:19" x14ac:dyDescent="0.35">
      <c r="A759" s="26" t="s">
        <v>543</v>
      </c>
      <c r="B759" s="26" t="s">
        <v>543</v>
      </c>
      <c r="C759" s="26"/>
      <c r="D759" s="26" t="s">
        <v>543</v>
      </c>
      <c r="E759" s="26" t="str">
        <f>IFERROR(VLOOKUP(G759,WholesaleExtract!B:J,9,FALSE),"")</f>
        <v/>
      </c>
      <c r="F759" s="26" t="str">
        <f>IFERROR(VLOOKUP(G759,WholesaleExtract!B:J,6,FALSE),"")</f>
        <v/>
      </c>
      <c r="G759" s="46"/>
      <c r="H759" s="47" t="str">
        <f>IFERROR(VLOOKUP(G759,WholesaleExtract!B:L,11,FALSE),"")</f>
        <v/>
      </c>
      <c r="I759" s="26" t="str">
        <f>IFERROR(VLOOKUP(G759,WholesaleExtract!B:O,8,FALSE),"")</f>
        <v/>
      </c>
      <c r="J759" s="26" t="str">
        <f>IFERROR(VLOOKUP(G759,WholesaleExtract!B:O,14,FALSE),"")</f>
        <v/>
      </c>
      <c r="K759" s="26" t="str">
        <f>IFERROR(VLOOKUP(G759,WholesaleExtract!B:K,10,FALSE),"")</f>
        <v/>
      </c>
      <c r="L759" s="47" t="str">
        <f>IFERROR(VLOOKUP(G759,WholesaleExtract!B:L,11,FALSE),"")</f>
        <v/>
      </c>
      <c r="M759" s="47" t="str">
        <f>IFERROR(VLOOKUP(G759,WholesaleExtract!B:M,12,FALSE),"")</f>
        <v/>
      </c>
      <c r="N759" s="27"/>
      <c r="O759" s="19"/>
      <c r="P759" s="19"/>
      <c r="Q759" s="47"/>
      <c r="R759" s="19"/>
      <c r="S759" s="19"/>
    </row>
    <row r="760" spans="1:19" x14ac:dyDescent="0.35">
      <c r="A760" s="26" t="s">
        <v>543</v>
      </c>
      <c r="B760" s="26" t="s">
        <v>543</v>
      </c>
      <c r="C760" s="26"/>
      <c r="D760" s="26" t="s">
        <v>543</v>
      </c>
      <c r="E760" s="26" t="str">
        <f>IFERROR(VLOOKUP(G760,WholesaleExtract!B:J,9,FALSE),"")</f>
        <v/>
      </c>
      <c r="F760" s="26" t="str">
        <f>IFERROR(VLOOKUP(G760,WholesaleExtract!B:J,6,FALSE),"")</f>
        <v/>
      </c>
      <c r="G760" s="46"/>
      <c r="H760" s="47" t="str">
        <f>IFERROR(VLOOKUP(G760,WholesaleExtract!B:L,11,FALSE),"")</f>
        <v/>
      </c>
      <c r="I760" s="26" t="str">
        <f>IFERROR(VLOOKUP(G760,WholesaleExtract!B:O,8,FALSE),"")</f>
        <v/>
      </c>
      <c r="J760" s="26" t="str">
        <f>IFERROR(VLOOKUP(G760,WholesaleExtract!B:O,14,FALSE),"")</f>
        <v/>
      </c>
      <c r="K760" s="26" t="str">
        <f>IFERROR(VLOOKUP(G760,WholesaleExtract!B:K,10,FALSE),"")</f>
        <v/>
      </c>
      <c r="L760" s="47" t="str">
        <f>IFERROR(VLOOKUP(G760,WholesaleExtract!B:L,11,FALSE),"")</f>
        <v/>
      </c>
      <c r="M760" s="47" t="str">
        <f>IFERROR(VLOOKUP(G760,WholesaleExtract!B:M,12,FALSE),"")</f>
        <v/>
      </c>
      <c r="N760" s="27"/>
      <c r="O760" s="19"/>
      <c r="P760" s="19"/>
      <c r="Q760" s="47"/>
      <c r="R760" s="19"/>
      <c r="S760" s="19"/>
    </row>
    <row r="761" spans="1:19" x14ac:dyDescent="0.35">
      <c r="A761" s="26" t="s">
        <v>543</v>
      </c>
      <c r="B761" s="26" t="s">
        <v>543</v>
      </c>
      <c r="C761" s="26"/>
      <c r="D761" s="26" t="s">
        <v>543</v>
      </c>
      <c r="E761" s="26" t="str">
        <f>IFERROR(VLOOKUP(G761,WholesaleExtract!B:J,9,FALSE),"")</f>
        <v/>
      </c>
      <c r="F761" s="26" t="str">
        <f>IFERROR(VLOOKUP(G761,WholesaleExtract!B:J,6,FALSE),"")</f>
        <v/>
      </c>
      <c r="G761" s="46"/>
      <c r="H761" s="47" t="str">
        <f>IFERROR(VLOOKUP(G761,WholesaleExtract!B:L,11,FALSE),"")</f>
        <v/>
      </c>
      <c r="I761" s="26" t="str">
        <f>IFERROR(VLOOKUP(G761,WholesaleExtract!B:O,8,FALSE),"")</f>
        <v/>
      </c>
      <c r="J761" s="26" t="str">
        <f>IFERROR(VLOOKUP(G761,WholesaleExtract!B:O,14,FALSE),"")</f>
        <v/>
      </c>
      <c r="K761" s="26" t="str">
        <f>IFERROR(VLOOKUP(G761,WholesaleExtract!B:K,10,FALSE),"")</f>
        <v/>
      </c>
      <c r="L761" s="47" t="str">
        <f>IFERROR(VLOOKUP(G761,WholesaleExtract!B:L,11,FALSE),"")</f>
        <v/>
      </c>
      <c r="M761" s="47" t="str">
        <f>IFERROR(VLOOKUP(G761,WholesaleExtract!B:M,12,FALSE),"")</f>
        <v/>
      </c>
      <c r="N761" s="27"/>
      <c r="O761" s="19"/>
      <c r="P761" s="19"/>
      <c r="Q761" s="47"/>
      <c r="R761" s="19"/>
      <c r="S761" s="19"/>
    </row>
    <row r="762" spans="1:19" x14ac:dyDescent="0.35">
      <c r="A762" s="26" t="s">
        <v>543</v>
      </c>
      <c r="B762" s="26" t="s">
        <v>543</v>
      </c>
      <c r="C762" s="26"/>
      <c r="D762" s="26" t="s">
        <v>543</v>
      </c>
      <c r="E762" s="26" t="str">
        <f>IFERROR(VLOOKUP(G762,WholesaleExtract!B:J,9,FALSE),"")</f>
        <v/>
      </c>
      <c r="F762" s="26" t="str">
        <f>IFERROR(VLOOKUP(G762,WholesaleExtract!B:J,6,FALSE),"")</f>
        <v/>
      </c>
      <c r="G762" s="46"/>
      <c r="H762" s="47" t="str">
        <f>IFERROR(VLOOKUP(G762,WholesaleExtract!B:L,11,FALSE),"")</f>
        <v/>
      </c>
      <c r="I762" s="26" t="str">
        <f>IFERROR(VLOOKUP(G762,WholesaleExtract!B:O,8,FALSE),"")</f>
        <v/>
      </c>
      <c r="J762" s="26" t="str">
        <f>IFERROR(VLOOKUP(G762,WholesaleExtract!B:O,14,FALSE),"")</f>
        <v/>
      </c>
      <c r="K762" s="26" t="str">
        <f>IFERROR(VLOOKUP(G762,WholesaleExtract!B:K,10,FALSE),"")</f>
        <v/>
      </c>
      <c r="L762" s="47" t="str">
        <f>IFERROR(VLOOKUP(G762,WholesaleExtract!B:L,11,FALSE),"")</f>
        <v/>
      </c>
      <c r="M762" s="47" t="str">
        <f>IFERROR(VLOOKUP(G762,WholesaleExtract!B:M,12,FALSE),"")</f>
        <v/>
      </c>
      <c r="N762" s="27"/>
      <c r="O762" s="19"/>
      <c r="P762" s="19"/>
      <c r="Q762" s="47"/>
      <c r="R762" s="19"/>
      <c r="S762" s="19"/>
    </row>
    <row r="763" spans="1:19" x14ac:dyDescent="0.35">
      <c r="A763" s="26" t="s">
        <v>543</v>
      </c>
      <c r="B763" s="26" t="s">
        <v>543</v>
      </c>
      <c r="C763" s="26"/>
      <c r="D763" s="26" t="s">
        <v>543</v>
      </c>
      <c r="E763" s="26" t="str">
        <f>IFERROR(VLOOKUP(G763,WholesaleExtract!B:J,9,FALSE),"")</f>
        <v/>
      </c>
      <c r="F763" s="26" t="str">
        <f>IFERROR(VLOOKUP(G763,WholesaleExtract!B:J,6,FALSE),"")</f>
        <v/>
      </c>
      <c r="G763" s="46"/>
      <c r="H763" s="47" t="str">
        <f>IFERROR(VLOOKUP(G763,WholesaleExtract!B:L,11,FALSE),"")</f>
        <v/>
      </c>
      <c r="I763" s="26" t="str">
        <f>IFERROR(VLOOKUP(G763,WholesaleExtract!B:O,8,FALSE),"")</f>
        <v/>
      </c>
      <c r="J763" s="26" t="str">
        <f>IFERROR(VLOOKUP(G763,WholesaleExtract!B:O,14,FALSE),"")</f>
        <v/>
      </c>
      <c r="K763" s="26" t="str">
        <f>IFERROR(VLOOKUP(G763,WholesaleExtract!B:K,10,FALSE),"")</f>
        <v/>
      </c>
      <c r="L763" s="47" t="str">
        <f>IFERROR(VLOOKUP(G763,WholesaleExtract!B:L,11,FALSE),"")</f>
        <v/>
      </c>
      <c r="M763" s="47" t="str">
        <f>IFERROR(VLOOKUP(G763,WholesaleExtract!B:M,12,FALSE),"")</f>
        <v/>
      </c>
      <c r="N763" s="27"/>
      <c r="O763" s="19"/>
      <c r="P763" s="19"/>
      <c r="Q763" s="47"/>
      <c r="R763" s="19"/>
      <c r="S763" s="19"/>
    </row>
    <row r="764" spans="1:19" x14ac:dyDescent="0.35">
      <c r="A764" s="26" t="s">
        <v>543</v>
      </c>
      <c r="B764" s="26" t="s">
        <v>543</v>
      </c>
      <c r="C764" s="26"/>
      <c r="D764" s="26" t="s">
        <v>543</v>
      </c>
      <c r="E764" s="26" t="str">
        <f>IFERROR(VLOOKUP(G764,WholesaleExtract!B:J,9,FALSE),"")</f>
        <v/>
      </c>
      <c r="F764" s="26" t="str">
        <f>IFERROR(VLOOKUP(G764,WholesaleExtract!B:J,6,FALSE),"")</f>
        <v/>
      </c>
      <c r="G764" s="46"/>
      <c r="H764" s="47" t="str">
        <f>IFERROR(VLOOKUP(G764,WholesaleExtract!B:L,11,FALSE),"")</f>
        <v/>
      </c>
      <c r="I764" s="26" t="str">
        <f>IFERROR(VLOOKUP(G764,WholesaleExtract!B:O,8,FALSE),"")</f>
        <v/>
      </c>
      <c r="J764" s="26" t="str">
        <f>IFERROR(VLOOKUP(G764,WholesaleExtract!B:O,14,FALSE),"")</f>
        <v/>
      </c>
      <c r="K764" s="26" t="str">
        <f>IFERROR(VLOOKUP(G764,WholesaleExtract!B:K,10,FALSE),"")</f>
        <v/>
      </c>
      <c r="L764" s="47" t="str">
        <f>IFERROR(VLOOKUP(G764,WholesaleExtract!B:L,11,FALSE),"")</f>
        <v/>
      </c>
      <c r="M764" s="47" t="str">
        <f>IFERROR(VLOOKUP(G764,WholesaleExtract!B:M,12,FALSE),"")</f>
        <v/>
      </c>
      <c r="N764" s="27"/>
      <c r="O764" s="19"/>
      <c r="P764" s="19"/>
      <c r="Q764" s="47"/>
      <c r="R764" s="19"/>
      <c r="S764" s="19"/>
    </row>
    <row r="765" spans="1:19" x14ac:dyDescent="0.35">
      <c r="A765" s="26" t="s">
        <v>543</v>
      </c>
      <c r="B765" s="26" t="s">
        <v>543</v>
      </c>
      <c r="C765" s="26"/>
      <c r="D765" s="26" t="s">
        <v>543</v>
      </c>
      <c r="E765" s="26" t="str">
        <f>IFERROR(VLOOKUP(G765,WholesaleExtract!B:J,9,FALSE),"")</f>
        <v/>
      </c>
      <c r="F765" s="26" t="str">
        <f>IFERROR(VLOOKUP(G765,WholesaleExtract!B:J,6,FALSE),"")</f>
        <v/>
      </c>
      <c r="G765" s="46"/>
      <c r="H765" s="47" t="str">
        <f>IFERROR(VLOOKUP(G765,WholesaleExtract!B:L,11,FALSE),"")</f>
        <v/>
      </c>
      <c r="I765" s="26" t="str">
        <f>IFERROR(VLOOKUP(G765,WholesaleExtract!B:O,8,FALSE),"")</f>
        <v/>
      </c>
      <c r="J765" s="26" t="str">
        <f>IFERROR(VLOOKUP(G765,WholesaleExtract!B:O,14,FALSE),"")</f>
        <v/>
      </c>
      <c r="K765" s="26" t="str">
        <f>IFERROR(VLOOKUP(G765,WholesaleExtract!B:K,10,FALSE),"")</f>
        <v/>
      </c>
      <c r="L765" s="47" t="str">
        <f>IFERROR(VLOOKUP(G765,WholesaleExtract!B:L,11,FALSE),"")</f>
        <v/>
      </c>
      <c r="M765" s="47" t="str">
        <f>IFERROR(VLOOKUP(G765,WholesaleExtract!B:M,12,FALSE),"")</f>
        <v/>
      </c>
      <c r="N765" s="27"/>
      <c r="O765" s="19"/>
      <c r="P765" s="19"/>
      <c r="Q765" s="47"/>
      <c r="R765" s="19"/>
      <c r="S765" s="19"/>
    </row>
    <row r="766" spans="1:19" x14ac:dyDescent="0.35">
      <c r="A766" s="26" t="s">
        <v>543</v>
      </c>
      <c r="B766" s="26" t="s">
        <v>543</v>
      </c>
      <c r="C766" s="26"/>
      <c r="D766" s="26" t="s">
        <v>543</v>
      </c>
      <c r="E766" s="26" t="str">
        <f>IFERROR(VLOOKUP(G766,WholesaleExtract!B:J,9,FALSE),"")</f>
        <v/>
      </c>
      <c r="F766" s="26" t="str">
        <f>IFERROR(VLOOKUP(G766,WholesaleExtract!B:J,6,FALSE),"")</f>
        <v/>
      </c>
      <c r="G766" s="46"/>
      <c r="H766" s="47" t="str">
        <f>IFERROR(VLOOKUP(G766,WholesaleExtract!B:L,11,FALSE),"")</f>
        <v/>
      </c>
      <c r="I766" s="26" t="str">
        <f>IFERROR(VLOOKUP(G766,WholesaleExtract!B:O,8,FALSE),"")</f>
        <v/>
      </c>
      <c r="J766" s="26" t="str">
        <f>IFERROR(VLOOKUP(G766,WholesaleExtract!B:O,14,FALSE),"")</f>
        <v/>
      </c>
      <c r="K766" s="26" t="str">
        <f>IFERROR(VLOOKUP(G766,WholesaleExtract!B:K,10,FALSE),"")</f>
        <v/>
      </c>
      <c r="L766" s="47" t="str">
        <f>IFERROR(VLOOKUP(G766,WholesaleExtract!B:L,11,FALSE),"")</f>
        <v/>
      </c>
      <c r="M766" s="47" t="str">
        <f>IFERROR(VLOOKUP(G766,WholesaleExtract!B:M,12,FALSE),"")</f>
        <v/>
      </c>
      <c r="N766" s="27"/>
      <c r="O766" s="19"/>
      <c r="P766" s="19"/>
      <c r="Q766" s="47"/>
      <c r="R766" s="19"/>
      <c r="S766" s="19"/>
    </row>
    <row r="767" spans="1:19" x14ac:dyDescent="0.35">
      <c r="A767" s="26" t="s">
        <v>543</v>
      </c>
      <c r="B767" s="26" t="s">
        <v>543</v>
      </c>
      <c r="C767" s="26"/>
      <c r="D767" s="26" t="s">
        <v>543</v>
      </c>
      <c r="E767" s="26" t="str">
        <f>IFERROR(VLOOKUP(G767,WholesaleExtract!B:J,9,FALSE),"")</f>
        <v/>
      </c>
      <c r="F767" s="26" t="str">
        <f>IFERROR(VLOOKUP(G767,WholesaleExtract!B:J,6,FALSE),"")</f>
        <v/>
      </c>
      <c r="G767" s="46"/>
      <c r="H767" s="47" t="str">
        <f>IFERROR(VLOOKUP(G767,WholesaleExtract!B:L,11,FALSE),"")</f>
        <v/>
      </c>
      <c r="I767" s="26" t="str">
        <f>IFERROR(VLOOKUP(G767,WholesaleExtract!B:O,8,FALSE),"")</f>
        <v/>
      </c>
      <c r="J767" s="26" t="str">
        <f>IFERROR(VLOOKUP(G767,WholesaleExtract!B:O,14,FALSE),"")</f>
        <v/>
      </c>
      <c r="K767" s="26" t="str">
        <f>IFERROR(VLOOKUP(G767,WholesaleExtract!B:K,10,FALSE),"")</f>
        <v/>
      </c>
      <c r="L767" s="47" t="str">
        <f>IFERROR(VLOOKUP(G767,WholesaleExtract!B:L,11,FALSE),"")</f>
        <v/>
      </c>
      <c r="M767" s="47" t="str">
        <f>IFERROR(VLOOKUP(G767,WholesaleExtract!B:M,12,FALSE),"")</f>
        <v/>
      </c>
      <c r="N767" s="27"/>
      <c r="O767" s="19"/>
      <c r="P767" s="19"/>
      <c r="Q767" s="47"/>
      <c r="R767" s="19"/>
      <c r="S767" s="19"/>
    </row>
    <row r="768" spans="1:19" x14ac:dyDescent="0.35">
      <c r="A768" s="26" t="s">
        <v>543</v>
      </c>
      <c r="B768" s="26" t="s">
        <v>543</v>
      </c>
      <c r="C768" s="26"/>
      <c r="D768" s="26" t="s">
        <v>543</v>
      </c>
      <c r="E768" s="26" t="str">
        <f>IFERROR(VLOOKUP(G768,WholesaleExtract!B:J,9,FALSE),"")</f>
        <v/>
      </c>
      <c r="F768" s="26" t="str">
        <f>IFERROR(VLOOKUP(G768,WholesaleExtract!B:J,6,FALSE),"")</f>
        <v/>
      </c>
      <c r="G768" s="46"/>
      <c r="H768" s="47" t="str">
        <f>IFERROR(VLOOKUP(G768,WholesaleExtract!B:L,11,FALSE),"")</f>
        <v/>
      </c>
      <c r="I768" s="26" t="str">
        <f>IFERROR(VLOOKUP(G768,WholesaleExtract!B:O,8,FALSE),"")</f>
        <v/>
      </c>
      <c r="J768" s="26" t="str">
        <f>IFERROR(VLOOKUP(G768,WholesaleExtract!B:O,14,FALSE),"")</f>
        <v/>
      </c>
      <c r="K768" s="26" t="str">
        <f>IFERROR(VLOOKUP(G768,WholesaleExtract!B:K,10,FALSE),"")</f>
        <v/>
      </c>
      <c r="L768" s="47" t="str">
        <f>IFERROR(VLOOKUP(G768,WholesaleExtract!B:L,11,FALSE),"")</f>
        <v/>
      </c>
      <c r="M768" s="47" t="str">
        <f>IFERROR(VLOOKUP(G768,WholesaleExtract!B:M,12,FALSE),"")</f>
        <v/>
      </c>
      <c r="N768" s="27"/>
      <c r="O768" s="19"/>
      <c r="P768" s="19"/>
      <c r="Q768" s="47"/>
      <c r="R768" s="19"/>
      <c r="S768" s="19"/>
    </row>
    <row r="769" spans="1:19" x14ac:dyDescent="0.35">
      <c r="A769" s="26" t="s">
        <v>543</v>
      </c>
      <c r="B769" s="26" t="s">
        <v>543</v>
      </c>
      <c r="C769" s="26"/>
      <c r="D769" s="26" t="s">
        <v>543</v>
      </c>
      <c r="E769" s="26" t="str">
        <f>IFERROR(VLOOKUP(G769,WholesaleExtract!B:J,9,FALSE),"")</f>
        <v/>
      </c>
      <c r="F769" s="26" t="str">
        <f>IFERROR(VLOOKUP(G769,WholesaleExtract!B:J,6,FALSE),"")</f>
        <v/>
      </c>
      <c r="G769" s="46"/>
      <c r="H769" s="47" t="str">
        <f>IFERROR(VLOOKUP(G769,WholesaleExtract!B:L,11,FALSE),"")</f>
        <v/>
      </c>
      <c r="I769" s="26" t="str">
        <f>IFERROR(VLOOKUP(G769,WholesaleExtract!B:O,8,FALSE),"")</f>
        <v/>
      </c>
      <c r="J769" s="26" t="str">
        <f>IFERROR(VLOOKUP(G769,WholesaleExtract!B:O,14,FALSE),"")</f>
        <v/>
      </c>
      <c r="K769" s="26" t="str">
        <f>IFERROR(VLOOKUP(G769,WholesaleExtract!B:K,10,FALSE),"")</f>
        <v/>
      </c>
      <c r="L769" s="47" t="str">
        <f>IFERROR(VLOOKUP(G769,WholesaleExtract!B:L,11,FALSE),"")</f>
        <v/>
      </c>
      <c r="M769" s="47" t="str">
        <f>IFERROR(VLOOKUP(G769,WholesaleExtract!B:M,12,FALSE),"")</f>
        <v/>
      </c>
      <c r="N769" s="27"/>
      <c r="O769" s="19"/>
      <c r="P769" s="19"/>
      <c r="Q769" s="47"/>
      <c r="R769" s="19"/>
      <c r="S769" s="19"/>
    </row>
    <row r="770" spans="1:19" x14ac:dyDescent="0.35">
      <c r="A770" s="26" t="s">
        <v>543</v>
      </c>
      <c r="B770" s="26" t="s">
        <v>543</v>
      </c>
      <c r="C770" s="26"/>
      <c r="D770" s="26" t="s">
        <v>543</v>
      </c>
      <c r="E770" s="26" t="str">
        <f>IFERROR(VLOOKUP(G770,WholesaleExtract!B:J,9,FALSE),"")</f>
        <v/>
      </c>
      <c r="F770" s="26" t="str">
        <f>IFERROR(VLOOKUP(G770,WholesaleExtract!B:J,6,FALSE),"")</f>
        <v/>
      </c>
      <c r="G770" s="46"/>
      <c r="H770" s="47" t="str">
        <f>IFERROR(VLOOKUP(G770,WholesaleExtract!B:L,11,FALSE),"")</f>
        <v/>
      </c>
      <c r="I770" s="26" t="str">
        <f>IFERROR(VLOOKUP(G770,WholesaleExtract!B:O,8,FALSE),"")</f>
        <v/>
      </c>
      <c r="J770" s="26" t="str">
        <f>IFERROR(VLOOKUP(G770,WholesaleExtract!B:O,14,FALSE),"")</f>
        <v/>
      </c>
      <c r="K770" s="26" t="str">
        <f>IFERROR(VLOOKUP(G770,WholesaleExtract!B:K,10,FALSE),"")</f>
        <v/>
      </c>
      <c r="L770" s="47" t="str">
        <f>IFERROR(VLOOKUP(G770,WholesaleExtract!B:L,11,FALSE),"")</f>
        <v/>
      </c>
      <c r="M770" s="47" t="str">
        <f>IFERROR(VLOOKUP(G770,WholesaleExtract!B:M,12,FALSE),"")</f>
        <v/>
      </c>
      <c r="N770" s="27"/>
      <c r="O770" s="19"/>
      <c r="P770" s="19"/>
      <c r="Q770" s="47"/>
      <c r="R770" s="19"/>
      <c r="S770" s="19"/>
    </row>
    <row r="771" spans="1:19" x14ac:dyDescent="0.35">
      <c r="A771" s="26" t="s">
        <v>543</v>
      </c>
      <c r="B771" s="26" t="s">
        <v>543</v>
      </c>
      <c r="C771" s="26"/>
      <c r="D771" s="26" t="s">
        <v>543</v>
      </c>
      <c r="E771" s="26" t="str">
        <f>IFERROR(VLOOKUP(G771,WholesaleExtract!B:J,9,FALSE),"")</f>
        <v/>
      </c>
      <c r="F771" s="26" t="str">
        <f>IFERROR(VLOOKUP(G771,WholesaleExtract!B:J,6,FALSE),"")</f>
        <v/>
      </c>
      <c r="G771" s="46"/>
      <c r="H771" s="47" t="str">
        <f>IFERROR(VLOOKUP(G771,WholesaleExtract!B:L,11,FALSE),"")</f>
        <v/>
      </c>
      <c r="I771" s="26" t="str">
        <f>IFERROR(VLOOKUP(G771,WholesaleExtract!B:O,8,FALSE),"")</f>
        <v/>
      </c>
      <c r="J771" s="26" t="str">
        <f>IFERROR(VLOOKUP(G771,WholesaleExtract!B:O,14,FALSE),"")</f>
        <v/>
      </c>
      <c r="K771" s="26" t="str">
        <f>IFERROR(VLOOKUP(G771,WholesaleExtract!B:K,10,FALSE),"")</f>
        <v/>
      </c>
      <c r="L771" s="47" t="str">
        <f>IFERROR(VLOOKUP(G771,WholesaleExtract!B:L,11,FALSE),"")</f>
        <v/>
      </c>
      <c r="M771" s="47" t="str">
        <f>IFERROR(VLOOKUP(G771,WholesaleExtract!B:M,12,FALSE),"")</f>
        <v/>
      </c>
      <c r="N771" s="27"/>
      <c r="O771" s="19"/>
      <c r="P771" s="19"/>
      <c r="Q771" s="47"/>
      <c r="R771" s="19"/>
      <c r="S771" s="19"/>
    </row>
    <row r="772" spans="1:19" x14ac:dyDescent="0.35">
      <c r="A772" s="26" t="s">
        <v>543</v>
      </c>
      <c r="B772" s="26" t="s">
        <v>543</v>
      </c>
      <c r="C772" s="26"/>
      <c r="D772" s="26" t="s">
        <v>543</v>
      </c>
      <c r="E772" s="26" t="str">
        <f>IFERROR(VLOOKUP(G772,WholesaleExtract!B:J,9,FALSE),"")</f>
        <v/>
      </c>
      <c r="F772" s="26" t="str">
        <f>IFERROR(VLOOKUP(G772,WholesaleExtract!B:J,6,FALSE),"")</f>
        <v/>
      </c>
      <c r="G772" s="46"/>
      <c r="H772" s="47" t="str">
        <f>IFERROR(VLOOKUP(G772,WholesaleExtract!B:L,11,FALSE),"")</f>
        <v/>
      </c>
      <c r="I772" s="26" t="str">
        <f>IFERROR(VLOOKUP(G772,WholesaleExtract!B:O,8,FALSE),"")</f>
        <v/>
      </c>
      <c r="J772" s="26" t="str">
        <f>IFERROR(VLOOKUP(G772,WholesaleExtract!B:O,14,FALSE),"")</f>
        <v/>
      </c>
      <c r="K772" s="26" t="str">
        <f>IFERROR(VLOOKUP(G772,WholesaleExtract!B:K,10,FALSE),"")</f>
        <v/>
      </c>
      <c r="L772" s="47" t="str">
        <f>IFERROR(VLOOKUP(G772,WholesaleExtract!B:L,11,FALSE),"")</f>
        <v/>
      </c>
      <c r="M772" s="47" t="str">
        <f>IFERROR(VLOOKUP(G772,WholesaleExtract!B:M,12,FALSE),"")</f>
        <v/>
      </c>
      <c r="N772" s="27"/>
      <c r="O772" s="19"/>
      <c r="P772" s="19"/>
      <c r="Q772" s="47"/>
      <c r="R772" s="19"/>
      <c r="S772" s="19"/>
    </row>
    <row r="773" spans="1:19" x14ac:dyDescent="0.35">
      <c r="A773" s="26" t="s">
        <v>543</v>
      </c>
      <c r="B773" s="26" t="s">
        <v>543</v>
      </c>
      <c r="C773" s="26"/>
      <c r="D773" s="26" t="s">
        <v>543</v>
      </c>
      <c r="E773" s="26" t="str">
        <f>IFERROR(VLOOKUP(G773,WholesaleExtract!B:J,9,FALSE),"")</f>
        <v/>
      </c>
      <c r="F773" s="26" t="str">
        <f>IFERROR(VLOOKUP(G773,WholesaleExtract!B:J,6,FALSE),"")</f>
        <v/>
      </c>
      <c r="G773" s="46"/>
      <c r="H773" s="47" t="str">
        <f>IFERROR(VLOOKUP(G773,WholesaleExtract!B:L,11,FALSE),"")</f>
        <v/>
      </c>
      <c r="I773" s="26" t="str">
        <f>IFERROR(VLOOKUP(G773,WholesaleExtract!B:O,8,FALSE),"")</f>
        <v/>
      </c>
      <c r="J773" s="26" t="str">
        <f>IFERROR(VLOOKUP(G773,WholesaleExtract!B:O,14,FALSE),"")</f>
        <v/>
      </c>
      <c r="K773" s="26" t="str">
        <f>IFERROR(VLOOKUP(G773,WholesaleExtract!B:K,10,FALSE),"")</f>
        <v/>
      </c>
      <c r="L773" s="47" t="str">
        <f>IFERROR(VLOOKUP(G773,WholesaleExtract!B:L,11,FALSE),"")</f>
        <v/>
      </c>
      <c r="M773" s="47" t="str">
        <f>IFERROR(VLOOKUP(G773,WholesaleExtract!B:M,12,FALSE),"")</f>
        <v/>
      </c>
      <c r="N773" s="27"/>
      <c r="O773" s="19"/>
      <c r="P773" s="19"/>
      <c r="Q773" s="47"/>
      <c r="R773" s="19"/>
      <c r="S773" s="19"/>
    </row>
    <row r="774" spans="1:19" x14ac:dyDescent="0.35">
      <c r="A774" s="26" t="s">
        <v>543</v>
      </c>
      <c r="B774" s="26" t="s">
        <v>543</v>
      </c>
      <c r="C774" s="26"/>
      <c r="D774" s="26" t="s">
        <v>543</v>
      </c>
      <c r="E774" s="26" t="str">
        <f>IFERROR(VLOOKUP(G774,WholesaleExtract!B:J,9,FALSE),"")</f>
        <v/>
      </c>
      <c r="F774" s="26" t="str">
        <f>IFERROR(VLOOKUP(G774,WholesaleExtract!B:J,6,FALSE),"")</f>
        <v/>
      </c>
      <c r="G774" s="46"/>
      <c r="H774" s="47" t="str">
        <f>IFERROR(VLOOKUP(G774,WholesaleExtract!B:L,11,FALSE),"")</f>
        <v/>
      </c>
      <c r="I774" s="26" t="str">
        <f>IFERROR(VLOOKUP(G774,WholesaleExtract!B:O,8,FALSE),"")</f>
        <v/>
      </c>
      <c r="J774" s="26" t="str">
        <f>IFERROR(VLOOKUP(G774,WholesaleExtract!B:O,14,FALSE),"")</f>
        <v/>
      </c>
      <c r="K774" s="26" t="str">
        <f>IFERROR(VLOOKUP(G774,WholesaleExtract!B:K,10,FALSE),"")</f>
        <v/>
      </c>
      <c r="L774" s="47" t="str">
        <f>IFERROR(VLOOKUP(G774,WholesaleExtract!B:L,11,FALSE),"")</f>
        <v/>
      </c>
      <c r="M774" s="47" t="str">
        <f>IFERROR(VLOOKUP(G774,WholesaleExtract!B:M,12,FALSE),"")</f>
        <v/>
      </c>
      <c r="N774" s="27"/>
      <c r="O774" s="19"/>
      <c r="P774" s="19"/>
      <c r="Q774" s="47"/>
      <c r="R774" s="19"/>
      <c r="S774" s="19"/>
    </row>
    <row r="775" spans="1:19" x14ac:dyDescent="0.35">
      <c r="A775" s="26" t="s">
        <v>543</v>
      </c>
      <c r="B775" s="26" t="s">
        <v>543</v>
      </c>
      <c r="C775" s="26"/>
      <c r="D775" s="26" t="s">
        <v>543</v>
      </c>
      <c r="E775" s="26" t="str">
        <f>IFERROR(VLOOKUP(G775,WholesaleExtract!B:J,9,FALSE),"")</f>
        <v/>
      </c>
      <c r="F775" s="26" t="str">
        <f>IFERROR(VLOOKUP(G775,WholesaleExtract!B:J,6,FALSE),"")</f>
        <v/>
      </c>
      <c r="G775" s="46"/>
      <c r="H775" s="47" t="str">
        <f>IFERROR(VLOOKUP(G775,WholesaleExtract!B:L,11,FALSE),"")</f>
        <v/>
      </c>
      <c r="I775" s="26" t="str">
        <f>IFERROR(VLOOKUP(G775,WholesaleExtract!B:O,8,FALSE),"")</f>
        <v/>
      </c>
      <c r="J775" s="26" t="str">
        <f>IFERROR(VLOOKUP(G775,WholesaleExtract!B:O,14,FALSE),"")</f>
        <v/>
      </c>
      <c r="K775" s="26" t="str">
        <f>IFERROR(VLOOKUP(G775,WholesaleExtract!B:K,10,FALSE),"")</f>
        <v/>
      </c>
      <c r="L775" s="47" t="str">
        <f>IFERROR(VLOOKUP(G775,WholesaleExtract!B:L,11,FALSE),"")</f>
        <v/>
      </c>
      <c r="M775" s="47" t="str">
        <f>IFERROR(VLOOKUP(G775,WholesaleExtract!B:M,12,FALSE),"")</f>
        <v/>
      </c>
      <c r="N775" s="27"/>
      <c r="O775" s="19"/>
      <c r="P775" s="19"/>
      <c r="Q775" s="47"/>
      <c r="R775" s="19"/>
      <c r="S775" s="19"/>
    </row>
    <row r="776" spans="1:19" x14ac:dyDescent="0.35">
      <c r="A776" s="26" t="s">
        <v>543</v>
      </c>
      <c r="B776" s="26" t="s">
        <v>543</v>
      </c>
      <c r="C776" s="26"/>
      <c r="D776" s="26" t="s">
        <v>543</v>
      </c>
      <c r="E776" s="26" t="str">
        <f>IFERROR(VLOOKUP(G776,WholesaleExtract!B:J,9,FALSE),"")</f>
        <v/>
      </c>
      <c r="F776" s="26" t="str">
        <f>IFERROR(VLOOKUP(G776,WholesaleExtract!B:J,6,FALSE),"")</f>
        <v/>
      </c>
      <c r="G776" s="46"/>
      <c r="H776" s="47" t="str">
        <f>IFERROR(VLOOKUP(G776,WholesaleExtract!B:L,11,FALSE),"")</f>
        <v/>
      </c>
      <c r="I776" s="26" t="str">
        <f>IFERROR(VLOOKUP(G776,WholesaleExtract!B:O,8,FALSE),"")</f>
        <v/>
      </c>
      <c r="J776" s="26" t="str">
        <f>IFERROR(VLOOKUP(G776,WholesaleExtract!B:O,14,FALSE),"")</f>
        <v/>
      </c>
      <c r="K776" s="26" t="str">
        <f>IFERROR(VLOOKUP(G776,WholesaleExtract!B:K,10,FALSE),"")</f>
        <v/>
      </c>
      <c r="L776" s="47" t="str">
        <f>IFERROR(VLOOKUP(G776,WholesaleExtract!B:L,11,FALSE),"")</f>
        <v/>
      </c>
      <c r="M776" s="47" t="str">
        <f>IFERROR(VLOOKUP(G776,WholesaleExtract!B:M,12,FALSE),"")</f>
        <v/>
      </c>
      <c r="N776" s="27"/>
      <c r="O776" s="19"/>
      <c r="P776" s="19"/>
      <c r="Q776" s="47"/>
      <c r="R776" s="19"/>
      <c r="S776" s="19"/>
    </row>
    <row r="777" spans="1:19" x14ac:dyDescent="0.35">
      <c r="A777" s="26" t="s">
        <v>543</v>
      </c>
      <c r="B777" s="26" t="s">
        <v>543</v>
      </c>
      <c r="C777" s="26"/>
      <c r="D777" s="26" t="s">
        <v>543</v>
      </c>
      <c r="E777" s="26" t="str">
        <f>IFERROR(VLOOKUP(G777,WholesaleExtract!B:J,9,FALSE),"")</f>
        <v/>
      </c>
      <c r="F777" s="26" t="str">
        <f>IFERROR(VLOOKUP(G777,WholesaleExtract!B:J,6,FALSE),"")</f>
        <v/>
      </c>
      <c r="G777" s="46"/>
      <c r="H777" s="47" t="str">
        <f>IFERROR(VLOOKUP(G777,WholesaleExtract!B:L,11,FALSE),"")</f>
        <v/>
      </c>
      <c r="I777" s="26" t="str">
        <f>IFERROR(VLOOKUP(G777,WholesaleExtract!B:O,8,FALSE),"")</f>
        <v/>
      </c>
      <c r="J777" s="26" t="str">
        <f>IFERROR(VLOOKUP(G777,WholesaleExtract!B:O,14,FALSE),"")</f>
        <v/>
      </c>
      <c r="K777" s="26" t="str">
        <f>IFERROR(VLOOKUP(G777,WholesaleExtract!B:K,10,FALSE),"")</f>
        <v/>
      </c>
      <c r="L777" s="47" t="str">
        <f>IFERROR(VLOOKUP(G777,WholesaleExtract!B:L,11,FALSE),"")</f>
        <v/>
      </c>
      <c r="M777" s="47" t="str">
        <f>IFERROR(VLOOKUP(G777,WholesaleExtract!B:M,12,FALSE),"")</f>
        <v/>
      </c>
      <c r="N777" s="27"/>
      <c r="O777" s="19"/>
      <c r="P777" s="19"/>
      <c r="Q777" s="47"/>
      <c r="R777" s="19"/>
      <c r="S777" s="19"/>
    </row>
    <row r="778" spans="1:19" x14ac:dyDescent="0.35">
      <c r="A778" s="26" t="s">
        <v>543</v>
      </c>
      <c r="B778" s="26" t="s">
        <v>543</v>
      </c>
      <c r="C778" s="26"/>
      <c r="D778" s="26" t="s">
        <v>543</v>
      </c>
      <c r="E778" s="26" t="str">
        <f>IFERROR(VLOOKUP(G778,WholesaleExtract!B:J,9,FALSE),"")</f>
        <v/>
      </c>
      <c r="F778" s="26" t="str">
        <f>IFERROR(VLOOKUP(G778,WholesaleExtract!B:J,6,FALSE),"")</f>
        <v/>
      </c>
      <c r="G778" s="46"/>
      <c r="H778" s="47" t="str">
        <f>IFERROR(VLOOKUP(G778,WholesaleExtract!B:L,11,FALSE),"")</f>
        <v/>
      </c>
      <c r="I778" s="26" t="str">
        <f>IFERROR(VLOOKUP(G778,WholesaleExtract!B:O,8,FALSE),"")</f>
        <v/>
      </c>
      <c r="J778" s="26" t="str">
        <f>IFERROR(VLOOKUP(G778,WholesaleExtract!B:O,14,FALSE),"")</f>
        <v/>
      </c>
      <c r="K778" s="26" t="str">
        <f>IFERROR(VLOOKUP(G778,WholesaleExtract!B:K,10,FALSE),"")</f>
        <v/>
      </c>
      <c r="L778" s="47" t="str">
        <f>IFERROR(VLOOKUP(G778,WholesaleExtract!B:L,11,FALSE),"")</f>
        <v/>
      </c>
      <c r="M778" s="47" t="str">
        <f>IFERROR(VLOOKUP(G778,WholesaleExtract!B:M,12,FALSE),"")</f>
        <v/>
      </c>
      <c r="N778" s="27"/>
      <c r="O778" s="19"/>
      <c r="P778" s="19"/>
      <c r="Q778" s="47"/>
      <c r="R778" s="19"/>
      <c r="S778" s="19"/>
    </row>
    <row r="779" spans="1:19" x14ac:dyDescent="0.35">
      <c r="A779" s="26" t="s">
        <v>543</v>
      </c>
      <c r="B779" s="26" t="s">
        <v>543</v>
      </c>
      <c r="C779" s="26"/>
      <c r="D779" s="26" t="s">
        <v>543</v>
      </c>
      <c r="E779" s="26" t="str">
        <f>IFERROR(VLOOKUP(G779,WholesaleExtract!B:J,9,FALSE),"")</f>
        <v/>
      </c>
      <c r="F779" s="26" t="str">
        <f>IFERROR(VLOOKUP(G779,WholesaleExtract!B:J,6,FALSE),"")</f>
        <v/>
      </c>
      <c r="G779" s="46"/>
      <c r="H779" s="47" t="str">
        <f>IFERROR(VLOOKUP(G779,WholesaleExtract!B:L,11,FALSE),"")</f>
        <v/>
      </c>
      <c r="I779" s="26" t="str">
        <f>IFERROR(VLOOKUP(G779,WholesaleExtract!B:O,8,FALSE),"")</f>
        <v/>
      </c>
      <c r="J779" s="26" t="str">
        <f>IFERROR(VLOOKUP(G779,WholesaleExtract!B:O,14,FALSE),"")</f>
        <v/>
      </c>
      <c r="K779" s="26" t="str">
        <f>IFERROR(VLOOKUP(G779,WholesaleExtract!B:K,10,FALSE),"")</f>
        <v/>
      </c>
      <c r="L779" s="47" t="str">
        <f>IFERROR(VLOOKUP(G779,WholesaleExtract!B:L,11,FALSE),"")</f>
        <v/>
      </c>
      <c r="M779" s="47" t="str">
        <f>IFERROR(VLOOKUP(G779,WholesaleExtract!B:M,12,FALSE),"")</f>
        <v/>
      </c>
      <c r="N779" s="27"/>
      <c r="O779" s="19"/>
      <c r="P779" s="19"/>
      <c r="Q779" s="47"/>
      <c r="R779" s="19"/>
      <c r="S779" s="19"/>
    </row>
    <row r="780" spans="1:19" x14ac:dyDescent="0.35">
      <c r="A780" s="26" t="s">
        <v>543</v>
      </c>
      <c r="B780" s="26" t="s">
        <v>543</v>
      </c>
      <c r="C780" s="26"/>
      <c r="D780" s="26" t="s">
        <v>543</v>
      </c>
      <c r="E780" s="26" t="str">
        <f>IFERROR(VLOOKUP(G780,WholesaleExtract!B:J,9,FALSE),"")</f>
        <v/>
      </c>
      <c r="F780" s="26" t="str">
        <f>IFERROR(VLOOKUP(G780,WholesaleExtract!B:J,6,FALSE),"")</f>
        <v/>
      </c>
      <c r="G780" s="46"/>
      <c r="H780" s="47" t="str">
        <f>IFERROR(VLOOKUP(G780,WholesaleExtract!B:L,11,FALSE),"")</f>
        <v/>
      </c>
      <c r="I780" s="26" t="str">
        <f>IFERROR(VLOOKUP(G780,WholesaleExtract!B:O,8,FALSE),"")</f>
        <v/>
      </c>
      <c r="J780" s="26" t="str">
        <f>IFERROR(VLOOKUP(G780,WholesaleExtract!B:O,14,FALSE),"")</f>
        <v/>
      </c>
      <c r="K780" s="26" t="str">
        <f>IFERROR(VLOOKUP(G780,WholesaleExtract!B:K,10,FALSE),"")</f>
        <v/>
      </c>
      <c r="L780" s="47" t="str">
        <f>IFERROR(VLOOKUP(G780,WholesaleExtract!B:L,11,FALSE),"")</f>
        <v/>
      </c>
      <c r="M780" s="47" t="str">
        <f>IFERROR(VLOOKUP(G780,WholesaleExtract!B:M,12,FALSE),"")</f>
        <v/>
      </c>
      <c r="N780" s="27"/>
      <c r="O780" s="19"/>
      <c r="P780" s="19"/>
      <c r="Q780" s="47"/>
      <c r="R780" s="19"/>
      <c r="S780" s="19"/>
    </row>
    <row r="781" spans="1:19" x14ac:dyDescent="0.35">
      <c r="A781" s="26" t="s">
        <v>543</v>
      </c>
      <c r="B781" s="26" t="s">
        <v>543</v>
      </c>
      <c r="C781" s="26"/>
      <c r="D781" s="26" t="s">
        <v>543</v>
      </c>
      <c r="E781" s="26" t="str">
        <f>IFERROR(VLOOKUP(G781,WholesaleExtract!B:J,9,FALSE),"")</f>
        <v/>
      </c>
      <c r="F781" s="26" t="str">
        <f>IFERROR(VLOOKUP(G781,WholesaleExtract!B:J,6,FALSE),"")</f>
        <v/>
      </c>
      <c r="G781" s="46"/>
      <c r="H781" s="47" t="str">
        <f>IFERROR(VLOOKUP(G781,WholesaleExtract!B:L,11,FALSE),"")</f>
        <v/>
      </c>
      <c r="I781" s="26" t="str">
        <f>IFERROR(VLOOKUP(G781,WholesaleExtract!B:O,8,FALSE),"")</f>
        <v/>
      </c>
      <c r="J781" s="26" t="str">
        <f>IFERROR(VLOOKUP(G781,WholesaleExtract!B:O,14,FALSE),"")</f>
        <v/>
      </c>
      <c r="K781" s="26" t="str">
        <f>IFERROR(VLOOKUP(G781,WholesaleExtract!B:K,10,FALSE),"")</f>
        <v/>
      </c>
      <c r="L781" s="47" t="str">
        <f>IFERROR(VLOOKUP(G781,WholesaleExtract!B:L,11,FALSE),"")</f>
        <v/>
      </c>
      <c r="M781" s="47" t="str">
        <f>IFERROR(VLOOKUP(G781,WholesaleExtract!B:M,12,FALSE),"")</f>
        <v/>
      </c>
      <c r="N781" s="27"/>
      <c r="O781" s="19"/>
      <c r="P781" s="19"/>
      <c r="Q781" s="47"/>
      <c r="R781" s="19"/>
      <c r="S781" s="19"/>
    </row>
    <row r="782" spans="1:19" x14ac:dyDescent="0.35">
      <c r="A782" s="26" t="s">
        <v>543</v>
      </c>
      <c r="B782" s="26" t="s">
        <v>543</v>
      </c>
      <c r="C782" s="26"/>
      <c r="D782" s="26" t="s">
        <v>543</v>
      </c>
      <c r="E782" s="26" t="str">
        <f>IFERROR(VLOOKUP(G782,WholesaleExtract!B:J,9,FALSE),"")</f>
        <v/>
      </c>
      <c r="F782" s="26" t="str">
        <f>IFERROR(VLOOKUP(G782,WholesaleExtract!B:J,6,FALSE),"")</f>
        <v/>
      </c>
      <c r="G782" s="46"/>
      <c r="H782" s="47" t="str">
        <f>IFERROR(VLOOKUP(G782,WholesaleExtract!B:L,11,FALSE),"")</f>
        <v/>
      </c>
      <c r="I782" s="26" t="str">
        <f>IFERROR(VLOOKUP(G782,WholesaleExtract!B:O,8,FALSE),"")</f>
        <v/>
      </c>
      <c r="J782" s="26" t="str">
        <f>IFERROR(VLOOKUP(G782,WholesaleExtract!B:O,14,FALSE),"")</f>
        <v/>
      </c>
      <c r="K782" s="26" t="str">
        <f>IFERROR(VLOOKUP(G782,WholesaleExtract!B:K,10,FALSE),"")</f>
        <v/>
      </c>
      <c r="L782" s="47" t="str">
        <f>IFERROR(VLOOKUP(G782,WholesaleExtract!B:L,11,FALSE),"")</f>
        <v/>
      </c>
      <c r="M782" s="47" t="str">
        <f>IFERROR(VLOOKUP(G782,WholesaleExtract!B:M,12,FALSE),"")</f>
        <v/>
      </c>
      <c r="N782" s="27"/>
      <c r="O782" s="19"/>
      <c r="P782" s="19"/>
      <c r="Q782" s="47"/>
      <c r="R782" s="19"/>
      <c r="S782" s="19"/>
    </row>
    <row r="783" spans="1:19" x14ac:dyDescent="0.35">
      <c r="A783" s="26" t="s">
        <v>543</v>
      </c>
      <c r="B783" s="26" t="s">
        <v>543</v>
      </c>
      <c r="C783" s="26"/>
      <c r="D783" s="26" t="s">
        <v>543</v>
      </c>
      <c r="E783" s="26" t="str">
        <f>IFERROR(VLOOKUP(G783,WholesaleExtract!B:J,9,FALSE),"")</f>
        <v/>
      </c>
      <c r="F783" s="26" t="str">
        <f>IFERROR(VLOOKUP(G783,WholesaleExtract!B:J,6,FALSE),"")</f>
        <v/>
      </c>
      <c r="G783" s="46"/>
      <c r="H783" s="47" t="str">
        <f>IFERROR(VLOOKUP(G783,WholesaleExtract!B:L,11,FALSE),"")</f>
        <v/>
      </c>
      <c r="I783" s="26" t="str">
        <f>IFERROR(VLOOKUP(G783,WholesaleExtract!B:O,8,FALSE),"")</f>
        <v/>
      </c>
      <c r="J783" s="26" t="str">
        <f>IFERROR(VLOOKUP(G783,WholesaleExtract!B:O,14,FALSE),"")</f>
        <v/>
      </c>
      <c r="K783" s="26" t="str">
        <f>IFERROR(VLOOKUP(G783,WholesaleExtract!B:K,10,FALSE),"")</f>
        <v/>
      </c>
      <c r="L783" s="47" t="str">
        <f>IFERROR(VLOOKUP(G783,WholesaleExtract!B:L,11,FALSE),"")</f>
        <v/>
      </c>
      <c r="M783" s="47" t="str">
        <f>IFERROR(VLOOKUP(G783,WholesaleExtract!B:M,12,FALSE),"")</f>
        <v/>
      </c>
      <c r="N783" s="27"/>
      <c r="O783" s="19"/>
      <c r="P783" s="19"/>
      <c r="Q783" s="47"/>
      <c r="R783" s="19"/>
      <c r="S783" s="19"/>
    </row>
    <row r="784" spans="1:19" x14ac:dyDescent="0.35">
      <c r="A784" s="26" t="s">
        <v>543</v>
      </c>
      <c r="B784" s="26" t="s">
        <v>543</v>
      </c>
      <c r="C784" s="26"/>
      <c r="D784" s="26" t="s">
        <v>543</v>
      </c>
      <c r="E784" s="26" t="str">
        <f>IFERROR(VLOOKUP(G784,WholesaleExtract!B:J,9,FALSE),"")</f>
        <v/>
      </c>
      <c r="F784" s="26" t="str">
        <f>IFERROR(VLOOKUP(G784,WholesaleExtract!B:J,6,FALSE),"")</f>
        <v/>
      </c>
      <c r="G784" s="46"/>
      <c r="H784" s="47" t="str">
        <f>IFERROR(VLOOKUP(G784,WholesaleExtract!B:L,11,FALSE),"")</f>
        <v/>
      </c>
      <c r="I784" s="26" t="str">
        <f>IFERROR(VLOOKUP(G784,WholesaleExtract!B:O,8,FALSE),"")</f>
        <v/>
      </c>
      <c r="J784" s="26" t="str">
        <f>IFERROR(VLOOKUP(G784,WholesaleExtract!B:O,14,FALSE),"")</f>
        <v/>
      </c>
      <c r="K784" s="26" t="str">
        <f>IFERROR(VLOOKUP(G784,WholesaleExtract!B:K,10,FALSE),"")</f>
        <v/>
      </c>
      <c r="L784" s="47" t="str">
        <f>IFERROR(VLOOKUP(G784,WholesaleExtract!B:L,11,FALSE),"")</f>
        <v/>
      </c>
      <c r="M784" s="47" t="str">
        <f>IFERROR(VLOOKUP(G784,WholesaleExtract!B:M,12,FALSE),"")</f>
        <v/>
      </c>
      <c r="N784" s="27"/>
      <c r="O784" s="19"/>
      <c r="P784" s="19"/>
      <c r="Q784" s="47"/>
      <c r="R784" s="19"/>
      <c r="S784" s="19"/>
    </row>
    <row r="785" spans="1:19" x14ac:dyDescent="0.35">
      <c r="A785" s="26" t="s">
        <v>543</v>
      </c>
      <c r="B785" s="26" t="s">
        <v>543</v>
      </c>
      <c r="C785" s="26"/>
      <c r="D785" s="26" t="s">
        <v>543</v>
      </c>
      <c r="E785" s="26" t="str">
        <f>IFERROR(VLOOKUP(G785,WholesaleExtract!B:J,9,FALSE),"")</f>
        <v/>
      </c>
      <c r="F785" s="26" t="str">
        <f>IFERROR(VLOOKUP(G785,WholesaleExtract!B:J,6,FALSE),"")</f>
        <v/>
      </c>
      <c r="G785" s="46"/>
      <c r="H785" s="47" t="str">
        <f>IFERROR(VLOOKUP(G785,WholesaleExtract!B:L,11,FALSE),"")</f>
        <v/>
      </c>
      <c r="I785" s="26" t="str">
        <f>IFERROR(VLOOKUP(G785,WholesaleExtract!B:O,8,FALSE),"")</f>
        <v/>
      </c>
      <c r="J785" s="26" t="str">
        <f>IFERROR(VLOOKUP(G785,WholesaleExtract!B:O,14,FALSE),"")</f>
        <v/>
      </c>
      <c r="K785" s="26" t="str">
        <f>IFERROR(VLOOKUP(G785,WholesaleExtract!B:K,10,FALSE),"")</f>
        <v/>
      </c>
      <c r="L785" s="47" t="str">
        <f>IFERROR(VLOOKUP(G785,WholesaleExtract!B:L,11,FALSE),"")</f>
        <v/>
      </c>
      <c r="M785" s="47" t="str">
        <f>IFERROR(VLOOKUP(G785,WholesaleExtract!B:M,12,FALSE),"")</f>
        <v/>
      </c>
      <c r="N785" s="27"/>
      <c r="O785" s="19"/>
      <c r="P785" s="19"/>
      <c r="Q785" s="47"/>
      <c r="R785" s="19"/>
      <c r="S785" s="19"/>
    </row>
    <row r="786" spans="1:19" x14ac:dyDescent="0.35">
      <c r="A786" s="26" t="s">
        <v>543</v>
      </c>
      <c r="B786" s="26" t="s">
        <v>543</v>
      </c>
      <c r="C786" s="26"/>
      <c r="D786" s="26" t="s">
        <v>543</v>
      </c>
      <c r="E786" s="26" t="str">
        <f>IFERROR(VLOOKUP(G786,WholesaleExtract!B:J,9,FALSE),"")</f>
        <v/>
      </c>
      <c r="F786" s="26" t="str">
        <f>IFERROR(VLOOKUP(G786,WholesaleExtract!B:J,6,FALSE),"")</f>
        <v/>
      </c>
      <c r="G786" s="46"/>
      <c r="H786" s="47" t="str">
        <f>IFERROR(VLOOKUP(G786,WholesaleExtract!B:L,11,FALSE),"")</f>
        <v/>
      </c>
      <c r="I786" s="26" t="str">
        <f>IFERROR(VLOOKUP(G786,WholesaleExtract!B:O,8,FALSE),"")</f>
        <v/>
      </c>
      <c r="J786" s="26" t="str">
        <f>IFERROR(VLOOKUP(G786,WholesaleExtract!B:O,14,FALSE),"")</f>
        <v/>
      </c>
      <c r="K786" s="26" t="str">
        <f>IFERROR(VLOOKUP(G786,WholesaleExtract!B:K,10,FALSE),"")</f>
        <v/>
      </c>
      <c r="L786" s="47" t="str">
        <f>IFERROR(VLOOKUP(G786,WholesaleExtract!B:L,11,FALSE),"")</f>
        <v/>
      </c>
      <c r="M786" s="47" t="str">
        <f>IFERROR(VLOOKUP(G786,WholesaleExtract!B:M,12,FALSE),"")</f>
        <v/>
      </c>
      <c r="N786" s="27"/>
      <c r="O786" s="19"/>
      <c r="P786" s="19"/>
      <c r="Q786" s="47"/>
      <c r="R786" s="19"/>
      <c r="S786" s="19"/>
    </row>
    <row r="787" spans="1:19" x14ac:dyDescent="0.35">
      <c r="A787" s="26" t="s">
        <v>543</v>
      </c>
      <c r="B787" s="26" t="s">
        <v>543</v>
      </c>
      <c r="C787" s="26"/>
      <c r="D787" s="26" t="s">
        <v>543</v>
      </c>
      <c r="E787" s="26" t="str">
        <f>IFERROR(VLOOKUP(G787,WholesaleExtract!B:J,9,FALSE),"")</f>
        <v/>
      </c>
      <c r="F787" s="26" t="str">
        <f>IFERROR(VLOOKUP(G787,WholesaleExtract!B:J,6,FALSE),"")</f>
        <v/>
      </c>
      <c r="G787" s="46"/>
      <c r="H787" s="47" t="str">
        <f>IFERROR(VLOOKUP(G787,WholesaleExtract!B:L,11,FALSE),"")</f>
        <v/>
      </c>
      <c r="I787" s="26" t="str">
        <f>IFERROR(VLOOKUP(G787,WholesaleExtract!B:O,8,FALSE),"")</f>
        <v/>
      </c>
      <c r="J787" s="26" t="str">
        <f>IFERROR(VLOOKUP(G787,WholesaleExtract!B:O,14,FALSE),"")</f>
        <v/>
      </c>
      <c r="K787" s="26" t="str">
        <f>IFERROR(VLOOKUP(G787,WholesaleExtract!B:K,10,FALSE),"")</f>
        <v/>
      </c>
      <c r="L787" s="47" t="str">
        <f>IFERROR(VLOOKUP(G787,WholesaleExtract!B:L,11,FALSE),"")</f>
        <v/>
      </c>
      <c r="M787" s="47" t="str">
        <f>IFERROR(VLOOKUP(G787,WholesaleExtract!B:M,12,FALSE),"")</f>
        <v/>
      </c>
      <c r="N787" s="27"/>
      <c r="O787" s="19"/>
      <c r="P787" s="19"/>
      <c r="Q787" s="47"/>
      <c r="R787" s="19"/>
      <c r="S787" s="19"/>
    </row>
    <row r="788" spans="1:19" x14ac:dyDescent="0.35">
      <c r="A788" s="26" t="s">
        <v>543</v>
      </c>
      <c r="B788" s="26" t="s">
        <v>543</v>
      </c>
      <c r="C788" s="26"/>
      <c r="D788" s="26" t="s">
        <v>543</v>
      </c>
      <c r="E788" s="26" t="str">
        <f>IFERROR(VLOOKUP(G788,WholesaleExtract!B:J,9,FALSE),"")</f>
        <v/>
      </c>
      <c r="F788" s="26" t="str">
        <f>IFERROR(VLOOKUP(G788,WholesaleExtract!B:J,6,FALSE),"")</f>
        <v/>
      </c>
      <c r="G788" s="46"/>
      <c r="H788" s="47" t="str">
        <f>IFERROR(VLOOKUP(G788,WholesaleExtract!B:L,11,FALSE),"")</f>
        <v/>
      </c>
      <c r="I788" s="26" t="str">
        <f>IFERROR(VLOOKUP(G788,WholesaleExtract!B:O,8,FALSE),"")</f>
        <v/>
      </c>
      <c r="J788" s="26" t="str">
        <f>IFERROR(VLOOKUP(G788,WholesaleExtract!B:O,14,FALSE),"")</f>
        <v/>
      </c>
      <c r="K788" s="26" t="str">
        <f>IFERROR(VLOOKUP(G788,WholesaleExtract!B:K,10,FALSE),"")</f>
        <v/>
      </c>
      <c r="L788" s="47" t="str">
        <f>IFERROR(VLOOKUP(G788,WholesaleExtract!B:L,11,FALSE),"")</f>
        <v/>
      </c>
      <c r="M788" s="47" t="str">
        <f>IFERROR(VLOOKUP(G788,WholesaleExtract!B:M,12,FALSE),"")</f>
        <v/>
      </c>
      <c r="N788" s="27"/>
      <c r="O788" s="19"/>
      <c r="P788" s="19"/>
      <c r="Q788" s="47"/>
      <c r="R788" s="19"/>
      <c r="S788" s="19"/>
    </row>
    <row r="789" spans="1:19" x14ac:dyDescent="0.35">
      <c r="A789" s="26" t="s">
        <v>543</v>
      </c>
      <c r="B789" s="26" t="s">
        <v>543</v>
      </c>
      <c r="C789" s="26"/>
      <c r="D789" s="26" t="s">
        <v>543</v>
      </c>
      <c r="E789" s="26" t="str">
        <f>IFERROR(VLOOKUP(G789,WholesaleExtract!B:J,9,FALSE),"")</f>
        <v/>
      </c>
      <c r="F789" s="26" t="str">
        <f>IFERROR(VLOOKUP(G789,WholesaleExtract!B:J,6,FALSE),"")</f>
        <v/>
      </c>
      <c r="G789" s="46"/>
      <c r="H789" s="47" t="str">
        <f>IFERROR(VLOOKUP(G789,WholesaleExtract!B:L,11,FALSE),"")</f>
        <v/>
      </c>
      <c r="I789" s="26" t="str">
        <f>IFERROR(VLOOKUP(G789,WholesaleExtract!B:O,8,FALSE),"")</f>
        <v/>
      </c>
      <c r="J789" s="26" t="str">
        <f>IFERROR(VLOOKUP(G789,WholesaleExtract!B:O,14,FALSE),"")</f>
        <v/>
      </c>
      <c r="K789" s="26" t="str">
        <f>IFERROR(VLOOKUP(G789,WholesaleExtract!B:K,10,FALSE),"")</f>
        <v/>
      </c>
      <c r="L789" s="47" t="str">
        <f>IFERROR(VLOOKUP(G789,WholesaleExtract!B:L,11,FALSE),"")</f>
        <v/>
      </c>
      <c r="M789" s="47" t="str">
        <f>IFERROR(VLOOKUP(G789,WholesaleExtract!B:M,12,FALSE),"")</f>
        <v/>
      </c>
      <c r="N789" s="27"/>
      <c r="O789" s="19"/>
      <c r="P789" s="19"/>
      <c r="Q789" s="47"/>
      <c r="R789" s="19"/>
      <c r="S789" s="19"/>
    </row>
    <row r="790" spans="1:19" x14ac:dyDescent="0.35">
      <c r="A790" s="26" t="s">
        <v>543</v>
      </c>
      <c r="B790" s="26" t="s">
        <v>543</v>
      </c>
      <c r="C790" s="26"/>
      <c r="D790" s="26" t="s">
        <v>543</v>
      </c>
      <c r="E790" s="26" t="str">
        <f>IFERROR(VLOOKUP(G790,WholesaleExtract!B:J,9,FALSE),"")</f>
        <v/>
      </c>
      <c r="F790" s="26" t="str">
        <f>IFERROR(VLOOKUP(G790,WholesaleExtract!B:J,6,FALSE),"")</f>
        <v/>
      </c>
      <c r="G790" s="46"/>
      <c r="H790" s="47" t="str">
        <f>IFERROR(VLOOKUP(G790,WholesaleExtract!B:L,11,FALSE),"")</f>
        <v/>
      </c>
      <c r="I790" s="26" t="str">
        <f>IFERROR(VLOOKUP(G790,WholesaleExtract!B:O,8,FALSE),"")</f>
        <v/>
      </c>
      <c r="J790" s="26" t="str">
        <f>IFERROR(VLOOKUP(G790,WholesaleExtract!B:O,14,FALSE),"")</f>
        <v/>
      </c>
      <c r="K790" s="26" t="str">
        <f>IFERROR(VLOOKUP(G790,WholesaleExtract!B:K,10,FALSE),"")</f>
        <v/>
      </c>
      <c r="L790" s="47" t="str">
        <f>IFERROR(VLOOKUP(G790,WholesaleExtract!B:L,11,FALSE),"")</f>
        <v/>
      </c>
      <c r="M790" s="47" t="str">
        <f>IFERROR(VLOOKUP(G790,WholesaleExtract!B:M,12,FALSE),"")</f>
        <v/>
      </c>
      <c r="N790" s="27"/>
      <c r="O790" s="19"/>
      <c r="P790" s="19"/>
      <c r="Q790" s="47"/>
      <c r="R790" s="19"/>
      <c r="S790" s="19"/>
    </row>
    <row r="791" spans="1:19" x14ac:dyDescent="0.35">
      <c r="A791" s="26" t="s">
        <v>543</v>
      </c>
      <c r="B791" s="26" t="s">
        <v>543</v>
      </c>
      <c r="C791" s="26"/>
      <c r="D791" s="26" t="s">
        <v>543</v>
      </c>
      <c r="E791" s="26" t="str">
        <f>IFERROR(VLOOKUP(G791,WholesaleExtract!B:J,9,FALSE),"")</f>
        <v/>
      </c>
      <c r="F791" s="26" t="str">
        <f>IFERROR(VLOOKUP(G791,WholesaleExtract!B:J,6,FALSE),"")</f>
        <v/>
      </c>
      <c r="G791" s="46"/>
      <c r="H791" s="47" t="str">
        <f>IFERROR(VLOOKUP(G791,WholesaleExtract!B:L,11,FALSE),"")</f>
        <v/>
      </c>
      <c r="I791" s="26" t="str">
        <f>IFERROR(VLOOKUP(G791,WholesaleExtract!B:O,8,FALSE),"")</f>
        <v/>
      </c>
      <c r="J791" s="26" t="str">
        <f>IFERROR(VLOOKUP(G791,WholesaleExtract!B:O,14,FALSE),"")</f>
        <v/>
      </c>
      <c r="K791" s="26" t="str">
        <f>IFERROR(VLOOKUP(G791,WholesaleExtract!B:K,10,FALSE),"")</f>
        <v/>
      </c>
      <c r="L791" s="47" t="str">
        <f>IFERROR(VLOOKUP(G791,WholesaleExtract!B:L,11,FALSE),"")</f>
        <v/>
      </c>
      <c r="M791" s="47" t="str">
        <f>IFERROR(VLOOKUP(G791,WholesaleExtract!B:M,12,FALSE),"")</f>
        <v/>
      </c>
      <c r="N791" s="27"/>
      <c r="O791" s="19"/>
      <c r="P791" s="19"/>
      <c r="Q791" s="47"/>
      <c r="R791" s="19"/>
      <c r="S791" s="19"/>
    </row>
    <row r="792" spans="1:19" x14ac:dyDescent="0.35">
      <c r="A792" s="26" t="s">
        <v>543</v>
      </c>
      <c r="B792" s="26" t="s">
        <v>543</v>
      </c>
      <c r="C792" s="26"/>
      <c r="D792" s="26" t="s">
        <v>543</v>
      </c>
      <c r="E792" s="26" t="str">
        <f>IFERROR(VLOOKUP(G792,WholesaleExtract!B:J,9,FALSE),"")</f>
        <v/>
      </c>
      <c r="F792" s="26" t="str">
        <f>IFERROR(VLOOKUP(G792,WholesaleExtract!B:J,6,FALSE),"")</f>
        <v/>
      </c>
      <c r="G792" s="46"/>
      <c r="H792" s="47" t="str">
        <f>IFERROR(VLOOKUP(G792,WholesaleExtract!B:L,11,FALSE),"")</f>
        <v/>
      </c>
      <c r="I792" s="26" t="str">
        <f>IFERROR(VLOOKUP(G792,WholesaleExtract!B:O,8,FALSE),"")</f>
        <v/>
      </c>
      <c r="J792" s="26" t="str">
        <f>IFERROR(VLOOKUP(G792,WholesaleExtract!B:O,14,FALSE),"")</f>
        <v/>
      </c>
      <c r="K792" s="26" t="str">
        <f>IFERROR(VLOOKUP(G792,WholesaleExtract!B:K,10,FALSE),"")</f>
        <v/>
      </c>
      <c r="L792" s="47" t="str">
        <f>IFERROR(VLOOKUP(G792,WholesaleExtract!B:L,11,FALSE),"")</f>
        <v/>
      </c>
      <c r="M792" s="47" t="str">
        <f>IFERROR(VLOOKUP(G792,WholesaleExtract!B:M,12,FALSE),"")</f>
        <v/>
      </c>
      <c r="N792" s="27"/>
      <c r="O792" s="19"/>
      <c r="P792" s="19"/>
      <c r="Q792" s="47"/>
      <c r="R792" s="19"/>
      <c r="S792" s="19"/>
    </row>
    <row r="793" spans="1:19" x14ac:dyDescent="0.35">
      <c r="A793" s="26" t="s">
        <v>543</v>
      </c>
      <c r="B793" s="26" t="s">
        <v>543</v>
      </c>
      <c r="C793" s="26"/>
      <c r="D793" s="26" t="s">
        <v>543</v>
      </c>
      <c r="E793" s="26" t="str">
        <f>IFERROR(VLOOKUP(G793,WholesaleExtract!B:J,9,FALSE),"")</f>
        <v/>
      </c>
      <c r="F793" s="26" t="str">
        <f>IFERROR(VLOOKUP(G793,WholesaleExtract!B:J,6,FALSE),"")</f>
        <v/>
      </c>
      <c r="G793" s="46"/>
      <c r="H793" s="47" t="str">
        <f>IFERROR(VLOOKUP(G793,WholesaleExtract!B:L,11,FALSE),"")</f>
        <v/>
      </c>
      <c r="I793" s="26" t="str">
        <f>IFERROR(VLOOKUP(G793,WholesaleExtract!B:O,8,FALSE),"")</f>
        <v/>
      </c>
      <c r="J793" s="26" t="str">
        <f>IFERROR(VLOOKUP(G793,WholesaleExtract!B:O,14,FALSE),"")</f>
        <v/>
      </c>
      <c r="K793" s="26" t="str">
        <f>IFERROR(VLOOKUP(G793,WholesaleExtract!B:K,10,FALSE),"")</f>
        <v/>
      </c>
      <c r="L793" s="47" t="str">
        <f>IFERROR(VLOOKUP(G793,WholesaleExtract!B:L,11,FALSE),"")</f>
        <v/>
      </c>
      <c r="M793" s="47" t="str">
        <f>IFERROR(VLOOKUP(G793,WholesaleExtract!B:M,12,FALSE),"")</f>
        <v/>
      </c>
      <c r="N793" s="27"/>
      <c r="O793" s="19"/>
      <c r="P793" s="19"/>
      <c r="Q793" s="47"/>
      <c r="R793" s="19"/>
      <c r="S793" s="19"/>
    </row>
    <row r="794" spans="1:19" x14ac:dyDescent="0.35">
      <c r="A794" s="26" t="s">
        <v>543</v>
      </c>
      <c r="B794" s="26" t="s">
        <v>543</v>
      </c>
      <c r="C794" s="26"/>
      <c r="D794" s="26" t="s">
        <v>543</v>
      </c>
      <c r="E794" s="26" t="str">
        <f>IFERROR(VLOOKUP(G794,WholesaleExtract!B:J,9,FALSE),"")</f>
        <v/>
      </c>
      <c r="F794" s="26" t="str">
        <f>IFERROR(VLOOKUP(G794,WholesaleExtract!B:J,6,FALSE),"")</f>
        <v/>
      </c>
      <c r="G794" s="46"/>
      <c r="H794" s="47" t="str">
        <f>IFERROR(VLOOKUP(G794,WholesaleExtract!B:L,11,FALSE),"")</f>
        <v/>
      </c>
      <c r="I794" s="26" t="str">
        <f>IFERROR(VLOOKUP(G794,WholesaleExtract!B:O,8,FALSE),"")</f>
        <v/>
      </c>
      <c r="J794" s="26" t="str">
        <f>IFERROR(VLOOKUP(G794,WholesaleExtract!B:O,14,FALSE),"")</f>
        <v/>
      </c>
      <c r="K794" s="26" t="str">
        <f>IFERROR(VLOOKUP(G794,WholesaleExtract!B:K,10,FALSE),"")</f>
        <v/>
      </c>
      <c r="L794" s="47" t="str">
        <f>IFERROR(VLOOKUP(G794,WholesaleExtract!B:L,11,FALSE),"")</f>
        <v/>
      </c>
      <c r="M794" s="47" t="str">
        <f>IFERROR(VLOOKUP(G794,WholesaleExtract!B:M,12,FALSE),"")</f>
        <v/>
      </c>
      <c r="N794" s="27"/>
      <c r="O794" s="19"/>
      <c r="P794" s="19"/>
      <c r="Q794" s="47"/>
      <c r="R794" s="19"/>
      <c r="S794" s="19"/>
    </row>
    <row r="795" spans="1:19" x14ac:dyDescent="0.35">
      <c r="A795" s="26" t="s">
        <v>543</v>
      </c>
      <c r="B795" s="26" t="s">
        <v>543</v>
      </c>
      <c r="C795" s="26"/>
      <c r="D795" s="26" t="s">
        <v>543</v>
      </c>
      <c r="E795" s="26" t="str">
        <f>IFERROR(VLOOKUP(G795,WholesaleExtract!B:J,9,FALSE),"")</f>
        <v/>
      </c>
      <c r="F795" s="26" t="str">
        <f>IFERROR(VLOOKUP(G795,WholesaleExtract!B:J,6,FALSE),"")</f>
        <v/>
      </c>
      <c r="G795" s="46"/>
      <c r="H795" s="47" t="str">
        <f>IFERROR(VLOOKUP(G795,WholesaleExtract!B:L,11,FALSE),"")</f>
        <v/>
      </c>
      <c r="I795" s="26" t="str">
        <f>IFERROR(VLOOKUP(G795,WholesaleExtract!B:O,8,FALSE),"")</f>
        <v/>
      </c>
      <c r="J795" s="26" t="str">
        <f>IFERROR(VLOOKUP(G795,WholesaleExtract!B:O,14,FALSE),"")</f>
        <v/>
      </c>
      <c r="K795" s="26" t="str">
        <f>IFERROR(VLOOKUP(G795,WholesaleExtract!B:K,10,FALSE),"")</f>
        <v/>
      </c>
      <c r="L795" s="47" t="str">
        <f>IFERROR(VLOOKUP(G795,WholesaleExtract!B:L,11,FALSE),"")</f>
        <v/>
      </c>
      <c r="M795" s="47" t="str">
        <f>IFERROR(VLOOKUP(G795,WholesaleExtract!B:M,12,FALSE),"")</f>
        <v/>
      </c>
      <c r="N795" s="27"/>
      <c r="O795" s="19"/>
      <c r="P795" s="19"/>
      <c r="Q795" s="47"/>
      <c r="R795" s="19"/>
      <c r="S795" s="19"/>
    </row>
    <row r="796" spans="1:19" x14ac:dyDescent="0.35">
      <c r="A796" s="26" t="s">
        <v>543</v>
      </c>
      <c r="B796" s="26" t="s">
        <v>543</v>
      </c>
      <c r="C796" s="26"/>
      <c r="D796" s="26" t="s">
        <v>543</v>
      </c>
      <c r="E796" s="26" t="str">
        <f>IFERROR(VLOOKUP(G796,WholesaleExtract!B:J,9,FALSE),"")</f>
        <v/>
      </c>
      <c r="F796" s="26" t="str">
        <f>IFERROR(VLOOKUP(G796,WholesaleExtract!B:J,6,FALSE),"")</f>
        <v/>
      </c>
      <c r="G796" s="46"/>
      <c r="H796" s="47" t="str">
        <f>IFERROR(VLOOKUP(G796,WholesaleExtract!B:L,11,FALSE),"")</f>
        <v/>
      </c>
      <c r="I796" s="26" t="str">
        <f>IFERROR(VLOOKUP(G796,WholesaleExtract!B:O,8,FALSE),"")</f>
        <v/>
      </c>
      <c r="J796" s="26" t="str">
        <f>IFERROR(VLOOKUP(G796,WholesaleExtract!B:O,14,FALSE),"")</f>
        <v/>
      </c>
      <c r="K796" s="26" t="str">
        <f>IFERROR(VLOOKUP(G796,WholesaleExtract!B:K,10,FALSE),"")</f>
        <v/>
      </c>
      <c r="L796" s="47" t="str">
        <f>IFERROR(VLOOKUP(G796,WholesaleExtract!B:L,11,FALSE),"")</f>
        <v/>
      </c>
      <c r="M796" s="47" t="str">
        <f>IFERROR(VLOOKUP(G796,WholesaleExtract!B:M,12,FALSE),"")</f>
        <v/>
      </c>
      <c r="N796" s="27"/>
      <c r="O796" s="19"/>
      <c r="P796" s="19"/>
      <c r="Q796" s="47"/>
      <c r="R796" s="19"/>
      <c r="S796" s="19"/>
    </row>
    <row r="797" spans="1:19" x14ac:dyDescent="0.35">
      <c r="A797" s="26" t="s">
        <v>543</v>
      </c>
      <c r="B797" s="26" t="s">
        <v>543</v>
      </c>
      <c r="C797" s="26"/>
      <c r="D797" s="26" t="s">
        <v>543</v>
      </c>
      <c r="E797" s="26" t="str">
        <f>IFERROR(VLOOKUP(G797,WholesaleExtract!B:J,9,FALSE),"")</f>
        <v/>
      </c>
      <c r="F797" s="26" t="str">
        <f>IFERROR(VLOOKUP(G797,WholesaleExtract!B:J,6,FALSE),"")</f>
        <v/>
      </c>
      <c r="G797" s="46"/>
      <c r="H797" s="47" t="str">
        <f>IFERROR(VLOOKUP(G797,WholesaleExtract!B:L,11,FALSE),"")</f>
        <v/>
      </c>
      <c r="I797" s="26" t="str">
        <f>IFERROR(VLOOKUP(G797,WholesaleExtract!B:O,8,FALSE),"")</f>
        <v/>
      </c>
      <c r="J797" s="26" t="str">
        <f>IFERROR(VLOOKUP(G797,WholesaleExtract!B:O,14,FALSE),"")</f>
        <v/>
      </c>
      <c r="K797" s="26" t="str">
        <f>IFERROR(VLOOKUP(G797,WholesaleExtract!B:K,10,FALSE),"")</f>
        <v/>
      </c>
      <c r="L797" s="47" t="str">
        <f>IFERROR(VLOOKUP(G797,WholesaleExtract!B:L,11,FALSE),"")</f>
        <v/>
      </c>
      <c r="M797" s="47" t="str">
        <f>IFERROR(VLOOKUP(G797,WholesaleExtract!B:M,12,FALSE),"")</f>
        <v/>
      </c>
      <c r="N797" s="27"/>
      <c r="O797" s="19"/>
      <c r="P797" s="19"/>
      <c r="Q797" s="47"/>
      <c r="R797" s="19"/>
      <c r="S797" s="19"/>
    </row>
    <row r="798" spans="1:19" x14ac:dyDescent="0.35">
      <c r="A798" s="26" t="s">
        <v>543</v>
      </c>
      <c r="B798" s="26" t="s">
        <v>543</v>
      </c>
      <c r="C798" s="26"/>
      <c r="D798" s="26" t="s">
        <v>543</v>
      </c>
      <c r="E798" s="26" t="str">
        <f>IFERROR(VLOOKUP(G798,WholesaleExtract!B:J,9,FALSE),"")</f>
        <v/>
      </c>
      <c r="F798" s="26" t="str">
        <f>IFERROR(VLOOKUP(G798,WholesaleExtract!B:J,6,FALSE),"")</f>
        <v/>
      </c>
      <c r="G798" s="46"/>
      <c r="H798" s="47" t="str">
        <f>IFERROR(VLOOKUP(G798,WholesaleExtract!B:L,11,FALSE),"")</f>
        <v/>
      </c>
      <c r="I798" s="26" t="str">
        <f>IFERROR(VLOOKUP(G798,WholesaleExtract!B:O,8,FALSE),"")</f>
        <v/>
      </c>
      <c r="J798" s="26" t="str">
        <f>IFERROR(VLOOKUP(G798,WholesaleExtract!B:O,14,FALSE),"")</f>
        <v/>
      </c>
      <c r="K798" s="26" t="str">
        <f>IFERROR(VLOOKUP(G798,WholesaleExtract!B:K,10,FALSE),"")</f>
        <v/>
      </c>
      <c r="L798" s="47" t="str">
        <f>IFERROR(VLOOKUP(G798,WholesaleExtract!B:L,11,FALSE),"")</f>
        <v/>
      </c>
      <c r="M798" s="47" t="str">
        <f>IFERROR(VLOOKUP(G798,WholesaleExtract!B:M,12,FALSE),"")</f>
        <v/>
      </c>
      <c r="N798" s="27"/>
      <c r="O798" s="19"/>
      <c r="P798" s="19"/>
      <c r="Q798" s="47"/>
      <c r="R798" s="19"/>
      <c r="S798" s="19"/>
    </row>
    <row r="799" spans="1:19" x14ac:dyDescent="0.35">
      <c r="A799" s="26" t="s">
        <v>543</v>
      </c>
      <c r="B799" s="26" t="s">
        <v>543</v>
      </c>
      <c r="C799" s="26"/>
      <c r="D799" s="26" t="s">
        <v>543</v>
      </c>
      <c r="E799" s="26" t="str">
        <f>IFERROR(VLOOKUP(G799,WholesaleExtract!B:J,9,FALSE),"")</f>
        <v/>
      </c>
      <c r="F799" s="26" t="str">
        <f>IFERROR(VLOOKUP(G799,WholesaleExtract!B:J,6,FALSE),"")</f>
        <v/>
      </c>
      <c r="G799" s="46"/>
      <c r="H799" s="47" t="str">
        <f>IFERROR(VLOOKUP(G799,WholesaleExtract!B:L,11,FALSE),"")</f>
        <v/>
      </c>
      <c r="I799" s="26" t="str">
        <f>IFERROR(VLOOKUP(G799,WholesaleExtract!B:O,8,FALSE),"")</f>
        <v/>
      </c>
      <c r="J799" s="26" t="str">
        <f>IFERROR(VLOOKUP(G799,WholesaleExtract!B:O,14,FALSE),"")</f>
        <v/>
      </c>
      <c r="K799" s="26" t="str">
        <f>IFERROR(VLOOKUP(G799,WholesaleExtract!B:K,10,FALSE),"")</f>
        <v/>
      </c>
      <c r="L799" s="47" t="str">
        <f>IFERROR(VLOOKUP(G799,WholesaleExtract!B:L,11,FALSE),"")</f>
        <v/>
      </c>
      <c r="M799" s="47" t="str">
        <f>IFERROR(VLOOKUP(G799,WholesaleExtract!B:M,12,FALSE),"")</f>
        <v/>
      </c>
      <c r="N799" s="27"/>
      <c r="O799" s="19"/>
      <c r="P799" s="19"/>
      <c r="Q799" s="47"/>
      <c r="R799" s="19"/>
      <c r="S799" s="19"/>
    </row>
    <row r="800" spans="1:19" x14ac:dyDescent="0.35">
      <c r="A800" s="26" t="s">
        <v>543</v>
      </c>
      <c r="B800" s="26" t="s">
        <v>543</v>
      </c>
      <c r="C800" s="26"/>
      <c r="D800" s="26" t="s">
        <v>543</v>
      </c>
      <c r="E800" s="26" t="str">
        <f>IFERROR(VLOOKUP(G800,WholesaleExtract!B:J,9,FALSE),"")</f>
        <v/>
      </c>
      <c r="F800" s="26" t="str">
        <f>IFERROR(VLOOKUP(G800,WholesaleExtract!B:J,6,FALSE),"")</f>
        <v/>
      </c>
      <c r="G800" s="46"/>
      <c r="H800" s="47" t="str">
        <f>IFERROR(VLOOKUP(G800,WholesaleExtract!B:L,11,FALSE),"")</f>
        <v/>
      </c>
      <c r="I800" s="26" t="str">
        <f>IFERROR(VLOOKUP(G800,WholesaleExtract!B:O,8,FALSE),"")</f>
        <v/>
      </c>
      <c r="J800" s="26" t="str">
        <f>IFERROR(VLOOKUP(G800,WholesaleExtract!B:O,14,FALSE),"")</f>
        <v/>
      </c>
      <c r="K800" s="26" t="str">
        <f>IFERROR(VLOOKUP(G800,WholesaleExtract!B:K,10,FALSE),"")</f>
        <v/>
      </c>
      <c r="L800" s="47" t="str">
        <f>IFERROR(VLOOKUP(G800,WholesaleExtract!B:L,11,FALSE),"")</f>
        <v/>
      </c>
      <c r="M800" s="47" t="str">
        <f>IFERROR(VLOOKUP(G800,WholesaleExtract!B:M,12,FALSE),"")</f>
        <v/>
      </c>
      <c r="N800" s="27"/>
      <c r="O800" s="19"/>
      <c r="P800" s="19"/>
      <c r="Q800" s="47"/>
      <c r="R800" s="19"/>
      <c r="S800" s="19"/>
    </row>
    <row r="801" spans="1:19" x14ac:dyDescent="0.35">
      <c r="A801" s="26" t="s">
        <v>543</v>
      </c>
      <c r="B801" s="26" t="s">
        <v>543</v>
      </c>
      <c r="C801" s="26"/>
      <c r="D801" s="26" t="s">
        <v>543</v>
      </c>
      <c r="E801" s="26" t="str">
        <f>IFERROR(VLOOKUP(G801,WholesaleExtract!B:J,9,FALSE),"")</f>
        <v/>
      </c>
      <c r="F801" s="26" t="str">
        <f>IFERROR(VLOOKUP(G801,WholesaleExtract!B:J,6,FALSE),"")</f>
        <v/>
      </c>
      <c r="G801" s="46"/>
      <c r="H801" s="47" t="str">
        <f>IFERROR(VLOOKUP(G801,WholesaleExtract!B:L,11,FALSE),"")</f>
        <v/>
      </c>
      <c r="I801" s="26" t="str">
        <f>IFERROR(VLOOKUP(G801,WholesaleExtract!B:O,8,FALSE),"")</f>
        <v/>
      </c>
      <c r="J801" s="26" t="str">
        <f>IFERROR(VLOOKUP(G801,WholesaleExtract!B:O,14,FALSE),"")</f>
        <v/>
      </c>
      <c r="K801" s="26" t="str">
        <f>IFERROR(VLOOKUP(G801,WholesaleExtract!B:K,10,FALSE),"")</f>
        <v/>
      </c>
      <c r="L801" s="47" t="str">
        <f>IFERROR(VLOOKUP(G801,WholesaleExtract!B:L,11,FALSE),"")</f>
        <v/>
      </c>
      <c r="M801" s="47" t="str">
        <f>IFERROR(VLOOKUP(G801,WholesaleExtract!B:M,12,FALSE),"")</f>
        <v/>
      </c>
      <c r="N801" s="27"/>
      <c r="O801" s="19"/>
      <c r="P801" s="19"/>
      <c r="Q801" s="47"/>
      <c r="R801" s="19"/>
      <c r="S801" s="19"/>
    </row>
    <row r="802" spans="1:19" x14ac:dyDescent="0.35">
      <c r="A802" s="26" t="s">
        <v>543</v>
      </c>
      <c r="B802" s="26" t="s">
        <v>543</v>
      </c>
      <c r="C802" s="26"/>
      <c r="D802" s="26" t="s">
        <v>543</v>
      </c>
      <c r="E802" s="26" t="str">
        <f>IFERROR(VLOOKUP(G802,WholesaleExtract!B:J,9,FALSE),"")</f>
        <v/>
      </c>
      <c r="F802" s="26" t="str">
        <f>IFERROR(VLOOKUP(G802,WholesaleExtract!B:J,6,FALSE),"")</f>
        <v/>
      </c>
      <c r="G802" s="46"/>
      <c r="H802" s="47" t="str">
        <f>IFERROR(VLOOKUP(G802,WholesaleExtract!B:L,11,FALSE),"")</f>
        <v/>
      </c>
      <c r="I802" s="26" t="str">
        <f>IFERROR(VLOOKUP(G802,WholesaleExtract!B:O,8,FALSE),"")</f>
        <v/>
      </c>
      <c r="J802" s="26" t="str">
        <f>IFERROR(VLOOKUP(G802,WholesaleExtract!B:O,14,FALSE),"")</f>
        <v/>
      </c>
      <c r="K802" s="26" t="str">
        <f>IFERROR(VLOOKUP(G802,WholesaleExtract!B:K,10,FALSE),"")</f>
        <v/>
      </c>
      <c r="L802" s="47" t="str">
        <f>IFERROR(VLOOKUP(G802,WholesaleExtract!B:L,11,FALSE),"")</f>
        <v/>
      </c>
      <c r="M802" s="47" t="str">
        <f>IFERROR(VLOOKUP(G802,WholesaleExtract!B:M,12,FALSE),"")</f>
        <v/>
      </c>
      <c r="N802" s="27"/>
      <c r="O802" s="19"/>
      <c r="P802" s="19"/>
      <c r="Q802" s="47"/>
      <c r="R802" s="19"/>
      <c r="S802" s="19"/>
    </row>
    <row r="803" spans="1:19" x14ac:dyDescent="0.35">
      <c r="A803" s="26" t="s">
        <v>543</v>
      </c>
      <c r="B803" s="26" t="s">
        <v>543</v>
      </c>
      <c r="C803" s="26"/>
      <c r="D803" s="26" t="s">
        <v>543</v>
      </c>
      <c r="E803" s="26" t="str">
        <f>IFERROR(VLOOKUP(G803,WholesaleExtract!B:J,9,FALSE),"")</f>
        <v/>
      </c>
      <c r="F803" s="26" t="str">
        <f>IFERROR(VLOOKUP(G803,WholesaleExtract!B:J,6,FALSE),"")</f>
        <v/>
      </c>
      <c r="G803" s="46"/>
      <c r="H803" s="47" t="str">
        <f>IFERROR(VLOOKUP(G803,WholesaleExtract!B:L,11,FALSE),"")</f>
        <v/>
      </c>
      <c r="I803" s="26" t="str">
        <f>IFERROR(VLOOKUP(G803,WholesaleExtract!B:O,8,FALSE),"")</f>
        <v/>
      </c>
      <c r="J803" s="26" t="str">
        <f>IFERROR(VLOOKUP(G803,WholesaleExtract!B:O,14,FALSE),"")</f>
        <v/>
      </c>
      <c r="K803" s="26" t="str">
        <f>IFERROR(VLOOKUP(G803,WholesaleExtract!B:K,10,FALSE),"")</f>
        <v/>
      </c>
      <c r="L803" s="47" t="str">
        <f>IFERROR(VLOOKUP(G803,WholesaleExtract!B:L,11,FALSE),"")</f>
        <v/>
      </c>
      <c r="M803" s="47" t="str">
        <f>IFERROR(VLOOKUP(G803,WholesaleExtract!B:M,12,FALSE),"")</f>
        <v/>
      </c>
      <c r="N803" s="27"/>
      <c r="O803" s="19"/>
      <c r="P803" s="19"/>
      <c r="Q803" s="47"/>
      <c r="R803" s="19"/>
      <c r="S803" s="19"/>
    </row>
    <row r="804" spans="1:19" x14ac:dyDescent="0.35">
      <c r="A804" s="26" t="s">
        <v>543</v>
      </c>
      <c r="B804" s="26" t="s">
        <v>543</v>
      </c>
      <c r="C804" s="26"/>
      <c r="D804" s="26" t="s">
        <v>543</v>
      </c>
      <c r="E804" s="26" t="str">
        <f>IFERROR(VLOOKUP(G804,WholesaleExtract!B:J,9,FALSE),"")</f>
        <v/>
      </c>
      <c r="F804" s="26" t="str">
        <f>IFERROR(VLOOKUP(G804,WholesaleExtract!B:J,6,FALSE),"")</f>
        <v/>
      </c>
      <c r="G804" s="46"/>
      <c r="H804" s="47" t="str">
        <f>IFERROR(VLOOKUP(G804,WholesaleExtract!B:L,11,FALSE),"")</f>
        <v/>
      </c>
      <c r="I804" s="26" t="str">
        <f>IFERROR(VLOOKUP(G804,WholesaleExtract!B:O,8,FALSE),"")</f>
        <v/>
      </c>
      <c r="J804" s="26" t="str">
        <f>IFERROR(VLOOKUP(G804,WholesaleExtract!B:O,14,FALSE),"")</f>
        <v/>
      </c>
      <c r="K804" s="26" t="str">
        <f>IFERROR(VLOOKUP(G804,WholesaleExtract!B:K,10,FALSE),"")</f>
        <v/>
      </c>
      <c r="L804" s="47" t="str">
        <f>IFERROR(VLOOKUP(G804,WholesaleExtract!B:L,11,FALSE),"")</f>
        <v/>
      </c>
      <c r="M804" s="47" t="str">
        <f>IFERROR(VLOOKUP(G804,WholesaleExtract!B:M,12,FALSE),"")</f>
        <v/>
      </c>
      <c r="N804" s="27"/>
      <c r="O804" s="19"/>
      <c r="P804" s="19"/>
      <c r="Q804" s="47"/>
      <c r="R804" s="19"/>
      <c r="S804" s="19"/>
    </row>
    <row r="805" spans="1:19" x14ac:dyDescent="0.35">
      <c r="A805" s="26" t="s">
        <v>543</v>
      </c>
      <c r="B805" s="26" t="s">
        <v>543</v>
      </c>
      <c r="C805" s="26"/>
      <c r="D805" s="26" t="s">
        <v>543</v>
      </c>
      <c r="E805" s="26" t="str">
        <f>IFERROR(VLOOKUP(G805,WholesaleExtract!B:J,9,FALSE),"")</f>
        <v/>
      </c>
      <c r="F805" s="26" t="str">
        <f>IFERROR(VLOOKUP(G805,WholesaleExtract!B:J,6,FALSE),"")</f>
        <v/>
      </c>
      <c r="G805" s="46"/>
      <c r="H805" s="47" t="str">
        <f>IFERROR(VLOOKUP(G805,WholesaleExtract!B:L,11,FALSE),"")</f>
        <v/>
      </c>
      <c r="I805" s="26" t="str">
        <f>IFERROR(VLOOKUP(G805,WholesaleExtract!B:O,8,FALSE),"")</f>
        <v/>
      </c>
      <c r="J805" s="26" t="str">
        <f>IFERROR(VLOOKUP(G805,WholesaleExtract!B:O,14,FALSE),"")</f>
        <v/>
      </c>
      <c r="K805" s="26" t="str">
        <f>IFERROR(VLOOKUP(G805,WholesaleExtract!B:K,10,FALSE),"")</f>
        <v/>
      </c>
      <c r="L805" s="47" t="str">
        <f>IFERROR(VLOOKUP(G805,WholesaleExtract!B:L,11,FALSE),"")</f>
        <v/>
      </c>
      <c r="M805" s="47" t="str">
        <f>IFERROR(VLOOKUP(G805,WholesaleExtract!B:M,12,FALSE),"")</f>
        <v/>
      </c>
      <c r="N805" s="27"/>
      <c r="O805" s="19"/>
      <c r="P805" s="19"/>
      <c r="Q805" s="47"/>
      <c r="R805" s="19"/>
      <c r="S805" s="19"/>
    </row>
    <row r="806" spans="1:19" x14ac:dyDescent="0.35">
      <c r="A806" s="26" t="s">
        <v>543</v>
      </c>
      <c r="B806" s="26" t="s">
        <v>543</v>
      </c>
      <c r="C806" s="26"/>
      <c r="D806" s="26" t="s">
        <v>543</v>
      </c>
      <c r="E806" s="26" t="str">
        <f>IFERROR(VLOOKUP(G806,WholesaleExtract!B:J,9,FALSE),"")</f>
        <v/>
      </c>
      <c r="F806" s="26" t="str">
        <f>IFERROR(VLOOKUP(G806,WholesaleExtract!B:J,6,FALSE),"")</f>
        <v/>
      </c>
      <c r="G806" s="46"/>
      <c r="H806" s="47" t="str">
        <f>IFERROR(VLOOKUP(G806,WholesaleExtract!B:L,11,FALSE),"")</f>
        <v/>
      </c>
      <c r="I806" s="26" t="str">
        <f>IFERROR(VLOOKUP(G806,WholesaleExtract!B:O,8,FALSE),"")</f>
        <v/>
      </c>
      <c r="J806" s="26" t="str">
        <f>IFERROR(VLOOKUP(G806,WholesaleExtract!B:O,14,FALSE),"")</f>
        <v/>
      </c>
      <c r="K806" s="26" t="str">
        <f>IFERROR(VLOOKUP(G806,WholesaleExtract!B:K,10,FALSE),"")</f>
        <v/>
      </c>
      <c r="L806" s="47" t="str">
        <f>IFERROR(VLOOKUP(G806,WholesaleExtract!B:L,11,FALSE),"")</f>
        <v/>
      </c>
      <c r="M806" s="47" t="str">
        <f>IFERROR(VLOOKUP(G806,WholesaleExtract!B:M,12,FALSE),"")</f>
        <v/>
      </c>
      <c r="N806" s="27"/>
      <c r="O806" s="19"/>
      <c r="P806" s="19"/>
      <c r="Q806" s="47"/>
      <c r="R806" s="19"/>
      <c r="S806" s="19"/>
    </row>
    <row r="807" spans="1:19" x14ac:dyDescent="0.35">
      <c r="A807" s="26" t="s">
        <v>543</v>
      </c>
      <c r="B807" s="26" t="s">
        <v>543</v>
      </c>
      <c r="C807" s="26"/>
      <c r="D807" s="26" t="s">
        <v>543</v>
      </c>
      <c r="E807" s="26" t="str">
        <f>IFERROR(VLOOKUP(G807,WholesaleExtract!B:J,9,FALSE),"")</f>
        <v/>
      </c>
      <c r="F807" s="26" t="str">
        <f>IFERROR(VLOOKUP(G807,WholesaleExtract!B:J,6,FALSE),"")</f>
        <v/>
      </c>
      <c r="G807" s="46"/>
      <c r="H807" s="47" t="str">
        <f>IFERROR(VLOOKUP(G807,WholesaleExtract!B:L,11,FALSE),"")</f>
        <v/>
      </c>
      <c r="I807" s="26" t="str">
        <f>IFERROR(VLOOKUP(G807,WholesaleExtract!B:O,8,FALSE),"")</f>
        <v/>
      </c>
      <c r="J807" s="26" t="str">
        <f>IFERROR(VLOOKUP(G807,WholesaleExtract!B:O,14,FALSE),"")</f>
        <v/>
      </c>
      <c r="K807" s="26" t="str">
        <f>IFERROR(VLOOKUP(G807,WholesaleExtract!B:K,10,FALSE),"")</f>
        <v/>
      </c>
      <c r="L807" s="47" t="str">
        <f>IFERROR(VLOOKUP(G807,WholesaleExtract!B:L,11,FALSE),"")</f>
        <v/>
      </c>
      <c r="M807" s="47" t="str">
        <f>IFERROR(VLOOKUP(G807,WholesaleExtract!B:M,12,FALSE),"")</f>
        <v/>
      </c>
      <c r="N807" s="27"/>
      <c r="O807" s="19"/>
      <c r="P807" s="19"/>
      <c r="Q807" s="47"/>
      <c r="R807" s="19"/>
      <c r="S807" s="19"/>
    </row>
    <row r="808" spans="1:19" x14ac:dyDescent="0.35">
      <c r="A808" s="26" t="s">
        <v>543</v>
      </c>
      <c r="B808" s="26" t="s">
        <v>543</v>
      </c>
      <c r="C808" s="26"/>
      <c r="D808" s="26" t="s">
        <v>543</v>
      </c>
      <c r="E808" s="26" t="str">
        <f>IFERROR(VLOOKUP(G808,WholesaleExtract!B:J,9,FALSE),"")</f>
        <v/>
      </c>
      <c r="F808" s="26" t="str">
        <f>IFERROR(VLOOKUP(G808,WholesaleExtract!B:J,6,FALSE),"")</f>
        <v/>
      </c>
      <c r="G808" s="46"/>
      <c r="H808" s="47" t="str">
        <f>IFERROR(VLOOKUP(G808,WholesaleExtract!B:L,11,FALSE),"")</f>
        <v/>
      </c>
      <c r="I808" s="26" t="str">
        <f>IFERROR(VLOOKUP(G808,WholesaleExtract!B:O,8,FALSE),"")</f>
        <v/>
      </c>
      <c r="J808" s="26" t="str">
        <f>IFERROR(VLOOKUP(G808,WholesaleExtract!B:O,14,FALSE),"")</f>
        <v/>
      </c>
      <c r="K808" s="26" t="str">
        <f>IFERROR(VLOOKUP(G808,WholesaleExtract!B:K,10,FALSE),"")</f>
        <v/>
      </c>
      <c r="L808" s="47" t="str">
        <f>IFERROR(VLOOKUP(G808,WholesaleExtract!B:L,11,FALSE),"")</f>
        <v/>
      </c>
      <c r="M808" s="47" t="str">
        <f>IFERROR(VLOOKUP(G808,WholesaleExtract!B:M,12,FALSE),"")</f>
        <v/>
      </c>
      <c r="N808" s="27"/>
      <c r="O808" s="19"/>
      <c r="P808" s="19"/>
      <c r="Q808" s="47"/>
      <c r="R808" s="19"/>
      <c r="S808" s="19"/>
    </row>
    <row r="809" spans="1:19" x14ac:dyDescent="0.35">
      <c r="A809" s="26" t="s">
        <v>543</v>
      </c>
      <c r="B809" s="26" t="s">
        <v>543</v>
      </c>
      <c r="C809" s="26"/>
      <c r="D809" s="26" t="s">
        <v>543</v>
      </c>
      <c r="E809" s="26" t="str">
        <f>IFERROR(VLOOKUP(G809,WholesaleExtract!B:J,9,FALSE),"")</f>
        <v/>
      </c>
      <c r="F809" s="26" t="str">
        <f>IFERROR(VLOOKUP(G809,WholesaleExtract!B:J,6,FALSE),"")</f>
        <v/>
      </c>
      <c r="G809" s="46"/>
      <c r="H809" s="47" t="str">
        <f>IFERROR(VLOOKUP(G809,WholesaleExtract!B:L,11,FALSE),"")</f>
        <v/>
      </c>
      <c r="I809" s="26" t="str">
        <f>IFERROR(VLOOKUP(G809,WholesaleExtract!B:O,8,FALSE),"")</f>
        <v/>
      </c>
      <c r="J809" s="26" t="str">
        <f>IFERROR(VLOOKUP(G809,WholesaleExtract!B:O,14,FALSE),"")</f>
        <v/>
      </c>
      <c r="K809" s="26" t="str">
        <f>IFERROR(VLOOKUP(G809,WholesaleExtract!B:K,10,FALSE),"")</f>
        <v/>
      </c>
      <c r="L809" s="47" t="str">
        <f>IFERROR(VLOOKUP(G809,WholesaleExtract!B:L,11,FALSE),"")</f>
        <v/>
      </c>
      <c r="M809" s="47" t="str">
        <f>IFERROR(VLOOKUP(G809,WholesaleExtract!B:M,12,FALSE),"")</f>
        <v/>
      </c>
      <c r="N809" s="27"/>
      <c r="O809" s="19"/>
      <c r="P809" s="19"/>
      <c r="Q809" s="47"/>
      <c r="R809" s="19"/>
      <c r="S809" s="19"/>
    </row>
    <row r="810" spans="1:19" x14ac:dyDescent="0.35">
      <c r="A810" s="26" t="s">
        <v>543</v>
      </c>
      <c r="B810" s="26" t="s">
        <v>543</v>
      </c>
      <c r="C810" s="26"/>
      <c r="D810" s="26" t="s">
        <v>543</v>
      </c>
      <c r="E810" s="26" t="str">
        <f>IFERROR(VLOOKUP(G810,WholesaleExtract!B:J,9,FALSE),"")</f>
        <v/>
      </c>
      <c r="F810" s="26" t="str">
        <f>IFERROR(VLOOKUP(G810,WholesaleExtract!B:J,6,FALSE),"")</f>
        <v/>
      </c>
      <c r="G810" s="46"/>
      <c r="H810" s="47" t="str">
        <f>IFERROR(VLOOKUP(G810,WholesaleExtract!B:L,11,FALSE),"")</f>
        <v/>
      </c>
      <c r="I810" s="26" t="str">
        <f>IFERROR(VLOOKUP(G810,WholesaleExtract!B:O,8,FALSE),"")</f>
        <v/>
      </c>
      <c r="J810" s="26" t="str">
        <f>IFERROR(VLOOKUP(G810,WholesaleExtract!B:O,14,FALSE),"")</f>
        <v/>
      </c>
      <c r="K810" s="26" t="str">
        <f>IFERROR(VLOOKUP(G810,WholesaleExtract!B:K,10,FALSE),"")</f>
        <v/>
      </c>
      <c r="L810" s="47" t="str">
        <f>IFERROR(VLOOKUP(G810,WholesaleExtract!B:L,11,FALSE),"")</f>
        <v/>
      </c>
      <c r="M810" s="47" t="str">
        <f>IFERROR(VLOOKUP(G810,WholesaleExtract!B:M,12,FALSE),"")</f>
        <v/>
      </c>
      <c r="N810" s="27"/>
      <c r="O810" s="19"/>
      <c r="P810" s="19"/>
      <c r="Q810" s="47"/>
      <c r="R810" s="19"/>
      <c r="S810" s="19"/>
    </row>
    <row r="811" spans="1:19" x14ac:dyDescent="0.35">
      <c r="A811" s="26" t="s">
        <v>543</v>
      </c>
      <c r="B811" s="26" t="s">
        <v>543</v>
      </c>
      <c r="C811" s="26"/>
      <c r="D811" s="26" t="s">
        <v>543</v>
      </c>
      <c r="E811" s="26" t="str">
        <f>IFERROR(VLOOKUP(G811,WholesaleExtract!B:J,9,FALSE),"")</f>
        <v/>
      </c>
      <c r="F811" s="26" t="str">
        <f>IFERROR(VLOOKUP(G811,WholesaleExtract!B:J,6,FALSE),"")</f>
        <v/>
      </c>
      <c r="G811" s="46"/>
      <c r="H811" s="47" t="str">
        <f>IFERROR(VLOOKUP(G811,WholesaleExtract!B:L,11,FALSE),"")</f>
        <v/>
      </c>
      <c r="I811" s="26" t="str">
        <f>IFERROR(VLOOKUP(G811,WholesaleExtract!B:O,8,FALSE),"")</f>
        <v/>
      </c>
      <c r="J811" s="26" t="str">
        <f>IFERROR(VLOOKUP(G811,WholesaleExtract!B:O,14,FALSE),"")</f>
        <v/>
      </c>
      <c r="K811" s="26" t="str">
        <f>IFERROR(VLOOKUP(G811,WholesaleExtract!B:K,10,FALSE),"")</f>
        <v/>
      </c>
      <c r="L811" s="47" t="str">
        <f>IFERROR(VLOOKUP(G811,WholesaleExtract!B:L,11,FALSE),"")</f>
        <v/>
      </c>
      <c r="M811" s="47" t="str">
        <f>IFERROR(VLOOKUP(G811,WholesaleExtract!B:M,12,FALSE),"")</f>
        <v/>
      </c>
      <c r="N811" s="27"/>
      <c r="O811" s="19"/>
      <c r="P811" s="19"/>
      <c r="Q811" s="47"/>
      <c r="R811" s="19"/>
      <c r="S811" s="19"/>
    </row>
    <row r="812" spans="1:19" x14ac:dyDescent="0.35">
      <c r="A812" s="26" t="s">
        <v>543</v>
      </c>
      <c r="B812" s="26" t="s">
        <v>543</v>
      </c>
      <c r="C812" s="26"/>
      <c r="D812" s="26" t="s">
        <v>543</v>
      </c>
      <c r="E812" s="26" t="str">
        <f>IFERROR(VLOOKUP(G812,WholesaleExtract!B:J,9,FALSE),"")</f>
        <v/>
      </c>
      <c r="F812" s="26" t="str">
        <f>IFERROR(VLOOKUP(G812,WholesaleExtract!B:J,6,FALSE),"")</f>
        <v/>
      </c>
      <c r="G812" s="46"/>
      <c r="H812" s="47" t="str">
        <f>IFERROR(VLOOKUP(G812,WholesaleExtract!B:L,11,FALSE),"")</f>
        <v/>
      </c>
      <c r="I812" s="26" t="str">
        <f>IFERROR(VLOOKUP(G812,WholesaleExtract!B:O,8,FALSE),"")</f>
        <v/>
      </c>
      <c r="J812" s="26" t="str">
        <f>IFERROR(VLOOKUP(G812,WholesaleExtract!B:O,14,FALSE),"")</f>
        <v/>
      </c>
      <c r="K812" s="26" t="str">
        <f>IFERROR(VLOOKUP(G812,WholesaleExtract!B:K,10,FALSE),"")</f>
        <v/>
      </c>
      <c r="L812" s="47" t="str">
        <f>IFERROR(VLOOKUP(G812,WholesaleExtract!B:L,11,FALSE),"")</f>
        <v/>
      </c>
      <c r="M812" s="47" t="str">
        <f>IFERROR(VLOOKUP(G812,WholesaleExtract!B:M,12,FALSE),"")</f>
        <v/>
      </c>
      <c r="N812" s="27"/>
      <c r="O812" s="19"/>
      <c r="P812" s="19"/>
      <c r="Q812" s="47"/>
      <c r="R812" s="19"/>
      <c r="S812" s="19"/>
    </row>
    <row r="813" spans="1:19" x14ac:dyDescent="0.35">
      <c r="A813" s="26" t="s">
        <v>543</v>
      </c>
      <c r="B813" s="26" t="s">
        <v>543</v>
      </c>
      <c r="C813" s="26"/>
      <c r="D813" s="26" t="s">
        <v>543</v>
      </c>
      <c r="E813" s="26" t="str">
        <f>IFERROR(VLOOKUP(G813,WholesaleExtract!B:J,9,FALSE),"")</f>
        <v/>
      </c>
      <c r="F813" s="26" t="str">
        <f>IFERROR(VLOOKUP(G813,WholesaleExtract!B:J,6,FALSE),"")</f>
        <v/>
      </c>
      <c r="G813" s="46"/>
      <c r="H813" s="47" t="str">
        <f>IFERROR(VLOOKUP(G813,WholesaleExtract!B:L,11,FALSE),"")</f>
        <v/>
      </c>
      <c r="I813" s="26" t="str">
        <f>IFERROR(VLOOKUP(G813,WholesaleExtract!B:O,8,FALSE),"")</f>
        <v/>
      </c>
      <c r="J813" s="26" t="str">
        <f>IFERROR(VLOOKUP(G813,WholesaleExtract!B:O,14,FALSE),"")</f>
        <v/>
      </c>
      <c r="K813" s="26" t="str">
        <f>IFERROR(VLOOKUP(G813,WholesaleExtract!B:K,10,FALSE),"")</f>
        <v/>
      </c>
      <c r="L813" s="47" t="str">
        <f>IFERROR(VLOOKUP(G813,WholesaleExtract!B:L,11,FALSE),"")</f>
        <v/>
      </c>
      <c r="M813" s="47" t="str">
        <f>IFERROR(VLOOKUP(G813,WholesaleExtract!B:M,12,FALSE),"")</f>
        <v/>
      </c>
      <c r="N813" s="27"/>
      <c r="O813" s="19"/>
      <c r="P813" s="19"/>
      <c r="Q813" s="47"/>
      <c r="R813" s="19"/>
      <c r="S813" s="19"/>
    </row>
    <row r="814" spans="1:19" x14ac:dyDescent="0.35">
      <c r="A814" s="26" t="s">
        <v>543</v>
      </c>
      <c r="B814" s="26" t="s">
        <v>543</v>
      </c>
      <c r="C814" s="26"/>
      <c r="D814" s="26" t="s">
        <v>543</v>
      </c>
      <c r="E814" s="26" t="str">
        <f>IFERROR(VLOOKUP(G814,WholesaleExtract!B:J,9,FALSE),"")</f>
        <v/>
      </c>
      <c r="F814" s="26" t="str">
        <f>IFERROR(VLOOKUP(G814,WholesaleExtract!B:J,6,FALSE),"")</f>
        <v/>
      </c>
      <c r="G814" s="46"/>
      <c r="H814" s="47" t="str">
        <f>IFERROR(VLOOKUP(G814,WholesaleExtract!B:L,11,FALSE),"")</f>
        <v/>
      </c>
      <c r="I814" s="26" t="str">
        <f>IFERROR(VLOOKUP(G814,WholesaleExtract!B:O,8,FALSE),"")</f>
        <v/>
      </c>
      <c r="J814" s="26" t="str">
        <f>IFERROR(VLOOKUP(G814,WholesaleExtract!B:O,14,FALSE),"")</f>
        <v/>
      </c>
      <c r="K814" s="26" t="str">
        <f>IFERROR(VLOOKUP(G814,WholesaleExtract!B:K,10,FALSE),"")</f>
        <v/>
      </c>
      <c r="L814" s="47" t="str">
        <f>IFERROR(VLOOKUP(G814,WholesaleExtract!B:L,11,FALSE),"")</f>
        <v/>
      </c>
      <c r="M814" s="47" t="str">
        <f>IFERROR(VLOOKUP(G814,WholesaleExtract!B:M,12,FALSE),"")</f>
        <v/>
      </c>
      <c r="N814" s="27"/>
      <c r="O814" s="19"/>
      <c r="P814" s="19"/>
      <c r="Q814" s="47"/>
      <c r="R814" s="19"/>
      <c r="S814" s="19"/>
    </row>
    <row r="815" spans="1:19" x14ac:dyDescent="0.35">
      <c r="A815" s="26" t="s">
        <v>543</v>
      </c>
      <c r="B815" s="26" t="s">
        <v>543</v>
      </c>
      <c r="C815" s="26"/>
      <c r="D815" s="26" t="s">
        <v>543</v>
      </c>
      <c r="E815" s="26" t="str">
        <f>IFERROR(VLOOKUP(G815,WholesaleExtract!B:J,9,FALSE),"")</f>
        <v/>
      </c>
      <c r="F815" s="26" t="str">
        <f>IFERROR(VLOOKUP(G815,WholesaleExtract!B:J,6,FALSE),"")</f>
        <v/>
      </c>
      <c r="G815" s="46"/>
      <c r="H815" s="47" t="str">
        <f>IFERROR(VLOOKUP(G815,WholesaleExtract!B:L,11,FALSE),"")</f>
        <v/>
      </c>
      <c r="I815" s="26" t="str">
        <f>IFERROR(VLOOKUP(G815,WholesaleExtract!B:O,8,FALSE),"")</f>
        <v/>
      </c>
      <c r="J815" s="26" t="str">
        <f>IFERROR(VLOOKUP(G815,WholesaleExtract!B:O,14,FALSE),"")</f>
        <v/>
      </c>
      <c r="K815" s="26" t="str">
        <f>IFERROR(VLOOKUP(G815,WholesaleExtract!B:K,10,FALSE),"")</f>
        <v/>
      </c>
      <c r="L815" s="47" t="str">
        <f>IFERROR(VLOOKUP(G815,WholesaleExtract!B:L,11,FALSE),"")</f>
        <v/>
      </c>
      <c r="M815" s="47" t="str">
        <f>IFERROR(VLOOKUP(G815,WholesaleExtract!B:M,12,FALSE),"")</f>
        <v/>
      </c>
      <c r="N815" s="27"/>
      <c r="O815" s="19"/>
      <c r="P815" s="19"/>
      <c r="Q815" s="47"/>
      <c r="R815" s="19"/>
      <c r="S815" s="19"/>
    </row>
    <row r="816" spans="1:19" x14ac:dyDescent="0.35">
      <c r="A816" s="26" t="s">
        <v>543</v>
      </c>
      <c r="B816" s="26" t="s">
        <v>543</v>
      </c>
      <c r="C816" s="26"/>
      <c r="D816" s="26" t="s">
        <v>543</v>
      </c>
      <c r="E816" s="26" t="str">
        <f>IFERROR(VLOOKUP(G816,WholesaleExtract!B:J,9,FALSE),"")</f>
        <v/>
      </c>
      <c r="F816" s="26" t="str">
        <f>IFERROR(VLOOKUP(G816,WholesaleExtract!B:J,6,FALSE),"")</f>
        <v/>
      </c>
      <c r="G816" s="46"/>
      <c r="H816" s="47" t="str">
        <f>IFERROR(VLOOKUP(G816,WholesaleExtract!B:L,11,FALSE),"")</f>
        <v/>
      </c>
      <c r="I816" s="26" t="str">
        <f>IFERROR(VLOOKUP(G816,WholesaleExtract!B:O,8,FALSE),"")</f>
        <v/>
      </c>
      <c r="J816" s="26" t="str">
        <f>IFERROR(VLOOKUP(G816,WholesaleExtract!B:O,14,FALSE),"")</f>
        <v/>
      </c>
      <c r="K816" s="26" t="str">
        <f>IFERROR(VLOOKUP(G816,WholesaleExtract!B:K,10,FALSE),"")</f>
        <v/>
      </c>
      <c r="L816" s="47" t="str">
        <f>IFERROR(VLOOKUP(G816,WholesaleExtract!B:L,11,FALSE),"")</f>
        <v/>
      </c>
      <c r="M816" s="47" t="str">
        <f>IFERROR(VLOOKUP(G816,WholesaleExtract!B:M,12,FALSE),"")</f>
        <v/>
      </c>
      <c r="N816" s="27"/>
      <c r="O816" s="19"/>
      <c r="P816" s="19"/>
      <c r="Q816" s="47"/>
      <c r="R816" s="19"/>
      <c r="S816" s="19"/>
    </row>
    <row r="817" spans="1:19" x14ac:dyDescent="0.35">
      <c r="A817" s="26" t="s">
        <v>543</v>
      </c>
      <c r="B817" s="26" t="s">
        <v>543</v>
      </c>
      <c r="C817" s="26"/>
      <c r="D817" s="26" t="s">
        <v>543</v>
      </c>
      <c r="E817" s="26" t="str">
        <f>IFERROR(VLOOKUP(G817,WholesaleExtract!B:J,9,FALSE),"")</f>
        <v/>
      </c>
      <c r="F817" s="26" t="str">
        <f>IFERROR(VLOOKUP(G817,WholesaleExtract!B:J,6,FALSE),"")</f>
        <v/>
      </c>
      <c r="G817" s="46"/>
      <c r="H817" s="47" t="str">
        <f>IFERROR(VLOOKUP(G817,WholesaleExtract!B:L,11,FALSE),"")</f>
        <v/>
      </c>
      <c r="I817" s="26" t="str">
        <f>IFERROR(VLOOKUP(G817,WholesaleExtract!B:O,8,FALSE),"")</f>
        <v/>
      </c>
      <c r="J817" s="26" t="str">
        <f>IFERROR(VLOOKUP(G817,WholesaleExtract!B:O,14,FALSE),"")</f>
        <v/>
      </c>
      <c r="K817" s="26" t="str">
        <f>IFERROR(VLOOKUP(G817,WholesaleExtract!B:K,10,FALSE),"")</f>
        <v/>
      </c>
      <c r="L817" s="47" t="str">
        <f>IFERROR(VLOOKUP(G817,WholesaleExtract!B:L,11,FALSE),"")</f>
        <v/>
      </c>
      <c r="M817" s="47" t="str">
        <f>IFERROR(VLOOKUP(G817,WholesaleExtract!B:M,12,FALSE),"")</f>
        <v/>
      </c>
      <c r="N817" s="27"/>
      <c r="O817" s="19"/>
      <c r="P817" s="19"/>
      <c r="Q817" s="47"/>
      <c r="R817" s="19"/>
      <c r="S817" s="19"/>
    </row>
    <row r="818" spans="1:19" x14ac:dyDescent="0.35">
      <c r="A818" s="26" t="s">
        <v>543</v>
      </c>
      <c r="B818" s="26" t="s">
        <v>543</v>
      </c>
      <c r="C818" s="26"/>
      <c r="D818" s="26" t="s">
        <v>543</v>
      </c>
      <c r="E818" s="26" t="str">
        <f>IFERROR(VLOOKUP(G818,WholesaleExtract!B:J,9,FALSE),"")</f>
        <v/>
      </c>
      <c r="F818" s="26" t="str">
        <f>IFERROR(VLOOKUP(G818,WholesaleExtract!B:J,6,FALSE),"")</f>
        <v/>
      </c>
      <c r="G818" s="46"/>
      <c r="H818" s="47" t="str">
        <f>IFERROR(VLOOKUP(G818,WholesaleExtract!B:L,11,FALSE),"")</f>
        <v/>
      </c>
      <c r="I818" s="26" t="str">
        <f>IFERROR(VLOOKUP(G818,WholesaleExtract!B:O,8,FALSE),"")</f>
        <v/>
      </c>
      <c r="J818" s="26" t="str">
        <f>IFERROR(VLOOKUP(G818,WholesaleExtract!B:O,14,FALSE),"")</f>
        <v/>
      </c>
      <c r="K818" s="26" t="str">
        <f>IFERROR(VLOOKUP(G818,WholesaleExtract!B:K,10,FALSE),"")</f>
        <v/>
      </c>
      <c r="L818" s="47" t="str">
        <f>IFERROR(VLOOKUP(G818,WholesaleExtract!B:L,11,FALSE),"")</f>
        <v/>
      </c>
      <c r="M818" s="47" t="str">
        <f>IFERROR(VLOOKUP(G818,WholesaleExtract!B:M,12,FALSE),"")</f>
        <v/>
      </c>
      <c r="N818" s="27"/>
      <c r="O818" s="19"/>
      <c r="P818" s="19"/>
      <c r="Q818" s="47"/>
      <c r="R818" s="19"/>
      <c r="S818" s="19"/>
    </row>
    <row r="819" spans="1:19" x14ac:dyDescent="0.35">
      <c r="A819" s="26" t="s">
        <v>543</v>
      </c>
      <c r="B819" s="26" t="s">
        <v>543</v>
      </c>
      <c r="C819" s="26"/>
      <c r="D819" s="26" t="s">
        <v>543</v>
      </c>
      <c r="E819" s="26" t="str">
        <f>IFERROR(VLOOKUP(G819,WholesaleExtract!B:J,9,FALSE),"")</f>
        <v/>
      </c>
      <c r="F819" s="26" t="str">
        <f>IFERROR(VLOOKUP(G819,WholesaleExtract!B:J,6,FALSE),"")</f>
        <v/>
      </c>
      <c r="G819" s="46"/>
      <c r="H819" s="47" t="str">
        <f>IFERROR(VLOOKUP(G819,WholesaleExtract!B:L,11,FALSE),"")</f>
        <v/>
      </c>
      <c r="I819" s="26" t="str">
        <f>IFERROR(VLOOKUP(G819,WholesaleExtract!B:O,8,FALSE),"")</f>
        <v/>
      </c>
      <c r="J819" s="26" t="str">
        <f>IFERROR(VLOOKUP(G819,WholesaleExtract!B:O,14,FALSE),"")</f>
        <v/>
      </c>
      <c r="K819" s="26" t="str">
        <f>IFERROR(VLOOKUP(G819,WholesaleExtract!B:K,10,FALSE),"")</f>
        <v/>
      </c>
      <c r="L819" s="47" t="str">
        <f>IFERROR(VLOOKUP(G819,WholesaleExtract!B:L,11,FALSE),"")</f>
        <v/>
      </c>
      <c r="M819" s="47" t="str">
        <f>IFERROR(VLOOKUP(G819,WholesaleExtract!B:M,12,FALSE),"")</f>
        <v/>
      </c>
      <c r="N819" s="27"/>
      <c r="O819" s="19"/>
      <c r="P819" s="19"/>
      <c r="Q819" s="47"/>
      <c r="R819" s="19"/>
      <c r="S819" s="19"/>
    </row>
    <row r="820" spans="1:19" x14ac:dyDescent="0.35">
      <c r="A820" s="26" t="s">
        <v>543</v>
      </c>
      <c r="B820" s="26" t="s">
        <v>543</v>
      </c>
      <c r="C820" s="26"/>
      <c r="D820" s="26" t="s">
        <v>543</v>
      </c>
      <c r="E820" s="26" t="str">
        <f>IFERROR(VLOOKUP(G820,WholesaleExtract!B:J,9,FALSE),"")</f>
        <v/>
      </c>
      <c r="F820" s="26" t="str">
        <f>IFERROR(VLOOKUP(G820,WholesaleExtract!B:J,6,FALSE),"")</f>
        <v/>
      </c>
      <c r="G820" s="46"/>
      <c r="H820" s="47" t="str">
        <f>IFERROR(VLOOKUP(G820,WholesaleExtract!B:L,11,FALSE),"")</f>
        <v/>
      </c>
      <c r="I820" s="26" t="str">
        <f>IFERROR(VLOOKUP(G820,WholesaleExtract!B:O,8,FALSE),"")</f>
        <v/>
      </c>
      <c r="J820" s="26" t="str">
        <f>IFERROR(VLOOKUP(G820,WholesaleExtract!B:O,14,FALSE),"")</f>
        <v/>
      </c>
      <c r="K820" s="26" t="str">
        <f>IFERROR(VLOOKUP(G820,WholesaleExtract!B:K,10,FALSE),"")</f>
        <v/>
      </c>
      <c r="L820" s="47" t="str">
        <f>IFERROR(VLOOKUP(G820,WholesaleExtract!B:L,11,FALSE),"")</f>
        <v/>
      </c>
      <c r="M820" s="47" t="str">
        <f>IFERROR(VLOOKUP(G820,WholesaleExtract!B:M,12,FALSE),"")</f>
        <v/>
      </c>
      <c r="N820" s="27"/>
      <c r="O820" s="19"/>
      <c r="P820" s="19"/>
      <c r="Q820" s="47"/>
      <c r="R820" s="19"/>
      <c r="S820" s="19"/>
    </row>
    <row r="821" spans="1:19" x14ac:dyDescent="0.35">
      <c r="A821" s="26" t="s">
        <v>543</v>
      </c>
      <c r="B821" s="26" t="s">
        <v>543</v>
      </c>
      <c r="C821" s="26"/>
      <c r="D821" s="26" t="s">
        <v>543</v>
      </c>
      <c r="E821" s="26" t="str">
        <f>IFERROR(VLOOKUP(G821,WholesaleExtract!B:J,9,FALSE),"")</f>
        <v/>
      </c>
      <c r="F821" s="26" t="str">
        <f>IFERROR(VLOOKUP(G821,WholesaleExtract!B:J,6,FALSE),"")</f>
        <v/>
      </c>
      <c r="G821" s="46"/>
      <c r="H821" s="47" t="str">
        <f>IFERROR(VLOOKUP(G821,WholesaleExtract!B:L,11,FALSE),"")</f>
        <v/>
      </c>
      <c r="I821" s="26" t="str">
        <f>IFERROR(VLOOKUP(G821,WholesaleExtract!B:O,8,FALSE),"")</f>
        <v/>
      </c>
      <c r="J821" s="26" t="str">
        <f>IFERROR(VLOOKUP(G821,WholesaleExtract!B:O,14,FALSE),"")</f>
        <v/>
      </c>
      <c r="K821" s="26" t="str">
        <f>IFERROR(VLOOKUP(G821,WholesaleExtract!B:K,10,FALSE),"")</f>
        <v/>
      </c>
      <c r="L821" s="47" t="str">
        <f>IFERROR(VLOOKUP(G821,WholesaleExtract!B:L,11,FALSE),"")</f>
        <v/>
      </c>
      <c r="M821" s="47" t="str">
        <f>IFERROR(VLOOKUP(G821,WholesaleExtract!B:M,12,FALSE),"")</f>
        <v/>
      </c>
      <c r="N821" s="27"/>
      <c r="O821" s="19"/>
      <c r="P821" s="19"/>
      <c r="Q821" s="47"/>
      <c r="R821" s="19"/>
      <c r="S821" s="19"/>
    </row>
    <row r="822" spans="1:19" x14ac:dyDescent="0.35">
      <c r="A822" s="26" t="s">
        <v>543</v>
      </c>
      <c r="B822" s="26" t="s">
        <v>543</v>
      </c>
      <c r="C822" s="26"/>
      <c r="D822" s="26" t="s">
        <v>543</v>
      </c>
      <c r="E822" s="26" t="str">
        <f>IFERROR(VLOOKUP(G822,WholesaleExtract!B:J,9,FALSE),"")</f>
        <v/>
      </c>
      <c r="F822" s="26" t="str">
        <f>IFERROR(VLOOKUP(G822,WholesaleExtract!B:J,6,FALSE),"")</f>
        <v/>
      </c>
      <c r="G822" s="46"/>
      <c r="H822" s="47" t="str">
        <f>IFERROR(VLOOKUP(G822,WholesaleExtract!B:L,11,FALSE),"")</f>
        <v/>
      </c>
      <c r="I822" s="26" t="str">
        <f>IFERROR(VLOOKUP(G822,WholesaleExtract!B:O,8,FALSE),"")</f>
        <v/>
      </c>
      <c r="J822" s="26" t="str">
        <f>IFERROR(VLOOKUP(G822,WholesaleExtract!B:O,14,FALSE),"")</f>
        <v/>
      </c>
      <c r="K822" s="26" t="str">
        <f>IFERROR(VLOOKUP(G822,WholesaleExtract!B:K,10,FALSE),"")</f>
        <v/>
      </c>
      <c r="L822" s="47" t="str">
        <f>IFERROR(VLOOKUP(G822,WholesaleExtract!B:L,11,FALSE),"")</f>
        <v/>
      </c>
      <c r="M822" s="47" t="str">
        <f>IFERROR(VLOOKUP(G822,WholesaleExtract!B:M,12,FALSE),"")</f>
        <v/>
      </c>
      <c r="N822" s="27"/>
      <c r="O822" s="19"/>
      <c r="P822" s="19"/>
      <c r="Q822" s="47"/>
      <c r="R822" s="19"/>
      <c r="S822" s="19"/>
    </row>
    <row r="823" spans="1:19" x14ac:dyDescent="0.35">
      <c r="A823" s="26" t="s">
        <v>543</v>
      </c>
      <c r="B823" s="26" t="s">
        <v>543</v>
      </c>
      <c r="C823" s="26"/>
      <c r="D823" s="26" t="s">
        <v>543</v>
      </c>
      <c r="E823" s="26" t="str">
        <f>IFERROR(VLOOKUP(G823,WholesaleExtract!B:J,9,FALSE),"")</f>
        <v/>
      </c>
      <c r="F823" s="26" t="str">
        <f>IFERROR(VLOOKUP(G823,WholesaleExtract!B:J,6,FALSE),"")</f>
        <v/>
      </c>
      <c r="G823" s="46"/>
      <c r="H823" s="47" t="str">
        <f>IFERROR(VLOOKUP(G823,WholesaleExtract!B:L,11,FALSE),"")</f>
        <v/>
      </c>
      <c r="I823" s="26" t="str">
        <f>IFERROR(VLOOKUP(G823,WholesaleExtract!B:O,8,FALSE),"")</f>
        <v/>
      </c>
      <c r="J823" s="26" t="str">
        <f>IFERROR(VLOOKUP(G823,WholesaleExtract!B:O,14,FALSE),"")</f>
        <v/>
      </c>
      <c r="K823" s="26" t="str">
        <f>IFERROR(VLOOKUP(G823,WholesaleExtract!B:K,10,FALSE),"")</f>
        <v/>
      </c>
      <c r="L823" s="47" t="str">
        <f>IFERROR(VLOOKUP(G823,WholesaleExtract!B:L,11,FALSE),"")</f>
        <v/>
      </c>
      <c r="M823" s="47" t="str">
        <f>IFERROR(VLOOKUP(G823,WholesaleExtract!B:M,12,FALSE),"")</f>
        <v/>
      </c>
      <c r="N823" s="27"/>
      <c r="O823" s="19"/>
      <c r="P823" s="19"/>
      <c r="Q823" s="47"/>
      <c r="R823" s="19"/>
      <c r="S823" s="19"/>
    </row>
    <row r="824" spans="1:19" x14ac:dyDescent="0.35">
      <c r="A824" s="26" t="s">
        <v>543</v>
      </c>
      <c r="B824" s="26" t="s">
        <v>543</v>
      </c>
      <c r="C824" s="26"/>
      <c r="D824" s="26" t="s">
        <v>543</v>
      </c>
      <c r="E824" s="26" t="str">
        <f>IFERROR(VLOOKUP(G824,WholesaleExtract!B:J,9,FALSE),"")</f>
        <v/>
      </c>
      <c r="F824" s="26" t="str">
        <f>IFERROR(VLOOKUP(G824,WholesaleExtract!B:J,6,FALSE),"")</f>
        <v/>
      </c>
      <c r="G824" s="46"/>
      <c r="H824" s="47" t="str">
        <f>IFERROR(VLOOKUP(G824,WholesaleExtract!B:L,11,FALSE),"")</f>
        <v/>
      </c>
      <c r="I824" s="26" t="str">
        <f>IFERROR(VLOOKUP(G824,WholesaleExtract!B:O,8,FALSE),"")</f>
        <v/>
      </c>
      <c r="J824" s="26" t="str">
        <f>IFERROR(VLOOKUP(G824,WholesaleExtract!B:O,14,FALSE),"")</f>
        <v/>
      </c>
      <c r="K824" s="26" t="str">
        <f>IFERROR(VLOOKUP(G824,WholesaleExtract!B:K,10,FALSE),"")</f>
        <v/>
      </c>
      <c r="L824" s="47" t="str">
        <f>IFERROR(VLOOKUP(G824,WholesaleExtract!B:L,11,FALSE),"")</f>
        <v/>
      </c>
      <c r="M824" s="47" t="str">
        <f>IFERROR(VLOOKUP(G824,WholesaleExtract!B:M,12,FALSE),"")</f>
        <v/>
      </c>
      <c r="N824" s="27"/>
      <c r="O824" s="19"/>
      <c r="P824" s="19"/>
      <c r="Q824" s="47"/>
      <c r="R824" s="19"/>
      <c r="S824" s="19"/>
    </row>
    <row r="825" spans="1:19" x14ac:dyDescent="0.35">
      <c r="A825" s="26" t="s">
        <v>543</v>
      </c>
      <c r="B825" s="26" t="s">
        <v>543</v>
      </c>
      <c r="C825" s="26"/>
      <c r="D825" s="26" t="s">
        <v>543</v>
      </c>
      <c r="E825" s="26" t="str">
        <f>IFERROR(VLOOKUP(G825,WholesaleExtract!B:J,9,FALSE),"")</f>
        <v/>
      </c>
      <c r="F825" s="26" t="str">
        <f>IFERROR(VLOOKUP(G825,WholesaleExtract!B:J,6,FALSE),"")</f>
        <v/>
      </c>
      <c r="G825" s="46"/>
      <c r="H825" s="47" t="str">
        <f>IFERROR(VLOOKUP(G825,WholesaleExtract!B:L,11,FALSE),"")</f>
        <v/>
      </c>
      <c r="I825" s="26" t="str">
        <f>IFERROR(VLOOKUP(G825,WholesaleExtract!B:O,8,FALSE),"")</f>
        <v/>
      </c>
      <c r="J825" s="26" t="str">
        <f>IFERROR(VLOOKUP(G825,WholesaleExtract!B:O,14,FALSE),"")</f>
        <v/>
      </c>
      <c r="K825" s="26" t="str">
        <f>IFERROR(VLOOKUP(G825,WholesaleExtract!B:K,10,FALSE),"")</f>
        <v/>
      </c>
      <c r="L825" s="47" t="str">
        <f>IFERROR(VLOOKUP(G825,WholesaleExtract!B:L,11,FALSE),"")</f>
        <v/>
      </c>
      <c r="M825" s="47" t="str">
        <f>IFERROR(VLOOKUP(G825,WholesaleExtract!B:M,12,FALSE),"")</f>
        <v/>
      </c>
      <c r="N825" s="27"/>
      <c r="O825" s="19"/>
      <c r="P825" s="19"/>
      <c r="Q825" s="47"/>
      <c r="R825" s="19"/>
      <c r="S825" s="19"/>
    </row>
    <row r="826" spans="1:19" x14ac:dyDescent="0.35">
      <c r="A826" s="26" t="s">
        <v>543</v>
      </c>
      <c r="B826" s="26" t="s">
        <v>543</v>
      </c>
      <c r="C826" s="26"/>
      <c r="D826" s="26" t="s">
        <v>543</v>
      </c>
      <c r="E826" s="26" t="str">
        <f>IFERROR(VLOOKUP(G826,WholesaleExtract!B:J,9,FALSE),"")</f>
        <v/>
      </c>
      <c r="F826" s="26" t="str">
        <f>IFERROR(VLOOKUP(G826,WholesaleExtract!B:J,6,FALSE),"")</f>
        <v/>
      </c>
      <c r="G826" s="46"/>
      <c r="H826" s="47" t="str">
        <f>IFERROR(VLOOKUP(G826,WholesaleExtract!B:L,11,FALSE),"")</f>
        <v/>
      </c>
      <c r="I826" s="26" t="str">
        <f>IFERROR(VLOOKUP(G826,WholesaleExtract!B:O,8,FALSE),"")</f>
        <v/>
      </c>
      <c r="J826" s="26" t="str">
        <f>IFERROR(VLOOKUP(G826,WholesaleExtract!B:O,14,FALSE),"")</f>
        <v/>
      </c>
      <c r="K826" s="26" t="str">
        <f>IFERROR(VLOOKUP(G826,WholesaleExtract!B:K,10,FALSE),"")</f>
        <v/>
      </c>
      <c r="L826" s="47" t="str">
        <f>IFERROR(VLOOKUP(G826,WholesaleExtract!B:L,11,FALSE),"")</f>
        <v/>
      </c>
      <c r="M826" s="47" t="str">
        <f>IFERROR(VLOOKUP(G826,WholesaleExtract!B:M,12,FALSE),"")</f>
        <v/>
      </c>
      <c r="N826" s="27"/>
      <c r="O826" s="19"/>
      <c r="P826" s="19"/>
      <c r="Q826" s="47"/>
      <c r="R826" s="19"/>
      <c r="S826" s="19"/>
    </row>
    <row r="827" spans="1:19" x14ac:dyDescent="0.35">
      <c r="A827" s="26" t="s">
        <v>543</v>
      </c>
      <c r="B827" s="26" t="s">
        <v>543</v>
      </c>
      <c r="C827" s="26"/>
      <c r="D827" s="26" t="s">
        <v>543</v>
      </c>
      <c r="E827" s="26" t="str">
        <f>IFERROR(VLOOKUP(G827,WholesaleExtract!B:J,9,FALSE),"")</f>
        <v/>
      </c>
      <c r="F827" s="26" t="str">
        <f>IFERROR(VLOOKUP(G827,WholesaleExtract!B:J,6,FALSE),"")</f>
        <v/>
      </c>
      <c r="G827" s="46"/>
      <c r="H827" s="47" t="str">
        <f>IFERROR(VLOOKUP(G827,WholesaleExtract!B:L,11,FALSE),"")</f>
        <v/>
      </c>
      <c r="I827" s="26" t="str">
        <f>IFERROR(VLOOKUP(G827,WholesaleExtract!B:O,8,FALSE),"")</f>
        <v/>
      </c>
      <c r="J827" s="26" t="str">
        <f>IFERROR(VLOOKUP(G827,WholesaleExtract!B:O,14,FALSE),"")</f>
        <v/>
      </c>
      <c r="K827" s="26" t="str">
        <f>IFERROR(VLOOKUP(G827,WholesaleExtract!B:K,10,FALSE),"")</f>
        <v/>
      </c>
      <c r="L827" s="47" t="str">
        <f>IFERROR(VLOOKUP(G827,WholesaleExtract!B:L,11,FALSE),"")</f>
        <v/>
      </c>
      <c r="M827" s="47" t="str">
        <f>IFERROR(VLOOKUP(G827,WholesaleExtract!B:M,12,FALSE),"")</f>
        <v/>
      </c>
      <c r="N827" s="27"/>
      <c r="O827" s="19"/>
      <c r="P827" s="19"/>
      <c r="Q827" s="47"/>
      <c r="R827" s="19"/>
      <c r="S827" s="19"/>
    </row>
    <row r="828" spans="1:19" x14ac:dyDescent="0.35">
      <c r="A828" s="26" t="s">
        <v>543</v>
      </c>
      <c r="B828" s="26" t="s">
        <v>543</v>
      </c>
      <c r="C828" s="26"/>
      <c r="D828" s="26" t="s">
        <v>543</v>
      </c>
      <c r="E828" s="26" t="str">
        <f>IFERROR(VLOOKUP(G828,WholesaleExtract!B:J,9,FALSE),"")</f>
        <v/>
      </c>
      <c r="F828" s="26" t="str">
        <f>IFERROR(VLOOKUP(G828,WholesaleExtract!B:J,6,FALSE),"")</f>
        <v/>
      </c>
      <c r="G828" s="46"/>
      <c r="H828" s="47" t="str">
        <f>IFERROR(VLOOKUP(G828,WholesaleExtract!B:L,11,FALSE),"")</f>
        <v/>
      </c>
      <c r="I828" s="26" t="str">
        <f>IFERROR(VLOOKUP(G828,WholesaleExtract!B:O,8,FALSE),"")</f>
        <v/>
      </c>
      <c r="J828" s="26" t="str">
        <f>IFERROR(VLOOKUP(G828,WholesaleExtract!B:O,14,FALSE),"")</f>
        <v/>
      </c>
      <c r="K828" s="26" t="str">
        <f>IFERROR(VLOOKUP(G828,WholesaleExtract!B:K,10,FALSE),"")</f>
        <v/>
      </c>
      <c r="L828" s="47" t="str">
        <f>IFERROR(VLOOKUP(G828,WholesaleExtract!B:L,11,FALSE),"")</f>
        <v/>
      </c>
      <c r="M828" s="47" t="str">
        <f>IFERROR(VLOOKUP(G828,WholesaleExtract!B:M,12,FALSE),"")</f>
        <v/>
      </c>
      <c r="N828" s="27"/>
      <c r="O828" s="19"/>
      <c r="P828" s="19"/>
      <c r="Q828" s="47"/>
      <c r="R828" s="19"/>
      <c r="S828" s="19"/>
    </row>
    <row r="829" spans="1:19" x14ac:dyDescent="0.35">
      <c r="A829" s="26" t="s">
        <v>543</v>
      </c>
      <c r="B829" s="26" t="s">
        <v>543</v>
      </c>
      <c r="C829" s="26"/>
      <c r="D829" s="26" t="s">
        <v>543</v>
      </c>
      <c r="E829" s="26" t="str">
        <f>IFERROR(VLOOKUP(G829,WholesaleExtract!B:J,9,FALSE),"")</f>
        <v/>
      </c>
      <c r="F829" s="26" t="str">
        <f>IFERROR(VLOOKUP(G829,WholesaleExtract!B:J,6,FALSE),"")</f>
        <v/>
      </c>
      <c r="G829" s="46"/>
      <c r="H829" s="47" t="str">
        <f>IFERROR(VLOOKUP(G829,WholesaleExtract!B:L,11,FALSE),"")</f>
        <v/>
      </c>
      <c r="I829" s="26" t="str">
        <f>IFERROR(VLOOKUP(G829,WholesaleExtract!B:O,8,FALSE),"")</f>
        <v/>
      </c>
      <c r="J829" s="26" t="str">
        <f>IFERROR(VLOOKUP(G829,WholesaleExtract!B:O,14,FALSE),"")</f>
        <v/>
      </c>
      <c r="K829" s="26" t="str">
        <f>IFERROR(VLOOKUP(G829,WholesaleExtract!B:K,10,FALSE),"")</f>
        <v/>
      </c>
      <c r="L829" s="47" t="str">
        <f>IFERROR(VLOOKUP(G829,WholesaleExtract!B:L,11,FALSE),"")</f>
        <v/>
      </c>
      <c r="M829" s="47" t="str">
        <f>IFERROR(VLOOKUP(G829,WholesaleExtract!B:M,12,FALSE),"")</f>
        <v/>
      </c>
      <c r="N829" s="27"/>
      <c r="O829" s="19"/>
      <c r="P829" s="19"/>
      <c r="Q829" s="47"/>
      <c r="R829" s="19"/>
      <c r="S829" s="19"/>
    </row>
    <row r="830" spans="1:19" x14ac:dyDescent="0.35">
      <c r="A830" s="26" t="s">
        <v>543</v>
      </c>
      <c r="B830" s="26" t="s">
        <v>543</v>
      </c>
      <c r="C830" s="26"/>
      <c r="D830" s="26" t="s">
        <v>543</v>
      </c>
      <c r="E830" s="26" t="str">
        <f>IFERROR(VLOOKUP(G830,WholesaleExtract!B:J,9,FALSE),"")</f>
        <v/>
      </c>
      <c r="F830" s="26" t="str">
        <f>IFERROR(VLOOKUP(G830,WholesaleExtract!B:J,6,FALSE),"")</f>
        <v/>
      </c>
      <c r="G830" s="46"/>
      <c r="H830" s="47" t="str">
        <f>IFERROR(VLOOKUP(G830,WholesaleExtract!B:L,11,FALSE),"")</f>
        <v/>
      </c>
      <c r="I830" s="26" t="str">
        <f>IFERROR(VLOOKUP(G830,WholesaleExtract!B:O,8,FALSE),"")</f>
        <v/>
      </c>
      <c r="J830" s="26" t="str">
        <f>IFERROR(VLOOKUP(G830,WholesaleExtract!B:O,14,FALSE),"")</f>
        <v/>
      </c>
      <c r="K830" s="26" t="str">
        <f>IFERROR(VLOOKUP(G830,WholesaleExtract!B:K,10,FALSE),"")</f>
        <v/>
      </c>
      <c r="L830" s="47" t="str">
        <f>IFERROR(VLOOKUP(G830,WholesaleExtract!B:L,11,FALSE),"")</f>
        <v/>
      </c>
      <c r="M830" s="47" t="str">
        <f>IFERROR(VLOOKUP(G830,WholesaleExtract!B:M,12,FALSE),"")</f>
        <v/>
      </c>
      <c r="N830" s="27"/>
      <c r="O830" s="19"/>
      <c r="P830" s="19"/>
      <c r="Q830" s="47"/>
      <c r="R830" s="19"/>
      <c r="S830" s="19"/>
    </row>
    <row r="831" spans="1:19" x14ac:dyDescent="0.35">
      <c r="A831" s="26" t="s">
        <v>543</v>
      </c>
      <c r="B831" s="26" t="s">
        <v>543</v>
      </c>
      <c r="C831" s="26"/>
      <c r="D831" s="26" t="s">
        <v>543</v>
      </c>
      <c r="E831" s="26" t="str">
        <f>IFERROR(VLOOKUP(G831,WholesaleExtract!B:J,9,FALSE),"")</f>
        <v/>
      </c>
      <c r="F831" s="26" t="str">
        <f>IFERROR(VLOOKUP(G831,WholesaleExtract!B:J,6,FALSE),"")</f>
        <v/>
      </c>
      <c r="G831" s="46"/>
      <c r="H831" s="47" t="str">
        <f>IFERROR(VLOOKUP(G831,WholesaleExtract!B:L,11,FALSE),"")</f>
        <v/>
      </c>
      <c r="I831" s="26" t="str">
        <f>IFERROR(VLOOKUP(G831,WholesaleExtract!B:O,8,FALSE),"")</f>
        <v/>
      </c>
      <c r="J831" s="26" t="str">
        <f>IFERROR(VLOOKUP(G831,WholesaleExtract!B:O,14,FALSE),"")</f>
        <v/>
      </c>
      <c r="K831" s="26" t="str">
        <f>IFERROR(VLOOKUP(G831,WholesaleExtract!B:K,10,FALSE),"")</f>
        <v/>
      </c>
      <c r="L831" s="47" t="str">
        <f>IFERROR(VLOOKUP(G831,WholesaleExtract!B:L,11,FALSE),"")</f>
        <v/>
      </c>
      <c r="M831" s="47" t="str">
        <f>IFERROR(VLOOKUP(G831,WholesaleExtract!B:M,12,FALSE),"")</f>
        <v/>
      </c>
      <c r="N831" s="27"/>
      <c r="O831" s="19"/>
      <c r="P831" s="19"/>
      <c r="Q831" s="47"/>
      <c r="R831" s="19"/>
      <c r="S831" s="19"/>
    </row>
    <row r="832" spans="1:19" x14ac:dyDescent="0.35">
      <c r="A832" s="26" t="s">
        <v>543</v>
      </c>
      <c r="B832" s="26" t="s">
        <v>543</v>
      </c>
      <c r="C832" s="26"/>
      <c r="D832" s="26" t="s">
        <v>543</v>
      </c>
      <c r="E832" s="26" t="str">
        <f>IFERROR(VLOOKUP(G832,WholesaleExtract!B:J,9,FALSE),"")</f>
        <v/>
      </c>
      <c r="F832" s="26" t="str">
        <f>IFERROR(VLOOKUP(G832,WholesaleExtract!B:J,6,FALSE),"")</f>
        <v/>
      </c>
      <c r="G832" s="46"/>
      <c r="H832" s="47" t="str">
        <f>IFERROR(VLOOKUP(G832,WholesaleExtract!B:L,11,FALSE),"")</f>
        <v/>
      </c>
      <c r="I832" s="26" t="str">
        <f>IFERROR(VLOOKUP(G832,WholesaleExtract!B:O,8,FALSE),"")</f>
        <v/>
      </c>
      <c r="J832" s="26" t="str">
        <f>IFERROR(VLOOKUP(G832,WholesaleExtract!B:O,14,FALSE),"")</f>
        <v/>
      </c>
      <c r="K832" s="26" t="str">
        <f>IFERROR(VLOOKUP(G832,WholesaleExtract!B:K,10,FALSE),"")</f>
        <v/>
      </c>
      <c r="L832" s="47" t="str">
        <f>IFERROR(VLOOKUP(G832,WholesaleExtract!B:L,11,FALSE),"")</f>
        <v/>
      </c>
      <c r="M832" s="47" t="str">
        <f>IFERROR(VLOOKUP(G832,WholesaleExtract!B:M,12,FALSE),"")</f>
        <v/>
      </c>
      <c r="N832" s="27"/>
      <c r="O832" s="19"/>
      <c r="P832" s="19"/>
      <c r="Q832" s="47"/>
      <c r="R832" s="19"/>
      <c r="S832" s="19"/>
    </row>
    <row r="833" spans="1:19" x14ac:dyDescent="0.35">
      <c r="A833" s="26" t="s">
        <v>543</v>
      </c>
      <c r="B833" s="26" t="s">
        <v>543</v>
      </c>
      <c r="C833" s="26"/>
      <c r="D833" s="26" t="s">
        <v>543</v>
      </c>
      <c r="E833" s="26" t="str">
        <f>IFERROR(VLOOKUP(G833,WholesaleExtract!B:J,9,FALSE),"")</f>
        <v/>
      </c>
      <c r="F833" s="26" t="str">
        <f>IFERROR(VLOOKUP(G833,WholesaleExtract!B:J,6,FALSE),"")</f>
        <v/>
      </c>
      <c r="G833" s="46"/>
      <c r="H833" s="47" t="str">
        <f>IFERROR(VLOOKUP(G833,WholesaleExtract!B:L,11,FALSE),"")</f>
        <v/>
      </c>
      <c r="I833" s="26" t="str">
        <f>IFERROR(VLOOKUP(G833,WholesaleExtract!B:O,8,FALSE),"")</f>
        <v/>
      </c>
      <c r="J833" s="26" t="str">
        <f>IFERROR(VLOOKUP(G833,WholesaleExtract!B:O,14,FALSE),"")</f>
        <v/>
      </c>
      <c r="K833" s="26" t="str">
        <f>IFERROR(VLOOKUP(G833,WholesaleExtract!B:K,10,FALSE),"")</f>
        <v/>
      </c>
      <c r="L833" s="47" t="str">
        <f>IFERROR(VLOOKUP(G833,WholesaleExtract!B:L,11,FALSE),"")</f>
        <v/>
      </c>
      <c r="M833" s="47" t="str">
        <f>IFERROR(VLOOKUP(G833,WholesaleExtract!B:M,12,FALSE),"")</f>
        <v/>
      </c>
      <c r="N833" s="27"/>
      <c r="O833" s="19"/>
      <c r="P833" s="19"/>
      <c r="Q833" s="47"/>
      <c r="R833" s="19"/>
      <c r="S833" s="19"/>
    </row>
    <row r="834" spans="1:19" x14ac:dyDescent="0.35">
      <c r="A834" s="26" t="s">
        <v>543</v>
      </c>
      <c r="B834" s="26" t="s">
        <v>543</v>
      </c>
      <c r="C834" s="26"/>
      <c r="D834" s="26" t="s">
        <v>543</v>
      </c>
      <c r="E834" s="26" t="str">
        <f>IFERROR(VLOOKUP(G834,WholesaleExtract!B:J,9,FALSE),"")</f>
        <v/>
      </c>
      <c r="F834" s="26" t="str">
        <f>IFERROR(VLOOKUP(G834,WholesaleExtract!B:J,6,FALSE),"")</f>
        <v/>
      </c>
      <c r="G834" s="46"/>
      <c r="H834" s="47" t="str">
        <f>IFERROR(VLOOKUP(G834,WholesaleExtract!B:L,11,FALSE),"")</f>
        <v/>
      </c>
      <c r="I834" s="26" t="str">
        <f>IFERROR(VLOOKUP(G834,WholesaleExtract!B:O,8,FALSE),"")</f>
        <v/>
      </c>
      <c r="J834" s="26" t="str">
        <f>IFERROR(VLOOKUP(G834,WholesaleExtract!B:O,14,FALSE),"")</f>
        <v/>
      </c>
      <c r="K834" s="26" t="str">
        <f>IFERROR(VLOOKUP(G834,WholesaleExtract!B:K,10,FALSE),"")</f>
        <v/>
      </c>
      <c r="L834" s="47" t="str">
        <f>IFERROR(VLOOKUP(G834,WholesaleExtract!B:L,11,FALSE),"")</f>
        <v/>
      </c>
      <c r="M834" s="47" t="str">
        <f>IFERROR(VLOOKUP(G834,WholesaleExtract!B:M,12,FALSE),"")</f>
        <v/>
      </c>
      <c r="N834" s="27"/>
      <c r="O834" s="19"/>
      <c r="P834" s="19"/>
      <c r="Q834" s="47"/>
      <c r="R834" s="19"/>
      <c r="S834" s="19"/>
    </row>
    <row r="835" spans="1:19" x14ac:dyDescent="0.35">
      <c r="A835" s="26" t="s">
        <v>543</v>
      </c>
      <c r="B835" s="26" t="s">
        <v>543</v>
      </c>
      <c r="C835" s="26"/>
      <c r="D835" s="26" t="s">
        <v>543</v>
      </c>
      <c r="E835" s="26" t="str">
        <f>IFERROR(VLOOKUP(G835,WholesaleExtract!B:J,9,FALSE),"")</f>
        <v/>
      </c>
      <c r="F835" s="26" t="str">
        <f>IFERROR(VLOOKUP(G835,WholesaleExtract!B:J,6,FALSE),"")</f>
        <v/>
      </c>
      <c r="G835" s="46"/>
      <c r="H835" s="47" t="str">
        <f>IFERROR(VLOOKUP(G835,WholesaleExtract!B:L,11,FALSE),"")</f>
        <v/>
      </c>
      <c r="I835" s="26" t="str">
        <f>IFERROR(VLOOKUP(G835,WholesaleExtract!B:O,8,FALSE),"")</f>
        <v/>
      </c>
      <c r="J835" s="26" t="str">
        <f>IFERROR(VLOOKUP(G835,WholesaleExtract!B:O,14,FALSE),"")</f>
        <v/>
      </c>
      <c r="K835" s="26" t="str">
        <f>IFERROR(VLOOKUP(G835,WholesaleExtract!B:K,10,FALSE),"")</f>
        <v/>
      </c>
      <c r="L835" s="47" t="str">
        <f>IFERROR(VLOOKUP(G835,WholesaleExtract!B:L,11,FALSE),"")</f>
        <v/>
      </c>
      <c r="M835" s="47" t="str">
        <f>IFERROR(VLOOKUP(G835,WholesaleExtract!B:M,12,FALSE),"")</f>
        <v/>
      </c>
      <c r="N835" s="27"/>
      <c r="O835" s="19"/>
      <c r="P835" s="19"/>
      <c r="Q835" s="47"/>
      <c r="R835" s="19"/>
      <c r="S835" s="19"/>
    </row>
    <row r="836" spans="1:19" x14ac:dyDescent="0.35">
      <c r="A836" s="26" t="s">
        <v>543</v>
      </c>
      <c r="B836" s="26" t="s">
        <v>543</v>
      </c>
      <c r="C836" s="26"/>
      <c r="D836" s="26" t="s">
        <v>543</v>
      </c>
      <c r="E836" s="26" t="str">
        <f>IFERROR(VLOOKUP(G836,WholesaleExtract!B:J,9,FALSE),"")</f>
        <v/>
      </c>
      <c r="F836" s="26" t="str">
        <f>IFERROR(VLOOKUP(G836,WholesaleExtract!B:J,6,FALSE),"")</f>
        <v/>
      </c>
      <c r="G836" s="46"/>
      <c r="H836" s="47" t="str">
        <f>IFERROR(VLOOKUP(G836,WholesaleExtract!B:L,11,FALSE),"")</f>
        <v/>
      </c>
      <c r="I836" s="26" t="str">
        <f>IFERROR(VLOOKUP(G836,WholesaleExtract!B:O,8,FALSE),"")</f>
        <v/>
      </c>
      <c r="J836" s="26" t="str">
        <f>IFERROR(VLOOKUP(G836,WholesaleExtract!B:O,14,FALSE),"")</f>
        <v/>
      </c>
      <c r="K836" s="26" t="str">
        <f>IFERROR(VLOOKUP(G836,WholesaleExtract!B:K,10,FALSE),"")</f>
        <v/>
      </c>
      <c r="L836" s="47" t="str">
        <f>IFERROR(VLOOKUP(G836,WholesaleExtract!B:L,11,FALSE),"")</f>
        <v/>
      </c>
      <c r="M836" s="47" t="str">
        <f>IFERROR(VLOOKUP(G836,WholesaleExtract!B:M,12,FALSE),"")</f>
        <v/>
      </c>
      <c r="N836" s="27"/>
      <c r="O836" s="19"/>
      <c r="P836" s="19"/>
      <c r="Q836" s="47"/>
      <c r="R836" s="19"/>
      <c r="S836" s="19"/>
    </row>
    <row r="837" spans="1:19" x14ac:dyDescent="0.35">
      <c r="A837" s="26" t="s">
        <v>543</v>
      </c>
      <c r="B837" s="26" t="s">
        <v>543</v>
      </c>
      <c r="C837" s="26"/>
      <c r="D837" s="26" t="s">
        <v>543</v>
      </c>
      <c r="E837" s="26" t="str">
        <f>IFERROR(VLOOKUP(G837,WholesaleExtract!B:J,9,FALSE),"")</f>
        <v/>
      </c>
      <c r="F837" s="26" t="str">
        <f>IFERROR(VLOOKUP(G837,WholesaleExtract!B:J,6,FALSE),"")</f>
        <v/>
      </c>
      <c r="G837" s="46"/>
      <c r="H837" s="47" t="str">
        <f>IFERROR(VLOOKUP(G837,WholesaleExtract!B:L,11,FALSE),"")</f>
        <v/>
      </c>
      <c r="I837" s="26" t="str">
        <f>IFERROR(VLOOKUP(G837,WholesaleExtract!B:O,8,FALSE),"")</f>
        <v/>
      </c>
      <c r="J837" s="26" t="str">
        <f>IFERROR(VLOOKUP(G837,WholesaleExtract!B:O,14,FALSE),"")</f>
        <v/>
      </c>
      <c r="K837" s="26" t="str">
        <f>IFERROR(VLOOKUP(G837,WholesaleExtract!B:K,10,FALSE),"")</f>
        <v/>
      </c>
      <c r="L837" s="47" t="str">
        <f>IFERROR(VLOOKUP(G837,WholesaleExtract!B:L,11,FALSE),"")</f>
        <v/>
      </c>
      <c r="M837" s="47" t="str">
        <f>IFERROR(VLOOKUP(G837,WholesaleExtract!B:M,12,FALSE),"")</f>
        <v/>
      </c>
      <c r="N837" s="27"/>
      <c r="O837" s="19"/>
      <c r="P837" s="19"/>
      <c r="Q837" s="47"/>
      <c r="R837" s="19"/>
      <c r="S837" s="19"/>
    </row>
    <row r="838" spans="1:19" x14ac:dyDescent="0.35">
      <c r="A838" s="26" t="s">
        <v>543</v>
      </c>
      <c r="B838" s="26" t="s">
        <v>543</v>
      </c>
      <c r="C838" s="26"/>
      <c r="D838" s="26" t="s">
        <v>543</v>
      </c>
      <c r="E838" s="26" t="str">
        <f>IFERROR(VLOOKUP(G838,WholesaleExtract!B:J,9,FALSE),"")</f>
        <v/>
      </c>
      <c r="F838" s="26" t="str">
        <f>IFERROR(VLOOKUP(G838,WholesaleExtract!B:J,6,FALSE),"")</f>
        <v/>
      </c>
      <c r="G838" s="46"/>
      <c r="H838" s="47" t="str">
        <f>IFERROR(VLOOKUP(G838,WholesaleExtract!B:L,11,FALSE),"")</f>
        <v/>
      </c>
      <c r="I838" s="26" t="str">
        <f>IFERROR(VLOOKUP(G838,WholesaleExtract!B:O,8,FALSE),"")</f>
        <v/>
      </c>
      <c r="J838" s="26" t="str">
        <f>IFERROR(VLOOKUP(G838,WholesaleExtract!B:O,14,FALSE),"")</f>
        <v/>
      </c>
      <c r="K838" s="26" t="str">
        <f>IFERROR(VLOOKUP(G838,WholesaleExtract!B:K,10,FALSE),"")</f>
        <v/>
      </c>
      <c r="L838" s="47" t="str">
        <f>IFERROR(VLOOKUP(G838,WholesaleExtract!B:L,11,FALSE),"")</f>
        <v/>
      </c>
      <c r="M838" s="47" t="str">
        <f>IFERROR(VLOOKUP(G838,WholesaleExtract!B:M,12,FALSE),"")</f>
        <v/>
      </c>
      <c r="N838" s="27"/>
      <c r="O838" s="19"/>
      <c r="P838" s="19"/>
      <c r="Q838" s="47"/>
      <c r="R838" s="19"/>
      <c r="S838" s="19"/>
    </row>
    <row r="839" spans="1:19" x14ac:dyDescent="0.35">
      <c r="A839" s="26" t="s">
        <v>543</v>
      </c>
      <c r="B839" s="26" t="s">
        <v>543</v>
      </c>
      <c r="C839" s="26"/>
      <c r="D839" s="26" t="s">
        <v>543</v>
      </c>
      <c r="E839" s="26" t="str">
        <f>IFERROR(VLOOKUP(G839,WholesaleExtract!B:J,9,FALSE),"")</f>
        <v/>
      </c>
      <c r="F839" s="26" t="str">
        <f>IFERROR(VLOOKUP(G839,WholesaleExtract!B:J,6,FALSE),"")</f>
        <v/>
      </c>
      <c r="G839" s="46"/>
      <c r="H839" s="47" t="str">
        <f>IFERROR(VLOOKUP(G839,WholesaleExtract!B:L,11,FALSE),"")</f>
        <v/>
      </c>
      <c r="I839" s="26" t="str">
        <f>IFERROR(VLOOKUP(G839,WholesaleExtract!B:O,8,FALSE),"")</f>
        <v/>
      </c>
      <c r="J839" s="26" t="str">
        <f>IFERROR(VLOOKUP(G839,WholesaleExtract!B:O,14,FALSE),"")</f>
        <v/>
      </c>
      <c r="K839" s="26" t="str">
        <f>IFERROR(VLOOKUP(G839,WholesaleExtract!B:K,10,FALSE),"")</f>
        <v/>
      </c>
      <c r="L839" s="47" t="str">
        <f>IFERROR(VLOOKUP(G839,WholesaleExtract!B:L,11,FALSE),"")</f>
        <v/>
      </c>
      <c r="M839" s="47" t="str">
        <f>IFERROR(VLOOKUP(G839,WholesaleExtract!B:M,12,FALSE),"")</f>
        <v/>
      </c>
      <c r="N839" s="27"/>
      <c r="O839" s="19"/>
      <c r="P839" s="19"/>
      <c r="Q839" s="47"/>
      <c r="R839" s="19"/>
      <c r="S839" s="19"/>
    </row>
    <row r="840" spans="1:19" x14ac:dyDescent="0.35">
      <c r="A840" s="26" t="s">
        <v>543</v>
      </c>
      <c r="B840" s="26" t="s">
        <v>543</v>
      </c>
      <c r="C840" s="26"/>
      <c r="D840" s="26" t="s">
        <v>543</v>
      </c>
      <c r="E840" s="26" t="str">
        <f>IFERROR(VLOOKUP(G840,WholesaleExtract!B:J,9,FALSE),"")</f>
        <v/>
      </c>
      <c r="F840" s="26" t="str">
        <f>IFERROR(VLOOKUP(G840,WholesaleExtract!B:J,6,FALSE),"")</f>
        <v/>
      </c>
      <c r="G840" s="46"/>
      <c r="H840" s="47" t="str">
        <f>IFERROR(VLOOKUP(G840,WholesaleExtract!B:L,11,FALSE),"")</f>
        <v/>
      </c>
      <c r="I840" s="26" t="str">
        <f>IFERROR(VLOOKUP(G840,WholesaleExtract!B:O,8,FALSE),"")</f>
        <v/>
      </c>
      <c r="J840" s="26" t="str">
        <f>IFERROR(VLOOKUP(G840,WholesaleExtract!B:O,14,FALSE),"")</f>
        <v/>
      </c>
      <c r="K840" s="26" t="str">
        <f>IFERROR(VLOOKUP(G840,WholesaleExtract!B:K,10,FALSE),"")</f>
        <v/>
      </c>
      <c r="L840" s="47" t="str">
        <f>IFERROR(VLOOKUP(G840,WholesaleExtract!B:L,11,FALSE),"")</f>
        <v/>
      </c>
      <c r="M840" s="47" t="str">
        <f>IFERROR(VLOOKUP(G840,WholesaleExtract!B:M,12,FALSE),"")</f>
        <v/>
      </c>
      <c r="N840" s="27"/>
      <c r="O840" s="19"/>
      <c r="P840" s="19"/>
      <c r="Q840" s="47"/>
      <c r="R840" s="19"/>
      <c r="S840" s="19"/>
    </row>
    <row r="841" spans="1:19" x14ac:dyDescent="0.35">
      <c r="A841" s="26" t="s">
        <v>543</v>
      </c>
      <c r="B841" s="26" t="s">
        <v>543</v>
      </c>
      <c r="C841" s="26"/>
      <c r="D841" s="26" t="s">
        <v>543</v>
      </c>
      <c r="E841" s="26" t="str">
        <f>IFERROR(VLOOKUP(G841,WholesaleExtract!B:J,9,FALSE),"")</f>
        <v/>
      </c>
      <c r="F841" s="26" t="str">
        <f>IFERROR(VLOOKUP(G841,WholesaleExtract!B:J,6,FALSE),"")</f>
        <v/>
      </c>
      <c r="G841" s="46"/>
      <c r="H841" s="47" t="str">
        <f>IFERROR(VLOOKUP(G841,WholesaleExtract!B:L,11,FALSE),"")</f>
        <v/>
      </c>
      <c r="I841" s="26" t="str">
        <f>IFERROR(VLOOKUP(G841,WholesaleExtract!B:O,8,FALSE),"")</f>
        <v/>
      </c>
      <c r="J841" s="26" t="str">
        <f>IFERROR(VLOOKUP(G841,WholesaleExtract!B:O,14,FALSE),"")</f>
        <v/>
      </c>
      <c r="K841" s="26" t="str">
        <f>IFERROR(VLOOKUP(G841,WholesaleExtract!B:K,10,FALSE),"")</f>
        <v/>
      </c>
      <c r="L841" s="47" t="str">
        <f>IFERROR(VLOOKUP(G841,WholesaleExtract!B:L,11,FALSE),"")</f>
        <v/>
      </c>
      <c r="M841" s="47" t="str">
        <f>IFERROR(VLOOKUP(G841,WholesaleExtract!B:M,12,FALSE),"")</f>
        <v/>
      </c>
      <c r="N841" s="27"/>
      <c r="O841" s="19"/>
      <c r="P841" s="19"/>
      <c r="Q841" s="47"/>
      <c r="R841" s="19"/>
      <c r="S841" s="19"/>
    </row>
    <row r="842" spans="1:19" x14ac:dyDescent="0.35">
      <c r="A842" s="26" t="s">
        <v>543</v>
      </c>
      <c r="B842" s="26" t="s">
        <v>543</v>
      </c>
      <c r="C842" s="26"/>
      <c r="D842" s="26" t="s">
        <v>543</v>
      </c>
      <c r="E842" s="26" t="str">
        <f>IFERROR(VLOOKUP(G842,WholesaleExtract!B:J,9,FALSE),"")</f>
        <v/>
      </c>
      <c r="F842" s="26" t="str">
        <f>IFERROR(VLOOKUP(G842,WholesaleExtract!B:J,6,FALSE),"")</f>
        <v/>
      </c>
      <c r="G842" s="46"/>
      <c r="H842" s="47" t="str">
        <f>IFERROR(VLOOKUP(G842,WholesaleExtract!B:L,11,FALSE),"")</f>
        <v/>
      </c>
      <c r="I842" s="26" t="str">
        <f>IFERROR(VLOOKUP(G842,WholesaleExtract!B:O,8,FALSE),"")</f>
        <v/>
      </c>
      <c r="J842" s="26" t="str">
        <f>IFERROR(VLOOKUP(G842,WholesaleExtract!B:O,14,FALSE),"")</f>
        <v/>
      </c>
      <c r="K842" s="26" t="str">
        <f>IFERROR(VLOOKUP(G842,WholesaleExtract!B:K,10,FALSE),"")</f>
        <v/>
      </c>
      <c r="L842" s="47" t="str">
        <f>IFERROR(VLOOKUP(G842,WholesaleExtract!B:L,11,FALSE),"")</f>
        <v/>
      </c>
      <c r="M842" s="47" t="str">
        <f>IFERROR(VLOOKUP(G842,WholesaleExtract!B:M,12,FALSE),"")</f>
        <v/>
      </c>
      <c r="N842" s="27"/>
      <c r="O842" s="19"/>
      <c r="P842" s="19"/>
      <c r="Q842" s="47"/>
      <c r="R842" s="19"/>
      <c r="S842" s="19"/>
    </row>
    <row r="843" spans="1:19" x14ac:dyDescent="0.35">
      <c r="A843" s="26" t="s">
        <v>543</v>
      </c>
      <c r="B843" s="26" t="s">
        <v>543</v>
      </c>
      <c r="C843" s="26"/>
      <c r="D843" s="26" t="s">
        <v>543</v>
      </c>
      <c r="E843" s="26" t="str">
        <f>IFERROR(VLOOKUP(G843,WholesaleExtract!B:J,9,FALSE),"")</f>
        <v/>
      </c>
      <c r="F843" s="26" t="str">
        <f>IFERROR(VLOOKUP(G843,WholesaleExtract!B:J,6,FALSE),"")</f>
        <v/>
      </c>
      <c r="G843" s="46"/>
      <c r="H843" s="47" t="str">
        <f>IFERROR(VLOOKUP(G843,WholesaleExtract!B:L,11,FALSE),"")</f>
        <v/>
      </c>
      <c r="I843" s="26" t="str">
        <f>IFERROR(VLOOKUP(G843,WholesaleExtract!B:O,8,FALSE),"")</f>
        <v/>
      </c>
      <c r="J843" s="26" t="str">
        <f>IFERROR(VLOOKUP(G843,WholesaleExtract!B:O,14,FALSE),"")</f>
        <v/>
      </c>
      <c r="K843" s="26" t="str">
        <f>IFERROR(VLOOKUP(G843,WholesaleExtract!B:K,10,FALSE),"")</f>
        <v/>
      </c>
      <c r="L843" s="47" t="str">
        <f>IFERROR(VLOOKUP(G843,WholesaleExtract!B:L,11,FALSE),"")</f>
        <v/>
      </c>
      <c r="M843" s="47" t="str">
        <f>IFERROR(VLOOKUP(G843,WholesaleExtract!B:M,12,FALSE),"")</f>
        <v/>
      </c>
      <c r="N843" s="27"/>
      <c r="O843" s="19"/>
      <c r="P843" s="19"/>
      <c r="Q843" s="47"/>
      <c r="R843" s="19"/>
      <c r="S843" s="19"/>
    </row>
    <row r="844" spans="1:19" x14ac:dyDescent="0.35">
      <c r="A844" s="26" t="s">
        <v>543</v>
      </c>
      <c r="B844" s="26" t="s">
        <v>543</v>
      </c>
      <c r="C844" s="26"/>
      <c r="D844" s="26" t="s">
        <v>543</v>
      </c>
      <c r="E844" s="26" t="str">
        <f>IFERROR(VLOOKUP(G844,WholesaleExtract!B:J,9,FALSE),"")</f>
        <v/>
      </c>
      <c r="F844" s="26" t="str">
        <f>IFERROR(VLOOKUP(G844,WholesaleExtract!B:J,6,FALSE),"")</f>
        <v/>
      </c>
      <c r="G844" s="46"/>
      <c r="H844" s="47" t="str">
        <f>IFERROR(VLOOKUP(G844,WholesaleExtract!B:L,11,FALSE),"")</f>
        <v/>
      </c>
      <c r="I844" s="26" t="str">
        <f>IFERROR(VLOOKUP(G844,WholesaleExtract!B:O,8,FALSE),"")</f>
        <v/>
      </c>
      <c r="J844" s="26" t="str">
        <f>IFERROR(VLOOKUP(G844,WholesaleExtract!B:O,14,FALSE),"")</f>
        <v/>
      </c>
      <c r="K844" s="26" t="str">
        <f>IFERROR(VLOOKUP(G844,WholesaleExtract!B:K,10,FALSE),"")</f>
        <v/>
      </c>
      <c r="L844" s="47" t="str">
        <f>IFERROR(VLOOKUP(G844,WholesaleExtract!B:L,11,FALSE),"")</f>
        <v/>
      </c>
      <c r="M844" s="47" t="str">
        <f>IFERROR(VLOOKUP(G844,WholesaleExtract!B:M,12,FALSE),"")</f>
        <v/>
      </c>
      <c r="N844" s="27"/>
      <c r="O844" s="19"/>
      <c r="P844" s="19"/>
      <c r="Q844" s="47"/>
      <c r="R844" s="19"/>
      <c r="S844" s="19"/>
    </row>
    <row r="845" spans="1:19" x14ac:dyDescent="0.35">
      <c r="A845" s="26" t="s">
        <v>543</v>
      </c>
      <c r="B845" s="26" t="s">
        <v>543</v>
      </c>
      <c r="C845" s="26"/>
      <c r="D845" s="26" t="s">
        <v>543</v>
      </c>
      <c r="E845" s="26" t="str">
        <f>IFERROR(VLOOKUP(G845,WholesaleExtract!B:J,9,FALSE),"")</f>
        <v/>
      </c>
      <c r="F845" s="26" t="str">
        <f>IFERROR(VLOOKUP(G845,WholesaleExtract!B:J,6,FALSE),"")</f>
        <v/>
      </c>
      <c r="G845" s="46"/>
      <c r="H845" s="47" t="str">
        <f>IFERROR(VLOOKUP(G845,WholesaleExtract!B:L,11,FALSE),"")</f>
        <v/>
      </c>
      <c r="I845" s="26" t="str">
        <f>IFERROR(VLOOKUP(G845,WholesaleExtract!B:O,8,FALSE),"")</f>
        <v/>
      </c>
      <c r="J845" s="26" t="str">
        <f>IFERROR(VLOOKUP(G845,WholesaleExtract!B:O,14,FALSE),"")</f>
        <v/>
      </c>
      <c r="K845" s="26" t="str">
        <f>IFERROR(VLOOKUP(G845,WholesaleExtract!B:K,10,FALSE),"")</f>
        <v/>
      </c>
      <c r="L845" s="47" t="str">
        <f>IFERROR(VLOOKUP(G845,WholesaleExtract!B:L,11,FALSE),"")</f>
        <v/>
      </c>
      <c r="M845" s="47" t="str">
        <f>IFERROR(VLOOKUP(G845,WholesaleExtract!B:M,12,FALSE),"")</f>
        <v/>
      </c>
      <c r="N845" s="27"/>
      <c r="O845" s="19"/>
      <c r="P845" s="19"/>
      <c r="Q845" s="47"/>
      <c r="R845" s="19"/>
      <c r="S845" s="19"/>
    </row>
    <row r="846" spans="1:19" x14ac:dyDescent="0.35">
      <c r="A846" s="26" t="s">
        <v>543</v>
      </c>
      <c r="B846" s="26" t="s">
        <v>543</v>
      </c>
      <c r="C846" s="26"/>
      <c r="D846" s="26" t="s">
        <v>543</v>
      </c>
      <c r="E846" s="26" t="str">
        <f>IFERROR(VLOOKUP(G846,WholesaleExtract!B:J,9,FALSE),"")</f>
        <v/>
      </c>
      <c r="F846" s="26" t="str">
        <f>IFERROR(VLOOKUP(G846,WholesaleExtract!B:J,6,FALSE),"")</f>
        <v/>
      </c>
      <c r="G846" s="46"/>
      <c r="H846" s="47" t="str">
        <f>IFERROR(VLOOKUP(G846,WholesaleExtract!B:L,11,FALSE),"")</f>
        <v/>
      </c>
      <c r="I846" s="26" t="str">
        <f>IFERROR(VLOOKUP(G846,WholesaleExtract!B:O,8,FALSE),"")</f>
        <v/>
      </c>
      <c r="J846" s="26" t="str">
        <f>IFERROR(VLOOKUP(G846,WholesaleExtract!B:O,14,FALSE),"")</f>
        <v/>
      </c>
      <c r="K846" s="26" t="str">
        <f>IFERROR(VLOOKUP(G846,WholesaleExtract!B:K,10,FALSE),"")</f>
        <v/>
      </c>
      <c r="L846" s="47" t="str">
        <f>IFERROR(VLOOKUP(G846,WholesaleExtract!B:L,11,FALSE),"")</f>
        <v/>
      </c>
      <c r="M846" s="47" t="str">
        <f>IFERROR(VLOOKUP(G846,WholesaleExtract!B:M,12,FALSE),"")</f>
        <v/>
      </c>
      <c r="N846" s="27"/>
      <c r="O846" s="19"/>
      <c r="P846" s="19"/>
      <c r="Q846" s="47"/>
      <c r="R846" s="19"/>
      <c r="S846" s="19"/>
    </row>
    <row r="847" spans="1:19" x14ac:dyDescent="0.35">
      <c r="A847" s="26" t="s">
        <v>543</v>
      </c>
      <c r="B847" s="26" t="s">
        <v>543</v>
      </c>
      <c r="C847" s="26"/>
      <c r="D847" s="26" t="s">
        <v>543</v>
      </c>
      <c r="E847" s="26" t="str">
        <f>IFERROR(VLOOKUP(G847,WholesaleExtract!B:J,9,FALSE),"")</f>
        <v/>
      </c>
      <c r="F847" s="26" t="str">
        <f>IFERROR(VLOOKUP(G847,WholesaleExtract!B:J,6,FALSE),"")</f>
        <v/>
      </c>
      <c r="G847" s="46"/>
      <c r="H847" s="47" t="str">
        <f>IFERROR(VLOOKUP(G847,WholesaleExtract!B:L,11,FALSE),"")</f>
        <v/>
      </c>
      <c r="I847" s="26" t="str">
        <f>IFERROR(VLOOKUP(G847,WholesaleExtract!B:O,8,FALSE),"")</f>
        <v/>
      </c>
      <c r="J847" s="26" t="str">
        <f>IFERROR(VLOOKUP(G847,WholesaleExtract!B:O,14,FALSE),"")</f>
        <v/>
      </c>
      <c r="K847" s="26" t="str">
        <f>IFERROR(VLOOKUP(G847,WholesaleExtract!B:K,10,FALSE),"")</f>
        <v/>
      </c>
      <c r="L847" s="47" t="str">
        <f>IFERROR(VLOOKUP(G847,WholesaleExtract!B:L,11,FALSE),"")</f>
        <v/>
      </c>
      <c r="M847" s="47" t="str">
        <f>IFERROR(VLOOKUP(G847,WholesaleExtract!B:M,12,FALSE),"")</f>
        <v/>
      </c>
      <c r="N847" s="27"/>
      <c r="O847" s="19"/>
      <c r="P847" s="19"/>
      <c r="Q847" s="47"/>
      <c r="R847" s="19"/>
      <c r="S847" s="19"/>
    </row>
    <row r="848" spans="1:19" x14ac:dyDescent="0.35">
      <c r="A848" s="26" t="s">
        <v>543</v>
      </c>
      <c r="B848" s="26" t="s">
        <v>543</v>
      </c>
      <c r="C848" s="26"/>
      <c r="D848" s="26" t="s">
        <v>543</v>
      </c>
      <c r="E848" s="26" t="str">
        <f>IFERROR(VLOOKUP(G848,WholesaleExtract!B:J,9,FALSE),"")</f>
        <v/>
      </c>
      <c r="F848" s="26" t="str">
        <f>IFERROR(VLOOKUP(G848,WholesaleExtract!B:J,6,FALSE),"")</f>
        <v/>
      </c>
      <c r="G848" s="46"/>
      <c r="H848" s="47" t="str">
        <f>IFERROR(VLOOKUP(G848,WholesaleExtract!B:L,11,FALSE),"")</f>
        <v/>
      </c>
      <c r="I848" s="26" t="str">
        <f>IFERROR(VLOOKUP(G848,WholesaleExtract!B:O,8,FALSE),"")</f>
        <v/>
      </c>
      <c r="J848" s="26" t="str">
        <f>IFERROR(VLOOKUP(G848,WholesaleExtract!B:O,14,FALSE),"")</f>
        <v/>
      </c>
      <c r="K848" s="26" t="str">
        <f>IFERROR(VLOOKUP(G848,WholesaleExtract!B:K,10,FALSE),"")</f>
        <v/>
      </c>
      <c r="L848" s="47" t="str">
        <f>IFERROR(VLOOKUP(G848,WholesaleExtract!B:L,11,FALSE),"")</f>
        <v/>
      </c>
      <c r="M848" s="47" t="str">
        <f>IFERROR(VLOOKUP(G848,WholesaleExtract!B:M,12,FALSE),"")</f>
        <v/>
      </c>
      <c r="N848" s="27"/>
      <c r="O848" s="19"/>
      <c r="P848" s="19"/>
      <c r="Q848" s="47"/>
      <c r="R848" s="19"/>
      <c r="S848" s="19"/>
    </row>
    <row r="849" spans="1:19" x14ac:dyDescent="0.35">
      <c r="A849" s="26" t="s">
        <v>543</v>
      </c>
      <c r="B849" s="26" t="s">
        <v>543</v>
      </c>
      <c r="C849" s="26"/>
      <c r="D849" s="26" t="s">
        <v>543</v>
      </c>
      <c r="E849" s="26" t="str">
        <f>IFERROR(VLOOKUP(G849,WholesaleExtract!B:J,9,FALSE),"")</f>
        <v/>
      </c>
      <c r="F849" s="26" t="str">
        <f>IFERROR(VLOOKUP(G849,WholesaleExtract!B:J,6,FALSE),"")</f>
        <v/>
      </c>
      <c r="G849" s="46"/>
      <c r="H849" s="47" t="str">
        <f>IFERROR(VLOOKUP(G849,WholesaleExtract!B:L,11,FALSE),"")</f>
        <v/>
      </c>
      <c r="I849" s="26" t="str">
        <f>IFERROR(VLOOKUP(G849,WholesaleExtract!B:O,8,FALSE),"")</f>
        <v/>
      </c>
      <c r="J849" s="26" t="str">
        <f>IFERROR(VLOOKUP(G849,WholesaleExtract!B:O,14,FALSE),"")</f>
        <v/>
      </c>
      <c r="K849" s="26" t="str">
        <f>IFERROR(VLOOKUP(G849,WholesaleExtract!B:K,10,FALSE),"")</f>
        <v/>
      </c>
      <c r="L849" s="47" t="str">
        <f>IFERROR(VLOOKUP(G849,WholesaleExtract!B:L,11,FALSE),"")</f>
        <v/>
      </c>
      <c r="M849" s="47" t="str">
        <f>IFERROR(VLOOKUP(G849,WholesaleExtract!B:M,12,FALSE),"")</f>
        <v/>
      </c>
      <c r="N849" s="27"/>
      <c r="O849" s="19"/>
      <c r="P849" s="19"/>
      <c r="Q849" s="47"/>
      <c r="R849" s="19"/>
      <c r="S849" s="19"/>
    </row>
    <row r="850" spans="1:19" x14ac:dyDescent="0.35">
      <c r="A850" s="26" t="s">
        <v>543</v>
      </c>
      <c r="B850" s="26" t="s">
        <v>543</v>
      </c>
      <c r="C850" s="26"/>
      <c r="D850" s="26" t="s">
        <v>543</v>
      </c>
      <c r="E850" s="26" t="str">
        <f>IFERROR(VLOOKUP(G850,WholesaleExtract!B:J,9,FALSE),"")</f>
        <v/>
      </c>
      <c r="F850" s="26" t="str">
        <f>IFERROR(VLOOKUP(G850,WholesaleExtract!B:J,6,FALSE),"")</f>
        <v/>
      </c>
      <c r="G850" s="46"/>
      <c r="H850" s="47" t="str">
        <f>IFERROR(VLOOKUP(G850,WholesaleExtract!B:L,11,FALSE),"")</f>
        <v/>
      </c>
      <c r="I850" s="26" t="str">
        <f>IFERROR(VLOOKUP(G850,WholesaleExtract!B:O,8,FALSE),"")</f>
        <v/>
      </c>
      <c r="J850" s="26" t="str">
        <f>IFERROR(VLOOKUP(G850,WholesaleExtract!B:O,14,FALSE),"")</f>
        <v/>
      </c>
      <c r="K850" s="26" t="str">
        <f>IFERROR(VLOOKUP(G850,WholesaleExtract!B:K,10,FALSE),"")</f>
        <v/>
      </c>
      <c r="L850" s="47" t="str">
        <f>IFERROR(VLOOKUP(G850,WholesaleExtract!B:L,11,FALSE),"")</f>
        <v/>
      </c>
      <c r="M850" s="47" t="str">
        <f>IFERROR(VLOOKUP(G850,WholesaleExtract!B:M,12,FALSE),"")</f>
        <v/>
      </c>
      <c r="N850" s="27"/>
      <c r="O850" s="19"/>
      <c r="P850" s="19"/>
      <c r="Q850" s="47"/>
      <c r="R850" s="19"/>
      <c r="S850" s="19"/>
    </row>
    <row r="851" spans="1:19" x14ac:dyDescent="0.35">
      <c r="A851" s="26" t="s">
        <v>543</v>
      </c>
      <c r="B851" s="26" t="s">
        <v>543</v>
      </c>
      <c r="C851" s="26"/>
      <c r="D851" s="26" t="s">
        <v>543</v>
      </c>
      <c r="E851" s="26" t="str">
        <f>IFERROR(VLOOKUP(G851,WholesaleExtract!B:J,9,FALSE),"")</f>
        <v/>
      </c>
      <c r="F851" s="26" t="str">
        <f>IFERROR(VLOOKUP(G851,WholesaleExtract!B:J,6,FALSE),"")</f>
        <v/>
      </c>
      <c r="G851" s="46"/>
      <c r="H851" s="47" t="str">
        <f>IFERROR(VLOOKUP(G851,WholesaleExtract!B:L,11,FALSE),"")</f>
        <v/>
      </c>
      <c r="I851" s="26" t="str">
        <f>IFERROR(VLOOKUP(G851,WholesaleExtract!B:O,8,FALSE),"")</f>
        <v/>
      </c>
      <c r="J851" s="26" t="str">
        <f>IFERROR(VLOOKUP(G851,WholesaleExtract!B:O,14,FALSE),"")</f>
        <v/>
      </c>
      <c r="K851" s="26" t="str">
        <f>IFERROR(VLOOKUP(G851,WholesaleExtract!B:K,10,FALSE),"")</f>
        <v/>
      </c>
      <c r="L851" s="47" t="str">
        <f>IFERROR(VLOOKUP(G851,WholesaleExtract!B:L,11,FALSE),"")</f>
        <v/>
      </c>
      <c r="M851" s="47" t="str">
        <f>IFERROR(VLOOKUP(G851,WholesaleExtract!B:M,12,FALSE),"")</f>
        <v/>
      </c>
      <c r="N851" s="27"/>
      <c r="O851" s="19"/>
      <c r="P851" s="19"/>
      <c r="Q851" s="47"/>
      <c r="R851" s="19"/>
      <c r="S851" s="19"/>
    </row>
    <row r="852" spans="1:19" x14ac:dyDescent="0.35">
      <c r="A852" s="26" t="s">
        <v>543</v>
      </c>
      <c r="B852" s="26" t="s">
        <v>543</v>
      </c>
      <c r="C852" s="26"/>
      <c r="D852" s="26" t="s">
        <v>543</v>
      </c>
      <c r="E852" s="26" t="str">
        <f>IFERROR(VLOOKUP(G852,WholesaleExtract!B:J,9,FALSE),"")</f>
        <v/>
      </c>
      <c r="F852" s="26" t="str">
        <f>IFERROR(VLOOKUP(G852,WholesaleExtract!B:J,6,FALSE),"")</f>
        <v/>
      </c>
      <c r="G852" s="46"/>
      <c r="H852" s="47" t="str">
        <f>IFERROR(VLOOKUP(G852,WholesaleExtract!B:L,11,FALSE),"")</f>
        <v/>
      </c>
      <c r="I852" s="26" t="str">
        <f>IFERROR(VLOOKUP(G852,WholesaleExtract!B:O,8,FALSE),"")</f>
        <v/>
      </c>
      <c r="J852" s="26" t="str">
        <f>IFERROR(VLOOKUP(G852,WholesaleExtract!B:O,14,FALSE),"")</f>
        <v/>
      </c>
      <c r="K852" s="26" t="str">
        <f>IFERROR(VLOOKUP(G852,WholesaleExtract!B:K,10,FALSE),"")</f>
        <v/>
      </c>
      <c r="L852" s="47" t="str">
        <f>IFERROR(VLOOKUP(G852,WholesaleExtract!B:L,11,FALSE),"")</f>
        <v/>
      </c>
      <c r="M852" s="47" t="str">
        <f>IFERROR(VLOOKUP(G852,WholesaleExtract!B:M,12,FALSE),"")</f>
        <v/>
      </c>
      <c r="N852" s="27"/>
      <c r="O852" s="19"/>
      <c r="P852" s="19"/>
      <c r="Q852" s="47"/>
      <c r="R852" s="19"/>
      <c r="S852" s="19"/>
    </row>
    <row r="853" spans="1:19" x14ac:dyDescent="0.35">
      <c r="A853" s="26" t="s">
        <v>543</v>
      </c>
      <c r="B853" s="26" t="s">
        <v>543</v>
      </c>
      <c r="C853" s="26"/>
      <c r="D853" s="26" t="s">
        <v>543</v>
      </c>
      <c r="E853" s="26" t="str">
        <f>IFERROR(VLOOKUP(G853,WholesaleExtract!B:J,9,FALSE),"")</f>
        <v/>
      </c>
      <c r="F853" s="26" t="str">
        <f>IFERROR(VLOOKUP(G853,WholesaleExtract!B:J,6,FALSE),"")</f>
        <v/>
      </c>
      <c r="G853" s="46"/>
      <c r="H853" s="47" t="str">
        <f>IFERROR(VLOOKUP(G853,WholesaleExtract!B:L,11,FALSE),"")</f>
        <v/>
      </c>
      <c r="I853" s="26" t="str">
        <f>IFERROR(VLOOKUP(G853,WholesaleExtract!B:O,8,FALSE),"")</f>
        <v/>
      </c>
      <c r="J853" s="26" t="str">
        <f>IFERROR(VLOOKUP(G853,WholesaleExtract!B:O,14,FALSE),"")</f>
        <v/>
      </c>
      <c r="K853" s="26" t="str">
        <f>IFERROR(VLOOKUP(G853,WholesaleExtract!B:K,10,FALSE),"")</f>
        <v/>
      </c>
      <c r="L853" s="47" t="str">
        <f>IFERROR(VLOOKUP(G853,WholesaleExtract!B:L,11,FALSE),"")</f>
        <v/>
      </c>
      <c r="M853" s="47" t="str">
        <f>IFERROR(VLOOKUP(G853,WholesaleExtract!B:M,12,FALSE),"")</f>
        <v/>
      </c>
      <c r="N853" s="27"/>
      <c r="O853" s="19"/>
      <c r="P853" s="19"/>
      <c r="Q853" s="47"/>
      <c r="R853" s="19"/>
      <c r="S853" s="19"/>
    </row>
    <row r="854" spans="1:19" x14ac:dyDescent="0.35">
      <c r="A854" s="26" t="s">
        <v>543</v>
      </c>
      <c r="B854" s="26" t="s">
        <v>543</v>
      </c>
      <c r="C854" s="26"/>
      <c r="D854" s="26" t="s">
        <v>543</v>
      </c>
      <c r="E854" s="26" t="str">
        <f>IFERROR(VLOOKUP(G854,WholesaleExtract!B:J,9,FALSE),"")</f>
        <v/>
      </c>
      <c r="F854" s="26" t="str">
        <f>IFERROR(VLOOKUP(G854,WholesaleExtract!B:J,6,FALSE),"")</f>
        <v/>
      </c>
      <c r="G854" s="46"/>
      <c r="H854" s="47" t="str">
        <f>IFERROR(VLOOKUP(G854,WholesaleExtract!B:L,11,FALSE),"")</f>
        <v/>
      </c>
      <c r="I854" s="26" t="str">
        <f>IFERROR(VLOOKUP(G854,WholesaleExtract!B:O,8,FALSE),"")</f>
        <v/>
      </c>
      <c r="J854" s="26" t="str">
        <f>IFERROR(VLOOKUP(G854,WholesaleExtract!B:O,14,FALSE),"")</f>
        <v/>
      </c>
      <c r="K854" s="26" t="str">
        <f>IFERROR(VLOOKUP(G854,WholesaleExtract!B:K,10,FALSE),"")</f>
        <v/>
      </c>
      <c r="L854" s="47" t="str">
        <f>IFERROR(VLOOKUP(G854,WholesaleExtract!B:L,11,FALSE),"")</f>
        <v/>
      </c>
      <c r="M854" s="47" t="str">
        <f>IFERROR(VLOOKUP(G854,WholesaleExtract!B:M,12,FALSE),"")</f>
        <v/>
      </c>
      <c r="N854" s="27"/>
      <c r="O854" s="19"/>
      <c r="P854" s="19"/>
      <c r="Q854" s="47"/>
      <c r="R854" s="19"/>
      <c r="S854" s="19"/>
    </row>
    <row r="855" spans="1:19" x14ac:dyDescent="0.35">
      <c r="A855" s="26" t="s">
        <v>543</v>
      </c>
      <c r="B855" s="26" t="s">
        <v>543</v>
      </c>
      <c r="C855" s="26"/>
      <c r="D855" s="26" t="s">
        <v>543</v>
      </c>
      <c r="E855" s="26" t="str">
        <f>IFERROR(VLOOKUP(G855,WholesaleExtract!B:J,9,FALSE),"")</f>
        <v/>
      </c>
      <c r="F855" s="26" t="str">
        <f>IFERROR(VLOOKUP(G855,WholesaleExtract!B:J,6,FALSE),"")</f>
        <v/>
      </c>
      <c r="G855" s="46"/>
      <c r="H855" s="47" t="str">
        <f>IFERROR(VLOOKUP(G855,WholesaleExtract!B:L,11,FALSE),"")</f>
        <v/>
      </c>
      <c r="I855" s="26" t="str">
        <f>IFERROR(VLOOKUP(G855,WholesaleExtract!B:O,8,FALSE),"")</f>
        <v/>
      </c>
      <c r="J855" s="26" t="str">
        <f>IFERROR(VLOOKUP(G855,WholesaleExtract!B:O,14,FALSE),"")</f>
        <v/>
      </c>
      <c r="K855" s="26" t="str">
        <f>IFERROR(VLOOKUP(G855,WholesaleExtract!B:K,10,FALSE),"")</f>
        <v/>
      </c>
      <c r="L855" s="47" t="str">
        <f>IFERROR(VLOOKUP(G855,WholesaleExtract!B:L,11,FALSE),"")</f>
        <v/>
      </c>
      <c r="M855" s="47" t="str">
        <f>IFERROR(VLOOKUP(G855,WholesaleExtract!B:M,12,FALSE),"")</f>
        <v/>
      </c>
      <c r="N855" s="27"/>
      <c r="O855" s="19"/>
      <c r="P855" s="19"/>
      <c r="Q855" s="47"/>
      <c r="R855" s="19"/>
      <c r="S855" s="19"/>
    </row>
    <row r="856" spans="1:19" x14ac:dyDescent="0.35">
      <c r="A856" s="26" t="s">
        <v>543</v>
      </c>
      <c r="B856" s="26" t="s">
        <v>543</v>
      </c>
      <c r="C856" s="26"/>
      <c r="D856" s="26" t="s">
        <v>543</v>
      </c>
      <c r="E856" s="26" t="str">
        <f>IFERROR(VLOOKUP(G856,WholesaleExtract!B:J,9,FALSE),"")</f>
        <v/>
      </c>
      <c r="F856" s="26" t="str">
        <f>IFERROR(VLOOKUP(G856,WholesaleExtract!B:J,6,FALSE),"")</f>
        <v/>
      </c>
      <c r="G856" s="46"/>
      <c r="H856" s="47" t="str">
        <f>IFERROR(VLOOKUP(G856,WholesaleExtract!B:L,11,FALSE),"")</f>
        <v/>
      </c>
      <c r="I856" s="26" t="str">
        <f>IFERROR(VLOOKUP(G856,WholesaleExtract!B:O,8,FALSE),"")</f>
        <v/>
      </c>
      <c r="J856" s="26" t="str">
        <f>IFERROR(VLOOKUP(G856,WholesaleExtract!B:O,14,FALSE),"")</f>
        <v/>
      </c>
      <c r="K856" s="26" t="str">
        <f>IFERROR(VLOOKUP(G856,WholesaleExtract!B:K,10,FALSE),"")</f>
        <v/>
      </c>
      <c r="L856" s="47" t="str">
        <f>IFERROR(VLOOKUP(G856,WholesaleExtract!B:L,11,FALSE),"")</f>
        <v/>
      </c>
      <c r="M856" s="47" t="str">
        <f>IFERROR(VLOOKUP(G856,WholesaleExtract!B:M,12,FALSE),"")</f>
        <v/>
      </c>
      <c r="N856" s="27"/>
      <c r="O856" s="19"/>
      <c r="P856" s="19"/>
      <c r="Q856" s="47"/>
      <c r="R856" s="19"/>
      <c r="S856" s="19"/>
    </row>
    <row r="857" spans="1:19" x14ac:dyDescent="0.35">
      <c r="A857" s="26" t="s">
        <v>543</v>
      </c>
      <c r="B857" s="26" t="s">
        <v>543</v>
      </c>
      <c r="C857" s="26"/>
      <c r="D857" s="26" t="s">
        <v>543</v>
      </c>
      <c r="E857" s="26" t="str">
        <f>IFERROR(VLOOKUP(G857,WholesaleExtract!B:J,9,FALSE),"")</f>
        <v/>
      </c>
      <c r="F857" s="26" t="str">
        <f>IFERROR(VLOOKUP(G857,WholesaleExtract!B:J,6,FALSE),"")</f>
        <v/>
      </c>
      <c r="G857" s="46"/>
      <c r="H857" s="47" t="str">
        <f>IFERROR(VLOOKUP(G857,WholesaleExtract!B:L,11,FALSE),"")</f>
        <v/>
      </c>
      <c r="I857" s="26" t="str">
        <f>IFERROR(VLOOKUP(G857,WholesaleExtract!B:O,8,FALSE),"")</f>
        <v/>
      </c>
      <c r="J857" s="26" t="str">
        <f>IFERROR(VLOOKUP(G857,WholesaleExtract!B:O,14,FALSE),"")</f>
        <v/>
      </c>
      <c r="K857" s="26" t="str">
        <f>IFERROR(VLOOKUP(G857,WholesaleExtract!B:K,10,FALSE),"")</f>
        <v/>
      </c>
      <c r="L857" s="47" t="str">
        <f>IFERROR(VLOOKUP(G857,WholesaleExtract!B:L,11,FALSE),"")</f>
        <v/>
      </c>
      <c r="M857" s="47" t="str">
        <f>IFERROR(VLOOKUP(G857,WholesaleExtract!B:M,12,FALSE),"")</f>
        <v/>
      </c>
      <c r="N857" s="27"/>
      <c r="O857" s="19"/>
      <c r="P857" s="19"/>
      <c r="Q857" s="47"/>
      <c r="R857" s="19"/>
      <c r="S857" s="19"/>
    </row>
    <row r="858" spans="1:19" x14ac:dyDescent="0.35">
      <c r="A858" s="26" t="s">
        <v>543</v>
      </c>
      <c r="B858" s="26" t="s">
        <v>543</v>
      </c>
      <c r="C858" s="26"/>
      <c r="D858" s="26" t="s">
        <v>543</v>
      </c>
      <c r="E858" s="26" t="str">
        <f>IFERROR(VLOOKUP(G858,WholesaleExtract!B:J,9,FALSE),"")</f>
        <v/>
      </c>
      <c r="F858" s="26" t="str">
        <f>IFERROR(VLOOKUP(G858,WholesaleExtract!B:J,6,FALSE),"")</f>
        <v/>
      </c>
      <c r="G858" s="46"/>
      <c r="H858" s="47" t="str">
        <f>IFERROR(VLOOKUP(G858,WholesaleExtract!B:L,11,FALSE),"")</f>
        <v/>
      </c>
      <c r="I858" s="26" t="str">
        <f>IFERROR(VLOOKUP(G858,WholesaleExtract!B:O,8,FALSE),"")</f>
        <v/>
      </c>
      <c r="J858" s="26" t="str">
        <f>IFERROR(VLOOKUP(G858,WholesaleExtract!B:O,14,FALSE),"")</f>
        <v/>
      </c>
      <c r="K858" s="26" t="str">
        <f>IFERROR(VLOOKUP(G858,WholesaleExtract!B:K,10,FALSE),"")</f>
        <v/>
      </c>
      <c r="L858" s="47" t="str">
        <f>IFERROR(VLOOKUP(G858,WholesaleExtract!B:L,11,FALSE),"")</f>
        <v/>
      </c>
      <c r="M858" s="47" t="str">
        <f>IFERROR(VLOOKUP(G858,WholesaleExtract!B:M,12,FALSE),"")</f>
        <v/>
      </c>
      <c r="N858" s="27"/>
      <c r="O858" s="19"/>
      <c r="P858" s="19"/>
      <c r="Q858" s="47"/>
      <c r="R858" s="19"/>
      <c r="S858" s="19"/>
    </row>
    <row r="859" spans="1:19" x14ac:dyDescent="0.35">
      <c r="A859" s="26" t="s">
        <v>543</v>
      </c>
      <c r="B859" s="26" t="s">
        <v>543</v>
      </c>
      <c r="C859" s="26"/>
      <c r="D859" s="26" t="s">
        <v>543</v>
      </c>
      <c r="E859" s="26" t="str">
        <f>IFERROR(VLOOKUP(G859,WholesaleExtract!B:J,9,FALSE),"")</f>
        <v/>
      </c>
      <c r="F859" s="26" t="str">
        <f>IFERROR(VLOOKUP(G859,WholesaleExtract!B:J,6,FALSE),"")</f>
        <v/>
      </c>
      <c r="G859" s="46"/>
      <c r="H859" s="47" t="str">
        <f>IFERROR(VLOOKUP(G859,WholesaleExtract!B:L,11,FALSE),"")</f>
        <v/>
      </c>
      <c r="I859" s="26" t="str">
        <f>IFERROR(VLOOKUP(G859,WholesaleExtract!B:O,8,FALSE),"")</f>
        <v/>
      </c>
      <c r="J859" s="26" t="str">
        <f>IFERROR(VLOOKUP(G859,WholesaleExtract!B:O,14,FALSE),"")</f>
        <v/>
      </c>
      <c r="K859" s="26" t="str">
        <f>IFERROR(VLOOKUP(G859,WholesaleExtract!B:K,10,FALSE),"")</f>
        <v/>
      </c>
      <c r="L859" s="47" t="str">
        <f>IFERROR(VLOOKUP(G859,WholesaleExtract!B:L,11,FALSE),"")</f>
        <v/>
      </c>
      <c r="M859" s="47" t="str">
        <f>IFERROR(VLOOKUP(G859,WholesaleExtract!B:M,12,FALSE),"")</f>
        <v/>
      </c>
      <c r="N859" s="27"/>
      <c r="O859" s="19"/>
      <c r="P859" s="19"/>
      <c r="Q859" s="47"/>
      <c r="R859" s="19"/>
      <c r="S859" s="19"/>
    </row>
    <row r="860" spans="1:19" x14ac:dyDescent="0.35">
      <c r="A860" s="26" t="s">
        <v>543</v>
      </c>
      <c r="B860" s="26" t="s">
        <v>543</v>
      </c>
      <c r="C860" s="26"/>
      <c r="D860" s="26" t="s">
        <v>543</v>
      </c>
      <c r="E860" s="26" t="str">
        <f>IFERROR(VLOOKUP(G860,WholesaleExtract!B:J,9,FALSE),"")</f>
        <v/>
      </c>
      <c r="F860" s="26" t="str">
        <f>IFERROR(VLOOKUP(G860,WholesaleExtract!B:J,6,FALSE),"")</f>
        <v/>
      </c>
      <c r="G860" s="46"/>
      <c r="H860" s="47" t="str">
        <f>IFERROR(VLOOKUP(G860,WholesaleExtract!B:L,11,FALSE),"")</f>
        <v/>
      </c>
      <c r="I860" s="26" t="str">
        <f>IFERROR(VLOOKUP(G860,WholesaleExtract!B:O,8,FALSE),"")</f>
        <v/>
      </c>
      <c r="J860" s="26" t="str">
        <f>IFERROR(VLOOKUP(G860,WholesaleExtract!B:O,14,FALSE),"")</f>
        <v/>
      </c>
      <c r="K860" s="26" t="str">
        <f>IFERROR(VLOOKUP(G860,WholesaleExtract!B:K,10,FALSE),"")</f>
        <v/>
      </c>
      <c r="L860" s="47" t="str">
        <f>IFERROR(VLOOKUP(G860,WholesaleExtract!B:L,11,FALSE),"")</f>
        <v/>
      </c>
      <c r="M860" s="47" t="str">
        <f>IFERROR(VLOOKUP(G860,WholesaleExtract!B:M,12,FALSE),"")</f>
        <v/>
      </c>
      <c r="N860" s="27"/>
      <c r="O860" s="19"/>
      <c r="P860" s="19"/>
      <c r="Q860" s="47"/>
      <c r="R860" s="19"/>
      <c r="S860" s="19"/>
    </row>
    <row r="861" spans="1:19" x14ac:dyDescent="0.35">
      <c r="A861" s="26" t="s">
        <v>543</v>
      </c>
      <c r="B861" s="26" t="s">
        <v>543</v>
      </c>
      <c r="C861" s="26"/>
      <c r="D861" s="26" t="s">
        <v>543</v>
      </c>
      <c r="E861" s="26" t="str">
        <f>IFERROR(VLOOKUP(G861,WholesaleExtract!B:J,9,FALSE),"")</f>
        <v/>
      </c>
      <c r="F861" s="26" t="str">
        <f>IFERROR(VLOOKUP(G861,WholesaleExtract!B:J,6,FALSE),"")</f>
        <v/>
      </c>
      <c r="G861" s="46"/>
      <c r="H861" s="47" t="str">
        <f>IFERROR(VLOOKUP(G861,WholesaleExtract!B:L,11,FALSE),"")</f>
        <v/>
      </c>
      <c r="I861" s="26" t="str">
        <f>IFERROR(VLOOKUP(G861,WholesaleExtract!B:O,8,FALSE),"")</f>
        <v/>
      </c>
      <c r="J861" s="26" t="str">
        <f>IFERROR(VLOOKUP(G861,WholesaleExtract!B:O,14,FALSE),"")</f>
        <v/>
      </c>
      <c r="K861" s="26" t="str">
        <f>IFERROR(VLOOKUP(G861,WholesaleExtract!B:K,10,FALSE),"")</f>
        <v/>
      </c>
      <c r="L861" s="47" t="str">
        <f>IFERROR(VLOOKUP(G861,WholesaleExtract!B:L,11,FALSE),"")</f>
        <v/>
      </c>
      <c r="M861" s="47" t="str">
        <f>IFERROR(VLOOKUP(G861,WholesaleExtract!B:M,12,FALSE),"")</f>
        <v/>
      </c>
      <c r="N861" s="27"/>
      <c r="O861" s="19"/>
      <c r="P861" s="19"/>
      <c r="Q861" s="47"/>
      <c r="R861" s="19"/>
      <c r="S861" s="19"/>
    </row>
    <row r="862" spans="1:19" x14ac:dyDescent="0.35">
      <c r="A862" s="26" t="s">
        <v>543</v>
      </c>
      <c r="B862" s="26" t="s">
        <v>543</v>
      </c>
      <c r="C862" s="26"/>
      <c r="D862" s="26" t="s">
        <v>543</v>
      </c>
      <c r="E862" s="26" t="str">
        <f>IFERROR(VLOOKUP(G862,WholesaleExtract!B:J,9,FALSE),"")</f>
        <v/>
      </c>
      <c r="F862" s="26" t="str">
        <f>IFERROR(VLOOKUP(G862,WholesaleExtract!B:J,6,FALSE),"")</f>
        <v/>
      </c>
      <c r="G862" s="46"/>
      <c r="H862" s="47" t="str">
        <f>IFERROR(VLOOKUP(G862,WholesaleExtract!B:L,11,FALSE),"")</f>
        <v/>
      </c>
      <c r="I862" s="26" t="str">
        <f>IFERROR(VLOOKUP(G862,WholesaleExtract!B:O,8,FALSE),"")</f>
        <v/>
      </c>
      <c r="J862" s="26" t="str">
        <f>IFERROR(VLOOKUP(G862,WholesaleExtract!B:O,14,FALSE),"")</f>
        <v/>
      </c>
      <c r="K862" s="26" t="str">
        <f>IFERROR(VLOOKUP(G862,WholesaleExtract!B:K,10,FALSE),"")</f>
        <v/>
      </c>
      <c r="L862" s="47" t="str">
        <f>IFERROR(VLOOKUP(G862,WholesaleExtract!B:L,11,FALSE),"")</f>
        <v/>
      </c>
      <c r="M862" s="47" t="str">
        <f>IFERROR(VLOOKUP(G862,WholesaleExtract!B:M,12,FALSE),"")</f>
        <v/>
      </c>
      <c r="N862" s="27"/>
      <c r="O862" s="19"/>
      <c r="P862" s="19"/>
      <c r="Q862" s="47"/>
      <c r="R862" s="19"/>
      <c r="S862" s="19"/>
    </row>
    <row r="863" spans="1:19" x14ac:dyDescent="0.35">
      <c r="A863" s="26" t="s">
        <v>543</v>
      </c>
      <c r="B863" s="26" t="s">
        <v>543</v>
      </c>
      <c r="C863" s="26"/>
      <c r="D863" s="26" t="s">
        <v>543</v>
      </c>
      <c r="E863" s="26" t="str">
        <f>IFERROR(VLOOKUP(G863,WholesaleExtract!B:J,9,FALSE),"")</f>
        <v/>
      </c>
      <c r="F863" s="26" t="str">
        <f>IFERROR(VLOOKUP(G863,WholesaleExtract!B:J,6,FALSE),"")</f>
        <v/>
      </c>
      <c r="G863" s="46"/>
      <c r="H863" s="47" t="str">
        <f>IFERROR(VLOOKUP(G863,WholesaleExtract!B:L,11,FALSE),"")</f>
        <v/>
      </c>
      <c r="I863" s="26" t="str">
        <f>IFERROR(VLOOKUP(G863,WholesaleExtract!B:O,8,FALSE),"")</f>
        <v/>
      </c>
      <c r="J863" s="26" t="str">
        <f>IFERROR(VLOOKUP(G863,WholesaleExtract!B:O,14,FALSE),"")</f>
        <v/>
      </c>
      <c r="K863" s="26" t="str">
        <f>IFERROR(VLOOKUP(G863,WholesaleExtract!B:K,10,FALSE),"")</f>
        <v/>
      </c>
      <c r="L863" s="47" t="str">
        <f>IFERROR(VLOOKUP(G863,WholesaleExtract!B:L,11,FALSE),"")</f>
        <v/>
      </c>
      <c r="M863" s="47" t="str">
        <f>IFERROR(VLOOKUP(G863,WholesaleExtract!B:M,12,FALSE),"")</f>
        <v/>
      </c>
      <c r="N863" s="27"/>
      <c r="O863" s="19"/>
      <c r="P863" s="19"/>
      <c r="Q863" s="47"/>
      <c r="R863" s="19"/>
      <c r="S863" s="19"/>
    </row>
    <row r="864" spans="1:19" x14ac:dyDescent="0.35">
      <c r="A864" s="26" t="s">
        <v>543</v>
      </c>
      <c r="B864" s="26" t="s">
        <v>543</v>
      </c>
      <c r="C864" s="26"/>
      <c r="D864" s="26" t="s">
        <v>543</v>
      </c>
      <c r="E864" s="26" t="str">
        <f>IFERROR(VLOOKUP(G864,WholesaleExtract!B:J,9,FALSE),"")</f>
        <v/>
      </c>
      <c r="F864" s="26" t="str">
        <f>IFERROR(VLOOKUP(G864,WholesaleExtract!B:J,6,FALSE),"")</f>
        <v/>
      </c>
      <c r="G864" s="46"/>
      <c r="H864" s="47" t="str">
        <f>IFERROR(VLOOKUP(G864,WholesaleExtract!B:L,11,FALSE),"")</f>
        <v/>
      </c>
      <c r="I864" s="26" t="str">
        <f>IFERROR(VLOOKUP(G864,WholesaleExtract!B:O,8,FALSE),"")</f>
        <v/>
      </c>
      <c r="J864" s="26" t="str">
        <f>IFERROR(VLOOKUP(G864,WholesaleExtract!B:O,14,FALSE),"")</f>
        <v/>
      </c>
      <c r="K864" s="26" t="str">
        <f>IFERROR(VLOOKUP(G864,WholesaleExtract!B:K,10,FALSE),"")</f>
        <v/>
      </c>
      <c r="L864" s="47" t="str">
        <f>IFERROR(VLOOKUP(G864,WholesaleExtract!B:L,11,FALSE),"")</f>
        <v/>
      </c>
      <c r="M864" s="47" t="str">
        <f>IFERROR(VLOOKUP(G864,WholesaleExtract!B:M,12,FALSE),"")</f>
        <v/>
      </c>
      <c r="N864" s="27"/>
      <c r="O864" s="19"/>
      <c r="P864" s="19"/>
      <c r="Q864" s="47"/>
      <c r="R864" s="19"/>
      <c r="S864" s="19"/>
    </row>
    <row r="865" spans="1:19" x14ac:dyDescent="0.35">
      <c r="A865" s="26" t="s">
        <v>543</v>
      </c>
      <c r="B865" s="26" t="s">
        <v>543</v>
      </c>
      <c r="C865" s="26"/>
      <c r="D865" s="26" t="s">
        <v>543</v>
      </c>
      <c r="E865" s="26" t="str">
        <f>IFERROR(VLOOKUP(G865,WholesaleExtract!B:J,9,FALSE),"")</f>
        <v/>
      </c>
      <c r="F865" s="26" t="str">
        <f>IFERROR(VLOOKUP(G865,WholesaleExtract!B:J,6,FALSE),"")</f>
        <v/>
      </c>
      <c r="G865" s="46"/>
      <c r="H865" s="47" t="str">
        <f>IFERROR(VLOOKUP(G865,WholesaleExtract!B:L,11,FALSE),"")</f>
        <v/>
      </c>
      <c r="I865" s="26" t="str">
        <f>IFERROR(VLOOKUP(G865,WholesaleExtract!B:O,8,FALSE),"")</f>
        <v/>
      </c>
      <c r="J865" s="26" t="str">
        <f>IFERROR(VLOOKUP(G865,WholesaleExtract!B:O,14,FALSE),"")</f>
        <v/>
      </c>
      <c r="K865" s="26" t="str">
        <f>IFERROR(VLOOKUP(G865,WholesaleExtract!B:K,10,FALSE),"")</f>
        <v/>
      </c>
      <c r="L865" s="47" t="str">
        <f>IFERROR(VLOOKUP(G865,WholesaleExtract!B:L,11,FALSE),"")</f>
        <v/>
      </c>
      <c r="M865" s="47" t="str">
        <f>IFERROR(VLOOKUP(G865,WholesaleExtract!B:M,12,FALSE),"")</f>
        <v/>
      </c>
      <c r="N865" s="27"/>
      <c r="O865" s="19"/>
      <c r="P865" s="19"/>
      <c r="Q865" s="47"/>
      <c r="R865" s="19"/>
      <c r="S865" s="19"/>
    </row>
    <row r="866" spans="1:19" x14ac:dyDescent="0.35">
      <c r="A866" s="26" t="s">
        <v>543</v>
      </c>
      <c r="B866" s="26" t="s">
        <v>543</v>
      </c>
      <c r="C866" s="26"/>
      <c r="D866" s="26" t="s">
        <v>543</v>
      </c>
      <c r="E866" s="26" t="str">
        <f>IFERROR(VLOOKUP(G866,WholesaleExtract!B:J,9,FALSE),"")</f>
        <v/>
      </c>
      <c r="F866" s="26" t="str">
        <f>IFERROR(VLOOKUP(G866,WholesaleExtract!B:J,6,FALSE),"")</f>
        <v/>
      </c>
      <c r="G866" s="46"/>
      <c r="H866" s="47" t="str">
        <f>IFERROR(VLOOKUP(G866,WholesaleExtract!B:L,11,FALSE),"")</f>
        <v/>
      </c>
      <c r="I866" s="26" t="str">
        <f>IFERROR(VLOOKUP(G866,WholesaleExtract!B:O,8,FALSE),"")</f>
        <v/>
      </c>
      <c r="J866" s="26" t="str">
        <f>IFERROR(VLOOKUP(G866,WholesaleExtract!B:O,14,FALSE),"")</f>
        <v/>
      </c>
      <c r="K866" s="26" t="str">
        <f>IFERROR(VLOOKUP(G866,WholesaleExtract!B:K,10,FALSE),"")</f>
        <v/>
      </c>
      <c r="L866" s="47" t="str">
        <f>IFERROR(VLOOKUP(G866,WholesaleExtract!B:L,11,FALSE),"")</f>
        <v/>
      </c>
      <c r="M866" s="47" t="str">
        <f>IFERROR(VLOOKUP(G866,WholesaleExtract!B:M,12,FALSE),"")</f>
        <v/>
      </c>
      <c r="N866" s="27"/>
      <c r="O866" s="19"/>
      <c r="P866" s="19"/>
      <c r="Q866" s="47"/>
      <c r="R866" s="19"/>
      <c r="S866" s="19"/>
    </row>
    <row r="867" spans="1:19" x14ac:dyDescent="0.35">
      <c r="A867" s="26" t="s">
        <v>543</v>
      </c>
      <c r="B867" s="26" t="s">
        <v>543</v>
      </c>
      <c r="C867" s="26"/>
      <c r="D867" s="26" t="s">
        <v>543</v>
      </c>
      <c r="E867" s="26" t="str">
        <f>IFERROR(VLOOKUP(G867,WholesaleExtract!B:J,9,FALSE),"")</f>
        <v/>
      </c>
      <c r="F867" s="26" t="str">
        <f>IFERROR(VLOOKUP(G867,WholesaleExtract!B:J,6,FALSE),"")</f>
        <v/>
      </c>
      <c r="G867" s="46"/>
      <c r="H867" s="47" t="str">
        <f>IFERROR(VLOOKUP(G867,WholesaleExtract!B:L,11,FALSE),"")</f>
        <v/>
      </c>
      <c r="I867" s="26" t="str">
        <f>IFERROR(VLOOKUP(G867,WholesaleExtract!B:O,8,FALSE),"")</f>
        <v/>
      </c>
      <c r="J867" s="26" t="str">
        <f>IFERROR(VLOOKUP(G867,WholesaleExtract!B:O,14,FALSE),"")</f>
        <v/>
      </c>
      <c r="K867" s="26" t="str">
        <f>IFERROR(VLOOKUP(G867,WholesaleExtract!B:K,10,FALSE),"")</f>
        <v/>
      </c>
      <c r="L867" s="47" t="str">
        <f>IFERROR(VLOOKUP(G867,WholesaleExtract!B:L,11,FALSE),"")</f>
        <v/>
      </c>
      <c r="M867" s="47" t="str">
        <f>IFERROR(VLOOKUP(G867,WholesaleExtract!B:M,12,FALSE),"")</f>
        <v/>
      </c>
      <c r="N867" s="27"/>
      <c r="O867" s="19"/>
      <c r="P867" s="19"/>
      <c r="Q867" s="47"/>
      <c r="R867" s="19"/>
      <c r="S867" s="19"/>
    </row>
    <row r="868" spans="1:19" x14ac:dyDescent="0.35">
      <c r="A868" s="26" t="s">
        <v>543</v>
      </c>
      <c r="B868" s="26" t="s">
        <v>543</v>
      </c>
      <c r="C868" s="26"/>
      <c r="D868" s="26" t="s">
        <v>543</v>
      </c>
      <c r="E868" s="26" t="str">
        <f>IFERROR(VLOOKUP(G868,WholesaleExtract!B:J,9,FALSE),"")</f>
        <v/>
      </c>
      <c r="F868" s="26" t="str">
        <f>IFERROR(VLOOKUP(G868,WholesaleExtract!B:J,6,FALSE),"")</f>
        <v/>
      </c>
      <c r="G868" s="46"/>
      <c r="H868" s="47" t="str">
        <f>IFERROR(VLOOKUP(G868,WholesaleExtract!B:L,11,FALSE),"")</f>
        <v/>
      </c>
      <c r="I868" s="26" t="str">
        <f>IFERROR(VLOOKUP(G868,WholesaleExtract!B:O,8,FALSE),"")</f>
        <v/>
      </c>
      <c r="J868" s="26" t="str">
        <f>IFERROR(VLOOKUP(G868,WholesaleExtract!B:O,14,FALSE),"")</f>
        <v/>
      </c>
      <c r="K868" s="26" t="str">
        <f>IFERROR(VLOOKUP(G868,WholesaleExtract!B:K,10,FALSE),"")</f>
        <v/>
      </c>
      <c r="L868" s="47" t="str">
        <f>IFERROR(VLOOKUP(G868,WholesaleExtract!B:L,11,FALSE),"")</f>
        <v/>
      </c>
      <c r="M868" s="47" t="str">
        <f>IFERROR(VLOOKUP(G868,WholesaleExtract!B:M,12,FALSE),"")</f>
        <v/>
      </c>
      <c r="N868" s="27"/>
      <c r="O868" s="19"/>
      <c r="P868" s="19"/>
      <c r="Q868" s="47"/>
      <c r="R868" s="19"/>
      <c r="S868" s="19"/>
    </row>
    <row r="869" spans="1:19" x14ac:dyDescent="0.35">
      <c r="A869" s="26" t="s">
        <v>543</v>
      </c>
      <c r="B869" s="26" t="s">
        <v>543</v>
      </c>
      <c r="C869" s="26"/>
      <c r="D869" s="26" t="s">
        <v>543</v>
      </c>
      <c r="E869" s="26" t="str">
        <f>IFERROR(VLOOKUP(G869,WholesaleExtract!B:J,9,FALSE),"")</f>
        <v/>
      </c>
      <c r="F869" s="26" t="str">
        <f>IFERROR(VLOOKUP(G869,WholesaleExtract!B:J,6,FALSE),"")</f>
        <v/>
      </c>
      <c r="G869" s="46"/>
      <c r="H869" s="47" t="str">
        <f>IFERROR(VLOOKUP(G869,WholesaleExtract!B:L,11,FALSE),"")</f>
        <v/>
      </c>
      <c r="I869" s="26" t="str">
        <f>IFERROR(VLOOKUP(G869,WholesaleExtract!B:O,8,FALSE),"")</f>
        <v/>
      </c>
      <c r="J869" s="26" t="str">
        <f>IFERROR(VLOOKUP(G869,WholesaleExtract!B:O,14,FALSE),"")</f>
        <v/>
      </c>
      <c r="K869" s="26" t="str">
        <f>IFERROR(VLOOKUP(G869,WholesaleExtract!B:K,10,FALSE),"")</f>
        <v/>
      </c>
      <c r="L869" s="47" t="str">
        <f>IFERROR(VLOOKUP(G869,WholesaleExtract!B:L,11,FALSE),"")</f>
        <v/>
      </c>
      <c r="M869" s="47" t="str">
        <f>IFERROR(VLOOKUP(G869,WholesaleExtract!B:M,12,FALSE),"")</f>
        <v/>
      </c>
      <c r="N869" s="27"/>
      <c r="O869" s="19"/>
      <c r="P869" s="19"/>
      <c r="Q869" s="47"/>
      <c r="R869" s="19"/>
      <c r="S869" s="19"/>
    </row>
    <row r="870" spans="1:19" x14ac:dyDescent="0.35">
      <c r="A870" s="26" t="s">
        <v>543</v>
      </c>
      <c r="B870" s="26" t="s">
        <v>543</v>
      </c>
      <c r="C870" s="26"/>
      <c r="D870" s="26" t="s">
        <v>543</v>
      </c>
      <c r="E870" s="26" t="str">
        <f>IFERROR(VLOOKUP(G870,WholesaleExtract!B:J,9,FALSE),"")</f>
        <v/>
      </c>
      <c r="F870" s="26" t="str">
        <f>IFERROR(VLOOKUP(G870,WholesaleExtract!B:J,6,FALSE),"")</f>
        <v/>
      </c>
      <c r="G870" s="46"/>
      <c r="H870" s="47" t="str">
        <f>IFERROR(VLOOKUP(G870,WholesaleExtract!B:L,11,FALSE),"")</f>
        <v/>
      </c>
      <c r="I870" s="26" t="str">
        <f>IFERROR(VLOOKUP(G870,WholesaleExtract!B:O,8,FALSE),"")</f>
        <v/>
      </c>
      <c r="J870" s="26" t="str">
        <f>IFERROR(VLOOKUP(G870,WholesaleExtract!B:O,14,FALSE),"")</f>
        <v/>
      </c>
      <c r="K870" s="26" t="str">
        <f>IFERROR(VLOOKUP(G870,WholesaleExtract!B:K,10,FALSE),"")</f>
        <v/>
      </c>
      <c r="L870" s="47" t="str">
        <f>IFERROR(VLOOKUP(G870,WholesaleExtract!B:L,11,FALSE),"")</f>
        <v/>
      </c>
      <c r="M870" s="47" t="str">
        <f>IFERROR(VLOOKUP(G870,WholesaleExtract!B:M,12,FALSE),"")</f>
        <v/>
      </c>
      <c r="N870" s="27"/>
      <c r="O870" s="19"/>
      <c r="P870" s="19"/>
      <c r="Q870" s="47"/>
      <c r="R870" s="19"/>
      <c r="S870" s="19"/>
    </row>
    <row r="871" spans="1:19" x14ac:dyDescent="0.35">
      <c r="A871" s="26" t="s">
        <v>543</v>
      </c>
      <c r="B871" s="26" t="s">
        <v>543</v>
      </c>
      <c r="C871" s="26"/>
      <c r="D871" s="26" t="s">
        <v>543</v>
      </c>
      <c r="E871" s="26" t="str">
        <f>IFERROR(VLOOKUP(G871,WholesaleExtract!B:J,9,FALSE),"")</f>
        <v/>
      </c>
      <c r="F871" s="26" t="str">
        <f>IFERROR(VLOOKUP(G871,WholesaleExtract!B:J,6,FALSE),"")</f>
        <v/>
      </c>
      <c r="G871" s="46"/>
      <c r="H871" s="47" t="str">
        <f>IFERROR(VLOOKUP(G871,WholesaleExtract!B:L,11,FALSE),"")</f>
        <v/>
      </c>
      <c r="I871" s="26" t="str">
        <f>IFERROR(VLOOKUP(G871,WholesaleExtract!B:O,8,FALSE),"")</f>
        <v/>
      </c>
      <c r="J871" s="26" t="str">
        <f>IFERROR(VLOOKUP(G871,WholesaleExtract!B:O,14,FALSE),"")</f>
        <v/>
      </c>
      <c r="K871" s="26" t="str">
        <f>IFERROR(VLOOKUP(G871,WholesaleExtract!B:K,10,FALSE),"")</f>
        <v/>
      </c>
      <c r="L871" s="47" t="str">
        <f>IFERROR(VLOOKUP(G871,WholesaleExtract!B:L,11,FALSE),"")</f>
        <v/>
      </c>
      <c r="M871" s="47" t="str">
        <f>IFERROR(VLOOKUP(G871,WholesaleExtract!B:M,12,FALSE),"")</f>
        <v/>
      </c>
      <c r="N871" s="27"/>
      <c r="O871" s="19"/>
      <c r="P871" s="19"/>
      <c r="Q871" s="47"/>
      <c r="R871" s="19"/>
      <c r="S871" s="19"/>
    </row>
    <row r="872" spans="1:19" x14ac:dyDescent="0.35">
      <c r="A872" s="26" t="s">
        <v>543</v>
      </c>
      <c r="B872" s="26" t="s">
        <v>543</v>
      </c>
      <c r="C872" s="26"/>
      <c r="D872" s="26" t="s">
        <v>543</v>
      </c>
      <c r="E872" s="26" t="str">
        <f>IFERROR(VLOOKUP(G872,WholesaleExtract!B:J,9,FALSE),"")</f>
        <v/>
      </c>
      <c r="F872" s="26" t="str">
        <f>IFERROR(VLOOKUP(G872,WholesaleExtract!B:J,6,FALSE),"")</f>
        <v/>
      </c>
      <c r="G872" s="46"/>
      <c r="H872" s="47" t="str">
        <f>IFERROR(VLOOKUP(G872,WholesaleExtract!B:L,11,FALSE),"")</f>
        <v/>
      </c>
      <c r="I872" s="26" t="str">
        <f>IFERROR(VLOOKUP(G872,WholesaleExtract!B:O,8,FALSE),"")</f>
        <v/>
      </c>
      <c r="J872" s="26" t="str">
        <f>IFERROR(VLOOKUP(G872,WholesaleExtract!B:O,14,FALSE),"")</f>
        <v/>
      </c>
      <c r="K872" s="26" t="str">
        <f>IFERROR(VLOOKUP(G872,WholesaleExtract!B:K,10,FALSE),"")</f>
        <v/>
      </c>
      <c r="L872" s="47" t="str">
        <f>IFERROR(VLOOKUP(G872,WholesaleExtract!B:L,11,FALSE),"")</f>
        <v/>
      </c>
      <c r="M872" s="47" t="str">
        <f>IFERROR(VLOOKUP(G872,WholesaleExtract!B:M,12,FALSE),"")</f>
        <v/>
      </c>
      <c r="N872" s="27"/>
      <c r="O872" s="19"/>
      <c r="P872" s="19"/>
      <c r="Q872" s="47"/>
      <c r="R872" s="19"/>
      <c r="S872" s="19"/>
    </row>
    <row r="873" spans="1:19" x14ac:dyDescent="0.35">
      <c r="A873" s="26" t="s">
        <v>543</v>
      </c>
      <c r="B873" s="26" t="s">
        <v>543</v>
      </c>
      <c r="C873" s="26"/>
      <c r="D873" s="26" t="s">
        <v>543</v>
      </c>
      <c r="E873" s="26" t="str">
        <f>IFERROR(VLOOKUP(G873,WholesaleExtract!B:J,9,FALSE),"")</f>
        <v/>
      </c>
      <c r="F873" s="26" t="str">
        <f>IFERROR(VLOOKUP(G873,WholesaleExtract!B:J,6,FALSE),"")</f>
        <v/>
      </c>
      <c r="G873" s="46"/>
      <c r="H873" s="47" t="str">
        <f>IFERROR(VLOOKUP(G873,WholesaleExtract!B:L,11,FALSE),"")</f>
        <v/>
      </c>
      <c r="I873" s="26" t="str">
        <f>IFERROR(VLOOKUP(G873,WholesaleExtract!B:O,8,FALSE),"")</f>
        <v/>
      </c>
      <c r="J873" s="26" t="str">
        <f>IFERROR(VLOOKUP(G873,WholesaleExtract!B:O,14,FALSE),"")</f>
        <v/>
      </c>
      <c r="K873" s="26" t="str">
        <f>IFERROR(VLOOKUP(G873,WholesaleExtract!B:K,10,FALSE),"")</f>
        <v/>
      </c>
      <c r="L873" s="47" t="str">
        <f>IFERROR(VLOOKUP(G873,WholesaleExtract!B:L,11,FALSE),"")</f>
        <v/>
      </c>
      <c r="M873" s="47" t="str">
        <f>IFERROR(VLOOKUP(G873,WholesaleExtract!B:M,12,FALSE),"")</f>
        <v/>
      </c>
      <c r="N873" s="27"/>
      <c r="O873" s="19"/>
      <c r="P873" s="19"/>
      <c r="Q873" s="47"/>
      <c r="R873" s="19"/>
      <c r="S873" s="19"/>
    </row>
    <row r="874" spans="1:19" x14ac:dyDescent="0.35">
      <c r="A874" s="26" t="s">
        <v>543</v>
      </c>
      <c r="B874" s="26" t="s">
        <v>543</v>
      </c>
      <c r="C874" s="26"/>
      <c r="D874" s="26" t="s">
        <v>543</v>
      </c>
      <c r="E874" s="26" t="str">
        <f>IFERROR(VLOOKUP(G874,WholesaleExtract!B:J,9,FALSE),"")</f>
        <v/>
      </c>
      <c r="F874" s="26" t="str">
        <f>IFERROR(VLOOKUP(G874,WholesaleExtract!B:J,6,FALSE),"")</f>
        <v/>
      </c>
      <c r="G874" s="46"/>
      <c r="H874" s="47" t="str">
        <f>IFERROR(VLOOKUP(G874,WholesaleExtract!B:L,11,FALSE),"")</f>
        <v/>
      </c>
      <c r="I874" s="26" t="str">
        <f>IFERROR(VLOOKUP(G874,WholesaleExtract!B:O,8,FALSE),"")</f>
        <v/>
      </c>
      <c r="J874" s="26" t="str">
        <f>IFERROR(VLOOKUP(G874,WholesaleExtract!B:O,14,FALSE),"")</f>
        <v/>
      </c>
      <c r="K874" s="26" t="str">
        <f>IFERROR(VLOOKUP(G874,WholesaleExtract!B:K,10,FALSE),"")</f>
        <v/>
      </c>
      <c r="L874" s="47" t="str">
        <f>IFERROR(VLOOKUP(G874,WholesaleExtract!B:L,11,FALSE),"")</f>
        <v/>
      </c>
      <c r="M874" s="47" t="str">
        <f>IFERROR(VLOOKUP(G874,WholesaleExtract!B:M,12,FALSE),"")</f>
        <v/>
      </c>
      <c r="N874" s="27"/>
      <c r="O874" s="19"/>
      <c r="P874" s="19"/>
      <c r="Q874" s="47"/>
      <c r="R874" s="19"/>
      <c r="S874" s="19"/>
    </row>
    <row r="875" spans="1:19" x14ac:dyDescent="0.35">
      <c r="A875" s="26" t="s">
        <v>543</v>
      </c>
      <c r="B875" s="26" t="s">
        <v>543</v>
      </c>
      <c r="C875" s="26"/>
      <c r="D875" s="26" t="s">
        <v>543</v>
      </c>
      <c r="E875" s="26" t="str">
        <f>IFERROR(VLOOKUP(G875,WholesaleExtract!B:J,9,FALSE),"")</f>
        <v/>
      </c>
      <c r="F875" s="26" t="str">
        <f>IFERROR(VLOOKUP(G875,WholesaleExtract!B:J,6,FALSE),"")</f>
        <v/>
      </c>
      <c r="G875" s="46"/>
      <c r="H875" s="47" t="str">
        <f>IFERROR(VLOOKUP(G875,WholesaleExtract!B:L,11,FALSE),"")</f>
        <v/>
      </c>
      <c r="I875" s="26" t="str">
        <f>IFERROR(VLOOKUP(G875,WholesaleExtract!B:O,8,FALSE),"")</f>
        <v/>
      </c>
      <c r="J875" s="26" t="str">
        <f>IFERROR(VLOOKUP(G875,WholesaleExtract!B:O,14,FALSE),"")</f>
        <v/>
      </c>
      <c r="K875" s="26" t="str">
        <f>IFERROR(VLOOKUP(G875,WholesaleExtract!B:K,10,FALSE),"")</f>
        <v/>
      </c>
      <c r="L875" s="47" t="str">
        <f>IFERROR(VLOOKUP(G875,WholesaleExtract!B:L,11,FALSE),"")</f>
        <v/>
      </c>
      <c r="M875" s="47" t="str">
        <f>IFERROR(VLOOKUP(G875,WholesaleExtract!B:M,12,FALSE),"")</f>
        <v/>
      </c>
      <c r="N875" s="27"/>
      <c r="O875" s="19"/>
      <c r="P875" s="19"/>
      <c r="Q875" s="47"/>
      <c r="R875" s="19"/>
      <c r="S875" s="19"/>
    </row>
    <row r="876" spans="1:19" x14ac:dyDescent="0.35">
      <c r="A876" s="26" t="s">
        <v>543</v>
      </c>
      <c r="B876" s="26" t="s">
        <v>543</v>
      </c>
      <c r="C876" s="26"/>
      <c r="D876" s="26" t="s">
        <v>543</v>
      </c>
      <c r="E876" s="26" t="str">
        <f>IFERROR(VLOOKUP(G876,WholesaleExtract!B:J,9,FALSE),"")</f>
        <v/>
      </c>
      <c r="F876" s="26" t="str">
        <f>IFERROR(VLOOKUP(G876,WholesaleExtract!B:J,6,FALSE),"")</f>
        <v/>
      </c>
      <c r="G876" s="46"/>
      <c r="H876" s="47" t="str">
        <f>IFERROR(VLOOKUP(G876,WholesaleExtract!B:L,11,FALSE),"")</f>
        <v/>
      </c>
      <c r="I876" s="26" t="str">
        <f>IFERROR(VLOOKUP(G876,WholesaleExtract!B:O,8,FALSE),"")</f>
        <v/>
      </c>
      <c r="J876" s="26" t="str">
        <f>IFERROR(VLOOKUP(G876,WholesaleExtract!B:O,14,FALSE),"")</f>
        <v/>
      </c>
      <c r="K876" s="26" t="str">
        <f>IFERROR(VLOOKUP(G876,WholesaleExtract!B:K,10,FALSE),"")</f>
        <v/>
      </c>
      <c r="L876" s="47" t="str">
        <f>IFERROR(VLOOKUP(G876,WholesaleExtract!B:L,11,FALSE),"")</f>
        <v/>
      </c>
      <c r="M876" s="47" t="str">
        <f>IFERROR(VLOOKUP(G876,WholesaleExtract!B:M,12,FALSE),"")</f>
        <v/>
      </c>
      <c r="N876" s="27"/>
      <c r="O876" s="19"/>
      <c r="P876" s="19"/>
      <c r="Q876" s="47"/>
      <c r="R876" s="19"/>
      <c r="S876" s="19"/>
    </row>
    <row r="877" spans="1:19" x14ac:dyDescent="0.35">
      <c r="A877" s="26" t="s">
        <v>543</v>
      </c>
      <c r="B877" s="26" t="s">
        <v>543</v>
      </c>
      <c r="C877" s="26"/>
      <c r="D877" s="26" t="s">
        <v>543</v>
      </c>
      <c r="E877" s="26" t="str">
        <f>IFERROR(VLOOKUP(G877,WholesaleExtract!B:J,9,FALSE),"")</f>
        <v/>
      </c>
      <c r="F877" s="26" t="str">
        <f>IFERROR(VLOOKUP(G877,WholesaleExtract!B:J,6,FALSE),"")</f>
        <v/>
      </c>
      <c r="G877" s="46"/>
      <c r="H877" s="47" t="str">
        <f>IFERROR(VLOOKUP(G877,WholesaleExtract!B:L,11,FALSE),"")</f>
        <v/>
      </c>
      <c r="I877" s="26" t="str">
        <f>IFERROR(VLOOKUP(G877,WholesaleExtract!B:O,8,FALSE),"")</f>
        <v/>
      </c>
      <c r="J877" s="26" t="str">
        <f>IFERROR(VLOOKUP(G877,WholesaleExtract!B:O,14,FALSE),"")</f>
        <v/>
      </c>
      <c r="K877" s="26" t="str">
        <f>IFERROR(VLOOKUP(G877,WholesaleExtract!B:K,10,FALSE),"")</f>
        <v/>
      </c>
      <c r="L877" s="47" t="str">
        <f>IFERROR(VLOOKUP(G877,WholesaleExtract!B:L,11,FALSE),"")</f>
        <v/>
      </c>
      <c r="M877" s="47" t="str">
        <f>IFERROR(VLOOKUP(G877,WholesaleExtract!B:M,12,FALSE),"")</f>
        <v/>
      </c>
      <c r="N877" s="27"/>
      <c r="O877" s="19"/>
      <c r="P877" s="19"/>
      <c r="Q877" s="47"/>
      <c r="R877" s="19"/>
      <c r="S877" s="19"/>
    </row>
    <row r="878" spans="1:19" x14ac:dyDescent="0.35">
      <c r="A878" s="26" t="s">
        <v>543</v>
      </c>
      <c r="B878" s="26" t="s">
        <v>543</v>
      </c>
      <c r="C878" s="26"/>
      <c r="D878" s="26" t="s">
        <v>543</v>
      </c>
      <c r="E878" s="26" t="str">
        <f>IFERROR(VLOOKUP(G878,WholesaleExtract!B:J,9,FALSE),"")</f>
        <v/>
      </c>
      <c r="F878" s="26" t="str">
        <f>IFERROR(VLOOKUP(G878,WholesaleExtract!B:J,6,FALSE),"")</f>
        <v/>
      </c>
      <c r="G878" s="46"/>
      <c r="H878" s="47" t="str">
        <f>IFERROR(VLOOKUP(G878,WholesaleExtract!B:L,11,FALSE),"")</f>
        <v/>
      </c>
      <c r="I878" s="26" t="str">
        <f>IFERROR(VLOOKUP(G878,WholesaleExtract!B:O,8,FALSE),"")</f>
        <v/>
      </c>
      <c r="J878" s="26" t="str">
        <f>IFERROR(VLOOKUP(G878,WholesaleExtract!B:O,14,FALSE),"")</f>
        <v/>
      </c>
      <c r="K878" s="26" t="str">
        <f>IFERROR(VLOOKUP(G878,WholesaleExtract!B:K,10,FALSE),"")</f>
        <v/>
      </c>
      <c r="L878" s="47" t="str">
        <f>IFERROR(VLOOKUP(G878,WholesaleExtract!B:L,11,FALSE),"")</f>
        <v/>
      </c>
      <c r="M878" s="47" t="str">
        <f>IFERROR(VLOOKUP(G878,WholesaleExtract!B:M,12,FALSE),"")</f>
        <v/>
      </c>
      <c r="N878" s="27"/>
      <c r="O878" s="19"/>
      <c r="P878" s="19"/>
      <c r="Q878" s="47"/>
      <c r="R878" s="19"/>
      <c r="S878" s="19"/>
    </row>
    <row r="879" spans="1:19" x14ac:dyDescent="0.35">
      <c r="A879" s="26" t="s">
        <v>543</v>
      </c>
      <c r="B879" s="26" t="s">
        <v>543</v>
      </c>
      <c r="C879" s="26"/>
      <c r="D879" s="26" t="s">
        <v>543</v>
      </c>
      <c r="E879" s="26" t="str">
        <f>IFERROR(VLOOKUP(G879,WholesaleExtract!B:J,9,FALSE),"")</f>
        <v/>
      </c>
      <c r="F879" s="26" t="str">
        <f>IFERROR(VLOOKUP(G879,WholesaleExtract!B:J,6,FALSE),"")</f>
        <v/>
      </c>
      <c r="G879" s="46"/>
      <c r="H879" s="47" t="str">
        <f>IFERROR(VLOOKUP(G879,WholesaleExtract!B:L,11,FALSE),"")</f>
        <v/>
      </c>
      <c r="I879" s="26" t="str">
        <f>IFERROR(VLOOKUP(G879,WholesaleExtract!B:O,8,FALSE),"")</f>
        <v/>
      </c>
      <c r="J879" s="26" t="str">
        <f>IFERROR(VLOOKUP(G879,WholesaleExtract!B:O,14,FALSE),"")</f>
        <v/>
      </c>
      <c r="K879" s="26" t="str">
        <f>IFERROR(VLOOKUP(G879,WholesaleExtract!B:K,10,FALSE),"")</f>
        <v/>
      </c>
      <c r="L879" s="47" t="str">
        <f>IFERROR(VLOOKUP(G879,WholesaleExtract!B:L,11,FALSE),"")</f>
        <v/>
      </c>
      <c r="M879" s="47" t="str">
        <f>IFERROR(VLOOKUP(G879,WholesaleExtract!B:M,12,FALSE),"")</f>
        <v/>
      </c>
      <c r="N879" s="27"/>
      <c r="O879" s="19"/>
      <c r="P879" s="19"/>
      <c r="Q879" s="47"/>
      <c r="R879" s="19"/>
      <c r="S879" s="19"/>
    </row>
    <row r="880" spans="1:19" x14ac:dyDescent="0.35">
      <c r="A880" s="26" t="s">
        <v>543</v>
      </c>
      <c r="B880" s="26" t="s">
        <v>543</v>
      </c>
      <c r="C880" s="26"/>
      <c r="D880" s="26" t="s">
        <v>543</v>
      </c>
      <c r="E880" s="26" t="str">
        <f>IFERROR(VLOOKUP(G880,WholesaleExtract!B:J,9,FALSE),"")</f>
        <v/>
      </c>
      <c r="F880" s="26" t="str">
        <f>IFERROR(VLOOKUP(G880,WholesaleExtract!B:J,6,FALSE),"")</f>
        <v/>
      </c>
      <c r="G880" s="46"/>
      <c r="H880" s="47" t="str">
        <f>IFERROR(VLOOKUP(G880,WholesaleExtract!B:L,11,FALSE),"")</f>
        <v/>
      </c>
      <c r="I880" s="26" t="str">
        <f>IFERROR(VLOOKUP(G880,WholesaleExtract!B:O,8,FALSE),"")</f>
        <v/>
      </c>
      <c r="J880" s="26" t="str">
        <f>IFERROR(VLOOKUP(G880,WholesaleExtract!B:O,14,FALSE),"")</f>
        <v/>
      </c>
      <c r="K880" s="26" t="str">
        <f>IFERROR(VLOOKUP(G880,WholesaleExtract!B:K,10,FALSE),"")</f>
        <v/>
      </c>
      <c r="L880" s="47" t="str">
        <f>IFERROR(VLOOKUP(G880,WholesaleExtract!B:L,11,FALSE),"")</f>
        <v/>
      </c>
      <c r="M880" s="47" t="str">
        <f>IFERROR(VLOOKUP(G880,WholesaleExtract!B:M,12,FALSE),"")</f>
        <v/>
      </c>
      <c r="N880" s="27"/>
      <c r="O880" s="19"/>
      <c r="P880" s="19"/>
      <c r="Q880" s="47"/>
      <c r="R880" s="19"/>
      <c r="S880" s="19"/>
    </row>
    <row r="881" spans="1:19" x14ac:dyDescent="0.35">
      <c r="A881" s="26" t="s">
        <v>543</v>
      </c>
      <c r="B881" s="26" t="s">
        <v>543</v>
      </c>
      <c r="C881" s="26"/>
      <c r="D881" s="26" t="s">
        <v>543</v>
      </c>
      <c r="E881" s="26" t="str">
        <f>IFERROR(VLOOKUP(G881,WholesaleExtract!B:J,9,FALSE),"")</f>
        <v/>
      </c>
      <c r="F881" s="26" t="str">
        <f>IFERROR(VLOOKUP(G881,WholesaleExtract!B:J,6,FALSE),"")</f>
        <v/>
      </c>
      <c r="G881" s="46"/>
      <c r="H881" s="47" t="str">
        <f>IFERROR(VLOOKUP(G881,WholesaleExtract!B:L,11,FALSE),"")</f>
        <v/>
      </c>
      <c r="I881" s="26" t="str">
        <f>IFERROR(VLOOKUP(G881,WholesaleExtract!B:O,8,FALSE),"")</f>
        <v/>
      </c>
      <c r="J881" s="26" t="str">
        <f>IFERROR(VLOOKUP(G881,WholesaleExtract!B:O,14,FALSE),"")</f>
        <v/>
      </c>
      <c r="K881" s="26" t="str">
        <f>IFERROR(VLOOKUP(G881,WholesaleExtract!B:K,10,FALSE),"")</f>
        <v/>
      </c>
      <c r="L881" s="47" t="str">
        <f>IFERROR(VLOOKUP(G881,WholesaleExtract!B:L,11,FALSE),"")</f>
        <v/>
      </c>
      <c r="M881" s="47" t="str">
        <f>IFERROR(VLOOKUP(G881,WholesaleExtract!B:M,12,FALSE),"")</f>
        <v/>
      </c>
      <c r="N881" s="27"/>
      <c r="O881" s="19"/>
      <c r="P881" s="19"/>
      <c r="Q881" s="47"/>
      <c r="R881" s="19"/>
      <c r="S881" s="19"/>
    </row>
    <row r="882" spans="1:19" x14ac:dyDescent="0.35">
      <c r="A882" s="26" t="s">
        <v>543</v>
      </c>
      <c r="B882" s="26" t="s">
        <v>543</v>
      </c>
      <c r="C882" s="26"/>
      <c r="D882" s="26" t="s">
        <v>543</v>
      </c>
      <c r="E882" s="26" t="str">
        <f>IFERROR(VLOOKUP(G882,WholesaleExtract!B:J,9,FALSE),"")</f>
        <v/>
      </c>
      <c r="F882" s="26" t="str">
        <f>IFERROR(VLOOKUP(G882,WholesaleExtract!B:J,6,FALSE),"")</f>
        <v/>
      </c>
      <c r="G882" s="46"/>
      <c r="H882" s="47" t="str">
        <f>IFERROR(VLOOKUP(G882,WholesaleExtract!B:L,11,FALSE),"")</f>
        <v/>
      </c>
      <c r="I882" s="26" t="str">
        <f>IFERROR(VLOOKUP(G882,WholesaleExtract!B:O,8,FALSE),"")</f>
        <v/>
      </c>
      <c r="J882" s="26" t="str">
        <f>IFERROR(VLOOKUP(G882,WholesaleExtract!B:O,14,FALSE),"")</f>
        <v/>
      </c>
      <c r="K882" s="26" t="str">
        <f>IFERROR(VLOOKUP(G882,WholesaleExtract!B:K,10,FALSE),"")</f>
        <v/>
      </c>
      <c r="L882" s="47" t="str">
        <f>IFERROR(VLOOKUP(G882,WholesaleExtract!B:L,11,FALSE),"")</f>
        <v/>
      </c>
      <c r="M882" s="47" t="str">
        <f>IFERROR(VLOOKUP(G882,WholesaleExtract!B:M,12,FALSE),"")</f>
        <v/>
      </c>
      <c r="N882" s="27"/>
      <c r="O882" s="19"/>
      <c r="P882" s="19"/>
      <c r="Q882" s="47"/>
      <c r="R882" s="19"/>
      <c r="S882" s="19"/>
    </row>
    <row r="883" spans="1:19" x14ac:dyDescent="0.35">
      <c r="A883" s="26" t="s">
        <v>543</v>
      </c>
      <c r="B883" s="26" t="s">
        <v>543</v>
      </c>
      <c r="C883" s="26"/>
      <c r="D883" s="26" t="s">
        <v>543</v>
      </c>
      <c r="E883" s="26" t="str">
        <f>IFERROR(VLOOKUP(G883,WholesaleExtract!B:J,9,FALSE),"")</f>
        <v/>
      </c>
      <c r="F883" s="26" t="str">
        <f>IFERROR(VLOOKUP(G883,WholesaleExtract!B:J,6,FALSE),"")</f>
        <v/>
      </c>
      <c r="G883" s="46"/>
      <c r="H883" s="47" t="str">
        <f>IFERROR(VLOOKUP(G883,WholesaleExtract!B:L,11,FALSE),"")</f>
        <v/>
      </c>
      <c r="I883" s="26" t="str">
        <f>IFERROR(VLOOKUP(G883,WholesaleExtract!B:O,8,FALSE),"")</f>
        <v/>
      </c>
      <c r="J883" s="26" t="str">
        <f>IFERROR(VLOOKUP(G883,WholesaleExtract!B:O,14,FALSE),"")</f>
        <v/>
      </c>
      <c r="K883" s="26" t="str">
        <f>IFERROR(VLOOKUP(G883,WholesaleExtract!B:K,10,FALSE),"")</f>
        <v/>
      </c>
      <c r="L883" s="47" t="str">
        <f>IFERROR(VLOOKUP(G883,WholesaleExtract!B:L,11,FALSE),"")</f>
        <v/>
      </c>
      <c r="M883" s="47" t="str">
        <f>IFERROR(VLOOKUP(G883,WholesaleExtract!B:M,12,FALSE),"")</f>
        <v/>
      </c>
      <c r="N883" s="27"/>
      <c r="O883" s="19"/>
      <c r="P883" s="19"/>
      <c r="Q883" s="47"/>
      <c r="R883" s="19"/>
      <c r="S883" s="19"/>
    </row>
    <row r="884" spans="1:19" x14ac:dyDescent="0.35">
      <c r="A884" s="26" t="s">
        <v>543</v>
      </c>
      <c r="B884" s="26" t="s">
        <v>543</v>
      </c>
      <c r="C884" s="26"/>
      <c r="D884" s="26" t="s">
        <v>543</v>
      </c>
      <c r="E884" s="26" t="str">
        <f>IFERROR(VLOOKUP(G884,WholesaleExtract!B:J,9,FALSE),"")</f>
        <v/>
      </c>
      <c r="F884" s="26" t="str">
        <f>IFERROR(VLOOKUP(G884,WholesaleExtract!B:J,6,FALSE),"")</f>
        <v/>
      </c>
      <c r="G884" s="46"/>
      <c r="H884" s="47" t="str">
        <f>IFERROR(VLOOKUP(G884,WholesaleExtract!B:L,11,FALSE),"")</f>
        <v/>
      </c>
      <c r="I884" s="26" t="str">
        <f>IFERROR(VLOOKUP(G884,WholesaleExtract!B:O,8,FALSE),"")</f>
        <v/>
      </c>
      <c r="J884" s="26" t="str">
        <f>IFERROR(VLOOKUP(G884,WholesaleExtract!B:O,14,FALSE),"")</f>
        <v/>
      </c>
      <c r="K884" s="26" t="str">
        <f>IFERROR(VLOOKUP(G884,WholesaleExtract!B:K,10,FALSE),"")</f>
        <v/>
      </c>
      <c r="L884" s="47" t="str">
        <f>IFERROR(VLOOKUP(G884,WholesaleExtract!B:L,11,FALSE),"")</f>
        <v/>
      </c>
      <c r="M884" s="47" t="str">
        <f>IFERROR(VLOOKUP(G884,WholesaleExtract!B:M,12,FALSE),"")</f>
        <v/>
      </c>
      <c r="N884" s="27"/>
      <c r="O884" s="19"/>
      <c r="P884" s="19"/>
      <c r="Q884" s="47"/>
      <c r="R884" s="19"/>
      <c r="S884" s="19"/>
    </row>
    <row r="885" spans="1:19" x14ac:dyDescent="0.35">
      <c r="A885" s="26" t="s">
        <v>543</v>
      </c>
      <c r="B885" s="26" t="s">
        <v>543</v>
      </c>
      <c r="C885" s="26"/>
      <c r="D885" s="26" t="s">
        <v>543</v>
      </c>
      <c r="E885" s="26" t="str">
        <f>IFERROR(VLOOKUP(G885,WholesaleExtract!B:J,9,FALSE),"")</f>
        <v/>
      </c>
      <c r="F885" s="26" t="str">
        <f>IFERROR(VLOOKUP(G885,WholesaleExtract!B:J,6,FALSE),"")</f>
        <v/>
      </c>
      <c r="G885" s="46"/>
      <c r="H885" s="47" t="str">
        <f>IFERROR(VLOOKUP(G885,WholesaleExtract!B:L,11,FALSE),"")</f>
        <v/>
      </c>
      <c r="I885" s="26" t="str">
        <f>IFERROR(VLOOKUP(G885,WholesaleExtract!B:O,8,FALSE),"")</f>
        <v/>
      </c>
      <c r="J885" s="26" t="str">
        <f>IFERROR(VLOOKUP(G885,WholesaleExtract!B:O,14,FALSE),"")</f>
        <v/>
      </c>
      <c r="K885" s="26" t="str">
        <f>IFERROR(VLOOKUP(G885,WholesaleExtract!B:K,10,FALSE),"")</f>
        <v/>
      </c>
      <c r="L885" s="47" t="str">
        <f>IFERROR(VLOOKUP(G885,WholesaleExtract!B:L,11,FALSE),"")</f>
        <v/>
      </c>
      <c r="M885" s="47" t="str">
        <f>IFERROR(VLOOKUP(G885,WholesaleExtract!B:M,12,FALSE),"")</f>
        <v/>
      </c>
      <c r="N885" s="27"/>
      <c r="O885" s="19"/>
      <c r="P885" s="19"/>
      <c r="Q885" s="47"/>
      <c r="R885" s="19"/>
      <c r="S885" s="19"/>
    </row>
    <row r="886" spans="1:19" x14ac:dyDescent="0.35">
      <c r="A886" s="26" t="s">
        <v>543</v>
      </c>
      <c r="B886" s="26" t="s">
        <v>543</v>
      </c>
      <c r="C886" s="26"/>
      <c r="D886" s="26" t="s">
        <v>543</v>
      </c>
      <c r="E886" s="26" t="str">
        <f>IFERROR(VLOOKUP(G886,WholesaleExtract!B:J,9,FALSE),"")</f>
        <v/>
      </c>
      <c r="F886" s="26" t="str">
        <f>IFERROR(VLOOKUP(G886,WholesaleExtract!B:J,6,FALSE),"")</f>
        <v/>
      </c>
      <c r="G886" s="46"/>
      <c r="H886" s="47" t="str">
        <f>IFERROR(VLOOKUP(G886,WholesaleExtract!B:L,11,FALSE),"")</f>
        <v/>
      </c>
      <c r="I886" s="26" t="str">
        <f>IFERROR(VLOOKUP(G886,WholesaleExtract!B:O,8,FALSE),"")</f>
        <v/>
      </c>
      <c r="J886" s="26" t="str">
        <f>IFERROR(VLOOKUP(G886,WholesaleExtract!B:O,14,FALSE),"")</f>
        <v/>
      </c>
      <c r="K886" s="26" t="str">
        <f>IFERROR(VLOOKUP(G886,WholesaleExtract!B:K,10,FALSE),"")</f>
        <v/>
      </c>
      <c r="L886" s="47" t="str">
        <f>IFERROR(VLOOKUP(G886,WholesaleExtract!B:L,11,FALSE),"")</f>
        <v/>
      </c>
      <c r="M886" s="47" t="str">
        <f>IFERROR(VLOOKUP(G886,WholesaleExtract!B:M,12,FALSE),"")</f>
        <v/>
      </c>
      <c r="N886" s="27"/>
      <c r="O886" s="19"/>
      <c r="P886" s="19"/>
      <c r="Q886" s="47"/>
      <c r="R886" s="19"/>
      <c r="S886" s="19"/>
    </row>
    <row r="887" spans="1:19" x14ac:dyDescent="0.35">
      <c r="A887" s="26" t="s">
        <v>543</v>
      </c>
      <c r="B887" s="26" t="s">
        <v>543</v>
      </c>
      <c r="C887" s="26"/>
      <c r="D887" s="26" t="s">
        <v>543</v>
      </c>
      <c r="E887" s="26" t="str">
        <f>IFERROR(VLOOKUP(G887,WholesaleExtract!B:J,9,FALSE),"")</f>
        <v/>
      </c>
      <c r="F887" s="26" t="str">
        <f>IFERROR(VLOOKUP(G887,WholesaleExtract!B:J,6,FALSE),"")</f>
        <v/>
      </c>
      <c r="G887" s="46"/>
      <c r="H887" s="47" t="str">
        <f>IFERROR(VLOOKUP(G887,WholesaleExtract!B:L,11,FALSE),"")</f>
        <v/>
      </c>
      <c r="I887" s="26" t="str">
        <f>IFERROR(VLOOKUP(G887,WholesaleExtract!B:O,8,FALSE),"")</f>
        <v/>
      </c>
      <c r="J887" s="26" t="str">
        <f>IFERROR(VLOOKUP(G887,WholesaleExtract!B:O,14,FALSE),"")</f>
        <v/>
      </c>
      <c r="K887" s="26" t="str">
        <f>IFERROR(VLOOKUP(G887,WholesaleExtract!B:K,10,FALSE),"")</f>
        <v/>
      </c>
      <c r="L887" s="47" t="str">
        <f>IFERROR(VLOOKUP(G887,WholesaleExtract!B:L,11,FALSE),"")</f>
        <v/>
      </c>
      <c r="M887" s="47" t="str">
        <f>IFERROR(VLOOKUP(G887,WholesaleExtract!B:M,12,FALSE),"")</f>
        <v/>
      </c>
      <c r="N887" s="27"/>
      <c r="O887" s="19"/>
      <c r="P887" s="19"/>
      <c r="Q887" s="47"/>
      <c r="R887" s="19"/>
      <c r="S887" s="19"/>
    </row>
    <row r="888" spans="1:19" x14ac:dyDescent="0.35">
      <c r="A888" s="26" t="s">
        <v>543</v>
      </c>
      <c r="B888" s="26" t="s">
        <v>543</v>
      </c>
      <c r="C888" s="26"/>
      <c r="D888" s="26" t="s">
        <v>543</v>
      </c>
      <c r="E888" s="26" t="str">
        <f>IFERROR(VLOOKUP(G888,WholesaleExtract!B:J,9,FALSE),"")</f>
        <v/>
      </c>
      <c r="F888" s="26" t="str">
        <f>IFERROR(VLOOKUP(G888,WholesaleExtract!B:J,6,FALSE),"")</f>
        <v/>
      </c>
      <c r="G888" s="46"/>
      <c r="H888" s="47" t="str">
        <f>IFERROR(VLOOKUP(G888,WholesaleExtract!B:L,11,FALSE),"")</f>
        <v/>
      </c>
      <c r="I888" s="26" t="str">
        <f>IFERROR(VLOOKUP(G888,WholesaleExtract!B:O,8,FALSE),"")</f>
        <v/>
      </c>
      <c r="J888" s="26" t="str">
        <f>IFERROR(VLOOKUP(G888,WholesaleExtract!B:O,14,FALSE),"")</f>
        <v/>
      </c>
      <c r="K888" s="26" t="str">
        <f>IFERROR(VLOOKUP(G888,WholesaleExtract!B:K,10,FALSE),"")</f>
        <v/>
      </c>
      <c r="L888" s="47" t="str">
        <f>IFERROR(VLOOKUP(G888,WholesaleExtract!B:L,11,FALSE),"")</f>
        <v/>
      </c>
      <c r="M888" s="47" t="str">
        <f>IFERROR(VLOOKUP(G888,WholesaleExtract!B:M,12,FALSE),"")</f>
        <v/>
      </c>
      <c r="N888" s="27"/>
      <c r="O888" s="19"/>
      <c r="P888" s="19"/>
      <c r="Q888" s="47"/>
      <c r="R888" s="19"/>
      <c r="S888" s="19"/>
    </row>
    <row r="889" spans="1:19" x14ac:dyDescent="0.35">
      <c r="A889" s="26" t="s">
        <v>543</v>
      </c>
      <c r="B889" s="26" t="s">
        <v>543</v>
      </c>
      <c r="C889" s="26"/>
      <c r="D889" s="26" t="s">
        <v>543</v>
      </c>
      <c r="E889" s="26" t="str">
        <f>IFERROR(VLOOKUP(G889,WholesaleExtract!B:J,9,FALSE),"")</f>
        <v/>
      </c>
      <c r="F889" s="26" t="str">
        <f>IFERROR(VLOOKUP(G889,WholesaleExtract!B:J,6,FALSE),"")</f>
        <v/>
      </c>
      <c r="G889" s="46"/>
      <c r="H889" s="47" t="str">
        <f>IFERROR(VLOOKUP(G889,WholesaleExtract!B:L,11,FALSE),"")</f>
        <v/>
      </c>
      <c r="I889" s="26" t="str">
        <f>IFERROR(VLOOKUP(G889,WholesaleExtract!B:O,8,FALSE),"")</f>
        <v/>
      </c>
      <c r="J889" s="26" t="str">
        <f>IFERROR(VLOOKUP(G889,WholesaleExtract!B:O,14,FALSE),"")</f>
        <v/>
      </c>
      <c r="K889" s="26" t="str">
        <f>IFERROR(VLOOKUP(G889,WholesaleExtract!B:K,10,FALSE),"")</f>
        <v/>
      </c>
      <c r="L889" s="47" t="str">
        <f>IFERROR(VLOOKUP(G889,WholesaleExtract!B:L,11,FALSE),"")</f>
        <v/>
      </c>
      <c r="M889" s="47" t="str">
        <f>IFERROR(VLOOKUP(G889,WholesaleExtract!B:M,12,FALSE),"")</f>
        <v/>
      </c>
      <c r="N889" s="27"/>
      <c r="O889" s="19"/>
      <c r="P889" s="19"/>
      <c r="Q889" s="47"/>
      <c r="R889" s="19"/>
      <c r="S889" s="19"/>
    </row>
    <row r="890" spans="1:19" x14ac:dyDescent="0.35">
      <c r="A890" s="26" t="s">
        <v>543</v>
      </c>
      <c r="B890" s="26" t="s">
        <v>543</v>
      </c>
      <c r="C890" s="26"/>
      <c r="D890" s="26" t="s">
        <v>543</v>
      </c>
      <c r="E890" s="26" t="str">
        <f>IFERROR(VLOOKUP(G890,WholesaleExtract!B:J,9,FALSE),"")</f>
        <v/>
      </c>
      <c r="F890" s="26" t="str">
        <f>IFERROR(VLOOKUP(G890,WholesaleExtract!B:J,6,FALSE),"")</f>
        <v/>
      </c>
      <c r="G890" s="46"/>
      <c r="H890" s="47" t="str">
        <f>IFERROR(VLOOKUP(G890,WholesaleExtract!B:L,11,FALSE),"")</f>
        <v/>
      </c>
      <c r="I890" s="26" t="str">
        <f>IFERROR(VLOOKUP(G890,WholesaleExtract!B:O,8,FALSE),"")</f>
        <v/>
      </c>
      <c r="J890" s="26" t="str">
        <f>IFERROR(VLOOKUP(G890,WholesaleExtract!B:O,14,FALSE),"")</f>
        <v/>
      </c>
      <c r="K890" s="26" t="str">
        <f>IFERROR(VLOOKUP(G890,WholesaleExtract!B:K,10,FALSE),"")</f>
        <v/>
      </c>
      <c r="L890" s="47" t="str">
        <f>IFERROR(VLOOKUP(G890,WholesaleExtract!B:L,11,FALSE),"")</f>
        <v/>
      </c>
      <c r="M890" s="47" t="str">
        <f>IFERROR(VLOOKUP(G890,WholesaleExtract!B:M,12,FALSE),"")</f>
        <v/>
      </c>
      <c r="N890" s="27"/>
      <c r="O890" s="19"/>
      <c r="P890" s="19"/>
      <c r="Q890" s="47"/>
      <c r="R890" s="19"/>
      <c r="S890" s="19"/>
    </row>
    <row r="891" spans="1:19" x14ac:dyDescent="0.35">
      <c r="A891" s="26" t="s">
        <v>543</v>
      </c>
      <c r="B891" s="26" t="s">
        <v>543</v>
      </c>
      <c r="C891" s="26"/>
      <c r="D891" s="26" t="s">
        <v>543</v>
      </c>
      <c r="E891" s="26" t="str">
        <f>IFERROR(VLOOKUP(G891,WholesaleExtract!B:J,9,FALSE),"")</f>
        <v/>
      </c>
      <c r="F891" s="26" t="str">
        <f>IFERROR(VLOOKUP(G891,WholesaleExtract!B:J,6,FALSE),"")</f>
        <v/>
      </c>
      <c r="G891" s="46"/>
      <c r="H891" s="47" t="str">
        <f>IFERROR(VLOOKUP(G891,WholesaleExtract!B:L,11,FALSE),"")</f>
        <v/>
      </c>
      <c r="I891" s="26" t="str">
        <f>IFERROR(VLOOKUP(G891,WholesaleExtract!B:O,8,FALSE),"")</f>
        <v/>
      </c>
      <c r="J891" s="26" t="str">
        <f>IFERROR(VLOOKUP(G891,WholesaleExtract!B:O,14,FALSE),"")</f>
        <v/>
      </c>
      <c r="K891" s="26" t="str">
        <f>IFERROR(VLOOKUP(G891,WholesaleExtract!B:K,10,FALSE),"")</f>
        <v/>
      </c>
      <c r="L891" s="47" t="str">
        <f>IFERROR(VLOOKUP(G891,WholesaleExtract!B:L,11,FALSE),"")</f>
        <v/>
      </c>
      <c r="M891" s="47" t="str">
        <f>IFERROR(VLOOKUP(G891,WholesaleExtract!B:M,12,FALSE),"")</f>
        <v/>
      </c>
      <c r="N891" s="27"/>
      <c r="O891" s="19"/>
      <c r="P891" s="19"/>
      <c r="Q891" s="47"/>
      <c r="R891" s="19"/>
      <c r="S891" s="19"/>
    </row>
    <row r="892" spans="1:19" x14ac:dyDescent="0.35">
      <c r="A892" s="26" t="s">
        <v>543</v>
      </c>
      <c r="B892" s="26" t="s">
        <v>543</v>
      </c>
      <c r="C892" s="26"/>
      <c r="D892" s="26" t="s">
        <v>543</v>
      </c>
      <c r="E892" s="26" t="str">
        <f>IFERROR(VLOOKUP(G892,WholesaleExtract!B:J,9,FALSE),"")</f>
        <v/>
      </c>
      <c r="F892" s="26" t="str">
        <f>IFERROR(VLOOKUP(G892,WholesaleExtract!B:J,6,FALSE),"")</f>
        <v/>
      </c>
      <c r="G892" s="46"/>
      <c r="H892" s="47" t="str">
        <f>IFERROR(VLOOKUP(G892,WholesaleExtract!B:L,11,FALSE),"")</f>
        <v/>
      </c>
      <c r="I892" s="26" t="str">
        <f>IFERROR(VLOOKUP(G892,WholesaleExtract!B:O,8,FALSE),"")</f>
        <v/>
      </c>
      <c r="J892" s="26" t="str">
        <f>IFERROR(VLOOKUP(G892,WholesaleExtract!B:O,14,FALSE),"")</f>
        <v/>
      </c>
      <c r="K892" s="26" t="str">
        <f>IFERROR(VLOOKUP(G892,WholesaleExtract!B:K,10,FALSE),"")</f>
        <v/>
      </c>
      <c r="L892" s="47" t="str">
        <f>IFERROR(VLOOKUP(G892,WholesaleExtract!B:L,11,FALSE),"")</f>
        <v/>
      </c>
      <c r="M892" s="47" t="str">
        <f>IFERROR(VLOOKUP(G892,WholesaleExtract!B:M,12,FALSE),"")</f>
        <v/>
      </c>
      <c r="N892" s="27"/>
      <c r="O892" s="19"/>
      <c r="P892" s="19"/>
      <c r="Q892" s="47"/>
      <c r="R892" s="19"/>
      <c r="S892" s="19"/>
    </row>
    <row r="893" spans="1:19" x14ac:dyDescent="0.35">
      <c r="A893" s="26" t="s">
        <v>543</v>
      </c>
      <c r="B893" s="26" t="s">
        <v>543</v>
      </c>
      <c r="C893" s="26"/>
      <c r="D893" s="26" t="s">
        <v>543</v>
      </c>
      <c r="E893" s="26" t="str">
        <f>IFERROR(VLOOKUP(G893,WholesaleExtract!B:J,9,FALSE),"")</f>
        <v/>
      </c>
      <c r="F893" s="26" t="str">
        <f>IFERROR(VLOOKUP(G893,WholesaleExtract!B:J,6,FALSE),"")</f>
        <v/>
      </c>
      <c r="G893" s="46"/>
      <c r="H893" s="47" t="str">
        <f>IFERROR(VLOOKUP(G893,WholesaleExtract!B:L,11,FALSE),"")</f>
        <v/>
      </c>
      <c r="I893" s="26" t="str">
        <f>IFERROR(VLOOKUP(G893,WholesaleExtract!B:O,8,FALSE),"")</f>
        <v/>
      </c>
      <c r="J893" s="26" t="str">
        <f>IFERROR(VLOOKUP(G893,WholesaleExtract!B:O,14,FALSE),"")</f>
        <v/>
      </c>
      <c r="K893" s="26" t="str">
        <f>IFERROR(VLOOKUP(G893,WholesaleExtract!B:K,10,FALSE),"")</f>
        <v/>
      </c>
      <c r="L893" s="47" t="str">
        <f>IFERROR(VLOOKUP(G893,WholesaleExtract!B:L,11,FALSE),"")</f>
        <v/>
      </c>
      <c r="M893" s="47" t="str">
        <f>IFERROR(VLOOKUP(G893,WholesaleExtract!B:M,12,FALSE),"")</f>
        <v/>
      </c>
      <c r="N893" s="27"/>
      <c r="O893" s="19"/>
      <c r="P893" s="19"/>
      <c r="Q893" s="47"/>
      <c r="R893" s="19"/>
      <c r="S893" s="19"/>
    </row>
    <row r="894" spans="1:19" x14ac:dyDescent="0.35">
      <c r="A894" s="26" t="s">
        <v>543</v>
      </c>
      <c r="B894" s="26" t="s">
        <v>543</v>
      </c>
      <c r="C894" s="26"/>
      <c r="D894" s="26" t="s">
        <v>543</v>
      </c>
      <c r="E894" s="26" t="str">
        <f>IFERROR(VLOOKUP(G894,WholesaleExtract!B:J,9,FALSE),"")</f>
        <v/>
      </c>
      <c r="F894" s="26" t="str">
        <f>IFERROR(VLOOKUP(G894,WholesaleExtract!B:J,6,FALSE),"")</f>
        <v/>
      </c>
      <c r="G894" s="46"/>
      <c r="H894" s="47" t="str">
        <f>IFERROR(VLOOKUP(G894,WholesaleExtract!B:L,11,FALSE),"")</f>
        <v/>
      </c>
      <c r="I894" s="26" t="str">
        <f>IFERROR(VLOOKUP(G894,WholesaleExtract!B:O,8,FALSE),"")</f>
        <v/>
      </c>
      <c r="J894" s="26" t="str">
        <f>IFERROR(VLOOKUP(G894,WholesaleExtract!B:O,14,FALSE),"")</f>
        <v/>
      </c>
      <c r="K894" s="26" t="str">
        <f>IFERROR(VLOOKUP(G894,WholesaleExtract!B:K,10,FALSE),"")</f>
        <v/>
      </c>
      <c r="L894" s="47" t="str">
        <f>IFERROR(VLOOKUP(G894,WholesaleExtract!B:L,11,FALSE),"")</f>
        <v/>
      </c>
      <c r="M894" s="47" t="str">
        <f>IFERROR(VLOOKUP(G894,WholesaleExtract!B:M,12,FALSE),"")</f>
        <v/>
      </c>
      <c r="N894" s="27"/>
      <c r="O894" s="19"/>
      <c r="P894" s="19"/>
      <c r="Q894" s="47"/>
      <c r="R894" s="19"/>
      <c r="S894" s="19"/>
    </row>
    <row r="895" spans="1:19" x14ac:dyDescent="0.35">
      <c r="A895" s="26" t="s">
        <v>543</v>
      </c>
      <c r="B895" s="26" t="s">
        <v>543</v>
      </c>
      <c r="C895" s="26"/>
      <c r="D895" s="26" t="s">
        <v>543</v>
      </c>
      <c r="E895" s="26" t="str">
        <f>IFERROR(VLOOKUP(G895,WholesaleExtract!B:J,9,FALSE),"")</f>
        <v/>
      </c>
      <c r="F895" s="26" t="str">
        <f>IFERROR(VLOOKUP(G895,WholesaleExtract!B:J,6,FALSE),"")</f>
        <v/>
      </c>
      <c r="G895" s="46"/>
      <c r="H895" s="47" t="str">
        <f>IFERROR(VLOOKUP(G895,WholesaleExtract!B:L,11,FALSE),"")</f>
        <v/>
      </c>
      <c r="I895" s="26" t="str">
        <f>IFERROR(VLOOKUP(G895,WholesaleExtract!B:O,8,FALSE),"")</f>
        <v/>
      </c>
      <c r="J895" s="26" t="str">
        <f>IFERROR(VLOOKUP(G895,WholesaleExtract!B:O,14,FALSE),"")</f>
        <v/>
      </c>
      <c r="K895" s="26" t="str">
        <f>IFERROR(VLOOKUP(G895,WholesaleExtract!B:K,10,FALSE),"")</f>
        <v/>
      </c>
      <c r="L895" s="47" t="str">
        <f>IFERROR(VLOOKUP(G895,WholesaleExtract!B:L,11,FALSE),"")</f>
        <v/>
      </c>
      <c r="M895" s="47" t="str">
        <f>IFERROR(VLOOKUP(G895,WholesaleExtract!B:M,12,FALSE),"")</f>
        <v/>
      </c>
      <c r="N895" s="27"/>
      <c r="O895" s="19"/>
      <c r="P895" s="19"/>
      <c r="Q895" s="47"/>
      <c r="R895" s="19"/>
      <c r="S895" s="19"/>
    </row>
    <row r="896" spans="1:19" x14ac:dyDescent="0.35">
      <c r="A896" s="26" t="s">
        <v>543</v>
      </c>
      <c r="B896" s="26" t="s">
        <v>543</v>
      </c>
      <c r="C896" s="26"/>
      <c r="D896" s="26" t="s">
        <v>543</v>
      </c>
      <c r="E896" s="26" t="str">
        <f>IFERROR(VLOOKUP(G896,WholesaleExtract!B:J,9,FALSE),"")</f>
        <v/>
      </c>
      <c r="F896" s="26" t="str">
        <f>IFERROR(VLOOKUP(G896,WholesaleExtract!B:J,6,FALSE),"")</f>
        <v/>
      </c>
      <c r="G896" s="46"/>
      <c r="H896" s="47" t="str">
        <f>IFERROR(VLOOKUP(G896,WholesaleExtract!B:L,11,FALSE),"")</f>
        <v/>
      </c>
      <c r="I896" s="26" t="str">
        <f>IFERROR(VLOOKUP(G896,WholesaleExtract!B:O,8,FALSE),"")</f>
        <v/>
      </c>
      <c r="J896" s="26" t="str">
        <f>IFERROR(VLOOKUP(G896,WholesaleExtract!B:O,14,FALSE),"")</f>
        <v/>
      </c>
      <c r="K896" s="26" t="str">
        <f>IFERROR(VLOOKUP(G896,WholesaleExtract!B:K,10,FALSE),"")</f>
        <v/>
      </c>
      <c r="L896" s="47" t="str">
        <f>IFERROR(VLOOKUP(G896,WholesaleExtract!B:L,11,FALSE),"")</f>
        <v/>
      </c>
      <c r="M896" s="47" t="str">
        <f>IFERROR(VLOOKUP(G896,WholesaleExtract!B:M,12,FALSE),"")</f>
        <v/>
      </c>
      <c r="N896" s="27"/>
      <c r="O896" s="19"/>
      <c r="P896" s="19"/>
      <c r="Q896" s="47"/>
      <c r="R896" s="19"/>
      <c r="S896" s="19"/>
    </row>
    <row r="897" spans="1:19" x14ac:dyDescent="0.35">
      <c r="A897" s="26" t="s">
        <v>543</v>
      </c>
      <c r="B897" s="26" t="s">
        <v>543</v>
      </c>
      <c r="C897" s="26"/>
      <c r="D897" s="26" t="s">
        <v>543</v>
      </c>
      <c r="E897" s="26" t="str">
        <f>IFERROR(VLOOKUP(G897,WholesaleExtract!B:J,9,FALSE),"")</f>
        <v/>
      </c>
      <c r="F897" s="26" t="str">
        <f>IFERROR(VLOOKUP(G897,WholesaleExtract!B:J,6,FALSE),"")</f>
        <v/>
      </c>
      <c r="G897" s="46"/>
      <c r="H897" s="47" t="str">
        <f>IFERROR(VLOOKUP(G897,WholesaleExtract!B:L,11,FALSE),"")</f>
        <v/>
      </c>
      <c r="I897" s="26" t="str">
        <f>IFERROR(VLOOKUP(G897,WholesaleExtract!B:O,8,FALSE),"")</f>
        <v/>
      </c>
      <c r="J897" s="26" t="str">
        <f>IFERROR(VLOOKUP(G897,WholesaleExtract!B:O,14,FALSE),"")</f>
        <v/>
      </c>
      <c r="K897" s="26" t="str">
        <f>IFERROR(VLOOKUP(G897,WholesaleExtract!B:K,10,FALSE),"")</f>
        <v/>
      </c>
      <c r="L897" s="47" t="str">
        <f>IFERROR(VLOOKUP(G897,WholesaleExtract!B:L,11,FALSE),"")</f>
        <v/>
      </c>
      <c r="M897" s="47" t="str">
        <f>IFERROR(VLOOKUP(G897,WholesaleExtract!B:M,12,FALSE),"")</f>
        <v/>
      </c>
      <c r="N897" s="27"/>
      <c r="O897" s="19"/>
      <c r="P897" s="19"/>
      <c r="Q897" s="47"/>
      <c r="R897" s="19"/>
      <c r="S897" s="19"/>
    </row>
    <row r="898" spans="1:19" x14ac:dyDescent="0.35">
      <c r="A898" s="26" t="s">
        <v>543</v>
      </c>
      <c r="B898" s="26" t="s">
        <v>543</v>
      </c>
      <c r="C898" s="26"/>
      <c r="D898" s="26" t="s">
        <v>543</v>
      </c>
      <c r="E898" s="26" t="str">
        <f>IFERROR(VLOOKUP(G898,WholesaleExtract!B:J,9,FALSE),"")</f>
        <v/>
      </c>
      <c r="F898" s="26" t="str">
        <f>IFERROR(VLOOKUP(G898,WholesaleExtract!B:J,6,FALSE),"")</f>
        <v/>
      </c>
      <c r="G898" s="46"/>
      <c r="H898" s="47" t="str">
        <f>IFERROR(VLOOKUP(G898,WholesaleExtract!B:L,11,FALSE),"")</f>
        <v/>
      </c>
      <c r="I898" s="26" t="str">
        <f>IFERROR(VLOOKUP(G898,WholesaleExtract!B:O,8,FALSE),"")</f>
        <v/>
      </c>
      <c r="J898" s="26" t="str">
        <f>IFERROR(VLOOKUP(G898,WholesaleExtract!B:O,14,FALSE),"")</f>
        <v/>
      </c>
      <c r="K898" s="26" t="str">
        <f>IFERROR(VLOOKUP(G898,WholesaleExtract!B:K,10,FALSE),"")</f>
        <v/>
      </c>
      <c r="L898" s="47" t="str">
        <f>IFERROR(VLOOKUP(G898,WholesaleExtract!B:L,11,FALSE),"")</f>
        <v/>
      </c>
      <c r="M898" s="47" t="str">
        <f>IFERROR(VLOOKUP(G898,WholesaleExtract!B:M,12,FALSE),"")</f>
        <v/>
      </c>
      <c r="N898" s="27"/>
      <c r="O898" s="19"/>
      <c r="P898" s="19"/>
      <c r="Q898" s="47"/>
      <c r="R898" s="19"/>
      <c r="S898" s="19"/>
    </row>
    <row r="899" spans="1:19" x14ac:dyDescent="0.35">
      <c r="A899" s="26" t="s">
        <v>543</v>
      </c>
      <c r="B899" s="26" t="s">
        <v>543</v>
      </c>
      <c r="C899" s="26"/>
      <c r="D899" s="26" t="s">
        <v>543</v>
      </c>
      <c r="E899" s="26" t="str">
        <f>IFERROR(VLOOKUP(G899,WholesaleExtract!B:J,9,FALSE),"")</f>
        <v/>
      </c>
      <c r="F899" s="26" t="str">
        <f>IFERROR(VLOOKUP(G899,WholesaleExtract!B:J,6,FALSE),"")</f>
        <v/>
      </c>
      <c r="G899" s="46"/>
      <c r="H899" s="47" t="str">
        <f>IFERROR(VLOOKUP(G899,WholesaleExtract!B:L,11,FALSE),"")</f>
        <v/>
      </c>
      <c r="I899" s="26" t="str">
        <f>IFERROR(VLOOKUP(G899,WholesaleExtract!B:O,8,FALSE),"")</f>
        <v/>
      </c>
      <c r="J899" s="26" t="str">
        <f>IFERROR(VLOOKUP(G899,WholesaleExtract!B:O,14,FALSE),"")</f>
        <v/>
      </c>
      <c r="K899" s="26" t="str">
        <f>IFERROR(VLOOKUP(G899,WholesaleExtract!B:K,10,FALSE),"")</f>
        <v/>
      </c>
      <c r="L899" s="47" t="str">
        <f>IFERROR(VLOOKUP(G899,WholesaleExtract!B:L,11,FALSE),"")</f>
        <v/>
      </c>
      <c r="M899" s="47" t="str">
        <f>IFERROR(VLOOKUP(G899,WholesaleExtract!B:M,12,FALSE),"")</f>
        <v/>
      </c>
      <c r="N899" s="27"/>
      <c r="O899" s="19"/>
      <c r="P899" s="19"/>
      <c r="Q899" s="47"/>
      <c r="R899" s="19"/>
      <c r="S899" s="19"/>
    </row>
    <row r="900" spans="1:19" x14ac:dyDescent="0.35">
      <c r="A900" s="26" t="s">
        <v>543</v>
      </c>
      <c r="B900" s="26" t="s">
        <v>543</v>
      </c>
      <c r="C900" s="26"/>
      <c r="D900" s="26" t="s">
        <v>543</v>
      </c>
      <c r="E900" s="26" t="str">
        <f>IFERROR(VLOOKUP(G900,WholesaleExtract!B:J,9,FALSE),"")</f>
        <v/>
      </c>
      <c r="F900" s="26" t="str">
        <f>IFERROR(VLOOKUP(G900,WholesaleExtract!B:J,6,FALSE),"")</f>
        <v/>
      </c>
      <c r="G900" s="46"/>
      <c r="H900" s="47" t="str">
        <f>IFERROR(VLOOKUP(G900,WholesaleExtract!B:L,11,FALSE),"")</f>
        <v/>
      </c>
      <c r="I900" s="26" t="str">
        <f>IFERROR(VLOOKUP(G900,WholesaleExtract!B:O,8,FALSE),"")</f>
        <v/>
      </c>
      <c r="J900" s="26" t="str">
        <f>IFERROR(VLOOKUP(G900,WholesaleExtract!B:O,14,FALSE),"")</f>
        <v/>
      </c>
      <c r="K900" s="26" t="str">
        <f>IFERROR(VLOOKUP(G900,WholesaleExtract!B:K,10,FALSE),"")</f>
        <v/>
      </c>
      <c r="L900" s="47" t="str">
        <f>IFERROR(VLOOKUP(G900,WholesaleExtract!B:L,11,FALSE),"")</f>
        <v/>
      </c>
      <c r="M900" s="47" t="str">
        <f>IFERROR(VLOOKUP(G900,WholesaleExtract!B:M,12,FALSE),"")</f>
        <v/>
      </c>
      <c r="N900" s="27"/>
      <c r="O900" s="19"/>
      <c r="P900" s="19"/>
      <c r="Q900" s="47"/>
      <c r="R900" s="19"/>
      <c r="S900" s="19"/>
    </row>
    <row r="901" spans="1:19" x14ac:dyDescent="0.35">
      <c r="A901" s="26" t="s">
        <v>543</v>
      </c>
      <c r="B901" s="26" t="s">
        <v>543</v>
      </c>
      <c r="C901" s="26"/>
      <c r="D901" s="26" t="s">
        <v>543</v>
      </c>
      <c r="E901" s="26" t="str">
        <f>IFERROR(VLOOKUP(G901,WholesaleExtract!B:J,9,FALSE),"")</f>
        <v/>
      </c>
      <c r="F901" s="26" t="str">
        <f>IFERROR(VLOOKUP(G901,WholesaleExtract!B:J,6,FALSE),"")</f>
        <v/>
      </c>
      <c r="G901" s="46"/>
      <c r="H901" s="47" t="str">
        <f>IFERROR(VLOOKUP(G901,WholesaleExtract!B:L,11,FALSE),"")</f>
        <v/>
      </c>
      <c r="I901" s="26" t="str">
        <f>IFERROR(VLOOKUP(G901,WholesaleExtract!B:O,8,FALSE),"")</f>
        <v/>
      </c>
      <c r="J901" s="26" t="str">
        <f>IFERROR(VLOOKUP(G901,WholesaleExtract!B:O,14,FALSE),"")</f>
        <v/>
      </c>
      <c r="K901" s="26" t="str">
        <f>IFERROR(VLOOKUP(G901,WholesaleExtract!B:K,10,FALSE),"")</f>
        <v/>
      </c>
      <c r="L901" s="47" t="str">
        <f>IFERROR(VLOOKUP(G901,WholesaleExtract!B:L,11,FALSE),"")</f>
        <v/>
      </c>
      <c r="M901" s="47" t="str">
        <f>IFERROR(VLOOKUP(G901,WholesaleExtract!B:M,12,FALSE),"")</f>
        <v/>
      </c>
      <c r="N901" s="27"/>
      <c r="O901" s="19"/>
      <c r="P901" s="19"/>
      <c r="Q901" s="47"/>
      <c r="R901" s="19"/>
      <c r="S901" s="19"/>
    </row>
    <row r="902" spans="1:19" x14ac:dyDescent="0.35">
      <c r="A902" s="26" t="s">
        <v>543</v>
      </c>
      <c r="B902" s="26" t="s">
        <v>543</v>
      </c>
      <c r="C902" s="26"/>
      <c r="D902" s="26" t="s">
        <v>543</v>
      </c>
      <c r="E902" s="26" t="str">
        <f>IFERROR(VLOOKUP(G902,WholesaleExtract!B:J,9,FALSE),"")</f>
        <v/>
      </c>
      <c r="F902" s="26" t="str">
        <f>IFERROR(VLOOKUP(G902,WholesaleExtract!B:J,6,FALSE),"")</f>
        <v/>
      </c>
      <c r="G902" s="46"/>
      <c r="H902" s="47" t="str">
        <f>IFERROR(VLOOKUP(G902,WholesaleExtract!B:L,11,FALSE),"")</f>
        <v/>
      </c>
      <c r="I902" s="26" t="str">
        <f>IFERROR(VLOOKUP(G902,WholesaleExtract!B:O,8,FALSE),"")</f>
        <v/>
      </c>
      <c r="J902" s="26" t="str">
        <f>IFERROR(VLOOKUP(G902,WholesaleExtract!B:O,14,FALSE),"")</f>
        <v/>
      </c>
      <c r="K902" s="26" t="str">
        <f>IFERROR(VLOOKUP(G902,WholesaleExtract!B:K,10,FALSE),"")</f>
        <v/>
      </c>
      <c r="L902" s="47" t="str">
        <f>IFERROR(VLOOKUP(G902,WholesaleExtract!B:L,11,FALSE),"")</f>
        <v/>
      </c>
      <c r="M902" s="47" t="str">
        <f>IFERROR(VLOOKUP(G902,WholesaleExtract!B:M,12,FALSE),"")</f>
        <v/>
      </c>
      <c r="N902" s="27"/>
      <c r="O902" s="19"/>
      <c r="P902" s="19"/>
      <c r="Q902" s="47"/>
      <c r="R902" s="19"/>
      <c r="S902" s="19"/>
    </row>
    <row r="903" spans="1:19" x14ac:dyDescent="0.35">
      <c r="A903" s="26" t="s">
        <v>543</v>
      </c>
      <c r="B903" s="26" t="s">
        <v>543</v>
      </c>
      <c r="C903" s="26"/>
      <c r="D903" s="26" t="s">
        <v>543</v>
      </c>
      <c r="E903" s="26" t="str">
        <f>IFERROR(VLOOKUP(G903,WholesaleExtract!B:J,9,FALSE),"")</f>
        <v/>
      </c>
      <c r="F903" s="26" t="str">
        <f>IFERROR(VLOOKUP(G903,WholesaleExtract!B:J,6,FALSE),"")</f>
        <v/>
      </c>
      <c r="G903" s="46"/>
      <c r="H903" s="47" t="str">
        <f>IFERROR(VLOOKUP(G903,WholesaleExtract!B:L,11,FALSE),"")</f>
        <v/>
      </c>
      <c r="I903" s="26" t="str">
        <f>IFERROR(VLOOKUP(G903,WholesaleExtract!B:O,8,FALSE),"")</f>
        <v/>
      </c>
      <c r="J903" s="26" t="str">
        <f>IFERROR(VLOOKUP(G903,WholesaleExtract!B:O,14,FALSE),"")</f>
        <v/>
      </c>
      <c r="K903" s="26" t="str">
        <f>IFERROR(VLOOKUP(G903,WholesaleExtract!B:K,10,FALSE),"")</f>
        <v/>
      </c>
      <c r="L903" s="47" t="str">
        <f>IFERROR(VLOOKUP(G903,WholesaleExtract!B:L,11,FALSE),"")</f>
        <v/>
      </c>
      <c r="M903" s="47" t="str">
        <f>IFERROR(VLOOKUP(G903,WholesaleExtract!B:M,12,FALSE),"")</f>
        <v/>
      </c>
      <c r="N903" s="27"/>
      <c r="O903" s="19"/>
      <c r="P903" s="19"/>
      <c r="Q903" s="47"/>
      <c r="R903" s="19"/>
      <c r="S903" s="19"/>
    </row>
    <row r="904" spans="1:19" x14ac:dyDescent="0.35">
      <c r="A904" s="26" t="s">
        <v>543</v>
      </c>
      <c r="B904" s="26" t="s">
        <v>543</v>
      </c>
      <c r="C904" s="26"/>
      <c r="D904" s="26" t="s">
        <v>543</v>
      </c>
      <c r="E904" s="26" t="str">
        <f>IFERROR(VLOOKUP(G904,WholesaleExtract!B:J,9,FALSE),"")</f>
        <v/>
      </c>
      <c r="F904" s="26" t="str">
        <f>IFERROR(VLOOKUP(G904,WholesaleExtract!B:J,6,FALSE),"")</f>
        <v/>
      </c>
      <c r="G904" s="46"/>
      <c r="H904" s="47" t="str">
        <f>IFERROR(VLOOKUP(G904,WholesaleExtract!B:L,11,FALSE),"")</f>
        <v/>
      </c>
      <c r="I904" s="26" t="str">
        <f>IFERROR(VLOOKUP(G904,WholesaleExtract!B:O,8,FALSE),"")</f>
        <v/>
      </c>
      <c r="J904" s="26" t="str">
        <f>IFERROR(VLOOKUP(G904,WholesaleExtract!B:O,14,FALSE),"")</f>
        <v/>
      </c>
      <c r="K904" s="26" t="str">
        <f>IFERROR(VLOOKUP(G904,WholesaleExtract!B:K,10,FALSE),"")</f>
        <v/>
      </c>
      <c r="L904" s="47" t="str">
        <f>IFERROR(VLOOKUP(G904,WholesaleExtract!B:L,11,FALSE),"")</f>
        <v/>
      </c>
      <c r="M904" s="47" t="str">
        <f>IFERROR(VLOOKUP(G904,WholesaleExtract!B:M,12,FALSE),"")</f>
        <v/>
      </c>
      <c r="N904" s="27"/>
      <c r="O904" s="19"/>
      <c r="P904" s="19"/>
      <c r="Q904" s="47"/>
      <c r="R904" s="19"/>
      <c r="S904" s="19"/>
    </row>
    <row r="905" spans="1:19" x14ac:dyDescent="0.35">
      <c r="A905" s="26" t="s">
        <v>543</v>
      </c>
      <c r="B905" s="26" t="s">
        <v>543</v>
      </c>
      <c r="C905" s="26"/>
      <c r="D905" s="26" t="s">
        <v>543</v>
      </c>
      <c r="E905" s="26" t="str">
        <f>IFERROR(VLOOKUP(G905,WholesaleExtract!B:J,9,FALSE),"")</f>
        <v/>
      </c>
      <c r="F905" s="26" t="str">
        <f>IFERROR(VLOOKUP(G905,WholesaleExtract!B:J,6,FALSE),"")</f>
        <v/>
      </c>
      <c r="G905" s="46"/>
      <c r="H905" s="47" t="str">
        <f>IFERROR(VLOOKUP(G905,WholesaleExtract!B:L,11,FALSE),"")</f>
        <v/>
      </c>
      <c r="I905" s="26" t="str">
        <f>IFERROR(VLOOKUP(G905,WholesaleExtract!B:O,8,FALSE),"")</f>
        <v/>
      </c>
      <c r="J905" s="26" t="str">
        <f>IFERROR(VLOOKUP(G905,WholesaleExtract!B:O,14,FALSE),"")</f>
        <v/>
      </c>
      <c r="K905" s="26" t="str">
        <f>IFERROR(VLOOKUP(G905,WholesaleExtract!B:K,10,FALSE),"")</f>
        <v/>
      </c>
      <c r="L905" s="47" t="str">
        <f>IFERROR(VLOOKUP(G905,WholesaleExtract!B:L,11,FALSE),"")</f>
        <v/>
      </c>
      <c r="M905" s="47" t="str">
        <f>IFERROR(VLOOKUP(G905,WholesaleExtract!B:M,12,FALSE),"")</f>
        <v/>
      </c>
      <c r="N905" s="27"/>
      <c r="O905" s="19"/>
      <c r="P905" s="19"/>
      <c r="Q905" s="47"/>
      <c r="R905" s="19"/>
      <c r="S905" s="19"/>
    </row>
    <row r="906" spans="1:19" x14ac:dyDescent="0.35">
      <c r="A906" s="26" t="s">
        <v>543</v>
      </c>
      <c r="B906" s="26" t="s">
        <v>543</v>
      </c>
      <c r="C906" s="26"/>
      <c r="D906" s="26" t="s">
        <v>543</v>
      </c>
      <c r="E906" s="26" t="str">
        <f>IFERROR(VLOOKUP(G906,WholesaleExtract!B:J,9,FALSE),"")</f>
        <v/>
      </c>
      <c r="F906" s="26" t="str">
        <f>IFERROR(VLOOKUP(G906,WholesaleExtract!B:J,6,FALSE),"")</f>
        <v/>
      </c>
      <c r="G906" s="46"/>
      <c r="H906" s="47" t="str">
        <f>IFERROR(VLOOKUP(G906,WholesaleExtract!B:L,11,FALSE),"")</f>
        <v/>
      </c>
      <c r="I906" s="26" t="str">
        <f>IFERROR(VLOOKUP(G906,WholesaleExtract!B:O,8,FALSE),"")</f>
        <v/>
      </c>
      <c r="J906" s="26" t="str">
        <f>IFERROR(VLOOKUP(G906,WholesaleExtract!B:O,14,FALSE),"")</f>
        <v/>
      </c>
      <c r="K906" s="26" t="str">
        <f>IFERROR(VLOOKUP(G906,WholesaleExtract!B:K,10,FALSE),"")</f>
        <v/>
      </c>
      <c r="L906" s="47" t="str">
        <f>IFERROR(VLOOKUP(G906,WholesaleExtract!B:L,11,FALSE),"")</f>
        <v/>
      </c>
      <c r="M906" s="47" t="str">
        <f>IFERROR(VLOOKUP(G906,WholesaleExtract!B:M,12,FALSE),"")</f>
        <v/>
      </c>
      <c r="N906" s="27"/>
      <c r="O906" s="19"/>
      <c r="P906" s="19"/>
      <c r="Q906" s="47"/>
      <c r="R906" s="19"/>
      <c r="S906" s="19"/>
    </row>
    <row r="907" spans="1:19" x14ac:dyDescent="0.35">
      <c r="A907" s="26" t="s">
        <v>543</v>
      </c>
      <c r="B907" s="26" t="s">
        <v>543</v>
      </c>
      <c r="C907" s="26"/>
      <c r="D907" s="26" t="s">
        <v>543</v>
      </c>
      <c r="E907" s="26" t="str">
        <f>IFERROR(VLOOKUP(G907,WholesaleExtract!B:J,9,FALSE),"")</f>
        <v/>
      </c>
      <c r="F907" s="26" t="str">
        <f>IFERROR(VLOOKUP(G907,WholesaleExtract!B:J,6,FALSE),"")</f>
        <v/>
      </c>
      <c r="G907" s="46"/>
      <c r="H907" s="47" t="str">
        <f>IFERROR(VLOOKUP(G907,WholesaleExtract!B:L,11,FALSE),"")</f>
        <v/>
      </c>
      <c r="I907" s="26" t="str">
        <f>IFERROR(VLOOKUP(G907,WholesaleExtract!B:O,8,FALSE),"")</f>
        <v/>
      </c>
      <c r="J907" s="26" t="str">
        <f>IFERROR(VLOOKUP(G907,WholesaleExtract!B:O,14,FALSE),"")</f>
        <v/>
      </c>
      <c r="K907" s="26" t="str">
        <f>IFERROR(VLOOKUP(G907,WholesaleExtract!B:K,10,FALSE),"")</f>
        <v/>
      </c>
      <c r="L907" s="47" t="str">
        <f>IFERROR(VLOOKUP(G907,WholesaleExtract!B:L,11,FALSE),"")</f>
        <v/>
      </c>
      <c r="M907" s="47" t="str">
        <f>IFERROR(VLOOKUP(G907,WholesaleExtract!B:M,12,FALSE),"")</f>
        <v/>
      </c>
      <c r="N907" s="27"/>
      <c r="O907" s="19"/>
      <c r="P907" s="19"/>
      <c r="Q907" s="47"/>
      <c r="R907" s="19"/>
      <c r="S907" s="19"/>
    </row>
    <row r="908" spans="1:19" x14ac:dyDescent="0.35">
      <c r="A908" s="26" t="s">
        <v>543</v>
      </c>
      <c r="B908" s="26" t="s">
        <v>543</v>
      </c>
      <c r="C908" s="26"/>
      <c r="D908" s="26" t="s">
        <v>543</v>
      </c>
      <c r="E908" s="26" t="str">
        <f>IFERROR(VLOOKUP(G908,WholesaleExtract!B:J,9,FALSE),"")</f>
        <v/>
      </c>
      <c r="F908" s="26" t="str">
        <f>IFERROR(VLOOKUP(G908,WholesaleExtract!B:J,6,FALSE),"")</f>
        <v/>
      </c>
      <c r="G908" s="46"/>
      <c r="H908" s="47" t="str">
        <f>IFERROR(VLOOKUP(G908,WholesaleExtract!B:L,11,FALSE),"")</f>
        <v/>
      </c>
      <c r="I908" s="26" t="str">
        <f>IFERROR(VLOOKUP(G908,WholesaleExtract!B:O,8,FALSE),"")</f>
        <v/>
      </c>
      <c r="J908" s="26" t="str">
        <f>IFERROR(VLOOKUP(G908,WholesaleExtract!B:O,14,FALSE),"")</f>
        <v/>
      </c>
      <c r="K908" s="26" t="str">
        <f>IFERROR(VLOOKUP(G908,WholesaleExtract!B:K,10,FALSE),"")</f>
        <v/>
      </c>
      <c r="L908" s="47" t="str">
        <f>IFERROR(VLOOKUP(G908,WholesaleExtract!B:L,11,FALSE),"")</f>
        <v/>
      </c>
      <c r="M908" s="47" t="str">
        <f>IFERROR(VLOOKUP(G908,WholesaleExtract!B:M,12,FALSE),"")</f>
        <v/>
      </c>
      <c r="N908" s="27"/>
      <c r="O908" s="19"/>
      <c r="P908" s="19"/>
      <c r="Q908" s="47"/>
      <c r="R908" s="19"/>
      <c r="S908" s="19"/>
    </row>
    <row r="909" spans="1:19" x14ac:dyDescent="0.35">
      <c r="A909" s="26" t="s">
        <v>543</v>
      </c>
      <c r="B909" s="26" t="s">
        <v>543</v>
      </c>
      <c r="C909" s="26"/>
      <c r="D909" s="26" t="s">
        <v>543</v>
      </c>
      <c r="E909" s="26" t="str">
        <f>IFERROR(VLOOKUP(G909,WholesaleExtract!B:J,9,FALSE),"")</f>
        <v/>
      </c>
      <c r="F909" s="26" t="str">
        <f>IFERROR(VLOOKUP(G909,WholesaleExtract!B:J,6,FALSE),"")</f>
        <v/>
      </c>
      <c r="G909" s="46"/>
      <c r="H909" s="47" t="str">
        <f>IFERROR(VLOOKUP(G909,WholesaleExtract!B:L,11,FALSE),"")</f>
        <v/>
      </c>
      <c r="I909" s="26" t="str">
        <f>IFERROR(VLOOKUP(G909,WholesaleExtract!B:O,8,FALSE),"")</f>
        <v/>
      </c>
      <c r="J909" s="26" t="str">
        <f>IFERROR(VLOOKUP(G909,WholesaleExtract!B:O,14,FALSE),"")</f>
        <v/>
      </c>
      <c r="K909" s="26" t="str">
        <f>IFERROR(VLOOKUP(G909,WholesaleExtract!B:K,10,FALSE),"")</f>
        <v/>
      </c>
      <c r="L909" s="47" t="str">
        <f>IFERROR(VLOOKUP(G909,WholesaleExtract!B:L,11,FALSE),"")</f>
        <v/>
      </c>
      <c r="M909" s="47" t="str">
        <f>IFERROR(VLOOKUP(G909,WholesaleExtract!B:M,12,FALSE),"")</f>
        <v/>
      </c>
      <c r="N909" s="27"/>
      <c r="O909" s="19"/>
      <c r="P909" s="19"/>
      <c r="Q909" s="47"/>
      <c r="R909" s="19"/>
      <c r="S909" s="19"/>
    </row>
    <row r="910" spans="1:19" x14ac:dyDescent="0.35">
      <c r="A910" s="26" t="s">
        <v>543</v>
      </c>
      <c r="B910" s="26" t="s">
        <v>543</v>
      </c>
      <c r="C910" s="26"/>
      <c r="D910" s="26" t="s">
        <v>543</v>
      </c>
      <c r="E910" s="26" t="str">
        <f>IFERROR(VLOOKUP(G910,WholesaleExtract!B:J,9,FALSE),"")</f>
        <v/>
      </c>
      <c r="F910" s="26" t="str">
        <f>IFERROR(VLOOKUP(G910,WholesaleExtract!B:J,6,FALSE),"")</f>
        <v/>
      </c>
      <c r="G910" s="46"/>
      <c r="H910" s="47" t="str">
        <f>IFERROR(VLOOKUP(G910,WholesaleExtract!B:L,11,FALSE),"")</f>
        <v/>
      </c>
      <c r="I910" s="26" t="str">
        <f>IFERROR(VLOOKUP(G910,WholesaleExtract!B:O,8,FALSE),"")</f>
        <v/>
      </c>
      <c r="J910" s="26" t="str">
        <f>IFERROR(VLOOKUP(G910,WholesaleExtract!B:O,14,FALSE),"")</f>
        <v/>
      </c>
      <c r="K910" s="26" t="str">
        <f>IFERROR(VLOOKUP(G910,WholesaleExtract!B:K,10,FALSE),"")</f>
        <v/>
      </c>
      <c r="L910" s="47" t="str">
        <f>IFERROR(VLOOKUP(G910,WholesaleExtract!B:L,11,FALSE),"")</f>
        <v/>
      </c>
      <c r="M910" s="47" t="str">
        <f>IFERROR(VLOOKUP(G910,WholesaleExtract!B:M,12,FALSE),"")</f>
        <v/>
      </c>
      <c r="N910" s="27"/>
      <c r="O910" s="19"/>
      <c r="P910" s="19"/>
      <c r="Q910" s="47"/>
      <c r="R910" s="19"/>
      <c r="S910" s="19"/>
    </row>
    <row r="911" spans="1:19" x14ac:dyDescent="0.35">
      <c r="A911" s="26" t="s">
        <v>543</v>
      </c>
      <c r="B911" s="26" t="s">
        <v>543</v>
      </c>
      <c r="C911" s="26"/>
      <c r="D911" s="26" t="s">
        <v>543</v>
      </c>
      <c r="E911" s="26" t="str">
        <f>IFERROR(VLOOKUP(G911,WholesaleExtract!B:J,9,FALSE),"")</f>
        <v/>
      </c>
      <c r="F911" s="26" t="str">
        <f>IFERROR(VLOOKUP(G911,WholesaleExtract!B:J,6,FALSE),"")</f>
        <v/>
      </c>
      <c r="G911" s="46"/>
      <c r="H911" s="47" t="str">
        <f>IFERROR(VLOOKUP(G911,WholesaleExtract!B:L,11,FALSE),"")</f>
        <v/>
      </c>
      <c r="I911" s="26" t="str">
        <f>IFERROR(VLOOKUP(G911,WholesaleExtract!B:O,8,FALSE),"")</f>
        <v/>
      </c>
      <c r="J911" s="26" t="str">
        <f>IFERROR(VLOOKUP(G911,WholesaleExtract!B:O,14,FALSE),"")</f>
        <v/>
      </c>
      <c r="K911" s="26" t="str">
        <f>IFERROR(VLOOKUP(G911,WholesaleExtract!B:K,10,FALSE),"")</f>
        <v/>
      </c>
      <c r="L911" s="47" t="str">
        <f>IFERROR(VLOOKUP(G911,WholesaleExtract!B:L,11,FALSE),"")</f>
        <v/>
      </c>
      <c r="M911" s="47" t="str">
        <f>IFERROR(VLOOKUP(G911,WholesaleExtract!B:M,12,FALSE),"")</f>
        <v/>
      </c>
      <c r="N911" s="27"/>
      <c r="O911" s="19"/>
      <c r="P911" s="19"/>
      <c r="Q911" s="47"/>
      <c r="R911" s="19"/>
      <c r="S911" s="19"/>
    </row>
    <row r="912" spans="1:19" x14ac:dyDescent="0.35">
      <c r="A912" s="26" t="s">
        <v>543</v>
      </c>
      <c r="B912" s="26" t="s">
        <v>543</v>
      </c>
      <c r="C912" s="26"/>
      <c r="D912" s="26" t="s">
        <v>543</v>
      </c>
      <c r="E912" s="26" t="str">
        <f>IFERROR(VLOOKUP(G912,WholesaleExtract!B:J,9,FALSE),"")</f>
        <v/>
      </c>
      <c r="F912" s="26" t="str">
        <f>IFERROR(VLOOKUP(G912,WholesaleExtract!B:J,6,FALSE),"")</f>
        <v/>
      </c>
      <c r="G912" s="46"/>
      <c r="H912" s="47" t="str">
        <f>IFERROR(VLOOKUP(G912,WholesaleExtract!B:L,11,FALSE),"")</f>
        <v/>
      </c>
      <c r="I912" s="26" t="str">
        <f>IFERROR(VLOOKUP(G912,WholesaleExtract!B:O,8,FALSE),"")</f>
        <v/>
      </c>
      <c r="J912" s="26" t="str">
        <f>IFERROR(VLOOKUP(G912,WholesaleExtract!B:O,14,FALSE),"")</f>
        <v/>
      </c>
      <c r="K912" s="26" t="str">
        <f>IFERROR(VLOOKUP(G912,WholesaleExtract!B:K,10,FALSE),"")</f>
        <v/>
      </c>
      <c r="L912" s="47" t="str">
        <f>IFERROR(VLOOKUP(G912,WholesaleExtract!B:L,11,FALSE),"")</f>
        <v/>
      </c>
      <c r="M912" s="47" t="str">
        <f>IFERROR(VLOOKUP(G912,WholesaleExtract!B:M,12,FALSE),"")</f>
        <v/>
      </c>
      <c r="N912" s="27"/>
      <c r="O912" s="19"/>
      <c r="P912" s="19"/>
      <c r="Q912" s="47"/>
      <c r="R912" s="19"/>
      <c r="S912" s="19"/>
    </row>
    <row r="913" spans="1:19" x14ac:dyDescent="0.35">
      <c r="A913" s="26" t="s">
        <v>543</v>
      </c>
      <c r="B913" s="26" t="s">
        <v>543</v>
      </c>
      <c r="C913" s="26"/>
      <c r="D913" s="26" t="s">
        <v>543</v>
      </c>
      <c r="E913" s="26" t="str">
        <f>IFERROR(VLOOKUP(G913,WholesaleExtract!B:J,9,FALSE),"")</f>
        <v/>
      </c>
      <c r="F913" s="26" t="str">
        <f>IFERROR(VLOOKUP(G913,WholesaleExtract!B:J,6,FALSE),"")</f>
        <v/>
      </c>
      <c r="G913" s="46"/>
      <c r="H913" s="47" t="str">
        <f>IFERROR(VLOOKUP(G913,WholesaleExtract!B:L,11,FALSE),"")</f>
        <v/>
      </c>
      <c r="I913" s="26" t="str">
        <f>IFERROR(VLOOKUP(G913,WholesaleExtract!B:O,8,FALSE),"")</f>
        <v/>
      </c>
      <c r="J913" s="26" t="str">
        <f>IFERROR(VLOOKUP(G913,WholesaleExtract!B:O,14,FALSE),"")</f>
        <v/>
      </c>
      <c r="K913" s="26" t="str">
        <f>IFERROR(VLOOKUP(G913,WholesaleExtract!B:K,10,FALSE),"")</f>
        <v/>
      </c>
      <c r="L913" s="47" t="str">
        <f>IFERROR(VLOOKUP(G913,WholesaleExtract!B:L,11,FALSE),"")</f>
        <v/>
      </c>
      <c r="M913" s="47" t="str">
        <f>IFERROR(VLOOKUP(G913,WholesaleExtract!B:M,12,FALSE),"")</f>
        <v/>
      </c>
      <c r="N913" s="27"/>
      <c r="O913" s="19"/>
      <c r="P913" s="19"/>
      <c r="Q913" s="47"/>
      <c r="R913" s="19"/>
      <c r="S913" s="19"/>
    </row>
    <row r="914" spans="1:19" x14ac:dyDescent="0.35">
      <c r="A914" s="26" t="s">
        <v>543</v>
      </c>
      <c r="B914" s="26" t="s">
        <v>543</v>
      </c>
      <c r="C914" s="26"/>
      <c r="D914" s="26" t="s">
        <v>543</v>
      </c>
      <c r="E914" s="26" t="str">
        <f>IFERROR(VLOOKUP(G914,WholesaleExtract!B:J,9,FALSE),"")</f>
        <v/>
      </c>
      <c r="F914" s="26" t="str">
        <f>IFERROR(VLOOKUP(G914,WholesaleExtract!B:J,6,FALSE),"")</f>
        <v/>
      </c>
      <c r="G914" s="46"/>
      <c r="H914" s="47" t="str">
        <f>IFERROR(VLOOKUP(G914,WholesaleExtract!B:L,11,FALSE),"")</f>
        <v/>
      </c>
      <c r="I914" s="26" t="str">
        <f>IFERROR(VLOOKUP(G914,WholesaleExtract!B:O,8,FALSE),"")</f>
        <v/>
      </c>
      <c r="J914" s="26" t="str">
        <f>IFERROR(VLOOKUP(G914,WholesaleExtract!B:O,14,FALSE),"")</f>
        <v/>
      </c>
      <c r="K914" s="26" t="str">
        <f>IFERROR(VLOOKUP(G914,WholesaleExtract!B:K,10,FALSE),"")</f>
        <v/>
      </c>
      <c r="L914" s="47" t="str">
        <f>IFERROR(VLOOKUP(G914,WholesaleExtract!B:L,11,FALSE),"")</f>
        <v/>
      </c>
      <c r="M914" s="47" t="str">
        <f>IFERROR(VLOOKUP(G914,WholesaleExtract!B:M,12,FALSE),"")</f>
        <v/>
      </c>
      <c r="N914" s="27"/>
      <c r="O914" s="19"/>
      <c r="P914" s="19"/>
      <c r="Q914" s="47"/>
      <c r="R914" s="19"/>
      <c r="S914" s="19"/>
    </row>
    <row r="915" spans="1:19" x14ac:dyDescent="0.35">
      <c r="A915" s="26" t="s">
        <v>543</v>
      </c>
      <c r="B915" s="26" t="s">
        <v>543</v>
      </c>
      <c r="C915" s="26"/>
      <c r="D915" s="26" t="s">
        <v>543</v>
      </c>
      <c r="E915" s="26" t="str">
        <f>IFERROR(VLOOKUP(G915,WholesaleExtract!B:J,9,FALSE),"")</f>
        <v/>
      </c>
      <c r="F915" s="26" t="str">
        <f>IFERROR(VLOOKUP(G915,WholesaleExtract!B:J,6,FALSE),"")</f>
        <v/>
      </c>
      <c r="G915" s="46"/>
      <c r="H915" s="47" t="str">
        <f>IFERROR(VLOOKUP(G915,WholesaleExtract!B:L,11,FALSE),"")</f>
        <v/>
      </c>
      <c r="I915" s="26" t="str">
        <f>IFERROR(VLOOKUP(G915,WholesaleExtract!B:O,8,FALSE),"")</f>
        <v/>
      </c>
      <c r="J915" s="26" t="str">
        <f>IFERROR(VLOOKUP(G915,WholesaleExtract!B:O,14,FALSE),"")</f>
        <v/>
      </c>
      <c r="K915" s="26" t="str">
        <f>IFERROR(VLOOKUP(G915,WholesaleExtract!B:K,10,FALSE),"")</f>
        <v/>
      </c>
      <c r="L915" s="47" t="str">
        <f>IFERROR(VLOOKUP(G915,WholesaleExtract!B:L,11,FALSE),"")</f>
        <v/>
      </c>
      <c r="M915" s="47" t="str">
        <f>IFERROR(VLOOKUP(G915,WholesaleExtract!B:M,12,FALSE),"")</f>
        <v/>
      </c>
      <c r="N915" s="27"/>
      <c r="O915" s="19"/>
      <c r="P915" s="19"/>
      <c r="Q915" s="47"/>
      <c r="R915" s="19"/>
      <c r="S915" s="19"/>
    </row>
    <row r="916" spans="1:19" x14ac:dyDescent="0.35">
      <c r="A916" s="26" t="s">
        <v>543</v>
      </c>
      <c r="B916" s="26" t="s">
        <v>543</v>
      </c>
      <c r="C916" s="26"/>
      <c r="D916" s="26" t="s">
        <v>543</v>
      </c>
      <c r="E916" s="26" t="str">
        <f>IFERROR(VLOOKUP(G916,WholesaleExtract!B:J,9,FALSE),"")</f>
        <v/>
      </c>
      <c r="F916" s="26" t="str">
        <f>IFERROR(VLOOKUP(G916,WholesaleExtract!B:J,6,FALSE),"")</f>
        <v/>
      </c>
      <c r="G916" s="46"/>
      <c r="H916" s="47" t="str">
        <f>IFERROR(VLOOKUP(G916,WholesaleExtract!B:L,11,FALSE),"")</f>
        <v/>
      </c>
      <c r="I916" s="26" t="str">
        <f>IFERROR(VLOOKUP(G916,WholesaleExtract!B:O,8,FALSE),"")</f>
        <v/>
      </c>
      <c r="J916" s="26" t="str">
        <f>IFERROR(VLOOKUP(G916,WholesaleExtract!B:O,14,FALSE),"")</f>
        <v/>
      </c>
      <c r="K916" s="26" t="str">
        <f>IFERROR(VLOOKUP(G916,WholesaleExtract!B:K,10,FALSE),"")</f>
        <v/>
      </c>
      <c r="L916" s="47" t="str">
        <f>IFERROR(VLOOKUP(G916,WholesaleExtract!B:L,11,FALSE),"")</f>
        <v/>
      </c>
      <c r="M916" s="47" t="str">
        <f>IFERROR(VLOOKUP(G916,WholesaleExtract!B:M,12,FALSE),"")</f>
        <v/>
      </c>
      <c r="N916" s="27"/>
      <c r="O916" s="19"/>
      <c r="P916" s="19"/>
      <c r="Q916" s="47"/>
      <c r="R916" s="19"/>
      <c r="S916" s="19"/>
    </row>
    <row r="917" spans="1:19" x14ac:dyDescent="0.35">
      <c r="A917" s="26" t="s">
        <v>543</v>
      </c>
      <c r="B917" s="26" t="s">
        <v>543</v>
      </c>
      <c r="C917" s="26"/>
      <c r="D917" s="26" t="s">
        <v>543</v>
      </c>
      <c r="E917" s="26" t="str">
        <f>IFERROR(VLOOKUP(G917,WholesaleExtract!B:J,9,FALSE),"")</f>
        <v/>
      </c>
      <c r="F917" s="26" t="str">
        <f>IFERROR(VLOOKUP(G917,WholesaleExtract!B:J,6,FALSE),"")</f>
        <v/>
      </c>
      <c r="G917" s="46"/>
      <c r="H917" s="47" t="str">
        <f>IFERROR(VLOOKUP(G917,WholesaleExtract!B:L,11,FALSE),"")</f>
        <v/>
      </c>
      <c r="I917" s="26" t="str">
        <f>IFERROR(VLOOKUP(G917,WholesaleExtract!B:O,8,FALSE),"")</f>
        <v/>
      </c>
      <c r="J917" s="26" t="str">
        <f>IFERROR(VLOOKUP(G917,WholesaleExtract!B:O,14,FALSE),"")</f>
        <v/>
      </c>
      <c r="K917" s="26" t="str">
        <f>IFERROR(VLOOKUP(G917,WholesaleExtract!B:K,10,FALSE),"")</f>
        <v/>
      </c>
      <c r="L917" s="47" t="str">
        <f>IFERROR(VLOOKUP(G917,WholesaleExtract!B:L,11,FALSE),"")</f>
        <v/>
      </c>
      <c r="M917" s="47" t="str">
        <f>IFERROR(VLOOKUP(G917,WholesaleExtract!B:M,12,FALSE),"")</f>
        <v/>
      </c>
      <c r="N917" s="27"/>
      <c r="O917" s="19"/>
      <c r="P917" s="19"/>
      <c r="Q917" s="47"/>
      <c r="R917" s="19"/>
      <c r="S917" s="19"/>
    </row>
    <row r="918" spans="1:19" x14ac:dyDescent="0.35">
      <c r="A918" s="26" t="s">
        <v>543</v>
      </c>
      <c r="B918" s="26" t="s">
        <v>543</v>
      </c>
      <c r="C918" s="26"/>
      <c r="D918" s="26" t="s">
        <v>543</v>
      </c>
      <c r="E918" s="26" t="str">
        <f>IFERROR(VLOOKUP(G918,WholesaleExtract!B:J,9,FALSE),"")</f>
        <v/>
      </c>
      <c r="F918" s="26" t="str">
        <f>IFERROR(VLOOKUP(G918,WholesaleExtract!B:J,6,FALSE),"")</f>
        <v/>
      </c>
      <c r="G918" s="46"/>
      <c r="H918" s="47" t="str">
        <f>IFERROR(VLOOKUP(G918,WholesaleExtract!B:L,11,FALSE),"")</f>
        <v/>
      </c>
      <c r="I918" s="26" t="str">
        <f>IFERROR(VLOOKUP(G918,WholesaleExtract!B:O,8,FALSE),"")</f>
        <v/>
      </c>
      <c r="J918" s="26" t="str">
        <f>IFERROR(VLOOKUP(G918,WholesaleExtract!B:O,14,FALSE),"")</f>
        <v/>
      </c>
      <c r="K918" s="26" t="str">
        <f>IFERROR(VLOOKUP(G918,WholesaleExtract!B:K,10,FALSE),"")</f>
        <v/>
      </c>
      <c r="L918" s="47" t="str">
        <f>IFERROR(VLOOKUP(G918,WholesaleExtract!B:L,11,FALSE),"")</f>
        <v/>
      </c>
      <c r="M918" s="47" t="str">
        <f>IFERROR(VLOOKUP(G918,WholesaleExtract!B:M,12,FALSE),"")</f>
        <v/>
      </c>
      <c r="N918" s="27"/>
      <c r="O918" s="19"/>
      <c r="P918" s="19"/>
      <c r="Q918" s="47"/>
      <c r="R918" s="19"/>
      <c r="S918" s="19"/>
    </row>
    <row r="919" spans="1:19" x14ac:dyDescent="0.35">
      <c r="A919" s="26" t="s">
        <v>543</v>
      </c>
      <c r="B919" s="26" t="s">
        <v>543</v>
      </c>
      <c r="C919" s="26"/>
      <c r="D919" s="26" t="s">
        <v>543</v>
      </c>
      <c r="E919" s="26" t="str">
        <f>IFERROR(VLOOKUP(G919,WholesaleExtract!B:J,9,FALSE),"")</f>
        <v/>
      </c>
      <c r="F919" s="26" t="str">
        <f>IFERROR(VLOOKUP(G919,WholesaleExtract!B:J,6,FALSE),"")</f>
        <v/>
      </c>
      <c r="G919" s="46"/>
      <c r="H919" s="47" t="str">
        <f>IFERROR(VLOOKUP(G919,WholesaleExtract!B:L,11,FALSE),"")</f>
        <v/>
      </c>
      <c r="I919" s="26" t="str">
        <f>IFERROR(VLOOKUP(G919,WholesaleExtract!B:O,8,FALSE),"")</f>
        <v/>
      </c>
      <c r="J919" s="26" t="str">
        <f>IFERROR(VLOOKUP(G919,WholesaleExtract!B:O,14,FALSE),"")</f>
        <v/>
      </c>
      <c r="K919" s="26" t="str">
        <f>IFERROR(VLOOKUP(G919,WholesaleExtract!B:K,10,FALSE),"")</f>
        <v/>
      </c>
      <c r="L919" s="47" t="str">
        <f>IFERROR(VLOOKUP(G919,WholesaleExtract!B:L,11,FALSE),"")</f>
        <v/>
      </c>
      <c r="M919" s="47" t="str">
        <f>IFERROR(VLOOKUP(G919,WholesaleExtract!B:M,12,FALSE),"")</f>
        <v/>
      </c>
      <c r="N919" s="27"/>
      <c r="O919" s="19"/>
      <c r="P919" s="19"/>
      <c r="Q919" s="47"/>
      <c r="R919" s="19"/>
      <c r="S919" s="19"/>
    </row>
    <row r="920" spans="1:19" x14ac:dyDescent="0.35">
      <c r="A920" s="26" t="s">
        <v>543</v>
      </c>
      <c r="B920" s="26" t="s">
        <v>543</v>
      </c>
      <c r="C920" s="26"/>
      <c r="D920" s="26" t="s">
        <v>543</v>
      </c>
      <c r="E920" s="26" t="str">
        <f>IFERROR(VLOOKUP(G920,WholesaleExtract!B:J,9,FALSE),"")</f>
        <v/>
      </c>
      <c r="F920" s="26" t="str">
        <f>IFERROR(VLOOKUP(G920,WholesaleExtract!B:J,6,FALSE),"")</f>
        <v/>
      </c>
      <c r="G920" s="46"/>
      <c r="H920" s="47" t="str">
        <f>IFERROR(VLOOKUP(G920,WholesaleExtract!B:L,11,FALSE),"")</f>
        <v/>
      </c>
      <c r="I920" s="26" t="str">
        <f>IFERROR(VLOOKUP(G920,WholesaleExtract!B:O,8,FALSE),"")</f>
        <v/>
      </c>
      <c r="J920" s="26" t="str">
        <f>IFERROR(VLOOKUP(G920,WholesaleExtract!B:O,14,FALSE),"")</f>
        <v/>
      </c>
      <c r="K920" s="26" t="str">
        <f>IFERROR(VLOOKUP(G920,WholesaleExtract!B:K,10,FALSE),"")</f>
        <v/>
      </c>
      <c r="L920" s="47" t="str">
        <f>IFERROR(VLOOKUP(G920,WholesaleExtract!B:L,11,FALSE),"")</f>
        <v/>
      </c>
      <c r="M920" s="47" t="str">
        <f>IFERROR(VLOOKUP(G920,WholesaleExtract!B:M,12,FALSE),"")</f>
        <v/>
      </c>
      <c r="N920" s="27"/>
      <c r="O920" s="19"/>
      <c r="P920" s="19"/>
      <c r="Q920" s="47"/>
      <c r="R920" s="19"/>
      <c r="S920" s="19"/>
    </row>
    <row r="921" spans="1:19" x14ac:dyDescent="0.35">
      <c r="A921" s="26" t="s">
        <v>543</v>
      </c>
      <c r="B921" s="26" t="s">
        <v>543</v>
      </c>
      <c r="C921" s="26"/>
      <c r="D921" s="26" t="s">
        <v>543</v>
      </c>
      <c r="E921" s="26" t="str">
        <f>IFERROR(VLOOKUP(G921,WholesaleExtract!B:J,9,FALSE),"")</f>
        <v/>
      </c>
      <c r="F921" s="26" t="str">
        <f>IFERROR(VLOOKUP(G921,WholesaleExtract!B:J,6,FALSE),"")</f>
        <v/>
      </c>
      <c r="G921" s="46"/>
      <c r="H921" s="47" t="str">
        <f>IFERROR(VLOOKUP(G921,WholesaleExtract!B:L,11,FALSE),"")</f>
        <v/>
      </c>
      <c r="I921" s="26" t="str">
        <f>IFERROR(VLOOKUP(G921,WholesaleExtract!B:O,8,FALSE),"")</f>
        <v/>
      </c>
      <c r="J921" s="26" t="str">
        <f>IFERROR(VLOOKUP(G921,WholesaleExtract!B:O,14,FALSE),"")</f>
        <v/>
      </c>
      <c r="K921" s="26" t="str">
        <f>IFERROR(VLOOKUP(G921,WholesaleExtract!B:K,10,FALSE),"")</f>
        <v/>
      </c>
      <c r="L921" s="47" t="str">
        <f>IFERROR(VLOOKUP(G921,WholesaleExtract!B:L,11,FALSE),"")</f>
        <v/>
      </c>
      <c r="M921" s="47" t="str">
        <f>IFERROR(VLOOKUP(G921,WholesaleExtract!B:M,12,FALSE),"")</f>
        <v/>
      </c>
      <c r="N921" s="27"/>
      <c r="O921" s="19"/>
      <c r="P921" s="19"/>
      <c r="Q921" s="47"/>
      <c r="R921" s="19"/>
      <c r="S921" s="19"/>
    </row>
    <row r="922" spans="1:19" x14ac:dyDescent="0.35">
      <c r="A922" s="26" t="s">
        <v>543</v>
      </c>
      <c r="B922" s="26" t="s">
        <v>543</v>
      </c>
      <c r="C922" s="26"/>
      <c r="D922" s="26" t="s">
        <v>543</v>
      </c>
      <c r="E922" s="26" t="str">
        <f>IFERROR(VLOOKUP(G922,WholesaleExtract!B:J,9,FALSE),"")</f>
        <v/>
      </c>
      <c r="F922" s="26" t="str">
        <f>IFERROR(VLOOKUP(G922,WholesaleExtract!B:J,6,FALSE),"")</f>
        <v/>
      </c>
      <c r="G922" s="46"/>
      <c r="H922" s="47" t="str">
        <f>IFERROR(VLOOKUP(G922,WholesaleExtract!B:L,11,FALSE),"")</f>
        <v/>
      </c>
      <c r="I922" s="26" t="str">
        <f>IFERROR(VLOOKUP(G922,WholesaleExtract!B:O,8,FALSE),"")</f>
        <v/>
      </c>
      <c r="J922" s="26" t="str">
        <f>IFERROR(VLOOKUP(G922,WholesaleExtract!B:O,14,FALSE),"")</f>
        <v/>
      </c>
      <c r="K922" s="26" t="str">
        <f>IFERROR(VLOOKUP(G922,WholesaleExtract!B:K,10,FALSE),"")</f>
        <v/>
      </c>
      <c r="L922" s="47" t="str">
        <f>IFERROR(VLOOKUP(G922,WholesaleExtract!B:L,11,FALSE),"")</f>
        <v/>
      </c>
      <c r="M922" s="47" t="str">
        <f>IFERROR(VLOOKUP(G922,WholesaleExtract!B:M,12,FALSE),"")</f>
        <v/>
      </c>
      <c r="N922" s="27"/>
      <c r="O922" s="19"/>
      <c r="P922" s="19"/>
      <c r="Q922" s="47"/>
      <c r="R922" s="19"/>
      <c r="S922" s="19"/>
    </row>
    <row r="923" spans="1:19" x14ac:dyDescent="0.35">
      <c r="A923" s="26" t="s">
        <v>543</v>
      </c>
      <c r="B923" s="26" t="s">
        <v>543</v>
      </c>
      <c r="C923" s="26"/>
      <c r="D923" s="26" t="s">
        <v>543</v>
      </c>
      <c r="E923" s="26" t="str">
        <f>IFERROR(VLOOKUP(G923,WholesaleExtract!B:J,9,FALSE),"")</f>
        <v/>
      </c>
      <c r="F923" s="26" t="str">
        <f>IFERROR(VLOOKUP(G923,WholesaleExtract!B:J,6,FALSE),"")</f>
        <v/>
      </c>
      <c r="G923" s="46"/>
      <c r="H923" s="47" t="str">
        <f>IFERROR(VLOOKUP(G923,WholesaleExtract!B:L,11,FALSE),"")</f>
        <v/>
      </c>
      <c r="I923" s="26" t="str">
        <f>IFERROR(VLOOKUP(G923,WholesaleExtract!B:O,8,FALSE),"")</f>
        <v/>
      </c>
      <c r="J923" s="26" t="str">
        <f>IFERROR(VLOOKUP(G923,WholesaleExtract!B:O,14,FALSE),"")</f>
        <v/>
      </c>
      <c r="K923" s="26" t="str">
        <f>IFERROR(VLOOKUP(G923,WholesaleExtract!B:K,10,FALSE),"")</f>
        <v/>
      </c>
      <c r="L923" s="47" t="str">
        <f>IFERROR(VLOOKUP(G923,WholesaleExtract!B:L,11,FALSE),"")</f>
        <v/>
      </c>
      <c r="M923" s="47" t="str">
        <f>IFERROR(VLOOKUP(G923,WholesaleExtract!B:M,12,FALSE),"")</f>
        <v/>
      </c>
      <c r="N923" s="27"/>
      <c r="O923" s="19"/>
      <c r="P923" s="19"/>
      <c r="Q923" s="47"/>
      <c r="R923" s="19"/>
      <c r="S923" s="19"/>
    </row>
    <row r="924" spans="1:19" x14ac:dyDescent="0.35">
      <c r="A924" s="26" t="s">
        <v>543</v>
      </c>
      <c r="B924" s="26" t="s">
        <v>543</v>
      </c>
      <c r="C924" s="26"/>
      <c r="D924" s="26" t="s">
        <v>543</v>
      </c>
      <c r="E924" s="26" t="str">
        <f>IFERROR(VLOOKUP(G924,WholesaleExtract!B:J,9,FALSE),"")</f>
        <v/>
      </c>
      <c r="F924" s="26" t="str">
        <f>IFERROR(VLOOKUP(G924,WholesaleExtract!B:J,6,FALSE),"")</f>
        <v/>
      </c>
      <c r="G924" s="46"/>
      <c r="H924" s="47" t="str">
        <f>IFERROR(VLOOKUP(G924,WholesaleExtract!B:L,11,FALSE),"")</f>
        <v/>
      </c>
      <c r="I924" s="26" t="str">
        <f>IFERROR(VLOOKUP(G924,WholesaleExtract!B:O,8,FALSE),"")</f>
        <v/>
      </c>
      <c r="J924" s="26" t="str">
        <f>IFERROR(VLOOKUP(G924,WholesaleExtract!B:O,14,FALSE),"")</f>
        <v/>
      </c>
      <c r="K924" s="26" t="str">
        <f>IFERROR(VLOOKUP(G924,WholesaleExtract!B:K,10,FALSE),"")</f>
        <v/>
      </c>
      <c r="L924" s="47" t="str">
        <f>IFERROR(VLOOKUP(G924,WholesaleExtract!B:L,11,FALSE),"")</f>
        <v/>
      </c>
      <c r="M924" s="47" t="str">
        <f>IFERROR(VLOOKUP(G924,WholesaleExtract!B:M,12,FALSE),"")</f>
        <v/>
      </c>
      <c r="N924" s="27"/>
      <c r="O924" s="19"/>
      <c r="P924" s="19"/>
      <c r="Q924" s="47"/>
      <c r="R924" s="19"/>
      <c r="S924" s="19"/>
    </row>
    <row r="925" spans="1:19" x14ac:dyDescent="0.35">
      <c r="A925" s="26" t="s">
        <v>543</v>
      </c>
      <c r="B925" s="26" t="s">
        <v>543</v>
      </c>
      <c r="C925" s="26"/>
      <c r="D925" s="26" t="s">
        <v>543</v>
      </c>
      <c r="E925" s="26" t="str">
        <f>IFERROR(VLOOKUP(G925,WholesaleExtract!B:J,9,FALSE),"")</f>
        <v/>
      </c>
      <c r="F925" s="26" t="str">
        <f>IFERROR(VLOOKUP(G925,WholesaleExtract!B:J,6,FALSE),"")</f>
        <v/>
      </c>
      <c r="G925" s="46"/>
      <c r="H925" s="47" t="str">
        <f>IFERROR(VLOOKUP(G925,WholesaleExtract!B:L,11,FALSE),"")</f>
        <v/>
      </c>
      <c r="I925" s="26" t="str">
        <f>IFERROR(VLOOKUP(G925,WholesaleExtract!B:O,8,FALSE),"")</f>
        <v/>
      </c>
      <c r="J925" s="26" t="str">
        <f>IFERROR(VLOOKUP(G925,WholesaleExtract!B:O,14,FALSE),"")</f>
        <v/>
      </c>
      <c r="K925" s="26" t="str">
        <f>IFERROR(VLOOKUP(G925,WholesaleExtract!B:K,10,FALSE),"")</f>
        <v/>
      </c>
      <c r="L925" s="47" t="str">
        <f>IFERROR(VLOOKUP(G925,WholesaleExtract!B:L,11,FALSE),"")</f>
        <v/>
      </c>
      <c r="M925" s="47" t="str">
        <f>IFERROR(VLOOKUP(G925,WholesaleExtract!B:M,12,FALSE),"")</f>
        <v/>
      </c>
      <c r="N925" s="27"/>
      <c r="O925" s="19"/>
      <c r="P925" s="19"/>
      <c r="Q925" s="47"/>
      <c r="R925" s="19"/>
      <c r="S925" s="19"/>
    </row>
    <row r="926" spans="1:19" x14ac:dyDescent="0.35">
      <c r="A926" s="26" t="s">
        <v>543</v>
      </c>
      <c r="B926" s="26" t="s">
        <v>543</v>
      </c>
      <c r="C926" s="26"/>
      <c r="D926" s="26" t="s">
        <v>543</v>
      </c>
      <c r="E926" s="26" t="str">
        <f>IFERROR(VLOOKUP(G926,WholesaleExtract!B:J,9,FALSE),"")</f>
        <v/>
      </c>
      <c r="F926" s="26" t="str">
        <f>IFERROR(VLOOKUP(G926,WholesaleExtract!B:J,6,FALSE),"")</f>
        <v/>
      </c>
      <c r="G926" s="46"/>
      <c r="H926" s="47" t="str">
        <f>IFERROR(VLOOKUP(G926,WholesaleExtract!B:L,11,FALSE),"")</f>
        <v/>
      </c>
      <c r="I926" s="26" t="str">
        <f>IFERROR(VLOOKUP(G926,WholesaleExtract!B:O,8,FALSE),"")</f>
        <v/>
      </c>
      <c r="J926" s="26" t="str">
        <f>IFERROR(VLOOKUP(G926,WholesaleExtract!B:O,14,FALSE),"")</f>
        <v/>
      </c>
      <c r="K926" s="26" t="str">
        <f>IFERROR(VLOOKUP(G926,WholesaleExtract!B:K,10,FALSE),"")</f>
        <v/>
      </c>
      <c r="L926" s="47" t="str">
        <f>IFERROR(VLOOKUP(G926,WholesaleExtract!B:L,11,FALSE),"")</f>
        <v/>
      </c>
      <c r="M926" s="47" t="str">
        <f>IFERROR(VLOOKUP(G926,WholesaleExtract!B:M,12,FALSE),"")</f>
        <v/>
      </c>
      <c r="N926" s="27"/>
      <c r="O926" s="19"/>
      <c r="P926" s="19"/>
      <c r="Q926" s="47"/>
      <c r="R926" s="19"/>
      <c r="S926" s="19"/>
    </row>
    <row r="927" spans="1:19" x14ac:dyDescent="0.35">
      <c r="A927" s="26" t="s">
        <v>543</v>
      </c>
      <c r="B927" s="26" t="s">
        <v>543</v>
      </c>
      <c r="C927" s="26"/>
      <c r="D927" s="26" t="s">
        <v>543</v>
      </c>
      <c r="E927" s="26" t="str">
        <f>IFERROR(VLOOKUP(G927,WholesaleExtract!B:J,9,FALSE),"")</f>
        <v/>
      </c>
      <c r="F927" s="26" t="str">
        <f>IFERROR(VLOOKUP(G927,WholesaleExtract!B:J,6,FALSE),"")</f>
        <v/>
      </c>
      <c r="G927" s="46"/>
      <c r="H927" s="47" t="str">
        <f>IFERROR(VLOOKUP(G927,WholesaleExtract!B:L,11,FALSE),"")</f>
        <v/>
      </c>
      <c r="I927" s="26" t="str">
        <f>IFERROR(VLOOKUP(G927,WholesaleExtract!B:O,8,FALSE),"")</f>
        <v/>
      </c>
      <c r="J927" s="26" t="str">
        <f>IFERROR(VLOOKUP(G927,WholesaleExtract!B:O,14,FALSE),"")</f>
        <v/>
      </c>
      <c r="K927" s="26" t="str">
        <f>IFERROR(VLOOKUP(G927,WholesaleExtract!B:K,10,FALSE),"")</f>
        <v/>
      </c>
      <c r="L927" s="47" t="str">
        <f>IFERROR(VLOOKUP(G927,WholesaleExtract!B:L,11,FALSE),"")</f>
        <v/>
      </c>
      <c r="M927" s="47" t="str">
        <f>IFERROR(VLOOKUP(G927,WholesaleExtract!B:M,12,FALSE),"")</f>
        <v/>
      </c>
      <c r="N927" s="27"/>
      <c r="O927" s="19"/>
      <c r="P927" s="19"/>
      <c r="Q927" s="47"/>
      <c r="R927" s="19"/>
      <c r="S927" s="19"/>
    </row>
    <row r="928" spans="1:19" x14ac:dyDescent="0.35">
      <c r="A928" s="26" t="s">
        <v>543</v>
      </c>
      <c r="B928" s="26" t="s">
        <v>543</v>
      </c>
      <c r="C928" s="26"/>
      <c r="D928" s="26" t="s">
        <v>543</v>
      </c>
      <c r="E928" s="26" t="str">
        <f>IFERROR(VLOOKUP(G928,WholesaleExtract!B:J,9,FALSE),"")</f>
        <v/>
      </c>
      <c r="F928" s="26" t="str">
        <f>IFERROR(VLOOKUP(G928,WholesaleExtract!B:J,6,FALSE),"")</f>
        <v/>
      </c>
      <c r="G928" s="46"/>
      <c r="H928" s="47" t="str">
        <f>IFERROR(VLOOKUP(G928,WholesaleExtract!B:L,11,FALSE),"")</f>
        <v/>
      </c>
      <c r="I928" s="26" t="str">
        <f>IFERROR(VLOOKUP(G928,WholesaleExtract!B:O,8,FALSE),"")</f>
        <v/>
      </c>
      <c r="J928" s="26" t="str">
        <f>IFERROR(VLOOKUP(G928,WholesaleExtract!B:O,14,FALSE),"")</f>
        <v/>
      </c>
      <c r="K928" s="26" t="str">
        <f>IFERROR(VLOOKUP(G928,WholesaleExtract!B:K,10,FALSE),"")</f>
        <v/>
      </c>
      <c r="L928" s="47" t="str">
        <f>IFERROR(VLOOKUP(G928,WholesaleExtract!B:L,11,FALSE),"")</f>
        <v/>
      </c>
      <c r="M928" s="47" t="str">
        <f>IFERROR(VLOOKUP(G928,WholesaleExtract!B:M,12,FALSE),"")</f>
        <v/>
      </c>
      <c r="N928" s="27"/>
      <c r="O928" s="19"/>
      <c r="P928" s="19"/>
      <c r="Q928" s="47"/>
      <c r="R928" s="19"/>
      <c r="S928" s="19"/>
    </row>
    <row r="929" spans="1:19" x14ac:dyDescent="0.35">
      <c r="A929" s="26" t="s">
        <v>543</v>
      </c>
      <c r="B929" s="26" t="s">
        <v>543</v>
      </c>
      <c r="C929" s="26"/>
      <c r="D929" s="26" t="s">
        <v>543</v>
      </c>
      <c r="E929" s="26" t="str">
        <f>IFERROR(VLOOKUP(G929,WholesaleExtract!B:J,9,FALSE),"")</f>
        <v/>
      </c>
      <c r="F929" s="26" t="str">
        <f>IFERROR(VLOOKUP(G929,WholesaleExtract!B:J,6,FALSE),"")</f>
        <v/>
      </c>
      <c r="G929" s="46"/>
      <c r="H929" s="47" t="str">
        <f>IFERROR(VLOOKUP(G929,WholesaleExtract!B:L,11,FALSE),"")</f>
        <v/>
      </c>
      <c r="I929" s="26" t="str">
        <f>IFERROR(VLOOKUP(G929,WholesaleExtract!B:O,8,FALSE),"")</f>
        <v/>
      </c>
      <c r="J929" s="26" t="str">
        <f>IFERROR(VLOOKUP(G929,WholesaleExtract!B:O,14,FALSE),"")</f>
        <v/>
      </c>
      <c r="K929" s="26" t="str">
        <f>IFERROR(VLOOKUP(G929,WholesaleExtract!B:K,10,FALSE),"")</f>
        <v/>
      </c>
      <c r="L929" s="47" t="str">
        <f>IFERROR(VLOOKUP(G929,WholesaleExtract!B:L,11,FALSE),"")</f>
        <v/>
      </c>
      <c r="M929" s="47" t="str">
        <f>IFERROR(VLOOKUP(G929,WholesaleExtract!B:M,12,FALSE),"")</f>
        <v/>
      </c>
      <c r="N929" s="27"/>
      <c r="O929" s="19"/>
      <c r="P929" s="19"/>
      <c r="Q929" s="47"/>
      <c r="R929" s="19"/>
      <c r="S929" s="19"/>
    </row>
    <row r="930" spans="1:19" x14ac:dyDescent="0.35">
      <c r="A930" s="26" t="s">
        <v>543</v>
      </c>
      <c r="B930" s="26" t="s">
        <v>543</v>
      </c>
      <c r="C930" s="26"/>
      <c r="D930" s="26" t="s">
        <v>543</v>
      </c>
      <c r="E930" s="26" t="str">
        <f>IFERROR(VLOOKUP(G930,WholesaleExtract!B:J,9,FALSE),"")</f>
        <v/>
      </c>
      <c r="F930" s="26" t="str">
        <f>IFERROR(VLOOKUP(G930,WholesaleExtract!B:J,6,FALSE),"")</f>
        <v/>
      </c>
      <c r="G930" s="46"/>
      <c r="H930" s="47" t="str">
        <f>IFERROR(VLOOKUP(G930,WholesaleExtract!B:L,11,FALSE),"")</f>
        <v/>
      </c>
      <c r="I930" s="26" t="str">
        <f>IFERROR(VLOOKUP(G930,WholesaleExtract!B:O,8,FALSE),"")</f>
        <v/>
      </c>
      <c r="J930" s="26" t="str">
        <f>IFERROR(VLOOKUP(G930,WholesaleExtract!B:O,14,FALSE),"")</f>
        <v/>
      </c>
      <c r="K930" s="26" t="str">
        <f>IFERROR(VLOOKUP(G930,WholesaleExtract!B:K,10,FALSE),"")</f>
        <v/>
      </c>
      <c r="L930" s="47" t="str">
        <f>IFERROR(VLOOKUP(G930,WholesaleExtract!B:L,11,FALSE),"")</f>
        <v/>
      </c>
      <c r="M930" s="47" t="str">
        <f>IFERROR(VLOOKUP(G930,WholesaleExtract!B:M,12,FALSE),"")</f>
        <v/>
      </c>
      <c r="N930" s="27"/>
      <c r="O930" s="19"/>
      <c r="P930" s="19"/>
      <c r="Q930" s="47"/>
      <c r="R930" s="19"/>
      <c r="S930" s="19"/>
    </row>
    <row r="931" spans="1:19" x14ac:dyDescent="0.35">
      <c r="A931" s="26" t="s">
        <v>543</v>
      </c>
      <c r="B931" s="26" t="s">
        <v>543</v>
      </c>
      <c r="C931" s="26"/>
      <c r="D931" s="26" t="s">
        <v>543</v>
      </c>
      <c r="E931" s="26" t="str">
        <f>IFERROR(VLOOKUP(G931,WholesaleExtract!B:J,9,FALSE),"")</f>
        <v/>
      </c>
      <c r="F931" s="26" t="str">
        <f>IFERROR(VLOOKUP(G931,WholesaleExtract!B:J,6,FALSE),"")</f>
        <v/>
      </c>
      <c r="G931" s="46"/>
      <c r="H931" s="47" t="str">
        <f>IFERROR(VLOOKUP(G931,WholesaleExtract!B:L,11,FALSE),"")</f>
        <v/>
      </c>
      <c r="I931" s="26" t="str">
        <f>IFERROR(VLOOKUP(G931,WholesaleExtract!B:O,8,FALSE),"")</f>
        <v/>
      </c>
      <c r="J931" s="26" t="str">
        <f>IFERROR(VLOOKUP(G931,WholesaleExtract!B:O,14,FALSE),"")</f>
        <v/>
      </c>
      <c r="K931" s="26" t="str">
        <f>IFERROR(VLOOKUP(G931,WholesaleExtract!B:K,10,FALSE),"")</f>
        <v/>
      </c>
      <c r="L931" s="47" t="str">
        <f>IFERROR(VLOOKUP(G931,WholesaleExtract!B:L,11,FALSE),"")</f>
        <v/>
      </c>
      <c r="M931" s="47" t="str">
        <f>IFERROR(VLOOKUP(G931,WholesaleExtract!B:M,12,FALSE),"")</f>
        <v/>
      </c>
      <c r="N931" s="27"/>
      <c r="O931" s="19"/>
      <c r="P931" s="19"/>
      <c r="Q931" s="47"/>
      <c r="R931" s="19"/>
      <c r="S931" s="19"/>
    </row>
    <row r="932" spans="1:19" x14ac:dyDescent="0.35">
      <c r="A932" s="26" t="s">
        <v>543</v>
      </c>
      <c r="B932" s="26" t="s">
        <v>543</v>
      </c>
      <c r="C932" s="26"/>
      <c r="D932" s="26" t="s">
        <v>543</v>
      </c>
      <c r="E932" s="26" t="str">
        <f>IFERROR(VLOOKUP(G932,WholesaleExtract!B:J,9,FALSE),"")</f>
        <v/>
      </c>
      <c r="F932" s="26" t="str">
        <f>IFERROR(VLOOKUP(G932,WholesaleExtract!B:J,6,FALSE),"")</f>
        <v/>
      </c>
      <c r="G932" s="46"/>
      <c r="H932" s="47" t="str">
        <f>IFERROR(VLOOKUP(G932,WholesaleExtract!B:L,11,FALSE),"")</f>
        <v/>
      </c>
      <c r="I932" s="26" t="str">
        <f>IFERROR(VLOOKUP(G932,WholesaleExtract!B:O,8,FALSE),"")</f>
        <v/>
      </c>
      <c r="J932" s="26" t="str">
        <f>IFERROR(VLOOKUP(G932,WholesaleExtract!B:O,14,FALSE),"")</f>
        <v/>
      </c>
      <c r="K932" s="26" t="str">
        <f>IFERROR(VLOOKUP(G932,WholesaleExtract!B:K,10,FALSE),"")</f>
        <v/>
      </c>
      <c r="L932" s="47" t="str">
        <f>IFERROR(VLOOKUP(G932,WholesaleExtract!B:L,11,FALSE),"")</f>
        <v/>
      </c>
      <c r="M932" s="47" t="str">
        <f>IFERROR(VLOOKUP(G932,WholesaleExtract!B:M,12,FALSE),"")</f>
        <v/>
      </c>
      <c r="N932" s="27"/>
      <c r="O932" s="19"/>
      <c r="P932" s="19"/>
      <c r="Q932" s="47"/>
      <c r="R932" s="19"/>
      <c r="S932" s="19"/>
    </row>
    <row r="933" spans="1:19" x14ac:dyDescent="0.35">
      <c r="A933" s="26" t="s">
        <v>543</v>
      </c>
      <c r="B933" s="26" t="s">
        <v>543</v>
      </c>
      <c r="C933" s="26"/>
      <c r="D933" s="26" t="s">
        <v>543</v>
      </c>
      <c r="E933" s="26" t="str">
        <f>IFERROR(VLOOKUP(G933,WholesaleExtract!B:J,9,FALSE),"")</f>
        <v/>
      </c>
      <c r="F933" s="26" t="str">
        <f>IFERROR(VLOOKUP(G933,WholesaleExtract!B:J,6,FALSE),"")</f>
        <v/>
      </c>
      <c r="G933" s="46"/>
      <c r="H933" s="47" t="str">
        <f>IFERROR(VLOOKUP(G933,WholesaleExtract!B:L,11,FALSE),"")</f>
        <v/>
      </c>
      <c r="I933" s="26" t="str">
        <f>IFERROR(VLOOKUP(G933,WholesaleExtract!B:O,8,FALSE),"")</f>
        <v/>
      </c>
      <c r="J933" s="26" t="str">
        <f>IFERROR(VLOOKUP(G933,WholesaleExtract!B:O,14,FALSE),"")</f>
        <v/>
      </c>
      <c r="K933" s="26" t="str">
        <f>IFERROR(VLOOKUP(G933,WholesaleExtract!B:K,10,FALSE),"")</f>
        <v/>
      </c>
      <c r="L933" s="47" t="str">
        <f>IFERROR(VLOOKUP(G933,WholesaleExtract!B:L,11,FALSE),"")</f>
        <v/>
      </c>
      <c r="M933" s="47" t="str">
        <f>IFERROR(VLOOKUP(G933,WholesaleExtract!B:M,12,FALSE),"")</f>
        <v/>
      </c>
      <c r="N933" s="27"/>
      <c r="O933" s="19"/>
      <c r="P933" s="19"/>
      <c r="Q933" s="47"/>
      <c r="R933" s="19"/>
      <c r="S933" s="19"/>
    </row>
    <row r="934" spans="1:19" x14ac:dyDescent="0.35">
      <c r="A934" s="26" t="s">
        <v>543</v>
      </c>
      <c r="B934" s="26" t="s">
        <v>543</v>
      </c>
      <c r="C934" s="26"/>
      <c r="D934" s="26" t="s">
        <v>543</v>
      </c>
      <c r="E934" s="26" t="str">
        <f>IFERROR(VLOOKUP(G934,WholesaleExtract!B:J,9,FALSE),"")</f>
        <v/>
      </c>
      <c r="F934" s="26" t="str">
        <f>IFERROR(VLOOKUP(G934,WholesaleExtract!B:J,6,FALSE),"")</f>
        <v/>
      </c>
      <c r="G934" s="46"/>
      <c r="H934" s="47" t="str">
        <f>IFERROR(VLOOKUP(G934,WholesaleExtract!B:L,11,FALSE),"")</f>
        <v/>
      </c>
      <c r="I934" s="26" t="str">
        <f>IFERROR(VLOOKUP(G934,WholesaleExtract!B:O,8,FALSE),"")</f>
        <v/>
      </c>
      <c r="J934" s="26" t="str">
        <f>IFERROR(VLOOKUP(G934,WholesaleExtract!B:O,14,FALSE),"")</f>
        <v/>
      </c>
      <c r="K934" s="26" t="str">
        <f>IFERROR(VLOOKUP(G934,WholesaleExtract!B:K,10,FALSE),"")</f>
        <v/>
      </c>
      <c r="L934" s="47" t="str">
        <f>IFERROR(VLOOKUP(G934,WholesaleExtract!B:L,11,FALSE),"")</f>
        <v/>
      </c>
      <c r="M934" s="47" t="str">
        <f>IFERROR(VLOOKUP(G934,WholesaleExtract!B:M,12,FALSE),"")</f>
        <v/>
      </c>
      <c r="N934" s="27"/>
      <c r="O934" s="19"/>
      <c r="P934" s="19"/>
      <c r="Q934" s="47"/>
      <c r="R934" s="19"/>
      <c r="S934" s="19"/>
    </row>
    <row r="935" spans="1:19" x14ac:dyDescent="0.35">
      <c r="A935" s="26" t="s">
        <v>543</v>
      </c>
      <c r="B935" s="26" t="s">
        <v>543</v>
      </c>
      <c r="C935" s="26"/>
      <c r="D935" s="26" t="s">
        <v>543</v>
      </c>
      <c r="E935" s="26" t="str">
        <f>IFERROR(VLOOKUP(G935,WholesaleExtract!B:J,9,FALSE),"")</f>
        <v/>
      </c>
      <c r="F935" s="26" t="str">
        <f>IFERROR(VLOOKUP(G935,WholesaleExtract!B:J,6,FALSE),"")</f>
        <v/>
      </c>
      <c r="G935" s="46"/>
      <c r="H935" s="47" t="str">
        <f>IFERROR(VLOOKUP(G935,WholesaleExtract!B:L,11,FALSE),"")</f>
        <v/>
      </c>
      <c r="I935" s="26" t="str">
        <f>IFERROR(VLOOKUP(G935,WholesaleExtract!B:O,8,FALSE),"")</f>
        <v/>
      </c>
      <c r="J935" s="26" t="str">
        <f>IFERROR(VLOOKUP(G935,WholesaleExtract!B:O,14,FALSE),"")</f>
        <v/>
      </c>
      <c r="K935" s="26" t="str">
        <f>IFERROR(VLOOKUP(G935,WholesaleExtract!B:K,10,FALSE),"")</f>
        <v/>
      </c>
      <c r="L935" s="47" t="str">
        <f>IFERROR(VLOOKUP(G935,WholesaleExtract!B:L,11,FALSE),"")</f>
        <v/>
      </c>
      <c r="M935" s="47" t="str">
        <f>IFERROR(VLOOKUP(G935,WholesaleExtract!B:M,12,FALSE),"")</f>
        <v/>
      </c>
      <c r="N935" s="27"/>
      <c r="O935" s="19"/>
      <c r="P935" s="19"/>
      <c r="Q935" s="47"/>
      <c r="R935" s="19"/>
      <c r="S935" s="19"/>
    </row>
    <row r="936" spans="1:19" x14ac:dyDescent="0.35">
      <c r="A936" s="26" t="s">
        <v>543</v>
      </c>
      <c r="B936" s="26" t="s">
        <v>543</v>
      </c>
      <c r="C936" s="26"/>
      <c r="D936" s="26" t="s">
        <v>543</v>
      </c>
      <c r="E936" s="26" t="str">
        <f>IFERROR(VLOOKUP(G936,WholesaleExtract!B:J,9,FALSE),"")</f>
        <v/>
      </c>
      <c r="F936" s="26" t="str">
        <f>IFERROR(VLOOKUP(G936,WholesaleExtract!B:J,6,FALSE),"")</f>
        <v/>
      </c>
      <c r="G936" s="46"/>
      <c r="H936" s="47" t="str">
        <f>IFERROR(VLOOKUP(G936,WholesaleExtract!B:L,11,FALSE),"")</f>
        <v/>
      </c>
      <c r="I936" s="26" t="str">
        <f>IFERROR(VLOOKUP(G936,WholesaleExtract!B:O,8,FALSE),"")</f>
        <v/>
      </c>
      <c r="J936" s="26" t="str">
        <f>IFERROR(VLOOKUP(G936,WholesaleExtract!B:O,14,FALSE),"")</f>
        <v/>
      </c>
      <c r="K936" s="26" t="str">
        <f>IFERROR(VLOOKUP(G936,WholesaleExtract!B:K,10,FALSE),"")</f>
        <v/>
      </c>
      <c r="L936" s="47" t="str">
        <f>IFERROR(VLOOKUP(G936,WholesaleExtract!B:L,11,FALSE),"")</f>
        <v/>
      </c>
      <c r="M936" s="47" t="str">
        <f>IFERROR(VLOOKUP(G936,WholesaleExtract!B:M,12,FALSE),"")</f>
        <v/>
      </c>
      <c r="N936" s="27"/>
      <c r="O936" s="19"/>
      <c r="P936" s="19"/>
      <c r="Q936" s="47"/>
      <c r="R936" s="19"/>
      <c r="S936" s="19"/>
    </row>
    <row r="937" spans="1:19" x14ac:dyDescent="0.35">
      <c r="A937" s="26" t="s">
        <v>543</v>
      </c>
      <c r="B937" s="26" t="s">
        <v>543</v>
      </c>
      <c r="C937" s="26"/>
      <c r="D937" s="26" t="s">
        <v>543</v>
      </c>
      <c r="E937" s="26" t="str">
        <f>IFERROR(VLOOKUP(G937,WholesaleExtract!B:J,9,FALSE),"")</f>
        <v/>
      </c>
      <c r="F937" s="26" t="str">
        <f>IFERROR(VLOOKUP(G937,WholesaleExtract!B:J,6,FALSE),"")</f>
        <v/>
      </c>
      <c r="G937" s="46"/>
      <c r="H937" s="47" t="str">
        <f>IFERROR(VLOOKUP(G937,WholesaleExtract!B:L,11,FALSE),"")</f>
        <v/>
      </c>
      <c r="I937" s="26" t="str">
        <f>IFERROR(VLOOKUP(G937,WholesaleExtract!B:O,8,FALSE),"")</f>
        <v/>
      </c>
      <c r="J937" s="26" t="str">
        <f>IFERROR(VLOOKUP(G937,WholesaleExtract!B:O,14,FALSE),"")</f>
        <v/>
      </c>
      <c r="K937" s="26" t="str">
        <f>IFERROR(VLOOKUP(G937,WholesaleExtract!B:K,10,FALSE),"")</f>
        <v/>
      </c>
      <c r="L937" s="47" t="str">
        <f>IFERROR(VLOOKUP(G937,WholesaleExtract!B:L,11,FALSE),"")</f>
        <v/>
      </c>
      <c r="M937" s="47" t="str">
        <f>IFERROR(VLOOKUP(G937,WholesaleExtract!B:M,12,FALSE),"")</f>
        <v/>
      </c>
      <c r="N937" s="27"/>
      <c r="O937" s="19"/>
      <c r="P937" s="19"/>
      <c r="Q937" s="47"/>
      <c r="R937" s="19"/>
      <c r="S937" s="19"/>
    </row>
    <row r="938" spans="1:19" x14ac:dyDescent="0.35">
      <c r="A938" s="26" t="s">
        <v>543</v>
      </c>
      <c r="B938" s="26" t="s">
        <v>543</v>
      </c>
      <c r="C938" s="26"/>
      <c r="D938" s="26" t="s">
        <v>543</v>
      </c>
      <c r="E938" s="26" t="str">
        <f>IFERROR(VLOOKUP(G938,WholesaleExtract!B:J,9,FALSE),"")</f>
        <v/>
      </c>
      <c r="F938" s="26" t="str">
        <f>IFERROR(VLOOKUP(G938,WholesaleExtract!B:J,6,FALSE),"")</f>
        <v/>
      </c>
      <c r="G938" s="46"/>
      <c r="H938" s="47" t="str">
        <f>IFERROR(VLOOKUP(G938,WholesaleExtract!B:L,11,FALSE),"")</f>
        <v/>
      </c>
      <c r="I938" s="26" t="str">
        <f>IFERROR(VLOOKUP(G938,WholesaleExtract!B:O,8,FALSE),"")</f>
        <v/>
      </c>
      <c r="J938" s="26" t="str">
        <f>IFERROR(VLOOKUP(G938,WholesaleExtract!B:O,14,FALSE),"")</f>
        <v/>
      </c>
      <c r="K938" s="26" t="str">
        <f>IFERROR(VLOOKUP(G938,WholesaleExtract!B:K,10,FALSE),"")</f>
        <v/>
      </c>
      <c r="L938" s="47" t="str">
        <f>IFERROR(VLOOKUP(G938,WholesaleExtract!B:L,11,FALSE),"")</f>
        <v/>
      </c>
      <c r="M938" s="47" t="str">
        <f>IFERROR(VLOOKUP(G938,WholesaleExtract!B:M,12,FALSE),"")</f>
        <v/>
      </c>
      <c r="N938" s="27"/>
      <c r="O938" s="19"/>
      <c r="P938" s="19"/>
      <c r="Q938" s="47"/>
      <c r="R938" s="19"/>
      <c r="S938" s="19"/>
    </row>
    <row r="939" spans="1:19" x14ac:dyDescent="0.35">
      <c r="A939" s="26" t="s">
        <v>543</v>
      </c>
      <c r="B939" s="26" t="s">
        <v>543</v>
      </c>
      <c r="C939" s="26"/>
      <c r="D939" s="26" t="s">
        <v>543</v>
      </c>
      <c r="E939" s="26" t="str">
        <f>IFERROR(VLOOKUP(G939,WholesaleExtract!B:J,9,FALSE),"")</f>
        <v/>
      </c>
      <c r="F939" s="26" t="str">
        <f>IFERROR(VLOOKUP(G939,WholesaleExtract!B:J,6,FALSE),"")</f>
        <v/>
      </c>
      <c r="G939" s="46"/>
      <c r="H939" s="47" t="str">
        <f>IFERROR(VLOOKUP(G939,WholesaleExtract!B:L,11,FALSE),"")</f>
        <v/>
      </c>
      <c r="I939" s="26" t="str">
        <f>IFERROR(VLOOKUP(G939,WholesaleExtract!B:O,8,FALSE),"")</f>
        <v/>
      </c>
      <c r="J939" s="26" t="str">
        <f>IFERROR(VLOOKUP(G939,WholesaleExtract!B:O,14,FALSE),"")</f>
        <v/>
      </c>
      <c r="K939" s="26" t="str">
        <f>IFERROR(VLOOKUP(G939,WholesaleExtract!B:K,10,FALSE),"")</f>
        <v/>
      </c>
      <c r="L939" s="47" t="str">
        <f>IFERROR(VLOOKUP(G939,WholesaleExtract!B:L,11,FALSE),"")</f>
        <v/>
      </c>
      <c r="M939" s="47" t="str">
        <f>IFERROR(VLOOKUP(G939,WholesaleExtract!B:M,12,FALSE),"")</f>
        <v/>
      </c>
      <c r="N939" s="27"/>
      <c r="O939" s="19"/>
      <c r="P939" s="19"/>
      <c r="Q939" s="47"/>
      <c r="R939" s="19"/>
      <c r="S939" s="19"/>
    </row>
    <row r="940" spans="1:19" x14ac:dyDescent="0.35">
      <c r="A940" s="26" t="s">
        <v>543</v>
      </c>
      <c r="B940" s="26" t="s">
        <v>543</v>
      </c>
      <c r="C940" s="26"/>
      <c r="D940" s="26" t="s">
        <v>543</v>
      </c>
      <c r="E940" s="26" t="str">
        <f>IFERROR(VLOOKUP(G940,WholesaleExtract!B:J,9,FALSE),"")</f>
        <v/>
      </c>
      <c r="F940" s="26" t="str">
        <f>IFERROR(VLOOKUP(G940,WholesaleExtract!B:J,6,FALSE),"")</f>
        <v/>
      </c>
      <c r="G940" s="46"/>
      <c r="H940" s="47" t="str">
        <f>IFERROR(VLOOKUP(G940,WholesaleExtract!B:L,11,FALSE),"")</f>
        <v/>
      </c>
      <c r="I940" s="26" t="str">
        <f>IFERROR(VLOOKUP(G940,WholesaleExtract!B:O,8,FALSE),"")</f>
        <v/>
      </c>
      <c r="J940" s="26" t="str">
        <f>IFERROR(VLOOKUP(G940,WholesaleExtract!B:O,14,FALSE),"")</f>
        <v/>
      </c>
      <c r="K940" s="26" t="str">
        <f>IFERROR(VLOOKUP(G940,WholesaleExtract!B:K,10,FALSE),"")</f>
        <v/>
      </c>
      <c r="L940" s="47" t="str">
        <f>IFERROR(VLOOKUP(G940,WholesaleExtract!B:L,11,FALSE),"")</f>
        <v/>
      </c>
      <c r="M940" s="47" t="str">
        <f>IFERROR(VLOOKUP(G940,WholesaleExtract!B:M,12,FALSE),"")</f>
        <v/>
      </c>
      <c r="N940" s="27"/>
      <c r="O940" s="19"/>
      <c r="P940" s="19"/>
      <c r="Q940" s="47"/>
      <c r="R940" s="19"/>
      <c r="S940" s="19"/>
    </row>
    <row r="941" spans="1:19" x14ac:dyDescent="0.35">
      <c r="A941" s="26" t="s">
        <v>543</v>
      </c>
      <c r="B941" s="26" t="s">
        <v>543</v>
      </c>
      <c r="C941" s="26"/>
      <c r="D941" s="26" t="s">
        <v>543</v>
      </c>
      <c r="E941" s="26" t="str">
        <f>IFERROR(VLOOKUP(G941,WholesaleExtract!B:J,9,FALSE),"")</f>
        <v/>
      </c>
      <c r="F941" s="26" t="str">
        <f>IFERROR(VLOOKUP(G941,WholesaleExtract!B:J,6,FALSE),"")</f>
        <v/>
      </c>
      <c r="G941" s="46"/>
      <c r="H941" s="47" t="str">
        <f>IFERROR(VLOOKUP(G941,WholesaleExtract!B:L,11,FALSE),"")</f>
        <v/>
      </c>
      <c r="I941" s="26" t="str">
        <f>IFERROR(VLOOKUP(G941,WholesaleExtract!B:O,8,FALSE),"")</f>
        <v/>
      </c>
      <c r="J941" s="26" t="str">
        <f>IFERROR(VLOOKUP(G941,WholesaleExtract!B:O,14,FALSE),"")</f>
        <v/>
      </c>
      <c r="K941" s="26" t="str">
        <f>IFERROR(VLOOKUP(G941,WholesaleExtract!B:K,10,FALSE),"")</f>
        <v/>
      </c>
      <c r="L941" s="47" t="str">
        <f>IFERROR(VLOOKUP(G941,WholesaleExtract!B:L,11,FALSE),"")</f>
        <v/>
      </c>
      <c r="M941" s="47" t="str">
        <f>IFERROR(VLOOKUP(G941,WholesaleExtract!B:M,12,FALSE),"")</f>
        <v/>
      </c>
      <c r="N941" s="27"/>
      <c r="O941" s="19"/>
      <c r="P941" s="19"/>
      <c r="Q941" s="47"/>
      <c r="R941" s="19"/>
      <c r="S941" s="19"/>
    </row>
    <row r="942" spans="1:19" x14ac:dyDescent="0.35">
      <c r="A942" s="26" t="s">
        <v>543</v>
      </c>
      <c r="B942" s="26" t="s">
        <v>543</v>
      </c>
      <c r="C942" s="26"/>
      <c r="D942" s="26" t="s">
        <v>543</v>
      </c>
      <c r="E942" s="26" t="str">
        <f>IFERROR(VLOOKUP(G942,WholesaleExtract!B:J,9,FALSE),"")</f>
        <v/>
      </c>
      <c r="F942" s="26" t="str">
        <f>IFERROR(VLOOKUP(G942,WholesaleExtract!B:J,6,FALSE),"")</f>
        <v/>
      </c>
      <c r="G942" s="46"/>
      <c r="H942" s="47" t="str">
        <f>IFERROR(VLOOKUP(G942,WholesaleExtract!B:L,11,FALSE),"")</f>
        <v/>
      </c>
      <c r="I942" s="26" t="str">
        <f>IFERROR(VLOOKUP(G942,WholesaleExtract!B:O,8,FALSE),"")</f>
        <v/>
      </c>
      <c r="J942" s="26" t="str">
        <f>IFERROR(VLOOKUP(G942,WholesaleExtract!B:O,14,FALSE),"")</f>
        <v/>
      </c>
      <c r="K942" s="26" t="str">
        <f>IFERROR(VLOOKUP(G942,WholesaleExtract!B:K,10,FALSE),"")</f>
        <v/>
      </c>
      <c r="L942" s="47" t="str">
        <f>IFERROR(VLOOKUP(G942,WholesaleExtract!B:L,11,FALSE),"")</f>
        <v/>
      </c>
      <c r="M942" s="47" t="str">
        <f>IFERROR(VLOOKUP(G942,WholesaleExtract!B:M,12,FALSE),"")</f>
        <v/>
      </c>
      <c r="N942" s="27"/>
      <c r="O942" s="19"/>
      <c r="P942" s="19"/>
      <c r="Q942" s="47"/>
      <c r="R942" s="19"/>
      <c r="S942" s="19"/>
    </row>
    <row r="943" spans="1:19" x14ac:dyDescent="0.35">
      <c r="A943" s="26" t="s">
        <v>543</v>
      </c>
      <c r="B943" s="26" t="s">
        <v>543</v>
      </c>
      <c r="C943" s="26"/>
      <c r="D943" s="26" t="s">
        <v>543</v>
      </c>
      <c r="E943" s="26" t="str">
        <f>IFERROR(VLOOKUP(G943,WholesaleExtract!B:J,9,FALSE),"")</f>
        <v/>
      </c>
      <c r="F943" s="26" t="str">
        <f>IFERROR(VLOOKUP(G943,WholesaleExtract!B:J,6,FALSE),"")</f>
        <v/>
      </c>
      <c r="G943" s="46"/>
      <c r="H943" s="47" t="str">
        <f>IFERROR(VLOOKUP(G943,WholesaleExtract!B:L,11,FALSE),"")</f>
        <v/>
      </c>
      <c r="I943" s="26" t="str">
        <f>IFERROR(VLOOKUP(G943,WholesaleExtract!B:O,8,FALSE),"")</f>
        <v/>
      </c>
      <c r="J943" s="26" t="str">
        <f>IFERROR(VLOOKUP(G943,WholesaleExtract!B:O,14,FALSE),"")</f>
        <v/>
      </c>
      <c r="K943" s="26" t="str">
        <f>IFERROR(VLOOKUP(G943,WholesaleExtract!B:K,10,FALSE),"")</f>
        <v/>
      </c>
      <c r="L943" s="47" t="str">
        <f>IFERROR(VLOOKUP(G943,WholesaleExtract!B:L,11,FALSE),"")</f>
        <v/>
      </c>
      <c r="M943" s="47" t="str">
        <f>IFERROR(VLOOKUP(G943,WholesaleExtract!B:M,12,FALSE),"")</f>
        <v/>
      </c>
      <c r="N943" s="27"/>
      <c r="O943" s="19"/>
      <c r="P943" s="19"/>
      <c r="Q943" s="47"/>
      <c r="R943" s="19"/>
      <c r="S943" s="19"/>
    </row>
    <row r="944" spans="1:19" x14ac:dyDescent="0.35">
      <c r="A944" s="26" t="s">
        <v>543</v>
      </c>
      <c r="B944" s="26" t="s">
        <v>543</v>
      </c>
      <c r="C944" s="26"/>
      <c r="D944" s="26" t="s">
        <v>543</v>
      </c>
      <c r="E944" s="26" t="str">
        <f>IFERROR(VLOOKUP(G944,WholesaleExtract!B:J,9,FALSE),"")</f>
        <v/>
      </c>
      <c r="F944" s="26" t="str">
        <f>IFERROR(VLOOKUP(G944,WholesaleExtract!B:J,6,FALSE),"")</f>
        <v/>
      </c>
      <c r="G944" s="46"/>
      <c r="H944" s="47" t="str">
        <f>IFERROR(VLOOKUP(G944,WholesaleExtract!B:L,11,FALSE),"")</f>
        <v/>
      </c>
      <c r="I944" s="26" t="str">
        <f>IFERROR(VLOOKUP(G944,WholesaleExtract!B:O,8,FALSE),"")</f>
        <v/>
      </c>
      <c r="J944" s="26" t="str">
        <f>IFERROR(VLOOKUP(G944,WholesaleExtract!B:O,14,FALSE),"")</f>
        <v/>
      </c>
      <c r="K944" s="26" t="str">
        <f>IFERROR(VLOOKUP(G944,WholesaleExtract!B:K,10,FALSE),"")</f>
        <v/>
      </c>
      <c r="L944" s="47" t="str">
        <f>IFERROR(VLOOKUP(G944,WholesaleExtract!B:L,11,FALSE),"")</f>
        <v/>
      </c>
      <c r="M944" s="47" t="str">
        <f>IFERROR(VLOOKUP(G944,WholesaleExtract!B:M,12,FALSE),"")</f>
        <v/>
      </c>
      <c r="N944" s="27"/>
      <c r="O944" s="19"/>
      <c r="P944" s="19"/>
      <c r="Q944" s="47"/>
      <c r="R944" s="19"/>
      <c r="S944" s="19"/>
    </row>
    <row r="945" spans="1:19" x14ac:dyDescent="0.35">
      <c r="A945" s="26" t="s">
        <v>543</v>
      </c>
      <c r="B945" s="26" t="s">
        <v>543</v>
      </c>
      <c r="C945" s="26"/>
      <c r="D945" s="26" t="s">
        <v>543</v>
      </c>
      <c r="E945" s="26" t="str">
        <f>IFERROR(VLOOKUP(G945,WholesaleExtract!B:J,9,FALSE),"")</f>
        <v/>
      </c>
      <c r="F945" s="26" t="str">
        <f>IFERROR(VLOOKUP(G945,WholesaleExtract!B:J,6,FALSE),"")</f>
        <v/>
      </c>
      <c r="G945" s="46"/>
      <c r="H945" s="47" t="str">
        <f>IFERROR(VLOOKUP(G945,WholesaleExtract!B:L,11,FALSE),"")</f>
        <v/>
      </c>
      <c r="I945" s="26" t="str">
        <f>IFERROR(VLOOKUP(G945,WholesaleExtract!B:O,8,FALSE),"")</f>
        <v/>
      </c>
      <c r="J945" s="26" t="str">
        <f>IFERROR(VLOOKUP(G945,WholesaleExtract!B:O,14,FALSE),"")</f>
        <v/>
      </c>
      <c r="K945" s="26" t="str">
        <f>IFERROR(VLOOKUP(G945,WholesaleExtract!B:K,10,FALSE),"")</f>
        <v/>
      </c>
      <c r="L945" s="47" t="str">
        <f>IFERROR(VLOOKUP(G945,WholesaleExtract!B:L,11,FALSE),"")</f>
        <v/>
      </c>
      <c r="M945" s="47" t="str">
        <f>IFERROR(VLOOKUP(G945,WholesaleExtract!B:M,12,FALSE),"")</f>
        <v/>
      </c>
      <c r="N945" s="27"/>
      <c r="O945" s="19"/>
      <c r="P945" s="19"/>
      <c r="Q945" s="47"/>
      <c r="R945" s="19"/>
      <c r="S945" s="19"/>
    </row>
    <row r="946" spans="1:19" x14ac:dyDescent="0.35">
      <c r="A946" s="26" t="s">
        <v>543</v>
      </c>
      <c r="B946" s="26" t="s">
        <v>543</v>
      </c>
      <c r="C946" s="26"/>
      <c r="D946" s="26" t="s">
        <v>543</v>
      </c>
      <c r="E946" s="26" t="str">
        <f>IFERROR(VLOOKUP(G946,WholesaleExtract!B:J,9,FALSE),"")</f>
        <v/>
      </c>
      <c r="F946" s="26" t="str">
        <f>IFERROR(VLOOKUP(G946,WholesaleExtract!B:J,6,FALSE),"")</f>
        <v/>
      </c>
      <c r="G946" s="46"/>
      <c r="H946" s="47" t="str">
        <f>IFERROR(VLOOKUP(G946,WholesaleExtract!B:L,11,FALSE),"")</f>
        <v/>
      </c>
      <c r="I946" s="26" t="str">
        <f>IFERROR(VLOOKUP(G946,WholesaleExtract!B:O,8,FALSE),"")</f>
        <v/>
      </c>
      <c r="J946" s="26" t="str">
        <f>IFERROR(VLOOKUP(G946,WholesaleExtract!B:O,14,FALSE),"")</f>
        <v/>
      </c>
      <c r="K946" s="26" t="str">
        <f>IFERROR(VLOOKUP(G946,WholesaleExtract!B:K,10,FALSE),"")</f>
        <v/>
      </c>
      <c r="L946" s="47" t="str">
        <f>IFERROR(VLOOKUP(G946,WholesaleExtract!B:L,11,FALSE),"")</f>
        <v/>
      </c>
      <c r="M946" s="47" t="str">
        <f>IFERROR(VLOOKUP(G946,WholesaleExtract!B:M,12,FALSE),"")</f>
        <v/>
      </c>
      <c r="N946" s="27"/>
      <c r="O946" s="19"/>
      <c r="P946" s="19"/>
      <c r="Q946" s="47"/>
      <c r="R946" s="19"/>
      <c r="S946" s="19"/>
    </row>
    <row r="947" spans="1:19" x14ac:dyDescent="0.35">
      <c r="A947" s="26" t="s">
        <v>543</v>
      </c>
      <c r="B947" s="26" t="s">
        <v>543</v>
      </c>
      <c r="C947" s="26"/>
      <c r="D947" s="26" t="s">
        <v>543</v>
      </c>
      <c r="E947" s="26" t="str">
        <f>IFERROR(VLOOKUP(G947,WholesaleExtract!B:J,9,FALSE),"")</f>
        <v/>
      </c>
      <c r="F947" s="26" t="str">
        <f>IFERROR(VLOOKUP(G947,WholesaleExtract!B:J,6,FALSE),"")</f>
        <v/>
      </c>
      <c r="G947" s="46"/>
      <c r="H947" s="47" t="str">
        <f>IFERROR(VLOOKUP(G947,WholesaleExtract!B:L,11,FALSE),"")</f>
        <v/>
      </c>
      <c r="I947" s="26" t="str">
        <f>IFERROR(VLOOKUP(G947,WholesaleExtract!B:O,8,FALSE),"")</f>
        <v/>
      </c>
      <c r="J947" s="26" t="str">
        <f>IFERROR(VLOOKUP(G947,WholesaleExtract!B:O,14,FALSE),"")</f>
        <v/>
      </c>
      <c r="K947" s="26" t="str">
        <f>IFERROR(VLOOKUP(G947,WholesaleExtract!B:K,10,FALSE),"")</f>
        <v/>
      </c>
      <c r="L947" s="47" t="str">
        <f>IFERROR(VLOOKUP(G947,WholesaleExtract!B:L,11,FALSE),"")</f>
        <v/>
      </c>
      <c r="M947" s="47" t="str">
        <f>IFERROR(VLOOKUP(G947,WholesaleExtract!B:M,12,FALSE),"")</f>
        <v/>
      </c>
      <c r="N947" s="27"/>
      <c r="O947" s="19"/>
      <c r="P947" s="19"/>
      <c r="Q947" s="47"/>
      <c r="R947" s="19"/>
      <c r="S947" s="19"/>
    </row>
    <row r="948" spans="1:19" x14ac:dyDescent="0.35">
      <c r="A948" s="26" t="s">
        <v>543</v>
      </c>
      <c r="B948" s="26" t="s">
        <v>543</v>
      </c>
      <c r="C948" s="26"/>
      <c r="D948" s="26" t="s">
        <v>543</v>
      </c>
      <c r="E948" s="26" t="str">
        <f>IFERROR(VLOOKUP(G948,WholesaleExtract!B:J,9,FALSE),"")</f>
        <v/>
      </c>
      <c r="F948" s="26" t="str">
        <f>IFERROR(VLOOKUP(G948,WholesaleExtract!B:J,6,FALSE),"")</f>
        <v/>
      </c>
      <c r="G948" s="46"/>
      <c r="H948" s="47" t="str">
        <f>IFERROR(VLOOKUP(G948,WholesaleExtract!B:L,11,FALSE),"")</f>
        <v/>
      </c>
      <c r="I948" s="26" t="str">
        <f>IFERROR(VLOOKUP(G948,WholesaleExtract!B:O,8,FALSE),"")</f>
        <v/>
      </c>
      <c r="J948" s="26" t="str">
        <f>IFERROR(VLOOKUP(G948,WholesaleExtract!B:O,14,FALSE),"")</f>
        <v/>
      </c>
      <c r="K948" s="26" t="str">
        <f>IFERROR(VLOOKUP(G948,WholesaleExtract!B:K,10,FALSE),"")</f>
        <v/>
      </c>
      <c r="L948" s="47" t="str">
        <f>IFERROR(VLOOKUP(G948,WholesaleExtract!B:L,11,FALSE),"")</f>
        <v/>
      </c>
      <c r="M948" s="47" t="str">
        <f>IFERROR(VLOOKUP(G948,WholesaleExtract!B:M,12,FALSE),"")</f>
        <v/>
      </c>
      <c r="N948" s="27"/>
      <c r="O948" s="19"/>
      <c r="P948" s="19"/>
      <c r="Q948" s="47"/>
      <c r="R948" s="19"/>
      <c r="S948" s="19"/>
    </row>
    <row r="949" spans="1:19" x14ac:dyDescent="0.35">
      <c r="A949" s="26" t="s">
        <v>543</v>
      </c>
      <c r="B949" s="26" t="s">
        <v>543</v>
      </c>
      <c r="C949" s="26"/>
      <c r="D949" s="26" t="s">
        <v>543</v>
      </c>
      <c r="E949" s="26" t="str">
        <f>IFERROR(VLOOKUP(G949,WholesaleExtract!B:J,9,FALSE),"")</f>
        <v/>
      </c>
      <c r="F949" s="26" t="str">
        <f>IFERROR(VLOOKUP(G949,WholesaleExtract!B:J,6,FALSE),"")</f>
        <v/>
      </c>
      <c r="G949" s="46"/>
      <c r="H949" s="47" t="str">
        <f>IFERROR(VLOOKUP(G949,WholesaleExtract!B:L,11,FALSE),"")</f>
        <v/>
      </c>
      <c r="I949" s="26" t="str">
        <f>IFERROR(VLOOKUP(G949,WholesaleExtract!B:O,8,FALSE),"")</f>
        <v/>
      </c>
      <c r="J949" s="26" t="str">
        <f>IFERROR(VLOOKUP(G949,WholesaleExtract!B:O,14,FALSE),"")</f>
        <v/>
      </c>
      <c r="K949" s="26" t="str">
        <f>IFERROR(VLOOKUP(G949,WholesaleExtract!B:K,10,FALSE),"")</f>
        <v/>
      </c>
      <c r="L949" s="47" t="str">
        <f>IFERROR(VLOOKUP(G949,WholesaleExtract!B:L,11,FALSE),"")</f>
        <v/>
      </c>
      <c r="M949" s="47" t="str">
        <f>IFERROR(VLOOKUP(G949,WholesaleExtract!B:M,12,FALSE),"")</f>
        <v/>
      </c>
      <c r="N949" s="27"/>
      <c r="O949" s="19"/>
      <c r="P949" s="19"/>
      <c r="Q949" s="47"/>
      <c r="R949" s="19"/>
      <c r="S949" s="19"/>
    </row>
    <row r="950" spans="1:19" x14ac:dyDescent="0.35">
      <c r="A950" s="26" t="s">
        <v>543</v>
      </c>
      <c r="B950" s="26" t="s">
        <v>543</v>
      </c>
      <c r="C950" s="26"/>
      <c r="D950" s="26" t="s">
        <v>543</v>
      </c>
      <c r="E950" s="26" t="str">
        <f>IFERROR(VLOOKUP(G950,WholesaleExtract!B:J,9,FALSE),"")</f>
        <v/>
      </c>
      <c r="F950" s="26" t="str">
        <f>IFERROR(VLOOKUP(G950,WholesaleExtract!B:J,6,FALSE),"")</f>
        <v/>
      </c>
      <c r="G950" s="46"/>
      <c r="H950" s="47" t="str">
        <f>IFERROR(VLOOKUP(G950,WholesaleExtract!B:L,11,FALSE),"")</f>
        <v/>
      </c>
      <c r="I950" s="26" t="str">
        <f>IFERROR(VLOOKUP(G950,WholesaleExtract!B:O,8,FALSE),"")</f>
        <v/>
      </c>
      <c r="J950" s="26" t="str">
        <f>IFERROR(VLOOKUP(G950,WholesaleExtract!B:O,14,FALSE),"")</f>
        <v/>
      </c>
      <c r="K950" s="26" t="str">
        <f>IFERROR(VLOOKUP(G950,WholesaleExtract!B:K,10,FALSE),"")</f>
        <v/>
      </c>
      <c r="L950" s="47" t="str">
        <f>IFERROR(VLOOKUP(G950,WholesaleExtract!B:L,11,FALSE),"")</f>
        <v/>
      </c>
      <c r="M950" s="47" t="str">
        <f>IFERROR(VLOOKUP(G950,WholesaleExtract!B:M,12,FALSE),"")</f>
        <v/>
      </c>
      <c r="N950" s="27"/>
      <c r="O950" s="19"/>
      <c r="P950" s="19"/>
      <c r="Q950" s="47"/>
      <c r="R950" s="19"/>
      <c r="S950" s="19"/>
    </row>
    <row r="951" spans="1:19" x14ac:dyDescent="0.35">
      <c r="A951" s="26" t="s">
        <v>543</v>
      </c>
      <c r="B951" s="26" t="s">
        <v>543</v>
      </c>
      <c r="C951" s="26"/>
      <c r="D951" s="26" t="s">
        <v>543</v>
      </c>
      <c r="E951" s="26" t="str">
        <f>IFERROR(VLOOKUP(G951,WholesaleExtract!B:J,9,FALSE),"")</f>
        <v/>
      </c>
      <c r="F951" s="26" t="str">
        <f>IFERROR(VLOOKUP(G951,WholesaleExtract!B:J,6,FALSE),"")</f>
        <v/>
      </c>
      <c r="G951" s="46"/>
      <c r="H951" s="47" t="str">
        <f>IFERROR(VLOOKUP(G951,WholesaleExtract!B:L,11,FALSE),"")</f>
        <v/>
      </c>
      <c r="I951" s="26" t="str">
        <f>IFERROR(VLOOKUP(G951,WholesaleExtract!B:O,8,FALSE),"")</f>
        <v/>
      </c>
      <c r="J951" s="26" t="str">
        <f>IFERROR(VLOOKUP(G951,WholesaleExtract!B:O,14,FALSE),"")</f>
        <v/>
      </c>
      <c r="K951" s="26" t="str">
        <f>IFERROR(VLOOKUP(G951,WholesaleExtract!B:K,10,FALSE),"")</f>
        <v/>
      </c>
      <c r="L951" s="47" t="str">
        <f>IFERROR(VLOOKUP(G951,WholesaleExtract!B:L,11,FALSE),"")</f>
        <v/>
      </c>
      <c r="M951" s="47" t="str">
        <f>IFERROR(VLOOKUP(G951,WholesaleExtract!B:M,12,FALSE),"")</f>
        <v/>
      </c>
      <c r="N951" s="27"/>
      <c r="O951" s="19"/>
      <c r="P951" s="19"/>
      <c r="Q951" s="47"/>
      <c r="R951" s="19"/>
      <c r="S951" s="19"/>
    </row>
    <row r="952" spans="1:19" x14ac:dyDescent="0.35">
      <c r="A952" s="26" t="s">
        <v>543</v>
      </c>
      <c r="B952" s="26" t="s">
        <v>543</v>
      </c>
      <c r="C952" s="26"/>
      <c r="D952" s="26" t="s">
        <v>543</v>
      </c>
      <c r="E952" s="26" t="str">
        <f>IFERROR(VLOOKUP(G952,WholesaleExtract!B:J,9,FALSE),"")</f>
        <v/>
      </c>
      <c r="F952" s="26" t="str">
        <f>IFERROR(VLOOKUP(G952,WholesaleExtract!B:J,6,FALSE),"")</f>
        <v/>
      </c>
      <c r="G952" s="46"/>
      <c r="H952" s="47" t="str">
        <f>IFERROR(VLOOKUP(G952,WholesaleExtract!B:L,11,FALSE),"")</f>
        <v/>
      </c>
      <c r="I952" s="26" t="str">
        <f>IFERROR(VLOOKUP(G952,WholesaleExtract!B:O,8,FALSE),"")</f>
        <v/>
      </c>
      <c r="J952" s="26" t="str">
        <f>IFERROR(VLOOKUP(G952,WholesaleExtract!B:O,14,FALSE),"")</f>
        <v/>
      </c>
      <c r="K952" s="26" t="str">
        <f>IFERROR(VLOOKUP(G952,WholesaleExtract!B:K,10,FALSE),"")</f>
        <v/>
      </c>
      <c r="L952" s="47" t="str">
        <f>IFERROR(VLOOKUP(G952,WholesaleExtract!B:L,11,FALSE),"")</f>
        <v/>
      </c>
      <c r="M952" s="47" t="str">
        <f>IFERROR(VLOOKUP(G952,WholesaleExtract!B:M,12,FALSE),"")</f>
        <v/>
      </c>
      <c r="N952" s="27"/>
      <c r="O952" s="19"/>
      <c r="P952" s="19"/>
      <c r="Q952" s="47"/>
      <c r="R952" s="19"/>
      <c r="S952" s="19"/>
    </row>
    <row r="953" spans="1:19" x14ac:dyDescent="0.35">
      <c r="A953" s="26" t="s">
        <v>543</v>
      </c>
      <c r="B953" s="26" t="s">
        <v>543</v>
      </c>
      <c r="C953" s="26"/>
      <c r="D953" s="26" t="s">
        <v>543</v>
      </c>
      <c r="E953" s="26" t="str">
        <f>IFERROR(VLOOKUP(G953,WholesaleExtract!B:J,9,FALSE),"")</f>
        <v/>
      </c>
      <c r="F953" s="26" t="str">
        <f>IFERROR(VLOOKUP(G953,WholesaleExtract!B:J,6,FALSE),"")</f>
        <v/>
      </c>
      <c r="G953" s="46"/>
      <c r="H953" s="47" t="str">
        <f>IFERROR(VLOOKUP(G953,WholesaleExtract!B:L,11,FALSE),"")</f>
        <v/>
      </c>
      <c r="I953" s="26" t="str">
        <f>IFERROR(VLOOKUP(G953,WholesaleExtract!B:O,8,FALSE),"")</f>
        <v/>
      </c>
      <c r="J953" s="26" t="str">
        <f>IFERROR(VLOOKUP(G953,WholesaleExtract!B:O,14,FALSE),"")</f>
        <v/>
      </c>
      <c r="K953" s="26" t="str">
        <f>IFERROR(VLOOKUP(G953,WholesaleExtract!B:K,10,FALSE),"")</f>
        <v/>
      </c>
      <c r="L953" s="47" t="str">
        <f>IFERROR(VLOOKUP(G953,WholesaleExtract!B:L,11,FALSE),"")</f>
        <v/>
      </c>
      <c r="M953" s="47" t="str">
        <f>IFERROR(VLOOKUP(G953,WholesaleExtract!B:M,12,FALSE),"")</f>
        <v/>
      </c>
      <c r="N953" s="27"/>
      <c r="O953" s="19"/>
      <c r="P953" s="19"/>
      <c r="Q953" s="47"/>
      <c r="R953" s="19"/>
      <c r="S953" s="19"/>
    </row>
    <row r="954" spans="1:19" x14ac:dyDescent="0.35">
      <c r="A954" s="26" t="s">
        <v>543</v>
      </c>
      <c r="B954" s="26" t="s">
        <v>543</v>
      </c>
      <c r="C954" s="26"/>
      <c r="D954" s="26" t="s">
        <v>543</v>
      </c>
      <c r="E954" s="26" t="str">
        <f>IFERROR(VLOOKUP(G954,WholesaleExtract!B:J,9,FALSE),"")</f>
        <v/>
      </c>
      <c r="F954" s="26" t="str">
        <f>IFERROR(VLOOKUP(G954,WholesaleExtract!B:J,6,FALSE),"")</f>
        <v/>
      </c>
      <c r="G954" s="46"/>
      <c r="H954" s="47" t="str">
        <f>IFERROR(VLOOKUP(G954,WholesaleExtract!B:L,11,FALSE),"")</f>
        <v/>
      </c>
      <c r="I954" s="26" t="str">
        <f>IFERROR(VLOOKUP(G954,WholesaleExtract!B:O,8,FALSE),"")</f>
        <v/>
      </c>
      <c r="J954" s="26" t="str">
        <f>IFERROR(VLOOKUP(G954,WholesaleExtract!B:O,14,FALSE),"")</f>
        <v/>
      </c>
      <c r="K954" s="26" t="str">
        <f>IFERROR(VLOOKUP(G954,WholesaleExtract!B:K,10,FALSE),"")</f>
        <v/>
      </c>
      <c r="L954" s="47" t="str">
        <f>IFERROR(VLOOKUP(G954,WholesaleExtract!B:L,11,FALSE),"")</f>
        <v/>
      </c>
      <c r="M954" s="47" t="str">
        <f>IFERROR(VLOOKUP(G954,WholesaleExtract!B:M,12,FALSE),"")</f>
        <v/>
      </c>
      <c r="N954" s="27"/>
      <c r="O954" s="19"/>
      <c r="P954" s="19"/>
      <c r="Q954" s="47"/>
      <c r="R954" s="19"/>
      <c r="S954" s="19"/>
    </row>
    <row r="955" spans="1:19" x14ac:dyDescent="0.35">
      <c r="A955" s="26" t="s">
        <v>543</v>
      </c>
      <c r="B955" s="26" t="s">
        <v>543</v>
      </c>
      <c r="C955" s="26"/>
      <c r="D955" s="26" t="s">
        <v>543</v>
      </c>
      <c r="E955" s="26" t="str">
        <f>IFERROR(VLOOKUP(G955,WholesaleExtract!B:J,9,FALSE),"")</f>
        <v/>
      </c>
      <c r="F955" s="26" t="str">
        <f>IFERROR(VLOOKUP(G955,WholesaleExtract!B:J,6,FALSE),"")</f>
        <v/>
      </c>
      <c r="G955" s="46"/>
      <c r="H955" s="47" t="str">
        <f>IFERROR(VLOOKUP(G955,WholesaleExtract!B:L,11,FALSE),"")</f>
        <v/>
      </c>
      <c r="I955" s="26" t="str">
        <f>IFERROR(VLOOKUP(G955,WholesaleExtract!B:O,8,FALSE),"")</f>
        <v/>
      </c>
      <c r="J955" s="26" t="str">
        <f>IFERROR(VLOOKUP(G955,WholesaleExtract!B:O,14,FALSE),"")</f>
        <v/>
      </c>
      <c r="K955" s="26" t="str">
        <f>IFERROR(VLOOKUP(G955,WholesaleExtract!B:K,10,FALSE),"")</f>
        <v/>
      </c>
      <c r="L955" s="47" t="str">
        <f>IFERROR(VLOOKUP(G955,WholesaleExtract!B:L,11,FALSE),"")</f>
        <v/>
      </c>
      <c r="M955" s="47" t="str">
        <f>IFERROR(VLOOKUP(G955,WholesaleExtract!B:M,12,FALSE),"")</f>
        <v/>
      </c>
      <c r="N955" s="27"/>
      <c r="O955" s="19"/>
      <c r="P955" s="19"/>
      <c r="Q955" s="47"/>
      <c r="R955" s="19"/>
      <c r="S955" s="19"/>
    </row>
    <row r="956" spans="1:19" x14ac:dyDescent="0.35">
      <c r="A956" s="26" t="s">
        <v>543</v>
      </c>
      <c r="B956" s="26" t="s">
        <v>543</v>
      </c>
      <c r="C956" s="26"/>
      <c r="D956" s="26" t="s">
        <v>543</v>
      </c>
      <c r="E956" s="26" t="str">
        <f>IFERROR(VLOOKUP(G956,WholesaleExtract!B:J,9,FALSE),"")</f>
        <v/>
      </c>
      <c r="F956" s="26" t="str">
        <f>IFERROR(VLOOKUP(G956,WholesaleExtract!B:J,6,FALSE),"")</f>
        <v/>
      </c>
      <c r="G956" s="46"/>
      <c r="H956" s="47" t="str">
        <f>IFERROR(VLOOKUP(G956,WholesaleExtract!B:L,11,FALSE),"")</f>
        <v/>
      </c>
      <c r="I956" s="26" t="str">
        <f>IFERROR(VLOOKUP(G956,WholesaleExtract!B:O,8,FALSE),"")</f>
        <v/>
      </c>
      <c r="J956" s="26" t="str">
        <f>IFERROR(VLOOKUP(G956,WholesaleExtract!B:O,14,FALSE),"")</f>
        <v/>
      </c>
      <c r="K956" s="26" t="str">
        <f>IFERROR(VLOOKUP(G956,WholesaleExtract!B:K,10,FALSE),"")</f>
        <v/>
      </c>
      <c r="L956" s="47" t="str">
        <f>IFERROR(VLOOKUP(G956,WholesaleExtract!B:L,11,FALSE),"")</f>
        <v/>
      </c>
      <c r="M956" s="47" t="str">
        <f>IFERROR(VLOOKUP(G956,WholesaleExtract!B:M,12,FALSE),"")</f>
        <v/>
      </c>
      <c r="N956" s="27"/>
      <c r="O956" s="19"/>
      <c r="P956" s="19"/>
      <c r="Q956" s="47"/>
      <c r="R956" s="19"/>
      <c r="S956" s="19"/>
    </row>
    <row r="957" spans="1:19" x14ac:dyDescent="0.35">
      <c r="A957" s="26" t="s">
        <v>543</v>
      </c>
      <c r="B957" s="26" t="s">
        <v>543</v>
      </c>
      <c r="C957" s="26"/>
      <c r="D957" s="26" t="s">
        <v>543</v>
      </c>
      <c r="E957" s="26" t="str">
        <f>IFERROR(VLOOKUP(G957,WholesaleExtract!B:J,9,FALSE),"")</f>
        <v/>
      </c>
      <c r="F957" s="26" t="str">
        <f>IFERROR(VLOOKUP(G957,WholesaleExtract!B:J,6,FALSE),"")</f>
        <v/>
      </c>
      <c r="G957" s="46"/>
      <c r="H957" s="47" t="str">
        <f>IFERROR(VLOOKUP(G957,WholesaleExtract!B:L,11,FALSE),"")</f>
        <v/>
      </c>
      <c r="I957" s="26" t="str">
        <f>IFERROR(VLOOKUP(G957,WholesaleExtract!B:O,8,FALSE),"")</f>
        <v/>
      </c>
      <c r="J957" s="26" t="str">
        <f>IFERROR(VLOOKUP(G957,WholesaleExtract!B:O,14,FALSE),"")</f>
        <v/>
      </c>
      <c r="K957" s="26" t="str">
        <f>IFERROR(VLOOKUP(G957,WholesaleExtract!B:K,10,FALSE),"")</f>
        <v/>
      </c>
      <c r="L957" s="47" t="str">
        <f>IFERROR(VLOOKUP(G957,WholesaleExtract!B:L,11,FALSE),"")</f>
        <v/>
      </c>
      <c r="M957" s="47" t="str">
        <f>IFERROR(VLOOKUP(G957,WholesaleExtract!B:M,12,FALSE),"")</f>
        <v/>
      </c>
      <c r="N957" s="27"/>
      <c r="O957" s="19"/>
      <c r="P957" s="19"/>
      <c r="Q957" s="47"/>
      <c r="R957" s="19"/>
      <c r="S957" s="19"/>
    </row>
    <row r="958" spans="1:19" x14ac:dyDescent="0.35">
      <c r="A958" s="26" t="s">
        <v>543</v>
      </c>
      <c r="B958" s="26" t="s">
        <v>543</v>
      </c>
      <c r="C958" s="26"/>
      <c r="D958" s="26" t="s">
        <v>543</v>
      </c>
      <c r="E958" s="26" t="str">
        <f>IFERROR(VLOOKUP(G958,WholesaleExtract!B:J,9,FALSE),"")</f>
        <v/>
      </c>
      <c r="F958" s="26" t="str">
        <f>IFERROR(VLOOKUP(G958,WholesaleExtract!B:J,6,FALSE),"")</f>
        <v/>
      </c>
      <c r="G958" s="46"/>
      <c r="H958" s="47" t="str">
        <f>IFERROR(VLOOKUP(G958,WholesaleExtract!B:L,11,FALSE),"")</f>
        <v/>
      </c>
      <c r="I958" s="26" t="str">
        <f>IFERROR(VLOOKUP(G958,WholesaleExtract!B:O,8,FALSE),"")</f>
        <v/>
      </c>
      <c r="J958" s="26" t="str">
        <f>IFERROR(VLOOKUP(G958,WholesaleExtract!B:O,14,FALSE),"")</f>
        <v/>
      </c>
      <c r="K958" s="26" t="str">
        <f>IFERROR(VLOOKUP(G958,WholesaleExtract!B:K,10,FALSE),"")</f>
        <v/>
      </c>
      <c r="L958" s="47" t="str">
        <f>IFERROR(VLOOKUP(G958,WholesaleExtract!B:L,11,FALSE),"")</f>
        <v/>
      </c>
      <c r="M958" s="47" t="str">
        <f>IFERROR(VLOOKUP(G958,WholesaleExtract!B:M,12,FALSE),"")</f>
        <v/>
      </c>
      <c r="N958" s="27"/>
      <c r="O958" s="19"/>
      <c r="P958" s="19"/>
      <c r="Q958" s="47"/>
      <c r="R958" s="19"/>
      <c r="S958" s="19"/>
    </row>
    <row r="959" spans="1:19" x14ac:dyDescent="0.35">
      <c r="A959" s="26" t="s">
        <v>543</v>
      </c>
      <c r="B959" s="26" t="s">
        <v>543</v>
      </c>
      <c r="C959" s="26"/>
      <c r="D959" s="26" t="s">
        <v>543</v>
      </c>
      <c r="E959" s="26" t="str">
        <f>IFERROR(VLOOKUP(G959,WholesaleExtract!B:J,9,FALSE),"")</f>
        <v/>
      </c>
      <c r="F959" s="26" t="str">
        <f>IFERROR(VLOOKUP(G959,WholesaleExtract!B:J,6,FALSE),"")</f>
        <v/>
      </c>
      <c r="G959" s="46"/>
      <c r="H959" s="47" t="str">
        <f>IFERROR(VLOOKUP(G959,WholesaleExtract!B:L,11,FALSE),"")</f>
        <v/>
      </c>
      <c r="I959" s="26" t="str">
        <f>IFERROR(VLOOKUP(G959,WholesaleExtract!B:O,8,FALSE),"")</f>
        <v/>
      </c>
      <c r="J959" s="26" t="str">
        <f>IFERROR(VLOOKUP(G959,WholesaleExtract!B:O,14,FALSE),"")</f>
        <v/>
      </c>
      <c r="K959" s="26" t="str">
        <f>IFERROR(VLOOKUP(G959,WholesaleExtract!B:K,10,FALSE),"")</f>
        <v/>
      </c>
      <c r="L959" s="47" t="str">
        <f>IFERROR(VLOOKUP(G959,WholesaleExtract!B:L,11,FALSE),"")</f>
        <v/>
      </c>
      <c r="M959" s="47" t="str">
        <f>IFERROR(VLOOKUP(G959,WholesaleExtract!B:M,12,FALSE),"")</f>
        <v/>
      </c>
      <c r="N959" s="27"/>
      <c r="O959" s="19"/>
      <c r="P959" s="19"/>
      <c r="Q959" s="47"/>
      <c r="R959" s="19"/>
      <c r="S959" s="19"/>
    </row>
    <row r="960" spans="1:19" x14ac:dyDescent="0.35">
      <c r="A960" s="26" t="s">
        <v>543</v>
      </c>
      <c r="B960" s="26" t="s">
        <v>543</v>
      </c>
      <c r="C960" s="26"/>
      <c r="D960" s="26" t="s">
        <v>543</v>
      </c>
      <c r="E960" s="26" t="str">
        <f>IFERROR(VLOOKUP(G960,WholesaleExtract!B:J,9,FALSE),"")</f>
        <v/>
      </c>
      <c r="F960" s="26" t="str">
        <f>IFERROR(VLOOKUP(G960,WholesaleExtract!B:J,6,FALSE),"")</f>
        <v/>
      </c>
      <c r="G960" s="46"/>
      <c r="H960" s="47" t="str">
        <f>IFERROR(VLOOKUP(G960,WholesaleExtract!B:L,11,FALSE),"")</f>
        <v/>
      </c>
      <c r="I960" s="26" t="str">
        <f>IFERROR(VLOOKUP(G960,WholesaleExtract!B:O,8,FALSE),"")</f>
        <v/>
      </c>
      <c r="J960" s="26" t="str">
        <f>IFERROR(VLOOKUP(G960,WholesaleExtract!B:O,14,FALSE),"")</f>
        <v/>
      </c>
      <c r="K960" s="26" t="str">
        <f>IFERROR(VLOOKUP(G960,WholesaleExtract!B:K,10,FALSE),"")</f>
        <v/>
      </c>
      <c r="L960" s="47" t="str">
        <f>IFERROR(VLOOKUP(G960,WholesaleExtract!B:L,11,FALSE),"")</f>
        <v/>
      </c>
      <c r="M960" s="47" t="str">
        <f>IFERROR(VLOOKUP(G960,WholesaleExtract!B:M,12,FALSE),"")</f>
        <v/>
      </c>
      <c r="N960" s="27"/>
      <c r="O960" s="19"/>
      <c r="P960" s="19"/>
      <c r="Q960" s="47"/>
      <c r="R960" s="19"/>
      <c r="S960" s="19"/>
    </row>
    <row r="961" spans="1:19" x14ac:dyDescent="0.35">
      <c r="A961" s="26" t="s">
        <v>543</v>
      </c>
      <c r="B961" s="26" t="s">
        <v>543</v>
      </c>
      <c r="C961" s="26"/>
      <c r="D961" s="26" t="s">
        <v>543</v>
      </c>
      <c r="E961" s="26" t="str">
        <f>IFERROR(VLOOKUP(G961,WholesaleExtract!B:J,9,FALSE),"")</f>
        <v/>
      </c>
      <c r="F961" s="26" t="str">
        <f>IFERROR(VLOOKUP(G961,WholesaleExtract!B:J,6,FALSE),"")</f>
        <v/>
      </c>
      <c r="G961" s="46"/>
      <c r="H961" s="47" t="str">
        <f>IFERROR(VLOOKUP(G961,WholesaleExtract!B:L,11,FALSE),"")</f>
        <v/>
      </c>
      <c r="I961" s="26" t="str">
        <f>IFERROR(VLOOKUP(G961,WholesaleExtract!B:O,8,FALSE),"")</f>
        <v/>
      </c>
      <c r="J961" s="26" t="str">
        <f>IFERROR(VLOOKUP(G961,WholesaleExtract!B:O,14,FALSE),"")</f>
        <v/>
      </c>
      <c r="K961" s="26" t="str">
        <f>IFERROR(VLOOKUP(G961,WholesaleExtract!B:K,10,FALSE),"")</f>
        <v/>
      </c>
      <c r="L961" s="47" t="str">
        <f>IFERROR(VLOOKUP(G961,WholesaleExtract!B:L,11,FALSE),"")</f>
        <v/>
      </c>
      <c r="M961" s="47" t="str">
        <f>IFERROR(VLOOKUP(G961,WholesaleExtract!B:M,12,FALSE),"")</f>
        <v/>
      </c>
      <c r="N961" s="27"/>
      <c r="O961" s="19"/>
      <c r="P961" s="19"/>
      <c r="Q961" s="47"/>
      <c r="R961" s="19"/>
      <c r="S961" s="19"/>
    </row>
    <row r="962" spans="1:19" x14ac:dyDescent="0.35">
      <c r="A962" s="26" t="s">
        <v>543</v>
      </c>
      <c r="B962" s="26" t="s">
        <v>543</v>
      </c>
      <c r="C962" s="26"/>
      <c r="D962" s="26" t="s">
        <v>543</v>
      </c>
      <c r="E962" s="26" t="str">
        <f>IFERROR(VLOOKUP(G962,WholesaleExtract!B:J,9,FALSE),"")</f>
        <v/>
      </c>
      <c r="F962" s="26" t="str">
        <f>IFERROR(VLOOKUP(G962,WholesaleExtract!B:J,6,FALSE),"")</f>
        <v/>
      </c>
      <c r="G962" s="46"/>
      <c r="H962" s="47" t="str">
        <f>IFERROR(VLOOKUP(G962,WholesaleExtract!B:L,11,FALSE),"")</f>
        <v/>
      </c>
      <c r="I962" s="26" t="str">
        <f>IFERROR(VLOOKUP(G962,WholesaleExtract!B:O,8,FALSE),"")</f>
        <v/>
      </c>
      <c r="J962" s="26" t="str">
        <f>IFERROR(VLOOKUP(G962,WholesaleExtract!B:O,14,FALSE),"")</f>
        <v/>
      </c>
      <c r="K962" s="26" t="str">
        <f>IFERROR(VLOOKUP(G962,WholesaleExtract!B:K,10,FALSE),"")</f>
        <v/>
      </c>
      <c r="L962" s="47" t="str">
        <f>IFERROR(VLOOKUP(G962,WholesaleExtract!B:L,11,FALSE),"")</f>
        <v/>
      </c>
      <c r="M962" s="47" t="str">
        <f>IFERROR(VLOOKUP(G962,WholesaleExtract!B:M,12,FALSE),"")</f>
        <v/>
      </c>
      <c r="N962" s="27"/>
      <c r="O962" s="19"/>
      <c r="P962" s="19"/>
      <c r="Q962" s="47"/>
      <c r="R962" s="19"/>
      <c r="S962" s="19"/>
    </row>
    <row r="963" spans="1:19" x14ac:dyDescent="0.35">
      <c r="A963" s="26" t="s">
        <v>543</v>
      </c>
      <c r="B963" s="26" t="s">
        <v>543</v>
      </c>
      <c r="C963" s="26"/>
      <c r="D963" s="26" t="s">
        <v>543</v>
      </c>
      <c r="E963" s="26" t="str">
        <f>IFERROR(VLOOKUP(G963,WholesaleExtract!B:J,9,FALSE),"")</f>
        <v/>
      </c>
      <c r="F963" s="26" t="str">
        <f>IFERROR(VLOOKUP(G963,WholesaleExtract!B:J,6,FALSE),"")</f>
        <v/>
      </c>
      <c r="G963" s="46"/>
      <c r="H963" s="47" t="str">
        <f>IFERROR(VLOOKUP(G963,WholesaleExtract!B:L,11,FALSE),"")</f>
        <v/>
      </c>
      <c r="I963" s="26" t="str">
        <f>IFERROR(VLOOKUP(G963,WholesaleExtract!B:O,8,FALSE),"")</f>
        <v/>
      </c>
      <c r="J963" s="26" t="str">
        <f>IFERROR(VLOOKUP(G963,WholesaleExtract!B:O,14,FALSE),"")</f>
        <v/>
      </c>
      <c r="K963" s="26" t="str">
        <f>IFERROR(VLOOKUP(G963,WholesaleExtract!B:K,10,FALSE),"")</f>
        <v/>
      </c>
      <c r="L963" s="47" t="str">
        <f>IFERROR(VLOOKUP(G963,WholesaleExtract!B:L,11,FALSE),"")</f>
        <v/>
      </c>
      <c r="M963" s="47" t="str">
        <f>IFERROR(VLOOKUP(G963,WholesaleExtract!B:M,12,FALSE),"")</f>
        <v/>
      </c>
      <c r="N963" s="27"/>
      <c r="O963" s="19"/>
      <c r="P963" s="19"/>
      <c r="Q963" s="47"/>
      <c r="R963" s="19"/>
      <c r="S963" s="19"/>
    </row>
    <row r="964" spans="1:19" x14ac:dyDescent="0.35">
      <c r="A964" s="26" t="s">
        <v>543</v>
      </c>
      <c r="B964" s="26" t="s">
        <v>543</v>
      </c>
      <c r="C964" s="26"/>
      <c r="D964" s="26" t="s">
        <v>543</v>
      </c>
      <c r="E964" s="26" t="str">
        <f>IFERROR(VLOOKUP(G964,WholesaleExtract!B:J,9,FALSE),"")</f>
        <v/>
      </c>
      <c r="F964" s="26" t="str">
        <f>IFERROR(VLOOKUP(G964,WholesaleExtract!B:J,6,FALSE),"")</f>
        <v/>
      </c>
      <c r="G964" s="46"/>
      <c r="H964" s="47" t="str">
        <f>IFERROR(VLOOKUP(G964,WholesaleExtract!B:L,11,FALSE),"")</f>
        <v/>
      </c>
      <c r="I964" s="26" t="str">
        <f>IFERROR(VLOOKUP(G964,WholesaleExtract!B:O,8,FALSE),"")</f>
        <v/>
      </c>
      <c r="J964" s="26" t="str">
        <f>IFERROR(VLOOKUP(G964,WholesaleExtract!B:O,14,FALSE),"")</f>
        <v/>
      </c>
      <c r="K964" s="26" t="str">
        <f>IFERROR(VLOOKUP(G964,WholesaleExtract!B:K,10,FALSE),"")</f>
        <v/>
      </c>
      <c r="L964" s="47" t="str">
        <f>IFERROR(VLOOKUP(G964,WholesaleExtract!B:L,11,FALSE),"")</f>
        <v/>
      </c>
      <c r="M964" s="47" t="str">
        <f>IFERROR(VLOOKUP(G964,WholesaleExtract!B:M,12,FALSE),"")</f>
        <v/>
      </c>
      <c r="N964" s="27"/>
      <c r="O964" s="19"/>
      <c r="P964" s="19"/>
      <c r="Q964" s="47"/>
      <c r="R964" s="19"/>
      <c r="S964" s="19"/>
    </row>
    <row r="965" spans="1:19" x14ac:dyDescent="0.35">
      <c r="A965" s="26" t="s">
        <v>543</v>
      </c>
      <c r="B965" s="26" t="s">
        <v>543</v>
      </c>
      <c r="C965" s="26"/>
      <c r="D965" s="26" t="s">
        <v>543</v>
      </c>
      <c r="E965" s="26" t="str">
        <f>IFERROR(VLOOKUP(G965,WholesaleExtract!B:J,9,FALSE),"")</f>
        <v/>
      </c>
      <c r="F965" s="26" t="str">
        <f>IFERROR(VLOOKUP(G965,WholesaleExtract!B:J,6,FALSE),"")</f>
        <v/>
      </c>
      <c r="G965" s="46"/>
      <c r="H965" s="47" t="str">
        <f>IFERROR(VLOOKUP(G965,WholesaleExtract!B:L,11,FALSE),"")</f>
        <v/>
      </c>
      <c r="I965" s="26" t="str">
        <f>IFERROR(VLOOKUP(G965,WholesaleExtract!B:O,8,FALSE),"")</f>
        <v/>
      </c>
      <c r="J965" s="26" t="str">
        <f>IFERROR(VLOOKUP(G965,WholesaleExtract!B:O,14,FALSE),"")</f>
        <v/>
      </c>
      <c r="K965" s="26" t="str">
        <f>IFERROR(VLOOKUP(G965,WholesaleExtract!B:K,10,FALSE),"")</f>
        <v/>
      </c>
      <c r="L965" s="47" t="str">
        <f>IFERROR(VLOOKUP(G965,WholesaleExtract!B:L,11,FALSE),"")</f>
        <v/>
      </c>
      <c r="M965" s="47" t="str">
        <f>IFERROR(VLOOKUP(G965,WholesaleExtract!B:M,12,FALSE),"")</f>
        <v/>
      </c>
      <c r="N965" s="27"/>
      <c r="O965" s="19"/>
      <c r="P965" s="19"/>
      <c r="Q965" s="47"/>
      <c r="R965" s="19"/>
      <c r="S965" s="19"/>
    </row>
    <row r="966" spans="1:19" x14ac:dyDescent="0.35">
      <c r="A966" s="26" t="s">
        <v>543</v>
      </c>
      <c r="B966" s="26" t="s">
        <v>543</v>
      </c>
      <c r="C966" s="26"/>
      <c r="D966" s="26" t="s">
        <v>543</v>
      </c>
      <c r="E966" s="26" t="str">
        <f>IFERROR(VLOOKUP(G966,WholesaleExtract!B:J,9,FALSE),"")</f>
        <v/>
      </c>
      <c r="F966" s="26" t="str">
        <f>IFERROR(VLOOKUP(G966,WholesaleExtract!B:J,6,FALSE),"")</f>
        <v/>
      </c>
      <c r="G966" s="46"/>
      <c r="H966" s="47" t="str">
        <f>IFERROR(VLOOKUP(G966,WholesaleExtract!B:L,11,FALSE),"")</f>
        <v/>
      </c>
      <c r="I966" s="26" t="str">
        <f>IFERROR(VLOOKUP(G966,WholesaleExtract!B:O,8,FALSE),"")</f>
        <v/>
      </c>
      <c r="J966" s="26" t="str">
        <f>IFERROR(VLOOKUP(G966,WholesaleExtract!B:O,14,FALSE),"")</f>
        <v/>
      </c>
      <c r="K966" s="26" t="str">
        <f>IFERROR(VLOOKUP(G966,WholesaleExtract!B:K,10,FALSE),"")</f>
        <v/>
      </c>
      <c r="L966" s="47" t="str">
        <f>IFERROR(VLOOKUP(G966,WholesaleExtract!B:L,11,FALSE),"")</f>
        <v/>
      </c>
      <c r="M966" s="47" t="str">
        <f>IFERROR(VLOOKUP(G966,WholesaleExtract!B:M,12,FALSE),"")</f>
        <v/>
      </c>
      <c r="N966" s="27"/>
      <c r="O966" s="19"/>
      <c r="P966" s="19"/>
      <c r="Q966" s="47"/>
      <c r="R966" s="19"/>
      <c r="S966" s="19"/>
    </row>
    <row r="967" spans="1:19" x14ac:dyDescent="0.35">
      <c r="A967" s="26" t="s">
        <v>543</v>
      </c>
      <c r="B967" s="26" t="s">
        <v>543</v>
      </c>
      <c r="C967" s="26"/>
      <c r="D967" s="26" t="s">
        <v>543</v>
      </c>
      <c r="E967" s="26" t="str">
        <f>IFERROR(VLOOKUP(G967,WholesaleExtract!B:J,9,FALSE),"")</f>
        <v/>
      </c>
      <c r="F967" s="26" t="str">
        <f>IFERROR(VLOOKUP(G967,WholesaleExtract!B:J,6,FALSE),"")</f>
        <v/>
      </c>
      <c r="G967" s="46"/>
      <c r="H967" s="47" t="str">
        <f>IFERROR(VLOOKUP(G967,WholesaleExtract!B:L,11,FALSE),"")</f>
        <v/>
      </c>
      <c r="I967" s="26" t="str">
        <f>IFERROR(VLOOKUP(G967,WholesaleExtract!B:O,8,FALSE),"")</f>
        <v/>
      </c>
      <c r="J967" s="26" t="str">
        <f>IFERROR(VLOOKUP(G967,WholesaleExtract!B:O,14,FALSE),"")</f>
        <v/>
      </c>
      <c r="K967" s="26" t="str">
        <f>IFERROR(VLOOKUP(G967,WholesaleExtract!B:K,10,FALSE),"")</f>
        <v/>
      </c>
      <c r="L967" s="47" t="str">
        <f>IFERROR(VLOOKUP(G967,WholesaleExtract!B:L,11,FALSE),"")</f>
        <v/>
      </c>
      <c r="M967" s="47" t="str">
        <f>IFERROR(VLOOKUP(G967,WholesaleExtract!B:M,12,FALSE),"")</f>
        <v/>
      </c>
      <c r="N967" s="27"/>
      <c r="O967" s="19"/>
      <c r="P967" s="19"/>
      <c r="Q967" s="47"/>
      <c r="R967" s="19"/>
      <c r="S967" s="19"/>
    </row>
    <row r="968" spans="1:19" x14ac:dyDescent="0.35">
      <c r="A968" s="26" t="s">
        <v>543</v>
      </c>
      <c r="B968" s="26" t="s">
        <v>543</v>
      </c>
      <c r="C968" s="26"/>
      <c r="D968" s="26" t="s">
        <v>543</v>
      </c>
      <c r="E968" s="26" t="str">
        <f>IFERROR(VLOOKUP(G968,WholesaleExtract!B:J,9,FALSE),"")</f>
        <v/>
      </c>
      <c r="F968" s="26" t="str">
        <f>IFERROR(VLOOKUP(G968,WholesaleExtract!B:J,6,FALSE),"")</f>
        <v/>
      </c>
      <c r="G968" s="46"/>
      <c r="H968" s="47" t="str">
        <f>IFERROR(VLOOKUP(G968,WholesaleExtract!B:L,11,FALSE),"")</f>
        <v/>
      </c>
      <c r="I968" s="26" t="str">
        <f>IFERROR(VLOOKUP(G968,WholesaleExtract!B:O,8,FALSE),"")</f>
        <v/>
      </c>
      <c r="J968" s="26" t="str">
        <f>IFERROR(VLOOKUP(G968,WholesaleExtract!B:O,14,FALSE),"")</f>
        <v/>
      </c>
      <c r="K968" s="26" t="str">
        <f>IFERROR(VLOOKUP(G968,WholesaleExtract!B:K,10,FALSE),"")</f>
        <v/>
      </c>
      <c r="L968" s="47" t="str">
        <f>IFERROR(VLOOKUP(G968,WholesaleExtract!B:L,11,FALSE),"")</f>
        <v/>
      </c>
      <c r="M968" s="47" t="str">
        <f>IFERROR(VLOOKUP(G968,WholesaleExtract!B:M,12,FALSE),"")</f>
        <v/>
      </c>
      <c r="N968" s="27"/>
      <c r="O968" s="19"/>
      <c r="P968" s="19"/>
      <c r="Q968" s="47"/>
      <c r="R968" s="19"/>
      <c r="S968" s="19"/>
    </row>
    <row r="969" spans="1:19" x14ac:dyDescent="0.35">
      <c r="A969" s="26" t="s">
        <v>543</v>
      </c>
      <c r="B969" s="26" t="s">
        <v>543</v>
      </c>
      <c r="C969" s="26"/>
      <c r="D969" s="26" t="s">
        <v>543</v>
      </c>
      <c r="E969" s="26" t="str">
        <f>IFERROR(VLOOKUP(G969,WholesaleExtract!B:J,9,FALSE),"")</f>
        <v/>
      </c>
      <c r="F969" s="26" t="str">
        <f>IFERROR(VLOOKUP(G969,WholesaleExtract!B:J,6,FALSE),"")</f>
        <v/>
      </c>
      <c r="G969" s="46"/>
      <c r="H969" s="47" t="str">
        <f>IFERROR(VLOOKUP(G969,WholesaleExtract!B:L,11,FALSE),"")</f>
        <v/>
      </c>
      <c r="I969" s="26" t="str">
        <f>IFERROR(VLOOKUP(G969,WholesaleExtract!B:O,8,FALSE),"")</f>
        <v/>
      </c>
      <c r="J969" s="26" t="str">
        <f>IFERROR(VLOOKUP(G969,WholesaleExtract!B:O,14,FALSE),"")</f>
        <v/>
      </c>
      <c r="K969" s="26" t="str">
        <f>IFERROR(VLOOKUP(G969,WholesaleExtract!B:K,10,FALSE),"")</f>
        <v/>
      </c>
      <c r="L969" s="47" t="str">
        <f>IFERROR(VLOOKUP(G969,WholesaleExtract!B:L,11,FALSE),"")</f>
        <v/>
      </c>
      <c r="M969" s="47" t="str">
        <f>IFERROR(VLOOKUP(G969,WholesaleExtract!B:M,12,FALSE),"")</f>
        <v/>
      </c>
      <c r="N969" s="27"/>
      <c r="O969" s="19"/>
      <c r="P969" s="19"/>
      <c r="Q969" s="47"/>
      <c r="R969" s="19"/>
      <c r="S969" s="19"/>
    </row>
    <row r="970" spans="1:19" x14ac:dyDescent="0.35">
      <c r="A970" s="26" t="s">
        <v>543</v>
      </c>
      <c r="B970" s="26" t="s">
        <v>543</v>
      </c>
      <c r="C970" s="26"/>
      <c r="D970" s="26" t="s">
        <v>543</v>
      </c>
      <c r="E970" s="26" t="str">
        <f>IFERROR(VLOOKUP(G970,WholesaleExtract!B:J,9,FALSE),"")</f>
        <v/>
      </c>
      <c r="F970" s="26" t="str">
        <f>IFERROR(VLOOKUP(G970,WholesaleExtract!B:J,6,FALSE),"")</f>
        <v/>
      </c>
      <c r="G970" s="46"/>
      <c r="H970" s="47" t="str">
        <f>IFERROR(VLOOKUP(G970,WholesaleExtract!B:L,11,FALSE),"")</f>
        <v/>
      </c>
      <c r="I970" s="26" t="str">
        <f>IFERROR(VLOOKUP(G970,WholesaleExtract!B:O,8,FALSE),"")</f>
        <v/>
      </c>
      <c r="J970" s="26" t="str">
        <f>IFERROR(VLOOKUP(G970,WholesaleExtract!B:O,14,FALSE),"")</f>
        <v/>
      </c>
      <c r="K970" s="26" t="str">
        <f>IFERROR(VLOOKUP(G970,WholesaleExtract!B:K,10,FALSE),"")</f>
        <v/>
      </c>
      <c r="L970" s="47" t="str">
        <f>IFERROR(VLOOKUP(G970,WholesaleExtract!B:L,11,FALSE),"")</f>
        <v/>
      </c>
      <c r="M970" s="47" t="str">
        <f>IFERROR(VLOOKUP(G970,WholesaleExtract!B:M,12,FALSE),"")</f>
        <v/>
      </c>
      <c r="N970" s="27"/>
      <c r="O970" s="19"/>
      <c r="P970" s="19"/>
      <c r="Q970" s="47"/>
      <c r="R970" s="19"/>
      <c r="S970" s="19"/>
    </row>
    <row r="971" spans="1:19" x14ac:dyDescent="0.35">
      <c r="A971" s="26" t="s">
        <v>543</v>
      </c>
      <c r="B971" s="26" t="s">
        <v>543</v>
      </c>
      <c r="C971" s="26"/>
      <c r="D971" s="26" t="s">
        <v>543</v>
      </c>
      <c r="E971" s="26" t="str">
        <f>IFERROR(VLOOKUP(G971,WholesaleExtract!B:J,9,FALSE),"")</f>
        <v/>
      </c>
      <c r="F971" s="26" t="str">
        <f>IFERROR(VLOOKUP(G971,WholesaleExtract!B:J,6,FALSE),"")</f>
        <v/>
      </c>
      <c r="G971" s="46"/>
      <c r="H971" s="47" t="str">
        <f>IFERROR(VLOOKUP(G971,WholesaleExtract!B:L,11,FALSE),"")</f>
        <v/>
      </c>
      <c r="I971" s="26" t="str">
        <f>IFERROR(VLOOKUP(G971,WholesaleExtract!B:O,8,FALSE),"")</f>
        <v/>
      </c>
      <c r="J971" s="26" t="str">
        <f>IFERROR(VLOOKUP(G971,WholesaleExtract!B:O,14,FALSE),"")</f>
        <v/>
      </c>
      <c r="K971" s="26" t="str">
        <f>IFERROR(VLOOKUP(G971,WholesaleExtract!B:K,10,FALSE),"")</f>
        <v/>
      </c>
      <c r="L971" s="47" t="str">
        <f>IFERROR(VLOOKUP(G971,WholesaleExtract!B:L,11,FALSE),"")</f>
        <v/>
      </c>
      <c r="M971" s="47" t="str">
        <f>IFERROR(VLOOKUP(G971,WholesaleExtract!B:M,12,FALSE),"")</f>
        <v/>
      </c>
      <c r="N971" s="27"/>
      <c r="O971" s="19"/>
      <c r="P971" s="19"/>
      <c r="Q971" s="47"/>
      <c r="R971" s="19"/>
      <c r="S971" s="19"/>
    </row>
    <row r="972" spans="1:19" x14ac:dyDescent="0.35">
      <c r="A972" s="26" t="s">
        <v>543</v>
      </c>
      <c r="B972" s="26" t="s">
        <v>543</v>
      </c>
      <c r="C972" s="26"/>
      <c r="D972" s="26" t="s">
        <v>543</v>
      </c>
      <c r="E972" s="26" t="str">
        <f>IFERROR(VLOOKUP(G972,WholesaleExtract!B:J,9,FALSE),"")</f>
        <v/>
      </c>
      <c r="F972" s="26" t="str">
        <f>IFERROR(VLOOKUP(G972,WholesaleExtract!B:J,6,FALSE),"")</f>
        <v/>
      </c>
      <c r="G972" s="46"/>
      <c r="H972" s="47" t="str">
        <f>IFERROR(VLOOKUP(G972,WholesaleExtract!B:L,11,FALSE),"")</f>
        <v/>
      </c>
      <c r="I972" s="26" t="str">
        <f>IFERROR(VLOOKUP(G972,WholesaleExtract!B:O,8,FALSE),"")</f>
        <v/>
      </c>
      <c r="J972" s="26" t="str">
        <f>IFERROR(VLOOKUP(G972,WholesaleExtract!B:O,14,FALSE),"")</f>
        <v/>
      </c>
      <c r="K972" s="26" t="str">
        <f>IFERROR(VLOOKUP(G972,WholesaleExtract!B:K,10,FALSE),"")</f>
        <v/>
      </c>
      <c r="L972" s="47" t="str">
        <f>IFERROR(VLOOKUP(G972,WholesaleExtract!B:L,11,FALSE),"")</f>
        <v/>
      </c>
      <c r="M972" s="47" t="str">
        <f>IFERROR(VLOOKUP(G972,WholesaleExtract!B:M,12,FALSE),"")</f>
        <v/>
      </c>
      <c r="N972" s="27"/>
      <c r="O972" s="19"/>
      <c r="P972" s="19"/>
      <c r="Q972" s="47"/>
      <c r="R972" s="19"/>
      <c r="S972" s="19"/>
    </row>
    <row r="973" spans="1:19" x14ac:dyDescent="0.35">
      <c r="A973" s="26" t="s">
        <v>543</v>
      </c>
      <c r="B973" s="26" t="s">
        <v>543</v>
      </c>
      <c r="C973" s="26"/>
      <c r="D973" s="26" t="s">
        <v>543</v>
      </c>
      <c r="E973" s="26" t="str">
        <f>IFERROR(VLOOKUP(G973,WholesaleExtract!B:J,9,FALSE),"")</f>
        <v/>
      </c>
      <c r="F973" s="26" t="str">
        <f>IFERROR(VLOOKUP(G973,WholesaleExtract!B:J,6,FALSE),"")</f>
        <v/>
      </c>
      <c r="G973" s="46"/>
      <c r="H973" s="47" t="str">
        <f>IFERROR(VLOOKUP(G973,WholesaleExtract!B:L,11,FALSE),"")</f>
        <v/>
      </c>
      <c r="I973" s="26" t="str">
        <f>IFERROR(VLOOKUP(G973,WholesaleExtract!B:O,8,FALSE),"")</f>
        <v/>
      </c>
      <c r="J973" s="26" t="str">
        <f>IFERROR(VLOOKUP(G973,WholesaleExtract!B:O,14,FALSE),"")</f>
        <v/>
      </c>
      <c r="K973" s="26" t="str">
        <f>IFERROR(VLOOKUP(G973,WholesaleExtract!B:K,10,FALSE),"")</f>
        <v/>
      </c>
      <c r="L973" s="47" t="str">
        <f>IFERROR(VLOOKUP(G973,WholesaleExtract!B:L,11,FALSE),"")</f>
        <v/>
      </c>
      <c r="M973" s="47" t="str">
        <f>IFERROR(VLOOKUP(G973,WholesaleExtract!B:M,12,FALSE),"")</f>
        <v/>
      </c>
      <c r="N973" s="27"/>
      <c r="O973" s="19"/>
      <c r="P973" s="19"/>
      <c r="Q973" s="47"/>
      <c r="R973" s="19"/>
      <c r="S973" s="19"/>
    </row>
    <row r="974" spans="1:19" x14ac:dyDescent="0.35">
      <c r="A974" s="26" t="s">
        <v>543</v>
      </c>
      <c r="B974" s="26" t="s">
        <v>543</v>
      </c>
      <c r="C974" s="26"/>
      <c r="D974" s="26" t="s">
        <v>543</v>
      </c>
      <c r="E974" s="26" t="str">
        <f>IFERROR(VLOOKUP(G974,WholesaleExtract!B:J,9,FALSE),"")</f>
        <v/>
      </c>
      <c r="F974" s="26" t="str">
        <f>IFERROR(VLOOKUP(G974,WholesaleExtract!B:J,6,FALSE),"")</f>
        <v/>
      </c>
      <c r="G974" s="46"/>
      <c r="H974" s="47" t="str">
        <f>IFERROR(VLOOKUP(G974,WholesaleExtract!B:L,11,FALSE),"")</f>
        <v/>
      </c>
      <c r="I974" s="26" t="str">
        <f>IFERROR(VLOOKUP(G974,WholesaleExtract!B:O,8,FALSE),"")</f>
        <v/>
      </c>
      <c r="J974" s="26" t="str">
        <f>IFERROR(VLOOKUP(G974,WholesaleExtract!B:O,14,FALSE),"")</f>
        <v/>
      </c>
      <c r="K974" s="26" t="str">
        <f>IFERROR(VLOOKUP(G974,WholesaleExtract!B:K,10,FALSE),"")</f>
        <v/>
      </c>
      <c r="L974" s="47" t="str">
        <f>IFERROR(VLOOKUP(G974,WholesaleExtract!B:L,11,FALSE),"")</f>
        <v/>
      </c>
      <c r="M974" s="47" t="str">
        <f>IFERROR(VLOOKUP(G974,WholesaleExtract!B:M,12,FALSE),"")</f>
        <v/>
      </c>
      <c r="N974" s="27"/>
      <c r="O974" s="19"/>
      <c r="P974" s="19"/>
      <c r="Q974" s="47"/>
      <c r="R974" s="19"/>
      <c r="S974" s="19"/>
    </row>
    <row r="975" spans="1:19" x14ac:dyDescent="0.35">
      <c r="A975" s="26" t="s">
        <v>543</v>
      </c>
      <c r="B975" s="26" t="s">
        <v>543</v>
      </c>
      <c r="C975" s="26"/>
      <c r="D975" s="26" t="s">
        <v>543</v>
      </c>
      <c r="E975" s="26" t="str">
        <f>IFERROR(VLOOKUP(G975,WholesaleExtract!B:J,9,FALSE),"")</f>
        <v/>
      </c>
      <c r="F975" s="26" t="str">
        <f>IFERROR(VLOOKUP(G975,WholesaleExtract!B:J,6,FALSE),"")</f>
        <v/>
      </c>
      <c r="G975" s="46"/>
      <c r="H975" s="47" t="str">
        <f>IFERROR(VLOOKUP(G975,WholesaleExtract!B:L,11,FALSE),"")</f>
        <v/>
      </c>
      <c r="I975" s="26" t="str">
        <f>IFERROR(VLOOKUP(G975,WholesaleExtract!B:O,8,FALSE),"")</f>
        <v/>
      </c>
      <c r="J975" s="26" t="str">
        <f>IFERROR(VLOOKUP(G975,WholesaleExtract!B:O,14,FALSE),"")</f>
        <v/>
      </c>
      <c r="K975" s="26" t="str">
        <f>IFERROR(VLOOKUP(G975,WholesaleExtract!B:K,10,FALSE),"")</f>
        <v/>
      </c>
      <c r="L975" s="47" t="str">
        <f>IFERROR(VLOOKUP(G975,WholesaleExtract!B:L,11,FALSE),"")</f>
        <v/>
      </c>
      <c r="M975" s="47" t="str">
        <f>IFERROR(VLOOKUP(G975,WholesaleExtract!B:M,12,FALSE),"")</f>
        <v/>
      </c>
      <c r="N975" s="27"/>
      <c r="O975" s="19"/>
      <c r="P975" s="19"/>
      <c r="Q975" s="47"/>
      <c r="R975" s="19"/>
      <c r="S975" s="19"/>
    </row>
    <row r="976" spans="1:19" x14ac:dyDescent="0.35">
      <c r="A976" s="26" t="s">
        <v>543</v>
      </c>
      <c r="B976" s="26" t="s">
        <v>543</v>
      </c>
      <c r="C976" s="26"/>
      <c r="D976" s="26" t="s">
        <v>543</v>
      </c>
      <c r="E976" s="26" t="str">
        <f>IFERROR(VLOOKUP(G976,WholesaleExtract!B:J,9,FALSE),"")</f>
        <v/>
      </c>
      <c r="F976" s="26" t="str">
        <f>IFERROR(VLOOKUP(G976,WholesaleExtract!B:J,6,FALSE),"")</f>
        <v/>
      </c>
      <c r="G976" s="46"/>
      <c r="H976" s="47" t="str">
        <f>IFERROR(VLOOKUP(G976,WholesaleExtract!B:L,11,FALSE),"")</f>
        <v/>
      </c>
      <c r="I976" s="26" t="str">
        <f>IFERROR(VLOOKUP(G976,WholesaleExtract!B:O,8,FALSE),"")</f>
        <v/>
      </c>
      <c r="J976" s="26" t="str">
        <f>IFERROR(VLOOKUP(G976,WholesaleExtract!B:O,14,FALSE),"")</f>
        <v/>
      </c>
      <c r="K976" s="26" t="str">
        <f>IFERROR(VLOOKUP(G976,WholesaleExtract!B:K,10,FALSE),"")</f>
        <v/>
      </c>
      <c r="L976" s="47" t="str">
        <f>IFERROR(VLOOKUP(G976,WholesaleExtract!B:L,11,FALSE),"")</f>
        <v/>
      </c>
      <c r="M976" s="47" t="str">
        <f>IFERROR(VLOOKUP(G976,WholesaleExtract!B:M,12,FALSE),"")</f>
        <v/>
      </c>
      <c r="N976" s="27"/>
      <c r="O976" s="19"/>
      <c r="P976" s="19"/>
      <c r="Q976" s="47"/>
      <c r="R976" s="19"/>
      <c r="S976" s="19"/>
    </row>
    <row r="977" spans="1:19" x14ac:dyDescent="0.35">
      <c r="A977" s="26" t="s">
        <v>543</v>
      </c>
      <c r="B977" s="26" t="s">
        <v>543</v>
      </c>
      <c r="C977" s="26"/>
      <c r="D977" s="26" t="s">
        <v>543</v>
      </c>
      <c r="E977" s="26" t="str">
        <f>IFERROR(VLOOKUP(G977,WholesaleExtract!B:J,9,FALSE),"")</f>
        <v/>
      </c>
      <c r="F977" s="26" t="str">
        <f>IFERROR(VLOOKUP(G977,WholesaleExtract!B:J,6,FALSE),"")</f>
        <v/>
      </c>
      <c r="G977" s="46"/>
      <c r="H977" s="47" t="str">
        <f>IFERROR(VLOOKUP(G977,WholesaleExtract!B:L,11,FALSE),"")</f>
        <v/>
      </c>
      <c r="I977" s="26" t="str">
        <f>IFERROR(VLOOKUP(G977,WholesaleExtract!B:O,8,FALSE),"")</f>
        <v/>
      </c>
      <c r="J977" s="26" t="str">
        <f>IFERROR(VLOOKUP(G977,WholesaleExtract!B:O,14,FALSE),"")</f>
        <v/>
      </c>
      <c r="K977" s="26" t="str">
        <f>IFERROR(VLOOKUP(G977,WholesaleExtract!B:K,10,FALSE),"")</f>
        <v/>
      </c>
      <c r="L977" s="47" t="str">
        <f>IFERROR(VLOOKUP(G977,WholesaleExtract!B:L,11,FALSE),"")</f>
        <v/>
      </c>
      <c r="M977" s="47" t="str">
        <f>IFERROR(VLOOKUP(G977,WholesaleExtract!B:M,12,FALSE),"")</f>
        <v/>
      </c>
      <c r="N977" s="27"/>
      <c r="O977" s="19"/>
      <c r="P977" s="19"/>
      <c r="Q977" s="47"/>
      <c r="R977" s="19"/>
      <c r="S977" s="19"/>
    </row>
    <row r="978" spans="1:19" x14ac:dyDescent="0.35">
      <c r="A978" s="26" t="s">
        <v>543</v>
      </c>
      <c r="B978" s="26" t="s">
        <v>543</v>
      </c>
      <c r="C978" s="26"/>
      <c r="D978" s="26" t="s">
        <v>543</v>
      </c>
      <c r="E978" s="26" t="str">
        <f>IFERROR(VLOOKUP(G978,WholesaleExtract!B:J,9,FALSE),"")</f>
        <v/>
      </c>
      <c r="F978" s="26" t="str">
        <f>IFERROR(VLOOKUP(G978,WholesaleExtract!B:J,6,FALSE),"")</f>
        <v/>
      </c>
      <c r="G978" s="46"/>
      <c r="H978" s="47" t="str">
        <f>IFERROR(VLOOKUP(G978,WholesaleExtract!B:L,11,FALSE),"")</f>
        <v/>
      </c>
      <c r="I978" s="26" t="str">
        <f>IFERROR(VLOOKUP(G978,WholesaleExtract!B:O,8,FALSE),"")</f>
        <v/>
      </c>
      <c r="J978" s="26" t="str">
        <f>IFERROR(VLOOKUP(G978,WholesaleExtract!B:O,14,FALSE),"")</f>
        <v/>
      </c>
      <c r="K978" s="26" t="str">
        <f>IFERROR(VLOOKUP(G978,WholesaleExtract!B:K,10,FALSE),"")</f>
        <v/>
      </c>
      <c r="L978" s="47" t="str">
        <f>IFERROR(VLOOKUP(G978,WholesaleExtract!B:L,11,FALSE),"")</f>
        <v/>
      </c>
      <c r="M978" s="47" t="str">
        <f>IFERROR(VLOOKUP(G978,WholesaleExtract!B:M,12,FALSE),"")</f>
        <v/>
      </c>
      <c r="N978" s="27"/>
      <c r="O978" s="19"/>
      <c r="P978" s="19"/>
      <c r="Q978" s="47"/>
      <c r="R978" s="19"/>
      <c r="S978" s="19"/>
    </row>
    <row r="979" spans="1:19" x14ac:dyDescent="0.35">
      <c r="A979" s="26" t="s">
        <v>543</v>
      </c>
      <c r="B979" s="26" t="s">
        <v>543</v>
      </c>
      <c r="C979" s="26"/>
      <c r="D979" s="26" t="s">
        <v>543</v>
      </c>
      <c r="E979" s="26" t="str">
        <f>IFERROR(VLOOKUP(G979,WholesaleExtract!B:J,9,FALSE),"")</f>
        <v/>
      </c>
      <c r="F979" s="26" t="str">
        <f>IFERROR(VLOOKUP(G979,WholesaleExtract!B:J,6,FALSE),"")</f>
        <v/>
      </c>
      <c r="G979" s="46"/>
      <c r="H979" s="47" t="str">
        <f>IFERROR(VLOOKUP(G979,WholesaleExtract!B:L,11,FALSE),"")</f>
        <v/>
      </c>
      <c r="I979" s="26" t="str">
        <f>IFERROR(VLOOKUP(G979,WholesaleExtract!B:O,8,FALSE),"")</f>
        <v/>
      </c>
      <c r="J979" s="26" t="str">
        <f>IFERROR(VLOOKUP(G979,WholesaleExtract!B:O,14,FALSE),"")</f>
        <v/>
      </c>
      <c r="K979" s="26" t="str">
        <f>IFERROR(VLOOKUP(G979,WholesaleExtract!B:K,10,FALSE),"")</f>
        <v/>
      </c>
      <c r="L979" s="47" t="str">
        <f>IFERROR(VLOOKUP(G979,WholesaleExtract!B:L,11,FALSE),"")</f>
        <v/>
      </c>
      <c r="M979" s="47" t="str">
        <f>IFERROR(VLOOKUP(G979,WholesaleExtract!B:M,12,FALSE),"")</f>
        <v/>
      </c>
      <c r="N979" s="27"/>
      <c r="O979" s="19"/>
      <c r="P979" s="19"/>
      <c r="Q979" s="47"/>
      <c r="R979" s="19"/>
      <c r="S979" s="19"/>
    </row>
    <row r="980" spans="1:19" x14ac:dyDescent="0.35">
      <c r="A980" s="26" t="s">
        <v>543</v>
      </c>
      <c r="B980" s="26" t="s">
        <v>543</v>
      </c>
      <c r="C980" s="26"/>
      <c r="D980" s="26" t="s">
        <v>543</v>
      </c>
      <c r="E980" s="26" t="str">
        <f>IFERROR(VLOOKUP(G980,WholesaleExtract!B:J,9,FALSE),"")</f>
        <v/>
      </c>
      <c r="F980" s="26" t="str">
        <f>IFERROR(VLOOKUP(G980,WholesaleExtract!B:J,6,FALSE),"")</f>
        <v/>
      </c>
      <c r="G980" s="46"/>
      <c r="H980" s="47" t="str">
        <f>IFERROR(VLOOKUP(G980,WholesaleExtract!B:L,11,FALSE),"")</f>
        <v/>
      </c>
      <c r="I980" s="26" t="str">
        <f>IFERROR(VLOOKUP(G980,WholesaleExtract!B:O,8,FALSE),"")</f>
        <v/>
      </c>
      <c r="J980" s="26" t="str">
        <f>IFERROR(VLOOKUP(G980,WholesaleExtract!B:O,14,FALSE),"")</f>
        <v/>
      </c>
      <c r="K980" s="26" t="str">
        <f>IFERROR(VLOOKUP(G980,WholesaleExtract!B:K,10,FALSE),"")</f>
        <v/>
      </c>
      <c r="L980" s="47" t="str">
        <f>IFERROR(VLOOKUP(G980,WholesaleExtract!B:L,11,FALSE),"")</f>
        <v/>
      </c>
      <c r="M980" s="47" t="str">
        <f>IFERROR(VLOOKUP(G980,WholesaleExtract!B:M,12,FALSE),"")</f>
        <v/>
      </c>
      <c r="N980" s="27"/>
      <c r="O980" s="19"/>
      <c r="P980" s="19"/>
      <c r="Q980" s="47"/>
      <c r="R980" s="19"/>
      <c r="S980" s="19"/>
    </row>
    <row r="981" spans="1:19" x14ac:dyDescent="0.35">
      <c r="A981" s="26" t="s">
        <v>543</v>
      </c>
      <c r="B981" s="26" t="s">
        <v>543</v>
      </c>
      <c r="C981" s="26"/>
      <c r="D981" s="26" t="s">
        <v>543</v>
      </c>
      <c r="E981" s="26" t="str">
        <f>IFERROR(VLOOKUP(G981,WholesaleExtract!B:J,9,FALSE),"")</f>
        <v/>
      </c>
      <c r="F981" s="26" t="str">
        <f>IFERROR(VLOOKUP(G981,WholesaleExtract!B:J,6,FALSE),"")</f>
        <v/>
      </c>
      <c r="G981" s="46"/>
      <c r="H981" s="47" t="str">
        <f>IFERROR(VLOOKUP(G981,WholesaleExtract!B:L,11,FALSE),"")</f>
        <v/>
      </c>
      <c r="I981" s="26" t="str">
        <f>IFERROR(VLOOKUP(G981,WholesaleExtract!B:O,8,FALSE),"")</f>
        <v/>
      </c>
      <c r="J981" s="26" t="str">
        <f>IFERROR(VLOOKUP(G981,WholesaleExtract!B:O,14,FALSE),"")</f>
        <v/>
      </c>
      <c r="K981" s="26" t="str">
        <f>IFERROR(VLOOKUP(G981,WholesaleExtract!B:K,10,FALSE),"")</f>
        <v/>
      </c>
      <c r="L981" s="47" t="str">
        <f>IFERROR(VLOOKUP(G981,WholesaleExtract!B:L,11,FALSE),"")</f>
        <v/>
      </c>
      <c r="M981" s="47" t="str">
        <f>IFERROR(VLOOKUP(G981,WholesaleExtract!B:M,12,FALSE),"")</f>
        <v/>
      </c>
      <c r="N981" s="27"/>
      <c r="O981" s="19"/>
      <c r="P981" s="19"/>
      <c r="Q981" s="47"/>
      <c r="R981" s="19"/>
      <c r="S981" s="19"/>
    </row>
    <row r="982" spans="1:19" x14ac:dyDescent="0.35">
      <c r="A982" s="26" t="s">
        <v>543</v>
      </c>
      <c r="B982" s="26" t="s">
        <v>543</v>
      </c>
      <c r="C982" s="26"/>
      <c r="D982" s="26" t="s">
        <v>543</v>
      </c>
      <c r="E982" s="26" t="str">
        <f>IFERROR(VLOOKUP(G982,WholesaleExtract!B:J,9,FALSE),"")</f>
        <v/>
      </c>
      <c r="F982" s="26" t="str">
        <f>IFERROR(VLOOKUP(G982,WholesaleExtract!B:J,6,FALSE),"")</f>
        <v/>
      </c>
      <c r="G982" s="46"/>
      <c r="H982" s="47" t="str">
        <f>IFERROR(VLOOKUP(G982,WholesaleExtract!B:L,11,FALSE),"")</f>
        <v/>
      </c>
      <c r="I982" s="26" t="str">
        <f>IFERROR(VLOOKUP(G982,WholesaleExtract!B:O,8,FALSE),"")</f>
        <v/>
      </c>
      <c r="J982" s="26" t="str">
        <f>IFERROR(VLOOKUP(G982,WholesaleExtract!B:O,14,FALSE),"")</f>
        <v/>
      </c>
      <c r="K982" s="26" t="str">
        <f>IFERROR(VLOOKUP(G982,WholesaleExtract!B:K,10,FALSE),"")</f>
        <v/>
      </c>
      <c r="L982" s="47" t="str">
        <f>IFERROR(VLOOKUP(G982,WholesaleExtract!B:L,11,FALSE),"")</f>
        <v/>
      </c>
      <c r="M982" s="47" t="str">
        <f>IFERROR(VLOOKUP(G982,WholesaleExtract!B:M,12,FALSE),"")</f>
        <v/>
      </c>
      <c r="N982" s="27"/>
      <c r="O982" s="19"/>
      <c r="P982" s="19"/>
      <c r="Q982" s="47"/>
      <c r="R982" s="19"/>
      <c r="S982" s="19"/>
    </row>
    <row r="983" spans="1:19" x14ac:dyDescent="0.35">
      <c r="A983" s="26" t="s">
        <v>543</v>
      </c>
      <c r="B983" s="26" t="s">
        <v>543</v>
      </c>
      <c r="C983" s="26"/>
      <c r="D983" s="26" t="s">
        <v>543</v>
      </c>
      <c r="E983" s="26" t="str">
        <f>IFERROR(VLOOKUP(G983,WholesaleExtract!B:J,9,FALSE),"")</f>
        <v/>
      </c>
      <c r="F983" s="26" t="str">
        <f>IFERROR(VLOOKUP(G983,WholesaleExtract!B:J,6,FALSE),"")</f>
        <v/>
      </c>
      <c r="G983" s="46"/>
      <c r="H983" s="47" t="str">
        <f>IFERROR(VLOOKUP(G983,WholesaleExtract!B:L,11,FALSE),"")</f>
        <v/>
      </c>
      <c r="I983" s="26" t="str">
        <f>IFERROR(VLOOKUP(G983,WholesaleExtract!B:O,8,FALSE),"")</f>
        <v/>
      </c>
      <c r="J983" s="26" t="str">
        <f>IFERROR(VLOOKUP(G983,WholesaleExtract!B:O,14,FALSE),"")</f>
        <v/>
      </c>
      <c r="K983" s="26" t="str">
        <f>IFERROR(VLOOKUP(G983,WholesaleExtract!B:K,10,FALSE),"")</f>
        <v/>
      </c>
      <c r="L983" s="47" t="str">
        <f>IFERROR(VLOOKUP(G983,WholesaleExtract!B:L,11,FALSE),"")</f>
        <v/>
      </c>
      <c r="M983" s="47" t="str">
        <f>IFERROR(VLOOKUP(G983,WholesaleExtract!B:M,12,FALSE),"")</f>
        <v/>
      </c>
      <c r="N983" s="27"/>
      <c r="O983" s="19"/>
      <c r="P983" s="19"/>
      <c r="Q983" s="47"/>
      <c r="R983" s="19"/>
      <c r="S983" s="19"/>
    </row>
    <row r="984" spans="1:19" x14ac:dyDescent="0.35">
      <c r="A984" s="26" t="s">
        <v>543</v>
      </c>
      <c r="B984" s="26" t="s">
        <v>543</v>
      </c>
      <c r="C984" s="26"/>
      <c r="D984" s="26" t="s">
        <v>543</v>
      </c>
      <c r="E984" s="26" t="str">
        <f>IFERROR(VLOOKUP(G984,WholesaleExtract!B:J,9,FALSE),"")</f>
        <v/>
      </c>
      <c r="F984" s="26" t="str">
        <f>IFERROR(VLOOKUP(G984,WholesaleExtract!B:J,6,FALSE),"")</f>
        <v/>
      </c>
      <c r="G984" s="46"/>
      <c r="H984" s="47" t="str">
        <f>IFERROR(VLOOKUP(G984,WholesaleExtract!B:L,11,FALSE),"")</f>
        <v/>
      </c>
      <c r="I984" s="26" t="str">
        <f>IFERROR(VLOOKUP(G984,WholesaleExtract!B:O,8,FALSE),"")</f>
        <v/>
      </c>
      <c r="J984" s="26" t="str">
        <f>IFERROR(VLOOKUP(G984,WholesaleExtract!B:O,14,FALSE),"")</f>
        <v/>
      </c>
      <c r="K984" s="26" t="str">
        <f>IFERROR(VLOOKUP(G984,WholesaleExtract!B:K,10,FALSE),"")</f>
        <v/>
      </c>
      <c r="L984" s="47" t="str">
        <f>IFERROR(VLOOKUP(G984,WholesaleExtract!B:L,11,FALSE),"")</f>
        <v/>
      </c>
      <c r="M984" s="47" t="str">
        <f>IFERROR(VLOOKUP(G984,WholesaleExtract!B:M,12,FALSE),"")</f>
        <v/>
      </c>
      <c r="N984" s="27"/>
      <c r="O984" s="19"/>
      <c r="P984" s="19"/>
      <c r="Q984" s="47"/>
      <c r="R984" s="19"/>
      <c r="S984" s="19"/>
    </row>
    <row r="985" spans="1:19" x14ac:dyDescent="0.35">
      <c r="A985" s="26" t="s">
        <v>543</v>
      </c>
      <c r="B985" s="26" t="s">
        <v>543</v>
      </c>
      <c r="C985" s="26"/>
      <c r="D985" s="26" t="s">
        <v>543</v>
      </c>
      <c r="E985" s="26" t="str">
        <f>IFERROR(VLOOKUP(G985,WholesaleExtract!B:J,9,FALSE),"")</f>
        <v/>
      </c>
      <c r="F985" s="26" t="str">
        <f>IFERROR(VLOOKUP(G985,WholesaleExtract!B:J,6,FALSE),"")</f>
        <v/>
      </c>
      <c r="G985" s="46"/>
      <c r="H985" s="47" t="str">
        <f>IFERROR(VLOOKUP(G985,WholesaleExtract!B:L,11,FALSE),"")</f>
        <v/>
      </c>
      <c r="I985" s="26" t="str">
        <f>IFERROR(VLOOKUP(G985,WholesaleExtract!B:O,8,FALSE),"")</f>
        <v/>
      </c>
      <c r="J985" s="26" t="str">
        <f>IFERROR(VLOOKUP(G985,WholesaleExtract!B:O,14,FALSE),"")</f>
        <v/>
      </c>
      <c r="K985" s="26" t="str">
        <f>IFERROR(VLOOKUP(G985,WholesaleExtract!B:K,10,FALSE),"")</f>
        <v/>
      </c>
      <c r="L985" s="47" t="str">
        <f>IFERROR(VLOOKUP(G985,WholesaleExtract!B:L,11,FALSE),"")</f>
        <v/>
      </c>
      <c r="M985" s="47" t="str">
        <f>IFERROR(VLOOKUP(G985,WholesaleExtract!B:M,12,FALSE),"")</f>
        <v/>
      </c>
      <c r="N985" s="27"/>
      <c r="O985" s="19"/>
      <c r="P985" s="19"/>
      <c r="Q985" s="47"/>
      <c r="R985" s="19"/>
      <c r="S985" s="19"/>
    </row>
    <row r="986" spans="1:19" x14ac:dyDescent="0.35">
      <c r="A986" s="26" t="s">
        <v>543</v>
      </c>
      <c r="B986" s="26" t="s">
        <v>543</v>
      </c>
      <c r="C986" s="26"/>
      <c r="D986" s="26" t="s">
        <v>543</v>
      </c>
      <c r="E986" s="26" t="str">
        <f>IFERROR(VLOOKUP(G986,WholesaleExtract!B:J,9,FALSE),"")</f>
        <v/>
      </c>
      <c r="F986" s="26" t="str">
        <f>IFERROR(VLOOKUP(G986,WholesaleExtract!B:J,6,FALSE),"")</f>
        <v/>
      </c>
      <c r="G986" s="46"/>
      <c r="H986" s="47" t="str">
        <f>IFERROR(VLOOKUP(G986,WholesaleExtract!B:L,11,FALSE),"")</f>
        <v/>
      </c>
      <c r="I986" s="26" t="str">
        <f>IFERROR(VLOOKUP(G986,WholesaleExtract!B:O,8,FALSE),"")</f>
        <v/>
      </c>
      <c r="J986" s="26" t="str">
        <f>IFERROR(VLOOKUP(G986,WholesaleExtract!B:O,14,FALSE),"")</f>
        <v/>
      </c>
      <c r="K986" s="26" t="str">
        <f>IFERROR(VLOOKUP(G986,WholesaleExtract!B:K,10,FALSE),"")</f>
        <v/>
      </c>
      <c r="L986" s="47" t="str">
        <f>IFERROR(VLOOKUP(G986,WholesaleExtract!B:L,11,FALSE),"")</f>
        <v/>
      </c>
      <c r="M986" s="47" t="str">
        <f>IFERROR(VLOOKUP(G986,WholesaleExtract!B:M,12,FALSE),"")</f>
        <v/>
      </c>
      <c r="N986" s="27"/>
      <c r="O986" s="19"/>
      <c r="P986" s="19"/>
      <c r="Q986" s="47"/>
      <c r="R986" s="19"/>
      <c r="S986" s="19"/>
    </row>
    <row r="987" spans="1:19" x14ac:dyDescent="0.35">
      <c r="A987" s="26" t="s">
        <v>543</v>
      </c>
      <c r="B987" s="26" t="s">
        <v>543</v>
      </c>
      <c r="C987" s="26"/>
      <c r="D987" s="26" t="s">
        <v>543</v>
      </c>
      <c r="E987" s="26" t="str">
        <f>IFERROR(VLOOKUP(G987,WholesaleExtract!B:J,9,FALSE),"")</f>
        <v/>
      </c>
      <c r="F987" s="26" t="str">
        <f>IFERROR(VLOOKUP(G987,WholesaleExtract!B:J,6,FALSE),"")</f>
        <v/>
      </c>
      <c r="G987" s="46"/>
      <c r="H987" s="47" t="str">
        <f>IFERROR(VLOOKUP(G987,WholesaleExtract!B:L,11,FALSE),"")</f>
        <v/>
      </c>
      <c r="I987" s="26" t="str">
        <f>IFERROR(VLOOKUP(G987,WholesaleExtract!B:O,8,FALSE),"")</f>
        <v/>
      </c>
      <c r="J987" s="26" t="str">
        <f>IFERROR(VLOOKUP(G987,WholesaleExtract!B:O,14,FALSE),"")</f>
        <v/>
      </c>
      <c r="K987" s="26" t="str">
        <f>IFERROR(VLOOKUP(G987,WholesaleExtract!B:K,10,FALSE),"")</f>
        <v/>
      </c>
      <c r="L987" s="47" t="str">
        <f>IFERROR(VLOOKUP(G987,WholesaleExtract!B:L,11,FALSE),"")</f>
        <v/>
      </c>
      <c r="M987" s="47" t="str">
        <f>IFERROR(VLOOKUP(G987,WholesaleExtract!B:M,12,FALSE),"")</f>
        <v/>
      </c>
      <c r="N987" s="27"/>
      <c r="O987" s="19"/>
      <c r="P987" s="19"/>
      <c r="Q987" s="47"/>
      <c r="R987" s="19"/>
      <c r="S987" s="19"/>
    </row>
    <row r="988" spans="1:19" x14ac:dyDescent="0.35">
      <c r="A988" s="26" t="s">
        <v>543</v>
      </c>
      <c r="B988" s="26" t="s">
        <v>543</v>
      </c>
      <c r="C988" s="26"/>
      <c r="D988" s="26" t="s">
        <v>543</v>
      </c>
      <c r="E988" s="26" t="str">
        <f>IFERROR(VLOOKUP(G988,WholesaleExtract!B:J,9,FALSE),"")</f>
        <v/>
      </c>
      <c r="F988" s="26" t="str">
        <f>IFERROR(VLOOKUP(G988,WholesaleExtract!B:J,6,FALSE),"")</f>
        <v/>
      </c>
      <c r="G988" s="46"/>
      <c r="H988" s="47" t="str">
        <f>IFERROR(VLOOKUP(G988,WholesaleExtract!B:L,11,FALSE),"")</f>
        <v/>
      </c>
      <c r="I988" s="26" t="str">
        <f>IFERROR(VLOOKUP(G988,WholesaleExtract!B:O,8,FALSE),"")</f>
        <v/>
      </c>
      <c r="J988" s="26" t="str">
        <f>IFERROR(VLOOKUP(G988,WholesaleExtract!B:O,14,FALSE),"")</f>
        <v/>
      </c>
      <c r="K988" s="26" t="str">
        <f>IFERROR(VLOOKUP(G988,WholesaleExtract!B:K,10,FALSE),"")</f>
        <v/>
      </c>
      <c r="L988" s="47" t="str">
        <f>IFERROR(VLOOKUP(G988,WholesaleExtract!B:L,11,FALSE),"")</f>
        <v/>
      </c>
      <c r="M988" s="47" t="str">
        <f>IFERROR(VLOOKUP(G988,WholesaleExtract!B:M,12,FALSE),"")</f>
        <v/>
      </c>
      <c r="N988" s="27"/>
      <c r="O988" s="19"/>
      <c r="P988" s="19"/>
      <c r="Q988" s="47"/>
      <c r="R988" s="19"/>
      <c r="S988" s="19"/>
    </row>
    <row r="989" spans="1:19" x14ac:dyDescent="0.35">
      <c r="A989" s="26" t="s">
        <v>543</v>
      </c>
      <c r="B989" s="26" t="s">
        <v>543</v>
      </c>
      <c r="C989" s="26"/>
      <c r="D989" s="26" t="s">
        <v>543</v>
      </c>
      <c r="E989" s="26" t="str">
        <f>IFERROR(VLOOKUP(G989,WholesaleExtract!B:J,9,FALSE),"")</f>
        <v/>
      </c>
      <c r="F989" s="26" t="str">
        <f>IFERROR(VLOOKUP(G989,WholesaleExtract!B:J,6,FALSE),"")</f>
        <v/>
      </c>
      <c r="G989" s="46"/>
      <c r="H989" s="47" t="str">
        <f>IFERROR(VLOOKUP(G989,WholesaleExtract!B:L,11,FALSE),"")</f>
        <v/>
      </c>
      <c r="I989" s="26" t="str">
        <f>IFERROR(VLOOKUP(G989,WholesaleExtract!B:O,8,FALSE),"")</f>
        <v/>
      </c>
      <c r="J989" s="26" t="str">
        <f>IFERROR(VLOOKUP(G989,WholesaleExtract!B:O,14,FALSE),"")</f>
        <v/>
      </c>
      <c r="K989" s="26" t="str">
        <f>IFERROR(VLOOKUP(G989,WholesaleExtract!B:K,10,FALSE),"")</f>
        <v/>
      </c>
      <c r="L989" s="47" t="str">
        <f>IFERROR(VLOOKUP(G989,WholesaleExtract!B:L,11,FALSE),"")</f>
        <v/>
      </c>
      <c r="M989" s="47" t="str">
        <f>IFERROR(VLOOKUP(G989,WholesaleExtract!B:M,12,FALSE),"")</f>
        <v/>
      </c>
      <c r="N989" s="27"/>
      <c r="O989" s="19"/>
      <c r="P989" s="19"/>
      <c r="Q989" s="47"/>
      <c r="R989" s="19"/>
      <c r="S989" s="19"/>
    </row>
    <row r="990" spans="1:19" x14ac:dyDescent="0.35">
      <c r="A990" s="26" t="s">
        <v>543</v>
      </c>
      <c r="B990" s="26" t="s">
        <v>543</v>
      </c>
      <c r="C990" s="26"/>
      <c r="D990" s="26" t="s">
        <v>543</v>
      </c>
      <c r="E990" s="26" t="str">
        <f>IFERROR(VLOOKUP(G990,WholesaleExtract!B:J,9,FALSE),"")</f>
        <v/>
      </c>
      <c r="F990" s="26" t="str">
        <f>IFERROR(VLOOKUP(G990,WholesaleExtract!B:J,6,FALSE),"")</f>
        <v/>
      </c>
      <c r="G990" s="46"/>
      <c r="H990" s="47" t="str">
        <f>IFERROR(VLOOKUP(G990,WholesaleExtract!B:L,11,FALSE),"")</f>
        <v/>
      </c>
      <c r="I990" s="26" t="str">
        <f>IFERROR(VLOOKUP(G990,WholesaleExtract!B:O,8,FALSE),"")</f>
        <v/>
      </c>
      <c r="J990" s="26" t="str">
        <f>IFERROR(VLOOKUP(G990,WholesaleExtract!B:O,14,FALSE),"")</f>
        <v/>
      </c>
      <c r="K990" s="26" t="str">
        <f>IFERROR(VLOOKUP(G990,WholesaleExtract!B:K,10,FALSE),"")</f>
        <v/>
      </c>
      <c r="L990" s="47" t="str">
        <f>IFERROR(VLOOKUP(G990,WholesaleExtract!B:L,11,FALSE),"")</f>
        <v/>
      </c>
      <c r="M990" s="47" t="str">
        <f>IFERROR(VLOOKUP(G990,WholesaleExtract!B:M,12,FALSE),"")</f>
        <v/>
      </c>
      <c r="N990" s="27"/>
      <c r="O990" s="19"/>
      <c r="P990" s="19"/>
      <c r="Q990" s="47"/>
      <c r="R990" s="19"/>
      <c r="S990" s="19"/>
    </row>
    <row r="991" spans="1:19" x14ac:dyDescent="0.35">
      <c r="A991" s="26" t="s">
        <v>543</v>
      </c>
      <c r="B991" s="26" t="s">
        <v>543</v>
      </c>
      <c r="C991" s="26"/>
      <c r="D991" s="26" t="s">
        <v>543</v>
      </c>
      <c r="E991" s="26" t="str">
        <f>IFERROR(VLOOKUP(G991,WholesaleExtract!B:J,9,FALSE),"")</f>
        <v/>
      </c>
      <c r="F991" s="26" t="str">
        <f>IFERROR(VLOOKUP(G991,WholesaleExtract!B:J,6,FALSE),"")</f>
        <v/>
      </c>
      <c r="G991" s="46"/>
      <c r="H991" s="47" t="str">
        <f>IFERROR(VLOOKUP(G991,WholesaleExtract!B:L,11,FALSE),"")</f>
        <v/>
      </c>
      <c r="I991" s="26" t="str">
        <f>IFERROR(VLOOKUP(G991,WholesaleExtract!B:O,8,FALSE),"")</f>
        <v/>
      </c>
      <c r="J991" s="26" t="str">
        <f>IFERROR(VLOOKUP(G991,WholesaleExtract!B:O,14,FALSE),"")</f>
        <v/>
      </c>
      <c r="K991" s="26" t="str">
        <f>IFERROR(VLOOKUP(G991,WholesaleExtract!B:K,10,FALSE),"")</f>
        <v/>
      </c>
      <c r="L991" s="47" t="str">
        <f>IFERROR(VLOOKUP(G991,WholesaleExtract!B:L,11,FALSE),"")</f>
        <v/>
      </c>
      <c r="M991" s="47" t="str">
        <f>IFERROR(VLOOKUP(G991,WholesaleExtract!B:M,12,FALSE),"")</f>
        <v/>
      </c>
      <c r="N991" s="27"/>
      <c r="O991" s="19"/>
      <c r="P991" s="19"/>
      <c r="Q991" s="47"/>
      <c r="R991" s="19"/>
      <c r="S991" s="19"/>
    </row>
    <row r="992" spans="1:19" x14ac:dyDescent="0.35">
      <c r="A992" s="26" t="s">
        <v>543</v>
      </c>
      <c r="B992" s="26" t="s">
        <v>543</v>
      </c>
      <c r="C992" s="26"/>
      <c r="D992" s="26" t="s">
        <v>543</v>
      </c>
      <c r="E992" s="26" t="str">
        <f>IFERROR(VLOOKUP(G992,WholesaleExtract!B:J,9,FALSE),"")</f>
        <v/>
      </c>
      <c r="F992" s="26" t="str">
        <f>IFERROR(VLOOKUP(G992,WholesaleExtract!B:J,6,FALSE),"")</f>
        <v/>
      </c>
      <c r="G992" s="46"/>
      <c r="H992" s="47" t="str">
        <f>IFERROR(VLOOKUP(G992,WholesaleExtract!B:L,11,FALSE),"")</f>
        <v/>
      </c>
      <c r="I992" s="26" t="str">
        <f>IFERROR(VLOOKUP(G992,WholesaleExtract!B:O,8,FALSE),"")</f>
        <v/>
      </c>
      <c r="J992" s="26" t="str">
        <f>IFERROR(VLOOKUP(G992,WholesaleExtract!B:O,14,FALSE),"")</f>
        <v/>
      </c>
      <c r="K992" s="26" t="str">
        <f>IFERROR(VLOOKUP(G992,WholesaleExtract!B:K,10,FALSE),"")</f>
        <v/>
      </c>
      <c r="L992" s="47" t="str">
        <f>IFERROR(VLOOKUP(G992,WholesaleExtract!B:L,11,FALSE),"")</f>
        <v/>
      </c>
      <c r="M992" s="47" t="str">
        <f>IFERROR(VLOOKUP(G992,WholesaleExtract!B:M,12,FALSE),"")</f>
        <v/>
      </c>
      <c r="N992" s="27"/>
      <c r="O992" s="19"/>
      <c r="P992" s="19"/>
      <c r="Q992" s="47"/>
      <c r="R992" s="19"/>
      <c r="S992" s="19"/>
    </row>
    <row r="993" spans="1:19" x14ac:dyDescent="0.35">
      <c r="A993" s="26" t="s">
        <v>543</v>
      </c>
      <c r="B993" s="26" t="s">
        <v>543</v>
      </c>
      <c r="C993" s="26"/>
      <c r="D993" s="26" t="s">
        <v>543</v>
      </c>
      <c r="E993" s="26" t="str">
        <f>IFERROR(VLOOKUP(G993,WholesaleExtract!B:J,9,FALSE),"")</f>
        <v/>
      </c>
      <c r="F993" s="26" t="str">
        <f>IFERROR(VLOOKUP(G993,WholesaleExtract!B:J,6,FALSE),"")</f>
        <v/>
      </c>
      <c r="G993" s="46"/>
      <c r="H993" s="47" t="str">
        <f>IFERROR(VLOOKUP(G993,WholesaleExtract!B:L,11,FALSE),"")</f>
        <v/>
      </c>
      <c r="I993" s="26" t="str">
        <f>IFERROR(VLOOKUP(G993,WholesaleExtract!B:O,8,FALSE),"")</f>
        <v/>
      </c>
      <c r="J993" s="26" t="str">
        <f>IFERROR(VLOOKUP(G993,WholesaleExtract!B:O,14,FALSE),"")</f>
        <v/>
      </c>
      <c r="K993" s="26" t="str">
        <f>IFERROR(VLOOKUP(G993,WholesaleExtract!B:K,10,FALSE),"")</f>
        <v/>
      </c>
      <c r="L993" s="47" t="str">
        <f>IFERROR(VLOOKUP(G993,WholesaleExtract!B:L,11,FALSE),"")</f>
        <v/>
      </c>
      <c r="M993" s="47" t="str">
        <f>IFERROR(VLOOKUP(G993,WholesaleExtract!B:M,12,FALSE),"")</f>
        <v/>
      </c>
      <c r="N993" s="27"/>
      <c r="O993" s="19"/>
      <c r="P993" s="19"/>
      <c r="Q993" s="47"/>
      <c r="R993" s="19"/>
      <c r="S993" s="19"/>
    </row>
    <row r="994" spans="1:19" x14ac:dyDescent="0.35">
      <c r="A994" s="26" t="s">
        <v>543</v>
      </c>
      <c r="B994" s="26" t="s">
        <v>543</v>
      </c>
      <c r="C994" s="26"/>
      <c r="D994" s="26" t="s">
        <v>543</v>
      </c>
      <c r="E994" s="26" t="str">
        <f>IFERROR(VLOOKUP(G994,WholesaleExtract!B:J,9,FALSE),"")</f>
        <v/>
      </c>
      <c r="F994" s="26" t="str">
        <f>IFERROR(VLOOKUP(G994,WholesaleExtract!B:J,6,FALSE),"")</f>
        <v/>
      </c>
      <c r="G994" s="46"/>
      <c r="H994" s="47" t="str">
        <f>IFERROR(VLOOKUP(G994,WholesaleExtract!B:L,11,FALSE),"")</f>
        <v/>
      </c>
      <c r="I994" s="26" t="str">
        <f>IFERROR(VLOOKUP(G994,WholesaleExtract!B:O,8,FALSE),"")</f>
        <v/>
      </c>
      <c r="J994" s="26" t="str">
        <f>IFERROR(VLOOKUP(G994,WholesaleExtract!B:O,14,FALSE),"")</f>
        <v/>
      </c>
      <c r="K994" s="26" t="str">
        <f>IFERROR(VLOOKUP(G994,WholesaleExtract!B:K,10,FALSE),"")</f>
        <v/>
      </c>
      <c r="L994" s="47" t="str">
        <f>IFERROR(VLOOKUP(G994,WholesaleExtract!B:L,11,FALSE),"")</f>
        <v/>
      </c>
      <c r="M994" s="47" t="str">
        <f>IFERROR(VLOOKUP(G994,WholesaleExtract!B:M,12,FALSE),"")</f>
        <v/>
      </c>
      <c r="N994" s="27"/>
      <c r="O994" s="19"/>
      <c r="P994" s="19"/>
      <c r="Q994" s="47"/>
      <c r="R994" s="19"/>
      <c r="S994" s="19"/>
    </row>
    <row r="995" spans="1:19" x14ac:dyDescent="0.35">
      <c r="A995" s="26" t="s">
        <v>543</v>
      </c>
      <c r="B995" s="26" t="s">
        <v>543</v>
      </c>
      <c r="C995" s="26"/>
      <c r="D995" s="26" t="s">
        <v>543</v>
      </c>
      <c r="E995" s="26" t="str">
        <f>IFERROR(VLOOKUP(G995,WholesaleExtract!B:J,9,FALSE),"")</f>
        <v/>
      </c>
      <c r="F995" s="26" t="str">
        <f>IFERROR(VLOOKUP(G995,WholesaleExtract!B:J,6,FALSE),"")</f>
        <v/>
      </c>
      <c r="G995" s="46"/>
      <c r="H995" s="47" t="str">
        <f>IFERROR(VLOOKUP(G995,WholesaleExtract!B:L,11,FALSE),"")</f>
        <v/>
      </c>
      <c r="I995" s="26" t="str">
        <f>IFERROR(VLOOKUP(G995,WholesaleExtract!B:O,8,FALSE),"")</f>
        <v/>
      </c>
      <c r="J995" s="26" t="str">
        <f>IFERROR(VLOOKUP(G995,WholesaleExtract!B:O,14,FALSE),"")</f>
        <v/>
      </c>
      <c r="K995" s="26" t="str">
        <f>IFERROR(VLOOKUP(G995,WholesaleExtract!B:K,10,FALSE),"")</f>
        <v/>
      </c>
      <c r="L995" s="47" t="str">
        <f>IFERROR(VLOOKUP(G995,WholesaleExtract!B:L,11,FALSE),"")</f>
        <v/>
      </c>
      <c r="M995" s="47" t="str">
        <f>IFERROR(VLOOKUP(G995,WholesaleExtract!B:M,12,FALSE),"")</f>
        <v/>
      </c>
      <c r="N995" s="27"/>
      <c r="O995" s="19"/>
      <c r="P995" s="19"/>
      <c r="Q995" s="47"/>
      <c r="R995" s="19"/>
      <c r="S995" s="19"/>
    </row>
    <row r="996" spans="1:19" x14ac:dyDescent="0.35">
      <c r="A996" s="26" t="s">
        <v>543</v>
      </c>
      <c r="B996" s="26" t="s">
        <v>543</v>
      </c>
      <c r="C996" s="26"/>
      <c r="D996" s="26" t="s">
        <v>543</v>
      </c>
      <c r="E996" s="26" t="str">
        <f>IFERROR(VLOOKUP(G996,WholesaleExtract!B:J,9,FALSE),"")</f>
        <v/>
      </c>
      <c r="F996" s="26" t="str">
        <f>IFERROR(VLOOKUP(G996,WholesaleExtract!B:J,6,FALSE),"")</f>
        <v/>
      </c>
      <c r="G996" s="46"/>
      <c r="H996" s="47" t="str">
        <f>IFERROR(VLOOKUP(G996,WholesaleExtract!B:L,11,FALSE),"")</f>
        <v/>
      </c>
      <c r="I996" s="26" t="str">
        <f>IFERROR(VLOOKUP(G996,WholesaleExtract!B:O,8,FALSE),"")</f>
        <v/>
      </c>
      <c r="J996" s="26" t="str">
        <f>IFERROR(VLOOKUP(G996,WholesaleExtract!B:O,14,FALSE),"")</f>
        <v/>
      </c>
      <c r="K996" s="26" t="str">
        <f>IFERROR(VLOOKUP(G996,WholesaleExtract!B:K,10,FALSE),"")</f>
        <v/>
      </c>
      <c r="L996" s="47" t="str">
        <f>IFERROR(VLOOKUP(G996,WholesaleExtract!B:L,11,FALSE),"")</f>
        <v/>
      </c>
      <c r="M996" s="47" t="str">
        <f>IFERROR(VLOOKUP(G996,WholesaleExtract!B:M,12,FALSE),"")</f>
        <v/>
      </c>
      <c r="N996" s="27"/>
      <c r="O996" s="19"/>
      <c r="P996" s="19"/>
      <c r="Q996" s="47"/>
      <c r="R996" s="19"/>
      <c r="S996" s="19"/>
    </row>
    <row r="997" spans="1:19" x14ac:dyDescent="0.35">
      <c r="A997" s="26" t="s">
        <v>543</v>
      </c>
      <c r="B997" s="26" t="s">
        <v>543</v>
      </c>
      <c r="C997" s="26"/>
      <c r="D997" s="26" t="s">
        <v>543</v>
      </c>
      <c r="E997" s="26" t="str">
        <f>IFERROR(VLOOKUP(G997,WholesaleExtract!B:J,9,FALSE),"")</f>
        <v/>
      </c>
      <c r="F997" s="26" t="str">
        <f>IFERROR(VLOOKUP(G997,WholesaleExtract!B:J,6,FALSE),"")</f>
        <v/>
      </c>
      <c r="G997" s="46"/>
      <c r="H997" s="47" t="str">
        <f>IFERROR(VLOOKUP(G997,WholesaleExtract!B:L,11,FALSE),"")</f>
        <v/>
      </c>
      <c r="I997" s="26" t="str">
        <f>IFERROR(VLOOKUP(G997,WholesaleExtract!B:O,8,FALSE),"")</f>
        <v/>
      </c>
      <c r="J997" s="26" t="str">
        <f>IFERROR(VLOOKUP(G997,WholesaleExtract!B:O,14,FALSE),"")</f>
        <v/>
      </c>
      <c r="K997" s="26" t="str">
        <f>IFERROR(VLOOKUP(G997,WholesaleExtract!B:K,10,FALSE),"")</f>
        <v/>
      </c>
      <c r="L997" s="47" t="str">
        <f>IFERROR(VLOOKUP(G997,WholesaleExtract!B:L,11,FALSE),"")</f>
        <v/>
      </c>
      <c r="M997" s="47" t="str">
        <f>IFERROR(VLOOKUP(G997,WholesaleExtract!B:M,12,FALSE),"")</f>
        <v/>
      </c>
      <c r="N997" s="27"/>
      <c r="O997" s="19"/>
      <c r="P997" s="19"/>
      <c r="Q997" s="47"/>
      <c r="R997" s="19"/>
      <c r="S997" s="19"/>
    </row>
    <row r="998" spans="1:19" x14ac:dyDescent="0.35">
      <c r="A998" s="26" t="s">
        <v>543</v>
      </c>
      <c r="B998" s="26" t="s">
        <v>543</v>
      </c>
      <c r="C998" s="26"/>
      <c r="D998" s="26" t="s">
        <v>543</v>
      </c>
      <c r="E998" s="26" t="str">
        <f>IFERROR(VLOOKUP(G998,WholesaleExtract!B:J,9,FALSE),"")</f>
        <v/>
      </c>
      <c r="F998" s="26" t="str">
        <f>IFERROR(VLOOKUP(G998,WholesaleExtract!B:J,6,FALSE),"")</f>
        <v/>
      </c>
      <c r="G998" s="46"/>
      <c r="H998" s="47" t="str">
        <f>IFERROR(VLOOKUP(G998,WholesaleExtract!B:L,11,FALSE),"")</f>
        <v/>
      </c>
      <c r="I998" s="26" t="str">
        <f>IFERROR(VLOOKUP(G998,WholesaleExtract!B:O,8,FALSE),"")</f>
        <v/>
      </c>
      <c r="J998" s="26" t="str">
        <f>IFERROR(VLOOKUP(G998,WholesaleExtract!B:O,14,FALSE),"")</f>
        <v/>
      </c>
      <c r="K998" s="26" t="str">
        <f>IFERROR(VLOOKUP(G998,WholesaleExtract!B:K,10,FALSE),"")</f>
        <v/>
      </c>
      <c r="L998" s="47" t="str">
        <f>IFERROR(VLOOKUP(G998,WholesaleExtract!B:L,11,FALSE),"")</f>
        <v/>
      </c>
      <c r="M998" s="47" t="str">
        <f>IFERROR(VLOOKUP(G998,WholesaleExtract!B:M,12,FALSE),"")</f>
        <v/>
      </c>
      <c r="N998" s="27"/>
      <c r="O998" s="19"/>
      <c r="P998" s="19"/>
      <c r="Q998" s="47"/>
      <c r="R998" s="19"/>
      <c r="S998" s="19"/>
    </row>
    <row r="999" spans="1:19" x14ac:dyDescent="0.35">
      <c r="A999" s="26" t="s">
        <v>543</v>
      </c>
      <c r="B999" s="26" t="s">
        <v>543</v>
      </c>
      <c r="C999" s="26"/>
      <c r="D999" s="26" t="s">
        <v>543</v>
      </c>
      <c r="E999" s="26" t="str">
        <f>IFERROR(VLOOKUP(G999,WholesaleExtract!B:J,9,FALSE),"")</f>
        <v/>
      </c>
      <c r="F999" s="26" t="str">
        <f>IFERROR(VLOOKUP(G999,WholesaleExtract!B:J,6,FALSE),"")</f>
        <v/>
      </c>
      <c r="G999" s="46"/>
      <c r="H999" s="47" t="str">
        <f>IFERROR(VLOOKUP(G999,WholesaleExtract!B:L,11,FALSE),"")</f>
        <v/>
      </c>
      <c r="I999" s="26" t="str">
        <f>IFERROR(VLOOKUP(G999,WholesaleExtract!B:O,8,FALSE),"")</f>
        <v/>
      </c>
      <c r="J999" s="26" t="str">
        <f>IFERROR(VLOOKUP(G999,WholesaleExtract!B:O,14,FALSE),"")</f>
        <v/>
      </c>
      <c r="K999" s="26" t="str">
        <f>IFERROR(VLOOKUP(G999,WholesaleExtract!B:K,10,FALSE),"")</f>
        <v/>
      </c>
      <c r="L999" s="47" t="str">
        <f>IFERROR(VLOOKUP(G999,WholesaleExtract!B:L,11,FALSE),"")</f>
        <v/>
      </c>
      <c r="M999" s="47" t="str">
        <f>IFERROR(VLOOKUP(G999,WholesaleExtract!B:M,12,FALSE),"")</f>
        <v/>
      </c>
      <c r="N999" s="27"/>
      <c r="O999" s="19"/>
      <c r="P999" s="19"/>
      <c r="Q999" s="47"/>
      <c r="R999" s="19"/>
      <c r="S999" s="19"/>
    </row>
    <row r="1000" spans="1:19" x14ac:dyDescent="0.35">
      <c r="A1000" s="26" t="s">
        <v>543</v>
      </c>
      <c r="B1000" s="26" t="s">
        <v>543</v>
      </c>
      <c r="C1000" s="26"/>
      <c r="D1000" s="26" t="s">
        <v>543</v>
      </c>
      <c r="E1000" s="26" t="str">
        <f>IFERROR(VLOOKUP(G1000,WholesaleExtract!B:J,9,FALSE),"")</f>
        <v/>
      </c>
      <c r="F1000" s="26" t="str">
        <f>IFERROR(VLOOKUP(G1000,WholesaleExtract!B:J,6,FALSE),"")</f>
        <v/>
      </c>
      <c r="G1000" s="46"/>
      <c r="H1000" s="47" t="str">
        <f>IFERROR(VLOOKUP(G1000,WholesaleExtract!B:L,11,FALSE),"")</f>
        <v/>
      </c>
      <c r="I1000" s="26" t="str">
        <f>IFERROR(VLOOKUP(G1000,WholesaleExtract!B:O,8,FALSE),"")</f>
        <v/>
      </c>
      <c r="J1000" s="26" t="str">
        <f>IFERROR(VLOOKUP(G1000,WholesaleExtract!B:O,14,FALSE),"")</f>
        <v/>
      </c>
      <c r="K1000" s="26" t="str">
        <f>IFERROR(VLOOKUP(G1000,WholesaleExtract!B:K,10,FALSE),"")</f>
        <v/>
      </c>
      <c r="L1000" s="47" t="str">
        <f>IFERROR(VLOOKUP(G1000,WholesaleExtract!B:L,11,FALSE),"")</f>
        <v/>
      </c>
      <c r="M1000" s="47" t="str">
        <f>IFERROR(VLOOKUP(G1000,WholesaleExtract!B:M,12,FALSE),"")</f>
        <v/>
      </c>
      <c r="N1000" s="27"/>
      <c r="O1000" s="19"/>
      <c r="P1000" s="19"/>
      <c r="Q1000" s="47"/>
      <c r="R1000" s="19"/>
      <c r="S1000" s="19"/>
    </row>
    <row r="1001" spans="1:19" x14ac:dyDescent="0.35">
      <c r="A1001" s="26" t="s">
        <v>543</v>
      </c>
      <c r="B1001" s="26" t="s">
        <v>543</v>
      </c>
      <c r="C1001" s="26"/>
      <c r="D1001" s="26" t="s">
        <v>543</v>
      </c>
      <c r="E1001" s="26" t="str">
        <f>IFERROR(VLOOKUP(G1001,WholesaleExtract!B:J,9,FALSE),"")</f>
        <v/>
      </c>
      <c r="F1001" s="26" t="str">
        <f>IFERROR(VLOOKUP(G1001,WholesaleExtract!B:J,6,FALSE),"")</f>
        <v/>
      </c>
      <c r="G1001" s="46"/>
      <c r="H1001" s="47" t="str">
        <f>IFERROR(VLOOKUP(G1001,WholesaleExtract!B:L,11,FALSE),"")</f>
        <v/>
      </c>
      <c r="I1001" s="26" t="str">
        <f>IFERROR(VLOOKUP(G1001,WholesaleExtract!B:O,8,FALSE),"")</f>
        <v/>
      </c>
      <c r="J1001" s="26" t="str">
        <f>IFERROR(VLOOKUP(G1001,WholesaleExtract!B:O,14,FALSE),"")</f>
        <v/>
      </c>
      <c r="K1001" s="26" t="str">
        <f>IFERROR(VLOOKUP(G1001,WholesaleExtract!B:K,10,FALSE),"")</f>
        <v/>
      </c>
      <c r="L1001" s="47" t="str">
        <f>IFERROR(VLOOKUP(G1001,WholesaleExtract!B:L,11,FALSE),"")</f>
        <v/>
      </c>
      <c r="M1001" s="47" t="str">
        <f>IFERROR(VLOOKUP(G1001,WholesaleExtract!B:M,12,FALSE),"")</f>
        <v/>
      </c>
      <c r="N1001" s="27"/>
      <c r="O1001" s="19"/>
      <c r="P1001" s="19"/>
      <c r="Q1001" s="47"/>
      <c r="R1001" s="19"/>
      <c r="S1001" s="19"/>
    </row>
    <row r="1002" spans="1:19" x14ac:dyDescent="0.35">
      <c r="A1002" s="26" t="s">
        <v>543</v>
      </c>
      <c r="B1002" s="26" t="s">
        <v>543</v>
      </c>
      <c r="C1002" s="26"/>
      <c r="D1002" s="26" t="s">
        <v>543</v>
      </c>
      <c r="E1002" s="26" t="str">
        <f>IFERROR(VLOOKUP(G1002,WholesaleExtract!B:J,9,FALSE),"")</f>
        <v/>
      </c>
      <c r="F1002" s="26" t="str">
        <f>IFERROR(VLOOKUP(G1002,WholesaleExtract!B:J,6,FALSE),"")</f>
        <v/>
      </c>
      <c r="G1002" s="46"/>
      <c r="H1002" s="47" t="str">
        <f>IFERROR(VLOOKUP(G1002,WholesaleExtract!B:L,11,FALSE),"")</f>
        <v/>
      </c>
      <c r="I1002" s="26" t="str">
        <f>IFERROR(VLOOKUP(G1002,WholesaleExtract!B:O,8,FALSE),"")</f>
        <v/>
      </c>
      <c r="J1002" s="26" t="str">
        <f>IFERROR(VLOOKUP(G1002,WholesaleExtract!B:O,14,FALSE),"")</f>
        <v/>
      </c>
      <c r="K1002" s="26" t="str">
        <f>IFERROR(VLOOKUP(G1002,WholesaleExtract!B:K,10,FALSE),"")</f>
        <v/>
      </c>
      <c r="L1002" s="47" t="str">
        <f>IFERROR(VLOOKUP(G1002,WholesaleExtract!B:L,11,FALSE),"")</f>
        <v/>
      </c>
      <c r="M1002" s="47" t="str">
        <f>IFERROR(VLOOKUP(G1002,WholesaleExtract!B:M,12,FALSE),"")</f>
        <v/>
      </c>
      <c r="N1002" s="27"/>
      <c r="O1002" s="19"/>
      <c r="P1002" s="19"/>
      <c r="Q1002" s="47"/>
      <c r="R1002" s="19"/>
      <c r="S1002" s="19"/>
    </row>
    <row r="1003" spans="1:19" x14ac:dyDescent="0.35">
      <c r="A1003" s="26" t="s">
        <v>543</v>
      </c>
      <c r="B1003" s="26" t="s">
        <v>543</v>
      </c>
      <c r="C1003" s="26"/>
      <c r="D1003" s="26" t="s">
        <v>543</v>
      </c>
      <c r="E1003" s="26" t="str">
        <f>IFERROR(VLOOKUP(G1003,WholesaleExtract!B:J,9,FALSE),"")</f>
        <v/>
      </c>
      <c r="F1003" s="26" t="str">
        <f>IFERROR(VLOOKUP(G1003,WholesaleExtract!B:J,6,FALSE),"")</f>
        <v/>
      </c>
      <c r="G1003" s="46"/>
      <c r="H1003" s="47" t="str">
        <f>IFERROR(VLOOKUP(G1003,WholesaleExtract!B:L,11,FALSE),"")</f>
        <v/>
      </c>
      <c r="I1003" s="26" t="str">
        <f>IFERROR(VLOOKUP(G1003,WholesaleExtract!B:O,8,FALSE),"")</f>
        <v/>
      </c>
      <c r="J1003" s="26" t="str">
        <f>IFERROR(VLOOKUP(G1003,WholesaleExtract!B:O,14,FALSE),"")</f>
        <v/>
      </c>
      <c r="K1003" s="26" t="str">
        <f>IFERROR(VLOOKUP(G1003,WholesaleExtract!B:K,10,FALSE),"")</f>
        <v/>
      </c>
      <c r="L1003" s="47" t="str">
        <f>IFERROR(VLOOKUP(G1003,WholesaleExtract!B:L,11,FALSE),"")</f>
        <v/>
      </c>
      <c r="M1003" s="47" t="str">
        <f>IFERROR(VLOOKUP(G1003,WholesaleExtract!B:M,12,FALSE),"")</f>
        <v/>
      </c>
      <c r="N1003" s="27"/>
      <c r="O1003" s="19"/>
      <c r="P1003" s="19"/>
      <c r="Q1003" s="47"/>
      <c r="R1003" s="19"/>
      <c r="S1003" s="19"/>
    </row>
    <row r="1004" spans="1:19" x14ac:dyDescent="0.35">
      <c r="A1004" s="26" t="s">
        <v>543</v>
      </c>
      <c r="B1004" s="26" t="s">
        <v>543</v>
      </c>
      <c r="C1004" s="26"/>
      <c r="D1004" s="26" t="s">
        <v>543</v>
      </c>
      <c r="E1004" s="26" t="str">
        <f>IFERROR(VLOOKUP(G1004,WholesaleExtract!B:J,9,FALSE),"")</f>
        <v/>
      </c>
      <c r="F1004" s="26" t="str">
        <f>IFERROR(VLOOKUP(G1004,WholesaleExtract!B:J,6,FALSE),"")</f>
        <v/>
      </c>
      <c r="G1004" s="46"/>
      <c r="H1004" s="47" t="str">
        <f>IFERROR(VLOOKUP(G1004,WholesaleExtract!B:L,11,FALSE),"")</f>
        <v/>
      </c>
      <c r="I1004" s="26" t="str">
        <f>IFERROR(VLOOKUP(G1004,WholesaleExtract!B:O,8,FALSE),"")</f>
        <v/>
      </c>
      <c r="J1004" s="26" t="str">
        <f>IFERROR(VLOOKUP(G1004,WholesaleExtract!B:O,14,FALSE),"")</f>
        <v/>
      </c>
      <c r="K1004" s="26" t="str">
        <f>IFERROR(VLOOKUP(G1004,WholesaleExtract!B:K,10,FALSE),"")</f>
        <v/>
      </c>
      <c r="L1004" s="47" t="str">
        <f>IFERROR(VLOOKUP(G1004,WholesaleExtract!B:L,11,FALSE),"")</f>
        <v/>
      </c>
      <c r="M1004" s="47" t="str">
        <f>IFERROR(VLOOKUP(G1004,WholesaleExtract!B:M,12,FALSE),"")</f>
        <v/>
      </c>
      <c r="N1004" s="27"/>
      <c r="O1004" s="19"/>
      <c r="P1004" s="19"/>
      <c r="Q1004" s="47"/>
      <c r="R1004" s="19"/>
      <c r="S1004" s="19"/>
    </row>
    <row r="1005" spans="1:19" x14ac:dyDescent="0.35">
      <c r="A1005" s="26" t="s">
        <v>543</v>
      </c>
      <c r="B1005" s="26" t="s">
        <v>543</v>
      </c>
      <c r="C1005" s="26"/>
      <c r="D1005" s="26" t="s">
        <v>543</v>
      </c>
      <c r="E1005" s="26" t="str">
        <f>IFERROR(VLOOKUP(G1005,WholesaleExtract!B:J,9,FALSE),"")</f>
        <v/>
      </c>
      <c r="F1005" s="26" t="str">
        <f>IFERROR(VLOOKUP(G1005,WholesaleExtract!B:J,6,FALSE),"")</f>
        <v/>
      </c>
      <c r="G1005" s="46"/>
      <c r="H1005" s="47" t="str">
        <f>IFERROR(VLOOKUP(G1005,WholesaleExtract!B:L,11,FALSE),"")</f>
        <v/>
      </c>
      <c r="I1005" s="26" t="str">
        <f>IFERROR(VLOOKUP(G1005,WholesaleExtract!B:O,8,FALSE),"")</f>
        <v/>
      </c>
      <c r="J1005" s="26" t="str">
        <f>IFERROR(VLOOKUP(G1005,WholesaleExtract!B:O,14,FALSE),"")</f>
        <v/>
      </c>
      <c r="K1005" s="26" t="str">
        <f>IFERROR(VLOOKUP(G1005,WholesaleExtract!B:K,10,FALSE),"")</f>
        <v/>
      </c>
      <c r="L1005" s="47" t="str">
        <f>IFERROR(VLOOKUP(G1005,WholesaleExtract!B:L,11,FALSE),"")</f>
        <v/>
      </c>
      <c r="M1005" s="47" t="str">
        <f>IFERROR(VLOOKUP(G1005,WholesaleExtract!B:M,12,FALSE),"")</f>
        <v/>
      </c>
      <c r="N1005" s="27"/>
      <c r="O1005" s="19"/>
      <c r="P1005" s="19"/>
      <c r="Q1005" s="47"/>
      <c r="R1005" s="19"/>
      <c r="S1005" s="19"/>
    </row>
    <row r="1006" spans="1:19" x14ac:dyDescent="0.35">
      <c r="A1006" s="26" t="s">
        <v>543</v>
      </c>
      <c r="B1006" s="26" t="s">
        <v>543</v>
      </c>
      <c r="C1006" s="26"/>
      <c r="D1006" s="26" t="s">
        <v>543</v>
      </c>
      <c r="E1006" s="26" t="str">
        <f>IFERROR(VLOOKUP(G1006,WholesaleExtract!B:J,9,FALSE),"")</f>
        <v/>
      </c>
      <c r="F1006" s="26" t="str">
        <f>IFERROR(VLOOKUP(G1006,WholesaleExtract!B:J,6,FALSE),"")</f>
        <v/>
      </c>
      <c r="G1006" s="46"/>
      <c r="H1006" s="47" t="str">
        <f>IFERROR(VLOOKUP(G1006,WholesaleExtract!B:L,11,FALSE),"")</f>
        <v/>
      </c>
      <c r="I1006" s="26" t="str">
        <f>IFERROR(VLOOKUP(G1006,WholesaleExtract!B:O,8,FALSE),"")</f>
        <v/>
      </c>
      <c r="J1006" s="26" t="str">
        <f>IFERROR(VLOOKUP(G1006,WholesaleExtract!B:O,14,FALSE),"")</f>
        <v/>
      </c>
      <c r="K1006" s="26" t="str">
        <f>IFERROR(VLOOKUP(G1006,WholesaleExtract!B:K,10,FALSE),"")</f>
        <v/>
      </c>
      <c r="L1006" s="47" t="str">
        <f>IFERROR(VLOOKUP(G1006,WholesaleExtract!B:L,11,FALSE),"")</f>
        <v/>
      </c>
      <c r="M1006" s="47" t="str">
        <f>IFERROR(VLOOKUP(G1006,WholesaleExtract!B:M,12,FALSE),"")</f>
        <v/>
      </c>
      <c r="N1006" s="27"/>
      <c r="O1006" s="19"/>
      <c r="P1006" s="19"/>
      <c r="Q1006" s="47"/>
      <c r="R1006" s="19"/>
      <c r="S1006" s="19"/>
    </row>
    <row r="1007" spans="1:19" x14ac:dyDescent="0.35">
      <c r="A1007" s="26" t="s">
        <v>543</v>
      </c>
      <c r="B1007" s="26" t="s">
        <v>543</v>
      </c>
      <c r="C1007" s="26"/>
      <c r="D1007" s="26" t="s">
        <v>543</v>
      </c>
      <c r="E1007" s="26" t="str">
        <f>IFERROR(VLOOKUP(G1007,WholesaleExtract!B:J,9,FALSE),"")</f>
        <v/>
      </c>
      <c r="F1007" s="26" t="str">
        <f>IFERROR(VLOOKUP(G1007,WholesaleExtract!B:J,6,FALSE),"")</f>
        <v/>
      </c>
      <c r="G1007" s="46"/>
      <c r="H1007" s="47" t="str">
        <f>IFERROR(VLOOKUP(G1007,WholesaleExtract!B:L,11,FALSE),"")</f>
        <v/>
      </c>
      <c r="I1007" s="26" t="str">
        <f>IFERROR(VLOOKUP(G1007,WholesaleExtract!B:O,8,FALSE),"")</f>
        <v/>
      </c>
      <c r="J1007" s="26" t="str">
        <f>IFERROR(VLOOKUP(G1007,WholesaleExtract!B:O,14,FALSE),"")</f>
        <v/>
      </c>
      <c r="K1007" s="26" t="str">
        <f>IFERROR(VLOOKUP(G1007,WholesaleExtract!B:K,10,FALSE),"")</f>
        <v/>
      </c>
      <c r="L1007" s="47" t="str">
        <f>IFERROR(VLOOKUP(G1007,WholesaleExtract!B:L,11,FALSE),"")</f>
        <v/>
      </c>
      <c r="M1007" s="47" t="str">
        <f>IFERROR(VLOOKUP(G1007,WholesaleExtract!B:M,12,FALSE),"")</f>
        <v/>
      </c>
      <c r="N1007" s="27"/>
      <c r="O1007" s="19"/>
      <c r="P1007" s="19"/>
      <c r="Q1007" s="47"/>
      <c r="R1007" s="19"/>
      <c r="S1007" s="19"/>
    </row>
    <row r="1008" spans="1:19" x14ac:dyDescent="0.35">
      <c r="A1008" s="26" t="s">
        <v>543</v>
      </c>
      <c r="B1008" s="26" t="s">
        <v>543</v>
      </c>
      <c r="C1008" s="26"/>
      <c r="D1008" s="26" t="s">
        <v>543</v>
      </c>
      <c r="E1008" s="26" t="str">
        <f>IFERROR(VLOOKUP(G1008,WholesaleExtract!B:J,9,FALSE),"")</f>
        <v/>
      </c>
      <c r="F1008" s="26" t="str">
        <f>IFERROR(VLOOKUP(G1008,WholesaleExtract!B:J,6,FALSE),"")</f>
        <v/>
      </c>
      <c r="G1008" s="46"/>
      <c r="H1008" s="47" t="str">
        <f>IFERROR(VLOOKUP(G1008,WholesaleExtract!B:L,11,FALSE),"")</f>
        <v/>
      </c>
      <c r="I1008" s="26" t="str">
        <f>IFERROR(VLOOKUP(G1008,WholesaleExtract!B:O,8,FALSE),"")</f>
        <v/>
      </c>
      <c r="J1008" s="26" t="str">
        <f>IFERROR(VLOOKUP(G1008,WholesaleExtract!B:O,14,FALSE),"")</f>
        <v/>
      </c>
      <c r="K1008" s="26" t="str">
        <f>IFERROR(VLOOKUP(G1008,WholesaleExtract!B:K,10,FALSE),"")</f>
        <v/>
      </c>
      <c r="L1008" s="47" t="str">
        <f>IFERROR(VLOOKUP(G1008,WholesaleExtract!B:L,11,FALSE),"")</f>
        <v/>
      </c>
      <c r="M1008" s="47" t="str">
        <f>IFERROR(VLOOKUP(G1008,WholesaleExtract!B:M,12,FALSE),"")</f>
        <v/>
      </c>
      <c r="N1008" s="27"/>
      <c r="O1008" s="19"/>
      <c r="P1008" s="19"/>
      <c r="Q1008" s="47"/>
      <c r="R1008" s="19"/>
      <c r="S1008" s="19"/>
    </row>
    <row r="1009" spans="1:19" x14ac:dyDescent="0.35">
      <c r="A1009" s="26" t="s">
        <v>543</v>
      </c>
      <c r="B1009" s="26" t="s">
        <v>543</v>
      </c>
      <c r="C1009" s="26"/>
      <c r="D1009" s="26" t="s">
        <v>543</v>
      </c>
      <c r="E1009" s="26" t="str">
        <f>IFERROR(VLOOKUP(G1009,WholesaleExtract!B:J,9,FALSE),"")</f>
        <v/>
      </c>
      <c r="F1009" s="26" t="str">
        <f>IFERROR(VLOOKUP(G1009,WholesaleExtract!B:J,6,FALSE),"")</f>
        <v/>
      </c>
      <c r="G1009" s="46"/>
      <c r="H1009" s="47" t="str">
        <f>IFERROR(VLOOKUP(G1009,WholesaleExtract!B:L,11,FALSE),"")</f>
        <v/>
      </c>
      <c r="I1009" s="26" t="str">
        <f>IFERROR(VLOOKUP(G1009,WholesaleExtract!B:O,8,FALSE),"")</f>
        <v/>
      </c>
      <c r="J1009" s="26" t="str">
        <f>IFERROR(VLOOKUP(G1009,WholesaleExtract!B:O,14,FALSE),"")</f>
        <v/>
      </c>
      <c r="K1009" s="26" t="str">
        <f>IFERROR(VLOOKUP(G1009,WholesaleExtract!B:K,10,FALSE),"")</f>
        <v/>
      </c>
      <c r="L1009" s="47" t="str">
        <f>IFERROR(VLOOKUP(G1009,WholesaleExtract!B:L,11,FALSE),"")</f>
        <v/>
      </c>
      <c r="M1009" s="47" t="str">
        <f>IFERROR(VLOOKUP(G1009,WholesaleExtract!B:M,12,FALSE),"")</f>
        <v/>
      </c>
      <c r="N1009" s="27"/>
      <c r="O1009" s="19"/>
      <c r="P1009" s="19"/>
      <c r="Q1009" s="47"/>
      <c r="R1009" s="19"/>
      <c r="S1009" s="19"/>
    </row>
    <row r="1010" spans="1:19" x14ac:dyDescent="0.35">
      <c r="A1010" s="26" t="s">
        <v>543</v>
      </c>
      <c r="B1010" s="26" t="s">
        <v>543</v>
      </c>
      <c r="C1010" s="26"/>
      <c r="D1010" s="26" t="s">
        <v>543</v>
      </c>
      <c r="E1010" s="26" t="str">
        <f>IFERROR(VLOOKUP(G1010,WholesaleExtract!B:J,9,FALSE),"")</f>
        <v/>
      </c>
      <c r="F1010" s="26" t="str">
        <f>IFERROR(VLOOKUP(G1010,WholesaleExtract!B:J,6,FALSE),"")</f>
        <v/>
      </c>
      <c r="G1010" s="46"/>
      <c r="H1010" s="47" t="str">
        <f>IFERROR(VLOOKUP(G1010,WholesaleExtract!B:L,11,FALSE),"")</f>
        <v/>
      </c>
      <c r="I1010" s="26" t="str">
        <f>IFERROR(VLOOKUP(G1010,WholesaleExtract!B:O,8,FALSE),"")</f>
        <v/>
      </c>
      <c r="J1010" s="26" t="str">
        <f>IFERROR(VLOOKUP(G1010,WholesaleExtract!B:O,14,FALSE),"")</f>
        <v/>
      </c>
      <c r="K1010" s="26" t="str">
        <f>IFERROR(VLOOKUP(G1010,WholesaleExtract!B:K,10,FALSE),"")</f>
        <v/>
      </c>
      <c r="L1010" s="47" t="str">
        <f>IFERROR(VLOOKUP(G1010,WholesaleExtract!B:L,11,FALSE),"")</f>
        <v/>
      </c>
      <c r="M1010" s="47" t="str">
        <f>IFERROR(VLOOKUP(G1010,WholesaleExtract!B:M,12,FALSE),"")</f>
        <v/>
      </c>
      <c r="N1010" s="27"/>
      <c r="O1010" s="19"/>
      <c r="P1010" s="19"/>
      <c r="Q1010" s="47"/>
      <c r="R1010" s="19"/>
      <c r="S1010" s="19"/>
    </row>
    <row r="1011" spans="1:19" x14ac:dyDescent="0.35">
      <c r="A1011" s="26" t="s">
        <v>543</v>
      </c>
      <c r="B1011" s="26" t="s">
        <v>543</v>
      </c>
      <c r="C1011" s="26"/>
      <c r="D1011" s="26" t="s">
        <v>543</v>
      </c>
      <c r="E1011" s="26" t="str">
        <f>IFERROR(VLOOKUP(G1011,WholesaleExtract!B:J,9,FALSE),"")</f>
        <v/>
      </c>
      <c r="F1011" s="26" t="str">
        <f>IFERROR(VLOOKUP(G1011,WholesaleExtract!B:J,6,FALSE),"")</f>
        <v/>
      </c>
      <c r="G1011" s="46"/>
      <c r="H1011" s="47" t="str">
        <f>IFERROR(VLOOKUP(G1011,WholesaleExtract!B:L,11,FALSE),"")</f>
        <v/>
      </c>
      <c r="I1011" s="26" t="str">
        <f>IFERROR(VLOOKUP(G1011,WholesaleExtract!B:O,8,FALSE),"")</f>
        <v/>
      </c>
      <c r="J1011" s="26" t="str">
        <f>IFERROR(VLOOKUP(G1011,WholesaleExtract!B:O,14,FALSE),"")</f>
        <v/>
      </c>
      <c r="K1011" s="26" t="str">
        <f>IFERROR(VLOOKUP(G1011,WholesaleExtract!B:K,10,FALSE),"")</f>
        <v/>
      </c>
      <c r="L1011" s="47" t="str">
        <f>IFERROR(VLOOKUP(G1011,WholesaleExtract!B:L,11,FALSE),"")</f>
        <v/>
      </c>
      <c r="M1011" s="47" t="str">
        <f>IFERROR(VLOOKUP(G1011,WholesaleExtract!B:M,12,FALSE),"")</f>
        <v/>
      </c>
      <c r="N1011" s="27"/>
      <c r="O1011" s="19"/>
      <c r="P1011" s="19"/>
      <c r="Q1011" s="47"/>
      <c r="R1011" s="19"/>
      <c r="S1011" s="19"/>
    </row>
    <row r="1012" spans="1:19" x14ac:dyDescent="0.35">
      <c r="A1012" s="26" t="s">
        <v>543</v>
      </c>
      <c r="B1012" s="26" t="s">
        <v>543</v>
      </c>
      <c r="C1012" s="26"/>
      <c r="D1012" s="26" t="s">
        <v>543</v>
      </c>
      <c r="E1012" s="26" t="str">
        <f>IFERROR(VLOOKUP(G1012,WholesaleExtract!B:J,9,FALSE),"")</f>
        <v/>
      </c>
      <c r="F1012" s="26" t="str">
        <f>IFERROR(VLOOKUP(G1012,WholesaleExtract!B:J,6,FALSE),"")</f>
        <v/>
      </c>
      <c r="G1012" s="46"/>
      <c r="H1012" s="47" t="str">
        <f>IFERROR(VLOOKUP(G1012,WholesaleExtract!B:L,11,FALSE),"")</f>
        <v/>
      </c>
      <c r="I1012" s="26" t="str">
        <f>IFERROR(VLOOKUP(G1012,WholesaleExtract!B:O,8,FALSE),"")</f>
        <v/>
      </c>
      <c r="J1012" s="26" t="str">
        <f>IFERROR(VLOOKUP(G1012,WholesaleExtract!B:O,14,FALSE),"")</f>
        <v/>
      </c>
      <c r="K1012" s="26" t="str">
        <f>IFERROR(VLOOKUP(G1012,WholesaleExtract!B:K,10,FALSE),"")</f>
        <v/>
      </c>
      <c r="L1012" s="47" t="str">
        <f>IFERROR(VLOOKUP(G1012,WholesaleExtract!B:L,11,FALSE),"")</f>
        <v/>
      </c>
      <c r="M1012" s="47" t="str">
        <f>IFERROR(VLOOKUP(G1012,WholesaleExtract!B:M,12,FALSE),"")</f>
        <v/>
      </c>
      <c r="N1012" s="27"/>
      <c r="O1012" s="19"/>
      <c r="P1012" s="19"/>
      <c r="Q1012" s="47"/>
      <c r="R1012" s="19"/>
      <c r="S1012" s="19"/>
    </row>
    <row r="1013" spans="1:19" x14ac:dyDescent="0.35">
      <c r="A1013" s="26" t="s">
        <v>543</v>
      </c>
      <c r="B1013" s="26" t="s">
        <v>543</v>
      </c>
      <c r="C1013" s="26"/>
      <c r="D1013" s="26" t="s">
        <v>543</v>
      </c>
      <c r="E1013" s="26" t="str">
        <f>IFERROR(VLOOKUP(G1013,WholesaleExtract!B:J,9,FALSE),"")</f>
        <v/>
      </c>
      <c r="F1013" s="26" t="str">
        <f>IFERROR(VLOOKUP(G1013,WholesaleExtract!B:J,6,FALSE),"")</f>
        <v/>
      </c>
      <c r="G1013" s="46"/>
      <c r="H1013" s="47" t="str">
        <f>IFERROR(VLOOKUP(G1013,WholesaleExtract!B:L,11,FALSE),"")</f>
        <v/>
      </c>
      <c r="I1013" s="26" t="str">
        <f>IFERROR(VLOOKUP(G1013,WholesaleExtract!B:O,8,FALSE),"")</f>
        <v/>
      </c>
      <c r="J1013" s="26" t="str">
        <f>IFERROR(VLOOKUP(G1013,WholesaleExtract!B:O,14,FALSE),"")</f>
        <v/>
      </c>
      <c r="K1013" s="26" t="str">
        <f>IFERROR(VLOOKUP(G1013,WholesaleExtract!B:K,10,FALSE),"")</f>
        <v/>
      </c>
      <c r="L1013" s="47" t="str">
        <f>IFERROR(VLOOKUP(G1013,WholesaleExtract!B:L,11,FALSE),"")</f>
        <v/>
      </c>
      <c r="M1013" s="47" t="str">
        <f>IFERROR(VLOOKUP(G1013,WholesaleExtract!B:M,12,FALSE),"")</f>
        <v/>
      </c>
      <c r="N1013" s="27"/>
      <c r="O1013" s="19"/>
      <c r="P1013" s="19"/>
      <c r="Q1013" s="47"/>
      <c r="R1013" s="19"/>
      <c r="S1013" s="19"/>
    </row>
    <row r="1014" spans="1:19" x14ac:dyDescent="0.35">
      <c r="A1014" s="26" t="s">
        <v>543</v>
      </c>
      <c r="B1014" s="26" t="s">
        <v>543</v>
      </c>
      <c r="C1014" s="26"/>
      <c r="D1014" s="26" t="s">
        <v>543</v>
      </c>
      <c r="E1014" s="26" t="str">
        <f>IFERROR(VLOOKUP(G1014,WholesaleExtract!B:J,9,FALSE),"")</f>
        <v/>
      </c>
      <c r="F1014" s="26" t="str">
        <f>IFERROR(VLOOKUP(G1014,WholesaleExtract!B:J,6,FALSE),"")</f>
        <v/>
      </c>
      <c r="G1014" s="46"/>
      <c r="H1014" s="47" t="str">
        <f>IFERROR(VLOOKUP(G1014,WholesaleExtract!B:L,11,FALSE),"")</f>
        <v/>
      </c>
      <c r="I1014" s="26" t="str">
        <f>IFERROR(VLOOKUP(G1014,WholesaleExtract!B:O,8,FALSE),"")</f>
        <v/>
      </c>
      <c r="J1014" s="26" t="str">
        <f>IFERROR(VLOOKUP(G1014,WholesaleExtract!B:O,14,FALSE),"")</f>
        <v/>
      </c>
      <c r="K1014" s="26" t="str">
        <f>IFERROR(VLOOKUP(G1014,WholesaleExtract!B:K,10,FALSE),"")</f>
        <v/>
      </c>
      <c r="L1014" s="47" t="str">
        <f>IFERROR(VLOOKUP(G1014,WholesaleExtract!B:L,11,FALSE),"")</f>
        <v/>
      </c>
      <c r="M1014" s="47" t="str">
        <f>IFERROR(VLOOKUP(G1014,WholesaleExtract!B:M,12,FALSE),"")</f>
        <v/>
      </c>
      <c r="N1014" s="27"/>
      <c r="O1014" s="19"/>
      <c r="P1014" s="19"/>
      <c r="Q1014" s="47"/>
      <c r="R1014" s="19"/>
      <c r="S1014" s="19"/>
    </row>
    <row r="1015" spans="1:19" x14ac:dyDescent="0.35">
      <c r="A1015" s="26" t="s">
        <v>543</v>
      </c>
      <c r="B1015" s="26" t="s">
        <v>543</v>
      </c>
      <c r="C1015" s="26"/>
      <c r="D1015" s="26" t="s">
        <v>543</v>
      </c>
      <c r="E1015" s="26" t="str">
        <f>IFERROR(VLOOKUP(G1015,WholesaleExtract!B:J,9,FALSE),"")</f>
        <v/>
      </c>
      <c r="F1015" s="26" t="str">
        <f>IFERROR(VLOOKUP(G1015,WholesaleExtract!B:J,6,FALSE),"")</f>
        <v/>
      </c>
      <c r="G1015" s="46"/>
      <c r="H1015" s="47" t="str">
        <f>IFERROR(VLOOKUP(G1015,WholesaleExtract!B:L,11,FALSE),"")</f>
        <v/>
      </c>
      <c r="I1015" s="26" t="str">
        <f>IFERROR(VLOOKUP(G1015,WholesaleExtract!B:O,8,FALSE),"")</f>
        <v/>
      </c>
      <c r="J1015" s="26" t="str">
        <f>IFERROR(VLOOKUP(G1015,WholesaleExtract!B:O,14,FALSE),"")</f>
        <v/>
      </c>
      <c r="K1015" s="26" t="str">
        <f>IFERROR(VLOOKUP(G1015,WholesaleExtract!B:K,10,FALSE),"")</f>
        <v/>
      </c>
      <c r="L1015" s="47" t="str">
        <f>IFERROR(VLOOKUP(G1015,WholesaleExtract!B:L,11,FALSE),"")</f>
        <v/>
      </c>
      <c r="M1015" s="47" t="str">
        <f>IFERROR(VLOOKUP(G1015,WholesaleExtract!B:M,12,FALSE),"")</f>
        <v/>
      </c>
      <c r="N1015" s="27"/>
      <c r="O1015" s="19"/>
      <c r="P1015" s="19"/>
      <c r="Q1015" s="47"/>
      <c r="R1015" s="19"/>
      <c r="S1015" s="19"/>
    </row>
    <row r="1016" spans="1:19" x14ac:dyDescent="0.35">
      <c r="A1016" s="26" t="s">
        <v>543</v>
      </c>
      <c r="B1016" s="26" t="s">
        <v>543</v>
      </c>
      <c r="C1016" s="26"/>
      <c r="D1016" s="26" t="s">
        <v>543</v>
      </c>
      <c r="E1016" s="26" t="str">
        <f>IFERROR(VLOOKUP(G1016,WholesaleExtract!B:J,9,FALSE),"")</f>
        <v/>
      </c>
      <c r="F1016" s="26" t="str">
        <f>IFERROR(VLOOKUP(G1016,WholesaleExtract!B:J,6,FALSE),"")</f>
        <v/>
      </c>
      <c r="G1016" s="46"/>
      <c r="H1016" s="47" t="str">
        <f>IFERROR(VLOOKUP(G1016,WholesaleExtract!B:L,11,FALSE),"")</f>
        <v/>
      </c>
      <c r="I1016" s="26" t="str">
        <f>IFERROR(VLOOKUP(G1016,WholesaleExtract!B:O,8,FALSE),"")</f>
        <v/>
      </c>
      <c r="J1016" s="26" t="str">
        <f>IFERROR(VLOOKUP(G1016,WholesaleExtract!B:O,14,FALSE),"")</f>
        <v/>
      </c>
      <c r="K1016" s="26" t="str">
        <f>IFERROR(VLOOKUP(G1016,WholesaleExtract!B:K,10,FALSE),"")</f>
        <v/>
      </c>
      <c r="L1016" s="47" t="str">
        <f>IFERROR(VLOOKUP(G1016,WholesaleExtract!B:L,11,FALSE),"")</f>
        <v/>
      </c>
      <c r="M1016" s="47" t="str">
        <f>IFERROR(VLOOKUP(G1016,WholesaleExtract!B:M,12,FALSE),"")</f>
        <v/>
      </c>
      <c r="N1016" s="27"/>
      <c r="O1016" s="19"/>
      <c r="P1016" s="19"/>
      <c r="Q1016" s="47"/>
      <c r="R1016" s="19"/>
      <c r="S1016" s="19"/>
    </row>
    <row r="1017" spans="1:19" x14ac:dyDescent="0.35">
      <c r="A1017" s="26" t="s">
        <v>543</v>
      </c>
      <c r="B1017" s="26" t="s">
        <v>543</v>
      </c>
      <c r="C1017" s="26"/>
      <c r="D1017" s="26" t="s">
        <v>543</v>
      </c>
      <c r="E1017" s="26" t="str">
        <f>IFERROR(VLOOKUP(G1017,WholesaleExtract!B:J,9,FALSE),"")</f>
        <v/>
      </c>
      <c r="F1017" s="26" t="str">
        <f>IFERROR(VLOOKUP(G1017,WholesaleExtract!B:J,6,FALSE),"")</f>
        <v/>
      </c>
      <c r="G1017" s="46"/>
      <c r="H1017" s="47" t="str">
        <f>IFERROR(VLOOKUP(G1017,WholesaleExtract!B:L,11,FALSE),"")</f>
        <v/>
      </c>
      <c r="I1017" s="26" t="str">
        <f>IFERROR(VLOOKUP(G1017,WholesaleExtract!B:O,8,FALSE),"")</f>
        <v/>
      </c>
      <c r="J1017" s="26" t="str">
        <f>IFERROR(VLOOKUP(G1017,WholesaleExtract!B:O,14,FALSE),"")</f>
        <v/>
      </c>
      <c r="K1017" s="26" t="str">
        <f>IFERROR(VLOOKUP(G1017,WholesaleExtract!B:K,10,FALSE),"")</f>
        <v/>
      </c>
      <c r="L1017" s="47" t="str">
        <f>IFERROR(VLOOKUP(G1017,WholesaleExtract!B:L,11,FALSE),"")</f>
        <v/>
      </c>
      <c r="M1017" s="47" t="str">
        <f>IFERROR(VLOOKUP(G1017,WholesaleExtract!B:M,12,FALSE),"")</f>
        <v/>
      </c>
      <c r="N1017" s="27"/>
      <c r="O1017" s="19"/>
      <c r="P1017" s="19"/>
      <c r="Q1017" s="47"/>
      <c r="R1017" s="19"/>
      <c r="S1017" s="19"/>
    </row>
    <row r="1018" spans="1:19" x14ac:dyDescent="0.35">
      <c r="A1018" s="26" t="s">
        <v>543</v>
      </c>
      <c r="B1018" s="26" t="s">
        <v>543</v>
      </c>
      <c r="C1018" s="26"/>
      <c r="D1018" s="26" t="s">
        <v>543</v>
      </c>
      <c r="E1018" s="26" t="str">
        <f>IFERROR(VLOOKUP(G1018,WholesaleExtract!B:J,9,FALSE),"")</f>
        <v/>
      </c>
      <c r="F1018" s="26" t="str">
        <f>IFERROR(VLOOKUP(G1018,WholesaleExtract!B:J,6,FALSE),"")</f>
        <v/>
      </c>
      <c r="G1018" s="46"/>
      <c r="H1018" s="47" t="str">
        <f>IFERROR(VLOOKUP(G1018,WholesaleExtract!B:L,11,FALSE),"")</f>
        <v/>
      </c>
      <c r="I1018" s="26" t="str">
        <f>IFERROR(VLOOKUP(G1018,WholesaleExtract!B:O,8,FALSE),"")</f>
        <v/>
      </c>
      <c r="J1018" s="26" t="str">
        <f>IFERROR(VLOOKUP(G1018,WholesaleExtract!B:O,14,FALSE),"")</f>
        <v/>
      </c>
      <c r="K1018" s="26" t="str">
        <f>IFERROR(VLOOKUP(G1018,WholesaleExtract!B:K,10,FALSE),"")</f>
        <v/>
      </c>
      <c r="L1018" s="47" t="str">
        <f>IFERROR(VLOOKUP(G1018,WholesaleExtract!B:L,11,FALSE),"")</f>
        <v/>
      </c>
      <c r="M1018" s="47" t="str">
        <f>IFERROR(VLOOKUP(G1018,WholesaleExtract!B:M,12,FALSE),"")</f>
        <v/>
      </c>
      <c r="N1018" s="27"/>
      <c r="O1018" s="19"/>
      <c r="P1018" s="19"/>
      <c r="Q1018" s="47"/>
      <c r="R1018" s="19"/>
      <c r="S1018" s="19"/>
    </row>
    <row r="1019" spans="1:19" x14ac:dyDescent="0.35">
      <c r="A1019" s="26" t="s">
        <v>543</v>
      </c>
      <c r="B1019" s="26" t="s">
        <v>543</v>
      </c>
      <c r="C1019" s="26"/>
      <c r="D1019" s="26" t="s">
        <v>543</v>
      </c>
      <c r="E1019" s="26" t="str">
        <f>IFERROR(VLOOKUP(G1019,WholesaleExtract!B:J,9,FALSE),"")</f>
        <v/>
      </c>
      <c r="F1019" s="26" t="str">
        <f>IFERROR(VLOOKUP(G1019,WholesaleExtract!B:J,6,FALSE),"")</f>
        <v/>
      </c>
      <c r="G1019" s="46"/>
      <c r="H1019" s="47" t="str">
        <f>IFERROR(VLOOKUP(G1019,WholesaleExtract!B:L,11,FALSE),"")</f>
        <v/>
      </c>
      <c r="I1019" s="26" t="str">
        <f>IFERROR(VLOOKUP(G1019,WholesaleExtract!B:O,8,FALSE),"")</f>
        <v/>
      </c>
      <c r="J1019" s="26" t="str">
        <f>IFERROR(VLOOKUP(G1019,WholesaleExtract!B:O,14,FALSE),"")</f>
        <v/>
      </c>
      <c r="K1019" s="26" t="str">
        <f>IFERROR(VLOOKUP(G1019,WholesaleExtract!B:K,10,FALSE),"")</f>
        <v/>
      </c>
      <c r="L1019" s="47" t="str">
        <f>IFERROR(VLOOKUP(G1019,WholesaleExtract!B:L,11,FALSE),"")</f>
        <v/>
      </c>
      <c r="M1019" s="47" t="str">
        <f>IFERROR(VLOOKUP(G1019,WholesaleExtract!B:M,12,FALSE),"")</f>
        <v/>
      </c>
      <c r="N1019" s="27"/>
      <c r="O1019" s="19"/>
      <c r="P1019" s="19"/>
      <c r="Q1019" s="47"/>
      <c r="R1019" s="19"/>
      <c r="S1019" s="19"/>
    </row>
    <row r="1020" spans="1:19" x14ac:dyDescent="0.35">
      <c r="A1020" s="26" t="s">
        <v>543</v>
      </c>
      <c r="B1020" s="26" t="s">
        <v>543</v>
      </c>
      <c r="C1020" s="26"/>
      <c r="D1020" s="26" t="s">
        <v>543</v>
      </c>
      <c r="E1020" s="26" t="str">
        <f>IFERROR(VLOOKUP(G1020,WholesaleExtract!B:J,9,FALSE),"")</f>
        <v/>
      </c>
      <c r="F1020" s="26" t="str">
        <f>IFERROR(VLOOKUP(G1020,WholesaleExtract!B:J,6,FALSE),"")</f>
        <v/>
      </c>
      <c r="G1020" s="46"/>
      <c r="H1020" s="47" t="str">
        <f>IFERROR(VLOOKUP(G1020,WholesaleExtract!B:L,11,FALSE),"")</f>
        <v/>
      </c>
      <c r="I1020" s="26" t="str">
        <f>IFERROR(VLOOKUP(G1020,WholesaleExtract!B:O,8,FALSE),"")</f>
        <v/>
      </c>
      <c r="J1020" s="26" t="str">
        <f>IFERROR(VLOOKUP(G1020,WholesaleExtract!B:O,14,FALSE),"")</f>
        <v/>
      </c>
      <c r="K1020" s="26" t="str">
        <f>IFERROR(VLOOKUP(G1020,WholesaleExtract!B:K,10,FALSE),"")</f>
        <v/>
      </c>
      <c r="L1020" s="47" t="str">
        <f>IFERROR(VLOOKUP(G1020,WholesaleExtract!B:L,11,FALSE),"")</f>
        <v/>
      </c>
      <c r="M1020" s="47" t="str">
        <f>IFERROR(VLOOKUP(G1020,WholesaleExtract!B:M,12,FALSE),"")</f>
        <v/>
      </c>
      <c r="N1020" s="27"/>
      <c r="O1020" s="19"/>
      <c r="P1020" s="19"/>
      <c r="Q1020" s="47"/>
      <c r="R1020" s="19"/>
      <c r="S1020" s="19"/>
    </row>
    <row r="1021" spans="1:19" x14ac:dyDescent="0.35">
      <c r="A1021" s="26" t="s">
        <v>543</v>
      </c>
      <c r="B1021" s="26" t="s">
        <v>543</v>
      </c>
      <c r="C1021" s="26"/>
      <c r="D1021" s="26" t="s">
        <v>543</v>
      </c>
      <c r="E1021" s="26" t="str">
        <f>IFERROR(VLOOKUP(G1021,WholesaleExtract!B:J,9,FALSE),"")</f>
        <v/>
      </c>
      <c r="F1021" s="26" t="str">
        <f>IFERROR(VLOOKUP(G1021,WholesaleExtract!B:J,6,FALSE),"")</f>
        <v/>
      </c>
      <c r="G1021" s="46"/>
      <c r="H1021" s="47" t="str">
        <f>IFERROR(VLOOKUP(G1021,WholesaleExtract!B:L,11,FALSE),"")</f>
        <v/>
      </c>
      <c r="I1021" s="26" t="str">
        <f>IFERROR(VLOOKUP(G1021,WholesaleExtract!B:O,8,FALSE),"")</f>
        <v/>
      </c>
      <c r="J1021" s="26" t="str">
        <f>IFERROR(VLOOKUP(G1021,WholesaleExtract!B:O,14,FALSE),"")</f>
        <v/>
      </c>
      <c r="K1021" s="26" t="str">
        <f>IFERROR(VLOOKUP(G1021,WholesaleExtract!B:K,10,FALSE),"")</f>
        <v/>
      </c>
      <c r="L1021" s="47" t="str">
        <f>IFERROR(VLOOKUP(G1021,WholesaleExtract!B:L,11,FALSE),"")</f>
        <v/>
      </c>
      <c r="M1021" s="47" t="str">
        <f>IFERROR(VLOOKUP(G1021,WholesaleExtract!B:M,12,FALSE),"")</f>
        <v/>
      </c>
      <c r="N1021" s="27"/>
      <c r="O1021" s="19"/>
      <c r="P1021" s="19"/>
      <c r="Q1021" s="47"/>
      <c r="R1021" s="19"/>
      <c r="S1021" s="19"/>
    </row>
    <row r="1022" spans="1:19" x14ac:dyDescent="0.35">
      <c r="A1022" s="26" t="s">
        <v>543</v>
      </c>
      <c r="B1022" s="26" t="s">
        <v>543</v>
      </c>
      <c r="C1022" s="26"/>
      <c r="D1022" s="26" t="s">
        <v>543</v>
      </c>
      <c r="E1022" s="26" t="str">
        <f>IFERROR(VLOOKUP(G1022,WholesaleExtract!B:J,9,FALSE),"")</f>
        <v/>
      </c>
      <c r="F1022" s="26" t="str">
        <f>IFERROR(VLOOKUP(G1022,WholesaleExtract!B:J,6,FALSE),"")</f>
        <v/>
      </c>
      <c r="G1022" s="46"/>
      <c r="H1022" s="47" t="str">
        <f>IFERROR(VLOOKUP(G1022,WholesaleExtract!B:L,11,FALSE),"")</f>
        <v/>
      </c>
      <c r="I1022" s="26" t="str">
        <f>IFERROR(VLOOKUP(G1022,WholesaleExtract!B:O,8,FALSE),"")</f>
        <v/>
      </c>
      <c r="J1022" s="26" t="str">
        <f>IFERROR(VLOOKUP(G1022,WholesaleExtract!B:O,14,FALSE),"")</f>
        <v/>
      </c>
      <c r="K1022" s="26" t="str">
        <f>IFERROR(VLOOKUP(G1022,WholesaleExtract!B:K,10,FALSE),"")</f>
        <v/>
      </c>
      <c r="L1022" s="47" t="str">
        <f>IFERROR(VLOOKUP(G1022,WholesaleExtract!B:L,11,FALSE),"")</f>
        <v/>
      </c>
      <c r="M1022" s="47" t="str">
        <f>IFERROR(VLOOKUP(G1022,WholesaleExtract!B:M,12,FALSE),"")</f>
        <v/>
      </c>
      <c r="N1022" s="27"/>
      <c r="O1022" s="19"/>
      <c r="P1022" s="19"/>
      <c r="Q1022" s="47"/>
      <c r="R1022" s="19"/>
      <c r="S1022" s="19"/>
    </row>
    <row r="1023" spans="1:19" x14ac:dyDescent="0.35">
      <c r="A1023" s="26" t="s">
        <v>543</v>
      </c>
      <c r="B1023" s="26" t="s">
        <v>543</v>
      </c>
      <c r="C1023" s="26"/>
      <c r="D1023" s="26" t="s">
        <v>543</v>
      </c>
      <c r="E1023" s="26" t="str">
        <f>IFERROR(VLOOKUP(G1023,WholesaleExtract!B:J,9,FALSE),"")</f>
        <v/>
      </c>
      <c r="F1023" s="26" t="str">
        <f>IFERROR(VLOOKUP(G1023,WholesaleExtract!B:J,6,FALSE),"")</f>
        <v/>
      </c>
      <c r="G1023" s="46"/>
      <c r="H1023" s="47" t="str">
        <f>IFERROR(VLOOKUP(G1023,WholesaleExtract!B:L,11,FALSE),"")</f>
        <v/>
      </c>
      <c r="I1023" s="26" t="str">
        <f>IFERROR(VLOOKUP(G1023,WholesaleExtract!B:O,8,FALSE),"")</f>
        <v/>
      </c>
      <c r="J1023" s="26" t="str">
        <f>IFERROR(VLOOKUP(G1023,WholesaleExtract!B:O,14,FALSE),"")</f>
        <v/>
      </c>
      <c r="K1023" s="26" t="str">
        <f>IFERROR(VLOOKUP(G1023,WholesaleExtract!B:K,10,FALSE),"")</f>
        <v/>
      </c>
      <c r="L1023" s="47" t="str">
        <f>IFERROR(VLOOKUP(G1023,WholesaleExtract!B:L,11,FALSE),"")</f>
        <v/>
      </c>
      <c r="M1023" s="47" t="str">
        <f>IFERROR(VLOOKUP(G1023,WholesaleExtract!B:M,12,FALSE),"")</f>
        <v/>
      </c>
      <c r="N1023" s="27"/>
      <c r="O1023" s="19"/>
      <c r="P1023" s="19"/>
      <c r="Q1023" s="47"/>
      <c r="R1023" s="19"/>
      <c r="S1023" s="19"/>
    </row>
    <row r="1024" spans="1:19" x14ac:dyDescent="0.35">
      <c r="A1024" s="26" t="s">
        <v>543</v>
      </c>
      <c r="B1024" s="26" t="s">
        <v>543</v>
      </c>
      <c r="C1024" s="26"/>
      <c r="D1024" s="26" t="s">
        <v>543</v>
      </c>
      <c r="E1024" s="26" t="str">
        <f>IFERROR(VLOOKUP(G1024,WholesaleExtract!B:J,9,FALSE),"")</f>
        <v/>
      </c>
      <c r="F1024" s="26" t="str">
        <f>IFERROR(VLOOKUP(G1024,WholesaleExtract!B:J,6,FALSE),"")</f>
        <v/>
      </c>
      <c r="G1024" s="46"/>
      <c r="H1024" s="47" t="str">
        <f>IFERROR(VLOOKUP(G1024,WholesaleExtract!B:L,11,FALSE),"")</f>
        <v/>
      </c>
      <c r="I1024" s="26" t="str">
        <f>IFERROR(VLOOKUP(G1024,WholesaleExtract!B:O,8,FALSE),"")</f>
        <v/>
      </c>
      <c r="J1024" s="26" t="str">
        <f>IFERROR(VLOOKUP(G1024,WholesaleExtract!B:O,14,FALSE),"")</f>
        <v/>
      </c>
      <c r="K1024" s="26" t="str">
        <f>IFERROR(VLOOKUP(G1024,WholesaleExtract!B:K,10,FALSE),"")</f>
        <v/>
      </c>
      <c r="L1024" s="47" t="str">
        <f>IFERROR(VLOOKUP(G1024,WholesaleExtract!B:L,11,FALSE),"")</f>
        <v/>
      </c>
      <c r="M1024" s="47" t="str">
        <f>IFERROR(VLOOKUP(G1024,WholesaleExtract!B:M,12,FALSE),"")</f>
        <v/>
      </c>
      <c r="N1024" s="27"/>
      <c r="O1024" s="19"/>
      <c r="P1024" s="19"/>
      <c r="Q1024" s="47"/>
      <c r="R1024" s="19"/>
      <c r="S1024" s="19"/>
    </row>
    <row r="1025" spans="1:19" x14ac:dyDescent="0.35">
      <c r="A1025" s="26" t="s">
        <v>543</v>
      </c>
      <c r="B1025" s="26" t="s">
        <v>543</v>
      </c>
      <c r="C1025" s="26"/>
      <c r="D1025" s="26" t="s">
        <v>543</v>
      </c>
      <c r="E1025" s="26" t="str">
        <f>IFERROR(VLOOKUP(G1025,WholesaleExtract!B:J,9,FALSE),"")</f>
        <v/>
      </c>
      <c r="F1025" s="26" t="str">
        <f>IFERROR(VLOOKUP(G1025,WholesaleExtract!B:J,6,FALSE),"")</f>
        <v/>
      </c>
      <c r="G1025" s="46"/>
      <c r="H1025" s="47" t="str">
        <f>IFERROR(VLOOKUP(G1025,WholesaleExtract!B:L,11,FALSE),"")</f>
        <v/>
      </c>
      <c r="I1025" s="26" t="str">
        <f>IFERROR(VLOOKUP(G1025,WholesaleExtract!B:O,8,FALSE),"")</f>
        <v/>
      </c>
      <c r="J1025" s="26" t="str">
        <f>IFERROR(VLOOKUP(G1025,WholesaleExtract!B:O,14,FALSE),"")</f>
        <v/>
      </c>
      <c r="K1025" s="26" t="str">
        <f>IFERROR(VLOOKUP(G1025,WholesaleExtract!B:K,10,FALSE),"")</f>
        <v/>
      </c>
      <c r="L1025" s="47" t="str">
        <f>IFERROR(VLOOKUP(G1025,WholesaleExtract!B:L,11,FALSE),"")</f>
        <v/>
      </c>
      <c r="M1025" s="47" t="str">
        <f>IFERROR(VLOOKUP(G1025,WholesaleExtract!B:M,12,FALSE),"")</f>
        <v/>
      </c>
      <c r="N1025" s="27"/>
      <c r="O1025" s="19"/>
      <c r="P1025" s="19"/>
      <c r="Q1025" s="47"/>
      <c r="R1025" s="19"/>
      <c r="S1025" s="19"/>
    </row>
    <row r="1026" spans="1:19" x14ac:dyDescent="0.35">
      <c r="A1026" s="26" t="s">
        <v>543</v>
      </c>
      <c r="B1026" s="26" t="s">
        <v>543</v>
      </c>
      <c r="C1026" s="26"/>
      <c r="D1026" s="26" t="s">
        <v>543</v>
      </c>
      <c r="E1026" s="26" t="str">
        <f>IFERROR(VLOOKUP(G1026,WholesaleExtract!B:J,9,FALSE),"")</f>
        <v/>
      </c>
      <c r="F1026" s="26" t="str">
        <f>IFERROR(VLOOKUP(G1026,WholesaleExtract!B:J,6,FALSE),"")</f>
        <v/>
      </c>
      <c r="G1026" s="46"/>
      <c r="H1026" s="47" t="str">
        <f>IFERROR(VLOOKUP(G1026,WholesaleExtract!B:L,11,FALSE),"")</f>
        <v/>
      </c>
      <c r="I1026" s="26" t="str">
        <f>IFERROR(VLOOKUP(G1026,WholesaleExtract!B:O,8,FALSE),"")</f>
        <v/>
      </c>
      <c r="J1026" s="26" t="str">
        <f>IFERROR(VLOOKUP(G1026,WholesaleExtract!B:O,14,FALSE),"")</f>
        <v/>
      </c>
      <c r="K1026" s="26" t="str">
        <f>IFERROR(VLOOKUP(G1026,WholesaleExtract!B:K,10,FALSE),"")</f>
        <v/>
      </c>
      <c r="L1026" s="47" t="str">
        <f>IFERROR(VLOOKUP(G1026,WholesaleExtract!B:L,11,FALSE),"")</f>
        <v/>
      </c>
      <c r="M1026" s="47" t="str">
        <f>IFERROR(VLOOKUP(G1026,WholesaleExtract!B:M,12,FALSE),"")</f>
        <v/>
      </c>
      <c r="N1026" s="27"/>
      <c r="O1026" s="19"/>
      <c r="P1026" s="19"/>
      <c r="Q1026" s="47"/>
      <c r="R1026" s="19"/>
      <c r="S1026" s="19"/>
    </row>
    <row r="1027" spans="1:19" x14ac:dyDescent="0.35">
      <c r="A1027" s="26" t="s">
        <v>543</v>
      </c>
      <c r="B1027" s="26" t="s">
        <v>543</v>
      </c>
      <c r="C1027" s="26"/>
      <c r="D1027" s="26" t="s">
        <v>543</v>
      </c>
      <c r="E1027" s="26" t="str">
        <f>IFERROR(VLOOKUP(G1027,WholesaleExtract!B:J,9,FALSE),"")</f>
        <v/>
      </c>
      <c r="F1027" s="26" t="str">
        <f>IFERROR(VLOOKUP(G1027,WholesaleExtract!B:J,6,FALSE),"")</f>
        <v/>
      </c>
      <c r="G1027" s="46"/>
      <c r="H1027" s="47" t="str">
        <f>IFERROR(VLOOKUP(G1027,WholesaleExtract!B:L,11,FALSE),"")</f>
        <v/>
      </c>
      <c r="I1027" s="26" t="str">
        <f>IFERROR(VLOOKUP(G1027,WholesaleExtract!B:O,8,FALSE),"")</f>
        <v/>
      </c>
      <c r="J1027" s="26" t="str">
        <f>IFERROR(VLOOKUP(G1027,WholesaleExtract!B:O,14,FALSE),"")</f>
        <v/>
      </c>
      <c r="K1027" s="26" t="str">
        <f>IFERROR(VLOOKUP(G1027,WholesaleExtract!B:K,10,FALSE),"")</f>
        <v/>
      </c>
      <c r="L1027" s="47" t="str">
        <f>IFERROR(VLOOKUP(G1027,WholesaleExtract!B:L,11,FALSE),"")</f>
        <v/>
      </c>
      <c r="M1027" s="47" t="str">
        <f>IFERROR(VLOOKUP(G1027,WholesaleExtract!B:M,12,FALSE),"")</f>
        <v/>
      </c>
      <c r="N1027" s="27"/>
      <c r="O1027" s="19"/>
      <c r="P1027" s="19"/>
      <c r="Q1027" s="47"/>
      <c r="R1027" s="19"/>
      <c r="S1027" s="19"/>
    </row>
    <row r="1028" spans="1:19" x14ac:dyDescent="0.35">
      <c r="A1028" s="26" t="s">
        <v>543</v>
      </c>
      <c r="B1028" s="26" t="s">
        <v>543</v>
      </c>
      <c r="C1028" s="26"/>
      <c r="D1028" s="26" t="s">
        <v>543</v>
      </c>
      <c r="E1028" s="26" t="str">
        <f>IFERROR(VLOOKUP(G1028,WholesaleExtract!B:J,9,FALSE),"")</f>
        <v/>
      </c>
      <c r="F1028" s="26" t="str">
        <f>IFERROR(VLOOKUP(G1028,WholesaleExtract!B:J,6,FALSE),"")</f>
        <v/>
      </c>
      <c r="G1028" s="46"/>
      <c r="H1028" s="47" t="str">
        <f>IFERROR(VLOOKUP(G1028,WholesaleExtract!B:L,11,FALSE),"")</f>
        <v/>
      </c>
      <c r="I1028" s="26" t="str">
        <f>IFERROR(VLOOKUP(G1028,WholesaleExtract!B:O,8,FALSE),"")</f>
        <v/>
      </c>
      <c r="J1028" s="26" t="str">
        <f>IFERROR(VLOOKUP(G1028,WholesaleExtract!B:O,14,FALSE),"")</f>
        <v/>
      </c>
      <c r="K1028" s="26" t="str">
        <f>IFERROR(VLOOKUP(G1028,WholesaleExtract!B:K,10,FALSE),"")</f>
        <v/>
      </c>
      <c r="L1028" s="47" t="str">
        <f>IFERROR(VLOOKUP(G1028,WholesaleExtract!B:L,11,FALSE),"")</f>
        <v/>
      </c>
      <c r="M1028" s="47" t="str">
        <f>IFERROR(VLOOKUP(G1028,WholesaleExtract!B:M,12,FALSE),"")</f>
        <v/>
      </c>
      <c r="N1028" s="27"/>
      <c r="O1028" s="19"/>
      <c r="P1028" s="19"/>
      <c r="Q1028" s="47"/>
      <c r="R1028" s="19"/>
      <c r="S1028" s="19"/>
    </row>
    <row r="1029" spans="1:19" x14ac:dyDescent="0.35">
      <c r="A1029" s="26" t="s">
        <v>543</v>
      </c>
      <c r="B1029" s="26" t="s">
        <v>543</v>
      </c>
      <c r="C1029" s="26"/>
      <c r="D1029" s="26" t="s">
        <v>543</v>
      </c>
      <c r="E1029" s="26" t="str">
        <f>IFERROR(VLOOKUP(G1029,WholesaleExtract!B:J,9,FALSE),"")</f>
        <v/>
      </c>
      <c r="F1029" s="26" t="str">
        <f>IFERROR(VLOOKUP(G1029,WholesaleExtract!B:J,6,FALSE),"")</f>
        <v/>
      </c>
      <c r="G1029" s="46"/>
      <c r="H1029" s="47" t="str">
        <f>IFERROR(VLOOKUP(G1029,WholesaleExtract!B:L,11,FALSE),"")</f>
        <v/>
      </c>
      <c r="I1029" s="26" t="str">
        <f>IFERROR(VLOOKUP(G1029,WholesaleExtract!B:O,8,FALSE),"")</f>
        <v/>
      </c>
      <c r="J1029" s="26" t="str">
        <f>IFERROR(VLOOKUP(G1029,WholesaleExtract!B:O,14,FALSE),"")</f>
        <v/>
      </c>
      <c r="K1029" s="26" t="str">
        <f>IFERROR(VLOOKUP(G1029,WholesaleExtract!B:K,10,FALSE),"")</f>
        <v/>
      </c>
      <c r="L1029" s="47" t="str">
        <f>IFERROR(VLOOKUP(G1029,WholesaleExtract!B:L,11,FALSE),"")</f>
        <v/>
      </c>
      <c r="M1029" s="47" t="str">
        <f>IFERROR(VLOOKUP(G1029,WholesaleExtract!B:M,12,FALSE),"")</f>
        <v/>
      </c>
      <c r="N1029" s="27"/>
      <c r="O1029" s="19"/>
      <c r="P1029" s="19"/>
      <c r="Q1029" s="47"/>
      <c r="R1029" s="19"/>
      <c r="S1029" s="19"/>
    </row>
    <row r="1030" spans="1:19" x14ac:dyDescent="0.35">
      <c r="A1030" s="26" t="s">
        <v>543</v>
      </c>
      <c r="B1030" s="26" t="s">
        <v>543</v>
      </c>
      <c r="C1030" s="26"/>
      <c r="D1030" s="26" t="s">
        <v>543</v>
      </c>
      <c r="E1030" s="26" t="str">
        <f>IFERROR(VLOOKUP(G1030,WholesaleExtract!B:J,9,FALSE),"")</f>
        <v/>
      </c>
      <c r="F1030" s="26" t="str">
        <f>IFERROR(VLOOKUP(G1030,WholesaleExtract!B:J,6,FALSE),"")</f>
        <v/>
      </c>
      <c r="G1030" s="46"/>
      <c r="H1030" s="47" t="str">
        <f>IFERROR(VLOOKUP(G1030,WholesaleExtract!B:L,11,FALSE),"")</f>
        <v/>
      </c>
      <c r="I1030" s="26" t="str">
        <f>IFERROR(VLOOKUP(G1030,WholesaleExtract!B:O,8,FALSE),"")</f>
        <v/>
      </c>
      <c r="J1030" s="26" t="str">
        <f>IFERROR(VLOOKUP(G1030,WholesaleExtract!B:O,14,FALSE),"")</f>
        <v/>
      </c>
      <c r="K1030" s="26" t="str">
        <f>IFERROR(VLOOKUP(G1030,WholesaleExtract!B:K,10,FALSE),"")</f>
        <v/>
      </c>
      <c r="L1030" s="47" t="str">
        <f>IFERROR(VLOOKUP(G1030,WholesaleExtract!B:L,11,FALSE),"")</f>
        <v/>
      </c>
      <c r="M1030" s="47" t="str">
        <f>IFERROR(VLOOKUP(G1030,WholesaleExtract!B:M,12,FALSE),"")</f>
        <v/>
      </c>
      <c r="N1030" s="27"/>
      <c r="O1030" s="19"/>
      <c r="P1030" s="19"/>
      <c r="Q1030" s="47"/>
      <c r="R1030" s="19"/>
      <c r="S1030" s="19"/>
    </row>
    <row r="1031" spans="1:19" x14ac:dyDescent="0.35">
      <c r="A1031" s="26" t="s">
        <v>543</v>
      </c>
      <c r="B1031" s="26" t="s">
        <v>543</v>
      </c>
      <c r="C1031" s="26"/>
      <c r="D1031" s="26" t="s">
        <v>543</v>
      </c>
      <c r="E1031" s="26" t="str">
        <f>IFERROR(VLOOKUP(G1031,WholesaleExtract!B:J,9,FALSE),"")</f>
        <v/>
      </c>
      <c r="F1031" s="26" t="str">
        <f>IFERROR(VLOOKUP(G1031,WholesaleExtract!B:J,6,FALSE),"")</f>
        <v/>
      </c>
      <c r="G1031" s="46"/>
      <c r="H1031" s="47" t="str">
        <f>IFERROR(VLOOKUP(G1031,WholesaleExtract!B:L,11,FALSE),"")</f>
        <v/>
      </c>
      <c r="I1031" s="26" t="str">
        <f>IFERROR(VLOOKUP(G1031,WholesaleExtract!B:O,8,FALSE),"")</f>
        <v/>
      </c>
      <c r="J1031" s="26" t="str">
        <f>IFERROR(VLOOKUP(G1031,WholesaleExtract!B:O,14,FALSE),"")</f>
        <v/>
      </c>
      <c r="K1031" s="26" t="str">
        <f>IFERROR(VLOOKUP(G1031,WholesaleExtract!B:K,10,FALSE),"")</f>
        <v/>
      </c>
      <c r="L1031" s="47" t="str">
        <f>IFERROR(VLOOKUP(G1031,WholesaleExtract!B:L,11,FALSE),"")</f>
        <v/>
      </c>
      <c r="M1031" s="47" t="str">
        <f>IFERROR(VLOOKUP(G1031,WholesaleExtract!B:M,12,FALSE),"")</f>
        <v/>
      </c>
      <c r="N1031" s="27"/>
      <c r="O1031" s="19"/>
      <c r="P1031" s="19"/>
      <c r="Q1031" s="47"/>
      <c r="R1031" s="19"/>
      <c r="S1031" s="19"/>
    </row>
    <row r="1032" spans="1:19" x14ac:dyDescent="0.35">
      <c r="A1032" s="26" t="s">
        <v>543</v>
      </c>
      <c r="B1032" s="26" t="s">
        <v>543</v>
      </c>
      <c r="C1032" s="26"/>
      <c r="D1032" s="26" t="s">
        <v>543</v>
      </c>
      <c r="E1032" s="26" t="str">
        <f>IFERROR(VLOOKUP(G1032,WholesaleExtract!B:J,9,FALSE),"")</f>
        <v/>
      </c>
      <c r="F1032" s="26" t="str">
        <f>IFERROR(VLOOKUP(G1032,WholesaleExtract!B:J,6,FALSE),"")</f>
        <v/>
      </c>
      <c r="G1032" s="46"/>
      <c r="H1032" s="47" t="str">
        <f>IFERROR(VLOOKUP(G1032,WholesaleExtract!B:L,11,FALSE),"")</f>
        <v/>
      </c>
      <c r="I1032" s="26" t="str">
        <f>IFERROR(VLOOKUP(G1032,WholesaleExtract!B:O,8,FALSE),"")</f>
        <v/>
      </c>
      <c r="J1032" s="26" t="str">
        <f>IFERROR(VLOOKUP(G1032,WholesaleExtract!B:O,14,FALSE),"")</f>
        <v/>
      </c>
      <c r="K1032" s="26" t="str">
        <f>IFERROR(VLOOKUP(G1032,WholesaleExtract!B:K,10,FALSE),"")</f>
        <v/>
      </c>
      <c r="L1032" s="47" t="str">
        <f>IFERROR(VLOOKUP(G1032,WholesaleExtract!B:L,11,FALSE),"")</f>
        <v/>
      </c>
      <c r="M1032" s="47" t="str">
        <f>IFERROR(VLOOKUP(G1032,WholesaleExtract!B:M,12,FALSE),"")</f>
        <v/>
      </c>
      <c r="N1032" s="27"/>
      <c r="O1032" s="19"/>
      <c r="P1032" s="19"/>
      <c r="Q1032" s="47"/>
      <c r="R1032" s="19"/>
      <c r="S1032" s="19"/>
    </row>
    <row r="1033" spans="1:19" x14ac:dyDescent="0.35">
      <c r="A1033" s="26" t="s">
        <v>543</v>
      </c>
      <c r="B1033" s="26" t="s">
        <v>543</v>
      </c>
      <c r="C1033" s="26"/>
      <c r="D1033" s="26" t="s">
        <v>543</v>
      </c>
      <c r="E1033" s="26" t="str">
        <f>IFERROR(VLOOKUP(G1033,WholesaleExtract!B:J,9,FALSE),"")</f>
        <v/>
      </c>
      <c r="F1033" s="26" t="str">
        <f>IFERROR(VLOOKUP(G1033,WholesaleExtract!B:J,6,FALSE),"")</f>
        <v/>
      </c>
      <c r="G1033" s="46"/>
      <c r="H1033" s="47" t="str">
        <f>IFERROR(VLOOKUP(G1033,WholesaleExtract!B:L,11,FALSE),"")</f>
        <v/>
      </c>
      <c r="I1033" s="26" t="str">
        <f>IFERROR(VLOOKUP(G1033,WholesaleExtract!B:O,8,FALSE),"")</f>
        <v/>
      </c>
      <c r="J1033" s="26" t="str">
        <f>IFERROR(VLOOKUP(G1033,WholesaleExtract!B:O,14,FALSE),"")</f>
        <v/>
      </c>
      <c r="K1033" s="26" t="str">
        <f>IFERROR(VLOOKUP(G1033,WholesaleExtract!B:K,10,FALSE),"")</f>
        <v/>
      </c>
      <c r="L1033" s="47" t="str">
        <f>IFERROR(VLOOKUP(G1033,WholesaleExtract!B:L,11,FALSE),"")</f>
        <v/>
      </c>
      <c r="M1033" s="47" t="str">
        <f>IFERROR(VLOOKUP(G1033,WholesaleExtract!B:M,12,FALSE),"")</f>
        <v/>
      </c>
      <c r="N1033" s="27"/>
      <c r="O1033" s="19"/>
      <c r="P1033" s="19"/>
      <c r="Q1033" s="47"/>
      <c r="R1033" s="19"/>
      <c r="S1033" s="19"/>
    </row>
    <row r="1034" spans="1:19" x14ac:dyDescent="0.35">
      <c r="A1034" s="26" t="s">
        <v>543</v>
      </c>
      <c r="B1034" s="26" t="s">
        <v>543</v>
      </c>
      <c r="C1034" s="26"/>
      <c r="D1034" s="26" t="s">
        <v>543</v>
      </c>
      <c r="E1034" s="26" t="str">
        <f>IFERROR(VLOOKUP(G1034,WholesaleExtract!B:J,9,FALSE),"")</f>
        <v/>
      </c>
      <c r="F1034" s="26" t="str">
        <f>IFERROR(VLOOKUP(G1034,WholesaleExtract!B:J,6,FALSE),"")</f>
        <v/>
      </c>
      <c r="G1034" s="46"/>
      <c r="H1034" s="47" t="str">
        <f>IFERROR(VLOOKUP(G1034,WholesaleExtract!B:L,11,FALSE),"")</f>
        <v/>
      </c>
      <c r="I1034" s="26" t="str">
        <f>IFERROR(VLOOKUP(G1034,WholesaleExtract!B:O,8,FALSE),"")</f>
        <v/>
      </c>
      <c r="J1034" s="26" t="str">
        <f>IFERROR(VLOOKUP(G1034,WholesaleExtract!B:O,14,FALSE),"")</f>
        <v/>
      </c>
      <c r="K1034" s="26" t="str">
        <f>IFERROR(VLOOKUP(G1034,WholesaleExtract!B:K,10,FALSE),"")</f>
        <v/>
      </c>
      <c r="L1034" s="47" t="str">
        <f>IFERROR(VLOOKUP(G1034,WholesaleExtract!B:L,11,FALSE),"")</f>
        <v/>
      </c>
      <c r="M1034" s="47" t="str">
        <f>IFERROR(VLOOKUP(G1034,WholesaleExtract!B:M,12,FALSE),"")</f>
        <v/>
      </c>
      <c r="N1034" s="27"/>
      <c r="O1034" s="19"/>
      <c r="P1034" s="19"/>
      <c r="Q1034" s="47"/>
      <c r="R1034" s="19"/>
      <c r="S1034" s="19"/>
    </row>
    <row r="1035" spans="1:19" x14ac:dyDescent="0.35">
      <c r="A1035" s="26" t="s">
        <v>543</v>
      </c>
      <c r="B1035" s="26" t="s">
        <v>543</v>
      </c>
      <c r="C1035" s="26"/>
      <c r="D1035" s="26" t="s">
        <v>543</v>
      </c>
      <c r="E1035" s="26" t="str">
        <f>IFERROR(VLOOKUP(G1035,WholesaleExtract!B:J,9,FALSE),"")</f>
        <v/>
      </c>
      <c r="F1035" s="26" t="str">
        <f>IFERROR(VLOOKUP(G1035,WholesaleExtract!B:J,6,FALSE),"")</f>
        <v/>
      </c>
      <c r="G1035" s="46"/>
      <c r="H1035" s="47" t="str">
        <f>IFERROR(VLOOKUP(G1035,WholesaleExtract!B:L,11,FALSE),"")</f>
        <v/>
      </c>
      <c r="I1035" s="26" t="str">
        <f>IFERROR(VLOOKUP(G1035,WholesaleExtract!B:O,8,FALSE),"")</f>
        <v/>
      </c>
      <c r="J1035" s="26" t="str">
        <f>IFERROR(VLOOKUP(G1035,WholesaleExtract!B:O,14,FALSE),"")</f>
        <v/>
      </c>
      <c r="K1035" s="26" t="str">
        <f>IFERROR(VLOOKUP(G1035,WholesaleExtract!B:K,10,FALSE),"")</f>
        <v/>
      </c>
      <c r="L1035" s="47" t="str">
        <f>IFERROR(VLOOKUP(G1035,WholesaleExtract!B:L,11,FALSE),"")</f>
        <v/>
      </c>
      <c r="M1035" s="47" t="str">
        <f>IFERROR(VLOOKUP(G1035,WholesaleExtract!B:M,12,FALSE),"")</f>
        <v/>
      </c>
      <c r="N1035" s="27"/>
      <c r="O1035" s="19"/>
      <c r="P1035" s="19"/>
      <c r="Q1035" s="47"/>
      <c r="R1035" s="19"/>
      <c r="S1035" s="19"/>
    </row>
    <row r="1036" spans="1:19" x14ac:dyDescent="0.35">
      <c r="A1036" s="26" t="s">
        <v>543</v>
      </c>
      <c r="B1036" s="26" t="s">
        <v>543</v>
      </c>
      <c r="C1036" s="26"/>
      <c r="D1036" s="26" t="s">
        <v>543</v>
      </c>
      <c r="E1036" s="26" t="str">
        <f>IFERROR(VLOOKUP(G1036,WholesaleExtract!B:J,9,FALSE),"")</f>
        <v/>
      </c>
      <c r="F1036" s="26" t="str">
        <f>IFERROR(VLOOKUP(G1036,WholesaleExtract!B:J,6,FALSE),"")</f>
        <v/>
      </c>
      <c r="G1036" s="46"/>
      <c r="H1036" s="47" t="str">
        <f>IFERROR(VLOOKUP(G1036,WholesaleExtract!B:L,11,FALSE),"")</f>
        <v/>
      </c>
      <c r="I1036" s="26" t="str">
        <f>IFERROR(VLOOKUP(G1036,WholesaleExtract!B:O,8,FALSE),"")</f>
        <v/>
      </c>
      <c r="J1036" s="26" t="str">
        <f>IFERROR(VLOOKUP(G1036,WholesaleExtract!B:O,14,FALSE),"")</f>
        <v/>
      </c>
      <c r="K1036" s="26" t="str">
        <f>IFERROR(VLOOKUP(G1036,WholesaleExtract!B:K,10,FALSE),"")</f>
        <v/>
      </c>
      <c r="L1036" s="47" t="str">
        <f>IFERROR(VLOOKUP(G1036,WholesaleExtract!B:L,11,FALSE),"")</f>
        <v/>
      </c>
      <c r="M1036" s="47" t="str">
        <f>IFERROR(VLOOKUP(G1036,WholesaleExtract!B:M,12,FALSE),"")</f>
        <v/>
      </c>
      <c r="N1036" s="27"/>
      <c r="O1036" s="19"/>
      <c r="P1036" s="19"/>
      <c r="Q1036" s="47"/>
      <c r="R1036" s="19"/>
      <c r="S1036" s="19"/>
    </row>
    <row r="1037" spans="1:19" x14ac:dyDescent="0.35">
      <c r="A1037" s="26" t="s">
        <v>543</v>
      </c>
      <c r="B1037" s="26" t="s">
        <v>543</v>
      </c>
      <c r="C1037" s="26"/>
      <c r="D1037" s="26" t="s">
        <v>543</v>
      </c>
      <c r="E1037" s="26" t="str">
        <f>IFERROR(VLOOKUP(G1037,WholesaleExtract!B:J,9,FALSE),"")</f>
        <v/>
      </c>
      <c r="F1037" s="26" t="str">
        <f>IFERROR(VLOOKUP(G1037,WholesaleExtract!B:J,6,FALSE),"")</f>
        <v/>
      </c>
      <c r="G1037" s="46"/>
      <c r="H1037" s="47" t="str">
        <f>IFERROR(VLOOKUP(G1037,WholesaleExtract!B:L,11,FALSE),"")</f>
        <v/>
      </c>
      <c r="I1037" s="26" t="str">
        <f>IFERROR(VLOOKUP(G1037,WholesaleExtract!B:O,8,FALSE),"")</f>
        <v/>
      </c>
      <c r="J1037" s="26" t="str">
        <f>IFERROR(VLOOKUP(G1037,WholesaleExtract!B:O,14,FALSE),"")</f>
        <v/>
      </c>
      <c r="K1037" s="26" t="str">
        <f>IFERROR(VLOOKUP(G1037,WholesaleExtract!B:K,10,FALSE),"")</f>
        <v/>
      </c>
      <c r="L1037" s="47" t="str">
        <f>IFERROR(VLOOKUP(G1037,WholesaleExtract!B:L,11,FALSE),"")</f>
        <v/>
      </c>
      <c r="M1037" s="47" t="str">
        <f>IFERROR(VLOOKUP(G1037,WholesaleExtract!B:M,12,FALSE),"")</f>
        <v/>
      </c>
      <c r="N1037" s="27"/>
      <c r="O1037" s="19"/>
      <c r="P1037" s="19"/>
      <c r="Q1037" s="47"/>
      <c r="R1037" s="19"/>
      <c r="S1037" s="19"/>
    </row>
    <row r="1038" spans="1:19" x14ac:dyDescent="0.35">
      <c r="A1038" s="26" t="s">
        <v>543</v>
      </c>
      <c r="B1038" s="26" t="s">
        <v>543</v>
      </c>
      <c r="C1038" s="26"/>
      <c r="D1038" s="26" t="s">
        <v>543</v>
      </c>
      <c r="E1038" s="26" t="str">
        <f>IFERROR(VLOOKUP(G1038,WholesaleExtract!B:J,9,FALSE),"")</f>
        <v/>
      </c>
      <c r="F1038" s="26" t="str">
        <f>IFERROR(VLOOKUP(G1038,WholesaleExtract!B:J,6,FALSE),"")</f>
        <v/>
      </c>
      <c r="G1038" s="46"/>
      <c r="H1038" s="47" t="str">
        <f>IFERROR(VLOOKUP(G1038,WholesaleExtract!B:L,11,FALSE),"")</f>
        <v/>
      </c>
      <c r="I1038" s="26" t="str">
        <f>IFERROR(VLOOKUP(G1038,WholesaleExtract!B:O,8,FALSE),"")</f>
        <v/>
      </c>
      <c r="J1038" s="26" t="str">
        <f>IFERROR(VLOOKUP(G1038,WholesaleExtract!B:O,14,FALSE),"")</f>
        <v/>
      </c>
      <c r="K1038" s="26" t="str">
        <f>IFERROR(VLOOKUP(G1038,WholesaleExtract!B:K,10,FALSE),"")</f>
        <v/>
      </c>
      <c r="L1038" s="47" t="str">
        <f>IFERROR(VLOOKUP(G1038,WholesaleExtract!B:L,11,FALSE),"")</f>
        <v/>
      </c>
      <c r="M1038" s="47" t="str">
        <f>IFERROR(VLOOKUP(G1038,WholesaleExtract!B:M,12,FALSE),"")</f>
        <v/>
      </c>
      <c r="N1038" s="27"/>
      <c r="O1038" s="19"/>
      <c r="P1038" s="19"/>
      <c r="Q1038" s="47"/>
      <c r="R1038" s="19"/>
      <c r="S1038" s="19"/>
    </row>
    <row r="1039" spans="1:19" x14ac:dyDescent="0.35">
      <c r="A1039" s="26" t="s">
        <v>543</v>
      </c>
      <c r="B1039" s="26" t="s">
        <v>543</v>
      </c>
      <c r="C1039" s="26"/>
      <c r="D1039" s="26" t="s">
        <v>543</v>
      </c>
      <c r="E1039" s="26" t="str">
        <f>IFERROR(VLOOKUP(G1039,WholesaleExtract!B:J,9,FALSE),"")</f>
        <v/>
      </c>
      <c r="F1039" s="26" t="str">
        <f>IFERROR(VLOOKUP(G1039,WholesaleExtract!B:J,6,FALSE),"")</f>
        <v/>
      </c>
      <c r="G1039" s="46"/>
      <c r="H1039" s="47" t="str">
        <f>IFERROR(VLOOKUP(G1039,WholesaleExtract!B:L,11,FALSE),"")</f>
        <v/>
      </c>
      <c r="I1039" s="26" t="str">
        <f>IFERROR(VLOOKUP(G1039,WholesaleExtract!B:O,8,FALSE),"")</f>
        <v/>
      </c>
      <c r="J1039" s="26" t="str">
        <f>IFERROR(VLOOKUP(G1039,WholesaleExtract!B:O,14,FALSE),"")</f>
        <v/>
      </c>
      <c r="K1039" s="26" t="str">
        <f>IFERROR(VLOOKUP(G1039,WholesaleExtract!B:K,10,FALSE),"")</f>
        <v/>
      </c>
      <c r="L1039" s="47" t="str">
        <f>IFERROR(VLOOKUP(G1039,WholesaleExtract!B:L,11,FALSE),"")</f>
        <v/>
      </c>
      <c r="M1039" s="47" t="str">
        <f>IFERROR(VLOOKUP(G1039,WholesaleExtract!B:M,12,FALSE),"")</f>
        <v/>
      </c>
      <c r="N1039" s="27"/>
      <c r="O1039" s="19"/>
      <c r="P1039" s="19"/>
      <c r="Q1039" s="47"/>
      <c r="R1039" s="19"/>
      <c r="S1039" s="19"/>
    </row>
    <row r="1040" spans="1:19" x14ac:dyDescent="0.35">
      <c r="A1040" s="26" t="s">
        <v>543</v>
      </c>
      <c r="B1040" s="26" t="s">
        <v>543</v>
      </c>
      <c r="C1040" s="26"/>
      <c r="D1040" s="26" t="s">
        <v>543</v>
      </c>
      <c r="E1040" s="26" t="str">
        <f>IFERROR(VLOOKUP(G1040,WholesaleExtract!B:J,9,FALSE),"")</f>
        <v/>
      </c>
      <c r="F1040" s="26" t="str">
        <f>IFERROR(VLOOKUP(G1040,WholesaleExtract!B:J,6,FALSE),"")</f>
        <v/>
      </c>
      <c r="G1040" s="46"/>
      <c r="H1040" s="47" t="str">
        <f>IFERROR(VLOOKUP(G1040,WholesaleExtract!B:L,11,FALSE),"")</f>
        <v/>
      </c>
      <c r="I1040" s="26" t="str">
        <f>IFERROR(VLOOKUP(G1040,WholesaleExtract!B:O,8,FALSE),"")</f>
        <v/>
      </c>
      <c r="J1040" s="26" t="str">
        <f>IFERROR(VLOOKUP(G1040,WholesaleExtract!B:O,14,FALSE),"")</f>
        <v/>
      </c>
      <c r="K1040" s="26" t="str">
        <f>IFERROR(VLOOKUP(G1040,WholesaleExtract!B:K,10,FALSE),"")</f>
        <v/>
      </c>
      <c r="L1040" s="47" t="str">
        <f>IFERROR(VLOOKUP(G1040,WholesaleExtract!B:L,11,FALSE),"")</f>
        <v/>
      </c>
      <c r="M1040" s="47" t="str">
        <f>IFERROR(VLOOKUP(G1040,WholesaleExtract!B:M,12,FALSE),"")</f>
        <v/>
      </c>
      <c r="N1040" s="27"/>
      <c r="O1040" s="19"/>
      <c r="P1040" s="19"/>
      <c r="Q1040" s="47"/>
      <c r="R1040" s="19"/>
      <c r="S1040" s="19"/>
    </row>
    <row r="1041" spans="1:19" x14ac:dyDescent="0.35">
      <c r="A1041" s="26" t="s">
        <v>543</v>
      </c>
      <c r="B1041" s="26" t="s">
        <v>543</v>
      </c>
      <c r="C1041" s="26"/>
      <c r="D1041" s="26" t="s">
        <v>543</v>
      </c>
      <c r="E1041" s="26" t="str">
        <f>IFERROR(VLOOKUP(G1041,WholesaleExtract!B:J,9,FALSE),"")</f>
        <v/>
      </c>
      <c r="F1041" s="26" t="str">
        <f>IFERROR(VLOOKUP(G1041,WholesaleExtract!B:J,6,FALSE),"")</f>
        <v/>
      </c>
      <c r="G1041" s="46"/>
      <c r="H1041" s="47" t="str">
        <f>IFERROR(VLOOKUP(G1041,WholesaleExtract!B:L,11,FALSE),"")</f>
        <v/>
      </c>
      <c r="I1041" s="26" t="str">
        <f>IFERROR(VLOOKUP(G1041,WholesaleExtract!B:O,8,FALSE),"")</f>
        <v/>
      </c>
      <c r="J1041" s="26" t="str">
        <f>IFERROR(VLOOKUP(G1041,WholesaleExtract!B:O,14,FALSE),"")</f>
        <v/>
      </c>
      <c r="K1041" s="26" t="str">
        <f>IFERROR(VLOOKUP(G1041,WholesaleExtract!B:K,10,FALSE),"")</f>
        <v/>
      </c>
      <c r="L1041" s="47" t="str">
        <f>IFERROR(VLOOKUP(G1041,WholesaleExtract!B:L,11,FALSE),"")</f>
        <v/>
      </c>
      <c r="M1041" s="47" t="str">
        <f>IFERROR(VLOOKUP(G1041,WholesaleExtract!B:M,12,FALSE),"")</f>
        <v/>
      </c>
      <c r="N1041" s="27"/>
      <c r="O1041" s="19"/>
      <c r="P1041" s="19"/>
      <c r="Q1041" s="47"/>
      <c r="R1041" s="19"/>
      <c r="S1041" s="19"/>
    </row>
    <row r="1042" spans="1:19" x14ac:dyDescent="0.35">
      <c r="A1042" s="26" t="s">
        <v>543</v>
      </c>
      <c r="B1042" s="26" t="s">
        <v>543</v>
      </c>
      <c r="C1042" s="26"/>
      <c r="D1042" s="26" t="s">
        <v>543</v>
      </c>
      <c r="E1042" s="26" t="str">
        <f>IFERROR(VLOOKUP(G1042,WholesaleExtract!B:J,9,FALSE),"")</f>
        <v/>
      </c>
      <c r="F1042" s="26" t="str">
        <f>IFERROR(VLOOKUP(G1042,WholesaleExtract!B:J,6,FALSE),"")</f>
        <v/>
      </c>
      <c r="G1042" s="46"/>
      <c r="H1042" s="47" t="str">
        <f>IFERROR(VLOOKUP(G1042,WholesaleExtract!B:L,11,FALSE),"")</f>
        <v/>
      </c>
      <c r="I1042" s="26" t="str">
        <f>IFERROR(VLOOKUP(G1042,WholesaleExtract!B:O,8,FALSE),"")</f>
        <v/>
      </c>
      <c r="J1042" s="26" t="str">
        <f>IFERROR(VLOOKUP(G1042,WholesaleExtract!B:O,14,FALSE),"")</f>
        <v/>
      </c>
      <c r="K1042" s="26" t="str">
        <f>IFERROR(VLOOKUP(G1042,WholesaleExtract!B:K,10,FALSE),"")</f>
        <v/>
      </c>
      <c r="L1042" s="47" t="str">
        <f>IFERROR(VLOOKUP(G1042,WholesaleExtract!B:L,11,FALSE),"")</f>
        <v/>
      </c>
      <c r="M1042" s="47" t="str">
        <f>IFERROR(VLOOKUP(G1042,WholesaleExtract!B:M,12,FALSE),"")</f>
        <v/>
      </c>
      <c r="N1042" s="27"/>
      <c r="O1042" s="19"/>
      <c r="P1042" s="19"/>
      <c r="Q1042" s="47"/>
      <c r="R1042" s="19"/>
      <c r="S1042" s="19"/>
    </row>
    <row r="1043" spans="1:19" x14ac:dyDescent="0.35">
      <c r="A1043" s="26" t="s">
        <v>543</v>
      </c>
      <c r="B1043" s="26" t="s">
        <v>543</v>
      </c>
      <c r="C1043" s="26"/>
      <c r="D1043" s="26" t="s">
        <v>543</v>
      </c>
      <c r="E1043" s="26" t="str">
        <f>IFERROR(VLOOKUP(G1043,WholesaleExtract!B:J,9,FALSE),"")</f>
        <v/>
      </c>
      <c r="F1043" s="26" t="str">
        <f>IFERROR(VLOOKUP(G1043,WholesaleExtract!B:J,6,FALSE),"")</f>
        <v/>
      </c>
      <c r="G1043" s="46"/>
      <c r="H1043" s="47" t="str">
        <f>IFERROR(VLOOKUP(G1043,WholesaleExtract!B:L,11,FALSE),"")</f>
        <v/>
      </c>
      <c r="I1043" s="26" t="str">
        <f>IFERROR(VLOOKUP(G1043,WholesaleExtract!B:O,8,FALSE),"")</f>
        <v/>
      </c>
      <c r="J1043" s="26" t="str">
        <f>IFERROR(VLOOKUP(G1043,WholesaleExtract!B:O,14,FALSE),"")</f>
        <v/>
      </c>
      <c r="K1043" s="26" t="str">
        <f>IFERROR(VLOOKUP(G1043,WholesaleExtract!B:K,10,FALSE),"")</f>
        <v/>
      </c>
      <c r="L1043" s="47" t="str">
        <f>IFERROR(VLOOKUP(G1043,WholesaleExtract!B:L,11,FALSE),"")</f>
        <v/>
      </c>
      <c r="M1043" s="47" t="str">
        <f>IFERROR(VLOOKUP(G1043,WholesaleExtract!B:M,12,FALSE),"")</f>
        <v/>
      </c>
      <c r="N1043" s="27"/>
      <c r="O1043" s="19"/>
      <c r="P1043" s="19"/>
      <c r="Q1043" s="47"/>
      <c r="R1043" s="19"/>
      <c r="S1043" s="19"/>
    </row>
    <row r="1044" spans="1:19" x14ac:dyDescent="0.35">
      <c r="A1044" s="26" t="s">
        <v>543</v>
      </c>
      <c r="B1044" s="26" t="s">
        <v>543</v>
      </c>
      <c r="C1044" s="26"/>
      <c r="D1044" s="26" t="s">
        <v>543</v>
      </c>
      <c r="E1044" s="26" t="str">
        <f>IFERROR(VLOOKUP(G1044,WholesaleExtract!B:J,9,FALSE),"")</f>
        <v/>
      </c>
      <c r="F1044" s="26" t="str">
        <f>IFERROR(VLOOKUP(G1044,WholesaleExtract!B:J,6,FALSE),"")</f>
        <v/>
      </c>
      <c r="G1044" s="46"/>
      <c r="H1044" s="47" t="str">
        <f>IFERROR(VLOOKUP(G1044,WholesaleExtract!B:L,11,FALSE),"")</f>
        <v/>
      </c>
      <c r="I1044" s="26" t="str">
        <f>IFERROR(VLOOKUP(G1044,WholesaleExtract!B:O,8,FALSE),"")</f>
        <v/>
      </c>
      <c r="J1044" s="26" t="str">
        <f>IFERROR(VLOOKUP(G1044,WholesaleExtract!B:O,14,FALSE),"")</f>
        <v/>
      </c>
      <c r="K1044" s="26" t="str">
        <f>IFERROR(VLOOKUP(G1044,WholesaleExtract!B:K,10,FALSE),"")</f>
        <v/>
      </c>
      <c r="L1044" s="47" t="str">
        <f>IFERROR(VLOOKUP(G1044,WholesaleExtract!B:L,11,FALSE),"")</f>
        <v/>
      </c>
      <c r="M1044" s="47" t="str">
        <f>IFERROR(VLOOKUP(G1044,WholesaleExtract!B:M,12,FALSE),"")</f>
        <v/>
      </c>
      <c r="N1044" s="27"/>
      <c r="O1044" s="19"/>
      <c r="P1044" s="19"/>
      <c r="Q1044" s="47"/>
      <c r="R1044" s="19"/>
      <c r="S1044" s="19"/>
    </row>
    <row r="1045" spans="1:19" x14ac:dyDescent="0.35">
      <c r="A1045" s="26" t="s">
        <v>543</v>
      </c>
      <c r="B1045" s="26" t="s">
        <v>543</v>
      </c>
      <c r="C1045" s="26"/>
      <c r="D1045" s="26" t="s">
        <v>543</v>
      </c>
      <c r="E1045" s="26" t="str">
        <f>IFERROR(VLOOKUP(G1045,WholesaleExtract!B:J,9,FALSE),"")</f>
        <v/>
      </c>
      <c r="F1045" s="26" t="str">
        <f>IFERROR(VLOOKUP(G1045,WholesaleExtract!B:J,6,FALSE),"")</f>
        <v/>
      </c>
      <c r="G1045" s="46"/>
      <c r="H1045" s="47" t="str">
        <f>IFERROR(VLOOKUP(G1045,WholesaleExtract!B:L,11,FALSE),"")</f>
        <v/>
      </c>
      <c r="I1045" s="26" t="str">
        <f>IFERROR(VLOOKUP(G1045,WholesaleExtract!B:O,8,FALSE),"")</f>
        <v/>
      </c>
      <c r="J1045" s="26" t="str">
        <f>IFERROR(VLOOKUP(G1045,WholesaleExtract!B:O,14,FALSE),"")</f>
        <v/>
      </c>
      <c r="K1045" s="26" t="str">
        <f>IFERROR(VLOOKUP(G1045,WholesaleExtract!B:K,10,FALSE),"")</f>
        <v/>
      </c>
      <c r="L1045" s="47" t="str">
        <f>IFERROR(VLOOKUP(G1045,WholesaleExtract!B:L,11,FALSE),"")</f>
        <v/>
      </c>
      <c r="M1045" s="47" t="str">
        <f>IFERROR(VLOOKUP(G1045,WholesaleExtract!B:M,12,FALSE),"")</f>
        <v/>
      </c>
      <c r="N1045" s="27"/>
      <c r="O1045" s="19"/>
      <c r="P1045" s="19"/>
      <c r="Q1045" s="47"/>
      <c r="R1045" s="19"/>
      <c r="S1045" s="19"/>
    </row>
    <row r="1046" spans="1:19" x14ac:dyDescent="0.35">
      <c r="A1046" s="26" t="s">
        <v>543</v>
      </c>
      <c r="B1046" s="26" t="s">
        <v>543</v>
      </c>
      <c r="C1046" s="26"/>
      <c r="D1046" s="26" t="s">
        <v>543</v>
      </c>
      <c r="E1046" s="26" t="str">
        <f>IFERROR(VLOOKUP(G1046,WholesaleExtract!B:J,9,FALSE),"")</f>
        <v/>
      </c>
      <c r="F1046" s="26" t="str">
        <f>IFERROR(VLOOKUP(G1046,WholesaleExtract!B:J,6,FALSE),"")</f>
        <v/>
      </c>
      <c r="G1046" s="46"/>
      <c r="H1046" s="47" t="str">
        <f>IFERROR(VLOOKUP(G1046,WholesaleExtract!B:L,11,FALSE),"")</f>
        <v/>
      </c>
      <c r="I1046" s="26" t="str">
        <f>IFERROR(VLOOKUP(G1046,WholesaleExtract!B:O,8,FALSE),"")</f>
        <v/>
      </c>
      <c r="J1046" s="26" t="str">
        <f>IFERROR(VLOOKUP(G1046,WholesaleExtract!B:O,14,FALSE),"")</f>
        <v/>
      </c>
      <c r="K1046" s="26" t="str">
        <f>IFERROR(VLOOKUP(G1046,WholesaleExtract!B:K,10,FALSE),"")</f>
        <v/>
      </c>
      <c r="L1046" s="47" t="str">
        <f>IFERROR(VLOOKUP(G1046,WholesaleExtract!B:L,11,FALSE),"")</f>
        <v/>
      </c>
      <c r="M1046" s="47" t="str">
        <f>IFERROR(VLOOKUP(G1046,WholesaleExtract!B:M,12,FALSE),"")</f>
        <v/>
      </c>
      <c r="N1046" s="27"/>
      <c r="O1046" s="19"/>
      <c r="P1046" s="19"/>
      <c r="Q1046" s="47"/>
      <c r="R1046" s="19"/>
      <c r="S1046" s="19"/>
    </row>
    <row r="1047" spans="1:19" x14ac:dyDescent="0.35">
      <c r="A1047" s="26" t="s">
        <v>543</v>
      </c>
      <c r="B1047" s="26" t="s">
        <v>543</v>
      </c>
      <c r="C1047" s="26"/>
      <c r="D1047" s="26" t="s">
        <v>543</v>
      </c>
      <c r="E1047" s="26" t="str">
        <f>IFERROR(VLOOKUP(G1047,WholesaleExtract!B:J,9,FALSE),"")</f>
        <v/>
      </c>
      <c r="F1047" s="26" t="str">
        <f>IFERROR(VLOOKUP(G1047,WholesaleExtract!B:J,6,FALSE),"")</f>
        <v/>
      </c>
      <c r="G1047" s="46"/>
      <c r="H1047" s="47" t="str">
        <f>IFERROR(VLOOKUP(G1047,WholesaleExtract!B:L,11,FALSE),"")</f>
        <v/>
      </c>
      <c r="I1047" s="26" t="str">
        <f>IFERROR(VLOOKUP(G1047,WholesaleExtract!B:O,8,FALSE),"")</f>
        <v/>
      </c>
      <c r="J1047" s="26" t="str">
        <f>IFERROR(VLOOKUP(G1047,WholesaleExtract!B:O,14,FALSE),"")</f>
        <v/>
      </c>
      <c r="K1047" s="26" t="str">
        <f>IFERROR(VLOOKUP(G1047,WholesaleExtract!B:K,10,FALSE),"")</f>
        <v/>
      </c>
      <c r="L1047" s="47" t="str">
        <f>IFERROR(VLOOKUP(G1047,WholesaleExtract!B:L,11,FALSE),"")</f>
        <v/>
      </c>
      <c r="M1047" s="47" t="str">
        <f>IFERROR(VLOOKUP(G1047,WholesaleExtract!B:M,12,FALSE),"")</f>
        <v/>
      </c>
      <c r="N1047" s="27"/>
      <c r="O1047" s="19"/>
      <c r="P1047" s="19"/>
      <c r="Q1047" s="47"/>
      <c r="R1047" s="19"/>
      <c r="S1047" s="19"/>
    </row>
    <row r="1048" spans="1:19" x14ac:dyDescent="0.35">
      <c r="A1048" s="26" t="s">
        <v>543</v>
      </c>
      <c r="B1048" s="26" t="s">
        <v>543</v>
      </c>
      <c r="C1048" s="26"/>
      <c r="D1048" s="26" t="s">
        <v>543</v>
      </c>
      <c r="E1048" s="26" t="str">
        <f>IFERROR(VLOOKUP(G1048,WholesaleExtract!B:J,9,FALSE),"")</f>
        <v/>
      </c>
      <c r="F1048" s="26" t="str">
        <f>IFERROR(VLOOKUP(G1048,WholesaleExtract!B:J,6,FALSE),"")</f>
        <v/>
      </c>
      <c r="G1048" s="46"/>
      <c r="H1048" s="47" t="str">
        <f>IFERROR(VLOOKUP(G1048,WholesaleExtract!B:L,11,FALSE),"")</f>
        <v/>
      </c>
      <c r="I1048" s="26" t="str">
        <f>IFERROR(VLOOKUP(G1048,WholesaleExtract!B:O,8,FALSE),"")</f>
        <v/>
      </c>
      <c r="J1048" s="26" t="str">
        <f>IFERROR(VLOOKUP(G1048,WholesaleExtract!B:O,14,FALSE),"")</f>
        <v/>
      </c>
      <c r="K1048" s="26" t="str">
        <f>IFERROR(VLOOKUP(G1048,WholesaleExtract!B:K,10,FALSE),"")</f>
        <v/>
      </c>
      <c r="L1048" s="47" t="str">
        <f>IFERROR(VLOOKUP(G1048,WholesaleExtract!B:L,11,FALSE),"")</f>
        <v/>
      </c>
      <c r="M1048" s="47" t="str">
        <f>IFERROR(VLOOKUP(G1048,WholesaleExtract!B:M,12,FALSE),"")</f>
        <v/>
      </c>
      <c r="N1048" s="27"/>
      <c r="O1048" s="19"/>
      <c r="P1048" s="19"/>
      <c r="Q1048" s="47"/>
      <c r="R1048" s="19"/>
      <c r="S1048" s="19"/>
    </row>
    <row r="1049" spans="1:19" x14ac:dyDescent="0.35">
      <c r="A1049" s="26" t="s">
        <v>543</v>
      </c>
      <c r="B1049" s="26" t="s">
        <v>543</v>
      </c>
      <c r="C1049" s="26"/>
      <c r="D1049" s="26" t="s">
        <v>543</v>
      </c>
      <c r="E1049" s="26" t="str">
        <f>IFERROR(VLOOKUP(G1049,WholesaleExtract!B:J,9,FALSE),"")</f>
        <v/>
      </c>
      <c r="F1049" s="26" t="str">
        <f>IFERROR(VLOOKUP(G1049,WholesaleExtract!B:J,6,FALSE),"")</f>
        <v/>
      </c>
      <c r="G1049" s="46"/>
      <c r="H1049" s="47" t="str">
        <f>IFERROR(VLOOKUP(G1049,WholesaleExtract!B:L,11,FALSE),"")</f>
        <v/>
      </c>
      <c r="I1049" s="26" t="str">
        <f>IFERROR(VLOOKUP(G1049,WholesaleExtract!B:O,8,FALSE),"")</f>
        <v/>
      </c>
      <c r="J1049" s="26" t="str">
        <f>IFERROR(VLOOKUP(G1049,WholesaleExtract!B:O,14,FALSE),"")</f>
        <v/>
      </c>
      <c r="K1049" s="26" t="str">
        <f>IFERROR(VLOOKUP(G1049,WholesaleExtract!B:K,10,FALSE),"")</f>
        <v/>
      </c>
      <c r="L1049" s="47" t="str">
        <f>IFERROR(VLOOKUP(G1049,WholesaleExtract!B:L,11,FALSE),"")</f>
        <v/>
      </c>
      <c r="M1049" s="47" t="str">
        <f>IFERROR(VLOOKUP(G1049,WholesaleExtract!B:M,12,FALSE),"")</f>
        <v/>
      </c>
      <c r="N1049" s="27"/>
      <c r="O1049" s="19"/>
      <c r="P1049" s="19"/>
      <c r="Q1049" s="47"/>
      <c r="R1049" s="19"/>
      <c r="S1049" s="19"/>
    </row>
    <row r="1050" spans="1:19" x14ac:dyDescent="0.35">
      <c r="A1050" s="26" t="s">
        <v>543</v>
      </c>
      <c r="B1050" s="26" t="s">
        <v>543</v>
      </c>
      <c r="C1050" s="26"/>
      <c r="D1050" s="26" t="s">
        <v>543</v>
      </c>
      <c r="E1050" s="26" t="str">
        <f>IFERROR(VLOOKUP(G1050,WholesaleExtract!B:J,9,FALSE),"")</f>
        <v/>
      </c>
      <c r="F1050" s="26" t="str">
        <f>IFERROR(VLOOKUP(G1050,WholesaleExtract!B:J,6,FALSE),"")</f>
        <v/>
      </c>
      <c r="G1050" s="46"/>
      <c r="H1050" s="47" t="str">
        <f>IFERROR(VLOOKUP(G1050,WholesaleExtract!B:L,11,FALSE),"")</f>
        <v/>
      </c>
      <c r="I1050" s="26" t="str">
        <f>IFERROR(VLOOKUP(G1050,WholesaleExtract!B:O,8,FALSE),"")</f>
        <v/>
      </c>
      <c r="J1050" s="26" t="str">
        <f>IFERROR(VLOOKUP(G1050,WholesaleExtract!B:O,14,FALSE),"")</f>
        <v/>
      </c>
      <c r="K1050" s="26" t="str">
        <f>IFERROR(VLOOKUP(G1050,WholesaleExtract!B:K,10,FALSE),"")</f>
        <v/>
      </c>
      <c r="L1050" s="47" t="str">
        <f>IFERROR(VLOOKUP(G1050,WholesaleExtract!B:L,11,FALSE),"")</f>
        <v/>
      </c>
      <c r="M1050" s="47" t="str">
        <f>IFERROR(VLOOKUP(G1050,WholesaleExtract!B:M,12,FALSE),"")</f>
        <v/>
      </c>
      <c r="N1050" s="27"/>
      <c r="O1050" s="19"/>
      <c r="P1050" s="19"/>
      <c r="Q1050" s="47"/>
      <c r="R1050" s="19"/>
      <c r="S1050" s="19"/>
    </row>
    <row r="1051" spans="1:19" x14ac:dyDescent="0.35">
      <c r="A1051" s="26" t="s">
        <v>543</v>
      </c>
      <c r="B1051" s="26" t="s">
        <v>543</v>
      </c>
      <c r="C1051" s="26"/>
      <c r="D1051" s="26" t="s">
        <v>543</v>
      </c>
      <c r="E1051" s="26" t="str">
        <f>IFERROR(VLOOKUP(G1051,WholesaleExtract!B:J,9,FALSE),"")</f>
        <v/>
      </c>
      <c r="F1051" s="26" t="str">
        <f>IFERROR(VLOOKUP(G1051,WholesaleExtract!B:J,6,FALSE),"")</f>
        <v/>
      </c>
      <c r="G1051" s="46"/>
      <c r="H1051" s="47" t="str">
        <f>IFERROR(VLOOKUP(G1051,WholesaleExtract!B:L,11,FALSE),"")</f>
        <v/>
      </c>
      <c r="I1051" s="26" t="str">
        <f>IFERROR(VLOOKUP(G1051,WholesaleExtract!B:O,8,FALSE),"")</f>
        <v/>
      </c>
      <c r="J1051" s="26" t="str">
        <f>IFERROR(VLOOKUP(G1051,WholesaleExtract!B:O,14,FALSE),"")</f>
        <v/>
      </c>
      <c r="K1051" s="26" t="str">
        <f>IFERROR(VLOOKUP(G1051,WholesaleExtract!B:K,10,FALSE),"")</f>
        <v/>
      </c>
      <c r="L1051" s="47" t="str">
        <f>IFERROR(VLOOKUP(G1051,WholesaleExtract!B:L,11,FALSE),"")</f>
        <v/>
      </c>
      <c r="M1051" s="47" t="str">
        <f>IFERROR(VLOOKUP(G1051,WholesaleExtract!B:M,12,FALSE),"")</f>
        <v/>
      </c>
      <c r="N1051" s="27"/>
      <c r="O1051" s="19"/>
      <c r="P1051" s="19"/>
      <c r="Q1051" s="47"/>
      <c r="R1051" s="19"/>
      <c r="S1051" s="19"/>
    </row>
    <row r="1052" spans="1:19" x14ac:dyDescent="0.35">
      <c r="A1052" s="26" t="s">
        <v>543</v>
      </c>
      <c r="B1052" s="26" t="s">
        <v>543</v>
      </c>
      <c r="C1052" s="26"/>
      <c r="D1052" s="26" t="s">
        <v>543</v>
      </c>
      <c r="E1052" s="26" t="str">
        <f>IFERROR(VLOOKUP(G1052,WholesaleExtract!B:J,9,FALSE),"")</f>
        <v/>
      </c>
      <c r="F1052" s="26" t="str">
        <f>IFERROR(VLOOKUP(G1052,WholesaleExtract!B:J,6,FALSE),"")</f>
        <v/>
      </c>
      <c r="G1052" s="46"/>
      <c r="H1052" s="47" t="str">
        <f>IFERROR(VLOOKUP(G1052,WholesaleExtract!B:L,11,FALSE),"")</f>
        <v/>
      </c>
      <c r="I1052" s="26" t="str">
        <f>IFERROR(VLOOKUP(G1052,WholesaleExtract!B:O,8,FALSE),"")</f>
        <v/>
      </c>
      <c r="J1052" s="26" t="str">
        <f>IFERROR(VLOOKUP(G1052,WholesaleExtract!B:O,14,FALSE),"")</f>
        <v/>
      </c>
      <c r="K1052" s="26" t="str">
        <f>IFERROR(VLOOKUP(G1052,WholesaleExtract!B:K,10,FALSE),"")</f>
        <v/>
      </c>
      <c r="L1052" s="47" t="str">
        <f>IFERROR(VLOOKUP(G1052,WholesaleExtract!B:L,11,FALSE),"")</f>
        <v/>
      </c>
      <c r="M1052" s="47" t="str">
        <f>IFERROR(VLOOKUP(G1052,WholesaleExtract!B:M,12,FALSE),"")</f>
        <v/>
      </c>
      <c r="N1052" s="27"/>
      <c r="O1052" s="19"/>
      <c r="P1052" s="19"/>
      <c r="Q1052" s="47"/>
      <c r="R1052" s="19"/>
      <c r="S1052" s="19"/>
    </row>
    <row r="1053" spans="1:19" x14ac:dyDescent="0.35">
      <c r="A1053" s="26" t="s">
        <v>543</v>
      </c>
      <c r="B1053" s="26" t="s">
        <v>543</v>
      </c>
      <c r="C1053" s="26"/>
      <c r="D1053" s="26" t="s">
        <v>543</v>
      </c>
      <c r="E1053" s="26" t="str">
        <f>IFERROR(VLOOKUP(G1053,WholesaleExtract!B:J,9,FALSE),"")</f>
        <v/>
      </c>
      <c r="F1053" s="26" t="str">
        <f>IFERROR(VLOOKUP(G1053,WholesaleExtract!B:J,6,FALSE),"")</f>
        <v/>
      </c>
      <c r="G1053" s="46"/>
      <c r="H1053" s="47" t="str">
        <f>IFERROR(VLOOKUP(G1053,WholesaleExtract!B:L,11,FALSE),"")</f>
        <v/>
      </c>
      <c r="I1053" s="26" t="str">
        <f>IFERROR(VLOOKUP(G1053,WholesaleExtract!B:O,8,FALSE),"")</f>
        <v/>
      </c>
      <c r="J1053" s="26" t="str">
        <f>IFERROR(VLOOKUP(G1053,WholesaleExtract!B:O,14,FALSE),"")</f>
        <v/>
      </c>
      <c r="K1053" s="26" t="str">
        <f>IFERROR(VLOOKUP(G1053,WholesaleExtract!B:K,10,FALSE),"")</f>
        <v/>
      </c>
      <c r="L1053" s="47" t="str">
        <f>IFERROR(VLOOKUP(G1053,WholesaleExtract!B:L,11,FALSE),"")</f>
        <v/>
      </c>
      <c r="M1053" s="47" t="str">
        <f>IFERROR(VLOOKUP(G1053,WholesaleExtract!B:M,12,FALSE),"")</f>
        <v/>
      </c>
      <c r="N1053" s="27"/>
      <c r="O1053" s="19"/>
      <c r="P1053" s="19"/>
      <c r="Q1053" s="47"/>
      <c r="R1053" s="19"/>
      <c r="S1053" s="19"/>
    </row>
    <row r="1054" spans="1:19" x14ac:dyDescent="0.35">
      <c r="A1054" s="26" t="s">
        <v>543</v>
      </c>
      <c r="B1054" s="26" t="s">
        <v>543</v>
      </c>
      <c r="C1054" s="26"/>
      <c r="D1054" s="26" t="s">
        <v>543</v>
      </c>
      <c r="E1054" s="26" t="str">
        <f>IFERROR(VLOOKUP(G1054,WholesaleExtract!B:J,9,FALSE),"")</f>
        <v/>
      </c>
      <c r="F1054" s="26" t="str">
        <f>IFERROR(VLOOKUP(G1054,WholesaleExtract!B:J,6,FALSE),"")</f>
        <v/>
      </c>
      <c r="G1054" s="46"/>
      <c r="H1054" s="47" t="str">
        <f>IFERROR(VLOOKUP(G1054,WholesaleExtract!B:L,11,FALSE),"")</f>
        <v/>
      </c>
      <c r="I1054" s="26" t="str">
        <f>IFERROR(VLOOKUP(G1054,WholesaleExtract!B:O,8,FALSE),"")</f>
        <v/>
      </c>
      <c r="J1054" s="26" t="str">
        <f>IFERROR(VLOOKUP(G1054,WholesaleExtract!B:O,14,FALSE),"")</f>
        <v/>
      </c>
      <c r="K1054" s="26" t="str">
        <f>IFERROR(VLOOKUP(G1054,WholesaleExtract!B:K,10,FALSE),"")</f>
        <v/>
      </c>
      <c r="L1054" s="47" t="str">
        <f>IFERROR(VLOOKUP(G1054,WholesaleExtract!B:L,11,FALSE),"")</f>
        <v/>
      </c>
      <c r="M1054" s="47" t="str">
        <f>IFERROR(VLOOKUP(G1054,WholesaleExtract!B:M,12,FALSE),"")</f>
        <v/>
      </c>
      <c r="N1054" s="27"/>
      <c r="O1054" s="19"/>
      <c r="P1054" s="19"/>
      <c r="Q1054" s="47"/>
      <c r="R1054" s="19"/>
      <c r="S1054" s="19"/>
    </row>
    <row r="1055" spans="1:19" x14ac:dyDescent="0.35">
      <c r="A1055" s="26" t="s">
        <v>543</v>
      </c>
      <c r="B1055" s="26" t="s">
        <v>543</v>
      </c>
      <c r="C1055" s="26"/>
      <c r="D1055" s="26" t="s">
        <v>543</v>
      </c>
      <c r="E1055" s="26" t="str">
        <f>IFERROR(VLOOKUP(G1055,WholesaleExtract!B:J,9,FALSE),"")</f>
        <v/>
      </c>
      <c r="F1055" s="26" t="str">
        <f>IFERROR(VLOOKUP(G1055,WholesaleExtract!B:J,6,FALSE),"")</f>
        <v/>
      </c>
      <c r="G1055" s="46"/>
      <c r="H1055" s="47" t="str">
        <f>IFERROR(VLOOKUP(G1055,WholesaleExtract!B:L,11,FALSE),"")</f>
        <v/>
      </c>
      <c r="I1055" s="26" t="str">
        <f>IFERROR(VLOOKUP(G1055,WholesaleExtract!B:O,8,FALSE),"")</f>
        <v/>
      </c>
      <c r="J1055" s="26" t="str">
        <f>IFERROR(VLOOKUP(G1055,WholesaleExtract!B:O,14,FALSE),"")</f>
        <v/>
      </c>
      <c r="K1055" s="26" t="str">
        <f>IFERROR(VLOOKUP(G1055,WholesaleExtract!B:K,10,FALSE),"")</f>
        <v/>
      </c>
      <c r="L1055" s="47" t="str">
        <f>IFERROR(VLOOKUP(G1055,WholesaleExtract!B:L,11,FALSE),"")</f>
        <v/>
      </c>
      <c r="M1055" s="47" t="str">
        <f>IFERROR(VLOOKUP(G1055,WholesaleExtract!B:M,12,FALSE),"")</f>
        <v/>
      </c>
      <c r="N1055" s="27"/>
      <c r="O1055" s="19"/>
      <c r="P1055" s="19"/>
      <c r="Q1055" s="47"/>
      <c r="R1055" s="19"/>
      <c r="S1055" s="19"/>
    </row>
    <row r="1056" spans="1:19" x14ac:dyDescent="0.35">
      <c r="A1056" s="26" t="s">
        <v>543</v>
      </c>
      <c r="B1056" s="26" t="s">
        <v>543</v>
      </c>
      <c r="C1056" s="26"/>
      <c r="D1056" s="26" t="s">
        <v>543</v>
      </c>
      <c r="E1056" s="26" t="str">
        <f>IFERROR(VLOOKUP(G1056,WholesaleExtract!B:J,9,FALSE),"")</f>
        <v/>
      </c>
      <c r="F1056" s="26" t="str">
        <f>IFERROR(VLOOKUP(G1056,WholesaleExtract!B:J,6,FALSE),"")</f>
        <v/>
      </c>
      <c r="G1056" s="46"/>
      <c r="H1056" s="47" t="str">
        <f>IFERROR(VLOOKUP(G1056,WholesaleExtract!B:L,11,FALSE),"")</f>
        <v/>
      </c>
      <c r="I1056" s="26" t="str">
        <f>IFERROR(VLOOKUP(G1056,WholesaleExtract!B:O,8,FALSE),"")</f>
        <v/>
      </c>
      <c r="J1056" s="26" t="str">
        <f>IFERROR(VLOOKUP(G1056,WholesaleExtract!B:O,14,FALSE),"")</f>
        <v/>
      </c>
      <c r="K1056" s="26" t="str">
        <f>IFERROR(VLOOKUP(G1056,WholesaleExtract!B:K,10,FALSE),"")</f>
        <v/>
      </c>
      <c r="L1056" s="47" t="str">
        <f>IFERROR(VLOOKUP(G1056,WholesaleExtract!B:L,11,FALSE),"")</f>
        <v/>
      </c>
      <c r="M1056" s="47" t="str">
        <f>IFERROR(VLOOKUP(G1056,WholesaleExtract!B:M,12,FALSE),"")</f>
        <v/>
      </c>
      <c r="N1056" s="27"/>
      <c r="O1056" s="19"/>
      <c r="P1056" s="19"/>
      <c r="Q1056" s="47"/>
      <c r="R1056" s="19"/>
      <c r="S1056" s="19"/>
    </row>
    <row r="1057" spans="1:19" x14ac:dyDescent="0.35">
      <c r="A1057" s="26" t="s">
        <v>543</v>
      </c>
      <c r="B1057" s="26" t="s">
        <v>543</v>
      </c>
      <c r="C1057" s="26"/>
      <c r="D1057" s="26" t="s">
        <v>543</v>
      </c>
      <c r="E1057" s="26" t="str">
        <f>IFERROR(VLOOKUP(G1057,WholesaleExtract!B:J,9,FALSE),"")</f>
        <v/>
      </c>
      <c r="F1057" s="26" t="str">
        <f>IFERROR(VLOOKUP(G1057,WholesaleExtract!B:J,6,FALSE),"")</f>
        <v/>
      </c>
      <c r="G1057" s="46"/>
      <c r="H1057" s="47" t="str">
        <f>IFERROR(VLOOKUP(G1057,WholesaleExtract!B:L,11,FALSE),"")</f>
        <v/>
      </c>
      <c r="I1057" s="26" t="str">
        <f>IFERROR(VLOOKUP(G1057,WholesaleExtract!B:O,8,FALSE),"")</f>
        <v/>
      </c>
      <c r="J1057" s="26" t="str">
        <f>IFERROR(VLOOKUP(G1057,WholesaleExtract!B:O,14,FALSE),"")</f>
        <v/>
      </c>
      <c r="K1057" s="26" t="str">
        <f>IFERROR(VLOOKUP(G1057,WholesaleExtract!B:K,10,FALSE),"")</f>
        <v/>
      </c>
      <c r="L1057" s="47" t="str">
        <f>IFERROR(VLOOKUP(G1057,WholesaleExtract!B:L,11,FALSE),"")</f>
        <v/>
      </c>
      <c r="M1057" s="47" t="str">
        <f>IFERROR(VLOOKUP(G1057,WholesaleExtract!B:M,12,FALSE),"")</f>
        <v/>
      </c>
      <c r="N1057" s="27"/>
      <c r="O1057" s="19"/>
      <c r="P1057" s="19"/>
      <c r="Q1057" s="47"/>
      <c r="R1057" s="19"/>
      <c r="S1057" s="19"/>
    </row>
    <row r="1058" spans="1:19" x14ac:dyDescent="0.35">
      <c r="A1058" s="26" t="s">
        <v>543</v>
      </c>
      <c r="B1058" s="26" t="s">
        <v>543</v>
      </c>
      <c r="C1058" s="26"/>
      <c r="D1058" s="26" t="s">
        <v>543</v>
      </c>
      <c r="E1058" s="26" t="str">
        <f>IFERROR(VLOOKUP(G1058,WholesaleExtract!B:J,9,FALSE),"")</f>
        <v/>
      </c>
      <c r="F1058" s="26" t="str">
        <f>IFERROR(VLOOKUP(G1058,WholesaleExtract!B:J,6,FALSE),"")</f>
        <v/>
      </c>
      <c r="G1058" s="46"/>
      <c r="H1058" s="47" t="str">
        <f>IFERROR(VLOOKUP(G1058,WholesaleExtract!B:L,11,FALSE),"")</f>
        <v/>
      </c>
      <c r="I1058" s="26" t="str">
        <f>IFERROR(VLOOKUP(G1058,WholesaleExtract!B:O,8,FALSE),"")</f>
        <v/>
      </c>
      <c r="J1058" s="26" t="str">
        <f>IFERROR(VLOOKUP(G1058,WholesaleExtract!B:O,14,FALSE),"")</f>
        <v/>
      </c>
      <c r="K1058" s="26" t="str">
        <f>IFERROR(VLOOKUP(G1058,WholesaleExtract!B:K,10,FALSE),"")</f>
        <v/>
      </c>
      <c r="L1058" s="47" t="str">
        <f>IFERROR(VLOOKUP(G1058,WholesaleExtract!B:L,11,FALSE),"")</f>
        <v/>
      </c>
      <c r="M1058" s="47" t="str">
        <f>IFERROR(VLOOKUP(G1058,WholesaleExtract!B:M,12,FALSE),"")</f>
        <v/>
      </c>
      <c r="N1058" s="27"/>
      <c r="O1058" s="19"/>
      <c r="P1058" s="19"/>
      <c r="Q1058" s="47"/>
      <c r="R1058" s="19"/>
      <c r="S1058" s="19"/>
    </row>
    <row r="1059" spans="1:19" x14ac:dyDescent="0.35">
      <c r="A1059" s="26" t="s">
        <v>543</v>
      </c>
      <c r="B1059" s="26" t="s">
        <v>543</v>
      </c>
      <c r="C1059" s="26"/>
      <c r="D1059" s="26" t="s">
        <v>543</v>
      </c>
      <c r="E1059" s="26" t="str">
        <f>IFERROR(VLOOKUP(G1059,WholesaleExtract!B:J,9,FALSE),"")</f>
        <v/>
      </c>
      <c r="F1059" s="26" t="str">
        <f>IFERROR(VLOOKUP(G1059,WholesaleExtract!B:J,6,FALSE),"")</f>
        <v/>
      </c>
      <c r="G1059" s="46"/>
      <c r="H1059" s="47" t="str">
        <f>IFERROR(VLOOKUP(G1059,WholesaleExtract!B:L,11,FALSE),"")</f>
        <v/>
      </c>
      <c r="I1059" s="26" t="str">
        <f>IFERROR(VLOOKUP(G1059,WholesaleExtract!B:O,8,FALSE),"")</f>
        <v/>
      </c>
      <c r="J1059" s="26" t="str">
        <f>IFERROR(VLOOKUP(G1059,WholesaleExtract!B:O,14,FALSE),"")</f>
        <v/>
      </c>
      <c r="K1059" s="26" t="str">
        <f>IFERROR(VLOOKUP(G1059,WholesaleExtract!B:K,10,FALSE),"")</f>
        <v/>
      </c>
      <c r="L1059" s="47" t="str">
        <f>IFERROR(VLOOKUP(G1059,WholesaleExtract!B:L,11,FALSE),"")</f>
        <v/>
      </c>
      <c r="M1059" s="47" t="str">
        <f>IFERROR(VLOOKUP(G1059,WholesaleExtract!B:M,12,FALSE),"")</f>
        <v/>
      </c>
      <c r="N1059" s="27"/>
      <c r="O1059" s="19"/>
      <c r="P1059" s="19"/>
      <c r="Q1059" s="47"/>
      <c r="R1059" s="19"/>
      <c r="S1059" s="19"/>
    </row>
    <row r="1060" spans="1:19" x14ac:dyDescent="0.35">
      <c r="A1060" s="26" t="s">
        <v>543</v>
      </c>
      <c r="B1060" s="26" t="s">
        <v>543</v>
      </c>
      <c r="C1060" s="26"/>
      <c r="D1060" s="26" t="s">
        <v>543</v>
      </c>
      <c r="E1060" s="26" t="str">
        <f>IFERROR(VLOOKUP(G1060,WholesaleExtract!B:J,9,FALSE),"")</f>
        <v/>
      </c>
      <c r="F1060" s="26" t="str">
        <f>IFERROR(VLOOKUP(G1060,WholesaleExtract!B:J,6,FALSE),"")</f>
        <v/>
      </c>
      <c r="G1060" s="46"/>
      <c r="H1060" s="47" t="str">
        <f>IFERROR(VLOOKUP(G1060,WholesaleExtract!B:L,11,FALSE),"")</f>
        <v/>
      </c>
      <c r="I1060" s="26" t="str">
        <f>IFERROR(VLOOKUP(G1060,WholesaleExtract!B:O,8,FALSE),"")</f>
        <v/>
      </c>
      <c r="J1060" s="26" t="str">
        <f>IFERROR(VLOOKUP(G1060,WholesaleExtract!B:O,14,FALSE),"")</f>
        <v/>
      </c>
      <c r="K1060" s="26" t="str">
        <f>IFERROR(VLOOKUP(G1060,WholesaleExtract!B:K,10,FALSE),"")</f>
        <v/>
      </c>
      <c r="L1060" s="47" t="str">
        <f>IFERROR(VLOOKUP(G1060,WholesaleExtract!B:L,11,FALSE),"")</f>
        <v/>
      </c>
      <c r="M1060" s="47" t="str">
        <f>IFERROR(VLOOKUP(G1060,WholesaleExtract!B:M,12,FALSE),"")</f>
        <v/>
      </c>
      <c r="N1060" s="27"/>
      <c r="O1060" s="19"/>
      <c r="P1060" s="19"/>
      <c r="Q1060" s="47"/>
      <c r="R1060" s="19"/>
      <c r="S1060" s="19"/>
    </row>
    <row r="1061" spans="1:19" x14ac:dyDescent="0.35">
      <c r="A1061" s="26" t="s">
        <v>543</v>
      </c>
      <c r="B1061" s="26" t="s">
        <v>543</v>
      </c>
      <c r="C1061" s="26"/>
      <c r="D1061" s="26" t="s">
        <v>543</v>
      </c>
      <c r="E1061" s="26" t="str">
        <f>IFERROR(VLOOKUP(G1061,WholesaleExtract!B:J,9,FALSE),"")</f>
        <v/>
      </c>
      <c r="F1061" s="26" t="str">
        <f>IFERROR(VLOOKUP(G1061,WholesaleExtract!B:J,6,FALSE),"")</f>
        <v/>
      </c>
      <c r="G1061" s="46"/>
      <c r="H1061" s="47" t="str">
        <f>IFERROR(VLOOKUP(G1061,WholesaleExtract!B:L,11,FALSE),"")</f>
        <v/>
      </c>
      <c r="I1061" s="26" t="str">
        <f>IFERROR(VLOOKUP(G1061,WholesaleExtract!B:O,8,FALSE),"")</f>
        <v/>
      </c>
      <c r="J1061" s="26" t="str">
        <f>IFERROR(VLOOKUP(G1061,WholesaleExtract!B:O,14,FALSE),"")</f>
        <v/>
      </c>
      <c r="K1061" s="26" t="str">
        <f>IFERROR(VLOOKUP(G1061,WholesaleExtract!B:K,10,FALSE),"")</f>
        <v/>
      </c>
      <c r="L1061" s="47" t="str">
        <f>IFERROR(VLOOKUP(G1061,WholesaleExtract!B:L,11,FALSE),"")</f>
        <v/>
      </c>
      <c r="M1061" s="47" t="str">
        <f>IFERROR(VLOOKUP(G1061,WholesaleExtract!B:M,12,FALSE),"")</f>
        <v/>
      </c>
      <c r="N1061" s="27"/>
      <c r="O1061" s="19"/>
      <c r="P1061" s="19"/>
      <c r="Q1061" s="47"/>
      <c r="R1061" s="19"/>
      <c r="S1061" s="19"/>
    </row>
    <row r="1062" spans="1:19" x14ac:dyDescent="0.35">
      <c r="A1062" s="26" t="s">
        <v>543</v>
      </c>
      <c r="B1062" s="26" t="s">
        <v>543</v>
      </c>
      <c r="C1062" s="26"/>
      <c r="D1062" s="26" t="s">
        <v>543</v>
      </c>
      <c r="E1062" s="26" t="str">
        <f>IFERROR(VLOOKUP(G1062,WholesaleExtract!B:J,9,FALSE),"")</f>
        <v/>
      </c>
      <c r="F1062" s="26" t="str">
        <f>IFERROR(VLOOKUP(G1062,WholesaleExtract!B:J,6,FALSE),"")</f>
        <v/>
      </c>
      <c r="G1062" s="46"/>
      <c r="H1062" s="47" t="str">
        <f>IFERROR(VLOOKUP(G1062,WholesaleExtract!B:L,11,FALSE),"")</f>
        <v/>
      </c>
      <c r="I1062" s="26" t="str">
        <f>IFERROR(VLOOKUP(G1062,WholesaleExtract!B:O,8,FALSE),"")</f>
        <v/>
      </c>
      <c r="J1062" s="26" t="str">
        <f>IFERROR(VLOOKUP(G1062,WholesaleExtract!B:O,14,FALSE),"")</f>
        <v/>
      </c>
      <c r="K1062" s="26" t="str">
        <f>IFERROR(VLOOKUP(G1062,WholesaleExtract!B:K,10,FALSE),"")</f>
        <v/>
      </c>
      <c r="L1062" s="47" t="str">
        <f>IFERROR(VLOOKUP(G1062,WholesaleExtract!B:L,11,FALSE),"")</f>
        <v/>
      </c>
      <c r="M1062" s="47" t="str">
        <f>IFERROR(VLOOKUP(G1062,WholesaleExtract!B:M,12,FALSE),"")</f>
        <v/>
      </c>
      <c r="N1062" s="27"/>
      <c r="O1062" s="19"/>
      <c r="P1062" s="19"/>
      <c r="Q1062" s="47"/>
      <c r="R1062" s="19"/>
      <c r="S1062" s="19"/>
    </row>
    <row r="1063" spans="1:19" x14ac:dyDescent="0.35">
      <c r="A1063" s="26" t="s">
        <v>543</v>
      </c>
      <c r="B1063" s="26" t="s">
        <v>543</v>
      </c>
      <c r="C1063" s="26"/>
      <c r="D1063" s="26" t="s">
        <v>543</v>
      </c>
      <c r="E1063" s="26" t="str">
        <f>IFERROR(VLOOKUP(G1063,WholesaleExtract!B:J,9,FALSE),"")</f>
        <v/>
      </c>
      <c r="F1063" s="26" t="str">
        <f>IFERROR(VLOOKUP(G1063,WholesaleExtract!B:J,6,FALSE),"")</f>
        <v/>
      </c>
      <c r="G1063" s="46"/>
      <c r="H1063" s="47" t="str">
        <f>IFERROR(VLOOKUP(G1063,WholesaleExtract!B:L,11,FALSE),"")</f>
        <v/>
      </c>
      <c r="I1063" s="26" t="str">
        <f>IFERROR(VLOOKUP(G1063,WholesaleExtract!B:O,8,FALSE),"")</f>
        <v/>
      </c>
      <c r="J1063" s="26" t="str">
        <f>IFERROR(VLOOKUP(G1063,WholesaleExtract!B:O,14,FALSE),"")</f>
        <v/>
      </c>
      <c r="K1063" s="26" t="str">
        <f>IFERROR(VLOOKUP(G1063,WholesaleExtract!B:K,10,FALSE),"")</f>
        <v/>
      </c>
      <c r="L1063" s="47" t="str">
        <f>IFERROR(VLOOKUP(G1063,WholesaleExtract!B:L,11,FALSE),"")</f>
        <v/>
      </c>
      <c r="M1063" s="47" t="str">
        <f>IFERROR(VLOOKUP(G1063,WholesaleExtract!B:M,12,FALSE),"")</f>
        <v/>
      </c>
      <c r="N1063" s="27"/>
      <c r="O1063" s="19"/>
      <c r="P1063" s="19"/>
      <c r="Q1063" s="47"/>
      <c r="R1063" s="19"/>
      <c r="S1063" s="19"/>
    </row>
    <row r="1064" spans="1:19" x14ac:dyDescent="0.35">
      <c r="A1064" s="26" t="s">
        <v>543</v>
      </c>
      <c r="B1064" s="26" t="s">
        <v>543</v>
      </c>
      <c r="C1064" s="26"/>
      <c r="D1064" s="26" t="s">
        <v>543</v>
      </c>
      <c r="E1064" s="26" t="str">
        <f>IFERROR(VLOOKUP(G1064,WholesaleExtract!B:J,9,FALSE),"")</f>
        <v/>
      </c>
      <c r="F1064" s="26" t="str">
        <f>IFERROR(VLOOKUP(G1064,WholesaleExtract!B:J,6,FALSE),"")</f>
        <v/>
      </c>
      <c r="G1064" s="46"/>
      <c r="H1064" s="47" t="str">
        <f>IFERROR(VLOOKUP(G1064,WholesaleExtract!B:L,11,FALSE),"")</f>
        <v/>
      </c>
      <c r="I1064" s="26" t="str">
        <f>IFERROR(VLOOKUP(G1064,WholesaleExtract!B:O,8,FALSE),"")</f>
        <v/>
      </c>
      <c r="J1064" s="26" t="str">
        <f>IFERROR(VLOOKUP(G1064,WholesaleExtract!B:O,14,FALSE),"")</f>
        <v/>
      </c>
      <c r="K1064" s="26" t="str">
        <f>IFERROR(VLOOKUP(G1064,WholesaleExtract!B:K,10,FALSE),"")</f>
        <v/>
      </c>
      <c r="L1064" s="47" t="str">
        <f>IFERROR(VLOOKUP(G1064,WholesaleExtract!B:L,11,FALSE),"")</f>
        <v/>
      </c>
      <c r="M1064" s="47" t="str">
        <f>IFERROR(VLOOKUP(G1064,WholesaleExtract!B:M,12,FALSE),"")</f>
        <v/>
      </c>
      <c r="N1064" s="27"/>
      <c r="O1064" s="19"/>
      <c r="P1064" s="19"/>
      <c r="Q1064" s="47"/>
      <c r="R1064" s="19"/>
      <c r="S1064" s="19"/>
    </row>
    <row r="1065" spans="1:19" x14ac:dyDescent="0.35">
      <c r="A1065" s="26" t="s">
        <v>543</v>
      </c>
      <c r="B1065" s="26" t="s">
        <v>543</v>
      </c>
      <c r="C1065" s="26"/>
      <c r="D1065" s="26" t="s">
        <v>543</v>
      </c>
      <c r="E1065" s="26" t="str">
        <f>IFERROR(VLOOKUP(G1065,WholesaleExtract!B:J,9,FALSE),"")</f>
        <v/>
      </c>
      <c r="F1065" s="26" t="str">
        <f>IFERROR(VLOOKUP(G1065,WholesaleExtract!B:J,6,FALSE),"")</f>
        <v/>
      </c>
      <c r="G1065" s="46"/>
      <c r="H1065" s="47" t="str">
        <f>IFERROR(VLOOKUP(G1065,WholesaleExtract!B:L,11,FALSE),"")</f>
        <v/>
      </c>
      <c r="I1065" s="26" t="str">
        <f>IFERROR(VLOOKUP(G1065,WholesaleExtract!B:O,8,FALSE),"")</f>
        <v/>
      </c>
      <c r="J1065" s="26" t="str">
        <f>IFERROR(VLOOKUP(G1065,WholesaleExtract!B:O,14,FALSE),"")</f>
        <v/>
      </c>
      <c r="K1065" s="26" t="str">
        <f>IFERROR(VLOOKUP(G1065,WholesaleExtract!B:K,10,FALSE),"")</f>
        <v/>
      </c>
      <c r="L1065" s="47" t="str">
        <f>IFERROR(VLOOKUP(G1065,WholesaleExtract!B:L,11,FALSE),"")</f>
        <v/>
      </c>
      <c r="M1065" s="47" t="str">
        <f>IFERROR(VLOOKUP(G1065,WholesaleExtract!B:M,12,FALSE),"")</f>
        <v/>
      </c>
      <c r="N1065" s="27"/>
      <c r="O1065" s="19"/>
      <c r="P1065" s="19"/>
      <c r="Q1065" s="47"/>
      <c r="R1065" s="19"/>
      <c r="S1065" s="19"/>
    </row>
    <row r="1066" spans="1:19" x14ac:dyDescent="0.35">
      <c r="A1066" s="26" t="s">
        <v>543</v>
      </c>
      <c r="B1066" s="26" t="s">
        <v>543</v>
      </c>
      <c r="C1066" s="26"/>
      <c r="D1066" s="26" t="s">
        <v>543</v>
      </c>
      <c r="E1066" s="26" t="str">
        <f>IFERROR(VLOOKUP(G1066,WholesaleExtract!B:J,9,FALSE),"")</f>
        <v/>
      </c>
      <c r="F1066" s="26" t="str">
        <f>IFERROR(VLOOKUP(G1066,WholesaleExtract!B:J,6,FALSE),"")</f>
        <v/>
      </c>
      <c r="G1066" s="46"/>
      <c r="H1066" s="47" t="str">
        <f>IFERROR(VLOOKUP(G1066,WholesaleExtract!B:L,11,FALSE),"")</f>
        <v/>
      </c>
      <c r="I1066" s="26" t="str">
        <f>IFERROR(VLOOKUP(G1066,WholesaleExtract!B:O,8,FALSE),"")</f>
        <v/>
      </c>
      <c r="J1066" s="26" t="str">
        <f>IFERROR(VLOOKUP(G1066,WholesaleExtract!B:O,14,FALSE),"")</f>
        <v/>
      </c>
      <c r="K1066" s="26" t="str">
        <f>IFERROR(VLOOKUP(G1066,WholesaleExtract!B:K,10,FALSE),"")</f>
        <v/>
      </c>
      <c r="L1066" s="47" t="str">
        <f>IFERROR(VLOOKUP(G1066,WholesaleExtract!B:L,11,FALSE),"")</f>
        <v/>
      </c>
      <c r="M1066" s="47" t="str">
        <f>IFERROR(VLOOKUP(G1066,WholesaleExtract!B:M,12,FALSE),"")</f>
        <v/>
      </c>
      <c r="N1066" s="27"/>
      <c r="O1066" s="19"/>
      <c r="P1066" s="19"/>
      <c r="Q1066" s="47"/>
      <c r="R1066" s="19"/>
      <c r="S1066" s="19"/>
    </row>
    <row r="1067" spans="1:19" x14ac:dyDescent="0.35">
      <c r="A1067" s="26" t="s">
        <v>543</v>
      </c>
      <c r="B1067" s="26" t="s">
        <v>543</v>
      </c>
      <c r="C1067" s="26"/>
      <c r="D1067" s="26" t="s">
        <v>543</v>
      </c>
      <c r="E1067" s="26" t="str">
        <f>IFERROR(VLOOKUP(G1067,WholesaleExtract!B:J,9,FALSE),"")</f>
        <v/>
      </c>
      <c r="F1067" s="26" t="str">
        <f>IFERROR(VLOOKUP(G1067,WholesaleExtract!B:J,6,FALSE),"")</f>
        <v/>
      </c>
      <c r="G1067" s="46"/>
      <c r="H1067" s="47" t="str">
        <f>IFERROR(VLOOKUP(G1067,WholesaleExtract!B:L,11,FALSE),"")</f>
        <v/>
      </c>
      <c r="I1067" s="26" t="str">
        <f>IFERROR(VLOOKUP(G1067,WholesaleExtract!B:O,8,FALSE),"")</f>
        <v/>
      </c>
      <c r="J1067" s="26" t="str">
        <f>IFERROR(VLOOKUP(G1067,WholesaleExtract!B:O,14,FALSE),"")</f>
        <v/>
      </c>
      <c r="K1067" s="26" t="str">
        <f>IFERROR(VLOOKUP(G1067,WholesaleExtract!B:K,10,FALSE),"")</f>
        <v/>
      </c>
      <c r="L1067" s="47" t="str">
        <f>IFERROR(VLOOKUP(G1067,WholesaleExtract!B:L,11,FALSE),"")</f>
        <v/>
      </c>
      <c r="M1067" s="47" t="str">
        <f>IFERROR(VLOOKUP(G1067,WholesaleExtract!B:M,12,FALSE),"")</f>
        <v/>
      </c>
      <c r="N1067" s="27"/>
      <c r="O1067" s="19"/>
      <c r="P1067" s="19"/>
      <c r="Q1067" s="47"/>
      <c r="R1067" s="19"/>
      <c r="S1067" s="19"/>
    </row>
    <row r="1068" spans="1:19" x14ac:dyDescent="0.35">
      <c r="A1068" s="26" t="s">
        <v>543</v>
      </c>
      <c r="B1068" s="26" t="s">
        <v>543</v>
      </c>
      <c r="C1068" s="26"/>
      <c r="D1068" s="26" t="s">
        <v>543</v>
      </c>
      <c r="E1068" s="26" t="str">
        <f>IFERROR(VLOOKUP(G1068,WholesaleExtract!B:J,9,FALSE),"")</f>
        <v/>
      </c>
      <c r="F1068" s="26" t="str">
        <f>IFERROR(VLOOKUP(G1068,WholesaleExtract!B:J,6,FALSE),"")</f>
        <v/>
      </c>
      <c r="G1068" s="46"/>
      <c r="H1068" s="47" t="str">
        <f>IFERROR(VLOOKUP(G1068,WholesaleExtract!B:L,11,FALSE),"")</f>
        <v/>
      </c>
      <c r="I1068" s="26" t="str">
        <f>IFERROR(VLOOKUP(G1068,WholesaleExtract!B:O,8,FALSE),"")</f>
        <v/>
      </c>
      <c r="J1068" s="26" t="str">
        <f>IFERROR(VLOOKUP(G1068,WholesaleExtract!B:O,14,FALSE),"")</f>
        <v/>
      </c>
      <c r="K1068" s="26" t="str">
        <f>IFERROR(VLOOKUP(G1068,WholesaleExtract!B:K,10,FALSE),"")</f>
        <v/>
      </c>
      <c r="L1068" s="47" t="str">
        <f>IFERROR(VLOOKUP(G1068,WholesaleExtract!B:L,11,FALSE),"")</f>
        <v/>
      </c>
      <c r="M1068" s="47" t="str">
        <f>IFERROR(VLOOKUP(G1068,WholesaleExtract!B:M,12,FALSE),"")</f>
        <v/>
      </c>
      <c r="N1068" s="27"/>
      <c r="O1068" s="19"/>
      <c r="P1068" s="19"/>
      <c r="Q1068" s="47"/>
      <c r="R1068" s="19"/>
      <c r="S1068" s="19"/>
    </row>
    <row r="1069" spans="1:19" x14ac:dyDescent="0.35">
      <c r="A1069" s="26" t="s">
        <v>543</v>
      </c>
      <c r="B1069" s="26" t="s">
        <v>543</v>
      </c>
      <c r="C1069" s="26"/>
      <c r="D1069" s="26" t="s">
        <v>543</v>
      </c>
      <c r="E1069" s="26" t="str">
        <f>IFERROR(VLOOKUP(G1069,WholesaleExtract!B:J,9,FALSE),"")</f>
        <v/>
      </c>
      <c r="F1069" s="26" t="str">
        <f>IFERROR(VLOOKUP(G1069,WholesaleExtract!B:J,6,FALSE),"")</f>
        <v/>
      </c>
      <c r="G1069" s="46"/>
      <c r="H1069" s="47" t="str">
        <f>IFERROR(VLOOKUP(G1069,WholesaleExtract!B:L,11,FALSE),"")</f>
        <v/>
      </c>
      <c r="I1069" s="26" t="str">
        <f>IFERROR(VLOOKUP(G1069,WholesaleExtract!B:O,8,FALSE),"")</f>
        <v/>
      </c>
      <c r="J1069" s="26" t="str">
        <f>IFERROR(VLOOKUP(G1069,WholesaleExtract!B:O,14,FALSE),"")</f>
        <v/>
      </c>
      <c r="K1069" s="26" t="str">
        <f>IFERROR(VLOOKUP(G1069,WholesaleExtract!B:K,10,FALSE),"")</f>
        <v/>
      </c>
      <c r="L1069" s="47" t="str">
        <f>IFERROR(VLOOKUP(G1069,WholesaleExtract!B:L,11,FALSE),"")</f>
        <v/>
      </c>
      <c r="M1069" s="47" t="str">
        <f>IFERROR(VLOOKUP(G1069,WholesaleExtract!B:M,12,FALSE),"")</f>
        <v/>
      </c>
      <c r="N1069" s="27"/>
      <c r="O1069" s="19"/>
      <c r="P1069" s="19"/>
      <c r="Q1069" s="47"/>
      <c r="R1069" s="19"/>
      <c r="S1069" s="19"/>
    </row>
    <row r="1070" spans="1:19" x14ac:dyDescent="0.35">
      <c r="A1070" s="26" t="s">
        <v>543</v>
      </c>
      <c r="B1070" s="26" t="s">
        <v>543</v>
      </c>
      <c r="C1070" s="26"/>
      <c r="D1070" s="26" t="s">
        <v>543</v>
      </c>
      <c r="E1070" s="26" t="str">
        <f>IFERROR(VLOOKUP(G1070,WholesaleExtract!B:J,9,FALSE),"")</f>
        <v/>
      </c>
      <c r="F1070" s="26" t="str">
        <f>IFERROR(VLOOKUP(G1070,WholesaleExtract!B:J,6,FALSE),"")</f>
        <v/>
      </c>
      <c r="G1070" s="46"/>
      <c r="H1070" s="47" t="str">
        <f>IFERROR(VLOOKUP(G1070,WholesaleExtract!B:L,11,FALSE),"")</f>
        <v/>
      </c>
      <c r="I1070" s="26" t="str">
        <f>IFERROR(VLOOKUP(G1070,WholesaleExtract!B:O,8,FALSE),"")</f>
        <v/>
      </c>
      <c r="J1070" s="26" t="str">
        <f>IFERROR(VLOOKUP(G1070,WholesaleExtract!B:O,14,FALSE),"")</f>
        <v/>
      </c>
      <c r="K1070" s="26" t="str">
        <f>IFERROR(VLOOKUP(G1070,WholesaleExtract!B:K,10,FALSE),"")</f>
        <v/>
      </c>
      <c r="L1070" s="47" t="str">
        <f>IFERROR(VLOOKUP(G1070,WholesaleExtract!B:L,11,FALSE),"")</f>
        <v/>
      </c>
      <c r="M1070" s="47" t="str">
        <f>IFERROR(VLOOKUP(G1070,WholesaleExtract!B:M,12,FALSE),"")</f>
        <v/>
      </c>
      <c r="N1070" s="27"/>
      <c r="O1070" s="19"/>
      <c r="P1070" s="19"/>
      <c r="Q1070" s="47"/>
      <c r="R1070" s="19"/>
      <c r="S1070" s="19"/>
    </row>
    <row r="1071" spans="1:19" x14ac:dyDescent="0.35">
      <c r="A1071" s="26" t="s">
        <v>543</v>
      </c>
      <c r="B1071" s="26" t="s">
        <v>543</v>
      </c>
      <c r="C1071" s="26"/>
      <c r="D1071" s="26" t="s">
        <v>543</v>
      </c>
      <c r="E1071" s="26" t="str">
        <f>IFERROR(VLOOKUP(G1071,WholesaleExtract!B:J,9,FALSE),"")</f>
        <v/>
      </c>
      <c r="F1071" s="26" t="str">
        <f>IFERROR(VLOOKUP(G1071,WholesaleExtract!B:J,6,FALSE),"")</f>
        <v/>
      </c>
      <c r="G1071" s="46"/>
      <c r="H1071" s="47" t="str">
        <f>IFERROR(VLOOKUP(G1071,WholesaleExtract!B:L,11,FALSE),"")</f>
        <v/>
      </c>
      <c r="I1071" s="26" t="str">
        <f>IFERROR(VLOOKUP(G1071,WholesaleExtract!B:O,8,FALSE),"")</f>
        <v/>
      </c>
      <c r="J1071" s="26" t="str">
        <f>IFERROR(VLOOKUP(G1071,WholesaleExtract!B:O,14,FALSE),"")</f>
        <v/>
      </c>
      <c r="K1071" s="26" t="str">
        <f>IFERROR(VLOOKUP(G1071,WholesaleExtract!B:K,10,FALSE),"")</f>
        <v/>
      </c>
      <c r="L1071" s="47" t="str">
        <f>IFERROR(VLOOKUP(G1071,WholesaleExtract!B:L,11,FALSE),"")</f>
        <v/>
      </c>
      <c r="M1071" s="47" t="str">
        <f>IFERROR(VLOOKUP(G1071,WholesaleExtract!B:M,12,FALSE),"")</f>
        <v/>
      </c>
      <c r="N1071" s="27"/>
      <c r="O1071" s="19"/>
      <c r="P1071" s="19"/>
      <c r="Q1071" s="47"/>
      <c r="R1071" s="19"/>
      <c r="S1071" s="19"/>
    </row>
    <row r="1072" spans="1:19" x14ac:dyDescent="0.35">
      <c r="A1072" s="26" t="s">
        <v>543</v>
      </c>
      <c r="B1072" s="26" t="s">
        <v>543</v>
      </c>
      <c r="C1072" s="26"/>
      <c r="D1072" s="26" t="s">
        <v>543</v>
      </c>
      <c r="E1072" s="26" t="str">
        <f>IFERROR(VLOOKUP(G1072,WholesaleExtract!B:J,9,FALSE),"")</f>
        <v/>
      </c>
      <c r="F1072" s="26" t="str">
        <f>IFERROR(VLOOKUP(G1072,WholesaleExtract!B:J,6,FALSE),"")</f>
        <v/>
      </c>
      <c r="G1072" s="46"/>
      <c r="H1072" s="47" t="str">
        <f>IFERROR(VLOOKUP(G1072,WholesaleExtract!B:L,11,FALSE),"")</f>
        <v/>
      </c>
      <c r="I1072" s="26" t="str">
        <f>IFERROR(VLOOKUP(G1072,WholesaleExtract!B:O,8,FALSE),"")</f>
        <v/>
      </c>
      <c r="J1072" s="26" t="str">
        <f>IFERROR(VLOOKUP(G1072,WholesaleExtract!B:O,14,FALSE),"")</f>
        <v/>
      </c>
      <c r="K1072" s="26" t="str">
        <f>IFERROR(VLOOKUP(G1072,WholesaleExtract!B:K,10,FALSE),"")</f>
        <v/>
      </c>
      <c r="L1072" s="47" t="str">
        <f>IFERROR(VLOOKUP(G1072,WholesaleExtract!B:L,11,FALSE),"")</f>
        <v/>
      </c>
      <c r="M1072" s="47" t="str">
        <f>IFERROR(VLOOKUP(G1072,WholesaleExtract!B:M,12,FALSE),"")</f>
        <v/>
      </c>
      <c r="N1072" s="27"/>
      <c r="O1072" s="19"/>
      <c r="P1072" s="19"/>
      <c r="Q1072" s="47"/>
      <c r="R1072" s="19"/>
      <c r="S1072" s="19"/>
    </row>
    <row r="1073" spans="1:19" x14ac:dyDescent="0.35">
      <c r="A1073" s="26" t="s">
        <v>543</v>
      </c>
      <c r="B1073" s="26" t="s">
        <v>543</v>
      </c>
      <c r="C1073" s="26"/>
      <c r="D1073" s="26" t="s">
        <v>543</v>
      </c>
      <c r="E1073" s="26" t="str">
        <f>IFERROR(VLOOKUP(G1073,WholesaleExtract!B:J,9,FALSE),"")</f>
        <v/>
      </c>
      <c r="F1073" s="26" t="str">
        <f>IFERROR(VLOOKUP(G1073,WholesaleExtract!B:J,6,FALSE),"")</f>
        <v/>
      </c>
      <c r="G1073" s="46"/>
      <c r="H1073" s="47" t="str">
        <f>IFERROR(VLOOKUP(G1073,WholesaleExtract!B:L,11,FALSE),"")</f>
        <v/>
      </c>
      <c r="I1073" s="26" t="str">
        <f>IFERROR(VLOOKUP(G1073,WholesaleExtract!B:O,8,FALSE),"")</f>
        <v/>
      </c>
      <c r="J1073" s="26" t="str">
        <f>IFERROR(VLOOKUP(G1073,WholesaleExtract!B:O,14,FALSE),"")</f>
        <v/>
      </c>
      <c r="K1073" s="26" t="str">
        <f>IFERROR(VLOOKUP(G1073,WholesaleExtract!B:K,10,FALSE),"")</f>
        <v/>
      </c>
      <c r="L1073" s="47" t="str">
        <f>IFERROR(VLOOKUP(G1073,WholesaleExtract!B:L,11,FALSE),"")</f>
        <v/>
      </c>
      <c r="M1073" s="47" t="str">
        <f>IFERROR(VLOOKUP(G1073,WholesaleExtract!B:M,12,FALSE),"")</f>
        <v/>
      </c>
      <c r="N1073" s="27"/>
      <c r="O1073" s="19"/>
      <c r="P1073" s="19"/>
      <c r="Q1073" s="47"/>
      <c r="R1073" s="19"/>
      <c r="S1073" s="19"/>
    </row>
    <row r="1074" spans="1:19" x14ac:dyDescent="0.35">
      <c r="A1074" s="26" t="s">
        <v>543</v>
      </c>
      <c r="B1074" s="26" t="s">
        <v>543</v>
      </c>
      <c r="C1074" s="26"/>
      <c r="D1074" s="26" t="s">
        <v>543</v>
      </c>
      <c r="E1074" s="26" t="str">
        <f>IFERROR(VLOOKUP(G1074,WholesaleExtract!B:J,9,FALSE),"")</f>
        <v/>
      </c>
      <c r="F1074" s="26" t="str">
        <f>IFERROR(VLOOKUP(G1074,WholesaleExtract!B:J,6,FALSE),"")</f>
        <v/>
      </c>
      <c r="G1074" s="46"/>
      <c r="H1074" s="47" t="str">
        <f>IFERROR(VLOOKUP(G1074,WholesaleExtract!B:L,11,FALSE),"")</f>
        <v/>
      </c>
      <c r="I1074" s="26" t="str">
        <f>IFERROR(VLOOKUP(G1074,WholesaleExtract!B:O,8,FALSE),"")</f>
        <v/>
      </c>
      <c r="J1074" s="26" t="str">
        <f>IFERROR(VLOOKUP(G1074,WholesaleExtract!B:O,14,FALSE),"")</f>
        <v/>
      </c>
      <c r="K1074" s="26" t="str">
        <f>IFERROR(VLOOKUP(G1074,WholesaleExtract!B:K,10,FALSE),"")</f>
        <v/>
      </c>
      <c r="L1074" s="47" t="str">
        <f>IFERROR(VLOOKUP(G1074,WholesaleExtract!B:L,11,FALSE),"")</f>
        <v/>
      </c>
      <c r="M1074" s="47" t="str">
        <f>IFERROR(VLOOKUP(G1074,WholesaleExtract!B:M,12,FALSE),"")</f>
        <v/>
      </c>
      <c r="N1074" s="27"/>
      <c r="O1074" s="19"/>
      <c r="P1074" s="19"/>
      <c r="Q1074" s="47"/>
      <c r="R1074" s="19"/>
      <c r="S1074" s="19"/>
    </row>
    <row r="1075" spans="1:19" x14ac:dyDescent="0.35">
      <c r="A1075" s="26" t="s">
        <v>543</v>
      </c>
      <c r="B1075" s="26" t="s">
        <v>543</v>
      </c>
      <c r="C1075" s="26"/>
      <c r="D1075" s="26" t="s">
        <v>543</v>
      </c>
      <c r="E1075" s="26" t="str">
        <f>IFERROR(VLOOKUP(G1075,WholesaleExtract!B:J,9,FALSE),"")</f>
        <v/>
      </c>
      <c r="F1075" s="26" t="str">
        <f>IFERROR(VLOOKUP(G1075,WholesaleExtract!B:J,6,FALSE),"")</f>
        <v/>
      </c>
      <c r="G1075" s="46"/>
      <c r="H1075" s="47" t="str">
        <f>IFERROR(VLOOKUP(G1075,WholesaleExtract!B:L,11,FALSE),"")</f>
        <v/>
      </c>
      <c r="I1075" s="26" t="str">
        <f>IFERROR(VLOOKUP(G1075,WholesaleExtract!B:O,8,FALSE),"")</f>
        <v/>
      </c>
      <c r="J1075" s="26" t="str">
        <f>IFERROR(VLOOKUP(G1075,WholesaleExtract!B:O,14,FALSE),"")</f>
        <v/>
      </c>
      <c r="K1075" s="26" t="str">
        <f>IFERROR(VLOOKUP(G1075,WholesaleExtract!B:K,10,FALSE),"")</f>
        <v/>
      </c>
      <c r="L1075" s="47" t="str">
        <f>IFERROR(VLOOKUP(G1075,WholesaleExtract!B:L,11,FALSE),"")</f>
        <v/>
      </c>
      <c r="M1075" s="47" t="str">
        <f>IFERROR(VLOOKUP(G1075,WholesaleExtract!B:M,12,FALSE),"")</f>
        <v/>
      </c>
      <c r="N1075" s="27"/>
      <c r="O1075" s="19"/>
      <c r="P1075" s="19"/>
      <c r="Q1075" s="47"/>
      <c r="R1075" s="19"/>
      <c r="S1075" s="19"/>
    </row>
    <row r="1076" spans="1:19" x14ac:dyDescent="0.35">
      <c r="A1076" s="26" t="s">
        <v>543</v>
      </c>
      <c r="B1076" s="26" t="s">
        <v>543</v>
      </c>
      <c r="C1076" s="26"/>
      <c r="D1076" s="26" t="s">
        <v>543</v>
      </c>
      <c r="E1076" s="26" t="str">
        <f>IFERROR(VLOOKUP(G1076,WholesaleExtract!B:J,9,FALSE),"")</f>
        <v/>
      </c>
      <c r="F1076" s="26" t="str">
        <f>IFERROR(VLOOKUP(G1076,WholesaleExtract!B:J,6,FALSE),"")</f>
        <v/>
      </c>
      <c r="G1076" s="46"/>
      <c r="H1076" s="47" t="str">
        <f>IFERROR(VLOOKUP(G1076,WholesaleExtract!B:L,11,FALSE),"")</f>
        <v/>
      </c>
      <c r="I1076" s="26" t="str">
        <f>IFERROR(VLOOKUP(G1076,WholesaleExtract!B:O,8,FALSE),"")</f>
        <v/>
      </c>
      <c r="J1076" s="26" t="str">
        <f>IFERROR(VLOOKUP(G1076,WholesaleExtract!B:O,14,FALSE),"")</f>
        <v/>
      </c>
      <c r="K1076" s="26" t="str">
        <f>IFERROR(VLOOKUP(G1076,WholesaleExtract!B:K,10,FALSE),"")</f>
        <v/>
      </c>
      <c r="L1076" s="47" t="str">
        <f>IFERROR(VLOOKUP(G1076,WholesaleExtract!B:L,11,FALSE),"")</f>
        <v/>
      </c>
      <c r="M1076" s="47" t="str">
        <f>IFERROR(VLOOKUP(G1076,WholesaleExtract!B:M,12,FALSE),"")</f>
        <v/>
      </c>
      <c r="N1076" s="27"/>
      <c r="O1076" s="19"/>
      <c r="P1076" s="19"/>
      <c r="Q1076" s="47"/>
      <c r="R1076" s="19"/>
      <c r="S1076" s="19"/>
    </row>
    <row r="1077" spans="1:19" x14ac:dyDescent="0.35">
      <c r="A1077" s="26" t="s">
        <v>543</v>
      </c>
      <c r="B1077" s="26" t="s">
        <v>543</v>
      </c>
      <c r="C1077" s="26"/>
      <c r="D1077" s="26" t="s">
        <v>543</v>
      </c>
      <c r="E1077" s="26" t="str">
        <f>IFERROR(VLOOKUP(G1077,WholesaleExtract!B:J,9,FALSE),"")</f>
        <v/>
      </c>
      <c r="F1077" s="26" t="str">
        <f>IFERROR(VLOOKUP(G1077,WholesaleExtract!B:J,6,FALSE),"")</f>
        <v/>
      </c>
      <c r="G1077" s="46"/>
      <c r="H1077" s="47" t="str">
        <f>IFERROR(VLOOKUP(G1077,WholesaleExtract!B:L,11,FALSE),"")</f>
        <v/>
      </c>
      <c r="I1077" s="26" t="str">
        <f>IFERROR(VLOOKUP(G1077,WholesaleExtract!B:O,8,FALSE),"")</f>
        <v/>
      </c>
      <c r="J1077" s="26" t="str">
        <f>IFERROR(VLOOKUP(G1077,WholesaleExtract!B:O,14,FALSE),"")</f>
        <v/>
      </c>
      <c r="K1077" s="26" t="str">
        <f>IFERROR(VLOOKUP(G1077,WholesaleExtract!B:K,10,FALSE),"")</f>
        <v/>
      </c>
      <c r="L1077" s="47" t="str">
        <f>IFERROR(VLOOKUP(G1077,WholesaleExtract!B:L,11,FALSE),"")</f>
        <v/>
      </c>
      <c r="M1077" s="47" t="str">
        <f>IFERROR(VLOOKUP(G1077,WholesaleExtract!B:M,12,FALSE),"")</f>
        <v/>
      </c>
      <c r="N1077" s="27"/>
      <c r="O1077" s="19"/>
      <c r="P1077" s="19"/>
      <c r="Q1077" s="47"/>
      <c r="R1077" s="19"/>
      <c r="S1077" s="19"/>
    </row>
    <row r="1078" spans="1:19" x14ac:dyDescent="0.35">
      <c r="A1078" s="26" t="s">
        <v>543</v>
      </c>
      <c r="B1078" s="26" t="s">
        <v>543</v>
      </c>
      <c r="C1078" s="26"/>
      <c r="D1078" s="26" t="s">
        <v>543</v>
      </c>
      <c r="E1078" s="26" t="str">
        <f>IFERROR(VLOOKUP(G1078,WholesaleExtract!B:J,9,FALSE),"")</f>
        <v/>
      </c>
      <c r="F1078" s="26" t="str">
        <f>IFERROR(VLOOKUP(G1078,WholesaleExtract!B:J,6,FALSE),"")</f>
        <v/>
      </c>
      <c r="G1078" s="46"/>
      <c r="H1078" s="47" t="str">
        <f>IFERROR(VLOOKUP(G1078,WholesaleExtract!B:L,11,FALSE),"")</f>
        <v/>
      </c>
      <c r="I1078" s="26" t="str">
        <f>IFERROR(VLOOKUP(G1078,WholesaleExtract!B:O,8,FALSE),"")</f>
        <v/>
      </c>
      <c r="J1078" s="26" t="str">
        <f>IFERROR(VLOOKUP(G1078,WholesaleExtract!B:O,14,FALSE),"")</f>
        <v/>
      </c>
      <c r="K1078" s="26" t="str">
        <f>IFERROR(VLOOKUP(G1078,WholesaleExtract!B:K,10,FALSE),"")</f>
        <v/>
      </c>
      <c r="L1078" s="47" t="str">
        <f>IFERROR(VLOOKUP(G1078,WholesaleExtract!B:L,11,FALSE),"")</f>
        <v/>
      </c>
      <c r="M1078" s="47" t="str">
        <f>IFERROR(VLOOKUP(G1078,WholesaleExtract!B:M,12,FALSE),"")</f>
        <v/>
      </c>
      <c r="N1078" s="27"/>
      <c r="O1078" s="19"/>
      <c r="P1078" s="19"/>
      <c r="Q1078" s="47"/>
      <c r="R1078" s="19"/>
      <c r="S1078" s="19"/>
    </row>
    <row r="1079" spans="1:19" x14ac:dyDescent="0.35">
      <c r="A1079" s="26" t="s">
        <v>543</v>
      </c>
      <c r="B1079" s="26" t="s">
        <v>543</v>
      </c>
      <c r="C1079" s="26"/>
      <c r="D1079" s="26" t="s">
        <v>543</v>
      </c>
      <c r="E1079" s="26" t="str">
        <f>IFERROR(VLOOKUP(G1079,WholesaleExtract!B:J,9,FALSE),"")</f>
        <v/>
      </c>
      <c r="F1079" s="26" t="str">
        <f>IFERROR(VLOOKUP(G1079,WholesaleExtract!B:J,6,FALSE),"")</f>
        <v/>
      </c>
      <c r="G1079" s="46"/>
      <c r="H1079" s="47" t="str">
        <f>IFERROR(VLOOKUP(G1079,WholesaleExtract!B:L,11,FALSE),"")</f>
        <v/>
      </c>
      <c r="I1079" s="26" t="str">
        <f>IFERROR(VLOOKUP(G1079,WholesaleExtract!B:O,8,FALSE),"")</f>
        <v/>
      </c>
      <c r="J1079" s="26" t="str">
        <f>IFERROR(VLOOKUP(G1079,WholesaleExtract!B:O,14,FALSE),"")</f>
        <v/>
      </c>
      <c r="K1079" s="26" t="str">
        <f>IFERROR(VLOOKUP(G1079,WholesaleExtract!B:K,10,FALSE),"")</f>
        <v/>
      </c>
      <c r="L1079" s="47" t="str">
        <f>IFERROR(VLOOKUP(G1079,WholesaleExtract!B:L,11,FALSE),"")</f>
        <v/>
      </c>
      <c r="M1079" s="47" t="str">
        <f>IFERROR(VLOOKUP(G1079,WholesaleExtract!B:M,12,FALSE),"")</f>
        <v/>
      </c>
      <c r="N1079" s="27"/>
      <c r="O1079" s="19"/>
      <c r="P1079" s="19"/>
      <c r="Q1079" s="47"/>
      <c r="R1079" s="19"/>
      <c r="S1079" s="19"/>
    </row>
    <row r="1080" spans="1:19" x14ac:dyDescent="0.35">
      <c r="A1080" s="26" t="s">
        <v>543</v>
      </c>
      <c r="B1080" s="26" t="s">
        <v>543</v>
      </c>
      <c r="C1080" s="26"/>
      <c r="D1080" s="26" t="s">
        <v>543</v>
      </c>
      <c r="E1080" s="26" t="str">
        <f>IFERROR(VLOOKUP(G1080,WholesaleExtract!B:J,9,FALSE),"")</f>
        <v/>
      </c>
      <c r="F1080" s="26" t="str">
        <f>IFERROR(VLOOKUP(G1080,WholesaleExtract!B:J,6,FALSE),"")</f>
        <v/>
      </c>
      <c r="G1080" s="46"/>
      <c r="H1080" s="47" t="str">
        <f>IFERROR(VLOOKUP(G1080,WholesaleExtract!B:L,11,FALSE),"")</f>
        <v/>
      </c>
      <c r="I1080" s="26" t="str">
        <f>IFERROR(VLOOKUP(G1080,WholesaleExtract!B:O,8,FALSE),"")</f>
        <v/>
      </c>
      <c r="J1080" s="26" t="str">
        <f>IFERROR(VLOOKUP(G1080,WholesaleExtract!B:O,14,FALSE),"")</f>
        <v/>
      </c>
      <c r="K1080" s="26" t="str">
        <f>IFERROR(VLOOKUP(G1080,WholesaleExtract!B:K,10,FALSE),"")</f>
        <v/>
      </c>
      <c r="L1080" s="47" t="str">
        <f>IFERROR(VLOOKUP(G1080,WholesaleExtract!B:L,11,FALSE),"")</f>
        <v/>
      </c>
      <c r="M1080" s="47" t="str">
        <f>IFERROR(VLOOKUP(G1080,WholesaleExtract!B:M,12,FALSE),"")</f>
        <v/>
      </c>
      <c r="N1080" s="27"/>
      <c r="O1080" s="19"/>
      <c r="P1080" s="19"/>
      <c r="Q1080" s="47"/>
      <c r="R1080" s="19"/>
      <c r="S1080" s="19"/>
    </row>
    <row r="1081" spans="1:19" x14ac:dyDescent="0.35">
      <c r="A1081" s="26" t="s">
        <v>543</v>
      </c>
      <c r="B1081" s="26" t="s">
        <v>543</v>
      </c>
      <c r="C1081" s="26"/>
      <c r="D1081" s="26" t="s">
        <v>543</v>
      </c>
      <c r="E1081" s="26" t="str">
        <f>IFERROR(VLOOKUP(G1081,WholesaleExtract!B:J,9,FALSE),"")</f>
        <v/>
      </c>
      <c r="F1081" s="26" t="str">
        <f>IFERROR(VLOOKUP(G1081,WholesaleExtract!B:J,6,FALSE),"")</f>
        <v/>
      </c>
      <c r="G1081" s="46"/>
      <c r="H1081" s="47" t="str">
        <f>IFERROR(VLOOKUP(G1081,WholesaleExtract!B:L,11,FALSE),"")</f>
        <v/>
      </c>
      <c r="I1081" s="26" t="str">
        <f>IFERROR(VLOOKUP(G1081,WholesaleExtract!B:O,8,FALSE),"")</f>
        <v/>
      </c>
      <c r="J1081" s="26" t="str">
        <f>IFERROR(VLOOKUP(G1081,WholesaleExtract!B:O,14,FALSE),"")</f>
        <v/>
      </c>
      <c r="K1081" s="26" t="str">
        <f>IFERROR(VLOOKUP(G1081,WholesaleExtract!B:K,10,FALSE),"")</f>
        <v/>
      </c>
      <c r="L1081" s="47" t="str">
        <f>IFERROR(VLOOKUP(G1081,WholesaleExtract!B:L,11,FALSE),"")</f>
        <v/>
      </c>
      <c r="M1081" s="47" t="str">
        <f>IFERROR(VLOOKUP(G1081,WholesaleExtract!B:M,12,FALSE),"")</f>
        <v/>
      </c>
      <c r="N1081" s="27"/>
      <c r="O1081" s="19"/>
      <c r="P1081" s="19"/>
      <c r="Q1081" s="47"/>
      <c r="R1081" s="19"/>
      <c r="S1081" s="19"/>
    </row>
    <row r="1082" spans="1:19" x14ac:dyDescent="0.35">
      <c r="A1082" s="26" t="s">
        <v>543</v>
      </c>
      <c r="B1082" s="26" t="s">
        <v>543</v>
      </c>
      <c r="C1082" s="26"/>
      <c r="D1082" s="26" t="s">
        <v>543</v>
      </c>
      <c r="E1082" s="26" t="str">
        <f>IFERROR(VLOOKUP(G1082,WholesaleExtract!B:J,9,FALSE),"")</f>
        <v/>
      </c>
      <c r="F1082" s="26" t="str">
        <f>IFERROR(VLOOKUP(G1082,WholesaleExtract!B:J,6,FALSE),"")</f>
        <v/>
      </c>
      <c r="G1082" s="46"/>
      <c r="H1082" s="47" t="str">
        <f>IFERROR(VLOOKUP(G1082,WholesaleExtract!B:L,11,FALSE),"")</f>
        <v/>
      </c>
      <c r="I1082" s="26" t="str">
        <f>IFERROR(VLOOKUP(G1082,WholesaleExtract!B:O,8,FALSE),"")</f>
        <v/>
      </c>
      <c r="J1082" s="26" t="str">
        <f>IFERROR(VLOOKUP(G1082,WholesaleExtract!B:O,14,FALSE),"")</f>
        <v/>
      </c>
      <c r="K1082" s="26" t="str">
        <f>IFERROR(VLOOKUP(G1082,WholesaleExtract!B:K,10,FALSE),"")</f>
        <v/>
      </c>
      <c r="L1082" s="47" t="str">
        <f>IFERROR(VLOOKUP(G1082,WholesaleExtract!B:L,11,FALSE),"")</f>
        <v/>
      </c>
      <c r="M1082" s="47" t="str">
        <f>IFERROR(VLOOKUP(G1082,WholesaleExtract!B:M,12,FALSE),"")</f>
        <v/>
      </c>
      <c r="N1082" s="27"/>
      <c r="O1082" s="19"/>
      <c r="P1082" s="19"/>
      <c r="Q1082" s="47"/>
      <c r="R1082" s="19"/>
      <c r="S1082" s="19"/>
    </row>
    <row r="1083" spans="1:19" x14ac:dyDescent="0.35">
      <c r="A1083" s="26" t="s">
        <v>543</v>
      </c>
      <c r="B1083" s="26" t="s">
        <v>543</v>
      </c>
      <c r="C1083" s="26"/>
      <c r="D1083" s="26" t="s">
        <v>543</v>
      </c>
      <c r="E1083" s="26" t="str">
        <f>IFERROR(VLOOKUP(G1083,WholesaleExtract!B:J,9,FALSE),"")</f>
        <v/>
      </c>
      <c r="F1083" s="26" t="str">
        <f>IFERROR(VLOOKUP(G1083,WholesaleExtract!B:J,6,FALSE),"")</f>
        <v/>
      </c>
      <c r="G1083" s="46"/>
      <c r="H1083" s="47" t="str">
        <f>IFERROR(VLOOKUP(G1083,WholesaleExtract!B:L,11,FALSE),"")</f>
        <v/>
      </c>
      <c r="I1083" s="26" t="str">
        <f>IFERROR(VLOOKUP(G1083,WholesaleExtract!B:O,8,FALSE),"")</f>
        <v/>
      </c>
      <c r="J1083" s="26" t="str">
        <f>IFERROR(VLOOKUP(G1083,WholesaleExtract!B:O,14,FALSE),"")</f>
        <v/>
      </c>
      <c r="K1083" s="26" t="str">
        <f>IFERROR(VLOOKUP(G1083,WholesaleExtract!B:K,10,FALSE),"")</f>
        <v/>
      </c>
      <c r="L1083" s="47" t="str">
        <f>IFERROR(VLOOKUP(G1083,WholesaleExtract!B:L,11,FALSE),"")</f>
        <v/>
      </c>
      <c r="M1083" s="47" t="str">
        <f>IFERROR(VLOOKUP(G1083,WholesaleExtract!B:M,12,FALSE),"")</f>
        <v/>
      </c>
      <c r="N1083" s="27"/>
      <c r="O1083" s="19"/>
      <c r="P1083" s="19"/>
      <c r="Q1083" s="47"/>
      <c r="R1083" s="19"/>
      <c r="S1083" s="19"/>
    </row>
    <row r="1084" spans="1:19" x14ac:dyDescent="0.35">
      <c r="A1084" s="26" t="s">
        <v>543</v>
      </c>
      <c r="B1084" s="26" t="s">
        <v>543</v>
      </c>
      <c r="C1084" s="26"/>
      <c r="D1084" s="26" t="s">
        <v>543</v>
      </c>
      <c r="E1084" s="26" t="str">
        <f>IFERROR(VLOOKUP(G1084,WholesaleExtract!B:J,9,FALSE),"")</f>
        <v/>
      </c>
      <c r="F1084" s="26" t="str">
        <f>IFERROR(VLOOKUP(G1084,WholesaleExtract!B:J,6,FALSE),"")</f>
        <v/>
      </c>
      <c r="G1084" s="46"/>
      <c r="H1084" s="47" t="str">
        <f>IFERROR(VLOOKUP(G1084,WholesaleExtract!B:L,11,FALSE),"")</f>
        <v/>
      </c>
      <c r="I1084" s="26" t="str">
        <f>IFERROR(VLOOKUP(G1084,WholesaleExtract!B:O,8,FALSE),"")</f>
        <v/>
      </c>
      <c r="J1084" s="26" t="str">
        <f>IFERROR(VLOOKUP(G1084,WholesaleExtract!B:O,14,FALSE),"")</f>
        <v/>
      </c>
      <c r="K1084" s="26" t="str">
        <f>IFERROR(VLOOKUP(G1084,WholesaleExtract!B:K,10,FALSE),"")</f>
        <v/>
      </c>
      <c r="L1084" s="47" t="str">
        <f>IFERROR(VLOOKUP(G1084,WholesaleExtract!B:L,11,FALSE),"")</f>
        <v/>
      </c>
      <c r="M1084" s="47" t="str">
        <f>IFERROR(VLOOKUP(G1084,WholesaleExtract!B:M,12,FALSE),"")</f>
        <v/>
      </c>
      <c r="N1084" s="27"/>
      <c r="O1084" s="19"/>
      <c r="P1084" s="19"/>
      <c r="Q1084" s="47"/>
      <c r="R1084" s="19"/>
      <c r="S1084" s="19"/>
    </row>
    <row r="1085" spans="1:19" x14ac:dyDescent="0.35">
      <c r="A1085" s="26" t="s">
        <v>543</v>
      </c>
      <c r="B1085" s="26" t="s">
        <v>543</v>
      </c>
      <c r="C1085" s="26"/>
      <c r="D1085" s="26" t="s">
        <v>543</v>
      </c>
      <c r="E1085" s="26" t="str">
        <f>IFERROR(VLOOKUP(G1085,WholesaleExtract!B:J,9,FALSE),"")</f>
        <v/>
      </c>
      <c r="F1085" s="26" t="str">
        <f>IFERROR(VLOOKUP(G1085,WholesaleExtract!B:J,6,FALSE),"")</f>
        <v/>
      </c>
      <c r="G1085" s="46"/>
      <c r="H1085" s="47" t="str">
        <f>IFERROR(VLOOKUP(G1085,WholesaleExtract!B:L,11,FALSE),"")</f>
        <v/>
      </c>
      <c r="I1085" s="26" t="str">
        <f>IFERROR(VLOOKUP(G1085,WholesaleExtract!B:O,8,FALSE),"")</f>
        <v/>
      </c>
      <c r="J1085" s="26" t="str">
        <f>IFERROR(VLOOKUP(G1085,WholesaleExtract!B:O,14,FALSE),"")</f>
        <v/>
      </c>
      <c r="K1085" s="26" t="str">
        <f>IFERROR(VLOOKUP(G1085,WholesaleExtract!B:K,10,FALSE),"")</f>
        <v/>
      </c>
      <c r="L1085" s="47" t="str">
        <f>IFERROR(VLOOKUP(G1085,WholesaleExtract!B:L,11,FALSE),"")</f>
        <v/>
      </c>
      <c r="M1085" s="47" t="str">
        <f>IFERROR(VLOOKUP(G1085,WholesaleExtract!B:M,12,FALSE),"")</f>
        <v/>
      </c>
      <c r="N1085" s="27"/>
      <c r="O1085" s="19"/>
      <c r="P1085" s="19"/>
      <c r="Q1085" s="47"/>
      <c r="R1085" s="19"/>
      <c r="S1085" s="19"/>
    </row>
    <row r="1086" spans="1:19" x14ac:dyDescent="0.35">
      <c r="A1086" s="26" t="s">
        <v>543</v>
      </c>
      <c r="B1086" s="26" t="s">
        <v>543</v>
      </c>
      <c r="C1086" s="26"/>
      <c r="D1086" s="26" t="s">
        <v>543</v>
      </c>
      <c r="E1086" s="26" t="str">
        <f>IFERROR(VLOOKUP(G1086,WholesaleExtract!B:J,9,FALSE),"")</f>
        <v/>
      </c>
      <c r="F1086" s="26" t="str">
        <f>IFERROR(VLOOKUP(G1086,WholesaleExtract!B:J,6,FALSE),"")</f>
        <v/>
      </c>
      <c r="G1086" s="46"/>
      <c r="H1086" s="47" t="str">
        <f>IFERROR(VLOOKUP(G1086,WholesaleExtract!B:L,11,FALSE),"")</f>
        <v/>
      </c>
      <c r="I1086" s="26" t="str">
        <f>IFERROR(VLOOKUP(G1086,WholesaleExtract!B:O,8,FALSE),"")</f>
        <v/>
      </c>
      <c r="J1086" s="26" t="str">
        <f>IFERROR(VLOOKUP(G1086,WholesaleExtract!B:O,14,FALSE),"")</f>
        <v/>
      </c>
      <c r="K1086" s="26" t="str">
        <f>IFERROR(VLOOKUP(G1086,WholesaleExtract!B:K,10,FALSE),"")</f>
        <v/>
      </c>
      <c r="L1086" s="47" t="str">
        <f>IFERROR(VLOOKUP(G1086,WholesaleExtract!B:L,11,FALSE),"")</f>
        <v/>
      </c>
      <c r="M1086" s="47" t="str">
        <f>IFERROR(VLOOKUP(G1086,WholesaleExtract!B:M,12,FALSE),"")</f>
        <v/>
      </c>
      <c r="N1086" s="27"/>
      <c r="O1086" s="19"/>
      <c r="P1086" s="19"/>
      <c r="Q1086" s="47"/>
      <c r="R1086" s="19"/>
      <c r="S1086" s="19"/>
    </row>
    <row r="1087" spans="1:19" x14ac:dyDescent="0.35">
      <c r="A1087" s="26" t="s">
        <v>543</v>
      </c>
      <c r="B1087" s="26" t="s">
        <v>543</v>
      </c>
      <c r="C1087" s="26"/>
      <c r="D1087" s="26" t="s">
        <v>543</v>
      </c>
      <c r="E1087" s="26" t="str">
        <f>IFERROR(VLOOKUP(G1087,WholesaleExtract!B:J,9,FALSE),"")</f>
        <v/>
      </c>
      <c r="F1087" s="26" t="str">
        <f>IFERROR(VLOOKUP(G1087,WholesaleExtract!B:J,6,FALSE),"")</f>
        <v/>
      </c>
      <c r="G1087" s="46"/>
      <c r="H1087" s="47" t="str">
        <f>IFERROR(VLOOKUP(G1087,WholesaleExtract!B:L,11,FALSE),"")</f>
        <v/>
      </c>
      <c r="I1087" s="26" t="str">
        <f>IFERROR(VLOOKUP(G1087,WholesaleExtract!B:O,8,FALSE),"")</f>
        <v/>
      </c>
      <c r="J1087" s="26" t="str">
        <f>IFERROR(VLOOKUP(G1087,WholesaleExtract!B:O,14,FALSE),"")</f>
        <v/>
      </c>
      <c r="K1087" s="26" t="str">
        <f>IFERROR(VLOOKUP(G1087,WholesaleExtract!B:K,10,FALSE),"")</f>
        <v/>
      </c>
      <c r="L1087" s="47" t="str">
        <f>IFERROR(VLOOKUP(G1087,WholesaleExtract!B:L,11,FALSE),"")</f>
        <v/>
      </c>
      <c r="M1087" s="47" t="str">
        <f>IFERROR(VLOOKUP(G1087,WholesaleExtract!B:M,12,FALSE),"")</f>
        <v/>
      </c>
      <c r="N1087" s="27"/>
      <c r="O1087" s="19"/>
      <c r="P1087" s="19"/>
      <c r="Q1087" s="47"/>
      <c r="R1087" s="19"/>
      <c r="S1087" s="19"/>
    </row>
    <row r="1088" spans="1:19" x14ac:dyDescent="0.35">
      <c r="A1088" s="26" t="s">
        <v>543</v>
      </c>
      <c r="B1088" s="26" t="s">
        <v>543</v>
      </c>
      <c r="C1088" s="26"/>
      <c r="D1088" s="26" t="s">
        <v>543</v>
      </c>
      <c r="E1088" s="26" t="str">
        <f>IFERROR(VLOOKUP(G1088,WholesaleExtract!B:J,9,FALSE),"")</f>
        <v/>
      </c>
      <c r="F1088" s="26" t="str">
        <f>IFERROR(VLOOKUP(G1088,WholesaleExtract!B:J,6,FALSE),"")</f>
        <v/>
      </c>
      <c r="G1088" s="46"/>
      <c r="H1088" s="47" t="str">
        <f>IFERROR(VLOOKUP(G1088,WholesaleExtract!B:L,11,FALSE),"")</f>
        <v/>
      </c>
      <c r="I1088" s="26" t="str">
        <f>IFERROR(VLOOKUP(G1088,WholesaleExtract!B:O,8,FALSE),"")</f>
        <v/>
      </c>
      <c r="J1088" s="26" t="str">
        <f>IFERROR(VLOOKUP(G1088,WholesaleExtract!B:O,14,FALSE),"")</f>
        <v/>
      </c>
      <c r="K1088" s="26" t="str">
        <f>IFERROR(VLOOKUP(G1088,WholesaleExtract!B:K,10,FALSE),"")</f>
        <v/>
      </c>
      <c r="L1088" s="47" t="str">
        <f>IFERROR(VLOOKUP(G1088,WholesaleExtract!B:L,11,FALSE),"")</f>
        <v/>
      </c>
      <c r="M1088" s="47" t="str">
        <f>IFERROR(VLOOKUP(G1088,WholesaleExtract!B:M,12,FALSE),"")</f>
        <v/>
      </c>
      <c r="N1088" s="27"/>
      <c r="O1088" s="19"/>
      <c r="P1088" s="19"/>
      <c r="Q1088" s="47"/>
      <c r="R1088" s="19"/>
      <c r="S1088" s="19"/>
    </row>
    <row r="1089" spans="1:19" x14ac:dyDescent="0.35">
      <c r="A1089" s="26" t="s">
        <v>543</v>
      </c>
      <c r="B1089" s="26" t="s">
        <v>543</v>
      </c>
      <c r="C1089" s="26"/>
      <c r="D1089" s="26" t="s">
        <v>543</v>
      </c>
      <c r="E1089" s="26" t="str">
        <f>IFERROR(VLOOKUP(G1089,WholesaleExtract!B:J,9,FALSE),"")</f>
        <v/>
      </c>
      <c r="F1089" s="26" t="str">
        <f>IFERROR(VLOOKUP(G1089,WholesaleExtract!B:J,6,FALSE),"")</f>
        <v/>
      </c>
      <c r="G1089" s="46"/>
      <c r="H1089" s="47" t="str">
        <f>IFERROR(VLOOKUP(G1089,WholesaleExtract!B:L,11,FALSE),"")</f>
        <v/>
      </c>
      <c r="I1089" s="26" t="str">
        <f>IFERROR(VLOOKUP(G1089,WholesaleExtract!B:O,8,FALSE),"")</f>
        <v/>
      </c>
      <c r="J1089" s="26" t="str">
        <f>IFERROR(VLOOKUP(G1089,WholesaleExtract!B:O,14,FALSE),"")</f>
        <v/>
      </c>
      <c r="K1089" s="26" t="str">
        <f>IFERROR(VLOOKUP(G1089,WholesaleExtract!B:K,10,FALSE),"")</f>
        <v/>
      </c>
      <c r="L1089" s="47" t="str">
        <f>IFERROR(VLOOKUP(G1089,WholesaleExtract!B:L,11,FALSE),"")</f>
        <v/>
      </c>
      <c r="M1089" s="47" t="str">
        <f>IFERROR(VLOOKUP(G1089,WholesaleExtract!B:M,12,FALSE),"")</f>
        <v/>
      </c>
      <c r="N1089" s="27"/>
      <c r="O1089" s="19"/>
      <c r="P1089" s="19"/>
      <c r="Q1089" s="47"/>
      <c r="R1089" s="19"/>
      <c r="S1089" s="19"/>
    </row>
    <row r="1090" spans="1:19" x14ac:dyDescent="0.35">
      <c r="A1090" s="26" t="s">
        <v>543</v>
      </c>
      <c r="B1090" s="26" t="s">
        <v>543</v>
      </c>
      <c r="C1090" s="26"/>
      <c r="D1090" s="26" t="s">
        <v>543</v>
      </c>
      <c r="E1090" s="26" t="str">
        <f>IFERROR(VLOOKUP(G1090,WholesaleExtract!B:J,9,FALSE),"")</f>
        <v/>
      </c>
      <c r="F1090" s="26" t="str">
        <f>IFERROR(VLOOKUP(G1090,WholesaleExtract!B:J,6,FALSE),"")</f>
        <v/>
      </c>
      <c r="G1090" s="46"/>
      <c r="H1090" s="47" t="str">
        <f>IFERROR(VLOOKUP(G1090,WholesaleExtract!B:L,11,FALSE),"")</f>
        <v/>
      </c>
      <c r="I1090" s="26" t="str">
        <f>IFERROR(VLOOKUP(G1090,WholesaleExtract!B:O,8,FALSE),"")</f>
        <v/>
      </c>
      <c r="J1090" s="26" t="str">
        <f>IFERROR(VLOOKUP(G1090,WholesaleExtract!B:O,14,FALSE),"")</f>
        <v/>
      </c>
      <c r="K1090" s="26" t="str">
        <f>IFERROR(VLOOKUP(G1090,WholesaleExtract!B:K,10,FALSE),"")</f>
        <v/>
      </c>
      <c r="L1090" s="47" t="str">
        <f>IFERROR(VLOOKUP(G1090,WholesaleExtract!B:L,11,FALSE),"")</f>
        <v/>
      </c>
      <c r="M1090" s="47" t="str">
        <f>IFERROR(VLOOKUP(G1090,WholesaleExtract!B:M,12,FALSE),"")</f>
        <v/>
      </c>
      <c r="N1090" s="27"/>
      <c r="O1090" s="19"/>
      <c r="P1090" s="19"/>
      <c r="Q1090" s="47"/>
      <c r="R1090" s="19"/>
      <c r="S1090" s="19"/>
    </row>
    <row r="1091" spans="1:19" x14ac:dyDescent="0.35">
      <c r="A1091" s="26" t="s">
        <v>543</v>
      </c>
      <c r="B1091" s="26" t="s">
        <v>543</v>
      </c>
      <c r="C1091" s="26"/>
      <c r="D1091" s="26" t="s">
        <v>543</v>
      </c>
      <c r="E1091" s="26" t="str">
        <f>IFERROR(VLOOKUP(G1091,WholesaleExtract!B:J,9,FALSE),"")</f>
        <v/>
      </c>
      <c r="F1091" s="26" t="str">
        <f>IFERROR(VLOOKUP(G1091,WholesaleExtract!B:J,6,FALSE),"")</f>
        <v/>
      </c>
      <c r="G1091" s="46"/>
      <c r="H1091" s="47" t="str">
        <f>IFERROR(VLOOKUP(G1091,WholesaleExtract!B:L,11,FALSE),"")</f>
        <v/>
      </c>
      <c r="I1091" s="26" t="str">
        <f>IFERROR(VLOOKUP(G1091,WholesaleExtract!B:O,8,FALSE),"")</f>
        <v/>
      </c>
      <c r="J1091" s="26" t="str">
        <f>IFERROR(VLOOKUP(G1091,WholesaleExtract!B:O,14,FALSE),"")</f>
        <v/>
      </c>
      <c r="K1091" s="26" t="str">
        <f>IFERROR(VLOOKUP(G1091,WholesaleExtract!B:K,10,FALSE),"")</f>
        <v/>
      </c>
      <c r="L1091" s="47" t="str">
        <f>IFERROR(VLOOKUP(G1091,WholesaleExtract!B:L,11,FALSE),"")</f>
        <v/>
      </c>
      <c r="M1091" s="47" t="str">
        <f>IFERROR(VLOOKUP(G1091,WholesaleExtract!B:M,12,FALSE),"")</f>
        <v/>
      </c>
      <c r="N1091" s="27"/>
      <c r="O1091" s="19"/>
      <c r="P1091" s="19"/>
      <c r="Q1091" s="47"/>
      <c r="R1091" s="19"/>
      <c r="S1091" s="19"/>
    </row>
    <row r="1092" spans="1:19" x14ac:dyDescent="0.35">
      <c r="A1092" s="26" t="s">
        <v>543</v>
      </c>
      <c r="B1092" s="26" t="s">
        <v>543</v>
      </c>
      <c r="C1092" s="26"/>
      <c r="D1092" s="26" t="s">
        <v>543</v>
      </c>
      <c r="E1092" s="26" t="str">
        <f>IFERROR(VLOOKUP(G1092,WholesaleExtract!B:J,9,FALSE),"")</f>
        <v/>
      </c>
      <c r="F1092" s="26" t="str">
        <f>IFERROR(VLOOKUP(G1092,WholesaleExtract!B:J,6,FALSE),"")</f>
        <v/>
      </c>
      <c r="G1092" s="46"/>
      <c r="H1092" s="47" t="str">
        <f>IFERROR(VLOOKUP(G1092,WholesaleExtract!B:L,11,FALSE),"")</f>
        <v/>
      </c>
      <c r="I1092" s="26" t="str">
        <f>IFERROR(VLOOKUP(G1092,WholesaleExtract!B:O,8,FALSE),"")</f>
        <v/>
      </c>
      <c r="J1092" s="26" t="str">
        <f>IFERROR(VLOOKUP(G1092,WholesaleExtract!B:O,14,FALSE),"")</f>
        <v/>
      </c>
      <c r="K1092" s="26" t="str">
        <f>IFERROR(VLOOKUP(G1092,WholesaleExtract!B:K,10,FALSE),"")</f>
        <v/>
      </c>
      <c r="L1092" s="47" t="str">
        <f>IFERROR(VLOOKUP(G1092,WholesaleExtract!B:L,11,FALSE),"")</f>
        <v/>
      </c>
      <c r="M1092" s="47" t="str">
        <f>IFERROR(VLOOKUP(G1092,WholesaleExtract!B:M,12,FALSE),"")</f>
        <v/>
      </c>
      <c r="N1092" s="27"/>
      <c r="O1092" s="19"/>
      <c r="P1092" s="19"/>
      <c r="Q1092" s="47"/>
      <c r="R1092" s="19"/>
      <c r="S1092" s="19"/>
    </row>
    <row r="1093" spans="1:19" x14ac:dyDescent="0.35">
      <c r="A1093" s="26" t="s">
        <v>543</v>
      </c>
      <c r="B1093" s="26" t="s">
        <v>543</v>
      </c>
      <c r="C1093" s="26"/>
      <c r="D1093" s="26" t="s">
        <v>543</v>
      </c>
      <c r="E1093" s="26" t="str">
        <f>IFERROR(VLOOKUP(G1093,WholesaleExtract!B:J,9,FALSE),"")</f>
        <v/>
      </c>
      <c r="F1093" s="26" t="str">
        <f>IFERROR(VLOOKUP(G1093,WholesaleExtract!B:J,6,FALSE),"")</f>
        <v/>
      </c>
      <c r="G1093" s="46"/>
      <c r="H1093" s="47" t="str">
        <f>IFERROR(VLOOKUP(G1093,WholesaleExtract!B:L,11,FALSE),"")</f>
        <v/>
      </c>
      <c r="I1093" s="26" t="str">
        <f>IFERROR(VLOOKUP(G1093,WholesaleExtract!B:O,8,FALSE),"")</f>
        <v/>
      </c>
      <c r="J1093" s="26" t="str">
        <f>IFERROR(VLOOKUP(G1093,WholesaleExtract!B:O,14,FALSE),"")</f>
        <v/>
      </c>
      <c r="K1093" s="26" t="str">
        <f>IFERROR(VLOOKUP(G1093,WholesaleExtract!B:K,10,FALSE),"")</f>
        <v/>
      </c>
      <c r="L1093" s="47" t="str">
        <f>IFERROR(VLOOKUP(G1093,WholesaleExtract!B:L,11,FALSE),"")</f>
        <v/>
      </c>
      <c r="M1093" s="47" t="str">
        <f>IFERROR(VLOOKUP(G1093,WholesaleExtract!B:M,12,FALSE),"")</f>
        <v/>
      </c>
      <c r="N1093" s="27"/>
      <c r="O1093" s="19"/>
      <c r="P1093" s="19"/>
      <c r="Q1093" s="47"/>
      <c r="R1093" s="19"/>
      <c r="S1093" s="19"/>
    </row>
    <row r="1094" spans="1:19" x14ac:dyDescent="0.35">
      <c r="A1094" s="26" t="s">
        <v>543</v>
      </c>
      <c r="B1094" s="26" t="s">
        <v>543</v>
      </c>
      <c r="C1094" s="26"/>
      <c r="D1094" s="26" t="s">
        <v>543</v>
      </c>
      <c r="E1094" s="26" t="str">
        <f>IFERROR(VLOOKUP(G1094,WholesaleExtract!B:J,9,FALSE),"")</f>
        <v/>
      </c>
      <c r="F1094" s="26" t="str">
        <f>IFERROR(VLOOKUP(G1094,WholesaleExtract!B:J,6,FALSE),"")</f>
        <v/>
      </c>
      <c r="G1094" s="46"/>
      <c r="H1094" s="47" t="str">
        <f>IFERROR(VLOOKUP(G1094,WholesaleExtract!B:L,11,FALSE),"")</f>
        <v/>
      </c>
      <c r="I1094" s="26" t="str">
        <f>IFERROR(VLOOKUP(G1094,WholesaleExtract!B:O,8,FALSE),"")</f>
        <v/>
      </c>
      <c r="J1094" s="26" t="str">
        <f>IFERROR(VLOOKUP(G1094,WholesaleExtract!B:O,14,FALSE),"")</f>
        <v/>
      </c>
      <c r="K1094" s="26" t="str">
        <f>IFERROR(VLOOKUP(G1094,WholesaleExtract!B:K,10,FALSE),"")</f>
        <v/>
      </c>
      <c r="L1094" s="47" t="str">
        <f>IFERROR(VLOOKUP(G1094,WholesaleExtract!B:L,11,FALSE),"")</f>
        <v/>
      </c>
      <c r="M1094" s="47" t="str">
        <f>IFERROR(VLOOKUP(G1094,WholesaleExtract!B:M,12,FALSE),"")</f>
        <v/>
      </c>
      <c r="N1094" s="27"/>
      <c r="O1094" s="19"/>
      <c r="P1094" s="19"/>
      <c r="Q1094" s="47"/>
      <c r="R1094" s="19"/>
      <c r="S1094" s="19"/>
    </row>
    <row r="1095" spans="1:19" x14ac:dyDescent="0.35">
      <c r="A1095" s="26" t="s">
        <v>543</v>
      </c>
      <c r="B1095" s="26" t="s">
        <v>543</v>
      </c>
      <c r="C1095" s="26"/>
      <c r="D1095" s="26" t="s">
        <v>543</v>
      </c>
      <c r="E1095" s="26" t="str">
        <f>IFERROR(VLOOKUP(G1095,WholesaleExtract!B:J,9,FALSE),"")</f>
        <v/>
      </c>
      <c r="F1095" s="26" t="str">
        <f>IFERROR(VLOOKUP(G1095,WholesaleExtract!B:J,6,FALSE),"")</f>
        <v/>
      </c>
      <c r="G1095" s="46"/>
      <c r="H1095" s="47" t="str">
        <f>IFERROR(VLOOKUP(G1095,WholesaleExtract!B:L,11,FALSE),"")</f>
        <v/>
      </c>
      <c r="I1095" s="26" t="str">
        <f>IFERROR(VLOOKUP(G1095,WholesaleExtract!B:O,8,FALSE),"")</f>
        <v/>
      </c>
      <c r="J1095" s="26" t="str">
        <f>IFERROR(VLOOKUP(G1095,WholesaleExtract!B:O,14,FALSE),"")</f>
        <v/>
      </c>
      <c r="K1095" s="26" t="str">
        <f>IFERROR(VLOOKUP(G1095,WholesaleExtract!B:K,10,FALSE),"")</f>
        <v/>
      </c>
      <c r="L1095" s="47" t="str">
        <f>IFERROR(VLOOKUP(G1095,WholesaleExtract!B:L,11,FALSE),"")</f>
        <v/>
      </c>
      <c r="M1095" s="47" t="str">
        <f>IFERROR(VLOOKUP(G1095,WholesaleExtract!B:M,12,FALSE),"")</f>
        <v/>
      </c>
      <c r="N1095" s="27"/>
      <c r="O1095" s="19"/>
      <c r="P1095" s="19"/>
      <c r="Q1095" s="47"/>
      <c r="R1095" s="19"/>
      <c r="S1095" s="19"/>
    </row>
    <row r="1096" spans="1:19" x14ac:dyDescent="0.35">
      <c r="A1096" s="26" t="s">
        <v>543</v>
      </c>
      <c r="B1096" s="26" t="s">
        <v>543</v>
      </c>
      <c r="C1096" s="26"/>
      <c r="D1096" s="26" t="s">
        <v>543</v>
      </c>
      <c r="E1096" s="26" t="str">
        <f>IFERROR(VLOOKUP(G1096,WholesaleExtract!B:J,9,FALSE),"")</f>
        <v/>
      </c>
      <c r="F1096" s="26" t="str">
        <f>IFERROR(VLOOKUP(G1096,WholesaleExtract!B:J,6,FALSE),"")</f>
        <v/>
      </c>
      <c r="G1096" s="46"/>
      <c r="H1096" s="47" t="str">
        <f>IFERROR(VLOOKUP(G1096,WholesaleExtract!B:L,11,FALSE),"")</f>
        <v/>
      </c>
      <c r="I1096" s="26" t="str">
        <f>IFERROR(VLOOKUP(G1096,WholesaleExtract!B:O,8,FALSE),"")</f>
        <v/>
      </c>
      <c r="J1096" s="26" t="str">
        <f>IFERROR(VLOOKUP(G1096,WholesaleExtract!B:O,14,FALSE),"")</f>
        <v/>
      </c>
      <c r="K1096" s="26" t="str">
        <f>IFERROR(VLOOKUP(G1096,WholesaleExtract!B:K,10,FALSE),"")</f>
        <v/>
      </c>
      <c r="L1096" s="47" t="str">
        <f>IFERROR(VLOOKUP(G1096,WholesaleExtract!B:L,11,FALSE),"")</f>
        <v/>
      </c>
      <c r="M1096" s="47" t="str">
        <f>IFERROR(VLOOKUP(G1096,WholesaleExtract!B:M,12,FALSE),"")</f>
        <v/>
      </c>
      <c r="N1096" s="27"/>
      <c r="O1096" s="19"/>
      <c r="P1096" s="19"/>
      <c r="Q1096" s="47"/>
      <c r="R1096" s="19"/>
      <c r="S1096" s="19"/>
    </row>
    <row r="1097" spans="1:19" x14ac:dyDescent="0.35">
      <c r="A1097" s="26" t="s">
        <v>543</v>
      </c>
      <c r="B1097" s="26" t="s">
        <v>543</v>
      </c>
      <c r="C1097" s="26"/>
      <c r="D1097" s="26" t="s">
        <v>543</v>
      </c>
      <c r="E1097" s="26" t="str">
        <f>IFERROR(VLOOKUP(G1097,WholesaleExtract!B:J,9,FALSE),"")</f>
        <v/>
      </c>
      <c r="F1097" s="26" t="str">
        <f>IFERROR(VLOOKUP(G1097,WholesaleExtract!B:J,6,FALSE),"")</f>
        <v/>
      </c>
      <c r="G1097" s="46"/>
      <c r="H1097" s="47" t="str">
        <f>IFERROR(VLOOKUP(G1097,WholesaleExtract!B:L,11,FALSE),"")</f>
        <v/>
      </c>
      <c r="I1097" s="26" t="str">
        <f>IFERROR(VLOOKUP(G1097,WholesaleExtract!B:O,8,FALSE),"")</f>
        <v/>
      </c>
      <c r="J1097" s="26" t="str">
        <f>IFERROR(VLOOKUP(G1097,WholesaleExtract!B:O,14,FALSE),"")</f>
        <v/>
      </c>
      <c r="K1097" s="26" t="str">
        <f>IFERROR(VLOOKUP(G1097,WholesaleExtract!B:K,10,FALSE),"")</f>
        <v/>
      </c>
      <c r="L1097" s="47" t="str">
        <f>IFERROR(VLOOKUP(G1097,WholesaleExtract!B:L,11,FALSE),"")</f>
        <v/>
      </c>
      <c r="M1097" s="47" t="str">
        <f>IFERROR(VLOOKUP(G1097,WholesaleExtract!B:M,12,FALSE),"")</f>
        <v/>
      </c>
      <c r="N1097" s="27"/>
      <c r="O1097" s="19"/>
      <c r="P1097" s="19"/>
      <c r="Q1097" s="47"/>
      <c r="R1097" s="19"/>
      <c r="S1097" s="19"/>
    </row>
    <row r="1098" spans="1:19" x14ac:dyDescent="0.35">
      <c r="A1098" s="26" t="s">
        <v>543</v>
      </c>
      <c r="B1098" s="26" t="s">
        <v>543</v>
      </c>
      <c r="C1098" s="26"/>
      <c r="D1098" s="26" t="s">
        <v>543</v>
      </c>
      <c r="E1098" s="26" t="str">
        <f>IFERROR(VLOOKUP(G1098,WholesaleExtract!B:J,9,FALSE),"")</f>
        <v/>
      </c>
      <c r="F1098" s="26" t="str">
        <f>IFERROR(VLOOKUP(G1098,WholesaleExtract!B:J,6,FALSE),"")</f>
        <v/>
      </c>
      <c r="G1098" s="46"/>
      <c r="H1098" s="47" t="str">
        <f>IFERROR(VLOOKUP(G1098,WholesaleExtract!B:L,11,FALSE),"")</f>
        <v/>
      </c>
      <c r="I1098" s="26" t="str">
        <f>IFERROR(VLOOKUP(G1098,WholesaleExtract!B:O,8,FALSE),"")</f>
        <v/>
      </c>
      <c r="J1098" s="26" t="str">
        <f>IFERROR(VLOOKUP(G1098,WholesaleExtract!B:O,14,FALSE),"")</f>
        <v/>
      </c>
      <c r="K1098" s="26" t="str">
        <f>IFERROR(VLOOKUP(G1098,WholesaleExtract!B:K,10,FALSE),"")</f>
        <v/>
      </c>
      <c r="L1098" s="47" t="str">
        <f>IFERROR(VLOOKUP(G1098,WholesaleExtract!B:L,11,FALSE),"")</f>
        <v/>
      </c>
      <c r="M1098" s="47" t="str">
        <f>IFERROR(VLOOKUP(G1098,WholesaleExtract!B:M,12,FALSE),"")</f>
        <v/>
      </c>
      <c r="N1098" s="27"/>
      <c r="O1098" s="19"/>
      <c r="P1098" s="19"/>
      <c r="Q1098" s="47"/>
      <c r="R1098" s="19"/>
      <c r="S1098" s="19"/>
    </row>
    <row r="1099" spans="1:19" x14ac:dyDescent="0.35">
      <c r="A1099" s="26" t="s">
        <v>543</v>
      </c>
      <c r="B1099" s="26" t="s">
        <v>543</v>
      </c>
      <c r="C1099" s="26"/>
      <c r="D1099" s="26" t="s">
        <v>543</v>
      </c>
      <c r="E1099" s="26" t="str">
        <f>IFERROR(VLOOKUP(G1099,WholesaleExtract!B:J,9,FALSE),"")</f>
        <v/>
      </c>
      <c r="F1099" s="26" t="str">
        <f>IFERROR(VLOOKUP(G1099,WholesaleExtract!B:J,6,FALSE),"")</f>
        <v/>
      </c>
      <c r="G1099" s="46"/>
      <c r="H1099" s="47" t="str">
        <f>IFERROR(VLOOKUP(G1099,WholesaleExtract!B:L,11,FALSE),"")</f>
        <v/>
      </c>
      <c r="I1099" s="26" t="str">
        <f>IFERROR(VLOOKUP(G1099,WholesaleExtract!B:O,8,FALSE),"")</f>
        <v/>
      </c>
      <c r="J1099" s="26" t="str">
        <f>IFERROR(VLOOKUP(G1099,WholesaleExtract!B:O,14,FALSE),"")</f>
        <v/>
      </c>
      <c r="K1099" s="26" t="str">
        <f>IFERROR(VLOOKUP(G1099,WholesaleExtract!B:K,10,FALSE),"")</f>
        <v/>
      </c>
      <c r="L1099" s="47" t="str">
        <f>IFERROR(VLOOKUP(G1099,WholesaleExtract!B:L,11,FALSE),"")</f>
        <v/>
      </c>
      <c r="M1099" s="47" t="str">
        <f>IFERROR(VLOOKUP(G1099,WholesaleExtract!B:M,12,FALSE),"")</f>
        <v/>
      </c>
      <c r="N1099" s="27"/>
      <c r="O1099" s="19"/>
      <c r="P1099" s="19"/>
      <c r="Q1099" s="47"/>
      <c r="R1099" s="19"/>
      <c r="S1099" s="19"/>
    </row>
    <row r="1100" spans="1:19" x14ac:dyDescent="0.35">
      <c r="A1100" s="26" t="s">
        <v>543</v>
      </c>
      <c r="B1100" s="26" t="s">
        <v>543</v>
      </c>
      <c r="C1100" s="26"/>
      <c r="D1100" s="26" t="s">
        <v>543</v>
      </c>
      <c r="E1100" s="26" t="str">
        <f>IFERROR(VLOOKUP(G1100,WholesaleExtract!B:J,9,FALSE),"")</f>
        <v/>
      </c>
      <c r="F1100" s="26" t="str">
        <f>IFERROR(VLOOKUP(G1100,WholesaleExtract!B:J,6,FALSE),"")</f>
        <v/>
      </c>
      <c r="G1100" s="46"/>
      <c r="H1100" s="47" t="str">
        <f>IFERROR(VLOOKUP(G1100,WholesaleExtract!B:L,11,FALSE),"")</f>
        <v/>
      </c>
      <c r="I1100" s="26" t="str">
        <f>IFERROR(VLOOKUP(G1100,WholesaleExtract!B:O,8,FALSE),"")</f>
        <v/>
      </c>
      <c r="J1100" s="26" t="str">
        <f>IFERROR(VLOOKUP(G1100,WholesaleExtract!B:O,14,FALSE),"")</f>
        <v/>
      </c>
      <c r="K1100" s="26" t="str">
        <f>IFERROR(VLOOKUP(G1100,WholesaleExtract!B:K,10,FALSE),"")</f>
        <v/>
      </c>
      <c r="L1100" s="47" t="str">
        <f>IFERROR(VLOOKUP(G1100,WholesaleExtract!B:L,11,FALSE),"")</f>
        <v/>
      </c>
      <c r="M1100" s="47" t="str">
        <f>IFERROR(VLOOKUP(G1100,WholesaleExtract!B:M,12,FALSE),"")</f>
        <v/>
      </c>
      <c r="N1100" s="27"/>
      <c r="O1100" s="19"/>
      <c r="P1100" s="19"/>
      <c r="Q1100" s="47"/>
      <c r="R1100" s="19"/>
      <c r="S1100" s="19"/>
    </row>
    <row r="1101" spans="1:19" x14ac:dyDescent="0.35">
      <c r="A1101" s="26" t="s">
        <v>543</v>
      </c>
      <c r="B1101" s="26" t="s">
        <v>543</v>
      </c>
      <c r="C1101" s="26"/>
      <c r="D1101" s="26" t="s">
        <v>543</v>
      </c>
      <c r="E1101" s="26" t="str">
        <f>IFERROR(VLOOKUP(G1101,WholesaleExtract!B:J,9,FALSE),"")</f>
        <v/>
      </c>
      <c r="F1101" s="26" t="str">
        <f>IFERROR(VLOOKUP(G1101,WholesaleExtract!B:J,6,FALSE),"")</f>
        <v/>
      </c>
      <c r="G1101" s="46"/>
      <c r="H1101" s="47" t="str">
        <f>IFERROR(VLOOKUP(G1101,WholesaleExtract!B:L,11,FALSE),"")</f>
        <v/>
      </c>
      <c r="I1101" s="26" t="str">
        <f>IFERROR(VLOOKUP(G1101,WholesaleExtract!B:O,8,FALSE),"")</f>
        <v/>
      </c>
      <c r="J1101" s="26" t="str">
        <f>IFERROR(VLOOKUP(G1101,WholesaleExtract!B:O,14,FALSE),"")</f>
        <v/>
      </c>
      <c r="K1101" s="26" t="str">
        <f>IFERROR(VLOOKUP(G1101,WholesaleExtract!B:K,10,FALSE),"")</f>
        <v/>
      </c>
      <c r="L1101" s="47" t="str">
        <f>IFERROR(VLOOKUP(G1101,WholesaleExtract!B:L,11,FALSE),"")</f>
        <v/>
      </c>
      <c r="M1101" s="47" t="str">
        <f>IFERROR(VLOOKUP(G1101,WholesaleExtract!B:M,12,FALSE),"")</f>
        <v/>
      </c>
      <c r="N1101" s="27"/>
      <c r="O1101" s="19"/>
      <c r="P1101" s="19"/>
      <c r="Q1101" s="47"/>
      <c r="R1101" s="19"/>
      <c r="S1101" s="19"/>
    </row>
    <row r="1102" spans="1:19" x14ac:dyDescent="0.35">
      <c r="A1102" s="26" t="s">
        <v>543</v>
      </c>
      <c r="B1102" s="26" t="s">
        <v>543</v>
      </c>
      <c r="C1102" s="26"/>
      <c r="D1102" s="26" t="s">
        <v>543</v>
      </c>
      <c r="E1102" s="26" t="str">
        <f>IFERROR(VLOOKUP(G1102,WholesaleExtract!B:J,9,FALSE),"")</f>
        <v/>
      </c>
      <c r="F1102" s="26" t="str">
        <f>IFERROR(VLOOKUP(G1102,WholesaleExtract!B:J,6,FALSE),"")</f>
        <v/>
      </c>
      <c r="G1102" s="46"/>
      <c r="H1102" s="47" t="str">
        <f>IFERROR(VLOOKUP(G1102,WholesaleExtract!B:L,11,FALSE),"")</f>
        <v/>
      </c>
      <c r="I1102" s="26" t="str">
        <f>IFERROR(VLOOKUP(G1102,WholesaleExtract!B:O,8,FALSE),"")</f>
        <v/>
      </c>
      <c r="J1102" s="26" t="str">
        <f>IFERROR(VLOOKUP(G1102,WholesaleExtract!B:O,14,FALSE),"")</f>
        <v/>
      </c>
      <c r="K1102" s="26" t="str">
        <f>IFERROR(VLOOKUP(G1102,WholesaleExtract!B:K,10,FALSE),"")</f>
        <v/>
      </c>
      <c r="L1102" s="47" t="str">
        <f>IFERROR(VLOOKUP(G1102,WholesaleExtract!B:L,11,FALSE),"")</f>
        <v/>
      </c>
      <c r="M1102" s="47" t="str">
        <f>IFERROR(VLOOKUP(G1102,WholesaleExtract!B:M,12,FALSE),"")</f>
        <v/>
      </c>
      <c r="N1102" s="27"/>
      <c r="O1102" s="19"/>
      <c r="P1102" s="19"/>
      <c r="Q1102" s="47"/>
      <c r="R1102" s="19"/>
      <c r="S1102" s="19"/>
    </row>
    <row r="1103" spans="1:19" x14ac:dyDescent="0.35">
      <c r="A1103" s="26" t="s">
        <v>543</v>
      </c>
      <c r="B1103" s="26" t="s">
        <v>543</v>
      </c>
      <c r="C1103" s="26"/>
      <c r="D1103" s="26" t="s">
        <v>543</v>
      </c>
      <c r="E1103" s="26" t="str">
        <f>IFERROR(VLOOKUP(G1103,WholesaleExtract!B:J,9,FALSE),"")</f>
        <v/>
      </c>
      <c r="F1103" s="26" t="str">
        <f>IFERROR(VLOOKUP(G1103,WholesaleExtract!B:J,6,FALSE),"")</f>
        <v/>
      </c>
      <c r="G1103" s="46"/>
      <c r="H1103" s="47" t="str">
        <f>IFERROR(VLOOKUP(G1103,WholesaleExtract!B:L,11,FALSE),"")</f>
        <v/>
      </c>
      <c r="I1103" s="26" t="str">
        <f>IFERROR(VLOOKUP(G1103,WholesaleExtract!B:O,8,FALSE),"")</f>
        <v/>
      </c>
      <c r="J1103" s="26" t="str">
        <f>IFERROR(VLOOKUP(G1103,WholesaleExtract!B:O,14,FALSE),"")</f>
        <v/>
      </c>
      <c r="K1103" s="26" t="str">
        <f>IFERROR(VLOOKUP(G1103,WholesaleExtract!B:K,10,FALSE),"")</f>
        <v/>
      </c>
      <c r="L1103" s="47" t="str">
        <f>IFERROR(VLOOKUP(G1103,WholesaleExtract!B:L,11,FALSE),"")</f>
        <v/>
      </c>
      <c r="M1103" s="47" t="str">
        <f>IFERROR(VLOOKUP(G1103,WholesaleExtract!B:M,12,FALSE),"")</f>
        <v/>
      </c>
      <c r="N1103" s="27"/>
      <c r="O1103" s="19"/>
      <c r="P1103" s="19"/>
      <c r="Q1103" s="47"/>
      <c r="R1103" s="19"/>
      <c r="S1103" s="19"/>
    </row>
    <row r="1104" spans="1:19" x14ac:dyDescent="0.35">
      <c r="A1104" s="26" t="s">
        <v>543</v>
      </c>
      <c r="B1104" s="26" t="s">
        <v>543</v>
      </c>
      <c r="C1104" s="26"/>
      <c r="D1104" s="26" t="s">
        <v>543</v>
      </c>
      <c r="E1104" s="26" t="str">
        <f>IFERROR(VLOOKUP(G1104,WholesaleExtract!B:J,9,FALSE),"")</f>
        <v/>
      </c>
      <c r="F1104" s="26" t="str">
        <f>IFERROR(VLOOKUP(G1104,WholesaleExtract!B:J,6,FALSE),"")</f>
        <v/>
      </c>
      <c r="G1104" s="46"/>
      <c r="H1104" s="47" t="str">
        <f>IFERROR(VLOOKUP(G1104,WholesaleExtract!B:L,11,FALSE),"")</f>
        <v/>
      </c>
      <c r="I1104" s="26" t="str">
        <f>IFERROR(VLOOKUP(G1104,WholesaleExtract!B:O,8,FALSE),"")</f>
        <v/>
      </c>
      <c r="J1104" s="26" t="str">
        <f>IFERROR(VLOOKUP(G1104,WholesaleExtract!B:O,14,FALSE),"")</f>
        <v/>
      </c>
      <c r="K1104" s="26" t="str">
        <f>IFERROR(VLOOKUP(G1104,WholesaleExtract!B:K,10,FALSE),"")</f>
        <v/>
      </c>
      <c r="L1104" s="47" t="str">
        <f>IFERROR(VLOOKUP(G1104,WholesaleExtract!B:L,11,FALSE),"")</f>
        <v/>
      </c>
      <c r="M1104" s="47" t="str">
        <f>IFERROR(VLOOKUP(G1104,WholesaleExtract!B:M,12,FALSE),"")</f>
        <v/>
      </c>
      <c r="N1104" s="27"/>
      <c r="O1104" s="19"/>
      <c r="P1104" s="19"/>
      <c r="Q1104" s="47"/>
      <c r="R1104" s="19"/>
      <c r="S1104" s="19"/>
    </row>
    <row r="1105" spans="1:19" x14ac:dyDescent="0.35">
      <c r="A1105" s="26" t="s">
        <v>543</v>
      </c>
      <c r="B1105" s="26" t="s">
        <v>543</v>
      </c>
      <c r="C1105" s="26"/>
      <c r="D1105" s="26" t="s">
        <v>543</v>
      </c>
      <c r="E1105" s="26" t="str">
        <f>IFERROR(VLOOKUP(G1105,WholesaleExtract!B:J,9,FALSE),"")</f>
        <v/>
      </c>
      <c r="F1105" s="26" t="str">
        <f>IFERROR(VLOOKUP(G1105,WholesaleExtract!B:J,6,FALSE),"")</f>
        <v/>
      </c>
      <c r="G1105" s="46"/>
      <c r="H1105" s="47" t="str">
        <f>IFERROR(VLOOKUP(G1105,WholesaleExtract!B:L,11,FALSE),"")</f>
        <v/>
      </c>
      <c r="I1105" s="26" t="str">
        <f>IFERROR(VLOOKUP(G1105,WholesaleExtract!B:O,8,FALSE),"")</f>
        <v/>
      </c>
      <c r="J1105" s="26" t="str">
        <f>IFERROR(VLOOKUP(G1105,WholesaleExtract!B:O,14,FALSE),"")</f>
        <v/>
      </c>
      <c r="K1105" s="26" t="str">
        <f>IFERROR(VLOOKUP(G1105,WholesaleExtract!B:K,10,FALSE),"")</f>
        <v/>
      </c>
      <c r="L1105" s="47" t="str">
        <f>IFERROR(VLOOKUP(G1105,WholesaleExtract!B:L,11,FALSE),"")</f>
        <v/>
      </c>
      <c r="M1105" s="47" t="str">
        <f>IFERROR(VLOOKUP(G1105,WholesaleExtract!B:M,12,FALSE),"")</f>
        <v/>
      </c>
      <c r="N1105" s="27"/>
      <c r="O1105" s="19"/>
      <c r="P1105" s="19"/>
      <c r="Q1105" s="47"/>
      <c r="R1105" s="19"/>
      <c r="S1105" s="19"/>
    </row>
    <row r="1106" spans="1:19" x14ac:dyDescent="0.35">
      <c r="A1106" s="26" t="s">
        <v>543</v>
      </c>
      <c r="B1106" s="26" t="s">
        <v>543</v>
      </c>
      <c r="C1106" s="26"/>
      <c r="D1106" s="26" t="s">
        <v>543</v>
      </c>
      <c r="E1106" s="26" t="str">
        <f>IFERROR(VLOOKUP(G1106,WholesaleExtract!B:J,9,FALSE),"")</f>
        <v/>
      </c>
      <c r="F1106" s="26" t="str">
        <f>IFERROR(VLOOKUP(G1106,WholesaleExtract!B:J,6,FALSE),"")</f>
        <v/>
      </c>
      <c r="G1106" s="46"/>
      <c r="H1106" s="47" t="str">
        <f>IFERROR(VLOOKUP(G1106,WholesaleExtract!B:L,11,FALSE),"")</f>
        <v/>
      </c>
      <c r="I1106" s="26" t="str">
        <f>IFERROR(VLOOKUP(G1106,WholesaleExtract!B:O,8,FALSE),"")</f>
        <v/>
      </c>
      <c r="J1106" s="26" t="str">
        <f>IFERROR(VLOOKUP(G1106,WholesaleExtract!B:O,14,FALSE),"")</f>
        <v/>
      </c>
      <c r="K1106" s="26" t="str">
        <f>IFERROR(VLOOKUP(G1106,WholesaleExtract!B:K,10,FALSE),"")</f>
        <v/>
      </c>
      <c r="L1106" s="47" t="str">
        <f>IFERROR(VLOOKUP(G1106,WholesaleExtract!B:L,11,FALSE),"")</f>
        <v/>
      </c>
      <c r="M1106" s="47" t="str">
        <f>IFERROR(VLOOKUP(G1106,WholesaleExtract!B:M,12,FALSE),"")</f>
        <v/>
      </c>
      <c r="N1106" s="27"/>
      <c r="O1106" s="19"/>
      <c r="P1106" s="19"/>
      <c r="Q1106" s="47"/>
      <c r="R1106" s="19"/>
      <c r="S1106" s="19"/>
    </row>
    <row r="1107" spans="1:19" x14ac:dyDescent="0.35">
      <c r="A1107" s="26" t="s">
        <v>543</v>
      </c>
      <c r="B1107" s="26" t="s">
        <v>543</v>
      </c>
      <c r="C1107" s="26"/>
      <c r="D1107" s="26" t="s">
        <v>543</v>
      </c>
      <c r="E1107" s="26" t="str">
        <f>IFERROR(VLOOKUP(G1107,WholesaleExtract!B:J,9,FALSE),"")</f>
        <v/>
      </c>
      <c r="F1107" s="26" t="str">
        <f>IFERROR(VLOOKUP(G1107,WholesaleExtract!B:J,6,FALSE),"")</f>
        <v/>
      </c>
      <c r="G1107" s="46"/>
      <c r="H1107" s="47" t="str">
        <f>IFERROR(VLOOKUP(G1107,WholesaleExtract!B:L,11,FALSE),"")</f>
        <v/>
      </c>
      <c r="I1107" s="26" t="str">
        <f>IFERROR(VLOOKUP(G1107,WholesaleExtract!B:O,8,FALSE),"")</f>
        <v/>
      </c>
      <c r="J1107" s="26" t="str">
        <f>IFERROR(VLOOKUP(G1107,WholesaleExtract!B:O,14,FALSE),"")</f>
        <v/>
      </c>
      <c r="K1107" s="26" t="str">
        <f>IFERROR(VLOOKUP(G1107,WholesaleExtract!B:K,10,FALSE),"")</f>
        <v/>
      </c>
      <c r="L1107" s="47" t="str">
        <f>IFERROR(VLOOKUP(G1107,WholesaleExtract!B:L,11,FALSE),"")</f>
        <v/>
      </c>
      <c r="M1107" s="47" t="str">
        <f>IFERROR(VLOOKUP(G1107,WholesaleExtract!B:M,12,FALSE),"")</f>
        <v/>
      </c>
      <c r="N1107" s="27"/>
      <c r="O1107" s="19"/>
      <c r="P1107" s="19"/>
      <c r="Q1107" s="47"/>
      <c r="R1107" s="19"/>
      <c r="S1107" s="19"/>
    </row>
    <row r="1108" spans="1:19" x14ac:dyDescent="0.35">
      <c r="A1108" s="26" t="s">
        <v>543</v>
      </c>
      <c r="B1108" s="26" t="s">
        <v>543</v>
      </c>
      <c r="C1108" s="26"/>
      <c r="D1108" s="26" t="s">
        <v>543</v>
      </c>
      <c r="E1108" s="26" t="str">
        <f>IFERROR(VLOOKUP(G1108,WholesaleExtract!B:J,9,FALSE),"")</f>
        <v/>
      </c>
      <c r="F1108" s="26" t="str">
        <f>IFERROR(VLOOKUP(G1108,WholesaleExtract!B:J,6,FALSE),"")</f>
        <v/>
      </c>
      <c r="G1108" s="46"/>
      <c r="H1108" s="47" t="str">
        <f>IFERROR(VLOOKUP(G1108,WholesaleExtract!B:L,11,FALSE),"")</f>
        <v/>
      </c>
      <c r="I1108" s="26" t="str">
        <f>IFERROR(VLOOKUP(G1108,WholesaleExtract!B:O,8,FALSE),"")</f>
        <v/>
      </c>
      <c r="J1108" s="26" t="str">
        <f>IFERROR(VLOOKUP(G1108,WholesaleExtract!B:O,14,FALSE),"")</f>
        <v/>
      </c>
      <c r="K1108" s="26" t="str">
        <f>IFERROR(VLOOKUP(G1108,WholesaleExtract!B:K,10,FALSE),"")</f>
        <v/>
      </c>
      <c r="L1108" s="47" t="str">
        <f>IFERROR(VLOOKUP(G1108,WholesaleExtract!B:L,11,FALSE),"")</f>
        <v/>
      </c>
      <c r="M1108" s="47" t="str">
        <f>IFERROR(VLOOKUP(G1108,WholesaleExtract!B:M,12,FALSE),"")</f>
        <v/>
      </c>
      <c r="N1108" s="27"/>
      <c r="O1108" s="19"/>
      <c r="P1108" s="19"/>
      <c r="Q1108" s="47"/>
      <c r="R1108" s="19"/>
      <c r="S1108" s="19"/>
    </row>
    <row r="1109" spans="1:19" x14ac:dyDescent="0.35">
      <c r="A1109" s="26" t="s">
        <v>543</v>
      </c>
      <c r="B1109" s="26" t="s">
        <v>543</v>
      </c>
      <c r="C1109" s="26"/>
      <c r="D1109" s="26" t="s">
        <v>543</v>
      </c>
      <c r="E1109" s="26" t="str">
        <f>IFERROR(VLOOKUP(G1109,WholesaleExtract!B:J,9,FALSE),"")</f>
        <v/>
      </c>
      <c r="F1109" s="26" t="str">
        <f>IFERROR(VLOOKUP(G1109,WholesaleExtract!B:J,6,FALSE),"")</f>
        <v/>
      </c>
      <c r="G1109" s="46"/>
      <c r="H1109" s="47" t="str">
        <f>IFERROR(VLOOKUP(G1109,WholesaleExtract!B:L,11,FALSE),"")</f>
        <v/>
      </c>
      <c r="I1109" s="26" t="str">
        <f>IFERROR(VLOOKUP(G1109,WholesaleExtract!B:O,8,FALSE),"")</f>
        <v/>
      </c>
      <c r="J1109" s="26" t="str">
        <f>IFERROR(VLOOKUP(G1109,WholesaleExtract!B:O,14,FALSE),"")</f>
        <v/>
      </c>
      <c r="K1109" s="26" t="str">
        <f>IFERROR(VLOOKUP(G1109,WholesaleExtract!B:K,10,FALSE),"")</f>
        <v/>
      </c>
      <c r="L1109" s="47" t="str">
        <f>IFERROR(VLOOKUP(G1109,WholesaleExtract!B:L,11,FALSE),"")</f>
        <v/>
      </c>
      <c r="M1109" s="47" t="str">
        <f>IFERROR(VLOOKUP(G1109,WholesaleExtract!B:M,12,FALSE),"")</f>
        <v/>
      </c>
      <c r="N1109" s="27"/>
      <c r="O1109" s="19"/>
      <c r="P1109" s="19"/>
      <c r="Q1109" s="47"/>
      <c r="R1109" s="19"/>
      <c r="S1109" s="19"/>
    </row>
    <row r="1110" spans="1:19" x14ac:dyDescent="0.35">
      <c r="A1110" s="26" t="s">
        <v>543</v>
      </c>
      <c r="B1110" s="26" t="s">
        <v>543</v>
      </c>
      <c r="C1110" s="26"/>
      <c r="D1110" s="26" t="s">
        <v>543</v>
      </c>
      <c r="E1110" s="26" t="str">
        <f>IFERROR(VLOOKUP(G1110,WholesaleExtract!B:J,9,FALSE),"")</f>
        <v/>
      </c>
      <c r="F1110" s="26" t="str">
        <f>IFERROR(VLOOKUP(G1110,WholesaleExtract!B:J,6,FALSE),"")</f>
        <v/>
      </c>
      <c r="G1110" s="46"/>
      <c r="H1110" s="47" t="str">
        <f>IFERROR(VLOOKUP(G1110,WholesaleExtract!B:L,11,FALSE),"")</f>
        <v/>
      </c>
      <c r="I1110" s="26" t="str">
        <f>IFERROR(VLOOKUP(G1110,WholesaleExtract!B:O,8,FALSE),"")</f>
        <v/>
      </c>
      <c r="J1110" s="26" t="str">
        <f>IFERROR(VLOOKUP(G1110,WholesaleExtract!B:O,14,FALSE),"")</f>
        <v/>
      </c>
      <c r="K1110" s="26" t="str">
        <f>IFERROR(VLOOKUP(G1110,WholesaleExtract!B:K,10,FALSE),"")</f>
        <v/>
      </c>
      <c r="L1110" s="47" t="str">
        <f>IFERROR(VLOOKUP(G1110,WholesaleExtract!B:L,11,FALSE),"")</f>
        <v/>
      </c>
      <c r="M1110" s="47" t="str">
        <f>IFERROR(VLOOKUP(G1110,WholesaleExtract!B:M,12,FALSE),"")</f>
        <v/>
      </c>
      <c r="N1110" s="27"/>
      <c r="O1110" s="19"/>
      <c r="P1110" s="19"/>
      <c r="Q1110" s="47"/>
      <c r="R1110" s="19"/>
      <c r="S1110" s="19"/>
    </row>
    <row r="1111" spans="1:19" x14ac:dyDescent="0.35">
      <c r="A1111" s="26" t="s">
        <v>543</v>
      </c>
      <c r="B1111" s="26" t="s">
        <v>543</v>
      </c>
      <c r="C1111" s="26"/>
      <c r="D1111" s="26" t="s">
        <v>543</v>
      </c>
      <c r="E1111" s="26" t="str">
        <f>IFERROR(VLOOKUP(G1111,WholesaleExtract!B:J,9,FALSE),"")</f>
        <v/>
      </c>
      <c r="F1111" s="26" t="str">
        <f>IFERROR(VLOOKUP(G1111,WholesaleExtract!B:J,6,FALSE),"")</f>
        <v/>
      </c>
      <c r="G1111" s="46"/>
      <c r="H1111" s="47" t="str">
        <f>IFERROR(VLOOKUP(G1111,WholesaleExtract!B:L,11,FALSE),"")</f>
        <v/>
      </c>
      <c r="I1111" s="26" t="str">
        <f>IFERROR(VLOOKUP(G1111,WholesaleExtract!B:O,8,FALSE),"")</f>
        <v/>
      </c>
      <c r="J1111" s="26" t="str">
        <f>IFERROR(VLOOKUP(G1111,WholesaleExtract!B:O,14,FALSE),"")</f>
        <v/>
      </c>
      <c r="K1111" s="26" t="str">
        <f>IFERROR(VLOOKUP(G1111,WholesaleExtract!B:K,10,FALSE),"")</f>
        <v/>
      </c>
      <c r="L1111" s="47" t="str">
        <f>IFERROR(VLOOKUP(G1111,WholesaleExtract!B:L,11,FALSE),"")</f>
        <v/>
      </c>
      <c r="M1111" s="47" t="str">
        <f>IFERROR(VLOOKUP(G1111,WholesaleExtract!B:M,12,FALSE),"")</f>
        <v/>
      </c>
      <c r="N1111" s="27"/>
      <c r="O1111" s="19"/>
      <c r="P1111" s="19"/>
      <c r="Q1111" s="47"/>
      <c r="R1111" s="19"/>
      <c r="S1111" s="19"/>
    </row>
    <row r="1112" spans="1:19" x14ac:dyDescent="0.35">
      <c r="A1112" s="26" t="s">
        <v>543</v>
      </c>
      <c r="B1112" s="26" t="s">
        <v>543</v>
      </c>
      <c r="C1112" s="26"/>
      <c r="D1112" s="26" t="s">
        <v>543</v>
      </c>
      <c r="E1112" s="26" t="str">
        <f>IFERROR(VLOOKUP(G1112,WholesaleExtract!B:J,9,FALSE),"")</f>
        <v/>
      </c>
      <c r="F1112" s="26" t="str">
        <f>IFERROR(VLOOKUP(G1112,WholesaleExtract!B:J,6,FALSE),"")</f>
        <v/>
      </c>
      <c r="G1112" s="46"/>
      <c r="H1112" s="47" t="str">
        <f>IFERROR(VLOOKUP(G1112,WholesaleExtract!B:L,11,FALSE),"")</f>
        <v/>
      </c>
      <c r="I1112" s="26" t="str">
        <f>IFERROR(VLOOKUP(G1112,WholesaleExtract!B:O,8,FALSE),"")</f>
        <v/>
      </c>
      <c r="J1112" s="26" t="str">
        <f>IFERROR(VLOOKUP(G1112,WholesaleExtract!B:O,14,FALSE),"")</f>
        <v/>
      </c>
      <c r="K1112" s="26" t="str">
        <f>IFERROR(VLOOKUP(G1112,WholesaleExtract!B:K,10,FALSE),"")</f>
        <v/>
      </c>
      <c r="L1112" s="47" t="str">
        <f>IFERROR(VLOOKUP(G1112,WholesaleExtract!B:L,11,FALSE),"")</f>
        <v/>
      </c>
      <c r="M1112" s="47" t="str">
        <f>IFERROR(VLOOKUP(G1112,WholesaleExtract!B:M,12,FALSE),"")</f>
        <v/>
      </c>
      <c r="N1112" s="27"/>
      <c r="O1112" s="19"/>
      <c r="P1112" s="19"/>
      <c r="Q1112" s="47"/>
      <c r="R1112" s="19"/>
      <c r="S1112" s="19"/>
    </row>
    <row r="1113" spans="1:19" x14ac:dyDescent="0.35">
      <c r="A1113" s="26" t="s">
        <v>543</v>
      </c>
      <c r="B1113" s="26" t="s">
        <v>543</v>
      </c>
      <c r="C1113" s="26"/>
      <c r="D1113" s="26" t="s">
        <v>543</v>
      </c>
      <c r="E1113" s="26" t="str">
        <f>IFERROR(VLOOKUP(G1113,WholesaleExtract!B:J,9,FALSE),"")</f>
        <v/>
      </c>
      <c r="F1113" s="26" t="str">
        <f>IFERROR(VLOOKUP(G1113,WholesaleExtract!B:J,6,FALSE),"")</f>
        <v/>
      </c>
      <c r="G1113" s="46"/>
      <c r="H1113" s="47" t="str">
        <f>IFERROR(VLOOKUP(G1113,WholesaleExtract!B:L,11,FALSE),"")</f>
        <v/>
      </c>
      <c r="I1113" s="26" t="str">
        <f>IFERROR(VLOOKUP(G1113,WholesaleExtract!B:O,8,FALSE),"")</f>
        <v/>
      </c>
      <c r="J1113" s="26" t="str">
        <f>IFERROR(VLOOKUP(G1113,WholesaleExtract!B:O,14,FALSE),"")</f>
        <v/>
      </c>
      <c r="K1113" s="26" t="str">
        <f>IFERROR(VLOOKUP(G1113,WholesaleExtract!B:K,10,FALSE),"")</f>
        <v/>
      </c>
      <c r="L1113" s="47" t="str">
        <f>IFERROR(VLOOKUP(G1113,WholesaleExtract!B:L,11,FALSE),"")</f>
        <v/>
      </c>
      <c r="M1113" s="47" t="str">
        <f>IFERROR(VLOOKUP(G1113,WholesaleExtract!B:M,12,FALSE),"")</f>
        <v/>
      </c>
      <c r="N1113" s="27"/>
      <c r="O1113" s="19"/>
      <c r="P1113" s="19"/>
      <c r="Q1113" s="47"/>
      <c r="R1113" s="19"/>
      <c r="S1113" s="19"/>
    </row>
    <row r="1114" spans="1:19" x14ac:dyDescent="0.35">
      <c r="A1114" s="26" t="s">
        <v>543</v>
      </c>
      <c r="B1114" s="26" t="s">
        <v>543</v>
      </c>
      <c r="C1114" s="26"/>
      <c r="D1114" s="26" t="s">
        <v>543</v>
      </c>
      <c r="E1114" s="26" t="str">
        <f>IFERROR(VLOOKUP(G1114,WholesaleExtract!B:J,9,FALSE),"")</f>
        <v/>
      </c>
      <c r="F1114" s="26" t="str">
        <f>IFERROR(VLOOKUP(G1114,WholesaleExtract!B:J,6,FALSE),"")</f>
        <v/>
      </c>
      <c r="G1114" s="46"/>
      <c r="H1114" s="47" t="str">
        <f>IFERROR(VLOOKUP(G1114,WholesaleExtract!B:L,11,FALSE),"")</f>
        <v/>
      </c>
      <c r="I1114" s="26" t="str">
        <f>IFERROR(VLOOKUP(G1114,WholesaleExtract!B:O,8,FALSE),"")</f>
        <v/>
      </c>
      <c r="J1114" s="26" t="str">
        <f>IFERROR(VLOOKUP(G1114,WholesaleExtract!B:O,14,FALSE),"")</f>
        <v/>
      </c>
      <c r="K1114" s="26" t="str">
        <f>IFERROR(VLOOKUP(G1114,WholesaleExtract!B:K,10,FALSE),"")</f>
        <v/>
      </c>
      <c r="L1114" s="47" t="str">
        <f>IFERROR(VLOOKUP(G1114,WholesaleExtract!B:L,11,FALSE),"")</f>
        <v/>
      </c>
      <c r="M1114" s="47" t="str">
        <f>IFERROR(VLOOKUP(G1114,WholesaleExtract!B:M,12,FALSE),"")</f>
        <v/>
      </c>
      <c r="N1114" s="27"/>
      <c r="O1114" s="19"/>
      <c r="P1114" s="19"/>
      <c r="Q1114" s="47"/>
      <c r="R1114" s="19"/>
      <c r="S1114" s="19"/>
    </row>
    <row r="1115" spans="1:19" x14ac:dyDescent="0.35">
      <c r="A1115" s="26" t="s">
        <v>543</v>
      </c>
      <c r="B1115" s="26" t="s">
        <v>543</v>
      </c>
      <c r="C1115" s="26"/>
      <c r="D1115" s="26" t="s">
        <v>543</v>
      </c>
      <c r="E1115" s="26" t="str">
        <f>IFERROR(VLOOKUP(G1115,WholesaleExtract!B:J,9,FALSE),"")</f>
        <v/>
      </c>
      <c r="F1115" s="26" t="str">
        <f>IFERROR(VLOOKUP(G1115,WholesaleExtract!B:J,6,FALSE),"")</f>
        <v/>
      </c>
      <c r="G1115" s="46"/>
      <c r="H1115" s="47" t="str">
        <f>IFERROR(VLOOKUP(G1115,WholesaleExtract!B:L,11,FALSE),"")</f>
        <v/>
      </c>
      <c r="I1115" s="26" t="str">
        <f>IFERROR(VLOOKUP(G1115,WholesaleExtract!B:O,8,FALSE),"")</f>
        <v/>
      </c>
      <c r="J1115" s="26" t="str">
        <f>IFERROR(VLOOKUP(G1115,WholesaleExtract!B:O,14,FALSE),"")</f>
        <v/>
      </c>
      <c r="K1115" s="26" t="str">
        <f>IFERROR(VLOOKUP(G1115,WholesaleExtract!B:K,10,FALSE),"")</f>
        <v/>
      </c>
      <c r="L1115" s="47" t="str">
        <f>IFERROR(VLOOKUP(G1115,WholesaleExtract!B:L,11,FALSE),"")</f>
        <v/>
      </c>
      <c r="M1115" s="47" t="str">
        <f>IFERROR(VLOOKUP(G1115,WholesaleExtract!B:M,12,FALSE),"")</f>
        <v/>
      </c>
      <c r="N1115" s="27"/>
      <c r="O1115" s="19"/>
      <c r="P1115" s="19"/>
      <c r="Q1115" s="47"/>
      <c r="R1115" s="19"/>
      <c r="S1115" s="19"/>
    </row>
    <row r="1116" spans="1:19" x14ac:dyDescent="0.35">
      <c r="A1116" s="26" t="s">
        <v>543</v>
      </c>
      <c r="B1116" s="26" t="s">
        <v>543</v>
      </c>
      <c r="C1116" s="26"/>
      <c r="D1116" s="26" t="s">
        <v>543</v>
      </c>
      <c r="E1116" s="26" t="str">
        <f>IFERROR(VLOOKUP(G1116,WholesaleExtract!B:J,9,FALSE),"")</f>
        <v/>
      </c>
      <c r="F1116" s="26" t="str">
        <f>IFERROR(VLOOKUP(G1116,WholesaleExtract!B:J,6,FALSE),"")</f>
        <v/>
      </c>
      <c r="G1116" s="46"/>
      <c r="H1116" s="47" t="str">
        <f>IFERROR(VLOOKUP(G1116,WholesaleExtract!B:L,11,FALSE),"")</f>
        <v/>
      </c>
      <c r="I1116" s="26" t="str">
        <f>IFERROR(VLOOKUP(G1116,WholesaleExtract!B:O,8,FALSE),"")</f>
        <v/>
      </c>
      <c r="J1116" s="26" t="str">
        <f>IFERROR(VLOOKUP(G1116,WholesaleExtract!B:O,14,FALSE),"")</f>
        <v/>
      </c>
      <c r="K1116" s="26" t="str">
        <f>IFERROR(VLOOKUP(G1116,WholesaleExtract!B:K,10,FALSE),"")</f>
        <v/>
      </c>
      <c r="L1116" s="47" t="str">
        <f>IFERROR(VLOOKUP(G1116,WholesaleExtract!B:L,11,FALSE),"")</f>
        <v/>
      </c>
      <c r="M1116" s="47" t="str">
        <f>IFERROR(VLOOKUP(G1116,WholesaleExtract!B:M,12,FALSE),"")</f>
        <v/>
      </c>
      <c r="N1116" s="27"/>
      <c r="O1116" s="19"/>
      <c r="P1116" s="19"/>
      <c r="Q1116" s="47"/>
      <c r="R1116" s="19"/>
      <c r="S1116" s="19"/>
    </row>
    <row r="1117" spans="1:19" x14ac:dyDescent="0.35">
      <c r="A1117" s="26" t="s">
        <v>543</v>
      </c>
      <c r="B1117" s="26" t="s">
        <v>543</v>
      </c>
      <c r="C1117" s="26"/>
      <c r="D1117" s="26" t="s">
        <v>543</v>
      </c>
      <c r="E1117" s="26" t="str">
        <f>IFERROR(VLOOKUP(G1117,WholesaleExtract!B:J,9,FALSE),"")</f>
        <v/>
      </c>
      <c r="F1117" s="26" t="str">
        <f>IFERROR(VLOOKUP(G1117,WholesaleExtract!B:J,6,FALSE),"")</f>
        <v/>
      </c>
      <c r="G1117" s="46"/>
      <c r="H1117" s="47" t="str">
        <f>IFERROR(VLOOKUP(G1117,WholesaleExtract!B:L,11,FALSE),"")</f>
        <v/>
      </c>
      <c r="I1117" s="26" t="str">
        <f>IFERROR(VLOOKUP(G1117,WholesaleExtract!B:O,8,FALSE),"")</f>
        <v/>
      </c>
      <c r="J1117" s="26" t="str">
        <f>IFERROR(VLOOKUP(G1117,WholesaleExtract!B:O,14,FALSE),"")</f>
        <v/>
      </c>
      <c r="K1117" s="26" t="str">
        <f>IFERROR(VLOOKUP(G1117,WholesaleExtract!B:K,10,FALSE),"")</f>
        <v/>
      </c>
      <c r="L1117" s="47" t="str">
        <f>IFERROR(VLOOKUP(G1117,WholesaleExtract!B:L,11,FALSE),"")</f>
        <v/>
      </c>
      <c r="M1117" s="47" t="str">
        <f>IFERROR(VLOOKUP(G1117,WholesaleExtract!B:M,12,FALSE),"")</f>
        <v/>
      </c>
      <c r="N1117" s="27"/>
      <c r="O1117" s="19"/>
      <c r="P1117" s="19"/>
      <c r="Q1117" s="47"/>
      <c r="R1117" s="19"/>
      <c r="S1117" s="19"/>
    </row>
    <row r="1118" spans="1:19" x14ac:dyDescent="0.35">
      <c r="A1118" s="26" t="s">
        <v>543</v>
      </c>
      <c r="B1118" s="26" t="s">
        <v>543</v>
      </c>
      <c r="C1118" s="26"/>
      <c r="D1118" s="26" t="s">
        <v>543</v>
      </c>
      <c r="E1118" s="26" t="str">
        <f>IFERROR(VLOOKUP(G1118,WholesaleExtract!B:J,9,FALSE),"")</f>
        <v/>
      </c>
      <c r="F1118" s="26" t="str">
        <f>IFERROR(VLOOKUP(G1118,WholesaleExtract!B:J,6,FALSE),"")</f>
        <v/>
      </c>
      <c r="G1118" s="46"/>
      <c r="H1118" s="47" t="str">
        <f>IFERROR(VLOOKUP(G1118,WholesaleExtract!B:L,11,FALSE),"")</f>
        <v/>
      </c>
      <c r="I1118" s="26" t="str">
        <f>IFERROR(VLOOKUP(G1118,WholesaleExtract!B:O,8,FALSE),"")</f>
        <v/>
      </c>
      <c r="J1118" s="26" t="str">
        <f>IFERROR(VLOOKUP(G1118,WholesaleExtract!B:O,14,FALSE),"")</f>
        <v/>
      </c>
      <c r="K1118" s="26" t="str">
        <f>IFERROR(VLOOKUP(G1118,WholesaleExtract!B:K,10,FALSE),"")</f>
        <v/>
      </c>
      <c r="L1118" s="47" t="str">
        <f>IFERROR(VLOOKUP(G1118,WholesaleExtract!B:L,11,FALSE),"")</f>
        <v/>
      </c>
      <c r="M1118" s="47" t="str">
        <f>IFERROR(VLOOKUP(G1118,WholesaleExtract!B:M,12,FALSE),"")</f>
        <v/>
      </c>
      <c r="N1118" s="27"/>
      <c r="O1118" s="19"/>
      <c r="P1118" s="19"/>
      <c r="Q1118" s="47"/>
      <c r="R1118" s="19"/>
      <c r="S1118" s="19"/>
    </row>
    <row r="1119" spans="1:19" x14ac:dyDescent="0.35">
      <c r="A1119" s="26" t="s">
        <v>543</v>
      </c>
      <c r="B1119" s="26" t="s">
        <v>543</v>
      </c>
      <c r="C1119" s="26"/>
      <c r="D1119" s="26" t="s">
        <v>543</v>
      </c>
      <c r="E1119" s="26" t="str">
        <f>IFERROR(VLOOKUP(G1119,WholesaleExtract!B:J,9,FALSE),"")</f>
        <v/>
      </c>
      <c r="F1119" s="26" t="str">
        <f>IFERROR(VLOOKUP(G1119,WholesaleExtract!B:J,6,FALSE),"")</f>
        <v/>
      </c>
      <c r="G1119" s="46"/>
      <c r="H1119" s="47" t="str">
        <f>IFERROR(VLOOKUP(G1119,WholesaleExtract!B:L,11,FALSE),"")</f>
        <v/>
      </c>
      <c r="I1119" s="26" t="str">
        <f>IFERROR(VLOOKUP(G1119,WholesaleExtract!B:O,8,FALSE),"")</f>
        <v/>
      </c>
      <c r="J1119" s="26" t="str">
        <f>IFERROR(VLOOKUP(G1119,WholesaleExtract!B:O,14,FALSE),"")</f>
        <v/>
      </c>
      <c r="K1119" s="26" t="str">
        <f>IFERROR(VLOOKUP(G1119,WholesaleExtract!B:K,10,FALSE),"")</f>
        <v/>
      </c>
      <c r="L1119" s="47" t="str">
        <f>IFERROR(VLOOKUP(G1119,WholesaleExtract!B:L,11,FALSE),"")</f>
        <v/>
      </c>
      <c r="M1119" s="47" t="str">
        <f>IFERROR(VLOOKUP(G1119,WholesaleExtract!B:M,12,FALSE),"")</f>
        <v/>
      </c>
      <c r="N1119" s="27"/>
      <c r="O1119" s="19"/>
      <c r="P1119" s="19"/>
      <c r="Q1119" s="47"/>
      <c r="R1119" s="19"/>
      <c r="S1119" s="19"/>
    </row>
    <row r="1120" spans="1:19" x14ac:dyDescent="0.35">
      <c r="A1120" s="26" t="s">
        <v>543</v>
      </c>
      <c r="B1120" s="26" t="s">
        <v>543</v>
      </c>
      <c r="C1120" s="26"/>
      <c r="D1120" s="26" t="s">
        <v>543</v>
      </c>
      <c r="E1120" s="26" t="str">
        <f>IFERROR(VLOOKUP(G1120,WholesaleExtract!B:J,9,FALSE),"")</f>
        <v/>
      </c>
      <c r="F1120" s="26" t="str">
        <f>IFERROR(VLOOKUP(G1120,WholesaleExtract!B:J,6,FALSE),"")</f>
        <v/>
      </c>
      <c r="G1120" s="46"/>
      <c r="H1120" s="47" t="str">
        <f>IFERROR(VLOOKUP(G1120,WholesaleExtract!B:L,11,FALSE),"")</f>
        <v/>
      </c>
      <c r="I1120" s="26" t="str">
        <f>IFERROR(VLOOKUP(G1120,WholesaleExtract!B:O,8,FALSE),"")</f>
        <v/>
      </c>
      <c r="J1120" s="26" t="str">
        <f>IFERROR(VLOOKUP(G1120,WholesaleExtract!B:O,14,FALSE),"")</f>
        <v/>
      </c>
      <c r="K1120" s="26" t="str">
        <f>IFERROR(VLOOKUP(G1120,WholesaleExtract!B:K,10,FALSE),"")</f>
        <v/>
      </c>
      <c r="L1120" s="47" t="str">
        <f>IFERROR(VLOOKUP(G1120,WholesaleExtract!B:L,11,FALSE),"")</f>
        <v/>
      </c>
      <c r="M1120" s="47" t="str">
        <f>IFERROR(VLOOKUP(G1120,WholesaleExtract!B:M,12,FALSE),"")</f>
        <v/>
      </c>
      <c r="N1120" s="27"/>
      <c r="O1120" s="19"/>
      <c r="P1120" s="19"/>
      <c r="Q1120" s="47"/>
      <c r="R1120" s="19"/>
      <c r="S1120" s="19"/>
    </row>
    <row r="1121" spans="1:19" x14ac:dyDescent="0.35">
      <c r="A1121" s="26" t="s">
        <v>543</v>
      </c>
      <c r="B1121" s="26" t="s">
        <v>543</v>
      </c>
      <c r="C1121" s="26"/>
      <c r="D1121" s="26" t="s">
        <v>543</v>
      </c>
      <c r="E1121" s="26" t="str">
        <f>IFERROR(VLOOKUP(G1121,WholesaleExtract!B:J,9,FALSE),"")</f>
        <v/>
      </c>
      <c r="F1121" s="26" t="str">
        <f>IFERROR(VLOOKUP(G1121,WholesaleExtract!B:J,6,FALSE),"")</f>
        <v/>
      </c>
      <c r="G1121" s="46"/>
      <c r="H1121" s="47" t="str">
        <f>IFERROR(VLOOKUP(G1121,WholesaleExtract!B:L,11,FALSE),"")</f>
        <v/>
      </c>
      <c r="I1121" s="26" t="str">
        <f>IFERROR(VLOOKUP(G1121,WholesaleExtract!B:O,8,FALSE),"")</f>
        <v/>
      </c>
      <c r="J1121" s="26" t="str">
        <f>IFERROR(VLOOKUP(G1121,WholesaleExtract!B:O,14,FALSE),"")</f>
        <v/>
      </c>
      <c r="K1121" s="26" t="str">
        <f>IFERROR(VLOOKUP(G1121,WholesaleExtract!B:K,10,FALSE),"")</f>
        <v/>
      </c>
      <c r="L1121" s="47" t="str">
        <f>IFERROR(VLOOKUP(G1121,WholesaleExtract!B:L,11,FALSE),"")</f>
        <v/>
      </c>
      <c r="M1121" s="47" t="str">
        <f>IFERROR(VLOOKUP(G1121,WholesaleExtract!B:M,12,FALSE),"")</f>
        <v/>
      </c>
      <c r="N1121" s="27"/>
      <c r="O1121" s="19"/>
      <c r="P1121" s="19"/>
      <c r="Q1121" s="47"/>
      <c r="R1121" s="19"/>
      <c r="S1121" s="19"/>
    </row>
    <row r="1122" spans="1:19" x14ac:dyDescent="0.35">
      <c r="A1122" s="26" t="s">
        <v>543</v>
      </c>
      <c r="B1122" s="26" t="s">
        <v>543</v>
      </c>
      <c r="C1122" s="26"/>
      <c r="D1122" s="26" t="s">
        <v>543</v>
      </c>
      <c r="E1122" s="26" t="str">
        <f>IFERROR(VLOOKUP(G1122,WholesaleExtract!B:J,9,FALSE),"")</f>
        <v/>
      </c>
      <c r="F1122" s="26" t="str">
        <f>IFERROR(VLOOKUP(G1122,WholesaleExtract!B:J,6,FALSE),"")</f>
        <v/>
      </c>
      <c r="G1122" s="46"/>
      <c r="H1122" s="47" t="str">
        <f>IFERROR(VLOOKUP(G1122,WholesaleExtract!B:L,11,FALSE),"")</f>
        <v/>
      </c>
      <c r="I1122" s="26" t="str">
        <f>IFERROR(VLOOKUP(G1122,WholesaleExtract!B:O,8,FALSE),"")</f>
        <v/>
      </c>
      <c r="J1122" s="26" t="str">
        <f>IFERROR(VLOOKUP(G1122,WholesaleExtract!B:O,14,FALSE),"")</f>
        <v/>
      </c>
      <c r="K1122" s="26" t="str">
        <f>IFERROR(VLOOKUP(G1122,WholesaleExtract!B:K,10,FALSE),"")</f>
        <v/>
      </c>
      <c r="L1122" s="47" t="str">
        <f>IFERROR(VLOOKUP(G1122,WholesaleExtract!B:L,11,FALSE),"")</f>
        <v/>
      </c>
      <c r="M1122" s="47" t="str">
        <f>IFERROR(VLOOKUP(G1122,WholesaleExtract!B:M,12,FALSE),"")</f>
        <v/>
      </c>
      <c r="N1122" s="27"/>
      <c r="O1122" s="19"/>
      <c r="P1122" s="19"/>
      <c r="Q1122" s="47"/>
      <c r="R1122" s="19"/>
      <c r="S1122" s="19"/>
    </row>
    <row r="1123" spans="1:19" x14ac:dyDescent="0.35">
      <c r="A1123" s="26" t="s">
        <v>543</v>
      </c>
      <c r="B1123" s="26" t="s">
        <v>543</v>
      </c>
      <c r="C1123" s="26"/>
      <c r="D1123" s="26" t="s">
        <v>543</v>
      </c>
      <c r="E1123" s="26" t="str">
        <f>IFERROR(VLOOKUP(G1123,WholesaleExtract!B:J,9,FALSE),"")</f>
        <v/>
      </c>
      <c r="F1123" s="26" t="str">
        <f>IFERROR(VLOOKUP(G1123,WholesaleExtract!B:J,6,FALSE),"")</f>
        <v/>
      </c>
      <c r="G1123" s="46"/>
      <c r="H1123" s="47" t="str">
        <f>IFERROR(VLOOKUP(G1123,WholesaleExtract!B:L,11,FALSE),"")</f>
        <v/>
      </c>
      <c r="I1123" s="26" t="str">
        <f>IFERROR(VLOOKUP(G1123,WholesaleExtract!B:O,8,FALSE),"")</f>
        <v/>
      </c>
      <c r="J1123" s="26" t="str">
        <f>IFERROR(VLOOKUP(G1123,WholesaleExtract!B:O,14,FALSE),"")</f>
        <v/>
      </c>
      <c r="K1123" s="26" t="str">
        <f>IFERROR(VLOOKUP(G1123,WholesaleExtract!B:K,10,FALSE),"")</f>
        <v/>
      </c>
      <c r="L1123" s="47" t="str">
        <f>IFERROR(VLOOKUP(G1123,WholesaleExtract!B:L,11,FALSE),"")</f>
        <v/>
      </c>
      <c r="M1123" s="47" t="str">
        <f>IFERROR(VLOOKUP(G1123,WholesaleExtract!B:M,12,FALSE),"")</f>
        <v/>
      </c>
      <c r="N1123" s="27"/>
      <c r="O1123" s="19"/>
      <c r="P1123" s="19"/>
      <c r="Q1123" s="47"/>
      <c r="R1123" s="19"/>
      <c r="S1123" s="19"/>
    </row>
    <row r="1124" spans="1:19" x14ac:dyDescent="0.35">
      <c r="A1124" s="26" t="s">
        <v>543</v>
      </c>
      <c r="B1124" s="26" t="s">
        <v>543</v>
      </c>
      <c r="C1124" s="26"/>
      <c r="D1124" s="26" t="s">
        <v>543</v>
      </c>
      <c r="E1124" s="26" t="str">
        <f>IFERROR(VLOOKUP(G1124,WholesaleExtract!B:J,9,FALSE),"")</f>
        <v/>
      </c>
      <c r="F1124" s="26" t="str">
        <f>IFERROR(VLOOKUP(G1124,WholesaleExtract!B:J,6,FALSE),"")</f>
        <v/>
      </c>
      <c r="G1124" s="46"/>
      <c r="H1124" s="47" t="str">
        <f>IFERROR(VLOOKUP(G1124,WholesaleExtract!B:L,11,FALSE),"")</f>
        <v/>
      </c>
      <c r="I1124" s="26" t="str">
        <f>IFERROR(VLOOKUP(G1124,WholesaleExtract!B:O,8,FALSE),"")</f>
        <v/>
      </c>
      <c r="J1124" s="26" t="str">
        <f>IFERROR(VLOOKUP(G1124,WholesaleExtract!B:O,14,FALSE),"")</f>
        <v/>
      </c>
      <c r="K1124" s="26" t="str">
        <f>IFERROR(VLOOKUP(G1124,WholesaleExtract!B:K,10,FALSE),"")</f>
        <v/>
      </c>
      <c r="L1124" s="47" t="str">
        <f>IFERROR(VLOOKUP(G1124,WholesaleExtract!B:L,11,FALSE),"")</f>
        <v/>
      </c>
      <c r="M1124" s="47" t="str">
        <f>IFERROR(VLOOKUP(G1124,WholesaleExtract!B:M,12,FALSE),"")</f>
        <v/>
      </c>
      <c r="N1124" s="27"/>
      <c r="O1124" s="19"/>
      <c r="P1124" s="19"/>
      <c r="Q1124" s="47"/>
      <c r="R1124" s="19"/>
      <c r="S1124" s="19"/>
    </row>
    <row r="1125" spans="1:19" x14ac:dyDescent="0.35">
      <c r="A1125" s="26" t="s">
        <v>543</v>
      </c>
      <c r="B1125" s="26" t="s">
        <v>543</v>
      </c>
      <c r="C1125" s="26"/>
      <c r="D1125" s="26" t="s">
        <v>543</v>
      </c>
      <c r="E1125" s="26" t="str">
        <f>IFERROR(VLOOKUP(G1125,WholesaleExtract!B:J,9,FALSE),"")</f>
        <v/>
      </c>
      <c r="F1125" s="26" t="str">
        <f>IFERROR(VLOOKUP(G1125,WholesaleExtract!B:J,6,FALSE),"")</f>
        <v/>
      </c>
      <c r="G1125" s="46"/>
      <c r="H1125" s="47" t="str">
        <f>IFERROR(VLOOKUP(G1125,WholesaleExtract!B:L,11,FALSE),"")</f>
        <v/>
      </c>
      <c r="I1125" s="26" t="str">
        <f>IFERROR(VLOOKUP(G1125,WholesaleExtract!B:O,8,FALSE),"")</f>
        <v/>
      </c>
      <c r="J1125" s="26" t="str">
        <f>IFERROR(VLOOKUP(G1125,WholesaleExtract!B:O,14,FALSE),"")</f>
        <v/>
      </c>
      <c r="K1125" s="26" t="str">
        <f>IFERROR(VLOOKUP(G1125,WholesaleExtract!B:K,10,FALSE),"")</f>
        <v/>
      </c>
      <c r="L1125" s="47" t="str">
        <f>IFERROR(VLOOKUP(G1125,WholesaleExtract!B:L,11,FALSE),"")</f>
        <v/>
      </c>
      <c r="M1125" s="47" t="str">
        <f>IFERROR(VLOOKUP(G1125,WholesaleExtract!B:M,12,FALSE),"")</f>
        <v/>
      </c>
      <c r="N1125" s="27"/>
      <c r="O1125" s="19"/>
      <c r="P1125" s="19"/>
      <c r="Q1125" s="47"/>
      <c r="R1125" s="19"/>
      <c r="S1125" s="19"/>
    </row>
    <row r="1126" spans="1:19" x14ac:dyDescent="0.35">
      <c r="A1126" s="26" t="s">
        <v>543</v>
      </c>
      <c r="B1126" s="26" t="s">
        <v>543</v>
      </c>
      <c r="C1126" s="26"/>
      <c r="D1126" s="26" t="s">
        <v>543</v>
      </c>
      <c r="E1126" s="26" t="str">
        <f>IFERROR(VLOOKUP(G1126,WholesaleExtract!B:J,9,FALSE),"")</f>
        <v/>
      </c>
      <c r="F1126" s="26" t="str">
        <f>IFERROR(VLOOKUP(G1126,WholesaleExtract!B:J,6,FALSE),"")</f>
        <v/>
      </c>
      <c r="G1126" s="46"/>
      <c r="H1126" s="47" t="str">
        <f>IFERROR(VLOOKUP(G1126,WholesaleExtract!B:L,11,FALSE),"")</f>
        <v/>
      </c>
      <c r="I1126" s="26" t="str">
        <f>IFERROR(VLOOKUP(G1126,WholesaleExtract!B:O,8,FALSE),"")</f>
        <v/>
      </c>
      <c r="J1126" s="26" t="str">
        <f>IFERROR(VLOOKUP(G1126,WholesaleExtract!B:O,14,FALSE),"")</f>
        <v/>
      </c>
      <c r="K1126" s="26" t="str">
        <f>IFERROR(VLOOKUP(G1126,WholesaleExtract!B:K,10,FALSE),"")</f>
        <v/>
      </c>
      <c r="L1126" s="47" t="str">
        <f>IFERROR(VLOOKUP(G1126,WholesaleExtract!B:L,11,FALSE),"")</f>
        <v/>
      </c>
      <c r="M1126" s="47" t="str">
        <f>IFERROR(VLOOKUP(G1126,WholesaleExtract!B:M,12,FALSE),"")</f>
        <v/>
      </c>
      <c r="N1126" s="27"/>
      <c r="O1126" s="19"/>
      <c r="P1126" s="19"/>
      <c r="Q1126" s="47"/>
      <c r="R1126" s="19"/>
      <c r="S1126" s="19"/>
    </row>
    <row r="1127" spans="1:19" x14ac:dyDescent="0.35">
      <c r="A1127" s="26" t="s">
        <v>543</v>
      </c>
      <c r="B1127" s="26" t="s">
        <v>543</v>
      </c>
      <c r="C1127" s="26"/>
      <c r="D1127" s="26" t="s">
        <v>543</v>
      </c>
      <c r="E1127" s="26" t="str">
        <f>IFERROR(VLOOKUP(G1127,WholesaleExtract!B:J,9,FALSE),"")</f>
        <v/>
      </c>
      <c r="F1127" s="26" t="str">
        <f>IFERROR(VLOOKUP(G1127,WholesaleExtract!B:J,6,FALSE),"")</f>
        <v/>
      </c>
      <c r="G1127" s="46"/>
      <c r="H1127" s="47" t="str">
        <f>IFERROR(VLOOKUP(G1127,WholesaleExtract!B:L,11,FALSE),"")</f>
        <v/>
      </c>
      <c r="I1127" s="26" t="str">
        <f>IFERROR(VLOOKUP(G1127,WholesaleExtract!B:O,8,FALSE),"")</f>
        <v/>
      </c>
      <c r="J1127" s="26" t="str">
        <f>IFERROR(VLOOKUP(G1127,WholesaleExtract!B:O,14,FALSE),"")</f>
        <v/>
      </c>
      <c r="K1127" s="26" t="str">
        <f>IFERROR(VLOOKUP(G1127,WholesaleExtract!B:K,10,FALSE),"")</f>
        <v/>
      </c>
      <c r="L1127" s="47" t="str">
        <f>IFERROR(VLOOKUP(G1127,WholesaleExtract!B:L,11,FALSE),"")</f>
        <v/>
      </c>
      <c r="M1127" s="47" t="str">
        <f>IFERROR(VLOOKUP(G1127,WholesaleExtract!B:M,12,FALSE),"")</f>
        <v/>
      </c>
      <c r="N1127" s="27"/>
      <c r="O1127" s="19"/>
      <c r="P1127" s="19"/>
      <c r="Q1127" s="47"/>
      <c r="R1127" s="19"/>
      <c r="S1127" s="19"/>
    </row>
    <row r="1128" spans="1:19" x14ac:dyDescent="0.35">
      <c r="A1128" s="26" t="s">
        <v>543</v>
      </c>
      <c r="B1128" s="26" t="s">
        <v>543</v>
      </c>
      <c r="C1128" s="26"/>
      <c r="D1128" s="26" t="s">
        <v>543</v>
      </c>
      <c r="E1128" s="26" t="str">
        <f>IFERROR(VLOOKUP(G1128,WholesaleExtract!B:J,9,FALSE),"")</f>
        <v/>
      </c>
      <c r="F1128" s="26" t="str">
        <f>IFERROR(VLOOKUP(G1128,WholesaleExtract!B:J,6,FALSE),"")</f>
        <v/>
      </c>
      <c r="G1128" s="46"/>
      <c r="H1128" s="47" t="str">
        <f>IFERROR(VLOOKUP(G1128,WholesaleExtract!B:L,11,FALSE),"")</f>
        <v/>
      </c>
      <c r="I1128" s="26" t="str">
        <f>IFERROR(VLOOKUP(G1128,WholesaleExtract!B:O,8,FALSE),"")</f>
        <v/>
      </c>
      <c r="J1128" s="26" t="str">
        <f>IFERROR(VLOOKUP(G1128,WholesaleExtract!B:O,14,FALSE),"")</f>
        <v/>
      </c>
      <c r="K1128" s="26" t="str">
        <f>IFERROR(VLOOKUP(G1128,WholesaleExtract!B:K,10,FALSE),"")</f>
        <v/>
      </c>
      <c r="L1128" s="47" t="str">
        <f>IFERROR(VLOOKUP(G1128,WholesaleExtract!B:L,11,FALSE),"")</f>
        <v/>
      </c>
      <c r="M1128" s="47" t="str">
        <f>IFERROR(VLOOKUP(G1128,WholesaleExtract!B:M,12,FALSE),"")</f>
        <v/>
      </c>
      <c r="N1128" s="27"/>
      <c r="O1128" s="19"/>
      <c r="P1128" s="19"/>
      <c r="Q1128" s="47"/>
      <c r="R1128" s="19"/>
      <c r="S1128" s="19"/>
    </row>
    <row r="1129" spans="1:19" x14ac:dyDescent="0.35">
      <c r="A1129" s="26" t="s">
        <v>543</v>
      </c>
      <c r="B1129" s="26" t="s">
        <v>543</v>
      </c>
      <c r="C1129" s="26"/>
      <c r="D1129" s="26" t="s">
        <v>543</v>
      </c>
      <c r="E1129" s="26" t="str">
        <f>IFERROR(VLOOKUP(G1129,WholesaleExtract!B:J,9,FALSE),"")</f>
        <v/>
      </c>
      <c r="F1129" s="26" t="str">
        <f>IFERROR(VLOOKUP(G1129,WholesaleExtract!B:J,6,FALSE),"")</f>
        <v/>
      </c>
      <c r="G1129" s="46"/>
      <c r="H1129" s="47" t="str">
        <f>IFERROR(VLOOKUP(G1129,WholesaleExtract!B:L,11,FALSE),"")</f>
        <v/>
      </c>
      <c r="I1129" s="26" t="str">
        <f>IFERROR(VLOOKUP(G1129,WholesaleExtract!B:O,8,FALSE),"")</f>
        <v/>
      </c>
      <c r="J1129" s="26" t="str">
        <f>IFERROR(VLOOKUP(G1129,WholesaleExtract!B:O,14,FALSE),"")</f>
        <v/>
      </c>
      <c r="K1129" s="26" t="str">
        <f>IFERROR(VLOOKUP(G1129,WholesaleExtract!B:K,10,FALSE),"")</f>
        <v/>
      </c>
      <c r="L1129" s="47" t="str">
        <f>IFERROR(VLOOKUP(G1129,WholesaleExtract!B:L,11,FALSE),"")</f>
        <v/>
      </c>
      <c r="M1129" s="47" t="str">
        <f>IFERROR(VLOOKUP(G1129,WholesaleExtract!B:M,12,FALSE),"")</f>
        <v/>
      </c>
      <c r="N1129" s="27"/>
      <c r="O1129" s="19"/>
      <c r="P1129" s="19"/>
      <c r="Q1129" s="47"/>
      <c r="R1129" s="19"/>
      <c r="S1129" s="19"/>
    </row>
    <row r="1130" spans="1:19" x14ac:dyDescent="0.35">
      <c r="A1130" s="26" t="s">
        <v>543</v>
      </c>
      <c r="B1130" s="26" t="s">
        <v>543</v>
      </c>
      <c r="C1130" s="26"/>
      <c r="D1130" s="26" t="s">
        <v>543</v>
      </c>
      <c r="E1130" s="26" t="str">
        <f>IFERROR(VLOOKUP(G1130,WholesaleExtract!B:J,9,FALSE),"")</f>
        <v/>
      </c>
      <c r="F1130" s="26" t="str">
        <f>IFERROR(VLOOKUP(G1130,WholesaleExtract!B:J,6,FALSE),"")</f>
        <v/>
      </c>
      <c r="G1130" s="46"/>
      <c r="H1130" s="47" t="str">
        <f>IFERROR(VLOOKUP(G1130,WholesaleExtract!B:L,11,FALSE),"")</f>
        <v/>
      </c>
      <c r="I1130" s="26" t="str">
        <f>IFERROR(VLOOKUP(G1130,WholesaleExtract!B:O,8,FALSE),"")</f>
        <v/>
      </c>
      <c r="J1130" s="26" t="str">
        <f>IFERROR(VLOOKUP(G1130,WholesaleExtract!B:O,14,FALSE),"")</f>
        <v/>
      </c>
      <c r="K1130" s="26" t="str">
        <f>IFERROR(VLOOKUP(G1130,WholesaleExtract!B:K,10,FALSE),"")</f>
        <v/>
      </c>
      <c r="L1130" s="47" t="str">
        <f>IFERROR(VLOOKUP(G1130,WholesaleExtract!B:L,11,FALSE),"")</f>
        <v/>
      </c>
      <c r="M1130" s="47" t="str">
        <f>IFERROR(VLOOKUP(G1130,WholesaleExtract!B:M,12,FALSE),"")</f>
        <v/>
      </c>
      <c r="N1130" s="27"/>
      <c r="O1130" s="19"/>
      <c r="P1130" s="19"/>
      <c r="Q1130" s="47"/>
      <c r="R1130" s="19"/>
      <c r="S1130" s="19"/>
    </row>
    <row r="1131" spans="1:19" x14ac:dyDescent="0.35">
      <c r="A1131" s="26" t="s">
        <v>543</v>
      </c>
      <c r="B1131" s="26" t="s">
        <v>543</v>
      </c>
      <c r="C1131" s="26"/>
      <c r="D1131" s="26" t="s">
        <v>543</v>
      </c>
      <c r="E1131" s="26" t="str">
        <f>IFERROR(VLOOKUP(G1131,WholesaleExtract!B:J,9,FALSE),"")</f>
        <v/>
      </c>
      <c r="F1131" s="26" t="str">
        <f>IFERROR(VLOOKUP(G1131,WholesaleExtract!B:J,6,FALSE),"")</f>
        <v/>
      </c>
      <c r="G1131" s="46"/>
      <c r="H1131" s="47" t="str">
        <f>IFERROR(VLOOKUP(G1131,WholesaleExtract!B:L,11,FALSE),"")</f>
        <v/>
      </c>
      <c r="I1131" s="26" t="str">
        <f>IFERROR(VLOOKUP(G1131,WholesaleExtract!B:O,8,FALSE),"")</f>
        <v/>
      </c>
      <c r="J1131" s="26" t="str">
        <f>IFERROR(VLOOKUP(G1131,WholesaleExtract!B:O,14,FALSE),"")</f>
        <v/>
      </c>
      <c r="K1131" s="26" t="str">
        <f>IFERROR(VLOOKUP(G1131,WholesaleExtract!B:K,10,FALSE),"")</f>
        <v/>
      </c>
      <c r="L1131" s="47" t="str">
        <f>IFERROR(VLOOKUP(G1131,WholesaleExtract!B:L,11,FALSE),"")</f>
        <v/>
      </c>
      <c r="M1131" s="47" t="str">
        <f>IFERROR(VLOOKUP(G1131,WholesaleExtract!B:M,12,FALSE),"")</f>
        <v/>
      </c>
      <c r="N1131" s="27"/>
      <c r="O1131" s="19"/>
      <c r="P1131" s="19"/>
      <c r="Q1131" s="47"/>
      <c r="R1131" s="19"/>
      <c r="S1131" s="19"/>
    </row>
    <row r="1132" spans="1:19" x14ac:dyDescent="0.35">
      <c r="A1132" s="26" t="s">
        <v>543</v>
      </c>
      <c r="B1132" s="26" t="s">
        <v>543</v>
      </c>
      <c r="C1132" s="26"/>
      <c r="D1132" s="26" t="s">
        <v>543</v>
      </c>
      <c r="E1132" s="26" t="str">
        <f>IFERROR(VLOOKUP(G1132,WholesaleExtract!B:J,9,FALSE),"")</f>
        <v/>
      </c>
      <c r="F1132" s="26" t="str">
        <f>IFERROR(VLOOKUP(G1132,WholesaleExtract!B:J,6,FALSE),"")</f>
        <v/>
      </c>
      <c r="G1132" s="46"/>
      <c r="H1132" s="47" t="str">
        <f>IFERROR(VLOOKUP(G1132,WholesaleExtract!B:L,11,FALSE),"")</f>
        <v/>
      </c>
      <c r="I1132" s="26" t="str">
        <f>IFERROR(VLOOKUP(G1132,WholesaleExtract!B:O,8,FALSE),"")</f>
        <v/>
      </c>
      <c r="J1132" s="26" t="str">
        <f>IFERROR(VLOOKUP(G1132,WholesaleExtract!B:O,14,FALSE),"")</f>
        <v/>
      </c>
      <c r="K1132" s="26" t="str">
        <f>IFERROR(VLOOKUP(G1132,WholesaleExtract!B:K,10,FALSE),"")</f>
        <v/>
      </c>
      <c r="L1132" s="47" t="str">
        <f>IFERROR(VLOOKUP(G1132,WholesaleExtract!B:L,11,FALSE),"")</f>
        <v/>
      </c>
      <c r="M1132" s="47" t="str">
        <f>IFERROR(VLOOKUP(G1132,WholesaleExtract!B:M,12,FALSE),"")</f>
        <v/>
      </c>
      <c r="N1132" s="27"/>
      <c r="O1132" s="19"/>
      <c r="P1132" s="19"/>
      <c r="Q1132" s="47"/>
      <c r="R1132" s="19"/>
      <c r="S1132" s="19"/>
    </row>
    <row r="1133" spans="1:19" x14ac:dyDescent="0.35">
      <c r="A1133" s="26" t="s">
        <v>543</v>
      </c>
      <c r="B1133" s="26" t="s">
        <v>543</v>
      </c>
      <c r="C1133" s="26"/>
      <c r="D1133" s="26" t="s">
        <v>543</v>
      </c>
      <c r="E1133" s="26" t="str">
        <f>IFERROR(VLOOKUP(G1133,WholesaleExtract!B:J,9,FALSE),"")</f>
        <v/>
      </c>
      <c r="F1133" s="26" t="str">
        <f>IFERROR(VLOOKUP(G1133,WholesaleExtract!B:J,6,FALSE),"")</f>
        <v/>
      </c>
      <c r="G1133" s="46"/>
      <c r="H1133" s="47" t="str">
        <f>IFERROR(VLOOKUP(G1133,WholesaleExtract!B:L,11,FALSE),"")</f>
        <v/>
      </c>
      <c r="I1133" s="26" t="str">
        <f>IFERROR(VLOOKUP(G1133,WholesaleExtract!B:O,8,FALSE),"")</f>
        <v/>
      </c>
      <c r="J1133" s="26" t="str">
        <f>IFERROR(VLOOKUP(G1133,WholesaleExtract!B:O,14,FALSE),"")</f>
        <v/>
      </c>
      <c r="K1133" s="26" t="str">
        <f>IFERROR(VLOOKUP(G1133,WholesaleExtract!B:K,10,FALSE),"")</f>
        <v/>
      </c>
      <c r="L1133" s="47" t="str">
        <f>IFERROR(VLOOKUP(G1133,WholesaleExtract!B:L,11,FALSE),"")</f>
        <v/>
      </c>
      <c r="M1133" s="47" t="str">
        <f>IFERROR(VLOOKUP(G1133,WholesaleExtract!B:M,12,FALSE),"")</f>
        <v/>
      </c>
      <c r="N1133" s="27"/>
      <c r="O1133" s="19"/>
      <c r="P1133" s="19"/>
      <c r="Q1133" s="47"/>
      <c r="R1133" s="19"/>
      <c r="S1133" s="19"/>
    </row>
    <row r="1134" spans="1:19" x14ac:dyDescent="0.35">
      <c r="A1134" s="26" t="s">
        <v>543</v>
      </c>
      <c r="B1134" s="26" t="s">
        <v>543</v>
      </c>
      <c r="C1134" s="26"/>
      <c r="D1134" s="26" t="s">
        <v>543</v>
      </c>
      <c r="E1134" s="26" t="str">
        <f>IFERROR(VLOOKUP(G1134,WholesaleExtract!B:J,9,FALSE),"")</f>
        <v/>
      </c>
      <c r="F1134" s="26" t="str">
        <f>IFERROR(VLOOKUP(G1134,WholesaleExtract!B:J,6,FALSE),"")</f>
        <v/>
      </c>
      <c r="G1134" s="46"/>
      <c r="H1134" s="47" t="str">
        <f>IFERROR(VLOOKUP(G1134,WholesaleExtract!B:L,11,FALSE),"")</f>
        <v/>
      </c>
      <c r="I1134" s="26" t="str">
        <f>IFERROR(VLOOKUP(G1134,WholesaleExtract!B:O,8,FALSE),"")</f>
        <v/>
      </c>
      <c r="J1134" s="26" t="str">
        <f>IFERROR(VLOOKUP(G1134,WholesaleExtract!B:O,14,FALSE),"")</f>
        <v/>
      </c>
      <c r="K1134" s="26" t="str">
        <f>IFERROR(VLOOKUP(G1134,WholesaleExtract!B:K,10,FALSE),"")</f>
        <v/>
      </c>
      <c r="L1134" s="47" t="str">
        <f>IFERROR(VLOOKUP(G1134,WholesaleExtract!B:L,11,FALSE),"")</f>
        <v/>
      </c>
      <c r="M1134" s="47" t="str">
        <f>IFERROR(VLOOKUP(G1134,WholesaleExtract!B:M,12,FALSE),"")</f>
        <v/>
      </c>
      <c r="N1134" s="27"/>
      <c r="O1134" s="19"/>
      <c r="P1134" s="19"/>
      <c r="Q1134" s="47"/>
      <c r="R1134" s="19"/>
      <c r="S1134" s="19"/>
    </row>
    <row r="1135" spans="1:19" x14ac:dyDescent="0.35">
      <c r="A1135" s="26" t="s">
        <v>543</v>
      </c>
      <c r="B1135" s="26" t="s">
        <v>543</v>
      </c>
      <c r="C1135" s="26"/>
      <c r="D1135" s="26" t="s">
        <v>543</v>
      </c>
      <c r="E1135" s="26" t="str">
        <f>IFERROR(VLOOKUP(G1135,WholesaleExtract!B:J,9,FALSE),"")</f>
        <v/>
      </c>
      <c r="F1135" s="26" t="str">
        <f>IFERROR(VLOOKUP(G1135,WholesaleExtract!B:J,6,FALSE),"")</f>
        <v/>
      </c>
      <c r="G1135" s="46"/>
      <c r="H1135" s="47" t="str">
        <f>IFERROR(VLOOKUP(G1135,WholesaleExtract!B:L,11,FALSE),"")</f>
        <v/>
      </c>
      <c r="I1135" s="26" t="str">
        <f>IFERROR(VLOOKUP(G1135,WholesaleExtract!B:O,8,FALSE),"")</f>
        <v/>
      </c>
      <c r="J1135" s="26" t="str">
        <f>IFERROR(VLOOKUP(G1135,WholesaleExtract!B:O,14,FALSE),"")</f>
        <v/>
      </c>
      <c r="K1135" s="26" t="str">
        <f>IFERROR(VLOOKUP(G1135,WholesaleExtract!B:K,10,FALSE),"")</f>
        <v/>
      </c>
      <c r="L1135" s="47" t="str">
        <f>IFERROR(VLOOKUP(G1135,WholesaleExtract!B:L,11,FALSE),"")</f>
        <v/>
      </c>
      <c r="M1135" s="47" t="str">
        <f>IFERROR(VLOOKUP(G1135,WholesaleExtract!B:M,12,FALSE),"")</f>
        <v/>
      </c>
      <c r="N1135" s="27"/>
      <c r="O1135" s="19"/>
      <c r="P1135" s="19"/>
      <c r="Q1135" s="47"/>
      <c r="R1135" s="19"/>
      <c r="S1135" s="19"/>
    </row>
    <row r="1136" spans="1:19" x14ac:dyDescent="0.35">
      <c r="A1136" s="26" t="s">
        <v>543</v>
      </c>
      <c r="B1136" s="26" t="s">
        <v>543</v>
      </c>
      <c r="C1136" s="26"/>
      <c r="D1136" s="26" t="s">
        <v>543</v>
      </c>
      <c r="E1136" s="26" t="str">
        <f>IFERROR(VLOOKUP(G1136,WholesaleExtract!B:J,9,FALSE),"")</f>
        <v/>
      </c>
      <c r="F1136" s="26" t="str">
        <f>IFERROR(VLOOKUP(G1136,WholesaleExtract!B:J,6,FALSE),"")</f>
        <v/>
      </c>
      <c r="G1136" s="46"/>
      <c r="H1136" s="47" t="str">
        <f>IFERROR(VLOOKUP(G1136,WholesaleExtract!B:L,11,FALSE),"")</f>
        <v/>
      </c>
      <c r="I1136" s="26" t="str">
        <f>IFERROR(VLOOKUP(G1136,WholesaleExtract!B:O,8,FALSE),"")</f>
        <v/>
      </c>
      <c r="J1136" s="26" t="str">
        <f>IFERROR(VLOOKUP(G1136,WholesaleExtract!B:O,14,FALSE),"")</f>
        <v/>
      </c>
      <c r="K1136" s="26" t="str">
        <f>IFERROR(VLOOKUP(G1136,WholesaleExtract!B:K,10,FALSE),"")</f>
        <v/>
      </c>
      <c r="L1136" s="47" t="str">
        <f>IFERROR(VLOOKUP(G1136,WholesaleExtract!B:L,11,FALSE),"")</f>
        <v/>
      </c>
      <c r="M1136" s="47" t="str">
        <f>IFERROR(VLOOKUP(G1136,WholesaleExtract!B:M,12,FALSE),"")</f>
        <v/>
      </c>
      <c r="N1136" s="27"/>
      <c r="O1136" s="19"/>
      <c r="P1136" s="19"/>
      <c r="Q1136" s="47"/>
      <c r="R1136" s="19"/>
      <c r="S1136" s="19"/>
    </row>
    <row r="1137" spans="1:19" x14ac:dyDescent="0.35">
      <c r="A1137" s="26" t="s">
        <v>543</v>
      </c>
      <c r="B1137" s="26" t="s">
        <v>543</v>
      </c>
      <c r="C1137" s="26"/>
      <c r="D1137" s="26" t="s">
        <v>543</v>
      </c>
      <c r="E1137" s="26" t="str">
        <f>IFERROR(VLOOKUP(G1137,WholesaleExtract!B:J,9,FALSE),"")</f>
        <v/>
      </c>
      <c r="F1137" s="26" t="str">
        <f>IFERROR(VLOOKUP(G1137,WholesaleExtract!B:J,6,FALSE),"")</f>
        <v/>
      </c>
      <c r="G1137" s="46"/>
      <c r="H1137" s="47" t="str">
        <f>IFERROR(VLOOKUP(G1137,WholesaleExtract!B:L,11,FALSE),"")</f>
        <v/>
      </c>
      <c r="I1137" s="26" t="str">
        <f>IFERROR(VLOOKUP(G1137,WholesaleExtract!B:O,8,FALSE),"")</f>
        <v/>
      </c>
      <c r="J1137" s="26" t="str">
        <f>IFERROR(VLOOKUP(G1137,WholesaleExtract!B:O,14,FALSE),"")</f>
        <v/>
      </c>
      <c r="K1137" s="26" t="str">
        <f>IFERROR(VLOOKUP(G1137,WholesaleExtract!B:K,10,FALSE),"")</f>
        <v/>
      </c>
      <c r="L1137" s="47" t="str">
        <f>IFERROR(VLOOKUP(G1137,WholesaleExtract!B:L,11,FALSE),"")</f>
        <v/>
      </c>
      <c r="M1137" s="47" t="str">
        <f>IFERROR(VLOOKUP(G1137,WholesaleExtract!B:M,12,FALSE),"")</f>
        <v/>
      </c>
      <c r="N1137" s="27"/>
      <c r="O1137" s="19"/>
      <c r="P1137" s="19"/>
      <c r="Q1137" s="47"/>
      <c r="R1137" s="19"/>
      <c r="S1137" s="19"/>
    </row>
    <row r="1138" spans="1:19" x14ac:dyDescent="0.35">
      <c r="A1138" s="26" t="s">
        <v>543</v>
      </c>
      <c r="B1138" s="26" t="s">
        <v>543</v>
      </c>
      <c r="C1138" s="26"/>
      <c r="D1138" s="26" t="s">
        <v>543</v>
      </c>
      <c r="E1138" s="26" t="str">
        <f>IFERROR(VLOOKUP(G1138,WholesaleExtract!B:J,9,FALSE),"")</f>
        <v/>
      </c>
      <c r="F1138" s="26" t="str">
        <f>IFERROR(VLOOKUP(G1138,WholesaleExtract!B:J,6,FALSE),"")</f>
        <v/>
      </c>
      <c r="G1138" s="46"/>
      <c r="H1138" s="47" t="str">
        <f>IFERROR(VLOOKUP(G1138,WholesaleExtract!B:L,11,FALSE),"")</f>
        <v/>
      </c>
      <c r="I1138" s="26" t="str">
        <f>IFERROR(VLOOKUP(G1138,WholesaleExtract!B:O,8,FALSE),"")</f>
        <v/>
      </c>
      <c r="J1138" s="26" t="str">
        <f>IFERROR(VLOOKUP(G1138,WholesaleExtract!B:O,14,FALSE),"")</f>
        <v/>
      </c>
      <c r="K1138" s="26" t="str">
        <f>IFERROR(VLOOKUP(G1138,WholesaleExtract!B:K,10,FALSE),"")</f>
        <v/>
      </c>
      <c r="L1138" s="47" t="str">
        <f>IFERROR(VLOOKUP(G1138,WholesaleExtract!B:L,11,FALSE),"")</f>
        <v/>
      </c>
      <c r="M1138" s="47" t="str">
        <f>IFERROR(VLOOKUP(G1138,WholesaleExtract!B:M,12,FALSE),"")</f>
        <v/>
      </c>
      <c r="N1138" s="27"/>
      <c r="O1138" s="19"/>
      <c r="P1138" s="19"/>
      <c r="Q1138" s="47"/>
      <c r="R1138" s="19"/>
      <c r="S1138" s="19"/>
    </row>
    <row r="1139" spans="1:19" x14ac:dyDescent="0.35">
      <c r="A1139" s="26" t="s">
        <v>543</v>
      </c>
      <c r="B1139" s="26" t="s">
        <v>543</v>
      </c>
      <c r="C1139" s="26"/>
      <c r="D1139" s="26" t="s">
        <v>543</v>
      </c>
      <c r="E1139" s="26" t="str">
        <f>IFERROR(VLOOKUP(G1139,WholesaleExtract!B:J,9,FALSE),"")</f>
        <v/>
      </c>
      <c r="F1139" s="26" t="str">
        <f>IFERROR(VLOOKUP(G1139,WholesaleExtract!B:J,6,FALSE),"")</f>
        <v/>
      </c>
      <c r="G1139" s="46"/>
      <c r="H1139" s="47" t="str">
        <f>IFERROR(VLOOKUP(G1139,WholesaleExtract!B:L,11,FALSE),"")</f>
        <v/>
      </c>
      <c r="I1139" s="26" t="str">
        <f>IFERROR(VLOOKUP(G1139,WholesaleExtract!B:O,8,FALSE),"")</f>
        <v/>
      </c>
      <c r="J1139" s="26" t="str">
        <f>IFERROR(VLOOKUP(G1139,WholesaleExtract!B:O,14,FALSE),"")</f>
        <v/>
      </c>
      <c r="K1139" s="26" t="str">
        <f>IFERROR(VLOOKUP(G1139,WholesaleExtract!B:K,10,FALSE),"")</f>
        <v/>
      </c>
      <c r="L1139" s="47" t="str">
        <f>IFERROR(VLOOKUP(G1139,WholesaleExtract!B:L,11,FALSE),"")</f>
        <v/>
      </c>
      <c r="M1139" s="47" t="str">
        <f>IFERROR(VLOOKUP(G1139,WholesaleExtract!B:M,12,FALSE),"")</f>
        <v/>
      </c>
      <c r="N1139" s="27"/>
      <c r="O1139" s="19"/>
      <c r="P1139" s="19"/>
      <c r="Q1139" s="47"/>
      <c r="R1139" s="19"/>
      <c r="S1139" s="19"/>
    </row>
    <row r="1140" spans="1:19" x14ac:dyDescent="0.35">
      <c r="A1140" s="26" t="s">
        <v>543</v>
      </c>
      <c r="B1140" s="26" t="s">
        <v>543</v>
      </c>
      <c r="C1140" s="26"/>
      <c r="D1140" s="26" t="s">
        <v>543</v>
      </c>
      <c r="E1140" s="26" t="str">
        <f>IFERROR(VLOOKUP(G1140,WholesaleExtract!B:J,9,FALSE),"")</f>
        <v/>
      </c>
      <c r="F1140" s="26" t="str">
        <f>IFERROR(VLOOKUP(G1140,WholesaleExtract!B:J,6,FALSE),"")</f>
        <v/>
      </c>
      <c r="G1140" s="46"/>
      <c r="H1140" s="47" t="str">
        <f>IFERROR(VLOOKUP(G1140,WholesaleExtract!B:L,11,FALSE),"")</f>
        <v/>
      </c>
      <c r="I1140" s="26" t="str">
        <f>IFERROR(VLOOKUP(G1140,WholesaleExtract!B:O,8,FALSE),"")</f>
        <v/>
      </c>
      <c r="J1140" s="26" t="str">
        <f>IFERROR(VLOOKUP(G1140,WholesaleExtract!B:O,14,FALSE),"")</f>
        <v/>
      </c>
      <c r="K1140" s="26" t="str">
        <f>IFERROR(VLOOKUP(G1140,WholesaleExtract!B:K,10,FALSE),"")</f>
        <v/>
      </c>
      <c r="L1140" s="47" t="str">
        <f>IFERROR(VLOOKUP(G1140,WholesaleExtract!B:L,11,FALSE),"")</f>
        <v/>
      </c>
      <c r="M1140" s="47" t="str">
        <f>IFERROR(VLOOKUP(G1140,WholesaleExtract!B:M,12,FALSE),"")</f>
        <v/>
      </c>
      <c r="N1140" s="27"/>
      <c r="O1140" s="19"/>
      <c r="P1140" s="19"/>
      <c r="Q1140" s="47"/>
      <c r="R1140" s="19"/>
      <c r="S1140" s="19"/>
    </row>
    <row r="1141" spans="1:19" x14ac:dyDescent="0.35">
      <c r="A1141" s="26" t="s">
        <v>543</v>
      </c>
      <c r="B1141" s="26" t="s">
        <v>543</v>
      </c>
      <c r="C1141" s="26"/>
      <c r="D1141" s="26" t="s">
        <v>543</v>
      </c>
      <c r="E1141" s="26" t="str">
        <f>IFERROR(VLOOKUP(G1141,WholesaleExtract!B:J,9,FALSE),"")</f>
        <v/>
      </c>
      <c r="F1141" s="26" t="str">
        <f>IFERROR(VLOOKUP(G1141,WholesaleExtract!B:J,6,FALSE),"")</f>
        <v/>
      </c>
      <c r="G1141" s="46"/>
      <c r="H1141" s="47" t="str">
        <f>IFERROR(VLOOKUP(G1141,WholesaleExtract!B:L,11,FALSE),"")</f>
        <v/>
      </c>
      <c r="I1141" s="26" t="str">
        <f>IFERROR(VLOOKUP(G1141,WholesaleExtract!B:O,8,FALSE),"")</f>
        <v/>
      </c>
      <c r="J1141" s="26" t="str">
        <f>IFERROR(VLOOKUP(G1141,WholesaleExtract!B:O,14,FALSE),"")</f>
        <v/>
      </c>
      <c r="K1141" s="26" t="str">
        <f>IFERROR(VLOOKUP(G1141,WholesaleExtract!B:K,10,FALSE),"")</f>
        <v/>
      </c>
      <c r="L1141" s="47" t="str">
        <f>IFERROR(VLOOKUP(G1141,WholesaleExtract!B:L,11,FALSE),"")</f>
        <v/>
      </c>
      <c r="M1141" s="47" t="str">
        <f>IFERROR(VLOOKUP(G1141,WholesaleExtract!B:M,12,FALSE),"")</f>
        <v/>
      </c>
      <c r="N1141" s="27"/>
      <c r="O1141" s="19"/>
      <c r="P1141" s="19"/>
      <c r="Q1141" s="47"/>
      <c r="R1141" s="19"/>
      <c r="S1141" s="19"/>
    </row>
    <row r="1142" spans="1:19" x14ac:dyDescent="0.35">
      <c r="A1142" s="26" t="s">
        <v>543</v>
      </c>
      <c r="B1142" s="26" t="s">
        <v>543</v>
      </c>
      <c r="C1142" s="26"/>
      <c r="D1142" s="26" t="s">
        <v>543</v>
      </c>
      <c r="E1142" s="26" t="str">
        <f>IFERROR(VLOOKUP(G1142,WholesaleExtract!B:J,9,FALSE),"")</f>
        <v/>
      </c>
      <c r="F1142" s="26" t="str">
        <f>IFERROR(VLOOKUP(G1142,WholesaleExtract!B:J,6,FALSE),"")</f>
        <v/>
      </c>
      <c r="G1142" s="46"/>
      <c r="H1142" s="47" t="str">
        <f>IFERROR(VLOOKUP(G1142,WholesaleExtract!B:L,11,FALSE),"")</f>
        <v/>
      </c>
      <c r="I1142" s="26" t="str">
        <f>IFERROR(VLOOKUP(G1142,WholesaleExtract!B:O,8,FALSE),"")</f>
        <v/>
      </c>
      <c r="J1142" s="26" t="str">
        <f>IFERROR(VLOOKUP(G1142,WholesaleExtract!B:O,14,FALSE),"")</f>
        <v/>
      </c>
      <c r="K1142" s="26" t="str">
        <f>IFERROR(VLOOKUP(G1142,WholesaleExtract!B:K,10,FALSE),"")</f>
        <v/>
      </c>
      <c r="L1142" s="47" t="str">
        <f>IFERROR(VLOOKUP(G1142,WholesaleExtract!B:L,11,FALSE),"")</f>
        <v/>
      </c>
      <c r="M1142" s="47" t="str">
        <f>IFERROR(VLOOKUP(G1142,WholesaleExtract!B:M,12,FALSE),"")</f>
        <v/>
      </c>
      <c r="N1142" s="27"/>
      <c r="O1142" s="19"/>
      <c r="P1142" s="19"/>
      <c r="Q1142" s="47"/>
      <c r="R1142" s="19"/>
      <c r="S1142" s="19"/>
    </row>
    <row r="1143" spans="1:19" x14ac:dyDescent="0.35">
      <c r="A1143" s="26" t="s">
        <v>543</v>
      </c>
      <c r="B1143" s="26" t="s">
        <v>543</v>
      </c>
      <c r="C1143" s="26"/>
      <c r="D1143" s="26" t="s">
        <v>543</v>
      </c>
      <c r="E1143" s="26" t="str">
        <f>IFERROR(VLOOKUP(G1143,WholesaleExtract!B:J,9,FALSE),"")</f>
        <v/>
      </c>
      <c r="F1143" s="26" t="str">
        <f>IFERROR(VLOOKUP(G1143,WholesaleExtract!B:J,6,FALSE),"")</f>
        <v/>
      </c>
      <c r="G1143" s="46"/>
      <c r="H1143" s="47" t="str">
        <f>IFERROR(VLOOKUP(G1143,WholesaleExtract!B:L,11,FALSE),"")</f>
        <v/>
      </c>
      <c r="I1143" s="26" t="str">
        <f>IFERROR(VLOOKUP(G1143,WholesaleExtract!B:O,8,FALSE),"")</f>
        <v/>
      </c>
      <c r="J1143" s="26" t="str">
        <f>IFERROR(VLOOKUP(G1143,WholesaleExtract!B:O,14,FALSE),"")</f>
        <v/>
      </c>
      <c r="K1143" s="26" t="str">
        <f>IFERROR(VLOOKUP(G1143,WholesaleExtract!B:K,10,FALSE),"")</f>
        <v/>
      </c>
      <c r="L1143" s="47" t="str">
        <f>IFERROR(VLOOKUP(G1143,WholesaleExtract!B:L,11,FALSE),"")</f>
        <v/>
      </c>
      <c r="M1143" s="47" t="str">
        <f>IFERROR(VLOOKUP(G1143,WholesaleExtract!B:M,12,FALSE),"")</f>
        <v/>
      </c>
      <c r="N1143" s="27"/>
      <c r="O1143" s="19"/>
      <c r="P1143" s="19"/>
      <c r="Q1143" s="47"/>
      <c r="R1143" s="19"/>
      <c r="S1143" s="19"/>
    </row>
    <row r="1144" spans="1:19" x14ac:dyDescent="0.35">
      <c r="A1144" s="26" t="s">
        <v>543</v>
      </c>
      <c r="B1144" s="26" t="s">
        <v>543</v>
      </c>
      <c r="C1144" s="26"/>
      <c r="D1144" s="26" t="s">
        <v>543</v>
      </c>
      <c r="E1144" s="26" t="str">
        <f>IFERROR(VLOOKUP(G1144,WholesaleExtract!B:J,9,FALSE),"")</f>
        <v/>
      </c>
      <c r="F1144" s="26" t="str">
        <f>IFERROR(VLOOKUP(G1144,WholesaleExtract!B:J,6,FALSE),"")</f>
        <v/>
      </c>
      <c r="G1144" s="46"/>
      <c r="H1144" s="47" t="str">
        <f>IFERROR(VLOOKUP(G1144,WholesaleExtract!B:L,11,FALSE),"")</f>
        <v/>
      </c>
      <c r="I1144" s="26" t="str">
        <f>IFERROR(VLOOKUP(G1144,WholesaleExtract!B:O,8,FALSE),"")</f>
        <v/>
      </c>
      <c r="J1144" s="26" t="str">
        <f>IFERROR(VLOOKUP(G1144,WholesaleExtract!B:O,14,FALSE),"")</f>
        <v/>
      </c>
      <c r="K1144" s="26" t="str">
        <f>IFERROR(VLOOKUP(G1144,WholesaleExtract!B:K,10,FALSE),"")</f>
        <v/>
      </c>
      <c r="L1144" s="47" t="str">
        <f>IFERROR(VLOOKUP(G1144,WholesaleExtract!B:L,11,FALSE),"")</f>
        <v/>
      </c>
      <c r="M1144" s="47" t="str">
        <f>IFERROR(VLOOKUP(G1144,WholesaleExtract!B:M,12,FALSE),"")</f>
        <v/>
      </c>
      <c r="N1144" s="27"/>
      <c r="O1144" s="19"/>
      <c r="P1144" s="19"/>
      <c r="Q1144" s="47"/>
      <c r="R1144" s="19"/>
      <c r="S1144" s="19"/>
    </row>
    <row r="1145" spans="1:19" x14ac:dyDescent="0.35">
      <c r="A1145" s="26" t="s">
        <v>543</v>
      </c>
      <c r="B1145" s="26" t="s">
        <v>543</v>
      </c>
      <c r="C1145" s="26"/>
      <c r="D1145" s="26" t="s">
        <v>543</v>
      </c>
      <c r="E1145" s="26" t="str">
        <f>IFERROR(VLOOKUP(G1145,WholesaleExtract!B:J,9,FALSE),"")</f>
        <v/>
      </c>
      <c r="F1145" s="26" t="str">
        <f>IFERROR(VLOOKUP(G1145,WholesaleExtract!B:J,6,FALSE),"")</f>
        <v/>
      </c>
      <c r="G1145" s="46"/>
      <c r="H1145" s="47" t="str">
        <f>IFERROR(VLOOKUP(G1145,WholesaleExtract!B:L,11,FALSE),"")</f>
        <v/>
      </c>
      <c r="I1145" s="26" t="str">
        <f>IFERROR(VLOOKUP(G1145,WholesaleExtract!B:O,8,FALSE),"")</f>
        <v/>
      </c>
      <c r="J1145" s="26" t="str">
        <f>IFERROR(VLOOKUP(G1145,WholesaleExtract!B:O,14,FALSE),"")</f>
        <v/>
      </c>
      <c r="K1145" s="26" t="str">
        <f>IFERROR(VLOOKUP(G1145,WholesaleExtract!B:K,10,FALSE),"")</f>
        <v/>
      </c>
      <c r="L1145" s="47" t="str">
        <f>IFERROR(VLOOKUP(G1145,WholesaleExtract!B:L,11,FALSE),"")</f>
        <v/>
      </c>
      <c r="M1145" s="47" t="str">
        <f>IFERROR(VLOOKUP(G1145,WholesaleExtract!B:M,12,FALSE),"")</f>
        <v/>
      </c>
      <c r="N1145" s="27"/>
      <c r="O1145" s="19"/>
      <c r="P1145" s="19"/>
      <c r="Q1145" s="47"/>
      <c r="R1145" s="19"/>
      <c r="S1145" s="19"/>
    </row>
    <row r="1146" spans="1:19" x14ac:dyDescent="0.35">
      <c r="A1146" s="26" t="s">
        <v>543</v>
      </c>
      <c r="B1146" s="26" t="s">
        <v>543</v>
      </c>
      <c r="C1146" s="26"/>
      <c r="D1146" s="26" t="s">
        <v>543</v>
      </c>
      <c r="E1146" s="26" t="str">
        <f>IFERROR(VLOOKUP(G1146,WholesaleExtract!B:J,9,FALSE),"")</f>
        <v/>
      </c>
      <c r="F1146" s="26" t="str">
        <f>IFERROR(VLOOKUP(G1146,WholesaleExtract!B:J,6,FALSE),"")</f>
        <v/>
      </c>
      <c r="G1146" s="46"/>
      <c r="H1146" s="47" t="str">
        <f>IFERROR(VLOOKUP(G1146,WholesaleExtract!B:L,11,FALSE),"")</f>
        <v/>
      </c>
      <c r="I1146" s="26" t="str">
        <f>IFERROR(VLOOKUP(G1146,WholesaleExtract!B:O,8,FALSE),"")</f>
        <v/>
      </c>
      <c r="J1146" s="26" t="str">
        <f>IFERROR(VLOOKUP(G1146,WholesaleExtract!B:O,14,FALSE),"")</f>
        <v/>
      </c>
      <c r="K1146" s="26" t="str">
        <f>IFERROR(VLOOKUP(G1146,WholesaleExtract!B:K,10,FALSE),"")</f>
        <v/>
      </c>
      <c r="L1146" s="47" t="str">
        <f>IFERROR(VLOOKUP(G1146,WholesaleExtract!B:L,11,FALSE),"")</f>
        <v/>
      </c>
      <c r="M1146" s="47" t="str">
        <f>IFERROR(VLOOKUP(G1146,WholesaleExtract!B:M,12,FALSE),"")</f>
        <v/>
      </c>
      <c r="N1146" s="27"/>
      <c r="O1146" s="19"/>
      <c r="P1146" s="19"/>
      <c r="Q1146" s="47"/>
      <c r="R1146" s="19"/>
      <c r="S1146" s="19"/>
    </row>
    <row r="1147" spans="1:19" x14ac:dyDescent="0.35">
      <c r="A1147" s="26" t="s">
        <v>543</v>
      </c>
      <c r="B1147" s="26" t="s">
        <v>543</v>
      </c>
      <c r="C1147" s="26"/>
      <c r="D1147" s="26" t="s">
        <v>543</v>
      </c>
      <c r="E1147" s="26" t="str">
        <f>IFERROR(VLOOKUP(G1147,WholesaleExtract!B:J,9,FALSE),"")</f>
        <v/>
      </c>
      <c r="F1147" s="26" t="str">
        <f>IFERROR(VLOOKUP(G1147,WholesaleExtract!B:J,6,FALSE),"")</f>
        <v/>
      </c>
      <c r="G1147" s="46"/>
      <c r="H1147" s="47" t="str">
        <f>IFERROR(VLOOKUP(G1147,WholesaleExtract!B:L,11,FALSE),"")</f>
        <v/>
      </c>
      <c r="I1147" s="26" t="str">
        <f>IFERROR(VLOOKUP(G1147,WholesaleExtract!B:O,8,FALSE),"")</f>
        <v/>
      </c>
      <c r="J1147" s="26" t="str">
        <f>IFERROR(VLOOKUP(G1147,WholesaleExtract!B:O,14,FALSE),"")</f>
        <v/>
      </c>
      <c r="K1147" s="26" t="str">
        <f>IFERROR(VLOOKUP(G1147,WholesaleExtract!B:K,10,FALSE),"")</f>
        <v/>
      </c>
      <c r="L1147" s="47" t="str">
        <f>IFERROR(VLOOKUP(G1147,WholesaleExtract!B:L,11,FALSE),"")</f>
        <v/>
      </c>
      <c r="M1147" s="47" t="str">
        <f>IFERROR(VLOOKUP(G1147,WholesaleExtract!B:M,12,FALSE),"")</f>
        <v/>
      </c>
      <c r="N1147" s="27"/>
      <c r="O1147" s="19"/>
      <c r="P1147" s="19"/>
      <c r="Q1147" s="47"/>
      <c r="R1147" s="19"/>
      <c r="S1147" s="19"/>
    </row>
    <row r="1148" spans="1:19" x14ac:dyDescent="0.35">
      <c r="A1148" s="26" t="s">
        <v>543</v>
      </c>
      <c r="B1148" s="26" t="s">
        <v>543</v>
      </c>
      <c r="C1148" s="26"/>
      <c r="D1148" s="26" t="s">
        <v>543</v>
      </c>
      <c r="E1148" s="26" t="str">
        <f>IFERROR(VLOOKUP(G1148,WholesaleExtract!B:J,9,FALSE),"")</f>
        <v/>
      </c>
      <c r="F1148" s="26" t="str">
        <f>IFERROR(VLOOKUP(G1148,WholesaleExtract!B:J,6,FALSE),"")</f>
        <v/>
      </c>
      <c r="G1148" s="46"/>
      <c r="H1148" s="47" t="str">
        <f>IFERROR(VLOOKUP(G1148,WholesaleExtract!B:L,11,FALSE),"")</f>
        <v/>
      </c>
      <c r="I1148" s="26" t="str">
        <f>IFERROR(VLOOKUP(G1148,WholesaleExtract!B:O,8,FALSE),"")</f>
        <v/>
      </c>
      <c r="J1148" s="26" t="str">
        <f>IFERROR(VLOOKUP(G1148,WholesaleExtract!B:O,14,FALSE),"")</f>
        <v/>
      </c>
      <c r="K1148" s="26" t="str">
        <f>IFERROR(VLOOKUP(G1148,WholesaleExtract!B:K,10,FALSE),"")</f>
        <v/>
      </c>
      <c r="L1148" s="47" t="str">
        <f>IFERROR(VLOOKUP(G1148,WholesaleExtract!B:L,11,FALSE),"")</f>
        <v/>
      </c>
      <c r="M1148" s="47" t="str">
        <f>IFERROR(VLOOKUP(G1148,WholesaleExtract!B:M,12,FALSE),"")</f>
        <v/>
      </c>
      <c r="N1148" s="27"/>
      <c r="O1148" s="19"/>
      <c r="P1148" s="19"/>
      <c r="Q1148" s="47"/>
      <c r="R1148" s="19"/>
      <c r="S1148" s="19"/>
    </row>
    <row r="1149" spans="1:19" x14ac:dyDescent="0.35">
      <c r="A1149" s="26" t="s">
        <v>543</v>
      </c>
      <c r="B1149" s="26" t="s">
        <v>543</v>
      </c>
      <c r="C1149" s="26"/>
      <c r="D1149" s="26" t="s">
        <v>543</v>
      </c>
      <c r="E1149" s="26" t="str">
        <f>IFERROR(VLOOKUP(G1149,WholesaleExtract!B:J,9,FALSE),"")</f>
        <v/>
      </c>
      <c r="F1149" s="26" t="str">
        <f>IFERROR(VLOOKUP(G1149,WholesaleExtract!B:J,6,FALSE),"")</f>
        <v/>
      </c>
      <c r="G1149" s="46"/>
      <c r="H1149" s="47" t="str">
        <f>IFERROR(VLOOKUP(G1149,WholesaleExtract!B:L,11,FALSE),"")</f>
        <v/>
      </c>
      <c r="I1149" s="26" t="str">
        <f>IFERROR(VLOOKUP(G1149,WholesaleExtract!B:O,8,FALSE),"")</f>
        <v/>
      </c>
      <c r="J1149" s="26" t="str">
        <f>IFERROR(VLOOKUP(G1149,WholesaleExtract!B:O,14,FALSE),"")</f>
        <v/>
      </c>
      <c r="K1149" s="26" t="str">
        <f>IFERROR(VLOOKUP(G1149,WholesaleExtract!B:K,10,FALSE),"")</f>
        <v/>
      </c>
      <c r="L1149" s="47" t="str">
        <f>IFERROR(VLOOKUP(G1149,WholesaleExtract!B:L,11,FALSE),"")</f>
        <v/>
      </c>
      <c r="M1149" s="47" t="str">
        <f>IFERROR(VLOOKUP(G1149,WholesaleExtract!B:M,12,FALSE),"")</f>
        <v/>
      </c>
      <c r="N1149" s="27"/>
      <c r="O1149" s="19"/>
      <c r="P1149" s="19"/>
      <c r="Q1149" s="47"/>
      <c r="R1149" s="19"/>
      <c r="S1149" s="19"/>
    </row>
    <row r="1150" spans="1:19" x14ac:dyDescent="0.35">
      <c r="A1150" s="26" t="s">
        <v>543</v>
      </c>
      <c r="B1150" s="26" t="s">
        <v>543</v>
      </c>
      <c r="C1150" s="26"/>
      <c r="D1150" s="26" t="s">
        <v>543</v>
      </c>
      <c r="E1150" s="26" t="str">
        <f>IFERROR(VLOOKUP(G1150,WholesaleExtract!B:J,9,FALSE),"")</f>
        <v/>
      </c>
      <c r="F1150" s="26" t="str">
        <f>IFERROR(VLOOKUP(G1150,WholesaleExtract!B:J,6,FALSE),"")</f>
        <v/>
      </c>
      <c r="G1150" s="46"/>
      <c r="H1150" s="47" t="str">
        <f>IFERROR(VLOOKUP(G1150,WholesaleExtract!B:L,11,FALSE),"")</f>
        <v/>
      </c>
      <c r="I1150" s="26" t="str">
        <f>IFERROR(VLOOKUP(G1150,WholesaleExtract!B:O,8,FALSE),"")</f>
        <v/>
      </c>
      <c r="J1150" s="26" t="str">
        <f>IFERROR(VLOOKUP(G1150,WholesaleExtract!B:O,14,FALSE),"")</f>
        <v/>
      </c>
      <c r="K1150" s="26" t="str">
        <f>IFERROR(VLOOKUP(G1150,WholesaleExtract!B:K,10,FALSE),"")</f>
        <v/>
      </c>
      <c r="L1150" s="47" t="str">
        <f>IFERROR(VLOOKUP(G1150,WholesaleExtract!B:L,11,FALSE),"")</f>
        <v/>
      </c>
      <c r="M1150" s="47" t="str">
        <f>IFERROR(VLOOKUP(G1150,WholesaleExtract!B:M,12,FALSE),"")</f>
        <v/>
      </c>
      <c r="N1150" s="27"/>
      <c r="O1150" s="19"/>
      <c r="P1150" s="19"/>
      <c r="Q1150" s="47"/>
      <c r="R1150" s="19"/>
      <c r="S1150" s="19"/>
    </row>
    <row r="1151" spans="1:19" x14ac:dyDescent="0.35">
      <c r="A1151" s="26" t="s">
        <v>543</v>
      </c>
      <c r="B1151" s="26" t="s">
        <v>543</v>
      </c>
      <c r="C1151" s="26"/>
      <c r="D1151" s="26" t="s">
        <v>543</v>
      </c>
      <c r="E1151" s="26" t="str">
        <f>IFERROR(VLOOKUP(G1151,WholesaleExtract!B:J,9,FALSE),"")</f>
        <v/>
      </c>
      <c r="F1151" s="26" t="str">
        <f>IFERROR(VLOOKUP(G1151,WholesaleExtract!B:J,6,FALSE),"")</f>
        <v/>
      </c>
      <c r="G1151" s="46"/>
      <c r="H1151" s="47" t="str">
        <f>IFERROR(VLOOKUP(G1151,WholesaleExtract!B:L,11,FALSE),"")</f>
        <v/>
      </c>
      <c r="I1151" s="26" t="str">
        <f>IFERROR(VLOOKUP(G1151,WholesaleExtract!B:O,8,FALSE),"")</f>
        <v/>
      </c>
      <c r="J1151" s="26" t="str">
        <f>IFERROR(VLOOKUP(G1151,WholesaleExtract!B:O,14,FALSE),"")</f>
        <v/>
      </c>
      <c r="K1151" s="26" t="str">
        <f>IFERROR(VLOOKUP(G1151,WholesaleExtract!B:K,10,FALSE),"")</f>
        <v/>
      </c>
      <c r="L1151" s="47" t="str">
        <f>IFERROR(VLOOKUP(G1151,WholesaleExtract!B:L,11,FALSE),"")</f>
        <v/>
      </c>
      <c r="M1151" s="47" t="str">
        <f>IFERROR(VLOOKUP(G1151,WholesaleExtract!B:M,12,FALSE),"")</f>
        <v/>
      </c>
      <c r="N1151" s="27"/>
      <c r="O1151" s="19"/>
      <c r="P1151" s="19"/>
      <c r="Q1151" s="47"/>
      <c r="R1151" s="19"/>
      <c r="S1151" s="19"/>
    </row>
    <row r="1152" spans="1:19" x14ac:dyDescent="0.35">
      <c r="A1152" s="26" t="s">
        <v>543</v>
      </c>
      <c r="B1152" s="26" t="s">
        <v>543</v>
      </c>
      <c r="C1152" s="26"/>
      <c r="D1152" s="26" t="s">
        <v>543</v>
      </c>
      <c r="E1152" s="26" t="str">
        <f>IFERROR(VLOOKUP(G1152,WholesaleExtract!B:J,9,FALSE),"")</f>
        <v/>
      </c>
      <c r="F1152" s="26" t="str">
        <f>IFERROR(VLOOKUP(G1152,WholesaleExtract!B:J,6,FALSE),"")</f>
        <v/>
      </c>
      <c r="G1152" s="46"/>
      <c r="H1152" s="47" t="str">
        <f>IFERROR(VLOOKUP(G1152,WholesaleExtract!B:L,11,FALSE),"")</f>
        <v/>
      </c>
      <c r="I1152" s="26" t="str">
        <f>IFERROR(VLOOKUP(G1152,WholesaleExtract!B:O,8,FALSE),"")</f>
        <v/>
      </c>
      <c r="J1152" s="26" t="str">
        <f>IFERROR(VLOOKUP(G1152,WholesaleExtract!B:O,14,FALSE),"")</f>
        <v/>
      </c>
      <c r="K1152" s="26" t="str">
        <f>IFERROR(VLOOKUP(G1152,WholesaleExtract!B:K,10,FALSE),"")</f>
        <v/>
      </c>
      <c r="L1152" s="47" t="str">
        <f>IFERROR(VLOOKUP(G1152,WholesaleExtract!B:L,11,FALSE),"")</f>
        <v/>
      </c>
      <c r="M1152" s="47" t="str">
        <f>IFERROR(VLOOKUP(G1152,WholesaleExtract!B:M,12,FALSE),"")</f>
        <v/>
      </c>
      <c r="N1152" s="27"/>
      <c r="O1152" s="19"/>
      <c r="P1152" s="19"/>
      <c r="Q1152" s="47"/>
      <c r="R1152" s="19"/>
      <c r="S1152" s="19"/>
    </row>
    <row r="1153" spans="1:19" x14ac:dyDescent="0.35">
      <c r="A1153" s="26" t="s">
        <v>543</v>
      </c>
      <c r="B1153" s="26" t="s">
        <v>543</v>
      </c>
      <c r="C1153" s="26"/>
      <c r="D1153" s="26" t="s">
        <v>543</v>
      </c>
      <c r="E1153" s="26" t="str">
        <f>IFERROR(VLOOKUP(G1153,WholesaleExtract!B:J,9,FALSE),"")</f>
        <v/>
      </c>
      <c r="F1153" s="26" t="str">
        <f>IFERROR(VLOOKUP(G1153,WholesaleExtract!B:J,6,FALSE),"")</f>
        <v/>
      </c>
      <c r="G1153" s="46"/>
      <c r="H1153" s="47" t="str">
        <f>IFERROR(VLOOKUP(G1153,WholesaleExtract!B:L,11,FALSE),"")</f>
        <v/>
      </c>
      <c r="I1153" s="26" t="str">
        <f>IFERROR(VLOOKUP(G1153,WholesaleExtract!B:O,8,FALSE),"")</f>
        <v/>
      </c>
      <c r="J1153" s="26" t="str">
        <f>IFERROR(VLOOKUP(G1153,WholesaleExtract!B:O,14,FALSE),"")</f>
        <v/>
      </c>
      <c r="K1153" s="26" t="str">
        <f>IFERROR(VLOOKUP(G1153,WholesaleExtract!B:K,10,FALSE),"")</f>
        <v/>
      </c>
      <c r="L1153" s="47" t="str">
        <f>IFERROR(VLOOKUP(G1153,WholesaleExtract!B:L,11,FALSE),"")</f>
        <v/>
      </c>
      <c r="M1153" s="47" t="str">
        <f>IFERROR(VLOOKUP(G1153,WholesaleExtract!B:M,12,FALSE),"")</f>
        <v/>
      </c>
      <c r="N1153" s="27"/>
      <c r="O1153" s="19"/>
      <c r="P1153" s="19"/>
      <c r="Q1153" s="47"/>
      <c r="R1153" s="19"/>
      <c r="S1153" s="19"/>
    </row>
    <row r="1154" spans="1:19" x14ac:dyDescent="0.35">
      <c r="A1154" s="26" t="s">
        <v>543</v>
      </c>
      <c r="B1154" s="26" t="s">
        <v>543</v>
      </c>
      <c r="C1154" s="26"/>
      <c r="D1154" s="26" t="s">
        <v>543</v>
      </c>
      <c r="E1154" s="26" t="str">
        <f>IFERROR(VLOOKUP(G1154,WholesaleExtract!B:J,9,FALSE),"")</f>
        <v/>
      </c>
      <c r="F1154" s="26" t="str">
        <f>IFERROR(VLOOKUP(G1154,WholesaleExtract!B:J,6,FALSE),"")</f>
        <v/>
      </c>
      <c r="G1154" s="46"/>
      <c r="H1154" s="47" t="str">
        <f>IFERROR(VLOOKUP(G1154,WholesaleExtract!B:L,11,FALSE),"")</f>
        <v/>
      </c>
      <c r="I1154" s="26" t="str">
        <f>IFERROR(VLOOKUP(G1154,WholesaleExtract!B:O,8,FALSE),"")</f>
        <v/>
      </c>
      <c r="J1154" s="26" t="str">
        <f>IFERROR(VLOOKUP(G1154,WholesaleExtract!B:O,14,FALSE),"")</f>
        <v/>
      </c>
      <c r="K1154" s="26" t="str">
        <f>IFERROR(VLOOKUP(G1154,WholesaleExtract!B:K,10,FALSE),"")</f>
        <v/>
      </c>
      <c r="L1154" s="47" t="str">
        <f>IFERROR(VLOOKUP(G1154,WholesaleExtract!B:L,11,FALSE),"")</f>
        <v/>
      </c>
      <c r="M1154" s="47" t="str">
        <f>IFERROR(VLOOKUP(G1154,WholesaleExtract!B:M,12,FALSE),"")</f>
        <v/>
      </c>
      <c r="N1154" s="27"/>
      <c r="O1154" s="19"/>
      <c r="P1154" s="19"/>
      <c r="Q1154" s="47"/>
      <c r="R1154" s="19"/>
      <c r="S1154" s="19"/>
    </row>
    <row r="1155" spans="1:19" x14ac:dyDescent="0.35">
      <c r="A1155" s="26" t="s">
        <v>543</v>
      </c>
      <c r="B1155" s="26" t="s">
        <v>543</v>
      </c>
      <c r="C1155" s="26"/>
      <c r="D1155" s="26" t="s">
        <v>543</v>
      </c>
      <c r="E1155" s="26" t="str">
        <f>IFERROR(VLOOKUP(G1155,WholesaleExtract!B:J,9,FALSE),"")</f>
        <v/>
      </c>
      <c r="F1155" s="26" t="str">
        <f>IFERROR(VLOOKUP(G1155,WholesaleExtract!B:J,6,FALSE),"")</f>
        <v/>
      </c>
      <c r="G1155" s="46"/>
      <c r="H1155" s="47" t="str">
        <f>IFERROR(VLOOKUP(G1155,WholesaleExtract!B:L,11,FALSE),"")</f>
        <v/>
      </c>
      <c r="I1155" s="26" t="str">
        <f>IFERROR(VLOOKUP(G1155,WholesaleExtract!B:O,8,FALSE),"")</f>
        <v/>
      </c>
      <c r="J1155" s="26" t="str">
        <f>IFERROR(VLOOKUP(G1155,WholesaleExtract!B:O,14,FALSE),"")</f>
        <v/>
      </c>
      <c r="K1155" s="26" t="str">
        <f>IFERROR(VLOOKUP(G1155,WholesaleExtract!B:K,10,FALSE),"")</f>
        <v/>
      </c>
      <c r="L1155" s="47" t="str">
        <f>IFERROR(VLOOKUP(G1155,WholesaleExtract!B:L,11,FALSE),"")</f>
        <v/>
      </c>
      <c r="M1155" s="47" t="str">
        <f>IFERROR(VLOOKUP(G1155,WholesaleExtract!B:M,12,FALSE),"")</f>
        <v/>
      </c>
      <c r="N1155" s="27"/>
      <c r="O1155" s="19"/>
      <c r="P1155" s="19"/>
      <c r="Q1155" s="47"/>
      <c r="R1155" s="19"/>
      <c r="S1155" s="19"/>
    </row>
    <row r="1156" spans="1:19" x14ac:dyDescent="0.35">
      <c r="A1156" s="26" t="s">
        <v>543</v>
      </c>
      <c r="B1156" s="26" t="s">
        <v>543</v>
      </c>
      <c r="C1156" s="26"/>
      <c r="D1156" s="26" t="s">
        <v>543</v>
      </c>
      <c r="E1156" s="26" t="str">
        <f>IFERROR(VLOOKUP(G1156,WholesaleExtract!B:J,9,FALSE),"")</f>
        <v/>
      </c>
      <c r="F1156" s="26" t="str">
        <f>IFERROR(VLOOKUP(G1156,WholesaleExtract!B:J,6,FALSE),"")</f>
        <v/>
      </c>
      <c r="G1156" s="46"/>
      <c r="H1156" s="47" t="str">
        <f>IFERROR(VLOOKUP(G1156,WholesaleExtract!B:L,11,FALSE),"")</f>
        <v/>
      </c>
      <c r="I1156" s="26" t="str">
        <f>IFERROR(VLOOKUP(G1156,WholesaleExtract!B:O,8,FALSE),"")</f>
        <v/>
      </c>
      <c r="J1156" s="26" t="str">
        <f>IFERROR(VLOOKUP(G1156,WholesaleExtract!B:O,14,FALSE),"")</f>
        <v/>
      </c>
      <c r="K1156" s="26" t="str">
        <f>IFERROR(VLOOKUP(G1156,WholesaleExtract!B:K,10,FALSE),"")</f>
        <v/>
      </c>
      <c r="L1156" s="47" t="str">
        <f>IFERROR(VLOOKUP(G1156,WholesaleExtract!B:L,11,FALSE),"")</f>
        <v/>
      </c>
      <c r="M1156" s="47" t="str">
        <f>IFERROR(VLOOKUP(G1156,WholesaleExtract!B:M,12,FALSE),"")</f>
        <v/>
      </c>
      <c r="N1156" s="27"/>
      <c r="O1156" s="19"/>
      <c r="P1156" s="19"/>
      <c r="Q1156" s="47"/>
      <c r="R1156" s="19"/>
      <c r="S1156" s="19"/>
    </row>
    <row r="1157" spans="1:19" x14ac:dyDescent="0.35">
      <c r="A1157" s="26" t="s">
        <v>543</v>
      </c>
      <c r="B1157" s="26" t="s">
        <v>543</v>
      </c>
      <c r="C1157" s="26"/>
      <c r="D1157" s="26" t="s">
        <v>543</v>
      </c>
      <c r="E1157" s="26" t="str">
        <f>IFERROR(VLOOKUP(G1157,WholesaleExtract!B:J,9,FALSE),"")</f>
        <v/>
      </c>
      <c r="F1157" s="26" t="str">
        <f>IFERROR(VLOOKUP(G1157,WholesaleExtract!B:J,6,FALSE),"")</f>
        <v/>
      </c>
      <c r="G1157" s="46"/>
      <c r="H1157" s="47" t="str">
        <f>IFERROR(VLOOKUP(G1157,WholesaleExtract!B:L,11,FALSE),"")</f>
        <v/>
      </c>
      <c r="I1157" s="26" t="str">
        <f>IFERROR(VLOOKUP(G1157,WholesaleExtract!B:O,8,FALSE),"")</f>
        <v/>
      </c>
      <c r="J1157" s="26" t="str">
        <f>IFERROR(VLOOKUP(G1157,WholesaleExtract!B:O,14,FALSE),"")</f>
        <v/>
      </c>
      <c r="K1157" s="26" t="str">
        <f>IFERROR(VLOOKUP(G1157,WholesaleExtract!B:K,10,FALSE),"")</f>
        <v/>
      </c>
      <c r="L1157" s="47" t="str">
        <f>IFERROR(VLOOKUP(G1157,WholesaleExtract!B:L,11,FALSE),"")</f>
        <v/>
      </c>
      <c r="M1157" s="47" t="str">
        <f>IFERROR(VLOOKUP(G1157,WholesaleExtract!B:M,12,FALSE),"")</f>
        <v/>
      </c>
      <c r="N1157" s="27"/>
      <c r="O1157" s="19"/>
      <c r="P1157" s="19"/>
      <c r="Q1157" s="47"/>
      <c r="R1157" s="19"/>
      <c r="S1157" s="19"/>
    </row>
    <row r="1158" spans="1:19" x14ac:dyDescent="0.35">
      <c r="A1158" s="26" t="s">
        <v>543</v>
      </c>
      <c r="B1158" s="26" t="s">
        <v>543</v>
      </c>
      <c r="C1158" s="26"/>
      <c r="D1158" s="26" t="s">
        <v>543</v>
      </c>
      <c r="E1158" s="26" t="str">
        <f>IFERROR(VLOOKUP(G1158,WholesaleExtract!B:J,9,FALSE),"")</f>
        <v/>
      </c>
      <c r="F1158" s="26" t="str">
        <f>IFERROR(VLOOKUP(G1158,WholesaleExtract!B:J,6,FALSE),"")</f>
        <v/>
      </c>
      <c r="G1158" s="46"/>
      <c r="H1158" s="47" t="str">
        <f>IFERROR(VLOOKUP(G1158,WholesaleExtract!B:L,11,FALSE),"")</f>
        <v/>
      </c>
      <c r="I1158" s="26" t="str">
        <f>IFERROR(VLOOKUP(G1158,WholesaleExtract!B:O,8,FALSE),"")</f>
        <v/>
      </c>
      <c r="J1158" s="26" t="str">
        <f>IFERROR(VLOOKUP(G1158,WholesaleExtract!B:O,14,FALSE),"")</f>
        <v/>
      </c>
      <c r="K1158" s="26" t="str">
        <f>IFERROR(VLOOKUP(G1158,WholesaleExtract!B:K,10,FALSE),"")</f>
        <v/>
      </c>
      <c r="L1158" s="47" t="str">
        <f>IFERROR(VLOOKUP(G1158,WholesaleExtract!B:L,11,FALSE),"")</f>
        <v/>
      </c>
      <c r="M1158" s="47" t="str">
        <f>IFERROR(VLOOKUP(G1158,WholesaleExtract!B:M,12,FALSE),"")</f>
        <v/>
      </c>
      <c r="N1158" s="27"/>
      <c r="O1158" s="19"/>
      <c r="P1158" s="19"/>
      <c r="Q1158" s="47"/>
      <c r="R1158" s="19"/>
      <c r="S1158" s="19"/>
    </row>
    <row r="1159" spans="1:19" x14ac:dyDescent="0.35">
      <c r="A1159" s="26" t="s">
        <v>543</v>
      </c>
      <c r="B1159" s="26" t="s">
        <v>543</v>
      </c>
      <c r="C1159" s="26"/>
      <c r="D1159" s="26" t="s">
        <v>543</v>
      </c>
      <c r="E1159" s="26" t="str">
        <f>IFERROR(VLOOKUP(G1159,WholesaleExtract!B:J,9,FALSE),"")</f>
        <v/>
      </c>
      <c r="F1159" s="26" t="str">
        <f>IFERROR(VLOOKUP(G1159,WholesaleExtract!B:J,6,FALSE),"")</f>
        <v/>
      </c>
      <c r="G1159" s="46"/>
      <c r="H1159" s="47" t="str">
        <f>IFERROR(VLOOKUP(G1159,WholesaleExtract!B:L,11,FALSE),"")</f>
        <v/>
      </c>
      <c r="I1159" s="26" t="str">
        <f>IFERROR(VLOOKUP(G1159,WholesaleExtract!B:O,8,FALSE),"")</f>
        <v/>
      </c>
      <c r="J1159" s="26" t="str">
        <f>IFERROR(VLOOKUP(G1159,WholesaleExtract!B:O,14,FALSE),"")</f>
        <v/>
      </c>
      <c r="K1159" s="26" t="str">
        <f>IFERROR(VLOOKUP(G1159,WholesaleExtract!B:K,10,FALSE),"")</f>
        <v/>
      </c>
      <c r="L1159" s="47" t="str">
        <f>IFERROR(VLOOKUP(G1159,WholesaleExtract!B:L,11,FALSE),"")</f>
        <v/>
      </c>
      <c r="M1159" s="47" t="str">
        <f>IFERROR(VLOOKUP(G1159,WholesaleExtract!B:M,12,FALSE),"")</f>
        <v/>
      </c>
      <c r="N1159" s="27"/>
      <c r="O1159" s="19"/>
      <c r="P1159" s="19"/>
      <c r="Q1159" s="47"/>
      <c r="R1159" s="19"/>
      <c r="S1159" s="19"/>
    </row>
    <row r="1160" spans="1:19" x14ac:dyDescent="0.35">
      <c r="A1160" s="26" t="s">
        <v>543</v>
      </c>
      <c r="B1160" s="26" t="s">
        <v>543</v>
      </c>
      <c r="C1160" s="26"/>
      <c r="D1160" s="26" t="s">
        <v>543</v>
      </c>
      <c r="E1160" s="26" t="str">
        <f>IFERROR(VLOOKUP(G1160,WholesaleExtract!B:J,9,FALSE),"")</f>
        <v/>
      </c>
      <c r="F1160" s="26" t="str">
        <f>IFERROR(VLOOKUP(G1160,WholesaleExtract!B:J,6,FALSE),"")</f>
        <v/>
      </c>
      <c r="G1160" s="46"/>
      <c r="H1160" s="47" t="str">
        <f>IFERROR(VLOOKUP(G1160,WholesaleExtract!B:L,11,FALSE),"")</f>
        <v/>
      </c>
      <c r="I1160" s="26" t="str">
        <f>IFERROR(VLOOKUP(G1160,WholesaleExtract!B:O,8,FALSE),"")</f>
        <v/>
      </c>
      <c r="J1160" s="26" t="str">
        <f>IFERROR(VLOOKUP(G1160,WholesaleExtract!B:O,14,FALSE),"")</f>
        <v/>
      </c>
      <c r="K1160" s="26" t="str">
        <f>IFERROR(VLOOKUP(G1160,WholesaleExtract!B:K,10,FALSE),"")</f>
        <v/>
      </c>
      <c r="L1160" s="47" t="str">
        <f>IFERROR(VLOOKUP(G1160,WholesaleExtract!B:L,11,FALSE),"")</f>
        <v/>
      </c>
      <c r="M1160" s="47" t="str">
        <f>IFERROR(VLOOKUP(G1160,WholesaleExtract!B:M,12,FALSE),"")</f>
        <v/>
      </c>
      <c r="N1160" s="27"/>
      <c r="O1160" s="19"/>
      <c r="P1160" s="19"/>
      <c r="Q1160" s="47"/>
      <c r="R1160" s="19"/>
      <c r="S1160" s="19"/>
    </row>
    <row r="1161" spans="1:19" x14ac:dyDescent="0.35">
      <c r="A1161" s="26" t="s">
        <v>543</v>
      </c>
      <c r="B1161" s="26" t="s">
        <v>543</v>
      </c>
      <c r="C1161" s="26"/>
      <c r="D1161" s="26" t="s">
        <v>543</v>
      </c>
      <c r="E1161" s="26" t="str">
        <f>IFERROR(VLOOKUP(G1161,WholesaleExtract!B:J,9,FALSE),"")</f>
        <v/>
      </c>
      <c r="F1161" s="26" t="str">
        <f>IFERROR(VLOOKUP(G1161,WholesaleExtract!B:J,6,FALSE),"")</f>
        <v/>
      </c>
      <c r="G1161" s="46"/>
      <c r="H1161" s="47" t="str">
        <f>IFERROR(VLOOKUP(G1161,WholesaleExtract!B:L,11,FALSE),"")</f>
        <v/>
      </c>
      <c r="I1161" s="26" t="str">
        <f>IFERROR(VLOOKUP(G1161,WholesaleExtract!B:O,8,FALSE),"")</f>
        <v/>
      </c>
      <c r="J1161" s="26" t="str">
        <f>IFERROR(VLOOKUP(G1161,WholesaleExtract!B:O,14,FALSE),"")</f>
        <v/>
      </c>
      <c r="K1161" s="26" t="str">
        <f>IFERROR(VLOOKUP(G1161,WholesaleExtract!B:K,10,FALSE),"")</f>
        <v/>
      </c>
      <c r="L1161" s="47" t="str">
        <f>IFERROR(VLOOKUP(G1161,WholesaleExtract!B:L,11,FALSE),"")</f>
        <v/>
      </c>
      <c r="M1161" s="47" t="str">
        <f>IFERROR(VLOOKUP(G1161,WholesaleExtract!B:M,12,FALSE),"")</f>
        <v/>
      </c>
      <c r="N1161" s="27"/>
      <c r="O1161" s="19"/>
      <c r="P1161" s="19"/>
      <c r="Q1161" s="47"/>
      <c r="R1161" s="19"/>
      <c r="S1161" s="19"/>
    </row>
    <row r="1162" spans="1:19" x14ac:dyDescent="0.35">
      <c r="A1162" s="26" t="s">
        <v>543</v>
      </c>
      <c r="B1162" s="26" t="s">
        <v>543</v>
      </c>
      <c r="C1162" s="26"/>
      <c r="D1162" s="26" t="s">
        <v>543</v>
      </c>
      <c r="E1162" s="26" t="str">
        <f>IFERROR(VLOOKUP(G1162,WholesaleExtract!B:J,9,FALSE),"")</f>
        <v/>
      </c>
      <c r="F1162" s="26" t="str">
        <f>IFERROR(VLOOKUP(G1162,WholesaleExtract!B:J,6,FALSE),"")</f>
        <v/>
      </c>
      <c r="G1162" s="46"/>
      <c r="H1162" s="47" t="str">
        <f>IFERROR(VLOOKUP(G1162,WholesaleExtract!B:L,11,FALSE),"")</f>
        <v/>
      </c>
      <c r="I1162" s="26" t="str">
        <f>IFERROR(VLOOKUP(G1162,WholesaleExtract!B:O,8,FALSE),"")</f>
        <v/>
      </c>
      <c r="J1162" s="26" t="str">
        <f>IFERROR(VLOOKUP(G1162,WholesaleExtract!B:O,14,FALSE),"")</f>
        <v/>
      </c>
      <c r="K1162" s="26" t="str">
        <f>IFERROR(VLOOKUP(G1162,WholesaleExtract!B:K,10,FALSE),"")</f>
        <v/>
      </c>
      <c r="L1162" s="47" t="str">
        <f>IFERROR(VLOOKUP(G1162,WholesaleExtract!B:L,11,FALSE),"")</f>
        <v/>
      </c>
      <c r="M1162" s="47" t="str">
        <f>IFERROR(VLOOKUP(G1162,WholesaleExtract!B:M,12,FALSE),"")</f>
        <v/>
      </c>
      <c r="N1162" s="27"/>
      <c r="O1162" s="19"/>
      <c r="P1162" s="19"/>
      <c r="Q1162" s="47"/>
      <c r="R1162" s="19"/>
      <c r="S1162" s="19"/>
    </row>
    <row r="1163" spans="1:19" x14ac:dyDescent="0.35">
      <c r="A1163" s="26" t="s">
        <v>543</v>
      </c>
      <c r="B1163" s="26" t="s">
        <v>543</v>
      </c>
      <c r="C1163" s="26"/>
      <c r="D1163" s="26" t="s">
        <v>543</v>
      </c>
      <c r="E1163" s="26" t="str">
        <f>IFERROR(VLOOKUP(G1163,WholesaleExtract!B:J,9,FALSE),"")</f>
        <v/>
      </c>
      <c r="F1163" s="26" t="str">
        <f>IFERROR(VLOOKUP(G1163,WholesaleExtract!B:J,6,FALSE),"")</f>
        <v/>
      </c>
      <c r="G1163" s="46"/>
      <c r="H1163" s="47" t="str">
        <f>IFERROR(VLOOKUP(G1163,WholesaleExtract!B:L,11,FALSE),"")</f>
        <v/>
      </c>
      <c r="I1163" s="26" t="str">
        <f>IFERROR(VLOOKUP(G1163,WholesaleExtract!B:O,8,FALSE),"")</f>
        <v/>
      </c>
      <c r="J1163" s="26" t="str">
        <f>IFERROR(VLOOKUP(G1163,WholesaleExtract!B:O,14,FALSE),"")</f>
        <v/>
      </c>
      <c r="K1163" s="26" t="str">
        <f>IFERROR(VLOOKUP(G1163,WholesaleExtract!B:K,10,FALSE),"")</f>
        <v/>
      </c>
      <c r="L1163" s="47" t="str">
        <f>IFERROR(VLOOKUP(G1163,WholesaleExtract!B:L,11,FALSE),"")</f>
        <v/>
      </c>
      <c r="M1163" s="47" t="str">
        <f>IFERROR(VLOOKUP(G1163,WholesaleExtract!B:M,12,FALSE),"")</f>
        <v/>
      </c>
      <c r="N1163" s="27"/>
      <c r="O1163" s="19"/>
      <c r="P1163" s="19"/>
      <c r="Q1163" s="47"/>
      <c r="R1163" s="19"/>
      <c r="S1163" s="19"/>
    </row>
    <row r="1164" spans="1:19" x14ac:dyDescent="0.35">
      <c r="A1164" s="26" t="s">
        <v>543</v>
      </c>
      <c r="B1164" s="26" t="s">
        <v>543</v>
      </c>
      <c r="C1164" s="26"/>
      <c r="D1164" s="26" t="s">
        <v>543</v>
      </c>
      <c r="E1164" s="26" t="str">
        <f>IFERROR(VLOOKUP(G1164,WholesaleExtract!B:J,9,FALSE),"")</f>
        <v/>
      </c>
      <c r="F1164" s="26" t="str">
        <f>IFERROR(VLOOKUP(G1164,WholesaleExtract!B:J,6,FALSE),"")</f>
        <v/>
      </c>
      <c r="G1164" s="46"/>
      <c r="H1164" s="47" t="str">
        <f>IFERROR(VLOOKUP(G1164,WholesaleExtract!B:L,11,FALSE),"")</f>
        <v/>
      </c>
      <c r="I1164" s="26" t="str">
        <f>IFERROR(VLOOKUP(G1164,WholesaleExtract!B:O,8,FALSE),"")</f>
        <v/>
      </c>
      <c r="J1164" s="26" t="str">
        <f>IFERROR(VLOOKUP(G1164,WholesaleExtract!B:O,14,FALSE),"")</f>
        <v/>
      </c>
      <c r="K1164" s="26" t="str">
        <f>IFERROR(VLOOKUP(G1164,WholesaleExtract!B:K,10,FALSE),"")</f>
        <v/>
      </c>
      <c r="L1164" s="47" t="str">
        <f>IFERROR(VLOOKUP(G1164,WholesaleExtract!B:L,11,FALSE),"")</f>
        <v/>
      </c>
      <c r="M1164" s="47" t="str">
        <f>IFERROR(VLOOKUP(G1164,WholesaleExtract!B:M,12,FALSE),"")</f>
        <v/>
      </c>
      <c r="N1164" s="27"/>
      <c r="O1164" s="19"/>
      <c r="P1164" s="19"/>
      <c r="Q1164" s="47"/>
      <c r="R1164" s="19"/>
      <c r="S1164" s="19"/>
    </row>
    <row r="1165" spans="1:19" x14ac:dyDescent="0.35">
      <c r="A1165" s="26" t="s">
        <v>543</v>
      </c>
      <c r="B1165" s="26" t="s">
        <v>543</v>
      </c>
      <c r="C1165" s="26"/>
      <c r="D1165" s="26" t="s">
        <v>543</v>
      </c>
      <c r="E1165" s="26" t="str">
        <f>IFERROR(VLOOKUP(G1165,WholesaleExtract!B:J,9,FALSE),"")</f>
        <v/>
      </c>
      <c r="F1165" s="26" t="str">
        <f>IFERROR(VLOOKUP(G1165,WholesaleExtract!B:J,6,FALSE),"")</f>
        <v/>
      </c>
      <c r="G1165" s="46"/>
      <c r="H1165" s="47" t="str">
        <f>IFERROR(VLOOKUP(G1165,WholesaleExtract!B:L,11,FALSE),"")</f>
        <v/>
      </c>
      <c r="I1165" s="26" t="str">
        <f>IFERROR(VLOOKUP(G1165,WholesaleExtract!B:O,8,FALSE),"")</f>
        <v/>
      </c>
      <c r="J1165" s="26" t="str">
        <f>IFERROR(VLOOKUP(G1165,WholesaleExtract!B:O,14,FALSE),"")</f>
        <v/>
      </c>
      <c r="K1165" s="26" t="str">
        <f>IFERROR(VLOOKUP(G1165,WholesaleExtract!B:K,10,FALSE),"")</f>
        <v/>
      </c>
      <c r="L1165" s="47" t="str">
        <f>IFERROR(VLOOKUP(G1165,WholesaleExtract!B:L,11,FALSE),"")</f>
        <v/>
      </c>
      <c r="M1165" s="47" t="str">
        <f>IFERROR(VLOOKUP(G1165,WholesaleExtract!B:M,12,FALSE),"")</f>
        <v/>
      </c>
      <c r="N1165" s="27"/>
      <c r="O1165" s="19"/>
      <c r="P1165" s="19"/>
      <c r="Q1165" s="47"/>
      <c r="R1165" s="19"/>
      <c r="S1165" s="19"/>
    </row>
    <row r="1166" spans="1:19" x14ac:dyDescent="0.35">
      <c r="A1166" s="26" t="s">
        <v>543</v>
      </c>
      <c r="B1166" s="26" t="s">
        <v>543</v>
      </c>
      <c r="C1166" s="26"/>
      <c r="D1166" s="26" t="s">
        <v>543</v>
      </c>
      <c r="E1166" s="26" t="str">
        <f>IFERROR(VLOOKUP(G1166,WholesaleExtract!B:J,9,FALSE),"")</f>
        <v/>
      </c>
      <c r="F1166" s="26" t="str">
        <f>IFERROR(VLOOKUP(G1166,WholesaleExtract!B:J,6,FALSE),"")</f>
        <v/>
      </c>
      <c r="G1166" s="46"/>
      <c r="H1166" s="47" t="str">
        <f>IFERROR(VLOOKUP(G1166,WholesaleExtract!B:L,11,FALSE),"")</f>
        <v/>
      </c>
      <c r="I1166" s="26" t="str">
        <f>IFERROR(VLOOKUP(G1166,WholesaleExtract!B:O,8,FALSE),"")</f>
        <v/>
      </c>
      <c r="J1166" s="26" t="str">
        <f>IFERROR(VLOOKUP(G1166,WholesaleExtract!B:O,14,FALSE),"")</f>
        <v/>
      </c>
      <c r="K1166" s="26" t="str">
        <f>IFERROR(VLOOKUP(G1166,WholesaleExtract!B:K,10,FALSE),"")</f>
        <v/>
      </c>
      <c r="L1166" s="47" t="str">
        <f>IFERROR(VLOOKUP(G1166,WholesaleExtract!B:L,11,FALSE),"")</f>
        <v/>
      </c>
      <c r="M1166" s="47" t="str">
        <f>IFERROR(VLOOKUP(G1166,WholesaleExtract!B:M,12,FALSE),"")</f>
        <v/>
      </c>
      <c r="N1166" s="27"/>
      <c r="O1166" s="19"/>
      <c r="P1166" s="19"/>
      <c r="Q1166" s="47"/>
      <c r="R1166" s="19"/>
      <c r="S1166" s="19"/>
    </row>
    <row r="1167" spans="1:19" x14ac:dyDescent="0.35">
      <c r="A1167" s="26" t="s">
        <v>543</v>
      </c>
      <c r="B1167" s="26" t="s">
        <v>543</v>
      </c>
      <c r="C1167" s="26"/>
      <c r="D1167" s="26" t="s">
        <v>543</v>
      </c>
      <c r="E1167" s="26" t="str">
        <f>IFERROR(VLOOKUP(G1167,WholesaleExtract!B:J,9,FALSE),"")</f>
        <v/>
      </c>
      <c r="F1167" s="26" t="str">
        <f>IFERROR(VLOOKUP(G1167,WholesaleExtract!B:J,6,FALSE),"")</f>
        <v/>
      </c>
      <c r="G1167" s="46"/>
      <c r="H1167" s="47" t="str">
        <f>IFERROR(VLOOKUP(G1167,WholesaleExtract!B:L,11,FALSE),"")</f>
        <v/>
      </c>
      <c r="I1167" s="26" t="str">
        <f>IFERROR(VLOOKUP(G1167,WholesaleExtract!B:O,8,FALSE),"")</f>
        <v/>
      </c>
      <c r="J1167" s="26" t="str">
        <f>IFERROR(VLOOKUP(G1167,WholesaleExtract!B:O,14,FALSE),"")</f>
        <v/>
      </c>
      <c r="K1167" s="26" t="str">
        <f>IFERROR(VLOOKUP(G1167,WholesaleExtract!B:K,10,FALSE),"")</f>
        <v/>
      </c>
      <c r="L1167" s="47" t="str">
        <f>IFERROR(VLOOKUP(G1167,WholesaleExtract!B:L,11,FALSE),"")</f>
        <v/>
      </c>
      <c r="M1167" s="47" t="str">
        <f>IFERROR(VLOOKUP(G1167,WholesaleExtract!B:M,12,FALSE),"")</f>
        <v/>
      </c>
      <c r="N1167" s="27"/>
      <c r="O1167" s="19"/>
      <c r="P1167" s="19"/>
      <c r="Q1167" s="47"/>
      <c r="R1167" s="19"/>
      <c r="S1167" s="19"/>
    </row>
    <row r="1168" spans="1:19" x14ac:dyDescent="0.35">
      <c r="A1168" s="26" t="s">
        <v>543</v>
      </c>
      <c r="B1168" s="26" t="s">
        <v>543</v>
      </c>
      <c r="C1168" s="26"/>
      <c r="D1168" s="26" t="s">
        <v>543</v>
      </c>
      <c r="E1168" s="26" t="str">
        <f>IFERROR(VLOOKUP(G1168,WholesaleExtract!B:J,9,FALSE),"")</f>
        <v/>
      </c>
      <c r="F1168" s="26" t="str">
        <f>IFERROR(VLOOKUP(G1168,WholesaleExtract!B:J,6,FALSE),"")</f>
        <v/>
      </c>
      <c r="G1168" s="46"/>
      <c r="H1168" s="47" t="str">
        <f>IFERROR(VLOOKUP(G1168,WholesaleExtract!B:L,11,FALSE),"")</f>
        <v/>
      </c>
      <c r="I1168" s="26" t="str">
        <f>IFERROR(VLOOKUP(G1168,WholesaleExtract!B:O,8,FALSE),"")</f>
        <v/>
      </c>
      <c r="J1168" s="26" t="str">
        <f>IFERROR(VLOOKUP(G1168,WholesaleExtract!B:O,14,FALSE),"")</f>
        <v/>
      </c>
      <c r="K1168" s="26" t="str">
        <f>IFERROR(VLOOKUP(G1168,WholesaleExtract!B:K,10,FALSE),"")</f>
        <v/>
      </c>
      <c r="L1168" s="47" t="str">
        <f>IFERROR(VLOOKUP(G1168,WholesaleExtract!B:L,11,FALSE),"")</f>
        <v/>
      </c>
      <c r="M1168" s="47" t="str">
        <f>IFERROR(VLOOKUP(G1168,WholesaleExtract!B:M,12,FALSE),"")</f>
        <v/>
      </c>
      <c r="N1168" s="27"/>
      <c r="O1168" s="19"/>
      <c r="P1168" s="19"/>
      <c r="Q1168" s="47"/>
      <c r="R1168" s="19"/>
      <c r="S1168" s="19"/>
    </row>
    <row r="1169" spans="1:19" x14ac:dyDescent="0.35">
      <c r="A1169" s="26" t="s">
        <v>543</v>
      </c>
      <c r="B1169" s="26" t="s">
        <v>543</v>
      </c>
      <c r="C1169" s="26"/>
      <c r="D1169" s="26" t="s">
        <v>543</v>
      </c>
      <c r="E1169" s="26" t="str">
        <f>IFERROR(VLOOKUP(G1169,WholesaleExtract!B:J,9,FALSE),"")</f>
        <v/>
      </c>
      <c r="F1169" s="26" t="str">
        <f>IFERROR(VLOOKUP(G1169,WholesaleExtract!B:J,6,FALSE),"")</f>
        <v/>
      </c>
      <c r="G1169" s="46"/>
      <c r="H1169" s="47" t="str">
        <f>IFERROR(VLOOKUP(G1169,WholesaleExtract!B:L,11,FALSE),"")</f>
        <v/>
      </c>
      <c r="I1169" s="26" t="str">
        <f>IFERROR(VLOOKUP(G1169,WholesaleExtract!B:O,8,FALSE),"")</f>
        <v/>
      </c>
      <c r="J1169" s="26" t="str">
        <f>IFERROR(VLOOKUP(G1169,WholesaleExtract!B:O,14,FALSE),"")</f>
        <v/>
      </c>
      <c r="K1169" s="26" t="str">
        <f>IFERROR(VLOOKUP(G1169,WholesaleExtract!B:K,10,FALSE),"")</f>
        <v/>
      </c>
      <c r="L1169" s="47" t="str">
        <f>IFERROR(VLOOKUP(G1169,WholesaleExtract!B:L,11,FALSE),"")</f>
        <v/>
      </c>
      <c r="M1169" s="47" t="str">
        <f>IFERROR(VLOOKUP(G1169,WholesaleExtract!B:M,12,FALSE),"")</f>
        <v/>
      </c>
      <c r="N1169" s="27"/>
      <c r="O1169" s="19"/>
      <c r="P1169" s="19"/>
      <c r="Q1169" s="47"/>
      <c r="R1169" s="19"/>
      <c r="S1169" s="19"/>
    </row>
    <row r="1170" spans="1:19" x14ac:dyDescent="0.35">
      <c r="A1170" s="26" t="s">
        <v>543</v>
      </c>
      <c r="B1170" s="26" t="s">
        <v>543</v>
      </c>
      <c r="C1170" s="26"/>
      <c r="D1170" s="26" t="s">
        <v>543</v>
      </c>
      <c r="E1170" s="26" t="str">
        <f>IFERROR(VLOOKUP(G1170,WholesaleExtract!B:J,9,FALSE),"")</f>
        <v/>
      </c>
      <c r="F1170" s="26" t="str">
        <f>IFERROR(VLOOKUP(G1170,WholesaleExtract!B:J,6,FALSE),"")</f>
        <v/>
      </c>
      <c r="G1170" s="46"/>
      <c r="H1170" s="47" t="str">
        <f>IFERROR(VLOOKUP(G1170,WholesaleExtract!B:L,11,FALSE),"")</f>
        <v/>
      </c>
      <c r="I1170" s="26" t="str">
        <f>IFERROR(VLOOKUP(G1170,WholesaleExtract!B:O,8,FALSE),"")</f>
        <v/>
      </c>
      <c r="J1170" s="26" t="str">
        <f>IFERROR(VLOOKUP(G1170,WholesaleExtract!B:O,14,FALSE),"")</f>
        <v/>
      </c>
      <c r="K1170" s="26" t="str">
        <f>IFERROR(VLOOKUP(G1170,WholesaleExtract!B:K,10,FALSE),"")</f>
        <v/>
      </c>
      <c r="L1170" s="47" t="str">
        <f>IFERROR(VLOOKUP(G1170,WholesaleExtract!B:L,11,FALSE),"")</f>
        <v/>
      </c>
      <c r="M1170" s="47" t="str">
        <f>IFERROR(VLOOKUP(G1170,WholesaleExtract!B:M,12,FALSE),"")</f>
        <v/>
      </c>
      <c r="N1170" s="27"/>
      <c r="O1170" s="19"/>
      <c r="P1170" s="19"/>
      <c r="Q1170" s="47"/>
      <c r="R1170" s="19"/>
      <c r="S1170" s="19"/>
    </row>
    <row r="1171" spans="1:19" x14ac:dyDescent="0.35">
      <c r="A1171" s="26" t="s">
        <v>543</v>
      </c>
      <c r="B1171" s="26" t="s">
        <v>543</v>
      </c>
      <c r="C1171" s="26"/>
      <c r="D1171" s="26" t="s">
        <v>543</v>
      </c>
      <c r="E1171" s="26" t="str">
        <f>IFERROR(VLOOKUP(G1171,WholesaleExtract!B:J,9,FALSE),"")</f>
        <v/>
      </c>
      <c r="F1171" s="26" t="str">
        <f>IFERROR(VLOOKUP(G1171,WholesaleExtract!B:J,6,FALSE),"")</f>
        <v/>
      </c>
      <c r="G1171" s="46"/>
      <c r="H1171" s="47" t="str">
        <f>IFERROR(VLOOKUP(G1171,WholesaleExtract!B:L,11,FALSE),"")</f>
        <v/>
      </c>
      <c r="I1171" s="26" t="str">
        <f>IFERROR(VLOOKUP(G1171,WholesaleExtract!B:O,8,FALSE),"")</f>
        <v/>
      </c>
      <c r="J1171" s="26" t="str">
        <f>IFERROR(VLOOKUP(G1171,WholesaleExtract!B:O,14,FALSE),"")</f>
        <v/>
      </c>
      <c r="K1171" s="26" t="str">
        <f>IFERROR(VLOOKUP(G1171,WholesaleExtract!B:K,10,FALSE),"")</f>
        <v/>
      </c>
      <c r="L1171" s="47" t="str">
        <f>IFERROR(VLOOKUP(G1171,WholesaleExtract!B:L,11,FALSE),"")</f>
        <v/>
      </c>
      <c r="M1171" s="47" t="str">
        <f>IFERROR(VLOOKUP(G1171,WholesaleExtract!B:M,12,FALSE),"")</f>
        <v/>
      </c>
      <c r="N1171" s="27"/>
      <c r="O1171" s="19"/>
      <c r="P1171" s="19"/>
      <c r="Q1171" s="47"/>
      <c r="R1171" s="19"/>
      <c r="S1171" s="19"/>
    </row>
    <row r="1172" spans="1:19" x14ac:dyDescent="0.35">
      <c r="A1172" s="26" t="s">
        <v>543</v>
      </c>
      <c r="B1172" s="26" t="s">
        <v>543</v>
      </c>
      <c r="C1172" s="26"/>
      <c r="D1172" s="26" t="s">
        <v>543</v>
      </c>
      <c r="E1172" s="26" t="str">
        <f>IFERROR(VLOOKUP(G1172,WholesaleExtract!B:J,9,FALSE),"")</f>
        <v/>
      </c>
      <c r="F1172" s="26" t="str">
        <f>IFERROR(VLOOKUP(G1172,WholesaleExtract!B:J,6,FALSE),"")</f>
        <v/>
      </c>
      <c r="G1172" s="46"/>
      <c r="H1172" s="47" t="str">
        <f>IFERROR(VLOOKUP(G1172,WholesaleExtract!B:L,11,FALSE),"")</f>
        <v/>
      </c>
      <c r="I1172" s="26" t="str">
        <f>IFERROR(VLOOKUP(G1172,WholesaleExtract!B:O,8,FALSE),"")</f>
        <v/>
      </c>
      <c r="J1172" s="26" t="str">
        <f>IFERROR(VLOOKUP(G1172,WholesaleExtract!B:O,14,FALSE),"")</f>
        <v/>
      </c>
      <c r="K1172" s="26" t="str">
        <f>IFERROR(VLOOKUP(G1172,WholesaleExtract!B:K,10,FALSE),"")</f>
        <v/>
      </c>
      <c r="L1172" s="47" t="str">
        <f>IFERROR(VLOOKUP(G1172,WholesaleExtract!B:L,11,FALSE),"")</f>
        <v/>
      </c>
      <c r="M1172" s="47" t="str">
        <f>IFERROR(VLOOKUP(G1172,WholesaleExtract!B:M,12,FALSE),"")</f>
        <v/>
      </c>
      <c r="N1172" s="27"/>
      <c r="O1172" s="19"/>
      <c r="P1172" s="19"/>
      <c r="Q1172" s="47"/>
      <c r="R1172" s="19"/>
      <c r="S1172" s="19"/>
    </row>
    <row r="1173" spans="1:19" x14ac:dyDescent="0.35">
      <c r="A1173" s="26" t="s">
        <v>543</v>
      </c>
      <c r="B1173" s="26" t="s">
        <v>543</v>
      </c>
      <c r="C1173" s="26"/>
      <c r="D1173" s="26" t="s">
        <v>543</v>
      </c>
      <c r="E1173" s="26" t="str">
        <f>IFERROR(VLOOKUP(G1173,WholesaleExtract!B:J,9,FALSE),"")</f>
        <v/>
      </c>
      <c r="F1173" s="26" t="str">
        <f>IFERROR(VLOOKUP(G1173,WholesaleExtract!B:J,6,FALSE),"")</f>
        <v/>
      </c>
      <c r="G1173" s="46"/>
      <c r="H1173" s="47" t="str">
        <f>IFERROR(VLOOKUP(G1173,WholesaleExtract!B:L,11,FALSE),"")</f>
        <v/>
      </c>
      <c r="I1173" s="26" t="str">
        <f>IFERROR(VLOOKUP(G1173,WholesaleExtract!B:O,8,FALSE),"")</f>
        <v/>
      </c>
      <c r="J1173" s="26" t="str">
        <f>IFERROR(VLOOKUP(G1173,WholesaleExtract!B:O,14,FALSE),"")</f>
        <v/>
      </c>
      <c r="K1173" s="26" t="str">
        <f>IFERROR(VLOOKUP(G1173,WholesaleExtract!B:K,10,FALSE),"")</f>
        <v/>
      </c>
      <c r="L1173" s="47" t="str">
        <f>IFERROR(VLOOKUP(G1173,WholesaleExtract!B:L,11,FALSE),"")</f>
        <v/>
      </c>
      <c r="M1173" s="47" t="str">
        <f>IFERROR(VLOOKUP(G1173,WholesaleExtract!B:M,12,FALSE),"")</f>
        <v/>
      </c>
      <c r="N1173" s="27"/>
      <c r="O1173" s="19"/>
      <c r="P1173" s="19"/>
      <c r="Q1173" s="47"/>
      <c r="R1173" s="19"/>
      <c r="S1173" s="19"/>
    </row>
    <row r="1174" spans="1:19" x14ac:dyDescent="0.35">
      <c r="A1174" s="26" t="s">
        <v>543</v>
      </c>
      <c r="B1174" s="26" t="s">
        <v>543</v>
      </c>
      <c r="C1174" s="26"/>
      <c r="D1174" s="26" t="s">
        <v>543</v>
      </c>
      <c r="E1174" s="26" t="str">
        <f>IFERROR(VLOOKUP(G1174,WholesaleExtract!B:J,9,FALSE),"")</f>
        <v/>
      </c>
      <c r="F1174" s="26" t="str">
        <f>IFERROR(VLOOKUP(G1174,WholesaleExtract!B:J,6,FALSE),"")</f>
        <v/>
      </c>
      <c r="G1174" s="46"/>
      <c r="H1174" s="47" t="str">
        <f>IFERROR(VLOOKUP(G1174,WholesaleExtract!B:L,11,FALSE),"")</f>
        <v/>
      </c>
      <c r="I1174" s="26" t="str">
        <f>IFERROR(VLOOKUP(G1174,WholesaleExtract!B:O,8,FALSE),"")</f>
        <v/>
      </c>
      <c r="J1174" s="26" t="str">
        <f>IFERROR(VLOOKUP(G1174,WholesaleExtract!B:O,14,FALSE),"")</f>
        <v/>
      </c>
      <c r="K1174" s="26" t="str">
        <f>IFERROR(VLOOKUP(G1174,WholesaleExtract!B:K,10,FALSE),"")</f>
        <v/>
      </c>
      <c r="L1174" s="47" t="str">
        <f>IFERROR(VLOOKUP(G1174,WholesaleExtract!B:L,11,FALSE),"")</f>
        <v/>
      </c>
      <c r="M1174" s="47" t="str">
        <f>IFERROR(VLOOKUP(G1174,WholesaleExtract!B:M,12,FALSE),"")</f>
        <v/>
      </c>
      <c r="N1174" s="27"/>
      <c r="O1174" s="19"/>
      <c r="P1174" s="19"/>
      <c r="Q1174" s="47"/>
      <c r="R1174" s="19"/>
      <c r="S1174" s="19"/>
    </row>
    <row r="1175" spans="1:19" x14ac:dyDescent="0.35">
      <c r="A1175" s="26" t="s">
        <v>543</v>
      </c>
      <c r="B1175" s="26" t="s">
        <v>543</v>
      </c>
      <c r="C1175" s="26"/>
      <c r="D1175" s="26" t="s">
        <v>543</v>
      </c>
      <c r="E1175" s="26" t="str">
        <f>IFERROR(VLOOKUP(G1175,WholesaleExtract!B:J,9,FALSE),"")</f>
        <v/>
      </c>
      <c r="F1175" s="26" t="str">
        <f>IFERROR(VLOOKUP(G1175,WholesaleExtract!B:J,6,FALSE),"")</f>
        <v/>
      </c>
      <c r="G1175" s="46"/>
      <c r="H1175" s="47" t="str">
        <f>IFERROR(VLOOKUP(G1175,WholesaleExtract!B:L,11,FALSE),"")</f>
        <v/>
      </c>
      <c r="I1175" s="26" t="str">
        <f>IFERROR(VLOOKUP(G1175,WholesaleExtract!B:O,8,FALSE),"")</f>
        <v/>
      </c>
      <c r="J1175" s="26" t="str">
        <f>IFERROR(VLOOKUP(G1175,WholesaleExtract!B:O,14,FALSE),"")</f>
        <v/>
      </c>
      <c r="K1175" s="26" t="str">
        <f>IFERROR(VLOOKUP(G1175,WholesaleExtract!B:K,10,FALSE),"")</f>
        <v/>
      </c>
      <c r="L1175" s="47" t="str">
        <f>IFERROR(VLOOKUP(G1175,WholesaleExtract!B:L,11,FALSE),"")</f>
        <v/>
      </c>
      <c r="M1175" s="47" t="str">
        <f>IFERROR(VLOOKUP(G1175,WholesaleExtract!B:M,12,FALSE),"")</f>
        <v/>
      </c>
      <c r="N1175" s="27"/>
      <c r="O1175" s="19"/>
      <c r="P1175" s="19"/>
      <c r="Q1175" s="47"/>
      <c r="R1175" s="19"/>
      <c r="S1175" s="19"/>
    </row>
    <row r="1176" spans="1:19" x14ac:dyDescent="0.35">
      <c r="A1176" s="26" t="s">
        <v>543</v>
      </c>
      <c r="B1176" s="26" t="s">
        <v>543</v>
      </c>
      <c r="C1176" s="26"/>
      <c r="D1176" s="26" t="s">
        <v>543</v>
      </c>
      <c r="E1176" s="26" t="str">
        <f>IFERROR(VLOOKUP(G1176,WholesaleExtract!B:J,9,FALSE),"")</f>
        <v/>
      </c>
      <c r="F1176" s="26" t="str">
        <f>IFERROR(VLOOKUP(G1176,WholesaleExtract!B:J,6,FALSE),"")</f>
        <v/>
      </c>
      <c r="G1176" s="46"/>
      <c r="H1176" s="47" t="str">
        <f>IFERROR(VLOOKUP(G1176,WholesaleExtract!B:L,11,FALSE),"")</f>
        <v/>
      </c>
      <c r="I1176" s="26" t="str">
        <f>IFERROR(VLOOKUP(G1176,WholesaleExtract!B:O,8,FALSE),"")</f>
        <v/>
      </c>
      <c r="J1176" s="26" t="str">
        <f>IFERROR(VLOOKUP(G1176,WholesaleExtract!B:O,14,FALSE),"")</f>
        <v/>
      </c>
      <c r="K1176" s="26" t="str">
        <f>IFERROR(VLOOKUP(G1176,WholesaleExtract!B:K,10,FALSE),"")</f>
        <v/>
      </c>
      <c r="L1176" s="47" t="str">
        <f>IFERROR(VLOOKUP(G1176,WholesaleExtract!B:L,11,FALSE),"")</f>
        <v/>
      </c>
      <c r="M1176" s="47" t="str">
        <f>IFERROR(VLOOKUP(G1176,WholesaleExtract!B:M,12,FALSE),"")</f>
        <v/>
      </c>
      <c r="N1176" s="27"/>
      <c r="O1176" s="19"/>
      <c r="P1176" s="19"/>
      <c r="Q1176" s="47"/>
      <c r="R1176" s="19"/>
      <c r="S1176" s="19"/>
    </row>
    <row r="1177" spans="1:19" x14ac:dyDescent="0.35">
      <c r="A1177" s="26" t="s">
        <v>543</v>
      </c>
      <c r="B1177" s="26" t="s">
        <v>543</v>
      </c>
      <c r="C1177" s="26"/>
      <c r="D1177" s="26" t="s">
        <v>543</v>
      </c>
      <c r="E1177" s="26" t="str">
        <f>IFERROR(VLOOKUP(G1177,WholesaleExtract!B:J,9,FALSE),"")</f>
        <v/>
      </c>
      <c r="F1177" s="26" t="str">
        <f>IFERROR(VLOOKUP(G1177,WholesaleExtract!B:J,6,FALSE),"")</f>
        <v/>
      </c>
      <c r="G1177" s="46"/>
      <c r="H1177" s="47" t="str">
        <f>IFERROR(VLOOKUP(G1177,WholesaleExtract!B:L,11,FALSE),"")</f>
        <v/>
      </c>
      <c r="I1177" s="26" t="str">
        <f>IFERROR(VLOOKUP(G1177,WholesaleExtract!B:O,8,FALSE),"")</f>
        <v/>
      </c>
      <c r="J1177" s="26" t="str">
        <f>IFERROR(VLOOKUP(G1177,WholesaleExtract!B:O,14,FALSE),"")</f>
        <v/>
      </c>
      <c r="K1177" s="26" t="str">
        <f>IFERROR(VLOOKUP(G1177,WholesaleExtract!B:K,10,FALSE),"")</f>
        <v/>
      </c>
      <c r="L1177" s="47" t="str">
        <f>IFERROR(VLOOKUP(G1177,WholesaleExtract!B:L,11,FALSE),"")</f>
        <v/>
      </c>
      <c r="M1177" s="47" t="str">
        <f>IFERROR(VLOOKUP(G1177,WholesaleExtract!B:M,12,FALSE),"")</f>
        <v/>
      </c>
      <c r="N1177" s="27"/>
      <c r="O1177" s="19"/>
      <c r="P1177" s="19"/>
      <c r="Q1177" s="47"/>
      <c r="R1177" s="19"/>
      <c r="S1177" s="19"/>
    </row>
    <row r="1178" spans="1:19" x14ac:dyDescent="0.35">
      <c r="A1178" s="26" t="s">
        <v>543</v>
      </c>
      <c r="B1178" s="26" t="s">
        <v>543</v>
      </c>
      <c r="C1178" s="26"/>
      <c r="D1178" s="26" t="s">
        <v>543</v>
      </c>
      <c r="E1178" s="26" t="str">
        <f>IFERROR(VLOOKUP(G1178,WholesaleExtract!B:J,9,FALSE),"")</f>
        <v/>
      </c>
      <c r="F1178" s="26" t="str">
        <f>IFERROR(VLOOKUP(G1178,WholesaleExtract!B:J,6,FALSE),"")</f>
        <v/>
      </c>
      <c r="G1178" s="46"/>
      <c r="H1178" s="47" t="str">
        <f>IFERROR(VLOOKUP(G1178,WholesaleExtract!B:L,11,FALSE),"")</f>
        <v/>
      </c>
      <c r="I1178" s="26" t="str">
        <f>IFERROR(VLOOKUP(G1178,WholesaleExtract!B:O,8,FALSE),"")</f>
        <v/>
      </c>
      <c r="J1178" s="26" t="str">
        <f>IFERROR(VLOOKUP(G1178,WholesaleExtract!B:O,14,FALSE),"")</f>
        <v/>
      </c>
      <c r="K1178" s="26" t="str">
        <f>IFERROR(VLOOKUP(G1178,WholesaleExtract!B:K,10,FALSE),"")</f>
        <v/>
      </c>
      <c r="L1178" s="47" t="str">
        <f>IFERROR(VLOOKUP(G1178,WholesaleExtract!B:L,11,FALSE),"")</f>
        <v/>
      </c>
      <c r="M1178" s="47" t="str">
        <f>IFERROR(VLOOKUP(G1178,WholesaleExtract!B:M,12,FALSE),"")</f>
        <v/>
      </c>
      <c r="N1178" s="27"/>
      <c r="O1178" s="19"/>
      <c r="P1178" s="19"/>
      <c r="Q1178" s="47"/>
      <c r="R1178" s="19"/>
      <c r="S1178" s="19"/>
    </row>
    <row r="1179" spans="1:19" x14ac:dyDescent="0.35">
      <c r="A1179" s="26" t="s">
        <v>543</v>
      </c>
      <c r="B1179" s="26" t="s">
        <v>543</v>
      </c>
      <c r="C1179" s="26"/>
      <c r="D1179" s="26" t="s">
        <v>543</v>
      </c>
      <c r="E1179" s="26" t="str">
        <f>IFERROR(VLOOKUP(G1179,WholesaleExtract!B:J,9,FALSE),"")</f>
        <v/>
      </c>
      <c r="F1179" s="26" t="str">
        <f>IFERROR(VLOOKUP(G1179,WholesaleExtract!B:J,6,FALSE),"")</f>
        <v/>
      </c>
      <c r="G1179" s="46"/>
      <c r="H1179" s="47" t="str">
        <f>IFERROR(VLOOKUP(G1179,WholesaleExtract!B:L,11,FALSE),"")</f>
        <v/>
      </c>
      <c r="I1179" s="26" t="str">
        <f>IFERROR(VLOOKUP(G1179,WholesaleExtract!B:O,8,FALSE),"")</f>
        <v/>
      </c>
      <c r="J1179" s="26" t="str">
        <f>IFERROR(VLOOKUP(G1179,WholesaleExtract!B:O,14,FALSE),"")</f>
        <v/>
      </c>
      <c r="K1179" s="26" t="str">
        <f>IFERROR(VLOOKUP(G1179,WholesaleExtract!B:K,10,FALSE),"")</f>
        <v/>
      </c>
      <c r="L1179" s="47" t="str">
        <f>IFERROR(VLOOKUP(G1179,WholesaleExtract!B:L,11,FALSE),"")</f>
        <v/>
      </c>
      <c r="M1179" s="47" t="str">
        <f>IFERROR(VLOOKUP(G1179,WholesaleExtract!B:M,12,FALSE),"")</f>
        <v/>
      </c>
      <c r="N1179" s="27"/>
      <c r="O1179" s="19"/>
      <c r="P1179" s="19"/>
      <c r="Q1179" s="47"/>
      <c r="R1179" s="19"/>
      <c r="S1179" s="19"/>
    </row>
    <row r="1180" spans="1:19" x14ac:dyDescent="0.35">
      <c r="A1180" s="26" t="s">
        <v>543</v>
      </c>
      <c r="B1180" s="26" t="s">
        <v>543</v>
      </c>
      <c r="C1180" s="26"/>
      <c r="D1180" s="26" t="s">
        <v>543</v>
      </c>
      <c r="E1180" s="26" t="str">
        <f>IFERROR(VLOOKUP(G1180,WholesaleExtract!B:J,9,FALSE),"")</f>
        <v/>
      </c>
      <c r="F1180" s="26" t="str">
        <f>IFERROR(VLOOKUP(G1180,WholesaleExtract!B:J,6,FALSE),"")</f>
        <v/>
      </c>
      <c r="G1180" s="46"/>
      <c r="H1180" s="47" t="str">
        <f>IFERROR(VLOOKUP(G1180,WholesaleExtract!B:L,11,FALSE),"")</f>
        <v/>
      </c>
      <c r="I1180" s="26" t="str">
        <f>IFERROR(VLOOKUP(G1180,WholesaleExtract!B:O,8,FALSE),"")</f>
        <v/>
      </c>
      <c r="J1180" s="26" t="str">
        <f>IFERROR(VLOOKUP(G1180,WholesaleExtract!B:O,14,FALSE),"")</f>
        <v/>
      </c>
      <c r="K1180" s="26" t="str">
        <f>IFERROR(VLOOKUP(G1180,WholesaleExtract!B:K,10,FALSE),"")</f>
        <v/>
      </c>
      <c r="L1180" s="47" t="str">
        <f>IFERROR(VLOOKUP(G1180,WholesaleExtract!B:L,11,FALSE),"")</f>
        <v/>
      </c>
      <c r="M1180" s="47" t="str">
        <f>IFERROR(VLOOKUP(G1180,WholesaleExtract!B:M,12,FALSE),"")</f>
        <v/>
      </c>
      <c r="N1180" s="27"/>
      <c r="O1180" s="19"/>
      <c r="P1180" s="19"/>
      <c r="Q1180" s="47"/>
      <c r="R1180" s="19"/>
      <c r="S1180" s="19"/>
    </row>
    <row r="1181" spans="1:19" x14ac:dyDescent="0.35">
      <c r="A1181" s="26" t="s">
        <v>543</v>
      </c>
      <c r="B1181" s="26" t="s">
        <v>543</v>
      </c>
      <c r="C1181" s="26"/>
      <c r="D1181" s="26" t="s">
        <v>543</v>
      </c>
      <c r="E1181" s="26" t="str">
        <f>IFERROR(VLOOKUP(G1181,WholesaleExtract!B:J,9,FALSE),"")</f>
        <v/>
      </c>
      <c r="F1181" s="26" t="str">
        <f>IFERROR(VLOOKUP(G1181,WholesaleExtract!B:J,6,FALSE),"")</f>
        <v/>
      </c>
      <c r="G1181" s="46"/>
      <c r="H1181" s="47" t="str">
        <f>IFERROR(VLOOKUP(G1181,WholesaleExtract!B:L,11,FALSE),"")</f>
        <v/>
      </c>
      <c r="I1181" s="26" t="str">
        <f>IFERROR(VLOOKUP(G1181,WholesaleExtract!B:O,8,FALSE),"")</f>
        <v/>
      </c>
      <c r="J1181" s="26" t="str">
        <f>IFERROR(VLOOKUP(G1181,WholesaleExtract!B:O,14,FALSE),"")</f>
        <v/>
      </c>
      <c r="K1181" s="26" t="str">
        <f>IFERROR(VLOOKUP(G1181,WholesaleExtract!B:K,10,FALSE),"")</f>
        <v/>
      </c>
      <c r="L1181" s="47" t="str">
        <f>IFERROR(VLOOKUP(G1181,WholesaleExtract!B:L,11,FALSE),"")</f>
        <v/>
      </c>
      <c r="M1181" s="47" t="str">
        <f>IFERROR(VLOOKUP(G1181,WholesaleExtract!B:M,12,FALSE),"")</f>
        <v/>
      </c>
      <c r="N1181" s="27"/>
      <c r="O1181" s="19"/>
      <c r="P1181" s="19"/>
      <c r="Q1181" s="47"/>
      <c r="R1181" s="19"/>
      <c r="S1181" s="19"/>
    </row>
    <row r="1182" spans="1:19" x14ac:dyDescent="0.35">
      <c r="A1182" s="26" t="s">
        <v>543</v>
      </c>
      <c r="B1182" s="26" t="s">
        <v>543</v>
      </c>
      <c r="C1182" s="26"/>
      <c r="D1182" s="26" t="s">
        <v>543</v>
      </c>
      <c r="E1182" s="26" t="str">
        <f>IFERROR(VLOOKUP(G1182,WholesaleExtract!B:J,9,FALSE),"")</f>
        <v/>
      </c>
      <c r="F1182" s="26" t="str">
        <f>IFERROR(VLOOKUP(G1182,WholesaleExtract!B:J,6,FALSE),"")</f>
        <v/>
      </c>
      <c r="G1182" s="46"/>
      <c r="H1182" s="47" t="str">
        <f>IFERROR(VLOOKUP(G1182,WholesaleExtract!B:L,11,FALSE),"")</f>
        <v/>
      </c>
      <c r="I1182" s="26" t="str">
        <f>IFERROR(VLOOKUP(G1182,WholesaleExtract!B:O,8,FALSE),"")</f>
        <v/>
      </c>
      <c r="J1182" s="26" t="str">
        <f>IFERROR(VLOOKUP(G1182,WholesaleExtract!B:O,14,FALSE),"")</f>
        <v/>
      </c>
      <c r="K1182" s="26" t="str">
        <f>IFERROR(VLOOKUP(G1182,WholesaleExtract!B:K,10,FALSE),"")</f>
        <v/>
      </c>
      <c r="L1182" s="47" t="str">
        <f>IFERROR(VLOOKUP(G1182,WholesaleExtract!B:L,11,FALSE),"")</f>
        <v/>
      </c>
      <c r="M1182" s="47" t="str">
        <f>IFERROR(VLOOKUP(G1182,WholesaleExtract!B:M,12,FALSE),"")</f>
        <v/>
      </c>
      <c r="N1182" s="27"/>
      <c r="O1182" s="19"/>
      <c r="P1182" s="19"/>
      <c r="Q1182" s="47"/>
      <c r="R1182" s="19"/>
      <c r="S1182" s="19"/>
    </row>
    <row r="1183" spans="1:19" x14ac:dyDescent="0.35">
      <c r="A1183" s="26" t="s">
        <v>543</v>
      </c>
      <c r="B1183" s="26" t="s">
        <v>543</v>
      </c>
      <c r="C1183" s="26"/>
      <c r="D1183" s="26" t="s">
        <v>543</v>
      </c>
      <c r="E1183" s="26" t="str">
        <f>IFERROR(VLOOKUP(G1183,WholesaleExtract!B:J,9,FALSE),"")</f>
        <v/>
      </c>
      <c r="F1183" s="26" t="str">
        <f>IFERROR(VLOOKUP(G1183,WholesaleExtract!B:J,6,FALSE),"")</f>
        <v/>
      </c>
      <c r="G1183" s="46"/>
      <c r="H1183" s="47" t="str">
        <f>IFERROR(VLOOKUP(G1183,WholesaleExtract!B:L,11,FALSE),"")</f>
        <v/>
      </c>
      <c r="I1183" s="26" t="str">
        <f>IFERROR(VLOOKUP(G1183,WholesaleExtract!B:O,8,FALSE),"")</f>
        <v/>
      </c>
      <c r="J1183" s="26" t="str">
        <f>IFERROR(VLOOKUP(G1183,WholesaleExtract!B:O,14,FALSE),"")</f>
        <v/>
      </c>
      <c r="K1183" s="26" t="str">
        <f>IFERROR(VLOOKUP(G1183,WholesaleExtract!B:K,10,FALSE),"")</f>
        <v/>
      </c>
      <c r="L1183" s="47" t="str">
        <f>IFERROR(VLOOKUP(G1183,WholesaleExtract!B:L,11,FALSE),"")</f>
        <v/>
      </c>
      <c r="M1183" s="47" t="str">
        <f>IFERROR(VLOOKUP(G1183,WholesaleExtract!B:M,12,FALSE),"")</f>
        <v/>
      </c>
      <c r="N1183" s="27"/>
      <c r="O1183" s="19"/>
      <c r="P1183" s="19"/>
      <c r="Q1183" s="47"/>
      <c r="R1183" s="19"/>
      <c r="S1183" s="19"/>
    </row>
    <row r="1184" spans="1:19" x14ac:dyDescent="0.35">
      <c r="A1184" s="26" t="s">
        <v>543</v>
      </c>
      <c r="B1184" s="26" t="s">
        <v>543</v>
      </c>
      <c r="C1184" s="26"/>
      <c r="D1184" s="26" t="s">
        <v>543</v>
      </c>
      <c r="E1184" s="26" t="str">
        <f>IFERROR(VLOOKUP(G1184,WholesaleExtract!B:J,9,FALSE),"")</f>
        <v/>
      </c>
      <c r="F1184" s="26" t="str">
        <f>IFERROR(VLOOKUP(G1184,WholesaleExtract!B:J,6,FALSE),"")</f>
        <v/>
      </c>
      <c r="G1184" s="46"/>
      <c r="H1184" s="47" t="str">
        <f>IFERROR(VLOOKUP(G1184,WholesaleExtract!B:L,11,FALSE),"")</f>
        <v/>
      </c>
      <c r="I1184" s="26" t="str">
        <f>IFERROR(VLOOKUP(G1184,WholesaleExtract!B:O,8,FALSE),"")</f>
        <v/>
      </c>
      <c r="J1184" s="26" t="str">
        <f>IFERROR(VLOOKUP(G1184,WholesaleExtract!B:O,14,FALSE),"")</f>
        <v/>
      </c>
      <c r="K1184" s="26" t="str">
        <f>IFERROR(VLOOKUP(G1184,WholesaleExtract!B:K,10,FALSE),"")</f>
        <v/>
      </c>
      <c r="L1184" s="47" t="str">
        <f>IFERROR(VLOOKUP(G1184,WholesaleExtract!B:L,11,FALSE),"")</f>
        <v/>
      </c>
      <c r="M1184" s="47" t="str">
        <f>IFERROR(VLOOKUP(G1184,WholesaleExtract!B:M,12,FALSE),"")</f>
        <v/>
      </c>
      <c r="N1184" s="27"/>
      <c r="O1184" s="19"/>
      <c r="P1184" s="19"/>
      <c r="Q1184" s="47"/>
      <c r="R1184" s="19"/>
      <c r="S1184" s="19"/>
    </row>
    <row r="1185" spans="1:19" x14ac:dyDescent="0.35">
      <c r="A1185" s="26" t="s">
        <v>543</v>
      </c>
      <c r="B1185" s="26" t="s">
        <v>543</v>
      </c>
      <c r="C1185" s="26"/>
      <c r="D1185" s="26" t="s">
        <v>543</v>
      </c>
      <c r="E1185" s="26" t="str">
        <f>IFERROR(VLOOKUP(G1185,WholesaleExtract!B:J,9,FALSE),"")</f>
        <v/>
      </c>
      <c r="F1185" s="26" t="str">
        <f>IFERROR(VLOOKUP(G1185,WholesaleExtract!B:J,6,FALSE),"")</f>
        <v/>
      </c>
      <c r="G1185" s="46"/>
      <c r="H1185" s="47" t="str">
        <f>IFERROR(VLOOKUP(G1185,WholesaleExtract!B:L,11,FALSE),"")</f>
        <v/>
      </c>
      <c r="I1185" s="26" t="str">
        <f>IFERROR(VLOOKUP(G1185,WholesaleExtract!B:O,8,FALSE),"")</f>
        <v/>
      </c>
      <c r="J1185" s="26" t="str">
        <f>IFERROR(VLOOKUP(G1185,WholesaleExtract!B:O,14,FALSE),"")</f>
        <v/>
      </c>
      <c r="K1185" s="26" t="str">
        <f>IFERROR(VLOOKUP(G1185,WholesaleExtract!B:K,10,FALSE),"")</f>
        <v/>
      </c>
      <c r="L1185" s="47" t="str">
        <f>IFERROR(VLOOKUP(G1185,WholesaleExtract!B:L,11,FALSE),"")</f>
        <v/>
      </c>
      <c r="M1185" s="47" t="str">
        <f>IFERROR(VLOOKUP(G1185,WholesaleExtract!B:M,12,FALSE),"")</f>
        <v/>
      </c>
      <c r="N1185" s="27"/>
      <c r="O1185" s="19"/>
      <c r="P1185" s="19"/>
      <c r="Q1185" s="47"/>
      <c r="R1185" s="19"/>
      <c r="S1185" s="19"/>
    </row>
    <row r="1186" spans="1:19" x14ac:dyDescent="0.35">
      <c r="A1186" s="26" t="s">
        <v>543</v>
      </c>
      <c r="B1186" s="26" t="s">
        <v>543</v>
      </c>
      <c r="C1186" s="26"/>
      <c r="D1186" s="26" t="s">
        <v>543</v>
      </c>
      <c r="E1186" s="26" t="str">
        <f>IFERROR(VLOOKUP(G1186,WholesaleExtract!B:J,9,FALSE),"")</f>
        <v/>
      </c>
      <c r="F1186" s="26" t="str">
        <f>IFERROR(VLOOKUP(G1186,WholesaleExtract!B:J,6,FALSE),"")</f>
        <v/>
      </c>
      <c r="G1186" s="46"/>
      <c r="H1186" s="47" t="str">
        <f>IFERROR(VLOOKUP(G1186,WholesaleExtract!B:L,11,FALSE),"")</f>
        <v/>
      </c>
      <c r="I1186" s="26" t="str">
        <f>IFERROR(VLOOKUP(G1186,WholesaleExtract!B:O,8,FALSE),"")</f>
        <v/>
      </c>
      <c r="J1186" s="26" t="str">
        <f>IFERROR(VLOOKUP(G1186,WholesaleExtract!B:O,14,FALSE),"")</f>
        <v/>
      </c>
      <c r="K1186" s="26" t="str">
        <f>IFERROR(VLOOKUP(G1186,WholesaleExtract!B:K,10,FALSE),"")</f>
        <v/>
      </c>
      <c r="L1186" s="47" t="str">
        <f>IFERROR(VLOOKUP(G1186,WholesaleExtract!B:L,11,FALSE),"")</f>
        <v/>
      </c>
      <c r="M1186" s="47" t="str">
        <f>IFERROR(VLOOKUP(G1186,WholesaleExtract!B:M,12,FALSE),"")</f>
        <v/>
      </c>
      <c r="N1186" s="27"/>
      <c r="O1186" s="19"/>
      <c r="P1186" s="19"/>
      <c r="Q1186" s="47"/>
      <c r="R1186" s="19"/>
      <c r="S1186" s="19"/>
    </row>
    <row r="1187" spans="1:19" x14ac:dyDescent="0.35">
      <c r="A1187" s="26" t="s">
        <v>543</v>
      </c>
      <c r="B1187" s="26" t="s">
        <v>543</v>
      </c>
      <c r="C1187" s="26"/>
      <c r="D1187" s="26" t="s">
        <v>543</v>
      </c>
      <c r="E1187" s="26" t="str">
        <f>IFERROR(VLOOKUP(G1187,WholesaleExtract!B:J,9,FALSE),"")</f>
        <v/>
      </c>
      <c r="F1187" s="26" t="str">
        <f>IFERROR(VLOOKUP(G1187,WholesaleExtract!B:J,6,FALSE),"")</f>
        <v/>
      </c>
      <c r="G1187" s="46"/>
      <c r="H1187" s="47" t="str">
        <f>IFERROR(VLOOKUP(G1187,WholesaleExtract!B:L,11,FALSE),"")</f>
        <v/>
      </c>
      <c r="I1187" s="26" t="str">
        <f>IFERROR(VLOOKUP(G1187,WholesaleExtract!B:O,8,FALSE),"")</f>
        <v/>
      </c>
      <c r="J1187" s="26" t="str">
        <f>IFERROR(VLOOKUP(G1187,WholesaleExtract!B:O,14,FALSE),"")</f>
        <v/>
      </c>
      <c r="K1187" s="26" t="str">
        <f>IFERROR(VLOOKUP(G1187,WholesaleExtract!B:K,10,FALSE),"")</f>
        <v/>
      </c>
      <c r="L1187" s="47" t="str">
        <f>IFERROR(VLOOKUP(G1187,WholesaleExtract!B:L,11,FALSE),"")</f>
        <v/>
      </c>
      <c r="M1187" s="47" t="str">
        <f>IFERROR(VLOOKUP(G1187,WholesaleExtract!B:M,12,FALSE),"")</f>
        <v/>
      </c>
      <c r="N1187" s="27"/>
      <c r="O1187" s="19"/>
      <c r="P1187" s="19"/>
      <c r="Q1187" s="47"/>
      <c r="R1187" s="19"/>
      <c r="S1187" s="19"/>
    </row>
    <row r="1188" spans="1:19" x14ac:dyDescent="0.35">
      <c r="A1188" s="26" t="s">
        <v>543</v>
      </c>
      <c r="B1188" s="26" t="s">
        <v>543</v>
      </c>
      <c r="C1188" s="26"/>
      <c r="D1188" s="26" t="s">
        <v>543</v>
      </c>
      <c r="E1188" s="26" t="str">
        <f>IFERROR(VLOOKUP(G1188,WholesaleExtract!B:J,9,FALSE),"")</f>
        <v/>
      </c>
      <c r="F1188" s="26" t="str">
        <f>IFERROR(VLOOKUP(G1188,WholesaleExtract!B:J,6,FALSE),"")</f>
        <v/>
      </c>
      <c r="G1188" s="46"/>
      <c r="H1188" s="47" t="str">
        <f>IFERROR(VLOOKUP(G1188,WholesaleExtract!B:L,11,FALSE),"")</f>
        <v/>
      </c>
      <c r="I1188" s="26" t="str">
        <f>IFERROR(VLOOKUP(G1188,WholesaleExtract!B:O,8,FALSE),"")</f>
        <v/>
      </c>
      <c r="J1188" s="26" t="str">
        <f>IFERROR(VLOOKUP(G1188,WholesaleExtract!B:O,14,FALSE),"")</f>
        <v/>
      </c>
      <c r="K1188" s="26" t="str">
        <f>IFERROR(VLOOKUP(G1188,WholesaleExtract!B:K,10,FALSE),"")</f>
        <v/>
      </c>
      <c r="L1188" s="47" t="str">
        <f>IFERROR(VLOOKUP(G1188,WholesaleExtract!B:L,11,FALSE),"")</f>
        <v/>
      </c>
      <c r="M1188" s="47" t="str">
        <f>IFERROR(VLOOKUP(G1188,WholesaleExtract!B:M,12,FALSE),"")</f>
        <v/>
      </c>
      <c r="N1188" s="27"/>
      <c r="O1188" s="19"/>
      <c r="P1188" s="19"/>
      <c r="Q1188" s="47"/>
      <c r="R1188" s="19"/>
      <c r="S1188" s="19"/>
    </row>
    <row r="1189" spans="1:19" x14ac:dyDescent="0.35">
      <c r="A1189" s="26" t="s">
        <v>543</v>
      </c>
      <c r="B1189" s="26" t="s">
        <v>543</v>
      </c>
      <c r="C1189" s="26"/>
      <c r="D1189" s="26" t="s">
        <v>543</v>
      </c>
      <c r="E1189" s="26" t="str">
        <f>IFERROR(VLOOKUP(G1189,WholesaleExtract!B:J,9,FALSE),"")</f>
        <v/>
      </c>
      <c r="F1189" s="26" t="str">
        <f>IFERROR(VLOOKUP(G1189,WholesaleExtract!B:J,6,FALSE),"")</f>
        <v/>
      </c>
      <c r="G1189" s="46"/>
      <c r="H1189" s="47" t="str">
        <f>IFERROR(VLOOKUP(G1189,WholesaleExtract!B:L,11,FALSE),"")</f>
        <v/>
      </c>
      <c r="I1189" s="26" t="str">
        <f>IFERROR(VLOOKUP(G1189,WholesaleExtract!B:O,8,FALSE),"")</f>
        <v/>
      </c>
      <c r="J1189" s="26" t="str">
        <f>IFERROR(VLOOKUP(G1189,WholesaleExtract!B:O,14,FALSE),"")</f>
        <v/>
      </c>
      <c r="K1189" s="26" t="str">
        <f>IFERROR(VLOOKUP(G1189,WholesaleExtract!B:K,10,FALSE),"")</f>
        <v/>
      </c>
      <c r="L1189" s="47" t="str">
        <f>IFERROR(VLOOKUP(G1189,WholesaleExtract!B:L,11,FALSE),"")</f>
        <v/>
      </c>
      <c r="M1189" s="47" t="str">
        <f>IFERROR(VLOOKUP(G1189,WholesaleExtract!B:M,12,FALSE),"")</f>
        <v/>
      </c>
      <c r="N1189" s="27"/>
      <c r="O1189" s="19"/>
      <c r="P1189" s="19"/>
      <c r="Q1189" s="47"/>
      <c r="R1189" s="19"/>
      <c r="S1189" s="19"/>
    </row>
    <row r="1190" spans="1:19" x14ac:dyDescent="0.35">
      <c r="A1190" s="26" t="s">
        <v>543</v>
      </c>
      <c r="B1190" s="26" t="s">
        <v>543</v>
      </c>
      <c r="C1190" s="26"/>
      <c r="D1190" s="26" t="s">
        <v>543</v>
      </c>
      <c r="E1190" s="26" t="str">
        <f>IFERROR(VLOOKUP(G1190,WholesaleExtract!B:J,9,FALSE),"")</f>
        <v/>
      </c>
      <c r="F1190" s="26" t="str">
        <f>IFERROR(VLOOKUP(G1190,WholesaleExtract!B:J,6,FALSE),"")</f>
        <v/>
      </c>
      <c r="G1190" s="46"/>
      <c r="H1190" s="47" t="str">
        <f>IFERROR(VLOOKUP(G1190,WholesaleExtract!B:L,11,FALSE),"")</f>
        <v/>
      </c>
      <c r="I1190" s="26" t="str">
        <f>IFERROR(VLOOKUP(G1190,WholesaleExtract!B:O,8,FALSE),"")</f>
        <v/>
      </c>
      <c r="J1190" s="26" t="str">
        <f>IFERROR(VLOOKUP(G1190,WholesaleExtract!B:O,14,FALSE),"")</f>
        <v/>
      </c>
      <c r="K1190" s="26" t="str">
        <f>IFERROR(VLOOKUP(G1190,WholesaleExtract!B:K,10,FALSE),"")</f>
        <v/>
      </c>
      <c r="L1190" s="47" t="str">
        <f>IFERROR(VLOOKUP(G1190,WholesaleExtract!B:L,11,FALSE),"")</f>
        <v/>
      </c>
      <c r="M1190" s="47" t="str">
        <f>IFERROR(VLOOKUP(G1190,WholesaleExtract!B:M,12,FALSE),"")</f>
        <v/>
      </c>
      <c r="N1190" s="27"/>
      <c r="O1190" s="19"/>
      <c r="P1190" s="19"/>
      <c r="Q1190" s="47"/>
      <c r="R1190" s="19"/>
      <c r="S1190" s="19"/>
    </row>
    <row r="1191" spans="1:19" x14ac:dyDescent="0.35">
      <c r="A1191" s="26" t="s">
        <v>543</v>
      </c>
      <c r="B1191" s="26" t="s">
        <v>543</v>
      </c>
      <c r="C1191" s="26"/>
      <c r="D1191" s="26" t="s">
        <v>543</v>
      </c>
      <c r="E1191" s="26" t="str">
        <f>IFERROR(VLOOKUP(G1191,WholesaleExtract!B:J,9,FALSE),"")</f>
        <v/>
      </c>
      <c r="F1191" s="26" t="str">
        <f>IFERROR(VLOOKUP(G1191,WholesaleExtract!B:J,6,FALSE),"")</f>
        <v/>
      </c>
      <c r="G1191" s="46"/>
      <c r="H1191" s="47" t="str">
        <f>IFERROR(VLOOKUP(G1191,WholesaleExtract!B:L,11,FALSE),"")</f>
        <v/>
      </c>
      <c r="I1191" s="26" t="str">
        <f>IFERROR(VLOOKUP(G1191,WholesaleExtract!B:O,8,FALSE),"")</f>
        <v/>
      </c>
      <c r="J1191" s="26" t="str">
        <f>IFERROR(VLOOKUP(G1191,WholesaleExtract!B:O,14,FALSE),"")</f>
        <v/>
      </c>
      <c r="K1191" s="26" t="str">
        <f>IFERROR(VLOOKUP(G1191,WholesaleExtract!B:K,10,FALSE),"")</f>
        <v/>
      </c>
      <c r="L1191" s="47" t="str">
        <f>IFERROR(VLOOKUP(G1191,WholesaleExtract!B:L,11,FALSE),"")</f>
        <v/>
      </c>
      <c r="M1191" s="47" t="str">
        <f>IFERROR(VLOOKUP(G1191,WholesaleExtract!B:M,12,FALSE),"")</f>
        <v/>
      </c>
      <c r="N1191" s="27"/>
      <c r="O1191" s="19"/>
      <c r="P1191" s="19"/>
      <c r="Q1191" s="47"/>
      <c r="R1191" s="19"/>
      <c r="S1191" s="19"/>
    </row>
    <row r="1192" spans="1:19" x14ac:dyDescent="0.35">
      <c r="A1192" s="26" t="s">
        <v>543</v>
      </c>
      <c r="B1192" s="26" t="s">
        <v>543</v>
      </c>
      <c r="C1192" s="26"/>
      <c r="D1192" s="26" t="s">
        <v>543</v>
      </c>
      <c r="E1192" s="26" t="str">
        <f>IFERROR(VLOOKUP(G1192,WholesaleExtract!B:J,9,FALSE),"")</f>
        <v/>
      </c>
      <c r="F1192" s="26" t="str">
        <f>IFERROR(VLOOKUP(G1192,WholesaleExtract!B:J,6,FALSE),"")</f>
        <v/>
      </c>
      <c r="G1192" s="46"/>
      <c r="H1192" s="47" t="str">
        <f>IFERROR(VLOOKUP(G1192,WholesaleExtract!B:L,11,FALSE),"")</f>
        <v/>
      </c>
      <c r="I1192" s="26" t="str">
        <f>IFERROR(VLOOKUP(G1192,WholesaleExtract!B:O,8,FALSE),"")</f>
        <v/>
      </c>
      <c r="J1192" s="26" t="str">
        <f>IFERROR(VLOOKUP(G1192,WholesaleExtract!B:O,14,FALSE),"")</f>
        <v/>
      </c>
      <c r="K1192" s="26" t="str">
        <f>IFERROR(VLOOKUP(G1192,WholesaleExtract!B:K,10,FALSE),"")</f>
        <v/>
      </c>
      <c r="L1192" s="47" t="str">
        <f>IFERROR(VLOOKUP(G1192,WholesaleExtract!B:L,11,FALSE),"")</f>
        <v/>
      </c>
      <c r="M1192" s="47" t="str">
        <f>IFERROR(VLOOKUP(G1192,WholesaleExtract!B:M,12,FALSE),"")</f>
        <v/>
      </c>
      <c r="N1192" s="27"/>
      <c r="O1192" s="19"/>
      <c r="P1192" s="19"/>
      <c r="Q1192" s="47"/>
      <c r="R1192" s="19"/>
      <c r="S1192" s="19"/>
    </row>
    <row r="1193" spans="1:19" x14ac:dyDescent="0.35">
      <c r="A1193" s="26" t="s">
        <v>543</v>
      </c>
      <c r="B1193" s="26" t="s">
        <v>543</v>
      </c>
      <c r="C1193" s="26"/>
      <c r="D1193" s="26" t="s">
        <v>543</v>
      </c>
      <c r="E1193" s="26" t="str">
        <f>IFERROR(VLOOKUP(G1193,WholesaleExtract!B:J,9,FALSE),"")</f>
        <v/>
      </c>
      <c r="F1193" s="26" t="str">
        <f>IFERROR(VLOOKUP(G1193,WholesaleExtract!B:J,6,FALSE),"")</f>
        <v/>
      </c>
      <c r="G1193" s="46"/>
      <c r="H1193" s="47" t="str">
        <f>IFERROR(VLOOKUP(G1193,WholesaleExtract!B:L,11,FALSE),"")</f>
        <v/>
      </c>
      <c r="I1193" s="26" t="str">
        <f>IFERROR(VLOOKUP(G1193,WholesaleExtract!B:O,8,FALSE),"")</f>
        <v/>
      </c>
      <c r="J1193" s="26" t="str">
        <f>IFERROR(VLOOKUP(G1193,WholesaleExtract!B:O,14,FALSE),"")</f>
        <v/>
      </c>
      <c r="K1193" s="26" t="str">
        <f>IFERROR(VLOOKUP(G1193,WholesaleExtract!B:K,10,FALSE),"")</f>
        <v/>
      </c>
      <c r="L1193" s="47" t="str">
        <f>IFERROR(VLOOKUP(G1193,WholesaleExtract!B:L,11,FALSE),"")</f>
        <v/>
      </c>
      <c r="M1193" s="47" t="str">
        <f>IFERROR(VLOOKUP(G1193,WholesaleExtract!B:M,12,FALSE),"")</f>
        <v/>
      </c>
      <c r="N1193" s="27"/>
      <c r="O1193" s="19"/>
      <c r="P1193" s="19"/>
      <c r="Q1193" s="47"/>
      <c r="R1193" s="19"/>
      <c r="S1193" s="19"/>
    </row>
    <row r="1194" spans="1:19" x14ac:dyDescent="0.35">
      <c r="A1194" s="26" t="s">
        <v>543</v>
      </c>
      <c r="B1194" s="26" t="s">
        <v>543</v>
      </c>
      <c r="C1194" s="26"/>
      <c r="D1194" s="26" t="s">
        <v>543</v>
      </c>
      <c r="E1194" s="26" t="str">
        <f>IFERROR(VLOOKUP(G1194,WholesaleExtract!B:J,9,FALSE),"")</f>
        <v/>
      </c>
      <c r="F1194" s="26" t="str">
        <f>IFERROR(VLOOKUP(G1194,WholesaleExtract!B:J,6,FALSE),"")</f>
        <v/>
      </c>
      <c r="G1194" s="46"/>
      <c r="H1194" s="47" t="str">
        <f>IFERROR(VLOOKUP(G1194,WholesaleExtract!B:L,11,FALSE),"")</f>
        <v/>
      </c>
      <c r="I1194" s="26" t="str">
        <f>IFERROR(VLOOKUP(G1194,WholesaleExtract!B:O,8,FALSE),"")</f>
        <v/>
      </c>
      <c r="J1194" s="26" t="str">
        <f>IFERROR(VLOOKUP(G1194,WholesaleExtract!B:O,14,FALSE),"")</f>
        <v/>
      </c>
      <c r="K1194" s="26" t="str">
        <f>IFERROR(VLOOKUP(G1194,WholesaleExtract!B:K,10,FALSE),"")</f>
        <v/>
      </c>
      <c r="L1194" s="47" t="str">
        <f>IFERROR(VLOOKUP(G1194,WholesaleExtract!B:L,11,FALSE),"")</f>
        <v/>
      </c>
      <c r="M1194" s="47" t="str">
        <f>IFERROR(VLOOKUP(G1194,WholesaleExtract!B:M,12,FALSE),"")</f>
        <v/>
      </c>
      <c r="N1194" s="27"/>
      <c r="O1194" s="19"/>
      <c r="P1194" s="19"/>
      <c r="Q1194" s="47"/>
      <c r="R1194" s="19"/>
      <c r="S1194" s="19"/>
    </row>
    <row r="1195" spans="1:19" x14ac:dyDescent="0.35">
      <c r="A1195" s="26" t="s">
        <v>543</v>
      </c>
      <c r="B1195" s="26" t="s">
        <v>543</v>
      </c>
      <c r="C1195" s="26"/>
      <c r="D1195" s="26" t="s">
        <v>543</v>
      </c>
      <c r="E1195" s="26" t="str">
        <f>IFERROR(VLOOKUP(G1195,WholesaleExtract!B:J,9,FALSE),"")</f>
        <v/>
      </c>
      <c r="F1195" s="26" t="str">
        <f>IFERROR(VLOOKUP(G1195,WholesaleExtract!B:J,6,FALSE),"")</f>
        <v/>
      </c>
      <c r="G1195" s="46"/>
      <c r="H1195" s="47" t="str">
        <f>IFERROR(VLOOKUP(G1195,WholesaleExtract!B:L,11,FALSE),"")</f>
        <v/>
      </c>
      <c r="I1195" s="26" t="str">
        <f>IFERROR(VLOOKUP(G1195,WholesaleExtract!B:O,8,FALSE),"")</f>
        <v/>
      </c>
      <c r="J1195" s="26" t="str">
        <f>IFERROR(VLOOKUP(G1195,WholesaleExtract!B:O,14,FALSE),"")</f>
        <v/>
      </c>
      <c r="K1195" s="26" t="str">
        <f>IFERROR(VLOOKUP(G1195,WholesaleExtract!B:K,10,FALSE),"")</f>
        <v/>
      </c>
      <c r="L1195" s="47" t="str">
        <f>IFERROR(VLOOKUP(G1195,WholesaleExtract!B:L,11,FALSE),"")</f>
        <v/>
      </c>
      <c r="M1195" s="47" t="str">
        <f>IFERROR(VLOOKUP(G1195,WholesaleExtract!B:M,12,FALSE),"")</f>
        <v/>
      </c>
      <c r="N1195" s="27"/>
      <c r="O1195" s="19"/>
      <c r="P1195" s="19"/>
      <c r="Q1195" s="47"/>
      <c r="R1195" s="19"/>
      <c r="S1195" s="19"/>
    </row>
    <row r="1196" spans="1:19" x14ac:dyDescent="0.35">
      <c r="A1196" s="26" t="s">
        <v>543</v>
      </c>
      <c r="B1196" s="26" t="s">
        <v>543</v>
      </c>
      <c r="C1196" s="26"/>
      <c r="D1196" s="26" t="s">
        <v>543</v>
      </c>
      <c r="E1196" s="26" t="str">
        <f>IFERROR(VLOOKUP(G1196,WholesaleExtract!B:J,9,FALSE),"")</f>
        <v/>
      </c>
      <c r="F1196" s="26" t="str">
        <f>IFERROR(VLOOKUP(G1196,WholesaleExtract!B:J,6,FALSE),"")</f>
        <v/>
      </c>
      <c r="G1196" s="46"/>
      <c r="H1196" s="47" t="str">
        <f>IFERROR(VLOOKUP(G1196,WholesaleExtract!B:L,11,FALSE),"")</f>
        <v/>
      </c>
      <c r="I1196" s="26" t="str">
        <f>IFERROR(VLOOKUP(G1196,WholesaleExtract!B:O,8,FALSE),"")</f>
        <v/>
      </c>
      <c r="J1196" s="26" t="str">
        <f>IFERROR(VLOOKUP(G1196,WholesaleExtract!B:O,14,FALSE),"")</f>
        <v/>
      </c>
      <c r="K1196" s="26" t="str">
        <f>IFERROR(VLOOKUP(G1196,WholesaleExtract!B:K,10,FALSE),"")</f>
        <v/>
      </c>
      <c r="L1196" s="47" t="str">
        <f>IFERROR(VLOOKUP(G1196,WholesaleExtract!B:L,11,FALSE),"")</f>
        <v/>
      </c>
      <c r="M1196" s="47" t="str">
        <f>IFERROR(VLOOKUP(G1196,WholesaleExtract!B:M,12,FALSE),"")</f>
        <v/>
      </c>
      <c r="N1196" s="27"/>
      <c r="O1196" s="19"/>
      <c r="P1196" s="19"/>
      <c r="Q1196" s="47"/>
      <c r="R1196" s="19"/>
      <c r="S1196" s="19"/>
    </row>
    <row r="1197" spans="1:19" x14ac:dyDescent="0.35">
      <c r="A1197" s="26" t="s">
        <v>543</v>
      </c>
      <c r="B1197" s="26" t="s">
        <v>543</v>
      </c>
      <c r="C1197" s="26"/>
      <c r="D1197" s="26" t="s">
        <v>543</v>
      </c>
      <c r="E1197" s="26" t="str">
        <f>IFERROR(VLOOKUP(G1197,WholesaleExtract!B:J,9,FALSE),"")</f>
        <v/>
      </c>
      <c r="F1197" s="26" t="str">
        <f>IFERROR(VLOOKUP(G1197,WholesaleExtract!B:J,6,FALSE),"")</f>
        <v/>
      </c>
      <c r="G1197" s="46"/>
      <c r="H1197" s="47" t="str">
        <f>IFERROR(VLOOKUP(G1197,WholesaleExtract!B:L,11,FALSE),"")</f>
        <v/>
      </c>
      <c r="I1197" s="26" t="str">
        <f>IFERROR(VLOOKUP(G1197,WholesaleExtract!B:O,8,FALSE),"")</f>
        <v/>
      </c>
      <c r="J1197" s="26" t="str">
        <f>IFERROR(VLOOKUP(G1197,WholesaleExtract!B:O,14,FALSE),"")</f>
        <v/>
      </c>
      <c r="K1197" s="26" t="str">
        <f>IFERROR(VLOOKUP(G1197,WholesaleExtract!B:K,10,FALSE),"")</f>
        <v/>
      </c>
      <c r="L1197" s="47" t="str">
        <f>IFERROR(VLOOKUP(G1197,WholesaleExtract!B:L,11,FALSE),"")</f>
        <v/>
      </c>
      <c r="M1197" s="47" t="str">
        <f>IFERROR(VLOOKUP(G1197,WholesaleExtract!B:M,12,FALSE),"")</f>
        <v/>
      </c>
      <c r="N1197" s="27"/>
      <c r="O1197" s="19"/>
      <c r="P1197" s="19"/>
      <c r="Q1197" s="47"/>
      <c r="R1197" s="19"/>
      <c r="S1197" s="19"/>
    </row>
    <row r="1198" spans="1:19" x14ac:dyDescent="0.35">
      <c r="A1198" s="26" t="s">
        <v>543</v>
      </c>
      <c r="B1198" s="26" t="s">
        <v>543</v>
      </c>
      <c r="C1198" s="26"/>
      <c r="D1198" s="26" t="s">
        <v>543</v>
      </c>
      <c r="E1198" s="26" t="str">
        <f>IFERROR(VLOOKUP(G1198,WholesaleExtract!B:J,9,FALSE),"")</f>
        <v/>
      </c>
      <c r="F1198" s="26" t="str">
        <f>IFERROR(VLOOKUP(G1198,WholesaleExtract!B:J,6,FALSE),"")</f>
        <v/>
      </c>
      <c r="G1198" s="46"/>
      <c r="H1198" s="47" t="str">
        <f>IFERROR(VLOOKUP(G1198,WholesaleExtract!B:L,11,FALSE),"")</f>
        <v/>
      </c>
      <c r="I1198" s="26" t="str">
        <f>IFERROR(VLOOKUP(G1198,WholesaleExtract!B:O,8,FALSE),"")</f>
        <v/>
      </c>
      <c r="J1198" s="26" t="str">
        <f>IFERROR(VLOOKUP(G1198,WholesaleExtract!B:O,14,FALSE),"")</f>
        <v/>
      </c>
      <c r="K1198" s="26" t="str">
        <f>IFERROR(VLOOKUP(G1198,WholesaleExtract!B:K,10,FALSE),"")</f>
        <v/>
      </c>
      <c r="L1198" s="47" t="str">
        <f>IFERROR(VLOOKUP(G1198,WholesaleExtract!B:L,11,FALSE),"")</f>
        <v/>
      </c>
      <c r="M1198" s="47" t="str">
        <f>IFERROR(VLOOKUP(G1198,WholesaleExtract!B:M,12,FALSE),"")</f>
        <v/>
      </c>
      <c r="N1198" s="27"/>
      <c r="O1198" s="19"/>
      <c r="P1198" s="19"/>
      <c r="Q1198" s="47"/>
      <c r="R1198" s="19"/>
      <c r="S1198" s="19"/>
    </row>
    <row r="1199" spans="1:19" x14ac:dyDescent="0.35">
      <c r="A1199" s="26" t="s">
        <v>543</v>
      </c>
      <c r="B1199" s="26" t="s">
        <v>543</v>
      </c>
      <c r="C1199" s="26"/>
      <c r="D1199" s="26" t="s">
        <v>543</v>
      </c>
      <c r="E1199" s="26" t="str">
        <f>IFERROR(VLOOKUP(G1199,WholesaleExtract!B:J,9,FALSE),"")</f>
        <v/>
      </c>
      <c r="F1199" s="26" t="str">
        <f>IFERROR(VLOOKUP(G1199,WholesaleExtract!B:J,6,FALSE),"")</f>
        <v/>
      </c>
      <c r="G1199" s="46"/>
      <c r="H1199" s="47" t="str">
        <f>IFERROR(VLOOKUP(G1199,WholesaleExtract!B:L,11,FALSE),"")</f>
        <v/>
      </c>
      <c r="I1199" s="26" t="str">
        <f>IFERROR(VLOOKUP(G1199,WholesaleExtract!B:O,8,FALSE),"")</f>
        <v/>
      </c>
      <c r="J1199" s="26" t="str">
        <f>IFERROR(VLOOKUP(G1199,WholesaleExtract!B:O,14,FALSE),"")</f>
        <v/>
      </c>
      <c r="K1199" s="26" t="str">
        <f>IFERROR(VLOOKUP(G1199,WholesaleExtract!B:K,10,FALSE),"")</f>
        <v/>
      </c>
      <c r="L1199" s="47" t="str">
        <f>IFERROR(VLOOKUP(G1199,WholesaleExtract!B:L,11,FALSE),"")</f>
        <v/>
      </c>
      <c r="M1199" s="47" t="str">
        <f>IFERROR(VLOOKUP(G1199,WholesaleExtract!B:M,12,FALSE),"")</f>
        <v/>
      </c>
      <c r="N1199" s="27"/>
      <c r="O1199" s="19"/>
      <c r="P1199" s="19"/>
      <c r="Q1199" s="47"/>
      <c r="R1199" s="19"/>
      <c r="S1199" s="19"/>
    </row>
    <row r="1200" spans="1:19" x14ac:dyDescent="0.35">
      <c r="A1200" s="26" t="s">
        <v>543</v>
      </c>
      <c r="B1200" s="26" t="s">
        <v>543</v>
      </c>
      <c r="C1200" s="26"/>
      <c r="D1200" s="26" t="s">
        <v>543</v>
      </c>
      <c r="E1200" s="26" t="str">
        <f>IFERROR(VLOOKUP(G1200,WholesaleExtract!B:J,9,FALSE),"")</f>
        <v/>
      </c>
      <c r="F1200" s="26" t="str">
        <f>IFERROR(VLOOKUP(G1200,WholesaleExtract!B:J,6,FALSE),"")</f>
        <v/>
      </c>
      <c r="G1200" s="46"/>
      <c r="H1200" s="47" t="str">
        <f>IFERROR(VLOOKUP(G1200,WholesaleExtract!B:L,11,FALSE),"")</f>
        <v/>
      </c>
      <c r="I1200" s="26" t="str">
        <f>IFERROR(VLOOKUP(G1200,WholesaleExtract!B:O,8,FALSE),"")</f>
        <v/>
      </c>
      <c r="J1200" s="26" t="str">
        <f>IFERROR(VLOOKUP(G1200,WholesaleExtract!B:O,14,FALSE),"")</f>
        <v/>
      </c>
      <c r="K1200" s="26" t="str">
        <f>IFERROR(VLOOKUP(G1200,WholesaleExtract!B:K,10,FALSE),"")</f>
        <v/>
      </c>
      <c r="L1200" s="47" t="str">
        <f>IFERROR(VLOOKUP(G1200,WholesaleExtract!B:L,11,FALSE),"")</f>
        <v/>
      </c>
      <c r="M1200" s="47" t="str">
        <f>IFERROR(VLOOKUP(G1200,WholesaleExtract!B:M,12,FALSE),"")</f>
        <v/>
      </c>
      <c r="N1200" s="27"/>
      <c r="O1200" s="19"/>
      <c r="P1200" s="19"/>
      <c r="Q1200" s="47"/>
      <c r="R1200" s="19"/>
      <c r="S1200" s="19"/>
    </row>
    <row r="1201" spans="1:19" x14ac:dyDescent="0.35">
      <c r="A1201" s="26" t="s">
        <v>543</v>
      </c>
      <c r="B1201" s="26" t="s">
        <v>543</v>
      </c>
      <c r="C1201" s="26"/>
      <c r="D1201" s="26" t="s">
        <v>543</v>
      </c>
      <c r="E1201" s="26" t="str">
        <f>IFERROR(VLOOKUP(G1201,WholesaleExtract!B:J,9,FALSE),"")</f>
        <v/>
      </c>
      <c r="F1201" s="26" t="str">
        <f>IFERROR(VLOOKUP(G1201,WholesaleExtract!B:J,6,FALSE),"")</f>
        <v/>
      </c>
      <c r="G1201" s="46"/>
      <c r="H1201" s="47" t="str">
        <f>IFERROR(VLOOKUP(G1201,WholesaleExtract!B:L,11,FALSE),"")</f>
        <v/>
      </c>
      <c r="I1201" s="26" t="str">
        <f>IFERROR(VLOOKUP(G1201,WholesaleExtract!B:O,8,FALSE),"")</f>
        <v/>
      </c>
      <c r="J1201" s="26" t="str">
        <f>IFERROR(VLOOKUP(G1201,WholesaleExtract!B:O,14,FALSE),"")</f>
        <v/>
      </c>
      <c r="K1201" s="26" t="str">
        <f>IFERROR(VLOOKUP(G1201,WholesaleExtract!B:K,10,FALSE),"")</f>
        <v/>
      </c>
      <c r="L1201" s="47" t="str">
        <f>IFERROR(VLOOKUP(G1201,WholesaleExtract!B:L,11,FALSE),"")</f>
        <v/>
      </c>
      <c r="M1201" s="47" t="str">
        <f>IFERROR(VLOOKUP(G1201,WholesaleExtract!B:M,12,FALSE),"")</f>
        <v/>
      </c>
      <c r="N1201" s="27"/>
      <c r="O1201" s="19"/>
      <c r="P1201" s="19"/>
      <c r="Q1201" s="47"/>
      <c r="R1201" s="19"/>
      <c r="S1201" s="19"/>
    </row>
    <row r="1202" spans="1:19" x14ac:dyDescent="0.35">
      <c r="A1202" s="26" t="s">
        <v>543</v>
      </c>
      <c r="B1202" s="26" t="s">
        <v>543</v>
      </c>
      <c r="C1202" s="26"/>
      <c r="D1202" s="26" t="s">
        <v>543</v>
      </c>
      <c r="E1202" s="26" t="str">
        <f>IFERROR(VLOOKUP(G1202,WholesaleExtract!B:J,9,FALSE),"")</f>
        <v/>
      </c>
      <c r="F1202" s="26" t="str">
        <f>IFERROR(VLOOKUP(G1202,WholesaleExtract!B:J,6,FALSE),"")</f>
        <v/>
      </c>
      <c r="G1202" s="46"/>
      <c r="H1202" s="47" t="str">
        <f>IFERROR(VLOOKUP(G1202,WholesaleExtract!B:L,11,FALSE),"")</f>
        <v/>
      </c>
      <c r="I1202" s="26" t="str">
        <f>IFERROR(VLOOKUP(G1202,WholesaleExtract!B:O,8,FALSE),"")</f>
        <v/>
      </c>
      <c r="J1202" s="26" t="str">
        <f>IFERROR(VLOOKUP(G1202,WholesaleExtract!B:O,14,FALSE),"")</f>
        <v/>
      </c>
      <c r="K1202" s="26" t="str">
        <f>IFERROR(VLOOKUP(G1202,WholesaleExtract!B:K,10,FALSE),"")</f>
        <v/>
      </c>
      <c r="L1202" s="47" t="str">
        <f>IFERROR(VLOOKUP(G1202,WholesaleExtract!B:L,11,FALSE),"")</f>
        <v/>
      </c>
      <c r="M1202" s="47" t="str">
        <f>IFERROR(VLOOKUP(G1202,WholesaleExtract!B:M,12,FALSE),"")</f>
        <v/>
      </c>
      <c r="N1202" s="27"/>
      <c r="O1202" s="19"/>
      <c r="P1202" s="19"/>
      <c r="Q1202" s="47"/>
      <c r="R1202" s="19"/>
      <c r="S1202" s="19"/>
    </row>
    <row r="1203" spans="1:19" x14ac:dyDescent="0.35">
      <c r="A1203" s="26" t="s">
        <v>543</v>
      </c>
      <c r="B1203" s="26" t="s">
        <v>543</v>
      </c>
      <c r="C1203" s="26"/>
      <c r="D1203" s="26" t="s">
        <v>543</v>
      </c>
      <c r="E1203" s="26" t="str">
        <f>IFERROR(VLOOKUP(G1203,WholesaleExtract!B:J,9,FALSE),"")</f>
        <v/>
      </c>
      <c r="F1203" s="26" t="str">
        <f>IFERROR(VLOOKUP(G1203,WholesaleExtract!B:J,6,FALSE),"")</f>
        <v/>
      </c>
      <c r="G1203" s="46"/>
      <c r="H1203" s="47" t="str">
        <f>IFERROR(VLOOKUP(G1203,WholesaleExtract!B:L,11,FALSE),"")</f>
        <v/>
      </c>
      <c r="I1203" s="26" t="str">
        <f>IFERROR(VLOOKUP(G1203,WholesaleExtract!B:O,8,FALSE),"")</f>
        <v/>
      </c>
      <c r="J1203" s="26" t="str">
        <f>IFERROR(VLOOKUP(G1203,WholesaleExtract!B:O,14,FALSE),"")</f>
        <v/>
      </c>
      <c r="K1203" s="26" t="str">
        <f>IFERROR(VLOOKUP(G1203,WholesaleExtract!B:K,10,FALSE),"")</f>
        <v/>
      </c>
      <c r="L1203" s="47" t="str">
        <f>IFERROR(VLOOKUP(G1203,WholesaleExtract!B:L,11,FALSE),"")</f>
        <v/>
      </c>
      <c r="M1203" s="47" t="str">
        <f>IFERROR(VLOOKUP(G1203,WholesaleExtract!B:M,12,FALSE),"")</f>
        <v/>
      </c>
      <c r="N1203" s="27"/>
      <c r="O1203" s="19"/>
      <c r="P1203" s="19"/>
      <c r="Q1203" s="47"/>
      <c r="R1203" s="19"/>
      <c r="S1203" s="19"/>
    </row>
    <row r="1204" spans="1:19" x14ac:dyDescent="0.35">
      <c r="A1204" s="26" t="s">
        <v>543</v>
      </c>
      <c r="B1204" s="26" t="s">
        <v>543</v>
      </c>
      <c r="C1204" s="26"/>
      <c r="D1204" s="26" t="s">
        <v>543</v>
      </c>
      <c r="E1204" s="26" t="str">
        <f>IFERROR(VLOOKUP(G1204,WholesaleExtract!B:J,9,FALSE),"")</f>
        <v/>
      </c>
      <c r="F1204" s="26" t="str">
        <f>IFERROR(VLOOKUP(G1204,WholesaleExtract!B:J,6,FALSE),"")</f>
        <v/>
      </c>
      <c r="G1204" s="46"/>
      <c r="H1204" s="47" t="str">
        <f>IFERROR(VLOOKUP(G1204,WholesaleExtract!B:L,11,FALSE),"")</f>
        <v/>
      </c>
      <c r="I1204" s="26" t="str">
        <f>IFERROR(VLOOKUP(G1204,WholesaleExtract!B:O,8,FALSE),"")</f>
        <v/>
      </c>
      <c r="J1204" s="26" t="str">
        <f>IFERROR(VLOOKUP(G1204,WholesaleExtract!B:O,14,FALSE),"")</f>
        <v/>
      </c>
      <c r="K1204" s="26" t="str">
        <f>IFERROR(VLOOKUP(G1204,WholesaleExtract!B:K,10,FALSE),"")</f>
        <v/>
      </c>
      <c r="L1204" s="47" t="str">
        <f>IFERROR(VLOOKUP(G1204,WholesaleExtract!B:L,11,FALSE),"")</f>
        <v/>
      </c>
      <c r="M1204" s="47" t="str">
        <f>IFERROR(VLOOKUP(G1204,WholesaleExtract!B:M,12,FALSE),"")</f>
        <v/>
      </c>
      <c r="N1204" s="27"/>
      <c r="O1204" s="19"/>
      <c r="P1204" s="19"/>
      <c r="Q1204" s="47"/>
      <c r="R1204" s="19"/>
      <c r="S1204" s="19"/>
    </row>
    <row r="1205" spans="1:19" x14ac:dyDescent="0.35">
      <c r="A1205" s="26" t="s">
        <v>543</v>
      </c>
      <c r="B1205" s="26" t="s">
        <v>543</v>
      </c>
      <c r="C1205" s="26"/>
      <c r="D1205" s="26" t="s">
        <v>543</v>
      </c>
      <c r="E1205" s="26" t="str">
        <f>IFERROR(VLOOKUP(G1205,WholesaleExtract!B:J,9,FALSE),"")</f>
        <v/>
      </c>
      <c r="F1205" s="26" t="str">
        <f>IFERROR(VLOOKUP(G1205,WholesaleExtract!B:J,6,FALSE),"")</f>
        <v/>
      </c>
      <c r="G1205" s="46"/>
      <c r="H1205" s="47" t="str">
        <f>IFERROR(VLOOKUP(G1205,WholesaleExtract!B:L,11,FALSE),"")</f>
        <v/>
      </c>
      <c r="I1205" s="26" t="str">
        <f>IFERROR(VLOOKUP(G1205,WholesaleExtract!B:O,8,FALSE),"")</f>
        <v/>
      </c>
      <c r="J1205" s="26" t="str">
        <f>IFERROR(VLOOKUP(G1205,WholesaleExtract!B:O,14,FALSE),"")</f>
        <v/>
      </c>
      <c r="K1205" s="26" t="str">
        <f>IFERROR(VLOOKUP(G1205,WholesaleExtract!B:K,10,FALSE),"")</f>
        <v/>
      </c>
      <c r="L1205" s="47" t="str">
        <f>IFERROR(VLOOKUP(G1205,WholesaleExtract!B:L,11,FALSE),"")</f>
        <v/>
      </c>
      <c r="M1205" s="47" t="str">
        <f>IFERROR(VLOOKUP(G1205,WholesaleExtract!B:M,12,FALSE),"")</f>
        <v/>
      </c>
      <c r="N1205" s="27"/>
      <c r="O1205" s="19"/>
      <c r="P1205" s="19"/>
      <c r="Q1205" s="47"/>
      <c r="R1205" s="19"/>
      <c r="S1205" s="19"/>
    </row>
    <row r="1206" spans="1:19" x14ac:dyDescent="0.35">
      <c r="A1206" s="26" t="s">
        <v>543</v>
      </c>
      <c r="B1206" s="26" t="s">
        <v>543</v>
      </c>
      <c r="C1206" s="26"/>
      <c r="D1206" s="26" t="s">
        <v>543</v>
      </c>
      <c r="E1206" s="26" t="str">
        <f>IFERROR(VLOOKUP(G1206,WholesaleExtract!B:J,9,FALSE),"")</f>
        <v/>
      </c>
      <c r="F1206" s="26" t="str">
        <f>IFERROR(VLOOKUP(G1206,WholesaleExtract!B:J,6,FALSE),"")</f>
        <v/>
      </c>
      <c r="G1206" s="46"/>
      <c r="H1206" s="47" t="str">
        <f>IFERROR(VLOOKUP(G1206,WholesaleExtract!B:L,11,FALSE),"")</f>
        <v/>
      </c>
      <c r="I1206" s="26" t="str">
        <f>IFERROR(VLOOKUP(G1206,WholesaleExtract!B:O,8,FALSE),"")</f>
        <v/>
      </c>
      <c r="J1206" s="26" t="str">
        <f>IFERROR(VLOOKUP(G1206,WholesaleExtract!B:O,14,FALSE),"")</f>
        <v/>
      </c>
      <c r="K1206" s="26" t="str">
        <f>IFERROR(VLOOKUP(G1206,WholesaleExtract!B:K,10,FALSE),"")</f>
        <v/>
      </c>
      <c r="L1206" s="47" t="str">
        <f>IFERROR(VLOOKUP(G1206,WholesaleExtract!B:L,11,FALSE),"")</f>
        <v/>
      </c>
      <c r="M1206" s="47" t="str">
        <f>IFERROR(VLOOKUP(G1206,WholesaleExtract!B:M,12,FALSE),"")</f>
        <v/>
      </c>
      <c r="N1206" s="27"/>
      <c r="O1206" s="19"/>
      <c r="P1206" s="19"/>
      <c r="Q1206" s="47"/>
      <c r="R1206" s="19"/>
      <c r="S1206" s="19"/>
    </row>
    <row r="1207" spans="1:19" x14ac:dyDescent="0.35">
      <c r="A1207" s="26" t="s">
        <v>543</v>
      </c>
      <c r="B1207" s="26" t="s">
        <v>543</v>
      </c>
      <c r="C1207" s="26"/>
      <c r="D1207" s="26" t="s">
        <v>543</v>
      </c>
      <c r="E1207" s="26" t="str">
        <f>IFERROR(VLOOKUP(G1207,WholesaleExtract!B:J,9,FALSE),"")</f>
        <v/>
      </c>
      <c r="F1207" s="26" t="str">
        <f>IFERROR(VLOOKUP(G1207,WholesaleExtract!B:J,6,FALSE),"")</f>
        <v/>
      </c>
      <c r="G1207" s="46"/>
      <c r="H1207" s="47" t="str">
        <f>IFERROR(VLOOKUP(G1207,WholesaleExtract!B:L,11,FALSE),"")</f>
        <v/>
      </c>
      <c r="I1207" s="26" t="str">
        <f>IFERROR(VLOOKUP(G1207,WholesaleExtract!B:O,8,FALSE),"")</f>
        <v/>
      </c>
      <c r="J1207" s="26" t="str">
        <f>IFERROR(VLOOKUP(G1207,WholesaleExtract!B:O,14,FALSE),"")</f>
        <v/>
      </c>
      <c r="K1207" s="26" t="str">
        <f>IFERROR(VLOOKUP(G1207,WholesaleExtract!B:K,10,FALSE),"")</f>
        <v/>
      </c>
      <c r="L1207" s="47" t="str">
        <f>IFERROR(VLOOKUP(G1207,WholesaleExtract!B:L,11,FALSE),"")</f>
        <v/>
      </c>
      <c r="M1207" s="47" t="str">
        <f>IFERROR(VLOOKUP(G1207,WholesaleExtract!B:M,12,FALSE),"")</f>
        <v/>
      </c>
      <c r="N1207" s="27"/>
      <c r="O1207" s="19"/>
      <c r="P1207" s="19"/>
      <c r="Q1207" s="47"/>
      <c r="R1207" s="19"/>
      <c r="S1207" s="19"/>
    </row>
    <row r="1208" spans="1:19" x14ac:dyDescent="0.35">
      <c r="A1208" s="26" t="s">
        <v>543</v>
      </c>
      <c r="B1208" s="26" t="s">
        <v>543</v>
      </c>
      <c r="C1208" s="26"/>
      <c r="D1208" s="26" t="s">
        <v>543</v>
      </c>
      <c r="E1208" s="26" t="str">
        <f>IFERROR(VLOOKUP(G1208,WholesaleExtract!B:J,9,FALSE),"")</f>
        <v/>
      </c>
      <c r="F1208" s="26" t="str">
        <f>IFERROR(VLOOKUP(G1208,WholesaleExtract!B:J,6,FALSE),"")</f>
        <v/>
      </c>
      <c r="G1208" s="46"/>
      <c r="H1208" s="47" t="str">
        <f>IFERROR(VLOOKUP(G1208,WholesaleExtract!B:L,11,FALSE),"")</f>
        <v/>
      </c>
      <c r="I1208" s="26" t="str">
        <f>IFERROR(VLOOKUP(G1208,WholesaleExtract!B:O,8,FALSE),"")</f>
        <v/>
      </c>
      <c r="J1208" s="26" t="str">
        <f>IFERROR(VLOOKUP(G1208,WholesaleExtract!B:O,14,FALSE),"")</f>
        <v/>
      </c>
      <c r="K1208" s="26" t="str">
        <f>IFERROR(VLOOKUP(G1208,WholesaleExtract!B:K,10,FALSE),"")</f>
        <v/>
      </c>
      <c r="L1208" s="47" t="str">
        <f>IFERROR(VLOOKUP(G1208,WholesaleExtract!B:L,11,FALSE),"")</f>
        <v/>
      </c>
      <c r="M1208" s="47" t="str">
        <f>IFERROR(VLOOKUP(G1208,WholesaleExtract!B:M,12,FALSE),"")</f>
        <v/>
      </c>
      <c r="N1208" s="27"/>
      <c r="O1208" s="19"/>
      <c r="P1208" s="19"/>
      <c r="Q1208" s="47"/>
      <c r="R1208" s="19"/>
      <c r="S1208" s="19"/>
    </row>
    <row r="1209" spans="1:19" x14ac:dyDescent="0.35">
      <c r="A1209" s="26" t="s">
        <v>543</v>
      </c>
      <c r="B1209" s="26" t="s">
        <v>543</v>
      </c>
      <c r="C1209" s="26"/>
      <c r="D1209" s="26" t="s">
        <v>543</v>
      </c>
      <c r="E1209" s="26" t="str">
        <f>IFERROR(VLOOKUP(G1209,WholesaleExtract!B:J,9,FALSE),"")</f>
        <v/>
      </c>
      <c r="F1209" s="26" t="str">
        <f>IFERROR(VLOOKUP(G1209,WholesaleExtract!B:J,6,FALSE),"")</f>
        <v/>
      </c>
      <c r="G1209" s="46"/>
      <c r="H1209" s="47" t="str">
        <f>IFERROR(VLOOKUP(G1209,WholesaleExtract!B:L,11,FALSE),"")</f>
        <v/>
      </c>
      <c r="I1209" s="26" t="str">
        <f>IFERROR(VLOOKUP(G1209,WholesaleExtract!B:O,8,FALSE),"")</f>
        <v/>
      </c>
      <c r="J1209" s="26" t="str">
        <f>IFERROR(VLOOKUP(G1209,WholesaleExtract!B:O,14,FALSE),"")</f>
        <v/>
      </c>
      <c r="K1209" s="26" t="str">
        <f>IFERROR(VLOOKUP(G1209,WholesaleExtract!B:K,10,FALSE),"")</f>
        <v/>
      </c>
      <c r="L1209" s="47" t="str">
        <f>IFERROR(VLOOKUP(G1209,WholesaleExtract!B:L,11,FALSE),"")</f>
        <v/>
      </c>
      <c r="M1209" s="47" t="str">
        <f>IFERROR(VLOOKUP(G1209,WholesaleExtract!B:M,12,FALSE),"")</f>
        <v/>
      </c>
      <c r="N1209" s="27"/>
      <c r="O1209" s="19"/>
      <c r="P1209" s="19"/>
      <c r="Q1209" s="47"/>
      <c r="R1209" s="19"/>
      <c r="S1209" s="19"/>
    </row>
    <row r="1210" spans="1:19" x14ac:dyDescent="0.35">
      <c r="A1210" s="26" t="s">
        <v>543</v>
      </c>
      <c r="B1210" s="26" t="s">
        <v>543</v>
      </c>
      <c r="C1210" s="26"/>
      <c r="D1210" s="26" t="s">
        <v>543</v>
      </c>
      <c r="E1210" s="26" t="str">
        <f>IFERROR(VLOOKUP(G1210,WholesaleExtract!B:J,9,FALSE),"")</f>
        <v/>
      </c>
      <c r="F1210" s="26" t="str">
        <f>IFERROR(VLOOKUP(G1210,WholesaleExtract!B:J,6,FALSE),"")</f>
        <v/>
      </c>
      <c r="G1210" s="46"/>
      <c r="H1210" s="47" t="str">
        <f>IFERROR(VLOOKUP(G1210,WholesaleExtract!B:L,11,FALSE),"")</f>
        <v/>
      </c>
      <c r="I1210" s="26" t="str">
        <f>IFERROR(VLOOKUP(G1210,WholesaleExtract!B:O,8,FALSE),"")</f>
        <v/>
      </c>
      <c r="J1210" s="26" t="str">
        <f>IFERROR(VLOOKUP(G1210,WholesaleExtract!B:O,14,FALSE),"")</f>
        <v/>
      </c>
      <c r="K1210" s="26" t="str">
        <f>IFERROR(VLOOKUP(G1210,WholesaleExtract!B:K,10,FALSE),"")</f>
        <v/>
      </c>
      <c r="L1210" s="47" t="str">
        <f>IFERROR(VLOOKUP(G1210,WholesaleExtract!B:L,11,FALSE),"")</f>
        <v/>
      </c>
      <c r="M1210" s="47" t="str">
        <f>IFERROR(VLOOKUP(G1210,WholesaleExtract!B:M,12,FALSE),"")</f>
        <v/>
      </c>
      <c r="N1210" s="27"/>
      <c r="O1210" s="19"/>
      <c r="P1210" s="19"/>
      <c r="Q1210" s="47"/>
      <c r="R1210" s="19"/>
      <c r="S1210" s="19"/>
    </row>
    <row r="1211" spans="1:19" x14ac:dyDescent="0.35">
      <c r="A1211" s="26" t="s">
        <v>543</v>
      </c>
      <c r="B1211" s="26" t="s">
        <v>543</v>
      </c>
      <c r="C1211" s="26"/>
      <c r="D1211" s="26" t="s">
        <v>543</v>
      </c>
      <c r="E1211" s="26" t="str">
        <f>IFERROR(VLOOKUP(G1211,WholesaleExtract!B:J,9,FALSE),"")</f>
        <v/>
      </c>
      <c r="F1211" s="26" t="str">
        <f>IFERROR(VLOOKUP(G1211,WholesaleExtract!B:J,6,FALSE),"")</f>
        <v/>
      </c>
      <c r="G1211" s="46"/>
      <c r="H1211" s="47" t="str">
        <f>IFERROR(VLOOKUP(G1211,WholesaleExtract!B:L,11,FALSE),"")</f>
        <v/>
      </c>
      <c r="I1211" s="26" t="str">
        <f>IFERROR(VLOOKUP(G1211,WholesaleExtract!B:O,8,FALSE),"")</f>
        <v/>
      </c>
      <c r="J1211" s="26" t="str">
        <f>IFERROR(VLOOKUP(G1211,WholesaleExtract!B:O,14,FALSE),"")</f>
        <v/>
      </c>
      <c r="K1211" s="26" t="str">
        <f>IFERROR(VLOOKUP(G1211,WholesaleExtract!B:K,10,FALSE),"")</f>
        <v/>
      </c>
      <c r="L1211" s="47" t="str">
        <f>IFERROR(VLOOKUP(G1211,WholesaleExtract!B:L,11,FALSE),"")</f>
        <v/>
      </c>
      <c r="M1211" s="47" t="str">
        <f>IFERROR(VLOOKUP(G1211,WholesaleExtract!B:M,12,FALSE),"")</f>
        <v/>
      </c>
      <c r="N1211" s="27"/>
      <c r="O1211" s="19"/>
      <c r="P1211" s="19"/>
      <c r="Q1211" s="47"/>
      <c r="R1211" s="19"/>
      <c r="S1211" s="19"/>
    </row>
    <row r="1212" spans="1:19" x14ac:dyDescent="0.35">
      <c r="A1212" s="26" t="s">
        <v>543</v>
      </c>
      <c r="B1212" s="26" t="s">
        <v>543</v>
      </c>
      <c r="C1212" s="26"/>
      <c r="D1212" s="26" t="s">
        <v>543</v>
      </c>
      <c r="E1212" s="26" t="str">
        <f>IFERROR(VLOOKUP(G1212,WholesaleExtract!B:J,9,FALSE),"")</f>
        <v/>
      </c>
      <c r="F1212" s="26" t="str">
        <f>IFERROR(VLOOKUP(G1212,WholesaleExtract!B:J,6,FALSE),"")</f>
        <v/>
      </c>
      <c r="G1212" s="46"/>
      <c r="H1212" s="47" t="str">
        <f>IFERROR(VLOOKUP(G1212,WholesaleExtract!B:L,11,FALSE),"")</f>
        <v/>
      </c>
      <c r="I1212" s="26" t="str">
        <f>IFERROR(VLOOKUP(G1212,WholesaleExtract!B:O,8,FALSE),"")</f>
        <v/>
      </c>
      <c r="J1212" s="26" t="str">
        <f>IFERROR(VLOOKUP(G1212,WholesaleExtract!B:O,14,FALSE),"")</f>
        <v/>
      </c>
      <c r="K1212" s="26" t="str">
        <f>IFERROR(VLOOKUP(G1212,WholesaleExtract!B:K,10,FALSE),"")</f>
        <v/>
      </c>
      <c r="L1212" s="47" t="str">
        <f>IFERROR(VLOOKUP(G1212,WholesaleExtract!B:L,11,FALSE),"")</f>
        <v/>
      </c>
      <c r="M1212" s="47" t="str">
        <f>IFERROR(VLOOKUP(G1212,WholesaleExtract!B:M,12,FALSE),"")</f>
        <v/>
      </c>
      <c r="N1212" s="27"/>
      <c r="O1212" s="19"/>
      <c r="P1212" s="19"/>
      <c r="Q1212" s="47"/>
      <c r="R1212" s="19"/>
      <c r="S1212" s="19"/>
    </row>
    <row r="1213" spans="1:19" x14ac:dyDescent="0.35">
      <c r="A1213" s="26" t="s">
        <v>543</v>
      </c>
      <c r="B1213" s="26" t="s">
        <v>543</v>
      </c>
      <c r="C1213" s="26"/>
      <c r="D1213" s="26" t="s">
        <v>543</v>
      </c>
      <c r="E1213" s="26" t="str">
        <f>IFERROR(VLOOKUP(G1213,WholesaleExtract!B:J,9,FALSE),"")</f>
        <v/>
      </c>
      <c r="F1213" s="26" t="str">
        <f>IFERROR(VLOOKUP(G1213,WholesaleExtract!B:J,6,FALSE),"")</f>
        <v/>
      </c>
      <c r="G1213" s="46"/>
      <c r="H1213" s="47" t="str">
        <f>IFERROR(VLOOKUP(G1213,WholesaleExtract!B:L,11,FALSE),"")</f>
        <v/>
      </c>
      <c r="I1213" s="26" t="str">
        <f>IFERROR(VLOOKUP(G1213,WholesaleExtract!B:O,8,FALSE),"")</f>
        <v/>
      </c>
      <c r="J1213" s="26" t="str">
        <f>IFERROR(VLOOKUP(G1213,WholesaleExtract!B:O,14,FALSE),"")</f>
        <v/>
      </c>
      <c r="K1213" s="26" t="str">
        <f>IFERROR(VLOOKUP(G1213,WholesaleExtract!B:K,10,FALSE),"")</f>
        <v/>
      </c>
      <c r="L1213" s="47" t="str">
        <f>IFERROR(VLOOKUP(G1213,WholesaleExtract!B:L,11,FALSE),"")</f>
        <v/>
      </c>
      <c r="M1213" s="47" t="str">
        <f>IFERROR(VLOOKUP(G1213,WholesaleExtract!B:M,12,FALSE),"")</f>
        <v/>
      </c>
      <c r="N1213" s="27"/>
      <c r="O1213" s="19"/>
      <c r="P1213" s="19"/>
      <c r="Q1213" s="47"/>
      <c r="R1213" s="19"/>
      <c r="S1213" s="19"/>
    </row>
    <row r="1214" spans="1:19" x14ac:dyDescent="0.35">
      <c r="A1214" s="26" t="s">
        <v>543</v>
      </c>
      <c r="B1214" s="26" t="s">
        <v>543</v>
      </c>
      <c r="C1214" s="26"/>
      <c r="D1214" s="26" t="s">
        <v>543</v>
      </c>
      <c r="E1214" s="26" t="str">
        <f>IFERROR(VLOOKUP(G1214,WholesaleExtract!B:J,9,FALSE),"")</f>
        <v/>
      </c>
      <c r="F1214" s="26" t="str">
        <f>IFERROR(VLOOKUP(G1214,WholesaleExtract!B:J,6,FALSE),"")</f>
        <v/>
      </c>
      <c r="G1214" s="46"/>
      <c r="H1214" s="47" t="str">
        <f>IFERROR(VLOOKUP(G1214,WholesaleExtract!B:L,11,FALSE),"")</f>
        <v/>
      </c>
      <c r="I1214" s="26" t="str">
        <f>IFERROR(VLOOKUP(G1214,WholesaleExtract!B:O,8,FALSE),"")</f>
        <v/>
      </c>
      <c r="J1214" s="26" t="str">
        <f>IFERROR(VLOOKUP(G1214,WholesaleExtract!B:O,14,FALSE),"")</f>
        <v/>
      </c>
      <c r="K1214" s="26" t="str">
        <f>IFERROR(VLOOKUP(G1214,WholesaleExtract!B:K,10,FALSE),"")</f>
        <v/>
      </c>
      <c r="L1214" s="47" t="str">
        <f>IFERROR(VLOOKUP(G1214,WholesaleExtract!B:L,11,FALSE),"")</f>
        <v/>
      </c>
      <c r="M1214" s="47" t="str">
        <f>IFERROR(VLOOKUP(G1214,WholesaleExtract!B:M,12,FALSE),"")</f>
        <v/>
      </c>
      <c r="N1214" s="27"/>
      <c r="O1214" s="19"/>
      <c r="P1214" s="19"/>
      <c r="Q1214" s="47"/>
      <c r="R1214" s="19"/>
      <c r="S1214" s="19"/>
    </row>
    <row r="1215" spans="1:19" x14ac:dyDescent="0.35">
      <c r="A1215" s="26" t="s">
        <v>543</v>
      </c>
      <c r="B1215" s="26" t="s">
        <v>543</v>
      </c>
      <c r="C1215" s="26"/>
      <c r="D1215" s="26" t="s">
        <v>543</v>
      </c>
      <c r="E1215" s="26" t="str">
        <f>IFERROR(VLOOKUP(G1215,WholesaleExtract!B:J,9,FALSE),"")</f>
        <v/>
      </c>
      <c r="F1215" s="26" t="str">
        <f>IFERROR(VLOOKUP(G1215,WholesaleExtract!B:J,6,FALSE),"")</f>
        <v/>
      </c>
      <c r="G1215" s="46"/>
      <c r="H1215" s="47" t="str">
        <f>IFERROR(VLOOKUP(G1215,WholesaleExtract!B:L,11,FALSE),"")</f>
        <v/>
      </c>
      <c r="I1215" s="26" t="str">
        <f>IFERROR(VLOOKUP(G1215,WholesaleExtract!B:O,8,FALSE),"")</f>
        <v/>
      </c>
      <c r="J1215" s="26" t="str">
        <f>IFERROR(VLOOKUP(G1215,WholesaleExtract!B:O,14,FALSE),"")</f>
        <v/>
      </c>
      <c r="K1215" s="26" t="str">
        <f>IFERROR(VLOOKUP(G1215,WholesaleExtract!B:K,10,FALSE),"")</f>
        <v/>
      </c>
      <c r="L1215" s="47" t="str">
        <f>IFERROR(VLOOKUP(G1215,WholesaleExtract!B:L,11,FALSE),"")</f>
        <v/>
      </c>
      <c r="M1215" s="47" t="str">
        <f>IFERROR(VLOOKUP(G1215,WholesaleExtract!B:M,12,FALSE),"")</f>
        <v/>
      </c>
      <c r="N1215" s="27"/>
      <c r="O1215" s="19"/>
      <c r="P1215" s="19"/>
      <c r="Q1215" s="47"/>
      <c r="R1215" s="19"/>
      <c r="S1215" s="19"/>
    </row>
    <row r="1216" spans="1:19" x14ac:dyDescent="0.35">
      <c r="A1216" s="26" t="s">
        <v>543</v>
      </c>
      <c r="B1216" s="26" t="s">
        <v>543</v>
      </c>
      <c r="C1216" s="26"/>
      <c r="D1216" s="26" t="s">
        <v>543</v>
      </c>
      <c r="E1216" s="26" t="str">
        <f>IFERROR(VLOOKUP(G1216,WholesaleExtract!B:J,9,FALSE),"")</f>
        <v/>
      </c>
      <c r="F1216" s="26" t="str">
        <f>IFERROR(VLOOKUP(G1216,WholesaleExtract!B:J,6,FALSE),"")</f>
        <v/>
      </c>
      <c r="G1216" s="46"/>
      <c r="H1216" s="47" t="str">
        <f>IFERROR(VLOOKUP(G1216,WholesaleExtract!B:L,11,FALSE),"")</f>
        <v/>
      </c>
      <c r="I1216" s="26" t="str">
        <f>IFERROR(VLOOKUP(G1216,WholesaleExtract!B:O,8,FALSE),"")</f>
        <v/>
      </c>
      <c r="J1216" s="26" t="str">
        <f>IFERROR(VLOOKUP(G1216,WholesaleExtract!B:O,14,FALSE),"")</f>
        <v/>
      </c>
      <c r="K1216" s="26" t="str">
        <f>IFERROR(VLOOKUP(G1216,WholesaleExtract!B:K,10,FALSE),"")</f>
        <v/>
      </c>
      <c r="L1216" s="47" t="str">
        <f>IFERROR(VLOOKUP(G1216,WholesaleExtract!B:L,11,FALSE),"")</f>
        <v/>
      </c>
      <c r="M1216" s="47" t="str">
        <f>IFERROR(VLOOKUP(G1216,WholesaleExtract!B:M,12,FALSE),"")</f>
        <v/>
      </c>
      <c r="N1216" s="27"/>
      <c r="O1216" s="19"/>
      <c r="P1216" s="19"/>
      <c r="Q1216" s="47"/>
      <c r="R1216" s="19"/>
      <c r="S1216" s="19"/>
    </row>
    <row r="1217" spans="1:19" x14ac:dyDescent="0.35">
      <c r="A1217" s="26" t="s">
        <v>543</v>
      </c>
      <c r="B1217" s="26" t="s">
        <v>543</v>
      </c>
      <c r="C1217" s="26"/>
      <c r="D1217" s="26" t="s">
        <v>543</v>
      </c>
      <c r="E1217" s="26" t="str">
        <f>IFERROR(VLOOKUP(G1217,WholesaleExtract!B:J,9,FALSE),"")</f>
        <v/>
      </c>
      <c r="F1217" s="26" t="str">
        <f>IFERROR(VLOOKUP(G1217,WholesaleExtract!B:J,6,FALSE),"")</f>
        <v/>
      </c>
      <c r="G1217" s="46"/>
      <c r="H1217" s="47" t="str">
        <f>IFERROR(VLOOKUP(G1217,WholesaleExtract!B:L,11,FALSE),"")</f>
        <v/>
      </c>
      <c r="I1217" s="26" t="str">
        <f>IFERROR(VLOOKUP(G1217,WholesaleExtract!B:O,8,FALSE),"")</f>
        <v/>
      </c>
      <c r="J1217" s="26" t="str">
        <f>IFERROR(VLOOKUP(G1217,WholesaleExtract!B:O,14,FALSE),"")</f>
        <v/>
      </c>
      <c r="K1217" s="26" t="str">
        <f>IFERROR(VLOOKUP(G1217,WholesaleExtract!B:K,10,FALSE),"")</f>
        <v/>
      </c>
      <c r="L1217" s="47" t="str">
        <f>IFERROR(VLOOKUP(G1217,WholesaleExtract!B:L,11,FALSE),"")</f>
        <v/>
      </c>
      <c r="M1217" s="47" t="str">
        <f>IFERROR(VLOOKUP(G1217,WholesaleExtract!B:M,12,FALSE),"")</f>
        <v/>
      </c>
      <c r="N1217" s="27"/>
      <c r="O1217" s="19"/>
      <c r="P1217" s="19"/>
      <c r="Q1217" s="47"/>
      <c r="R1217" s="19"/>
      <c r="S1217" s="19"/>
    </row>
    <row r="1218" spans="1:19" x14ac:dyDescent="0.35">
      <c r="A1218" s="26" t="s">
        <v>543</v>
      </c>
      <c r="B1218" s="26" t="s">
        <v>543</v>
      </c>
      <c r="C1218" s="26"/>
      <c r="D1218" s="26" t="s">
        <v>543</v>
      </c>
      <c r="E1218" s="26" t="str">
        <f>IFERROR(VLOOKUP(G1218,WholesaleExtract!B:J,9,FALSE),"")</f>
        <v/>
      </c>
      <c r="F1218" s="26" t="str">
        <f>IFERROR(VLOOKUP(G1218,WholesaleExtract!B:J,6,FALSE),"")</f>
        <v/>
      </c>
      <c r="G1218" s="46"/>
      <c r="H1218" s="47" t="str">
        <f>IFERROR(VLOOKUP(G1218,WholesaleExtract!B:L,11,FALSE),"")</f>
        <v/>
      </c>
      <c r="I1218" s="26" t="str">
        <f>IFERROR(VLOOKUP(G1218,WholesaleExtract!B:O,8,FALSE),"")</f>
        <v/>
      </c>
      <c r="J1218" s="26" t="str">
        <f>IFERROR(VLOOKUP(G1218,WholesaleExtract!B:O,14,FALSE),"")</f>
        <v/>
      </c>
      <c r="K1218" s="26" t="str">
        <f>IFERROR(VLOOKUP(G1218,WholesaleExtract!B:K,10,FALSE),"")</f>
        <v/>
      </c>
      <c r="L1218" s="47" t="str">
        <f>IFERROR(VLOOKUP(G1218,WholesaleExtract!B:L,11,FALSE),"")</f>
        <v/>
      </c>
      <c r="M1218" s="47" t="str">
        <f>IFERROR(VLOOKUP(G1218,WholesaleExtract!B:M,12,FALSE),"")</f>
        <v/>
      </c>
      <c r="N1218" s="27"/>
      <c r="O1218" s="19"/>
      <c r="P1218" s="19"/>
      <c r="Q1218" s="47"/>
      <c r="R1218" s="19"/>
      <c r="S1218" s="19"/>
    </row>
    <row r="1219" spans="1:19" x14ac:dyDescent="0.35">
      <c r="A1219" s="26" t="s">
        <v>543</v>
      </c>
      <c r="B1219" s="26" t="s">
        <v>543</v>
      </c>
      <c r="C1219" s="26"/>
      <c r="D1219" s="26" t="s">
        <v>543</v>
      </c>
      <c r="E1219" s="26" t="str">
        <f>IFERROR(VLOOKUP(G1219,WholesaleExtract!B:J,9,FALSE),"")</f>
        <v/>
      </c>
      <c r="F1219" s="26" t="str">
        <f>IFERROR(VLOOKUP(G1219,WholesaleExtract!B:J,6,FALSE),"")</f>
        <v/>
      </c>
      <c r="G1219" s="46"/>
      <c r="H1219" s="47" t="str">
        <f>IFERROR(VLOOKUP(G1219,WholesaleExtract!B:L,11,FALSE),"")</f>
        <v/>
      </c>
      <c r="I1219" s="26" t="str">
        <f>IFERROR(VLOOKUP(G1219,WholesaleExtract!B:O,8,FALSE),"")</f>
        <v/>
      </c>
      <c r="J1219" s="26" t="str">
        <f>IFERROR(VLOOKUP(G1219,WholesaleExtract!B:O,14,FALSE),"")</f>
        <v/>
      </c>
      <c r="K1219" s="26" t="str">
        <f>IFERROR(VLOOKUP(G1219,WholesaleExtract!B:K,10,FALSE),"")</f>
        <v/>
      </c>
      <c r="L1219" s="47" t="str">
        <f>IFERROR(VLOOKUP(G1219,WholesaleExtract!B:L,11,FALSE),"")</f>
        <v/>
      </c>
      <c r="M1219" s="47" t="str">
        <f>IFERROR(VLOOKUP(G1219,WholesaleExtract!B:M,12,FALSE),"")</f>
        <v/>
      </c>
      <c r="N1219" s="27"/>
      <c r="O1219" s="19"/>
      <c r="P1219" s="19"/>
      <c r="Q1219" s="47"/>
      <c r="R1219" s="19"/>
      <c r="S1219" s="19"/>
    </row>
    <row r="1220" spans="1:19" x14ac:dyDescent="0.35">
      <c r="A1220" s="26" t="s">
        <v>543</v>
      </c>
      <c r="B1220" s="26" t="s">
        <v>543</v>
      </c>
      <c r="C1220" s="26"/>
      <c r="D1220" s="26" t="s">
        <v>543</v>
      </c>
      <c r="E1220" s="26" t="str">
        <f>IFERROR(VLOOKUP(G1220,WholesaleExtract!B:J,9,FALSE),"")</f>
        <v/>
      </c>
      <c r="F1220" s="26" t="str">
        <f>IFERROR(VLOOKUP(G1220,WholesaleExtract!B:J,6,FALSE),"")</f>
        <v/>
      </c>
      <c r="G1220" s="46"/>
      <c r="H1220" s="47" t="str">
        <f>IFERROR(VLOOKUP(G1220,WholesaleExtract!B:L,11,FALSE),"")</f>
        <v/>
      </c>
      <c r="I1220" s="26" t="str">
        <f>IFERROR(VLOOKUP(G1220,WholesaleExtract!B:O,8,FALSE),"")</f>
        <v/>
      </c>
      <c r="J1220" s="26" t="str">
        <f>IFERROR(VLOOKUP(G1220,WholesaleExtract!B:O,14,FALSE),"")</f>
        <v/>
      </c>
      <c r="K1220" s="26" t="str">
        <f>IFERROR(VLOOKUP(G1220,WholesaleExtract!B:K,10,FALSE),"")</f>
        <v/>
      </c>
      <c r="L1220" s="47" t="str">
        <f>IFERROR(VLOOKUP(G1220,WholesaleExtract!B:L,11,FALSE),"")</f>
        <v/>
      </c>
      <c r="M1220" s="47" t="str">
        <f>IFERROR(VLOOKUP(G1220,WholesaleExtract!B:M,12,FALSE),"")</f>
        <v/>
      </c>
      <c r="N1220" s="27"/>
      <c r="O1220" s="19"/>
      <c r="P1220" s="19"/>
      <c r="Q1220" s="47"/>
      <c r="R1220" s="19"/>
      <c r="S1220" s="19"/>
    </row>
    <row r="1221" spans="1:19" x14ac:dyDescent="0.35">
      <c r="A1221" s="26" t="s">
        <v>543</v>
      </c>
      <c r="B1221" s="26" t="s">
        <v>543</v>
      </c>
      <c r="C1221" s="26"/>
      <c r="D1221" s="26" t="s">
        <v>543</v>
      </c>
      <c r="E1221" s="26" t="str">
        <f>IFERROR(VLOOKUP(G1221,WholesaleExtract!B:J,9,FALSE),"")</f>
        <v/>
      </c>
      <c r="F1221" s="26" t="str">
        <f>IFERROR(VLOOKUP(G1221,WholesaleExtract!B:J,6,FALSE),"")</f>
        <v/>
      </c>
      <c r="G1221" s="46"/>
      <c r="H1221" s="47" t="str">
        <f>IFERROR(VLOOKUP(G1221,WholesaleExtract!B:L,11,FALSE),"")</f>
        <v/>
      </c>
      <c r="I1221" s="26" t="str">
        <f>IFERROR(VLOOKUP(G1221,WholesaleExtract!B:O,8,FALSE),"")</f>
        <v/>
      </c>
      <c r="J1221" s="26" t="str">
        <f>IFERROR(VLOOKUP(G1221,WholesaleExtract!B:O,14,FALSE),"")</f>
        <v/>
      </c>
      <c r="K1221" s="26" t="str">
        <f>IFERROR(VLOOKUP(G1221,WholesaleExtract!B:K,10,FALSE),"")</f>
        <v/>
      </c>
      <c r="L1221" s="47" t="str">
        <f>IFERROR(VLOOKUP(G1221,WholesaleExtract!B:L,11,FALSE),"")</f>
        <v/>
      </c>
      <c r="M1221" s="47" t="str">
        <f>IFERROR(VLOOKUP(G1221,WholesaleExtract!B:M,12,FALSE),"")</f>
        <v/>
      </c>
      <c r="N1221" s="27"/>
      <c r="O1221" s="19"/>
      <c r="P1221" s="19"/>
      <c r="Q1221" s="47"/>
      <c r="R1221" s="19"/>
      <c r="S1221" s="19"/>
    </row>
    <row r="1222" spans="1:19" x14ac:dyDescent="0.35">
      <c r="A1222" s="26" t="s">
        <v>543</v>
      </c>
      <c r="B1222" s="26" t="s">
        <v>543</v>
      </c>
      <c r="C1222" s="26"/>
      <c r="D1222" s="26" t="s">
        <v>543</v>
      </c>
      <c r="E1222" s="26" t="str">
        <f>IFERROR(VLOOKUP(G1222,WholesaleExtract!B:J,9,FALSE),"")</f>
        <v/>
      </c>
      <c r="F1222" s="26" t="str">
        <f>IFERROR(VLOOKUP(G1222,WholesaleExtract!B:J,6,FALSE),"")</f>
        <v/>
      </c>
      <c r="G1222" s="46"/>
      <c r="H1222" s="47" t="str">
        <f>IFERROR(VLOOKUP(G1222,WholesaleExtract!B:L,11,FALSE),"")</f>
        <v/>
      </c>
      <c r="I1222" s="26" t="str">
        <f>IFERROR(VLOOKUP(G1222,WholesaleExtract!B:O,8,FALSE),"")</f>
        <v/>
      </c>
      <c r="J1222" s="26" t="str">
        <f>IFERROR(VLOOKUP(G1222,WholesaleExtract!B:O,14,FALSE),"")</f>
        <v/>
      </c>
      <c r="K1222" s="26" t="str">
        <f>IFERROR(VLOOKUP(G1222,WholesaleExtract!B:K,10,FALSE),"")</f>
        <v/>
      </c>
      <c r="L1222" s="47" t="str">
        <f>IFERROR(VLOOKUP(G1222,WholesaleExtract!B:L,11,FALSE),"")</f>
        <v/>
      </c>
      <c r="M1222" s="47" t="str">
        <f>IFERROR(VLOOKUP(G1222,WholesaleExtract!B:M,12,FALSE),"")</f>
        <v/>
      </c>
      <c r="N1222" s="27"/>
      <c r="O1222" s="19"/>
      <c r="P1222" s="19"/>
      <c r="Q1222" s="47"/>
      <c r="R1222" s="19"/>
      <c r="S1222" s="19"/>
    </row>
    <row r="1223" spans="1:19" x14ac:dyDescent="0.35">
      <c r="A1223" s="26" t="s">
        <v>543</v>
      </c>
      <c r="B1223" s="26" t="s">
        <v>543</v>
      </c>
      <c r="C1223" s="26"/>
      <c r="D1223" s="26" t="s">
        <v>543</v>
      </c>
      <c r="E1223" s="26" t="str">
        <f>IFERROR(VLOOKUP(G1223,WholesaleExtract!B:J,9,FALSE),"")</f>
        <v/>
      </c>
      <c r="F1223" s="26" t="str">
        <f>IFERROR(VLOOKUP(G1223,WholesaleExtract!B:J,6,FALSE),"")</f>
        <v/>
      </c>
      <c r="G1223" s="46"/>
      <c r="H1223" s="47" t="str">
        <f>IFERROR(VLOOKUP(G1223,WholesaleExtract!B:L,11,FALSE),"")</f>
        <v/>
      </c>
      <c r="I1223" s="26" t="str">
        <f>IFERROR(VLOOKUP(G1223,WholesaleExtract!B:O,8,FALSE),"")</f>
        <v/>
      </c>
      <c r="J1223" s="26" t="str">
        <f>IFERROR(VLOOKUP(G1223,WholesaleExtract!B:O,14,FALSE),"")</f>
        <v/>
      </c>
      <c r="K1223" s="26" t="str">
        <f>IFERROR(VLOOKUP(G1223,WholesaleExtract!B:K,10,FALSE),"")</f>
        <v/>
      </c>
      <c r="L1223" s="47" t="str">
        <f>IFERROR(VLOOKUP(G1223,WholesaleExtract!B:L,11,FALSE),"")</f>
        <v/>
      </c>
      <c r="M1223" s="47" t="str">
        <f>IFERROR(VLOOKUP(G1223,WholesaleExtract!B:M,12,FALSE),"")</f>
        <v/>
      </c>
      <c r="N1223" s="27"/>
      <c r="O1223" s="19"/>
      <c r="P1223" s="19"/>
      <c r="Q1223" s="47"/>
      <c r="R1223" s="19"/>
      <c r="S1223" s="19"/>
    </row>
    <row r="1224" spans="1:19" x14ac:dyDescent="0.35">
      <c r="A1224" s="26" t="s">
        <v>543</v>
      </c>
      <c r="B1224" s="26" t="s">
        <v>543</v>
      </c>
      <c r="C1224" s="26"/>
      <c r="D1224" s="26" t="s">
        <v>543</v>
      </c>
      <c r="E1224" s="26" t="str">
        <f>IFERROR(VLOOKUP(G1224,WholesaleExtract!B:J,9,FALSE),"")</f>
        <v/>
      </c>
      <c r="F1224" s="26" t="str">
        <f>IFERROR(VLOOKUP(G1224,WholesaleExtract!B:J,6,FALSE),"")</f>
        <v/>
      </c>
      <c r="G1224" s="46"/>
      <c r="H1224" s="47" t="str">
        <f>IFERROR(VLOOKUP(G1224,WholesaleExtract!B:L,11,FALSE),"")</f>
        <v/>
      </c>
      <c r="I1224" s="26" t="str">
        <f>IFERROR(VLOOKUP(G1224,WholesaleExtract!B:O,8,FALSE),"")</f>
        <v/>
      </c>
      <c r="J1224" s="26" t="str">
        <f>IFERROR(VLOOKUP(G1224,WholesaleExtract!B:O,14,FALSE),"")</f>
        <v/>
      </c>
      <c r="K1224" s="26" t="str">
        <f>IFERROR(VLOOKUP(G1224,WholesaleExtract!B:K,10,FALSE),"")</f>
        <v/>
      </c>
      <c r="L1224" s="47" t="str">
        <f>IFERROR(VLOOKUP(G1224,WholesaleExtract!B:L,11,FALSE),"")</f>
        <v/>
      </c>
      <c r="M1224" s="47" t="str">
        <f>IFERROR(VLOOKUP(G1224,WholesaleExtract!B:M,12,FALSE),"")</f>
        <v/>
      </c>
      <c r="N1224" s="27"/>
      <c r="O1224" s="19"/>
      <c r="P1224" s="19"/>
      <c r="Q1224" s="47"/>
      <c r="R1224" s="19"/>
      <c r="S1224" s="19"/>
    </row>
    <row r="1225" spans="1:19" x14ac:dyDescent="0.35">
      <c r="A1225" s="26" t="s">
        <v>543</v>
      </c>
      <c r="B1225" s="26" t="s">
        <v>543</v>
      </c>
      <c r="C1225" s="26"/>
      <c r="D1225" s="26" t="s">
        <v>543</v>
      </c>
      <c r="E1225" s="26" t="str">
        <f>IFERROR(VLOOKUP(G1225,WholesaleExtract!B:J,9,FALSE),"")</f>
        <v/>
      </c>
      <c r="F1225" s="26" t="str">
        <f>IFERROR(VLOOKUP(G1225,WholesaleExtract!B:J,6,FALSE),"")</f>
        <v/>
      </c>
      <c r="G1225" s="46"/>
      <c r="H1225" s="47" t="str">
        <f>IFERROR(VLOOKUP(G1225,WholesaleExtract!B:L,11,FALSE),"")</f>
        <v/>
      </c>
      <c r="I1225" s="26" t="str">
        <f>IFERROR(VLOOKUP(G1225,WholesaleExtract!B:O,8,FALSE),"")</f>
        <v/>
      </c>
      <c r="J1225" s="26" t="str">
        <f>IFERROR(VLOOKUP(G1225,WholesaleExtract!B:O,14,FALSE),"")</f>
        <v/>
      </c>
      <c r="K1225" s="26" t="str">
        <f>IFERROR(VLOOKUP(G1225,WholesaleExtract!B:K,10,FALSE),"")</f>
        <v/>
      </c>
      <c r="L1225" s="47" t="str">
        <f>IFERROR(VLOOKUP(G1225,WholesaleExtract!B:L,11,FALSE),"")</f>
        <v/>
      </c>
      <c r="M1225" s="47" t="str">
        <f>IFERROR(VLOOKUP(G1225,WholesaleExtract!B:M,12,FALSE),"")</f>
        <v/>
      </c>
      <c r="N1225" s="27"/>
      <c r="O1225" s="19"/>
      <c r="P1225" s="19"/>
      <c r="Q1225" s="47"/>
      <c r="R1225" s="19"/>
      <c r="S1225" s="19"/>
    </row>
    <row r="1226" spans="1:19" x14ac:dyDescent="0.35">
      <c r="A1226" s="26" t="s">
        <v>543</v>
      </c>
      <c r="B1226" s="26" t="s">
        <v>543</v>
      </c>
      <c r="C1226" s="26"/>
      <c r="D1226" s="26" t="s">
        <v>543</v>
      </c>
      <c r="E1226" s="26" t="str">
        <f>IFERROR(VLOOKUP(G1226,WholesaleExtract!B:J,9,FALSE),"")</f>
        <v/>
      </c>
      <c r="F1226" s="26" t="str">
        <f>IFERROR(VLOOKUP(G1226,WholesaleExtract!B:J,6,FALSE),"")</f>
        <v/>
      </c>
      <c r="G1226" s="46"/>
      <c r="H1226" s="47" t="str">
        <f>IFERROR(VLOOKUP(G1226,WholesaleExtract!B:L,11,FALSE),"")</f>
        <v/>
      </c>
      <c r="I1226" s="26" t="str">
        <f>IFERROR(VLOOKUP(G1226,WholesaleExtract!B:O,8,FALSE),"")</f>
        <v/>
      </c>
      <c r="J1226" s="26" t="str">
        <f>IFERROR(VLOOKUP(G1226,WholesaleExtract!B:O,14,FALSE),"")</f>
        <v/>
      </c>
      <c r="K1226" s="26" t="str">
        <f>IFERROR(VLOOKUP(G1226,WholesaleExtract!B:K,10,FALSE),"")</f>
        <v/>
      </c>
      <c r="L1226" s="47" t="str">
        <f>IFERROR(VLOOKUP(G1226,WholesaleExtract!B:L,11,FALSE),"")</f>
        <v/>
      </c>
      <c r="M1226" s="47" t="str">
        <f>IFERROR(VLOOKUP(G1226,WholesaleExtract!B:M,12,FALSE),"")</f>
        <v/>
      </c>
      <c r="N1226" s="27"/>
      <c r="O1226" s="19"/>
      <c r="P1226" s="19"/>
      <c r="Q1226" s="47"/>
      <c r="R1226" s="19"/>
      <c r="S1226" s="19"/>
    </row>
    <row r="1227" spans="1:19" x14ac:dyDescent="0.35">
      <c r="A1227" s="26" t="s">
        <v>543</v>
      </c>
      <c r="B1227" s="26" t="s">
        <v>543</v>
      </c>
      <c r="C1227" s="26"/>
      <c r="D1227" s="26" t="s">
        <v>543</v>
      </c>
      <c r="E1227" s="26" t="str">
        <f>IFERROR(VLOOKUP(G1227,WholesaleExtract!B:J,9,FALSE),"")</f>
        <v/>
      </c>
      <c r="F1227" s="26" t="str">
        <f>IFERROR(VLOOKUP(G1227,WholesaleExtract!B:J,6,FALSE),"")</f>
        <v/>
      </c>
      <c r="G1227" s="46"/>
      <c r="H1227" s="47" t="str">
        <f>IFERROR(VLOOKUP(G1227,WholesaleExtract!B:L,11,FALSE),"")</f>
        <v/>
      </c>
      <c r="I1227" s="26" t="str">
        <f>IFERROR(VLOOKUP(G1227,WholesaleExtract!B:O,8,FALSE),"")</f>
        <v/>
      </c>
      <c r="J1227" s="26" t="str">
        <f>IFERROR(VLOOKUP(G1227,WholesaleExtract!B:O,14,FALSE),"")</f>
        <v/>
      </c>
      <c r="K1227" s="26" t="str">
        <f>IFERROR(VLOOKUP(G1227,WholesaleExtract!B:K,10,FALSE),"")</f>
        <v/>
      </c>
      <c r="L1227" s="47" t="str">
        <f>IFERROR(VLOOKUP(G1227,WholesaleExtract!B:L,11,FALSE),"")</f>
        <v/>
      </c>
      <c r="M1227" s="47" t="str">
        <f>IFERROR(VLOOKUP(G1227,WholesaleExtract!B:M,12,FALSE),"")</f>
        <v/>
      </c>
      <c r="N1227" s="27"/>
      <c r="O1227" s="19"/>
      <c r="P1227" s="19"/>
      <c r="Q1227" s="47"/>
      <c r="R1227" s="19"/>
      <c r="S1227" s="19"/>
    </row>
    <row r="1228" spans="1:19" x14ac:dyDescent="0.35">
      <c r="A1228" s="26" t="s">
        <v>543</v>
      </c>
      <c r="B1228" s="26" t="s">
        <v>543</v>
      </c>
      <c r="C1228" s="26"/>
      <c r="D1228" s="26" t="s">
        <v>543</v>
      </c>
      <c r="E1228" s="26" t="str">
        <f>IFERROR(VLOOKUP(G1228,WholesaleExtract!B:J,9,FALSE),"")</f>
        <v/>
      </c>
      <c r="F1228" s="26" t="str">
        <f>IFERROR(VLOOKUP(G1228,WholesaleExtract!B:J,6,FALSE),"")</f>
        <v/>
      </c>
      <c r="G1228" s="46"/>
      <c r="H1228" s="47" t="str">
        <f>IFERROR(VLOOKUP(G1228,WholesaleExtract!B:L,11,FALSE),"")</f>
        <v/>
      </c>
      <c r="I1228" s="26" t="str">
        <f>IFERROR(VLOOKUP(G1228,WholesaleExtract!B:O,8,FALSE),"")</f>
        <v/>
      </c>
      <c r="J1228" s="26" t="str">
        <f>IFERROR(VLOOKUP(G1228,WholesaleExtract!B:O,14,FALSE),"")</f>
        <v/>
      </c>
      <c r="K1228" s="26" t="str">
        <f>IFERROR(VLOOKUP(G1228,WholesaleExtract!B:K,10,FALSE),"")</f>
        <v/>
      </c>
      <c r="L1228" s="47" t="str">
        <f>IFERROR(VLOOKUP(G1228,WholesaleExtract!B:L,11,FALSE),"")</f>
        <v/>
      </c>
      <c r="M1228" s="47" t="str">
        <f>IFERROR(VLOOKUP(G1228,WholesaleExtract!B:M,12,FALSE),"")</f>
        <v/>
      </c>
      <c r="N1228" s="27"/>
      <c r="O1228" s="19"/>
      <c r="P1228" s="19"/>
      <c r="Q1228" s="47"/>
      <c r="R1228" s="19"/>
      <c r="S1228" s="19"/>
    </row>
    <row r="1229" spans="1:19" x14ac:dyDescent="0.35">
      <c r="A1229" s="26" t="s">
        <v>543</v>
      </c>
      <c r="B1229" s="26" t="s">
        <v>543</v>
      </c>
      <c r="C1229" s="26"/>
      <c r="D1229" s="26" t="s">
        <v>543</v>
      </c>
      <c r="E1229" s="26" t="str">
        <f>IFERROR(VLOOKUP(G1229,WholesaleExtract!B:J,9,FALSE),"")</f>
        <v/>
      </c>
      <c r="F1229" s="26" t="str">
        <f>IFERROR(VLOOKUP(G1229,WholesaleExtract!B:J,6,FALSE),"")</f>
        <v/>
      </c>
      <c r="G1229" s="46"/>
      <c r="H1229" s="47" t="str">
        <f>IFERROR(VLOOKUP(G1229,WholesaleExtract!B:L,11,FALSE),"")</f>
        <v/>
      </c>
      <c r="I1229" s="26" t="str">
        <f>IFERROR(VLOOKUP(G1229,WholesaleExtract!B:O,8,FALSE),"")</f>
        <v/>
      </c>
      <c r="J1229" s="26" t="str">
        <f>IFERROR(VLOOKUP(G1229,WholesaleExtract!B:O,14,FALSE),"")</f>
        <v/>
      </c>
      <c r="K1229" s="26" t="str">
        <f>IFERROR(VLOOKUP(G1229,WholesaleExtract!B:K,10,FALSE),"")</f>
        <v/>
      </c>
      <c r="L1229" s="47" t="str">
        <f>IFERROR(VLOOKUP(G1229,WholesaleExtract!B:L,11,FALSE),"")</f>
        <v/>
      </c>
      <c r="M1229" s="47" t="str">
        <f>IFERROR(VLOOKUP(G1229,WholesaleExtract!B:M,12,FALSE),"")</f>
        <v/>
      </c>
      <c r="N1229" s="27"/>
      <c r="O1229" s="19"/>
      <c r="P1229" s="19"/>
      <c r="Q1229" s="47"/>
      <c r="R1229" s="19"/>
      <c r="S1229" s="19"/>
    </row>
    <row r="1230" spans="1:19" x14ac:dyDescent="0.35">
      <c r="A1230" s="26" t="s">
        <v>543</v>
      </c>
      <c r="B1230" s="26" t="s">
        <v>543</v>
      </c>
      <c r="C1230" s="26"/>
      <c r="D1230" s="26" t="s">
        <v>543</v>
      </c>
      <c r="E1230" s="26" t="str">
        <f>IFERROR(VLOOKUP(G1230,WholesaleExtract!B:J,9,FALSE),"")</f>
        <v/>
      </c>
      <c r="F1230" s="26" t="str">
        <f>IFERROR(VLOOKUP(G1230,WholesaleExtract!B:J,6,FALSE),"")</f>
        <v/>
      </c>
      <c r="G1230" s="46"/>
      <c r="H1230" s="47" t="str">
        <f>IFERROR(VLOOKUP(G1230,WholesaleExtract!B:L,11,FALSE),"")</f>
        <v/>
      </c>
      <c r="I1230" s="26" t="str">
        <f>IFERROR(VLOOKUP(G1230,WholesaleExtract!B:O,8,FALSE),"")</f>
        <v/>
      </c>
      <c r="J1230" s="26" t="str">
        <f>IFERROR(VLOOKUP(G1230,WholesaleExtract!B:O,14,FALSE),"")</f>
        <v/>
      </c>
      <c r="K1230" s="26" t="str">
        <f>IFERROR(VLOOKUP(G1230,WholesaleExtract!B:K,10,FALSE),"")</f>
        <v/>
      </c>
      <c r="L1230" s="47" t="str">
        <f>IFERROR(VLOOKUP(G1230,WholesaleExtract!B:L,11,FALSE),"")</f>
        <v/>
      </c>
      <c r="M1230" s="47" t="str">
        <f>IFERROR(VLOOKUP(G1230,WholesaleExtract!B:M,12,FALSE),"")</f>
        <v/>
      </c>
      <c r="N1230" s="27"/>
      <c r="O1230" s="19"/>
      <c r="P1230" s="19"/>
      <c r="Q1230" s="47"/>
      <c r="R1230" s="19"/>
      <c r="S1230" s="19"/>
    </row>
    <row r="1231" spans="1:19" x14ac:dyDescent="0.35">
      <c r="A1231" s="26" t="s">
        <v>543</v>
      </c>
      <c r="B1231" s="26" t="s">
        <v>543</v>
      </c>
      <c r="C1231" s="26"/>
      <c r="D1231" s="26" t="s">
        <v>543</v>
      </c>
      <c r="E1231" s="26" t="str">
        <f>IFERROR(VLOOKUP(G1231,WholesaleExtract!B:J,9,FALSE),"")</f>
        <v/>
      </c>
      <c r="F1231" s="26" t="str">
        <f>IFERROR(VLOOKUP(G1231,WholesaleExtract!B:J,6,FALSE),"")</f>
        <v/>
      </c>
      <c r="G1231" s="46"/>
      <c r="H1231" s="47" t="str">
        <f>IFERROR(VLOOKUP(G1231,WholesaleExtract!B:L,11,FALSE),"")</f>
        <v/>
      </c>
      <c r="I1231" s="26" t="str">
        <f>IFERROR(VLOOKUP(G1231,WholesaleExtract!B:O,8,FALSE),"")</f>
        <v/>
      </c>
      <c r="J1231" s="26" t="str">
        <f>IFERROR(VLOOKUP(G1231,WholesaleExtract!B:O,14,FALSE),"")</f>
        <v/>
      </c>
      <c r="K1231" s="26" t="str">
        <f>IFERROR(VLOOKUP(G1231,WholesaleExtract!B:K,10,FALSE),"")</f>
        <v/>
      </c>
      <c r="L1231" s="47" t="str">
        <f>IFERROR(VLOOKUP(G1231,WholesaleExtract!B:L,11,FALSE),"")</f>
        <v/>
      </c>
      <c r="M1231" s="47" t="str">
        <f>IFERROR(VLOOKUP(G1231,WholesaleExtract!B:M,12,FALSE),"")</f>
        <v/>
      </c>
      <c r="N1231" s="27"/>
      <c r="O1231" s="19"/>
      <c r="P1231" s="19"/>
      <c r="Q1231" s="47"/>
      <c r="R1231" s="19"/>
      <c r="S1231" s="19"/>
    </row>
    <row r="1232" spans="1:19" x14ac:dyDescent="0.35">
      <c r="A1232" s="26" t="s">
        <v>543</v>
      </c>
      <c r="B1232" s="26" t="s">
        <v>543</v>
      </c>
      <c r="C1232" s="26"/>
      <c r="D1232" s="26" t="s">
        <v>543</v>
      </c>
      <c r="E1232" s="26" t="str">
        <f>IFERROR(VLOOKUP(G1232,WholesaleExtract!B:J,9,FALSE),"")</f>
        <v/>
      </c>
      <c r="F1232" s="26" t="str">
        <f>IFERROR(VLOOKUP(G1232,WholesaleExtract!B:J,6,FALSE),"")</f>
        <v/>
      </c>
      <c r="G1232" s="46"/>
      <c r="H1232" s="47" t="str">
        <f>IFERROR(VLOOKUP(G1232,WholesaleExtract!B:L,11,FALSE),"")</f>
        <v/>
      </c>
      <c r="I1232" s="26" t="str">
        <f>IFERROR(VLOOKUP(G1232,WholesaleExtract!B:O,8,FALSE),"")</f>
        <v/>
      </c>
      <c r="J1232" s="26" t="str">
        <f>IFERROR(VLOOKUP(G1232,WholesaleExtract!B:O,14,FALSE),"")</f>
        <v/>
      </c>
      <c r="K1232" s="26" t="str">
        <f>IFERROR(VLOOKUP(G1232,WholesaleExtract!B:K,10,FALSE),"")</f>
        <v/>
      </c>
      <c r="L1232" s="47" t="str">
        <f>IFERROR(VLOOKUP(G1232,WholesaleExtract!B:L,11,FALSE),"")</f>
        <v/>
      </c>
      <c r="M1232" s="47" t="str">
        <f>IFERROR(VLOOKUP(G1232,WholesaleExtract!B:M,12,FALSE),"")</f>
        <v/>
      </c>
      <c r="N1232" s="27"/>
      <c r="O1232" s="19"/>
      <c r="P1232" s="19"/>
      <c r="Q1232" s="47"/>
      <c r="R1232" s="19"/>
      <c r="S1232" s="19"/>
    </row>
    <row r="1233" spans="1:19" x14ac:dyDescent="0.35">
      <c r="A1233" s="26" t="s">
        <v>543</v>
      </c>
      <c r="B1233" s="26" t="s">
        <v>543</v>
      </c>
      <c r="C1233" s="26"/>
      <c r="D1233" s="26" t="s">
        <v>543</v>
      </c>
      <c r="E1233" s="26" t="str">
        <f>IFERROR(VLOOKUP(G1233,WholesaleExtract!B:J,9,FALSE),"")</f>
        <v/>
      </c>
      <c r="F1233" s="26" t="str">
        <f>IFERROR(VLOOKUP(G1233,WholesaleExtract!B:J,6,FALSE),"")</f>
        <v/>
      </c>
      <c r="G1233" s="46"/>
      <c r="H1233" s="47" t="str">
        <f>IFERROR(VLOOKUP(G1233,WholesaleExtract!B:L,11,FALSE),"")</f>
        <v/>
      </c>
      <c r="I1233" s="26" t="str">
        <f>IFERROR(VLOOKUP(G1233,WholesaleExtract!B:O,8,FALSE),"")</f>
        <v/>
      </c>
      <c r="J1233" s="26" t="str">
        <f>IFERROR(VLOOKUP(G1233,WholesaleExtract!B:O,14,FALSE),"")</f>
        <v/>
      </c>
      <c r="K1233" s="26" t="str">
        <f>IFERROR(VLOOKUP(G1233,WholesaleExtract!B:K,10,FALSE),"")</f>
        <v/>
      </c>
      <c r="L1233" s="47" t="str">
        <f>IFERROR(VLOOKUP(G1233,WholesaleExtract!B:L,11,FALSE),"")</f>
        <v/>
      </c>
      <c r="M1233" s="47" t="str">
        <f>IFERROR(VLOOKUP(G1233,WholesaleExtract!B:M,12,FALSE),"")</f>
        <v/>
      </c>
      <c r="N1233" s="27"/>
      <c r="O1233" s="19"/>
      <c r="P1233" s="19"/>
      <c r="Q1233" s="47"/>
      <c r="R1233" s="19"/>
      <c r="S1233" s="19"/>
    </row>
    <row r="1234" spans="1:19" x14ac:dyDescent="0.35">
      <c r="A1234" s="26" t="s">
        <v>543</v>
      </c>
      <c r="B1234" s="26" t="s">
        <v>543</v>
      </c>
      <c r="C1234" s="26"/>
      <c r="D1234" s="26" t="s">
        <v>543</v>
      </c>
      <c r="E1234" s="26" t="str">
        <f>IFERROR(VLOOKUP(G1234,WholesaleExtract!B:J,9,FALSE),"")</f>
        <v/>
      </c>
      <c r="F1234" s="26" t="str">
        <f>IFERROR(VLOOKUP(G1234,WholesaleExtract!B:J,6,FALSE),"")</f>
        <v/>
      </c>
      <c r="G1234" s="46"/>
      <c r="H1234" s="47" t="str">
        <f>IFERROR(VLOOKUP(G1234,WholesaleExtract!B:L,11,FALSE),"")</f>
        <v/>
      </c>
      <c r="I1234" s="26" t="str">
        <f>IFERROR(VLOOKUP(G1234,WholesaleExtract!B:O,8,FALSE),"")</f>
        <v/>
      </c>
      <c r="J1234" s="26" t="str">
        <f>IFERROR(VLOOKUP(G1234,WholesaleExtract!B:O,14,FALSE),"")</f>
        <v/>
      </c>
      <c r="K1234" s="26" t="str">
        <f>IFERROR(VLOOKUP(G1234,WholesaleExtract!B:K,10,FALSE),"")</f>
        <v/>
      </c>
      <c r="L1234" s="47" t="str">
        <f>IFERROR(VLOOKUP(G1234,WholesaleExtract!B:L,11,FALSE),"")</f>
        <v/>
      </c>
      <c r="M1234" s="47" t="str">
        <f>IFERROR(VLOOKUP(G1234,WholesaleExtract!B:M,12,FALSE),"")</f>
        <v/>
      </c>
      <c r="N1234" s="27"/>
      <c r="O1234" s="19"/>
      <c r="P1234" s="19"/>
      <c r="Q1234" s="47"/>
      <c r="R1234" s="19"/>
      <c r="S1234" s="19"/>
    </row>
    <row r="1235" spans="1:19" x14ac:dyDescent="0.35">
      <c r="A1235" s="26" t="s">
        <v>543</v>
      </c>
      <c r="B1235" s="26" t="s">
        <v>543</v>
      </c>
      <c r="C1235" s="26"/>
      <c r="D1235" s="26" t="s">
        <v>543</v>
      </c>
      <c r="E1235" s="26" t="str">
        <f>IFERROR(VLOOKUP(G1235,WholesaleExtract!B:J,9,FALSE),"")</f>
        <v/>
      </c>
      <c r="F1235" s="26" t="str">
        <f>IFERROR(VLOOKUP(G1235,WholesaleExtract!B:J,6,FALSE),"")</f>
        <v/>
      </c>
      <c r="G1235" s="46"/>
      <c r="H1235" s="47" t="str">
        <f>IFERROR(VLOOKUP(G1235,WholesaleExtract!B:L,11,FALSE),"")</f>
        <v/>
      </c>
      <c r="I1235" s="26" t="str">
        <f>IFERROR(VLOOKUP(G1235,WholesaleExtract!B:O,8,FALSE),"")</f>
        <v/>
      </c>
      <c r="J1235" s="26" t="str">
        <f>IFERROR(VLOOKUP(G1235,WholesaleExtract!B:O,14,FALSE),"")</f>
        <v/>
      </c>
      <c r="K1235" s="26" t="str">
        <f>IFERROR(VLOOKUP(G1235,WholesaleExtract!B:K,10,FALSE),"")</f>
        <v/>
      </c>
      <c r="L1235" s="47" t="str">
        <f>IFERROR(VLOOKUP(G1235,WholesaleExtract!B:L,11,FALSE),"")</f>
        <v/>
      </c>
      <c r="M1235" s="47" t="str">
        <f>IFERROR(VLOOKUP(G1235,WholesaleExtract!B:M,12,FALSE),"")</f>
        <v/>
      </c>
      <c r="N1235" s="27"/>
      <c r="O1235" s="19"/>
      <c r="P1235" s="19"/>
      <c r="Q1235" s="47"/>
      <c r="R1235" s="19"/>
      <c r="S1235" s="19"/>
    </row>
    <row r="1236" spans="1:19" x14ac:dyDescent="0.35">
      <c r="A1236" s="26" t="s">
        <v>543</v>
      </c>
      <c r="B1236" s="26" t="s">
        <v>543</v>
      </c>
      <c r="C1236" s="26"/>
      <c r="D1236" s="26" t="s">
        <v>543</v>
      </c>
      <c r="E1236" s="26" t="str">
        <f>IFERROR(VLOOKUP(G1236,WholesaleExtract!B:J,9,FALSE),"")</f>
        <v/>
      </c>
      <c r="F1236" s="26" t="str">
        <f>IFERROR(VLOOKUP(G1236,WholesaleExtract!B:J,6,FALSE),"")</f>
        <v/>
      </c>
      <c r="G1236" s="46"/>
      <c r="H1236" s="47" t="str">
        <f>IFERROR(VLOOKUP(G1236,WholesaleExtract!B:L,11,FALSE),"")</f>
        <v/>
      </c>
      <c r="I1236" s="26" t="str">
        <f>IFERROR(VLOOKUP(G1236,WholesaleExtract!B:O,8,FALSE),"")</f>
        <v/>
      </c>
      <c r="J1236" s="26" t="str">
        <f>IFERROR(VLOOKUP(G1236,WholesaleExtract!B:O,14,FALSE),"")</f>
        <v/>
      </c>
      <c r="K1236" s="26" t="str">
        <f>IFERROR(VLOOKUP(G1236,WholesaleExtract!B:K,10,FALSE),"")</f>
        <v/>
      </c>
      <c r="L1236" s="47" t="str">
        <f>IFERROR(VLOOKUP(G1236,WholesaleExtract!B:L,11,FALSE),"")</f>
        <v/>
      </c>
      <c r="M1236" s="47" t="str">
        <f>IFERROR(VLOOKUP(G1236,WholesaleExtract!B:M,12,FALSE),"")</f>
        <v/>
      </c>
      <c r="N1236" s="27"/>
      <c r="O1236" s="19"/>
      <c r="P1236" s="19"/>
      <c r="Q1236" s="47"/>
      <c r="R1236" s="19"/>
      <c r="S1236" s="19"/>
    </row>
    <row r="1237" spans="1:19" x14ac:dyDescent="0.35">
      <c r="A1237" s="26" t="s">
        <v>543</v>
      </c>
      <c r="B1237" s="26" t="s">
        <v>543</v>
      </c>
      <c r="C1237" s="26"/>
      <c r="D1237" s="26" t="s">
        <v>543</v>
      </c>
      <c r="E1237" s="26" t="str">
        <f>IFERROR(VLOOKUP(G1237,WholesaleExtract!B:J,9,FALSE),"")</f>
        <v/>
      </c>
      <c r="F1237" s="26" t="str">
        <f>IFERROR(VLOOKUP(G1237,WholesaleExtract!B:J,6,FALSE),"")</f>
        <v/>
      </c>
      <c r="G1237" s="46"/>
      <c r="H1237" s="47" t="str">
        <f>IFERROR(VLOOKUP(G1237,WholesaleExtract!B:L,11,FALSE),"")</f>
        <v/>
      </c>
      <c r="I1237" s="26" t="str">
        <f>IFERROR(VLOOKUP(G1237,WholesaleExtract!B:O,8,FALSE),"")</f>
        <v/>
      </c>
      <c r="J1237" s="26" t="str">
        <f>IFERROR(VLOOKUP(G1237,WholesaleExtract!B:O,14,FALSE),"")</f>
        <v/>
      </c>
      <c r="K1237" s="26" t="str">
        <f>IFERROR(VLOOKUP(G1237,WholesaleExtract!B:K,10,FALSE),"")</f>
        <v/>
      </c>
      <c r="L1237" s="47" t="str">
        <f>IFERROR(VLOOKUP(G1237,WholesaleExtract!B:L,11,FALSE),"")</f>
        <v/>
      </c>
      <c r="M1237" s="47" t="str">
        <f>IFERROR(VLOOKUP(G1237,WholesaleExtract!B:M,12,FALSE),"")</f>
        <v/>
      </c>
      <c r="N1237" s="27"/>
      <c r="O1237" s="19"/>
      <c r="P1237" s="19"/>
      <c r="Q1237" s="47"/>
      <c r="R1237" s="19"/>
      <c r="S1237" s="19"/>
    </row>
    <row r="1238" spans="1:19" x14ac:dyDescent="0.35">
      <c r="A1238" s="26" t="s">
        <v>543</v>
      </c>
      <c r="B1238" s="26" t="s">
        <v>543</v>
      </c>
      <c r="C1238" s="26"/>
      <c r="D1238" s="26" t="s">
        <v>543</v>
      </c>
      <c r="E1238" s="26" t="str">
        <f>IFERROR(VLOOKUP(G1238,WholesaleExtract!B:J,9,FALSE),"")</f>
        <v/>
      </c>
      <c r="F1238" s="26" t="str">
        <f>IFERROR(VLOOKUP(G1238,WholesaleExtract!B:J,6,FALSE),"")</f>
        <v/>
      </c>
      <c r="G1238" s="46"/>
      <c r="H1238" s="47" t="str">
        <f>IFERROR(VLOOKUP(G1238,WholesaleExtract!B:L,11,FALSE),"")</f>
        <v/>
      </c>
      <c r="I1238" s="26" t="str">
        <f>IFERROR(VLOOKUP(G1238,WholesaleExtract!B:O,8,FALSE),"")</f>
        <v/>
      </c>
      <c r="J1238" s="26" t="str">
        <f>IFERROR(VLOOKUP(G1238,WholesaleExtract!B:O,14,FALSE),"")</f>
        <v/>
      </c>
      <c r="K1238" s="26" t="str">
        <f>IFERROR(VLOOKUP(G1238,WholesaleExtract!B:K,10,FALSE),"")</f>
        <v/>
      </c>
      <c r="L1238" s="47" t="str">
        <f>IFERROR(VLOOKUP(G1238,WholesaleExtract!B:L,11,FALSE),"")</f>
        <v/>
      </c>
      <c r="M1238" s="47" t="str">
        <f>IFERROR(VLOOKUP(G1238,WholesaleExtract!B:M,12,FALSE),"")</f>
        <v/>
      </c>
      <c r="N1238" s="27"/>
      <c r="O1238" s="19"/>
      <c r="P1238" s="19"/>
      <c r="Q1238" s="47"/>
      <c r="R1238" s="19"/>
      <c r="S1238" s="19"/>
    </row>
    <row r="1239" spans="1:19" x14ac:dyDescent="0.35">
      <c r="A1239" s="26" t="s">
        <v>543</v>
      </c>
      <c r="B1239" s="26" t="s">
        <v>543</v>
      </c>
      <c r="C1239" s="26"/>
      <c r="D1239" s="26" t="s">
        <v>543</v>
      </c>
      <c r="E1239" s="26" t="str">
        <f>IFERROR(VLOOKUP(G1239,WholesaleExtract!B:J,9,FALSE),"")</f>
        <v/>
      </c>
      <c r="F1239" s="26" t="str">
        <f>IFERROR(VLOOKUP(G1239,WholesaleExtract!B:J,6,FALSE),"")</f>
        <v/>
      </c>
      <c r="G1239" s="46"/>
      <c r="H1239" s="47" t="str">
        <f>IFERROR(VLOOKUP(G1239,WholesaleExtract!B:L,11,FALSE),"")</f>
        <v/>
      </c>
      <c r="I1239" s="26" t="str">
        <f>IFERROR(VLOOKUP(G1239,WholesaleExtract!B:O,8,FALSE),"")</f>
        <v/>
      </c>
      <c r="J1239" s="26" t="str">
        <f>IFERROR(VLOOKUP(G1239,WholesaleExtract!B:O,14,FALSE),"")</f>
        <v/>
      </c>
      <c r="K1239" s="26" t="str">
        <f>IFERROR(VLOOKUP(G1239,WholesaleExtract!B:K,10,FALSE),"")</f>
        <v/>
      </c>
      <c r="L1239" s="47" t="str">
        <f>IFERROR(VLOOKUP(G1239,WholesaleExtract!B:L,11,FALSE),"")</f>
        <v/>
      </c>
      <c r="M1239" s="47" t="str">
        <f>IFERROR(VLOOKUP(G1239,WholesaleExtract!B:M,12,FALSE),"")</f>
        <v/>
      </c>
      <c r="N1239" s="27"/>
      <c r="O1239" s="19"/>
      <c r="P1239" s="19"/>
      <c r="Q1239" s="47"/>
      <c r="R1239" s="19"/>
      <c r="S1239" s="19"/>
    </row>
    <row r="1240" spans="1:19" x14ac:dyDescent="0.35">
      <c r="A1240" s="26" t="s">
        <v>543</v>
      </c>
      <c r="B1240" s="26" t="s">
        <v>543</v>
      </c>
      <c r="C1240" s="26"/>
      <c r="D1240" s="26" t="s">
        <v>543</v>
      </c>
      <c r="E1240" s="26" t="str">
        <f>IFERROR(VLOOKUP(G1240,WholesaleExtract!B:J,9,FALSE),"")</f>
        <v/>
      </c>
      <c r="F1240" s="26" t="str">
        <f>IFERROR(VLOOKUP(G1240,WholesaleExtract!B:J,6,FALSE),"")</f>
        <v/>
      </c>
      <c r="G1240" s="46"/>
      <c r="H1240" s="47" t="str">
        <f>IFERROR(VLOOKUP(G1240,WholesaleExtract!B:L,11,FALSE),"")</f>
        <v/>
      </c>
      <c r="I1240" s="26" t="str">
        <f>IFERROR(VLOOKUP(G1240,WholesaleExtract!B:O,8,FALSE),"")</f>
        <v/>
      </c>
      <c r="J1240" s="26" t="str">
        <f>IFERROR(VLOOKUP(G1240,WholesaleExtract!B:O,14,FALSE),"")</f>
        <v/>
      </c>
      <c r="K1240" s="26" t="str">
        <f>IFERROR(VLOOKUP(G1240,WholesaleExtract!B:K,10,FALSE),"")</f>
        <v/>
      </c>
      <c r="L1240" s="47" t="str">
        <f>IFERROR(VLOOKUP(G1240,WholesaleExtract!B:L,11,FALSE),"")</f>
        <v/>
      </c>
      <c r="M1240" s="47" t="str">
        <f>IFERROR(VLOOKUP(G1240,WholesaleExtract!B:M,12,FALSE),"")</f>
        <v/>
      </c>
      <c r="N1240" s="27"/>
      <c r="O1240" s="19"/>
      <c r="P1240" s="19"/>
      <c r="Q1240" s="47"/>
      <c r="R1240" s="19"/>
      <c r="S1240" s="19"/>
    </row>
    <row r="1241" spans="1:19" x14ac:dyDescent="0.35">
      <c r="A1241" s="26" t="s">
        <v>543</v>
      </c>
      <c r="B1241" s="26" t="s">
        <v>543</v>
      </c>
      <c r="C1241" s="26"/>
      <c r="D1241" s="26" t="s">
        <v>543</v>
      </c>
      <c r="E1241" s="26" t="str">
        <f>IFERROR(VLOOKUP(G1241,WholesaleExtract!B:J,9,FALSE),"")</f>
        <v/>
      </c>
      <c r="F1241" s="26" t="str">
        <f>IFERROR(VLOOKUP(G1241,WholesaleExtract!B:J,6,FALSE),"")</f>
        <v/>
      </c>
      <c r="G1241" s="46"/>
      <c r="H1241" s="47" t="str">
        <f>IFERROR(VLOOKUP(G1241,WholesaleExtract!B:L,11,FALSE),"")</f>
        <v/>
      </c>
      <c r="I1241" s="26" t="str">
        <f>IFERROR(VLOOKUP(G1241,WholesaleExtract!B:O,8,FALSE),"")</f>
        <v/>
      </c>
      <c r="J1241" s="26" t="str">
        <f>IFERROR(VLOOKUP(G1241,WholesaleExtract!B:O,14,FALSE),"")</f>
        <v/>
      </c>
      <c r="K1241" s="26" t="str">
        <f>IFERROR(VLOOKUP(G1241,WholesaleExtract!B:K,10,FALSE),"")</f>
        <v/>
      </c>
      <c r="L1241" s="47" t="str">
        <f>IFERROR(VLOOKUP(G1241,WholesaleExtract!B:L,11,FALSE),"")</f>
        <v/>
      </c>
      <c r="M1241" s="47" t="str">
        <f>IFERROR(VLOOKUP(G1241,WholesaleExtract!B:M,12,FALSE),"")</f>
        <v/>
      </c>
      <c r="N1241" s="27"/>
      <c r="O1241" s="19"/>
      <c r="P1241" s="19"/>
      <c r="Q1241" s="47"/>
      <c r="R1241" s="19"/>
      <c r="S1241" s="19"/>
    </row>
    <row r="1242" spans="1:19" x14ac:dyDescent="0.35">
      <c r="A1242" s="26" t="s">
        <v>543</v>
      </c>
      <c r="B1242" s="26" t="s">
        <v>543</v>
      </c>
      <c r="C1242" s="26"/>
      <c r="D1242" s="26" t="s">
        <v>543</v>
      </c>
      <c r="E1242" s="26" t="str">
        <f>IFERROR(VLOOKUP(G1242,WholesaleExtract!B:J,9,FALSE),"")</f>
        <v/>
      </c>
      <c r="F1242" s="26" t="str">
        <f>IFERROR(VLOOKUP(G1242,WholesaleExtract!B:J,6,FALSE),"")</f>
        <v/>
      </c>
      <c r="G1242" s="46"/>
      <c r="H1242" s="47" t="str">
        <f>IFERROR(VLOOKUP(G1242,WholesaleExtract!B:L,11,FALSE),"")</f>
        <v/>
      </c>
      <c r="I1242" s="26" t="str">
        <f>IFERROR(VLOOKUP(G1242,WholesaleExtract!B:O,8,FALSE),"")</f>
        <v/>
      </c>
      <c r="J1242" s="26" t="str">
        <f>IFERROR(VLOOKUP(G1242,WholesaleExtract!B:O,14,FALSE),"")</f>
        <v/>
      </c>
      <c r="K1242" s="26" t="str">
        <f>IFERROR(VLOOKUP(G1242,WholesaleExtract!B:K,10,FALSE),"")</f>
        <v/>
      </c>
      <c r="L1242" s="47" t="str">
        <f>IFERROR(VLOOKUP(G1242,WholesaleExtract!B:L,11,FALSE),"")</f>
        <v/>
      </c>
      <c r="M1242" s="47" t="str">
        <f>IFERROR(VLOOKUP(G1242,WholesaleExtract!B:M,12,FALSE),"")</f>
        <v/>
      </c>
      <c r="N1242" s="27"/>
      <c r="O1242" s="19"/>
      <c r="P1242" s="19"/>
      <c r="Q1242" s="47"/>
      <c r="R1242" s="19"/>
      <c r="S1242" s="19"/>
    </row>
    <row r="1243" spans="1:19" x14ac:dyDescent="0.35">
      <c r="A1243" s="26" t="s">
        <v>543</v>
      </c>
      <c r="B1243" s="26" t="s">
        <v>543</v>
      </c>
      <c r="C1243" s="26"/>
      <c r="D1243" s="26" t="s">
        <v>543</v>
      </c>
      <c r="E1243" s="26" t="str">
        <f>IFERROR(VLOOKUP(G1243,WholesaleExtract!B:J,9,FALSE),"")</f>
        <v/>
      </c>
      <c r="F1243" s="26" t="str">
        <f>IFERROR(VLOOKUP(G1243,WholesaleExtract!B:J,6,FALSE),"")</f>
        <v/>
      </c>
      <c r="G1243" s="46"/>
      <c r="H1243" s="47" t="str">
        <f>IFERROR(VLOOKUP(G1243,WholesaleExtract!B:L,11,FALSE),"")</f>
        <v/>
      </c>
      <c r="I1243" s="26" t="str">
        <f>IFERROR(VLOOKUP(G1243,WholesaleExtract!B:O,8,FALSE),"")</f>
        <v/>
      </c>
      <c r="J1243" s="26" t="str">
        <f>IFERROR(VLOOKUP(G1243,WholesaleExtract!B:O,14,FALSE),"")</f>
        <v/>
      </c>
      <c r="K1243" s="26" t="str">
        <f>IFERROR(VLOOKUP(G1243,WholesaleExtract!B:K,10,FALSE),"")</f>
        <v/>
      </c>
      <c r="L1243" s="47" t="str">
        <f>IFERROR(VLOOKUP(G1243,WholesaleExtract!B:L,11,FALSE),"")</f>
        <v/>
      </c>
      <c r="M1243" s="47" t="str">
        <f>IFERROR(VLOOKUP(G1243,WholesaleExtract!B:M,12,FALSE),"")</f>
        <v/>
      </c>
      <c r="N1243" s="27"/>
      <c r="O1243" s="19"/>
      <c r="P1243" s="19"/>
      <c r="Q1243" s="47"/>
      <c r="R1243" s="19"/>
      <c r="S1243" s="19"/>
    </row>
    <row r="1244" spans="1:19" x14ac:dyDescent="0.35">
      <c r="A1244" s="26" t="s">
        <v>543</v>
      </c>
      <c r="B1244" s="26" t="s">
        <v>543</v>
      </c>
      <c r="C1244" s="26"/>
      <c r="D1244" s="26" t="s">
        <v>543</v>
      </c>
      <c r="E1244" s="26" t="str">
        <f>IFERROR(VLOOKUP(G1244,WholesaleExtract!B:J,9,FALSE),"")</f>
        <v/>
      </c>
      <c r="F1244" s="26" t="str">
        <f>IFERROR(VLOOKUP(G1244,WholesaleExtract!B:J,6,FALSE),"")</f>
        <v/>
      </c>
      <c r="G1244" s="46"/>
      <c r="H1244" s="47" t="str">
        <f>IFERROR(VLOOKUP(G1244,WholesaleExtract!B:L,11,FALSE),"")</f>
        <v/>
      </c>
      <c r="I1244" s="26" t="str">
        <f>IFERROR(VLOOKUP(G1244,WholesaleExtract!B:O,8,FALSE),"")</f>
        <v/>
      </c>
      <c r="J1244" s="26" t="str">
        <f>IFERROR(VLOOKUP(G1244,WholesaleExtract!B:O,14,FALSE),"")</f>
        <v/>
      </c>
      <c r="K1244" s="26" t="str">
        <f>IFERROR(VLOOKUP(G1244,WholesaleExtract!B:K,10,FALSE),"")</f>
        <v/>
      </c>
      <c r="L1244" s="47" t="str">
        <f>IFERROR(VLOOKUP(G1244,WholesaleExtract!B:L,11,FALSE),"")</f>
        <v/>
      </c>
      <c r="M1244" s="47" t="str">
        <f>IFERROR(VLOOKUP(G1244,WholesaleExtract!B:M,12,FALSE),"")</f>
        <v/>
      </c>
      <c r="N1244" s="27"/>
      <c r="O1244" s="19"/>
      <c r="P1244" s="19"/>
      <c r="Q1244" s="47"/>
      <c r="R1244" s="19"/>
      <c r="S1244" s="19"/>
    </row>
    <row r="1245" spans="1:19" x14ac:dyDescent="0.35">
      <c r="A1245" s="26" t="s">
        <v>543</v>
      </c>
      <c r="B1245" s="26" t="s">
        <v>543</v>
      </c>
      <c r="C1245" s="26"/>
      <c r="D1245" s="26" t="s">
        <v>543</v>
      </c>
      <c r="E1245" s="26" t="str">
        <f>IFERROR(VLOOKUP(G1245,WholesaleExtract!B:J,9,FALSE),"")</f>
        <v/>
      </c>
      <c r="F1245" s="26" t="str">
        <f>IFERROR(VLOOKUP(G1245,WholesaleExtract!B:J,6,FALSE),"")</f>
        <v/>
      </c>
      <c r="G1245" s="46"/>
      <c r="H1245" s="47" t="str">
        <f>IFERROR(VLOOKUP(G1245,WholesaleExtract!B:L,11,FALSE),"")</f>
        <v/>
      </c>
      <c r="I1245" s="26" t="str">
        <f>IFERROR(VLOOKUP(G1245,WholesaleExtract!B:O,8,FALSE),"")</f>
        <v/>
      </c>
      <c r="J1245" s="26" t="str">
        <f>IFERROR(VLOOKUP(G1245,WholesaleExtract!B:O,14,FALSE),"")</f>
        <v/>
      </c>
      <c r="K1245" s="26" t="str">
        <f>IFERROR(VLOOKUP(G1245,WholesaleExtract!B:K,10,FALSE),"")</f>
        <v/>
      </c>
      <c r="L1245" s="47" t="str">
        <f>IFERROR(VLOOKUP(G1245,WholesaleExtract!B:L,11,FALSE),"")</f>
        <v/>
      </c>
      <c r="M1245" s="47" t="str">
        <f>IFERROR(VLOOKUP(G1245,WholesaleExtract!B:M,12,FALSE),"")</f>
        <v/>
      </c>
      <c r="N1245" s="27"/>
      <c r="O1245" s="19"/>
      <c r="P1245" s="19"/>
      <c r="Q1245" s="47"/>
      <c r="R1245" s="19"/>
      <c r="S1245" s="19"/>
    </row>
    <row r="1246" spans="1:19" x14ac:dyDescent="0.35">
      <c r="A1246" s="26" t="s">
        <v>543</v>
      </c>
      <c r="B1246" s="26" t="s">
        <v>543</v>
      </c>
      <c r="C1246" s="26"/>
      <c r="D1246" s="26" t="s">
        <v>543</v>
      </c>
      <c r="E1246" s="26" t="str">
        <f>IFERROR(VLOOKUP(G1246,WholesaleExtract!B:J,9,FALSE),"")</f>
        <v/>
      </c>
      <c r="F1246" s="26" t="str">
        <f>IFERROR(VLOOKUP(G1246,WholesaleExtract!B:J,6,FALSE),"")</f>
        <v/>
      </c>
      <c r="G1246" s="46"/>
      <c r="H1246" s="47" t="str">
        <f>IFERROR(VLOOKUP(G1246,WholesaleExtract!B:L,11,FALSE),"")</f>
        <v/>
      </c>
      <c r="I1246" s="26" t="str">
        <f>IFERROR(VLOOKUP(G1246,WholesaleExtract!B:O,8,FALSE),"")</f>
        <v/>
      </c>
      <c r="J1246" s="26" t="str">
        <f>IFERROR(VLOOKUP(G1246,WholesaleExtract!B:O,14,FALSE),"")</f>
        <v/>
      </c>
      <c r="K1246" s="26" t="str">
        <f>IFERROR(VLOOKUP(G1246,WholesaleExtract!B:K,10,FALSE),"")</f>
        <v/>
      </c>
      <c r="L1246" s="47" t="str">
        <f>IFERROR(VLOOKUP(G1246,WholesaleExtract!B:L,11,FALSE),"")</f>
        <v/>
      </c>
      <c r="M1246" s="47" t="str">
        <f>IFERROR(VLOOKUP(G1246,WholesaleExtract!B:M,12,FALSE),"")</f>
        <v/>
      </c>
      <c r="N1246" s="27"/>
      <c r="O1246" s="19"/>
      <c r="P1246" s="19"/>
      <c r="Q1246" s="47"/>
      <c r="R1246" s="19"/>
      <c r="S1246" s="19"/>
    </row>
    <row r="1247" spans="1:19" x14ac:dyDescent="0.35">
      <c r="A1247" s="26" t="s">
        <v>543</v>
      </c>
      <c r="B1247" s="26" t="s">
        <v>543</v>
      </c>
      <c r="C1247" s="26"/>
      <c r="D1247" s="26" t="s">
        <v>543</v>
      </c>
      <c r="E1247" s="26" t="str">
        <f>IFERROR(VLOOKUP(G1247,WholesaleExtract!B:J,9,FALSE),"")</f>
        <v/>
      </c>
      <c r="F1247" s="26" t="str">
        <f>IFERROR(VLOOKUP(G1247,WholesaleExtract!B:J,6,FALSE),"")</f>
        <v/>
      </c>
      <c r="G1247" s="46"/>
      <c r="H1247" s="47" t="str">
        <f>IFERROR(VLOOKUP(G1247,WholesaleExtract!B:L,11,FALSE),"")</f>
        <v/>
      </c>
      <c r="I1247" s="26" t="str">
        <f>IFERROR(VLOOKUP(G1247,WholesaleExtract!B:O,8,FALSE),"")</f>
        <v/>
      </c>
      <c r="J1247" s="26" t="str">
        <f>IFERROR(VLOOKUP(G1247,WholesaleExtract!B:O,14,FALSE),"")</f>
        <v/>
      </c>
      <c r="K1247" s="26" t="str">
        <f>IFERROR(VLOOKUP(G1247,WholesaleExtract!B:K,10,FALSE),"")</f>
        <v/>
      </c>
      <c r="L1247" s="47" t="str">
        <f>IFERROR(VLOOKUP(G1247,WholesaleExtract!B:L,11,FALSE),"")</f>
        <v/>
      </c>
      <c r="M1247" s="47" t="str">
        <f>IFERROR(VLOOKUP(G1247,WholesaleExtract!B:M,12,FALSE),"")</f>
        <v/>
      </c>
      <c r="N1247" s="27"/>
      <c r="O1247" s="19"/>
      <c r="P1247" s="19"/>
      <c r="Q1247" s="47"/>
      <c r="R1247" s="19"/>
      <c r="S1247" s="19"/>
    </row>
    <row r="1248" spans="1:19" x14ac:dyDescent="0.35">
      <c r="A1248" s="26" t="s">
        <v>543</v>
      </c>
      <c r="B1248" s="26" t="s">
        <v>543</v>
      </c>
      <c r="C1248" s="26"/>
      <c r="D1248" s="26" t="s">
        <v>543</v>
      </c>
      <c r="E1248" s="26" t="str">
        <f>IFERROR(VLOOKUP(G1248,WholesaleExtract!B:J,9,FALSE),"")</f>
        <v/>
      </c>
      <c r="F1248" s="26" t="str">
        <f>IFERROR(VLOOKUP(G1248,WholesaleExtract!B:J,6,FALSE),"")</f>
        <v/>
      </c>
      <c r="G1248" s="46"/>
      <c r="H1248" s="47" t="str">
        <f>IFERROR(VLOOKUP(G1248,WholesaleExtract!B:L,11,FALSE),"")</f>
        <v/>
      </c>
      <c r="I1248" s="26" t="str">
        <f>IFERROR(VLOOKUP(G1248,WholesaleExtract!B:O,8,FALSE),"")</f>
        <v/>
      </c>
      <c r="J1248" s="26" t="str">
        <f>IFERROR(VLOOKUP(G1248,WholesaleExtract!B:O,14,FALSE),"")</f>
        <v/>
      </c>
      <c r="K1248" s="26" t="str">
        <f>IFERROR(VLOOKUP(G1248,WholesaleExtract!B:K,10,FALSE),"")</f>
        <v/>
      </c>
      <c r="L1248" s="47" t="str">
        <f>IFERROR(VLOOKUP(G1248,WholesaleExtract!B:L,11,FALSE),"")</f>
        <v/>
      </c>
      <c r="M1248" s="47" t="str">
        <f>IFERROR(VLOOKUP(G1248,WholesaleExtract!B:M,12,FALSE),"")</f>
        <v/>
      </c>
      <c r="N1248" s="27"/>
      <c r="O1248" s="19"/>
      <c r="P1248" s="19"/>
      <c r="Q1248" s="47"/>
      <c r="R1248" s="19"/>
      <c r="S1248" s="19"/>
    </row>
    <row r="1249" spans="1:19" x14ac:dyDescent="0.35">
      <c r="A1249" s="26" t="s">
        <v>543</v>
      </c>
      <c r="B1249" s="26" t="s">
        <v>543</v>
      </c>
      <c r="C1249" s="26"/>
      <c r="D1249" s="26" t="s">
        <v>543</v>
      </c>
      <c r="E1249" s="26" t="str">
        <f>IFERROR(VLOOKUP(G1249,WholesaleExtract!B:J,9,FALSE),"")</f>
        <v/>
      </c>
      <c r="F1249" s="26" t="str">
        <f>IFERROR(VLOOKUP(G1249,WholesaleExtract!B:J,6,FALSE),"")</f>
        <v/>
      </c>
      <c r="G1249" s="46"/>
      <c r="H1249" s="47" t="str">
        <f>IFERROR(VLOOKUP(G1249,WholesaleExtract!B:L,11,FALSE),"")</f>
        <v/>
      </c>
      <c r="I1249" s="26" t="str">
        <f>IFERROR(VLOOKUP(G1249,WholesaleExtract!B:O,8,FALSE),"")</f>
        <v/>
      </c>
      <c r="J1249" s="26" t="str">
        <f>IFERROR(VLOOKUP(G1249,WholesaleExtract!B:O,14,FALSE),"")</f>
        <v/>
      </c>
      <c r="K1249" s="26" t="str">
        <f>IFERROR(VLOOKUP(G1249,WholesaleExtract!B:K,10,FALSE),"")</f>
        <v/>
      </c>
      <c r="L1249" s="47" t="str">
        <f>IFERROR(VLOOKUP(G1249,WholesaleExtract!B:L,11,FALSE),"")</f>
        <v/>
      </c>
      <c r="M1249" s="47" t="str">
        <f>IFERROR(VLOOKUP(G1249,WholesaleExtract!B:M,12,FALSE),"")</f>
        <v/>
      </c>
      <c r="N1249" s="27"/>
      <c r="O1249" s="19"/>
      <c r="P1249" s="19"/>
      <c r="Q1249" s="47"/>
      <c r="R1249" s="19"/>
      <c r="S1249" s="19"/>
    </row>
    <row r="1250" spans="1:19" x14ac:dyDescent="0.35">
      <c r="A1250" s="26" t="s">
        <v>543</v>
      </c>
      <c r="B1250" s="26" t="s">
        <v>543</v>
      </c>
      <c r="C1250" s="26"/>
      <c r="D1250" s="26" t="s">
        <v>543</v>
      </c>
      <c r="E1250" s="26" t="str">
        <f>IFERROR(VLOOKUP(G1250,WholesaleExtract!B:J,9,FALSE),"")</f>
        <v/>
      </c>
      <c r="F1250" s="26" t="str">
        <f>IFERROR(VLOOKUP(G1250,WholesaleExtract!B:J,6,FALSE),"")</f>
        <v/>
      </c>
      <c r="G1250" s="46"/>
      <c r="H1250" s="47" t="str">
        <f>IFERROR(VLOOKUP(G1250,WholesaleExtract!B:L,11,FALSE),"")</f>
        <v/>
      </c>
      <c r="I1250" s="26" t="str">
        <f>IFERROR(VLOOKUP(G1250,WholesaleExtract!B:O,8,FALSE),"")</f>
        <v/>
      </c>
      <c r="J1250" s="26" t="str">
        <f>IFERROR(VLOOKUP(G1250,WholesaleExtract!B:O,14,FALSE),"")</f>
        <v/>
      </c>
      <c r="K1250" s="26" t="str">
        <f>IFERROR(VLOOKUP(G1250,WholesaleExtract!B:K,10,FALSE),"")</f>
        <v/>
      </c>
      <c r="L1250" s="47" t="str">
        <f>IFERROR(VLOOKUP(G1250,WholesaleExtract!B:L,11,FALSE),"")</f>
        <v/>
      </c>
      <c r="M1250" s="47" t="str">
        <f>IFERROR(VLOOKUP(G1250,WholesaleExtract!B:M,12,FALSE),"")</f>
        <v/>
      </c>
      <c r="N1250" s="27"/>
      <c r="O1250" s="19"/>
      <c r="P1250" s="19"/>
      <c r="Q1250" s="47"/>
      <c r="R1250" s="19"/>
      <c r="S1250" s="19"/>
    </row>
    <row r="1251" spans="1:19" x14ac:dyDescent="0.35">
      <c r="A1251" s="26" t="s">
        <v>543</v>
      </c>
      <c r="B1251" s="26" t="s">
        <v>543</v>
      </c>
      <c r="C1251" s="26"/>
      <c r="D1251" s="26" t="s">
        <v>543</v>
      </c>
      <c r="E1251" s="26" t="str">
        <f>IFERROR(VLOOKUP(G1251,WholesaleExtract!B:J,9,FALSE),"")</f>
        <v/>
      </c>
      <c r="F1251" s="26" t="str">
        <f>IFERROR(VLOOKUP(G1251,WholesaleExtract!B:J,6,FALSE),"")</f>
        <v/>
      </c>
      <c r="G1251" s="46"/>
      <c r="H1251" s="47" t="str">
        <f>IFERROR(VLOOKUP(G1251,WholesaleExtract!B:L,11,FALSE),"")</f>
        <v/>
      </c>
      <c r="I1251" s="26" t="str">
        <f>IFERROR(VLOOKUP(G1251,WholesaleExtract!B:O,8,FALSE),"")</f>
        <v/>
      </c>
      <c r="J1251" s="26" t="str">
        <f>IFERROR(VLOOKUP(G1251,WholesaleExtract!B:O,14,FALSE),"")</f>
        <v/>
      </c>
      <c r="K1251" s="26" t="str">
        <f>IFERROR(VLOOKUP(G1251,WholesaleExtract!B:K,10,FALSE),"")</f>
        <v/>
      </c>
      <c r="L1251" s="47" t="str">
        <f>IFERROR(VLOOKUP(G1251,WholesaleExtract!B:L,11,FALSE),"")</f>
        <v/>
      </c>
      <c r="M1251" s="47" t="str">
        <f>IFERROR(VLOOKUP(G1251,WholesaleExtract!B:M,12,FALSE),"")</f>
        <v/>
      </c>
      <c r="N1251" s="27"/>
      <c r="O1251" s="19"/>
      <c r="P1251" s="19"/>
      <c r="Q1251" s="47"/>
      <c r="R1251" s="19"/>
      <c r="S1251" s="19"/>
    </row>
    <row r="1252" spans="1:19" x14ac:dyDescent="0.35">
      <c r="A1252" s="26" t="s">
        <v>543</v>
      </c>
      <c r="B1252" s="26" t="s">
        <v>543</v>
      </c>
      <c r="C1252" s="26"/>
      <c r="D1252" s="26" t="s">
        <v>543</v>
      </c>
      <c r="E1252" s="26" t="str">
        <f>IFERROR(VLOOKUP(G1252,WholesaleExtract!B:J,9,FALSE),"")</f>
        <v/>
      </c>
      <c r="F1252" s="26" t="str">
        <f>IFERROR(VLOOKUP(G1252,WholesaleExtract!B:J,6,FALSE),"")</f>
        <v/>
      </c>
      <c r="G1252" s="46"/>
      <c r="H1252" s="47" t="str">
        <f>IFERROR(VLOOKUP(G1252,WholesaleExtract!B:L,11,FALSE),"")</f>
        <v/>
      </c>
      <c r="I1252" s="26" t="str">
        <f>IFERROR(VLOOKUP(G1252,WholesaleExtract!B:O,8,FALSE),"")</f>
        <v/>
      </c>
      <c r="J1252" s="26" t="str">
        <f>IFERROR(VLOOKUP(G1252,WholesaleExtract!B:O,14,FALSE),"")</f>
        <v/>
      </c>
      <c r="K1252" s="26" t="str">
        <f>IFERROR(VLOOKUP(G1252,WholesaleExtract!B:K,10,FALSE),"")</f>
        <v/>
      </c>
      <c r="L1252" s="47" t="str">
        <f>IFERROR(VLOOKUP(G1252,WholesaleExtract!B:L,11,FALSE),"")</f>
        <v/>
      </c>
      <c r="M1252" s="47" t="str">
        <f>IFERROR(VLOOKUP(G1252,WholesaleExtract!B:M,12,FALSE),"")</f>
        <v/>
      </c>
      <c r="N1252" s="27"/>
      <c r="O1252" s="19"/>
      <c r="P1252" s="19"/>
      <c r="Q1252" s="47"/>
      <c r="R1252" s="19"/>
      <c r="S1252" s="19"/>
    </row>
    <row r="1253" spans="1:19" x14ac:dyDescent="0.35">
      <c r="A1253" s="26" t="s">
        <v>543</v>
      </c>
      <c r="B1253" s="26" t="s">
        <v>543</v>
      </c>
      <c r="C1253" s="26"/>
      <c r="D1253" s="26" t="s">
        <v>543</v>
      </c>
      <c r="E1253" s="26" t="str">
        <f>IFERROR(VLOOKUP(G1253,WholesaleExtract!B:J,9,FALSE),"")</f>
        <v/>
      </c>
      <c r="F1253" s="26" t="str">
        <f>IFERROR(VLOOKUP(G1253,WholesaleExtract!B:J,6,FALSE),"")</f>
        <v/>
      </c>
      <c r="G1253" s="46"/>
      <c r="H1253" s="47" t="str">
        <f>IFERROR(VLOOKUP(G1253,WholesaleExtract!B:L,11,FALSE),"")</f>
        <v/>
      </c>
      <c r="I1253" s="26" t="str">
        <f>IFERROR(VLOOKUP(G1253,WholesaleExtract!B:O,8,FALSE),"")</f>
        <v/>
      </c>
      <c r="J1253" s="26" t="str">
        <f>IFERROR(VLOOKUP(G1253,WholesaleExtract!B:O,14,FALSE),"")</f>
        <v/>
      </c>
      <c r="K1253" s="26" t="str">
        <f>IFERROR(VLOOKUP(G1253,WholesaleExtract!B:K,10,FALSE),"")</f>
        <v/>
      </c>
      <c r="L1253" s="47" t="str">
        <f>IFERROR(VLOOKUP(G1253,WholesaleExtract!B:L,11,FALSE),"")</f>
        <v/>
      </c>
      <c r="M1253" s="47" t="str">
        <f>IFERROR(VLOOKUP(G1253,WholesaleExtract!B:M,12,FALSE),"")</f>
        <v/>
      </c>
      <c r="N1253" s="27"/>
      <c r="O1253" s="19"/>
      <c r="P1253" s="19"/>
      <c r="Q1253" s="47"/>
      <c r="R1253" s="19"/>
      <c r="S1253" s="19"/>
    </row>
    <row r="1254" spans="1:19" x14ac:dyDescent="0.35">
      <c r="A1254" s="26" t="s">
        <v>543</v>
      </c>
      <c r="B1254" s="26" t="s">
        <v>543</v>
      </c>
      <c r="C1254" s="26"/>
      <c r="D1254" s="26" t="s">
        <v>543</v>
      </c>
      <c r="E1254" s="26" t="str">
        <f>IFERROR(VLOOKUP(G1254,WholesaleExtract!B:J,9,FALSE),"")</f>
        <v/>
      </c>
      <c r="F1254" s="26" t="str">
        <f>IFERROR(VLOOKUP(G1254,WholesaleExtract!B:J,6,FALSE),"")</f>
        <v/>
      </c>
      <c r="G1254" s="46"/>
      <c r="H1254" s="47" t="str">
        <f>IFERROR(VLOOKUP(G1254,WholesaleExtract!B:L,11,FALSE),"")</f>
        <v/>
      </c>
      <c r="I1254" s="26" t="str">
        <f>IFERROR(VLOOKUP(G1254,WholesaleExtract!B:O,8,FALSE),"")</f>
        <v/>
      </c>
      <c r="J1254" s="26" t="str">
        <f>IFERROR(VLOOKUP(G1254,WholesaleExtract!B:O,14,FALSE),"")</f>
        <v/>
      </c>
      <c r="K1254" s="26" t="str">
        <f>IFERROR(VLOOKUP(G1254,WholesaleExtract!B:K,10,FALSE),"")</f>
        <v/>
      </c>
      <c r="L1254" s="47" t="str">
        <f>IFERROR(VLOOKUP(G1254,WholesaleExtract!B:L,11,FALSE),"")</f>
        <v/>
      </c>
      <c r="M1254" s="47" t="str">
        <f>IFERROR(VLOOKUP(G1254,WholesaleExtract!B:M,12,FALSE),"")</f>
        <v/>
      </c>
      <c r="N1254" s="27"/>
      <c r="O1254" s="19"/>
      <c r="P1254" s="19"/>
      <c r="Q1254" s="47"/>
      <c r="R1254" s="19"/>
      <c r="S1254" s="19"/>
    </row>
    <row r="1255" spans="1:19" x14ac:dyDescent="0.35">
      <c r="A1255" s="26" t="s">
        <v>543</v>
      </c>
      <c r="B1255" s="26" t="s">
        <v>543</v>
      </c>
      <c r="C1255" s="26"/>
      <c r="D1255" s="26" t="s">
        <v>543</v>
      </c>
      <c r="E1255" s="26" t="str">
        <f>IFERROR(VLOOKUP(G1255,WholesaleExtract!B:J,9,FALSE),"")</f>
        <v/>
      </c>
      <c r="F1255" s="26" t="str">
        <f>IFERROR(VLOOKUP(G1255,WholesaleExtract!B:J,6,FALSE),"")</f>
        <v/>
      </c>
      <c r="G1255" s="46"/>
      <c r="H1255" s="47" t="str">
        <f>IFERROR(VLOOKUP(G1255,WholesaleExtract!B:L,11,FALSE),"")</f>
        <v/>
      </c>
      <c r="I1255" s="26" t="str">
        <f>IFERROR(VLOOKUP(G1255,WholesaleExtract!B:O,8,FALSE),"")</f>
        <v/>
      </c>
      <c r="J1255" s="26" t="str">
        <f>IFERROR(VLOOKUP(G1255,WholesaleExtract!B:O,14,FALSE),"")</f>
        <v/>
      </c>
      <c r="K1255" s="26" t="str">
        <f>IFERROR(VLOOKUP(G1255,WholesaleExtract!B:K,10,FALSE),"")</f>
        <v/>
      </c>
      <c r="L1255" s="47" t="str">
        <f>IFERROR(VLOOKUP(G1255,WholesaleExtract!B:L,11,FALSE),"")</f>
        <v/>
      </c>
      <c r="M1255" s="47" t="str">
        <f>IFERROR(VLOOKUP(G1255,WholesaleExtract!B:M,12,FALSE),"")</f>
        <v/>
      </c>
      <c r="N1255" s="27"/>
      <c r="O1255" s="19"/>
      <c r="P1255" s="19"/>
      <c r="Q1255" s="47"/>
      <c r="R1255" s="19"/>
      <c r="S1255" s="19"/>
    </row>
    <row r="1256" spans="1:19" x14ac:dyDescent="0.35">
      <c r="A1256" s="26" t="s">
        <v>543</v>
      </c>
      <c r="B1256" s="26" t="s">
        <v>543</v>
      </c>
      <c r="C1256" s="26"/>
      <c r="D1256" s="26" t="s">
        <v>543</v>
      </c>
      <c r="E1256" s="26" t="str">
        <f>IFERROR(VLOOKUP(G1256,WholesaleExtract!B:J,9,FALSE),"")</f>
        <v/>
      </c>
      <c r="F1256" s="26" t="str">
        <f>IFERROR(VLOOKUP(G1256,WholesaleExtract!B:J,6,FALSE),"")</f>
        <v/>
      </c>
      <c r="G1256" s="46"/>
      <c r="H1256" s="47" t="str">
        <f>IFERROR(VLOOKUP(G1256,WholesaleExtract!B:L,11,FALSE),"")</f>
        <v/>
      </c>
      <c r="I1256" s="26" t="str">
        <f>IFERROR(VLOOKUP(G1256,WholesaleExtract!B:O,8,FALSE),"")</f>
        <v/>
      </c>
      <c r="J1256" s="26" t="str">
        <f>IFERROR(VLOOKUP(G1256,WholesaleExtract!B:O,14,FALSE),"")</f>
        <v/>
      </c>
      <c r="K1256" s="26" t="str">
        <f>IFERROR(VLOOKUP(G1256,WholesaleExtract!B:K,10,FALSE),"")</f>
        <v/>
      </c>
      <c r="L1256" s="47" t="str">
        <f>IFERROR(VLOOKUP(G1256,WholesaleExtract!B:L,11,FALSE),"")</f>
        <v/>
      </c>
      <c r="M1256" s="47" t="str">
        <f>IFERROR(VLOOKUP(G1256,WholesaleExtract!B:M,12,FALSE),"")</f>
        <v/>
      </c>
      <c r="N1256" s="27"/>
      <c r="O1256" s="19"/>
      <c r="P1256" s="19"/>
      <c r="Q1256" s="47"/>
      <c r="R1256" s="19"/>
      <c r="S1256" s="19"/>
    </row>
    <row r="1257" spans="1:19" x14ac:dyDescent="0.35">
      <c r="A1257" s="26" t="s">
        <v>543</v>
      </c>
      <c r="B1257" s="26" t="s">
        <v>543</v>
      </c>
      <c r="C1257" s="26"/>
      <c r="D1257" s="26" t="s">
        <v>543</v>
      </c>
      <c r="E1257" s="26" t="str">
        <f>IFERROR(VLOOKUP(G1257,WholesaleExtract!B:J,9,FALSE),"")</f>
        <v/>
      </c>
      <c r="F1257" s="26" t="str">
        <f>IFERROR(VLOOKUP(G1257,WholesaleExtract!B:J,6,FALSE),"")</f>
        <v/>
      </c>
      <c r="G1257" s="46"/>
      <c r="H1257" s="47" t="str">
        <f>IFERROR(VLOOKUP(G1257,WholesaleExtract!B:L,11,FALSE),"")</f>
        <v/>
      </c>
      <c r="I1257" s="26" t="str">
        <f>IFERROR(VLOOKUP(G1257,WholesaleExtract!B:O,8,FALSE),"")</f>
        <v/>
      </c>
      <c r="J1257" s="26" t="str">
        <f>IFERROR(VLOOKUP(G1257,WholesaleExtract!B:O,14,FALSE),"")</f>
        <v/>
      </c>
      <c r="K1257" s="26" t="str">
        <f>IFERROR(VLOOKUP(G1257,WholesaleExtract!B:K,10,FALSE),"")</f>
        <v/>
      </c>
      <c r="L1257" s="47" t="str">
        <f>IFERROR(VLOOKUP(G1257,WholesaleExtract!B:L,11,FALSE),"")</f>
        <v/>
      </c>
      <c r="M1257" s="47" t="str">
        <f>IFERROR(VLOOKUP(G1257,WholesaleExtract!B:M,12,FALSE),"")</f>
        <v/>
      </c>
      <c r="N1257" s="27"/>
      <c r="O1257" s="19"/>
      <c r="P1257" s="19"/>
      <c r="Q1257" s="47"/>
      <c r="R1257" s="19"/>
      <c r="S1257" s="19"/>
    </row>
    <row r="1258" spans="1:19" x14ac:dyDescent="0.35">
      <c r="A1258" s="26" t="s">
        <v>543</v>
      </c>
      <c r="B1258" s="26" t="s">
        <v>543</v>
      </c>
      <c r="C1258" s="26"/>
      <c r="D1258" s="26" t="s">
        <v>543</v>
      </c>
      <c r="E1258" s="26" t="str">
        <f>IFERROR(VLOOKUP(G1258,WholesaleExtract!B:J,9,FALSE),"")</f>
        <v/>
      </c>
      <c r="F1258" s="26" t="str">
        <f>IFERROR(VLOOKUP(G1258,WholesaleExtract!B:J,6,FALSE),"")</f>
        <v/>
      </c>
      <c r="G1258" s="46"/>
      <c r="H1258" s="47" t="str">
        <f>IFERROR(VLOOKUP(G1258,WholesaleExtract!B:L,11,FALSE),"")</f>
        <v/>
      </c>
      <c r="I1258" s="26" t="str">
        <f>IFERROR(VLOOKUP(G1258,WholesaleExtract!B:O,8,FALSE),"")</f>
        <v/>
      </c>
      <c r="J1258" s="26" t="str">
        <f>IFERROR(VLOOKUP(G1258,WholesaleExtract!B:O,14,FALSE),"")</f>
        <v/>
      </c>
      <c r="K1258" s="26" t="str">
        <f>IFERROR(VLOOKUP(G1258,WholesaleExtract!B:K,10,FALSE),"")</f>
        <v/>
      </c>
      <c r="L1258" s="47" t="str">
        <f>IFERROR(VLOOKUP(G1258,WholesaleExtract!B:L,11,FALSE),"")</f>
        <v/>
      </c>
      <c r="M1258" s="47" t="str">
        <f>IFERROR(VLOOKUP(G1258,WholesaleExtract!B:M,12,FALSE),"")</f>
        <v/>
      </c>
      <c r="N1258" s="27"/>
      <c r="O1258" s="19"/>
      <c r="P1258" s="19"/>
      <c r="Q1258" s="47"/>
      <c r="R1258" s="19"/>
      <c r="S1258" s="19"/>
    </row>
    <row r="1259" spans="1:19" x14ac:dyDescent="0.35">
      <c r="A1259" s="26" t="s">
        <v>543</v>
      </c>
      <c r="B1259" s="26" t="s">
        <v>543</v>
      </c>
      <c r="C1259" s="26"/>
      <c r="D1259" s="26" t="s">
        <v>543</v>
      </c>
      <c r="E1259" s="26" t="str">
        <f>IFERROR(VLOOKUP(G1259,WholesaleExtract!B:J,9,FALSE),"")</f>
        <v/>
      </c>
      <c r="F1259" s="26" t="str">
        <f>IFERROR(VLOOKUP(G1259,WholesaleExtract!B:J,6,FALSE),"")</f>
        <v/>
      </c>
      <c r="G1259" s="46"/>
      <c r="H1259" s="47" t="str">
        <f>IFERROR(VLOOKUP(G1259,WholesaleExtract!B:L,11,FALSE),"")</f>
        <v/>
      </c>
      <c r="I1259" s="26" t="str">
        <f>IFERROR(VLOOKUP(G1259,WholesaleExtract!B:O,8,FALSE),"")</f>
        <v/>
      </c>
      <c r="J1259" s="26" t="str">
        <f>IFERROR(VLOOKUP(G1259,WholesaleExtract!B:O,14,FALSE),"")</f>
        <v/>
      </c>
      <c r="K1259" s="26" t="str">
        <f>IFERROR(VLOOKUP(G1259,WholesaleExtract!B:K,10,FALSE),"")</f>
        <v/>
      </c>
      <c r="L1259" s="47" t="str">
        <f>IFERROR(VLOOKUP(G1259,WholesaleExtract!B:L,11,FALSE),"")</f>
        <v/>
      </c>
      <c r="M1259" s="47" t="str">
        <f>IFERROR(VLOOKUP(G1259,WholesaleExtract!B:M,12,FALSE),"")</f>
        <v/>
      </c>
      <c r="N1259" s="27"/>
      <c r="O1259" s="19"/>
      <c r="P1259" s="19"/>
      <c r="Q1259" s="47"/>
      <c r="R1259" s="19"/>
      <c r="S1259" s="19"/>
    </row>
    <row r="1260" spans="1:19" x14ac:dyDescent="0.35">
      <c r="A1260" s="26" t="s">
        <v>543</v>
      </c>
      <c r="B1260" s="26" t="s">
        <v>543</v>
      </c>
      <c r="C1260" s="26"/>
      <c r="D1260" s="26" t="s">
        <v>543</v>
      </c>
      <c r="E1260" s="26" t="str">
        <f>IFERROR(VLOOKUP(G1260,WholesaleExtract!B:J,9,FALSE),"")</f>
        <v/>
      </c>
      <c r="F1260" s="26" t="str">
        <f>IFERROR(VLOOKUP(G1260,WholesaleExtract!B:J,6,FALSE),"")</f>
        <v/>
      </c>
      <c r="G1260" s="46"/>
      <c r="H1260" s="47" t="str">
        <f>IFERROR(VLOOKUP(G1260,WholesaleExtract!B:L,11,FALSE),"")</f>
        <v/>
      </c>
      <c r="I1260" s="26" t="str">
        <f>IFERROR(VLOOKUP(G1260,WholesaleExtract!B:O,8,FALSE),"")</f>
        <v/>
      </c>
      <c r="J1260" s="26" t="str">
        <f>IFERROR(VLOOKUP(G1260,WholesaleExtract!B:O,14,FALSE),"")</f>
        <v/>
      </c>
      <c r="K1260" s="26" t="str">
        <f>IFERROR(VLOOKUP(G1260,WholesaleExtract!B:K,10,FALSE),"")</f>
        <v/>
      </c>
      <c r="L1260" s="47" t="str">
        <f>IFERROR(VLOOKUP(G1260,WholesaleExtract!B:L,11,FALSE),"")</f>
        <v/>
      </c>
      <c r="M1260" s="47" t="str">
        <f>IFERROR(VLOOKUP(G1260,WholesaleExtract!B:M,12,FALSE),"")</f>
        <v/>
      </c>
      <c r="N1260" s="27"/>
      <c r="O1260" s="19"/>
      <c r="P1260" s="19"/>
      <c r="Q1260" s="47"/>
      <c r="R1260" s="19"/>
      <c r="S1260" s="19"/>
    </row>
    <row r="1261" spans="1:19" x14ac:dyDescent="0.35">
      <c r="A1261" s="26" t="s">
        <v>543</v>
      </c>
      <c r="B1261" s="26" t="s">
        <v>543</v>
      </c>
      <c r="C1261" s="26"/>
      <c r="D1261" s="26" t="s">
        <v>543</v>
      </c>
      <c r="E1261" s="26" t="str">
        <f>IFERROR(VLOOKUP(G1261,WholesaleExtract!B:J,9,FALSE),"")</f>
        <v/>
      </c>
      <c r="F1261" s="26" t="str">
        <f>IFERROR(VLOOKUP(G1261,WholesaleExtract!B:J,6,FALSE),"")</f>
        <v/>
      </c>
      <c r="G1261" s="46"/>
      <c r="H1261" s="47" t="str">
        <f>IFERROR(VLOOKUP(G1261,WholesaleExtract!B:L,11,FALSE),"")</f>
        <v/>
      </c>
      <c r="I1261" s="26" t="str">
        <f>IFERROR(VLOOKUP(G1261,WholesaleExtract!B:O,8,FALSE),"")</f>
        <v/>
      </c>
      <c r="J1261" s="26" t="str">
        <f>IFERROR(VLOOKUP(G1261,WholesaleExtract!B:O,14,FALSE),"")</f>
        <v/>
      </c>
      <c r="K1261" s="26" t="str">
        <f>IFERROR(VLOOKUP(G1261,WholesaleExtract!B:K,10,FALSE),"")</f>
        <v/>
      </c>
      <c r="L1261" s="47" t="str">
        <f>IFERROR(VLOOKUP(G1261,WholesaleExtract!B:L,11,FALSE),"")</f>
        <v/>
      </c>
      <c r="M1261" s="47" t="str">
        <f>IFERROR(VLOOKUP(G1261,WholesaleExtract!B:M,12,FALSE),"")</f>
        <v/>
      </c>
      <c r="N1261" s="27"/>
      <c r="O1261" s="19"/>
      <c r="P1261" s="19"/>
      <c r="Q1261" s="47"/>
      <c r="R1261" s="19"/>
      <c r="S1261" s="19"/>
    </row>
    <row r="1262" spans="1:19" x14ac:dyDescent="0.35">
      <c r="A1262" s="26" t="s">
        <v>543</v>
      </c>
      <c r="B1262" s="26" t="s">
        <v>543</v>
      </c>
      <c r="C1262" s="26"/>
      <c r="D1262" s="26" t="s">
        <v>543</v>
      </c>
      <c r="E1262" s="26" t="str">
        <f>IFERROR(VLOOKUP(G1262,WholesaleExtract!B:J,9,FALSE),"")</f>
        <v/>
      </c>
      <c r="F1262" s="26" t="str">
        <f>IFERROR(VLOOKUP(G1262,WholesaleExtract!B:J,6,FALSE),"")</f>
        <v/>
      </c>
      <c r="G1262" s="46"/>
      <c r="H1262" s="47" t="str">
        <f>IFERROR(VLOOKUP(G1262,WholesaleExtract!B:L,11,FALSE),"")</f>
        <v/>
      </c>
      <c r="I1262" s="26" t="str">
        <f>IFERROR(VLOOKUP(G1262,WholesaleExtract!B:O,8,FALSE),"")</f>
        <v/>
      </c>
      <c r="J1262" s="26" t="str">
        <f>IFERROR(VLOOKUP(G1262,WholesaleExtract!B:O,14,FALSE),"")</f>
        <v/>
      </c>
      <c r="K1262" s="26" t="str">
        <f>IFERROR(VLOOKUP(G1262,WholesaleExtract!B:K,10,FALSE),"")</f>
        <v/>
      </c>
      <c r="L1262" s="47" t="str">
        <f>IFERROR(VLOOKUP(G1262,WholesaleExtract!B:L,11,FALSE),"")</f>
        <v/>
      </c>
      <c r="M1262" s="47" t="str">
        <f>IFERROR(VLOOKUP(G1262,WholesaleExtract!B:M,12,FALSE),"")</f>
        <v/>
      </c>
      <c r="N1262" s="27"/>
      <c r="O1262" s="19"/>
      <c r="P1262" s="19"/>
      <c r="Q1262" s="47"/>
      <c r="R1262" s="19"/>
      <c r="S1262" s="19"/>
    </row>
    <row r="1263" spans="1:19" x14ac:dyDescent="0.35">
      <c r="A1263" s="26" t="s">
        <v>543</v>
      </c>
      <c r="B1263" s="26" t="s">
        <v>543</v>
      </c>
      <c r="C1263" s="26"/>
      <c r="D1263" s="26" t="s">
        <v>543</v>
      </c>
      <c r="E1263" s="26" t="str">
        <f>IFERROR(VLOOKUP(G1263,WholesaleExtract!B:J,9,FALSE),"")</f>
        <v/>
      </c>
      <c r="F1263" s="26" t="str">
        <f>IFERROR(VLOOKUP(G1263,WholesaleExtract!B:J,6,FALSE),"")</f>
        <v/>
      </c>
      <c r="G1263" s="46"/>
      <c r="H1263" s="47" t="str">
        <f>IFERROR(VLOOKUP(G1263,WholesaleExtract!B:L,11,FALSE),"")</f>
        <v/>
      </c>
      <c r="I1263" s="26" t="str">
        <f>IFERROR(VLOOKUP(G1263,WholesaleExtract!B:O,8,FALSE),"")</f>
        <v/>
      </c>
      <c r="J1263" s="26" t="str">
        <f>IFERROR(VLOOKUP(G1263,WholesaleExtract!B:O,14,FALSE),"")</f>
        <v/>
      </c>
      <c r="K1263" s="26" t="str">
        <f>IFERROR(VLOOKUP(G1263,WholesaleExtract!B:K,10,FALSE),"")</f>
        <v/>
      </c>
      <c r="L1263" s="47" t="str">
        <f>IFERROR(VLOOKUP(G1263,WholesaleExtract!B:L,11,FALSE),"")</f>
        <v/>
      </c>
      <c r="M1263" s="47" t="str">
        <f>IFERROR(VLOOKUP(G1263,WholesaleExtract!B:M,12,FALSE),"")</f>
        <v/>
      </c>
      <c r="N1263" s="27"/>
      <c r="O1263" s="19"/>
      <c r="P1263" s="19"/>
      <c r="Q1263" s="47"/>
      <c r="R1263" s="19"/>
      <c r="S1263" s="19"/>
    </row>
    <row r="1264" spans="1:19" x14ac:dyDescent="0.35">
      <c r="A1264" s="26" t="s">
        <v>543</v>
      </c>
      <c r="B1264" s="26" t="s">
        <v>543</v>
      </c>
      <c r="C1264" s="26"/>
      <c r="D1264" s="26" t="s">
        <v>543</v>
      </c>
      <c r="E1264" s="26" t="str">
        <f>IFERROR(VLOOKUP(G1264,WholesaleExtract!B:J,9,FALSE),"")</f>
        <v/>
      </c>
      <c r="F1264" s="26" t="str">
        <f>IFERROR(VLOOKUP(G1264,WholesaleExtract!B:J,6,FALSE),"")</f>
        <v/>
      </c>
      <c r="G1264" s="46"/>
      <c r="H1264" s="47" t="str">
        <f>IFERROR(VLOOKUP(G1264,WholesaleExtract!B:L,11,FALSE),"")</f>
        <v/>
      </c>
      <c r="I1264" s="26" t="str">
        <f>IFERROR(VLOOKUP(G1264,WholesaleExtract!B:O,8,FALSE),"")</f>
        <v/>
      </c>
      <c r="J1264" s="26" t="str">
        <f>IFERROR(VLOOKUP(G1264,WholesaleExtract!B:O,14,FALSE),"")</f>
        <v/>
      </c>
      <c r="K1264" s="26" t="str">
        <f>IFERROR(VLOOKUP(G1264,WholesaleExtract!B:K,10,FALSE),"")</f>
        <v/>
      </c>
      <c r="L1264" s="47" t="str">
        <f>IFERROR(VLOOKUP(G1264,WholesaleExtract!B:L,11,FALSE),"")</f>
        <v/>
      </c>
      <c r="M1264" s="47" t="str">
        <f>IFERROR(VLOOKUP(G1264,WholesaleExtract!B:M,12,FALSE),"")</f>
        <v/>
      </c>
      <c r="N1264" s="27"/>
      <c r="O1264" s="19"/>
      <c r="P1264" s="19"/>
      <c r="Q1264" s="47"/>
      <c r="R1264" s="19"/>
      <c r="S1264" s="19"/>
    </row>
    <row r="1265" spans="1:19" x14ac:dyDescent="0.35">
      <c r="A1265" s="26" t="s">
        <v>543</v>
      </c>
      <c r="B1265" s="26" t="s">
        <v>543</v>
      </c>
      <c r="C1265" s="26"/>
      <c r="D1265" s="26" t="s">
        <v>543</v>
      </c>
      <c r="E1265" s="26" t="str">
        <f>IFERROR(VLOOKUP(G1265,WholesaleExtract!B:J,9,FALSE),"")</f>
        <v/>
      </c>
      <c r="F1265" s="26" t="str">
        <f>IFERROR(VLOOKUP(G1265,WholesaleExtract!B:J,6,FALSE),"")</f>
        <v/>
      </c>
      <c r="G1265" s="46"/>
      <c r="H1265" s="47" t="str">
        <f>IFERROR(VLOOKUP(G1265,WholesaleExtract!B:L,11,FALSE),"")</f>
        <v/>
      </c>
      <c r="I1265" s="26" t="str">
        <f>IFERROR(VLOOKUP(G1265,WholesaleExtract!B:O,8,FALSE),"")</f>
        <v/>
      </c>
      <c r="J1265" s="26" t="str">
        <f>IFERROR(VLOOKUP(G1265,WholesaleExtract!B:O,14,FALSE),"")</f>
        <v/>
      </c>
      <c r="K1265" s="26" t="str">
        <f>IFERROR(VLOOKUP(G1265,WholesaleExtract!B:K,10,FALSE),"")</f>
        <v/>
      </c>
      <c r="L1265" s="47" t="str">
        <f>IFERROR(VLOOKUP(G1265,WholesaleExtract!B:L,11,FALSE),"")</f>
        <v/>
      </c>
      <c r="M1265" s="47" t="str">
        <f>IFERROR(VLOOKUP(G1265,WholesaleExtract!B:M,12,FALSE),"")</f>
        <v/>
      </c>
      <c r="N1265" s="27"/>
      <c r="O1265" s="19"/>
      <c r="P1265" s="19"/>
      <c r="Q1265" s="47"/>
      <c r="R1265" s="19"/>
      <c r="S1265" s="19"/>
    </row>
    <row r="1266" spans="1:19" x14ac:dyDescent="0.35">
      <c r="A1266" s="26" t="s">
        <v>543</v>
      </c>
      <c r="B1266" s="26" t="s">
        <v>543</v>
      </c>
      <c r="C1266" s="26"/>
      <c r="D1266" s="26" t="s">
        <v>543</v>
      </c>
      <c r="E1266" s="26" t="str">
        <f>IFERROR(VLOOKUP(G1266,WholesaleExtract!B:J,9,FALSE),"")</f>
        <v/>
      </c>
      <c r="F1266" s="26" t="str">
        <f>IFERROR(VLOOKUP(G1266,WholesaleExtract!B:J,6,FALSE),"")</f>
        <v/>
      </c>
      <c r="G1266" s="46"/>
      <c r="H1266" s="47" t="str">
        <f>IFERROR(VLOOKUP(G1266,WholesaleExtract!B:L,11,FALSE),"")</f>
        <v/>
      </c>
      <c r="I1266" s="26" t="str">
        <f>IFERROR(VLOOKUP(G1266,WholesaleExtract!B:O,8,FALSE),"")</f>
        <v/>
      </c>
      <c r="J1266" s="26" t="str">
        <f>IFERROR(VLOOKUP(G1266,WholesaleExtract!B:O,14,FALSE),"")</f>
        <v/>
      </c>
      <c r="K1266" s="26" t="str">
        <f>IFERROR(VLOOKUP(G1266,WholesaleExtract!B:K,10,FALSE),"")</f>
        <v/>
      </c>
      <c r="L1266" s="47" t="str">
        <f>IFERROR(VLOOKUP(G1266,WholesaleExtract!B:L,11,FALSE),"")</f>
        <v/>
      </c>
      <c r="M1266" s="47" t="str">
        <f>IFERROR(VLOOKUP(G1266,WholesaleExtract!B:M,12,FALSE),"")</f>
        <v/>
      </c>
      <c r="N1266" s="27"/>
      <c r="O1266" s="19"/>
      <c r="P1266" s="19"/>
      <c r="Q1266" s="47"/>
      <c r="R1266" s="19"/>
      <c r="S1266" s="19"/>
    </row>
    <row r="1267" spans="1:19" x14ac:dyDescent="0.35">
      <c r="A1267" s="26" t="s">
        <v>543</v>
      </c>
      <c r="B1267" s="26" t="s">
        <v>543</v>
      </c>
      <c r="C1267" s="26"/>
      <c r="D1267" s="26" t="s">
        <v>543</v>
      </c>
      <c r="E1267" s="26" t="str">
        <f>IFERROR(VLOOKUP(G1267,WholesaleExtract!B:J,9,FALSE),"")</f>
        <v/>
      </c>
      <c r="F1267" s="26" t="str">
        <f>IFERROR(VLOOKUP(G1267,WholesaleExtract!B:J,6,FALSE),"")</f>
        <v/>
      </c>
      <c r="G1267" s="46"/>
      <c r="H1267" s="47" t="str">
        <f>IFERROR(VLOOKUP(G1267,WholesaleExtract!B:L,11,FALSE),"")</f>
        <v/>
      </c>
      <c r="I1267" s="26" t="str">
        <f>IFERROR(VLOOKUP(G1267,WholesaleExtract!B:O,8,FALSE),"")</f>
        <v/>
      </c>
      <c r="J1267" s="26" t="str">
        <f>IFERROR(VLOOKUP(G1267,WholesaleExtract!B:O,14,FALSE),"")</f>
        <v/>
      </c>
      <c r="K1267" s="26" t="str">
        <f>IFERROR(VLOOKUP(G1267,WholesaleExtract!B:K,10,FALSE),"")</f>
        <v/>
      </c>
      <c r="L1267" s="47" t="str">
        <f>IFERROR(VLOOKUP(G1267,WholesaleExtract!B:L,11,FALSE),"")</f>
        <v/>
      </c>
      <c r="M1267" s="47" t="str">
        <f>IFERROR(VLOOKUP(G1267,WholesaleExtract!B:M,12,FALSE),"")</f>
        <v/>
      </c>
      <c r="N1267" s="27"/>
      <c r="O1267" s="19"/>
      <c r="P1267" s="19"/>
      <c r="Q1267" s="47"/>
      <c r="R1267" s="19"/>
      <c r="S1267" s="19"/>
    </row>
    <row r="1268" spans="1:19" x14ac:dyDescent="0.35">
      <c r="A1268" s="26" t="s">
        <v>543</v>
      </c>
      <c r="B1268" s="26" t="s">
        <v>543</v>
      </c>
      <c r="C1268" s="26"/>
      <c r="D1268" s="26" t="s">
        <v>543</v>
      </c>
      <c r="E1268" s="26" t="str">
        <f>IFERROR(VLOOKUP(G1268,WholesaleExtract!B:J,9,FALSE),"")</f>
        <v/>
      </c>
      <c r="F1268" s="26" t="str">
        <f>IFERROR(VLOOKUP(G1268,WholesaleExtract!B:J,6,FALSE),"")</f>
        <v/>
      </c>
      <c r="G1268" s="46"/>
      <c r="H1268" s="47" t="str">
        <f>IFERROR(VLOOKUP(G1268,WholesaleExtract!B:L,11,FALSE),"")</f>
        <v/>
      </c>
      <c r="I1268" s="26" t="str">
        <f>IFERROR(VLOOKUP(G1268,WholesaleExtract!B:O,8,FALSE),"")</f>
        <v/>
      </c>
      <c r="J1268" s="26" t="str">
        <f>IFERROR(VLOOKUP(G1268,WholesaleExtract!B:O,14,FALSE),"")</f>
        <v/>
      </c>
      <c r="K1268" s="26" t="str">
        <f>IFERROR(VLOOKUP(G1268,WholesaleExtract!B:K,10,FALSE),"")</f>
        <v/>
      </c>
      <c r="L1268" s="47" t="str">
        <f>IFERROR(VLOOKUP(G1268,WholesaleExtract!B:L,11,FALSE),"")</f>
        <v/>
      </c>
      <c r="M1268" s="47" t="str">
        <f>IFERROR(VLOOKUP(G1268,WholesaleExtract!B:M,12,FALSE),"")</f>
        <v/>
      </c>
      <c r="N1268" s="27"/>
      <c r="O1268" s="19"/>
      <c r="P1268" s="19"/>
      <c r="Q1268" s="47"/>
      <c r="R1268" s="19"/>
      <c r="S1268" s="19"/>
    </row>
    <row r="1269" spans="1:19" x14ac:dyDescent="0.35">
      <c r="A1269" s="26" t="s">
        <v>543</v>
      </c>
      <c r="B1269" s="26" t="s">
        <v>543</v>
      </c>
      <c r="C1269" s="26"/>
      <c r="D1269" s="26" t="s">
        <v>543</v>
      </c>
      <c r="E1269" s="26" t="str">
        <f>IFERROR(VLOOKUP(G1269,WholesaleExtract!B:J,9,FALSE),"")</f>
        <v/>
      </c>
      <c r="F1269" s="26" t="str">
        <f>IFERROR(VLOOKUP(G1269,WholesaleExtract!B:J,6,FALSE),"")</f>
        <v/>
      </c>
      <c r="G1269" s="46"/>
      <c r="H1269" s="47" t="str">
        <f>IFERROR(VLOOKUP(G1269,WholesaleExtract!B:L,11,FALSE),"")</f>
        <v/>
      </c>
      <c r="I1269" s="26" t="str">
        <f>IFERROR(VLOOKUP(G1269,WholesaleExtract!B:O,8,FALSE),"")</f>
        <v/>
      </c>
      <c r="J1269" s="26" t="str">
        <f>IFERROR(VLOOKUP(G1269,WholesaleExtract!B:O,14,FALSE),"")</f>
        <v/>
      </c>
      <c r="K1269" s="26" t="str">
        <f>IFERROR(VLOOKUP(G1269,WholesaleExtract!B:K,10,FALSE),"")</f>
        <v/>
      </c>
      <c r="L1269" s="47" t="str">
        <f>IFERROR(VLOOKUP(G1269,WholesaleExtract!B:L,11,FALSE),"")</f>
        <v/>
      </c>
      <c r="M1269" s="47" t="str">
        <f>IFERROR(VLOOKUP(G1269,WholesaleExtract!B:M,12,FALSE),"")</f>
        <v/>
      </c>
      <c r="N1269" s="27"/>
      <c r="O1269" s="19"/>
      <c r="P1269" s="19"/>
      <c r="Q1269" s="47"/>
      <c r="R1269" s="19"/>
      <c r="S1269" s="19"/>
    </row>
    <row r="1270" spans="1:19" x14ac:dyDescent="0.35">
      <c r="A1270" s="26" t="s">
        <v>543</v>
      </c>
      <c r="B1270" s="26" t="s">
        <v>543</v>
      </c>
      <c r="C1270" s="26"/>
      <c r="D1270" s="26" t="s">
        <v>543</v>
      </c>
      <c r="E1270" s="26" t="str">
        <f>IFERROR(VLOOKUP(G1270,WholesaleExtract!B:J,9,FALSE),"")</f>
        <v/>
      </c>
      <c r="F1270" s="26" t="str">
        <f>IFERROR(VLOOKUP(G1270,WholesaleExtract!B:J,6,FALSE),"")</f>
        <v/>
      </c>
      <c r="G1270" s="46"/>
      <c r="H1270" s="47" t="str">
        <f>IFERROR(VLOOKUP(G1270,WholesaleExtract!B:L,11,FALSE),"")</f>
        <v/>
      </c>
      <c r="I1270" s="26" t="str">
        <f>IFERROR(VLOOKUP(G1270,WholesaleExtract!B:O,8,FALSE),"")</f>
        <v/>
      </c>
      <c r="J1270" s="26" t="str">
        <f>IFERROR(VLOOKUP(G1270,WholesaleExtract!B:O,14,FALSE),"")</f>
        <v/>
      </c>
      <c r="K1270" s="26" t="str">
        <f>IFERROR(VLOOKUP(G1270,WholesaleExtract!B:K,10,FALSE),"")</f>
        <v/>
      </c>
      <c r="L1270" s="47" t="str">
        <f>IFERROR(VLOOKUP(G1270,WholesaleExtract!B:L,11,FALSE),"")</f>
        <v/>
      </c>
      <c r="M1270" s="47" t="str">
        <f>IFERROR(VLOOKUP(G1270,WholesaleExtract!B:M,12,FALSE),"")</f>
        <v/>
      </c>
      <c r="N1270" s="27"/>
      <c r="O1270" s="19"/>
      <c r="P1270" s="19"/>
      <c r="Q1270" s="47"/>
      <c r="R1270" s="19"/>
      <c r="S1270" s="19"/>
    </row>
    <row r="1271" spans="1:19" x14ac:dyDescent="0.35">
      <c r="A1271" s="26" t="s">
        <v>543</v>
      </c>
      <c r="B1271" s="26" t="s">
        <v>543</v>
      </c>
      <c r="C1271" s="26"/>
      <c r="D1271" s="26" t="s">
        <v>543</v>
      </c>
      <c r="E1271" s="26" t="str">
        <f>IFERROR(VLOOKUP(G1271,WholesaleExtract!B:J,9,FALSE),"")</f>
        <v/>
      </c>
      <c r="F1271" s="26" t="str">
        <f>IFERROR(VLOOKUP(G1271,WholesaleExtract!B:J,6,FALSE),"")</f>
        <v/>
      </c>
      <c r="G1271" s="46"/>
      <c r="H1271" s="47" t="str">
        <f>IFERROR(VLOOKUP(G1271,WholesaleExtract!B:L,11,FALSE),"")</f>
        <v/>
      </c>
      <c r="I1271" s="26" t="str">
        <f>IFERROR(VLOOKUP(G1271,WholesaleExtract!B:O,8,FALSE),"")</f>
        <v/>
      </c>
      <c r="J1271" s="26" t="str">
        <f>IFERROR(VLOOKUP(G1271,WholesaleExtract!B:O,14,FALSE),"")</f>
        <v/>
      </c>
      <c r="K1271" s="26" t="str">
        <f>IFERROR(VLOOKUP(G1271,WholesaleExtract!B:K,10,FALSE),"")</f>
        <v/>
      </c>
      <c r="L1271" s="47" t="str">
        <f>IFERROR(VLOOKUP(G1271,WholesaleExtract!B:L,11,FALSE),"")</f>
        <v/>
      </c>
      <c r="M1271" s="47" t="str">
        <f>IFERROR(VLOOKUP(G1271,WholesaleExtract!B:M,12,FALSE),"")</f>
        <v/>
      </c>
      <c r="N1271" s="27"/>
      <c r="O1271" s="19"/>
      <c r="P1271" s="19"/>
      <c r="Q1271" s="47"/>
      <c r="R1271" s="19"/>
      <c r="S1271" s="19"/>
    </row>
    <row r="1272" spans="1:19" x14ac:dyDescent="0.35">
      <c r="A1272" s="26" t="s">
        <v>543</v>
      </c>
      <c r="B1272" s="26" t="s">
        <v>543</v>
      </c>
      <c r="C1272" s="26"/>
      <c r="D1272" s="26" t="s">
        <v>543</v>
      </c>
      <c r="E1272" s="26" t="str">
        <f>IFERROR(VLOOKUP(G1272,WholesaleExtract!B:J,9,FALSE),"")</f>
        <v/>
      </c>
      <c r="F1272" s="26" t="str">
        <f>IFERROR(VLOOKUP(G1272,WholesaleExtract!B:J,6,FALSE),"")</f>
        <v/>
      </c>
      <c r="G1272" s="46"/>
      <c r="H1272" s="47" t="str">
        <f>IFERROR(VLOOKUP(G1272,WholesaleExtract!B:L,11,FALSE),"")</f>
        <v/>
      </c>
      <c r="I1272" s="26" t="str">
        <f>IFERROR(VLOOKUP(G1272,WholesaleExtract!B:O,8,FALSE),"")</f>
        <v/>
      </c>
      <c r="J1272" s="26" t="str">
        <f>IFERROR(VLOOKUP(G1272,WholesaleExtract!B:O,14,FALSE),"")</f>
        <v/>
      </c>
      <c r="K1272" s="26" t="str">
        <f>IFERROR(VLOOKUP(G1272,WholesaleExtract!B:K,10,FALSE),"")</f>
        <v/>
      </c>
      <c r="L1272" s="47" t="str">
        <f>IFERROR(VLOOKUP(G1272,WholesaleExtract!B:L,11,FALSE),"")</f>
        <v/>
      </c>
      <c r="M1272" s="47" t="str">
        <f>IFERROR(VLOOKUP(G1272,WholesaleExtract!B:M,12,FALSE),"")</f>
        <v/>
      </c>
      <c r="N1272" s="27"/>
      <c r="O1272" s="19"/>
      <c r="P1272" s="19"/>
      <c r="Q1272" s="47"/>
      <c r="R1272" s="19"/>
      <c r="S1272" s="19"/>
    </row>
    <row r="1273" spans="1:19" x14ac:dyDescent="0.35">
      <c r="A1273" s="26" t="s">
        <v>543</v>
      </c>
      <c r="B1273" s="26" t="s">
        <v>543</v>
      </c>
      <c r="C1273" s="26"/>
      <c r="D1273" s="26" t="s">
        <v>543</v>
      </c>
      <c r="E1273" s="26" t="str">
        <f>IFERROR(VLOOKUP(G1273,WholesaleExtract!B:J,9,FALSE),"")</f>
        <v/>
      </c>
      <c r="F1273" s="26" t="str">
        <f>IFERROR(VLOOKUP(G1273,WholesaleExtract!B:J,6,FALSE),"")</f>
        <v/>
      </c>
      <c r="G1273" s="46"/>
      <c r="H1273" s="47" t="str">
        <f>IFERROR(VLOOKUP(G1273,WholesaleExtract!B:L,11,FALSE),"")</f>
        <v/>
      </c>
      <c r="I1273" s="26" t="str">
        <f>IFERROR(VLOOKUP(G1273,WholesaleExtract!B:O,8,FALSE),"")</f>
        <v/>
      </c>
      <c r="J1273" s="26" t="str">
        <f>IFERROR(VLOOKUP(G1273,WholesaleExtract!B:O,14,FALSE),"")</f>
        <v/>
      </c>
      <c r="K1273" s="26" t="str">
        <f>IFERROR(VLOOKUP(G1273,WholesaleExtract!B:K,10,FALSE),"")</f>
        <v/>
      </c>
      <c r="L1273" s="47" t="str">
        <f>IFERROR(VLOOKUP(G1273,WholesaleExtract!B:L,11,FALSE),"")</f>
        <v/>
      </c>
      <c r="M1273" s="47" t="str">
        <f>IFERROR(VLOOKUP(G1273,WholesaleExtract!B:M,12,FALSE),"")</f>
        <v/>
      </c>
      <c r="N1273" s="27"/>
      <c r="O1273" s="19"/>
      <c r="P1273" s="19"/>
      <c r="Q1273" s="47"/>
      <c r="R1273" s="19"/>
      <c r="S1273" s="19"/>
    </row>
    <row r="1274" spans="1:19" x14ac:dyDescent="0.35">
      <c r="A1274" s="26" t="s">
        <v>543</v>
      </c>
      <c r="B1274" s="26" t="s">
        <v>543</v>
      </c>
      <c r="C1274" s="26"/>
      <c r="D1274" s="26" t="s">
        <v>543</v>
      </c>
      <c r="E1274" s="26" t="str">
        <f>IFERROR(VLOOKUP(G1274,WholesaleExtract!B:J,9,FALSE),"")</f>
        <v/>
      </c>
      <c r="F1274" s="26" t="str">
        <f>IFERROR(VLOOKUP(G1274,WholesaleExtract!B:J,6,FALSE),"")</f>
        <v/>
      </c>
      <c r="G1274" s="46"/>
      <c r="H1274" s="47" t="str">
        <f>IFERROR(VLOOKUP(G1274,WholesaleExtract!B:L,11,FALSE),"")</f>
        <v/>
      </c>
      <c r="I1274" s="26" t="str">
        <f>IFERROR(VLOOKUP(G1274,WholesaleExtract!B:O,8,FALSE),"")</f>
        <v/>
      </c>
      <c r="J1274" s="26" t="str">
        <f>IFERROR(VLOOKUP(G1274,WholesaleExtract!B:O,14,FALSE),"")</f>
        <v/>
      </c>
      <c r="K1274" s="26" t="str">
        <f>IFERROR(VLOOKUP(G1274,WholesaleExtract!B:K,10,FALSE),"")</f>
        <v/>
      </c>
      <c r="L1274" s="47" t="str">
        <f>IFERROR(VLOOKUP(G1274,WholesaleExtract!B:L,11,FALSE),"")</f>
        <v/>
      </c>
      <c r="M1274" s="47" t="str">
        <f>IFERROR(VLOOKUP(G1274,WholesaleExtract!B:M,12,FALSE),"")</f>
        <v/>
      </c>
      <c r="N1274" s="27"/>
      <c r="O1274" s="19"/>
      <c r="P1274" s="19"/>
      <c r="Q1274" s="47"/>
      <c r="R1274" s="19"/>
      <c r="S1274" s="19"/>
    </row>
    <row r="1275" spans="1:19" x14ac:dyDescent="0.35">
      <c r="A1275" s="26" t="s">
        <v>543</v>
      </c>
      <c r="B1275" s="26" t="s">
        <v>543</v>
      </c>
      <c r="C1275" s="26"/>
      <c r="D1275" s="26" t="s">
        <v>543</v>
      </c>
      <c r="E1275" s="26" t="str">
        <f>IFERROR(VLOOKUP(G1275,WholesaleExtract!B:J,9,FALSE),"")</f>
        <v/>
      </c>
      <c r="F1275" s="26" t="str">
        <f>IFERROR(VLOOKUP(G1275,WholesaleExtract!B:J,6,FALSE),"")</f>
        <v/>
      </c>
      <c r="G1275" s="46"/>
      <c r="H1275" s="47" t="str">
        <f>IFERROR(VLOOKUP(G1275,WholesaleExtract!B:L,11,FALSE),"")</f>
        <v/>
      </c>
      <c r="I1275" s="26" t="str">
        <f>IFERROR(VLOOKUP(G1275,WholesaleExtract!B:O,8,FALSE),"")</f>
        <v/>
      </c>
      <c r="J1275" s="26" t="str">
        <f>IFERROR(VLOOKUP(G1275,WholesaleExtract!B:O,14,FALSE),"")</f>
        <v/>
      </c>
      <c r="K1275" s="26" t="str">
        <f>IFERROR(VLOOKUP(G1275,WholesaleExtract!B:K,10,FALSE),"")</f>
        <v/>
      </c>
      <c r="L1275" s="47" t="str">
        <f>IFERROR(VLOOKUP(G1275,WholesaleExtract!B:L,11,FALSE),"")</f>
        <v/>
      </c>
      <c r="M1275" s="47" t="str">
        <f>IFERROR(VLOOKUP(G1275,WholesaleExtract!B:M,12,FALSE),"")</f>
        <v/>
      </c>
      <c r="N1275" s="27"/>
      <c r="O1275" s="19"/>
      <c r="P1275" s="19"/>
      <c r="Q1275" s="47"/>
      <c r="R1275" s="19"/>
      <c r="S1275" s="19"/>
    </row>
    <row r="1276" spans="1:19" x14ac:dyDescent="0.35">
      <c r="A1276" s="26" t="s">
        <v>543</v>
      </c>
      <c r="B1276" s="26" t="s">
        <v>543</v>
      </c>
      <c r="C1276" s="26"/>
      <c r="D1276" s="26" t="s">
        <v>543</v>
      </c>
      <c r="E1276" s="26" t="str">
        <f>IFERROR(VLOOKUP(G1276,WholesaleExtract!B:J,9,FALSE),"")</f>
        <v/>
      </c>
      <c r="F1276" s="26" t="str">
        <f>IFERROR(VLOOKUP(G1276,WholesaleExtract!B:J,6,FALSE),"")</f>
        <v/>
      </c>
      <c r="G1276" s="46"/>
      <c r="H1276" s="47" t="str">
        <f>IFERROR(VLOOKUP(G1276,WholesaleExtract!B:L,11,FALSE),"")</f>
        <v/>
      </c>
      <c r="I1276" s="26" t="str">
        <f>IFERROR(VLOOKUP(G1276,WholesaleExtract!B:O,8,FALSE),"")</f>
        <v/>
      </c>
      <c r="J1276" s="26" t="str">
        <f>IFERROR(VLOOKUP(G1276,WholesaleExtract!B:O,14,FALSE),"")</f>
        <v/>
      </c>
      <c r="K1276" s="26" t="str">
        <f>IFERROR(VLOOKUP(G1276,WholesaleExtract!B:K,10,FALSE),"")</f>
        <v/>
      </c>
      <c r="L1276" s="47" t="str">
        <f>IFERROR(VLOOKUP(G1276,WholesaleExtract!B:L,11,FALSE),"")</f>
        <v/>
      </c>
      <c r="M1276" s="47" t="str">
        <f>IFERROR(VLOOKUP(G1276,WholesaleExtract!B:M,12,FALSE),"")</f>
        <v/>
      </c>
      <c r="N1276" s="27"/>
      <c r="O1276" s="19"/>
      <c r="P1276" s="19"/>
      <c r="Q1276" s="47"/>
      <c r="R1276" s="19"/>
      <c r="S1276" s="19"/>
    </row>
    <row r="1277" spans="1:19" x14ac:dyDescent="0.35">
      <c r="A1277" s="26" t="s">
        <v>543</v>
      </c>
      <c r="B1277" s="26" t="s">
        <v>543</v>
      </c>
      <c r="C1277" s="26"/>
      <c r="D1277" s="26" t="s">
        <v>543</v>
      </c>
      <c r="E1277" s="26" t="str">
        <f>IFERROR(VLOOKUP(G1277,WholesaleExtract!B:J,9,FALSE),"")</f>
        <v/>
      </c>
      <c r="F1277" s="26" t="str">
        <f>IFERROR(VLOOKUP(G1277,WholesaleExtract!B:J,6,FALSE),"")</f>
        <v/>
      </c>
      <c r="G1277" s="46"/>
      <c r="H1277" s="47" t="str">
        <f>IFERROR(VLOOKUP(G1277,WholesaleExtract!B:L,11,FALSE),"")</f>
        <v/>
      </c>
      <c r="I1277" s="26" t="str">
        <f>IFERROR(VLOOKUP(G1277,WholesaleExtract!B:O,8,FALSE),"")</f>
        <v/>
      </c>
      <c r="J1277" s="26" t="str">
        <f>IFERROR(VLOOKUP(G1277,WholesaleExtract!B:O,14,FALSE),"")</f>
        <v/>
      </c>
      <c r="K1277" s="26" t="str">
        <f>IFERROR(VLOOKUP(G1277,WholesaleExtract!B:K,10,FALSE),"")</f>
        <v/>
      </c>
      <c r="L1277" s="47" t="str">
        <f>IFERROR(VLOOKUP(G1277,WholesaleExtract!B:L,11,FALSE),"")</f>
        <v/>
      </c>
      <c r="M1277" s="47" t="str">
        <f>IFERROR(VLOOKUP(G1277,WholesaleExtract!B:M,12,FALSE),"")</f>
        <v/>
      </c>
      <c r="N1277" s="27"/>
      <c r="O1277" s="19"/>
      <c r="P1277" s="19"/>
      <c r="Q1277" s="47"/>
      <c r="R1277" s="19"/>
      <c r="S1277" s="19"/>
    </row>
    <row r="1278" spans="1:19" x14ac:dyDescent="0.35">
      <c r="A1278" s="26" t="s">
        <v>543</v>
      </c>
      <c r="B1278" s="26" t="s">
        <v>543</v>
      </c>
      <c r="C1278" s="26"/>
      <c r="D1278" s="26" t="s">
        <v>543</v>
      </c>
      <c r="E1278" s="26" t="str">
        <f>IFERROR(VLOOKUP(G1278,WholesaleExtract!B:J,9,FALSE),"")</f>
        <v/>
      </c>
      <c r="F1278" s="26" t="str">
        <f>IFERROR(VLOOKUP(G1278,WholesaleExtract!B:J,6,FALSE),"")</f>
        <v/>
      </c>
      <c r="G1278" s="46"/>
      <c r="H1278" s="47" t="str">
        <f>IFERROR(VLOOKUP(G1278,WholesaleExtract!B:L,11,FALSE),"")</f>
        <v/>
      </c>
      <c r="I1278" s="26" t="str">
        <f>IFERROR(VLOOKUP(G1278,WholesaleExtract!B:O,8,FALSE),"")</f>
        <v/>
      </c>
      <c r="J1278" s="26" t="str">
        <f>IFERROR(VLOOKUP(G1278,WholesaleExtract!B:O,14,FALSE),"")</f>
        <v/>
      </c>
      <c r="K1278" s="26" t="str">
        <f>IFERROR(VLOOKUP(G1278,WholesaleExtract!B:K,10,FALSE),"")</f>
        <v/>
      </c>
      <c r="L1278" s="47" t="str">
        <f>IFERROR(VLOOKUP(G1278,WholesaleExtract!B:L,11,FALSE),"")</f>
        <v/>
      </c>
      <c r="M1278" s="47" t="str">
        <f>IFERROR(VLOOKUP(G1278,WholesaleExtract!B:M,12,FALSE),"")</f>
        <v/>
      </c>
      <c r="N1278" s="27"/>
      <c r="O1278" s="19"/>
      <c r="P1278" s="19"/>
      <c r="Q1278" s="47"/>
      <c r="R1278" s="19"/>
      <c r="S1278" s="19"/>
    </row>
    <row r="1279" spans="1:19" x14ac:dyDescent="0.35">
      <c r="A1279" s="26" t="s">
        <v>543</v>
      </c>
      <c r="B1279" s="26" t="s">
        <v>543</v>
      </c>
      <c r="C1279" s="26"/>
      <c r="D1279" s="26" t="s">
        <v>543</v>
      </c>
      <c r="E1279" s="26" t="str">
        <f>IFERROR(VLOOKUP(G1279,WholesaleExtract!B:J,9,FALSE),"")</f>
        <v/>
      </c>
      <c r="F1279" s="26" t="str">
        <f>IFERROR(VLOOKUP(G1279,WholesaleExtract!B:J,6,FALSE),"")</f>
        <v/>
      </c>
      <c r="G1279" s="46"/>
      <c r="H1279" s="47" t="str">
        <f>IFERROR(VLOOKUP(G1279,WholesaleExtract!B:L,11,FALSE),"")</f>
        <v/>
      </c>
      <c r="I1279" s="26" t="str">
        <f>IFERROR(VLOOKUP(G1279,WholesaleExtract!B:O,8,FALSE),"")</f>
        <v/>
      </c>
      <c r="J1279" s="26" t="str">
        <f>IFERROR(VLOOKUP(G1279,WholesaleExtract!B:O,14,FALSE),"")</f>
        <v/>
      </c>
      <c r="K1279" s="26" t="str">
        <f>IFERROR(VLOOKUP(G1279,WholesaleExtract!B:K,10,FALSE),"")</f>
        <v/>
      </c>
      <c r="L1279" s="47" t="str">
        <f>IFERROR(VLOOKUP(G1279,WholesaleExtract!B:L,11,FALSE),"")</f>
        <v/>
      </c>
      <c r="M1279" s="47" t="str">
        <f>IFERROR(VLOOKUP(G1279,WholesaleExtract!B:M,12,FALSE),"")</f>
        <v/>
      </c>
      <c r="N1279" s="27"/>
      <c r="O1279" s="19"/>
      <c r="P1279" s="19"/>
      <c r="Q1279" s="47"/>
      <c r="R1279" s="19"/>
      <c r="S1279" s="19"/>
    </row>
    <row r="1280" spans="1:19" x14ac:dyDescent="0.35">
      <c r="A1280" s="26" t="s">
        <v>543</v>
      </c>
      <c r="B1280" s="26" t="s">
        <v>543</v>
      </c>
      <c r="C1280" s="26"/>
      <c r="D1280" s="26" t="s">
        <v>543</v>
      </c>
      <c r="E1280" s="26" t="str">
        <f>IFERROR(VLOOKUP(G1280,WholesaleExtract!B:J,9,FALSE),"")</f>
        <v/>
      </c>
      <c r="F1280" s="26" t="str">
        <f>IFERROR(VLOOKUP(G1280,WholesaleExtract!B:J,6,FALSE),"")</f>
        <v/>
      </c>
      <c r="G1280" s="46"/>
      <c r="H1280" s="47" t="str">
        <f>IFERROR(VLOOKUP(G1280,WholesaleExtract!B:L,11,FALSE),"")</f>
        <v/>
      </c>
      <c r="I1280" s="26" t="str">
        <f>IFERROR(VLOOKUP(G1280,WholesaleExtract!B:O,8,FALSE),"")</f>
        <v/>
      </c>
      <c r="J1280" s="26" t="str">
        <f>IFERROR(VLOOKUP(G1280,WholesaleExtract!B:O,14,FALSE),"")</f>
        <v/>
      </c>
      <c r="K1280" s="26" t="str">
        <f>IFERROR(VLOOKUP(G1280,WholesaleExtract!B:K,10,FALSE),"")</f>
        <v/>
      </c>
      <c r="L1280" s="47" t="str">
        <f>IFERROR(VLOOKUP(G1280,WholesaleExtract!B:L,11,FALSE),"")</f>
        <v/>
      </c>
      <c r="M1280" s="47" t="str">
        <f>IFERROR(VLOOKUP(G1280,WholesaleExtract!B:M,12,FALSE),"")</f>
        <v/>
      </c>
      <c r="N1280" s="27"/>
      <c r="O1280" s="19"/>
      <c r="P1280" s="19"/>
      <c r="Q1280" s="47"/>
      <c r="R1280" s="19"/>
      <c r="S1280" s="19"/>
    </row>
    <row r="1281" spans="1:19" x14ac:dyDescent="0.35">
      <c r="A1281" s="26" t="s">
        <v>543</v>
      </c>
      <c r="B1281" s="26" t="s">
        <v>543</v>
      </c>
      <c r="C1281" s="26"/>
      <c r="D1281" s="26" t="s">
        <v>543</v>
      </c>
      <c r="E1281" s="26" t="str">
        <f>IFERROR(VLOOKUP(G1281,WholesaleExtract!B:J,9,FALSE),"")</f>
        <v/>
      </c>
      <c r="F1281" s="26" t="str">
        <f>IFERROR(VLOOKUP(G1281,WholesaleExtract!B:J,6,FALSE),"")</f>
        <v/>
      </c>
      <c r="G1281" s="46"/>
      <c r="H1281" s="47" t="str">
        <f>IFERROR(VLOOKUP(G1281,WholesaleExtract!B:L,11,FALSE),"")</f>
        <v/>
      </c>
      <c r="I1281" s="26" t="str">
        <f>IFERROR(VLOOKUP(G1281,WholesaleExtract!B:O,8,FALSE),"")</f>
        <v/>
      </c>
      <c r="J1281" s="26" t="str">
        <f>IFERROR(VLOOKUP(G1281,WholesaleExtract!B:O,14,FALSE),"")</f>
        <v/>
      </c>
      <c r="K1281" s="26" t="str">
        <f>IFERROR(VLOOKUP(G1281,WholesaleExtract!B:K,10,FALSE),"")</f>
        <v/>
      </c>
      <c r="L1281" s="47" t="str">
        <f>IFERROR(VLOOKUP(G1281,WholesaleExtract!B:L,11,FALSE),"")</f>
        <v/>
      </c>
      <c r="M1281" s="47" t="str">
        <f>IFERROR(VLOOKUP(G1281,WholesaleExtract!B:M,12,FALSE),"")</f>
        <v/>
      </c>
      <c r="N1281" s="27"/>
      <c r="O1281" s="19"/>
      <c r="P1281" s="19"/>
      <c r="Q1281" s="47"/>
      <c r="R1281" s="19"/>
      <c r="S1281" s="19"/>
    </row>
    <row r="1282" spans="1:19" x14ac:dyDescent="0.35">
      <c r="A1282" s="26" t="s">
        <v>543</v>
      </c>
      <c r="B1282" s="26" t="s">
        <v>543</v>
      </c>
      <c r="C1282" s="26"/>
      <c r="D1282" s="26" t="s">
        <v>543</v>
      </c>
      <c r="E1282" s="26" t="str">
        <f>IFERROR(VLOOKUP(G1282,WholesaleExtract!B:J,9,FALSE),"")</f>
        <v/>
      </c>
      <c r="F1282" s="26" t="str">
        <f>IFERROR(VLOOKUP(G1282,WholesaleExtract!B:J,6,FALSE),"")</f>
        <v/>
      </c>
      <c r="G1282" s="46"/>
      <c r="H1282" s="47" t="str">
        <f>IFERROR(VLOOKUP(G1282,WholesaleExtract!B:L,11,FALSE),"")</f>
        <v/>
      </c>
      <c r="I1282" s="26" t="str">
        <f>IFERROR(VLOOKUP(G1282,WholesaleExtract!B:O,8,FALSE),"")</f>
        <v/>
      </c>
      <c r="J1282" s="26" t="str">
        <f>IFERROR(VLOOKUP(G1282,WholesaleExtract!B:O,14,FALSE),"")</f>
        <v/>
      </c>
      <c r="K1282" s="26" t="str">
        <f>IFERROR(VLOOKUP(G1282,WholesaleExtract!B:K,10,FALSE),"")</f>
        <v/>
      </c>
      <c r="L1282" s="47" t="str">
        <f>IFERROR(VLOOKUP(G1282,WholesaleExtract!B:L,11,FALSE),"")</f>
        <v/>
      </c>
      <c r="M1282" s="47" t="str">
        <f>IFERROR(VLOOKUP(G1282,WholesaleExtract!B:M,12,FALSE),"")</f>
        <v/>
      </c>
      <c r="N1282" s="27"/>
      <c r="O1282" s="19"/>
      <c r="P1282" s="19"/>
      <c r="Q1282" s="47"/>
      <c r="R1282" s="19"/>
      <c r="S1282" s="19"/>
    </row>
    <row r="1283" spans="1:19" x14ac:dyDescent="0.35">
      <c r="A1283" s="26" t="s">
        <v>543</v>
      </c>
      <c r="B1283" s="26" t="s">
        <v>543</v>
      </c>
      <c r="C1283" s="26"/>
      <c r="D1283" s="26" t="s">
        <v>543</v>
      </c>
      <c r="E1283" s="26" t="str">
        <f>IFERROR(VLOOKUP(G1283,WholesaleExtract!B:J,9,FALSE),"")</f>
        <v/>
      </c>
      <c r="F1283" s="26" t="str">
        <f>IFERROR(VLOOKUP(G1283,WholesaleExtract!B:J,6,FALSE),"")</f>
        <v/>
      </c>
      <c r="G1283" s="46"/>
      <c r="H1283" s="47" t="str">
        <f>IFERROR(VLOOKUP(G1283,WholesaleExtract!B:L,11,FALSE),"")</f>
        <v/>
      </c>
      <c r="I1283" s="26" t="str">
        <f>IFERROR(VLOOKUP(G1283,WholesaleExtract!B:O,8,FALSE),"")</f>
        <v/>
      </c>
      <c r="J1283" s="26" t="str">
        <f>IFERROR(VLOOKUP(G1283,WholesaleExtract!B:O,14,FALSE),"")</f>
        <v/>
      </c>
      <c r="K1283" s="26" t="str">
        <f>IFERROR(VLOOKUP(G1283,WholesaleExtract!B:K,10,FALSE),"")</f>
        <v/>
      </c>
      <c r="L1283" s="47" t="str">
        <f>IFERROR(VLOOKUP(G1283,WholesaleExtract!B:L,11,FALSE),"")</f>
        <v/>
      </c>
      <c r="M1283" s="47" t="str">
        <f>IFERROR(VLOOKUP(G1283,WholesaleExtract!B:M,12,FALSE),"")</f>
        <v/>
      </c>
      <c r="N1283" s="27"/>
      <c r="O1283" s="19"/>
      <c r="P1283" s="19"/>
      <c r="Q1283" s="47"/>
      <c r="R1283" s="19"/>
      <c r="S1283" s="19"/>
    </row>
    <row r="1284" spans="1:19" x14ac:dyDescent="0.35">
      <c r="A1284" s="26" t="s">
        <v>543</v>
      </c>
      <c r="B1284" s="26" t="s">
        <v>543</v>
      </c>
      <c r="C1284" s="26"/>
      <c r="D1284" s="26" t="s">
        <v>543</v>
      </c>
      <c r="E1284" s="26" t="str">
        <f>IFERROR(VLOOKUP(G1284,WholesaleExtract!B:J,9,FALSE),"")</f>
        <v/>
      </c>
      <c r="F1284" s="26" t="str">
        <f>IFERROR(VLOOKUP(G1284,WholesaleExtract!B:J,6,FALSE),"")</f>
        <v/>
      </c>
      <c r="G1284" s="46"/>
      <c r="H1284" s="47" t="str">
        <f>IFERROR(VLOOKUP(G1284,WholesaleExtract!B:L,11,FALSE),"")</f>
        <v/>
      </c>
      <c r="I1284" s="26" t="str">
        <f>IFERROR(VLOOKUP(G1284,WholesaleExtract!B:O,8,FALSE),"")</f>
        <v/>
      </c>
      <c r="J1284" s="26" t="str">
        <f>IFERROR(VLOOKUP(G1284,WholesaleExtract!B:O,14,FALSE),"")</f>
        <v/>
      </c>
      <c r="K1284" s="26" t="str">
        <f>IFERROR(VLOOKUP(G1284,WholesaleExtract!B:K,10,FALSE),"")</f>
        <v/>
      </c>
      <c r="L1284" s="47" t="str">
        <f>IFERROR(VLOOKUP(G1284,WholesaleExtract!B:L,11,FALSE),"")</f>
        <v/>
      </c>
      <c r="M1284" s="47" t="str">
        <f>IFERROR(VLOOKUP(G1284,WholesaleExtract!B:M,12,FALSE),"")</f>
        <v/>
      </c>
      <c r="N1284" s="27"/>
      <c r="O1284" s="19"/>
      <c r="P1284" s="19"/>
      <c r="Q1284" s="47"/>
      <c r="R1284" s="19"/>
      <c r="S1284" s="19"/>
    </row>
    <row r="1285" spans="1:19" x14ac:dyDescent="0.35">
      <c r="A1285" s="26" t="s">
        <v>543</v>
      </c>
      <c r="B1285" s="26" t="s">
        <v>543</v>
      </c>
      <c r="C1285" s="26"/>
      <c r="D1285" s="26" t="s">
        <v>543</v>
      </c>
      <c r="E1285" s="26" t="str">
        <f>IFERROR(VLOOKUP(G1285,WholesaleExtract!B:J,9,FALSE),"")</f>
        <v/>
      </c>
      <c r="F1285" s="26" t="str">
        <f>IFERROR(VLOOKUP(G1285,WholesaleExtract!B:J,6,FALSE),"")</f>
        <v/>
      </c>
      <c r="G1285" s="46"/>
      <c r="H1285" s="47" t="str">
        <f>IFERROR(VLOOKUP(G1285,WholesaleExtract!B:L,11,FALSE),"")</f>
        <v/>
      </c>
      <c r="I1285" s="26" t="str">
        <f>IFERROR(VLOOKUP(G1285,WholesaleExtract!B:O,8,FALSE),"")</f>
        <v/>
      </c>
      <c r="J1285" s="26" t="str">
        <f>IFERROR(VLOOKUP(G1285,WholesaleExtract!B:O,14,FALSE),"")</f>
        <v/>
      </c>
      <c r="K1285" s="26" t="str">
        <f>IFERROR(VLOOKUP(G1285,WholesaleExtract!B:K,10,FALSE),"")</f>
        <v/>
      </c>
      <c r="L1285" s="47" t="str">
        <f>IFERROR(VLOOKUP(G1285,WholesaleExtract!B:L,11,FALSE),"")</f>
        <v/>
      </c>
      <c r="M1285" s="47" t="str">
        <f>IFERROR(VLOOKUP(G1285,WholesaleExtract!B:M,12,FALSE),"")</f>
        <v/>
      </c>
      <c r="N1285" s="27"/>
      <c r="O1285" s="19"/>
      <c r="P1285" s="19"/>
      <c r="Q1285" s="47"/>
      <c r="R1285" s="19"/>
      <c r="S1285" s="19"/>
    </row>
    <row r="1286" spans="1:19" x14ac:dyDescent="0.35">
      <c r="A1286" s="26" t="s">
        <v>543</v>
      </c>
      <c r="B1286" s="26" t="s">
        <v>543</v>
      </c>
      <c r="C1286" s="26"/>
      <c r="D1286" s="26" t="s">
        <v>543</v>
      </c>
      <c r="E1286" s="26" t="str">
        <f>IFERROR(VLOOKUP(G1286,WholesaleExtract!B:J,9,FALSE),"")</f>
        <v/>
      </c>
      <c r="F1286" s="26" t="str">
        <f>IFERROR(VLOOKUP(G1286,WholesaleExtract!B:J,6,FALSE),"")</f>
        <v/>
      </c>
      <c r="G1286" s="46"/>
      <c r="H1286" s="47" t="str">
        <f>IFERROR(VLOOKUP(G1286,WholesaleExtract!B:L,11,FALSE),"")</f>
        <v/>
      </c>
      <c r="I1286" s="26" t="str">
        <f>IFERROR(VLOOKUP(G1286,WholesaleExtract!B:O,8,FALSE),"")</f>
        <v/>
      </c>
      <c r="J1286" s="26" t="str">
        <f>IFERROR(VLOOKUP(G1286,WholesaleExtract!B:O,14,FALSE),"")</f>
        <v/>
      </c>
      <c r="K1286" s="26" t="str">
        <f>IFERROR(VLOOKUP(G1286,WholesaleExtract!B:K,10,FALSE),"")</f>
        <v/>
      </c>
      <c r="L1286" s="47" t="str">
        <f>IFERROR(VLOOKUP(G1286,WholesaleExtract!B:L,11,FALSE),"")</f>
        <v/>
      </c>
      <c r="M1286" s="47" t="str">
        <f>IFERROR(VLOOKUP(G1286,WholesaleExtract!B:M,12,FALSE),"")</f>
        <v/>
      </c>
      <c r="N1286" s="27"/>
      <c r="O1286" s="19"/>
      <c r="P1286" s="19"/>
      <c r="Q1286" s="47"/>
      <c r="R1286" s="19"/>
      <c r="S1286" s="19"/>
    </row>
    <row r="1287" spans="1:19" x14ac:dyDescent="0.35">
      <c r="A1287" s="26" t="s">
        <v>543</v>
      </c>
      <c r="B1287" s="26" t="s">
        <v>543</v>
      </c>
      <c r="C1287" s="26"/>
      <c r="D1287" s="26" t="s">
        <v>543</v>
      </c>
      <c r="E1287" s="26" t="str">
        <f>IFERROR(VLOOKUP(G1287,WholesaleExtract!B:J,9,FALSE),"")</f>
        <v/>
      </c>
      <c r="F1287" s="26" t="str">
        <f>IFERROR(VLOOKUP(G1287,WholesaleExtract!B:J,6,FALSE),"")</f>
        <v/>
      </c>
      <c r="G1287" s="46"/>
      <c r="H1287" s="47" t="str">
        <f>IFERROR(VLOOKUP(G1287,WholesaleExtract!B:L,11,FALSE),"")</f>
        <v/>
      </c>
      <c r="I1287" s="26" t="str">
        <f>IFERROR(VLOOKUP(G1287,WholesaleExtract!B:O,8,FALSE),"")</f>
        <v/>
      </c>
      <c r="J1287" s="26" t="str">
        <f>IFERROR(VLOOKUP(G1287,WholesaleExtract!B:O,14,FALSE),"")</f>
        <v/>
      </c>
      <c r="K1287" s="26" t="str">
        <f>IFERROR(VLOOKUP(G1287,WholesaleExtract!B:K,10,FALSE),"")</f>
        <v/>
      </c>
      <c r="L1287" s="47" t="str">
        <f>IFERROR(VLOOKUP(G1287,WholesaleExtract!B:L,11,FALSE),"")</f>
        <v/>
      </c>
      <c r="M1287" s="47" t="str">
        <f>IFERROR(VLOOKUP(G1287,WholesaleExtract!B:M,12,FALSE),"")</f>
        <v/>
      </c>
      <c r="N1287" s="27"/>
      <c r="O1287" s="19"/>
      <c r="P1287" s="19"/>
      <c r="Q1287" s="47"/>
      <c r="R1287" s="19"/>
      <c r="S1287" s="19"/>
    </row>
    <row r="1288" spans="1:19" x14ac:dyDescent="0.35">
      <c r="A1288" s="26" t="s">
        <v>543</v>
      </c>
      <c r="B1288" s="26" t="s">
        <v>543</v>
      </c>
      <c r="C1288" s="26"/>
      <c r="D1288" s="26" t="s">
        <v>543</v>
      </c>
      <c r="E1288" s="26" t="str">
        <f>IFERROR(VLOOKUP(G1288,WholesaleExtract!B:J,9,FALSE),"")</f>
        <v/>
      </c>
      <c r="F1288" s="26" t="str">
        <f>IFERROR(VLOOKUP(G1288,WholesaleExtract!B:J,6,FALSE),"")</f>
        <v/>
      </c>
      <c r="G1288" s="46"/>
      <c r="H1288" s="47" t="str">
        <f>IFERROR(VLOOKUP(G1288,WholesaleExtract!B:L,11,FALSE),"")</f>
        <v/>
      </c>
      <c r="I1288" s="26" t="str">
        <f>IFERROR(VLOOKUP(G1288,WholesaleExtract!B:O,8,FALSE),"")</f>
        <v/>
      </c>
      <c r="J1288" s="26" t="str">
        <f>IFERROR(VLOOKUP(G1288,WholesaleExtract!B:O,14,FALSE),"")</f>
        <v/>
      </c>
      <c r="K1288" s="26" t="str">
        <f>IFERROR(VLOOKUP(G1288,WholesaleExtract!B:K,10,FALSE),"")</f>
        <v/>
      </c>
      <c r="L1288" s="47" t="str">
        <f>IFERROR(VLOOKUP(G1288,WholesaleExtract!B:L,11,FALSE),"")</f>
        <v/>
      </c>
      <c r="M1288" s="47" t="str">
        <f>IFERROR(VLOOKUP(G1288,WholesaleExtract!B:M,12,FALSE),"")</f>
        <v/>
      </c>
      <c r="N1288" s="27"/>
      <c r="O1288" s="19"/>
      <c r="P1288" s="19"/>
      <c r="Q1288" s="47"/>
      <c r="R1288" s="19"/>
      <c r="S1288" s="19"/>
    </row>
    <row r="1289" spans="1:19" x14ac:dyDescent="0.35">
      <c r="A1289" s="26" t="s">
        <v>543</v>
      </c>
      <c r="B1289" s="26" t="s">
        <v>543</v>
      </c>
      <c r="C1289" s="26"/>
      <c r="D1289" s="26" t="s">
        <v>543</v>
      </c>
      <c r="E1289" s="26" t="str">
        <f>IFERROR(VLOOKUP(G1289,WholesaleExtract!B:J,9,FALSE),"")</f>
        <v/>
      </c>
      <c r="F1289" s="26" t="str">
        <f>IFERROR(VLOOKUP(G1289,WholesaleExtract!B:J,6,FALSE),"")</f>
        <v/>
      </c>
      <c r="G1289" s="46"/>
      <c r="H1289" s="47" t="str">
        <f>IFERROR(VLOOKUP(G1289,WholesaleExtract!B:L,11,FALSE),"")</f>
        <v/>
      </c>
      <c r="I1289" s="26" t="str">
        <f>IFERROR(VLOOKUP(G1289,WholesaleExtract!B:O,8,FALSE),"")</f>
        <v/>
      </c>
      <c r="J1289" s="26" t="str">
        <f>IFERROR(VLOOKUP(G1289,WholesaleExtract!B:O,14,FALSE),"")</f>
        <v/>
      </c>
      <c r="K1289" s="26" t="str">
        <f>IFERROR(VLOOKUP(G1289,WholesaleExtract!B:K,10,FALSE),"")</f>
        <v/>
      </c>
      <c r="L1289" s="47" t="str">
        <f>IFERROR(VLOOKUP(G1289,WholesaleExtract!B:L,11,FALSE),"")</f>
        <v/>
      </c>
      <c r="M1289" s="47" t="str">
        <f>IFERROR(VLOOKUP(G1289,WholesaleExtract!B:M,12,FALSE),"")</f>
        <v/>
      </c>
      <c r="N1289" s="27"/>
      <c r="O1289" s="19"/>
      <c r="P1289" s="19"/>
      <c r="Q1289" s="47"/>
      <c r="R1289" s="19"/>
      <c r="S1289" s="19"/>
    </row>
    <row r="1290" spans="1:19" x14ac:dyDescent="0.35">
      <c r="A1290" s="26" t="s">
        <v>543</v>
      </c>
      <c r="B1290" s="26" t="s">
        <v>543</v>
      </c>
      <c r="C1290" s="26"/>
      <c r="D1290" s="26" t="s">
        <v>543</v>
      </c>
      <c r="E1290" s="26" t="str">
        <f>IFERROR(VLOOKUP(G1290,WholesaleExtract!B:J,9,FALSE),"")</f>
        <v/>
      </c>
      <c r="F1290" s="26" t="str">
        <f>IFERROR(VLOOKUP(G1290,WholesaleExtract!B:J,6,FALSE),"")</f>
        <v/>
      </c>
      <c r="G1290" s="46"/>
      <c r="H1290" s="47" t="str">
        <f>IFERROR(VLOOKUP(G1290,WholesaleExtract!B:L,11,FALSE),"")</f>
        <v/>
      </c>
      <c r="I1290" s="26" t="str">
        <f>IFERROR(VLOOKUP(G1290,WholesaleExtract!B:O,8,FALSE),"")</f>
        <v/>
      </c>
      <c r="J1290" s="26" t="str">
        <f>IFERROR(VLOOKUP(G1290,WholesaleExtract!B:O,14,FALSE),"")</f>
        <v/>
      </c>
      <c r="K1290" s="26" t="str">
        <f>IFERROR(VLOOKUP(G1290,WholesaleExtract!B:K,10,FALSE),"")</f>
        <v/>
      </c>
      <c r="L1290" s="47" t="str">
        <f>IFERROR(VLOOKUP(G1290,WholesaleExtract!B:L,11,FALSE),"")</f>
        <v/>
      </c>
      <c r="M1290" s="47" t="str">
        <f>IFERROR(VLOOKUP(G1290,WholesaleExtract!B:M,12,FALSE),"")</f>
        <v/>
      </c>
      <c r="N1290" s="27"/>
      <c r="O1290" s="19"/>
      <c r="P1290" s="19"/>
      <c r="Q1290" s="47"/>
      <c r="R1290" s="19"/>
      <c r="S1290" s="19"/>
    </row>
    <row r="1291" spans="1:19" x14ac:dyDescent="0.35">
      <c r="A1291" s="26" t="s">
        <v>543</v>
      </c>
      <c r="B1291" s="26" t="s">
        <v>543</v>
      </c>
      <c r="C1291" s="26"/>
      <c r="D1291" s="26" t="s">
        <v>543</v>
      </c>
      <c r="E1291" s="26" t="str">
        <f>IFERROR(VLOOKUP(G1291,WholesaleExtract!B:J,9,FALSE),"")</f>
        <v/>
      </c>
      <c r="F1291" s="26" t="str">
        <f>IFERROR(VLOOKUP(G1291,WholesaleExtract!B:J,6,FALSE),"")</f>
        <v/>
      </c>
      <c r="G1291" s="46"/>
      <c r="H1291" s="47" t="str">
        <f>IFERROR(VLOOKUP(G1291,WholesaleExtract!B:L,11,FALSE),"")</f>
        <v/>
      </c>
      <c r="I1291" s="26" t="str">
        <f>IFERROR(VLOOKUP(G1291,WholesaleExtract!B:O,8,FALSE),"")</f>
        <v/>
      </c>
      <c r="J1291" s="26" t="str">
        <f>IFERROR(VLOOKUP(G1291,WholesaleExtract!B:O,14,FALSE),"")</f>
        <v/>
      </c>
      <c r="K1291" s="26" t="str">
        <f>IFERROR(VLOOKUP(G1291,WholesaleExtract!B:K,10,FALSE),"")</f>
        <v/>
      </c>
      <c r="L1291" s="47" t="str">
        <f>IFERROR(VLOOKUP(G1291,WholesaleExtract!B:L,11,FALSE),"")</f>
        <v/>
      </c>
      <c r="M1291" s="47" t="str">
        <f>IFERROR(VLOOKUP(G1291,WholesaleExtract!B:M,12,FALSE),"")</f>
        <v/>
      </c>
      <c r="N1291" s="27"/>
      <c r="O1291" s="19"/>
      <c r="P1291" s="19"/>
      <c r="Q1291" s="47"/>
      <c r="R1291" s="19"/>
      <c r="S1291" s="19"/>
    </row>
    <row r="1292" spans="1:19" x14ac:dyDescent="0.35">
      <c r="A1292" s="26" t="s">
        <v>543</v>
      </c>
      <c r="B1292" s="26" t="s">
        <v>543</v>
      </c>
      <c r="C1292" s="26"/>
      <c r="D1292" s="26" t="s">
        <v>543</v>
      </c>
      <c r="E1292" s="26" t="str">
        <f>IFERROR(VLOOKUP(G1292,WholesaleExtract!B:J,9,FALSE),"")</f>
        <v/>
      </c>
      <c r="F1292" s="26" t="str">
        <f>IFERROR(VLOOKUP(G1292,WholesaleExtract!B:J,6,FALSE),"")</f>
        <v/>
      </c>
      <c r="G1292" s="46"/>
      <c r="H1292" s="47" t="str">
        <f>IFERROR(VLOOKUP(G1292,WholesaleExtract!B:L,11,FALSE),"")</f>
        <v/>
      </c>
      <c r="I1292" s="26" t="str">
        <f>IFERROR(VLOOKUP(G1292,WholesaleExtract!B:O,8,FALSE),"")</f>
        <v/>
      </c>
      <c r="J1292" s="26" t="str">
        <f>IFERROR(VLOOKUP(G1292,WholesaleExtract!B:O,14,FALSE),"")</f>
        <v/>
      </c>
      <c r="K1292" s="26" t="str">
        <f>IFERROR(VLOOKUP(G1292,WholesaleExtract!B:K,10,FALSE),"")</f>
        <v/>
      </c>
      <c r="L1292" s="47" t="str">
        <f>IFERROR(VLOOKUP(G1292,WholesaleExtract!B:L,11,FALSE),"")</f>
        <v/>
      </c>
      <c r="M1292" s="47" t="str">
        <f>IFERROR(VLOOKUP(G1292,WholesaleExtract!B:M,12,FALSE),"")</f>
        <v/>
      </c>
      <c r="N1292" s="27"/>
      <c r="O1292" s="19"/>
      <c r="P1292" s="19"/>
      <c r="Q1292" s="47"/>
      <c r="R1292" s="19"/>
      <c r="S1292" s="19"/>
    </row>
    <row r="1293" spans="1:19" x14ac:dyDescent="0.35">
      <c r="A1293" s="26" t="s">
        <v>543</v>
      </c>
      <c r="B1293" s="26" t="s">
        <v>543</v>
      </c>
      <c r="C1293" s="26"/>
      <c r="D1293" s="26" t="s">
        <v>543</v>
      </c>
      <c r="E1293" s="26" t="str">
        <f>IFERROR(VLOOKUP(G1293,WholesaleExtract!B:J,9,FALSE),"")</f>
        <v/>
      </c>
      <c r="F1293" s="26" t="str">
        <f>IFERROR(VLOOKUP(G1293,WholesaleExtract!B:J,6,FALSE),"")</f>
        <v/>
      </c>
      <c r="G1293" s="46"/>
      <c r="H1293" s="47" t="str">
        <f>IFERROR(VLOOKUP(G1293,WholesaleExtract!B:L,11,FALSE),"")</f>
        <v/>
      </c>
      <c r="I1293" s="26" t="str">
        <f>IFERROR(VLOOKUP(G1293,WholesaleExtract!B:O,8,FALSE),"")</f>
        <v/>
      </c>
      <c r="J1293" s="26" t="str">
        <f>IFERROR(VLOOKUP(G1293,WholesaleExtract!B:O,14,FALSE),"")</f>
        <v/>
      </c>
      <c r="K1293" s="26" t="str">
        <f>IFERROR(VLOOKUP(G1293,WholesaleExtract!B:K,10,FALSE),"")</f>
        <v/>
      </c>
      <c r="L1293" s="47" t="str">
        <f>IFERROR(VLOOKUP(G1293,WholesaleExtract!B:L,11,FALSE),"")</f>
        <v/>
      </c>
      <c r="M1293" s="47" t="str">
        <f>IFERROR(VLOOKUP(G1293,WholesaleExtract!B:M,12,FALSE),"")</f>
        <v/>
      </c>
      <c r="N1293" s="27"/>
      <c r="O1293" s="19"/>
      <c r="P1293" s="19"/>
      <c r="Q1293" s="47"/>
      <c r="R1293" s="19"/>
      <c r="S1293" s="19"/>
    </row>
    <row r="1294" spans="1:19" x14ac:dyDescent="0.35">
      <c r="A1294" s="26" t="s">
        <v>543</v>
      </c>
      <c r="B1294" s="26" t="s">
        <v>543</v>
      </c>
      <c r="C1294" s="26"/>
      <c r="D1294" s="26" t="s">
        <v>543</v>
      </c>
      <c r="E1294" s="26" t="str">
        <f>IFERROR(VLOOKUP(G1294,WholesaleExtract!B:J,9,FALSE),"")</f>
        <v/>
      </c>
      <c r="F1294" s="26" t="str">
        <f>IFERROR(VLOOKUP(G1294,WholesaleExtract!B:J,6,FALSE),"")</f>
        <v/>
      </c>
      <c r="G1294" s="46"/>
      <c r="H1294" s="47" t="str">
        <f>IFERROR(VLOOKUP(G1294,WholesaleExtract!B:L,11,FALSE),"")</f>
        <v/>
      </c>
      <c r="I1294" s="26" t="str">
        <f>IFERROR(VLOOKUP(G1294,WholesaleExtract!B:O,8,FALSE),"")</f>
        <v/>
      </c>
      <c r="J1294" s="26" t="str">
        <f>IFERROR(VLOOKUP(G1294,WholesaleExtract!B:O,14,FALSE),"")</f>
        <v/>
      </c>
      <c r="K1294" s="26" t="str">
        <f>IFERROR(VLOOKUP(G1294,WholesaleExtract!B:K,10,FALSE),"")</f>
        <v/>
      </c>
      <c r="L1294" s="47" t="str">
        <f>IFERROR(VLOOKUP(G1294,WholesaleExtract!B:L,11,FALSE),"")</f>
        <v/>
      </c>
      <c r="M1294" s="47" t="str">
        <f>IFERROR(VLOOKUP(G1294,WholesaleExtract!B:M,12,FALSE),"")</f>
        <v/>
      </c>
      <c r="N1294" s="27"/>
      <c r="O1294" s="19"/>
      <c r="P1294" s="19"/>
      <c r="Q1294" s="47"/>
      <c r="R1294" s="19"/>
      <c r="S1294" s="19"/>
    </row>
    <row r="1295" spans="1:19" x14ac:dyDescent="0.35">
      <c r="A1295" s="26" t="s">
        <v>543</v>
      </c>
      <c r="B1295" s="26" t="s">
        <v>543</v>
      </c>
      <c r="C1295" s="26"/>
      <c r="D1295" s="26" t="s">
        <v>543</v>
      </c>
      <c r="E1295" s="26" t="str">
        <f>IFERROR(VLOOKUP(G1295,WholesaleExtract!B:J,9,FALSE),"")</f>
        <v/>
      </c>
      <c r="F1295" s="26" t="str">
        <f>IFERROR(VLOOKUP(G1295,WholesaleExtract!B:J,6,FALSE),"")</f>
        <v/>
      </c>
      <c r="G1295" s="46"/>
      <c r="H1295" s="47" t="str">
        <f>IFERROR(VLOOKUP(G1295,WholesaleExtract!B:L,11,FALSE),"")</f>
        <v/>
      </c>
      <c r="I1295" s="26" t="str">
        <f>IFERROR(VLOOKUP(G1295,WholesaleExtract!B:O,8,FALSE),"")</f>
        <v/>
      </c>
      <c r="J1295" s="26" t="str">
        <f>IFERROR(VLOOKUP(G1295,WholesaleExtract!B:O,14,FALSE),"")</f>
        <v/>
      </c>
      <c r="K1295" s="26" t="str">
        <f>IFERROR(VLOOKUP(G1295,WholesaleExtract!B:K,10,FALSE),"")</f>
        <v/>
      </c>
      <c r="L1295" s="47" t="str">
        <f>IFERROR(VLOOKUP(G1295,WholesaleExtract!B:L,11,FALSE),"")</f>
        <v/>
      </c>
      <c r="M1295" s="47" t="str">
        <f>IFERROR(VLOOKUP(G1295,WholesaleExtract!B:M,12,FALSE),"")</f>
        <v/>
      </c>
      <c r="N1295" s="27"/>
      <c r="O1295" s="19"/>
      <c r="P1295" s="19"/>
      <c r="Q1295" s="47"/>
      <c r="R1295" s="19"/>
      <c r="S1295" s="19"/>
    </row>
    <row r="1296" spans="1:19" x14ac:dyDescent="0.35">
      <c r="A1296" s="26" t="s">
        <v>543</v>
      </c>
      <c r="B1296" s="26" t="s">
        <v>543</v>
      </c>
      <c r="C1296" s="26"/>
      <c r="D1296" s="26" t="s">
        <v>543</v>
      </c>
      <c r="E1296" s="26" t="str">
        <f>IFERROR(VLOOKUP(G1296,WholesaleExtract!B:J,9,FALSE),"")</f>
        <v/>
      </c>
      <c r="F1296" s="26" t="str">
        <f>IFERROR(VLOOKUP(G1296,WholesaleExtract!B:J,6,FALSE),"")</f>
        <v/>
      </c>
      <c r="G1296" s="46"/>
      <c r="H1296" s="47" t="str">
        <f>IFERROR(VLOOKUP(G1296,WholesaleExtract!B:L,11,FALSE),"")</f>
        <v/>
      </c>
      <c r="I1296" s="26" t="str">
        <f>IFERROR(VLOOKUP(G1296,WholesaleExtract!B:O,8,FALSE),"")</f>
        <v/>
      </c>
      <c r="J1296" s="26" t="str">
        <f>IFERROR(VLOOKUP(G1296,WholesaleExtract!B:O,14,FALSE),"")</f>
        <v/>
      </c>
      <c r="K1296" s="26" t="str">
        <f>IFERROR(VLOOKUP(G1296,WholesaleExtract!B:K,10,FALSE),"")</f>
        <v/>
      </c>
      <c r="L1296" s="47" t="str">
        <f>IFERROR(VLOOKUP(G1296,WholesaleExtract!B:L,11,FALSE),"")</f>
        <v/>
      </c>
      <c r="M1296" s="47" t="str">
        <f>IFERROR(VLOOKUP(G1296,WholesaleExtract!B:M,12,FALSE),"")</f>
        <v/>
      </c>
      <c r="N1296" s="27"/>
      <c r="O1296" s="19"/>
      <c r="P1296" s="19"/>
      <c r="Q1296" s="47"/>
      <c r="R1296" s="19"/>
      <c r="S1296" s="19"/>
    </row>
    <row r="1297" spans="1:19" x14ac:dyDescent="0.35">
      <c r="A1297" s="26" t="s">
        <v>543</v>
      </c>
      <c r="B1297" s="26" t="s">
        <v>543</v>
      </c>
      <c r="C1297" s="26"/>
      <c r="D1297" s="26" t="s">
        <v>543</v>
      </c>
      <c r="E1297" s="26" t="str">
        <f>IFERROR(VLOOKUP(G1297,WholesaleExtract!B:J,9,FALSE),"")</f>
        <v/>
      </c>
      <c r="F1297" s="26" t="str">
        <f>IFERROR(VLOOKUP(G1297,WholesaleExtract!B:J,6,FALSE),"")</f>
        <v/>
      </c>
      <c r="G1297" s="46"/>
      <c r="H1297" s="47" t="str">
        <f>IFERROR(VLOOKUP(G1297,WholesaleExtract!B:L,11,FALSE),"")</f>
        <v/>
      </c>
      <c r="I1297" s="26" t="str">
        <f>IFERROR(VLOOKUP(G1297,WholesaleExtract!B:O,8,FALSE),"")</f>
        <v/>
      </c>
      <c r="J1297" s="26" t="str">
        <f>IFERROR(VLOOKUP(G1297,WholesaleExtract!B:O,14,FALSE),"")</f>
        <v/>
      </c>
      <c r="K1297" s="26" t="str">
        <f>IFERROR(VLOOKUP(G1297,WholesaleExtract!B:K,10,FALSE),"")</f>
        <v/>
      </c>
      <c r="L1297" s="47" t="str">
        <f>IFERROR(VLOOKUP(G1297,WholesaleExtract!B:L,11,FALSE),"")</f>
        <v/>
      </c>
      <c r="M1297" s="47" t="str">
        <f>IFERROR(VLOOKUP(G1297,WholesaleExtract!B:M,12,FALSE),"")</f>
        <v/>
      </c>
      <c r="N1297" s="27"/>
      <c r="O1297" s="19"/>
      <c r="P1297" s="19"/>
      <c r="Q1297" s="47"/>
      <c r="R1297" s="19"/>
      <c r="S1297" s="19"/>
    </row>
    <row r="1298" spans="1:19" x14ac:dyDescent="0.35">
      <c r="A1298" s="26" t="s">
        <v>543</v>
      </c>
      <c r="B1298" s="26" t="s">
        <v>543</v>
      </c>
      <c r="C1298" s="26"/>
      <c r="D1298" s="26" t="s">
        <v>543</v>
      </c>
      <c r="E1298" s="26" t="str">
        <f>IFERROR(VLOOKUP(G1298,WholesaleExtract!B:J,9,FALSE),"")</f>
        <v/>
      </c>
      <c r="F1298" s="26" t="str">
        <f>IFERROR(VLOOKUP(G1298,WholesaleExtract!B:J,6,FALSE),"")</f>
        <v/>
      </c>
      <c r="G1298" s="46"/>
      <c r="H1298" s="47" t="str">
        <f>IFERROR(VLOOKUP(G1298,WholesaleExtract!B:L,11,FALSE),"")</f>
        <v/>
      </c>
      <c r="I1298" s="26" t="str">
        <f>IFERROR(VLOOKUP(G1298,WholesaleExtract!B:O,8,FALSE),"")</f>
        <v/>
      </c>
      <c r="J1298" s="26" t="str">
        <f>IFERROR(VLOOKUP(G1298,WholesaleExtract!B:O,14,FALSE),"")</f>
        <v/>
      </c>
      <c r="K1298" s="26" t="str">
        <f>IFERROR(VLOOKUP(G1298,WholesaleExtract!B:K,10,FALSE),"")</f>
        <v/>
      </c>
      <c r="L1298" s="47" t="str">
        <f>IFERROR(VLOOKUP(G1298,WholesaleExtract!B:L,11,FALSE),"")</f>
        <v/>
      </c>
      <c r="M1298" s="47" t="str">
        <f>IFERROR(VLOOKUP(G1298,WholesaleExtract!B:M,12,FALSE),"")</f>
        <v/>
      </c>
      <c r="N1298" s="27"/>
      <c r="O1298" s="19"/>
      <c r="P1298" s="19"/>
      <c r="Q1298" s="47"/>
      <c r="R1298" s="19"/>
      <c r="S1298" s="19"/>
    </row>
    <row r="1299" spans="1:19" x14ac:dyDescent="0.35">
      <c r="A1299" s="26" t="s">
        <v>543</v>
      </c>
      <c r="B1299" s="26" t="s">
        <v>543</v>
      </c>
      <c r="C1299" s="26"/>
      <c r="D1299" s="26" t="s">
        <v>543</v>
      </c>
      <c r="E1299" s="26" t="str">
        <f>IFERROR(VLOOKUP(G1299,WholesaleExtract!B:J,9,FALSE),"")</f>
        <v/>
      </c>
      <c r="F1299" s="26" t="str">
        <f>IFERROR(VLOOKUP(G1299,WholesaleExtract!B:J,6,FALSE),"")</f>
        <v/>
      </c>
      <c r="G1299" s="46"/>
      <c r="H1299" s="47" t="str">
        <f>IFERROR(VLOOKUP(G1299,WholesaleExtract!B:L,11,FALSE),"")</f>
        <v/>
      </c>
      <c r="I1299" s="26" t="str">
        <f>IFERROR(VLOOKUP(G1299,WholesaleExtract!B:O,8,FALSE),"")</f>
        <v/>
      </c>
      <c r="J1299" s="26" t="str">
        <f>IFERROR(VLOOKUP(G1299,WholesaleExtract!B:O,14,FALSE),"")</f>
        <v/>
      </c>
      <c r="K1299" s="26" t="str">
        <f>IFERROR(VLOOKUP(G1299,WholesaleExtract!B:K,10,FALSE),"")</f>
        <v/>
      </c>
      <c r="L1299" s="47" t="str">
        <f>IFERROR(VLOOKUP(G1299,WholesaleExtract!B:L,11,FALSE),"")</f>
        <v/>
      </c>
      <c r="M1299" s="47" t="str">
        <f>IFERROR(VLOOKUP(G1299,WholesaleExtract!B:M,12,FALSE),"")</f>
        <v/>
      </c>
      <c r="N1299" s="27"/>
      <c r="O1299" s="19"/>
      <c r="P1299" s="19"/>
      <c r="Q1299" s="47"/>
      <c r="R1299" s="19"/>
      <c r="S1299" s="19"/>
    </row>
    <row r="1300" spans="1:19" x14ac:dyDescent="0.35">
      <c r="A1300" s="26" t="s">
        <v>543</v>
      </c>
      <c r="B1300" s="26" t="s">
        <v>543</v>
      </c>
      <c r="C1300" s="26"/>
      <c r="D1300" s="26" t="s">
        <v>543</v>
      </c>
      <c r="E1300" s="26" t="str">
        <f>IFERROR(VLOOKUP(G1300,WholesaleExtract!B:J,9,FALSE),"")</f>
        <v/>
      </c>
      <c r="F1300" s="26" t="str">
        <f>IFERROR(VLOOKUP(G1300,WholesaleExtract!B:J,6,FALSE),"")</f>
        <v/>
      </c>
      <c r="G1300" s="46"/>
      <c r="H1300" s="47" t="str">
        <f>IFERROR(VLOOKUP(G1300,WholesaleExtract!B:L,11,FALSE),"")</f>
        <v/>
      </c>
      <c r="I1300" s="26" t="str">
        <f>IFERROR(VLOOKUP(G1300,WholesaleExtract!B:O,8,FALSE),"")</f>
        <v/>
      </c>
      <c r="J1300" s="26" t="str">
        <f>IFERROR(VLOOKUP(G1300,WholesaleExtract!B:O,14,FALSE),"")</f>
        <v/>
      </c>
      <c r="K1300" s="26" t="str">
        <f>IFERROR(VLOOKUP(G1300,WholesaleExtract!B:K,10,FALSE),"")</f>
        <v/>
      </c>
      <c r="L1300" s="47" t="str">
        <f>IFERROR(VLOOKUP(G1300,WholesaleExtract!B:L,11,FALSE),"")</f>
        <v/>
      </c>
      <c r="M1300" s="47" t="str">
        <f>IFERROR(VLOOKUP(G1300,WholesaleExtract!B:M,12,FALSE),"")</f>
        <v/>
      </c>
      <c r="N1300" s="27"/>
      <c r="O1300" s="19"/>
      <c r="P1300" s="19"/>
      <c r="Q1300" s="47"/>
      <c r="R1300" s="19"/>
      <c r="S1300" s="19"/>
    </row>
    <row r="1301" spans="1:19" x14ac:dyDescent="0.35">
      <c r="A1301" s="26" t="s">
        <v>543</v>
      </c>
      <c r="B1301" s="26" t="s">
        <v>543</v>
      </c>
      <c r="C1301" s="26"/>
      <c r="D1301" s="26" t="s">
        <v>543</v>
      </c>
      <c r="E1301" s="26" t="str">
        <f>IFERROR(VLOOKUP(G1301,WholesaleExtract!B:J,9,FALSE),"")</f>
        <v/>
      </c>
      <c r="F1301" s="26" t="str">
        <f>IFERROR(VLOOKUP(G1301,WholesaleExtract!B:J,6,FALSE),"")</f>
        <v/>
      </c>
      <c r="G1301" s="46"/>
      <c r="H1301" s="47" t="str">
        <f>IFERROR(VLOOKUP(G1301,WholesaleExtract!B:L,11,FALSE),"")</f>
        <v/>
      </c>
      <c r="I1301" s="26" t="str">
        <f>IFERROR(VLOOKUP(G1301,WholesaleExtract!B:O,8,FALSE),"")</f>
        <v/>
      </c>
      <c r="J1301" s="26" t="str">
        <f>IFERROR(VLOOKUP(G1301,WholesaleExtract!B:O,14,FALSE),"")</f>
        <v/>
      </c>
      <c r="K1301" s="26" t="str">
        <f>IFERROR(VLOOKUP(G1301,WholesaleExtract!B:K,10,FALSE),"")</f>
        <v/>
      </c>
      <c r="L1301" s="47" t="str">
        <f>IFERROR(VLOOKUP(G1301,WholesaleExtract!B:L,11,FALSE),"")</f>
        <v/>
      </c>
      <c r="M1301" s="47" t="str">
        <f>IFERROR(VLOOKUP(G1301,WholesaleExtract!B:M,12,FALSE),"")</f>
        <v/>
      </c>
      <c r="N1301" s="27"/>
      <c r="O1301" s="19"/>
      <c r="P1301" s="19"/>
      <c r="Q1301" s="47"/>
      <c r="R1301" s="19"/>
      <c r="S1301" s="19"/>
    </row>
    <row r="1302" spans="1:19" x14ac:dyDescent="0.35">
      <c r="A1302" s="26" t="s">
        <v>543</v>
      </c>
      <c r="B1302" s="26" t="s">
        <v>543</v>
      </c>
      <c r="C1302" s="26"/>
      <c r="D1302" s="26" t="s">
        <v>543</v>
      </c>
      <c r="E1302" s="26" t="str">
        <f>IFERROR(VLOOKUP(G1302,WholesaleExtract!B:J,9,FALSE),"")</f>
        <v/>
      </c>
      <c r="F1302" s="26" t="str">
        <f>IFERROR(VLOOKUP(G1302,WholesaleExtract!B:J,6,FALSE),"")</f>
        <v/>
      </c>
      <c r="G1302" s="46"/>
      <c r="H1302" s="47" t="str">
        <f>IFERROR(VLOOKUP(G1302,WholesaleExtract!B:L,11,FALSE),"")</f>
        <v/>
      </c>
      <c r="I1302" s="26" t="str">
        <f>IFERROR(VLOOKUP(G1302,WholesaleExtract!B:O,8,FALSE),"")</f>
        <v/>
      </c>
      <c r="J1302" s="26" t="str">
        <f>IFERROR(VLOOKUP(G1302,WholesaleExtract!B:O,14,FALSE),"")</f>
        <v/>
      </c>
      <c r="K1302" s="26" t="str">
        <f>IFERROR(VLOOKUP(G1302,WholesaleExtract!B:K,10,FALSE),"")</f>
        <v/>
      </c>
      <c r="L1302" s="47" t="str">
        <f>IFERROR(VLOOKUP(G1302,WholesaleExtract!B:L,11,FALSE),"")</f>
        <v/>
      </c>
      <c r="M1302" s="47" t="str">
        <f>IFERROR(VLOOKUP(G1302,WholesaleExtract!B:M,12,FALSE),"")</f>
        <v/>
      </c>
      <c r="N1302" s="27"/>
      <c r="O1302" s="19"/>
      <c r="P1302" s="19"/>
      <c r="Q1302" s="47"/>
      <c r="R1302" s="19"/>
      <c r="S1302" s="19"/>
    </row>
    <row r="1303" spans="1:19" x14ac:dyDescent="0.35">
      <c r="A1303" s="26" t="s">
        <v>543</v>
      </c>
      <c r="B1303" s="26" t="s">
        <v>543</v>
      </c>
      <c r="C1303" s="26"/>
      <c r="D1303" s="26" t="s">
        <v>543</v>
      </c>
      <c r="E1303" s="26" t="str">
        <f>IFERROR(VLOOKUP(G1303,WholesaleExtract!B:J,9,FALSE),"")</f>
        <v/>
      </c>
      <c r="F1303" s="26" t="str">
        <f>IFERROR(VLOOKUP(G1303,WholesaleExtract!B:J,6,FALSE),"")</f>
        <v/>
      </c>
      <c r="G1303" s="46"/>
      <c r="H1303" s="47" t="str">
        <f>IFERROR(VLOOKUP(G1303,WholesaleExtract!B:L,11,FALSE),"")</f>
        <v/>
      </c>
      <c r="I1303" s="26" t="str">
        <f>IFERROR(VLOOKUP(G1303,WholesaleExtract!B:O,8,FALSE),"")</f>
        <v/>
      </c>
      <c r="J1303" s="26" t="str">
        <f>IFERROR(VLOOKUP(G1303,WholesaleExtract!B:O,14,FALSE),"")</f>
        <v/>
      </c>
      <c r="K1303" s="26" t="str">
        <f>IFERROR(VLOOKUP(G1303,WholesaleExtract!B:K,10,FALSE),"")</f>
        <v/>
      </c>
      <c r="L1303" s="47" t="str">
        <f>IFERROR(VLOOKUP(G1303,WholesaleExtract!B:L,11,FALSE),"")</f>
        <v/>
      </c>
      <c r="M1303" s="47" t="str">
        <f>IFERROR(VLOOKUP(G1303,WholesaleExtract!B:M,12,FALSE),"")</f>
        <v/>
      </c>
      <c r="N1303" s="27"/>
      <c r="O1303" s="19"/>
      <c r="P1303" s="19"/>
      <c r="Q1303" s="47"/>
      <c r="R1303" s="19"/>
      <c r="S1303" s="19"/>
    </row>
    <row r="1304" spans="1:19" x14ac:dyDescent="0.35">
      <c r="A1304" s="26" t="s">
        <v>543</v>
      </c>
      <c r="B1304" s="26" t="s">
        <v>543</v>
      </c>
      <c r="C1304" s="26"/>
      <c r="D1304" s="26" t="s">
        <v>543</v>
      </c>
      <c r="E1304" s="26" t="str">
        <f>IFERROR(VLOOKUP(G1304,WholesaleExtract!B:J,9,FALSE),"")</f>
        <v/>
      </c>
      <c r="F1304" s="26" t="str">
        <f>IFERROR(VLOOKUP(G1304,WholesaleExtract!B:J,6,FALSE),"")</f>
        <v/>
      </c>
      <c r="G1304" s="46"/>
      <c r="H1304" s="47" t="str">
        <f>IFERROR(VLOOKUP(G1304,WholesaleExtract!B:L,11,FALSE),"")</f>
        <v/>
      </c>
      <c r="I1304" s="26" t="str">
        <f>IFERROR(VLOOKUP(G1304,WholesaleExtract!B:O,8,FALSE),"")</f>
        <v/>
      </c>
      <c r="J1304" s="26" t="str">
        <f>IFERROR(VLOOKUP(G1304,WholesaleExtract!B:O,14,FALSE),"")</f>
        <v/>
      </c>
      <c r="K1304" s="26" t="str">
        <f>IFERROR(VLOOKUP(G1304,WholesaleExtract!B:K,10,FALSE),"")</f>
        <v/>
      </c>
      <c r="L1304" s="47" t="str">
        <f>IFERROR(VLOOKUP(G1304,WholesaleExtract!B:L,11,FALSE),"")</f>
        <v/>
      </c>
      <c r="M1304" s="47" t="str">
        <f>IFERROR(VLOOKUP(G1304,WholesaleExtract!B:M,12,FALSE),"")</f>
        <v/>
      </c>
      <c r="N1304" s="27"/>
      <c r="O1304" s="19"/>
      <c r="P1304" s="19"/>
      <c r="Q1304" s="47"/>
      <c r="R1304" s="19"/>
      <c r="S1304" s="19"/>
    </row>
    <row r="1305" spans="1:19" x14ac:dyDescent="0.35">
      <c r="A1305" s="26" t="s">
        <v>543</v>
      </c>
      <c r="B1305" s="26" t="s">
        <v>543</v>
      </c>
      <c r="C1305" s="26"/>
      <c r="D1305" s="26" t="s">
        <v>543</v>
      </c>
      <c r="E1305" s="26" t="str">
        <f>IFERROR(VLOOKUP(G1305,WholesaleExtract!B:J,9,FALSE),"")</f>
        <v/>
      </c>
      <c r="F1305" s="26" t="str">
        <f>IFERROR(VLOOKUP(G1305,WholesaleExtract!B:J,6,FALSE),"")</f>
        <v/>
      </c>
      <c r="G1305" s="46"/>
      <c r="H1305" s="47" t="str">
        <f>IFERROR(VLOOKUP(G1305,WholesaleExtract!B:L,11,FALSE),"")</f>
        <v/>
      </c>
      <c r="I1305" s="26" t="str">
        <f>IFERROR(VLOOKUP(G1305,WholesaleExtract!B:O,8,FALSE),"")</f>
        <v/>
      </c>
      <c r="J1305" s="26" t="str">
        <f>IFERROR(VLOOKUP(G1305,WholesaleExtract!B:O,14,FALSE),"")</f>
        <v/>
      </c>
      <c r="K1305" s="26" t="str">
        <f>IFERROR(VLOOKUP(G1305,WholesaleExtract!B:K,10,FALSE),"")</f>
        <v/>
      </c>
      <c r="L1305" s="47" t="str">
        <f>IFERROR(VLOOKUP(G1305,WholesaleExtract!B:L,11,FALSE),"")</f>
        <v/>
      </c>
      <c r="M1305" s="47" t="str">
        <f>IFERROR(VLOOKUP(G1305,WholesaleExtract!B:M,12,FALSE),"")</f>
        <v/>
      </c>
      <c r="N1305" s="27"/>
      <c r="O1305" s="19"/>
      <c r="P1305" s="19"/>
      <c r="Q1305" s="47"/>
      <c r="R1305" s="19"/>
      <c r="S1305" s="19"/>
    </row>
    <row r="1306" spans="1:19" x14ac:dyDescent="0.35">
      <c r="A1306" s="26" t="s">
        <v>543</v>
      </c>
      <c r="B1306" s="26" t="s">
        <v>543</v>
      </c>
      <c r="C1306" s="26"/>
      <c r="D1306" s="26" t="s">
        <v>543</v>
      </c>
      <c r="E1306" s="26" t="str">
        <f>IFERROR(VLOOKUP(G1306,WholesaleExtract!B:J,9,FALSE),"")</f>
        <v/>
      </c>
      <c r="F1306" s="26" t="str">
        <f>IFERROR(VLOOKUP(G1306,WholesaleExtract!B:J,6,FALSE),"")</f>
        <v/>
      </c>
      <c r="G1306" s="46"/>
      <c r="H1306" s="47" t="str">
        <f>IFERROR(VLOOKUP(G1306,WholesaleExtract!B:L,11,FALSE),"")</f>
        <v/>
      </c>
      <c r="I1306" s="26" t="str">
        <f>IFERROR(VLOOKUP(G1306,WholesaleExtract!B:O,8,FALSE),"")</f>
        <v/>
      </c>
      <c r="J1306" s="26" t="str">
        <f>IFERROR(VLOOKUP(G1306,WholesaleExtract!B:O,14,FALSE),"")</f>
        <v/>
      </c>
      <c r="K1306" s="26" t="str">
        <f>IFERROR(VLOOKUP(G1306,WholesaleExtract!B:K,10,FALSE),"")</f>
        <v/>
      </c>
      <c r="L1306" s="47" t="str">
        <f>IFERROR(VLOOKUP(G1306,WholesaleExtract!B:L,11,FALSE),"")</f>
        <v/>
      </c>
      <c r="M1306" s="47" t="str">
        <f>IFERROR(VLOOKUP(G1306,WholesaleExtract!B:M,12,FALSE),"")</f>
        <v/>
      </c>
      <c r="N1306" s="27"/>
      <c r="O1306" s="19"/>
      <c r="P1306" s="19"/>
      <c r="Q1306" s="47"/>
      <c r="R1306" s="19"/>
      <c r="S1306" s="19"/>
    </row>
    <row r="1307" spans="1:19" x14ac:dyDescent="0.35">
      <c r="A1307" s="26" t="s">
        <v>543</v>
      </c>
      <c r="B1307" s="26" t="s">
        <v>543</v>
      </c>
      <c r="C1307" s="26"/>
      <c r="D1307" s="26" t="s">
        <v>543</v>
      </c>
      <c r="E1307" s="26" t="str">
        <f>IFERROR(VLOOKUP(G1307,WholesaleExtract!B:J,9,FALSE),"")</f>
        <v/>
      </c>
      <c r="F1307" s="26" t="str">
        <f>IFERROR(VLOOKUP(G1307,WholesaleExtract!B:J,6,FALSE),"")</f>
        <v/>
      </c>
      <c r="G1307" s="46"/>
      <c r="H1307" s="47" t="str">
        <f>IFERROR(VLOOKUP(G1307,WholesaleExtract!B:L,11,FALSE),"")</f>
        <v/>
      </c>
      <c r="I1307" s="26" t="str">
        <f>IFERROR(VLOOKUP(G1307,WholesaleExtract!B:O,8,FALSE),"")</f>
        <v/>
      </c>
      <c r="J1307" s="26" t="str">
        <f>IFERROR(VLOOKUP(G1307,WholesaleExtract!B:O,14,FALSE),"")</f>
        <v/>
      </c>
      <c r="K1307" s="26" t="str">
        <f>IFERROR(VLOOKUP(G1307,WholesaleExtract!B:K,10,FALSE),"")</f>
        <v/>
      </c>
      <c r="L1307" s="47" t="str">
        <f>IFERROR(VLOOKUP(G1307,WholesaleExtract!B:L,11,FALSE),"")</f>
        <v/>
      </c>
      <c r="M1307" s="47" t="str">
        <f>IFERROR(VLOOKUP(G1307,WholesaleExtract!B:M,12,FALSE),"")</f>
        <v/>
      </c>
      <c r="N1307" s="27"/>
      <c r="O1307" s="19"/>
      <c r="P1307" s="19"/>
      <c r="Q1307" s="47"/>
      <c r="R1307" s="19"/>
      <c r="S1307" s="19"/>
    </row>
    <row r="1308" spans="1:19" x14ac:dyDescent="0.35">
      <c r="A1308" s="26" t="s">
        <v>543</v>
      </c>
      <c r="B1308" s="26" t="s">
        <v>543</v>
      </c>
      <c r="C1308" s="26"/>
      <c r="D1308" s="26" t="s">
        <v>543</v>
      </c>
      <c r="E1308" s="26" t="str">
        <f>IFERROR(VLOOKUP(G1308,WholesaleExtract!B:J,9,FALSE),"")</f>
        <v/>
      </c>
      <c r="F1308" s="26" t="str">
        <f>IFERROR(VLOOKUP(G1308,WholesaleExtract!B:J,6,FALSE),"")</f>
        <v/>
      </c>
      <c r="G1308" s="46"/>
      <c r="H1308" s="47" t="str">
        <f>IFERROR(VLOOKUP(G1308,WholesaleExtract!B:L,11,FALSE),"")</f>
        <v/>
      </c>
      <c r="I1308" s="26" t="str">
        <f>IFERROR(VLOOKUP(G1308,WholesaleExtract!B:O,8,FALSE),"")</f>
        <v/>
      </c>
      <c r="J1308" s="26" t="str">
        <f>IFERROR(VLOOKUP(G1308,WholesaleExtract!B:O,14,FALSE),"")</f>
        <v/>
      </c>
      <c r="K1308" s="26" t="str">
        <f>IFERROR(VLOOKUP(G1308,WholesaleExtract!B:K,10,FALSE),"")</f>
        <v/>
      </c>
      <c r="L1308" s="47" t="str">
        <f>IFERROR(VLOOKUP(G1308,WholesaleExtract!B:L,11,FALSE),"")</f>
        <v/>
      </c>
      <c r="M1308" s="47" t="str">
        <f>IFERROR(VLOOKUP(G1308,WholesaleExtract!B:M,12,FALSE),"")</f>
        <v/>
      </c>
      <c r="N1308" s="27"/>
      <c r="O1308" s="19"/>
      <c r="P1308" s="19"/>
      <c r="Q1308" s="47"/>
      <c r="R1308" s="19"/>
      <c r="S1308" s="19"/>
    </row>
    <row r="1309" spans="1:19" x14ac:dyDescent="0.35">
      <c r="A1309" s="26" t="s">
        <v>543</v>
      </c>
      <c r="B1309" s="26" t="s">
        <v>543</v>
      </c>
      <c r="C1309" s="26"/>
      <c r="D1309" s="26" t="s">
        <v>543</v>
      </c>
      <c r="E1309" s="26" t="str">
        <f>IFERROR(VLOOKUP(G1309,WholesaleExtract!B:J,9,FALSE),"")</f>
        <v/>
      </c>
      <c r="F1309" s="26" t="str">
        <f>IFERROR(VLOOKUP(G1309,WholesaleExtract!B:J,6,FALSE),"")</f>
        <v/>
      </c>
      <c r="G1309" s="46"/>
      <c r="H1309" s="47" t="str">
        <f>IFERROR(VLOOKUP(G1309,WholesaleExtract!B:L,11,FALSE),"")</f>
        <v/>
      </c>
      <c r="I1309" s="26" t="str">
        <f>IFERROR(VLOOKUP(G1309,WholesaleExtract!B:O,8,FALSE),"")</f>
        <v/>
      </c>
      <c r="J1309" s="26" t="str">
        <f>IFERROR(VLOOKUP(G1309,WholesaleExtract!B:O,14,FALSE),"")</f>
        <v/>
      </c>
      <c r="K1309" s="26" t="str">
        <f>IFERROR(VLOOKUP(G1309,WholesaleExtract!B:K,10,FALSE),"")</f>
        <v/>
      </c>
      <c r="L1309" s="47" t="str">
        <f>IFERROR(VLOOKUP(G1309,WholesaleExtract!B:L,11,FALSE),"")</f>
        <v/>
      </c>
      <c r="M1309" s="47" t="str">
        <f>IFERROR(VLOOKUP(G1309,WholesaleExtract!B:M,12,FALSE),"")</f>
        <v/>
      </c>
      <c r="N1309" s="27"/>
      <c r="O1309" s="19"/>
      <c r="P1309" s="19"/>
      <c r="Q1309" s="47"/>
      <c r="R1309" s="19"/>
      <c r="S1309" s="19"/>
    </row>
    <row r="1310" spans="1:19" x14ac:dyDescent="0.35">
      <c r="A1310" s="26" t="s">
        <v>543</v>
      </c>
      <c r="B1310" s="26" t="s">
        <v>543</v>
      </c>
      <c r="C1310" s="26"/>
      <c r="D1310" s="26" t="s">
        <v>543</v>
      </c>
      <c r="E1310" s="26" t="str">
        <f>IFERROR(VLOOKUP(G1310,WholesaleExtract!B:J,9,FALSE),"")</f>
        <v/>
      </c>
      <c r="F1310" s="26" t="str">
        <f>IFERROR(VLOOKUP(G1310,WholesaleExtract!B:J,6,FALSE),"")</f>
        <v/>
      </c>
      <c r="G1310" s="46"/>
      <c r="H1310" s="47" t="str">
        <f>IFERROR(VLOOKUP(G1310,WholesaleExtract!B:L,11,FALSE),"")</f>
        <v/>
      </c>
      <c r="I1310" s="26" t="str">
        <f>IFERROR(VLOOKUP(G1310,WholesaleExtract!B:O,8,FALSE),"")</f>
        <v/>
      </c>
      <c r="J1310" s="26" t="str">
        <f>IFERROR(VLOOKUP(G1310,WholesaleExtract!B:O,14,FALSE),"")</f>
        <v/>
      </c>
      <c r="K1310" s="26" t="str">
        <f>IFERROR(VLOOKUP(G1310,WholesaleExtract!B:K,10,FALSE),"")</f>
        <v/>
      </c>
      <c r="L1310" s="47" t="str">
        <f>IFERROR(VLOOKUP(G1310,WholesaleExtract!B:L,11,FALSE),"")</f>
        <v/>
      </c>
      <c r="M1310" s="47" t="str">
        <f>IFERROR(VLOOKUP(G1310,WholesaleExtract!B:M,12,FALSE),"")</f>
        <v/>
      </c>
      <c r="N1310" s="27"/>
      <c r="O1310" s="19"/>
      <c r="P1310" s="19"/>
      <c r="Q1310" s="47"/>
      <c r="R1310" s="19"/>
      <c r="S1310" s="19"/>
    </row>
    <row r="1311" spans="1:19" x14ac:dyDescent="0.35">
      <c r="A1311" s="26" t="s">
        <v>543</v>
      </c>
      <c r="B1311" s="26" t="s">
        <v>543</v>
      </c>
      <c r="C1311" s="26"/>
      <c r="D1311" s="26" t="s">
        <v>543</v>
      </c>
      <c r="E1311" s="26" t="str">
        <f>IFERROR(VLOOKUP(G1311,WholesaleExtract!B:J,9,FALSE),"")</f>
        <v/>
      </c>
      <c r="F1311" s="26" t="str">
        <f>IFERROR(VLOOKUP(G1311,WholesaleExtract!B:J,6,FALSE),"")</f>
        <v/>
      </c>
      <c r="G1311" s="46"/>
      <c r="H1311" s="47" t="str">
        <f>IFERROR(VLOOKUP(G1311,WholesaleExtract!B:L,11,FALSE),"")</f>
        <v/>
      </c>
      <c r="I1311" s="26" t="str">
        <f>IFERROR(VLOOKUP(G1311,WholesaleExtract!B:O,8,FALSE),"")</f>
        <v/>
      </c>
      <c r="J1311" s="26" t="str">
        <f>IFERROR(VLOOKUP(G1311,WholesaleExtract!B:O,14,FALSE),"")</f>
        <v/>
      </c>
      <c r="K1311" s="26" t="str">
        <f>IFERROR(VLOOKUP(G1311,WholesaleExtract!B:K,10,FALSE),"")</f>
        <v/>
      </c>
      <c r="L1311" s="47" t="str">
        <f>IFERROR(VLOOKUP(G1311,WholesaleExtract!B:L,11,FALSE),"")</f>
        <v/>
      </c>
      <c r="M1311" s="47" t="str">
        <f>IFERROR(VLOOKUP(G1311,WholesaleExtract!B:M,12,FALSE),"")</f>
        <v/>
      </c>
      <c r="N1311" s="27"/>
      <c r="O1311" s="19"/>
      <c r="P1311" s="19"/>
      <c r="Q1311" s="47"/>
      <c r="R1311" s="19"/>
      <c r="S1311" s="19"/>
    </row>
    <row r="1312" spans="1:19" x14ac:dyDescent="0.35">
      <c r="A1312" s="26" t="s">
        <v>543</v>
      </c>
      <c r="B1312" s="26" t="s">
        <v>543</v>
      </c>
      <c r="C1312" s="26"/>
      <c r="D1312" s="26" t="s">
        <v>543</v>
      </c>
      <c r="E1312" s="26" t="str">
        <f>IFERROR(VLOOKUP(G1312,WholesaleExtract!B:J,9,FALSE),"")</f>
        <v/>
      </c>
      <c r="F1312" s="26" t="str">
        <f>IFERROR(VLOOKUP(G1312,WholesaleExtract!B:J,6,FALSE),"")</f>
        <v/>
      </c>
      <c r="G1312" s="46"/>
      <c r="H1312" s="47" t="str">
        <f>IFERROR(VLOOKUP(G1312,WholesaleExtract!B:L,11,FALSE),"")</f>
        <v/>
      </c>
      <c r="I1312" s="26" t="str">
        <f>IFERROR(VLOOKUP(G1312,WholesaleExtract!B:O,8,FALSE),"")</f>
        <v/>
      </c>
      <c r="J1312" s="26" t="str">
        <f>IFERROR(VLOOKUP(G1312,WholesaleExtract!B:O,14,FALSE),"")</f>
        <v/>
      </c>
      <c r="K1312" s="26" t="str">
        <f>IFERROR(VLOOKUP(G1312,WholesaleExtract!B:K,10,FALSE),"")</f>
        <v/>
      </c>
      <c r="L1312" s="47" t="str">
        <f>IFERROR(VLOOKUP(G1312,WholesaleExtract!B:L,11,FALSE),"")</f>
        <v/>
      </c>
      <c r="M1312" s="47" t="str">
        <f>IFERROR(VLOOKUP(G1312,WholesaleExtract!B:M,12,FALSE),"")</f>
        <v/>
      </c>
      <c r="N1312" s="27"/>
      <c r="O1312" s="19"/>
      <c r="P1312" s="19"/>
      <c r="Q1312" s="47"/>
      <c r="R1312" s="19"/>
      <c r="S1312" s="19"/>
    </row>
    <row r="1313" spans="1:19" x14ac:dyDescent="0.35">
      <c r="A1313" s="26" t="s">
        <v>543</v>
      </c>
      <c r="B1313" s="26" t="s">
        <v>543</v>
      </c>
      <c r="C1313" s="26"/>
      <c r="D1313" s="26" t="s">
        <v>543</v>
      </c>
      <c r="E1313" s="26" t="str">
        <f>IFERROR(VLOOKUP(G1313,WholesaleExtract!B:J,9,FALSE),"")</f>
        <v/>
      </c>
      <c r="F1313" s="26" t="str">
        <f>IFERROR(VLOOKUP(G1313,WholesaleExtract!B:J,6,FALSE),"")</f>
        <v/>
      </c>
      <c r="G1313" s="46"/>
      <c r="H1313" s="47" t="str">
        <f>IFERROR(VLOOKUP(G1313,WholesaleExtract!B:L,11,FALSE),"")</f>
        <v/>
      </c>
      <c r="I1313" s="26" t="str">
        <f>IFERROR(VLOOKUP(G1313,WholesaleExtract!B:O,8,FALSE),"")</f>
        <v/>
      </c>
      <c r="J1313" s="26" t="str">
        <f>IFERROR(VLOOKUP(G1313,WholesaleExtract!B:O,14,FALSE),"")</f>
        <v/>
      </c>
      <c r="K1313" s="26" t="str">
        <f>IFERROR(VLOOKUP(G1313,WholesaleExtract!B:K,10,FALSE),"")</f>
        <v/>
      </c>
      <c r="L1313" s="47" t="str">
        <f>IFERROR(VLOOKUP(G1313,WholesaleExtract!B:L,11,FALSE),"")</f>
        <v/>
      </c>
      <c r="M1313" s="47" t="str">
        <f>IFERROR(VLOOKUP(G1313,WholesaleExtract!B:M,12,FALSE),"")</f>
        <v/>
      </c>
      <c r="N1313" s="27"/>
      <c r="O1313" s="19"/>
      <c r="P1313" s="19"/>
      <c r="Q1313" s="47"/>
      <c r="R1313" s="19"/>
      <c r="S1313" s="19"/>
    </row>
    <row r="1314" spans="1:19" x14ac:dyDescent="0.35">
      <c r="A1314" s="26" t="s">
        <v>543</v>
      </c>
      <c r="B1314" s="26" t="s">
        <v>543</v>
      </c>
      <c r="C1314" s="26"/>
      <c r="D1314" s="26" t="s">
        <v>543</v>
      </c>
      <c r="E1314" s="26" t="str">
        <f>IFERROR(VLOOKUP(G1314,WholesaleExtract!B:J,9,FALSE),"")</f>
        <v/>
      </c>
      <c r="F1314" s="26" t="str">
        <f>IFERROR(VLOOKUP(G1314,WholesaleExtract!B:J,6,FALSE),"")</f>
        <v/>
      </c>
      <c r="G1314" s="46"/>
      <c r="H1314" s="47" t="str">
        <f>IFERROR(VLOOKUP(G1314,WholesaleExtract!B:L,11,FALSE),"")</f>
        <v/>
      </c>
      <c r="I1314" s="26" t="str">
        <f>IFERROR(VLOOKUP(G1314,WholesaleExtract!B:O,8,FALSE),"")</f>
        <v/>
      </c>
      <c r="J1314" s="26" t="str">
        <f>IFERROR(VLOOKUP(G1314,WholesaleExtract!B:O,14,FALSE),"")</f>
        <v/>
      </c>
      <c r="K1314" s="26" t="str">
        <f>IFERROR(VLOOKUP(G1314,WholesaleExtract!B:K,10,FALSE),"")</f>
        <v/>
      </c>
      <c r="L1314" s="47" t="str">
        <f>IFERROR(VLOOKUP(G1314,WholesaleExtract!B:L,11,FALSE),"")</f>
        <v/>
      </c>
      <c r="M1314" s="47" t="str">
        <f>IFERROR(VLOOKUP(G1314,WholesaleExtract!B:M,12,FALSE),"")</f>
        <v/>
      </c>
      <c r="N1314" s="27"/>
      <c r="O1314" s="19"/>
      <c r="P1314" s="19"/>
      <c r="Q1314" s="47"/>
      <c r="R1314" s="19"/>
      <c r="S1314" s="19"/>
    </row>
    <row r="1315" spans="1:19" x14ac:dyDescent="0.35">
      <c r="A1315" s="26" t="s">
        <v>543</v>
      </c>
      <c r="B1315" s="26" t="s">
        <v>543</v>
      </c>
      <c r="C1315" s="26"/>
      <c r="D1315" s="26" t="s">
        <v>543</v>
      </c>
      <c r="E1315" s="26" t="str">
        <f>IFERROR(VLOOKUP(G1315,WholesaleExtract!B:J,9,FALSE),"")</f>
        <v/>
      </c>
      <c r="F1315" s="26" t="str">
        <f>IFERROR(VLOOKUP(G1315,WholesaleExtract!B:J,6,FALSE),"")</f>
        <v/>
      </c>
      <c r="G1315" s="46"/>
      <c r="H1315" s="47" t="str">
        <f>IFERROR(VLOOKUP(G1315,WholesaleExtract!B:L,11,FALSE),"")</f>
        <v/>
      </c>
      <c r="I1315" s="26" t="str">
        <f>IFERROR(VLOOKUP(G1315,WholesaleExtract!B:O,8,FALSE),"")</f>
        <v/>
      </c>
      <c r="J1315" s="26" t="str">
        <f>IFERROR(VLOOKUP(G1315,WholesaleExtract!B:O,14,FALSE),"")</f>
        <v/>
      </c>
      <c r="K1315" s="26" t="str">
        <f>IFERROR(VLOOKUP(G1315,WholesaleExtract!B:K,10,FALSE),"")</f>
        <v/>
      </c>
      <c r="L1315" s="47" t="str">
        <f>IFERROR(VLOOKUP(G1315,WholesaleExtract!B:L,11,FALSE),"")</f>
        <v/>
      </c>
      <c r="M1315" s="47" t="str">
        <f>IFERROR(VLOOKUP(G1315,WholesaleExtract!B:M,12,FALSE),"")</f>
        <v/>
      </c>
      <c r="N1315" s="27"/>
      <c r="O1315" s="19"/>
      <c r="P1315" s="19"/>
      <c r="Q1315" s="47"/>
      <c r="R1315" s="19"/>
      <c r="S1315" s="19"/>
    </row>
    <row r="1316" spans="1:19" x14ac:dyDescent="0.35">
      <c r="A1316" s="26" t="s">
        <v>543</v>
      </c>
      <c r="B1316" s="26" t="s">
        <v>543</v>
      </c>
      <c r="C1316" s="26"/>
      <c r="D1316" s="26" t="s">
        <v>543</v>
      </c>
      <c r="E1316" s="26" t="str">
        <f>IFERROR(VLOOKUP(G1316,WholesaleExtract!B:J,9,FALSE),"")</f>
        <v/>
      </c>
      <c r="F1316" s="26" t="str">
        <f>IFERROR(VLOOKUP(G1316,WholesaleExtract!B:J,6,FALSE),"")</f>
        <v/>
      </c>
      <c r="G1316" s="46"/>
      <c r="H1316" s="47" t="str">
        <f>IFERROR(VLOOKUP(G1316,WholesaleExtract!B:L,11,FALSE),"")</f>
        <v/>
      </c>
      <c r="I1316" s="26" t="str">
        <f>IFERROR(VLOOKUP(G1316,WholesaleExtract!B:O,8,FALSE),"")</f>
        <v/>
      </c>
      <c r="J1316" s="26" t="str">
        <f>IFERROR(VLOOKUP(G1316,WholesaleExtract!B:O,14,FALSE),"")</f>
        <v/>
      </c>
      <c r="K1316" s="26" t="str">
        <f>IFERROR(VLOOKUP(G1316,WholesaleExtract!B:K,10,FALSE),"")</f>
        <v/>
      </c>
      <c r="L1316" s="47" t="str">
        <f>IFERROR(VLOOKUP(G1316,WholesaleExtract!B:L,11,FALSE),"")</f>
        <v/>
      </c>
      <c r="M1316" s="47" t="str">
        <f>IFERROR(VLOOKUP(G1316,WholesaleExtract!B:M,12,FALSE),"")</f>
        <v/>
      </c>
      <c r="N1316" s="27"/>
      <c r="O1316" s="19"/>
      <c r="P1316" s="19"/>
      <c r="Q1316" s="47"/>
      <c r="R1316" s="19"/>
      <c r="S1316" s="19"/>
    </row>
    <row r="1317" spans="1:19" x14ac:dyDescent="0.35">
      <c r="A1317" s="26" t="s">
        <v>543</v>
      </c>
      <c r="B1317" s="26" t="s">
        <v>543</v>
      </c>
      <c r="C1317" s="26"/>
      <c r="D1317" s="26" t="s">
        <v>543</v>
      </c>
      <c r="E1317" s="26" t="str">
        <f>IFERROR(VLOOKUP(G1317,WholesaleExtract!B:J,9,FALSE),"")</f>
        <v/>
      </c>
      <c r="F1317" s="26" t="str">
        <f>IFERROR(VLOOKUP(G1317,WholesaleExtract!B:J,6,FALSE),"")</f>
        <v/>
      </c>
      <c r="G1317" s="46"/>
      <c r="H1317" s="47" t="str">
        <f>IFERROR(VLOOKUP(G1317,WholesaleExtract!B:L,11,FALSE),"")</f>
        <v/>
      </c>
      <c r="I1317" s="26" t="str">
        <f>IFERROR(VLOOKUP(G1317,WholesaleExtract!B:O,8,FALSE),"")</f>
        <v/>
      </c>
      <c r="J1317" s="26" t="str">
        <f>IFERROR(VLOOKUP(G1317,WholesaleExtract!B:O,14,FALSE),"")</f>
        <v/>
      </c>
      <c r="K1317" s="26" t="str">
        <f>IFERROR(VLOOKUP(G1317,WholesaleExtract!B:K,10,FALSE),"")</f>
        <v/>
      </c>
      <c r="L1317" s="47" t="str">
        <f>IFERROR(VLOOKUP(G1317,WholesaleExtract!B:L,11,FALSE),"")</f>
        <v/>
      </c>
      <c r="M1317" s="47" t="str">
        <f>IFERROR(VLOOKUP(G1317,WholesaleExtract!B:M,12,FALSE),"")</f>
        <v/>
      </c>
      <c r="N1317" s="27"/>
      <c r="O1317" s="19"/>
      <c r="P1317" s="19"/>
      <c r="Q1317" s="47"/>
      <c r="R1317" s="19"/>
      <c r="S1317" s="19"/>
    </row>
    <row r="1318" spans="1:19" x14ac:dyDescent="0.35">
      <c r="A1318" s="26" t="s">
        <v>543</v>
      </c>
      <c r="B1318" s="26" t="s">
        <v>543</v>
      </c>
      <c r="C1318" s="26"/>
      <c r="D1318" s="26" t="s">
        <v>543</v>
      </c>
      <c r="E1318" s="26" t="str">
        <f>IFERROR(VLOOKUP(G1318,WholesaleExtract!B:J,9,FALSE),"")</f>
        <v/>
      </c>
      <c r="F1318" s="26" t="str">
        <f>IFERROR(VLOOKUP(G1318,WholesaleExtract!B:J,6,FALSE),"")</f>
        <v/>
      </c>
      <c r="G1318" s="46"/>
      <c r="H1318" s="47" t="str">
        <f>IFERROR(VLOOKUP(G1318,WholesaleExtract!B:L,11,FALSE),"")</f>
        <v/>
      </c>
      <c r="I1318" s="26" t="str">
        <f>IFERROR(VLOOKUP(G1318,WholesaleExtract!B:O,8,FALSE),"")</f>
        <v/>
      </c>
      <c r="J1318" s="26" t="str">
        <f>IFERROR(VLOOKUP(G1318,WholesaleExtract!B:O,14,FALSE),"")</f>
        <v/>
      </c>
      <c r="K1318" s="26" t="str">
        <f>IFERROR(VLOOKUP(G1318,WholesaleExtract!B:K,10,FALSE),"")</f>
        <v/>
      </c>
      <c r="L1318" s="47" t="str">
        <f>IFERROR(VLOOKUP(G1318,WholesaleExtract!B:L,11,FALSE),"")</f>
        <v/>
      </c>
      <c r="M1318" s="47" t="str">
        <f>IFERROR(VLOOKUP(G1318,WholesaleExtract!B:M,12,FALSE),"")</f>
        <v/>
      </c>
      <c r="N1318" s="27"/>
      <c r="O1318" s="19"/>
      <c r="P1318" s="19"/>
      <c r="Q1318" s="47"/>
      <c r="R1318" s="19"/>
      <c r="S1318" s="19"/>
    </row>
    <row r="1319" spans="1:19" x14ac:dyDescent="0.35">
      <c r="A1319" s="26" t="s">
        <v>543</v>
      </c>
      <c r="B1319" s="26" t="s">
        <v>543</v>
      </c>
      <c r="C1319" s="26"/>
      <c r="D1319" s="26" t="s">
        <v>543</v>
      </c>
      <c r="E1319" s="26" t="str">
        <f>IFERROR(VLOOKUP(G1319,WholesaleExtract!B:J,9,FALSE),"")</f>
        <v/>
      </c>
      <c r="F1319" s="26" t="str">
        <f>IFERROR(VLOOKUP(G1319,WholesaleExtract!B:J,6,FALSE),"")</f>
        <v/>
      </c>
      <c r="G1319" s="46"/>
      <c r="H1319" s="47" t="str">
        <f>IFERROR(VLOOKUP(G1319,WholesaleExtract!B:L,11,FALSE),"")</f>
        <v/>
      </c>
      <c r="I1319" s="26" t="str">
        <f>IFERROR(VLOOKUP(G1319,WholesaleExtract!B:O,8,FALSE),"")</f>
        <v/>
      </c>
      <c r="J1319" s="26" t="str">
        <f>IFERROR(VLOOKUP(G1319,WholesaleExtract!B:O,14,FALSE),"")</f>
        <v/>
      </c>
      <c r="K1319" s="26" t="str">
        <f>IFERROR(VLOOKUP(G1319,WholesaleExtract!B:K,10,FALSE),"")</f>
        <v/>
      </c>
      <c r="L1319" s="47" t="str">
        <f>IFERROR(VLOOKUP(G1319,WholesaleExtract!B:L,11,FALSE),"")</f>
        <v/>
      </c>
      <c r="M1319" s="47" t="str">
        <f>IFERROR(VLOOKUP(G1319,WholesaleExtract!B:M,12,FALSE),"")</f>
        <v/>
      </c>
      <c r="N1319" s="27"/>
      <c r="O1319" s="19"/>
      <c r="P1319" s="19"/>
      <c r="Q1319" s="47"/>
      <c r="R1319" s="19"/>
      <c r="S1319" s="19"/>
    </row>
    <row r="1320" spans="1:19" x14ac:dyDescent="0.35">
      <c r="A1320" s="26" t="s">
        <v>543</v>
      </c>
      <c r="B1320" s="26" t="s">
        <v>543</v>
      </c>
      <c r="C1320" s="26"/>
      <c r="D1320" s="26" t="s">
        <v>543</v>
      </c>
      <c r="E1320" s="26" t="str">
        <f>IFERROR(VLOOKUP(G1320,WholesaleExtract!B:J,9,FALSE),"")</f>
        <v/>
      </c>
      <c r="F1320" s="26" t="str">
        <f>IFERROR(VLOOKUP(G1320,WholesaleExtract!B:J,6,FALSE),"")</f>
        <v/>
      </c>
      <c r="G1320" s="46"/>
      <c r="H1320" s="47" t="str">
        <f>IFERROR(VLOOKUP(G1320,WholesaleExtract!B:L,11,FALSE),"")</f>
        <v/>
      </c>
      <c r="I1320" s="26" t="str">
        <f>IFERROR(VLOOKUP(G1320,WholesaleExtract!B:O,8,FALSE),"")</f>
        <v/>
      </c>
      <c r="J1320" s="26" t="str">
        <f>IFERROR(VLOOKUP(G1320,WholesaleExtract!B:O,14,FALSE),"")</f>
        <v/>
      </c>
      <c r="K1320" s="26" t="str">
        <f>IFERROR(VLOOKUP(G1320,WholesaleExtract!B:K,10,FALSE),"")</f>
        <v/>
      </c>
      <c r="L1320" s="47" t="str">
        <f>IFERROR(VLOOKUP(G1320,WholesaleExtract!B:L,11,FALSE),"")</f>
        <v/>
      </c>
      <c r="M1320" s="47" t="str">
        <f>IFERROR(VLOOKUP(G1320,WholesaleExtract!B:M,12,FALSE),"")</f>
        <v/>
      </c>
      <c r="N1320" s="27"/>
      <c r="O1320" s="19"/>
      <c r="P1320" s="19"/>
      <c r="Q1320" s="47"/>
      <c r="R1320" s="19"/>
      <c r="S1320" s="19"/>
    </row>
    <row r="1321" spans="1:19" x14ac:dyDescent="0.35">
      <c r="A1321" s="26" t="s">
        <v>543</v>
      </c>
      <c r="B1321" s="26" t="s">
        <v>543</v>
      </c>
      <c r="C1321" s="26"/>
      <c r="D1321" s="26" t="s">
        <v>543</v>
      </c>
      <c r="E1321" s="26" t="str">
        <f>IFERROR(VLOOKUP(G1321,WholesaleExtract!B:J,9,FALSE),"")</f>
        <v/>
      </c>
      <c r="F1321" s="26" t="str">
        <f>IFERROR(VLOOKUP(G1321,WholesaleExtract!B:J,6,FALSE),"")</f>
        <v/>
      </c>
      <c r="G1321" s="46"/>
      <c r="H1321" s="47" t="str">
        <f>IFERROR(VLOOKUP(G1321,WholesaleExtract!B:L,11,FALSE),"")</f>
        <v/>
      </c>
      <c r="I1321" s="26" t="str">
        <f>IFERROR(VLOOKUP(G1321,WholesaleExtract!B:O,8,FALSE),"")</f>
        <v/>
      </c>
      <c r="J1321" s="26" t="str">
        <f>IFERROR(VLOOKUP(G1321,WholesaleExtract!B:O,14,FALSE),"")</f>
        <v/>
      </c>
      <c r="K1321" s="26" t="str">
        <f>IFERROR(VLOOKUP(G1321,WholesaleExtract!B:K,10,FALSE),"")</f>
        <v/>
      </c>
      <c r="L1321" s="47" t="str">
        <f>IFERROR(VLOOKUP(G1321,WholesaleExtract!B:L,11,FALSE),"")</f>
        <v/>
      </c>
      <c r="M1321" s="47" t="str">
        <f>IFERROR(VLOOKUP(G1321,WholesaleExtract!B:M,12,FALSE),"")</f>
        <v/>
      </c>
      <c r="N1321" s="27"/>
      <c r="O1321" s="19"/>
      <c r="P1321" s="19"/>
      <c r="Q1321" s="47"/>
      <c r="R1321" s="19"/>
      <c r="S1321" s="19"/>
    </row>
    <row r="1322" spans="1:19" x14ac:dyDescent="0.35">
      <c r="A1322" s="26" t="s">
        <v>543</v>
      </c>
      <c r="B1322" s="26" t="s">
        <v>543</v>
      </c>
      <c r="C1322" s="26"/>
      <c r="D1322" s="26" t="s">
        <v>543</v>
      </c>
      <c r="E1322" s="26" t="str">
        <f>IFERROR(VLOOKUP(G1322,WholesaleExtract!B:J,9,FALSE),"")</f>
        <v/>
      </c>
      <c r="F1322" s="26" t="str">
        <f>IFERROR(VLOOKUP(G1322,WholesaleExtract!B:J,6,FALSE),"")</f>
        <v/>
      </c>
      <c r="G1322" s="46"/>
      <c r="H1322" s="47" t="str">
        <f>IFERROR(VLOOKUP(G1322,WholesaleExtract!B:L,11,FALSE),"")</f>
        <v/>
      </c>
      <c r="I1322" s="26" t="str">
        <f>IFERROR(VLOOKUP(G1322,WholesaleExtract!B:O,8,FALSE),"")</f>
        <v/>
      </c>
      <c r="J1322" s="26" t="str">
        <f>IFERROR(VLOOKUP(G1322,WholesaleExtract!B:O,14,FALSE),"")</f>
        <v/>
      </c>
      <c r="K1322" s="26" t="str">
        <f>IFERROR(VLOOKUP(G1322,WholesaleExtract!B:K,10,FALSE),"")</f>
        <v/>
      </c>
      <c r="L1322" s="47" t="str">
        <f>IFERROR(VLOOKUP(G1322,WholesaleExtract!B:L,11,FALSE),"")</f>
        <v/>
      </c>
      <c r="M1322" s="47" t="str">
        <f>IFERROR(VLOOKUP(G1322,WholesaleExtract!B:M,12,FALSE),"")</f>
        <v/>
      </c>
      <c r="N1322" s="27"/>
      <c r="O1322" s="19"/>
      <c r="P1322" s="19"/>
      <c r="Q1322" s="47"/>
      <c r="R1322" s="19"/>
      <c r="S1322" s="19"/>
    </row>
    <row r="1323" spans="1:19" x14ac:dyDescent="0.35">
      <c r="A1323" s="26" t="s">
        <v>543</v>
      </c>
      <c r="B1323" s="26" t="s">
        <v>543</v>
      </c>
      <c r="C1323" s="26"/>
      <c r="D1323" s="26" t="s">
        <v>543</v>
      </c>
      <c r="E1323" s="26" t="str">
        <f>IFERROR(VLOOKUP(G1323,WholesaleExtract!B:J,9,FALSE),"")</f>
        <v/>
      </c>
      <c r="F1323" s="26" t="str">
        <f>IFERROR(VLOOKUP(G1323,WholesaleExtract!B:J,6,FALSE),"")</f>
        <v/>
      </c>
      <c r="G1323" s="46"/>
      <c r="H1323" s="47" t="str">
        <f>IFERROR(VLOOKUP(G1323,WholesaleExtract!B:L,11,FALSE),"")</f>
        <v/>
      </c>
      <c r="I1323" s="26" t="str">
        <f>IFERROR(VLOOKUP(G1323,WholesaleExtract!B:O,8,FALSE),"")</f>
        <v/>
      </c>
      <c r="J1323" s="26" t="str">
        <f>IFERROR(VLOOKUP(G1323,WholesaleExtract!B:O,14,FALSE),"")</f>
        <v/>
      </c>
      <c r="K1323" s="26" t="str">
        <f>IFERROR(VLOOKUP(G1323,WholesaleExtract!B:K,10,FALSE),"")</f>
        <v/>
      </c>
      <c r="L1323" s="47" t="str">
        <f>IFERROR(VLOOKUP(G1323,WholesaleExtract!B:L,11,FALSE),"")</f>
        <v/>
      </c>
      <c r="M1323" s="47" t="str">
        <f>IFERROR(VLOOKUP(G1323,WholesaleExtract!B:M,12,FALSE),"")</f>
        <v/>
      </c>
      <c r="N1323" s="27"/>
      <c r="O1323" s="19"/>
      <c r="P1323" s="19"/>
      <c r="Q1323" s="47"/>
      <c r="R1323" s="19"/>
      <c r="S1323" s="19"/>
    </row>
    <row r="1324" spans="1:19" x14ac:dyDescent="0.35">
      <c r="A1324" s="26" t="s">
        <v>543</v>
      </c>
      <c r="B1324" s="26" t="s">
        <v>543</v>
      </c>
      <c r="C1324" s="26"/>
      <c r="D1324" s="26" t="s">
        <v>543</v>
      </c>
      <c r="E1324" s="26" t="str">
        <f>IFERROR(VLOOKUP(G1324,WholesaleExtract!B:J,9,FALSE),"")</f>
        <v/>
      </c>
      <c r="F1324" s="26" t="str">
        <f>IFERROR(VLOOKUP(G1324,WholesaleExtract!B:J,6,FALSE),"")</f>
        <v/>
      </c>
      <c r="G1324" s="46"/>
      <c r="H1324" s="47" t="str">
        <f>IFERROR(VLOOKUP(G1324,WholesaleExtract!B:L,11,FALSE),"")</f>
        <v/>
      </c>
      <c r="I1324" s="26" t="str">
        <f>IFERROR(VLOOKUP(G1324,WholesaleExtract!B:O,8,FALSE),"")</f>
        <v/>
      </c>
      <c r="J1324" s="26" t="str">
        <f>IFERROR(VLOOKUP(G1324,WholesaleExtract!B:O,14,FALSE),"")</f>
        <v/>
      </c>
      <c r="K1324" s="26" t="str">
        <f>IFERROR(VLOOKUP(G1324,WholesaleExtract!B:K,10,FALSE),"")</f>
        <v/>
      </c>
      <c r="L1324" s="47" t="str">
        <f>IFERROR(VLOOKUP(G1324,WholesaleExtract!B:L,11,FALSE),"")</f>
        <v/>
      </c>
      <c r="M1324" s="47" t="str">
        <f>IFERROR(VLOOKUP(G1324,WholesaleExtract!B:M,12,FALSE),"")</f>
        <v/>
      </c>
      <c r="N1324" s="27"/>
      <c r="O1324" s="19"/>
      <c r="P1324" s="19"/>
      <c r="Q1324" s="47"/>
      <c r="R1324" s="19"/>
      <c r="S1324" s="19"/>
    </row>
    <row r="1325" spans="1:19" x14ac:dyDescent="0.35">
      <c r="A1325" s="26" t="s">
        <v>543</v>
      </c>
      <c r="B1325" s="26" t="s">
        <v>543</v>
      </c>
      <c r="C1325" s="26"/>
      <c r="D1325" s="26" t="s">
        <v>543</v>
      </c>
      <c r="E1325" s="26" t="str">
        <f>IFERROR(VLOOKUP(G1325,WholesaleExtract!B:J,9,FALSE),"")</f>
        <v/>
      </c>
      <c r="F1325" s="26" t="str">
        <f>IFERROR(VLOOKUP(G1325,WholesaleExtract!B:J,6,FALSE),"")</f>
        <v/>
      </c>
      <c r="G1325" s="46"/>
      <c r="H1325" s="47" t="str">
        <f>IFERROR(VLOOKUP(G1325,WholesaleExtract!B:L,11,FALSE),"")</f>
        <v/>
      </c>
      <c r="I1325" s="26" t="str">
        <f>IFERROR(VLOOKUP(G1325,WholesaleExtract!B:O,8,FALSE),"")</f>
        <v/>
      </c>
      <c r="J1325" s="26" t="str">
        <f>IFERROR(VLOOKUP(G1325,WholesaleExtract!B:O,14,FALSE),"")</f>
        <v/>
      </c>
      <c r="K1325" s="26" t="str">
        <f>IFERROR(VLOOKUP(G1325,WholesaleExtract!B:K,10,FALSE),"")</f>
        <v/>
      </c>
      <c r="L1325" s="47" t="str">
        <f>IFERROR(VLOOKUP(G1325,WholesaleExtract!B:L,11,FALSE),"")</f>
        <v/>
      </c>
      <c r="M1325" s="47" t="str">
        <f>IFERROR(VLOOKUP(G1325,WholesaleExtract!B:M,12,FALSE),"")</f>
        <v/>
      </c>
      <c r="N1325" s="27"/>
      <c r="O1325" s="19"/>
      <c r="P1325" s="19"/>
      <c r="Q1325" s="47"/>
      <c r="R1325" s="19"/>
      <c r="S1325" s="19"/>
    </row>
    <row r="1326" spans="1:19" x14ac:dyDescent="0.35">
      <c r="A1326" s="26" t="s">
        <v>543</v>
      </c>
      <c r="B1326" s="26" t="s">
        <v>543</v>
      </c>
      <c r="C1326" s="26"/>
      <c r="D1326" s="26" t="s">
        <v>543</v>
      </c>
      <c r="E1326" s="26" t="str">
        <f>IFERROR(VLOOKUP(G1326,WholesaleExtract!B:J,9,FALSE),"")</f>
        <v/>
      </c>
      <c r="F1326" s="26" t="str">
        <f>IFERROR(VLOOKUP(G1326,WholesaleExtract!B:J,6,FALSE),"")</f>
        <v/>
      </c>
      <c r="G1326" s="46"/>
      <c r="H1326" s="47" t="str">
        <f>IFERROR(VLOOKUP(G1326,WholesaleExtract!B:L,11,FALSE),"")</f>
        <v/>
      </c>
      <c r="I1326" s="26" t="str">
        <f>IFERROR(VLOOKUP(G1326,WholesaleExtract!B:O,8,FALSE),"")</f>
        <v/>
      </c>
      <c r="J1326" s="26" t="str">
        <f>IFERROR(VLOOKUP(G1326,WholesaleExtract!B:O,14,FALSE),"")</f>
        <v/>
      </c>
      <c r="K1326" s="26" t="str">
        <f>IFERROR(VLOOKUP(G1326,WholesaleExtract!B:K,10,FALSE),"")</f>
        <v/>
      </c>
      <c r="L1326" s="47" t="str">
        <f>IFERROR(VLOOKUP(G1326,WholesaleExtract!B:L,11,FALSE),"")</f>
        <v/>
      </c>
      <c r="M1326" s="47" t="str">
        <f>IFERROR(VLOOKUP(G1326,WholesaleExtract!B:M,12,FALSE),"")</f>
        <v/>
      </c>
      <c r="N1326" s="27"/>
      <c r="O1326" s="19"/>
      <c r="P1326" s="19"/>
      <c r="Q1326" s="47"/>
      <c r="R1326" s="19"/>
      <c r="S1326" s="19"/>
    </row>
    <row r="1327" spans="1:19" x14ac:dyDescent="0.35">
      <c r="A1327" s="26" t="s">
        <v>543</v>
      </c>
      <c r="B1327" s="26" t="s">
        <v>543</v>
      </c>
      <c r="C1327" s="26"/>
      <c r="D1327" s="26" t="s">
        <v>543</v>
      </c>
      <c r="E1327" s="26" t="str">
        <f>IFERROR(VLOOKUP(G1327,WholesaleExtract!B:J,9,FALSE),"")</f>
        <v/>
      </c>
      <c r="F1327" s="26" t="str">
        <f>IFERROR(VLOOKUP(G1327,WholesaleExtract!B:J,6,FALSE),"")</f>
        <v/>
      </c>
      <c r="G1327" s="46"/>
      <c r="H1327" s="47" t="str">
        <f>IFERROR(VLOOKUP(G1327,WholesaleExtract!B:L,11,FALSE),"")</f>
        <v/>
      </c>
      <c r="I1327" s="26" t="str">
        <f>IFERROR(VLOOKUP(G1327,WholesaleExtract!B:O,8,FALSE),"")</f>
        <v/>
      </c>
      <c r="J1327" s="26" t="str">
        <f>IFERROR(VLOOKUP(G1327,WholesaleExtract!B:O,14,FALSE),"")</f>
        <v/>
      </c>
      <c r="K1327" s="26" t="str">
        <f>IFERROR(VLOOKUP(G1327,WholesaleExtract!B:K,10,FALSE),"")</f>
        <v/>
      </c>
      <c r="L1327" s="47" t="str">
        <f>IFERROR(VLOOKUP(G1327,WholesaleExtract!B:L,11,FALSE),"")</f>
        <v/>
      </c>
      <c r="M1327" s="47" t="str">
        <f>IFERROR(VLOOKUP(G1327,WholesaleExtract!B:M,12,FALSE),"")</f>
        <v/>
      </c>
      <c r="N1327" s="27"/>
      <c r="O1327" s="19"/>
      <c r="P1327" s="19"/>
      <c r="Q1327" s="47"/>
      <c r="R1327" s="19"/>
      <c r="S1327" s="19"/>
    </row>
    <row r="1328" spans="1:19" x14ac:dyDescent="0.35">
      <c r="A1328" s="26" t="s">
        <v>543</v>
      </c>
      <c r="B1328" s="26" t="s">
        <v>543</v>
      </c>
      <c r="C1328" s="26"/>
      <c r="D1328" s="26" t="s">
        <v>543</v>
      </c>
      <c r="E1328" s="26" t="str">
        <f>IFERROR(VLOOKUP(G1328,WholesaleExtract!B:J,9,FALSE),"")</f>
        <v/>
      </c>
      <c r="F1328" s="26" t="str">
        <f>IFERROR(VLOOKUP(G1328,WholesaleExtract!B:J,6,FALSE),"")</f>
        <v/>
      </c>
      <c r="G1328" s="46"/>
      <c r="H1328" s="47" t="str">
        <f>IFERROR(VLOOKUP(G1328,WholesaleExtract!B:L,11,FALSE),"")</f>
        <v/>
      </c>
      <c r="I1328" s="26" t="str">
        <f>IFERROR(VLOOKUP(G1328,WholesaleExtract!B:O,8,FALSE),"")</f>
        <v/>
      </c>
      <c r="J1328" s="26" t="str">
        <f>IFERROR(VLOOKUP(G1328,WholesaleExtract!B:O,14,FALSE),"")</f>
        <v/>
      </c>
      <c r="K1328" s="26" t="str">
        <f>IFERROR(VLOOKUP(G1328,WholesaleExtract!B:K,10,FALSE),"")</f>
        <v/>
      </c>
      <c r="L1328" s="47" t="str">
        <f>IFERROR(VLOOKUP(G1328,WholesaleExtract!B:L,11,FALSE),"")</f>
        <v/>
      </c>
      <c r="M1328" s="47" t="str">
        <f>IFERROR(VLOOKUP(G1328,WholesaleExtract!B:M,12,FALSE),"")</f>
        <v/>
      </c>
      <c r="N1328" s="27"/>
      <c r="O1328" s="19"/>
      <c r="P1328" s="19"/>
      <c r="Q1328" s="47"/>
      <c r="R1328" s="19"/>
      <c r="S1328" s="19"/>
    </row>
    <row r="1329" spans="1:19" x14ac:dyDescent="0.35">
      <c r="A1329" s="26" t="s">
        <v>543</v>
      </c>
      <c r="B1329" s="26" t="s">
        <v>543</v>
      </c>
      <c r="C1329" s="26"/>
      <c r="D1329" s="26" t="s">
        <v>543</v>
      </c>
      <c r="E1329" s="26" t="str">
        <f>IFERROR(VLOOKUP(G1329,WholesaleExtract!B:J,9,FALSE),"")</f>
        <v/>
      </c>
      <c r="F1329" s="26" t="str">
        <f>IFERROR(VLOOKUP(G1329,WholesaleExtract!B:J,6,FALSE),"")</f>
        <v/>
      </c>
      <c r="G1329" s="46"/>
      <c r="H1329" s="47" t="str">
        <f>IFERROR(VLOOKUP(G1329,WholesaleExtract!B:L,11,FALSE),"")</f>
        <v/>
      </c>
      <c r="I1329" s="26" t="str">
        <f>IFERROR(VLOOKUP(G1329,WholesaleExtract!B:O,8,FALSE),"")</f>
        <v/>
      </c>
      <c r="J1329" s="26" t="str">
        <f>IFERROR(VLOOKUP(G1329,WholesaleExtract!B:O,14,FALSE),"")</f>
        <v/>
      </c>
      <c r="K1329" s="26" t="str">
        <f>IFERROR(VLOOKUP(G1329,WholesaleExtract!B:K,10,FALSE),"")</f>
        <v/>
      </c>
      <c r="L1329" s="47" t="str">
        <f>IFERROR(VLOOKUP(G1329,WholesaleExtract!B:L,11,FALSE),"")</f>
        <v/>
      </c>
      <c r="M1329" s="47" t="str">
        <f>IFERROR(VLOOKUP(G1329,WholesaleExtract!B:M,12,FALSE),"")</f>
        <v/>
      </c>
      <c r="N1329" s="27"/>
      <c r="O1329" s="19"/>
      <c r="P1329" s="19"/>
      <c r="Q1329" s="47"/>
      <c r="R1329" s="19"/>
      <c r="S1329" s="19"/>
    </row>
    <row r="1330" spans="1:19" x14ac:dyDescent="0.35">
      <c r="A1330" s="26" t="s">
        <v>543</v>
      </c>
      <c r="B1330" s="26" t="s">
        <v>543</v>
      </c>
      <c r="C1330" s="26"/>
      <c r="D1330" s="26" t="s">
        <v>543</v>
      </c>
      <c r="E1330" s="26" t="str">
        <f>IFERROR(VLOOKUP(G1330,WholesaleExtract!B:J,9,FALSE),"")</f>
        <v/>
      </c>
      <c r="F1330" s="26" t="str">
        <f>IFERROR(VLOOKUP(G1330,WholesaleExtract!B:J,6,FALSE),"")</f>
        <v/>
      </c>
      <c r="G1330" s="46"/>
      <c r="H1330" s="47" t="str">
        <f>IFERROR(VLOOKUP(G1330,WholesaleExtract!B:L,11,FALSE),"")</f>
        <v/>
      </c>
      <c r="I1330" s="26" t="str">
        <f>IFERROR(VLOOKUP(G1330,WholesaleExtract!B:O,8,FALSE),"")</f>
        <v/>
      </c>
      <c r="J1330" s="26" t="str">
        <f>IFERROR(VLOOKUP(G1330,WholesaleExtract!B:O,14,FALSE),"")</f>
        <v/>
      </c>
      <c r="K1330" s="26" t="str">
        <f>IFERROR(VLOOKUP(G1330,WholesaleExtract!B:K,10,FALSE),"")</f>
        <v/>
      </c>
      <c r="L1330" s="47" t="str">
        <f>IFERROR(VLOOKUP(G1330,WholesaleExtract!B:L,11,FALSE),"")</f>
        <v/>
      </c>
      <c r="M1330" s="47" t="str">
        <f>IFERROR(VLOOKUP(G1330,WholesaleExtract!B:M,12,FALSE),"")</f>
        <v/>
      </c>
      <c r="N1330" s="27"/>
      <c r="O1330" s="19"/>
      <c r="P1330" s="19"/>
      <c r="Q1330" s="47"/>
      <c r="R1330" s="19"/>
      <c r="S1330" s="19"/>
    </row>
    <row r="1331" spans="1:19" x14ac:dyDescent="0.35">
      <c r="A1331" s="26" t="s">
        <v>543</v>
      </c>
      <c r="B1331" s="26" t="s">
        <v>543</v>
      </c>
      <c r="C1331" s="26"/>
      <c r="D1331" s="26" t="s">
        <v>543</v>
      </c>
      <c r="E1331" s="26" t="str">
        <f>IFERROR(VLOOKUP(G1331,WholesaleExtract!B:J,9,FALSE),"")</f>
        <v/>
      </c>
      <c r="F1331" s="26" t="str">
        <f>IFERROR(VLOOKUP(G1331,WholesaleExtract!B:J,6,FALSE),"")</f>
        <v/>
      </c>
      <c r="G1331" s="46"/>
      <c r="H1331" s="47" t="str">
        <f>IFERROR(VLOOKUP(G1331,WholesaleExtract!B:L,11,FALSE),"")</f>
        <v/>
      </c>
      <c r="I1331" s="26" t="str">
        <f>IFERROR(VLOOKUP(G1331,WholesaleExtract!B:O,8,FALSE),"")</f>
        <v/>
      </c>
      <c r="J1331" s="26" t="str">
        <f>IFERROR(VLOOKUP(G1331,WholesaleExtract!B:O,14,FALSE),"")</f>
        <v/>
      </c>
      <c r="K1331" s="26" t="str">
        <f>IFERROR(VLOOKUP(G1331,WholesaleExtract!B:K,10,FALSE),"")</f>
        <v/>
      </c>
      <c r="L1331" s="47" t="str">
        <f>IFERROR(VLOOKUP(G1331,WholesaleExtract!B:L,11,FALSE),"")</f>
        <v/>
      </c>
      <c r="M1331" s="47" t="str">
        <f>IFERROR(VLOOKUP(G1331,WholesaleExtract!B:M,12,FALSE),"")</f>
        <v/>
      </c>
      <c r="N1331" s="27"/>
      <c r="O1331" s="19"/>
      <c r="P1331" s="19"/>
      <c r="Q1331" s="47"/>
      <c r="R1331" s="19"/>
      <c r="S1331" s="19"/>
    </row>
    <row r="1332" spans="1:19" x14ac:dyDescent="0.35">
      <c r="A1332" s="26" t="s">
        <v>543</v>
      </c>
      <c r="B1332" s="26" t="s">
        <v>543</v>
      </c>
      <c r="C1332" s="26"/>
      <c r="D1332" s="26" t="s">
        <v>543</v>
      </c>
      <c r="E1332" s="26" t="str">
        <f>IFERROR(VLOOKUP(G1332,WholesaleExtract!B:J,9,FALSE),"")</f>
        <v/>
      </c>
      <c r="F1332" s="26" t="str">
        <f>IFERROR(VLOOKUP(G1332,WholesaleExtract!B:J,6,FALSE),"")</f>
        <v/>
      </c>
      <c r="G1332" s="46"/>
      <c r="H1332" s="47" t="str">
        <f>IFERROR(VLOOKUP(G1332,WholesaleExtract!B:L,11,FALSE),"")</f>
        <v/>
      </c>
      <c r="I1332" s="26" t="str">
        <f>IFERROR(VLOOKUP(G1332,WholesaleExtract!B:O,8,FALSE),"")</f>
        <v/>
      </c>
      <c r="J1332" s="26" t="str">
        <f>IFERROR(VLOOKUP(G1332,WholesaleExtract!B:O,14,FALSE),"")</f>
        <v/>
      </c>
      <c r="K1332" s="26" t="str">
        <f>IFERROR(VLOOKUP(G1332,WholesaleExtract!B:K,10,FALSE),"")</f>
        <v/>
      </c>
      <c r="L1332" s="47" t="str">
        <f>IFERROR(VLOOKUP(G1332,WholesaleExtract!B:L,11,FALSE),"")</f>
        <v/>
      </c>
      <c r="M1332" s="47" t="str">
        <f>IFERROR(VLOOKUP(G1332,WholesaleExtract!B:M,12,FALSE),"")</f>
        <v/>
      </c>
      <c r="N1332" s="27"/>
      <c r="O1332" s="19"/>
      <c r="P1332" s="19"/>
      <c r="Q1332" s="47"/>
      <c r="R1332" s="19"/>
      <c r="S1332" s="19"/>
    </row>
    <row r="1333" spans="1:19" x14ac:dyDescent="0.35">
      <c r="A1333" s="26" t="s">
        <v>543</v>
      </c>
      <c r="B1333" s="26" t="s">
        <v>543</v>
      </c>
      <c r="C1333" s="26"/>
      <c r="D1333" s="26" t="s">
        <v>543</v>
      </c>
      <c r="E1333" s="26" t="str">
        <f>IFERROR(VLOOKUP(G1333,WholesaleExtract!B:J,9,FALSE),"")</f>
        <v/>
      </c>
      <c r="F1333" s="26" t="str">
        <f>IFERROR(VLOOKUP(G1333,WholesaleExtract!B:J,6,FALSE),"")</f>
        <v/>
      </c>
      <c r="G1333" s="46"/>
      <c r="H1333" s="47" t="str">
        <f>IFERROR(VLOOKUP(G1333,WholesaleExtract!B:L,11,FALSE),"")</f>
        <v/>
      </c>
      <c r="I1333" s="26" t="str">
        <f>IFERROR(VLOOKUP(G1333,WholesaleExtract!B:O,8,FALSE),"")</f>
        <v/>
      </c>
      <c r="J1333" s="26" t="str">
        <f>IFERROR(VLOOKUP(G1333,WholesaleExtract!B:O,14,FALSE),"")</f>
        <v/>
      </c>
      <c r="K1333" s="26" t="str">
        <f>IFERROR(VLOOKUP(G1333,WholesaleExtract!B:K,10,FALSE),"")</f>
        <v/>
      </c>
      <c r="L1333" s="47" t="str">
        <f>IFERROR(VLOOKUP(G1333,WholesaleExtract!B:L,11,FALSE),"")</f>
        <v/>
      </c>
      <c r="M1333" s="47" t="str">
        <f>IFERROR(VLOOKUP(G1333,WholesaleExtract!B:M,12,FALSE),"")</f>
        <v/>
      </c>
      <c r="N1333" s="27"/>
      <c r="O1333" s="19"/>
      <c r="P1333" s="19"/>
      <c r="Q1333" s="47"/>
      <c r="R1333" s="19"/>
      <c r="S1333" s="19"/>
    </row>
    <row r="1334" spans="1:19" x14ac:dyDescent="0.35">
      <c r="A1334" s="26" t="s">
        <v>543</v>
      </c>
      <c r="B1334" s="26" t="s">
        <v>543</v>
      </c>
      <c r="C1334" s="26"/>
      <c r="D1334" s="26" t="s">
        <v>543</v>
      </c>
      <c r="E1334" s="26" t="str">
        <f>IFERROR(VLOOKUP(G1334,WholesaleExtract!B:J,9,FALSE),"")</f>
        <v/>
      </c>
      <c r="F1334" s="26" t="str">
        <f>IFERROR(VLOOKUP(G1334,WholesaleExtract!B:J,6,FALSE),"")</f>
        <v/>
      </c>
      <c r="G1334" s="46"/>
      <c r="H1334" s="47" t="str">
        <f>IFERROR(VLOOKUP(G1334,WholesaleExtract!B:L,11,FALSE),"")</f>
        <v/>
      </c>
      <c r="I1334" s="26" t="str">
        <f>IFERROR(VLOOKUP(G1334,WholesaleExtract!B:O,8,FALSE),"")</f>
        <v/>
      </c>
      <c r="J1334" s="26" t="str">
        <f>IFERROR(VLOOKUP(G1334,WholesaleExtract!B:O,14,FALSE),"")</f>
        <v/>
      </c>
      <c r="K1334" s="26" t="str">
        <f>IFERROR(VLOOKUP(G1334,WholesaleExtract!B:K,10,FALSE),"")</f>
        <v/>
      </c>
      <c r="L1334" s="47" t="str">
        <f>IFERROR(VLOOKUP(G1334,WholesaleExtract!B:L,11,FALSE),"")</f>
        <v/>
      </c>
      <c r="M1334" s="47" t="str">
        <f>IFERROR(VLOOKUP(G1334,WholesaleExtract!B:M,12,FALSE),"")</f>
        <v/>
      </c>
      <c r="N1334" s="27"/>
      <c r="O1334" s="19"/>
      <c r="P1334" s="19"/>
      <c r="Q1334" s="47"/>
      <c r="R1334" s="19"/>
      <c r="S1334" s="19"/>
    </row>
    <row r="1335" spans="1:19" x14ac:dyDescent="0.35">
      <c r="A1335" s="26" t="s">
        <v>543</v>
      </c>
      <c r="B1335" s="26" t="s">
        <v>543</v>
      </c>
      <c r="C1335" s="26"/>
      <c r="D1335" s="26" t="s">
        <v>543</v>
      </c>
      <c r="E1335" s="26" t="str">
        <f>IFERROR(VLOOKUP(G1335,WholesaleExtract!B:J,9,FALSE),"")</f>
        <v/>
      </c>
      <c r="F1335" s="26" t="str">
        <f>IFERROR(VLOOKUP(G1335,WholesaleExtract!B:J,6,FALSE),"")</f>
        <v/>
      </c>
      <c r="G1335" s="46"/>
      <c r="H1335" s="47" t="str">
        <f>IFERROR(VLOOKUP(G1335,WholesaleExtract!B:L,11,FALSE),"")</f>
        <v/>
      </c>
      <c r="I1335" s="26" t="str">
        <f>IFERROR(VLOOKUP(G1335,WholesaleExtract!B:O,8,FALSE),"")</f>
        <v/>
      </c>
      <c r="J1335" s="26" t="str">
        <f>IFERROR(VLOOKUP(G1335,WholesaleExtract!B:O,14,FALSE),"")</f>
        <v/>
      </c>
      <c r="K1335" s="26" t="str">
        <f>IFERROR(VLOOKUP(G1335,WholesaleExtract!B:K,10,FALSE),"")</f>
        <v/>
      </c>
      <c r="L1335" s="47" t="str">
        <f>IFERROR(VLOOKUP(G1335,WholesaleExtract!B:L,11,FALSE),"")</f>
        <v/>
      </c>
      <c r="M1335" s="47" t="str">
        <f>IFERROR(VLOOKUP(G1335,WholesaleExtract!B:M,12,FALSE),"")</f>
        <v/>
      </c>
      <c r="N1335" s="27"/>
      <c r="O1335" s="19"/>
      <c r="P1335" s="19"/>
      <c r="Q1335" s="47"/>
      <c r="R1335" s="19"/>
      <c r="S1335" s="19"/>
    </row>
    <row r="1336" spans="1:19" x14ac:dyDescent="0.35">
      <c r="A1336" s="26" t="s">
        <v>543</v>
      </c>
      <c r="B1336" s="26" t="s">
        <v>543</v>
      </c>
      <c r="C1336" s="26"/>
      <c r="D1336" s="26" t="s">
        <v>543</v>
      </c>
      <c r="E1336" s="26" t="str">
        <f>IFERROR(VLOOKUP(G1336,WholesaleExtract!B:J,9,FALSE),"")</f>
        <v/>
      </c>
      <c r="F1336" s="26" t="str">
        <f>IFERROR(VLOOKUP(G1336,WholesaleExtract!B:J,6,FALSE),"")</f>
        <v/>
      </c>
      <c r="G1336" s="46"/>
      <c r="H1336" s="47" t="str">
        <f>IFERROR(VLOOKUP(G1336,WholesaleExtract!B:L,11,FALSE),"")</f>
        <v/>
      </c>
      <c r="I1336" s="26" t="str">
        <f>IFERROR(VLOOKUP(G1336,WholesaleExtract!B:O,8,FALSE),"")</f>
        <v/>
      </c>
      <c r="J1336" s="26" t="str">
        <f>IFERROR(VLOOKUP(G1336,WholesaleExtract!B:O,14,FALSE),"")</f>
        <v/>
      </c>
      <c r="K1336" s="26" t="str">
        <f>IFERROR(VLOOKUP(G1336,WholesaleExtract!B:K,10,FALSE),"")</f>
        <v/>
      </c>
      <c r="L1336" s="47" t="str">
        <f>IFERROR(VLOOKUP(G1336,WholesaleExtract!B:L,11,FALSE),"")</f>
        <v/>
      </c>
      <c r="M1336" s="47" t="str">
        <f>IFERROR(VLOOKUP(G1336,WholesaleExtract!B:M,12,FALSE),"")</f>
        <v/>
      </c>
      <c r="N1336" s="27"/>
      <c r="O1336" s="19"/>
      <c r="P1336" s="19"/>
      <c r="Q1336" s="47"/>
      <c r="R1336" s="19"/>
      <c r="S1336" s="19"/>
    </row>
    <row r="1337" spans="1:19" x14ac:dyDescent="0.35">
      <c r="A1337" s="26" t="s">
        <v>543</v>
      </c>
      <c r="B1337" s="26" t="s">
        <v>543</v>
      </c>
      <c r="C1337" s="26"/>
      <c r="D1337" s="26" t="s">
        <v>543</v>
      </c>
      <c r="E1337" s="26" t="str">
        <f>IFERROR(VLOOKUP(G1337,WholesaleExtract!B:J,9,FALSE),"")</f>
        <v/>
      </c>
      <c r="F1337" s="26" t="str">
        <f>IFERROR(VLOOKUP(G1337,WholesaleExtract!B:J,6,FALSE),"")</f>
        <v/>
      </c>
      <c r="G1337" s="46"/>
      <c r="H1337" s="47" t="str">
        <f>IFERROR(VLOOKUP(G1337,WholesaleExtract!B:L,11,FALSE),"")</f>
        <v/>
      </c>
      <c r="I1337" s="26" t="str">
        <f>IFERROR(VLOOKUP(G1337,WholesaleExtract!B:O,8,FALSE),"")</f>
        <v/>
      </c>
      <c r="J1337" s="26" t="str">
        <f>IFERROR(VLOOKUP(G1337,WholesaleExtract!B:O,14,FALSE),"")</f>
        <v/>
      </c>
      <c r="K1337" s="26" t="str">
        <f>IFERROR(VLOOKUP(G1337,WholesaleExtract!B:K,10,FALSE),"")</f>
        <v/>
      </c>
      <c r="L1337" s="47" t="str">
        <f>IFERROR(VLOOKUP(G1337,WholesaleExtract!B:L,11,FALSE),"")</f>
        <v/>
      </c>
      <c r="M1337" s="47" t="str">
        <f>IFERROR(VLOOKUP(G1337,WholesaleExtract!B:M,12,FALSE),"")</f>
        <v/>
      </c>
      <c r="N1337" s="27"/>
      <c r="O1337" s="19"/>
      <c r="P1337" s="19"/>
      <c r="Q1337" s="47"/>
      <c r="R1337" s="19"/>
      <c r="S1337" s="19"/>
    </row>
    <row r="1338" spans="1:19" x14ac:dyDescent="0.35">
      <c r="A1338" s="26" t="s">
        <v>543</v>
      </c>
      <c r="B1338" s="26" t="s">
        <v>543</v>
      </c>
      <c r="C1338" s="26"/>
      <c r="D1338" s="26" t="s">
        <v>543</v>
      </c>
      <c r="E1338" s="26" t="str">
        <f>IFERROR(VLOOKUP(G1338,WholesaleExtract!B:J,9,FALSE),"")</f>
        <v/>
      </c>
      <c r="F1338" s="26" t="str">
        <f>IFERROR(VLOOKUP(G1338,WholesaleExtract!B:J,6,FALSE),"")</f>
        <v/>
      </c>
      <c r="G1338" s="46"/>
      <c r="H1338" s="47" t="str">
        <f>IFERROR(VLOOKUP(G1338,WholesaleExtract!B:L,11,FALSE),"")</f>
        <v/>
      </c>
      <c r="I1338" s="26" t="str">
        <f>IFERROR(VLOOKUP(G1338,WholesaleExtract!B:O,8,FALSE),"")</f>
        <v/>
      </c>
      <c r="J1338" s="26" t="str">
        <f>IFERROR(VLOOKUP(G1338,WholesaleExtract!B:O,14,FALSE),"")</f>
        <v/>
      </c>
      <c r="K1338" s="26" t="str">
        <f>IFERROR(VLOOKUP(G1338,WholesaleExtract!B:K,10,FALSE),"")</f>
        <v/>
      </c>
      <c r="L1338" s="47" t="str">
        <f>IFERROR(VLOOKUP(G1338,WholesaleExtract!B:L,11,FALSE),"")</f>
        <v/>
      </c>
      <c r="M1338" s="47" t="str">
        <f>IFERROR(VLOOKUP(G1338,WholesaleExtract!B:M,12,FALSE),"")</f>
        <v/>
      </c>
      <c r="N1338" s="27"/>
      <c r="O1338" s="19"/>
      <c r="P1338" s="19"/>
      <c r="Q1338" s="47"/>
      <c r="R1338" s="19"/>
      <c r="S1338" s="19"/>
    </row>
    <row r="1339" spans="1:19" x14ac:dyDescent="0.35">
      <c r="A1339" s="26" t="s">
        <v>543</v>
      </c>
      <c r="B1339" s="26" t="s">
        <v>543</v>
      </c>
      <c r="C1339" s="26"/>
      <c r="D1339" s="26" t="s">
        <v>543</v>
      </c>
      <c r="E1339" s="26" t="str">
        <f>IFERROR(VLOOKUP(G1339,WholesaleExtract!B:J,9,FALSE),"")</f>
        <v/>
      </c>
      <c r="F1339" s="26" t="str">
        <f>IFERROR(VLOOKUP(G1339,WholesaleExtract!B:J,6,FALSE),"")</f>
        <v/>
      </c>
      <c r="G1339" s="46"/>
      <c r="H1339" s="47" t="str">
        <f>IFERROR(VLOOKUP(G1339,WholesaleExtract!B:L,11,FALSE),"")</f>
        <v/>
      </c>
      <c r="I1339" s="26" t="str">
        <f>IFERROR(VLOOKUP(G1339,WholesaleExtract!B:O,8,FALSE),"")</f>
        <v/>
      </c>
      <c r="J1339" s="26" t="str">
        <f>IFERROR(VLOOKUP(G1339,WholesaleExtract!B:O,14,FALSE),"")</f>
        <v/>
      </c>
      <c r="K1339" s="26" t="str">
        <f>IFERROR(VLOOKUP(G1339,WholesaleExtract!B:K,10,FALSE),"")</f>
        <v/>
      </c>
      <c r="L1339" s="47" t="str">
        <f>IFERROR(VLOOKUP(G1339,WholesaleExtract!B:L,11,FALSE),"")</f>
        <v/>
      </c>
      <c r="M1339" s="47" t="str">
        <f>IFERROR(VLOOKUP(G1339,WholesaleExtract!B:M,12,FALSE),"")</f>
        <v/>
      </c>
      <c r="N1339" s="27"/>
      <c r="O1339" s="19"/>
      <c r="P1339" s="19"/>
      <c r="Q1339" s="47"/>
      <c r="R1339" s="19"/>
      <c r="S1339" s="19"/>
    </row>
    <row r="1340" spans="1:19" x14ac:dyDescent="0.35">
      <c r="A1340" s="26" t="s">
        <v>543</v>
      </c>
      <c r="B1340" s="26" t="s">
        <v>543</v>
      </c>
      <c r="C1340" s="26"/>
      <c r="D1340" s="26" t="s">
        <v>543</v>
      </c>
      <c r="E1340" s="26" t="str">
        <f>IFERROR(VLOOKUP(G1340,WholesaleExtract!B:J,9,FALSE),"")</f>
        <v/>
      </c>
      <c r="F1340" s="26" t="str">
        <f>IFERROR(VLOOKUP(G1340,WholesaleExtract!B:J,6,FALSE),"")</f>
        <v/>
      </c>
      <c r="G1340" s="46"/>
      <c r="H1340" s="47" t="str">
        <f>IFERROR(VLOOKUP(G1340,WholesaleExtract!B:L,11,FALSE),"")</f>
        <v/>
      </c>
      <c r="I1340" s="26" t="str">
        <f>IFERROR(VLOOKUP(G1340,WholesaleExtract!B:O,8,FALSE),"")</f>
        <v/>
      </c>
      <c r="J1340" s="26" t="str">
        <f>IFERROR(VLOOKUP(G1340,WholesaleExtract!B:O,14,FALSE),"")</f>
        <v/>
      </c>
      <c r="K1340" s="26" t="str">
        <f>IFERROR(VLOOKUP(G1340,WholesaleExtract!B:K,10,FALSE),"")</f>
        <v/>
      </c>
      <c r="L1340" s="47" t="str">
        <f>IFERROR(VLOOKUP(G1340,WholesaleExtract!B:L,11,FALSE),"")</f>
        <v/>
      </c>
      <c r="M1340" s="47" t="str">
        <f>IFERROR(VLOOKUP(G1340,WholesaleExtract!B:M,12,FALSE),"")</f>
        <v/>
      </c>
      <c r="N1340" s="27"/>
      <c r="O1340" s="19"/>
      <c r="P1340" s="19"/>
      <c r="Q1340" s="47"/>
      <c r="R1340" s="19"/>
      <c r="S1340" s="19"/>
    </row>
    <row r="1341" spans="1:19" x14ac:dyDescent="0.35">
      <c r="A1341" s="26" t="s">
        <v>543</v>
      </c>
      <c r="B1341" s="26" t="s">
        <v>543</v>
      </c>
      <c r="C1341" s="26"/>
      <c r="D1341" s="26" t="s">
        <v>543</v>
      </c>
      <c r="E1341" s="26" t="str">
        <f>IFERROR(VLOOKUP(G1341,WholesaleExtract!B:J,9,FALSE),"")</f>
        <v/>
      </c>
      <c r="F1341" s="26" t="str">
        <f>IFERROR(VLOOKUP(G1341,WholesaleExtract!B:J,6,FALSE),"")</f>
        <v/>
      </c>
      <c r="G1341" s="46"/>
      <c r="H1341" s="47" t="str">
        <f>IFERROR(VLOOKUP(G1341,WholesaleExtract!B:L,11,FALSE),"")</f>
        <v/>
      </c>
      <c r="I1341" s="26" t="str">
        <f>IFERROR(VLOOKUP(G1341,WholesaleExtract!B:O,8,FALSE),"")</f>
        <v/>
      </c>
      <c r="J1341" s="26" t="str">
        <f>IFERROR(VLOOKUP(G1341,WholesaleExtract!B:O,14,FALSE),"")</f>
        <v/>
      </c>
      <c r="K1341" s="26" t="str">
        <f>IFERROR(VLOOKUP(G1341,WholesaleExtract!B:K,10,FALSE),"")</f>
        <v/>
      </c>
      <c r="L1341" s="47" t="str">
        <f>IFERROR(VLOOKUP(G1341,WholesaleExtract!B:L,11,FALSE),"")</f>
        <v/>
      </c>
      <c r="M1341" s="47" t="str">
        <f>IFERROR(VLOOKUP(G1341,WholesaleExtract!B:M,12,FALSE),"")</f>
        <v/>
      </c>
      <c r="N1341" s="27"/>
      <c r="O1341" s="19"/>
      <c r="P1341" s="19"/>
      <c r="Q1341" s="47"/>
      <c r="R1341" s="19"/>
      <c r="S1341" s="19"/>
    </row>
    <row r="1342" spans="1:19" x14ac:dyDescent="0.35">
      <c r="A1342" s="26" t="s">
        <v>543</v>
      </c>
      <c r="B1342" s="26" t="s">
        <v>543</v>
      </c>
      <c r="C1342" s="26"/>
      <c r="D1342" s="26" t="s">
        <v>543</v>
      </c>
      <c r="E1342" s="26" t="str">
        <f>IFERROR(VLOOKUP(G1342,WholesaleExtract!B:J,9,FALSE),"")</f>
        <v/>
      </c>
      <c r="F1342" s="26" t="str">
        <f>IFERROR(VLOOKUP(G1342,WholesaleExtract!B:J,6,FALSE),"")</f>
        <v/>
      </c>
      <c r="G1342" s="46"/>
      <c r="H1342" s="47" t="str">
        <f>IFERROR(VLOOKUP(G1342,WholesaleExtract!B:L,11,FALSE),"")</f>
        <v/>
      </c>
      <c r="I1342" s="26" t="str">
        <f>IFERROR(VLOOKUP(G1342,WholesaleExtract!B:O,8,FALSE),"")</f>
        <v/>
      </c>
      <c r="J1342" s="26" t="str">
        <f>IFERROR(VLOOKUP(G1342,WholesaleExtract!B:O,14,FALSE),"")</f>
        <v/>
      </c>
      <c r="K1342" s="26" t="str">
        <f>IFERROR(VLOOKUP(G1342,WholesaleExtract!B:K,10,FALSE),"")</f>
        <v/>
      </c>
      <c r="L1342" s="47" t="str">
        <f>IFERROR(VLOOKUP(G1342,WholesaleExtract!B:L,11,FALSE),"")</f>
        <v/>
      </c>
      <c r="M1342" s="47" t="str">
        <f>IFERROR(VLOOKUP(G1342,WholesaleExtract!B:M,12,FALSE),"")</f>
        <v/>
      </c>
      <c r="N1342" s="27"/>
      <c r="O1342" s="19"/>
      <c r="P1342" s="19"/>
      <c r="Q1342" s="47"/>
      <c r="R1342" s="19"/>
      <c r="S1342" s="19"/>
    </row>
    <row r="1343" spans="1:19" x14ac:dyDescent="0.35">
      <c r="A1343" s="26" t="s">
        <v>543</v>
      </c>
      <c r="B1343" s="26" t="s">
        <v>543</v>
      </c>
      <c r="C1343" s="26"/>
      <c r="D1343" s="26" t="s">
        <v>543</v>
      </c>
      <c r="E1343" s="26" t="str">
        <f>IFERROR(VLOOKUP(G1343,WholesaleExtract!B:J,9,FALSE),"")</f>
        <v/>
      </c>
      <c r="F1343" s="26" t="str">
        <f>IFERROR(VLOOKUP(G1343,WholesaleExtract!B:J,6,FALSE),"")</f>
        <v/>
      </c>
      <c r="G1343" s="46"/>
      <c r="H1343" s="47" t="str">
        <f>IFERROR(VLOOKUP(G1343,WholesaleExtract!B:L,11,FALSE),"")</f>
        <v/>
      </c>
      <c r="I1343" s="26" t="str">
        <f>IFERROR(VLOOKUP(G1343,WholesaleExtract!B:O,8,FALSE),"")</f>
        <v/>
      </c>
      <c r="J1343" s="26" t="str">
        <f>IFERROR(VLOOKUP(G1343,WholesaleExtract!B:O,14,FALSE),"")</f>
        <v/>
      </c>
      <c r="K1343" s="26" t="str">
        <f>IFERROR(VLOOKUP(G1343,WholesaleExtract!B:K,10,FALSE),"")</f>
        <v/>
      </c>
      <c r="L1343" s="47" t="str">
        <f>IFERROR(VLOOKUP(G1343,WholesaleExtract!B:L,11,FALSE),"")</f>
        <v/>
      </c>
      <c r="M1343" s="47" t="str">
        <f>IFERROR(VLOOKUP(G1343,WholesaleExtract!B:M,12,FALSE),"")</f>
        <v/>
      </c>
      <c r="N1343" s="27"/>
      <c r="O1343" s="19"/>
      <c r="P1343" s="19"/>
      <c r="Q1343" s="47"/>
      <c r="R1343" s="19"/>
      <c r="S1343" s="19"/>
    </row>
    <row r="1344" spans="1:19" x14ac:dyDescent="0.35">
      <c r="A1344" s="26" t="s">
        <v>543</v>
      </c>
      <c r="B1344" s="26" t="s">
        <v>543</v>
      </c>
      <c r="C1344" s="26"/>
      <c r="D1344" s="26" t="s">
        <v>543</v>
      </c>
      <c r="E1344" s="26" t="str">
        <f>IFERROR(VLOOKUP(G1344,WholesaleExtract!B:J,9,FALSE),"")</f>
        <v/>
      </c>
      <c r="F1344" s="26" t="str">
        <f>IFERROR(VLOOKUP(G1344,WholesaleExtract!B:J,6,FALSE),"")</f>
        <v/>
      </c>
      <c r="G1344" s="46"/>
      <c r="H1344" s="47" t="str">
        <f>IFERROR(VLOOKUP(G1344,WholesaleExtract!B:L,11,FALSE),"")</f>
        <v/>
      </c>
      <c r="I1344" s="26" t="str">
        <f>IFERROR(VLOOKUP(G1344,WholesaleExtract!B:O,8,FALSE),"")</f>
        <v/>
      </c>
      <c r="J1344" s="26" t="str">
        <f>IFERROR(VLOOKUP(G1344,WholesaleExtract!B:O,14,FALSE),"")</f>
        <v/>
      </c>
      <c r="K1344" s="26" t="str">
        <f>IFERROR(VLOOKUP(G1344,WholesaleExtract!B:K,10,FALSE),"")</f>
        <v/>
      </c>
      <c r="L1344" s="47" t="str">
        <f>IFERROR(VLOOKUP(G1344,WholesaleExtract!B:L,11,FALSE),"")</f>
        <v/>
      </c>
      <c r="M1344" s="47" t="str">
        <f>IFERROR(VLOOKUP(G1344,WholesaleExtract!B:M,12,FALSE),"")</f>
        <v/>
      </c>
      <c r="N1344" s="27"/>
      <c r="O1344" s="19"/>
      <c r="P1344" s="19"/>
      <c r="Q1344" s="47"/>
      <c r="R1344" s="19"/>
      <c r="S1344" s="19"/>
    </row>
    <row r="1345" spans="1:19" x14ac:dyDescent="0.35">
      <c r="A1345" s="26" t="s">
        <v>543</v>
      </c>
      <c r="B1345" s="26" t="s">
        <v>543</v>
      </c>
      <c r="C1345" s="26"/>
      <c r="D1345" s="26" t="s">
        <v>543</v>
      </c>
      <c r="E1345" s="26" t="str">
        <f>IFERROR(VLOOKUP(G1345,WholesaleExtract!B:J,9,FALSE),"")</f>
        <v/>
      </c>
      <c r="F1345" s="26" t="str">
        <f>IFERROR(VLOOKUP(G1345,WholesaleExtract!B:J,6,FALSE),"")</f>
        <v/>
      </c>
      <c r="G1345" s="46"/>
      <c r="H1345" s="47" t="str">
        <f>IFERROR(VLOOKUP(G1345,WholesaleExtract!B:L,11,FALSE),"")</f>
        <v/>
      </c>
      <c r="I1345" s="26" t="str">
        <f>IFERROR(VLOOKUP(G1345,WholesaleExtract!B:O,8,FALSE),"")</f>
        <v/>
      </c>
      <c r="J1345" s="26" t="str">
        <f>IFERROR(VLOOKUP(G1345,WholesaleExtract!B:O,14,FALSE),"")</f>
        <v/>
      </c>
      <c r="K1345" s="26" t="str">
        <f>IFERROR(VLOOKUP(G1345,WholesaleExtract!B:K,10,FALSE),"")</f>
        <v/>
      </c>
      <c r="L1345" s="47" t="str">
        <f>IFERROR(VLOOKUP(G1345,WholesaleExtract!B:L,11,FALSE),"")</f>
        <v/>
      </c>
      <c r="M1345" s="47" t="str">
        <f>IFERROR(VLOOKUP(G1345,WholesaleExtract!B:M,12,FALSE),"")</f>
        <v/>
      </c>
      <c r="N1345" s="27"/>
      <c r="O1345" s="19"/>
      <c r="P1345" s="19"/>
      <c r="Q1345" s="47"/>
      <c r="R1345" s="19"/>
      <c r="S1345" s="19"/>
    </row>
    <row r="1346" spans="1:19" x14ac:dyDescent="0.35">
      <c r="A1346" s="26" t="s">
        <v>543</v>
      </c>
      <c r="B1346" s="26" t="s">
        <v>543</v>
      </c>
      <c r="C1346" s="26"/>
      <c r="D1346" s="26" t="s">
        <v>543</v>
      </c>
      <c r="E1346" s="26" t="str">
        <f>IFERROR(VLOOKUP(G1346,WholesaleExtract!B:J,9,FALSE),"")</f>
        <v/>
      </c>
      <c r="F1346" s="26" t="str">
        <f>IFERROR(VLOOKUP(G1346,WholesaleExtract!B:J,6,FALSE),"")</f>
        <v/>
      </c>
      <c r="G1346" s="46"/>
      <c r="H1346" s="47" t="str">
        <f>IFERROR(VLOOKUP(G1346,WholesaleExtract!B:L,11,FALSE),"")</f>
        <v/>
      </c>
      <c r="I1346" s="26" t="str">
        <f>IFERROR(VLOOKUP(G1346,WholesaleExtract!B:O,8,FALSE),"")</f>
        <v/>
      </c>
      <c r="J1346" s="26" t="str">
        <f>IFERROR(VLOOKUP(G1346,WholesaleExtract!B:O,14,FALSE),"")</f>
        <v/>
      </c>
      <c r="K1346" s="26" t="str">
        <f>IFERROR(VLOOKUP(G1346,WholesaleExtract!B:K,10,FALSE),"")</f>
        <v/>
      </c>
      <c r="L1346" s="47" t="str">
        <f>IFERROR(VLOOKUP(G1346,WholesaleExtract!B:L,11,FALSE),"")</f>
        <v/>
      </c>
      <c r="M1346" s="47" t="str">
        <f>IFERROR(VLOOKUP(G1346,WholesaleExtract!B:M,12,FALSE),"")</f>
        <v/>
      </c>
      <c r="N1346" s="27"/>
      <c r="O1346" s="19"/>
      <c r="P1346" s="19"/>
      <c r="Q1346" s="47"/>
      <c r="R1346" s="19"/>
      <c r="S1346" s="19"/>
    </row>
    <row r="1347" spans="1:19" x14ac:dyDescent="0.35">
      <c r="A1347" s="26" t="s">
        <v>543</v>
      </c>
      <c r="B1347" s="26" t="s">
        <v>543</v>
      </c>
      <c r="C1347" s="26"/>
      <c r="D1347" s="26" t="s">
        <v>543</v>
      </c>
      <c r="E1347" s="26" t="str">
        <f>IFERROR(VLOOKUP(G1347,WholesaleExtract!B:J,9,FALSE),"")</f>
        <v/>
      </c>
      <c r="F1347" s="26" t="str">
        <f>IFERROR(VLOOKUP(G1347,WholesaleExtract!B:J,6,FALSE),"")</f>
        <v/>
      </c>
      <c r="G1347" s="46"/>
      <c r="H1347" s="47" t="str">
        <f>IFERROR(VLOOKUP(G1347,WholesaleExtract!B:L,11,FALSE),"")</f>
        <v/>
      </c>
      <c r="I1347" s="26" t="str">
        <f>IFERROR(VLOOKUP(G1347,WholesaleExtract!B:O,8,FALSE),"")</f>
        <v/>
      </c>
      <c r="J1347" s="26" t="str">
        <f>IFERROR(VLOOKUP(G1347,WholesaleExtract!B:O,14,FALSE),"")</f>
        <v/>
      </c>
      <c r="K1347" s="26" t="str">
        <f>IFERROR(VLOOKUP(G1347,WholesaleExtract!B:K,10,FALSE),"")</f>
        <v/>
      </c>
      <c r="L1347" s="47" t="str">
        <f>IFERROR(VLOOKUP(G1347,WholesaleExtract!B:L,11,FALSE),"")</f>
        <v/>
      </c>
      <c r="M1347" s="47" t="str">
        <f>IFERROR(VLOOKUP(G1347,WholesaleExtract!B:M,12,FALSE),"")</f>
        <v/>
      </c>
      <c r="N1347" s="27"/>
      <c r="O1347" s="19"/>
      <c r="P1347" s="19"/>
      <c r="Q1347" s="47"/>
      <c r="R1347" s="19"/>
      <c r="S1347" s="19"/>
    </row>
    <row r="1348" spans="1:19" x14ac:dyDescent="0.35">
      <c r="A1348" s="26" t="s">
        <v>543</v>
      </c>
      <c r="B1348" s="26" t="s">
        <v>543</v>
      </c>
      <c r="C1348" s="26"/>
      <c r="D1348" s="26" t="s">
        <v>543</v>
      </c>
      <c r="E1348" s="26" t="str">
        <f>IFERROR(VLOOKUP(G1348,WholesaleExtract!B:J,9,FALSE),"")</f>
        <v/>
      </c>
      <c r="F1348" s="26" t="str">
        <f>IFERROR(VLOOKUP(G1348,WholesaleExtract!B:J,6,FALSE),"")</f>
        <v/>
      </c>
      <c r="G1348" s="46"/>
      <c r="H1348" s="47" t="str">
        <f>IFERROR(VLOOKUP(G1348,WholesaleExtract!B:L,11,FALSE),"")</f>
        <v/>
      </c>
      <c r="I1348" s="26" t="str">
        <f>IFERROR(VLOOKUP(G1348,WholesaleExtract!B:O,8,FALSE),"")</f>
        <v/>
      </c>
      <c r="J1348" s="26" t="str">
        <f>IFERROR(VLOOKUP(G1348,WholesaleExtract!B:O,14,FALSE),"")</f>
        <v/>
      </c>
      <c r="K1348" s="26" t="str">
        <f>IFERROR(VLOOKUP(G1348,WholesaleExtract!B:K,10,FALSE),"")</f>
        <v/>
      </c>
      <c r="L1348" s="47" t="str">
        <f>IFERROR(VLOOKUP(G1348,WholesaleExtract!B:L,11,FALSE),"")</f>
        <v/>
      </c>
      <c r="M1348" s="47" t="str">
        <f>IFERROR(VLOOKUP(G1348,WholesaleExtract!B:M,12,FALSE),"")</f>
        <v/>
      </c>
      <c r="N1348" s="27"/>
      <c r="O1348" s="19"/>
      <c r="P1348" s="19"/>
      <c r="Q1348" s="47"/>
      <c r="R1348" s="19"/>
      <c r="S1348" s="19"/>
    </row>
    <row r="1349" spans="1:19" x14ac:dyDescent="0.35">
      <c r="A1349" s="26" t="s">
        <v>543</v>
      </c>
      <c r="B1349" s="26" t="s">
        <v>543</v>
      </c>
      <c r="C1349" s="26"/>
      <c r="D1349" s="26" t="s">
        <v>543</v>
      </c>
      <c r="E1349" s="26" t="str">
        <f>IFERROR(VLOOKUP(G1349,WholesaleExtract!B:J,9,FALSE),"")</f>
        <v/>
      </c>
      <c r="F1349" s="26" t="str">
        <f>IFERROR(VLOOKUP(G1349,WholesaleExtract!B:J,6,FALSE),"")</f>
        <v/>
      </c>
      <c r="G1349" s="46"/>
      <c r="H1349" s="47" t="str">
        <f>IFERROR(VLOOKUP(G1349,WholesaleExtract!B:L,11,FALSE),"")</f>
        <v/>
      </c>
      <c r="I1349" s="26" t="str">
        <f>IFERROR(VLOOKUP(G1349,WholesaleExtract!B:O,8,FALSE),"")</f>
        <v/>
      </c>
      <c r="J1349" s="26" t="str">
        <f>IFERROR(VLOOKUP(G1349,WholesaleExtract!B:O,14,FALSE),"")</f>
        <v/>
      </c>
      <c r="K1349" s="26" t="str">
        <f>IFERROR(VLOOKUP(G1349,WholesaleExtract!B:K,10,FALSE),"")</f>
        <v/>
      </c>
      <c r="L1349" s="47" t="str">
        <f>IFERROR(VLOOKUP(G1349,WholesaleExtract!B:L,11,FALSE),"")</f>
        <v/>
      </c>
      <c r="M1349" s="47" t="str">
        <f>IFERROR(VLOOKUP(G1349,WholesaleExtract!B:M,12,FALSE),"")</f>
        <v/>
      </c>
      <c r="N1349" s="27"/>
      <c r="O1349" s="19"/>
      <c r="P1349" s="19"/>
      <c r="Q1349" s="47"/>
      <c r="R1349" s="19"/>
      <c r="S1349" s="19"/>
    </row>
    <row r="1350" spans="1:19" x14ac:dyDescent="0.35">
      <c r="A1350" s="26" t="s">
        <v>543</v>
      </c>
      <c r="B1350" s="26" t="s">
        <v>543</v>
      </c>
      <c r="C1350" s="26"/>
      <c r="D1350" s="26" t="s">
        <v>543</v>
      </c>
      <c r="E1350" s="26" t="str">
        <f>IFERROR(VLOOKUP(G1350,WholesaleExtract!B:J,9,FALSE),"")</f>
        <v/>
      </c>
      <c r="F1350" s="26" t="str">
        <f>IFERROR(VLOOKUP(G1350,WholesaleExtract!B:J,6,FALSE),"")</f>
        <v/>
      </c>
      <c r="G1350" s="46"/>
      <c r="H1350" s="47" t="str">
        <f>IFERROR(VLOOKUP(G1350,WholesaleExtract!B:L,11,FALSE),"")</f>
        <v/>
      </c>
      <c r="I1350" s="26" t="str">
        <f>IFERROR(VLOOKUP(G1350,WholesaleExtract!B:O,8,FALSE),"")</f>
        <v/>
      </c>
      <c r="J1350" s="26" t="str">
        <f>IFERROR(VLOOKUP(G1350,WholesaleExtract!B:O,14,FALSE),"")</f>
        <v/>
      </c>
      <c r="K1350" s="26" t="str">
        <f>IFERROR(VLOOKUP(G1350,WholesaleExtract!B:K,10,FALSE),"")</f>
        <v/>
      </c>
      <c r="L1350" s="47" t="str">
        <f>IFERROR(VLOOKUP(G1350,WholesaleExtract!B:L,11,FALSE),"")</f>
        <v/>
      </c>
      <c r="M1350" s="47" t="str">
        <f>IFERROR(VLOOKUP(G1350,WholesaleExtract!B:M,12,FALSE),"")</f>
        <v/>
      </c>
      <c r="N1350" s="27"/>
      <c r="O1350" s="19"/>
      <c r="P1350" s="19"/>
      <c r="Q1350" s="47"/>
      <c r="R1350" s="19"/>
      <c r="S1350" s="19"/>
    </row>
    <row r="1351" spans="1:19" x14ac:dyDescent="0.35">
      <c r="A1351" s="26" t="s">
        <v>543</v>
      </c>
      <c r="B1351" s="26" t="s">
        <v>543</v>
      </c>
      <c r="C1351" s="26"/>
      <c r="D1351" s="26" t="s">
        <v>543</v>
      </c>
      <c r="E1351" s="26" t="str">
        <f>IFERROR(VLOOKUP(G1351,WholesaleExtract!B:J,9,FALSE),"")</f>
        <v/>
      </c>
      <c r="F1351" s="26" t="str">
        <f>IFERROR(VLOOKUP(G1351,WholesaleExtract!B:J,6,FALSE),"")</f>
        <v/>
      </c>
      <c r="G1351" s="46"/>
      <c r="H1351" s="47" t="str">
        <f>IFERROR(VLOOKUP(G1351,WholesaleExtract!B:L,11,FALSE),"")</f>
        <v/>
      </c>
      <c r="I1351" s="26" t="str">
        <f>IFERROR(VLOOKUP(G1351,WholesaleExtract!B:O,8,FALSE),"")</f>
        <v/>
      </c>
      <c r="J1351" s="26" t="str">
        <f>IFERROR(VLOOKUP(G1351,WholesaleExtract!B:O,14,FALSE),"")</f>
        <v/>
      </c>
      <c r="K1351" s="26" t="str">
        <f>IFERROR(VLOOKUP(G1351,WholesaleExtract!B:K,10,FALSE),"")</f>
        <v/>
      </c>
      <c r="L1351" s="47" t="str">
        <f>IFERROR(VLOOKUP(G1351,WholesaleExtract!B:L,11,FALSE),"")</f>
        <v/>
      </c>
      <c r="M1351" s="47" t="str">
        <f>IFERROR(VLOOKUP(G1351,WholesaleExtract!B:M,12,FALSE),"")</f>
        <v/>
      </c>
      <c r="N1351" s="27"/>
      <c r="O1351" s="19"/>
      <c r="P1351" s="19"/>
      <c r="Q1351" s="47"/>
      <c r="R1351" s="19"/>
      <c r="S1351" s="19"/>
    </row>
    <row r="1352" spans="1:19" x14ac:dyDescent="0.35">
      <c r="A1352" s="26" t="s">
        <v>543</v>
      </c>
      <c r="B1352" s="26" t="s">
        <v>543</v>
      </c>
      <c r="C1352" s="26"/>
      <c r="D1352" s="26" t="s">
        <v>543</v>
      </c>
      <c r="E1352" s="26" t="str">
        <f>IFERROR(VLOOKUP(G1352,WholesaleExtract!B:J,9,FALSE),"")</f>
        <v/>
      </c>
      <c r="F1352" s="26" t="str">
        <f>IFERROR(VLOOKUP(G1352,WholesaleExtract!B:J,6,FALSE),"")</f>
        <v/>
      </c>
      <c r="G1352" s="46"/>
      <c r="H1352" s="47" t="str">
        <f>IFERROR(VLOOKUP(G1352,WholesaleExtract!B:L,11,FALSE),"")</f>
        <v/>
      </c>
      <c r="I1352" s="26" t="str">
        <f>IFERROR(VLOOKUP(G1352,WholesaleExtract!B:O,8,FALSE),"")</f>
        <v/>
      </c>
      <c r="J1352" s="26" t="str">
        <f>IFERROR(VLOOKUP(G1352,WholesaleExtract!B:O,14,FALSE),"")</f>
        <v/>
      </c>
      <c r="K1352" s="26" t="str">
        <f>IFERROR(VLOOKUP(G1352,WholesaleExtract!B:K,10,FALSE),"")</f>
        <v/>
      </c>
      <c r="L1352" s="47" t="str">
        <f>IFERROR(VLOOKUP(G1352,WholesaleExtract!B:L,11,FALSE),"")</f>
        <v/>
      </c>
      <c r="M1352" s="47" t="str">
        <f>IFERROR(VLOOKUP(G1352,WholesaleExtract!B:M,12,FALSE),"")</f>
        <v/>
      </c>
      <c r="N1352" s="27"/>
      <c r="O1352" s="19"/>
      <c r="P1352" s="19"/>
      <c r="Q1352" s="47"/>
      <c r="R1352" s="19"/>
      <c r="S1352" s="19"/>
    </row>
    <row r="1353" spans="1:19" x14ac:dyDescent="0.35">
      <c r="A1353" s="26" t="s">
        <v>543</v>
      </c>
      <c r="B1353" s="26" t="s">
        <v>543</v>
      </c>
      <c r="C1353" s="26"/>
      <c r="D1353" s="26" t="s">
        <v>543</v>
      </c>
      <c r="E1353" s="26" t="str">
        <f>IFERROR(VLOOKUP(G1353,WholesaleExtract!B:J,9,FALSE),"")</f>
        <v/>
      </c>
      <c r="F1353" s="26" t="str">
        <f>IFERROR(VLOOKUP(G1353,WholesaleExtract!B:J,6,FALSE),"")</f>
        <v/>
      </c>
      <c r="G1353" s="46"/>
      <c r="H1353" s="47" t="str">
        <f>IFERROR(VLOOKUP(G1353,WholesaleExtract!B:L,11,FALSE),"")</f>
        <v/>
      </c>
      <c r="I1353" s="26" t="str">
        <f>IFERROR(VLOOKUP(G1353,WholesaleExtract!B:O,8,FALSE),"")</f>
        <v/>
      </c>
      <c r="J1353" s="26" t="str">
        <f>IFERROR(VLOOKUP(G1353,WholesaleExtract!B:O,14,FALSE),"")</f>
        <v/>
      </c>
      <c r="K1353" s="26" t="str">
        <f>IFERROR(VLOOKUP(G1353,WholesaleExtract!B:K,10,FALSE),"")</f>
        <v/>
      </c>
      <c r="L1353" s="47" t="str">
        <f>IFERROR(VLOOKUP(G1353,WholesaleExtract!B:L,11,FALSE),"")</f>
        <v/>
      </c>
      <c r="M1353" s="47" t="str">
        <f>IFERROR(VLOOKUP(G1353,WholesaleExtract!B:M,12,FALSE),"")</f>
        <v/>
      </c>
      <c r="N1353" s="27"/>
      <c r="O1353" s="19"/>
      <c r="P1353" s="19"/>
      <c r="Q1353" s="47"/>
      <c r="R1353" s="19"/>
      <c r="S1353" s="19"/>
    </row>
    <row r="1354" spans="1:19" x14ac:dyDescent="0.35">
      <c r="A1354" s="26" t="s">
        <v>543</v>
      </c>
      <c r="B1354" s="26" t="s">
        <v>543</v>
      </c>
      <c r="C1354" s="26"/>
      <c r="D1354" s="26" t="s">
        <v>543</v>
      </c>
      <c r="E1354" s="26" t="str">
        <f>IFERROR(VLOOKUP(G1354,WholesaleExtract!B:J,9,FALSE),"")</f>
        <v/>
      </c>
      <c r="F1354" s="26" t="str">
        <f>IFERROR(VLOOKUP(G1354,WholesaleExtract!B:J,6,FALSE),"")</f>
        <v/>
      </c>
      <c r="G1354" s="46"/>
      <c r="H1354" s="47" t="str">
        <f>IFERROR(VLOOKUP(G1354,WholesaleExtract!B:L,11,FALSE),"")</f>
        <v/>
      </c>
      <c r="I1354" s="26" t="str">
        <f>IFERROR(VLOOKUP(G1354,WholesaleExtract!B:O,8,FALSE),"")</f>
        <v/>
      </c>
      <c r="J1354" s="26" t="str">
        <f>IFERROR(VLOOKUP(G1354,WholesaleExtract!B:O,14,FALSE),"")</f>
        <v/>
      </c>
      <c r="K1354" s="26" t="str">
        <f>IFERROR(VLOOKUP(G1354,WholesaleExtract!B:K,10,FALSE),"")</f>
        <v/>
      </c>
      <c r="L1354" s="47" t="str">
        <f>IFERROR(VLOOKUP(G1354,WholesaleExtract!B:L,11,FALSE),"")</f>
        <v/>
      </c>
      <c r="M1354" s="47" t="str">
        <f>IFERROR(VLOOKUP(G1354,WholesaleExtract!B:M,12,FALSE),"")</f>
        <v/>
      </c>
      <c r="N1354" s="27"/>
      <c r="O1354" s="19"/>
      <c r="P1354" s="19"/>
      <c r="Q1354" s="47"/>
      <c r="R1354" s="19"/>
      <c r="S1354" s="19"/>
    </row>
    <row r="1355" spans="1:19" x14ac:dyDescent="0.35">
      <c r="A1355" s="26" t="s">
        <v>543</v>
      </c>
      <c r="B1355" s="26" t="s">
        <v>543</v>
      </c>
      <c r="C1355" s="26"/>
      <c r="D1355" s="26" t="s">
        <v>543</v>
      </c>
      <c r="E1355" s="26" t="str">
        <f>IFERROR(VLOOKUP(G1355,WholesaleExtract!B:J,9,FALSE),"")</f>
        <v/>
      </c>
      <c r="F1355" s="26" t="str">
        <f>IFERROR(VLOOKUP(G1355,WholesaleExtract!B:J,6,FALSE),"")</f>
        <v/>
      </c>
      <c r="G1355" s="46"/>
      <c r="H1355" s="47" t="str">
        <f>IFERROR(VLOOKUP(G1355,WholesaleExtract!B:L,11,FALSE),"")</f>
        <v/>
      </c>
      <c r="I1355" s="26" t="str">
        <f>IFERROR(VLOOKUP(G1355,WholesaleExtract!B:O,8,FALSE),"")</f>
        <v/>
      </c>
      <c r="J1355" s="26" t="str">
        <f>IFERROR(VLOOKUP(G1355,WholesaleExtract!B:O,14,FALSE),"")</f>
        <v/>
      </c>
      <c r="K1355" s="26" t="str">
        <f>IFERROR(VLOOKUP(G1355,WholesaleExtract!B:K,10,FALSE),"")</f>
        <v/>
      </c>
      <c r="L1355" s="47" t="str">
        <f>IFERROR(VLOOKUP(G1355,WholesaleExtract!B:L,11,FALSE),"")</f>
        <v/>
      </c>
      <c r="M1355" s="47" t="str">
        <f>IFERROR(VLOOKUP(G1355,WholesaleExtract!B:M,12,FALSE),"")</f>
        <v/>
      </c>
      <c r="N1355" s="27"/>
      <c r="O1355" s="19"/>
      <c r="P1355" s="19"/>
      <c r="Q1355" s="47"/>
      <c r="R1355" s="19"/>
      <c r="S1355" s="19"/>
    </row>
    <row r="1356" spans="1:19" x14ac:dyDescent="0.35">
      <c r="A1356" s="26" t="s">
        <v>543</v>
      </c>
      <c r="B1356" s="26" t="s">
        <v>543</v>
      </c>
      <c r="C1356" s="26"/>
      <c r="D1356" s="26" t="s">
        <v>543</v>
      </c>
      <c r="E1356" s="26" t="str">
        <f>IFERROR(VLOOKUP(G1356,WholesaleExtract!B:J,9,FALSE),"")</f>
        <v/>
      </c>
      <c r="F1356" s="26" t="str">
        <f>IFERROR(VLOOKUP(G1356,WholesaleExtract!B:J,6,FALSE),"")</f>
        <v/>
      </c>
      <c r="G1356" s="46"/>
      <c r="H1356" s="47" t="str">
        <f>IFERROR(VLOOKUP(G1356,WholesaleExtract!B:L,11,FALSE),"")</f>
        <v/>
      </c>
      <c r="I1356" s="26" t="str">
        <f>IFERROR(VLOOKUP(G1356,WholesaleExtract!B:O,8,FALSE),"")</f>
        <v/>
      </c>
      <c r="J1356" s="26" t="str">
        <f>IFERROR(VLOOKUP(G1356,WholesaleExtract!B:O,14,FALSE),"")</f>
        <v/>
      </c>
      <c r="K1356" s="26" t="str">
        <f>IFERROR(VLOOKUP(G1356,WholesaleExtract!B:K,10,FALSE),"")</f>
        <v/>
      </c>
      <c r="L1356" s="47" t="str">
        <f>IFERROR(VLOOKUP(G1356,WholesaleExtract!B:L,11,FALSE),"")</f>
        <v/>
      </c>
      <c r="M1356" s="47" t="str">
        <f>IFERROR(VLOOKUP(G1356,WholesaleExtract!B:M,12,FALSE),"")</f>
        <v/>
      </c>
      <c r="N1356" s="27"/>
      <c r="O1356" s="19"/>
      <c r="P1356" s="19"/>
      <c r="Q1356" s="47"/>
      <c r="R1356" s="19"/>
      <c r="S1356" s="19"/>
    </row>
    <row r="1357" spans="1:19" x14ac:dyDescent="0.35">
      <c r="A1357" s="26" t="s">
        <v>543</v>
      </c>
      <c r="B1357" s="26" t="s">
        <v>543</v>
      </c>
      <c r="C1357" s="26"/>
      <c r="D1357" s="26" t="s">
        <v>543</v>
      </c>
      <c r="E1357" s="26" t="str">
        <f>IFERROR(VLOOKUP(G1357,WholesaleExtract!B:J,9,FALSE),"")</f>
        <v/>
      </c>
      <c r="F1357" s="26" t="str">
        <f>IFERROR(VLOOKUP(G1357,WholesaleExtract!B:J,6,FALSE),"")</f>
        <v/>
      </c>
      <c r="G1357" s="46"/>
      <c r="H1357" s="47" t="str">
        <f>IFERROR(VLOOKUP(G1357,WholesaleExtract!B:L,11,FALSE),"")</f>
        <v/>
      </c>
      <c r="I1357" s="26" t="str">
        <f>IFERROR(VLOOKUP(G1357,WholesaleExtract!B:O,8,FALSE),"")</f>
        <v/>
      </c>
      <c r="J1357" s="26" t="str">
        <f>IFERROR(VLOOKUP(G1357,WholesaleExtract!B:O,14,FALSE),"")</f>
        <v/>
      </c>
      <c r="K1357" s="26" t="str">
        <f>IFERROR(VLOOKUP(G1357,WholesaleExtract!B:K,10,FALSE),"")</f>
        <v/>
      </c>
      <c r="L1357" s="47" t="str">
        <f>IFERROR(VLOOKUP(G1357,WholesaleExtract!B:L,11,FALSE),"")</f>
        <v/>
      </c>
      <c r="M1357" s="47" t="str">
        <f>IFERROR(VLOOKUP(G1357,WholesaleExtract!B:M,12,FALSE),"")</f>
        <v/>
      </c>
      <c r="N1357" s="27"/>
      <c r="O1357" s="19"/>
      <c r="P1357" s="19"/>
      <c r="Q1357" s="47"/>
      <c r="R1357" s="19"/>
      <c r="S1357" s="19"/>
    </row>
    <row r="1358" spans="1:19" x14ac:dyDescent="0.35">
      <c r="A1358" s="26" t="s">
        <v>543</v>
      </c>
      <c r="B1358" s="26" t="s">
        <v>543</v>
      </c>
      <c r="C1358" s="26"/>
      <c r="D1358" s="26" t="s">
        <v>543</v>
      </c>
      <c r="E1358" s="26" t="str">
        <f>IFERROR(VLOOKUP(G1358,WholesaleExtract!B:J,9,FALSE),"")</f>
        <v/>
      </c>
      <c r="F1358" s="26" t="str">
        <f>IFERROR(VLOOKUP(G1358,WholesaleExtract!B:J,6,FALSE),"")</f>
        <v/>
      </c>
      <c r="G1358" s="46"/>
      <c r="H1358" s="47" t="str">
        <f>IFERROR(VLOOKUP(G1358,WholesaleExtract!B:L,11,FALSE),"")</f>
        <v/>
      </c>
      <c r="I1358" s="26" t="str">
        <f>IFERROR(VLOOKUP(G1358,WholesaleExtract!B:O,8,FALSE),"")</f>
        <v/>
      </c>
      <c r="J1358" s="26" t="str">
        <f>IFERROR(VLOOKUP(G1358,WholesaleExtract!B:O,14,FALSE),"")</f>
        <v/>
      </c>
      <c r="K1358" s="26" t="str">
        <f>IFERROR(VLOOKUP(G1358,WholesaleExtract!B:K,10,FALSE),"")</f>
        <v/>
      </c>
      <c r="L1358" s="47" t="str">
        <f>IFERROR(VLOOKUP(G1358,WholesaleExtract!B:L,11,FALSE),"")</f>
        <v/>
      </c>
      <c r="M1358" s="47" t="str">
        <f>IFERROR(VLOOKUP(G1358,WholesaleExtract!B:M,12,FALSE),"")</f>
        <v/>
      </c>
      <c r="N1358" s="27"/>
      <c r="O1358" s="19"/>
      <c r="P1358" s="19"/>
      <c r="Q1358" s="47"/>
      <c r="R1358" s="19"/>
      <c r="S1358" s="19"/>
    </row>
    <row r="1359" spans="1:19" x14ac:dyDescent="0.35">
      <c r="A1359" s="26" t="s">
        <v>543</v>
      </c>
      <c r="B1359" s="26" t="s">
        <v>543</v>
      </c>
      <c r="C1359" s="26"/>
      <c r="D1359" s="26" t="s">
        <v>543</v>
      </c>
      <c r="E1359" s="26" t="str">
        <f>IFERROR(VLOOKUP(G1359,WholesaleExtract!B:J,9,FALSE),"")</f>
        <v/>
      </c>
      <c r="F1359" s="26" t="str">
        <f>IFERROR(VLOOKUP(G1359,WholesaleExtract!B:J,6,FALSE),"")</f>
        <v/>
      </c>
      <c r="G1359" s="46"/>
      <c r="H1359" s="47" t="str">
        <f>IFERROR(VLOOKUP(G1359,WholesaleExtract!B:L,11,FALSE),"")</f>
        <v/>
      </c>
      <c r="I1359" s="26" t="str">
        <f>IFERROR(VLOOKUP(G1359,WholesaleExtract!B:O,8,FALSE),"")</f>
        <v/>
      </c>
      <c r="J1359" s="26" t="str">
        <f>IFERROR(VLOOKUP(G1359,WholesaleExtract!B:O,14,FALSE),"")</f>
        <v/>
      </c>
      <c r="K1359" s="26" t="str">
        <f>IFERROR(VLOOKUP(G1359,WholesaleExtract!B:K,10,FALSE),"")</f>
        <v/>
      </c>
      <c r="L1359" s="47" t="str">
        <f>IFERROR(VLOOKUP(G1359,WholesaleExtract!B:L,11,FALSE),"")</f>
        <v/>
      </c>
      <c r="M1359" s="47" t="str">
        <f>IFERROR(VLOOKUP(G1359,WholesaleExtract!B:M,12,FALSE),"")</f>
        <v/>
      </c>
      <c r="N1359" s="27"/>
      <c r="O1359" s="19"/>
      <c r="P1359" s="19"/>
      <c r="Q1359" s="47"/>
      <c r="R1359" s="19"/>
      <c r="S1359" s="19"/>
    </row>
    <row r="1360" spans="1:19" x14ac:dyDescent="0.35">
      <c r="A1360" s="26" t="s">
        <v>543</v>
      </c>
      <c r="B1360" s="26" t="s">
        <v>543</v>
      </c>
      <c r="C1360" s="26"/>
      <c r="D1360" s="26" t="s">
        <v>543</v>
      </c>
      <c r="E1360" s="26" t="str">
        <f>IFERROR(VLOOKUP(G1360,WholesaleExtract!B:J,9,FALSE),"")</f>
        <v/>
      </c>
      <c r="F1360" s="26" t="str">
        <f>IFERROR(VLOOKUP(G1360,WholesaleExtract!B:J,6,FALSE),"")</f>
        <v/>
      </c>
      <c r="G1360" s="46"/>
      <c r="H1360" s="47" t="str">
        <f>IFERROR(VLOOKUP(G1360,WholesaleExtract!B:L,11,FALSE),"")</f>
        <v/>
      </c>
      <c r="I1360" s="26" t="str">
        <f>IFERROR(VLOOKUP(G1360,WholesaleExtract!B:O,8,FALSE),"")</f>
        <v/>
      </c>
      <c r="J1360" s="26" t="str">
        <f>IFERROR(VLOOKUP(G1360,WholesaleExtract!B:O,14,FALSE),"")</f>
        <v/>
      </c>
      <c r="K1360" s="26" t="str">
        <f>IFERROR(VLOOKUP(G1360,WholesaleExtract!B:K,10,FALSE),"")</f>
        <v/>
      </c>
      <c r="L1360" s="47" t="str">
        <f>IFERROR(VLOOKUP(G1360,WholesaleExtract!B:L,11,FALSE),"")</f>
        <v/>
      </c>
      <c r="M1360" s="47" t="str">
        <f>IFERROR(VLOOKUP(G1360,WholesaleExtract!B:M,12,FALSE),"")</f>
        <v/>
      </c>
      <c r="N1360" s="27"/>
      <c r="O1360" s="19"/>
      <c r="P1360" s="19"/>
      <c r="Q1360" s="47"/>
      <c r="R1360" s="19"/>
      <c r="S1360" s="19"/>
    </row>
    <row r="1361" spans="1:19" x14ac:dyDescent="0.35">
      <c r="A1361" s="26" t="s">
        <v>543</v>
      </c>
      <c r="B1361" s="26" t="s">
        <v>543</v>
      </c>
      <c r="C1361" s="26"/>
      <c r="D1361" s="26" t="s">
        <v>543</v>
      </c>
      <c r="E1361" s="26" t="str">
        <f>IFERROR(VLOOKUP(G1361,WholesaleExtract!B:J,9,FALSE),"")</f>
        <v/>
      </c>
      <c r="F1361" s="26" t="str">
        <f>IFERROR(VLOOKUP(G1361,WholesaleExtract!B:J,6,FALSE),"")</f>
        <v/>
      </c>
      <c r="G1361" s="46"/>
      <c r="H1361" s="47" t="str">
        <f>IFERROR(VLOOKUP(G1361,WholesaleExtract!B:L,11,FALSE),"")</f>
        <v/>
      </c>
      <c r="I1361" s="26" t="str">
        <f>IFERROR(VLOOKUP(G1361,WholesaleExtract!B:O,8,FALSE),"")</f>
        <v/>
      </c>
      <c r="J1361" s="26" t="str">
        <f>IFERROR(VLOOKUP(G1361,WholesaleExtract!B:O,14,FALSE),"")</f>
        <v/>
      </c>
      <c r="K1361" s="26" t="str">
        <f>IFERROR(VLOOKUP(G1361,WholesaleExtract!B:K,10,FALSE),"")</f>
        <v/>
      </c>
      <c r="L1361" s="47" t="str">
        <f>IFERROR(VLOOKUP(G1361,WholesaleExtract!B:L,11,FALSE),"")</f>
        <v/>
      </c>
      <c r="M1361" s="47" t="str">
        <f>IFERROR(VLOOKUP(G1361,WholesaleExtract!B:M,12,FALSE),"")</f>
        <v/>
      </c>
      <c r="N1361" s="27"/>
      <c r="O1361" s="19"/>
      <c r="P1361" s="19"/>
      <c r="Q1361" s="47"/>
      <c r="R1361" s="19"/>
      <c r="S1361" s="19"/>
    </row>
    <row r="1362" spans="1:19" x14ac:dyDescent="0.35">
      <c r="A1362" s="26" t="s">
        <v>543</v>
      </c>
      <c r="B1362" s="26" t="s">
        <v>543</v>
      </c>
      <c r="C1362" s="26"/>
      <c r="D1362" s="26" t="s">
        <v>543</v>
      </c>
      <c r="E1362" s="26" t="str">
        <f>IFERROR(VLOOKUP(G1362,WholesaleExtract!B:J,9,FALSE),"")</f>
        <v/>
      </c>
      <c r="F1362" s="26" t="str">
        <f>IFERROR(VLOOKUP(G1362,WholesaleExtract!B:J,6,FALSE),"")</f>
        <v/>
      </c>
      <c r="G1362" s="46"/>
      <c r="H1362" s="47" t="str">
        <f>IFERROR(VLOOKUP(G1362,WholesaleExtract!B:L,11,FALSE),"")</f>
        <v/>
      </c>
      <c r="I1362" s="26" t="str">
        <f>IFERROR(VLOOKUP(G1362,WholesaleExtract!B:O,8,FALSE),"")</f>
        <v/>
      </c>
      <c r="J1362" s="26" t="str">
        <f>IFERROR(VLOOKUP(G1362,WholesaleExtract!B:O,14,FALSE),"")</f>
        <v/>
      </c>
      <c r="K1362" s="26" t="str">
        <f>IFERROR(VLOOKUP(G1362,WholesaleExtract!B:K,10,FALSE),"")</f>
        <v/>
      </c>
      <c r="L1362" s="47" t="str">
        <f>IFERROR(VLOOKUP(G1362,WholesaleExtract!B:L,11,FALSE),"")</f>
        <v/>
      </c>
      <c r="M1362" s="47" t="str">
        <f>IFERROR(VLOOKUP(G1362,WholesaleExtract!B:M,12,FALSE),"")</f>
        <v/>
      </c>
      <c r="N1362" s="27"/>
      <c r="O1362" s="19"/>
      <c r="P1362" s="19"/>
      <c r="Q1362" s="47"/>
      <c r="R1362" s="19"/>
      <c r="S1362" s="19"/>
    </row>
    <row r="1363" spans="1:19" x14ac:dyDescent="0.35">
      <c r="A1363" s="26" t="s">
        <v>543</v>
      </c>
      <c r="B1363" s="26" t="s">
        <v>543</v>
      </c>
      <c r="C1363" s="26"/>
      <c r="D1363" s="26" t="s">
        <v>543</v>
      </c>
      <c r="E1363" s="26" t="str">
        <f>IFERROR(VLOOKUP(G1363,WholesaleExtract!B:J,9,FALSE),"")</f>
        <v/>
      </c>
      <c r="F1363" s="26" t="str">
        <f>IFERROR(VLOOKUP(G1363,WholesaleExtract!B:J,6,FALSE),"")</f>
        <v/>
      </c>
      <c r="G1363" s="46"/>
      <c r="H1363" s="47" t="str">
        <f>IFERROR(VLOOKUP(G1363,WholesaleExtract!B:L,11,FALSE),"")</f>
        <v/>
      </c>
      <c r="I1363" s="26" t="str">
        <f>IFERROR(VLOOKUP(G1363,WholesaleExtract!B:O,8,FALSE),"")</f>
        <v/>
      </c>
      <c r="J1363" s="26" t="str">
        <f>IFERROR(VLOOKUP(G1363,WholesaleExtract!B:O,14,FALSE),"")</f>
        <v/>
      </c>
      <c r="K1363" s="26" t="str">
        <f>IFERROR(VLOOKUP(G1363,WholesaleExtract!B:K,10,FALSE),"")</f>
        <v/>
      </c>
      <c r="L1363" s="47" t="str">
        <f>IFERROR(VLOOKUP(G1363,WholesaleExtract!B:L,11,FALSE),"")</f>
        <v/>
      </c>
      <c r="M1363" s="47" t="str">
        <f>IFERROR(VLOOKUP(G1363,WholesaleExtract!B:M,12,FALSE),"")</f>
        <v/>
      </c>
      <c r="N1363" s="27"/>
      <c r="O1363" s="19"/>
      <c r="P1363" s="19"/>
      <c r="Q1363" s="47"/>
      <c r="R1363" s="19"/>
      <c r="S1363" s="19"/>
    </row>
    <row r="1364" spans="1:19" x14ac:dyDescent="0.35">
      <c r="A1364" s="26" t="s">
        <v>543</v>
      </c>
      <c r="B1364" s="26" t="s">
        <v>543</v>
      </c>
      <c r="C1364" s="26"/>
      <c r="D1364" s="26" t="s">
        <v>543</v>
      </c>
      <c r="E1364" s="26" t="str">
        <f>IFERROR(VLOOKUP(G1364,WholesaleExtract!B:J,9,FALSE),"")</f>
        <v/>
      </c>
      <c r="F1364" s="26" t="str">
        <f>IFERROR(VLOOKUP(G1364,WholesaleExtract!B:J,6,FALSE),"")</f>
        <v/>
      </c>
      <c r="G1364" s="46"/>
      <c r="H1364" s="47" t="str">
        <f>IFERROR(VLOOKUP(G1364,WholesaleExtract!B:L,11,FALSE),"")</f>
        <v/>
      </c>
      <c r="I1364" s="26" t="str">
        <f>IFERROR(VLOOKUP(G1364,WholesaleExtract!B:O,8,FALSE),"")</f>
        <v/>
      </c>
      <c r="J1364" s="26" t="str">
        <f>IFERROR(VLOOKUP(G1364,WholesaleExtract!B:O,14,FALSE),"")</f>
        <v/>
      </c>
      <c r="K1364" s="26" t="str">
        <f>IFERROR(VLOOKUP(G1364,WholesaleExtract!B:K,10,FALSE),"")</f>
        <v/>
      </c>
      <c r="L1364" s="47" t="str">
        <f>IFERROR(VLOOKUP(G1364,WholesaleExtract!B:L,11,FALSE),"")</f>
        <v/>
      </c>
      <c r="M1364" s="47" t="str">
        <f>IFERROR(VLOOKUP(G1364,WholesaleExtract!B:M,12,FALSE),"")</f>
        <v/>
      </c>
      <c r="N1364" s="27"/>
      <c r="O1364" s="19"/>
      <c r="P1364" s="19"/>
      <c r="Q1364" s="47"/>
      <c r="R1364" s="19"/>
      <c r="S1364" s="19"/>
    </row>
    <row r="1365" spans="1:19" x14ac:dyDescent="0.35">
      <c r="A1365" s="26" t="s">
        <v>543</v>
      </c>
      <c r="B1365" s="26" t="s">
        <v>543</v>
      </c>
      <c r="C1365" s="26"/>
      <c r="D1365" s="26" t="s">
        <v>543</v>
      </c>
      <c r="E1365" s="26" t="str">
        <f>IFERROR(VLOOKUP(G1365,WholesaleExtract!B:J,9,FALSE),"")</f>
        <v/>
      </c>
      <c r="F1365" s="26" t="str">
        <f>IFERROR(VLOOKUP(G1365,WholesaleExtract!B:J,6,FALSE),"")</f>
        <v/>
      </c>
      <c r="G1365" s="46"/>
      <c r="H1365" s="47" t="str">
        <f>IFERROR(VLOOKUP(G1365,WholesaleExtract!B:L,11,FALSE),"")</f>
        <v/>
      </c>
      <c r="I1365" s="26" t="str">
        <f>IFERROR(VLOOKUP(G1365,WholesaleExtract!B:O,8,FALSE),"")</f>
        <v/>
      </c>
      <c r="J1365" s="26" t="str">
        <f>IFERROR(VLOOKUP(G1365,WholesaleExtract!B:O,14,FALSE),"")</f>
        <v/>
      </c>
      <c r="K1365" s="26" t="str">
        <f>IFERROR(VLOOKUP(G1365,WholesaleExtract!B:K,10,FALSE),"")</f>
        <v/>
      </c>
      <c r="L1365" s="47" t="str">
        <f>IFERROR(VLOOKUP(G1365,WholesaleExtract!B:L,11,FALSE),"")</f>
        <v/>
      </c>
      <c r="M1365" s="47" t="str">
        <f>IFERROR(VLOOKUP(G1365,WholesaleExtract!B:M,12,FALSE),"")</f>
        <v/>
      </c>
      <c r="N1365" s="27"/>
      <c r="O1365" s="19"/>
      <c r="P1365" s="19"/>
      <c r="Q1365" s="47"/>
      <c r="R1365" s="19"/>
      <c r="S1365" s="19"/>
    </row>
    <row r="1366" spans="1:19" x14ac:dyDescent="0.35">
      <c r="A1366" s="26" t="s">
        <v>543</v>
      </c>
      <c r="B1366" s="26" t="s">
        <v>543</v>
      </c>
      <c r="C1366" s="26"/>
      <c r="D1366" s="26" t="s">
        <v>543</v>
      </c>
      <c r="E1366" s="26" t="str">
        <f>IFERROR(VLOOKUP(G1366,WholesaleExtract!B:J,9,FALSE),"")</f>
        <v/>
      </c>
      <c r="F1366" s="26" t="str">
        <f>IFERROR(VLOOKUP(G1366,WholesaleExtract!B:J,6,FALSE),"")</f>
        <v/>
      </c>
      <c r="G1366" s="46"/>
      <c r="H1366" s="47" t="str">
        <f>IFERROR(VLOOKUP(G1366,WholesaleExtract!B:L,11,FALSE),"")</f>
        <v/>
      </c>
      <c r="I1366" s="26" t="str">
        <f>IFERROR(VLOOKUP(G1366,WholesaleExtract!B:O,8,FALSE),"")</f>
        <v/>
      </c>
      <c r="J1366" s="26" t="str">
        <f>IFERROR(VLOOKUP(G1366,WholesaleExtract!B:O,14,FALSE),"")</f>
        <v/>
      </c>
      <c r="K1366" s="26" t="str">
        <f>IFERROR(VLOOKUP(G1366,WholesaleExtract!B:K,10,FALSE),"")</f>
        <v/>
      </c>
      <c r="L1366" s="47" t="str">
        <f>IFERROR(VLOOKUP(G1366,WholesaleExtract!B:L,11,FALSE),"")</f>
        <v/>
      </c>
      <c r="M1366" s="47" t="str">
        <f>IFERROR(VLOOKUP(G1366,WholesaleExtract!B:M,12,FALSE),"")</f>
        <v/>
      </c>
      <c r="N1366" s="27"/>
      <c r="O1366" s="19"/>
      <c r="P1366" s="19"/>
      <c r="Q1366" s="47"/>
      <c r="R1366" s="19"/>
      <c r="S1366" s="19"/>
    </row>
    <row r="1367" spans="1:19" x14ac:dyDescent="0.35">
      <c r="A1367" s="26" t="s">
        <v>543</v>
      </c>
      <c r="B1367" s="26" t="s">
        <v>543</v>
      </c>
      <c r="C1367" s="26"/>
      <c r="D1367" s="26" t="s">
        <v>543</v>
      </c>
      <c r="E1367" s="26" t="str">
        <f>IFERROR(VLOOKUP(G1367,WholesaleExtract!B:J,9,FALSE),"")</f>
        <v/>
      </c>
      <c r="F1367" s="26" t="str">
        <f>IFERROR(VLOOKUP(G1367,WholesaleExtract!B:J,6,FALSE),"")</f>
        <v/>
      </c>
      <c r="G1367" s="46"/>
      <c r="H1367" s="47" t="str">
        <f>IFERROR(VLOOKUP(G1367,WholesaleExtract!B:L,11,FALSE),"")</f>
        <v/>
      </c>
      <c r="I1367" s="26" t="str">
        <f>IFERROR(VLOOKUP(G1367,WholesaleExtract!B:O,8,FALSE),"")</f>
        <v/>
      </c>
      <c r="J1367" s="26" t="str">
        <f>IFERROR(VLOOKUP(G1367,WholesaleExtract!B:O,14,FALSE),"")</f>
        <v/>
      </c>
      <c r="K1367" s="26" t="str">
        <f>IFERROR(VLOOKUP(G1367,WholesaleExtract!B:K,10,FALSE),"")</f>
        <v/>
      </c>
      <c r="L1367" s="47" t="str">
        <f>IFERROR(VLOOKUP(G1367,WholesaleExtract!B:L,11,FALSE),"")</f>
        <v/>
      </c>
      <c r="M1367" s="47" t="str">
        <f>IFERROR(VLOOKUP(G1367,WholesaleExtract!B:M,12,FALSE),"")</f>
        <v/>
      </c>
      <c r="N1367" s="27"/>
      <c r="O1367" s="19"/>
      <c r="P1367" s="19"/>
      <c r="Q1367" s="47"/>
      <c r="R1367" s="19"/>
      <c r="S1367" s="19"/>
    </row>
    <row r="1368" spans="1:19" x14ac:dyDescent="0.35">
      <c r="A1368" s="26" t="s">
        <v>543</v>
      </c>
      <c r="B1368" s="26" t="s">
        <v>543</v>
      </c>
      <c r="C1368" s="26"/>
      <c r="D1368" s="26" t="s">
        <v>543</v>
      </c>
      <c r="E1368" s="26" t="str">
        <f>IFERROR(VLOOKUP(G1368,WholesaleExtract!B:J,9,FALSE),"")</f>
        <v/>
      </c>
      <c r="F1368" s="26" t="str">
        <f>IFERROR(VLOOKUP(G1368,WholesaleExtract!B:J,6,FALSE),"")</f>
        <v/>
      </c>
      <c r="G1368" s="46"/>
      <c r="H1368" s="47" t="str">
        <f>IFERROR(VLOOKUP(G1368,WholesaleExtract!B:L,11,FALSE),"")</f>
        <v/>
      </c>
      <c r="I1368" s="26" t="str">
        <f>IFERROR(VLOOKUP(G1368,WholesaleExtract!B:O,8,FALSE),"")</f>
        <v/>
      </c>
      <c r="J1368" s="26" t="str">
        <f>IFERROR(VLOOKUP(G1368,WholesaleExtract!B:O,14,FALSE),"")</f>
        <v/>
      </c>
      <c r="K1368" s="26" t="str">
        <f>IFERROR(VLOOKUP(G1368,WholesaleExtract!B:K,10,FALSE),"")</f>
        <v/>
      </c>
      <c r="L1368" s="47" t="str">
        <f>IFERROR(VLOOKUP(G1368,WholesaleExtract!B:L,11,FALSE),"")</f>
        <v/>
      </c>
      <c r="M1368" s="47" t="str">
        <f>IFERROR(VLOOKUP(G1368,WholesaleExtract!B:M,12,FALSE),"")</f>
        <v/>
      </c>
      <c r="N1368" s="27"/>
      <c r="O1368" s="19"/>
      <c r="P1368" s="19"/>
      <c r="Q1368" s="47"/>
      <c r="R1368" s="19"/>
      <c r="S1368" s="19"/>
    </row>
    <row r="1369" spans="1:19" x14ac:dyDescent="0.35">
      <c r="A1369" s="26" t="s">
        <v>543</v>
      </c>
      <c r="B1369" s="26" t="s">
        <v>543</v>
      </c>
      <c r="C1369" s="26"/>
      <c r="D1369" s="26" t="s">
        <v>543</v>
      </c>
      <c r="E1369" s="26" t="str">
        <f>IFERROR(VLOOKUP(G1369,WholesaleExtract!B:J,9,FALSE),"")</f>
        <v/>
      </c>
      <c r="F1369" s="26" t="str">
        <f>IFERROR(VLOOKUP(G1369,WholesaleExtract!B:J,6,FALSE),"")</f>
        <v/>
      </c>
      <c r="G1369" s="46"/>
      <c r="H1369" s="47" t="str">
        <f>IFERROR(VLOOKUP(G1369,WholesaleExtract!B:L,11,FALSE),"")</f>
        <v/>
      </c>
      <c r="I1369" s="26" t="str">
        <f>IFERROR(VLOOKUP(G1369,WholesaleExtract!B:O,8,FALSE),"")</f>
        <v/>
      </c>
      <c r="J1369" s="26" t="str">
        <f>IFERROR(VLOOKUP(G1369,WholesaleExtract!B:O,14,FALSE),"")</f>
        <v/>
      </c>
      <c r="K1369" s="26" t="str">
        <f>IFERROR(VLOOKUP(G1369,WholesaleExtract!B:K,10,FALSE),"")</f>
        <v/>
      </c>
      <c r="L1369" s="47" t="str">
        <f>IFERROR(VLOOKUP(G1369,WholesaleExtract!B:L,11,FALSE),"")</f>
        <v/>
      </c>
      <c r="M1369" s="47" t="str">
        <f>IFERROR(VLOOKUP(G1369,WholesaleExtract!B:M,12,FALSE),"")</f>
        <v/>
      </c>
      <c r="N1369" s="27"/>
      <c r="O1369" s="19"/>
      <c r="P1369" s="19"/>
      <c r="Q1369" s="47"/>
      <c r="R1369" s="19"/>
      <c r="S1369" s="19"/>
    </row>
    <row r="1370" spans="1:19" x14ac:dyDescent="0.35">
      <c r="A1370" s="26" t="s">
        <v>543</v>
      </c>
      <c r="B1370" s="26" t="s">
        <v>543</v>
      </c>
      <c r="C1370" s="26"/>
      <c r="D1370" s="26" t="s">
        <v>543</v>
      </c>
      <c r="E1370" s="26" t="str">
        <f>IFERROR(VLOOKUP(G1370,WholesaleExtract!B:J,9,FALSE),"")</f>
        <v/>
      </c>
      <c r="F1370" s="26" t="str">
        <f>IFERROR(VLOOKUP(G1370,WholesaleExtract!B:J,6,FALSE),"")</f>
        <v/>
      </c>
      <c r="G1370" s="46"/>
      <c r="H1370" s="47" t="str">
        <f>IFERROR(VLOOKUP(G1370,WholesaleExtract!B:L,11,FALSE),"")</f>
        <v/>
      </c>
      <c r="I1370" s="26" t="str">
        <f>IFERROR(VLOOKUP(G1370,WholesaleExtract!B:O,8,FALSE),"")</f>
        <v/>
      </c>
      <c r="J1370" s="26" t="str">
        <f>IFERROR(VLOOKUP(G1370,WholesaleExtract!B:O,14,FALSE),"")</f>
        <v/>
      </c>
      <c r="K1370" s="26" t="str">
        <f>IFERROR(VLOOKUP(G1370,WholesaleExtract!B:K,10,FALSE),"")</f>
        <v/>
      </c>
      <c r="L1370" s="47" t="str">
        <f>IFERROR(VLOOKUP(G1370,WholesaleExtract!B:L,11,FALSE),"")</f>
        <v/>
      </c>
      <c r="M1370" s="47" t="str">
        <f>IFERROR(VLOOKUP(G1370,WholesaleExtract!B:M,12,FALSE),"")</f>
        <v/>
      </c>
      <c r="N1370" s="27"/>
      <c r="O1370" s="19"/>
      <c r="P1370" s="19"/>
      <c r="Q1370" s="47"/>
      <c r="R1370" s="19"/>
      <c r="S1370" s="19"/>
    </row>
    <row r="1371" spans="1:19" x14ac:dyDescent="0.35">
      <c r="A1371" s="26" t="s">
        <v>543</v>
      </c>
      <c r="B1371" s="26" t="s">
        <v>543</v>
      </c>
      <c r="C1371" s="26"/>
      <c r="D1371" s="26" t="s">
        <v>543</v>
      </c>
      <c r="E1371" s="26" t="str">
        <f>IFERROR(VLOOKUP(G1371,WholesaleExtract!B:J,9,FALSE),"")</f>
        <v/>
      </c>
      <c r="F1371" s="26" t="str">
        <f>IFERROR(VLOOKUP(G1371,WholesaleExtract!B:J,6,FALSE),"")</f>
        <v/>
      </c>
      <c r="G1371" s="46"/>
      <c r="H1371" s="47" t="str">
        <f>IFERROR(VLOOKUP(G1371,WholesaleExtract!B:L,11,FALSE),"")</f>
        <v/>
      </c>
      <c r="I1371" s="26" t="str">
        <f>IFERROR(VLOOKUP(G1371,WholesaleExtract!B:O,8,FALSE),"")</f>
        <v/>
      </c>
      <c r="J1371" s="26" t="str">
        <f>IFERROR(VLOOKUP(G1371,WholesaleExtract!B:O,14,FALSE),"")</f>
        <v/>
      </c>
      <c r="K1371" s="26" t="str">
        <f>IFERROR(VLOOKUP(G1371,WholesaleExtract!B:K,10,FALSE),"")</f>
        <v/>
      </c>
      <c r="L1371" s="47" t="str">
        <f>IFERROR(VLOOKUP(G1371,WholesaleExtract!B:L,11,FALSE),"")</f>
        <v/>
      </c>
      <c r="M1371" s="47" t="str">
        <f>IFERROR(VLOOKUP(G1371,WholesaleExtract!B:M,12,FALSE),"")</f>
        <v/>
      </c>
      <c r="N1371" s="27"/>
      <c r="O1371" s="19"/>
      <c r="P1371" s="19"/>
      <c r="Q1371" s="47"/>
      <c r="R1371" s="19"/>
      <c r="S1371" s="19"/>
    </row>
    <row r="1372" spans="1:19" x14ac:dyDescent="0.35">
      <c r="A1372" s="26" t="s">
        <v>543</v>
      </c>
      <c r="B1372" s="26" t="s">
        <v>543</v>
      </c>
      <c r="C1372" s="26"/>
      <c r="D1372" s="26" t="s">
        <v>543</v>
      </c>
      <c r="E1372" s="26" t="str">
        <f>IFERROR(VLOOKUP(G1372,WholesaleExtract!B:J,9,FALSE),"")</f>
        <v/>
      </c>
      <c r="F1372" s="26" t="str">
        <f>IFERROR(VLOOKUP(G1372,WholesaleExtract!B:J,6,FALSE),"")</f>
        <v/>
      </c>
      <c r="G1372" s="46"/>
      <c r="H1372" s="47" t="str">
        <f>IFERROR(VLOOKUP(G1372,WholesaleExtract!B:L,11,FALSE),"")</f>
        <v/>
      </c>
      <c r="I1372" s="26" t="str">
        <f>IFERROR(VLOOKUP(G1372,WholesaleExtract!B:O,8,FALSE),"")</f>
        <v/>
      </c>
      <c r="J1372" s="26" t="str">
        <f>IFERROR(VLOOKUP(G1372,WholesaleExtract!B:O,14,FALSE),"")</f>
        <v/>
      </c>
      <c r="K1372" s="26" t="str">
        <f>IFERROR(VLOOKUP(G1372,WholesaleExtract!B:K,10,FALSE),"")</f>
        <v/>
      </c>
      <c r="L1372" s="47" t="str">
        <f>IFERROR(VLOOKUP(G1372,WholesaleExtract!B:L,11,FALSE),"")</f>
        <v/>
      </c>
      <c r="M1372" s="47" t="str">
        <f>IFERROR(VLOOKUP(G1372,WholesaleExtract!B:M,12,FALSE),"")</f>
        <v/>
      </c>
      <c r="N1372" s="27"/>
      <c r="O1372" s="19"/>
      <c r="P1372" s="19"/>
      <c r="Q1372" s="47"/>
      <c r="R1372" s="19"/>
      <c r="S1372" s="19"/>
    </row>
    <row r="1373" spans="1:19" x14ac:dyDescent="0.35">
      <c r="A1373" s="26" t="s">
        <v>543</v>
      </c>
      <c r="B1373" s="26" t="s">
        <v>543</v>
      </c>
      <c r="C1373" s="26"/>
      <c r="D1373" s="26" t="s">
        <v>543</v>
      </c>
      <c r="E1373" s="26" t="str">
        <f>IFERROR(VLOOKUP(G1373,WholesaleExtract!B:J,9,FALSE),"")</f>
        <v/>
      </c>
      <c r="F1373" s="26" t="str">
        <f>IFERROR(VLOOKUP(G1373,WholesaleExtract!B:J,6,FALSE),"")</f>
        <v/>
      </c>
      <c r="G1373" s="46"/>
      <c r="H1373" s="47" t="str">
        <f>IFERROR(VLOOKUP(G1373,WholesaleExtract!B:L,11,FALSE),"")</f>
        <v/>
      </c>
      <c r="I1373" s="26" t="str">
        <f>IFERROR(VLOOKUP(G1373,WholesaleExtract!B:O,8,FALSE),"")</f>
        <v/>
      </c>
      <c r="J1373" s="26" t="str">
        <f>IFERROR(VLOOKUP(G1373,WholesaleExtract!B:O,14,FALSE),"")</f>
        <v/>
      </c>
      <c r="K1373" s="26" t="str">
        <f>IFERROR(VLOOKUP(G1373,WholesaleExtract!B:K,10,FALSE),"")</f>
        <v/>
      </c>
      <c r="L1373" s="47" t="str">
        <f>IFERROR(VLOOKUP(G1373,WholesaleExtract!B:L,11,FALSE),"")</f>
        <v/>
      </c>
      <c r="M1373" s="47" t="str">
        <f>IFERROR(VLOOKUP(G1373,WholesaleExtract!B:M,12,FALSE),"")</f>
        <v/>
      </c>
      <c r="N1373" s="27"/>
      <c r="O1373" s="19"/>
      <c r="P1373" s="19"/>
      <c r="Q1373" s="47"/>
      <c r="R1373" s="19"/>
      <c r="S1373" s="19"/>
    </row>
    <row r="1374" spans="1:19" x14ac:dyDescent="0.35">
      <c r="A1374" s="26" t="s">
        <v>543</v>
      </c>
      <c r="B1374" s="26" t="s">
        <v>543</v>
      </c>
      <c r="C1374" s="26"/>
      <c r="D1374" s="26" t="s">
        <v>543</v>
      </c>
      <c r="E1374" s="26" t="str">
        <f>IFERROR(VLOOKUP(G1374,WholesaleExtract!B:J,9,FALSE),"")</f>
        <v/>
      </c>
      <c r="F1374" s="26" t="str">
        <f>IFERROR(VLOOKUP(G1374,WholesaleExtract!B:J,6,FALSE),"")</f>
        <v/>
      </c>
      <c r="G1374" s="46"/>
      <c r="H1374" s="47" t="str">
        <f>IFERROR(VLOOKUP(G1374,WholesaleExtract!B:L,11,FALSE),"")</f>
        <v/>
      </c>
      <c r="I1374" s="26" t="str">
        <f>IFERROR(VLOOKUP(G1374,WholesaleExtract!B:O,8,FALSE),"")</f>
        <v/>
      </c>
      <c r="J1374" s="26" t="str">
        <f>IFERROR(VLOOKUP(G1374,WholesaleExtract!B:O,14,FALSE),"")</f>
        <v/>
      </c>
      <c r="K1374" s="26" t="str">
        <f>IFERROR(VLOOKUP(G1374,WholesaleExtract!B:K,10,FALSE),"")</f>
        <v/>
      </c>
      <c r="L1374" s="47" t="str">
        <f>IFERROR(VLOOKUP(G1374,WholesaleExtract!B:L,11,FALSE),"")</f>
        <v/>
      </c>
      <c r="M1374" s="47" t="str">
        <f>IFERROR(VLOOKUP(G1374,WholesaleExtract!B:M,12,FALSE),"")</f>
        <v/>
      </c>
      <c r="N1374" s="27"/>
      <c r="O1374" s="19"/>
      <c r="P1374" s="19"/>
      <c r="Q1374" s="47"/>
      <c r="R1374" s="19"/>
      <c r="S1374" s="19"/>
    </row>
    <row r="1375" spans="1:19" x14ac:dyDescent="0.35">
      <c r="A1375" s="26" t="s">
        <v>543</v>
      </c>
      <c r="B1375" s="26" t="s">
        <v>543</v>
      </c>
      <c r="C1375" s="26"/>
      <c r="D1375" s="26" t="s">
        <v>543</v>
      </c>
      <c r="E1375" s="26" t="str">
        <f>IFERROR(VLOOKUP(G1375,WholesaleExtract!B:J,9,FALSE),"")</f>
        <v/>
      </c>
      <c r="F1375" s="26" t="str">
        <f>IFERROR(VLOOKUP(G1375,WholesaleExtract!B:J,6,FALSE),"")</f>
        <v/>
      </c>
      <c r="G1375" s="46"/>
      <c r="H1375" s="47" t="str">
        <f>IFERROR(VLOOKUP(G1375,WholesaleExtract!B:L,11,FALSE),"")</f>
        <v/>
      </c>
      <c r="I1375" s="26" t="str">
        <f>IFERROR(VLOOKUP(G1375,WholesaleExtract!B:O,8,FALSE),"")</f>
        <v/>
      </c>
      <c r="J1375" s="26" t="str">
        <f>IFERROR(VLOOKUP(G1375,WholesaleExtract!B:O,14,FALSE),"")</f>
        <v/>
      </c>
      <c r="K1375" s="26" t="str">
        <f>IFERROR(VLOOKUP(G1375,WholesaleExtract!B:K,10,FALSE),"")</f>
        <v/>
      </c>
      <c r="L1375" s="47" t="str">
        <f>IFERROR(VLOOKUP(G1375,WholesaleExtract!B:L,11,FALSE),"")</f>
        <v/>
      </c>
      <c r="M1375" s="47" t="str">
        <f>IFERROR(VLOOKUP(G1375,WholesaleExtract!B:M,12,FALSE),"")</f>
        <v/>
      </c>
      <c r="N1375" s="27"/>
      <c r="O1375" s="19"/>
      <c r="P1375" s="19"/>
      <c r="Q1375" s="47"/>
      <c r="R1375" s="19"/>
      <c r="S1375" s="19"/>
    </row>
    <row r="1376" spans="1:19" x14ac:dyDescent="0.35">
      <c r="A1376" s="26" t="s">
        <v>543</v>
      </c>
      <c r="B1376" s="26" t="s">
        <v>543</v>
      </c>
      <c r="C1376" s="26"/>
      <c r="D1376" s="26" t="s">
        <v>543</v>
      </c>
      <c r="E1376" s="26" t="str">
        <f>IFERROR(VLOOKUP(G1376,WholesaleExtract!B:J,9,FALSE),"")</f>
        <v/>
      </c>
      <c r="F1376" s="26" t="str">
        <f>IFERROR(VLOOKUP(G1376,WholesaleExtract!B:J,6,FALSE),"")</f>
        <v/>
      </c>
      <c r="G1376" s="46"/>
      <c r="H1376" s="47" t="str">
        <f>IFERROR(VLOOKUP(G1376,WholesaleExtract!B:L,11,FALSE),"")</f>
        <v/>
      </c>
      <c r="I1376" s="26" t="str">
        <f>IFERROR(VLOOKUP(G1376,WholesaleExtract!B:O,8,FALSE),"")</f>
        <v/>
      </c>
      <c r="J1376" s="26" t="str">
        <f>IFERROR(VLOOKUP(G1376,WholesaleExtract!B:O,14,FALSE),"")</f>
        <v/>
      </c>
      <c r="K1376" s="26" t="str">
        <f>IFERROR(VLOOKUP(G1376,WholesaleExtract!B:K,10,FALSE),"")</f>
        <v/>
      </c>
      <c r="L1376" s="47" t="str">
        <f>IFERROR(VLOOKUP(G1376,WholesaleExtract!B:L,11,FALSE),"")</f>
        <v/>
      </c>
      <c r="M1376" s="47" t="str">
        <f>IFERROR(VLOOKUP(G1376,WholesaleExtract!B:M,12,FALSE),"")</f>
        <v/>
      </c>
      <c r="N1376" s="27"/>
      <c r="O1376" s="19"/>
      <c r="P1376" s="19"/>
      <c r="Q1376" s="47"/>
      <c r="R1376" s="19"/>
      <c r="S1376" s="19"/>
    </row>
    <row r="1377" spans="1:19" x14ac:dyDescent="0.35">
      <c r="A1377" s="26" t="s">
        <v>543</v>
      </c>
      <c r="B1377" s="26" t="s">
        <v>543</v>
      </c>
      <c r="C1377" s="26"/>
      <c r="D1377" s="26" t="s">
        <v>543</v>
      </c>
      <c r="E1377" s="26" t="str">
        <f>IFERROR(VLOOKUP(G1377,WholesaleExtract!B:J,9,FALSE),"")</f>
        <v/>
      </c>
      <c r="F1377" s="26" t="str">
        <f>IFERROR(VLOOKUP(G1377,WholesaleExtract!B:J,6,FALSE),"")</f>
        <v/>
      </c>
      <c r="G1377" s="46"/>
      <c r="H1377" s="47" t="str">
        <f>IFERROR(VLOOKUP(G1377,WholesaleExtract!B:L,11,FALSE),"")</f>
        <v/>
      </c>
      <c r="I1377" s="26" t="str">
        <f>IFERROR(VLOOKUP(G1377,WholesaleExtract!B:O,8,FALSE),"")</f>
        <v/>
      </c>
      <c r="J1377" s="26" t="str">
        <f>IFERROR(VLOOKUP(G1377,WholesaleExtract!B:O,14,FALSE),"")</f>
        <v/>
      </c>
      <c r="K1377" s="26" t="str">
        <f>IFERROR(VLOOKUP(G1377,WholesaleExtract!B:K,10,FALSE),"")</f>
        <v/>
      </c>
      <c r="L1377" s="47" t="str">
        <f>IFERROR(VLOOKUP(G1377,WholesaleExtract!B:L,11,FALSE),"")</f>
        <v/>
      </c>
      <c r="M1377" s="47" t="str">
        <f>IFERROR(VLOOKUP(G1377,WholesaleExtract!B:M,12,FALSE),"")</f>
        <v/>
      </c>
      <c r="N1377" s="27"/>
      <c r="O1377" s="19"/>
      <c r="P1377" s="19"/>
      <c r="Q1377" s="47"/>
      <c r="R1377" s="19"/>
      <c r="S1377" s="19"/>
    </row>
    <row r="1378" spans="1:19" x14ac:dyDescent="0.35">
      <c r="A1378" s="26" t="s">
        <v>543</v>
      </c>
      <c r="B1378" s="26" t="s">
        <v>543</v>
      </c>
      <c r="C1378" s="26"/>
      <c r="D1378" s="26" t="s">
        <v>543</v>
      </c>
      <c r="E1378" s="26" t="str">
        <f>IFERROR(VLOOKUP(G1378,WholesaleExtract!B:J,9,FALSE),"")</f>
        <v/>
      </c>
      <c r="F1378" s="26" t="str">
        <f>IFERROR(VLOOKUP(G1378,WholesaleExtract!B:J,6,FALSE),"")</f>
        <v/>
      </c>
      <c r="G1378" s="46"/>
      <c r="H1378" s="47" t="str">
        <f>IFERROR(VLOOKUP(G1378,WholesaleExtract!B:L,11,FALSE),"")</f>
        <v/>
      </c>
      <c r="I1378" s="26" t="str">
        <f>IFERROR(VLOOKUP(G1378,WholesaleExtract!B:O,8,FALSE),"")</f>
        <v/>
      </c>
      <c r="J1378" s="26" t="str">
        <f>IFERROR(VLOOKUP(G1378,WholesaleExtract!B:O,14,FALSE),"")</f>
        <v/>
      </c>
      <c r="K1378" s="26" t="str">
        <f>IFERROR(VLOOKUP(G1378,WholesaleExtract!B:K,10,FALSE),"")</f>
        <v/>
      </c>
      <c r="L1378" s="47" t="str">
        <f>IFERROR(VLOOKUP(G1378,WholesaleExtract!B:L,11,FALSE),"")</f>
        <v/>
      </c>
      <c r="M1378" s="47" t="str">
        <f>IFERROR(VLOOKUP(G1378,WholesaleExtract!B:M,12,FALSE),"")</f>
        <v/>
      </c>
      <c r="N1378" s="27"/>
      <c r="O1378" s="19"/>
      <c r="P1378" s="19"/>
      <c r="Q1378" s="47"/>
      <c r="R1378" s="19"/>
      <c r="S1378" s="19"/>
    </row>
    <row r="1379" spans="1:19" x14ac:dyDescent="0.35">
      <c r="A1379" s="26" t="s">
        <v>543</v>
      </c>
      <c r="B1379" s="26" t="s">
        <v>543</v>
      </c>
      <c r="C1379" s="26"/>
      <c r="D1379" s="26" t="s">
        <v>543</v>
      </c>
      <c r="E1379" s="26" t="str">
        <f>IFERROR(VLOOKUP(G1379,WholesaleExtract!B:J,9,FALSE),"")</f>
        <v/>
      </c>
      <c r="F1379" s="26" t="str">
        <f>IFERROR(VLOOKUP(G1379,WholesaleExtract!B:J,6,FALSE),"")</f>
        <v/>
      </c>
      <c r="G1379" s="46"/>
      <c r="H1379" s="47" t="str">
        <f>IFERROR(VLOOKUP(G1379,WholesaleExtract!B:L,11,FALSE),"")</f>
        <v/>
      </c>
      <c r="I1379" s="26" t="str">
        <f>IFERROR(VLOOKUP(G1379,WholesaleExtract!B:O,8,FALSE),"")</f>
        <v/>
      </c>
      <c r="J1379" s="26" t="str">
        <f>IFERROR(VLOOKUP(G1379,WholesaleExtract!B:O,14,FALSE),"")</f>
        <v/>
      </c>
      <c r="K1379" s="26" t="str">
        <f>IFERROR(VLOOKUP(G1379,WholesaleExtract!B:K,10,FALSE),"")</f>
        <v/>
      </c>
      <c r="L1379" s="47" t="str">
        <f>IFERROR(VLOOKUP(G1379,WholesaleExtract!B:L,11,FALSE),"")</f>
        <v/>
      </c>
      <c r="M1379" s="47" t="str">
        <f>IFERROR(VLOOKUP(G1379,WholesaleExtract!B:M,12,FALSE),"")</f>
        <v/>
      </c>
      <c r="N1379" s="27"/>
      <c r="O1379" s="19"/>
      <c r="P1379" s="19"/>
      <c r="Q1379" s="47"/>
      <c r="R1379" s="19"/>
      <c r="S1379" s="19"/>
    </row>
    <row r="1380" spans="1:19" x14ac:dyDescent="0.35">
      <c r="A1380" s="26" t="s">
        <v>543</v>
      </c>
      <c r="B1380" s="26" t="s">
        <v>543</v>
      </c>
      <c r="C1380" s="26"/>
      <c r="D1380" s="26" t="s">
        <v>543</v>
      </c>
      <c r="E1380" s="26" t="str">
        <f>IFERROR(VLOOKUP(G1380,WholesaleExtract!B:J,9,FALSE),"")</f>
        <v/>
      </c>
      <c r="F1380" s="26" t="str">
        <f>IFERROR(VLOOKUP(G1380,WholesaleExtract!B:J,6,FALSE),"")</f>
        <v/>
      </c>
      <c r="G1380" s="46"/>
      <c r="H1380" s="47" t="str">
        <f>IFERROR(VLOOKUP(G1380,WholesaleExtract!B:L,11,FALSE),"")</f>
        <v/>
      </c>
      <c r="I1380" s="26" t="str">
        <f>IFERROR(VLOOKUP(G1380,WholesaleExtract!B:O,8,FALSE),"")</f>
        <v/>
      </c>
      <c r="J1380" s="26" t="str">
        <f>IFERROR(VLOOKUP(G1380,WholesaleExtract!B:O,14,FALSE),"")</f>
        <v/>
      </c>
      <c r="K1380" s="26" t="str">
        <f>IFERROR(VLOOKUP(G1380,WholesaleExtract!B:K,10,FALSE),"")</f>
        <v/>
      </c>
      <c r="L1380" s="47" t="str">
        <f>IFERROR(VLOOKUP(G1380,WholesaleExtract!B:L,11,FALSE),"")</f>
        <v/>
      </c>
      <c r="M1380" s="47" t="str">
        <f>IFERROR(VLOOKUP(G1380,WholesaleExtract!B:M,12,FALSE),"")</f>
        <v/>
      </c>
      <c r="N1380" s="27"/>
      <c r="O1380" s="19"/>
      <c r="P1380" s="19"/>
      <c r="Q1380" s="47"/>
      <c r="R1380" s="19"/>
      <c r="S1380" s="19"/>
    </row>
    <row r="1381" spans="1:19" x14ac:dyDescent="0.35">
      <c r="A1381" s="26" t="s">
        <v>543</v>
      </c>
      <c r="B1381" s="26" t="s">
        <v>543</v>
      </c>
      <c r="C1381" s="26"/>
      <c r="D1381" s="26" t="s">
        <v>543</v>
      </c>
      <c r="E1381" s="26" t="str">
        <f>IFERROR(VLOOKUP(G1381,WholesaleExtract!B:J,9,FALSE),"")</f>
        <v/>
      </c>
      <c r="F1381" s="26" t="str">
        <f>IFERROR(VLOOKUP(G1381,WholesaleExtract!B:J,6,FALSE),"")</f>
        <v/>
      </c>
      <c r="G1381" s="46"/>
      <c r="H1381" s="47" t="str">
        <f>IFERROR(VLOOKUP(G1381,WholesaleExtract!B:L,11,FALSE),"")</f>
        <v/>
      </c>
      <c r="I1381" s="26" t="str">
        <f>IFERROR(VLOOKUP(G1381,WholesaleExtract!B:O,8,FALSE),"")</f>
        <v/>
      </c>
      <c r="J1381" s="26" t="str">
        <f>IFERROR(VLOOKUP(G1381,WholesaleExtract!B:O,14,FALSE),"")</f>
        <v/>
      </c>
      <c r="K1381" s="26" t="str">
        <f>IFERROR(VLOOKUP(G1381,WholesaleExtract!B:K,10,FALSE),"")</f>
        <v/>
      </c>
      <c r="L1381" s="47" t="str">
        <f>IFERROR(VLOOKUP(G1381,WholesaleExtract!B:L,11,FALSE),"")</f>
        <v/>
      </c>
      <c r="M1381" s="47" t="str">
        <f>IFERROR(VLOOKUP(G1381,WholesaleExtract!B:M,12,FALSE),"")</f>
        <v/>
      </c>
      <c r="N1381" s="27"/>
      <c r="O1381" s="19"/>
      <c r="P1381" s="19"/>
      <c r="Q1381" s="47"/>
      <c r="R1381" s="19"/>
      <c r="S1381" s="19"/>
    </row>
    <row r="1382" spans="1:19" x14ac:dyDescent="0.35">
      <c r="A1382" s="26" t="s">
        <v>543</v>
      </c>
      <c r="B1382" s="26" t="s">
        <v>543</v>
      </c>
      <c r="C1382" s="26"/>
      <c r="D1382" s="26" t="s">
        <v>543</v>
      </c>
      <c r="E1382" s="26" t="str">
        <f>IFERROR(VLOOKUP(G1382,WholesaleExtract!B:J,9,FALSE),"")</f>
        <v/>
      </c>
      <c r="F1382" s="26" t="str">
        <f>IFERROR(VLOOKUP(G1382,WholesaleExtract!B:J,6,FALSE),"")</f>
        <v/>
      </c>
      <c r="G1382" s="46"/>
      <c r="H1382" s="47" t="str">
        <f>IFERROR(VLOOKUP(G1382,WholesaleExtract!B:L,11,FALSE),"")</f>
        <v/>
      </c>
      <c r="I1382" s="26" t="str">
        <f>IFERROR(VLOOKUP(G1382,WholesaleExtract!B:O,8,FALSE),"")</f>
        <v/>
      </c>
      <c r="J1382" s="26" t="str">
        <f>IFERROR(VLOOKUP(G1382,WholesaleExtract!B:O,14,FALSE),"")</f>
        <v/>
      </c>
      <c r="K1382" s="26" t="str">
        <f>IFERROR(VLOOKUP(G1382,WholesaleExtract!B:K,10,FALSE),"")</f>
        <v/>
      </c>
      <c r="L1382" s="47" t="str">
        <f>IFERROR(VLOOKUP(G1382,WholesaleExtract!B:L,11,FALSE),"")</f>
        <v/>
      </c>
      <c r="M1382" s="47" t="str">
        <f>IFERROR(VLOOKUP(G1382,WholesaleExtract!B:M,12,FALSE),"")</f>
        <v/>
      </c>
      <c r="N1382" s="27"/>
      <c r="O1382" s="19"/>
      <c r="P1382" s="19"/>
      <c r="Q1382" s="47"/>
      <c r="R1382" s="19"/>
      <c r="S1382" s="19"/>
    </row>
    <row r="1383" spans="1:19" x14ac:dyDescent="0.35">
      <c r="A1383" s="26" t="s">
        <v>543</v>
      </c>
      <c r="B1383" s="26" t="s">
        <v>543</v>
      </c>
      <c r="C1383" s="26"/>
      <c r="D1383" s="26" t="s">
        <v>543</v>
      </c>
      <c r="E1383" s="26" t="str">
        <f>IFERROR(VLOOKUP(G1383,WholesaleExtract!B:J,9,FALSE),"")</f>
        <v/>
      </c>
      <c r="F1383" s="26" t="str">
        <f>IFERROR(VLOOKUP(G1383,WholesaleExtract!B:J,6,FALSE),"")</f>
        <v/>
      </c>
      <c r="G1383" s="46"/>
      <c r="H1383" s="47" t="str">
        <f>IFERROR(VLOOKUP(G1383,WholesaleExtract!B:L,11,FALSE),"")</f>
        <v/>
      </c>
      <c r="I1383" s="26" t="str">
        <f>IFERROR(VLOOKUP(G1383,WholesaleExtract!B:O,8,FALSE),"")</f>
        <v/>
      </c>
      <c r="J1383" s="26" t="str">
        <f>IFERROR(VLOOKUP(G1383,WholesaleExtract!B:O,14,FALSE),"")</f>
        <v/>
      </c>
      <c r="K1383" s="26" t="str">
        <f>IFERROR(VLOOKUP(G1383,WholesaleExtract!B:K,10,FALSE),"")</f>
        <v/>
      </c>
      <c r="L1383" s="47" t="str">
        <f>IFERROR(VLOOKUP(G1383,WholesaleExtract!B:L,11,FALSE),"")</f>
        <v/>
      </c>
      <c r="M1383" s="47" t="str">
        <f>IFERROR(VLOOKUP(G1383,WholesaleExtract!B:M,12,FALSE),"")</f>
        <v/>
      </c>
      <c r="N1383" s="27"/>
      <c r="O1383" s="19"/>
      <c r="P1383" s="19"/>
      <c r="Q1383" s="47"/>
      <c r="R1383" s="19"/>
      <c r="S1383" s="19"/>
    </row>
    <row r="1384" spans="1:19" x14ac:dyDescent="0.35">
      <c r="A1384" s="26" t="s">
        <v>543</v>
      </c>
      <c r="B1384" s="26" t="s">
        <v>543</v>
      </c>
      <c r="C1384" s="26"/>
      <c r="D1384" s="26" t="s">
        <v>543</v>
      </c>
      <c r="E1384" s="26" t="str">
        <f>IFERROR(VLOOKUP(G1384,WholesaleExtract!B:J,9,FALSE),"")</f>
        <v/>
      </c>
      <c r="F1384" s="26" t="str">
        <f>IFERROR(VLOOKUP(G1384,WholesaleExtract!B:J,6,FALSE),"")</f>
        <v/>
      </c>
      <c r="G1384" s="46"/>
      <c r="H1384" s="47" t="str">
        <f>IFERROR(VLOOKUP(G1384,WholesaleExtract!B:L,11,FALSE),"")</f>
        <v/>
      </c>
      <c r="I1384" s="26" t="str">
        <f>IFERROR(VLOOKUP(G1384,WholesaleExtract!B:O,8,FALSE),"")</f>
        <v/>
      </c>
      <c r="J1384" s="26" t="str">
        <f>IFERROR(VLOOKUP(G1384,WholesaleExtract!B:O,14,FALSE),"")</f>
        <v/>
      </c>
      <c r="K1384" s="26" t="str">
        <f>IFERROR(VLOOKUP(G1384,WholesaleExtract!B:K,10,FALSE),"")</f>
        <v/>
      </c>
      <c r="L1384" s="47" t="str">
        <f>IFERROR(VLOOKUP(G1384,WholesaleExtract!B:L,11,FALSE),"")</f>
        <v/>
      </c>
      <c r="M1384" s="47" t="str">
        <f>IFERROR(VLOOKUP(G1384,WholesaleExtract!B:M,12,FALSE),"")</f>
        <v/>
      </c>
      <c r="N1384" s="27"/>
      <c r="O1384" s="19"/>
      <c r="P1384" s="19"/>
      <c r="Q1384" s="47"/>
      <c r="R1384" s="19"/>
      <c r="S1384" s="19"/>
    </row>
    <row r="1385" spans="1:19" x14ac:dyDescent="0.35">
      <c r="A1385" s="26" t="s">
        <v>543</v>
      </c>
      <c r="B1385" s="26" t="s">
        <v>543</v>
      </c>
      <c r="C1385" s="26"/>
      <c r="D1385" s="26" t="s">
        <v>543</v>
      </c>
      <c r="E1385" s="26" t="str">
        <f>IFERROR(VLOOKUP(G1385,WholesaleExtract!B:J,9,FALSE),"")</f>
        <v/>
      </c>
      <c r="F1385" s="26" t="str">
        <f>IFERROR(VLOOKUP(G1385,WholesaleExtract!B:J,6,FALSE),"")</f>
        <v/>
      </c>
      <c r="G1385" s="46"/>
      <c r="H1385" s="47" t="str">
        <f>IFERROR(VLOOKUP(G1385,WholesaleExtract!B:L,11,FALSE),"")</f>
        <v/>
      </c>
      <c r="I1385" s="26" t="str">
        <f>IFERROR(VLOOKUP(G1385,WholesaleExtract!B:O,8,FALSE),"")</f>
        <v/>
      </c>
      <c r="J1385" s="26" t="str">
        <f>IFERROR(VLOOKUP(G1385,WholesaleExtract!B:O,14,FALSE),"")</f>
        <v/>
      </c>
      <c r="K1385" s="26" t="str">
        <f>IFERROR(VLOOKUP(G1385,WholesaleExtract!B:K,10,FALSE),"")</f>
        <v/>
      </c>
      <c r="L1385" s="47" t="str">
        <f>IFERROR(VLOOKUP(G1385,WholesaleExtract!B:L,11,FALSE),"")</f>
        <v/>
      </c>
      <c r="M1385" s="47" t="str">
        <f>IFERROR(VLOOKUP(G1385,WholesaleExtract!B:M,12,FALSE),"")</f>
        <v/>
      </c>
      <c r="N1385" s="27"/>
      <c r="O1385" s="19"/>
      <c r="P1385" s="19"/>
      <c r="Q1385" s="47"/>
      <c r="R1385" s="19"/>
      <c r="S1385" s="19"/>
    </row>
    <row r="1386" spans="1:19" x14ac:dyDescent="0.35">
      <c r="A1386" s="26" t="s">
        <v>543</v>
      </c>
      <c r="B1386" s="26" t="s">
        <v>543</v>
      </c>
      <c r="C1386" s="26"/>
      <c r="D1386" s="26" t="s">
        <v>543</v>
      </c>
      <c r="E1386" s="26" t="str">
        <f>IFERROR(VLOOKUP(G1386,WholesaleExtract!B:J,9,FALSE),"")</f>
        <v/>
      </c>
      <c r="F1386" s="26" t="str">
        <f>IFERROR(VLOOKUP(G1386,WholesaleExtract!B:J,6,FALSE),"")</f>
        <v/>
      </c>
      <c r="G1386" s="46"/>
      <c r="H1386" s="47" t="str">
        <f>IFERROR(VLOOKUP(G1386,WholesaleExtract!B:L,11,FALSE),"")</f>
        <v/>
      </c>
      <c r="I1386" s="26" t="str">
        <f>IFERROR(VLOOKUP(G1386,WholesaleExtract!B:O,8,FALSE),"")</f>
        <v/>
      </c>
      <c r="J1386" s="26" t="str">
        <f>IFERROR(VLOOKUP(G1386,WholesaleExtract!B:O,14,FALSE),"")</f>
        <v/>
      </c>
      <c r="K1386" s="26" t="str">
        <f>IFERROR(VLOOKUP(G1386,WholesaleExtract!B:K,10,FALSE),"")</f>
        <v/>
      </c>
      <c r="L1386" s="47" t="str">
        <f>IFERROR(VLOOKUP(G1386,WholesaleExtract!B:L,11,FALSE),"")</f>
        <v/>
      </c>
      <c r="M1386" s="47" t="str">
        <f>IFERROR(VLOOKUP(G1386,WholesaleExtract!B:M,12,FALSE),"")</f>
        <v/>
      </c>
      <c r="N1386" s="27"/>
      <c r="O1386" s="19"/>
      <c r="P1386" s="19"/>
      <c r="Q1386" s="47"/>
      <c r="R1386" s="19"/>
      <c r="S1386" s="19"/>
    </row>
    <row r="1387" spans="1:19" x14ac:dyDescent="0.35">
      <c r="A1387" s="26" t="s">
        <v>543</v>
      </c>
      <c r="B1387" s="26" t="s">
        <v>543</v>
      </c>
      <c r="C1387" s="26"/>
      <c r="D1387" s="26" t="s">
        <v>543</v>
      </c>
      <c r="E1387" s="26" t="str">
        <f>IFERROR(VLOOKUP(G1387,WholesaleExtract!B:J,9,FALSE),"")</f>
        <v/>
      </c>
      <c r="F1387" s="26" t="str">
        <f>IFERROR(VLOOKUP(G1387,WholesaleExtract!B:J,6,FALSE),"")</f>
        <v/>
      </c>
      <c r="G1387" s="46"/>
      <c r="H1387" s="47" t="str">
        <f>IFERROR(VLOOKUP(G1387,WholesaleExtract!B:L,11,FALSE),"")</f>
        <v/>
      </c>
      <c r="I1387" s="26" t="str">
        <f>IFERROR(VLOOKUP(G1387,WholesaleExtract!B:O,8,FALSE),"")</f>
        <v/>
      </c>
      <c r="J1387" s="26" t="str">
        <f>IFERROR(VLOOKUP(G1387,WholesaleExtract!B:O,14,FALSE),"")</f>
        <v/>
      </c>
      <c r="K1387" s="26" t="str">
        <f>IFERROR(VLOOKUP(G1387,WholesaleExtract!B:K,10,FALSE),"")</f>
        <v/>
      </c>
      <c r="L1387" s="47" t="str">
        <f>IFERROR(VLOOKUP(G1387,WholesaleExtract!B:L,11,FALSE),"")</f>
        <v/>
      </c>
      <c r="M1387" s="47" t="str">
        <f>IFERROR(VLOOKUP(G1387,WholesaleExtract!B:M,12,FALSE),"")</f>
        <v/>
      </c>
      <c r="N1387" s="27"/>
      <c r="O1387" s="19"/>
      <c r="P1387" s="19"/>
      <c r="Q1387" s="47"/>
      <c r="R1387" s="19"/>
      <c r="S1387" s="19"/>
    </row>
    <row r="1388" spans="1:19" x14ac:dyDescent="0.35">
      <c r="A1388" s="26" t="s">
        <v>543</v>
      </c>
      <c r="B1388" s="26" t="s">
        <v>543</v>
      </c>
      <c r="C1388" s="26"/>
      <c r="D1388" s="26" t="s">
        <v>543</v>
      </c>
      <c r="E1388" s="26" t="str">
        <f>IFERROR(VLOOKUP(G1388,WholesaleExtract!B:J,9,FALSE),"")</f>
        <v/>
      </c>
      <c r="F1388" s="26" t="str">
        <f>IFERROR(VLOOKUP(G1388,WholesaleExtract!B:J,6,FALSE),"")</f>
        <v/>
      </c>
      <c r="G1388" s="46"/>
      <c r="H1388" s="47" t="str">
        <f>IFERROR(VLOOKUP(G1388,WholesaleExtract!B:L,11,FALSE),"")</f>
        <v/>
      </c>
      <c r="I1388" s="26" t="str">
        <f>IFERROR(VLOOKUP(G1388,WholesaleExtract!B:O,8,FALSE),"")</f>
        <v/>
      </c>
      <c r="J1388" s="26" t="str">
        <f>IFERROR(VLOOKUP(G1388,WholesaleExtract!B:O,14,FALSE),"")</f>
        <v/>
      </c>
      <c r="K1388" s="26" t="str">
        <f>IFERROR(VLOOKUP(G1388,WholesaleExtract!B:K,10,FALSE),"")</f>
        <v/>
      </c>
      <c r="L1388" s="47" t="str">
        <f>IFERROR(VLOOKUP(G1388,WholesaleExtract!B:L,11,FALSE),"")</f>
        <v/>
      </c>
      <c r="M1388" s="47" t="str">
        <f>IFERROR(VLOOKUP(G1388,WholesaleExtract!B:M,12,FALSE),"")</f>
        <v/>
      </c>
      <c r="N1388" s="27"/>
      <c r="O1388" s="19"/>
      <c r="P1388" s="19"/>
      <c r="Q1388" s="47"/>
      <c r="R1388" s="19"/>
      <c r="S1388" s="19"/>
    </row>
    <row r="1389" spans="1:19" x14ac:dyDescent="0.35">
      <c r="A1389" s="26" t="s">
        <v>543</v>
      </c>
      <c r="B1389" s="26" t="s">
        <v>543</v>
      </c>
      <c r="C1389" s="26"/>
      <c r="D1389" s="26" t="s">
        <v>543</v>
      </c>
      <c r="E1389" s="26" t="str">
        <f>IFERROR(VLOOKUP(G1389,WholesaleExtract!B:J,9,FALSE),"")</f>
        <v/>
      </c>
      <c r="F1389" s="26" t="str">
        <f>IFERROR(VLOOKUP(G1389,WholesaleExtract!B:J,6,FALSE),"")</f>
        <v/>
      </c>
      <c r="G1389" s="46"/>
      <c r="H1389" s="47" t="str">
        <f>IFERROR(VLOOKUP(G1389,WholesaleExtract!B:L,11,FALSE),"")</f>
        <v/>
      </c>
      <c r="I1389" s="26" t="str">
        <f>IFERROR(VLOOKUP(G1389,WholesaleExtract!B:O,8,FALSE),"")</f>
        <v/>
      </c>
      <c r="J1389" s="26" t="str">
        <f>IFERROR(VLOOKUP(G1389,WholesaleExtract!B:O,14,FALSE),"")</f>
        <v/>
      </c>
      <c r="K1389" s="26" t="str">
        <f>IFERROR(VLOOKUP(G1389,WholesaleExtract!B:K,10,FALSE),"")</f>
        <v/>
      </c>
      <c r="L1389" s="47" t="str">
        <f>IFERROR(VLOOKUP(G1389,WholesaleExtract!B:L,11,FALSE),"")</f>
        <v/>
      </c>
      <c r="M1389" s="47" t="str">
        <f>IFERROR(VLOOKUP(G1389,WholesaleExtract!B:M,12,FALSE),"")</f>
        <v/>
      </c>
      <c r="N1389" s="27"/>
      <c r="O1389" s="19"/>
      <c r="P1389" s="19"/>
      <c r="Q1389" s="47"/>
      <c r="R1389" s="19"/>
      <c r="S1389" s="19"/>
    </row>
    <row r="1390" spans="1:19" x14ac:dyDescent="0.35">
      <c r="A1390" s="26" t="s">
        <v>543</v>
      </c>
      <c r="B1390" s="26" t="s">
        <v>543</v>
      </c>
      <c r="C1390" s="26"/>
      <c r="D1390" s="26" t="s">
        <v>543</v>
      </c>
      <c r="E1390" s="26" t="str">
        <f>IFERROR(VLOOKUP(G1390,WholesaleExtract!B:J,9,FALSE),"")</f>
        <v/>
      </c>
      <c r="F1390" s="26" t="str">
        <f>IFERROR(VLOOKUP(G1390,WholesaleExtract!B:J,6,FALSE),"")</f>
        <v/>
      </c>
      <c r="G1390" s="46"/>
      <c r="H1390" s="47" t="str">
        <f>IFERROR(VLOOKUP(G1390,WholesaleExtract!B:L,11,FALSE),"")</f>
        <v/>
      </c>
      <c r="I1390" s="26" t="str">
        <f>IFERROR(VLOOKUP(G1390,WholesaleExtract!B:O,8,FALSE),"")</f>
        <v/>
      </c>
      <c r="J1390" s="26" t="str">
        <f>IFERROR(VLOOKUP(G1390,WholesaleExtract!B:O,14,FALSE),"")</f>
        <v/>
      </c>
      <c r="K1390" s="26" t="str">
        <f>IFERROR(VLOOKUP(G1390,WholesaleExtract!B:K,10,FALSE),"")</f>
        <v/>
      </c>
      <c r="L1390" s="47" t="str">
        <f>IFERROR(VLOOKUP(G1390,WholesaleExtract!B:L,11,FALSE),"")</f>
        <v/>
      </c>
      <c r="M1390" s="47" t="str">
        <f>IFERROR(VLOOKUP(G1390,WholesaleExtract!B:M,12,FALSE),"")</f>
        <v/>
      </c>
      <c r="N1390" s="27"/>
      <c r="O1390" s="19"/>
      <c r="P1390" s="19"/>
      <c r="Q1390" s="47"/>
      <c r="R1390" s="19"/>
      <c r="S1390" s="19"/>
    </row>
    <row r="1391" spans="1:19" x14ac:dyDescent="0.35">
      <c r="A1391" s="26" t="s">
        <v>543</v>
      </c>
      <c r="B1391" s="26" t="s">
        <v>543</v>
      </c>
      <c r="C1391" s="26"/>
      <c r="D1391" s="26" t="s">
        <v>543</v>
      </c>
      <c r="E1391" s="26" t="str">
        <f>IFERROR(VLOOKUP(G1391,WholesaleExtract!B:J,9,FALSE),"")</f>
        <v/>
      </c>
      <c r="F1391" s="26" t="str">
        <f>IFERROR(VLOOKUP(G1391,WholesaleExtract!B:J,6,FALSE),"")</f>
        <v/>
      </c>
      <c r="G1391" s="46"/>
      <c r="H1391" s="47" t="str">
        <f>IFERROR(VLOOKUP(G1391,WholesaleExtract!B:L,11,FALSE),"")</f>
        <v/>
      </c>
      <c r="I1391" s="26" t="str">
        <f>IFERROR(VLOOKUP(G1391,WholesaleExtract!B:O,8,FALSE),"")</f>
        <v/>
      </c>
      <c r="J1391" s="26" t="str">
        <f>IFERROR(VLOOKUP(G1391,WholesaleExtract!B:O,14,FALSE),"")</f>
        <v/>
      </c>
      <c r="K1391" s="26" t="str">
        <f>IFERROR(VLOOKUP(G1391,WholesaleExtract!B:K,10,FALSE),"")</f>
        <v/>
      </c>
      <c r="L1391" s="47" t="str">
        <f>IFERROR(VLOOKUP(G1391,WholesaleExtract!B:L,11,FALSE),"")</f>
        <v/>
      </c>
      <c r="M1391" s="47" t="str">
        <f>IFERROR(VLOOKUP(G1391,WholesaleExtract!B:M,12,FALSE),"")</f>
        <v/>
      </c>
      <c r="N1391" s="27"/>
      <c r="O1391" s="19"/>
      <c r="P1391" s="19"/>
      <c r="Q1391" s="47"/>
      <c r="R1391" s="19"/>
      <c r="S1391" s="19"/>
    </row>
    <row r="1392" spans="1:19" x14ac:dyDescent="0.35">
      <c r="A1392" s="26" t="s">
        <v>543</v>
      </c>
      <c r="B1392" s="26" t="s">
        <v>543</v>
      </c>
      <c r="C1392" s="26"/>
      <c r="D1392" s="26" t="s">
        <v>543</v>
      </c>
      <c r="E1392" s="26" t="str">
        <f>IFERROR(VLOOKUP(G1392,WholesaleExtract!B:J,9,FALSE),"")</f>
        <v/>
      </c>
      <c r="F1392" s="26" t="str">
        <f>IFERROR(VLOOKUP(G1392,WholesaleExtract!B:J,6,FALSE),"")</f>
        <v/>
      </c>
      <c r="G1392" s="46"/>
      <c r="H1392" s="47" t="str">
        <f>IFERROR(VLOOKUP(G1392,WholesaleExtract!B:L,11,FALSE),"")</f>
        <v/>
      </c>
      <c r="I1392" s="26" t="str">
        <f>IFERROR(VLOOKUP(G1392,WholesaleExtract!B:O,8,FALSE),"")</f>
        <v/>
      </c>
      <c r="J1392" s="26" t="str">
        <f>IFERROR(VLOOKUP(G1392,WholesaleExtract!B:O,14,FALSE),"")</f>
        <v/>
      </c>
      <c r="K1392" s="26" t="str">
        <f>IFERROR(VLOOKUP(G1392,WholesaleExtract!B:K,10,FALSE),"")</f>
        <v/>
      </c>
      <c r="L1392" s="47" t="str">
        <f>IFERROR(VLOOKUP(G1392,WholesaleExtract!B:L,11,FALSE),"")</f>
        <v/>
      </c>
      <c r="M1392" s="47" t="str">
        <f>IFERROR(VLOOKUP(G1392,WholesaleExtract!B:M,12,FALSE),"")</f>
        <v/>
      </c>
      <c r="N1392" s="27"/>
      <c r="O1392" s="19"/>
      <c r="P1392" s="19"/>
      <c r="Q1392" s="47"/>
      <c r="R1392" s="19"/>
      <c r="S1392" s="19"/>
    </row>
    <row r="1393" spans="1:19" x14ac:dyDescent="0.35">
      <c r="A1393" s="26" t="s">
        <v>543</v>
      </c>
      <c r="B1393" s="26" t="s">
        <v>543</v>
      </c>
      <c r="C1393" s="26"/>
      <c r="D1393" s="26" t="s">
        <v>543</v>
      </c>
      <c r="E1393" s="26" t="str">
        <f>IFERROR(VLOOKUP(G1393,WholesaleExtract!B:J,9,FALSE),"")</f>
        <v/>
      </c>
      <c r="F1393" s="26" t="str">
        <f>IFERROR(VLOOKUP(G1393,WholesaleExtract!B:J,6,FALSE),"")</f>
        <v/>
      </c>
      <c r="G1393" s="46"/>
      <c r="H1393" s="47" t="str">
        <f>IFERROR(VLOOKUP(G1393,WholesaleExtract!B:L,11,FALSE),"")</f>
        <v/>
      </c>
      <c r="I1393" s="26" t="str">
        <f>IFERROR(VLOOKUP(G1393,WholesaleExtract!B:O,8,FALSE),"")</f>
        <v/>
      </c>
      <c r="J1393" s="26" t="str">
        <f>IFERROR(VLOOKUP(G1393,WholesaleExtract!B:O,14,FALSE),"")</f>
        <v/>
      </c>
      <c r="K1393" s="26" t="str">
        <f>IFERROR(VLOOKUP(G1393,WholesaleExtract!B:K,10,FALSE),"")</f>
        <v/>
      </c>
      <c r="L1393" s="47" t="str">
        <f>IFERROR(VLOOKUP(G1393,WholesaleExtract!B:L,11,FALSE),"")</f>
        <v/>
      </c>
      <c r="M1393" s="47" t="str">
        <f>IFERROR(VLOOKUP(G1393,WholesaleExtract!B:M,12,FALSE),"")</f>
        <v/>
      </c>
      <c r="N1393" s="27"/>
      <c r="O1393" s="19"/>
      <c r="P1393" s="19"/>
      <c r="Q1393" s="47"/>
      <c r="R1393" s="19"/>
      <c r="S1393" s="19"/>
    </row>
    <row r="1394" spans="1:19" x14ac:dyDescent="0.35">
      <c r="A1394" s="26" t="s">
        <v>543</v>
      </c>
      <c r="B1394" s="26" t="s">
        <v>543</v>
      </c>
      <c r="C1394" s="26"/>
      <c r="D1394" s="26" t="s">
        <v>543</v>
      </c>
      <c r="E1394" s="26" t="str">
        <f>IFERROR(VLOOKUP(G1394,WholesaleExtract!B:J,9,FALSE),"")</f>
        <v/>
      </c>
      <c r="F1394" s="26" t="str">
        <f>IFERROR(VLOOKUP(G1394,WholesaleExtract!B:J,6,FALSE),"")</f>
        <v/>
      </c>
      <c r="G1394" s="46"/>
      <c r="H1394" s="47" t="str">
        <f>IFERROR(VLOOKUP(G1394,WholesaleExtract!B:L,11,FALSE),"")</f>
        <v/>
      </c>
      <c r="I1394" s="26" t="str">
        <f>IFERROR(VLOOKUP(G1394,WholesaleExtract!B:O,8,FALSE),"")</f>
        <v/>
      </c>
      <c r="J1394" s="26" t="str">
        <f>IFERROR(VLOOKUP(G1394,WholesaleExtract!B:O,14,FALSE),"")</f>
        <v/>
      </c>
      <c r="K1394" s="26" t="str">
        <f>IFERROR(VLOOKUP(G1394,WholesaleExtract!B:K,10,FALSE),"")</f>
        <v/>
      </c>
      <c r="L1394" s="47" t="str">
        <f>IFERROR(VLOOKUP(G1394,WholesaleExtract!B:L,11,FALSE),"")</f>
        <v/>
      </c>
      <c r="M1394" s="47" t="str">
        <f>IFERROR(VLOOKUP(G1394,WholesaleExtract!B:M,12,FALSE),"")</f>
        <v/>
      </c>
      <c r="N1394" s="27"/>
      <c r="O1394" s="19"/>
      <c r="P1394" s="19"/>
      <c r="Q1394" s="47"/>
      <c r="R1394" s="19"/>
      <c r="S1394" s="19"/>
    </row>
    <row r="1395" spans="1:19" x14ac:dyDescent="0.35">
      <c r="A1395" s="26" t="s">
        <v>543</v>
      </c>
      <c r="B1395" s="26" t="s">
        <v>543</v>
      </c>
      <c r="C1395" s="26"/>
      <c r="D1395" s="26" t="s">
        <v>543</v>
      </c>
      <c r="E1395" s="26" t="str">
        <f>IFERROR(VLOOKUP(G1395,WholesaleExtract!B:J,9,FALSE),"")</f>
        <v/>
      </c>
      <c r="F1395" s="26" t="str">
        <f>IFERROR(VLOOKUP(G1395,WholesaleExtract!B:J,6,FALSE),"")</f>
        <v/>
      </c>
      <c r="G1395" s="46"/>
      <c r="H1395" s="47" t="str">
        <f>IFERROR(VLOOKUP(G1395,WholesaleExtract!B:L,11,FALSE),"")</f>
        <v/>
      </c>
      <c r="I1395" s="26" t="str">
        <f>IFERROR(VLOOKUP(G1395,WholesaleExtract!B:O,8,FALSE),"")</f>
        <v/>
      </c>
      <c r="J1395" s="26" t="str">
        <f>IFERROR(VLOOKUP(G1395,WholesaleExtract!B:O,14,FALSE),"")</f>
        <v/>
      </c>
      <c r="K1395" s="26" t="str">
        <f>IFERROR(VLOOKUP(G1395,WholesaleExtract!B:K,10,FALSE),"")</f>
        <v/>
      </c>
      <c r="L1395" s="47" t="str">
        <f>IFERROR(VLOOKUP(G1395,WholesaleExtract!B:L,11,FALSE),"")</f>
        <v/>
      </c>
      <c r="M1395" s="47" t="str">
        <f>IFERROR(VLOOKUP(G1395,WholesaleExtract!B:M,12,FALSE),"")</f>
        <v/>
      </c>
      <c r="N1395" s="27"/>
      <c r="O1395" s="19"/>
      <c r="P1395" s="19"/>
      <c r="Q1395" s="47"/>
      <c r="R1395" s="19"/>
      <c r="S1395" s="19"/>
    </row>
    <row r="1396" spans="1:19" x14ac:dyDescent="0.35">
      <c r="A1396" s="26" t="s">
        <v>543</v>
      </c>
      <c r="B1396" s="26" t="s">
        <v>543</v>
      </c>
      <c r="C1396" s="26"/>
      <c r="D1396" s="26" t="s">
        <v>543</v>
      </c>
      <c r="E1396" s="26" t="str">
        <f>IFERROR(VLOOKUP(G1396,WholesaleExtract!B:J,9,FALSE),"")</f>
        <v/>
      </c>
      <c r="F1396" s="26" t="str">
        <f>IFERROR(VLOOKUP(G1396,WholesaleExtract!B:J,6,FALSE),"")</f>
        <v/>
      </c>
      <c r="G1396" s="46"/>
      <c r="H1396" s="47" t="str">
        <f>IFERROR(VLOOKUP(G1396,WholesaleExtract!B:L,11,FALSE),"")</f>
        <v/>
      </c>
      <c r="I1396" s="26" t="str">
        <f>IFERROR(VLOOKUP(G1396,WholesaleExtract!B:O,8,FALSE),"")</f>
        <v/>
      </c>
      <c r="J1396" s="26" t="str">
        <f>IFERROR(VLOOKUP(G1396,WholesaleExtract!B:O,14,FALSE),"")</f>
        <v/>
      </c>
      <c r="K1396" s="26" t="str">
        <f>IFERROR(VLOOKUP(G1396,WholesaleExtract!B:K,10,FALSE),"")</f>
        <v/>
      </c>
      <c r="L1396" s="47" t="str">
        <f>IFERROR(VLOOKUP(G1396,WholesaleExtract!B:L,11,FALSE),"")</f>
        <v/>
      </c>
      <c r="M1396" s="47" t="str">
        <f>IFERROR(VLOOKUP(G1396,WholesaleExtract!B:M,12,FALSE),"")</f>
        <v/>
      </c>
      <c r="N1396" s="27"/>
      <c r="O1396" s="19"/>
      <c r="P1396" s="19"/>
      <c r="Q1396" s="47"/>
      <c r="R1396" s="19"/>
      <c r="S1396" s="19"/>
    </row>
    <row r="1397" spans="1:19" x14ac:dyDescent="0.35">
      <c r="A1397" s="26" t="s">
        <v>543</v>
      </c>
      <c r="B1397" s="26" t="s">
        <v>543</v>
      </c>
      <c r="C1397" s="26"/>
      <c r="D1397" s="26" t="s">
        <v>543</v>
      </c>
      <c r="E1397" s="26" t="str">
        <f>IFERROR(VLOOKUP(G1397,WholesaleExtract!B:J,9,FALSE),"")</f>
        <v/>
      </c>
      <c r="F1397" s="26" t="str">
        <f>IFERROR(VLOOKUP(G1397,WholesaleExtract!B:J,6,FALSE),"")</f>
        <v/>
      </c>
      <c r="G1397" s="46"/>
      <c r="H1397" s="47" t="str">
        <f>IFERROR(VLOOKUP(G1397,WholesaleExtract!B:L,11,FALSE),"")</f>
        <v/>
      </c>
      <c r="I1397" s="26" t="str">
        <f>IFERROR(VLOOKUP(G1397,WholesaleExtract!B:O,8,FALSE),"")</f>
        <v/>
      </c>
      <c r="J1397" s="26" t="str">
        <f>IFERROR(VLOOKUP(G1397,WholesaleExtract!B:O,14,FALSE),"")</f>
        <v/>
      </c>
      <c r="K1397" s="26" t="str">
        <f>IFERROR(VLOOKUP(G1397,WholesaleExtract!B:K,10,FALSE),"")</f>
        <v/>
      </c>
      <c r="L1397" s="47" t="str">
        <f>IFERROR(VLOOKUP(G1397,WholesaleExtract!B:L,11,FALSE),"")</f>
        <v/>
      </c>
      <c r="M1397" s="47" t="str">
        <f>IFERROR(VLOOKUP(G1397,WholesaleExtract!B:M,12,FALSE),"")</f>
        <v/>
      </c>
      <c r="N1397" s="27"/>
      <c r="O1397" s="19"/>
      <c r="P1397" s="19"/>
      <c r="Q1397" s="47"/>
      <c r="R1397" s="19"/>
      <c r="S1397" s="19"/>
    </row>
    <row r="1398" spans="1:19" x14ac:dyDescent="0.35">
      <c r="A1398" s="26" t="s">
        <v>543</v>
      </c>
      <c r="B1398" s="26" t="s">
        <v>543</v>
      </c>
      <c r="C1398" s="26"/>
      <c r="D1398" s="26" t="s">
        <v>543</v>
      </c>
      <c r="E1398" s="26" t="str">
        <f>IFERROR(VLOOKUP(G1398,WholesaleExtract!B:J,9,FALSE),"")</f>
        <v/>
      </c>
      <c r="F1398" s="26" t="str">
        <f>IFERROR(VLOOKUP(G1398,WholesaleExtract!B:J,6,FALSE),"")</f>
        <v/>
      </c>
      <c r="G1398" s="46"/>
      <c r="H1398" s="47" t="str">
        <f>IFERROR(VLOOKUP(G1398,WholesaleExtract!B:L,11,FALSE),"")</f>
        <v/>
      </c>
      <c r="I1398" s="26" t="str">
        <f>IFERROR(VLOOKUP(G1398,WholesaleExtract!B:O,8,FALSE),"")</f>
        <v/>
      </c>
      <c r="J1398" s="26" t="str">
        <f>IFERROR(VLOOKUP(G1398,WholesaleExtract!B:O,14,FALSE),"")</f>
        <v/>
      </c>
      <c r="K1398" s="26" t="str">
        <f>IFERROR(VLOOKUP(G1398,WholesaleExtract!B:K,10,FALSE),"")</f>
        <v/>
      </c>
      <c r="L1398" s="47" t="str">
        <f>IFERROR(VLOOKUP(G1398,WholesaleExtract!B:L,11,FALSE),"")</f>
        <v/>
      </c>
      <c r="M1398" s="47" t="str">
        <f>IFERROR(VLOOKUP(G1398,WholesaleExtract!B:M,12,FALSE),"")</f>
        <v/>
      </c>
      <c r="N1398" s="27"/>
      <c r="O1398" s="19"/>
      <c r="P1398" s="19"/>
      <c r="Q1398" s="47"/>
      <c r="R1398" s="19"/>
      <c r="S1398" s="19"/>
    </row>
    <row r="1399" spans="1:19" x14ac:dyDescent="0.35">
      <c r="A1399" s="26" t="s">
        <v>543</v>
      </c>
      <c r="B1399" s="26" t="s">
        <v>543</v>
      </c>
      <c r="C1399" s="26"/>
      <c r="D1399" s="26" t="s">
        <v>543</v>
      </c>
      <c r="E1399" s="26" t="str">
        <f>IFERROR(VLOOKUP(G1399,WholesaleExtract!B:J,9,FALSE),"")</f>
        <v/>
      </c>
      <c r="F1399" s="26" t="str">
        <f>IFERROR(VLOOKUP(G1399,WholesaleExtract!B:J,6,FALSE),"")</f>
        <v/>
      </c>
      <c r="G1399" s="46"/>
      <c r="H1399" s="47" t="str">
        <f>IFERROR(VLOOKUP(G1399,WholesaleExtract!B:L,11,FALSE),"")</f>
        <v/>
      </c>
      <c r="I1399" s="26" t="str">
        <f>IFERROR(VLOOKUP(G1399,WholesaleExtract!B:O,8,FALSE),"")</f>
        <v/>
      </c>
      <c r="J1399" s="26" t="str">
        <f>IFERROR(VLOOKUP(G1399,WholesaleExtract!B:O,14,FALSE),"")</f>
        <v/>
      </c>
      <c r="K1399" s="26" t="str">
        <f>IFERROR(VLOOKUP(G1399,WholesaleExtract!B:K,10,FALSE),"")</f>
        <v/>
      </c>
      <c r="L1399" s="47" t="str">
        <f>IFERROR(VLOOKUP(G1399,WholesaleExtract!B:L,11,FALSE),"")</f>
        <v/>
      </c>
      <c r="M1399" s="47" t="str">
        <f>IFERROR(VLOOKUP(G1399,WholesaleExtract!B:M,12,FALSE),"")</f>
        <v/>
      </c>
      <c r="N1399" s="27"/>
      <c r="O1399" s="19"/>
      <c r="P1399" s="19"/>
      <c r="Q1399" s="47"/>
      <c r="R1399" s="19"/>
      <c r="S1399" s="19"/>
    </row>
    <row r="1400" spans="1:19" x14ac:dyDescent="0.35">
      <c r="A1400" s="26" t="s">
        <v>543</v>
      </c>
      <c r="B1400" s="26" t="s">
        <v>543</v>
      </c>
      <c r="C1400" s="26"/>
      <c r="D1400" s="26" t="s">
        <v>543</v>
      </c>
      <c r="E1400" s="26" t="str">
        <f>IFERROR(VLOOKUP(G1400,WholesaleExtract!B:J,9,FALSE),"")</f>
        <v/>
      </c>
      <c r="F1400" s="26" t="str">
        <f>IFERROR(VLOOKUP(G1400,WholesaleExtract!B:J,6,FALSE),"")</f>
        <v/>
      </c>
      <c r="G1400" s="46"/>
      <c r="H1400" s="47" t="str">
        <f>IFERROR(VLOOKUP(G1400,WholesaleExtract!B:L,11,FALSE),"")</f>
        <v/>
      </c>
      <c r="I1400" s="26" t="str">
        <f>IFERROR(VLOOKUP(G1400,WholesaleExtract!B:O,8,FALSE),"")</f>
        <v/>
      </c>
      <c r="J1400" s="26" t="str">
        <f>IFERROR(VLOOKUP(G1400,WholesaleExtract!B:O,14,FALSE),"")</f>
        <v/>
      </c>
      <c r="K1400" s="26" t="str">
        <f>IFERROR(VLOOKUP(G1400,WholesaleExtract!B:K,10,FALSE),"")</f>
        <v/>
      </c>
      <c r="L1400" s="47" t="str">
        <f>IFERROR(VLOOKUP(G1400,WholesaleExtract!B:L,11,FALSE),"")</f>
        <v/>
      </c>
      <c r="M1400" s="47" t="str">
        <f>IFERROR(VLOOKUP(G1400,WholesaleExtract!B:M,12,FALSE),"")</f>
        <v/>
      </c>
      <c r="N1400" s="27"/>
      <c r="O1400" s="19"/>
      <c r="P1400" s="19"/>
      <c r="Q1400" s="47"/>
      <c r="R1400" s="19"/>
      <c r="S1400" s="19"/>
    </row>
    <row r="1401" spans="1:19" x14ac:dyDescent="0.35">
      <c r="A1401" s="26" t="s">
        <v>543</v>
      </c>
      <c r="B1401" s="26" t="s">
        <v>543</v>
      </c>
      <c r="C1401" s="26"/>
      <c r="D1401" s="26" t="s">
        <v>543</v>
      </c>
      <c r="E1401" s="26" t="str">
        <f>IFERROR(VLOOKUP(G1401,WholesaleExtract!B:J,9,FALSE),"")</f>
        <v/>
      </c>
      <c r="F1401" s="26" t="str">
        <f>IFERROR(VLOOKUP(G1401,WholesaleExtract!B:J,6,FALSE),"")</f>
        <v/>
      </c>
      <c r="G1401" s="46"/>
      <c r="H1401" s="47" t="str">
        <f>IFERROR(VLOOKUP(G1401,WholesaleExtract!B:L,11,FALSE),"")</f>
        <v/>
      </c>
      <c r="I1401" s="26" t="str">
        <f>IFERROR(VLOOKUP(G1401,WholesaleExtract!B:O,8,FALSE),"")</f>
        <v/>
      </c>
      <c r="J1401" s="26" t="str">
        <f>IFERROR(VLOOKUP(G1401,WholesaleExtract!B:O,14,FALSE),"")</f>
        <v/>
      </c>
      <c r="K1401" s="26" t="str">
        <f>IFERROR(VLOOKUP(G1401,WholesaleExtract!B:K,10,FALSE),"")</f>
        <v/>
      </c>
      <c r="L1401" s="47" t="str">
        <f>IFERROR(VLOOKUP(G1401,WholesaleExtract!B:L,11,FALSE),"")</f>
        <v/>
      </c>
      <c r="M1401" s="47" t="str">
        <f>IFERROR(VLOOKUP(G1401,WholesaleExtract!B:M,12,FALSE),"")</f>
        <v/>
      </c>
      <c r="N1401" s="27"/>
      <c r="O1401" s="19"/>
      <c r="P1401" s="19"/>
      <c r="Q1401" s="47"/>
      <c r="R1401" s="19"/>
      <c r="S1401" s="19"/>
    </row>
    <row r="1402" spans="1:19" x14ac:dyDescent="0.35">
      <c r="A1402" s="26" t="s">
        <v>543</v>
      </c>
      <c r="B1402" s="26" t="s">
        <v>543</v>
      </c>
      <c r="C1402" s="26"/>
      <c r="D1402" s="26" t="s">
        <v>543</v>
      </c>
      <c r="E1402" s="26" t="str">
        <f>IFERROR(VLOOKUP(G1402,WholesaleExtract!B:J,9,FALSE),"")</f>
        <v/>
      </c>
      <c r="F1402" s="26" t="str">
        <f>IFERROR(VLOOKUP(G1402,WholesaleExtract!B:J,6,FALSE),"")</f>
        <v/>
      </c>
      <c r="G1402" s="46"/>
      <c r="H1402" s="47" t="str">
        <f>IFERROR(VLOOKUP(G1402,WholesaleExtract!B:L,11,FALSE),"")</f>
        <v/>
      </c>
      <c r="I1402" s="26" t="str">
        <f>IFERROR(VLOOKUP(G1402,WholesaleExtract!B:O,8,FALSE),"")</f>
        <v/>
      </c>
      <c r="J1402" s="26" t="str">
        <f>IFERROR(VLOOKUP(G1402,WholesaleExtract!B:O,14,FALSE),"")</f>
        <v/>
      </c>
      <c r="K1402" s="26" t="str">
        <f>IFERROR(VLOOKUP(G1402,WholesaleExtract!B:K,10,FALSE),"")</f>
        <v/>
      </c>
      <c r="L1402" s="47" t="str">
        <f>IFERROR(VLOOKUP(G1402,WholesaleExtract!B:L,11,FALSE),"")</f>
        <v/>
      </c>
      <c r="M1402" s="47" t="str">
        <f>IFERROR(VLOOKUP(G1402,WholesaleExtract!B:M,12,FALSE),"")</f>
        <v/>
      </c>
      <c r="N1402" s="27"/>
      <c r="O1402" s="19"/>
      <c r="P1402" s="19"/>
      <c r="Q1402" s="47"/>
      <c r="R1402" s="19"/>
      <c r="S1402" s="19"/>
    </row>
    <row r="1403" spans="1:19" x14ac:dyDescent="0.35">
      <c r="A1403" s="26" t="s">
        <v>543</v>
      </c>
      <c r="B1403" s="26" t="s">
        <v>543</v>
      </c>
      <c r="C1403" s="26"/>
      <c r="D1403" s="26" t="s">
        <v>543</v>
      </c>
      <c r="E1403" s="26" t="str">
        <f>IFERROR(VLOOKUP(G1403,WholesaleExtract!B:J,9,FALSE),"")</f>
        <v/>
      </c>
      <c r="F1403" s="26" t="str">
        <f>IFERROR(VLOOKUP(G1403,WholesaleExtract!B:J,6,FALSE),"")</f>
        <v/>
      </c>
      <c r="G1403" s="46"/>
      <c r="H1403" s="47" t="str">
        <f>IFERROR(VLOOKUP(G1403,WholesaleExtract!B:L,11,FALSE),"")</f>
        <v/>
      </c>
      <c r="I1403" s="26" t="str">
        <f>IFERROR(VLOOKUP(G1403,WholesaleExtract!B:O,8,FALSE),"")</f>
        <v/>
      </c>
      <c r="J1403" s="26" t="str">
        <f>IFERROR(VLOOKUP(G1403,WholesaleExtract!B:O,14,FALSE),"")</f>
        <v/>
      </c>
      <c r="K1403" s="26" t="str">
        <f>IFERROR(VLOOKUP(G1403,WholesaleExtract!B:K,10,FALSE),"")</f>
        <v/>
      </c>
      <c r="L1403" s="47" t="str">
        <f>IFERROR(VLOOKUP(G1403,WholesaleExtract!B:L,11,FALSE),"")</f>
        <v/>
      </c>
      <c r="M1403" s="47" t="str">
        <f>IFERROR(VLOOKUP(G1403,WholesaleExtract!B:M,12,FALSE),"")</f>
        <v/>
      </c>
      <c r="N1403" s="27"/>
      <c r="O1403" s="19"/>
      <c r="P1403" s="19"/>
      <c r="Q1403" s="47"/>
      <c r="R1403" s="19"/>
      <c r="S1403" s="19"/>
    </row>
    <row r="1404" spans="1:19" x14ac:dyDescent="0.35">
      <c r="A1404" s="26" t="s">
        <v>543</v>
      </c>
      <c r="B1404" s="26" t="s">
        <v>543</v>
      </c>
      <c r="C1404" s="26"/>
      <c r="D1404" s="26" t="s">
        <v>543</v>
      </c>
      <c r="E1404" s="26" t="str">
        <f>IFERROR(VLOOKUP(G1404,WholesaleExtract!B:J,9,FALSE),"")</f>
        <v/>
      </c>
      <c r="F1404" s="26" t="str">
        <f>IFERROR(VLOOKUP(G1404,WholesaleExtract!B:J,6,FALSE),"")</f>
        <v/>
      </c>
      <c r="G1404" s="46"/>
      <c r="H1404" s="47" t="str">
        <f>IFERROR(VLOOKUP(G1404,WholesaleExtract!B:L,11,FALSE),"")</f>
        <v/>
      </c>
      <c r="I1404" s="26" t="str">
        <f>IFERROR(VLOOKUP(G1404,WholesaleExtract!B:O,8,FALSE),"")</f>
        <v/>
      </c>
      <c r="J1404" s="26" t="str">
        <f>IFERROR(VLOOKUP(G1404,WholesaleExtract!B:O,14,FALSE),"")</f>
        <v/>
      </c>
      <c r="K1404" s="26" t="str">
        <f>IFERROR(VLOOKUP(G1404,WholesaleExtract!B:K,10,FALSE),"")</f>
        <v/>
      </c>
      <c r="L1404" s="47" t="str">
        <f>IFERROR(VLOOKUP(G1404,WholesaleExtract!B:L,11,FALSE),"")</f>
        <v/>
      </c>
      <c r="M1404" s="47" t="str">
        <f>IFERROR(VLOOKUP(G1404,WholesaleExtract!B:M,12,FALSE),"")</f>
        <v/>
      </c>
      <c r="N1404" s="27"/>
      <c r="O1404" s="19"/>
      <c r="P1404" s="19"/>
      <c r="Q1404" s="47"/>
      <c r="R1404" s="19"/>
      <c r="S1404" s="19"/>
    </row>
    <row r="1405" spans="1:19" x14ac:dyDescent="0.35">
      <c r="A1405" s="26" t="s">
        <v>543</v>
      </c>
      <c r="B1405" s="26" t="s">
        <v>543</v>
      </c>
      <c r="C1405" s="26"/>
      <c r="D1405" s="26" t="s">
        <v>543</v>
      </c>
      <c r="E1405" s="26" t="str">
        <f>IFERROR(VLOOKUP(G1405,WholesaleExtract!B:J,9,FALSE),"")</f>
        <v/>
      </c>
      <c r="F1405" s="26" t="str">
        <f>IFERROR(VLOOKUP(G1405,WholesaleExtract!B:J,6,FALSE),"")</f>
        <v/>
      </c>
      <c r="G1405" s="46"/>
      <c r="H1405" s="47" t="str">
        <f>IFERROR(VLOOKUP(G1405,WholesaleExtract!B:L,11,FALSE),"")</f>
        <v/>
      </c>
      <c r="I1405" s="26" t="str">
        <f>IFERROR(VLOOKUP(G1405,WholesaleExtract!B:O,8,FALSE),"")</f>
        <v/>
      </c>
      <c r="J1405" s="26" t="str">
        <f>IFERROR(VLOOKUP(G1405,WholesaleExtract!B:O,14,FALSE),"")</f>
        <v/>
      </c>
      <c r="K1405" s="26" t="str">
        <f>IFERROR(VLOOKUP(G1405,WholesaleExtract!B:K,10,FALSE),"")</f>
        <v/>
      </c>
      <c r="L1405" s="47" t="str">
        <f>IFERROR(VLOOKUP(G1405,WholesaleExtract!B:L,11,FALSE),"")</f>
        <v/>
      </c>
      <c r="M1405" s="47" t="str">
        <f>IFERROR(VLOOKUP(G1405,WholesaleExtract!B:M,12,FALSE),"")</f>
        <v/>
      </c>
      <c r="N1405" s="27"/>
      <c r="O1405" s="19"/>
      <c r="P1405" s="19"/>
      <c r="Q1405" s="47"/>
      <c r="R1405" s="19"/>
      <c r="S1405" s="19"/>
    </row>
    <row r="1406" spans="1:19" x14ac:dyDescent="0.35">
      <c r="A1406" s="26" t="s">
        <v>543</v>
      </c>
      <c r="B1406" s="26" t="s">
        <v>543</v>
      </c>
      <c r="C1406" s="26"/>
      <c r="D1406" s="26" t="s">
        <v>543</v>
      </c>
      <c r="E1406" s="26" t="str">
        <f>IFERROR(VLOOKUP(G1406,WholesaleExtract!B:J,9,FALSE),"")</f>
        <v/>
      </c>
      <c r="F1406" s="26" t="str">
        <f>IFERROR(VLOOKUP(G1406,WholesaleExtract!B:J,6,FALSE),"")</f>
        <v/>
      </c>
      <c r="G1406" s="46"/>
      <c r="H1406" s="47" t="str">
        <f>IFERROR(VLOOKUP(G1406,WholesaleExtract!B:L,11,FALSE),"")</f>
        <v/>
      </c>
      <c r="I1406" s="26" t="str">
        <f>IFERROR(VLOOKUP(G1406,WholesaleExtract!B:O,8,FALSE),"")</f>
        <v/>
      </c>
      <c r="J1406" s="26" t="str">
        <f>IFERROR(VLOOKUP(G1406,WholesaleExtract!B:O,14,FALSE),"")</f>
        <v/>
      </c>
      <c r="K1406" s="26" t="str">
        <f>IFERROR(VLOOKUP(G1406,WholesaleExtract!B:K,10,FALSE),"")</f>
        <v/>
      </c>
      <c r="L1406" s="47" t="str">
        <f>IFERROR(VLOOKUP(G1406,WholesaleExtract!B:L,11,FALSE),"")</f>
        <v/>
      </c>
      <c r="M1406" s="47" t="str">
        <f>IFERROR(VLOOKUP(G1406,WholesaleExtract!B:M,12,FALSE),"")</f>
        <v/>
      </c>
      <c r="N1406" s="27"/>
      <c r="O1406" s="19"/>
      <c r="P1406" s="19"/>
      <c r="Q1406" s="47"/>
      <c r="R1406" s="19"/>
      <c r="S1406" s="19"/>
    </row>
    <row r="1407" spans="1:19" x14ac:dyDescent="0.35">
      <c r="A1407" s="26" t="s">
        <v>543</v>
      </c>
      <c r="B1407" s="26" t="s">
        <v>543</v>
      </c>
      <c r="C1407" s="26"/>
      <c r="D1407" s="26" t="s">
        <v>543</v>
      </c>
      <c r="E1407" s="26" t="str">
        <f>IFERROR(VLOOKUP(G1407,WholesaleExtract!B:J,9,FALSE),"")</f>
        <v/>
      </c>
      <c r="F1407" s="26" t="str">
        <f>IFERROR(VLOOKUP(G1407,WholesaleExtract!B:J,6,FALSE),"")</f>
        <v/>
      </c>
      <c r="G1407" s="46"/>
      <c r="H1407" s="47" t="str">
        <f>IFERROR(VLOOKUP(G1407,WholesaleExtract!B:L,11,FALSE),"")</f>
        <v/>
      </c>
      <c r="I1407" s="26" t="str">
        <f>IFERROR(VLOOKUP(G1407,WholesaleExtract!B:O,8,FALSE),"")</f>
        <v/>
      </c>
      <c r="J1407" s="26" t="str">
        <f>IFERROR(VLOOKUP(G1407,WholesaleExtract!B:O,14,FALSE),"")</f>
        <v/>
      </c>
      <c r="K1407" s="26" t="str">
        <f>IFERROR(VLOOKUP(G1407,WholesaleExtract!B:K,10,FALSE),"")</f>
        <v/>
      </c>
      <c r="L1407" s="47" t="str">
        <f>IFERROR(VLOOKUP(G1407,WholesaleExtract!B:L,11,FALSE),"")</f>
        <v/>
      </c>
      <c r="M1407" s="47" t="str">
        <f>IFERROR(VLOOKUP(G1407,WholesaleExtract!B:M,12,FALSE),"")</f>
        <v/>
      </c>
      <c r="N1407" s="27"/>
      <c r="O1407" s="19"/>
      <c r="P1407" s="19"/>
      <c r="Q1407" s="47"/>
      <c r="R1407" s="19"/>
      <c r="S1407" s="19"/>
    </row>
    <row r="1408" spans="1:19" x14ac:dyDescent="0.35">
      <c r="A1408" s="26" t="s">
        <v>543</v>
      </c>
      <c r="B1408" s="26" t="s">
        <v>543</v>
      </c>
      <c r="C1408" s="26"/>
      <c r="D1408" s="26" t="s">
        <v>543</v>
      </c>
      <c r="E1408" s="26" t="str">
        <f>IFERROR(VLOOKUP(G1408,WholesaleExtract!B:J,9,FALSE),"")</f>
        <v/>
      </c>
      <c r="F1408" s="26" t="str">
        <f>IFERROR(VLOOKUP(G1408,WholesaleExtract!B:J,6,FALSE),"")</f>
        <v/>
      </c>
      <c r="G1408" s="46"/>
      <c r="H1408" s="47" t="str">
        <f>IFERROR(VLOOKUP(G1408,WholesaleExtract!B:L,11,FALSE),"")</f>
        <v/>
      </c>
      <c r="I1408" s="26" t="str">
        <f>IFERROR(VLOOKUP(G1408,WholesaleExtract!B:O,8,FALSE),"")</f>
        <v/>
      </c>
      <c r="J1408" s="26" t="str">
        <f>IFERROR(VLOOKUP(G1408,WholesaleExtract!B:O,14,FALSE),"")</f>
        <v/>
      </c>
      <c r="K1408" s="26" t="str">
        <f>IFERROR(VLOOKUP(G1408,WholesaleExtract!B:K,10,FALSE),"")</f>
        <v/>
      </c>
      <c r="L1408" s="47" t="str">
        <f>IFERROR(VLOOKUP(G1408,WholesaleExtract!B:L,11,FALSE),"")</f>
        <v/>
      </c>
      <c r="M1408" s="47" t="str">
        <f>IFERROR(VLOOKUP(G1408,WholesaleExtract!B:M,12,FALSE),"")</f>
        <v/>
      </c>
      <c r="N1408" s="27"/>
      <c r="O1408" s="19"/>
      <c r="P1408" s="19"/>
      <c r="Q1408" s="47"/>
      <c r="R1408" s="19"/>
      <c r="S1408" s="19"/>
    </row>
    <row r="1409" spans="1:19" x14ac:dyDescent="0.35">
      <c r="A1409" s="26" t="s">
        <v>543</v>
      </c>
      <c r="B1409" s="26" t="s">
        <v>543</v>
      </c>
      <c r="C1409" s="26"/>
      <c r="D1409" s="26" t="s">
        <v>543</v>
      </c>
      <c r="E1409" s="26" t="str">
        <f>IFERROR(VLOOKUP(G1409,WholesaleExtract!B:J,9,FALSE),"")</f>
        <v/>
      </c>
      <c r="F1409" s="26" t="str">
        <f>IFERROR(VLOOKUP(G1409,WholesaleExtract!B:J,6,FALSE),"")</f>
        <v/>
      </c>
      <c r="G1409" s="46"/>
      <c r="H1409" s="47" t="str">
        <f>IFERROR(VLOOKUP(G1409,WholesaleExtract!B:L,11,FALSE),"")</f>
        <v/>
      </c>
      <c r="I1409" s="26" t="str">
        <f>IFERROR(VLOOKUP(G1409,WholesaleExtract!B:O,8,FALSE),"")</f>
        <v/>
      </c>
      <c r="J1409" s="26" t="str">
        <f>IFERROR(VLOOKUP(G1409,WholesaleExtract!B:O,14,FALSE),"")</f>
        <v/>
      </c>
      <c r="K1409" s="26" t="str">
        <f>IFERROR(VLOOKUP(G1409,WholesaleExtract!B:K,10,FALSE),"")</f>
        <v/>
      </c>
      <c r="L1409" s="47" t="str">
        <f>IFERROR(VLOOKUP(G1409,WholesaleExtract!B:L,11,FALSE),"")</f>
        <v/>
      </c>
      <c r="M1409" s="47" t="str">
        <f>IFERROR(VLOOKUP(G1409,WholesaleExtract!B:M,12,FALSE),"")</f>
        <v/>
      </c>
      <c r="N1409" s="27"/>
      <c r="O1409" s="19"/>
      <c r="P1409" s="19"/>
      <c r="Q1409" s="47"/>
      <c r="R1409" s="19"/>
      <c r="S1409" s="19"/>
    </row>
    <row r="1410" spans="1:19" x14ac:dyDescent="0.35">
      <c r="A1410" s="26" t="s">
        <v>543</v>
      </c>
      <c r="B1410" s="26" t="s">
        <v>543</v>
      </c>
      <c r="C1410" s="26"/>
      <c r="D1410" s="26" t="s">
        <v>543</v>
      </c>
      <c r="E1410" s="26" t="str">
        <f>IFERROR(VLOOKUP(G1410,WholesaleExtract!B:J,9,FALSE),"")</f>
        <v/>
      </c>
      <c r="F1410" s="26" t="str">
        <f>IFERROR(VLOOKUP(G1410,WholesaleExtract!B:J,6,FALSE),"")</f>
        <v/>
      </c>
      <c r="G1410" s="46"/>
      <c r="H1410" s="47" t="str">
        <f>IFERROR(VLOOKUP(G1410,WholesaleExtract!B:L,11,FALSE),"")</f>
        <v/>
      </c>
      <c r="I1410" s="26" t="str">
        <f>IFERROR(VLOOKUP(G1410,WholesaleExtract!B:O,8,FALSE),"")</f>
        <v/>
      </c>
      <c r="J1410" s="26" t="str">
        <f>IFERROR(VLOOKUP(G1410,WholesaleExtract!B:O,14,FALSE),"")</f>
        <v/>
      </c>
      <c r="K1410" s="26" t="str">
        <f>IFERROR(VLOOKUP(G1410,WholesaleExtract!B:K,10,FALSE),"")</f>
        <v/>
      </c>
      <c r="L1410" s="47" t="str">
        <f>IFERROR(VLOOKUP(G1410,WholesaleExtract!B:L,11,FALSE),"")</f>
        <v/>
      </c>
      <c r="M1410" s="47" t="str">
        <f>IFERROR(VLOOKUP(G1410,WholesaleExtract!B:M,12,FALSE),"")</f>
        <v/>
      </c>
      <c r="N1410" s="27"/>
      <c r="O1410" s="19"/>
      <c r="P1410" s="19"/>
      <c r="Q1410" s="47"/>
      <c r="R1410" s="19"/>
      <c r="S1410" s="19"/>
    </row>
    <row r="1411" spans="1:19" x14ac:dyDescent="0.35">
      <c r="A1411" s="26" t="s">
        <v>543</v>
      </c>
      <c r="B1411" s="26" t="s">
        <v>543</v>
      </c>
      <c r="C1411" s="26"/>
      <c r="D1411" s="26" t="s">
        <v>543</v>
      </c>
      <c r="E1411" s="26" t="str">
        <f>IFERROR(VLOOKUP(G1411,WholesaleExtract!B:J,9,FALSE),"")</f>
        <v/>
      </c>
      <c r="F1411" s="26" t="str">
        <f>IFERROR(VLOOKUP(G1411,WholesaleExtract!B:J,6,FALSE),"")</f>
        <v/>
      </c>
      <c r="G1411" s="46"/>
      <c r="H1411" s="47" t="str">
        <f>IFERROR(VLOOKUP(G1411,WholesaleExtract!B:L,11,FALSE),"")</f>
        <v/>
      </c>
      <c r="I1411" s="26" t="str">
        <f>IFERROR(VLOOKUP(G1411,WholesaleExtract!B:O,8,FALSE),"")</f>
        <v/>
      </c>
      <c r="J1411" s="26" t="str">
        <f>IFERROR(VLOOKUP(G1411,WholesaleExtract!B:O,14,FALSE),"")</f>
        <v/>
      </c>
      <c r="K1411" s="26" t="str">
        <f>IFERROR(VLOOKUP(G1411,WholesaleExtract!B:K,10,FALSE),"")</f>
        <v/>
      </c>
      <c r="L1411" s="47" t="str">
        <f>IFERROR(VLOOKUP(G1411,WholesaleExtract!B:L,11,FALSE),"")</f>
        <v/>
      </c>
      <c r="M1411" s="47" t="str">
        <f>IFERROR(VLOOKUP(G1411,WholesaleExtract!B:M,12,FALSE),"")</f>
        <v/>
      </c>
      <c r="N1411" s="27"/>
      <c r="O1411" s="19"/>
      <c r="P1411" s="19"/>
      <c r="Q1411" s="47"/>
      <c r="R1411" s="19"/>
      <c r="S1411" s="19"/>
    </row>
    <row r="1412" spans="1:19" x14ac:dyDescent="0.35">
      <c r="A1412" s="26" t="s">
        <v>543</v>
      </c>
      <c r="B1412" s="26" t="s">
        <v>543</v>
      </c>
      <c r="C1412" s="26"/>
      <c r="D1412" s="26" t="s">
        <v>543</v>
      </c>
      <c r="E1412" s="26" t="str">
        <f>IFERROR(VLOOKUP(G1412,WholesaleExtract!B:J,9,FALSE),"")</f>
        <v/>
      </c>
      <c r="F1412" s="26" t="str">
        <f>IFERROR(VLOOKUP(G1412,WholesaleExtract!B:J,6,FALSE),"")</f>
        <v/>
      </c>
      <c r="G1412" s="46"/>
      <c r="H1412" s="47" t="str">
        <f>IFERROR(VLOOKUP(G1412,WholesaleExtract!B:L,11,FALSE),"")</f>
        <v/>
      </c>
      <c r="I1412" s="26" t="str">
        <f>IFERROR(VLOOKUP(G1412,WholesaleExtract!B:O,8,FALSE),"")</f>
        <v/>
      </c>
      <c r="J1412" s="26" t="str">
        <f>IFERROR(VLOOKUP(G1412,WholesaleExtract!B:O,14,FALSE),"")</f>
        <v/>
      </c>
      <c r="K1412" s="26" t="str">
        <f>IFERROR(VLOOKUP(G1412,WholesaleExtract!B:K,10,FALSE),"")</f>
        <v/>
      </c>
      <c r="L1412" s="47" t="str">
        <f>IFERROR(VLOOKUP(G1412,WholesaleExtract!B:L,11,FALSE),"")</f>
        <v/>
      </c>
      <c r="M1412" s="47" t="str">
        <f>IFERROR(VLOOKUP(G1412,WholesaleExtract!B:M,12,FALSE),"")</f>
        <v/>
      </c>
      <c r="N1412" s="27"/>
      <c r="O1412" s="19"/>
      <c r="P1412" s="19"/>
      <c r="Q1412" s="47"/>
      <c r="R1412" s="19"/>
      <c r="S1412" s="19"/>
    </row>
    <row r="1413" spans="1:19" x14ac:dyDescent="0.35">
      <c r="A1413" s="26" t="s">
        <v>543</v>
      </c>
      <c r="B1413" s="26" t="s">
        <v>543</v>
      </c>
      <c r="C1413" s="26"/>
      <c r="D1413" s="26" t="s">
        <v>543</v>
      </c>
      <c r="E1413" s="26" t="str">
        <f>IFERROR(VLOOKUP(G1413,WholesaleExtract!B:J,9,FALSE),"")</f>
        <v/>
      </c>
      <c r="F1413" s="26" t="str">
        <f>IFERROR(VLOOKUP(G1413,WholesaleExtract!B:J,6,FALSE),"")</f>
        <v/>
      </c>
      <c r="G1413" s="46"/>
      <c r="H1413" s="47" t="str">
        <f>IFERROR(VLOOKUP(G1413,WholesaleExtract!B:L,11,FALSE),"")</f>
        <v/>
      </c>
      <c r="I1413" s="26" t="str">
        <f>IFERROR(VLOOKUP(G1413,WholesaleExtract!B:O,8,FALSE),"")</f>
        <v/>
      </c>
      <c r="J1413" s="26" t="str">
        <f>IFERROR(VLOOKUP(G1413,WholesaleExtract!B:O,14,FALSE),"")</f>
        <v/>
      </c>
      <c r="K1413" s="26" t="str">
        <f>IFERROR(VLOOKUP(G1413,WholesaleExtract!B:K,10,FALSE),"")</f>
        <v/>
      </c>
      <c r="L1413" s="47" t="str">
        <f>IFERROR(VLOOKUP(G1413,WholesaleExtract!B:L,11,FALSE),"")</f>
        <v/>
      </c>
      <c r="M1413" s="47" t="str">
        <f>IFERROR(VLOOKUP(G1413,WholesaleExtract!B:M,12,FALSE),"")</f>
        <v/>
      </c>
      <c r="N1413" s="27"/>
      <c r="O1413" s="19"/>
      <c r="P1413" s="19"/>
      <c r="Q1413" s="47"/>
      <c r="R1413" s="19"/>
      <c r="S1413" s="19"/>
    </row>
    <row r="1414" spans="1:19" x14ac:dyDescent="0.35">
      <c r="A1414" s="26" t="s">
        <v>543</v>
      </c>
      <c r="B1414" s="26" t="s">
        <v>543</v>
      </c>
      <c r="C1414" s="26"/>
      <c r="D1414" s="26" t="s">
        <v>543</v>
      </c>
      <c r="E1414" s="26" t="str">
        <f>IFERROR(VLOOKUP(G1414,WholesaleExtract!B:J,9,FALSE),"")</f>
        <v/>
      </c>
      <c r="F1414" s="26" t="str">
        <f>IFERROR(VLOOKUP(G1414,WholesaleExtract!B:J,6,FALSE),"")</f>
        <v/>
      </c>
      <c r="G1414" s="46"/>
      <c r="H1414" s="47" t="str">
        <f>IFERROR(VLOOKUP(G1414,WholesaleExtract!B:L,11,FALSE),"")</f>
        <v/>
      </c>
      <c r="I1414" s="26" t="str">
        <f>IFERROR(VLOOKUP(G1414,WholesaleExtract!B:O,8,FALSE),"")</f>
        <v/>
      </c>
      <c r="J1414" s="26" t="str">
        <f>IFERROR(VLOOKUP(G1414,WholesaleExtract!B:O,14,FALSE),"")</f>
        <v/>
      </c>
      <c r="K1414" s="26" t="str">
        <f>IFERROR(VLOOKUP(G1414,WholesaleExtract!B:K,10,FALSE),"")</f>
        <v/>
      </c>
      <c r="L1414" s="47" t="str">
        <f>IFERROR(VLOOKUP(G1414,WholesaleExtract!B:L,11,FALSE),"")</f>
        <v/>
      </c>
      <c r="M1414" s="47" t="str">
        <f>IFERROR(VLOOKUP(G1414,WholesaleExtract!B:M,12,FALSE),"")</f>
        <v/>
      </c>
      <c r="N1414" s="27"/>
      <c r="O1414" s="19"/>
      <c r="P1414" s="19"/>
      <c r="Q1414" s="47"/>
      <c r="R1414" s="19"/>
      <c r="S1414" s="19"/>
    </row>
    <row r="1415" spans="1:19" x14ac:dyDescent="0.35">
      <c r="A1415" s="26" t="s">
        <v>543</v>
      </c>
      <c r="B1415" s="26" t="s">
        <v>543</v>
      </c>
      <c r="C1415" s="26"/>
      <c r="D1415" s="26" t="s">
        <v>543</v>
      </c>
      <c r="E1415" s="26" t="str">
        <f>IFERROR(VLOOKUP(G1415,WholesaleExtract!B:J,9,FALSE),"")</f>
        <v/>
      </c>
      <c r="F1415" s="26" t="str">
        <f>IFERROR(VLOOKUP(G1415,WholesaleExtract!B:J,6,FALSE),"")</f>
        <v/>
      </c>
      <c r="G1415" s="46"/>
      <c r="H1415" s="47" t="str">
        <f>IFERROR(VLOOKUP(G1415,WholesaleExtract!B:L,11,FALSE),"")</f>
        <v/>
      </c>
      <c r="I1415" s="26" t="str">
        <f>IFERROR(VLOOKUP(G1415,WholesaleExtract!B:O,8,FALSE),"")</f>
        <v/>
      </c>
      <c r="J1415" s="26" t="str">
        <f>IFERROR(VLOOKUP(G1415,WholesaleExtract!B:O,14,FALSE),"")</f>
        <v/>
      </c>
      <c r="K1415" s="26" t="str">
        <f>IFERROR(VLOOKUP(G1415,WholesaleExtract!B:K,10,FALSE),"")</f>
        <v/>
      </c>
      <c r="L1415" s="47" t="str">
        <f>IFERROR(VLOOKUP(G1415,WholesaleExtract!B:L,11,FALSE),"")</f>
        <v/>
      </c>
      <c r="M1415" s="47" t="str">
        <f>IFERROR(VLOOKUP(G1415,WholesaleExtract!B:M,12,FALSE),"")</f>
        <v/>
      </c>
      <c r="N1415" s="27"/>
      <c r="O1415" s="19"/>
      <c r="P1415" s="19"/>
      <c r="Q1415" s="47"/>
      <c r="R1415" s="19"/>
      <c r="S1415" s="19"/>
    </row>
    <row r="1416" spans="1:19" x14ac:dyDescent="0.35">
      <c r="A1416" s="26" t="s">
        <v>543</v>
      </c>
      <c r="B1416" s="26" t="s">
        <v>543</v>
      </c>
      <c r="C1416" s="26"/>
      <c r="D1416" s="26" t="s">
        <v>543</v>
      </c>
      <c r="E1416" s="26" t="str">
        <f>IFERROR(VLOOKUP(G1416,WholesaleExtract!B:J,9,FALSE),"")</f>
        <v/>
      </c>
      <c r="F1416" s="26" t="str">
        <f>IFERROR(VLOOKUP(G1416,WholesaleExtract!B:J,6,FALSE),"")</f>
        <v/>
      </c>
      <c r="G1416" s="46"/>
      <c r="H1416" s="47" t="str">
        <f>IFERROR(VLOOKUP(G1416,WholesaleExtract!B:L,11,FALSE),"")</f>
        <v/>
      </c>
      <c r="I1416" s="26" t="str">
        <f>IFERROR(VLOOKUP(G1416,WholesaleExtract!B:O,8,FALSE),"")</f>
        <v/>
      </c>
      <c r="J1416" s="26" t="str">
        <f>IFERROR(VLOOKUP(G1416,WholesaleExtract!B:O,14,FALSE),"")</f>
        <v/>
      </c>
      <c r="K1416" s="26" t="str">
        <f>IFERROR(VLOOKUP(G1416,WholesaleExtract!B:K,10,FALSE),"")</f>
        <v/>
      </c>
      <c r="L1416" s="47" t="str">
        <f>IFERROR(VLOOKUP(G1416,WholesaleExtract!B:L,11,FALSE),"")</f>
        <v/>
      </c>
      <c r="M1416" s="47" t="str">
        <f>IFERROR(VLOOKUP(G1416,WholesaleExtract!B:M,12,FALSE),"")</f>
        <v/>
      </c>
      <c r="N1416" s="27"/>
      <c r="O1416" s="19"/>
      <c r="P1416" s="19"/>
      <c r="Q1416" s="47"/>
      <c r="R1416" s="19"/>
      <c r="S1416" s="19"/>
    </row>
    <row r="1417" spans="1:19" x14ac:dyDescent="0.35">
      <c r="A1417" s="26" t="s">
        <v>543</v>
      </c>
      <c r="B1417" s="26" t="s">
        <v>543</v>
      </c>
      <c r="C1417" s="26"/>
      <c r="D1417" s="26" t="s">
        <v>543</v>
      </c>
      <c r="E1417" s="26" t="str">
        <f>IFERROR(VLOOKUP(G1417,WholesaleExtract!B:J,9,FALSE),"")</f>
        <v/>
      </c>
      <c r="F1417" s="26" t="str">
        <f>IFERROR(VLOOKUP(G1417,WholesaleExtract!B:J,6,FALSE),"")</f>
        <v/>
      </c>
      <c r="G1417" s="46"/>
      <c r="H1417" s="47" t="str">
        <f>IFERROR(VLOOKUP(G1417,WholesaleExtract!B:L,11,FALSE),"")</f>
        <v/>
      </c>
      <c r="I1417" s="26" t="str">
        <f>IFERROR(VLOOKUP(G1417,WholesaleExtract!B:O,8,FALSE),"")</f>
        <v/>
      </c>
      <c r="J1417" s="26" t="str">
        <f>IFERROR(VLOOKUP(G1417,WholesaleExtract!B:O,14,FALSE),"")</f>
        <v/>
      </c>
      <c r="K1417" s="26" t="str">
        <f>IFERROR(VLOOKUP(G1417,WholesaleExtract!B:K,10,FALSE),"")</f>
        <v/>
      </c>
      <c r="L1417" s="47" t="str">
        <f>IFERROR(VLOOKUP(G1417,WholesaleExtract!B:L,11,FALSE),"")</f>
        <v/>
      </c>
      <c r="M1417" s="47" t="str">
        <f>IFERROR(VLOOKUP(G1417,WholesaleExtract!B:M,12,FALSE),"")</f>
        <v/>
      </c>
      <c r="N1417" s="27"/>
      <c r="O1417" s="19"/>
      <c r="P1417" s="19"/>
      <c r="Q1417" s="47"/>
      <c r="R1417" s="19"/>
      <c r="S1417" s="19"/>
    </row>
    <row r="1418" spans="1:19" x14ac:dyDescent="0.35">
      <c r="A1418" s="26" t="s">
        <v>543</v>
      </c>
      <c r="B1418" s="26" t="s">
        <v>543</v>
      </c>
      <c r="C1418" s="26"/>
      <c r="D1418" s="26" t="s">
        <v>543</v>
      </c>
      <c r="E1418" s="26" t="str">
        <f>IFERROR(VLOOKUP(G1418,WholesaleExtract!B:J,9,FALSE),"")</f>
        <v/>
      </c>
      <c r="F1418" s="26" t="str">
        <f>IFERROR(VLOOKUP(G1418,WholesaleExtract!B:J,6,FALSE),"")</f>
        <v/>
      </c>
      <c r="G1418" s="46"/>
      <c r="H1418" s="47" t="str">
        <f>IFERROR(VLOOKUP(G1418,WholesaleExtract!B:L,11,FALSE),"")</f>
        <v/>
      </c>
      <c r="I1418" s="26" t="str">
        <f>IFERROR(VLOOKUP(G1418,WholesaleExtract!B:O,8,FALSE),"")</f>
        <v/>
      </c>
      <c r="J1418" s="26" t="str">
        <f>IFERROR(VLOOKUP(G1418,WholesaleExtract!B:O,14,FALSE),"")</f>
        <v/>
      </c>
      <c r="K1418" s="26" t="str">
        <f>IFERROR(VLOOKUP(G1418,WholesaleExtract!B:K,10,FALSE),"")</f>
        <v/>
      </c>
      <c r="L1418" s="47" t="str">
        <f>IFERROR(VLOOKUP(G1418,WholesaleExtract!B:L,11,FALSE),"")</f>
        <v/>
      </c>
      <c r="M1418" s="47" t="str">
        <f>IFERROR(VLOOKUP(G1418,WholesaleExtract!B:M,12,FALSE),"")</f>
        <v/>
      </c>
      <c r="N1418" s="27"/>
      <c r="O1418" s="19"/>
      <c r="P1418" s="19"/>
      <c r="Q1418" s="47"/>
      <c r="R1418" s="19"/>
      <c r="S1418" s="19"/>
    </row>
    <row r="1419" spans="1:19" x14ac:dyDescent="0.35">
      <c r="A1419" s="26" t="s">
        <v>543</v>
      </c>
      <c r="B1419" s="26" t="s">
        <v>543</v>
      </c>
      <c r="C1419" s="26"/>
      <c r="D1419" s="26" t="s">
        <v>543</v>
      </c>
      <c r="E1419" s="26" t="str">
        <f>IFERROR(VLOOKUP(G1419,WholesaleExtract!B:J,9,FALSE),"")</f>
        <v/>
      </c>
      <c r="F1419" s="26" t="str">
        <f>IFERROR(VLOOKUP(G1419,WholesaleExtract!B:J,6,FALSE),"")</f>
        <v/>
      </c>
      <c r="G1419" s="46"/>
      <c r="H1419" s="47" t="str">
        <f>IFERROR(VLOOKUP(G1419,WholesaleExtract!B:L,11,FALSE),"")</f>
        <v/>
      </c>
      <c r="I1419" s="26" t="str">
        <f>IFERROR(VLOOKUP(G1419,WholesaleExtract!B:O,8,FALSE),"")</f>
        <v/>
      </c>
      <c r="J1419" s="26" t="str">
        <f>IFERROR(VLOOKUP(G1419,WholesaleExtract!B:O,14,FALSE),"")</f>
        <v/>
      </c>
      <c r="K1419" s="26" t="str">
        <f>IFERROR(VLOOKUP(G1419,WholesaleExtract!B:K,10,FALSE),"")</f>
        <v/>
      </c>
      <c r="L1419" s="47" t="str">
        <f>IFERROR(VLOOKUP(G1419,WholesaleExtract!B:L,11,FALSE),"")</f>
        <v/>
      </c>
      <c r="M1419" s="47" t="str">
        <f>IFERROR(VLOOKUP(G1419,WholesaleExtract!B:M,12,FALSE),"")</f>
        <v/>
      </c>
      <c r="N1419" s="27"/>
      <c r="O1419" s="19"/>
      <c r="P1419" s="19"/>
      <c r="Q1419" s="47"/>
      <c r="R1419" s="19"/>
      <c r="S1419" s="19"/>
    </row>
    <row r="1420" spans="1:19" x14ac:dyDescent="0.35">
      <c r="A1420" s="26" t="s">
        <v>543</v>
      </c>
      <c r="B1420" s="26" t="s">
        <v>543</v>
      </c>
      <c r="C1420" s="26"/>
      <c r="D1420" s="26" t="s">
        <v>543</v>
      </c>
      <c r="E1420" s="26" t="str">
        <f>IFERROR(VLOOKUP(G1420,WholesaleExtract!B:J,9,FALSE),"")</f>
        <v/>
      </c>
      <c r="F1420" s="26" t="str">
        <f>IFERROR(VLOOKUP(G1420,WholesaleExtract!B:J,6,FALSE),"")</f>
        <v/>
      </c>
      <c r="G1420" s="46"/>
      <c r="H1420" s="47" t="str">
        <f>IFERROR(VLOOKUP(G1420,WholesaleExtract!B:L,11,FALSE),"")</f>
        <v/>
      </c>
      <c r="I1420" s="26" t="str">
        <f>IFERROR(VLOOKUP(G1420,WholesaleExtract!B:O,8,FALSE),"")</f>
        <v/>
      </c>
      <c r="J1420" s="26" t="str">
        <f>IFERROR(VLOOKUP(G1420,WholesaleExtract!B:O,14,FALSE),"")</f>
        <v/>
      </c>
      <c r="K1420" s="26" t="str">
        <f>IFERROR(VLOOKUP(G1420,WholesaleExtract!B:K,10,FALSE),"")</f>
        <v/>
      </c>
      <c r="L1420" s="47" t="str">
        <f>IFERROR(VLOOKUP(G1420,WholesaleExtract!B:L,11,FALSE),"")</f>
        <v/>
      </c>
      <c r="M1420" s="47" t="str">
        <f>IFERROR(VLOOKUP(G1420,WholesaleExtract!B:M,12,FALSE),"")</f>
        <v/>
      </c>
      <c r="N1420" s="27"/>
      <c r="O1420" s="19"/>
      <c r="P1420" s="19"/>
      <c r="Q1420" s="47"/>
      <c r="R1420" s="19"/>
      <c r="S1420" s="19"/>
    </row>
    <row r="1421" spans="1:19" x14ac:dyDescent="0.35">
      <c r="A1421" s="26" t="s">
        <v>543</v>
      </c>
      <c r="B1421" s="26" t="s">
        <v>543</v>
      </c>
      <c r="C1421" s="26"/>
      <c r="D1421" s="26" t="s">
        <v>543</v>
      </c>
      <c r="E1421" s="26" t="str">
        <f>IFERROR(VLOOKUP(G1421,WholesaleExtract!B:J,9,FALSE),"")</f>
        <v/>
      </c>
      <c r="F1421" s="26" t="str">
        <f>IFERROR(VLOOKUP(G1421,WholesaleExtract!B:J,6,FALSE),"")</f>
        <v/>
      </c>
      <c r="G1421" s="46"/>
      <c r="H1421" s="47" t="str">
        <f>IFERROR(VLOOKUP(G1421,WholesaleExtract!B:L,11,FALSE),"")</f>
        <v/>
      </c>
      <c r="I1421" s="26" t="str">
        <f>IFERROR(VLOOKUP(G1421,WholesaleExtract!B:O,8,FALSE),"")</f>
        <v/>
      </c>
      <c r="J1421" s="26" t="str">
        <f>IFERROR(VLOOKUP(G1421,WholesaleExtract!B:O,14,FALSE),"")</f>
        <v/>
      </c>
      <c r="K1421" s="26" t="str">
        <f>IFERROR(VLOOKUP(G1421,WholesaleExtract!B:K,10,FALSE),"")</f>
        <v/>
      </c>
      <c r="L1421" s="47" t="str">
        <f>IFERROR(VLOOKUP(G1421,WholesaleExtract!B:L,11,FALSE),"")</f>
        <v/>
      </c>
      <c r="M1421" s="47" t="str">
        <f>IFERROR(VLOOKUP(G1421,WholesaleExtract!B:M,12,FALSE),"")</f>
        <v/>
      </c>
      <c r="N1421" s="27"/>
      <c r="O1421" s="19"/>
      <c r="P1421" s="19"/>
      <c r="Q1421" s="47"/>
      <c r="R1421" s="19"/>
      <c r="S1421" s="19"/>
    </row>
    <row r="1422" spans="1:19" x14ac:dyDescent="0.35">
      <c r="A1422" s="26" t="s">
        <v>543</v>
      </c>
      <c r="B1422" s="26" t="s">
        <v>543</v>
      </c>
      <c r="C1422" s="26"/>
      <c r="D1422" s="26" t="s">
        <v>543</v>
      </c>
      <c r="E1422" s="26" t="str">
        <f>IFERROR(VLOOKUP(G1422,WholesaleExtract!B:J,9,FALSE),"")</f>
        <v/>
      </c>
      <c r="F1422" s="26" t="str">
        <f>IFERROR(VLOOKUP(G1422,WholesaleExtract!B:J,6,FALSE),"")</f>
        <v/>
      </c>
      <c r="G1422" s="46"/>
      <c r="H1422" s="47" t="str">
        <f>IFERROR(VLOOKUP(G1422,WholesaleExtract!B:L,11,FALSE),"")</f>
        <v/>
      </c>
      <c r="I1422" s="26" t="str">
        <f>IFERROR(VLOOKUP(G1422,WholesaleExtract!B:O,8,FALSE),"")</f>
        <v/>
      </c>
      <c r="J1422" s="26" t="str">
        <f>IFERROR(VLOOKUP(G1422,WholesaleExtract!B:O,14,FALSE),"")</f>
        <v/>
      </c>
      <c r="K1422" s="26" t="str">
        <f>IFERROR(VLOOKUP(G1422,WholesaleExtract!B:K,10,FALSE),"")</f>
        <v/>
      </c>
      <c r="L1422" s="47" t="str">
        <f>IFERROR(VLOOKUP(G1422,WholesaleExtract!B:L,11,FALSE),"")</f>
        <v/>
      </c>
      <c r="M1422" s="47" t="str">
        <f>IFERROR(VLOOKUP(G1422,WholesaleExtract!B:M,12,FALSE),"")</f>
        <v/>
      </c>
      <c r="N1422" s="27"/>
      <c r="O1422" s="19"/>
      <c r="P1422" s="19"/>
      <c r="Q1422" s="47"/>
      <c r="R1422" s="19"/>
      <c r="S1422" s="19"/>
    </row>
    <row r="1423" spans="1:19" x14ac:dyDescent="0.35">
      <c r="A1423" s="26" t="s">
        <v>543</v>
      </c>
      <c r="B1423" s="26" t="s">
        <v>543</v>
      </c>
      <c r="C1423" s="26"/>
      <c r="D1423" s="26" t="s">
        <v>543</v>
      </c>
      <c r="E1423" s="26" t="str">
        <f>IFERROR(VLOOKUP(G1423,WholesaleExtract!B:J,9,FALSE),"")</f>
        <v/>
      </c>
      <c r="F1423" s="26" t="str">
        <f>IFERROR(VLOOKUP(G1423,WholesaleExtract!B:J,6,FALSE),"")</f>
        <v/>
      </c>
      <c r="G1423" s="46"/>
      <c r="H1423" s="47" t="str">
        <f>IFERROR(VLOOKUP(G1423,WholesaleExtract!B:L,11,FALSE),"")</f>
        <v/>
      </c>
      <c r="I1423" s="26" t="str">
        <f>IFERROR(VLOOKUP(G1423,WholesaleExtract!B:O,8,FALSE),"")</f>
        <v/>
      </c>
      <c r="J1423" s="26" t="str">
        <f>IFERROR(VLOOKUP(G1423,WholesaleExtract!B:O,14,FALSE),"")</f>
        <v/>
      </c>
      <c r="K1423" s="26" t="str">
        <f>IFERROR(VLOOKUP(G1423,WholesaleExtract!B:K,10,FALSE),"")</f>
        <v/>
      </c>
      <c r="L1423" s="47" t="str">
        <f>IFERROR(VLOOKUP(G1423,WholesaleExtract!B:L,11,FALSE),"")</f>
        <v/>
      </c>
      <c r="M1423" s="47" t="str">
        <f>IFERROR(VLOOKUP(G1423,WholesaleExtract!B:M,12,FALSE),"")</f>
        <v/>
      </c>
      <c r="N1423" s="27"/>
      <c r="O1423" s="19"/>
      <c r="P1423" s="19"/>
      <c r="Q1423" s="47"/>
      <c r="R1423" s="19"/>
      <c r="S1423" s="19"/>
    </row>
    <row r="1424" spans="1:19" x14ac:dyDescent="0.35">
      <c r="A1424" s="26" t="s">
        <v>543</v>
      </c>
      <c r="B1424" s="26" t="s">
        <v>543</v>
      </c>
      <c r="C1424" s="26"/>
      <c r="D1424" s="26" t="s">
        <v>543</v>
      </c>
      <c r="E1424" s="26" t="str">
        <f>IFERROR(VLOOKUP(G1424,WholesaleExtract!B:J,9,FALSE),"")</f>
        <v/>
      </c>
      <c r="F1424" s="26" t="str">
        <f>IFERROR(VLOOKUP(G1424,WholesaleExtract!B:J,6,FALSE),"")</f>
        <v/>
      </c>
      <c r="G1424" s="46"/>
      <c r="H1424" s="47" t="str">
        <f>IFERROR(VLOOKUP(G1424,WholesaleExtract!B:L,11,FALSE),"")</f>
        <v/>
      </c>
      <c r="I1424" s="26" t="str">
        <f>IFERROR(VLOOKUP(G1424,WholesaleExtract!B:O,8,FALSE),"")</f>
        <v/>
      </c>
      <c r="J1424" s="26" t="str">
        <f>IFERROR(VLOOKUP(G1424,WholesaleExtract!B:O,14,FALSE),"")</f>
        <v/>
      </c>
      <c r="K1424" s="26" t="str">
        <f>IFERROR(VLOOKUP(G1424,WholesaleExtract!B:K,10,FALSE),"")</f>
        <v/>
      </c>
      <c r="L1424" s="47" t="str">
        <f>IFERROR(VLOOKUP(G1424,WholesaleExtract!B:L,11,FALSE),"")</f>
        <v/>
      </c>
      <c r="M1424" s="47" t="str">
        <f>IFERROR(VLOOKUP(G1424,WholesaleExtract!B:M,12,FALSE),"")</f>
        <v/>
      </c>
      <c r="N1424" s="27"/>
      <c r="O1424" s="19"/>
      <c r="P1424" s="19"/>
      <c r="Q1424" s="47"/>
      <c r="R1424" s="19"/>
      <c r="S1424" s="19"/>
    </row>
    <row r="1425" spans="1:19" x14ac:dyDescent="0.35">
      <c r="A1425" s="26" t="s">
        <v>543</v>
      </c>
      <c r="B1425" s="26" t="s">
        <v>543</v>
      </c>
      <c r="C1425" s="26"/>
      <c r="D1425" s="26" t="s">
        <v>543</v>
      </c>
      <c r="E1425" s="26" t="str">
        <f>IFERROR(VLOOKUP(G1425,WholesaleExtract!B:J,9,FALSE),"")</f>
        <v/>
      </c>
      <c r="F1425" s="26" t="str">
        <f>IFERROR(VLOOKUP(G1425,WholesaleExtract!B:J,6,FALSE),"")</f>
        <v/>
      </c>
      <c r="G1425" s="46"/>
      <c r="H1425" s="47" t="str">
        <f>IFERROR(VLOOKUP(G1425,WholesaleExtract!B:L,11,FALSE),"")</f>
        <v/>
      </c>
      <c r="I1425" s="26" t="str">
        <f>IFERROR(VLOOKUP(G1425,WholesaleExtract!B:O,8,FALSE),"")</f>
        <v/>
      </c>
      <c r="J1425" s="26" t="str">
        <f>IFERROR(VLOOKUP(G1425,WholesaleExtract!B:O,14,FALSE),"")</f>
        <v/>
      </c>
      <c r="K1425" s="26" t="str">
        <f>IFERROR(VLOOKUP(G1425,WholesaleExtract!B:K,10,FALSE),"")</f>
        <v/>
      </c>
      <c r="L1425" s="47" t="str">
        <f>IFERROR(VLOOKUP(G1425,WholesaleExtract!B:L,11,FALSE),"")</f>
        <v/>
      </c>
      <c r="M1425" s="47" t="str">
        <f>IFERROR(VLOOKUP(G1425,WholesaleExtract!B:M,12,FALSE),"")</f>
        <v/>
      </c>
      <c r="N1425" s="27"/>
      <c r="O1425" s="19"/>
      <c r="P1425" s="19"/>
      <c r="Q1425" s="47"/>
      <c r="R1425" s="19"/>
      <c r="S1425" s="19"/>
    </row>
    <row r="1426" spans="1:19" x14ac:dyDescent="0.35">
      <c r="A1426" s="26" t="s">
        <v>543</v>
      </c>
      <c r="B1426" s="26" t="s">
        <v>543</v>
      </c>
      <c r="C1426" s="26"/>
      <c r="D1426" s="26" t="s">
        <v>543</v>
      </c>
      <c r="E1426" s="26" t="str">
        <f>IFERROR(VLOOKUP(G1426,WholesaleExtract!B:J,9,FALSE),"")</f>
        <v/>
      </c>
      <c r="F1426" s="26" t="str">
        <f>IFERROR(VLOOKUP(G1426,WholesaleExtract!B:J,6,FALSE),"")</f>
        <v/>
      </c>
      <c r="G1426" s="46"/>
      <c r="H1426" s="47" t="str">
        <f>IFERROR(VLOOKUP(G1426,WholesaleExtract!B:L,11,FALSE),"")</f>
        <v/>
      </c>
      <c r="I1426" s="26" t="str">
        <f>IFERROR(VLOOKUP(G1426,WholesaleExtract!B:O,8,FALSE),"")</f>
        <v/>
      </c>
      <c r="J1426" s="26" t="str">
        <f>IFERROR(VLOOKUP(G1426,WholesaleExtract!B:O,14,FALSE),"")</f>
        <v/>
      </c>
      <c r="K1426" s="26" t="str">
        <f>IFERROR(VLOOKUP(G1426,WholesaleExtract!B:K,10,FALSE),"")</f>
        <v/>
      </c>
      <c r="L1426" s="47" t="str">
        <f>IFERROR(VLOOKUP(G1426,WholesaleExtract!B:L,11,FALSE),"")</f>
        <v/>
      </c>
      <c r="M1426" s="47" t="str">
        <f>IFERROR(VLOOKUP(G1426,WholesaleExtract!B:M,12,FALSE),"")</f>
        <v/>
      </c>
      <c r="N1426" s="27"/>
      <c r="O1426" s="19"/>
      <c r="P1426" s="19"/>
      <c r="Q1426" s="47"/>
      <c r="R1426" s="19"/>
      <c r="S1426" s="19"/>
    </row>
    <row r="1427" spans="1:19" x14ac:dyDescent="0.35">
      <c r="A1427" s="26" t="s">
        <v>543</v>
      </c>
      <c r="B1427" s="26" t="s">
        <v>543</v>
      </c>
      <c r="C1427" s="26"/>
      <c r="D1427" s="26" t="s">
        <v>543</v>
      </c>
      <c r="E1427" s="26" t="str">
        <f>IFERROR(VLOOKUP(G1427,WholesaleExtract!B:J,9,FALSE),"")</f>
        <v/>
      </c>
      <c r="F1427" s="26" t="str">
        <f>IFERROR(VLOOKUP(G1427,WholesaleExtract!B:J,6,FALSE),"")</f>
        <v/>
      </c>
      <c r="G1427" s="46"/>
      <c r="H1427" s="47" t="str">
        <f>IFERROR(VLOOKUP(G1427,WholesaleExtract!B:L,11,FALSE),"")</f>
        <v/>
      </c>
      <c r="I1427" s="26" t="str">
        <f>IFERROR(VLOOKUP(G1427,WholesaleExtract!B:O,8,FALSE),"")</f>
        <v/>
      </c>
      <c r="J1427" s="26" t="str">
        <f>IFERROR(VLOOKUP(G1427,WholesaleExtract!B:O,14,FALSE),"")</f>
        <v/>
      </c>
      <c r="K1427" s="26" t="str">
        <f>IFERROR(VLOOKUP(G1427,WholesaleExtract!B:K,10,FALSE),"")</f>
        <v/>
      </c>
      <c r="L1427" s="47" t="str">
        <f>IFERROR(VLOOKUP(G1427,WholesaleExtract!B:L,11,FALSE),"")</f>
        <v/>
      </c>
      <c r="M1427" s="47" t="str">
        <f>IFERROR(VLOOKUP(G1427,WholesaleExtract!B:M,12,FALSE),"")</f>
        <v/>
      </c>
      <c r="N1427" s="27"/>
      <c r="O1427" s="19"/>
      <c r="P1427" s="19"/>
      <c r="Q1427" s="47"/>
      <c r="R1427" s="19"/>
      <c r="S1427" s="19"/>
    </row>
    <row r="1428" spans="1:19" x14ac:dyDescent="0.35">
      <c r="A1428" s="26" t="s">
        <v>543</v>
      </c>
      <c r="B1428" s="26" t="s">
        <v>543</v>
      </c>
      <c r="C1428" s="26"/>
      <c r="D1428" s="26" t="s">
        <v>543</v>
      </c>
      <c r="E1428" s="26" t="str">
        <f>IFERROR(VLOOKUP(G1428,WholesaleExtract!B:J,9,FALSE),"")</f>
        <v/>
      </c>
      <c r="F1428" s="26" t="str">
        <f>IFERROR(VLOOKUP(G1428,WholesaleExtract!B:J,6,FALSE),"")</f>
        <v/>
      </c>
      <c r="G1428" s="46"/>
      <c r="H1428" s="47" t="str">
        <f>IFERROR(VLOOKUP(G1428,WholesaleExtract!B:L,11,FALSE),"")</f>
        <v/>
      </c>
      <c r="I1428" s="26" t="str">
        <f>IFERROR(VLOOKUP(G1428,WholesaleExtract!B:O,8,FALSE),"")</f>
        <v/>
      </c>
      <c r="J1428" s="26" t="str">
        <f>IFERROR(VLOOKUP(G1428,WholesaleExtract!B:O,14,FALSE),"")</f>
        <v/>
      </c>
      <c r="K1428" s="26" t="str">
        <f>IFERROR(VLOOKUP(G1428,WholesaleExtract!B:K,10,FALSE),"")</f>
        <v/>
      </c>
      <c r="L1428" s="47" t="str">
        <f>IFERROR(VLOOKUP(G1428,WholesaleExtract!B:L,11,FALSE),"")</f>
        <v/>
      </c>
      <c r="M1428" s="47" t="str">
        <f>IFERROR(VLOOKUP(G1428,WholesaleExtract!B:M,12,FALSE),"")</f>
        <v/>
      </c>
      <c r="N1428" s="27"/>
      <c r="O1428" s="19"/>
      <c r="P1428" s="19"/>
      <c r="Q1428" s="47"/>
      <c r="R1428" s="19"/>
      <c r="S1428" s="19"/>
    </row>
    <row r="1429" spans="1:19" x14ac:dyDescent="0.35">
      <c r="A1429" s="26" t="s">
        <v>543</v>
      </c>
      <c r="B1429" s="26" t="s">
        <v>543</v>
      </c>
      <c r="C1429" s="26"/>
      <c r="D1429" s="26" t="s">
        <v>543</v>
      </c>
      <c r="E1429" s="26" t="str">
        <f>IFERROR(VLOOKUP(G1429,WholesaleExtract!B:J,9,FALSE),"")</f>
        <v/>
      </c>
      <c r="F1429" s="26" t="str">
        <f>IFERROR(VLOOKUP(G1429,WholesaleExtract!B:J,6,FALSE),"")</f>
        <v/>
      </c>
      <c r="G1429" s="46"/>
      <c r="H1429" s="47" t="str">
        <f>IFERROR(VLOOKUP(G1429,WholesaleExtract!B:L,11,FALSE),"")</f>
        <v/>
      </c>
      <c r="I1429" s="26" t="str">
        <f>IFERROR(VLOOKUP(G1429,WholesaleExtract!B:O,8,FALSE),"")</f>
        <v/>
      </c>
      <c r="J1429" s="26" t="str">
        <f>IFERROR(VLOOKUP(G1429,WholesaleExtract!B:O,14,FALSE),"")</f>
        <v/>
      </c>
      <c r="K1429" s="26" t="str">
        <f>IFERROR(VLOOKUP(G1429,WholesaleExtract!B:K,10,FALSE),"")</f>
        <v/>
      </c>
      <c r="L1429" s="47" t="str">
        <f>IFERROR(VLOOKUP(G1429,WholesaleExtract!B:L,11,FALSE),"")</f>
        <v/>
      </c>
      <c r="M1429" s="47" t="str">
        <f>IFERROR(VLOOKUP(G1429,WholesaleExtract!B:M,12,FALSE),"")</f>
        <v/>
      </c>
      <c r="N1429" s="27"/>
      <c r="O1429" s="19"/>
      <c r="P1429" s="19"/>
      <c r="Q1429" s="47"/>
      <c r="R1429" s="19"/>
      <c r="S1429" s="19"/>
    </row>
    <row r="1430" spans="1:19" x14ac:dyDescent="0.35">
      <c r="A1430" s="26" t="s">
        <v>543</v>
      </c>
      <c r="B1430" s="26" t="s">
        <v>543</v>
      </c>
      <c r="C1430" s="26"/>
      <c r="D1430" s="26" t="s">
        <v>543</v>
      </c>
      <c r="E1430" s="26" t="str">
        <f>IFERROR(VLOOKUP(G1430,WholesaleExtract!B:J,9,FALSE),"")</f>
        <v/>
      </c>
      <c r="F1430" s="26" t="str">
        <f>IFERROR(VLOOKUP(G1430,WholesaleExtract!B:J,6,FALSE),"")</f>
        <v/>
      </c>
      <c r="G1430" s="46"/>
      <c r="H1430" s="47" t="str">
        <f>IFERROR(VLOOKUP(G1430,WholesaleExtract!B:L,11,FALSE),"")</f>
        <v/>
      </c>
      <c r="I1430" s="26" t="str">
        <f>IFERROR(VLOOKUP(G1430,WholesaleExtract!B:O,8,FALSE),"")</f>
        <v/>
      </c>
      <c r="J1430" s="26" t="str">
        <f>IFERROR(VLOOKUP(G1430,WholesaleExtract!B:O,14,FALSE),"")</f>
        <v/>
      </c>
      <c r="K1430" s="26" t="str">
        <f>IFERROR(VLOOKUP(G1430,WholesaleExtract!B:K,10,FALSE),"")</f>
        <v/>
      </c>
      <c r="L1430" s="47" t="str">
        <f>IFERROR(VLOOKUP(G1430,WholesaleExtract!B:L,11,FALSE),"")</f>
        <v/>
      </c>
      <c r="M1430" s="47" t="str">
        <f>IFERROR(VLOOKUP(G1430,WholesaleExtract!B:M,12,FALSE),"")</f>
        <v/>
      </c>
      <c r="N1430" s="27"/>
      <c r="O1430" s="19"/>
      <c r="P1430" s="19"/>
      <c r="Q1430" s="47"/>
      <c r="R1430" s="19"/>
      <c r="S1430" s="19"/>
    </row>
    <row r="1431" spans="1:19" x14ac:dyDescent="0.35">
      <c r="A1431" s="26" t="s">
        <v>543</v>
      </c>
      <c r="B1431" s="26" t="s">
        <v>543</v>
      </c>
      <c r="C1431" s="26"/>
      <c r="D1431" s="26" t="s">
        <v>543</v>
      </c>
      <c r="E1431" s="26" t="str">
        <f>IFERROR(VLOOKUP(G1431,WholesaleExtract!B:J,9,FALSE),"")</f>
        <v/>
      </c>
      <c r="F1431" s="26" t="str">
        <f>IFERROR(VLOOKUP(G1431,WholesaleExtract!B:J,6,FALSE),"")</f>
        <v/>
      </c>
      <c r="G1431" s="46"/>
      <c r="H1431" s="47" t="str">
        <f>IFERROR(VLOOKUP(G1431,WholesaleExtract!B:L,11,FALSE),"")</f>
        <v/>
      </c>
      <c r="I1431" s="26" t="str">
        <f>IFERROR(VLOOKUP(G1431,WholesaleExtract!B:O,8,FALSE),"")</f>
        <v/>
      </c>
      <c r="J1431" s="26" t="str">
        <f>IFERROR(VLOOKUP(G1431,WholesaleExtract!B:O,14,FALSE),"")</f>
        <v/>
      </c>
      <c r="K1431" s="26" t="str">
        <f>IFERROR(VLOOKUP(G1431,WholesaleExtract!B:K,10,FALSE),"")</f>
        <v/>
      </c>
      <c r="L1431" s="47" t="str">
        <f>IFERROR(VLOOKUP(G1431,WholesaleExtract!B:L,11,FALSE),"")</f>
        <v/>
      </c>
      <c r="M1431" s="47" t="str">
        <f>IFERROR(VLOOKUP(G1431,WholesaleExtract!B:M,12,FALSE),"")</f>
        <v/>
      </c>
      <c r="N1431" s="27"/>
      <c r="O1431" s="19"/>
      <c r="P1431" s="19"/>
      <c r="Q1431" s="47"/>
      <c r="R1431" s="19"/>
      <c r="S1431" s="19"/>
    </row>
    <row r="1432" spans="1:19" x14ac:dyDescent="0.35">
      <c r="A1432" s="26" t="s">
        <v>543</v>
      </c>
      <c r="B1432" s="26" t="s">
        <v>543</v>
      </c>
      <c r="C1432" s="26"/>
      <c r="D1432" s="26" t="s">
        <v>543</v>
      </c>
      <c r="E1432" s="26" t="str">
        <f>IFERROR(VLOOKUP(G1432,WholesaleExtract!B:J,9,FALSE),"")</f>
        <v/>
      </c>
      <c r="F1432" s="26" t="str">
        <f>IFERROR(VLOOKUP(G1432,WholesaleExtract!B:J,6,FALSE),"")</f>
        <v/>
      </c>
      <c r="G1432" s="46"/>
      <c r="H1432" s="47" t="str">
        <f>IFERROR(VLOOKUP(G1432,WholesaleExtract!B:L,11,FALSE),"")</f>
        <v/>
      </c>
      <c r="I1432" s="26" t="str">
        <f>IFERROR(VLOOKUP(G1432,WholesaleExtract!B:O,8,FALSE),"")</f>
        <v/>
      </c>
      <c r="J1432" s="26" t="str">
        <f>IFERROR(VLOOKUP(G1432,WholesaleExtract!B:O,14,FALSE),"")</f>
        <v/>
      </c>
      <c r="K1432" s="26" t="str">
        <f>IFERROR(VLOOKUP(G1432,WholesaleExtract!B:K,10,FALSE),"")</f>
        <v/>
      </c>
      <c r="L1432" s="47" t="str">
        <f>IFERROR(VLOOKUP(G1432,WholesaleExtract!B:L,11,FALSE),"")</f>
        <v/>
      </c>
      <c r="M1432" s="47" t="str">
        <f>IFERROR(VLOOKUP(G1432,WholesaleExtract!B:M,12,FALSE),"")</f>
        <v/>
      </c>
      <c r="N1432" s="27"/>
      <c r="O1432" s="19"/>
      <c r="P1432" s="19"/>
      <c r="Q1432" s="47"/>
      <c r="R1432" s="19"/>
      <c r="S1432" s="19"/>
    </row>
    <row r="1433" spans="1:19" x14ac:dyDescent="0.35">
      <c r="A1433" s="26" t="s">
        <v>543</v>
      </c>
      <c r="B1433" s="26" t="s">
        <v>543</v>
      </c>
      <c r="C1433" s="26"/>
      <c r="D1433" s="26" t="s">
        <v>543</v>
      </c>
      <c r="E1433" s="26" t="str">
        <f>IFERROR(VLOOKUP(G1433,WholesaleExtract!B:J,9,FALSE),"")</f>
        <v/>
      </c>
      <c r="F1433" s="26" t="str">
        <f>IFERROR(VLOOKUP(G1433,WholesaleExtract!B:J,6,FALSE),"")</f>
        <v/>
      </c>
      <c r="G1433" s="46"/>
      <c r="H1433" s="47" t="str">
        <f>IFERROR(VLOOKUP(G1433,WholesaleExtract!B:L,11,FALSE),"")</f>
        <v/>
      </c>
      <c r="I1433" s="26" t="str">
        <f>IFERROR(VLOOKUP(G1433,WholesaleExtract!B:O,8,FALSE),"")</f>
        <v/>
      </c>
      <c r="J1433" s="26" t="str">
        <f>IFERROR(VLOOKUP(G1433,WholesaleExtract!B:O,14,FALSE),"")</f>
        <v/>
      </c>
      <c r="K1433" s="26" t="str">
        <f>IFERROR(VLOOKUP(G1433,WholesaleExtract!B:K,10,FALSE),"")</f>
        <v/>
      </c>
      <c r="L1433" s="47" t="str">
        <f>IFERROR(VLOOKUP(G1433,WholesaleExtract!B:L,11,FALSE),"")</f>
        <v/>
      </c>
      <c r="M1433" s="47" t="str">
        <f>IFERROR(VLOOKUP(G1433,WholesaleExtract!B:M,12,FALSE),"")</f>
        <v/>
      </c>
      <c r="N1433" s="27"/>
      <c r="O1433" s="19"/>
      <c r="P1433" s="19"/>
      <c r="Q1433" s="47"/>
      <c r="R1433" s="19"/>
      <c r="S1433" s="19"/>
    </row>
    <row r="1434" spans="1:19" x14ac:dyDescent="0.35">
      <c r="A1434" s="26" t="s">
        <v>543</v>
      </c>
      <c r="B1434" s="26" t="s">
        <v>543</v>
      </c>
      <c r="C1434" s="26"/>
      <c r="D1434" s="26" t="s">
        <v>543</v>
      </c>
      <c r="E1434" s="26" t="str">
        <f>IFERROR(VLOOKUP(G1434,WholesaleExtract!B:J,9,FALSE),"")</f>
        <v/>
      </c>
      <c r="F1434" s="26" t="str">
        <f>IFERROR(VLOOKUP(G1434,WholesaleExtract!B:J,6,FALSE),"")</f>
        <v/>
      </c>
      <c r="G1434" s="46"/>
      <c r="H1434" s="47" t="str">
        <f>IFERROR(VLOOKUP(G1434,WholesaleExtract!B:L,11,FALSE),"")</f>
        <v/>
      </c>
      <c r="I1434" s="26" t="str">
        <f>IFERROR(VLOOKUP(G1434,WholesaleExtract!B:O,8,FALSE),"")</f>
        <v/>
      </c>
      <c r="J1434" s="26" t="str">
        <f>IFERROR(VLOOKUP(G1434,WholesaleExtract!B:O,14,FALSE),"")</f>
        <v/>
      </c>
      <c r="K1434" s="26" t="str">
        <f>IFERROR(VLOOKUP(G1434,WholesaleExtract!B:K,10,FALSE),"")</f>
        <v/>
      </c>
      <c r="L1434" s="47" t="str">
        <f>IFERROR(VLOOKUP(G1434,WholesaleExtract!B:L,11,FALSE),"")</f>
        <v/>
      </c>
      <c r="M1434" s="47" t="str">
        <f>IFERROR(VLOOKUP(G1434,WholesaleExtract!B:M,12,FALSE),"")</f>
        <v/>
      </c>
      <c r="N1434" s="27"/>
      <c r="O1434" s="19"/>
      <c r="P1434" s="19"/>
      <c r="Q1434" s="47"/>
      <c r="R1434" s="19"/>
      <c r="S1434" s="19"/>
    </row>
    <row r="1435" spans="1:19" x14ac:dyDescent="0.35">
      <c r="A1435" s="26" t="s">
        <v>543</v>
      </c>
      <c r="B1435" s="26" t="s">
        <v>543</v>
      </c>
      <c r="C1435" s="26"/>
      <c r="D1435" s="26" t="s">
        <v>543</v>
      </c>
      <c r="E1435" s="26" t="str">
        <f>IFERROR(VLOOKUP(G1435,WholesaleExtract!B:J,9,FALSE),"")</f>
        <v/>
      </c>
      <c r="F1435" s="26" t="str">
        <f>IFERROR(VLOOKUP(G1435,WholesaleExtract!B:J,6,FALSE),"")</f>
        <v/>
      </c>
      <c r="G1435" s="46"/>
      <c r="H1435" s="47" t="str">
        <f>IFERROR(VLOOKUP(G1435,WholesaleExtract!B:L,11,FALSE),"")</f>
        <v/>
      </c>
      <c r="I1435" s="26" t="str">
        <f>IFERROR(VLOOKUP(G1435,WholesaleExtract!B:O,8,FALSE),"")</f>
        <v/>
      </c>
      <c r="J1435" s="26" t="str">
        <f>IFERROR(VLOOKUP(G1435,WholesaleExtract!B:O,14,FALSE),"")</f>
        <v/>
      </c>
      <c r="K1435" s="26" t="str">
        <f>IFERROR(VLOOKUP(G1435,WholesaleExtract!B:K,10,FALSE),"")</f>
        <v/>
      </c>
      <c r="L1435" s="47" t="str">
        <f>IFERROR(VLOOKUP(G1435,WholesaleExtract!B:L,11,FALSE),"")</f>
        <v/>
      </c>
      <c r="M1435" s="47" t="str">
        <f>IFERROR(VLOOKUP(G1435,WholesaleExtract!B:M,12,FALSE),"")</f>
        <v/>
      </c>
      <c r="N1435" s="27"/>
      <c r="O1435" s="19"/>
      <c r="P1435" s="19"/>
      <c r="Q1435" s="47"/>
      <c r="R1435" s="19"/>
      <c r="S1435" s="19"/>
    </row>
    <row r="1436" spans="1:19" x14ac:dyDescent="0.35">
      <c r="A1436" s="26" t="s">
        <v>543</v>
      </c>
      <c r="B1436" s="26" t="s">
        <v>543</v>
      </c>
      <c r="C1436" s="26"/>
      <c r="D1436" s="26" t="s">
        <v>543</v>
      </c>
      <c r="E1436" s="26" t="str">
        <f>IFERROR(VLOOKUP(G1436,WholesaleExtract!B:J,9,FALSE),"")</f>
        <v/>
      </c>
      <c r="F1436" s="26" t="str">
        <f>IFERROR(VLOOKUP(G1436,WholesaleExtract!B:J,6,FALSE),"")</f>
        <v/>
      </c>
      <c r="G1436" s="46"/>
      <c r="H1436" s="47" t="str">
        <f>IFERROR(VLOOKUP(G1436,WholesaleExtract!B:L,11,FALSE),"")</f>
        <v/>
      </c>
      <c r="I1436" s="26" t="str">
        <f>IFERROR(VLOOKUP(G1436,WholesaleExtract!B:O,8,FALSE),"")</f>
        <v/>
      </c>
      <c r="J1436" s="26" t="str">
        <f>IFERROR(VLOOKUP(G1436,WholesaleExtract!B:O,14,FALSE),"")</f>
        <v/>
      </c>
      <c r="K1436" s="26" t="str">
        <f>IFERROR(VLOOKUP(G1436,WholesaleExtract!B:K,10,FALSE),"")</f>
        <v/>
      </c>
      <c r="L1436" s="47" t="str">
        <f>IFERROR(VLOOKUP(G1436,WholesaleExtract!B:L,11,FALSE),"")</f>
        <v/>
      </c>
      <c r="M1436" s="47" t="str">
        <f>IFERROR(VLOOKUP(G1436,WholesaleExtract!B:M,12,FALSE),"")</f>
        <v/>
      </c>
      <c r="N1436" s="27"/>
      <c r="O1436" s="19"/>
      <c r="P1436" s="19"/>
      <c r="Q1436" s="47"/>
      <c r="R1436" s="19"/>
      <c r="S1436" s="19"/>
    </row>
    <row r="1437" spans="1:19" x14ac:dyDescent="0.35">
      <c r="A1437" s="26" t="s">
        <v>543</v>
      </c>
      <c r="B1437" s="26" t="s">
        <v>543</v>
      </c>
      <c r="C1437" s="26"/>
      <c r="D1437" s="26" t="s">
        <v>543</v>
      </c>
      <c r="E1437" s="26" t="str">
        <f>IFERROR(VLOOKUP(G1437,WholesaleExtract!B:J,9,FALSE),"")</f>
        <v/>
      </c>
      <c r="F1437" s="26" t="str">
        <f>IFERROR(VLOOKUP(G1437,WholesaleExtract!B:J,6,FALSE),"")</f>
        <v/>
      </c>
      <c r="G1437" s="46"/>
      <c r="H1437" s="47" t="str">
        <f>IFERROR(VLOOKUP(G1437,WholesaleExtract!B:L,11,FALSE),"")</f>
        <v/>
      </c>
      <c r="I1437" s="26" t="str">
        <f>IFERROR(VLOOKUP(G1437,WholesaleExtract!B:O,8,FALSE),"")</f>
        <v/>
      </c>
      <c r="J1437" s="26" t="str">
        <f>IFERROR(VLOOKUP(G1437,WholesaleExtract!B:O,14,FALSE),"")</f>
        <v/>
      </c>
      <c r="K1437" s="26" t="str">
        <f>IFERROR(VLOOKUP(G1437,WholesaleExtract!B:K,10,FALSE),"")</f>
        <v/>
      </c>
      <c r="L1437" s="47" t="str">
        <f>IFERROR(VLOOKUP(G1437,WholesaleExtract!B:L,11,FALSE),"")</f>
        <v/>
      </c>
      <c r="M1437" s="47" t="str">
        <f>IFERROR(VLOOKUP(G1437,WholesaleExtract!B:M,12,FALSE),"")</f>
        <v/>
      </c>
      <c r="N1437" s="27"/>
      <c r="O1437" s="19"/>
      <c r="P1437" s="19"/>
      <c r="Q1437" s="47"/>
      <c r="R1437" s="19"/>
      <c r="S1437" s="19"/>
    </row>
    <row r="1438" spans="1:19" x14ac:dyDescent="0.35">
      <c r="A1438" s="26" t="s">
        <v>543</v>
      </c>
      <c r="B1438" s="26" t="s">
        <v>543</v>
      </c>
      <c r="C1438" s="26"/>
      <c r="D1438" s="26" t="s">
        <v>543</v>
      </c>
      <c r="E1438" s="26" t="str">
        <f>IFERROR(VLOOKUP(G1438,WholesaleExtract!B:J,9,FALSE),"")</f>
        <v/>
      </c>
      <c r="F1438" s="26" t="str">
        <f>IFERROR(VLOOKUP(G1438,WholesaleExtract!B:J,6,FALSE),"")</f>
        <v/>
      </c>
      <c r="G1438" s="46"/>
      <c r="H1438" s="47" t="str">
        <f>IFERROR(VLOOKUP(G1438,WholesaleExtract!B:L,11,FALSE),"")</f>
        <v/>
      </c>
      <c r="I1438" s="26" t="str">
        <f>IFERROR(VLOOKUP(G1438,WholesaleExtract!B:O,8,FALSE),"")</f>
        <v/>
      </c>
      <c r="J1438" s="26" t="str">
        <f>IFERROR(VLOOKUP(G1438,WholesaleExtract!B:O,14,FALSE),"")</f>
        <v/>
      </c>
      <c r="K1438" s="26" t="str">
        <f>IFERROR(VLOOKUP(G1438,WholesaleExtract!B:K,10,FALSE),"")</f>
        <v/>
      </c>
      <c r="L1438" s="47" t="str">
        <f>IFERROR(VLOOKUP(G1438,WholesaleExtract!B:L,11,FALSE),"")</f>
        <v/>
      </c>
      <c r="M1438" s="47" t="str">
        <f>IFERROR(VLOOKUP(G1438,WholesaleExtract!B:M,12,FALSE),"")</f>
        <v/>
      </c>
      <c r="N1438" s="27"/>
      <c r="O1438" s="19"/>
      <c r="P1438" s="19"/>
      <c r="Q1438" s="47"/>
      <c r="R1438" s="19"/>
      <c r="S1438" s="19"/>
    </row>
    <row r="1439" spans="1:19" x14ac:dyDescent="0.35">
      <c r="A1439" s="26" t="s">
        <v>543</v>
      </c>
      <c r="B1439" s="26" t="s">
        <v>543</v>
      </c>
      <c r="C1439" s="26"/>
      <c r="D1439" s="26" t="s">
        <v>543</v>
      </c>
      <c r="E1439" s="26" t="str">
        <f>IFERROR(VLOOKUP(G1439,WholesaleExtract!B:J,9,FALSE),"")</f>
        <v/>
      </c>
      <c r="F1439" s="26" t="str">
        <f>IFERROR(VLOOKUP(G1439,WholesaleExtract!B:J,6,FALSE),"")</f>
        <v/>
      </c>
      <c r="G1439" s="46"/>
      <c r="H1439" s="47" t="str">
        <f>IFERROR(VLOOKUP(G1439,WholesaleExtract!B:L,11,FALSE),"")</f>
        <v/>
      </c>
      <c r="I1439" s="26" t="str">
        <f>IFERROR(VLOOKUP(G1439,WholesaleExtract!B:O,8,FALSE),"")</f>
        <v/>
      </c>
      <c r="J1439" s="26" t="str">
        <f>IFERROR(VLOOKUP(G1439,WholesaleExtract!B:O,14,FALSE),"")</f>
        <v/>
      </c>
      <c r="K1439" s="26" t="str">
        <f>IFERROR(VLOOKUP(G1439,WholesaleExtract!B:K,10,FALSE),"")</f>
        <v/>
      </c>
      <c r="L1439" s="47" t="str">
        <f>IFERROR(VLOOKUP(G1439,WholesaleExtract!B:L,11,FALSE),"")</f>
        <v/>
      </c>
      <c r="M1439" s="47" t="str">
        <f>IFERROR(VLOOKUP(G1439,WholesaleExtract!B:M,12,FALSE),"")</f>
        <v/>
      </c>
      <c r="N1439" s="27"/>
      <c r="O1439" s="19"/>
      <c r="P1439" s="19"/>
      <c r="Q1439" s="47"/>
      <c r="R1439" s="19"/>
      <c r="S1439" s="19"/>
    </row>
    <row r="1440" spans="1:19" x14ac:dyDescent="0.35">
      <c r="A1440" s="26" t="s">
        <v>543</v>
      </c>
      <c r="B1440" s="26" t="s">
        <v>543</v>
      </c>
      <c r="C1440" s="26"/>
      <c r="D1440" s="26" t="s">
        <v>543</v>
      </c>
      <c r="E1440" s="26" t="str">
        <f>IFERROR(VLOOKUP(G1440,WholesaleExtract!B:J,9,FALSE),"")</f>
        <v/>
      </c>
      <c r="F1440" s="26" t="str">
        <f>IFERROR(VLOOKUP(G1440,WholesaleExtract!B:J,6,FALSE),"")</f>
        <v/>
      </c>
      <c r="G1440" s="46"/>
      <c r="H1440" s="47" t="str">
        <f>IFERROR(VLOOKUP(G1440,WholesaleExtract!B:L,11,FALSE),"")</f>
        <v/>
      </c>
      <c r="I1440" s="26" t="str">
        <f>IFERROR(VLOOKUP(G1440,WholesaleExtract!B:O,8,FALSE),"")</f>
        <v/>
      </c>
      <c r="J1440" s="26" t="str">
        <f>IFERROR(VLOOKUP(G1440,WholesaleExtract!B:O,14,FALSE),"")</f>
        <v/>
      </c>
      <c r="K1440" s="26" t="str">
        <f>IFERROR(VLOOKUP(G1440,WholesaleExtract!B:K,10,FALSE),"")</f>
        <v/>
      </c>
      <c r="L1440" s="47" t="str">
        <f>IFERROR(VLOOKUP(G1440,WholesaleExtract!B:L,11,FALSE),"")</f>
        <v/>
      </c>
      <c r="M1440" s="47" t="str">
        <f>IFERROR(VLOOKUP(G1440,WholesaleExtract!B:M,12,FALSE),"")</f>
        <v/>
      </c>
      <c r="N1440" s="27"/>
      <c r="O1440" s="19"/>
      <c r="P1440" s="19"/>
      <c r="Q1440" s="47"/>
      <c r="R1440" s="19"/>
      <c r="S1440" s="19"/>
    </row>
    <row r="1441" spans="1:19" x14ac:dyDescent="0.35">
      <c r="A1441" s="26" t="s">
        <v>543</v>
      </c>
      <c r="B1441" s="26" t="s">
        <v>543</v>
      </c>
      <c r="C1441" s="26"/>
      <c r="D1441" s="26" t="s">
        <v>543</v>
      </c>
      <c r="E1441" s="26" t="str">
        <f>IFERROR(VLOOKUP(G1441,WholesaleExtract!B:J,9,FALSE),"")</f>
        <v/>
      </c>
      <c r="F1441" s="26" t="str">
        <f>IFERROR(VLOOKUP(G1441,WholesaleExtract!B:J,6,FALSE),"")</f>
        <v/>
      </c>
      <c r="G1441" s="46"/>
      <c r="H1441" s="47" t="str">
        <f>IFERROR(VLOOKUP(G1441,WholesaleExtract!B:L,11,FALSE),"")</f>
        <v/>
      </c>
      <c r="I1441" s="26" t="str">
        <f>IFERROR(VLOOKUP(G1441,WholesaleExtract!B:O,8,FALSE),"")</f>
        <v/>
      </c>
      <c r="J1441" s="26" t="str">
        <f>IFERROR(VLOOKUP(G1441,WholesaleExtract!B:O,14,FALSE),"")</f>
        <v/>
      </c>
      <c r="K1441" s="26" t="str">
        <f>IFERROR(VLOOKUP(G1441,WholesaleExtract!B:K,10,FALSE),"")</f>
        <v/>
      </c>
      <c r="L1441" s="47" t="str">
        <f>IFERROR(VLOOKUP(G1441,WholesaleExtract!B:L,11,FALSE),"")</f>
        <v/>
      </c>
      <c r="M1441" s="47" t="str">
        <f>IFERROR(VLOOKUP(G1441,WholesaleExtract!B:M,12,FALSE),"")</f>
        <v/>
      </c>
      <c r="N1441" s="27"/>
      <c r="O1441" s="19"/>
      <c r="P1441" s="19"/>
      <c r="Q1441" s="47"/>
      <c r="R1441" s="19"/>
      <c r="S1441" s="19"/>
    </row>
    <row r="1442" spans="1:19" x14ac:dyDescent="0.35">
      <c r="A1442" s="26" t="s">
        <v>543</v>
      </c>
      <c r="B1442" s="26" t="s">
        <v>543</v>
      </c>
      <c r="C1442" s="26"/>
      <c r="D1442" s="26" t="s">
        <v>543</v>
      </c>
      <c r="E1442" s="26" t="str">
        <f>IFERROR(VLOOKUP(G1442,WholesaleExtract!B:J,9,FALSE),"")</f>
        <v/>
      </c>
      <c r="F1442" s="26" t="str">
        <f>IFERROR(VLOOKUP(G1442,WholesaleExtract!B:J,6,FALSE),"")</f>
        <v/>
      </c>
      <c r="G1442" s="46"/>
      <c r="H1442" s="47" t="str">
        <f>IFERROR(VLOOKUP(G1442,WholesaleExtract!B:L,11,FALSE),"")</f>
        <v/>
      </c>
      <c r="I1442" s="26" t="str">
        <f>IFERROR(VLOOKUP(G1442,WholesaleExtract!B:O,8,FALSE),"")</f>
        <v/>
      </c>
      <c r="J1442" s="26" t="str">
        <f>IFERROR(VLOOKUP(G1442,WholesaleExtract!B:O,14,FALSE),"")</f>
        <v/>
      </c>
      <c r="K1442" s="26" t="str">
        <f>IFERROR(VLOOKUP(G1442,WholesaleExtract!B:K,10,FALSE),"")</f>
        <v/>
      </c>
      <c r="L1442" s="47" t="str">
        <f>IFERROR(VLOOKUP(G1442,WholesaleExtract!B:L,11,FALSE),"")</f>
        <v/>
      </c>
      <c r="M1442" s="47" t="str">
        <f>IFERROR(VLOOKUP(G1442,WholesaleExtract!B:M,12,FALSE),"")</f>
        <v/>
      </c>
      <c r="N1442" s="27"/>
      <c r="O1442" s="19"/>
      <c r="P1442" s="19"/>
      <c r="Q1442" s="47"/>
      <c r="R1442" s="19"/>
      <c r="S1442" s="19"/>
    </row>
    <row r="1443" spans="1:19" x14ac:dyDescent="0.35">
      <c r="A1443" s="26" t="s">
        <v>543</v>
      </c>
      <c r="B1443" s="26" t="s">
        <v>543</v>
      </c>
      <c r="C1443" s="26"/>
      <c r="D1443" s="26" t="s">
        <v>543</v>
      </c>
      <c r="E1443" s="26" t="str">
        <f>IFERROR(VLOOKUP(G1443,WholesaleExtract!B:J,9,FALSE),"")</f>
        <v/>
      </c>
      <c r="F1443" s="26" t="str">
        <f>IFERROR(VLOOKUP(G1443,WholesaleExtract!B:J,6,FALSE),"")</f>
        <v/>
      </c>
      <c r="G1443" s="46"/>
      <c r="H1443" s="47" t="str">
        <f>IFERROR(VLOOKUP(G1443,WholesaleExtract!B:L,11,FALSE),"")</f>
        <v/>
      </c>
      <c r="I1443" s="26" t="str">
        <f>IFERROR(VLOOKUP(G1443,WholesaleExtract!B:O,8,FALSE),"")</f>
        <v/>
      </c>
      <c r="J1443" s="26" t="str">
        <f>IFERROR(VLOOKUP(G1443,WholesaleExtract!B:O,14,FALSE),"")</f>
        <v/>
      </c>
      <c r="K1443" s="26" t="str">
        <f>IFERROR(VLOOKUP(G1443,WholesaleExtract!B:K,10,FALSE),"")</f>
        <v/>
      </c>
      <c r="L1443" s="47" t="str">
        <f>IFERROR(VLOOKUP(G1443,WholesaleExtract!B:L,11,FALSE),"")</f>
        <v/>
      </c>
      <c r="M1443" s="47" t="str">
        <f>IFERROR(VLOOKUP(G1443,WholesaleExtract!B:M,12,FALSE),"")</f>
        <v/>
      </c>
      <c r="N1443" s="27"/>
      <c r="O1443" s="19"/>
      <c r="P1443" s="19"/>
      <c r="Q1443" s="47"/>
      <c r="R1443" s="19"/>
      <c r="S1443" s="19"/>
    </row>
    <row r="1444" spans="1:19" x14ac:dyDescent="0.35">
      <c r="A1444" s="26" t="s">
        <v>543</v>
      </c>
      <c r="B1444" s="26" t="s">
        <v>543</v>
      </c>
      <c r="C1444" s="26"/>
      <c r="D1444" s="26" t="s">
        <v>543</v>
      </c>
      <c r="E1444" s="26" t="str">
        <f>IFERROR(VLOOKUP(G1444,WholesaleExtract!B:J,9,FALSE),"")</f>
        <v/>
      </c>
      <c r="F1444" s="26" t="str">
        <f>IFERROR(VLOOKUP(G1444,WholesaleExtract!B:J,6,FALSE),"")</f>
        <v/>
      </c>
      <c r="G1444" s="46"/>
      <c r="H1444" s="47" t="str">
        <f>IFERROR(VLOOKUP(G1444,WholesaleExtract!B:L,11,FALSE),"")</f>
        <v/>
      </c>
      <c r="I1444" s="26" t="str">
        <f>IFERROR(VLOOKUP(G1444,WholesaleExtract!B:O,8,FALSE),"")</f>
        <v/>
      </c>
      <c r="J1444" s="26" t="str">
        <f>IFERROR(VLOOKUP(G1444,WholesaleExtract!B:O,14,FALSE),"")</f>
        <v/>
      </c>
      <c r="K1444" s="26" t="str">
        <f>IFERROR(VLOOKUP(G1444,WholesaleExtract!B:K,10,FALSE),"")</f>
        <v/>
      </c>
      <c r="L1444" s="47" t="str">
        <f>IFERROR(VLOOKUP(G1444,WholesaleExtract!B:L,11,FALSE),"")</f>
        <v/>
      </c>
      <c r="M1444" s="47" t="str">
        <f>IFERROR(VLOOKUP(G1444,WholesaleExtract!B:M,12,FALSE),"")</f>
        <v/>
      </c>
      <c r="N1444" s="27"/>
      <c r="O1444" s="19"/>
      <c r="P1444" s="19"/>
      <c r="Q1444" s="47"/>
      <c r="R1444" s="19"/>
      <c r="S1444" s="19"/>
    </row>
    <row r="1445" spans="1:19" x14ac:dyDescent="0.35">
      <c r="A1445" s="26" t="s">
        <v>543</v>
      </c>
      <c r="B1445" s="26" t="s">
        <v>543</v>
      </c>
      <c r="C1445" s="26"/>
      <c r="D1445" s="26" t="s">
        <v>543</v>
      </c>
      <c r="E1445" s="26" t="str">
        <f>IFERROR(VLOOKUP(G1445,WholesaleExtract!B:J,9,FALSE),"")</f>
        <v/>
      </c>
      <c r="F1445" s="26" t="str">
        <f>IFERROR(VLOOKUP(G1445,WholesaleExtract!B:J,6,FALSE),"")</f>
        <v/>
      </c>
      <c r="G1445" s="46"/>
      <c r="H1445" s="47" t="str">
        <f>IFERROR(VLOOKUP(G1445,WholesaleExtract!B:L,11,FALSE),"")</f>
        <v/>
      </c>
      <c r="I1445" s="26" t="str">
        <f>IFERROR(VLOOKUP(G1445,WholesaleExtract!B:O,8,FALSE),"")</f>
        <v/>
      </c>
      <c r="J1445" s="26" t="str">
        <f>IFERROR(VLOOKUP(G1445,WholesaleExtract!B:O,14,FALSE),"")</f>
        <v/>
      </c>
      <c r="K1445" s="26" t="str">
        <f>IFERROR(VLOOKUP(G1445,WholesaleExtract!B:K,10,FALSE),"")</f>
        <v/>
      </c>
      <c r="L1445" s="47" t="str">
        <f>IFERROR(VLOOKUP(G1445,WholesaleExtract!B:L,11,FALSE),"")</f>
        <v/>
      </c>
      <c r="M1445" s="47" t="str">
        <f>IFERROR(VLOOKUP(G1445,WholesaleExtract!B:M,12,FALSE),"")</f>
        <v/>
      </c>
      <c r="N1445" s="27"/>
      <c r="O1445" s="19"/>
      <c r="P1445" s="19"/>
      <c r="Q1445" s="47"/>
      <c r="R1445" s="19"/>
      <c r="S1445" s="19"/>
    </row>
    <row r="1446" spans="1:19" x14ac:dyDescent="0.35">
      <c r="A1446" s="26" t="s">
        <v>543</v>
      </c>
      <c r="B1446" s="26" t="s">
        <v>543</v>
      </c>
      <c r="C1446" s="26"/>
      <c r="D1446" s="26" t="s">
        <v>543</v>
      </c>
      <c r="E1446" s="26" t="str">
        <f>IFERROR(VLOOKUP(G1446,WholesaleExtract!B:J,9,FALSE),"")</f>
        <v/>
      </c>
      <c r="F1446" s="26" t="str">
        <f>IFERROR(VLOOKUP(G1446,WholesaleExtract!B:J,6,FALSE),"")</f>
        <v/>
      </c>
      <c r="G1446" s="46"/>
      <c r="H1446" s="47" t="str">
        <f>IFERROR(VLOOKUP(G1446,WholesaleExtract!B:L,11,FALSE),"")</f>
        <v/>
      </c>
      <c r="I1446" s="26" t="str">
        <f>IFERROR(VLOOKUP(G1446,WholesaleExtract!B:O,8,FALSE),"")</f>
        <v/>
      </c>
      <c r="J1446" s="26" t="str">
        <f>IFERROR(VLOOKUP(G1446,WholesaleExtract!B:O,14,FALSE),"")</f>
        <v/>
      </c>
      <c r="K1446" s="26" t="str">
        <f>IFERROR(VLOOKUP(G1446,WholesaleExtract!B:K,10,FALSE),"")</f>
        <v/>
      </c>
      <c r="L1446" s="47" t="str">
        <f>IFERROR(VLOOKUP(G1446,WholesaleExtract!B:L,11,FALSE),"")</f>
        <v/>
      </c>
      <c r="M1446" s="47" t="str">
        <f>IFERROR(VLOOKUP(G1446,WholesaleExtract!B:M,12,FALSE),"")</f>
        <v/>
      </c>
      <c r="N1446" s="27"/>
      <c r="O1446" s="19"/>
      <c r="P1446" s="19"/>
      <c r="Q1446" s="47"/>
      <c r="R1446" s="19"/>
      <c r="S1446" s="19"/>
    </row>
    <row r="1447" spans="1:19" x14ac:dyDescent="0.35">
      <c r="A1447" s="26" t="s">
        <v>543</v>
      </c>
      <c r="B1447" s="26" t="s">
        <v>543</v>
      </c>
      <c r="C1447" s="26"/>
      <c r="D1447" s="26" t="s">
        <v>543</v>
      </c>
      <c r="E1447" s="26" t="str">
        <f>IFERROR(VLOOKUP(G1447,WholesaleExtract!B:J,9,FALSE),"")</f>
        <v/>
      </c>
      <c r="F1447" s="26" t="str">
        <f>IFERROR(VLOOKUP(G1447,WholesaleExtract!B:J,6,FALSE),"")</f>
        <v/>
      </c>
      <c r="G1447" s="46"/>
      <c r="H1447" s="47" t="str">
        <f>IFERROR(VLOOKUP(G1447,WholesaleExtract!B:L,11,FALSE),"")</f>
        <v/>
      </c>
      <c r="I1447" s="26" t="str">
        <f>IFERROR(VLOOKUP(G1447,WholesaleExtract!B:O,8,FALSE),"")</f>
        <v/>
      </c>
      <c r="J1447" s="26" t="str">
        <f>IFERROR(VLOOKUP(G1447,WholesaleExtract!B:O,14,FALSE),"")</f>
        <v/>
      </c>
      <c r="K1447" s="26" t="str">
        <f>IFERROR(VLOOKUP(G1447,WholesaleExtract!B:K,10,FALSE),"")</f>
        <v/>
      </c>
      <c r="L1447" s="47" t="str">
        <f>IFERROR(VLOOKUP(G1447,WholesaleExtract!B:L,11,FALSE),"")</f>
        <v/>
      </c>
      <c r="M1447" s="47" t="str">
        <f>IFERROR(VLOOKUP(G1447,WholesaleExtract!B:M,12,FALSE),"")</f>
        <v/>
      </c>
      <c r="N1447" s="27"/>
      <c r="O1447" s="19"/>
      <c r="P1447" s="19"/>
      <c r="Q1447" s="47"/>
      <c r="R1447" s="19"/>
      <c r="S1447" s="19"/>
    </row>
    <row r="1448" spans="1:19" x14ac:dyDescent="0.35">
      <c r="A1448" s="26" t="s">
        <v>543</v>
      </c>
      <c r="B1448" s="26" t="s">
        <v>543</v>
      </c>
      <c r="C1448" s="26"/>
      <c r="D1448" s="26" t="s">
        <v>543</v>
      </c>
      <c r="E1448" s="26" t="str">
        <f>IFERROR(VLOOKUP(G1448,WholesaleExtract!B:J,9,FALSE),"")</f>
        <v/>
      </c>
      <c r="F1448" s="26" t="str">
        <f>IFERROR(VLOOKUP(G1448,WholesaleExtract!B:J,6,FALSE),"")</f>
        <v/>
      </c>
      <c r="G1448" s="46"/>
      <c r="H1448" s="47" t="str">
        <f>IFERROR(VLOOKUP(G1448,WholesaleExtract!B:L,11,FALSE),"")</f>
        <v/>
      </c>
      <c r="I1448" s="26" t="str">
        <f>IFERROR(VLOOKUP(G1448,WholesaleExtract!B:O,8,FALSE),"")</f>
        <v/>
      </c>
      <c r="J1448" s="26" t="str">
        <f>IFERROR(VLOOKUP(G1448,WholesaleExtract!B:O,14,FALSE),"")</f>
        <v/>
      </c>
      <c r="K1448" s="26" t="str">
        <f>IFERROR(VLOOKUP(G1448,WholesaleExtract!B:K,10,FALSE),"")</f>
        <v/>
      </c>
      <c r="L1448" s="47" t="str">
        <f>IFERROR(VLOOKUP(G1448,WholesaleExtract!B:L,11,FALSE),"")</f>
        <v/>
      </c>
      <c r="M1448" s="47" t="str">
        <f>IFERROR(VLOOKUP(G1448,WholesaleExtract!B:M,12,FALSE),"")</f>
        <v/>
      </c>
      <c r="N1448" s="27"/>
      <c r="O1448" s="19"/>
      <c r="P1448" s="19"/>
      <c r="Q1448" s="47"/>
      <c r="R1448" s="19"/>
      <c r="S1448" s="19"/>
    </row>
    <row r="1449" spans="1:19" x14ac:dyDescent="0.35">
      <c r="A1449" s="26" t="s">
        <v>543</v>
      </c>
      <c r="B1449" s="26" t="s">
        <v>543</v>
      </c>
      <c r="C1449" s="26"/>
      <c r="D1449" s="26" t="s">
        <v>543</v>
      </c>
      <c r="E1449" s="26" t="str">
        <f>IFERROR(VLOOKUP(G1449,WholesaleExtract!B:J,9,FALSE),"")</f>
        <v/>
      </c>
      <c r="F1449" s="26" t="str">
        <f>IFERROR(VLOOKUP(G1449,WholesaleExtract!B:J,6,FALSE),"")</f>
        <v/>
      </c>
      <c r="G1449" s="46"/>
      <c r="H1449" s="47" t="str">
        <f>IFERROR(VLOOKUP(G1449,WholesaleExtract!B:L,11,FALSE),"")</f>
        <v/>
      </c>
      <c r="I1449" s="26" t="str">
        <f>IFERROR(VLOOKUP(G1449,WholesaleExtract!B:O,8,FALSE),"")</f>
        <v/>
      </c>
      <c r="J1449" s="26" t="str">
        <f>IFERROR(VLOOKUP(G1449,WholesaleExtract!B:O,14,FALSE),"")</f>
        <v/>
      </c>
      <c r="K1449" s="26" t="str">
        <f>IFERROR(VLOOKUP(G1449,WholesaleExtract!B:K,10,FALSE),"")</f>
        <v/>
      </c>
      <c r="L1449" s="47" t="str">
        <f>IFERROR(VLOOKUP(G1449,WholesaleExtract!B:L,11,FALSE),"")</f>
        <v/>
      </c>
      <c r="M1449" s="47" t="str">
        <f>IFERROR(VLOOKUP(G1449,WholesaleExtract!B:M,12,FALSE),"")</f>
        <v/>
      </c>
      <c r="N1449" s="27"/>
      <c r="O1449" s="19"/>
      <c r="P1449" s="19"/>
      <c r="Q1449" s="47"/>
      <c r="R1449" s="19"/>
      <c r="S1449" s="19"/>
    </row>
    <row r="1450" spans="1:19" x14ac:dyDescent="0.35">
      <c r="A1450" s="26" t="s">
        <v>543</v>
      </c>
      <c r="B1450" s="26" t="s">
        <v>543</v>
      </c>
      <c r="C1450" s="26"/>
      <c r="D1450" s="26" t="s">
        <v>543</v>
      </c>
      <c r="E1450" s="26" t="str">
        <f>IFERROR(VLOOKUP(G1450,WholesaleExtract!B:J,9,FALSE),"")</f>
        <v/>
      </c>
      <c r="F1450" s="26" t="str">
        <f>IFERROR(VLOOKUP(G1450,WholesaleExtract!B:J,6,FALSE),"")</f>
        <v/>
      </c>
      <c r="G1450" s="46"/>
      <c r="H1450" s="47" t="str">
        <f>IFERROR(VLOOKUP(G1450,WholesaleExtract!B:L,11,FALSE),"")</f>
        <v/>
      </c>
      <c r="I1450" s="26" t="str">
        <f>IFERROR(VLOOKUP(G1450,WholesaleExtract!B:O,8,FALSE),"")</f>
        <v/>
      </c>
      <c r="J1450" s="26" t="str">
        <f>IFERROR(VLOOKUP(G1450,WholesaleExtract!B:O,14,FALSE),"")</f>
        <v/>
      </c>
      <c r="K1450" s="26" t="str">
        <f>IFERROR(VLOOKUP(G1450,WholesaleExtract!B:K,10,FALSE),"")</f>
        <v/>
      </c>
      <c r="L1450" s="47" t="str">
        <f>IFERROR(VLOOKUP(G1450,WholesaleExtract!B:L,11,FALSE),"")</f>
        <v/>
      </c>
      <c r="M1450" s="47" t="str">
        <f>IFERROR(VLOOKUP(G1450,WholesaleExtract!B:M,12,FALSE),"")</f>
        <v/>
      </c>
      <c r="N1450" s="27"/>
      <c r="O1450" s="19"/>
      <c r="P1450" s="19"/>
      <c r="Q1450" s="47"/>
      <c r="R1450" s="19"/>
      <c r="S1450" s="19"/>
    </row>
    <row r="1451" spans="1:19" x14ac:dyDescent="0.35">
      <c r="A1451" s="26" t="s">
        <v>543</v>
      </c>
      <c r="B1451" s="26" t="s">
        <v>543</v>
      </c>
      <c r="C1451" s="26"/>
      <c r="D1451" s="26" t="s">
        <v>543</v>
      </c>
      <c r="E1451" s="26" t="str">
        <f>IFERROR(VLOOKUP(G1451,WholesaleExtract!B:J,9,FALSE),"")</f>
        <v/>
      </c>
      <c r="F1451" s="26" t="str">
        <f>IFERROR(VLOOKUP(G1451,WholesaleExtract!B:J,6,FALSE),"")</f>
        <v/>
      </c>
      <c r="G1451" s="46"/>
      <c r="H1451" s="47" t="str">
        <f>IFERROR(VLOOKUP(G1451,WholesaleExtract!B:L,11,FALSE),"")</f>
        <v/>
      </c>
      <c r="I1451" s="26" t="str">
        <f>IFERROR(VLOOKUP(G1451,WholesaleExtract!B:O,8,FALSE),"")</f>
        <v/>
      </c>
      <c r="J1451" s="26" t="str">
        <f>IFERROR(VLOOKUP(G1451,WholesaleExtract!B:O,14,FALSE),"")</f>
        <v/>
      </c>
      <c r="K1451" s="26" t="str">
        <f>IFERROR(VLOOKUP(G1451,WholesaleExtract!B:K,10,FALSE),"")</f>
        <v/>
      </c>
      <c r="L1451" s="47" t="str">
        <f>IFERROR(VLOOKUP(G1451,WholesaleExtract!B:L,11,FALSE),"")</f>
        <v/>
      </c>
      <c r="M1451" s="47" t="str">
        <f>IFERROR(VLOOKUP(G1451,WholesaleExtract!B:M,12,FALSE),"")</f>
        <v/>
      </c>
      <c r="N1451" s="27"/>
      <c r="O1451" s="19"/>
      <c r="P1451" s="19"/>
      <c r="Q1451" s="47"/>
      <c r="R1451" s="19"/>
      <c r="S1451" s="19"/>
    </row>
    <row r="1452" spans="1:19" x14ac:dyDescent="0.35">
      <c r="A1452" s="26" t="s">
        <v>543</v>
      </c>
      <c r="B1452" s="26" t="s">
        <v>543</v>
      </c>
      <c r="C1452" s="26"/>
      <c r="D1452" s="26" t="s">
        <v>543</v>
      </c>
      <c r="E1452" s="26" t="str">
        <f>IFERROR(VLOOKUP(G1452,WholesaleExtract!B:J,9,FALSE),"")</f>
        <v/>
      </c>
      <c r="F1452" s="26" t="str">
        <f>IFERROR(VLOOKUP(G1452,WholesaleExtract!B:J,6,FALSE),"")</f>
        <v/>
      </c>
      <c r="G1452" s="46"/>
      <c r="H1452" s="47" t="str">
        <f>IFERROR(VLOOKUP(G1452,WholesaleExtract!B:L,11,FALSE),"")</f>
        <v/>
      </c>
      <c r="I1452" s="26" t="str">
        <f>IFERROR(VLOOKUP(G1452,WholesaleExtract!B:O,8,FALSE),"")</f>
        <v/>
      </c>
      <c r="J1452" s="26" t="str">
        <f>IFERROR(VLOOKUP(G1452,WholesaleExtract!B:O,14,FALSE),"")</f>
        <v/>
      </c>
      <c r="K1452" s="26" t="str">
        <f>IFERROR(VLOOKUP(G1452,WholesaleExtract!B:K,10,FALSE),"")</f>
        <v/>
      </c>
      <c r="L1452" s="47" t="str">
        <f>IFERROR(VLOOKUP(G1452,WholesaleExtract!B:L,11,FALSE),"")</f>
        <v/>
      </c>
      <c r="M1452" s="47" t="str">
        <f>IFERROR(VLOOKUP(G1452,WholesaleExtract!B:M,12,FALSE),"")</f>
        <v/>
      </c>
      <c r="N1452" s="27"/>
      <c r="O1452" s="19"/>
      <c r="P1452" s="19"/>
      <c r="Q1452" s="47"/>
      <c r="R1452" s="19"/>
      <c r="S1452" s="19"/>
    </row>
    <row r="1453" spans="1:19" x14ac:dyDescent="0.35">
      <c r="A1453" s="26" t="s">
        <v>543</v>
      </c>
      <c r="B1453" s="26" t="s">
        <v>543</v>
      </c>
      <c r="C1453" s="26"/>
      <c r="D1453" s="26" t="s">
        <v>543</v>
      </c>
      <c r="E1453" s="26" t="str">
        <f>IFERROR(VLOOKUP(G1453,WholesaleExtract!B:J,9,FALSE),"")</f>
        <v/>
      </c>
      <c r="F1453" s="26" t="str">
        <f>IFERROR(VLOOKUP(G1453,WholesaleExtract!B:J,6,FALSE),"")</f>
        <v/>
      </c>
      <c r="G1453" s="46"/>
      <c r="H1453" s="47" t="str">
        <f>IFERROR(VLOOKUP(G1453,WholesaleExtract!B:L,11,FALSE),"")</f>
        <v/>
      </c>
      <c r="I1453" s="26" t="str">
        <f>IFERROR(VLOOKUP(G1453,WholesaleExtract!B:O,8,FALSE),"")</f>
        <v/>
      </c>
      <c r="J1453" s="26" t="str">
        <f>IFERROR(VLOOKUP(G1453,WholesaleExtract!B:O,14,FALSE),"")</f>
        <v/>
      </c>
      <c r="K1453" s="26" t="str">
        <f>IFERROR(VLOOKUP(G1453,WholesaleExtract!B:K,10,FALSE),"")</f>
        <v/>
      </c>
      <c r="L1453" s="47" t="str">
        <f>IFERROR(VLOOKUP(G1453,WholesaleExtract!B:L,11,FALSE),"")</f>
        <v/>
      </c>
      <c r="M1453" s="47" t="str">
        <f>IFERROR(VLOOKUP(G1453,WholesaleExtract!B:M,12,FALSE),"")</f>
        <v/>
      </c>
      <c r="N1453" s="27"/>
      <c r="O1453" s="19"/>
      <c r="P1453" s="19"/>
      <c r="Q1453" s="47"/>
      <c r="R1453" s="19"/>
      <c r="S1453" s="19"/>
    </row>
    <row r="1454" spans="1:19" x14ac:dyDescent="0.35">
      <c r="A1454" s="26" t="s">
        <v>543</v>
      </c>
      <c r="B1454" s="26" t="s">
        <v>543</v>
      </c>
      <c r="C1454" s="26"/>
      <c r="D1454" s="26" t="s">
        <v>543</v>
      </c>
      <c r="E1454" s="26" t="str">
        <f>IFERROR(VLOOKUP(G1454,WholesaleExtract!B:J,9,FALSE),"")</f>
        <v/>
      </c>
      <c r="F1454" s="26" t="str">
        <f>IFERROR(VLOOKUP(G1454,WholesaleExtract!B:J,6,FALSE),"")</f>
        <v/>
      </c>
      <c r="G1454" s="46"/>
      <c r="H1454" s="47" t="str">
        <f>IFERROR(VLOOKUP(G1454,WholesaleExtract!B:L,11,FALSE),"")</f>
        <v/>
      </c>
      <c r="I1454" s="26" t="str">
        <f>IFERROR(VLOOKUP(G1454,WholesaleExtract!B:O,8,FALSE),"")</f>
        <v/>
      </c>
      <c r="J1454" s="26" t="str">
        <f>IFERROR(VLOOKUP(G1454,WholesaleExtract!B:O,14,FALSE),"")</f>
        <v/>
      </c>
      <c r="K1454" s="26" t="str">
        <f>IFERROR(VLOOKUP(G1454,WholesaleExtract!B:K,10,FALSE),"")</f>
        <v/>
      </c>
      <c r="L1454" s="47" t="str">
        <f>IFERROR(VLOOKUP(G1454,WholesaleExtract!B:L,11,FALSE),"")</f>
        <v/>
      </c>
      <c r="M1454" s="47" t="str">
        <f>IFERROR(VLOOKUP(G1454,WholesaleExtract!B:M,12,FALSE),"")</f>
        <v/>
      </c>
      <c r="N1454" s="27"/>
      <c r="O1454" s="19"/>
      <c r="P1454" s="19"/>
      <c r="Q1454" s="47"/>
      <c r="R1454" s="19"/>
      <c r="S1454" s="19"/>
    </row>
    <row r="1455" spans="1:19" x14ac:dyDescent="0.35">
      <c r="A1455" s="26" t="s">
        <v>543</v>
      </c>
      <c r="B1455" s="26" t="s">
        <v>543</v>
      </c>
      <c r="C1455" s="26"/>
      <c r="D1455" s="26" t="s">
        <v>543</v>
      </c>
      <c r="E1455" s="26" t="str">
        <f>IFERROR(VLOOKUP(G1455,WholesaleExtract!B:J,9,FALSE),"")</f>
        <v/>
      </c>
      <c r="F1455" s="26" t="str">
        <f>IFERROR(VLOOKUP(G1455,WholesaleExtract!B:J,6,FALSE),"")</f>
        <v/>
      </c>
      <c r="G1455" s="46"/>
      <c r="H1455" s="47" t="str">
        <f>IFERROR(VLOOKUP(G1455,WholesaleExtract!B:L,11,FALSE),"")</f>
        <v/>
      </c>
      <c r="I1455" s="26" t="str">
        <f>IFERROR(VLOOKUP(G1455,WholesaleExtract!B:O,8,FALSE),"")</f>
        <v/>
      </c>
      <c r="J1455" s="26" t="str">
        <f>IFERROR(VLOOKUP(G1455,WholesaleExtract!B:O,14,FALSE),"")</f>
        <v/>
      </c>
      <c r="K1455" s="26" t="str">
        <f>IFERROR(VLOOKUP(G1455,WholesaleExtract!B:K,10,FALSE),"")</f>
        <v/>
      </c>
      <c r="L1455" s="47" t="str">
        <f>IFERROR(VLOOKUP(G1455,WholesaleExtract!B:L,11,FALSE),"")</f>
        <v/>
      </c>
      <c r="M1455" s="47" t="str">
        <f>IFERROR(VLOOKUP(G1455,WholesaleExtract!B:M,12,FALSE),"")</f>
        <v/>
      </c>
      <c r="N1455" s="27"/>
      <c r="O1455" s="19"/>
      <c r="P1455" s="19"/>
      <c r="Q1455" s="47"/>
      <c r="R1455" s="19"/>
      <c r="S1455" s="19"/>
    </row>
    <row r="1456" spans="1:19" x14ac:dyDescent="0.35">
      <c r="A1456" s="26" t="s">
        <v>543</v>
      </c>
      <c r="B1456" s="26" t="s">
        <v>543</v>
      </c>
      <c r="C1456" s="26"/>
      <c r="D1456" s="26" t="s">
        <v>543</v>
      </c>
      <c r="E1456" s="26" t="str">
        <f>IFERROR(VLOOKUP(G1456,WholesaleExtract!B:J,9,FALSE),"")</f>
        <v/>
      </c>
      <c r="F1456" s="26" t="str">
        <f>IFERROR(VLOOKUP(G1456,WholesaleExtract!B:J,6,FALSE),"")</f>
        <v/>
      </c>
      <c r="G1456" s="46"/>
      <c r="H1456" s="47" t="str">
        <f>IFERROR(VLOOKUP(G1456,WholesaleExtract!B:L,11,FALSE),"")</f>
        <v/>
      </c>
      <c r="I1456" s="26" t="str">
        <f>IFERROR(VLOOKUP(G1456,WholesaleExtract!B:O,8,FALSE),"")</f>
        <v/>
      </c>
      <c r="J1456" s="26" t="str">
        <f>IFERROR(VLOOKUP(G1456,WholesaleExtract!B:O,14,FALSE),"")</f>
        <v/>
      </c>
      <c r="K1456" s="26" t="str">
        <f>IFERROR(VLOOKUP(G1456,WholesaleExtract!B:K,10,FALSE),"")</f>
        <v/>
      </c>
      <c r="L1456" s="47" t="str">
        <f>IFERROR(VLOOKUP(G1456,WholesaleExtract!B:L,11,FALSE),"")</f>
        <v/>
      </c>
      <c r="M1456" s="47" t="str">
        <f>IFERROR(VLOOKUP(G1456,WholesaleExtract!B:M,12,FALSE),"")</f>
        <v/>
      </c>
      <c r="N1456" s="27"/>
      <c r="O1456" s="19"/>
      <c r="P1456" s="19"/>
      <c r="Q1456" s="47"/>
      <c r="R1456" s="19"/>
      <c r="S1456" s="19"/>
    </row>
    <row r="1457" spans="1:19" x14ac:dyDescent="0.35">
      <c r="A1457" s="26" t="s">
        <v>543</v>
      </c>
      <c r="B1457" s="26" t="s">
        <v>543</v>
      </c>
      <c r="C1457" s="26"/>
      <c r="D1457" s="26" t="s">
        <v>543</v>
      </c>
      <c r="E1457" s="26" t="str">
        <f>IFERROR(VLOOKUP(G1457,WholesaleExtract!B:J,9,FALSE),"")</f>
        <v/>
      </c>
      <c r="F1457" s="26" t="str">
        <f>IFERROR(VLOOKUP(G1457,WholesaleExtract!B:J,6,FALSE),"")</f>
        <v/>
      </c>
      <c r="G1457" s="46"/>
      <c r="H1457" s="47" t="str">
        <f>IFERROR(VLOOKUP(G1457,WholesaleExtract!B:L,11,FALSE),"")</f>
        <v/>
      </c>
      <c r="I1457" s="26" t="str">
        <f>IFERROR(VLOOKUP(G1457,WholesaleExtract!B:O,8,FALSE),"")</f>
        <v/>
      </c>
      <c r="J1457" s="26" t="str">
        <f>IFERROR(VLOOKUP(G1457,WholesaleExtract!B:O,14,FALSE),"")</f>
        <v/>
      </c>
      <c r="K1457" s="26" t="str">
        <f>IFERROR(VLOOKUP(G1457,WholesaleExtract!B:K,10,FALSE),"")</f>
        <v/>
      </c>
      <c r="L1457" s="47" t="str">
        <f>IFERROR(VLOOKUP(G1457,WholesaleExtract!B:L,11,FALSE),"")</f>
        <v/>
      </c>
      <c r="M1457" s="47" t="str">
        <f>IFERROR(VLOOKUP(G1457,WholesaleExtract!B:M,12,FALSE),"")</f>
        <v/>
      </c>
      <c r="N1457" s="27"/>
      <c r="O1457" s="19"/>
      <c r="P1457" s="19"/>
      <c r="Q1457" s="47"/>
      <c r="R1457" s="19"/>
      <c r="S1457" s="19"/>
    </row>
    <row r="1458" spans="1:19" x14ac:dyDescent="0.35">
      <c r="A1458" s="26" t="s">
        <v>543</v>
      </c>
      <c r="B1458" s="26" t="s">
        <v>543</v>
      </c>
      <c r="C1458" s="26"/>
      <c r="D1458" s="26" t="s">
        <v>543</v>
      </c>
      <c r="E1458" s="26" t="str">
        <f>IFERROR(VLOOKUP(G1458,WholesaleExtract!B:J,9,FALSE),"")</f>
        <v/>
      </c>
      <c r="F1458" s="26" t="str">
        <f>IFERROR(VLOOKUP(G1458,WholesaleExtract!B:J,6,FALSE),"")</f>
        <v/>
      </c>
      <c r="G1458" s="46"/>
      <c r="H1458" s="47" t="str">
        <f>IFERROR(VLOOKUP(G1458,WholesaleExtract!B:L,11,FALSE),"")</f>
        <v/>
      </c>
      <c r="I1458" s="26" t="str">
        <f>IFERROR(VLOOKUP(G1458,WholesaleExtract!B:O,8,FALSE),"")</f>
        <v/>
      </c>
      <c r="J1458" s="26" t="str">
        <f>IFERROR(VLOOKUP(G1458,WholesaleExtract!B:O,14,FALSE),"")</f>
        <v/>
      </c>
      <c r="K1458" s="26" t="str">
        <f>IFERROR(VLOOKUP(G1458,WholesaleExtract!B:K,10,FALSE),"")</f>
        <v/>
      </c>
      <c r="L1458" s="47" t="str">
        <f>IFERROR(VLOOKUP(G1458,WholesaleExtract!B:L,11,FALSE),"")</f>
        <v/>
      </c>
      <c r="M1458" s="47" t="str">
        <f>IFERROR(VLOOKUP(G1458,WholesaleExtract!B:M,12,FALSE),"")</f>
        <v/>
      </c>
      <c r="N1458" s="27"/>
      <c r="O1458" s="19"/>
      <c r="P1458" s="19"/>
      <c r="Q1458" s="47"/>
      <c r="R1458" s="19"/>
      <c r="S1458" s="19"/>
    </row>
    <row r="1459" spans="1:19" x14ac:dyDescent="0.35">
      <c r="A1459" s="26" t="s">
        <v>543</v>
      </c>
      <c r="B1459" s="26" t="s">
        <v>543</v>
      </c>
      <c r="C1459" s="26"/>
      <c r="D1459" s="26" t="s">
        <v>543</v>
      </c>
      <c r="E1459" s="26" t="str">
        <f>IFERROR(VLOOKUP(G1459,WholesaleExtract!B:J,9,FALSE),"")</f>
        <v/>
      </c>
      <c r="F1459" s="26" t="str">
        <f>IFERROR(VLOOKUP(G1459,WholesaleExtract!B:J,6,FALSE),"")</f>
        <v/>
      </c>
      <c r="G1459" s="46"/>
      <c r="H1459" s="47" t="str">
        <f>IFERROR(VLOOKUP(G1459,WholesaleExtract!B:L,11,FALSE),"")</f>
        <v/>
      </c>
      <c r="I1459" s="26" t="str">
        <f>IFERROR(VLOOKUP(G1459,WholesaleExtract!B:O,8,FALSE),"")</f>
        <v/>
      </c>
      <c r="J1459" s="26" t="str">
        <f>IFERROR(VLOOKUP(G1459,WholesaleExtract!B:O,14,FALSE),"")</f>
        <v/>
      </c>
      <c r="K1459" s="26" t="str">
        <f>IFERROR(VLOOKUP(G1459,WholesaleExtract!B:K,10,FALSE),"")</f>
        <v/>
      </c>
      <c r="L1459" s="47" t="str">
        <f>IFERROR(VLOOKUP(G1459,WholesaleExtract!B:L,11,FALSE),"")</f>
        <v/>
      </c>
      <c r="M1459" s="47" t="str">
        <f>IFERROR(VLOOKUP(G1459,WholesaleExtract!B:M,12,FALSE),"")</f>
        <v/>
      </c>
      <c r="N1459" s="27"/>
      <c r="O1459" s="19"/>
      <c r="P1459" s="19"/>
      <c r="Q1459" s="47"/>
      <c r="R1459" s="19"/>
      <c r="S1459" s="19"/>
    </row>
    <row r="1460" spans="1:19" x14ac:dyDescent="0.35">
      <c r="A1460" s="26" t="s">
        <v>543</v>
      </c>
      <c r="B1460" s="26" t="s">
        <v>543</v>
      </c>
      <c r="C1460" s="26"/>
      <c r="D1460" s="26" t="s">
        <v>543</v>
      </c>
      <c r="E1460" s="26" t="str">
        <f>IFERROR(VLOOKUP(G1460,WholesaleExtract!B:J,9,FALSE),"")</f>
        <v/>
      </c>
      <c r="F1460" s="26" t="str">
        <f>IFERROR(VLOOKUP(G1460,WholesaleExtract!B:J,6,FALSE),"")</f>
        <v/>
      </c>
      <c r="G1460" s="46"/>
      <c r="H1460" s="47" t="str">
        <f>IFERROR(VLOOKUP(G1460,WholesaleExtract!B:L,11,FALSE),"")</f>
        <v/>
      </c>
      <c r="I1460" s="26" t="str">
        <f>IFERROR(VLOOKUP(G1460,WholesaleExtract!B:O,8,FALSE),"")</f>
        <v/>
      </c>
      <c r="J1460" s="26" t="str">
        <f>IFERROR(VLOOKUP(G1460,WholesaleExtract!B:O,14,FALSE),"")</f>
        <v/>
      </c>
      <c r="K1460" s="26" t="str">
        <f>IFERROR(VLOOKUP(G1460,WholesaleExtract!B:K,10,FALSE),"")</f>
        <v/>
      </c>
      <c r="L1460" s="47" t="str">
        <f>IFERROR(VLOOKUP(G1460,WholesaleExtract!B:L,11,FALSE),"")</f>
        <v/>
      </c>
      <c r="M1460" s="47" t="str">
        <f>IFERROR(VLOOKUP(G1460,WholesaleExtract!B:M,12,FALSE),"")</f>
        <v/>
      </c>
      <c r="N1460" s="27"/>
      <c r="O1460" s="19"/>
      <c r="P1460" s="19"/>
      <c r="Q1460" s="47"/>
      <c r="R1460" s="19"/>
      <c r="S1460" s="19"/>
    </row>
    <row r="1461" spans="1:19" x14ac:dyDescent="0.35">
      <c r="A1461" s="26" t="s">
        <v>543</v>
      </c>
      <c r="B1461" s="26" t="s">
        <v>543</v>
      </c>
      <c r="C1461" s="26"/>
      <c r="D1461" s="26" t="s">
        <v>543</v>
      </c>
      <c r="E1461" s="26" t="str">
        <f>IFERROR(VLOOKUP(G1461,WholesaleExtract!B:J,9,FALSE),"")</f>
        <v/>
      </c>
      <c r="F1461" s="26" t="str">
        <f>IFERROR(VLOOKUP(G1461,WholesaleExtract!B:J,6,FALSE),"")</f>
        <v/>
      </c>
      <c r="G1461" s="46"/>
      <c r="H1461" s="47" t="str">
        <f>IFERROR(VLOOKUP(G1461,WholesaleExtract!B:L,11,FALSE),"")</f>
        <v/>
      </c>
      <c r="I1461" s="26" t="str">
        <f>IFERROR(VLOOKUP(G1461,WholesaleExtract!B:O,8,FALSE),"")</f>
        <v/>
      </c>
      <c r="J1461" s="26" t="str">
        <f>IFERROR(VLOOKUP(G1461,WholesaleExtract!B:O,14,FALSE),"")</f>
        <v/>
      </c>
      <c r="K1461" s="26" t="str">
        <f>IFERROR(VLOOKUP(G1461,WholesaleExtract!B:K,10,FALSE),"")</f>
        <v/>
      </c>
      <c r="L1461" s="47" t="str">
        <f>IFERROR(VLOOKUP(G1461,WholesaleExtract!B:L,11,FALSE),"")</f>
        <v/>
      </c>
      <c r="M1461" s="47" t="str">
        <f>IFERROR(VLOOKUP(G1461,WholesaleExtract!B:M,12,FALSE),"")</f>
        <v/>
      </c>
      <c r="N1461" s="27"/>
      <c r="O1461" s="19"/>
      <c r="P1461" s="19"/>
      <c r="Q1461" s="47"/>
      <c r="R1461" s="19"/>
      <c r="S1461" s="19"/>
    </row>
    <row r="1462" spans="1:19" x14ac:dyDescent="0.35">
      <c r="A1462" s="26" t="s">
        <v>543</v>
      </c>
      <c r="B1462" s="26" t="s">
        <v>543</v>
      </c>
      <c r="C1462" s="26"/>
      <c r="D1462" s="26" t="s">
        <v>543</v>
      </c>
      <c r="E1462" s="26" t="str">
        <f>IFERROR(VLOOKUP(G1462,WholesaleExtract!B:J,9,FALSE),"")</f>
        <v/>
      </c>
      <c r="F1462" s="26" t="str">
        <f>IFERROR(VLOOKUP(G1462,WholesaleExtract!B:J,6,FALSE),"")</f>
        <v/>
      </c>
      <c r="G1462" s="46"/>
      <c r="H1462" s="47" t="str">
        <f>IFERROR(VLOOKUP(G1462,WholesaleExtract!B:L,11,FALSE),"")</f>
        <v/>
      </c>
      <c r="I1462" s="26" t="str">
        <f>IFERROR(VLOOKUP(G1462,WholesaleExtract!B:O,8,FALSE),"")</f>
        <v/>
      </c>
      <c r="J1462" s="26" t="str">
        <f>IFERROR(VLOOKUP(G1462,WholesaleExtract!B:O,14,FALSE),"")</f>
        <v/>
      </c>
      <c r="K1462" s="26" t="str">
        <f>IFERROR(VLOOKUP(G1462,WholesaleExtract!B:K,10,FALSE),"")</f>
        <v/>
      </c>
      <c r="L1462" s="47" t="str">
        <f>IFERROR(VLOOKUP(G1462,WholesaleExtract!B:L,11,FALSE),"")</f>
        <v/>
      </c>
      <c r="M1462" s="47" t="str">
        <f>IFERROR(VLOOKUP(G1462,WholesaleExtract!B:M,12,FALSE),"")</f>
        <v/>
      </c>
      <c r="N1462" s="27"/>
      <c r="O1462" s="19"/>
      <c r="P1462" s="19"/>
      <c r="Q1462" s="47"/>
      <c r="R1462" s="19"/>
      <c r="S1462" s="19"/>
    </row>
    <row r="1463" spans="1:19" x14ac:dyDescent="0.35">
      <c r="A1463" s="26" t="s">
        <v>543</v>
      </c>
      <c r="B1463" s="26" t="s">
        <v>543</v>
      </c>
      <c r="C1463" s="26"/>
      <c r="D1463" s="26" t="s">
        <v>543</v>
      </c>
      <c r="E1463" s="26" t="str">
        <f>IFERROR(VLOOKUP(G1463,WholesaleExtract!B:J,9,FALSE),"")</f>
        <v/>
      </c>
      <c r="F1463" s="26" t="str">
        <f>IFERROR(VLOOKUP(G1463,WholesaleExtract!B:J,6,FALSE),"")</f>
        <v/>
      </c>
      <c r="G1463" s="46"/>
      <c r="H1463" s="47" t="str">
        <f>IFERROR(VLOOKUP(G1463,WholesaleExtract!B:L,11,FALSE),"")</f>
        <v/>
      </c>
      <c r="I1463" s="26" t="str">
        <f>IFERROR(VLOOKUP(G1463,WholesaleExtract!B:O,8,FALSE),"")</f>
        <v/>
      </c>
      <c r="J1463" s="26" t="str">
        <f>IFERROR(VLOOKUP(G1463,WholesaleExtract!B:O,14,FALSE),"")</f>
        <v/>
      </c>
      <c r="K1463" s="26" t="str">
        <f>IFERROR(VLOOKUP(G1463,WholesaleExtract!B:K,10,FALSE),"")</f>
        <v/>
      </c>
      <c r="L1463" s="47" t="str">
        <f>IFERROR(VLOOKUP(G1463,WholesaleExtract!B:L,11,FALSE),"")</f>
        <v/>
      </c>
      <c r="M1463" s="47" t="str">
        <f>IFERROR(VLOOKUP(G1463,WholesaleExtract!B:M,12,FALSE),"")</f>
        <v/>
      </c>
      <c r="N1463" s="27"/>
      <c r="O1463" s="19"/>
      <c r="P1463" s="19"/>
      <c r="Q1463" s="47"/>
      <c r="R1463" s="19"/>
      <c r="S1463" s="19"/>
    </row>
    <row r="1464" spans="1:19" x14ac:dyDescent="0.35">
      <c r="A1464" s="26" t="s">
        <v>543</v>
      </c>
      <c r="B1464" s="26" t="s">
        <v>543</v>
      </c>
      <c r="C1464" s="26"/>
      <c r="D1464" s="26" t="s">
        <v>543</v>
      </c>
      <c r="E1464" s="26" t="str">
        <f>IFERROR(VLOOKUP(G1464,WholesaleExtract!B:J,9,FALSE),"")</f>
        <v/>
      </c>
      <c r="F1464" s="26" t="str">
        <f>IFERROR(VLOOKUP(G1464,WholesaleExtract!B:J,6,FALSE),"")</f>
        <v/>
      </c>
      <c r="G1464" s="46"/>
      <c r="H1464" s="47" t="str">
        <f>IFERROR(VLOOKUP(G1464,WholesaleExtract!B:L,11,FALSE),"")</f>
        <v/>
      </c>
      <c r="I1464" s="26" t="str">
        <f>IFERROR(VLOOKUP(G1464,WholesaleExtract!B:O,8,FALSE),"")</f>
        <v/>
      </c>
      <c r="J1464" s="26" t="str">
        <f>IFERROR(VLOOKUP(G1464,WholesaleExtract!B:O,14,FALSE),"")</f>
        <v/>
      </c>
      <c r="K1464" s="26" t="str">
        <f>IFERROR(VLOOKUP(G1464,WholesaleExtract!B:K,10,FALSE),"")</f>
        <v/>
      </c>
      <c r="L1464" s="47" t="str">
        <f>IFERROR(VLOOKUP(G1464,WholesaleExtract!B:L,11,FALSE),"")</f>
        <v/>
      </c>
      <c r="M1464" s="47" t="str">
        <f>IFERROR(VLOOKUP(G1464,WholesaleExtract!B:M,12,FALSE),"")</f>
        <v/>
      </c>
      <c r="N1464" s="27"/>
      <c r="O1464" s="19"/>
      <c r="P1464" s="19"/>
      <c r="Q1464" s="47"/>
      <c r="R1464" s="19"/>
      <c r="S1464" s="19"/>
    </row>
    <row r="1465" spans="1:19" x14ac:dyDescent="0.35">
      <c r="A1465" s="26" t="s">
        <v>543</v>
      </c>
      <c r="B1465" s="26" t="s">
        <v>543</v>
      </c>
      <c r="C1465" s="26"/>
      <c r="D1465" s="26" t="s">
        <v>543</v>
      </c>
      <c r="E1465" s="26" t="str">
        <f>IFERROR(VLOOKUP(G1465,WholesaleExtract!B:J,9,FALSE),"")</f>
        <v/>
      </c>
      <c r="F1465" s="26" t="str">
        <f>IFERROR(VLOOKUP(G1465,WholesaleExtract!B:J,6,FALSE),"")</f>
        <v/>
      </c>
      <c r="G1465" s="46"/>
      <c r="H1465" s="47" t="str">
        <f>IFERROR(VLOOKUP(G1465,WholesaleExtract!B:L,11,FALSE),"")</f>
        <v/>
      </c>
      <c r="I1465" s="26" t="str">
        <f>IFERROR(VLOOKUP(G1465,WholesaleExtract!B:O,8,FALSE),"")</f>
        <v/>
      </c>
      <c r="J1465" s="26" t="str">
        <f>IFERROR(VLOOKUP(G1465,WholesaleExtract!B:O,14,FALSE),"")</f>
        <v/>
      </c>
      <c r="K1465" s="26" t="str">
        <f>IFERROR(VLOOKUP(G1465,WholesaleExtract!B:K,10,FALSE),"")</f>
        <v/>
      </c>
      <c r="L1465" s="47" t="str">
        <f>IFERROR(VLOOKUP(G1465,WholesaleExtract!B:L,11,FALSE),"")</f>
        <v/>
      </c>
      <c r="M1465" s="47" t="str">
        <f>IFERROR(VLOOKUP(G1465,WholesaleExtract!B:M,12,FALSE),"")</f>
        <v/>
      </c>
      <c r="N1465" s="27"/>
      <c r="O1465" s="19"/>
      <c r="P1465" s="19"/>
      <c r="Q1465" s="47"/>
      <c r="R1465" s="19"/>
      <c r="S1465" s="19"/>
    </row>
    <row r="1466" spans="1:19" x14ac:dyDescent="0.35">
      <c r="A1466" s="26" t="s">
        <v>543</v>
      </c>
      <c r="B1466" s="26" t="s">
        <v>543</v>
      </c>
      <c r="C1466" s="26"/>
      <c r="D1466" s="26" t="s">
        <v>543</v>
      </c>
      <c r="E1466" s="26" t="str">
        <f>IFERROR(VLOOKUP(G1466,WholesaleExtract!B:J,9,FALSE),"")</f>
        <v/>
      </c>
      <c r="F1466" s="26" t="str">
        <f>IFERROR(VLOOKUP(G1466,WholesaleExtract!B:J,6,FALSE),"")</f>
        <v/>
      </c>
      <c r="G1466" s="46"/>
      <c r="H1466" s="47" t="str">
        <f>IFERROR(VLOOKUP(G1466,WholesaleExtract!B:L,11,FALSE),"")</f>
        <v/>
      </c>
      <c r="I1466" s="26" t="str">
        <f>IFERROR(VLOOKUP(G1466,WholesaleExtract!B:O,8,FALSE),"")</f>
        <v/>
      </c>
      <c r="J1466" s="26" t="str">
        <f>IFERROR(VLOOKUP(G1466,WholesaleExtract!B:O,14,FALSE),"")</f>
        <v/>
      </c>
      <c r="K1466" s="26" t="str">
        <f>IFERROR(VLOOKUP(G1466,WholesaleExtract!B:K,10,FALSE),"")</f>
        <v/>
      </c>
      <c r="L1466" s="47" t="str">
        <f>IFERROR(VLOOKUP(G1466,WholesaleExtract!B:L,11,FALSE),"")</f>
        <v/>
      </c>
      <c r="M1466" s="47" t="str">
        <f>IFERROR(VLOOKUP(G1466,WholesaleExtract!B:M,12,FALSE),"")</f>
        <v/>
      </c>
      <c r="N1466" s="27"/>
      <c r="O1466" s="19"/>
      <c r="P1466" s="19"/>
      <c r="Q1466" s="47"/>
      <c r="R1466" s="19"/>
      <c r="S1466" s="19"/>
    </row>
    <row r="1467" spans="1:19" x14ac:dyDescent="0.35">
      <c r="A1467" s="26" t="s">
        <v>543</v>
      </c>
      <c r="B1467" s="26" t="s">
        <v>543</v>
      </c>
      <c r="C1467" s="26"/>
      <c r="D1467" s="26" t="s">
        <v>543</v>
      </c>
      <c r="E1467" s="26" t="str">
        <f>IFERROR(VLOOKUP(G1467,WholesaleExtract!B:J,9,FALSE),"")</f>
        <v/>
      </c>
      <c r="F1467" s="26" t="str">
        <f>IFERROR(VLOOKUP(G1467,WholesaleExtract!B:J,6,FALSE),"")</f>
        <v/>
      </c>
      <c r="G1467" s="46"/>
      <c r="H1467" s="47" t="str">
        <f>IFERROR(VLOOKUP(G1467,WholesaleExtract!B:L,11,FALSE),"")</f>
        <v/>
      </c>
      <c r="I1467" s="26" t="str">
        <f>IFERROR(VLOOKUP(G1467,WholesaleExtract!B:O,8,FALSE),"")</f>
        <v/>
      </c>
      <c r="J1467" s="26" t="str">
        <f>IFERROR(VLOOKUP(G1467,WholesaleExtract!B:O,14,FALSE),"")</f>
        <v/>
      </c>
      <c r="K1467" s="26" t="str">
        <f>IFERROR(VLOOKUP(G1467,WholesaleExtract!B:K,10,FALSE),"")</f>
        <v/>
      </c>
      <c r="L1467" s="47" t="str">
        <f>IFERROR(VLOOKUP(G1467,WholesaleExtract!B:L,11,FALSE),"")</f>
        <v/>
      </c>
      <c r="M1467" s="47" t="str">
        <f>IFERROR(VLOOKUP(G1467,WholesaleExtract!B:M,12,FALSE),"")</f>
        <v/>
      </c>
      <c r="N1467" s="27"/>
      <c r="O1467" s="19"/>
      <c r="P1467" s="19"/>
      <c r="Q1467" s="47"/>
      <c r="R1467" s="19"/>
      <c r="S1467" s="19"/>
    </row>
    <row r="1468" spans="1:19" x14ac:dyDescent="0.35">
      <c r="A1468" s="26" t="s">
        <v>543</v>
      </c>
      <c r="B1468" s="26" t="s">
        <v>543</v>
      </c>
      <c r="C1468" s="26"/>
      <c r="D1468" s="26" t="s">
        <v>543</v>
      </c>
      <c r="E1468" s="26" t="str">
        <f>IFERROR(VLOOKUP(G1468,WholesaleExtract!B:J,9,FALSE),"")</f>
        <v/>
      </c>
      <c r="F1468" s="26" t="str">
        <f>IFERROR(VLOOKUP(G1468,WholesaleExtract!B:J,6,FALSE),"")</f>
        <v/>
      </c>
      <c r="G1468" s="46"/>
      <c r="H1468" s="47" t="str">
        <f>IFERROR(VLOOKUP(G1468,WholesaleExtract!B:L,11,FALSE),"")</f>
        <v/>
      </c>
      <c r="I1468" s="26" t="str">
        <f>IFERROR(VLOOKUP(G1468,WholesaleExtract!B:O,8,FALSE),"")</f>
        <v/>
      </c>
      <c r="J1468" s="26" t="str">
        <f>IFERROR(VLOOKUP(G1468,WholesaleExtract!B:O,14,FALSE),"")</f>
        <v/>
      </c>
      <c r="K1468" s="26" t="str">
        <f>IFERROR(VLOOKUP(G1468,WholesaleExtract!B:K,10,FALSE),"")</f>
        <v/>
      </c>
      <c r="L1468" s="47" t="str">
        <f>IFERROR(VLOOKUP(G1468,WholesaleExtract!B:L,11,FALSE),"")</f>
        <v/>
      </c>
      <c r="M1468" s="47" t="str">
        <f>IFERROR(VLOOKUP(G1468,WholesaleExtract!B:M,12,FALSE),"")</f>
        <v/>
      </c>
      <c r="N1468" s="27"/>
      <c r="O1468" s="19"/>
      <c r="P1468" s="19"/>
      <c r="Q1468" s="47"/>
      <c r="R1468" s="19"/>
      <c r="S1468" s="19"/>
    </row>
    <row r="1469" spans="1:19" x14ac:dyDescent="0.35">
      <c r="A1469" s="26" t="s">
        <v>543</v>
      </c>
      <c r="B1469" s="26" t="s">
        <v>543</v>
      </c>
      <c r="C1469" s="26"/>
      <c r="D1469" s="26" t="s">
        <v>543</v>
      </c>
      <c r="E1469" s="26" t="str">
        <f>IFERROR(VLOOKUP(G1469,WholesaleExtract!B:J,9,FALSE),"")</f>
        <v/>
      </c>
      <c r="F1469" s="26" t="str">
        <f>IFERROR(VLOOKUP(G1469,WholesaleExtract!B:J,6,FALSE),"")</f>
        <v/>
      </c>
      <c r="G1469" s="46"/>
      <c r="H1469" s="47" t="str">
        <f>IFERROR(VLOOKUP(G1469,WholesaleExtract!B:L,11,FALSE),"")</f>
        <v/>
      </c>
      <c r="I1469" s="26" t="str">
        <f>IFERROR(VLOOKUP(G1469,WholesaleExtract!B:O,8,FALSE),"")</f>
        <v/>
      </c>
      <c r="J1469" s="26" t="str">
        <f>IFERROR(VLOOKUP(G1469,WholesaleExtract!B:O,14,FALSE),"")</f>
        <v/>
      </c>
      <c r="K1469" s="26" t="str">
        <f>IFERROR(VLOOKUP(G1469,WholesaleExtract!B:K,10,FALSE),"")</f>
        <v/>
      </c>
      <c r="L1469" s="47" t="str">
        <f>IFERROR(VLOOKUP(G1469,WholesaleExtract!B:L,11,FALSE),"")</f>
        <v/>
      </c>
      <c r="M1469" s="47" t="str">
        <f>IFERROR(VLOOKUP(G1469,WholesaleExtract!B:M,12,FALSE),"")</f>
        <v/>
      </c>
      <c r="N1469" s="27"/>
      <c r="O1469" s="19"/>
      <c r="P1469" s="19"/>
      <c r="Q1469" s="47"/>
      <c r="R1469" s="19"/>
      <c r="S1469" s="19"/>
    </row>
    <row r="1470" spans="1:19" x14ac:dyDescent="0.35">
      <c r="A1470" s="26" t="s">
        <v>543</v>
      </c>
      <c r="B1470" s="26" t="s">
        <v>543</v>
      </c>
      <c r="C1470" s="26"/>
      <c r="D1470" s="26" t="s">
        <v>543</v>
      </c>
      <c r="E1470" s="26" t="str">
        <f>IFERROR(VLOOKUP(G1470,WholesaleExtract!B:J,9,FALSE),"")</f>
        <v/>
      </c>
      <c r="F1470" s="26" t="str">
        <f>IFERROR(VLOOKUP(G1470,WholesaleExtract!B:J,6,FALSE),"")</f>
        <v/>
      </c>
      <c r="G1470" s="46"/>
      <c r="H1470" s="47" t="str">
        <f>IFERROR(VLOOKUP(G1470,WholesaleExtract!B:L,11,FALSE),"")</f>
        <v/>
      </c>
      <c r="I1470" s="26" t="str">
        <f>IFERROR(VLOOKUP(G1470,WholesaleExtract!B:O,8,FALSE),"")</f>
        <v/>
      </c>
      <c r="J1470" s="26" t="str">
        <f>IFERROR(VLOOKUP(G1470,WholesaleExtract!B:O,14,FALSE),"")</f>
        <v/>
      </c>
      <c r="K1470" s="26" t="str">
        <f>IFERROR(VLOOKUP(G1470,WholesaleExtract!B:K,10,FALSE),"")</f>
        <v/>
      </c>
      <c r="L1470" s="47" t="str">
        <f>IFERROR(VLOOKUP(G1470,WholesaleExtract!B:L,11,FALSE),"")</f>
        <v/>
      </c>
      <c r="M1470" s="47" t="str">
        <f>IFERROR(VLOOKUP(G1470,WholesaleExtract!B:M,12,FALSE),"")</f>
        <v/>
      </c>
      <c r="N1470" s="27"/>
      <c r="O1470" s="19"/>
      <c r="P1470" s="19"/>
      <c r="Q1470" s="47"/>
      <c r="R1470" s="19"/>
      <c r="S1470" s="19"/>
    </row>
    <row r="1471" spans="1:19" x14ac:dyDescent="0.35">
      <c r="A1471" s="26" t="s">
        <v>543</v>
      </c>
      <c r="B1471" s="26" t="s">
        <v>543</v>
      </c>
      <c r="C1471" s="26"/>
      <c r="D1471" s="26" t="s">
        <v>543</v>
      </c>
      <c r="E1471" s="26" t="str">
        <f>IFERROR(VLOOKUP(G1471,WholesaleExtract!B:J,9,FALSE),"")</f>
        <v/>
      </c>
      <c r="F1471" s="26" t="str">
        <f>IFERROR(VLOOKUP(G1471,WholesaleExtract!B:J,6,FALSE),"")</f>
        <v/>
      </c>
      <c r="G1471" s="46"/>
      <c r="H1471" s="47" t="str">
        <f>IFERROR(VLOOKUP(G1471,WholesaleExtract!B:L,11,FALSE),"")</f>
        <v/>
      </c>
      <c r="I1471" s="26" t="str">
        <f>IFERROR(VLOOKUP(G1471,WholesaleExtract!B:O,8,FALSE),"")</f>
        <v/>
      </c>
      <c r="J1471" s="26" t="str">
        <f>IFERROR(VLOOKUP(G1471,WholesaleExtract!B:O,14,FALSE),"")</f>
        <v/>
      </c>
      <c r="K1471" s="26" t="str">
        <f>IFERROR(VLOOKUP(G1471,WholesaleExtract!B:K,10,FALSE),"")</f>
        <v/>
      </c>
      <c r="L1471" s="47" t="str">
        <f>IFERROR(VLOOKUP(G1471,WholesaleExtract!B:L,11,FALSE),"")</f>
        <v/>
      </c>
      <c r="M1471" s="47" t="str">
        <f>IFERROR(VLOOKUP(G1471,WholesaleExtract!B:M,12,FALSE),"")</f>
        <v/>
      </c>
      <c r="N1471" s="27"/>
      <c r="O1471" s="19"/>
      <c r="P1471" s="19"/>
      <c r="Q1471" s="47"/>
      <c r="R1471" s="19"/>
      <c r="S1471" s="19"/>
    </row>
    <row r="1472" spans="1:19" x14ac:dyDescent="0.35">
      <c r="A1472" s="26" t="s">
        <v>543</v>
      </c>
      <c r="B1472" s="26" t="s">
        <v>543</v>
      </c>
      <c r="C1472" s="26"/>
      <c r="D1472" s="26" t="s">
        <v>543</v>
      </c>
      <c r="E1472" s="26" t="str">
        <f>IFERROR(VLOOKUP(G1472,WholesaleExtract!B:J,9,FALSE),"")</f>
        <v/>
      </c>
      <c r="F1472" s="26" t="str">
        <f>IFERROR(VLOOKUP(G1472,WholesaleExtract!B:J,6,FALSE),"")</f>
        <v/>
      </c>
      <c r="G1472" s="46"/>
      <c r="H1472" s="47" t="str">
        <f>IFERROR(VLOOKUP(G1472,WholesaleExtract!B:L,11,FALSE),"")</f>
        <v/>
      </c>
      <c r="I1472" s="26" t="str">
        <f>IFERROR(VLOOKUP(G1472,WholesaleExtract!B:O,8,FALSE),"")</f>
        <v/>
      </c>
      <c r="J1472" s="26" t="str">
        <f>IFERROR(VLOOKUP(G1472,WholesaleExtract!B:O,14,FALSE),"")</f>
        <v/>
      </c>
      <c r="K1472" s="26" t="str">
        <f>IFERROR(VLOOKUP(G1472,WholesaleExtract!B:K,10,FALSE),"")</f>
        <v/>
      </c>
      <c r="L1472" s="47" t="str">
        <f>IFERROR(VLOOKUP(G1472,WholesaleExtract!B:L,11,FALSE),"")</f>
        <v/>
      </c>
      <c r="M1472" s="47" t="str">
        <f>IFERROR(VLOOKUP(G1472,WholesaleExtract!B:M,12,FALSE),"")</f>
        <v/>
      </c>
      <c r="N1472" s="27"/>
      <c r="O1472" s="19"/>
      <c r="P1472" s="19"/>
      <c r="Q1472" s="47"/>
      <c r="R1472" s="19"/>
      <c r="S1472" s="19"/>
    </row>
    <row r="1473" spans="1:19" x14ac:dyDescent="0.35">
      <c r="A1473" s="26" t="s">
        <v>543</v>
      </c>
      <c r="B1473" s="26" t="s">
        <v>543</v>
      </c>
      <c r="C1473" s="26"/>
      <c r="D1473" s="26" t="s">
        <v>543</v>
      </c>
      <c r="E1473" s="26" t="str">
        <f>IFERROR(VLOOKUP(G1473,WholesaleExtract!B:J,9,FALSE),"")</f>
        <v/>
      </c>
      <c r="F1473" s="26" t="str">
        <f>IFERROR(VLOOKUP(G1473,WholesaleExtract!B:J,6,FALSE),"")</f>
        <v/>
      </c>
      <c r="G1473" s="46"/>
      <c r="H1473" s="47" t="str">
        <f>IFERROR(VLOOKUP(G1473,WholesaleExtract!B:L,11,FALSE),"")</f>
        <v/>
      </c>
      <c r="I1473" s="26" t="str">
        <f>IFERROR(VLOOKUP(G1473,WholesaleExtract!B:O,8,FALSE),"")</f>
        <v/>
      </c>
      <c r="J1473" s="26" t="str">
        <f>IFERROR(VLOOKUP(G1473,WholesaleExtract!B:O,14,FALSE),"")</f>
        <v/>
      </c>
      <c r="K1473" s="26" t="str">
        <f>IFERROR(VLOOKUP(G1473,WholesaleExtract!B:K,10,FALSE),"")</f>
        <v/>
      </c>
      <c r="L1473" s="47" t="str">
        <f>IFERROR(VLOOKUP(G1473,WholesaleExtract!B:L,11,FALSE),"")</f>
        <v/>
      </c>
      <c r="M1473" s="47" t="str">
        <f>IFERROR(VLOOKUP(G1473,WholesaleExtract!B:M,12,FALSE),"")</f>
        <v/>
      </c>
      <c r="N1473" s="27"/>
      <c r="O1473" s="19"/>
      <c r="P1473" s="19"/>
      <c r="Q1473" s="47"/>
      <c r="R1473" s="19"/>
      <c r="S1473" s="19"/>
    </row>
    <row r="1474" spans="1:19" x14ac:dyDescent="0.35">
      <c r="A1474" s="26" t="s">
        <v>543</v>
      </c>
      <c r="B1474" s="26" t="s">
        <v>543</v>
      </c>
      <c r="C1474" s="26"/>
      <c r="D1474" s="26" t="s">
        <v>543</v>
      </c>
      <c r="E1474" s="26" t="str">
        <f>IFERROR(VLOOKUP(G1474,WholesaleExtract!B:J,9,FALSE),"")</f>
        <v/>
      </c>
      <c r="F1474" s="26" t="str">
        <f>IFERROR(VLOOKUP(G1474,WholesaleExtract!B:J,6,FALSE),"")</f>
        <v/>
      </c>
      <c r="G1474" s="46"/>
      <c r="H1474" s="47" t="str">
        <f>IFERROR(VLOOKUP(G1474,WholesaleExtract!B:L,11,FALSE),"")</f>
        <v/>
      </c>
      <c r="I1474" s="26" t="str">
        <f>IFERROR(VLOOKUP(G1474,WholesaleExtract!B:O,8,FALSE),"")</f>
        <v/>
      </c>
      <c r="J1474" s="26" t="str">
        <f>IFERROR(VLOOKUP(G1474,WholesaleExtract!B:O,14,FALSE),"")</f>
        <v/>
      </c>
      <c r="K1474" s="26" t="str">
        <f>IFERROR(VLOOKUP(G1474,WholesaleExtract!B:K,10,FALSE),"")</f>
        <v/>
      </c>
      <c r="L1474" s="47" t="str">
        <f>IFERROR(VLOOKUP(G1474,WholesaleExtract!B:L,11,FALSE),"")</f>
        <v/>
      </c>
      <c r="M1474" s="47" t="str">
        <f>IFERROR(VLOOKUP(G1474,WholesaleExtract!B:M,12,FALSE),"")</f>
        <v/>
      </c>
      <c r="N1474" s="27"/>
      <c r="O1474" s="19"/>
      <c r="P1474" s="19"/>
      <c r="Q1474" s="47"/>
      <c r="R1474" s="19"/>
      <c r="S1474" s="19"/>
    </row>
    <row r="1475" spans="1:19" x14ac:dyDescent="0.35">
      <c r="A1475" s="26" t="s">
        <v>543</v>
      </c>
      <c r="B1475" s="26" t="s">
        <v>543</v>
      </c>
      <c r="C1475" s="26"/>
      <c r="D1475" s="26" t="s">
        <v>543</v>
      </c>
      <c r="E1475" s="26" t="str">
        <f>IFERROR(VLOOKUP(G1475,WholesaleExtract!B:J,9,FALSE),"")</f>
        <v/>
      </c>
      <c r="F1475" s="26" t="str">
        <f>IFERROR(VLOOKUP(G1475,WholesaleExtract!B:J,6,FALSE),"")</f>
        <v/>
      </c>
      <c r="G1475" s="46"/>
      <c r="H1475" s="47" t="str">
        <f>IFERROR(VLOOKUP(G1475,WholesaleExtract!B:L,11,FALSE),"")</f>
        <v/>
      </c>
      <c r="I1475" s="26" t="str">
        <f>IFERROR(VLOOKUP(G1475,WholesaleExtract!B:O,8,FALSE),"")</f>
        <v/>
      </c>
      <c r="J1475" s="26" t="str">
        <f>IFERROR(VLOOKUP(G1475,WholesaleExtract!B:O,14,FALSE),"")</f>
        <v/>
      </c>
      <c r="K1475" s="26" t="str">
        <f>IFERROR(VLOOKUP(G1475,WholesaleExtract!B:K,10,FALSE),"")</f>
        <v/>
      </c>
      <c r="L1475" s="47" t="str">
        <f>IFERROR(VLOOKUP(G1475,WholesaleExtract!B:L,11,FALSE),"")</f>
        <v/>
      </c>
      <c r="M1475" s="47" t="str">
        <f>IFERROR(VLOOKUP(G1475,WholesaleExtract!B:M,12,FALSE),"")</f>
        <v/>
      </c>
      <c r="N1475" s="27"/>
      <c r="O1475" s="19"/>
      <c r="P1475" s="19"/>
      <c r="Q1475" s="47"/>
      <c r="R1475" s="19"/>
      <c r="S1475" s="19"/>
    </row>
    <row r="1476" spans="1:19" x14ac:dyDescent="0.35">
      <c r="A1476" s="26" t="s">
        <v>543</v>
      </c>
      <c r="B1476" s="26" t="s">
        <v>543</v>
      </c>
      <c r="C1476" s="26"/>
      <c r="D1476" s="26" t="s">
        <v>543</v>
      </c>
      <c r="E1476" s="26" t="str">
        <f>IFERROR(VLOOKUP(G1476,WholesaleExtract!B:J,9,FALSE),"")</f>
        <v/>
      </c>
      <c r="F1476" s="26" t="str">
        <f>IFERROR(VLOOKUP(G1476,WholesaleExtract!B:J,6,FALSE),"")</f>
        <v/>
      </c>
      <c r="G1476" s="46"/>
      <c r="H1476" s="47" t="str">
        <f>IFERROR(VLOOKUP(G1476,WholesaleExtract!B:L,11,FALSE),"")</f>
        <v/>
      </c>
      <c r="I1476" s="26" t="str">
        <f>IFERROR(VLOOKUP(G1476,WholesaleExtract!B:O,8,FALSE),"")</f>
        <v/>
      </c>
      <c r="J1476" s="26" t="str">
        <f>IFERROR(VLOOKUP(G1476,WholesaleExtract!B:O,14,FALSE),"")</f>
        <v/>
      </c>
      <c r="K1476" s="26" t="str">
        <f>IFERROR(VLOOKUP(G1476,WholesaleExtract!B:K,10,FALSE),"")</f>
        <v/>
      </c>
      <c r="L1476" s="47" t="str">
        <f>IFERROR(VLOOKUP(G1476,WholesaleExtract!B:L,11,FALSE),"")</f>
        <v/>
      </c>
      <c r="M1476" s="47" t="str">
        <f>IFERROR(VLOOKUP(G1476,WholesaleExtract!B:M,12,FALSE),"")</f>
        <v/>
      </c>
      <c r="N1476" s="27"/>
      <c r="O1476" s="19"/>
      <c r="P1476" s="19"/>
      <c r="Q1476" s="47"/>
      <c r="R1476" s="19"/>
      <c r="S1476" s="19"/>
    </row>
    <row r="1477" spans="1:19" x14ac:dyDescent="0.35">
      <c r="A1477" s="26" t="s">
        <v>543</v>
      </c>
      <c r="B1477" s="26" t="s">
        <v>543</v>
      </c>
      <c r="C1477" s="26"/>
      <c r="D1477" s="26" t="s">
        <v>543</v>
      </c>
      <c r="E1477" s="26" t="str">
        <f>IFERROR(VLOOKUP(G1477,WholesaleExtract!B:J,9,FALSE),"")</f>
        <v/>
      </c>
      <c r="F1477" s="26" t="str">
        <f>IFERROR(VLOOKUP(G1477,WholesaleExtract!B:J,6,FALSE),"")</f>
        <v/>
      </c>
      <c r="G1477" s="46"/>
      <c r="H1477" s="47" t="str">
        <f>IFERROR(VLOOKUP(G1477,WholesaleExtract!B:L,11,FALSE),"")</f>
        <v/>
      </c>
      <c r="I1477" s="26" t="str">
        <f>IFERROR(VLOOKUP(G1477,WholesaleExtract!B:O,8,FALSE),"")</f>
        <v/>
      </c>
      <c r="J1477" s="26" t="str">
        <f>IFERROR(VLOOKUP(G1477,WholesaleExtract!B:O,14,FALSE),"")</f>
        <v/>
      </c>
      <c r="K1477" s="26" t="str">
        <f>IFERROR(VLOOKUP(G1477,WholesaleExtract!B:K,10,FALSE),"")</f>
        <v/>
      </c>
      <c r="L1477" s="47" t="str">
        <f>IFERROR(VLOOKUP(G1477,WholesaleExtract!B:L,11,FALSE),"")</f>
        <v/>
      </c>
      <c r="M1477" s="47" t="str">
        <f>IFERROR(VLOOKUP(G1477,WholesaleExtract!B:M,12,FALSE),"")</f>
        <v/>
      </c>
      <c r="N1477" s="27"/>
      <c r="O1477" s="19"/>
      <c r="P1477" s="19"/>
      <c r="Q1477" s="47"/>
      <c r="R1477" s="19"/>
      <c r="S1477" s="19"/>
    </row>
    <row r="1478" spans="1:19" x14ac:dyDescent="0.35">
      <c r="A1478" s="26" t="s">
        <v>543</v>
      </c>
      <c r="B1478" s="26" t="s">
        <v>543</v>
      </c>
      <c r="C1478" s="26"/>
      <c r="D1478" s="26" t="s">
        <v>543</v>
      </c>
      <c r="E1478" s="26" t="str">
        <f>IFERROR(VLOOKUP(G1478,WholesaleExtract!B:J,9,FALSE),"")</f>
        <v/>
      </c>
      <c r="F1478" s="26" t="str">
        <f>IFERROR(VLOOKUP(G1478,WholesaleExtract!B:J,6,FALSE),"")</f>
        <v/>
      </c>
      <c r="G1478" s="46"/>
      <c r="H1478" s="47" t="str">
        <f>IFERROR(VLOOKUP(G1478,WholesaleExtract!B:L,11,FALSE),"")</f>
        <v/>
      </c>
      <c r="I1478" s="26" t="str">
        <f>IFERROR(VLOOKUP(G1478,WholesaleExtract!B:O,8,FALSE),"")</f>
        <v/>
      </c>
      <c r="J1478" s="26" t="str">
        <f>IFERROR(VLOOKUP(G1478,WholesaleExtract!B:O,14,FALSE),"")</f>
        <v/>
      </c>
      <c r="K1478" s="26" t="str">
        <f>IFERROR(VLOOKUP(G1478,WholesaleExtract!B:K,10,FALSE),"")</f>
        <v/>
      </c>
      <c r="L1478" s="47" t="str">
        <f>IFERROR(VLOOKUP(G1478,WholesaleExtract!B:L,11,FALSE),"")</f>
        <v/>
      </c>
      <c r="M1478" s="47" t="str">
        <f>IFERROR(VLOOKUP(G1478,WholesaleExtract!B:M,12,FALSE),"")</f>
        <v/>
      </c>
      <c r="N1478" s="27"/>
      <c r="O1478" s="19"/>
      <c r="P1478" s="19"/>
      <c r="Q1478" s="47"/>
      <c r="R1478" s="19"/>
      <c r="S1478" s="19"/>
    </row>
    <row r="1479" spans="1:19" x14ac:dyDescent="0.35">
      <c r="A1479" s="26" t="s">
        <v>543</v>
      </c>
      <c r="B1479" s="26" t="s">
        <v>543</v>
      </c>
      <c r="C1479" s="26"/>
      <c r="D1479" s="26" t="s">
        <v>543</v>
      </c>
      <c r="E1479" s="26" t="str">
        <f>IFERROR(VLOOKUP(G1479,WholesaleExtract!B:J,9,FALSE),"")</f>
        <v/>
      </c>
      <c r="F1479" s="26" t="str">
        <f>IFERROR(VLOOKUP(G1479,WholesaleExtract!B:J,6,FALSE),"")</f>
        <v/>
      </c>
      <c r="G1479" s="46"/>
      <c r="H1479" s="47" t="str">
        <f>IFERROR(VLOOKUP(G1479,WholesaleExtract!B:L,11,FALSE),"")</f>
        <v/>
      </c>
      <c r="I1479" s="26" t="str">
        <f>IFERROR(VLOOKUP(G1479,WholesaleExtract!B:O,8,FALSE),"")</f>
        <v/>
      </c>
      <c r="J1479" s="26" t="str">
        <f>IFERROR(VLOOKUP(G1479,WholesaleExtract!B:O,14,FALSE),"")</f>
        <v/>
      </c>
      <c r="K1479" s="26" t="str">
        <f>IFERROR(VLOOKUP(G1479,WholesaleExtract!B:K,10,FALSE),"")</f>
        <v/>
      </c>
      <c r="L1479" s="47" t="str">
        <f>IFERROR(VLOOKUP(G1479,WholesaleExtract!B:L,11,FALSE),"")</f>
        <v/>
      </c>
      <c r="M1479" s="47" t="str">
        <f>IFERROR(VLOOKUP(G1479,WholesaleExtract!B:M,12,FALSE),"")</f>
        <v/>
      </c>
      <c r="N1479" s="27"/>
      <c r="O1479" s="19"/>
      <c r="P1479" s="19"/>
      <c r="Q1479" s="47"/>
      <c r="R1479" s="19"/>
      <c r="S1479" s="19"/>
    </row>
    <row r="1480" spans="1:19" x14ac:dyDescent="0.35">
      <c r="A1480" s="26" t="s">
        <v>543</v>
      </c>
      <c r="B1480" s="26" t="s">
        <v>543</v>
      </c>
      <c r="C1480" s="26"/>
      <c r="D1480" s="26" t="s">
        <v>543</v>
      </c>
      <c r="E1480" s="26" t="str">
        <f>IFERROR(VLOOKUP(G1480,WholesaleExtract!B:J,9,FALSE),"")</f>
        <v/>
      </c>
      <c r="F1480" s="26" t="str">
        <f>IFERROR(VLOOKUP(G1480,WholesaleExtract!B:J,6,FALSE),"")</f>
        <v/>
      </c>
      <c r="G1480" s="46"/>
      <c r="H1480" s="47" t="str">
        <f>IFERROR(VLOOKUP(G1480,WholesaleExtract!B:L,11,FALSE),"")</f>
        <v/>
      </c>
      <c r="I1480" s="26" t="str">
        <f>IFERROR(VLOOKUP(G1480,WholesaleExtract!B:O,8,FALSE),"")</f>
        <v/>
      </c>
      <c r="J1480" s="26" t="str">
        <f>IFERROR(VLOOKUP(G1480,WholesaleExtract!B:O,14,FALSE),"")</f>
        <v/>
      </c>
      <c r="K1480" s="26" t="str">
        <f>IFERROR(VLOOKUP(G1480,WholesaleExtract!B:K,10,FALSE),"")</f>
        <v/>
      </c>
      <c r="L1480" s="47" t="str">
        <f>IFERROR(VLOOKUP(G1480,WholesaleExtract!B:L,11,FALSE),"")</f>
        <v/>
      </c>
      <c r="M1480" s="47" t="str">
        <f>IFERROR(VLOOKUP(G1480,WholesaleExtract!B:M,12,FALSE),"")</f>
        <v/>
      </c>
      <c r="N1480" s="27"/>
      <c r="O1480" s="19"/>
      <c r="P1480" s="19"/>
      <c r="Q1480" s="47"/>
      <c r="R1480" s="19"/>
      <c r="S1480" s="19"/>
    </row>
    <row r="1481" spans="1:19" x14ac:dyDescent="0.35">
      <c r="A1481" s="26" t="s">
        <v>543</v>
      </c>
      <c r="B1481" s="26" t="s">
        <v>543</v>
      </c>
      <c r="C1481" s="26"/>
      <c r="D1481" s="26" t="s">
        <v>543</v>
      </c>
      <c r="E1481" s="26" t="str">
        <f>IFERROR(VLOOKUP(G1481,WholesaleExtract!B:J,9,FALSE),"")</f>
        <v/>
      </c>
      <c r="F1481" s="26" t="str">
        <f>IFERROR(VLOOKUP(G1481,WholesaleExtract!B:J,6,FALSE),"")</f>
        <v/>
      </c>
      <c r="G1481" s="46"/>
      <c r="H1481" s="47" t="str">
        <f>IFERROR(VLOOKUP(G1481,WholesaleExtract!B:L,11,FALSE),"")</f>
        <v/>
      </c>
      <c r="I1481" s="26" t="str">
        <f>IFERROR(VLOOKUP(G1481,WholesaleExtract!B:O,8,FALSE),"")</f>
        <v/>
      </c>
      <c r="J1481" s="26" t="str">
        <f>IFERROR(VLOOKUP(G1481,WholesaleExtract!B:O,14,FALSE),"")</f>
        <v/>
      </c>
      <c r="K1481" s="26" t="str">
        <f>IFERROR(VLOOKUP(G1481,WholesaleExtract!B:K,10,FALSE),"")</f>
        <v/>
      </c>
      <c r="L1481" s="47" t="str">
        <f>IFERROR(VLOOKUP(G1481,WholesaleExtract!B:L,11,FALSE),"")</f>
        <v/>
      </c>
      <c r="M1481" s="47" t="str">
        <f>IFERROR(VLOOKUP(G1481,WholesaleExtract!B:M,12,FALSE),"")</f>
        <v/>
      </c>
      <c r="N1481" s="27"/>
      <c r="O1481" s="19"/>
      <c r="P1481" s="19"/>
      <c r="Q1481" s="47"/>
      <c r="R1481" s="19"/>
      <c r="S1481" s="19"/>
    </row>
    <row r="1482" spans="1:19" x14ac:dyDescent="0.35">
      <c r="A1482" s="26" t="s">
        <v>543</v>
      </c>
      <c r="B1482" s="26" t="s">
        <v>543</v>
      </c>
      <c r="C1482" s="26"/>
      <c r="D1482" s="26" t="s">
        <v>543</v>
      </c>
      <c r="E1482" s="26" t="str">
        <f>IFERROR(VLOOKUP(G1482,WholesaleExtract!B:J,9,FALSE),"")</f>
        <v/>
      </c>
      <c r="F1482" s="26" t="str">
        <f>IFERROR(VLOOKUP(G1482,WholesaleExtract!B:J,6,FALSE),"")</f>
        <v/>
      </c>
      <c r="G1482" s="46"/>
      <c r="H1482" s="47" t="str">
        <f>IFERROR(VLOOKUP(G1482,WholesaleExtract!B:L,11,FALSE),"")</f>
        <v/>
      </c>
      <c r="I1482" s="26" t="str">
        <f>IFERROR(VLOOKUP(G1482,WholesaleExtract!B:O,8,FALSE),"")</f>
        <v/>
      </c>
      <c r="J1482" s="26" t="str">
        <f>IFERROR(VLOOKUP(G1482,WholesaleExtract!B:O,14,FALSE),"")</f>
        <v/>
      </c>
      <c r="K1482" s="26" t="str">
        <f>IFERROR(VLOOKUP(G1482,WholesaleExtract!B:K,10,FALSE),"")</f>
        <v/>
      </c>
      <c r="L1482" s="47" t="str">
        <f>IFERROR(VLOOKUP(G1482,WholesaleExtract!B:L,11,FALSE),"")</f>
        <v/>
      </c>
      <c r="M1482" s="47" t="str">
        <f>IFERROR(VLOOKUP(G1482,WholesaleExtract!B:M,12,FALSE),"")</f>
        <v/>
      </c>
      <c r="N1482" s="27"/>
      <c r="O1482" s="19"/>
      <c r="P1482" s="19"/>
      <c r="Q1482" s="47"/>
      <c r="R1482" s="19"/>
      <c r="S1482" s="19"/>
    </row>
    <row r="1483" spans="1:19" x14ac:dyDescent="0.35">
      <c r="A1483" s="26" t="s">
        <v>543</v>
      </c>
      <c r="B1483" s="26" t="s">
        <v>543</v>
      </c>
      <c r="C1483" s="26"/>
      <c r="D1483" s="26" t="s">
        <v>543</v>
      </c>
      <c r="E1483" s="26" t="str">
        <f>IFERROR(VLOOKUP(G1483,WholesaleExtract!B:J,9,FALSE),"")</f>
        <v/>
      </c>
      <c r="F1483" s="26" t="str">
        <f>IFERROR(VLOOKUP(G1483,WholesaleExtract!B:J,6,FALSE),"")</f>
        <v/>
      </c>
      <c r="G1483" s="46"/>
      <c r="H1483" s="47" t="str">
        <f>IFERROR(VLOOKUP(G1483,WholesaleExtract!B:L,11,FALSE),"")</f>
        <v/>
      </c>
      <c r="I1483" s="26" t="str">
        <f>IFERROR(VLOOKUP(G1483,WholesaleExtract!B:O,8,FALSE),"")</f>
        <v/>
      </c>
      <c r="J1483" s="26" t="str">
        <f>IFERROR(VLOOKUP(G1483,WholesaleExtract!B:O,14,FALSE),"")</f>
        <v/>
      </c>
      <c r="K1483" s="26" t="str">
        <f>IFERROR(VLOOKUP(G1483,WholesaleExtract!B:K,10,FALSE),"")</f>
        <v/>
      </c>
      <c r="L1483" s="47" t="str">
        <f>IFERROR(VLOOKUP(G1483,WholesaleExtract!B:L,11,FALSE),"")</f>
        <v/>
      </c>
      <c r="M1483" s="47" t="str">
        <f>IFERROR(VLOOKUP(G1483,WholesaleExtract!B:M,12,FALSE),"")</f>
        <v/>
      </c>
      <c r="N1483" s="27"/>
      <c r="O1483" s="19"/>
      <c r="P1483" s="19"/>
      <c r="Q1483" s="47"/>
      <c r="R1483" s="19"/>
      <c r="S1483" s="19"/>
    </row>
    <row r="1484" spans="1:19" x14ac:dyDescent="0.35">
      <c r="A1484" s="26" t="s">
        <v>543</v>
      </c>
      <c r="B1484" s="26" t="s">
        <v>543</v>
      </c>
      <c r="C1484" s="26"/>
      <c r="D1484" s="26" t="s">
        <v>543</v>
      </c>
      <c r="E1484" s="26" t="str">
        <f>IFERROR(VLOOKUP(G1484,WholesaleExtract!B:J,9,FALSE),"")</f>
        <v/>
      </c>
      <c r="F1484" s="26" t="str">
        <f>IFERROR(VLOOKUP(G1484,WholesaleExtract!B:J,6,FALSE),"")</f>
        <v/>
      </c>
      <c r="G1484" s="46"/>
      <c r="H1484" s="47" t="str">
        <f>IFERROR(VLOOKUP(G1484,WholesaleExtract!B:L,11,FALSE),"")</f>
        <v/>
      </c>
      <c r="I1484" s="26" t="str">
        <f>IFERROR(VLOOKUP(G1484,WholesaleExtract!B:O,8,FALSE),"")</f>
        <v/>
      </c>
      <c r="J1484" s="26" t="str">
        <f>IFERROR(VLOOKUP(G1484,WholesaleExtract!B:O,14,FALSE),"")</f>
        <v/>
      </c>
      <c r="K1484" s="26" t="str">
        <f>IFERROR(VLOOKUP(G1484,WholesaleExtract!B:K,10,FALSE),"")</f>
        <v/>
      </c>
      <c r="L1484" s="47" t="str">
        <f>IFERROR(VLOOKUP(G1484,WholesaleExtract!B:L,11,FALSE),"")</f>
        <v/>
      </c>
      <c r="M1484" s="47" t="str">
        <f>IFERROR(VLOOKUP(G1484,WholesaleExtract!B:M,12,FALSE),"")</f>
        <v/>
      </c>
      <c r="N1484" s="27"/>
      <c r="O1484" s="19"/>
      <c r="P1484" s="19"/>
      <c r="Q1484" s="47"/>
      <c r="R1484" s="19"/>
      <c r="S1484" s="19"/>
    </row>
    <row r="1485" spans="1:19" x14ac:dyDescent="0.35">
      <c r="A1485" s="26" t="s">
        <v>543</v>
      </c>
      <c r="B1485" s="26" t="s">
        <v>543</v>
      </c>
      <c r="C1485" s="26"/>
      <c r="D1485" s="26" t="s">
        <v>543</v>
      </c>
      <c r="E1485" s="26" t="str">
        <f>IFERROR(VLOOKUP(G1485,WholesaleExtract!B:J,9,FALSE),"")</f>
        <v/>
      </c>
      <c r="F1485" s="26" t="str">
        <f>IFERROR(VLOOKUP(G1485,WholesaleExtract!B:J,6,FALSE),"")</f>
        <v/>
      </c>
      <c r="G1485" s="46"/>
      <c r="H1485" s="47" t="str">
        <f>IFERROR(VLOOKUP(G1485,WholesaleExtract!B:L,11,FALSE),"")</f>
        <v/>
      </c>
      <c r="I1485" s="26" t="str">
        <f>IFERROR(VLOOKUP(G1485,WholesaleExtract!B:O,8,FALSE),"")</f>
        <v/>
      </c>
      <c r="J1485" s="26" t="str">
        <f>IFERROR(VLOOKUP(G1485,WholesaleExtract!B:O,14,FALSE),"")</f>
        <v/>
      </c>
      <c r="K1485" s="26" t="str">
        <f>IFERROR(VLOOKUP(G1485,WholesaleExtract!B:K,10,FALSE),"")</f>
        <v/>
      </c>
      <c r="L1485" s="47" t="str">
        <f>IFERROR(VLOOKUP(G1485,WholesaleExtract!B:L,11,FALSE),"")</f>
        <v/>
      </c>
      <c r="M1485" s="47" t="str">
        <f>IFERROR(VLOOKUP(G1485,WholesaleExtract!B:M,12,FALSE),"")</f>
        <v/>
      </c>
      <c r="N1485" s="27"/>
      <c r="O1485" s="19"/>
      <c r="P1485" s="19"/>
      <c r="Q1485" s="47"/>
      <c r="R1485" s="19"/>
      <c r="S1485" s="19"/>
    </row>
    <row r="1486" spans="1:19" x14ac:dyDescent="0.35">
      <c r="A1486" s="26" t="s">
        <v>543</v>
      </c>
      <c r="B1486" s="26" t="s">
        <v>543</v>
      </c>
      <c r="C1486" s="26"/>
      <c r="D1486" s="26" t="s">
        <v>543</v>
      </c>
      <c r="E1486" s="26" t="str">
        <f>IFERROR(VLOOKUP(G1486,WholesaleExtract!B:J,9,FALSE),"")</f>
        <v/>
      </c>
      <c r="F1486" s="26" t="str">
        <f>IFERROR(VLOOKUP(G1486,WholesaleExtract!B:J,6,FALSE),"")</f>
        <v/>
      </c>
      <c r="G1486" s="46"/>
      <c r="H1486" s="47" t="str">
        <f>IFERROR(VLOOKUP(G1486,WholesaleExtract!B:L,11,FALSE),"")</f>
        <v/>
      </c>
      <c r="I1486" s="26" t="str">
        <f>IFERROR(VLOOKUP(G1486,WholesaleExtract!B:O,8,FALSE),"")</f>
        <v/>
      </c>
      <c r="J1486" s="26" t="str">
        <f>IFERROR(VLOOKUP(G1486,WholesaleExtract!B:O,14,FALSE),"")</f>
        <v/>
      </c>
      <c r="K1486" s="26" t="str">
        <f>IFERROR(VLOOKUP(G1486,WholesaleExtract!B:K,10,FALSE),"")</f>
        <v/>
      </c>
      <c r="L1486" s="47" t="str">
        <f>IFERROR(VLOOKUP(G1486,WholesaleExtract!B:L,11,FALSE),"")</f>
        <v/>
      </c>
      <c r="M1486" s="47" t="str">
        <f>IFERROR(VLOOKUP(G1486,WholesaleExtract!B:M,12,FALSE),"")</f>
        <v/>
      </c>
      <c r="N1486" s="27"/>
      <c r="O1486" s="19"/>
      <c r="P1486" s="19"/>
      <c r="Q1486" s="47"/>
      <c r="R1486" s="19"/>
      <c r="S1486" s="19"/>
    </row>
    <row r="1487" spans="1:19" x14ac:dyDescent="0.35">
      <c r="A1487" s="26" t="s">
        <v>543</v>
      </c>
      <c r="B1487" s="26" t="s">
        <v>543</v>
      </c>
      <c r="C1487" s="26"/>
      <c r="D1487" s="26" t="s">
        <v>543</v>
      </c>
      <c r="E1487" s="26" t="str">
        <f>IFERROR(VLOOKUP(G1487,WholesaleExtract!B:J,9,FALSE),"")</f>
        <v/>
      </c>
      <c r="F1487" s="26" t="str">
        <f>IFERROR(VLOOKUP(G1487,WholesaleExtract!B:J,6,FALSE),"")</f>
        <v/>
      </c>
      <c r="G1487" s="46"/>
      <c r="H1487" s="47" t="str">
        <f>IFERROR(VLOOKUP(G1487,WholesaleExtract!B:L,11,FALSE),"")</f>
        <v/>
      </c>
      <c r="I1487" s="26" t="str">
        <f>IFERROR(VLOOKUP(G1487,WholesaleExtract!B:O,8,FALSE),"")</f>
        <v/>
      </c>
      <c r="J1487" s="26" t="str">
        <f>IFERROR(VLOOKUP(G1487,WholesaleExtract!B:O,14,FALSE),"")</f>
        <v/>
      </c>
      <c r="K1487" s="26" t="str">
        <f>IFERROR(VLOOKUP(G1487,WholesaleExtract!B:K,10,FALSE),"")</f>
        <v/>
      </c>
      <c r="L1487" s="47" t="str">
        <f>IFERROR(VLOOKUP(G1487,WholesaleExtract!B:L,11,FALSE),"")</f>
        <v/>
      </c>
      <c r="M1487" s="47" t="str">
        <f>IFERROR(VLOOKUP(G1487,WholesaleExtract!B:M,12,FALSE),"")</f>
        <v/>
      </c>
      <c r="N1487" s="27"/>
      <c r="O1487" s="19"/>
      <c r="P1487" s="19"/>
      <c r="Q1487" s="47"/>
      <c r="R1487" s="19"/>
      <c r="S1487" s="19"/>
    </row>
    <row r="1488" spans="1:19" x14ac:dyDescent="0.35">
      <c r="A1488" s="26" t="s">
        <v>543</v>
      </c>
      <c r="B1488" s="26" t="s">
        <v>543</v>
      </c>
      <c r="C1488" s="26"/>
      <c r="D1488" s="26" t="s">
        <v>543</v>
      </c>
      <c r="E1488" s="26" t="str">
        <f>IFERROR(VLOOKUP(G1488,WholesaleExtract!B:J,9,FALSE),"")</f>
        <v/>
      </c>
      <c r="F1488" s="26" t="str">
        <f>IFERROR(VLOOKUP(G1488,WholesaleExtract!B:J,6,FALSE),"")</f>
        <v/>
      </c>
      <c r="G1488" s="46"/>
      <c r="H1488" s="47" t="str">
        <f>IFERROR(VLOOKUP(G1488,WholesaleExtract!B:L,11,FALSE),"")</f>
        <v/>
      </c>
      <c r="I1488" s="26" t="str">
        <f>IFERROR(VLOOKUP(G1488,WholesaleExtract!B:O,8,FALSE),"")</f>
        <v/>
      </c>
      <c r="J1488" s="26" t="str">
        <f>IFERROR(VLOOKUP(G1488,WholesaleExtract!B:O,14,FALSE),"")</f>
        <v/>
      </c>
      <c r="K1488" s="26" t="str">
        <f>IFERROR(VLOOKUP(G1488,WholesaleExtract!B:K,10,FALSE),"")</f>
        <v/>
      </c>
      <c r="L1488" s="47" t="str">
        <f>IFERROR(VLOOKUP(G1488,WholesaleExtract!B:L,11,FALSE),"")</f>
        <v/>
      </c>
      <c r="M1488" s="47" t="str">
        <f>IFERROR(VLOOKUP(G1488,WholesaleExtract!B:M,12,FALSE),"")</f>
        <v/>
      </c>
      <c r="N1488" s="27"/>
      <c r="O1488" s="19"/>
      <c r="P1488" s="19"/>
      <c r="Q1488" s="47"/>
      <c r="R1488" s="19"/>
      <c r="S1488" s="19"/>
    </row>
    <row r="1489" spans="1:19" x14ac:dyDescent="0.35">
      <c r="A1489" s="26" t="s">
        <v>543</v>
      </c>
      <c r="B1489" s="26" t="s">
        <v>543</v>
      </c>
      <c r="C1489" s="26"/>
      <c r="D1489" s="26" t="s">
        <v>543</v>
      </c>
      <c r="E1489" s="26" t="str">
        <f>IFERROR(VLOOKUP(G1489,WholesaleExtract!B:J,9,FALSE),"")</f>
        <v/>
      </c>
      <c r="F1489" s="26" t="str">
        <f>IFERROR(VLOOKUP(G1489,WholesaleExtract!B:J,6,FALSE),"")</f>
        <v/>
      </c>
      <c r="G1489" s="46"/>
      <c r="H1489" s="47" t="str">
        <f>IFERROR(VLOOKUP(G1489,WholesaleExtract!B:L,11,FALSE),"")</f>
        <v/>
      </c>
      <c r="I1489" s="26" t="str">
        <f>IFERROR(VLOOKUP(G1489,WholesaleExtract!B:O,8,FALSE),"")</f>
        <v/>
      </c>
      <c r="J1489" s="26" t="str">
        <f>IFERROR(VLOOKUP(G1489,WholesaleExtract!B:O,14,FALSE),"")</f>
        <v/>
      </c>
      <c r="K1489" s="26" t="str">
        <f>IFERROR(VLOOKUP(G1489,WholesaleExtract!B:K,10,FALSE),"")</f>
        <v/>
      </c>
      <c r="L1489" s="47" t="str">
        <f>IFERROR(VLOOKUP(G1489,WholesaleExtract!B:L,11,FALSE),"")</f>
        <v/>
      </c>
      <c r="M1489" s="47" t="str">
        <f>IFERROR(VLOOKUP(G1489,WholesaleExtract!B:M,12,FALSE),"")</f>
        <v/>
      </c>
      <c r="N1489" s="27"/>
      <c r="O1489" s="19"/>
      <c r="P1489" s="19"/>
      <c r="Q1489" s="47"/>
      <c r="R1489" s="19"/>
      <c r="S1489" s="19"/>
    </row>
    <row r="1490" spans="1:19" x14ac:dyDescent="0.35">
      <c r="A1490" s="26" t="s">
        <v>543</v>
      </c>
      <c r="B1490" s="26" t="s">
        <v>543</v>
      </c>
      <c r="C1490" s="26"/>
      <c r="D1490" s="26" t="s">
        <v>543</v>
      </c>
      <c r="E1490" s="26" t="str">
        <f>IFERROR(VLOOKUP(G1490,WholesaleExtract!B:J,9,FALSE),"")</f>
        <v/>
      </c>
      <c r="F1490" s="26" t="str">
        <f>IFERROR(VLOOKUP(G1490,WholesaleExtract!B:J,6,FALSE),"")</f>
        <v/>
      </c>
      <c r="G1490" s="46"/>
      <c r="H1490" s="47" t="str">
        <f>IFERROR(VLOOKUP(G1490,WholesaleExtract!B:L,11,FALSE),"")</f>
        <v/>
      </c>
      <c r="I1490" s="26" t="str">
        <f>IFERROR(VLOOKUP(G1490,WholesaleExtract!B:O,8,FALSE),"")</f>
        <v/>
      </c>
      <c r="J1490" s="26" t="str">
        <f>IFERROR(VLOOKUP(G1490,WholesaleExtract!B:O,14,FALSE),"")</f>
        <v/>
      </c>
      <c r="K1490" s="26" t="str">
        <f>IFERROR(VLOOKUP(G1490,WholesaleExtract!B:K,10,FALSE),"")</f>
        <v/>
      </c>
      <c r="L1490" s="47" t="str">
        <f>IFERROR(VLOOKUP(G1490,WholesaleExtract!B:L,11,FALSE),"")</f>
        <v/>
      </c>
      <c r="M1490" s="47" t="str">
        <f>IFERROR(VLOOKUP(G1490,WholesaleExtract!B:M,12,FALSE),"")</f>
        <v/>
      </c>
      <c r="N1490" s="27"/>
      <c r="O1490" s="19"/>
      <c r="P1490" s="19"/>
      <c r="Q1490" s="47"/>
      <c r="R1490" s="19"/>
      <c r="S1490" s="19"/>
    </row>
    <row r="1491" spans="1:19" x14ac:dyDescent="0.35">
      <c r="A1491" s="26" t="s">
        <v>543</v>
      </c>
      <c r="B1491" s="26" t="s">
        <v>543</v>
      </c>
      <c r="C1491" s="26"/>
      <c r="D1491" s="26" t="s">
        <v>543</v>
      </c>
      <c r="E1491" s="26" t="str">
        <f>IFERROR(VLOOKUP(G1491,WholesaleExtract!B:J,9,FALSE),"")</f>
        <v/>
      </c>
      <c r="F1491" s="26" t="str">
        <f>IFERROR(VLOOKUP(G1491,WholesaleExtract!B:J,6,FALSE),"")</f>
        <v/>
      </c>
      <c r="G1491" s="46"/>
      <c r="H1491" s="47" t="str">
        <f>IFERROR(VLOOKUP(G1491,WholesaleExtract!B:L,11,FALSE),"")</f>
        <v/>
      </c>
      <c r="I1491" s="26" t="str">
        <f>IFERROR(VLOOKUP(G1491,WholesaleExtract!B:O,8,FALSE),"")</f>
        <v/>
      </c>
      <c r="J1491" s="26" t="str">
        <f>IFERROR(VLOOKUP(G1491,WholesaleExtract!B:O,14,FALSE),"")</f>
        <v/>
      </c>
      <c r="K1491" s="26" t="str">
        <f>IFERROR(VLOOKUP(G1491,WholesaleExtract!B:K,10,FALSE),"")</f>
        <v/>
      </c>
      <c r="L1491" s="47" t="str">
        <f>IFERROR(VLOOKUP(G1491,WholesaleExtract!B:L,11,FALSE),"")</f>
        <v/>
      </c>
      <c r="M1491" s="47" t="str">
        <f>IFERROR(VLOOKUP(G1491,WholesaleExtract!B:M,12,FALSE),"")</f>
        <v/>
      </c>
      <c r="N1491" s="27"/>
      <c r="O1491" s="19"/>
      <c r="P1491" s="19"/>
      <c r="Q1491" s="47"/>
      <c r="R1491" s="19"/>
      <c r="S1491" s="19"/>
    </row>
    <row r="1492" spans="1:19" x14ac:dyDescent="0.35">
      <c r="A1492" s="26" t="s">
        <v>543</v>
      </c>
      <c r="B1492" s="26" t="s">
        <v>543</v>
      </c>
      <c r="C1492" s="26"/>
      <c r="D1492" s="26" t="s">
        <v>543</v>
      </c>
      <c r="E1492" s="26" t="str">
        <f>IFERROR(VLOOKUP(G1492,WholesaleExtract!B:J,9,FALSE),"")</f>
        <v/>
      </c>
      <c r="F1492" s="26" t="str">
        <f>IFERROR(VLOOKUP(G1492,WholesaleExtract!B:J,6,FALSE),"")</f>
        <v/>
      </c>
      <c r="G1492" s="46"/>
      <c r="H1492" s="47" t="str">
        <f>IFERROR(VLOOKUP(G1492,WholesaleExtract!B:L,11,FALSE),"")</f>
        <v/>
      </c>
      <c r="I1492" s="26" t="str">
        <f>IFERROR(VLOOKUP(G1492,WholesaleExtract!B:O,8,FALSE),"")</f>
        <v/>
      </c>
      <c r="J1492" s="26" t="str">
        <f>IFERROR(VLOOKUP(G1492,WholesaleExtract!B:O,14,FALSE),"")</f>
        <v/>
      </c>
      <c r="K1492" s="26" t="str">
        <f>IFERROR(VLOOKUP(G1492,WholesaleExtract!B:K,10,FALSE),"")</f>
        <v/>
      </c>
      <c r="L1492" s="47" t="str">
        <f>IFERROR(VLOOKUP(G1492,WholesaleExtract!B:L,11,FALSE),"")</f>
        <v/>
      </c>
      <c r="M1492" s="47" t="str">
        <f>IFERROR(VLOOKUP(G1492,WholesaleExtract!B:M,12,FALSE),"")</f>
        <v/>
      </c>
      <c r="N1492" s="27"/>
      <c r="O1492" s="19"/>
      <c r="P1492" s="19"/>
      <c r="Q1492" s="47"/>
      <c r="R1492" s="19"/>
      <c r="S1492" s="19"/>
    </row>
    <row r="1493" spans="1:19" x14ac:dyDescent="0.35">
      <c r="A1493" s="26" t="s">
        <v>543</v>
      </c>
      <c r="B1493" s="26" t="s">
        <v>543</v>
      </c>
      <c r="C1493" s="26"/>
      <c r="D1493" s="26" t="s">
        <v>543</v>
      </c>
      <c r="E1493" s="26" t="str">
        <f>IFERROR(VLOOKUP(G1493,WholesaleExtract!B:J,9,FALSE),"")</f>
        <v/>
      </c>
      <c r="F1493" s="26" t="str">
        <f>IFERROR(VLOOKUP(G1493,WholesaleExtract!B:J,6,FALSE),"")</f>
        <v/>
      </c>
      <c r="G1493" s="46"/>
      <c r="H1493" s="47" t="str">
        <f>IFERROR(VLOOKUP(G1493,WholesaleExtract!B:L,11,FALSE),"")</f>
        <v/>
      </c>
      <c r="I1493" s="26" t="str">
        <f>IFERROR(VLOOKUP(G1493,WholesaleExtract!B:O,8,FALSE),"")</f>
        <v/>
      </c>
      <c r="J1493" s="26" t="str">
        <f>IFERROR(VLOOKUP(G1493,WholesaleExtract!B:O,14,FALSE),"")</f>
        <v/>
      </c>
      <c r="K1493" s="26" t="str">
        <f>IFERROR(VLOOKUP(G1493,WholesaleExtract!B:K,10,FALSE),"")</f>
        <v/>
      </c>
      <c r="L1493" s="47" t="str">
        <f>IFERROR(VLOOKUP(G1493,WholesaleExtract!B:L,11,FALSE),"")</f>
        <v/>
      </c>
      <c r="M1493" s="47" t="str">
        <f>IFERROR(VLOOKUP(G1493,WholesaleExtract!B:M,12,FALSE),"")</f>
        <v/>
      </c>
      <c r="N1493" s="27"/>
      <c r="O1493" s="19"/>
      <c r="P1493" s="19"/>
      <c r="Q1493" s="47"/>
      <c r="R1493" s="19"/>
      <c r="S1493" s="19"/>
    </row>
    <row r="1494" spans="1:19" x14ac:dyDescent="0.35">
      <c r="A1494" s="26" t="s">
        <v>543</v>
      </c>
      <c r="B1494" s="26" t="s">
        <v>543</v>
      </c>
      <c r="C1494" s="26"/>
      <c r="D1494" s="26" t="s">
        <v>543</v>
      </c>
      <c r="E1494" s="26" t="str">
        <f>IFERROR(VLOOKUP(G1494,WholesaleExtract!B:J,9,FALSE),"")</f>
        <v/>
      </c>
      <c r="F1494" s="26" t="str">
        <f>IFERROR(VLOOKUP(G1494,WholesaleExtract!B:J,6,FALSE),"")</f>
        <v/>
      </c>
      <c r="G1494" s="46"/>
      <c r="H1494" s="47" t="str">
        <f>IFERROR(VLOOKUP(G1494,WholesaleExtract!B:L,11,FALSE),"")</f>
        <v/>
      </c>
      <c r="I1494" s="26" t="str">
        <f>IFERROR(VLOOKUP(G1494,WholesaleExtract!B:O,8,FALSE),"")</f>
        <v/>
      </c>
      <c r="J1494" s="26" t="str">
        <f>IFERROR(VLOOKUP(G1494,WholesaleExtract!B:O,14,FALSE),"")</f>
        <v/>
      </c>
      <c r="K1494" s="26" t="str">
        <f>IFERROR(VLOOKUP(G1494,WholesaleExtract!B:K,10,FALSE),"")</f>
        <v/>
      </c>
      <c r="L1494" s="47" t="str">
        <f>IFERROR(VLOOKUP(G1494,WholesaleExtract!B:L,11,FALSE),"")</f>
        <v/>
      </c>
      <c r="M1494" s="47" t="str">
        <f>IFERROR(VLOOKUP(G1494,WholesaleExtract!B:M,12,FALSE),"")</f>
        <v/>
      </c>
      <c r="N1494" s="27"/>
      <c r="O1494" s="19"/>
      <c r="P1494" s="19"/>
      <c r="Q1494" s="47"/>
      <c r="R1494" s="19"/>
      <c r="S1494" s="19"/>
    </row>
    <row r="1495" spans="1:19" x14ac:dyDescent="0.35">
      <c r="A1495" s="26" t="s">
        <v>543</v>
      </c>
      <c r="B1495" s="26" t="s">
        <v>543</v>
      </c>
      <c r="C1495" s="26"/>
      <c r="D1495" s="26" t="s">
        <v>543</v>
      </c>
      <c r="E1495" s="26" t="str">
        <f>IFERROR(VLOOKUP(G1495,WholesaleExtract!B:J,9,FALSE),"")</f>
        <v/>
      </c>
      <c r="F1495" s="26" t="str">
        <f>IFERROR(VLOOKUP(G1495,WholesaleExtract!B:J,6,FALSE),"")</f>
        <v/>
      </c>
      <c r="G1495" s="46"/>
      <c r="H1495" s="47" t="str">
        <f>IFERROR(VLOOKUP(G1495,WholesaleExtract!B:L,11,FALSE),"")</f>
        <v/>
      </c>
      <c r="I1495" s="26" t="str">
        <f>IFERROR(VLOOKUP(G1495,WholesaleExtract!B:O,8,FALSE),"")</f>
        <v/>
      </c>
      <c r="J1495" s="26" t="str">
        <f>IFERROR(VLOOKUP(G1495,WholesaleExtract!B:O,14,FALSE),"")</f>
        <v/>
      </c>
      <c r="K1495" s="26" t="str">
        <f>IFERROR(VLOOKUP(G1495,WholesaleExtract!B:K,10,FALSE),"")</f>
        <v/>
      </c>
      <c r="L1495" s="47" t="str">
        <f>IFERROR(VLOOKUP(G1495,WholesaleExtract!B:L,11,FALSE),"")</f>
        <v/>
      </c>
      <c r="M1495" s="47" t="str">
        <f>IFERROR(VLOOKUP(G1495,WholesaleExtract!B:M,12,FALSE),"")</f>
        <v/>
      </c>
      <c r="N1495" s="27"/>
      <c r="O1495" s="19"/>
      <c r="P1495" s="19"/>
      <c r="Q1495" s="47"/>
      <c r="R1495" s="19"/>
      <c r="S1495" s="19"/>
    </row>
    <row r="1496" spans="1:19" x14ac:dyDescent="0.35">
      <c r="A1496" s="26" t="s">
        <v>543</v>
      </c>
      <c r="B1496" s="26" t="s">
        <v>543</v>
      </c>
      <c r="C1496" s="26"/>
      <c r="D1496" s="26" t="s">
        <v>543</v>
      </c>
      <c r="E1496" s="26" t="str">
        <f>IFERROR(VLOOKUP(G1496,WholesaleExtract!B:J,9,FALSE),"")</f>
        <v/>
      </c>
      <c r="F1496" s="26" t="str">
        <f>IFERROR(VLOOKUP(G1496,WholesaleExtract!B:J,6,FALSE),"")</f>
        <v/>
      </c>
      <c r="G1496" s="46"/>
      <c r="H1496" s="47" t="str">
        <f>IFERROR(VLOOKUP(G1496,WholesaleExtract!B:L,11,FALSE),"")</f>
        <v/>
      </c>
      <c r="I1496" s="26" t="str">
        <f>IFERROR(VLOOKUP(G1496,WholesaleExtract!B:O,8,FALSE),"")</f>
        <v/>
      </c>
      <c r="J1496" s="26" t="str">
        <f>IFERROR(VLOOKUP(G1496,WholesaleExtract!B:O,14,FALSE),"")</f>
        <v/>
      </c>
      <c r="K1496" s="26" t="str">
        <f>IFERROR(VLOOKUP(G1496,WholesaleExtract!B:K,10,FALSE),"")</f>
        <v/>
      </c>
      <c r="L1496" s="47" t="str">
        <f>IFERROR(VLOOKUP(G1496,WholesaleExtract!B:L,11,FALSE),"")</f>
        <v/>
      </c>
      <c r="M1496" s="47" t="str">
        <f>IFERROR(VLOOKUP(G1496,WholesaleExtract!B:M,12,FALSE),"")</f>
        <v/>
      </c>
      <c r="N1496" s="27"/>
      <c r="O1496" s="19"/>
      <c r="P1496" s="19"/>
      <c r="Q1496" s="47"/>
      <c r="R1496" s="19"/>
      <c r="S1496" s="19"/>
    </row>
    <row r="1497" spans="1:19" x14ac:dyDescent="0.35">
      <c r="A1497" s="26" t="s">
        <v>543</v>
      </c>
      <c r="B1497" s="26" t="s">
        <v>543</v>
      </c>
      <c r="C1497" s="26"/>
      <c r="D1497" s="26" t="s">
        <v>543</v>
      </c>
      <c r="E1497" s="26" t="str">
        <f>IFERROR(VLOOKUP(G1497,WholesaleExtract!B:J,9,FALSE),"")</f>
        <v/>
      </c>
      <c r="F1497" s="26" t="str">
        <f>IFERROR(VLOOKUP(G1497,WholesaleExtract!B:J,6,FALSE),"")</f>
        <v/>
      </c>
      <c r="G1497" s="46"/>
      <c r="H1497" s="47" t="str">
        <f>IFERROR(VLOOKUP(G1497,WholesaleExtract!B:L,11,FALSE),"")</f>
        <v/>
      </c>
      <c r="I1497" s="26" t="str">
        <f>IFERROR(VLOOKUP(G1497,WholesaleExtract!B:O,8,FALSE),"")</f>
        <v/>
      </c>
      <c r="J1497" s="26" t="str">
        <f>IFERROR(VLOOKUP(G1497,WholesaleExtract!B:O,14,FALSE),"")</f>
        <v/>
      </c>
      <c r="K1497" s="26" t="str">
        <f>IFERROR(VLOOKUP(G1497,WholesaleExtract!B:K,10,FALSE),"")</f>
        <v/>
      </c>
      <c r="L1497" s="47" t="str">
        <f>IFERROR(VLOOKUP(G1497,WholesaleExtract!B:L,11,FALSE),"")</f>
        <v/>
      </c>
      <c r="M1497" s="47" t="str">
        <f>IFERROR(VLOOKUP(G1497,WholesaleExtract!B:M,12,FALSE),"")</f>
        <v/>
      </c>
      <c r="N1497" s="27"/>
      <c r="O1497" s="19"/>
      <c r="P1497" s="19"/>
      <c r="Q1497" s="47"/>
      <c r="R1497" s="19"/>
      <c r="S1497" s="19"/>
    </row>
    <row r="1498" spans="1:19" x14ac:dyDescent="0.35">
      <c r="A1498" s="26" t="s">
        <v>543</v>
      </c>
      <c r="B1498" s="26" t="s">
        <v>543</v>
      </c>
      <c r="C1498" s="26"/>
      <c r="D1498" s="26" t="s">
        <v>543</v>
      </c>
      <c r="E1498" s="26" t="str">
        <f>IFERROR(VLOOKUP(G1498,WholesaleExtract!B:J,9,FALSE),"")</f>
        <v/>
      </c>
      <c r="F1498" s="26" t="str">
        <f>IFERROR(VLOOKUP(G1498,WholesaleExtract!B:J,6,FALSE),"")</f>
        <v/>
      </c>
      <c r="G1498" s="46"/>
      <c r="H1498" s="47" t="str">
        <f>IFERROR(VLOOKUP(G1498,WholesaleExtract!B:L,11,FALSE),"")</f>
        <v/>
      </c>
      <c r="I1498" s="26" t="str">
        <f>IFERROR(VLOOKUP(G1498,WholesaleExtract!B:O,8,FALSE),"")</f>
        <v/>
      </c>
      <c r="J1498" s="26" t="str">
        <f>IFERROR(VLOOKUP(G1498,WholesaleExtract!B:O,14,FALSE),"")</f>
        <v/>
      </c>
      <c r="K1498" s="26" t="str">
        <f>IFERROR(VLOOKUP(G1498,WholesaleExtract!B:K,10,FALSE),"")</f>
        <v/>
      </c>
      <c r="L1498" s="47" t="str">
        <f>IFERROR(VLOOKUP(G1498,WholesaleExtract!B:L,11,FALSE),"")</f>
        <v/>
      </c>
      <c r="M1498" s="47" t="str">
        <f>IFERROR(VLOOKUP(G1498,WholesaleExtract!B:M,12,FALSE),"")</f>
        <v/>
      </c>
      <c r="N1498" s="27"/>
      <c r="O1498" s="19"/>
      <c r="P1498" s="19"/>
      <c r="Q1498" s="47"/>
      <c r="R1498" s="19"/>
      <c r="S1498" s="19"/>
    </row>
    <row r="1499" spans="1:19" x14ac:dyDescent="0.35">
      <c r="A1499" s="26" t="s">
        <v>543</v>
      </c>
      <c r="B1499" s="26" t="s">
        <v>543</v>
      </c>
      <c r="C1499" s="26"/>
      <c r="D1499" s="26" t="s">
        <v>543</v>
      </c>
      <c r="E1499" s="26" t="str">
        <f>IFERROR(VLOOKUP(G1499,WholesaleExtract!B:J,9,FALSE),"")</f>
        <v/>
      </c>
      <c r="F1499" s="26" t="str">
        <f>IFERROR(VLOOKUP(G1499,WholesaleExtract!B:J,6,FALSE),"")</f>
        <v/>
      </c>
      <c r="G1499" s="46"/>
      <c r="H1499" s="47" t="str">
        <f>IFERROR(VLOOKUP(G1499,WholesaleExtract!B:L,11,FALSE),"")</f>
        <v/>
      </c>
      <c r="I1499" s="26" t="str">
        <f>IFERROR(VLOOKUP(G1499,WholesaleExtract!B:O,8,FALSE),"")</f>
        <v/>
      </c>
      <c r="J1499" s="26" t="str">
        <f>IFERROR(VLOOKUP(G1499,WholesaleExtract!B:O,14,FALSE),"")</f>
        <v/>
      </c>
      <c r="K1499" s="26" t="str">
        <f>IFERROR(VLOOKUP(G1499,WholesaleExtract!B:K,10,FALSE),"")</f>
        <v/>
      </c>
      <c r="L1499" s="47" t="str">
        <f>IFERROR(VLOOKUP(G1499,WholesaleExtract!B:L,11,FALSE),"")</f>
        <v/>
      </c>
      <c r="M1499" s="47" t="str">
        <f>IFERROR(VLOOKUP(G1499,WholesaleExtract!B:M,12,FALSE),"")</f>
        <v/>
      </c>
      <c r="N1499" s="27"/>
      <c r="O1499" s="19"/>
      <c r="P1499" s="19"/>
      <c r="Q1499" s="47"/>
      <c r="R1499" s="19"/>
      <c r="S1499" s="19"/>
    </row>
    <row r="1500" spans="1:19" x14ac:dyDescent="0.35">
      <c r="A1500" s="26" t="s">
        <v>543</v>
      </c>
      <c r="B1500" s="26" t="s">
        <v>543</v>
      </c>
      <c r="C1500" s="26"/>
      <c r="D1500" s="26" t="s">
        <v>543</v>
      </c>
      <c r="E1500" s="26" t="str">
        <f>IFERROR(VLOOKUP(G1500,WholesaleExtract!B:J,9,FALSE),"")</f>
        <v/>
      </c>
      <c r="F1500" s="26" t="str">
        <f>IFERROR(VLOOKUP(G1500,WholesaleExtract!B:J,6,FALSE),"")</f>
        <v/>
      </c>
      <c r="G1500" s="46"/>
      <c r="H1500" s="47" t="str">
        <f>IFERROR(VLOOKUP(G1500,WholesaleExtract!B:L,11,FALSE),"")</f>
        <v/>
      </c>
      <c r="I1500" s="26" t="str">
        <f>IFERROR(VLOOKUP(G1500,WholesaleExtract!B:O,8,FALSE),"")</f>
        <v/>
      </c>
      <c r="J1500" s="26" t="str">
        <f>IFERROR(VLOOKUP(G1500,WholesaleExtract!B:O,14,FALSE),"")</f>
        <v/>
      </c>
      <c r="K1500" s="26" t="str">
        <f>IFERROR(VLOOKUP(G1500,WholesaleExtract!B:K,10,FALSE),"")</f>
        <v/>
      </c>
      <c r="L1500" s="47" t="str">
        <f>IFERROR(VLOOKUP(G1500,WholesaleExtract!B:L,11,FALSE),"")</f>
        <v/>
      </c>
      <c r="M1500" s="47" t="str">
        <f>IFERROR(VLOOKUP(G1500,WholesaleExtract!B:M,12,FALSE),"")</f>
        <v/>
      </c>
      <c r="N1500" s="27"/>
      <c r="O1500" s="19"/>
      <c r="P1500" s="19"/>
      <c r="Q1500" s="47"/>
      <c r="R1500" s="19"/>
      <c r="S1500" s="19"/>
    </row>
    <row r="1501" spans="1:19" x14ac:dyDescent="0.35">
      <c r="A1501" s="26" t="s">
        <v>543</v>
      </c>
      <c r="B1501" s="26" t="s">
        <v>543</v>
      </c>
      <c r="C1501" s="26"/>
      <c r="D1501" s="26" t="s">
        <v>543</v>
      </c>
      <c r="E1501" s="26" t="str">
        <f>IFERROR(VLOOKUP(G1501,WholesaleExtract!B:J,9,FALSE),"")</f>
        <v/>
      </c>
      <c r="F1501" s="26" t="str">
        <f>IFERROR(VLOOKUP(G1501,WholesaleExtract!B:J,6,FALSE),"")</f>
        <v/>
      </c>
      <c r="G1501" s="46"/>
      <c r="H1501" s="47" t="str">
        <f>IFERROR(VLOOKUP(G1501,WholesaleExtract!B:L,11,FALSE),"")</f>
        <v/>
      </c>
      <c r="I1501" s="26" t="str">
        <f>IFERROR(VLOOKUP(G1501,WholesaleExtract!B:O,8,FALSE),"")</f>
        <v/>
      </c>
      <c r="J1501" s="26" t="str">
        <f>IFERROR(VLOOKUP(G1501,WholesaleExtract!B:O,14,FALSE),"")</f>
        <v/>
      </c>
      <c r="K1501" s="26" t="str">
        <f>IFERROR(VLOOKUP(G1501,WholesaleExtract!B:K,10,FALSE),"")</f>
        <v/>
      </c>
      <c r="L1501" s="47" t="str">
        <f>IFERROR(VLOOKUP(G1501,WholesaleExtract!B:L,11,FALSE),"")</f>
        <v/>
      </c>
      <c r="M1501" s="47" t="str">
        <f>IFERROR(VLOOKUP(G1501,WholesaleExtract!B:M,12,FALSE),"")</f>
        <v/>
      </c>
      <c r="N1501" s="27"/>
      <c r="O1501" s="19"/>
      <c r="P1501" s="19"/>
      <c r="Q1501" s="47"/>
      <c r="R1501" s="19"/>
      <c r="S1501" s="19"/>
    </row>
    <row r="1502" spans="1:19" x14ac:dyDescent="0.35">
      <c r="A1502" s="26" t="s">
        <v>543</v>
      </c>
      <c r="B1502" s="26" t="s">
        <v>543</v>
      </c>
      <c r="C1502" s="26"/>
      <c r="D1502" s="26" t="s">
        <v>543</v>
      </c>
      <c r="E1502" s="26" t="str">
        <f>IFERROR(VLOOKUP(G1502,WholesaleExtract!B:J,9,FALSE),"")</f>
        <v/>
      </c>
      <c r="F1502" s="26" t="str">
        <f>IFERROR(VLOOKUP(G1502,WholesaleExtract!B:J,6,FALSE),"")</f>
        <v/>
      </c>
      <c r="G1502" s="46"/>
      <c r="H1502" s="47" t="str">
        <f>IFERROR(VLOOKUP(G1502,WholesaleExtract!B:L,11,FALSE),"")</f>
        <v/>
      </c>
      <c r="I1502" s="26" t="str">
        <f>IFERROR(VLOOKUP(G1502,WholesaleExtract!B:O,8,FALSE),"")</f>
        <v/>
      </c>
      <c r="J1502" s="26" t="str">
        <f>IFERROR(VLOOKUP(G1502,WholesaleExtract!B:O,14,FALSE),"")</f>
        <v/>
      </c>
      <c r="K1502" s="26" t="str">
        <f>IFERROR(VLOOKUP(G1502,WholesaleExtract!B:K,10,FALSE),"")</f>
        <v/>
      </c>
      <c r="L1502" s="47" t="str">
        <f>IFERROR(VLOOKUP(G1502,WholesaleExtract!B:L,11,FALSE),"")</f>
        <v/>
      </c>
      <c r="M1502" s="47" t="str">
        <f>IFERROR(VLOOKUP(G1502,WholesaleExtract!B:M,12,FALSE),"")</f>
        <v/>
      </c>
      <c r="N1502" s="27"/>
      <c r="O1502" s="19"/>
      <c r="P1502" s="19"/>
      <c r="Q1502" s="47"/>
      <c r="R1502" s="19"/>
      <c r="S1502" s="19"/>
    </row>
    <row r="1503" spans="1:19" x14ac:dyDescent="0.35">
      <c r="A1503" s="26" t="s">
        <v>543</v>
      </c>
      <c r="B1503" s="26" t="s">
        <v>543</v>
      </c>
      <c r="C1503" s="26"/>
      <c r="D1503" s="26" t="s">
        <v>543</v>
      </c>
      <c r="E1503" s="26" t="str">
        <f>IFERROR(VLOOKUP(G1503,WholesaleExtract!B:J,9,FALSE),"")</f>
        <v/>
      </c>
      <c r="F1503" s="26" t="str">
        <f>IFERROR(VLOOKUP(G1503,WholesaleExtract!B:J,6,FALSE),"")</f>
        <v/>
      </c>
      <c r="G1503" s="46"/>
      <c r="H1503" s="47" t="str">
        <f>IFERROR(VLOOKUP(G1503,WholesaleExtract!B:L,11,FALSE),"")</f>
        <v/>
      </c>
      <c r="I1503" s="26" t="str">
        <f>IFERROR(VLOOKUP(G1503,WholesaleExtract!B:O,8,FALSE),"")</f>
        <v/>
      </c>
      <c r="J1503" s="26" t="str">
        <f>IFERROR(VLOOKUP(G1503,WholesaleExtract!B:O,14,FALSE),"")</f>
        <v/>
      </c>
      <c r="K1503" s="26" t="str">
        <f>IFERROR(VLOOKUP(G1503,WholesaleExtract!B:K,10,FALSE),"")</f>
        <v/>
      </c>
      <c r="L1503" s="47" t="str">
        <f>IFERROR(VLOOKUP(G1503,WholesaleExtract!B:L,11,FALSE),"")</f>
        <v/>
      </c>
      <c r="M1503" s="47" t="str">
        <f>IFERROR(VLOOKUP(G1503,WholesaleExtract!B:M,12,FALSE),"")</f>
        <v/>
      </c>
      <c r="N1503" s="27"/>
      <c r="O1503" s="19"/>
      <c r="P1503" s="19"/>
      <c r="Q1503" s="47"/>
      <c r="R1503" s="19"/>
      <c r="S1503" s="19"/>
    </row>
    <row r="1504" spans="1:19" x14ac:dyDescent="0.35">
      <c r="A1504" s="26" t="s">
        <v>543</v>
      </c>
      <c r="B1504" s="26" t="s">
        <v>543</v>
      </c>
      <c r="C1504" s="26"/>
      <c r="D1504" s="26" t="s">
        <v>543</v>
      </c>
      <c r="E1504" s="26" t="str">
        <f>IFERROR(VLOOKUP(G1504,WholesaleExtract!B:J,9,FALSE),"")</f>
        <v/>
      </c>
      <c r="F1504" s="26" t="str">
        <f>IFERROR(VLOOKUP(G1504,WholesaleExtract!B:J,6,FALSE),"")</f>
        <v/>
      </c>
      <c r="G1504" s="46"/>
      <c r="H1504" s="47" t="str">
        <f>IFERROR(VLOOKUP(G1504,WholesaleExtract!B:L,11,FALSE),"")</f>
        <v/>
      </c>
      <c r="I1504" s="26" t="str">
        <f>IFERROR(VLOOKUP(G1504,WholesaleExtract!B:O,8,FALSE),"")</f>
        <v/>
      </c>
      <c r="J1504" s="26" t="str">
        <f>IFERROR(VLOOKUP(G1504,WholesaleExtract!B:O,14,FALSE),"")</f>
        <v/>
      </c>
      <c r="K1504" s="26" t="str">
        <f>IFERROR(VLOOKUP(G1504,WholesaleExtract!B:K,10,FALSE),"")</f>
        <v/>
      </c>
      <c r="L1504" s="47" t="str">
        <f>IFERROR(VLOOKUP(G1504,WholesaleExtract!B:L,11,FALSE),"")</f>
        <v/>
      </c>
      <c r="M1504" s="47" t="str">
        <f>IFERROR(VLOOKUP(G1504,WholesaleExtract!B:M,12,FALSE),"")</f>
        <v/>
      </c>
      <c r="N1504" s="27"/>
      <c r="O1504" s="19"/>
      <c r="P1504" s="19"/>
      <c r="Q1504" s="47"/>
      <c r="R1504" s="19"/>
      <c r="S1504" s="19"/>
    </row>
    <row r="1505" spans="1:19" x14ac:dyDescent="0.35">
      <c r="A1505" s="26" t="s">
        <v>543</v>
      </c>
      <c r="B1505" s="26" t="s">
        <v>543</v>
      </c>
      <c r="C1505" s="26"/>
      <c r="D1505" s="26" t="s">
        <v>543</v>
      </c>
      <c r="E1505" s="26" t="str">
        <f>IFERROR(VLOOKUP(G1505,WholesaleExtract!B:J,9,FALSE),"")</f>
        <v/>
      </c>
      <c r="F1505" s="26" t="str">
        <f>IFERROR(VLOOKUP(G1505,WholesaleExtract!B:J,6,FALSE),"")</f>
        <v/>
      </c>
      <c r="G1505" s="46"/>
      <c r="H1505" s="47" t="str">
        <f>IFERROR(VLOOKUP(G1505,WholesaleExtract!B:L,11,FALSE),"")</f>
        <v/>
      </c>
      <c r="I1505" s="26" t="str">
        <f>IFERROR(VLOOKUP(G1505,WholesaleExtract!B:O,8,FALSE),"")</f>
        <v/>
      </c>
      <c r="J1505" s="26" t="str">
        <f>IFERROR(VLOOKUP(G1505,WholesaleExtract!B:O,14,FALSE),"")</f>
        <v/>
      </c>
      <c r="K1505" s="26" t="str">
        <f>IFERROR(VLOOKUP(G1505,WholesaleExtract!B:K,10,FALSE),"")</f>
        <v/>
      </c>
      <c r="L1505" s="47" t="str">
        <f>IFERROR(VLOOKUP(G1505,WholesaleExtract!B:L,11,FALSE),"")</f>
        <v/>
      </c>
      <c r="M1505" s="47" t="str">
        <f>IFERROR(VLOOKUP(G1505,WholesaleExtract!B:M,12,FALSE),"")</f>
        <v/>
      </c>
      <c r="N1505" s="27"/>
      <c r="O1505" s="19"/>
      <c r="P1505" s="19"/>
      <c r="Q1505" s="47"/>
      <c r="R1505" s="19"/>
      <c r="S1505" s="19"/>
    </row>
    <row r="1506" spans="1:19" x14ac:dyDescent="0.35">
      <c r="A1506" s="26" t="s">
        <v>543</v>
      </c>
      <c r="B1506" s="26" t="s">
        <v>543</v>
      </c>
      <c r="C1506" s="26"/>
      <c r="D1506" s="26" t="s">
        <v>543</v>
      </c>
      <c r="E1506" s="26" t="str">
        <f>IFERROR(VLOOKUP(G1506,WholesaleExtract!B:J,9,FALSE),"")</f>
        <v/>
      </c>
      <c r="F1506" s="26" t="str">
        <f>IFERROR(VLOOKUP(G1506,WholesaleExtract!B:J,6,FALSE),"")</f>
        <v/>
      </c>
      <c r="G1506" s="46"/>
      <c r="H1506" s="47" t="str">
        <f>IFERROR(VLOOKUP(G1506,WholesaleExtract!B:L,11,FALSE),"")</f>
        <v/>
      </c>
      <c r="I1506" s="26" t="str">
        <f>IFERROR(VLOOKUP(G1506,WholesaleExtract!B:O,8,FALSE),"")</f>
        <v/>
      </c>
      <c r="J1506" s="26" t="str">
        <f>IFERROR(VLOOKUP(G1506,WholesaleExtract!B:O,14,FALSE),"")</f>
        <v/>
      </c>
      <c r="K1506" s="26" t="str">
        <f>IFERROR(VLOOKUP(G1506,WholesaleExtract!B:K,10,FALSE),"")</f>
        <v/>
      </c>
      <c r="L1506" s="47" t="str">
        <f>IFERROR(VLOOKUP(G1506,WholesaleExtract!B:L,11,FALSE),"")</f>
        <v/>
      </c>
      <c r="M1506" s="47" t="str">
        <f>IFERROR(VLOOKUP(G1506,WholesaleExtract!B:M,12,FALSE),"")</f>
        <v/>
      </c>
      <c r="N1506" s="27"/>
      <c r="O1506" s="19"/>
      <c r="P1506" s="19"/>
      <c r="Q1506" s="47"/>
      <c r="R1506" s="19"/>
      <c r="S1506" s="19"/>
    </row>
    <row r="1507" spans="1:19" x14ac:dyDescent="0.35">
      <c r="A1507" s="26" t="s">
        <v>543</v>
      </c>
      <c r="B1507" s="26" t="s">
        <v>543</v>
      </c>
      <c r="C1507" s="26"/>
      <c r="D1507" s="26" t="s">
        <v>543</v>
      </c>
      <c r="E1507" s="26" t="str">
        <f>IFERROR(VLOOKUP(G1507,WholesaleExtract!B:J,9,FALSE),"")</f>
        <v/>
      </c>
      <c r="F1507" s="26" t="str">
        <f>IFERROR(VLOOKUP(G1507,WholesaleExtract!B:J,6,FALSE),"")</f>
        <v/>
      </c>
      <c r="G1507" s="46"/>
      <c r="H1507" s="47" t="str">
        <f>IFERROR(VLOOKUP(G1507,WholesaleExtract!B:L,11,FALSE),"")</f>
        <v/>
      </c>
      <c r="I1507" s="26" t="str">
        <f>IFERROR(VLOOKUP(G1507,WholesaleExtract!B:O,8,FALSE),"")</f>
        <v/>
      </c>
      <c r="J1507" s="26" t="str">
        <f>IFERROR(VLOOKUP(G1507,WholesaleExtract!B:O,14,FALSE),"")</f>
        <v/>
      </c>
      <c r="K1507" s="26" t="str">
        <f>IFERROR(VLOOKUP(G1507,WholesaleExtract!B:K,10,FALSE),"")</f>
        <v/>
      </c>
      <c r="L1507" s="47" t="str">
        <f>IFERROR(VLOOKUP(G1507,WholesaleExtract!B:L,11,FALSE),"")</f>
        <v/>
      </c>
      <c r="M1507" s="47" t="str">
        <f>IFERROR(VLOOKUP(G1507,WholesaleExtract!B:M,12,FALSE),"")</f>
        <v/>
      </c>
      <c r="N1507" s="27"/>
      <c r="O1507" s="19"/>
      <c r="P1507" s="19"/>
      <c r="Q1507" s="47"/>
      <c r="R1507" s="19"/>
      <c r="S1507" s="19"/>
    </row>
    <row r="1508" spans="1:19" x14ac:dyDescent="0.35">
      <c r="A1508" s="26" t="s">
        <v>543</v>
      </c>
      <c r="B1508" s="26" t="s">
        <v>543</v>
      </c>
      <c r="C1508" s="26"/>
      <c r="D1508" s="26" t="s">
        <v>543</v>
      </c>
      <c r="E1508" s="26" t="str">
        <f>IFERROR(VLOOKUP(G1508,WholesaleExtract!B:J,9,FALSE),"")</f>
        <v/>
      </c>
      <c r="F1508" s="26" t="str">
        <f>IFERROR(VLOOKUP(G1508,WholesaleExtract!B:J,6,FALSE),"")</f>
        <v/>
      </c>
      <c r="G1508" s="46"/>
      <c r="H1508" s="47" t="str">
        <f>IFERROR(VLOOKUP(G1508,WholesaleExtract!B:L,11,FALSE),"")</f>
        <v/>
      </c>
      <c r="I1508" s="26" t="str">
        <f>IFERROR(VLOOKUP(G1508,WholesaleExtract!B:O,8,FALSE),"")</f>
        <v/>
      </c>
      <c r="J1508" s="26" t="str">
        <f>IFERROR(VLOOKUP(G1508,WholesaleExtract!B:O,14,FALSE),"")</f>
        <v/>
      </c>
      <c r="K1508" s="26" t="str">
        <f>IFERROR(VLOOKUP(G1508,WholesaleExtract!B:K,10,FALSE),"")</f>
        <v/>
      </c>
      <c r="L1508" s="47" t="str">
        <f>IFERROR(VLOOKUP(G1508,WholesaleExtract!B:L,11,FALSE),"")</f>
        <v/>
      </c>
      <c r="M1508" s="47" t="str">
        <f>IFERROR(VLOOKUP(G1508,WholesaleExtract!B:M,12,FALSE),"")</f>
        <v/>
      </c>
      <c r="N1508" s="27"/>
      <c r="O1508" s="19"/>
      <c r="P1508" s="19"/>
      <c r="Q1508" s="47"/>
      <c r="R1508" s="19"/>
      <c r="S1508" s="19"/>
    </row>
    <row r="1509" spans="1:19" x14ac:dyDescent="0.35">
      <c r="A1509" s="26" t="s">
        <v>543</v>
      </c>
      <c r="B1509" s="26" t="s">
        <v>543</v>
      </c>
      <c r="C1509" s="26"/>
      <c r="D1509" s="26" t="s">
        <v>543</v>
      </c>
      <c r="E1509" s="26" t="str">
        <f>IFERROR(VLOOKUP(G1509,WholesaleExtract!B:J,9,FALSE),"")</f>
        <v/>
      </c>
      <c r="F1509" s="26" t="str">
        <f>IFERROR(VLOOKUP(G1509,WholesaleExtract!B:J,6,FALSE),"")</f>
        <v/>
      </c>
      <c r="G1509" s="46"/>
      <c r="H1509" s="47" t="str">
        <f>IFERROR(VLOOKUP(G1509,WholesaleExtract!B:L,11,FALSE),"")</f>
        <v/>
      </c>
      <c r="I1509" s="26" t="str">
        <f>IFERROR(VLOOKUP(G1509,WholesaleExtract!B:O,8,FALSE),"")</f>
        <v/>
      </c>
      <c r="J1509" s="26" t="str">
        <f>IFERROR(VLOOKUP(G1509,WholesaleExtract!B:O,14,FALSE),"")</f>
        <v/>
      </c>
      <c r="K1509" s="26" t="str">
        <f>IFERROR(VLOOKUP(G1509,WholesaleExtract!B:K,10,FALSE),"")</f>
        <v/>
      </c>
      <c r="L1509" s="47" t="str">
        <f>IFERROR(VLOOKUP(G1509,WholesaleExtract!B:L,11,FALSE),"")</f>
        <v/>
      </c>
      <c r="M1509" s="47" t="str">
        <f>IFERROR(VLOOKUP(G1509,WholesaleExtract!B:M,12,FALSE),"")</f>
        <v/>
      </c>
      <c r="N1509" s="27"/>
      <c r="O1509" s="19"/>
      <c r="P1509" s="19"/>
      <c r="Q1509" s="47"/>
      <c r="R1509" s="19"/>
      <c r="S1509" s="19"/>
    </row>
    <row r="1510" spans="1:19" x14ac:dyDescent="0.35">
      <c r="A1510" s="26" t="s">
        <v>543</v>
      </c>
      <c r="B1510" s="26" t="s">
        <v>543</v>
      </c>
      <c r="C1510" s="26"/>
      <c r="D1510" s="26" t="s">
        <v>543</v>
      </c>
      <c r="E1510" s="26" t="str">
        <f>IFERROR(VLOOKUP(G1510,WholesaleExtract!B:J,9,FALSE),"")</f>
        <v/>
      </c>
      <c r="F1510" s="26" t="str">
        <f>IFERROR(VLOOKUP(G1510,WholesaleExtract!B:J,6,FALSE),"")</f>
        <v/>
      </c>
      <c r="G1510" s="46"/>
      <c r="H1510" s="47" t="str">
        <f>IFERROR(VLOOKUP(G1510,WholesaleExtract!B:L,11,FALSE),"")</f>
        <v/>
      </c>
      <c r="I1510" s="26" t="str">
        <f>IFERROR(VLOOKUP(G1510,WholesaleExtract!B:O,8,FALSE),"")</f>
        <v/>
      </c>
      <c r="J1510" s="26" t="str">
        <f>IFERROR(VLOOKUP(G1510,WholesaleExtract!B:O,14,FALSE),"")</f>
        <v/>
      </c>
      <c r="K1510" s="26" t="str">
        <f>IFERROR(VLOOKUP(G1510,WholesaleExtract!B:K,10,FALSE),"")</f>
        <v/>
      </c>
      <c r="L1510" s="47" t="str">
        <f>IFERROR(VLOOKUP(G1510,WholesaleExtract!B:L,11,FALSE),"")</f>
        <v/>
      </c>
      <c r="M1510" s="47" t="str">
        <f>IFERROR(VLOOKUP(G1510,WholesaleExtract!B:M,12,FALSE),"")</f>
        <v/>
      </c>
      <c r="N1510" s="27"/>
      <c r="O1510" s="19"/>
      <c r="P1510" s="19"/>
      <c r="Q1510" s="47"/>
      <c r="R1510" s="19"/>
      <c r="S1510" s="19"/>
    </row>
    <row r="1511" spans="1:19" x14ac:dyDescent="0.35">
      <c r="A1511" s="26" t="s">
        <v>543</v>
      </c>
      <c r="B1511" s="26" t="s">
        <v>543</v>
      </c>
      <c r="C1511" s="26"/>
      <c r="D1511" s="26" t="s">
        <v>543</v>
      </c>
      <c r="E1511" s="26" t="str">
        <f>IFERROR(VLOOKUP(G1511,WholesaleExtract!B:J,9,FALSE),"")</f>
        <v/>
      </c>
      <c r="F1511" s="26" t="str">
        <f>IFERROR(VLOOKUP(G1511,WholesaleExtract!B:J,6,FALSE),"")</f>
        <v/>
      </c>
      <c r="G1511" s="46"/>
      <c r="H1511" s="47" t="str">
        <f>IFERROR(VLOOKUP(G1511,WholesaleExtract!B:L,11,FALSE),"")</f>
        <v/>
      </c>
      <c r="I1511" s="26" t="str">
        <f>IFERROR(VLOOKUP(G1511,WholesaleExtract!B:O,8,FALSE),"")</f>
        <v/>
      </c>
      <c r="J1511" s="26" t="str">
        <f>IFERROR(VLOOKUP(G1511,WholesaleExtract!B:O,14,FALSE),"")</f>
        <v/>
      </c>
      <c r="K1511" s="26" t="str">
        <f>IFERROR(VLOOKUP(G1511,WholesaleExtract!B:K,10,FALSE),"")</f>
        <v/>
      </c>
      <c r="L1511" s="47" t="str">
        <f>IFERROR(VLOOKUP(G1511,WholesaleExtract!B:L,11,FALSE),"")</f>
        <v/>
      </c>
      <c r="M1511" s="47" t="str">
        <f>IFERROR(VLOOKUP(G1511,WholesaleExtract!B:M,12,FALSE),"")</f>
        <v/>
      </c>
      <c r="N1511" s="27"/>
      <c r="O1511" s="19"/>
      <c r="P1511" s="19"/>
      <c r="Q1511" s="47"/>
      <c r="R1511" s="19"/>
      <c r="S1511" s="19"/>
    </row>
    <row r="1512" spans="1:19" x14ac:dyDescent="0.35">
      <c r="A1512" s="26" t="s">
        <v>543</v>
      </c>
      <c r="B1512" s="26" t="s">
        <v>543</v>
      </c>
      <c r="C1512" s="26"/>
      <c r="D1512" s="26" t="s">
        <v>543</v>
      </c>
      <c r="E1512" s="26" t="str">
        <f>IFERROR(VLOOKUP(G1512,WholesaleExtract!B:J,9,FALSE),"")</f>
        <v/>
      </c>
      <c r="F1512" s="26" t="str">
        <f>IFERROR(VLOOKUP(G1512,WholesaleExtract!B:J,6,FALSE),"")</f>
        <v/>
      </c>
      <c r="G1512" s="46"/>
      <c r="H1512" s="47" t="str">
        <f>IFERROR(VLOOKUP(G1512,WholesaleExtract!B:L,11,FALSE),"")</f>
        <v/>
      </c>
      <c r="I1512" s="26" t="str">
        <f>IFERROR(VLOOKUP(G1512,WholesaleExtract!B:O,8,FALSE),"")</f>
        <v/>
      </c>
      <c r="J1512" s="26" t="str">
        <f>IFERROR(VLOOKUP(G1512,WholesaleExtract!B:O,14,FALSE),"")</f>
        <v/>
      </c>
      <c r="K1512" s="26" t="str">
        <f>IFERROR(VLOOKUP(G1512,WholesaleExtract!B:K,10,FALSE),"")</f>
        <v/>
      </c>
      <c r="L1512" s="47" t="str">
        <f>IFERROR(VLOOKUP(G1512,WholesaleExtract!B:L,11,FALSE),"")</f>
        <v/>
      </c>
      <c r="M1512" s="47" t="str">
        <f>IFERROR(VLOOKUP(G1512,WholesaleExtract!B:M,12,FALSE),"")</f>
        <v/>
      </c>
      <c r="N1512" s="27"/>
      <c r="O1512" s="19"/>
      <c r="P1512" s="19"/>
      <c r="Q1512" s="47"/>
      <c r="R1512" s="19"/>
      <c r="S1512" s="19"/>
    </row>
    <row r="1513" spans="1:19" x14ac:dyDescent="0.35">
      <c r="A1513" s="26" t="s">
        <v>543</v>
      </c>
      <c r="B1513" s="26" t="s">
        <v>543</v>
      </c>
      <c r="C1513" s="26"/>
      <c r="D1513" s="26" t="s">
        <v>543</v>
      </c>
      <c r="E1513" s="26" t="str">
        <f>IFERROR(VLOOKUP(G1513,WholesaleExtract!B:J,9,FALSE),"")</f>
        <v/>
      </c>
      <c r="F1513" s="26" t="str">
        <f>IFERROR(VLOOKUP(G1513,WholesaleExtract!B:J,6,FALSE),"")</f>
        <v/>
      </c>
      <c r="G1513" s="46"/>
      <c r="H1513" s="47" t="str">
        <f>IFERROR(VLOOKUP(G1513,WholesaleExtract!B:L,11,FALSE),"")</f>
        <v/>
      </c>
      <c r="I1513" s="26" t="str">
        <f>IFERROR(VLOOKUP(G1513,WholesaleExtract!B:O,8,FALSE),"")</f>
        <v/>
      </c>
      <c r="J1513" s="26" t="str">
        <f>IFERROR(VLOOKUP(G1513,WholesaleExtract!B:O,14,FALSE),"")</f>
        <v/>
      </c>
      <c r="K1513" s="26" t="str">
        <f>IFERROR(VLOOKUP(G1513,WholesaleExtract!B:K,10,FALSE),"")</f>
        <v/>
      </c>
      <c r="L1513" s="47" t="str">
        <f>IFERROR(VLOOKUP(G1513,WholesaleExtract!B:L,11,FALSE),"")</f>
        <v/>
      </c>
      <c r="M1513" s="47" t="str">
        <f>IFERROR(VLOOKUP(G1513,WholesaleExtract!B:M,12,FALSE),"")</f>
        <v/>
      </c>
      <c r="N1513" s="27"/>
      <c r="O1513" s="19"/>
      <c r="P1513" s="19"/>
      <c r="Q1513" s="47"/>
      <c r="R1513" s="19"/>
      <c r="S1513" s="19"/>
    </row>
    <row r="1514" spans="1:19" x14ac:dyDescent="0.35">
      <c r="A1514" s="26" t="s">
        <v>543</v>
      </c>
      <c r="B1514" s="26" t="s">
        <v>543</v>
      </c>
      <c r="C1514" s="26"/>
      <c r="D1514" s="26" t="s">
        <v>543</v>
      </c>
      <c r="E1514" s="26" t="str">
        <f>IFERROR(VLOOKUP(G1514,WholesaleExtract!B:J,9,FALSE),"")</f>
        <v/>
      </c>
      <c r="F1514" s="26" t="str">
        <f>IFERROR(VLOOKUP(G1514,WholesaleExtract!B:J,6,FALSE),"")</f>
        <v/>
      </c>
      <c r="G1514" s="46"/>
      <c r="H1514" s="47" t="str">
        <f>IFERROR(VLOOKUP(G1514,WholesaleExtract!B:L,11,FALSE),"")</f>
        <v/>
      </c>
      <c r="I1514" s="26" t="str">
        <f>IFERROR(VLOOKUP(G1514,WholesaleExtract!B:O,8,FALSE),"")</f>
        <v/>
      </c>
      <c r="J1514" s="26" t="str">
        <f>IFERROR(VLOOKUP(G1514,WholesaleExtract!B:O,14,FALSE),"")</f>
        <v/>
      </c>
      <c r="K1514" s="26" t="str">
        <f>IFERROR(VLOOKUP(G1514,WholesaleExtract!B:K,10,FALSE),"")</f>
        <v/>
      </c>
      <c r="L1514" s="47" t="str">
        <f>IFERROR(VLOOKUP(G1514,WholesaleExtract!B:L,11,FALSE),"")</f>
        <v/>
      </c>
      <c r="M1514" s="47" t="str">
        <f>IFERROR(VLOOKUP(G1514,WholesaleExtract!B:M,12,FALSE),"")</f>
        <v/>
      </c>
      <c r="N1514" s="27"/>
      <c r="O1514" s="19"/>
      <c r="P1514" s="19"/>
      <c r="Q1514" s="47"/>
      <c r="R1514" s="19"/>
      <c r="S1514" s="19"/>
    </row>
    <row r="1515" spans="1:19" x14ac:dyDescent="0.35">
      <c r="A1515" s="26" t="s">
        <v>543</v>
      </c>
      <c r="B1515" s="26" t="s">
        <v>543</v>
      </c>
      <c r="C1515" s="26"/>
      <c r="D1515" s="26" t="s">
        <v>543</v>
      </c>
      <c r="E1515" s="26" t="str">
        <f>IFERROR(VLOOKUP(G1515,WholesaleExtract!B:J,9,FALSE),"")</f>
        <v/>
      </c>
      <c r="F1515" s="26" t="str">
        <f>IFERROR(VLOOKUP(G1515,WholesaleExtract!B:J,6,FALSE),"")</f>
        <v/>
      </c>
      <c r="G1515" s="46"/>
      <c r="H1515" s="47" t="str">
        <f>IFERROR(VLOOKUP(G1515,WholesaleExtract!B:L,11,FALSE),"")</f>
        <v/>
      </c>
      <c r="I1515" s="26" t="str">
        <f>IFERROR(VLOOKUP(G1515,WholesaleExtract!B:O,8,FALSE),"")</f>
        <v/>
      </c>
      <c r="J1515" s="26" t="str">
        <f>IFERROR(VLOOKUP(G1515,WholesaleExtract!B:O,14,FALSE),"")</f>
        <v/>
      </c>
      <c r="K1515" s="26" t="str">
        <f>IFERROR(VLOOKUP(G1515,WholesaleExtract!B:K,10,FALSE),"")</f>
        <v/>
      </c>
      <c r="L1515" s="47" t="str">
        <f>IFERROR(VLOOKUP(G1515,WholesaleExtract!B:L,11,FALSE),"")</f>
        <v/>
      </c>
      <c r="M1515" s="47" t="str">
        <f>IFERROR(VLOOKUP(G1515,WholesaleExtract!B:M,12,FALSE),"")</f>
        <v/>
      </c>
      <c r="N1515" s="27"/>
      <c r="O1515" s="19"/>
      <c r="P1515" s="19"/>
      <c r="Q1515" s="47"/>
      <c r="R1515" s="19"/>
      <c r="S1515" s="19"/>
    </row>
    <row r="1516" spans="1:19" x14ac:dyDescent="0.35">
      <c r="A1516" s="26" t="s">
        <v>543</v>
      </c>
      <c r="B1516" s="26" t="s">
        <v>543</v>
      </c>
      <c r="C1516" s="26"/>
      <c r="D1516" s="26" t="s">
        <v>543</v>
      </c>
      <c r="E1516" s="26" t="str">
        <f>IFERROR(VLOOKUP(G1516,WholesaleExtract!B:J,9,FALSE),"")</f>
        <v/>
      </c>
      <c r="F1516" s="26" t="str">
        <f>IFERROR(VLOOKUP(G1516,WholesaleExtract!B:J,6,FALSE),"")</f>
        <v/>
      </c>
      <c r="G1516" s="46"/>
      <c r="H1516" s="47" t="str">
        <f>IFERROR(VLOOKUP(G1516,WholesaleExtract!B:L,11,FALSE),"")</f>
        <v/>
      </c>
      <c r="I1516" s="26" t="str">
        <f>IFERROR(VLOOKUP(G1516,WholesaleExtract!B:O,8,FALSE),"")</f>
        <v/>
      </c>
      <c r="J1516" s="26" t="str">
        <f>IFERROR(VLOOKUP(G1516,WholesaleExtract!B:O,14,FALSE),"")</f>
        <v/>
      </c>
      <c r="K1516" s="26" t="str">
        <f>IFERROR(VLOOKUP(G1516,WholesaleExtract!B:K,10,FALSE),"")</f>
        <v/>
      </c>
      <c r="L1516" s="47" t="str">
        <f>IFERROR(VLOOKUP(G1516,WholesaleExtract!B:L,11,FALSE),"")</f>
        <v/>
      </c>
      <c r="M1516" s="47" t="str">
        <f>IFERROR(VLOOKUP(G1516,WholesaleExtract!B:M,12,FALSE),"")</f>
        <v/>
      </c>
      <c r="N1516" s="27"/>
      <c r="O1516" s="19"/>
      <c r="P1516" s="19"/>
      <c r="Q1516" s="47"/>
      <c r="R1516" s="19"/>
      <c r="S1516" s="19"/>
    </row>
    <row r="1517" spans="1:19" x14ac:dyDescent="0.35">
      <c r="A1517" s="26" t="s">
        <v>543</v>
      </c>
      <c r="B1517" s="26" t="s">
        <v>543</v>
      </c>
      <c r="C1517" s="26"/>
      <c r="D1517" s="26" t="s">
        <v>543</v>
      </c>
      <c r="E1517" s="26" t="str">
        <f>IFERROR(VLOOKUP(G1517,WholesaleExtract!B:J,9,FALSE),"")</f>
        <v/>
      </c>
      <c r="F1517" s="26" t="str">
        <f>IFERROR(VLOOKUP(G1517,WholesaleExtract!B:J,6,FALSE),"")</f>
        <v/>
      </c>
      <c r="G1517" s="46"/>
      <c r="H1517" s="47" t="str">
        <f>IFERROR(VLOOKUP(G1517,WholesaleExtract!B:L,11,FALSE),"")</f>
        <v/>
      </c>
      <c r="I1517" s="26" t="str">
        <f>IFERROR(VLOOKUP(G1517,WholesaleExtract!B:O,8,FALSE),"")</f>
        <v/>
      </c>
      <c r="J1517" s="26" t="str">
        <f>IFERROR(VLOOKUP(G1517,WholesaleExtract!B:O,14,FALSE),"")</f>
        <v/>
      </c>
      <c r="K1517" s="26" t="str">
        <f>IFERROR(VLOOKUP(G1517,WholesaleExtract!B:K,10,FALSE),"")</f>
        <v/>
      </c>
      <c r="L1517" s="47" t="str">
        <f>IFERROR(VLOOKUP(G1517,WholesaleExtract!B:L,11,FALSE),"")</f>
        <v/>
      </c>
      <c r="M1517" s="47" t="str">
        <f>IFERROR(VLOOKUP(G1517,WholesaleExtract!B:M,12,FALSE),"")</f>
        <v/>
      </c>
      <c r="N1517" s="27"/>
      <c r="O1517" s="19"/>
      <c r="P1517" s="19"/>
      <c r="Q1517" s="47"/>
      <c r="R1517" s="19"/>
      <c r="S1517" s="19"/>
    </row>
    <row r="1518" spans="1:19" x14ac:dyDescent="0.35">
      <c r="A1518" s="26" t="s">
        <v>543</v>
      </c>
      <c r="B1518" s="26" t="s">
        <v>543</v>
      </c>
      <c r="C1518" s="26"/>
      <c r="D1518" s="26" t="s">
        <v>543</v>
      </c>
      <c r="E1518" s="26" t="str">
        <f>IFERROR(VLOOKUP(G1518,WholesaleExtract!B:J,9,FALSE),"")</f>
        <v/>
      </c>
      <c r="F1518" s="26" t="str">
        <f>IFERROR(VLOOKUP(G1518,WholesaleExtract!B:J,6,FALSE),"")</f>
        <v/>
      </c>
      <c r="G1518" s="46"/>
      <c r="H1518" s="47" t="str">
        <f>IFERROR(VLOOKUP(G1518,WholesaleExtract!B:L,11,FALSE),"")</f>
        <v/>
      </c>
      <c r="I1518" s="26" t="str">
        <f>IFERROR(VLOOKUP(G1518,WholesaleExtract!B:O,8,FALSE),"")</f>
        <v/>
      </c>
      <c r="J1518" s="26" t="str">
        <f>IFERROR(VLOOKUP(G1518,WholesaleExtract!B:O,14,FALSE),"")</f>
        <v/>
      </c>
      <c r="K1518" s="26" t="str">
        <f>IFERROR(VLOOKUP(G1518,WholesaleExtract!B:K,10,FALSE),"")</f>
        <v/>
      </c>
      <c r="L1518" s="47" t="str">
        <f>IFERROR(VLOOKUP(G1518,WholesaleExtract!B:L,11,FALSE),"")</f>
        <v/>
      </c>
      <c r="M1518" s="47" t="str">
        <f>IFERROR(VLOOKUP(G1518,WholesaleExtract!B:M,12,FALSE),"")</f>
        <v/>
      </c>
      <c r="N1518" s="27"/>
      <c r="O1518" s="19"/>
      <c r="P1518" s="19"/>
      <c r="Q1518" s="47"/>
      <c r="R1518" s="19"/>
      <c r="S1518" s="19"/>
    </row>
    <row r="1519" spans="1:19" x14ac:dyDescent="0.35">
      <c r="A1519" s="26" t="s">
        <v>543</v>
      </c>
      <c r="B1519" s="26" t="s">
        <v>543</v>
      </c>
      <c r="C1519" s="26"/>
      <c r="D1519" s="26" t="s">
        <v>543</v>
      </c>
      <c r="E1519" s="26" t="str">
        <f>IFERROR(VLOOKUP(G1519,WholesaleExtract!B:J,9,FALSE),"")</f>
        <v/>
      </c>
      <c r="F1519" s="26" t="str">
        <f>IFERROR(VLOOKUP(G1519,WholesaleExtract!B:J,6,FALSE),"")</f>
        <v/>
      </c>
      <c r="G1519" s="46"/>
      <c r="H1519" s="47" t="str">
        <f>IFERROR(VLOOKUP(G1519,WholesaleExtract!B:L,11,FALSE),"")</f>
        <v/>
      </c>
      <c r="I1519" s="26" t="str">
        <f>IFERROR(VLOOKUP(G1519,WholesaleExtract!B:O,8,FALSE),"")</f>
        <v/>
      </c>
      <c r="J1519" s="26" t="str">
        <f>IFERROR(VLOOKUP(G1519,WholesaleExtract!B:O,14,FALSE),"")</f>
        <v/>
      </c>
      <c r="K1519" s="26" t="str">
        <f>IFERROR(VLOOKUP(G1519,WholesaleExtract!B:K,10,FALSE),"")</f>
        <v/>
      </c>
      <c r="L1519" s="47" t="str">
        <f>IFERROR(VLOOKUP(G1519,WholesaleExtract!B:L,11,FALSE),"")</f>
        <v/>
      </c>
      <c r="M1519" s="47" t="str">
        <f>IFERROR(VLOOKUP(G1519,WholesaleExtract!B:M,12,FALSE),"")</f>
        <v/>
      </c>
      <c r="N1519" s="27"/>
      <c r="O1519" s="19"/>
      <c r="P1519" s="19"/>
      <c r="Q1519" s="47"/>
      <c r="R1519" s="19"/>
      <c r="S1519" s="19"/>
    </row>
    <row r="1520" spans="1:19" x14ac:dyDescent="0.35">
      <c r="A1520" s="26" t="s">
        <v>543</v>
      </c>
      <c r="B1520" s="26" t="s">
        <v>543</v>
      </c>
      <c r="C1520" s="26"/>
      <c r="D1520" s="26" t="s">
        <v>543</v>
      </c>
      <c r="E1520" s="26" t="str">
        <f>IFERROR(VLOOKUP(G1520,WholesaleExtract!B:J,9,FALSE),"")</f>
        <v/>
      </c>
      <c r="F1520" s="26" t="str">
        <f>IFERROR(VLOOKUP(G1520,WholesaleExtract!B:J,6,FALSE),"")</f>
        <v/>
      </c>
      <c r="G1520" s="46"/>
      <c r="H1520" s="47" t="str">
        <f>IFERROR(VLOOKUP(G1520,WholesaleExtract!B:L,11,FALSE),"")</f>
        <v/>
      </c>
      <c r="I1520" s="26" t="str">
        <f>IFERROR(VLOOKUP(G1520,WholesaleExtract!B:O,8,FALSE),"")</f>
        <v/>
      </c>
      <c r="J1520" s="26" t="str">
        <f>IFERROR(VLOOKUP(G1520,WholesaleExtract!B:O,14,FALSE),"")</f>
        <v/>
      </c>
      <c r="K1520" s="26" t="str">
        <f>IFERROR(VLOOKUP(G1520,WholesaleExtract!B:K,10,FALSE),"")</f>
        <v/>
      </c>
      <c r="L1520" s="47" t="str">
        <f>IFERROR(VLOOKUP(G1520,WholesaleExtract!B:L,11,FALSE),"")</f>
        <v/>
      </c>
      <c r="M1520" s="47" t="str">
        <f>IFERROR(VLOOKUP(G1520,WholesaleExtract!B:M,12,FALSE),"")</f>
        <v/>
      </c>
      <c r="N1520" s="27"/>
      <c r="O1520" s="19"/>
      <c r="P1520" s="19"/>
      <c r="Q1520" s="47"/>
      <c r="R1520" s="19"/>
      <c r="S1520" s="19"/>
    </row>
    <row r="1521" spans="1:19" x14ac:dyDescent="0.35">
      <c r="A1521" s="26" t="s">
        <v>543</v>
      </c>
      <c r="B1521" s="26" t="s">
        <v>543</v>
      </c>
      <c r="C1521" s="26"/>
      <c r="D1521" s="26" t="s">
        <v>543</v>
      </c>
      <c r="E1521" s="26" t="str">
        <f>IFERROR(VLOOKUP(G1521,WholesaleExtract!B:J,9,FALSE),"")</f>
        <v/>
      </c>
      <c r="F1521" s="26" t="str">
        <f>IFERROR(VLOOKUP(G1521,WholesaleExtract!B:J,6,FALSE),"")</f>
        <v/>
      </c>
      <c r="G1521" s="46"/>
      <c r="H1521" s="47" t="str">
        <f>IFERROR(VLOOKUP(G1521,WholesaleExtract!B:L,11,FALSE),"")</f>
        <v/>
      </c>
      <c r="I1521" s="26" t="str">
        <f>IFERROR(VLOOKUP(G1521,WholesaleExtract!B:O,8,FALSE),"")</f>
        <v/>
      </c>
      <c r="J1521" s="26" t="str">
        <f>IFERROR(VLOOKUP(G1521,WholesaleExtract!B:O,14,FALSE),"")</f>
        <v/>
      </c>
      <c r="K1521" s="26" t="str">
        <f>IFERROR(VLOOKUP(G1521,WholesaleExtract!B:K,10,FALSE),"")</f>
        <v/>
      </c>
      <c r="L1521" s="47" t="str">
        <f>IFERROR(VLOOKUP(G1521,WholesaleExtract!B:L,11,FALSE),"")</f>
        <v/>
      </c>
      <c r="M1521" s="47" t="str">
        <f>IFERROR(VLOOKUP(G1521,WholesaleExtract!B:M,12,FALSE),"")</f>
        <v/>
      </c>
      <c r="N1521" s="27"/>
      <c r="O1521" s="19"/>
      <c r="P1521" s="19"/>
      <c r="Q1521" s="47"/>
      <c r="R1521" s="19"/>
      <c r="S1521" s="19"/>
    </row>
    <row r="1522" spans="1:19" x14ac:dyDescent="0.35">
      <c r="A1522" s="26" t="s">
        <v>543</v>
      </c>
      <c r="B1522" s="26" t="s">
        <v>543</v>
      </c>
      <c r="C1522" s="26"/>
      <c r="D1522" s="26" t="s">
        <v>543</v>
      </c>
      <c r="E1522" s="26" t="str">
        <f>IFERROR(VLOOKUP(G1522,WholesaleExtract!B:J,9,FALSE),"")</f>
        <v/>
      </c>
      <c r="F1522" s="26" t="str">
        <f>IFERROR(VLOOKUP(G1522,WholesaleExtract!B:J,6,FALSE),"")</f>
        <v/>
      </c>
      <c r="G1522" s="46"/>
      <c r="H1522" s="47" t="str">
        <f>IFERROR(VLOOKUP(G1522,WholesaleExtract!B:L,11,FALSE),"")</f>
        <v/>
      </c>
      <c r="I1522" s="26" t="str">
        <f>IFERROR(VLOOKUP(G1522,WholesaleExtract!B:O,8,FALSE),"")</f>
        <v/>
      </c>
      <c r="J1522" s="26" t="str">
        <f>IFERROR(VLOOKUP(G1522,WholesaleExtract!B:O,14,FALSE),"")</f>
        <v/>
      </c>
      <c r="K1522" s="26" t="str">
        <f>IFERROR(VLOOKUP(G1522,WholesaleExtract!B:K,10,FALSE),"")</f>
        <v/>
      </c>
      <c r="L1522" s="47" t="str">
        <f>IFERROR(VLOOKUP(G1522,WholesaleExtract!B:L,11,FALSE),"")</f>
        <v/>
      </c>
      <c r="M1522" s="47" t="str">
        <f>IFERROR(VLOOKUP(G1522,WholesaleExtract!B:M,12,FALSE),"")</f>
        <v/>
      </c>
      <c r="N1522" s="27"/>
      <c r="O1522" s="19"/>
      <c r="P1522" s="19"/>
      <c r="Q1522" s="47"/>
      <c r="R1522" s="19"/>
      <c r="S1522" s="19"/>
    </row>
    <row r="1523" spans="1:19" x14ac:dyDescent="0.35">
      <c r="A1523" s="26" t="s">
        <v>543</v>
      </c>
      <c r="B1523" s="26" t="s">
        <v>543</v>
      </c>
      <c r="C1523" s="26"/>
      <c r="D1523" s="26" t="s">
        <v>543</v>
      </c>
      <c r="E1523" s="26" t="str">
        <f>IFERROR(VLOOKUP(G1523,WholesaleExtract!B:J,9,FALSE),"")</f>
        <v/>
      </c>
      <c r="F1523" s="26" t="str">
        <f>IFERROR(VLOOKUP(G1523,WholesaleExtract!B:J,6,FALSE),"")</f>
        <v/>
      </c>
      <c r="G1523" s="46"/>
      <c r="H1523" s="47" t="str">
        <f>IFERROR(VLOOKUP(G1523,WholesaleExtract!B:L,11,FALSE),"")</f>
        <v/>
      </c>
      <c r="I1523" s="26" t="str">
        <f>IFERROR(VLOOKUP(G1523,WholesaleExtract!B:O,8,FALSE),"")</f>
        <v/>
      </c>
      <c r="J1523" s="26" t="str">
        <f>IFERROR(VLOOKUP(G1523,WholesaleExtract!B:O,14,FALSE),"")</f>
        <v/>
      </c>
      <c r="K1523" s="26" t="str">
        <f>IFERROR(VLOOKUP(G1523,WholesaleExtract!B:K,10,FALSE),"")</f>
        <v/>
      </c>
      <c r="L1523" s="47" t="str">
        <f>IFERROR(VLOOKUP(G1523,WholesaleExtract!B:L,11,FALSE),"")</f>
        <v/>
      </c>
      <c r="M1523" s="47" t="str">
        <f>IFERROR(VLOOKUP(G1523,WholesaleExtract!B:M,12,FALSE),"")</f>
        <v/>
      </c>
      <c r="N1523" s="27"/>
      <c r="O1523" s="19"/>
      <c r="P1523" s="19"/>
      <c r="Q1523" s="47"/>
      <c r="R1523" s="19"/>
      <c r="S1523" s="19"/>
    </row>
    <row r="1524" spans="1:19" x14ac:dyDescent="0.35">
      <c r="A1524" s="26" t="s">
        <v>543</v>
      </c>
      <c r="B1524" s="26" t="s">
        <v>543</v>
      </c>
      <c r="C1524" s="26"/>
      <c r="D1524" s="26" t="s">
        <v>543</v>
      </c>
      <c r="E1524" s="26" t="str">
        <f>IFERROR(VLOOKUP(G1524,WholesaleExtract!B:J,9,FALSE),"")</f>
        <v/>
      </c>
      <c r="F1524" s="26" t="str">
        <f>IFERROR(VLOOKUP(G1524,WholesaleExtract!B:J,6,FALSE),"")</f>
        <v/>
      </c>
      <c r="G1524" s="46"/>
      <c r="H1524" s="47" t="str">
        <f>IFERROR(VLOOKUP(G1524,WholesaleExtract!B:L,11,FALSE),"")</f>
        <v/>
      </c>
      <c r="I1524" s="26" t="str">
        <f>IFERROR(VLOOKUP(G1524,WholesaleExtract!B:O,8,FALSE),"")</f>
        <v/>
      </c>
      <c r="J1524" s="26" t="str">
        <f>IFERROR(VLOOKUP(G1524,WholesaleExtract!B:O,14,FALSE),"")</f>
        <v/>
      </c>
      <c r="K1524" s="26" t="str">
        <f>IFERROR(VLOOKUP(G1524,WholesaleExtract!B:K,10,FALSE),"")</f>
        <v/>
      </c>
      <c r="L1524" s="47" t="str">
        <f>IFERROR(VLOOKUP(G1524,WholesaleExtract!B:L,11,FALSE),"")</f>
        <v/>
      </c>
      <c r="M1524" s="47" t="str">
        <f>IFERROR(VLOOKUP(G1524,WholesaleExtract!B:M,12,FALSE),"")</f>
        <v/>
      </c>
      <c r="N1524" s="27"/>
      <c r="O1524" s="19"/>
      <c r="P1524" s="19"/>
      <c r="Q1524" s="47"/>
      <c r="R1524" s="19"/>
      <c r="S1524" s="19"/>
    </row>
    <row r="1525" spans="1:19" x14ac:dyDescent="0.35">
      <c r="A1525" s="26" t="s">
        <v>543</v>
      </c>
      <c r="B1525" s="26" t="s">
        <v>543</v>
      </c>
      <c r="C1525" s="26"/>
      <c r="D1525" s="26" t="s">
        <v>543</v>
      </c>
      <c r="E1525" s="26" t="str">
        <f>IFERROR(VLOOKUP(G1525,WholesaleExtract!B:J,9,FALSE),"")</f>
        <v/>
      </c>
      <c r="F1525" s="26" t="str">
        <f>IFERROR(VLOOKUP(G1525,WholesaleExtract!B:J,6,FALSE),"")</f>
        <v/>
      </c>
      <c r="G1525" s="46"/>
      <c r="H1525" s="47" t="str">
        <f>IFERROR(VLOOKUP(G1525,WholesaleExtract!B:L,11,FALSE),"")</f>
        <v/>
      </c>
      <c r="I1525" s="26" t="str">
        <f>IFERROR(VLOOKUP(G1525,WholesaleExtract!B:O,8,FALSE),"")</f>
        <v/>
      </c>
      <c r="J1525" s="26" t="str">
        <f>IFERROR(VLOOKUP(G1525,WholesaleExtract!B:O,14,FALSE),"")</f>
        <v/>
      </c>
      <c r="K1525" s="26" t="str">
        <f>IFERROR(VLOOKUP(G1525,WholesaleExtract!B:K,10,FALSE),"")</f>
        <v/>
      </c>
      <c r="L1525" s="47" t="str">
        <f>IFERROR(VLOOKUP(G1525,WholesaleExtract!B:L,11,FALSE),"")</f>
        <v/>
      </c>
      <c r="M1525" s="47" t="str">
        <f>IFERROR(VLOOKUP(G1525,WholesaleExtract!B:M,12,FALSE),"")</f>
        <v/>
      </c>
      <c r="N1525" s="27"/>
      <c r="O1525" s="19"/>
      <c r="P1525" s="19"/>
      <c r="Q1525" s="47"/>
      <c r="R1525" s="19"/>
      <c r="S1525" s="19"/>
    </row>
    <row r="1526" spans="1:19" x14ac:dyDescent="0.35">
      <c r="A1526" s="26" t="s">
        <v>543</v>
      </c>
      <c r="B1526" s="26" t="s">
        <v>543</v>
      </c>
      <c r="C1526" s="26"/>
      <c r="D1526" s="26" t="s">
        <v>543</v>
      </c>
      <c r="E1526" s="26" t="str">
        <f>IFERROR(VLOOKUP(G1526,WholesaleExtract!B:J,9,FALSE),"")</f>
        <v/>
      </c>
      <c r="F1526" s="26" t="str">
        <f>IFERROR(VLOOKUP(G1526,WholesaleExtract!B:J,6,FALSE),"")</f>
        <v/>
      </c>
      <c r="G1526" s="46"/>
      <c r="H1526" s="47" t="str">
        <f>IFERROR(VLOOKUP(G1526,WholesaleExtract!B:L,11,FALSE),"")</f>
        <v/>
      </c>
      <c r="I1526" s="26" t="str">
        <f>IFERROR(VLOOKUP(G1526,WholesaleExtract!B:O,8,FALSE),"")</f>
        <v/>
      </c>
      <c r="J1526" s="26" t="str">
        <f>IFERROR(VLOOKUP(G1526,WholesaleExtract!B:O,14,FALSE),"")</f>
        <v/>
      </c>
      <c r="K1526" s="26" t="str">
        <f>IFERROR(VLOOKUP(G1526,WholesaleExtract!B:K,10,FALSE),"")</f>
        <v/>
      </c>
      <c r="L1526" s="47" t="str">
        <f>IFERROR(VLOOKUP(G1526,WholesaleExtract!B:L,11,FALSE),"")</f>
        <v/>
      </c>
      <c r="M1526" s="47" t="str">
        <f>IFERROR(VLOOKUP(G1526,WholesaleExtract!B:M,12,FALSE),"")</f>
        <v/>
      </c>
      <c r="N1526" s="27"/>
      <c r="O1526" s="19"/>
      <c r="P1526" s="19"/>
      <c r="Q1526" s="47"/>
      <c r="R1526" s="19"/>
      <c r="S1526" s="19"/>
    </row>
    <row r="1527" spans="1:19" x14ac:dyDescent="0.35">
      <c r="A1527" s="26" t="s">
        <v>543</v>
      </c>
      <c r="B1527" s="26" t="s">
        <v>543</v>
      </c>
      <c r="C1527" s="26"/>
      <c r="D1527" s="26" t="s">
        <v>543</v>
      </c>
      <c r="E1527" s="26" t="str">
        <f>IFERROR(VLOOKUP(G1527,WholesaleExtract!B:J,9,FALSE),"")</f>
        <v/>
      </c>
      <c r="F1527" s="26" t="str">
        <f>IFERROR(VLOOKUP(G1527,WholesaleExtract!B:J,6,FALSE),"")</f>
        <v/>
      </c>
      <c r="G1527" s="46"/>
      <c r="H1527" s="47" t="str">
        <f>IFERROR(VLOOKUP(G1527,WholesaleExtract!B:L,11,FALSE),"")</f>
        <v/>
      </c>
      <c r="I1527" s="26" t="str">
        <f>IFERROR(VLOOKUP(G1527,WholesaleExtract!B:O,8,FALSE),"")</f>
        <v/>
      </c>
      <c r="J1527" s="26" t="str">
        <f>IFERROR(VLOOKUP(G1527,WholesaleExtract!B:O,14,FALSE),"")</f>
        <v/>
      </c>
      <c r="K1527" s="26" t="str">
        <f>IFERROR(VLOOKUP(G1527,WholesaleExtract!B:K,10,FALSE),"")</f>
        <v/>
      </c>
      <c r="L1527" s="47" t="str">
        <f>IFERROR(VLOOKUP(G1527,WholesaleExtract!B:L,11,FALSE),"")</f>
        <v/>
      </c>
      <c r="M1527" s="47" t="str">
        <f>IFERROR(VLOOKUP(G1527,WholesaleExtract!B:M,12,FALSE),"")</f>
        <v/>
      </c>
      <c r="N1527" s="27"/>
      <c r="O1527" s="19"/>
      <c r="P1527" s="19"/>
      <c r="Q1527" s="47"/>
      <c r="R1527" s="19"/>
      <c r="S1527" s="19"/>
    </row>
    <row r="1528" spans="1:19" x14ac:dyDescent="0.35">
      <c r="A1528" s="26" t="s">
        <v>543</v>
      </c>
      <c r="B1528" s="26" t="s">
        <v>543</v>
      </c>
      <c r="C1528" s="26"/>
      <c r="D1528" s="26" t="s">
        <v>543</v>
      </c>
      <c r="E1528" s="26" t="str">
        <f>IFERROR(VLOOKUP(G1528,WholesaleExtract!B:J,9,FALSE),"")</f>
        <v/>
      </c>
      <c r="F1528" s="26" t="str">
        <f>IFERROR(VLOOKUP(G1528,WholesaleExtract!B:J,6,FALSE),"")</f>
        <v/>
      </c>
      <c r="G1528" s="46"/>
      <c r="H1528" s="47" t="str">
        <f>IFERROR(VLOOKUP(G1528,WholesaleExtract!B:L,11,FALSE),"")</f>
        <v/>
      </c>
      <c r="I1528" s="26" t="str">
        <f>IFERROR(VLOOKUP(G1528,WholesaleExtract!B:O,8,FALSE),"")</f>
        <v/>
      </c>
      <c r="J1528" s="26" t="str">
        <f>IFERROR(VLOOKUP(G1528,WholesaleExtract!B:O,14,FALSE),"")</f>
        <v/>
      </c>
      <c r="K1528" s="26" t="str">
        <f>IFERROR(VLOOKUP(G1528,WholesaleExtract!B:K,10,FALSE),"")</f>
        <v/>
      </c>
      <c r="L1528" s="47" t="str">
        <f>IFERROR(VLOOKUP(G1528,WholesaleExtract!B:L,11,FALSE),"")</f>
        <v/>
      </c>
      <c r="M1528" s="47" t="str">
        <f>IFERROR(VLOOKUP(G1528,WholesaleExtract!B:M,12,FALSE),"")</f>
        <v/>
      </c>
      <c r="N1528" s="27"/>
      <c r="O1528" s="19"/>
      <c r="P1528" s="19"/>
      <c r="Q1528" s="47"/>
      <c r="R1528" s="19"/>
      <c r="S1528" s="19"/>
    </row>
    <row r="1529" spans="1:19" x14ac:dyDescent="0.35">
      <c r="A1529" s="26" t="s">
        <v>543</v>
      </c>
      <c r="B1529" s="26" t="s">
        <v>543</v>
      </c>
      <c r="C1529" s="26"/>
      <c r="D1529" s="26" t="s">
        <v>543</v>
      </c>
      <c r="E1529" s="26" t="str">
        <f>IFERROR(VLOOKUP(G1529,WholesaleExtract!B:J,9,FALSE),"")</f>
        <v/>
      </c>
      <c r="F1529" s="26" t="str">
        <f>IFERROR(VLOOKUP(G1529,WholesaleExtract!B:J,6,FALSE),"")</f>
        <v/>
      </c>
      <c r="G1529" s="46"/>
      <c r="H1529" s="47" t="str">
        <f>IFERROR(VLOOKUP(G1529,WholesaleExtract!B:L,11,FALSE),"")</f>
        <v/>
      </c>
      <c r="I1529" s="26" t="str">
        <f>IFERROR(VLOOKUP(G1529,WholesaleExtract!B:O,8,FALSE),"")</f>
        <v/>
      </c>
      <c r="J1529" s="26" t="str">
        <f>IFERROR(VLOOKUP(G1529,WholesaleExtract!B:O,14,FALSE),"")</f>
        <v/>
      </c>
      <c r="K1529" s="26" t="str">
        <f>IFERROR(VLOOKUP(G1529,WholesaleExtract!B:K,10,FALSE),"")</f>
        <v/>
      </c>
      <c r="L1529" s="47" t="str">
        <f>IFERROR(VLOOKUP(G1529,WholesaleExtract!B:L,11,FALSE),"")</f>
        <v/>
      </c>
      <c r="M1529" s="47" t="str">
        <f>IFERROR(VLOOKUP(G1529,WholesaleExtract!B:M,12,FALSE),"")</f>
        <v/>
      </c>
      <c r="N1529" s="27"/>
      <c r="O1529" s="19"/>
      <c r="P1529" s="19"/>
      <c r="Q1529" s="47"/>
      <c r="R1529" s="19"/>
      <c r="S1529" s="19"/>
    </row>
    <row r="1530" spans="1:19" x14ac:dyDescent="0.35">
      <c r="A1530" s="26" t="s">
        <v>543</v>
      </c>
      <c r="B1530" s="26" t="s">
        <v>543</v>
      </c>
      <c r="C1530" s="26"/>
      <c r="D1530" s="26" t="s">
        <v>543</v>
      </c>
      <c r="E1530" s="26" t="str">
        <f>IFERROR(VLOOKUP(G1530,WholesaleExtract!B:J,9,FALSE),"")</f>
        <v/>
      </c>
      <c r="F1530" s="26" t="str">
        <f>IFERROR(VLOOKUP(G1530,WholesaleExtract!B:J,6,FALSE),"")</f>
        <v/>
      </c>
      <c r="G1530" s="46"/>
      <c r="H1530" s="47" t="str">
        <f>IFERROR(VLOOKUP(G1530,WholesaleExtract!B:L,11,FALSE),"")</f>
        <v/>
      </c>
      <c r="I1530" s="26" t="str">
        <f>IFERROR(VLOOKUP(G1530,WholesaleExtract!B:O,8,FALSE),"")</f>
        <v/>
      </c>
      <c r="J1530" s="26" t="str">
        <f>IFERROR(VLOOKUP(G1530,WholesaleExtract!B:O,14,FALSE),"")</f>
        <v/>
      </c>
      <c r="K1530" s="26" t="str">
        <f>IFERROR(VLOOKUP(G1530,WholesaleExtract!B:K,10,FALSE),"")</f>
        <v/>
      </c>
      <c r="L1530" s="47" t="str">
        <f>IFERROR(VLOOKUP(G1530,WholesaleExtract!B:L,11,FALSE),"")</f>
        <v/>
      </c>
      <c r="M1530" s="47" t="str">
        <f>IFERROR(VLOOKUP(G1530,WholesaleExtract!B:M,12,FALSE),"")</f>
        <v/>
      </c>
      <c r="N1530" s="27"/>
      <c r="O1530" s="19"/>
      <c r="P1530" s="19"/>
      <c r="Q1530" s="47"/>
      <c r="R1530" s="19"/>
      <c r="S1530" s="19"/>
    </row>
    <row r="1531" spans="1:19" x14ac:dyDescent="0.35">
      <c r="A1531" s="26" t="s">
        <v>543</v>
      </c>
      <c r="B1531" s="26" t="s">
        <v>543</v>
      </c>
      <c r="C1531" s="26"/>
      <c r="D1531" s="26" t="s">
        <v>543</v>
      </c>
      <c r="E1531" s="26" t="str">
        <f>IFERROR(VLOOKUP(G1531,WholesaleExtract!B:J,9,FALSE),"")</f>
        <v/>
      </c>
      <c r="F1531" s="26" t="str">
        <f>IFERROR(VLOOKUP(G1531,WholesaleExtract!B:J,6,FALSE),"")</f>
        <v/>
      </c>
      <c r="G1531" s="46"/>
      <c r="H1531" s="47" t="str">
        <f>IFERROR(VLOOKUP(G1531,WholesaleExtract!B:L,11,FALSE),"")</f>
        <v/>
      </c>
      <c r="I1531" s="26" t="str">
        <f>IFERROR(VLOOKUP(G1531,WholesaleExtract!B:O,8,FALSE),"")</f>
        <v/>
      </c>
      <c r="J1531" s="26" t="str">
        <f>IFERROR(VLOOKUP(G1531,WholesaleExtract!B:O,14,FALSE),"")</f>
        <v/>
      </c>
      <c r="K1531" s="26" t="str">
        <f>IFERROR(VLOOKUP(G1531,WholesaleExtract!B:K,10,FALSE),"")</f>
        <v/>
      </c>
      <c r="L1531" s="47" t="str">
        <f>IFERROR(VLOOKUP(G1531,WholesaleExtract!B:L,11,FALSE),"")</f>
        <v/>
      </c>
      <c r="M1531" s="47" t="str">
        <f>IFERROR(VLOOKUP(G1531,WholesaleExtract!B:M,12,FALSE),"")</f>
        <v/>
      </c>
      <c r="N1531" s="27"/>
      <c r="O1531" s="19"/>
      <c r="P1531" s="19"/>
      <c r="Q1531" s="47"/>
      <c r="R1531" s="19"/>
      <c r="S1531" s="19"/>
    </row>
    <row r="1532" spans="1:19" x14ac:dyDescent="0.35">
      <c r="A1532" s="26" t="s">
        <v>543</v>
      </c>
      <c r="B1532" s="26" t="s">
        <v>543</v>
      </c>
      <c r="C1532" s="26"/>
      <c r="D1532" s="26" t="s">
        <v>543</v>
      </c>
      <c r="E1532" s="26" t="str">
        <f>IFERROR(VLOOKUP(G1532,WholesaleExtract!B:J,9,FALSE),"")</f>
        <v/>
      </c>
      <c r="F1532" s="26" t="str">
        <f>IFERROR(VLOOKUP(G1532,WholesaleExtract!B:J,6,FALSE),"")</f>
        <v/>
      </c>
      <c r="G1532" s="46"/>
      <c r="H1532" s="47" t="str">
        <f>IFERROR(VLOOKUP(G1532,WholesaleExtract!B:L,11,FALSE),"")</f>
        <v/>
      </c>
      <c r="I1532" s="26" t="str">
        <f>IFERROR(VLOOKUP(G1532,WholesaleExtract!B:O,8,FALSE),"")</f>
        <v/>
      </c>
      <c r="J1532" s="26" t="str">
        <f>IFERROR(VLOOKUP(G1532,WholesaleExtract!B:O,14,FALSE),"")</f>
        <v/>
      </c>
      <c r="K1532" s="26" t="str">
        <f>IFERROR(VLOOKUP(G1532,WholesaleExtract!B:K,10,FALSE),"")</f>
        <v/>
      </c>
      <c r="L1532" s="47" t="str">
        <f>IFERROR(VLOOKUP(G1532,WholesaleExtract!B:L,11,FALSE),"")</f>
        <v/>
      </c>
      <c r="M1532" s="47" t="str">
        <f>IFERROR(VLOOKUP(G1532,WholesaleExtract!B:M,12,FALSE),"")</f>
        <v/>
      </c>
      <c r="N1532" s="27"/>
      <c r="O1532" s="19"/>
      <c r="P1532" s="19"/>
      <c r="Q1532" s="47"/>
      <c r="R1532" s="19"/>
      <c r="S1532" s="19"/>
    </row>
    <row r="1533" spans="1:19" x14ac:dyDescent="0.35">
      <c r="A1533" s="26" t="s">
        <v>543</v>
      </c>
      <c r="B1533" s="26" t="s">
        <v>543</v>
      </c>
      <c r="C1533" s="26"/>
      <c r="D1533" s="26" t="s">
        <v>543</v>
      </c>
      <c r="E1533" s="26" t="str">
        <f>IFERROR(VLOOKUP(G1533,WholesaleExtract!B:J,9,FALSE),"")</f>
        <v/>
      </c>
      <c r="F1533" s="26" t="str">
        <f>IFERROR(VLOOKUP(G1533,WholesaleExtract!B:J,6,FALSE),"")</f>
        <v/>
      </c>
      <c r="G1533" s="46"/>
      <c r="H1533" s="47" t="str">
        <f>IFERROR(VLOOKUP(G1533,WholesaleExtract!B:L,11,FALSE),"")</f>
        <v/>
      </c>
      <c r="I1533" s="26" t="str">
        <f>IFERROR(VLOOKUP(G1533,WholesaleExtract!B:O,8,FALSE),"")</f>
        <v/>
      </c>
      <c r="J1533" s="26" t="str">
        <f>IFERROR(VLOOKUP(G1533,WholesaleExtract!B:O,14,FALSE),"")</f>
        <v/>
      </c>
      <c r="K1533" s="26" t="str">
        <f>IFERROR(VLOOKUP(G1533,WholesaleExtract!B:K,10,FALSE),"")</f>
        <v/>
      </c>
      <c r="L1533" s="47" t="str">
        <f>IFERROR(VLOOKUP(G1533,WholesaleExtract!B:L,11,FALSE),"")</f>
        <v/>
      </c>
      <c r="M1533" s="47" t="str">
        <f>IFERROR(VLOOKUP(G1533,WholesaleExtract!B:M,12,FALSE),"")</f>
        <v/>
      </c>
      <c r="N1533" s="27"/>
      <c r="O1533" s="19"/>
      <c r="P1533" s="19"/>
      <c r="Q1533" s="47"/>
      <c r="R1533" s="19"/>
      <c r="S1533" s="19"/>
    </row>
    <row r="1534" spans="1:19" x14ac:dyDescent="0.35">
      <c r="A1534" s="26" t="s">
        <v>543</v>
      </c>
      <c r="B1534" s="26" t="s">
        <v>543</v>
      </c>
      <c r="C1534" s="26"/>
      <c r="D1534" s="26" t="s">
        <v>543</v>
      </c>
      <c r="E1534" s="26" t="str">
        <f>IFERROR(VLOOKUP(G1534,WholesaleExtract!B:J,9,FALSE),"")</f>
        <v/>
      </c>
      <c r="F1534" s="26" t="str">
        <f>IFERROR(VLOOKUP(G1534,WholesaleExtract!B:J,6,FALSE),"")</f>
        <v/>
      </c>
      <c r="G1534" s="46"/>
      <c r="H1534" s="47" t="str">
        <f>IFERROR(VLOOKUP(G1534,WholesaleExtract!B:L,11,FALSE),"")</f>
        <v/>
      </c>
      <c r="I1534" s="26" t="str">
        <f>IFERROR(VLOOKUP(G1534,WholesaleExtract!B:O,8,FALSE),"")</f>
        <v/>
      </c>
      <c r="J1534" s="26" t="str">
        <f>IFERROR(VLOOKUP(G1534,WholesaleExtract!B:O,14,FALSE),"")</f>
        <v/>
      </c>
      <c r="K1534" s="26" t="str">
        <f>IFERROR(VLOOKUP(G1534,WholesaleExtract!B:K,10,FALSE),"")</f>
        <v/>
      </c>
      <c r="L1534" s="47" t="str">
        <f>IFERROR(VLOOKUP(G1534,WholesaleExtract!B:L,11,FALSE),"")</f>
        <v/>
      </c>
      <c r="M1534" s="47" t="str">
        <f>IFERROR(VLOOKUP(G1534,WholesaleExtract!B:M,12,FALSE),"")</f>
        <v/>
      </c>
      <c r="N1534" s="27"/>
      <c r="O1534" s="19"/>
      <c r="P1534" s="19"/>
      <c r="Q1534" s="47"/>
      <c r="R1534" s="19"/>
      <c r="S1534" s="19"/>
    </row>
    <row r="1535" spans="1:19" x14ac:dyDescent="0.35">
      <c r="A1535" s="26" t="s">
        <v>543</v>
      </c>
      <c r="B1535" s="26" t="s">
        <v>543</v>
      </c>
      <c r="C1535" s="26"/>
      <c r="D1535" s="26" t="s">
        <v>543</v>
      </c>
      <c r="E1535" s="26" t="str">
        <f>IFERROR(VLOOKUP(G1535,WholesaleExtract!B:J,9,FALSE),"")</f>
        <v/>
      </c>
      <c r="F1535" s="26" t="str">
        <f>IFERROR(VLOOKUP(G1535,WholesaleExtract!B:J,6,FALSE),"")</f>
        <v/>
      </c>
      <c r="G1535" s="46"/>
      <c r="H1535" s="47" t="str">
        <f>IFERROR(VLOOKUP(G1535,WholesaleExtract!B:L,11,FALSE),"")</f>
        <v/>
      </c>
      <c r="I1535" s="26" t="str">
        <f>IFERROR(VLOOKUP(G1535,WholesaleExtract!B:O,8,FALSE),"")</f>
        <v/>
      </c>
      <c r="J1535" s="26" t="str">
        <f>IFERROR(VLOOKUP(G1535,WholesaleExtract!B:O,14,FALSE),"")</f>
        <v/>
      </c>
      <c r="K1535" s="26" t="str">
        <f>IFERROR(VLOOKUP(G1535,WholesaleExtract!B:K,10,FALSE),"")</f>
        <v/>
      </c>
      <c r="L1535" s="47" t="str">
        <f>IFERROR(VLOOKUP(G1535,WholesaleExtract!B:L,11,FALSE),"")</f>
        <v/>
      </c>
      <c r="M1535" s="47" t="str">
        <f>IFERROR(VLOOKUP(G1535,WholesaleExtract!B:M,12,FALSE),"")</f>
        <v/>
      </c>
      <c r="N1535" s="27"/>
      <c r="O1535" s="19"/>
      <c r="P1535" s="19"/>
      <c r="Q1535" s="47"/>
      <c r="R1535" s="19"/>
      <c r="S1535" s="19"/>
    </row>
    <row r="1536" spans="1:19" x14ac:dyDescent="0.35">
      <c r="A1536" s="26" t="s">
        <v>543</v>
      </c>
      <c r="B1536" s="26" t="s">
        <v>543</v>
      </c>
      <c r="C1536" s="26"/>
      <c r="D1536" s="26" t="s">
        <v>543</v>
      </c>
      <c r="E1536" s="26" t="str">
        <f>IFERROR(VLOOKUP(G1536,WholesaleExtract!B:J,9,FALSE),"")</f>
        <v/>
      </c>
      <c r="F1536" s="26" t="str">
        <f>IFERROR(VLOOKUP(G1536,WholesaleExtract!B:J,6,FALSE),"")</f>
        <v/>
      </c>
      <c r="G1536" s="46"/>
      <c r="H1536" s="47" t="str">
        <f>IFERROR(VLOOKUP(G1536,WholesaleExtract!B:L,11,FALSE),"")</f>
        <v/>
      </c>
      <c r="I1536" s="26" t="str">
        <f>IFERROR(VLOOKUP(G1536,WholesaleExtract!B:O,8,FALSE),"")</f>
        <v/>
      </c>
      <c r="J1536" s="26" t="str">
        <f>IFERROR(VLOOKUP(G1536,WholesaleExtract!B:O,14,FALSE),"")</f>
        <v/>
      </c>
      <c r="K1536" s="26" t="str">
        <f>IFERROR(VLOOKUP(G1536,WholesaleExtract!B:K,10,FALSE),"")</f>
        <v/>
      </c>
      <c r="L1536" s="47" t="str">
        <f>IFERROR(VLOOKUP(G1536,WholesaleExtract!B:L,11,FALSE),"")</f>
        <v/>
      </c>
      <c r="M1536" s="47" t="str">
        <f>IFERROR(VLOOKUP(G1536,WholesaleExtract!B:M,12,FALSE),"")</f>
        <v/>
      </c>
      <c r="N1536" s="27"/>
      <c r="O1536" s="19"/>
      <c r="P1536" s="19"/>
      <c r="Q1536" s="47"/>
      <c r="R1536" s="19"/>
      <c r="S1536" s="19"/>
    </row>
    <row r="1537" spans="1:19" x14ac:dyDescent="0.35">
      <c r="A1537" s="26" t="s">
        <v>543</v>
      </c>
      <c r="B1537" s="26" t="s">
        <v>543</v>
      </c>
      <c r="C1537" s="26"/>
      <c r="D1537" s="26" t="s">
        <v>543</v>
      </c>
      <c r="E1537" s="26" t="str">
        <f>IFERROR(VLOOKUP(G1537,WholesaleExtract!B:J,9,FALSE),"")</f>
        <v/>
      </c>
      <c r="F1537" s="26" t="str">
        <f>IFERROR(VLOOKUP(G1537,WholesaleExtract!B:J,6,FALSE),"")</f>
        <v/>
      </c>
      <c r="G1537" s="46"/>
      <c r="H1537" s="47" t="str">
        <f>IFERROR(VLOOKUP(G1537,WholesaleExtract!B:L,11,FALSE),"")</f>
        <v/>
      </c>
      <c r="I1537" s="26" t="str">
        <f>IFERROR(VLOOKUP(G1537,WholesaleExtract!B:O,8,FALSE),"")</f>
        <v/>
      </c>
      <c r="J1537" s="26" t="str">
        <f>IFERROR(VLOOKUP(G1537,WholesaleExtract!B:O,14,FALSE),"")</f>
        <v/>
      </c>
      <c r="K1537" s="26" t="str">
        <f>IFERROR(VLOOKUP(G1537,WholesaleExtract!B:K,10,FALSE),"")</f>
        <v/>
      </c>
      <c r="L1537" s="47" t="str">
        <f>IFERROR(VLOOKUP(G1537,WholesaleExtract!B:L,11,FALSE),"")</f>
        <v/>
      </c>
      <c r="M1537" s="47" t="str">
        <f>IFERROR(VLOOKUP(G1537,WholesaleExtract!B:M,12,FALSE),"")</f>
        <v/>
      </c>
      <c r="N1537" s="27"/>
      <c r="O1537" s="19"/>
      <c r="P1537" s="19"/>
      <c r="Q1537" s="47"/>
      <c r="R1537" s="19"/>
      <c r="S1537" s="19"/>
    </row>
    <row r="1538" spans="1:19" x14ac:dyDescent="0.35">
      <c r="A1538" s="26" t="s">
        <v>543</v>
      </c>
      <c r="B1538" s="26" t="s">
        <v>543</v>
      </c>
      <c r="C1538" s="26"/>
      <c r="D1538" s="26" t="s">
        <v>543</v>
      </c>
      <c r="E1538" s="26" t="str">
        <f>IFERROR(VLOOKUP(G1538,WholesaleExtract!B:J,9,FALSE),"")</f>
        <v/>
      </c>
      <c r="F1538" s="26" t="str">
        <f>IFERROR(VLOOKUP(G1538,WholesaleExtract!B:J,6,FALSE),"")</f>
        <v/>
      </c>
      <c r="G1538" s="46"/>
      <c r="H1538" s="47" t="str">
        <f>IFERROR(VLOOKUP(G1538,WholesaleExtract!B:L,11,FALSE),"")</f>
        <v/>
      </c>
      <c r="I1538" s="26" t="str">
        <f>IFERROR(VLOOKUP(G1538,WholesaleExtract!B:O,8,FALSE),"")</f>
        <v/>
      </c>
      <c r="J1538" s="26" t="str">
        <f>IFERROR(VLOOKUP(G1538,WholesaleExtract!B:O,14,FALSE),"")</f>
        <v/>
      </c>
      <c r="K1538" s="26" t="str">
        <f>IFERROR(VLOOKUP(G1538,WholesaleExtract!B:K,10,FALSE),"")</f>
        <v/>
      </c>
      <c r="L1538" s="47" t="str">
        <f>IFERROR(VLOOKUP(G1538,WholesaleExtract!B:L,11,FALSE),"")</f>
        <v/>
      </c>
      <c r="M1538" s="47" t="str">
        <f>IFERROR(VLOOKUP(G1538,WholesaleExtract!B:M,12,FALSE),"")</f>
        <v/>
      </c>
      <c r="N1538" s="27"/>
      <c r="O1538" s="19"/>
      <c r="P1538" s="19"/>
      <c r="Q1538" s="47"/>
      <c r="R1538" s="19"/>
      <c r="S1538" s="19"/>
    </row>
    <row r="1539" spans="1:19" x14ac:dyDescent="0.35">
      <c r="A1539" s="26" t="s">
        <v>543</v>
      </c>
      <c r="B1539" s="26" t="s">
        <v>543</v>
      </c>
      <c r="C1539" s="26"/>
      <c r="D1539" s="26" t="s">
        <v>543</v>
      </c>
      <c r="E1539" s="26" t="str">
        <f>IFERROR(VLOOKUP(G1539,WholesaleExtract!B:J,9,FALSE),"")</f>
        <v/>
      </c>
      <c r="F1539" s="26" t="str">
        <f>IFERROR(VLOOKUP(G1539,WholesaleExtract!B:J,6,FALSE),"")</f>
        <v/>
      </c>
      <c r="G1539" s="46"/>
      <c r="H1539" s="47" t="str">
        <f>IFERROR(VLOOKUP(G1539,WholesaleExtract!B:L,11,FALSE),"")</f>
        <v/>
      </c>
      <c r="I1539" s="26" t="str">
        <f>IFERROR(VLOOKUP(G1539,WholesaleExtract!B:O,8,FALSE),"")</f>
        <v/>
      </c>
      <c r="J1539" s="26" t="str">
        <f>IFERROR(VLOOKUP(G1539,WholesaleExtract!B:O,14,FALSE),"")</f>
        <v/>
      </c>
      <c r="K1539" s="26" t="str">
        <f>IFERROR(VLOOKUP(G1539,WholesaleExtract!B:K,10,FALSE),"")</f>
        <v/>
      </c>
      <c r="L1539" s="47" t="str">
        <f>IFERROR(VLOOKUP(G1539,WholesaleExtract!B:L,11,FALSE),"")</f>
        <v/>
      </c>
      <c r="M1539" s="47" t="str">
        <f>IFERROR(VLOOKUP(G1539,WholesaleExtract!B:M,12,FALSE),"")</f>
        <v/>
      </c>
      <c r="N1539" s="27"/>
      <c r="O1539" s="19"/>
      <c r="P1539" s="19"/>
      <c r="Q1539" s="47"/>
      <c r="R1539" s="19"/>
      <c r="S1539" s="19"/>
    </row>
    <row r="1540" spans="1:19" x14ac:dyDescent="0.35">
      <c r="A1540" s="26" t="s">
        <v>543</v>
      </c>
      <c r="B1540" s="26" t="s">
        <v>543</v>
      </c>
      <c r="C1540" s="26"/>
      <c r="D1540" s="26" t="s">
        <v>543</v>
      </c>
      <c r="E1540" s="26" t="str">
        <f>IFERROR(VLOOKUP(G1540,WholesaleExtract!B:J,9,FALSE),"")</f>
        <v/>
      </c>
      <c r="F1540" s="26" t="str">
        <f>IFERROR(VLOOKUP(G1540,WholesaleExtract!B:J,6,FALSE),"")</f>
        <v/>
      </c>
      <c r="G1540" s="46"/>
      <c r="H1540" s="47" t="str">
        <f>IFERROR(VLOOKUP(G1540,WholesaleExtract!B:L,11,FALSE),"")</f>
        <v/>
      </c>
      <c r="I1540" s="26" t="str">
        <f>IFERROR(VLOOKUP(G1540,WholesaleExtract!B:O,8,FALSE),"")</f>
        <v/>
      </c>
      <c r="J1540" s="26" t="str">
        <f>IFERROR(VLOOKUP(G1540,WholesaleExtract!B:O,14,FALSE),"")</f>
        <v/>
      </c>
      <c r="K1540" s="26" t="str">
        <f>IFERROR(VLOOKUP(G1540,WholesaleExtract!B:K,10,FALSE),"")</f>
        <v/>
      </c>
      <c r="L1540" s="47" t="str">
        <f>IFERROR(VLOOKUP(G1540,WholesaleExtract!B:L,11,FALSE),"")</f>
        <v/>
      </c>
      <c r="M1540" s="47" t="str">
        <f>IFERROR(VLOOKUP(G1540,WholesaleExtract!B:M,12,FALSE),"")</f>
        <v/>
      </c>
      <c r="N1540" s="27"/>
      <c r="O1540" s="19"/>
      <c r="P1540" s="19"/>
      <c r="Q1540" s="47"/>
      <c r="R1540" s="19"/>
      <c r="S1540" s="19"/>
    </row>
    <row r="1541" spans="1:19" x14ac:dyDescent="0.35">
      <c r="A1541" s="26" t="s">
        <v>543</v>
      </c>
      <c r="B1541" s="26" t="s">
        <v>543</v>
      </c>
      <c r="C1541" s="26"/>
      <c r="D1541" s="26" t="s">
        <v>543</v>
      </c>
      <c r="E1541" s="26" t="str">
        <f>IFERROR(VLOOKUP(G1541,WholesaleExtract!B:J,9,FALSE),"")</f>
        <v/>
      </c>
      <c r="F1541" s="26" t="str">
        <f>IFERROR(VLOOKUP(G1541,WholesaleExtract!B:J,6,FALSE),"")</f>
        <v/>
      </c>
      <c r="G1541" s="46"/>
      <c r="H1541" s="47" t="str">
        <f>IFERROR(VLOOKUP(G1541,WholesaleExtract!B:L,11,FALSE),"")</f>
        <v/>
      </c>
      <c r="I1541" s="26" t="str">
        <f>IFERROR(VLOOKUP(G1541,WholesaleExtract!B:O,8,FALSE),"")</f>
        <v/>
      </c>
      <c r="J1541" s="26" t="str">
        <f>IFERROR(VLOOKUP(G1541,WholesaleExtract!B:O,14,FALSE),"")</f>
        <v/>
      </c>
      <c r="K1541" s="26" t="str">
        <f>IFERROR(VLOOKUP(G1541,WholesaleExtract!B:K,10,FALSE),"")</f>
        <v/>
      </c>
      <c r="L1541" s="47" t="str">
        <f>IFERROR(VLOOKUP(G1541,WholesaleExtract!B:L,11,FALSE),"")</f>
        <v/>
      </c>
      <c r="M1541" s="47" t="str">
        <f>IFERROR(VLOOKUP(G1541,WholesaleExtract!B:M,12,FALSE),"")</f>
        <v/>
      </c>
      <c r="N1541" s="27"/>
      <c r="O1541" s="19"/>
      <c r="P1541" s="19"/>
      <c r="Q1541" s="47"/>
      <c r="R1541" s="19"/>
      <c r="S1541" s="19"/>
    </row>
    <row r="1542" spans="1:19" x14ac:dyDescent="0.35">
      <c r="A1542" s="26" t="s">
        <v>543</v>
      </c>
      <c r="B1542" s="26" t="s">
        <v>543</v>
      </c>
      <c r="C1542" s="26"/>
      <c r="D1542" s="26" t="s">
        <v>543</v>
      </c>
      <c r="E1542" s="26" t="str">
        <f>IFERROR(VLOOKUP(G1542,WholesaleExtract!B:J,9,FALSE),"")</f>
        <v/>
      </c>
      <c r="F1542" s="26" t="str">
        <f>IFERROR(VLOOKUP(G1542,WholesaleExtract!B:J,6,FALSE),"")</f>
        <v/>
      </c>
      <c r="G1542" s="46"/>
      <c r="H1542" s="47" t="str">
        <f>IFERROR(VLOOKUP(G1542,WholesaleExtract!B:L,11,FALSE),"")</f>
        <v/>
      </c>
      <c r="I1542" s="26" t="str">
        <f>IFERROR(VLOOKUP(G1542,WholesaleExtract!B:O,8,FALSE),"")</f>
        <v/>
      </c>
      <c r="J1542" s="26" t="str">
        <f>IFERROR(VLOOKUP(G1542,WholesaleExtract!B:O,14,FALSE),"")</f>
        <v/>
      </c>
      <c r="K1542" s="26" t="str">
        <f>IFERROR(VLOOKUP(G1542,WholesaleExtract!B:K,10,FALSE),"")</f>
        <v/>
      </c>
      <c r="L1542" s="47" t="str">
        <f>IFERROR(VLOOKUP(G1542,WholesaleExtract!B:L,11,FALSE),"")</f>
        <v/>
      </c>
      <c r="M1542" s="47" t="str">
        <f>IFERROR(VLOOKUP(G1542,WholesaleExtract!B:M,12,FALSE),"")</f>
        <v/>
      </c>
      <c r="N1542" s="27"/>
      <c r="O1542" s="19"/>
      <c r="P1542" s="19"/>
      <c r="Q1542" s="47"/>
      <c r="R1542" s="19"/>
      <c r="S1542" s="19"/>
    </row>
    <row r="1543" spans="1:19" x14ac:dyDescent="0.35">
      <c r="A1543" s="26" t="s">
        <v>543</v>
      </c>
      <c r="B1543" s="26" t="s">
        <v>543</v>
      </c>
      <c r="C1543" s="26"/>
      <c r="D1543" s="26" t="s">
        <v>543</v>
      </c>
      <c r="E1543" s="26" t="str">
        <f>IFERROR(VLOOKUP(G1543,WholesaleExtract!B:J,9,FALSE),"")</f>
        <v/>
      </c>
      <c r="F1543" s="26" t="str">
        <f>IFERROR(VLOOKUP(G1543,WholesaleExtract!B:J,6,FALSE),"")</f>
        <v/>
      </c>
      <c r="G1543" s="46"/>
      <c r="H1543" s="47" t="str">
        <f>IFERROR(VLOOKUP(G1543,WholesaleExtract!B:L,11,FALSE),"")</f>
        <v/>
      </c>
      <c r="I1543" s="26" t="str">
        <f>IFERROR(VLOOKUP(G1543,WholesaleExtract!B:O,8,FALSE),"")</f>
        <v/>
      </c>
      <c r="J1543" s="26" t="str">
        <f>IFERROR(VLOOKUP(G1543,WholesaleExtract!B:O,14,FALSE),"")</f>
        <v/>
      </c>
      <c r="K1543" s="26" t="str">
        <f>IFERROR(VLOOKUP(G1543,WholesaleExtract!B:K,10,FALSE),"")</f>
        <v/>
      </c>
      <c r="L1543" s="47" t="str">
        <f>IFERROR(VLOOKUP(G1543,WholesaleExtract!B:L,11,FALSE),"")</f>
        <v/>
      </c>
      <c r="M1543" s="47" t="str">
        <f>IFERROR(VLOOKUP(G1543,WholesaleExtract!B:M,12,FALSE),"")</f>
        <v/>
      </c>
      <c r="N1543" s="27"/>
      <c r="O1543" s="19"/>
      <c r="P1543" s="19"/>
      <c r="Q1543" s="47"/>
      <c r="R1543" s="19"/>
      <c r="S1543" s="19"/>
    </row>
    <row r="1544" spans="1:19" x14ac:dyDescent="0.35">
      <c r="A1544" s="26" t="s">
        <v>543</v>
      </c>
      <c r="B1544" s="26" t="s">
        <v>543</v>
      </c>
      <c r="C1544" s="26"/>
      <c r="D1544" s="26" t="s">
        <v>543</v>
      </c>
      <c r="E1544" s="26" t="str">
        <f>IFERROR(VLOOKUP(G1544,WholesaleExtract!B:J,9,FALSE),"")</f>
        <v/>
      </c>
      <c r="F1544" s="26" t="str">
        <f>IFERROR(VLOOKUP(G1544,WholesaleExtract!B:J,6,FALSE),"")</f>
        <v/>
      </c>
      <c r="G1544" s="46"/>
      <c r="H1544" s="47" t="str">
        <f>IFERROR(VLOOKUP(G1544,WholesaleExtract!B:L,11,FALSE),"")</f>
        <v/>
      </c>
      <c r="I1544" s="26" t="str">
        <f>IFERROR(VLOOKUP(G1544,WholesaleExtract!B:O,8,FALSE),"")</f>
        <v/>
      </c>
      <c r="J1544" s="26" t="str">
        <f>IFERROR(VLOOKUP(G1544,WholesaleExtract!B:O,14,FALSE),"")</f>
        <v/>
      </c>
      <c r="K1544" s="26" t="str">
        <f>IFERROR(VLOOKUP(G1544,WholesaleExtract!B:K,10,FALSE),"")</f>
        <v/>
      </c>
      <c r="L1544" s="47" t="str">
        <f>IFERROR(VLOOKUP(G1544,WholesaleExtract!B:L,11,FALSE),"")</f>
        <v/>
      </c>
      <c r="M1544" s="47" t="str">
        <f>IFERROR(VLOOKUP(G1544,WholesaleExtract!B:M,12,FALSE),"")</f>
        <v/>
      </c>
      <c r="N1544" s="27"/>
      <c r="O1544" s="19"/>
      <c r="P1544" s="19"/>
      <c r="Q1544" s="47"/>
      <c r="R1544" s="19"/>
      <c r="S1544" s="19"/>
    </row>
    <row r="1545" spans="1:19" x14ac:dyDescent="0.35">
      <c r="A1545" s="26" t="s">
        <v>543</v>
      </c>
      <c r="B1545" s="26" t="s">
        <v>543</v>
      </c>
      <c r="C1545" s="26"/>
      <c r="D1545" s="26" t="s">
        <v>543</v>
      </c>
      <c r="E1545" s="26" t="str">
        <f>IFERROR(VLOOKUP(G1545,WholesaleExtract!B:J,9,FALSE),"")</f>
        <v/>
      </c>
      <c r="F1545" s="26" t="str">
        <f>IFERROR(VLOOKUP(G1545,WholesaleExtract!B:J,6,FALSE),"")</f>
        <v/>
      </c>
      <c r="G1545" s="46"/>
      <c r="H1545" s="47" t="str">
        <f>IFERROR(VLOOKUP(G1545,WholesaleExtract!B:L,11,FALSE),"")</f>
        <v/>
      </c>
      <c r="I1545" s="26" t="str">
        <f>IFERROR(VLOOKUP(G1545,WholesaleExtract!B:O,8,FALSE),"")</f>
        <v/>
      </c>
      <c r="J1545" s="26" t="str">
        <f>IFERROR(VLOOKUP(G1545,WholesaleExtract!B:O,14,FALSE),"")</f>
        <v/>
      </c>
      <c r="K1545" s="26" t="str">
        <f>IFERROR(VLOOKUP(G1545,WholesaleExtract!B:K,10,FALSE),"")</f>
        <v/>
      </c>
      <c r="L1545" s="47" t="str">
        <f>IFERROR(VLOOKUP(G1545,WholesaleExtract!B:L,11,FALSE),"")</f>
        <v/>
      </c>
      <c r="M1545" s="47" t="str">
        <f>IFERROR(VLOOKUP(G1545,WholesaleExtract!B:M,12,FALSE),"")</f>
        <v/>
      </c>
      <c r="N1545" s="27"/>
      <c r="O1545" s="19"/>
      <c r="P1545" s="19"/>
      <c r="Q1545" s="47"/>
      <c r="R1545" s="19"/>
      <c r="S1545" s="19"/>
    </row>
    <row r="1546" spans="1:19" x14ac:dyDescent="0.35">
      <c r="A1546" s="26" t="s">
        <v>543</v>
      </c>
      <c r="B1546" s="26" t="s">
        <v>543</v>
      </c>
      <c r="C1546" s="26"/>
      <c r="D1546" s="26" t="s">
        <v>543</v>
      </c>
      <c r="E1546" s="26" t="str">
        <f>IFERROR(VLOOKUP(G1546,WholesaleExtract!B:J,9,FALSE),"")</f>
        <v/>
      </c>
      <c r="F1546" s="26" t="str">
        <f>IFERROR(VLOOKUP(G1546,WholesaleExtract!B:J,6,FALSE),"")</f>
        <v/>
      </c>
      <c r="G1546" s="46"/>
      <c r="H1546" s="47" t="str">
        <f>IFERROR(VLOOKUP(G1546,WholesaleExtract!B:L,11,FALSE),"")</f>
        <v/>
      </c>
      <c r="I1546" s="26" t="str">
        <f>IFERROR(VLOOKUP(G1546,WholesaleExtract!B:O,8,FALSE),"")</f>
        <v/>
      </c>
      <c r="J1546" s="26" t="str">
        <f>IFERROR(VLOOKUP(G1546,WholesaleExtract!B:O,14,FALSE),"")</f>
        <v/>
      </c>
      <c r="K1546" s="26" t="str">
        <f>IFERROR(VLOOKUP(G1546,WholesaleExtract!B:K,10,FALSE),"")</f>
        <v/>
      </c>
      <c r="L1546" s="47" t="str">
        <f>IFERROR(VLOOKUP(G1546,WholesaleExtract!B:L,11,FALSE),"")</f>
        <v/>
      </c>
      <c r="M1546" s="47" t="str">
        <f>IFERROR(VLOOKUP(G1546,WholesaleExtract!B:M,12,FALSE),"")</f>
        <v/>
      </c>
      <c r="N1546" s="27"/>
      <c r="O1546" s="19"/>
      <c r="P1546" s="19"/>
      <c r="Q1546" s="47"/>
      <c r="R1546" s="19"/>
      <c r="S1546" s="19"/>
    </row>
    <row r="1547" spans="1:19" x14ac:dyDescent="0.35">
      <c r="A1547" s="26" t="s">
        <v>543</v>
      </c>
      <c r="B1547" s="26" t="s">
        <v>543</v>
      </c>
      <c r="C1547" s="26"/>
      <c r="D1547" s="26" t="s">
        <v>543</v>
      </c>
      <c r="E1547" s="26" t="str">
        <f>IFERROR(VLOOKUP(G1547,WholesaleExtract!B:J,9,FALSE),"")</f>
        <v/>
      </c>
      <c r="F1547" s="26" t="str">
        <f>IFERROR(VLOOKUP(G1547,WholesaleExtract!B:J,6,FALSE),"")</f>
        <v/>
      </c>
      <c r="G1547" s="46"/>
      <c r="H1547" s="47" t="str">
        <f>IFERROR(VLOOKUP(G1547,WholesaleExtract!B:L,11,FALSE),"")</f>
        <v/>
      </c>
      <c r="I1547" s="26" t="str">
        <f>IFERROR(VLOOKUP(G1547,WholesaleExtract!B:O,8,FALSE),"")</f>
        <v/>
      </c>
      <c r="J1547" s="26" t="str">
        <f>IFERROR(VLOOKUP(G1547,WholesaleExtract!B:O,14,FALSE),"")</f>
        <v/>
      </c>
      <c r="K1547" s="26" t="str">
        <f>IFERROR(VLOOKUP(G1547,WholesaleExtract!B:K,10,FALSE),"")</f>
        <v/>
      </c>
      <c r="L1547" s="47" t="str">
        <f>IFERROR(VLOOKUP(G1547,WholesaleExtract!B:L,11,FALSE),"")</f>
        <v/>
      </c>
      <c r="M1547" s="47" t="str">
        <f>IFERROR(VLOOKUP(G1547,WholesaleExtract!B:M,12,FALSE),"")</f>
        <v/>
      </c>
      <c r="N1547" s="27"/>
      <c r="O1547" s="19"/>
      <c r="P1547" s="19"/>
      <c r="Q1547" s="47"/>
      <c r="R1547" s="19"/>
      <c r="S1547" s="19"/>
    </row>
    <row r="1548" spans="1:19" x14ac:dyDescent="0.35">
      <c r="A1548" s="26" t="s">
        <v>543</v>
      </c>
      <c r="B1548" s="26" t="s">
        <v>543</v>
      </c>
      <c r="C1548" s="26"/>
      <c r="D1548" s="26" t="s">
        <v>543</v>
      </c>
      <c r="E1548" s="26" t="str">
        <f>IFERROR(VLOOKUP(G1548,WholesaleExtract!B:J,9,FALSE),"")</f>
        <v/>
      </c>
      <c r="F1548" s="26" t="str">
        <f>IFERROR(VLOOKUP(G1548,WholesaleExtract!B:J,6,FALSE),"")</f>
        <v/>
      </c>
      <c r="G1548" s="46"/>
      <c r="H1548" s="47" t="str">
        <f>IFERROR(VLOOKUP(G1548,WholesaleExtract!B:L,11,FALSE),"")</f>
        <v/>
      </c>
      <c r="I1548" s="26" t="str">
        <f>IFERROR(VLOOKUP(G1548,WholesaleExtract!B:O,8,FALSE),"")</f>
        <v/>
      </c>
      <c r="J1548" s="26" t="str">
        <f>IFERROR(VLOOKUP(G1548,WholesaleExtract!B:O,14,FALSE),"")</f>
        <v/>
      </c>
      <c r="K1548" s="26" t="str">
        <f>IFERROR(VLOOKUP(G1548,WholesaleExtract!B:K,10,FALSE),"")</f>
        <v/>
      </c>
      <c r="L1548" s="47" t="str">
        <f>IFERROR(VLOOKUP(G1548,WholesaleExtract!B:L,11,FALSE),"")</f>
        <v/>
      </c>
      <c r="M1548" s="47" t="str">
        <f>IFERROR(VLOOKUP(G1548,WholesaleExtract!B:M,12,FALSE),"")</f>
        <v/>
      </c>
      <c r="N1548" s="27"/>
      <c r="O1548" s="19"/>
      <c r="P1548" s="19"/>
      <c r="Q1548" s="47"/>
      <c r="R1548" s="19"/>
      <c r="S1548" s="19"/>
    </row>
    <row r="1549" spans="1:19" x14ac:dyDescent="0.35">
      <c r="A1549" s="26" t="s">
        <v>543</v>
      </c>
      <c r="B1549" s="26" t="s">
        <v>543</v>
      </c>
      <c r="C1549" s="26"/>
      <c r="D1549" s="26" t="s">
        <v>543</v>
      </c>
      <c r="E1549" s="26" t="str">
        <f>IFERROR(VLOOKUP(G1549,WholesaleExtract!B:J,9,FALSE),"")</f>
        <v/>
      </c>
      <c r="F1549" s="26" t="str">
        <f>IFERROR(VLOOKUP(G1549,WholesaleExtract!B:J,6,FALSE),"")</f>
        <v/>
      </c>
      <c r="G1549" s="46"/>
      <c r="H1549" s="47" t="str">
        <f>IFERROR(VLOOKUP(G1549,WholesaleExtract!B:L,11,FALSE),"")</f>
        <v/>
      </c>
      <c r="I1549" s="26" t="str">
        <f>IFERROR(VLOOKUP(G1549,WholesaleExtract!B:O,8,FALSE),"")</f>
        <v/>
      </c>
      <c r="J1549" s="26" t="str">
        <f>IFERROR(VLOOKUP(G1549,WholesaleExtract!B:O,14,FALSE),"")</f>
        <v/>
      </c>
      <c r="K1549" s="26" t="str">
        <f>IFERROR(VLOOKUP(G1549,WholesaleExtract!B:K,10,FALSE),"")</f>
        <v/>
      </c>
      <c r="L1549" s="47" t="str">
        <f>IFERROR(VLOOKUP(G1549,WholesaleExtract!B:L,11,FALSE),"")</f>
        <v/>
      </c>
      <c r="M1549" s="47" t="str">
        <f>IFERROR(VLOOKUP(G1549,WholesaleExtract!B:M,12,FALSE),"")</f>
        <v/>
      </c>
      <c r="N1549" s="27"/>
      <c r="O1549" s="19"/>
      <c r="P1549" s="19"/>
      <c r="Q1549" s="47"/>
      <c r="R1549" s="19"/>
      <c r="S1549" s="19"/>
    </row>
    <row r="1550" spans="1:19" x14ac:dyDescent="0.35">
      <c r="A1550" s="26" t="s">
        <v>543</v>
      </c>
      <c r="B1550" s="26" t="s">
        <v>543</v>
      </c>
      <c r="C1550" s="26"/>
      <c r="D1550" s="26" t="s">
        <v>543</v>
      </c>
      <c r="E1550" s="26" t="str">
        <f>IFERROR(VLOOKUP(G1550,WholesaleExtract!B:J,9,FALSE),"")</f>
        <v/>
      </c>
      <c r="F1550" s="26" t="str">
        <f>IFERROR(VLOOKUP(G1550,WholesaleExtract!B:J,6,FALSE),"")</f>
        <v/>
      </c>
      <c r="G1550" s="46"/>
      <c r="H1550" s="47" t="str">
        <f>IFERROR(VLOOKUP(G1550,WholesaleExtract!B:L,11,FALSE),"")</f>
        <v/>
      </c>
      <c r="I1550" s="26" t="str">
        <f>IFERROR(VLOOKUP(G1550,WholesaleExtract!B:O,8,FALSE),"")</f>
        <v/>
      </c>
      <c r="J1550" s="26" t="str">
        <f>IFERROR(VLOOKUP(G1550,WholesaleExtract!B:O,14,FALSE),"")</f>
        <v/>
      </c>
      <c r="K1550" s="26" t="str">
        <f>IFERROR(VLOOKUP(G1550,WholesaleExtract!B:K,10,FALSE),"")</f>
        <v/>
      </c>
      <c r="L1550" s="47" t="str">
        <f>IFERROR(VLOOKUP(G1550,WholesaleExtract!B:L,11,FALSE),"")</f>
        <v/>
      </c>
      <c r="M1550" s="47" t="str">
        <f>IFERROR(VLOOKUP(G1550,WholesaleExtract!B:M,12,FALSE),"")</f>
        <v/>
      </c>
      <c r="N1550" s="27"/>
      <c r="O1550" s="19"/>
      <c r="P1550" s="19"/>
      <c r="Q1550" s="47"/>
      <c r="R1550" s="19"/>
      <c r="S1550" s="19"/>
    </row>
    <row r="1551" spans="1:19" x14ac:dyDescent="0.35">
      <c r="A1551" s="26" t="s">
        <v>543</v>
      </c>
      <c r="B1551" s="26" t="s">
        <v>543</v>
      </c>
      <c r="C1551" s="26"/>
      <c r="D1551" s="26" t="s">
        <v>543</v>
      </c>
      <c r="E1551" s="26" t="str">
        <f>IFERROR(VLOOKUP(G1551,WholesaleExtract!B:J,9,FALSE),"")</f>
        <v/>
      </c>
      <c r="F1551" s="26" t="str">
        <f>IFERROR(VLOOKUP(G1551,WholesaleExtract!B:J,6,FALSE),"")</f>
        <v/>
      </c>
      <c r="G1551" s="46"/>
      <c r="H1551" s="47" t="str">
        <f>IFERROR(VLOOKUP(G1551,WholesaleExtract!B:L,11,FALSE),"")</f>
        <v/>
      </c>
      <c r="I1551" s="26" t="str">
        <f>IFERROR(VLOOKUP(G1551,WholesaleExtract!B:O,8,FALSE),"")</f>
        <v/>
      </c>
      <c r="J1551" s="26" t="str">
        <f>IFERROR(VLOOKUP(G1551,WholesaleExtract!B:O,14,FALSE),"")</f>
        <v/>
      </c>
      <c r="K1551" s="26" t="str">
        <f>IFERROR(VLOOKUP(G1551,WholesaleExtract!B:K,10,FALSE),"")</f>
        <v/>
      </c>
      <c r="L1551" s="47" t="str">
        <f>IFERROR(VLOOKUP(G1551,WholesaleExtract!B:L,11,FALSE),"")</f>
        <v/>
      </c>
      <c r="M1551" s="47" t="str">
        <f>IFERROR(VLOOKUP(G1551,WholesaleExtract!B:M,12,FALSE),"")</f>
        <v/>
      </c>
      <c r="N1551" s="27"/>
      <c r="O1551" s="19"/>
      <c r="P1551" s="19"/>
      <c r="Q1551" s="47"/>
      <c r="R1551" s="19"/>
      <c r="S1551" s="19"/>
    </row>
    <row r="1552" spans="1:19" x14ac:dyDescent="0.35">
      <c r="A1552" s="26" t="s">
        <v>543</v>
      </c>
      <c r="B1552" s="26" t="s">
        <v>543</v>
      </c>
      <c r="C1552" s="26"/>
      <c r="D1552" s="26" t="s">
        <v>543</v>
      </c>
      <c r="E1552" s="26" t="str">
        <f>IFERROR(VLOOKUP(G1552,WholesaleExtract!B:J,9,FALSE),"")</f>
        <v/>
      </c>
      <c r="F1552" s="26" t="str">
        <f>IFERROR(VLOOKUP(G1552,WholesaleExtract!B:J,6,FALSE),"")</f>
        <v/>
      </c>
      <c r="G1552" s="46"/>
      <c r="H1552" s="47" t="str">
        <f>IFERROR(VLOOKUP(G1552,WholesaleExtract!B:L,11,FALSE),"")</f>
        <v/>
      </c>
      <c r="I1552" s="26" t="str">
        <f>IFERROR(VLOOKUP(G1552,WholesaleExtract!B:O,8,FALSE),"")</f>
        <v/>
      </c>
      <c r="J1552" s="26" t="str">
        <f>IFERROR(VLOOKUP(G1552,WholesaleExtract!B:O,14,FALSE),"")</f>
        <v/>
      </c>
      <c r="K1552" s="26" t="str">
        <f>IFERROR(VLOOKUP(G1552,WholesaleExtract!B:K,10,FALSE),"")</f>
        <v/>
      </c>
      <c r="L1552" s="47" t="str">
        <f>IFERROR(VLOOKUP(G1552,WholesaleExtract!B:L,11,FALSE),"")</f>
        <v/>
      </c>
      <c r="M1552" s="47" t="str">
        <f>IFERROR(VLOOKUP(G1552,WholesaleExtract!B:M,12,FALSE),"")</f>
        <v/>
      </c>
      <c r="N1552" s="27"/>
      <c r="O1552" s="19"/>
      <c r="P1552" s="19"/>
      <c r="Q1552" s="47"/>
      <c r="R1552" s="19"/>
      <c r="S1552" s="19"/>
    </row>
    <row r="1553" spans="1:19" x14ac:dyDescent="0.35">
      <c r="A1553" s="26" t="s">
        <v>543</v>
      </c>
      <c r="B1553" s="26" t="s">
        <v>543</v>
      </c>
      <c r="C1553" s="26"/>
      <c r="D1553" s="26" t="s">
        <v>543</v>
      </c>
      <c r="E1553" s="26" t="str">
        <f>IFERROR(VLOOKUP(G1553,WholesaleExtract!B:J,9,FALSE),"")</f>
        <v/>
      </c>
      <c r="F1553" s="26" t="str">
        <f>IFERROR(VLOOKUP(G1553,WholesaleExtract!B:J,6,FALSE),"")</f>
        <v/>
      </c>
      <c r="G1553" s="46"/>
      <c r="H1553" s="47" t="str">
        <f>IFERROR(VLOOKUP(G1553,WholesaleExtract!B:L,11,FALSE),"")</f>
        <v/>
      </c>
      <c r="I1553" s="26" t="str">
        <f>IFERROR(VLOOKUP(G1553,WholesaleExtract!B:O,8,FALSE),"")</f>
        <v/>
      </c>
      <c r="J1553" s="26" t="str">
        <f>IFERROR(VLOOKUP(G1553,WholesaleExtract!B:O,14,FALSE),"")</f>
        <v/>
      </c>
      <c r="K1553" s="26" t="str">
        <f>IFERROR(VLOOKUP(G1553,WholesaleExtract!B:K,10,FALSE),"")</f>
        <v/>
      </c>
      <c r="L1553" s="47" t="str">
        <f>IFERROR(VLOOKUP(G1553,WholesaleExtract!B:L,11,FALSE),"")</f>
        <v/>
      </c>
      <c r="M1553" s="47" t="str">
        <f>IFERROR(VLOOKUP(G1553,WholesaleExtract!B:M,12,FALSE),"")</f>
        <v/>
      </c>
      <c r="N1553" s="27"/>
      <c r="O1553" s="19"/>
      <c r="P1553" s="19"/>
      <c r="Q1553" s="47"/>
      <c r="R1553" s="19"/>
      <c r="S1553" s="19"/>
    </row>
    <row r="1554" spans="1:19" x14ac:dyDescent="0.35">
      <c r="A1554" s="26" t="s">
        <v>543</v>
      </c>
      <c r="B1554" s="26" t="s">
        <v>543</v>
      </c>
      <c r="C1554" s="26"/>
      <c r="D1554" s="26" t="s">
        <v>543</v>
      </c>
      <c r="E1554" s="26" t="str">
        <f>IFERROR(VLOOKUP(G1554,WholesaleExtract!B:J,9,FALSE),"")</f>
        <v/>
      </c>
      <c r="F1554" s="26" t="str">
        <f>IFERROR(VLOOKUP(G1554,WholesaleExtract!B:J,6,FALSE),"")</f>
        <v/>
      </c>
      <c r="G1554" s="46"/>
      <c r="H1554" s="47" t="str">
        <f>IFERROR(VLOOKUP(G1554,WholesaleExtract!B:L,11,FALSE),"")</f>
        <v/>
      </c>
      <c r="I1554" s="26" t="str">
        <f>IFERROR(VLOOKUP(G1554,WholesaleExtract!B:O,8,FALSE),"")</f>
        <v/>
      </c>
      <c r="J1554" s="26" t="str">
        <f>IFERROR(VLOOKUP(G1554,WholesaleExtract!B:O,14,FALSE),"")</f>
        <v/>
      </c>
      <c r="K1554" s="26" t="str">
        <f>IFERROR(VLOOKUP(G1554,WholesaleExtract!B:K,10,FALSE),"")</f>
        <v/>
      </c>
      <c r="L1554" s="47" t="str">
        <f>IFERROR(VLOOKUP(G1554,WholesaleExtract!B:L,11,FALSE),"")</f>
        <v/>
      </c>
      <c r="M1554" s="47" t="str">
        <f>IFERROR(VLOOKUP(G1554,WholesaleExtract!B:M,12,FALSE),"")</f>
        <v/>
      </c>
      <c r="N1554" s="27"/>
      <c r="O1554" s="19"/>
      <c r="P1554" s="19"/>
      <c r="Q1554" s="47"/>
      <c r="R1554" s="19"/>
      <c r="S1554" s="19"/>
    </row>
    <row r="1555" spans="1:19" x14ac:dyDescent="0.35">
      <c r="A1555" s="26" t="s">
        <v>543</v>
      </c>
      <c r="B1555" s="26" t="s">
        <v>543</v>
      </c>
      <c r="C1555" s="26"/>
      <c r="D1555" s="26" t="s">
        <v>543</v>
      </c>
      <c r="E1555" s="26" t="str">
        <f>IFERROR(VLOOKUP(G1555,WholesaleExtract!B:J,9,FALSE),"")</f>
        <v/>
      </c>
      <c r="F1555" s="26" t="str">
        <f>IFERROR(VLOOKUP(G1555,WholesaleExtract!B:J,6,FALSE),"")</f>
        <v/>
      </c>
      <c r="G1555" s="46"/>
      <c r="H1555" s="47" t="str">
        <f>IFERROR(VLOOKUP(G1555,WholesaleExtract!B:L,11,FALSE),"")</f>
        <v/>
      </c>
      <c r="I1555" s="26" t="str">
        <f>IFERROR(VLOOKUP(G1555,WholesaleExtract!B:O,8,FALSE),"")</f>
        <v/>
      </c>
      <c r="J1555" s="26" t="str">
        <f>IFERROR(VLOOKUP(G1555,WholesaleExtract!B:O,14,FALSE),"")</f>
        <v/>
      </c>
      <c r="K1555" s="26" t="str">
        <f>IFERROR(VLOOKUP(G1555,WholesaleExtract!B:K,10,FALSE),"")</f>
        <v/>
      </c>
      <c r="L1555" s="47" t="str">
        <f>IFERROR(VLOOKUP(G1555,WholesaleExtract!B:L,11,FALSE),"")</f>
        <v/>
      </c>
      <c r="M1555" s="47" t="str">
        <f>IFERROR(VLOOKUP(G1555,WholesaleExtract!B:M,12,FALSE),"")</f>
        <v/>
      </c>
      <c r="N1555" s="27"/>
      <c r="O1555" s="19"/>
      <c r="P1555" s="19"/>
      <c r="Q1555" s="47"/>
      <c r="R1555" s="19"/>
      <c r="S1555" s="19"/>
    </row>
    <row r="1556" spans="1:19" x14ac:dyDescent="0.35">
      <c r="A1556" s="26" t="s">
        <v>543</v>
      </c>
      <c r="B1556" s="26" t="s">
        <v>543</v>
      </c>
      <c r="C1556" s="26"/>
      <c r="D1556" s="26" t="s">
        <v>543</v>
      </c>
      <c r="E1556" s="26" t="str">
        <f>IFERROR(VLOOKUP(G1556,WholesaleExtract!B:J,9,FALSE),"")</f>
        <v/>
      </c>
      <c r="F1556" s="26" t="str">
        <f>IFERROR(VLOOKUP(G1556,WholesaleExtract!B:J,6,FALSE),"")</f>
        <v/>
      </c>
      <c r="G1556" s="46"/>
      <c r="H1556" s="47" t="str">
        <f>IFERROR(VLOOKUP(G1556,WholesaleExtract!B:L,11,FALSE),"")</f>
        <v/>
      </c>
      <c r="I1556" s="26" t="str">
        <f>IFERROR(VLOOKUP(G1556,WholesaleExtract!B:O,8,FALSE),"")</f>
        <v/>
      </c>
      <c r="J1556" s="26" t="str">
        <f>IFERROR(VLOOKUP(G1556,WholesaleExtract!B:O,14,FALSE),"")</f>
        <v/>
      </c>
      <c r="K1556" s="26" t="str">
        <f>IFERROR(VLOOKUP(G1556,WholesaleExtract!B:K,10,FALSE),"")</f>
        <v/>
      </c>
      <c r="L1556" s="47" t="str">
        <f>IFERROR(VLOOKUP(G1556,WholesaleExtract!B:L,11,FALSE),"")</f>
        <v/>
      </c>
      <c r="M1556" s="47" t="str">
        <f>IFERROR(VLOOKUP(G1556,WholesaleExtract!B:M,12,FALSE),"")</f>
        <v/>
      </c>
      <c r="N1556" s="27"/>
      <c r="O1556" s="19"/>
      <c r="P1556" s="19"/>
      <c r="Q1556" s="47"/>
      <c r="R1556" s="19"/>
      <c r="S1556" s="19"/>
    </row>
    <row r="1557" spans="1:19" x14ac:dyDescent="0.35">
      <c r="A1557" s="26" t="s">
        <v>543</v>
      </c>
      <c r="B1557" s="26" t="s">
        <v>543</v>
      </c>
      <c r="C1557" s="26"/>
      <c r="D1557" s="26" t="s">
        <v>543</v>
      </c>
      <c r="E1557" s="26" t="str">
        <f>IFERROR(VLOOKUP(G1557,WholesaleExtract!B:J,9,FALSE),"")</f>
        <v/>
      </c>
      <c r="F1557" s="26" t="str">
        <f>IFERROR(VLOOKUP(G1557,WholesaleExtract!B:J,6,FALSE),"")</f>
        <v/>
      </c>
      <c r="G1557" s="46"/>
      <c r="H1557" s="47" t="str">
        <f>IFERROR(VLOOKUP(G1557,WholesaleExtract!B:L,11,FALSE),"")</f>
        <v/>
      </c>
      <c r="I1557" s="26" t="str">
        <f>IFERROR(VLOOKUP(G1557,WholesaleExtract!B:O,8,FALSE),"")</f>
        <v/>
      </c>
      <c r="J1557" s="26" t="str">
        <f>IFERROR(VLOOKUP(G1557,WholesaleExtract!B:O,14,FALSE),"")</f>
        <v/>
      </c>
      <c r="K1557" s="26" t="str">
        <f>IFERROR(VLOOKUP(G1557,WholesaleExtract!B:K,10,FALSE),"")</f>
        <v/>
      </c>
      <c r="L1557" s="47" t="str">
        <f>IFERROR(VLOOKUP(G1557,WholesaleExtract!B:L,11,FALSE),"")</f>
        <v/>
      </c>
      <c r="M1557" s="47" t="str">
        <f>IFERROR(VLOOKUP(G1557,WholesaleExtract!B:M,12,FALSE),"")</f>
        <v/>
      </c>
      <c r="N1557" s="27"/>
      <c r="O1557" s="19"/>
      <c r="P1557" s="19"/>
      <c r="Q1557" s="47"/>
      <c r="R1557" s="19"/>
      <c r="S1557" s="19"/>
    </row>
    <row r="1558" spans="1:19" x14ac:dyDescent="0.35">
      <c r="A1558" s="26" t="s">
        <v>543</v>
      </c>
      <c r="B1558" s="26" t="s">
        <v>543</v>
      </c>
      <c r="C1558" s="26"/>
      <c r="D1558" s="26" t="s">
        <v>543</v>
      </c>
      <c r="E1558" s="26" t="str">
        <f>IFERROR(VLOOKUP(G1558,WholesaleExtract!B:J,9,FALSE),"")</f>
        <v/>
      </c>
      <c r="F1558" s="26" t="str">
        <f>IFERROR(VLOOKUP(G1558,WholesaleExtract!B:J,6,FALSE),"")</f>
        <v/>
      </c>
      <c r="G1558" s="46"/>
      <c r="H1558" s="47" t="str">
        <f>IFERROR(VLOOKUP(G1558,WholesaleExtract!B:L,11,FALSE),"")</f>
        <v/>
      </c>
      <c r="I1558" s="26" t="str">
        <f>IFERROR(VLOOKUP(G1558,WholesaleExtract!B:O,8,FALSE),"")</f>
        <v/>
      </c>
      <c r="J1558" s="26" t="str">
        <f>IFERROR(VLOOKUP(G1558,WholesaleExtract!B:O,14,FALSE),"")</f>
        <v/>
      </c>
      <c r="K1558" s="26" t="str">
        <f>IFERROR(VLOOKUP(G1558,WholesaleExtract!B:K,10,FALSE),"")</f>
        <v/>
      </c>
      <c r="L1558" s="47" t="str">
        <f>IFERROR(VLOOKUP(G1558,WholesaleExtract!B:L,11,FALSE),"")</f>
        <v/>
      </c>
      <c r="M1558" s="47" t="str">
        <f>IFERROR(VLOOKUP(G1558,WholesaleExtract!B:M,12,FALSE),"")</f>
        <v/>
      </c>
      <c r="N1558" s="27"/>
      <c r="O1558" s="19"/>
      <c r="P1558" s="19"/>
      <c r="Q1558" s="47"/>
      <c r="R1558" s="19"/>
      <c r="S1558" s="19"/>
    </row>
    <row r="1559" spans="1:19" x14ac:dyDescent="0.35">
      <c r="A1559" s="26" t="s">
        <v>543</v>
      </c>
      <c r="B1559" s="26" t="s">
        <v>543</v>
      </c>
      <c r="C1559" s="26"/>
      <c r="D1559" s="26" t="s">
        <v>543</v>
      </c>
      <c r="E1559" s="26" t="str">
        <f>IFERROR(VLOOKUP(G1559,WholesaleExtract!B:J,9,FALSE),"")</f>
        <v/>
      </c>
      <c r="F1559" s="26" t="str">
        <f>IFERROR(VLOOKUP(G1559,WholesaleExtract!B:J,6,FALSE),"")</f>
        <v/>
      </c>
      <c r="G1559" s="46"/>
      <c r="H1559" s="47" t="str">
        <f>IFERROR(VLOOKUP(G1559,WholesaleExtract!B:L,11,FALSE),"")</f>
        <v/>
      </c>
      <c r="I1559" s="26" t="str">
        <f>IFERROR(VLOOKUP(G1559,WholesaleExtract!B:O,8,FALSE),"")</f>
        <v/>
      </c>
      <c r="J1559" s="26" t="str">
        <f>IFERROR(VLOOKUP(G1559,WholesaleExtract!B:O,14,FALSE),"")</f>
        <v/>
      </c>
      <c r="K1559" s="26" t="str">
        <f>IFERROR(VLOOKUP(G1559,WholesaleExtract!B:K,10,FALSE),"")</f>
        <v/>
      </c>
      <c r="L1559" s="47" t="str">
        <f>IFERROR(VLOOKUP(G1559,WholesaleExtract!B:L,11,FALSE),"")</f>
        <v/>
      </c>
      <c r="M1559" s="47" t="str">
        <f>IFERROR(VLOOKUP(G1559,WholesaleExtract!B:M,12,FALSE),"")</f>
        <v/>
      </c>
      <c r="N1559" s="27"/>
      <c r="O1559" s="19"/>
      <c r="P1559" s="19"/>
      <c r="Q1559" s="47"/>
      <c r="R1559" s="19"/>
      <c r="S1559" s="19"/>
    </row>
    <row r="1560" spans="1:19" x14ac:dyDescent="0.35">
      <c r="A1560" s="26" t="s">
        <v>543</v>
      </c>
      <c r="B1560" s="26" t="s">
        <v>543</v>
      </c>
      <c r="C1560" s="26"/>
      <c r="D1560" s="26" t="s">
        <v>543</v>
      </c>
      <c r="E1560" s="26" t="str">
        <f>IFERROR(VLOOKUP(G1560,WholesaleExtract!B:J,9,FALSE),"")</f>
        <v/>
      </c>
      <c r="F1560" s="26" t="str">
        <f>IFERROR(VLOOKUP(G1560,WholesaleExtract!B:J,6,FALSE),"")</f>
        <v/>
      </c>
      <c r="G1560" s="46"/>
      <c r="H1560" s="47" t="str">
        <f>IFERROR(VLOOKUP(G1560,WholesaleExtract!B:L,11,FALSE),"")</f>
        <v/>
      </c>
      <c r="I1560" s="26" t="str">
        <f>IFERROR(VLOOKUP(G1560,WholesaleExtract!B:O,8,FALSE),"")</f>
        <v/>
      </c>
      <c r="J1560" s="26" t="str">
        <f>IFERROR(VLOOKUP(G1560,WholesaleExtract!B:O,14,FALSE),"")</f>
        <v/>
      </c>
      <c r="K1560" s="26" t="str">
        <f>IFERROR(VLOOKUP(G1560,WholesaleExtract!B:K,10,FALSE),"")</f>
        <v/>
      </c>
      <c r="L1560" s="47" t="str">
        <f>IFERROR(VLOOKUP(G1560,WholesaleExtract!B:L,11,FALSE),"")</f>
        <v/>
      </c>
      <c r="M1560" s="47" t="str">
        <f>IFERROR(VLOOKUP(G1560,WholesaleExtract!B:M,12,FALSE),"")</f>
        <v/>
      </c>
      <c r="N1560" s="27"/>
      <c r="O1560" s="19"/>
      <c r="P1560" s="19"/>
      <c r="Q1560" s="47"/>
      <c r="R1560" s="19"/>
      <c r="S1560" s="19"/>
    </row>
    <row r="1561" spans="1:19" x14ac:dyDescent="0.35">
      <c r="A1561" s="26" t="s">
        <v>543</v>
      </c>
      <c r="B1561" s="26" t="s">
        <v>543</v>
      </c>
      <c r="C1561" s="26"/>
      <c r="D1561" s="26" t="s">
        <v>543</v>
      </c>
      <c r="E1561" s="26" t="str">
        <f>IFERROR(VLOOKUP(G1561,WholesaleExtract!B:J,9,FALSE),"")</f>
        <v/>
      </c>
      <c r="F1561" s="26" t="str">
        <f>IFERROR(VLOOKUP(G1561,WholesaleExtract!B:J,6,FALSE),"")</f>
        <v/>
      </c>
      <c r="G1561" s="46"/>
      <c r="H1561" s="47" t="str">
        <f>IFERROR(VLOOKUP(G1561,WholesaleExtract!B:L,11,FALSE),"")</f>
        <v/>
      </c>
      <c r="I1561" s="26" t="str">
        <f>IFERROR(VLOOKUP(G1561,WholesaleExtract!B:O,8,FALSE),"")</f>
        <v/>
      </c>
      <c r="J1561" s="26" t="str">
        <f>IFERROR(VLOOKUP(G1561,WholesaleExtract!B:O,14,FALSE),"")</f>
        <v/>
      </c>
      <c r="K1561" s="26" t="str">
        <f>IFERROR(VLOOKUP(G1561,WholesaleExtract!B:K,10,FALSE),"")</f>
        <v/>
      </c>
      <c r="L1561" s="47" t="str">
        <f>IFERROR(VLOOKUP(G1561,WholesaleExtract!B:L,11,FALSE),"")</f>
        <v/>
      </c>
      <c r="M1561" s="47" t="str">
        <f>IFERROR(VLOOKUP(G1561,WholesaleExtract!B:M,12,FALSE),"")</f>
        <v/>
      </c>
      <c r="N1561" s="27"/>
      <c r="O1561" s="19"/>
      <c r="P1561" s="19"/>
      <c r="Q1561" s="47"/>
      <c r="R1561" s="19"/>
      <c r="S1561" s="19"/>
    </row>
    <row r="1562" spans="1:19" x14ac:dyDescent="0.35">
      <c r="A1562" s="26" t="s">
        <v>543</v>
      </c>
      <c r="B1562" s="26" t="s">
        <v>543</v>
      </c>
      <c r="C1562" s="26"/>
      <c r="D1562" s="26" t="s">
        <v>543</v>
      </c>
      <c r="E1562" s="26" t="str">
        <f>IFERROR(VLOOKUP(G1562,WholesaleExtract!B:J,9,FALSE),"")</f>
        <v/>
      </c>
      <c r="F1562" s="26" t="str">
        <f>IFERROR(VLOOKUP(G1562,WholesaleExtract!B:J,6,FALSE),"")</f>
        <v/>
      </c>
      <c r="G1562" s="46"/>
      <c r="H1562" s="47" t="str">
        <f>IFERROR(VLOOKUP(G1562,WholesaleExtract!B:L,11,FALSE),"")</f>
        <v/>
      </c>
      <c r="I1562" s="26" t="str">
        <f>IFERROR(VLOOKUP(G1562,WholesaleExtract!B:O,8,FALSE),"")</f>
        <v/>
      </c>
      <c r="J1562" s="26" t="str">
        <f>IFERROR(VLOOKUP(G1562,WholesaleExtract!B:O,14,FALSE),"")</f>
        <v/>
      </c>
      <c r="K1562" s="26" t="str">
        <f>IFERROR(VLOOKUP(G1562,WholesaleExtract!B:K,10,FALSE),"")</f>
        <v/>
      </c>
      <c r="L1562" s="47" t="str">
        <f>IFERROR(VLOOKUP(G1562,WholesaleExtract!B:L,11,FALSE),"")</f>
        <v/>
      </c>
      <c r="M1562" s="47" t="str">
        <f>IFERROR(VLOOKUP(G1562,WholesaleExtract!B:M,12,FALSE),"")</f>
        <v/>
      </c>
      <c r="N1562" s="27"/>
      <c r="O1562" s="19"/>
      <c r="P1562" s="19"/>
      <c r="Q1562" s="47"/>
      <c r="R1562" s="19"/>
      <c r="S1562" s="19"/>
    </row>
    <row r="1563" spans="1:19" x14ac:dyDescent="0.35">
      <c r="A1563" s="26" t="s">
        <v>543</v>
      </c>
      <c r="B1563" s="26" t="s">
        <v>543</v>
      </c>
      <c r="C1563" s="26"/>
      <c r="D1563" s="26" t="s">
        <v>543</v>
      </c>
      <c r="E1563" s="26" t="str">
        <f>IFERROR(VLOOKUP(G1563,WholesaleExtract!B:J,9,FALSE),"")</f>
        <v/>
      </c>
      <c r="F1563" s="26" t="str">
        <f>IFERROR(VLOOKUP(G1563,WholesaleExtract!B:J,6,FALSE),"")</f>
        <v/>
      </c>
      <c r="G1563" s="46"/>
      <c r="H1563" s="47" t="str">
        <f>IFERROR(VLOOKUP(G1563,WholesaleExtract!B:L,11,FALSE),"")</f>
        <v/>
      </c>
      <c r="I1563" s="26" t="str">
        <f>IFERROR(VLOOKUP(G1563,WholesaleExtract!B:O,8,FALSE),"")</f>
        <v/>
      </c>
      <c r="J1563" s="26" t="str">
        <f>IFERROR(VLOOKUP(G1563,WholesaleExtract!B:O,14,FALSE),"")</f>
        <v/>
      </c>
      <c r="K1563" s="26" t="str">
        <f>IFERROR(VLOOKUP(G1563,WholesaleExtract!B:K,10,FALSE),"")</f>
        <v/>
      </c>
      <c r="L1563" s="47" t="str">
        <f>IFERROR(VLOOKUP(G1563,WholesaleExtract!B:L,11,FALSE),"")</f>
        <v/>
      </c>
      <c r="M1563" s="47" t="str">
        <f>IFERROR(VLOOKUP(G1563,WholesaleExtract!B:M,12,FALSE),"")</f>
        <v/>
      </c>
      <c r="N1563" s="27"/>
      <c r="O1563" s="19"/>
      <c r="P1563" s="19"/>
      <c r="Q1563" s="47"/>
      <c r="R1563" s="19"/>
      <c r="S1563" s="19"/>
    </row>
    <row r="1564" spans="1:19" x14ac:dyDescent="0.35">
      <c r="A1564" s="26" t="s">
        <v>543</v>
      </c>
      <c r="B1564" s="26" t="s">
        <v>543</v>
      </c>
      <c r="C1564" s="26"/>
      <c r="D1564" s="26" t="s">
        <v>543</v>
      </c>
      <c r="E1564" s="26" t="str">
        <f>IFERROR(VLOOKUP(G1564,WholesaleExtract!B:J,9,FALSE),"")</f>
        <v/>
      </c>
      <c r="F1564" s="26" t="str">
        <f>IFERROR(VLOOKUP(G1564,WholesaleExtract!B:J,6,FALSE),"")</f>
        <v/>
      </c>
      <c r="G1564" s="46"/>
      <c r="H1564" s="47" t="str">
        <f>IFERROR(VLOOKUP(G1564,WholesaleExtract!B:L,11,FALSE),"")</f>
        <v/>
      </c>
      <c r="I1564" s="26" t="str">
        <f>IFERROR(VLOOKUP(G1564,WholesaleExtract!B:O,8,FALSE),"")</f>
        <v/>
      </c>
      <c r="J1564" s="26" t="str">
        <f>IFERROR(VLOOKUP(G1564,WholesaleExtract!B:O,14,FALSE),"")</f>
        <v/>
      </c>
      <c r="K1564" s="26" t="str">
        <f>IFERROR(VLOOKUP(G1564,WholesaleExtract!B:K,10,FALSE),"")</f>
        <v/>
      </c>
      <c r="L1564" s="47" t="str">
        <f>IFERROR(VLOOKUP(G1564,WholesaleExtract!B:L,11,FALSE),"")</f>
        <v/>
      </c>
      <c r="M1564" s="47" t="str">
        <f>IFERROR(VLOOKUP(G1564,WholesaleExtract!B:M,12,FALSE),"")</f>
        <v/>
      </c>
      <c r="N1564" s="27"/>
      <c r="O1564" s="19"/>
      <c r="P1564" s="19"/>
      <c r="Q1564" s="47"/>
      <c r="R1564" s="19"/>
      <c r="S1564" s="19"/>
    </row>
    <row r="1565" spans="1:19" x14ac:dyDescent="0.35">
      <c r="A1565" s="26" t="s">
        <v>543</v>
      </c>
      <c r="B1565" s="26" t="s">
        <v>543</v>
      </c>
      <c r="C1565" s="26"/>
      <c r="D1565" s="26" t="s">
        <v>543</v>
      </c>
      <c r="E1565" s="26" t="str">
        <f>IFERROR(VLOOKUP(G1565,WholesaleExtract!B:J,9,FALSE),"")</f>
        <v/>
      </c>
      <c r="F1565" s="26" t="str">
        <f>IFERROR(VLOOKUP(G1565,WholesaleExtract!B:J,6,FALSE),"")</f>
        <v/>
      </c>
      <c r="G1565" s="46"/>
      <c r="H1565" s="47" t="str">
        <f>IFERROR(VLOOKUP(G1565,WholesaleExtract!B:L,11,FALSE),"")</f>
        <v/>
      </c>
      <c r="I1565" s="26" t="str">
        <f>IFERROR(VLOOKUP(G1565,WholesaleExtract!B:O,8,FALSE),"")</f>
        <v/>
      </c>
      <c r="J1565" s="26" t="str">
        <f>IFERROR(VLOOKUP(G1565,WholesaleExtract!B:O,14,FALSE),"")</f>
        <v/>
      </c>
      <c r="K1565" s="26" t="str">
        <f>IFERROR(VLOOKUP(G1565,WholesaleExtract!B:K,10,FALSE),"")</f>
        <v/>
      </c>
      <c r="L1565" s="47" t="str">
        <f>IFERROR(VLOOKUP(G1565,WholesaleExtract!B:L,11,FALSE),"")</f>
        <v/>
      </c>
      <c r="M1565" s="47" t="str">
        <f>IFERROR(VLOOKUP(G1565,WholesaleExtract!B:M,12,FALSE),"")</f>
        <v/>
      </c>
      <c r="N1565" s="27"/>
      <c r="O1565" s="19"/>
      <c r="P1565" s="19"/>
      <c r="Q1565" s="47"/>
      <c r="R1565" s="19"/>
      <c r="S1565" s="19"/>
    </row>
    <row r="1566" spans="1:19" x14ac:dyDescent="0.35">
      <c r="A1566" s="26" t="s">
        <v>543</v>
      </c>
      <c r="B1566" s="26" t="s">
        <v>543</v>
      </c>
      <c r="C1566" s="26"/>
      <c r="D1566" s="26" t="s">
        <v>543</v>
      </c>
      <c r="E1566" s="26" t="str">
        <f>IFERROR(VLOOKUP(G1566,WholesaleExtract!B:J,9,FALSE),"")</f>
        <v/>
      </c>
      <c r="F1566" s="26" t="str">
        <f>IFERROR(VLOOKUP(G1566,WholesaleExtract!B:J,6,FALSE),"")</f>
        <v/>
      </c>
      <c r="G1566" s="46"/>
      <c r="H1566" s="47" t="str">
        <f>IFERROR(VLOOKUP(G1566,WholesaleExtract!B:L,11,FALSE),"")</f>
        <v/>
      </c>
      <c r="I1566" s="26" t="str">
        <f>IFERROR(VLOOKUP(G1566,WholesaleExtract!B:O,8,FALSE),"")</f>
        <v/>
      </c>
      <c r="J1566" s="26" t="str">
        <f>IFERROR(VLOOKUP(G1566,WholesaleExtract!B:O,14,FALSE),"")</f>
        <v/>
      </c>
      <c r="K1566" s="26" t="str">
        <f>IFERROR(VLOOKUP(G1566,WholesaleExtract!B:K,10,FALSE),"")</f>
        <v/>
      </c>
      <c r="L1566" s="47" t="str">
        <f>IFERROR(VLOOKUP(G1566,WholesaleExtract!B:L,11,FALSE),"")</f>
        <v/>
      </c>
      <c r="M1566" s="47" t="str">
        <f>IFERROR(VLOOKUP(G1566,WholesaleExtract!B:M,12,FALSE),"")</f>
        <v/>
      </c>
      <c r="N1566" s="27"/>
      <c r="O1566" s="19"/>
      <c r="P1566" s="19"/>
      <c r="Q1566" s="47"/>
      <c r="R1566" s="19"/>
      <c r="S1566" s="19"/>
    </row>
    <row r="1567" spans="1:19" x14ac:dyDescent="0.35">
      <c r="A1567" s="26" t="s">
        <v>543</v>
      </c>
      <c r="B1567" s="26" t="s">
        <v>543</v>
      </c>
      <c r="C1567" s="26"/>
      <c r="D1567" s="26" t="s">
        <v>543</v>
      </c>
      <c r="E1567" s="26" t="str">
        <f>IFERROR(VLOOKUP(G1567,WholesaleExtract!B:J,9,FALSE),"")</f>
        <v/>
      </c>
      <c r="F1567" s="26" t="str">
        <f>IFERROR(VLOOKUP(G1567,WholesaleExtract!B:J,6,FALSE),"")</f>
        <v/>
      </c>
      <c r="G1567" s="46"/>
      <c r="H1567" s="47" t="str">
        <f>IFERROR(VLOOKUP(G1567,WholesaleExtract!B:L,11,FALSE),"")</f>
        <v/>
      </c>
      <c r="I1567" s="26" t="str">
        <f>IFERROR(VLOOKUP(G1567,WholesaleExtract!B:O,8,FALSE),"")</f>
        <v/>
      </c>
      <c r="J1567" s="26" t="str">
        <f>IFERROR(VLOOKUP(G1567,WholesaleExtract!B:O,14,FALSE),"")</f>
        <v/>
      </c>
      <c r="K1567" s="26" t="str">
        <f>IFERROR(VLOOKUP(G1567,WholesaleExtract!B:K,10,FALSE),"")</f>
        <v/>
      </c>
      <c r="L1567" s="47" t="str">
        <f>IFERROR(VLOOKUP(G1567,WholesaleExtract!B:L,11,FALSE),"")</f>
        <v/>
      </c>
      <c r="M1567" s="47" t="str">
        <f>IFERROR(VLOOKUP(G1567,WholesaleExtract!B:M,12,FALSE),"")</f>
        <v/>
      </c>
      <c r="N1567" s="27"/>
      <c r="O1567" s="19"/>
      <c r="P1567" s="19"/>
      <c r="Q1567" s="47"/>
      <c r="R1567" s="19"/>
      <c r="S1567" s="19"/>
    </row>
    <row r="1568" spans="1:19" x14ac:dyDescent="0.35">
      <c r="A1568" s="26" t="s">
        <v>543</v>
      </c>
      <c r="B1568" s="26" t="s">
        <v>543</v>
      </c>
      <c r="C1568" s="26"/>
      <c r="D1568" s="26" t="s">
        <v>543</v>
      </c>
      <c r="E1568" s="26" t="str">
        <f>IFERROR(VLOOKUP(G1568,WholesaleExtract!B:J,9,FALSE),"")</f>
        <v/>
      </c>
      <c r="F1568" s="26" t="str">
        <f>IFERROR(VLOOKUP(G1568,WholesaleExtract!B:J,6,FALSE),"")</f>
        <v/>
      </c>
      <c r="G1568" s="46"/>
      <c r="H1568" s="47" t="str">
        <f>IFERROR(VLOOKUP(G1568,WholesaleExtract!B:L,11,FALSE),"")</f>
        <v/>
      </c>
      <c r="I1568" s="26" t="str">
        <f>IFERROR(VLOOKUP(G1568,WholesaleExtract!B:O,8,FALSE),"")</f>
        <v/>
      </c>
      <c r="J1568" s="26" t="str">
        <f>IFERROR(VLOOKUP(G1568,WholesaleExtract!B:O,14,FALSE),"")</f>
        <v/>
      </c>
      <c r="K1568" s="26" t="str">
        <f>IFERROR(VLOOKUP(G1568,WholesaleExtract!B:K,10,FALSE),"")</f>
        <v/>
      </c>
      <c r="L1568" s="47" t="str">
        <f>IFERROR(VLOOKUP(G1568,WholesaleExtract!B:L,11,FALSE),"")</f>
        <v/>
      </c>
      <c r="M1568" s="47" t="str">
        <f>IFERROR(VLOOKUP(G1568,WholesaleExtract!B:M,12,FALSE),"")</f>
        <v/>
      </c>
      <c r="N1568" s="27"/>
      <c r="O1568" s="19"/>
      <c r="P1568" s="19"/>
      <c r="Q1568" s="47"/>
      <c r="R1568" s="19"/>
      <c r="S1568" s="19"/>
    </row>
    <row r="1569" spans="1:19" x14ac:dyDescent="0.35">
      <c r="A1569" s="26" t="s">
        <v>543</v>
      </c>
      <c r="B1569" s="26" t="s">
        <v>543</v>
      </c>
      <c r="C1569" s="26"/>
      <c r="D1569" s="26" t="s">
        <v>543</v>
      </c>
      <c r="E1569" s="26" t="str">
        <f>IFERROR(VLOOKUP(G1569,WholesaleExtract!B:J,9,FALSE),"")</f>
        <v/>
      </c>
      <c r="F1569" s="26" t="str">
        <f>IFERROR(VLOOKUP(G1569,WholesaleExtract!B:J,6,FALSE),"")</f>
        <v/>
      </c>
      <c r="G1569" s="46"/>
      <c r="H1569" s="47" t="str">
        <f>IFERROR(VLOOKUP(G1569,WholesaleExtract!B:L,11,FALSE),"")</f>
        <v/>
      </c>
      <c r="I1569" s="26" t="str">
        <f>IFERROR(VLOOKUP(G1569,WholesaleExtract!B:O,8,FALSE),"")</f>
        <v/>
      </c>
      <c r="J1569" s="26" t="str">
        <f>IFERROR(VLOOKUP(G1569,WholesaleExtract!B:O,14,FALSE),"")</f>
        <v/>
      </c>
      <c r="K1569" s="26" t="str">
        <f>IFERROR(VLOOKUP(G1569,WholesaleExtract!B:K,10,FALSE),"")</f>
        <v/>
      </c>
      <c r="L1569" s="47" t="str">
        <f>IFERROR(VLOOKUP(G1569,WholesaleExtract!B:L,11,FALSE),"")</f>
        <v/>
      </c>
      <c r="M1569" s="47" t="str">
        <f>IFERROR(VLOOKUP(G1569,WholesaleExtract!B:M,12,FALSE),"")</f>
        <v/>
      </c>
      <c r="N1569" s="27"/>
      <c r="O1569" s="19"/>
      <c r="P1569" s="19"/>
      <c r="Q1569" s="47"/>
      <c r="R1569" s="19"/>
      <c r="S1569" s="19"/>
    </row>
    <row r="1570" spans="1:19" x14ac:dyDescent="0.35">
      <c r="A1570" s="26" t="s">
        <v>543</v>
      </c>
      <c r="B1570" s="26" t="s">
        <v>543</v>
      </c>
      <c r="C1570" s="26"/>
      <c r="D1570" s="26" t="s">
        <v>543</v>
      </c>
      <c r="E1570" s="26" t="str">
        <f>IFERROR(VLOOKUP(G1570,WholesaleExtract!B:J,9,FALSE),"")</f>
        <v/>
      </c>
      <c r="F1570" s="26" t="str">
        <f>IFERROR(VLOOKUP(G1570,WholesaleExtract!B:J,6,FALSE),"")</f>
        <v/>
      </c>
      <c r="G1570" s="46"/>
      <c r="H1570" s="47" t="str">
        <f>IFERROR(VLOOKUP(G1570,WholesaleExtract!B:L,11,FALSE),"")</f>
        <v/>
      </c>
      <c r="I1570" s="26" t="str">
        <f>IFERROR(VLOOKUP(G1570,WholesaleExtract!B:O,8,FALSE),"")</f>
        <v/>
      </c>
      <c r="J1570" s="26" t="str">
        <f>IFERROR(VLOOKUP(G1570,WholesaleExtract!B:O,14,FALSE),"")</f>
        <v/>
      </c>
      <c r="K1570" s="26" t="str">
        <f>IFERROR(VLOOKUP(G1570,WholesaleExtract!B:K,10,FALSE),"")</f>
        <v/>
      </c>
      <c r="L1570" s="47" t="str">
        <f>IFERROR(VLOOKUP(G1570,WholesaleExtract!B:L,11,FALSE),"")</f>
        <v/>
      </c>
      <c r="M1570" s="47" t="str">
        <f>IFERROR(VLOOKUP(G1570,WholesaleExtract!B:M,12,FALSE),"")</f>
        <v/>
      </c>
      <c r="N1570" s="27"/>
      <c r="O1570" s="19"/>
      <c r="P1570" s="19"/>
      <c r="Q1570" s="47"/>
      <c r="R1570" s="19"/>
      <c r="S1570" s="19"/>
    </row>
    <row r="1571" spans="1:19" x14ac:dyDescent="0.35">
      <c r="A1571" s="26" t="s">
        <v>543</v>
      </c>
      <c r="B1571" s="26" t="s">
        <v>543</v>
      </c>
      <c r="C1571" s="26"/>
      <c r="D1571" s="26" t="s">
        <v>543</v>
      </c>
      <c r="E1571" s="26" t="str">
        <f>IFERROR(VLOOKUP(G1571,WholesaleExtract!B:J,9,FALSE),"")</f>
        <v/>
      </c>
      <c r="F1571" s="26" t="str">
        <f>IFERROR(VLOOKUP(G1571,WholesaleExtract!B:J,6,FALSE),"")</f>
        <v/>
      </c>
      <c r="G1571" s="46"/>
      <c r="H1571" s="47" t="str">
        <f>IFERROR(VLOOKUP(G1571,WholesaleExtract!B:L,11,FALSE),"")</f>
        <v/>
      </c>
      <c r="I1571" s="26" t="str">
        <f>IFERROR(VLOOKUP(G1571,WholesaleExtract!B:O,8,FALSE),"")</f>
        <v/>
      </c>
      <c r="J1571" s="26" t="str">
        <f>IFERROR(VLOOKUP(G1571,WholesaleExtract!B:O,14,FALSE),"")</f>
        <v/>
      </c>
      <c r="K1571" s="26" t="str">
        <f>IFERROR(VLOOKUP(G1571,WholesaleExtract!B:K,10,FALSE),"")</f>
        <v/>
      </c>
      <c r="L1571" s="47" t="str">
        <f>IFERROR(VLOOKUP(G1571,WholesaleExtract!B:L,11,FALSE),"")</f>
        <v/>
      </c>
      <c r="M1571" s="47" t="str">
        <f>IFERROR(VLOOKUP(G1571,WholesaleExtract!B:M,12,FALSE),"")</f>
        <v/>
      </c>
      <c r="N1571" s="27"/>
      <c r="O1571" s="19"/>
      <c r="P1571" s="19"/>
      <c r="Q1571" s="47"/>
      <c r="R1571" s="19"/>
      <c r="S1571" s="19"/>
    </row>
    <row r="1572" spans="1:19" x14ac:dyDescent="0.35">
      <c r="A1572" s="26" t="s">
        <v>543</v>
      </c>
      <c r="B1572" s="26" t="s">
        <v>543</v>
      </c>
      <c r="C1572" s="26"/>
      <c r="D1572" s="26" t="s">
        <v>543</v>
      </c>
      <c r="E1572" s="26" t="str">
        <f>IFERROR(VLOOKUP(G1572,WholesaleExtract!B:J,9,FALSE),"")</f>
        <v/>
      </c>
      <c r="F1572" s="26" t="str">
        <f>IFERROR(VLOOKUP(G1572,WholesaleExtract!B:J,6,FALSE),"")</f>
        <v/>
      </c>
      <c r="G1572" s="46"/>
      <c r="H1572" s="47" t="str">
        <f>IFERROR(VLOOKUP(G1572,WholesaleExtract!B:L,11,FALSE),"")</f>
        <v/>
      </c>
      <c r="I1572" s="26" t="str">
        <f>IFERROR(VLOOKUP(G1572,WholesaleExtract!B:O,8,FALSE),"")</f>
        <v/>
      </c>
      <c r="J1572" s="26" t="str">
        <f>IFERROR(VLOOKUP(G1572,WholesaleExtract!B:O,14,FALSE),"")</f>
        <v/>
      </c>
      <c r="K1572" s="26" t="str">
        <f>IFERROR(VLOOKUP(G1572,WholesaleExtract!B:K,10,FALSE),"")</f>
        <v/>
      </c>
      <c r="L1572" s="47" t="str">
        <f>IFERROR(VLOOKUP(G1572,WholesaleExtract!B:L,11,FALSE),"")</f>
        <v/>
      </c>
      <c r="M1572" s="47" t="str">
        <f>IFERROR(VLOOKUP(G1572,WholesaleExtract!B:M,12,FALSE),"")</f>
        <v/>
      </c>
      <c r="N1572" s="27"/>
      <c r="O1572" s="19"/>
      <c r="P1572" s="19"/>
      <c r="Q1572" s="47"/>
      <c r="R1572" s="19"/>
      <c r="S1572" s="19"/>
    </row>
    <row r="1573" spans="1:19" x14ac:dyDescent="0.35">
      <c r="A1573" s="26" t="s">
        <v>543</v>
      </c>
      <c r="B1573" s="26" t="s">
        <v>543</v>
      </c>
      <c r="C1573" s="26"/>
      <c r="D1573" s="26" t="s">
        <v>543</v>
      </c>
      <c r="E1573" s="26" t="str">
        <f>IFERROR(VLOOKUP(G1573,WholesaleExtract!B:J,9,FALSE),"")</f>
        <v/>
      </c>
      <c r="F1573" s="26" t="str">
        <f>IFERROR(VLOOKUP(G1573,WholesaleExtract!B:J,6,FALSE),"")</f>
        <v/>
      </c>
      <c r="G1573" s="46"/>
      <c r="H1573" s="47" t="str">
        <f>IFERROR(VLOOKUP(G1573,WholesaleExtract!B:L,11,FALSE),"")</f>
        <v/>
      </c>
      <c r="I1573" s="26" t="str">
        <f>IFERROR(VLOOKUP(G1573,WholesaleExtract!B:O,8,FALSE),"")</f>
        <v/>
      </c>
      <c r="J1573" s="26" t="str">
        <f>IFERROR(VLOOKUP(G1573,WholesaleExtract!B:O,14,FALSE),"")</f>
        <v/>
      </c>
      <c r="K1573" s="26" t="str">
        <f>IFERROR(VLOOKUP(G1573,WholesaleExtract!B:K,10,FALSE),"")</f>
        <v/>
      </c>
      <c r="L1573" s="47" t="str">
        <f>IFERROR(VLOOKUP(G1573,WholesaleExtract!B:L,11,FALSE),"")</f>
        <v/>
      </c>
      <c r="M1573" s="47" t="str">
        <f>IFERROR(VLOOKUP(G1573,WholesaleExtract!B:M,12,FALSE),"")</f>
        <v/>
      </c>
      <c r="N1573" s="27"/>
      <c r="O1573" s="19"/>
      <c r="P1573" s="19"/>
      <c r="Q1573" s="47"/>
      <c r="R1573" s="19"/>
      <c r="S1573" s="19"/>
    </row>
    <row r="1574" spans="1:19" x14ac:dyDescent="0.35">
      <c r="A1574" s="26" t="s">
        <v>543</v>
      </c>
      <c r="B1574" s="26" t="s">
        <v>543</v>
      </c>
      <c r="C1574" s="26"/>
      <c r="D1574" s="26" t="s">
        <v>543</v>
      </c>
      <c r="E1574" s="26" t="str">
        <f>IFERROR(VLOOKUP(G1574,WholesaleExtract!B:J,9,FALSE),"")</f>
        <v/>
      </c>
      <c r="F1574" s="26" t="str">
        <f>IFERROR(VLOOKUP(G1574,WholesaleExtract!B:J,6,FALSE),"")</f>
        <v/>
      </c>
      <c r="G1574" s="46"/>
      <c r="H1574" s="47" t="str">
        <f>IFERROR(VLOOKUP(G1574,WholesaleExtract!B:L,11,FALSE),"")</f>
        <v/>
      </c>
      <c r="I1574" s="26" t="str">
        <f>IFERROR(VLOOKUP(G1574,WholesaleExtract!B:O,8,FALSE),"")</f>
        <v/>
      </c>
      <c r="J1574" s="26" t="str">
        <f>IFERROR(VLOOKUP(G1574,WholesaleExtract!B:O,14,FALSE),"")</f>
        <v/>
      </c>
      <c r="K1574" s="26" t="str">
        <f>IFERROR(VLOOKUP(G1574,WholesaleExtract!B:K,10,FALSE),"")</f>
        <v/>
      </c>
      <c r="L1574" s="47" t="str">
        <f>IFERROR(VLOOKUP(G1574,WholesaleExtract!B:L,11,FALSE),"")</f>
        <v/>
      </c>
      <c r="M1574" s="47" t="str">
        <f>IFERROR(VLOOKUP(G1574,WholesaleExtract!B:M,12,FALSE),"")</f>
        <v/>
      </c>
      <c r="N1574" s="27"/>
      <c r="O1574" s="19"/>
      <c r="P1574" s="19"/>
      <c r="Q1574" s="47"/>
      <c r="R1574" s="19"/>
      <c r="S1574" s="19"/>
    </row>
    <row r="1575" spans="1:19" x14ac:dyDescent="0.35">
      <c r="A1575" s="26" t="s">
        <v>543</v>
      </c>
      <c r="B1575" s="26" t="s">
        <v>543</v>
      </c>
      <c r="C1575" s="26"/>
      <c r="D1575" s="26" t="s">
        <v>543</v>
      </c>
      <c r="E1575" s="26" t="str">
        <f>IFERROR(VLOOKUP(G1575,WholesaleExtract!B:J,9,FALSE),"")</f>
        <v/>
      </c>
      <c r="F1575" s="26" t="str">
        <f>IFERROR(VLOOKUP(G1575,WholesaleExtract!B:J,6,FALSE),"")</f>
        <v/>
      </c>
      <c r="G1575" s="46"/>
      <c r="H1575" s="47" t="str">
        <f>IFERROR(VLOOKUP(G1575,WholesaleExtract!B:L,11,FALSE),"")</f>
        <v/>
      </c>
      <c r="I1575" s="26" t="str">
        <f>IFERROR(VLOOKUP(G1575,WholesaleExtract!B:O,8,FALSE),"")</f>
        <v/>
      </c>
      <c r="J1575" s="26" t="str">
        <f>IFERROR(VLOOKUP(G1575,WholesaleExtract!B:O,14,FALSE),"")</f>
        <v/>
      </c>
      <c r="K1575" s="26" t="str">
        <f>IFERROR(VLOOKUP(G1575,WholesaleExtract!B:K,10,FALSE),"")</f>
        <v/>
      </c>
      <c r="L1575" s="47" t="str">
        <f>IFERROR(VLOOKUP(G1575,WholesaleExtract!B:L,11,FALSE),"")</f>
        <v/>
      </c>
      <c r="M1575" s="47" t="str">
        <f>IFERROR(VLOOKUP(G1575,WholesaleExtract!B:M,12,FALSE),"")</f>
        <v/>
      </c>
      <c r="N1575" s="27"/>
      <c r="O1575" s="19"/>
      <c r="P1575" s="19"/>
      <c r="Q1575" s="47"/>
      <c r="R1575" s="19"/>
      <c r="S1575" s="19"/>
    </row>
    <row r="1576" spans="1:19" x14ac:dyDescent="0.35">
      <c r="A1576" s="26" t="s">
        <v>543</v>
      </c>
      <c r="B1576" s="26" t="s">
        <v>543</v>
      </c>
      <c r="C1576" s="26"/>
      <c r="D1576" s="26" t="s">
        <v>543</v>
      </c>
      <c r="E1576" s="26" t="str">
        <f>IFERROR(VLOOKUP(G1576,WholesaleExtract!B:J,9,FALSE),"")</f>
        <v/>
      </c>
      <c r="F1576" s="26" t="str">
        <f>IFERROR(VLOOKUP(G1576,WholesaleExtract!B:J,6,FALSE),"")</f>
        <v/>
      </c>
      <c r="G1576" s="46"/>
      <c r="H1576" s="47" t="str">
        <f>IFERROR(VLOOKUP(G1576,WholesaleExtract!B:L,11,FALSE),"")</f>
        <v/>
      </c>
      <c r="I1576" s="26" t="str">
        <f>IFERROR(VLOOKUP(G1576,WholesaleExtract!B:O,8,FALSE),"")</f>
        <v/>
      </c>
      <c r="J1576" s="26" t="str">
        <f>IFERROR(VLOOKUP(G1576,WholesaleExtract!B:O,14,FALSE),"")</f>
        <v/>
      </c>
      <c r="K1576" s="26" t="str">
        <f>IFERROR(VLOOKUP(G1576,WholesaleExtract!B:K,10,FALSE),"")</f>
        <v/>
      </c>
      <c r="L1576" s="47" t="str">
        <f>IFERROR(VLOOKUP(G1576,WholesaleExtract!B:L,11,FALSE),"")</f>
        <v/>
      </c>
      <c r="M1576" s="47" t="str">
        <f>IFERROR(VLOOKUP(G1576,WholesaleExtract!B:M,12,FALSE),"")</f>
        <v/>
      </c>
      <c r="N1576" s="27"/>
      <c r="O1576" s="19"/>
      <c r="P1576" s="19"/>
      <c r="Q1576" s="47"/>
      <c r="R1576" s="19"/>
      <c r="S1576" s="19"/>
    </row>
    <row r="1577" spans="1:19" x14ac:dyDescent="0.35">
      <c r="A1577" s="26" t="s">
        <v>543</v>
      </c>
      <c r="B1577" s="26" t="s">
        <v>543</v>
      </c>
      <c r="C1577" s="26"/>
      <c r="D1577" s="26" t="s">
        <v>543</v>
      </c>
      <c r="E1577" s="26" t="str">
        <f>IFERROR(VLOOKUP(G1577,WholesaleExtract!B:J,9,FALSE),"")</f>
        <v/>
      </c>
      <c r="F1577" s="26" t="str">
        <f>IFERROR(VLOOKUP(G1577,WholesaleExtract!B:J,6,FALSE),"")</f>
        <v/>
      </c>
      <c r="G1577" s="46"/>
      <c r="H1577" s="47" t="str">
        <f>IFERROR(VLOOKUP(G1577,WholesaleExtract!B:L,11,FALSE),"")</f>
        <v/>
      </c>
      <c r="I1577" s="26" t="str">
        <f>IFERROR(VLOOKUP(G1577,WholesaleExtract!B:O,8,FALSE),"")</f>
        <v/>
      </c>
      <c r="J1577" s="26" t="str">
        <f>IFERROR(VLOOKUP(G1577,WholesaleExtract!B:O,14,FALSE),"")</f>
        <v/>
      </c>
      <c r="K1577" s="26" t="str">
        <f>IFERROR(VLOOKUP(G1577,WholesaleExtract!B:K,10,FALSE),"")</f>
        <v/>
      </c>
      <c r="L1577" s="47" t="str">
        <f>IFERROR(VLOOKUP(G1577,WholesaleExtract!B:L,11,FALSE),"")</f>
        <v/>
      </c>
      <c r="M1577" s="47" t="str">
        <f>IFERROR(VLOOKUP(G1577,WholesaleExtract!B:M,12,FALSE),"")</f>
        <v/>
      </c>
      <c r="N1577" s="27"/>
      <c r="O1577" s="19"/>
      <c r="P1577" s="19"/>
      <c r="Q1577" s="47"/>
      <c r="R1577" s="19"/>
      <c r="S1577" s="19"/>
    </row>
    <row r="1578" spans="1:19" x14ac:dyDescent="0.35">
      <c r="A1578" s="26" t="s">
        <v>543</v>
      </c>
      <c r="B1578" s="26" t="s">
        <v>543</v>
      </c>
      <c r="C1578" s="26"/>
      <c r="D1578" s="26" t="s">
        <v>543</v>
      </c>
      <c r="E1578" s="26" t="str">
        <f>IFERROR(VLOOKUP(G1578,WholesaleExtract!B:J,9,FALSE),"")</f>
        <v/>
      </c>
      <c r="F1578" s="26" t="str">
        <f>IFERROR(VLOOKUP(G1578,WholesaleExtract!B:J,6,FALSE),"")</f>
        <v/>
      </c>
      <c r="G1578" s="46"/>
      <c r="H1578" s="47" t="str">
        <f>IFERROR(VLOOKUP(G1578,WholesaleExtract!B:L,11,FALSE),"")</f>
        <v/>
      </c>
      <c r="I1578" s="26" t="str">
        <f>IFERROR(VLOOKUP(G1578,WholesaleExtract!B:O,8,FALSE),"")</f>
        <v/>
      </c>
      <c r="J1578" s="26" t="str">
        <f>IFERROR(VLOOKUP(G1578,WholesaleExtract!B:O,14,FALSE),"")</f>
        <v/>
      </c>
      <c r="K1578" s="26" t="str">
        <f>IFERROR(VLOOKUP(G1578,WholesaleExtract!B:K,10,FALSE),"")</f>
        <v/>
      </c>
      <c r="L1578" s="47" t="str">
        <f>IFERROR(VLOOKUP(G1578,WholesaleExtract!B:L,11,FALSE),"")</f>
        <v/>
      </c>
      <c r="M1578" s="47" t="str">
        <f>IFERROR(VLOOKUP(G1578,WholesaleExtract!B:M,12,FALSE),"")</f>
        <v/>
      </c>
      <c r="N1578" s="27"/>
      <c r="O1578" s="19"/>
      <c r="P1578" s="19"/>
      <c r="Q1578" s="47"/>
      <c r="R1578" s="19"/>
      <c r="S1578" s="19"/>
    </row>
    <row r="1579" spans="1:19" x14ac:dyDescent="0.35">
      <c r="A1579" s="26" t="s">
        <v>543</v>
      </c>
      <c r="B1579" s="26" t="s">
        <v>543</v>
      </c>
      <c r="C1579" s="26"/>
      <c r="D1579" s="26" t="s">
        <v>543</v>
      </c>
      <c r="E1579" s="26" t="str">
        <f>IFERROR(VLOOKUP(G1579,WholesaleExtract!B:J,9,FALSE),"")</f>
        <v/>
      </c>
      <c r="F1579" s="26" t="str">
        <f>IFERROR(VLOOKUP(G1579,WholesaleExtract!B:J,6,FALSE),"")</f>
        <v/>
      </c>
      <c r="G1579" s="46"/>
      <c r="H1579" s="47" t="str">
        <f>IFERROR(VLOOKUP(G1579,WholesaleExtract!B:L,11,FALSE),"")</f>
        <v/>
      </c>
      <c r="I1579" s="26" t="str">
        <f>IFERROR(VLOOKUP(G1579,WholesaleExtract!B:O,8,FALSE),"")</f>
        <v/>
      </c>
      <c r="J1579" s="26" t="str">
        <f>IFERROR(VLOOKUP(G1579,WholesaleExtract!B:O,14,FALSE),"")</f>
        <v/>
      </c>
      <c r="K1579" s="26" t="str">
        <f>IFERROR(VLOOKUP(G1579,WholesaleExtract!B:K,10,FALSE),"")</f>
        <v/>
      </c>
      <c r="L1579" s="47" t="str">
        <f>IFERROR(VLOOKUP(G1579,WholesaleExtract!B:L,11,FALSE),"")</f>
        <v/>
      </c>
      <c r="M1579" s="47" t="str">
        <f>IFERROR(VLOOKUP(G1579,WholesaleExtract!B:M,12,FALSE),"")</f>
        <v/>
      </c>
      <c r="N1579" s="27"/>
      <c r="O1579" s="19"/>
      <c r="P1579" s="19"/>
      <c r="Q1579" s="47"/>
      <c r="R1579" s="19"/>
      <c r="S1579" s="19"/>
    </row>
    <row r="1580" spans="1:19" x14ac:dyDescent="0.35">
      <c r="A1580" s="26" t="s">
        <v>543</v>
      </c>
      <c r="B1580" s="26" t="s">
        <v>543</v>
      </c>
      <c r="C1580" s="26"/>
      <c r="D1580" s="26" t="s">
        <v>543</v>
      </c>
      <c r="E1580" s="26" t="str">
        <f>IFERROR(VLOOKUP(G1580,WholesaleExtract!B:J,9,FALSE),"")</f>
        <v/>
      </c>
      <c r="F1580" s="26" t="str">
        <f>IFERROR(VLOOKUP(G1580,WholesaleExtract!B:J,6,FALSE),"")</f>
        <v/>
      </c>
      <c r="G1580" s="46"/>
      <c r="H1580" s="47" t="str">
        <f>IFERROR(VLOOKUP(G1580,WholesaleExtract!B:L,11,FALSE),"")</f>
        <v/>
      </c>
      <c r="I1580" s="26" t="str">
        <f>IFERROR(VLOOKUP(G1580,WholesaleExtract!B:O,8,FALSE),"")</f>
        <v/>
      </c>
      <c r="J1580" s="26" t="str">
        <f>IFERROR(VLOOKUP(G1580,WholesaleExtract!B:O,14,FALSE),"")</f>
        <v/>
      </c>
      <c r="K1580" s="26" t="str">
        <f>IFERROR(VLOOKUP(G1580,WholesaleExtract!B:K,10,FALSE),"")</f>
        <v/>
      </c>
      <c r="L1580" s="47" t="str">
        <f>IFERROR(VLOOKUP(G1580,WholesaleExtract!B:L,11,FALSE),"")</f>
        <v/>
      </c>
      <c r="M1580" s="47" t="str">
        <f>IFERROR(VLOOKUP(G1580,WholesaleExtract!B:M,12,FALSE),"")</f>
        <v/>
      </c>
      <c r="N1580" s="27"/>
      <c r="O1580" s="19"/>
      <c r="P1580" s="19"/>
      <c r="Q1580" s="47"/>
      <c r="R1580" s="19"/>
      <c r="S1580" s="19"/>
    </row>
    <row r="1581" spans="1:19" x14ac:dyDescent="0.35">
      <c r="A1581" s="26" t="s">
        <v>543</v>
      </c>
      <c r="B1581" s="26" t="s">
        <v>543</v>
      </c>
      <c r="C1581" s="26"/>
      <c r="D1581" s="26" t="s">
        <v>543</v>
      </c>
      <c r="E1581" s="26" t="str">
        <f>IFERROR(VLOOKUP(G1581,WholesaleExtract!B:J,9,FALSE),"")</f>
        <v/>
      </c>
      <c r="F1581" s="26" t="str">
        <f>IFERROR(VLOOKUP(G1581,WholesaleExtract!B:J,6,FALSE),"")</f>
        <v/>
      </c>
      <c r="G1581" s="46"/>
      <c r="H1581" s="47" t="str">
        <f>IFERROR(VLOOKUP(G1581,WholesaleExtract!B:L,11,FALSE),"")</f>
        <v/>
      </c>
      <c r="I1581" s="26" t="str">
        <f>IFERROR(VLOOKUP(G1581,WholesaleExtract!B:O,8,FALSE),"")</f>
        <v/>
      </c>
      <c r="J1581" s="26" t="str">
        <f>IFERROR(VLOOKUP(G1581,WholesaleExtract!B:O,14,FALSE),"")</f>
        <v/>
      </c>
      <c r="K1581" s="26" t="str">
        <f>IFERROR(VLOOKUP(G1581,WholesaleExtract!B:K,10,FALSE),"")</f>
        <v/>
      </c>
      <c r="L1581" s="47" t="str">
        <f>IFERROR(VLOOKUP(G1581,WholesaleExtract!B:L,11,FALSE),"")</f>
        <v/>
      </c>
      <c r="M1581" s="47" t="str">
        <f>IFERROR(VLOOKUP(G1581,WholesaleExtract!B:M,12,FALSE),"")</f>
        <v/>
      </c>
      <c r="N1581" s="27"/>
      <c r="O1581" s="19"/>
      <c r="P1581" s="19"/>
      <c r="Q1581" s="47"/>
      <c r="R1581" s="19"/>
      <c r="S1581" s="19"/>
    </row>
    <row r="1582" spans="1:19" x14ac:dyDescent="0.35">
      <c r="A1582" s="26" t="s">
        <v>543</v>
      </c>
      <c r="B1582" s="26" t="s">
        <v>543</v>
      </c>
      <c r="C1582" s="26"/>
      <c r="D1582" s="26" t="s">
        <v>543</v>
      </c>
      <c r="E1582" s="26" t="str">
        <f>IFERROR(VLOOKUP(G1582,WholesaleExtract!B:J,9,FALSE),"")</f>
        <v/>
      </c>
      <c r="F1582" s="26" t="str">
        <f>IFERROR(VLOOKUP(G1582,WholesaleExtract!B:J,6,FALSE),"")</f>
        <v/>
      </c>
      <c r="G1582" s="46"/>
      <c r="H1582" s="47" t="str">
        <f>IFERROR(VLOOKUP(G1582,WholesaleExtract!B:L,11,FALSE),"")</f>
        <v/>
      </c>
      <c r="I1582" s="26" t="str">
        <f>IFERROR(VLOOKUP(G1582,WholesaleExtract!B:O,8,FALSE),"")</f>
        <v/>
      </c>
      <c r="J1582" s="26" t="str">
        <f>IFERROR(VLOOKUP(G1582,WholesaleExtract!B:O,14,FALSE),"")</f>
        <v/>
      </c>
      <c r="K1582" s="26" t="str">
        <f>IFERROR(VLOOKUP(G1582,WholesaleExtract!B:K,10,FALSE),"")</f>
        <v/>
      </c>
      <c r="L1582" s="47" t="str">
        <f>IFERROR(VLOOKUP(G1582,WholesaleExtract!B:L,11,FALSE),"")</f>
        <v/>
      </c>
      <c r="M1582" s="47" t="str">
        <f>IFERROR(VLOOKUP(G1582,WholesaleExtract!B:M,12,FALSE),"")</f>
        <v/>
      </c>
      <c r="N1582" s="27"/>
      <c r="O1582" s="19"/>
      <c r="P1582" s="19"/>
      <c r="Q1582" s="47"/>
      <c r="R1582" s="19"/>
      <c r="S1582" s="19"/>
    </row>
    <row r="1583" spans="1:19" x14ac:dyDescent="0.35">
      <c r="A1583" s="26" t="s">
        <v>543</v>
      </c>
      <c r="B1583" s="26" t="s">
        <v>543</v>
      </c>
      <c r="C1583" s="26"/>
      <c r="D1583" s="26" t="s">
        <v>543</v>
      </c>
      <c r="E1583" s="26" t="str">
        <f>IFERROR(VLOOKUP(G1583,WholesaleExtract!B:J,9,FALSE),"")</f>
        <v/>
      </c>
      <c r="F1583" s="26" t="str">
        <f>IFERROR(VLOOKUP(G1583,WholesaleExtract!B:J,6,FALSE),"")</f>
        <v/>
      </c>
      <c r="G1583" s="46"/>
      <c r="H1583" s="47" t="str">
        <f>IFERROR(VLOOKUP(G1583,WholesaleExtract!B:L,11,FALSE),"")</f>
        <v/>
      </c>
      <c r="I1583" s="26" t="str">
        <f>IFERROR(VLOOKUP(G1583,WholesaleExtract!B:O,8,FALSE),"")</f>
        <v/>
      </c>
      <c r="J1583" s="26" t="str">
        <f>IFERROR(VLOOKUP(G1583,WholesaleExtract!B:O,14,FALSE),"")</f>
        <v/>
      </c>
      <c r="K1583" s="26" t="str">
        <f>IFERROR(VLOOKUP(G1583,WholesaleExtract!B:K,10,FALSE),"")</f>
        <v/>
      </c>
      <c r="L1583" s="47" t="str">
        <f>IFERROR(VLOOKUP(G1583,WholesaleExtract!B:L,11,FALSE),"")</f>
        <v/>
      </c>
      <c r="M1583" s="47" t="str">
        <f>IFERROR(VLOOKUP(G1583,WholesaleExtract!B:M,12,FALSE),"")</f>
        <v/>
      </c>
      <c r="N1583" s="27"/>
      <c r="O1583" s="19"/>
      <c r="P1583" s="19"/>
      <c r="Q1583" s="47"/>
      <c r="R1583" s="19"/>
      <c r="S1583" s="19"/>
    </row>
    <row r="1584" spans="1:19" x14ac:dyDescent="0.35">
      <c r="A1584" s="26" t="s">
        <v>543</v>
      </c>
      <c r="B1584" s="26" t="s">
        <v>543</v>
      </c>
      <c r="C1584" s="26"/>
      <c r="D1584" s="26" t="s">
        <v>543</v>
      </c>
      <c r="E1584" s="26" t="str">
        <f>IFERROR(VLOOKUP(G1584,WholesaleExtract!B:J,9,FALSE),"")</f>
        <v/>
      </c>
      <c r="F1584" s="26" t="str">
        <f>IFERROR(VLOOKUP(G1584,WholesaleExtract!B:J,6,FALSE),"")</f>
        <v/>
      </c>
      <c r="G1584" s="46"/>
      <c r="H1584" s="47" t="str">
        <f>IFERROR(VLOOKUP(G1584,WholesaleExtract!B:L,11,FALSE),"")</f>
        <v/>
      </c>
      <c r="I1584" s="26" t="str">
        <f>IFERROR(VLOOKUP(G1584,WholesaleExtract!B:O,8,FALSE),"")</f>
        <v/>
      </c>
      <c r="J1584" s="26" t="str">
        <f>IFERROR(VLOOKUP(G1584,WholesaleExtract!B:O,14,FALSE),"")</f>
        <v/>
      </c>
      <c r="K1584" s="26" t="str">
        <f>IFERROR(VLOOKUP(G1584,WholesaleExtract!B:K,10,FALSE),"")</f>
        <v/>
      </c>
      <c r="L1584" s="47" t="str">
        <f>IFERROR(VLOOKUP(G1584,WholesaleExtract!B:L,11,FALSE),"")</f>
        <v/>
      </c>
      <c r="M1584" s="47" t="str">
        <f>IFERROR(VLOOKUP(G1584,WholesaleExtract!B:M,12,FALSE),"")</f>
        <v/>
      </c>
      <c r="N1584" s="27"/>
      <c r="O1584" s="19"/>
      <c r="P1584" s="19"/>
      <c r="Q1584" s="47"/>
      <c r="R1584" s="19"/>
      <c r="S1584" s="19"/>
    </row>
    <row r="1585" spans="1:19" x14ac:dyDescent="0.35">
      <c r="A1585" s="26" t="s">
        <v>543</v>
      </c>
      <c r="B1585" s="26" t="s">
        <v>543</v>
      </c>
      <c r="C1585" s="26"/>
      <c r="D1585" s="26" t="s">
        <v>543</v>
      </c>
      <c r="E1585" s="26" t="str">
        <f>IFERROR(VLOOKUP(G1585,WholesaleExtract!B:J,9,FALSE),"")</f>
        <v/>
      </c>
      <c r="F1585" s="26" t="str">
        <f>IFERROR(VLOOKUP(G1585,WholesaleExtract!B:J,6,FALSE),"")</f>
        <v/>
      </c>
      <c r="G1585" s="46"/>
      <c r="H1585" s="47" t="str">
        <f>IFERROR(VLOOKUP(G1585,WholesaleExtract!B:L,11,FALSE),"")</f>
        <v/>
      </c>
      <c r="I1585" s="26" t="str">
        <f>IFERROR(VLOOKUP(G1585,WholesaleExtract!B:O,8,FALSE),"")</f>
        <v/>
      </c>
      <c r="J1585" s="26" t="str">
        <f>IFERROR(VLOOKUP(G1585,WholesaleExtract!B:O,14,FALSE),"")</f>
        <v/>
      </c>
      <c r="K1585" s="26" t="str">
        <f>IFERROR(VLOOKUP(G1585,WholesaleExtract!B:K,10,FALSE),"")</f>
        <v/>
      </c>
      <c r="L1585" s="47" t="str">
        <f>IFERROR(VLOOKUP(G1585,WholesaleExtract!B:L,11,FALSE),"")</f>
        <v/>
      </c>
      <c r="M1585" s="47" t="str">
        <f>IFERROR(VLOOKUP(G1585,WholesaleExtract!B:M,12,FALSE),"")</f>
        <v/>
      </c>
      <c r="N1585" s="27"/>
      <c r="O1585" s="19"/>
      <c r="P1585" s="19"/>
      <c r="Q1585" s="47"/>
      <c r="R1585" s="19"/>
      <c r="S1585" s="19"/>
    </row>
    <row r="1586" spans="1:19" x14ac:dyDescent="0.35">
      <c r="A1586" s="26" t="s">
        <v>543</v>
      </c>
      <c r="B1586" s="26" t="s">
        <v>543</v>
      </c>
      <c r="C1586" s="26"/>
      <c r="D1586" s="26" t="s">
        <v>543</v>
      </c>
      <c r="E1586" s="26" t="str">
        <f>IFERROR(VLOOKUP(G1586,WholesaleExtract!B:J,9,FALSE),"")</f>
        <v/>
      </c>
      <c r="F1586" s="26" t="str">
        <f>IFERROR(VLOOKUP(G1586,WholesaleExtract!B:J,6,FALSE),"")</f>
        <v/>
      </c>
      <c r="G1586" s="46"/>
      <c r="H1586" s="47" t="str">
        <f>IFERROR(VLOOKUP(G1586,WholesaleExtract!B:L,11,FALSE),"")</f>
        <v/>
      </c>
      <c r="I1586" s="26" t="str">
        <f>IFERROR(VLOOKUP(G1586,WholesaleExtract!B:O,8,FALSE),"")</f>
        <v/>
      </c>
      <c r="J1586" s="26" t="str">
        <f>IFERROR(VLOOKUP(G1586,WholesaleExtract!B:O,14,FALSE),"")</f>
        <v/>
      </c>
      <c r="K1586" s="26" t="str">
        <f>IFERROR(VLOOKUP(G1586,WholesaleExtract!B:K,10,FALSE),"")</f>
        <v/>
      </c>
      <c r="L1586" s="47" t="str">
        <f>IFERROR(VLOOKUP(G1586,WholesaleExtract!B:L,11,FALSE),"")</f>
        <v/>
      </c>
      <c r="M1586" s="47" t="str">
        <f>IFERROR(VLOOKUP(G1586,WholesaleExtract!B:M,12,FALSE),"")</f>
        <v/>
      </c>
      <c r="N1586" s="27"/>
      <c r="O1586" s="19"/>
      <c r="P1586" s="19"/>
      <c r="Q1586" s="47"/>
      <c r="R1586" s="19"/>
      <c r="S1586" s="19"/>
    </row>
    <row r="1587" spans="1:19" x14ac:dyDescent="0.35">
      <c r="A1587" s="26" t="s">
        <v>543</v>
      </c>
      <c r="B1587" s="26" t="s">
        <v>543</v>
      </c>
      <c r="C1587" s="26"/>
      <c r="D1587" s="26" t="s">
        <v>543</v>
      </c>
      <c r="E1587" s="26" t="str">
        <f>IFERROR(VLOOKUP(G1587,WholesaleExtract!B:J,9,FALSE),"")</f>
        <v/>
      </c>
      <c r="F1587" s="26" t="str">
        <f>IFERROR(VLOOKUP(G1587,WholesaleExtract!B:J,6,FALSE),"")</f>
        <v/>
      </c>
      <c r="G1587" s="46"/>
      <c r="H1587" s="47" t="str">
        <f>IFERROR(VLOOKUP(G1587,WholesaleExtract!B:L,11,FALSE),"")</f>
        <v/>
      </c>
      <c r="I1587" s="26" t="str">
        <f>IFERROR(VLOOKUP(G1587,WholesaleExtract!B:O,8,FALSE),"")</f>
        <v/>
      </c>
      <c r="J1587" s="26" t="str">
        <f>IFERROR(VLOOKUP(G1587,WholesaleExtract!B:O,14,FALSE),"")</f>
        <v/>
      </c>
      <c r="K1587" s="26" t="str">
        <f>IFERROR(VLOOKUP(G1587,WholesaleExtract!B:K,10,FALSE),"")</f>
        <v/>
      </c>
      <c r="L1587" s="47" t="str">
        <f>IFERROR(VLOOKUP(G1587,WholesaleExtract!B:L,11,FALSE),"")</f>
        <v/>
      </c>
      <c r="M1587" s="47" t="str">
        <f>IFERROR(VLOOKUP(G1587,WholesaleExtract!B:M,12,FALSE),"")</f>
        <v/>
      </c>
      <c r="N1587" s="27"/>
      <c r="O1587" s="19"/>
      <c r="P1587" s="19"/>
      <c r="Q1587" s="47"/>
      <c r="R1587" s="19"/>
      <c r="S1587" s="19"/>
    </row>
    <row r="1588" spans="1:19" x14ac:dyDescent="0.35">
      <c r="A1588" s="26" t="s">
        <v>543</v>
      </c>
      <c r="B1588" s="26" t="s">
        <v>543</v>
      </c>
      <c r="C1588" s="26"/>
      <c r="D1588" s="26" t="s">
        <v>543</v>
      </c>
      <c r="E1588" s="26" t="str">
        <f>IFERROR(VLOOKUP(G1588,WholesaleExtract!B:J,9,FALSE),"")</f>
        <v/>
      </c>
      <c r="F1588" s="26" t="str">
        <f>IFERROR(VLOOKUP(G1588,WholesaleExtract!B:J,6,FALSE),"")</f>
        <v/>
      </c>
      <c r="G1588" s="46"/>
      <c r="H1588" s="47" t="str">
        <f>IFERROR(VLOOKUP(G1588,WholesaleExtract!B:L,11,FALSE),"")</f>
        <v/>
      </c>
      <c r="I1588" s="26" t="str">
        <f>IFERROR(VLOOKUP(G1588,WholesaleExtract!B:O,8,FALSE),"")</f>
        <v/>
      </c>
      <c r="J1588" s="26" t="str">
        <f>IFERROR(VLOOKUP(G1588,WholesaleExtract!B:O,14,FALSE),"")</f>
        <v/>
      </c>
      <c r="K1588" s="26" t="str">
        <f>IFERROR(VLOOKUP(G1588,WholesaleExtract!B:K,10,FALSE),"")</f>
        <v/>
      </c>
      <c r="L1588" s="47" t="str">
        <f>IFERROR(VLOOKUP(G1588,WholesaleExtract!B:L,11,FALSE),"")</f>
        <v/>
      </c>
      <c r="M1588" s="47" t="str">
        <f>IFERROR(VLOOKUP(G1588,WholesaleExtract!B:M,12,FALSE),"")</f>
        <v/>
      </c>
      <c r="N1588" s="27"/>
      <c r="O1588" s="19"/>
      <c r="P1588" s="19"/>
      <c r="Q1588" s="47"/>
      <c r="R1588" s="19"/>
      <c r="S1588" s="19"/>
    </row>
    <row r="1589" spans="1:19" x14ac:dyDescent="0.35">
      <c r="A1589" s="26" t="s">
        <v>543</v>
      </c>
      <c r="B1589" s="26" t="s">
        <v>543</v>
      </c>
      <c r="C1589" s="26"/>
      <c r="D1589" s="26" t="s">
        <v>543</v>
      </c>
      <c r="E1589" s="26" t="str">
        <f>IFERROR(VLOOKUP(G1589,WholesaleExtract!B:J,9,FALSE),"")</f>
        <v/>
      </c>
      <c r="F1589" s="26" t="str">
        <f>IFERROR(VLOOKUP(G1589,WholesaleExtract!B:J,6,FALSE),"")</f>
        <v/>
      </c>
      <c r="G1589" s="46"/>
      <c r="H1589" s="47" t="str">
        <f>IFERROR(VLOOKUP(G1589,WholesaleExtract!B:L,11,FALSE),"")</f>
        <v/>
      </c>
      <c r="I1589" s="26" t="str">
        <f>IFERROR(VLOOKUP(G1589,WholesaleExtract!B:O,8,FALSE),"")</f>
        <v/>
      </c>
      <c r="J1589" s="26" t="str">
        <f>IFERROR(VLOOKUP(G1589,WholesaleExtract!B:O,14,FALSE),"")</f>
        <v/>
      </c>
      <c r="K1589" s="26" t="str">
        <f>IFERROR(VLOOKUP(G1589,WholesaleExtract!B:K,10,FALSE),"")</f>
        <v/>
      </c>
      <c r="L1589" s="47" t="str">
        <f>IFERROR(VLOOKUP(G1589,WholesaleExtract!B:L,11,FALSE),"")</f>
        <v/>
      </c>
      <c r="M1589" s="47" t="str">
        <f>IFERROR(VLOOKUP(G1589,WholesaleExtract!B:M,12,FALSE),"")</f>
        <v/>
      </c>
      <c r="N1589" s="27"/>
      <c r="O1589" s="19"/>
      <c r="P1589" s="19"/>
      <c r="Q1589" s="47"/>
      <c r="R1589" s="19"/>
      <c r="S1589" s="19"/>
    </row>
    <row r="1590" spans="1:19" x14ac:dyDescent="0.35">
      <c r="A1590" s="26" t="s">
        <v>543</v>
      </c>
      <c r="B1590" s="26" t="s">
        <v>543</v>
      </c>
      <c r="C1590" s="26"/>
      <c r="D1590" s="26" t="s">
        <v>543</v>
      </c>
      <c r="E1590" s="26" t="str">
        <f>IFERROR(VLOOKUP(G1590,WholesaleExtract!B:J,9,FALSE),"")</f>
        <v/>
      </c>
      <c r="F1590" s="26" t="str">
        <f>IFERROR(VLOOKUP(G1590,WholesaleExtract!B:J,6,FALSE),"")</f>
        <v/>
      </c>
      <c r="G1590" s="46"/>
      <c r="H1590" s="47" t="str">
        <f>IFERROR(VLOOKUP(G1590,WholesaleExtract!B:L,11,FALSE),"")</f>
        <v/>
      </c>
      <c r="I1590" s="26" t="str">
        <f>IFERROR(VLOOKUP(G1590,WholesaleExtract!B:O,8,FALSE),"")</f>
        <v/>
      </c>
      <c r="J1590" s="26" t="str">
        <f>IFERROR(VLOOKUP(G1590,WholesaleExtract!B:O,14,FALSE),"")</f>
        <v/>
      </c>
      <c r="K1590" s="26" t="str">
        <f>IFERROR(VLOOKUP(G1590,WholesaleExtract!B:K,10,FALSE),"")</f>
        <v/>
      </c>
      <c r="L1590" s="47" t="str">
        <f>IFERROR(VLOOKUP(G1590,WholesaleExtract!B:L,11,FALSE),"")</f>
        <v/>
      </c>
      <c r="M1590" s="47" t="str">
        <f>IFERROR(VLOOKUP(G1590,WholesaleExtract!B:M,12,FALSE),"")</f>
        <v/>
      </c>
      <c r="N1590" s="27"/>
      <c r="O1590" s="19"/>
      <c r="P1590" s="19"/>
      <c r="Q1590" s="47"/>
      <c r="R1590" s="19"/>
      <c r="S1590" s="19"/>
    </row>
    <row r="1591" spans="1:19" x14ac:dyDescent="0.35">
      <c r="A1591" s="26" t="s">
        <v>543</v>
      </c>
      <c r="B1591" s="26" t="s">
        <v>543</v>
      </c>
      <c r="C1591" s="26"/>
      <c r="D1591" s="26" t="s">
        <v>543</v>
      </c>
      <c r="E1591" s="26" t="str">
        <f>IFERROR(VLOOKUP(G1591,WholesaleExtract!B:J,9,FALSE),"")</f>
        <v/>
      </c>
      <c r="F1591" s="26" t="str">
        <f>IFERROR(VLOOKUP(G1591,WholesaleExtract!B:J,6,FALSE),"")</f>
        <v/>
      </c>
      <c r="G1591" s="46"/>
      <c r="H1591" s="47" t="str">
        <f>IFERROR(VLOOKUP(G1591,WholesaleExtract!B:L,11,FALSE),"")</f>
        <v/>
      </c>
      <c r="I1591" s="26" t="str">
        <f>IFERROR(VLOOKUP(G1591,WholesaleExtract!B:O,8,FALSE),"")</f>
        <v/>
      </c>
      <c r="J1591" s="26" t="str">
        <f>IFERROR(VLOOKUP(G1591,WholesaleExtract!B:O,14,FALSE),"")</f>
        <v/>
      </c>
      <c r="K1591" s="26" t="str">
        <f>IFERROR(VLOOKUP(G1591,WholesaleExtract!B:K,10,FALSE),"")</f>
        <v/>
      </c>
      <c r="L1591" s="47" t="str">
        <f>IFERROR(VLOOKUP(G1591,WholesaleExtract!B:L,11,FALSE),"")</f>
        <v/>
      </c>
      <c r="M1591" s="47" t="str">
        <f>IFERROR(VLOOKUP(G1591,WholesaleExtract!B:M,12,FALSE),"")</f>
        <v/>
      </c>
      <c r="N1591" s="27"/>
      <c r="O1591" s="19"/>
      <c r="P1591" s="19"/>
      <c r="Q1591" s="47"/>
      <c r="R1591" s="19"/>
      <c r="S1591" s="19"/>
    </row>
    <row r="1592" spans="1:19" x14ac:dyDescent="0.35">
      <c r="A1592" s="26" t="s">
        <v>543</v>
      </c>
      <c r="B1592" s="26" t="s">
        <v>543</v>
      </c>
      <c r="C1592" s="26"/>
      <c r="D1592" s="26" t="s">
        <v>543</v>
      </c>
      <c r="E1592" s="26" t="str">
        <f>IFERROR(VLOOKUP(G1592,WholesaleExtract!B:J,9,FALSE),"")</f>
        <v/>
      </c>
      <c r="F1592" s="26" t="str">
        <f>IFERROR(VLOOKUP(G1592,WholesaleExtract!B:J,6,FALSE),"")</f>
        <v/>
      </c>
      <c r="G1592" s="46"/>
      <c r="H1592" s="47" t="str">
        <f>IFERROR(VLOOKUP(G1592,WholesaleExtract!B:L,11,FALSE),"")</f>
        <v/>
      </c>
      <c r="I1592" s="26" t="str">
        <f>IFERROR(VLOOKUP(G1592,WholesaleExtract!B:O,8,FALSE),"")</f>
        <v/>
      </c>
      <c r="J1592" s="26" t="str">
        <f>IFERROR(VLOOKUP(G1592,WholesaleExtract!B:O,14,FALSE),"")</f>
        <v/>
      </c>
      <c r="K1592" s="26" t="str">
        <f>IFERROR(VLOOKUP(G1592,WholesaleExtract!B:K,10,FALSE),"")</f>
        <v/>
      </c>
      <c r="L1592" s="47" t="str">
        <f>IFERROR(VLOOKUP(G1592,WholesaleExtract!B:L,11,FALSE),"")</f>
        <v/>
      </c>
      <c r="M1592" s="47" t="str">
        <f>IFERROR(VLOOKUP(G1592,WholesaleExtract!B:M,12,FALSE),"")</f>
        <v/>
      </c>
      <c r="N1592" s="27"/>
      <c r="O1592" s="19"/>
      <c r="P1592" s="19"/>
      <c r="Q1592" s="47"/>
      <c r="R1592" s="19"/>
      <c r="S1592" s="19"/>
    </row>
    <row r="1593" spans="1:19" x14ac:dyDescent="0.35">
      <c r="A1593" s="26" t="s">
        <v>543</v>
      </c>
      <c r="B1593" s="26" t="s">
        <v>543</v>
      </c>
      <c r="C1593" s="26"/>
      <c r="D1593" s="26" t="s">
        <v>543</v>
      </c>
      <c r="E1593" s="26" t="str">
        <f>IFERROR(VLOOKUP(G1593,WholesaleExtract!B:J,9,FALSE),"")</f>
        <v/>
      </c>
      <c r="F1593" s="26" t="str">
        <f>IFERROR(VLOOKUP(G1593,WholesaleExtract!B:J,6,FALSE),"")</f>
        <v/>
      </c>
      <c r="G1593" s="46"/>
      <c r="H1593" s="47" t="str">
        <f>IFERROR(VLOOKUP(G1593,WholesaleExtract!B:L,11,FALSE),"")</f>
        <v/>
      </c>
      <c r="I1593" s="26" t="str">
        <f>IFERROR(VLOOKUP(G1593,WholesaleExtract!B:O,8,FALSE),"")</f>
        <v/>
      </c>
      <c r="J1593" s="26" t="str">
        <f>IFERROR(VLOOKUP(G1593,WholesaleExtract!B:O,14,FALSE),"")</f>
        <v/>
      </c>
      <c r="K1593" s="26" t="str">
        <f>IFERROR(VLOOKUP(G1593,WholesaleExtract!B:K,10,FALSE),"")</f>
        <v/>
      </c>
      <c r="L1593" s="47" t="str">
        <f>IFERROR(VLOOKUP(G1593,WholesaleExtract!B:L,11,FALSE),"")</f>
        <v/>
      </c>
      <c r="M1593" s="47" t="str">
        <f>IFERROR(VLOOKUP(G1593,WholesaleExtract!B:M,12,FALSE),"")</f>
        <v/>
      </c>
      <c r="N1593" s="27"/>
      <c r="O1593" s="19"/>
      <c r="P1593" s="19"/>
      <c r="Q1593" s="47"/>
      <c r="R1593" s="19"/>
      <c r="S1593" s="19"/>
    </row>
    <row r="1594" spans="1:19" x14ac:dyDescent="0.35">
      <c r="A1594" s="26" t="s">
        <v>543</v>
      </c>
      <c r="B1594" s="26" t="s">
        <v>543</v>
      </c>
      <c r="C1594" s="26"/>
      <c r="D1594" s="26" t="s">
        <v>543</v>
      </c>
      <c r="E1594" s="26" t="str">
        <f>IFERROR(VLOOKUP(G1594,WholesaleExtract!B:J,9,FALSE),"")</f>
        <v/>
      </c>
      <c r="F1594" s="26" t="str">
        <f>IFERROR(VLOOKUP(G1594,WholesaleExtract!B:J,6,FALSE),"")</f>
        <v/>
      </c>
      <c r="G1594" s="46"/>
      <c r="H1594" s="47" t="str">
        <f>IFERROR(VLOOKUP(G1594,WholesaleExtract!B:L,11,FALSE),"")</f>
        <v/>
      </c>
      <c r="I1594" s="26" t="str">
        <f>IFERROR(VLOOKUP(G1594,WholesaleExtract!B:O,8,FALSE),"")</f>
        <v/>
      </c>
      <c r="J1594" s="26" t="str">
        <f>IFERROR(VLOOKUP(G1594,WholesaleExtract!B:O,14,FALSE),"")</f>
        <v/>
      </c>
      <c r="K1594" s="26" t="str">
        <f>IFERROR(VLOOKUP(G1594,WholesaleExtract!B:K,10,FALSE),"")</f>
        <v/>
      </c>
      <c r="L1594" s="47" t="str">
        <f>IFERROR(VLOOKUP(G1594,WholesaleExtract!B:L,11,FALSE),"")</f>
        <v/>
      </c>
      <c r="M1594" s="47" t="str">
        <f>IFERROR(VLOOKUP(G1594,WholesaleExtract!B:M,12,FALSE),"")</f>
        <v/>
      </c>
      <c r="N1594" s="27"/>
      <c r="O1594" s="19"/>
      <c r="P1594" s="19"/>
      <c r="Q1594" s="47"/>
      <c r="R1594" s="19"/>
      <c r="S1594" s="19"/>
    </row>
    <row r="1595" spans="1:19" x14ac:dyDescent="0.35">
      <c r="A1595" s="26" t="s">
        <v>543</v>
      </c>
      <c r="B1595" s="26" t="s">
        <v>543</v>
      </c>
      <c r="C1595" s="26"/>
      <c r="D1595" s="26" t="s">
        <v>543</v>
      </c>
      <c r="E1595" s="26" t="str">
        <f>IFERROR(VLOOKUP(G1595,WholesaleExtract!B:J,9,FALSE),"")</f>
        <v/>
      </c>
      <c r="F1595" s="26" t="str">
        <f>IFERROR(VLOOKUP(G1595,WholesaleExtract!B:J,6,FALSE),"")</f>
        <v/>
      </c>
      <c r="G1595" s="46"/>
      <c r="H1595" s="47" t="str">
        <f>IFERROR(VLOOKUP(G1595,WholesaleExtract!B:L,11,FALSE),"")</f>
        <v/>
      </c>
      <c r="I1595" s="26" t="str">
        <f>IFERROR(VLOOKUP(G1595,WholesaleExtract!B:O,8,FALSE),"")</f>
        <v/>
      </c>
      <c r="J1595" s="26" t="str">
        <f>IFERROR(VLOOKUP(G1595,WholesaleExtract!B:O,14,FALSE),"")</f>
        <v/>
      </c>
      <c r="K1595" s="26" t="str">
        <f>IFERROR(VLOOKUP(G1595,WholesaleExtract!B:K,10,FALSE),"")</f>
        <v/>
      </c>
      <c r="L1595" s="47" t="str">
        <f>IFERROR(VLOOKUP(G1595,WholesaleExtract!B:L,11,FALSE),"")</f>
        <v/>
      </c>
      <c r="M1595" s="47" t="str">
        <f>IFERROR(VLOOKUP(G1595,WholesaleExtract!B:M,12,FALSE),"")</f>
        <v/>
      </c>
      <c r="N1595" s="27"/>
      <c r="O1595" s="19"/>
      <c r="P1595" s="19"/>
      <c r="Q1595" s="47"/>
      <c r="R1595" s="19"/>
      <c r="S1595" s="19"/>
    </row>
    <row r="1596" spans="1:19" x14ac:dyDescent="0.35">
      <c r="A1596" s="26" t="s">
        <v>543</v>
      </c>
      <c r="B1596" s="26" t="s">
        <v>543</v>
      </c>
      <c r="C1596" s="26"/>
      <c r="D1596" s="26" t="s">
        <v>543</v>
      </c>
      <c r="E1596" s="26" t="str">
        <f>IFERROR(VLOOKUP(G1596,WholesaleExtract!B:J,9,FALSE),"")</f>
        <v/>
      </c>
      <c r="F1596" s="26" t="str">
        <f>IFERROR(VLOOKUP(G1596,WholesaleExtract!B:J,6,FALSE),"")</f>
        <v/>
      </c>
      <c r="G1596" s="46"/>
      <c r="H1596" s="47" t="str">
        <f>IFERROR(VLOOKUP(G1596,WholesaleExtract!B:L,11,FALSE),"")</f>
        <v/>
      </c>
      <c r="I1596" s="26" t="str">
        <f>IFERROR(VLOOKUP(G1596,WholesaleExtract!B:O,8,FALSE),"")</f>
        <v/>
      </c>
      <c r="J1596" s="26" t="str">
        <f>IFERROR(VLOOKUP(G1596,WholesaleExtract!B:O,14,FALSE),"")</f>
        <v/>
      </c>
      <c r="K1596" s="26" t="str">
        <f>IFERROR(VLOOKUP(G1596,WholesaleExtract!B:K,10,FALSE),"")</f>
        <v/>
      </c>
      <c r="L1596" s="47" t="str">
        <f>IFERROR(VLOOKUP(G1596,WholesaleExtract!B:L,11,FALSE),"")</f>
        <v/>
      </c>
      <c r="M1596" s="47" t="str">
        <f>IFERROR(VLOOKUP(G1596,WholesaleExtract!B:M,12,FALSE),"")</f>
        <v/>
      </c>
      <c r="N1596" s="27"/>
      <c r="O1596" s="19"/>
      <c r="P1596" s="19"/>
      <c r="Q1596" s="47"/>
      <c r="R1596" s="19"/>
      <c r="S1596" s="19"/>
    </row>
    <row r="1597" spans="1:19" x14ac:dyDescent="0.35">
      <c r="A1597" s="26" t="s">
        <v>543</v>
      </c>
      <c r="B1597" s="26" t="s">
        <v>543</v>
      </c>
      <c r="C1597" s="26"/>
      <c r="D1597" s="26" t="s">
        <v>543</v>
      </c>
      <c r="E1597" s="26" t="str">
        <f>IFERROR(VLOOKUP(G1597,WholesaleExtract!B:J,9,FALSE),"")</f>
        <v/>
      </c>
      <c r="F1597" s="26" t="str">
        <f>IFERROR(VLOOKUP(G1597,WholesaleExtract!B:J,6,FALSE),"")</f>
        <v/>
      </c>
      <c r="G1597" s="46"/>
      <c r="H1597" s="47" t="str">
        <f>IFERROR(VLOOKUP(G1597,WholesaleExtract!B:L,11,FALSE),"")</f>
        <v/>
      </c>
      <c r="I1597" s="26" t="str">
        <f>IFERROR(VLOOKUP(G1597,WholesaleExtract!B:O,8,FALSE),"")</f>
        <v/>
      </c>
      <c r="J1597" s="26" t="str">
        <f>IFERROR(VLOOKUP(G1597,WholesaleExtract!B:O,14,FALSE),"")</f>
        <v/>
      </c>
      <c r="K1597" s="26" t="str">
        <f>IFERROR(VLOOKUP(G1597,WholesaleExtract!B:K,10,FALSE),"")</f>
        <v/>
      </c>
      <c r="L1597" s="47" t="str">
        <f>IFERROR(VLOOKUP(G1597,WholesaleExtract!B:L,11,FALSE),"")</f>
        <v/>
      </c>
      <c r="M1597" s="47" t="str">
        <f>IFERROR(VLOOKUP(G1597,WholesaleExtract!B:M,12,FALSE),"")</f>
        <v/>
      </c>
      <c r="N1597" s="27"/>
      <c r="O1597" s="19"/>
      <c r="P1597" s="19"/>
      <c r="Q1597" s="47"/>
      <c r="R1597" s="19"/>
      <c r="S1597" s="19"/>
    </row>
    <row r="1598" spans="1:19" x14ac:dyDescent="0.35">
      <c r="A1598" s="26" t="s">
        <v>543</v>
      </c>
      <c r="B1598" s="26" t="s">
        <v>543</v>
      </c>
      <c r="C1598" s="26"/>
      <c r="D1598" s="26" t="s">
        <v>543</v>
      </c>
      <c r="E1598" s="26" t="str">
        <f>IFERROR(VLOOKUP(G1598,WholesaleExtract!B:J,9,FALSE),"")</f>
        <v/>
      </c>
      <c r="F1598" s="26" t="str">
        <f>IFERROR(VLOOKUP(G1598,WholesaleExtract!B:J,6,FALSE),"")</f>
        <v/>
      </c>
      <c r="G1598" s="46"/>
      <c r="H1598" s="47" t="str">
        <f>IFERROR(VLOOKUP(G1598,WholesaleExtract!B:L,11,FALSE),"")</f>
        <v/>
      </c>
      <c r="I1598" s="26" t="str">
        <f>IFERROR(VLOOKUP(G1598,WholesaleExtract!B:O,8,FALSE),"")</f>
        <v/>
      </c>
      <c r="J1598" s="26" t="str">
        <f>IFERROR(VLOOKUP(G1598,WholesaleExtract!B:O,14,FALSE),"")</f>
        <v/>
      </c>
      <c r="K1598" s="26" t="str">
        <f>IFERROR(VLOOKUP(G1598,WholesaleExtract!B:K,10,FALSE),"")</f>
        <v/>
      </c>
      <c r="L1598" s="47" t="str">
        <f>IFERROR(VLOOKUP(G1598,WholesaleExtract!B:L,11,FALSE),"")</f>
        <v/>
      </c>
      <c r="M1598" s="47" t="str">
        <f>IFERROR(VLOOKUP(G1598,WholesaleExtract!B:M,12,FALSE),"")</f>
        <v/>
      </c>
      <c r="N1598" s="27"/>
      <c r="O1598" s="19"/>
      <c r="P1598" s="19"/>
      <c r="Q1598" s="47"/>
      <c r="R1598" s="19"/>
      <c r="S1598" s="19"/>
    </row>
    <row r="1599" spans="1:19" x14ac:dyDescent="0.35">
      <c r="A1599" s="26" t="s">
        <v>543</v>
      </c>
      <c r="B1599" s="26" t="s">
        <v>543</v>
      </c>
      <c r="C1599" s="26"/>
      <c r="D1599" s="26" t="s">
        <v>543</v>
      </c>
      <c r="E1599" s="26" t="str">
        <f>IFERROR(VLOOKUP(G1599,WholesaleExtract!B:J,9,FALSE),"")</f>
        <v/>
      </c>
      <c r="F1599" s="26" t="str">
        <f>IFERROR(VLOOKUP(G1599,WholesaleExtract!B:J,6,FALSE),"")</f>
        <v/>
      </c>
      <c r="G1599" s="46"/>
      <c r="H1599" s="47" t="str">
        <f>IFERROR(VLOOKUP(G1599,WholesaleExtract!B:L,11,FALSE),"")</f>
        <v/>
      </c>
      <c r="I1599" s="26" t="str">
        <f>IFERROR(VLOOKUP(G1599,WholesaleExtract!B:O,8,FALSE),"")</f>
        <v/>
      </c>
      <c r="J1599" s="26" t="str">
        <f>IFERROR(VLOOKUP(G1599,WholesaleExtract!B:O,14,FALSE),"")</f>
        <v/>
      </c>
      <c r="K1599" s="26" t="str">
        <f>IFERROR(VLOOKUP(G1599,WholesaleExtract!B:K,10,FALSE),"")</f>
        <v/>
      </c>
      <c r="L1599" s="47" t="str">
        <f>IFERROR(VLOOKUP(G1599,WholesaleExtract!B:L,11,FALSE),"")</f>
        <v/>
      </c>
      <c r="M1599" s="47" t="str">
        <f>IFERROR(VLOOKUP(G1599,WholesaleExtract!B:M,12,FALSE),"")</f>
        <v/>
      </c>
      <c r="N1599" s="27"/>
      <c r="O1599" s="19"/>
      <c r="P1599" s="19"/>
      <c r="Q1599" s="47"/>
      <c r="R1599" s="19"/>
      <c r="S1599" s="19"/>
    </row>
    <row r="1600" spans="1:19" x14ac:dyDescent="0.35">
      <c r="A1600" s="26" t="s">
        <v>543</v>
      </c>
      <c r="B1600" s="26" t="s">
        <v>543</v>
      </c>
      <c r="C1600" s="26"/>
      <c r="D1600" s="26" t="s">
        <v>543</v>
      </c>
      <c r="E1600" s="26" t="str">
        <f>IFERROR(VLOOKUP(G1600,WholesaleExtract!B:J,9,FALSE),"")</f>
        <v/>
      </c>
      <c r="F1600" s="26" t="str">
        <f>IFERROR(VLOOKUP(G1600,WholesaleExtract!B:J,6,FALSE),"")</f>
        <v/>
      </c>
      <c r="G1600" s="46"/>
      <c r="H1600" s="47" t="str">
        <f>IFERROR(VLOOKUP(G1600,WholesaleExtract!B:L,11,FALSE),"")</f>
        <v/>
      </c>
      <c r="I1600" s="26" t="str">
        <f>IFERROR(VLOOKUP(G1600,WholesaleExtract!B:O,8,FALSE),"")</f>
        <v/>
      </c>
      <c r="J1600" s="26" t="str">
        <f>IFERROR(VLOOKUP(G1600,WholesaleExtract!B:O,14,FALSE),"")</f>
        <v/>
      </c>
      <c r="K1600" s="26" t="str">
        <f>IFERROR(VLOOKUP(G1600,WholesaleExtract!B:K,10,FALSE),"")</f>
        <v/>
      </c>
      <c r="L1600" s="47" t="str">
        <f>IFERROR(VLOOKUP(G1600,WholesaleExtract!B:L,11,FALSE),"")</f>
        <v/>
      </c>
      <c r="M1600" s="47" t="str">
        <f>IFERROR(VLOOKUP(G1600,WholesaleExtract!B:M,12,FALSE),"")</f>
        <v/>
      </c>
      <c r="N1600" s="27"/>
      <c r="O1600" s="19"/>
      <c r="P1600" s="19"/>
      <c r="Q1600" s="47"/>
      <c r="R1600" s="19"/>
      <c r="S1600" s="19"/>
    </row>
    <row r="1601" spans="1:19" x14ac:dyDescent="0.35">
      <c r="A1601" s="26" t="s">
        <v>543</v>
      </c>
      <c r="B1601" s="26" t="s">
        <v>543</v>
      </c>
      <c r="C1601" s="26"/>
      <c r="D1601" s="26" t="s">
        <v>543</v>
      </c>
      <c r="E1601" s="26" t="str">
        <f>IFERROR(VLOOKUP(G1601,WholesaleExtract!B:J,9,FALSE),"")</f>
        <v/>
      </c>
      <c r="F1601" s="26" t="str">
        <f>IFERROR(VLOOKUP(G1601,WholesaleExtract!B:J,6,FALSE),"")</f>
        <v/>
      </c>
      <c r="G1601" s="46"/>
      <c r="H1601" s="47" t="str">
        <f>IFERROR(VLOOKUP(G1601,WholesaleExtract!B:L,11,FALSE),"")</f>
        <v/>
      </c>
      <c r="I1601" s="26" t="str">
        <f>IFERROR(VLOOKUP(G1601,WholesaleExtract!B:O,8,FALSE),"")</f>
        <v/>
      </c>
      <c r="J1601" s="26" t="str">
        <f>IFERROR(VLOOKUP(G1601,WholesaleExtract!B:O,14,FALSE),"")</f>
        <v/>
      </c>
      <c r="K1601" s="26" t="str">
        <f>IFERROR(VLOOKUP(G1601,WholesaleExtract!B:K,10,FALSE),"")</f>
        <v/>
      </c>
      <c r="L1601" s="47" t="str">
        <f>IFERROR(VLOOKUP(G1601,WholesaleExtract!B:L,11,FALSE),"")</f>
        <v/>
      </c>
      <c r="M1601" s="47" t="str">
        <f>IFERROR(VLOOKUP(G1601,WholesaleExtract!B:M,12,FALSE),"")</f>
        <v/>
      </c>
      <c r="N1601" s="27"/>
      <c r="O1601" s="19"/>
      <c r="P1601" s="19"/>
      <c r="Q1601" s="47"/>
      <c r="R1601" s="19"/>
      <c r="S1601" s="19"/>
    </row>
    <row r="1602" spans="1:19" x14ac:dyDescent="0.35">
      <c r="A1602" s="26" t="s">
        <v>543</v>
      </c>
      <c r="B1602" s="26" t="s">
        <v>543</v>
      </c>
      <c r="C1602" s="26"/>
      <c r="D1602" s="26" t="s">
        <v>543</v>
      </c>
      <c r="E1602" s="26" t="str">
        <f>IFERROR(VLOOKUP(G1602,WholesaleExtract!B:J,9,FALSE),"")</f>
        <v/>
      </c>
      <c r="F1602" s="26" t="str">
        <f>IFERROR(VLOOKUP(G1602,WholesaleExtract!B:J,6,FALSE),"")</f>
        <v/>
      </c>
      <c r="G1602" s="46"/>
      <c r="H1602" s="47" t="str">
        <f>IFERROR(VLOOKUP(G1602,WholesaleExtract!B:L,11,FALSE),"")</f>
        <v/>
      </c>
      <c r="I1602" s="26" t="str">
        <f>IFERROR(VLOOKUP(G1602,WholesaleExtract!B:O,8,FALSE),"")</f>
        <v/>
      </c>
      <c r="J1602" s="26" t="str">
        <f>IFERROR(VLOOKUP(G1602,WholesaleExtract!B:O,14,FALSE),"")</f>
        <v/>
      </c>
      <c r="K1602" s="26" t="str">
        <f>IFERROR(VLOOKUP(G1602,WholesaleExtract!B:K,10,FALSE),"")</f>
        <v/>
      </c>
      <c r="L1602" s="47" t="str">
        <f>IFERROR(VLOOKUP(G1602,WholesaleExtract!B:L,11,FALSE),"")</f>
        <v/>
      </c>
      <c r="M1602" s="47" t="str">
        <f>IFERROR(VLOOKUP(G1602,WholesaleExtract!B:M,12,FALSE),"")</f>
        <v/>
      </c>
      <c r="N1602" s="27"/>
      <c r="O1602" s="19"/>
      <c r="P1602" s="19"/>
      <c r="Q1602" s="47"/>
      <c r="R1602" s="19"/>
      <c r="S1602" s="19"/>
    </row>
    <row r="1603" spans="1:19" x14ac:dyDescent="0.35">
      <c r="A1603" s="26" t="s">
        <v>543</v>
      </c>
      <c r="B1603" s="26" t="s">
        <v>543</v>
      </c>
      <c r="C1603" s="26"/>
      <c r="D1603" s="26" t="s">
        <v>543</v>
      </c>
      <c r="E1603" s="26" t="str">
        <f>IFERROR(VLOOKUP(G1603,WholesaleExtract!B:J,9,FALSE),"")</f>
        <v/>
      </c>
      <c r="F1603" s="26" t="str">
        <f>IFERROR(VLOOKUP(G1603,WholesaleExtract!B:J,6,FALSE),"")</f>
        <v/>
      </c>
      <c r="G1603" s="46"/>
      <c r="H1603" s="47" t="str">
        <f>IFERROR(VLOOKUP(G1603,WholesaleExtract!B:L,11,FALSE),"")</f>
        <v/>
      </c>
      <c r="I1603" s="26" t="str">
        <f>IFERROR(VLOOKUP(G1603,WholesaleExtract!B:O,8,FALSE),"")</f>
        <v/>
      </c>
      <c r="J1603" s="26" t="str">
        <f>IFERROR(VLOOKUP(G1603,WholesaleExtract!B:O,14,FALSE),"")</f>
        <v/>
      </c>
      <c r="K1603" s="26" t="str">
        <f>IFERROR(VLOOKUP(G1603,WholesaleExtract!B:K,10,FALSE),"")</f>
        <v/>
      </c>
      <c r="L1603" s="47" t="str">
        <f>IFERROR(VLOOKUP(G1603,WholesaleExtract!B:L,11,FALSE),"")</f>
        <v/>
      </c>
      <c r="M1603" s="47" t="str">
        <f>IFERROR(VLOOKUP(G1603,WholesaleExtract!B:M,12,FALSE),"")</f>
        <v/>
      </c>
      <c r="N1603" s="27"/>
      <c r="O1603" s="19"/>
      <c r="P1603" s="19"/>
      <c r="Q1603" s="47"/>
      <c r="R1603" s="19"/>
      <c r="S1603" s="19"/>
    </row>
    <row r="1604" spans="1:19" x14ac:dyDescent="0.35">
      <c r="A1604" s="26" t="s">
        <v>543</v>
      </c>
      <c r="B1604" s="26" t="s">
        <v>543</v>
      </c>
      <c r="C1604" s="26"/>
      <c r="D1604" s="26" t="s">
        <v>543</v>
      </c>
      <c r="E1604" s="26" t="str">
        <f>IFERROR(VLOOKUP(G1604,WholesaleExtract!B:J,9,FALSE),"")</f>
        <v/>
      </c>
      <c r="F1604" s="26" t="str">
        <f>IFERROR(VLOOKUP(G1604,WholesaleExtract!B:J,6,FALSE),"")</f>
        <v/>
      </c>
      <c r="G1604" s="46"/>
      <c r="H1604" s="47" t="str">
        <f>IFERROR(VLOOKUP(G1604,WholesaleExtract!B:L,11,FALSE),"")</f>
        <v/>
      </c>
      <c r="I1604" s="26" t="str">
        <f>IFERROR(VLOOKUP(G1604,WholesaleExtract!B:O,8,FALSE),"")</f>
        <v/>
      </c>
      <c r="J1604" s="26" t="str">
        <f>IFERROR(VLOOKUP(G1604,WholesaleExtract!B:O,14,FALSE),"")</f>
        <v/>
      </c>
      <c r="K1604" s="26" t="str">
        <f>IFERROR(VLOOKUP(G1604,WholesaleExtract!B:K,10,FALSE),"")</f>
        <v/>
      </c>
      <c r="L1604" s="47" t="str">
        <f>IFERROR(VLOOKUP(G1604,WholesaleExtract!B:L,11,FALSE),"")</f>
        <v/>
      </c>
      <c r="M1604" s="47" t="str">
        <f>IFERROR(VLOOKUP(G1604,WholesaleExtract!B:M,12,FALSE),"")</f>
        <v/>
      </c>
      <c r="N1604" s="27"/>
      <c r="O1604" s="19"/>
      <c r="P1604" s="19"/>
      <c r="Q1604" s="47"/>
      <c r="R1604" s="19"/>
      <c r="S1604" s="19"/>
    </row>
    <row r="1605" spans="1:19" x14ac:dyDescent="0.35">
      <c r="A1605" s="26" t="s">
        <v>543</v>
      </c>
      <c r="B1605" s="26" t="s">
        <v>543</v>
      </c>
      <c r="C1605" s="26"/>
      <c r="D1605" s="26" t="s">
        <v>543</v>
      </c>
      <c r="E1605" s="26" t="str">
        <f>IFERROR(VLOOKUP(G1605,WholesaleExtract!B:J,9,FALSE),"")</f>
        <v/>
      </c>
      <c r="F1605" s="26" t="str">
        <f>IFERROR(VLOOKUP(G1605,WholesaleExtract!B:J,6,FALSE),"")</f>
        <v/>
      </c>
      <c r="G1605" s="46"/>
      <c r="H1605" s="47" t="str">
        <f>IFERROR(VLOOKUP(G1605,WholesaleExtract!B:L,11,FALSE),"")</f>
        <v/>
      </c>
      <c r="I1605" s="26" t="str">
        <f>IFERROR(VLOOKUP(G1605,WholesaleExtract!B:O,8,FALSE),"")</f>
        <v/>
      </c>
      <c r="J1605" s="26" t="str">
        <f>IFERROR(VLOOKUP(G1605,WholesaleExtract!B:O,14,FALSE),"")</f>
        <v/>
      </c>
      <c r="K1605" s="26" t="str">
        <f>IFERROR(VLOOKUP(G1605,WholesaleExtract!B:K,10,FALSE),"")</f>
        <v/>
      </c>
      <c r="L1605" s="47" t="str">
        <f>IFERROR(VLOOKUP(G1605,WholesaleExtract!B:L,11,FALSE),"")</f>
        <v/>
      </c>
      <c r="M1605" s="47" t="str">
        <f>IFERROR(VLOOKUP(G1605,WholesaleExtract!B:M,12,FALSE),"")</f>
        <v/>
      </c>
      <c r="N1605" s="27"/>
      <c r="O1605" s="19"/>
      <c r="P1605" s="19"/>
      <c r="Q1605" s="47"/>
      <c r="R1605" s="19"/>
      <c r="S1605" s="19"/>
    </row>
    <row r="1606" spans="1:19" x14ac:dyDescent="0.35">
      <c r="A1606" s="26" t="s">
        <v>543</v>
      </c>
      <c r="B1606" s="26" t="s">
        <v>543</v>
      </c>
      <c r="C1606" s="26"/>
      <c r="D1606" s="26" t="s">
        <v>543</v>
      </c>
      <c r="E1606" s="26" t="str">
        <f>IFERROR(VLOOKUP(G1606,WholesaleExtract!B:J,9,FALSE),"")</f>
        <v/>
      </c>
      <c r="F1606" s="26" t="str">
        <f>IFERROR(VLOOKUP(G1606,WholesaleExtract!B:J,6,FALSE),"")</f>
        <v/>
      </c>
      <c r="G1606" s="46"/>
      <c r="H1606" s="47" t="str">
        <f>IFERROR(VLOOKUP(G1606,WholesaleExtract!B:L,11,FALSE),"")</f>
        <v/>
      </c>
      <c r="I1606" s="26" t="str">
        <f>IFERROR(VLOOKUP(G1606,WholesaleExtract!B:O,8,FALSE),"")</f>
        <v/>
      </c>
      <c r="J1606" s="26" t="str">
        <f>IFERROR(VLOOKUP(G1606,WholesaleExtract!B:O,14,FALSE),"")</f>
        <v/>
      </c>
      <c r="K1606" s="26" t="str">
        <f>IFERROR(VLOOKUP(G1606,WholesaleExtract!B:K,10,FALSE),"")</f>
        <v/>
      </c>
      <c r="L1606" s="47" t="str">
        <f>IFERROR(VLOOKUP(G1606,WholesaleExtract!B:L,11,FALSE),"")</f>
        <v/>
      </c>
      <c r="M1606" s="47" t="str">
        <f>IFERROR(VLOOKUP(G1606,WholesaleExtract!B:M,12,FALSE),"")</f>
        <v/>
      </c>
      <c r="N1606" s="27"/>
      <c r="O1606" s="19"/>
      <c r="P1606" s="19"/>
      <c r="Q1606" s="47"/>
      <c r="R1606" s="19"/>
      <c r="S1606" s="19"/>
    </row>
    <row r="1607" spans="1:19" x14ac:dyDescent="0.35">
      <c r="A1607" s="26" t="s">
        <v>543</v>
      </c>
      <c r="B1607" s="26" t="s">
        <v>543</v>
      </c>
      <c r="C1607" s="26"/>
      <c r="D1607" s="26" t="s">
        <v>543</v>
      </c>
      <c r="E1607" s="26" t="str">
        <f>IFERROR(VLOOKUP(G1607,WholesaleExtract!B:J,9,FALSE),"")</f>
        <v/>
      </c>
      <c r="F1607" s="26" t="str">
        <f>IFERROR(VLOOKUP(G1607,WholesaleExtract!B:J,6,FALSE),"")</f>
        <v/>
      </c>
      <c r="G1607" s="46"/>
      <c r="H1607" s="47" t="str">
        <f>IFERROR(VLOOKUP(G1607,WholesaleExtract!B:L,11,FALSE),"")</f>
        <v/>
      </c>
      <c r="I1607" s="26" t="str">
        <f>IFERROR(VLOOKUP(G1607,WholesaleExtract!B:O,8,FALSE),"")</f>
        <v/>
      </c>
      <c r="J1607" s="26" t="str">
        <f>IFERROR(VLOOKUP(G1607,WholesaleExtract!B:O,14,FALSE),"")</f>
        <v/>
      </c>
      <c r="K1607" s="26" t="str">
        <f>IFERROR(VLOOKUP(G1607,WholesaleExtract!B:K,10,FALSE),"")</f>
        <v/>
      </c>
      <c r="L1607" s="47" t="str">
        <f>IFERROR(VLOOKUP(G1607,WholesaleExtract!B:L,11,FALSE),"")</f>
        <v/>
      </c>
      <c r="M1607" s="47" t="str">
        <f>IFERROR(VLOOKUP(G1607,WholesaleExtract!B:M,12,FALSE),"")</f>
        <v/>
      </c>
      <c r="N1607" s="27"/>
      <c r="O1607" s="19"/>
      <c r="P1607" s="19"/>
      <c r="Q1607" s="47"/>
      <c r="R1607" s="19"/>
      <c r="S1607" s="19"/>
    </row>
    <row r="1608" spans="1:19" x14ac:dyDescent="0.35">
      <c r="A1608" s="26" t="s">
        <v>543</v>
      </c>
      <c r="B1608" s="26" t="s">
        <v>543</v>
      </c>
      <c r="C1608" s="26"/>
      <c r="D1608" s="26" t="s">
        <v>543</v>
      </c>
      <c r="E1608" s="26" t="str">
        <f>IFERROR(VLOOKUP(G1608,WholesaleExtract!B:J,9,FALSE),"")</f>
        <v/>
      </c>
      <c r="F1608" s="26" t="str">
        <f>IFERROR(VLOOKUP(G1608,WholesaleExtract!B:J,6,FALSE),"")</f>
        <v/>
      </c>
      <c r="G1608" s="46"/>
      <c r="H1608" s="47" t="str">
        <f>IFERROR(VLOOKUP(G1608,WholesaleExtract!B:L,11,FALSE),"")</f>
        <v/>
      </c>
      <c r="I1608" s="26" t="str">
        <f>IFERROR(VLOOKUP(G1608,WholesaleExtract!B:O,8,FALSE),"")</f>
        <v/>
      </c>
      <c r="J1608" s="26" t="str">
        <f>IFERROR(VLOOKUP(G1608,WholesaleExtract!B:O,14,FALSE),"")</f>
        <v/>
      </c>
      <c r="K1608" s="26" t="str">
        <f>IFERROR(VLOOKUP(G1608,WholesaleExtract!B:K,10,FALSE),"")</f>
        <v/>
      </c>
      <c r="L1608" s="47" t="str">
        <f>IFERROR(VLOOKUP(G1608,WholesaleExtract!B:L,11,FALSE),"")</f>
        <v/>
      </c>
      <c r="M1608" s="47" t="str">
        <f>IFERROR(VLOOKUP(G1608,WholesaleExtract!B:M,12,FALSE),"")</f>
        <v/>
      </c>
      <c r="N1608" s="27"/>
      <c r="O1608" s="19"/>
      <c r="P1608" s="19"/>
      <c r="Q1608" s="47"/>
      <c r="R1608" s="19"/>
      <c r="S1608" s="19"/>
    </row>
    <row r="1609" spans="1:19" x14ac:dyDescent="0.35">
      <c r="A1609" s="26" t="s">
        <v>543</v>
      </c>
      <c r="B1609" s="26" t="s">
        <v>543</v>
      </c>
      <c r="C1609" s="26"/>
      <c r="D1609" s="26" t="s">
        <v>543</v>
      </c>
      <c r="E1609" s="26" t="str">
        <f>IFERROR(VLOOKUP(G1609,WholesaleExtract!B:J,9,FALSE),"")</f>
        <v/>
      </c>
      <c r="F1609" s="26" t="str">
        <f>IFERROR(VLOOKUP(G1609,WholesaleExtract!B:J,6,FALSE),"")</f>
        <v/>
      </c>
      <c r="G1609" s="46"/>
      <c r="H1609" s="47" t="str">
        <f>IFERROR(VLOOKUP(G1609,WholesaleExtract!B:L,11,FALSE),"")</f>
        <v/>
      </c>
      <c r="I1609" s="26" t="str">
        <f>IFERROR(VLOOKUP(G1609,WholesaleExtract!B:O,8,FALSE),"")</f>
        <v/>
      </c>
      <c r="J1609" s="26" t="str">
        <f>IFERROR(VLOOKUP(G1609,WholesaleExtract!B:O,14,FALSE),"")</f>
        <v/>
      </c>
      <c r="K1609" s="26" t="str">
        <f>IFERROR(VLOOKUP(G1609,WholesaleExtract!B:K,10,FALSE),"")</f>
        <v/>
      </c>
      <c r="L1609" s="47" t="str">
        <f>IFERROR(VLOOKUP(G1609,WholesaleExtract!B:L,11,FALSE),"")</f>
        <v/>
      </c>
      <c r="M1609" s="47" t="str">
        <f>IFERROR(VLOOKUP(G1609,WholesaleExtract!B:M,12,FALSE),"")</f>
        <v/>
      </c>
      <c r="N1609" s="27"/>
      <c r="O1609" s="19"/>
      <c r="P1609" s="19"/>
      <c r="Q1609" s="47"/>
      <c r="R1609" s="19"/>
      <c r="S1609" s="19"/>
    </row>
    <row r="1610" spans="1:19" x14ac:dyDescent="0.35">
      <c r="A1610" s="26" t="s">
        <v>543</v>
      </c>
      <c r="B1610" s="26" t="s">
        <v>543</v>
      </c>
      <c r="C1610" s="26"/>
      <c r="D1610" s="26" t="s">
        <v>543</v>
      </c>
      <c r="E1610" s="26" t="str">
        <f>IFERROR(VLOOKUP(G1610,WholesaleExtract!B:J,9,FALSE),"")</f>
        <v/>
      </c>
      <c r="F1610" s="26" t="str">
        <f>IFERROR(VLOOKUP(G1610,WholesaleExtract!B:J,6,FALSE),"")</f>
        <v/>
      </c>
      <c r="G1610" s="46"/>
      <c r="H1610" s="47" t="str">
        <f>IFERROR(VLOOKUP(G1610,WholesaleExtract!B:L,11,FALSE),"")</f>
        <v/>
      </c>
      <c r="I1610" s="26" t="str">
        <f>IFERROR(VLOOKUP(G1610,WholesaleExtract!B:O,8,FALSE),"")</f>
        <v/>
      </c>
      <c r="J1610" s="26" t="str">
        <f>IFERROR(VLOOKUP(G1610,WholesaleExtract!B:O,14,FALSE),"")</f>
        <v/>
      </c>
      <c r="K1610" s="26" t="str">
        <f>IFERROR(VLOOKUP(G1610,WholesaleExtract!B:K,10,FALSE),"")</f>
        <v/>
      </c>
      <c r="L1610" s="47" t="str">
        <f>IFERROR(VLOOKUP(G1610,WholesaleExtract!B:L,11,FALSE),"")</f>
        <v/>
      </c>
      <c r="M1610" s="47" t="str">
        <f>IFERROR(VLOOKUP(G1610,WholesaleExtract!B:M,12,FALSE),"")</f>
        <v/>
      </c>
      <c r="N1610" s="27"/>
      <c r="O1610" s="19"/>
      <c r="P1610" s="19"/>
      <c r="Q1610" s="47"/>
      <c r="R1610" s="19"/>
      <c r="S1610" s="19"/>
    </row>
    <row r="1611" spans="1:19" x14ac:dyDescent="0.35">
      <c r="A1611" s="26" t="s">
        <v>543</v>
      </c>
      <c r="B1611" s="26" t="s">
        <v>543</v>
      </c>
      <c r="C1611" s="26"/>
      <c r="D1611" s="26" t="s">
        <v>543</v>
      </c>
      <c r="E1611" s="26" t="str">
        <f>IFERROR(VLOOKUP(G1611,WholesaleExtract!B:J,9,FALSE),"")</f>
        <v/>
      </c>
      <c r="F1611" s="26" t="str">
        <f>IFERROR(VLOOKUP(G1611,WholesaleExtract!B:J,6,FALSE),"")</f>
        <v/>
      </c>
      <c r="G1611" s="46"/>
      <c r="H1611" s="47" t="str">
        <f>IFERROR(VLOOKUP(G1611,WholesaleExtract!B:L,11,FALSE),"")</f>
        <v/>
      </c>
      <c r="I1611" s="26" t="str">
        <f>IFERROR(VLOOKUP(G1611,WholesaleExtract!B:O,8,FALSE),"")</f>
        <v/>
      </c>
      <c r="J1611" s="26" t="str">
        <f>IFERROR(VLOOKUP(G1611,WholesaleExtract!B:O,14,FALSE),"")</f>
        <v/>
      </c>
      <c r="K1611" s="26" t="str">
        <f>IFERROR(VLOOKUP(G1611,WholesaleExtract!B:K,10,FALSE),"")</f>
        <v/>
      </c>
      <c r="L1611" s="47" t="str">
        <f>IFERROR(VLOOKUP(G1611,WholesaleExtract!B:L,11,FALSE),"")</f>
        <v/>
      </c>
      <c r="M1611" s="47" t="str">
        <f>IFERROR(VLOOKUP(G1611,WholesaleExtract!B:M,12,FALSE),"")</f>
        <v/>
      </c>
      <c r="N1611" s="27"/>
      <c r="O1611" s="19"/>
      <c r="P1611" s="19"/>
      <c r="Q1611" s="47"/>
      <c r="R1611" s="19"/>
      <c r="S1611" s="19"/>
    </row>
    <row r="1612" spans="1:19" x14ac:dyDescent="0.35">
      <c r="A1612" s="26" t="s">
        <v>543</v>
      </c>
      <c r="B1612" s="26" t="s">
        <v>543</v>
      </c>
      <c r="C1612" s="26"/>
      <c r="D1612" s="26" t="s">
        <v>543</v>
      </c>
      <c r="E1612" s="26" t="str">
        <f>IFERROR(VLOOKUP(G1612,WholesaleExtract!B:J,9,FALSE),"")</f>
        <v/>
      </c>
      <c r="F1612" s="26" t="str">
        <f>IFERROR(VLOOKUP(G1612,WholesaleExtract!B:J,6,FALSE),"")</f>
        <v/>
      </c>
      <c r="G1612" s="46"/>
      <c r="H1612" s="47" t="str">
        <f>IFERROR(VLOOKUP(G1612,WholesaleExtract!B:L,11,FALSE),"")</f>
        <v/>
      </c>
      <c r="I1612" s="26" t="str">
        <f>IFERROR(VLOOKUP(G1612,WholesaleExtract!B:O,8,FALSE),"")</f>
        <v/>
      </c>
      <c r="J1612" s="26" t="str">
        <f>IFERROR(VLOOKUP(G1612,WholesaleExtract!B:O,14,FALSE),"")</f>
        <v/>
      </c>
      <c r="K1612" s="26" t="str">
        <f>IFERROR(VLOOKUP(G1612,WholesaleExtract!B:K,10,FALSE),"")</f>
        <v/>
      </c>
      <c r="L1612" s="47" t="str">
        <f>IFERROR(VLOOKUP(G1612,WholesaleExtract!B:L,11,FALSE),"")</f>
        <v/>
      </c>
      <c r="M1612" s="47" t="str">
        <f>IFERROR(VLOOKUP(G1612,WholesaleExtract!B:M,12,FALSE),"")</f>
        <v/>
      </c>
      <c r="N1612" s="27"/>
      <c r="O1612" s="19"/>
      <c r="P1612" s="19"/>
      <c r="Q1612" s="47"/>
      <c r="R1612" s="19"/>
      <c r="S1612" s="19"/>
    </row>
    <row r="1613" spans="1:19" x14ac:dyDescent="0.35">
      <c r="A1613" s="26" t="s">
        <v>543</v>
      </c>
      <c r="B1613" s="26" t="s">
        <v>543</v>
      </c>
      <c r="C1613" s="26"/>
      <c r="D1613" s="26" t="s">
        <v>543</v>
      </c>
      <c r="E1613" s="26" t="str">
        <f>IFERROR(VLOOKUP(G1613,WholesaleExtract!B:J,9,FALSE),"")</f>
        <v/>
      </c>
      <c r="F1613" s="26" t="str">
        <f>IFERROR(VLOOKUP(G1613,WholesaleExtract!B:J,6,FALSE),"")</f>
        <v/>
      </c>
      <c r="G1613" s="46"/>
      <c r="H1613" s="47" t="str">
        <f>IFERROR(VLOOKUP(G1613,WholesaleExtract!B:L,11,FALSE),"")</f>
        <v/>
      </c>
      <c r="I1613" s="26" t="str">
        <f>IFERROR(VLOOKUP(G1613,WholesaleExtract!B:O,8,FALSE),"")</f>
        <v/>
      </c>
      <c r="J1613" s="26" t="str">
        <f>IFERROR(VLOOKUP(G1613,WholesaleExtract!B:O,14,FALSE),"")</f>
        <v/>
      </c>
      <c r="K1613" s="26" t="str">
        <f>IFERROR(VLOOKUP(G1613,WholesaleExtract!B:K,10,FALSE),"")</f>
        <v/>
      </c>
      <c r="L1613" s="47" t="str">
        <f>IFERROR(VLOOKUP(G1613,WholesaleExtract!B:L,11,FALSE),"")</f>
        <v/>
      </c>
      <c r="M1613" s="47" t="str">
        <f>IFERROR(VLOOKUP(G1613,WholesaleExtract!B:M,12,FALSE),"")</f>
        <v/>
      </c>
      <c r="N1613" s="27"/>
      <c r="O1613" s="19"/>
      <c r="P1613" s="19"/>
      <c r="Q1613" s="47"/>
      <c r="R1613" s="19"/>
      <c r="S1613" s="19"/>
    </row>
    <row r="1614" spans="1:19" x14ac:dyDescent="0.35">
      <c r="A1614" s="26" t="s">
        <v>543</v>
      </c>
      <c r="B1614" s="26" t="s">
        <v>543</v>
      </c>
      <c r="C1614" s="26"/>
      <c r="D1614" s="26" t="s">
        <v>543</v>
      </c>
      <c r="E1614" s="26" t="str">
        <f>IFERROR(VLOOKUP(G1614,WholesaleExtract!B:J,9,FALSE),"")</f>
        <v/>
      </c>
      <c r="F1614" s="26" t="str">
        <f>IFERROR(VLOOKUP(G1614,WholesaleExtract!B:J,6,FALSE),"")</f>
        <v/>
      </c>
      <c r="G1614" s="46"/>
      <c r="H1614" s="47" t="str">
        <f>IFERROR(VLOOKUP(G1614,WholesaleExtract!B:L,11,FALSE),"")</f>
        <v/>
      </c>
      <c r="I1614" s="26" t="str">
        <f>IFERROR(VLOOKUP(G1614,WholesaleExtract!B:O,8,FALSE),"")</f>
        <v/>
      </c>
      <c r="J1614" s="26" t="str">
        <f>IFERROR(VLOOKUP(G1614,WholesaleExtract!B:O,14,FALSE),"")</f>
        <v/>
      </c>
      <c r="K1614" s="26" t="str">
        <f>IFERROR(VLOOKUP(G1614,WholesaleExtract!B:K,10,FALSE),"")</f>
        <v/>
      </c>
      <c r="L1614" s="47" t="str">
        <f>IFERROR(VLOOKUP(G1614,WholesaleExtract!B:L,11,FALSE),"")</f>
        <v/>
      </c>
      <c r="M1614" s="47" t="str">
        <f>IFERROR(VLOOKUP(G1614,WholesaleExtract!B:M,12,FALSE),"")</f>
        <v/>
      </c>
      <c r="N1614" s="27"/>
      <c r="O1614" s="19"/>
      <c r="P1614" s="19"/>
      <c r="Q1614" s="47"/>
      <c r="R1614" s="19"/>
      <c r="S1614" s="19"/>
    </row>
    <row r="1615" spans="1:19" x14ac:dyDescent="0.35">
      <c r="A1615" s="26" t="s">
        <v>543</v>
      </c>
      <c r="B1615" s="26" t="s">
        <v>543</v>
      </c>
      <c r="C1615" s="26"/>
      <c r="D1615" s="26" t="s">
        <v>543</v>
      </c>
      <c r="E1615" s="26" t="str">
        <f>IFERROR(VLOOKUP(G1615,WholesaleExtract!B:J,9,FALSE),"")</f>
        <v/>
      </c>
      <c r="F1615" s="26" t="str">
        <f>IFERROR(VLOOKUP(G1615,WholesaleExtract!B:J,6,FALSE),"")</f>
        <v/>
      </c>
      <c r="G1615" s="46"/>
      <c r="H1615" s="47" t="str">
        <f>IFERROR(VLOOKUP(G1615,WholesaleExtract!B:L,11,FALSE),"")</f>
        <v/>
      </c>
      <c r="I1615" s="26" t="str">
        <f>IFERROR(VLOOKUP(G1615,WholesaleExtract!B:O,8,FALSE),"")</f>
        <v/>
      </c>
      <c r="J1615" s="26" t="str">
        <f>IFERROR(VLOOKUP(G1615,WholesaleExtract!B:O,14,FALSE),"")</f>
        <v/>
      </c>
      <c r="K1615" s="26" t="str">
        <f>IFERROR(VLOOKUP(G1615,WholesaleExtract!B:K,10,FALSE),"")</f>
        <v/>
      </c>
      <c r="L1615" s="47" t="str">
        <f>IFERROR(VLOOKUP(G1615,WholesaleExtract!B:L,11,FALSE),"")</f>
        <v/>
      </c>
      <c r="M1615" s="47" t="str">
        <f>IFERROR(VLOOKUP(G1615,WholesaleExtract!B:M,12,FALSE),"")</f>
        <v/>
      </c>
      <c r="N1615" s="27"/>
      <c r="O1615" s="19"/>
      <c r="P1615" s="19"/>
      <c r="Q1615" s="47"/>
      <c r="R1615" s="19"/>
      <c r="S1615" s="19"/>
    </row>
    <row r="1616" spans="1:19" x14ac:dyDescent="0.35">
      <c r="A1616" s="26" t="s">
        <v>543</v>
      </c>
      <c r="B1616" s="26" t="s">
        <v>543</v>
      </c>
      <c r="C1616" s="26"/>
      <c r="D1616" s="26" t="s">
        <v>543</v>
      </c>
      <c r="E1616" s="26" t="str">
        <f>IFERROR(VLOOKUP(G1616,WholesaleExtract!B:J,9,FALSE),"")</f>
        <v/>
      </c>
      <c r="F1616" s="26" t="str">
        <f>IFERROR(VLOOKUP(G1616,WholesaleExtract!B:J,6,FALSE),"")</f>
        <v/>
      </c>
      <c r="G1616" s="46"/>
      <c r="H1616" s="47" t="str">
        <f>IFERROR(VLOOKUP(G1616,WholesaleExtract!B:L,11,FALSE),"")</f>
        <v/>
      </c>
      <c r="I1616" s="26" t="str">
        <f>IFERROR(VLOOKUP(G1616,WholesaleExtract!B:O,8,FALSE),"")</f>
        <v/>
      </c>
      <c r="J1616" s="26" t="str">
        <f>IFERROR(VLOOKUP(G1616,WholesaleExtract!B:O,14,FALSE),"")</f>
        <v/>
      </c>
      <c r="K1616" s="26" t="str">
        <f>IFERROR(VLOOKUP(G1616,WholesaleExtract!B:K,10,FALSE),"")</f>
        <v/>
      </c>
      <c r="L1616" s="47" t="str">
        <f>IFERROR(VLOOKUP(G1616,WholesaleExtract!B:L,11,FALSE),"")</f>
        <v/>
      </c>
      <c r="M1616" s="47" t="str">
        <f>IFERROR(VLOOKUP(G1616,WholesaleExtract!B:M,12,FALSE),"")</f>
        <v/>
      </c>
      <c r="N1616" s="27"/>
      <c r="O1616" s="19"/>
      <c r="P1616" s="19"/>
      <c r="Q1616" s="47"/>
      <c r="R1616" s="19"/>
      <c r="S1616" s="19"/>
    </row>
    <row r="1617" spans="1:19" x14ac:dyDescent="0.35">
      <c r="A1617" s="26" t="s">
        <v>543</v>
      </c>
      <c r="B1617" s="26" t="s">
        <v>543</v>
      </c>
      <c r="C1617" s="26"/>
      <c r="D1617" s="26" t="s">
        <v>543</v>
      </c>
      <c r="E1617" s="26" t="str">
        <f>IFERROR(VLOOKUP(G1617,WholesaleExtract!B:J,9,FALSE),"")</f>
        <v/>
      </c>
      <c r="F1617" s="26" t="str">
        <f>IFERROR(VLOOKUP(G1617,WholesaleExtract!B:J,6,FALSE),"")</f>
        <v/>
      </c>
      <c r="G1617" s="46"/>
      <c r="H1617" s="47" t="str">
        <f>IFERROR(VLOOKUP(G1617,WholesaleExtract!B:L,11,FALSE),"")</f>
        <v/>
      </c>
      <c r="I1617" s="26" t="str">
        <f>IFERROR(VLOOKUP(G1617,WholesaleExtract!B:O,8,FALSE),"")</f>
        <v/>
      </c>
      <c r="J1617" s="26" t="str">
        <f>IFERROR(VLOOKUP(G1617,WholesaleExtract!B:O,14,FALSE),"")</f>
        <v/>
      </c>
      <c r="K1617" s="26" t="str">
        <f>IFERROR(VLOOKUP(G1617,WholesaleExtract!B:K,10,FALSE),"")</f>
        <v/>
      </c>
      <c r="L1617" s="47" t="str">
        <f>IFERROR(VLOOKUP(G1617,WholesaleExtract!B:L,11,FALSE),"")</f>
        <v/>
      </c>
      <c r="M1617" s="47" t="str">
        <f>IFERROR(VLOOKUP(G1617,WholesaleExtract!B:M,12,FALSE),"")</f>
        <v/>
      </c>
      <c r="N1617" s="27"/>
      <c r="O1617" s="19"/>
      <c r="P1617" s="19"/>
      <c r="Q1617" s="47"/>
      <c r="R1617" s="19"/>
      <c r="S1617" s="19"/>
    </row>
    <row r="1618" spans="1:19" x14ac:dyDescent="0.35">
      <c r="A1618" s="26" t="s">
        <v>543</v>
      </c>
      <c r="B1618" s="26" t="s">
        <v>543</v>
      </c>
      <c r="C1618" s="26"/>
      <c r="D1618" s="26" t="s">
        <v>543</v>
      </c>
      <c r="E1618" s="26" t="str">
        <f>IFERROR(VLOOKUP(G1618,WholesaleExtract!B:J,9,FALSE),"")</f>
        <v/>
      </c>
      <c r="F1618" s="26" t="str">
        <f>IFERROR(VLOOKUP(G1618,WholesaleExtract!B:J,6,FALSE),"")</f>
        <v/>
      </c>
      <c r="G1618" s="46"/>
      <c r="H1618" s="47" t="str">
        <f>IFERROR(VLOOKUP(G1618,WholesaleExtract!B:L,11,FALSE),"")</f>
        <v/>
      </c>
      <c r="I1618" s="26" t="str">
        <f>IFERROR(VLOOKUP(G1618,WholesaleExtract!B:O,8,FALSE),"")</f>
        <v/>
      </c>
      <c r="J1618" s="26" t="str">
        <f>IFERROR(VLOOKUP(G1618,WholesaleExtract!B:O,14,FALSE),"")</f>
        <v/>
      </c>
      <c r="K1618" s="26" t="str">
        <f>IFERROR(VLOOKUP(G1618,WholesaleExtract!B:K,10,FALSE),"")</f>
        <v/>
      </c>
      <c r="L1618" s="47" t="str">
        <f>IFERROR(VLOOKUP(G1618,WholesaleExtract!B:L,11,FALSE),"")</f>
        <v/>
      </c>
      <c r="M1618" s="47" t="str">
        <f>IFERROR(VLOOKUP(G1618,WholesaleExtract!B:M,12,FALSE),"")</f>
        <v/>
      </c>
      <c r="N1618" s="27"/>
      <c r="O1618" s="19"/>
      <c r="P1618" s="19"/>
      <c r="Q1618" s="47"/>
      <c r="R1618" s="19"/>
      <c r="S1618" s="19"/>
    </row>
    <row r="1619" spans="1:19" x14ac:dyDescent="0.35">
      <c r="A1619" s="26" t="s">
        <v>543</v>
      </c>
      <c r="B1619" s="26" t="s">
        <v>543</v>
      </c>
      <c r="C1619" s="26"/>
      <c r="D1619" s="26" t="s">
        <v>543</v>
      </c>
      <c r="E1619" s="26" t="str">
        <f>IFERROR(VLOOKUP(G1619,WholesaleExtract!B:J,9,FALSE),"")</f>
        <v/>
      </c>
      <c r="F1619" s="26" t="str">
        <f>IFERROR(VLOOKUP(G1619,WholesaleExtract!B:J,6,FALSE),"")</f>
        <v/>
      </c>
      <c r="G1619" s="46"/>
      <c r="H1619" s="47" t="str">
        <f>IFERROR(VLOOKUP(G1619,WholesaleExtract!B:L,11,FALSE),"")</f>
        <v/>
      </c>
      <c r="I1619" s="26" t="str">
        <f>IFERROR(VLOOKUP(G1619,WholesaleExtract!B:O,8,FALSE),"")</f>
        <v/>
      </c>
      <c r="J1619" s="26" t="str">
        <f>IFERROR(VLOOKUP(G1619,WholesaleExtract!B:O,14,FALSE),"")</f>
        <v/>
      </c>
      <c r="K1619" s="26" t="str">
        <f>IFERROR(VLOOKUP(G1619,WholesaleExtract!B:K,10,FALSE),"")</f>
        <v/>
      </c>
      <c r="L1619" s="47" t="str">
        <f>IFERROR(VLOOKUP(G1619,WholesaleExtract!B:L,11,FALSE),"")</f>
        <v/>
      </c>
      <c r="M1619" s="47" t="str">
        <f>IFERROR(VLOOKUP(G1619,WholesaleExtract!B:M,12,FALSE),"")</f>
        <v/>
      </c>
      <c r="N1619" s="27"/>
      <c r="O1619" s="19"/>
      <c r="P1619" s="19"/>
      <c r="Q1619" s="47"/>
      <c r="R1619" s="19"/>
      <c r="S1619" s="19"/>
    </row>
    <row r="1620" spans="1:19" x14ac:dyDescent="0.35">
      <c r="A1620" s="26" t="s">
        <v>543</v>
      </c>
      <c r="B1620" s="26" t="s">
        <v>543</v>
      </c>
      <c r="C1620" s="26"/>
      <c r="D1620" s="26" t="s">
        <v>543</v>
      </c>
      <c r="E1620" s="26" t="str">
        <f>IFERROR(VLOOKUP(G1620,WholesaleExtract!B:J,9,FALSE),"")</f>
        <v/>
      </c>
      <c r="F1620" s="26" t="str">
        <f>IFERROR(VLOOKUP(G1620,WholesaleExtract!B:J,6,FALSE),"")</f>
        <v/>
      </c>
      <c r="G1620" s="46"/>
      <c r="H1620" s="47" t="str">
        <f>IFERROR(VLOOKUP(G1620,WholesaleExtract!B:L,11,FALSE),"")</f>
        <v/>
      </c>
      <c r="I1620" s="26" t="str">
        <f>IFERROR(VLOOKUP(G1620,WholesaleExtract!B:O,8,FALSE),"")</f>
        <v/>
      </c>
      <c r="J1620" s="26" t="str">
        <f>IFERROR(VLOOKUP(G1620,WholesaleExtract!B:O,14,FALSE),"")</f>
        <v/>
      </c>
      <c r="K1620" s="26" t="str">
        <f>IFERROR(VLOOKUP(G1620,WholesaleExtract!B:K,10,FALSE),"")</f>
        <v/>
      </c>
      <c r="L1620" s="47" t="str">
        <f>IFERROR(VLOOKUP(G1620,WholesaleExtract!B:L,11,FALSE),"")</f>
        <v/>
      </c>
      <c r="M1620" s="47" t="str">
        <f>IFERROR(VLOOKUP(G1620,WholesaleExtract!B:M,12,FALSE),"")</f>
        <v/>
      </c>
      <c r="N1620" s="27"/>
      <c r="O1620" s="19"/>
      <c r="P1620" s="19"/>
      <c r="Q1620" s="47"/>
      <c r="R1620" s="19"/>
      <c r="S1620" s="19"/>
    </row>
    <row r="1621" spans="1:19" x14ac:dyDescent="0.35">
      <c r="A1621" s="26" t="s">
        <v>543</v>
      </c>
      <c r="B1621" s="26" t="s">
        <v>543</v>
      </c>
      <c r="C1621" s="26"/>
      <c r="D1621" s="26" t="s">
        <v>543</v>
      </c>
      <c r="E1621" s="26" t="str">
        <f>IFERROR(VLOOKUP(G1621,WholesaleExtract!B:J,9,FALSE),"")</f>
        <v/>
      </c>
      <c r="F1621" s="26" t="str">
        <f>IFERROR(VLOOKUP(G1621,WholesaleExtract!B:J,6,FALSE),"")</f>
        <v/>
      </c>
      <c r="G1621" s="46"/>
      <c r="H1621" s="47" t="str">
        <f>IFERROR(VLOOKUP(G1621,WholesaleExtract!B:L,11,FALSE),"")</f>
        <v/>
      </c>
      <c r="I1621" s="26" t="str">
        <f>IFERROR(VLOOKUP(G1621,WholesaleExtract!B:O,8,FALSE),"")</f>
        <v/>
      </c>
      <c r="J1621" s="26" t="str">
        <f>IFERROR(VLOOKUP(G1621,WholesaleExtract!B:O,14,FALSE),"")</f>
        <v/>
      </c>
      <c r="K1621" s="26" t="str">
        <f>IFERROR(VLOOKUP(G1621,WholesaleExtract!B:K,10,FALSE),"")</f>
        <v/>
      </c>
      <c r="L1621" s="47" t="str">
        <f>IFERROR(VLOOKUP(G1621,WholesaleExtract!B:L,11,FALSE),"")</f>
        <v/>
      </c>
      <c r="M1621" s="47" t="str">
        <f>IFERROR(VLOOKUP(G1621,WholesaleExtract!B:M,12,FALSE),"")</f>
        <v/>
      </c>
      <c r="N1621" s="27"/>
      <c r="O1621" s="19"/>
      <c r="P1621" s="19"/>
      <c r="Q1621" s="47"/>
      <c r="R1621" s="19"/>
      <c r="S1621" s="19"/>
    </row>
    <row r="1622" spans="1:19" x14ac:dyDescent="0.35">
      <c r="A1622" s="26" t="s">
        <v>543</v>
      </c>
      <c r="B1622" s="26" t="s">
        <v>543</v>
      </c>
      <c r="C1622" s="26"/>
      <c r="D1622" s="26" t="s">
        <v>543</v>
      </c>
      <c r="E1622" s="26" t="str">
        <f>IFERROR(VLOOKUP(G1622,WholesaleExtract!B:J,9,FALSE),"")</f>
        <v/>
      </c>
      <c r="F1622" s="26" t="str">
        <f>IFERROR(VLOOKUP(G1622,WholesaleExtract!B:J,6,FALSE),"")</f>
        <v/>
      </c>
      <c r="G1622" s="46"/>
      <c r="H1622" s="47" t="str">
        <f>IFERROR(VLOOKUP(G1622,WholesaleExtract!B:L,11,FALSE),"")</f>
        <v/>
      </c>
      <c r="I1622" s="26" t="str">
        <f>IFERROR(VLOOKUP(G1622,WholesaleExtract!B:O,8,FALSE),"")</f>
        <v/>
      </c>
      <c r="J1622" s="26" t="str">
        <f>IFERROR(VLOOKUP(G1622,WholesaleExtract!B:O,14,FALSE),"")</f>
        <v/>
      </c>
      <c r="K1622" s="26" t="str">
        <f>IFERROR(VLOOKUP(G1622,WholesaleExtract!B:K,10,FALSE),"")</f>
        <v/>
      </c>
      <c r="L1622" s="47" t="str">
        <f>IFERROR(VLOOKUP(G1622,WholesaleExtract!B:L,11,FALSE),"")</f>
        <v/>
      </c>
      <c r="M1622" s="47" t="str">
        <f>IFERROR(VLOOKUP(G1622,WholesaleExtract!B:M,12,FALSE),"")</f>
        <v/>
      </c>
      <c r="N1622" s="27"/>
      <c r="O1622" s="19"/>
      <c r="P1622" s="19"/>
      <c r="Q1622" s="47"/>
      <c r="R1622" s="19"/>
      <c r="S1622" s="19"/>
    </row>
    <row r="1623" spans="1:19" x14ac:dyDescent="0.35">
      <c r="A1623" s="26" t="s">
        <v>543</v>
      </c>
      <c r="B1623" s="26" t="s">
        <v>543</v>
      </c>
      <c r="C1623" s="26"/>
      <c r="D1623" s="26" t="s">
        <v>543</v>
      </c>
      <c r="E1623" s="26" t="str">
        <f>IFERROR(VLOOKUP(G1623,WholesaleExtract!B:J,9,FALSE),"")</f>
        <v/>
      </c>
      <c r="F1623" s="26" t="str">
        <f>IFERROR(VLOOKUP(G1623,WholesaleExtract!B:J,6,FALSE),"")</f>
        <v/>
      </c>
      <c r="G1623" s="46"/>
      <c r="H1623" s="47" t="str">
        <f>IFERROR(VLOOKUP(G1623,WholesaleExtract!B:L,11,FALSE),"")</f>
        <v/>
      </c>
      <c r="I1623" s="26" t="str">
        <f>IFERROR(VLOOKUP(G1623,WholesaleExtract!B:O,8,FALSE),"")</f>
        <v/>
      </c>
      <c r="J1623" s="26" t="str">
        <f>IFERROR(VLOOKUP(G1623,WholesaleExtract!B:O,14,FALSE),"")</f>
        <v/>
      </c>
      <c r="K1623" s="26" t="str">
        <f>IFERROR(VLOOKUP(G1623,WholesaleExtract!B:K,10,FALSE),"")</f>
        <v/>
      </c>
      <c r="L1623" s="47" t="str">
        <f>IFERROR(VLOOKUP(G1623,WholesaleExtract!B:L,11,FALSE),"")</f>
        <v/>
      </c>
      <c r="M1623" s="47" t="str">
        <f>IFERROR(VLOOKUP(G1623,WholesaleExtract!B:M,12,FALSE),"")</f>
        <v/>
      </c>
      <c r="N1623" s="27"/>
      <c r="O1623" s="19"/>
      <c r="P1623" s="19"/>
      <c r="Q1623" s="47"/>
      <c r="R1623" s="19"/>
      <c r="S1623" s="19"/>
    </row>
    <row r="1624" spans="1:19" x14ac:dyDescent="0.35">
      <c r="A1624" s="26" t="s">
        <v>543</v>
      </c>
      <c r="B1624" s="26" t="s">
        <v>543</v>
      </c>
      <c r="C1624" s="26"/>
      <c r="D1624" s="26" t="s">
        <v>543</v>
      </c>
      <c r="E1624" s="26" t="str">
        <f>IFERROR(VLOOKUP(G1624,WholesaleExtract!B:J,9,FALSE),"")</f>
        <v/>
      </c>
      <c r="F1624" s="26" t="str">
        <f>IFERROR(VLOOKUP(G1624,WholesaleExtract!B:J,6,FALSE),"")</f>
        <v/>
      </c>
      <c r="G1624" s="46"/>
      <c r="H1624" s="47" t="str">
        <f>IFERROR(VLOOKUP(G1624,WholesaleExtract!B:L,11,FALSE),"")</f>
        <v/>
      </c>
      <c r="I1624" s="26" t="str">
        <f>IFERROR(VLOOKUP(G1624,WholesaleExtract!B:O,8,FALSE),"")</f>
        <v/>
      </c>
      <c r="J1624" s="26" t="str">
        <f>IFERROR(VLOOKUP(G1624,WholesaleExtract!B:O,14,FALSE),"")</f>
        <v/>
      </c>
      <c r="K1624" s="26" t="str">
        <f>IFERROR(VLOOKUP(G1624,WholesaleExtract!B:K,10,FALSE),"")</f>
        <v/>
      </c>
      <c r="L1624" s="47" t="str">
        <f>IFERROR(VLOOKUP(G1624,WholesaleExtract!B:L,11,FALSE),"")</f>
        <v/>
      </c>
      <c r="M1624" s="47" t="str">
        <f>IFERROR(VLOOKUP(G1624,WholesaleExtract!B:M,12,FALSE),"")</f>
        <v/>
      </c>
      <c r="N1624" s="27"/>
      <c r="O1624" s="19"/>
      <c r="P1624" s="19"/>
      <c r="Q1624" s="47"/>
      <c r="R1624" s="19"/>
      <c r="S1624" s="19"/>
    </row>
    <row r="1625" spans="1:19" x14ac:dyDescent="0.35">
      <c r="A1625" s="26" t="s">
        <v>543</v>
      </c>
      <c r="B1625" s="26" t="s">
        <v>543</v>
      </c>
      <c r="C1625" s="26"/>
      <c r="D1625" s="26" t="s">
        <v>543</v>
      </c>
      <c r="E1625" s="26" t="str">
        <f>IFERROR(VLOOKUP(G1625,WholesaleExtract!B:J,9,FALSE),"")</f>
        <v/>
      </c>
      <c r="F1625" s="26" t="str">
        <f>IFERROR(VLOOKUP(G1625,WholesaleExtract!B:J,6,FALSE),"")</f>
        <v/>
      </c>
      <c r="G1625" s="46"/>
      <c r="H1625" s="47" t="str">
        <f>IFERROR(VLOOKUP(G1625,WholesaleExtract!B:L,11,FALSE),"")</f>
        <v/>
      </c>
      <c r="I1625" s="26" t="str">
        <f>IFERROR(VLOOKUP(G1625,WholesaleExtract!B:O,8,FALSE),"")</f>
        <v/>
      </c>
      <c r="J1625" s="26" t="str">
        <f>IFERROR(VLOOKUP(G1625,WholesaleExtract!B:O,14,FALSE),"")</f>
        <v/>
      </c>
      <c r="K1625" s="26" t="str">
        <f>IFERROR(VLOOKUP(G1625,WholesaleExtract!B:K,10,FALSE),"")</f>
        <v/>
      </c>
      <c r="L1625" s="47" t="str">
        <f>IFERROR(VLOOKUP(G1625,WholesaleExtract!B:L,11,FALSE),"")</f>
        <v/>
      </c>
      <c r="M1625" s="47" t="str">
        <f>IFERROR(VLOOKUP(G1625,WholesaleExtract!B:M,12,FALSE),"")</f>
        <v/>
      </c>
      <c r="N1625" s="27"/>
      <c r="O1625" s="19"/>
      <c r="P1625" s="19"/>
      <c r="Q1625" s="47"/>
      <c r="R1625" s="19"/>
      <c r="S1625" s="19"/>
    </row>
    <row r="1626" spans="1:19" x14ac:dyDescent="0.35">
      <c r="A1626" s="26" t="s">
        <v>543</v>
      </c>
      <c r="B1626" s="26" t="s">
        <v>543</v>
      </c>
      <c r="C1626" s="26"/>
      <c r="D1626" s="26" t="s">
        <v>543</v>
      </c>
      <c r="E1626" s="26" t="str">
        <f>IFERROR(VLOOKUP(G1626,WholesaleExtract!B:J,9,FALSE),"")</f>
        <v/>
      </c>
      <c r="F1626" s="26" t="str">
        <f>IFERROR(VLOOKUP(G1626,WholesaleExtract!B:J,6,FALSE),"")</f>
        <v/>
      </c>
      <c r="G1626" s="46"/>
      <c r="H1626" s="47" t="str">
        <f>IFERROR(VLOOKUP(G1626,WholesaleExtract!B:L,11,FALSE),"")</f>
        <v/>
      </c>
      <c r="I1626" s="26" t="str">
        <f>IFERROR(VLOOKUP(G1626,WholesaleExtract!B:O,8,FALSE),"")</f>
        <v/>
      </c>
      <c r="J1626" s="26" t="str">
        <f>IFERROR(VLOOKUP(G1626,WholesaleExtract!B:O,14,FALSE),"")</f>
        <v/>
      </c>
      <c r="K1626" s="26" t="str">
        <f>IFERROR(VLOOKUP(G1626,WholesaleExtract!B:K,10,FALSE),"")</f>
        <v/>
      </c>
      <c r="L1626" s="47" t="str">
        <f>IFERROR(VLOOKUP(G1626,WholesaleExtract!B:L,11,FALSE),"")</f>
        <v/>
      </c>
      <c r="M1626" s="47" t="str">
        <f>IFERROR(VLOOKUP(G1626,WholesaleExtract!B:M,12,FALSE),"")</f>
        <v/>
      </c>
      <c r="N1626" s="27"/>
      <c r="O1626" s="19"/>
      <c r="P1626" s="19"/>
      <c r="Q1626" s="47"/>
      <c r="R1626" s="19"/>
      <c r="S1626" s="19"/>
    </row>
    <row r="1627" spans="1:19" x14ac:dyDescent="0.35">
      <c r="A1627" s="26" t="s">
        <v>543</v>
      </c>
      <c r="B1627" s="26" t="s">
        <v>543</v>
      </c>
      <c r="C1627" s="26"/>
      <c r="D1627" s="26" t="s">
        <v>543</v>
      </c>
      <c r="E1627" s="26" t="str">
        <f>IFERROR(VLOOKUP(G1627,WholesaleExtract!B:J,9,FALSE),"")</f>
        <v/>
      </c>
      <c r="F1627" s="26" t="str">
        <f>IFERROR(VLOOKUP(G1627,WholesaleExtract!B:J,6,FALSE),"")</f>
        <v/>
      </c>
      <c r="G1627" s="46"/>
      <c r="H1627" s="47" t="str">
        <f>IFERROR(VLOOKUP(G1627,WholesaleExtract!B:L,11,FALSE),"")</f>
        <v/>
      </c>
      <c r="I1627" s="26" t="str">
        <f>IFERROR(VLOOKUP(G1627,WholesaleExtract!B:O,8,FALSE),"")</f>
        <v/>
      </c>
      <c r="J1627" s="26" t="str">
        <f>IFERROR(VLOOKUP(G1627,WholesaleExtract!B:O,14,FALSE),"")</f>
        <v/>
      </c>
      <c r="K1627" s="26" t="str">
        <f>IFERROR(VLOOKUP(G1627,WholesaleExtract!B:K,10,FALSE),"")</f>
        <v/>
      </c>
      <c r="L1627" s="47" t="str">
        <f>IFERROR(VLOOKUP(G1627,WholesaleExtract!B:L,11,FALSE),"")</f>
        <v/>
      </c>
      <c r="M1627" s="47" t="str">
        <f>IFERROR(VLOOKUP(G1627,WholesaleExtract!B:M,12,FALSE),"")</f>
        <v/>
      </c>
      <c r="N1627" s="27"/>
      <c r="O1627" s="19"/>
      <c r="P1627" s="19"/>
      <c r="Q1627" s="47"/>
      <c r="R1627" s="19"/>
      <c r="S1627" s="19"/>
    </row>
    <row r="1628" spans="1:19" x14ac:dyDescent="0.35">
      <c r="A1628" s="26" t="s">
        <v>543</v>
      </c>
      <c r="B1628" s="26" t="s">
        <v>543</v>
      </c>
      <c r="C1628" s="26"/>
      <c r="D1628" s="26" t="s">
        <v>543</v>
      </c>
      <c r="E1628" s="26" t="str">
        <f>IFERROR(VLOOKUP(G1628,WholesaleExtract!B:J,9,FALSE),"")</f>
        <v/>
      </c>
      <c r="F1628" s="26" t="str">
        <f>IFERROR(VLOOKUP(G1628,WholesaleExtract!B:J,6,FALSE),"")</f>
        <v/>
      </c>
      <c r="G1628" s="46"/>
      <c r="H1628" s="47" t="str">
        <f>IFERROR(VLOOKUP(G1628,WholesaleExtract!B:L,11,FALSE),"")</f>
        <v/>
      </c>
      <c r="I1628" s="26" t="str">
        <f>IFERROR(VLOOKUP(G1628,WholesaleExtract!B:O,8,FALSE),"")</f>
        <v/>
      </c>
      <c r="J1628" s="26" t="str">
        <f>IFERROR(VLOOKUP(G1628,WholesaleExtract!B:O,14,FALSE),"")</f>
        <v/>
      </c>
      <c r="K1628" s="26" t="str">
        <f>IFERROR(VLOOKUP(G1628,WholesaleExtract!B:K,10,FALSE),"")</f>
        <v/>
      </c>
      <c r="L1628" s="47" t="str">
        <f>IFERROR(VLOOKUP(G1628,WholesaleExtract!B:L,11,FALSE),"")</f>
        <v/>
      </c>
      <c r="M1628" s="47" t="str">
        <f>IFERROR(VLOOKUP(G1628,WholesaleExtract!B:M,12,FALSE),"")</f>
        <v/>
      </c>
      <c r="N1628" s="27"/>
      <c r="O1628" s="19"/>
      <c r="P1628" s="19"/>
      <c r="Q1628" s="47"/>
      <c r="R1628" s="19"/>
      <c r="S1628" s="19"/>
    </row>
    <row r="1629" spans="1:19" x14ac:dyDescent="0.35">
      <c r="A1629" s="26" t="s">
        <v>543</v>
      </c>
      <c r="B1629" s="26" t="s">
        <v>543</v>
      </c>
      <c r="C1629" s="26"/>
      <c r="D1629" s="26" t="s">
        <v>543</v>
      </c>
      <c r="E1629" s="26" t="str">
        <f>IFERROR(VLOOKUP(G1629,WholesaleExtract!B:J,9,FALSE),"")</f>
        <v/>
      </c>
      <c r="F1629" s="26" t="str">
        <f>IFERROR(VLOOKUP(G1629,WholesaleExtract!B:J,6,FALSE),"")</f>
        <v/>
      </c>
      <c r="G1629" s="46"/>
      <c r="H1629" s="47" t="str">
        <f>IFERROR(VLOOKUP(G1629,WholesaleExtract!B:L,11,FALSE),"")</f>
        <v/>
      </c>
      <c r="I1629" s="26" t="str">
        <f>IFERROR(VLOOKUP(G1629,WholesaleExtract!B:O,8,FALSE),"")</f>
        <v/>
      </c>
      <c r="J1629" s="26" t="str">
        <f>IFERROR(VLOOKUP(G1629,WholesaleExtract!B:O,14,FALSE),"")</f>
        <v/>
      </c>
      <c r="K1629" s="26" t="str">
        <f>IFERROR(VLOOKUP(G1629,WholesaleExtract!B:K,10,FALSE),"")</f>
        <v/>
      </c>
      <c r="L1629" s="47" t="str">
        <f>IFERROR(VLOOKUP(G1629,WholesaleExtract!B:L,11,FALSE),"")</f>
        <v/>
      </c>
      <c r="M1629" s="47" t="str">
        <f>IFERROR(VLOOKUP(G1629,WholesaleExtract!B:M,12,FALSE),"")</f>
        <v/>
      </c>
      <c r="N1629" s="27"/>
      <c r="O1629" s="19"/>
      <c r="P1629" s="19"/>
      <c r="Q1629" s="47"/>
      <c r="R1629" s="19"/>
      <c r="S1629" s="19"/>
    </row>
    <row r="1630" spans="1:19" x14ac:dyDescent="0.35">
      <c r="A1630" s="26" t="s">
        <v>543</v>
      </c>
      <c r="B1630" s="26" t="s">
        <v>543</v>
      </c>
      <c r="C1630" s="26"/>
      <c r="D1630" s="26" t="s">
        <v>543</v>
      </c>
      <c r="E1630" s="26" t="str">
        <f>IFERROR(VLOOKUP(G1630,WholesaleExtract!B:J,9,FALSE),"")</f>
        <v/>
      </c>
      <c r="F1630" s="26" t="str">
        <f>IFERROR(VLOOKUP(G1630,WholesaleExtract!B:J,6,FALSE),"")</f>
        <v/>
      </c>
      <c r="G1630" s="46"/>
      <c r="H1630" s="47" t="str">
        <f>IFERROR(VLOOKUP(G1630,WholesaleExtract!B:L,11,FALSE),"")</f>
        <v/>
      </c>
      <c r="I1630" s="26" t="str">
        <f>IFERROR(VLOOKUP(G1630,WholesaleExtract!B:O,8,FALSE),"")</f>
        <v/>
      </c>
      <c r="J1630" s="26" t="str">
        <f>IFERROR(VLOOKUP(G1630,WholesaleExtract!B:O,14,FALSE),"")</f>
        <v/>
      </c>
      <c r="K1630" s="26" t="str">
        <f>IFERROR(VLOOKUP(G1630,WholesaleExtract!B:K,10,FALSE),"")</f>
        <v/>
      </c>
      <c r="L1630" s="47" t="str">
        <f>IFERROR(VLOOKUP(G1630,WholesaleExtract!B:L,11,FALSE),"")</f>
        <v/>
      </c>
      <c r="M1630" s="47" t="str">
        <f>IFERROR(VLOOKUP(G1630,WholesaleExtract!B:M,12,FALSE),"")</f>
        <v/>
      </c>
      <c r="N1630" s="27"/>
      <c r="O1630" s="19"/>
      <c r="P1630" s="19"/>
      <c r="Q1630" s="47"/>
      <c r="R1630" s="19"/>
      <c r="S1630" s="19"/>
    </row>
    <row r="1631" spans="1:19" x14ac:dyDescent="0.35">
      <c r="A1631" s="26" t="s">
        <v>543</v>
      </c>
      <c r="B1631" s="26" t="s">
        <v>543</v>
      </c>
      <c r="C1631" s="26"/>
      <c r="D1631" s="26" t="s">
        <v>543</v>
      </c>
      <c r="E1631" s="26" t="str">
        <f>IFERROR(VLOOKUP(G1631,WholesaleExtract!B:J,9,FALSE),"")</f>
        <v/>
      </c>
      <c r="F1631" s="26" t="str">
        <f>IFERROR(VLOOKUP(G1631,WholesaleExtract!B:J,6,FALSE),"")</f>
        <v/>
      </c>
      <c r="G1631" s="46"/>
      <c r="H1631" s="47" t="str">
        <f>IFERROR(VLOOKUP(G1631,WholesaleExtract!B:L,11,FALSE),"")</f>
        <v/>
      </c>
      <c r="I1631" s="26" t="str">
        <f>IFERROR(VLOOKUP(G1631,WholesaleExtract!B:O,8,FALSE),"")</f>
        <v/>
      </c>
      <c r="J1631" s="26" t="str">
        <f>IFERROR(VLOOKUP(G1631,WholesaleExtract!B:O,14,FALSE),"")</f>
        <v/>
      </c>
      <c r="K1631" s="26" t="str">
        <f>IFERROR(VLOOKUP(G1631,WholesaleExtract!B:K,10,FALSE),"")</f>
        <v/>
      </c>
      <c r="L1631" s="47" t="str">
        <f>IFERROR(VLOOKUP(G1631,WholesaleExtract!B:L,11,FALSE),"")</f>
        <v/>
      </c>
      <c r="M1631" s="47" t="str">
        <f>IFERROR(VLOOKUP(G1631,WholesaleExtract!B:M,12,FALSE),"")</f>
        <v/>
      </c>
      <c r="N1631" s="27"/>
      <c r="O1631" s="19"/>
      <c r="P1631" s="19"/>
      <c r="Q1631" s="47"/>
      <c r="R1631" s="19"/>
      <c r="S1631" s="19"/>
    </row>
    <row r="1632" spans="1:19" x14ac:dyDescent="0.35">
      <c r="A1632" s="26" t="s">
        <v>543</v>
      </c>
      <c r="B1632" s="26" t="s">
        <v>543</v>
      </c>
      <c r="C1632" s="26"/>
      <c r="D1632" s="26" t="s">
        <v>543</v>
      </c>
      <c r="E1632" s="26" t="str">
        <f>IFERROR(VLOOKUP(G1632,WholesaleExtract!B:J,9,FALSE),"")</f>
        <v/>
      </c>
      <c r="F1632" s="26" t="str">
        <f>IFERROR(VLOOKUP(G1632,WholesaleExtract!B:J,6,FALSE),"")</f>
        <v/>
      </c>
      <c r="G1632" s="46"/>
      <c r="H1632" s="47" t="str">
        <f>IFERROR(VLOOKUP(G1632,WholesaleExtract!B:L,11,FALSE),"")</f>
        <v/>
      </c>
      <c r="I1632" s="26" t="str">
        <f>IFERROR(VLOOKUP(G1632,WholesaleExtract!B:O,8,FALSE),"")</f>
        <v/>
      </c>
      <c r="J1632" s="26" t="str">
        <f>IFERROR(VLOOKUP(G1632,WholesaleExtract!B:O,14,FALSE),"")</f>
        <v/>
      </c>
      <c r="K1632" s="26" t="str">
        <f>IFERROR(VLOOKUP(G1632,WholesaleExtract!B:K,10,FALSE),"")</f>
        <v/>
      </c>
      <c r="L1632" s="47" t="str">
        <f>IFERROR(VLOOKUP(G1632,WholesaleExtract!B:L,11,FALSE),"")</f>
        <v/>
      </c>
      <c r="M1632" s="47" t="str">
        <f>IFERROR(VLOOKUP(G1632,WholesaleExtract!B:M,12,FALSE),"")</f>
        <v/>
      </c>
      <c r="N1632" s="27"/>
      <c r="O1632" s="19"/>
      <c r="P1632" s="19"/>
      <c r="Q1632" s="47"/>
      <c r="R1632" s="19"/>
      <c r="S1632" s="19"/>
    </row>
    <row r="1633" spans="1:19" x14ac:dyDescent="0.35">
      <c r="A1633" s="26" t="s">
        <v>543</v>
      </c>
      <c r="B1633" s="26" t="s">
        <v>543</v>
      </c>
      <c r="C1633" s="26"/>
      <c r="D1633" s="26" t="s">
        <v>543</v>
      </c>
      <c r="E1633" s="26" t="str">
        <f>IFERROR(VLOOKUP(G1633,WholesaleExtract!B:J,9,FALSE),"")</f>
        <v/>
      </c>
      <c r="F1633" s="26" t="str">
        <f>IFERROR(VLOOKUP(G1633,WholesaleExtract!B:J,6,FALSE),"")</f>
        <v/>
      </c>
      <c r="G1633" s="46"/>
      <c r="H1633" s="47" t="str">
        <f>IFERROR(VLOOKUP(G1633,WholesaleExtract!B:L,11,FALSE),"")</f>
        <v/>
      </c>
      <c r="I1633" s="26" t="str">
        <f>IFERROR(VLOOKUP(G1633,WholesaleExtract!B:O,8,FALSE),"")</f>
        <v/>
      </c>
      <c r="J1633" s="26" t="str">
        <f>IFERROR(VLOOKUP(G1633,WholesaleExtract!B:O,14,FALSE),"")</f>
        <v/>
      </c>
      <c r="K1633" s="26" t="str">
        <f>IFERROR(VLOOKUP(G1633,WholesaleExtract!B:K,10,FALSE),"")</f>
        <v/>
      </c>
      <c r="L1633" s="47" t="str">
        <f>IFERROR(VLOOKUP(G1633,WholesaleExtract!B:L,11,FALSE),"")</f>
        <v/>
      </c>
      <c r="M1633" s="47" t="str">
        <f>IFERROR(VLOOKUP(G1633,WholesaleExtract!B:M,12,FALSE),"")</f>
        <v/>
      </c>
      <c r="N1633" s="27"/>
      <c r="O1633" s="19"/>
      <c r="P1633" s="19"/>
      <c r="Q1633" s="47"/>
      <c r="R1633" s="19"/>
      <c r="S1633" s="19"/>
    </row>
    <row r="1634" spans="1:19" x14ac:dyDescent="0.35">
      <c r="A1634" s="26" t="s">
        <v>543</v>
      </c>
      <c r="B1634" s="26" t="s">
        <v>543</v>
      </c>
      <c r="C1634" s="26"/>
      <c r="D1634" s="26" t="s">
        <v>543</v>
      </c>
      <c r="E1634" s="26" t="str">
        <f>IFERROR(VLOOKUP(G1634,WholesaleExtract!B:J,9,FALSE),"")</f>
        <v/>
      </c>
      <c r="F1634" s="26" t="str">
        <f>IFERROR(VLOOKUP(G1634,WholesaleExtract!B:J,6,FALSE),"")</f>
        <v/>
      </c>
      <c r="G1634" s="46"/>
      <c r="H1634" s="47" t="str">
        <f>IFERROR(VLOOKUP(G1634,WholesaleExtract!B:L,11,FALSE),"")</f>
        <v/>
      </c>
      <c r="I1634" s="26" t="str">
        <f>IFERROR(VLOOKUP(G1634,WholesaleExtract!B:O,8,FALSE),"")</f>
        <v/>
      </c>
      <c r="J1634" s="26" t="str">
        <f>IFERROR(VLOOKUP(G1634,WholesaleExtract!B:O,14,FALSE),"")</f>
        <v/>
      </c>
      <c r="K1634" s="26" t="str">
        <f>IFERROR(VLOOKUP(G1634,WholesaleExtract!B:K,10,FALSE),"")</f>
        <v/>
      </c>
      <c r="L1634" s="47" t="str">
        <f>IFERROR(VLOOKUP(G1634,WholesaleExtract!B:L,11,FALSE),"")</f>
        <v/>
      </c>
      <c r="M1634" s="47" t="str">
        <f>IFERROR(VLOOKUP(G1634,WholesaleExtract!B:M,12,FALSE),"")</f>
        <v/>
      </c>
      <c r="N1634" s="27"/>
      <c r="O1634" s="19"/>
      <c r="P1634" s="19"/>
      <c r="Q1634" s="47"/>
      <c r="R1634" s="19"/>
      <c r="S1634" s="19"/>
    </row>
    <row r="1635" spans="1:19" x14ac:dyDescent="0.35">
      <c r="A1635" s="26" t="s">
        <v>543</v>
      </c>
      <c r="B1635" s="26" t="s">
        <v>543</v>
      </c>
      <c r="C1635" s="26"/>
      <c r="D1635" s="26" t="s">
        <v>543</v>
      </c>
      <c r="E1635" s="26" t="str">
        <f>IFERROR(VLOOKUP(G1635,WholesaleExtract!B:J,9,FALSE),"")</f>
        <v/>
      </c>
      <c r="F1635" s="26" t="str">
        <f>IFERROR(VLOOKUP(G1635,WholesaleExtract!B:J,6,FALSE),"")</f>
        <v/>
      </c>
      <c r="G1635" s="46"/>
      <c r="H1635" s="47" t="str">
        <f>IFERROR(VLOOKUP(G1635,WholesaleExtract!B:L,11,FALSE),"")</f>
        <v/>
      </c>
      <c r="I1635" s="26" t="str">
        <f>IFERROR(VLOOKUP(G1635,WholesaleExtract!B:O,8,FALSE),"")</f>
        <v/>
      </c>
      <c r="J1635" s="26" t="str">
        <f>IFERROR(VLOOKUP(G1635,WholesaleExtract!B:O,14,FALSE),"")</f>
        <v/>
      </c>
      <c r="K1635" s="26" t="str">
        <f>IFERROR(VLOOKUP(G1635,WholesaleExtract!B:K,10,FALSE),"")</f>
        <v/>
      </c>
      <c r="L1635" s="47" t="str">
        <f>IFERROR(VLOOKUP(G1635,WholesaleExtract!B:L,11,FALSE),"")</f>
        <v/>
      </c>
      <c r="M1635" s="47" t="str">
        <f>IFERROR(VLOOKUP(G1635,WholesaleExtract!B:M,12,FALSE),"")</f>
        <v/>
      </c>
      <c r="N1635" s="27"/>
      <c r="O1635" s="19"/>
      <c r="P1635" s="19"/>
      <c r="Q1635" s="47"/>
      <c r="R1635" s="19"/>
      <c r="S1635" s="19"/>
    </row>
    <row r="1636" spans="1:19" x14ac:dyDescent="0.35">
      <c r="A1636" s="26" t="s">
        <v>543</v>
      </c>
      <c r="B1636" s="26" t="s">
        <v>543</v>
      </c>
      <c r="C1636" s="26"/>
      <c r="D1636" s="26" t="s">
        <v>543</v>
      </c>
      <c r="E1636" s="26" t="str">
        <f>IFERROR(VLOOKUP(G1636,WholesaleExtract!B:J,9,FALSE),"")</f>
        <v/>
      </c>
      <c r="F1636" s="26" t="str">
        <f>IFERROR(VLOOKUP(G1636,WholesaleExtract!B:J,6,FALSE),"")</f>
        <v/>
      </c>
      <c r="G1636" s="46"/>
      <c r="H1636" s="47" t="str">
        <f>IFERROR(VLOOKUP(G1636,WholesaleExtract!B:L,11,FALSE),"")</f>
        <v/>
      </c>
      <c r="I1636" s="26" t="str">
        <f>IFERROR(VLOOKUP(G1636,WholesaleExtract!B:O,8,FALSE),"")</f>
        <v/>
      </c>
      <c r="J1636" s="26" t="str">
        <f>IFERROR(VLOOKUP(G1636,WholesaleExtract!B:O,14,FALSE),"")</f>
        <v/>
      </c>
      <c r="K1636" s="26" t="str">
        <f>IFERROR(VLOOKUP(G1636,WholesaleExtract!B:K,10,FALSE),"")</f>
        <v/>
      </c>
      <c r="L1636" s="47" t="str">
        <f>IFERROR(VLOOKUP(G1636,WholesaleExtract!B:L,11,FALSE),"")</f>
        <v/>
      </c>
      <c r="M1636" s="47" t="str">
        <f>IFERROR(VLOOKUP(G1636,WholesaleExtract!B:M,12,FALSE),"")</f>
        <v/>
      </c>
      <c r="N1636" s="27"/>
      <c r="O1636" s="19"/>
      <c r="P1636" s="19"/>
      <c r="Q1636" s="47"/>
      <c r="R1636" s="19"/>
      <c r="S1636" s="19"/>
    </row>
    <row r="1637" spans="1:19" x14ac:dyDescent="0.35">
      <c r="A1637" s="26" t="s">
        <v>543</v>
      </c>
      <c r="B1637" s="26" t="s">
        <v>543</v>
      </c>
      <c r="C1637" s="26"/>
      <c r="D1637" s="26" t="s">
        <v>543</v>
      </c>
      <c r="E1637" s="26" t="str">
        <f>IFERROR(VLOOKUP(G1637,WholesaleExtract!B:J,9,FALSE),"")</f>
        <v/>
      </c>
      <c r="F1637" s="26" t="str">
        <f>IFERROR(VLOOKUP(G1637,WholesaleExtract!B:J,6,FALSE),"")</f>
        <v/>
      </c>
      <c r="G1637" s="46"/>
      <c r="H1637" s="47" t="str">
        <f>IFERROR(VLOOKUP(G1637,WholesaleExtract!B:L,11,FALSE),"")</f>
        <v/>
      </c>
      <c r="I1637" s="26" t="str">
        <f>IFERROR(VLOOKUP(G1637,WholesaleExtract!B:O,8,FALSE),"")</f>
        <v/>
      </c>
      <c r="J1637" s="26" t="str">
        <f>IFERROR(VLOOKUP(G1637,WholesaleExtract!B:O,14,FALSE),"")</f>
        <v/>
      </c>
      <c r="K1637" s="26" t="str">
        <f>IFERROR(VLOOKUP(G1637,WholesaleExtract!B:K,10,FALSE),"")</f>
        <v/>
      </c>
      <c r="L1637" s="47" t="str">
        <f>IFERROR(VLOOKUP(G1637,WholesaleExtract!B:L,11,FALSE),"")</f>
        <v/>
      </c>
      <c r="M1637" s="47" t="str">
        <f>IFERROR(VLOOKUP(G1637,WholesaleExtract!B:M,12,FALSE),"")</f>
        <v/>
      </c>
      <c r="N1637" s="27"/>
      <c r="O1637" s="19"/>
      <c r="P1637" s="19"/>
      <c r="Q1637" s="47"/>
      <c r="R1637" s="19"/>
      <c r="S1637" s="19"/>
    </row>
    <row r="1638" spans="1:19" x14ac:dyDescent="0.35">
      <c r="A1638" s="26" t="s">
        <v>543</v>
      </c>
      <c r="B1638" s="26" t="s">
        <v>543</v>
      </c>
      <c r="C1638" s="26"/>
      <c r="D1638" s="26" t="s">
        <v>543</v>
      </c>
      <c r="E1638" s="26" t="str">
        <f>IFERROR(VLOOKUP(G1638,WholesaleExtract!B:J,9,FALSE),"")</f>
        <v/>
      </c>
      <c r="F1638" s="26" t="str">
        <f>IFERROR(VLOOKUP(G1638,WholesaleExtract!B:J,6,FALSE),"")</f>
        <v/>
      </c>
      <c r="G1638" s="46"/>
      <c r="H1638" s="47" t="str">
        <f>IFERROR(VLOOKUP(G1638,WholesaleExtract!B:L,11,FALSE),"")</f>
        <v/>
      </c>
      <c r="I1638" s="26" t="str">
        <f>IFERROR(VLOOKUP(G1638,WholesaleExtract!B:O,8,FALSE),"")</f>
        <v/>
      </c>
      <c r="J1638" s="26" t="str">
        <f>IFERROR(VLOOKUP(G1638,WholesaleExtract!B:O,14,FALSE),"")</f>
        <v/>
      </c>
      <c r="K1638" s="26" t="str">
        <f>IFERROR(VLOOKUP(G1638,WholesaleExtract!B:K,10,FALSE),"")</f>
        <v/>
      </c>
      <c r="L1638" s="47" t="str">
        <f>IFERROR(VLOOKUP(G1638,WholesaleExtract!B:L,11,FALSE),"")</f>
        <v/>
      </c>
      <c r="M1638" s="47" t="str">
        <f>IFERROR(VLOOKUP(G1638,WholesaleExtract!B:M,12,FALSE),"")</f>
        <v/>
      </c>
      <c r="N1638" s="27"/>
      <c r="O1638" s="19"/>
      <c r="P1638" s="19"/>
      <c r="Q1638" s="47"/>
      <c r="R1638" s="19"/>
      <c r="S1638" s="19"/>
    </row>
    <row r="1639" spans="1:19" x14ac:dyDescent="0.35">
      <c r="A1639" s="26" t="s">
        <v>543</v>
      </c>
      <c r="B1639" s="26" t="s">
        <v>543</v>
      </c>
      <c r="C1639" s="26"/>
      <c r="D1639" s="26" t="s">
        <v>543</v>
      </c>
      <c r="E1639" s="26" t="str">
        <f>IFERROR(VLOOKUP(G1639,WholesaleExtract!B:J,9,FALSE),"")</f>
        <v/>
      </c>
      <c r="F1639" s="26" t="str">
        <f>IFERROR(VLOOKUP(G1639,WholesaleExtract!B:J,6,FALSE),"")</f>
        <v/>
      </c>
      <c r="G1639" s="46"/>
      <c r="H1639" s="47" t="str">
        <f>IFERROR(VLOOKUP(G1639,WholesaleExtract!B:L,11,FALSE),"")</f>
        <v/>
      </c>
      <c r="I1639" s="26" t="str">
        <f>IFERROR(VLOOKUP(G1639,WholesaleExtract!B:O,8,FALSE),"")</f>
        <v/>
      </c>
      <c r="J1639" s="26" t="str">
        <f>IFERROR(VLOOKUP(G1639,WholesaleExtract!B:O,14,FALSE),"")</f>
        <v/>
      </c>
      <c r="K1639" s="26" t="str">
        <f>IFERROR(VLOOKUP(G1639,WholesaleExtract!B:K,10,FALSE),"")</f>
        <v/>
      </c>
      <c r="L1639" s="47" t="str">
        <f>IFERROR(VLOOKUP(G1639,WholesaleExtract!B:L,11,FALSE),"")</f>
        <v/>
      </c>
      <c r="M1639" s="47" t="str">
        <f>IFERROR(VLOOKUP(G1639,WholesaleExtract!B:M,12,FALSE),"")</f>
        <v/>
      </c>
      <c r="N1639" s="27"/>
      <c r="O1639" s="19"/>
      <c r="P1639" s="19"/>
      <c r="Q1639" s="47"/>
      <c r="R1639" s="19"/>
      <c r="S1639" s="19"/>
    </row>
    <row r="1640" spans="1:19" x14ac:dyDescent="0.35">
      <c r="A1640" s="26" t="s">
        <v>543</v>
      </c>
      <c r="B1640" s="26" t="s">
        <v>543</v>
      </c>
      <c r="C1640" s="26"/>
      <c r="D1640" s="26" t="s">
        <v>543</v>
      </c>
      <c r="E1640" s="26" t="str">
        <f>IFERROR(VLOOKUP(G1640,WholesaleExtract!B:J,9,FALSE),"")</f>
        <v/>
      </c>
      <c r="F1640" s="26" t="str">
        <f>IFERROR(VLOOKUP(G1640,WholesaleExtract!B:J,6,FALSE),"")</f>
        <v/>
      </c>
      <c r="G1640" s="46"/>
      <c r="H1640" s="47" t="str">
        <f>IFERROR(VLOOKUP(G1640,WholesaleExtract!B:L,11,FALSE),"")</f>
        <v/>
      </c>
      <c r="I1640" s="26" t="str">
        <f>IFERROR(VLOOKUP(G1640,WholesaleExtract!B:O,8,FALSE),"")</f>
        <v/>
      </c>
      <c r="J1640" s="26" t="str">
        <f>IFERROR(VLOOKUP(G1640,WholesaleExtract!B:O,14,FALSE),"")</f>
        <v/>
      </c>
      <c r="K1640" s="26" t="str">
        <f>IFERROR(VLOOKUP(G1640,WholesaleExtract!B:K,10,FALSE),"")</f>
        <v/>
      </c>
      <c r="L1640" s="47" t="str">
        <f>IFERROR(VLOOKUP(G1640,WholesaleExtract!B:L,11,FALSE),"")</f>
        <v/>
      </c>
      <c r="M1640" s="47" t="str">
        <f>IFERROR(VLOOKUP(G1640,WholesaleExtract!B:M,12,FALSE),"")</f>
        <v/>
      </c>
      <c r="N1640" s="27"/>
      <c r="O1640" s="19"/>
      <c r="P1640" s="19"/>
      <c r="Q1640" s="47"/>
      <c r="R1640" s="19"/>
      <c r="S1640" s="19"/>
    </row>
    <row r="1641" spans="1:19" x14ac:dyDescent="0.35">
      <c r="A1641" s="26" t="s">
        <v>543</v>
      </c>
      <c r="B1641" s="26" t="s">
        <v>543</v>
      </c>
      <c r="C1641" s="26"/>
      <c r="D1641" s="26" t="s">
        <v>543</v>
      </c>
      <c r="E1641" s="26" t="str">
        <f>IFERROR(VLOOKUP(G1641,WholesaleExtract!B:J,9,FALSE),"")</f>
        <v/>
      </c>
      <c r="F1641" s="26" t="str">
        <f>IFERROR(VLOOKUP(G1641,WholesaleExtract!B:J,6,FALSE),"")</f>
        <v/>
      </c>
      <c r="G1641" s="46"/>
      <c r="H1641" s="47" t="str">
        <f>IFERROR(VLOOKUP(G1641,WholesaleExtract!B:L,11,FALSE),"")</f>
        <v/>
      </c>
      <c r="I1641" s="26" t="str">
        <f>IFERROR(VLOOKUP(G1641,WholesaleExtract!B:O,8,FALSE),"")</f>
        <v/>
      </c>
      <c r="J1641" s="26" t="str">
        <f>IFERROR(VLOOKUP(G1641,WholesaleExtract!B:O,14,FALSE),"")</f>
        <v/>
      </c>
      <c r="K1641" s="26" t="str">
        <f>IFERROR(VLOOKUP(G1641,WholesaleExtract!B:K,10,FALSE),"")</f>
        <v/>
      </c>
      <c r="L1641" s="47" t="str">
        <f>IFERROR(VLOOKUP(G1641,WholesaleExtract!B:L,11,FALSE),"")</f>
        <v/>
      </c>
      <c r="M1641" s="47" t="str">
        <f>IFERROR(VLOOKUP(G1641,WholesaleExtract!B:M,12,FALSE),"")</f>
        <v/>
      </c>
      <c r="N1641" s="27"/>
      <c r="O1641" s="19"/>
      <c r="P1641" s="19"/>
      <c r="Q1641" s="47"/>
      <c r="R1641" s="19"/>
      <c r="S1641" s="19"/>
    </row>
    <row r="1642" spans="1:19" x14ac:dyDescent="0.35">
      <c r="A1642" s="26" t="s">
        <v>543</v>
      </c>
      <c r="B1642" s="26" t="s">
        <v>543</v>
      </c>
      <c r="C1642" s="26"/>
      <c r="D1642" s="26" t="s">
        <v>543</v>
      </c>
      <c r="E1642" s="26" t="str">
        <f>IFERROR(VLOOKUP(G1642,WholesaleExtract!B:J,9,FALSE),"")</f>
        <v/>
      </c>
      <c r="F1642" s="26" t="str">
        <f>IFERROR(VLOOKUP(G1642,WholesaleExtract!B:J,6,FALSE),"")</f>
        <v/>
      </c>
      <c r="G1642" s="46"/>
      <c r="H1642" s="47" t="str">
        <f>IFERROR(VLOOKUP(G1642,WholesaleExtract!B:L,11,FALSE),"")</f>
        <v/>
      </c>
      <c r="I1642" s="26" t="str">
        <f>IFERROR(VLOOKUP(G1642,WholesaleExtract!B:O,8,FALSE),"")</f>
        <v/>
      </c>
      <c r="J1642" s="26" t="str">
        <f>IFERROR(VLOOKUP(G1642,WholesaleExtract!B:O,14,FALSE),"")</f>
        <v/>
      </c>
      <c r="K1642" s="26" t="str">
        <f>IFERROR(VLOOKUP(G1642,WholesaleExtract!B:K,10,FALSE),"")</f>
        <v/>
      </c>
      <c r="L1642" s="47" t="str">
        <f>IFERROR(VLOOKUP(G1642,WholesaleExtract!B:L,11,FALSE),"")</f>
        <v/>
      </c>
      <c r="M1642" s="47" t="str">
        <f>IFERROR(VLOOKUP(G1642,WholesaleExtract!B:M,12,FALSE),"")</f>
        <v/>
      </c>
      <c r="N1642" s="27"/>
      <c r="O1642" s="19"/>
      <c r="P1642" s="19"/>
      <c r="Q1642" s="47"/>
      <c r="R1642" s="19"/>
      <c r="S1642" s="19"/>
    </row>
    <row r="1643" spans="1:19" x14ac:dyDescent="0.35">
      <c r="A1643" s="26" t="s">
        <v>543</v>
      </c>
      <c r="B1643" s="26" t="s">
        <v>543</v>
      </c>
      <c r="C1643" s="26"/>
      <c r="D1643" s="26" t="s">
        <v>543</v>
      </c>
      <c r="E1643" s="26" t="str">
        <f>IFERROR(VLOOKUP(G1643,WholesaleExtract!B:J,9,FALSE),"")</f>
        <v/>
      </c>
      <c r="F1643" s="26" t="str">
        <f>IFERROR(VLOOKUP(G1643,WholesaleExtract!B:J,6,FALSE),"")</f>
        <v/>
      </c>
      <c r="G1643" s="46"/>
      <c r="H1643" s="47" t="str">
        <f>IFERROR(VLOOKUP(G1643,WholesaleExtract!B:L,11,FALSE),"")</f>
        <v/>
      </c>
      <c r="I1643" s="26" t="str">
        <f>IFERROR(VLOOKUP(G1643,WholesaleExtract!B:O,8,FALSE),"")</f>
        <v/>
      </c>
      <c r="J1643" s="26" t="str">
        <f>IFERROR(VLOOKUP(G1643,WholesaleExtract!B:O,14,FALSE),"")</f>
        <v/>
      </c>
      <c r="K1643" s="26" t="str">
        <f>IFERROR(VLOOKUP(G1643,WholesaleExtract!B:K,10,FALSE),"")</f>
        <v/>
      </c>
      <c r="L1643" s="47" t="str">
        <f>IFERROR(VLOOKUP(G1643,WholesaleExtract!B:L,11,FALSE),"")</f>
        <v/>
      </c>
      <c r="M1643" s="47" t="str">
        <f>IFERROR(VLOOKUP(G1643,WholesaleExtract!B:M,12,FALSE),"")</f>
        <v/>
      </c>
      <c r="N1643" s="27"/>
      <c r="O1643" s="19"/>
      <c r="P1643" s="19"/>
      <c r="Q1643" s="47"/>
      <c r="R1643" s="19"/>
      <c r="S1643" s="19"/>
    </row>
    <row r="1644" spans="1:19" x14ac:dyDescent="0.35">
      <c r="A1644" s="26" t="s">
        <v>543</v>
      </c>
      <c r="B1644" s="26" t="s">
        <v>543</v>
      </c>
      <c r="C1644" s="26"/>
      <c r="D1644" s="26" t="s">
        <v>543</v>
      </c>
      <c r="E1644" s="26" t="str">
        <f>IFERROR(VLOOKUP(G1644,WholesaleExtract!B:J,9,FALSE),"")</f>
        <v/>
      </c>
      <c r="F1644" s="26" t="str">
        <f>IFERROR(VLOOKUP(G1644,WholesaleExtract!B:J,6,FALSE),"")</f>
        <v/>
      </c>
      <c r="G1644" s="46"/>
      <c r="H1644" s="47" t="str">
        <f>IFERROR(VLOOKUP(G1644,WholesaleExtract!B:L,11,FALSE),"")</f>
        <v/>
      </c>
      <c r="I1644" s="26" t="str">
        <f>IFERROR(VLOOKUP(G1644,WholesaleExtract!B:O,8,FALSE),"")</f>
        <v/>
      </c>
      <c r="J1644" s="26" t="str">
        <f>IFERROR(VLOOKUP(G1644,WholesaleExtract!B:O,14,FALSE),"")</f>
        <v/>
      </c>
      <c r="K1644" s="26" t="str">
        <f>IFERROR(VLOOKUP(G1644,WholesaleExtract!B:K,10,FALSE),"")</f>
        <v/>
      </c>
      <c r="L1644" s="47" t="str">
        <f>IFERROR(VLOOKUP(G1644,WholesaleExtract!B:L,11,FALSE),"")</f>
        <v/>
      </c>
      <c r="M1644" s="47" t="str">
        <f>IFERROR(VLOOKUP(G1644,WholesaleExtract!B:M,12,FALSE),"")</f>
        <v/>
      </c>
      <c r="N1644" s="27"/>
      <c r="O1644" s="19"/>
      <c r="P1644" s="19"/>
      <c r="Q1644" s="47"/>
      <c r="R1644" s="19"/>
      <c r="S1644" s="19"/>
    </row>
    <row r="1645" spans="1:19" x14ac:dyDescent="0.35">
      <c r="A1645" s="26" t="s">
        <v>543</v>
      </c>
      <c r="B1645" s="26" t="s">
        <v>543</v>
      </c>
      <c r="C1645" s="26"/>
      <c r="D1645" s="26" t="s">
        <v>543</v>
      </c>
      <c r="E1645" s="26" t="str">
        <f>IFERROR(VLOOKUP(G1645,WholesaleExtract!B:J,9,FALSE),"")</f>
        <v/>
      </c>
      <c r="F1645" s="26" t="str">
        <f>IFERROR(VLOOKUP(G1645,WholesaleExtract!B:J,6,FALSE),"")</f>
        <v/>
      </c>
      <c r="G1645" s="46"/>
      <c r="H1645" s="47" t="str">
        <f>IFERROR(VLOOKUP(G1645,WholesaleExtract!B:L,11,FALSE),"")</f>
        <v/>
      </c>
      <c r="I1645" s="26" t="str">
        <f>IFERROR(VLOOKUP(G1645,WholesaleExtract!B:O,8,FALSE),"")</f>
        <v/>
      </c>
      <c r="J1645" s="26" t="str">
        <f>IFERROR(VLOOKUP(G1645,WholesaleExtract!B:O,14,FALSE),"")</f>
        <v/>
      </c>
      <c r="K1645" s="26" t="str">
        <f>IFERROR(VLOOKUP(G1645,WholesaleExtract!B:K,10,FALSE),"")</f>
        <v/>
      </c>
      <c r="L1645" s="47" t="str">
        <f>IFERROR(VLOOKUP(G1645,WholesaleExtract!B:L,11,FALSE),"")</f>
        <v/>
      </c>
      <c r="M1645" s="47" t="str">
        <f>IFERROR(VLOOKUP(G1645,WholesaleExtract!B:M,12,FALSE),"")</f>
        <v/>
      </c>
      <c r="N1645" s="27"/>
      <c r="O1645" s="19"/>
      <c r="P1645" s="19"/>
      <c r="Q1645" s="47"/>
      <c r="R1645" s="19"/>
      <c r="S1645" s="19"/>
    </row>
    <row r="1646" spans="1:19" x14ac:dyDescent="0.35">
      <c r="A1646" s="26" t="s">
        <v>543</v>
      </c>
      <c r="B1646" s="26" t="s">
        <v>543</v>
      </c>
      <c r="C1646" s="26"/>
      <c r="D1646" s="26" t="s">
        <v>543</v>
      </c>
      <c r="E1646" s="26" t="str">
        <f>IFERROR(VLOOKUP(G1646,WholesaleExtract!B:J,9,FALSE),"")</f>
        <v/>
      </c>
      <c r="F1646" s="26" t="str">
        <f>IFERROR(VLOOKUP(G1646,WholesaleExtract!B:J,6,FALSE),"")</f>
        <v/>
      </c>
      <c r="G1646" s="46"/>
      <c r="H1646" s="47" t="str">
        <f>IFERROR(VLOOKUP(G1646,WholesaleExtract!B:L,11,FALSE),"")</f>
        <v/>
      </c>
      <c r="I1646" s="26" t="str">
        <f>IFERROR(VLOOKUP(G1646,WholesaleExtract!B:O,8,FALSE),"")</f>
        <v/>
      </c>
      <c r="J1646" s="26" t="str">
        <f>IFERROR(VLOOKUP(G1646,WholesaleExtract!B:O,14,FALSE),"")</f>
        <v/>
      </c>
      <c r="K1646" s="26" t="str">
        <f>IFERROR(VLOOKUP(G1646,WholesaleExtract!B:K,10,FALSE),"")</f>
        <v/>
      </c>
      <c r="L1646" s="47" t="str">
        <f>IFERROR(VLOOKUP(G1646,WholesaleExtract!B:L,11,FALSE),"")</f>
        <v/>
      </c>
      <c r="M1646" s="47" t="str">
        <f>IFERROR(VLOOKUP(G1646,WholesaleExtract!B:M,12,FALSE),"")</f>
        <v/>
      </c>
      <c r="N1646" s="27"/>
      <c r="O1646" s="19"/>
      <c r="P1646" s="19"/>
      <c r="Q1646" s="47"/>
      <c r="R1646" s="19"/>
      <c r="S1646" s="19"/>
    </row>
    <row r="1647" spans="1:19" x14ac:dyDescent="0.35">
      <c r="A1647" s="26" t="s">
        <v>543</v>
      </c>
      <c r="B1647" s="26" t="s">
        <v>543</v>
      </c>
      <c r="C1647" s="26"/>
      <c r="D1647" s="26" t="s">
        <v>543</v>
      </c>
      <c r="E1647" s="26" t="str">
        <f>IFERROR(VLOOKUP(G1647,WholesaleExtract!B:J,9,FALSE),"")</f>
        <v/>
      </c>
      <c r="F1647" s="26" t="str">
        <f>IFERROR(VLOOKUP(G1647,WholesaleExtract!B:J,6,FALSE),"")</f>
        <v/>
      </c>
      <c r="G1647" s="46"/>
      <c r="H1647" s="47" t="str">
        <f>IFERROR(VLOOKUP(G1647,WholesaleExtract!B:L,11,FALSE),"")</f>
        <v/>
      </c>
      <c r="I1647" s="26" t="str">
        <f>IFERROR(VLOOKUP(G1647,WholesaleExtract!B:O,8,FALSE),"")</f>
        <v/>
      </c>
      <c r="J1647" s="26" t="str">
        <f>IFERROR(VLOOKUP(G1647,WholesaleExtract!B:O,14,FALSE),"")</f>
        <v/>
      </c>
      <c r="K1647" s="26" t="str">
        <f>IFERROR(VLOOKUP(G1647,WholesaleExtract!B:K,10,FALSE),"")</f>
        <v/>
      </c>
      <c r="L1647" s="47" t="str">
        <f>IFERROR(VLOOKUP(G1647,WholesaleExtract!B:L,11,FALSE),"")</f>
        <v/>
      </c>
      <c r="M1647" s="47" t="str">
        <f>IFERROR(VLOOKUP(G1647,WholesaleExtract!B:M,12,FALSE),"")</f>
        <v/>
      </c>
      <c r="N1647" s="27"/>
      <c r="O1647" s="19"/>
      <c r="P1647" s="19"/>
      <c r="Q1647" s="47"/>
      <c r="R1647" s="19"/>
      <c r="S1647" s="19"/>
    </row>
    <row r="1648" spans="1:19" x14ac:dyDescent="0.35">
      <c r="A1648" s="26" t="s">
        <v>543</v>
      </c>
      <c r="B1648" s="26" t="s">
        <v>543</v>
      </c>
      <c r="C1648" s="26"/>
      <c r="D1648" s="26" t="s">
        <v>543</v>
      </c>
      <c r="E1648" s="26" t="str">
        <f>IFERROR(VLOOKUP(G1648,WholesaleExtract!B:J,9,FALSE),"")</f>
        <v/>
      </c>
      <c r="F1648" s="26" t="str">
        <f>IFERROR(VLOOKUP(G1648,WholesaleExtract!B:J,6,FALSE),"")</f>
        <v/>
      </c>
      <c r="G1648" s="46"/>
      <c r="H1648" s="47" t="str">
        <f>IFERROR(VLOOKUP(G1648,WholesaleExtract!B:L,11,FALSE),"")</f>
        <v/>
      </c>
      <c r="I1648" s="26" t="str">
        <f>IFERROR(VLOOKUP(G1648,WholesaleExtract!B:O,8,FALSE),"")</f>
        <v/>
      </c>
      <c r="J1648" s="26" t="str">
        <f>IFERROR(VLOOKUP(G1648,WholesaleExtract!B:O,14,FALSE),"")</f>
        <v/>
      </c>
      <c r="K1648" s="26" t="str">
        <f>IFERROR(VLOOKUP(G1648,WholesaleExtract!B:K,10,FALSE),"")</f>
        <v/>
      </c>
      <c r="L1648" s="47" t="str">
        <f>IFERROR(VLOOKUP(G1648,WholesaleExtract!B:L,11,FALSE),"")</f>
        <v/>
      </c>
      <c r="M1648" s="47" t="str">
        <f>IFERROR(VLOOKUP(G1648,WholesaleExtract!B:M,12,FALSE),"")</f>
        <v/>
      </c>
      <c r="N1648" s="27"/>
      <c r="O1648" s="19"/>
      <c r="P1648" s="19"/>
      <c r="Q1648" s="47"/>
      <c r="R1648" s="19"/>
      <c r="S1648" s="19"/>
    </row>
    <row r="1649" spans="1:19" x14ac:dyDescent="0.35">
      <c r="A1649" s="26" t="s">
        <v>543</v>
      </c>
      <c r="B1649" s="26" t="s">
        <v>543</v>
      </c>
      <c r="C1649" s="26"/>
      <c r="D1649" s="26" t="s">
        <v>543</v>
      </c>
      <c r="E1649" s="26" t="str">
        <f>IFERROR(VLOOKUP(G1649,WholesaleExtract!B:J,9,FALSE),"")</f>
        <v/>
      </c>
      <c r="F1649" s="26" t="str">
        <f>IFERROR(VLOOKUP(G1649,WholesaleExtract!B:J,6,FALSE),"")</f>
        <v/>
      </c>
      <c r="G1649" s="46"/>
      <c r="H1649" s="47" t="str">
        <f>IFERROR(VLOOKUP(G1649,WholesaleExtract!B:L,11,FALSE),"")</f>
        <v/>
      </c>
      <c r="I1649" s="26" t="str">
        <f>IFERROR(VLOOKUP(G1649,WholesaleExtract!B:O,8,FALSE),"")</f>
        <v/>
      </c>
      <c r="J1649" s="26" t="str">
        <f>IFERROR(VLOOKUP(G1649,WholesaleExtract!B:O,14,FALSE),"")</f>
        <v/>
      </c>
      <c r="K1649" s="26" t="str">
        <f>IFERROR(VLOOKUP(G1649,WholesaleExtract!B:K,10,FALSE),"")</f>
        <v/>
      </c>
      <c r="L1649" s="47" t="str">
        <f>IFERROR(VLOOKUP(G1649,WholesaleExtract!B:L,11,FALSE),"")</f>
        <v/>
      </c>
      <c r="M1649" s="47" t="str">
        <f>IFERROR(VLOOKUP(G1649,WholesaleExtract!B:M,12,FALSE),"")</f>
        <v/>
      </c>
      <c r="N1649" s="27"/>
      <c r="O1649" s="19"/>
      <c r="P1649" s="19"/>
      <c r="Q1649" s="47"/>
      <c r="R1649" s="19"/>
      <c r="S1649" s="19"/>
    </row>
    <row r="1650" spans="1:19" x14ac:dyDescent="0.35">
      <c r="A1650" s="26" t="s">
        <v>543</v>
      </c>
      <c r="B1650" s="26" t="s">
        <v>543</v>
      </c>
      <c r="C1650" s="26"/>
      <c r="D1650" s="26" t="s">
        <v>543</v>
      </c>
      <c r="E1650" s="26" t="str">
        <f>IFERROR(VLOOKUP(G1650,WholesaleExtract!B:J,9,FALSE),"")</f>
        <v/>
      </c>
      <c r="F1650" s="26" t="str">
        <f>IFERROR(VLOOKUP(G1650,WholesaleExtract!B:J,6,FALSE),"")</f>
        <v/>
      </c>
      <c r="G1650" s="46"/>
      <c r="H1650" s="47" t="str">
        <f>IFERROR(VLOOKUP(G1650,WholesaleExtract!B:L,11,FALSE),"")</f>
        <v/>
      </c>
      <c r="I1650" s="26" t="str">
        <f>IFERROR(VLOOKUP(G1650,WholesaleExtract!B:O,8,FALSE),"")</f>
        <v/>
      </c>
      <c r="J1650" s="26" t="str">
        <f>IFERROR(VLOOKUP(G1650,WholesaleExtract!B:O,14,FALSE),"")</f>
        <v/>
      </c>
      <c r="K1650" s="26" t="str">
        <f>IFERROR(VLOOKUP(G1650,WholesaleExtract!B:K,10,FALSE),"")</f>
        <v/>
      </c>
      <c r="L1650" s="47" t="str">
        <f>IFERROR(VLOOKUP(G1650,WholesaleExtract!B:L,11,FALSE),"")</f>
        <v/>
      </c>
      <c r="M1650" s="47" t="str">
        <f>IFERROR(VLOOKUP(G1650,WholesaleExtract!B:M,12,FALSE),"")</f>
        <v/>
      </c>
      <c r="N1650" s="27"/>
      <c r="O1650" s="19"/>
      <c r="P1650" s="19"/>
      <c r="Q1650" s="47"/>
      <c r="R1650" s="19"/>
      <c r="S1650" s="19"/>
    </row>
    <row r="1651" spans="1:19" x14ac:dyDescent="0.35">
      <c r="A1651" s="26" t="s">
        <v>543</v>
      </c>
      <c r="B1651" s="26" t="s">
        <v>543</v>
      </c>
      <c r="C1651" s="26"/>
      <c r="D1651" s="26" t="s">
        <v>543</v>
      </c>
      <c r="E1651" s="26" t="str">
        <f>IFERROR(VLOOKUP(G1651,WholesaleExtract!B:J,9,FALSE),"")</f>
        <v/>
      </c>
      <c r="F1651" s="26" t="str">
        <f>IFERROR(VLOOKUP(G1651,WholesaleExtract!B:J,6,FALSE),"")</f>
        <v/>
      </c>
      <c r="G1651" s="46"/>
      <c r="H1651" s="47" t="str">
        <f>IFERROR(VLOOKUP(G1651,WholesaleExtract!B:L,11,FALSE),"")</f>
        <v/>
      </c>
      <c r="I1651" s="26" t="str">
        <f>IFERROR(VLOOKUP(G1651,WholesaleExtract!B:O,8,FALSE),"")</f>
        <v/>
      </c>
      <c r="J1651" s="26" t="str">
        <f>IFERROR(VLOOKUP(G1651,WholesaleExtract!B:O,14,FALSE),"")</f>
        <v/>
      </c>
      <c r="K1651" s="26" t="str">
        <f>IFERROR(VLOOKUP(G1651,WholesaleExtract!B:K,10,FALSE),"")</f>
        <v/>
      </c>
      <c r="L1651" s="47" t="str">
        <f>IFERROR(VLOOKUP(G1651,WholesaleExtract!B:L,11,FALSE),"")</f>
        <v/>
      </c>
      <c r="M1651" s="47" t="str">
        <f>IFERROR(VLOOKUP(G1651,WholesaleExtract!B:M,12,FALSE),"")</f>
        <v/>
      </c>
      <c r="N1651" s="27"/>
      <c r="O1651" s="19"/>
      <c r="P1651" s="19"/>
      <c r="Q1651" s="47"/>
      <c r="R1651" s="19"/>
      <c r="S1651" s="19"/>
    </row>
    <row r="1652" spans="1:19" x14ac:dyDescent="0.35">
      <c r="A1652" s="26" t="s">
        <v>543</v>
      </c>
      <c r="B1652" s="26" t="s">
        <v>543</v>
      </c>
      <c r="C1652" s="26"/>
      <c r="D1652" s="26" t="s">
        <v>543</v>
      </c>
      <c r="E1652" s="26" t="str">
        <f>IFERROR(VLOOKUP(G1652,WholesaleExtract!B:J,9,FALSE),"")</f>
        <v/>
      </c>
      <c r="F1652" s="26" t="str">
        <f>IFERROR(VLOOKUP(G1652,WholesaleExtract!B:J,6,FALSE),"")</f>
        <v/>
      </c>
      <c r="G1652" s="46"/>
      <c r="H1652" s="47" t="str">
        <f>IFERROR(VLOOKUP(G1652,WholesaleExtract!B:L,11,FALSE),"")</f>
        <v/>
      </c>
      <c r="I1652" s="26" t="str">
        <f>IFERROR(VLOOKUP(G1652,WholesaleExtract!B:O,8,FALSE),"")</f>
        <v/>
      </c>
      <c r="J1652" s="26" t="str">
        <f>IFERROR(VLOOKUP(G1652,WholesaleExtract!B:O,14,FALSE),"")</f>
        <v/>
      </c>
      <c r="K1652" s="26" t="str">
        <f>IFERROR(VLOOKUP(G1652,WholesaleExtract!B:K,10,FALSE),"")</f>
        <v/>
      </c>
      <c r="L1652" s="47" t="str">
        <f>IFERROR(VLOOKUP(G1652,WholesaleExtract!B:L,11,FALSE),"")</f>
        <v/>
      </c>
      <c r="M1652" s="47" t="str">
        <f>IFERROR(VLOOKUP(G1652,WholesaleExtract!B:M,12,FALSE),"")</f>
        <v/>
      </c>
      <c r="N1652" s="27"/>
      <c r="O1652" s="19"/>
      <c r="P1652" s="19"/>
      <c r="Q1652" s="47"/>
      <c r="R1652" s="19"/>
      <c r="S1652" s="19"/>
    </row>
    <row r="1653" spans="1:19" x14ac:dyDescent="0.35">
      <c r="A1653" s="26" t="s">
        <v>543</v>
      </c>
      <c r="B1653" s="26" t="s">
        <v>543</v>
      </c>
      <c r="C1653" s="26"/>
      <c r="D1653" s="26" t="s">
        <v>543</v>
      </c>
      <c r="E1653" s="26" t="str">
        <f>IFERROR(VLOOKUP(G1653,WholesaleExtract!B:J,9,FALSE),"")</f>
        <v/>
      </c>
      <c r="F1653" s="26" t="str">
        <f>IFERROR(VLOOKUP(G1653,WholesaleExtract!B:J,6,FALSE),"")</f>
        <v/>
      </c>
      <c r="G1653" s="46"/>
      <c r="H1653" s="47" t="str">
        <f>IFERROR(VLOOKUP(G1653,WholesaleExtract!B:L,11,FALSE),"")</f>
        <v/>
      </c>
      <c r="I1653" s="26" t="str">
        <f>IFERROR(VLOOKUP(G1653,WholesaleExtract!B:O,8,FALSE),"")</f>
        <v/>
      </c>
      <c r="J1653" s="26" t="str">
        <f>IFERROR(VLOOKUP(G1653,WholesaleExtract!B:O,14,FALSE),"")</f>
        <v/>
      </c>
      <c r="K1653" s="26" t="str">
        <f>IFERROR(VLOOKUP(G1653,WholesaleExtract!B:K,10,FALSE),"")</f>
        <v/>
      </c>
      <c r="L1653" s="47" t="str">
        <f>IFERROR(VLOOKUP(G1653,WholesaleExtract!B:L,11,FALSE),"")</f>
        <v/>
      </c>
      <c r="M1653" s="47" t="str">
        <f>IFERROR(VLOOKUP(G1653,WholesaleExtract!B:M,12,FALSE),"")</f>
        <v/>
      </c>
      <c r="N1653" s="27"/>
      <c r="O1653" s="19"/>
      <c r="P1653" s="19"/>
      <c r="Q1653" s="47"/>
      <c r="R1653" s="19"/>
      <c r="S1653" s="19"/>
    </row>
    <row r="1654" spans="1:19" x14ac:dyDescent="0.35">
      <c r="A1654" s="26" t="s">
        <v>543</v>
      </c>
      <c r="B1654" s="26" t="s">
        <v>543</v>
      </c>
      <c r="C1654" s="26"/>
      <c r="D1654" s="26" t="s">
        <v>543</v>
      </c>
      <c r="E1654" s="26" t="str">
        <f>IFERROR(VLOOKUP(G1654,WholesaleExtract!B:J,9,FALSE),"")</f>
        <v/>
      </c>
      <c r="F1654" s="26" t="str">
        <f>IFERROR(VLOOKUP(G1654,WholesaleExtract!B:J,6,FALSE),"")</f>
        <v/>
      </c>
      <c r="G1654" s="46"/>
      <c r="H1654" s="47" t="str">
        <f>IFERROR(VLOOKUP(G1654,WholesaleExtract!B:L,11,FALSE),"")</f>
        <v/>
      </c>
      <c r="I1654" s="26" t="str">
        <f>IFERROR(VLOOKUP(G1654,WholesaleExtract!B:O,8,FALSE),"")</f>
        <v/>
      </c>
      <c r="J1654" s="26" t="str">
        <f>IFERROR(VLOOKUP(G1654,WholesaleExtract!B:O,14,FALSE),"")</f>
        <v/>
      </c>
      <c r="K1654" s="26" t="str">
        <f>IFERROR(VLOOKUP(G1654,WholesaleExtract!B:K,10,FALSE),"")</f>
        <v/>
      </c>
      <c r="L1654" s="47" t="str">
        <f>IFERROR(VLOOKUP(G1654,WholesaleExtract!B:L,11,FALSE),"")</f>
        <v/>
      </c>
      <c r="M1654" s="47" t="str">
        <f>IFERROR(VLOOKUP(G1654,WholesaleExtract!B:M,12,FALSE),"")</f>
        <v/>
      </c>
      <c r="N1654" s="27"/>
      <c r="O1654" s="19"/>
      <c r="P1654" s="19"/>
      <c r="Q1654" s="47"/>
      <c r="R1654" s="19"/>
      <c r="S1654" s="19"/>
    </row>
    <row r="1655" spans="1:19" x14ac:dyDescent="0.35">
      <c r="A1655" s="26" t="s">
        <v>543</v>
      </c>
      <c r="B1655" s="26" t="s">
        <v>543</v>
      </c>
      <c r="C1655" s="26"/>
      <c r="D1655" s="26" t="s">
        <v>543</v>
      </c>
      <c r="E1655" s="26" t="str">
        <f>IFERROR(VLOOKUP(G1655,WholesaleExtract!B:J,9,FALSE),"")</f>
        <v/>
      </c>
      <c r="F1655" s="26" t="str">
        <f>IFERROR(VLOOKUP(G1655,WholesaleExtract!B:J,6,FALSE),"")</f>
        <v/>
      </c>
      <c r="G1655" s="46"/>
      <c r="H1655" s="47" t="str">
        <f>IFERROR(VLOOKUP(G1655,WholesaleExtract!B:L,11,FALSE),"")</f>
        <v/>
      </c>
      <c r="I1655" s="26" t="str">
        <f>IFERROR(VLOOKUP(G1655,WholesaleExtract!B:O,8,FALSE),"")</f>
        <v/>
      </c>
      <c r="J1655" s="26" t="str">
        <f>IFERROR(VLOOKUP(G1655,WholesaleExtract!B:O,14,FALSE),"")</f>
        <v/>
      </c>
      <c r="K1655" s="26" t="str">
        <f>IFERROR(VLOOKUP(G1655,WholesaleExtract!B:K,10,FALSE),"")</f>
        <v/>
      </c>
      <c r="L1655" s="47" t="str">
        <f>IFERROR(VLOOKUP(G1655,WholesaleExtract!B:L,11,FALSE),"")</f>
        <v/>
      </c>
      <c r="M1655" s="47" t="str">
        <f>IFERROR(VLOOKUP(G1655,WholesaleExtract!B:M,12,FALSE),"")</f>
        <v/>
      </c>
      <c r="N1655" s="27"/>
      <c r="O1655" s="19"/>
      <c r="P1655" s="19"/>
      <c r="Q1655" s="47"/>
      <c r="R1655" s="19"/>
      <c r="S1655" s="19"/>
    </row>
    <row r="1656" spans="1:19" x14ac:dyDescent="0.35">
      <c r="A1656" s="26" t="s">
        <v>543</v>
      </c>
      <c r="B1656" s="26" t="s">
        <v>543</v>
      </c>
      <c r="C1656" s="26"/>
      <c r="D1656" s="26" t="s">
        <v>543</v>
      </c>
      <c r="E1656" s="26" t="str">
        <f>IFERROR(VLOOKUP(G1656,WholesaleExtract!B:J,9,FALSE),"")</f>
        <v/>
      </c>
      <c r="F1656" s="26" t="str">
        <f>IFERROR(VLOOKUP(G1656,WholesaleExtract!B:J,6,FALSE),"")</f>
        <v/>
      </c>
      <c r="G1656" s="46"/>
      <c r="H1656" s="47" t="str">
        <f>IFERROR(VLOOKUP(G1656,WholesaleExtract!B:L,11,FALSE),"")</f>
        <v/>
      </c>
      <c r="I1656" s="26" t="str">
        <f>IFERROR(VLOOKUP(G1656,WholesaleExtract!B:O,8,FALSE),"")</f>
        <v/>
      </c>
      <c r="J1656" s="26" t="str">
        <f>IFERROR(VLOOKUP(G1656,WholesaleExtract!B:O,14,FALSE),"")</f>
        <v/>
      </c>
      <c r="K1656" s="26" t="str">
        <f>IFERROR(VLOOKUP(G1656,WholesaleExtract!B:K,10,FALSE),"")</f>
        <v/>
      </c>
      <c r="L1656" s="47" t="str">
        <f>IFERROR(VLOOKUP(G1656,WholesaleExtract!B:L,11,FALSE),"")</f>
        <v/>
      </c>
      <c r="M1656" s="47" t="str">
        <f>IFERROR(VLOOKUP(G1656,WholesaleExtract!B:M,12,FALSE),"")</f>
        <v/>
      </c>
      <c r="N1656" s="27"/>
      <c r="O1656" s="19"/>
      <c r="P1656" s="19"/>
      <c r="Q1656" s="47"/>
      <c r="R1656" s="19"/>
      <c r="S1656" s="19"/>
    </row>
    <row r="1657" spans="1:19" x14ac:dyDescent="0.35">
      <c r="A1657" s="26" t="s">
        <v>543</v>
      </c>
      <c r="B1657" s="26" t="s">
        <v>543</v>
      </c>
      <c r="C1657" s="26"/>
      <c r="D1657" s="26" t="s">
        <v>543</v>
      </c>
      <c r="E1657" s="26" t="str">
        <f>IFERROR(VLOOKUP(G1657,WholesaleExtract!B:J,9,FALSE),"")</f>
        <v/>
      </c>
      <c r="F1657" s="26" t="str">
        <f>IFERROR(VLOOKUP(G1657,WholesaleExtract!B:J,6,FALSE),"")</f>
        <v/>
      </c>
      <c r="G1657" s="46"/>
      <c r="H1657" s="47" t="str">
        <f>IFERROR(VLOOKUP(G1657,WholesaleExtract!B:L,11,FALSE),"")</f>
        <v/>
      </c>
      <c r="I1657" s="26" t="str">
        <f>IFERROR(VLOOKUP(G1657,WholesaleExtract!B:O,8,FALSE),"")</f>
        <v/>
      </c>
      <c r="J1657" s="26" t="str">
        <f>IFERROR(VLOOKUP(G1657,WholesaleExtract!B:O,14,FALSE),"")</f>
        <v/>
      </c>
      <c r="K1657" s="26" t="str">
        <f>IFERROR(VLOOKUP(G1657,WholesaleExtract!B:K,10,FALSE),"")</f>
        <v/>
      </c>
      <c r="L1657" s="47" t="str">
        <f>IFERROR(VLOOKUP(G1657,WholesaleExtract!B:L,11,FALSE),"")</f>
        <v/>
      </c>
      <c r="M1657" s="47" t="str">
        <f>IFERROR(VLOOKUP(G1657,WholesaleExtract!B:M,12,FALSE),"")</f>
        <v/>
      </c>
      <c r="N1657" s="27"/>
      <c r="O1657" s="19"/>
      <c r="P1657" s="19"/>
      <c r="Q1657" s="47"/>
      <c r="R1657" s="19"/>
      <c r="S1657" s="19"/>
    </row>
    <row r="1658" spans="1:19" x14ac:dyDescent="0.35">
      <c r="A1658" s="26" t="s">
        <v>543</v>
      </c>
      <c r="B1658" s="26" t="s">
        <v>543</v>
      </c>
      <c r="C1658" s="26"/>
      <c r="D1658" s="26" t="s">
        <v>543</v>
      </c>
      <c r="E1658" s="26" t="str">
        <f>IFERROR(VLOOKUP(G1658,WholesaleExtract!B:J,9,FALSE),"")</f>
        <v/>
      </c>
      <c r="F1658" s="26" t="str">
        <f>IFERROR(VLOOKUP(G1658,WholesaleExtract!B:J,6,FALSE),"")</f>
        <v/>
      </c>
      <c r="G1658" s="46"/>
      <c r="H1658" s="47" t="str">
        <f>IFERROR(VLOOKUP(G1658,WholesaleExtract!B:L,11,FALSE),"")</f>
        <v/>
      </c>
      <c r="I1658" s="26" t="str">
        <f>IFERROR(VLOOKUP(G1658,WholesaleExtract!B:O,8,FALSE),"")</f>
        <v/>
      </c>
      <c r="J1658" s="26" t="str">
        <f>IFERROR(VLOOKUP(G1658,WholesaleExtract!B:O,14,FALSE),"")</f>
        <v/>
      </c>
      <c r="K1658" s="26" t="str">
        <f>IFERROR(VLOOKUP(G1658,WholesaleExtract!B:K,10,FALSE),"")</f>
        <v/>
      </c>
      <c r="L1658" s="47" t="str">
        <f>IFERROR(VLOOKUP(G1658,WholesaleExtract!B:L,11,FALSE),"")</f>
        <v/>
      </c>
      <c r="M1658" s="47" t="str">
        <f>IFERROR(VLOOKUP(G1658,WholesaleExtract!B:M,12,FALSE),"")</f>
        <v/>
      </c>
      <c r="N1658" s="27"/>
      <c r="O1658" s="19"/>
      <c r="P1658" s="19"/>
      <c r="Q1658" s="47"/>
      <c r="R1658" s="19"/>
      <c r="S1658" s="19"/>
    </row>
    <row r="1659" spans="1:19" x14ac:dyDescent="0.35">
      <c r="A1659" s="26" t="s">
        <v>543</v>
      </c>
      <c r="B1659" s="26" t="s">
        <v>543</v>
      </c>
      <c r="C1659" s="26"/>
      <c r="D1659" s="26" t="s">
        <v>543</v>
      </c>
      <c r="E1659" s="26" t="str">
        <f>IFERROR(VLOOKUP(G1659,WholesaleExtract!B:J,9,FALSE),"")</f>
        <v/>
      </c>
      <c r="F1659" s="26" t="str">
        <f>IFERROR(VLOOKUP(G1659,WholesaleExtract!B:J,6,FALSE),"")</f>
        <v/>
      </c>
      <c r="G1659" s="46"/>
      <c r="H1659" s="47" t="str">
        <f>IFERROR(VLOOKUP(G1659,WholesaleExtract!B:L,11,FALSE),"")</f>
        <v/>
      </c>
      <c r="I1659" s="26" t="str">
        <f>IFERROR(VLOOKUP(G1659,WholesaleExtract!B:O,8,FALSE),"")</f>
        <v/>
      </c>
      <c r="J1659" s="26" t="str">
        <f>IFERROR(VLOOKUP(G1659,WholesaleExtract!B:O,14,FALSE),"")</f>
        <v/>
      </c>
      <c r="K1659" s="26" t="str">
        <f>IFERROR(VLOOKUP(G1659,WholesaleExtract!B:K,10,FALSE),"")</f>
        <v/>
      </c>
      <c r="L1659" s="47" t="str">
        <f>IFERROR(VLOOKUP(G1659,WholesaleExtract!B:L,11,FALSE),"")</f>
        <v/>
      </c>
      <c r="M1659" s="47" t="str">
        <f>IFERROR(VLOOKUP(G1659,WholesaleExtract!B:M,12,FALSE),"")</f>
        <v/>
      </c>
      <c r="N1659" s="27"/>
      <c r="O1659" s="19"/>
      <c r="P1659" s="19"/>
      <c r="Q1659" s="47"/>
      <c r="R1659" s="19"/>
      <c r="S1659" s="19"/>
    </row>
    <row r="1660" spans="1:19" x14ac:dyDescent="0.35">
      <c r="A1660" s="26" t="s">
        <v>543</v>
      </c>
      <c r="B1660" s="26" t="s">
        <v>543</v>
      </c>
      <c r="C1660" s="26"/>
      <c r="D1660" s="26" t="s">
        <v>543</v>
      </c>
      <c r="E1660" s="26" t="str">
        <f>IFERROR(VLOOKUP(G1660,WholesaleExtract!B:J,9,FALSE),"")</f>
        <v/>
      </c>
      <c r="F1660" s="26" t="str">
        <f>IFERROR(VLOOKUP(G1660,WholesaleExtract!B:J,6,FALSE),"")</f>
        <v/>
      </c>
      <c r="G1660" s="46"/>
      <c r="H1660" s="47" t="str">
        <f>IFERROR(VLOOKUP(G1660,WholesaleExtract!B:L,11,FALSE),"")</f>
        <v/>
      </c>
      <c r="I1660" s="26" t="str">
        <f>IFERROR(VLOOKUP(G1660,WholesaleExtract!B:O,8,FALSE),"")</f>
        <v/>
      </c>
      <c r="J1660" s="26" t="str">
        <f>IFERROR(VLOOKUP(G1660,WholesaleExtract!B:O,14,FALSE),"")</f>
        <v/>
      </c>
      <c r="K1660" s="26" t="str">
        <f>IFERROR(VLOOKUP(G1660,WholesaleExtract!B:K,10,FALSE),"")</f>
        <v/>
      </c>
      <c r="L1660" s="47" t="str">
        <f>IFERROR(VLOOKUP(G1660,WholesaleExtract!B:L,11,FALSE),"")</f>
        <v/>
      </c>
      <c r="M1660" s="47" t="str">
        <f>IFERROR(VLOOKUP(G1660,WholesaleExtract!B:M,12,FALSE),"")</f>
        <v/>
      </c>
      <c r="N1660" s="27"/>
      <c r="O1660" s="19"/>
      <c r="P1660" s="19"/>
      <c r="Q1660" s="47"/>
      <c r="R1660" s="19"/>
      <c r="S1660" s="19"/>
    </row>
    <row r="1661" spans="1:19" x14ac:dyDescent="0.35">
      <c r="A1661" s="26" t="s">
        <v>543</v>
      </c>
      <c r="B1661" s="26" t="s">
        <v>543</v>
      </c>
      <c r="C1661" s="26"/>
      <c r="D1661" s="26" t="s">
        <v>543</v>
      </c>
      <c r="E1661" s="26" t="str">
        <f>IFERROR(VLOOKUP(G1661,WholesaleExtract!B:J,9,FALSE),"")</f>
        <v/>
      </c>
      <c r="F1661" s="26" t="str">
        <f>IFERROR(VLOOKUP(G1661,WholesaleExtract!B:J,6,FALSE),"")</f>
        <v/>
      </c>
      <c r="G1661" s="46"/>
      <c r="H1661" s="47" t="str">
        <f>IFERROR(VLOOKUP(G1661,WholesaleExtract!B:L,11,FALSE),"")</f>
        <v/>
      </c>
      <c r="I1661" s="26" t="str">
        <f>IFERROR(VLOOKUP(G1661,WholesaleExtract!B:O,8,FALSE),"")</f>
        <v/>
      </c>
      <c r="J1661" s="26" t="str">
        <f>IFERROR(VLOOKUP(G1661,WholesaleExtract!B:O,14,FALSE),"")</f>
        <v/>
      </c>
      <c r="K1661" s="26" t="str">
        <f>IFERROR(VLOOKUP(G1661,WholesaleExtract!B:K,10,FALSE),"")</f>
        <v/>
      </c>
      <c r="L1661" s="47" t="str">
        <f>IFERROR(VLOOKUP(G1661,WholesaleExtract!B:L,11,FALSE),"")</f>
        <v/>
      </c>
      <c r="M1661" s="47" t="str">
        <f>IFERROR(VLOOKUP(G1661,WholesaleExtract!B:M,12,FALSE),"")</f>
        <v/>
      </c>
      <c r="N1661" s="27"/>
      <c r="O1661" s="19"/>
      <c r="P1661" s="19"/>
      <c r="Q1661" s="47"/>
      <c r="R1661" s="19"/>
      <c r="S1661" s="19"/>
    </row>
    <row r="1662" spans="1:19" x14ac:dyDescent="0.35">
      <c r="A1662" s="26" t="s">
        <v>543</v>
      </c>
      <c r="B1662" s="26" t="s">
        <v>543</v>
      </c>
      <c r="C1662" s="26"/>
      <c r="D1662" s="26" t="s">
        <v>543</v>
      </c>
      <c r="E1662" s="26" t="str">
        <f>IFERROR(VLOOKUP(G1662,WholesaleExtract!B:J,9,FALSE),"")</f>
        <v/>
      </c>
      <c r="F1662" s="26" t="str">
        <f>IFERROR(VLOOKUP(G1662,WholesaleExtract!B:J,6,FALSE),"")</f>
        <v/>
      </c>
      <c r="G1662" s="46"/>
      <c r="H1662" s="47" t="str">
        <f>IFERROR(VLOOKUP(G1662,WholesaleExtract!B:L,11,FALSE),"")</f>
        <v/>
      </c>
      <c r="I1662" s="26" t="str">
        <f>IFERROR(VLOOKUP(G1662,WholesaleExtract!B:O,8,FALSE),"")</f>
        <v/>
      </c>
      <c r="J1662" s="26" t="str">
        <f>IFERROR(VLOOKUP(G1662,WholesaleExtract!B:O,14,FALSE),"")</f>
        <v/>
      </c>
      <c r="K1662" s="26" t="str">
        <f>IFERROR(VLOOKUP(G1662,WholesaleExtract!B:K,10,FALSE),"")</f>
        <v/>
      </c>
      <c r="L1662" s="47" t="str">
        <f>IFERROR(VLOOKUP(G1662,WholesaleExtract!B:L,11,FALSE),"")</f>
        <v/>
      </c>
      <c r="M1662" s="47" t="str">
        <f>IFERROR(VLOOKUP(G1662,WholesaleExtract!B:M,12,FALSE),"")</f>
        <v/>
      </c>
      <c r="N1662" s="27"/>
      <c r="O1662" s="19"/>
      <c r="P1662" s="19"/>
      <c r="Q1662" s="47"/>
      <c r="R1662" s="19"/>
      <c r="S1662" s="19"/>
    </row>
    <row r="1663" spans="1:19" x14ac:dyDescent="0.35">
      <c r="A1663" s="26" t="s">
        <v>543</v>
      </c>
      <c r="B1663" s="26" t="s">
        <v>543</v>
      </c>
      <c r="C1663" s="26"/>
      <c r="D1663" s="26" t="s">
        <v>543</v>
      </c>
      <c r="E1663" s="26" t="str">
        <f>IFERROR(VLOOKUP(G1663,WholesaleExtract!B:J,9,FALSE),"")</f>
        <v/>
      </c>
      <c r="F1663" s="26" t="str">
        <f>IFERROR(VLOOKUP(G1663,WholesaleExtract!B:J,6,FALSE),"")</f>
        <v/>
      </c>
      <c r="G1663" s="46"/>
      <c r="H1663" s="47" t="str">
        <f>IFERROR(VLOOKUP(G1663,WholesaleExtract!B:L,11,FALSE),"")</f>
        <v/>
      </c>
      <c r="I1663" s="26" t="str">
        <f>IFERROR(VLOOKUP(G1663,WholesaleExtract!B:O,8,FALSE),"")</f>
        <v/>
      </c>
      <c r="J1663" s="26" t="str">
        <f>IFERROR(VLOOKUP(G1663,WholesaleExtract!B:O,14,FALSE),"")</f>
        <v/>
      </c>
      <c r="K1663" s="26" t="str">
        <f>IFERROR(VLOOKUP(G1663,WholesaleExtract!B:K,10,FALSE),"")</f>
        <v/>
      </c>
      <c r="L1663" s="47" t="str">
        <f>IFERROR(VLOOKUP(G1663,WholesaleExtract!B:L,11,FALSE),"")</f>
        <v/>
      </c>
      <c r="M1663" s="47" t="str">
        <f>IFERROR(VLOOKUP(G1663,WholesaleExtract!B:M,12,FALSE),"")</f>
        <v/>
      </c>
      <c r="N1663" s="27"/>
      <c r="O1663" s="19"/>
      <c r="P1663" s="19"/>
      <c r="Q1663" s="47"/>
      <c r="R1663" s="19"/>
      <c r="S1663" s="19"/>
    </row>
    <row r="1664" spans="1:19" x14ac:dyDescent="0.35">
      <c r="A1664" s="26" t="s">
        <v>543</v>
      </c>
      <c r="B1664" s="26" t="s">
        <v>543</v>
      </c>
      <c r="C1664" s="26"/>
      <c r="D1664" s="26" t="s">
        <v>543</v>
      </c>
      <c r="E1664" s="26" t="str">
        <f>IFERROR(VLOOKUP(G1664,WholesaleExtract!B:J,9,FALSE),"")</f>
        <v/>
      </c>
      <c r="F1664" s="26" t="str">
        <f>IFERROR(VLOOKUP(G1664,WholesaleExtract!B:J,6,FALSE),"")</f>
        <v/>
      </c>
      <c r="G1664" s="46"/>
      <c r="H1664" s="47" t="str">
        <f>IFERROR(VLOOKUP(G1664,WholesaleExtract!B:L,11,FALSE),"")</f>
        <v/>
      </c>
      <c r="I1664" s="26" t="str">
        <f>IFERROR(VLOOKUP(G1664,WholesaleExtract!B:O,8,FALSE),"")</f>
        <v/>
      </c>
      <c r="J1664" s="26" t="str">
        <f>IFERROR(VLOOKUP(G1664,WholesaleExtract!B:O,14,FALSE),"")</f>
        <v/>
      </c>
      <c r="K1664" s="26" t="str">
        <f>IFERROR(VLOOKUP(G1664,WholesaleExtract!B:K,10,FALSE),"")</f>
        <v/>
      </c>
      <c r="L1664" s="47" t="str">
        <f>IFERROR(VLOOKUP(G1664,WholesaleExtract!B:L,11,FALSE),"")</f>
        <v/>
      </c>
      <c r="M1664" s="47" t="str">
        <f>IFERROR(VLOOKUP(G1664,WholesaleExtract!B:M,12,FALSE),"")</f>
        <v/>
      </c>
      <c r="N1664" s="27"/>
      <c r="O1664" s="19"/>
      <c r="P1664" s="19"/>
      <c r="Q1664" s="47"/>
      <c r="R1664" s="19"/>
      <c r="S1664" s="19"/>
    </row>
    <row r="1665" spans="1:19" x14ac:dyDescent="0.35">
      <c r="A1665" s="26" t="s">
        <v>543</v>
      </c>
      <c r="B1665" s="26" t="s">
        <v>543</v>
      </c>
      <c r="C1665" s="26"/>
      <c r="D1665" s="26" t="s">
        <v>543</v>
      </c>
      <c r="E1665" s="26" t="str">
        <f>IFERROR(VLOOKUP(G1665,WholesaleExtract!B:J,9,FALSE),"")</f>
        <v/>
      </c>
      <c r="F1665" s="26" t="str">
        <f>IFERROR(VLOOKUP(G1665,WholesaleExtract!B:J,6,FALSE),"")</f>
        <v/>
      </c>
      <c r="G1665" s="46"/>
      <c r="H1665" s="47" t="str">
        <f>IFERROR(VLOOKUP(G1665,WholesaleExtract!B:L,11,FALSE),"")</f>
        <v/>
      </c>
      <c r="I1665" s="26" t="str">
        <f>IFERROR(VLOOKUP(G1665,WholesaleExtract!B:O,8,FALSE),"")</f>
        <v/>
      </c>
      <c r="J1665" s="26" t="str">
        <f>IFERROR(VLOOKUP(G1665,WholesaleExtract!B:O,14,FALSE),"")</f>
        <v/>
      </c>
      <c r="K1665" s="26" t="str">
        <f>IFERROR(VLOOKUP(G1665,WholesaleExtract!B:K,10,FALSE),"")</f>
        <v/>
      </c>
      <c r="L1665" s="47" t="str">
        <f>IFERROR(VLOOKUP(G1665,WholesaleExtract!B:L,11,FALSE),"")</f>
        <v/>
      </c>
      <c r="M1665" s="47" t="str">
        <f>IFERROR(VLOOKUP(G1665,WholesaleExtract!B:M,12,FALSE),"")</f>
        <v/>
      </c>
      <c r="N1665" s="27"/>
      <c r="O1665" s="19"/>
      <c r="P1665" s="19"/>
      <c r="Q1665" s="47"/>
      <c r="R1665" s="19"/>
      <c r="S1665" s="19"/>
    </row>
    <row r="1666" spans="1:19" x14ac:dyDescent="0.35">
      <c r="A1666" s="26" t="s">
        <v>543</v>
      </c>
      <c r="B1666" s="26" t="s">
        <v>543</v>
      </c>
      <c r="C1666" s="26"/>
      <c r="D1666" s="26" t="s">
        <v>543</v>
      </c>
      <c r="E1666" s="26" t="str">
        <f>IFERROR(VLOOKUP(G1666,WholesaleExtract!B:J,9,FALSE),"")</f>
        <v/>
      </c>
      <c r="F1666" s="26" t="str">
        <f>IFERROR(VLOOKUP(G1666,WholesaleExtract!B:J,6,FALSE),"")</f>
        <v/>
      </c>
      <c r="G1666" s="46"/>
      <c r="H1666" s="47" t="str">
        <f>IFERROR(VLOOKUP(G1666,WholesaleExtract!B:L,11,FALSE),"")</f>
        <v/>
      </c>
      <c r="I1666" s="26" t="str">
        <f>IFERROR(VLOOKUP(G1666,WholesaleExtract!B:O,8,FALSE),"")</f>
        <v/>
      </c>
      <c r="J1666" s="26" t="str">
        <f>IFERROR(VLOOKUP(G1666,WholesaleExtract!B:O,14,FALSE),"")</f>
        <v/>
      </c>
      <c r="K1666" s="26" t="str">
        <f>IFERROR(VLOOKUP(G1666,WholesaleExtract!B:K,10,FALSE),"")</f>
        <v/>
      </c>
      <c r="L1666" s="47" t="str">
        <f>IFERROR(VLOOKUP(G1666,WholesaleExtract!B:L,11,FALSE),"")</f>
        <v/>
      </c>
      <c r="M1666" s="47" t="str">
        <f>IFERROR(VLOOKUP(G1666,WholesaleExtract!B:M,12,FALSE),"")</f>
        <v/>
      </c>
      <c r="N1666" s="27"/>
      <c r="O1666" s="19"/>
      <c r="P1666" s="19"/>
      <c r="Q1666" s="47"/>
      <c r="R1666" s="19"/>
      <c r="S1666" s="19"/>
    </row>
    <row r="1667" spans="1:19" x14ac:dyDescent="0.35">
      <c r="A1667" s="26" t="s">
        <v>543</v>
      </c>
      <c r="B1667" s="26" t="s">
        <v>543</v>
      </c>
      <c r="C1667" s="26"/>
      <c r="D1667" s="26" t="s">
        <v>543</v>
      </c>
      <c r="E1667" s="26" t="str">
        <f>IFERROR(VLOOKUP(G1667,WholesaleExtract!B:J,9,FALSE),"")</f>
        <v/>
      </c>
      <c r="F1667" s="26" t="str">
        <f>IFERROR(VLOOKUP(G1667,WholesaleExtract!B:J,6,FALSE),"")</f>
        <v/>
      </c>
      <c r="G1667" s="46"/>
      <c r="H1667" s="47" t="str">
        <f>IFERROR(VLOOKUP(G1667,WholesaleExtract!B:L,11,FALSE),"")</f>
        <v/>
      </c>
      <c r="I1667" s="26" t="str">
        <f>IFERROR(VLOOKUP(G1667,WholesaleExtract!B:O,8,FALSE),"")</f>
        <v/>
      </c>
      <c r="J1667" s="26" t="str">
        <f>IFERROR(VLOOKUP(G1667,WholesaleExtract!B:O,14,FALSE),"")</f>
        <v/>
      </c>
      <c r="K1667" s="26" t="str">
        <f>IFERROR(VLOOKUP(G1667,WholesaleExtract!B:K,10,FALSE),"")</f>
        <v/>
      </c>
      <c r="L1667" s="47" t="str">
        <f>IFERROR(VLOOKUP(G1667,WholesaleExtract!B:L,11,FALSE),"")</f>
        <v/>
      </c>
      <c r="M1667" s="47" t="str">
        <f>IFERROR(VLOOKUP(G1667,WholesaleExtract!B:M,12,FALSE),"")</f>
        <v/>
      </c>
      <c r="N1667" s="27"/>
      <c r="O1667" s="19"/>
      <c r="P1667" s="19"/>
      <c r="Q1667" s="47"/>
      <c r="R1667" s="19"/>
      <c r="S1667" s="19"/>
    </row>
    <row r="1668" spans="1:19" x14ac:dyDescent="0.35">
      <c r="A1668" s="26" t="s">
        <v>543</v>
      </c>
      <c r="B1668" s="26" t="s">
        <v>543</v>
      </c>
      <c r="C1668" s="26"/>
      <c r="D1668" s="26" t="s">
        <v>543</v>
      </c>
      <c r="E1668" s="26" t="str">
        <f>IFERROR(VLOOKUP(G1668,WholesaleExtract!B:J,9,FALSE),"")</f>
        <v/>
      </c>
      <c r="F1668" s="26" t="str">
        <f>IFERROR(VLOOKUP(G1668,WholesaleExtract!B:J,6,FALSE),"")</f>
        <v/>
      </c>
      <c r="G1668" s="46"/>
      <c r="H1668" s="47" t="str">
        <f>IFERROR(VLOOKUP(G1668,WholesaleExtract!B:L,11,FALSE),"")</f>
        <v/>
      </c>
      <c r="I1668" s="26" t="str">
        <f>IFERROR(VLOOKUP(G1668,WholesaleExtract!B:O,8,FALSE),"")</f>
        <v/>
      </c>
      <c r="J1668" s="26" t="str">
        <f>IFERROR(VLOOKUP(G1668,WholesaleExtract!B:O,14,FALSE),"")</f>
        <v/>
      </c>
      <c r="K1668" s="26" t="str">
        <f>IFERROR(VLOOKUP(G1668,WholesaleExtract!B:K,10,FALSE),"")</f>
        <v/>
      </c>
      <c r="L1668" s="47" t="str">
        <f>IFERROR(VLOOKUP(G1668,WholesaleExtract!B:L,11,FALSE),"")</f>
        <v/>
      </c>
      <c r="M1668" s="47" t="str">
        <f>IFERROR(VLOOKUP(G1668,WholesaleExtract!B:M,12,FALSE),"")</f>
        <v/>
      </c>
      <c r="N1668" s="27"/>
      <c r="O1668" s="19"/>
      <c r="P1668" s="19"/>
      <c r="Q1668" s="47"/>
      <c r="R1668" s="19"/>
      <c r="S1668" s="19"/>
    </row>
    <row r="1669" spans="1:19" x14ac:dyDescent="0.35">
      <c r="A1669" s="26" t="s">
        <v>543</v>
      </c>
      <c r="B1669" s="26" t="s">
        <v>543</v>
      </c>
      <c r="C1669" s="26"/>
      <c r="D1669" s="26" t="s">
        <v>543</v>
      </c>
      <c r="E1669" s="26" t="str">
        <f>IFERROR(VLOOKUP(G1669,WholesaleExtract!B:J,9,FALSE),"")</f>
        <v/>
      </c>
      <c r="F1669" s="26" t="str">
        <f>IFERROR(VLOOKUP(G1669,WholesaleExtract!B:J,6,FALSE),"")</f>
        <v/>
      </c>
      <c r="G1669" s="46"/>
      <c r="H1669" s="47" t="str">
        <f>IFERROR(VLOOKUP(G1669,WholesaleExtract!B:L,11,FALSE),"")</f>
        <v/>
      </c>
      <c r="I1669" s="26" t="str">
        <f>IFERROR(VLOOKUP(G1669,WholesaleExtract!B:O,8,FALSE),"")</f>
        <v/>
      </c>
      <c r="J1669" s="26" t="str">
        <f>IFERROR(VLOOKUP(G1669,WholesaleExtract!B:O,14,FALSE),"")</f>
        <v/>
      </c>
      <c r="K1669" s="26" t="str">
        <f>IFERROR(VLOOKUP(G1669,WholesaleExtract!B:K,10,FALSE),"")</f>
        <v/>
      </c>
      <c r="L1669" s="47" t="str">
        <f>IFERROR(VLOOKUP(G1669,WholesaleExtract!B:L,11,FALSE),"")</f>
        <v/>
      </c>
      <c r="M1669" s="47" t="str">
        <f>IFERROR(VLOOKUP(G1669,WholesaleExtract!B:M,12,FALSE),"")</f>
        <v/>
      </c>
      <c r="N1669" s="27"/>
      <c r="O1669" s="19"/>
      <c r="P1669" s="19"/>
      <c r="Q1669" s="47"/>
      <c r="R1669" s="19"/>
      <c r="S1669" s="19"/>
    </row>
    <row r="1670" spans="1:19" x14ac:dyDescent="0.35">
      <c r="A1670" s="26" t="s">
        <v>543</v>
      </c>
      <c r="B1670" s="26" t="s">
        <v>543</v>
      </c>
      <c r="C1670" s="26"/>
      <c r="D1670" s="26" t="s">
        <v>543</v>
      </c>
      <c r="E1670" s="26" t="str">
        <f>IFERROR(VLOOKUP(G1670,WholesaleExtract!B:J,9,FALSE),"")</f>
        <v/>
      </c>
      <c r="F1670" s="26" t="str">
        <f>IFERROR(VLOOKUP(G1670,WholesaleExtract!B:J,6,FALSE),"")</f>
        <v/>
      </c>
      <c r="G1670" s="46"/>
      <c r="H1670" s="47" t="str">
        <f>IFERROR(VLOOKUP(G1670,WholesaleExtract!B:L,11,FALSE),"")</f>
        <v/>
      </c>
      <c r="I1670" s="26" t="str">
        <f>IFERROR(VLOOKUP(G1670,WholesaleExtract!B:O,8,FALSE),"")</f>
        <v/>
      </c>
      <c r="J1670" s="26" t="str">
        <f>IFERROR(VLOOKUP(G1670,WholesaleExtract!B:O,14,FALSE),"")</f>
        <v/>
      </c>
      <c r="K1670" s="26" t="str">
        <f>IFERROR(VLOOKUP(G1670,WholesaleExtract!B:K,10,FALSE),"")</f>
        <v/>
      </c>
      <c r="L1670" s="47" t="str">
        <f>IFERROR(VLOOKUP(G1670,WholesaleExtract!B:L,11,FALSE),"")</f>
        <v/>
      </c>
      <c r="M1670" s="47" t="str">
        <f>IFERROR(VLOOKUP(G1670,WholesaleExtract!B:M,12,FALSE),"")</f>
        <v/>
      </c>
      <c r="N1670" s="27"/>
      <c r="O1670" s="19"/>
      <c r="P1670" s="19"/>
      <c r="Q1670" s="47"/>
      <c r="R1670" s="19"/>
      <c r="S1670" s="19"/>
    </row>
    <row r="1671" spans="1:19" x14ac:dyDescent="0.35">
      <c r="A1671" s="26" t="s">
        <v>543</v>
      </c>
      <c r="B1671" s="26" t="s">
        <v>543</v>
      </c>
      <c r="C1671" s="26"/>
      <c r="D1671" s="26" t="s">
        <v>543</v>
      </c>
      <c r="E1671" s="26" t="str">
        <f>IFERROR(VLOOKUP(G1671,WholesaleExtract!B:J,9,FALSE),"")</f>
        <v/>
      </c>
      <c r="F1671" s="26" t="str">
        <f>IFERROR(VLOOKUP(G1671,WholesaleExtract!B:J,6,FALSE),"")</f>
        <v/>
      </c>
      <c r="G1671" s="46"/>
      <c r="H1671" s="47" t="str">
        <f>IFERROR(VLOOKUP(G1671,WholesaleExtract!B:L,11,FALSE),"")</f>
        <v/>
      </c>
      <c r="I1671" s="26" t="str">
        <f>IFERROR(VLOOKUP(G1671,WholesaleExtract!B:O,8,FALSE),"")</f>
        <v/>
      </c>
      <c r="J1671" s="26" t="str">
        <f>IFERROR(VLOOKUP(G1671,WholesaleExtract!B:O,14,FALSE),"")</f>
        <v/>
      </c>
      <c r="K1671" s="26" t="str">
        <f>IFERROR(VLOOKUP(G1671,WholesaleExtract!B:K,10,FALSE),"")</f>
        <v/>
      </c>
      <c r="L1671" s="47" t="str">
        <f>IFERROR(VLOOKUP(G1671,WholesaleExtract!B:L,11,FALSE),"")</f>
        <v/>
      </c>
      <c r="M1671" s="47" t="str">
        <f>IFERROR(VLOOKUP(G1671,WholesaleExtract!B:M,12,FALSE),"")</f>
        <v/>
      </c>
      <c r="N1671" s="27"/>
      <c r="O1671" s="19"/>
      <c r="P1671" s="19"/>
      <c r="Q1671" s="47"/>
      <c r="R1671" s="19"/>
      <c r="S1671" s="19"/>
    </row>
    <row r="1672" spans="1:19" x14ac:dyDescent="0.35">
      <c r="A1672" s="26" t="s">
        <v>543</v>
      </c>
      <c r="B1672" s="26" t="s">
        <v>543</v>
      </c>
      <c r="C1672" s="26"/>
      <c r="D1672" s="26" t="s">
        <v>543</v>
      </c>
      <c r="E1672" s="26" t="str">
        <f>IFERROR(VLOOKUP(G1672,WholesaleExtract!B:J,9,FALSE),"")</f>
        <v/>
      </c>
      <c r="F1672" s="26" t="str">
        <f>IFERROR(VLOOKUP(G1672,WholesaleExtract!B:J,6,FALSE),"")</f>
        <v/>
      </c>
      <c r="G1672" s="46"/>
      <c r="H1672" s="47" t="str">
        <f>IFERROR(VLOOKUP(G1672,WholesaleExtract!B:L,11,FALSE),"")</f>
        <v/>
      </c>
      <c r="I1672" s="26" t="str">
        <f>IFERROR(VLOOKUP(G1672,WholesaleExtract!B:O,8,FALSE),"")</f>
        <v/>
      </c>
      <c r="J1672" s="26" t="str">
        <f>IFERROR(VLOOKUP(G1672,WholesaleExtract!B:O,14,FALSE),"")</f>
        <v/>
      </c>
      <c r="K1672" s="26" t="str">
        <f>IFERROR(VLOOKUP(G1672,WholesaleExtract!B:K,10,FALSE),"")</f>
        <v/>
      </c>
      <c r="L1672" s="47" t="str">
        <f>IFERROR(VLOOKUP(G1672,WholesaleExtract!B:L,11,FALSE),"")</f>
        <v/>
      </c>
      <c r="M1672" s="47" t="str">
        <f>IFERROR(VLOOKUP(G1672,WholesaleExtract!B:M,12,FALSE),"")</f>
        <v/>
      </c>
      <c r="N1672" s="27"/>
      <c r="O1672" s="19"/>
      <c r="P1672" s="19"/>
      <c r="Q1672" s="47"/>
      <c r="R1672" s="19"/>
      <c r="S1672" s="19"/>
    </row>
    <row r="1673" spans="1:19" x14ac:dyDescent="0.35">
      <c r="A1673" s="26" t="s">
        <v>543</v>
      </c>
      <c r="B1673" s="26" t="s">
        <v>543</v>
      </c>
      <c r="C1673" s="26"/>
      <c r="D1673" s="26" t="s">
        <v>543</v>
      </c>
      <c r="E1673" s="26" t="str">
        <f>IFERROR(VLOOKUP(G1673,WholesaleExtract!B:J,9,FALSE),"")</f>
        <v/>
      </c>
      <c r="F1673" s="26" t="str">
        <f>IFERROR(VLOOKUP(G1673,WholesaleExtract!B:J,6,FALSE),"")</f>
        <v/>
      </c>
      <c r="G1673" s="46"/>
      <c r="H1673" s="47" t="str">
        <f>IFERROR(VLOOKUP(G1673,WholesaleExtract!B:L,11,FALSE),"")</f>
        <v/>
      </c>
      <c r="I1673" s="26" t="str">
        <f>IFERROR(VLOOKUP(G1673,WholesaleExtract!B:O,8,FALSE),"")</f>
        <v/>
      </c>
      <c r="J1673" s="26" t="str">
        <f>IFERROR(VLOOKUP(G1673,WholesaleExtract!B:O,14,FALSE),"")</f>
        <v/>
      </c>
      <c r="K1673" s="26" t="str">
        <f>IFERROR(VLOOKUP(G1673,WholesaleExtract!B:K,10,FALSE),"")</f>
        <v/>
      </c>
      <c r="L1673" s="47" t="str">
        <f>IFERROR(VLOOKUP(G1673,WholesaleExtract!B:L,11,FALSE),"")</f>
        <v/>
      </c>
      <c r="M1673" s="47" t="str">
        <f>IFERROR(VLOOKUP(G1673,WholesaleExtract!B:M,12,FALSE),"")</f>
        <v/>
      </c>
      <c r="N1673" s="27"/>
      <c r="O1673" s="19"/>
      <c r="P1673" s="19"/>
      <c r="Q1673" s="47"/>
      <c r="R1673" s="19"/>
      <c r="S1673" s="19"/>
    </row>
    <row r="1674" spans="1:19" x14ac:dyDescent="0.35">
      <c r="A1674" s="26" t="s">
        <v>543</v>
      </c>
      <c r="B1674" s="26" t="s">
        <v>543</v>
      </c>
      <c r="C1674" s="26"/>
      <c r="D1674" s="26" t="s">
        <v>543</v>
      </c>
      <c r="E1674" s="26" t="str">
        <f>IFERROR(VLOOKUP(G1674,WholesaleExtract!B:J,9,FALSE),"")</f>
        <v/>
      </c>
      <c r="F1674" s="26" t="str">
        <f>IFERROR(VLOOKUP(G1674,WholesaleExtract!B:J,6,FALSE),"")</f>
        <v/>
      </c>
      <c r="G1674" s="46"/>
      <c r="H1674" s="47" t="str">
        <f>IFERROR(VLOOKUP(G1674,WholesaleExtract!B:L,11,FALSE),"")</f>
        <v/>
      </c>
      <c r="I1674" s="26" t="str">
        <f>IFERROR(VLOOKUP(G1674,WholesaleExtract!B:O,8,FALSE),"")</f>
        <v/>
      </c>
      <c r="J1674" s="26" t="str">
        <f>IFERROR(VLOOKUP(G1674,WholesaleExtract!B:O,14,FALSE),"")</f>
        <v/>
      </c>
      <c r="K1674" s="26" t="str">
        <f>IFERROR(VLOOKUP(G1674,WholesaleExtract!B:K,10,FALSE),"")</f>
        <v/>
      </c>
      <c r="L1674" s="47" t="str">
        <f>IFERROR(VLOOKUP(G1674,WholesaleExtract!B:L,11,FALSE),"")</f>
        <v/>
      </c>
      <c r="M1674" s="47" t="str">
        <f>IFERROR(VLOOKUP(G1674,WholesaleExtract!B:M,12,FALSE),"")</f>
        <v/>
      </c>
      <c r="N1674" s="27"/>
      <c r="O1674" s="19"/>
      <c r="P1674" s="19"/>
      <c r="Q1674" s="47"/>
      <c r="R1674" s="19"/>
      <c r="S1674" s="19"/>
    </row>
    <row r="1675" spans="1:19" x14ac:dyDescent="0.35">
      <c r="A1675" s="26" t="s">
        <v>543</v>
      </c>
      <c r="B1675" s="26" t="s">
        <v>543</v>
      </c>
      <c r="C1675" s="26"/>
      <c r="D1675" s="26" t="s">
        <v>543</v>
      </c>
      <c r="E1675" s="26" t="str">
        <f>IFERROR(VLOOKUP(G1675,WholesaleExtract!B:J,9,FALSE),"")</f>
        <v/>
      </c>
      <c r="F1675" s="26" t="str">
        <f>IFERROR(VLOOKUP(G1675,WholesaleExtract!B:J,6,FALSE),"")</f>
        <v/>
      </c>
      <c r="G1675" s="46"/>
      <c r="H1675" s="47" t="str">
        <f>IFERROR(VLOOKUP(G1675,WholesaleExtract!B:L,11,FALSE),"")</f>
        <v/>
      </c>
      <c r="I1675" s="26" t="str">
        <f>IFERROR(VLOOKUP(G1675,WholesaleExtract!B:O,8,FALSE),"")</f>
        <v/>
      </c>
      <c r="J1675" s="26" t="str">
        <f>IFERROR(VLOOKUP(G1675,WholesaleExtract!B:O,14,FALSE),"")</f>
        <v/>
      </c>
      <c r="K1675" s="26" t="str">
        <f>IFERROR(VLOOKUP(G1675,WholesaleExtract!B:K,10,FALSE),"")</f>
        <v/>
      </c>
      <c r="L1675" s="47" t="str">
        <f>IFERROR(VLOOKUP(G1675,WholesaleExtract!B:L,11,FALSE),"")</f>
        <v/>
      </c>
      <c r="M1675" s="47" t="str">
        <f>IFERROR(VLOOKUP(G1675,WholesaleExtract!B:M,12,FALSE),"")</f>
        <v/>
      </c>
      <c r="N1675" s="27"/>
      <c r="O1675" s="19"/>
      <c r="P1675" s="19"/>
      <c r="Q1675" s="47"/>
      <c r="R1675" s="19"/>
      <c r="S1675" s="19"/>
    </row>
    <row r="1676" spans="1:19" x14ac:dyDescent="0.35">
      <c r="A1676" s="26" t="s">
        <v>543</v>
      </c>
      <c r="B1676" s="26" t="s">
        <v>543</v>
      </c>
      <c r="C1676" s="26"/>
      <c r="D1676" s="26" t="s">
        <v>543</v>
      </c>
      <c r="E1676" s="26" t="str">
        <f>IFERROR(VLOOKUP(G1676,WholesaleExtract!B:J,9,FALSE),"")</f>
        <v/>
      </c>
      <c r="F1676" s="26" t="str">
        <f>IFERROR(VLOOKUP(G1676,WholesaleExtract!B:J,6,FALSE),"")</f>
        <v/>
      </c>
      <c r="G1676" s="46"/>
      <c r="H1676" s="47" t="str">
        <f>IFERROR(VLOOKUP(G1676,WholesaleExtract!B:L,11,FALSE),"")</f>
        <v/>
      </c>
      <c r="I1676" s="26" t="str">
        <f>IFERROR(VLOOKUP(G1676,WholesaleExtract!B:O,8,FALSE),"")</f>
        <v/>
      </c>
      <c r="J1676" s="26" t="str">
        <f>IFERROR(VLOOKUP(G1676,WholesaleExtract!B:O,14,FALSE),"")</f>
        <v/>
      </c>
      <c r="K1676" s="26" t="str">
        <f>IFERROR(VLOOKUP(G1676,WholesaleExtract!B:K,10,FALSE),"")</f>
        <v/>
      </c>
      <c r="L1676" s="47" t="str">
        <f>IFERROR(VLOOKUP(G1676,WholesaleExtract!B:L,11,FALSE),"")</f>
        <v/>
      </c>
      <c r="M1676" s="47" t="str">
        <f>IFERROR(VLOOKUP(G1676,WholesaleExtract!B:M,12,FALSE),"")</f>
        <v/>
      </c>
      <c r="N1676" s="27"/>
      <c r="O1676" s="19"/>
      <c r="P1676" s="19"/>
      <c r="Q1676" s="47"/>
      <c r="R1676" s="19"/>
      <c r="S1676" s="19"/>
    </row>
    <row r="1677" spans="1:19" x14ac:dyDescent="0.35">
      <c r="A1677" s="26" t="s">
        <v>543</v>
      </c>
      <c r="B1677" s="26" t="s">
        <v>543</v>
      </c>
      <c r="C1677" s="26"/>
      <c r="D1677" s="26" t="s">
        <v>543</v>
      </c>
      <c r="E1677" s="26" t="str">
        <f>IFERROR(VLOOKUP(G1677,WholesaleExtract!B:J,9,FALSE),"")</f>
        <v/>
      </c>
      <c r="F1677" s="26" t="str">
        <f>IFERROR(VLOOKUP(G1677,WholesaleExtract!B:J,6,FALSE),"")</f>
        <v/>
      </c>
      <c r="G1677" s="46"/>
      <c r="H1677" s="47" t="str">
        <f>IFERROR(VLOOKUP(G1677,WholesaleExtract!B:L,11,FALSE),"")</f>
        <v/>
      </c>
      <c r="I1677" s="26" t="str">
        <f>IFERROR(VLOOKUP(G1677,WholesaleExtract!B:O,8,FALSE),"")</f>
        <v/>
      </c>
      <c r="J1677" s="26" t="str">
        <f>IFERROR(VLOOKUP(G1677,WholesaleExtract!B:O,14,FALSE),"")</f>
        <v/>
      </c>
      <c r="K1677" s="26" t="str">
        <f>IFERROR(VLOOKUP(G1677,WholesaleExtract!B:K,10,FALSE),"")</f>
        <v/>
      </c>
      <c r="L1677" s="47" t="str">
        <f>IFERROR(VLOOKUP(G1677,WholesaleExtract!B:L,11,FALSE),"")</f>
        <v/>
      </c>
      <c r="M1677" s="47" t="str">
        <f>IFERROR(VLOOKUP(G1677,WholesaleExtract!B:M,12,FALSE),"")</f>
        <v/>
      </c>
      <c r="N1677" s="27"/>
      <c r="O1677" s="19"/>
      <c r="P1677" s="19"/>
      <c r="Q1677" s="47"/>
      <c r="R1677" s="19"/>
      <c r="S1677" s="19"/>
    </row>
    <row r="1678" spans="1:19" x14ac:dyDescent="0.35">
      <c r="A1678" s="26" t="s">
        <v>543</v>
      </c>
      <c r="B1678" s="26" t="s">
        <v>543</v>
      </c>
      <c r="C1678" s="26"/>
      <c r="D1678" s="26" t="s">
        <v>543</v>
      </c>
      <c r="E1678" s="26" t="str">
        <f>IFERROR(VLOOKUP(G1678,WholesaleExtract!B:J,9,FALSE),"")</f>
        <v/>
      </c>
      <c r="F1678" s="26" t="str">
        <f>IFERROR(VLOOKUP(G1678,WholesaleExtract!B:J,6,FALSE),"")</f>
        <v/>
      </c>
      <c r="G1678" s="46"/>
      <c r="H1678" s="47" t="str">
        <f>IFERROR(VLOOKUP(G1678,WholesaleExtract!B:L,11,FALSE),"")</f>
        <v/>
      </c>
      <c r="I1678" s="26" t="str">
        <f>IFERROR(VLOOKUP(G1678,WholesaleExtract!B:O,8,FALSE),"")</f>
        <v/>
      </c>
      <c r="J1678" s="26" t="str">
        <f>IFERROR(VLOOKUP(G1678,WholesaleExtract!B:O,14,FALSE),"")</f>
        <v/>
      </c>
      <c r="K1678" s="26" t="str">
        <f>IFERROR(VLOOKUP(G1678,WholesaleExtract!B:K,10,FALSE),"")</f>
        <v/>
      </c>
      <c r="L1678" s="47" t="str">
        <f>IFERROR(VLOOKUP(G1678,WholesaleExtract!B:L,11,FALSE),"")</f>
        <v/>
      </c>
      <c r="M1678" s="47" t="str">
        <f>IFERROR(VLOOKUP(G1678,WholesaleExtract!B:M,12,FALSE),"")</f>
        <v/>
      </c>
      <c r="N1678" s="27"/>
      <c r="O1678" s="19"/>
      <c r="P1678" s="19"/>
      <c r="Q1678" s="47"/>
      <c r="R1678" s="19"/>
      <c r="S1678" s="19"/>
    </row>
    <row r="1679" spans="1:19" x14ac:dyDescent="0.35">
      <c r="A1679" s="26" t="s">
        <v>543</v>
      </c>
      <c r="B1679" s="26" t="s">
        <v>543</v>
      </c>
      <c r="C1679" s="26"/>
      <c r="D1679" s="26" t="s">
        <v>543</v>
      </c>
      <c r="E1679" s="26" t="str">
        <f>IFERROR(VLOOKUP(G1679,WholesaleExtract!B:J,9,FALSE),"")</f>
        <v/>
      </c>
      <c r="F1679" s="26" t="str">
        <f>IFERROR(VLOOKUP(G1679,WholesaleExtract!B:J,6,FALSE),"")</f>
        <v/>
      </c>
      <c r="G1679" s="46"/>
      <c r="H1679" s="47" t="str">
        <f>IFERROR(VLOOKUP(G1679,WholesaleExtract!B:L,11,FALSE),"")</f>
        <v/>
      </c>
      <c r="I1679" s="26" t="str">
        <f>IFERROR(VLOOKUP(G1679,WholesaleExtract!B:O,8,FALSE),"")</f>
        <v/>
      </c>
      <c r="J1679" s="26" t="str">
        <f>IFERROR(VLOOKUP(G1679,WholesaleExtract!B:O,14,FALSE),"")</f>
        <v/>
      </c>
      <c r="K1679" s="26" t="str">
        <f>IFERROR(VLOOKUP(G1679,WholesaleExtract!B:K,10,FALSE),"")</f>
        <v/>
      </c>
      <c r="L1679" s="47" t="str">
        <f>IFERROR(VLOOKUP(G1679,WholesaleExtract!B:L,11,FALSE),"")</f>
        <v/>
      </c>
      <c r="M1679" s="47" t="str">
        <f>IFERROR(VLOOKUP(G1679,WholesaleExtract!B:M,12,FALSE),"")</f>
        <v/>
      </c>
      <c r="N1679" s="27"/>
      <c r="O1679" s="19"/>
      <c r="P1679" s="19"/>
      <c r="Q1679" s="47"/>
      <c r="R1679" s="19"/>
      <c r="S1679" s="19"/>
    </row>
    <row r="1680" spans="1:19" x14ac:dyDescent="0.35">
      <c r="A1680" s="26" t="s">
        <v>543</v>
      </c>
      <c r="B1680" s="26" t="s">
        <v>543</v>
      </c>
      <c r="C1680" s="26"/>
      <c r="D1680" s="26" t="s">
        <v>543</v>
      </c>
      <c r="E1680" s="26" t="str">
        <f>IFERROR(VLOOKUP(G1680,WholesaleExtract!B:J,9,FALSE),"")</f>
        <v/>
      </c>
      <c r="F1680" s="26" t="str">
        <f>IFERROR(VLOOKUP(G1680,WholesaleExtract!B:J,6,FALSE),"")</f>
        <v/>
      </c>
      <c r="G1680" s="46"/>
      <c r="H1680" s="47" t="str">
        <f>IFERROR(VLOOKUP(G1680,WholesaleExtract!B:L,11,FALSE),"")</f>
        <v/>
      </c>
      <c r="I1680" s="26" t="str">
        <f>IFERROR(VLOOKUP(G1680,WholesaleExtract!B:O,8,FALSE),"")</f>
        <v/>
      </c>
      <c r="J1680" s="26" t="str">
        <f>IFERROR(VLOOKUP(G1680,WholesaleExtract!B:O,14,FALSE),"")</f>
        <v/>
      </c>
      <c r="K1680" s="26" t="str">
        <f>IFERROR(VLOOKUP(G1680,WholesaleExtract!B:K,10,FALSE),"")</f>
        <v/>
      </c>
      <c r="L1680" s="47" t="str">
        <f>IFERROR(VLOOKUP(G1680,WholesaleExtract!B:L,11,FALSE),"")</f>
        <v/>
      </c>
      <c r="M1680" s="47" t="str">
        <f>IFERROR(VLOOKUP(G1680,WholesaleExtract!B:M,12,FALSE),"")</f>
        <v/>
      </c>
      <c r="N1680" s="27"/>
      <c r="O1680" s="19"/>
      <c r="P1680" s="19"/>
      <c r="Q1680" s="47"/>
      <c r="R1680" s="19"/>
      <c r="S1680" s="19"/>
    </row>
    <row r="1681" spans="1:19" x14ac:dyDescent="0.35">
      <c r="A1681" s="26" t="s">
        <v>543</v>
      </c>
      <c r="B1681" s="26" t="s">
        <v>543</v>
      </c>
      <c r="C1681" s="26"/>
      <c r="D1681" s="26" t="s">
        <v>543</v>
      </c>
      <c r="E1681" s="26" t="str">
        <f>IFERROR(VLOOKUP(G1681,WholesaleExtract!B:J,9,FALSE),"")</f>
        <v/>
      </c>
      <c r="F1681" s="26" t="str">
        <f>IFERROR(VLOOKUP(G1681,WholesaleExtract!B:J,6,FALSE),"")</f>
        <v/>
      </c>
      <c r="H1681" s="47" t="str">
        <f>IFERROR(VLOOKUP(G1681,WholesaleExtract!B:L,11,FALSE),"")</f>
        <v/>
      </c>
      <c r="I1681" s="26" t="str">
        <f>IFERROR(VLOOKUP(G1681,WholesaleExtract!B:O,8,FALSE),"")</f>
        <v/>
      </c>
      <c r="J1681" s="26" t="str">
        <f>IFERROR(VLOOKUP(G1681,WholesaleExtract!B:O,14,FALSE),"")</f>
        <v/>
      </c>
      <c r="K1681" s="26" t="str">
        <f>IFERROR(VLOOKUP(G1681,WholesaleExtract!B:K,10,FALSE),"")</f>
        <v/>
      </c>
      <c r="L1681" s="47" t="str">
        <f>IFERROR(VLOOKUP(G1681,WholesaleExtract!B:L,11,FALSE),"")</f>
        <v/>
      </c>
      <c r="M1681" s="47" t="str">
        <f>IFERROR(VLOOKUP(G1681,WholesaleExtract!B:M,12,FALSE),"")</f>
        <v/>
      </c>
      <c r="R1681" s="19"/>
      <c r="S1681" s="19"/>
    </row>
    <row r="1682" spans="1:19" x14ac:dyDescent="0.35">
      <c r="A1682" s="26" t="s">
        <v>543</v>
      </c>
      <c r="B1682" s="26" t="s">
        <v>543</v>
      </c>
      <c r="C1682" s="26"/>
      <c r="D1682" s="26" t="s">
        <v>543</v>
      </c>
      <c r="E1682" s="26" t="str">
        <f>IFERROR(VLOOKUP(G1682,WholesaleExtract!B:J,9,FALSE),"")</f>
        <v/>
      </c>
      <c r="F1682" s="26" t="str">
        <f>IFERROR(VLOOKUP(G1682,WholesaleExtract!B:J,6,FALSE),"")</f>
        <v/>
      </c>
      <c r="H1682" s="47" t="str">
        <f>IFERROR(VLOOKUP(G1682,WholesaleExtract!B:L,11,FALSE),"")</f>
        <v/>
      </c>
      <c r="I1682" s="26" t="str">
        <f>IFERROR(VLOOKUP(G1682,WholesaleExtract!B:O,8,FALSE),"")</f>
        <v/>
      </c>
      <c r="J1682" s="26" t="str">
        <f>IFERROR(VLOOKUP(G1682,WholesaleExtract!B:O,14,FALSE),"")</f>
        <v/>
      </c>
      <c r="K1682" s="26" t="str">
        <f>IFERROR(VLOOKUP(G1682,WholesaleExtract!B:K,10,FALSE),"")</f>
        <v/>
      </c>
      <c r="L1682" s="47" t="str">
        <f>IFERROR(VLOOKUP(G1682,WholesaleExtract!B:L,11,FALSE),"")</f>
        <v/>
      </c>
      <c r="M1682" s="47" t="str">
        <f>IFERROR(VLOOKUP(G1682,WholesaleExtract!B:M,12,FALSE),"")</f>
        <v/>
      </c>
      <c r="R1682" s="19"/>
      <c r="S1682" s="19"/>
    </row>
    <row r="1683" spans="1:19" x14ac:dyDescent="0.35">
      <c r="A1683" s="26" t="s">
        <v>543</v>
      </c>
      <c r="B1683" s="26" t="s">
        <v>543</v>
      </c>
      <c r="C1683" s="26"/>
      <c r="D1683" s="26" t="s">
        <v>543</v>
      </c>
      <c r="E1683" s="26" t="str">
        <f>IFERROR(VLOOKUP(G1683,WholesaleExtract!B:J,9,FALSE),"")</f>
        <v/>
      </c>
      <c r="F1683" s="26" t="str">
        <f>IFERROR(VLOOKUP(G1683,WholesaleExtract!B:J,6,FALSE),"")</f>
        <v/>
      </c>
      <c r="H1683" s="47" t="str">
        <f>IFERROR(VLOOKUP(G1683,WholesaleExtract!B:L,11,FALSE),"")</f>
        <v/>
      </c>
      <c r="I1683" s="26" t="str">
        <f>IFERROR(VLOOKUP(G1683,WholesaleExtract!B:O,8,FALSE),"")</f>
        <v/>
      </c>
      <c r="J1683" s="26" t="str">
        <f>IFERROR(VLOOKUP(G1683,WholesaleExtract!B:O,14,FALSE),"")</f>
        <v/>
      </c>
      <c r="K1683" s="26" t="str">
        <f>IFERROR(VLOOKUP(G1683,WholesaleExtract!B:K,10,FALSE),"")</f>
        <v/>
      </c>
      <c r="L1683" s="47" t="str">
        <f>IFERROR(VLOOKUP(G1683,WholesaleExtract!B:L,11,FALSE),"")</f>
        <v/>
      </c>
      <c r="M1683" s="47" t="str">
        <f>IFERROR(VLOOKUP(G1683,WholesaleExtract!B:M,12,FALSE),"")</f>
        <v/>
      </c>
      <c r="R1683" s="19"/>
      <c r="S1683" s="19"/>
    </row>
    <row r="1684" spans="1:19" x14ac:dyDescent="0.35">
      <c r="A1684" s="26" t="s">
        <v>543</v>
      </c>
      <c r="B1684" s="26" t="s">
        <v>543</v>
      </c>
      <c r="C1684" s="26"/>
      <c r="D1684" s="26" t="s">
        <v>543</v>
      </c>
      <c r="E1684" s="26" t="str">
        <f>IFERROR(VLOOKUP(G1684,WholesaleExtract!B:J,9,FALSE),"")</f>
        <v/>
      </c>
      <c r="F1684" s="26" t="str">
        <f>IFERROR(VLOOKUP(G1684,WholesaleExtract!B:J,6,FALSE),"")</f>
        <v/>
      </c>
      <c r="H1684" s="47" t="str">
        <f>IFERROR(VLOOKUP(G1684,WholesaleExtract!B:L,11,FALSE),"")</f>
        <v/>
      </c>
      <c r="I1684" s="26" t="str">
        <f>IFERROR(VLOOKUP(G1684,WholesaleExtract!B:O,8,FALSE),"")</f>
        <v/>
      </c>
      <c r="J1684" s="26" t="str">
        <f>IFERROR(VLOOKUP(G1684,WholesaleExtract!B:O,14,FALSE),"")</f>
        <v/>
      </c>
      <c r="K1684" s="26" t="str">
        <f>IFERROR(VLOOKUP(G1684,WholesaleExtract!B:K,10,FALSE),"")</f>
        <v/>
      </c>
      <c r="L1684" s="47" t="str">
        <f>IFERROR(VLOOKUP(G1684,WholesaleExtract!B:L,11,FALSE),"")</f>
        <v/>
      </c>
      <c r="M1684" s="47" t="str">
        <f>IFERROR(VLOOKUP(G1684,WholesaleExtract!B:M,12,FALSE),"")</f>
        <v/>
      </c>
      <c r="R1684" s="19"/>
      <c r="S1684" s="19"/>
    </row>
    <row r="1685" spans="1:19" x14ac:dyDescent="0.35">
      <c r="A1685" s="26" t="s">
        <v>543</v>
      </c>
      <c r="B1685" s="26" t="s">
        <v>543</v>
      </c>
      <c r="C1685" s="26"/>
      <c r="D1685" s="26" t="s">
        <v>543</v>
      </c>
      <c r="E1685" s="26" t="str">
        <f>IFERROR(VLOOKUP(G1685,WholesaleExtract!B:J,9,FALSE),"")</f>
        <v/>
      </c>
      <c r="F1685" s="26" t="str">
        <f>IFERROR(VLOOKUP(G1685,WholesaleExtract!B:J,6,FALSE),"")</f>
        <v/>
      </c>
      <c r="H1685" s="47" t="str">
        <f>IFERROR(VLOOKUP(G1685,WholesaleExtract!B:L,11,FALSE),"")</f>
        <v/>
      </c>
      <c r="I1685" s="26" t="str">
        <f>IFERROR(VLOOKUP(G1685,WholesaleExtract!B:O,8,FALSE),"")</f>
        <v/>
      </c>
      <c r="J1685" s="26" t="str">
        <f>IFERROR(VLOOKUP(G1685,WholesaleExtract!B:O,14,FALSE),"")</f>
        <v/>
      </c>
      <c r="K1685" s="26" t="str">
        <f>IFERROR(VLOOKUP(G1685,WholesaleExtract!B:K,10,FALSE),"")</f>
        <v/>
      </c>
      <c r="L1685" s="47" t="str">
        <f>IFERROR(VLOOKUP(G1685,WholesaleExtract!B:L,11,FALSE),"")</f>
        <v/>
      </c>
      <c r="M1685" s="47" t="str">
        <f>IFERROR(VLOOKUP(G1685,WholesaleExtract!B:M,12,FALSE),"")</f>
        <v/>
      </c>
      <c r="R1685" s="19"/>
      <c r="S1685" s="19"/>
    </row>
    <row r="1686" spans="1:19" x14ac:dyDescent="0.35">
      <c r="A1686" s="26" t="s">
        <v>543</v>
      </c>
      <c r="B1686" s="26" t="s">
        <v>543</v>
      </c>
      <c r="C1686" s="26"/>
      <c r="D1686" s="26" t="s">
        <v>543</v>
      </c>
      <c r="E1686" s="26" t="str">
        <f>IFERROR(VLOOKUP(G1686,WholesaleExtract!B:J,9,FALSE),"")</f>
        <v/>
      </c>
      <c r="F1686" s="26" t="str">
        <f>IFERROR(VLOOKUP(G1686,WholesaleExtract!B:J,6,FALSE),"")</f>
        <v/>
      </c>
      <c r="H1686" s="47" t="str">
        <f>IFERROR(VLOOKUP(G1686,WholesaleExtract!B:L,11,FALSE),"")</f>
        <v/>
      </c>
      <c r="I1686" s="26" t="str">
        <f>IFERROR(VLOOKUP(G1686,WholesaleExtract!B:O,8,FALSE),"")</f>
        <v/>
      </c>
      <c r="J1686" s="26" t="str">
        <f>IFERROR(VLOOKUP(G1686,WholesaleExtract!B:O,14,FALSE),"")</f>
        <v/>
      </c>
      <c r="K1686" s="26" t="str">
        <f>IFERROR(VLOOKUP(G1686,WholesaleExtract!B:K,10,FALSE),"")</f>
        <v/>
      </c>
      <c r="L1686" s="47" t="str">
        <f>IFERROR(VLOOKUP(G1686,WholesaleExtract!B:L,11,FALSE),"")</f>
        <v/>
      </c>
      <c r="M1686" s="47" t="str">
        <f>IFERROR(VLOOKUP(G1686,WholesaleExtract!B:M,12,FALSE),"")</f>
        <v/>
      </c>
      <c r="R1686" s="19"/>
      <c r="S1686" s="19"/>
    </row>
    <row r="1687" spans="1:19" x14ac:dyDescent="0.35">
      <c r="A1687" s="26" t="s">
        <v>543</v>
      </c>
      <c r="B1687" s="26" t="s">
        <v>543</v>
      </c>
      <c r="C1687" s="26"/>
      <c r="D1687" s="26" t="s">
        <v>543</v>
      </c>
      <c r="E1687" s="26" t="str">
        <f>IFERROR(VLOOKUP(G1687,WholesaleExtract!B:J,9,FALSE),"")</f>
        <v/>
      </c>
      <c r="F1687" s="26" t="str">
        <f>IFERROR(VLOOKUP(G1687,WholesaleExtract!B:J,6,FALSE),"")</f>
        <v/>
      </c>
      <c r="H1687" s="47" t="str">
        <f>IFERROR(VLOOKUP(G1687,WholesaleExtract!B:L,11,FALSE),"")</f>
        <v/>
      </c>
      <c r="I1687" s="26" t="str">
        <f>IFERROR(VLOOKUP(G1687,WholesaleExtract!B:O,8,FALSE),"")</f>
        <v/>
      </c>
      <c r="J1687" s="26" t="str">
        <f>IFERROR(VLOOKUP(G1687,WholesaleExtract!B:O,14,FALSE),"")</f>
        <v/>
      </c>
      <c r="K1687" s="26" t="str">
        <f>IFERROR(VLOOKUP(G1687,WholesaleExtract!B:K,10,FALSE),"")</f>
        <v/>
      </c>
      <c r="L1687" s="47" t="str">
        <f>IFERROR(VLOOKUP(G1687,WholesaleExtract!B:L,11,FALSE),"")</f>
        <v/>
      </c>
      <c r="M1687" s="47" t="str">
        <f>IFERROR(VLOOKUP(G1687,WholesaleExtract!B:M,12,FALSE),"")</f>
        <v/>
      </c>
      <c r="R1687" s="19"/>
      <c r="S1687" s="19"/>
    </row>
    <row r="1688" spans="1:19" x14ac:dyDescent="0.35">
      <c r="A1688" s="26" t="s">
        <v>543</v>
      </c>
      <c r="B1688" s="26" t="s">
        <v>543</v>
      </c>
      <c r="C1688" s="26"/>
      <c r="D1688" s="26" t="s">
        <v>543</v>
      </c>
      <c r="E1688" s="26" t="str">
        <f>IFERROR(VLOOKUP(G1688,WholesaleExtract!B:J,9,FALSE),"")</f>
        <v/>
      </c>
      <c r="F1688" s="26" t="str">
        <f>IFERROR(VLOOKUP(G1688,WholesaleExtract!B:J,6,FALSE),"")</f>
        <v/>
      </c>
      <c r="H1688" s="47" t="str">
        <f>IFERROR(VLOOKUP(G1688,WholesaleExtract!B:L,11,FALSE),"")</f>
        <v/>
      </c>
      <c r="I1688" s="26" t="str">
        <f>IFERROR(VLOOKUP(G1688,WholesaleExtract!B:O,8,FALSE),"")</f>
        <v/>
      </c>
      <c r="J1688" s="26" t="str">
        <f>IFERROR(VLOOKUP(G1688,WholesaleExtract!B:O,14,FALSE),"")</f>
        <v/>
      </c>
      <c r="K1688" s="26" t="str">
        <f>IFERROR(VLOOKUP(G1688,WholesaleExtract!B:K,10,FALSE),"")</f>
        <v/>
      </c>
      <c r="L1688" s="47" t="str">
        <f>IFERROR(VLOOKUP(G1688,WholesaleExtract!B:L,11,FALSE),"")</f>
        <v/>
      </c>
      <c r="M1688" s="47" t="str">
        <f>IFERROR(VLOOKUP(G1688,WholesaleExtract!B:M,12,FALSE),"")</f>
        <v/>
      </c>
      <c r="R1688" s="19"/>
      <c r="S1688" s="19"/>
    </row>
    <row r="1689" spans="1:19" x14ac:dyDescent="0.35">
      <c r="A1689" s="26" t="s">
        <v>543</v>
      </c>
      <c r="B1689" s="26" t="s">
        <v>543</v>
      </c>
      <c r="C1689" s="26"/>
      <c r="D1689" s="26" t="s">
        <v>543</v>
      </c>
      <c r="E1689" s="26" t="str">
        <f>IFERROR(VLOOKUP(G1689,WholesaleExtract!B:J,9,FALSE),"")</f>
        <v/>
      </c>
      <c r="F1689" s="26" t="str">
        <f>IFERROR(VLOOKUP(G1689,WholesaleExtract!B:J,6,FALSE),"")</f>
        <v/>
      </c>
      <c r="H1689" s="47" t="str">
        <f>IFERROR(VLOOKUP(G1689,WholesaleExtract!B:L,11,FALSE),"")</f>
        <v/>
      </c>
      <c r="I1689" s="26" t="str">
        <f>IFERROR(VLOOKUP(G1689,WholesaleExtract!B:O,8,FALSE),"")</f>
        <v/>
      </c>
      <c r="J1689" s="26" t="str">
        <f>IFERROR(VLOOKUP(G1689,WholesaleExtract!B:O,14,FALSE),"")</f>
        <v/>
      </c>
      <c r="K1689" s="26" t="str">
        <f>IFERROR(VLOOKUP(G1689,WholesaleExtract!B:K,10,FALSE),"")</f>
        <v/>
      </c>
      <c r="L1689" s="47" t="str">
        <f>IFERROR(VLOOKUP(G1689,WholesaleExtract!B:L,11,FALSE),"")</f>
        <v/>
      </c>
      <c r="M1689" s="47" t="str">
        <f>IFERROR(VLOOKUP(G1689,WholesaleExtract!B:M,12,FALSE),"")</f>
        <v/>
      </c>
      <c r="R1689" s="19"/>
      <c r="S1689" s="19"/>
    </row>
    <row r="1690" spans="1:19" x14ac:dyDescent="0.35">
      <c r="A1690" s="26" t="s">
        <v>543</v>
      </c>
      <c r="B1690" s="26" t="s">
        <v>543</v>
      </c>
      <c r="C1690" s="26"/>
      <c r="D1690" s="26" t="s">
        <v>543</v>
      </c>
      <c r="E1690" s="26" t="str">
        <f>IFERROR(VLOOKUP(G1690,WholesaleExtract!B:J,9,FALSE),"")</f>
        <v/>
      </c>
      <c r="F1690" s="26" t="str">
        <f>IFERROR(VLOOKUP(G1690,WholesaleExtract!B:J,6,FALSE),"")</f>
        <v/>
      </c>
      <c r="H1690" s="47" t="str">
        <f>IFERROR(VLOOKUP(G1690,WholesaleExtract!B:L,11,FALSE),"")</f>
        <v/>
      </c>
      <c r="I1690" s="26" t="str">
        <f>IFERROR(VLOOKUP(G1690,WholesaleExtract!B:O,8,FALSE),"")</f>
        <v/>
      </c>
      <c r="J1690" s="26" t="str">
        <f>IFERROR(VLOOKUP(G1690,WholesaleExtract!B:O,14,FALSE),"")</f>
        <v/>
      </c>
      <c r="K1690" s="26" t="str">
        <f>IFERROR(VLOOKUP(G1690,WholesaleExtract!B:K,10,FALSE),"")</f>
        <v/>
      </c>
      <c r="L1690" s="47" t="str">
        <f>IFERROR(VLOOKUP(G1690,WholesaleExtract!B:L,11,FALSE),"")</f>
        <v/>
      </c>
      <c r="M1690" s="47" t="str">
        <f>IFERROR(VLOOKUP(G1690,WholesaleExtract!B:M,12,FALSE),"")</f>
        <v/>
      </c>
      <c r="R1690" s="19"/>
      <c r="S1690" s="19"/>
    </row>
    <row r="1691" spans="1:19" x14ac:dyDescent="0.35">
      <c r="A1691" s="26" t="s">
        <v>543</v>
      </c>
      <c r="B1691" s="26" t="s">
        <v>543</v>
      </c>
      <c r="C1691" s="26"/>
      <c r="D1691" s="26" t="s">
        <v>543</v>
      </c>
      <c r="E1691" s="26" t="str">
        <f>IFERROR(VLOOKUP(G1691,WholesaleExtract!B:J,9,FALSE),"")</f>
        <v/>
      </c>
      <c r="F1691" s="26" t="str">
        <f>IFERROR(VLOOKUP(G1691,WholesaleExtract!B:J,6,FALSE),"")</f>
        <v/>
      </c>
      <c r="H1691" s="47" t="str">
        <f>IFERROR(VLOOKUP(G1691,WholesaleExtract!B:L,11,FALSE),"")</f>
        <v/>
      </c>
      <c r="I1691" s="26" t="str">
        <f>IFERROR(VLOOKUP(G1691,WholesaleExtract!B:O,8,FALSE),"")</f>
        <v/>
      </c>
      <c r="J1691" s="26" t="str">
        <f>IFERROR(VLOOKUP(G1691,WholesaleExtract!B:O,14,FALSE),"")</f>
        <v/>
      </c>
      <c r="K1691" s="26" t="str">
        <f>IFERROR(VLOOKUP(G1691,WholesaleExtract!B:K,10,FALSE),"")</f>
        <v/>
      </c>
      <c r="L1691" s="47" t="str">
        <f>IFERROR(VLOOKUP(G1691,WholesaleExtract!B:L,11,FALSE),"")</f>
        <v/>
      </c>
      <c r="M1691" s="47" t="str">
        <f>IFERROR(VLOOKUP(G1691,WholesaleExtract!B:M,12,FALSE),"")</f>
        <v/>
      </c>
      <c r="R1691" s="19"/>
      <c r="S1691" s="19"/>
    </row>
    <row r="1692" spans="1:19" x14ac:dyDescent="0.35">
      <c r="A1692" s="26" t="s">
        <v>543</v>
      </c>
      <c r="B1692" s="26" t="s">
        <v>543</v>
      </c>
      <c r="C1692" s="26"/>
      <c r="D1692" s="26" t="s">
        <v>543</v>
      </c>
      <c r="E1692" s="26" t="str">
        <f>IFERROR(VLOOKUP(G1692,WholesaleExtract!B:J,9,FALSE),"")</f>
        <v/>
      </c>
      <c r="F1692" s="26" t="str">
        <f>IFERROR(VLOOKUP(G1692,WholesaleExtract!B:J,6,FALSE),"")</f>
        <v/>
      </c>
      <c r="H1692" s="47" t="str">
        <f>IFERROR(VLOOKUP(G1692,WholesaleExtract!B:L,11,FALSE),"")</f>
        <v/>
      </c>
      <c r="I1692" s="26" t="str">
        <f>IFERROR(VLOOKUP(G1692,WholesaleExtract!B:O,8,FALSE),"")</f>
        <v/>
      </c>
      <c r="J1692" s="26" t="str">
        <f>IFERROR(VLOOKUP(G1692,WholesaleExtract!B:O,14,FALSE),"")</f>
        <v/>
      </c>
      <c r="K1692" s="26" t="str">
        <f>IFERROR(VLOOKUP(G1692,WholesaleExtract!B:K,10,FALSE),"")</f>
        <v/>
      </c>
      <c r="L1692" s="47" t="str">
        <f>IFERROR(VLOOKUP(G1692,WholesaleExtract!B:L,11,FALSE),"")</f>
        <v/>
      </c>
      <c r="M1692" s="47" t="str">
        <f>IFERROR(VLOOKUP(G1692,WholesaleExtract!B:M,12,FALSE),"")</f>
        <v/>
      </c>
      <c r="R1692" s="19"/>
      <c r="S1692" s="19"/>
    </row>
    <row r="1693" spans="1:19" x14ac:dyDescent="0.35">
      <c r="A1693" s="26" t="s">
        <v>543</v>
      </c>
      <c r="B1693" s="26" t="s">
        <v>543</v>
      </c>
      <c r="C1693" s="26"/>
      <c r="D1693" s="26" t="s">
        <v>543</v>
      </c>
      <c r="E1693" s="26" t="str">
        <f>IFERROR(VLOOKUP(G1693,WholesaleExtract!B:J,9,FALSE),"")</f>
        <v/>
      </c>
      <c r="F1693" s="26" t="str">
        <f>IFERROR(VLOOKUP(G1693,WholesaleExtract!B:J,6,FALSE),"")</f>
        <v/>
      </c>
      <c r="H1693" s="47" t="str">
        <f>IFERROR(VLOOKUP(G1693,WholesaleExtract!B:L,11,FALSE),"")</f>
        <v/>
      </c>
      <c r="I1693" s="26" t="str">
        <f>IFERROR(VLOOKUP(G1693,WholesaleExtract!B:O,8,FALSE),"")</f>
        <v/>
      </c>
      <c r="J1693" s="26" t="str">
        <f>IFERROR(VLOOKUP(G1693,WholesaleExtract!B:O,14,FALSE),"")</f>
        <v/>
      </c>
      <c r="K1693" s="26" t="str">
        <f>IFERROR(VLOOKUP(G1693,WholesaleExtract!B:K,10,FALSE),"")</f>
        <v/>
      </c>
      <c r="L1693" s="47" t="str">
        <f>IFERROR(VLOOKUP(G1693,WholesaleExtract!B:L,11,FALSE),"")</f>
        <v/>
      </c>
      <c r="M1693" s="47" t="str">
        <f>IFERROR(VLOOKUP(G1693,WholesaleExtract!B:M,12,FALSE),"")</f>
        <v/>
      </c>
      <c r="R1693" s="19"/>
      <c r="S1693" s="19"/>
    </row>
    <row r="1694" spans="1:19" x14ac:dyDescent="0.35">
      <c r="A1694" s="26" t="s">
        <v>543</v>
      </c>
      <c r="B1694" s="26" t="s">
        <v>543</v>
      </c>
      <c r="C1694" s="26"/>
      <c r="D1694" s="26" t="s">
        <v>543</v>
      </c>
      <c r="E1694" s="26" t="str">
        <f>IFERROR(VLOOKUP(G1694,WholesaleExtract!B:J,9,FALSE),"")</f>
        <v/>
      </c>
      <c r="F1694" s="26" t="str">
        <f>IFERROR(VLOOKUP(G1694,WholesaleExtract!B:J,6,FALSE),"")</f>
        <v/>
      </c>
      <c r="H1694" s="47" t="str">
        <f>IFERROR(VLOOKUP(G1694,WholesaleExtract!B:L,11,FALSE),"")</f>
        <v/>
      </c>
      <c r="I1694" s="26" t="str">
        <f>IFERROR(VLOOKUP(G1694,WholesaleExtract!B:O,8,FALSE),"")</f>
        <v/>
      </c>
      <c r="J1694" s="26" t="str">
        <f>IFERROR(VLOOKUP(G1694,WholesaleExtract!B:O,14,FALSE),"")</f>
        <v/>
      </c>
      <c r="K1694" s="26" t="str">
        <f>IFERROR(VLOOKUP(G1694,WholesaleExtract!B:K,10,FALSE),"")</f>
        <v/>
      </c>
      <c r="L1694" s="47" t="str">
        <f>IFERROR(VLOOKUP(G1694,WholesaleExtract!B:L,11,FALSE),"")</f>
        <v/>
      </c>
      <c r="M1694" s="47" t="str">
        <f>IFERROR(VLOOKUP(G1694,WholesaleExtract!B:M,12,FALSE),"")</f>
        <v/>
      </c>
      <c r="R1694" s="19"/>
      <c r="S1694" s="19"/>
    </row>
    <row r="1695" spans="1:19" x14ac:dyDescent="0.35">
      <c r="A1695" s="26" t="s">
        <v>543</v>
      </c>
      <c r="B1695" s="26" t="s">
        <v>543</v>
      </c>
      <c r="C1695" s="26"/>
      <c r="D1695" s="26" t="s">
        <v>543</v>
      </c>
      <c r="E1695" s="26" t="str">
        <f>IFERROR(VLOOKUP(G1695,WholesaleExtract!B:J,9,FALSE),"")</f>
        <v/>
      </c>
      <c r="F1695" s="26" t="str">
        <f>IFERROR(VLOOKUP(G1695,WholesaleExtract!B:J,6,FALSE),"")</f>
        <v/>
      </c>
      <c r="H1695" s="47" t="str">
        <f>IFERROR(VLOOKUP(G1695,WholesaleExtract!B:L,11,FALSE),"")</f>
        <v/>
      </c>
      <c r="I1695" s="26" t="str">
        <f>IFERROR(VLOOKUP(G1695,WholesaleExtract!B:O,8,FALSE),"")</f>
        <v/>
      </c>
      <c r="J1695" s="26" t="str">
        <f>IFERROR(VLOOKUP(G1695,WholesaleExtract!B:O,14,FALSE),"")</f>
        <v/>
      </c>
      <c r="K1695" s="26" t="str">
        <f>IFERROR(VLOOKUP(G1695,WholesaleExtract!B:K,10,FALSE),"")</f>
        <v/>
      </c>
      <c r="L1695" s="47" t="str">
        <f>IFERROR(VLOOKUP(G1695,WholesaleExtract!B:L,11,FALSE),"")</f>
        <v/>
      </c>
      <c r="M1695" s="47" t="str">
        <f>IFERROR(VLOOKUP(G1695,WholesaleExtract!B:M,12,FALSE),"")</f>
        <v/>
      </c>
      <c r="R1695" s="19"/>
      <c r="S1695" s="19"/>
    </row>
    <row r="1696" spans="1:19" x14ac:dyDescent="0.35">
      <c r="A1696" s="26" t="s">
        <v>543</v>
      </c>
      <c r="B1696" s="26" t="s">
        <v>543</v>
      </c>
      <c r="C1696" s="26"/>
      <c r="D1696" s="26" t="s">
        <v>543</v>
      </c>
      <c r="E1696" s="26" t="str">
        <f>IFERROR(VLOOKUP(G1696,WholesaleExtract!B:J,9,FALSE),"")</f>
        <v/>
      </c>
      <c r="F1696" s="26" t="str">
        <f>IFERROR(VLOOKUP(G1696,WholesaleExtract!B:J,6,FALSE),"")</f>
        <v/>
      </c>
      <c r="H1696" s="47" t="str">
        <f>IFERROR(VLOOKUP(G1696,WholesaleExtract!B:L,11,FALSE),"")</f>
        <v/>
      </c>
      <c r="I1696" s="26" t="str">
        <f>IFERROR(VLOOKUP(G1696,WholesaleExtract!B:O,8,FALSE),"")</f>
        <v/>
      </c>
      <c r="J1696" s="26" t="str">
        <f>IFERROR(VLOOKUP(G1696,WholesaleExtract!B:O,14,FALSE),"")</f>
        <v/>
      </c>
      <c r="K1696" s="26" t="str">
        <f>IFERROR(VLOOKUP(G1696,WholesaleExtract!B:K,10,FALSE),"")</f>
        <v/>
      </c>
      <c r="L1696" s="47" t="str">
        <f>IFERROR(VLOOKUP(G1696,WholesaleExtract!B:L,11,FALSE),"")</f>
        <v/>
      </c>
      <c r="M1696" s="47" t="str">
        <f>IFERROR(VLOOKUP(G1696,WholesaleExtract!B:M,12,FALSE),"")</f>
        <v/>
      </c>
      <c r="R1696" s="19"/>
      <c r="S1696" s="19"/>
    </row>
    <row r="1697" spans="1:19" x14ac:dyDescent="0.35">
      <c r="A1697" s="26" t="s">
        <v>543</v>
      </c>
      <c r="B1697" s="26" t="s">
        <v>543</v>
      </c>
      <c r="C1697" s="26"/>
      <c r="D1697" s="26" t="s">
        <v>543</v>
      </c>
      <c r="E1697" s="26" t="str">
        <f>IFERROR(VLOOKUP(G1697,WholesaleExtract!B:J,9,FALSE),"")</f>
        <v/>
      </c>
      <c r="F1697" s="26" t="str">
        <f>IFERROR(VLOOKUP(G1697,WholesaleExtract!B:J,6,FALSE),"")</f>
        <v/>
      </c>
      <c r="H1697" s="47" t="str">
        <f>IFERROR(VLOOKUP(G1697,WholesaleExtract!B:L,11,FALSE),"")</f>
        <v/>
      </c>
      <c r="I1697" s="26" t="str">
        <f>IFERROR(VLOOKUP(G1697,WholesaleExtract!B:O,8,FALSE),"")</f>
        <v/>
      </c>
      <c r="J1697" s="26" t="str">
        <f>IFERROR(VLOOKUP(G1697,WholesaleExtract!B:O,14,FALSE),"")</f>
        <v/>
      </c>
      <c r="K1697" s="26" t="str">
        <f>IFERROR(VLOOKUP(G1697,WholesaleExtract!B:K,10,FALSE),"")</f>
        <v/>
      </c>
      <c r="L1697" s="47" t="str">
        <f>IFERROR(VLOOKUP(G1697,WholesaleExtract!B:L,11,FALSE),"")</f>
        <v/>
      </c>
      <c r="M1697" s="47" t="str">
        <f>IFERROR(VLOOKUP(G1697,WholesaleExtract!B:M,12,FALSE),"")</f>
        <v/>
      </c>
      <c r="R1697" s="19"/>
      <c r="S1697" s="19"/>
    </row>
    <row r="1698" spans="1:19" x14ac:dyDescent="0.35">
      <c r="A1698" s="26" t="s">
        <v>543</v>
      </c>
      <c r="B1698" s="26" t="s">
        <v>543</v>
      </c>
      <c r="C1698" s="26"/>
      <c r="D1698" s="26" t="s">
        <v>543</v>
      </c>
      <c r="E1698" s="26" t="str">
        <f>IFERROR(VLOOKUP(G1698,WholesaleExtract!B:J,9,FALSE),"")</f>
        <v/>
      </c>
      <c r="F1698" s="26" t="str">
        <f>IFERROR(VLOOKUP(G1698,WholesaleExtract!B:J,6,FALSE),"")</f>
        <v/>
      </c>
      <c r="H1698" s="47" t="str">
        <f>IFERROR(VLOOKUP(G1698,WholesaleExtract!B:L,11,FALSE),"")</f>
        <v/>
      </c>
      <c r="I1698" s="26" t="str">
        <f>IFERROR(VLOOKUP(G1698,WholesaleExtract!B:O,8,FALSE),"")</f>
        <v/>
      </c>
      <c r="J1698" s="26" t="str">
        <f>IFERROR(VLOOKUP(G1698,WholesaleExtract!B:O,14,FALSE),"")</f>
        <v/>
      </c>
      <c r="K1698" s="26" t="str">
        <f>IFERROR(VLOOKUP(G1698,WholesaleExtract!B:K,10,FALSE),"")</f>
        <v/>
      </c>
      <c r="L1698" s="47" t="str">
        <f>IFERROR(VLOOKUP(G1698,WholesaleExtract!B:L,11,FALSE),"")</f>
        <v/>
      </c>
      <c r="M1698" s="47" t="str">
        <f>IFERROR(VLOOKUP(G1698,WholesaleExtract!B:M,12,FALSE),"")</f>
        <v/>
      </c>
      <c r="R1698" s="19"/>
      <c r="S1698" s="19"/>
    </row>
    <row r="1699" spans="1:19" x14ac:dyDescent="0.35">
      <c r="A1699" s="26" t="s">
        <v>543</v>
      </c>
      <c r="B1699" s="26" t="s">
        <v>543</v>
      </c>
      <c r="C1699" s="26"/>
      <c r="D1699" s="26" t="s">
        <v>543</v>
      </c>
      <c r="E1699" s="26" t="str">
        <f>IFERROR(VLOOKUP(G1699,WholesaleExtract!B:J,9,FALSE),"")</f>
        <v/>
      </c>
      <c r="F1699" s="26" t="str">
        <f>IFERROR(VLOOKUP(G1699,WholesaleExtract!B:J,6,FALSE),"")</f>
        <v/>
      </c>
      <c r="H1699" s="47" t="str">
        <f>IFERROR(VLOOKUP(G1699,WholesaleExtract!B:L,11,FALSE),"")</f>
        <v/>
      </c>
      <c r="I1699" s="26" t="str">
        <f>IFERROR(VLOOKUP(G1699,WholesaleExtract!B:O,8,FALSE),"")</f>
        <v/>
      </c>
      <c r="J1699" s="26" t="str">
        <f>IFERROR(VLOOKUP(G1699,WholesaleExtract!B:O,14,FALSE),"")</f>
        <v/>
      </c>
      <c r="K1699" s="26" t="str">
        <f>IFERROR(VLOOKUP(G1699,WholesaleExtract!B:K,10,FALSE),"")</f>
        <v/>
      </c>
      <c r="L1699" s="47" t="str">
        <f>IFERROR(VLOOKUP(G1699,WholesaleExtract!B:L,11,FALSE),"")</f>
        <v/>
      </c>
      <c r="M1699" s="47" t="str">
        <f>IFERROR(VLOOKUP(G1699,WholesaleExtract!B:M,12,FALSE),"")</f>
        <v/>
      </c>
      <c r="R1699" s="19"/>
      <c r="S1699" s="19"/>
    </row>
    <row r="1700" spans="1:19" x14ac:dyDescent="0.35">
      <c r="A1700" s="26" t="s">
        <v>543</v>
      </c>
      <c r="B1700" s="26" t="s">
        <v>543</v>
      </c>
      <c r="C1700" s="26"/>
      <c r="D1700" s="26" t="s">
        <v>543</v>
      </c>
      <c r="E1700" s="26" t="str">
        <f>IFERROR(VLOOKUP(G1700,WholesaleExtract!B:J,9,FALSE),"")</f>
        <v/>
      </c>
      <c r="F1700" s="26" t="str">
        <f>IFERROR(VLOOKUP(G1700,WholesaleExtract!B:J,6,FALSE),"")</f>
        <v/>
      </c>
      <c r="H1700" s="47" t="str">
        <f>IFERROR(VLOOKUP(G1700,WholesaleExtract!B:L,11,FALSE),"")</f>
        <v/>
      </c>
      <c r="I1700" s="26" t="str">
        <f>IFERROR(VLOOKUP(G1700,WholesaleExtract!B:O,8,FALSE),"")</f>
        <v/>
      </c>
      <c r="J1700" s="26" t="str">
        <f>IFERROR(VLOOKUP(G1700,WholesaleExtract!B:O,14,FALSE),"")</f>
        <v/>
      </c>
      <c r="K1700" s="26" t="str">
        <f>IFERROR(VLOOKUP(G1700,WholesaleExtract!B:K,10,FALSE),"")</f>
        <v/>
      </c>
      <c r="L1700" s="47" t="str">
        <f>IFERROR(VLOOKUP(G1700,WholesaleExtract!B:L,11,FALSE),"")</f>
        <v/>
      </c>
      <c r="M1700" s="47" t="str">
        <f>IFERROR(VLOOKUP(G1700,WholesaleExtract!B:M,12,FALSE),"")</f>
        <v/>
      </c>
      <c r="R1700" s="19"/>
      <c r="S1700" s="19"/>
    </row>
    <row r="1701" spans="1:19" x14ac:dyDescent="0.35">
      <c r="A1701" s="26" t="s">
        <v>543</v>
      </c>
      <c r="B1701" s="26" t="s">
        <v>543</v>
      </c>
      <c r="C1701" s="26"/>
      <c r="D1701" s="26" t="s">
        <v>543</v>
      </c>
      <c r="E1701" s="26" t="str">
        <f>IFERROR(VLOOKUP(G1701,WholesaleExtract!B:J,9,FALSE),"")</f>
        <v/>
      </c>
      <c r="F1701" s="26" t="str">
        <f>IFERROR(VLOOKUP(G1701,WholesaleExtract!B:J,6,FALSE),"")</f>
        <v/>
      </c>
      <c r="H1701" s="47" t="str">
        <f>IFERROR(VLOOKUP(G1701,WholesaleExtract!B:L,11,FALSE),"")</f>
        <v/>
      </c>
      <c r="I1701" s="26" t="str">
        <f>IFERROR(VLOOKUP(G1701,WholesaleExtract!B:O,8,FALSE),"")</f>
        <v/>
      </c>
      <c r="J1701" s="26" t="str">
        <f>IFERROR(VLOOKUP(G1701,WholesaleExtract!B:O,14,FALSE),"")</f>
        <v/>
      </c>
      <c r="K1701" s="26" t="str">
        <f>IFERROR(VLOOKUP(G1701,WholesaleExtract!B:K,10,FALSE),"")</f>
        <v/>
      </c>
      <c r="L1701" s="47" t="str">
        <f>IFERROR(VLOOKUP(G1701,WholesaleExtract!B:L,11,FALSE),"")</f>
        <v/>
      </c>
      <c r="M1701" s="47" t="str">
        <f>IFERROR(VLOOKUP(G1701,WholesaleExtract!B:M,12,FALSE),"")</f>
        <v/>
      </c>
      <c r="R1701" s="19"/>
      <c r="S1701" s="19"/>
    </row>
    <row r="1702" spans="1:19" x14ac:dyDescent="0.35">
      <c r="A1702" s="26" t="s">
        <v>543</v>
      </c>
      <c r="B1702" s="26" t="s">
        <v>543</v>
      </c>
      <c r="C1702" s="26"/>
      <c r="D1702" s="26" t="s">
        <v>543</v>
      </c>
      <c r="E1702" s="26" t="str">
        <f>IFERROR(VLOOKUP(G1702,WholesaleExtract!B:J,9,FALSE),"")</f>
        <v/>
      </c>
      <c r="F1702" s="26" t="str">
        <f>IFERROR(VLOOKUP(G1702,WholesaleExtract!B:J,6,FALSE),"")</f>
        <v/>
      </c>
      <c r="H1702" s="47" t="str">
        <f>IFERROR(VLOOKUP(G1702,WholesaleExtract!B:L,11,FALSE),"")</f>
        <v/>
      </c>
      <c r="I1702" s="26" t="str">
        <f>IFERROR(VLOOKUP(G1702,WholesaleExtract!B:O,8,FALSE),"")</f>
        <v/>
      </c>
      <c r="J1702" s="26" t="str">
        <f>IFERROR(VLOOKUP(G1702,WholesaleExtract!B:O,14,FALSE),"")</f>
        <v/>
      </c>
      <c r="K1702" s="26" t="str">
        <f>IFERROR(VLOOKUP(G1702,WholesaleExtract!B:K,10,FALSE),"")</f>
        <v/>
      </c>
      <c r="L1702" s="47" t="str">
        <f>IFERROR(VLOOKUP(G1702,WholesaleExtract!B:L,11,FALSE),"")</f>
        <v/>
      </c>
      <c r="M1702" s="47" t="str">
        <f>IFERROR(VLOOKUP(G1702,WholesaleExtract!B:M,12,FALSE),"")</f>
        <v/>
      </c>
      <c r="R1702" s="19"/>
      <c r="S1702" s="19"/>
    </row>
    <row r="1703" spans="1:19" x14ac:dyDescent="0.35">
      <c r="A1703" s="26" t="s">
        <v>543</v>
      </c>
      <c r="B1703" s="26" t="s">
        <v>543</v>
      </c>
      <c r="C1703" s="26"/>
      <c r="D1703" s="26" t="s">
        <v>543</v>
      </c>
      <c r="E1703" s="26" t="str">
        <f>IFERROR(VLOOKUP(G1703,WholesaleExtract!B:J,9,FALSE),"")</f>
        <v/>
      </c>
      <c r="F1703" s="26" t="str">
        <f>IFERROR(VLOOKUP(G1703,WholesaleExtract!B:J,6,FALSE),"")</f>
        <v/>
      </c>
      <c r="H1703" s="47" t="str">
        <f>IFERROR(VLOOKUP(G1703,WholesaleExtract!B:L,11,FALSE),"")</f>
        <v/>
      </c>
      <c r="I1703" s="26" t="str">
        <f>IFERROR(VLOOKUP(G1703,WholesaleExtract!B:O,8,FALSE),"")</f>
        <v/>
      </c>
      <c r="J1703" s="26" t="str">
        <f>IFERROR(VLOOKUP(G1703,WholesaleExtract!B:O,14,FALSE),"")</f>
        <v/>
      </c>
      <c r="K1703" s="26" t="str">
        <f>IFERROR(VLOOKUP(G1703,WholesaleExtract!B:K,10,FALSE),"")</f>
        <v/>
      </c>
      <c r="L1703" s="47" t="str">
        <f>IFERROR(VLOOKUP(G1703,WholesaleExtract!B:L,11,FALSE),"")</f>
        <v/>
      </c>
      <c r="M1703" s="47" t="str">
        <f>IFERROR(VLOOKUP(G1703,WholesaleExtract!B:M,12,FALSE),"")</f>
        <v/>
      </c>
      <c r="R1703" s="19"/>
      <c r="S1703" s="19"/>
    </row>
    <row r="1704" spans="1:19" x14ac:dyDescent="0.35">
      <c r="A1704" s="26" t="s">
        <v>543</v>
      </c>
      <c r="B1704" s="26" t="s">
        <v>543</v>
      </c>
      <c r="C1704" s="26"/>
      <c r="D1704" s="26" t="s">
        <v>543</v>
      </c>
      <c r="E1704" s="26" t="str">
        <f>IFERROR(VLOOKUP(G1704,WholesaleExtract!B:J,9,FALSE),"")</f>
        <v/>
      </c>
      <c r="F1704" s="26" t="str">
        <f>IFERROR(VLOOKUP(G1704,WholesaleExtract!B:J,6,FALSE),"")</f>
        <v/>
      </c>
      <c r="H1704" s="47" t="str">
        <f>IFERROR(VLOOKUP(G1704,WholesaleExtract!B:L,11,FALSE),"")</f>
        <v/>
      </c>
      <c r="I1704" s="26" t="str">
        <f>IFERROR(VLOOKUP(G1704,WholesaleExtract!B:O,8,FALSE),"")</f>
        <v/>
      </c>
      <c r="J1704" s="26" t="str">
        <f>IFERROR(VLOOKUP(G1704,WholesaleExtract!B:O,14,FALSE),"")</f>
        <v/>
      </c>
      <c r="K1704" s="26" t="str">
        <f>IFERROR(VLOOKUP(G1704,WholesaleExtract!B:K,10,FALSE),"")</f>
        <v/>
      </c>
      <c r="L1704" s="47" t="str">
        <f>IFERROR(VLOOKUP(G1704,WholesaleExtract!B:L,11,FALSE),"")</f>
        <v/>
      </c>
      <c r="M1704" s="47" t="str">
        <f>IFERROR(VLOOKUP(G1704,WholesaleExtract!B:M,12,FALSE),"")</f>
        <v/>
      </c>
      <c r="R1704" s="19"/>
      <c r="S1704" s="19"/>
    </row>
    <row r="1705" spans="1:19" x14ac:dyDescent="0.35">
      <c r="A1705" s="26" t="s">
        <v>543</v>
      </c>
      <c r="B1705" s="26" t="s">
        <v>543</v>
      </c>
      <c r="C1705" s="26"/>
      <c r="D1705" s="26" t="s">
        <v>543</v>
      </c>
      <c r="E1705" s="26" t="str">
        <f>IFERROR(VLOOKUP(G1705,WholesaleExtract!B:J,9,FALSE),"")</f>
        <v/>
      </c>
      <c r="F1705" s="26" t="str">
        <f>IFERROR(VLOOKUP(G1705,WholesaleExtract!B:J,6,FALSE),"")</f>
        <v/>
      </c>
      <c r="H1705" s="47" t="str">
        <f>IFERROR(VLOOKUP(G1705,WholesaleExtract!B:L,11,FALSE),"")</f>
        <v/>
      </c>
      <c r="I1705" s="26" t="str">
        <f>IFERROR(VLOOKUP(G1705,WholesaleExtract!B:O,8,FALSE),"")</f>
        <v/>
      </c>
      <c r="J1705" s="26" t="str">
        <f>IFERROR(VLOOKUP(G1705,WholesaleExtract!B:O,14,FALSE),"")</f>
        <v/>
      </c>
      <c r="K1705" s="26" t="str">
        <f>IFERROR(VLOOKUP(G1705,WholesaleExtract!B:K,10,FALSE),"")</f>
        <v/>
      </c>
      <c r="L1705" s="47" t="str">
        <f>IFERROR(VLOOKUP(G1705,WholesaleExtract!B:L,11,FALSE),"")</f>
        <v/>
      </c>
      <c r="M1705" s="47" t="str">
        <f>IFERROR(VLOOKUP(G1705,WholesaleExtract!B:M,12,FALSE),"")</f>
        <v/>
      </c>
      <c r="R1705" s="19"/>
      <c r="S1705" s="19"/>
    </row>
    <row r="1706" spans="1:19" x14ac:dyDescent="0.35">
      <c r="A1706" s="26" t="s">
        <v>543</v>
      </c>
      <c r="B1706" s="26" t="s">
        <v>543</v>
      </c>
      <c r="C1706" s="26"/>
      <c r="D1706" s="26" t="s">
        <v>543</v>
      </c>
      <c r="E1706" s="26" t="str">
        <f>IFERROR(VLOOKUP(G1706,WholesaleExtract!B:J,9,FALSE),"")</f>
        <v/>
      </c>
      <c r="F1706" s="26" t="str">
        <f>IFERROR(VLOOKUP(G1706,WholesaleExtract!B:J,6,FALSE),"")</f>
        <v/>
      </c>
      <c r="H1706" s="47" t="str">
        <f>IFERROR(VLOOKUP(G1706,WholesaleExtract!B:L,11,FALSE),"")</f>
        <v/>
      </c>
      <c r="I1706" s="26" t="str">
        <f>IFERROR(VLOOKUP(G1706,WholesaleExtract!B:O,8,FALSE),"")</f>
        <v/>
      </c>
      <c r="J1706" s="26" t="str">
        <f>IFERROR(VLOOKUP(G1706,WholesaleExtract!B:O,14,FALSE),"")</f>
        <v/>
      </c>
      <c r="K1706" s="26" t="str">
        <f>IFERROR(VLOOKUP(G1706,WholesaleExtract!B:K,10,FALSE),"")</f>
        <v/>
      </c>
      <c r="L1706" s="47" t="str">
        <f>IFERROR(VLOOKUP(G1706,WholesaleExtract!B:L,11,FALSE),"")</f>
        <v/>
      </c>
      <c r="M1706" s="47" t="str">
        <f>IFERROR(VLOOKUP(G1706,WholesaleExtract!B:M,12,FALSE),"")</f>
        <v/>
      </c>
      <c r="R1706" s="19"/>
      <c r="S1706" s="19"/>
    </row>
    <row r="1707" spans="1:19" x14ac:dyDescent="0.35">
      <c r="A1707" s="26" t="s">
        <v>543</v>
      </c>
      <c r="B1707" s="26" t="s">
        <v>543</v>
      </c>
      <c r="C1707" s="26"/>
      <c r="D1707" s="26" t="s">
        <v>543</v>
      </c>
      <c r="E1707" s="26" t="str">
        <f>IFERROR(VLOOKUP(G1707,WholesaleExtract!B:J,9,FALSE),"")</f>
        <v/>
      </c>
      <c r="F1707" s="26" t="str">
        <f>IFERROR(VLOOKUP(G1707,WholesaleExtract!B:J,6,FALSE),"")</f>
        <v/>
      </c>
      <c r="H1707" s="47" t="str">
        <f>IFERROR(VLOOKUP(G1707,WholesaleExtract!B:L,11,FALSE),"")</f>
        <v/>
      </c>
      <c r="I1707" s="26" t="str">
        <f>IFERROR(VLOOKUP(G1707,WholesaleExtract!B:O,8,FALSE),"")</f>
        <v/>
      </c>
      <c r="J1707" s="26" t="str">
        <f>IFERROR(VLOOKUP(G1707,WholesaleExtract!B:O,14,FALSE),"")</f>
        <v/>
      </c>
      <c r="K1707" s="26" t="str">
        <f>IFERROR(VLOOKUP(G1707,WholesaleExtract!B:K,10,FALSE),"")</f>
        <v/>
      </c>
      <c r="L1707" s="47" t="str">
        <f>IFERROR(VLOOKUP(G1707,WholesaleExtract!B:L,11,FALSE),"")</f>
        <v/>
      </c>
      <c r="M1707" s="47" t="str">
        <f>IFERROR(VLOOKUP(G1707,WholesaleExtract!B:M,12,FALSE),"")</f>
        <v/>
      </c>
      <c r="R1707" s="19"/>
      <c r="S1707" s="19"/>
    </row>
    <row r="1708" spans="1:19" x14ac:dyDescent="0.35">
      <c r="A1708" s="26" t="s">
        <v>543</v>
      </c>
      <c r="B1708" s="26" t="s">
        <v>543</v>
      </c>
      <c r="C1708" s="26"/>
      <c r="D1708" s="26" t="s">
        <v>543</v>
      </c>
      <c r="E1708" s="26" t="str">
        <f>IFERROR(VLOOKUP(G1708,WholesaleExtract!B:J,9,FALSE),"")</f>
        <v/>
      </c>
      <c r="F1708" s="26" t="str">
        <f>IFERROR(VLOOKUP(G1708,WholesaleExtract!B:J,6,FALSE),"")</f>
        <v/>
      </c>
      <c r="H1708" s="47" t="str">
        <f>IFERROR(VLOOKUP(G1708,WholesaleExtract!B:L,11,FALSE),"")</f>
        <v/>
      </c>
      <c r="I1708" s="26" t="str">
        <f>IFERROR(VLOOKUP(G1708,WholesaleExtract!B:O,8,FALSE),"")</f>
        <v/>
      </c>
      <c r="J1708" s="26" t="str">
        <f>IFERROR(VLOOKUP(G1708,WholesaleExtract!B:O,14,FALSE),"")</f>
        <v/>
      </c>
      <c r="K1708" s="26" t="str">
        <f>IFERROR(VLOOKUP(G1708,WholesaleExtract!B:K,10,FALSE),"")</f>
        <v/>
      </c>
      <c r="L1708" s="47" t="str">
        <f>IFERROR(VLOOKUP(G1708,WholesaleExtract!B:L,11,FALSE),"")</f>
        <v/>
      </c>
      <c r="M1708" s="47" t="str">
        <f>IFERROR(VLOOKUP(G1708,WholesaleExtract!B:M,12,FALSE),"")</f>
        <v/>
      </c>
      <c r="R1708" s="19"/>
      <c r="S1708" s="19"/>
    </row>
    <row r="1709" spans="1:19" x14ac:dyDescent="0.35">
      <c r="A1709" s="26" t="s">
        <v>543</v>
      </c>
      <c r="B1709" s="26" t="s">
        <v>543</v>
      </c>
      <c r="C1709" s="26"/>
      <c r="D1709" s="26" t="s">
        <v>543</v>
      </c>
      <c r="E1709" s="26" t="str">
        <f>IFERROR(VLOOKUP(G1709,WholesaleExtract!B:J,9,FALSE),"")</f>
        <v/>
      </c>
      <c r="F1709" s="26" t="str">
        <f>IFERROR(VLOOKUP(G1709,WholesaleExtract!B:J,6,FALSE),"")</f>
        <v/>
      </c>
      <c r="H1709" s="47" t="str">
        <f>IFERROR(VLOOKUP(G1709,WholesaleExtract!B:L,11,FALSE),"")</f>
        <v/>
      </c>
      <c r="I1709" s="26" t="str">
        <f>IFERROR(VLOOKUP(G1709,WholesaleExtract!B:O,8,FALSE),"")</f>
        <v/>
      </c>
      <c r="J1709" s="26" t="str">
        <f>IFERROR(VLOOKUP(G1709,WholesaleExtract!B:O,14,FALSE),"")</f>
        <v/>
      </c>
      <c r="K1709" s="26" t="str">
        <f>IFERROR(VLOOKUP(G1709,WholesaleExtract!B:K,10,FALSE),"")</f>
        <v/>
      </c>
      <c r="L1709" s="47" t="str">
        <f>IFERROR(VLOOKUP(G1709,WholesaleExtract!B:L,11,FALSE),"")</f>
        <v/>
      </c>
      <c r="M1709" s="47" t="str">
        <f>IFERROR(VLOOKUP(G1709,WholesaleExtract!B:M,12,FALSE),"")</f>
        <v/>
      </c>
      <c r="R1709" s="19"/>
      <c r="S1709" s="19"/>
    </row>
    <row r="1710" spans="1:19" x14ac:dyDescent="0.35">
      <c r="A1710" s="26" t="s">
        <v>543</v>
      </c>
      <c r="B1710" s="26" t="s">
        <v>543</v>
      </c>
      <c r="C1710" s="26"/>
      <c r="D1710" s="26" t="s">
        <v>543</v>
      </c>
      <c r="E1710" s="26" t="str">
        <f>IFERROR(VLOOKUP(G1710,WholesaleExtract!B:J,9,FALSE),"")</f>
        <v/>
      </c>
      <c r="F1710" s="26" t="str">
        <f>IFERROR(VLOOKUP(G1710,WholesaleExtract!B:J,6,FALSE),"")</f>
        <v/>
      </c>
      <c r="H1710" s="47" t="str">
        <f>IFERROR(VLOOKUP(G1710,WholesaleExtract!B:L,11,FALSE),"")</f>
        <v/>
      </c>
      <c r="I1710" s="26" t="str">
        <f>IFERROR(VLOOKUP(G1710,WholesaleExtract!B:O,8,FALSE),"")</f>
        <v/>
      </c>
      <c r="J1710" s="26" t="str">
        <f>IFERROR(VLOOKUP(G1710,WholesaleExtract!B:O,14,FALSE),"")</f>
        <v/>
      </c>
      <c r="K1710" s="26" t="str">
        <f>IFERROR(VLOOKUP(G1710,WholesaleExtract!B:K,10,FALSE),"")</f>
        <v/>
      </c>
      <c r="L1710" s="47" t="str">
        <f>IFERROR(VLOOKUP(G1710,WholesaleExtract!B:L,11,FALSE),"")</f>
        <v/>
      </c>
      <c r="M1710" s="47" t="str">
        <f>IFERROR(VLOOKUP(G1710,WholesaleExtract!B:M,12,FALSE),"")</f>
        <v/>
      </c>
      <c r="R1710" s="19"/>
      <c r="S1710" s="19"/>
    </row>
    <row r="1711" spans="1:19" x14ac:dyDescent="0.35">
      <c r="A1711" s="26" t="s">
        <v>543</v>
      </c>
      <c r="B1711" s="26" t="s">
        <v>543</v>
      </c>
      <c r="C1711" s="26"/>
      <c r="D1711" s="26" t="s">
        <v>543</v>
      </c>
      <c r="E1711" s="26" t="str">
        <f>IFERROR(VLOOKUP(G1711,WholesaleExtract!B:J,9,FALSE),"")</f>
        <v/>
      </c>
      <c r="F1711" s="26" t="str">
        <f>IFERROR(VLOOKUP(G1711,WholesaleExtract!B:J,6,FALSE),"")</f>
        <v/>
      </c>
      <c r="H1711" s="47" t="str">
        <f>IFERROR(VLOOKUP(G1711,WholesaleExtract!B:L,11,FALSE),"")</f>
        <v/>
      </c>
      <c r="I1711" s="26" t="str">
        <f>IFERROR(VLOOKUP(G1711,WholesaleExtract!B:O,8,FALSE),"")</f>
        <v/>
      </c>
      <c r="J1711" s="26" t="str">
        <f>IFERROR(VLOOKUP(G1711,WholesaleExtract!B:O,14,FALSE),"")</f>
        <v/>
      </c>
      <c r="K1711" s="26" t="str">
        <f>IFERROR(VLOOKUP(G1711,WholesaleExtract!B:K,10,FALSE),"")</f>
        <v/>
      </c>
      <c r="L1711" s="47" t="str">
        <f>IFERROR(VLOOKUP(G1711,WholesaleExtract!B:L,11,FALSE),"")</f>
        <v/>
      </c>
      <c r="M1711" s="47" t="str">
        <f>IFERROR(VLOOKUP(G1711,WholesaleExtract!B:M,12,FALSE),"")</f>
        <v/>
      </c>
      <c r="R1711" s="19"/>
      <c r="S1711" s="19"/>
    </row>
    <row r="1712" spans="1:19" x14ac:dyDescent="0.35">
      <c r="A1712" s="26" t="s">
        <v>543</v>
      </c>
      <c r="B1712" s="26" t="s">
        <v>543</v>
      </c>
      <c r="C1712" s="26"/>
      <c r="D1712" s="26" t="s">
        <v>543</v>
      </c>
      <c r="E1712" s="26" t="str">
        <f>IFERROR(VLOOKUP(G1712,WholesaleExtract!B:J,9,FALSE),"")</f>
        <v/>
      </c>
      <c r="F1712" s="26" t="str">
        <f>IFERROR(VLOOKUP(G1712,WholesaleExtract!B:J,6,FALSE),"")</f>
        <v/>
      </c>
      <c r="H1712" s="47" t="str">
        <f>IFERROR(VLOOKUP(G1712,WholesaleExtract!B:L,11,FALSE),"")</f>
        <v/>
      </c>
      <c r="I1712" s="26" t="str">
        <f>IFERROR(VLOOKUP(G1712,WholesaleExtract!B:O,8,FALSE),"")</f>
        <v/>
      </c>
      <c r="J1712" s="26" t="str">
        <f>IFERROR(VLOOKUP(G1712,WholesaleExtract!B:O,14,FALSE),"")</f>
        <v/>
      </c>
      <c r="K1712" s="26" t="str">
        <f>IFERROR(VLOOKUP(G1712,WholesaleExtract!B:K,10,FALSE),"")</f>
        <v/>
      </c>
      <c r="L1712" s="47" t="str">
        <f>IFERROR(VLOOKUP(G1712,WholesaleExtract!B:L,11,FALSE),"")</f>
        <v/>
      </c>
      <c r="M1712" s="47" t="str">
        <f>IFERROR(VLOOKUP(G1712,WholesaleExtract!B:M,12,FALSE),"")</f>
        <v/>
      </c>
      <c r="R1712" s="19"/>
      <c r="S1712" s="19"/>
    </row>
    <row r="1713" spans="1:19" x14ac:dyDescent="0.35">
      <c r="A1713" s="26" t="s">
        <v>543</v>
      </c>
      <c r="B1713" s="26" t="s">
        <v>543</v>
      </c>
      <c r="C1713" s="26"/>
      <c r="D1713" s="26" t="s">
        <v>543</v>
      </c>
      <c r="E1713" s="26" t="str">
        <f>IFERROR(VLOOKUP(G1713,WholesaleExtract!B:J,9,FALSE),"")</f>
        <v/>
      </c>
      <c r="F1713" s="26" t="str">
        <f>IFERROR(VLOOKUP(G1713,WholesaleExtract!B:J,6,FALSE),"")</f>
        <v/>
      </c>
      <c r="H1713" s="47" t="str">
        <f>IFERROR(VLOOKUP(G1713,WholesaleExtract!B:L,11,FALSE),"")</f>
        <v/>
      </c>
      <c r="I1713" s="26" t="str">
        <f>IFERROR(VLOOKUP(G1713,WholesaleExtract!B:O,8,FALSE),"")</f>
        <v/>
      </c>
      <c r="J1713" s="26" t="str">
        <f>IFERROR(VLOOKUP(G1713,WholesaleExtract!B:O,14,FALSE),"")</f>
        <v/>
      </c>
      <c r="K1713" s="26" t="str">
        <f>IFERROR(VLOOKUP(G1713,WholesaleExtract!B:K,10,FALSE),"")</f>
        <v/>
      </c>
      <c r="L1713" s="47" t="str">
        <f>IFERROR(VLOOKUP(G1713,WholesaleExtract!B:L,11,FALSE),"")</f>
        <v/>
      </c>
      <c r="M1713" s="47" t="str">
        <f>IFERROR(VLOOKUP(G1713,WholesaleExtract!B:M,12,FALSE),"")</f>
        <v/>
      </c>
      <c r="R1713" s="19"/>
      <c r="S1713" s="19"/>
    </row>
    <row r="1714" spans="1:19" x14ac:dyDescent="0.35">
      <c r="A1714" s="26" t="s">
        <v>543</v>
      </c>
      <c r="B1714" s="26" t="s">
        <v>543</v>
      </c>
      <c r="C1714" s="26"/>
      <c r="D1714" s="26" t="s">
        <v>543</v>
      </c>
      <c r="E1714" s="26" t="str">
        <f>IFERROR(VLOOKUP(G1714,WholesaleExtract!B:J,9,FALSE),"")</f>
        <v/>
      </c>
      <c r="F1714" s="26" t="str">
        <f>IFERROR(VLOOKUP(G1714,WholesaleExtract!B:J,6,FALSE),"")</f>
        <v/>
      </c>
      <c r="H1714" s="47" t="str">
        <f>IFERROR(VLOOKUP(G1714,WholesaleExtract!B:L,11,FALSE),"")</f>
        <v/>
      </c>
      <c r="I1714" s="26" t="str">
        <f>IFERROR(VLOOKUP(G1714,WholesaleExtract!B:O,8,FALSE),"")</f>
        <v/>
      </c>
      <c r="J1714" s="26" t="str">
        <f>IFERROR(VLOOKUP(G1714,WholesaleExtract!B:O,14,FALSE),"")</f>
        <v/>
      </c>
      <c r="K1714" s="26" t="str">
        <f>IFERROR(VLOOKUP(G1714,WholesaleExtract!B:K,10,FALSE),"")</f>
        <v/>
      </c>
      <c r="L1714" s="47" t="str">
        <f>IFERROR(VLOOKUP(G1714,WholesaleExtract!B:L,11,FALSE),"")</f>
        <v/>
      </c>
      <c r="M1714" s="47" t="str">
        <f>IFERROR(VLOOKUP(G1714,WholesaleExtract!B:M,12,FALSE),"")</f>
        <v/>
      </c>
      <c r="R1714" s="19"/>
      <c r="S1714" s="19"/>
    </row>
    <row r="1715" spans="1:19" x14ac:dyDescent="0.35">
      <c r="A1715" s="26" t="s">
        <v>543</v>
      </c>
      <c r="B1715" s="26" t="s">
        <v>543</v>
      </c>
      <c r="C1715" s="26"/>
      <c r="D1715" s="26" t="s">
        <v>543</v>
      </c>
      <c r="E1715" s="26" t="str">
        <f>IFERROR(VLOOKUP(G1715,WholesaleExtract!B:J,9,FALSE),"")</f>
        <v/>
      </c>
      <c r="F1715" s="26" t="str">
        <f>IFERROR(VLOOKUP(G1715,WholesaleExtract!B:J,6,FALSE),"")</f>
        <v/>
      </c>
      <c r="H1715" s="47" t="str">
        <f>IFERROR(VLOOKUP(G1715,WholesaleExtract!B:L,11,FALSE),"")</f>
        <v/>
      </c>
      <c r="I1715" s="26" t="str">
        <f>IFERROR(VLOOKUP(G1715,WholesaleExtract!B:O,8,FALSE),"")</f>
        <v/>
      </c>
      <c r="J1715" s="26" t="str">
        <f>IFERROR(VLOOKUP(G1715,WholesaleExtract!B:O,14,FALSE),"")</f>
        <v/>
      </c>
      <c r="K1715" s="26" t="str">
        <f>IFERROR(VLOOKUP(G1715,WholesaleExtract!B:K,10,FALSE),"")</f>
        <v/>
      </c>
      <c r="L1715" s="47" t="str">
        <f>IFERROR(VLOOKUP(G1715,WholesaleExtract!B:L,11,FALSE),"")</f>
        <v/>
      </c>
      <c r="M1715" s="47" t="str">
        <f>IFERROR(VLOOKUP(G1715,WholesaleExtract!B:M,12,FALSE),"")</f>
        <v/>
      </c>
      <c r="R1715" s="19"/>
      <c r="S1715" s="19"/>
    </row>
    <row r="1716" spans="1:19" x14ac:dyDescent="0.35">
      <c r="A1716" s="26" t="s">
        <v>543</v>
      </c>
      <c r="B1716" s="26" t="s">
        <v>543</v>
      </c>
      <c r="C1716" s="26"/>
      <c r="D1716" s="26" t="s">
        <v>543</v>
      </c>
      <c r="E1716" s="26" t="str">
        <f>IFERROR(VLOOKUP(G1716,WholesaleExtract!B:J,9,FALSE),"")</f>
        <v/>
      </c>
      <c r="F1716" s="26" t="str">
        <f>IFERROR(VLOOKUP(G1716,WholesaleExtract!B:J,6,FALSE),"")</f>
        <v/>
      </c>
      <c r="H1716" s="47" t="str">
        <f>IFERROR(VLOOKUP(G1716,WholesaleExtract!B:L,11,FALSE),"")</f>
        <v/>
      </c>
      <c r="I1716" s="26" t="str">
        <f>IFERROR(VLOOKUP(G1716,WholesaleExtract!B:O,8,FALSE),"")</f>
        <v/>
      </c>
      <c r="J1716" s="26" t="str">
        <f>IFERROR(VLOOKUP(G1716,WholesaleExtract!B:O,14,FALSE),"")</f>
        <v/>
      </c>
      <c r="K1716" s="26" t="str">
        <f>IFERROR(VLOOKUP(G1716,WholesaleExtract!B:K,10,FALSE),"")</f>
        <v/>
      </c>
      <c r="L1716" s="47" t="str">
        <f>IFERROR(VLOOKUP(G1716,WholesaleExtract!B:L,11,FALSE),"")</f>
        <v/>
      </c>
      <c r="M1716" s="47" t="str">
        <f>IFERROR(VLOOKUP(G1716,WholesaleExtract!B:M,12,FALSE),"")</f>
        <v/>
      </c>
      <c r="R1716" s="19"/>
      <c r="S1716" s="19"/>
    </row>
    <row r="1717" spans="1:19" x14ac:dyDescent="0.35">
      <c r="A1717" s="26" t="s">
        <v>543</v>
      </c>
      <c r="B1717" s="26" t="s">
        <v>543</v>
      </c>
      <c r="C1717" s="26"/>
      <c r="D1717" s="26" t="s">
        <v>543</v>
      </c>
      <c r="E1717" s="26" t="str">
        <f>IFERROR(VLOOKUP(G1717,WholesaleExtract!B:J,9,FALSE),"")</f>
        <v/>
      </c>
      <c r="F1717" s="26" t="str">
        <f>IFERROR(VLOOKUP(G1717,WholesaleExtract!B:J,6,FALSE),"")</f>
        <v/>
      </c>
      <c r="H1717" s="47" t="str">
        <f>IFERROR(VLOOKUP(G1717,WholesaleExtract!B:L,11,FALSE),"")</f>
        <v/>
      </c>
      <c r="I1717" s="26" t="str">
        <f>IFERROR(VLOOKUP(G1717,WholesaleExtract!B:O,8,FALSE),"")</f>
        <v/>
      </c>
      <c r="J1717" s="26" t="str">
        <f>IFERROR(VLOOKUP(G1717,WholesaleExtract!B:O,14,FALSE),"")</f>
        <v/>
      </c>
      <c r="K1717" s="26" t="str">
        <f>IFERROR(VLOOKUP(G1717,WholesaleExtract!B:K,10,FALSE),"")</f>
        <v/>
      </c>
      <c r="L1717" s="47" t="str">
        <f>IFERROR(VLOOKUP(G1717,WholesaleExtract!B:L,11,FALSE),"")</f>
        <v/>
      </c>
      <c r="M1717" s="47" t="str">
        <f>IFERROR(VLOOKUP(G1717,WholesaleExtract!B:M,12,FALSE),"")</f>
        <v/>
      </c>
      <c r="R1717" s="19"/>
      <c r="S1717" s="19"/>
    </row>
    <row r="1718" spans="1:19" x14ac:dyDescent="0.35">
      <c r="A1718" s="26" t="s">
        <v>543</v>
      </c>
      <c r="B1718" s="26" t="s">
        <v>543</v>
      </c>
      <c r="C1718" s="26"/>
      <c r="D1718" s="26" t="s">
        <v>543</v>
      </c>
      <c r="E1718" s="26" t="str">
        <f>IFERROR(VLOOKUP(G1718,WholesaleExtract!B:J,9,FALSE),"")</f>
        <v/>
      </c>
      <c r="F1718" s="26" t="str">
        <f>IFERROR(VLOOKUP(G1718,WholesaleExtract!B:J,6,FALSE),"")</f>
        <v/>
      </c>
      <c r="H1718" s="47" t="str">
        <f>IFERROR(VLOOKUP(G1718,WholesaleExtract!B:L,11,FALSE),"")</f>
        <v/>
      </c>
      <c r="I1718" s="26" t="str">
        <f>IFERROR(VLOOKUP(G1718,WholesaleExtract!B:O,8,FALSE),"")</f>
        <v/>
      </c>
      <c r="J1718" s="26" t="str">
        <f>IFERROR(VLOOKUP(G1718,WholesaleExtract!B:O,14,FALSE),"")</f>
        <v/>
      </c>
      <c r="K1718" s="26" t="str">
        <f>IFERROR(VLOOKUP(G1718,WholesaleExtract!B:K,10,FALSE),"")</f>
        <v/>
      </c>
      <c r="L1718" s="47" t="str">
        <f>IFERROR(VLOOKUP(G1718,WholesaleExtract!B:L,11,FALSE),"")</f>
        <v/>
      </c>
      <c r="M1718" s="47" t="str">
        <f>IFERROR(VLOOKUP(G1718,WholesaleExtract!B:M,12,FALSE),"")</f>
        <v/>
      </c>
      <c r="R1718" s="19"/>
      <c r="S1718" s="19"/>
    </row>
    <row r="1719" spans="1:19" x14ac:dyDescent="0.35">
      <c r="A1719" s="26" t="s">
        <v>543</v>
      </c>
      <c r="B1719" s="26" t="s">
        <v>543</v>
      </c>
      <c r="C1719" s="26"/>
      <c r="D1719" s="26" t="s">
        <v>543</v>
      </c>
      <c r="E1719" s="26" t="str">
        <f>IFERROR(VLOOKUP(G1719,WholesaleExtract!B:J,9,FALSE),"")</f>
        <v/>
      </c>
      <c r="F1719" s="26" t="str">
        <f>IFERROR(VLOOKUP(G1719,WholesaleExtract!B:J,6,FALSE),"")</f>
        <v/>
      </c>
      <c r="H1719" s="47" t="str">
        <f>IFERROR(VLOOKUP(G1719,WholesaleExtract!B:L,11,FALSE),"")</f>
        <v/>
      </c>
      <c r="I1719" s="26" t="str">
        <f>IFERROR(VLOOKUP(G1719,WholesaleExtract!B:O,8,FALSE),"")</f>
        <v/>
      </c>
      <c r="J1719" s="26" t="str">
        <f>IFERROR(VLOOKUP(G1719,WholesaleExtract!B:O,14,FALSE),"")</f>
        <v/>
      </c>
      <c r="K1719" s="26" t="str">
        <f>IFERROR(VLOOKUP(G1719,WholesaleExtract!B:K,10,FALSE),"")</f>
        <v/>
      </c>
      <c r="L1719" s="47" t="str">
        <f>IFERROR(VLOOKUP(G1719,WholesaleExtract!B:L,11,FALSE),"")</f>
        <v/>
      </c>
      <c r="M1719" s="47" t="str">
        <f>IFERROR(VLOOKUP(G1719,WholesaleExtract!B:M,12,FALSE),"")</f>
        <v/>
      </c>
      <c r="R1719" s="19"/>
      <c r="S1719" s="19"/>
    </row>
    <row r="1720" spans="1:19" x14ac:dyDescent="0.35">
      <c r="A1720" s="26" t="s">
        <v>543</v>
      </c>
      <c r="B1720" s="26" t="s">
        <v>543</v>
      </c>
      <c r="C1720" s="26"/>
      <c r="D1720" s="26" t="s">
        <v>543</v>
      </c>
      <c r="E1720" s="26" t="str">
        <f>IFERROR(VLOOKUP(G1720,WholesaleExtract!B:J,9,FALSE),"")</f>
        <v/>
      </c>
      <c r="F1720" s="26" t="str">
        <f>IFERROR(VLOOKUP(G1720,WholesaleExtract!B:J,6,FALSE),"")</f>
        <v/>
      </c>
      <c r="H1720" s="47" t="str">
        <f>IFERROR(VLOOKUP(G1720,WholesaleExtract!B:L,11,FALSE),"")</f>
        <v/>
      </c>
      <c r="I1720" s="26" t="str">
        <f>IFERROR(VLOOKUP(G1720,WholesaleExtract!B:O,8,FALSE),"")</f>
        <v/>
      </c>
      <c r="J1720" s="26" t="str">
        <f>IFERROR(VLOOKUP(G1720,WholesaleExtract!B:O,14,FALSE),"")</f>
        <v/>
      </c>
      <c r="K1720" s="26" t="str">
        <f>IFERROR(VLOOKUP(G1720,WholesaleExtract!B:K,10,FALSE),"")</f>
        <v/>
      </c>
      <c r="L1720" s="47" t="str">
        <f>IFERROR(VLOOKUP(G1720,WholesaleExtract!B:L,11,FALSE),"")</f>
        <v/>
      </c>
      <c r="M1720" s="47" t="str">
        <f>IFERROR(VLOOKUP(G1720,WholesaleExtract!B:M,12,FALSE),"")</f>
        <v/>
      </c>
      <c r="R1720" s="19"/>
      <c r="S1720" s="19"/>
    </row>
    <row r="1721" spans="1:19" x14ac:dyDescent="0.35">
      <c r="A1721" s="26" t="s">
        <v>543</v>
      </c>
      <c r="B1721" s="26" t="s">
        <v>543</v>
      </c>
      <c r="C1721" s="26"/>
      <c r="D1721" s="26" t="s">
        <v>543</v>
      </c>
      <c r="E1721" s="26" t="str">
        <f>IFERROR(VLOOKUP(G1721,WholesaleExtract!B:J,9,FALSE),"")</f>
        <v/>
      </c>
      <c r="F1721" s="26" t="str">
        <f>IFERROR(VLOOKUP(G1721,WholesaleExtract!B:J,6,FALSE),"")</f>
        <v/>
      </c>
      <c r="H1721" s="47" t="str">
        <f>IFERROR(VLOOKUP(G1721,WholesaleExtract!B:L,11,FALSE),"")</f>
        <v/>
      </c>
      <c r="I1721" s="26" t="str">
        <f>IFERROR(VLOOKUP(G1721,WholesaleExtract!B:O,8,FALSE),"")</f>
        <v/>
      </c>
      <c r="J1721" s="26" t="str">
        <f>IFERROR(VLOOKUP(G1721,WholesaleExtract!B:O,14,FALSE),"")</f>
        <v/>
      </c>
      <c r="K1721" s="26" t="str">
        <f>IFERROR(VLOOKUP(G1721,WholesaleExtract!B:K,10,FALSE),"")</f>
        <v/>
      </c>
      <c r="L1721" s="47" t="str">
        <f>IFERROR(VLOOKUP(G1721,WholesaleExtract!B:L,11,FALSE),"")</f>
        <v/>
      </c>
      <c r="M1721" s="47" t="str">
        <f>IFERROR(VLOOKUP(G1721,WholesaleExtract!B:M,12,FALSE),"")</f>
        <v/>
      </c>
      <c r="R1721" s="19"/>
      <c r="S1721" s="19"/>
    </row>
    <row r="1722" spans="1:19" x14ac:dyDescent="0.35">
      <c r="A1722" s="26" t="s">
        <v>543</v>
      </c>
      <c r="B1722" s="26" t="s">
        <v>543</v>
      </c>
      <c r="C1722" s="26"/>
      <c r="D1722" s="26" t="s">
        <v>543</v>
      </c>
      <c r="E1722" s="26" t="str">
        <f>IFERROR(VLOOKUP(G1722,WholesaleExtract!B:J,9,FALSE),"")</f>
        <v/>
      </c>
      <c r="F1722" s="26" t="str">
        <f>IFERROR(VLOOKUP(G1722,WholesaleExtract!B:J,6,FALSE),"")</f>
        <v/>
      </c>
      <c r="H1722" s="47" t="str">
        <f>IFERROR(VLOOKUP(G1722,WholesaleExtract!B:L,11,FALSE),"")</f>
        <v/>
      </c>
      <c r="I1722" s="26" t="str">
        <f>IFERROR(VLOOKUP(G1722,WholesaleExtract!B:O,8,FALSE),"")</f>
        <v/>
      </c>
      <c r="J1722" s="26" t="str">
        <f>IFERROR(VLOOKUP(G1722,WholesaleExtract!B:O,14,FALSE),"")</f>
        <v/>
      </c>
      <c r="K1722" s="26" t="str">
        <f>IFERROR(VLOOKUP(G1722,WholesaleExtract!B:K,10,FALSE),"")</f>
        <v/>
      </c>
      <c r="L1722" s="47" t="str">
        <f>IFERROR(VLOOKUP(G1722,WholesaleExtract!B:L,11,FALSE),"")</f>
        <v/>
      </c>
      <c r="M1722" s="47" t="str">
        <f>IFERROR(VLOOKUP(G1722,WholesaleExtract!B:M,12,FALSE),"")</f>
        <v/>
      </c>
      <c r="R1722" s="19"/>
      <c r="S1722" s="19"/>
    </row>
    <row r="1723" spans="1:19" x14ac:dyDescent="0.35">
      <c r="A1723" s="26" t="s">
        <v>543</v>
      </c>
      <c r="B1723" s="26" t="s">
        <v>543</v>
      </c>
      <c r="C1723" s="26"/>
      <c r="D1723" s="26" t="s">
        <v>543</v>
      </c>
      <c r="E1723" s="26" t="str">
        <f>IFERROR(VLOOKUP(G1723,WholesaleExtract!B:J,9,FALSE),"")</f>
        <v/>
      </c>
      <c r="F1723" s="26" t="str">
        <f>IFERROR(VLOOKUP(G1723,WholesaleExtract!B:J,6,FALSE),"")</f>
        <v/>
      </c>
      <c r="H1723" s="47" t="str">
        <f>IFERROR(VLOOKUP(G1723,WholesaleExtract!B:L,11,FALSE),"")</f>
        <v/>
      </c>
      <c r="I1723" s="26" t="str">
        <f>IFERROR(VLOOKUP(G1723,WholesaleExtract!B:O,8,FALSE),"")</f>
        <v/>
      </c>
      <c r="J1723" s="26" t="str">
        <f>IFERROR(VLOOKUP(G1723,WholesaleExtract!B:O,14,FALSE),"")</f>
        <v/>
      </c>
      <c r="K1723" s="26" t="str">
        <f>IFERROR(VLOOKUP(G1723,WholesaleExtract!B:K,10,FALSE),"")</f>
        <v/>
      </c>
      <c r="L1723" s="47" t="str">
        <f>IFERROR(VLOOKUP(G1723,WholesaleExtract!B:L,11,FALSE),"")</f>
        <v/>
      </c>
      <c r="M1723" s="47" t="str">
        <f>IFERROR(VLOOKUP(G1723,WholesaleExtract!B:M,12,FALSE),"")</f>
        <v/>
      </c>
      <c r="R1723" s="19"/>
      <c r="S1723" s="19"/>
    </row>
    <row r="1724" spans="1:19" x14ac:dyDescent="0.35">
      <c r="A1724" s="26" t="s">
        <v>543</v>
      </c>
      <c r="B1724" s="26" t="s">
        <v>543</v>
      </c>
      <c r="C1724" s="26"/>
      <c r="D1724" s="26" t="s">
        <v>543</v>
      </c>
      <c r="E1724" s="26" t="str">
        <f>IFERROR(VLOOKUP(G1724,WholesaleExtract!B:J,9,FALSE),"")</f>
        <v/>
      </c>
      <c r="F1724" s="26" t="str">
        <f>IFERROR(VLOOKUP(G1724,WholesaleExtract!B:J,6,FALSE),"")</f>
        <v/>
      </c>
      <c r="H1724" s="47" t="str">
        <f>IFERROR(VLOOKUP(G1724,WholesaleExtract!B:L,11,FALSE),"")</f>
        <v/>
      </c>
      <c r="I1724" s="26" t="str">
        <f>IFERROR(VLOOKUP(G1724,WholesaleExtract!B:O,8,FALSE),"")</f>
        <v/>
      </c>
      <c r="J1724" s="26" t="str">
        <f>IFERROR(VLOOKUP(G1724,WholesaleExtract!B:O,14,FALSE),"")</f>
        <v/>
      </c>
      <c r="K1724" s="26" t="str">
        <f>IFERROR(VLOOKUP(G1724,WholesaleExtract!B:K,10,FALSE),"")</f>
        <v/>
      </c>
      <c r="L1724" s="47" t="str">
        <f>IFERROR(VLOOKUP(G1724,WholesaleExtract!B:L,11,FALSE),"")</f>
        <v/>
      </c>
      <c r="M1724" s="47" t="str">
        <f>IFERROR(VLOOKUP(G1724,WholesaleExtract!B:M,12,FALSE),"")</f>
        <v/>
      </c>
      <c r="R1724" s="19"/>
      <c r="S1724" s="19"/>
    </row>
    <row r="1725" spans="1:19" x14ac:dyDescent="0.35">
      <c r="A1725" s="26" t="s">
        <v>543</v>
      </c>
      <c r="B1725" s="26" t="s">
        <v>543</v>
      </c>
      <c r="C1725" s="26"/>
      <c r="D1725" s="26" t="s">
        <v>543</v>
      </c>
      <c r="E1725" s="26" t="str">
        <f>IFERROR(VLOOKUP(G1725,WholesaleExtract!B:J,9,FALSE),"")</f>
        <v/>
      </c>
      <c r="F1725" s="26" t="str">
        <f>IFERROR(VLOOKUP(G1725,WholesaleExtract!B:J,6,FALSE),"")</f>
        <v/>
      </c>
      <c r="H1725" s="47" t="str">
        <f>IFERROR(VLOOKUP(G1725,WholesaleExtract!B:L,11,FALSE),"")</f>
        <v/>
      </c>
      <c r="I1725" s="26" t="str">
        <f>IFERROR(VLOOKUP(G1725,WholesaleExtract!B:O,8,FALSE),"")</f>
        <v/>
      </c>
      <c r="J1725" s="26" t="str">
        <f>IFERROR(VLOOKUP(G1725,WholesaleExtract!B:O,14,FALSE),"")</f>
        <v/>
      </c>
      <c r="K1725" s="26" t="str">
        <f>IFERROR(VLOOKUP(G1725,WholesaleExtract!B:K,10,FALSE),"")</f>
        <v/>
      </c>
      <c r="L1725" s="47" t="str">
        <f>IFERROR(VLOOKUP(G1725,WholesaleExtract!B:L,11,FALSE),"")</f>
        <v/>
      </c>
      <c r="M1725" s="47" t="str">
        <f>IFERROR(VLOOKUP(G1725,WholesaleExtract!B:M,12,FALSE),"")</f>
        <v/>
      </c>
      <c r="R1725" s="19"/>
      <c r="S1725" s="19"/>
    </row>
    <row r="1726" spans="1:19" x14ac:dyDescent="0.35">
      <c r="A1726" s="26" t="s">
        <v>543</v>
      </c>
      <c r="B1726" s="26" t="s">
        <v>543</v>
      </c>
      <c r="C1726" s="26"/>
      <c r="D1726" s="26" t="s">
        <v>543</v>
      </c>
      <c r="E1726" s="26" t="str">
        <f>IFERROR(VLOOKUP(G1726,WholesaleExtract!B:J,9,FALSE),"")</f>
        <v/>
      </c>
      <c r="F1726" s="26" t="str">
        <f>IFERROR(VLOOKUP(G1726,WholesaleExtract!B:J,6,FALSE),"")</f>
        <v/>
      </c>
      <c r="H1726" s="47" t="str">
        <f>IFERROR(VLOOKUP(G1726,WholesaleExtract!B:L,11,FALSE),"")</f>
        <v/>
      </c>
      <c r="I1726" s="26" t="str">
        <f>IFERROR(VLOOKUP(G1726,WholesaleExtract!B:O,8,FALSE),"")</f>
        <v/>
      </c>
      <c r="J1726" s="26" t="str">
        <f>IFERROR(VLOOKUP(G1726,WholesaleExtract!B:O,14,FALSE),"")</f>
        <v/>
      </c>
      <c r="K1726" s="26" t="str">
        <f>IFERROR(VLOOKUP(G1726,WholesaleExtract!B:K,10,FALSE),"")</f>
        <v/>
      </c>
      <c r="L1726" s="47" t="str">
        <f>IFERROR(VLOOKUP(G1726,WholesaleExtract!B:L,11,FALSE),"")</f>
        <v/>
      </c>
      <c r="M1726" s="47" t="str">
        <f>IFERROR(VLOOKUP(G1726,WholesaleExtract!B:M,12,FALSE),"")</f>
        <v/>
      </c>
      <c r="R1726" s="19"/>
      <c r="S1726" s="19"/>
    </row>
    <row r="1727" spans="1:19" x14ac:dyDescent="0.35">
      <c r="A1727" s="26" t="s">
        <v>543</v>
      </c>
      <c r="B1727" s="26" t="s">
        <v>543</v>
      </c>
      <c r="C1727" s="26"/>
      <c r="D1727" s="26" t="s">
        <v>543</v>
      </c>
      <c r="E1727" s="26" t="str">
        <f>IFERROR(VLOOKUP(G1727,WholesaleExtract!B:J,9,FALSE),"")</f>
        <v/>
      </c>
      <c r="F1727" s="26" t="str">
        <f>IFERROR(VLOOKUP(G1727,WholesaleExtract!B:J,6,FALSE),"")</f>
        <v/>
      </c>
      <c r="H1727" s="47" t="str">
        <f>IFERROR(VLOOKUP(G1727,WholesaleExtract!B:L,11,FALSE),"")</f>
        <v/>
      </c>
      <c r="I1727" s="26" t="str">
        <f>IFERROR(VLOOKUP(G1727,WholesaleExtract!B:O,8,FALSE),"")</f>
        <v/>
      </c>
      <c r="J1727" s="26" t="str">
        <f>IFERROR(VLOOKUP(G1727,WholesaleExtract!B:O,14,FALSE),"")</f>
        <v/>
      </c>
      <c r="K1727" s="26" t="str">
        <f>IFERROR(VLOOKUP(G1727,WholesaleExtract!B:K,10,FALSE),"")</f>
        <v/>
      </c>
      <c r="L1727" s="47" t="str">
        <f>IFERROR(VLOOKUP(G1727,WholesaleExtract!B:L,11,FALSE),"")</f>
        <v/>
      </c>
      <c r="M1727" s="47" t="str">
        <f>IFERROR(VLOOKUP(G1727,WholesaleExtract!B:M,12,FALSE),"")</f>
        <v/>
      </c>
      <c r="R1727" s="19"/>
      <c r="S1727" s="19"/>
    </row>
    <row r="1728" spans="1:19" x14ac:dyDescent="0.35">
      <c r="A1728" s="26" t="s">
        <v>543</v>
      </c>
      <c r="B1728" s="26" t="s">
        <v>543</v>
      </c>
      <c r="C1728" s="26"/>
      <c r="D1728" s="26" t="s">
        <v>543</v>
      </c>
      <c r="E1728" s="26" t="str">
        <f>IFERROR(VLOOKUP(G1728,WholesaleExtract!B:J,9,FALSE),"")</f>
        <v/>
      </c>
      <c r="F1728" s="26" t="str">
        <f>IFERROR(VLOOKUP(G1728,WholesaleExtract!B:J,6,FALSE),"")</f>
        <v/>
      </c>
      <c r="H1728" s="47" t="str">
        <f>IFERROR(VLOOKUP(G1728,WholesaleExtract!B:L,11,FALSE),"")</f>
        <v/>
      </c>
      <c r="I1728" s="26" t="str">
        <f>IFERROR(VLOOKUP(G1728,WholesaleExtract!B:O,8,FALSE),"")</f>
        <v/>
      </c>
      <c r="J1728" s="26" t="str">
        <f>IFERROR(VLOOKUP(G1728,WholesaleExtract!B:O,14,FALSE),"")</f>
        <v/>
      </c>
      <c r="K1728" s="26" t="str">
        <f>IFERROR(VLOOKUP(G1728,WholesaleExtract!B:K,10,FALSE),"")</f>
        <v/>
      </c>
      <c r="L1728" s="47" t="str">
        <f>IFERROR(VLOOKUP(G1728,WholesaleExtract!B:L,11,FALSE),"")</f>
        <v/>
      </c>
      <c r="M1728" s="47" t="str">
        <f>IFERROR(VLOOKUP(G1728,WholesaleExtract!B:M,12,FALSE),"")</f>
        <v/>
      </c>
      <c r="R1728" s="19"/>
      <c r="S1728" s="19"/>
    </row>
    <row r="1729" spans="1:19" x14ac:dyDescent="0.35">
      <c r="A1729" s="26" t="s">
        <v>543</v>
      </c>
      <c r="B1729" s="26" t="s">
        <v>543</v>
      </c>
      <c r="C1729" s="26"/>
      <c r="D1729" s="26" t="s">
        <v>543</v>
      </c>
      <c r="E1729" s="26" t="str">
        <f>IFERROR(VLOOKUP(G1729,WholesaleExtract!B:J,9,FALSE),"")</f>
        <v/>
      </c>
      <c r="F1729" s="26" t="str">
        <f>IFERROR(VLOOKUP(G1729,WholesaleExtract!B:J,6,FALSE),"")</f>
        <v/>
      </c>
      <c r="H1729" s="47" t="str">
        <f>IFERROR(VLOOKUP(G1729,WholesaleExtract!B:L,11,FALSE),"")</f>
        <v/>
      </c>
      <c r="I1729" s="26" t="str">
        <f>IFERROR(VLOOKUP(G1729,WholesaleExtract!B:O,8,FALSE),"")</f>
        <v/>
      </c>
      <c r="J1729" s="26" t="str">
        <f>IFERROR(VLOOKUP(G1729,WholesaleExtract!B:O,14,FALSE),"")</f>
        <v/>
      </c>
      <c r="K1729" s="26" t="str">
        <f>IFERROR(VLOOKUP(G1729,WholesaleExtract!B:K,10,FALSE),"")</f>
        <v/>
      </c>
      <c r="L1729" s="47" t="str">
        <f>IFERROR(VLOOKUP(G1729,WholesaleExtract!B:L,11,FALSE),"")</f>
        <v/>
      </c>
      <c r="M1729" s="47" t="str">
        <f>IFERROR(VLOOKUP(G1729,WholesaleExtract!B:M,12,FALSE),"")</f>
        <v/>
      </c>
      <c r="R1729" s="19"/>
      <c r="S1729" s="19"/>
    </row>
    <row r="1730" spans="1:19" x14ac:dyDescent="0.35">
      <c r="A1730" s="26" t="s">
        <v>543</v>
      </c>
      <c r="B1730" s="26" t="s">
        <v>543</v>
      </c>
      <c r="C1730" s="26"/>
      <c r="D1730" s="26" t="s">
        <v>543</v>
      </c>
      <c r="E1730" s="26" t="str">
        <f>IFERROR(VLOOKUP(G1730,WholesaleExtract!B:J,9,FALSE),"")</f>
        <v/>
      </c>
      <c r="F1730" s="26" t="str">
        <f>IFERROR(VLOOKUP(G1730,WholesaleExtract!B:J,6,FALSE),"")</f>
        <v/>
      </c>
      <c r="H1730" s="47" t="str">
        <f>IFERROR(VLOOKUP(G1730,WholesaleExtract!B:L,11,FALSE),"")</f>
        <v/>
      </c>
      <c r="I1730" s="26" t="str">
        <f>IFERROR(VLOOKUP(G1730,WholesaleExtract!B:O,8,FALSE),"")</f>
        <v/>
      </c>
      <c r="J1730" s="26" t="str">
        <f>IFERROR(VLOOKUP(G1730,WholesaleExtract!B:O,14,FALSE),"")</f>
        <v/>
      </c>
      <c r="K1730" s="26" t="str">
        <f>IFERROR(VLOOKUP(G1730,WholesaleExtract!B:K,10,FALSE),"")</f>
        <v/>
      </c>
      <c r="L1730" s="47" t="str">
        <f>IFERROR(VLOOKUP(G1730,WholesaleExtract!B:L,11,FALSE),"")</f>
        <v/>
      </c>
      <c r="M1730" s="47" t="str">
        <f>IFERROR(VLOOKUP(G1730,WholesaleExtract!B:M,12,FALSE),"")</f>
        <v/>
      </c>
      <c r="R1730" s="19"/>
      <c r="S1730" s="19"/>
    </row>
    <row r="1731" spans="1:19" x14ac:dyDescent="0.35">
      <c r="A1731" s="26" t="s">
        <v>543</v>
      </c>
      <c r="B1731" s="26" t="s">
        <v>543</v>
      </c>
      <c r="C1731" s="26"/>
      <c r="D1731" s="26" t="s">
        <v>543</v>
      </c>
      <c r="E1731" s="26" t="str">
        <f>IFERROR(VLOOKUP(G1731,WholesaleExtract!B:J,9,FALSE),"")</f>
        <v/>
      </c>
      <c r="F1731" s="26" t="str">
        <f>IFERROR(VLOOKUP(G1731,WholesaleExtract!B:J,6,FALSE),"")</f>
        <v/>
      </c>
      <c r="H1731" s="47" t="str">
        <f>IFERROR(VLOOKUP(G1731,WholesaleExtract!B:L,11,FALSE),"")</f>
        <v/>
      </c>
      <c r="I1731" s="26" t="str">
        <f>IFERROR(VLOOKUP(G1731,WholesaleExtract!B:O,8,FALSE),"")</f>
        <v/>
      </c>
      <c r="J1731" s="26" t="str">
        <f>IFERROR(VLOOKUP(G1731,WholesaleExtract!B:O,14,FALSE),"")</f>
        <v/>
      </c>
      <c r="K1731" s="26" t="str">
        <f>IFERROR(VLOOKUP(G1731,WholesaleExtract!B:K,10,FALSE),"")</f>
        <v/>
      </c>
      <c r="L1731" s="47" t="str">
        <f>IFERROR(VLOOKUP(G1731,WholesaleExtract!B:L,11,FALSE),"")</f>
        <v/>
      </c>
      <c r="M1731" s="47" t="str">
        <f>IFERROR(VLOOKUP(G1731,WholesaleExtract!B:M,12,FALSE),"")</f>
        <v/>
      </c>
      <c r="R1731" s="19"/>
      <c r="S1731" s="19"/>
    </row>
    <row r="1732" spans="1:19" x14ac:dyDescent="0.35">
      <c r="A1732" s="26" t="s">
        <v>543</v>
      </c>
      <c r="B1732" s="26" t="s">
        <v>543</v>
      </c>
      <c r="C1732" s="26"/>
      <c r="D1732" s="26" t="s">
        <v>543</v>
      </c>
      <c r="E1732" s="26" t="str">
        <f>IFERROR(VLOOKUP(G1732,WholesaleExtract!B:J,9,FALSE),"")</f>
        <v/>
      </c>
      <c r="F1732" s="26" t="str">
        <f>IFERROR(VLOOKUP(G1732,WholesaleExtract!B:J,6,FALSE),"")</f>
        <v/>
      </c>
      <c r="H1732" s="47" t="str">
        <f>IFERROR(VLOOKUP(G1732,WholesaleExtract!B:L,11,FALSE),"")</f>
        <v/>
      </c>
      <c r="I1732" s="26" t="str">
        <f>IFERROR(VLOOKUP(G1732,WholesaleExtract!B:O,8,FALSE),"")</f>
        <v/>
      </c>
      <c r="J1732" s="26" t="str">
        <f>IFERROR(VLOOKUP(G1732,WholesaleExtract!B:O,14,FALSE),"")</f>
        <v/>
      </c>
      <c r="K1732" s="26" t="str">
        <f>IFERROR(VLOOKUP(G1732,WholesaleExtract!B:K,10,FALSE),"")</f>
        <v/>
      </c>
      <c r="L1732" s="47" t="str">
        <f>IFERROR(VLOOKUP(G1732,WholesaleExtract!B:L,11,FALSE),"")</f>
        <v/>
      </c>
      <c r="M1732" s="47" t="str">
        <f>IFERROR(VLOOKUP(G1732,WholesaleExtract!B:M,12,FALSE),"")</f>
        <v/>
      </c>
      <c r="R1732" s="19"/>
      <c r="S1732" s="19"/>
    </row>
    <row r="1733" spans="1:19" x14ac:dyDescent="0.35">
      <c r="A1733" s="26" t="s">
        <v>543</v>
      </c>
      <c r="B1733" s="26" t="s">
        <v>543</v>
      </c>
      <c r="C1733" s="26"/>
      <c r="D1733" s="26" t="s">
        <v>543</v>
      </c>
      <c r="E1733" s="26" t="str">
        <f>IFERROR(VLOOKUP(G1733,WholesaleExtract!B:J,9,FALSE),"")</f>
        <v/>
      </c>
      <c r="F1733" s="26" t="str">
        <f>IFERROR(VLOOKUP(G1733,WholesaleExtract!B:J,6,FALSE),"")</f>
        <v/>
      </c>
      <c r="H1733" s="47" t="str">
        <f>IFERROR(VLOOKUP(G1733,WholesaleExtract!B:L,11,FALSE),"")</f>
        <v/>
      </c>
      <c r="I1733" s="26" t="str">
        <f>IFERROR(VLOOKUP(G1733,WholesaleExtract!B:O,8,FALSE),"")</f>
        <v/>
      </c>
      <c r="J1733" s="26" t="str">
        <f>IFERROR(VLOOKUP(G1733,WholesaleExtract!B:O,14,FALSE),"")</f>
        <v/>
      </c>
      <c r="K1733" s="26" t="str">
        <f>IFERROR(VLOOKUP(G1733,WholesaleExtract!B:K,10,FALSE),"")</f>
        <v/>
      </c>
      <c r="L1733" s="47" t="str">
        <f>IFERROR(VLOOKUP(G1733,WholesaleExtract!B:L,11,FALSE),"")</f>
        <v/>
      </c>
      <c r="M1733" s="47" t="str">
        <f>IFERROR(VLOOKUP(G1733,WholesaleExtract!B:M,12,FALSE),"")</f>
        <v/>
      </c>
      <c r="R1733" s="19"/>
      <c r="S1733" s="19"/>
    </row>
    <row r="1734" spans="1:19" x14ac:dyDescent="0.35">
      <c r="A1734" s="26" t="s">
        <v>543</v>
      </c>
      <c r="B1734" s="26" t="s">
        <v>543</v>
      </c>
      <c r="C1734" s="26"/>
      <c r="D1734" s="26" t="s">
        <v>543</v>
      </c>
      <c r="E1734" s="26" t="str">
        <f>IFERROR(VLOOKUP(G1734,WholesaleExtract!B:J,9,FALSE),"")</f>
        <v/>
      </c>
      <c r="F1734" s="26" t="str">
        <f>IFERROR(VLOOKUP(G1734,WholesaleExtract!B:J,6,FALSE),"")</f>
        <v/>
      </c>
      <c r="H1734" s="47" t="str">
        <f>IFERROR(VLOOKUP(G1734,WholesaleExtract!B:L,11,FALSE),"")</f>
        <v/>
      </c>
      <c r="I1734" s="26" t="str">
        <f>IFERROR(VLOOKUP(G1734,WholesaleExtract!B:O,8,FALSE),"")</f>
        <v/>
      </c>
      <c r="J1734" s="26" t="str">
        <f>IFERROR(VLOOKUP(G1734,WholesaleExtract!B:O,14,FALSE),"")</f>
        <v/>
      </c>
      <c r="K1734" s="26" t="str">
        <f>IFERROR(VLOOKUP(G1734,WholesaleExtract!B:K,10,FALSE),"")</f>
        <v/>
      </c>
      <c r="L1734" s="47" t="str">
        <f>IFERROR(VLOOKUP(G1734,WholesaleExtract!B:L,11,FALSE),"")</f>
        <v/>
      </c>
      <c r="M1734" s="47" t="str">
        <f>IFERROR(VLOOKUP(G1734,WholesaleExtract!B:M,12,FALSE),"")</f>
        <v/>
      </c>
      <c r="R1734" s="19"/>
      <c r="S1734" s="19"/>
    </row>
    <row r="1735" spans="1:19" x14ac:dyDescent="0.35">
      <c r="A1735" s="26" t="s">
        <v>543</v>
      </c>
      <c r="B1735" s="26" t="s">
        <v>543</v>
      </c>
      <c r="C1735" s="26"/>
      <c r="D1735" s="26" t="s">
        <v>543</v>
      </c>
      <c r="E1735" s="26" t="str">
        <f>IFERROR(VLOOKUP(G1735,WholesaleExtract!B:J,9,FALSE),"")</f>
        <v/>
      </c>
      <c r="F1735" s="26" t="str">
        <f>IFERROR(VLOOKUP(G1735,WholesaleExtract!B:J,6,FALSE),"")</f>
        <v/>
      </c>
      <c r="H1735" s="47" t="str">
        <f>IFERROR(VLOOKUP(G1735,WholesaleExtract!B:L,11,FALSE),"")</f>
        <v/>
      </c>
      <c r="I1735" s="26" t="str">
        <f>IFERROR(VLOOKUP(G1735,WholesaleExtract!B:O,8,FALSE),"")</f>
        <v/>
      </c>
      <c r="J1735" s="26" t="str">
        <f>IFERROR(VLOOKUP(G1735,WholesaleExtract!B:O,14,FALSE),"")</f>
        <v/>
      </c>
      <c r="K1735" s="26" t="str">
        <f>IFERROR(VLOOKUP(G1735,WholesaleExtract!B:K,10,FALSE),"")</f>
        <v/>
      </c>
      <c r="L1735" s="47" t="str">
        <f>IFERROR(VLOOKUP(G1735,WholesaleExtract!B:L,11,FALSE),"")</f>
        <v/>
      </c>
      <c r="M1735" s="47" t="str">
        <f>IFERROR(VLOOKUP(G1735,WholesaleExtract!B:M,12,FALSE),"")</f>
        <v/>
      </c>
      <c r="R1735" s="19"/>
      <c r="S1735" s="19"/>
    </row>
    <row r="1736" spans="1:19" x14ac:dyDescent="0.35">
      <c r="A1736" s="26" t="s">
        <v>543</v>
      </c>
      <c r="B1736" s="26" t="s">
        <v>543</v>
      </c>
      <c r="C1736" s="26"/>
      <c r="D1736" s="26" t="s">
        <v>543</v>
      </c>
      <c r="E1736" s="26" t="str">
        <f>IFERROR(VLOOKUP(G1736,WholesaleExtract!B:J,9,FALSE),"")</f>
        <v/>
      </c>
      <c r="F1736" s="26" t="str">
        <f>IFERROR(VLOOKUP(G1736,WholesaleExtract!B:J,6,FALSE),"")</f>
        <v/>
      </c>
      <c r="H1736" s="47" t="str">
        <f>IFERROR(VLOOKUP(G1736,WholesaleExtract!B:L,11,FALSE),"")</f>
        <v/>
      </c>
      <c r="I1736" s="26" t="str">
        <f>IFERROR(VLOOKUP(G1736,WholesaleExtract!B:O,8,FALSE),"")</f>
        <v/>
      </c>
      <c r="J1736" s="26" t="str">
        <f>IFERROR(VLOOKUP(G1736,WholesaleExtract!B:O,14,FALSE),"")</f>
        <v/>
      </c>
      <c r="K1736" s="26" t="str">
        <f>IFERROR(VLOOKUP(G1736,WholesaleExtract!B:K,10,FALSE),"")</f>
        <v/>
      </c>
      <c r="L1736" s="47" t="str">
        <f>IFERROR(VLOOKUP(G1736,WholesaleExtract!B:L,11,FALSE),"")</f>
        <v/>
      </c>
      <c r="M1736" s="47" t="str">
        <f>IFERROR(VLOOKUP(G1736,WholesaleExtract!B:M,12,FALSE),"")</f>
        <v/>
      </c>
      <c r="R1736" s="19"/>
      <c r="S1736" s="19"/>
    </row>
    <row r="1737" spans="1:19" x14ac:dyDescent="0.35">
      <c r="A1737" s="26" t="s">
        <v>543</v>
      </c>
      <c r="B1737" s="26" t="s">
        <v>543</v>
      </c>
      <c r="C1737" s="26"/>
      <c r="D1737" s="26" t="s">
        <v>543</v>
      </c>
      <c r="E1737" s="26" t="str">
        <f>IFERROR(VLOOKUP(G1737,WholesaleExtract!B:J,9,FALSE),"")</f>
        <v/>
      </c>
      <c r="F1737" s="26" t="str">
        <f>IFERROR(VLOOKUP(G1737,WholesaleExtract!B:J,6,FALSE),"")</f>
        <v/>
      </c>
      <c r="H1737" s="47" t="str">
        <f>IFERROR(VLOOKUP(G1737,WholesaleExtract!B:L,11,FALSE),"")</f>
        <v/>
      </c>
      <c r="I1737" s="26" t="str">
        <f>IFERROR(VLOOKUP(G1737,WholesaleExtract!B:O,8,FALSE),"")</f>
        <v/>
      </c>
      <c r="J1737" s="26" t="str">
        <f>IFERROR(VLOOKUP(G1737,WholesaleExtract!B:O,14,FALSE),"")</f>
        <v/>
      </c>
      <c r="K1737" s="26" t="str">
        <f>IFERROR(VLOOKUP(G1737,WholesaleExtract!B:K,10,FALSE),"")</f>
        <v/>
      </c>
      <c r="L1737" s="47" t="str">
        <f>IFERROR(VLOOKUP(G1737,WholesaleExtract!B:L,11,FALSE),"")</f>
        <v/>
      </c>
      <c r="M1737" s="47" t="str">
        <f>IFERROR(VLOOKUP(G1737,WholesaleExtract!B:M,12,FALSE),"")</f>
        <v/>
      </c>
      <c r="R1737" s="19"/>
      <c r="S1737" s="19"/>
    </row>
    <row r="1738" spans="1:19" x14ac:dyDescent="0.35">
      <c r="A1738" s="26" t="s">
        <v>543</v>
      </c>
      <c r="B1738" s="26" t="s">
        <v>543</v>
      </c>
      <c r="C1738" s="26"/>
      <c r="D1738" s="26" t="s">
        <v>543</v>
      </c>
      <c r="E1738" s="26" t="str">
        <f>IFERROR(VLOOKUP(G1738,WholesaleExtract!B:J,9,FALSE),"")</f>
        <v/>
      </c>
      <c r="F1738" s="26" t="str">
        <f>IFERROR(VLOOKUP(G1738,WholesaleExtract!B:J,6,FALSE),"")</f>
        <v/>
      </c>
      <c r="H1738" s="47" t="str">
        <f>IFERROR(VLOOKUP(G1738,WholesaleExtract!B:L,11,FALSE),"")</f>
        <v/>
      </c>
      <c r="I1738" s="26" t="str">
        <f>IFERROR(VLOOKUP(G1738,WholesaleExtract!B:O,8,FALSE),"")</f>
        <v/>
      </c>
      <c r="J1738" s="26" t="str">
        <f>IFERROR(VLOOKUP(G1738,WholesaleExtract!B:O,14,FALSE),"")</f>
        <v/>
      </c>
      <c r="K1738" s="26" t="str">
        <f>IFERROR(VLOOKUP(G1738,WholesaleExtract!B:K,10,FALSE),"")</f>
        <v/>
      </c>
      <c r="L1738" s="47" t="str">
        <f>IFERROR(VLOOKUP(G1738,WholesaleExtract!B:L,11,FALSE),"")</f>
        <v/>
      </c>
      <c r="M1738" s="47" t="str">
        <f>IFERROR(VLOOKUP(G1738,WholesaleExtract!B:M,12,FALSE),"")</f>
        <v/>
      </c>
      <c r="R1738" s="19"/>
      <c r="S1738" s="19"/>
    </row>
    <row r="1739" spans="1:19" x14ac:dyDescent="0.35">
      <c r="A1739" s="26" t="s">
        <v>543</v>
      </c>
      <c r="B1739" s="26" t="s">
        <v>543</v>
      </c>
      <c r="C1739" s="26"/>
      <c r="D1739" s="26" t="s">
        <v>543</v>
      </c>
      <c r="E1739" s="26" t="str">
        <f>IFERROR(VLOOKUP(G1739,WholesaleExtract!B:J,9,FALSE),"")</f>
        <v/>
      </c>
      <c r="F1739" s="26" t="str">
        <f>IFERROR(VLOOKUP(G1739,WholesaleExtract!B:J,6,FALSE),"")</f>
        <v/>
      </c>
      <c r="H1739" s="47" t="str">
        <f>IFERROR(VLOOKUP(G1739,WholesaleExtract!B:L,11,FALSE),"")</f>
        <v/>
      </c>
      <c r="I1739" s="26" t="str">
        <f>IFERROR(VLOOKUP(G1739,WholesaleExtract!B:O,8,FALSE),"")</f>
        <v/>
      </c>
      <c r="J1739" s="26" t="str">
        <f>IFERROR(VLOOKUP(G1739,WholesaleExtract!B:O,14,FALSE),"")</f>
        <v/>
      </c>
      <c r="K1739" s="26" t="str">
        <f>IFERROR(VLOOKUP(G1739,WholesaleExtract!B:K,10,FALSE),"")</f>
        <v/>
      </c>
      <c r="L1739" s="47" t="str">
        <f>IFERROR(VLOOKUP(G1739,WholesaleExtract!B:L,11,FALSE),"")</f>
        <v/>
      </c>
      <c r="M1739" s="47" t="str">
        <f>IFERROR(VLOOKUP(G1739,WholesaleExtract!B:M,12,FALSE),"")</f>
        <v/>
      </c>
      <c r="R1739" s="19"/>
      <c r="S1739" s="19"/>
    </row>
    <row r="1740" spans="1:19" x14ac:dyDescent="0.35">
      <c r="A1740" s="26" t="s">
        <v>543</v>
      </c>
      <c r="B1740" s="26" t="s">
        <v>543</v>
      </c>
      <c r="C1740" s="26"/>
      <c r="D1740" s="26" t="s">
        <v>543</v>
      </c>
      <c r="E1740" s="26" t="str">
        <f>IFERROR(VLOOKUP(G1740,WholesaleExtract!B:J,9,FALSE),"")</f>
        <v/>
      </c>
      <c r="F1740" s="26" t="str">
        <f>IFERROR(VLOOKUP(G1740,WholesaleExtract!B:J,6,FALSE),"")</f>
        <v/>
      </c>
      <c r="H1740" s="47" t="str">
        <f>IFERROR(VLOOKUP(G1740,WholesaleExtract!B:L,11,FALSE),"")</f>
        <v/>
      </c>
      <c r="I1740" s="26" t="str">
        <f>IFERROR(VLOOKUP(G1740,WholesaleExtract!B:O,8,FALSE),"")</f>
        <v/>
      </c>
      <c r="J1740" s="26" t="str">
        <f>IFERROR(VLOOKUP(G1740,WholesaleExtract!B:O,14,FALSE),"")</f>
        <v/>
      </c>
      <c r="K1740" s="26" t="str">
        <f>IFERROR(VLOOKUP(G1740,WholesaleExtract!B:K,10,FALSE),"")</f>
        <v/>
      </c>
      <c r="L1740" s="47" t="str">
        <f>IFERROR(VLOOKUP(G1740,WholesaleExtract!B:L,11,FALSE),"")</f>
        <v/>
      </c>
      <c r="M1740" s="47" t="str">
        <f>IFERROR(VLOOKUP(G1740,WholesaleExtract!B:M,12,FALSE),"")</f>
        <v/>
      </c>
      <c r="R1740" s="19"/>
      <c r="S1740" s="19"/>
    </row>
    <row r="1741" spans="1:19" x14ac:dyDescent="0.35">
      <c r="A1741" s="26" t="s">
        <v>543</v>
      </c>
      <c r="B1741" s="26" t="s">
        <v>543</v>
      </c>
      <c r="C1741" s="26"/>
      <c r="D1741" s="26" t="s">
        <v>543</v>
      </c>
      <c r="E1741" s="26" t="str">
        <f>IFERROR(VLOOKUP(G1741,WholesaleExtract!B:J,9,FALSE),"")</f>
        <v/>
      </c>
      <c r="F1741" s="26" t="str">
        <f>IFERROR(VLOOKUP(G1741,WholesaleExtract!B:J,6,FALSE),"")</f>
        <v/>
      </c>
      <c r="H1741" s="47" t="str">
        <f>IFERROR(VLOOKUP(G1741,WholesaleExtract!B:L,11,FALSE),"")</f>
        <v/>
      </c>
      <c r="I1741" s="26" t="str">
        <f>IFERROR(VLOOKUP(G1741,WholesaleExtract!B:O,8,FALSE),"")</f>
        <v/>
      </c>
      <c r="J1741" s="26" t="str">
        <f>IFERROR(VLOOKUP(G1741,WholesaleExtract!B:O,14,FALSE),"")</f>
        <v/>
      </c>
      <c r="K1741" s="26" t="str">
        <f>IFERROR(VLOOKUP(G1741,WholesaleExtract!B:K,10,FALSE),"")</f>
        <v/>
      </c>
      <c r="L1741" s="47" t="str">
        <f>IFERROR(VLOOKUP(G1741,WholesaleExtract!B:L,11,FALSE),"")</f>
        <v/>
      </c>
      <c r="M1741" s="47" t="str">
        <f>IFERROR(VLOOKUP(G1741,WholesaleExtract!B:M,12,FALSE),"")</f>
        <v/>
      </c>
      <c r="R1741" s="19"/>
      <c r="S1741" s="19"/>
    </row>
    <row r="1742" spans="1:19" x14ac:dyDescent="0.35">
      <c r="A1742" s="26" t="s">
        <v>543</v>
      </c>
      <c r="B1742" s="26" t="s">
        <v>543</v>
      </c>
      <c r="C1742" s="26"/>
      <c r="D1742" s="26" t="s">
        <v>543</v>
      </c>
      <c r="E1742" s="26" t="str">
        <f>IFERROR(VLOOKUP(G1742,WholesaleExtract!B:J,9,FALSE),"")</f>
        <v/>
      </c>
      <c r="F1742" s="26" t="str">
        <f>IFERROR(VLOOKUP(G1742,WholesaleExtract!B:J,6,FALSE),"")</f>
        <v/>
      </c>
      <c r="H1742" s="47" t="str">
        <f>IFERROR(VLOOKUP(G1742,WholesaleExtract!B:L,11,FALSE),"")</f>
        <v/>
      </c>
      <c r="I1742" s="26" t="str">
        <f>IFERROR(VLOOKUP(G1742,WholesaleExtract!B:O,8,FALSE),"")</f>
        <v/>
      </c>
      <c r="J1742" s="26" t="str">
        <f>IFERROR(VLOOKUP(G1742,WholesaleExtract!B:O,14,FALSE),"")</f>
        <v/>
      </c>
      <c r="K1742" s="26" t="str">
        <f>IFERROR(VLOOKUP(G1742,WholesaleExtract!B:K,10,FALSE),"")</f>
        <v/>
      </c>
      <c r="L1742" s="47" t="str">
        <f>IFERROR(VLOOKUP(G1742,WholesaleExtract!B:L,11,FALSE),"")</f>
        <v/>
      </c>
      <c r="M1742" s="47" t="str">
        <f>IFERROR(VLOOKUP(G1742,WholesaleExtract!B:M,12,FALSE),"")</f>
        <v/>
      </c>
      <c r="R1742" s="19"/>
      <c r="S1742" s="19"/>
    </row>
    <row r="1743" spans="1:19" x14ac:dyDescent="0.35">
      <c r="A1743" s="26" t="s">
        <v>543</v>
      </c>
      <c r="B1743" s="26" t="s">
        <v>543</v>
      </c>
      <c r="C1743" s="26"/>
      <c r="D1743" s="26" t="s">
        <v>543</v>
      </c>
      <c r="E1743" s="26" t="str">
        <f>IFERROR(VLOOKUP(G1743,WholesaleExtract!B:J,9,FALSE),"")</f>
        <v/>
      </c>
      <c r="F1743" s="26" t="str">
        <f>IFERROR(VLOOKUP(G1743,WholesaleExtract!B:J,6,FALSE),"")</f>
        <v/>
      </c>
      <c r="H1743" s="47" t="str">
        <f>IFERROR(VLOOKUP(G1743,WholesaleExtract!B:L,11,FALSE),"")</f>
        <v/>
      </c>
      <c r="I1743" s="26" t="str">
        <f>IFERROR(VLOOKUP(G1743,WholesaleExtract!B:O,8,FALSE),"")</f>
        <v/>
      </c>
      <c r="J1743" s="26" t="str">
        <f>IFERROR(VLOOKUP(G1743,WholesaleExtract!B:O,14,FALSE),"")</f>
        <v/>
      </c>
      <c r="K1743" s="26" t="str">
        <f>IFERROR(VLOOKUP(G1743,WholesaleExtract!B:K,10,FALSE),"")</f>
        <v/>
      </c>
      <c r="L1743" s="47" t="str">
        <f>IFERROR(VLOOKUP(G1743,WholesaleExtract!B:L,11,FALSE),"")</f>
        <v/>
      </c>
      <c r="M1743" s="47" t="str">
        <f>IFERROR(VLOOKUP(G1743,WholesaleExtract!B:M,12,FALSE),"")</f>
        <v/>
      </c>
      <c r="R1743" s="19"/>
      <c r="S1743" s="19"/>
    </row>
    <row r="1744" spans="1:19" x14ac:dyDescent="0.35">
      <c r="A1744" s="26" t="s">
        <v>543</v>
      </c>
      <c r="B1744" s="26" t="s">
        <v>543</v>
      </c>
      <c r="C1744" s="26"/>
      <c r="D1744" s="26" t="s">
        <v>543</v>
      </c>
      <c r="E1744" s="26" t="str">
        <f>IFERROR(VLOOKUP(G1744,WholesaleExtract!B:J,9,FALSE),"")</f>
        <v/>
      </c>
      <c r="F1744" s="26" t="str">
        <f>IFERROR(VLOOKUP(G1744,WholesaleExtract!B:J,6,FALSE),"")</f>
        <v/>
      </c>
      <c r="H1744" s="47" t="str">
        <f>IFERROR(VLOOKUP(G1744,WholesaleExtract!B:L,11,FALSE),"")</f>
        <v/>
      </c>
      <c r="I1744" s="26" t="str">
        <f>IFERROR(VLOOKUP(G1744,WholesaleExtract!B:O,8,FALSE),"")</f>
        <v/>
      </c>
      <c r="J1744" s="26" t="str">
        <f>IFERROR(VLOOKUP(G1744,WholesaleExtract!B:O,14,FALSE),"")</f>
        <v/>
      </c>
      <c r="K1744" s="26" t="str">
        <f>IFERROR(VLOOKUP(G1744,WholesaleExtract!B:K,10,FALSE),"")</f>
        <v/>
      </c>
      <c r="L1744" s="47" t="str">
        <f>IFERROR(VLOOKUP(G1744,WholesaleExtract!B:L,11,FALSE),"")</f>
        <v/>
      </c>
      <c r="M1744" s="47" t="str">
        <f>IFERROR(VLOOKUP(G1744,WholesaleExtract!B:M,12,FALSE),"")</f>
        <v/>
      </c>
      <c r="R1744" s="19"/>
      <c r="S1744" s="19"/>
    </row>
    <row r="1745" spans="1:19" x14ac:dyDescent="0.35">
      <c r="A1745" s="26" t="s">
        <v>543</v>
      </c>
      <c r="B1745" s="26" t="s">
        <v>543</v>
      </c>
      <c r="C1745" s="26"/>
      <c r="D1745" s="26" t="s">
        <v>543</v>
      </c>
      <c r="E1745" s="26" t="str">
        <f>IFERROR(VLOOKUP(G1745,WholesaleExtract!B:J,9,FALSE),"")</f>
        <v/>
      </c>
      <c r="F1745" s="26" t="str">
        <f>IFERROR(VLOOKUP(G1745,WholesaleExtract!B:J,6,FALSE),"")</f>
        <v/>
      </c>
      <c r="H1745" s="47" t="str">
        <f>IFERROR(VLOOKUP(G1745,WholesaleExtract!B:L,11,FALSE),"")</f>
        <v/>
      </c>
      <c r="I1745" s="26" t="str">
        <f>IFERROR(VLOOKUP(G1745,WholesaleExtract!B:O,8,FALSE),"")</f>
        <v/>
      </c>
      <c r="J1745" s="26" t="str">
        <f>IFERROR(VLOOKUP(G1745,WholesaleExtract!B:O,14,FALSE),"")</f>
        <v/>
      </c>
      <c r="K1745" s="26" t="str">
        <f>IFERROR(VLOOKUP(G1745,WholesaleExtract!B:K,10,FALSE),"")</f>
        <v/>
      </c>
      <c r="L1745" s="47" t="str">
        <f>IFERROR(VLOOKUP(G1745,WholesaleExtract!B:L,11,FALSE),"")</f>
        <v/>
      </c>
      <c r="M1745" s="47" t="str">
        <f>IFERROR(VLOOKUP(G1745,WholesaleExtract!B:M,12,FALSE),"")</f>
        <v/>
      </c>
      <c r="R1745" s="19"/>
      <c r="S1745" s="19"/>
    </row>
    <row r="1746" spans="1:19" x14ac:dyDescent="0.35">
      <c r="A1746" s="26" t="s">
        <v>543</v>
      </c>
      <c r="B1746" s="26" t="s">
        <v>543</v>
      </c>
      <c r="C1746" s="26"/>
      <c r="D1746" s="26" t="s">
        <v>543</v>
      </c>
      <c r="E1746" s="26" t="str">
        <f>IFERROR(VLOOKUP(G1746,WholesaleExtract!B:J,9,FALSE),"")</f>
        <v/>
      </c>
      <c r="F1746" s="26" t="str">
        <f>IFERROR(VLOOKUP(G1746,WholesaleExtract!B:J,6,FALSE),"")</f>
        <v/>
      </c>
      <c r="H1746" s="47" t="str">
        <f>IFERROR(VLOOKUP(G1746,WholesaleExtract!B:L,11,FALSE),"")</f>
        <v/>
      </c>
      <c r="I1746" s="26" t="str">
        <f>IFERROR(VLOOKUP(G1746,WholesaleExtract!B:O,8,FALSE),"")</f>
        <v/>
      </c>
      <c r="J1746" s="26" t="str">
        <f>IFERROR(VLOOKUP(G1746,WholesaleExtract!B:O,14,FALSE),"")</f>
        <v/>
      </c>
      <c r="K1746" s="26" t="str">
        <f>IFERROR(VLOOKUP(G1746,WholesaleExtract!B:K,10,FALSE),"")</f>
        <v/>
      </c>
      <c r="L1746" s="47" t="str">
        <f>IFERROR(VLOOKUP(G1746,WholesaleExtract!B:L,11,FALSE),"")</f>
        <v/>
      </c>
      <c r="M1746" s="47" t="str">
        <f>IFERROR(VLOOKUP(G1746,WholesaleExtract!B:M,12,FALSE),"")</f>
        <v/>
      </c>
      <c r="R1746" s="19"/>
      <c r="S1746" s="19"/>
    </row>
    <row r="1747" spans="1:19" x14ac:dyDescent="0.35">
      <c r="A1747" s="26" t="s">
        <v>543</v>
      </c>
      <c r="B1747" s="26" t="s">
        <v>543</v>
      </c>
      <c r="C1747" s="26"/>
      <c r="D1747" s="26" t="s">
        <v>543</v>
      </c>
      <c r="E1747" s="26" t="str">
        <f>IFERROR(VLOOKUP(G1747,WholesaleExtract!B:J,9,FALSE),"")</f>
        <v/>
      </c>
      <c r="F1747" s="26" t="str">
        <f>IFERROR(VLOOKUP(G1747,WholesaleExtract!B:J,6,FALSE),"")</f>
        <v/>
      </c>
      <c r="H1747" s="47" t="str">
        <f>IFERROR(VLOOKUP(G1747,WholesaleExtract!B:L,11,FALSE),"")</f>
        <v/>
      </c>
      <c r="I1747" s="26" t="str">
        <f>IFERROR(VLOOKUP(G1747,WholesaleExtract!B:O,8,FALSE),"")</f>
        <v/>
      </c>
      <c r="J1747" s="26" t="str">
        <f>IFERROR(VLOOKUP(G1747,WholesaleExtract!B:O,14,FALSE),"")</f>
        <v/>
      </c>
      <c r="K1747" s="26" t="str">
        <f>IFERROR(VLOOKUP(G1747,WholesaleExtract!B:K,10,FALSE),"")</f>
        <v/>
      </c>
      <c r="L1747" s="47" t="str">
        <f>IFERROR(VLOOKUP(G1747,WholesaleExtract!B:L,11,FALSE),"")</f>
        <v/>
      </c>
      <c r="M1747" s="47" t="str">
        <f>IFERROR(VLOOKUP(G1747,WholesaleExtract!B:M,12,FALSE),"")</f>
        <v/>
      </c>
      <c r="R1747" s="19"/>
      <c r="S1747" s="19"/>
    </row>
    <row r="1748" spans="1:19" x14ac:dyDescent="0.35">
      <c r="A1748" s="26" t="s">
        <v>543</v>
      </c>
      <c r="B1748" s="26" t="s">
        <v>543</v>
      </c>
      <c r="C1748" s="26"/>
      <c r="D1748" s="26" t="s">
        <v>543</v>
      </c>
      <c r="E1748" s="26" t="str">
        <f>IFERROR(VLOOKUP(G1748,WholesaleExtract!B:J,9,FALSE),"")</f>
        <v/>
      </c>
      <c r="F1748" s="26" t="str">
        <f>IFERROR(VLOOKUP(G1748,WholesaleExtract!B:J,6,FALSE),"")</f>
        <v/>
      </c>
      <c r="H1748" s="47" t="str">
        <f>IFERROR(VLOOKUP(G1748,WholesaleExtract!B:L,11,FALSE),"")</f>
        <v/>
      </c>
      <c r="I1748" s="26" t="str">
        <f>IFERROR(VLOOKUP(G1748,WholesaleExtract!B:O,8,FALSE),"")</f>
        <v/>
      </c>
      <c r="J1748" s="26" t="str">
        <f>IFERROR(VLOOKUP(G1748,WholesaleExtract!B:O,14,FALSE),"")</f>
        <v/>
      </c>
      <c r="K1748" s="26" t="str">
        <f>IFERROR(VLOOKUP(G1748,WholesaleExtract!B:K,10,FALSE),"")</f>
        <v/>
      </c>
      <c r="L1748" s="47" t="str">
        <f>IFERROR(VLOOKUP(G1748,WholesaleExtract!B:L,11,FALSE),"")</f>
        <v/>
      </c>
      <c r="M1748" s="47" t="str">
        <f>IFERROR(VLOOKUP(G1748,WholesaleExtract!B:M,12,FALSE),"")</f>
        <v/>
      </c>
      <c r="R1748" s="19"/>
      <c r="S1748" s="19"/>
    </row>
    <row r="1749" spans="1:19" x14ac:dyDescent="0.35">
      <c r="A1749" s="26" t="s">
        <v>543</v>
      </c>
      <c r="B1749" s="26" t="s">
        <v>543</v>
      </c>
      <c r="C1749" s="26"/>
      <c r="D1749" s="26" t="s">
        <v>543</v>
      </c>
      <c r="E1749" s="26" t="str">
        <f>IFERROR(VLOOKUP(G1749,WholesaleExtract!B:J,9,FALSE),"")</f>
        <v/>
      </c>
      <c r="F1749" s="26" t="str">
        <f>IFERROR(VLOOKUP(G1749,WholesaleExtract!B:J,6,FALSE),"")</f>
        <v/>
      </c>
      <c r="H1749" s="47" t="str">
        <f>IFERROR(VLOOKUP(G1749,WholesaleExtract!B:L,11,FALSE),"")</f>
        <v/>
      </c>
      <c r="I1749" s="26" t="str">
        <f>IFERROR(VLOOKUP(G1749,WholesaleExtract!B:O,8,FALSE),"")</f>
        <v/>
      </c>
      <c r="J1749" s="26" t="str">
        <f>IFERROR(VLOOKUP(G1749,WholesaleExtract!B:O,14,FALSE),"")</f>
        <v/>
      </c>
      <c r="K1749" s="26" t="str">
        <f>IFERROR(VLOOKUP(G1749,WholesaleExtract!B:K,10,FALSE),"")</f>
        <v/>
      </c>
      <c r="L1749" s="47" t="str">
        <f>IFERROR(VLOOKUP(G1749,WholesaleExtract!B:L,11,FALSE),"")</f>
        <v/>
      </c>
      <c r="M1749" s="47" t="str">
        <f>IFERROR(VLOOKUP(G1749,WholesaleExtract!B:M,12,FALSE),"")</f>
        <v/>
      </c>
      <c r="R1749" s="19"/>
      <c r="S1749" s="19"/>
    </row>
    <row r="1750" spans="1:19" x14ac:dyDescent="0.35">
      <c r="A1750" s="26" t="s">
        <v>543</v>
      </c>
      <c r="B1750" s="26" t="s">
        <v>543</v>
      </c>
      <c r="C1750" s="26"/>
      <c r="D1750" s="26" t="s">
        <v>543</v>
      </c>
      <c r="E1750" s="26" t="str">
        <f>IFERROR(VLOOKUP(G1750,WholesaleExtract!B:J,9,FALSE),"")</f>
        <v/>
      </c>
      <c r="F1750" s="26" t="str">
        <f>IFERROR(VLOOKUP(G1750,WholesaleExtract!B:J,6,FALSE),"")</f>
        <v/>
      </c>
      <c r="H1750" s="47" t="str">
        <f>IFERROR(VLOOKUP(G1750,WholesaleExtract!B:L,11,FALSE),"")</f>
        <v/>
      </c>
      <c r="I1750" s="26" t="str">
        <f>IFERROR(VLOOKUP(G1750,WholesaleExtract!B:O,8,FALSE),"")</f>
        <v/>
      </c>
      <c r="J1750" s="26" t="str">
        <f>IFERROR(VLOOKUP(G1750,WholesaleExtract!B:O,14,FALSE),"")</f>
        <v/>
      </c>
      <c r="K1750" s="26" t="str">
        <f>IFERROR(VLOOKUP(G1750,WholesaleExtract!B:K,10,FALSE),"")</f>
        <v/>
      </c>
      <c r="L1750" s="47" t="str">
        <f>IFERROR(VLOOKUP(G1750,WholesaleExtract!B:L,11,FALSE),"")</f>
        <v/>
      </c>
      <c r="M1750" s="47" t="str">
        <f>IFERROR(VLOOKUP(G1750,WholesaleExtract!B:M,12,FALSE),"")</f>
        <v/>
      </c>
      <c r="R1750" s="19"/>
      <c r="S1750" s="19"/>
    </row>
    <row r="1751" spans="1:19" x14ac:dyDescent="0.35">
      <c r="A1751" s="26" t="s">
        <v>543</v>
      </c>
      <c r="B1751" s="26" t="s">
        <v>543</v>
      </c>
      <c r="C1751" s="26"/>
      <c r="D1751" s="26" t="s">
        <v>543</v>
      </c>
      <c r="E1751" s="26" t="str">
        <f>IFERROR(VLOOKUP(G1751,WholesaleExtract!B:J,9,FALSE),"")</f>
        <v/>
      </c>
      <c r="F1751" s="26" t="str">
        <f>IFERROR(VLOOKUP(G1751,WholesaleExtract!B:J,6,FALSE),"")</f>
        <v/>
      </c>
      <c r="H1751" s="47" t="str">
        <f>IFERROR(VLOOKUP(G1751,WholesaleExtract!B:L,11,FALSE),"")</f>
        <v/>
      </c>
      <c r="I1751" s="26" t="str">
        <f>IFERROR(VLOOKUP(G1751,WholesaleExtract!B:O,8,FALSE),"")</f>
        <v/>
      </c>
      <c r="J1751" s="26" t="str">
        <f>IFERROR(VLOOKUP(G1751,WholesaleExtract!B:O,14,FALSE),"")</f>
        <v/>
      </c>
      <c r="K1751" s="26" t="str">
        <f>IFERROR(VLOOKUP(G1751,WholesaleExtract!B:K,10,FALSE),"")</f>
        <v/>
      </c>
      <c r="L1751" s="47" t="str">
        <f>IFERROR(VLOOKUP(G1751,WholesaleExtract!B:L,11,FALSE),"")</f>
        <v/>
      </c>
      <c r="M1751" s="47" t="str">
        <f>IFERROR(VLOOKUP(G1751,WholesaleExtract!B:M,12,FALSE),"")</f>
        <v/>
      </c>
      <c r="R1751" s="19"/>
      <c r="S1751" s="19"/>
    </row>
    <row r="1752" spans="1:19" x14ac:dyDescent="0.35">
      <c r="A1752" s="26" t="s">
        <v>543</v>
      </c>
      <c r="B1752" s="26" t="s">
        <v>543</v>
      </c>
      <c r="C1752" s="26"/>
      <c r="D1752" s="26" t="s">
        <v>543</v>
      </c>
      <c r="E1752" s="26" t="str">
        <f>IFERROR(VLOOKUP(G1752,WholesaleExtract!B:J,9,FALSE),"")</f>
        <v/>
      </c>
      <c r="F1752" s="26" t="str">
        <f>IFERROR(VLOOKUP(G1752,WholesaleExtract!B:J,6,FALSE),"")</f>
        <v/>
      </c>
      <c r="H1752" s="47" t="str">
        <f>IFERROR(VLOOKUP(G1752,WholesaleExtract!B:L,11,FALSE),"")</f>
        <v/>
      </c>
      <c r="I1752" s="26" t="str">
        <f>IFERROR(VLOOKUP(G1752,WholesaleExtract!B:O,8,FALSE),"")</f>
        <v/>
      </c>
      <c r="J1752" s="26" t="str">
        <f>IFERROR(VLOOKUP(G1752,WholesaleExtract!B:O,14,FALSE),"")</f>
        <v/>
      </c>
      <c r="K1752" s="26" t="str">
        <f>IFERROR(VLOOKUP(G1752,WholesaleExtract!B:K,10,FALSE),"")</f>
        <v/>
      </c>
      <c r="L1752" s="47" t="str">
        <f>IFERROR(VLOOKUP(G1752,WholesaleExtract!B:L,11,FALSE),"")</f>
        <v/>
      </c>
      <c r="M1752" s="47" t="str">
        <f>IFERROR(VLOOKUP(G1752,WholesaleExtract!B:M,12,FALSE),"")</f>
        <v/>
      </c>
      <c r="R1752" s="19"/>
      <c r="S1752" s="19"/>
    </row>
    <row r="1753" spans="1:19" x14ac:dyDescent="0.35">
      <c r="A1753" s="26" t="s">
        <v>543</v>
      </c>
      <c r="B1753" s="26" t="s">
        <v>543</v>
      </c>
      <c r="C1753" s="26"/>
      <c r="D1753" s="26" t="s">
        <v>543</v>
      </c>
      <c r="E1753" s="26" t="str">
        <f>IFERROR(VLOOKUP(G1753,WholesaleExtract!B:J,9,FALSE),"")</f>
        <v/>
      </c>
      <c r="F1753" s="26" t="str">
        <f>IFERROR(VLOOKUP(G1753,WholesaleExtract!B:J,6,FALSE),"")</f>
        <v/>
      </c>
      <c r="H1753" s="47" t="str">
        <f>IFERROR(VLOOKUP(G1753,WholesaleExtract!B:L,11,FALSE),"")</f>
        <v/>
      </c>
      <c r="I1753" s="26" t="str">
        <f>IFERROR(VLOOKUP(G1753,WholesaleExtract!B:O,8,FALSE),"")</f>
        <v/>
      </c>
      <c r="J1753" s="26" t="str">
        <f>IFERROR(VLOOKUP(G1753,WholesaleExtract!B:O,14,FALSE),"")</f>
        <v/>
      </c>
      <c r="K1753" s="26" t="str">
        <f>IFERROR(VLOOKUP(G1753,WholesaleExtract!B:K,10,FALSE),"")</f>
        <v/>
      </c>
      <c r="L1753" s="47" t="str">
        <f>IFERROR(VLOOKUP(G1753,WholesaleExtract!B:L,11,FALSE),"")</f>
        <v/>
      </c>
      <c r="M1753" s="47" t="str">
        <f>IFERROR(VLOOKUP(G1753,WholesaleExtract!B:M,12,FALSE),"")</f>
        <v/>
      </c>
      <c r="R1753" s="19"/>
      <c r="S1753" s="19"/>
    </row>
    <row r="1754" spans="1:19" x14ac:dyDescent="0.35">
      <c r="A1754" s="26" t="s">
        <v>543</v>
      </c>
      <c r="B1754" s="26" t="s">
        <v>543</v>
      </c>
      <c r="C1754" s="26"/>
      <c r="D1754" s="26" t="s">
        <v>543</v>
      </c>
      <c r="E1754" s="26" t="str">
        <f>IFERROR(VLOOKUP(G1754,WholesaleExtract!B:J,9,FALSE),"")</f>
        <v/>
      </c>
      <c r="F1754" s="26" t="str">
        <f>IFERROR(VLOOKUP(G1754,WholesaleExtract!B:J,6,FALSE),"")</f>
        <v/>
      </c>
      <c r="H1754" s="47" t="str">
        <f>IFERROR(VLOOKUP(G1754,WholesaleExtract!B:L,11,FALSE),"")</f>
        <v/>
      </c>
      <c r="I1754" s="26" t="str">
        <f>IFERROR(VLOOKUP(G1754,WholesaleExtract!B:O,8,FALSE),"")</f>
        <v/>
      </c>
      <c r="J1754" s="26" t="str">
        <f>IFERROR(VLOOKUP(G1754,WholesaleExtract!B:O,14,FALSE),"")</f>
        <v/>
      </c>
      <c r="K1754" s="26" t="str">
        <f>IFERROR(VLOOKUP(G1754,WholesaleExtract!B:K,10,FALSE),"")</f>
        <v/>
      </c>
      <c r="L1754" s="47" t="str">
        <f>IFERROR(VLOOKUP(G1754,WholesaleExtract!B:L,11,FALSE),"")</f>
        <v/>
      </c>
      <c r="M1754" s="47" t="str">
        <f>IFERROR(VLOOKUP(G1754,WholesaleExtract!B:M,12,FALSE),"")</f>
        <v/>
      </c>
      <c r="R1754" s="19"/>
      <c r="S1754" s="19"/>
    </row>
    <row r="1755" spans="1:19" x14ac:dyDescent="0.35">
      <c r="A1755" s="26" t="s">
        <v>543</v>
      </c>
      <c r="B1755" s="26" t="s">
        <v>543</v>
      </c>
      <c r="C1755" s="26"/>
      <c r="D1755" s="26" t="s">
        <v>543</v>
      </c>
      <c r="E1755" s="26" t="str">
        <f>IFERROR(VLOOKUP(G1755,WholesaleExtract!B:J,9,FALSE),"")</f>
        <v/>
      </c>
      <c r="F1755" s="26" t="str">
        <f>IFERROR(VLOOKUP(G1755,WholesaleExtract!B:J,6,FALSE),"")</f>
        <v/>
      </c>
      <c r="H1755" s="47" t="str">
        <f>IFERROR(VLOOKUP(G1755,WholesaleExtract!B:L,11,FALSE),"")</f>
        <v/>
      </c>
      <c r="I1755" s="26" t="str">
        <f>IFERROR(VLOOKUP(G1755,WholesaleExtract!B:O,8,FALSE),"")</f>
        <v/>
      </c>
      <c r="J1755" s="26" t="str">
        <f>IFERROR(VLOOKUP(G1755,WholesaleExtract!B:O,14,FALSE),"")</f>
        <v/>
      </c>
      <c r="K1755" s="26" t="str">
        <f>IFERROR(VLOOKUP(G1755,WholesaleExtract!B:K,10,FALSE),"")</f>
        <v/>
      </c>
      <c r="L1755" s="47" t="str">
        <f>IFERROR(VLOOKUP(G1755,WholesaleExtract!B:L,11,FALSE),"")</f>
        <v/>
      </c>
      <c r="M1755" s="47" t="str">
        <f>IFERROR(VLOOKUP(G1755,WholesaleExtract!B:M,12,FALSE),"")</f>
        <v/>
      </c>
      <c r="R1755" s="19"/>
      <c r="S1755" s="19"/>
    </row>
    <row r="1756" spans="1:19" x14ac:dyDescent="0.35">
      <c r="A1756" s="26" t="s">
        <v>543</v>
      </c>
      <c r="B1756" s="26" t="s">
        <v>543</v>
      </c>
      <c r="C1756" s="26"/>
      <c r="D1756" s="26" t="s">
        <v>543</v>
      </c>
      <c r="E1756" s="26" t="str">
        <f>IFERROR(VLOOKUP(G1756,WholesaleExtract!B:J,9,FALSE),"")</f>
        <v/>
      </c>
      <c r="F1756" s="26" t="str">
        <f>IFERROR(VLOOKUP(G1756,WholesaleExtract!B:J,6,FALSE),"")</f>
        <v/>
      </c>
      <c r="H1756" s="47" t="str">
        <f>IFERROR(VLOOKUP(G1756,WholesaleExtract!B:L,11,FALSE),"")</f>
        <v/>
      </c>
      <c r="I1756" s="26" t="str">
        <f>IFERROR(VLOOKUP(G1756,WholesaleExtract!B:O,8,FALSE),"")</f>
        <v/>
      </c>
      <c r="J1756" s="26" t="str">
        <f>IFERROR(VLOOKUP(G1756,WholesaleExtract!B:O,14,FALSE),"")</f>
        <v/>
      </c>
      <c r="K1756" s="26" t="str">
        <f>IFERROR(VLOOKUP(G1756,WholesaleExtract!B:K,10,FALSE),"")</f>
        <v/>
      </c>
      <c r="L1756" s="47" t="str">
        <f>IFERROR(VLOOKUP(G1756,WholesaleExtract!B:L,11,FALSE),"")</f>
        <v/>
      </c>
      <c r="M1756" s="47" t="str">
        <f>IFERROR(VLOOKUP(G1756,WholesaleExtract!B:M,12,FALSE),"")</f>
        <v/>
      </c>
      <c r="R1756" s="19"/>
      <c r="S1756" s="19"/>
    </row>
    <row r="1757" spans="1:19" x14ac:dyDescent="0.35">
      <c r="A1757" s="26" t="s">
        <v>543</v>
      </c>
      <c r="B1757" s="26" t="s">
        <v>543</v>
      </c>
      <c r="C1757" s="26"/>
      <c r="D1757" s="26" t="s">
        <v>543</v>
      </c>
      <c r="E1757" s="26" t="str">
        <f>IFERROR(VLOOKUP(G1757,WholesaleExtract!B:J,9,FALSE),"")</f>
        <v/>
      </c>
      <c r="F1757" s="26" t="str">
        <f>IFERROR(VLOOKUP(G1757,WholesaleExtract!B:J,6,FALSE),"")</f>
        <v/>
      </c>
      <c r="H1757" s="47" t="str">
        <f>IFERROR(VLOOKUP(G1757,WholesaleExtract!B:L,11,FALSE),"")</f>
        <v/>
      </c>
      <c r="I1757" s="26" t="str">
        <f>IFERROR(VLOOKUP(G1757,WholesaleExtract!B:O,8,FALSE),"")</f>
        <v/>
      </c>
      <c r="J1757" s="26" t="str">
        <f>IFERROR(VLOOKUP(G1757,WholesaleExtract!B:O,14,FALSE),"")</f>
        <v/>
      </c>
      <c r="K1757" s="26" t="str">
        <f>IFERROR(VLOOKUP(G1757,WholesaleExtract!B:K,10,FALSE),"")</f>
        <v/>
      </c>
      <c r="L1757" s="47" t="str">
        <f>IFERROR(VLOOKUP(G1757,WholesaleExtract!B:L,11,FALSE),"")</f>
        <v/>
      </c>
      <c r="M1757" s="47" t="str">
        <f>IFERROR(VLOOKUP(G1757,WholesaleExtract!B:M,12,FALSE),"")</f>
        <v/>
      </c>
      <c r="R1757" s="19"/>
      <c r="S1757" s="19"/>
    </row>
    <row r="1758" spans="1:19" x14ac:dyDescent="0.35">
      <c r="A1758" s="26" t="s">
        <v>543</v>
      </c>
      <c r="B1758" s="26" t="s">
        <v>543</v>
      </c>
      <c r="C1758" s="26"/>
      <c r="D1758" s="26" t="s">
        <v>543</v>
      </c>
      <c r="E1758" s="26" t="str">
        <f>IFERROR(VLOOKUP(G1758,WholesaleExtract!B:J,9,FALSE),"")</f>
        <v/>
      </c>
      <c r="F1758" s="26" t="str">
        <f>IFERROR(VLOOKUP(G1758,WholesaleExtract!B:J,6,FALSE),"")</f>
        <v/>
      </c>
      <c r="H1758" s="47" t="str">
        <f>IFERROR(VLOOKUP(G1758,WholesaleExtract!B:L,11,FALSE),"")</f>
        <v/>
      </c>
      <c r="I1758" s="26" t="str">
        <f>IFERROR(VLOOKUP(G1758,WholesaleExtract!B:O,8,FALSE),"")</f>
        <v/>
      </c>
      <c r="J1758" s="26" t="str">
        <f>IFERROR(VLOOKUP(G1758,WholesaleExtract!B:O,14,FALSE),"")</f>
        <v/>
      </c>
      <c r="K1758" s="26" t="str">
        <f>IFERROR(VLOOKUP(G1758,WholesaleExtract!B:K,10,FALSE),"")</f>
        <v/>
      </c>
      <c r="L1758" s="47" t="str">
        <f>IFERROR(VLOOKUP(G1758,WholesaleExtract!B:L,11,FALSE),"")</f>
        <v/>
      </c>
      <c r="M1758" s="47" t="str">
        <f>IFERROR(VLOOKUP(G1758,WholesaleExtract!B:M,12,FALSE),"")</f>
        <v/>
      </c>
      <c r="R1758" s="19"/>
      <c r="S1758" s="19"/>
    </row>
    <row r="1759" spans="1:19" x14ac:dyDescent="0.35">
      <c r="A1759" s="26" t="s">
        <v>543</v>
      </c>
      <c r="B1759" s="26" t="s">
        <v>543</v>
      </c>
      <c r="C1759" s="26"/>
      <c r="D1759" s="26" t="s">
        <v>543</v>
      </c>
      <c r="E1759" s="26" t="str">
        <f>IFERROR(VLOOKUP(G1759,WholesaleExtract!B:J,9,FALSE),"")</f>
        <v/>
      </c>
      <c r="F1759" s="26" t="str">
        <f>IFERROR(VLOOKUP(G1759,WholesaleExtract!B:J,6,FALSE),"")</f>
        <v/>
      </c>
      <c r="H1759" s="47" t="str">
        <f>IFERROR(VLOOKUP(G1759,WholesaleExtract!B:L,11,FALSE),"")</f>
        <v/>
      </c>
      <c r="I1759" s="26" t="str">
        <f>IFERROR(VLOOKUP(G1759,WholesaleExtract!B:O,8,FALSE),"")</f>
        <v/>
      </c>
      <c r="J1759" s="26" t="str">
        <f>IFERROR(VLOOKUP(G1759,WholesaleExtract!B:O,14,FALSE),"")</f>
        <v/>
      </c>
      <c r="K1759" s="26" t="str">
        <f>IFERROR(VLOOKUP(G1759,WholesaleExtract!B:K,10,FALSE),"")</f>
        <v/>
      </c>
      <c r="L1759" s="47" t="str">
        <f>IFERROR(VLOOKUP(G1759,WholesaleExtract!B:L,11,FALSE),"")</f>
        <v/>
      </c>
      <c r="M1759" s="47" t="str">
        <f>IFERROR(VLOOKUP(G1759,WholesaleExtract!B:M,12,FALSE),"")</f>
        <v/>
      </c>
      <c r="R1759" s="19"/>
      <c r="S1759" s="19"/>
    </row>
    <row r="1760" spans="1:19" x14ac:dyDescent="0.35">
      <c r="A1760" s="26" t="s">
        <v>543</v>
      </c>
      <c r="B1760" s="26" t="s">
        <v>543</v>
      </c>
      <c r="C1760" s="26"/>
      <c r="D1760" s="26" t="s">
        <v>543</v>
      </c>
      <c r="E1760" s="26" t="str">
        <f>IFERROR(VLOOKUP(G1760,WholesaleExtract!B:J,9,FALSE),"")</f>
        <v/>
      </c>
      <c r="F1760" s="26" t="str">
        <f>IFERROR(VLOOKUP(G1760,WholesaleExtract!B:J,6,FALSE),"")</f>
        <v/>
      </c>
      <c r="H1760" s="47" t="str">
        <f>IFERROR(VLOOKUP(G1760,WholesaleExtract!B:L,11,FALSE),"")</f>
        <v/>
      </c>
      <c r="I1760" s="26" t="str">
        <f>IFERROR(VLOOKUP(G1760,WholesaleExtract!B:O,8,FALSE),"")</f>
        <v/>
      </c>
      <c r="J1760" s="26" t="str">
        <f>IFERROR(VLOOKUP(G1760,WholesaleExtract!B:O,14,FALSE),"")</f>
        <v/>
      </c>
      <c r="K1760" s="26" t="str">
        <f>IFERROR(VLOOKUP(G1760,WholesaleExtract!B:K,10,FALSE),"")</f>
        <v/>
      </c>
      <c r="L1760" s="47" t="str">
        <f>IFERROR(VLOOKUP(G1760,WholesaleExtract!B:L,11,FALSE),"")</f>
        <v/>
      </c>
      <c r="M1760" s="47" t="str">
        <f>IFERROR(VLOOKUP(G1760,WholesaleExtract!B:M,12,FALSE),"")</f>
        <v/>
      </c>
      <c r="R1760" s="19"/>
      <c r="S1760" s="19"/>
    </row>
    <row r="1761" spans="1:19" x14ac:dyDescent="0.35">
      <c r="A1761" s="26" t="s">
        <v>543</v>
      </c>
      <c r="B1761" s="26" t="s">
        <v>543</v>
      </c>
      <c r="C1761" s="26"/>
      <c r="D1761" s="26" t="s">
        <v>543</v>
      </c>
      <c r="E1761" s="26" t="str">
        <f>IFERROR(VLOOKUP(G1761,WholesaleExtract!B:J,9,FALSE),"")</f>
        <v/>
      </c>
      <c r="F1761" s="26" t="str">
        <f>IFERROR(VLOOKUP(G1761,WholesaleExtract!B:J,6,FALSE),"")</f>
        <v/>
      </c>
      <c r="H1761" s="47" t="str">
        <f>IFERROR(VLOOKUP(G1761,WholesaleExtract!B:L,11,FALSE),"")</f>
        <v/>
      </c>
      <c r="I1761" s="26" t="str">
        <f>IFERROR(VLOOKUP(G1761,WholesaleExtract!B:O,8,FALSE),"")</f>
        <v/>
      </c>
      <c r="J1761" s="26" t="str">
        <f>IFERROR(VLOOKUP(G1761,WholesaleExtract!B:O,14,FALSE),"")</f>
        <v/>
      </c>
      <c r="K1761" s="26" t="str">
        <f>IFERROR(VLOOKUP(G1761,WholesaleExtract!B:K,10,FALSE),"")</f>
        <v/>
      </c>
      <c r="L1761" s="47" t="str">
        <f>IFERROR(VLOOKUP(G1761,WholesaleExtract!B:L,11,FALSE),"")</f>
        <v/>
      </c>
      <c r="M1761" s="47" t="str">
        <f>IFERROR(VLOOKUP(G1761,WholesaleExtract!B:M,12,FALSE),"")</f>
        <v/>
      </c>
      <c r="R1761" s="19"/>
      <c r="S1761" s="19"/>
    </row>
    <row r="1762" spans="1:19" x14ac:dyDescent="0.35">
      <c r="A1762" s="26" t="s">
        <v>543</v>
      </c>
      <c r="B1762" s="26" t="s">
        <v>543</v>
      </c>
      <c r="C1762" s="26"/>
      <c r="D1762" s="26" t="s">
        <v>543</v>
      </c>
      <c r="E1762" s="26" t="str">
        <f>IFERROR(VLOOKUP(G1762,WholesaleExtract!B:J,9,FALSE),"")</f>
        <v/>
      </c>
      <c r="F1762" s="26" t="str">
        <f>IFERROR(VLOOKUP(G1762,WholesaleExtract!B:J,6,FALSE),"")</f>
        <v/>
      </c>
      <c r="H1762" s="47" t="str">
        <f>IFERROR(VLOOKUP(G1762,WholesaleExtract!B:L,11,FALSE),"")</f>
        <v/>
      </c>
      <c r="I1762" s="26" t="str">
        <f>IFERROR(VLOOKUP(G1762,WholesaleExtract!B:O,8,FALSE),"")</f>
        <v/>
      </c>
      <c r="J1762" s="26" t="str">
        <f>IFERROR(VLOOKUP(G1762,WholesaleExtract!B:O,14,FALSE),"")</f>
        <v/>
      </c>
      <c r="K1762" s="26" t="str">
        <f>IFERROR(VLOOKUP(G1762,WholesaleExtract!B:K,10,FALSE),"")</f>
        <v/>
      </c>
      <c r="L1762" s="47" t="str">
        <f>IFERROR(VLOOKUP(G1762,WholesaleExtract!B:L,11,FALSE),"")</f>
        <v/>
      </c>
      <c r="M1762" s="47" t="str">
        <f>IFERROR(VLOOKUP(G1762,WholesaleExtract!B:M,12,FALSE),"")</f>
        <v/>
      </c>
      <c r="R1762" s="19"/>
      <c r="S1762" s="19"/>
    </row>
    <row r="1763" spans="1:19" x14ac:dyDescent="0.35">
      <c r="A1763" s="26" t="s">
        <v>543</v>
      </c>
      <c r="B1763" s="26" t="s">
        <v>543</v>
      </c>
      <c r="C1763" s="26"/>
      <c r="D1763" s="26" t="s">
        <v>543</v>
      </c>
      <c r="E1763" s="26" t="str">
        <f>IFERROR(VLOOKUP(G1763,WholesaleExtract!B:J,9,FALSE),"")</f>
        <v/>
      </c>
      <c r="F1763" s="26" t="str">
        <f>IFERROR(VLOOKUP(G1763,WholesaleExtract!B:J,6,FALSE),"")</f>
        <v/>
      </c>
      <c r="H1763" s="47" t="str">
        <f>IFERROR(VLOOKUP(G1763,WholesaleExtract!B:L,11,FALSE),"")</f>
        <v/>
      </c>
      <c r="I1763" s="26" t="str">
        <f>IFERROR(VLOOKUP(G1763,WholesaleExtract!B:O,8,FALSE),"")</f>
        <v/>
      </c>
      <c r="J1763" s="26" t="str">
        <f>IFERROR(VLOOKUP(G1763,WholesaleExtract!B:O,14,FALSE),"")</f>
        <v/>
      </c>
      <c r="K1763" s="26" t="str">
        <f>IFERROR(VLOOKUP(G1763,WholesaleExtract!B:K,10,FALSE),"")</f>
        <v/>
      </c>
      <c r="L1763" s="47" t="str">
        <f>IFERROR(VLOOKUP(G1763,WholesaleExtract!B:L,11,FALSE),"")</f>
        <v/>
      </c>
      <c r="M1763" s="47" t="str">
        <f>IFERROR(VLOOKUP(G1763,WholesaleExtract!B:M,12,FALSE),"")</f>
        <v/>
      </c>
      <c r="R1763" s="19"/>
      <c r="S1763" s="19"/>
    </row>
    <row r="1764" spans="1:19" x14ac:dyDescent="0.35">
      <c r="A1764" s="26" t="s">
        <v>543</v>
      </c>
      <c r="B1764" s="26" t="s">
        <v>543</v>
      </c>
      <c r="C1764" s="26"/>
      <c r="D1764" s="26" t="s">
        <v>543</v>
      </c>
      <c r="E1764" s="26" t="str">
        <f>IFERROR(VLOOKUP(G1764,WholesaleExtract!B:J,9,FALSE),"")</f>
        <v/>
      </c>
      <c r="F1764" s="26" t="str">
        <f>IFERROR(VLOOKUP(G1764,WholesaleExtract!B:J,6,FALSE),"")</f>
        <v/>
      </c>
      <c r="H1764" s="47" t="str">
        <f>IFERROR(VLOOKUP(G1764,WholesaleExtract!B:L,11,FALSE),"")</f>
        <v/>
      </c>
      <c r="I1764" s="26" t="str">
        <f>IFERROR(VLOOKUP(G1764,WholesaleExtract!B:O,8,FALSE),"")</f>
        <v/>
      </c>
      <c r="J1764" s="26" t="str">
        <f>IFERROR(VLOOKUP(G1764,WholesaleExtract!B:O,14,FALSE),"")</f>
        <v/>
      </c>
      <c r="K1764" s="26" t="str">
        <f>IFERROR(VLOOKUP(G1764,WholesaleExtract!B:K,10,FALSE),"")</f>
        <v/>
      </c>
      <c r="L1764" s="47" t="str">
        <f>IFERROR(VLOOKUP(G1764,WholesaleExtract!B:L,11,FALSE),"")</f>
        <v/>
      </c>
      <c r="M1764" s="47" t="str">
        <f>IFERROR(VLOOKUP(G1764,WholesaleExtract!B:M,12,FALSE),"")</f>
        <v/>
      </c>
      <c r="R1764" s="19"/>
      <c r="S1764" s="19"/>
    </row>
    <row r="1765" spans="1:19" x14ac:dyDescent="0.35">
      <c r="A1765" s="26" t="s">
        <v>543</v>
      </c>
      <c r="B1765" s="26" t="s">
        <v>543</v>
      </c>
      <c r="C1765" s="26"/>
      <c r="D1765" s="26" t="s">
        <v>543</v>
      </c>
      <c r="E1765" s="26" t="str">
        <f>IFERROR(VLOOKUP(G1765,WholesaleExtract!B:J,9,FALSE),"")</f>
        <v/>
      </c>
      <c r="F1765" s="26" t="str">
        <f>IFERROR(VLOOKUP(G1765,WholesaleExtract!B:J,6,FALSE),"")</f>
        <v/>
      </c>
      <c r="H1765" s="47" t="str">
        <f>IFERROR(VLOOKUP(G1765,WholesaleExtract!B:L,11,FALSE),"")</f>
        <v/>
      </c>
      <c r="I1765" s="26" t="str">
        <f>IFERROR(VLOOKUP(G1765,WholesaleExtract!B:O,8,FALSE),"")</f>
        <v/>
      </c>
      <c r="J1765" s="26" t="str">
        <f>IFERROR(VLOOKUP(G1765,WholesaleExtract!B:O,14,FALSE),"")</f>
        <v/>
      </c>
      <c r="K1765" s="26" t="str">
        <f>IFERROR(VLOOKUP(G1765,WholesaleExtract!B:K,10,FALSE),"")</f>
        <v/>
      </c>
      <c r="L1765" s="47" t="str">
        <f>IFERROR(VLOOKUP(G1765,WholesaleExtract!B:L,11,FALSE),"")</f>
        <v/>
      </c>
      <c r="M1765" s="47" t="str">
        <f>IFERROR(VLOOKUP(G1765,WholesaleExtract!B:M,12,FALSE),"")</f>
        <v/>
      </c>
      <c r="R1765" s="19"/>
      <c r="S1765" s="19"/>
    </row>
    <row r="1766" spans="1:19" x14ac:dyDescent="0.35">
      <c r="A1766" s="26" t="s">
        <v>543</v>
      </c>
      <c r="B1766" s="26" t="s">
        <v>543</v>
      </c>
      <c r="C1766" s="26"/>
      <c r="D1766" s="26" t="s">
        <v>543</v>
      </c>
      <c r="E1766" s="26" t="str">
        <f>IFERROR(VLOOKUP(G1766,WholesaleExtract!B:J,9,FALSE),"")</f>
        <v/>
      </c>
      <c r="F1766" s="26" t="str">
        <f>IFERROR(VLOOKUP(G1766,WholesaleExtract!B:J,6,FALSE),"")</f>
        <v/>
      </c>
      <c r="H1766" s="47" t="str">
        <f>IFERROR(VLOOKUP(G1766,WholesaleExtract!B:L,11,FALSE),"")</f>
        <v/>
      </c>
      <c r="I1766" s="26" t="str">
        <f>IFERROR(VLOOKUP(G1766,WholesaleExtract!B:O,8,FALSE),"")</f>
        <v/>
      </c>
      <c r="J1766" s="26" t="str">
        <f>IFERROR(VLOOKUP(G1766,WholesaleExtract!B:O,14,FALSE),"")</f>
        <v/>
      </c>
      <c r="K1766" s="26" t="str">
        <f>IFERROR(VLOOKUP(G1766,WholesaleExtract!B:K,10,FALSE),"")</f>
        <v/>
      </c>
      <c r="L1766" s="47" t="str">
        <f>IFERROR(VLOOKUP(G1766,WholesaleExtract!B:L,11,FALSE),"")</f>
        <v/>
      </c>
      <c r="M1766" s="47" t="str">
        <f>IFERROR(VLOOKUP(G1766,WholesaleExtract!B:M,12,FALSE),"")</f>
        <v/>
      </c>
      <c r="R1766" s="19"/>
      <c r="S1766" s="19"/>
    </row>
    <row r="1767" spans="1:19" x14ac:dyDescent="0.35">
      <c r="A1767" s="26" t="s">
        <v>543</v>
      </c>
      <c r="B1767" s="26" t="s">
        <v>543</v>
      </c>
      <c r="C1767" s="26"/>
      <c r="D1767" s="26" t="s">
        <v>543</v>
      </c>
      <c r="E1767" s="26" t="str">
        <f>IFERROR(VLOOKUP(G1767,WholesaleExtract!B:J,9,FALSE),"")</f>
        <v/>
      </c>
      <c r="F1767" s="26" t="str">
        <f>IFERROR(VLOOKUP(G1767,WholesaleExtract!B:J,6,FALSE),"")</f>
        <v/>
      </c>
      <c r="H1767" s="47" t="str">
        <f>IFERROR(VLOOKUP(G1767,WholesaleExtract!B:L,11,FALSE),"")</f>
        <v/>
      </c>
      <c r="I1767" s="26" t="str">
        <f>IFERROR(VLOOKUP(G1767,WholesaleExtract!B:O,8,FALSE),"")</f>
        <v/>
      </c>
      <c r="J1767" s="26" t="str">
        <f>IFERROR(VLOOKUP(G1767,WholesaleExtract!B:O,14,FALSE),"")</f>
        <v/>
      </c>
      <c r="K1767" s="26" t="str">
        <f>IFERROR(VLOOKUP(G1767,WholesaleExtract!B:K,10,FALSE),"")</f>
        <v/>
      </c>
      <c r="L1767" s="47" t="str">
        <f>IFERROR(VLOOKUP(G1767,WholesaleExtract!B:L,11,FALSE),"")</f>
        <v/>
      </c>
      <c r="M1767" s="47" t="str">
        <f>IFERROR(VLOOKUP(G1767,WholesaleExtract!B:M,12,FALSE),"")</f>
        <v/>
      </c>
      <c r="R1767" s="19"/>
      <c r="S1767" s="19"/>
    </row>
    <row r="1768" spans="1:19" x14ac:dyDescent="0.35">
      <c r="A1768" s="26" t="s">
        <v>543</v>
      </c>
      <c r="B1768" s="26" t="s">
        <v>543</v>
      </c>
      <c r="C1768" s="26"/>
      <c r="D1768" s="26" t="s">
        <v>543</v>
      </c>
      <c r="E1768" s="26" t="str">
        <f>IFERROR(VLOOKUP(G1768,WholesaleExtract!B:J,9,FALSE),"")</f>
        <v/>
      </c>
      <c r="F1768" s="26" t="str">
        <f>IFERROR(VLOOKUP(G1768,WholesaleExtract!B:J,6,FALSE),"")</f>
        <v/>
      </c>
      <c r="H1768" s="47" t="str">
        <f>IFERROR(VLOOKUP(G1768,WholesaleExtract!B:L,11,FALSE),"")</f>
        <v/>
      </c>
      <c r="I1768" s="26" t="str">
        <f>IFERROR(VLOOKUP(G1768,WholesaleExtract!B:O,8,FALSE),"")</f>
        <v/>
      </c>
      <c r="J1768" s="26" t="str">
        <f>IFERROR(VLOOKUP(G1768,WholesaleExtract!B:O,14,FALSE),"")</f>
        <v/>
      </c>
      <c r="K1768" s="26" t="str">
        <f>IFERROR(VLOOKUP(G1768,WholesaleExtract!B:K,10,FALSE),"")</f>
        <v/>
      </c>
      <c r="L1768" s="47" t="str">
        <f>IFERROR(VLOOKUP(G1768,WholesaleExtract!B:L,11,FALSE),"")</f>
        <v/>
      </c>
      <c r="M1768" s="47" t="str">
        <f>IFERROR(VLOOKUP(G1768,WholesaleExtract!B:M,12,FALSE),"")</f>
        <v/>
      </c>
      <c r="R1768" s="19"/>
      <c r="S1768" s="19"/>
    </row>
    <row r="1769" spans="1:19" x14ac:dyDescent="0.35">
      <c r="A1769" s="26" t="s">
        <v>543</v>
      </c>
      <c r="B1769" s="26" t="s">
        <v>543</v>
      </c>
      <c r="C1769" s="26"/>
      <c r="D1769" s="26" t="s">
        <v>543</v>
      </c>
      <c r="E1769" s="26" t="str">
        <f>IFERROR(VLOOKUP(G1769,WholesaleExtract!B:J,9,FALSE),"")</f>
        <v/>
      </c>
      <c r="F1769" s="26" t="str">
        <f>IFERROR(VLOOKUP(G1769,WholesaleExtract!B:J,6,FALSE),"")</f>
        <v/>
      </c>
      <c r="H1769" s="47" t="str">
        <f>IFERROR(VLOOKUP(G1769,WholesaleExtract!B:L,11,FALSE),"")</f>
        <v/>
      </c>
      <c r="I1769" s="26" t="str">
        <f>IFERROR(VLOOKUP(G1769,WholesaleExtract!B:O,8,FALSE),"")</f>
        <v/>
      </c>
      <c r="J1769" s="26" t="str">
        <f>IFERROR(VLOOKUP(G1769,WholesaleExtract!B:O,14,FALSE),"")</f>
        <v/>
      </c>
      <c r="K1769" s="26" t="str">
        <f>IFERROR(VLOOKUP(G1769,WholesaleExtract!B:K,10,FALSE),"")</f>
        <v/>
      </c>
      <c r="L1769" s="47" t="str">
        <f>IFERROR(VLOOKUP(G1769,WholesaleExtract!B:L,11,FALSE),"")</f>
        <v/>
      </c>
      <c r="M1769" s="47" t="str">
        <f>IFERROR(VLOOKUP(G1769,WholesaleExtract!B:M,12,FALSE),"")</f>
        <v/>
      </c>
      <c r="R1769" s="19"/>
      <c r="S1769" s="19"/>
    </row>
    <row r="1770" spans="1:19" x14ac:dyDescent="0.35">
      <c r="A1770" s="26" t="s">
        <v>543</v>
      </c>
      <c r="B1770" s="26" t="s">
        <v>543</v>
      </c>
      <c r="C1770" s="26"/>
      <c r="D1770" s="26" t="s">
        <v>543</v>
      </c>
      <c r="E1770" s="26" t="str">
        <f>IFERROR(VLOOKUP(G1770,WholesaleExtract!B:J,9,FALSE),"")</f>
        <v/>
      </c>
      <c r="F1770" s="26" t="str">
        <f>IFERROR(VLOOKUP(G1770,WholesaleExtract!B:J,6,FALSE),"")</f>
        <v/>
      </c>
      <c r="H1770" s="47" t="str">
        <f>IFERROR(VLOOKUP(G1770,WholesaleExtract!B:L,11,FALSE),"")</f>
        <v/>
      </c>
      <c r="I1770" s="26" t="str">
        <f>IFERROR(VLOOKUP(G1770,WholesaleExtract!B:O,8,FALSE),"")</f>
        <v/>
      </c>
      <c r="J1770" s="26" t="str">
        <f>IFERROR(VLOOKUP(G1770,WholesaleExtract!B:O,14,FALSE),"")</f>
        <v/>
      </c>
      <c r="K1770" s="26" t="str">
        <f>IFERROR(VLOOKUP(G1770,WholesaleExtract!B:K,10,FALSE),"")</f>
        <v/>
      </c>
      <c r="L1770" s="47" t="str">
        <f>IFERROR(VLOOKUP(G1770,WholesaleExtract!B:L,11,FALSE),"")</f>
        <v/>
      </c>
      <c r="M1770" s="47" t="str">
        <f>IFERROR(VLOOKUP(G1770,WholesaleExtract!B:M,12,FALSE),"")</f>
        <v/>
      </c>
      <c r="R1770" s="19"/>
      <c r="S1770" s="19"/>
    </row>
    <row r="1771" spans="1:19" x14ac:dyDescent="0.35">
      <c r="A1771" s="26" t="s">
        <v>543</v>
      </c>
      <c r="B1771" s="26" t="s">
        <v>543</v>
      </c>
      <c r="C1771" s="26"/>
      <c r="D1771" s="26" t="s">
        <v>543</v>
      </c>
      <c r="E1771" s="26" t="str">
        <f>IFERROR(VLOOKUP(G1771,WholesaleExtract!B:J,9,FALSE),"")</f>
        <v/>
      </c>
      <c r="F1771" s="26" t="str">
        <f>IFERROR(VLOOKUP(G1771,WholesaleExtract!B:J,6,FALSE),"")</f>
        <v/>
      </c>
      <c r="H1771" s="47" t="str">
        <f>IFERROR(VLOOKUP(G1771,WholesaleExtract!B:L,11,FALSE),"")</f>
        <v/>
      </c>
      <c r="I1771" s="26" t="str">
        <f>IFERROR(VLOOKUP(G1771,WholesaleExtract!B:O,8,FALSE),"")</f>
        <v/>
      </c>
      <c r="J1771" s="26" t="str">
        <f>IFERROR(VLOOKUP(G1771,WholesaleExtract!B:O,14,FALSE),"")</f>
        <v/>
      </c>
      <c r="K1771" s="26" t="str">
        <f>IFERROR(VLOOKUP(G1771,WholesaleExtract!B:K,10,FALSE),"")</f>
        <v/>
      </c>
      <c r="L1771" s="47" t="str">
        <f>IFERROR(VLOOKUP(G1771,WholesaleExtract!B:L,11,FALSE),"")</f>
        <v/>
      </c>
      <c r="M1771" s="47" t="str">
        <f>IFERROR(VLOOKUP(G1771,WholesaleExtract!B:M,12,FALSE),"")</f>
        <v/>
      </c>
      <c r="R1771" s="19"/>
      <c r="S1771" s="19"/>
    </row>
    <row r="1772" spans="1:19" x14ac:dyDescent="0.35">
      <c r="A1772" s="26" t="s">
        <v>543</v>
      </c>
      <c r="B1772" s="26" t="s">
        <v>543</v>
      </c>
      <c r="C1772" s="26"/>
      <c r="D1772" s="26" t="s">
        <v>543</v>
      </c>
      <c r="E1772" s="26" t="str">
        <f>IFERROR(VLOOKUP(G1772,WholesaleExtract!B:J,9,FALSE),"")</f>
        <v/>
      </c>
      <c r="F1772" s="26" t="str">
        <f>IFERROR(VLOOKUP(G1772,WholesaleExtract!B:J,6,FALSE),"")</f>
        <v/>
      </c>
      <c r="H1772" s="47" t="str">
        <f>IFERROR(VLOOKUP(G1772,WholesaleExtract!B:L,11,FALSE),"")</f>
        <v/>
      </c>
      <c r="I1772" s="26" t="str">
        <f>IFERROR(VLOOKUP(G1772,WholesaleExtract!B:O,8,FALSE),"")</f>
        <v/>
      </c>
      <c r="J1772" s="26" t="str">
        <f>IFERROR(VLOOKUP(G1772,WholesaleExtract!B:O,14,FALSE),"")</f>
        <v/>
      </c>
      <c r="K1772" s="26" t="str">
        <f>IFERROR(VLOOKUP(G1772,WholesaleExtract!B:K,10,FALSE),"")</f>
        <v/>
      </c>
      <c r="L1772" s="47" t="str">
        <f>IFERROR(VLOOKUP(G1772,WholesaleExtract!B:L,11,FALSE),"")</f>
        <v/>
      </c>
      <c r="M1772" s="47" t="str">
        <f>IFERROR(VLOOKUP(G1772,WholesaleExtract!B:M,12,FALSE),"")</f>
        <v/>
      </c>
      <c r="R1772" s="19"/>
      <c r="S1772" s="19"/>
    </row>
    <row r="1773" spans="1:19" x14ac:dyDescent="0.35">
      <c r="A1773" s="26" t="s">
        <v>543</v>
      </c>
      <c r="B1773" s="26" t="s">
        <v>543</v>
      </c>
      <c r="C1773" s="26"/>
      <c r="D1773" s="26" t="s">
        <v>543</v>
      </c>
      <c r="E1773" s="26" t="str">
        <f>IFERROR(VLOOKUP(G1773,WholesaleExtract!B:J,9,FALSE),"")</f>
        <v/>
      </c>
      <c r="F1773" s="26" t="str">
        <f>IFERROR(VLOOKUP(G1773,WholesaleExtract!B:J,6,FALSE),"")</f>
        <v/>
      </c>
      <c r="H1773" s="47" t="str">
        <f>IFERROR(VLOOKUP(G1773,WholesaleExtract!B:L,11,FALSE),"")</f>
        <v/>
      </c>
      <c r="I1773" s="26" t="str">
        <f>IFERROR(VLOOKUP(G1773,WholesaleExtract!B:O,8,FALSE),"")</f>
        <v/>
      </c>
      <c r="J1773" s="26" t="str">
        <f>IFERROR(VLOOKUP(G1773,WholesaleExtract!B:O,14,FALSE),"")</f>
        <v/>
      </c>
      <c r="K1773" s="26" t="str">
        <f>IFERROR(VLOOKUP(G1773,WholesaleExtract!B:K,10,FALSE),"")</f>
        <v/>
      </c>
      <c r="L1773" s="47" t="str">
        <f>IFERROR(VLOOKUP(G1773,WholesaleExtract!B:L,11,FALSE),"")</f>
        <v/>
      </c>
      <c r="M1773" s="47" t="str">
        <f>IFERROR(VLOOKUP(G1773,WholesaleExtract!B:M,12,FALSE),"")</f>
        <v/>
      </c>
      <c r="R1773" s="19"/>
      <c r="S1773" s="19"/>
    </row>
    <row r="1774" spans="1:19" x14ac:dyDescent="0.35">
      <c r="A1774" s="26" t="s">
        <v>543</v>
      </c>
      <c r="B1774" s="26" t="s">
        <v>543</v>
      </c>
      <c r="C1774" s="26"/>
      <c r="D1774" s="26" t="s">
        <v>543</v>
      </c>
      <c r="E1774" s="26" t="str">
        <f>IFERROR(VLOOKUP(G1774,WholesaleExtract!B:J,9,FALSE),"")</f>
        <v/>
      </c>
      <c r="F1774" s="26" t="str">
        <f>IFERROR(VLOOKUP(G1774,WholesaleExtract!B:J,6,FALSE),"")</f>
        <v/>
      </c>
      <c r="H1774" s="47" t="str">
        <f>IFERROR(VLOOKUP(G1774,WholesaleExtract!B:L,11,FALSE),"")</f>
        <v/>
      </c>
      <c r="I1774" s="26" t="str">
        <f>IFERROR(VLOOKUP(G1774,WholesaleExtract!B:O,8,FALSE),"")</f>
        <v/>
      </c>
      <c r="J1774" s="26" t="str">
        <f>IFERROR(VLOOKUP(G1774,WholesaleExtract!B:O,14,FALSE),"")</f>
        <v/>
      </c>
      <c r="K1774" s="26" t="str">
        <f>IFERROR(VLOOKUP(G1774,WholesaleExtract!B:K,10,FALSE),"")</f>
        <v/>
      </c>
      <c r="L1774" s="47" t="str">
        <f>IFERROR(VLOOKUP(G1774,WholesaleExtract!B:L,11,FALSE),"")</f>
        <v/>
      </c>
      <c r="M1774" s="47" t="str">
        <f>IFERROR(VLOOKUP(G1774,WholesaleExtract!B:M,12,FALSE),"")</f>
        <v/>
      </c>
      <c r="R1774" s="19"/>
      <c r="S1774" s="19"/>
    </row>
    <row r="1775" spans="1:19" x14ac:dyDescent="0.35">
      <c r="A1775" s="26" t="s">
        <v>543</v>
      </c>
      <c r="B1775" s="26" t="s">
        <v>543</v>
      </c>
      <c r="C1775" s="26"/>
      <c r="D1775" s="26" t="s">
        <v>543</v>
      </c>
      <c r="E1775" s="26" t="str">
        <f>IFERROR(VLOOKUP(G1775,WholesaleExtract!B:J,9,FALSE),"")</f>
        <v/>
      </c>
      <c r="F1775" s="26" t="str">
        <f>IFERROR(VLOOKUP(G1775,WholesaleExtract!B:J,6,FALSE),"")</f>
        <v/>
      </c>
      <c r="H1775" s="47" t="str">
        <f>IFERROR(VLOOKUP(G1775,WholesaleExtract!B:L,11,FALSE),"")</f>
        <v/>
      </c>
      <c r="I1775" s="26" t="str">
        <f>IFERROR(VLOOKUP(G1775,WholesaleExtract!B:O,8,FALSE),"")</f>
        <v/>
      </c>
      <c r="J1775" s="26" t="str">
        <f>IFERROR(VLOOKUP(G1775,WholesaleExtract!B:O,14,FALSE),"")</f>
        <v/>
      </c>
      <c r="K1775" s="26" t="str">
        <f>IFERROR(VLOOKUP(G1775,WholesaleExtract!B:K,10,FALSE),"")</f>
        <v/>
      </c>
      <c r="L1775" s="47" t="str">
        <f>IFERROR(VLOOKUP(G1775,WholesaleExtract!B:L,11,FALSE),"")</f>
        <v/>
      </c>
      <c r="M1775" s="47" t="str">
        <f>IFERROR(VLOOKUP(G1775,WholesaleExtract!B:M,12,FALSE),"")</f>
        <v/>
      </c>
      <c r="R1775" s="19"/>
      <c r="S1775" s="19"/>
    </row>
    <row r="1776" spans="1:19" x14ac:dyDescent="0.35">
      <c r="A1776" s="26" t="s">
        <v>543</v>
      </c>
      <c r="B1776" s="26" t="s">
        <v>543</v>
      </c>
      <c r="C1776" s="26"/>
      <c r="D1776" s="26" t="s">
        <v>543</v>
      </c>
      <c r="E1776" s="26" t="str">
        <f>IFERROR(VLOOKUP(G1776,WholesaleExtract!B:J,9,FALSE),"")</f>
        <v/>
      </c>
      <c r="F1776" s="26" t="str">
        <f>IFERROR(VLOOKUP(G1776,WholesaleExtract!B:J,6,FALSE),"")</f>
        <v/>
      </c>
      <c r="H1776" s="47" t="str">
        <f>IFERROR(VLOOKUP(G1776,WholesaleExtract!B:L,11,FALSE),"")</f>
        <v/>
      </c>
      <c r="I1776" s="26" t="str">
        <f>IFERROR(VLOOKUP(G1776,WholesaleExtract!B:O,8,FALSE),"")</f>
        <v/>
      </c>
      <c r="J1776" s="26" t="str">
        <f>IFERROR(VLOOKUP(G1776,WholesaleExtract!B:O,14,FALSE),"")</f>
        <v/>
      </c>
      <c r="K1776" s="26" t="str">
        <f>IFERROR(VLOOKUP(G1776,WholesaleExtract!B:K,10,FALSE),"")</f>
        <v/>
      </c>
      <c r="L1776" s="47" t="str">
        <f>IFERROR(VLOOKUP(G1776,WholesaleExtract!B:L,11,FALSE),"")</f>
        <v/>
      </c>
      <c r="M1776" s="47" t="str">
        <f>IFERROR(VLOOKUP(G1776,WholesaleExtract!B:M,12,FALSE),"")</f>
        <v/>
      </c>
      <c r="R1776" s="19"/>
      <c r="S1776" s="19"/>
    </row>
    <row r="1777" spans="1:19" x14ac:dyDescent="0.35">
      <c r="A1777" s="26" t="s">
        <v>543</v>
      </c>
      <c r="B1777" s="26" t="s">
        <v>543</v>
      </c>
      <c r="C1777" s="26"/>
      <c r="D1777" s="26" t="s">
        <v>543</v>
      </c>
      <c r="E1777" s="26" t="str">
        <f>IFERROR(VLOOKUP(G1777,WholesaleExtract!B:J,9,FALSE),"")</f>
        <v/>
      </c>
      <c r="F1777" s="26" t="str">
        <f>IFERROR(VLOOKUP(G1777,WholesaleExtract!B:J,6,FALSE),"")</f>
        <v/>
      </c>
      <c r="H1777" s="47" t="str">
        <f>IFERROR(VLOOKUP(G1777,WholesaleExtract!B:L,11,FALSE),"")</f>
        <v/>
      </c>
      <c r="I1777" s="26" t="str">
        <f>IFERROR(VLOOKUP(G1777,WholesaleExtract!B:O,8,FALSE),"")</f>
        <v/>
      </c>
      <c r="J1777" s="26" t="str">
        <f>IFERROR(VLOOKUP(G1777,WholesaleExtract!B:O,14,FALSE),"")</f>
        <v/>
      </c>
      <c r="K1777" s="26" t="str">
        <f>IFERROR(VLOOKUP(G1777,WholesaleExtract!B:K,10,FALSE),"")</f>
        <v/>
      </c>
      <c r="L1777" s="47" t="str">
        <f>IFERROR(VLOOKUP(G1777,WholesaleExtract!B:L,11,FALSE),"")</f>
        <v/>
      </c>
      <c r="M1777" s="47" t="str">
        <f>IFERROR(VLOOKUP(G1777,WholesaleExtract!B:M,12,FALSE),"")</f>
        <v/>
      </c>
      <c r="R1777" s="19"/>
      <c r="S1777" s="19"/>
    </row>
    <row r="1778" spans="1:19" x14ac:dyDescent="0.35">
      <c r="A1778" s="26" t="s">
        <v>543</v>
      </c>
      <c r="B1778" s="26" t="s">
        <v>543</v>
      </c>
      <c r="C1778" s="26"/>
      <c r="D1778" s="26" t="s">
        <v>543</v>
      </c>
      <c r="E1778" s="26" t="str">
        <f>IFERROR(VLOOKUP(G1778,WholesaleExtract!B:J,9,FALSE),"")</f>
        <v/>
      </c>
      <c r="F1778" s="26" t="str">
        <f>IFERROR(VLOOKUP(G1778,WholesaleExtract!B:J,6,FALSE),"")</f>
        <v/>
      </c>
      <c r="H1778" s="47" t="str">
        <f>IFERROR(VLOOKUP(G1778,WholesaleExtract!B:L,11,FALSE),"")</f>
        <v/>
      </c>
      <c r="I1778" s="26" t="str">
        <f>IFERROR(VLOOKUP(G1778,WholesaleExtract!B:O,8,FALSE),"")</f>
        <v/>
      </c>
      <c r="J1778" s="26" t="str">
        <f>IFERROR(VLOOKUP(G1778,WholesaleExtract!B:O,14,FALSE),"")</f>
        <v/>
      </c>
      <c r="K1778" s="26" t="str">
        <f>IFERROR(VLOOKUP(G1778,WholesaleExtract!B:K,10,FALSE),"")</f>
        <v/>
      </c>
      <c r="L1778" s="47" t="str">
        <f>IFERROR(VLOOKUP(G1778,WholesaleExtract!B:L,11,FALSE),"")</f>
        <v/>
      </c>
      <c r="M1778" s="47" t="str">
        <f>IFERROR(VLOOKUP(G1778,WholesaleExtract!B:M,12,FALSE),"")</f>
        <v/>
      </c>
      <c r="R1778" s="19"/>
      <c r="S1778" s="19"/>
    </row>
    <row r="1779" spans="1:19" x14ac:dyDescent="0.35">
      <c r="A1779" s="26" t="s">
        <v>543</v>
      </c>
      <c r="B1779" s="26" t="s">
        <v>543</v>
      </c>
      <c r="C1779" s="26"/>
      <c r="D1779" s="26" t="s">
        <v>543</v>
      </c>
      <c r="E1779" s="26" t="str">
        <f>IFERROR(VLOOKUP(G1779,WholesaleExtract!B:J,9,FALSE),"")</f>
        <v/>
      </c>
      <c r="F1779" s="26" t="str">
        <f>IFERROR(VLOOKUP(G1779,WholesaleExtract!B:J,6,FALSE),"")</f>
        <v/>
      </c>
      <c r="H1779" s="47" t="str">
        <f>IFERROR(VLOOKUP(G1779,WholesaleExtract!B:L,11,FALSE),"")</f>
        <v/>
      </c>
      <c r="I1779" s="26" t="str">
        <f>IFERROR(VLOOKUP(G1779,WholesaleExtract!B:O,8,FALSE),"")</f>
        <v/>
      </c>
      <c r="J1779" s="26" t="str">
        <f>IFERROR(VLOOKUP(G1779,WholesaleExtract!B:O,14,FALSE),"")</f>
        <v/>
      </c>
      <c r="K1779" s="26" t="str">
        <f>IFERROR(VLOOKUP(G1779,WholesaleExtract!B:K,10,FALSE),"")</f>
        <v/>
      </c>
      <c r="L1779" s="47" t="str">
        <f>IFERROR(VLOOKUP(G1779,WholesaleExtract!B:L,11,FALSE),"")</f>
        <v/>
      </c>
      <c r="M1779" s="47" t="str">
        <f>IFERROR(VLOOKUP(G1779,WholesaleExtract!B:M,12,FALSE),"")</f>
        <v/>
      </c>
      <c r="R1779" s="19"/>
      <c r="S1779" s="19"/>
    </row>
    <row r="1780" spans="1:19" x14ac:dyDescent="0.35">
      <c r="A1780" s="26" t="s">
        <v>543</v>
      </c>
      <c r="B1780" s="26" t="s">
        <v>543</v>
      </c>
      <c r="C1780" s="26"/>
      <c r="D1780" s="26" t="s">
        <v>543</v>
      </c>
      <c r="E1780" s="26" t="str">
        <f>IFERROR(VLOOKUP(G1780,WholesaleExtract!B:J,9,FALSE),"")</f>
        <v/>
      </c>
      <c r="F1780" s="26" t="str">
        <f>IFERROR(VLOOKUP(G1780,WholesaleExtract!B:J,6,FALSE),"")</f>
        <v/>
      </c>
      <c r="H1780" s="47" t="str">
        <f>IFERROR(VLOOKUP(G1780,WholesaleExtract!B:L,11,FALSE),"")</f>
        <v/>
      </c>
      <c r="I1780" s="26" t="str">
        <f>IFERROR(VLOOKUP(G1780,WholesaleExtract!B:O,8,FALSE),"")</f>
        <v/>
      </c>
      <c r="J1780" s="26" t="str">
        <f>IFERROR(VLOOKUP(G1780,WholesaleExtract!B:O,14,FALSE),"")</f>
        <v/>
      </c>
      <c r="K1780" s="26" t="str">
        <f>IFERROR(VLOOKUP(G1780,WholesaleExtract!B:K,10,FALSE),"")</f>
        <v/>
      </c>
      <c r="L1780" s="47" t="str">
        <f>IFERROR(VLOOKUP(G1780,WholesaleExtract!B:L,11,FALSE),"")</f>
        <v/>
      </c>
      <c r="M1780" s="47" t="str">
        <f>IFERROR(VLOOKUP(G1780,WholesaleExtract!B:M,12,FALSE),"")</f>
        <v/>
      </c>
      <c r="R1780" s="19"/>
      <c r="S1780" s="19"/>
    </row>
    <row r="1781" spans="1:19" x14ac:dyDescent="0.35">
      <c r="A1781" s="26" t="s">
        <v>543</v>
      </c>
      <c r="B1781" s="26" t="s">
        <v>543</v>
      </c>
      <c r="C1781" s="26"/>
      <c r="D1781" s="26" t="s">
        <v>543</v>
      </c>
      <c r="E1781" s="26" t="str">
        <f>IFERROR(VLOOKUP(G1781,WholesaleExtract!B:J,9,FALSE),"")</f>
        <v/>
      </c>
      <c r="F1781" s="26" t="str">
        <f>IFERROR(VLOOKUP(G1781,WholesaleExtract!B:J,6,FALSE),"")</f>
        <v/>
      </c>
      <c r="H1781" s="47" t="str">
        <f>IFERROR(VLOOKUP(G1781,WholesaleExtract!B:L,11,FALSE),"")</f>
        <v/>
      </c>
      <c r="I1781" s="26" t="str">
        <f>IFERROR(VLOOKUP(G1781,WholesaleExtract!B:O,8,FALSE),"")</f>
        <v/>
      </c>
      <c r="J1781" s="26" t="str">
        <f>IFERROR(VLOOKUP(G1781,WholesaleExtract!B:O,14,FALSE),"")</f>
        <v/>
      </c>
      <c r="K1781" s="26" t="str">
        <f>IFERROR(VLOOKUP(G1781,WholesaleExtract!B:K,10,FALSE),"")</f>
        <v/>
      </c>
      <c r="L1781" s="47" t="str">
        <f>IFERROR(VLOOKUP(G1781,WholesaleExtract!B:L,11,FALSE),"")</f>
        <v/>
      </c>
      <c r="M1781" s="47" t="str">
        <f>IFERROR(VLOOKUP(G1781,WholesaleExtract!B:M,12,FALSE),"")</f>
        <v/>
      </c>
      <c r="R1781" s="19"/>
      <c r="S1781" s="19"/>
    </row>
    <row r="1782" spans="1:19" x14ac:dyDescent="0.35">
      <c r="A1782" s="26" t="s">
        <v>543</v>
      </c>
      <c r="B1782" s="26" t="s">
        <v>543</v>
      </c>
      <c r="C1782" s="26"/>
      <c r="D1782" s="26" t="s">
        <v>543</v>
      </c>
      <c r="E1782" s="26" t="str">
        <f>IFERROR(VLOOKUP(G1782,WholesaleExtract!B:J,9,FALSE),"")</f>
        <v/>
      </c>
      <c r="F1782" s="26" t="str">
        <f>IFERROR(VLOOKUP(G1782,WholesaleExtract!B:J,6,FALSE),"")</f>
        <v/>
      </c>
      <c r="H1782" s="47" t="str">
        <f>IFERROR(VLOOKUP(G1782,WholesaleExtract!B:L,11,FALSE),"")</f>
        <v/>
      </c>
      <c r="I1782" s="26" t="str">
        <f>IFERROR(VLOOKUP(G1782,WholesaleExtract!B:O,8,FALSE),"")</f>
        <v/>
      </c>
      <c r="J1782" s="26" t="str">
        <f>IFERROR(VLOOKUP(G1782,WholesaleExtract!B:O,14,FALSE),"")</f>
        <v/>
      </c>
      <c r="K1782" s="26" t="str">
        <f>IFERROR(VLOOKUP(G1782,WholesaleExtract!B:K,10,FALSE),"")</f>
        <v/>
      </c>
      <c r="L1782" s="47" t="str">
        <f>IFERROR(VLOOKUP(G1782,WholesaleExtract!B:L,11,FALSE),"")</f>
        <v/>
      </c>
      <c r="M1782" s="47" t="str">
        <f>IFERROR(VLOOKUP(G1782,WholesaleExtract!B:M,12,FALSE),"")</f>
        <v/>
      </c>
      <c r="R1782" s="19"/>
      <c r="S1782" s="19"/>
    </row>
    <row r="1783" spans="1:19" x14ac:dyDescent="0.35">
      <c r="A1783" s="26" t="s">
        <v>543</v>
      </c>
      <c r="B1783" s="26" t="s">
        <v>543</v>
      </c>
      <c r="C1783" s="26"/>
      <c r="D1783" s="26" t="s">
        <v>543</v>
      </c>
      <c r="E1783" s="26" t="str">
        <f>IFERROR(VLOOKUP(G1783,WholesaleExtract!B:J,9,FALSE),"")</f>
        <v/>
      </c>
      <c r="F1783" s="26" t="str">
        <f>IFERROR(VLOOKUP(G1783,WholesaleExtract!B:J,6,FALSE),"")</f>
        <v/>
      </c>
      <c r="H1783" s="47" t="str">
        <f>IFERROR(VLOOKUP(G1783,WholesaleExtract!B:L,11,FALSE),"")</f>
        <v/>
      </c>
      <c r="I1783" s="26" t="str">
        <f>IFERROR(VLOOKUP(G1783,WholesaleExtract!B:O,8,FALSE),"")</f>
        <v/>
      </c>
      <c r="J1783" s="26" t="str">
        <f>IFERROR(VLOOKUP(G1783,WholesaleExtract!B:O,14,FALSE),"")</f>
        <v/>
      </c>
      <c r="K1783" s="26" t="str">
        <f>IFERROR(VLOOKUP(G1783,WholesaleExtract!B:K,10,FALSE),"")</f>
        <v/>
      </c>
      <c r="L1783" s="47" t="str">
        <f>IFERROR(VLOOKUP(G1783,WholesaleExtract!B:L,11,FALSE),"")</f>
        <v/>
      </c>
      <c r="M1783" s="47" t="str">
        <f>IFERROR(VLOOKUP(G1783,WholesaleExtract!B:M,12,FALSE),"")</f>
        <v/>
      </c>
      <c r="R1783" s="19"/>
      <c r="S1783" s="19"/>
    </row>
    <row r="1784" spans="1:19" x14ac:dyDescent="0.35">
      <c r="A1784" s="26" t="s">
        <v>543</v>
      </c>
      <c r="B1784" s="26" t="s">
        <v>543</v>
      </c>
      <c r="C1784" s="26"/>
      <c r="D1784" s="26" t="s">
        <v>543</v>
      </c>
      <c r="E1784" s="26" t="str">
        <f>IFERROR(VLOOKUP(G1784,WholesaleExtract!B:J,9,FALSE),"")</f>
        <v/>
      </c>
      <c r="F1784" s="26" t="str">
        <f>IFERROR(VLOOKUP(G1784,WholesaleExtract!B:J,6,FALSE),"")</f>
        <v/>
      </c>
      <c r="H1784" s="47" t="str">
        <f>IFERROR(VLOOKUP(G1784,WholesaleExtract!B:L,11,FALSE),"")</f>
        <v/>
      </c>
      <c r="I1784" s="26" t="str">
        <f>IFERROR(VLOOKUP(G1784,WholesaleExtract!B:O,8,FALSE),"")</f>
        <v/>
      </c>
      <c r="J1784" s="26" t="str">
        <f>IFERROR(VLOOKUP(G1784,WholesaleExtract!B:O,14,FALSE),"")</f>
        <v/>
      </c>
      <c r="K1784" s="26" t="str">
        <f>IFERROR(VLOOKUP(G1784,WholesaleExtract!B:K,10,FALSE),"")</f>
        <v/>
      </c>
      <c r="L1784" s="47" t="str">
        <f>IFERROR(VLOOKUP(G1784,WholesaleExtract!B:L,11,FALSE),"")</f>
        <v/>
      </c>
      <c r="M1784" s="47" t="str">
        <f>IFERROR(VLOOKUP(G1784,WholesaleExtract!B:M,12,FALSE),"")</f>
        <v/>
      </c>
      <c r="R1784" s="19"/>
      <c r="S1784" s="19"/>
    </row>
    <row r="1785" spans="1:19" x14ac:dyDescent="0.35">
      <c r="A1785" s="26" t="s">
        <v>543</v>
      </c>
      <c r="B1785" s="26" t="s">
        <v>543</v>
      </c>
      <c r="C1785" s="26"/>
      <c r="D1785" s="26" t="s">
        <v>543</v>
      </c>
      <c r="E1785" s="26" t="str">
        <f>IFERROR(VLOOKUP(G1785,WholesaleExtract!B:J,9,FALSE),"")</f>
        <v/>
      </c>
      <c r="F1785" s="26" t="str">
        <f>IFERROR(VLOOKUP(G1785,WholesaleExtract!B:J,6,FALSE),"")</f>
        <v/>
      </c>
      <c r="H1785" s="47" t="str">
        <f>IFERROR(VLOOKUP(G1785,WholesaleExtract!B:L,11,FALSE),"")</f>
        <v/>
      </c>
      <c r="I1785" s="26" t="str">
        <f>IFERROR(VLOOKUP(G1785,WholesaleExtract!B:O,8,FALSE),"")</f>
        <v/>
      </c>
      <c r="J1785" s="26" t="str">
        <f>IFERROR(VLOOKUP(G1785,WholesaleExtract!B:O,14,FALSE),"")</f>
        <v/>
      </c>
      <c r="K1785" s="26" t="str">
        <f>IFERROR(VLOOKUP(G1785,WholesaleExtract!B:K,10,FALSE),"")</f>
        <v/>
      </c>
      <c r="L1785" s="47" t="str">
        <f>IFERROR(VLOOKUP(G1785,WholesaleExtract!B:L,11,FALSE),"")</f>
        <v/>
      </c>
      <c r="M1785" s="47" t="str">
        <f>IFERROR(VLOOKUP(G1785,WholesaleExtract!B:M,12,FALSE),"")</f>
        <v/>
      </c>
      <c r="R1785" s="19"/>
      <c r="S1785" s="19"/>
    </row>
    <row r="1786" spans="1:19" x14ac:dyDescent="0.35">
      <c r="A1786" s="26" t="s">
        <v>543</v>
      </c>
      <c r="B1786" s="26" t="s">
        <v>543</v>
      </c>
      <c r="C1786" s="26"/>
      <c r="D1786" s="26" t="s">
        <v>543</v>
      </c>
      <c r="E1786" s="26" t="str">
        <f>IFERROR(VLOOKUP(G1786,WholesaleExtract!B:J,9,FALSE),"")</f>
        <v/>
      </c>
      <c r="F1786" s="26" t="str">
        <f>IFERROR(VLOOKUP(G1786,WholesaleExtract!B:J,6,FALSE),"")</f>
        <v/>
      </c>
      <c r="H1786" s="47" t="str">
        <f>IFERROR(VLOOKUP(G1786,WholesaleExtract!B:L,11,FALSE),"")</f>
        <v/>
      </c>
      <c r="I1786" s="26" t="str">
        <f>IFERROR(VLOOKUP(G1786,WholesaleExtract!B:O,8,FALSE),"")</f>
        <v/>
      </c>
      <c r="J1786" s="26" t="str">
        <f>IFERROR(VLOOKUP(G1786,WholesaleExtract!B:O,14,FALSE),"")</f>
        <v/>
      </c>
      <c r="K1786" s="26" t="str">
        <f>IFERROR(VLOOKUP(G1786,WholesaleExtract!B:K,10,FALSE),"")</f>
        <v/>
      </c>
      <c r="L1786" s="47" t="str">
        <f>IFERROR(VLOOKUP(G1786,WholesaleExtract!B:L,11,FALSE),"")</f>
        <v/>
      </c>
      <c r="M1786" s="47" t="str">
        <f>IFERROR(VLOOKUP(G1786,WholesaleExtract!B:M,12,FALSE),"")</f>
        <v/>
      </c>
      <c r="R1786" s="19"/>
      <c r="S1786" s="19"/>
    </row>
    <row r="1787" spans="1:19" x14ac:dyDescent="0.35">
      <c r="A1787" s="26" t="s">
        <v>543</v>
      </c>
      <c r="B1787" s="26" t="s">
        <v>543</v>
      </c>
      <c r="C1787" s="26"/>
      <c r="D1787" s="26" t="s">
        <v>543</v>
      </c>
      <c r="E1787" s="26" t="str">
        <f>IFERROR(VLOOKUP(G1787,WholesaleExtract!B:J,9,FALSE),"")</f>
        <v/>
      </c>
      <c r="F1787" s="26" t="str">
        <f>IFERROR(VLOOKUP(G1787,WholesaleExtract!B:J,6,FALSE),"")</f>
        <v/>
      </c>
      <c r="H1787" s="47" t="str">
        <f>IFERROR(VLOOKUP(G1787,WholesaleExtract!B:L,11,FALSE),"")</f>
        <v/>
      </c>
      <c r="I1787" s="26" t="str">
        <f>IFERROR(VLOOKUP(G1787,WholesaleExtract!B:O,8,FALSE),"")</f>
        <v/>
      </c>
      <c r="J1787" s="26" t="str">
        <f>IFERROR(VLOOKUP(G1787,WholesaleExtract!B:O,14,FALSE),"")</f>
        <v/>
      </c>
      <c r="K1787" s="26" t="str">
        <f>IFERROR(VLOOKUP(G1787,WholesaleExtract!B:K,10,FALSE),"")</f>
        <v/>
      </c>
      <c r="L1787" s="47" t="str">
        <f>IFERROR(VLOOKUP(G1787,WholesaleExtract!B:L,11,FALSE),"")</f>
        <v/>
      </c>
      <c r="M1787" s="47" t="str">
        <f>IFERROR(VLOOKUP(G1787,WholesaleExtract!B:M,12,FALSE),"")</f>
        <v/>
      </c>
      <c r="R1787" s="19"/>
      <c r="S1787" s="19"/>
    </row>
    <row r="1788" spans="1:19" x14ac:dyDescent="0.35">
      <c r="A1788" s="26" t="s">
        <v>543</v>
      </c>
      <c r="B1788" s="26" t="s">
        <v>543</v>
      </c>
      <c r="C1788" s="26"/>
      <c r="D1788" s="26" t="s">
        <v>543</v>
      </c>
      <c r="E1788" s="26" t="str">
        <f>IFERROR(VLOOKUP(G1788,WholesaleExtract!B:J,9,FALSE),"")</f>
        <v/>
      </c>
      <c r="F1788" s="26" t="str">
        <f>IFERROR(VLOOKUP(G1788,WholesaleExtract!B:J,6,FALSE),"")</f>
        <v/>
      </c>
      <c r="H1788" s="47" t="str">
        <f>IFERROR(VLOOKUP(G1788,WholesaleExtract!B:L,11,FALSE),"")</f>
        <v/>
      </c>
      <c r="I1788" s="26" t="str">
        <f>IFERROR(VLOOKUP(G1788,WholesaleExtract!B:O,8,FALSE),"")</f>
        <v/>
      </c>
      <c r="J1788" s="26" t="str">
        <f>IFERROR(VLOOKUP(G1788,WholesaleExtract!B:O,14,FALSE),"")</f>
        <v/>
      </c>
      <c r="K1788" s="26" t="str">
        <f>IFERROR(VLOOKUP(G1788,WholesaleExtract!B:K,10,FALSE),"")</f>
        <v/>
      </c>
      <c r="L1788" s="47" t="str">
        <f>IFERROR(VLOOKUP(G1788,WholesaleExtract!B:L,11,FALSE),"")</f>
        <v/>
      </c>
      <c r="M1788" s="47" t="str">
        <f>IFERROR(VLOOKUP(G1788,WholesaleExtract!B:M,12,FALSE),"")</f>
        <v/>
      </c>
      <c r="R1788" s="19"/>
      <c r="S1788" s="19"/>
    </row>
    <row r="1789" spans="1:19" x14ac:dyDescent="0.35">
      <c r="A1789" s="26" t="s">
        <v>543</v>
      </c>
      <c r="B1789" s="26" t="s">
        <v>543</v>
      </c>
      <c r="C1789" s="26"/>
      <c r="D1789" s="26" t="s">
        <v>543</v>
      </c>
      <c r="E1789" s="26" t="str">
        <f>IFERROR(VLOOKUP(G1789,WholesaleExtract!B:J,9,FALSE),"")</f>
        <v/>
      </c>
      <c r="F1789" s="26" t="str">
        <f>IFERROR(VLOOKUP(G1789,WholesaleExtract!B:J,6,FALSE),"")</f>
        <v/>
      </c>
      <c r="H1789" s="47" t="str">
        <f>IFERROR(VLOOKUP(G1789,WholesaleExtract!B:L,11,FALSE),"")</f>
        <v/>
      </c>
      <c r="I1789" s="26" t="str">
        <f>IFERROR(VLOOKUP(G1789,WholesaleExtract!B:O,8,FALSE),"")</f>
        <v/>
      </c>
      <c r="J1789" s="26" t="str">
        <f>IFERROR(VLOOKUP(G1789,WholesaleExtract!B:O,14,FALSE),"")</f>
        <v/>
      </c>
      <c r="K1789" s="26" t="str">
        <f>IFERROR(VLOOKUP(G1789,WholesaleExtract!B:K,10,FALSE),"")</f>
        <v/>
      </c>
      <c r="L1789" s="47" t="str">
        <f>IFERROR(VLOOKUP(G1789,WholesaleExtract!B:L,11,FALSE),"")</f>
        <v/>
      </c>
      <c r="M1789" s="47" t="str">
        <f>IFERROR(VLOOKUP(G1789,WholesaleExtract!B:M,12,FALSE),"")</f>
        <v/>
      </c>
      <c r="R1789" s="19"/>
      <c r="S1789" s="19"/>
    </row>
    <row r="1790" spans="1:19" x14ac:dyDescent="0.35">
      <c r="A1790" s="26" t="s">
        <v>543</v>
      </c>
      <c r="B1790" s="26" t="s">
        <v>543</v>
      </c>
      <c r="C1790" s="26"/>
      <c r="D1790" s="26" t="s">
        <v>543</v>
      </c>
      <c r="E1790" s="26" t="str">
        <f>IFERROR(VLOOKUP(G1790,WholesaleExtract!B:J,9,FALSE),"")</f>
        <v/>
      </c>
      <c r="F1790" s="26" t="str">
        <f>IFERROR(VLOOKUP(G1790,WholesaleExtract!B:J,6,FALSE),"")</f>
        <v/>
      </c>
      <c r="H1790" s="47" t="str">
        <f>IFERROR(VLOOKUP(G1790,WholesaleExtract!B:L,11,FALSE),"")</f>
        <v/>
      </c>
      <c r="I1790" s="26" t="str">
        <f>IFERROR(VLOOKUP(G1790,WholesaleExtract!B:O,8,FALSE),"")</f>
        <v/>
      </c>
      <c r="J1790" s="26" t="str">
        <f>IFERROR(VLOOKUP(G1790,WholesaleExtract!B:O,14,FALSE),"")</f>
        <v/>
      </c>
      <c r="K1790" s="26" t="str">
        <f>IFERROR(VLOOKUP(G1790,WholesaleExtract!B:K,10,FALSE),"")</f>
        <v/>
      </c>
      <c r="L1790" s="47" t="str">
        <f>IFERROR(VLOOKUP(G1790,WholesaleExtract!B:L,11,FALSE),"")</f>
        <v/>
      </c>
      <c r="M1790" s="47" t="str">
        <f>IFERROR(VLOOKUP(G1790,WholesaleExtract!B:M,12,FALSE),"")</f>
        <v/>
      </c>
      <c r="R1790" s="19"/>
      <c r="S1790" s="19"/>
    </row>
    <row r="1791" spans="1:19" x14ac:dyDescent="0.35">
      <c r="A1791" s="26" t="s">
        <v>543</v>
      </c>
      <c r="B1791" s="26" t="s">
        <v>543</v>
      </c>
      <c r="C1791" s="26"/>
      <c r="D1791" s="26" t="s">
        <v>543</v>
      </c>
      <c r="E1791" s="26" t="str">
        <f>IFERROR(VLOOKUP(G1791,WholesaleExtract!B:J,9,FALSE),"")</f>
        <v/>
      </c>
      <c r="F1791" s="26" t="str">
        <f>IFERROR(VLOOKUP(G1791,WholesaleExtract!B:J,6,FALSE),"")</f>
        <v/>
      </c>
      <c r="H1791" s="47" t="str">
        <f>IFERROR(VLOOKUP(G1791,WholesaleExtract!B:L,11,FALSE),"")</f>
        <v/>
      </c>
      <c r="I1791" s="26" t="str">
        <f>IFERROR(VLOOKUP(G1791,WholesaleExtract!B:O,8,FALSE),"")</f>
        <v/>
      </c>
      <c r="J1791" s="26" t="str">
        <f>IFERROR(VLOOKUP(G1791,WholesaleExtract!B:O,14,FALSE),"")</f>
        <v/>
      </c>
      <c r="K1791" s="26" t="str">
        <f>IFERROR(VLOOKUP(G1791,WholesaleExtract!B:K,10,FALSE),"")</f>
        <v/>
      </c>
      <c r="L1791" s="47" t="str">
        <f>IFERROR(VLOOKUP(G1791,WholesaleExtract!B:L,11,FALSE),"")</f>
        <v/>
      </c>
      <c r="M1791" s="47" t="str">
        <f>IFERROR(VLOOKUP(G1791,WholesaleExtract!B:M,12,FALSE),"")</f>
        <v/>
      </c>
      <c r="R1791" s="19"/>
      <c r="S1791" s="19"/>
    </row>
    <row r="1792" spans="1:19" x14ac:dyDescent="0.35">
      <c r="A1792" s="26" t="s">
        <v>543</v>
      </c>
      <c r="B1792" s="26" t="s">
        <v>543</v>
      </c>
      <c r="C1792" s="26"/>
      <c r="D1792" s="26" t="s">
        <v>543</v>
      </c>
      <c r="E1792" s="26" t="str">
        <f>IFERROR(VLOOKUP(G1792,WholesaleExtract!B:J,9,FALSE),"")</f>
        <v/>
      </c>
      <c r="F1792" s="26" t="str">
        <f>IFERROR(VLOOKUP(G1792,WholesaleExtract!B:J,6,FALSE),"")</f>
        <v/>
      </c>
      <c r="H1792" s="47" t="str">
        <f>IFERROR(VLOOKUP(G1792,WholesaleExtract!B:L,11,FALSE),"")</f>
        <v/>
      </c>
      <c r="I1792" s="26" t="str">
        <f>IFERROR(VLOOKUP(G1792,WholesaleExtract!B:O,8,FALSE),"")</f>
        <v/>
      </c>
      <c r="J1792" s="26" t="str">
        <f>IFERROR(VLOOKUP(G1792,WholesaleExtract!B:O,14,FALSE),"")</f>
        <v/>
      </c>
      <c r="K1792" s="26" t="str">
        <f>IFERROR(VLOOKUP(G1792,WholesaleExtract!B:K,10,FALSE),"")</f>
        <v/>
      </c>
      <c r="L1792" s="47" t="str">
        <f>IFERROR(VLOOKUP(G1792,WholesaleExtract!B:L,11,FALSE),"")</f>
        <v/>
      </c>
      <c r="M1792" s="47" t="str">
        <f>IFERROR(VLOOKUP(G1792,WholesaleExtract!B:M,12,FALSE),"")</f>
        <v/>
      </c>
      <c r="R1792" s="19"/>
      <c r="S1792" s="19"/>
    </row>
    <row r="1793" spans="1:19" x14ac:dyDescent="0.35">
      <c r="A1793" s="26" t="s">
        <v>543</v>
      </c>
      <c r="B1793" s="26" t="s">
        <v>543</v>
      </c>
      <c r="C1793" s="26"/>
      <c r="D1793" s="26" t="s">
        <v>543</v>
      </c>
      <c r="E1793" s="26" t="str">
        <f>IFERROR(VLOOKUP(G1793,WholesaleExtract!B:J,9,FALSE),"")</f>
        <v/>
      </c>
      <c r="F1793" s="26" t="str">
        <f>IFERROR(VLOOKUP(G1793,WholesaleExtract!B:J,6,FALSE),"")</f>
        <v/>
      </c>
      <c r="H1793" s="47" t="str">
        <f>IFERROR(VLOOKUP(G1793,WholesaleExtract!B:L,11,FALSE),"")</f>
        <v/>
      </c>
      <c r="I1793" s="26" t="str">
        <f>IFERROR(VLOOKUP(G1793,WholesaleExtract!B:O,8,FALSE),"")</f>
        <v/>
      </c>
      <c r="J1793" s="26" t="str">
        <f>IFERROR(VLOOKUP(G1793,WholesaleExtract!B:O,14,FALSE),"")</f>
        <v/>
      </c>
      <c r="K1793" s="26" t="str">
        <f>IFERROR(VLOOKUP(G1793,WholesaleExtract!B:K,10,FALSE),"")</f>
        <v/>
      </c>
      <c r="L1793" s="47" t="str">
        <f>IFERROR(VLOOKUP(G1793,WholesaleExtract!B:L,11,FALSE),"")</f>
        <v/>
      </c>
      <c r="M1793" s="47" t="str">
        <f>IFERROR(VLOOKUP(G1793,WholesaleExtract!B:M,12,FALSE),"")</f>
        <v/>
      </c>
      <c r="R1793" s="19"/>
      <c r="S1793" s="19"/>
    </row>
    <row r="1794" spans="1:19" x14ac:dyDescent="0.35">
      <c r="A1794" s="26" t="s">
        <v>543</v>
      </c>
      <c r="B1794" s="26" t="s">
        <v>543</v>
      </c>
      <c r="C1794" s="26"/>
      <c r="D1794" s="26" t="s">
        <v>543</v>
      </c>
      <c r="E1794" s="26" t="str">
        <f>IFERROR(VLOOKUP(G1794,WholesaleExtract!B:J,9,FALSE),"")</f>
        <v/>
      </c>
      <c r="F1794" s="26" t="str">
        <f>IFERROR(VLOOKUP(G1794,WholesaleExtract!B:J,6,FALSE),"")</f>
        <v/>
      </c>
      <c r="H1794" s="47" t="str">
        <f>IFERROR(VLOOKUP(G1794,WholesaleExtract!B:L,11,FALSE),"")</f>
        <v/>
      </c>
      <c r="I1794" s="26" t="str">
        <f>IFERROR(VLOOKUP(G1794,WholesaleExtract!B:O,8,FALSE),"")</f>
        <v/>
      </c>
      <c r="J1794" s="26" t="str">
        <f>IFERROR(VLOOKUP(G1794,WholesaleExtract!B:O,14,FALSE),"")</f>
        <v/>
      </c>
      <c r="K1794" s="26" t="str">
        <f>IFERROR(VLOOKUP(G1794,WholesaleExtract!B:K,10,FALSE),"")</f>
        <v/>
      </c>
      <c r="L1794" s="47" t="str">
        <f>IFERROR(VLOOKUP(G1794,WholesaleExtract!B:L,11,FALSE),"")</f>
        <v/>
      </c>
      <c r="M1794" s="47" t="str">
        <f>IFERROR(VLOOKUP(G1794,WholesaleExtract!B:M,12,FALSE),"")</f>
        <v/>
      </c>
      <c r="R1794" s="19"/>
      <c r="S1794" s="19"/>
    </row>
    <row r="1795" spans="1:19" x14ac:dyDescent="0.35">
      <c r="A1795" s="26" t="s">
        <v>543</v>
      </c>
      <c r="B1795" s="26" t="s">
        <v>543</v>
      </c>
      <c r="C1795" s="26"/>
      <c r="D1795" s="26" t="s">
        <v>543</v>
      </c>
      <c r="E1795" s="26" t="str">
        <f>IFERROR(VLOOKUP(G1795,WholesaleExtract!B:J,9,FALSE),"")</f>
        <v/>
      </c>
      <c r="F1795" s="26" t="str">
        <f>IFERROR(VLOOKUP(G1795,WholesaleExtract!B:J,6,FALSE),"")</f>
        <v/>
      </c>
      <c r="H1795" s="47" t="str">
        <f>IFERROR(VLOOKUP(G1795,WholesaleExtract!B:L,11,FALSE),"")</f>
        <v/>
      </c>
      <c r="I1795" s="26" t="str">
        <f>IFERROR(VLOOKUP(G1795,WholesaleExtract!B:O,8,FALSE),"")</f>
        <v/>
      </c>
      <c r="J1795" s="26" t="str">
        <f>IFERROR(VLOOKUP(G1795,WholesaleExtract!B:O,14,FALSE),"")</f>
        <v/>
      </c>
      <c r="K1795" s="26" t="str">
        <f>IFERROR(VLOOKUP(G1795,WholesaleExtract!B:K,10,FALSE),"")</f>
        <v/>
      </c>
      <c r="L1795" s="47" t="str">
        <f>IFERROR(VLOOKUP(G1795,WholesaleExtract!B:L,11,FALSE),"")</f>
        <v/>
      </c>
      <c r="M1795" s="47" t="str">
        <f>IFERROR(VLOOKUP(G1795,WholesaleExtract!B:M,12,FALSE),"")</f>
        <v/>
      </c>
      <c r="R1795" s="19"/>
      <c r="S1795" s="19"/>
    </row>
    <row r="1796" spans="1:19" x14ac:dyDescent="0.35">
      <c r="A1796" s="26" t="s">
        <v>543</v>
      </c>
      <c r="B1796" s="26" t="s">
        <v>543</v>
      </c>
      <c r="C1796" s="26"/>
      <c r="D1796" s="26" t="s">
        <v>543</v>
      </c>
      <c r="E1796" s="26" t="str">
        <f>IFERROR(VLOOKUP(G1796,WholesaleExtract!B:J,9,FALSE),"")</f>
        <v/>
      </c>
      <c r="F1796" s="26" t="str">
        <f>IFERROR(VLOOKUP(G1796,WholesaleExtract!B:J,6,FALSE),"")</f>
        <v/>
      </c>
      <c r="H1796" s="47" t="str">
        <f>IFERROR(VLOOKUP(G1796,WholesaleExtract!B:L,11,FALSE),"")</f>
        <v/>
      </c>
      <c r="I1796" s="26" t="str">
        <f>IFERROR(VLOOKUP(G1796,WholesaleExtract!B:O,8,FALSE),"")</f>
        <v/>
      </c>
      <c r="J1796" s="26" t="str">
        <f>IFERROR(VLOOKUP(G1796,WholesaleExtract!B:O,14,FALSE),"")</f>
        <v/>
      </c>
      <c r="K1796" s="26" t="str">
        <f>IFERROR(VLOOKUP(G1796,WholesaleExtract!B:K,10,FALSE),"")</f>
        <v/>
      </c>
      <c r="L1796" s="47" t="str">
        <f>IFERROR(VLOOKUP(G1796,WholesaleExtract!B:L,11,FALSE),"")</f>
        <v/>
      </c>
      <c r="M1796" s="47" t="str">
        <f>IFERROR(VLOOKUP(G1796,WholesaleExtract!B:M,12,FALSE),"")</f>
        <v/>
      </c>
      <c r="R1796" s="19"/>
      <c r="S1796" s="19"/>
    </row>
    <row r="1797" spans="1:19" x14ac:dyDescent="0.35">
      <c r="A1797" s="26" t="s">
        <v>543</v>
      </c>
      <c r="B1797" s="26" t="s">
        <v>543</v>
      </c>
      <c r="C1797" s="26"/>
      <c r="D1797" s="26" t="s">
        <v>543</v>
      </c>
      <c r="E1797" s="26" t="str">
        <f>IFERROR(VLOOKUP(G1797,WholesaleExtract!B:J,9,FALSE),"")</f>
        <v/>
      </c>
      <c r="F1797" s="26" t="str">
        <f>IFERROR(VLOOKUP(G1797,WholesaleExtract!B:J,6,FALSE),"")</f>
        <v/>
      </c>
      <c r="H1797" s="47" t="str">
        <f>IFERROR(VLOOKUP(G1797,WholesaleExtract!B:L,11,FALSE),"")</f>
        <v/>
      </c>
      <c r="I1797" s="26" t="str">
        <f>IFERROR(VLOOKUP(G1797,WholesaleExtract!B:O,8,FALSE),"")</f>
        <v/>
      </c>
      <c r="J1797" s="26" t="str">
        <f>IFERROR(VLOOKUP(G1797,WholesaleExtract!B:O,14,FALSE),"")</f>
        <v/>
      </c>
      <c r="K1797" s="26" t="str">
        <f>IFERROR(VLOOKUP(G1797,WholesaleExtract!B:K,10,FALSE),"")</f>
        <v/>
      </c>
      <c r="L1797" s="47" t="str">
        <f>IFERROR(VLOOKUP(G1797,WholesaleExtract!B:L,11,FALSE),"")</f>
        <v/>
      </c>
      <c r="M1797" s="47" t="str">
        <f>IFERROR(VLOOKUP(G1797,WholesaleExtract!B:M,12,FALSE),"")</f>
        <v/>
      </c>
      <c r="R1797" s="19"/>
      <c r="S1797" s="19"/>
    </row>
    <row r="1798" spans="1:19" x14ac:dyDescent="0.35">
      <c r="A1798" s="26" t="s">
        <v>543</v>
      </c>
      <c r="B1798" s="26" t="s">
        <v>543</v>
      </c>
      <c r="C1798" s="26"/>
      <c r="D1798" s="26" t="s">
        <v>543</v>
      </c>
      <c r="E1798" s="26" t="str">
        <f>IFERROR(VLOOKUP(G1798,WholesaleExtract!B:J,9,FALSE),"")</f>
        <v/>
      </c>
      <c r="F1798" s="26" t="str">
        <f>IFERROR(VLOOKUP(G1798,WholesaleExtract!B:J,6,FALSE),"")</f>
        <v/>
      </c>
      <c r="H1798" s="47" t="str">
        <f>IFERROR(VLOOKUP(G1798,WholesaleExtract!B:L,11,FALSE),"")</f>
        <v/>
      </c>
      <c r="I1798" s="26" t="str">
        <f>IFERROR(VLOOKUP(G1798,WholesaleExtract!B:O,8,FALSE),"")</f>
        <v/>
      </c>
      <c r="J1798" s="26" t="str">
        <f>IFERROR(VLOOKUP(G1798,WholesaleExtract!B:O,14,FALSE),"")</f>
        <v/>
      </c>
      <c r="K1798" s="26" t="str">
        <f>IFERROR(VLOOKUP(G1798,WholesaleExtract!B:K,10,FALSE),"")</f>
        <v/>
      </c>
      <c r="L1798" s="47" t="str">
        <f>IFERROR(VLOOKUP(G1798,WholesaleExtract!B:L,11,FALSE),"")</f>
        <v/>
      </c>
      <c r="M1798" s="47" t="str">
        <f>IFERROR(VLOOKUP(G1798,WholesaleExtract!B:M,12,FALSE),"")</f>
        <v/>
      </c>
      <c r="R1798" s="19"/>
      <c r="S1798" s="19"/>
    </row>
    <row r="1799" spans="1:19" x14ac:dyDescent="0.35">
      <c r="A1799" s="26" t="s">
        <v>543</v>
      </c>
      <c r="B1799" s="26" t="s">
        <v>543</v>
      </c>
      <c r="C1799" s="26"/>
      <c r="D1799" s="26" t="s">
        <v>543</v>
      </c>
      <c r="E1799" s="26" t="str">
        <f>IFERROR(VLOOKUP(G1799,WholesaleExtract!B:J,9,FALSE),"")</f>
        <v/>
      </c>
      <c r="F1799" s="26" t="str">
        <f>IFERROR(VLOOKUP(G1799,WholesaleExtract!B:J,6,FALSE),"")</f>
        <v/>
      </c>
      <c r="H1799" s="47" t="str">
        <f>IFERROR(VLOOKUP(G1799,WholesaleExtract!B:L,11,FALSE),"")</f>
        <v/>
      </c>
      <c r="I1799" s="26" t="str">
        <f>IFERROR(VLOOKUP(G1799,WholesaleExtract!B:O,8,FALSE),"")</f>
        <v/>
      </c>
      <c r="J1799" s="26" t="str">
        <f>IFERROR(VLOOKUP(G1799,WholesaleExtract!B:O,14,FALSE),"")</f>
        <v/>
      </c>
      <c r="K1799" s="26" t="str">
        <f>IFERROR(VLOOKUP(G1799,WholesaleExtract!B:K,10,FALSE),"")</f>
        <v/>
      </c>
      <c r="L1799" s="47" t="str">
        <f>IFERROR(VLOOKUP(G1799,WholesaleExtract!B:L,11,FALSE),"")</f>
        <v/>
      </c>
      <c r="M1799" s="47" t="str">
        <f>IFERROR(VLOOKUP(G1799,WholesaleExtract!B:M,12,FALSE),"")</f>
        <v/>
      </c>
      <c r="R1799" s="19"/>
      <c r="S1799" s="19"/>
    </row>
    <row r="1800" spans="1:19" x14ac:dyDescent="0.35">
      <c r="A1800" s="26" t="s">
        <v>543</v>
      </c>
      <c r="B1800" s="26" t="s">
        <v>543</v>
      </c>
      <c r="C1800" s="26"/>
      <c r="D1800" s="26" t="s">
        <v>543</v>
      </c>
      <c r="E1800" s="26" t="str">
        <f>IFERROR(VLOOKUP(G1800,WholesaleExtract!B:J,9,FALSE),"")</f>
        <v/>
      </c>
      <c r="F1800" s="26" t="str">
        <f>IFERROR(VLOOKUP(G1800,WholesaleExtract!B:J,6,FALSE),"")</f>
        <v/>
      </c>
      <c r="H1800" s="47" t="str">
        <f>IFERROR(VLOOKUP(G1800,WholesaleExtract!B:L,11,FALSE),"")</f>
        <v/>
      </c>
      <c r="I1800" s="26" t="str">
        <f>IFERROR(VLOOKUP(G1800,WholesaleExtract!B:O,8,FALSE),"")</f>
        <v/>
      </c>
      <c r="J1800" s="26" t="str">
        <f>IFERROR(VLOOKUP(G1800,WholesaleExtract!B:O,14,FALSE),"")</f>
        <v/>
      </c>
      <c r="K1800" s="26" t="str">
        <f>IFERROR(VLOOKUP(G1800,WholesaleExtract!B:K,10,FALSE),"")</f>
        <v/>
      </c>
      <c r="L1800" s="47" t="str">
        <f>IFERROR(VLOOKUP(G1800,WholesaleExtract!B:L,11,FALSE),"")</f>
        <v/>
      </c>
      <c r="M1800" s="47" t="str">
        <f>IFERROR(VLOOKUP(G1800,WholesaleExtract!B:M,12,FALSE),"")</f>
        <v/>
      </c>
      <c r="R1800" s="19"/>
      <c r="S1800" s="19"/>
    </row>
    <row r="1801" spans="1:19" x14ac:dyDescent="0.35">
      <c r="A1801" s="26" t="s">
        <v>543</v>
      </c>
      <c r="B1801" s="26" t="s">
        <v>543</v>
      </c>
      <c r="C1801" s="26"/>
      <c r="D1801" s="26" t="s">
        <v>543</v>
      </c>
      <c r="E1801" s="26" t="str">
        <f>IFERROR(VLOOKUP(G1801,WholesaleExtract!B:J,9,FALSE),"")</f>
        <v/>
      </c>
      <c r="F1801" s="26" t="str">
        <f>IFERROR(VLOOKUP(G1801,WholesaleExtract!B:J,6,FALSE),"")</f>
        <v/>
      </c>
      <c r="H1801" s="47" t="str">
        <f>IFERROR(VLOOKUP(G1801,WholesaleExtract!B:L,11,FALSE),"")</f>
        <v/>
      </c>
      <c r="I1801" s="26" t="str">
        <f>IFERROR(VLOOKUP(G1801,WholesaleExtract!B:O,8,FALSE),"")</f>
        <v/>
      </c>
      <c r="J1801" s="26" t="str">
        <f>IFERROR(VLOOKUP(G1801,WholesaleExtract!B:O,14,FALSE),"")</f>
        <v/>
      </c>
      <c r="K1801" s="26" t="str">
        <f>IFERROR(VLOOKUP(G1801,WholesaleExtract!B:K,10,FALSE),"")</f>
        <v/>
      </c>
      <c r="L1801" s="47" t="str">
        <f>IFERROR(VLOOKUP(G1801,WholesaleExtract!B:L,11,FALSE),"")</f>
        <v/>
      </c>
      <c r="M1801" s="47" t="str">
        <f>IFERROR(VLOOKUP(G1801,WholesaleExtract!B:M,12,FALSE),"")</f>
        <v/>
      </c>
      <c r="R1801" s="19"/>
      <c r="S1801" s="19"/>
    </row>
    <row r="1802" spans="1:19" x14ac:dyDescent="0.35">
      <c r="A1802" s="26" t="s">
        <v>543</v>
      </c>
      <c r="B1802" s="26" t="s">
        <v>543</v>
      </c>
      <c r="C1802" s="26"/>
      <c r="D1802" s="26" t="s">
        <v>543</v>
      </c>
      <c r="E1802" s="26" t="str">
        <f>IFERROR(VLOOKUP(G1802,WholesaleExtract!B:J,9,FALSE),"")</f>
        <v/>
      </c>
      <c r="F1802" s="26" t="str">
        <f>IFERROR(VLOOKUP(G1802,WholesaleExtract!B:J,6,FALSE),"")</f>
        <v/>
      </c>
      <c r="H1802" s="47" t="str">
        <f>IFERROR(VLOOKUP(G1802,WholesaleExtract!B:L,11,FALSE),"")</f>
        <v/>
      </c>
      <c r="I1802" s="26" t="str">
        <f>IFERROR(VLOOKUP(G1802,WholesaleExtract!B:O,8,FALSE),"")</f>
        <v/>
      </c>
      <c r="J1802" s="26" t="str">
        <f>IFERROR(VLOOKUP(G1802,WholesaleExtract!B:O,14,FALSE),"")</f>
        <v/>
      </c>
      <c r="K1802" s="26" t="str">
        <f>IFERROR(VLOOKUP(G1802,WholesaleExtract!B:K,10,FALSE),"")</f>
        <v/>
      </c>
      <c r="L1802" s="47" t="str">
        <f>IFERROR(VLOOKUP(G1802,WholesaleExtract!B:L,11,FALSE),"")</f>
        <v/>
      </c>
      <c r="M1802" s="47" t="str">
        <f>IFERROR(VLOOKUP(G1802,WholesaleExtract!B:M,12,FALSE),"")</f>
        <v/>
      </c>
      <c r="R1802" s="19"/>
      <c r="S1802" s="19"/>
    </row>
    <row r="1803" spans="1:19" x14ac:dyDescent="0.35">
      <c r="A1803" s="26" t="s">
        <v>543</v>
      </c>
      <c r="B1803" s="26" t="s">
        <v>543</v>
      </c>
      <c r="C1803" s="26"/>
      <c r="D1803" s="26" t="s">
        <v>543</v>
      </c>
      <c r="E1803" s="26" t="str">
        <f>IFERROR(VLOOKUP(G1803,WholesaleExtract!B:J,9,FALSE),"")</f>
        <v/>
      </c>
      <c r="F1803" s="26" t="str">
        <f>IFERROR(VLOOKUP(G1803,WholesaleExtract!B:J,6,FALSE),"")</f>
        <v/>
      </c>
      <c r="H1803" s="47" t="str">
        <f>IFERROR(VLOOKUP(G1803,WholesaleExtract!B:L,11,FALSE),"")</f>
        <v/>
      </c>
      <c r="I1803" s="26" t="str">
        <f>IFERROR(VLOOKUP(G1803,WholesaleExtract!B:O,8,FALSE),"")</f>
        <v/>
      </c>
      <c r="J1803" s="26" t="str">
        <f>IFERROR(VLOOKUP(G1803,WholesaleExtract!B:O,14,FALSE),"")</f>
        <v/>
      </c>
      <c r="K1803" s="26" t="str">
        <f>IFERROR(VLOOKUP(G1803,WholesaleExtract!B:K,10,FALSE),"")</f>
        <v/>
      </c>
      <c r="L1803" s="47" t="str">
        <f>IFERROR(VLOOKUP(G1803,WholesaleExtract!B:L,11,FALSE),"")</f>
        <v/>
      </c>
      <c r="M1803" s="47" t="str">
        <f>IFERROR(VLOOKUP(G1803,WholesaleExtract!B:M,12,FALSE),"")</f>
        <v/>
      </c>
      <c r="R1803" s="19"/>
      <c r="S1803" s="19"/>
    </row>
    <row r="1804" spans="1:19" x14ac:dyDescent="0.35">
      <c r="A1804" s="26" t="s">
        <v>543</v>
      </c>
      <c r="B1804" s="26" t="s">
        <v>543</v>
      </c>
      <c r="C1804" s="26"/>
      <c r="D1804" s="26" t="s">
        <v>543</v>
      </c>
      <c r="E1804" s="26" t="str">
        <f>IFERROR(VLOOKUP(G1804,WholesaleExtract!B:J,9,FALSE),"")</f>
        <v/>
      </c>
      <c r="F1804" s="26" t="str">
        <f>IFERROR(VLOOKUP(G1804,WholesaleExtract!B:J,6,FALSE),"")</f>
        <v/>
      </c>
      <c r="H1804" s="47" t="str">
        <f>IFERROR(VLOOKUP(G1804,WholesaleExtract!B:L,11,FALSE),"")</f>
        <v/>
      </c>
      <c r="I1804" s="26" t="str">
        <f>IFERROR(VLOOKUP(G1804,WholesaleExtract!B:O,8,FALSE),"")</f>
        <v/>
      </c>
      <c r="J1804" s="26" t="str">
        <f>IFERROR(VLOOKUP(G1804,WholesaleExtract!B:O,14,FALSE),"")</f>
        <v/>
      </c>
      <c r="K1804" s="26" t="str">
        <f>IFERROR(VLOOKUP(G1804,WholesaleExtract!B:K,10,FALSE),"")</f>
        <v/>
      </c>
      <c r="L1804" s="47" t="str">
        <f>IFERROR(VLOOKUP(G1804,WholesaleExtract!B:L,11,FALSE),"")</f>
        <v/>
      </c>
      <c r="M1804" s="47" t="str">
        <f>IFERROR(VLOOKUP(G1804,WholesaleExtract!B:M,12,FALSE),"")</f>
        <v/>
      </c>
      <c r="R1804" s="19"/>
      <c r="S1804" s="19"/>
    </row>
    <row r="1805" spans="1:19" x14ac:dyDescent="0.35">
      <c r="A1805" s="26" t="s">
        <v>543</v>
      </c>
      <c r="B1805" s="26" t="s">
        <v>543</v>
      </c>
      <c r="C1805" s="26"/>
      <c r="D1805" s="26" t="s">
        <v>543</v>
      </c>
      <c r="E1805" s="26" t="str">
        <f>IFERROR(VLOOKUP(G1805,WholesaleExtract!B:J,9,FALSE),"")</f>
        <v/>
      </c>
      <c r="F1805" s="26" t="str">
        <f>IFERROR(VLOOKUP(G1805,WholesaleExtract!B:J,6,FALSE),"")</f>
        <v/>
      </c>
      <c r="H1805" s="47" t="str">
        <f>IFERROR(VLOOKUP(G1805,WholesaleExtract!B:L,11,FALSE),"")</f>
        <v/>
      </c>
      <c r="I1805" s="26" t="str">
        <f>IFERROR(VLOOKUP(G1805,WholesaleExtract!B:O,8,FALSE),"")</f>
        <v/>
      </c>
      <c r="J1805" s="26" t="str">
        <f>IFERROR(VLOOKUP(G1805,WholesaleExtract!B:O,14,FALSE),"")</f>
        <v/>
      </c>
      <c r="K1805" s="26" t="str">
        <f>IFERROR(VLOOKUP(G1805,WholesaleExtract!B:K,10,FALSE),"")</f>
        <v/>
      </c>
      <c r="L1805" s="47" t="str">
        <f>IFERROR(VLOOKUP(G1805,WholesaleExtract!B:L,11,FALSE),"")</f>
        <v/>
      </c>
      <c r="M1805" s="47" t="str">
        <f>IFERROR(VLOOKUP(G1805,WholesaleExtract!B:M,12,FALSE),"")</f>
        <v/>
      </c>
      <c r="R1805" s="19"/>
      <c r="S1805" s="19"/>
    </row>
    <row r="1806" spans="1:19" x14ac:dyDescent="0.35">
      <c r="A1806" s="26" t="s">
        <v>543</v>
      </c>
      <c r="B1806" s="26" t="s">
        <v>543</v>
      </c>
      <c r="C1806" s="26"/>
      <c r="D1806" s="26" t="s">
        <v>543</v>
      </c>
      <c r="E1806" s="26" t="str">
        <f>IFERROR(VLOOKUP(G1806,WholesaleExtract!B:J,9,FALSE),"")</f>
        <v/>
      </c>
      <c r="F1806" s="26" t="str">
        <f>IFERROR(VLOOKUP(G1806,WholesaleExtract!B:J,6,FALSE),"")</f>
        <v/>
      </c>
      <c r="H1806" s="47" t="str">
        <f>IFERROR(VLOOKUP(G1806,WholesaleExtract!B:L,11,FALSE),"")</f>
        <v/>
      </c>
      <c r="I1806" s="26" t="str">
        <f>IFERROR(VLOOKUP(G1806,WholesaleExtract!B:O,8,FALSE),"")</f>
        <v/>
      </c>
      <c r="J1806" s="26" t="str">
        <f>IFERROR(VLOOKUP(G1806,WholesaleExtract!B:O,14,FALSE),"")</f>
        <v/>
      </c>
      <c r="K1806" s="26" t="str">
        <f>IFERROR(VLOOKUP(G1806,WholesaleExtract!B:K,10,FALSE),"")</f>
        <v/>
      </c>
      <c r="L1806" s="47" t="str">
        <f>IFERROR(VLOOKUP(G1806,WholesaleExtract!B:L,11,FALSE),"")</f>
        <v/>
      </c>
      <c r="M1806" s="47" t="str">
        <f>IFERROR(VLOOKUP(G1806,WholesaleExtract!B:M,12,FALSE),"")</f>
        <v/>
      </c>
      <c r="R1806" s="19"/>
      <c r="S1806" s="19"/>
    </row>
    <row r="1807" spans="1:19" x14ac:dyDescent="0.35">
      <c r="A1807" s="26" t="s">
        <v>543</v>
      </c>
      <c r="B1807" s="26" t="s">
        <v>543</v>
      </c>
      <c r="C1807" s="26"/>
      <c r="D1807" s="26" t="s">
        <v>543</v>
      </c>
      <c r="E1807" s="26" t="str">
        <f>IFERROR(VLOOKUP(G1807,WholesaleExtract!B:J,9,FALSE),"")</f>
        <v/>
      </c>
      <c r="F1807" s="26" t="str">
        <f>IFERROR(VLOOKUP(G1807,WholesaleExtract!B:J,6,FALSE),"")</f>
        <v/>
      </c>
      <c r="H1807" s="47" t="str">
        <f>IFERROR(VLOOKUP(G1807,WholesaleExtract!B:L,11,FALSE),"")</f>
        <v/>
      </c>
      <c r="I1807" s="26" t="str">
        <f>IFERROR(VLOOKUP(G1807,WholesaleExtract!B:O,8,FALSE),"")</f>
        <v/>
      </c>
      <c r="J1807" s="26" t="str">
        <f>IFERROR(VLOOKUP(G1807,WholesaleExtract!B:O,14,FALSE),"")</f>
        <v/>
      </c>
      <c r="K1807" s="26" t="str">
        <f>IFERROR(VLOOKUP(G1807,WholesaleExtract!B:K,10,FALSE),"")</f>
        <v/>
      </c>
      <c r="L1807" s="47" t="str">
        <f>IFERROR(VLOOKUP(G1807,WholesaleExtract!B:L,11,FALSE),"")</f>
        <v/>
      </c>
      <c r="M1807" s="47" t="str">
        <f>IFERROR(VLOOKUP(G1807,WholesaleExtract!B:M,12,FALSE),"")</f>
        <v/>
      </c>
      <c r="R1807" s="19"/>
      <c r="S1807" s="19"/>
    </row>
    <row r="1808" spans="1:19" x14ac:dyDescent="0.35">
      <c r="A1808" s="26" t="s">
        <v>543</v>
      </c>
      <c r="B1808" s="26" t="s">
        <v>543</v>
      </c>
      <c r="C1808" s="26"/>
      <c r="D1808" s="26" t="s">
        <v>543</v>
      </c>
      <c r="E1808" s="26" t="str">
        <f>IFERROR(VLOOKUP(G1808,WholesaleExtract!B:J,9,FALSE),"")</f>
        <v/>
      </c>
      <c r="F1808" s="26" t="str">
        <f>IFERROR(VLOOKUP(G1808,WholesaleExtract!B:J,6,FALSE),"")</f>
        <v/>
      </c>
      <c r="H1808" s="47" t="str">
        <f>IFERROR(VLOOKUP(G1808,WholesaleExtract!B:L,11,FALSE),"")</f>
        <v/>
      </c>
      <c r="I1808" s="26" t="str">
        <f>IFERROR(VLOOKUP(G1808,WholesaleExtract!B:O,8,FALSE),"")</f>
        <v/>
      </c>
      <c r="J1808" s="26" t="str">
        <f>IFERROR(VLOOKUP(G1808,WholesaleExtract!B:O,14,FALSE),"")</f>
        <v/>
      </c>
      <c r="K1808" s="26" t="str">
        <f>IFERROR(VLOOKUP(G1808,WholesaleExtract!B:K,10,FALSE),"")</f>
        <v/>
      </c>
      <c r="L1808" s="47" t="str">
        <f>IFERROR(VLOOKUP(G1808,WholesaleExtract!B:L,11,FALSE),"")</f>
        <v/>
      </c>
      <c r="M1808" s="47" t="str">
        <f>IFERROR(VLOOKUP(G1808,WholesaleExtract!B:M,12,FALSE),"")</f>
        <v/>
      </c>
      <c r="R1808" s="19"/>
      <c r="S1808" s="19"/>
    </row>
    <row r="1809" spans="1:19" x14ac:dyDescent="0.35">
      <c r="A1809" s="26" t="s">
        <v>543</v>
      </c>
      <c r="B1809" s="26" t="s">
        <v>543</v>
      </c>
      <c r="C1809" s="26"/>
      <c r="D1809" s="26" t="s">
        <v>543</v>
      </c>
      <c r="E1809" s="26" t="str">
        <f>IFERROR(VLOOKUP(G1809,WholesaleExtract!B:J,9,FALSE),"")</f>
        <v/>
      </c>
      <c r="F1809" s="26" t="str">
        <f>IFERROR(VLOOKUP(G1809,WholesaleExtract!B:J,6,FALSE),"")</f>
        <v/>
      </c>
      <c r="H1809" s="47" t="str">
        <f>IFERROR(VLOOKUP(G1809,WholesaleExtract!B:L,11,FALSE),"")</f>
        <v/>
      </c>
      <c r="I1809" s="26" t="str">
        <f>IFERROR(VLOOKUP(G1809,WholesaleExtract!B:O,8,FALSE),"")</f>
        <v/>
      </c>
      <c r="J1809" s="26" t="str">
        <f>IFERROR(VLOOKUP(G1809,WholesaleExtract!B:O,14,FALSE),"")</f>
        <v/>
      </c>
      <c r="K1809" s="26" t="str">
        <f>IFERROR(VLOOKUP(G1809,WholesaleExtract!B:K,10,FALSE),"")</f>
        <v/>
      </c>
      <c r="L1809" s="47" t="str">
        <f>IFERROR(VLOOKUP(G1809,WholesaleExtract!B:L,11,FALSE),"")</f>
        <v/>
      </c>
      <c r="M1809" s="47" t="str">
        <f>IFERROR(VLOOKUP(G1809,WholesaleExtract!B:M,12,FALSE),"")</f>
        <v/>
      </c>
      <c r="R1809" s="19"/>
      <c r="S1809" s="19"/>
    </row>
    <row r="1810" spans="1:19" x14ac:dyDescent="0.35">
      <c r="A1810" s="26" t="s">
        <v>543</v>
      </c>
      <c r="B1810" s="26" t="s">
        <v>543</v>
      </c>
      <c r="C1810" s="26"/>
      <c r="D1810" s="26" t="s">
        <v>543</v>
      </c>
      <c r="E1810" s="26" t="str">
        <f>IFERROR(VLOOKUP(G1810,WholesaleExtract!B:J,9,FALSE),"")</f>
        <v/>
      </c>
      <c r="F1810" s="26" t="str">
        <f>IFERROR(VLOOKUP(G1810,WholesaleExtract!B:J,6,FALSE),"")</f>
        <v/>
      </c>
      <c r="H1810" s="47" t="str">
        <f>IFERROR(VLOOKUP(G1810,WholesaleExtract!B:L,11,FALSE),"")</f>
        <v/>
      </c>
      <c r="I1810" s="26" t="str">
        <f>IFERROR(VLOOKUP(G1810,WholesaleExtract!B:O,8,FALSE),"")</f>
        <v/>
      </c>
      <c r="J1810" s="26" t="str">
        <f>IFERROR(VLOOKUP(G1810,WholesaleExtract!B:O,14,FALSE),"")</f>
        <v/>
      </c>
      <c r="K1810" s="26" t="str">
        <f>IFERROR(VLOOKUP(G1810,WholesaleExtract!B:K,10,FALSE),"")</f>
        <v/>
      </c>
      <c r="L1810" s="47" t="str">
        <f>IFERROR(VLOOKUP(G1810,WholesaleExtract!B:L,11,FALSE),"")</f>
        <v/>
      </c>
      <c r="M1810" s="47" t="str">
        <f>IFERROR(VLOOKUP(G1810,WholesaleExtract!B:M,12,FALSE),"")</f>
        <v/>
      </c>
      <c r="R1810" s="19"/>
      <c r="S1810" s="19"/>
    </row>
    <row r="1811" spans="1:19" x14ac:dyDescent="0.35">
      <c r="A1811" s="26" t="s">
        <v>543</v>
      </c>
      <c r="B1811" s="26" t="s">
        <v>543</v>
      </c>
      <c r="C1811" s="26"/>
      <c r="D1811" s="26" t="s">
        <v>543</v>
      </c>
      <c r="E1811" s="26" t="str">
        <f>IFERROR(VLOOKUP(G1811,WholesaleExtract!B:J,9,FALSE),"")</f>
        <v/>
      </c>
      <c r="F1811" s="26" t="str">
        <f>IFERROR(VLOOKUP(G1811,WholesaleExtract!B:J,6,FALSE),"")</f>
        <v/>
      </c>
      <c r="H1811" s="47" t="str">
        <f>IFERROR(VLOOKUP(G1811,WholesaleExtract!B:L,11,FALSE),"")</f>
        <v/>
      </c>
      <c r="I1811" s="26" t="str">
        <f>IFERROR(VLOOKUP(G1811,WholesaleExtract!B:O,8,FALSE),"")</f>
        <v/>
      </c>
      <c r="J1811" s="26" t="str">
        <f>IFERROR(VLOOKUP(G1811,WholesaleExtract!B:O,14,FALSE),"")</f>
        <v/>
      </c>
      <c r="K1811" s="26" t="str">
        <f>IFERROR(VLOOKUP(G1811,WholesaleExtract!B:K,10,FALSE),"")</f>
        <v/>
      </c>
      <c r="L1811" s="47" t="str">
        <f>IFERROR(VLOOKUP(G1811,WholesaleExtract!B:L,11,FALSE),"")</f>
        <v/>
      </c>
      <c r="M1811" s="47" t="str">
        <f>IFERROR(VLOOKUP(G1811,WholesaleExtract!B:M,12,FALSE),"")</f>
        <v/>
      </c>
      <c r="R1811" s="19"/>
      <c r="S1811" s="19"/>
    </row>
    <row r="1812" spans="1:19" x14ac:dyDescent="0.35">
      <c r="A1812" s="26" t="s">
        <v>543</v>
      </c>
      <c r="B1812" s="26" t="s">
        <v>543</v>
      </c>
      <c r="C1812" s="26"/>
      <c r="D1812" s="26" t="s">
        <v>543</v>
      </c>
      <c r="E1812" s="26" t="str">
        <f>IFERROR(VLOOKUP(G1812,WholesaleExtract!B:J,9,FALSE),"")</f>
        <v/>
      </c>
      <c r="F1812" s="26" t="str">
        <f>IFERROR(VLOOKUP(G1812,WholesaleExtract!B:J,6,FALSE),"")</f>
        <v/>
      </c>
      <c r="H1812" s="47" t="str">
        <f>IFERROR(VLOOKUP(G1812,WholesaleExtract!B:L,11,FALSE),"")</f>
        <v/>
      </c>
      <c r="I1812" s="26" t="str">
        <f>IFERROR(VLOOKUP(G1812,WholesaleExtract!B:O,8,FALSE),"")</f>
        <v/>
      </c>
      <c r="J1812" s="26" t="str">
        <f>IFERROR(VLOOKUP(G1812,WholesaleExtract!B:O,14,FALSE),"")</f>
        <v/>
      </c>
      <c r="K1812" s="26" t="str">
        <f>IFERROR(VLOOKUP(G1812,WholesaleExtract!B:K,10,FALSE),"")</f>
        <v/>
      </c>
      <c r="L1812" s="47" t="str">
        <f>IFERROR(VLOOKUP(G1812,WholesaleExtract!B:L,11,FALSE),"")</f>
        <v/>
      </c>
      <c r="M1812" s="47" t="str">
        <f>IFERROR(VLOOKUP(G1812,WholesaleExtract!B:M,12,FALSE),"")</f>
        <v/>
      </c>
      <c r="R1812" s="19"/>
      <c r="S1812" s="19"/>
    </row>
    <row r="1813" spans="1:19" x14ac:dyDescent="0.35">
      <c r="A1813" s="26" t="s">
        <v>543</v>
      </c>
      <c r="B1813" s="26" t="s">
        <v>543</v>
      </c>
      <c r="C1813" s="26"/>
      <c r="D1813" s="26" t="s">
        <v>543</v>
      </c>
      <c r="E1813" s="26" t="str">
        <f>IFERROR(VLOOKUP(G1813,WholesaleExtract!B:J,9,FALSE),"")</f>
        <v/>
      </c>
      <c r="F1813" s="26" t="str">
        <f>IFERROR(VLOOKUP(G1813,WholesaleExtract!B:J,6,FALSE),"")</f>
        <v/>
      </c>
      <c r="H1813" s="47" t="str">
        <f>IFERROR(VLOOKUP(G1813,WholesaleExtract!B:L,11,FALSE),"")</f>
        <v/>
      </c>
      <c r="I1813" s="26" t="str">
        <f>IFERROR(VLOOKUP(G1813,WholesaleExtract!B:O,8,FALSE),"")</f>
        <v/>
      </c>
      <c r="J1813" s="26" t="str">
        <f>IFERROR(VLOOKUP(G1813,WholesaleExtract!B:O,14,FALSE),"")</f>
        <v/>
      </c>
      <c r="K1813" s="26" t="str">
        <f>IFERROR(VLOOKUP(G1813,WholesaleExtract!B:K,10,FALSE),"")</f>
        <v/>
      </c>
      <c r="L1813" s="47" t="str">
        <f>IFERROR(VLOOKUP(G1813,WholesaleExtract!B:L,11,FALSE),"")</f>
        <v/>
      </c>
      <c r="M1813" s="47" t="str">
        <f>IFERROR(VLOOKUP(G1813,WholesaleExtract!B:M,12,FALSE),"")</f>
        <v/>
      </c>
      <c r="R1813" s="19"/>
      <c r="S1813" s="19"/>
    </row>
    <row r="1814" spans="1:19" x14ac:dyDescent="0.35">
      <c r="A1814" s="26" t="s">
        <v>543</v>
      </c>
      <c r="B1814" s="26" t="s">
        <v>543</v>
      </c>
      <c r="C1814" s="26"/>
      <c r="D1814" s="26" t="s">
        <v>543</v>
      </c>
      <c r="E1814" s="26" t="str">
        <f>IFERROR(VLOOKUP(G1814,WholesaleExtract!B:J,9,FALSE),"")</f>
        <v/>
      </c>
      <c r="F1814" s="26" t="str">
        <f>IFERROR(VLOOKUP(G1814,WholesaleExtract!B:J,6,FALSE),"")</f>
        <v/>
      </c>
      <c r="H1814" s="47" t="str">
        <f>IFERROR(VLOOKUP(G1814,WholesaleExtract!B:L,11,FALSE),"")</f>
        <v/>
      </c>
      <c r="I1814" s="26" t="str">
        <f>IFERROR(VLOOKUP(G1814,WholesaleExtract!B:O,8,FALSE),"")</f>
        <v/>
      </c>
      <c r="J1814" s="26" t="str">
        <f>IFERROR(VLOOKUP(G1814,WholesaleExtract!B:O,14,FALSE),"")</f>
        <v/>
      </c>
      <c r="K1814" s="26" t="str">
        <f>IFERROR(VLOOKUP(G1814,WholesaleExtract!B:K,10,FALSE),"")</f>
        <v/>
      </c>
      <c r="L1814" s="47" t="str">
        <f>IFERROR(VLOOKUP(G1814,WholesaleExtract!B:L,11,FALSE),"")</f>
        <v/>
      </c>
      <c r="M1814" s="47" t="str">
        <f>IFERROR(VLOOKUP(G1814,WholesaleExtract!B:M,12,FALSE),"")</f>
        <v/>
      </c>
      <c r="R1814" s="19"/>
      <c r="S1814" s="19"/>
    </row>
    <row r="1815" spans="1:19" x14ac:dyDescent="0.35">
      <c r="A1815" s="26" t="s">
        <v>543</v>
      </c>
      <c r="B1815" s="26" t="s">
        <v>543</v>
      </c>
      <c r="C1815" s="26"/>
      <c r="D1815" s="26" t="s">
        <v>543</v>
      </c>
      <c r="E1815" s="26" t="str">
        <f>IFERROR(VLOOKUP(G1815,WholesaleExtract!B:J,9,FALSE),"")</f>
        <v/>
      </c>
      <c r="F1815" s="26" t="str">
        <f>IFERROR(VLOOKUP(G1815,WholesaleExtract!B:J,6,FALSE),"")</f>
        <v/>
      </c>
      <c r="H1815" s="47" t="str">
        <f>IFERROR(VLOOKUP(G1815,WholesaleExtract!B:L,11,FALSE),"")</f>
        <v/>
      </c>
      <c r="I1815" s="26" t="str">
        <f>IFERROR(VLOOKUP(G1815,WholesaleExtract!B:O,8,FALSE),"")</f>
        <v/>
      </c>
      <c r="J1815" s="26" t="str">
        <f>IFERROR(VLOOKUP(G1815,WholesaleExtract!B:O,14,FALSE),"")</f>
        <v/>
      </c>
      <c r="K1815" s="26" t="str">
        <f>IFERROR(VLOOKUP(G1815,WholesaleExtract!B:K,10,FALSE),"")</f>
        <v/>
      </c>
      <c r="L1815" s="47" t="str">
        <f>IFERROR(VLOOKUP(G1815,WholesaleExtract!B:L,11,FALSE),"")</f>
        <v/>
      </c>
      <c r="M1815" s="47" t="str">
        <f>IFERROR(VLOOKUP(G1815,WholesaleExtract!B:M,12,FALSE),"")</f>
        <v/>
      </c>
      <c r="R1815" s="19"/>
      <c r="S1815" s="19"/>
    </row>
    <row r="1816" spans="1:19" x14ac:dyDescent="0.35">
      <c r="A1816" s="26" t="s">
        <v>543</v>
      </c>
      <c r="B1816" s="26" t="s">
        <v>543</v>
      </c>
      <c r="C1816" s="26"/>
      <c r="D1816" s="26" t="s">
        <v>543</v>
      </c>
      <c r="E1816" s="26" t="str">
        <f>IFERROR(VLOOKUP(G1816,WholesaleExtract!B:J,9,FALSE),"")</f>
        <v/>
      </c>
      <c r="F1816" s="26" t="str">
        <f>IFERROR(VLOOKUP(G1816,WholesaleExtract!B:J,6,FALSE),"")</f>
        <v/>
      </c>
      <c r="H1816" s="47" t="str">
        <f>IFERROR(VLOOKUP(G1816,WholesaleExtract!B:L,11,FALSE),"")</f>
        <v/>
      </c>
      <c r="I1816" s="26" t="str">
        <f>IFERROR(VLOOKUP(G1816,WholesaleExtract!B:O,8,FALSE),"")</f>
        <v/>
      </c>
      <c r="J1816" s="26" t="str">
        <f>IFERROR(VLOOKUP(G1816,WholesaleExtract!B:O,14,FALSE),"")</f>
        <v/>
      </c>
      <c r="K1816" s="26" t="str">
        <f>IFERROR(VLOOKUP(G1816,WholesaleExtract!B:K,10,FALSE),"")</f>
        <v/>
      </c>
      <c r="L1816" s="47" t="str">
        <f>IFERROR(VLOOKUP(G1816,WholesaleExtract!B:L,11,FALSE),"")</f>
        <v/>
      </c>
      <c r="M1816" s="47" t="str">
        <f>IFERROR(VLOOKUP(G1816,WholesaleExtract!B:M,12,FALSE),"")</f>
        <v/>
      </c>
      <c r="R1816" s="19"/>
      <c r="S1816" s="19"/>
    </row>
    <row r="1817" spans="1:19" x14ac:dyDescent="0.35">
      <c r="A1817" s="26" t="s">
        <v>543</v>
      </c>
      <c r="B1817" s="26" t="s">
        <v>543</v>
      </c>
      <c r="C1817" s="26"/>
      <c r="D1817" s="26" t="s">
        <v>543</v>
      </c>
      <c r="E1817" s="26" t="str">
        <f>IFERROR(VLOOKUP(G1817,WholesaleExtract!B:J,9,FALSE),"")</f>
        <v/>
      </c>
      <c r="F1817" s="26" t="str">
        <f>IFERROR(VLOOKUP(G1817,WholesaleExtract!B:J,6,FALSE),"")</f>
        <v/>
      </c>
      <c r="H1817" s="47" t="str">
        <f>IFERROR(VLOOKUP(G1817,WholesaleExtract!B:L,11,FALSE),"")</f>
        <v/>
      </c>
      <c r="I1817" s="26" t="str">
        <f>IFERROR(VLOOKUP(G1817,WholesaleExtract!B:O,8,FALSE),"")</f>
        <v/>
      </c>
      <c r="J1817" s="26" t="str">
        <f>IFERROR(VLOOKUP(G1817,WholesaleExtract!B:O,14,FALSE),"")</f>
        <v/>
      </c>
      <c r="K1817" s="26" t="str">
        <f>IFERROR(VLOOKUP(G1817,WholesaleExtract!B:K,10,FALSE),"")</f>
        <v/>
      </c>
      <c r="L1817" s="47" t="str">
        <f>IFERROR(VLOOKUP(G1817,WholesaleExtract!B:L,11,FALSE),"")</f>
        <v/>
      </c>
      <c r="M1817" s="47" t="str">
        <f>IFERROR(VLOOKUP(G1817,WholesaleExtract!B:M,12,FALSE),"")</f>
        <v/>
      </c>
      <c r="R1817" s="19"/>
      <c r="S1817" s="19"/>
    </row>
    <row r="1818" spans="1:19" x14ac:dyDescent="0.35">
      <c r="A1818" s="26" t="s">
        <v>543</v>
      </c>
      <c r="B1818" s="26" t="s">
        <v>543</v>
      </c>
      <c r="C1818" s="26"/>
      <c r="D1818" s="26" t="s">
        <v>543</v>
      </c>
      <c r="E1818" s="26" t="str">
        <f>IFERROR(VLOOKUP(G1818,WholesaleExtract!B:J,9,FALSE),"")</f>
        <v/>
      </c>
      <c r="F1818" s="26" t="str">
        <f>IFERROR(VLOOKUP(G1818,WholesaleExtract!B:J,6,FALSE),"")</f>
        <v/>
      </c>
      <c r="H1818" s="47" t="str">
        <f>IFERROR(VLOOKUP(G1818,WholesaleExtract!B:L,11,FALSE),"")</f>
        <v/>
      </c>
      <c r="I1818" s="26" t="str">
        <f>IFERROR(VLOOKUP(G1818,WholesaleExtract!B:O,8,FALSE),"")</f>
        <v/>
      </c>
      <c r="J1818" s="26" t="str">
        <f>IFERROR(VLOOKUP(G1818,WholesaleExtract!B:O,14,FALSE),"")</f>
        <v/>
      </c>
      <c r="K1818" s="26" t="str">
        <f>IFERROR(VLOOKUP(G1818,WholesaleExtract!B:K,10,FALSE),"")</f>
        <v/>
      </c>
      <c r="L1818" s="47" t="str">
        <f>IFERROR(VLOOKUP(G1818,WholesaleExtract!B:L,11,FALSE),"")</f>
        <v/>
      </c>
      <c r="M1818" s="47" t="str">
        <f>IFERROR(VLOOKUP(G1818,WholesaleExtract!B:M,12,FALSE),"")</f>
        <v/>
      </c>
      <c r="R1818" s="19"/>
      <c r="S1818" s="19"/>
    </row>
    <row r="1819" spans="1:19" x14ac:dyDescent="0.35">
      <c r="A1819" s="26" t="s">
        <v>543</v>
      </c>
      <c r="B1819" s="26" t="s">
        <v>543</v>
      </c>
      <c r="C1819" s="26"/>
      <c r="D1819" s="26" t="s">
        <v>543</v>
      </c>
      <c r="E1819" s="26" t="str">
        <f>IFERROR(VLOOKUP(G1819,WholesaleExtract!B:J,9,FALSE),"")</f>
        <v/>
      </c>
      <c r="F1819" s="26" t="str">
        <f>IFERROR(VLOOKUP(G1819,WholesaleExtract!B:J,6,FALSE),"")</f>
        <v/>
      </c>
      <c r="H1819" s="47" t="str">
        <f>IFERROR(VLOOKUP(G1819,WholesaleExtract!B:L,11,FALSE),"")</f>
        <v/>
      </c>
      <c r="I1819" s="26" t="str">
        <f>IFERROR(VLOOKUP(G1819,WholesaleExtract!B:O,8,FALSE),"")</f>
        <v/>
      </c>
      <c r="J1819" s="26" t="str">
        <f>IFERROR(VLOOKUP(G1819,WholesaleExtract!B:O,14,FALSE),"")</f>
        <v/>
      </c>
      <c r="K1819" s="26" t="str">
        <f>IFERROR(VLOOKUP(G1819,WholesaleExtract!B:K,10,FALSE),"")</f>
        <v/>
      </c>
      <c r="L1819" s="47" t="str">
        <f>IFERROR(VLOOKUP(G1819,WholesaleExtract!B:L,11,FALSE),"")</f>
        <v/>
      </c>
      <c r="M1819" s="47" t="str">
        <f>IFERROR(VLOOKUP(G1819,WholesaleExtract!B:M,12,FALSE),"")</f>
        <v/>
      </c>
      <c r="R1819" s="19"/>
      <c r="S1819" s="19"/>
    </row>
    <row r="1820" spans="1:19" x14ac:dyDescent="0.35">
      <c r="A1820" s="26" t="s">
        <v>543</v>
      </c>
      <c r="B1820" s="26" t="s">
        <v>543</v>
      </c>
      <c r="C1820" s="26"/>
      <c r="D1820" s="26" t="s">
        <v>543</v>
      </c>
      <c r="E1820" s="26" t="str">
        <f>IFERROR(VLOOKUP(G1820,WholesaleExtract!B:J,9,FALSE),"")</f>
        <v/>
      </c>
      <c r="F1820" s="26" t="str">
        <f>IFERROR(VLOOKUP(G1820,WholesaleExtract!B:J,6,FALSE),"")</f>
        <v/>
      </c>
      <c r="H1820" s="47" t="str">
        <f>IFERROR(VLOOKUP(G1820,WholesaleExtract!B:L,11,FALSE),"")</f>
        <v/>
      </c>
      <c r="I1820" s="26" t="str">
        <f>IFERROR(VLOOKUP(G1820,WholesaleExtract!B:O,8,FALSE),"")</f>
        <v/>
      </c>
      <c r="J1820" s="26" t="str">
        <f>IFERROR(VLOOKUP(G1820,WholesaleExtract!B:O,14,FALSE),"")</f>
        <v/>
      </c>
      <c r="K1820" s="26" t="str">
        <f>IFERROR(VLOOKUP(G1820,WholesaleExtract!B:K,10,FALSE),"")</f>
        <v/>
      </c>
      <c r="L1820" s="47" t="str">
        <f>IFERROR(VLOOKUP(G1820,WholesaleExtract!B:L,11,FALSE),"")</f>
        <v/>
      </c>
      <c r="M1820" s="47" t="str">
        <f>IFERROR(VLOOKUP(G1820,WholesaleExtract!B:M,12,FALSE),"")</f>
        <v/>
      </c>
      <c r="R1820" s="19"/>
      <c r="S1820" s="19"/>
    </row>
    <row r="1821" spans="1:19" x14ac:dyDescent="0.35">
      <c r="A1821" s="26" t="s">
        <v>543</v>
      </c>
      <c r="B1821" s="26" t="s">
        <v>543</v>
      </c>
      <c r="C1821" s="26"/>
      <c r="D1821" s="26" t="s">
        <v>543</v>
      </c>
      <c r="E1821" s="26" t="str">
        <f>IFERROR(VLOOKUP(G1821,WholesaleExtract!B:J,9,FALSE),"")</f>
        <v/>
      </c>
      <c r="F1821" s="26" t="str">
        <f>IFERROR(VLOOKUP(G1821,WholesaleExtract!B:J,6,FALSE),"")</f>
        <v/>
      </c>
      <c r="H1821" s="47" t="str">
        <f>IFERROR(VLOOKUP(G1821,WholesaleExtract!B:L,11,FALSE),"")</f>
        <v/>
      </c>
      <c r="I1821" s="26" t="str">
        <f>IFERROR(VLOOKUP(G1821,WholesaleExtract!B:O,8,FALSE),"")</f>
        <v/>
      </c>
      <c r="J1821" s="26" t="str">
        <f>IFERROR(VLOOKUP(G1821,WholesaleExtract!B:O,14,FALSE),"")</f>
        <v/>
      </c>
      <c r="K1821" s="26" t="str">
        <f>IFERROR(VLOOKUP(G1821,WholesaleExtract!B:K,10,FALSE),"")</f>
        <v/>
      </c>
      <c r="L1821" s="47" t="str">
        <f>IFERROR(VLOOKUP(G1821,WholesaleExtract!B:L,11,FALSE),"")</f>
        <v/>
      </c>
      <c r="M1821" s="47" t="str">
        <f>IFERROR(VLOOKUP(G1821,WholesaleExtract!B:M,12,FALSE),"")</f>
        <v/>
      </c>
      <c r="R1821" s="19"/>
      <c r="S1821" s="19"/>
    </row>
    <row r="1822" spans="1:19" x14ac:dyDescent="0.35">
      <c r="A1822" s="26" t="s">
        <v>543</v>
      </c>
      <c r="B1822" s="26" t="s">
        <v>543</v>
      </c>
      <c r="C1822" s="26"/>
      <c r="D1822" s="26" t="s">
        <v>543</v>
      </c>
      <c r="E1822" s="26" t="str">
        <f>IFERROR(VLOOKUP(G1822,WholesaleExtract!B:J,9,FALSE),"")</f>
        <v/>
      </c>
      <c r="F1822" s="26" t="str">
        <f>IFERROR(VLOOKUP(G1822,WholesaleExtract!B:J,6,FALSE),"")</f>
        <v/>
      </c>
      <c r="H1822" s="47" t="str">
        <f>IFERROR(VLOOKUP(G1822,WholesaleExtract!B:L,11,FALSE),"")</f>
        <v/>
      </c>
      <c r="I1822" s="26" t="str">
        <f>IFERROR(VLOOKUP(G1822,WholesaleExtract!B:O,8,FALSE),"")</f>
        <v/>
      </c>
      <c r="J1822" s="26" t="str">
        <f>IFERROR(VLOOKUP(G1822,WholesaleExtract!B:O,14,FALSE),"")</f>
        <v/>
      </c>
      <c r="K1822" s="26" t="str">
        <f>IFERROR(VLOOKUP(G1822,WholesaleExtract!B:K,10,FALSE),"")</f>
        <v/>
      </c>
      <c r="L1822" s="47" t="str">
        <f>IFERROR(VLOOKUP(G1822,WholesaleExtract!B:L,11,FALSE),"")</f>
        <v/>
      </c>
      <c r="M1822" s="47" t="str">
        <f>IFERROR(VLOOKUP(G1822,WholesaleExtract!B:M,12,FALSE),"")</f>
        <v/>
      </c>
      <c r="R1822" s="19"/>
      <c r="S1822" s="19"/>
    </row>
    <row r="1823" spans="1:19" x14ac:dyDescent="0.35">
      <c r="A1823" s="26" t="s">
        <v>543</v>
      </c>
      <c r="B1823" s="26" t="s">
        <v>543</v>
      </c>
      <c r="C1823" s="26"/>
      <c r="D1823" s="26" t="s">
        <v>543</v>
      </c>
      <c r="E1823" s="26" t="str">
        <f>IFERROR(VLOOKUP(G1823,WholesaleExtract!B:J,9,FALSE),"")</f>
        <v/>
      </c>
      <c r="F1823" s="26" t="str">
        <f>IFERROR(VLOOKUP(G1823,WholesaleExtract!B:J,6,FALSE),"")</f>
        <v/>
      </c>
      <c r="H1823" s="47" t="str">
        <f>IFERROR(VLOOKUP(G1823,WholesaleExtract!B:L,11,FALSE),"")</f>
        <v/>
      </c>
      <c r="I1823" s="26" t="str">
        <f>IFERROR(VLOOKUP(G1823,WholesaleExtract!B:O,8,FALSE),"")</f>
        <v/>
      </c>
      <c r="J1823" s="26" t="str">
        <f>IFERROR(VLOOKUP(G1823,WholesaleExtract!B:O,14,FALSE),"")</f>
        <v/>
      </c>
      <c r="K1823" s="26" t="str">
        <f>IFERROR(VLOOKUP(G1823,WholesaleExtract!B:K,10,FALSE),"")</f>
        <v/>
      </c>
      <c r="L1823" s="47" t="str">
        <f>IFERROR(VLOOKUP(G1823,WholesaleExtract!B:L,11,FALSE),"")</f>
        <v/>
      </c>
      <c r="M1823" s="47" t="str">
        <f>IFERROR(VLOOKUP(G1823,WholesaleExtract!B:M,12,FALSE),"")</f>
        <v/>
      </c>
      <c r="R1823" s="19"/>
      <c r="S1823" s="19"/>
    </row>
    <row r="1824" spans="1:19" x14ac:dyDescent="0.35">
      <c r="A1824" s="26" t="s">
        <v>543</v>
      </c>
      <c r="B1824" s="26" t="s">
        <v>543</v>
      </c>
      <c r="C1824" s="26"/>
      <c r="D1824" s="26" t="s">
        <v>543</v>
      </c>
      <c r="E1824" s="26" t="str">
        <f>IFERROR(VLOOKUP(G1824,WholesaleExtract!B:J,9,FALSE),"")</f>
        <v/>
      </c>
      <c r="F1824" s="26" t="str">
        <f>IFERROR(VLOOKUP(G1824,WholesaleExtract!B:J,6,FALSE),"")</f>
        <v/>
      </c>
      <c r="H1824" s="47" t="str">
        <f>IFERROR(VLOOKUP(G1824,WholesaleExtract!B:L,11,FALSE),"")</f>
        <v/>
      </c>
      <c r="I1824" s="26" t="str">
        <f>IFERROR(VLOOKUP(G1824,WholesaleExtract!B:O,8,FALSE),"")</f>
        <v/>
      </c>
      <c r="J1824" s="26" t="str">
        <f>IFERROR(VLOOKUP(G1824,WholesaleExtract!B:O,14,FALSE),"")</f>
        <v/>
      </c>
      <c r="K1824" s="26" t="str">
        <f>IFERROR(VLOOKUP(G1824,WholesaleExtract!B:K,10,FALSE),"")</f>
        <v/>
      </c>
      <c r="L1824" s="47" t="str">
        <f>IFERROR(VLOOKUP(G1824,WholesaleExtract!B:L,11,FALSE),"")</f>
        <v/>
      </c>
      <c r="M1824" s="47" t="str">
        <f>IFERROR(VLOOKUP(G1824,WholesaleExtract!B:M,12,FALSE),"")</f>
        <v/>
      </c>
      <c r="R1824" s="19"/>
      <c r="S1824" s="19"/>
    </row>
    <row r="1825" spans="1:19" x14ac:dyDescent="0.35">
      <c r="A1825" s="26" t="s">
        <v>543</v>
      </c>
      <c r="B1825" s="26" t="s">
        <v>543</v>
      </c>
      <c r="C1825" s="26"/>
      <c r="D1825" s="26" t="s">
        <v>543</v>
      </c>
      <c r="E1825" s="26" t="str">
        <f>IFERROR(VLOOKUP(G1825,WholesaleExtract!B:J,9,FALSE),"")</f>
        <v/>
      </c>
      <c r="F1825" s="26" t="str">
        <f>IFERROR(VLOOKUP(G1825,WholesaleExtract!B:J,6,FALSE),"")</f>
        <v/>
      </c>
      <c r="H1825" s="47" t="str">
        <f>IFERROR(VLOOKUP(G1825,WholesaleExtract!B:L,11,FALSE),"")</f>
        <v/>
      </c>
      <c r="I1825" s="26" t="str">
        <f>IFERROR(VLOOKUP(G1825,WholesaleExtract!B:O,8,FALSE),"")</f>
        <v/>
      </c>
      <c r="J1825" s="26" t="str">
        <f>IFERROR(VLOOKUP(G1825,WholesaleExtract!B:O,14,FALSE),"")</f>
        <v/>
      </c>
      <c r="K1825" s="26" t="str">
        <f>IFERROR(VLOOKUP(G1825,WholesaleExtract!B:K,10,FALSE),"")</f>
        <v/>
      </c>
      <c r="L1825" s="47" t="str">
        <f>IFERROR(VLOOKUP(G1825,WholesaleExtract!B:L,11,FALSE),"")</f>
        <v/>
      </c>
      <c r="M1825" s="47" t="str">
        <f>IFERROR(VLOOKUP(G1825,WholesaleExtract!B:M,12,FALSE),"")</f>
        <v/>
      </c>
      <c r="R1825" s="19"/>
      <c r="S1825" s="19"/>
    </row>
    <row r="1826" spans="1:19" x14ac:dyDescent="0.35">
      <c r="A1826" s="26" t="s">
        <v>543</v>
      </c>
      <c r="B1826" s="26" t="s">
        <v>543</v>
      </c>
      <c r="C1826" s="26"/>
      <c r="D1826" s="26" t="s">
        <v>543</v>
      </c>
      <c r="E1826" s="26" t="str">
        <f>IFERROR(VLOOKUP(G1826,WholesaleExtract!B:J,9,FALSE),"")</f>
        <v/>
      </c>
      <c r="F1826" s="26" t="str">
        <f>IFERROR(VLOOKUP(G1826,WholesaleExtract!B:J,6,FALSE),"")</f>
        <v/>
      </c>
      <c r="H1826" s="47" t="str">
        <f>IFERROR(VLOOKUP(G1826,WholesaleExtract!B:L,11,FALSE),"")</f>
        <v/>
      </c>
      <c r="I1826" s="26" t="str">
        <f>IFERROR(VLOOKUP(G1826,WholesaleExtract!B:O,8,FALSE),"")</f>
        <v/>
      </c>
      <c r="J1826" s="26" t="str">
        <f>IFERROR(VLOOKUP(G1826,WholesaleExtract!B:O,14,FALSE),"")</f>
        <v/>
      </c>
      <c r="K1826" s="26" t="str">
        <f>IFERROR(VLOOKUP(G1826,WholesaleExtract!B:K,10,FALSE),"")</f>
        <v/>
      </c>
      <c r="L1826" s="47" t="str">
        <f>IFERROR(VLOOKUP(G1826,WholesaleExtract!B:L,11,FALSE),"")</f>
        <v/>
      </c>
      <c r="M1826" s="47" t="str">
        <f>IFERROR(VLOOKUP(G1826,WholesaleExtract!B:M,12,FALSE),"")</f>
        <v/>
      </c>
      <c r="R1826" s="19"/>
      <c r="S1826" s="19"/>
    </row>
    <row r="1827" spans="1:19" x14ac:dyDescent="0.35">
      <c r="A1827" s="26" t="s">
        <v>543</v>
      </c>
      <c r="B1827" s="26" t="s">
        <v>543</v>
      </c>
      <c r="C1827" s="26"/>
      <c r="D1827" s="26" t="s">
        <v>543</v>
      </c>
      <c r="E1827" s="26" t="str">
        <f>IFERROR(VLOOKUP(G1827,WholesaleExtract!B:J,9,FALSE),"")</f>
        <v/>
      </c>
      <c r="F1827" s="26" t="str">
        <f>IFERROR(VLOOKUP(G1827,WholesaleExtract!B:J,6,FALSE),"")</f>
        <v/>
      </c>
      <c r="H1827" s="47" t="str">
        <f>IFERROR(VLOOKUP(G1827,WholesaleExtract!B:L,11,FALSE),"")</f>
        <v/>
      </c>
      <c r="I1827" s="26" t="str">
        <f>IFERROR(VLOOKUP(G1827,WholesaleExtract!B:O,8,FALSE),"")</f>
        <v/>
      </c>
      <c r="J1827" s="26" t="str">
        <f>IFERROR(VLOOKUP(G1827,WholesaleExtract!B:O,14,FALSE),"")</f>
        <v/>
      </c>
      <c r="K1827" s="26" t="str">
        <f>IFERROR(VLOOKUP(G1827,WholesaleExtract!B:K,10,FALSE),"")</f>
        <v/>
      </c>
      <c r="L1827" s="47" t="str">
        <f>IFERROR(VLOOKUP(G1827,WholesaleExtract!B:L,11,FALSE),"")</f>
        <v/>
      </c>
      <c r="M1827" s="47" t="str">
        <f>IFERROR(VLOOKUP(G1827,WholesaleExtract!B:M,12,FALSE),"")</f>
        <v/>
      </c>
      <c r="R1827" s="19"/>
      <c r="S1827" s="19"/>
    </row>
    <row r="1828" spans="1:19" x14ac:dyDescent="0.35">
      <c r="A1828" s="26" t="s">
        <v>543</v>
      </c>
      <c r="B1828" s="26" t="s">
        <v>543</v>
      </c>
      <c r="C1828" s="26"/>
      <c r="D1828" s="26" t="s">
        <v>543</v>
      </c>
      <c r="E1828" s="26" t="str">
        <f>IFERROR(VLOOKUP(G1828,WholesaleExtract!B:J,9,FALSE),"")</f>
        <v/>
      </c>
      <c r="F1828" s="26" t="str">
        <f>IFERROR(VLOOKUP(G1828,WholesaleExtract!B:J,6,FALSE),"")</f>
        <v/>
      </c>
      <c r="H1828" s="47" t="str">
        <f>IFERROR(VLOOKUP(G1828,WholesaleExtract!B:L,11,FALSE),"")</f>
        <v/>
      </c>
      <c r="I1828" s="26" t="str">
        <f>IFERROR(VLOOKUP(G1828,WholesaleExtract!B:O,8,FALSE),"")</f>
        <v/>
      </c>
      <c r="J1828" s="26" t="str">
        <f>IFERROR(VLOOKUP(G1828,WholesaleExtract!B:O,14,FALSE),"")</f>
        <v/>
      </c>
      <c r="K1828" s="26" t="str">
        <f>IFERROR(VLOOKUP(G1828,WholesaleExtract!B:K,10,FALSE),"")</f>
        <v/>
      </c>
      <c r="L1828" s="47" t="str">
        <f>IFERROR(VLOOKUP(G1828,WholesaleExtract!B:L,11,FALSE),"")</f>
        <v/>
      </c>
      <c r="M1828" s="47" t="str">
        <f>IFERROR(VLOOKUP(G1828,WholesaleExtract!B:M,12,FALSE),"")</f>
        <v/>
      </c>
      <c r="R1828" s="19"/>
      <c r="S1828" s="19"/>
    </row>
    <row r="1829" spans="1:19" x14ac:dyDescent="0.35">
      <c r="A1829" s="26" t="s">
        <v>543</v>
      </c>
      <c r="B1829" s="26" t="s">
        <v>543</v>
      </c>
      <c r="C1829" s="26"/>
      <c r="D1829" s="26" t="s">
        <v>543</v>
      </c>
      <c r="E1829" s="26" t="str">
        <f>IFERROR(VLOOKUP(G1829,WholesaleExtract!B:J,9,FALSE),"")</f>
        <v/>
      </c>
      <c r="F1829" s="26" t="str">
        <f>IFERROR(VLOOKUP(G1829,WholesaleExtract!B:J,6,FALSE),"")</f>
        <v/>
      </c>
      <c r="H1829" s="47" t="str">
        <f>IFERROR(VLOOKUP(G1829,WholesaleExtract!B:L,11,FALSE),"")</f>
        <v/>
      </c>
      <c r="I1829" s="26" t="str">
        <f>IFERROR(VLOOKUP(G1829,WholesaleExtract!B:O,8,FALSE),"")</f>
        <v/>
      </c>
      <c r="J1829" s="26" t="str">
        <f>IFERROR(VLOOKUP(G1829,WholesaleExtract!B:O,14,FALSE),"")</f>
        <v/>
      </c>
      <c r="K1829" s="26" t="str">
        <f>IFERROR(VLOOKUP(G1829,WholesaleExtract!B:K,10,FALSE),"")</f>
        <v/>
      </c>
      <c r="L1829" s="47" t="str">
        <f>IFERROR(VLOOKUP(G1829,WholesaleExtract!B:L,11,FALSE),"")</f>
        <v/>
      </c>
      <c r="M1829" s="47" t="str">
        <f>IFERROR(VLOOKUP(G1829,WholesaleExtract!B:M,12,FALSE),"")</f>
        <v/>
      </c>
      <c r="R1829" s="19"/>
      <c r="S1829" s="19"/>
    </row>
    <row r="1830" spans="1:19" x14ac:dyDescent="0.35">
      <c r="A1830" s="26" t="s">
        <v>543</v>
      </c>
      <c r="B1830" s="26" t="s">
        <v>543</v>
      </c>
      <c r="C1830" s="26"/>
      <c r="D1830" s="26" t="s">
        <v>543</v>
      </c>
      <c r="E1830" s="26" t="str">
        <f>IFERROR(VLOOKUP(G1830,WholesaleExtract!B:J,9,FALSE),"")</f>
        <v/>
      </c>
      <c r="F1830" s="26" t="str">
        <f>IFERROR(VLOOKUP(G1830,WholesaleExtract!B:J,6,FALSE),"")</f>
        <v/>
      </c>
      <c r="H1830" s="47" t="str">
        <f>IFERROR(VLOOKUP(G1830,WholesaleExtract!B:L,11,FALSE),"")</f>
        <v/>
      </c>
      <c r="I1830" s="26" t="str">
        <f>IFERROR(VLOOKUP(G1830,WholesaleExtract!B:O,8,FALSE),"")</f>
        <v/>
      </c>
      <c r="J1830" s="26" t="str">
        <f>IFERROR(VLOOKUP(G1830,WholesaleExtract!B:O,14,FALSE),"")</f>
        <v/>
      </c>
      <c r="K1830" s="26" t="str">
        <f>IFERROR(VLOOKUP(G1830,WholesaleExtract!B:K,10,FALSE),"")</f>
        <v/>
      </c>
      <c r="L1830" s="47" t="str">
        <f>IFERROR(VLOOKUP(G1830,WholesaleExtract!B:L,11,FALSE),"")</f>
        <v/>
      </c>
      <c r="M1830" s="47" t="str">
        <f>IFERROR(VLOOKUP(G1830,WholesaleExtract!B:M,12,FALSE),"")</f>
        <v/>
      </c>
      <c r="R1830" s="19"/>
      <c r="S1830" s="19"/>
    </row>
    <row r="1831" spans="1:19" x14ac:dyDescent="0.35">
      <c r="A1831" s="26" t="s">
        <v>543</v>
      </c>
      <c r="B1831" s="26" t="s">
        <v>543</v>
      </c>
      <c r="C1831" s="26"/>
      <c r="D1831" s="26" t="s">
        <v>543</v>
      </c>
      <c r="E1831" s="26" t="str">
        <f>IFERROR(VLOOKUP(G1831,WholesaleExtract!B:J,9,FALSE),"")</f>
        <v/>
      </c>
      <c r="F1831" s="26" t="str">
        <f>IFERROR(VLOOKUP(G1831,WholesaleExtract!B:J,6,FALSE),"")</f>
        <v/>
      </c>
      <c r="H1831" s="47" t="str">
        <f>IFERROR(VLOOKUP(G1831,WholesaleExtract!B:L,11,FALSE),"")</f>
        <v/>
      </c>
      <c r="I1831" s="26" t="str">
        <f>IFERROR(VLOOKUP(G1831,WholesaleExtract!B:O,8,FALSE),"")</f>
        <v/>
      </c>
      <c r="J1831" s="26" t="str">
        <f>IFERROR(VLOOKUP(G1831,WholesaleExtract!B:O,14,FALSE),"")</f>
        <v/>
      </c>
      <c r="K1831" s="26" t="str">
        <f>IFERROR(VLOOKUP(G1831,WholesaleExtract!B:K,10,FALSE),"")</f>
        <v/>
      </c>
      <c r="L1831" s="47" t="str">
        <f>IFERROR(VLOOKUP(G1831,WholesaleExtract!B:L,11,FALSE),"")</f>
        <v/>
      </c>
      <c r="M1831" s="47" t="str">
        <f>IFERROR(VLOOKUP(G1831,WholesaleExtract!B:M,12,FALSE),"")</f>
        <v/>
      </c>
      <c r="R1831" s="19"/>
      <c r="S1831" s="19"/>
    </row>
    <row r="1832" spans="1:19" x14ac:dyDescent="0.35">
      <c r="A1832" s="26" t="s">
        <v>543</v>
      </c>
      <c r="B1832" s="26" t="s">
        <v>543</v>
      </c>
      <c r="C1832" s="26"/>
      <c r="D1832" s="26" t="s">
        <v>543</v>
      </c>
      <c r="E1832" s="26" t="str">
        <f>IFERROR(VLOOKUP(G1832,WholesaleExtract!B:J,9,FALSE),"")</f>
        <v/>
      </c>
      <c r="F1832" s="26" t="str">
        <f>IFERROR(VLOOKUP(G1832,WholesaleExtract!B:J,6,FALSE),"")</f>
        <v/>
      </c>
      <c r="H1832" s="47" t="str">
        <f>IFERROR(VLOOKUP(G1832,WholesaleExtract!B:L,11,FALSE),"")</f>
        <v/>
      </c>
      <c r="I1832" s="26" t="str">
        <f>IFERROR(VLOOKUP(G1832,WholesaleExtract!B:O,8,FALSE),"")</f>
        <v/>
      </c>
      <c r="J1832" s="26" t="str">
        <f>IFERROR(VLOOKUP(G1832,WholesaleExtract!B:O,14,FALSE),"")</f>
        <v/>
      </c>
      <c r="K1832" s="26" t="str">
        <f>IFERROR(VLOOKUP(G1832,WholesaleExtract!B:K,10,FALSE),"")</f>
        <v/>
      </c>
      <c r="L1832" s="47" t="str">
        <f>IFERROR(VLOOKUP(G1832,WholesaleExtract!B:L,11,FALSE),"")</f>
        <v/>
      </c>
      <c r="M1832" s="47" t="str">
        <f>IFERROR(VLOOKUP(G1832,WholesaleExtract!B:M,12,FALSE),"")</f>
        <v/>
      </c>
      <c r="R1832" s="19"/>
      <c r="S1832" s="19"/>
    </row>
    <row r="1833" spans="1:19" x14ac:dyDescent="0.35">
      <c r="A1833" s="26" t="s">
        <v>543</v>
      </c>
      <c r="B1833" s="26" t="s">
        <v>543</v>
      </c>
      <c r="C1833" s="26"/>
      <c r="D1833" s="26" t="s">
        <v>543</v>
      </c>
      <c r="E1833" s="26" t="str">
        <f>IFERROR(VLOOKUP(G1833,WholesaleExtract!B:J,9,FALSE),"")</f>
        <v/>
      </c>
      <c r="F1833" s="26" t="str">
        <f>IFERROR(VLOOKUP(G1833,WholesaleExtract!B:J,6,FALSE),"")</f>
        <v/>
      </c>
      <c r="H1833" s="47" t="str">
        <f>IFERROR(VLOOKUP(G1833,WholesaleExtract!B:L,11,FALSE),"")</f>
        <v/>
      </c>
      <c r="I1833" s="26" t="str">
        <f>IFERROR(VLOOKUP(G1833,WholesaleExtract!B:O,8,FALSE),"")</f>
        <v/>
      </c>
      <c r="J1833" s="26" t="str">
        <f>IFERROR(VLOOKUP(G1833,WholesaleExtract!B:O,14,FALSE),"")</f>
        <v/>
      </c>
      <c r="K1833" s="26" t="str">
        <f>IFERROR(VLOOKUP(G1833,WholesaleExtract!B:K,10,FALSE),"")</f>
        <v/>
      </c>
      <c r="L1833" s="47" t="str">
        <f>IFERROR(VLOOKUP(G1833,WholesaleExtract!B:L,11,FALSE),"")</f>
        <v/>
      </c>
      <c r="M1833" s="47" t="str">
        <f>IFERROR(VLOOKUP(G1833,WholesaleExtract!B:M,12,FALSE),"")</f>
        <v/>
      </c>
      <c r="R1833" s="19"/>
      <c r="S1833" s="19"/>
    </row>
    <row r="1834" spans="1:19" x14ac:dyDescent="0.35">
      <c r="A1834" s="26" t="s">
        <v>543</v>
      </c>
      <c r="B1834" s="26" t="s">
        <v>543</v>
      </c>
      <c r="C1834" s="26"/>
      <c r="D1834" s="26" t="s">
        <v>543</v>
      </c>
      <c r="E1834" s="26" t="str">
        <f>IFERROR(VLOOKUP(G1834,WholesaleExtract!B:J,9,FALSE),"")</f>
        <v/>
      </c>
      <c r="F1834" s="26" t="str">
        <f>IFERROR(VLOOKUP(G1834,WholesaleExtract!B:J,6,FALSE),"")</f>
        <v/>
      </c>
      <c r="H1834" s="47" t="str">
        <f>IFERROR(VLOOKUP(G1834,WholesaleExtract!B:L,11,FALSE),"")</f>
        <v/>
      </c>
      <c r="I1834" s="26" t="str">
        <f>IFERROR(VLOOKUP(G1834,WholesaleExtract!B:O,8,FALSE),"")</f>
        <v/>
      </c>
      <c r="J1834" s="26" t="str">
        <f>IFERROR(VLOOKUP(G1834,WholesaleExtract!B:O,14,FALSE),"")</f>
        <v/>
      </c>
      <c r="K1834" s="26" t="str">
        <f>IFERROR(VLOOKUP(G1834,WholesaleExtract!B:K,10,FALSE),"")</f>
        <v/>
      </c>
      <c r="L1834" s="47" t="str">
        <f>IFERROR(VLOOKUP(G1834,WholesaleExtract!B:L,11,FALSE),"")</f>
        <v/>
      </c>
      <c r="M1834" s="47" t="str">
        <f>IFERROR(VLOOKUP(G1834,WholesaleExtract!B:M,12,FALSE),"")</f>
        <v/>
      </c>
      <c r="R1834" s="19"/>
      <c r="S1834" s="19"/>
    </row>
    <row r="1835" spans="1:19" x14ac:dyDescent="0.35">
      <c r="A1835" s="26" t="s">
        <v>543</v>
      </c>
      <c r="B1835" s="26" t="s">
        <v>543</v>
      </c>
      <c r="C1835" s="26"/>
      <c r="D1835" s="26" t="s">
        <v>543</v>
      </c>
      <c r="E1835" s="26" t="str">
        <f>IFERROR(VLOOKUP(G1835,WholesaleExtract!B:J,9,FALSE),"")</f>
        <v/>
      </c>
      <c r="F1835" s="26" t="str">
        <f>IFERROR(VLOOKUP(G1835,WholesaleExtract!B:J,6,FALSE),"")</f>
        <v/>
      </c>
      <c r="H1835" s="47" t="str">
        <f>IFERROR(VLOOKUP(G1835,WholesaleExtract!B:L,11,FALSE),"")</f>
        <v/>
      </c>
      <c r="I1835" s="26" t="str">
        <f>IFERROR(VLOOKUP(G1835,WholesaleExtract!B:O,8,FALSE),"")</f>
        <v/>
      </c>
      <c r="J1835" s="26" t="str">
        <f>IFERROR(VLOOKUP(G1835,WholesaleExtract!B:O,14,FALSE),"")</f>
        <v/>
      </c>
      <c r="K1835" s="26" t="str">
        <f>IFERROR(VLOOKUP(G1835,WholesaleExtract!B:K,10,FALSE),"")</f>
        <v/>
      </c>
      <c r="L1835" s="47" t="str">
        <f>IFERROR(VLOOKUP(G1835,WholesaleExtract!B:L,11,FALSE),"")</f>
        <v/>
      </c>
      <c r="M1835" s="47" t="str">
        <f>IFERROR(VLOOKUP(G1835,WholesaleExtract!B:M,12,FALSE),"")</f>
        <v/>
      </c>
      <c r="R1835" s="19"/>
      <c r="S1835" s="19"/>
    </row>
    <row r="1836" spans="1:19" x14ac:dyDescent="0.35">
      <c r="A1836" s="26" t="s">
        <v>543</v>
      </c>
      <c r="B1836" s="26" t="s">
        <v>543</v>
      </c>
      <c r="C1836" s="26"/>
      <c r="D1836" s="26" t="s">
        <v>543</v>
      </c>
      <c r="E1836" s="26" t="str">
        <f>IFERROR(VLOOKUP(G1836,WholesaleExtract!B:J,9,FALSE),"")</f>
        <v/>
      </c>
      <c r="F1836" s="26" t="str">
        <f>IFERROR(VLOOKUP(G1836,WholesaleExtract!B:J,6,FALSE),"")</f>
        <v/>
      </c>
      <c r="H1836" s="47" t="str">
        <f>IFERROR(VLOOKUP(G1836,WholesaleExtract!B:L,11,FALSE),"")</f>
        <v/>
      </c>
      <c r="I1836" s="26" t="str">
        <f>IFERROR(VLOOKUP(G1836,WholesaleExtract!B:O,8,FALSE),"")</f>
        <v/>
      </c>
      <c r="J1836" s="26" t="str">
        <f>IFERROR(VLOOKUP(G1836,WholesaleExtract!B:O,14,FALSE),"")</f>
        <v/>
      </c>
      <c r="K1836" s="26" t="str">
        <f>IFERROR(VLOOKUP(G1836,WholesaleExtract!B:K,10,FALSE),"")</f>
        <v/>
      </c>
      <c r="L1836" s="47" t="str">
        <f>IFERROR(VLOOKUP(G1836,WholesaleExtract!B:L,11,FALSE),"")</f>
        <v/>
      </c>
      <c r="M1836" s="47" t="str">
        <f>IFERROR(VLOOKUP(G1836,WholesaleExtract!B:M,12,FALSE),"")</f>
        <v/>
      </c>
      <c r="R1836" s="19"/>
      <c r="S1836" s="19"/>
    </row>
    <row r="1837" spans="1:19" x14ac:dyDescent="0.35">
      <c r="A1837" s="26" t="s">
        <v>543</v>
      </c>
      <c r="B1837" s="26" t="s">
        <v>543</v>
      </c>
      <c r="C1837" s="26"/>
      <c r="D1837" s="26" t="s">
        <v>543</v>
      </c>
      <c r="E1837" s="26" t="str">
        <f>IFERROR(VLOOKUP(G1837,WholesaleExtract!B:J,9,FALSE),"")</f>
        <v/>
      </c>
      <c r="F1837" s="26" t="str">
        <f>IFERROR(VLOOKUP(G1837,WholesaleExtract!B:J,6,FALSE),"")</f>
        <v/>
      </c>
      <c r="H1837" s="47" t="str">
        <f>IFERROR(VLOOKUP(G1837,WholesaleExtract!B:L,11,FALSE),"")</f>
        <v/>
      </c>
      <c r="I1837" s="26" t="str">
        <f>IFERROR(VLOOKUP(G1837,WholesaleExtract!B:O,8,FALSE),"")</f>
        <v/>
      </c>
      <c r="J1837" s="26" t="str">
        <f>IFERROR(VLOOKUP(G1837,WholesaleExtract!B:O,14,FALSE),"")</f>
        <v/>
      </c>
      <c r="K1837" s="26" t="str">
        <f>IFERROR(VLOOKUP(G1837,WholesaleExtract!B:K,10,FALSE),"")</f>
        <v/>
      </c>
      <c r="L1837" s="47" t="str">
        <f>IFERROR(VLOOKUP(G1837,WholesaleExtract!B:L,11,FALSE),"")</f>
        <v/>
      </c>
      <c r="M1837" s="47" t="str">
        <f>IFERROR(VLOOKUP(G1837,WholesaleExtract!B:M,12,FALSE),"")</f>
        <v/>
      </c>
      <c r="R1837" s="19"/>
      <c r="S1837" s="19"/>
    </row>
    <row r="1838" spans="1:19" x14ac:dyDescent="0.35">
      <c r="A1838" s="26" t="s">
        <v>543</v>
      </c>
      <c r="B1838" s="26" t="s">
        <v>543</v>
      </c>
      <c r="C1838" s="26"/>
      <c r="D1838" s="26" t="s">
        <v>543</v>
      </c>
      <c r="E1838" s="26" t="str">
        <f>IFERROR(VLOOKUP(G1838,WholesaleExtract!B:J,9,FALSE),"")</f>
        <v/>
      </c>
      <c r="F1838" s="26" t="str">
        <f>IFERROR(VLOOKUP(G1838,WholesaleExtract!B:J,6,FALSE),"")</f>
        <v/>
      </c>
      <c r="H1838" s="47" t="str">
        <f>IFERROR(VLOOKUP(G1838,WholesaleExtract!B:L,11,FALSE),"")</f>
        <v/>
      </c>
      <c r="I1838" s="26" t="str">
        <f>IFERROR(VLOOKUP(G1838,WholesaleExtract!B:O,8,FALSE),"")</f>
        <v/>
      </c>
      <c r="J1838" s="26" t="str">
        <f>IFERROR(VLOOKUP(G1838,WholesaleExtract!B:O,14,FALSE),"")</f>
        <v/>
      </c>
      <c r="K1838" s="26" t="str">
        <f>IFERROR(VLOOKUP(G1838,WholesaleExtract!B:K,10,FALSE),"")</f>
        <v/>
      </c>
      <c r="L1838" s="47" t="str">
        <f>IFERROR(VLOOKUP(G1838,WholesaleExtract!B:L,11,FALSE),"")</f>
        <v/>
      </c>
      <c r="M1838" s="47" t="str">
        <f>IFERROR(VLOOKUP(G1838,WholesaleExtract!B:M,12,FALSE),"")</f>
        <v/>
      </c>
      <c r="R1838" s="19"/>
      <c r="S1838" s="19"/>
    </row>
    <row r="1839" spans="1:19" x14ac:dyDescent="0.35">
      <c r="A1839" s="26" t="s">
        <v>543</v>
      </c>
      <c r="B1839" s="26" t="s">
        <v>543</v>
      </c>
      <c r="C1839" s="26"/>
      <c r="D1839" s="26" t="s">
        <v>543</v>
      </c>
      <c r="E1839" s="26" t="str">
        <f>IFERROR(VLOOKUP(G1839,WholesaleExtract!B:J,9,FALSE),"")</f>
        <v/>
      </c>
      <c r="F1839" s="26" t="str">
        <f>IFERROR(VLOOKUP(G1839,WholesaleExtract!B:J,6,FALSE),"")</f>
        <v/>
      </c>
      <c r="H1839" s="47" t="str">
        <f>IFERROR(VLOOKUP(G1839,WholesaleExtract!B:L,11,FALSE),"")</f>
        <v/>
      </c>
      <c r="I1839" s="26" t="str">
        <f>IFERROR(VLOOKUP(G1839,WholesaleExtract!B:O,8,FALSE),"")</f>
        <v/>
      </c>
      <c r="J1839" s="26" t="str">
        <f>IFERROR(VLOOKUP(G1839,WholesaleExtract!B:O,14,FALSE),"")</f>
        <v/>
      </c>
      <c r="K1839" s="26" t="str">
        <f>IFERROR(VLOOKUP(G1839,WholesaleExtract!B:K,10,FALSE),"")</f>
        <v/>
      </c>
      <c r="L1839" s="47" t="str">
        <f>IFERROR(VLOOKUP(G1839,WholesaleExtract!B:L,11,FALSE),"")</f>
        <v/>
      </c>
      <c r="M1839" s="47" t="str">
        <f>IFERROR(VLOOKUP(G1839,WholesaleExtract!B:M,12,FALSE),"")</f>
        <v/>
      </c>
      <c r="R1839" s="19"/>
      <c r="S1839" s="19"/>
    </row>
    <row r="1840" spans="1:19" x14ac:dyDescent="0.35">
      <c r="A1840" s="26" t="s">
        <v>543</v>
      </c>
      <c r="B1840" s="26" t="s">
        <v>543</v>
      </c>
      <c r="C1840" s="26"/>
      <c r="D1840" s="26" t="s">
        <v>543</v>
      </c>
      <c r="E1840" s="26" t="str">
        <f>IFERROR(VLOOKUP(G1840,WholesaleExtract!B:J,9,FALSE),"")</f>
        <v/>
      </c>
      <c r="F1840" s="26" t="str">
        <f>IFERROR(VLOOKUP(G1840,WholesaleExtract!B:J,6,FALSE),"")</f>
        <v/>
      </c>
      <c r="H1840" s="47" t="str">
        <f>IFERROR(VLOOKUP(G1840,WholesaleExtract!B:L,11,FALSE),"")</f>
        <v/>
      </c>
      <c r="I1840" s="26" t="str">
        <f>IFERROR(VLOOKUP(G1840,WholesaleExtract!B:O,8,FALSE),"")</f>
        <v/>
      </c>
      <c r="J1840" s="26" t="str">
        <f>IFERROR(VLOOKUP(G1840,WholesaleExtract!B:O,14,FALSE),"")</f>
        <v/>
      </c>
      <c r="K1840" s="26" t="str">
        <f>IFERROR(VLOOKUP(G1840,WholesaleExtract!B:K,10,FALSE),"")</f>
        <v/>
      </c>
      <c r="L1840" s="47" t="str">
        <f>IFERROR(VLOOKUP(G1840,WholesaleExtract!B:L,11,FALSE),"")</f>
        <v/>
      </c>
      <c r="M1840" s="47" t="str">
        <f>IFERROR(VLOOKUP(G1840,WholesaleExtract!B:M,12,FALSE),"")</f>
        <v/>
      </c>
      <c r="R1840" s="19"/>
      <c r="S1840" s="19"/>
    </row>
    <row r="1841" spans="1:19" x14ac:dyDescent="0.35">
      <c r="A1841" s="26" t="s">
        <v>543</v>
      </c>
      <c r="B1841" s="26" t="s">
        <v>543</v>
      </c>
      <c r="C1841" s="26"/>
      <c r="D1841" s="26" t="s">
        <v>543</v>
      </c>
      <c r="E1841" s="26" t="str">
        <f>IFERROR(VLOOKUP(G1841,WholesaleExtract!B:J,9,FALSE),"")</f>
        <v/>
      </c>
      <c r="F1841" s="26" t="str">
        <f>IFERROR(VLOOKUP(G1841,WholesaleExtract!B:J,6,FALSE),"")</f>
        <v/>
      </c>
      <c r="H1841" s="47" t="str">
        <f>IFERROR(VLOOKUP(G1841,WholesaleExtract!B:L,11,FALSE),"")</f>
        <v/>
      </c>
      <c r="I1841" s="26" t="str">
        <f>IFERROR(VLOOKUP(G1841,WholesaleExtract!B:O,8,FALSE),"")</f>
        <v/>
      </c>
      <c r="J1841" s="26" t="str">
        <f>IFERROR(VLOOKUP(G1841,WholesaleExtract!B:O,14,FALSE),"")</f>
        <v/>
      </c>
      <c r="K1841" s="26" t="str">
        <f>IFERROR(VLOOKUP(G1841,WholesaleExtract!B:K,10,FALSE),"")</f>
        <v/>
      </c>
      <c r="L1841" s="47" t="str">
        <f>IFERROR(VLOOKUP(G1841,WholesaleExtract!B:L,11,FALSE),"")</f>
        <v/>
      </c>
      <c r="M1841" s="47" t="str">
        <f>IFERROR(VLOOKUP(G1841,WholesaleExtract!B:M,12,FALSE),"")</f>
        <v/>
      </c>
      <c r="R1841" s="19"/>
      <c r="S1841" s="19"/>
    </row>
    <row r="1842" spans="1:19" x14ac:dyDescent="0.35">
      <c r="A1842" s="26" t="s">
        <v>543</v>
      </c>
      <c r="B1842" s="26" t="s">
        <v>543</v>
      </c>
      <c r="C1842" s="26"/>
      <c r="D1842" s="26" t="s">
        <v>543</v>
      </c>
      <c r="E1842" s="26" t="str">
        <f>IFERROR(VLOOKUP(G1842,WholesaleExtract!B:J,9,FALSE),"")</f>
        <v/>
      </c>
      <c r="F1842" s="26" t="str">
        <f>IFERROR(VLOOKUP(G1842,WholesaleExtract!B:J,6,FALSE),"")</f>
        <v/>
      </c>
      <c r="H1842" s="47" t="str">
        <f>IFERROR(VLOOKUP(G1842,WholesaleExtract!B:L,11,FALSE),"")</f>
        <v/>
      </c>
      <c r="I1842" s="26" t="str">
        <f>IFERROR(VLOOKUP(G1842,WholesaleExtract!B:O,8,FALSE),"")</f>
        <v/>
      </c>
      <c r="J1842" s="26" t="str">
        <f>IFERROR(VLOOKUP(G1842,WholesaleExtract!B:O,14,FALSE),"")</f>
        <v/>
      </c>
      <c r="K1842" s="26" t="str">
        <f>IFERROR(VLOOKUP(G1842,WholesaleExtract!B:K,10,FALSE),"")</f>
        <v/>
      </c>
      <c r="L1842" s="47" t="str">
        <f>IFERROR(VLOOKUP(G1842,WholesaleExtract!B:L,11,FALSE),"")</f>
        <v/>
      </c>
      <c r="M1842" s="47" t="str">
        <f>IFERROR(VLOOKUP(G1842,WholesaleExtract!B:M,12,FALSE),"")</f>
        <v/>
      </c>
      <c r="R1842" s="19"/>
      <c r="S1842" s="19"/>
    </row>
    <row r="1843" spans="1:19" x14ac:dyDescent="0.35">
      <c r="A1843" s="26" t="s">
        <v>543</v>
      </c>
      <c r="B1843" s="26" t="s">
        <v>543</v>
      </c>
      <c r="C1843" s="26"/>
      <c r="D1843" s="26" t="s">
        <v>543</v>
      </c>
      <c r="E1843" s="26" t="str">
        <f>IFERROR(VLOOKUP(G1843,WholesaleExtract!B:J,9,FALSE),"")</f>
        <v/>
      </c>
      <c r="F1843" s="26" t="str">
        <f>IFERROR(VLOOKUP(G1843,WholesaleExtract!B:J,6,FALSE),"")</f>
        <v/>
      </c>
      <c r="H1843" s="47" t="str">
        <f>IFERROR(VLOOKUP(G1843,WholesaleExtract!B:L,11,FALSE),"")</f>
        <v/>
      </c>
      <c r="I1843" s="26" t="str">
        <f>IFERROR(VLOOKUP(G1843,WholesaleExtract!B:O,8,FALSE),"")</f>
        <v/>
      </c>
      <c r="J1843" s="26" t="str">
        <f>IFERROR(VLOOKUP(G1843,WholesaleExtract!B:O,14,FALSE),"")</f>
        <v/>
      </c>
      <c r="K1843" s="26" t="str">
        <f>IFERROR(VLOOKUP(G1843,WholesaleExtract!B:K,10,FALSE),"")</f>
        <v/>
      </c>
      <c r="L1843" s="47" t="str">
        <f>IFERROR(VLOOKUP(G1843,WholesaleExtract!B:L,11,FALSE),"")</f>
        <v/>
      </c>
      <c r="M1843" s="47" t="str">
        <f>IFERROR(VLOOKUP(G1843,WholesaleExtract!B:M,12,FALSE),"")</f>
        <v/>
      </c>
      <c r="R1843" s="19"/>
      <c r="S1843" s="19"/>
    </row>
    <row r="1844" spans="1:19" x14ac:dyDescent="0.35">
      <c r="A1844" s="26" t="s">
        <v>543</v>
      </c>
      <c r="B1844" s="26" t="s">
        <v>543</v>
      </c>
      <c r="C1844" s="26"/>
      <c r="D1844" s="26" t="s">
        <v>543</v>
      </c>
      <c r="E1844" s="26" t="str">
        <f>IFERROR(VLOOKUP(G1844,WholesaleExtract!B:J,9,FALSE),"")</f>
        <v/>
      </c>
      <c r="F1844" s="26" t="str">
        <f>IFERROR(VLOOKUP(G1844,WholesaleExtract!B:J,6,FALSE),"")</f>
        <v/>
      </c>
      <c r="H1844" s="47" t="str">
        <f>IFERROR(VLOOKUP(G1844,WholesaleExtract!B:L,11,FALSE),"")</f>
        <v/>
      </c>
      <c r="I1844" s="26" t="str">
        <f>IFERROR(VLOOKUP(G1844,WholesaleExtract!B:O,8,FALSE),"")</f>
        <v/>
      </c>
      <c r="J1844" s="26" t="str">
        <f>IFERROR(VLOOKUP(G1844,WholesaleExtract!B:O,14,FALSE),"")</f>
        <v/>
      </c>
      <c r="K1844" s="26" t="str">
        <f>IFERROR(VLOOKUP(G1844,WholesaleExtract!B:K,10,FALSE),"")</f>
        <v/>
      </c>
      <c r="L1844" s="47" t="str">
        <f>IFERROR(VLOOKUP(G1844,WholesaleExtract!B:L,11,FALSE),"")</f>
        <v/>
      </c>
      <c r="M1844" s="47" t="str">
        <f>IFERROR(VLOOKUP(G1844,WholesaleExtract!B:M,12,FALSE),"")</f>
        <v/>
      </c>
      <c r="R1844" s="19"/>
      <c r="S1844" s="19"/>
    </row>
    <row r="1845" spans="1:19" x14ac:dyDescent="0.35">
      <c r="A1845" s="26" t="s">
        <v>543</v>
      </c>
      <c r="B1845" s="26" t="s">
        <v>543</v>
      </c>
      <c r="C1845" s="26"/>
      <c r="D1845" s="26" t="s">
        <v>543</v>
      </c>
      <c r="E1845" s="26" t="str">
        <f>IFERROR(VLOOKUP(G1845,WholesaleExtract!B:J,9,FALSE),"")</f>
        <v/>
      </c>
      <c r="F1845" s="26" t="str">
        <f>IFERROR(VLOOKUP(G1845,WholesaleExtract!B:J,6,FALSE),"")</f>
        <v/>
      </c>
      <c r="H1845" s="47" t="str">
        <f>IFERROR(VLOOKUP(G1845,WholesaleExtract!B:L,11,FALSE),"")</f>
        <v/>
      </c>
      <c r="I1845" s="26" t="str">
        <f>IFERROR(VLOOKUP(G1845,WholesaleExtract!B:O,8,FALSE),"")</f>
        <v/>
      </c>
      <c r="J1845" s="26" t="str">
        <f>IFERROR(VLOOKUP(G1845,WholesaleExtract!B:O,14,FALSE),"")</f>
        <v/>
      </c>
      <c r="K1845" s="26" t="str">
        <f>IFERROR(VLOOKUP(G1845,WholesaleExtract!B:K,10,FALSE),"")</f>
        <v/>
      </c>
      <c r="L1845" s="47" t="str">
        <f>IFERROR(VLOOKUP(G1845,WholesaleExtract!B:L,11,FALSE),"")</f>
        <v/>
      </c>
      <c r="M1845" s="47" t="str">
        <f>IFERROR(VLOOKUP(G1845,WholesaleExtract!B:M,12,FALSE),"")</f>
        <v/>
      </c>
      <c r="R1845" s="19"/>
      <c r="S1845" s="19"/>
    </row>
    <row r="1846" spans="1:19" x14ac:dyDescent="0.35">
      <c r="A1846" s="26" t="s">
        <v>543</v>
      </c>
      <c r="B1846" s="26" t="s">
        <v>543</v>
      </c>
      <c r="C1846" s="26"/>
      <c r="D1846" s="26" t="s">
        <v>543</v>
      </c>
      <c r="E1846" s="26" t="str">
        <f>IFERROR(VLOOKUP(G1846,WholesaleExtract!B:J,9,FALSE),"")</f>
        <v/>
      </c>
      <c r="F1846" s="26" t="str">
        <f>IFERROR(VLOOKUP(G1846,WholesaleExtract!B:J,6,FALSE),"")</f>
        <v/>
      </c>
      <c r="H1846" s="47" t="str">
        <f>IFERROR(VLOOKUP(G1846,WholesaleExtract!B:L,11,FALSE),"")</f>
        <v/>
      </c>
      <c r="I1846" s="26" t="str">
        <f>IFERROR(VLOOKUP(G1846,WholesaleExtract!B:O,8,FALSE),"")</f>
        <v/>
      </c>
      <c r="J1846" s="26" t="str">
        <f>IFERROR(VLOOKUP(G1846,WholesaleExtract!B:O,14,FALSE),"")</f>
        <v/>
      </c>
      <c r="K1846" s="26" t="str">
        <f>IFERROR(VLOOKUP(G1846,WholesaleExtract!B:K,10,FALSE),"")</f>
        <v/>
      </c>
      <c r="L1846" s="47" t="str">
        <f>IFERROR(VLOOKUP(G1846,WholesaleExtract!B:L,11,FALSE),"")</f>
        <v/>
      </c>
      <c r="M1846" s="47" t="str">
        <f>IFERROR(VLOOKUP(G1846,WholesaleExtract!B:M,12,FALSE),"")</f>
        <v/>
      </c>
      <c r="R1846" s="19"/>
      <c r="S1846" s="19"/>
    </row>
    <row r="1847" spans="1:19" x14ac:dyDescent="0.35">
      <c r="A1847" s="26" t="s">
        <v>543</v>
      </c>
      <c r="B1847" s="26" t="s">
        <v>543</v>
      </c>
      <c r="C1847" s="26"/>
      <c r="D1847" s="26" t="s">
        <v>543</v>
      </c>
      <c r="E1847" s="26" t="str">
        <f>IFERROR(VLOOKUP(G1847,WholesaleExtract!B:J,9,FALSE),"")</f>
        <v/>
      </c>
      <c r="F1847" s="26" t="str">
        <f>IFERROR(VLOOKUP(G1847,WholesaleExtract!B:J,6,FALSE),"")</f>
        <v/>
      </c>
      <c r="H1847" s="47" t="str">
        <f>IFERROR(VLOOKUP(G1847,WholesaleExtract!B:L,11,FALSE),"")</f>
        <v/>
      </c>
      <c r="I1847" s="26" t="str">
        <f>IFERROR(VLOOKUP(G1847,WholesaleExtract!B:O,8,FALSE),"")</f>
        <v/>
      </c>
      <c r="J1847" s="26" t="str">
        <f>IFERROR(VLOOKUP(G1847,WholesaleExtract!B:O,14,FALSE),"")</f>
        <v/>
      </c>
      <c r="K1847" s="26" t="str">
        <f>IFERROR(VLOOKUP(G1847,WholesaleExtract!B:K,10,FALSE),"")</f>
        <v/>
      </c>
      <c r="L1847" s="47" t="str">
        <f>IFERROR(VLOOKUP(G1847,WholesaleExtract!B:L,11,FALSE),"")</f>
        <v/>
      </c>
      <c r="M1847" s="47" t="str">
        <f>IFERROR(VLOOKUP(G1847,WholesaleExtract!B:M,12,FALSE),"")</f>
        <v/>
      </c>
      <c r="R1847" s="19"/>
      <c r="S1847" s="19"/>
    </row>
    <row r="1848" spans="1:19" x14ac:dyDescent="0.35">
      <c r="A1848" s="26" t="s">
        <v>543</v>
      </c>
      <c r="B1848" s="26" t="s">
        <v>543</v>
      </c>
      <c r="C1848" s="26"/>
      <c r="D1848" s="26" t="s">
        <v>543</v>
      </c>
      <c r="E1848" s="26" t="str">
        <f>IFERROR(VLOOKUP(G1848,WholesaleExtract!B:J,9,FALSE),"")</f>
        <v/>
      </c>
      <c r="F1848" s="26" t="str">
        <f>IFERROR(VLOOKUP(G1848,WholesaleExtract!B:J,6,FALSE),"")</f>
        <v/>
      </c>
      <c r="H1848" s="47" t="str">
        <f>IFERROR(VLOOKUP(G1848,WholesaleExtract!B:L,11,FALSE),"")</f>
        <v/>
      </c>
      <c r="I1848" s="26" t="str">
        <f>IFERROR(VLOOKUP(G1848,WholesaleExtract!B:O,8,FALSE),"")</f>
        <v/>
      </c>
      <c r="J1848" s="26" t="str">
        <f>IFERROR(VLOOKUP(G1848,WholesaleExtract!B:O,14,FALSE),"")</f>
        <v/>
      </c>
      <c r="K1848" s="26" t="str">
        <f>IFERROR(VLOOKUP(G1848,WholesaleExtract!B:K,10,FALSE),"")</f>
        <v/>
      </c>
      <c r="L1848" s="47" t="str">
        <f>IFERROR(VLOOKUP(G1848,WholesaleExtract!B:L,11,FALSE),"")</f>
        <v/>
      </c>
      <c r="M1848" s="47" t="str">
        <f>IFERROR(VLOOKUP(G1848,WholesaleExtract!B:M,12,FALSE),"")</f>
        <v/>
      </c>
      <c r="R1848" s="19"/>
      <c r="S1848" s="19"/>
    </row>
    <row r="1849" spans="1:19" x14ac:dyDescent="0.35">
      <c r="A1849" s="26" t="s">
        <v>543</v>
      </c>
      <c r="B1849" s="26" t="s">
        <v>543</v>
      </c>
      <c r="C1849" s="26"/>
      <c r="D1849" s="26" t="s">
        <v>543</v>
      </c>
      <c r="E1849" s="26" t="str">
        <f>IFERROR(VLOOKUP(G1849,WholesaleExtract!B:J,9,FALSE),"")</f>
        <v/>
      </c>
      <c r="F1849" s="26" t="str">
        <f>IFERROR(VLOOKUP(G1849,WholesaleExtract!B:J,6,FALSE),"")</f>
        <v/>
      </c>
      <c r="H1849" s="47" t="str">
        <f>IFERROR(VLOOKUP(G1849,WholesaleExtract!B:L,11,FALSE),"")</f>
        <v/>
      </c>
      <c r="I1849" s="26" t="str">
        <f>IFERROR(VLOOKUP(G1849,WholesaleExtract!B:O,8,FALSE),"")</f>
        <v/>
      </c>
      <c r="J1849" s="26" t="str">
        <f>IFERROR(VLOOKUP(G1849,WholesaleExtract!B:O,14,FALSE),"")</f>
        <v/>
      </c>
      <c r="K1849" s="26" t="str">
        <f>IFERROR(VLOOKUP(G1849,WholesaleExtract!B:K,10,FALSE),"")</f>
        <v/>
      </c>
      <c r="L1849" s="47" t="str">
        <f>IFERROR(VLOOKUP(G1849,WholesaleExtract!B:L,11,FALSE),"")</f>
        <v/>
      </c>
      <c r="M1849" s="47" t="str">
        <f>IFERROR(VLOOKUP(G1849,WholesaleExtract!B:M,12,FALSE),"")</f>
        <v/>
      </c>
      <c r="R1849" s="19"/>
      <c r="S1849" s="19"/>
    </row>
    <row r="1850" spans="1:19" x14ac:dyDescent="0.35">
      <c r="A1850" s="26" t="s">
        <v>543</v>
      </c>
      <c r="B1850" s="26" t="s">
        <v>543</v>
      </c>
      <c r="C1850" s="26"/>
      <c r="D1850" s="26" t="s">
        <v>543</v>
      </c>
      <c r="E1850" s="26" t="str">
        <f>IFERROR(VLOOKUP(G1850,WholesaleExtract!B:J,9,FALSE),"")</f>
        <v/>
      </c>
      <c r="F1850" s="26" t="str">
        <f>IFERROR(VLOOKUP(G1850,WholesaleExtract!B:J,6,FALSE),"")</f>
        <v/>
      </c>
      <c r="H1850" s="47" t="str">
        <f>IFERROR(VLOOKUP(G1850,WholesaleExtract!B:L,11,FALSE),"")</f>
        <v/>
      </c>
      <c r="I1850" s="26" t="str">
        <f>IFERROR(VLOOKUP(G1850,WholesaleExtract!B:O,8,FALSE),"")</f>
        <v/>
      </c>
      <c r="J1850" s="26" t="str">
        <f>IFERROR(VLOOKUP(G1850,WholesaleExtract!B:O,14,FALSE),"")</f>
        <v/>
      </c>
      <c r="K1850" s="26" t="str">
        <f>IFERROR(VLOOKUP(G1850,WholesaleExtract!B:K,10,FALSE),"")</f>
        <v/>
      </c>
      <c r="L1850" s="47" t="str">
        <f>IFERROR(VLOOKUP(G1850,WholesaleExtract!B:L,11,FALSE),"")</f>
        <v/>
      </c>
      <c r="M1850" s="47" t="str">
        <f>IFERROR(VLOOKUP(G1850,WholesaleExtract!B:M,12,FALSE),"")</f>
        <v/>
      </c>
      <c r="R1850" s="19"/>
      <c r="S1850" s="19"/>
    </row>
    <row r="1851" spans="1:19" x14ac:dyDescent="0.35">
      <c r="A1851" s="26" t="s">
        <v>543</v>
      </c>
      <c r="B1851" s="26" t="s">
        <v>543</v>
      </c>
      <c r="C1851" s="26"/>
      <c r="D1851" s="26" t="s">
        <v>543</v>
      </c>
      <c r="E1851" s="26" t="str">
        <f>IFERROR(VLOOKUP(G1851,WholesaleExtract!B:J,9,FALSE),"")</f>
        <v/>
      </c>
      <c r="F1851" s="26" t="str">
        <f>IFERROR(VLOOKUP(G1851,WholesaleExtract!B:J,6,FALSE),"")</f>
        <v/>
      </c>
      <c r="H1851" s="47" t="str">
        <f>IFERROR(VLOOKUP(G1851,WholesaleExtract!B:L,11,FALSE),"")</f>
        <v/>
      </c>
      <c r="I1851" s="26" t="str">
        <f>IFERROR(VLOOKUP(G1851,WholesaleExtract!B:O,8,FALSE),"")</f>
        <v/>
      </c>
      <c r="J1851" s="26" t="str">
        <f>IFERROR(VLOOKUP(G1851,WholesaleExtract!B:O,14,FALSE),"")</f>
        <v/>
      </c>
      <c r="K1851" s="26" t="str">
        <f>IFERROR(VLOOKUP(G1851,WholesaleExtract!B:K,10,FALSE),"")</f>
        <v/>
      </c>
      <c r="L1851" s="47" t="str">
        <f>IFERROR(VLOOKUP(G1851,WholesaleExtract!B:L,11,FALSE),"")</f>
        <v/>
      </c>
      <c r="M1851" s="47" t="str">
        <f>IFERROR(VLOOKUP(G1851,WholesaleExtract!B:M,12,FALSE),"")</f>
        <v/>
      </c>
      <c r="R1851" s="19"/>
      <c r="S1851" s="19"/>
    </row>
    <row r="1852" spans="1:19" x14ac:dyDescent="0.35">
      <c r="A1852" s="26" t="s">
        <v>543</v>
      </c>
      <c r="B1852" s="26" t="s">
        <v>543</v>
      </c>
      <c r="C1852" s="26"/>
      <c r="D1852" s="26" t="s">
        <v>543</v>
      </c>
      <c r="E1852" s="26" t="str">
        <f>IFERROR(VLOOKUP(G1852,WholesaleExtract!B:J,9,FALSE),"")</f>
        <v/>
      </c>
      <c r="F1852" s="26" t="str">
        <f>IFERROR(VLOOKUP(G1852,WholesaleExtract!B:J,6,FALSE),"")</f>
        <v/>
      </c>
      <c r="H1852" s="47" t="str">
        <f>IFERROR(VLOOKUP(G1852,WholesaleExtract!B:L,11,FALSE),"")</f>
        <v/>
      </c>
      <c r="I1852" s="26" t="str">
        <f>IFERROR(VLOOKUP(G1852,WholesaleExtract!B:O,8,FALSE),"")</f>
        <v/>
      </c>
      <c r="J1852" s="26" t="str">
        <f>IFERROR(VLOOKUP(G1852,WholesaleExtract!B:O,14,FALSE),"")</f>
        <v/>
      </c>
      <c r="K1852" s="26" t="str">
        <f>IFERROR(VLOOKUP(G1852,WholesaleExtract!B:K,10,FALSE),"")</f>
        <v/>
      </c>
      <c r="L1852" s="47" t="str">
        <f>IFERROR(VLOOKUP(G1852,WholesaleExtract!B:L,11,FALSE),"")</f>
        <v/>
      </c>
      <c r="M1852" s="47" t="str">
        <f>IFERROR(VLOOKUP(G1852,WholesaleExtract!B:M,12,FALSE),"")</f>
        <v/>
      </c>
      <c r="R1852" s="19"/>
      <c r="S1852" s="19"/>
    </row>
    <row r="1853" spans="1:19" x14ac:dyDescent="0.35">
      <c r="A1853" s="26" t="s">
        <v>543</v>
      </c>
      <c r="B1853" s="26" t="s">
        <v>543</v>
      </c>
      <c r="C1853" s="26"/>
      <c r="D1853" s="26" t="s">
        <v>543</v>
      </c>
      <c r="E1853" s="26" t="str">
        <f>IFERROR(VLOOKUP(G1853,WholesaleExtract!B:J,9,FALSE),"")</f>
        <v/>
      </c>
      <c r="F1853" s="26" t="str">
        <f>IFERROR(VLOOKUP(G1853,WholesaleExtract!B:J,6,FALSE),"")</f>
        <v/>
      </c>
      <c r="H1853" s="47" t="str">
        <f>IFERROR(VLOOKUP(G1853,WholesaleExtract!B:L,11,FALSE),"")</f>
        <v/>
      </c>
      <c r="I1853" s="26" t="str">
        <f>IFERROR(VLOOKUP(G1853,WholesaleExtract!B:O,8,FALSE),"")</f>
        <v/>
      </c>
      <c r="J1853" s="26" t="str">
        <f>IFERROR(VLOOKUP(G1853,WholesaleExtract!B:O,14,FALSE),"")</f>
        <v/>
      </c>
      <c r="K1853" s="26" t="str">
        <f>IFERROR(VLOOKUP(G1853,WholesaleExtract!B:K,10,FALSE),"")</f>
        <v/>
      </c>
      <c r="L1853" s="47" t="str">
        <f>IFERROR(VLOOKUP(G1853,WholesaleExtract!B:L,11,FALSE),"")</f>
        <v/>
      </c>
      <c r="M1853" s="47" t="str">
        <f>IFERROR(VLOOKUP(G1853,WholesaleExtract!B:M,12,FALSE),"")</f>
        <v/>
      </c>
      <c r="R1853" s="19"/>
      <c r="S1853" s="19"/>
    </row>
    <row r="1854" spans="1:19" x14ac:dyDescent="0.35">
      <c r="A1854" s="26" t="s">
        <v>543</v>
      </c>
      <c r="B1854" s="26" t="s">
        <v>543</v>
      </c>
      <c r="C1854" s="26"/>
      <c r="D1854" s="26" t="s">
        <v>543</v>
      </c>
      <c r="E1854" s="26" t="str">
        <f>IFERROR(VLOOKUP(G1854,WholesaleExtract!B:J,9,FALSE),"")</f>
        <v/>
      </c>
      <c r="F1854" s="26" t="str">
        <f>IFERROR(VLOOKUP(G1854,WholesaleExtract!B:J,6,FALSE),"")</f>
        <v/>
      </c>
      <c r="H1854" s="47" t="str">
        <f>IFERROR(VLOOKUP(G1854,WholesaleExtract!B:L,11,FALSE),"")</f>
        <v/>
      </c>
      <c r="I1854" s="26" t="str">
        <f>IFERROR(VLOOKUP(G1854,WholesaleExtract!B:O,8,FALSE),"")</f>
        <v/>
      </c>
      <c r="J1854" s="26" t="str">
        <f>IFERROR(VLOOKUP(G1854,WholesaleExtract!B:O,14,FALSE),"")</f>
        <v/>
      </c>
      <c r="K1854" s="26" t="str">
        <f>IFERROR(VLOOKUP(G1854,WholesaleExtract!B:K,10,FALSE),"")</f>
        <v/>
      </c>
      <c r="L1854" s="47" t="str">
        <f>IFERROR(VLOOKUP(G1854,WholesaleExtract!B:L,11,FALSE),"")</f>
        <v/>
      </c>
      <c r="M1854" s="47" t="str">
        <f>IFERROR(VLOOKUP(G1854,WholesaleExtract!B:M,12,FALSE),"")</f>
        <v/>
      </c>
      <c r="R1854" s="19"/>
      <c r="S1854" s="19"/>
    </row>
    <row r="1855" spans="1:19" x14ac:dyDescent="0.35">
      <c r="A1855" s="26" t="s">
        <v>543</v>
      </c>
      <c r="B1855" s="26" t="s">
        <v>543</v>
      </c>
      <c r="C1855" s="26"/>
      <c r="D1855" s="26" t="s">
        <v>543</v>
      </c>
      <c r="E1855" s="26" t="str">
        <f>IFERROR(VLOOKUP(G1855,WholesaleExtract!B:J,9,FALSE),"")</f>
        <v/>
      </c>
      <c r="F1855" s="26" t="str">
        <f>IFERROR(VLOOKUP(G1855,WholesaleExtract!B:J,6,FALSE),"")</f>
        <v/>
      </c>
      <c r="H1855" s="47" t="str">
        <f>IFERROR(VLOOKUP(G1855,WholesaleExtract!B:L,11,FALSE),"")</f>
        <v/>
      </c>
      <c r="I1855" s="26" t="str">
        <f>IFERROR(VLOOKUP(G1855,WholesaleExtract!B:O,8,FALSE),"")</f>
        <v/>
      </c>
      <c r="J1855" s="26" t="str">
        <f>IFERROR(VLOOKUP(G1855,WholesaleExtract!B:O,14,FALSE),"")</f>
        <v/>
      </c>
      <c r="K1855" s="26" t="str">
        <f>IFERROR(VLOOKUP(G1855,WholesaleExtract!B:K,10,FALSE),"")</f>
        <v/>
      </c>
      <c r="L1855" s="47" t="str">
        <f>IFERROR(VLOOKUP(G1855,WholesaleExtract!B:L,11,FALSE),"")</f>
        <v/>
      </c>
      <c r="M1855" s="47" t="str">
        <f>IFERROR(VLOOKUP(G1855,WholesaleExtract!B:M,12,FALSE),"")</f>
        <v/>
      </c>
      <c r="R1855" s="19"/>
      <c r="S1855" s="19"/>
    </row>
    <row r="1856" spans="1:19" x14ac:dyDescent="0.35">
      <c r="A1856" s="26" t="s">
        <v>543</v>
      </c>
      <c r="B1856" s="26" t="s">
        <v>543</v>
      </c>
      <c r="C1856" s="26"/>
      <c r="D1856" s="26" t="s">
        <v>543</v>
      </c>
      <c r="E1856" s="26" t="str">
        <f>IFERROR(VLOOKUP(G1856,WholesaleExtract!B:J,9,FALSE),"")</f>
        <v/>
      </c>
      <c r="F1856" s="26" t="str">
        <f>IFERROR(VLOOKUP(G1856,WholesaleExtract!B:J,6,FALSE),"")</f>
        <v/>
      </c>
      <c r="H1856" s="47" t="str">
        <f>IFERROR(VLOOKUP(G1856,WholesaleExtract!B:L,11,FALSE),"")</f>
        <v/>
      </c>
      <c r="I1856" s="26" t="str">
        <f>IFERROR(VLOOKUP(G1856,WholesaleExtract!B:O,8,FALSE),"")</f>
        <v/>
      </c>
      <c r="J1856" s="26" t="str">
        <f>IFERROR(VLOOKUP(G1856,WholesaleExtract!B:O,14,FALSE),"")</f>
        <v/>
      </c>
      <c r="K1856" s="26" t="str">
        <f>IFERROR(VLOOKUP(G1856,WholesaleExtract!B:K,10,FALSE),"")</f>
        <v/>
      </c>
      <c r="L1856" s="47" t="str">
        <f>IFERROR(VLOOKUP(G1856,WholesaleExtract!B:L,11,FALSE),"")</f>
        <v/>
      </c>
      <c r="M1856" s="47" t="str">
        <f>IFERROR(VLOOKUP(G1856,WholesaleExtract!B:M,12,FALSE),"")</f>
        <v/>
      </c>
      <c r="R1856" s="19"/>
      <c r="S1856" s="19"/>
    </row>
    <row r="1857" spans="1:19" x14ac:dyDescent="0.35">
      <c r="A1857" s="26" t="s">
        <v>543</v>
      </c>
      <c r="B1857" s="26" t="s">
        <v>543</v>
      </c>
      <c r="C1857" s="26"/>
      <c r="D1857" s="26" t="s">
        <v>543</v>
      </c>
      <c r="E1857" s="26" t="str">
        <f>IFERROR(VLOOKUP(G1857,WholesaleExtract!B:J,9,FALSE),"")</f>
        <v/>
      </c>
      <c r="F1857" s="26" t="str">
        <f>IFERROR(VLOOKUP(G1857,WholesaleExtract!B:J,6,FALSE),"")</f>
        <v/>
      </c>
      <c r="H1857" s="47" t="str">
        <f>IFERROR(VLOOKUP(G1857,WholesaleExtract!B:L,11,FALSE),"")</f>
        <v/>
      </c>
      <c r="I1857" s="26" t="str">
        <f>IFERROR(VLOOKUP(G1857,WholesaleExtract!B:O,8,FALSE),"")</f>
        <v/>
      </c>
      <c r="J1857" s="26" t="str">
        <f>IFERROR(VLOOKUP(G1857,WholesaleExtract!B:O,14,FALSE),"")</f>
        <v/>
      </c>
      <c r="K1857" s="26" t="str">
        <f>IFERROR(VLOOKUP(G1857,WholesaleExtract!B:K,10,FALSE),"")</f>
        <v/>
      </c>
      <c r="L1857" s="47" t="str">
        <f>IFERROR(VLOOKUP(G1857,WholesaleExtract!B:L,11,FALSE),"")</f>
        <v/>
      </c>
      <c r="M1857" s="47" t="str">
        <f>IFERROR(VLOOKUP(G1857,WholesaleExtract!B:M,12,FALSE),"")</f>
        <v/>
      </c>
      <c r="R1857" s="19"/>
      <c r="S1857" s="19"/>
    </row>
    <row r="1858" spans="1:19" x14ac:dyDescent="0.35">
      <c r="A1858" s="26" t="s">
        <v>543</v>
      </c>
      <c r="B1858" s="26" t="s">
        <v>543</v>
      </c>
      <c r="C1858" s="26"/>
      <c r="D1858" s="26" t="s">
        <v>543</v>
      </c>
      <c r="E1858" s="26" t="str">
        <f>IFERROR(VLOOKUP(G1858,WholesaleExtract!B:J,9,FALSE),"")</f>
        <v/>
      </c>
      <c r="F1858" s="26" t="str">
        <f>IFERROR(VLOOKUP(G1858,WholesaleExtract!B:J,6,FALSE),"")</f>
        <v/>
      </c>
      <c r="H1858" s="47" t="str">
        <f>IFERROR(VLOOKUP(G1858,WholesaleExtract!B:L,11,FALSE),"")</f>
        <v/>
      </c>
      <c r="I1858" s="26" t="str">
        <f>IFERROR(VLOOKUP(G1858,WholesaleExtract!B:O,8,FALSE),"")</f>
        <v/>
      </c>
      <c r="J1858" s="26" t="str">
        <f>IFERROR(VLOOKUP(G1858,WholesaleExtract!B:O,14,FALSE),"")</f>
        <v/>
      </c>
      <c r="K1858" s="26" t="str">
        <f>IFERROR(VLOOKUP(G1858,WholesaleExtract!B:K,10,FALSE),"")</f>
        <v/>
      </c>
      <c r="L1858" s="47" t="str">
        <f>IFERROR(VLOOKUP(G1858,WholesaleExtract!B:L,11,FALSE),"")</f>
        <v/>
      </c>
      <c r="M1858" s="47" t="str">
        <f>IFERROR(VLOOKUP(G1858,WholesaleExtract!B:M,12,FALSE),"")</f>
        <v/>
      </c>
      <c r="R1858" s="19"/>
      <c r="S1858" s="19"/>
    </row>
    <row r="1859" spans="1:19" x14ac:dyDescent="0.35">
      <c r="A1859" s="26" t="s">
        <v>543</v>
      </c>
      <c r="B1859" s="26" t="s">
        <v>543</v>
      </c>
      <c r="C1859" s="26"/>
      <c r="D1859" s="26" t="s">
        <v>543</v>
      </c>
      <c r="E1859" s="26" t="str">
        <f>IFERROR(VLOOKUP(G1859,WholesaleExtract!B:J,9,FALSE),"")</f>
        <v/>
      </c>
      <c r="F1859" s="26" t="str">
        <f>IFERROR(VLOOKUP(G1859,WholesaleExtract!B:J,6,FALSE),"")</f>
        <v/>
      </c>
      <c r="H1859" s="47" t="str">
        <f>IFERROR(VLOOKUP(G1859,WholesaleExtract!B:L,11,FALSE),"")</f>
        <v/>
      </c>
      <c r="I1859" s="26" t="str">
        <f>IFERROR(VLOOKUP(G1859,WholesaleExtract!B:O,8,FALSE),"")</f>
        <v/>
      </c>
      <c r="J1859" s="26" t="str">
        <f>IFERROR(VLOOKUP(G1859,WholesaleExtract!B:O,14,FALSE),"")</f>
        <v/>
      </c>
      <c r="K1859" s="26" t="str">
        <f>IFERROR(VLOOKUP(G1859,WholesaleExtract!B:K,10,FALSE),"")</f>
        <v/>
      </c>
      <c r="L1859" s="47" t="str">
        <f>IFERROR(VLOOKUP(G1859,WholesaleExtract!B:L,11,FALSE),"")</f>
        <v/>
      </c>
      <c r="M1859" s="47" t="str">
        <f>IFERROR(VLOOKUP(G1859,WholesaleExtract!B:M,12,FALSE),"")</f>
        <v/>
      </c>
      <c r="R1859" s="19"/>
      <c r="S1859" s="19"/>
    </row>
    <row r="1860" spans="1:19" x14ac:dyDescent="0.35">
      <c r="A1860" s="26" t="s">
        <v>543</v>
      </c>
      <c r="B1860" s="26" t="s">
        <v>543</v>
      </c>
      <c r="C1860" s="26"/>
      <c r="D1860" s="26" t="s">
        <v>543</v>
      </c>
      <c r="E1860" s="26" t="str">
        <f>IFERROR(VLOOKUP(G1860,WholesaleExtract!B:J,9,FALSE),"")</f>
        <v/>
      </c>
      <c r="F1860" s="26" t="str">
        <f>IFERROR(VLOOKUP(G1860,WholesaleExtract!B:J,6,FALSE),"")</f>
        <v/>
      </c>
      <c r="H1860" s="47" t="str">
        <f>IFERROR(VLOOKUP(G1860,WholesaleExtract!B:L,11,FALSE),"")</f>
        <v/>
      </c>
      <c r="I1860" s="26" t="str">
        <f>IFERROR(VLOOKUP(G1860,WholesaleExtract!B:O,8,FALSE),"")</f>
        <v/>
      </c>
      <c r="J1860" s="26" t="str">
        <f>IFERROR(VLOOKUP(G1860,WholesaleExtract!B:O,14,FALSE),"")</f>
        <v/>
      </c>
      <c r="K1860" s="26" t="str">
        <f>IFERROR(VLOOKUP(G1860,WholesaleExtract!B:K,10,FALSE),"")</f>
        <v/>
      </c>
      <c r="L1860" s="47" t="str">
        <f>IFERROR(VLOOKUP(G1860,WholesaleExtract!B:L,11,FALSE),"")</f>
        <v/>
      </c>
      <c r="M1860" s="47" t="str">
        <f>IFERROR(VLOOKUP(G1860,WholesaleExtract!B:M,12,FALSE),"")</f>
        <v/>
      </c>
      <c r="R1860" s="19"/>
      <c r="S1860" s="19"/>
    </row>
    <row r="1861" spans="1:19" x14ac:dyDescent="0.35">
      <c r="A1861" s="26" t="s">
        <v>543</v>
      </c>
      <c r="B1861" s="26" t="s">
        <v>543</v>
      </c>
      <c r="C1861" s="26"/>
      <c r="D1861" s="26" t="s">
        <v>543</v>
      </c>
      <c r="E1861" s="26" t="str">
        <f>IFERROR(VLOOKUP(G1861,WholesaleExtract!B:J,9,FALSE),"")</f>
        <v/>
      </c>
      <c r="F1861" s="26" t="str">
        <f>IFERROR(VLOOKUP(G1861,WholesaleExtract!B:J,6,FALSE),"")</f>
        <v/>
      </c>
      <c r="H1861" s="47" t="str">
        <f>IFERROR(VLOOKUP(G1861,WholesaleExtract!B:L,11,FALSE),"")</f>
        <v/>
      </c>
      <c r="I1861" s="26" t="str">
        <f>IFERROR(VLOOKUP(G1861,WholesaleExtract!B:O,8,FALSE),"")</f>
        <v/>
      </c>
      <c r="J1861" s="26" t="str">
        <f>IFERROR(VLOOKUP(G1861,WholesaleExtract!B:O,14,FALSE),"")</f>
        <v/>
      </c>
      <c r="K1861" s="26" t="str">
        <f>IFERROR(VLOOKUP(G1861,WholesaleExtract!B:K,10,FALSE),"")</f>
        <v/>
      </c>
      <c r="L1861" s="47" t="str">
        <f>IFERROR(VLOOKUP(G1861,WholesaleExtract!B:L,11,FALSE),"")</f>
        <v/>
      </c>
      <c r="M1861" s="47" t="str">
        <f>IFERROR(VLOOKUP(G1861,WholesaleExtract!B:M,12,FALSE),"")</f>
        <v/>
      </c>
      <c r="R1861" s="19"/>
      <c r="S1861" s="19"/>
    </row>
    <row r="1862" spans="1:19" x14ac:dyDescent="0.35">
      <c r="A1862" s="26" t="s">
        <v>543</v>
      </c>
      <c r="B1862" s="26" t="s">
        <v>543</v>
      </c>
      <c r="C1862" s="26"/>
      <c r="D1862" s="26" t="s">
        <v>543</v>
      </c>
      <c r="E1862" s="26" t="str">
        <f>IFERROR(VLOOKUP(G1862,WholesaleExtract!B:J,9,FALSE),"")</f>
        <v/>
      </c>
      <c r="F1862" s="26" t="str">
        <f>IFERROR(VLOOKUP(G1862,WholesaleExtract!B:J,6,FALSE),"")</f>
        <v/>
      </c>
      <c r="H1862" s="47" t="str">
        <f>IFERROR(VLOOKUP(G1862,WholesaleExtract!B:L,11,FALSE),"")</f>
        <v/>
      </c>
      <c r="I1862" s="26" t="str">
        <f>IFERROR(VLOOKUP(G1862,WholesaleExtract!B:O,8,FALSE),"")</f>
        <v/>
      </c>
      <c r="J1862" s="26" t="str">
        <f>IFERROR(VLOOKUP(G1862,WholesaleExtract!B:O,14,FALSE),"")</f>
        <v/>
      </c>
      <c r="K1862" s="26" t="str">
        <f>IFERROR(VLOOKUP(G1862,WholesaleExtract!B:K,10,FALSE),"")</f>
        <v/>
      </c>
      <c r="L1862" s="47" t="str">
        <f>IFERROR(VLOOKUP(G1862,WholesaleExtract!B:L,11,FALSE),"")</f>
        <v/>
      </c>
      <c r="M1862" s="47" t="str">
        <f>IFERROR(VLOOKUP(G1862,WholesaleExtract!B:M,12,FALSE),"")</f>
        <v/>
      </c>
      <c r="R1862" s="19"/>
      <c r="S1862" s="19"/>
    </row>
    <row r="1863" spans="1:19" x14ac:dyDescent="0.35">
      <c r="A1863" s="26" t="s">
        <v>543</v>
      </c>
      <c r="B1863" s="26" t="s">
        <v>543</v>
      </c>
      <c r="C1863" s="26"/>
      <c r="D1863" s="26" t="s">
        <v>543</v>
      </c>
      <c r="E1863" s="26" t="str">
        <f>IFERROR(VLOOKUP(G1863,WholesaleExtract!B:J,9,FALSE),"")</f>
        <v/>
      </c>
      <c r="F1863" s="26" t="str">
        <f>IFERROR(VLOOKUP(G1863,WholesaleExtract!B:J,6,FALSE),"")</f>
        <v/>
      </c>
      <c r="H1863" s="47" t="str">
        <f>IFERROR(VLOOKUP(G1863,WholesaleExtract!B:L,11,FALSE),"")</f>
        <v/>
      </c>
      <c r="I1863" s="26" t="str">
        <f>IFERROR(VLOOKUP(G1863,WholesaleExtract!B:O,8,FALSE),"")</f>
        <v/>
      </c>
      <c r="J1863" s="26" t="str">
        <f>IFERROR(VLOOKUP(G1863,WholesaleExtract!B:O,14,FALSE),"")</f>
        <v/>
      </c>
      <c r="K1863" s="26" t="str">
        <f>IFERROR(VLOOKUP(G1863,WholesaleExtract!B:K,10,FALSE),"")</f>
        <v/>
      </c>
      <c r="L1863" s="47" t="str">
        <f>IFERROR(VLOOKUP(G1863,WholesaleExtract!B:L,11,FALSE),"")</f>
        <v/>
      </c>
      <c r="M1863" s="47" t="str">
        <f>IFERROR(VLOOKUP(G1863,WholesaleExtract!B:M,12,FALSE),"")</f>
        <v/>
      </c>
      <c r="R1863" s="19"/>
      <c r="S1863" s="19"/>
    </row>
    <row r="1864" spans="1:19" x14ac:dyDescent="0.35">
      <c r="A1864" s="26" t="s">
        <v>543</v>
      </c>
      <c r="B1864" s="26" t="s">
        <v>543</v>
      </c>
      <c r="C1864" s="26"/>
      <c r="D1864" s="26" t="s">
        <v>543</v>
      </c>
      <c r="E1864" s="26" t="str">
        <f>IFERROR(VLOOKUP(G1864,WholesaleExtract!B:J,9,FALSE),"")</f>
        <v/>
      </c>
      <c r="F1864" s="26" t="str">
        <f>IFERROR(VLOOKUP(G1864,WholesaleExtract!B:J,6,FALSE),"")</f>
        <v/>
      </c>
      <c r="H1864" s="47" t="str">
        <f>IFERROR(VLOOKUP(G1864,WholesaleExtract!B:L,11,FALSE),"")</f>
        <v/>
      </c>
      <c r="I1864" s="26" t="str">
        <f>IFERROR(VLOOKUP(G1864,WholesaleExtract!B:O,8,FALSE),"")</f>
        <v/>
      </c>
      <c r="J1864" s="26" t="str">
        <f>IFERROR(VLOOKUP(G1864,WholesaleExtract!B:O,14,FALSE),"")</f>
        <v/>
      </c>
      <c r="K1864" s="26" t="str">
        <f>IFERROR(VLOOKUP(G1864,WholesaleExtract!B:K,10,FALSE),"")</f>
        <v/>
      </c>
      <c r="L1864" s="47" t="str">
        <f>IFERROR(VLOOKUP(G1864,WholesaleExtract!B:L,11,FALSE),"")</f>
        <v/>
      </c>
      <c r="M1864" s="47" t="str">
        <f>IFERROR(VLOOKUP(G1864,WholesaleExtract!B:M,12,FALSE),"")</f>
        <v/>
      </c>
      <c r="R1864" s="19"/>
      <c r="S1864" s="19"/>
    </row>
    <row r="1865" spans="1:19" x14ac:dyDescent="0.35">
      <c r="A1865" s="26" t="s">
        <v>543</v>
      </c>
      <c r="B1865" s="26" t="s">
        <v>543</v>
      </c>
      <c r="C1865" s="26"/>
      <c r="D1865" s="26" t="s">
        <v>543</v>
      </c>
      <c r="E1865" s="26" t="str">
        <f>IFERROR(VLOOKUP(G1865,WholesaleExtract!B:J,9,FALSE),"")</f>
        <v/>
      </c>
      <c r="F1865" s="26" t="str">
        <f>IFERROR(VLOOKUP(G1865,WholesaleExtract!B:J,6,FALSE),"")</f>
        <v/>
      </c>
      <c r="H1865" s="47" t="str">
        <f>IFERROR(VLOOKUP(G1865,WholesaleExtract!B:L,11,FALSE),"")</f>
        <v/>
      </c>
      <c r="I1865" s="26" t="str">
        <f>IFERROR(VLOOKUP(G1865,WholesaleExtract!B:O,8,FALSE),"")</f>
        <v/>
      </c>
      <c r="J1865" s="26" t="str">
        <f>IFERROR(VLOOKUP(G1865,WholesaleExtract!B:O,14,FALSE),"")</f>
        <v/>
      </c>
      <c r="K1865" s="26" t="str">
        <f>IFERROR(VLOOKUP(G1865,WholesaleExtract!B:K,10,FALSE),"")</f>
        <v/>
      </c>
      <c r="L1865" s="47" t="str">
        <f>IFERROR(VLOOKUP(G1865,WholesaleExtract!B:L,11,FALSE),"")</f>
        <v/>
      </c>
      <c r="M1865" s="47" t="str">
        <f>IFERROR(VLOOKUP(G1865,WholesaleExtract!B:M,12,FALSE),"")</f>
        <v/>
      </c>
      <c r="R1865" s="19"/>
      <c r="S1865" s="19"/>
    </row>
    <row r="1866" spans="1:19" x14ac:dyDescent="0.35">
      <c r="A1866" s="26" t="s">
        <v>543</v>
      </c>
      <c r="B1866" s="26" t="s">
        <v>543</v>
      </c>
      <c r="C1866" s="26"/>
      <c r="D1866" s="26" t="s">
        <v>543</v>
      </c>
      <c r="E1866" s="26" t="str">
        <f>IFERROR(VLOOKUP(G1866,WholesaleExtract!B:J,9,FALSE),"")</f>
        <v/>
      </c>
      <c r="F1866" s="26" t="str">
        <f>IFERROR(VLOOKUP(G1866,WholesaleExtract!B:J,6,FALSE),"")</f>
        <v/>
      </c>
      <c r="H1866" s="47" t="str">
        <f>IFERROR(VLOOKUP(G1866,WholesaleExtract!B:L,11,FALSE),"")</f>
        <v/>
      </c>
      <c r="I1866" s="26" t="str">
        <f>IFERROR(VLOOKUP(G1866,WholesaleExtract!B:O,8,FALSE),"")</f>
        <v/>
      </c>
      <c r="J1866" s="26" t="str">
        <f>IFERROR(VLOOKUP(G1866,WholesaleExtract!B:O,14,FALSE),"")</f>
        <v/>
      </c>
      <c r="K1866" s="26" t="str">
        <f>IFERROR(VLOOKUP(G1866,WholesaleExtract!B:K,10,FALSE),"")</f>
        <v/>
      </c>
      <c r="L1866" s="47" t="str">
        <f>IFERROR(VLOOKUP(G1866,WholesaleExtract!B:L,11,FALSE),"")</f>
        <v/>
      </c>
      <c r="M1866" s="47" t="str">
        <f>IFERROR(VLOOKUP(G1866,WholesaleExtract!B:M,12,FALSE),"")</f>
        <v/>
      </c>
      <c r="R1866" s="19"/>
      <c r="S1866" s="19"/>
    </row>
    <row r="1867" spans="1:19" x14ac:dyDescent="0.35">
      <c r="A1867" s="26" t="s">
        <v>543</v>
      </c>
      <c r="B1867" s="26" t="s">
        <v>543</v>
      </c>
      <c r="C1867" s="26"/>
      <c r="D1867" s="26" t="s">
        <v>543</v>
      </c>
      <c r="E1867" s="26" t="str">
        <f>IFERROR(VLOOKUP(G1867,WholesaleExtract!B:J,9,FALSE),"")</f>
        <v/>
      </c>
      <c r="F1867" s="26" t="str">
        <f>IFERROR(VLOOKUP(G1867,WholesaleExtract!B:J,6,FALSE),"")</f>
        <v/>
      </c>
      <c r="H1867" s="47" t="str">
        <f>IFERROR(VLOOKUP(G1867,WholesaleExtract!B:L,11,FALSE),"")</f>
        <v/>
      </c>
      <c r="I1867" s="26" t="str">
        <f>IFERROR(VLOOKUP(G1867,WholesaleExtract!B:O,8,FALSE),"")</f>
        <v/>
      </c>
      <c r="J1867" s="26" t="str">
        <f>IFERROR(VLOOKUP(G1867,WholesaleExtract!B:O,14,FALSE),"")</f>
        <v/>
      </c>
      <c r="K1867" s="26" t="str">
        <f>IFERROR(VLOOKUP(G1867,WholesaleExtract!B:K,10,FALSE),"")</f>
        <v/>
      </c>
      <c r="L1867" s="47" t="str">
        <f>IFERROR(VLOOKUP(G1867,WholesaleExtract!B:L,11,FALSE),"")</f>
        <v/>
      </c>
      <c r="M1867" s="47" t="str">
        <f>IFERROR(VLOOKUP(G1867,WholesaleExtract!B:M,12,FALSE),"")</f>
        <v/>
      </c>
      <c r="R1867" s="19"/>
      <c r="S1867" s="19"/>
    </row>
    <row r="1868" spans="1:19" x14ac:dyDescent="0.35">
      <c r="A1868" s="26" t="s">
        <v>543</v>
      </c>
      <c r="B1868" s="26" t="s">
        <v>543</v>
      </c>
      <c r="C1868" s="26"/>
      <c r="D1868" s="26" t="s">
        <v>543</v>
      </c>
      <c r="E1868" s="26" t="str">
        <f>IFERROR(VLOOKUP(G1868,WholesaleExtract!B:J,9,FALSE),"")</f>
        <v/>
      </c>
      <c r="F1868" s="26" t="str">
        <f>IFERROR(VLOOKUP(G1868,WholesaleExtract!B:J,6,FALSE),"")</f>
        <v/>
      </c>
      <c r="H1868" s="47" t="str">
        <f>IFERROR(VLOOKUP(G1868,WholesaleExtract!B:L,11,FALSE),"")</f>
        <v/>
      </c>
      <c r="I1868" s="26" t="str">
        <f>IFERROR(VLOOKUP(G1868,WholesaleExtract!B:O,8,FALSE),"")</f>
        <v/>
      </c>
      <c r="J1868" s="26" t="str">
        <f>IFERROR(VLOOKUP(G1868,WholesaleExtract!B:O,14,FALSE),"")</f>
        <v/>
      </c>
      <c r="K1868" s="26" t="str">
        <f>IFERROR(VLOOKUP(G1868,WholesaleExtract!B:K,10,FALSE),"")</f>
        <v/>
      </c>
      <c r="L1868" s="47" t="str">
        <f>IFERROR(VLOOKUP(G1868,WholesaleExtract!B:L,11,FALSE),"")</f>
        <v/>
      </c>
      <c r="M1868" s="47" t="str">
        <f>IFERROR(VLOOKUP(G1868,WholesaleExtract!B:M,12,FALSE),"")</f>
        <v/>
      </c>
      <c r="R1868" s="19"/>
      <c r="S1868" s="19"/>
    </row>
    <row r="1869" spans="1:19" x14ac:dyDescent="0.35">
      <c r="A1869" s="26" t="s">
        <v>543</v>
      </c>
      <c r="B1869" s="26" t="s">
        <v>543</v>
      </c>
      <c r="C1869" s="26"/>
      <c r="D1869" s="26" t="s">
        <v>543</v>
      </c>
      <c r="E1869" s="26" t="str">
        <f>IFERROR(VLOOKUP(G1869,WholesaleExtract!B:J,9,FALSE),"")</f>
        <v/>
      </c>
      <c r="F1869" s="26" t="str">
        <f>IFERROR(VLOOKUP(G1869,WholesaleExtract!B:J,6,FALSE),"")</f>
        <v/>
      </c>
      <c r="H1869" s="47" t="str">
        <f>IFERROR(VLOOKUP(G1869,WholesaleExtract!B:L,11,FALSE),"")</f>
        <v/>
      </c>
      <c r="I1869" s="26" t="str">
        <f>IFERROR(VLOOKUP(G1869,WholesaleExtract!B:O,8,FALSE),"")</f>
        <v/>
      </c>
      <c r="J1869" s="26" t="str">
        <f>IFERROR(VLOOKUP(G1869,WholesaleExtract!B:O,14,FALSE),"")</f>
        <v/>
      </c>
      <c r="K1869" s="26" t="str">
        <f>IFERROR(VLOOKUP(G1869,WholesaleExtract!B:K,10,FALSE),"")</f>
        <v/>
      </c>
      <c r="L1869" s="47" t="str">
        <f>IFERROR(VLOOKUP(G1869,WholesaleExtract!B:L,11,FALSE),"")</f>
        <v/>
      </c>
      <c r="M1869" s="47" t="str">
        <f>IFERROR(VLOOKUP(G1869,WholesaleExtract!B:M,12,FALSE),"")</f>
        <v/>
      </c>
      <c r="R1869" s="19"/>
      <c r="S1869" s="19"/>
    </row>
    <row r="1870" spans="1:19" x14ac:dyDescent="0.35">
      <c r="A1870" s="26" t="s">
        <v>543</v>
      </c>
      <c r="B1870" s="26" t="s">
        <v>543</v>
      </c>
      <c r="C1870" s="26"/>
      <c r="D1870" s="26" t="s">
        <v>543</v>
      </c>
      <c r="E1870" s="26" t="str">
        <f>IFERROR(VLOOKUP(G1870,WholesaleExtract!B:J,9,FALSE),"")</f>
        <v/>
      </c>
      <c r="F1870" s="26" t="str">
        <f>IFERROR(VLOOKUP(G1870,WholesaleExtract!B:J,6,FALSE),"")</f>
        <v/>
      </c>
      <c r="H1870" s="47" t="str">
        <f>IFERROR(VLOOKUP(G1870,WholesaleExtract!B:L,11,FALSE),"")</f>
        <v/>
      </c>
      <c r="I1870" s="26" t="str">
        <f>IFERROR(VLOOKUP(G1870,WholesaleExtract!B:O,8,FALSE),"")</f>
        <v/>
      </c>
      <c r="J1870" s="26" t="str">
        <f>IFERROR(VLOOKUP(G1870,WholesaleExtract!B:O,14,FALSE),"")</f>
        <v/>
      </c>
      <c r="K1870" s="26" t="str">
        <f>IFERROR(VLOOKUP(G1870,WholesaleExtract!B:K,10,FALSE),"")</f>
        <v/>
      </c>
      <c r="L1870" s="47" t="str">
        <f>IFERROR(VLOOKUP(G1870,WholesaleExtract!B:L,11,FALSE),"")</f>
        <v/>
      </c>
      <c r="M1870" s="47" t="str">
        <f>IFERROR(VLOOKUP(G1870,WholesaleExtract!B:M,12,FALSE),"")</f>
        <v/>
      </c>
      <c r="R1870" s="19"/>
      <c r="S1870" s="19"/>
    </row>
    <row r="1871" spans="1:19" x14ac:dyDescent="0.35">
      <c r="A1871" s="26" t="s">
        <v>543</v>
      </c>
      <c r="B1871" s="26" t="s">
        <v>543</v>
      </c>
      <c r="C1871" s="26"/>
      <c r="D1871" s="26" t="s">
        <v>543</v>
      </c>
      <c r="E1871" s="26" t="str">
        <f>IFERROR(VLOOKUP(G1871,WholesaleExtract!B:J,9,FALSE),"")</f>
        <v/>
      </c>
      <c r="F1871" s="26" t="str">
        <f>IFERROR(VLOOKUP(G1871,WholesaleExtract!B:J,6,FALSE),"")</f>
        <v/>
      </c>
      <c r="H1871" s="47" t="str">
        <f>IFERROR(VLOOKUP(G1871,WholesaleExtract!B:L,11,FALSE),"")</f>
        <v/>
      </c>
      <c r="I1871" s="26" t="str">
        <f>IFERROR(VLOOKUP(G1871,WholesaleExtract!B:O,8,FALSE),"")</f>
        <v/>
      </c>
      <c r="J1871" s="26" t="str">
        <f>IFERROR(VLOOKUP(G1871,WholesaleExtract!B:O,14,FALSE),"")</f>
        <v/>
      </c>
      <c r="K1871" s="26" t="str">
        <f>IFERROR(VLOOKUP(G1871,WholesaleExtract!B:K,10,FALSE),"")</f>
        <v/>
      </c>
      <c r="L1871" s="47" t="str">
        <f>IFERROR(VLOOKUP(G1871,WholesaleExtract!B:L,11,FALSE),"")</f>
        <v/>
      </c>
      <c r="M1871" s="47" t="str">
        <f>IFERROR(VLOOKUP(G1871,WholesaleExtract!B:M,12,FALSE),"")</f>
        <v/>
      </c>
      <c r="R1871" s="19"/>
      <c r="S1871" s="19"/>
    </row>
    <row r="1872" spans="1:19" x14ac:dyDescent="0.35">
      <c r="A1872" s="26" t="s">
        <v>543</v>
      </c>
      <c r="B1872" s="26" t="s">
        <v>543</v>
      </c>
      <c r="C1872" s="26"/>
      <c r="D1872" s="26" t="s">
        <v>543</v>
      </c>
      <c r="E1872" s="26" t="str">
        <f>IFERROR(VLOOKUP(G1872,WholesaleExtract!B:J,9,FALSE),"")</f>
        <v/>
      </c>
      <c r="F1872" s="26" t="str">
        <f>IFERROR(VLOOKUP(G1872,WholesaleExtract!B:J,6,FALSE),"")</f>
        <v/>
      </c>
      <c r="H1872" s="47" t="str">
        <f>IFERROR(VLOOKUP(G1872,WholesaleExtract!B:L,11,FALSE),"")</f>
        <v/>
      </c>
      <c r="I1872" s="26" t="str">
        <f>IFERROR(VLOOKUP(G1872,WholesaleExtract!B:O,8,FALSE),"")</f>
        <v/>
      </c>
      <c r="J1872" s="26" t="str">
        <f>IFERROR(VLOOKUP(G1872,WholesaleExtract!B:O,14,FALSE),"")</f>
        <v/>
      </c>
      <c r="K1872" s="26" t="str">
        <f>IFERROR(VLOOKUP(G1872,WholesaleExtract!B:K,10,FALSE),"")</f>
        <v/>
      </c>
      <c r="L1872" s="47" t="str">
        <f>IFERROR(VLOOKUP(G1872,WholesaleExtract!B:L,11,FALSE),"")</f>
        <v/>
      </c>
      <c r="M1872" s="47" t="str">
        <f>IFERROR(VLOOKUP(G1872,WholesaleExtract!B:M,12,FALSE),"")</f>
        <v/>
      </c>
      <c r="R1872" s="19"/>
      <c r="S1872" s="19"/>
    </row>
    <row r="1873" spans="1:19" x14ac:dyDescent="0.35">
      <c r="A1873" s="26" t="s">
        <v>543</v>
      </c>
      <c r="B1873" s="26" t="s">
        <v>543</v>
      </c>
      <c r="C1873" s="26"/>
      <c r="D1873" s="26" t="s">
        <v>543</v>
      </c>
      <c r="E1873" s="26" t="str">
        <f>IFERROR(VLOOKUP(G1873,WholesaleExtract!B:J,9,FALSE),"")</f>
        <v/>
      </c>
      <c r="F1873" s="26" t="str">
        <f>IFERROR(VLOOKUP(G1873,WholesaleExtract!B:J,6,FALSE),"")</f>
        <v/>
      </c>
      <c r="H1873" s="47" t="str">
        <f>IFERROR(VLOOKUP(G1873,WholesaleExtract!B:L,11,FALSE),"")</f>
        <v/>
      </c>
      <c r="I1873" s="26" t="str">
        <f>IFERROR(VLOOKUP(G1873,WholesaleExtract!B:O,8,FALSE),"")</f>
        <v/>
      </c>
      <c r="J1873" s="26" t="str">
        <f>IFERROR(VLOOKUP(G1873,WholesaleExtract!B:O,14,FALSE),"")</f>
        <v/>
      </c>
      <c r="K1873" s="26" t="str">
        <f>IFERROR(VLOOKUP(G1873,WholesaleExtract!B:K,10,FALSE),"")</f>
        <v/>
      </c>
      <c r="L1873" s="47" t="str">
        <f>IFERROR(VLOOKUP(G1873,WholesaleExtract!B:L,11,FALSE),"")</f>
        <v/>
      </c>
      <c r="M1873" s="47" t="str">
        <f>IFERROR(VLOOKUP(G1873,WholesaleExtract!B:M,12,FALSE),"")</f>
        <v/>
      </c>
      <c r="R1873" s="19"/>
      <c r="S1873" s="19"/>
    </row>
    <row r="1874" spans="1:19" x14ac:dyDescent="0.35">
      <c r="A1874" s="26" t="s">
        <v>543</v>
      </c>
      <c r="B1874" s="26" t="s">
        <v>543</v>
      </c>
      <c r="C1874" s="26"/>
      <c r="D1874" s="26" t="s">
        <v>543</v>
      </c>
      <c r="E1874" s="26" t="str">
        <f>IFERROR(VLOOKUP(G1874,WholesaleExtract!B:J,9,FALSE),"")</f>
        <v/>
      </c>
      <c r="F1874" s="26" t="str">
        <f>IFERROR(VLOOKUP(G1874,WholesaleExtract!B:J,6,FALSE),"")</f>
        <v/>
      </c>
      <c r="H1874" s="47" t="str">
        <f>IFERROR(VLOOKUP(G1874,WholesaleExtract!B:L,11,FALSE),"")</f>
        <v/>
      </c>
      <c r="I1874" s="26" t="str">
        <f>IFERROR(VLOOKUP(G1874,WholesaleExtract!B:O,8,FALSE),"")</f>
        <v/>
      </c>
      <c r="J1874" s="26" t="str">
        <f>IFERROR(VLOOKUP(G1874,WholesaleExtract!B:O,14,FALSE),"")</f>
        <v/>
      </c>
      <c r="K1874" s="26" t="str">
        <f>IFERROR(VLOOKUP(G1874,WholesaleExtract!B:K,10,FALSE),"")</f>
        <v/>
      </c>
      <c r="L1874" s="47" t="str">
        <f>IFERROR(VLOOKUP(G1874,WholesaleExtract!B:L,11,FALSE),"")</f>
        <v/>
      </c>
      <c r="M1874" s="47" t="str">
        <f>IFERROR(VLOOKUP(G1874,WholesaleExtract!B:M,12,FALSE),"")</f>
        <v/>
      </c>
      <c r="R1874" s="19"/>
      <c r="S1874" s="19"/>
    </row>
    <row r="1875" spans="1:19" x14ac:dyDescent="0.35">
      <c r="A1875" s="26" t="s">
        <v>543</v>
      </c>
      <c r="B1875" s="26" t="s">
        <v>543</v>
      </c>
      <c r="C1875" s="26"/>
      <c r="D1875" s="26" t="s">
        <v>543</v>
      </c>
      <c r="E1875" s="26" t="str">
        <f>IFERROR(VLOOKUP(G1875,WholesaleExtract!B:J,9,FALSE),"")</f>
        <v/>
      </c>
      <c r="F1875" s="26" t="str">
        <f>IFERROR(VLOOKUP(G1875,WholesaleExtract!B:J,6,FALSE),"")</f>
        <v/>
      </c>
      <c r="H1875" s="47" t="str">
        <f>IFERROR(VLOOKUP(G1875,WholesaleExtract!B:L,11,FALSE),"")</f>
        <v/>
      </c>
      <c r="I1875" s="26" t="str">
        <f>IFERROR(VLOOKUP(G1875,WholesaleExtract!B:O,8,FALSE),"")</f>
        <v/>
      </c>
      <c r="J1875" s="26" t="str">
        <f>IFERROR(VLOOKUP(G1875,WholesaleExtract!B:O,14,FALSE),"")</f>
        <v/>
      </c>
      <c r="K1875" s="26" t="str">
        <f>IFERROR(VLOOKUP(G1875,WholesaleExtract!B:K,10,FALSE),"")</f>
        <v/>
      </c>
      <c r="L1875" s="47" t="str">
        <f>IFERROR(VLOOKUP(G1875,WholesaleExtract!B:L,11,FALSE),"")</f>
        <v/>
      </c>
      <c r="M1875" s="47" t="str">
        <f>IFERROR(VLOOKUP(G1875,WholesaleExtract!B:M,12,FALSE),"")</f>
        <v/>
      </c>
      <c r="R1875" s="19"/>
      <c r="S1875" s="19"/>
    </row>
    <row r="1876" spans="1:19" x14ac:dyDescent="0.35">
      <c r="A1876" s="26" t="s">
        <v>543</v>
      </c>
      <c r="B1876" s="26" t="s">
        <v>543</v>
      </c>
      <c r="C1876" s="26"/>
      <c r="D1876" s="26" t="s">
        <v>543</v>
      </c>
      <c r="E1876" s="26" t="str">
        <f>IFERROR(VLOOKUP(G1876,WholesaleExtract!B:J,9,FALSE),"")</f>
        <v/>
      </c>
      <c r="F1876" s="26" t="str">
        <f>IFERROR(VLOOKUP(G1876,WholesaleExtract!B:J,6,FALSE),"")</f>
        <v/>
      </c>
      <c r="H1876" s="47" t="str">
        <f>IFERROR(VLOOKUP(G1876,WholesaleExtract!B:L,11,FALSE),"")</f>
        <v/>
      </c>
      <c r="I1876" s="26" t="str">
        <f>IFERROR(VLOOKUP(G1876,WholesaleExtract!B:O,8,FALSE),"")</f>
        <v/>
      </c>
      <c r="J1876" s="26" t="str">
        <f>IFERROR(VLOOKUP(G1876,WholesaleExtract!B:O,14,FALSE),"")</f>
        <v/>
      </c>
      <c r="K1876" s="26" t="str">
        <f>IFERROR(VLOOKUP(G1876,WholesaleExtract!B:K,10,FALSE),"")</f>
        <v/>
      </c>
      <c r="L1876" s="47" t="str">
        <f>IFERROR(VLOOKUP(G1876,WholesaleExtract!B:L,11,FALSE),"")</f>
        <v/>
      </c>
      <c r="M1876" s="47" t="str">
        <f>IFERROR(VLOOKUP(G1876,WholesaleExtract!B:M,12,FALSE),"")</f>
        <v/>
      </c>
      <c r="R1876" s="19"/>
      <c r="S1876" s="19"/>
    </row>
    <row r="1877" spans="1:19" x14ac:dyDescent="0.35">
      <c r="A1877" s="26" t="s">
        <v>543</v>
      </c>
      <c r="B1877" s="26" t="s">
        <v>543</v>
      </c>
      <c r="C1877" s="26"/>
      <c r="D1877" s="26" t="s">
        <v>543</v>
      </c>
      <c r="E1877" s="26" t="str">
        <f>IFERROR(VLOOKUP(G1877,WholesaleExtract!B:J,9,FALSE),"")</f>
        <v/>
      </c>
      <c r="F1877" s="26" t="str">
        <f>IFERROR(VLOOKUP(G1877,WholesaleExtract!B:J,6,FALSE),"")</f>
        <v/>
      </c>
      <c r="H1877" s="47" t="str">
        <f>IFERROR(VLOOKUP(G1877,WholesaleExtract!B:L,11,FALSE),"")</f>
        <v/>
      </c>
      <c r="I1877" s="26" t="str">
        <f>IFERROR(VLOOKUP(G1877,WholesaleExtract!B:O,8,FALSE),"")</f>
        <v/>
      </c>
      <c r="J1877" s="26" t="str">
        <f>IFERROR(VLOOKUP(G1877,WholesaleExtract!B:O,14,FALSE),"")</f>
        <v/>
      </c>
      <c r="K1877" s="26" t="str">
        <f>IFERROR(VLOOKUP(G1877,WholesaleExtract!B:K,10,FALSE),"")</f>
        <v/>
      </c>
      <c r="L1877" s="47" t="str">
        <f>IFERROR(VLOOKUP(G1877,WholesaleExtract!B:L,11,FALSE),"")</f>
        <v/>
      </c>
      <c r="M1877" s="47" t="str">
        <f>IFERROR(VLOOKUP(G1877,WholesaleExtract!B:M,12,FALSE),"")</f>
        <v/>
      </c>
      <c r="R1877" s="19"/>
      <c r="S1877" s="19"/>
    </row>
    <row r="1878" spans="1:19" x14ac:dyDescent="0.35">
      <c r="A1878" s="26" t="s">
        <v>543</v>
      </c>
      <c r="B1878" s="26" t="s">
        <v>543</v>
      </c>
      <c r="C1878" s="26"/>
      <c r="D1878" s="26" t="s">
        <v>543</v>
      </c>
      <c r="E1878" s="26" t="str">
        <f>IFERROR(VLOOKUP(G1878,WholesaleExtract!B:J,9,FALSE),"")</f>
        <v/>
      </c>
      <c r="F1878" s="26" t="str">
        <f>IFERROR(VLOOKUP(G1878,WholesaleExtract!B:J,6,FALSE),"")</f>
        <v/>
      </c>
      <c r="H1878" s="47" t="str">
        <f>IFERROR(VLOOKUP(G1878,WholesaleExtract!B:L,11,FALSE),"")</f>
        <v/>
      </c>
      <c r="I1878" s="26" t="str">
        <f>IFERROR(VLOOKUP(G1878,WholesaleExtract!B:O,8,FALSE),"")</f>
        <v/>
      </c>
      <c r="J1878" s="26" t="str">
        <f>IFERROR(VLOOKUP(G1878,WholesaleExtract!B:O,14,FALSE),"")</f>
        <v/>
      </c>
      <c r="K1878" s="26" t="str">
        <f>IFERROR(VLOOKUP(G1878,WholesaleExtract!B:K,10,FALSE),"")</f>
        <v/>
      </c>
      <c r="L1878" s="47" t="str">
        <f>IFERROR(VLOOKUP(G1878,WholesaleExtract!B:L,11,FALSE),"")</f>
        <v/>
      </c>
      <c r="M1878" s="47" t="str">
        <f>IFERROR(VLOOKUP(G1878,WholesaleExtract!B:M,12,FALSE),"")</f>
        <v/>
      </c>
      <c r="R1878" s="19"/>
      <c r="S1878" s="19"/>
    </row>
    <row r="1879" spans="1:19" x14ac:dyDescent="0.35">
      <c r="A1879" s="26" t="s">
        <v>543</v>
      </c>
      <c r="B1879" s="26" t="s">
        <v>543</v>
      </c>
      <c r="C1879" s="26"/>
      <c r="D1879" s="26" t="s">
        <v>543</v>
      </c>
      <c r="E1879" s="26" t="str">
        <f>IFERROR(VLOOKUP(G1879,WholesaleExtract!B:J,9,FALSE),"")</f>
        <v/>
      </c>
      <c r="F1879" s="26" t="str">
        <f>IFERROR(VLOOKUP(G1879,WholesaleExtract!B:J,6,FALSE),"")</f>
        <v/>
      </c>
      <c r="H1879" s="47" t="str">
        <f>IFERROR(VLOOKUP(G1879,WholesaleExtract!B:L,11,FALSE),"")</f>
        <v/>
      </c>
      <c r="I1879" s="26" t="str">
        <f>IFERROR(VLOOKUP(G1879,WholesaleExtract!B:O,8,FALSE),"")</f>
        <v/>
      </c>
      <c r="J1879" s="26" t="str">
        <f>IFERROR(VLOOKUP(G1879,WholesaleExtract!B:O,14,FALSE),"")</f>
        <v/>
      </c>
      <c r="K1879" s="26" t="str">
        <f>IFERROR(VLOOKUP(G1879,WholesaleExtract!B:K,10,FALSE),"")</f>
        <v/>
      </c>
      <c r="L1879" s="47" t="str">
        <f>IFERROR(VLOOKUP(G1879,WholesaleExtract!B:L,11,FALSE),"")</f>
        <v/>
      </c>
      <c r="M1879" s="47" t="str">
        <f>IFERROR(VLOOKUP(G1879,WholesaleExtract!B:M,12,FALSE),"")</f>
        <v/>
      </c>
      <c r="R1879" s="19"/>
      <c r="S1879" s="19"/>
    </row>
    <row r="1880" spans="1:19" x14ac:dyDescent="0.35">
      <c r="A1880" s="26" t="s">
        <v>543</v>
      </c>
      <c r="B1880" s="26" t="s">
        <v>543</v>
      </c>
      <c r="C1880" s="26"/>
      <c r="D1880" s="26" t="s">
        <v>543</v>
      </c>
      <c r="E1880" s="26" t="str">
        <f>IFERROR(VLOOKUP(G1880,WholesaleExtract!B:J,9,FALSE),"")</f>
        <v/>
      </c>
      <c r="F1880" s="26" t="str">
        <f>IFERROR(VLOOKUP(G1880,WholesaleExtract!B:J,6,FALSE),"")</f>
        <v/>
      </c>
      <c r="H1880" s="47" t="str">
        <f>IFERROR(VLOOKUP(G1880,WholesaleExtract!B:L,11,FALSE),"")</f>
        <v/>
      </c>
      <c r="I1880" s="26" t="str">
        <f>IFERROR(VLOOKUP(G1880,WholesaleExtract!B:O,8,FALSE),"")</f>
        <v/>
      </c>
      <c r="J1880" s="26" t="str">
        <f>IFERROR(VLOOKUP(G1880,WholesaleExtract!B:O,14,FALSE),"")</f>
        <v/>
      </c>
      <c r="K1880" s="26" t="str">
        <f>IFERROR(VLOOKUP(G1880,WholesaleExtract!B:K,10,FALSE),"")</f>
        <v/>
      </c>
      <c r="L1880" s="47" t="str">
        <f>IFERROR(VLOOKUP(G1880,WholesaleExtract!B:L,11,FALSE),"")</f>
        <v/>
      </c>
      <c r="M1880" s="47" t="str">
        <f>IFERROR(VLOOKUP(G1880,WholesaleExtract!B:M,12,FALSE),"")</f>
        <v/>
      </c>
      <c r="R1880" s="19"/>
      <c r="S1880" s="19"/>
    </row>
    <row r="1881" spans="1:19" x14ac:dyDescent="0.35">
      <c r="A1881" s="26" t="s">
        <v>543</v>
      </c>
      <c r="B1881" s="26" t="s">
        <v>543</v>
      </c>
      <c r="C1881" s="26"/>
      <c r="D1881" s="26" t="s">
        <v>543</v>
      </c>
      <c r="E1881" s="26" t="str">
        <f>IFERROR(VLOOKUP(G1881,WholesaleExtract!B:J,9,FALSE),"")</f>
        <v/>
      </c>
      <c r="F1881" s="26" t="str">
        <f>IFERROR(VLOOKUP(G1881,WholesaleExtract!B:J,6,FALSE),"")</f>
        <v/>
      </c>
      <c r="H1881" s="47" t="str">
        <f>IFERROR(VLOOKUP(G1881,WholesaleExtract!B:L,11,FALSE),"")</f>
        <v/>
      </c>
      <c r="I1881" s="26" t="str">
        <f>IFERROR(VLOOKUP(G1881,WholesaleExtract!B:O,8,FALSE),"")</f>
        <v/>
      </c>
      <c r="J1881" s="26" t="str">
        <f>IFERROR(VLOOKUP(G1881,WholesaleExtract!B:O,14,FALSE),"")</f>
        <v/>
      </c>
      <c r="K1881" s="26" t="str">
        <f>IFERROR(VLOOKUP(G1881,WholesaleExtract!B:K,10,FALSE),"")</f>
        <v/>
      </c>
      <c r="L1881" s="47" t="str">
        <f>IFERROR(VLOOKUP(G1881,WholesaleExtract!B:L,11,FALSE),"")</f>
        <v/>
      </c>
      <c r="M1881" s="47" t="str">
        <f>IFERROR(VLOOKUP(G1881,WholesaleExtract!B:M,12,FALSE),"")</f>
        <v/>
      </c>
      <c r="R1881" s="19"/>
      <c r="S1881" s="19"/>
    </row>
    <row r="1882" spans="1:19" x14ac:dyDescent="0.35">
      <c r="A1882" s="26" t="s">
        <v>543</v>
      </c>
      <c r="B1882" s="26" t="s">
        <v>543</v>
      </c>
      <c r="C1882" s="26"/>
      <c r="D1882" s="26" t="s">
        <v>543</v>
      </c>
      <c r="E1882" s="26" t="str">
        <f>IFERROR(VLOOKUP(G1882,WholesaleExtract!B:J,9,FALSE),"")</f>
        <v/>
      </c>
      <c r="F1882" s="26" t="str">
        <f>IFERROR(VLOOKUP(G1882,WholesaleExtract!B:J,6,FALSE),"")</f>
        <v/>
      </c>
      <c r="H1882" s="47" t="str">
        <f>IFERROR(VLOOKUP(G1882,WholesaleExtract!B:L,11,FALSE),"")</f>
        <v/>
      </c>
      <c r="I1882" s="26" t="str">
        <f>IFERROR(VLOOKUP(G1882,WholesaleExtract!B:O,8,FALSE),"")</f>
        <v/>
      </c>
      <c r="J1882" s="26" t="str">
        <f>IFERROR(VLOOKUP(G1882,WholesaleExtract!B:O,14,FALSE),"")</f>
        <v/>
      </c>
      <c r="K1882" s="26" t="str">
        <f>IFERROR(VLOOKUP(G1882,WholesaleExtract!B:K,10,FALSE),"")</f>
        <v/>
      </c>
      <c r="L1882" s="47" t="str">
        <f>IFERROR(VLOOKUP(G1882,WholesaleExtract!B:L,11,FALSE),"")</f>
        <v/>
      </c>
      <c r="M1882" s="47" t="str">
        <f>IFERROR(VLOOKUP(G1882,WholesaleExtract!B:M,12,FALSE),"")</f>
        <v/>
      </c>
      <c r="R1882" s="19"/>
      <c r="S1882" s="19"/>
    </row>
    <row r="1883" spans="1:19" x14ac:dyDescent="0.35">
      <c r="A1883" s="26" t="s">
        <v>543</v>
      </c>
      <c r="B1883" s="26" t="s">
        <v>543</v>
      </c>
      <c r="C1883" s="26"/>
      <c r="D1883" s="26" t="s">
        <v>543</v>
      </c>
      <c r="E1883" s="26" t="str">
        <f>IFERROR(VLOOKUP(G1883,WholesaleExtract!B:J,9,FALSE),"")</f>
        <v/>
      </c>
      <c r="F1883" s="26" t="str">
        <f>IFERROR(VLOOKUP(G1883,WholesaleExtract!B:J,6,FALSE),"")</f>
        <v/>
      </c>
      <c r="H1883" s="47" t="str">
        <f>IFERROR(VLOOKUP(G1883,WholesaleExtract!B:L,11,FALSE),"")</f>
        <v/>
      </c>
      <c r="I1883" s="26" t="str">
        <f>IFERROR(VLOOKUP(G1883,WholesaleExtract!B:O,8,FALSE),"")</f>
        <v/>
      </c>
      <c r="J1883" s="26" t="str">
        <f>IFERROR(VLOOKUP(G1883,WholesaleExtract!B:O,14,FALSE),"")</f>
        <v/>
      </c>
      <c r="K1883" s="26" t="str">
        <f>IFERROR(VLOOKUP(G1883,WholesaleExtract!B:K,10,FALSE),"")</f>
        <v/>
      </c>
      <c r="L1883" s="47" t="str">
        <f>IFERROR(VLOOKUP(G1883,WholesaleExtract!B:L,11,FALSE),"")</f>
        <v/>
      </c>
      <c r="M1883" s="47" t="str">
        <f>IFERROR(VLOOKUP(G1883,WholesaleExtract!B:M,12,FALSE),"")</f>
        <v/>
      </c>
      <c r="R1883" s="19"/>
      <c r="S1883" s="19"/>
    </row>
    <row r="1884" spans="1:19" x14ac:dyDescent="0.35">
      <c r="A1884" s="26" t="s">
        <v>543</v>
      </c>
      <c r="B1884" s="26" t="s">
        <v>543</v>
      </c>
      <c r="C1884" s="26"/>
      <c r="D1884" s="26" t="s">
        <v>543</v>
      </c>
      <c r="E1884" s="26" t="str">
        <f>IFERROR(VLOOKUP(G1884,WholesaleExtract!B:J,9,FALSE),"")</f>
        <v/>
      </c>
      <c r="F1884" s="26" t="str">
        <f>IFERROR(VLOOKUP(G1884,WholesaleExtract!B:J,6,FALSE),"")</f>
        <v/>
      </c>
      <c r="H1884" s="47" t="str">
        <f>IFERROR(VLOOKUP(G1884,WholesaleExtract!B:L,11,FALSE),"")</f>
        <v/>
      </c>
      <c r="I1884" s="26" t="str">
        <f>IFERROR(VLOOKUP(G1884,WholesaleExtract!B:O,8,FALSE),"")</f>
        <v/>
      </c>
      <c r="J1884" s="26" t="str">
        <f>IFERROR(VLOOKUP(G1884,WholesaleExtract!B:O,14,FALSE),"")</f>
        <v/>
      </c>
      <c r="K1884" s="26" t="str">
        <f>IFERROR(VLOOKUP(G1884,WholesaleExtract!B:K,10,FALSE),"")</f>
        <v/>
      </c>
      <c r="L1884" s="47" t="str">
        <f>IFERROR(VLOOKUP(G1884,WholesaleExtract!B:L,11,FALSE),"")</f>
        <v/>
      </c>
      <c r="M1884" s="47" t="str">
        <f>IFERROR(VLOOKUP(G1884,WholesaleExtract!B:M,12,FALSE),"")</f>
        <v/>
      </c>
      <c r="R1884" s="19"/>
      <c r="S1884" s="19"/>
    </row>
    <row r="1885" spans="1:19" x14ac:dyDescent="0.35">
      <c r="A1885" s="26" t="s">
        <v>543</v>
      </c>
      <c r="B1885" s="26" t="s">
        <v>543</v>
      </c>
      <c r="C1885" s="26"/>
      <c r="D1885" s="26" t="s">
        <v>543</v>
      </c>
      <c r="E1885" s="26" t="str">
        <f>IFERROR(VLOOKUP(G1885,WholesaleExtract!B:J,9,FALSE),"")</f>
        <v/>
      </c>
      <c r="F1885" s="26" t="str">
        <f>IFERROR(VLOOKUP(G1885,WholesaleExtract!B:J,6,FALSE),"")</f>
        <v/>
      </c>
      <c r="H1885" s="47" t="str">
        <f>IFERROR(VLOOKUP(G1885,WholesaleExtract!B:L,11,FALSE),"")</f>
        <v/>
      </c>
      <c r="I1885" s="26" t="str">
        <f>IFERROR(VLOOKUP(G1885,WholesaleExtract!B:O,8,FALSE),"")</f>
        <v/>
      </c>
      <c r="J1885" s="26" t="str">
        <f>IFERROR(VLOOKUP(G1885,WholesaleExtract!B:O,14,FALSE),"")</f>
        <v/>
      </c>
      <c r="K1885" s="26" t="str">
        <f>IFERROR(VLOOKUP(G1885,WholesaleExtract!B:K,10,FALSE),"")</f>
        <v/>
      </c>
      <c r="L1885" s="47" t="str">
        <f>IFERROR(VLOOKUP(G1885,WholesaleExtract!B:L,11,FALSE),"")</f>
        <v/>
      </c>
      <c r="M1885" s="47" t="str">
        <f>IFERROR(VLOOKUP(G1885,WholesaleExtract!B:M,12,FALSE),"")</f>
        <v/>
      </c>
      <c r="R1885" s="19"/>
      <c r="S1885" s="19"/>
    </row>
    <row r="1886" spans="1:19" x14ac:dyDescent="0.35">
      <c r="A1886" s="26" t="s">
        <v>543</v>
      </c>
      <c r="B1886" s="26" t="s">
        <v>543</v>
      </c>
      <c r="C1886" s="26"/>
      <c r="D1886" s="26" t="s">
        <v>543</v>
      </c>
      <c r="E1886" s="26" t="str">
        <f>IFERROR(VLOOKUP(G1886,WholesaleExtract!B:J,9,FALSE),"")</f>
        <v/>
      </c>
      <c r="F1886" s="26" t="str">
        <f>IFERROR(VLOOKUP(G1886,WholesaleExtract!B:J,6,FALSE),"")</f>
        <v/>
      </c>
      <c r="H1886" s="47" t="str">
        <f>IFERROR(VLOOKUP(G1886,WholesaleExtract!B:L,11,FALSE),"")</f>
        <v/>
      </c>
      <c r="I1886" s="26" t="str">
        <f>IFERROR(VLOOKUP(G1886,WholesaleExtract!B:O,8,FALSE),"")</f>
        <v/>
      </c>
      <c r="J1886" s="26" t="str">
        <f>IFERROR(VLOOKUP(G1886,WholesaleExtract!B:O,14,FALSE),"")</f>
        <v/>
      </c>
      <c r="K1886" s="26" t="str">
        <f>IFERROR(VLOOKUP(G1886,WholesaleExtract!B:K,10,FALSE),"")</f>
        <v/>
      </c>
      <c r="L1886" s="47" t="str">
        <f>IFERROR(VLOOKUP(G1886,WholesaleExtract!B:L,11,FALSE),"")</f>
        <v/>
      </c>
      <c r="M1886" s="47" t="str">
        <f>IFERROR(VLOOKUP(G1886,WholesaleExtract!B:M,12,FALSE),"")</f>
        <v/>
      </c>
      <c r="R1886" s="19"/>
      <c r="S1886" s="19"/>
    </row>
    <row r="1887" spans="1:19" x14ac:dyDescent="0.35">
      <c r="A1887" s="26" t="s">
        <v>543</v>
      </c>
      <c r="B1887" s="26" t="s">
        <v>543</v>
      </c>
      <c r="C1887" s="26"/>
      <c r="D1887" s="26" t="s">
        <v>543</v>
      </c>
      <c r="E1887" s="26" t="str">
        <f>IFERROR(VLOOKUP(G1887,WholesaleExtract!B:J,9,FALSE),"")</f>
        <v/>
      </c>
      <c r="F1887" s="26" t="str">
        <f>IFERROR(VLOOKUP(G1887,WholesaleExtract!B:J,6,FALSE),"")</f>
        <v/>
      </c>
      <c r="H1887" s="47" t="str">
        <f>IFERROR(VLOOKUP(G1887,WholesaleExtract!B:L,11,FALSE),"")</f>
        <v/>
      </c>
      <c r="I1887" s="26" t="str">
        <f>IFERROR(VLOOKUP(G1887,WholesaleExtract!B:O,8,FALSE),"")</f>
        <v/>
      </c>
      <c r="J1887" s="26" t="str">
        <f>IFERROR(VLOOKUP(G1887,WholesaleExtract!B:O,14,FALSE),"")</f>
        <v/>
      </c>
      <c r="K1887" s="26" t="str">
        <f>IFERROR(VLOOKUP(G1887,WholesaleExtract!B:K,10,FALSE),"")</f>
        <v/>
      </c>
      <c r="L1887" s="47" t="str">
        <f>IFERROR(VLOOKUP(G1887,WholesaleExtract!B:L,11,FALSE),"")</f>
        <v/>
      </c>
      <c r="M1887" s="47" t="str">
        <f>IFERROR(VLOOKUP(G1887,WholesaleExtract!B:M,12,FALSE),"")</f>
        <v/>
      </c>
      <c r="R1887" s="19"/>
      <c r="S1887" s="19"/>
    </row>
    <row r="1888" spans="1:19" x14ac:dyDescent="0.35">
      <c r="A1888" s="26" t="s">
        <v>543</v>
      </c>
      <c r="B1888" s="26" t="s">
        <v>543</v>
      </c>
      <c r="C1888" s="26"/>
      <c r="D1888" s="26" t="s">
        <v>543</v>
      </c>
      <c r="E1888" s="26" t="str">
        <f>IFERROR(VLOOKUP(G1888,WholesaleExtract!B:J,9,FALSE),"")</f>
        <v/>
      </c>
      <c r="F1888" s="26" t="str">
        <f>IFERROR(VLOOKUP(G1888,WholesaleExtract!B:J,6,FALSE),"")</f>
        <v/>
      </c>
      <c r="H1888" s="47" t="str">
        <f>IFERROR(VLOOKUP(G1888,WholesaleExtract!B:L,11,FALSE),"")</f>
        <v/>
      </c>
      <c r="I1888" s="26" t="str">
        <f>IFERROR(VLOOKUP(G1888,WholesaleExtract!B:O,8,FALSE),"")</f>
        <v/>
      </c>
      <c r="J1888" s="26" t="str">
        <f>IFERROR(VLOOKUP(G1888,WholesaleExtract!B:O,14,FALSE),"")</f>
        <v/>
      </c>
      <c r="K1888" s="26" t="str">
        <f>IFERROR(VLOOKUP(G1888,WholesaleExtract!B:K,10,FALSE),"")</f>
        <v/>
      </c>
      <c r="L1888" s="47" t="str">
        <f>IFERROR(VLOOKUP(G1888,WholesaleExtract!B:L,11,FALSE),"")</f>
        <v/>
      </c>
      <c r="M1888" s="47" t="str">
        <f>IFERROR(VLOOKUP(G1888,WholesaleExtract!B:M,12,FALSE),"")</f>
        <v/>
      </c>
      <c r="R1888" s="19"/>
      <c r="S1888" s="19"/>
    </row>
    <row r="1889" spans="1:19" x14ac:dyDescent="0.35">
      <c r="A1889" s="26" t="s">
        <v>543</v>
      </c>
      <c r="B1889" s="26" t="s">
        <v>543</v>
      </c>
      <c r="C1889" s="26"/>
      <c r="D1889" s="26" t="s">
        <v>543</v>
      </c>
      <c r="E1889" s="26" t="str">
        <f>IFERROR(VLOOKUP(G1889,WholesaleExtract!B:J,9,FALSE),"")</f>
        <v/>
      </c>
      <c r="F1889" s="26" t="str">
        <f>IFERROR(VLOOKUP(G1889,WholesaleExtract!B:J,6,FALSE),"")</f>
        <v/>
      </c>
      <c r="H1889" s="47" t="str">
        <f>IFERROR(VLOOKUP(G1889,WholesaleExtract!B:L,11,FALSE),"")</f>
        <v/>
      </c>
      <c r="I1889" s="26" t="str">
        <f>IFERROR(VLOOKUP(G1889,WholesaleExtract!B:O,8,FALSE),"")</f>
        <v/>
      </c>
      <c r="J1889" s="26" t="str">
        <f>IFERROR(VLOOKUP(G1889,WholesaleExtract!B:O,14,FALSE),"")</f>
        <v/>
      </c>
      <c r="K1889" s="26" t="str">
        <f>IFERROR(VLOOKUP(G1889,WholesaleExtract!B:K,10,FALSE),"")</f>
        <v/>
      </c>
      <c r="L1889" s="47" t="str">
        <f>IFERROR(VLOOKUP(G1889,WholesaleExtract!B:L,11,FALSE),"")</f>
        <v/>
      </c>
      <c r="M1889" s="47" t="str">
        <f>IFERROR(VLOOKUP(G1889,WholesaleExtract!B:M,12,FALSE),"")</f>
        <v/>
      </c>
      <c r="R1889" s="19"/>
      <c r="S1889" s="19"/>
    </row>
    <row r="1890" spans="1:19" x14ac:dyDescent="0.35">
      <c r="A1890" s="26" t="s">
        <v>543</v>
      </c>
      <c r="B1890" s="26" t="s">
        <v>543</v>
      </c>
      <c r="C1890" s="26"/>
      <c r="D1890" s="26" t="s">
        <v>543</v>
      </c>
      <c r="E1890" s="26" t="str">
        <f>IFERROR(VLOOKUP(G1890,WholesaleExtract!B:J,9,FALSE),"")</f>
        <v/>
      </c>
      <c r="F1890" s="26" t="str">
        <f>IFERROR(VLOOKUP(G1890,WholesaleExtract!B:J,6,FALSE),"")</f>
        <v/>
      </c>
      <c r="H1890" s="47" t="str">
        <f>IFERROR(VLOOKUP(G1890,WholesaleExtract!B:L,11,FALSE),"")</f>
        <v/>
      </c>
      <c r="I1890" s="26" t="str">
        <f>IFERROR(VLOOKUP(G1890,WholesaleExtract!B:O,8,FALSE),"")</f>
        <v/>
      </c>
      <c r="J1890" s="26" t="str">
        <f>IFERROR(VLOOKUP(G1890,WholesaleExtract!B:O,14,FALSE),"")</f>
        <v/>
      </c>
      <c r="K1890" s="26" t="str">
        <f>IFERROR(VLOOKUP(G1890,WholesaleExtract!B:K,10,FALSE),"")</f>
        <v/>
      </c>
      <c r="L1890" s="47" t="str">
        <f>IFERROR(VLOOKUP(G1890,WholesaleExtract!B:L,11,FALSE),"")</f>
        <v/>
      </c>
      <c r="M1890" s="47" t="str">
        <f>IFERROR(VLOOKUP(G1890,WholesaleExtract!B:M,12,FALSE),"")</f>
        <v/>
      </c>
      <c r="R1890" s="19"/>
      <c r="S1890" s="19"/>
    </row>
    <row r="1891" spans="1:19" x14ac:dyDescent="0.35">
      <c r="A1891" s="26" t="s">
        <v>543</v>
      </c>
      <c r="B1891" s="26" t="s">
        <v>543</v>
      </c>
      <c r="C1891" s="26"/>
      <c r="D1891" s="26" t="s">
        <v>543</v>
      </c>
      <c r="E1891" s="26" t="str">
        <f>IFERROR(VLOOKUP(G1891,WholesaleExtract!B:J,9,FALSE),"")</f>
        <v/>
      </c>
      <c r="F1891" s="26" t="str">
        <f>IFERROR(VLOOKUP(G1891,WholesaleExtract!B:J,6,FALSE),"")</f>
        <v/>
      </c>
      <c r="H1891" s="47" t="str">
        <f>IFERROR(VLOOKUP(G1891,WholesaleExtract!B:L,11,FALSE),"")</f>
        <v/>
      </c>
      <c r="I1891" s="26" t="str">
        <f>IFERROR(VLOOKUP(G1891,WholesaleExtract!B:O,8,FALSE),"")</f>
        <v/>
      </c>
      <c r="J1891" s="26" t="str">
        <f>IFERROR(VLOOKUP(G1891,WholesaleExtract!B:O,14,FALSE),"")</f>
        <v/>
      </c>
      <c r="K1891" s="26" t="str">
        <f>IFERROR(VLOOKUP(G1891,WholesaleExtract!B:K,10,FALSE),"")</f>
        <v/>
      </c>
      <c r="L1891" s="47" t="str">
        <f>IFERROR(VLOOKUP(G1891,WholesaleExtract!B:L,11,FALSE),"")</f>
        <v/>
      </c>
      <c r="M1891" s="47" t="str">
        <f>IFERROR(VLOOKUP(G1891,WholesaleExtract!B:M,12,FALSE),"")</f>
        <v/>
      </c>
      <c r="R1891" s="19"/>
      <c r="S1891" s="19"/>
    </row>
    <row r="1892" spans="1:19" x14ac:dyDescent="0.35">
      <c r="A1892" s="26" t="s">
        <v>543</v>
      </c>
      <c r="B1892" s="26" t="s">
        <v>543</v>
      </c>
      <c r="C1892" s="26"/>
      <c r="D1892" s="26" t="s">
        <v>543</v>
      </c>
      <c r="E1892" s="26" t="str">
        <f>IFERROR(VLOOKUP(G1892,WholesaleExtract!B:J,9,FALSE),"")</f>
        <v/>
      </c>
      <c r="F1892" s="26" t="str">
        <f>IFERROR(VLOOKUP(G1892,WholesaleExtract!B:J,6,FALSE),"")</f>
        <v/>
      </c>
      <c r="H1892" s="47" t="str">
        <f>IFERROR(VLOOKUP(G1892,WholesaleExtract!B:L,11,FALSE),"")</f>
        <v/>
      </c>
      <c r="I1892" s="26" t="str">
        <f>IFERROR(VLOOKUP(G1892,WholesaleExtract!B:O,8,FALSE),"")</f>
        <v/>
      </c>
      <c r="J1892" s="26" t="str">
        <f>IFERROR(VLOOKUP(G1892,WholesaleExtract!B:O,14,FALSE),"")</f>
        <v/>
      </c>
      <c r="K1892" s="26" t="str">
        <f>IFERROR(VLOOKUP(G1892,WholesaleExtract!B:K,10,FALSE),"")</f>
        <v/>
      </c>
      <c r="L1892" s="47" t="str">
        <f>IFERROR(VLOOKUP(G1892,WholesaleExtract!B:L,11,FALSE),"")</f>
        <v/>
      </c>
      <c r="M1892" s="47" t="str">
        <f>IFERROR(VLOOKUP(G1892,WholesaleExtract!B:M,12,FALSE),"")</f>
        <v/>
      </c>
      <c r="R1892" s="19"/>
      <c r="S1892" s="19"/>
    </row>
    <row r="1893" spans="1:19" x14ac:dyDescent="0.35">
      <c r="A1893" s="26" t="s">
        <v>543</v>
      </c>
      <c r="B1893" s="26" t="s">
        <v>543</v>
      </c>
      <c r="C1893" s="26"/>
      <c r="D1893" s="26" t="s">
        <v>543</v>
      </c>
      <c r="E1893" s="26" t="str">
        <f>IFERROR(VLOOKUP(G1893,WholesaleExtract!B:J,9,FALSE),"")</f>
        <v/>
      </c>
      <c r="F1893" s="26" t="str">
        <f>IFERROR(VLOOKUP(G1893,WholesaleExtract!B:J,6,FALSE),"")</f>
        <v/>
      </c>
      <c r="H1893" s="47" t="str">
        <f>IFERROR(VLOOKUP(G1893,WholesaleExtract!B:L,11,FALSE),"")</f>
        <v/>
      </c>
      <c r="I1893" s="26" t="str">
        <f>IFERROR(VLOOKUP(G1893,WholesaleExtract!B:O,8,FALSE),"")</f>
        <v/>
      </c>
      <c r="J1893" s="26" t="str">
        <f>IFERROR(VLOOKUP(G1893,WholesaleExtract!B:O,14,FALSE),"")</f>
        <v/>
      </c>
      <c r="K1893" s="26" t="str">
        <f>IFERROR(VLOOKUP(G1893,WholesaleExtract!B:K,10,FALSE),"")</f>
        <v/>
      </c>
      <c r="L1893" s="47" t="str">
        <f>IFERROR(VLOOKUP(G1893,WholesaleExtract!B:L,11,FALSE),"")</f>
        <v/>
      </c>
      <c r="M1893" s="47" t="str">
        <f>IFERROR(VLOOKUP(G1893,WholesaleExtract!B:M,12,FALSE),"")</f>
        <v/>
      </c>
      <c r="R1893" s="19"/>
      <c r="S1893" s="19"/>
    </row>
    <row r="1894" spans="1:19" x14ac:dyDescent="0.35">
      <c r="A1894" s="26" t="s">
        <v>543</v>
      </c>
      <c r="B1894" s="26" t="s">
        <v>543</v>
      </c>
      <c r="C1894" s="26"/>
      <c r="D1894" s="26" t="s">
        <v>543</v>
      </c>
      <c r="E1894" s="26" t="str">
        <f>IFERROR(VLOOKUP(G1894,WholesaleExtract!B:J,9,FALSE),"")</f>
        <v/>
      </c>
      <c r="F1894" s="26" t="str">
        <f>IFERROR(VLOOKUP(G1894,WholesaleExtract!B:J,6,FALSE),"")</f>
        <v/>
      </c>
      <c r="H1894" s="47" t="str">
        <f>IFERROR(VLOOKUP(G1894,WholesaleExtract!B:L,11,FALSE),"")</f>
        <v/>
      </c>
      <c r="I1894" s="26" t="str">
        <f>IFERROR(VLOOKUP(G1894,WholesaleExtract!B:O,8,FALSE),"")</f>
        <v/>
      </c>
      <c r="J1894" s="26" t="str">
        <f>IFERROR(VLOOKUP(G1894,WholesaleExtract!B:O,14,FALSE),"")</f>
        <v/>
      </c>
      <c r="K1894" s="26" t="str">
        <f>IFERROR(VLOOKUP(G1894,WholesaleExtract!B:K,10,FALSE),"")</f>
        <v/>
      </c>
      <c r="L1894" s="47" t="str">
        <f>IFERROR(VLOOKUP(G1894,WholesaleExtract!B:L,11,FALSE),"")</f>
        <v/>
      </c>
      <c r="M1894" s="47" t="str">
        <f>IFERROR(VLOOKUP(G1894,WholesaleExtract!B:M,12,FALSE),"")</f>
        <v/>
      </c>
      <c r="R1894" s="19"/>
      <c r="S1894" s="19"/>
    </row>
    <row r="1895" spans="1:19" x14ac:dyDescent="0.35">
      <c r="A1895" s="26" t="s">
        <v>543</v>
      </c>
      <c r="B1895" s="26" t="s">
        <v>543</v>
      </c>
      <c r="C1895" s="26"/>
      <c r="D1895" s="26" t="s">
        <v>543</v>
      </c>
      <c r="E1895" s="26" t="str">
        <f>IFERROR(VLOOKUP(G1895,WholesaleExtract!B:J,9,FALSE),"")</f>
        <v/>
      </c>
      <c r="F1895" s="26" t="str">
        <f>IFERROR(VLOOKUP(G1895,WholesaleExtract!B:J,6,FALSE),"")</f>
        <v/>
      </c>
      <c r="H1895" s="47" t="str">
        <f>IFERROR(VLOOKUP(G1895,WholesaleExtract!B:L,11,FALSE),"")</f>
        <v/>
      </c>
      <c r="I1895" s="26" t="str">
        <f>IFERROR(VLOOKUP(G1895,WholesaleExtract!B:O,8,FALSE),"")</f>
        <v/>
      </c>
      <c r="J1895" s="26" t="str">
        <f>IFERROR(VLOOKUP(G1895,WholesaleExtract!B:O,14,FALSE),"")</f>
        <v/>
      </c>
      <c r="K1895" s="26" t="str">
        <f>IFERROR(VLOOKUP(G1895,WholesaleExtract!B:K,10,FALSE),"")</f>
        <v/>
      </c>
      <c r="L1895" s="47" t="str">
        <f>IFERROR(VLOOKUP(G1895,WholesaleExtract!B:L,11,FALSE),"")</f>
        <v/>
      </c>
      <c r="M1895" s="47" t="str">
        <f>IFERROR(VLOOKUP(G1895,WholesaleExtract!B:M,12,FALSE),"")</f>
        <v/>
      </c>
      <c r="R1895" s="19"/>
      <c r="S1895" s="19"/>
    </row>
    <row r="1896" spans="1:19" x14ac:dyDescent="0.35">
      <c r="A1896" s="26" t="s">
        <v>543</v>
      </c>
      <c r="B1896" s="26" t="s">
        <v>543</v>
      </c>
      <c r="C1896" s="26"/>
      <c r="D1896" s="26" t="s">
        <v>543</v>
      </c>
      <c r="E1896" s="26" t="str">
        <f>IFERROR(VLOOKUP(G1896,WholesaleExtract!B:J,9,FALSE),"")</f>
        <v/>
      </c>
      <c r="F1896" s="26" t="str">
        <f>IFERROR(VLOOKUP(G1896,WholesaleExtract!B:J,6,FALSE),"")</f>
        <v/>
      </c>
      <c r="H1896" s="47" t="str">
        <f>IFERROR(VLOOKUP(G1896,WholesaleExtract!B:L,11,FALSE),"")</f>
        <v/>
      </c>
      <c r="I1896" s="26" t="str">
        <f>IFERROR(VLOOKUP(G1896,WholesaleExtract!B:O,8,FALSE),"")</f>
        <v/>
      </c>
      <c r="J1896" s="26" t="str">
        <f>IFERROR(VLOOKUP(G1896,WholesaleExtract!B:O,14,FALSE),"")</f>
        <v/>
      </c>
      <c r="K1896" s="26" t="str">
        <f>IFERROR(VLOOKUP(G1896,WholesaleExtract!B:K,10,FALSE),"")</f>
        <v/>
      </c>
      <c r="L1896" s="47" t="str">
        <f>IFERROR(VLOOKUP(G1896,WholesaleExtract!B:L,11,FALSE),"")</f>
        <v/>
      </c>
      <c r="M1896" s="47" t="str">
        <f>IFERROR(VLOOKUP(G1896,WholesaleExtract!B:M,12,FALSE),"")</f>
        <v/>
      </c>
      <c r="R1896" s="19"/>
      <c r="S1896" s="19"/>
    </row>
    <row r="1897" spans="1:19" x14ac:dyDescent="0.35">
      <c r="A1897" s="26" t="s">
        <v>543</v>
      </c>
      <c r="B1897" s="26" t="s">
        <v>543</v>
      </c>
      <c r="C1897" s="26"/>
      <c r="D1897" s="26" t="s">
        <v>543</v>
      </c>
      <c r="E1897" s="26" t="str">
        <f>IFERROR(VLOOKUP(G1897,WholesaleExtract!B:J,9,FALSE),"")</f>
        <v/>
      </c>
      <c r="F1897" s="26" t="str">
        <f>IFERROR(VLOOKUP(G1897,WholesaleExtract!B:J,6,FALSE),"")</f>
        <v/>
      </c>
      <c r="H1897" s="47" t="str">
        <f>IFERROR(VLOOKUP(G1897,WholesaleExtract!B:L,11,FALSE),"")</f>
        <v/>
      </c>
      <c r="I1897" s="26" t="str">
        <f>IFERROR(VLOOKUP(G1897,WholesaleExtract!B:O,8,FALSE),"")</f>
        <v/>
      </c>
      <c r="J1897" s="26" t="str">
        <f>IFERROR(VLOOKUP(G1897,WholesaleExtract!B:O,14,FALSE),"")</f>
        <v/>
      </c>
      <c r="K1897" s="26" t="str">
        <f>IFERROR(VLOOKUP(G1897,WholesaleExtract!B:K,10,FALSE),"")</f>
        <v/>
      </c>
      <c r="L1897" s="47" t="str">
        <f>IFERROR(VLOOKUP(G1897,WholesaleExtract!B:L,11,FALSE),"")</f>
        <v/>
      </c>
      <c r="M1897" s="47" t="str">
        <f>IFERROR(VLOOKUP(G1897,WholesaleExtract!B:M,12,FALSE),"")</f>
        <v/>
      </c>
      <c r="R1897" s="19"/>
      <c r="S1897" s="19"/>
    </row>
    <row r="1898" spans="1:19" x14ac:dyDescent="0.35">
      <c r="A1898" s="26" t="s">
        <v>543</v>
      </c>
      <c r="B1898" s="26" t="s">
        <v>543</v>
      </c>
      <c r="C1898" s="26"/>
      <c r="D1898" s="26" t="s">
        <v>543</v>
      </c>
      <c r="E1898" s="26" t="str">
        <f>IFERROR(VLOOKUP(G1898,WholesaleExtract!B:J,9,FALSE),"")</f>
        <v/>
      </c>
      <c r="F1898" s="26" t="str">
        <f>IFERROR(VLOOKUP(G1898,WholesaleExtract!B:J,6,FALSE),"")</f>
        <v/>
      </c>
      <c r="H1898" s="47" t="str">
        <f>IFERROR(VLOOKUP(G1898,WholesaleExtract!B:L,11,FALSE),"")</f>
        <v/>
      </c>
      <c r="I1898" s="26" t="str">
        <f>IFERROR(VLOOKUP(G1898,WholesaleExtract!B:O,8,FALSE),"")</f>
        <v/>
      </c>
      <c r="J1898" s="26" t="str">
        <f>IFERROR(VLOOKUP(G1898,WholesaleExtract!B:O,14,FALSE),"")</f>
        <v/>
      </c>
      <c r="K1898" s="26" t="str">
        <f>IFERROR(VLOOKUP(G1898,WholesaleExtract!B:K,10,FALSE),"")</f>
        <v/>
      </c>
      <c r="L1898" s="47" t="str">
        <f>IFERROR(VLOOKUP(G1898,WholesaleExtract!B:L,11,FALSE),"")</f>
        <v/>
      </c>
      <c r="M1898" s="47" t="str">
        <f>IFERROR(VLOOKUP(G1898,WholesaleExtract!B:M,12,FALSE),"")</f>
        <v/>
      </c>
      <c r="R1898" s="19"/>
      <c r="S1898" s="19"/>
    </row>
    <row r="1899" spans="1:19" x14ac:dyDescent="0.35">
      <c r="A1899" s="26" t="s">
        <v>543</v>
      </c>
      <c r="B1899" s="26" t="s">
        <v>543</v>
      </c>
      <c r="C1899" s="26"/>
      <c r="D1899" s="26" t="s">
        <v>543</v>
      </c>
      <c r="E1899" s="26" t="str">
        <f>IFERROR(VLOOKUP(G1899,WholesaleExtract!B:J,9,FALSE),"")</f>
        <v/>
      </c>
      <c r="F1899" s="26" t="str">
        <f>IFERROR(VLOOKUP(G1899,WholesaleExtract!B:J,6,FALSE),"")</f>
        <v/>
      </c>
      <c r="H1899" s="47" t="str">
        <f>IFERROR(VLOOKUP(G1899,WholesaleExtract!B:L,11,FALSE),"")</f>
        <v/>
      </c>
      <c r="I1899" s="26" t="str">
        <f>IFERROR(VLOOKUP(G1899,WholesaleExtract!B:O,8,FALSE),"")</f>
        <v/>
      </c>
      <c r="J1899" s="26" t="str">
        <f>IFERROR(VLOOKUP(G1899,WholesaleExtract!B:O,14,FALSE),"")</f>
        <v/>
      </c>
      <c r="K1899" s="26" t="str">
        <f>IFERROR(VLOOKUP(G1899,WholesaleExtract!B:K,10,FALSE),"")</f>
        <v/>
      </c>
      <c r="L1899" s="47" t="str">
        <f>IFERROR(VLOOKUP(G1899,WholesaleExtract!B:L,11,FALSE),"")</f>
        <v/>
      </c>
      <c r="M1899" s="47" t="str">
        <f>IFERROR(VLOOKUP(G1899,WholesaleExtract!B:M,12,FALSE),"")</f>
        <v/>
      </c>
      <c r="R1899" s="19"/>
      <c r="S1899" s="19"/>
    </row>
    <row r="1900" spans="1:19" x14ac:dyDescent="0.35">
      <c r="A1900" s="26" t="s">
        <v>543</v>
      </c>
      <c r="B1900" s="26" t="s">
        <v>543</v>
      </c>
      <c r="C1900" s="26"/>
      <c r="D1900" s="26" t="s">
        <v>543</v>
      </c>
      <c r="E1900" s="26" t="str">
        <f>IFERROR(VLOOKUP(G1900,WholesaleExtract!B:J,9,FALSE),"")</f>
        <v/>
      </c>
      <c r="F1900" s="26" t="str">
        <f>IFERROR(VLOOKUP(G1900,WholesaleExtract!B:J,6,FALSE),"")</f>
        <v/>
      </c>
      <c r="H1900" s="47" t="str">
        <f>IFERROR(VLOOKUP(G1900,WholesaleExtract!B:L,11,FALSE),"")</f>
        <v/>
      </c>
      <c r="I1900" s="26" t="str">
        <f>IFERROR(VLOOKUP(G1900,WholesaleExtract!B:O,8,FALSE),"")</f>
        <v/>
      </c>
      <c r="J1900" s="26" t="str">
        <f>IFERROR(VLOOKUP(G1900,WholesaleExtract!B:O,14,FALSE),"")</f>
        <v/>
      </c>
      <c r="K1900" s="26" t="str">
        <f>IFERROR(VLOOKUP(G1900,WholesaleExtract!B:K,10,FALSE),"")</f>
        <v/>
      </c>
      <c r="L1900" s="47" t="str">
        <f>IFERROR(VLOOKUP(G1900,WholesaleExtract!B:L,11,FALSE),"")</f>
        <v/>
      </c>
      <c r="M1900" s="47" t="str">
        <f>IFERROR(VLOOKUP(G1900,WholesaleExtract!B:M,12,FALSE),"")</f>
        <v/>
      </c>
      <c r="R1900" s="19"/>
      <c r="S1900" s="19"/>
    </row>
    <row r="1901" spans="1:19" x14ac:dyDescent="0.35">
      <c r="A1901" s="26" t="s">
        <v>543</v>
      </c>
      <c r="B1901" s="26" t="s">
        <v>543</v>
      </c>
      <c r="C1901" s="26"/>
      <c r="D1901" s="26" t="s">
        <v>543</v>
      </c>
      <c r="E1901" s="26" t="str">
        <f>IFERROR(VLOOKUP(G1901,WholesaleExtract!B:J,9,FALSE),"")</f>
        <v/>
      </c>
      <c r="F1901" s="26" t="str">
        <f>IFERROR(VLOOKUP(G1901,WholesaleExtract!B:J,6,FALSE),"")</f>
        <v/>
      </c>
      <c r="H1901" s="47" t="str">
        <f>IFERROR(VLOOKUP(G1901,WholesaleExtract!B:L,11,FALSE),"")</f>
        <v/>
      </c>
      <c r="I1901" s="26" t="str">
        <f>IFERROR(VLOOKUP(G1901,WholesaleExtract!B:O,8,FALSE),"")</f>
        <v/>
      </c>
      <c r="J1901" s="26" t="str">
        <f>IFERROR(VLOOKUP(G1901,WholesaleExtract!B:O,14,FALSE),"")</f>
        <v/>
      </c>
      <c r="K1901" s="26" t="str">
        <f>IFERROR(VLOOKUP(G1901,WholesaleExtract!B:K,10,FALSE),"")</f>
        <v/>
      </c>
      <c r="L1901" s="47" t="str">
        <f>IFERROR(VLOOKUP(G1901,WholesaleExtract!B:L,11,FALSE),"")</f>
        <v/>
      </c>
      <c r="M1901" s="47" t="str">
        <f>IFERROR(VLOOKUP(G1901,WholesaleExtract!B:M,12,FALSE),"")</f>
        <v/>
      </c>
      <c r="R1901" s="19"/>
      <c r="S1901" s="19"/>
    </row>
    <row r="1902" spans="1:19" x14ac:dyDescent="0.35">
      <c r="A1902" s="26" t="s">
        <v>543</v>
      </c>
      <c r="B1902" s="26" t="s">
        <v>543</v>
      </c>
      <c r="C1902" s="26"/>
      <c r="D1902" s="26" t="s">
        <v>543</v>
      </c>
      <c r="E1902" s="26" t="str">
        <f>IFERROR(VLOOKUP(G1902,WholesaleExtract!B:J,9,FALSE),"")</f>
        <v/>
      </c>
      <c r="F1902" s="26" t="str">
        <f>IFERROR(VLOOKUP(G1902,WholesaleExtract!B:J,6,FALSE),"")</f>
        <v/>
      </c>
      <c r="H1902" s="47" t="str">
        <f>IFERROR(VLOOKUP(G1902,WholesaleExtract!B:L,11,FALSE),"")</f>
        <v/>
      </c>
      <c r="I1902" s="26" t="str">
        <f>IFERROR(VLOOKUP(G1902,WholesaleExtract!B:O,8,FALSE),"")</f>
        <v/>
      </c>
      <c r="J1902" s="26" t="str">
        <f>IFERROR(VLOOKUP(G1902,WholesaleExtract!B:O,14,FALSE),"")</f>
        <v/>
      </c>
      <c r="K1902" s="26" t="str">
        <f>IFERROR(VLOOKUP(G1902,WholesaleExtract!B:K,10,FALSE),"")</f>
        <v/>
      </c>
      <c r="L1902" s="47" t="str">
        <f>IFERROR(VLOOKUP(G1902,WholesaleExtract!B:L,11,FALSE),"")</f>
        <v/>
      </c>
      <c r="M1902" s="47" t="str">
        <f>IFERROR(VLOOKUP(G1902,WholesaleExtract!B:M,12,FALSE),"")</f>
        <v/>
      </c>
      <c r="R1902" s="19"/>
      <c r="S1902" s="19"/>
    </row>
    <row r="1903" spans="1:19" x14ac:dyDescent="0.35">
      <c r="A1903" s="26" t="s">
        <v>543</v>
      </c>
      <c r="B1903" s="26" t="s">
        <v>543</v>
      </c>
      <c r="C1903" s="26"/>
      <c r="D1903" s="26" t="s">
        <v>543</v>
      </c>
      <c r="E1903" s="26" t="str">
        <f>IFERROR(VLOOKUP(G1903,WholesaleExtract!B:J,9,FALSE),"")</f>
        <v/>
      </c>
      <c r="F1903" s="26" t="str">
        <f>IFERROR(VLOOKUP(G1903,WholesaleExtract!B:J,6,FALSE),"")</f>
        <v/>
      </c>
      <c r="H1903" s="47" t="str">
        <f>IFERROR(VLOOKUP(G1903,WholesaleExtract!B:L,11,FALSE),"")</f>
        <v/>
      </c>
      <c r="I1903" s="26" t="str">
        <f>IFERROR(VLOOKUP(G1903,WholesaleExtract!B:O,8,FALSE),"")</f>
        <v/>
      </c>
      <c r="J1903" s="26" t="str">
        <f>IFERROR(VLOOKUP(G1903,WholesaleExtract!B:O,14,FALSE),"")</f>
        <v/>
      </c>
      <c r="K1903" s="26" t="str">
        <f>IFERROR(VLOOKUP(G1903,WholesaleExtract!B:K,10,FALSE),"")</f>
        <v/>
      </c>
      <c r="L1903" s="47" t="str">
        <f>IFERROR(VLOOKUP(G1903,WholesaleExtract!B:L,11,FALSE),"")</f>
        <v/>
      </c>
      <c r="M1903" s="47" t="str">
        <f>IFERROR(VLOOKUP(G1903,WholesaleExtract!B:M,12,FALSE),"")</f>
        <v/>
      </c>
      <c r="R1903" s="19"/>
      <c r="S1903" s="19"/>
    </row>
    <row r="1904" spans="1:19" x14ac:dyDescent="0.35">
      <c r="A1904" s="26" t="s">
        <v>543</v>
      </c>
      <c r="B1904" s="26" t="s">
        <v>543</v>
      </c>
      <c r="C1904" s="26"/>
      <c r="D1904" s="26" t="s">
        <v>543</v>
      </c>
      <c r="E1904" s="26" t="str">
        <f>IFERROR(VLOOKUP(G1904,WholesaleExtract!B:J,9,FALSE),"")</f>
        <v/>
      </c>
      <c r="F1904" s="26" t="str">
        <f>IFERROR(VLOOKUP(G1904,WholesaleExtract!B:J,6,FALSE),"")</f>
        <v/>
      </c>
      <c r="H1904" s="47" t="str">
        <f>IFERROR(VLOOKUP(G1904,WholesaleExtract!B:L,11,FALSE),"")</f>
        <v/>
      </c>
      <c r="I1904" s="26" t="str">
        <f>IFERROR(VLOOKUP(G1904,WholesaleExtract!B:O,8,FALSE),"")</f>
        <v/>
      </c>
      <c r="J1904" s="26" t="str">
        <f>IFERROR(VLOOKUP(G1904,WholesaleExtract!B:O,14,FALSE),"")</f>
        <v/>
      </c>
      <c r="K1904" s="26" t="str">
        <f>IFERROR(VLOOKUP(G1904,WholesaleExtract!B:K,10,FALSE),"")</f>
        <v/>
      </c>
      <c r="L1904" s="47" t="str">
        <f>IFERROR(VLOOKUP(G1904,WholesaleExtract!B:L,11,FALSE),"")</f>
        <v/>
      </c>
      <c r="M1904" s="47" t="str">
        <f>IFERROR(VLOOKUP(G1904,WholesaleExtract!B:M,12,FALSE),"")</f>
        <v/>
      </c>
      <c r="R1904" s="19"/>
      <c r="S1904" s="19"/>
    </row>
    <row r="1905" spans="1:19" x14ac:dyDescent="0.35">
      <c r="A1905" s="26" t="s">
        <v>543</v>
      </c>
      <c r="B1905" s="26" t="s">
        <v>543</v>
      </c>
      <c r="C1905" s="26"/>
      <c r="D1905" s="26" t="s">
        <v>543</v>
      </c>
      <c r="E1905" s="26" t="str">
        <f>IFERROR(VLOOKUP(G1905,WholesaleExtract!B:J,9,FALSE),"")</f>
        <v/>
      </c>
      <c r="F1905" s="26" t="str">
        <f>IFERROR(VLOOKUP(G1905,WholesaleExtract!B:J,6,FALSE),"")</f>
        <v/>
      </c>
      <c r="H1905" s="47" t="str">
        <f>IFERROR(VLOOKUP(G1905,WholesaleExtract!B:L,11,FALSE),"")</f>
        <v/>
      </c>
      <c r="I1905" s="26" t="str">
        <f>IFERROR(VLOOKUP(G1905,WholesaleExtract!B:O,8,FALSE),"")</f>
        <v/>
      </c>
      <c r="J1905" s="26" t="str">
        <f>IFERROR(VLOOKUP(G1905,WholesaleExtract!B:O,14,FALSE),"")</f>
        <v/>
      </c>
      <c r="K1905" s="26" t="str">
        <f>IFERROR(VLOOKUP(G1905,WholesaleExtract!B:K,10,FALSE),"")</f>
        <v/>
      </c>
      <c r="L1905" s="47" t="str">
        <f>IFERROR(VLOOKUP(G1905,WholesaleExtract!B:L,11,FALSE),"")</f>
        <v/>
      </c>
      <c r="M1905" s="47" t="str">
        <f>IFERROR(VLOOKUP(G1905,WholesaleExtract!B:M,12,FALSE),"")</f>
        <v/>
      </c>
      <c r="R1905" s="19"/>
      <c r="S1905" s="19"/>
    </row>
    <row r="1906" spans="1:19" x14ac:dyDescent="0.35">
      <c r="A1906" s="26" t="s">
        <v>543</v>
      </c>
      <c r="B1906" s="26" t="s">
        <v>543</v>
      </c>
      <c r="C1906" s="26"/>
      <c r="D1906" s="26" t="s">
        <v>543</v>
      </c>
      <c r="E1906" s="26" t="str">
        <f>IFERROR(VLOOKUP(G1906,WholesaleExtract!B:J,9,FALSE),"")</f>
        <v/>
      </c>
      <c r="F1906" s="26" t="str">
        <f>IFERROR(VLOOKUP(G1906,WholesaleExtract!B:J,6,FALSE),"")</f>
        <v/>
      </c>
      <c r="H1906" s="47" t="str">
        <f>IFERROR(VLOOKUP(G1906,WholesaleExtract!B:L,11,FALSE),"")</f>
        <v/>
      </c>
      <c r="I1906" s="26" t="str">
        <f>IFERROR(VLOOKUP(G1906,WholesaleExtract!B:O,8,FALSE),"")</f>
        <v/>
      </c>
      <c r="J1906" s="26" t="str">
        <f>IFERROR(VLOOKUP(G1906,WholesaleExtract!B:O,14,FALSE),"")</f>
        <v/>
      </c>
      <c r="K1906" s="26" t="str">
        <f>IFERROR(VLOOKUP(G1906,WholesaleExtract!B:K,10,FALSE),"")</f>
        <v/>
      </c>
      <c r="L1906" s="47" t="str">
        <f>IFERROR(VLOOKUP(G1906,WholesaleExtract!B:L,11,FALSE),"")</f>
        <v/>
      </c>
      <c r="M1906" s="47" t="str">
        <f>IFERROR(VLOOKUP(G1906,WholesaleExtract!B:M,12,FALSE),"")</f>
        <v/>
      </c>
      <c r="R1906" s="19"/>
      <c r="S1906" s="19"/>
    </row>
    <row r="1907" spans="1:19" x14ac:dyDescent="0.35">
      <c r="A1907" s="26" t="s">
        <v>543</v>
      </c>
      <c r="B1907" s="26" t="s">
        <v>543</v>
      </c>
      <c r="C1907" s="26"/>
      <c r="D1907" s="26" t="s">
        <v>543</v>
      </c>
      <c r="E1907" s="26" t="str">
        <f>IFERROR(VLOOKUP(G1907,WholesaleExtract!B:J,9,FALSE),"")</f>
        <v/>
      </c>
      <c r="F1907" s="26" t="str">
        <f>IFERROR(VLOOKUP(G1907,WholesaleExtract!B:J,6,FALSE),"")</f>
        <v/>
      </c>
      <c r="H1907" s="47" t="str">
        <f>IFERROR(VLOOKUP(G1907,WholesaleExtract!B:L,11,FALSE),"")</f>
        <v/>
      </c>
      <c r="I1907" s="26" t="str">
        <f>IFERROR(VLOOKUP(G1907,WholesaleExtract!B:O,8,FALSE),"")</f>
        <v/>
      </c>
      <c r="J1907" s="26" t="str">
        <f>IFERROR(VLOOKUP(G1907,WholesaleExtract!B:O,14,FALSE),"")</f>
        <v/>
      </c>
      <c r="K1907" s="26" t="str">
        <f>IFERROR(VLOOKUP(G1907,WholesaleExtract!B:K,10,FALSE),"")</f>
        <v/>
      </c>
      <c r="L1907" s="47" t="str">
        <f>IFERROR(VLOOKUP(G1907,WholesaleExtract!B:L,11,FALSE),"")</f>
        <v/>
      </c>
      <c r="M1907" s="47" t="str">
        <f>IFERROR(VLOOKUP(G1907,WholesaleExtract!B:M,12,FALSE),"")</f>
        <v/>
      </c>
      <c r="R1907" s="19"/>
      <c r="S1907" s="19"/>
    </row>
    <row r="1908" spans="1:19" x14ac:dyDescent="0.35">
      <c r="A1908" s="26" t="s">
        <v>543</v>
      </c>
      <c r="B1908" s="26" t="s">
        <v>543</v>
      </c>
      <c r="C1908" s="26"/>
      <c r="D1908" s="26" t="s">
        <v>543</v>
      </c>
      <c r="E1908" s="26" t="str">
        <f>IFERROR(VLOOKUP(G1908,WholesaleExtract!B:J,9,FALSE),"")</f>
        <v/>
      </c>
      <c r="F1908" s="26" t="str">
        <f>IFERROR(VLOOKUP(G1908,WholesaleExtract!B:J,6,FALSE),"")</f>
        <v/>
      </c>
      <c r="H1908" s="47" t="str">
        <f>IFERROR(VLOOKUP(G1908,WholesaleExtract!B:L,11,FALSE),"")</f>
        <v/>
      </c>
      <c r="I1908" s="26" t="str">
        <f>IFERROR(VLOOKUP(G1908,WholesaleExtract!B:O,8,FALSE),"")</f>
        <v/>
      </c>
      <c r="J1908" s="26" t="str">
        <f>IFERROR(VLOOKUP(G1908,WholesaleExtract!B:O,14,FALSE),"")</f>
        <v/>
      </c>
      <c r="K1908" s="26" t="str">
        <f>IFERROR(VLOOKUP(G1908,WholesaleExtract!B:K,10,FALSE),"")</f>
        <v/>
      </c>
      <c r="L1908" s="47" t="str">
        <f>IFERROR(VLOOKUP(G1908,WholesaleExtract!B:L,11,FALSE),"")</f>
        <v/>
      </c>
      <c r="M1908" s="47" t="str">
        <f>IFERROR(VLOOKUP(G1908,WholesaleExtract!B:M,12,FALSE),"")</f>
        <v/>
      </c>
      <c r="R1908" s="19"/>
      <c r="S1908" s="19"/>
    </row>
    <row r="1909" spans="1:19" x14ac:dyDescent="0.35">
      <c r="A1909" s="26" t="s">
        <v>543</v>
      </c>
      <c r="B1909" s="26" t="s">
        <v>543</v>
      </c>
      <c r="C1909" s="26"/>
      <c r="D1909" s="26" t="s">
        <v>543</v>
      </c>
      <c r="E1909" s="26" t="str">
        <f>IFERROR(VLOOKUP(G1909,WholesaleExtract!B:J,9,FALSE),"")</f>
        <v/>
      </c>
      <c r="F1909" s="26" t="str">
        <f>IFERROR(VLOOKUP(G1909,WholesaleExtract!B:J,6,FALSE),"")</f>
        <v/>
      </c>
      <c r="H1909" s="47" t="str">
        <f>IFERROR(VLOOKUP(G1909,WholesaleExtract!B:L,11,FALSE),"")</f>
        <v/>
      </c>
      <c r="I1909" s="26" t="str">
        <f>IFERROR(VLOOKUP(G1909,WholesaleExtract!B:O,8,FALSE),"")</f>
        <v/>
      </c>
      <c r="J1909" s="26" t="str">
        <f>IFERROR(VLOOKUP(G1909,WholesaleExtract!B:O,14,FALSE),"")</f>
        <v/>
      </c>
      <c r="K1909" s="26" t="str">
        <f>IFERROR(VLOOKUP(G1909,WholesaleExtract!B:K,10,FALSE),"")</f>
        <v/>
      </c>
      <c r="L1909" s="47" t="str">
        <f>IFERROR(VLOOKUP(G1909,WholesaleExtract!B:L,11,FALSE),"")</f>
        <v/>
      </c>
      <c r="M1909" s="47" t="str">
        <f>IFERROR(VLOOKUP(G1909,WholesaleExtract!B:M,12,FALSE),"")</f>
        <v/>
      </c>
      <c r="R1909" s="19"/>
      <c r="S1909" s="19"/>
    </row>
    <row r="1910" spans="1:19" x14ac:dyDescent="0.35">
      <c r="A1910" s="26" t="s">
        <v>543</v>
      </c>
      <c r="B1910" s="26" t="s">
        <v>543</v>
      </c>
      <c r="C1910" s="26"/>
      <c r="D1910" s="26" t="s">
        <v>543</v>
      </c>
      <c r="E1910" s="26" t="str">
        <f>IFERROR(VLOOKUP(G1910,WholesaleExtract!B:J,9,FALSE),"")</f>
        <v/>
      </c>
      <c r="F1910" s="26" t="str">
        <f>IFERROR(VLOOKUP(G1910,WholesaleExtract!B:J,6,FALSE),"")</f>
        <v/>
      </c>
      <c r="H1910" s="47" t="str">
        <f>IFERROR(VLOOKUP(G1910,WholesaleExtract!B:L,11,FALSE),"")</f>
        <v/>
      </c>
      <c r="I1910" s="26" t="str">
        <f>IFERROR(VLOOKUP(G1910,WholesaleExtract!B:O,8,FALSE),"")</f>
        <v/>
      </c>
      <c r="J1910" s="26" t="str">
        <f>IFERROR(VLOOKUP(G1910,WholesaleExtract!B:O,14,FALSE),"")</f>
        <v/>
      </c>
      <c r="K1910" s="26" t="str">
        <f>IFERROR(VLOOKUP(G1910,WholesaleExtract!B:K,10,FALSE),"")</f>
        <v/>
      </c>
      <c r="L1910" s="47" t="str">
        <f>IFERROR(VLOOKUP(G1910,WholesaleExtract!B:L,11,FALSE),"")</f>
        <v/>
      </c>
      <c r="M1910" s="47" t="str">
        <f>IFERROR(VLOOKUP(G1910,WholesaleExtract!B:M,12,FALSE),"")</f>
        <v/>
      </c>
      <c r="R1910" s="19"/>
      <c r="S1910" s="19"/>
    </row>
    <row r="1911" spans="1:19" x14ac:dyDescent="0.35">
      <c r="A1911" s="26" t="s">
        <v>543</v>
      </c>
      <c r="B1911" s="26" t="s">
        <v>543</v>
      </c>
      <c r="C1911" s="26"/>
      <c r="D1911" s="26" t="s">
        <v>543</v>
      </c>
      <c r="E1911" s="26" t="str">
        <f>IFERROR(VLOOKUP(G1911,WholesaleExtract!B:J,9,FALSE),"")</f>
        <v/>
      </c>
      <c r="F1911" s="26" t="str">
        <f>IFERROR(VLOOKUP(G1911,WholesaleExtract!B:J,6,FALSE),"")</f>
        <v/>
      </c>
      <c r="H1911" s="47" t="str">
        <f>IFERROR(VLOOKUP(G1911,WholesaleExtract!B:L,11,FALSE),"")</f>
        <v/>
      </c>
      <c r="I1911" s="26" t="str">
        <f>IFERROR(VLOOKUP(G1911,WholesaleExtract!B:O,8,FALSE),"")</f>
        <v/>
      </c>
      <c r="J1911" s="26" t="str">
        <f>IFERROR(VLOOKUP(G1911,WholesaleExtract!B:O,14,FALSE),"")</f>
        <v/>
      </c>
      <c r="K1911" s="26" t="str">
        <f>IFERROR(VLOOKUP(G1911,WholesaleExtract!B:K,10,FALSE),"")</f>
        <v/>
      </c>
      <c r="L1911" s="47" t="str">
        <f>IFERROR(VLOOKUP(G1911,WholesaleExtract!B:L,11,FALSE),"")</f>
        <v/>
      </c>
      <c r="M1911" s="47" t="str">
        <f>IFERROR(VLOOKUP(G1911,WholesaleExtract!B:M,12,FALSE),"")</f>
        <v/>
      </c>
      <c r="R1911" s="19"/>
      <c r="S1911" s="19"/>
    </row>
    <row r="1912" spans="1:19" x14ac:dyDescent="0.35">
      <c r="A1912" s="26" t="s">
        <v>543</v>
      </c>
      <c r="B1912" s="26" t="s">
        <v>543</v>
      </c>
      <c r="C1912" s="26"/>
      <c r="D1912" s="26" t="s">
        <v>543</v>
      </c>
      <c r="E1912" s="26" t="str">
        <f>IFERROR(VLOOKUP(G1912,WholesaleExtract!B:J,9,FALSE),"")</f>
        <v/>
      </c>
      <c r="F1912" s="26" t="str">
        <f>IFERROR(VLOOKUP(G1912,WholesaleExtract!B:J,6,FALSE),"")</f>
        <v/>
      </c>
      <c r="H1912" s="47" t="str">
        <f>IFERROR(VLOOKUP(G1912,WholesaleExtract!B:L,11,FALSE),"")</f>
        <v/>
      </c>
      <c r="I1912" s="26" t="str">
        <f>IFERROR(VLOOKUP(G1912,WholesaleExtract!B:O,8,FALSE),"")</f>
        <v/>
      </c>
      <c r="J1912" s="26" t="str">
        <f>IFERROR(VLOOKUP(G1912,WholesaleExtract!B:O,14,FALSE),"")</f>
        <v/>
      </c>
      <c r="K1912" s="26" t="str">
        <f>IFERROR(VLOOKUP(G1912,WholesaleExtract!B:K,10,FALSE),"")</f>
        <v/>
      </c>
      <c r="L1912" s="47" t="str">
        <f>IFERROR(VLOOKUP(G1912,WholesaleExtract!B:L,11,FALSE),"")</f>
        <v/>
      </c>
      <c r="M1912" s="47" t="str">
        <f>IFERROR(VLOOKUP(G1912,WholesaleExtract!B:M,12,FALSE),"")</f>
        <v/>
      </c>
      <c r="R1912" s="19"/>
      <c r="S1912" s="19"/>
    </row>
    <row r="1913" spans="1:19" x14ac:dyDescent="0.35">
      <c r="A1913" s="26" t="s">
        <v>543</v>
      </c>
      <c r="B1913" s="26" t="s">
        <v>543</v>
      </c>
      <c r="C1913" s="26"/>
      <c r="D1913" s="26" t="s">
        <v>543</v>
      </c>
      <c r="E1913" s="26" t="str">
        <f>IFERROR(VLOOKUP(G1913,WholesaleExtract!B:J,9,FALSE),"")</f>
        <v/>
      </c>
      <c r="F1913" s="26" t="str">
        <f>IFERROR(VLOOKUP(G1913,WholesaleExtract!B:J,6,FALSE),"")</f>
        <v/>
      </c>
      <c r="H1913" s="47" t="str">
        <f>IFERROR(VLOOKUP(G1913,WholesaleExtract!B:L,11,FALSE),"")</f>
        <v/>
      </c>
      <c r="I1913" s="26" t="str">
        <f>IFERROR(VLOOKUP(G1913,WholesaleExtract!B:O,8,FALSE),"")</f>
        <v/>
      </c>
      <c r="J1913" s="26" t="str">
        <f>IFERROR(VLOOKUP(G1913,WholesaleExtract!B:O,14,FALSE),"")</f>
        <v/>
      </c>
      <c r="K1913" s="26" t="str">
        <f>IFERROR(VLOOKUP(G1913,WholesaleExtract!B:K,10,FALSE),"")</f>
        <v/>
      </c>
      <c r="L1913" s="47" t="str">
        <f>IFERROR(VLOOKUP(G1913,WholesaleExtract!B:L,11,FALSE),"")</f>
        <v/>
      </c>
      <c r="M1913" s="47" t="str">
        <f>IFERROR(VLOOKUP(G1913,WholesaleExtract!B:M,12,FALSE),"")</f>
        <v/>
      </c>
      <c r="R1913" s="19"/>
      <c r="S1913" s="19"/>
    </row>
    <row r="1914" spans="1:19" x14ac:dyDescent="0.35">
      <c r="A1914" s="26" t="s">
        <v>543</v>
      </c>
      <c r="B1914" s="26" t="s">
        <v>543</v>
      </c>
      <c r="C1914" s="26"/>
      <c r="D1914" s="26" t="s">
        <v>543</v>
      </c>
      <c r="E1914" s="26" t="str">
        <f>IFERROR(VLOOKUP(G1914,WholesaleExtract!B:J,9,FALSE),"")</f>
        <v/>
      </c>
      <c r="F1914" s="26" t="str">
        <f>IFERROR(VLOOKUP(G1914,WholesaleExtract!B:J,6,FALSE),"")</f>
        <v/>
      </c>
      <c r="H1914" s="47" t="str">
        <f>IFERROR(VLOOKUP(G1914,WholesaleExtract!B:L,11,FALSE),"")</f>
        <v/>
      </c>
      <c r="I1914" s="26" t="str">
        <f>IFERROR(VLOOKUP(G1914,WholesaleExtract!B:O,8,FALSE),"")</f>
        <v/>
      </c>
      <c r="J1914" s="26" t="str">
        <f>IFERROR(VLOOKUP(G1914,WholesaleExtract!B:O,14,FALSE),"")</f>
        <v/>
      </c>
      <c r="K1914" s="26" t="str">
        <f>IFERROR(VLOOKUP(G1914,WholesaleExtract!B:K,10,FALSE),"")</f>
        <v/>
      </c>
      <c r="L1914" s="47" t="str">
        <f>IFERROR(VLOOKUP(G1914,WholesaleExtract!B:L,11,FALSE),"")</f>
        <v/>
      </c>
      <c r="M1914" s="47" t="str">
        <f>IFERROR(VLOOKUP(G1914,WholesaleExtract!B:M,12,FALSE),"")</f>
        <v/>
      </c>
      <c r="R1914" s="19"/>
      <c r="S1914" s="19"/>
    </row>
    <row r="1915" spans="1:19" x14ac:dyDescent="0.35">
      <c r="A1915" s="26" t="s">
        <v>543</v>
      </c>
      <c r="B1915" s="26" t="s">
        <v>543</v>
      </c>
      <c r="C1915" s="26"/>
      <c r="D1915" s="26" t="s">
        <v>543</v>
      </c>
      <c r="E1915" s="26" t="str">
        <f>IFERROR(VLOOKUP(G1915,WholesaleExtract!B:J,9,FALSE),"")</f>
        <v/>
      </c>
      <c r="F1915" s="26" t="str">
        <f>IFERROR(VLOOKUP(G1915,WholesaleExtract!B:J,6,FALSE),"")</f>
        <v/>
      </c>
      <c r="H1915" s="47" t="str">
        <f>IFERROR(VLOOKUP(G1915,WholesaleExtract!B:L,11,FALSE),"")</f>
        <v/>
      </c>
      <c r="I1915" s="26" t="str">
        <f>IFERROR(VLOOKUP(G1915,WholesaleExtract!B:O,8,FALSE),"")</f>
        <v/>
      </c>
      <c r="J1915" s="26" t="str">
        <f>IFERROR(VLOOKUP(G1915,WholesaleExtract!B:O,14,FALSE),"")</f>
        <v/>
      </c>
      <c r="K1915" s="26" t="str">
        <f>IFERROR(VLOOKUP(G1915,WholesaleExtract!B:K,10,FALSE),"")</f>
        <v/>
      </c>
      <c r="L1915" s="47" t="str">
        <f>IFERROR(VLOOKUP(G1915,WholesaleExtract!B:L,11,FALSE),"")</f>
        <v/>
      </c>
      <c r="M1915" s="47" t="str">
        <f>IFERROR(VLOOKUP(G1915,WholesaleExtract!B:M,12,FALSE),"")</f>
        <v/>
      </c>
      <c r="R1915" s="19"/>
      <c r="S1915" s="19"/>
    </row>
    <row r="1916" spans="1:19" x14ac:dyDescent="0.35">
      <c r="A1916" s="26" t="s">
        <v>543</v>
      </c>
      <c r="B1916" s="26" t="s">
        <v>543</v>
      </c>
      <c r="C1916" s="26"/>
      <c r="D1916" s="26" t="s">
        <v>543</v>
      </c>
      <c r="E1916" s="26" t="str">
        <f>IFERROR(VLOOKUP(G1916,WholesaleExtract!B:J,9,FALSE),"")</f>
        <v/>
      </c>
      <c r="F1916" s="26" t="str">
        <f>IFERROR(VLOOKUP(G1916,WholesaleExtract!B:J,6,FALSE),"")</f>
        <v/>
      </c>
      <c r="H1916" s="47" t="str">
        <f>IFERROR(VLOOKUP(G1916,WholesaleExtract!B:L,11,FALSE),"")</f>
        <v/>
      </c>
      <c r="I1916" s="26" t="str">
        <f>IFERROR(VLOOKUP(G1916,WholesaleExtract!B:O,8,FALSE),"")</f>
        <v/>
      </c>
      <c r="J1916" s="26" t="str">
        <f>IFERROR(VLOOKUP(G1916,WholesaleExtract!B:O,14,FALSE),"")</f>
        <v/>
      </c>
      <c r="K1916" s="26" t="str">
        <f>IFERROR(VLOOKUP(G1916,WholesaleExtract!B:K,10,FALSE),"")</f>
        <v/>
      </c>
      <c r="L1916" s="47" t="str">
        <f>IFERROR(VLOOKUP(G1916,WholesaleExtract!B:L,11,FALSE),"")</f>
        <v/>
      </c>
      <c r="M1916" s="47" t="str">
        <f>IFERROR(VLOOKUP(G1916,WholesaleExtract!B:M,12,FALSE),"")</f>
        <v/>
      </c>
      <c r="R1916" s="19"/>
      <c r="S1916" s="19"/>
    </row>
    <row r="1917" spans="1:19" x14ac:dyDescent="0.35">
      <c r="A1917" s="26" t="s">
        <v>543</v>
      </c>
      <c r="B1917" s="26" t="s">
        <v>543</v>
      </c>
      <c r="C1917" s="26"/>
      <c r="D1917" s="26" t="s">
        <v>543</v>
      </c>
      <c r="E1917" s="26" t="str">
        <f>IFERROR(VLOOKUP(G1917,WholesaleExtract!B:J,9,FALSE),"")</f>
        <v/>
      </c>
      <c r="F1917" s="26" t="str">
        <f>IFERROR(VLOOKUP(G1917,WholesaleExtract!B:J,6,FALSE),"")</f>
        <v/>
      </c>
      <c r="H1917" s="47" t="str">
        <f>IFERROR(VLOOKUP(G1917,WholesaleExtract!B:L,11,FALSE),"")</f>
        <v/>
      </c>
      <c r="I1917" s="26" t="str">
        <f>IFERROR(VLOOKUP(G1917,WholesaleExtract!B:O,8,FALSE),"")</f>
        <v/>
      </c>
      <c r="J1917" s="26" t="str">
        <f>IFERROR(VLOOKUP(G1917,WholesaleExtract!B:O,14,FALSE),"")</f>
        <v/>
      </c>
      <c r="K1917" s="26" t="str">
        <f>IFERROR(VLOOKUP(G1917,WholesaleExtract!B:K,10,FALSE),"")</f>
        <v/>
      </c>
      <c r="L1917" s="47" t="str">
        <f>IFERROR(VLOOKUP(G1917,WholesaleExtract!B:L,11,FALSE),"")</f>
        <v/>
      </c>
      <c r="M1917" s="47" t="str">
        <f>IFERROR(VLOOKUP(G1917,WholesaleExtract!B:M,12,FALSE),"")</f>
        <v/>
      </c>
      <c r="R1917" s="19"/>
      <c r="S1917" s="19"/>
    </row>
    <row r="1918" spans="1:19" x14ac:dyDescent="0.35">
      <c r="A1918" s="26" t="s">
        <v>543</v>
      </c>
      <c r="B1918" s="26" t="s">
        <v>543</v>
      </c>
      <c r="C1918" s="26"/>
      <c r="D1918" s="26" t="s">
        <v>543</v>
      </c>
      <c r="E1918" s="26" t="str">
        <f>IFERROR(VLOOKUP(G1918,WholesaleExtract!B:J,9,FALSE),"")</f>
        <v/>
      </c>
      <c r="F1918" s="26" t="str">
        <f>IFERROR(VLOOKUP(G1918,WholesaleExtract!B:J,6,FALSE),"")</f>
        <v/>
      </c>
      <c r="H1918" s="47" t="str">
        <f>IFERROR(VLOOKUP(G1918,WholesaleExtract!B:L,11,FALSE),"")</f>
        <v/>
      </c>
      <c r="I1918" s="26" t="str">
        <f>IFERROR(VLOOKUP(G1918,WholesaleExtract!B:O,8,FALSE),"")</f>
        <v/>
      </c>
      <c r="J1918" s="26" t="str">
        <f>IFERROR(VLOOKUP(G1918,WholesaleExtract!B:O,14,FALSE),"")</f>
        <v/>
      </c>
      <c r="K1918" s="26" t="str">
        <f>IFERROR(VLOOKUP(G1918,WholesaleExtract!B:K,10,FALSE),"")</f>
        <v/>
      </c>
      <c r="L1918" s="47" t="str">
        <f>IFERROR(VLOOKUP(G1918,WholesaleExtract!B:L,11,FALSE),"")</f>
        <v/>
      </c>
      <c r="M1918" s="47" t="str">
        <f>IFERROR(VLOOKUP(G1918,WholesaleExtract!B:M,12,FALSE),"")</f>
        <v/>
      </c>
      <c r="R1918" s="19"/>
      <c r="S1918" s="19"/>
    </row>
    <row r="1919" spans="1:19" x14ac:dyDescent="0.35">
      <c r="A1919" s="26" t="s">
        <v>543</v>
      </c>
      <c r="B1919" s="26" t="s">
        <v>543</v>
      </c>
      <c r="C1919" s="26"/>
      <c r="D1919" s="26" t="s">
        <v>543</v>
      </c>
      <c r="E1919" s="26" t="str">
        <f>IFERROR(VLOOKUP(G1919,WholesaleExtract!B:J,9,FALSE),"")</f>
        <v/>
      </c>
      <c r="F1919" s="26" t="str">
        <f>IFERROR(VLOOKUP(G1919,WholesaleExtract!B:J,6,FALSE),"")</f>
        <v/>
      </c>
      <c r="H1919" s="47" t="str">
        <f>IFERROR(VLOOKUP(G1919,WholesaleExtract!B:L,11,FALSE),"")</f>
        <v/>
      </c>
      <c r="I1919" s="26" t="str">
        <f>IFERROR(VLOOKUP(G1919,WholesaleExtract!B:O,8,FALSE),"")</f>
        <v/>
      </c>
      <c r="J1919" s="26" t="str">
        <f>IFERROR(VLOOKUP(G1919,WholesaleExtract!B:O,14,FALSE),"")</f>
        <v/>
      </c>
      <c r="K1919" s="26" t="str">
        <f>IFERROR(VLOOKUP(G1919,WholesaleExtract!B:K,10,FALSE),"")</f>
        <v/>
      </c>
      <c r="L1919" s="47" t="str">
        <f>IFERROR(VLOOKUP(G1919,WholesaleExtract!B:L,11,FALSE),"")</f>
        <v/>
      </c>
      <c r="M1919" s="47" t="str">
        <f>IFERROR(VLOOKUP(G1919,WholesaleExtract!B:M,12,FALSE),"")</f>
        <v/>
      </c>
      <c r="R1919" s="19"/>
      <c r="S1919" s="19"/>
    </row>
    <row r="1920" spans="1:19" x14ac:dyDescent="0.35">
      <c r="A1920" s="26" t="s">
        <v>543</v>
      </c>
      <c r="B1920" s="26" t="s">
        <v>543</v>
      </c>
      <c r="C1920" s="26"/>
      <c r="D1920" s="26" t="s">
        <v>543</v>
      </c>
      <c r="E1920" s="26" t="str">
        <f>IFERROR(VLOOKUP(G1920,WholesaleExtract!B:J,9,FALSE),"")</f>
        <v/>
      </c>
      <c r="F1920" s="26" t="str">
        <f>IFERROR(VLOOKUP(G1920,WholesaleExtract!B:J,6,FALSE),"")</f>
        <v/>
      </c>
      <c r="H1920" s="47" t="str">
        <f>IFERROR(VLOOKUP(G1920,WholesaleExtract!B:L,11,FALSE),"")</f>
        <v/>
      </c>
      <c r="I1920" s="26" t="str">
        <f>IFERROR(VLOOKUP(G1920,WholesaleExtract!B:O,8,FALSE),"")</f>
        <v/>
      </c>
      <c r="J1920" s="26" t="str">
        <f>IFERROR(VLOOKUP(G1920,WholesaleExtract!B:O,14,FALSE),"")</f>
        <v/>
      </c>
      <c r="K1920" s="26" t="str">
        <f>IFERROR(VLOOKUP(G1920,WholesaleExtract!B:K,10,FALSE),"")</f>
        <v/>
      </c>
      <c r="L1920" s="47" t="str">
        <f>IFERROR(VLOOKUP(G1920,WholesaleExtract!B:L,11,FALSE),"")</f>
        <v/>
      </c>
      <c r="M1920" s="47" t="str">
        <f>IFERROR(VLOOKUP(G1920,WholesaleExtract!B:M,12,FALSE),"")</f>
        <v/>
      </c>
      <c r="R1920" s="19"/>
      <c r="S1920" s="19"/>
    </row>
    <row r="1921" spans="1:19" x14ac:dyDescent="0.35">
      <c r="A1921" s="26" t="s">
        <v>543</v>
      </c>
      <c r="B1921" s="26" t="s">
        <v>543</v>
      </c>
      <c r="C1921" s="26"/>
      <c r="D1921" s="26" t="s">
        <v>543</v>
      </c>
      <c r="E1921" s="26" t="str">
        <f>IFERROR(VLOOKUP(G1921,WholesaleExtract!B:J,9,FALSE),"")</f>
        <v/>
      </c>
      <c r="F1921" s="26" t="str">
        <f>IFERROR(VLOOKUP(G1921,WholesaleExtract!B:J,6,FALSE),"")</f>
        <v/>
      </c>
      <c r="H1921" s="47" t="str">
        <f>IFERROR(VLOOKUP(G1921,WholesaleExtract!B:L,11,FALSE),"")</f>
        <v/>
      </c>
      <c r="I1921" s="26" t="str">
        <f>IFERROR(VLOOKUP(G1921,WholesaleExtract!B:O,8,FALSE),"")</f>
        <v/>
      </c>
      <c r="J1921" s="26" t="str">
        <f>IFERROR(VLOOKUP(G1921,WholesaleExtract!B:O,14,FALSE),"")</f>
        <v/>
      </c>
      <c r="K1921" s="26" t="str">
        <f>IFERROR(VLOOKUP(G1921,WholesaleExtract!B:K,10,FALSE),"")</f>
        <v/>
      </c>
      <c r="L1921" s="47" t="str">
        <f>IFERROR(VLOOKUP(G1921,WholesaleExtract!B:L,11,FALSE),"")</f>
        <v/>
      </c>
      <c r="M1921" s="47" t="str">
        <f>IFERROR(VLOOKUP(G1921,WholesaleExtract!B:M,12,FALSE),"")</f>
        <v/>
      </c>
      <c r="R1921" s="19"/>
      <c r="S1921" s="19"/>
    </row>
    <row r="1922" spans="1:19" x14ac:dyDescent="0.35">
      <c r="A1922" s="26" t="s">
        <v>543</v>
      </c>
      <c r="B1922" s="26" t="s">
        <v>543</v>
      </c>
      <c r="C1922" s="26"/>
      <c r="D1922" s="26" t="s">
        <v>543</v>
      </c>
      <c r="E1922" s="26" t="str">
        <f>IFERROR(VLOOKUP(G1922,WholesaleExtract!B:J,9,FALSE),"")</f>
        <v/>
      </c>
      <c r="F1922" s="26" t="str">
        <f>IFERROR(VLOOKUP(G1922,WholesaleExtract!B:J,6,FALSE),"")</f>
        <v/>
      </c>
      <c r="H1922" s="47" t="str">
        <f>IFERROR(VLOOKUP(G1922,WholesaleExtract!B:L,11,FALSE),"")</f>
        <v/>
      </c>
      <c r="I1922" s="26" t="str">
        <f>IFERROR(VLOOKUP(G1922,WholesaleExtract!B:O,8,FALSE),"")</f>
        <v/>
      </c>
      <c r="J1922" s="26" t="str">
        <f>IFERROR(VLOOKUP(G1922,WholesaleExtract!B:O,14,FALSE),"")</f>
        <v/>
      </c>
      <c r="K1922" s="26" t="str">
        <f>IFERROR(VLOOKUP(G1922,WholesaleExtract!B:K,10,FALSE),"")</f>
        <v/>
      </c>
      <c r="L1922" s="47" t="str">
        <f>IFERROR(VLOOKUP(G1922,WholesaleExtract!B:L,11,FALSE),"")</f>
        <v/>
      </c>
      <c r="M1922" s="47" t="str">
        <f>IFERROR(VLOOKUP(G1922,WholesaleExtract!B:M,12,FALSE),"")</f>
        <v/>
      </c>
      <c r="R1922" s="19"/>
      <c r="S1922" s="19"/>
    </row>
    <row r="1923" spans="1:19" x14ac:dyDescent="0.35">
      <c r="A1923" s="26" t="s">
        <v>543</v>
      </c>
      <c r="B1923" s="26" t="s">
        <v>543</v>
      </c>
      <c r="C1923" s="26"/>
      <c r="D1923" s="26" t="s">
        <v>543</v>
      </c>
      <c r="E1923" s="26" t="str">
        <f>IFERROR(VLOOKUP(G1923,WholesaleExtract!B:J,9,FALSE),"")</f>
        <v/>
      </c>
      <c r="F1923" s="26" t="str">
        <f>IFERROR(VLOOKUP(G1923,WholesaleExtract!B:J,6,FALSE),"")</f>
        <v/>
      </c>
      <c r="H1923" s="47" t="str">
        <f>IFERROR(VLOOKUP(G1923,WholesaleExtract!B:L,11,FALSE),"")</f>
        <v/>
      </c>
      <c r="I1923" s="26" t="str">
        <f>IFERROR(VLOOKUP(G1923,WholesaleExtract!B:O,8,FALSE),"")</f>
        <v/>
      </c>
      <c r="J1923" s="26" t="str">
        <f>IFERROR(VLOOKUP(G1923,WholesaleExtract!B:O,14,FALSE),"")</f>
        <v/>
      </c>
      <c r="K1923" s="26" t="str">
        <f>IFERROR(VLOOKUP(G1923,WholesaleExtract!B:K,10,FALSE),"")</f>
        <v/>
      </c>
      <c r="L1923" s="47" t="str">
        <f>IFERROR(VLOOKUP(G1923,WholesaleExtract!B:L,11,FALSE),"")</f>
        <v/>
      </c>
      <c r="M1923" s="47" t="str">
        <f>IFERROR(VLOOKUP(G1923,WholesaleExtract!B:M,12,FALSE),"")</f>
        <v/>
      </c>
      <c r="R1923" s="19"/>
      <c r="S1923" s="19"/>
    </row>
    <row r="1924" spans="1:19" x14ac:dyDescent="0.35">
      <c r="A1924" s="26" t="s">
        <v>543</v>
      </c>
      <c r="B1924" s="26" t="s">
        <v>543</v>
      </c>
      <c r="C1924" s="26"/>
      <c r="D1924" s="26" t="s">
        <v>543</v>
      </c>
      <c r="E1924" s="26" t="str">
        <f>IFERROR(VLOOKUP(G1924,WholesaleExtract!B:J,9,FALSE),"")</f>
        <v/>
      </c>
      <c r="F1924" s="26" t="str">
        <f>IFERROR(VLOOKUP(G1924,WholesaleExtract!B:J,6,FALSE),"")</f>
        <v/>
      </c>
      <c r="H1924" s="47" t="str">
        <f>IFERROR(VLOOKUP(G1924,WholesaleExtract!B:L,11,FALSE),"")</f>
        <v/>
      </c>
      <c r="I1924" s="26" t="str">
        <f>IFERROR(VLOOKUP(G1924,WholesaleExtract!B:O,8,FALSE),"")</f>
        <v/>
      </c>
      <c r="J1924" s="26" t="str">
        <f>IFERROR(VLOOKUP(G1924,WholesaleExtract!B:O,14,FALSE),"")</f>
        <v/>
      </c>
      <c r="K1924" s="26" t="str">
        <f>IFERROR(VLOOKUP(G1924,WholesaleExtract!B:K,10,FALSE),"")</f>
        <v/>
      </c>
      <c r="L1924" s="47" t="str">
        <f>IFERROR(VLOOKUP(G1924,WholesaleExtract!B:L,11,FALSE),"")</f>
        <v/>
      </c>
      <c r="M1924" s="47" t="str">
        <f>IFERROR(VLOOKUP(G1924,WholesaleExtract!B:M,12,FALSE),"")</f>
        <v/>
      </c>
      <c r="R1924" s="19"/>
      <c r="S1924" s="19"/>
    </row>
    <row r="1925" spans="1:19" x14ac:dyDescent="0.35">
      <c r="A1925" s="26" t="s">
        <v>543</v>
      </c>
      <c r="B1925" s="26" t="s">
        <v>543</v>
      </c>
      <c r="C1925" s="26"/>
      <c r="D1925" s="26" t="s">
        <v>543</v>
      </c>
      <c r="E1925" s="26" t="str">
        <f>IFERROR(VLOOKUP(G1925,WholesaleExtract!B:J,9,FALSE),"")</f>
        <v/>
      </c>
      <c r="F1925" s="26" t="str">
        <f>IFERROR(VLOOKUP(G1925,WholesaleExtract!B:J,6,FALSE),"")</f>
        <v/>
      </c>
      <c r="H1925" s="47" t="str">
        <f>IFERROR(VLOOKUP(G1925,WholesaleExtract!B:L,11,FALSE),"")</f>
        <v/>
      </c>
      <c r="I1925" s="26" t="str">
        <f>IFERROR(VLOOKUP(G1925,WholesaleExtract!B:O,8,FALSE),"")</f>
        <v/>
      </c>
      <c r="J1925" s="26" t="str">
        <f>IFERROR(VLOOKUP(G1925,WholesaleExtract!B:O,14,FALSE),"")</f>
        <v/>
      </c>
      <c r="K1925" s="26" t="str">
        <f>IFERROR(VLOOKUP(G1925,WholesaleExtract!B:K,10,FALSE),"")</f>
        <v/>
      </c>
      <c r="L1925" s="47" t="str">
        <f>IFERROR(VLOOKUP(G1925,WholesaleExtract!B:L,11,FALSE),"")</f>
        <v/>
      </c>
      <c r="M1925" s="47" t="str">
        <f>IFERROR(VLOOKUP(G1925,WholesaleExtract!B:M,12,FALSE),"")</f>
        <v/>
      </c>
      <c r="R1925" s="19"/>
      <c r="S1925" s="19"/>
    </row>
    <row r="1926" spans="1:19" x14ac:dyDescent="0.35">
      <c r="A1926" s="26" t="s">
        <v>543</v>
      </c>
      <c r="B1926" s="26" t="s">
        <v>543</v>
      </c>
      <c r="C1926" s="26"/>
      <c r="D1926" s="26" t="s">
        <v>543</v>
      </c>
      <c r="E1926" s="26" t="str">
        <f>IFERROR(VLOOKUP(G1926,WholesaleExtract!B:J,9,FALSE),"")</f>
        <v/>
      </c>
      <c r="F1926" s="26" t="str">
        <f>IFERROR(VLOOKUP(G1926,WholesaleExtract!B:J,6,FALSE),"")</f>
        <v/>
      </c>
      <c r="H1926" s="47" t="str">
        <f>IFERROR(VLOOKUP(G1926,WholesaleExtract!B:L,11,FALSE),"")</f>
        <v/>
      </c>
      <c r="I1926" s="26" t="str">
        <f>IFERROR(VLOOKUP(G1926,WholesaleExtract!B:O,8,FALSE),"")</f>
        <v/>
      </c>
      <c r="J1926" s="26" t="str">
        <f>IFERROR(VLOOKUP(G1926,WholesaleExtract!B:O,14,FALSE),"")</f>
        <v/>
      </c>
      <c r="K1926" s="26" t="str">
        <f>IFERROR(VLOOKUP(G1926,WholesaleExtract!B:K,10,FALSE),"")</f>
        <v/>
      </c>
      <c r="L1926" s="47" t="str">
        <f>IFERROR(VLOOKUP(G1926,WholesaleExtract!B:L,11,FALSE),"")</f>
        <v/>
      </c>
      <c r="M1926" s="47" t="str">
        <f>IFERROR(VLOOKUP(G1926,WholesaleExtract!B:M,12,FALSE),"")</f>
        <v/>
      </c>
      <c r="R1926" s="19"/>
      <c r="S1926" s="19"/>
    </row>
    <row r="1927" spans="1:19" x14ac:dyDescent="0.35">
      <c r="A1927" s="26" t="s">
        <v>543</v>
      </c>
      <c r="B1927" s="26" t="s">
        <v>543</v>
      </c>
      <c r="C1927" s="26"/>
      <c r="D1927" s="26" t="s">
        <v>543</v>
      </c>
      <c r="E1927" s="26" t="str">
        <f>IFERROR(VLOOKUP(G1927,WholesaleExtract!B:J,9,FALSE),"")</f>
        <v/>
      </c>
      <c r="F1927" s="26" t="str">
        <f>IFERROR(VLOOKUP(G1927,WholesaleExtract!B:J,6,FALSE),"")</f>
        <v/>
      </c>
      <c r="H1927" s="47" t="str">
        <f>IFERROR(VLOOKUP(G1927,WholesaleExtract!B:L,11,FALSE),"")</f>
        <v/>
      </c>
      <c r="I1927" s="26" t="str">
        <f>IFERROR(VLOOKUP(G1927,WholesaleExtract!B:O,8,FALSE),"")</f>
        <v/>
      </c>
      <c r="J1927" s="26" t="str">
        <f>IFERROR(VLOOKUP(G1927,WholesaleExtract!B:O,14,FALSE),"")</f>
        <v/>
      </c>
      <c r="K1927" s="26" t="str">
        <f>IFERROR(VLOOKUP(G1927,WholesaleExtract!B:K,10,FALSE),"")</f>
        <v/>
      </c>
      <c r="L1927" s="47" t="str">
        <f>IFERROR(VLOOKUP(G1927,WholesaleExtract!B:L,11,FALSE),"")</f>
        <v/>
      </c>
      <c r="M1927" s="47" t="str">
        <f>IFERROR(VLOOKUP(G1927,WholesaleExtract!B:M,12,FALSE),"")</f>
        <v/>
      </c>
      <c r="R1927" s="19"/>
      <c r="S1927" s="19"/>
    </row>
    <row r="1928" spans="1:19" x14ac:dyDescent="0.35">
      <c r="A1928" s="26" t="s">
        <v>543</v>
      </c>
      <c r="B1928" s="26" t="s">
        <v>543</v>
      </c>
      <c r="C1928" s="26"/>
      <c r="D1928" s="26" t="s">
        <v>543</v>
      </c>
      <c r="E1928" s="26" t="str">
        <f>IFERROR(VLOOKUP(G1928,WholesaleExtract!B:J,9,FALSE),"")</f>
        <v/>
      </c>
      <c r="F1928" s="26" t="str">
        <f>IFERROR(VLOOKUP(G1928,WholesaleExtract!B:J,6,FALSE),"")</f>
        <v/>
      </c>
      <c r="H1928" s="47" t="str">
        <f>IFERROR(VLOOKUP(G1928,WholesaleExtract!B:L,11,FALSE),"")</f>
        <v/>
      </c>
      <c r="I1928" s="26" t="str">
        <f>IFERROR(VLOOKUP(G1928,WholesaleExtract!B:O,8,FALSE),"")</f>
        <v/>
      </c>
      <c r="J1928" s="26" t="str">
        <f>IFERROR(VLOOKUP(G1928,WholesaleExtract!B:O,14,FALSE),"")</f>
        <v/>
      </c>
      <c r="K1928" s="26" t="str">
        <f>IFERROR(VLOOKUP(G1928,WholesaleExtract!B:K,10,FALSE),"")</f>
        <v/>
      </c>
      <c r="L1928" s="47" t="str">
        <f>IFERROR(VLOOKUP(G1928,WholesaleExtract!B:L,11,FALSE),"")</f>
        <v/>
      </c>
      <c r="M1928" s="47" t="str">
        <f>IFERROR(VLOOKUP(G1928,WholesaleExtract!B:M,12,FALSE),"")</f>
        <v/>
      </c>
      <c r="R1928" s="19"/>
      <c r="S1928" s="19"/>
    </row>
    <row r="1929" spans="1:19" x14ac:dyDescent="0.35">
      <c r="A1929" s="26" t="s">
        <v>543</v>
      </c>
      <c r="B1929" s="26" t="s">
        <v>543</v>
      </c>
      <c r="C1929" s="26"/>
      <c r="D1929" s="26" t="s">
        <v>543</v>
      </c>
      <c r="E1929" s="26" t="str">
        <f>IFERROR(VLOOKUP(G1929,WholesaleExtract!B:J,9,FALSE),"")</f>
        <v/>
      </c>
      <c r="F1929" s="26" t="str">
        <f>IFERROR(VLOOKUP(G1929,WholesaleExtract!B:J,6,FALSE),"")</f>
        <v/>
      </c>
      <c r="H1929" s="47" t="str">
        <f>IFERROR(VLOOKUP(G1929,WholesaleExtract!B:L,11,FALSE),"")</f>
        <v/>
      </c>
      <c r="I1929" s="26" t="str">
        <f>IFERROR(VLOOKUP(G1929,WholesaleExtract!B:O,8,FALSE),"")</f>
        <v/>
      </c>
      <c r="J1929" s="26" t="str">
        <f>IFERROR(VLOOKUP(G1929,WholesaleExtract!B:O,14,FALSE),"")</f>
        <v/>
      </c>
      <c r="K1929" s="26" t="str">
        <f>IFERROR(VLOOKUP(G1929,WholesaleExtract!B:K,10,FALSE),"")</f>
        <v/>
      </c>
      <c r="L1929" s="47" t="str">
        <f>IFERROR(VLOOKUP(G1929,WholesaleExtract!B:L,11,FALSE),"")</f>
        <v/>
      </c>
      <c r="M1929" s="47" t="str">
        <f>IFERROR(VLOOKUP(G1929,WholesaleExtract!B:M,12,FALSE),"")</f>
        <v/>
      </c>
      <c r="R1929" s="19"/>
      <c r="S1929" s="19"/>
    </row>
    <row r="1930" spans="1:19" x14ac:dyDescent="0.35">
      <c r="A1930" s="26" t="s">
        <v>543</v>
      </c>
      <c r="B1930" s="26" t="s">
        <v>543</v>
      </c>
      <c r="C1930" s="26"/>
      <c r="D1930" s="26" t="s">
        <v>543</v>
      </c>
      <c r="E1930" s="26" t="str">
        <f>IFERROR(VLOOKUP(G1930,WholesaleExtract!B:J,9,FALSE),"")</f>
        <v/>
      </c>
      <c r="F1930" s="26" t="str">
        <f>IFERROR(VLOOKUP(G1930,WholesaleExtract!B:J,6,FALSE),"")</f>
        <v/>
      </c>
      <c r="H1930" s="47" t="str">
        <f>IFERROR(VLOOKUP(G1930,WholesaleExtract!B:L,11,FALSE),"")</f>
        <v/>
      </c>
      <c r="I1930" s="26" t="str">
        <f>IFERROR(VLOOKUP(G1930,WholesaleExtract!B:O,8,FALSE),"")</f>
        <v/>
      </c>
      <c r="J1930" s="26" t="str">
        <f>IFERROR(VLOOKUP(G1930,WholesaleExtract!B:O,14,FALSE),"")</f>
        <v/>
      </c>
      <c r="K1930" s="26" t="str">
        <f>IFERROR(VLOOKUP(G1930,WholesaleExtract!B:K,10,FALSE),"")</f>
        <v/>
      </c>
      <c r="L1930" s="47" t="str">
        <f>IFERROR(VLOOKUP(G1930,WholesaleExtract!B:L,11,FALSE),"")</f>
        <v/>
      </c>
      <c r="M1930" s="47" t="str">
        <f>IFERROR(VLOOKUP(G1930,WholesaleExtract!B:M,12,FALSE),"")</f>
        <v/>
      </c>
      <c r="R1930" s="19"/>
      <c r="S1930" s="19"/>
    </row>
    <row r="1931" spans="1:19" x14ac:dyDescent="0.35">
      <c r="A1931" s="26" t="s">
        <v>543</v>
      </c>
      <c r="B1931" s="26" t="s">
        <v>543</v>
      </c>
      <c r="C1931" s="26"/>
      <c r="D1931" s="26" t="s">
        <v>543</v>
      </c>
      <c r="E1931" s="26" t="str">
        <f>IFERROR(VLOOKUP(G1931,WholesaleExtract!B:J,9,FALSE),"")</f>
        <v/>
      </c>
      <c r="F1931" s="26" t="str">
        <f>IFERROR(VLOOKUP(G1931,WholesaleExtract!B:J,6,FALSE),"")</f>
        <v/>
      </c>
      <c r="H1931" s="47" t="str">
        <f>IFERROR(VLOOKUP(G1931,WholesaleExtract!B:L,11,FALSE),"")</f>
        <v/>
      </c>
      <c r="I1931" s="26" t="str">
        <f>IFERROR(VLOOKUP(G1931,WholesaleExtract!B:O,8,FALSE),"")</f>
        <v/>
      </c>
      <c r="J1931" s="26" t="str">
        <f>IFERROR(VLOOKUP(G1931,WholesaleExtract!B:O,14,FALSE),"")</f>
        <v/>
      </c>
      <c r="K1931" s="26" t="str">
        <f>IFERROR(VLOOKUP(G1931,WholesaleExtract!B:K,10,FALSE),"")</f>
        <v/>
      </c>
      <c r="L1931" s="47" t="str">
        <f>IFERROR(VLOOKUP(G1931,WholesaleExtract!B:L,11,FALSE),"")</f>
        <v/>
      </c>
      <c r="M1931" s="47" t="str">
        <f>IFERROR(VLOOKUP(G1931,WholesaleExtract!B:M,12,FALSE),"")</f>
        <v/>
      </c>
      <c r="R1931" s="19"/>
      <c r="S1931" s="19"/>
    </row>
    <row r="1932" spans="1:19" x14ac:dyDescent="0.35">
      <c r="A1932" s="26" t="s">
        <v>543</v>
      </c>
      <c r="B1932" s="26" t="s">
        <v>543</v>
      </c>
      <c r="C1932" s="26"/>
      <c r="D1932" s="26" t="s">
        <v>543</v>
      </c>
      <c r="E1932" s="26" t="str">
        <f>IFERROR(VLOOKUP(G1932,WholesaleExtract!B:J,9,FALSE),"")</f>
        <v/>
      </c>
      <c r="F1932" s="26" t="str">
        <f>IFERROR(VLOOKUP(G1932,WholesaleExtract!B:J,6,FALSE),"")</f>
        <v/>
      </c>
      <c r="H1932" s="47" t="str">
        <f>IFERROR(VLOOKUP(G1932,WholesaleExtract!B:L,11,FALSE),"")</f>
        <v/>
      </c>
      <c r="I1932" s="26" t="str">
        <f>IFERROR(VLOOKUP(G1932,WholesaleExtract!B:O,8,FALSE),"")</f>
        <v/>
      </c>
      <c r="J1932" s="26" t="str">
        <f>IFERROR(VLOOKUP(G1932,WholesaleExtract!B:O,14,FALSE),"")</f>
        <v/>
      </c>
      <c r="K1932" s="26" t="str">
        <f>IFERROR(VLOOKUP(G1932,WholesaleExtract!B:K,10,FALSE),"")</f>
        <v/>
      </c>
      <c r="L1932" s="47" t="str">
        <f>IFERROR(VLOOKUP(G1932,WholesaleExtract!B:L,11,FALSE),"")</f>
        <v/>
      </c>
      <c r="M1932" s="47" t="str">
        <f>IFERROR(VLOOKUP(G1932,WholesaleExtract!B:M,12,FALSE),"")</f>
        <v/>
      </c>
      <c r="R1932" s="19"/>
      <c r="S1932" s="19"/>
    </row>
    <row r="1933" spans="1:19" x14ac:dyDescent="0.35">
      <c r="A1933" s="26" t="s">
        <v>543</v>
      </c>
      <c r="B1933" s="26" t="s">
        <v>543</v>
      </c>
      <c r="C1933" s="26"/>
      <c r="D1933" s="26" t="s">
        <v>543</v>
      </c>
      <c r="E1933" s="26" t="str">
        <f>IFERROR(VLOOKUP(G1933,WholesaleExtract!B:J,9,FALSE),"")</f>
        <v/>
      </c>
      <c r="F1933" s="26" t="str">
        <f>IFERROR(VLOOKUP(G1933,WholesaleExtract!B:J,6,FALSE),"")</f>
        <v/>
      </c>
      <c r="H1933" s="47" t="str">
        <f>IFERROR(VLOOKUP(G1933,WholesaleExtract!B:L,11,FALSE),"")</f>
        <v/>
      </c>
      <c r="I1933" s="26" t="str">
        <f>IFERROR(VLOOKUP(G1933,WholesaleExtract!B:O,8,FALSE),"")</f>
        <v/>
      </c>
      <c r="J1933" s="26" t="str">
        <f>IFERROR(VLOOKUP(G1933,WholesaleExtract!B:O,14,FALSE),"")</f>
        <v/>
      </c>
      <c r="K1933" s="26" t="str">
        <f>IFERROR(VLOOKUP(G1933,WholesaleExtract!B:K,10,FALSE),"")</f>
        <v/>
      </c>
      <c r="L1933" s="47" t="str">
        <f>IFERROR(VLOOKUP(G1933,WholesaleExtract!B:L,11,FALSE),"")</f>
        <v/>
      </c>
      <c r="M1933" s="47" t="str">
        <f>IFERROR(VLOOKUP(G1933,WholesaleExtract!B:M,12,FALSE),"")</f>
        <v/>
      </c>
      <c r="R1933" s="19"/>
      <c r="S1933" s="19"/>
    </row>
    <row r="1934" spans="1:19" x14ac:dyDescent="0.35">
      <c r="A1934" s="26" t="s">
        <v>543</v>
      </c>
      <c r="B1934" s="26" t="s">
        <v>543</v>
      </c>
      <c r="C1934" s="26"/>
      <c r="D1934" s="26" t="s">
        <v>543</v>
      </c>
      <c r="E1934" s="26" t="str">
        <f>IFERROR(VLOOKUP(G1934,WholesaleExtract!B:J,9,FALSE),"")</f>
        <v/>
      </c>
      <c r="F1934" s="26" t="str">
        <f>IFERROR(VLOOKUP(G1934,WholesaleExtract!B:J,6,FALSE),"")</f>
        <v/>
      </c>
      <c r="H1934" s="47" t="str">
        <f>IFERROR(VLOOKUP(G1934,WholesaleExtract!B:L,11,FALSE),"")</f>
        <v/>
      </c>
      <c r="I1934" s="26" t="str">
        <f>IFERROR(VLOOKUP(G1934,WholesaleExtract!B:O,8,FALSE),"")</f>
        <v/>
      </c>
      <c r="J1934" s="26" t="str">
        <f>IFERROR(VLOOKUP(G1934,WholesaleExtract!B:O,14,FALSE),"")</f>
        <v/>
      </c>
      <c r="K1934" s="26" t="str">
        <f>IFERROR(VLOOKUP(G1934,WholesaleExtract!B:K,10,FALSE),"")</f>
        <v/>
      </c>
      <c r="L1934" s="47" t="str">
        <f>IFERROR(VLOOKUP(G1934,WholesaleExtract!B:L,11,FALSE),"")</f>
        <v/>
      </c>
      <c r="M1934" s="47" t="str">
        <f>IFERROR(VLOOKUP(G1934,WholesaleExtract!B:M,12,FALSE),"")</f>
        <v/>
      </c>
      <c r="R1934" s="19"/>
      <c r="S1934" s="19"/>
    </row>
    <row r="1935" spans="1:19" x14ac:dyDescent="0.35">
      <c r="A1935" s="26" t="s">
        <v>543</v>
      </c>
      <c r="B1935" s="26" t="s">
        <v>543</v>
      </c>
      <c r="C1935" s="26"/>
      <c r="D1935" s="26" t="s">
        <v>543</v>
      </c>
      <c r="E1935" s="26" t="str">
        <f>IFERROR(VLOOKUP(G1935,WholesaleExtract!B:J,9,FALSE),"")</f>
        <v/>
      </c>
      <c r="F1935" s="26" t="str">
        <f>IFERROR(VLOOKUP(G1935,WholesaleExtract!B:J,6,FALSE),"")</f>
        <v/>
      </c>
      <c r="H1935" s="47" t="str">
        <f>IFERROR(VLOOKUP(G1935,WholesaleExtract!B:L,11,FALSE),"")</f>
        <v/>
      </c>
      <c r="I1935" s="26" t="str">
        <f>IFERROR(VLOOKUP(G1935,WholesaleExtract!B:O,8,FALSE),"")</f>
        <v/>
      </c>
      <c r="J1935" s="26" t="str">
        <f>IFERROR(VLOOKUP(G1935,WholesaleExtract!B:O,14,FALSE),"")</f>
        <v/>
      </c>
      <c r="K1935" s="26" t="str">
        <f>IFERROR(VLOOKUP(G1935,WholesaleExtract!B:K,10,FALSE),"")</f>
        <v/>
      </c>
      <c r="L1935" s="47" t="str">
        <f>IFERROR(VLOOKUP(G1935,WholesaleExtract!B:L,11,FALSE),"")</f>
        <v/>
      </c>
      <c r="M1935" s="47" t="str">
        <f>IFERROR(VLOOKUP(G1935,WholesaleExtract!B:M,12,FALSE),"")</f>
        <v/>
      </c>
      <c r="R1935" s="19"/>
      <c r="S1935" s="19"/>
    </row>
    <row r="1936" spans="1:19" x14ac:dyDescent="0.35">
      <c r="A1936" s="26" t="s">
        <v>543</v>
      </c>
      <c r="B1936" s="26" t="s">
        <v>543</v>
      </c>
      <c r="C1936" s="26"/>
      <c r="D1936" s="26" t="s">
        <v>543</v>
      </c>
      <c r="E1936" s="26" t="str">
        <f>IFERROR(VLOOKUP(G1936,WholesaleExtract!B:J,9,FALSE),"")</f>
        <v/>
      </c>
      <c r="F1936" s="26" t="str">
        <f>IFERROR(VLOOKUP(G1936,WholesaleExtract!B:J,6,FALSE),"")</f>
        <v/>
      </c>
      <c r="H1936" s="47" t="str">
        <f>IFERROR(VLOOKUP(G1936,WholesaleExtract!B:L,11,FALSE),"")</f>
        <v/>
      </c>
      <c r="I1936" s="26" t="str">
        <f>IFERROR(VLOOKUP(G1936,WholesaleExtract!B:O,8,FALSE),"")</f>
        <v/>
      </c>
      <c r="J1936" s="26" t="str">
        <f>IFERROR(VLOOKUP(G1936,WholesaleExtract!B:O,14,FALSE),"")</f>
        <v/>
      </c>
      <c r="K1936" s="26" t="str">
        <f>IFERROR(VLOOKUP(G1936,WholesaleExtract!B:K,10,FALSE),"")</f>
        <v/>
      </c>
      <c r="L1936" s="47" t="str">
        <f>IFERROR(VLOOKUP(G1936,WholesaleExtract!B:L,11,FALSE),"")</f>
        <v/>
      </c>
      <c r="M1936" s="47" t="str">
        <f>IFERROR(VLOOKUP(G1936,WholesaleExtract!B:M,12,FALSE),"")</f>
        <v/>
      </c>
      <c r="R1936" s="19"/>
      <c r="S1936" s="19"/>
    </row>
    <row r="1937" spans="1:19" x14ac:dyDescent="0.35">
      <c r="A1937" s="26" t="s">
        <v>543</v>
      </c>
      <c r="B1937" s="26" t="s">
        <v>543</v>
      </c>
      <c r="C1937" s="26"/>
      <c r="D1937" s="26" t="s">
        <v>543</v>
      </c>
      <c r="E1937" s="26" t="str">
        <f>IFERROR(VLOOKUP(G1937,WholesaleExtract!B:J,9,FALSE),"")</f>
        <v/>
      </c>
      <c r="F1937" s="26" t="str">
        <f>IFERROR(VLOOKUP(G1937,WholesaleExtract!B:J,6,FALSE),"")</f>
        <v/>
      </c>
      <c r="H1937" s="47" t="str">
        <f>IFERROR(VLOOKUP(G1937,WholesaleExtract!B:L,11,FALSE),"")</f>
        <v/>
      </c>
      <c r="I1937" s="26" t="str">
        <f>IFERROR(VLOOKUP(G1937,WholesaleExtract!B:O,8,FALSE),"")</f>
        <v/>
      </c>
      <c r="J1937" s="26" t="str">
        <f>IFERROR(VLOOKUP(G1937,WholesaleExtract!B:O,14,FALSE),"")</f>
        <v/>
      </c>
      <c r="K1937" s="26" t="str">
        <f>IFERROR(VLOOKUP(G1937,WholesaleExtract!B:K,10,FALSE),"")</f>
        <v/>
      </c>
      <c r="L1937" s="47" t="str">
        <f>IFERROR(VLOOKUP(G1937,WholesaleExtract!B:L,11,FALSE),"")</f>
        <v/>
      </c>
      <c r="M1937" s="47" t="str">
        <f>IFERROR(VLOOKUP(G1937,WholesaleExtract!B:M,12,FALSE),"")</f>
        <v/>
      </c>
      <c r="R1937" s="19"/>
      <c r="S1937" s="19"/>
    </row>
    <row r="1938" spans="1:19" x14ac:dyDescent="0.35">
      <c r="A1938" s="26" t="s">
        <v>543</v>
      </c>
      <c r="B1938" s="26" t="s">
        <v>543</v>
      </c>
      <c r="C1938" s="26"/>
      <c r="D1938" s="26" t="s">
        <v>543</v>
      </c>
      <c r="E1938" s="26" t="str">
        <f>IFERROR(VLOOKUP(G1938,WholesaleExtract!B:J,9,FALSE),"")</f>
        <v/>
      </c>
      <c r="F1938" s="26" t="str">
        <f>IFERROR(VLOOKUP(G1938,WholesaleExtract!B:J,6,FALSE),"")</f>
        <v/>
      </c>
      <c r="H1938" s="47" t="str">
        <f>IFERROR(VLOOKUP(G1938,WholesaleExtract!B:L,11,FALSE),"")</f>
        <v/>
      </c>
      <c r="I1938" s="26" t="str">
        <f>IFERROR(VLOOKUP(G1938,WholesaleExtract!B:O,8,FALSE),"")</f>
        <v/>
      </c>
      <c r="J1938" s="26" t="str">
        <f>IFERROR(VLOOKUP(G1938,WholesaleExtract!B:O,14,FALSE),"")</f>
        <v/>
      </c>
      <c r="K1938" s="26" t="str">
        <f>IFERROR(VLOOKUP(G1938,WholesaleExtract!B:K,10,FALSE),"")</f>
        <v/>
      </c>
      <c r="L1938" s="47" t="str">
        <f>IFERROR(VLOOKUP(G1938,WholesaleExtract!B:L,11,FALSE),"")</f>
        <v/>
      </c>
      <c r="M1938" s="47" t="str">
        <f>IFERROR(VLOOKUP(G1938,WholesaleExtract!B:M,12,FALSE),"")</f>
        <v/>
      </c>
      <c r="R1938" s="19"/>
      <c r="S1938" s="19"/>
    </row>
    <row r="1939" spans="1:19" x14ac:dyDescent="0.35">
      <c r="A1939" s="26" t="s">
        <v>543</v>
      </c>
      <c r="B1939" s="26" t="s">
        <v>543</v>
      </c>
      <c r="C1939" s="26"/>
      <c r="D1939" s="26" t="s">
        <v>543</v>
      </c>
      <c r="E1939" s="26" t="str">
        <f>IFERROR(VLOOKUP(G1939,WholesaleExtract!B:J,9,FALSE),"")</f>
        <v/>
      </c>
      <c r="F1939" s="26" t="str">
        <f>IFERROR(VLOOKUP(G1939,WholesaleExtract!B:J,6,FALSE),"")</f>
        <v/>
      </c>
      <c r="H1939" s="47" t="str">
        <f>IFERROR(VLOOKUP(G1939,WholesaleExtract!B:L,11,FALSE),"")</f>
        <v/>
      </c>
      <c r="I1939" s="26" t="str">
        <f>IFERROR(VLOOKUP(G1939,WholesaleExtract!B:O,8,FALSE),"")</f>
        <v/>
      </c>
      <c r="J1939" s="26" t="str">
        <f>IFERROR(VLOOKUP(G1939,WholesaleExtract!B:O,14,FALSE),"")</f>
        <v/>
      </c>
      <c r="K1939" s="26" t="str">
        <f>IFERROR(VLOOKUP(G1939,WholesaleExtract!B:K,10,FALSE),"")</f>
        <v/>
      </c>
      <c r="L1939" s="47" t="str">
        <f>IFERROR(VLOOKUP(G1939,WholesaleExtract!B:L,11,FALSE),"")</f>
        <v/>
      </c>
      <c r="M1939" s="47" t="str">
        <f>IFERROR(VLOOKUP(G1939,WholesaleExtract!B:M,12,FALSE),"")</f>
        <v/>
      </c>
      <c r="R1939" s="19"/>
      <c r="S1939" s="19"/>
    </row>
    <row r="1940" spans="1:19" x14ac:dyDescent="0.35">
      <c r="A1940" s="26" t="s">
        <v>543</v>
      </c>
      <c r="B1940" s="26" t="s">
        <v>543</v>
      </c>
      <c r="C1940" s="26"/>
      <c r="D1940" s="26" t="s">
        <v>543</v>
      </c>
      <c r="E1940" s="26" t="str">
        <f>IFERROR(VLOOKUP(G1940,WholesaleExtract!B:J,9,FALSE),"")</f>
        <v/>
      </c>
      <c r="F1940" s="26" t="str">
        <f>IFERROR(VLOOKUP(G1940,WholesaleExtract!B:J,6,FALSE),"")</f>
        <v/>
      </c>
      <c r="H1940" s="47" t="str">
        <f>IFERROR(VLOOKUP(G1940,WholesaleExtract!B:L,11,FALSE),"")</f>
        <v/>
      </c>
      <c r="I1940" s="26" t="str">
        <f>IFERROR(VLOOKUP(G1940,WholesaleExtract!B:O,8,FALSE),"")</f>
        <v/>
      </c>
      <c r="J1940" s="26" t="str">
        <f>IFERROR(VLOOKUP(G1940,WholesaleExtract!B:O,14,FALSE),"")</f>
        <v/>
      </c>
      <c r="K1940" s="26" t="str">
        <f>IFERROR(VLOOKUP(G1940,WholesaleExtract!B:K,10,FALSE),"")</f>
        <v/>
      </c>
      <c r="L1940" s="47" t="str">
        <f>IFERROR(VLOOKUP(G1940,WholesaleExtract!B:L,11,FALSE),"")</f>
        <v/>
      </c>
      <c r="M1940" s="47" t="str">
        <f>IFERROR(VLOOKUP(G1940,WholesaleExtract!B:M,12,FALSE),"")</f>
        <v/>
      </c>
      <c r="R1940" s="19"/>
      <c r="S1940" s="19"/>
    </row>
    <row r="1941" spans="1:19" x14ac:dyDescent="0.35">
      <c r="A1941" s="26" t="s">
        <v>543</v>
      </c>
      <c r="B1941" s="26" t="s">
        <v>543</v>
      </c>
      <c r="C1941" s="26"/>
      <c r="D1941" s="26" t="s">
        <v>543</v>
      </c>
      <c r="E1941" s="26" t="str">
        <f>IFERROR(VLOOKUP(G1941,WholesaleExtract!B:J,9,FALSE),"")</f>
        <v/>
      </c>
      <c r="F1941" s="26" t="str">
        <f>IFERROR(VLOOKUP(G1941,WholesaleExtract!B:J,6,FALSE),"")</f>
        <v/>
      </c>
      <c r="H1941" s="47" t="str">
        <f>IFERROR(VLOOKUP(G1941,WholesaleExtract!B:L,11,FALSE),"")</f>
        <v/>
      </c>
      <c r="I1941" s="26" t="str">
        <f>IFERROR(VLOOKUP(G1941,WholesaleExtract!B:O,8,FALSE),"")</f>
        <v/>
      </c>
      <c r="J1941" s="26" t="str">
        <f>IFERROR(VLOOKUP(G1941,WholesaleExtract!B:O,14,FALSE),"")</f>
        <v/>
      </c>
      <c r="K1941" s="26" t="str">
        <f>IFERROR(VLOOKUP(G1941,WholesaleExtract!B:K,10,FALSE),"")</f>
        <v/>
      </c>
      <c r="L1941" s="47" t="str">
        <f>IFERROR(VLOOKUP(G1941,WholesaleExtract!B:L,11,FALSE),"")</f>
        <v/>
      </c>
      <c r="M1941" s="47" t="str">
        <f>IFERROR(VLOOKUP(G1941,WholesaleExtract!B:M,12,FALSE),"")</f>
        <v/>
      </c>
      <c r="R1941" s="19"/>
      <c r="S1941" s="19"/>
    </row>
    <row r="1942" spans="1:19" x14ac:dyDescent="0.35">
      <c r="A1942" s="26" t="s">
        <v>543</v>
      </c>
      <c r="B1942" s="26" t="s">
        <v>543</v>
      </c>
      <c r="C1942" s="26"/>
      <c r="D1942" s="26" t="s">
        <v>543</v>
      </c>
      <c r="E1942" s="26" t="str">
        <f>IFERROR(VLOOKUP(G1942,WholesaleExtract!B:J,9,FALSE),"")</f>
        <v/>
      </c>
      <c r="F1942" s="26" t="str">
        <f>IFERROR(VLOOKUP(G1942,WholesaleExtract!B:J,6,FALSE),"")</f>
        <v/>
      </c>
      <c r="H1942" s="47" t="str">
        <f>IFERROR(VLOOKUP(G1942,WholesaleExtract!B:L,11,FALSE),"")</f>
        <v/>
      </c>
      <c r="I1942" s="26" t="str">
        <f>IFERROR(VLOOKUP(G1942,WholesaleExtract!B:O,8,FALSE),"")</f>
        <v/>
      </c>
      <c r="J1942" s="26" t="str">
        <f>IFERROR(VLOOKUP(G1942,WholesaleExtract!B:O,14,FALSE),"")</f>
        <v/>
      </c>
      <c r="K1942" s="26" t="str">
        <f>IFERROR(VLOOKUP(G1942,WholesaleExtract!B:K,10,FALSE),"")</f>
        <v/>
      </c>
      <c r="L1942" s="47" t="str">
        <f>IFERROR(VLOOKUP(G1942,WholesaleExtract!B:L,11,FALSE),"")</f>
        <v/>
      </c>
      <c r="M1942" s="47" t="str">
        <f>IFERROR(VLOOKUP(G1942,WholesaleExtract!B:M,12,FALSE),"")</f>
        <v/>
      </c>
      <c r="R1942" s="19"/>
      <c r="S1942" s="19"/>
    </row>
    <row r="1943" spans="1:19" x14ac:dyDescent="0.35">
      <c r="A1943" s="26" t="s">
        <v>543</v>
      </c>
      <c r="B1943" s="26" t="s">
        <v>543</v>
      </c>
      <c r="C1943" s="26"/>
      <c r="D1943" s="26" t="s">
        <v>543</v>
      </c>
      <c r="E1943" s="26" t="str">
        <f>IFERROR(VLOOKUP(G1943,WholesaleExtract!B:J,9,FALSE),"")</f>
        <v/>
      </c>
      <c r="F1943" s="26" t="str">
        <f>IFERROR(VLOOKUP(G1943,WholesaleExtract!B:J,6,FALSE),"")</f>
        <v/>
      </c>
      <c r="H1943" s="47" t="str">
        <f>IFERROR(VLOOKUP(G1943,WholesaleExtract!B:L,11,FALSE),"")</f>
        <v/>
      </c>
      <c r="I1943" s="26" t="str">
        <f>IFERROR(VLOOKUP(G1943,WholesaleExtract!B:O,8,FALSE),"")</f>
        <v/>
      </c>
      <c r="J1943" s="26" t="str">
        <f>IFERROR(VLOOKUP(G1943,WholesaleExtract!B:O,14,FALSE),"")</f>
        <v/>
      </c>
      <c r="K1943" s="26" t="str">
        <f>IFERROR(VLOOKUP(G1943,WholesaleExtract!B:K,10,FALSE),"")</f>
        <v/>
      </c>
      <c r="L1943" s="47" t="str">
        <f>IFERROR(VLOOKUP(G1943,WholesaleExtract!B:L,11,FALSE),"")</f>
        <v/>
      </c>
      <c r="M1943" s="47" t="str">
        <f>IFERROR(VLOOKUP(G1943,WholesaleExtract!B:M,12,FALSE),"")</f>
        <v/>
      </c>
      <c r="R1943" s="19"/>
      <c r="S1943" s="19"/>
    </row>
    <row r="1944" spans="1:19" x14ac:dyDescent="0.35">
      <c r="A1944" s="26" t="s">
        <v>543</v>
      </c>
      <c r="B1944" s="26" t="s">
        <v>543</v>
      </c>
      <c r="C1944" s="26"/>
      <c r="D1944" s="26" t="s">
        <v>543</v>
      </c>
      <c r="E1944" s="26" t="str">
        <f>IFERROR(VLOOKUP(G1944,WholesaleExtract!B:J,9,FALSE),"")</f>
        <v/>
      </c>
      <c r="F1944" s="26" t="str">
        <f>IFERROR(VLOOKUP(G1944,WholesaleExtract!B:J,6,FALSE),"")</f>
        <v/>
      </c>
      <c r="H1944" s="47" t="str">
        <f>IFERROR(VLOOKUP(G1944,WholesaleExtract!B:L,11,FALSE),"")</f>
        <v/>
      </c>
      <c r="I1944" s="26" t="str">
        <f>IFERROR(VLOOKUP(G1944,WholesaleExtract!B:O,8,FALSE),"")</f>
        <v/>
      </c>
      <c r="J1944" s="26" t="str">
        <f>IFERROR(VLOOKUP(G1944,WholesaleExtract!B:O,14,FALSE),"")</f>
        <v/>
      </c>
      <c r="K1944" s="26" t="str">
        <f>IFERROR(VLOOKUP(G1944,WholesaleExtract!B:K,10,FALSE),"")</f>
        <v/>
      </c>
      <c r="L1944" s="47" t="str">
        <f>IFERROR(VLOOKUP(G1944,WholesaleExtract!B:L,11,FALSE),"")</f>
        <v/>
      </c>
      <c r="M1944" s="47" t="str">
        <f>IFERROR(VLOOKUP(G1944,WholesaleExtract!B:M,12,FALSE),"")</f>
        <v/>
      </c>
      <c r="R1944" s="19"/>
      <c r="S1944" s="19"/>
    </row>
    <row r="1945" spans="1:19" x14ac:dyDescent="0.35">
      <c r="A1945" s="26" t="s">
        <v>543</v>
      </c>
      <c r="B1945" s="26" t="s">
        <v>543</v>
      </c>
      <c r="C1945" s="26"/>
      <c r="D1945" s="26" t="s">
        <v>543</v>
      </c>
      <c r="E1945" s="26" t="str">
        <f>IFERROR(VLOOKUP(G1945,WholesaleExtract!B:J,9,FALSE),"")</f>
        <v/>
      </c>
      <c r="F1945" s="26" t="str">
        <f>IFERROR(VLOOKUP(G1945,WholesaleExtract!B:J,6,FALSE),"")</f>
        <v/>
      </c>
      <c r="H1945" s="47" t="str">
        <f>IFERROR(VLOOKUP(G1945,WholesaleExtract!B:L,11,FALSE),"")</f>
        <v/>
      </c>
      <c r="I1945" s="26" t="str">
        <f>IFERROR(VLOOKUP(G1945,WholesaleExtract!B:O,8,FALSE),"")</f>
        <v/>
      </c>
      <c r="J1945" s="26" t="str">
        <f>IFERROR(VLOOKUP(G1945,WholesaleExtract!B:O,14,FALSE),"")</f>
        <v/>
      </c>
      <c r="K1945" s="26" t="str">
        <f>IFERROR(VLOOKUP(G1945,WholesaleExtract!B:K,10,FALSE),"")</f>
        <v/>
      </c>
      <c r="L1945" s="47" t="str">
        <f>IFERROR(VLOOKUP(G1945,WholesaleExtract!B:L,11,FALSE),"")</f>
        <v/>
      </c>
      <c r="M1945" s="47" t="str">
        <f>IFERROR(VLOOKUP(G1945,WholesaleExtract!B:M,12,FALSE),"")</f>
        <v/>
      </c>
      <c r="R1945" s="19"/>
      <c r="S1945" s="19"/>
    </row>
    <row r="1946" spans="1:19" x14ac:dyDescent="0.35">
      <c r="A1946" s="26" t="s">
        <v>543</v>
      </c>
      <c r="B1946" s="26" t="s">
        <v>543</v>
      </c>
      <c r="C1946" s="26"/>
      <c r="D1946" s="26" t="s">
        <v>543</v>
      </c>
      <c r="E1946" s="26" t="str">
        <f>IFERROR(VLOOKUP(G1946,WholesaleExtract!B:J,9,FALSE),"")</f>
        <v/>
      </c>
      <c r="F1946" s="26" t="str">
        <f>IFERROR(VLOOKUP(G1946,WholesaleExtract!B:J,6,FALSE),"")</f>
        <v/>
      </c>
      <c r="H1946" s="47" t="str">
        <f>IFERROR(VLOOKUP(G1946,WholesaleExtract!B:L,11,FALSE),"")</f>
        <v/>
      </c>
      <c r="I1946" s="26" t="str">
        <f>IFERROR(VLOOKUP(G1946,WholesaleExtract!B:O,8,FALSE),"")</f>
        <v/>
      </c>
      <c r="J1946" s="26" t="str">
        <f>IFERROR(VLOOKUP(G1946,WholesaleExtract!B:O,14,FALSE),"")</f>
        <v/>
      </c>
      <c r="K1946" s="26" t="str">
        <f>IFERROR(VLOOKUP(G1946,WholesaleExtract!B:K,10,FALSE),"")</f>
        <v/>
      </c>
      <c r="L1946" s="47" t="str">
        <f>IFERROR(VLOOKUP(G1946,WholesaleExtract!B:L,11,FALSE),"")</f>
        <v/>
      </c>
      <c r="M1946" s="47" t="str">
        <f>IFERROR(VLOOKUP(G1946,WholesaleExtract!B:M,12,FALSE),"")</f>
        <v/>
      </c>
      <c r="R1946" s="19"/>
      <c r="S1946" s="19"/>
    </row>
    <row r="1947" spans="1:19" x14ac:dyDescent="0.35">
      <c r="A1947" s="26" t="s">
        <v>543</v>
      </c>
      <c r="B1947" s="26" t="s">
        <v>543</v>
      </c>
      <c r="C1947" s="26"/>
      <c r="D1947" s="26" t="s">
        <v>543</v>
      </c>
      <c r="E1947" s="26" t="str">
        <f>IFERROR(VLOOKUP(G1947,WholesaleExtract!B:J,9,FALSE),"")</f>
        <v/>
      </c>
      <c r="F1947" s="26" t="str">
        <f>IFERROR(VLOOKUP(G1947,WholesaleExtract!B:J,6,FALSE),"")</f>
        <v/>
      </c>
      <c r="H1947" s="47" t="str">
        <f>IFERROR(VLOOKUP(G1947,WholesaleExtract!B:L,11,FALSE),"")</f>
        <v/>
      </c>
      <c r="I1947" s="26" t="str">
        <f>IFERROR(VLOOKUP(G1947,WholesaleExtract!B:O,8,FALSE),"")</f>
        <v/>
      </c>
      <c r="J1947" s="26" t="str">
        <f>IFERROR(VLOOKUP(G1947,WholesaleExtract!B:O,14,FALSE),"")</f>
        <v/>
      </c>
      <c r="K1947" s="26" t="str">
        <f>IFERROR(VLOOKUP(G1947,WholesaleExtract!B:K,10,FALSE),"")</f>
        <v/>
      </c>
      <c r="L1947" s="47" t="str">
        <f>IFERROR(VLOOKUP(G1947,WholesaleExtract!B:L,11,FALSE),"")</f>
        <v/>
      </c>
      <c r="M1947" s="47" t="str">
        <f>IFERROR(VLOOKUP(G1947,WholesaleExtract!B:M,12,FALSE),"")</f>
        <v/>
      </c>
      <c r="R1947" s="19"/>
      <c r="S1947" s="19"/>
    </row>
    <row r="1948" spans="1:19" x14ac:dyDescent="0.35">
      <c r="A1948" s="26" t="s">
        <v>543</v>
      </c>
      <c r="B1948" s="26" t="s">
        <v>543</v>
      </c>
      <c r="C1948" s="26"/>
      <c r="D1948" s="26" t="s">
        <v>543</v>
      </c>
      <c r="E1948" s="26" t="str">
        <f>IFERROR(VLOOKUP(G1948,WholesaleExtract!B:J,9,FALSE),"")</f>
        <v/>
      </c>
      <c r="F1948" s="26" t="str">
        <f>IFERROR(VLOOKUP(G1948,WholesaleExtract!B:J,6,FALSE),"")</f>
        <v/>
      </c>
      <c r="H1948" s="47" t="str">
        <f>IFERROR(VLOOKUP(G1948,WholesaleExtract!B:L,11,FALSE),"")</f>
        <v/>
      </c>
      <c r="I1948" s="26" t="str">
        <f>IFERROR(VLOOKUP(G1948,WholesaleExtract!B:O,8,FALSE),"")</f>
        <v/>
      </c>
      <c r="J1948" s="26" t="str">
        <f>IFERROR(VLOOKUP(G1948,WholesaleExtract!B:O,14,FALSE),"")</f>
        <v/>
      </c>
      <c r="K1948" s="26" t="str">
        <f>IFERROR(VLOOKUP(G1948,WholesaleExtract!B:K,10,FALSE),"")</f>
        <v/>
      </c>
      <c r="L1948" s="47" t="str">
        <f>IFERROR(VLOOKUP(G1948,WholesaleExtract!B:L,11,FALSE),"")</f>
        <v/>
      </c>
      <c r="M1948" s="47" t="str">
        <f>IFERROR(VLOOKUP(G1948,WholesaleExtract!B:M,12,FALSE),"")</f>
        <v/>
      </c>
      <c r="R1948" s="19"/>
      <c r="S1948" s="19"/>
    </row>
    <row r="1949" spans="1:19" x14ac:dyDescent="0.35">
      <c r="A1949" s="26" t="s">
        <v>543</v>
      </c>
      <c r="B1949" s="26" t="s">
        <v>543</v>
      </c>
      <c r="C1949" s="26"/>
      <c r="D1949" s="26" t="s">
        <v>543</v>
      </c>
      <c r="E1949" s="26" t="str">
        <f>IFERROR(VLOOKUP(G1949,WholesaleExtract!B:J,9,FALSE),"")</f>
        <v/>
      </c>
      <c r="F1949" s="26" t="str">
        <f>IFERROR(VLOOKUP(G1949,WholesaleExtract!B:J,6,FALSE),"")</f>
        <v/>
      </c>
      <c r="H1949" s="47" t="str">
        <f>IFERROR(VLOOKUP(G1949,WholesaleExtract!B:L,11,FALSE),"")</f>
        <v/>
      </c>
      <c r="I1949" s="26" t="str">
        <f>IFERROR(VLOOKUP(G1949,WholesaleExtract!B:O,8,FALSE),"")</f>
        <v/>
      </c>
      <c r="J1949" s="26" t="str">
        <f>IFERROR(VLOOKUP(G1949,WholesaleExtract!B:O,14,FALSE),"")</f>
        <v/>
      </c>
      <c r="K1949" s="26" t="str">
        <f>IFERROR(VLOOKUP(G1949,WholesaleExtract!B:K,10,FALSE),"")</f>
        <v/>
      </c>
      <c r="L1949" s="47" t="str">
        <f>IFERROR(VLOOKUP(G1949,WholesaleExtract!B:L,11,FALSE),"")</f>
        <v/>
      </c>
      <c r="M1949" s="47" t="str">
        <f>IFERROR(VLOOKUP(G1949,WholesaleExtract!B:M,12,FALSE),"")</f>
        <v/>
      </c>
      <c r="R1949" s="19"/>
      <c r="S1949" s="19"/>
    </row>
    <row r="1950" spans="1:19" x14ac:dyDescent="0.35">
      <c r="A1950" s="26" t="s">
        <v>543</v>
      </c>
      <c r="B1950" s="26" t="s">
        <v>543</v>
      </c>
      <c r="C1950" s="26"/>
      <c r="D1950" s="26" t="s">
        <v>543</v>
      </c>
      <c r="E1950" s="26" t="str">
        <f>IFERROR(VLOOKUP(G1950,WholesaleExtract!B:J,9,FALSE),"")</f>
        <v/>
      </c>
      <c r="F1950" s="26" t="str">
        <f>IFERROR(VLOOKUP(G1950,WholesaleExtract!B:J,6,FALSE),"")</f>
        <v/>
      </c>
      <c r="H1950" s="47" t="str">
        <f>IFERROR(VLOOKUP(G1950,WholesaleExtract!B:L,11,FALSE),"")</f>
        <v/>
      </c>
      <c r="I1950" s="26" t="str">
        <f>IFERROR(VLOOKUP(G1950,WholesaleExtract!B:O,8,FALSE),"")</f>
        <v/>
      </c>
      <c r="J1950" s="26" t="str">
        <f>IFERROR(VLOOKUP(G1950,WholesaleExtract!B:O,14,FALSE),"")</f>
        <v/>
      </c>
      <c r="K1950" s="26" t="str">
        <f>IFERROR(VLOOKUP(G1950,WholesaleExtract!B:K,10,FALSE),"")</f>
        <v/>
      </c>
      <c r="L1950" s="47" t="str">
        <f>IFERROR(VLOOKUP(G1950,WholesaleExtract!B:L,11,FALSE),"")</f>
        <v/>
      </c>
      <c r="M1950" s="47" t="str">
        <f>IFERROR(VLOOKUP(G1950,WholesaleExtract!B:M,12,FALSE),"")</f>
        <v/>
      </c>
      <c r="R1950" s="19"/>
      <c r="S1950" s="19"/>
    </row>
    <row r="1951" spans="1:19" x14ac:dyDescent="0.35">
      <c r="A1951" s="26" t="s">
        <v>543</v>
      </c>
      <c r="B1951" s="26" t="s">
        <v>543</v>
      </c>
      <c r="C1951" s="26"/>
      <c r="D1951" s="26" t="s">
        <v>543</v>
      </c>
      <c r="E1951" s="26" t="str">
        <f>IFERROR(VLOOKUP(G1951,WholesaleExtract!B:J,9,FALSE),"")</f>
        <v/>
      </c>
      <c r="F1951" s="26" t="str">
        <f>IFERROR(VLOOKUP(G1951,WholesaleExtract!B:J,6,FALSE),"")</f>
        <v/>
      </c>
      <c r="H1951" s="47" t="str">
        <f>IFERROR(VLOOKUP(G1951,WholesaleExtract!B:L,11,FALSE),"")</f>
        <v/>
      </c>
      <c r="I1951" s="26" t="str">
        <f>IFERROR(VLOOKUP(G1951,WholesaleExtract!B:O,8,FALSE),"")</f>
        <v/>
      </c>
      <c r="J1951" s="26" t="str">
        <f>IFERROR(VLOOKUP(G1951,WholesaleExtract!B:O,14,FALSE),"")</f>
        <v/>
      </c>
      <c r="K1951" s="26" t="str">
        <f>IFERROR(VLOOKUP(G1951,WholesaleExtract!B:K,10,FALSE),"")</f>
        <v/>
      </c>
      <c r="L1951" s="47" t="str">
        <f>IFERROR(VLOOKUP(G1951,WholesaleExtract!B:L,11,FALSE),"")</f>
        <v/>
      </c>
      <c r="M1951" s="47" t="str">
        <f>IFERROR(VLOOKUP(G1951,WholesaleExtract!B:M,12,FALSE),"")</f>
        <v/>
      </c>
      <c r="R1951" s="19"/>
      <c r="S1951" s="19"/>
    </row>
    <row r="1952" spans="1:19" x14ac:dyDescent="0.35">
      <c r="A1952" s="26" t="s">
        <v>543</v>
      </c>
      <c r="B1952" s="26" t="s">
        <v>543</v>
      </c>
      <c r="C1952" s="26"/>
      <c r="D1952" s="26" t="s">
        <v>543</v>
      </c>
      <c r="E1952" s="26" t="str">
        <f>IFERROR(VLOOKUP(G1952,WholesaleExtract!B:J,9,FALSE),"")</f>
        <v/>
      </c>
      <c r="F1952" s="26" t="str">
        <f>IFERROR(VLOOKUP(G1952,WholesaleExtract!B:J,6,FALSE),"")</f>
        <v/>
      </c>
      <c r="H1952" s="47" t="str">
        <f>IFERROR(VLOOKUP(G1952,WholesaleExtract!B:L,11,FALSE),"")</f>
        <v/>
      </c>
      <c r="I1952" s="26" t="str">
        <f>IFERROR(VLOOKUP(G1952,WholesaleExtract!B:O,8,FALSE),"")</f>
        <v/>
      </c>
      <c r="J1952" s="26" t="str">
        <f>IFERROR(VLOOKUP(G1952,WholesaleExtract!B:O,14,FALSE),"")</f>
        <v/>
      </c>
      <c r="K1952" s="26" t="str">
        <f>IFERROR(VLOOKUP(G1952,WholesaleExtract!B:K,10,FALSE),"")</f>
        <v/>
      </c>
      <c r="L1952" s="47" t="str">
        <f>IFERROR(VLOOKUP(G1952,WholesaleExtract!B:L,11,FALSE),"")</f>
        <v/>
      </c>
      <c r="M1952" s="47" t="str">
        <f>IFERROR(VLOOKUP(G1952,WholesaleExtract!B:M,12,FALSE),"")</f>
        <v/>
      </c>
      <c r="R1952" s="19"/>
      <c r="S1952" s="19"/>
    </row>
    <row r="1953" spans="1:19" x14ac:dyDescent="0.35">
      <c r="A1953" s="26" t="s">
        <v>543</v>
      </c>
      <c r="B1953" s="26" t="s">
        <v>543</v>
      </c>
      <c r="C1953" s="26"/>
      <c r="D1953" s="26" t="s">
        <v>543</v>
      </c>
      <c r="E1953" s="26" t="str">
        <f>IFERROR(VLOOKUP(G1953,WholesaleExtract!B:J,9,FALSE),"")</f>
        <v/>
      </c>
      <c r="F1953" s="26" t="str">
        <f>IFERROR(VLOOKUP(G1953,WholesaleExtract!B:J,6,FALSE),"")</f>
        <v/>
      </c>
      <c r="H1953" s="47" t="str">
        <f>IFERROR(VLOOKUP(G1953,WholesaleExtract!B:L,11,FALSE),"")</f>
        <v/>
      </c>
      <c r="I1953" s="26" t="str">
        <f>IFERROR(VLOOKUP(G1953,WholesaleExtract!B:O,8,FALSE),"")</f>
        <v/>
      </c>
      <c r="J1953" s="26" t="str">
        <f>IFERROR(VLOOKUP(G1953,WholesaleExtract!B:O,14,FALSE),"")</f>
        <v/>
      </c>
      <c r="K1953" s="26" t="str">
        <f>IFERROR(VLOOKUP(G1953,WholesaleExtract!B:K,10,FALSE),"")</f>
        <v/>
      </c>
      <c r="L1953" s="47" t="str">
        <f>IFERROR(VLOOKUP(G1953,WholesaleExtract!B:L,11,FALSE),"")</f>
        <v/>
      </c>
      <c r="M1953" s="47" t="str">
        <f>IFERROR(VLOOKUP(G1953,WholesaleExtract!B:M,12,FALSE),"")</f>
        <v/>
      </c>
      <c r="R1953" s="19"/>
      <c r="S1953" s="19"/>
    </row>
    <row r="1954" spans="1:19" x14ac:dyDescent="0.35">
      <c r="A1954" s="26" t="s">
        <v>543</v>
      </c>
      <c r="B1954" s="26" t="s">
        <v>543</v>
      </c>
      <c r="C1954" s="26"/>
      <c r="D1954" s="26" t="s">
        <v>543</v>
      </c>
      <c r="E1954" s="26" t="str">
        <f>IFERROR(VLOOKUP(G1954,WholesaleExtract!B:J,9,FALSE),"")</f>
        <v/>
      </c>
      <c r="F1954" s="26" t="str">
        <f>IFERROR(VLOOKUP(G1954,WholesaleExtract!B:J,6,FALSE),"")</f>
        <v/>
      </c>
      <c r="H1954" s="47" t="str">
        <f>IFERROR(VLOOKUP(G1954,WholesaleExtract!B:L,11,FALSE),"")</f>
        <v/>
      </c>
      <c r="I1954" s="26" t="str">
        <f>IFERROR(VLOOKUP(G1954,WholesaleExtract!B:O,8,FALSE),"")</f>
        <v/>
      </c>
      <c r="J1954" s="26" t="str">
        <f>IFERROR(VLOOKUP(G1954,WholesaleExtract!B:O,14,FALSE),"")</f>
        <v/>
      </c>
      <c r="K1954" s="26" t="str">
        <f>IFERROR(VLOOKUP(G1954,WholesaleExtract!B:K,10,FALSE),"")</f>
        <v/>
      </c>
      <c r="L1954" s="47" t="str">
        <f>IFERROR(VLOOKUP(G1954,WholesaleExtract!B:L,11,FALSE),"")</f>
        <v/>
      </c>
      <c r="M1954" s="47" t="str">
        <f>IFERROR(VLOOKUP(G1954,WholesaleExtract!B:M,12,FALSE),"")</f>
        <v/>
      </c>
      <c r="R1954" s="19"/>
      <c r="S1954" s="19"/>
    </row>
    <row r="1955" spans="1:19" x14ac:dyDescent="0.35">
      <c r="A1955" s="26" t="s">
        <v>543</v>
      </c>
      <c r="B1955" s="26" t="s">
        <v>543</v>
      </c>
      <c r="C1955" s="26"/>
      <c r="D1955" s="26" t="s">
        <v>543</v>
      </c>
      <c r="E1955" s="26" t="str">
        <f>IFERROR(VLOOKUP(G1955,WholesaleExtract!B:J,9,FALSE),"")</f>
        <v/>
      </c>
      <c r="F1955" s="26" t="str">
        <f>IFERROR(VLOOKUP(G1955,WholesaleExtract!B:J,6,FALSE),"")</f>
        <v/>
      </c>
      <c r="H1955" s="47" t="str">
        <f>IFERROR(VLOOKUP(G1955,WholesaleExtract!B:L,11,FALSE),"")</f>
        <v/>
      </c>
      <c r="I1955" s="26" t="str">
        <f>IFERROR(VLOOKUP(G1955,WholesaleExtract!B:O,8,FALSE),"")</f>
        <v/>
      </c>
      <c r="J1955" s="26" t="str">
        <f>IFERROR(VLOOKUP(G1955,WholesaleExtract!B:O,14,FALSE),"")</f>
        <v/>
      </c>
      <c r="K1955" s="26" t="str">
        <f>IFERROR(VLOOKUP(G1955,WholesaleExtract!B:K,10,FALSE),"")</f>
        <v/>
      </c>
      <c r="L1955" s="47" t="str">
        <f>IFERROR(VLOOKUP(G1955,WholesaleExtract!B:L,11,FALSE),"")</f>
        <v/>
      </c>
      <c r="M1955" s="47" t="str">
        <f>IFERROR(VLOOKUP(G1955,WholesaleExtract!B:M,12,FALSE),"")</f>
        <v/>
      </c>
      <c r="R1955" s="19"/>
      <c r="S1955" s="19"/>
    </row>
    <row r="1956" spans="1:19" x14ac:dyDescent="0.35">
      <c r="A1956" s="26" t="s">
        <v>543</v>
      </c>
      <c r="B1956" s="26" t="s">
        <v>543</v>
      </c>
      <c r="C1956" s="26"/>
      <c r="D1956" s="26" t="s">
        <v>543</v>
      </c>
      <c r="E1956" s="26" t="str">
        <f>IFERROR(VLOOKUP(G1956,WholesaleExtract!B:J,9,FALSE),"")</f>
        <v/>
      </c>
      <c r="F1956" s="26" t="str">
        <f>IFERROR(VLOOKUP(G1956,WholesaleExtract!B:J,6,FALSE),"")</f>
        <v/>
      </c>
      <c r="H1956" s="47" t="str">
        <f>IFERROR(VLOOKUP(G1956,WholesaleExtract!B:L,11,FALSE),"")</f>
        <v/>
      </c>
      <c r="I1956" s="26" t="str">
        <f>IFERROR(VLOOKUP(G1956,WholesaleExtract!B:O,8,FALSE),"")</f>
        <v/>
      </c>
      <c r="J1956" s="26" t="str">
        <f>IFERROR(VLOOKUP(G1956,WholesaleExtract!B:O,14,FALSE),"")</f>
        <v/>
      </c>
      <c r="K1956" s="26" t="str">
        <f>IFERROR(VLOOKUP(G1956,WholesaleExtract!B:K,10,FALSE),"")</f>
        <v/>
      </c>
      <c r="L1956" s="47" t="str">
        <f>IFERROR(VLOOKUP(G1956,WholesaleExtract!B:L,11,FALSE),"")</f>
        <v/>
      </c>
      <c r="M1956" s="47" t="str">
        <f>IFERROR(VLOOKUP(G1956,WholesaleExtract!B:M,12,FALSE),"")</f>
        <v/>
      </c>
      <c r="R1956" s="19"/>
      <c r="S1956" s="19"/>
    </row>
    <row r="1957" spans="1:19" x14ac:dyDescent="0.35">
      <c r="A1957" s="26" t="s">
        <v>543</v>
      </c>
      <c r="B1957" s="26" t="s">
        <v>543</v>
      </c>
      <c r="C1957" s="26"/>
      <c r="D1957" s="26" t="s">
        <v>543</v>
      </c>
      <c r="E1957" s="26" t="str">
        <f>IFERROR(VLOOKUP(G1957,WholesaleExtract!B:J,9,FALSE),"")</f>
        <v/>
      </c>
      <c r="F1957" s="26" t="str">
        <f>IFERROR(VLOOKUP(G1957,WholesaleExtract!B:J,6,FALSE),"")</f>
        <v/>
      </c>
      <c r="H1957" s="47" t="str">
        <f>IFERROR(VLOOKUP(G1957,WholesaleExtract!B:L,11,FALSE),"")</f>
        <v/>
      </c>
      <c r="I1957" s="26" t="str">
        <f>IFERROR(VLOOKUP(G1957,WholesaleExtract!B:O,8,FALSE),"")</f>
        <v/>
      </c>
      <c r="J1957" s="26" t="str">
        <f>IFERROR(VLOOKUP(G1957,WholesaleExtract!B:O,14,FALSE),"")</f>
        <v/>
      </c>
      <c r="K1957" s="26" t="str">
        <f>IFERROR(VLOOKUP(G1957,WholesaleExtract!B:K,10,FALSE),"")</f>
        <v/>
      </c>
      <c r="L1957" s="47" t="str">
        <f>IFERROR(VLOOKUP(G1957,WholesaleExtract!B:L,11,FALSE),"")</f>
        <v/>
      </c>
      <c r="M1957" s="47" t="str">
        <f>IFERROR(VLOOKUP(G1957,WholesaleExtract!B:M,12,FALSE),"")</f>
        <v/>
      </c>
      <c r="R1957" s="19"/>
      <c r="S1957" s="19"/>
    </row>
    <row r="1958" spans="1:19" x14ac:dyDescent="0.35">
      <c r="A1958" s="26" t="s">
        <v>543</v>
      </c>
      <c r="B1958" s="26" t="s">
        <v>543</v>
      </c>
      <c r="C1958" s="26"/>
      <c r="D1958" s="26" t="s">
        <v>543</v>
      </c>
      <c r="E1958" s="26" t="str">
        <f>IFERROR(VLOOKUP(G1958,WholesaleExtract!B:J,9,FALSE),"")</f>
        <v/>
      </c>
      <c r="F1958" s="26" t="str">
        <f>IFERROR(VLOOKUP(G1958,WholesaleExtract!B:J,6,FALSE),"")</f>
        <v/>
      </c>
      <c r="H1958" s="47" t="str">
        <f>IFERROR(VLOOKUP(G1958,WholesaleExtract!B:L,11,FALSE),"")</f>
        <v/>
      </c>
      <c r="I1958" s="26" t="str">
        <f>IFERROR(VLOOKUP(G1958,WholesaleExtract!B:O,8,FALSE),"")</f>
        <v/>
      </c>
      <c r="J1958" s="26" t="str">
        <f>IFERROR(VLOOKUP(G1958,WholesaleExtract!B:O,14,FALSE),"")</f>
        <v/>
      </c>
      <c r="K1958" s="26" t="str">
        <f>IFERROR(VLOOKUP(G1958,WholesaleExtract!B:K,10,FALSE),"")</f>
        <v/>
      </c>
      <c r="L1958" s="47" t="str">
        <f>IFERROR(VLOOKUP(G1958,WholesaleExtract!B:L,11,FALSE),"")</f>
        <v/>
      </c>
      <c r="M1958" s="47" t="str">
        <f>IFERROR(VLOOKUP(G1958,WholesaleExtract!B:M,12,FALSE),"")</f>
        <v/>
      </c>
      <c r="R1958" s="19"/>
      <c r="S1958" s="19"/>
    </row>
    <row r="1959" spans="1:19" x14ac:dyDescent="0.35">
      <c r="A1959" s="26" t="s">
        <v>543</v>
      </c>
      <c r="B1959" s="26" t="s">
        <v>543</v>
      </c>
      <c r="C1959" s="26"/>
      <c r="D1959" s="26" t="s">
        <v>543</v>
      </c>
      <c r="E1959" s="26" t="str">
        <f>IFERROR(VLOOKUP(G1959,WholesaleExtract!B:J,9,FALSE),"")</f>
        <v/>
      </c>
      <c r="F1959" s="26" t="str">
        <f>IFERROR(VLOOKUP(G1959,WholesaleExtract!B:J,6,FALSE),"")</f>
        <v/>
      </c>
      <c r="H1959" s="47" t="str">
        <f>IFERROR(VLOOKUP(G1959,WholesaleExtract!B:L,11,FALSE),"")</f>
        <v/>
      </c>
      <c r="I1959" s="26" t="str">
        <f>IFERROR(VLOOKUP(G1959,WholesaleExtract!B:O,8,FALSE),"")</f>
        <v/>
      </c>
      <c r="J1959" s="26" t="str">
        <f>IFERROR(VLOOKUP(G1959,WholesaleExtract!B:O,14,FALSE),"")</f>
        <v/>
      </c>
      <c r="K1959" s="26" t="str">
        <f>IFERROR(VLOOKUP(G1959,WholesaleExtract!B:K,10,FALSE),"")</f>
        <v/>
      </c>
      <c r="L1959" s="47" t="str">
        <f>IFERROR(VLOOKUP(G1959,WholesaleExtract!B:L,11,FALSE),"")</f>
        <v/>
      </c>
      <c r="M1959" s="47" t="str">
        <f>IFERROR(VLOOKUP(G1959,WholesaleExtract!B:M,12,FALSE),"")</f>
        <v/>
      </c>
      <c r="R1959" s="19"/>
      <c r="S1959" s="19"/>
    </row>
    <row r="1960" spans="1:19" x14ac:dyDescent="0.35">
      <c r="A1960" s="26" t="s">
        <v>543</v>
      </c>
      <c r="B1960" s="26" t="s">
        <v>543</v>
      </c>
      <c r="C1960" s="26"/>
      <c r="D1960" s="26" t="s">
        <v>543</v>
      </c>
      <c r="E1960" s="26" t="str">
        <f>IFERROR(VLOOKUP(G1960,WholesaleExtract!B:J,9,FALSE),"")</f>
        <v/>
      </c>
      <c r="F1960" s="26" t="str">
        <f>IFERROR(VLOOKUP(G1960,WholesaleExtract!B:J,6,FALSE),"")</f>
        <v/>
      </c>
      <c r="H1960" s="47" t="str">
        <f>IFERROR(VLOOKUP(G1960,WholesaleExtract!B:L,11,FALSE),"")</f>
        <v/>
      </c>
      <c r="I1960" s="26" t="str">
        <f>IFERROR(VLOOKUP(G1960,WholesaleExtract!B:O,8,FALSE),"")</f>
        <v/>
      </c>
      <c r="J1960" s="26" t="str">
        <f>IFERROR(VLOOKUP(G1960,WholesaleExtract!B:O,14,FALSE),"")</f>
        <v/>
      </c>
      <c r="K1960" s="26" t="str">
        <f>IFERROR(VLOOKUP(G1960,WholesaleExtract!B:K,10,FALSE),"")</f>
        <v/>
      </c>
      <c r="L1960" s="47" t="str">
        <f>IFERROR(VLOOKUP(G1960,WholesaleExtract!B:L,11,FALSE),"")</f>
        <v/>
      </c>
      <c r="M1960" s="47" t="str">
        <f>IFERROR(VLOOKUP(G1960,WholesaleExtract!B:M,12,FALSE),"")</f>
        <v/>
      </c>
      <c r="R1960" s="19"/>
      <c r="S1960" s="19"/>
    </row>
    <row r="1961" spans="1:19" x14ac:dyDescent="0.35">
      <c r="A1961" s="26" t="s">
        <v>543</v>
      </c>
      <c r="B1961" s="26" t="s">
        <v>543</v>
      </c>
      <c r="C1961" s="26"/>
      <c r="D1961" s="26" t="s">
        <v>543</v>
      </c>
      <c r="E1961" s="26" t="str">
        <f>IFERROR(VLOOKUP(G1961,WholesaleExtract!B:J,9,FALSE),"")</f>
        <v/>
      </c>
      <c r="F1961" s="26" t="str">
        <f>IFERROR(VLOOKUP(G1961,WholesaleExtract!B:J,6,FALSE),"")</f>
        <v/>
      </c>
      <c r="H1961" s="47" t="str">
        <f>IFERROR(VLOOKUP(G1961,WholesaleExtract!B:L,11,FALSE),"")</f>
        <v/>
      </c>
      <c r="I1961" s="26" t="str">
        <f>IFERROR(VLOOKUP(G1961,WholesaleExtract!B:O,8,FALSE),"")</f>
        <v/>
      </c>
      <c r="J1961" s="26" t="str">
        <f>IFERROR(VLOOKUP(G1961,WholesaleExtract!B:O,14,FALSE),"")</f>
        <v/>
      </c>
      <c r="K1961" s="26" t="str">
        <f>IFERROR(VLOOKUP(G1961,WholesaleExtract!B:K,10,FALSE),"")</f>
        <v/>
      </c>
      <c r="L1961" s="47" t="str">
        <f>IFERROR(VLOOKUP(G1961,WholesaleExtract!B:L,11,FALSE),"")</f>
        <v/>
      </c>
      <c r="M1961" s="47" t="str">
        <f>IFERROR(VLOOKUP(G1961,WholesaleExtract!B:M,12,FALSE),"")</f>
        <v/>
      </c>
      <c r="R1961" s="19"/>
      <c r="S1961" s="19"/>
    </row>
    <row r="1962" spans="1:19" x14ac:dyDescent="0.35">
      <c r="A1962" s="26" t="s">
        <v>543</v>
      </c>
      <c r="B1962" s="26" t="s">
        <v>543</v>
      </c>
      <c r="C1962" s="26"/>
      <c r="D1962" s="26" t="s">
        <v>543</v>
      </c>
      <c r="E1962" s="26" t="str">
        <f>IFERROR(VLOOKUP(G1962,WholesaleExtract!B:J,9,FALSE),"")</f>
        <v/>
      </c>
      <c r="F1962" s="26" t="str">
        <f>IFERROR(VLOOKUP(G1962,WholesaleExtract!B:J,6,FALSE),"")</f>
        <v/>
      </c>
      <c r="H1962" s="47" t="str">
        <f>IFERROR(VLOOKUP(G1962,WholesaleExtract!B:L,11,FALSE),"")</f>
        <v/>
      </c>
      <c r="I1962" s="26" t="str">
        <f>IFERROR(VLOOKUP(G1962,WholesaleExtract!B:O,8,FALSE),"")</f>
        <v/>
      </c>
      <c r="J1962" s="26" t="str">
        <f>IFERROR(VLOOKUP(G1962,WholesaleExtract!B:O,14,FALSE),"")</f>
        <v/>
      </c>
      <c r="K1962" s="26" t="str">
        <f>IFERROR(VLOOKUP(G1962,WholesaleExtract!B:K,10,FALSE),"")</f>
        <v/>
      </c>
      <c r="L1962" s="47" t="str">
        <f>IFERROR(VLOOKUP(G1962,WholesaleExtract!B:L,11,FALSE),"")</f>
        <v/>
      </c>
      <c r="M1962" s="47" t="str">
        <f>IFERROR(VLOOKUP(G1962,WholesaleExtract!B:M,12,FALSE),"")</f>
        <v/>
      </c>
      <c r="R1962" s="19"/>
      <c r="S1962" s="19"/>
    </row>
    <row r="1963" spans="1:19" x14ac:dyDescent="0.35">
      <c r="A1963" s="26" t="s">
        <v>543</v>
      </c>
      <c r="B1963" s="26" t="s">
        <v>543</v>
      </c>
      <c r="C1963" s="26"/>
      <c r="D1963" s="26" t="s">
        <v>543</v>
      </c>
      <c r="E1963" s="26" t="str">
        <f>IFERROR(VLOOKUP(G1963,WholesaleExtract!B:J,9,FALSE),"")</f>
        <v/>
      </c>
      <c r="F1963" s="26" t="str">
        <f>IFERROR(VLOOKUP(G1963,WholesaleExtract!B:J,6,FALSE),"")</f>
        <v/>
      </c>
      <c r="H1963" s="47" t="str">
        <f>IFERROR(VLOOKUP(G1963,WholesaleExtract!B:L,11,FALSE),"")</f>
        <v/>
      </c>
      <c r="I1963" s="26" t="str">
        <f>IFERROR(VLOOKUP(G1963,WholesaleExtract!B:O,8,FALSE),"")</f>
        <v/>
      </c>
      <c r="J1963" s="26" t="str">
        <f>IFERROR(VLOOKUP(G1963,WholesaleExtract!B:O,14,FALSE),"")</f>
        <v/>
      </c>
      <c r="K1963" s="26" t="str">
        <f>IFERROR(VLOOKUP(G1963,WholesaleExtract!B:K,10,FALSE),"")</f>
        <v/>
      </c>
      <c r="L1963" s="47" t="str">
        <f>IFERROR(VLOOKUP(G1963,WholesaleExtract!B:L,11,FALSE),"")</f>
        <v/>
      </c>
      <c r="M1963" s="47" t="str">
        <f>IFERROR(VLOOKUP(G1963,WholesaleExtract!B:M,12,FALSE),"")</f>
        <v/>
      </c>
      <c r="R1963" s="19"/>
      <c r="S1963" s="19"/>
    </row>
    <row r="1964" spans="1:19" x14ac:dyDescent="0.35">
      <c r="A1964" s="26" t="s">
        <v>543</v>
      </c>
      <c r="B1964" s="26" t="s">
        <v>543</v>
      </c>
      <c r="C1964" s="26"/>
      <c r="D1964" s="26" t="s">
        <v>543</v>
      </c>
      <c r="E1964" s="26" t="str">
        <f>IFERROR(VLOOKUP(G1964,WholesaleExtract!B:J,9,FALSE),"")</f>
        <v/>
      </c>
      <c r="F1964" s="26" t="str">
        <f>IFERROR(VLOOKUP(G1964,WholesaleExtract!B:J,6,FALSE),"")</f>
        <v/>
      </c>
      <c r="H1964" s="47" t="str">
        <f>IFERROR(VLOOKUP(G1964,WholesaleExtract!B:L,11,FALSE),"")</f>
        <v/>
      </c>
      <c r="I1964" s="26" t="str">
        <f>IFERROR(VLOOKUP(G1964,WholesaleExtract!B:O,8,FALSE),"")</f>
        <v/>
      </c>
      <c r="J1964" s="26" t="str">
        <f>IFERROR(VLOOKUP(G1964,WholesaleExtract!B:O,14,FALSE),"")</f>
        <v/>
      </c>
      <c r="K1964" s="26" t="str">
        <f>IFERROR(VLOOKUP(G1964,WholesaleExtract!B:K,10,FALSE),"")</f>
        <v/>
      </c>
      <c r="L1964" s="47" t="str">
        <f>IFERROR(VLOOKUP(G1964,WholesaleExtract!B:L,11,FALSE),"")</f>
        <v/>
      </c>
      <c r="M1964" s="47" t="str">
        <f>IFERROR(VLOOKUP(G1964,WholesaleExtract!B:M,12,FALSE),"")</f>
        <v/>
      </c>
      <c r="R1964" s="19"/>
      <c r="S1964" s="19"/>
    </row>
    <row r="1965" spans="1:19" x14ac:dyDescent="0.35">
      <c r="A1965" s="26" t="s">
        <v>543</v>
      </c>
      <c r="B1965" s="26" t="s">
        <v>543</v>
      </c>
      <c r="C1965" s="26"/>
      <c r="D1965" s="26" t="s">
        <v>543</v>
      </c>
      <c r="E1965" s="26" t="str">
        <f>IFERROR(VLOOKUP(G1965,WholesaleExtract!B:J,9,FALSE),"")</f>
        <v/>
      </c>
      <c r="F1965" s="26" t="str">
        <f>IFERROR(VLOOKUP(G1965,WholesaleExtract!B:J,6,FALSE),"")</f>
        <v/>
      </c>
      <c r="H1965" s="47" t="str">
        <f>IFERROR(VLOOKUP(G1965,WholesaleExtract!B:L,11,FALSE),"")</f>
        <v/>
      </c>
      <c r="I1965" s="26" t="str">
        <f>IFERROR(VLOOKUP(G1965,WholesaleExtract!B:O,8,FALSE),"")</f>
        <v/>
      </c>
      <c r="J1965" s="26" t="str">
        <f>IFERROR(VLOOKUP(G1965,WholesaleExtract!B:O,14,FALSE),"")</f>
        <v/>
      </c>
      <c r="K1965" s="26" t="str">
        <f>IFERROR(VLOOKUP(G1965,WholesaleExtract!B:K,10,FALSE),"")</f>
        <v/>
      </c>
      <c r="L1965" s="47" t="str">
        <f>IFERROR(VLOOKUP(G1965,WholesaleExtract!B:L,11,FALSE),"")</f>
        <v/>
      </c>
      <c r="M1965" s="47" t="str">
        <f>IFERROR(VLOOKUP(G1965,WholesaleExtract!B:M,12,FALSE),"")</f>
        <v/>
      </c>
      <c r="R1965" s="19"/>
      <c r="S1965" s="19"/>
    </row>
    <row r="1966" spans="1:19" x14ac:dyDescent="0.35">
      <c r="A1966" s="26" t="s">
        <v>543</v>
      </c>
      <c r="B1966" s="26" t="s">
        <v>543</v>
      </c>
      <c r="C1966" s="26"/>
      <c r="D1966" s="26" t="s">
        <v>543</v>
      </c>
      <c r="E1966" s="26" t="str">
        <f>IFERROR(VLOOKUP(G1966,WholesaleExtract!B:J,9,FALSE),"")</f>
        <v/>
      </c>
      <c r="F1966" s="26" t="str">
        <f>IFERROR(VLOOKUP(G1966,WholesaleExtract!B:J,6,FALSE),"")</f>
        <v/>
      </c>
      <c r="H1966" s="47" t="str">
        <f>IFERROR(VLOOKUP(G1966,WholesaleExtract!B:L,11,FALSE),"")</f>
        <v/>
      </c>
      <c r="I1966" s="26" t="str">
        <f>IFERROR(VLOOKUP(G1966,WholesaleExtract!B:O,8,FALSE),"")</f>
        <v/>
      </c>
      <c r="J1966" s="26" t="str">
        <f>IFERROR(VLOOKUP(G1966,WholesaleExtract!B:O,14,FALSE),"")</f>
        <v/>
      </c>
      <c r="K1966" s="26" t="str">
        <f>IFERROR(VLOOKUP(G1966,WholesaleExtract!B:K,10,FALSE),"")</f>
        <v/>
      </c>
      <c r="L1966" s="47" t="str">
        <f>IFERROR(VLOOKUP(G1966,WholesaleExtract!B:L,11,FALSE),"")</f>
        <v/>
      </c>
      <c r="M1966" s="47" t="str">
        <f>IFERROR(VLOOKUP(G1966,WholesaleExtract!B:M,12,FALSE),"")</f>
        <v/>
      </c>
      <c r="R1966" s="19"/>
      <c r="S1966" s="19"/>
    </row>
    <row r="1967" spans="1:19" x14ac:dyDescent="0.35">
      <c r="A1967" s="26" t="s">
        <v>543</v>
      </c>
      <c r="B1967" s="26" t="s">
        <v>543</v>
      </c>
      <c r="C1967" s="26"/>
      <c r="D1967" s="26" t="s">
        <v>543</v>
      </c>
      <c r="E1967" s="26" t="str">
        <f>IFERROR(VLOOKUP(G1967,WholesaleExtract!B:J,9,FALSE),"")</f>
        <v/>
      </c>
      <c r="F1967" s="26" t="str">
        <f>IFERROR(VLOOKUP(G1967,WholesaleExtract!B:J,6,FALSE),"")</f>
        <v/>
      </c>
      <c r="H1967" s="47" t="str">
        <f>IFERROR(VLOOKUP(G1967,WholesaleExtract!B:L,11,FALSE),"")</f>
        <v/>
      </c>
      <c r="I1967" s="26" t="str">
        <f>IFERROR(VLOOKUP(G1967,WholesaleExtract!B:O,8,FALSE),"")</f>
        <v/>
      </c>
      <c r="J1967" s="26" t="str">
        <f>IFERROR(VLOOKUP(G1967,WholesaleExtract!B:O,14,FALSE),"")</f>
        <v/>
      </c>
      <c r="K1967" s="26" t="str">
        <f>IFERROR(VLOOKUP(G1967,WholesaleExtract!B:K,10,FALSE),"")</f>
        <v/>
      </c>
      <c r="L1967" s="47" t="str">
        <f>IFERROR(VLOOKUP(G1967,WholesaleExtract!B:L,11,FALSE),"")</f>
        <v/>
      </c>
      <c r="M1967" s="47" t="str">
        <f>IFERROR(VLOOKUP(G1967,WholesaleExtract!B:M,12,FALSE),"")</f>
        <v/>
      </c>
      <c r="R1967" s="19"/>
      <c r="S1967" s="19"/>
    </row>
    <row r="1968" spans="1:19" x14ac:dyDescent="0.35">
      <c r="A1968" s="26" t="s">
        <v>543</v>
      </c>
      <c r="B1968" s="26" t="s">
        <v>543</v>
      </c>
      <c r="C1968" s="26"/>
      <c r="D1968" s="26" t="s">
        <v>543</v>
      </c>
      <c r="E1968" s="26" t="str">
        <f>IFERROR(VLOOKUP(G1968,WholesaleExtract!B:J,9,FALSE),"")</f>
        <v/>
      </c>
      <c r="F1968" s="26" t="str">
        <f>IFERROR(VLOOKUP(G1968,WholesaleExtract!B:J,6,FALSE),"")</f>
        <v/>
      </c>
      <c r="H1968" s="47" t="str">
        <f>IFERROR(VLOOKUP(G1968,WholesaleExtract!B:L,11,FALSE),"")</f>
        <v/>
      </c>
      <c r="I1968" s="26" t="str">
        <f>IFERROR(VLOOKUP(G1968,WholesaleExtract!B:O,8,FALSE),"")</f>
        <v/>
      </c>
      <c r="J1968" s="26" t="str">
        <f>IFERROR(VLOOKUP(G1968,WholesaleExtract!B:O,14,FALSE),"")</f>
        <v/>
      </c>
      <c r="K1968" s="26" t="str">
        <f>IFERROR(VLOOKUP(G1968,WholesaleExtract!B:K,10,FALSE),"")</f>
        <v/>
      </c>
      <c r="L1968" s="47" t="str">
        <f>IFERROR(VLOOKUP(G1968,WholesaleExtract!B:L,11,FALSE),"")</f>
        <v/>
      </c>
      <c r="M1968" s="47" t="str">
        <f>IFERROR(VLOOKUP(G1968,WholesaleExtract!B:M,12,FALSE),"")</f>
        <v/>
      </c>
      <c r="R1968" s="19"/>
      <c r="S1968" s="19"/>
    </row>
    <row r="1969" spans="1:19" x14ac:dyDescent="0.35">
      <c r="A1969" s="26" t="s">
        <v>543</v>
      </c>
      <c r="B1969" s="26" t="s">
        <v>543</v>
      </c>
      <c r="C1969" s="26"/>
      <c r="D1969" s="26" t="s">
        <v>543</v>
      </c>
      <c r="E1969" s="26" t="str">
        <f>IFERROR(VLOOKUP(G1969,WholesaleExtract!B:J,9,FALSE),"")</f>
        <v/>
      </c>
      <c r="F1969" s="26" t="str">
        <f>IFERROR(VLOOKUP(G1969,WholesaleExtract!B:J,6,FALSE),"")</f>
        <v/>
      </c>
      <c r="H1969" s="47" t="str">
        <f>IFERROR(VLOOKUP(G1969,WholesaleExtract!B:L,11,FALSE),"")</f>
        <v/>
      </c>
      <c r="I1969" s="26" t="str">
        <f>IFERROR(VLOOKUP(G1969,WholesaleExtract!B:O,8,FALSE),"")</f>
        <v/>
      </c>
      <c r="J1969" s="26" t="str">
        <f>IFERROR(VLOOKUP(G1969,WholesaleExtract!B:O,14,FALSE),"")</f>
        <v/>
      </c>
      <c r="K1969" s="26" t="str">
        <f>IFERROR(VLOOKUP(G1969,WholesaleExtract!B:K,10,FALSE),"")</f>
        <v/>
      </c>
      <c r="L1969" s="47" t="str">
        <f>IFERROR(VLOOKUP(G1969,WholesaleExtract!B:L,11,FALSE),"")</f>
        <v/>
      </c>
      <c r="M1969" s="47" t="str">
        <f>IFERROR(VLOOKUP(G1969,WholesaleExtract!B:M,12,FALSE),"")</f>
        <v/>
      </c>
      <c r="R1969" s="19"/>
      <c r="S1969" s="19"/>
    </row>
    <row r="1970" spans="1:19" x14ac:dyDescent="0.35">
      <c r="A1970" s="26" t="s">
        <v>543</v>
      </c>
      <c r="B1970" s="26" t="s">
        <v>543</v>
      </c>
      <c r="C1970" s="26"/>
      <c r="D1970" s="26" t="s">
        <v>543</v>
      </c>
      <c r="E1970" s="26" t="str">
        <f>IFERROR(VLOOKUP(G1970,WholesaleExtract!B:J,9,FALSE),"")</f>
        <v/>
      </c>
      <c r="F1970" s="26" t="str">
        <f>IFERROR(VLOOKUP(G1970,WholesaleExtract!B:J,6,FALSE),"")</f>
        <v/>
      </c>
      <c r="H1970" s="47" t="str">
        <f>IFERROR(VLOOKUP(G1970,WholesaleExtract!B:L,11,FALSE),"")</f>
        <v/>
      </c>
      <c r="I1970" s="26" t="str">
        <f>IFERROR(VLOOKUP(G1970,WholesaleExtract!B:O,8,FALSE),"")</f>
        <v/>
      </c>
      <c r="J1970" s="26" t="str">
        <f>IFERROR(VLOOKUP(G1970,WholesaleExtract!B:O,14,FALSE),"")</f>
        <v/>
      </c>
      <c r="K1970" s="26" t="str">
        <f>IFERROR(VLOOKUP(G1970,WholesaleExtract!B:K,10,FALSE),"")</f>
        <v/>
      </c>
      <c r="L1970" s="47" t="str">
        <f>IFERROR(VLOOKUP(G1970,WholesaleExtract!B:L,11,FALSE),"")</f>
        <v/>
      </c>
      <c r="M1970" s="47" t="str">
        <f>IFERROR(VLOOKUP(G1970,WholesaleExtract!B:M,12,FALSE),"")</f>
        <v/>
      </c>
      <c r="R1970" s="19"/>
      <c r="S1970" s="19"/>
    </row>
    <row r="1971" spans="1:19" x14ac:dyDescent="0.35">
      <c r="A1971" s="26" t="s">
        <v>543</v>
      </c>
      <c r="B1971" s="26" t="s">
        <v>543</v>
      </c>
      <c r="C1971" s="26"/>
      <c r="D1971" s="26" t="s">
        <v>543</v>
      </c>
      <c r="E1971" s="26" t="str">
        <f>IFERROR(VLOOKUP(G1971,WholesaleExtract!B:J,9,FALSE),"")</f>
        <v/>
      </c>
      <c r="F1971" s="26" t="str">
        <f>IFERROR(VLOOKUP(G1971,WholesaleExtract!B:J,6,FALSE),"")</f>
        <v/>
      </c>
      <c r="H1971" s="47" t="str">
        <f>IFERROR(VLOOKUP(G1971,WholesaleExtract!B:L,11,FALSE),"")</f>
        <v/>
      </c>
      <c r="I1971" s="26" t="str">
        <f>IFERROR(VLOOKUP(G1971,WholesaleExtract!B:O,8,FALSE),"")</f>
        <v/>
      </c>
      <c r="J1971" s="26" t="str">
        <f>IFERROR(VLOOKUP(G1971,WholesaleExtract!B:O,14,FALSE),"")</f>
        <v/>
      </c>
      <c r="K1971" s="26" t="str">
        <f>IFERROR(VLOOKUP(G1971,WholesaleExtract!B:K,10,FALSE),"")</f>
        <v/>
      </c>
      <c r="L1971" s="47" t="str">
        <f>IFERROR(VLOOKUP(G1971,WholesaleExtract!B:L,11,FALSE),"")</f>
        <v/>
      </c>
      <c r="M1971" s="47" t="str">
        <f>IFERROR(VLOOKUP(G1971,WholesaleExtract!B:M,12,FALSE),"")</f>
        <v/>
      </c>
      <c r="R1971" s="19"/>
      <c r="S1971" s="19"/>
    </row>
    <row r="1972" spans="1:19" x14ac:dyDescent="0.35">
      <c r="A1972" s="26" t="s">
        <v>543</v>
      </c>
      <c r="B1972" s="26" t="s">
        <v>543</v>
      </c>
      <c r="C1972" s="26"/>
      <c r="D1972" s="26" t="s">
        <v>543</v>
      </c>
      <c r="E1972" s="26" t="str">
        <f>IFERROR(VLOOKUP(G1972,WholesaleExtract!B:J,9,FALSE),"")</f>
        <v/>
      </c>
      <c r="F1972" s="26" t="str">
        <f>IFERROR(VLOOKUP(G1972,WholesaleExtract!B:J,6,FALSE),"")</f>
        <v/>
      </c>
      <c r="H1972" s="47" t="str">
        <f>IFERROR(VLOOKUP(G1972,WholesaleExtract!B:L,11,FALSE),"")</f>
        <v/>
      </c>
      <c r="I1972" s="26" t="str">
        <f>IFERROR(VLOOKUP(G1972,WholesaleExtract!B:O,8,FALSE),"")</f>
        <v/>
      </c>
      <c r="J1972" s="26" t="str">
        <f>IFERROR(VLOOKUP(G1972,WholesaleExtract!B:O,14,FALSE),"")</f>
        <v/>
      </c>
      <c r="K1972" s="26" t="str">
        <f>IFERROR(VLOOKUP(G1972,WholesaleExtract!B:K,10,FALSE),"")</f>
        <v/>
      </c>
      <c r="L1972" s="47" t="str">
        <f>IFERROR(VLOOKUP(G1972,WholesaleExtract!B:L,11,FALSE),"")</f>
        <v/>
      </c>
      <c r="M1972" s="47" t="str">
        <f>IFERROR(VLOOKUP(G1972,WholesaleExtract!B:M,12,FALSE),"")</f>
        <v/>
      </c>
      <c r="R1972" s="19"/>
      <c r="S1972" s="19"/>
    </row>
    <row r="1973" spans="1:19" x14ac:dyDescent="0.35">
      <c r="A1973" s="26" t="s">
        <v>543</v>
      </c>
      <c r="B1973" s="26" t="s">
        <v>543</v>
      </c>
      <c r="C1973" s="26"/>
      <c r="D1973" s="26" t="s">
        <v>543</v>
      </c>
      <c r="E1973" s="26" t="str">
        <f>IFERROR(VLOOKUP(G1973,WholesaleExtract!B:J,9,FALSE),"")</f>
        <v/>
      </c>
      <c r="F1973" s="26" t="str">
        <f>IFERROR(VLOOKUP(G1973,WholesaleExtract!B:J,6,FALSE),"")</f>
        <v/>
      </c>
      <c r="H1973" s="47" t="str">
        <f>IFERROR(VLOOKUP(G1973,WholesaleExtract!B:L,11,FALSE),"")</f>
        <v/>
      </c>
      <c r="I1973" s="26" t="str">
        <f>IFERROR(VLOOKUP(G1973,WholesaleExtract!B:O,8,FALSE),"")</f>
        <v/>
      </c>
      <c r="J1973" s="26" t="str">
        <f>IFERROR(VLOOKUP(G1973,WholesaleExtract!B:O,14,FALSE),"")</f>
        <v/>
      </c>
      <c r="K1973" s="26" t="str">
        <f>IFERROR(VLOOKUP(G1973,WholesaleExtract!B:K,10,FALSE),"")</f>
        <v/>
      </c>
      <c r="L1973" s="47" t="str">
        <f>IFERROR(VLOOKUP(G1973,WholesaleExtract!B:L,11,FALSE),"")</f>
        <v/>
      </c>
      <c r="M1973" s="47" t="str">
        <f>IFERROR(VLOOKUP(G1973,WholesaleExtract!B:M,12,FALSE),"")</f>
        <v/>
      </c>
      <c r="R1973" s="19"/>
      <c r="S1973" s="19"/>
    </row>
    <row r="1974" spans="1:19" x14ac:dyDescent="0.35">
      <c r="A1974" s="26" t="s">
        <v>543</v>
      </c>
      <c r="B1974" s="26" t="s">
        <v>543</v>
      </c>
      <c r="C1974" s="26"/>
      <c r="D1974" s="26" t="s">
        <v>543</v>
      </c>
      <c r="E1974" s="26" t="str">
        <f>IFERROR(VLOOKUP(G1974,WholesaleExtract!B:J,9,FALSE),"")</f>
        <v/>
      </c>
      <c r="F1974" s="26" t="str">
        <f>IFERROR(VLOOKUP(G1974,WholesaleExtract!B:J,6,FALSE),"")</f>
        <v/>
      </c>
      <c r="H1974" s="47" t="str">
        <f>IFERROR(VLOOKUP(G1974,WholesaleExtract!B:L,11,FALSE),"")</f>
        <v/>
      </c>
      <c r="I1974" s="26" t="str">
        <f>IFERROR(VLOOKUP(G1974,WholesaleExtract!B:O,8,FALSE),"")</f>
        <v/>
      </c>
      <c r="J1974" s="26" t="str">
        <f>IFERROR(VLOOKUP(G1974,WholesaleExtract!B:O,14,FALSE),"")</f>
        <v/>
      </c>
      <c r="K1974" s="26" t="str">
        <f>IFERROR(VLOOKUP(G1974,WholesaleExtract!B:K,10,FALSE),"")</f>
        <v/>
      </c>
      <c r="L1974" s="47" t="str">
        <f>IFERROR(VLOOKUP(G1974,WholesaleExtract!B:L,11,FALSE),"")</f>
        <v/>
      </c>
      <c r="M1974" s="47" t="str">
        <f>IFERROR(VLOOKUP(G1974,WholesaleExtract!B:M,12,FALSE),"")</f>
        <v/>
      </c>
      <c r="R1974" s="19"/>
      <c r="S1974" s="19"/>
    </row>
    <row r="1975" spans="1:19" x14ac:dyDescent="0.35">
      <c r="A1975" s="26" t="s">
        <v>543</v>
      </c>
      <c r="B1975" s="26" t="s">
        <v>543</v>
      </c>
      <c r="C1975" s="26"/>
      <c r="D1975" s="26" t="s">
        <v>543</v>
      </c>
      <c r="E1975" s="26" t="str">
        <f>IFERROR(VLOOKUP(G1975,WholesaleExtract!B:J,9,FALSE),"")</f>
        <v/>
      </c>
      <c r="F1975" s="26" t="str">
        <f>IFERROR(VLOOKUP(G1975,WholesaleExtract!B:J,6,FALSE),"")</f>
        <v/>
      </c>
      <c r="H1975" s="47" t="str">
        <f>IFERROR(VLOOKUP(G1975,WholesaleExtract!B:L,11,FALSE),"")</f>
        <v/>
      </c>
      <c r="I1975" s="26" t="str">
        <f>IFERROR(VLOOKUP(G1975,WholesaleExtract!B:O,8,FALSE),"")</f>
        <v/>
      </c>
      <c r="J1975" s="26" t="str">
        <f>IFERROR(VLOOKUP(G1975,WholesaleExtract!B:O,14,FALSE),"")</f>
        <v/>
      </c>
      <c r="K1975" s="26" t="str">
        <f>IFERROR(VLOOKUP(G1975,WholesaleExtract!B:K,10,FALSE),"")</f>
        <v/>
      </c>
      <c r="L1975" s="47" t="str">
        <f>IFERROR(VLOOKUP(G1975,WholesaleExtract!B:L,11,FALSE),"")</f>
        <v/>
      </c>
      <c r="M1975" s="47" t="str">
        <f>IFERROR(VLOOKUP(G1975,WholesaleExtract!B:M,12,FALSE),"")</f>
        <v/>
      </c>
      <c r="R1975" s="19"/>
      <c r="S1975" s="19"/>
    </row>
    <row r="1976" spans="1:19" x14ac:dyDescent="0.35">
      <c r="A1976" s="26" t="s">
        <v>543</v>
      </c>
      <c r="B1976" s="26" t="s">
        <v>543</v>
      </c>
      <c r="C1976" s="26"/>
      <c r="D1976" s="26" t="s">
        <v>543</v>
      </c>
      <c r="E1976" s="26" t="str">
        <f>IFERROR(VLOOKUP(G1976,WholesaleExtract!B:J,9,FALSE),"")</f>
        <v/>
      </c>
      <c r="F1976" s="26" t="str">
        <f>IFERROR(VLOOKUP(G1976,WholesaleExtract!B:J,6,FALSE),"")</f>
        <v/>
      </c>
      <c r="H1976" s="47" t="str">
        <f>IFERROR(VLOOKUP(G1976,WholesaleExtract!B:L,11,FALSE),"")</f>
        <v/>
      </c>
      <c r="I1976" s="26" t="str">
        <f>IFERROR(VLOOKUP(G1976,WholesaleExtract!B:O,8,FALSE),"")</f>
        <v/>
      </c>
      <c r="J1976" s="26" t="str">
        <f>IFERROR(VLOOKUP(G1976,WholesaleExtract!B:O,14,FALSE),"")</f>
        <v/>
      </c>
      <c r="K1976" s="26" t="str">
        <f>IFERROR(VLOOKUP(G1976,WholesaleExtract!B:K,10,FALSE),"")</f>
        <v/>
      </c>
      <c r="L1976" s="47" t="str">
        <f>IFERROR(VLOOKUP(G1976,WholesaleExtract!B:L,11,FALSE),"")</f>
        <v/>
      </c>
      <c r="M1976" s="47" t="str">
        <f>IFERROR(VLOOKUP(G1976,WholesaleExtract!B:M,12,FALSE),"")</f>
        <v/>
      </c>
      <c r="R1976" s="19"/>
      <c r="S1976" s="19"/>
    </row>
    <row r="1977" spans="1:19" x14ac:dyDescent="0.35">
      <c r="A1977" s="26" t="s">
        <v>543</v>
      </c>
      <c r="B1977" s="26" t="s">
        <v>543</v>
      </c>
      <c r="C1977" s="26"/>
      <c r="D1977" s="26" t="s">
        <v>543</v>
      </c>
      <c r="E1977" s="26" t="str">
        <f>IFERROR(VLOOKUP(G1977,WholesaleExtract!B:J,9,FALSE),"")</f>
        <v/>
      </c>
      <c r="F1977" s="26" t="str">
        <f>IFERROR(VLOOKUP(G1977,WholesaleExtract!B:J,6,FALSE),"")</f>
        <v/>
      </c>
      <c r="H1977" s="47" t="str">
        <f>IFERROR(VLOOKUP(G1977,WholesaleExtract!B:L,11,FALSE),"")</f>
        <v/>
      </c>
      <c r="I1977" s="26" t="str">
        <f>IFERROR(VLOOKUP(G1977,WholesaleExtract!B:O,8,FALSE),"")</f>
        <v/>
      </c>
      <c r="J1977" s="26" t="str">
        <f>IFERROR(VLOOKUP(G1977,WholesaleExtract!B:O,14,FALSE),"")</f>
        <v/>
      </c>
      <c r="K1977" s="26" t="str">
        <f>IFERROR(VLOOKUP(G1977,WholesaleExtract!B:K,10,FALSE),"")</f>
        <v/>
      </c>
      <c r="L1977" s="47" t="str">
        <f>IFERROR(VLOOKUP(G1977,WholesaleExtract!B:L,11,FALSE),"")</f>
        <v/>
      </c>
      <c r="M1977" s="47" t="str">
        <f>IFERROR(VLOOKUP(G1977,WholesaleExtract!B:M,12,FALSE),"")</f>
        <v/>
      </c>
      <c r="R1977" s="19"/>
      <c r="S1977" s="19"/>
    </row>
    <row r="1978" spans="1:19" x14ac:dyDescent="0.35">
      <c r="A1978" s="26" t="s">
        <v>543</v>
      </c>
      <c r="B1978" s="26" t="s">
        <v>543</v>
      </c>
      <c r="C1978" s="26"/>
      <c r="D1978" s="26" t="s">
        <v>543</v>
      </c>
      <c r="E1978" s="26" t="str">
        <f>IFERROR(VLOOKUP(G1978,WholesaleExtract!B:J,9,FALSE),"")</f>
        <v/>
      </c>
      <c r="F1978" s="26" t="str">
        <f>IFERROR(VLOOKUP(G1978,WholesaleExtract!B:J,6,FALSE),"")</f>
        <v/>
      </c>
      <c r="H1978" s="47" t="str">
        <f>IFERROR(VLOOKUP(G1978,WholesaleExtract!B:L,11,FALSE),"")</f>
        <v/>
      </c>
      <c r="I1978" s="26" t="str">
        <f>IFERROR(VLOOKUP(G1978,WholesaleExtract!B:O,8,FALSE),"")</f>
        <v/>
      </c>
      <c r="J1978" s="26" t="str">
        <f>IFERROR(VLOOKUP(G1978,WholesaleExtract!B:O,14,FALSE),"")</f>
        <v/>
      </c>
      <c r="K1978" s="26" t="str">
        <f>IFERROR(VLOOKUP(G1978,WholesaleExtract!B:K,10,FALSE),"")</f>
        <v/>
      </c>
      <c r="L1978" s="47" t="str">
        <f>IFERROR(VLOOKUP(G1978,WholesaleExtract!B:L,11,FALSE),"")</f>
        <v/>
      </c>
      <c r="M1978" s="47" t="str">
        <f>IFERROR(VLOOKUP(G1978,WholesaleExtract!B:M,12,FALSE),"")</f>
        <v/>
      </c>
      <c r="R1978" s="19"/>
      <c r="S1978" s="19"/>
    </row>
    <row r="1979" spans="1:19" x14ac:dyDescent="0.35">
      <c r="A1979" s="26" t="s">
        <v>543</v>
      </c>
      <c r="B1979" s="26" t="s">
        <v>543</v>
      </c>
      <c r="C1979" s="26"/>
      <c r="D1979" s="26" t="s">
        <v>543</v>
      </c>
      <c r="E1979" s="26" t="str">
        <f>IFERROR(VLOOKUP(G1979,WholesaleExtract!B:J,9,FALSE),"")</f>
        <v/>
      </c>
      <c r="F1979" s="26" t="str">
        <f>IFERROR(VLOOKUP(G1979,WholesaleExtract!B:J,6,FALSE),"")</f>
        <v/>
      </c>
      <c r="H1979" s="47" t="str">
        <f>IFERROR(VLOOKUP(G1979,WholesaleExtract!B:L,11,FALSE),"")</f>
        <v/>
      </c>
      <c r="I1979" s="26" t="str">
        <f>IFERROR(VLOOKUP(G1979,WholesaleExtract!B:O,8,FALSE),"")</f>
        <v/>
      </c>
      <c r="J1979" s="26" t="str">
        <f>IFERROR(VLOOKUP(G1979,WholesaleExtract!B:O,14,FALSE),"")</f>
        <v/>
      </c>
      <c r="K1979" s="26" t="str">
        <f>IFERROR(VLOOKUP(G1979,WholesaleExtract!B:K,10,FALSE),"")</f>
        <v/>
      </c>
      <c r="L1979" s="47" t="str">
        <f>IFERROR(VLOOKUP(G1979,WholesaleExtract!B:L,11,FALSE),"")</f>
        <v/>
      </c>
      <c r="M1979" s="47" t="str">
        <f>IFERROR(VLOOKUP(G1979,WholesaleExtract!B:M,12,FALSE),"")</f>
        <v/>
      </c>
      <c r="R1979" s="19"/>
      <c r="S1979" s="19"/>
    </row>
    <row r="1980" spans="1:19" x14ac:dyDescent="0.35">
      <c r="A1980" s="26" t="s">
        <v>543</v>
      </c>
      <c r="B1980" s="26" t="s">
        <v>543</v>
      </c>
      <c r="C1980" s="26"/>
      <c r="D1980" s="26" t="s">
        <v>543</v>
      </c>
      <c r="E1980" s="26" t="str">
        <f>IFERROR(VLOOKUP(G1980,WholesaleExtract!B:J,9,FALSE),"")</f>
        <v/>
      </c>
      <c r="F1980" s="26" t="str">
        <f>IFERROR(VLOOKUP(G1980,WholesaleExtract!B:J,6,FALSE),"")</f>
        <v/>
      </c>
      <c r="H1980" s="47" t="str">
        <f>IFERROR(VLOOKUP(G1980,WholesaleExtract!B:L,11,FALSE),"")</f>
        <v/>
      </c>
      <c r="I1980" s="26" t="str">
        <f>IFERROR(VLOOKUP(G1980,WholesaleExtract!B:O,8,FALSE),"")</f>
        <v/>
      </c>
      <c r="J1980" s="26" t="str">
        <f>IFERROR(VLOOKUP(G1980,WholesaleExtract!B:O,14,FALSE),"")</f>
        <v/>
      </c>
      <c r="K1980" s="26" t="str">
        <f>IFERROR(VLOOKUP(G1980,WholesaleExtract!B:K,10,FALSE),"")</f>
        <v/>
      </c>
      <c r="L1980" s="47" t="str">
        <f>IFERROR(VLOOKUP(G1980,WholesaleExtract!B:L,11,FALSE),"")</f>
        <v/>
      </c>
      <c r="M1980" s="47" t="str">
        <f>IFERROR(VLOOKUP(G1980,WholesaleExtract!B:M,12,FALSE),"")</f>
        <v/>
      </c>
      <c r="R1980" s="19"/>
      <c r="S1980" s="19"/>
    </row>
    <row r="1981" spans="1:19" x14ac:dyDescent="0.35">
      <c r="A1981" s="26" t="s">
        <v>543</v>
      </c>
      <c r="B1981" s="26" t="s">
        <v>543</v>
      </c>
      <c r="C1981" s="26"/>
      <c r="D1981" s="26" t="s">
        <v>543</v>
      </c>
      <c r="E1981" s="26" t="str">
        <f>IFERROR(VLOOKUP(G1981,WholesaleExtract!B:J,9,FALSE),"")</f>
        <v/>
      </c>
      <c r="F1981" s="26" t="str">
        <f>IFERROR(VLOOKUP(G1981,WholesaleExtract!B:J,6,FALSE),"")</f>
        <v/>
      </c>
      <c r="H1981" s="47" t="str">
        <f>IFERROR(VLOOKUP(G1981,WholesaleExtract!B:L,11,FALSE),"")</f>
        <v/>
      </c>
      <c r="I1981" s="26" t="str">
        <f>IFERROR(VLOOKUP(G1981,WholesaleExtract!B:O,8,FALSE),"")</f>
        <v/>
      </c>
      <c r="J1981" s="26" t="str">
        <f>IFERROR(VLOOKUP(G1981,WholesaleExtract!B:O,14,FALSE),"")</f>
        <v/>
      </c>
      <c r="K1981" s="26" t="str">
        <f>IFERROR(VLOOKUP(G1981,WholesaleExtract!B:K,10,FALSE),"")</f>
        <v/>
      </c>
      <c r="L1981" s="47" t="str">
        <f>IFERROR(VLOOKUP(G1981,WholesaleExtract!B:L,11,FALSE),"")</f>
        <v/>
      </c>
      <c r="M1981" s="47" t="str">
        <f>IFERROR(VLOOKUP(G1981,WholesaleExtract!B:M,12,FALSE),"")</f>
        <v/>
      </c>
      <c r="R1981" s="19"/>
      <c r="S1981" s="19"/>
    </row>
    <row r="1982" spans="1:19" x14ac:dyDescent="0.35">
      <c r="A1982" s="26" t="s">
        <v>543</v>
      </c>
      <c r="B1982" s="26" t="s">
        <v>543</v>
      </c>
      <c r="C1982" s="26"/>
      <c r="D1982" s="26" t="s">
        <v>543</v>
      </c>
      <c r="E1982" s="26" t="str">
        <f>IFERROR(VLOOKUP(G1982,WholesaleExtract!B:J,9,FALSE),"")</f>
        <v/>
      </c>
      <c r="F1982" s="26" t="str">
        <f>IFERROR(VLOOKUP(G1982,WholesaleExtract!B:J,6,FALSE),"")</f>
        <v/>
      </c>
      <c r="H1982" s="47" t="str">
        <f>IFERROR(VLOOKUP(G1982,WholesaleExtract!B:L,11,FALSE),"")</f>
        <v/>
      </c>
      <c r="I1982" s="26" t="str">
        <f>IFERROR(VLOOKUP(G1982,WholesaleExtract!B:O,8,FALSE),"")</f>
        <v/>
      </c>
      <c r="J1982" s="26" t="str">
        <f>IFERROR(VLOOKUP(G1982,WholesaleExtract!B:O,14,FALSE),"")</f>
        <v/>
      </c>
      <c r="K1982" s="26" t="str">
        <f>IFERROR(VLOOKUP(G1982,WholesaleExtract!B:K,10,FALSE),"")</f>
        <v/>
      </c>
      <c r="L1982" s="47" t="str">
        <f>IFERROR(VLOOKUP(G1982,WholesaleExtract!B:L,11,FALSE),"")</f>
        <v/>
      </c>
      <c r="M1982" s="47" t="str">
        <f>IFERROR(VLOOKUP(G1982,WholesaleExtract!B:M,12,FALSE),"")</f>
        <v/>
      </c>
      <c r="R1982" s="19"/>
      <c r="S1982" s="19"/>
    </row>
    <row r="1983" spans="1:19" x14ac:dyDescent="0.35">
      <c r="A1983" s="26" t="s">
        <v>543</v>
      </c>
      <c r="B1983" s="26" t="s">
        <v>543</v>
      </c>
      <c r="C1983" s="26"/>
      <c r="D1983" s="26" t="s">
        <v>543</v>
      </c>
      <c r="E1983" s="26" t="str">
        <f>IFERROR(VLOOKUP(G1983,WholesaleExtract!B:J,9,FALSE),"")</f>
        <v/>
      </c>
      <c r="F1983" s="26" t="str">
        <f>IFERROR(VLOOKUP(G1983,WholesaleExtract!B:J,6,FALSE),"")</f>
        <v/>
      </c>
      <c r="H1983" s="47" t="str">
        <f>IFERROR(VLOOKUP(G1983,WholesaleExtract!B:L,11,FALSE),"")</f>
        <v/>
      </c>
      <c r="I1983" s="26" t="str">
        <f>IFERROR(VLOOKUP(G1983,WholesaleExtract!B:O,8,FALSE),"")</f>
        <v/>
      </c>
      <c r="J1983" s="26" t="str">
        <f>IFERROR(VLOOKUP(G1983,WholesaleExtract!B:O,14,FALSE),"")</f>
        <v/>
      </c>
      <c r="K1983" s="26" t="str">
        <f>IFERROR(VLOOKUP(G1983,WholesaleExtract!B:K,10,FALSE),"")</f>
        <v/>
      </c>
      <c r="L1983" s="47" t="str">
        <f>IFERROR(VLOOKUP(G1983,WholesaleExtract!B:L,11,FALSE),"")</f>
        <v/>
      </c>
      <c r="M1983" s="47" t="str">
        <f>IFERROR(VLOOKUP(G1983,WholesaleExtract!B:M,12,FALSE),"")</f>
        <v/>
      </c>
      <c r="R1983" s="19"/>
      <c r="S1983" s="19"/>
    </row>
    <row r="1984" spans="1:19" x14ac:dyDescent="0.35">
      <c r="A1984" s="26" t="s">
        <v>543</v>
      </c>
      <c r="B1984" s="26" t="s">
        <v>543</v>
      </c>
      <c r="C1984" s="26"/>
      <c r="D1984" s="26" t="s">
        <v>543</v>
      </c>
      <c r="E1984" s="26" t="str">
        <f>IFERROR(VLOOKUP(G1984,WholesaleExtract!B:J,9,FALSE),"")</f>
        <v/>
      </c>
      <c r="F1984" s="26" t="str">
        <f>IFERROR(VLOOKUP(G1984,WholesaleExtract!B:J,6,FALSE),"")</f>
        <v/>
      </c>
      <c r="H1984" s="47" t="str">
        <f>IFERROR(VLOOKUP(G1984,WholesaleExtract!B:L,11,FALSE),"")</f>
        <v/>
      </c>
      <c r="I1984" s="26" t="str">
        <f>IFERROR(VLOOKUP(G1984,WholesaleExtract!B:O,8,FALSE),"")</f>
        <v/>
      </c>
      <c r="J1984" s="26" t="str">
        <f>IFERROR(VLOOKUP(G1984,WholesaleExtract!B:O,14,FALSE),"")</f>
        <v/>
      </c>
      <c r="K1984" s="26" t="str">
        <f>IFERROR(VLOOKUP(G1984,WholesaleExtract!B:K,10,FALSE),"")</f>
        <v/>
      </c>
      <c r="L1984" s="47" t="str">
        <f>IFERROR(VLOOKUP(G1984,WholesaleExtract!B:L,11,FALSE),"")</f>
        <v/>
      </c>
      <c r="M1984" s="47" t="str">
        <f>IFERROR(VLOOKUP(G1984,WholesaleExtract!B:M,12,FALSE),"")</f>
        <v/>
      </c>
      <c r="R1984" s="19"/>
      <c r="S1984" s="19"/>
    </row>
    <row r="1985" spans="1:19" x14ac:dyDescent="0.35">
      <c r="A1985" s="26" t="s">
        <v>543</v>
      </c>
      <c r="B1985" s="26" t="s">
        <v>543</v>
      </c>
      <c r="C1985" s="26"/>
      <c r="D1985" s="26" t="s">
        <v>543</v>
      </c>
      <c r="E1985" s="26" t="str">
        <f>IFERROR(VLOOKUP(G1985,WholesaleExtract!B:J,9,FALSE),"")</f>
        <v/>
      </c>
      <c r="F1985" s="26" t="str">
        <f>IFERROR(VLOOKUP(G1985,WholesaleExtract!B:J,6,FALSE),"")</f>
        <v/>
      </c>
      <c r="H1985" s="47" t="str">
        <f>IFERROR(VLOOKUP(G1985,WholesaleExtract!B:L,11,FALSE),"")</f>
        <v/>
      </c>
      <c r="I1985" s="26" t="str">
        <f>IFERROR(VLOOKUP(G1985,WholesaleExtract!B:O,8,FALSE),"")</f>
        <v/>
      </c>
      <c r="J1985" s="26" t="str">
        <f>IFERROR(VLOOKUP(G1985,WholesaleExtract!B:O,14,FALSE),"")</f>
        <v/>
      </c>
      <c r="K1985" s="26" t="str">
        <f>IFERROR(VLOOKUP(G1985,WholesaleExtract!B:K,10,FALSE),"")</f>
        <v/>
      </c>
      <c r="L1985" s="47" t="str">
        <f>IFERROR(VLOOKUP(G1985,WholesaleExtract!B:L,11,FALSE),"")</f>
        <v/>
      </c>
      <c r="M1985" s="47" t="str">
        <f>IFERROR(VLOOKUP(G1985,WholesaleExtract!B:M,12,FALSE),"")</f>
        <v/>
      </c>
      <c r="R1985" s="19"/>
      <c r="S1985" s="19"/>
    </row>
    <row r="1986" spans="1:19" x14ac:dyDescent="0.35">
      <c r="A1986" s="26" t="s">
        <v>543</v>
      </c>
      <c r="B1986" s="26" t="s">
        <v>543</v>
      </c>
      <c r="C1986" s="26"/>
      <c r="D1986" s="26" t="s">
        <v>543</v>
      </c>
      <c r="E1986" s="26" t="str">
        <f>IFERROR(VLOOKUP(G1986,WholesaleExtract!B:J,9,FALSE),"")</f>
        <v/>
      </c>
      <c r="F1986" s="26" t="str">
        <f>IFERROR(VLOOKUP(G1986,WholesaleExtract!B:J,6,FALSE),"")</f>
        <v/>
      </c>
      <c r="H1986" s="47" t="str">
        <f>IFERROR(VLOOKUP(G1986,WholesaleExtract!B:L,11,FALSE),"")</f>
        <v/>
      </c>
      <c r="I1986" s="26" t="str">
        <f>IFERROR(VLOOKUP(G1986,WholesaleExtract!B:O,8,FALSE),"")</f>
        <v/>
      </c>
      <c r="J1986" s="26" t="str">
        <f>IFERROR(VLOOKUP(G1986,WholesaleExtract!B:O,14,FALSE),"")</f>
        <v/>
      </c>
      <c r="K1986" s="26" t="str">
        <f>IFERROR(VLOOKUP(G1986,WholesaleExtract!B:K,10,FALSE),"")</f>
        <v/>
      </c>
      <c r="L1986" s="47" t="str">
        <f>IFERROR(VLOOKUP(G1986,WholesaleExtract!B:L,11,FALSE),"")</f>
        <v/>
      </c>
      <c r="M1986" s="47" t="str">
        <f>IFERROR(VLOOKUP(G1986,WholesaleExtract!B:M,12,FALSE),"")</f>
        <v/>
      </c>
      <c r="R1986" s="19"/>
      <c r="S1986" s="19"/>
    </row>
    <row r="1987" spans="1:19" x14ac:dyDescent="0.35">
      <c r="A1987" s="26" t="s">
        <v>543</v>
      </c>
      <c r="B1987" s="26" t="s">
        <v>543</v>
      </c>
      <c r="C1987" s="26"/>
      <c r="D1987" s="26" t="s">
        <v>543</v>
      </c>
      <c r="E1987" s="26" t="str">
        <f>IFERROR(VLOOKUP(G1987,WholesaleExtract!B:J,9,FALSE),"")</f>
        <v/>
      </c>
      <c r="F1987" s="26" t="str">
        <f>IFERROR(VLOOKUP(G1987,WholesaleExtract!B:J,6,FALSE),"")</f>
        <v/>
      </c>
      <c r="H1987" s="47" t="str">
        <f>IFERROR(VLOOKUP(G1987,WholesaleExtract!B:L,11,FALSE),"")</f>
        <v/>
      </c>
      <c r="I1987" s="26" t="str">
        <f>IFERROR(VLOOKUP(G1987,WholesaleExtract!B:O,8,FALSE),"")</f>
        <v/>
      </c>
      <c r="J1987" s="26" t="str">
        <f>IFERROR(VLOOKUP(G1987,WholesaleExtract!B:O,14,FALSE),"")</f>
        <v/>
      </c>
      <c r="K1987" s="26" t="str">
        <f>IFERROR(VLOOKUP(G1987,WholesaleExtract!B:K,10,FALSE),"")</f>
        <v/>
      </c>
      <c r="L1987" s="47" t="str">
        <f>IFERROR(VLOOKUP(G1987,WholesaleExtract!B:L,11,FALSE),"")</f>
        <v/>
      </c>
      <c r="M1987" s="47" t="str">
        <f>IFERROR(VLOOKUP(G1987,WholesaleExtract!B:M,12,FALSE),"")</f>
        <v/>
      </c>
      <c r="R1987" s="19"/>
      <c r="S1987" s="19"/>
    </row>
    <row r="1988" spans="1:19" x14ac:dyDescent="0.35">
      <c r="A1988" s="26" t="s">
        <v>543</v>
      </c>
      <c r="B1988" s="26" t="s">
        <v>543</v>
      </c>
      <c r="C1988" s="26"/>
      <c r="D1988" s="26" t="s">
        <v>543</v>
      </c>
      <c r="E1988" s="26" t="str">
        <f>IFERROR(VLOOKUP(G1988,WholesaleExtract!B:J,9,FALSE),"")</f>
        <v/>
      </c>
      <c r="F1988" s="26" t="str">
        <f>IFERROR(VLOOKUP(G1988,WholesaleExtract!B:J,6,FALSE),"")</f>
        <v/>
      </c>
      <c r="H1988" s="47" t="str">
        <f>IFERROR(VLOOKUP(G1988,WholesaleExtract!B:L,11,FALSE),"")</f>
        <v/>
      </c>
      <c r="I1988" s="26" t="str">
        <f>IFERROR(VLOOKUP(G1988,WholesaleExtract!B:O,8,FALSE),"")</f>
        <v/>
      </c>
      <c r="J1988" s="26" t="str">
        <f>IFERROR(VLOOKUP(G1988,WholesaleExtract!B:O,14,FALSE),"")</f>
        <v/>
      </c>
      <c r="K1988" s="26" t="str">
        <f>IFERROR(VLOOKUP(G1988,WholesaleExtract!B:K,10,FALSE),"")</f>
        <v/>
      </c>
      <c r="L1988" s="47" t="str">
        <f>IFERROR(VLOOKUP(G1988,WholesaleExtract!B:L,11,FALSE),"")</f>
        <v/>
      </c>
      <c r="M1988" s="47" t="str">
        <f>IFERROR(VLOOKUP(G1988,WholesaleExtract!B:M,12,FALSE),"")</f>
        <v/>
      </c>
      <c r="R1988" s="19"/>
      <c r="S1988" s="19"/>
    </row>
    <row r="1989" spans="1:19" x14ac:dyDescent="0.35">
      <c r="A1989" s="26" t="s">
        <v>543</v>
      </c>
      <c r="B1989" s="26" t="s">
        <v>543</v>
      </c>
      <c r="C1989" s="26"/>
      <c r="D1989" s="26" t="s">
        <v>543</v>
      </c>
      <c r="E1989" s="26" t="str">
        <f>IFERROR(VLOOKUP(G1989,WholesaleExtract!B:J,9,FALSE),"")</f>
        <v/>
      </c>
      <c r="F1989" s="26" t="str">
        <f>IFERROR(VLOOKUP(G1989,WholesaleExtract!B:J,6,FALSE),"")</f>
        <v/>
      </c>
      <c r="H1989" s="47" t="str">
        <f>IFERROR(VLOOKUP(G1989,WholesaleExtract!B:L,11,FALSE),"")</f>
        <v/>
      </c>
      <c r="I1989" s="26" t="str">
        <f>IFERROR(VLOOKUP(G1989,WholesaleExtract!B:O,8,FALSE),"")</f>
        <v/>
      </c>
      <c r="J1989" s="26" t="str">
        <f>IFERROR(VLOOKUP(G1989,WholesaleExtract!B:O,14,FALSE),"")</f>
        <v/>
      </c>
      <c r="K1989" s="26" t="str">
        <f>IFERROR(VLOOKUP(G1989,WholesaleExtract!B:K,10,FALSE),"")</f>
        <v/>
      </c>
      <c r="L1989" s="47" t="str">
        <f>IFERROR(VLOOKUP(G1989,WholesaleExtract!B:L,11,FALSE),"")</f>
        <v/>
      </c>
      <c r="M1989" s="47" t="str">
        <f>IFERROR(VLOOKUP(G1989,WholesaleExtract!B:M,12,FALSE),"")</f>
        <v/>
      </c>
      <c r="R1989" s="19"/>
      <c r="S1989" s="19"/>
    </row>
    <row r="1990" spans="1:19" x14ac:dyDescent="0.35">
      <c r="A1990" s="26" t="s">
        <v>543</v>
      </c>
      <c r="B1990" s="26" t="s">
        <v>543</v>
      </c>
      <c r="C1990" s="26"/>
      <c r="D1990" s="26" t="s">
        <v>543</v>
      </c>
      <c r="E1990" s="26" t="str">
        <f>IFERROR(VLOOKUP(G1990,WholesaleExtract!B:J,9,FALSE),"")</f>
        <v/>
      </c>
      <c r="F1990" s="26" t="str">
        <f>IFERROR(VLOOKUP(G1990,WholesaleExtract!B:J,6,FALSE),"")</f>
        <v/>
      </c>
      <c r="H1990" s="47" t="str">
        <f>IFERROR(VLOOKUP(G1990,WholesaleExtract!B:L,11,FALSE),"")</f>
        <v/>
      </c>
      <c r="I1990" s="26" t="str">
        <f>IFERROR(VLOOKUP(G1990,WholesaleExtract!B:O,8,FALSE),"")</f>
        <v/>
      </c>
      <c r="J1990" s="26" t="str">
        <f>IFERROR(VLOOKUP(G1990,WholesaleExtract!B:O,14,FALSE),"")</f>
        <v/>
      </c>
      <c r="K1990" s="26" t="str">
        <f>IFERROR(VLOOKUP(G1990,WholesaleExtract!B:K,10,FALSE),"")</f>
        <v/>
      </c>
      <c r="L1990" s="47" t="str">
        <f>IFERROR(VLOOKUP(G1990,WholesaleExtract!B:L,11,FALSE),"")</f>
        <v/>
      </c>
      <c r="M1990" s="47" t="str">
        <f>IFERROR(VLOOKUP(G1990,WholesaleExtract!B:M,12,FALSE),"")</f>
        <v/>
      </c>
      <c r="R1990" s="19"/>
      <c r="S1990" s="19"/>
    </row>
    <row r="1991" spans="1:19" x14ac:dyDescent="0.35">
      <c r="A1991" s="26" t="s">
        <v>543</v>
      </c>
      <c r="B1991" s="26" t="s">
        <v>543</v>
      </c>
      <c r="C1991" s="26"/>
      <c r="D1991" s="26" t="s">
        <v>543</v>
      </c>
      <c r="E1991" s="26" t="str">
        <f>IFERROR(VLOOKUP(G1991,WholesaleExtract!B:J,9,FALSE),"")</f>
        <v/>
      </c>
      <c r="F1991" s="26" t="str">
        <f>IFERROR(VLOOKUP(G1991,WholesaleExtract!B:J,6,FALSE),"")</f>
        <v/>
      </c>
      <c r="H1991" s="47" t="str">
        <f>IFERROR(VLOOKUP(G1991,WholesaleExtract!B:L,11,FALSE),"")</f>
        <v/>
      </c>
      <c r="I1991" s="26" t="str">
        <f>IFERROR(VLOOKUP(G1991,WholesaleExtract!B:O,8,FALSE),"")</f>
        <v/>
      </c>
      <c r="J1991" s="26" t="str">
        <f>IFERROR(VLOOKUP(G1991,WholesaleExtract!B:O,14,FALSE),"")</f>
        <v/>
      </c>
      <c r="K1991" s="26" t="str">
        <f>IFERROR(VLOOKUP(G1991,WholesaleExtract!B:K,10,FALSE),"")</f>
        <v/>
      </c>
      <c r="L1991" s="47" t="str">
        <f>IFERROR(VLOOKUP(G1991,WholesaleExtract!B:L,11,FALSE),"")</f>
        <v/>
      </c>
      <c r="M1991" s="47" t="str">
        <f>IFERROR(VLOOKUP(G1991,WholesaleExtract!B:M,12,FALSE),"")</f>
        <v/>
      </c>
      <c r="R1991" s="19"/>
      <c r="S1991" s="19"/>
    </row>
    <row r="1992" spans="1:19" x14ac:dyDescent="0.35">
      <c r="A1992" s="26" t="s">
        <v>543</v>
      </c>
      <c r="B1992" s="26" t="s">
        <v>543</v>
      </c>
      <c r="C1992" s="26"/>
      <c r="D1992" s="26" t="s">
        <v>543</v>
      </c>
      <c r="E1992" s="26" t="str">
        <f>IFERROR(VLOOKUP(G1992,WholesaleExtract!B:J,9,FALSE),"")</f>
        <v/>
      </c>
      <c r="F1992" s="26" t="str">
        <f>IFERROR(VLOOKUP(G1992,WholesaleExtract!B:J,6,FALSE),"")</f>
        <v/>
      </c>
      <c r="H1992" s="47" t="str">
        <f>IFERROR(VLOOKUP(G1992,WholesaleExtract!B:L,11,FALSE),"")</f>
        <v/>
      </c>
      <c r="I1992" s="26" t="str">
        <f>IFERROR(VLOOKUP(G1992,WholesaleExtract!B:O,8,FALSE),"")</f>
        <v/>
      </c>
      <c r="J1992" s="26" t="str">
        <f>IFERROR(VLOOKUP(G1992,WholesaleExtract!B:O,14,FALSE),"")</f>
        <v/>
      </c>
      <c r="K1992" s="26" t="str">
        <f>IFERROR(VLOOKUP(G1992,WholesaleExtract!B:K,10,FALSE),"")</f>
        <v/>
      </c>
      <c r="L1992" s="47" t="str">
        <f>IFERROR(VLOOKUP(G1992,WholesaleExtract!B:L,11,FALSE),"")</f>
        <v/>
      </c>
      <c r="M1992" s="47" t="str">
        <f>IFERROR(VLOOKUP(G1992,WholesaleExtract!B:M,12,FALSE),"")</f>
        <v/>
      </c>
      <c r="R1992" s="19"/>
      <c r="S1992" s="19"/>
    </row>
    <row r="1993" spans="1:19" x14ac:dyDescent="0.35">
      <c r="A1993" s="26" t="s">
        <v>543</v>
      </c>
      <c r="B1993" s="26" t="s">
        <v>543</v>
      </c>
      <c r="C1993" s="26"/>
      <c r="D1993" s="26" t="s">
        <v>543</v>
      </c>
      <c r="E1993" s="26" t="str">
        <f>IFERROR(VLOOKUP(G1993,WholesaleExtract!B:J,9,FALSE),"")</f>
        <v/>
      </c>
      <c r="F1993" s="26" t="str">
        <f>IFERROR(VLOOKUP(G1993,WholesaleExtract!B:J,6,FALSE),"")</f>
        <v/>
      </c>
      <c r="H1993" s="47" t="str">
        <f>IFERROR(VLOOKUP(G1993,WholesaleExtract!B:L,11,FALSE),"")</f>
        <v/>
      </c>
      <c r="I1993" s="26" t="str">
        <f>IFERROR(VLOOKUP(G1993,WholesaleExtract!B:O,8,FALSE),"")</f>
        <v/>
      </c>
      <c r="J1993" s="26" t="str">
        <f>IFERROR(VLOOKUP(G1993,WholesaleExtract!B:O,14,FALSE),"")</f>
        <v/>
      </c>
      <c r="K1993" s="26" t="str">
        <f>IFERROR(VLOOKUP(G1993,WholesaleExtract!B:K,10,FALSE),"")</f>
        <v/>
      </c>
      <c r="L1993" s="47" t="str">
        <f>IFERROR(VLOOKUP(G1993,WholesaleExtract!B:L,11,FALSE),"")</f>
        <v/>
      </c>
      <c r="M1993" s="47" t="str">
        <f>IFERROR(VLOOKUP(G1993,WholesaleExtract!B:M,12,FALSE),"")</f>
        <v/>
      </c>
      <c r="R1993" s="19"/>
      <c r="S1993" s="19"/>
    </row>
    <row r="1994" spans="1:19" x14ac:dyDescent="0.35">
      <c r="A1994" s="26" t="s">
        <v>543</v>
      </c>
      <c r="B1994" s="26" t="s">
        <v>543</v>
      </c>
      <c r="C1994" s="26"/>
      <c r="D1994" s="26" t="s">
        <v>543</v>
      </c>
      <c r="E1994" s="26" t="str">
        <f>IFERROR(VLOOKUP(G1994,WholesaleExtract!B:J,9,FALSE),"")</f>
        <v/>
      </c>
      <c r="F1994" s="26" t="str">
        <f>IFERROR(VLOOKUP(G1994,WholesaleExtract!B:J,6,FALSE),"")</f>
        <v/>
      </c>
      <c r="H1994" s="47" t="str">
        <f>IFERROR(VLOOKUP(G1994,WholesaleExtract!B:L,11,FALSE),"")</f>
        <v/>
      </c>
      <c r="I1994" s="26" t="str">
        <f>IFERROR(VLOOKUP(G1994,WholesaleExtract!B:O,8,FALSE),"")</f>
        <v/>
      </c>
      <c r="J1994" s="26" t="str">
        <f>IFERROR(VLOOKUP(G1994,WholesaleExtract!B:O,14,FALSE),"")</f>
        <v/>
      </c>
      <c r="K1994" s="26" t="str">
        <f>IFERROR(VLOOKUP(G1994,WholesaleExtract!B:K,10,FALSE),"")</f>
        <v/>
      </c>
      <c r="L1994" s="47" t="str">
        <f>IFERROR(VLOOKUP(G1994,WholesaleExtract!B:L,11,FALSE),"")</f>
        <v/>
      </c>
      <c r="M1994" s="47" t="str">
        <f>IFERROR(VLOOKUP(G1994,WholesaleExtract!B:M,12,FALSE),"")</f>
        <v/>
      </c>
      <c r="R1994" s="19"/>
      <c r="S1994" s="19"/>
    </row>
    <row r="1995" spans="1:19" x14ac:dyDescent="0.35">
      <c r="A1995" s="26" t="s">
        <v>543</v>
      </c>
      <c r="B1995" s="26" t="s">
        <v>543</v>
      </c>
      <c r="C1995" s="26"/>
      <c r="D1995" s="26" t="s">
        <v>543</v>
      </c>
      <c r="E1995" s="26" t="str">
        <f>IFERROR(VLOOKUP(G1995,WholesaleExtract!B:J,9,FALSE),"")</f>
        <v/>
      </c>
      <c r="F1995" s="26" t="str">
        <f>IFERROR(VLOOKUP(G1995,WholesaleExtract!B:J,6,FALSE),"")</f>
        <v/>
      </c>
      <c r="H1995" s="47" t="str">
        <f>IFERROR(VLOOKUP(G1995,WholesaleExtract!B:L,11,FALSE),"")</f>
        <v/>
      </c>
      <c r="I1995" s="26" t="str">
        <f>IFERROR(VLOOKUP(G1995,WholesaleExtract!B:O,8,FALSE),"")</f>
        <v/>
      </c>
      <c r="J1995" s="26" t="str">
        <f>IFERROR(VLOOKUP(G1995,WholesaleExtract!B:O,14,FALSE),"")</f>
        <v/>
      </c>
      <c r="K1995" s="26" t="str">
        <f>IFERROR(VLOOKUP(G1995,WholesaleExtract!B:K,10,FALSE),"")</f>
        <v/>
      </c>
      <c r="L1995" s="47" t="str">
        <f>IFERROR(VLOOKUP(G1995,WholesaleExtract!B:L,11,FALSE),"")</f>
        <v/>
      </c>
      <c r="M1995" s="47" t="str">
        <f>IFERROR(VLOOKUP(G1995,WholesaleExtract!B:M,12,FALSE),"")</f>
        <v/>
      </c>
      <c r="R1995" s="19"/>
      <c r="S1995" s="19"/>
    </row>
    <row r="1996" spans="1:19" x14ac:dyDescent="0.35">
      <c r="A1996" s="26" t="s">
        <v>543</v>
      </c>
      <c r="B1996" s="26" t="s">
        <v>543</v>
      </c>
      <c r="C1996" s="26"/>
      <c r="D1996" s="26" t="s">
        <v>543</v>
      </c>
      <c r="E1996" s="26" t="str">
        <f>IFERROR(VLOOKUP(G1996,WholesaleExtract!B:J,9,FALSE),"")</f>
        <v/>
      </c>
      <c r="F1996" s="26" t="str">
        <f>IFERROR(VLOOKUP(G1996,WholesaleExtract!B:J,6,FALSE),"")</f>
        <v/>
      </c>
      <c r="H1996" s="47" t="str">
        <f>IFERROR(VLOOKUP(G1996,WholesaleExtract!B:L,11,FALSE),"")</f>
        <v/>
      </c>
      <c r="I1996" s="26" t="str">
        <f>IFERROR(VLOOKUP(G1996,WholesaleExtract!B:O,8,FALSE),"")</f>
        <v/>
      </c>
      <c r="J1996" s="26" t="str">
        <f>IFERROR(VLOOKUP(G1996,WholesaleExtract!B:O,14,FALSE),"")</f>
        <v/>
      </c>
      <c r="K1996" s="26" t="str">
        <f>IFERROR(VLOOKUP(G1996,WholesaleExtract!B:K,10,FALSE),"")</f>
        <v/>
      </c>
      <c r="L1996" s="47" t="str">
        <f>IFERROR(VLOOKUP(G1996,WholesaleExtract!B:L,11,FALSE),"")</f>
        <v/>
      </c>
      <c r="M1996" s="47" t="str">
        <f>IFERROR(VLOOKUP(G1996,WholesaleExtract!B:M,12,FALSE),"")</f>
        <v/>
      </c>
      <c r="R1996" s="19"/>
      <c r="S1996" s="19"/>
    </row>
    <row r="1997" spans="1:19" x14ac:dyDescent="0.35">
      <c r="A1997" s="26" t="s">
        <v>543</v>
      </c>
      <c r="B1997" s="26" t="s">
        <v>543</v>
      </c>
      <c r="C1997" s="26"/>
      <c r="D1997" s="26" t="s">
        <v>543</v>
      </c>
      <c r="E1997" s="26" t="str">
        <f>IFERROR(VLOOKUP(G1997,WholesaleExtract!B:J,9,FALSE),"")</f>
        <v/>
      </c>
      <c r="F1997" s="26" t="str">
        <f>IFERROR(VLOOKUP(G1997,WholesaleExtract!B:J,6,FALSE),"")</f>
        <v/>
      </c>
      <c r="H1997" s="47" t="str">
        <f>IFERROR(VLOOKUP(G1997,WholesaleExtract!B:L,11,FALSE),"")</f>
        <v/>
      </c>
      <c r="I1997" s="26" t="str">
        <f>IFERROR(VLOOKUP(G1997,WholesaleExtract!B:O,8,FALSE),"")</f>
        <v/>
      </c>
      <c r="J1997" s="26" t="str">
        <f>IFERROR(VLOOKUP(G1997,WholesaleExtract!B:O,14,FALSE),"")</f>
        <v/>
      </c>
      <c r="K1997" s="26" t="str">
        <f>IFERROR(VLOOKUP(G1997,WholesaleExtract!B:K,10,FALSE),"")</f>
        <v/>
      </c>
      <c r="L1997" s="47" t="str">
        <f>IFERROR(VLOOKUP(G1997,WholesaleExtract!B:L,11,FALSE),"")</f>
        <v/>
      </c>
      <c r="M1997" s="47" t="str">
        <f>IFERROR(VLOOKUP(G1997,WholesaleExtract!B:M,12,FALSE),"")</f>
        <v/>
      </c>
      <c r="R1997" s="19"/>
      <c r="S1997" s="19"/>
    </row>
    <row r="1998" spans="1:19" x14ac:dyDescent="0.35">
      <c r="A1998" s="26" t="s">
        <v>543</v>
      </c>
      <c r="B1998" s="26" t="s">
        <v>543</v>
      </c>
      <c r="C1998" s="26"/>
      <c r="D1998" s="26" t="s">
        <v>543</v>
      </c>
      <c r="E1998" s="26" t="str">
        <f>IFERROR(VLOOKUP(G1998,WholesaleExtract!B:J,9,FALSE),"")</f>
        <v/>
      </c>
      <c r="F1998" s="26" t="str">
        <f>IFERROR(VLOOKUP(G1998,WholesaleExtract!B:J,6,FALSE),"")</f>
        <v/>
      </c>
      <c r="H1998" s="47" t="str">
        <f>IFERROR(VLOOKUP(G1998,WholesaleExtract!B:L,11,FALSE),"")</f>
        <v/>
      </c>
      <c r="I1998" s="26" t="str">
        <f>IFERROR(VLOOKUP(G1998,WholesaleExtract!B:O,8,FALSE),"")</f>
        <v/>
      </c>
      <c r="J1998" s="26" t="str">
        <f>IFERROR(VLOOKUP(G1998,WholesaleExtract!B:O,14,FALSE),"")</f>
        <v/>
      </c>
      <c r="K1998" s="26" t="str">
        <f>IFERROR(VLOOKUP(G1998,WholesaleExtract!B:K,10,FALSE),"")</f>
        <v/>
      </c>
      <c r="L1998" s="47" t="str">
        <f>IFERROR(VLOOKUP(G1998,WholesaleExtract!B:L,11,FALSE),"")</f>
        <v/>
      </c>
      <c r="M1998" s="47" t="str">
        <f>IFERROR(VLOOKUP(G1998,WholesaleExtract!B:M,12,FALSE),"")</f>
        <v/>
      </c>
      <c r="R1998" s="19"/>
      <c r="S1998" s="19"/>
    </row>
    <row r="1999" spans="1:19" x14ac:dyDescent="0.35">
      <c r="A1999" s="26" t="s">
        <v>543</v>
      </c>
      <c r="B1999" s="26" t="s">
        <v>543</v>
      </c>
      <c r="C1999" s="26"/>
      <c r="D1999" s="26" t="s">
        <v>543</v>
      </c>
      <c r="E1999" s="26" t="str">
        <f>IFERROR(VLOOKUP(G1999,WholesaleExtract!B:J,9,FALSE),"")</f>
        <v/>
      </c>
      <c r="F1999" s="26" t="str">
        <f>IFERROR(VLOOKUP(G1999,WholesaleExtract!B:J,6,FALSE),"")</f>
        <v/>
      </c>
      <c r="H1999" s="47" t="str">
        <f>IFERROR(VLOOKUP(G1999,WholesaleExtract!B:L,11,FALSE),"")</f>
        <v/>
      </c>
      <c r="I1999" s="26" t="str">
        <f>IFERROR(VLOOKUP(G1999,WholesaleExtract!B:O,8,FALSE),"")</f>
        <v/>
      </c>
      <c r="J1999" s="26" t="str">
        <f>IFERROR(VLOOKUP(G1999,WholesaleExtract!B:O,14,FALSE),"")</f>
        <v/>
      </c>
      <c r="K1999" s="26" t="str">
        <f>IFERROR(VLOOKUP(G1999,WholesaleExtract!B:K,10,FALSE),"")</f>
        <v/>
      </c>
      <c r="L1999" s="47" t="str">
        <f>IFERROR(VLOOKUP(G1999,WholesaleExtract!B:L,11,FALSE),"")</f>
        <v/>
      </c>
      <c r="M1999" s="47" t="str">
        <f>IFERROR(VLOOKUP(G1999,WholesaleExtract!B:M,12,FALSE),"")</f>
        <v/>
      </c>
      <c r="R1999" s="19"/>
      <c r="S1999" s="19"/>
    </row>
    <row r="2000" spans="1:19" x14ac:dyDescent="0.35">
      <c r="A2000" s="26" t="s">
        <v>543</v>
      </c>
      <c r="B2000" s="26" t="s">
        <v>543</v>
      </c>
      <c r="C2000" s="26"/>
      <c r="D2000" s="26" t="s">
        <v>543</v>
      </c>
      <c r="E2000" s="26" t="str">
        <f>IFERROR(VLOOKUP(G2000,WholesaleExtract!B:J,9,FALSE),"")</f>
        <v/>
      </c>
      <c r="F2000" s="26" t="str">
        <f>IFERROR(VLOOKUP(G2000,WholesaleExtract!B:J,6,FALSE),"")</f>
        <v/>
      </c>
      <c r="H2000" s="47" t="str">
        <f>IFERROR(VLOOKUP(G2000,WholesaleExtract!B:L,11,FALSE),"")</f>
        <v/>
      </c>
      <c r="I2000" s="26" t="str">
        <f>IFERROR(VLOOKUP(G2000,WholesaleExtract!B:O,8,FALSE),"")</f>
        <v/>
      </c>
      <c r="J2000" s="26" t="str">
        <f>IFERROR(VLOOKUP(G2000,WholesaleExtract!B:O,14,FALSE),"")</f>
        <v/>
      </c>
      <c r="K2000" s="26" t="str">
        <f>IFERROR(VLOOKUP(G2000,WholesaleExtract!B:K,10,FALSE),"")</f>
        <v/>
      </c>
      <c r="L2000" s="47" t="str">
        <f>IFERROR(VLOOKUP(G2000,WholesaleExtract!B:L,11,FALSE),"")</f>
        <v/>
      </c>
      <c r="M2000" s="47" t="str">
        <f>IFERROR(VLOOKUP(G2000,WholesaleExtract!B:M,12,FALSE),"")</f>
        <v/>
      </c>
      <c r="R2000" s="19"/>
      <c r="S2000" s="19"/>
    </row>
    <row r="2001" spans="1:19" x14ac:dyDescent="0.35">
      <c r="A2001" s="26" t="s">
        <v>543</v>
      </c>
      <c r="B2001" s="26" t="s">
        <v>543</v>
      </c>
      <c r="C2001" s="26"/>
      <c r="D2001" s="26" t="s">
        <v>543</v>
      </c>
      <c r="E2001" s="26" t="str">
        <f>IFERROR(VLOOKUP(G2001,WholesaleExtract!B:J,9,FALSE),"")</f>
        <v/>
      </c>
      <c r="F2001" s="26" t="str">
        <f>IFERROR(VLOOKUP(G2001,WholesaleExtract!B:J,6,FALSE),"")</f>
        <v/>
      </c>
      <c r="H2001" s="47" t="str">
        <f>IFERROR(VLOOKUP(G2001,WholesaleExtract!B:L,11,FALSE),"")</f>
        <v/>
      </c>
      <c r="I2001" s="26" t="str">
        <f>IFERROR(VLOOKUP(G2001,WholesaleExtract!B:O,8,FALSE),"")</f>
        <v/>
      </c>
      <c r="J2001" s="26" t="str">
        <f>IFERROR(VLOOKUP(G2001,WholesaleExtract!B:O,14,FALSE),"")</f>
        <v/>
      </c>
      <c r="K2001" s="26" t="str">
        <f>IFERROR(VLOOKUP(G2001,WholesaleExtract!B:K,10,FALSE),"")</f>
        <v/>
      </c>
      <c r="L2001" s="47" t="str">
        <f>IFERROR(VLOOKUP(G2001,WholesaleExtract!B:L,11,FALSE),"")</f>
        <v/>
      </c>
      <c r="M2001" s="47" t="str">
        <f>IFERROR(VLOOKUP(G2001,WholesaleExtract!B:M,12,FALSE),"")</f>
        <v/>
      </c>
      <c r="R2001" s="19"/>
      <c r="S2001" s="19"/>
    </row>
    <row r="2002" spans="1:19" x14ac:dyDescent="0.35">
      <c r="A2002" s="26" t="s">
        <v>543</v>
      </c>
      <c r="B2002" s="26" t="s">
        <v>543</v>
      </c>
      <c r="C2002" s="26"/>
      <c r="D2002" s="26" t="s">
        <v>543</v>
      </c>
      <c r="E2002" s="26" t="str">
        <f>IFERROR(VLOOKUP(G2002,WholesaleExtract!B:J,9,FALSE),"")</f>
        <v/>
      </c>
      <c r="F2002" s="26" t="str">
        <f>IFERROR(VLOOKUP(G2002,WholesaleExtract!B:J,6,FALSE),"")</f>
        <v/>
      </c>
      <c r="H2002" s="47" t="str">
        <f>IFERROR(VLOOKUP(G2002,WholesaleExtract!B:L,11,FALSE),"")</f>
        <v/>
      </c>
      <c r="I2002" s="26" t="str">
        <f>IFERROR(VLOOKUP(G2002,WholesaleExtract!B:O,8,FALSE),"")</f>
        <v/>
      </c>
      <c r="J2002" s="26" t="str">
        <f>IFERROR(VLOOKUP(G2002,WholesaleExtract!B:O,14,FALSE),"")</f>
        <v/>
      </c>
      <c r="K2002" s="26" t="str">
        <f>IFERROR(VLOOKUP(G2002,WholesaleExtract!B:K,10,FALSE),"")</f>
        <v/>
      </c>
      <c r="L2002" s="47" t="str">
        <f>IFERROR(VLOOKUP(G2002,WholesaleExtract!B:L,11,FALSE),"")</f>
        <v/>
      </c>
      <c r="M2002" s="47" t="str">
        <f>IFERROR(VLOOKUP(G2002,WholesaleExtract!B:M,12,FALSE),"")</f>
        <v/>
      </c>
      <c r="R2002" s="19"/>
      <c r="S2002" s="19"/>
    </row>
    <row r="2003" spans="1:19" x14ac:dyDescent="0.35">
      <c r="A2003" s="26" t="s">
        <v>543</v>
      </c>
      <c r="B2003" s="26" t="s">
        <v>543</v>
      </c>
      <c r="C2003" s="26"/>
      <c r="D2003" s="26" t="s">
        <v>543</v>
      </c>
      <c r="E2003" s="26" t="str">
        <f>IFERROR(VLOOKUP(G2003,WholesaleExtract!B:J,9,FALSE),"")</f>
        <v/>
      </c>
      <c r="F2003" s="26" t="str">
        <f>IFERROR(VLOOKUP(G2003,WholesaleExtract!B:J,6,FALSE),"")</f>
        <v/>
      </c>
      <c r="H2003" s="47" t="str">
        <f>IFERROR(VLOOKUP(G2003,WholesaleExtract!B:L,11,FALSE),"")</f>
        <v/>
      </c>
      <c r="I2003" s="26" t="str">
        <f>IFERROR(VLOOKUP(G2003,WholesaleExtract!B:O,8,FALSE),"")</f>
        <v/>
      </c>
      <c r="J2003" s="26" t="str">
        <f>IFERROR(VLOOKUP(G2003,WholesaleExtract!B:O,14,FALSE),"")</f>
        <v/>
      </c>
      <c r="K2003" s="26" t="str">
        <f>IFERROR(VLOOKUP(G2003,WholesaleExtract!B:K,10,FALSE),"")</f>
        <v/>
      </c>
      <c r="L2003" s="47" t="str">
        <f>IFERROR(VLOOKUP(G2003,WholesaleExtract!B:L,11,FALSE),"")</f>
        <v/>
      </c>
      <c r="M2003" s="47" t="str">
        <f>IFERROR(VLOOKUP(G2003,WholesaleExtract!B:M,12,FALSE),"")</f>
        <v/>
      </c>
      <c r="R2003" s="19"/>
      <c r="S2003" s="19"/>
    </row>
    <row r="2004" spans="1:19" x14ac:dyDescent="0.35">
      <c r="A2004" s="26" t="s">
        <v>543</v>
      </c>
      <c r="B2004" s="26" t="s">
        <v>543</v>
      </c>
      <c r="C2004" s="26"/>
      <c r="D2004" s="26" t="s">
        <v>543</v>
      </c>
      <c r="E2004" s="26" t="str">
        <f>IFERROR(VLOOKUP(G2004,WholesaleExtract!B:J,9,FALSE),"")</f>
        <v/>
      </c>
      <c r="F2004" s="26" t="str">
        <f>IFERROR(VLOOKUP(G2004,WholesaleExtract!B:J,6,FALSE),"")</f>
        <v/>
      </c>
      <c r="H2004" s="47" t="str">
        <f>IFERROR(VLOOKUP(G2004,WholesaleExtract!B:L,11,FALSE),"")</f>
        <v/>
      </c>
      <c r="I2004" s="26" t="str">
        <f>IFERROR(VLOOKUP(G2004,WholesaleExtract!B:O,8,FALSE),"")</f>
        <v/>
      </c>
      <c r="J2004" s="26" t="str">
        <f>IFERROR(VLOOKUP(G2004,WholesaleExtract!B:O,14,FALSE),"")</f>
        <v/>
      </c>
      <c r="K2004" s="26" t="str">
        <f>IFERROR(VLOOKUP(G2004,WholesaleExtract!B:K,10,FALSE),"")</f>
        <v/>
      </c>
      <c r="L2004" s="47" t="str">
        <f>IFERROR(VLOOKUP(G2004,WholesaleExtract!B:L,11,FALSE),"")</f>
        <v/>
      </c>
      <c r="M2004" s="47" t="str">
        <f>IFERROR(VLOOKUP(G2004,WholesaleExtract!B:M,12,FALSE),"")</f>
        <v/>
      </c>
      <c r="R2004" s="19"/>
      <c r="S2004" s="19"/>
    </row>
    <row r="2005" spans="1:19" x14ac:dyDescent="0.35">
      <c r="A2005" s="26" t="s">
        <v>543</v>
      </c>
      <c r="B2005" s="26" t="s">
        <v>543</v>
      </c>
      <c r="C2005" s="26"/>
      <c r="D2005" s="26" t="s">
        <v>543</v>
      </c>
      <c r="E2005" s="26" t="str">
        <f>IFERROR(VLOOKUP(G2005,WholesaleExtract!B:J,9,FALSE),"")</f>
        <v/>
      </c>
      <c r="F2005" s="26" t="str">
        <f>IFERROR(VLOOKUP(G2005,WholesaleExtract!B:J,6,FALSE),"")</f>
        <v/>
      </c>
      <c r="H2005" s="47" t="str">
        <f>IFERROR(VLOOKUP(G2005,WholesaleExtract!B:L,11,FALSE),"")</f>
        <v/>
      </c>
      <c r="I2005" s="26" t="str">
        <f>IFERROR(VLOOKUP(G2005,WholesaleExtract!B:O,8,FALSE),"")</f>
        <v/>
      </c>
      <c r="J2005" s="26" t="str">
        <f>IFERROR(VLOOKUP(G2005,WholesaleExtract!B:O,14,FALSE),"")</f>
        <v/>
      </c>
      <c r="K2005" s="26" t="str">
        <f>IFERROR(VLOOKUP(G2005,WholesaleExtract!B:K,10,FALSE),"")</f>
        <v/>
      </c>
      <c r="L2005" s="47" t="str">
        <f>IFERROR(VLOOKUP(G2005,WholesaleExtract!B:L,11,FALSE),"")</f>
        <v/>
      </c>
      <c r="M2005" s="47" t="str">
        <f>IFERROR(VLOOKUP(G2005,WholesaleExtract!B:M,12,FALSE),"")</f>
        <v/>
      </c>
      <c r="R2005" s="19"/>
      <c r="S2005" s="19"/>
    </row>
    <row r="2006" spans="1:19" x14ac:dyDescent="0.35">
      <c r="A2006" s="26" t="s">
        <v>543</v>
      </c>
      <c r="B2006" s="26" t="s">
        <v>543</v>
      </c>
      <c r="C2006" s="26"/>
      <c r="D2006" s="26" t="s">
        <v>543</v>
      </c>
      <c r="E2006" s="26" t="str">
        <f>IFERROR(VLOOKUP(G2006,WholesaleExtract!B:J,9,FALSE),"")</f>
        <v/>
      </c>
      <c r="F2006" s="26" t="str">
        <f>IFERROR(VLOOKUP(G2006,WholesaleExtract!B:J,6,FALSE),"")</f>
        <v/>
      </c>
      <c r="H2006" s="47" t="str">
        <f>IFERROR(VLOOKUP(G2006,WholesaleExtract!B:L,11,FALSE),"")</f>
        <v/>
      </c>
      <c r="I2006" s="26" t="str">
        <f>IFERROR(VLOOKUP(G2006,WholesaleExtract!B:O,8,FALSE),"")</f>
        <v/>
      </c>
      <c r="J2006" s="26" t="str">
        <f>IFERROR(VLOOKUP(G2006,WholesaleExtract!B:O,14,FALSE),"")</f>
        <v/>
      </c>
      <c r="K2006" s="26" t="str">
        <f>IFERROR(VLOOKUP(G2006,WholesaleExtract!B:K,10,FALSE),"")</f>
        <v/>
      </c>
      <c r="L2006" s="47" t="str">
        <f>IFERROR(VLOOKUP(G2006,WholesaleExtract!B:L,11,FALSE),"")</f>
        <v/>
      </c>
      <c r="M2006" s="47" t="str">
        <f>IFERROR(VLOOKUP(G2006,WholesaleExtract!B:M,12,FALSE),"")</f>
        <v/>
      </c>
      <c r="R2006" s="19"/>
      <c r="S2006" s="19"/>
    </row>
    <row r="2007" spans="1:19" x14ac:dyDescent="0.35">
      <c r="A2007" s="26" t="s">
        <v>543</v>
      </c>
      <c r="B2007" s="26" t="s">
        <v>543</v>
      </c>
      <c r="C2007" s="26"/>
      <c r="D2007" s="26" t="s">
        <v>543</v>
      </c>
      <c r="E2007" s="26" t="str">
        <f>IFERROR(VLOOKUP(G2007,WholesaleExtract!B:J,9,FALSE),"")</f>
        <v/>
      </c>
      <c r="F2007" s="26" t="str">
        <f>IFERROR(VLOOKUP(G2007,WholesaleExtract!B:J,6,FALSE),"")</f>
        <v/>
      </c>
      <c r="H2007" s="47" t="str">
        <f>IFERROR(VLOOKUP(G2007,WholesaleExtract!B:L,11,FALSE),"")</f>
        <v/>
      </c>
      <c r="I2007" s="26" t="str">
        <f>IFERROR(VLOOKUP(G2007,WholesaleExtract!B:O,8,FALSE),"")</f>
        <v/>
      </c>
      <c r="J2007" s="26" t="str">
        <f>IFERROR(VLOOKUP(G2007,WholesaleExtract!B:O,14,FALSE),"")</f>
        <v/>
      </c>
      <c r="K2007" s="26" t="str">
        <f>IFERROR(VLOOKUP(G2007,WholesaleExtract!B:K,10,FALSE),"")</f>
        <v/>
      </c>
      <c r="L2007" s="47" t="str">
        <f>IFERROR(VLOOKUP(G2007,WholesaleExtract!B:L,11,FALSE),"")</f>
        <v/>
      </c>
      <c r="M2007" s="47" t="str">
        <f>IFERROR(VLOOKUP(G2007,WholesaleExtract!B:M,12,FALSE),"")</f>
        <v/>
      </c>
      <c r="R2007" s="19"/>
      <c r="S2007" s="19"/>
    </row>
    <row r="2008" spans="1:19" x14ac:dyDescent="0.35">
      <c r="A2008" s="26" t="s">
        <v>543</v>
      </c>
      <c r="B2008" s="26" t="s">
        <v>543</v>
      </c>
      <c r="C2008" s="26"/>
      <c r="D2008" s="26" t="s">
        <v>543</v>
      </c>
      <c r="E2008" s="26" t="str">
        <f>IFERROR(VLOOKUP(G2008,WholesaleExtract!B:J,9,FALSE),"")</f>
        <v/>
      </c>
      <c r="F2008" s="26" t="str">
        <f>IFERROR(VLOOKUP(G2008,WholesaleExtract!B:J,6,FALSE),"")</f>
        <v/>
      </c>
      <c r="H2008" s="47" t="str">
        <f>IFERROR(VLOOKUP(G2008,WholesaleExtract!B:L,11,FALSE),"")</f>
        <v/>
      </c>
      <c r="I2008" s="26" t="str">
        <f>IFERROR(VLOOKUP(G2008,WholesaleExtract!B:O,8,FALSE),"")</f>
        <v/>
      </c>
      <c r="J2008" s="26" t="str">
        <f>IFERROR(VLOOKUP(G2008,WholesaleExtract!B:O,14,FALSE),"")</f>
        <v/>
      </c>
      <c r="K2008" s="26" t="str">
        <f>IFERROR(VLOOKUP(G2008,WholesaleExtract!B:K,10,FALSE),"")</f>
        <v/>
      </c>
      <c r="L2008" s="47" t="str">
        <f>IFERROR(VLOOKUP(G2008,WholesaleExtract!B:L,11,FALSE),"")</f>
        <v/>
      </c>
      <c r="M2008" s="47" t="str">
        <f>IFERROR(VLOOKUP(G2008,WholesaleExtract!B:M,12,FALSE),"")</f>
        <v/>
      </c>
      <c r="R2008" s="19"/>
      <c r="S2008" s="19"/>
    </row>
    <row r="2009" spans="1:19" x14ac:dyDescent="0.35">
      <c r="A2009" s="26" t="s">
        <v>543</v>
      </c>
      <c r="B2009" s="26" t="s">
        <v>543</v>
      </c>
      <c r="C2009" s="26"/>
      <c r="D2009" s="26" t="s">
        <v>543</v>
      </c>
      <c r="E2009" s="26" t="str">
        <f>IFERROR(VLOOKUP(G2009,WholesaleExtract!B:J,9,FALSE),"")</f>
        <v/>
      </c>
      <c r="F2009" s="26" t="str">
        <f>IFERROR(VLOOKUP(G2009,WholesaleExtract!B:J,6,FALSE),"")</f>
        <v/>
      </c>
      <c r="H2009" s="47" t="str">
        <f>IFERROR(VLOOKUP(G2009,WholesaleExtract!B:L,11,FALSE),"")</f>
        <v/>
      </c>
      <c r="I2009" s="26" t="str">
        <f>IFERROR(VLOOKUP(G2009,WholesaleExtract!B:O,8,FALSE),"")</f>
        <v/>
      </c>
      <c r="J2009" s="26" t="str">
        <f>IFERROR(VLOOKUP(G2009,WholesaleExtract!B:O,14,FALSE),"")</f>
        <v/>
      </c>
      <c r="K2009" s="26" t="str">
        <f>IFERROR(VLOOKUP(G2009,WholesaleExtract!B:K,10,FALSE),"")</f>
        <v/>
      </c>
      <c r="L2009" s="47" t="str">
        <f>IFERROR(VLOOKUP(G2009,WholesaleExtract!B:L,11,FALSE),"")</f>
        <v/>
      </c>
      <c r="M2009" s="47" t="str">
        <f>IFERROR(VLOOKUP(G2009,WholesaleExtract!B:M,12,FALSE),"")</f>
        <v/>
      </c>
      <c r="R2009" s="19"/>
      <c r="S2009" s="19"/>
    </row>
    <row r="2010" spans="1:19" x14ac:dyDescent="0.35">
      <c r="A2010" s="26" t="s">
        <v>543</v>
      </c>
      <c r="B2010" s="26" t="s">
        <v>543</v>
      </c>
      <c r="C2010" s="26"/>
      <c r="D2010" s="26" t="s">
        <v>543</v>
      </c>
      <c r="E2010" s="26" t="str">
        <f>IFERROR(VLOOKUP(G2010,WholesaleExtract!B:J,9,FALSE),"")</f>
        <v/>
      </c>
      <c r="F2010" s="26" t="str">
        <f>IFERROR(VLOOKUP(G2010,WholesaleExtract!B:J,6,FALSE),"")</f>
        <v/>
      </c>
      <c r="H2010" s="47" t="str">
        <f>IFERROR(VLOOKUP(G2010,WholesaleExtract!B:L,11,FALSE),"")</f>
        <v/>
      </c>
      <c r="I2010" s="26" t="str">
        <f>IFERROR(VLOOKUP(G2010,WholesaleExtract!B:O,8,FALSE),"")</f>
        <v/>
      </c>
      <c r="J2010" s="26" t="str">
        <f>IFERROR(VLOOKUP(G2010,WholesaleExtract!B:O,14,FALSE),"")</f>
        <v/>
      </c>
      <c r="K2010" s="26" t="str">
        <f>IFERROR(VLOOKUP(G2010,WholesaleExtract!B:K,10,FALSE),"")</f>
        <v/>
      </c>
      <c r="L2010" s="47" t="str">
        <f>IFERROR(VLOOKUP(G2010,WholesaleExtract!B:L,11,FALSE),"")</f>
        <v/>
      </c>
      <c r="M2010" s="47" t="str">
        <f>IFERROR(VLOOKUP(G2010,WholesaleExtract!B:M,12,FALSE),"")</f>
        <v/>
      </c>
      <c r="R2010" s="19"/>
      <c r="S2010" s="19"/>
    </row>
    <row r="2011" spans="1:19" x14ac:dyDescent="0.35">
      <c r="A2011" s="26" t="s">
        <v>543</v>
      </c>
      <c r="B2011" s="26" t="s">
        <v>543</v>
      </c>
      <c r="C2011" s="26"/>
      <c r="D2011" s="26" t="s">
        <v>543</v>
      </c>
      <c r="E2011" s="26" t="str">
        <f>IFERROR(VLOOKUP(G2011,WholesaleExtract!B:J,9,FALSE),"")</f>
        <v/>
      </c>
      <c r="F2011" s="26" t="str">
        <f>IFERROR(VLOOKUP(G2011,WholesaleExtract!B:J,6,FALSE),"")</f>
        <v/>
      </c>
      <c r="H2011" s="47" t="str">
        <f>IFERROR(VLOOKUP(G2011,WholesaleExtract!B:L,11,FALSE),"")</f>
        <v/>
      </c>
      <c r="I2011" s="26" t="str">
        <f>IFERROR(VLOOKUP(G2011,WholesaleExtract!B:O,8,FALSE),"")</f>
        <v/>
      </c>
      <c r="J2011" s="26" t="str">
        <f>IFERROR(VLOOKUP(G2011,WholesaleExtract!B:O,14,FALSE),"")</f>
        <v/>
      </c>
      <c r="K2011" s="26" t="str">
        <f>IFERROR(VLOOKUP(G2011,WholesaleExtract!B:K,10,FALSE),"")</f>
        <v/>
      </c>
      <c r="L2011" s="47" t="str">
        <f>IFERROR(VLOOKUP(G2011,WholesaleExtract!B:L,11,FALSE),"")</f>
        <v/>
      </c>
      <c r="M2011" s="47" t="str">
        <f>IFERROR(VLOOKUP(G2011,WholesaleExtract!B:M,12,FALSE),"")</f>
        <v/>
      </c>
      <c r="R2011" s="19"/>
      <c r="S2011" s="19"/>
    </row>
    <row r="2012" spans="1:19" x14ac:dyDescent="0.35">
      <c r="A2012" s="26" t="s">
        <v>543</v>
      </c>
      <c r="B2012" s="26" t="s">
        <v>543</v>
      </c>
      <c r="C2012" s="26"/>
      <c r="D2012" s="26" t="s">
        <v>543</v>
      </c>
      <c r="E2012" s="26" t="str">
        <f>IFERROR(VLOOKUP(G2012,WholesaleExtract!B:J,9,FALSE),"")</f>
        <v/>
      </c>
      <c r="F2012" s="26" t="str">
        <f>IFERROR(VLOOKUP(G2012,WholesaleExtract!B:J,6,FALSE),"")</f>
        <v/>
      </c>
      <c r="H2012" s="47" t="str">
        <f>IFERROR(VLOOKUP(G2012,WholesaleExtract!B:L,11,FALSE),"")</f>
        <v/>
      </c>
      <c r="I2012" s="26" t="str">
        <f>IFERROR(VLOOKUP(G2012,WholesaleExtract!B:O,8,FALSE),"")</f>
        <v/>
      </c>
      <c r="J2012" s="26" t="str">
        <f>IFERROR(VLOOKUP(G2012,WholesaleExtract!B:O,14,FALSE),"")</f>
        <v/>
      </c>
      <c r="K2012" s="26" t="str">
        <f>IFERROR(VLOOKUP(G2012,WholesaleExtract!B:K,10,FALSE),"")</f>
        <v/>
      </c>
      <c r="L2012" s="47" t="str">
        <f>IFERROR(VLOOKUP(G2012,WholesaleExtract!B:L,11,FALSE),"")</f>
        <v/>
      </c>
      <c r="M2012" s="47" t="str">
        <f>IFERROR(VLOOKUP(G2012,WholesaleExtract!B:M,12,FALSE),"")</f>
        <v/>
      </c>
      <c r="R2012" s="19"/>
      <c r="S2012" s="19"/>
    </row>
    <row r="2013" spans="1:19" x14ac:dyDescent="0.35">
      <c r="A2013" s="26" t="s">
        <v>543</v>
      </c>
      <c r="B2013" s="26" t="s">
        <v>543</v>
      </c>
      <c r="C2013" s="26"/>
      <c r="D2013" s="26" t="s">
        <v>543</v>
      </c>
      <c r="E2013" s="26" t="str">
        <f>IFERROR(VLOOKUP(G2013,WholesaleExtract!B:J,9,FALSE),"")</f>
        <v/>
      </c>
      <c r="F2013" s="26" t="str">
        <f>IFERROR(VLOOKUP(G2013,WholesaleExtract!B:J,6,FALSE),"")</f>
        <v/>
      </c>
      <c r="H2013" s="47" t="str">
        <f>IFERROR(VLOOKUP(G2013,WholesaleExtract!B:L,11,FALSE),"")</f>
        <v/>
      </c>
      <c r="I2013" s="26" t="str">
        <f>IFERROR(VLOOKUP(G2013,WholesaleExtract!B:O,8,FALSE),"")</f>
        <v/>
      </c>
      <c r="J2013" s="26" t="str">
        <f>IFERROR(VLOOKUP(G2013,WholesaleExtract!B:O,14,FALSE),"")</f>
        <v/>
      </c>
      <c r="K2013" s="26" t="str">
        <f>IFERROR(VLOOKUP(G2013,WholesaleExtract!B:K,10,FALSE),"")</f>
        <v/>
      </c>
      <c r="L2013" s="47" t="str">
        <f>IFERROR(VLOOKUP(G2013,WholesaleExtract!B:L,11,FALSE),"")</f>
        <v/>
      </c>
      <c r="M2013" s="47" t="str">
        <f>IFERROR(VLOOKUP(G2013,WholesaleExtract!B:M,12,FALSE),"")</f>
        <v/>
      </c>
      <c r="R2013" s="19"/>
      <c r="S2013" s="19"/>
    </row>
    <row r="2014" spans="1:19" x14ac:dyDescent="0.35">
      <c r="A2014" s="26" t="s">
        <v>543</v>
      </c>
      <c r="B2014" s="26" t="s">
        <v>543</v>
      </c>
      <c r="C2014" s="26"/>
      <c r="D2014" s="26" t="s">
        <v>543</v>
      </c>
      <c r="E2014" s="26" t="str">
        <f>IFERROR(VLOOKUP(G2014,WholesaleExtract!B:J,9,FALSE),"")</f>
        <v/>
      </c>
      <c r="F2014" s="26" t="str">
        <f>IFERROR(VLOOKUP(G2014,WholesaleExtract!B:J,6,FALSE),"")</f>
        <v/>
      </c>
      <c r="H2014" s="47" t="str">
        <f>IFERROR(VLOOKUP(G2014,WholesaleExtract!B:L,11,FALSE),"")</f>
        <v/>
      </c>
      <c r="I2014" s="26" t="str">
        <f>IFERROR(VLOOKUP(G2014,WholesaleExtract!B:O,8,FALSE),"")</f>
        <v/>
      </c>
      <c r="J2014" s="26" t="str">
        <f>IFERROR(VLOOKUP(G2014,WholesaleExtract!B:O,14,FALSE),"")</f>
        <v/>
      </c>
      <c r="K2014" s="26" t="str">
        <f>IFERROR(VLOOKUP(G2014,WholesaleExtract!B:K,10,FALSE),"")</f>
        <v/>
      </c>
      <c r="L2014" s="47" t="str">
        <f>IFERROR(VLOOKUP(G2014,WholesaleExtract!B:L,11,FALSE),"")</f>
        <v/>
      </c>
      <c r="M2014" s="47" t="str">
        <f>IFERROR(VLOOKUP(G2014,WholesaleExtract!B:M,12,FALSE),"")</f>
        <v/>
      </c>
      <c r="R2014" s="19"/>
      <c r="S2014" s="19"/>
    </row>
    <row r="2015" spans="1:19" x14ac:dyDescent="0.35">
      <c r="A2015" s="26" t="s">
        <v>543</v>
      </c>
      <c r="B2015" s="26" t="s">
        <v>543</v>
      </c>
      <c r="C2015" s="26"/>
      <c r="D2015" s="26" t="s">
        <v>543</v>
      </c>
      <c r="E2015" s="26" t="str">
        <f>IFERROR(VLOOKUP(G2015,WholesaleExtract!B:J,9,FALSE),"")</f>
        <v/>
      </c>
      <c r="F2015" s="26" t="str">
        <f>IFERROR(VLOOKUP(G2015,WholesaleExtract!B:J,6,FALSE),"")</f>
        <v/>
      </c>
      <c r="H2015" s="47" t="str">
        <f>IFERROR(VLOOKUP(G2015,WholesaleExtract!B:L,11,FALSE),"")</f>
        <v/>
      </c>
      <c r="I2015" s="26" t="str">
        <f>IFERROR(VLOOKUP(G2015,WholesaleExtract!B:O,8,FALSE),"")</f>
        <v/>
      </c>
      <c r="J2015" s="26" t="str">
        <f>IFERROR(VLOOKUP(G2015,WholesaleExtract!B:O,14,FALSE),"")</f>
        <v/>
      </c>
      <c r="K2015" s="26" t="str">
        <f>IFERROR(VLOOKUP(G2015,WholesaleExtract!B:K,10,FALSE),"")</f>
        <v/>
      </c>
      <c r="L2015" s="47" t="str">
        <f>IFERROR(VLOOKUP(G2015,WholesaleExtract!B:L,11,FALSE),"")</f>
        <v/>
      </c>
      <c r="M2015" s="47" t="str">
        <f>IFERROR(VLOOKUP(G2015,WholesaleExtract!B:M,12,FALSE),"")</f>
        <v/>
      </c>
      <c r="R2015" s="19"/>
      <c r="S2015" s="19"/>
    </row>
    <row r="2016" spans="1:19" x14ac:dyDescent="0.35">
      <c r="A2016" s="26" t="s">
        <v>543</v>
      </c>
      <c r="B2016" s="26" t="s">
        <v>543</v>
      </c>
      <c r="C2016" s="26"/>
      <c r="D2016" s="26" t="s">
        <v>543</v>
      </c>
      <c r="E2016" s="26" t="str">
        <f>IFERROR(VLOOKUP(G2016,WholesaleExtract!B:J,9,FALSE),"")</f>
        <v/>
      </c>
      <c r="F2016" s="26" t="str">
        <f>IFERROR(VLOOKUP(G2016,WholesaleExtract!B:J,6,FALSE),"")</f>
        <v/>
      </c>
      <c r="H2016" s="47" t="str">
        <f>IFERROR(VLOOKUP(G2016,WholesaleExtract!B:L,11,FALSE),"")</f>
        <v/>
      </c>
      <c r="I2016" s="26" t="str">
        <f>IFERROR(VLOOKUP(G2016,WholesaleExtract!B:O,8,FALSE),"")</f>
        <v/>
      </c>
      <c r="J2016" s="26" t="str">
        <f>IFERROR(VLOOKUP(G2016,WholesaleExtract!B:O,14,FALSE),"")</f>
        <v/>
      </c>
      <c r="K2016" s="26" t="str">
        <f>IFERROR(VLOOKUP(G2016,WholesaleExtract!B:K,10,FALSE),"")</f>
        <v/>
      </c>
      <c r="L2016" s="47" t="str">
        <f>IFERROR(VLOOKUP(G2016,WholesaleExtract!B:L,11,FALSE),"")</f>
        <v/>
      </c>
      <c r="M2016" s="47" t="str">
        <f>IFERROR(VLOOKUP(G2016,WholesaleExtract!B:M,12,FALSE),"")</f>
        <v/>
      </c>
      <c r="R2016" s="19"/>
      <c r="S2016" s="19"/>
    </row>
    <row r="2017" spans="1:19" x14ac:dyDescent="0.35">
      <c r="A2017" s="26" t="s">
        <v>543</v>
      </c>
      <c r="B2017" s="26" t="s">
        <v>543</v>
      </c>
      <c r="C2017" s="26"/>
      <c r="D2017" s="26" t="s">
        <v>543</v>
      </c>
      <c r="E2017" s="26" t="str">
        <f>IFERROR(VLOOKUP(G2017,WholesaleExtract!B:J,9,FALSE),"")</f>
        <v/>
      </c>
      <c r="F2017" s="26" t="str">
        <f>IFERROR(VLOOKUP(G2017,WholesaleExtract!B:J,6,FALSE),"")</f>
        <v/>
      </c>
      <c r="H2017" s="47" t="str">
        <f>IFERROR(VLOOKUP(G2017,WholesaleExtract!B:L,11,FALSE),"")</f>
        <v/>
      </c>
      <c r="I2017" s="26" t="str">
        <f>IFERROR(VLOOKUP(G2017,WholesaleExtract!B:O,8,FALSE),"")</f>
        <v/>
      </c>
      <c r="J2017" s="26" t="str">
        <f>IFERROR(VLOOKUP(G2017,WholesaleExtract!B:O,14,FALSE),"")</f>
        <v/>
      </c>
      <c r="K2017" s="26" t="str">
        <f>IFERROR(VLOOKUP(G2017,WholesaleExtract!B:K,10,FALSE),"")</f>
        <v/>
      </c>
      <c r="L2017" s="47" t="str">
        <f>IFERROR(VLOOKUP(G2017,WholesaleExtract!B:L,11,FALSE),"")</f>
        <v/>
      </c>
      <c r="M2017" s="47" t="str">
        <f>IFERROR(VLOOKUP(G2017,WholesaleExtract!B:M,12,FALSE),"")</f>
        <v/>
      </c>
      <c r="R2017" s="19"/>
      <c r="S2017" s="19"/>
    </row>
    <row r="2018" spans="1:19" x14ac:dyDescent="0.35">
      <c r="A2018" s="26" t="s">
        <v>543</v>
      </c>
      <c r="B2018" s="26" t="s">
        <v>543</v>
      </c>
      <c r="C2018" s="26"/>
      <c r="D2018" s="26" t="s">
        <v>543</v>
      </c>
      <c r="E2018" s="26" t="str">
        <f>IFERROR(VLOOKUP(G2018,WholesaleExtract!B:J,9,FALSE),"")</f>
        <v/>
      </c>
      <c r="F2018" s="26" t="str">
        <f>IFERROR(VLOOKUP(G2018,WholesaleExtract!B:J,6,FALSE),"")</f>
        <v/>
      </c>
      <c r="H2018" s="47" t="str">
        <f>IFERROR(VLOOKUP(G2018,WholesaleExtract!B:L,11,FALSE),"")</f>
        <v/>
      </c>
      <c r="I2018" s="26" t="str">
        <f>IFERROR(VLOOKUP(G2018,WholesaleExtract!B:O,8,FALSE),"")</f>
        <v/>
      </c>
      <c r="J2018" s="26" t="str">
        <f>IFERROR(VLOOKUP(G2018,WholesaleExtract!B:O,14,FALSE),"")</f>
        <v/>
      </c>
      <c r="K2018" s="26" t="str">
        <f>IFERROR(VLOOKUP(G2018,WholesaleExtract!B:K,10,FALSE),"")</f>
        <v/>
      </c>
      <c r="L2018" s="47" t="str">
        <f>IFERROR(VLOOKUP(G2018,WholesaleExtract!B:L,11,FALSE),"")</f>
        <v/>
      </c>
      <c r="M2018" s="47" t="str">
        <f>IFERROR(VLOOKUP(G2018,WholesaleExtract!B:M,12,FALSE),"")</f>
        <v/>
      </c>
      <c r="R2018" s="19"/>
      <c r="S2018" s="19"/>
    </row>
    <row r="2019" spans="1:19" x14ac:dyDescent="0.35">
      <c r="A2019" s="26" t="s">
        <v>543</v>
      </c>
      <c r="B2019" s="26" t="s">
        <v>543</v>
      </c>
      <c r="C2019" s="26"/>
      <c r="D2019" s="26" t="s">
        <v>543</v>
      </c>
      <c r="E2019" s="26" t="str">
        <f>IFERROR(VLOOKUP(G2019,WholesaleExtract!B:J,9,FALSE),"")</f>
        <v/>
      </c>
      <c r="F2019" s="26" t="str">
        <f>IFERROR(VLOOKUP(G2019,WholesaleExtract!B:J,6,FALSE),"")</f>
        <v/>
      </c>
      <c r="H2019" s="47" t="str">
        <f>IFERROR(VLOOKUP(G2019,WholesaleExtract!B:L,11,FALSE),"")</f>
        <v/>
      </c>
      <c r="I2019" s="26" t="str">
        <f>IFERROR(VLOOKUP(G2019,WholesaleExtract!B:O,8,FALSE),"")</f>
        <v/>
      </c>
      <c r="J2019" s="26" t="str">
        <f>IFERROR(VLOOKUP(G2019,WholesaleExtract!B:O,14,FALSE),"")</f>
        <v/>
      </c>
      <c r="K2019" s="26" t="str">
        <f>IFERROR(VLOOKUP(G2019,WholesaleExtract!B:K,10,FALSE),"")</f>
        <v/>
      </c>
      <c r="L2019" s="47" t="str">
        <f>IFERROR(VLOOKUP(G2019,WholesaleExtract!B:L,11,FALSE),"")</f>
        <v/>
      </c>
      <c r="M2019" s="47" t="str">
        <f>IFERROR(VLOOKUP(G2019,WholesaleExtract!B:M,12,FALSE),"")</f>
        <v/>
      </c>
      <c r="R2019" s="19"/>
      <c r="S2019" s="19"/>
    </row>
    <row r="2020" spans="1:19" x14ac:dyDescent="0.35">
      <c r="A2020" s="26" t="s">
        <v>543</v>
      </c>
      <c r="B2020" s="26" t="s">
        <v>543</v>
      </c>
      <c r="C2020" s="26"/>
      <c r="D2020" s="26" t="s">
        <v>543</v>
      </c>
      <c r="E2020" s="26" t="str">
        <f>IFERROR(VLOOKUP(G2020,WholesaleExtract!B:J,9,FALSE),"")</f>
        <v/>
      </c>
      <c r="F2020" s="26" t="str">
        <f>IFERROR(VLOOKUP(G2020,WholesaleExtract!B:J,6,FALSE),"")</f>
        <v/>
      </c>
      <c r="H2020" s="47" t="str">
        <f>IFERROR(VLOOKUP(G2020,WholesaleExtract!B:L,11,FALSE),"")</f>
        <v/>
      </c>
      <c r="I2020" s="26" t="str">
        <f>IFERROR(VLOOKUP(G2020,WholesaleExtract!B:O,8,FALSE),"")</f>
        <v/>
      </c>
      <c r="J2020" s="26" t="str">
        <f>IFERROR(VLOOKUP(G2020,WholesaleExtract!B:O,14,FALSE),"")</f>
        <v/>
      </c>
      <c r="K2020" s="26" t="str">
        <f>IFERROR(VLOOKUP(G2020,WholesaleExtract!B:K,10,FALSE),"")</f>
        <v/>
      </c>
      <c r="L2020" s="47" t="str">
        <f>IFERROR(VLOOKUP(G2020,WholesaleExtract!B:L,11,FALSE),"")</f>
        <v/>
      </c>
      <c r="M2020" s="47" t="str">
        <f>IFERROR(VLOOKUP(G2020,WholesaleExtract!B:M,12,FALSE),"")</f>
        <v/>
      </c>
      <c r="R2020" s="19"/>
      <c r="S2020" s="19"/>
    </row>
    <row r="2021" spans="1:19" x14ac:dyDescent="0.35">
      <c r="A2021" s="26" t="s">
        <v>543</v>
      </c>
      <c r="B2021" s="26" t="s">
        <v>543</v>
      </c>
      <c r="C2021" s="26"/>
      <c r="D2021" s="26" t="s">
        <v>543</v>
      </c>
      <c r="E2021" s="26" t="str">
        <f>IFERROR(VLOOKUP(G2021,WholesaleExtract!B:J,9,FALSE),"")</f>
        <v/>
      </c>
      <c r="F2021" s="26" t="str">
        <f>IFERROR(VLOOKUP(G2021,WholesaleExtract!B:J,6,FALSE),"")</f>
        <v/>
      </c>
      <c r="H2021" s="47" t="str">
        <f>IFERROR(VLOOKUP(G2021,WholesaleExtract!B:L,11,FALSE),"")</f>
        <v/>
      </c>
      <c r="I2021" s="26" t="str">
        <f>IFERROR(VLOOKUP(G2021,WholesaleExtract!B:O,8,FALSE),"")</f>
        <v/>
      </c>
      <c r="J2021" s="26" t="str">
        <f>IFERROR(VLOOKUP(G2021,WholesaleExtract!B:O,14,FALSE),"")</f>
        <v/>
      </c>
      <c r="K2021" s="26" t="str">
        <f>IFERROR(VLOOKUP(G2021,WholesaleExtract!B:K,10,FALSE),"")</f>
        <v/>
      </c>
      <c r="L2021" s="47" t="str">
        <f>IFERROR(VLOOKUP(G2021,WholesaleExtract!B:L,11,FALSE),"")</f>
        <v/>
      </c>
      <c r="M2021" s="47" t="str">
        <f>IFERROR(VLOOKUP(G2021,WholesaleExtract!B:M,12,FALSE),"")</f>
        <v/>
      </c>
      <c r="R2021" s="19"/>
      <c r="S2021" s="19"/>
    </row>
    <row r="2022" spans="1:19" x14ac:dyDescent="0.35">
      <c r="A2022" s="26" t="s">
        <v>543</v>
      </c>
      <c r="B2022" s="26" t="s">
        <v>543</v>
      </c>
      <c r="C2022" s="26"/>
      <c r="D2022" s="26" t="s">
        <v>543</v>
      </c>
      <c r="E2022" s="26" t="str">
        <f>IFERROR(VLOOKUP(G2022,WholesaleExtract!B:J,9,FALSE),"")</f>
        <v/>
      </c>
      <c r="F2022" s="26" t="str">
        <f>IFERROR(VLOOKUP(G2022,WholesaleExtract!B:J,6,FALSE),"")</f>
        <v/>
      </c>
      <c r="H2022" s="47" t="str">
        <f>IFERROR(VLOOKUP(G2022,WholesaleExtract!B:L,11,FALSE),"")</f>
        <v/>
      </c>
      <c r="I2022" s="26" t="str">
        <f>IFERROR(VLOOKUP(G2022,WholesaleExtract!B:O,8,FALSE),"")</f>
        <v/>
      </c>
      <c r="J2022" s="26" t="str">
        <f>IFERROR(VLOOKUP(G2022,WholesaleExtract!B:O,14,FALSE),"")</f>
        <v/>
      </c>
      <c r="K2022" s="26" t="str">
        <f>IFERROR(VLOOKUP(G2022,WholesaleExtract!B:K,10,FALSE),"")</f>
        <v/>
      </c>
      <c r="L2022" s="47" t="str">
        <f>IFERROR(VLOOKUP(G2022,WholesaleExtract!B:L,11,FALSE),"")</f>
        <v/>
      </c>
      <c r="M2022" s="47" t="str">
        <f>IFERROR(VLOOKUP(G2022,WholesaleExtract!B:M,12,FALSE),"")</f>
        <v/>
      </c>
      <c r="R2022" s="19"/>
      <c r="S2022" s="19"/>
    </row>
    <row r="2023" spans="1:19" x14ac:dyDescent="0.35">
      <c r="A2023" s="26" t="s">
        <v>543</v>
      </c>
      <c r="B2023" s="26" t="s">
        <v>543</v>
      </c>
      <c r="C2023" s="26"/>
      <c r="D2023" s="26" t="s">
        <v>543</v>
      </c>
      <c r="E2023" s="26" t="str">
        <f>IFERROR(VLOOKUP(G2023,WholesaleExtract!B:J,9,FALSE),"")</f>
        <v/>
      </c>
      <c r="F2023" s="26" t="str">
        <f>IFERROR(VLOOKUP(G2023,WholesaleExtract!B:J,6,FALSE),"")</f>
        <v/>
      </c>
      <c r="H2023" s="47" t="str">
        <f>IFERROR(VLOOKUP(G2023,WholesaleExtract!B:L,11,FALSE),"")</f>
        <v/>
      </c>
      <c r="I2023" s="26" t="str">
        <f>IFERROR(VLOOKUP(G2023,WholesaleExtract!B:O,8,FALSE),"")</f>
        <v/>
      </c>
      <c r="J2023" s="26" t="str">
        <f>IFERROR(VLOOKUP(G2023,WholesaleExtract!B:O,14,FALSE),"")</f>
        <v/>
      </c>
      <c r="K2023" s="26" t="str">
        <f>IFERROR(VLOOKUP(G2023,WholesaleExtract!B:K,10,FALSE),"")</f>
        <v/>
      </c>
      <c r="L2023" s="47" t="str">
        <f>IFERROR(VLOOKUP(G2023,WholesaleExtract!B:L,11,FALSE),"")</f>
        <v/>
      </c>
      <c r="M2023" s="47" t="str">
        <f>IFERROR(VLOOKUP(G2023,WholesaleExtract!B:M,12,FALSE),"")</f>
        <v/>
      </c>
      <c r="R2023" s="19"/>
      <c r="S2023" s="19"/>
    </row>
    <row r="2024" spans="1:19" x14ac:dyDescent="0.35">
      <c r="A2024" s="26" t="s">
        <v>543</v>
      </c>
      <c r="B2024" s="26" t="s">
        <v>543</v>
      </c>
      <c r="C2024" s="26"/>
      <c r="D2024" s="26" t="s">
        <v>543</v>
      </c>
      <c r="E2024" s="26" t="str">
        <f>IFERROR(VLOOKUP(G2024,WholesaleExtract!B:J,9,FALSE),"")</f>
        <v/>
      </c>
      <c r="F2024" s="26" t="str">
        <f>IFERROR(VLOOKUP(G2024,WholesaleExtract!B:J,6,FALSE),"")</f>
        <v/>
      </c>
      <c r="H2024" s="47" t="str">
        <f>IFERROR(VLOOKUP(G2024,WholesaleExtract!B:L,11,FALSE),"")</f>
        <v/>
      </c>
      <c r="I2024" s="26" t="str">
        <f>IFERROR(VLOOKUP(G2024,WholesaleExtract!B:O,8,FALSE),"")</f>
        <v/>
      </c>
      <c r="J2024" s="26" t="str">
        <f>IFERROR(VLOOKUP(G2024,WholesaleExtract!B:O,14,FALSE),"")</f>
        <v/>
      </c>
      <c r="K2024" s="26" t="str">
        <f>IFERROR(VLOOKUP(G2024,WholesaleExtract!B:K,10,FALSE),"")</f>
        <v/>
      </c>
      <c r="L2024" s="47" t="str">
        <f>IFERROR(VLOOKUP(G2024,WholesaleExtract!B:L,11,FALSE),"")</f>
        <v/>
      </c>
      <c r="M2024" s="47" t="str">
        <f>IFERROR(VLOOKUP(G2024,WholesaleExtract!B:M,12,FALSE),"")</f>
        <v/>
      </c>
      <c r="R2024" s="19"/>
      <c r="S2024" s="19"/>
    </row>
    <row r="2025" spans="1:19" x14ac:dyDescent="0.35">
      <c r="A2025" s="26" t="s">
        <v>543</v>
      </c>
      <c r="B2025" s="26" t="s">
        <v>543</v>
      </c>
      <c r="C2025" s="26"/>
      <c r="D2025" s="26" t="s">
        <v>543</v>
      </c>
      <c r="E2025" s="26" t="str">
        <f>IFERROR(VLOOKUP(G2025,WholesaleExtract!B:J,9,FALSE),"")</f>
        <v/>
      </c>
      <c r="F2025" s="26" t="str">
        <f>IFERROR(VLOOKUP(G2025,WholesaleExtract!B:J,6,FALSE),"")</f>
        <v/>
      </c>
      <c r="H2025" s="47" t="str">
        <f>IFERROR(VLOOKUP(G2025,WholesaleExtract!B:L,11,FALSE),"")</f>
        <v/>
      </c>
      <c r="I2025" s="26" t="str">
        <f>IFERROR(VLOOKUP(G2025,WholesaleExtract!B:O,8,FALSE),"")</f>
        <v/>
      </c>
      <c r="J2025" s="26" t="str">
        <f>IFERROR(VLOOKUP(G2025,WholesaleExtract!B:O,14,FALSE),"")</f>
        <v/>
      </c>
      <c r="K2025" s="26" t="str">
        <f>IFERROR(VLOOKUP(G2025,WholesaleExtract!B:K,10,FALSE),"")</f>
        <v/>
      </c>
      <c r="L2025" s="47" t="str">
        <f>IFERROR(VLOOKUP(G2025,WholesaleExtract!B:L,11,FALSE),"")</f>
        <v/>
      </c>
      <c r="M2025" s="47" t="str">
        <f>IFERROR(VLOOKUP(G2025,WholesaleExtract!B:M,12,FALSE),"")</f>
        <v/>
      </c>
      <c r="R2025" s="19"/>
      <c r="S2025" s="19"/>
    </row>
    <row r="2026" spans="1:19" x14ac:dyDescent="0.35">
      <c r="A2026" s="26" t="s">
        <v>543</v>
      </c>
      <c r="B2026" s="26" t="s">
        <v>543</v>
      </c>
      <c r="C2026" s="26"/>
      <c r="D2026" s="26" t="s">
        <v>543</v>
      </c>
      <c r="E2026" s="26" t="str">
        <f>IFERROR(VLOOKUP(G2026,WholesaleExtract!B:J,9,FALSE),"")</f>
        <v/>
      </c>
      <c r="F2026" s="26" t="str">
        <f>IFERROR(VLOOKUP(G2026,WholesaleExtract!B:J,6,FALSE),"")</f>
        <v/>
      </c>
      <c r="H2026" s="47" t="str">
        <f>IFERROR(VLOOKUP(G2026,WholesaleExtract!B:L,11,FALSE),"")</f>
        <v/>
      </c>
      <c r="I2026" s="26" t="str">
        <f>IFERROR(VLOOKUP(G2026,WholesaleExtract!B:O,8,FALSE),"")</f>
        <v/>
      </c>
      <c r="J2026" s="26" t="str">
        <f>IFERROR(VLOOKUP(G2026,WholesaleExtract!B:O,14,FALSE),"")</f>
        <v/>
      </c>
      <c r="K2026" s="26" t="str">
        <f>IFERROR(VLOOKUP(G2026,WholesaleExtract!B:K,10,FALSE),"")</f>
        <v/>
      </c>
      <c r="L2026" s="47" t="str">
        <f>IFERROR(VLOOKUP(G2026,WholesaleExtract!B:L,11,FALSE),"")</f>
        <v/>
      </c>
      <c r="M2026" s="47" t="str">
        <f>IFERROR(VLOOKUP(G2026,WholesaleExtract!B:M,12,FALSE),"")</f>
        <v/>
      </c>
      <c r="R2026" s="19"/>
      <c r="S2026" s="19"/>
    </row>
    <row r="2027" spans="1:19" x14ac:dyDescent="0.35">
      <c r="A2027" s="26" t="s">
        <v>543</v>
      </c>
      <c r="B2027" s="26" t="s">
        <v>543</v>
      </c>
      <c r="C2027" s="26"/>
      <c r="D2027" s="26" t="s">
        <v>543</v>
      </c>
      <c r="E2027" s="26" t="str">
        <f>IFERROR(VLOOKUP(G2027,WholesaleExtract!B:J,9,FALSE),"")</f>
        <v/>
      </c>
      <c r="F2027" s="26" t="str">
        <f>IFERROR(VLOOKUP(G2027,WholesaleExtract!B:J,6,FALSE),"")</f>
        <v/>
      </c>
      <c r="H2027" s="47" t="str">
        <f>IFERROR(VLOOKUP(G2027,WholesaleExtract!B:L,11,FALSE),"")</f>
        <v/>
      </c>
      <c r="I2027" s="26" t="str">
        <f>IFERROR(VLOOKUP(G2027,WholesaleExtract!B:O,8,FALSE),"")</f>
        <v/>
      </c>
      <c r="J2027" s="26" t="str">
        <f>IFERROR(VLOOKUP(G2027,WholesaleExtract!B:O,14,FALSE),"")</f>
        <v/>
      </c>
      <c r="K2027" s="26" t="str">
        <f>IFERROR(VLOOKUP(G2027,WholesaleExtract!B:K,10,FALSE),"")</f>
        <v/>
      </c>
      <c r="L2027" s="47" t="str">
        <f>IFERROR(VLOOKUP(G2027,WholesaleExtract!B:L,11,FALSE),"")</f>
        <v/>
      </c>
      <c r="M2027" s="47" t="str">
        <f>IFERROR(VLOOKUP(G2027,WholesaleExtract!B:M,12,FALSE),"")</f>
        <v/>
      </c>
      <c r="R2027" s="19"/>
      <c r="S2027" s="19"/>
    </row>
    <row r="2028" spans="1:19" x14ac:dyDescent="0.35">
      <c r="A2028" s="26" t="s">
        <v>543</v>
      </c>
      <c r="B2028" s="26" t="s">
        <v>543</v>
      </c>
      <c r="C2028" s="26"/>
      <c r="D2028" s="26" t="s">
        <v>543</v>
      </c>
      <c r="E2028" s="26" t="str">
        <f>IFERROR(VLOOKUP(G2028,WholesaleExtract!B:J,9,FALSE),"")</f>
        <v/>
      </c>
      <c r="F2028" s="26" t="str">
        <f>IFERROR(VLOOKUP(G2028,WholesaleExtract!B:J,6,FALSE),"")</f>
        <v/>
      </c>
      <c r="H2028" s="47" t="str">
        <f>IFERROR(VLOOKUP(G2028,WholesaleExtract!B:L,11,FALSE),"")</f>
        <v/>
      </c>
      <c r="I2028" s="26" t="str">
        <f>IFERROR(VLOOKUP(G2028,WholesaleExtract!B:O,8,FALSE),"")</f>
        <v/>
      </c>
      <c r="J2028" s="26" t="str">
        <f>IFERROR(VLOOKUP(G2028,WholesaleExtract!B:O,14,FALSE),"")</f>
        <v/>
      </c>
      <c r="K2028" s="26" t="str">
        <f>IFERROR(VLOOKUP(G2028,WholesaleExtract!B:K,10,FALSE),"")</f>
        <v/>
      </c>
      <c r="L2028" s="47" t="str">
        <f>IFERROR(VLOOKUP(G2028,WholesaleExtract!B:L,11,FALSE),"")</f>
        <v/>
      </c>
      <c r="M2028" s="47" t="str">
        <f>IFERROR(VLOOKUP(G2028,WholesaleExtract!B:M,12,FALSE),"")</f>
        <v/>
      </c>
      <c r="R2028" s="19"/>
      <c r="S2028" s="19"/>
    </row>
    <row r="2029" spans="1:19" x14ac:dyDescent="0.35">
      <c r="A2029" s="26" t="s">
        <v>543</v>
      </c>
      <c r="B2029" s="26" t="s">
        <v>543</v>
      </c>
      <c r="C2029" s="26"/>
      <c r="D2029" s="26" t="s">
        <v>543</v>
      </c>
      <c r="E2029" s="26" t="str">
        <f>IFERROR(VLOOKUP(G2029,WholesaleExtract!B:J,9,FALSE),"")</f>
        <v/>
      </c>
      <c r="F2029" s="26" t="str">
        <f>IFERROR(VLOOKUP(G2029,WholesaleExtract!B:J,6,FALSE),"")</f>
        <v/>
      </c>
      <c r="H2029" s="47" t="str">
        <f>IFERROR(VLOOKUP(G2029,WholesaleExtract!B:L,11,FALSE),"")</f>
        <v/>
      </c>
      <c r="I2029" s="26" t="str">
        <f>IFERROR(VLOOKUP(G2029,WholesaleExtract!B:O,8,FALSE),"")</f>
        <v/>
      </c>
      <c r="J2029" s="26" t="str">
        <f>IFERROR(VLOOKUP(G2029,WholesaleExtract!B:O,14,FALSE),"")</f>
        <v/>
      </c>
      <c r="K2029" s="26" t="str">
        <f>IFERROR(VLOOKUP(G2029,WholesaleExtract!B:K,10,FALSE),"")</f>
        <v/>
      </c>
      <c r="L2029" s="47" t="str">
        <f>IFERROR(VLOOKUP(G2029,WholesaleExtract!B:L,11,FALSE),"")</f>
        <v/>
      </c>
      <c r="M2029" s="47" t="str">
        <f>IFERROR(VLOOKUP(G2029,WholesaleExtract!B:M,12,FALSE),"")</f>
        <v/>
      </c>
      <c r="R2029" s="19"/>
      <c r="S2029" s="19"/>
    </row>
    <row r="2030" spans="1:19" x14ac:dyDescent="0.35">
      <c r="A2030" s="26" t="s">
        <v>543</v>
      </c>
      <c r="B2030" s="26" t="s">
        <v>543</v>
      </c>
      <c r="C2030" s="26"/>
      <c r="D2030" s="26" t="s">
        <v>543</v>
      </c>
      <c r="E2030" s="26" t="str">
        <f>IFERROR(VLOOKUP(G2030,WholesaleExtract!B:J,9,FALSE),"")</f>
        <v/>
      </c>
      <c r="F2030" s="26" t="str">
        <f>IFERROR(VLOOKUP(G2030,WholesaleExtract!B:J,6,FALSE),"")</f>
        <v/>
      </c>
      <c r="H2030" s="47" t="str">
        <f>IFERROR(VLOOKUP(G2030,WholesaleExtract!B:L,11,FALSE),"")</f>
        <v/>
      </c>
      <c r="I2030" s="26" t="str">
        <f>IFERROR(VLOOKUP(G2030,WholesaleExtract!B:O,8,FALSE),"")</f>
        <v/>
      </c>
      <c r="J2030" s="26" t="str">
        <f>IFERROR(VLOOKUP(G2030,WholesaleExtract!B:O,14,FALSE),"")</f>
        <v/>
      </c>
      <c r="K2030" s="26" t="str">
        <f>IFERROR(VLOOKUP(G2030,WholesaleExtract!B:K,10,FALSE),"")</f>
        <v/>
      </c>
      <c r="L2030" s="47" t="str">
        <f>IFERROR(VLOOKUP(G2030,WholesaleExtract!B:L,11,FALSE),"")</f>
        <v/>
      </c>
      <c r="M2030" s="47" t="str">
        <f>IFERROR(VLOOKUP(G2030,WholesaleExtract!B:M,12,FALSE),"")</f>
        <v/>
      </c>
      <c r="R2030" s="19"/>
      <c r="S2030" s="19"/>
    </row>
    <row r="2031" spans="1:19" x14ac:dyDescent="0.35">
      <c r="A2031" s="26" t="s">
        <v>543</v>
      </c>
      <c r="B2031" s="26" t="s">
        <v>543</v>
      </c>
      <c r="C2031" s="26"/>
      <c r="D2031" s="26" t="s">
        <v>543</v>
      </c>
      <c r="E2031" s="26" t="str">
        <f>IFERROR(VLOOKUP(G2031,WholesaleExtract!B:J,9,FALSE),"")</f>
        <v/>
      </c>
      <c r="F2031" s="26" t="str">
        <f>IFERROR(VLOOKUP(G2031,WholesaleExtract!B:J,6,FALSE),"")</f>
        <v/>
      </c>
      <c r="H2031" s="47" t="str">
        <f>IFERROR(VLOOKUP(G2031,WholesaleExtract!B:L,11,FALSE),"")</f>
        <v/>
      </c>
      <c r="I2031" s="26" t="str">
        <f>IFERROR(VLOOKUP(G2031,WholesaleExtract!B:O,8,FALSE),"")</f>
        <v/>
      </c>
      <c r="J2031" s="26" t="str">
        <f>IFERROR(VLOOKUP(G2031,WholesaleExtract!B:O,14,FALSE),"")</f>
        <v/>
      </c>
      <c r="K2031" s="26" t="str">
        <f>IFERROR(VLOOKUP(G2031,WholesaleExtract!B:K,10,FALSE),"")</f>
        <v/>
      </c>
      <c r="L2031" s="47" t="str">
        <f>IFERROR(VLOOKUP(G2031,WholesaleExtract!B:L,11,FALSE),"")</f>
        <v/>
      </c>
      <c r="M2031" s="47" t="str">
        <f>IFERROR(VLOOKUP(G2031,WholesaleExtract!B:M,12,FALSE),"")</f>
        <v/>
      </c>
      <c r="R2031" s="19"/>
      <c r="S2031" s="19"/>
    </row>
    <row r="2032" spans="1:19" x14ac:dyDescent="0.35">
      <c r="A2032" s="26" t="s">
        <v>543</v>
      </c>
      <c r="B2032" s="26" t="s">
        <v>543</v>
      </c>
      <c r="C2032" s="26"/>
      <c r="D2032" s="26" t="s">
        <v>543</v>
      </c>
      <c r="E2032" s="26" t="str">
        <f>IFERROR(VLOOKUP(G2032,WholesaleExtract!B:J,9,FALSE),"")</f>
        <v/>
      </c>
      <c r="F2032" s="26" t="str">
        <f>IFERROR(VLOOKUP(G2032,WholesaleExtract!B:J,6,FALSE),"")</f>
        <v/>
      </c>
      <c r="H2032" s="47" t="str">
        <f>IFERROR(VLOOKUP(G2032,WholesaleExtract!B:L,11,FALSE),"")</f>
        <v/>
      </c>
      <c r="I2032" s="26" t="str">
        <f>IFERROR(VLOOKUP(G2032,WholesaleExtract!B:O,8,FALSE),"")</f>
        <v/>
      </c>
      <c r="J2032" s="26" t="str">
        <f>IFERROR(VLOOKUP(G2032,WholesaleExtract!B:O,14,FALSE),"")</f>
        <v/>
      </c>
      <c r="K2032" s="26" t="str">
        <f>IFERROR(VLOOKUP(G2032,WholesaleExtract!B:K,10,FALSE),"")</f>
        <v/>
      </c>
      <c r="L2032" s="47" t="str">
        <f>IFERROR(VLOOKUP(G2032,WholesaleExtract!B:L,11,FALSE),"")</f>
        <v/>
      </c>
      <c r="M2032" s="47" t="str">
        <f>IFERROR(VLOOKUP(G2032,WholesaleExtract!B:M,12,FALSE),"")</f>
        <v/>
      </c>
      <c r="R2032" s="19"/>
      <c r="S2032" s="19"/>
    </row>
    <row r="2033" spans="1:19" x14ac:dyDescent="0.35">
      <c r="A2033" s="26" t="s">
        <v>543</v>
      </c>
      <c r="B2033" s="26" t="s">
        <v>543</v>
      </c>
      <c r="C2033" s="26"/>
      <c r="D2033" s="26" t="s">
        <v>543</v>
      </c>
      <c r="E2033" s="26" t="str">
        <f>IFERROR(VLOOKUP(G2033,WholesaleExtract!B:J,9,FALSE),"")</f>
        <v/>
      </c>
      <c r="F2033" s="26" t="str">
        <f>IFERROR(VLOOKUP(G2033,WholesaleExtract!B:J,6,FALSE),"")</f>
        <v/>
      </c>
      <c r="H2033" s="47" t="str">
        <f>IFERROR(VLOOKUP(G2033,WholesaleExtract!B:L,11,FALSE),"")</f>
        <v/>
      </c>
      <c r="I2033" s="26" t="str">
        <f>IFERROR(VLOOKUP(G2033,WholesaleExtract!B:O,8,FALSE),"")</f>
        <v/>
      </c>
      <c r="J2033" s="26" t="str">
        <f>IFERROR(VLOOKUP(G2033,WholesaleExtract!B:O,14,FALSE),"")</f>
        <v/>
      </c>
      <c r="K2033" s="26" t="str">
        <f>IFERROR(VLOOKUP(G2033,WholesaleExtract!B:K,10,FALSE),"")</f>
        <v/>
      </c>
      <c r="L2033" s="47" t="str">
        <f>IFERROR(VLOOKUP(G2033,WholesaleExtract!B:L,11,FALSE),"")</f>
        <v/>
      </c>
      <c r="M2033" s="47" t="str">
        <f>IFERROR(VLOOKUP(G2033,WholesaleExtract!B:M,12,FALSE),"")</f>
        <v/>
      </c>
      <c r="R2033" s="19"/>
      <c r="S2033" s="19"/>
    </row>
    <row r="2034" spans="1:19" x14ac:dyDescent="0.35">
      <c r="A2034" s="26" t="s">
        <v>543</v>
      </c>
      <c r="B2034" s="26" t="s">
        <v>543</v>
      </c>
      <c r="C2034" s="26"/>
      <c r="D2034" s="26" t="s">
        <v>543</v>
      </c>
      <c r="E2034" s="26" t="str">
        <f>IFERROR(VLOOKUP(G2034,WholesaleExtract!B:J,9,FALSE),"")</f>
        <v/>
      </c>
      <c r="F2034" s="26" t="str">
        <f>IFERROR(VLOOKUP(G2034,WholesaleExtract!B:J,6,FALSE),"")</f>
        <v/>
      </c>
      <c r="H2034" s="47" t="str">
        <f>IFERROR(VLOOKUP(G2034,WholesaleExtract!B:L,11,FALSE),"")</f>
        <v/>
      </c>
      <c r="I2034" s="26" t="str">
        <f>IFERROR(VLOOKUP(G2034,WholesaleExtract!B:O,8,FALSE),"")</f>
        <v/>
      </c>
      <c r="J2034" s="26" t="str">
        <f>IFERROR(VLOOKUP(G2034,WholesaleExtract!B:O,14,FALSE),"")</f>
        <v/>
      </c>
      <c r="K2034" s="26" t="str">
        <f>IFERROR(VLOOKUP(G2034,WholesaleExtract!B:K,10,FALSE),"")</f>
        <v/>
      </c>
      <c r="L2034" s="47" t="str">
        <f>IFERROR(VLOOKUP(G2034,WholesaleExtract!B:L,11,FALSE),"")</f>
        <v/>
      </c>
      <c r="M2034" s="47" t="str">
        <f>IFERROR(VLOOKUP(G2034,WholesaleExtract!B:M,12,FALSE),"")</f>
        <v/>
      </c>
      <c r="R2034" s="19"/>
      <c r="S2034" s="19"/>
    </row>
    <row r="2035" spans="1:19" x14ac:dyDescent="0.35">
      <c r="A2035" s="26" t="s">
        <v>543</v>
      </c>
      <c r="B2035" s="26" t="s">
        <v>543</v>
      </c>
      <c r="C2035" s="26"/>
      <c r="D2035" s="26" t="s">
        <v>543</v>
      </c>
      <c r="E2035" s="26" t="str">
        <f>IFERROR(VLOOKUP(G2035,WholesaleExtract!B:J,9,FALSE),"")</f>
        <v/>
      </c>
      <c r="F2035" s="26" t="str">
        <f>IFERROR(VLOOKUP(G2035,WholesaleExtract!B:J,6,FALSE),"")</f>
        <v/>
      </c>
      <c r="H2035" s="47" t="str">
        <f>IFERROR(VLOOKUP(G2035,WholesaleExtract!B:L,11,FALSE),"")</f>
        <v/>
      </c>
      <c r="I2035" s="26" t="str">
        <f>IFERROR(VLOOKUP(G2035,WholesaleExtract!B:O,8,FALSE),"")</f>
        <v/>
      </c>
      <c r="J2035" s="26" t="str">
        <f>IFERROR(VLOOKUP(G2035,WholesaleExtract!B:O,14,FALSE),"")</f>
        <v/>
      </c>
      <c r="K2035" s="26" t="str">
        <f>IFERROR(VLOOKUP(G2035,WholesaleExtract!B:K,10,FALSE),"")</f>
        <v/>
      </c>
      <c r="L2035" s="47" t="str">
        <f>IFERROR(VLOOKUP(G2035,WholesaleExtract!B:L,11,FALSE),"")</f>
        <v/>
      </c>
      <c r="M2035" s="47" t="str">
        <f>IFERROR(VLOOKUP(G2035,WholesaleExtract!B:M,12,FALSE),"")</f>
        <v/>
      </c>
      <c r="R2035" s="19"/>
      <c r="S2035" s="19"/>
    </row>
    <row r="2036" spans="1:19" x14ac:dyDescent="0.35">
      <c r="A2036" s="26" t="s">
        <v>543</v>
      </c>
      <c r="B2036" s="26" t="s">
        <v>543</v>
      </c>
      <c r="C2036" s="26"/>
      <c r="D2036" s="26" t="s">
        <v>543</v>
      </c>
      <c r="E2036" s="26" t="str">
        <f>IFERROR(VLOOKUP(G2036,WholesaleExtract!B:J,9,FALSE),"")</f>
        <v/>
      </c>
      <c r="F2036" s="26" t="str">
        <f>IFERROR(VLOOKUP(G2036,WholesaleExtract!B:J,6,FALSE),"")</f>
        <v/>
      </c>
      <c r="H2036" s="47" t="str">
        <f>IFERROR(VLOOKUP(G2036,WholesaleExtract!B:L,11,FALSE),"")</f>
        <v/>
      </c>
      <c r="I2036" s="26" t="str">
        <f>IFERROR(VLOOKUP(G2036,WholesaleExtract!B:O,8,FALSE),"")</f>
        <v/>
      </c>
      <c r="J2036" s="26" t="str">
        <f>IFERROR(VLOOKUP(G2036,WholesaleExtract!B:O,14,FALSE),"")</f>
        <v/>
      </c>
      <c r="K2036" s="26" t="str">
        <f>IFERROR(VLOOKUP(G2036,WholesaleExtract!B:K,10,FALSE),"")</f>
        <v/>
      </c>
      <c r="L2036" s="47" t="str">
        <f>IFERROR(VLOOKUP(G2036,WholesaleExtract!B:L,11,FALSE),"")</f>
        <v/>
      </c>
      <c r="M2036" s="47" t="str">
        <f>IFERROR(VLOOKUP(G2036,WholesaleExtract!B:M,12,FALSE),"")</f>
        <v/>
      </c>
      <c r="R2036" s="19"/>
      <c r="S2036" s="19"/>
    </row>
    <row r="2037" spans="1:19" x14ac:dyDescent="0.35">
      <c r="A2037" s="26" t="s">
        <v>543</v>
      </c>
      <c r="B2037" s="26" t="s">
        <v>543</v>
      </c>
      <c r="C2037" s="26"/>
      <c r="D2037" s="26" t="s">
        <v>543</v>
      </c>
      <c r="E2037" s="26" t="str">
        <f>IFERROR(VLOOKUP(G2037,WholesaleExtract!B:J,9,FALSE),"")</f>
        <v/>
      </c>
      <c r="F2037" s="26" t="str">
        <f>IFERROR(VLOOKUP(G2037,WholesaleExtract!B:J,6,FALSE),"")</f>
        <v/>
      </c>
      <c r="H2037" s="47" t="str">
        <f>IFERROR(VLOOKUP(G2037,WholesaleExtract!B:L,11,FALSE),"")</f>
        <v/>
      </c>
      <c r="I2037" s="26" t="str">
        <f>IFERROR(VLOOKUP(G2037,WholesaleExtract!B:O,8,FALSE),"")</f>
        <v/>
      </c>
      <c r="J2037" s="26" t="str">
        <f>IFERROR(VLOOKUP(G2037,WholesaleExtract!B:O,14,FALSE),"")</f>
        <v/>
      </c>
      <c r="K2037" s="26" t="str">
        <f>IFERROR(VLOOKUP(G2037,WholesaleExtract!B:K,10,FALSE),"")</f>
        <v/>
      </c>
      <c r="L2037" s="47" t="str">
        <f>IFERROR(VLOOKUP(G2037,WholesaleExtract!B:L,11,FALSE),"")</f>
        <v/>
      </c>
      <c r="M2037" s="47" t="str">
        <f>IFERROR(VLOOKUP(G2037,WholesaleExtract!B:M,12,FALSE),"")</f>
        <v/>
      </c>
      <c r="R2037" s="19"/>
      <c r="S2037" s="19"/>
    </row>
    <row r="2038" spans="1:19" x14ac:dyDescent="0.35">
      <c r="A2038" s="26" t="s">
        <v>543</v>
      </c>
      <c r="B2038" s="26" t="s">
        <v>543</v>
      </c>
      <c r="C2038" s="26"/>
      <c r="D2038" s="26" t="s">
        <v>543</v>
      </c>
      <c r="E2038" s="26" t="str">
        <f>IFERROR(VLOOKUP(G2038,WholesaleExtract!B:J,9,FALSE),"")</f>
        <v/>
      </c>
      <c r="F2038" s="26" t="str">
        <f>IFERROR(VLOOKUP(G2038,WholesaleExtract!B:J,6,FALSE),"")</f>
        <v/>
      </c>
      <c r="H2038" s="47" t="str">
        <f>IFERROR(VLOOKUP(G2038,WholesaleExtract!B:L,11,FALSE),"")</f>
        <v/>
      </c>
      <c r="I2038" s="26" t="str">
        <f>IFERROR(VLOOKUP(G2038,WholesaleExtract!B:O,8,FALSE),"")</f>
        <v/>
      </c>
      <c r="J2038" s="26" t="str">
        <f>IFERROR(VLOOKUP(G2038,WholesaleExtract!B:O,14,FALSE),"")</f>
        <v/>
      </c>
      <c r="K2038" s="26" t="str">
        <f>IFERROR(VLOOKUP(G2038,WholesaleExtract!B:K,10,FALSE),"")</f>
        <v/>
      </c>
      <c r="L2038" s="47" t="str">
        <f>IFERROR(VLOOKUP(G2038,WholesaleExtract!B:L,11,FALSE),"")</f>
        <v/>
      </c>
      <c r="M2038" s="47" t="str">
        <f>IFERROR(VLOOKUP(G2038,WholesaleExtract!B:M,12,FALSE),"")</f>
        <v/>
      </c>
      <c r="R2038" s="19"/>
      <c r="S2038" s="19"/>
    </row>
    <row r="2039" spans="1:19" x14ac:dyDescent="0.35">
      <c r="A2039" s="26" t="s">
        <v>543</v>
      </c>
      <c r="B2039" s="26" t="s">
        <v>543</v>
      </c>
      <c r="C2039" s="26"/>
      <c r="D2039" s="26" t="s">
        <v>543</v>
      </c>
      <c r="E2039" s="26" t="str">
        <f>IFERROR(VLOOKUP(G2039,WholesaleExtract!B:J,9,FALSE),"")</f>
        <v/>
      </c>
      <c r="F2039" s="26" t="str">
        <f>IFERROR(VLOOKUP(G2039,WholesaleExtract!B:J,6,FALSE),"")</f>
        <v/>
      </c>
      <c r="H2039" s="47" t="str">
        <f>IFERROR(VLOOKUP(G2039,WholesaleExtract!B:L,11,FALSE),"")</f>
        <v/>
      </c>
      <c r="I2039" s="26" t="str">
        <f>IFERROR(VLOOKUP(G2039,WholesaleExtract!B:O,8,FALSE),"")</f>
        <v/>
      </c>
      <c r="J2039" s="26" t="str">
        <f>IFERROR(VLOOKUP(G2039,WholesaleExtract!B:O,14,FALSE),"")</f>
        <v/>
      </c>
      <c r="K2039" s="26" t="str">
        <f>IFERROR(VLOOKUP(G2039,WholesaleExtract!B:K,10,FALSE),"")</f>
        <v/>
      </c>
      <c r="L2039" s="47" t="str">
        <f>IFERROR(VLOOKUP(G2039,WholesaleExtract!B:L,11,FALSE),"")</f>
        <v/>
      </c>
      <c r="M2039" s="47" t="str">
        <f>IFERROR(VLOOKUP(G2039,WholesaleExtract!B:M,12,FALSE),"")</f>
        <v/>
      </c>
      <c r="R2039" s="19"/>
      <c r="S2039" s="19"/>
    </row>
    <row r="2040" spans="1:19" x14ac:dyDescent="0.35">
      <c r="A2040" s="26" t="s">
        <v>543</v>
      </c>
      <c r="B2040" s="26" t="s">
        <v>543</v>
      </c>
      <c r="C2040" s="26"/>
      <c r="D2040" s="26" t="s">
        <v>543</v>
      </c>
      <c r="E2040" s="26" t="str">
        <f>IFERROR(VLOOKUP(G2040,WholesaleExtract!B:J,9,FALSE),"")</f>
        <v/>
      </c>
      <c r="F2040" s="26" t="str">
        <f>IFERROR(VLOOKUP(G2040,WholesaleExtract!B:J,6,FALSE),"")</f>
        <v/>
      </c>
      <c r="H2040" s="47" t="str">
        <f>IFERROR(VLOOKUP(G2040,WholesaleExtract!B:L,11,FALSE),"")</f>
        <v/>
      </c>
      <c r="I2040" s="26" t="str">
        <f>IFERROR(VLOOKUP(G2040,WholesaleExtract!B:O,8,FALSE),"")</f>
        <v/>
      </c>
      <c r="J2040" s="26" t="str">
        <f>IFERROR(VLOOKUP(G2040,WholesaleExtract!B:O,14,FALSE),"")</f>
        <v/>
      </c>
      <c r="K2040" s="26" t="str">
        <f>IFERROR(VLOOKUP(G2040,WholesaleExtract!B:K,10,FALSE),"")</f>
        <v/>
      </c>
      <c r="L2040" s="47" t="str">
        <f>IFERROR(VLOOKUP(G2040,WholesaleExtract!B:L,11,FALSE),"")</f>
        <v/>
      </c>
      <c r="M2040" s="47" t="str">
        <f>IFERROR(VLOOKUP(G2040,WholesaleExtract!B:M,12,FALSE),"")</f>
        <v/>
      </c>
      <c r="R2040" s="19"/>
      <c r="S2040" s="19"/>
    </row>
    <row r="2041" spans="1:19" x14ac:dyDescent="0.35">
      <c r="A2041" s="26" t="s">
        <v>543</v>
      </c>
      <c r="B2041" s="26" t="s">
        <v>543</v>
      </c>
      <c r="C2041" s="26"/>
      <c r="D2041" s="26" t="s">
        <v>543</v>
      </c>
      <c r="E2041" s="26" t="str">
        <f>IFERROR(VLOOKUP(G2041,WholesaleExtract!B:J,9,FALSE),"")</f>
        <v/>
      </c>
      <c r="F2041" s="26" t="str">
        <f>IFERROR(VLOOKUP(G2041,WholesaleExtract!B:J,6,FALSE),"")</f>
        <v/>
      </c>
      <c r="H2041" s="47" t="str">
        <f>IFERROR(VLOOKUP(G2041,WholesaleExtract!B:L,11,FALSE),"")</f>
        <v/>
      </c>
      <c r="I2041" s="26" t="str">
        <f>IFERROR(VLOOKUP(G2041,WholesaleExtract!B:O,8,FALSE),"")</f>
        <v/>
      </c>
      <c r="J2041" s="26" t="str">
        <f>IFERROR(VLOOKUP(G2041,WholesaleExtract!B:O,14,FALSE),"")</f>
        <v/>
      </c>
      <c r="K2041" s="26" t="str">
        <f>IFERROR(VLOOKUP(G2041,WholesaleExtract!B:K,10,FALSE),"")</f>
        <v/>
      </c>
      <c r="L2041" s="47" t="str">
        <f>IFERROR(VLOOKUP(G2041,WholesaleExtract!B:L,11,FALSE),"")</f>
        <v/>
      </c>
      <c r="M2041" s="47" t="str">
        <f>IFERROR(VLOOKUP(G2041,WholesaleExtract!B:M,12,FALSE),"")</f>
        <v/>
      </c>
      <c r="R2041" s="19"/>
      <c r="S2041" s="19"/>
    </row>
    <row r="2042" spans="1:19" x14ac:dyDescent="0.35">
      <c r="A2042" s="26" t="s">
        <v>543</v>
      </c>
      <c r="B2042" s="26" t="s">
        <v>543</v>
      </c>
      <c r="C2042" s="26"/>
      <c r="D2042" s="26" t="s">
        <v>543</v>
      </c>
      <c r="E2042" s="26" t="str">
        <f>IFERROR(VLOOKUP(G2042,WholesaleExtract!B:J,9,FALSE),"")</f>
        <v/>
      </c>
      <c r="F2042" s="26" t="str">
        <f>IFERROR(VLOOKUP(G2042,WholesaleExtract!B:J,6,FALSE),"")</f>
        <v/>
      </c>
      <c r="H2042" s="47" t="str">
        <f>IFERROR(VLOOKUP(G2042,WholesaleExtract!B:L,11,FALSE),"")</f>
        <v/>
      </c>
      <c r="I2042" s="26" t="str">
        <f>IFERROR(VLOOKUP(G2042,WholesaleExtract!B:O,8,FALSE),"")</f>
        <v/>
      </c>
      <c r="J2042" s="26" t="str">
        <f>IFERROR(VLOOKUP(G2042,WholesaleExtract!B:O,14,FALSE),"")</f>
        <v/>
      </c>
      <c r="K2042" s="26" t="str">
        <f>IFERROR(VLOOKUP(G2042,WholesaleExtract!B:K,10,FALSE),"")</f>
        <v/>
      </c>
      <c r="L2042" s="47" t="str">
        <f>IFERROR(VLOOKUP(G2042,WholesaleExtract!B:L,11,FALSE),"")</f>
        <v/>
      </c>
      <c r="M2042" s="47" t="str">
        <f>IFERROR(VLOOKUP(G2042,WholesaleExtract!B:M,12,FALSE),"")</f>
        <v/>
      </c>
      <c r="R2042" s="19"/>
      <c r="S2042" s="19"/>
    </row>
    <row r="2043" spans="1:19" x14ac:dyDescent="0.35">
      <c r="A2043" s="26" t="s">
        <v>543</v>
      </c>
      <c r="B2043" s="26" t="s">
        <v>543</v>
      </c>
      <c r="C2043" s="26"/>
      <c r="D2043" s="26" t="s">
        <v>543</v>
      </c>
      <c r="E2043" s="26" t="str">
        <f>IFERROR(VLOOKUP(G2043,WholesaleExtract!B:J,9,FALSE),"")</f>
        <v/>
      </c>
      <c r="F2043" s="26" t="str">
        <f>IFERROR(VLOOKUP(G2043,WholesaleExtract!B:J,6,FALSE),"")</f>
        <v/>
      </c>
      <c r="H2043" s="47" t="str">
        <f>IFERROR(VLOOKUP(G2043,WholesaleExtract!B:L,11,FALSE),"")</f>
        <v/>
      </c>
      <c r="I2043" s="26" t="str">
        <f>IFERROR(VLOOKUP(G2043,WholesaleExtract!B:O,8,FALSE),"")</f>
        <v/>
      </c>
      <c r="J2043" s="26" t="str">
        <f>IFERROR(VLOOKUP(G2043,WholesaleExtract!B:O,14,FALSE),"")</f>
        <v/>
      </c>
      <c r="K2043" s="26" t="str">
        <f>IFERROR(VLOOKUP(G2043,WholesaleExtract!B:K,10,FALSE),"")</f>
        <v/>
      </c>
      <c r="L2043" s="47" t="str">
        <f>IFERROR(VLOOKUP(G2043,WholesaleExtract!B:L,11,FALSE),"")</f>
        <v/>
      </c>
      <c r="M2043" s="47" t="str">
        <f>IFERROR(VLOOKUP(G2043,WholesaleExtract!B:M,12,FALSE),"")</f>
        <v/>
      </c>
      <c r="R2043" s="19"/>
      <c r="S2043" s="19"/>
    </row>
    <row r="2044" spans="1:19" x14ac:dyDescent="0.35">
      <c r="A2044" s="26" t="s">
        <v>543</v>
      </c>
      <c r="B2044" s="26" t="s">
        <v>543</v>
      </c>
      <c r="C2044" s="26"/>
      <c r="D2044" s="26" t="s">
        <v>543</v>
      </c>
      <c r="E2044" s="26" t="str">
        <f>IFERROR(VLOOKUP(G2044,WholesaleExtract!B:J,9,FALSE),"")</f>
        <v/>
      </c>
      <c r="F2044" s="26" t="str">
        <f>IFERROR(VLOOKUP(G2044,WholesaleExtract!B:J,6,FALSE),"")</f>
        <v/>
      </c>
      <c r="H2044" s="47" t="str">
        <f>IFERROR(VLOOKUP(G2044,WholesaleExtract!B:L,11,FALSE),"")</f>
        <v/>
      </c>
      <c r="I2044" s="26" t="str">
        <f>IFERROR(VLOOKUP(G2044,WholesaleExtract!B:O,8,FALSE),"")</f>
        <v/>
      </c>
      <c r="J2044" s="26" t="str">
        <f>IFERROR(VLOOKUP(G2044,WholesaleExtract!B:O,14,FALSE),"")</f>
        <v/>
      </c>
      <c r="K2044" s="26" t="str">
        <f>IFERROR(VLOOKUP(G2044,WholesaleExtract!B:K,10,FALSE),"")</f>
        <v/>
      </c>
      <c r="L2044" s="47" t="str">
        <f>IFERROR(VLOOKUP(G2044,WholesaleExtract!B:L,11,FALSE),"")</f>
        <v/>
      </c>
      <c r="M2044" s="47" t="str">
        <f>IFERROR(VLOOKUP(G2044,WholesaleExtract!B:M,12,FALSE),"")</f>
        <v/>
      </c>
      <c r="R2044" s="19"/>
      <c r="S2044" s="19"/>
    </row>
    <row r="2045" spans="1:19" x14ac:dyDescent="0.35">
      <c r="A2045" s="26" t="s">
        <v>543</v>
      </c>
      <c r="B2045" s="26" t="s">
        <v>543</v>
      </c>
      <c r="C2045" s="26"/>
      <c r="D2045" s="26" t="s">
        <v>543</v>
      </c>
      <c r="E2045" s="26" t="str">
        <f>IFERROR(VLOOKUP(G2045,WholesaleExtract!B:J,9,FALSE),"")</f>
        <v/>
      </c>
      <c r="F2045" s="26" t="str">
        <f>IFERROR(VLOOKUP(G2045,WholesaleExtract!B:J,6,FALSE),"")</f>
        <v/>
      </c>
      <c r="H2045" s="47" t="str">
        <f>IFERROR(VLOOKUP(G2045,WholesaleExtract!B:L,11,FALSE),"")</f>
        <v/>
      </c>
      <c r="I2045" s="26" t="str">
        <f>IFERROR(VLOOKUP(G2045,WholesaleExtract!B:O,8,FALSE),"")</f>
        <v/>
      </c>
      <c r="J2045" s="26" t="str">
        <f>IFERROR(VLOOKUP(G2045,WholesaleExtract!B:O,14,FALSE),"")</f>
        <v/>
      </c>
      <c r="K2045" s="26" t="str">
        <f>IFERROR(VLOOKUP(G2045,WholesaleExtract!B:K,10,FALSE),"")</f>
        <v/>
      </c>
      <c r="L2045" s="47" t="str">
        <f>IFERROR(VLOOKUP(G2045,WholesaleExtract!B:L,11,FALSE),"")</f>
        <v/>
      </c>
      <c r="M2045" s="47" t="str">
        <f>IFERROR(VLOOKUP(G2045,WholesaleExtract!B:M,12,FALSE),"")</f>
        <v/>
      </c>
      <c r="R2045" s="19"/>
      <c r="S2045" s="19"/>
    </row>
    <row r="2046" spans="1:19" x14ac:dyDescent="0.35">
      <c r="A2046" s="26" t="s">
        <v>543</v>
      </c>
      <c r="B2046" s="26" t="s">
        <v>543</v>
      </c>
      <c r="C2046" s="26"/>
      <c r="D2046" s="26" t="s">
        <v>543</v>
      </c>
      <c r="E2046" s="26" t="str">
        <f>IFERROR(VLOOKUP(G2046,WholesaleExtract!B:J,9,FALSE),"")</f>
        <v/>
      </c>
      <c r="F2046" s="26" t="str">
        <f>IFERROR(VLOOKUP(G2046,WholesaleExtract!B:J,6,FALSE),"")</f>
        <v/>
      </c>
      <c r="H2046" s="47" t="str">
        <f>IFERROR(VLOOKUP(G2046,WholesaleExtract!B:L,11,FALSE),"")</f>
        <v/>
      </c>
      <c r="I2046" s="26" t="str">
        <f>IFERROR(VLOOKUP(G2046,WholesaleExtract!B:O,8,FALSE),"")</f>
        <v/>
      </c>
      <c r="J2046" s="26" t="str">
        <f>IFERROR(VLOOKUP(G2046,WholesaleExtract!B:O,14,FALSE),"")</f>
        <v/>
      </c>
      <c r="K2046" s="26" t="str">
        <f>IFERROR(VLOOKUP(G2046,WholesaleExtract!B:K,10,FALSE),"")</f>
        <v/>
      </c>
      <c r="L2046" s="47" t="str">
        <f>IFERROR(VLOOKUP(G2046,WholesaleExtract!B:L,11,FALSE),"")</f>
        <v/>
      </c>
      <c r="M2046" s="47" t="str">
        <f>IFERROR(VLOOKUP(G2046,WholesaleExtract!B:M,12,FALSE),"")</f>
        <v/>
      </c>
      <c r="R2046" s="19"/>
      <c r="S2046" s="19"/>
    </row>
    <row r="2047" spans="1:19" x14ac:dyDescent="0.35">
      <c r="A2047" s="26" t="s">
        <v>543</v>
      </c>
      <c r="B2047" s="26" t="s">
        <v>543</v>
      </c>
      <c r="C2047" s="26"/>
      <c r="D2047" s="26" t="s">
        <v>543</v>
      </c>
      <c r="E2047" s="26" t="str">
        <f>IFERROR(VLOOKUP(G2047,WholesaleExtract!B:J,9,FALSE),"")</f>
        <v/>
      </c>
      <c r="F2047" s="26" t="str">
        <f>IFERROR(VLOOKUP(G2047,WholesaleExtract!B:J,6,FALSE),"")</f>
        <v/>
      </c>
      <c r="H2047" s="47" t="str">
        <f>IFERROR(VLOOKUP(G2047,WholesaleExtract!B:L,11,FALSE),"")</f>
        <v/>
      </c>
      <c r="I2047" s="26" t="str">
        <f>IFERROR(VLOOKUP(G2047,WholesaleExtract!B:O,8,FALSE),"")</f>
        <v/>
      </c>
      <c r="J2047" s="26" t="str">
        <f>IFERROR(VLOOKUP(G2047,WholesaleExtract!B:O,14,FALSE),"")</f>
        <v/>
      </c>
      <c r="K2047" s="26" t="str">
        <f>IFERROR(VLOOKUP(G2047,WholesaleExtract!B:K,10,FALSE),"")</f>
        <v/>
      </c>
      <c r="L2047" s="47" t="str">
        <f>IFERROR(VLOOKUP(G2047,WholesaleExtract!B:L,11,FALSE),"")</f>
        <v/>
      </c>
      <c r="M2047" s="47" t="str">
        <f>IFERROR(VLOOKUP(G2047,WholesaleExtract!B:M,12,FALSE),"")</f>
        <v/>
      </c>
      <c r="R2047" s="19"/>
      <c r="S2047" s="19"/>
    </row>
    <row r="2048" spans="1:19" x14ac:dyDescent="0.35">
      <c r="A2048" s="26" t="s">
        <v>543</v>
      </c>
      <c r="B2048" s="26" t="s">
        <v>543</v>
      </c>
      <c r="C2048" s="26"/>
      <c r="D2048" s="26" t="s">
        <v>543</v>
      </c>
      <c r="E2048" s="26" t="str">
        <f>IFERROR(VLOOKUP(G2048,WholesaleExtract!B:J,9,FALSE),"")</f>
        <v/>
      </c>
      <c r="F2048" s="26" t="str">
        <f>IFERROR(VLOOKUP(G2048,WholesaleExtract!B:J,6,FALSE),"")</f>
        <v/>
      </c>
      <c r="H2048" s="47" t="str">
        <f>IFERROR(VLOOKUP(G2048,WholesaleExtract!B:L,11,FALSE),"")</f>
        <v/>
      </c>
      <c r="I2048" s="26" t="str">
        <f>IFERROR(VLOOKUP(G2048,WholesaleExtract!B:O,8,FALSE),"")</f>
        <v/>
      </c>
      <c r="J2048" s="26" t="str">
        <f>IFERROR(VLOOKUP(G2048,WholesaleExtract!B:O,14,FALSE),"")</f>
        <v/>
      </c>
      <c r="K2048" s="26" t="str">
        <f>IFERROR(VLOOKUP(G2048,WholesaleExtract!B:K,10,FALSE),"")</f>
        <v/>
      </c>
      <c r="L2048" s="47" t="str">
        <f>IFERROR(VLOOKUP(G2048,WholesaleExtract!B:L,11,FALSE),"")</f>
        <v/>
      </c>
      <c r="M2048" s="47" t="str">
        <f>IFERROR(VLOOKUP(G2048,WholesaleExtract!B:M,12,FALSE),"")</f>
        <v/>
      </c>
      <c r="R2048" s="19"/>
      <c r="S2048" s="19"/>
    </row>
    <row r="2049" spans="1:19" x14ac:dyDescent="0.35">
      <c r="A2049" s="26" t="s">
        <v>543</v>
      </c>
      <c r="B2049" s="26" t="s">
        <v>543</v>
      </c>
      <c r="C2049" s="26"/>
      <c r="D2049" s="26" t="s">
        <v>543</v>
      </c>
      <c r="E2049" s="26" t="str">
        <f>IFERROR(VLOOKUP(G2049,WholesaleExtract!B:J,9,FALSE),"")</f>
        <v/>
      </c>
      <c r="F2049" s="26" t="str">
        <f>IFERROR(VLOOKUP(G2049,WholesaleExtract!B:J,6,FALSE),"")</f>
        <v/>
      </c>
      <c r="H2049" s="47" t="str">
        <f>IFERROR(VLOOKUP(G2049,WholesaleExtract!B:L,11,FALSE),"")</f>
        <v/>
      </c>
      <c r="I2049" s="26" t="str">
        <f>IFERROR(VLOOKUP(G2049,WholesaleExtract!B:O,8,FALSE),"")</f>
        <v/>
      </c>
      <c r="J2049" s="26" t="str">
        <f>IFERROR(VLOOKUP(G2049,WholesaleExtract!B:O,14,FALSE),"")</f>
        <v/>
      </c>
      <c r="K2049" s="26" t="str">
        <f>IFERROR(VLOOKUP(G2049,WholesaleExtract!B:K,10,FALSE),"")</f>
        <v/>
      </c>
      <c r="L2049" s="47" t="str">
        <f>IFERROR(VLOOKUP(G2049,WholesaleExtract!B:L,11,FALSE),"")</f>
        <v/>
      </c>
      <c r="M2049" s="47" t="str">
        <f>IFERROR(VLOOKUP(G2049,WholesaleExtract!B:M,12,FALSE),"")</f>
        <v/>
      </c>
      <c r="R2049" s="19"/>
      <c r="S2049" s="19"/>
    </row>
    <row r="2050" spans="1:19" x14ac:dyDescent="0.35">
      <c r="A2050" s="26" t="s">
        <v>543</v>
      </c>
      <c r="B2050" s="26" t="s">
        <v>543</v>
      </c>
      <c r="C2050" s="26"/>
      <c r="D2050" s="26" t="s">
        <v>543</v>
      </c>
      <c r="E2050" s="26" t="str">
        <f>IFERROR(VLOOKUP(G2050,WholesaleExtract!B:J,9,FALSE),"")</f>
        <v/>
      </c>
      <c r="F2050" s="26" t="str">
        <f>IFERROR(VLOOKUP(G2050,WholesaleExtract!B:J,6,FALSE),"")</f>
        <v/>
      </c>
      <c r="H2050" s="47" t="str">
        <f>IFERROR(VLOOKUP(G2050,WholesaleExtract!B:L,11,FALSE),"")</f>
        <v/>
      </c>
      <c r="I2050" s="26" t="str">
        <f>IFERROR(VLOOKUP(G2050,WholesaleExtract!B:O,8,FALSE),"")</f>
        <v/>
      </c>
      <c r="J2050" s="26" t="str">
        <f>IFERROR(VLOOKUP(G2050,WholesaleExtract!B:O,14,FALSE),"")</f>
        <v/>
      </c>
      <c r="K2050" s="26" t="str">
        <f>IFERROR(VLOOKUP(G2050,WholesaleExtract!B:K,10,FALSE),"")</f>
        <v/>
      </c>
      <c r="L2050" s="47" t="str">
        <f>IFERROR(VLOOKUP(G2050,WholesaleExtract!B:L,11,FALSE),"")</f>
        <v/>
      </c>
      <c r="M2050" s="47" t="str">
        <f>IFERROR(VLOOKUP(G2050,WholesaleExtract!B:M,12,FALSE),"")</f>
        <v/>
      </c>
      <c r="R2050" s="19"/>
      <c r="S2050" s="19"/>
    </row>
    <row r="2051" spans="1:19" x14ac:dyDescent="0.35">
      <c r="A2051" s="26" t="s">
        <v>543</v>
      </c>
      <c r="B2051" s="26" t="s">
        <v>543</v>
      </c>
      <c r="C2051" s="26"/>
      <c r="D2051" s="26" t="s">
        <v>543</v>
      </c>
      <c r="E2051" s="26" t="str">
        <f>IFERROR(VLOOKUP(G2051,WholesaleExtract!B:J,9,FALSE),"")</f>
        <v/>
      </c>
      <c r="F2051" s="26" t="str">
        <f>IFERROR(VLOOKUP(G2051,WholesaleExtract!B:J,6,FALSE),"")</f>
        <v/>
      </c>
      <c r="H2051" s="47" t="str">
        <f>IFERROR(VLOOKUP(G2051,WholesaleExtract!B:L,11,FALSE),"")</f>
        <v/>
      </c>
      <c r="I2051" s="26" t="str">
        <f>IFERROR(VLOOKUP(G2051,WholesaleExtract!B:O,8,FALSE),"")</f>
        <v/>
      </c>
      <c r="J2051" s="26" t="str">
        <f>IFERROR(VLOOKUP(G2051,WholesaleExtract!B:O,14,FALSE),"")</f>
        <v/>
      </c>
      <c r="K2051" s="26" t="str">
        <f>IFERROR(VLOOKUP(G2051,WholesaleExtract!B:K,10,FALSE),"")</f>
        <v/>
      </c>
      <c r="L2051" s="47" t="str">
        <f>IFERROR(VLOOKUP(G2051,WholesaleExtract!B:L,11,FALSE),"")</f>
        <v/>
      </c>
      <c r="M2051" s="47" t="str">
        <f>IFERROR(VLOOKUP(G2051,WholesaleExtract!B:M,12,FALSE),"")</f>
        <v/>
      </c>
      <c r="R2051" s="19"/>
      <c r="S2051" s="19"/>
    </row>
    <row r="2052" spans="1:19" x14ac:dyDescent="0.35">
      <c r="A2052" s="26" t="s">
        <v>543</v>
      </c>
      <c r="B2052" s="26" t="s">
        <v>543</v>
      </c>
      <c r="C2052" s="26"/>
      <c r="D2052" s="26" t="s">
        <v>543</v>
      </c>
      <c r="E2052" s="26" t="str">
        <f>IFERROR(VLOOKUP(G2052,WholesaleExtract!B:J,9,FALSE),"")</f>
        <v/>
      </c>
      <c r="F2052" s="26" t="str">
        <f>IFERROR(VLOOKUP(G2052,WholesaleExtract!B:J,6,FALSE),"")</f>
        <v/>
      </c>
      <c r="H2052" s="47" t="str">
        <f>IFERROR(VLOOKUP(G2052,WholesaleExtract!B:L,11,FALSE),"")</f>
        <v/>
      </c>
      <c r="I2052" s="26" t="str">
        <f>IFERROR(VLOOKUP(G2052,WholesaleExtract!B:O,8,FALSE),"")</f>
        <v/>
      </c>
      <c r="J2052" s="26" t="str">
        <f>IFERROR(VLOOKUP(G2052,WholesaleExtract!B:O,14,FALSE),"")</f>
        <v/>
      </c>
      <c r="K2052" s="26" t="str">
        <f>IFERROR(VLOOKUP(G2052,WholesaleExtract!B:K,10,FALSE),"")</f>
        <v/>
      </c>
      <c r="L2052" s="47" t="str">
        <f>IFERROR(VLOOKUP(G2052,WholesaleExtract!B:L,11,FALSE),"")</f>
        <v/>
      </c>
      <c r="M2052" s="47" t="str">
        <f>IFERROR(VLOOKUP(G2052,WholesaleExtract!B:M,12,FALSE),"")</f>
        <v/>
      </c>
      <c r="R2052" s="19"/>
      <c r="S2052" s="19"/>
    </row>
    <row r="2053" spans="1:19" x14ac:dyDescent="0.35">
      <c r="A2053" s="26" t="s">
        <v>543</v>
      </c>
      <c r="B2053" s="26" t="s">
        <v>543</v>
      </c>
      <c r="C2053" s="26"/>
      <c r="D2053" s="26" t="s">
        <v>543</v>
      </c>
      <c r="E2053" s="26" t="str">
        <f>IFERROR(VLOOKUP(G2053,WholesaleExtract!B:J,9,FALSE),"")</f>
        <v/>
      </c>
      <c r="F2053" s="26" t="str">
        <f>IFERROR(VLOOKUP(G2053,WholesaleExtract!B:J,6,FALSE),"")</f>
        <v/>
      </c>
      <c r="H2053" s="47" t="str">
        <f>IFERROR(VLOOKUP(G2053,WholesaleExtract!B:L,11,FALSE),"")</f>
        <v/>
      </c>
      <c r="I2053" s="26" t="str">
        <f>IFERROR(VLOOKUP(G2053,WholesaleExtract!B:O,8,FALSE),"")</f>
        <v/>
      </c>
      <c r="J2053" s="26" t="str">
        <f>IFERROR(VLOOKUP(G2053,WholesaleExtract!B:O,14,FALSE),"")</f>
        <v/>
      </c>
      <c r="K2053" s="26" t="str">
        <f>IFERROR(VLOOKUP(G2053,WholesaleExtract!B:K,10,FALSE),"")</f>
        <v/>
      </c>
      <c r="L2053" s="47" t="str">
        <f>IFERROR(VLOOKUP(G2053,WholesaleExtract!B:L,11,FALSE),"")</f>
        <v/>
      </c>
      <c r="M2053" s="47" t="str">
        <f>IFERROR(VLOOKUP(G2053,WholesaleExtract!B:M,12,FALSE),"")</f>
        <v/>
      </c>
      <c r="R2053" s="19"/>
      <c r="S2053" s="19"/>
    </row>
    <row r="2054" spans="1:19" x14ac:dyDescent="0.35">
      <c r="A2054" s="26" t="s">
        <v>543</v>
      </c>
      <c r="B2054" s="26" t="s">
        <v>543</v>
      </c>
      <c r="C2054" s="26"/>
      <c r="D2054" s="26" t="s">
        <v>543</v>
      </c>
      <c r="E2054" s="26" t="str">
        <f>IFERROR(VLOOKUP(G2054,WholesaleExtract!B:J,9,FALSE),"")</f>
        <v/>
      </c>
      <c r="F2054" s="26" t="str">
        <f>IFERROR(VLOOKUP(G2054,WholesaleExtract!B:J,6,FALSE),"")</f>
        <v/>
      </c>
      <c r="H2054" s="47" t="str">
        <f>IFERROR(VLOOKUP(G2054,WholesaleExtract!B:L,11,FALSE),"")</f>
        <v/>
      </c>
      <c r="I2054" s="26" t="str">
        <f>IFERROR(VLOOKUP(G2054,WholesaleExtract!B:O,8,FALSE),"")</f>
        <v/>
      </c>
      <c r="J2054" s="26" t="str">
        <f>IFERROR(VLOOKUP(G2054,WholesaleExtract!B:O,14,FALSE),"")</f>
        <v/>
      </c>
      <c r="K2054" s="26" t="str">
        <f>IFERROR(VLOOKUP(G2054,WholesaleExtract!B:K,10,FALSE),"")</f>
        <v/>
      </c>
      <c r="L2054" s="47" t="str">
        <f>IFERROR(VLOOKUP(G2054,WholesaleExtract!B:L,11,FALSE),"")</f>
        <v/>
      </c>
      <c r="M2054" s="47" t="str">
        <f>IFERROR(VLOOKUP(G2054,WholesaleExtract!B:M,12,FALSE),"")</f>
        <v/>
      </c>
      <c r="R2054" s="19"/>
      <c r="S2054" s="19"/>
    </row>
    <row r="2055" spans="1:19" x14ac:dyDescent="0.35">
      <c r="A2055" s="26" t="s">
        <v>543</v>
      </c>
      <c r="B2055" s="26" t="s">
        <v>543</v>
      </c>
      <c r="C2055" s="26"/>
      <c r="D2055" s="26" t="s">
        <v>543</v>
      </c>
      <c r="E2055" s="26" t="str">
        <f>IFERROR(VLOOKUP(G2055,WholesaleExtract!B:J,9,FALSE),"")</f>
        <v/>
      </c>
      <c r="F2055" s="26" t="str">
        <f>IFERROR(VLOOKUP(G2055,WholesaleExtract!B:J,6,FALSE),"")</f>
        <v/>
      </c>
      <c r="H2055" s="47" t="str">
        <f>IFERROR(VLOOKUP(G2055,WholesaleExtract!B:L,11,FALSE),"")</f>
        <v/>
      </c>
      <c r="I2055" s="26" t="str">
        <f>IFERROR(VLOOKUP(G2055,WholesaleExtract!B:O,8,FALSE),"")</f>
        <v/>
      </c>
      <c r="J2055" s="26" t="str">
        <f>IFERROR(VLOOKUP(G2055,WholesaleExtract!B:O,14,FALSE),"")</f>
        <v/>
      </c>
      <c r="K2055" s="26" t="str">
        <f>IFERROR(VLOOKUP(G2055,WholesaleExtract!B:K,10,FALSE),"")</f>
        <v/>
      </c>
      <c r="L2055" s="47" t="str">
        <f>IFERROR(VLOOKUP(G2055,WholesaleExtract!B:L,11,FALSE),"")</f>
        <v/>
      </c>
      <c r="M2055" s="47" t="str">
        <f>IFERROR(VLOOKUP(G2055,WholesaleExtract!B:M,12,FALSE),"")</f>
        <v/>
      </c>
      <c r="R2055" s="19"/>
      <c r="S2055" s="19"/>
    </row>
    <row r="2056" spans="1:19" x14ac:dyDescent="0.35">
      <c r="A2056" s="26" t="s">
        <v>543</v>
      </c>
      <c r="B2056" s="26" t="s">
        <v>543</v>
      </c>
      <c r="C2056" s="26"/>
      <c r="D2056" s="26" t="s">
        <v>543</v>
      </c>
      <c r="E2056" s="26" t="str">
        <f>IFERROR(VLOOKUP(G2056,WholesaleExtract!B:J,9,FALSE),"")</f>
        <v/>
      </c>
      <c r="F2056" s="26" t="str">
        <f>IFERROR(VLOOKUP(G2056,WholesaleExtract!B:J,6,FALSE),"")</f>
        <v/>
      </c>
      <c r="H2056" s="47" t="str">
        <f>IFERROR(VLOOKUP(G2056,WholesaleExtract!B:L,11,FALSE),"")</f>
        <v/>
      </c>
      <c r="I2056" s="26" t="str">
        <f>IFERROR(VLOOKUP(G2056,WholesaleExtract!B:O,8,FALSE),"")</f>
        <v/>
      </c>
      <c r="J2056" s="26" t="str">
        <f>IFERROR(VLOOKUP(G2056,WholesaleExtract!B:O,14,FALSE),"")</f>
        <v/>
      </c>
      <c r="K2056" s="26" t="str">
        <f>IFERROR(VLOOKUP(G2056,WholesaleExtract!B:K,10,FALSE),"")</f>
        <v/>
      </c>
      <c r="L2056" s="47" t="str">
        <f>IFERROR(VLOOKUP(G2056,WholesaleExtract!B:L,11,FALSE),"")</f>
        <v/>
      </c>
      <c r="M2056" s="47" t="str">
        <f>IFERROR(VLOOKUP(G2056,WholesaleExtract!B:M,12,FALSE),"")</f>
        <v/>
      </c>
      <c r="R2056" s="19"/>
      <c r="S2056" s="19"/>
    </row>
    <row r="2057" spans="1:19" x14ac:dyDescent="0.35">
      <c r="A2057" s="26" t="s">
        <v>543</v>
      </c>
      <c r="B2057" s="26" t="s">
        <v>543</v>
      </c>
      <c r="C2057" s="26"/>
      <c r="D2057" s="26" t="s">
        <v>543</v>
      </c>
      <c r="E2057" s="26" t="str">
        <f>IFERROR(VLOOKUP(G2057,WholesaleExtract!B:J,9,FALSE),"")</f>
        <v/>
      </c>
      <c r="F2057" s="26" t="str">
        <f>IFERROR(VLOOKUP(G2057,WholesaleExtract!B:J,6,FALSE),"")</f>
        <v/>
      </c>
      <c r="H2057" s="47" t="str">
        <f>IFERROR(VLOOKUP(G2057,WholesaleExtract!B:L,11,FALSE),"")</f>
        <v/>
      </c>
      <c r="I2057" s="26" t="str">
        <f>IFERROR(VLOOKUP(G2057,WholesaleExtract!B:O,8,FALSE),"")</f>
        <v/>
      </c>
      <c r="J2057" s="26" t="str">
        <f>IFERROR(VLOOKUP(G2057,WholesaleExtract!B:O,14,FALSE),"")</f>
        <v/>
      </c>
      <c r="K2057" s="26" t="str">
        <f>IFERROR(VLOOKUP(G2057,WholesaleExtract!B:K,10,FALSE),"")</f>
        <v/>
      </c>
      <c r="L2057" s="47" t="str">
        <f>IFERROR(VLOOKUP(G2057,WholesaleExtract!B:L,11,FALSE),"")</f>
        <v/>
      </c>
      <c r="M2057" s="47" t="str">
        <f>IFERROR(VLOOKUP(G2057,WholesaleExtract!B:M,12,FALSE),"")</f>
        <v/>
      </c>
      <c r="R2057" s="19"/>
      <c r="S2057" s="19"/>
    </row>
    <row r="2058" spans="1:19" x14ac:dyDescent="0.35">
      <c r="A2058" s="26" t="s">
        <v>543</v>
      </c>
      <c r="B2058" s="26" t="s">
        <v>543</v>
      </c>
      <c r="C2058" s="26"/>
      <c r="D2058" s="26" t="s">
        <v>543</v>
      </c>
      <c r="E2058" s="26" t="str">
        <f>IFERROR(VLOOKUP(G2058,WholesaleExtract!B:J,9,FALSE),"")</f>
        <v/>
      </c>
      <c r="F2058" s="26" t="str">
        <f>IFERROR(VLOOKUP(G2058,WholesaleExtract!B:J,6,FALSE),"")</f>
        <v/>
      </c>
      <c r="H2058" s="47" t="str">
        <f>IFERROR(VLOOKUP(G2058,WholesaleExtract!B:L,11,FALSE),"")</f>
        <v/>
      </c>
      <c r="I2058" s="26" t="str">
        <f>IFERROR(VLOOKUP(G2058,WholesaleExtract!B:O,8,FALSE),"")</f>
        <v/>
      </c>
      <c r="J2058" s="26" t="str">
        <f>IFERROR(VLOOKUP(G2058,WholesaleExtract!B:O,14,FALSE),"")</f>
        <v/>
      </c>
      <c r="K2058" s="26" t="str">
        <f>IFERROR(VLOOKUP(G2058,WholesaleExtract!B:K,10,FALSE),"")</f>
        <v/>
      </c>
      <c r="L2058" s="47" t="str">
        <f>IFERROR(VLOOKUP(G2058,WholesaleExtract!B:L,11,FALSE),"")</f>
        <v/>
      </c>
      <c r="M2058" s="47" t="str">
        <f>IFERROR(VLOOKUP(G2058,WholesaleExtract!B:M,12,FALSE),"")</f>
        <v/>
      </c>
      <c r="R2058" s="19"/>
      <c r="S2058" s="19"/>
    </row>
    <row r="2059" spans="1:19" x14ac:dyDescent="0.35">
      <c r="A2059" s="26" t="s">
        <v>543</v>
      </c>
      <c r="B2059" s="26" t="s">
        <v>543</v>
      </c>
      <c r="C2059" s="26"/>
      <c r="D2059" s="26" t="s">
        <v>543</v>
      </c>
      <c r="E2059" s="26" t="str">
        <f>IFERROR(VLOOKUP(G2059,WholesaleExtract!B:J,9,FALSE),"")</f>
        <v/>
      </c>
      <c r="F2059" s="26" t="str">
        <f>IFERROR(VLOOKUP(G2059,WholesaleExtract!B:J,6,FALSE),"")</f>
        <v/>
      </c>
      <c r="H2059" s="47" t="str">
        <f>IFERROR(VLOOKUP(G2059,WholesaleExtract!B:L,11,FALSE),"")</f>
        <v/>
      </c>
      <c r="I2059" s="26" t="str">
        <f>IFERROR(VLOOKUP(G2059,WholesaleExtract!B:O,8,FALSE),"")</f>
        <v/>
      </c>
      <c r="J2059" s="26" t="str">
        <f>IFERROR(VLOOKUP(G2059,WholesaleExtract!B:O,14,FALSE),"")</f>
        <v/>
      </c>
      <c r="K2059" s="26" t="str">
        <f>IFERROR(VLOOKUP(G2059,WholesaleExtract!B:K,10,FALSE),"")</f>
        <v/>
      </c>
      <c r="L2059" s="47" t="str">
        <f>IFERROR(VLOOKUP(G2059,WholesaleExtract!B:L,11,FALSE),"")</f>
        <v/>
      </c>
      <c r="M2059" s="47" t="str">
        <f>IFERROR(VLOOKUP(G2059,WholesaleExtract!B:M,12,FALSE),"")</f>
        <v/>
      </c>
      <c r="R2059" s="19"/>
      <c r="S2059" s="19"/>
    </row>
    <row r="2060" spans="1:19" x14ac:dyDescent="0.35">
      <c r="A2060" s="26" t="s">
        <v>543</v>
      </c>
      <c r="B2060" s="26" t="s">
        <v>543</v>
      </c>
      <c r="C2060" s="26"/>
      <c r="D2060" s="26" t="s">
        <v>543</v>
      </c>
      <c r="E2060" s="26" t="str">
        <f>IFERROR(VLOOKUP(G2060,WholesaleExtract!B:J,9,FALSE),"")</f>
        <v/>
      </c>
      <c r="F2060" s="26" t="str">
        <f>IFERROR(VLOOKUP(G2060,WholesaleExtract!B:J,6,FALSE),"")</f>
        <v/>
      </c>
      <c r="H2060" s="47" t="str">
        <f>IFERROR(VLOOKUP(G2060,WholesaleExtract!B:L,11,FALSE),"")</f>
        <v/>
      </c>
      <c r="I2060" s="26" t="str">
        <f>IFERROR(VLOOKUP(G2060,WholesaleExtract!B:O,8,FALSE),"")</f>
        <v/>
      </c>
      <c r="J2060" s="26" t="str">
        <f>IFERROR(VLOOKUP(G2060,WholesaleExtract!B:O,14,FALSE),"")</f>
        <v/>
      </c>
      <c r="K2060" s="26" t="str">
        <f>IFERROR(VLOOKUP(G2060,WholesaleExtract!B:K,10,FALSE),"")</f>
        <v/>
      </c>
      <c r="L2060" s="47" t="str">
        <f>IFERROR(VLOOKUP(G2060,WholesaleExtract!B:L,11,FALSE),"")</f>
        <v/>
      </c>
      <c r="M2060" s="47" t="str">
        <f>IFERROR(VLOOKUP(G2060,WholesaleExtract!B:M,12,FALSE),"")</f>
        <v/>
      </c>
      <c r="R2060" s="19"/>
      <c r="S2060" s="19"/>
    </row>
    <row r="2061" spans="1:19" x14ac:dyDescent="0.35">
      <c r="A2061" s="26" t="s">
        <v>543</v>
      </c>
      <c r="B2061" s="26" t="s">
        <v>543</v>
      </c>
      <c r="C2061" s="26"/>
      <c r="D2061" s="26" t="s">
        <v>543</v>
      </c>
      <c r="E2061" s="26" t="str">
        <f>IFERROR(VLOOKUP(G2061,WholesaleExtract!B:J,9,FALSE),"")</f>
        <v/>
      </c>
      <c r="F2061" s="26" t="str">
        <f>IFERROR(VLOOKUP(G2061,WholesaleExtract!B:J,6,FALSE),"")</f>
        <v/>
      </c>
      <c r="H2061" s="47" t="str">
        <f>IFERROR(VLOOKUP(G2061,WholesaleExtract!B:L,11,FALSE),"")</f>
        <v/>
      </c>
      <c r="I2061" s="26" t="str">
        <f>IFERROR(VLOOKUP(G2061,WholesaleExtract!B:O,8,FALSE),"")</f>
        <v/>
      </c>
      <c r="J2061" s="26" t="str">
        <f>IFERROR(VLOOKUP(G2061,WholesaleExtract!B:O,14,FALSE),"")</f>
        <v/>
      </c>
      <c r="K2061" s="26" t="str">
        <f>IFERROR(VLOOKUP(G2061,WholesaleExtract!B:K,10,FALSE),"")</f>
        <v/>
      </c>
      <c r="L2061" s="47" t="str">
        <f>IFERROR(VLOOKUP(G2061,WholesaleExtract!B:L,11,FALSE),"")</f>
        <v/>
      </c>
      <c r="M2061" s="47" t="str">
        <f>IFERROR(VLOOKUP(G2061,WholesaleExtract!B:M,12,FALSE),"")</f>
        <v/>
      </c>
      <c r="R2061" s="19"/>
      <c r="S2061" s="19"/>
    </row>
    <row r="2062" spans="1:19" x14ac:dyDescent="0.35">
      <c r="A2062" s="26" t="s">
        <v>543</v>
      </c>
      <c r="B2062" s="26" t="s">
        <v>543</v>
      </c>
      <c r="C2062" s="26"/>
      <c r="D2062" s="26" t="s">
        <v>543</v>
      </c>
      <c r="E2062" s="26" t="str">
        <f>IFERROR(VLOOKUP(G2062,WholesaleExtract!B:J,9,FALSE),"")</f>
        <v/>
      </c>
      <c r="F2062" s="26" t="str">
        <f>IFERROR(VLOOKUP(G2062,WholesaleExtract!B:J,6,FALSE),"")</f>
        <v/>
      </c>
      <c r="H2062" s="47" t="str">
        <f>IFERROR(VLOOKUP(G2062,WholesaleExtract!B:L,11,FALSE),"")</f>
        <v/>
      </c>
      <c r="I2062" s="26" t="str">
        <f>IFERROR(VLOOKUP(G2062,WholesaleExtract!B:O,8,FALSE),"")</f>
        <v/>
      </c>
      <c r="J2062" s="26" t="str">
        <f>IFERROR(VLOOKUP(G2062,WholesaleExtract!B:O,14,FALSE),"")</f>
        <v/>
      </c>
      <c r="K2062" s="26" t="str">
        <f>IFERROR(VLOOKUP(G2062,WholesaleExtract!B:K,10,FALSE),"")</f>
        <v/>
      </c>
      <c r="L2062" s="47" t="str">
        <f>IFERROR(VLOOKUP(G2062,WholesaleExtract!B:L,11,FALSE),"")</f>
        <v/>
      </c>
      <c r="M2062" s="47" t="str">
        <f>IFERROR(VLOOKUP(G2062,WholesaleExtract!B:M,12,FALSE),"")</f>
        <v/>
      </c>
      <c r="R2062" s="19"/>
      <c r="S2062" s="19"/>
    </row>
    <row r="2063" spans="1:19" x14ac:dyDescent="0.35">
      <c r="A2063" s="26" t="s">
        <v>543</v>
      </c>
      <c r="B2063" s="26" t="s">
        <v>543</v>
      </c>
      <c r="C2063" s="26"/>
      <c r="D2063" s="26" t="s">
        <v>543</v>
      </c>
      <c r="E2063" s="26" t="str">
        <f>IFERROR(VLOOKUP(G2063,WholesaleExtract!B:J,9,FALSE),"")</f>
        <v/>
      </c>
      <c r="F2063" s="26" t="str">
        <f>IFERROR(VLOOKUP(G2063,WholesaleExtract!B:J,6,FALSE),"")</f>
        <v/>
      </c>
      <c r="H2063" s="47" t="str">
        <f>IFERROR(VLOOKUP(G2063,WholesaleExtract!B:L,11,FALSE),"")</f>
        <v/>
      </c>
      <c r="I2063" s="26" t="str">
        <f>IFERROR(VLOOKUP(G2063,WholesaleExtract!B:O,8,FALSE),"")</f>
        <v/>
      </c>
      <c r="J2063" s="26" t="str">
        <f>IFERROR(VLOOKUP(G2063,WholesaleExtract!B:O,14,FALSE),"")</f>
        <v/>
      </c>
      <c r="K2063" s="26" t="str">
        <f>IFERROR(VLOOKUP(G2063,WholesaleExtract!B:K,10,FALSE),"")</f>
        <v/>
      </c>
      <c r="L2063" s="47" t="str">
        <f>IFERROR(VLOOKUP(G2063,WholesaleExtract!B:L,11,FALSE),"")</f>
        <v/>
      </c>
      <c r="M2063" s="47" t="str">
        <f>IFERROR(VLOOKUP(G2063,WholesaleExtract!B:M,12,FALSE),"")</f>
        <v/>
      </c>
      <c r="R2063" s="19"/>
      <c r="S2063" s="19"/>
    </row>
    <row r="2064" spans="1:19" x14ac:dyDescent="0.35">
      <c r="A2064" s="26" t="s">
        <v>543</v>
      </c>
      <c r="B2064" s="26" t="s">
        <v>543</v>
      </c>
      <c r="C2064" s="26"/>
      <c r="D2064" s="26" t="s">
        <v>543</v>
      </c>
      <c r="E2064" s="26" t="str">
        <f>IFERROR(VLOOKUP(G2064,WholesaleExtract!B:J,9,FALSE),"")</f>
        <v/>
      </c>
      <c r="F2064" s="26" t="str">
        <f>IFERROR(VLOOKUP(G2064,WholesaleExtract!B:J,6,FALSE),"")</f>
        <v/>
      </c>
      <c r="H2064" s="47" t="str">
        <f>IFERROR(VLOOKUP(G2064,WholesaleExtract!B:L,11,FALSE),"")</f>
        <v/>
      </c>
      <c r="I2064" s="26" t="str">
        <f>IFERROR(VLOOKUP(G2064,WholesaleExtract!B:O,8,FALSE),"")</f>
        <v/>
      </c>
      <c r="J2064" s="26" t="str">
        <f>IFERROR(VLOOKUP(G2064,WholesaleExtract!B:O,14,FALSE),"")</f>
        <v/>
      </c>
      <c r="K2064" s="26" t="str">
        <f>IFERROR(VLOOKUP(G2064,WholesaleExtract!B:K,10,FALSE),"")</f>
        <v/>
      </c>
      <c r="L2064" s="47" t="str">
        <f>IFERROR(VLOOKUP(G2064,WholesaleExtract!B:L,11,FALSE),"")</f>
        <v/>
      </c>
      <c r="M2064" s="47" t="str">
        <f>IFERROR(VLOOKUP(G2064,WholesaleExtract!B:M,12,FALSE),"")</f>
        <v/>
      </c>
      <c r="R2064" s="19"/>
      <c r="S2064" s="19"/>
    </row>
    <row r="2065" spans="1:19" x14ac:dyDescent="0.35">
      <c r="A2065" s="26" t="s">
        <v>543</v>
      </c>
      <c r="B2065" s="26" t="s">
        <v>543</v>
      </c>
      <c r="C2065" s="26"/>
      <c r="D2065" s="26" t="s">
        <v>543</v>
      </c>
      <c r="E2065" s="26" t="str">
        <f>IFERROR(VLOOKUP(G2065,WholesaleExtract!B:J,9,FALSE),"")</f>
        <v/>
      </c>
      <c r="F2065" s="26" t="str">
        <f>IFERROR(VLOOKUP(G2065,WholesaleExtract!B:J,6,FALSE),"")</f>
        <v/>
      </c>
      <c r="H2065" s="47" t="str">
        <f>IFERROR(VLOOKUP(G2065,WholesaleExtract!B:L,11,FALSE),"")</f>
        <v/>
      </c>
      <c r="I2065" s="26" t="str">
        <f>IFERROR(VLOOKUP(G2065,WholesaleExtract!B:O,8,FALSE),"")</f>
        <v/>
      </c>
      <c r="J2065" s="26" t="str">
        <f>IFERROR(VLOOKUP(G2065,WholesaleExtract!B:O,14,FALSE),"")</f>
        <v/>
      </c>
      <c r="K2065" s="26" t="str">
        <f>IFERROR(VLOOKUP(G2065,WholesaleExtract!B:K,10,FALSE),"")</f>
        <v/>
      </c>
      <c r="L2065" s="47" t="str">
        <f>IFERROR(VLOOKUP(G2065,WholesaleExtract!B:L,11,FALSE),"")</f>
        <v/>
      </c>
      <c r="M2065" s="47" t="str">
        <f>IFERROR(VLOOKUP(G2065,WholesaleExtract!B:M,12,FALSE),"")</f>
        <v/>
      </c>
      <c r="R2065" s="19"/>
      <c r="S2065" s="19"/>
    </row>
    <row r="2066" spans="1:19" x14ac:dyDescent="0.35">
      <c r="A2066" s="26" t="s">
        <v>543</v>
      </c>
      <c r="B2066" s="26" t="s">
        <v>543</v>
      </c>
      <c r="C2066" s="26"/>
      <c r="D2066" s="26" t="s">
        <v>543</v>
      </c>
      <c r="E2066" s="26" t="str">
        <f>IFERROR(VLOOKUP(G2066,WholesaleExtract!B:J,9,FALSE),"")</f>
        <v/>
      </c>
      <c r="F2066" s="26" t="str">
        <f>IFERROR(VLOOKUP(G2066,WholesaleExtract!B:J,6,FALSE),"")</f>
        <v/>
      </c>
      <c r="H2066" s="47" t="str">
        <f>IFERROR(VLOOKUP(G2066,WholesaleExtract!B:L,11,FALSE),"")</f>
        <v/>
      </c>
      <c r="I2066" s="26" t="str">
        <f>IFERROR(VLOOKUP(G2066,WholesaleExtract!B:O,8,FALSE),"")</f>
        <v/>
      </c>
      <c r="J2066" s="26" t="str">
        <f>IFERROR(VLOOKUP(G2066,WholesaleExtract!B:O,14,FALSE),"")</f>
        <v/>
      </c>
      <c r="K2066" s="26" t="str">
        <f>IFERROR(VLOOKUP(G2066,WholesaleExtract!B:K,10,FALSE),"")</f>
        <v/>
      </c>
      <c r="L2066" s="47" t="str">
        <f>IFERROR(VLOOKUP(G2066,WholesaleExtract!B:L,11,FALSE),"")</f>
        <v/>
      </c>
      <c r="M2066" s="47" t="str">
        <f>IFERROR(VLOOKUP(G2066,WholesaleExtract!B:M,12,FALSE),"")</f>
        <v/>
      </c>
      <c r="R2066" s="19"/>
      <c r="S2066" s="19"/>
    </row>
    <row r="2067" spans="1:19" x14ac:dyDescent="0.35">
      <c r="A2067" s="26" t="s">
        <v>543</v>
      </c>
      <c r="B2067" s="26" t="s">
        <v>543</v>
      </c>
      <c r="C2067" s="26"/>
      <c r="D2067" s="26" t="s">
        <v>543</v>
      </c>
      <c r="E2067" s="26" t="str">
        <f>IFERROR(VLOOKUP(G2067,WholesaleExtract!B:J,9,FALSE),"")</f>
        <v/>
      </c>
      <c r="F2067" s="26" t="str">
        <f>IFERROR(VLOOKUP(G2067,WholesaleExtract!B:J,6,FALSE),"")</f>
        <v/>
      </c>
      <c r="H2067" s="47" t="str">
        <f>IFERROR(VLOOKUP(G2067,WholesaleExtract!B:L,11,FALSE),"")</f>
        <v/>
      </c>
      <c r="I2067" s="26" t="str">
        <f>IFERROR(VLOOKUP(G2067,WholesaleExtract!B:O,8,FALSE),"")</f>
        <v/>
      </c>
      <c r="J2067" s="26" t="str">
        <f>IFERROR(VLOOKUP(G2067,WholesaleExtract!B:O,14,FALSE),"")</f>
        <v/>
      </c>
      <c r="K2067" s="26" t="str">
        <f>IFERROR(VLOOKUP(G2067,WholesaleExtract!B:K,10,FALSE),"")</f>
        <v/>
      </c>
      <c r="L2067" s="47" t="str">
        <f>IFERROR(VLOOKUP(G2067,WholesaleExtract!B:L,11,FALSE),"")</f>
        <v/>
      </c>
      <c r="M2067" s="47" t="str">
        <f>IFERROR(VLOOKUP(G2067,WholesaleExtract!B:M,12,FALSE),"")</f>
        <v/>
      </c>
      <c r="R2067" s="19"/>
      <c r="S2067" s="19"/>
    </row>
    <row r="2068" spans="1:19" x14ac:dyDescent="0.35">
      <c r="A2068" s="26" t="s">
        <v>543</v>
      </c>
      <c r="B2068" s="26" t="s">
        <v>543</v>
      </c>
      <c r="C2068" s="26"/>
      <c r="D2068" s="26" t="s">
        <v>543</v>
      </c>
      <c r="E2068" s="26" t="str">
        <f>IFERROR(VLOOKUP(G2068,WholesaleExtract!B:J,9,FALSE),"")</f>
        <v/>
      </c>
      <c r="F2068" s="26" t="str">
        <f>IFERROR(VLOOKUP(G2068,WholesaleExtract!B:J,6,FALSE),"")</f>
        <v/>
      </c>
      <c r="H2068" s="47" t="str">
        <f>IFERROR(VLOOKUP(G2068,WholesaleExtract!B:L,11,FALSE),"")</f>
        <v/>
      </c>
      <c r="I2068" s="26" t="str">
        <f>IFERROR(VLOOKUP(G2068,WholesaleExtract!B:O,8,FALSE),"")</f>
        <v/>
      </c>
      <c r="J2068" s="26" t="str">
        <f>IFERROR(VLOOKUP(G2068,WholesaleExtract!B:O,14,FALSE),"")</f>
        <v/>
      </c>
      <c r="K2068" s="26" t="str">
        <f>IFERROR(VLOOKUP(G2068,WholesaleExtract!B:K,10,FALSE),"")</f>
        <v/>
      </c>
      <c r="L2068" s="47" t="str">
        <f>IFERROR(VLOOKUP(G2068,WholesaleExtract!B:L,11,FALSE),"")</f>
        <v/>
      </c>
      <c r="M2068" s="47" t="str">
        <f>IFERROR(VLOOKUP(G2068,WholesaleExtract!B:M,12,FALSE),"")</f>
        <v/>
      </c>
      <c r="R2068" s="19"/>
      <c r="S2068" s="19"/>
    </row>
    <row r="2069" spans="1:19" x14ac:dyDescent="0.35">
      <c r="A2069" s="26" t="s">
        <v>543</v>
      </c>
      <c r="B2069" s="26" t="s">
        <v>543</v>
      </c>
      <c r="C2069" s="26"/>
      <c r="D2069" s="26" t="s">
        <v>543</v>
      </c>
      <c r="E2069" s="26" t="str">
        <f>IFERROR(VLOOKUP(G2069,WholesaleExtract!B:J,9,FALSE),"")</f>
        <v/>
      </c>
      <c r="F2069" s="26" t="str">
        <f>IFERROR(VLOOKUP(G2069,WholesaleExtract!B:J,6,FALSE),"")</f>
        <v/>
      </c>
      <c r="H2069" s="47" t="str">
        <f>IFERROR(VLOOKUP(G2069,WholesaleExtract!B:L,11,FALSE),"")</f>
        <v/>
      </c>
      <c r="I2069" s="26" t="str">
        <f>IFERROR(VLOOKUP(G2069,WholesaleExtract!B:O,8,FALSE),"")</f>
        <v/>
      </c>
      <c r="J2069" s="26" t="str">
        <f>IFERROR(VLOOKUP(G2069,WholesaleExtract!B:O,14,FALSE),"")</f>
        <v/>
      </c>
      <c r="K2069" s="26" t="str">
        <f>IFERROR(VLOOKUP(G2069,WholesaleExtract!B:K,10,FALSE),"")</f>
        <v/>
      </c>
      <c r="L2069" s="47" t="str">
        <f>IFERROR(VLOOKUP(G2069,WholesaleExtract!B:L,11,FALSE),"")</f>
        <v/>
      </c>
      <c r="M2069" s="47" t="str">
        <f>IFERROR(VLOOKUP(G2069,WholesaleExtract!B:M,12,FALSE),"")</f>
        <v/>
      </c>
      <c r="R2069" s="19"/>
      <c r="S2069" s="19"/>
    </row>
    <row r="2070" spans="1:19" x14ac:dyDescent="0.35">
      <c r="A2070" s="26" t="s">
        <v>543</v>
      </c>
      <c r="B2070" s="26" t="s">
        <v>543</v>
      </c>
      <c r="C2070" s="26"/>
      <c r="D2070" s="26" t="s">
        <v>543</v>
      </c>
      <c r="E2070" s="26" t="str">
        <f>IFERROR(VLOOKUP(G2070,WholesaleExtract!B:J,9,FALSE),"")</f>
        <v/>
      </c>
      <c r="F2070" s="26" t="str">
        <f>IFERROR(VLOOKUP(G2070,WholesaleExtract!B:J,6,FALSE),"")</f>
        <v/>
      </c>
      <c r="H2070" s="47" t="str">
        <f>IFERROR(VLOOKUP(G2070,WholesaleExtract!B:L,11,FALSE),"")</f>
        <v/>
      </c>
      <c r="I2070" s="26" t="str">
        <f>IFERROR(VLOOKUP(G2070,WholesaleExtract!B:O,8,FALSE),"")</f>
        <v/>
      </c>
      <c r="J2070" s="26" t="str">
        <f>IFERROR(VLOOKUP(G2070,WholesaleExtract!B:O,14,FALSE),"")</f>
        <v/>
      </c>
      <c r="K2070" s="26" t="str">
        <f>IFERROR(VLOOKUP(G2070,WholesaleExtract!B:K,10,FALSE),"")</f>
        <v/>
      </c>
      <c r="L2070" s="47" t="str">
        <f>IFERROR(VLOOKUP(G2070,WholesaleExtract!B:L,11,FALSE),"")</f>
        <v/>
      </c>
      <c r="M2070" s="47" t="str">
        <f>IFERROR(VLOOKUP(G2070,WholesaleExtract!B:M,12,FALSE),"")</f>
        <v/>
      </c>
      <c r="R2070" s="19"/>
      <c r="S2070" s="19"/>
    </row>
    <row r="2071" spans="1:19" x14ac:dyDescent="0.35">
      <c r="A2071" s="26" t="s">
        <v>543</v>
      </c>
      <c r="B2071" s="26" t="s">
        <v>543</v>
      </c>
      <c r="C2071" s="26"/>
      <c r="D2071" s="26" t="s">
        <v>543</v>
      </c>
      <c r="E2071" s="26" t="str">
        <f>IFERROR(VLOOKUP(G2071,WholesaleExtract!B:J,9,FALSE),"")</f>
        <v/>
      </c>
      <c r="F2071" s="26" t="str">
        <f>IFERROR(VLOOKUP(G2071,WholesaleExtract!B:J,6,FALSE),"")</f>
        <v/>
      </c>
      <c r="H2071" s="47" t="str">
        <f>IFERROR(VLOOKUP(G2071,WholesaleExtract!B:L,11,FALSE),"")</f>
        <v/>
      </c>
      <c r="I2071" s="26" t="str">
        <f>IFERROR(VLOOKUP(G2071,WholesaleExtract!B:O,8,FALSE),"")</f>
        <v/>
      </c>
      <c r="J2071" s="26" t="str">
        <f>IFERROR(VLOOKUP(G2071,WholesaleExtract!B:O,14,FALSE),"")</f>
        <v/>
      </c>
      <c r="K2071" s="26" t="str">
        <f>IFERROR(VLOOKUP(G2071,WholesaleExtract!B:K,10,FALSE),"")</f>
        <v/>
      </c>
      <c r="L2071" s="47" t="str">
        <f>IFERROR(VLOOKUP(G2071,WholesaleExtract!B:L,11,FALSE),"")</f>
        <v/>
      </c>
      <c r="M2071" s="47" t="str">
        <f>IFERROR(VLOOKUP(G2071,WholesaleExtract!B:M,12,FALSE),"")</f>
        <v/>
      </c>
      <c r="R2071" s="19"/>
      <c r="S2071" s="19"/>
    </row>
    <row r="2072" spans="1:19" x14ac:dyDescent="0.35">
      <c r="A2072" s="26" t="s">
        <v>543</v>
      </c>
      <c r="B2072" s="26" t="s">
        <v>543</v>
      </c>
      <c r="C2072" s="26"/>
      <c r="D2072" s="26" t="s">
        <v>543</v>
      </c>
      <c r="E2072" s="26" t="str">
        <f>IFERROR(VLOOKUP(G2072,WholesaleExtract!B:J,9,FALSE),"")</f>
        <v/>
      </c>
      <c r="F2072" s="26" t="str">
        <f>IFERROR(VLOOKUP(G2072,WholesaleExtract!B:J,6,FALSE),"")</f>
        <v/>
      </c>
      <c r="H2072" s="47" t="str">
        <f>IFERROR(VLOOKUP(G2072,WholesaleExtract!B:L,11,FALSE),"")</f>
        <v/>
      </c>
      <c r="I2072" s="26" t="str">
        <f>IFERROR(VLOOKUP(G2072,WholesaleExtract!B:O,8,FALSE),"")</f>
        <v/>
      </c>
      <c r="J2072" s="26" t="str">
        <f>IFERROR(VLOOKUP(G2072,WholesaleExtract!B:O,14,FALSE),"")</f>
        <v/>
      </c>
      <c r="K2072" s="26" t="str">
        <f>IFERROR(VLOOKUP(G2072,WholesaleExtract!B:K,10,FALSE),"")</f>
        <v/>
      </c>
      <c r="L2072" s="47" t="str">
        <f>IFERROR(VLOOKUP(G2072,WholesaleExtract!B:L,11,FALSE),"")</f>
        <v/>
      </c>
      <c r="M2072" s="47" t="str">
        <f>IFERROR(VLOOKUP(G2072,WholesaleExtract!B:M,12,FALSE),"")</f>
        <v/>
      </c>
      <c r="R2072" s="19"/>
      <c r="S2072" s="19"/>
    </row>
    <row r="2073" spans="1:19" x14ac:dyDescent="0.35">
      <c r="A2073" s="26" t="s">
        <v>543</v>
      </c>
      <c r="B2073" s="26" t="s">
        <v>543</v>
      </c>
      <c r="C2073" s="26"/>
      <c r="D2073" s="26" t="s">
        <v>543</v>
      </c>
      <c r="E2073" s="26" t="str">
        <f>IFERROR(VLOOKUP(G2073,WholesaleExtract!B:J,9,FALSE),"")</f>
        <v/>
      </c>
      <c r="F2073" s="26" t="str">
        <f>IFERROR(VLOOKUP(G2073,WholesaleExtract!B:J,6,FALSE),"")</f>
        <v/>
      </c>
      <c r="H2073" s="47" t="str">
        <f>IFERROR(VLOOKUP(G2073,WholesaleExtract!B:L,11,FALSE),"")</f>
        <v/>
      </c>
      <c r="I2073" s="26" t="str">
        <f>IFERROR(VLOOKUP(G2073,WholesaleExtract!B:O,8,FALSE),"")</f>
        <v/>
      </c>
      <c r="J2073" s="26" t="str">
        <f>IFERROR(VLOOKUP(G2073,WholesaleExtract!B:O,14,FALSE),"")</f>
        <v/>
      </c>
      <c r="K2073" s="26" t="str">
        <f>IFERROR(VLOOKUP(G2073,WholesaleExtract!B:K,10,FALSE),"")</f>
        <v/>
      </c>
      <c r="L2073" s="47" t="str">
        <f>IFERROR(VLOOKUP(G2073,WholesaleExtract!B:L,11,FALSE),"")</f>
        <v/>
      </c>
      <c r="M2073" s="47" t="str">
        <f>IFERROR(VLOOKUP(G2073,WholesaleExtract!B:M,12,FALSE),"")</f>
        <v/>
      </c>
      <c r="R2073" s="19"/>
      <c r="S2073" s="19"/>
    </row>
    <row r="2074" spans="1:19" x14ac:dyDescent="0.35">
      <c r="A2074" s="26" t="s">
        <v>543</v>
      </c>
      <c r="B2074" s="26" t="s">
        <v>543</v>
      </c>
      <c r="C2074" s="26"/>
      <c r="D2074" s="26" t="s">
        <v>543</v>
      </c>
      <c r="E2074" s="26" t="str">
        <f>IFERROR(VLOOKUP(G2074,WholesaleExtract!B:J,9,FALSE),"")</f>
        <v/>
      </c>
      <c r="F2074" s="26" t="str">
        <f>IFERROR(VLOOKUP(G2074,WholesaleExtract!B:J,6,FALSE),"")</f>
        <v/>
      </c>
      <c r="H2074" s="47" t="str">
        <f>IFERROR(VLOOKUP(G2074,WholesaleExtract!B:L,11,FALSE),"")</f>
        <v/>
      </c>
      <c r="I2074" s="26" t="str">
        <f>IFERROR(VLOOKUP(G2074,WholesaleExtract!B:O,8,FALSE),"")</f>
        <v/>
      </c>
      <c r="J2074" s="26" t="str">
        <f>IFERROR(VLOOKUP(G2074,WholesaleExtract!B:O,14,FALSE),"")</f>
        <v/>
      </c>
      <c r="K2074" s="26" t="str">
        <f>IFERROR(VLOOKUP(G2074,WholesaleExtract!B:K,10,FALSE),"")</f>
        <v/>
      </c>
      <c r="L2074" s="47" t="str">
        <f>IFERROR(VLOOKUP(G2074,WholesaleExtract!B:L,11,FALSE),"")</f>
        <v/>
      </c>
      <c r="M2074" s="47" t="str">
        <f>IFERROR(VLOOKUP(G2074,WholesaleExtract!B:M,12,FALSE),"")</f>
        <v/>
      </c>
      <c r="R2074" s="19"/>
      <c r="S2074" s="19"/>
    </row>
    <row r="2075" spans="1:19" x14ac:dyDescent="0.35">
      <c r="A2075" s="26" t="s">
        <v>543</v>
      </c>
      <c r="B2075" s="26" t="s">
        <v>543</v>
      </c>
      <c r="C2075" s="26"/>
      <c r="D2075" s="26" t="s">
        <v>543</v>
      </c>
      <c r="E2075" s="26" t="str">
        <f>IFERROR(VLOOKUP(G2075,WholesaleExtract!B:J,9,FALSE),"")</f>
        <v/>
      </c>
      <c r="F2075" s="26" t="str">
        <f>IFERROR(VLOOKUP(G2075,WholesaleExtract!B:J,6,FALSE),"")</f>
        <v/>
      </c>
      <c r="H2075" s="47" t="str">
        <f>IFERROR(VLOOKUP(G2075,WholesaleExtract!B:L,11,FALSE),"")</f>
        <v/>
      </c>
      <c r="I2075" s="26" t="str">
        <f>IFERROR(VLOOKUP(G2075,WholesaleExtract!B:O,8,FALSE),"")</f>
        <v/>
      </c>
      <c r="J2075" s="26" t="str">
        <f>IFERROR(VLOOKUP(G2075,WholesaleExtract!B:O,14,FALSE),"")</f>
        <v/>
      </c>
      <c r="K2075" s="26" t="str">
        <f>IFERROR(VLOOKUP(G2075,WholesaleExtract!B:K,10,FALSE),"")</f>
        <v/>
      </c>
      <c r="L2075" s="47" t="str">
        <f>IFERROR(VLOOKUP(G2075,WholesaleExtract!B:L,11,FALSE),"")</f>
        <v/>
      </c>
      <c r="M2075" s="47" t="str">
        <f>IFERROR(VLOOKUP(G2075,WholesaleExtract!B:M,12,FALSE),"")</f>
        <v/>
      </c>
      <c r="R2075" s="19"/>
      <c r="S2075" s="19"/>
    </row>
    <row r="2076" spans="1:19" x14ac:dyDescent="0.35">
      <c r="A2076" s="26" t="s">
        <v>543</v>
      </c>
      <c r="B2076" s="26" t="s">
        <v>543</v>
      </c>
      <c r="C2076" s="26"/>
      <c r="D2076" s="26" t="s">
        <v>543</v>
      </c>
      <c r="E2076" s="26" t="str">
        <f>IFERROR(VLOOKUP(G2076,WholesaleExtract!B:J,9,FALSE),"")</f>
        <v/>
      </c>
      <c r="F2076" s="26" t="str">
        <f>IFERROR(VLOOKUP(G2076,WholesaleExtract!B:J,6,FALSE),"")</f>
        <v/>
      </c>
      <c r="H2076" s="47" t="str">
        <f>IFERROR(VLOOKUP(G2076,WholesaleExtract!B:L,11,FALSE),"")</f>
        <v/>
      </c>
      <c r="I2076" s="26" t="str">
        <f>IFERROR(VLOOKUP(G2076,WholesaleExtract!B:O,8,FALSE),"")</f>
        <v/>
      </c>
      <c r="J2076" s="26" t="str">
        <f>IFERROR(VLOOKUP(G2076,WholesaleExtract!B:O,14,FALSE),"")</f>
        <v/>
      </c>
      <c r="K2076" s="26" t="str">
        <f>IFERROR(VLOOKUP(G2076,WholesaleExtract!B:K,10,FALSE),"")</f>
        <v/>
      </c>
      <c r="L2076" s="47" t="str">
        <f>IFERROR(VLOOKUP(G2076,WholesaleExtract!B:L,11,FALSE),"")</f>
        <v/>
      </c>
      <c r="M2076" s="47" t="str">
        <f>IFERROR(VLOOKUP(G2076,WholesaleExtract!B:M,12,FALSE),"")</f>
        <v/>
      </c>
      <c r="R2076" s="19"/>
      <c r="S2076" s="19"/>
    </row>
    <row r="2077" spans="1:19" x14ac:dyDescent="0.35">
      <c r="A2077" s="26" t="s">
        <v>543</v>
      </c>
      <c r="B2077" s="26" t="s">
        <v>543</v>
      </c>
      <c r="C2077" s="26"/>
      <c r="D2077" s="26" t="s">
        <v>543</v>
      </c>
      <c r="E2077" s="26" t="str">
        <f>IFERROR(VLOOKUP(G2077,WholesaleExtract!B:J,9,FALSE),"")</f>
        <v/>
      </c>
      <c r="F2077" s="26" t="str">
        <f>IFERROR(VLOOKUP(G2077,WholesaleExtract!B:J,6,FALSE),"")</f>
        <v/>
      </c>
      <c r="H2077" s="47" t="str">
        <f>IFERROR(VLOOKUP(G2077,WholesaleExtract!B:L,11,FALSE),"")</f>
        <v/>
      </c>
      <c r="I2077" s="26" t="str">
        <f>IFERROR(VLOOKUP(G2077,WholesaleExtract!B:O,8,FALSE),"")</f>
        <v/>
      </c>
      <c r="J2077" s="26" t="str">
        <f>IFERROR(VLOOKUP(G2077,WholesaleExtract!B:O,14,FALSE),"")</f>
        <v/>
      </c>
      <c r="K2077" s="26" t="str">
        <f>IFERROR(VLOOKUP(G2077,WholesaleExtract!B:K,10,FALSE),"")</f>
        <v/>
      </c>
      <c r="L2077" s="47" t="str">
        <f>IFERROR(VLOOKUP(G2077,WholesaleExtract!B:L,11,FALSE),"")</f>
        <v/>
      </c>
      <c r="M2077" s="47" t="str">
        <f>IFERROR(VLOOKUP(G2077,WholesaleExtract!B:M,12,FALSE),"")</f>
        <v/>
      </c>
      <c r="R2077" s="19"/>
      <c r="S2077" s="19"/>
    </row>
    <row r="2078" spans="1:19" x14ac:dyDescent="0.35">
      <c r="A2078" s="26" t="s">
        <v>543</v>
      </c>
      <c r="B2078" s="26" t="s">
        <v>543</v>
      </c>
      <c r="C2078" s="26"/>
      <c r="D2078" s="26" t="s">
        <v>543</v>
      </c>
      <c r="E2078" s="26" t="str">
        <f>IFERROR(VLOOKUP(G2078,WholesaleExtract!B:J,9,FALSE),"")</f>
        <v/>
      </c>
      <c r="F2078" s="26" t="str">
        <f>IFERROR(VLOOKUP(G2078,WholesaleExtract!B:J,6,FALSE),"")</f>
        <v/>
      </c>
      <c r="H2078" s="47" t="str">
        <f>IFERROR(VLOOKUP(G2078,WholesaleExtract!B:L,11,FALSE),"")</f>
        <v/>
      </c>
      <c r="I2078" s="26" t="str">
        <f>IFERROR(VLOOKUP(G2078,WholesaleExtract!B:O,8,FALSE),"")</f>
        <v/>
      </c>
      <c r="J2078" s="26" t="str">
        <f>IFERROR(VLOOKUP(G2078,WholesaleExtract!B:O,14,FALSE),"")</f>
        <v/>
      </c>
      <c r="K2078" s="26" t="str">
        <f>IFERROR(VLOOKUP(G2078,WholesaleExtract!B:K,10,FALSE),"")</f>
        <v/>
      </c>
      <c r="L2078" s="47" t="str">
        <f>IFERROR(VLOOKUP(G2078,WholesaleExtract!B:L,11,FALSE),"")</f>
        <v/>
      </c>
      <c r="M2078" s="47" t="str">
        <f>IFERROR(VLOOKUP(G2078,WholesaleExtract!B:M,12,FALSE),"")</f>
        <v/>
      </c>
      <c r="R2078" s="19"/>
      <c r="S2078" s="19"/>
    </row>
    <row r="2079" spans="1:19" x14ac:dyDescent="0.35">
      <c r="A2079" s="26" t="s">
        <v>543</v>
      </c>
      <c r="B2079" s="26" t="s">
        <v>543</v>
      </c>
      <c r="C2079" s="26"/>
      <c r="D2079" s="26" t="s">
        <v>543</v>
      </c>
      <c r="E2079" s="26" t="str">
        <f>IFERROR(VLOOKUP(G2079,WholesaleExtract!B:J,9,FALSE),"")</f>
        <v/>
      </c>
      <c r="F2079" s="26" t="str">
        <f>IFERROR(VLOOKUP(G2079,WholesaleExtract!B:J,6,FALSE),"")</f>
        <v/>
      </c>
      <c r="H2079" s="47" t="str">
        <f>IFERROR(VLOOKUP(G2079,WholesaleExtract!B:L,11,FALSE),"")</f>
        <v/>
      </c>
      <c r="I2079" s="26" t="str">
        <f>IFERROR(VLOOKUP(G2079,WholesaleExtract!B:O,8,FALSE),"")</f>
        <v/>
      </c>
      <c r="J2079" s="26" t="str">
        <f>IFERROR(VLOOKUP(G2079,WholesaleExtract!B:O,14,FALSE),"")</f>
        <v/>
      </c>
      <c r="K2079" s="26" t="str">
        <f>IFERROR(VLOOKUP(G2079,WholesaleExtract!B:K,10,FALSE),"")</f>
        <v/>
      </c>
      <c r="L2079" s="47" t="str">
        <f>IFERROR(VLOOKUP(G2079,WholesaleExtract!B:L,11,FALSE),"")</f>
        <v/>
      </c>
      <c r="M2079" s="47" t="str">
        <f>IFERROR(VLOOKUP(G2079,WholesaleExtract!B:M,12,FALSE),"")</f>
        <v/>
      </c>
      <c r="R2079" s="19"/>
      <c r="S2079" s="19"/>
    </row>
    <row r="2080" spans="1:19" x14ac:dyDescent="0.35">
      <c r="A2080" s="26" t="s">
        <v>543</v>
      </c>
      <c r="B2080" s="26" t="s">
        <v>543</v>
      </c>
      <c r="C2080" s="26"/>
      <c r="D2080" s="26" t="s">
        <v>543</v>
      </c>
      <c r="E2080" s="26" t="str">
        <f>IFERROR(VLOOKUP(G2080,WholesaleExtract!B:J,9,FALSE),"")</f>
        <v/>
      </c>
      <c r="F2080" s="26" t="str">
        <f>IFERROR(VLOOKUP(G2080,WholesaleExtract!B:J,6,FALSE),"")</f>
        <v/>
      </c>
      <c r="H2080" s="47" t="str">
        <f>IFERROR(VLOOKUP(G2080,WholesaleExtract!B:L,11,FALSE),"")</f>
        <v/>
      </c>
      <c r="I2080" s="26" t="str">
        <f>IFERROR(VLOOKUP(G2080,WholesaleExtract!B:O,8,FALSE),"")</f>
        <v/>
      </c>
      <c r="J2080" s="26" t="str">
        <f>IFERROR(VLOOKUP(G2080,WholesaleExtract!B:O,14,FALSE),"")</f>
        <v/>
      </c>
      <c r="K2080" s="26" t="str">
        <f>IFERROR(VLOOKUP(G2080,WholesaleExtract!B:K,10,FALSE),"")</f>
        <v/>
      </c>
      <c r="L2080" s="47" t="str">
        <f>IFERROR(VLOOKUP(G2080,WholesaleExtract!B:L,11,FALSE),"")</f>
        <v/>
      </c>
      <c r="M2080" s="47" t="str">
        <f>IFERROR(VLOOKUP(G2080,WholesaleExtract!B:M,12,FALSE),"")</f>
        <v/>
      </c>
      <c r="R2080" s="19"/>
      <c r="S2080" s="19"/>
    </row>
    <row r="2081" spans="1:19" x14ac:dyDescent="0.35">
      <c r="A2081" s="26" t="s">
        <v>543</v>
      </c>
      <c r="B2081" s="26" t="s">
        <v>543</v>
      </c>
      <c r="C2081" s="26"/>
      <c r="D2081" s="26" t="s">
        <v>543</v>
      </c>
      <c r="E2081" s="26" t="str">
        <f>IFERROR(VLOOKUP(G2081,WholesaleExtract!B:J,9,FALSE),"")</f>
        <v/>
      </c>
      <c r="F2081" s="26" t="str">
        <f>IFERROR(VLOOKUP(G2081,WholesaleExtract!B:J,6,FALSE),"")</f>
        <v/>
      </c>
      <c r="H2081" s="47" t="str">
        <f>IFERROR(VLOOKUP(G2081,WholesaleExtract!B:L,11,FALSE),"")</f>
        <v/>
      </c>
      <c r="I2081" s="26" t="str">
        <f>IFERROR(VLOOKUP(G2081,WholesaleExtract!B:O,8,FALSE),"")</f>
        <v/>
      </c>
      <c r="J2081" s="26" t="str">
        <f>IFERROR(VLOOKUP(G2081,WholesaleExtract!B:O,14,FALSE),"")</f>
        <v/>
      </c>
      <c r="K2081" s="26" t="str">
        <f>IFERROR(VLOOKUP(G2081,WholesaleExtract!B:K,10,FALSE),"")</f>
        <v/>
      </c>
      <c r="L2081" s="47" t="str">
        <f>IFERROR(VLOOKUP(G2081,WholesaleExtract!B:L,11,FALSE),"")</f>
        <v/>
      </c>
      <c r="M2081" s="47" t="str">
        <f>IFERROR(VLOOKUP(G2081,WholesaleExtract!B:M,12,FALSE),"")</f>
        <v/>
      </c>
      <c r="R2081" s="19"/>
      <c r="S2081" s="19"/>
    </row>
    <row r="2082" spans="1:19" x14ac:dyDescent="0.35">
      <c r="A2082" s="26" t="s">
        <v>543</v>
      </c>
      <c r="B2082" s="26" t="s">
        <v>543</v>
      </c>
      <c r="C2082" s="26"/>
      <c r="D2082" s="26" t="s">
        <v>543</v>
      </c>
      <c r="E2082" s="26" t="str">
        <f>IFERROR(VLOOKUP(G2082,WholesaleExtract!B:J,9,FALSE),"")</f>
        <v/>
      </c>
      <c r="F2082" s="26" t="str">
        <f>IFERROR(VLOOKUP(G2082,WholesaleExtract!B:J,6,FALSE),"")</f>
        <v/>
      </c>
      <c r="H2082" s="47" t="str">
        <f>IFERROR(VLOOKUP(G2082,WholesaleExtract!B:L,11,FALSE),"")</f>
        <v/>
      </c>
      <c r="I2082" s="26" t="str">
        <f>IFERROR(VLOOKUP(G2082,WholesaleExtract!B:O,8,FALSE),"")</f>
        <v/>
      </c>
      <c r="J2082" s="26" t="str">
        <f>IFERROR(VLOOKUP(G2082,WholesaleExtract!B:O,14,FALSE),"")</f>
        <v/>
      </c>
      <c r="K2082" s="26" t="str">
        <f>IFERROR(VLOOKUP(G2082,WholesaleExtract!B:K,10,FALSE),"")</f>
        <v/>
      </c>
      <c r="L2082" s="47" t="str">
        <f>IFERROR(VLOOKUP(G2082,WholesaleExtract!B:L,11,FALSE),"")</f>
        <v/>
      </c>
      <c r="M2082" s="47" t="str">
        <f>IFERROR(VLOOKUP(G2082,WholesaleExtract!B:M,12,FALSE),"")</f>
        <v/>
      </c>
      <c r="R2082" s="19"/>
      <c r="S2082" s="19"/>
    </row>
    <row r="2083" spans="1:19" x14ac:dyDescent="0.35">
      <c r="A2083" s="26" t="s">
        <v>543</v>
      </c>
      <c r="B2083" s="26" t="s">
        <v>543</v>
      </c>
      <c r="C2083" s="26"/>
      <c r="D2083" s="26" t="s">
        <v>543</v>
      </c>
      <c r="E2083" s="26" t="str">
        <f>IFERROR(VLOOKUP(G2083,WholesaleExtract!B:J,9,FALSE),"")</f>
        <v/>
      </c>
      <c r="F2083" s="26" t="str">
        <f>IFERROR(VLOOKUP(G2083,WholesaleExtract!B:J,6,FALSE),"")</f>
        <v/>
      </c>
      <c r="H2083" s="47" t="str">
        <f>IFERROR(VLOOKUP(G2083,WholesaleExtract!B:L,11,FALSE),"")</f>
        <v/>
      </c>
      <c r="I2083" s="26" t="str">
        <f>IFERROR(VLOOKUP(G2083,WholesaleExtract!B:O,8,FALSE),"")</f>
        <v/>
      </c>
      <c r="J2083" s="26" t="str">
        <f>IFERROR(VLOOKUP(G2083,WholesaleExtract!B:O,14,FALSE),"")</f>
        <v/>
      </c>
      <c r="K2083" s="26" t="str">
        <f>IFERROR(VLOOKUP(G2083,WholesaleExtract!B:K,10,FALSE),"")</f>
        <v/>
      </c>
      <c r="L2083" s="47" t="str">
        <f>IFERROR(VLOOKUP(G2083,WholesaleExtract!B:L,11,FALSE),"")</f>
        <v/>
      </c>
      <c r="M2083" s="47" t="str">
        <f>IFERROR(VLOOKUP(G2083,WholesaleExtract!B:M,12,FALSE),"")</f>
        <v/>
      </c>
      <c r="R2083" s="19"/>
      <c r="S2083" s="19"/>
    </row>
    <row r="2084" spans="1:19" x14ac:dyDescent="0.35">
      <c r="A2084" s="26" t="s">
        <v>543</v>
      </c>
      <c r="B2084" s="26" t="s">
        <v>543</v>
      </c>
      <c r="C2084" s="26"/>
      <c r="D2084" s="26" t="s">
        <v>543</v>
      </c>
      <c r="E2084" s="26" t="str">
        <f>IFERROR(VLOOKUP(G2084,WholesaleExtract!B:J,9,FALSE),"")</f>
        <v/>
      </c>
      <c r="F2084" s="26" t="str">
        <f>IFERROR(VLOOKUP(G2084,WholesaleExtract!B:J,6,FALSE),"")</f>
        <v/>
      </c>
      <c r="H2084" s="47" t="str">
        <f>IFERROR(VLOOKUP(G2084,WholesaleExtract!B:L,11,FALSE),"")</f>
        <v/>
      </c>
      <c r="I2084" s="26" t="str">
        <f>IFERROR(VLOOKUP(G2084,WholesaleExtract!B:O,8,FALSE),"")</f>
        <v/>
      </c>
      <c r="J2084" s="26" t="str">
        <f>IFERROR(VLOOKUP(G2084,WholesaleExtract!B:O,14,FALSE),"")</f>
        <v/>
      </c>
      <c r="K2084" s="26" t="str">
        <f>IFERROR(VLOOKUP(G2084,WholesaleExtract!B:K,10,FALSE),"")</f>
        <v/>
      </c>
      <c r="L2084" s="47" t="str">
        <f>IFERROR(VLOOKUP(G2084,WholesaleExtract!B:L,11,FALSE),"")</f>
        <v/>
      </c>
      <c r="M2084" s="47" t="str">
        <f>IFERROR(VLOOKUP(G2084,WholesaleExtract!B:M,12,FALSE),"")</f>
        <v/>
      </c>
      <c r="R2084" s="19"/>
      <c r="S2084" s="19"/>
    </row>
    <row r="2085" spans="1:19" x14ac:dyDescent="0.35">
      <c r="A2085" s="26" t="s">
        <v>543</v>
      </c>
      <c r="B2085" s="26" t="s">
        <v>543</v>
      </c>
      <c r="C2085" s="26"/>
      <c r="D2085" s="26" t="s">
        <v>543</v>
      </c>
      <c r="E2085" s="26" t="str">
        <f>IFERROR(VLOOKUP(G2085,WholesaleExtract!B:J,9,FALSE),"")</f>
        <v/>
      </c>
      <c r="F2085" s="26" t="str">
        <f>IFERROR(VLOOKUP(G2085,WholesaleExtract!B:J,6,FALSE),"")</f>
        <v/>
      </c>
      <c r="H2085" s="47" t="str">
        <f>IFERROR(VLOOKUP(G2085,WholesaleExtract!B:L,11,FALSE),"")</f>
        <v/>
      </c>
      <c r="I2085" s="26" t="str">
        <f>IFERROR(VLOOKUP(G2085,WholesaleExtract!B:O,8,FALSE),"")</f>
        <v/>
      </c>
      <c r="J2085" s="26" t="str">
        <f>IFERROR(VLOOKUP(G2085,WholesaleExtract!B:O,14,FALSE),"")</f>
        <v/>
      </c>
      <c r="K2085" s="26" t="str">
        <f>IFERROR(VLOOKUP(G2085,WholesaleExtract!B:K,10,FALSE),"")</f>
        <v/>
      </c>
      <c r="L2085" s="47" t="str">
        <f>IFERROR(VLOOKUP(G2085,WholesaleExtract!B:L,11,FALSE),"")</f>
        <v/>
      </c>
      <c r="M2085" s="47" t="str">
        <f>IFERROR(VLOOKUP(G2085,WholesaleExtract!B:M,12,FALSE),"")</f>
        <v/>
      </c>
      <c r="R2085" s="19"/>
      <c r="S2085" s="19"/>
    </row>
    <row r="2086" spans="1:19" x14ac:dyDescent="0.35">
      <c r="A2086" s="26" t="s">
        <v>543</v>
      </c>
      <c r="B2086" s="26" t="s">
        <v>543</v>
      </c>
      <c r="C2086" s="26"/>
      <c r="D2086" s="26" t="s">
        <v>543</v>
      </c>
      <c r="E2086" s="26" t="str">
        <f>IFERROR(VLOOKUP(G2086,WholesaleExtract!B:J,9,FALSE),"")</f>
        <v/>
      </c>
      <c r="F2086" s="26" t="str">
        <f>IFERROR(VLOOKUP(G2086,WholesaleExtract!B:J,6,FALSE),"")</f>
        <v/>
      </c>
      <c r="H2086" s="47" t="str">
        <f>IFERROR(VLOOKUP(G2086,WholesaleExtract!B:L,11,FALSE),"")</f>
        <v/>
      </c>
      <c r="I2086" s="26" t="str">
        <f>IFERROR(VLOOKUP(G2086,WholesaleExtract!B:O,8,FALSE),"")</f>
        <v/>
      </c>
      <c r="J2086" s="26" t="str">
        <f>IFERROR(VLOOKUP(G2086,WholesaleExtract!B:O,14,FALSE),"")</f>
        <v/>
      </c>
      <c r="K2086" s="26" t="str">
        <f>IFERROR(VLOOKUP(G2086,WholesaleExtract!B:K,10,FALSE),"")</f>
        <v/>
      </c>
      <c r="L2086" s="47" t="str">
        <f>IFERROR(VLOOKUP(G2086,WholesaleExtract!B:L,11,FALSE),"")</f>
        <v/>
      </c>
      <c r="M2086" s="47" t="str">
        <f>IFERROR(VLOOKUP(G2086,WholesaleExtract!B:M,12,FALSE),"")</f>
        <v/>
      </c>
      <c r="R2086" s="19"/>
      <c r="S2086" s="19"/>
    </row>
    <row r="2087" spans="1:19" x14ac:dyDescent="0.35">
      <c r="A2087" s="26" t="s">
        <v>543</v>
      </c>
      <c r="B2087" s="26" t="s">
        <v>543</v>
      </c>
      <c r="C2087" s="26"/>
      <c r="D2087" s="26" t="s">
        <v>543</v>
      </c>
      <c r="E2087" s="26" t="str">
        <f>IFERROR(VLOOKUP(G2087,WholesaleExtract!B:J,9,FALSE),"")</f>
        <v/>
      </c>
      <c r="F2087" s="26" t="str">
        <f>IFERROR(VLOOKUP(G2087,WholesaleExtract!B:J,6,FALSE),"")</f>
        <v/>
      </c>
      <c r="H2087" s="47" t="str">
        <f>IFERROR(VLOOKUP(G2087,WholesaleExtract!B:L,11,FALSE),"")</f>
        <v/>
      </c>
      <c r="I2087" s="26" t="str">
        <f>IFERROR(VLOOKUP(G2087,WholesaleExtract!B:O,8,FALSE),"")</f>
        <v/>
      </c>
      <c r="J2087" s="26" t="str">
        <f>IFERROR(VLOOKUP(G2087,WholesaleExtract!B:O,14,FALSE),"")</f>
        <v/>
      </c>
      <c r="K2087" s="26" t="str">
        <f>IFERROR(VLOOKUP(G2087,WholesaleExtract!B:K,10,FALSE),"")</f>
        <v/>
      </c>
      <c r="L2087" s="47" t="str">
        <f>IFERROR(VLOOKUP(G2087,WholesaleExtract!B:L,11,FALSE),"")</f>
        <v/>
      </c>
      <c r="M2087" s="47" t="str">
        <f>IFERROR(VLOOKUP(G2087,WholesaleExtract!B:M,12,FALSE),"")</f>
        <v/>
      </c>
      <c r="R2087" s="19"/>
      <c r="S2087" s="19"/>
    </row>
    <row r="2088" spans="1:19" x14ac:dyDescent="0.35">
      <c r="A2088" s="26" t="s">
        <v>543</v>
      </c>
      <c r="B2088" s="26" t="s">
        <v>543</v>
      </c>
      <c r="C2088" s="26"/>
      <c r="D2088" s="26" t="s">
        <v>543</v>
      </c>
      <c r="E2088" s="26" t="str">
        <f>IFERROR(VLOOKUP(G2088,WholesaleExtract!B:J,9,FALSE),"")</f>
        <v/>
      </c>
      <c r="F2088" s="26" t="str">
        <f>IFERROR(VLOOKUP(G2088,WholesaleExtract!B:J,6,FALSE),"")</f>
        <v/>
      </c>
      <c r="H2088" s="47" t="str">
        <f>IFERROR(VLOOKUP(G2088,WholesaleExtract!B:L,11,FALSE),"")</f>
        <v/>
      </c>
      <c r="I2088" s="26" t="str">
        <f>IFERROR(VLOOKUP(G2088,WholesaleExtract!B:O,8,FALSE),"")</f>
        <v/>
      </c>
      <c r="J2088" s="26" t="str">
        <f>IFERROR(VLOOKUP(G2088,WholesaleExtract!B:O,14,FALSE),"")</f>
        <v/>
      </c>
      <c r="K2088" s="26" t="str">
        <f>IFERROR(VLOOKUP(G2088,WholesaleExtract!B:K,10,FALSE),"")</f>
        <v/>
      </c>
      <c r="L2088" s="47" t="str">
        <f>IFERROR(VLOOKUP(G2088,WholesaleExtract!B:L,11,FALSE),"")</f>
        <v/>
      </c>
      <c r="M2088" s="47" t="str">
        <f>IFERROR(VLOOKUP(G2088,WholesaleExtract!B:M,12,FALSE),"")</f>
        <v/>
      </c>
      <c r="R2088" s="19"/>
      <c r="S2088" s="19"/>
    </row>
    <row r="2089" spans="1:19" x14ac:dyDescent="0.35">
      <c r="A2089" s="26" t="s">
        <v>543</v>
      </c>
      <c r="B2089" s="26" t="s">
        <v>543</v>
      </c>
      <c r="C2089" s="26"/>
      <c r="D2089" s="26" t="s">
        <v>543</v>
      </c>
      <c r="E2089" s="26" t="str">
        <f>IFERROR(VLOOKUP(G2089,WholesaleExtract!B:J,9,FALSE),"")</f>
        <v/>
      </c>
      <c r="F2089" s="26" t="str">
        <f>IFERROR(VLOOKUP(G2089,WholesaleExtract!B:J,6,FALSE),"")</f>
        <v/>
      </c>
      <c r="H2089" s="47" t="str">
        <f>IFERROR(VLOOKUP(G2089,WholesaleExtract!B:L,11,FALSE),"")</f>
        <v/>
      </c>
      <c r="I2089" s="26" t="str">
        <f>IFERROR(VLOOKUP(G2089,WholesaleExtract!B:O,8,FALSE),"")</f>
        <v/>
      </c>
      <c r="J2089" s="26" t="str">
        <f>IFERROR(VLOOKUP(G2089,WholesaleExtract!B:O,14,FALSE),"")</f>
        <v/>
      </c>
      <c r="K2089" s="26" t="str">
        <f>IFERROR(VLOOKUP(G2089,WholesaleExtract!B:K,10,FALSE),"")</f>
        <v/>
      </c>
      <c r="L2089" s="47" t="str">
        <f>IFERROR(VLOOKUP(G2089,WholesaleExtract!B:L,11,FALSE),"")</f>
        <v/>
      </c>
      <c r="M2089" s="47" t="str">
        <f>IFERROR(VLOOKUP(G2089,WholesaleExtract!B:M,12,FALSE),"")</f>
        <v/>
      </c>
      <c r="R2089" s="19"/>
      <c r="S2089" s="19"/>
    </row>
    <row r="2090" spans="1:19" x14ac:dyDescent="0.35">
      <c r="A2090" s="26" t="s">
        <v>543</v>
      </c>
      <c r="B2090" s="26" t="s">
        <v>543</v>
      </c>
      <c r="C2090" s="26"/>
      <c r="D2090" s="26" t="s">
        <v>543</v>
      </c>
      <c r="E2090" s="26" t="str">
        <f>IFERROR(VLOOKUP(G2090,WholesaleExtract!B:J,9,FALSE),"")</f>
        <v/>
      </c>
      <c r="F2090" s="26" t="str">
        <f>IFERROR(VLOOKUP(G2090,WholesaleExtract!B:J,6,FALSE),"")</f>
        <v/>
      </c>
      <c r="H2090" s="47" t="str">
        <f>IFERROR(VLOOKUP(G2090,WholesaleExtract!B:L,11,FALSE),"")</f>
        <v/>
      </c>
      <c r="I2090" s="26" t="str">
        <f>IFERROR(VLOOKUP(G2090,WholesaleExtract!B:O,8,FALSE),"")</f>
        <v/>
      </c>
      <c r="J2090" s="26" t="str">
        <f>IFERROR(VLOOKUP(G2090,WholesaleExtract!B:O,14,FALSE),"")</f>
        <v/>
      </c>
      <c r="K2090" s="26" t="str">
        <f>IFERROR(VLOOKUP(G2090,WholesaleExtract!B:K,10,FALSE),"")</f>
        <v/>
      </c>
      <c r="L2090" s="47" t="str">
        <f>IFERROR(VLOOKUP(G2090,WholesaleExtract!B:L,11,FALSE),"")</f>
        <v/>
      </c>
      <c r="M2090" s="47" t="str">
        <f>IFERROR(VLOOKUP(G2090,WholesaleExtract!B:M,12,FALSE),"")</f>
        <v/>
      </c>
      <c r="R2090" s="19"/>
      <c r="S2090" s="19"/>
    </row>
    <row r="2091" spans="1:19" x14ac:dyDescent="0.35">
      <c r="A2091" s="26" t="s">
        <v>543</v>
      </c>
      <c r="B2091" s="26" t="s">
        <v>543</v>
      </c>
      <c r="C2091" s="26"/>
      <c r="D2091" s="26" t="s">
        <v>543</v>
      </c>
      <c r="E2091" s="26" t="str">
        <f>IFERROR(VLOOKUP(G2091,WholesaleExtract!B:J,9,FALSE),"")</f>
        <v/>
      </c>
      <c r="F2091" s="26" t="str">
        <f>IFERROR(VLOOKUP(G2091,WholesaleExtract!B:J,6,FALSE),"")</f>
        <v/>
      </c>
      <c r="H2091" s="47" t="str">
        <f>IFERROR(VLOOKUP(G2091,WholesaleExtract!B:L,11,FALSE),"")</f>
        <v/>
      </c>
      <c r="I2091" s="26" t="str">
        <f>IFERROR(VLOOKUP(G2091,WholesaleExtract!B:O,8,FALSE),"")</f>
        <v/>
      </c>
      <c r="J2091" s="26" t="str">
        <f>IFERROR(VLOOKUP(G2091,WholesaleExtract!B:O,14,FALSE),"")</f>
        <v/>
      </c>
      <c r="K2091" s="26" t="str">
        <f>IFERROR(VLOOKUP(G2091,WholesaleExtract!B:K,10,FALSE),"")</f>
        <v/>
      </c>
      <c r="L2091" s="47" t="str">
        <f>IFERROR(VLOOKUP(G2091,WholesaleExtract!B:L,11,FALSE),"")</f>
        <v/>
      </c>
      <c r="M2091" s="47" t="str">
        <f>IFERROR(VLOOKUP(G2091,WholesaleExtract!B:M,12,FALSE),"")</f>
        <v/>
      </c>
      <c r="R2091" s="19"/>
      <c r="S2091" s="19"/>
    </row>
    <row r="2092" spans="1:19" x14ac:dyDescent="0.35">
      <c r="A2092" s="26" t="s">
        <v>543</v>
      </c>
      <c r="B2092" s="26" t="s">
        <v>543</v>
      </c>
      <c r="C2092" s="26"/>
      <c r="D2092" s="26" t="s">
        <v>543</v>
      </c>
      <c r="E2092" s="26" t="str">
        <f>IFERROR(VLOOKUP(G2092,WholesaleExtract!B:J,9,FALSE),"")</f>
        <v/>
      </c>
      <c r="F2092" s="26" t="str">
        <f>IFERROR(VLOOKUP(G2092,WholesaleExtract!B:J,6,FALSE),"")</f>
        <v/>
      </c>
      <c r="H2092" s="47" t="str">
        <f>IFERROR(VLOOKUP(G2092,WholesaleExtract!B:L,11,FALSE),"")</f>
        <v/>
      </c>
      <c r="I2092" s="26" t="str">
        <f>IFERROR(VLOOKUP(G2092,WholesaleExtract!B:O,8,FALSE),"")</f>
        <v/>
      </c>
      <c r="J2092" s="26" t="str">
        <f>IFERROR(VLOOKUP(G2092,WholesaleExtract!B:O,14,FALSE),"")</f>
        <v/>
      </c>
      <c r="K2092" s="26" t="str">
        <f>IFERROR(VLOOKUP(G2092,WholesaleExtract!B:K,10,FALSE),"")</f>
        <v/>
      </c>
      <c r="L2092" s="47" t="str">
        <f>IFERROR(VLOOKUP(G2092,WholesaleExtract!B:L,11,FALSE),"")</f>
        <v/>
      </c>
      <c r="M2092" s="47" t="str">
        <f>IFERROR(VLOOKUP(G2092,WholesaleExtract!B:M,12,FALSE),"")</f>
        <v/>
      </c>
      <c r="R2092" s="19"/>
      <c r="S2092" s="19"/>
    </row>
    <row r="2093" spans="1:19" x14ac:dyDescent="0.35">
      <c r="A2093" s="26" t="s">
        <v>543</v>
      </c>
      <c r="B2093" s="26" t="s">
        <v>543</v>
      </c>
      <c r="C2093" s="26"/>
      <c r="D2093" s="26" t="s">
        <v>543</v>
      </c>
      <c r="E2093" s="26" t="str">
        <f>IFERROR(VLOOKUP(G2093,WholesaleExtract!B:J,9,FALSE),"")</f>
        <v/>
      </c>
      <c r="F2093" s="26" t="str">
        <f>IFERROR(VLOOKUP(G2093,WholesaleExtract!B:J,6,FALSE),"")</f>
        <v/>
      </c>
      <c r="H2093" s="47" t="str">
        <f>IFERROR(VLOOKUP(G2093,WholesaleExtract!B:L,11,FALSE),"")</f>
        <v/>
      </c>
      <c r="I2093" s="26" t="str">
        <f>IFERROR(VLOOKUP(G2093,WholesaleExtract!B:O,8,FALSE),"")</f>
        <v/>
      </c>
      <c r="J2093" s="26" t="str">
        <f>IFERROR(VLOOKUP(G2093,WholesaleExtract!B:O,14,FALSE),"")</f>
        <v/>
      </c>
      <c r="K2093" s="26" t="str">
        <f>IFERROR(VLOOKUP(G2093,WholesaleExtract!B:K,10,FALSE),"")</f>
        <v/>
      </c>
      <c r="L2093" s="47" t="str">
        <f>IFERROR(VLOOKUP(G2093,WholesaleExtract!B:L,11,FALSE),"")</f>
        <v/>
      </c>
      <c r="M2093" s="47" t="str">
        <f>IFERROR(VLOOKUP(G2093,WholesaleExtract!B:M,12,FALSE),"")</f>
        <v/>
      </c>
      <c r="R2093" s="19"/>
      <c r="S2093" s="19"/>
    </row>
    <row r="2094" spans="1:19" x14ac:dyDescent="0.35">
      <c r="A2094" s="26" t="s">
        <v>543</v>
      </c>
      <c r="B2094" s="26" t="s">
        <v>543</v>
      </c>
      <c r="C2094" s="26"/>
      <c r="D2094" s="26" t="s">
        <v>543</v>
      </c>
      <c r="E2094" s="26" t="str">
        <f>IFERROR(VLOOKUP(G2094,WholesaleExtract!B:J,9,FALSE),"")</f>
        <v/>
      </c>
      <c r="F2094" s="26" t="str">
        <f>IFERROR(VLOOKUP(G2094,WholesaleExtract!B:J,6,FALSE),"")</f>
        <v/>
      </c>
      <c r="H2094" s="47" t="str">
        <f>IFERROR(VLOOKUP(G2094,WholesaleExtract!B:L,11,FALSE),"")</f>
        <v/>
      </c>
      <c r="I2094" s="26" t="str">
        <f>IFERROR(VLOOKUP(G2094,WholesaleExtract!B:O,8,FALSE),"")</f>
        <v/>
      </c>
      <c r="J2094" s="26" t="str">
        <f>IFERROR(VLOOKUP(G2094,WholesaleExtract!B:O,14,FALSE),"")</f>
        <v/>
      </c>
      <c r="K2094" s="26" t="str">
        <f>IFERROR(VLOOKUP(G2094,WholesaleExtract!B:K,10,FALSE),"")</f>
        <v/>
      </c>
      <c r="L2094" s="47" t="str">
        <f>IFERROR(VLOOKUP(G2094,WholesaleExtract!B:L,11,FALSE),"")</f>
        <v/>
      </c>
      <c r="M2094" s="47" t="str">
        <f>IFERROR(VLOOKUP(G2094,WholesaleExtract!B:M,12,FALSE),"")</f>
        <v/>
      </c>
      <c r="R2094" s="19"/>
      <c r="S2094" s="19"/>
    </row>
    <row r="2095" spans="1:19" x14ac:dyDescent="0.35">
      <c r="A2095" s="26" t="s">
        <v>543</v>
      </c>
      <c r="B2095" s="26" t="s">
        <v>543</v>
      </c>
      <c r="C2095" s="26"/>
      <c r="D2095" s="26" t="s">
        <v>543</v>
      </c>
      <c r="E2095" s="26" t="str">
        <f>IFERROR(VLOOKUP(G2095,WholesaleExtract!B:J,9,FALSE),"")</f>
        <v/>
      </c>
      <c r="F2095" s="26" t="str">
        <f>IFERROR(VLOOKUP(G2095,WholesaleExtract!B:J,6,FALSE),"")</f>
        <v/>
      </c>
      <c r="H2095" s="47" t="str">
        <f>IFERROR(VLOOKUP(G2095,WholesaleExtract!B:L,11,FALSE),"")</f>
        <v/>
      </c>
      <c r="I2095" s="26" t="str">
        <f>IFERROR(VLOOKUP(G2095,WholesaleExtract!B:O,8,FALSE),"")</f>
        <v/>
      </c>
      <c r="J2095" s="26" t="str">
        <f>IFERROR(VLOOKUP(G2095,WholesaleExtract!B:O,14,FALSE),"")</f>
        <v/>
      </c>
      <c r="K2095" s="26" t="str">
        <f>IFERROR(VLOOKUP(G2095,WholesaleExtract!B:K,10,FALSE),"")</f>
        <v/>
      </c>
      <c r="L2095" s="47" t="str">
        <f>IFERROR(VLOOKUP(G2095,WholesaleExtract!B:L,11,FALSE),"")</f>
        <v/>
      </c>
      <c r="M2095" s="47" t="str">
        <f>IFERROR(VLOOKUP(G2095,WholesaleExtract!B:M,12,FALSE),"")</f>
        <v/>
      </c>
      <c r="R2095" s="19"/>
      <c r="S2095" s="19"/>
    </row>
    <row r="2096" spans="1:19" x14ac:dyDescent="0.35">
      <c r="A2096" s="26" t="s">
        <v>543</v>
      </c>
      <c r="B2096" s="26" t="s">
        <v>543</v>
      </c>
      <c r="C2096" s="26"/>
      <c r="D2096" s="26" t="s">
        <v>543</v>
      </c>
      <c r="E2096" s="26" t="str">
        <f>IFERROR(VLOOKUP(G2096,WholesaleExtract!B:J,9,FALSE),"")</f>
        <v/>
      </c>
      <c r="F2096" s="26" t="str">
        <f>IFERROR(VLOOKUP(G2096,WholesaleExtract!B:J,6,FALSE),"")</f>
        <v/>
      </c>
      <c r="H2096" s="47" t="str">
        <f>IFERROR(VLOOKUP(G2096,WholesaleExtract!B:L,11,FALSE),"")</f>
        <v/>
      </c>
      <c r="I2096" s="26" t="str">
        <f>IFERROR(VLOOKUP(G2096,WholesaleExtract!B:O,8,FALSE),"")</f>
        <v/>
      </c>
      <c r="J2096" s="26" t="str">
        <f>IFERROR(VLOOKUP(G2096,WholesaleExtract!B:O,14,FALSE),"")</f>
        <v/>
      </c>
      <c r="K2096" s="26" t="str">
        <f>IFERROR(VLOOKUP(G2096,WholesaleExtract!B:K,10,FALSE),"")</f>
        <v/>
      </c>
      <c r="L2096" s="47" t="str">
        <f>IFERROR(VLOOKUP(G2096,WholesaleExtract!B:L,11,FALSE),"")</f>
        <v/>
      </c>
      <c r="M2096" s="47" t="str">
        <f>IFERROR(VLOOKUP(G2096,WholesaleExtract!B:M,12,FALSE),"")</f>
        <v/>
      </c>
      <c r="R2096" s="19"/>
      <c r="S2096" s="19"/>
    </row>
    <row r="2097" spans="1:19" x14ac:dyDescent="0.35">
      <c r="A2097" s="26" t="s">
        <v>543</v>
      </c>
      <c r="B2097" s="26" t="s">
        <v>543</v>
      </c>
      <c r="C2097" s="26"/>
      <c r="D2097" s="26" t="s">
        <v>543</v>
      </c>
      <c r="E2097" s="26" t="str">
        <f>IFERROR(VLOOKUP(G2097,WholesaleExtract!B:J,9,FALSE),"")</f>
        <v/>
      </c>
      <c r="F2097" s="26" t="str">
        <f>IFERROR(VLOOKUP(G2097,WholesaleExtract!B:J,6,FALSE),"")</f>
        <v/>
      </c>
      <c r="H2097" s="47" t="str">
        <f>IFERROR(VLOOKUP(G2097,WholesaleExtract!B:L,11,FALSE),"")</f>
        <v/>
      </c>
      <c r="I2097" s="26" t="str">
        <f>IFERROR(VLOOKUP(G2097,WholesaleExtract!B:O,8,FALSE),"")</f>
        <v/>
      </c>
      <c r="J2097" s="26" t="str">
        <f>IFERROR(VLOOKUP(G2097,WholesaleExtract!B:O,14,FALSE),"")</f>
        <v/>
      </c>
      <c r="K2097" s="26" t="str">
        <f>IFERROR(VLOOKUP(G2097,WholesaleExtract!B:K,10,FALSE),"")</f>
        <v/>
      </c>
      <c r="L2097" s="47" t="str">
        <f>IFERROR(VLOOKUP(G2097,WholesaleExtract!B:L,11,FALSE),"")</f>
        <v/>
      </c>
      <c r="M2097" s="47" t="str">
        <f>IFERROR(VLOOKUP(G2097,WholesaleExtract!B:M,12,FALSE),"")</f>
        <v/>
      </c>
      <c r="R2097" s="19"/>
      <c r="S2097" s="19"/>
    </row>
    <row r="2098" spans="1:19" x14ac:dyDescent="0.35">
      <c r="A2098" s="26" t="s">
        <v>543</v>
      </c>
      <c r="B2098" s="26" t="s">
        <v>543</v>
      </c>
      <c r="C2098" s="26"/>
      <c r="D2098" s="26" t="s">
        <v>543</v>
      </c>
      <c r="E2098" s="26" t="str">
        <f>IFERROR(VLOOKUP(G2098,WholesaleExtract!B:J,9,FALSE),"")</f>
        <v/>
      </c>
      <c r="F2098" s="26" t="str">
        <f>IFERROR(VLOOKUP(G2098,WholesaleExtract!B:J,6,FALSE),"")</f>
        <v/>
      </c>
      <c r="H2098" s="47" t="str">
        <f>IFERROR(VLOOKUP(G2098,WholesaleExtract!B:L,11,FALSE),"")</f>
        <v/>
      </c>
      <c r="I2098" s="26" t="str">
        <f>IFERROR(VLOOKUP(G2098,WholesaleExtract!B:O,8,FALSE),"")</f>
        <v/>
      </c>
      <c r="J2098" s="26" t="str">
        <f>IFERROR(VLOOKUP(G2098,WholesaleExtract!B:O,14,FALSE),"")</f>
        <v/>
      </c>
      <c r="K2098" s="26" t="str">
        <f>IFERROR(VLOOKUP(G2098,WholesaleExtract!B:K,10,FALSE),"")</f>
        <v/>
      </c>
      <c r="L2098" s="47" t="str">
        <f>IFERROR(VLOOKUP(G2098,WholesaleExtract!B:L,11,FALSE),"")</f>
        <v/>
      </c>
      <c r="M2098" s="47" t="str">
        <f>IFERROR(VLOOKUP(G2098,WholesaleExtract!B:M,12,FALSE),"")</f>
        <v/>
      </c>
      <c r="R2098" s="19"/>
      <c r="S2098" s="19"/>
    </row>
    <row r="2099" spans="1:19" x14ac:dyDescent="0.35">
      <c r="A2099" s="26" t="s">
        <v>543</v>
      </c>
      <c r="B2099" s="26" t="s">
        <v>543</v>
      </c>
      <c r="C2099" s="26"/>
      <c r="D2099" s="26" t="s">
        <v>543</v>
      </c>
      <c r="E2099" s="26" t="str">
        <f>IFERROR(VLOOKUP(G2099,WholesaleExtract!B:J,9,FALSE),"")</f>
        <v/>
      </c>
      <c r="F2099" s="26" t="str">
        <f>IFERROR(VLOOKUP(G2099,WholesaleExtract!B:J,6,FALSE),"")</f>
        <v/>
      </c>
      <c r="H2099" s="47" t="str">
        <f>IFERROR(VLOOKUP(G2099,WholesaleExtract!B:L,11,FALSE),"")</f>
        <v/>
      </c>
      <c r="I2099" s="26" t="str">
        <f>IFERROR(VLOOKUP(G2099,WholesaleExtract!B:O,8,FALSE),"")</f>
        <v/>
      </c>
      <c r="J2099" s="26" t="str">
        <f>IFERROR(VLOOKUP(G2099,WholesaleExtract!B:O,14,FALSE),"")</f>
        <v/>
      </c>
      <c r="K2099" s="26" t="str">
        <f>IFERROR(VLOOKUP(G2099,WholesaleExtract!B:K,10,FALSE),"")</f>
        <v/>
      </c>
      <c r="L2099" s="47" t="str">
        <f>IFERROR(VLOOKUP(G2099,WholesaleExtract!B:L,11,FALSE),"")</f>
        <v/>
      </c>
      <c r="M2099" s="47" t="str">
        <f>IFERROR(VLOOKUP(G2099,WholesaleExtract!B:M,12,FALSE),"")</f>
        <v/>
      </c>
      <c r="R2099" s="19"/>
      <c r="S2099" s="19"/>
    </row>
    <row r="2100" spans="1:19" x14ac:dyDescent="0.35">
      <c r="A2100" s="26" t="s">
        <v>543</v>
      </c>
      <c r="B2100" s="26" t="s">
        <v>543</v>
      </c>
      <c r="C2100" s="26"/>
      <c r="D2100" s="26" t="s">
        <v>543</v>
      </c>
      <c r="E2100" s="26" t="str">
        <f>IFERROR(VLOOKUP(G2100,WholesaleExtract!B:J,9,FALSE),"")</f>
        <v/>
      </c>
      <c r="F2100" s="26" t="str">
        <f>IFERROR(VLOOKUP(G2100,WholesaleExtract!B:J,6,FALSE),"")</f>
        <v/>
      </c>
      <c r="H2100" s="47" t="str">
        <f>IFERROR(VLOOKUP(G2100,WholesaleExtract!B:L,11,FALSE),"")</f>
        <v/>
      </c>
      <c r="I2100" s="26" t="str">
        <f>IFERROR(VLOOKUP(G2100,WholesaleExtract!B:O,8,FALSE),"")</f>
        <v/>
      </c>
      <c r="J2100" s="26" t="str">
        <f>IFERROR(VLOOKUP(G2100,WholesaleExtract!B:O,14,FALSE),"")</f>
        <v/>
      </c>
      <c r="K2100" s="26" t="str">
        <f>IFERROR(VLOOKUP(G2100,WholesaleExtract!B:K,10,FALSE),"")</f>
        <v/>
      </c>
      <c r="L2100" s="47" t="str">
        <f>IFERROR(VLOOKUP(G2100,WholesaleExtract!B:L,11,FALSE),"")</f>
        <v/>
      </c>
      <c r="M2100" s="47" t="str">
        <f>IFERROR(VLOOKUP(G2100,WholesaleExtract!B:M,12,FALSE),"")</f>
        <v/>
      </c>
      <c r="R2100" s="19"/>
      <c r="S2100" s="19"/>
    </row>
    <row r="2101" spans="1:19" x14ac:dyDescent="0.35">
      <c r="A2101" s="26" t="s">
        <v>543</v>
      </c>
      <c r="B2101" s="26" t="s">
        <v>543</v>
      </c>
      <c r="C2101" s="26"/>
      <c r="D2101" s="26" t="s">
        <v>543</v>
      </c>
      <c r="E2101" s="26" t="str">
        <f>IFERROR(VLOOKUP(G2101,WholesaleExtract!B:J,9,FALSE),"")</f>
        <v/>
      </c>
      <c r="F2101" s="26" t="str">
        <f>IFERROR(VLOOKUP(G2101,WholesaleExtract!B:J,6,FALSE),"")</f>
        <v/>
      </c>
      <c r="H2101" s="47" t="str">
        <f>IFERROR(VLOOKUP(G2101,WholesaleExtract!B:L,11,FALSE),"")</f>
        <v/>
      </c>
      <c r="I2101" s="26" t="str">
        <f>IFERROR(VLOOKUP(G2101,WholesaleExtract!B:O,8,FALSE),"")</f>
        <v/>
      </c>
      <c r="J2101" s="26" t="str">
        <f>IFERROR(VLOOKUP(G2101,WholesaleExtract!B:O,14,FALSE),"")</f>
        <v/>
      </c>
      <c r="K2101" s="26" t="str">
        <f>IFERROR(VLOOKUP(G2101,WholesaleExtract!B:K,10,FALSE),"")</f>
        <v/>
      </c>
      <c r="L2101" s="47" t="str">
        <f>IFERROR(VLOOKUP(G2101,WholesaleExtract!B:L,11,FALSE),"")</f>
        <v/>
      </c>
      <c r="M2101" s="47" t="str">
        <f>IFERROR(VLOOKUP(G2101,WholesaleExtract!B:M,12,FALSE),"")</f>
        <v/>
      </c>
      <c r="R2101" s="19"/>
      <c r="S2101" s="19"/>
    </row>
    <row r="2102" spans="1:19" x14ac:dyDescent="0.35">
      <c r="A2102" s="26" t="s">
        <v>543</v>
      </c>
      <c r="B2102" s="26" t="s">
        <v>543</v>
      </c>
      <c r="C2102" s="26"/>
      <c r="D2102" s="26" t="s">
        <v>543</v>
      </c>
      <c r="E2102" s="26" t="str">
        <f>IFERROR(VLOOKUP(G2102,WholesaleExtract!B:J,9,FALSE),"")</f>
        <v/>
      </c>
      <c r="F2102" s="26" t="str">
        <f>IFERROR(VLOOKUP(G2102,WholesaleExtract!B:J,6,FALSE),"")</f>
        <v/>
      </c>
      <c r="H2102" s="47" t="str">
        <f>IFERROR(VLOOKUP(G2102,WholesaleExtract!B:L,11,FALSE),"")</f>
        <v/>
      </c>
      <c r="I2102" s="26" t="str">
        <f>IFERROR(VLOOKUP(G2102,WholesaleExtract!B:O,8,FALSE),"")</f>
        <v/>
      </c>
      <c r="J2102" s="26" t="str">
        <f>IFERROR(VLOOKUP(G2102,WholesaleExtract!B:O,14,FALSE),"")</f>
        <v/>
      </c>
      <c r="K2102" s="26" t="str">
        <f>IFERROR(VLOOKUP(G2102,WholesaleExtract!B:K,10,FALSE),"")</f>
        <v/>
      </c>
      <c r="L2102" s="47" t="str">
        <f>IFERROR(VLOOKUP(G2102,WholesaleExtract!B:L,11,FALSE),"")</f>
        <v/>
      </c>
      <c r="M2102" s="47" t="str">
        <f>IFERROR(VLOOKUP(G2102,WholesaleExtract!B:M,12,FALSE),"")</f>
        <v/>
      </c>
      <c r="R2102" s="19"/>
      <c r="S2102" s="19"/>
    </row>
    <row r="2103" spans="1:19" x14ac:dyDescent="0.35">
      <c r="A2103" s="26" t="s">
        <v>543</v>
      </c>
      <c r="B2103" s="26" t="s">
        <v>543</v>
      </c>
      <c r="C2103" s="26"/>
      <c r="D2103" s="26" t="s">
        <v>543</v>
      </c>
      <c r="E2103" s="26" t="str">
        <f>IFERROR(VLOOKUP(G2103,WholesaleExtract!B:J,9,FALSE),"")</f>
        <v/>
      </c>
      <c r="F2103" s="26" t="str">
        <f>IFERROR(VLOOKUP(G2103,WholesaleExtract!B:J,6,FALSE),"")</f>
        <v/>
      </c>
      <c r="H2103" s="47" t="str">
        <f>IFERROR(VLOOKUP(G2103,WholesaleExtract!B:L,11,FALSE),"")</f>
        <v/>
      </c>
      <c r="I2103" s="26" t="str">
        <f>IFERROR(VLOOKUP(G2103,WholesaleExtract!B:O,8,FALSE),"")</f>
        <v/>
      </c>
      <c r="J2103" s="26" t="str">
        <f>IFERROR(VLOOKUP(G2103,WholesaleExtract!B:O,14,FALSE),"")</f>
        <v/>
      </c>
      <c r="K2103" s="26" t="str">
        <f>IFERROR(VLOOKUP(G2103,WholesaleExtract!B:K,10,FALSE),"")</f>
        <v/>
      </c>
      <c r="L2103" s="47" t="str">
        <f>IFERROR(VLOOKUP(G2103,WholesaleExtract!B:L,11,FALSE),"")</f>
        <v/>
      </c>
      <c r="M2103" s="47" t="str">
        <f>IFERROR(VLOOKUP(G2103,WholesaleExtract!B:M,12,FALSE),"")</f>
        <v/>
      </c>
      <c r="R2103" s="19"/>
      <c r="S2103" s="19"/>
    </row>
    <row r="2104" spans="1:19" x14ac:dyDescent="0.35">
      <c r="A2104" s="26" t="s">
        <v>543</v>
      </c>
      <c r="B2104" s="26" t="s">
        <v>543</v>
      </c>
      <c r="C2104" s="26"/>
      <c r="D2104" s="26" t="s">
        <v>543</v>
      </c>
      <c r="E2104" s="26" t="str">
        <f>IFERROR(VLOOKUP(G2104,WholesaleExtract!B:J,9,FALSE),"")</f>
        <v/>
      </c>
      <c r="F2104" s="26" t="str">
        <f>IFERROR(VLOOKUP(G2104,WholesaleExtract!B:J,6,FALSE),"")</f>
        <v/>
      </c>
      <c r="H2104" s="47" t="str">
        <f>IFERROR(VLOOKUP(G2104,WholesaleExtract!B:L,11,FALSE),"")</f>
        <v/>
      </c>
      <c r="I2104" s="26" t="str">
        <f>IFERROR(VLOOKUP(G2104,WholesaleExtract!B:O,8,FALSE),"")</f>
        <v/>
      </c>
      <c r="J2104" s="26" t="str">
        <f>IFERROR(VLOOKUP(G2104,WholesaleExtract!B:O,14,FALSE),"")</f>
        <v/>
      </c>
      <c r="K2104" s="26" t="str">
        <f>IFERROR(VLOOKUP(G2104,WholesaleExtract!B:K,10,FALSE),"")</f>
        <v/>
      </c>
      <c r="L2104" s="47" t="str">
        <f>IFERROR(VLOOKUP(G2104,WholesaleExtract!B:L,11,FALSE),"")</f>
        <v/>
      </c>
      <c r="M2104" s="47" t="str">
        <f>IFERROR(VLOOKUP(G2104,WholesaleExtract!B:M,12,FALSE),"")</f>
        <v/>
      </c>
      <c r="R2104" s="19"/>
      <c r="S2104" s="19"/>
    </row>
    <row r="2105" spans="1:19" x14ac:dyDescent="0.35">
      <c r="A2105" s="26" t="s">
        <v>543</v>
      </c>
      <c r="B2105" s="26" t="s">
        <v>543</v>
      </c>
      <c r="C2105" s="26"/>
      <c r="D2105" s="26" t="s">
        <v>543</v>
      </c>
      <c r="E2105" s="26" t="str">
        <f>IFERROR(VLOOKUP(G2105,WholesaleExtract!B:J,9,FALSE),"")</f>
        <v/>
      </c>
      <c r="F2105" s="26" t="str">
        <f>IFERROR(VLOOKUP(G2105,WholesaleExtract!B:J,6,FALSE),"")</f>
        <v/>
      </c>
      <c r="H2105" s="47" t="str">
        <f>IFERROR(VLOOKUP(G2105,WholesaleExtract!B:L,11,FALSE),"")</f>
        <v/>
      </c>
      <c r="I2105" s="26" t="str">
        <f>IFERROR(VLOOKUP(G2105,WholesaleExtract!B:O,8,FALSE),"")</f>
        <v/>
      </c>
      <c r="J2105" s="26" t="str">
        <f>IFERROR(VLOOKUP(G2105,WholesaleExtract!B:O,14,FALSE),"")</f>
        <v/>
      </c>
      <c r="K2105" s="26" t="str">
        <f>IFERROR(VLOOKUP(G2105,WholesaleExtract!B:K,10,FALSE),"")</f>
        <v/>
      </c>
      <c r="L2105" s="47" t="str">
        <f>IFERROR(VLOOKUP(G2105,WholesaleExtract!B:L,11,FALSE),"")</f>
        <v/>
      </c>
      <c r="M2105" s="47" t="str">
        <f>IFERROR(VLOOKUP(G2105,WholesaleExtract!B:M,12,FALSE),"")</f>
        <v/>
      </c>
      <c r="R2105" s="19"/>
      <c r="S2105" s="19"/>
    </row>
    <row r="2106" spans="1:19" x14ac:dyDescent="0.35">
      <c r="A2106" s="26" t="s">
        <v>543</v>
      </c>
      <c r="B2106" s="26" t="s">
        <v>543</v>
      </c>
      <c r="C2106" s="26"/>
      <c r="D2106" s="26" t="s">
        <v>543</v>
      </c>
      <c r="E2106" s="26" t="str">
        <f>IFERROR(VLOOKUP(G2106,WholesaleExtract!B:J,9,FALSE),"")</f>
        <v/>
      </c>
      <c r="F2106" s="26" t="str">
        <f>IFERROR(VLOOKUP(G2106,WholesaleExtract!B:J,6,FALSE),"")</f>
        <v/>
      </c>
      <c r="H2106" s="47" t="str">
        <f>IFERROR(VLOOKUP(G2106,WholesaleExtract!B:L,11,FALSE),"")</f>
        <v/>
      </c>
      <c r="I2106" s="26" t="str">
        <f>IFERROR(VLOOKUP(G2106,WholesaleExtract!B:O,8,FALSE),"")</f>
        <v/>
      </c>
      <c r="J2106" s="26" t="str">
        <f>IFERROR(VLOOKUP(G2106,WholesaleExtract!B:O,14,FALSE),"")</f>
        <v/>
      </c>
      <c r="K2106" s="26" t="str">
        <f>IFERROR(VLOOKUP(G2106,WholesaleExtract!B:K,10,FALSE),"")</f>
        <v/>
      </c>
      <c r="L2106" s="47" t="str">
        <f>IFERROR(VLOOKUP(G2106,WholesaleExtract!B:L,11,FALSE),"")</f>
        <v/>
      </c>
      <c r="M2106" s="47" t="str">
        <f>IFERROR(VLOOKUP(G2106,WholesaleExtract!B:M,12,FALSE),"")</f>
        <v/>
      </c>
      <c r="R2106" s="19"/>
      <c r="S2106" s="19"/>
    </row>
    <row r="2107" spans="1:19" x14ac:dyDescent="0.35">
      <c r="A2107" s="26" t="s">
        <v>543</v>
      </c>
      <c r="B2107" s="26" t="s">
        <v>543</v>
      </c>
      <c r="C2107" s="26"/>
      <c r="D2107" s="26" t="s">
        <v>543</v>
      </c>
      <c r="E2107" s="26" t="str">
        <f>IFERROR(VLOOKUP(G2107,WholesaleExtract!B:J,9,FALSE),"")</f>
        <v/>
      </c>
      <c r="F2107" s="26" t="str">
        <f>IFERROR(VLOOKUP(G2107,WholesaleExtract!B:J,6,FALSE),"")</f>
        <v/>
      </c>
      <c r="H2107" s="47" t="str">
        <f>IFERROR(VLOOKUP(G2107,WholesaleExtract!B:L,11,FALSE),"")</f>
        <v/>
      </c>
      <c r="I2107" s="26" t="str">
        <f>IFERROR(VLOOKUP(G2107,WholesaleExtract!B:O,8,FALSE),"")</f>
        <v/>
      </c>
      <c r="J2107" s="26" t="str">
        <f>IFERROR(VLOOKUP(G2107,WholesaleExtract!B:O,14,FALSE),"")</f>
        <v/>
      </c>
      <c r="K2107" s="26" t="str">
        <f>IFERROR(VLOOKUP(G2107,WholesaleExtract!B:K,10,FALSE),"")</f>
        <v/>
      </c>
      <c r="L2107" s="47" t="str">
        <f>IFERROR(VLOOKUP(G2107,WholesaleExtract!B:L,11,FALSE),"")</f>
        <v/>
      </c>
      <c r="M2107" s="47" t="str">
        <f>IFERROR(VLOOKUP(G2107,WholesaleExtract!B:M,12,FALSE),"")</f>
        <v/>
      </c>
      <c r="R2107" s="19"/>
      <c r="S2107" s="19"/>
    </row>
    <row r="2108" spans="1:19" x14ac:dyDescent="0.35">
      <c r="A2108" s="26" t="s">
        <v>543</v>
      </c>
      <c r="B2108" s="26" t="s">
        <v>543</v>
      </c>
      <c r="C2108" s="26"/>
      <c r="D2108" s="26" t="s">
        <v>543</v>
      </c>
      <c r="E2108" s="26" t="str">
        <f>IFERROR(VLOOKUP(G2108,WholesaleExtract!B:J,9,FALSE),"")</f>
        <v/>
      </c>
      <c r="F2108" s="26" t="str">
        <f>IFERROR(VLOOKUP(G2108,WholesaleExtract!B:J,6,FALSE),"")</f>
        <v/>
      </c>
      <c r="H2108" s="47" t="str">
        <f>IFERROR(VLOOKUP(G2108,WholesaleExtract!B:L,11,FALSE),"")</f>
        <v/>
      </c>
      <c r="I2108" s="26" t="str">
        <f>IFERROR(VLOOKUP(G2108,WholesaleExtract!B:O,8,FALSE),"")</f>
        <v/>
      </c>
      <c r="J2108" s="26" t="str">
        <f>IFERROR(VLOOKUP(G2108,WholesaleExtract!B:O,14,FALSE),"")</f>
        <v/>
      </c>
      <c r="K2108" s="26" t="str">
        <f>IFERROR(VLOOKUP(G2108,WholesaleExtract!B:K,10,FALSE),"")</f>
        <v/>
      </c>
      <c r="L2108" s="47" t="str">
        <f>IFERROR(VLOOKUP(G2108,WholesaleExtract!B:L,11,FALSE),"")</f>
        <v/>
      </c>
      <c r="M2108" s="47" t="str">
        <f>IFERROR(VLOOKUP(G2108,WholesaleExtract!B:M,12,FALSE),"")</f>
        <v/>
      </c>
      <c r="R2108" s="19"/>
      <c r="S2108" s="19"/>
    </row>
    <row r="2109" spans="1:19" x14ac:dyDescent="0.35">
      <c r="A2109" s="26" t="s">
        <v>543</v>
      </c>
      <c r="B2109" s="26" t="s">
        <v>543</v>
      </c>
      <c r="C2109" s="26"/>
      <c r="D2109" s="26" t="s">
        <v>543</v>
      </c>
      <c r="E2109" s="26" t="str">
        <f>IFERROR(VLOOKUP(G2109,WholesaleExtract!B:J,9,FALSE),"")</f>
        <v/>
      </c>
      <c r="F2109" s="26" t="str">
        <f>IFERROR(VLOOKUP(G2109,WholesaleExtract!B:J,6,FALSE),"")</f>
        <v/>
      </c>
      <c r="H2109" s="47" t="str">
        <f>IFERROR(VLOOKUP(G2109,WholesaleExtract!B:L,11,FALSE),"")</f>
        <v/>
      </c>
      <c r="I2109" s="26" t="str">
        <f>IFERROR(VLOOKUP(G2109,WholesaleExtract!B:O,8,FALSE),"")</f>
        <v/>
      </c>
      <c r="J2109" s="26" t="str">
        <f>IFERROR(VLOOKUP(G2109,WholesaleExtract!B:O,14,FALSE),"")</f>
        <v/>
      </c>
      <c r="K2109" s="26" t="str">
        <f>IFERROR(VLOOKUP(G2109,WholesaleExtract!B:K,10,FALSE),"")</f>
        <v/>
      </c>
      <c r="L2109" s="47" t="str">
        <f>IFERROR(VLOOKUP(G2109,WholesaleExtract!B:L,11,FALSE),"")</f>
        <v/>
      </c>
      <c r="M2109" s="47" t="str">
        <f>IFERROR(VLOOKUP(G2109,WholesaleExtract!B:M,12,FALSE),"")</f>
        <v/>
      </c>
      <c r="R2109" s="19"/>
      <c r="S2109" s="19"/>
    </row>
    <row r="2110" spans="1:19" x14ac:dyDescent="0.35">
      <c r="A2110" s="26" t="s">
        <v>543</v>
      </c>
      <c r="B2110" s="26" t="s">
        <v>543</v>
      </c>
      <c r="C2110" s="26"/>
      <c r="D2110" s="26" t="s">
        <v>543</v>
      </c>
      <c r="E2110" s="26" t="str">
        <f>IFERROR(VLOOKUP(G2110,WholesaleExtract!B:J,9,FALSE),"")</f>
        <v/>
      </c>
      <c r="F2110" s="26" t="str">
        <f>IFERROR(VLOOKUP(G2110,WholesaleExtract!B:J,6,FALSE),"")</f>
        <v/>
      </c>
      <c r="H2110" s="47" t="str">
        <f>IFERROR(VLOOKUP(G2110,WholesaleExtract!B:L,11,FALSE),"")</f>
        <v/>
      </c>
      <c r="I2110" s="26" t="str">
        <f>IFERROR(VLOOKUP(G2110,WholesaleExtract!B:O,8,FALSE),"")</f>
        <v/>
      </c>
      <c r="J2110" s="26" t="str">
        <f>IFERROR(VLOOKUP(G2110,WholesaleExtract!B:O,14,FALSE),"")</f>
        <v/>
      </c>
      <c r="K2110" s="26" t="str">
        <f>IFERROR(VLOOKUP(G2110,WholesaleExtract!B:K,10,FALSE),"")</f>
        <v/>
      </c>
      <c r="L2110" s="47" t="str">
        <f>IFERROR(VLOOKUP(G2110,WholesaleExtract!B:L,11,FALSE),"")</f>
        <v/>
      </c>
      <c r="M2110" s="47" t="str">
        <f>IFERROR(VLOOKUP(G2110,WholesaleExtract!B:M,12,FALSE),"")</f>
        <v/>
      </c>
      <c r="R2110" s="19"/>
      <c r="S2110" s="19"/>
    </row>
    <row r="2111" spans="1:19" x14ac:dyDescent="0.35">
      <c r="A2111" s="26" t="s">
        <v>543</v>
      </c>
      <c r="B2111" s="26" t="s">
        <v>543</v>
      </c>
      <c r="C2111" s="26"/>
      <c r="D2111" s="26" t="s">
        <v>543</v>
      </c>
      <c r="E2111" s="26" t="str">
        <f>IFERROR(VLOOKUP(G2111,WholesaleExtract!B:J,9,FALSE),"")</f>
        <v/>
      </c>
      <c r="F2111" s="26" t="str">
        <f>IFERROR(VLOOKUP(G2111,WholesaleExtract!B:J,6,FALSE),"")</f>
        <v/>
      </c>
      <c r="H2111" s="47" t="str">
        <f>IFERROR(VLOOKUP(G2111,WholesaleExtract!B:L,11,FALSE),"")</f>
        <v/>
      </c>
      <c r="I2111" s="26" t="str">
        <f>IFERROR(VLOOKUP(G2111,WholesaleExtract!B:O,8,FALSE),"")</f>
        <v/>
      </c>
      <c r="J2111" s="26" t="str">
        <f>IFERROR(VLOOKUP(G2111,WholesaleExtract!B:O,14,FALSE),"")</f>
        <v/>
      </c>
      <c r="K2111" s="26" t="str">
        <f>IFERROR(VLOOKUP(G2111,WholesaleExtract!B:K,10,FALSE),"")</f>
        <v/>
      </c>
      <c r="L2111" s="47" t="str">
        <f>IFERROR(VLOOKUP(G2111,WholesaleExtract!B:L,11,FALSE),"")</f>
        <v/>
      </c>
      <c r="M2111" s="47" t="str">
        <f>IFERROR(VLOOKUP(G2111,WholesaleExtract!B:M,12,FALSE),"")</f>
        <v/>
      </c>
      <c r="R2111" s="19"/>
      <c r="S2111" s="19"/>
    </row>
    <row r="2112" spans="1:19" x14ac:dyDescent="0.35">
      <c r="A2112" s="26" t="s">
        <v>543</v>
      </c>
      <c r="B2112" s="26" t="s">
        <v>543</v>
      </c>
      <c r="C2112" s="26"/>
      <c r="D2112" s="26" t="s">
        <v>543</v>
      </c>
      <c r="E2112" s="26" t="str">
        <f>IFERROR(VLOOKUP(G2112,WholesaleExtract!B:J,9,FALSE),"")</f>
        <v/>
      </c>
      <c r="F2112" s="26" t="str">
        <f>IFERROR(VLOOKUP(G2112,WholesaleExtract!B:J,6,FALSE),"")</f>
        <v/>
      </c>
      <c r="H2112" s="47" t="str">
        <f>IFERROR(VLOOKUP(G2112,WholesaleExtract!B:L,11,FALSE),"")</f>
        <v/>
      </c>
      <c r="I2112" s="26" t="str">
        <f>IFERROR(VLOOKUP(G2112,WholesaleExtract!B:O,8,FALSE),"")</f>
        <v/>
      </c>
      <c r="J2112" s="26" t="str">
        <f>IFERROR(VLOOKUP(G2112,WholesaleExtract!B:O,14,FALSE),"")</f>
        <v/>
      </c>
      <c r="K2112" s="26" t="str">
        <f>IFERROR(VLOOKUP(G2112,WholesaleExtract!B:K,10,FALSE),"")</f>
        <v/>
      </c>
      <c r="L2112" s="47" t="str">
        <f>IFERROR(VLOOKUP(G2112,WholesaleExtract!B:L,11,FALSE),"")</f>
        <v/>
      </c>
      <c r="M2112" s="47" t="str">
        <f>IFERROR(VLOOKUP(G2112,WholesaleExtract!B:M,12,FALSE),"")</f>
        <v/>
      </c>
      <c r="R2112" s="19"/>
      <c r="S2112" s="19"/>
    </row>
    <row r="2113" spans="1:19" x14ac:dyDescent="0.35">
      <c r="A2113" s="26" t="s">
        <v>543</v>
      </c>
      <c r="B2113" s="26" t="s">
        <v>543</v>
      </c>
      <c r="C2113" s="26"/>
      <c r="D2113" s="26" t="s">
        <v>543</v>
      </c>
      <c r="E2113" s="26" t="str">
        <f>IFERROR(VLOOKUP(G2113,WholesaleExtract!B:J,9,FALSE),"")</f>
        <v/>
      </c>
      <c r="F2113" s="26" t="str">
        <f>IFERROR(VLOOKUP(G2113,WholesaleExtract!B:J,6,FALSE),"")</f>
        <v/>
      </c>
      <c r="H2113" s="47" t="str">
        <f>IFERROR(VLOOKUP(G2113,WholesaleExtract!B:L,11,FALSE),"")</f>
        <v/>
      </c>
      <c r="I2113" s="26" t="str">
        <f>IFERROR(VLOOKUP(G2113,WholesaleExtract!B:O,8,FALSE),"")</f>
        <v/>
      </c>
      <c r="J2113" s="26" t="str">
        <f>IFERROR(VLOOKUP(G2113,WholesaleExtract!B:O,14,FALSE),"")</f>
        <v/>
      </c>
      <c r="K2113" s="26" t="str">
        <f>IFERROR(VLOOKUP(G2113,WholesaleExtract!B:K,10,FALSE),"")</f>
        <v/>
      </c>
      <c r="L2113" s="47" t="str">
        <f>IFERROR(VLOOKUP(G2113,WholesaleExtract!B:L,11,FALSE),"")</f>
        <v/>
      </c>
      <c r="M2113" s="47" t="str">
        <f>IFERROR(VLOOKUP(G2113,WholesaleExtract!B:M,12,FALSE),"")</f>
        <v/>
      </c>
      <c r="R2113" s="19"/>
      <c r="S2113" s="19"/>
    </row>
    <row r="2114" spans="1:19" x14ac:dyDescent="0.35">
      <c r="A2114" s="26" t="s">
        <v>543</v>
      </c>
      <c r="B2114" s="26" t="s">
        <v>543</v>
      </c>
      <c r="C2114" s="26"/>
      <c r="D2114" s="26" t="s">
        <v>543</v>
      </c>
      <c r="E2114" s="26" t="str">
        <f>IFERROR(VLOOKUP(G2114,WholesaleExtract!B:J,9,FALSE),"")</f>
        <v/>
      </c>
      <c r="F2114" s="26" t="str">
        <f>IFERROR(VLOOKUP(G2114,WholesaleExtract!B:J,6,FALSE),"")</f>
        <v/>
      </c>
      <c r="H2114" s="47" t="str">
        <f>IFERROR(VLOOKUP(G2114,WholesaleExtract!B:L,11,FALSE),"")</f>
        <v/>
      </c>
      <c r="I2114" s="26" t="str">
        <f>IFERROR(VLOOKUP(G2114,WholesaleExtract!B:O,8,FALSE),"")</f>
        <v/>
      </c>
      <c r="J2114" s="26" t="str">
        <f>IFERROR(VLOOKUP(G2114,WholesaleExtract!B:O,14,FALSE),"")</f>
        <v/>
      </c>
      <c r="K2114" s="26" t="str">
        <f>IFERROR(VLOOKUP(G2114,WholesaleExtract!B:K,10,FALSE),"")</f>
        <v/>
      </c>
      <c r="L2114" s="47" t="str">
        <f>IFERROR(VLOOKUP(G2114,WholesaleExtract!B:L,11,FALSE),"")</f>
        <v/>
      </c>
      <c r="M2114" s="47" t="str">
        <f>IFERROR(VLOOKUP(G2114,WholesaleExtract!B:M,12,FALSE),"")</f>
        <v/>
      </c>
      <c r="R2114" s="19"/>
      <c r="S2114" s="19"/>
    </row>
    <row r="2115" spans="1:19" x14ac:dyDescent="0.35">
      <c r="A2115" s="26" t="s">
        <v>543</v>
      </c>
      <c r="B2115" s="26" t="s">
        <v>543</v>
      </c>
      <c r="C2115" s="26"/>
      <c r="D2115" s="26" t="s">
        <v>543</v>
      </c>
      <c r="E2115" s="26" t="str">
        <f>IFERROR(VLOOKUP(G2115,WholesaleExtract!B:J,9,FALSE),"")</f>
        <v/>
      </c>
      <c r="F2115" s="26" t="str">
        <f>IFERROR(VLOOKUP(G2115,WholesaleExtract!B:J,6,FALSE),"")</f>
        <v/>
      </c>
      <c r="H2115" s="47" t="str">
        <f>IFERROR(VLOOKUP(G2115,WholesaleExtract!B:L,11,FALSE),"")</f>
        <v/>
      </c>
      <c r="I2115" s="26" t="str">
        <f>IFERROR(VLOOKUP(G2115,WholesaleExtract!B:O,8,FALSE),"")</f>
        <v/>
      </c>
      <c r="J2115" s="26" t="str">
        <f>IFERROR(VLOOKUP(G2115,WholesaleExtract!B:O,14,FALSE),"")</f>
        <v/>
      </c>
      <c r="K2115" s="26" t="str">
        <f>IFERROR(VLOOKUP(G2115,WholesaleExtract!B:K,10,FALSE),"")</f>
        <v/>
      </c>
      <c r="L2115" s="47" t="str">
        <f>IFERROR(VLOOKUP(G2115,WholesaleExtract!B:L,11,FALSE),"")</f>
        <v/>
      </c>
      <c r="M2115" s="47" t="str">
        <f>IFERROR(VLOOKUP(G2115,WholesaleExtract!B:M,12,FALSE),"")</f>
        <v/>
      </c>
      <c r="R2115" s="19"/>
      <c r="S2115" s="19"/>
    </row>
    <row r="2116" spans="1:19" x14ac:dyDescent="0.35">
      <c r="A2116" s="26" t="s">
        <v>543</v>
      </c>
      <c r="B2116" s="26" t="s">
        <v>543</v>
      </c>
      <c r="C2116" s="26"/>
      <c r="D2116" s="26" t="s">
        <v>543</v>
      </c>
      <c r="E2116" s="26" t="str">
        <f>IFERROR(VLOOKUP(G2116,WholesaleExtract!B:J,9,FALSE),"")</f>
        <v/>
      </c>
      <c r="F2116" s="26" t="str">
        <f>IFERROR(VLOOKUP(G2116,WholesaleExtract!B:J,6,FALSE),"")</f>
        <v/>
      </c>
      <c r="H2116" s="47" t="str">
        <f>IFERROR(VLOOKUP(G2116,WholesaleExtract!B:L,11,FALSE),"")</f>
        <v/>
      </c>
      <c r="I2116" s="26" t="str">
        <f>IFERROR(VLOOKUP(G2116,WholesaleExtract!B:O,8,FALSE),"")</f>
        <v/>
      </c>
      <c r="J2116" s="26" t="str">
        <f>IFERROR(VLOOKUP(G2116,WholesaleExtract!B:O,14,FALSE),"")</f>
        <v/>
      </c>
      <c r="K2116" s="26" t="str">
        <f>IFERROR(VLOOKUP(G2116,WholesaleExtract!B:K,10,FALSE),"")</f>
        <v/>
      </c>
      <c r="L2116" s="47" t="str">
        <f>IFERROR(VLOOKUP(G2116,WholesaleExtract!B:L,11,FALSE),"")</f>
        <v/>
      </c>
      <c r="M2116" s="47" t="str">
        <f>IFERROR(VLOOKUP(G2116,WholesaleExtract!B:M,12,FALSE),"")</f>
        <v/>
      </c>
      <c r="R2116" s="19"/>
      <c r="S2116" s="19"/>
    </row>
    <row r="2117" spans="1:19" x14ac:dyDescent="0.35">
      <c r="A2117" s="26" t="s">
        <v>543</v>
      </c>
      <c r="B2117" s="26" t="s">
        <v>543</v>
      </c>
      <c r="C2117" s="26"/>
      <c r="D2117" s="26" t="s">
        <v>543</v>
      </c>
      <c r="E2117" s="26" t="str">
        <f>IFERROR(VLOOKUP(G2117,WholesaleExtract!B:J,9,FALSE),"")</f>
        <v/>
      </c>
      <c r="F2117" s="26" t="str">
        <f>IFERROR(VLOOKUP(G2117,WholesaleExtract!B:J,6,FALSE),"")</f>
        <v/>
      </c>
      <c r="H2117" s="47" t="str">
        <f>IFERROR(VLOOKUP(G2117,WholesaleExtract!B:L,11,FALSE),"")</f>
        <v/>
      </c>
      <c r="I2117" s="26" t="str">
        <f>IFERROR(VLOOKUP(G2117,WholesaleExtract!B:O,8,FALSE),"")</f>
        <v/>
      </c>
      <c r="J2117" s="26" t="str">
        <f>IFERROR(VLOOKUP(G2117,WholesaleExtract!B:O,14,FALSE),"")</f>
        <v/>
      </c>
      <c r="K2117" s="26" t="str">
        <f>IFERROR(VLOOKUP(G2117,WholesaleExtract!B:K,10,FALSE),"")</f>
        <v/>
      </c>
      <c r="L2117" s="47" t="str">
        <f>IFERROR(VLOOKUP(G2117,WholesaleExtract!B:L,11,FALSE),"")</f>
        <v/>
      </c>
      <c r="M2117" s="47" t="str">
        <f>IFERROR(VLOOKUP(G2117,WholesaleExtract!B:M,12,FALSE),"")</f>
        <v/>
      </c>
      <c r="R2117" s="19"/>
      <c r="S2117" s="19"/>
    </row>
    <row r="2118" spans="1:19" x14ac:dyDescent="0.35">
      <c r="A2118" s="26" t="s">
        <v>543</v>
      </c>
      <c r="B2118" s="26" t="s">
        <v>543</v>
      </c>
      <c r="C2118" s="26"/>
      <c r="D2118" s="26" t="s">
        <v>543</v>
      </c>
      <c r="E2118" s="26" t="str">
        <f>IFERROR(VLOOKUP(G2118,WholesaleExtract!B:J,9,FALSE),"")</f>
        <v/>
      </c>
      <c r="F2118" s="26" t="str">
        <f>IFERROR(VLOOKUP(G2118,WholesaleExtract!B:J,6,FALSE),"")</f>
        <v/>
      </c>
      <c r="H2118" s="47" t="str">
        <f>IFERROR(VLOOKUP(G2118,WholesaleExtract!B:L,11,FALSE),"")</f>
        <v/>
      </c>
      <c r="I2118" s="26" t="str">
        <f>IFERROR(VLOOKUP(G2118,WholesaleExtract!B:O,8,FALSE),"")</f>
        <v/>
      </c>
      <c r="J2118" s="26" t="str">
        <f>IFERROR(VLOOKUP(G2118,WholesaleExtract!B:O,14,FALSE),"")</f>
        <v/>
      </c>
      <c r="K2118" s="26" t="str">
        <f>IFERROR(VLOOKUP(G2118,WholesaleExtract!B:K,10,FALSE),"")</f>
        <v/>
      </c>
      <c r="L2118" s="47" t="str">
        <f>IFERROR(VLOOKUP(G2118,WholesaleExtract!B:L,11,FALSE),"")</f>
        <v/>
      </c>
      <c r="M2118" s="47" t="str">
        <f>IFERROR(VLOOKUP(G2118,WholesaleExtract!B:M,12,FALSE),"")</f>
        <v/>
      </c>
      <c r="R2118" s="19"/>
      <c r="S2118" s="19"/>
    </row>
    <row r="2119" spans="1:19" x14ac:dyDescent="0.35">
      <c r="A2119" s="26" t="s">
        <v>543</v>
      </c>
      <c r="B2119" s="26" t="s">
        <v>543</v>
      </c>
      <c r="C2119" s="26"/>
      <c r="D2119" s="26" t="s">
        <v>543</v>
      </c>
      <c r="E2119" s="26" t="str">
        <f>IFERROR(VLOOKUP(G2119,WholesaleExtract!B:J,9,FALSE),"")</f>
        <v/>
      </c>
      <c r="F2119" s="26" t="str">
        <f>IFERROR(VLOOKUP(G2119,WholesaleExtract!B:J,6,FALSE),"")</f>
        <v/>
      </c>
      <c r="H2119" s="47" t="str">
        <f>IFERROR(VLOOKUP(G2119,WholesaleExtract!B:L,11,FALSE),"")</f>
        <v/>
      </c>
      <c r="I2119" s="26" t="str">
        <f>IFERROR(VLOOKUP(G2119,WholesaleExtract!B:O,8,FALSE),"")</f>
        <v/>
      </c>
      <c r="J2119" s="26" t="str">
        <f>IFERROR(VLOOKUP(G2119,WholesaleExtract!B:O,14,FALSE),"")</f>
        <v/>
      </c>
      <c r="K2119" s="26" t="str">
        <f>IFERROR(VLOOKUP(G2119,WholesaleExtract!B:K,10,FALSE),"")</f>
        <v/>
      </c>
      <c r="L2119" s="47" t="str">
        <f>IFERROR(VLOOKUP(G2119,WholesaleExtract!B:L,11,FALSE),"")</f>
        <v/>
      </c>
      <c r="M2119" s="47" t="str">
        <f>IFERROR(VLOOKUP(G2119,WholesaleExtract!B:M,12,FALSE),"")</f>
        <v/>
      </c>
      <c r="R2119" s="19"/>
      <c r="S2119" s="19"/>
    </row>
    <row r="2120" spans="1:19" x14ac:dyDescent="0.35">
      <c r="A2120" s="26" t="s">
        <v>543</v>
      </c>
      <c r="B2120" s="26" t="s">
        <v>543</v>
      </c>
      <c r="C2120" s="26"/>
      <c r="D2120" s="26" t="s">
        <v>543</v>
      </c>
      <c r="E2120" s="26" t="str">
        <f>IFERROR(VLOOKUP(G2120,WholesaleExtract!B:J,9,FALSE),"")</f>
        <v/>
      </c>
      <c r="F2120" s="26" t="str">
        <f>IFERROR(VLOOKUP(G2120,WholesaleExtract!B:J,6,FALSE),"")</f>
        <v/>
      </c>
      <c r="H2120" s="47" t="str">
        <f>IFERROR(VLOOKUP(G2120,WholesaleExtract!B:L,11,FALSE),"")</f>
        <v/>
      </c>
      <c r="I2120" s="26" t="str">
        <f>IFERROR(VLOOKUP(G2120,WholesaleExtract!B:O,8,FALSE),"")</f>
        <v/>
      </c>
      <c r="J2120" s="26" t="str">
        <f>IFERROR(VLOOKUP(G2120,WholesaleExtract!B:O,14,FALSE),"")</f>
        <v/>
      </c>
      <c r="K2120" s="26" t="str">
        <f>IFERROR(VLOOKUP(G2120,WholesaleExtract!B:K,10,FALSE),"")</f>
        <v/>
      </c>
      <c r="L2120" s="47" t="str">
        <f>IFERROR(VLOOKUP(G2120,WholesaleExtract!B:L,11,FALSE),"")</f>
        <v/>
      </c>
      <c r="M2120" s="47" t="str">
        <f>IFERROR(VLOOKUP(G2120,WholesaleExtract!B:M,12,FALSE),"")</f>
        <v/>
      </c>
      <c r="R2120" s="19"/>
      <c r="S2120" s="19"/>
    </row>
    <row r="2121" spans="1:19" x14ac:dyDescent="0.35">
      <c r="A2121" s="26" t="s">
        <v>543</v>
      </c>
      <c r="B2121" s="26" t="s">
        <v>543</v>
      </c>
      <c r="C2121" s="26"/>
      <c r="D2121" s="26" t="s">
        <v>543</v>
      </c>
      <c r="E2121" s="26" t="str">
        <f>IFERROR(VLOOKUP(G2121,WholesaleExtract!B:J,9,FALSE),"")</f>
        <v/>
      </c>
      <c r="F2121" s="26" t="str">
        <f>IFERROR(VLOOKUP(G2121,WholesaleExtract!B:J,6,FALSE),"")</f>
        <v/>
      </c>
      <c r="H2121" s="47" t="str">
        <f>IFERROR(VLOOKUP(G2121,WholesaleExtract!B:L,11,FALSE),"")</f>
        <v/>
      </c>
      <c r="I2121" s="26" t="str">
        <f>IFERROR(VLOOKUP(G2121,WholesaleExtract!B:O,8,FALSE),"")</f>
        <v/>
      </c>
      <c r="J2121" s="26" t="str">
        <f>IFERROR(VLOOKUP(G2121,WholesaleExtract!B:O,14,FALSE),"")</f>
        <v/>
      </c>
      <c r="K2121" s="26" t="str">
        <f>IFERROR(VLOOKUP(G2121,WholesaleExtract!B:K,10,FALSE),"")</f>
        <v/>
      </c>
      <c r="L2121" s="47" t="str">
        <f>IFERROR(VLOOKUP(G2121,WholesaleExtract!B:L,11,FALSE),"")</f>
        <v/>
      </c>
      <c r="M2121" s="47" t="str">
        <f>IFERROR(VLOOKUP(G2121,WholesaleExtract!B:M,12,FALSE),"")</f>
        <v/>
      </c>
      <c r="R2121" s="19"/>
      <c r="S2121" s="19"/>
    </row>
    <row r="2122" spans="1:19" x14ac:dyDescent="0.35">
      <c r="A2122" s="26" t="s">
        <v>543</v>
      </c>
      <c r="B2122" s="26" t="s">
        <v>543</v>
      </c>
      <c r="C2122" s="26"/>
      <c r="D2122" s="26" t="s">
        <v>543</v>
      </c>
      <c r="E2122" s="26" t="str">
        <f>IFERROR(VLOOKUP(G2122,WholesaleExtract!B:J,9,FALSE),"")</f>
        <v/>
      </c>
      <c r="F2122" s="26" t="str">
        <f>IFERROR(VLOOKUP(G2122,WholesaleExtract!B:J,6,FALSE),"")</f>
        <v/>
      </c>
      <c r="H2122" s="47" t="str">
        <f>IFERROR(VLOOKUP(G2122,WholesaleExtract!B:L,11,FALSE),"")</f>
        <v/>
      </c>
      <c r="I2122" s="26" t="str">
        <f>IFERROR(VLOOKUP(G2122,WholesaleExtract!B:O,8,FALSE),"")</f>
        <v/>
      </c>
      <c r="J2122" s="26" t="str">
        <f>IFERROR(VLOOKUP(G2122,WholesaleExtract!B:O,14,FALSE),"")</f>
        <v/>
      </c>
      <c r="K2122" s="26" t="str">
        <f>IFERROR(VLOOKUP(G2122,WholesaleExtract!B:K,10,FALSE),"")</f>
        <v/>
      </c>
      <c r="L2122" s="47" t="str">
        <f>IFERROR(VLOOKUP(G2122,WholesaleExtract!B:L,11,FALSE),"")</f>
        <v/>
      </c>
      <c r="M2122" s="47" t="str">
        <f>IFERROR(VLOOKUP(G2122,WholesaleExtract!B:M,12,FALSE),"")</f>
        <v/>
      </c>
      <c r="R2122" s="19"/>
      <c r="S2122" s="19"/>
    </row>
    <row r="2123" spans="1:19" x14ac:dyDescent="0.35">
      <c r="A2123" s="26" t="s">
        <v>543</v>
      </c>
      <c r="B2123" s="26" t="s">
        <v>543</v>
      </c>
      <c r="C2123" s="26"/>
      <c r="D2123" s="26" t="s">
        <v>543</v>
      </c>
      <c r="E2123" s="26" t="str">
        <f>IFERROR(VLOOKUP(G2123,WholesaleExtract!B:J,9,FALSE),"")</f>
        <v/>
      </c>
      <c r="F2123" s="26" t="str">
        <f>IFERROR(VLOOKUP(G2123,WholesaleExtract!B:J,6,FALSE),"")</f>
        <v/>
      </c>
      <c r="H2123" s="47" t="str">
        <f>IFERROR(VLOOKUP(G2123,WholesaleExtract!B:L,11,FALSE),"")</f>
        <v/>
      </c>
      <c r="I2123" s="26" t="str">
        <f>IFERROR(VLOOKUP(G2123,WholesaleExtract!B:O,8,FALSE),"")</f>
        <v/>
      </c>
      <c r="J2123" s="26" t="str">
        <f>IFERROR(VLOOKUP(G2123,WholesaleExtract!B:O,14,FALSE),"")</f>
        <v/>
      </c>
      <c r="K2123" s="26" t="str">
        <f>IFERROR(VLOOKUP(G2123,WholesaleExtract!B:K,10,FALSE),"")</f>
        <v/>
      </c>
      <c r="L2123" s="47" t="str">
        <f>IFERROR(VLOOKUP(G2123,WholesaleExtract!B:L,11,FALSE),"")</f>
        <v/>
      </c>
      <c r="M2123" s="47" t="str">
        <f>IFERROR(VLOOKUP(G2123,WholesaleExtract!B:M,12,FALSE),"")</f>
        <v/>
      </c>
      <c r="R2123" s="19"/>
      <c r="S2123" s="19"/>
    </row>
    <row r="2124" spans="1:19" x14ac:dyDescent="0.35">
      <c r="A2124" s="26" t="s">
        <v>543</v>
      </c>
      <c r="B2124" s="26" t="s">
        <v>543</v>
      </c>
      <c r="C2124" s="26"/>
      <c r="D2124" s="26" t="s">
        <v>543</v>
      </c>
      <c r="E2124" s="26" t="str">
        <f>IFERROR(VLOOKUP(G2124,WholesaleExtract!B:J,9,FALSE),"")</f>
        <v/>
      </c>
      <c r="F2124" s="26" t="str">
        <f>IFERROR(VLOOKUP(G2124,WholesaleExtract!B:J,6,FALSE),"")</f>
        <v/>
      </c>
      <c r="H2124" s="47" t="str">
        <f>IFERROR(VLOOKUP(G2124,WholesaleExtract!B:L,11,FALSE),"")</f>
        <v/>
      </c>
      <c r="I2124" s="26" t="str">
        <f>IFERROR(VLOOKUP(G2124,WholesaleExtract!B:O,8,FALSE),"")</f>
        <v/>
      </c>
      <c r="J2124" s="26" t="str">
        <f>IFERROR(VLOOKUP(G2124,WholesaleExtract!B:O,14,FALSE),"")</f>
        <v/>
      </c>
      <c r="K2124" s="26" t="str">
        <f>IFERROR(VLOOKUP(G2124,WholesaleExtract!B:K,10,FALSE),"")</f>
        <v/>
      </c>
      <c r="L2124" s="47" t="str">
        <f>IFERROR(VLOOKUP(G2124,WholesaleExtract!B:L,11,FALSE),"")</f>
        <v/>
      </c>
      <c r="M2124" s="47" t="str">
        <f>IFERROR(VLOOKUP(G2124,WholesaleExtract!B:M,12,FALSE),"")</f>
        <v/>
      </c>
      <c r="R2124" s="19"/>
      <c r="S2124" s="19"/>
    </row>
    <row r="2125" spans="1:19" x14ac:dyDescent="0.35">
      <c r="A2125" s="26" t="s">
        <v>543</v>
      </c>
      <c r="B2125" s="26" t="s">
        <v>543</v>
      </c>
      <c r="C2125" s="26"/>
      <c r="D2125" s="26" t="s">
        <v>543</v>
      </c>
      <c r="E2125" s="26" t="str">
        <f>IFERROR(VLOOKUP(G2125,WholesaleExtract!B:J,9,FALSE),"")</f>
        <v/>
      </c>
      <c r="F2125" s="26" t="str">
        <f>IFERROR(VLOOKUP(G2125,WholesaleExtract!B:J,6,FALSE),"")</f>
        <v/>
      </c>
      <c r="H2125" s="47" t="str">
        <f>IFERROR(VLOOKUP(G2125,WholesaleExtract!B:L,11,FALSE),"")</f>
        <v/>
      </c>
      <c r="I2125" s="26" t="str">
        <f>IFERROR(VLOOKUP(G2125,WholesaleExtract!B:O,8,FALSE),"")</f>
        <v/>
      </c>
      <c r="J2125" s="26" t="str">
        <f>IFERROR(VLOOKUP(G2125,WholesaleExtract!B:O,14,FALSE),"")</f>
        <v/>
      </c>
      <c r="K2125" s="26" t="str">
        <f>IFERROR(VLOOKUP(G2125,WholesaleExtract!B:K,10,FALSE),"")</f>
        <v/>
      </c>
      <c r="L2125" s="47" t="str">
        <f>IFERROR(VLOOKUP(G2125,WholesaleExtract!B:L,11,FALSE),"")</f>
        <v/>
      </c>
      <c r="M2125" s="47" t="str">
        <f>IFERROR(VLOOKUP(G2125,WholesaleExtract!B:M,12,FALSE),"")</f>
        <v/>
      </c>
      <c r="R2125" s="19"/>
      <c r="S2125" s="19"/>
    </row>
    <row r="2126" spans="1:19" x14ac:dyDescent="0.35">
      <c r="A2126" s="26" t="s">
        <v>543</v>
      </c>
      <c r="B2126" s="26" t="s">
        <v>543</v>
      </c>
      <c r="C2126" s="26"/>
      <c r="D2126" s="26" t="s">
        <v>543</v>
      </c>
      <c r="E2126" s="26" t="str">
        <f>IFERROR(VLOOKUP(G2126,WholesaleExtract!B:J,9,FALSE),"")</f>
        <v/>
      </c>
      <c r="F2126" s="26" t="str">
        <f>IFERROR(VLOOKUP(G2126,WholesaleExtract!B:J,6,FALSE),"")</f>
        <v/>
      </c>
      <c r="H2126" s="47" t="str">
        <f>IFERROR(VLOOKUP(G2126,WholesaleExtract!B:L,11,FALSE),"")</f>
        <v/>
      </c>
      <c r="I2126" s="26" t="str">
        <f>IFERROR(VLOOKUP(G2126,WholesaleExtract!B:O,8,FALSE),"")</f>
        <v/>
      </c>
      <c r="J2126" s="26" t="str">
        <f>IFERROR(VLOOKUP(G2126,WholesaleExtract!B:O,14,FALSE),"")</f>
        <v/>
      </c>
      <c r="K2126" s="26" t="str">
        <f>IFERROR(VLOOKUP(G2126,WholesaleExtract!B:K,10,FALSE),"")</f>
        <v/>
      </c>
      <c r="L2126" s="47" t="str">
        <f>IFERROR(VLOOKUP(G2126,WholesaleExtract!B:L,11,FALSE),"")</f>
        <v/>
      </c>
      <c r="M2126" s="47" t="str">
        <f>IFERROR(VLOOKUP(G2126,WholesaleExtract!B:M,12,FALSE),"")</f>
        <v/>
      </c>
      <c r="R2126" s="19"/>
      <c r="S2126" s="19"/>
    </row>
    <row r="2127" spans="1:19" x14ac:dyDescent="0.35">
      <c r="A2127" s="26" t="s">
        <v>543</v>
      </c>
      <c r="B2127" s="26" t="s">
        <v>543</v>
      </c>
      <c r="C2127" s="26"/>
      <c r="D2127" s="26" t="s">
        <v>543</v>
      </c>
      <c r="E2127" s="26" t="str">
        <f>IFERROR(VLOOKUP(G2127,WholesaleExtract!B:J,9,FALSE),"")</f>
        <v/>
      </c>
      <c r="F2127" s="26" t="str">
        <f>IFERROR(VLOOKUP(G2127,WholesaleExtract!B:J,6,FALSE),"")</f>
        <v/>
      </c>
      <c r="H2127" s="47" t="str">
        <f>IFERROR(VLOOKUP(G2127,WholesaleExtract!B:L,11,FALSE),"")</f>
        <v/>
      </c>
      <c r="I2127" s="26" t="str">
        <f>IFERROR(VLOOKUP(G2127,WholesaleExtract!B:O,8,FALSE),"")</f>
        <v/>
      </c>
      <c r="J2127" s="26" t="str">
        <f>IFERROR(VLOOKUP(G2127,WholesaleExtract!B:O,14,FALSE),"")</f>
        <v/>
      </c>
      <c r="K2127" s="26" t="str">
        <f>IFERROR(VLOOKUP(G2127,WholesaleExtract!B:K,10,FALSE),"")</f>
        <v/>
      </c>
      <c r="L2127" s="47" t="str">
        <f>IFERROR(VLOOKUP(G2127,WholesaleExtract!B:L,11,FALSE),"")</f>
        <v/>
      </c>
      <c r="M2127" s="47" t="str">
        <f>IFERROR(VLOOKUP(G2127,WholesaleExtract!B:M,12,FALSE),"")</f>
        <v/>
      </c>
      <c r="R2127" s="19"/>
      <c r="S2127" s="19"/>
    </row>
    <row r="2128" spans="1:19" x14ac:dyDescent="0.35">
      <c r="A2128" s="26" t="s">
        <v>543</v>
      </c>
      <c r="B2128" s="26" t="s">
        <v>543</v>
      </c>
      <c r="C2128" s="26"/>
      <c r="D2128" s="26" t="s">
        <v>543</v>
      </c>
      <c r="E2128" s="26" t="str">
        <f>IFERROR(VLOOKUP(G2128,WholesaleExtract!B:J,9,FALSE),"")</f>
        <v/>
      </c>
      <c r="F2128" s="26" t="str">
        <f>IFERROR(VLOOKUP(G2128,WholesaleExtract!B:J,6,FALSE),"")</f>
        <v/>
      </c>
      <c r="H2128" s="47" t="str">
        <f>IFERROR(VLOOKUP(G2128,WholesaleExtract!B:L,11,FALSE),"")</f>
        <v/>
      </c>
      <c r="I2128" s="26" t="str">
        <f>IFERROR(VLOOKUP(G2128,WholesaleExtract!B:O,8,FALSE),"")</f>
        <v/>
      </c>
      <c r="J2128" s="26" t="str">
        <f>IFERROR(VLOOKUP(G2128,WholesaleExtract!B:O,14,FALSE),"")</f>
        <v/>
      </c>
      <c r="K2128" s="26" t="str">
        <f>IFERROR(VLOOKUP(G2128,WholesaleExtract!B:K,10,FALSE),"")</f>
        <v/>
      </c>
      <c r="L2128" s="47" t="str">
        <f>IFERROR(VLOOKUP(G2128,WholesaleExtract!B:L,11,FALSE),"")</f>
        <v/>
      </c>
      <c r="M2128" s="47" t="str">
        <f>IFERROR(VLOOKUP(G2128,WholesaleExtract!B:M,12,FALSE),"")</f>
        <v/>
      </c>
      <c r="R2128" s="19"/>
      <c r="S2128" s="19"/>
    </row>
    <row r="2129" spans="1:19" x14ac:dyDescent="0.35">
      <c r="A2129" s="26" t="s">
        <v>543</v>
      </c>
      <c r="B2129" s="26" t="s">
        <v>543</v>
      </c>
      <c r="C2129" s="26"/>
      <c r="D2129" s="26" t="s">
        <v>543</v>
      </c>
      <c r="E2129" s="26" t="str">
        <f>IFERROR(VLOOKUP(G2129,WholesaleExtract!B:J,9,FALSE),"")</f>
        <v/>
      </c>
      <c r="F2129" s="26" t="str">
        <f>IFERROR(VLOOKUP(G2129,WholesaleExtract!B:J,6,FALSE),"")</f>
        <v/>
      </c>
      <c r="H2129" s="47" t="str">
        <f>IFERROR(VLOOKUP(G2129,WholesaleExtract!B:L,11,FALSE),"")</f>
        <v/>
      </c>
      <c r="I2129" s="26" t="str">
        <f>IFERROR(VLOOKUP(G2129,WholesaleExtract!B:O,8,FALSE),"")</f>
        <v/>
      </c>
      <c r="J2129" s="26" t="str">
        <f>IFERROR(VLOOKUP(G2129,WholesaleExtract!B:O,14,FALSE),"")</f>
        <v/>
      </c>
      <c r="K2129" s="26" t="str">
        <f>IFERROR(VLOOKUP(G2129,WholesaleExtract!B:K,10,FALSE),"")</f>
        <v/>
      </c>
      <c r="L2129" s="47" t="str">
        <f>IFERROR(VLOOKUP(G2129,WholesaleExtract!B:L,11,FALSE),"")</f>
        <v/>
      </c>
      <c r="M2129" s="47" t="str">
        <f>IFERROR(VLOOKUP(G2129,WholesaleExtract!B:M,12,FALSE),"")</f>
        <v/>
      </c>
      <c r="R2129" s="19"/>
      <c r="S2129" s="19"/>
    </row>
    <row r="2130" spans="1:19" x14ac:dyDescent="0.35">
      <c r="A2130" s="26" t="s">
        <v>543</v>
      </c>
      <c r="B2130" s="26" t="s">
        <v>543</v>
      </c>
      <c r="C2130" s="26"/>
      <c r="D2130" s="26" t="s">
        <v>543</v>
      </c>
      <c r="E2130" s="26" t="str">
        <f>IFERROR(VLOOKUP(G2130,WholesaleExtract!B:J,9,FALSE),"")</f>
        <v/>
      </c>
      <c r="F2130" s="26" t="str">
        <f>IFERROR(VLOOKUP(G2130,WholesaleExtract!B:J,6,FALSE),"")</f>
        <v/>
      </c>
      <c r="H2130" s="47" t="str">
        <f>IFERROR(VLOOKUP(G2130,WholesaleExtract!B:L,11,FALSE),"")</f>
        <v/>
      </c>
      <c r="I2130" s="26" t="str">
        <f>IFERROR(VLOOKUP(G2130,WholesaleExtract!B:O,8,FALSE),"")</f>
        <v/>
      </c>
      <c r="J2130" s="26" t="str">
        <f>IFERROR(VLOOKUP(G2130,WholesaleExtract!B:O,14,FALSE),"")</f>
        <v/>
      </c>
      <c r="K2130" s="26" t="str">
        <f>IFERROR(VLOOKUP(G2130,WholesaleExtract!B:K,10,FALSE),"")</f>
        <v/>
      </c>
      <c r="L2130" s="47" t="str">
        <f>IFERROR(VLOOKUP(G2130,WholesaleExtract!B:L,11,FALSE),"")</f>
        <v/>
      </c>
      <c r="M2130" s="47" t="str">
        <f>IFERROR(VLOOKUP(G2130,WholesaleExtract!B:M,12,FALSE),"")</f>
        <v/>
      </c>
      <c r="R2130" s="19"/>
      <c r="S2130" s="19"/>
    </row>
    <row r="2131" spans="1:19" x14ac:dyDescent="0.35">
      <c r="A2131" s="26" t="s">
        <v>543</v>
      </c>
      <c r="B2131" s="26" t="s">
        <v>543</v>
      </c>
      <c r="C2131" s="26"/>
      <c r="D2131" s="26" t="s">
        <v>543</v>
      </c>
      <c r="E2131" s="26" t="str">
        <f>IFERROR(VLOOKUP(G2131,WholesaleExtract!B:J,9,FALSE),"")</f>
        <v/>
      </c>
      <c r="F2131" s="26" t="str">
        <f>IFERROR(VLOOKUP(G2131,WholesaleExtract!B:J,6,FALSE),"")</f>
        <v/>
      </c>
      <c r="H2131" s="47" t="str">
        <f>IFERROR(VLOOKUP(G2131,WholesaleExtract!B:L,11,FALSE),"")</f>
        <v/>
      </c>
      <c r="I2131" s="26" t="str">
        <f>IFERROR(VLOOKUP(G2131,WholesaleExtract!B:O,8,FALSE),"")</f>
        <v/>
      </c>
      <c r="J2131" s="26" t="str">
        <f>IFERROR(VLOOKUP(G2131,WholesaleExtract!B:O,14,FALSE),"")</f>
        <v/>
      </c>
      <c r="K2131" s="26" t="str">
        <f>IFERROR(VLOOKUP(G2131,WholesaleExtract!B:K,10,FALSE),"")</f>
        <v/>
      </c>
      <c r="L2131" s="47" t="str">
        <f>IFERROR(VLOOKUP(G2131,WholesaleExtract!B:L,11,FALSE),"")</f>
        <v/>
      </c>
      <c r="M2131" s="47" t="str">
        <f>IFERROR(VLOOKUP(G2131,WholesaleExtract!B:M,12,FALSE),"")</f>
        <v/>
      </c>
      <c r="R2131" s="19"/>
      <c r="S2131" s="19"/>
    </row>
    <row r="2132" spans="1:19" x14ac:dyDescent="0.35">
      <c r="A2132" s="26" t="s">
        <v>543</v>
      </c>
      <c r="B2132" s="26" t="s">
        <v>543</v>
      </c>
      <c r="C2132" s="26"/>
      <c r="D2132" s="26" t="s">
        <v>543</v>
      </c>
      <c r="E2132" s="26" t="str">
        <f>IFERROR(VLOOKUP(G2132,WholesaleExtract!B:J,9,FALSE),"")</f>
        <v/>
      </c>
      <c r="F2132" s="26" t="str">
        <f>IFERROR(VLOOKUP(G2132,WholesaleExtract!B:J,6,FALSE),"")</f>
        <v/>
      </c>
      <c r="H2132" s="47" t="str">
        <f>IFERROR(VLOOKUP(G2132,WholesaleExtract!B:L,11,FALSE),"")</f>
        <v/>
      </c>
      <c r="I2132" s="26" t="str">
        <f>IFERROR(VLOOKUP(G2132,WholesaleExtract!B:O,8,FALSE),"")</f>
        <v/>
      </c>
      <c r="J2132" s="26" t="str">
        <f>IFERROR(VLOOKUP(G2132,WholesaleExtract!B:O,14,FALSE),"")</f>
        <v/>
      </c>
      <c r="K2132" s="26" t="str">
        <f>IFERROR(VLOOKUP(G2132,WholesaleExtract!B:K,10,FALSE),"")</f>
        <v/>
      </c>
      <c r="L2132" s="47" t="str">
        <f>IFERROR(VLOOKUP(G2132,WholesaleExtract!B:L,11,FALSE),"")</f>
        <v/>
      </c>
      <c r="M2132" s="47" t="str">
        <f>IFERROR(VLOOKUP(G2132,WholesaleExtract!B:M,12,FALSE),"")</f>
        <v/>
      </c>
      <c r="R2132" s="19"/>
      <c r="S2132" s="19"/>
    </row>
    <row r="2133" spans="1:19" x14ac:dyDescent="0.35">
      <c r="A2133" s="26" t="s">
        <v>543</v>
      </c>
      <c r="B2133" s="26" t="s">
        <v>543</v>
      </c>
      <c r="C2133" s="26"/>
      <c r="D2133" s="26" t="s">
        <v>543</v>
      </c>
      <c r="E2133" s="26" t="str">
        <f>IFERROR(VLOOKUP(G2133,WholesaleExtract!B:J,9,FALSE),"")</f>
        <v/>
      </c>
      <c r="F2133" s="26" t="str">
        <f>IFERROR(VLOOKUP(G2133,WholesaleExtract!B:J,6,FALSE),"")</f>
        <v/>
      </c>
      <c r="H2133" s="47" t="str">
        <f>IFERROR(VLOOKUP(G2133,WholesaleExtract!B:L,11,FALSE),"")</f>
        <v/>
      </c>
      <c r="I2133" s="26" t="str">
        <f>IFERROR(VLOOKUP(G2133,WholesaleExtract!B:O,8,FALSE),"")</f>
        <v/>
      </c>
      <c r="J2133" s="26" t="str">
        <f>IFERROR(VLOOKUP(G2133,WholesaleExtract!B:O,14,FALSE),"")</f>
        <v/>
      </c>
      <c r="K2133" s="26" t="str">
        <f>IFERROR(VLOOKUP(G2133,WholesaleExtract!B:K,10,FALSE),"")</f>
        <v/>
      </c>
      <c r="L2133" s="47" t="str">
        <f>IFERROR(VLOOKUP(G2133,WholesaleExtract!B:L,11,FALSE),"")</f>
        <v/>
      </c>
      <c r="M2133" s="47" t="str">
        <f>IFERROR(VLOOKUP(G2133,WholesaleExtract!B:M,12,FALSE),"")</f>
        <v/>
      </c>
      <c r="R2133" s="19"/>
      <c r="S2133" s="19"/>
    </row>
    <row r="2134" spans="1:19" x14ac:dyDescent="0.35">
      <c r="A2134" s="26" t="s">
        <v>543</v>
      </c>
      <c r="B2134" s="26" t="s">
        <v>543</v>
      </c>
      <c r="C2134" s="26"/>
      <c r="D2134" s="26" t="s">
        <v>543</v>
      </c>
      <c r="E2134" s="26" t="str">
        <f>IFERROR(VLOOKUP(G2134,WholesaleExtract!B:J,9,FALSE),"")</f>
        <v/>
      </c>
      <c r="F2134" s="26" t="str">
        <f>IFERROR(VLOOKUP(G2134,WholesaleExtract!B:J,6,FALSE),"")</f>
        <v/>
      </c>
      <c r="H2134" s="47" t="str">
        <f>IFERROR(VLOOKUP(G2134,WholesaleExtract!B:L,11,FALSE),"")</f>
        <v/>
      </c>
      <c r="I2134" s="26" t="str">
        <f>IFERROR(VLOOKUP(G2134,WholesaleExtract!B:O,8,FALSE),"")</f>
        <v/>
      </c>
      <c r="J2134" s="26" t="str">
        <f>IFERROR(VLOOKUP(G2134,WholesaleExtract!B:O,14,FALSE),"")</f>
        <v/>
      </c>
      <c r="K2134" s="26" t="str">
        <f>IFERROR(VLOOKUP(G2134,WholesaleExtract!B:K,10,FALSE),"")</f>
        <v/>
      </c>
      <c r="L2134" s="47" t="str">
        <f>IFERROR(VLOOKUP(G2134,WholesaleExtract!B:L,11,FALSE),"")</f>
        <v/>
      </c>
      <c r="M2134" s="47" t="str">
        <f>IFERROR(VLOOKUP(G2134,WholesaleExtract!B:M,12,FALSE),"")</f>
        <v/>
      </c>
      <c r="R2134" s="19"/>
      <c r="S2134" s="19"/>
    </row>
    <row r="2135" spans="1:19" x14ac:dyDescent="0.35">
      <c r="A2135" s="26" t="s">
        <v>543</v>
      </c>
      <c r="B2135" s="26" t="s">
        <v>543</v>
      </c>
      <c r="C2135" s="26"/>
      <c r="D2135" s="26" t="s">
        <v>543</v>
      </c>
      <c r="E2135" s="26" t="str">
        <f>IFERROR(VLOOKUP(G2135,WholesaleExtract!B:J,9,FALSE),"")</f>
        <v/>
      </c>
      <c r="F2135" s="26" t="str">
        <f>IFERROR(VLOOKUP(G2135,WholesaleExtract!B:J,6,FALSE),"")</f>
        <v/>
      </c>
      <c r="H2135" s="47" t="str">
        <f>IFERROR(VLOOKUP(G2135,WholesaleExtract!B:L,11,FALSE),"")</f>
        <v/>
      </c>
      <c r="I2135" s="26" t="str">
        <f>IFERROR(VLOOKUP(G2135,WholesaleExtract!B:O,8,FALSE),"")</f>
        <v/>
      </c>
      <c r="J2135" s="26" t="str">
        <f>IFERROR(VLOOKUP(G2135,WholesaleExtract!B:O,14,FALSE),"")</f>
        <v/>
      </c>
      <c r="K2135" s="26" t="str">
        <f>IFERROR(VLOOKUP(G2135,WholesaleExtract!B:K,10,FALSE),"")</f>
        <v/>
      </c>
      <c r="L2135" s="47" t="str">
        <f>IFERROR(VLOOKUP(G2135,WholesaleExtract!B:L,11,FALSE),"")</f>
        <v/>
      </c>
      <c r="M2135" s="47" t="str">
        <f>IFERROR(VLOOKUP(G2135,WholesaleExtract!B:M,12,FALSE),"")</f>
        <v/>
      </c>
      <c r="R2135" s="19"/>
      <c r="S2135" s="19"/>
    </row>
    <row r="2136" spans="1:19" x14ac:dyDescent="0.35">
      <c r="A2136" s="26" t="s">
        <v>543</v>
      </c>
      <c r="B2136" s="26" t="s">
        <v>543</v>
      </c>
      <c r="C2136" s="26"/>
      <c r="D2136" s="26" t="s">
        <v>543</v>
      </c>
      <c r="E2136" s="26" t="str">
        <f>IFERROR(VLOOKUP(G2136,WholesaleExtract!B:J,9,FALSE),"")</f>
        <v/>
      </c>
      <c r="F2136" s="26" t="str">
        <f>IFERROR(VLOOKUP(G2136,WholesaleExtract!B:J,6,FALSE),"")</f>
        <v/>
      </c>
      <c r="H2136" s="47" t="str">
        <f>IFERROR(VLOOKUP(G2136,WholesaleExtract!B:L,11,FALSE),"")</f>
        <v/>
      </c>
      <c r="I2136" s="26" t="str">
        <f>IFERROR(VLOOKUP(G2136,WholesaleExtract!B:O,8,FALSE),"")</f>
        <v/>
      </c>
      <c r="J2136" s="26" t="str">
        <f>IFERROR(VLOOKUP(G2136,WholesaleExtract!B:O,14,FALSE),"")</f>
        <v/>
      </c>
      <c r="K2136" s="26" t="str">
        <f>IFERROR(VLOOKUP(G2136,WholesaleExtract!B:K,10,FALSE),"")</f>
        <v/>
      </c>
      <c r="L2136" s="47" t="str">
        <f>IFERROR(VLOOKUP(G2136,WholesaleExtract!B:L,11,FALSE),"")</f>
        <v/>
      </c>
      <c r="M2136" s="47" t="str">
        <f>IFERROR(VLOOKUP(G2136,WholesaleExtract!B:M,12,FALSE),"")</f>
        <v/>
      </c>
      <c r="R2136" s="19"/>
      <c r="S2136" s="19"/>
    </row>
    <row r="2137" spans="1:19" x14ac:dyDescent="0.35">
      <c r="A2137" s="26" t="s">
        <v>543</v>
      </c>
      <c r="B2137" s="26" t="s">
        <v>543</v>
      </c>
      <c r="C2137" s="26"/>
      <c r="D2137" s="26" t="s">
        <v>543</v>
      </c>
      <c r="E2137" s="26" t="str">
        <f>IFERROR(VLOOKUP(G2137,WholesaleExtract!B:J,9,FALSE),"")</f>
        <v/>
      </c>
      <c r="F2137" s="26" t="str">
        <f>IFERROR(VLOOKUP(G2137,WholesaleExtract!B:J,6,FALSE),"")</f>
        <v/>
      </c>
      <c r="H2137" s="47" t="str">
        <f>IFERROR(VLOOKUP(G2137,WholesaleExtract!B:L,11,FALSE),"")</f>
        <v/>
      </c>
      <c r="I2137" s="26" t="str">
        <f>IFERROR(VLOOKUP(G2137,WholesaleExtract!B:O,8,FALSE),"")</f>
        <v/>
      </c>
      <c r="J2137" s="26" t="str">
        <f>IFERROR(VLOOKUP(G2137,WholesaleExtract!B:O,14,FALSE),"")</f>
        <v/>
      </c>
      <c r="K2137" s="26" t="str">
        <f>IFERROR(VLOOKUP(G2137,WholesaleExtract!B:K,10,FALSE),"")</f>
        <v/>
      </c>
      <c r="L2137" s="47" t="str">
        <f>IFERROR(VLOOKUP(G2137,WholesaleExtract!B:L,11,FALSE),"")</f>
        <v/>
      </c>
      <c r="M2137" s="47" t="str">
        <f>IFERROR(VLOOKUP(G2137,WholesaleExtract!B:M,12,FALSE),"")</f>
        <v/>
      </c>
      <c r="R2137" s="19"/>
      <c r="S2137" s="19"/>
    </row>
    <row r="2138" spans="1:19" x14ac:dyDescent="0.35">
      <c r="A2138" s="26" t="s">
        <v>543</v>
      </c>
      <c r="B2138" s="26" t="s">
        <v>543</v>
      </c>
      <c r="C2138" s="26"/>
      <c r="D2138" s="26" t="s">
        <v>543</v>
      </c>
      <c r="E2138" s="26" t="str">
        <f>IFERROR(VLOOKUP(G2138,WholesaleExtract!B:J,9,FALSE),"")</f>
        <v/>
      </c>
      <c r="F2138" s="26" t="str">
        <f>IFERROR(VLOOKUP(G2138,WholesaleExtract!B:J,6,FALSE),"")</f>
        <v/>
      </c>
      <c r="H2138" s="47" t="str">
        <f>IFERROR(VLOOKUP(G2138,WholesaleExtract!B:L,11,FALSE),"")</f>
        <v/>
      </c>
      <c r="I2138" s="26" t="str">
        <f>IFERROR(VLOOKUP(G2138,WholesaleExtract!B:O,8,FALSE),"")</f>
        <v/>
      </c>
      <c r="J2138" s="26" t="str">
        <f>IFERROR(VLOOKUP(G2138,WholesaleExtract!B:O,14,FALSE),"")</f>
        <v/>
      </c>
      <c r="K2138" s="26" t="str">
        <f>IFERROR(VLOOKUP(G2138,WholesaleExtract!B:K,10,FALSE),"")</f>
        <v/>
      </c>
      <c r="L2138" s="47" t="str">
        <f>IFERROR(VLOOKUP(G2138,WholesaleExtract!B:L,11,FALSE),"")</f>
        <v/>
      </c>
      <c r="M2138" s="47" t="str">
        <f>IFERROR(VLOOKUP(G2138,WholesaleExtract!B:M,12,FALSE),"")</f>
        <v/>
      </c>
      <c r="R2138" s="19"/>
      <c r="S2138" s="19"/>
    </row>
    <row r="2139" spans="1:19" x14ac:dyDescent="0.35">
      <c r="A2139" s="26" t="s">
        <v>543</v>
      </c>
      <c r="B2139" s="26" t="s">
        <v>543</v>
      </c>
      <c r="C2139" s="26"/>
      <c r="D2139" s="26" t="s">
        <v>543</v>
      </c>
      <c r="E2139" s="26" t="str">
        <f>IFERROR(VLOOKUP(G2139,WholesaleExtract!B:J,9,FALSE),"")</f>
        <v/>
      </c>
      <c r="F2139" s="26" t="str">
        <f>IFERROR(VLOOKUP(G2139,WholesaleExtract!B:J,6,FALSE),"")</f>
        <v/>
      </c>
      <c r="H2139" s="47" t="str">
        <f>IFERROR(VLOOKUP(G2139,WholesaleExtract!B:L,11,FALSE),"")</f>
        <v/>
      </c>
      <c r="I2139" s="26" t="str">
        <f>IFERROR(VLOOKUP(G2139,WholesaleExtract!B:O,8,FALSE),"")</f>
        <v/>
      </c>
      <c r="J2139" s="26" t="str">
        <f>IFERROR(VLOOKUP(G2139,WholesaleExtract!B:O,14,FALSE),"")</f>
        <v/>
      </c>
      <c r="K2139" s="26" t="str">
        <f>IFERROR(VLOOKUP(G2139,WholesaleExtract!B:K,10,FALSE),"")</f>
        <v/>
      </c>
      <c r="L2139" s="47" t="str">
        <f>IFERROR(VLOOKUP(G2139,WholesaleExtract!B:L,11,FALSE),"")</f>
        <v/>
      </c>
      <c r="M2139" s="47" t="str">
        <f>IFERROR(VLOOKUP(G2139,WholesaleExtract!B:M,12,FALSE),"")</f>
        <v/>
      </c>
      <c r="R2139" s="19"/>
      <c r="S2139" s="19"/>
    </row>
    <row r="2140" spans="1:19" x14ac:dyDescent="0.35">
      <c r="A2140" s="26" t="s">
        <v>543</v>
      </c>
      <c r="B2140" s="26" t="s">
        <v>543</v>
      </c>
      <c r="C2140" s="26"/>
      <c r="D2140" s="26" t="s">
        <v>543</v>
      </c>
      <c r="E2140" s="26" t="str">
        <f>IFERROR(VLOOKUP(G2140,WholesaleExtract!B:J,9,FALSE),"")</f>
        <v/>
      </c>
      <c r="F2140" s="26" t="str">
        <f>IFERROR(VLOOKUP(G2140,WholesaleExtract!B:J,6,FALSE),"")</f>
        <v/>
      </c>
      <c r="H2140" s="47" t="str">
        <f>IFERROR(VLOOKUP(G2140,WholesaleExtract!B:L,11,FALSE),"")</f>
        <v/>
      </c>
      <c r="I2140" s="26" t="str">
        <f>IFERROR(VLOOKUP(G2140,WholesaleExtract!B:O,8,FALSE),"")</f>
        <v/>
      </c>
      <c r="J2140" s="26" t="str">
        <f>IFERROR(VLOOKUP(G2140,WholesaleExtract!B:O,14,FALSE),"")</f>
        <v/>
      </c>
      <c r="K2140" s="26" t="str">
        <f>IFERROR(VLOOKUP(G2140,WholesaleExtract!B:K,10,FALSE),"")</f>
        <v/>
      </c>
      <c r="L2140" s="47" t="str">
        <f>IFERROR(VLOOKUP(G2140,WholesaleExtract!B:L,11,FALSE),"")</f>
        <v/>
      </c>
      <c r="M2140" s="47" t="str">
        <f>IFERROR(VLOOKUP(G2140,WholesaleExtract!B:M,12,FALSE),"")</f>
        <v/>
      </c>
      <c r="R2140" s="19"/>
      <c r="S2140" s="19"/>
    </row>
    <row r="2141" spans="1:19" x14ac:dyDescent="0.35">
      <c r="A2141" s="26" t="s">
        <v>543</v>
      </c>
      <c r="B2141" s="26" t="s">
        <v>543</v>
      </c>
      <c r="C2141" s="26"/>
      <c r="D2141" s="26" t="s">
        <v>543</v>
      </c>
      <c r="E2141" s="26" t="str">
        <f>IFERROR(VLOOKUP(G2141,WholesaleExtract!B:J,9,FALSE),"")</f>
        <v/>
      </c>
      <c r="F2141" s="26" t="str">
        <f>IFERROR(VLOOKUP(G2141,WholesaleExtract!B:J,6,FALSE),"")</f>
        <v/>
      </c>
      <c r="H2141" s="47" t="str">
        <f>IFERROR(VLOOKUP(G2141,WholesaleExtract!B:L,11,FALSE),"")</f>
        <v/>
      </c>
      <c r="I2141" s="26" t="str">
        <f>IFERROR(VLOOKUP(G2141,WholesaleExtract!B:O,8,FALSE),"")</f>
        <v/>
      </c>
      <c r="J2141" s="26" t="str">
        <f>IFERROR(VLOOKUP(G2141,WholesaleExtract!B:O,14,FALSE),"")</f>
        <v/>
      </c>
      <c r="K2141" s="26" t="str">
        <f>IFERROR(VLOOKUP(G2141,WholesaleExtract!B:K,10,FALSE),"")</f>
        <v/>
      </c>
      <c r="L2141" s="47" t="str">
        <f>IFERROR(VLOOKUP(G2141,WholesaleExtract!B:L,11,FALSE),"")</f>
        <v/>
      </c>
      <c r="M2141" s="47" t="str">
        <f>IFERROR(VLOOKUP(G2141,WholesaleExtract!B:M,12,FALSE),"")</f>
        <v/>
      </c>
      <c r="R2141" s="19"/>
      <c r="S2141" s="19"/>
    </row>
    <row r="2142" spans="1:19" x14ac:dyDescent="0.35">
      <c r="A2142" s="26" t="s">
        <v>543</v>
      </c>
      <c r="B2142" s="26" t="s">
        <v>543</v>
      </c>
      <c r="C2142" s="26"/>
      <c r="D2142" s="26" t="s">
        <v>543</v>
      </c>
      <c r="E2142" s="26" t="str">
        <f>IFERROR(VLOOKUP(G2142,WholesaleExtract!B:J,9,FALSE),"")</f>
        <v/>
      </c>
      <c r="F2142" s="26" t="str">
        <f>IFERROR(VLOOKUP(G2142,WholesaleExtract!B:J,6,FALSE),"")</f>
        <v/>
      </c>
      <c r="H2142" s="47" t="str">
        <f>IFERROR(VLOOKUP(G2142,WholesaleExtract!B:L,11,FALSE),"")</f>
        <v/>
      </c>
      <c r="I2142" s="26" t="str">
        <f>IFERROR(VLOOKUP(G2142,WholesaleExtract!B:O,8,FALSE),"")</f>
        <v/>
      </c>
      <c r="J2142" s="26" t="str">
        <f>IFERROR(VLOOKUP(G2142,WholesaleExtract!B:O,14,FALSE),"")</f>
        <v/>
      </c>
      <c r="K2142" s="26" t="str">
        <f>IFERROR(VLOOKUP(G2142,WholesaleExtract!B:K,10,FALSE),"")</f>
        <v/>
      </c>
      <c r="L2142" s="47" t="str">
        <f>IFERROR(VLOOKUP(G2142,WholesaleExtract!B:L,11,FALSE),"")</f>
        <v/>
      </c>
      <c r="M2142" s="47" t="str">
        <f>IFERROR(VLOOKUP(G2142,WholesaleExtract!B:M,12,FALSE),"")</f>
        <v/>
      </c>
      <c r="R2142" s="19"/>
      <c r="S2142" s="19"/>
    </row>
    <row r="2143" spans="1:19" x14ac:dyDescent="0.35">
      <c r="A2143" s="26" t="s">
        <v>543</v>
      </c>
      <c r="B2143" s="26" t="s">
        <v>543</v>
      </c>
      <c r="C2143" s="26"/>
      <c r="D2143" s="26" t="s">
        <v>543</v>
      </c>
      <c r="E2143" s="26" t="str">
        <f>IFERROR(VLOOKUP(G2143,WholesaleExtract!B:J,9,FALSE),"")</f>
        <v/>
      </c>
      <c r="F2143" s="26" t="str">
        <f>IFERROR(VLOOKUP(G2143,WholesaleExtract!B:J,6,FALSE),"")</f>
        <v/>
      </c>
      <c r="H2143" s="47" t="str">
        <f>IFERROR(VLOOKUP(G2143,WholesaleExtract!B:L,11,FALSE),"")</f>
        <v/>
      </c>
      <c r="I2143" s="26" t="str">
        <f>IFERROR(VLOOKUP(G2143,WholesaleExtract!B:O,8,FALSE),"")</f>
        <v/>
      </c>
      <c r="J2143" s="26" t="str">
        <f>IFERROR(VLOOKUP(G2143,WholesaleExtract!B:O,14,FALSE),"")</f>
        <v/>
      </c>
      <c r="K2143" s="26" t="str">
        <f>IFERROR(VLOOKUP(G2143,WholesaleExtract!B:K,10,FALSE),"")</f>
        <v/>
      </c>
      <c r="L2143" s="47" t="str">
        <f>IFERROR(VLOOKUP(G2143,WholesaleExtract!B:L,11,FALSE),"")</f>
        <v/>
      </c>
      <c r="M2143" s="47" t="str">
        <f>IFERROR(VLOOKUP(G2143,WholesaleExtract!B:M,12,FALSE),"")</f>
        <v/>
      </c>
      <c r="R2143" s="19"/>
      <c r="S2143" s="19"/>
    </row>
    <row r="2144" spans="1:19" x14ac:dyDescent="0.35">
      <c r="A2144" s="26" t="s">
        <v>543</v>
      </c>
      <c r="B2144" s="26" t="s">
        <v>543</v>
      </c>
      <c r="C2144" s="26"/>
      <c r="D2144" s="26" t="s">
        <v>543</v>
      </c>
      <c r="E2144" s="26" t="str">
        <f>IFERROR(VLOOKUP(G2144,WholesaleExtract!B:J,9,FALSE),"")</f>
        <v/>
      </c>
      <c r="F2144" s="26" t="str">
        <f>IFERROR(VLOOKUP(G2144,WholesaleExtract!B:J,6,FALSE),"")</f>
        <v/>
      </c>
      <c r="H2144" s="47" t="str">
        <f>IFERROR(VLOOKUP(G2144,WholesaleExtract!B:L,11,FALSE),"")</f>
        <v/>
      </c>
      <c r="I2144" s="26" t="str">
        <f>IFERROR(VLOOKUP(G2144,WholesaleExtract!B:O,8,FALSE),"")</f>
        <v/>
      </c>
      <c r="J2144" s="26" t="str">
        <f>IFERROR(VLOOKUP(G2144,WholesaleExtract!B:O,14,FALSE),"")</f>
        <v/>
      </c>
      <c r="K2144" s="26" t="str">
        <f>IFERROR(VLOOKUP(G2144,WholesaleExtract!B:K,10,FALSE),"")</f>
        <v/>
      </c>
      <c r="L2144" s="47" t="str">
        <f>IFERROR(VLOOKUP(G2144,WholesaleExtract!B:L,11,FALSE),"")</f>
        <v/>
      </c>
      <c r="M2144" s="47" t="str">
        <f>IFERROR(VLOOKUP(G2144,WholesaleExtract!B:M,12,FALSE),"")</f>
        <v/>
      </c>
      <c r="R2144" s="19"/>
      <c r="S2144" s="19"/>
    </row>
    <row r="2145" spans="1:19" x14ac:dyDescent="0.35">
      <c r="A2145" s="26" t="s">
        <v>543</v>
      </c>
      <c r="B2145" s="26" t="s">
        <v>543</v>
      </c>
      <c r="C2145" s="26"/>
      <c r="D2145" s="26" t="s">
        <v>543</v>
      </c>
      <c r="E2145" s="26" t="str">
        <f>IFERROR(VLOOKUP(G2145,WholesaleExtract!B:J,9,FALSE),"")</f>
        <v/>
      </c>
      <c r="F2145" s="26" t="str">
        <f>IFERROR(VLOOKUP(G2145,WholesaleExtract!B:J,6,FALSE),"")</f>
        <v/>
      </c>
      <c r="H2145" s="47" t="str">
        <f>IFERROR(VLOOKUP(G2145,WholesaleExtract!B:L,11,FALSE),"")</f>
        <v/>
      </c>
      <c r="I2145" s="26" t="str">
        <f>IFERROR(VLOOKUP(G2145,WholesaleExtract!B:O,8,FALSE),"")</f>
        <v/>
      </c>
      <c r="J2145" s="26" t="str">
        <f>IFERROR(VLOOKUP(G2145,WholesaleExtract!B:O,14,FALSE),"")</f>
        <v/>
      </c>
      <c r="K2145" s="26" t="str">
        <f>IFERROR(VLOOKUP(G2145,WholesaleExtract!B:K,10,FALSE),"")</f>
        <v/>
      </c>
      <c r="L2145" s="47" t="str">
        <f>IFERROR(VLOOKUP(G2145,WholesaleExtract!B:L,11,FALSE),"")</f>
        <v/>
      </c>
      <c r="M2145" s="47" t="str">
        <f>IFERROR(VLOOKUP(G2145,WholesaleExtract!B:M,12,FALSE),"")</f>
        <v/>
      </c>
      <c r="R2145" s="19"/>
      <c r="S2145" s="19"/>
    </row>
    <row r="2146" spans="1:19" x14ac:dyDescent="0.35">
      <c r="A2146" s="26" t="s">
        <v>543</v>
      </c>
      <c r="B2146" s="26" t="s">
        <v>543</v>
      </c>
      <c r="C2146" s="26"/>
      <c r="D2146" s="26" t="s">
        <v>543</v>
      </c>
      <c r="E2146" s="26" t="str">
        <f>IFERROR(VLOOKUP(G2146,WholesaleExtract!B:J,9,FALSE),"")</f>
        <v/>
      </c>
      <c r="F2146" s="26" t="str">
        <f>IFERROR(VLOOKUP(G2146,WholesaleExtract!B:J,6,FALSE),"")</f>
        <v/>
      </c>
      <c r="H2146" s="47" t="str">
        <f>IFERROR(VLOOKUP(G2146,WholesaleExtract!B:L,11,FALSE),"")</f>
        <v/>
      </c>
      <c r="I2146" s="26" t="str">
        <f>IFERROR(VLOOKUP(G2146,WholesaleExtract!B:O,8,FALSE),"")</f>
        <v/>
      </c>
      <c r="J2146" s="26" t="str">
        <f>IFERROR(VLOOKUP(G2146,WholesaleExtract!B:O,14,FALSE),"")</f>
        <v/>
      </c>
      <c r="K2146" s="26" t="str">
        <f>IFERROR(VLOOKUP(G2146,WholesaleExtract!B:K,10,FALSE),"")</f>
        <v/>
      </c>
      <c r="L2146" s="47" t="str">
        <f>IFERROR(VLOOKUP(G2146,WholesaleExtract!B:L,11,FALSE),"")</f>
        <v/>
      </c>
      <c r="M2146" s="47" t="str">
        <f>IFERROR(VLOOKUP(G2146,WholesaleExtract!B:M,12,FALSE),"")</f>
        <v/>
      </c>
      <c r="R2146" s="19"/>
      <c r="S2146" s="19"/>
    </row>
    <row r="2147" spans="1:19" x14ac:dyDescent="0.35">
      <c r="A2147" s="26" t="s">
        <v>543</v>
      </c>
      <c r="B2147" s="26" t="s">
        <v>543</v>
      </c>
      <c r="C2147" s="26"/>
      <c r="D2147" s="26" t="s">
        <v>543</v>
      </c>
      <c r="E2147" s="26" t="str">
        <f>IFERROR(VLOOKUP(G2147,WholesaleExtract!B:J,9,FALSE),"")</f>
        <v/>
      </c>
      <c r="F2147" s="26" t="str">
        <f>IFERROR(VLOOKUP(G2147,WholesaleExtract!B:J,6,FALSE),"")</f>
        <v/>
      </c>
      <c r="H2147" s="47" t="str">
        <f>IFERROR(VLOOKUP(G2147,WholesaleExtract!B:L,11,FALSE),"")</f>
        <v/>
      </c>
      <c r="I2147" s="26" t="str">
        <f>IFERROR(VLOOKUP(G2147,WholesaleExtract!B:O,8,FALSE),"")</f>
        <v/>
      </c>
      <c r="J2147" s="26" t="str">
        <f>IFERROR(VLOOKUP(G2147,WholesaleExtract!B:O,14,FALSE),"")</f>
        <v/>
      </c>
      <c r="K2147" s="26" t="str">
        <f>IFERROR(VLOOKUP(G2147,WholesaleExtract!B:K,10,FALSE),"")</f>
        <v/>
      </c>
      <c r="L2147" s="47" t="str">
        <f>IFERROR(VLOOKUP(G2147,WholesaleExtract!B:L,11,FALSE),"")</f>
        <v/>
      </c>
      <c r="M2147" s="47" t="str">
        <f>IFERROR(VLOOKUP(G2147,WholesaleExtract!B:M,12,FALSE),"")</f>
        <v/>
      </c>
      <c r="R2147" s="19"/>
      <c r="S2147" s="19"/>
    </row>
    <row r="2148" spans="1:19" x14ac:dyDescent="0.35">
      <c r="A2148" s="26" t="s">
        <v>543</v>
      </c>
      <c r="B2148" s="26" t="s">
        <v>543</v>
      </c>
      <c r="C2148" s="26"/>
      <c r="D2148" s="26" t="s">
        <v>543</v>
      </c>
      <c r="E2148" s="26" t="str">
        <f>IFERROR(VLOOKUP(G2148,WholesaleExtract!B:J,9,FALSE),"")</f>
        <v/>
      </c>
      <c r="F2148" s="26" t="str">
        <f>IFERROR(VLOOKUP(G2148,WholesaleExtract!B:J,6,FALSE),"")</f>
        <v/>
      </c>
      <c r="H2148" s="47" t="str">
        <f>IFERROR(VLOOKUP(G2148,WholesaleExtract!B:L,11,FALSE),"")</f>
        <v/>
      </c>
      <c r="I2148" s="26" t="str">
        <f>IFERROR(VLOOKUP(G2148,WholesaleExtract!B:O,8,FALSE),"")</f>
        <v/>
      </c>
      <c r="J2148" s="26" t="str">
        <f>IFERROR(VLOOKUP(G2148,WholesaleExtract!B:O,14,FALSE),"")</f>
        <v/>
      </c>
      <c r="K2148" s="26" t="str">
        <f>IFERROR(VLOOKUP(G2148,WholesaleExtract!B:K,10,FALSE),"")</f>
        <v/>
      </c>
      <c r="L2148" s="47" t="str">
        <f>IFERROR(VLOOKUP(G2148,WholesaleExtract!B:L,11,FALSE),"")</f>
        <v/>
      </c>
      <c r="M2148" s="47" t="str">
        <f>IFERROR(VLOOKUP(G2148,WholesaleExtract!B:M,12,FALSE),"")</f>
        <v/>
      </c>
      <c r="R2148" s="19"/>
      <c r="S2148" s="19"/>
    </row>
    <row r="2149" spans="1:19" x14ac:dyDescent="0.35">
      <c r="A2149" s="26" t="s">
        <v>543</v>
      </c>
      <c r="B2149" s="26" t="s">
        <v>543</v>
      </c>
      <c r="C2149" s="26"/>
      <c r="D2149" s="26" t="s">
        <v>543</v>
      </c>
      <c r="E2149" s="26" t="str">
        <f>IFERROR(VLOOKUP(G2149,WholesaleExtract!B:J,9,FALSE),"")</f>
        <v/>
      </c>
      <c r="F2149" s="26" t="str">
        <f>IFERROR(VLOOKUP(G2149,WholesaleExtract!B:J,6,FALSE),"")</f>
        <v/>
      </c>
      <c r="H2149" s="47" t="str">
        <f>IFERROR(VLOOKUP(G2149,WholesaleExtract!B:L,11,FALSE),"")</f>
        <v/>
      </c>
      <c r="I2149" s="26" t="str">
        <f>IFERROR(VLOOKUP(G2149,WholesaleExtract!B:O,8,FALSE),"")</f>
        <v/>
      </c>
      <c r="J2149" s="26" t="str">
        <f>IFERROR(VLOOKUP(G2149,WholesaleExtract!B:O,14,FALSE),"")</f>
        <v/>
      </c>
      <c r="K2149" s="26" t="str">
        <f>IFERROR(VLOOKUP(G2149,WholesaleExtract!B:K,10,FALSE),"")</f>
        <v/>
      </c>
      <c r="L2149" s="47" t="str">
        <f>IFERROR(VLOOKUP(G2149,WholesaleExtract!B:L,11,FALSE),"")</f>
        <v/>
      </c>
      <c r="M2149" s="47" t="str">
        <f>IFERROR(VLOOKUP(G2149,WholesaleExtract!B:M,12,FALSE),"")</f>
        <v/>
      </c>
      <c r="R2149" s="19"/>
      <c r="S2149" s="19"/>
    </row>
    <row r="2150" spans="1:19" x14ac:dyDescent="0.35">
      <c r="A2150" s="26" t="s">
        <v>543</v>
      </c>
      <c r="B2150" s="26" t="s">
        <v>543</v>
      </c>
      <c r="C2150" s="26"/>
      <c r="D2150" s="26" t="s">
        <v>543</v>
      </c>
      <c r="E2150" s="26" t="str">
        <f>IFERROR(VLOOKUP(G2150,WholesaleExtract!B:J,9,FALSE),"")</f>
        <v/>
      </c>
      <c r="F2150" s="26" t="str">
        <f>IFERROR(VLOOKUP(G2150,WholesaleExtract!B:J,6,FALSE),"")</f>
        <v/>
      </c>
      <c r="H2150" s="47" t="str">
        <f>IFERROR(VLOOKUP(G2150,WholesaleExtract!B:L,11,FALSE),"")</f>
        <v/>
      </c>
      <c r="I2150" s="26" t="str">
        <f>IFERROR(VLOOKUP(G2150,WholesaleExtract!B:O,8,FALSE),"")</f>
        <v/>
      </c>
      <c r="J2150" s="26" t="str">
        <f>IFERROR(VLOOKUP(G2150,WholesaleExtract!B:O,14,FALSE),"")</f>
        <v/>
      </c>
      <c r="K2150" s="26" t="str">
        <f>IFERROR(VLOOKUP(G2150,WholesaleExtract!B:K,10,FALSE),"")</f>
        <v/>
      </c>
      <c r="L2150" s="47" t="str">
        <f>IFERROR(VLOOKUP(G2150,WholesaleExtract!B:L,11,FALSE),"")</f>
        <v/>
      </c>
      <c r="M2150" s="47" t="str">
        <f>IFERROR(VLOOKUP(G2150,WholesaleExtract!B:M,12,FALSE),"")</f>
        <v/>
      </c>
      <c r="R2150" s="19"/>
      <c r="S2150" s="19"/>
    </row>
    <row r="2151" spans="1:19" x14ac:dyDescent="0.35">
      <c r="A2151" s="26" t="s">
        <v>543</v>
      </c>
      <c r="B2151" s="26" t="s">
        <v>543</v>
      </c>
      <c r="C2151" s="26"/>
      <c r="D2151" s="26" t="s">
        <v>543</v>
      </c>
      <c r="E2151" s="26" t="str">
        <f>IFERROR(VLOOKUP(G2151,WholesaleExtract!B:J,9,FALSE),"")</f>
        <v/>
      </c>
      <c r="F2151" s="26" t="str">
        <f>IFERROR(VLOOKUP(G2151,WholesaleExtract!B:J,6,FALSE),"")</f>
        <v/>
      </c>
      <c r="H2151" s="47" t="str">
        <f>IFERROR(VLOOKUP(G2151,WholesaleExtract!B:L,11,FALSE),"")</f>
        <v/>
      </c>
      <c r="I2151" s="26" t="str">
        <f>IFERROR(VLOOKUP(G2151,WholesaleExtract!B:O,8,FALSE),"")</f>
        <v/>
      </c>
      <c r="J2151" s="26" t="str">
        <f>IFERROR(VLOOKUP(G2151,WholesaleExtract!B:O,14,FALSE),"")</f>
        <v/>
      </c>
      <c r="K2151" s="26" t="str">
        <f>IFERROR(VLOOKUP(G2151,WholesaleExtract!B:K,10,FALSE),"")</f>
        <v/>
      </c>
      <c r="L2151" s="47" t="str">
        <f>IFERROR(VLOOKUP(G2151,WholesaleExtract!B:L,11,FALSE),"")</f>
        <v/>
      </c>
      <c r="M2151" s="47" t="str">
        <f>IFERROR(VLOOKUP(G2151,WholesaleExtract!B:M,12,FALSE),"")</f>
        <v/>
      </c>
      <c r="R2151" s="19"/>
      <c r="S2151" s="19"/>
    </row>
    <row r="2152" spans="1:19" x14ac:dyDescent="0.35">
      <c r="A2152" s="26" t="s">
        <v>543</v>
      </c>
      <c r="B2152" s="26" t="s">
        <v>543</v>
      </c>
      <c r="C2152" s="26"/>
      <c r="D2152" s="26" t="s">
        <v>543</v>
      </c>
      <c r="E2152" s="26" t="str">
        <f>IFERROR(VLOOKUP(G2152,WholesaleExtract!B:J,9,FALSE),"")</f>
        <v/>
      </c>
      <c r="F2152" s="26" t="str">
        <f>IFERROR(VLOOKUP(G2152,WholesaleExtract!B:J,6,FALSE),"")</f>
        <v/>
      </c>
      <c r="H2152" s="47" t="str">
        <f>IFERROR(VLOOKUP(G2152,WholesaleExtract!B:L,11,FALSE),"")</f>
        <v/>
      </c>
      <c r="I2152" s="26" t="str">
        <f>IFERROR(VLOOKUP(G2152,WholesaleExtract!B:O,8,FALSE),"")</f>
        <v/>
      </c>
      <c r="J2152" s="26" t="str">
        <f>IFERROR(VLOOKUP(G2152,WholesaleExtract!B:O,14,FALSE),"")</f>
        <v/>
      </c>
      <c r="K2152" s="26" t="str">
        <f>IFERROR(VLOOKUP(G2152,WholesaleExtract!B:K,10,FALSE),"")</f>
        <v/>
      </c>
      <c r="L2152" s="47" t="str">
        <f>IFERROR(VLOOKUP(G2152,WholesaleExtract!B:L,11,FALSE),"")</f>
        <v/>
      </c>
      <c r="M2152" s="47" t="str">
        <f>IFERROR(VLOOKUP(G2152,WholesaleExtract!B:M,12,FALSE),"")</f>
        <v/>
      </c>
      <c r="R2152" s="19"/>
      <c r="S2152" s="19"/>
    </row>
    <row r="2153" spans="1:19" x14ac:dyDescent="0.35">
      <c r="A2153" s="26" t="s">
        <v>543</v>
      </c>
      <c r="B2153" s="26" t="s">
        <v>543</v>
      </c>
      <c r="C2153" s="26"/>
      <c r="D2153" s="26" t="s">
        <v>543</v>
      </c>
      <c r="E2153" s="26" t="str">
        <f>IFERROR(VLOOKUP(G2153,WholesaleExtract!B:J,9,FALSE),"")</f>
        <v/>
      </c>
      <c r="F2153" s="26" t="str">
        <f>IFERROR(VLOOKUP(G2153,WholesaleExtract!B:J,6,FALSE),"")</f>
        <v/>
      </c>
      <c r="H2153" s="47" t="str">
        <f>IFERROR(VLOOKUP(G2153,WholesaleExtract!B:L,11,FALSE),"")</f>
        <v/>
      </c>
      <c r="I2153" s="26" t="str">
        <f>IFERROR(VLOOKUP(G2153,WholesaleExtract!B:O,8,FALSE),"")</f>
        <v/>
      </c>
      <c r="J2153" s="26" t="str">
        <f>IFERROR(VLOOKUP(G2153,WholesaleExtract!B:O,14,FALSE),"")</f>
        <v/>
      </c>
      <c r="K2153" s="26" t="str">
        <f>IFERROR(VLOOKUP(G2153,WholesaleExtract!B:K,10,FALSE),"")</f>
        <v/>
      </c>
      <c r="L2153" s="47" t="str">
        <f>IFERROR(VLOOKUP(G2153,WholesaleExtract!B:L,11,FALSE),"")</f>
        <v/>
      </c>
      <c r="M2153" s="47" t="str">
        <f>IFERROR(VLOOKUP(G2153,WholesaleExtract!B:M,12,FALSE),"")</f>
        <v/>
      </c>
      <c r="R2153" s="19"/>
      <c r="S2153" s="19"/>
    </row>
    <row r="2154" spans="1:19" x14ac:dyDescent="0.35">
      <c r="A2154" s="26" t="s">
        <v>543</v>
      </c>
      <c r="B2154" s="26" t="s">
        <v>543</v>
      </c>
      <c r="C2154" s="26"/>
      <c r="D2154" s="26" t="s">
        <v>543</v>
      </c>
      <c r="E2154" s="26" t="str">
        <f>IFERROR(VLOOKUP(G2154,WholesaleExtract!B:J,9,FALSE),"")</f>
        <v/>
      </c>
      <c r="F2154" s="26" t="str">
        <f>IFERROR(VLOOKUP(G2154,WholesaleExtract!B:J,6,FALSE),"")</f>
        <v/>
      </c>
      <c r="H2154" s="47" t="str">
        <f>IFERROR(VLOOKUP(G2154,WholesaleExtract!B:L,11,FALSE),"")</f>
        <v/>
      </c>
      <c r="I2154" s="26" t="str">
        <f>IFERROR(VLOOKUP(G2154,WholesaleExtract!B:O,8,FALSE),"")</f>
        <v/>
      </c>
      <c r="J2154" s="26" t="str">
        <f>IFERROR(VLOOKUP(G2154,WholesaleExtract!B:O,14,FALSE),"")</f>
        <v/>
      </c>
      <c r="K2154" s="26" t="str">
        <f>IFERROR(VLOOKUP(G2154,WholesaleExtract!B:K,10,FALSE),"")</f>
        <v/>
      </c>
      <c r="L2154" s="47" t="str">
        <f>IFERROR(VLOOKUP(G2154,WholesaleExtract!B:L,11,FALSE),"")</f>
        <v/>
      </c>
      <c r="M2154" s="47" t="str">
        <f>IFERROR(VLOOKUP(G2154,WholesaleExtract!B:M,12,FALSE),"")</f>
        <v/>
      </c>
      <c r="R2154" s="19"/>
      <c r="S2154" s="19"/>
    </row>
    <row r="2155" spans="1:19" x14ac:dyDescent="0.35">
      <c r="A2155" s="26" t="s">
        <v>543</v>
      </c>
      <c r="B2155" s="26" t="s">
        <v>543</v>
      </c>
      <c r="C2155" s="26"/>
      <c r="D2155" s="26" t="s">
        <v>543</v>
      </c>
      <c r="E2155" s="26" t="str">
        <f>IFERROR(VLOOKUP(G2155,WholesaleExtract!B:J,9,FALSE),"")</f>
        <v/>
      </c>
      <c r="F2155" s="26" t="str">
        <f>IFERROR(VLOOKUP(G2155,WholesaleExtract!B:J,6,FALSE),"")</f>
        <v/>
      </c>
      <c r="H2155" s="47" t="str">
        <f>IFERROR(VLOOKUP(G2155,WholesaleExtract!B:L,11,FALSE),"")</f>
        <v/>
      </c>
      <c r="I2155" s="26" t="str">
        <f>IFERROR(VLOOKUP(G2155,WholesaleExtract!B:O,8,FALSE),"")</f>
        <v/>
      </c>
      <c r="J2155" s="26" t="str">
        <f>IFERROR(VLOOKUP(G2155,WholesaleExtract!B:O,14,FALSE),"")</f>
        <v/>
      </c>
      <c r="K2155" s="26" t="str">
        <f>IFERROR(VLOOKUP(G2155,WholesaleExtract!B:K,10,FALSE),"")</f>
        <v/>
      </c>
      <c r="L2155" s="47" t="str">
        <f>IFERROR(VLOOKUP(G2155,WholesaleExtract!B:L,11,FALSE),"")</f>
        <v/>
      </c>
      <c r="M2155" s="47" t="str">
        <f>IFERROR(VLOOKUP(G2155,WholesaleExtract!B:M,12,FALSE),"")</f>
        <v/>
      </c>
      <c r="R2155" s="19"/>
      <c r="S2155" s="19"/>
    </row>
    <row r="2156" spans="1:19" x14ac:dyDescent="0.35">
      <c r="A2156" s="26" t="s">
        <v>543</v>
      </c>
      <c r="B2156" s="26" t="s">
        <v>543</v>
      </c>
      <c r="C2156" s="26"/>
      <c r="D2156" s="26" t="s">
        <v>543</v>
      </c>
      <c r="E2156" s="26" t="str">
        <f>IFERROR(VLOOKUP(G2156,WholesaleExtract!B:J,9,FALSE),"")</f>
        <v/>
      </c>
      <c r="F2156" s="26" t="str">
        <f>IFERROR(VLOOKUP(G2156,WholesaleExtract!B:J,6,FALSE),"")</f>
        <v/>
      </c>
      <c r="H2156" s="47" t="str">
        <f>IFERROR(VLOOKUP(G2156,WholesaleExtract!B:L,11,FALSE),"")</f>
        <v/>
      </c>
      <c r="I2156" s="26" t="str">
        <f>IFERROR(VLOOKUP(G2156,WholesaleExtract!B:O,8,FALSE),"")</f>
        <v/>
      </c>
      <c r="J2156" s="26" t="str">
        <f>IFERROR(VLOOKUP(G2156,WholesaleExtract!B:O,14,FALSE),"")</f>
        <v/>
      </c>
      <c r="K2156" s="26" t="str">
        <f>IFERROR(VLOOKUP(G2156,WholesaleExtract!B:K,10,FALSE),"")</f>
        <v/>
      </c>
      <c r="L2156" s="47" t="str">
        <f>IFERROR(VLOOKUP(G2156,WholesaleExtract!B:L,11,FALSE),"")</f>
        <v/>
      </c>
      <c r="M2156" s="47" t="str">
        <f>IFERROR(VLOOKUP(G2156,WholesaleExtract!B:M,12,FALSE),"")</f>
        <v/>
      </c>
      <c r="R2156" s="19"/>
      <c r="S2156" s="19"/>
    </row>
    <row r="2157" spans="1:19" x14ac:dyDescent="0.35">
      <c r="A2157" s="26" t="s">
        <v>543</v>
      </c>
      <c r="B2157" s="26" t="s">
        <v>543</v>
      </c>
      <c r="C2157" s="26"/>
      <c r="D2157" s="26" t="s">
        <v>543</v>
      </c>
      <c r="E2157" s="26" t="str">
        <f>IFERROR(VLOOKUP(G2157,WholesaleExtract!B:J,9,FALSE),"")</f>
        <v/>
      </c>
      <c r="F2157" s="26" t="str">
        <f>IFERROR(VLOOKUP(G2157,WholesaleExtract!B:J,6,FALSE),"")</f>
        <v/>
      </c>
      <c r="H2157" s="47" t="str">
        <f>IFERROR(VLOOKUP(G2157,WholesaleExtract!B:L,11,FALSE),"")</f>
        <v/>
      </c>
      <c r="I2157" s="26" t="str">
        <f>IFERROR(VLOOKUP(G2157,WholesaleExtract!B:O,8,FALSE),"")</f>
        <v/>
      </c>
      <c r="J2157" s="26" t="str">
        <f>IFERROR(VLOOKUP(G2157,WholesaleExtract!B:O,14,FALSE),"")</f>
        <v/>
      </c>
      <c r="K2157" s="26" t="str">
        <f>IFERROR(VLOOKUP(G2157,WholesaleExtract!B:K,10,FALSE),"")</f>
        <v/>
      </c>
      <c r="L2157" s="47" t="str">
        <f>IFERROR(VLOOKUP(G2157,WholesaleExtract!B:L,11,FALSE),"")</f>
        <v/>
      </c>
      <c r="M2157" s="47" t="str">
        <f>IFERROR(VLOOKUP(G2157,WholesaleExtract!B:M,12,FALSE),"")</f>
        <v/>
      </c>
      <c r="R2157" s="19"/>
      <c r="S2157" s="19"/>
    </row>
    <row r="2158" spans="1:19" x14ac:dyDescent="0.35">
      <c r="A2158" s="26" t="s">
        <v>543</v>
      </c>
      <c r="B2158" s="26" t="s">
        <v>543</v>
      </c>
      <c r="C2158" s="26"/>
      <c r="D2158" s="26" t="s">
        <v>543</v>
      </c>
      <c r="E2158" s="26" t="str">
        <f>IFERROR(VLOOKUP(G2158,WholesaleExtract!B:J,9,FALSE),"")</f>
        <v/>
      </c>
      <c r="F2158" s="26" t="str">
        <f>IFERROR(VLOOKUP(G2158,WholesaleExtract!B:J,6,FALSE),"")</f>
        <v/>
      </c>
      <c r="H2158" s="47" t="str">
        <f>IFERROR(VLOOKUP(G2158,WholesaleExtract!B:L,11,FALSE),"")</f>
        <v/>
      </c>
      <c r="I2158" s="26" t="str">
        <f>IFERROR(VLOOKUP(G2158,WholesaleExtract!B:O,8,FALSE),"")</f>
        <v/>
      </c>
      <c r="J2158" s="26" t="str">
        <f>IFERROR(VLOOKUP(G2158,WholesaleExtract!B:O,14,FALSE),"")</f>
        <v/>
      </c>
      <c r="K2158" s="26" t="str">
        <f>IFERROR(VLOOKUP(G2158,WholesaleExtract!B:K,10,FALSE),"")</f>
        <v/>
      </c>
      <c r="L2158" s="47" t="str">
        <f>IFERROR(VLOOKUP(G2158,WholesaleExtract!B:L,11,FALSE),"")</f>
        <v/>
      </c>
      <c r="M2158" s="47" t="str">
        <f>IFERROR(VLOOKUP(G2158,WholesaleExtract!B:M,12,FALSE),"")</f>
        <v/>
      </c>
      <c r="R2158" s="19"/>
      <c r="S2158" s="19"/>
    </row>
    <row r="2159" spans="1:19" x14ac:dyDescent="0.35">
      <c r="A2159" s="26" t="s">
        <v>543</v>
      </c>
      <c r="B2159" s="26" t="s">
        <v>543</v>
      </c>
      <c r="C2159" s="26"/>
      <c r="D2159" s="26" t="s">
        <v>543</v>
      </c>
      <c r="E2159" s="26" t="str">
        <f>IFERROR(VLOOKUP(G2159,WholesaleExtract!B:J,9,FALSE),"")</f>
        <v/>
      </c>
      <c r="F2159" s="26" t="str">
        <f>IFERROR(VLOOKUP(G2159,WholesaleExtract!B:J,6,FALSE),"")</f>
        <v/>
      </c>
      <c r="H2159" s="47" t="str">
        <f>IFERROR(VLOOKUP(G2159,WholesaleExtract!B:L,11,FALSE),"")</f>
        <v/>
      </c>
      <c r="I2159" s="26" t="str">
        <f>IFERROR(VLOOKUP(G2159,WholesaleExtract!B:O,8,FALSE),"")</f>
        <v/>
      </c>
      <c r="J2159" s="26" t="str">
        <f>IFERROR(VLOOKUP(G2159,WholesaleExtract!B:O,14,FALSE),"")</f>
        <v/>
      </c>
      <c r="K2159" s="26" t="str">
        <f>IFERROR(VLOOKUP(G2159,WholesaleExtract!B:K,10,FALSE),"")</f>
        <v/>
      </c>
      <c r="L2159" s="47" t="str">
        <f>IFERROR(VLOOKUP(G2159,WholesaleExtract!B:L,11,FALSE),"")</f>
        <v/>
      </c>
      <c r="M2159" s="47" t="str">
        <f>IFERROR(VLOOKUP(G2159,WholesaleExtract!B:M,12,FALSE),"")</f>
        <v/>
      </c>
      <c r="R2159" s="19"/>
      <c r="S2159" s="19"/>
    </row>
    <row r="2160" spans="1:19" x14ac:dyDescent="0.35">
      <c r="A2160" s="26" t="s">
        <v>543</v>
      </c>
      <c r="B2160" s="26" t="s">
        <v>543</v>
      </c>
      <c r="C2160" s="26"/>
      <c r="D2160" s="26" t="s">
        <v>543</v>
      </c>
      <c r="E2160" s="26" t="str">
        <f>IFERROR(VLOOKUP(G2160,WholesaleExtract!B:J,9,FALSE),"")</f>
        <v/>
      </c>
      <c r="F2160" s="26" t="str">
        <f>IFERROR(VLOOKUP(G2160,WholesaleExtract!B:J,6,FALSE),"")</f>
        <v/>
      </c>
      <c r="H2160" s="47" t="str">
        <f>IFERROR(VLOOKUP(G2160,WholesaleExtract!B:L,11,FALSE),"")</f>
        <v/>
      </c>
      <c r="I2160" s="26" t="str">
        <f>IFERROR(VLOOKUP(G2160,WholesaleExtract!B:O,8,FALSE),"")</f>
        <v/>
      </c>
      <c r="J2160" s="26" t="str">
        <f>IFERROR(VLOOKUP(G2160,WholesaleExtract!B:O,14,FALSE),"")</f>
        <v/>
      </c>
      <c r="K2160" s="26" t="str">
        <f>IFERROR(VLOOKUP(G2160,WholesaleExtract!B:K,10,FALSE),"")</f>
        <v/>
      </c>
      <c r="L2160" s="47" t="str">
        <f>IFERROR(VLOOKUP(G2160,WholesaleExtract!B:L,11,FALSE),"")</f>
        <v/>
      </c>
      <c r="M2160" s="47" t="str">
        <f>IFERROR(VLOOKUP(G2160,WholesaleExtract!B:M,12,FALSE),"")</f>
        <v/>
      </c>
      <c r="R2160" s="19"/>
      <c r="S2160" s="19"/>
    </row>
    <row r="2161" spans="1:19" x14ac:dyDescent="0.35">
      <c r="A2161" s="26" t="s">
        <v>543</v>
      </c>
      <c r="B2161" s="26" t="s">
        <v>543</v>
      </c>
      <c r="C2161" s="26"/>
      <c r="D2161" s="26" t="s">
        <v>543</v>
      </c>
      <c r="E2161" s="26" t="str">
        <f>IFERROR(VLOOKUP(G2161,WholesaleExtract!B:J,9,FALSE),"")</f>
        <v/>
      </c>
      <c r="F2161" s="26" t="str">
        <f>IFERROR(VLOOKUP(G2161,WholesaleExtract!B:J,6,FALSE),"")</f>
        <v/>
      </c>
      <c r="H2161" s="47" t="str">
        <f>IFERROR(VLOOKUP(G2161,WholesaleExtract!B:L,11,FALSE),"")</f>
        <v/>
      </c>
      <c r="I2161" s="26" t="str">
        <f>IFERROR(VLOOKUP(G2161,WholesaleExtract!B:O,8,FALSE),"")</f>
        <v/>
      </c>
      <c r="J2161" s="26" t="str">
        <f>IFERROR(VLOOKUP(G2161,WholesaleExtract!B:O,14,FALSE),"")</f>
        <v/>
      </c>
      <c r="K2161" s="26" t="str">
        <f>IFERROR(VLOOKUP(G2161,WholesaleExtract!B:K,10,FALSE),"")</f>
        <v/>
      </c>
      <c r="L2161" s="47" t="str">
        <f>IFERROR(VLOOKUP(G2161,WholesaleExtract!B:L,11,FALSE),"")</f>
        <v/>
      </c>
      <c r="M2161" s="47" t="str">
        <f>IFERROR(VLOOKUP(G2161,WholesaleExtract!B:M,12,FALSE),"")</f>
        <v/>
      </c>
      <c r="R2161" s="19"/>
      <c r="S2161" s="19"/>
    </row>
    <row r="2162" spans="1:19" x14ac:dyDescent="0.35">
      <c r="A2162" s="26" t="s">
        <v>543</v>
      </c>
      <c r="B2162" s="26" t="s">
        <v>543</v>
      </c>
      <c r="C2162" s="26"/>
      <c r="D2162" s="26" t="s">
        <v>543</v>
      </c>
      <c r="E2162" s="26" t="str">
        <f>IFERROR(VLOOKUP(G2162,WholesaleExtract!B:J,9,FALSE),"")</f>
        <v/>
      </c>
      <c r="F2162" s="26" t="str">
        <f>IFERROR(VLOOKUP(G2162,WholesaleExtract!B:J,6,FALSE),"")</f>
        <v/>
      </c>
      <c r="H2162" s="47" t="str">
        <f>IFERROR(VLOOKUP(G2162,WholesaleExtract!B:L,11,FALSE),"")</f>
        <v/>
      </c>
      <c r="I2162" s="26" t="str">
        <f>IFERROR(VLOOKUP(G2162,WholesaleExtract!B:O,8,FALSE),"")</f>
        <v/>
      </c>
      <c r="J2162" s="26" t="str">
        <f>IFERROR(VLOOKUP(G2162,WholesaleExtract!B:O,14,FALSE),"")</f>
        <v/>
      </c>
      <c r="K2162" s="26" t="str">
        <f>IFERROR(VLOOKUP(G2162,WholesaleExtract!B:K,10,FALSE),"")</f>
        <v/>
      </c>
      <c r="L2162" s="47" t="str">
        <f>IFERROR(VLOOKUP(G2162,WholesaleExtract!B:L,11,FALSE),"")</f>
        <v/>
      </c>
      <c r="M2162" s="47" t="str">
        <f>IFERROR(VLOOKUP(G2162,WholesaleExtract!B:M,12,FALSE),"")</f>
        <v/>
      </c>
      <c r="R2162" s="19"/>
      <c r="S2162" s="19"/>
    </row>
    <row r="2163" spans="1:19" x14ac:dyDescent="0.35">
      <c r="A2163" s="26" t="s">
        <v>543</v>
      </c>
      <c r="B2163" s="26" t="s">
        <v>543</v>
      </c>
      <c r="C2163" s="26"/>
      <c r="D2163" s="26" t="s">
        <v>543</v>
      </c>
      <c r="E2163" s="26" t="str">
        <f>IFERROR(VLOOKUP(G2163,WholesaleExtract!B:J,9,FALSE),"")</f>
        <v/>
      </c>
      <c r="F2163" s="26" t="str">
        <f>IFERROR(VLOOKUP(G2163,WholesaleExtract!B:J,6,FALSE),"")</f>
        <v/>
      </c>
      <c r="H2163" s="47" t="str">
        <f>IFERROR(VLOOKUP(G2163,WholesaleExtract!B:L,11,FALSE),"")</f>
        <v/>
      </c>
      <c r="I2163" s="26" t="str">
        <f>IFERROR(VLOOKUP(G2163,WholesaleExtract!B:O,8,FALSE),"")</f>
        <v/>
      </c>
      <c r="J2163" s="26" t="str">
        <f>IFERROR(VLOOKUP(G2163,WholesaleExtract!B:O,14,FALSE),"")</f>
        <v/>
      </c>
      <c r="K2163" s="26" t="str">
        <f>IFERROR(VLOOKUP(G2163,WholesaleExtract!B:K,10,FALSE),"")</f>
        <v/>
      </c>
      <c r="L2163" s="47" t="str">
        <f>IFERROR(VLOOKUP(G2163,WholesaleExtract!B:L,11,FALSE),"")</f>
        <v/>
      </c>
      <c r="M2163" s="47" t="str">
        <f>IFERROR(VLOOKUP(G2163,WholesaleExtract!B:M,12,FALSE),"")</f>
        <v/>
      </c>
      <c r="R2163" s="19"/>
      <c r="S2163" s="19"/>
    </row>
    <row r="2164" spans="1:19" x14ac:dyDescent="0.35">
      <c r="A2164" s="26" t="s">
        <v>543</v>
      </c>
      <c r="B2164" s="26" t="s">
        <v>543</v>
      </c>
      <c r="C2164" s="26"/>
      <c r="D2164" s="26" t="s">
        <v>543</v>
      </c>
      <c r="E2164" s="26" t="str">
        <f>IFERROR(VLOOKUP(G2164,WholesaleExtract!B:J,9,FALSE),"")</f>
        <v/>
      </c>
      <c r="F2164" s="26" t="str">
        <f>IFERROR(VLOOKUP(G2164,WholesaleExtract!B:J,6,FALSE),"")</f>
        <v/>
      </c>
      <c r="H2164" s="47" t="str">
        <f>IFERROR(VLOOKUP(G2164,WholesaleExtract!B:L,11,FALSE),"")</f>
        <v/>
      </c>
      <c r="I2164" s="26" t="str">
        <f>IFERROR(VLOOKUP(G2164,WholesaleExtract!B:O,8,FALSE),"")</f>
        <v/>
      </c>
      <c r="J2164" s="26" t="str">
        <f>IFERROR(VLOOKUP(G2164,WholesaleExtract!B:O,14,FALSE),"")</f>
        <v/>
      </c>
      <c r="K2164" s="26" t="str">
        <f>IFERROR(VLOOKUP(G2164,WholesaleExtract!B:K,10,FALSE),"")</f>
        <v/>
      </c>
      <c r="L2164" s="47" t="str">
        <f>IFERROR(VLOOKUP(G2164,WholesaleExtract!B:L,11,FALSE),"")</f>
        <v/>
      </c>
      <c r="M2164" s="47" t="str">
        <f>IFERROR(VLOOKUP(G2164,WholesaleExtract!B:M,12,FALSE),"")</f>
        <v/>
      </c>
      <c r="R2164" s="19"/>
      <c r="S2164" s="19"/>
    </row>
    <row r="2165" spans="1:19" x14ac:dyDescent="0.35">
      <c r="A2165" s="26" t="s">
        <v>543</v>
      </c>
      <c r="B2165" s="26" t="s">
        <v>543</v>
      </c>
      <c r="C2165" s="26"/>
      <c r="D2165" s="26" t="s">
        <v>543</v>
      </c>
      <c r="E2165" s="26" t="str">
        <f>IFERROR(VLOOKUP(G2165,WholesaleExtract!B:J,9,FALSE),"")</f>
        <v/>
      </c>
      <c r="F2165" s="26" t="str">
        <f>IFERROR(VLOOKUP(G2165,WholesaleExtract!B:J,6,FALSE),"")</f>
        <v/>
      </c>
      <c r="H2165" s="47" t="str">
        <f>IFERROR(VLOOKUP(G2165,WholesaleExtract!B:L,11,FALSE),"")</f>
        <v/>
      </c>
      <c r="I2165" s="26" t="str">
        <f>IFERROR(VLOOKUP(G2165,WholesaleExtract!B:O,8,FALSE),"")</f>
        <v/>
      </c>
      <c r="J2165" s="26" t="str">
        <f>IFERROR(VLOOKUP(G2165,WholesaleExtract!B:O,14,FALSE),"")</f>
        <v/>
      </c>
      <c r="K2165" s="26" t="str">
        <f>IFERROR(VLOOKUP(G2165,WholesaleExtract!B:K,10,FALSE),"")</f>
        <v/>
      </c>
      <c r="L2165" s="47" t="str">
        <f>IFERROR(VLOOKUP(G2165,WholesaleExtract!B:L,11,FALSE),"")</f>
        <v/>
      </c>
      <c r="M2165" s="47" t="str">
        <f>IFERROR(VLOOKUP(G2165,WholesaleExtract!B:M,12,FALSE),"")</f>
        <v/>
      </c>
      <c r="R2165" s="19"/>
      <c r="S2165" s="19"/>
    </row>
    <row r="2166" spans="1:19" x14ac:dyDescent="0.35">
      <c r="A2166" s="26" t="s">
        <v>543</v>
      </c>
      <c r="B2166" s="26" t="s">
        <v>543</v>
      </c>
      <c r="C2166" s="26"/>
      <c r="D2166" s="26" t="s">
        <v>543</v>
      </c>
      <c r="E2166" s="26" t="str">
        <f>IFERROR(VLOOKUP(G2166,WholesaleExtract!B:J,9,FALSE),"")</f>
        <v/>
      </c>
      <c r="F2166" s="26" t="str">
        <f>IFERROR(VLOOKUP(G2166,WholesaleExtract!B:J,6,FALSE),"")</f>
        <v/>
      </c>
      <c r="H2166" s="47" t="str">
        <f>IFERROR(VLOOKUP(G2166,WholesaleExtract!B:L,11,FALSE),"")</f>
        <v/>
      </c>
      <c r="I2166" s="26" t="str">
        <f>IFERROR(VLOOKUP(G2166,WholesaleExtract!B:O,8,FALSE),"")</f>
        <v/>
      </c>
      <c r="J2166" s="26" t="str">
        <f>IFERROR(VLOOKUP(G2166,WholesaleExtract!B:O,14,FALSE),"")</f>
        <v/>
      </c>
      <c r="K2166" s="26" t="str">
        <f>IFERROR(VLOOKUP(G2166,WholesaleExtract!B:K,10,FALSE),"")</f>
        <v/>
      </c>
      <c r="L2166" s="47" t="str">
        <f>IFERROR(VLOOKUP(G2166,WholesaleExtract!B:L,11,FALSE),"")</f>
        <v/>
      </c>
      <c r="M2166" s="47" t="str">
        <f>IFERROR(VLOOKUP(G2166,WholesaleExtract!B:M,12,FALSE),"")</f>
        <v/>
      </c>
      <c r="R2166" s="19"/>
      <c r="S2166" s="19"/>
    </row>
    <row r="2167" spans="1:19" x14ac:dyDescent="0.35">
      <c r="A2167" s="26" t="s">
        <v>543</v>
      </c>
      <c r="B2167" s="26" t="s">
        <v>543</v>
      </c>
      <c r="C2167" s="26"/>
      <c r="D2167" s="26" t="s">
        <v>543</v>
      </c>
      <c r="E2167" s="26" t="str">
        <f>IFERROR(VLOOKUP(G2167,WholesaleExtract!B:J,9,FALSE),"")</f>
        <v/>
      </c>
      <c r="F2167" s="26" t="str">
        <f>IFERROR(VLOOKUP(G2167,WholesaleExtract!B:J,6,FALSE),"")</f>
        <v/>
      </c>
      <c r="H2167" s="47" t="str">
        <f>IFERROR(VLOOKUP(G2167,WholesaleExtract!B:L,11,FALSE),"")</f>
        <v/>
      </c>
      <c r="I2167" s="26" t="str">
        <f>IFERROR(VLOOKUP(G2167,WholesaleExtract!B:O,8,FALSE),"")</f>
        <v/>
      </c>
      <c r="J2167" s="26" t="str">
        <f>IFERROR(VLOOKUP(G2167,WholesaleExtract!B:O,14,FALSE),"")</f>
        <v/>
      </c>
      <c r="K2167" s="26" t="str">
        <f>IFERROR(VLOOKUP(G2167,WholesaleExtract!B:K,10,FALSE),"")</f>
        <v/>
      </c>
      <c r="L2167" s="47" t="str">
        <f>IFERROR(VLOOKUP(G2167,WholesaleExtract!B:L,11,FALSE),"")</f>
        <v/>
      </c>
      <c r="M2167" s="47" t="str">
        <f>IFERROR(VLOOKUP(G2167,WholesaleExtract!B:M,12,FALSE),"")</f>
        <v/>
      </c>
      <c r="R2167" s="19"/>
      <c r="S2167" s="19"/>
    </row>
    <row r="2168" spans="1:19" x14ac:dyDescent="0.35">
      <c r="A2168" s="26" t="s">
        <v>543</v>
      </c>
      <c r="B2168" s="26" t="s">
        <v>543</v>
      </c>
      <c r="C2168" s="26"/>
      <c r="D2168" s="26" t="s">
        <v>543</v>
      </c>
      <c r="E2168" s="26" t="str">
        <f>IFERROR(VLOOKUP(G2168,WholesaleExtract!B:J,9,FALSE),"")</f>
        <v/>
      </c>
      <c r="F2168" s="26" t="str">
        <f>IFERROR(VLOOKUP(G2168,WholesaleExtract!B:J,6,FALSE),"")</f>
        <v/>
      </c>
      <c r="H2168" s="47" t="str">
        <f>IFERROR(VLOOKUP(G2168,WholesaleExtract!B:L,11,FALSE),"")</f>
        <v/>
      </c>
      <c r="I2168" s="26" t="str">
        <f>IFERROR(VLOOKUP(G2168,WholesaleExtract!B:O,8,FALSE),"")</f>
        <v/>
      </c>
      <c r="J2168" s="26" t="str">
        <f>IFERROR(VLOOKUP(G2168,WholesaleExtract!B:O,14,FALSE),"")</f>
        <v/>
      </c>
      <c r="K2168" s="26" t="str">
        <f>IFERROR(VLOOKUP(G2168,WholesaleExtract!B:K,10,FALSE),"")</f>
        <v/>
      </c>
      <c r="L2168" s="47" t="str">
        <f>IFERROR(VLOOKUP(G2168,WholesaleExtract!B:L,11,FALSE),"")</f>
        <v/>
      </c>
      <c r="M2168" s="47" t="str">
        <f>IFERROR(VLOOKUP(G2168,WholesaleExtract!B:M,12,FALSE),"")</f>
        <v/>
      </c>
      <c r="R2168" s="19"/>
      <c r="S2168" s="19"/>
    </row>
    <row r="2169" spans="1:19" x14ac:dyDescent="0.35">
      <c r="A2169" s="26" t="s">
        <v>543</v>
      </c>
      <c r="B2169" s="26" t="s">
        <v>543</v>
      </c>
      <c r="C2169" s="26"/>
      <c r="D2169" s="26" t="s">
        <v>543</v>
      </c>
      <c r="E2169" s="26" t="str">
        <f>IFERROR(VLOOKUP(G2169,WholesaleExtract!B:J,9,FALSE),"")</f>
        <v/>
      </c>
      <c r="F2169" s="26" t="str">
        <f>IFERROR(VLOOKUP(G2169,WholesaleExtract!B:J,6,FALSE),"")</f>
        <v/>
      </c>
      <c r="H2169" s="47" t="str">
        <f>IFERROR(VLOOKUP(G2169,WholesaleExtract!B:L,11,FALSE),"")</f>
        <v/>
      </c>
      <c r="I2169" s="26" t="str">
        <f>IFERROR(VLOOKUP(G2169,WholesaleExtract!B:O,8,FALSE),"")</f>
        <v/>
      </c>
      <c r="J2169" s="26" t="str">
        <f>IFERROR(VLOOKUP(G2169,WholesaleExtract!B:O,14,FALSE),"")</f>
        <v/>
      </c>
      <c r="K2169" s="26" t="str">
        <f>IFERROR(VLOOKUP(G2169,WholesaleExtract!B:K,10,FALSE),"")</f>
        <v/>
      </c>
      <c r="L2169" s="47" t="str">
        <f>IFERROR(VLOOKUP(G2169,WholesaleExtract!B:L,11,FALSE),"")</f>
        <v/>
      </c>
      <c r="M2169" s="47" t="str">
        <f>IFERROR(VLOOKUP(G2169,WholesaleExtract!B:M,12,FALSE),"")</f>
        <v/>
      </c>
      <c r="R2169" s="19"/>
      <c r="S2169" s="19"/>
    </row>
    <row r="2170" spans="1:19" x14ac:dyDescent="0.35">
      <c r="A2170" s="26" t="s">
        <v>543</v>
      </c>
      <c r="B2170" s="26" t="s">
        <v>543</v>
      </c>
      <c r="C2170" s="26"/>
      <c r="D2170" s="26" t="s">
        <v>543</v>
      </c>
      <c r="E2170" s="26" t="str">
        <f>IFERROR(VLOOKUP(G2170,WholesaleExtract!B:J,9,FALSE),"")</f>
        <v/>
      </c>
      <c r="F2170" s="26" t="str">
        <f>IFERROR(VLOOKUP(G2170,WholesaleExtract!B:J,6,FALSE),"")</f>
        <v/>
      </c>
      <c r="H2170" s="47" t="str">
        <f>IFERROR(VLOOKUP(G2170,WholesaleExtract!B:L,11,FALSE),"")</f>
        <v/>
      </c>
      <c r="I2170" s="26" t="str">
        <f>IFERROR(VLOOKUP(G2170,WholesaleExtract!B:O,8,FALSE),"")</f>
        <v/>
      </c>
      <c r="J2170" s="26" t="str">
        <f>IFERROR(VLOOKUP(G2170,WholesaleExtract!B:O,14,FALSE),"")</f>
        <v/>
      </c>
      <c r="K2170" s="26" t="str">
        <f>IFERROR(VLOOKUP(G2170,WholesaleExtract!B:K,10,FALSE),"")</f>
        <v/>
      </c>
      <c r="L2170" s="47" t="str">
        <f>IFERROR(VLOOKUP(G2170,WholesaleExtract!B:L,11,FALSE),"")</f>
        <v/>
      </c>
      <c r="M2170" s="47" t="str">
        <f>IFERROR(VLOOKUP(G2170,WholesaleExtract!B:M,12,FALSE),"")</f>
        <v/>
      </c>
      <c r="R2170" s="19"/>
      <c r="S2170" s="19"/>
    </row>
    <row r="2171" spans="1:19" x14ac:dyDescent="0.35">
      <c r="A2171" s="26" t="s">
        <v>543</v>
      </c>
      <c r="B2171" s="26" t="s">
        <v>543</v>
      </c>
      <c r="C2171" s="26"/>
      <c r="D2171" s="26" t="s">
        <v>543</v>
      </c>
      <c r="E2171" s="26" t="str">
        <f>IFERROR(VLOOKUP(G2171,WholesaleExtract!B:J,9,FALSE),"")</f>
        <v/>
      </c>
      <c r="F2171" s="26" t="str">
        <f>IFERROR(VLOOKUP(G2171,WholesaleExtract!B:J,6,FALSE),"")</f>
        <v/>
      </c>
      <c r="H2171" s="47" t="str">
        <f>IFERROR(VLOOKUP(G2171,WholesaleExtract!B:L,11,FALSE),"")</f>
        <v/>
      </c>
      <c r="I2171" s="26" t="str">
        <f>IFERROR(VLOOKUP(G2171,WholesaleExtract!B:O,8,FALSE),"")</f>
        <v/>
      </c>
      <c r="J2171" s="26" t="str">
        <f>IFERROR(VLOOKUP(G2171,WholesaleExtract!B:O,14,FALSE),"")</f>
        <v/>
      </c>
      <c r="K2171" s="26" t="str">
        <f>IFERROR(VLOOKUP(G2171,WholesaleExtract!B:K,10,FALSE),"")</f>
        <v/>
      </c>
      <c r="L2171" s="47" t="str">
        <f>IFERROR(VLOOKUP(G2171,WholesaleExtract!B:L,11,FALSE),"")</f>
        <v/>
      </c>
      <c r="M2171" s="47" t="str">
        <f>IFERROR(VLOOKUP(G2171,WholesaleExtract!B:M,12,FALSE),"")</f>
        <v/>
      </c>
      <c r="R2171" s="19"/>
      <c r="S2171" s="19"/>
    </row>
    <row r="2172" spans="1:19" x14ac:dyDescent="0.35">
      <c r="A2172" s="26" t="s">
        <v>543</v>
      </c>
      <c r="B2172" s="26" t="s">
        <v>543</v>
      </c>
      <c r="C2172" s="26"/>
      <c r="D2172" s="26" t="s">
        <v>543</v>
      </c>
      <c r="E2172" s="26" t="str">
        <f>IFERROR(VLOOKUP(G2172,WholesaleExtract!B:J,9,FALSE),"")</f>
        <v/>
      </c>
      <c r="F2172" s="26" t="str">
        <f>IFERROR(VLOOKUP(G2172,WholesaleExtract!B:J,6,FALSE),"")</f>
        <v/>
      </c>
      <c r="H2172" s="47" t="str">
        <f>IFERROR(VLOOKUP(G2172,WholesaleExtract!B:L,11,FALSE),"")</f>
        <v/>
      </c>
      <c r="I2172" s="26" t="str">
        <f>IFERROR(VLOOKUP(G2172,WholesaleExtract!B:O,8,FALSE),"")</f>
        <v/>
      </c>
      <c r="J2172" s="26" t="str">
        <f>IFERROR(VLOOKUP(G2172,WholesaleExtract!B:O,14,FALSE),"")</f>
        <v/>
      </c>
      <c r="K2172" s="26" t="str">
        <f>IFERROR(VLOOKUP(G2172,WholesaleExtract!B:K,10,FALSE),"")</f>
        <v/>
      </c>
      <c r="L2172" s="47" t="str">
        <f>IFERROR(VLOOKUP(G2172,WholesaleExtract!B:L,11,FALSE),"")</f>
        <v/>
      </c>
      <c r="M2172" s="47" t="str">
        <f>IFERROR(VLOOKUP(G2172,WholesaleExtract!B:M,12,FALSE),"")</f>
        <v/>
      </c>
      <c r="R2172" s="19"/>
      <c r="S2172" s="19"/>
    </row>
    <row r="2173" spans="1:19" x14ac:dyDescent="0.35">
      <c r="A2173" s="26" t="s">
        <v>543</v>
      </c>
      <c r="B2173" s="26" t="s">
        <v>543</v>
      </c>
      <c r="C2173" s="26"/>
      <c r="D2173" s="26" t="s">
        <v>543</v>
      </c>
      <c r="E2173" s="26" t="str">
        <f>IFERROR(VLOOKUP(G2173,WholesaleExtract!B:J,9,FALSE),"")</f>
        <v/>
      </c>
      <c r="F2173" s="26" t="str">
        <f>IFERROR(VLOOKUP(G2173,WholesaleExtract!B:J,6,FALSE),"")</f>
        <v/>
      </c>
      <c r="H2173" s="47" t="str">
        <f>IFERROR(VLOOKUP(G2173,WholesaleExtract!B:L,11,FALSE),"")</f>
        <v/>
      </c>
      <c r="I2173" s="26" t="str">
        <f>IFERROR(VLOOKUP(G2173,WholesaleExtract!B:O,8,FALSE),"")</f>
        <v/>
      </c>
      <c r="J2173" s="26" t="str">
        <f>IFERROR(VLOOKUP(G2173,WholesaleExtract!B:O,14,FALSE),"")</f>
        <v/>
      </c>
      <c r="K2173" s="26" t="str">
        <f>IFERROR(VLOOKUP(G2173,WholesaleExtract!B:K,10,FALSE),"")</f>
        <v/>
      </c>
      <c r="L2173" s="47" t="str">
        <f>IFERROR(VLOOKUP(G2173,WholesaleExtract!B:L,11,FALSE),"")</f>
        <v/>
      </c>
      <c r="M2173" s="47" t="str">
        <f>IFERROR(VLOOKUP(G2173,WholesaleExtract!B:M,12,FALSE),"")</f>
        <v/>
      </c>
      <c r="R2173" s="19"/>
      <c r="S2173" s="19"/>
    </row>
    <row r="2174" spans="1:19" x14ac:dyDescent="0.35">
      <c r="A2174" s="26" t="s">
        <v>543</v>
      </c>
      <c r="B2174" s="26" t="s">
        <v>543</v>
      </c>
      <c r="C2174" s="26"/>
      <c r="D2174" s="26" t="s">
        <v>543</v>
      </c>
      <c r="E2174" s="26" t="str">
        <f>IFERROR(VLOOKUP(G2174,WholesaleExtract!B:J,9,FALSE),"")</f>
        <v/>
      </c>
      <c r="F2174" s="26" t="str">
        <f>IFERROR(VLOOKUP(G2174,WholesaleExtract!B:J,6,FALSE),"")</f>
        <v/>
      </c>
      <c r="H2174" s="47" t="str">
        <f>IFERROR(VLOOKUP(G2174,WholesaleExtract!B:L,11,FALSE),"")</f>
        <v/>
      </c>
      <c r="I2174" s="26" t="str">
        <f>IFERROR(VLOOKUP(G2174,WholesaleExtract!B:O,8,FALSE),"")</f>
        <v/>
      </c>
      <c r="J2174" s="26" t="str">
        <f>IFERROR(VLOOKUP(G2174,WholesaleExtract!B:O,14,FALSE),"")</f>
        <v/>
      </c>
      <c r="K2174" s="26" t="str">
        <f>IFERROR(VLOOKUP(G2174,WholesaleExtract!B:K,10,FALSE),"")</f>
        <v/>
      </c>
      <c r="L2174" s="47" t="str">
        <f>IFERROR(VLOOKUP(G2174,WholesaleExtract!B:L,11,FALSE),"")</f>
        <v/>
      </c>
      <c r="M2174" s="47" t="str">
        <f>IFERROR(VLOOKUP(G2174,WholesaleExtract!B:M,12,FALSE),"")</f>
        <v/>
      </c>
      <c r="R2174" s="19"/>
      <c r="S2174" s="19"/>
    </row>
    <row r="2175" spans="1:19" x14ac:dyDescent="0.35">
      <c r="A2175" s="26" t="s">
        <v>543</v>
      </c>
      <c r="B2175" s="26" t="s">
        <v>543</v>
      </c>
      <c r="C2175" s="26"/>
      <c r="D2175" s="26" t="s">
        <v>543</v>
      </c>
      <c r="E2175" s="26" t="str">
        <f>IFERROR(VLOOKUP(G2175,WholesaleExtract!B:J,9,FALSE),"")</f>
        <v/>
      </c>
      <c r="F2175" s="26" t="str">
        <f>IFERROR(VLOOKUP(G2175,WholesaleExtract!B:J,6,FALSE),"")</f>
        <v/>
      </c>
      <c r="H2175" s="47" t="str">
        <f>IFERROR(VLOOKUP(G2175,WholesaleExtract!B:L,11,FALSE),"")</f>
        <v/>
      </c>
      <c r="I2175" s="26" t="str">
        <f>IFERROR(VLOOKUP(G2175,WholesaleExtract!B:O,8,FALSE),"")</f>
        <v/>
      </c>
      <c r="J2175" s="26" t="str">
        <f>IFERROR(VLOOKUP(G2175,WholesaleExtract!B:O,14,FALSE),"")</f>
        <v/>
      </c>
      <c r="K2175" s="26" t="str">
        <f>IFERROR(VLOOKUP(G2175,WholesaleExtract!B:K,10,FALSE),"")</f>
        <v/>
      </c>
      <c r="L2175" s="47" t="str">
        <f>IFERROR(VLOOKUP(G2175,WholesaleExtract!B:L,11,FALSE),"")</f>
        <v/>
      </c>
      <c r="M2175" s="47" t="str">
        <f>IFERROR(VLOOKUP(G2175,WholesaleExtract!B:M,12,FALSE),"")</f>
        <v/>
      </c>
      <c r="R2175" s="19"/>
      <c r="S2175" s="19"/>
    </row>
    <row r="2176" spans="1:19" x14ac:dyDescent="0.35">
      <c r="A2176" s="26" t="s">
        <v>543</v>
      </c>
      <c r="B2176" s="26" t="s">
        <v>543</v>
      </c>
      <c r="C2176" s="26"/>
      <c r="D2176" s="26" t="s">
        <v>543</v>
      </c>
      <c r="E2176" s="26" t="str">
        <f>IFERROR(VLOOKUP(G2176,WholesaleExtract!B:J,9,FALSE),"")</f>
        <v/>
      </c>
      <c r="F2176" s="26" t="str">
        <f>IFERROR(VLOOKUP(G2176,WholesaleExtract!B:J,6,FALSE),"")</f>
        <v/>
      </c>
      <c r="H2176" s="47" t="str">
        <f>IFERROR(VLOOKUP(G2176,WholesaleExtract!B:L,11,FALSE),"")</f>
        <v/>
      </c>
      <c r="I2176" s="26" t="str">
        <f>IFERROR(VLOOKUP(G2176,WholesaleExtract!B:O,8,FALSE),"")</f>
        <v/>
      </c>
      <c r="J2176" s="26" t="str">
        <f>IFERROR(VLOOKUP(G2176,WholesaleExtract!B:O,14,FALSE),"")</f>
        <v/>
      </c>
      <c r="K2176" s="26" t="str">
        <f>IFERROR(VLOOKUP(G2176,WholesaleExtract!B:K,10,FALSE),"")</f>
        <v/>
      </c>
      <c r="L2176" s="47" t="str">
        <f>IFERROR(VLOOKUP(G2176,WholesaleExtract!B:L,11,FALSE),"")</f>
        <v/>
      </c>
      <c r="M2176" s="47" t="str">
        <f>IFERROR(VLOOKUP(G2176,WholesaleExtract!B:M,12,FALSE),"")</f>
        <v/>
      </c>
      <c r="R2176" s="19"/>
      <c r="S2176" s="19"/>
    </row>
    <row r="2177" spans="1:19" x14ac:dyDescent="0.35">
      <c r="A2177" s="26" t="s">
        <v>543</v>
      </c>
      <c r="B2177" s="26" t="s">
        <v>543</v>
      </c>
      <c r="C2177" s="26"/>
      <c r="D2177" s="26" t="s">
        <v>543</v>
      </c>
      <c r="E2177" s="26" t="str">
        <f>IFERROR(VLOOKUP(G2177,WholesaleExtract!B:J,9,FALSE),"")</f>
        <v/>
      </c>
      <c r="F2177" s="26" t="str">
        <f>IFERROR(VLOOKUP(G2177,WholesaleExtract!B:J,6,FALSE),"")</f>
        <v/>
      </c>
      <c r="H2177" s="47" t="str">
        <f>IFERROR(VLOOKUP(G2177,WholesaleExtract!B:L,11,FALSE),"")</f>
        <v/>
      </c>
      <c r="I2177" s="26" t="str">
        <f>IFERROR(VLOOKUP(G2177,WholesaleExtract!B:O,8,FALSE),"")</f>
        <v/>
      </c>
      <c r="J2177" s="26" t="str">
        <f>IFERROR(VLOOKUP(G2177,WholesaleExtract!B:O,14,FALSE),"")</f>
        <v/>
      </c>
      <c r="K2177" s="26" t="str">
        <f>IFERROR(VLOOKUP(G2177,WholesaleExtract!B:K,10,FALSE),"")</f>
        <v/>
      </c>
      <c r="L2177" s="47" t="str">
        <f>IFERROR(VLOOKUP(G2177,WholesaleExtract!B:L,11,FALSE),"")</f>
        <v/>
      </c>
      <c r="M2177" s="47" t="str">
        <f>IFERROR(VLOOKUP(G2177,WholesaleExtract!B:M,12,FALSE),"")</f>
        <v/>
      </c>
      <c r="R2177" s="19"/>
      <c r="S2177" s="19"/>
    </row>
    <row r="2178" spans="1:19" x14ac:dyDescent="0.35">
      <c r="A2178" s="26" t="s">
        <v>543</v>
      </c>
      <c r="B2178" s="26" t="s">
        <v>543</v>
      </c>
      <c r="C2178" s="26"/>
      <c r="D2178" s="26" t="s">
        <v>543</v>
      </c>
      <c r="E2178" s="26" t="str">
        <f>IFERROR(VLOOKUP(G2178,WholesaleExtract!B:J,9,FALSE),"")</f>
        <v/>
      </c>
      <c r="F2178" s="26" t="str">
        <f>IFERROR(VLOOKUP(G2178,WholesaleExtract!B:J,6,FALSE),"")</f>
        <v/>
      </c>
      <c r="H2178" s="47" t="str">
        <f>IFERROR(VLOOKUP(G2178,WholesaleExtract!B:L,11,FALSE),"")</f>
        <v/>
      </c>
      <c r="I2178" s="26" t="str">
        <f>IFERROR(VLOOKUP(G2178,WholesaleExtract!B:O,8,FALSE),"")</f>
        <v/>
      </c>
      <c r="J2178" s="26" t="str">
        <f>IFERROR(VLOOKUP(G2178,WholesaleExtract!B:O,14,FALSE),"")</f>
        <v/>
      </c>
      <c r="K2178" s="26" t="str">
        <f>IFERROR(VLOOKUP(G2178,WholesaleExtract!B:K,10,FALSE),"")</f>
        <v/>
      </c>
      <c r="L2178" s="47" t="str">
        <f>IFERROR(VLOOKUP(G2178,WholesaleExtract!B:L,11,FALSE),"")</f>
        <v/>
      </c>
      <c r="M2178" s="47" t="str">
        <f>IFERROR(VLOOKUP(G2178,WholesaleExtract!B:M,12,FALSE),"")</f>
        <v/>
      </c>
      <c r="R2178" s="19"/>
      <c r="S2178" s="19"/>
    </row>
    <row r="2179" spans="1:19" x14ac:dyDescent="0.35">
      <c r="A2179" s="26" t="s">
        <v>543</v>
      </c>
      <c r="B2179" s="26" t="s">
        <v>543</v>
      </c>
      <c r="C2179" s="26"/>
      <c r="D2179" s="26" t="s">
        <v>543</v>
      </c>
      <c r="E2179" s="26" t="str">
        <f>IFERROR(VLOOKUP(G2179,WholesaleExtract!B:J,9,FALSE),"")</f>
        <v/>
      </c>
      <c r="F2179" s="26" t="str">
        <f>IFERROR(VLOOKUP(G2179,WholesaleExtract!B:J,6,FALSE),"")</f>
        <v/>
      </c>
      <c r="H2179" s="47" t="str">
        <f>IFERROR(VLOOKUP(G2179,WholesaleExtract!B:L,11,FALSE),"")</f>
        <v/>
      </c>
      <c r="I2179" s="26" t="str">
        <f>IFERROR(VLOOKUP(G2179,WholesaleExtract!B:O,8,FALSE),"")</f>
        <v/>
      </c>
      <c r="J2179" s="26" t="str">
        <f>IFERROR(VLOOKUP(G2179,WholesaleExtract!B:O,14,FALSE),"")</f>
        <v/>
      </c>
      <c r="K2179" s="26" t="str">
        <f>IFERROR(VLOOKUP(G2179,WholesaleExtract!B:K,10,FALSE),"")</f>
        <v/>
      </c>
      <c r="L2179" s="47" t="str">
        <f>IFERROR(VLOOKUP(G2179,WholesaleExtract!B:L,11,FALSE),"")</f>
        <v/>
      </c>
      <c r="M2179" s="47" t="str">
        <f>IFERROR(VLOOKUP(G2179,WholesaleExtract!B:M,12,FALSE),"")</f>
        <v/>
      </c>
      <c r="R2179" s="19"/>
      <c r="S2179" s="19"/>
    </row>
    <row r="2180" spans="1:19" x14ac:dyDescent="0.35">
      <c r="A2180" s="26" t="s">
        <v>543</v>
      </c>
      <c r="B2180" s="26" t="s">
        <v>543</v>
      </c>
      <c r="C2180" s="26"/>
      <c r="D2180" s="26" t="s">
        <v>543</v>
      </c>
      <c r="E2180" s="26" t="str">
        <f>IFERROR(VLOOKUP(G2180,WholesaleExtract!B:J,9,FALSE),"")</f>
        <v/>
      </c>
      <c r="F2180" s="26" t="str">
        <f>IFERROR(VLOOKUP(G2180,WholesaleExtract!B:J,6,FALSE),"")</f>
        <v/>
      </c>
      <c r="H2180" s="47" t="str">
        <f>IFERROR(VLOOKUP(G2180,WholesaleExtract!B:L,11,FALSE),"")</f>
        <v/>
      </c>
      <c r="I2180" s="26" t="str">
        <f>IFERROR(VLOOKUP(G2180,WholesaleExtract!B:O,8,FALSE),"")</f>
        <v/>
      </c>
      <c r="J2180" s="26" t="str">
        <f>IFERROR(VLOOKUP(G2180,WholesaleExtract!B:O,14,FALSE),"")</f>
        <v/>
      </c>
      <c r="K2180" s="26" t="str">
        <f>IFERROR(VLOOKUP(G2180,WholesaleExtract!B:K,10,FALSE),"")</f>
        <v/>
      </c>
      <c r="L2180" s="47" t="str">
        <f>IFERROR(VLOOKUP(G2180,WholesaleExtract!B:L,11,FALSE),"")</f>
        <v/>
      </c>
      <c r="M2180" s="47" t="str">
        <f>IFERROR(VLOOKUP(G2180,WholesaleExtract!B:M,12,FALSE),"")</f>
        <v/>
      </c>
      <c r="R2180" s="19"/>
      <c r="S2180" s="19"/>
    </row>
    <row r="2181" spans="1:19" x14ac:dyDescent="0.35">
      <c r="A2181" s="26" t="s">
        <v>543</v>
      </c>
      <c r="B2181" s="26" t="s">
        <v>543</v>
      </c>
      <c r="C2181" s="26"/>
      <c r="D2181" s="26" t="s">
        <v>543</v>
      </c>
      <c r="E2181" s="26" t="str">
        <f>IFERROR(VLOOKUP(G2181,WholesaleExtract!B:J,9,FALSE),"")</f>
        <v/>
      </c>
      <c r="F2181" s="26" t="str">
        <f>IFERROR(VLOOKUP(G2181,WholesaleExtract!B:J,6,FALSE),"")</f>
        <v/>
      </c>
      <c r="H2181" s="47" t="str">
        <f>IFERROR(VLOOKUP(G2181,WholesaleExtract!B:L,11,FALSE),"")</f>
        <v/>
      </c>
      <c r="I2181" s="26" t="str">
        <f>IFERROR(VLOOKUP(G2181,WholesaleExtract!B:O,8,FALSE),"")</f>
        <v/>
      </c>
      <c r="J2181" s="26" t="str">
        <f>IFERROR(VLOOKUP(G2181,WholesaleExtract!B:O,14,FALSE),"")</f>
        <v/>
      </c>
      <c r="K2181" s="26" t="str">
        <f>IFERROR(VLOOKUP(G2181,WholesaleExtract!B:K,10,FALSE),"")</f>
        <v/>
      </c>
      <c r="L2181" s="47" t="str">
        <f>IFERROR(VLOOKUP(G2181,WholesaleExtract!B:L,11,FALSE),"")</f>
        <v/>
      </c>
      <c r="M2181" s="47" t="str">
        <f>IFERROR(VLOOKUP(G2181,WholesaleExtract!B:M,12,FALSE),"")</f>
        <v/>
      </c>
      <c r="R2181" s="19"/>
      <c r="S2181" s="19"/>
    </row>
    <row r="2182" spans="1:19" x14ac:dyDescent="0.35">
      <c r="A2182" s="26" t="s">
        <v>543</v>
      </c>
      <c r="B2182" s="26" t="s">
        <v>543</v>
      </c>
      <c r="C2182" s="26"/>
      <c r="D2182" s="26" t="s">
        <v>543</v>
      </c>
      <c r="E2182" s="26" t="str">
        <f>IFERROR(VLOOKUP(G2182,WholesaleExtract!B:J,9,FALSE),"")</f>
        <v/>
      </c>
      <c r="F2182" s="26" t="str">
        <f>IFERROR(VLOOKUP(G2182,WholesaleExtract!B:J,6,FALSE),"")</f>
        <v/>
      </c>
      <c r="H2182" s="47" t="str">
        <f>IFERROR(VLOOKUP(G2182,WholesaleExtract!B:L,11,FALSE),"")</f>
        <v/>
      </c>
      <c r="I2182" s="26" t="str">
        <f>IFERROR(VLOOKUP(G2182,WholesaleExtract!B:O,8,FALSE),"")</f>
        <v/>
      </c>
      <c r="J2182" s="26" t="str">
        <f>IFERROR(VLOOKUP(G2182,WholesaleExtract!B:O,14,FALSE),"")</f>
        <v/>
      </c>
      <c r="K2182" s="26" t="str">
        <f>IFERROR(VLOOKUP(G2182,WholesaleExtract!B:K,10,FALSE),"")</f>
        <v/>
      </c>
      <c r="L2182" s="47" t="str">
        <f>IFERROR(VLOOKUP(G2182,WholesaleExtract!B:L,11,FALSE),"")</f>
        <v/>
      </c>
      <c r="M2182" s="47" t="str">
        <f>IFERROR(VLOOKUP(G2182,WholesaleExtract!B:M,12,FALSE),"")</f>
        <v/>
      </c>
      <c r="R2182" s="19"/>
      <c r="S2182" s="19"/>
    </row>
    <row r="2183" spans="1:19" x14ac:dyDescent="0.35">
      <c r="A2183" s="26" t="s">
        <v>543</v>
      </c>
      <c r="B2183" s="26" t="s">
        <v>543</v>
      </c>
      <c r="C2183" s="26"/>
      <c r="D2183" s="26" t="s">
        <v>543</v>
      </c>
      <c r="E2183" s="26" t="str">
        <f>IFERROR(VLOOKUP(G2183,WholesaleExtract!B:J,9,FALSE),"")</f>
        <v/>
      </c>
      <c r="F2183" s="26" t="str">
        <f>IFERROR(VLOOKUP(G2183,WholesaleExtract!B:J,6,FALSE),"")</f>
        <v/>
      </c>
      <c r="H2183" s="47" t="str">
        <f>IFERROR(VLOOKUP(G2183,WholesaleExtract!B:L,11,FALSE),"")</f>
        <v/>
      </c>
      <c r="I2183" s="26" t="str">
        <f>IFERROR(VLOOKUP(G2183,WholesaleExtract!B:O,8,FALSE),"")</f>
        <v/>
      </c>
      <c r="J2183" s="26" t="str">
        <f>IFERROR(VLOOKUP(G2183,WholesaleExtract!B:O,14,FALSE),"")</f>
        <v/>
      </c>
      <c r="K2183" s="26" t="str">
        <f>IFERROR(VLOOKUP(G2183,WholesaleExtract!B:K,10,FALSE),"")</f>
        <v/>
      </c>
      <c r="L2183" s="47" t="str">
        <f>IFERROR(VLOOKUP(G2183,WholesaleExtract!B:L,11,FALSE),"")</f>
        <v/>
      </c>
      <c r="M2183" s="47" t="str">
        <f>IFERROR(VLOOKUP(G2183,WholesaleExtract!B:M,12,FALSE),"")</f>
        <v/>
      </c>
      <c r="R2183" s="19"/>
      <c r="S2183" s="19"/>
    </row>
    <row r="2184" spans="1:19" x14ac:dyDescent="0.35">
      <c r="A2184" s="26" t="s">
        <v>543</v>
      </c>
      <c r="B2184" s="26" t="s">
        <v>543</v>
      </c>
      <c r="C2184" s="26"/>
      <c r="D2184" s="26" t="s">
        <v>543</v>
      </c>
      <c r="E2184" s="26" t="str">
        <f>IFERROR(VLOOKUP(G2184,WholesaleExtract!B:J,9,FALSE),"")</f>
        <v/>
      </c>
      <c r="F2184" s="26" t="str">
        <f>IFERROR(VLOOKUP(G2184,WholesaleExtract!B:J,6,FALSE),"")</f>
        <v/>
      </c>
      <c r="H2184" s="47" t="str">
        <f>IFERROR(VLOOKUP(G2184,WholesaleExtract!B:L,11,FALSE),"")</f>
        <v/>
      </c>
      <c r="I2184" s="26" t="str">
        <f>IFERROR(VLOOKUP(G2184,WholesaleExtract!B:O,8,FALSE),"")</f>
        <v/>
      </c>
      <c r="J2184" s="26" t="str">
        <f>IFERROR(VLOOKUP(G2184,WholesaleExtract!B:O,14,FALSE),"")</f>
        <v/>
      </c>
      <c r="K2184" s="26" t="str">
        <f>IFERROR(VLOOKUP(G2184,WholesaleExtract!B:K,10,FALSE),"")</f>
        <v/>
      </c>
      <c r="L2184" s="47" t="str">
        <f>IFERROR(VLOOKUP(G2184,WholesaleExtract!B:L,11,FALSE),"")</f>
        <v/>
      </c>
      <c r="M2184" s="47" t="str">
        <f>IFERROR(VLOOKUP(G2184,WholesaleExtract!B:M,12,FALSE),"")</f>
        <v/>
      </c>
      <c r="R2184" s="19"/>
      <c r="S2184" s="19"/>
    </row>
    <row r="2185" spans="1:19" x14ac:dyDescent="0.35">
      <c r="A2185" s="26" t="s">
        <v>543</v>
      </c>
      <c r="B2185" s="26" t="s">
        <v>543</v>
      </c>
      <c r="C2185" s="26"/>
      <c r="D2185" s="26" t="s">
        <v>543</v>
      </c>
      <c r="E2185" s="26" t="str">
        <f>IFERROR(VLOOKUP(G2185,WholesaleExtract!B:J,9,FALSE),"")</f>
        <v/>
      </c>
      <c r="F2185" s="26" t="str">
        <f>IFERROR(VLOOKUP(G2185,WholesaleExtract!B:J,6,FALSE),"")</f>
        <v/>
      </c>
      <c r="H2185" s="47" t="str">
        <f>IFERROR(VLOOKUP(G2185,WholesaleExtract!B:L,11,FALSE),"")</f>
        <v/>
      </c>
      <c r="I2185" s="26" t="str">
        <f>IFERROR(VLOOKUP(G2185,WholesaleExtract!B:O,8,FALSE),"")</f>
        <v/>
      </c>
      <c r="J2185" s="26" t="str">
        <f>IFERROR(VLOOKUP(G2185,WholesaleExtract!B:O,14,FALSE),"")</f>
        <v/>
      </c>
      <c r="K2185" s="26" t="str">
        <f>IFERROR(VLOOKUP(G2185,WholesaleExtract!B:K,10,FALSE),"")</f>
        <v/>
      </c>
      <c r="L2185" s="47" t="str">
        <f>IFERROR(VLOOKUP(G2185,WholesaleExtract!B:L,11,FALSE),"")</f>
        <v/>
      </c>
      <c r="M2185" s="47" t="str">
        <f>IFERROR(VLOOKUP(G2185,WholesaleExtract!B:M,12,FALSE),"")</f>
        <v/>
      </c>
      <c r="R2185" s="19"/>
      <c r="S2185" s="19"/>
    </row>
    <row r="2186" spans="1:19" x14ac:dyDescent="0.35">
      <c r="A2186" s="26" t="s">
        <v>543</v>
      </c>
      <c r="B2186" s="26" t="s">
        <v>543</v>
      </c>
      <c r="C2186" s="26"/>
      <c r="D2186" s="26" t="s">
        <v>543</v>
      </c>
      <c r="E2186" s="26" t="str">
        <f>IFERROR(VLOOKUP(G2186,WholesaleExtract!B:J,9,FALSE),"")</f>
        <v/>
      </c>
      <c r="F2186" s="26" t="str">
        <f>IFERROR(VLOOKUP(G2186,WholesaleExtract!B:J,6,FALSE),"")</f>
        <v/>
      </c>
      <c r="H2186" s="47" t="str">
        <f>IFERROR(VLOOKUP(G2186,WholesaleExtract!B:L,11,FALSE),"")</f>
        <v/>
      </c>
      <c r="I2186" s="26" t="str">
        <f>IFERROR(VLOOKUP(G2186,WholesaleExtract!B:O,8,FALSE),"")</f>
        <v/>
      </c>
      <c r="J2186" s="26" t="str">
        <f>IFERROR(VLOOKUP(G2186,WholesaleExtract!B:O,14,FALSE),"")</f>
        <v/>
      </c>
      <c r="K2186" s="26" t="str">
        <f>IFERROR(VLOOKUP(G2186,WholesaleExtract!B:K,10,FALSE),"")</f>
        <v/>
      </c>
      <c r="L2186" s="47" t="str">
        <f>IFERROR(VLOOKUP(G2186,WholesaleExtract!B:L,11,FALSE),"")</f>
        <v/>
      </c>
      <c r="M2186" s="47" t="str">
        <f>IFERROR(VLOOKUP(G2186,WholesaleExtract!B:M,12,FALSE),"")</f>
        <v/>
      </c>
      <c r="R2186" s="19"/>
      <c r="S2186" s="19"/>
    </row>
    <row r="2187" spans="1:19" x14ac:dyDescent="0.35">
      <c r="A2187" s="26" t="s">
        <v>543</v>
      </c>
      <c r="B2187" s="26" t="s">
        <v>543</v>
      </c>
      <c r="C2187" s="26"/>
      <c r="D2187" s="26" t="s">
        <v>543</v>
      </c>
      <c r="E2187" s="26" t="str">
        <f>IFERROR(VLOOKUP(G2187,WholesaleExtract!B:J,9,FALSE),"")</f>
        <v/>
      </c>
      <c r="F2187" s="26" t="str">
        <f>IFERROR(VLOOKUP(G2187,WholesaleExtract!B:J,6,FALSE),"")</f>
        <v/>
      </c>
      <c r="H2187" s="47" t="str">
        <f>IFERROR(VLOOKUP(G2187,WholesaleExtract!B:L,11,FALSE),"")</f>
        <v/>
      </c>
      <c r="I2187" s="26" t="str">
        <f>IFERROR(VLOOKUP(G2187,WholesaleExtract!B:O,8,FALSE),"")</f>
        <v/>
      </c>
      <c r="J2187" s="26" t="str">
        <f>IFERROR(VLOOKUP(G2187,WholesaleExtract!B:O,14,FALSE),"")</f>
        <v/>
      </c>
      <c r="K2187" s="26" t="str">
        <f>IFERROR(VLOOKUP(G2187,WholesaleExtract!B:K,10,FALSE),"")</f>
        <v/>
      </c>
      <c r="L2187" s="47" t="str">
        <f>IFERROR(VLOOKUP(G2187,WholesaleExtract!B:L,11,FALSE),"")</f>
        <v/>
      </c>
      <c r="M2187" s="47" t="str">
        <f>IFERROR(VLOOKUP(G2187,WholesaleExtract!B:M,12,FALSE),"")</f>
        <v/>
      </c>
      <c r="R2187" s="19"/>
      <c r="S2187" s="19"/>
    </row>
    <row r="2188" spans="1:19" x14ac:dyDescent="0.35">
      <c r="A2188" s="26" t="s">
        <v>543</v>
      </c>
      <c r="B2188" s="26" t="s">
        <v>543</v>
      </c>
      <c r="C2188" s="26"/>
      <c r="D2188" s="26" t="s">
        <v>543</v>
      </c>
      <c r="E2188" s="26" t="str">
        <f>IFERROR(VLOOKUP(G2188,WholesaleExtract!B:J,9,FALSE),"")</f>
        <v/>
      </c>
      <c r="F2188" s="26" t="str">
        <f>IFERROR(VLOOKUP(G2188,WholesaleExtract!B:J,6,FALSE),"")</f>
        <v/>
      </c>
      <c r="H2188" s="47" t="str">
        <f>IFERROR(VLOOKUP(G2188,WholesaleExtract!B:L,11,FALSE),"")</f>
        <v/>
      </c>
      <c r="I2188" s="26" t="str">
        <f>IFERROR(VLOOKUP(G2188,WholesaleExtract!B:O,8,FALSE),"")</f>
        <v/>
      </c>
      <c r="J2188" s="26" t="str">
        <f>IFERROR(VLOOKUP(G2188,WholesaleExtract!B:O,14,FALSE),"")</f>
        <v/>
      </c>
      <c r="K2188" s="26" t="str">
        <f>IFERROR(VLOOKUP(G2188,WholesaleExtract!B:K,10,FALSE),"")</f>
        <v/>
      </c>
      <c r="L2188" s="47" t="str">
        <f>IFERROR(VLOOKUP(G2188,WholesaleExtract!B:L,11,FALSE),"")</f>
        <v/>
      </c>
      <c r="M2188" s="47" t="str">
        <f>IFERROR(VLOOKUP(G2188,WholesaleExtract!B:M,12,FALSE),"")</f>
        <v/>
      </c>
      <c r="R2188" s="19"/>
      <c r="S2188" s="19"/>
    </row>
    <row r="2189" spans="1:19" x14ac:dyDescent="0.35">
      <c r="A2189" s="26" t="s">
        <v>543</v>
      </c>
      <c r="B2189" s="26" t="s">
        <v>543</v>
      </c>
      <c r="C2189" s="26"/>
      <c r="D2189" s="26" t="s">
        <v>543</v>
      </c>
      <c r="E2189" s="26" t="str">
        <f>IFERROR(VLOOKUP(G2189,WholesaleExtract!B:J,9,FALSE),"")</f>
        <v/>
      </c>
      <c r="F2189" s="26" t="str">
        <f>IFERROR(VLOOKUP(G2189,WholesaleExtract!B:J,6,FALSE),"")</f>
        <v/>
      </c>
      <c r="H2189" s="47" t="str">
        <f>IFERROR(VLOOKUP(G2189,WholesaleExtract!B:L,11,FALSE),"")</f>
        <v/>
      </c>
      <c r="I2189" s="26" t="str">
        <f>IFERROR(VLOOKUP(G2189,WholesaleExtract!B:O,8,FALSE),"")</f>
        <v/>
      </c>
      <c r="J2189" s="26" t="str">
        <f>IFERROR(VLOOKUP(G2189,WholesaleExtract!B:O,14,FALSE),"")</f>
        <v/>
      </c>
      <c r="K2189" s="26" t="str">
        <f>IFERROR(VLOOKUP(G2189,WholesaleExtract!B:K,10,FALSE),"")</f>
        <v/>
      </c>
      <c r="L2189" s="47" t="str">
        <f>IFERROR(VLOOKUP(G2189,WholesaleExtract!B:L,11,FALSE),"")</f>
        <v/>
      </c>
      <c r="M2189" s="47" t="str">
        <f>IFERROR(VLOOKUP(G2189,WholesaleExtract!B:M,12,FALSE),"")</f>
        <v/>
      </c>
      <c r="R2189" s="19"/>
      <c r="S2189" s="19"/>
    </row>
    <row r="2190" spans="1:19" x14ac:dyDescent="0.35">
      <c r="A2190" s="26" t="s">
        <v>543</v>
      </c>
      <c r="B2190" s="26" t="s">
        <v>543</v>
      </c>
      <c r="C2190" s="26"/>
      <c r="D2190" s="26" t="s">
        <v>543</v>
      </c>
      <c r="E2190" s="26" t="str">
        <f>IFERROR(VLOOKUP(G2190,WholesaleExtract!B:J,9,FALSE),"")</f>
        <v/>
      </c>
      <c r="F2190" s="26" t="str">
        <f>IFERROR(VLOOKUP(G2190,WholesaleExtract!B:J,6,FALSE),"")</f>
        <v/>
      </c>
      <c r="H2190" s="47" t="str">
        <f>IFERROR(VLOOKUP(G2190,WholesaleExtract!B:L,11,FALSE),"")</f>
        <v/>
      </c>
      <c r="I2190" s="26" t="str">
        <f>IFERROR(VLOOKUP(G2190,WholesaleExtract!B:O,8,FALSE),"")</f>
        <v/>
      </c>
      <c r="J2190" s="26" t="str">
        <f>IFERROR(VLOOKUP(G2190,WholesaleExtract!B:O,14,FALSE),"")</f>
        <v/>
      </c>
      <c r="K2190" s="26" t="str">
        <f>IFERROR(VLOOKUP(G2190,WholesaleExtract!B:K,10,FALSE),"")</f>
        <v/>
      </c>
      <c r="L2190" s="47" t="str">
        <f>IFERROR(VLOOKUP(G2190,WholesaleExtract!B:L,11,FALSE),"")</f>
        <v/>
      </c>
      <c r="M2190" s="47" t="str">
        <f>IFERROR(VLOOKUP(G2190,WholesaleExtract!B:M,12,FALSE),"")</f>
        <v/>
      </c>
      <c r="R2190" s="19"/>
      <c r="S2190" s="19"/>
    </row>
    <row r="2191" spans="1:19" x14ac:dyDescent="0.35">
      <c r="A2191" s="26" t="s">
        <v>543</v>
      </c>
      <c r="B2191" s="26" t="s">
        <v>543</v>
      </c>
      <c r="C2191" s="26"/>
      <c r="D2191" s="26" t="s">
        <v>543</v>
      </c>
      <c r="E2191" s="26" t="str">
        <f>IFERROR(VLOOKUP(G2191,WholesaleExtract!B:J,9,FALSE),"")</f>
        <v/>
      </c>
      <c r="F2191" s="26" t="str">
        <f>IFERROR(VLOOKUP(G2191,WholesaleExtract!B:J,6,FALSE),"")</f>
        <v/>
      </c>
      <c r="H2191" s="47" t="str">
        <f>IFERROR(VLOOKUP(G2191,WholesaleExtract!B:L,11,FALSE),"")</f>
        <v/>
      </c>
      <c r="I2191" s="26" t="str">
        <f>IFERROR(VLOOKUP(G2191,WholesaleExtract!B:O,8,FALSE),"")</f>
        <v/>
      </c>
      <c r="J2191" s="26" t="str">
        <f>IFERROR(VLOOKUP(G2191,WholesaleExtract!B:O,14,FALSE),"")</f>
        <v/>
      </c>
      <c r="K2191" s="26" t="str">
        <f>IFERROR(VLOOKUP(G2191,WholesaleExtract!B:K,10,FALSE),"")</f>
        <v/>
      </c>
      <c r="L2191" s="47" t="str">
        <f>IFERROR(VLOOKUP(G2191,WholesaleExtract!B:L,11,FALSE),"")</f>
        <v/>
      </c>
      <c r="M2191" s="47" t="str">
        <f>IFERROR(VLOOKUP(G2191,WholesaleExtract!B:M,12,FALSE),"")</f>
        <v/>
      </c>
      <c r="R2191" s="19"/>
      <c r="S2191" s="19"/>
    </row>
    <row r="2192" spans="1:19" x14ac:dyDescent="0.35">
      <c r="A2192" s="26" t="s">
        <v>543</v>
      </c>
      <c r="B2192" s="26" t="s">
        <v>543</v>
      </c>
      <c r="C2192" s="26"/>
      <c r="D2192" s="26" t="s">
        <v>543</v>
      </c>
      <c r="E2192" s="26" t="str">
        <f>IFERROR(VLOOKUP(G2192,WholesaleExtract!B:J,9,FALSE),"")</f>
        <v/>
      </c>
      <c r="F2192" s="26" t="str">
        <f>IFERROR(VLOOKUP(G2192,WholesaleExtract!B:J,6,FALSE),"")</f>
        <v/>
      </c>
      <c r="H2192" s="47" t="str">
        <f>IFERROR(VLOOKUP(G2192,WholesaleExtract!B:L,11,FALSE),"")</f>
        <v/>
      </c>
      <c r="I2192" s="26" t="str">
        <f>IFERROR(VLOOKUP(G2192,WholesaleExtract!B:O,8,FALSE),"")</f>
        <v/>
      </c>
      <c r="J2192" s="26" t="str">
        <f>IFERROR(VLOOKUP(G2192,WholesaleExtract!B:O,14,FALSE),"")</f>
        <v/>
      </c>
      <c r="K2192" s="26" t="str">
        <f>IFERROR(VLOOKUP(G2192,WholesaleExtract!B:K,10,FALSE),"")</f>
        <v/>
      </c>
      <c r="L2192" s="47" t="str">
        <f>IFERROR(VLOOKUP(G2192,WholesaleExtract!B:L,11,FALSE),"")</f>
        <v/>
      </c>
      <c r="M2192" s="47" t="str">
        <f>IFERROR(VLOOKUP(G2192,WholesaleExtract!B:M,12,FALSE),"")</f>
        <v/>
      </c>
      <c r="R2192" s="19"/>
      <c r="S2192" s="19"/>
    </row>
    <row r="2193" spans="1:19" x14ac:dyDescent="0.35">
      <c r="A2193" s="26" t="s">
        <v>543</v>
      </c>
      <c r="B2193" s="26" t="s">
        <v>543</v>
      </c>
      <c r="C2193" s="26"/>
      <c r="D2193" s="26" t="s">
        <v>543</v>
      </c>
      <c r="E2193" s="26" t="str">
        <f>IFERROR(VLOOKUP(G2193,WholesaleExtract!B:J,9,FALSE),"")</f>
        <v/>
      </c>
      <c r="F2193" s="26" t="str">
        <f>IFERROR(VLOOKUP(G2193,WholesaleExtract!B:J,6,FALSE),"")</f>
        <v/>
      </c>
      <c r="H2193" s="47" t="str">
        <f>IFERROR(VLOOKUP(G2193,WholesaleExtract!B:L,11,FALSE),"")</f>
        <v/>
      </c>
      <c r="I2193" s="26" t="str">
        <f>IFERROR(VLOOKUP(G2193,WholesaleExtract!B:O,8,FALSE),"")</f>
        <v/>
      </c>
      <c r="J2193" s="26" t="str">
        <f>IFERROR(VLOOKUP(G2193,WholesaleExtract!B:O,14,FALSE),"")</f>
        <v/>
      </c>
      <c r="K2193" s="26" t="str">
        <f>IFERROR(VLOOKUP(G2193,WholesaleExtract!B:K,10,FALSE),"")</f>
        <v/>
      </c>
      <c r="L2193" s="47" t="str">
        <f>IFERROR(VLOOKUP(G2193,WholesaleExtract!B:L,11,FALSE),"")</f>
        <v/>
      </c>
      <c r="M2193" s="47" t="str">
        <f>IFERROR(VLOOKUP(G2193,WholesaleExtract!B:M,12,FALSE),"")</f>
        <v/>
      </c>
      <c r="R2193" s="19"/>
      <c r="S2193" s="19"/>
    </row>
    <row r="2194" spans="1:19" x14ac:dyDescent="0.35">
      <c r="A2194" s="26" t="s">
        <v>543</v>
      </c>
      <c r="B2194" s="26" t="s">
        <v>543</v>
      </c>
      <c r="C2194" s="26"/>
      <c r="D2194" s="26" t="s">
        <v>543</v>
      </c>
      <c r="E2194" s="26" t="str">
        <f>IFERROR(VLOOKUP(G2194,WholesaleExtract!B:J,9,FALSE),"")</f>
        <v/>
      </c>
      <c r="F2194" s="26" t="str">
        <f>IFERROR(VLOOKUP(G2194,WholesaleExtract!B:J,6,FALSE),"")</f>
        <v/>
      </c>
      <c r="H2194" s="47" t="str">
        <f>IFERROR(VLOOKUP(G2194,WholesaleExtract!B:L,11,FALSE),"")</f>
        <v/>
      </c>
      <c r="I2194" s="26" t="str">
        <f>IFERROR(VLOOKUP(G2194,WholesaleExtract!B:O,8,FALSE),"")</f>
        <v/>
      </c>
      <c r="J2194" s="26" t="str">
        <f>IFERROR(VLOOKUP(G2194,WholesaleExtract!B:O,14,FALSE),"")</f>
        <v/>
      </c>
      <c r="K2194" s="26" t="str">
        <f>IFERROR(VLOOKUP(G2194,WholesaleExtract!B:K,10,FALSE),"")</f>
        <v/>
      </c>
      <c r="L2194" s="47" t="str">
        <f>IFERROR(VLOOKUP(G2194,WholesaleExtract!B:L,11,FALSE),"")</f>
        <v/>
      </c>
      <c r="M2194" s="47" t="str">
        <f>IFERROR(VLOOKUP(G2194,WholesaleExtract!B:M,12,FALSE),"")</f>
        <v/>
      </c>
      <c r="R2194" s="19"/>
      <c r="S2194" s="19"/>
    </row>
    <row r="2195" spans="1:19" x14ac:dyDescent="0.35">
      <c r="A2195" s="26" t="s">
        <v>543</v>
      </c>
      <c r="B2195" s="26" t="s">
        <v>543</v>
      </c>
      <c r="C2195" s="26"/>
      <c r="D2195" s="26" t="s">
        <v>543</v>
      </c>
      <c r="E2195" s="26" t="str">
        <f>IFERROR(VLOOKUP(G2195,WholesaleExtract!B:J,9,FALSE),"")</f>
        <v/>
      </c>
      <c r="F2195" s="26" t="str">
        <f>IFERROR(VLOOKUP(G2195,WholesaleExtract!B:J,6,FALSE),"")</f>
        <v/>
      </c>
      <c r="H2195" s="47" t="str">
        <f>IFERROR(VLOOKUP(G2195,WholesaleExtract!B:L,11,FALSE),"")</f>
        <v/>
      </c>
      <c r="I2195" s="26" t="str">
        <f>IFERROR(VLOOKUP(G2195,WholesaleExtract!B:O,8,FALSE),"")</f>
        <v/>
      </c>
      <c r="J2195" s="26" t="str">
        <f>IFERROR(VLOOKUP(G2195,WholesaleExtract!B:O,14,FALSE),"")</f>
        <v/>
      </c>
      <c r="K2195" s="26" t="str">
        <f>IFERROR(VLOOKUP(G2195,WholesaleExtract!B:K,10,FALSE),"")</f>
        <v/>
      </c>
      <c r="L2195" s="47" t="str">
        <f>IFERROR(VLOOKUP(G2195,WholesaleExtract!B:L,11,FALSE),"")</f>
        <v/>
      </c>
      <c r="M2195" s="47" t="str">
        <f>IFERROR(VLOOKUP(G2195,WholesaleExtract!B:M,12,FALSE),"")</f>
        <v/>
      </c>
      <c r="R2195" s="19"/>
      <c r="S2195" s="19"/>
    </row>
    <row r="2196" spans="1:19" x14ac:dyDescent="0.35">
      <c r="A2196" s="26" t="s">
        <v>543</v>
      </c>
      <c r="B2196" s="26" t="s">
        <v>543</v>
      </c>
      <c r="C2196" s="26"/>
      <c r="D2196" s="26" t="s">
        <v>543</v>
      </c>
      <c r="E2196" s="26" t="str">
        <f>IFERROR(VLOOKUP(G2196,WholesaleExtract!B:J,9,FALSE),"")</f>
        <v/>
      </c>
      <c r="F2196" s="26" t="str">
        <f>IFERROR(VLOOKUP(G2196,WholesaleExtract!B:J,6,FALSE),"")</f>
        <v/>
      </c>
      <c r="H2196" s="47" t="str">
        <f>IFERROR(VLOOKUP(G2196,WholesaleExtract!B:L,11,FALSE),"")</f>
        <v/>
      </c>
      <c r="I2196" s="26" t="str">
        <f>IFERROR(VLOOKUP(G2196,WholesaleExtract!B:O,8,FALSE),"")</f>
        <v/>
      </c>
      <c r="J2196" s="26" t="str">
        <f>IFERROR(VLOOKUP(G2196,WholesaleExtract!B:O,14,FALSE),"")</f>
        <v/>
      </c>
      <c r="K2196" s="26" t="str">
        <f>IFERROR(VLOOKUP(G2196,WholesaleExtract!B:K,10,FALSE),"")</f>
        <v/>
      </c>
      <c r="L2196" s="47" t="str">
        <f>IFERROR(VLOOKUP(G2196,WholesaleExtract!B:L,11,FALSE),"")</f>
        <v/>
      </c>
      <c r="M2196" s="47" t="str">
        <f>IFERROR(VLOOKUP(G2196,WholesaleExtract!B:M,12,FALSE),"")</f>
        <v/>
      </c>
      <c r="R2196" s="19"/>
      <c r="S2196" s="19"/>
    </row>
    <row r="2197" spans="1:19" x14ac:dyDescent="0.35">
      <c r="A2197" s="26" t="s">
        <v>543</v>
      </c>
      <c r="B2197" s="26" t="s">
        <v>543</v>
      </c>
      <c r="C2197" s="26"/>
      <c r="D2197" s="26" t="s">
        <v>543</v>
      </c>
      <c r="E2197" s="26" t="str">
        <f>IFERROR(VLOOKUP(G2197,WholesaleExtract!B:J,9,FALSE),"")</f>
        <v/>
      </c>
      <c r="F2197" s="26" t="str">
        <f>IFERROR(VLOOKUP(G2197,WholesaleExtract!B:J,6,FALSE),"")</f>
        <v/>
      </c>
      <c r="H2197" s="47" t="str">
        <f>IFERROR(VLOOKUP(G2197,WholesaleExtract!B:L,11,FALSE),"")</f>
        <v/>
      </c>
      <c r="I2197" s="26" t="str">
        <f>IFERROR(VLOOKUP(G2197,WholesaleExtract!B:O,8,FALSE),"")</f>
        <v/>
      </c>
      <c r="J2197" s="26" t="str">
        <f>IFERROR(VLOOKUP(G2197,WholesaleExtract!B:O,14,FALSE),"")</f>
        <v/>
      </c>
      <c r="K2197" s="26" t="str">
        <f>IFERROR(VLOOKUP(G2197,WholesaleExtract!B:K,10,FALSE),"")</f>
        <v/>
      </c>
      <c r="L2197" s="47" t="str">
        <f>IFERROR(VLOOKUP(G2197,WholesaleExtract!B:L,11,FALSE),"")</f>
        <v/>
      </c>
      <c r="M2197" s="47" t="str">
        <f>IFERROR(VLOOKUP(G2197,WholesaleExtract!B:M,12,FALSE),"")</f>
        <v/>
      </c>
      <c r="R2197" s="19"/>
      <c r="S2197" s="19"/>
    </row>
    <row r="2198" spans="1:19" x14ac:dyDescent="0.35">
      <c r="A2198" s="26" t="s">
        <v>543</v>
      </c>
      <c r="B2198" s="26" t="s">
        <v>543</v>
      </c>
      <c r="C2198" s="26"/>
      <c r="D2198" s="26" t="s">
        <v>543</v>
      </c>
      <c r="E2198" s="26" t="str">
        <f>IFERROR(VLOOKUP(G2198,WholesaleExtract!B:J,9,FALSE),"")</f>
        <v/>
      </c>
      <c r="F2198" s="26" t="str">
        <f>IFERROR(VLOOKUP(G2198,WholesaleExtract!B:J,6,FALSE),"")</f>
        <v/>
      </c>
      <c r="H2198" s="47" t="str">
        <f>IFERROR(VLOOKUP(G2198,WholesaleExtract!B:L,11,FALSE),"")</f>
        <v/>
      </c>
      <c r="I2198" s="26" t="str">
        <f>IFERROR(VLOOKUP(G2198,WholesaleExtract!B:O,8,FALSE),"")</f>
        <v/>
      </c>
      <c r="J2198" s="26" t="str">
        <f>IFERROR(VLOOKUP(G2198,WholesaleExtract!B:O,14,FALSE),"")</f>
        <v/>
      </c>
      <c r="K2198" s="26" t="str">
        <f>IFERROR(VLOOKUP(G2198,WholesaleExtract!B:K,10,FALSE),"")</f>
        <v/>
      </c>
      <c r="L2198" s="47" t="str">
        <f>IFERROR(VLOOKUP(G2198,WholesaleExtract!B:L,11,FALSE),"")</f>
        <v/>
      </c>
      <c r="M2198" s="47" t="str">
        <f>IFERROR(VLOOKUP(G2198,WholesaleExtract!B:M,12,FALSE),"")</f>
        <v/>
      </c>
      <c r="R2198" s="19"/>
      <c r="S2198" s="19"/>
    </row>
    <row r="2199" spans="1:19" x14ac:dyDescent="0.35">
      <c r="A2199" s="26" t="s">
        <v>543</v>
      </c>
      <c r="B2199" s="26" t="s">
        <v>543</v>
      </c>
      <c r="C2199" s="26"/>
      <c r="D2199" s="26" t="s">
        <v>543</v>
      </c>
      <c r="E2199" s="26" t="str">
        <f>IFERROR(VLOOKUP(G2199,WholesaleExtract!B:J,9,FALSE),"")</f>
        <v/>
      </c>
      <c r="F2199" s="26" t="str">
        <f>IFERROR(VLOOKUP(G2199,WholesaleExtract!B:J,6,FALSE),"")</f>
        <v/>
      </c>
      <c r="H2199" s="47" t="str">
        <f>IFERROR(VLOOKUP(G2199,WholesaleExtract!B:L,11,FALSE),"")</f>
        <v/>
      </c>
      <c r="I2199" s="26" t="str">
        <f>IFERROR(VLOOKUP(G2199,WholesaleExtract!B:O,8,FALSE),"")</f>
        <v/>
      </c>
      <c r="J2199" s="26" t="str">
        <f>IFERROR(VLOOKUP(G2199,WholesaleExtract!B:O,14,FALSE),"")</f>
        <v/>
      </c>
      <c r="K2199" s="26" t="str">
        <f>IFERROR(VLOOKUP(G2199,WholesaleExtract!B:K,10,FALSE),"")</f>
        <v/>
      </c>
      <c r="L2199" s="47" t="str">
        <f>IFERROR(VLOOKUP(G2199,WholesaleExtract!B:L,11,FALSE),"")</f>
        <v/>
      </c>
      <c r="M2199" s="47" t="str">
        <f>IFERROR(VLOOKUP(G2199,WholesaleExtract!B:M,12,FALSE),"")</f>
        <v/>
      </c>
      <c r="R2199" s="19"/>
      <c r="S2199" s="19"/>
    </row>
    <row r="2200" spans="1:19" x14ac:dyDescent="0.35">
      <c r="A2200" s="26" t="s">
        <v>543</v>
      </c>
      <c r="B2200" s="26" t="s">
        <v>543</v>
      </c>
      <c r="C2200" s="26"/>
      <c r="D2200" s="26" t="s">
        <v>543</v>
      </c>
      <c r="E2200" s="26" t="str">
        <f>IFERROR(VLOOKUP(G2200,WholesaleExtract!B:J,9,FALSE),"")</f>
        <v/>
      </c>
      <c r="F2200" s="26" t="str">
        <f>IFERROR(VLOOKUP(G2200,WholesaleExtract!B:J,6,FALSE),"")</f>
        <v/>
      </c>
      <c r="H2200" s="47" t="str">
        <f>IFERROR(VLOOKUP(G2200,WholesaleExtract!B:L,11,FALSE),"")</f>
        <v/>
      </c>
      <c r="I2200" s="26" t="str">
        <f>IFERROR(VLOOKUP(G2200,WholesaleExtract!B:O,8,FALSE),"")</f>
        <v/>
      </c>
      <c r="J2200" s="26" t="str">
        <f>IFERROR(VLOOKUP(G2200,WholesaleExtract!B:O,14,FALSE),"")</f>
        <v/>
      </c>
      <c r="K2200" s="26" t="str">
        <f>IFERROR(VLOOKUP(G2200,WholesaleExtract!B:K,10,FALSE),"")</f>
        <v/>
      </c>
      <c r="L2200" s="47" t="str">
        <f>IFERROR(VLOOKUP(G2200,WholesaleExtract!B:L,11,FALSE),"")</f>
        <v/>
      </c>
      <c r="M2200" s="47" t="str">
        <f>IFERROR(VLOOKUP(G2200,WholesaleExtract!B:M,12,FALSE),"")</f>
        <v/>
      </c>
      <c r="R2200" s="19"/>
      <c r="S2200" s="19"/>
    </row>
    <row r="2201" spans="1:19" x14ac:dyDescent="0.35">
      <c r="A2201" s="26" t="s">
        <v>543</v>
      </c>
      <c r="B2201" s="26" t="s">
        <v>543</v>
      </c>
      <c r="C2201" s="26"/>
      <c r="D2201" s="26" t="s">
        <v>543</v>
      </c>
      <c r="E2201" s="26" t="str">
        <f>IFERROR(VLOOKUP(G2201,WholesaleExtract!B:J,9,FALSE),"")</f>
        <v/>
      </c>
      <c r="F2201" s="26" t="str">
        <f>IFERROR(VLOOKUP(G2201,WholesaleExtract!B:J,6,FALSE),"")</f>
        <v/>
      </c>
      <c r="H2201" s="47" t="str">
        <f>IFERROR(VLOOKUP(G2201,WholesaleExtract!B:L,11,FALSE),"")</f>
        <v/>
      </c>
      <c r="I2201" s="26" t="str">
        <f>IFERROR(VLOOKUP(G2201,WholesaleExtract!B:O,8,FALSE),"")</f>
        <v/>
      </c>
      <c r="J2201" s="26" t="str">
        <f>IFERROR(VLOOKUP(G2201,WholesaleExtract!B:O,14,FALSE),"")</f>
        <v/>
      </c>
      <c r="K2201" s="26" t="str">
        <f>IFERROR(VLOOKUP(G2201,WholesaleExtract!B:K,10,FALSE),"")</f>
        <v/>
      </c>
      <c r="L2201" s="47" t="str">
        <f>IFERROR(VLOOKUP(G2201,WholesaleExtract!B:L,11,FALSE),"")</f>
        <v/>
      </c>
      <c r="M2201" s="47" t="str">
        <f>IFERROR(VLOOKUP(G2201,WholesaleExtract!B:M,12,FALSE),"")</f>
        <v/>
      </c>
      <c r="R2201" s="19"/>
      <c r="S2201" s="19"/>
    </row>
    <row r="2202" spans="1:19" x14ac:dyDescent="0.35">
      <c r="A2202" s="26" t="s">
        <v>543</v>
      </c>
      <c r="B2202" s="26" t="s">
        <v>543</v>
      </c>
      <c r="C2202" s="26"/>
      <c r="D2202" s="26" t="s">
        <v>543</v>
      </c>
      <c r="E2202" s="26" t="str">
        <f>IFERROR(VLOOKUP(G2202,WholesaleExtract!B:J,9,FALSE),"")</f>
        <v/>
      </c>
      <c r="F2202" s="26" t="str">
        <f>IFERROR(VLOOKUP(G2202,WholesaleExtract!B:J,6,FALSE),"")</f>
        <v/>
      </c>
      <c r="H2202" s="47" t="str">
        <f>IFERROR(VLOOKUP(G2202,WholesaleExtract!B:L,11,FALSE),"")</f>
        <v/>
      </c>
      <c r="I2202" s="26" t="str">
        <f>IFERROR(VLOOKUP(G2202,WholesaleExtract!B:O,8,FALSE),"")</f>
        <v/>
      </c>
      <c r="J2202" s="26" t="str">
        <f>IFERROR(VLOOKUP(G2202,WholesaleExtract!B:O,14,FALSE),"")</f>
        <v/>
      </c>
      <c r="K2202" s="26" t="str">
        <f>IFERROR(VLOOKUP(G2202,WholesaleExtract!B:K,10,FALSE),"")</f>
        <v/>
      </c>
      <c r="L2202" s="47" t="str">
        <f>IFERROR(VLOOKUP(G2202,WholesaleExtract!B:L,11,FALSE),"")</f>
        <v/>
      </c>
      <c r="M2202" s="47" t="str">
        <f>IFERROR(VLOOKUP(G2202,WholesaleExtract!B:M,12,FALSE),"")</f>
        <v/>
      </c>
      <c r="R2202" s="19"/>
      <c r="S2202" s="19"/>
    </row>
    <row r="2203" spans="1:19" x14ac:dyDescent="0.35">
      <c r="A2203" s="26" t="s">
        <v>543</v>
      </c>
      <c r="B2203" s="26" t="s">
        <v>543</v>
      </c>
      <c r="C2203" s="26"/>
      <c r="D2203" s="26" t="s">
        <v>543</v>
      </c>
      <c r="E2203" s="26" t="str">
        <f>IFERROR(VLOOKUP(G2203,WholesaleExtract!B:J,9,FALSE),"")</f>
        <v/>
      </c>
      <c r="F2203" s="26" t="str">
        <f>IFERROR(VLOOKUP(G2203,WholesaleExtract!B:J,6,FALSE),"")</f>
        <v/>
      </c>
      <c r="H2203" s="47" t="str">
        <f>IFERROR(VLOOKUP(G2203,WholesaleExtract!B:L,11,FALSE),"")</f>
        <v/>
      </c>
      <c r="I2203" s="26" t="str">
        <f>IFERROR(VLOOKUP(G2203,WholesaleExtract!B:O,8,FALSE),"")</f>
        <v/>
      </c>
      <c r="J2203" s="26" t="str">
        <f>IFERROR(VLOOKUP(G2203,WholesaleExtract!B:O,14,FALSE),"")</f>
        <v/>
      </c>
      <c r="K2203" s="26" t="str">
        <f>IFERROR(VLOOKUP(G2203,WholesaleExtract!B:K,10,FALSE),"")</f>
        <v/>
      </c>
      <c r="L2203" s="47" t="str">
        <f>IFERROR(VLOOKUP(G2203,WholesaleExtract!B:L,11,FALSE),"")</f>
        <v/>
      </c>
      <c r="M2203" s="47" t="str">
        <f>IFERROR(VLOOKUP(G2203,WholesaleExtract!B:M,12,FALSE),"")</f>
        <v/>
      </c>
      <c r="R2203" s="19"/>
      <c r="S2203" s="19"/>
    </row>
    <row r="2204" spans="1:19" x14ac:dyDescent="0.35">
      <c r="A2204" s="26" t="s">
        <v>543</v>
      </c>
      <c r="B2204" s="26" t="s">
        <v>543</v>
      </c>
      <c r="C2204" s="26"/>
      <c r="D2204" s="26" t="s">
        <v>543</v>
      </c>
      <c r="E2204" s="26" t="str">
        <f>IFERROR(VLOOKUP(G2204,WholesaleExtract!B:J,9,FALSE),"")</f>
        <v/>
      </c>
      <c r="F2204" s="26" t="str">
        <f>IFERROR(VLOOKUP(G2204,WholesaleExtract!B:J,6,FALSE),"")</f>
        <v/>
      </c>
      <c r="H2204" s="47" t="str">
        <f>IFERROR(VLOOKUP(G2204,WholesaleExtract!B:L,11,FALSE),"")</f>
        <v/>
      </c>
      <c r="I2204" s="26" t="str">
        <f>IFERROR(VLOOKUP(G2204,WholesaleExtract!B:O,8,FALSE),"")</f>
        <v/>
      </c>
      <c r="J2204" s="26" t="str">
        <f>IFERROR(VLOOKUP(G2204,WholesaleExtract!B:O,14,FALSE),"")</f>
        <v/>
      </c>
      <c r="K2204" s="26" t="str">
        <f>IFERROR(VLOOKUP(G2204,WholesaleExtract!B:K,10,FALSE),"")</f>
        <v/>
      </c>
      <c r="L2204" s="47" t="str">
        <f>IFERROR(VLOOKUP(G2204,WholesaleExtract!B:L,11,FALSE),"")</f>
        <v/>
      </c>
      <c r="M2204" s="47" t="str">
        <f>IFERROR(VLOOKUP(G2204,WholesaleExtract!B:M,12,FALSE),"")</f>
        <v/>
      </c>
      <c r="R2204" s="19"/>
      <c r="S2204" s="19"/>
    </row>
    <row r="2205" spans="1:19" x14ac:dyDescent="0.35">
      <c r="A2205" s="26" t="s">
        <v>543</v>
      </c>
      <c r="B2205" s="26" t="s">
        <v>543</v>
      </c>
      <c r="C2205" s="26"/>
      <c r="D2205" s="26" t="s">
        <v>543</v>
      </c>
      <c r="E2205" s="26" t="str">
        <f>IFERROR(VLOOKUP(G2205,WholesaleExtract!B:J,9,FALSE),"")</f>
        <v/>
      </c>
      <c r="F2205" s="26" t="str">
        <f>IFERROR(VLOOKUP(G2205,WholesaleExtract!B:J,6,FALSE),"")</f>
        <v/>
      </c>
      <c r="H2205" s="47" t="str">
        <f>IFERROR(VLOOKUP(G2205,WholesaleExtract!B:L,11,FALSE),"")</f>
        <v/>
      </c>
      <c r="I2205" s="26" t="str">
        <f>IFERROR(VLOOKUP(G2205,WholesaleExtract!B:O,8,FALSE),"")</f>
        <v/>
      </c>
      <c r="J2205" s="26" t="str">
        <f>IFERROR(VLOOKUP(G2205,WholesaleExtract!B:O,14,FALSE),"")</f>
        <v/>
      </c>
      <c r="K2205" s="26" t="str">
        <f>IFERROR(VLOOKUP(G2205,WholesaleExtract!B:K,10,FALSE),"")</f>
        <v/>
      </c>
      <c r="L2205" s="47" t="str">
        <f>IFERROR(VLOOKUP(G2205,WholesaleExtract!B:L,11,FALSE),"")</f>
        <v/>
      </c>
      <c r="M2205" s="47" t="str">
        <f>IFERROR(VLOOKUP(G2205,WholesaleExtract!B:M,12,FALSE),"")</f>
        <v/>
      </c>
      <c r="R2205" s="19"/>
      <c r="S2205" s="19"/>
    </row>
    <row r="2206" spans="1:19" x14ac:dyDescent="0.35">
      <c r="A2206" s="26" t="s">
        <v>543</v>
      </c>
      <c r="B2206" s="26" t="s">
        <v>543</v>
      </c>
      <c r="C2206" s="26"/>
      <c r="D2206" s="26" t="s">
        <v>543</v>
      </c>
      <c r="E2206" s="26" t="str">
        <f>IFERROR(VLOOKUP(G2206,WholesaleExtract!B:J,9,FALSE),"")</f>
        <v/>
      </c>
      <c r="F2206" s="26" t="str">
        <f>IFERROR(VLOOKUP(G2206,WholesaleExtract!B:J,6,FALSE),"")</f>
        <v/>
      </c>
      <c r="H2206" s="47" t="str">
        <f>IFERROR(VLOOKUP(G2206,WholesaleExtract!B:L,11,FALSE),"")</f>
        <v/>
      </c>
      <c r="I2206" s="26" t="str">
        <f>IFERROR(VLOOKUP(G2206,WholesaleExtract!B:O,8,FALSE),"")</f>
        <v/>
      </c>
      <c r="J2206" s="26" t="str">
        <f>IFERROR(VLOOKUP(G2206,WholesaleExtract!B:O,14,FALSE),"")</f>
        <v/>
      </c>
      <c r="K2206" s="26" t="str">
        <f>IFERROR(VLOOKUP(G2206,WholesaleExtract!B:K,10,FALSE),"")</f>
        <v/>
      </c>
      <c r="L2206" s="47" t="str">
        <f>IFERROR(VLOOKUP(G2206,WholesaleExtract!B:L,11,FALSE),"")</f>
        <v/>
      </c>
      <c r="M2206" s="47" t="str">
        <f>IFERROR(VLOOKUP(G2206,WholesaleExtract!B:M,12,FALSE),"")</f>
        <v/>
      </c>
      <c r="R2206" s="19"/>
      <c r="S2206" s="19"/>
    </row>
    <row r="2207" spans="1:19" x14ac:dyDescent="0.35">
      <c r="A2207" s="26" t="s">
        <v>543</v>
      </c>
      <c r="B2207" s="26" t="s">
        <v>543</v>
      </c>
      <c r="C2207" s="26"/>
      <c r="D2207" s="26" t="s">
        <v>543</v>
      </c>
      <c r="E2207" s="26" t="str">
        <f>IFERROR(VLOOKUP(G2207,WholesaleExtract!B:J,9,FALSE),"")</f>
        <v/>
      </c>
      <c r="F2207" s="26" t="str">
        <f>IFERROR(VLOOKUP(G2207,WholesaleExtract!B:J,6,FALSE),"")</f>
        <v/>
      </c>
      <c r="H2207" s="47" t="str">
        <f>IFERROR(VLOOKUP(G2207,WholesaleExtract!B:L,11,FALSE),"")</f>
        <v/>
      </c>
      <c r="I2207" s="26" t="str">
        <f>IFERROR(VLOOKUP(G2207,WholesaleExtract!B:O,8,FALSE),"")</f>
        <v/>
      </c>
      <c r="J2207" s="26" t="str">
        <f>IFERROR(VLOOKUP(G2207,WholesaleExtract!B:O,14,FALSE),"")</f>
        <v/>
      </c>
      <c r="K2207" s="26" t="str">
        <f>IFERROR(VLOOKUP(G2207,WholesaleExtract!B:K,10,FALSE),"")</f>
        <v/>
      </c>
      <c r="L2207" s="47" t="str">
        <f>IFERROR(VLOOKUP(G2207,WholesaleExtract!B:L,11,FALSE),"")</f>
        <v/>
      </c>
      <c r="M2207" s="47" t="str">
        <f>IFERROR(VLOOKUP(G2207,WholesaleExtract!B:M,12,FALSE),"")</f>
        <v/>
      </c>
      <c r="R2207" s="19"/>
      <c r="S2207" s="19"/>
    </row>
    <row r="2208" spans="1:19" x14ac:dyDescent="0.35">
      <c r="A2208" s="26" t="s">
        <v>543</v>
      </c>
      <c r="B2208" s="26" t="s">
        <v>543</v>
      </c>
      <c r="C2208" s="26"/>
      <c r="D2208" s="26" t="s">
        <v>543</v>
      </c>
      <c r="E2208" s="26" t="str">
        <f>IFERROR(VLOOKUP(G2208,WholesaleExtract!B:J,9,FALSE),"")</f>
        <v/>
      </c>
      <c r="F2208" s="26" t="str">
        <f>IFERROR(VLOOKUP(G2208,WholesaleExtract!B:J,6,FALSE),"")</f>
        <v/>
      </c>
      <c r="H2208" s="47" t="str">
        <f>IFERROR(VLOOKUP(G2208,WholesaleExtract!B:L,11,FALSE),"")</f>
        <v/>
      </c>
      <c r="I2208" s="26" t="str">
        <f>IFERROR(VLOOKUP(G2208,WholesaleExtract!B:O,8,FALSE),"")</f>
        <v/>
      </c>
      <c r="J2208" s="26" t="str">
        <f>IFERROR(VLOOKUP(G2208,WholesaleExtract!B:O,14,FALSE),"")</f>
        <v/>
      </c>
      <c r="K2208" s="26" t="str">
        <f>IFERROR(VLOOKUP(G2208,WholesaleExtract!B:K,10,FALSE),"")</f>
        <v/>
      </c>
      <c r="L2208" s="47" t="str">
        <f>IFERROR(VLOOKUP(G2208,WholesaleExtract!B:L,11,FALSE),"")</f>
        <v/>
      </c>
      <c r="M2208" s="47" t="str">
        <f>IFERROR(VLOOKUP(G2208,WholesaleExtract!B:M,12,FALSE),"")</f>
        <v/>
      </c>
      <c r="R2208" s="19"/>
      <c r="S2208" s="19"/>
    </row>
    <row r="2209" spans="1:19" x14ac:dyDescent="0.35">
      <c r="A2209" s="26" t="s">
        <v>543</v>
      </c>
      <c r="B2209" s="26" t="s">
        <v>543</v>
      </c>
      <c r="C2209" s="26"/>
      <c r="D2209" s="26" t="s">
        <v>543</v>
      </c>
      <c r="E2209" s="26" t="str">
        <f>IFERROR(VLOOKUP(G2209,WholesaleExtract!B:J,9,FALSE),"")</f>
        <v/>
      </c>
      <c r="F2209" s="26" t="str">
        <f>IFERROR(VLOOKUP(G2209,WholesaleExtract!B:J,6,FALSE),"")</f>
        <v/>
      </c>
      <c r="H2209" s="47" t="str">
        <f>IFERROR(VLOOKUP(G2209,WholesaleExtract!B:L,11,FALSE),"")</f>
        <v/>
      </c>
      <c r="I2209" s="26" t="str">
        <f>IFERROR(VLOOKUP(G2209,WholesaleExtract!B:O,8,FALSE),"")</f>
        <v/>
      </c>
      <c r="J2209" s="26" t="str">
        <f>IFERROR(VLOOKUP(G2209,WholesaleExtract!B:O,14,FALSE),"")</f>
        <v/>
      </c>
      <c r="K2209" s="26" t="str">
        <f>IFERROR(VLOOKUP(G2209,WholesaleExtract!B:K,10,FALSE),"")</f>
        <v/>
      </c>
      <c r="L2209" s="47" t="str">
        <f>IFERROR(VLOOKUP(G2209,WholesaleExtract!B:L,11,FALSE),"")</f>
        <v/>
      </c>
      <c r="M2209" s="47" t="str">
        <f>IFERROR(VLOOKUP(G2209,WholesaleExtract!B:M,12,FALSE),"")</f>
        <v/>
      </c>
      <c r="R2209" s="19"/>
      <c r="S2209" s="19"/>
    </row>
    <row r="2210" spans="1:19" x14ac:dyDescent="0.35">
      <c r="A2210" s="26" t="s">
        <v>543</v>
      </c>
      <c r="B2210" s="26" t="s">
        <v>543</v>
      </c>
      <c r="C2210" s="26"/>
      <c r="D2210" s="26" t="s">
        <v>543</v>
      </c>
      <c r="E2210" s="26" t="str">
        <f>IFERROR(VLOOKUP(G2210,WholesaleExtract!B:J,9,FALSE),"")</f>
        <v/>
      </c>
      <c r="F2210" s="26" t="str">
        <f>IFERROR(VLOOKUP(G2210,WholesaleExtract!B:J,6,FALSE),"")</f>
        <v/>
      </c>
      <c r="H2210" s="47" t="str">
        <f>IFERROR(VLOOKUP(G2210,WholesaleExtract!B:L,11,FALSE),"")</f>
        <v/>
      </c>
      <c r="I2210" s="26" t="str">
        <f>IFERROR(VLOOKUP(G2210,WholesaleExtract!B:O,8,FALSE),"")</f>
        <v/>
      </c>
      <c r="J2210" s="26" t="str">
        <f>IFERROR(VLOOKUP(G2210,WholesaleExtract!B:O,14,FALSE),"")</f>
        <v/>
      </c>
      <c r="K2210" s="26" t="str">
        <f>IFERROR(VLOOKUP(G2210,WholesaleExtract!B:K,10,FALSE),"")</f>
        <v/>
      </c>
      <c r="L2210" s="47" t="str">
        <f>IFERROR(VLOOKUP(G2210,WholesaleExtract!B:L,11,FALSE),"")</f>
        <v/>
      </c>
      <c r="M2210" s="47" t="str">
        <f>IFERROR(VLOOKUP(G2210,WholesaleExtract!B:M,12,FALSE),"")</f>
        <v/>
      </c>
      <c r="R2210" s="19"/>
      <c r="S2210" s="19"/>
    </row>
    <row r="2211" spans="1:19" x14ac:dyDescent="0.35">
      <c r="A2211" s="26" t="s">
        <v>543</v>
      </c>
      <c r="B2211" s="26" t="s">
        <v>543</v>
      </c>
      <c r="C2211" s="26"/>
      <c r="D2211" s="26" t="s">
        <v>543</v>
      </c>
      <c r="E2211" s="26" t="str">
        <f>IFERROR(VLOOKUP(G2211,WholesaleExtract!B:J,9,FALSE),"")</f>
        <v/>
      </c>
      <c r="F2211" s="26" t="str">
        <f>IFERROR(VLOOKUP(G2211,WholesaleExtract!B:J,6,FALSE),"")</f>
        <v/>
      </c>
      <c r="H2211" s="47" t="str">
        <f>IFERROR(VLOOKUP(G2211,WholesaleExtract!B:L,11,FALSE),"")</f>
        <v/>
      </c>
      <c r="I2211" s="26" t="str">
        <f>IFERROR(VLOOKUP(G2211,WholesaleExtract!B:O,8,FALSE),"")</f>
        <v/>
      </c>
      <c r="J2211" s="26" t="str">
        <f>IFERROR(VLOOKUP(G2211,WholesaleExtract!B:O,14,FALSE),"")</f>
        <v/>
      </c>
      <c r="K2211" s="26" t="str">
        <f>IFERROR(VLOOKUP(G2211,WholesaleExtract!B:K,10,FALSE),"")</f>
        <v/>
      </c>
      <c r="L2211" s="47" t="str">
        <f>IFERROR(VLOOKUP(G2211,WholesaleExtract!B:L,11,FALSE),"")</f>
        <v/>
      </c>
      <c r="M2211" s="47" t="str">
        <f>IFERROR(VLOOKUP(G2211,WholesaleExtract!B:M,12,FALSE),"")</f>
        <v/>
      </c>
      <c r="R2211" s="19"/>
      <c r="S2211" s="19"/>
    </row>
    <row r="2212" spans="1:19" x14ac:dyDescent="0.35">
      <c r="A2212" s="26" t="s">
        <v>543</v>
      </c>
      <c r="B2212" s="26" t="s">
        <v>543</v>
      </c>
      <c r="C2212" s="26"/>
      <c r="D2212" s="26" t="s">
        <v>543</v>
      </c>
      <c r="E2212" s="26" t="str">
        <f>IFERROR(VLOOKUP(G2212,WholesaleExtract!B:J,9,FALSE),"")</f>
        <v/>
      </c>
      <c r="F2212" s="26" t="str">
        <f>IFERROR(VLOOKUP(G2212,WholesaleExtract!B:J,6,FALSE),"")</f>
        <v/>
      </c>
      <c r="H2212" s="47" t="str">
        <f>IFERROR(VLOOKUP(G2212,WholesaleExtract!B:L,11,FALSE),"")</f>
        <v/>
      </c>
      <c r="I2212" s="26" t="str">
        <f>IFERROR(VLOOKUP(G2212,WholesaleExtract!B:O,8,FALSE),"")</f>
        <v/>
      </c>
      <c r="J2212" s="26" t="str">
        <f>IFERROR(VLOOKUP(G2212,WholesaleExtract!B:O,14,FALSE),"")</f>
        <v/>
      </c>
      <c r="K2212" s="26" t="str">
        <f>IFERROR(VLOOKUP(G2212,WholesaleExtract!B:K,10,FALSE),"")</f>
        <v/>
      </c>
      <c r="L2212" s="47" t="str">
        <f>IFERROR(VLOOKUP(G2212,WholesaleExtract!B:L,11,FALSE),"")</f>
        <v/>
      </c>
      <c r="M2212" s="47" t="str">
        <f>IFERROR(VLOOKUP(G2212,WholesaleExtract!B:M,12,FALSE),"")</f>
        <v/>
      </c>
      <c r="R2212" s="19"/>
      <c r="S2212" s="19"/>
    </row>
    <row r="2213" spans="1:19" x14ac:dyDescent="0.35">
      <c r="A2213" s="26" t="s">
        <v>543</v>
      </c>
      <c r="B2213" s="26" t="s">
        <v>543</v>
      </c>
      <c r="C2213" s="26"/>
      <c r="D2213" s="26" t="s">
        <v>543</v>
      </c>
      <c r="E2213" s="26" t="str">
        <f>IFERROR(VLOOKUP(G2213,WholesaleExtract!B:J,9,FALSE),"")</f>
        <v/>
      </c>
      <c r="F2213" s="26" t="str">
        <f>IFERROR(VLOOKUP(G2213,WholesaleExtract!B:J,6,FALSE),"")</f>
        <v/>
      </c>
      <c r="H2213" s="47" t="str">
        <f>IFERROR(VLOOKUP(G2213,WholesaleExtract!B:L,11,FALSE),"")</f>
        <v/>
      </c>
      <c r="I2213" s="26" t="str">
        <f>IFERROR(VLOOKUP(G2213,WholesaleExtract!B:O,8,FALSE),"")</f>
        <v/>
      </c>
      <c r="J2213" s="26" t="str">
        <f>IFERROR(VLOOKUP(G2213,WholesaleExtract!B:O,14,FALSE),"")</f>
        <v/>
      </c>
      <c r="K2213" s="26" t="str">
        <f>IFERROR(VLOOKUP(G2213,WholesaleExtract!B:K,10,FALSE),"")</f>
        <v/>
      </c>
      <c r="L2213" s="47" t="str">
        <f>IFERROR(VLOOKUP(G2213,WholesaleExtract!B:L,11,FALSE),"")</f>
        <v/>
      </c>
      <c r="M2213" s="47" t="str">
        <f>IFERROR(VLOOKUP(G2213,WholesaleExtract!B:M,12,FALSE),"")</f>
        <v/>
      </c>
      <c r="R2213" s="19"/>
      <c r="S2213" s="19"/>
    </row>
    <row r="2214" spans="1:19" x14ac:dyDescent="0.35">
      <c r="A2214" s="26" t="s">
        <v>543</v>
      </c>
      <c r="B2214" s="26" t="s">
        <v>543</v>
      </c>
      <c r="C2214" s="26"/>
      <c r="D2214" s="26" t="s">
        <v>543</v>
      </c>
      <c r="E2214" s="26" t="str">
        <f>IFERROR(VLOOKUP(G2214,WholesaleExtract!B:J,9,FALSE),"")</f>
        <v/>
      </c>
      <c r="F2214" s="26" t="str">
        <f>IFERROR(VLOOKUP(G2214,WholesaleExtract!B:J,6,FALSE),"")</f>
        <v/>
      </c>
      <c r="H2214" s="47" t="str">
        <f>IFERROR(VLOOKUP(G2214,WholesaleExtract!B:L,11,FALSE),"")</f>
        <v/>
      </c>
      <c r="I2214" s="26" t="str">
        <f>IFERROR(VLOOKUP(G2214,WholesaleExtract!B:O,8,FALSE),"")</f>
        <v/>
      </c>
      <c r="J2214" s="26" t="str">
        <f>IFERROR(VLOOKUP(G2214,WholesaleExtract!B:O,14,FALSE),"")</f>
        <v/>
      </c>
      <c r="K2214" s="26" t="str">
        <f>IFERROR(VLOOKUP(G2214,WholesaleExtract!B:K,10,FALSE),"")</f>
        <v/>
      </c>
      <c r="L2214" s="47" t="str">
        <f>IFERROR(VLOOKUP(G2214,WholesaleExtract!B:L,11,FALSE),"")</f>
        <v/>
      </c>
      <c r="M2214" s="47" t="str">
        <f>IFERROR(VLOOKUP(G2214,WholesaleExtract!B:M,12,FALSE),"")</f>
        <v/>
      </c>
      <c r="R2214" s="19"/>
      <c r="S2214" s="19"/>
    </row>
    <row r="2215" spans="1:19" x14ac:dyDescent="0.35">
      <c r="A2215" s="26" t="s">
        <v>543</v>
      </c>
      <c r="B2215" s="26" t="s">
        <v>543</v>
      </c>
      <c r="C2215" s="26"/>
      <c r="D2215" s="26" t="s">
        <v>543</v>
      </c>
      <c r="E2215" s="26" t="str">
        <f>IFERROR(VLOOKUP(G2215,WholesaleExtract!B:J,9,FALSE),"")</f>
        <v/>
      </c>
      <c r="F2215" s="26" t="str">
        <f>IFERROR(VLOOKUP(G2215,WholesaleExtract!B:J,6,FALSE),"")</f>
        <v/>
      </c>
      <c r="H2215" s="47" t="str">
        <f>IFERROR(VLOOKUP(G2215,WholesaleExtract!B:L,11,FALSE),"")</f>
        <v/>
      </c>
      <c r="I2215" s="26" t="str">
        <f>IFERROR(VLOOKUP(G2215,WholesaleExtract!B:O,8,FALSE),"")</f>
        <v/>
      </c>
      <c r="J2215" s="26" t="str">
        <f>IFERROR(VLOOKUP(G2215,WholesaleExtract!B:O,14,FALSE),"")</f>
        <v/>
      </c>
      <c r="K2215" s="26" t="str">
        <f>IFERROR(VLOOKUP(G2215,WholesaleExtract!B:K,10,FALSE),"")</f>
        <v/>
      </c>
      <c r="L2215" s="47" t="str">
        <f>IFERROR(VLOOKUP(G2215,WholesaleExtract!B:L,11,FALSE),"")</f>
        <v/>
      </c>
      <c r="M2215" s="47" t="str">
        <f>IFERROR(VLOOKUP(G2215,WholesaleExtract!B:M,12,FALSE),"")</f>
        <v/>
      </c>
      <c r="R2215" s="19"/>
      <c r="S2215" s="19"/>
    </row>
    <row r="2216" spans="1:19" x14ac:dyDescent="0.35">
      <c r="A2216" s="26" t="s">
        <v>543</v>
      </c>
      <c r="B2216" s="26" t="s">
        <v>543</v>
      </c>
      <c r="C2216" s="26"/>
      <c r="D2216" s="26" t="s">
        <v>543</v>
      </c>
      <c r="E2216" s="26" t="str">
        <f>IFERROR(VLOOKUP(G2216,WholesaleExtract!B:J,9,FALSE),"")</f>
        <v/>
      </c>
      <c r="F2216" s="26" t="str">
        <f>IFERROR(VLOOKUP(G2216,WholesaleExtract!B:J,6,FALSE),"")</f>
        <v/>
      </c>
      <c r="H2216" s="47" t="str">
        <f>IFERROR(VLOOKUP(G2216,WholesaleExtract!B:L,11,FALSE),"")</f>
        <v/>
      </c>
      <c r="I2216" s="26" t="str">
        <f>IFERROR(VLOOKUP(G2216,WholesaleExtract!B:O,8,FALSE),"")</f>
        <v/>
      </c>
      <c r="J2216" s="26" t="str">
        <f>IFERROR(VLOOKUP(G2216,WholesaleExtract!B:O,14,FALSE),"")</f>
        <v/>
      </c>
      <c r="K2216" s="26" t="str">
        <f>IFERROR(VLOOKUP(G2216,WholesaleExtract!B:K,10,FALSE),"")</f>
        <v/>
      </c>
      <c r="L2216" s="47" t="str">
        <f>IFERROR(VLOOKUP(G2216,WholesaleExtract!B:L,11,FALSE),"")</f>
        <v/>
      </c>
      <c r="M2216" s="47" t="str">
        <f>IFERROR(VLOOKUP(G2216,WholesaleExtract!B:M,12,FALSE),"")</f>
        <v/>
      </c>
      <c r="R2216" s="19"/>
      <c r="S2216" s="19"/>
    </row>
    <row r="2217" spans="1:19" x14ac:dyDescent="0.35">
      <c r="A2217" s="26" t="s">
        <v>543</v>
      </c>
      <c r="B2217" s="26" t="s">
        <v>543</v>
      </c>
      <c r="C2217" s="26"/>
      <c r="D2217" s="26" t="s">
        <v>543</v>
      </c>
      <c r="E2217" s="26" t="str">
        <f>IFERROR(VLOOKUP(G2217,WholesaleExtract!B:J,9,FALSE),"")</f>
        <v/>
      </c>
      <c r="F2217" s="26" t="str">
        <f>IFERROR(VLOOKUP(G2217,WholesaleExtract!B:J,6,FALSE),"")</f>
        <v/>
      </c>
      <c r="H2217" s="47" t="str">
        <f>IFERROR(VLOOKUP(G2217,WholesaleExtract!B:L,11,FALSE),"")</f>
        <v/>
      </c>
      <c r="I2217" s="26" t="str">
        <f>IFERROR(VLOOKUP(G2217,WholesaleExtract!B:O,8,FALSE),"")</f>
        <v/>
      </c>
      <c r="J2217" s="26" t="str">
        <f>IFERROR(VLOOKUP(G2217,WholesaleExtract!B:O,14,FALSE),"")</f>
        <v/>
      </c>
      <c r="K2217" s="26" t="str">
        <f>IFERROR(VLOOKUP(G2217,WholesaleExtract!B:K,10,FALSE),"")</f>
        <v/>
      </c>
      <c r="L2217" s="47" t="str">
        <f>IFERROR(VLOOKUP(G2217,WholesaleExtract!B:L,11,FALSE),"")</f>
        <v/>
      </c>
      <c r="M2217" s="47" t="str">
        <f>IFERROR(VLOOKUP(G2217,WholesaleExtract!B:M,12,FALSE),"")</f>
        <v/>
      </c>
      <c r="R2217" s="19"/>
      <c r="S2217" s="19"/>
    </row>
    <row r="2218" spans="1:19" x14ac:dyDescent="0.35">
      <c r="A2218" s="26" t="s">
        <v>543</v>
      </c>
      <c r="B2218" s="26" t="s">
        <v>543</v>
      </c>
      <c r="C2218" s="26"/>
      <c r="D2218" s="26" t="s">
        <v>543</v>
      </c>
      <c r="E2218" s="26" t="str">
        <f>IFERROR(VLOOKUP(G2218,WholesaleExtract!B:J,9,FALSE),"")</f>
        <v/>
      </c>
      <c r="F2218" s="26" t="str">
        <f>IFERROR(VLOOKUP(G2218,WholesaleExtract!B:J,6,FALSE),"")</f>
        <v/>
      </c>
      <c r="H2218" s="47" t="str">
        <f>IFERROR(VLOOKUP(G2218,WholesaleExtract!B:L,11,FALSE),"")</f>
        <v/>
      </c>
      <c r="I2218" s="26" t="str">
        <f>IFERROR(VLOOKUP(G2218,WholesaleExtract!B:O,8,FALSE),"")</f>
        <v/>
      </c>
      <c r="J2218" s="26" t="str">
        <f>IFERROR(VLOOKUP(G2218,WholesaleExtract!B:O,14,FALSE),"")</f>
        <v/>
      </c>
      <c r="K2218" s="26" t="str">
        <f>IFERROR(VLOOKUP(G2218,WholesaleExtract!B:K,10,FALSE),"")</f>
        <v/>
      </c>
      <c r="L2218" s="47" t="str">
        <f>IFERROR(VLOOKUP(G2218,WholesaleExtract!B:L,11,FALSE),"")</f>
        <v/>
      </c>
      <c r="M2218" s="47" t="str">
        <f>IFERROR(VLOOKUP(G2218,WholesaleExtract!B:M,12,FALSE),"")</f>
        <v/>
      </c>
      <c r="R2218" s="19"/>
      <c r="S2218" s="19"/>
    </row>
    <row r="2219" spans="1:19" x14ac:dyDescent="0.35">
      <c r="A2219" s="26" t="s">
        <v>543</v>
      </c>
      <c r="B2219" s="26" t="s">
        <v>543</v>
      </c>
      <c r="C2219" s="26"/>
      <c r="D2219" s="26" t="s">
        <v>543</v>
      </c>
      <c r="E2219" s="26" t="str">
        <f>IFERROR(VLOOKUP(G2219,WholesaleExtract!B:J,9,FALSE),"")</f>
        <v/>
      </c>
      <c r="F2219" s="26" t="str">
        <f>IFERROR(VLOOKUP(G2219,WholesaleExtract!B:J,6,FALSE),"")</f>
        <v/>
      </c>
      <c r="H2219" s="47" t="str">
        <f>IFERROR(VLOOKUP(G2219,WholesaleExtract!B:L,11,FALSE),"")</f>
        <v/>
      </c>
      <c r="I2219" s="26" t="str">
        <f>IFERROR(VLOOKUP(G2219,WholesaleExtract!B:O,8,FALSE),"")</f>
        <v/>
      </c>
      <c r="J2219" s="26" t="str">
        <f>IFERROR(VLOOKUP(G2219,WholesaleExtract!B:O,14,FALSE),"")</f>
        <v/>
      </c>
      <c r="K2219" s="26" t="str">
        <f>IFERROR(VLOOKUP(G2219,WholesaleExtract!B:K,10,FALSE),"")</f>
        <v/>
      </c>
      <c r="L2219" s="47" t="str">
        <f>IFERROR(VLOOKUP(G2219,WholesaleExtract!B:L,11,FALSE),"")</f>
        <v/>
      </c>
      <c r="M2219" s="47" t="str">
        <f>IFERROR(VLOOKUP(G2219,WholesaleExtract!B:M,12,FALSE),"")</f>
        <v/>
      </c>
      <c r="R2219" s="19"/>
      <c r="S2219" s="19"/>
    </row>
    <row r="2220" spans="1:19" x14ac:dyDescent="0.35">
      <c r="A2220" s="26" t="s">
        <v>543</v>
      </c>
      <c r="B2220" s="26" t="s">
        <v>543</v>
      </c>
      <c r="C2220" s="26"/>
      <c r="D2220" s="26" t="s">
        <v>543</v>
      </c>
      <c r="E2220" s="26" t="str">
        <f>IFERROR(VLOOKUP(G2220,WholesaleExtract!B:J,9,FALSE),"")</f>
        <v/>
      </c>
      <c r="F2220" s="26" t="str">
        <f>IFERROR(VLOOKUP(G2220,WholesaleExtract!B:J,6,FALSE),"")</f>
        <v/>
      </c>
      <c r="H2220" s="47" t="str">
        <f>IFERROR(VLOOKUP(G2220,WholesaleExtract!B:L,11,FALSE),"")</f>
        <v/>
      </c>
      <c r="I2220" s="26" t="str">
        <f>IFERROR(VLOOKUP(G2220,WholesaleExtract!B:O,8,FALSE),"")</f>
        <v/>
      </c>
      <c r="J2220" s="26" t="str">
        <f>IFERROR(VLOOKUP(G2220,WholesaleExtract!B:O,14,FALSE),"")</f>
        <v/>
      </c>
      <c r="K2220" s="26" t="str">
        <f>IFERROR(VLOOKUP(G2220,WholesaleExtract!B:K,10,FALSE),"")</f>
        <v/>
      </c>
      <c r="L2220" s="47" t="str">
        <f>IFERROR(VLOOKUP(G2220,WholesaleExtract!B:L,11,FALSE),"")</f>
        <v/>
      </c>
      <c r="M2220" s="47" t="str">
        <f>IFERROR(VLOOKUP(G2220,WholesaleExtract!B:M,12,FALSE),"")</f>
        <v/>
      </c>
      <c r="R2220" s="19"/>
      <c r="S2220" s="19"/>
    </row>
    <row r="2221" spans="1:19" x14ac:dyDescent="0.35">
      <c r="A2221" s="26" t="s">
        <v>543</v>
      </c>
      <c r="B2221" s="26" t="s">
        <v>543</v>
      </c>
      <c r="C2221" s="26"/>
      <c r="D2221" s="26" t="s">
        <v>543</v>
      </c>
      <c r="E2221" s="26" t="str">
        <f>IFERROR(VLOOKUP(G2221,WholesaleExtract!B:J,9,FALSE),"")</f>
        <v/>
      </c>
      <c r="F2221" s="26" t="str">
        <f>IFERROR(VLOOKUP(G2221,WholesaleExtract!B:J,6,FALSE),"")</f>
        <v/>
      </c>
      <c r="H2221" s="47" t="str">
        <f>IFERROR(VLOOKUP(G2221,WholesaleExtract!B:L,11,FALSE),"")</f>
        <v/>
      </c>
      <c r="I2221" s="26" t="str">
        <f>IFERROR(VLOOKUP(G2221,WholesaleExtract!B:O,8,FALSE),"")</f>
        <v/>
      </c>
      <c r="J2221" s="26" t="str">
        <f>IFERROR(VLOOKUP(G2221,WholesaleExtract!B:O,14,FALSE),"")</f>
        <v/>
      </c>
      <c r="K2221" s="26" t="str">
        <f>IFERROR(VLOOKUP(G2221,WholesaleExtract!B:K,10,FALSE),"")</f>
        <v/>
      </c>
      <c r="L2221" s="47" t="str">
        <f>IFERROR(VLOOKUP(G2221,WholesaleExtract!B:L,11,FALSE),"")</f>
        <v/>
      </c>
      <c r="M2221" s="47" t="str">
        <f>IFERROR(VLOOKUP(G2221,WholesaleExtract!B:M,12,FALSE),"")</f>
        <v/>
      </c>
      <c r="R2221" s="19"/>
      <c r="S2221" s="19"/>
    </row>
    <row r="2222" spans="1:19" x14ac:dyDescent="0.35">
      <c r="A2222" s="26" t="s">
        <v>543</v>
      </c>
      <c r="B2222" s="26" t="s">
        <v>543</v>
      </c>
      <c r="C2222" s="26"/>
      <c r="D2222" s="26" t="s">
        <v>543</v>
      </c>
      <c r="E2222" s="26" t="str">
        <f>IFERROR(VLOOKUP(G2222,WholesaleExtract!B:J,9,FALSE),"")</f>
        <v/>
      </c>
      <c r="F2222" s="26" t="str">
        <f>IFERROR(VLOOKUP(G2222,WholesaleExtract!B:J,6,FALSE),"")</f>
        <v/>
      </c>
      <c r="H2222" s="47" t="str">
        <f>IFERROR(VLOOKUP(G2222,WholesaleExtract!B:L,11,FALSE),"")</f>
        <v/>
      </c>
      <c r="I2222" s="26" t="str">
        <f>IFERROR(VLOOKUP(G2222,WholesaleExtract!B:O,8,FALSE),"")</f>
        <v/>
      </c>
      <c r="J2222" s="26" t="str">
        <f>IFERROR(VLOOKUP(G2222,WholesaleExtract!B:O,14,FALSE),"")</f>
        <v/>
      </c>
      <c r="K2222" s="26" t="str">
        <f>IFERROR(VLOOKUP(G2222,WholesaleExtract!B:K,10,FALSE),"")</f>
        <v/>
      </c>
      <c r="L2222" s="47" t="str">
        <f>IFERROR(VLOOKUP(G2222,WholesaleExtract!B:L,11,FALSE),"")</f>
        <v/>
      </c>
      <c r="M2222" s="47" t="str">
        <f>IFERROR(VLOOKUP(G2222,WholesaleExtract!B:M,12,FALSE),"")</f>
        <v/>
      </c>
      <c r="R2222" s="19"/>
      <c r="S2222" s="19"/>
    </row>
    <row r="2223" spans="1:19" x14ac:dyDescent="0.35">
      <c r="A2223" s="26" t="s">
        <v>543</v>
      </c>
      <c r="B2223" s="26" t="s">
        <v>543</v>
      </c>
      <c r="C2223" s="26"/>
      <c r="D2223" s="26" t="s">
        <v>543</v>
      </c>
      <c r="E2223" s="26" t="str">
        <f>IFERROR(VLOOKUP(G2223,WholesaleExtract!B:J,9,FALSE),"")</f>
        <v/>
      </c>
      <c r="F2223" s="26" t="str">
        <f>IFERROR(VLOOKUP(G2223,WholesaleExtract!B:J,6,FALSE),"")</f>
        <v/>
      </c>
      <c r="H2223" s="47" t="str">
        <f>IFERROR(VLOOKUP(G2223,WholesaleExtract!B:L,11,FALSE),"")</f>
        <v/>
      </c>
      <c r="I2223" s="26" t="str">
        <f>IFERROR(VLOOKUP(G2223,WholesaleExtract!B:O,8,FALSE),"")</f>
        <v/>
      </c>
      <c r="J2223" s="26" t="str">
        <f>IFERROR(VLOOKUP(G2223,WholesaleExtract!B:O,14,FALSE),"")</f>
        <v/>
      </c>
      <c r="K2223" s="26" t="str">
        <f>IFERROR(VLOOKUP(G2223,WholesaleExtract!B:K,10,FALSE),"")</f>
        <v/>
      </c>
      <c r="L2223" s="47" t="str">
        <f>IFERROR(VLOOKUP(G2223,WholesaleExtract!B:L,11,FALSE),"")</f>
        <v/>
      </c>
      <c r="M2223" s="47" t="str">
        <f>IFERROR(VLOOKUP(G2223,WholesaleExtract!B:M,12,FALSE),"")</f>
        <v/>
      </c>
      <c r="R2223" s="19"/>
      <c r="S2223" s="19"/>
    </row>
    <row r="2224" spans="1:19" x14ac:dyDescent="0.35">
      <c r="A2224" s="26" t="s">
        <v>543</v>
      </c>
      <c r="B2224" s="26" t="s">
        <v>543</v>
      </c>
      <c r="C2224" s="26"/>
      <c r="D2224" s="26" t="s">
        <v>543</v>
      </c>
      <c r="E2224" s="26" t="str">
        <f>IFERROR(VLOOKUP(G2224,WholesaleExtract!B:J,9,FALSE),"")</f>
        <v/>
      </c>
      <c r="F2224" s="26" t="str">
        <f>IFERROR(VLOOKUP(G2224,WholesaleExtract!B:J,6,FALSE),"")</f>
        <v/>
      </c>
      <c r="H2224" s="47" t="str">
        <f>IFERROR(VLOOKUP(G2224,WholesaleExtract!B:L,11,FALSE),"")</f>
        <v/>
      </c>
      <c r="I2224" s="26" t="str">
        <f>IFERROR(VLOOKUP(G2224,WholesaleExtract!B:O,8,FALSE),"")</f>
        <v/>
      </c>
      <c r="J2224" s="26" t="str">
        <f>IFERROR(VLOOKUP(G2224,WholesaleExtract!B:O,14,FALSE),"")</f>
        <v/>
      </c>
      <c r="K2224" s="26" t="str">
        <f>IFERROR(VLOOKUP(G2224,WholesaleExtract!B:K,10,FALSE),"")</f>
        <v/>
      </c>
      <c r="L2224" s="47" t="str">
        <f>IFERROR(VLOOKUP(G2224,WholesaleExtract!B:L,11,FALSE),"")</f>
        <v/>
      </c>
      <c r="M2224" s="47" t="str">
        <f>IFERROR(VLOOKUP(G2224,WholesaleExtract!B:M,12,FALSE),"")</f>
        <v/>
      </c>
      <c r="R2224" s="19"/>
      <c r="S2224" s="19"/>
    </row>
    <row r="2225" spans="1:19" x14ac:dyDescent="0.35">
      <c r="A2225" s="26" t="s">
        <v>543</v>
      </c>
      <c r="B2225" s="26" t="s">
        <v>543</v>
      </c>
      <c r="C2225" s="26"/>
      <c r="D2225" s="26" t="s">
        <v>543</v>
      </c>
      <c r="E2225" s="26" t="str">
        <f>IFERROR(VLOOKUP(G2225,WholesaleExtract!B:J,9,FALSE),"")</f>
        <v/>
      </c>
      <c r="F2225" s="26" t="str">
        <f>IFERROR(VLOOKUP(G2225,WholesaleExtract!B:J,6,FALSE),"")</f>
        <v/>
      </c>
      <c r="H2225" s="47" t="str">
        <f>IFERROR(VLOOKUP(G2225,WholesaleExtract!B:L,11,FALSE),"")</f>
        <v/>
      </c>
      <c r="I2225" s="26" t="str">
        <f>IFERROR(VLOOKUP(G2225,WholesaleExtract!B:O,8,FALSE),"")</f>
        <v/>
      </c>
      <c r="J2225" s="26" t="str">
        <f>IFERROR(VLOOKUP(G2225,WholesaleExtract!B:O,14,FALSE),"")</f>
        <v/>
      </c>
      <c r="K2225" s="26" t="str">
        <f>IFERROR(VLOOKUP(G2225,WholesaleExtract!B:K,10,FALSE),"")</f>
        <v/>
      </c>
      <c r="L2225" s="47" t="str">
        <f>IFERROR(VLOOKUP(G2225,WholesaleExtract!B:L,11,FALSE),"")</f>
        <v/>
      </c>
      <c r="M2225" s="47" t="str">
        <f>IFERROR(VLOOKUP(G2225,WholesaleExtract!B:M,12,FALSE),"")</f>
        <v/>
      </c>
      <c r="R2225" s="19"/>
      <c r="S2225" s="19"/>
    </row>
    <row r="2226" spans="1:19" x14ac:dyDescent="0.35">
      <c r="A2226" s="26" t="s">
        <v>543</v>
      </c>
      <c r="B2226" s="26" t="s">
        <v>543</v>
      </c>
      <c r="C2226" s="26"/>
      <c r="D2226" s="26" t="s">
        <v>543</v>
      </c>
      <c r="E2226" s="26" t="str">
        <f>IFERROR(VLOOKUP(G2226,WholesaleExtract!B:J,9,FALSE),"")</f>
        <v/>
      </c>
      <c r="F2226" s="26" t="str">
        <f>IFERROR(VLOOKUP(G2226,WholesaleExtract!B:J,6,FALSE),"")</f>
        <v/>
      </c>
      <c r="H2226" s="47" t="str">
        <f>IFERROR(VLOOKUP(G2226,WholesaleExtract!B:L,11,FALSE),"")</f>
        <v/>
      </c>
      <c r="I2226" s="26" t="str">
        <f>IFERROR(VLOOKUP(G2226,WholesaleExtract!B:O,8,FALSE),"")</f>
        <v/>
      </c>
      <c r="J2226" s="26" t="str">
        <f>IFERROR(VLOOKUP(G2226,WholesaleExtract!B:O,14,FALSE),"")</f>
        <v/>
      </c>
      <c r="K2226" s="26" t="str">
        <f>IFERROR(VLOOKUP(G2226,WholesaleExtract!B:K,10,FALSE),"")</f>
        <v/>
      </c>
      <c r="L2226" s="47" t="str">
        <f>IFERROR(VLOOKUP(G2226,WholesaleExtract!B:L,11,FALSE),"")</f>
        <v/>
      </c>
      <c r="M2226" s="47" t="str">
        <f>IFERROR(VLOOKUP(G2226,WholesaleExtract!B:M,12,FALSE),"")</f>
        <v/>
      </c>
      <c r="R2226" s="19"/>
      <c r="S2226" s="19"/>
    </row>
    <row r="2227" spans="1:19" x14ac:dyDescent="0.35">
      <c r="A2227" s="26" t="s">
        <v>543</v>
      </c>
      <c r="B2227" s="26" t="s">
        <v>543</v>
      </c>
      <c r="C2227" s="26"/>
      <c r="D2227" s="26" t="s">
        <v>543</v>
      </c>
      <c r="E2227" s="26" t="str">
        <f>IFERROR(VLOOKUP(G2227,WholesaleExtract!B:J,9,FALSE),"")</f>
        <v/>
      </c>
      <c r="F2227" s="26" t="str">
        <f>IFERROR(VLOOKUP(G2227,WholesaleExtract!B:J,6,FALSE),"")</f>
        <v/>
      </c>
      <c r="H2227" s="47" t="str">
        <f>IFERROR(VLOOKUP(G2227,WholesaleExtract!B:L,11,FALSE),"")</f>
        <v/>
      </c>
      <c r="I2227" s="26" t="str">
        <f>IFERROR(VLOOKUP(G2227,WholesaleExtract!B:O,8,FALSE),"")</f>
        <v/>
      </c>
      <c r="J2227" s="26" t="str">
        <f>IFERROR(VLOOKUP(G2227,WholesaleExtract!B:O,14,FALSE),"")</f>
        <v/>
      </c>
      <c r="K2227" s="26" t="str">
        <f>IFERROR(VLOOKUP(G2227,WholesaleExtract!B:K,10,FALSE),"")</f>
        <v/>
      </c>
      <c r="L2227" s="47" t="str">
        <f>IFERROR(VLOOKUP(G2227,WholesaleExtract!B:L,11,FALSE),"")</f>
        <v/>
      </c>
      <c r="M2227" s="47" t="str">
        <f>IFERROR(VLOOKUP(G2227,WholesaleExtract!B:M,12,FALSE),"")</f>
        <v/>
      </c>
      <c r="R2227" s="19"/>
      <c r="S2227" s="19"/>
    </row>
    <row r="2228" spans="1:19" x14ac:dyDescent="0.35">
      <c r="A2228" s="26" t="s">
        <v>543</v>
      </c>
      <c r="B2228" s="26" t="s">
        <v>543</v>
      </c>
      <c r="C2228" s="26"/>
      <c r="D2228" s="26" t="s">
        <v>543</v>
      </c>
      <c r="E2228" s="26" t="str">
        <f>IFERROR(VLOOKUP(G2228,WholesaleExtract!B:J,9,FALSE),"")</f>
        <v/>
      </c>
      <c r="F2228" s="26" t="str">
        <f>IFERROR(VLOOKUP(G2228,WholesaleExtract!B:J,6,FALSE),"")</f>
        <v/>
      </c>
      <c r="H2228" s="47" t="str">
        <f>IFERROR(VLOOKUP(G2228,WholesaleExtract!B:L,11,FALSE),"")</f>
        <v/>
      </c>
      <c r="I2228" s="26" t="str">
        <f>IFERROR(VLOOKUP(G2228,WholesaleExtract!B:O,8,FALSE),"")</f>
        <v/>
      </c>
      <c r="J2228" s="26" t="str">
        <f>IFERROR(VLOOKUP(G2228,WholesaleExtract!B:O,14,FALSE),"")</f>
        <v/>
      </c>
      <c r="K2228" s="26" t="str">
        <f>IFERROR(VLOOKUP(G2228,WholesaleExtract!B:K,10,FALSE),"")</f>
        <v/>
      </c>
      <c r="L2228" s="47" t="str">
        <f>IFERROR(VLOOKUP(G2228,WholesaleExtract!B:L,11,FALSE),"")</f>
        <v/>
      </c>
      <c r="M2228" s="47" t="str">
        <f>IFERROR(VLOOKUP(G2228,WholesaleExtract!B:M,12,FALSE),"")</f>
        <v/>
      </c>
      <c r="R2228" s="19"/>
      <c r="S2228" s="19"/>
    </row>
    <row r="2229" spans="1:19" x14ac:dyDescent="0.35">
      <c r="A2229" s="26" t="s">
        <v>543</v>
      </c>
      <c r="B2229" s="26" t="s">
        <v>543</v>
      </c>
      <c r="C2229" s="26"/>
      <c r="D2229" s="26" t="s">
        <v>543</v>
      </c>
      <c r="E2229" s="26" t="str">
        <f>IFERROR(VLOOKUP(G2229,WholesaleExtract!B:J,9,FALSE),"")</f>
        <v/>
      </c>
      <c r="F2229" s="26" t="str">
        <f>IFERROR(VLOOKUP(G2229,WholesaleExtract!B:J,6,FALSE),"")</f>
        <v/>
      </c>
      <c r="H2229" s="47" t="str">
        <f>IFERROR(VLOOKUP(G2229,WholesaleExtract!B:L,11,FALSE),"")</f>
        <v/>
      </c>
      <c r="I2229" s="26" t="str">
        <f>IFERROR(VLOOKUP(G2229,WholesaleExtract!B:O,8,FALSE),"")</f>
        <v/>
      </c>
      <c r="J2229" s="26" t="str">
        <f>IFERROR(VLOOKUP(G2229,WholesaleExtract!B:O,14,FALSE),"")</f>
        <v/>
      </c>
      <c r="K2229" s="26" t="str">
        <f>IFERROR(VLOOKUP(G2229,WholesaleExtract!B:K,10,FALSE),"")</f>
        <v/>
      </c>
      <c r="L2229" s="47" t="str">
        <f>IFERROR(VLOOKUP(G2229,WholesaleExtract!B:L,11,FALSE),"")</f>
        <v/>
      </c>
      <c r="M2229" s="47" t="str">
        <f>IFERROR(VLOOKUP(G2229,WholesaleExtract!B:M,12,FALSE),"")</f>
        <v/>
      </c>
      <c r="R2229" s="19"/>
      <c r="S2229" s="19"/>
    </row>
    <row r="2230" spans="1:19" x14ac:dyDescent="0.35">
      <c r="A2230" s="26" t="s">
        <v>543</v>
      </c>
      <c r="B2230" s="26" t="s">
        <v>543</v>
      </c>
      <c r="C2230" s="26"/>
      <c r="D2230" s="26" t="s">
        <v>543</v>
      </c>
      <c r="E2230" s="26" t="str">
        <f>IFERROR(VLOOKUP(G2230,WholesaleExtract!B:J,9,FALSE),"")</f>
        <v/>
      </c>
      <c r="F2230" s="26" t="str">
        <f>IFERROR(VLOOKUP(G2230,WholesaleExtract!B:J,6,FALSE),"")</f>
        <v/>
      </c>
      <c r="H2230" s="47" t="str">
        <f>IFERROR(VLOOKUP(G2230,WholesaleExtract!B:L,11,FALSE),"")</f>
        <v/>
      </c>
      <c r="I2230" s="26" t="str">
        <f>IFERROR(VLOOKUP(G2230,WholesaleExtract!B:O,8,FALSE),"")</f>
        <v/>
      </c>
      <c r="J2230" s="26" t="str">
        <f>IFERROR(VLOOKUP(G2230,WholesaleExtract!B:O,14,FALSE),"")</f>
        <v/>
      </c>
      <c r="K2230" s="26" t="str">
        <f>IFERROR(VLOOKUP(G2230,WholesaleExtract!B:K,10,FALSE),"")</f>
        <v/>
      </c>
      <c r="L2230" s="47" t="str">
        <f>IFERROR(VLOOKUP(G2230,WholesaleExtract!B:L,11,FALSE),"")</f>
        <v/>
      </c>
      <c r="M2230" s="47" t="str">
        <f>IFERROR(VLOOKUP(G2230,WholesaleExtract!B:M,12,FALSE),"")</f>
        <v/>
      </c>
      <c r="R2230" s="19"/>
      <c r="S2230" s="19"/>
    </row>
    <row r="2231" spans="1:19" x14ac:dyDescent="0.35">
      <c r="A2231" s="26" t="s">
        <v>543</v>
      </c>
      <c r="B2231" s="26" t="s">
        <v>543</v>
      </c>
      <c r="C2231" s="26"/>
      <c r="D2231" s="26" t="s">
        <v>543</v>
      </c>
      <c r="E2231" s="26" t="str">
        <f>IFERROR(VLOOKUP(G2231,WholesaleExtract!B:J,9,FALSE),"")</f>
        <v/>
      </c>
      <c r="F2231" s="26" t="str">
        <f>IFERROR(VLOOKUP(G2231,WholesaleExtract!B:J,6,FALSE),"")</f>
        <v/>
      </c>
      <c r="H2231" s="47" t="str">
        <f>IFERROR(VLOOKUP(G2231,WholesaleExtract!B:L,11,FALSE),"")</f>
        <v/>
      </c>
      <c r="I2231" s="26" t="str">
        <f>IFERROR(VLOOKUP(G2231,WholesaleExtract!B:O,8,FALSE),"")</f>
        <v/>
      </c>
      <c r="J2231" s="26" t="str">
        <f>IFERROR(VLOOKUP(G2231,WholesaleExtract!B:O,14,FALSE),"")</f>
        <v/>
      </c>
      <c r="K2231" s="26" t="str">
        <f>IFERROR(VLOOKUP(G2231,WholesaleExtract!B:K,10,FALSE),"")</f>
        <v/>
      </c>
      <c r="L2231" s="47" t="str">
        <f>IFERROR(VLOOKUP(G2231,WholesaleExtract!B:L,11,FALSE),"")</f>
        <v/>
      </c>
      <c r="M2231" s="47" t="str">
        <f>IFERROR(VLOOKUP(G2231,WholesaleExtract!B:M,12,FALSE),"")</f>
        <v/>
      </c>
      <c r="R2231" s="19"/>
      <c r="S2231" s="19"/>
    </row>
    <row r="2232" spans="1:19" x14ac:dyDescent="0.35">
      <c r="A2232" s="26" t="s">
        <v>543</v>
      </c>
      <c r="B2232" s="26" t="s">
        <v>543</v>
      </c>
      <c r="C2232" s="26"/>
      <c r="D2232" s="26" t="s">
        <v>543</v>
      </c>
      <c r="E2232" s="26" t="str">
        <f>IFERROR(VLOOKUP(G2232,WholesaleExtract!B:J,9,FALSE),"")</f>
        <v/>
      </c>
      <c r="F2232" s="26" t="str">
        <f>IFERROR(VLOOKUP(G2232,WholesaleExtract!B:J,6,FALSE),"")</f>
        <v/>
      </c>
      <c r="H2232" s="47" t="str">
        <f>IFERROR(VLOOKUP(G2232,WholesaleExtract!B:L,11,FALSE),"")</f>
        <v/>
      </c>
      <c r="I2232" s="26" t="str">
        <f>IFERROR(VLOOKUP(G2232,WholesaleExtract!B:O,8,FALSE),"")</f>
        <v/>
      </c>
      <c r="J2232" s="26" t="str">
        <f>IFERROR(VLOOKUP(G2232,WholesaleExtract!B:O,14,FALSE),"")</f>
        <v/>
      </c>
      <c r="K2232" s="26" t="str">
        <f>IFERROR(VLOOKUP(G2232,WholesaleExtract!B:K,10,FALSE),"")</f>
        <v/>
      </c>
      <c r="L2232" s="47" t="str">
        <f>IFERROR(VLOOKUP(G2232,WholesaleExtract!B:L,11,FALSE),"")</f>
        <v/>
      </c>
      <c r="M2232" s="47" t="str">
        <f>IFERROR(VLOOKUP(G2232,WholesaleExtract!B:M,12,FALSE),"")</f>
        <v/>
      </c>
      <c r="R2232" s="19"/>
      <c r="S2232" s="19"/>
    </row>
    <row r="2233" spans="1:19" x14ac:dyDescent="0.35">
      <c r="A2233" s="26" t="s">
        <v>543</v>
      </c>
      <c r="B2233" s="26" t="s">
        <v>543</v>
      </c>
      <c r="C2233" s="26"/>
      <c r="D2233" s="26" t="s">
        <v>543</v>
      </c>
      <c r="E2233" s="26" t="str">
        <f>IFERROR(VLOOKUP(G2233,WholesaleExtract!B:J,9,FALSE),"")</f>
        <v/>
      </c>
      <c r="F2233" s="26" t="str">
        <f>IFERROR(VLOOKUP(G2233,WholesaleExtract!B:J,6,FALSE),"")</f>
        <v/>
      </c>
      <c r="H2233" s="47" t="str">
        <f>IFERROR(VLOOKUP(G2233,WholesaleExtract!B:L,11,FALSE),"")</f>
        <v/>
      </c>
      <c r="I2233" s="26" t="str">
        <f>IFERROR(VLOOKUP(G2233,WholesaleExtract!B:O,8,FALSE),"")</f>
        <v/>
      </c>
      <c r="J2233" s="26" t="str">
        <f>IFERROR(VLOOKUP(G2233,WholesaleExtract!B:O,14,FALSE),"")</f>
        <v/>
      </c>
      <c r="K2233" s="26" t="str">
        <f>IFERROR(VLOOKUP(G2233,WholesaleExtract!B:K,10,FALSE),"")</f>
        <v/>
      </c>
      <c r="L2233" s="47" t="str">
        <f>IFERROR(VLOOKUP(G2233,WholesaleExtract!B:L,11,FALSE),"")</f>
        <v/>
      </c>
      <c r="M2233" s="47" t="str">
        <f>IFERROR(VLOOKUP(G2233,WholesaleExtract!B:M,12,FALSE),"")</f>
        <v/>
      </c>
      <c r="R2233" s="19"/>
      <c r="S2233" s="19"/>
    </row>
    <row r="2234" spans="1:19" x14ac:dyDescent="0.35">
      <c r="A2234" s="26" t="s">
        <v>543</v>
      </c>
      <c r="B2234" s="26" t="s">
        <v>543</v>
      </c>
      <c r="C2234" s="26"/>
      <c r="D2234" s="26" t="s">
        <v>543</v>
      </c>
      <c r="E2234" s="26" t="str">
        <f>IFERROR(VLOOKUP(G2234,WholesaleExtract!B:J,9,FALSE),"")</f>
        <v/>
      </c>
      <c r="F2234" s="26" t="str">
        <f>IFERROR(VLOOKUP(G2234,WholesaleExtract!B:J,6,FALSE),"")</f>
        <v/>
      </c>
      <c r="H2234" s="47" t="str">
        <f>IFERROR(VLOOKUP(G2234,WholesaleExtract!B:L,11,FALSE),"")</f>
        <v/>
      </c>
      <c r="I2234" s="26" t="str">
        <f>IFERROR(VLOOKUP(G2234,WholesaleExtract!B:O,8,FALSE),"")</f>
        <v/>
      </c>
      <c r="J2234" s="26" t="str">
        <f>IFERROR(VLOOKUP(G2234,WholesaleExtract!B:O,14,FALSE),"")</f>
        <v/>
      </c>
      <c r="K2234" s="26" t="str">
        <f>IFERROR(VLOOKUP(G2234,WholesaleExtract!B:K,10,FALSE),"")</f>
        <v/>
      </c>
      <c r="L2234" s="47" t="str">
        <f>IFERROR(VLOOKUP(G2234,WholesaleExtract!B:L,11,FALSE),"")</f>
        <v/>
      </c>
      <c r="M2234" s="47" t="str">
        <f>IFERROR(VLOOKUP(G2234,WholesaleExtract!B:M,12,FALSE),"")</f>
        <v/>
      </c>
      <c r="R2234" s="19"/>
      <c r="S2234" s="19"/>
    </row>
    <row r="2235" spans="1:19" x14ac:dyDescent="0.35">
      <c r="A2235" s="26" t="s">
        <v>543</v>
      </c>
      <c r="B2235" s="26" t="s">
        <v>543</v>
      </c>
      <c r="C2235" s="26"/>
      <c r="D2235" s="26" t="s">
        <v>543</v>
      </c>
      <c r="E2235" s="26" t="str">
        <f>IFERROR(VLOOKUP(G2235,WholesaleExtract!B:J,9,FALSE),"")</f>
        <v/>
      </c>
      <c r="F2235" s="26" t="str">
        <f>IFERROR(VLOOKUP(G2235,WholesaleExtract!B:J,6,FALSE),"")</f>
        <v/>
      </c>
      <c r="H2235" s="47" t="str">
        <f>IFERROR(VLOOKUP(G2235,WholesaleExtract!B:L,11,FALSE),"")</f>
        <v/>
      </c>
      <c r="I2235" s="26" t="str">
        <f>IFERROR(VLOOKUP(G2235,WholesaleExtract!B:O,8,FALSE),"")</f>
        <v/>
      </c>
      <c r="J2235" s="26" t="str">
        <f>IFERROR(VLOOKUP(G2235,WholesaleExtract!B:O,14,FALSE),"")</f>
        <v/>
      </c>
      <c r="K2235" s="26" t="str">
        <f>IFERROR(VLOOKUP(G2235,WholesaleExtract!B:K,10,FALSE),"")</f>
        <v/>
      </c>
      <c r="L2235" s="47" t="str">
        <f>IFERROR(VLOOKUP(G2235,WholesaleExtract!B:L,11,FALSE),"")</f>
        <v/>
      </c>
      <c r="M2235" s="47" t="str">
        <f>IFERROR(VLOOKUP(G2235,WholesaleExtract!B:M,12,FALSE),"")</f>
        <v/>
      </c>
      <c r="R2235" s="19"/>
      <c r="S2235" s="19"/>
    </row>
    <row r="2236" spans="1:19" x14ac:dyDescent="0.35">
      <c r="A2236" s="26" t="s">
        <v>543</v>
      </c>
      <c r="B2236" s="26" t="s">
        <v>543</v>
      </c>
      <c r="C2236" s="26"/>
      <c r="D2236" s="26" t="s">
        <v>543</v>
      </c>
      <c r="E2236" s="26" t="str">
        <f>IFERROR(VLOOKUP(G2236,WholesaleExtract!B:J,9,FALSE),"")</f>
        <v/>
      </c>
      <c r="F2236" s="26" t="str">
        <f>IFERROR(VLOOKUP(G2236,WholesaleExtract!B:J,6,FALSE),"")</f>
        <v/>
      </c>
      <c r="H2236" s="47" t="str">
        <f>IFERROR(VLOOKUP(G2236,WholesaleExtract!B:L,11,FALSE),"")</f>
        <v/>
      </c>
      <c r="I2236" s="26" t="str">
        <f>IFERROR(VLOOKUP(G2236,WholesaleExtract!B:O,8,FALSE),"")</f>
        <v/>
      </c>
      <c r="J2236" s="26" t="str">
        <f>IFERROR(VLOOKUP(G2236,WholesaleExtract!B:O,14,FALSE),"")</f>
        <v/>
      </c>
      <c r="K2236" s="26" t="str">
        <f>IFERROR(VLOOKUP(G2236,WholesaleExtract!B:K,10,FALSE),"")</f>
        <v/>
      </c>
      <c r="L2236" s="47" t="str">
        <f>IFERROR(VLOOKUP(G2236,WholesaleExtract!B:L,11,FALSE),"")</f>
        <v/>
      </c>
      <c r="M2236" s="47" t="str">
        <f>IFERROR(VLOOKUP(G2236,WholesaleExtract!B:M,12,FALSE),"")</f>
        <v/>
      </c>
      <c r="R2236" s="19"/>
      <c r="S2236" s="19"/>
    </row>
    <row r="2237" spans="1:19" x14ac:dyDescent="0.35">
      <c r="A2237" s="26" t="s">
        <v>543</v>
      </c>
      <c r="B2237" s="26" t="s">
        <v>543</v>
      </c>
      <c r="C2237" s="26"/>
      <c r="D2237" s="26" t="s">
        <v>543</v>
      </c>
      <c r="E2237" s="26" t="str">
        <f>IFERROR(VLOOKUP(G2237,WholesaleExtract!B:J,9,FALSE),"")</f>
        <v/>
      </c>
      <c r="F2237" s="26" t="str">
        <f>IFERROR(VLOOKUP(G2237,WholesaleExtract!B:J,6,FALSE),"")</f>
        <v/>
      </c>
      <c r="H2237" s="47" t="str">
        <f>IFERROR(VLOOKUP(G2237,WholesaleExtract!B:L,11,FALSE),"")</f>
        <v/>
      </c>
      <c r="I2237" s="26" t="str">
        <f>IFERROR(VLOOKUP(G2237,WholesaleExtract!B:O,8,FALSE),"")</f>
        <v/>
      </c>
      <c r="J2237" s="26" t="str">
        <f>IFERROR(VLOOKUP(G2237,WholesaleExtract!B:O,14,FALSE),"")</f>
        <v/>
      </c>
      <c r="K2237" s="26" t="str">
        <f>IFERROR(VLOOKUP(G2237,WholesaleExtract!B:K,10,FALSE),"")</f>
        <v/>
      </c>
      <c r="L2237" s="47" t="str">
        <f>IFERROR(VLOOKUP(G2237,WholesaleExtract!B:L,11,FALSE),"")</f>
        <v/>
      </c>
      <c r="M2237" s="47" t="str">
        <f>IFERROR(VLOOKUP(G2237,WholesaleExtract!B:M,12,FALSE),"")</f>
        <v/>
      </c>
      <c r="R2237" s="19"/>
      <c r="S2237" s="19"/>
    </row>
    <row r="2238" spans="1:19" x14ac:dyDescent="0.35">
      <c r="A2238" s="26" t="s">
        <v>543</v>
      </c>
      <c r="B2238" s="26" t="s">
        <v>543</v>
      </c>
      <c r="C2238" s="26"/>
      <c r="D2238" s="26" t="s">
        <v>543</v>
      </c>
      <c r="E2238" s="26" t="str">
        <f>IFERROR(VLOOKUP(G2238,WholesaleExtract!B:J,9,FALSE),"")</f>
        <v/>
      </c>
      <c r="F2238" s="26" t="str">
        <f>IFERROR(VLOOKUP(G2238,WholesaleExtract!B:J,6,FALSE),"")</f>
        <v/>
      </c>
      <c r="H2238" s="47" t="str">
        <f>IFERROR(VLOOKUP(G2238,WholesaleExtract!B:L,11,FALSE),"")</f>
        <v/>
      </c>
      <c r="I2238" s="26" t="str">
        <f>IFERROR(VLOOKUP(G2238,WholesaleExtract!B:O,8,FALSE),"")</f>
        <v/>
      </c>
      <c r="J2238" s="26" t="str">
        <f>IFERROR(VLOOKUP(G2238,WholesaleExtract!B:O,14,FALSE),"")</f>
        <v/>
      </c>
      <c r="K2238" s="26" t="str">
        <f>IFERROR(VLOOKUP(G2238,WholesaleExtract!B:K,10,FALSE),"")</f>
        <v/>
      </c>
      <c r="L2238" s="47" t="str">
        <f>IFERROR(VLOOKUP(G2238,WholesaleExtract!B:L,11,FALSE),"")</f>
        <v/>
      </c>
      <c r="M2238" s="47" t="str">
        <f>IFERROR(VLOOKUP(G2238,WholesaleExtract!B:M,12,FALSE),"")</f>
        <v/>
      </c>
      <c r="R2238" s="19"/>
      <c r="S2238" s="19"/>
    </row>
    <row r="2239" spans="1:19" x14ac:dyDescent="0.35">
      <c r="A2239" s="26" t="s">
        <v>543</v>
      </c>
      <c r="B2239" s="26" t="s">
        <v>543</v>
      </c>
      <c r="C2239" s="26"/>
      <c r="D2239" s="26" t="s">
        <v>543</v>
      </c>
      <c r="E2239" s="26" t="str">
        <f>IFERROR(VLOOKUP(G2239,WholesaleExtract!B:J,9,FALSE),"")</f>
        <v/>
      </c>
      <c r="F2239" s="26" t="str">
        <f>IFERROR(VLOOKUP(G2239,WholesaleExtract!B:J,6,FALSE),"")</f>
        <v/>
      </c>
      <c r="H2239" s="47" t="str">
        <f>IFERROR(VLOOKUP(G2239,WholesaleExtract!B:L,11,FALSE),"")</f>
        <v/>
      </c>
      <c r="I2239" s="26" t="str">
        <f>IFERROR(VLOOKUP(G2239,WholesaleExtract!B:O,8,FALSE),"")</f>
        <v/>
      </c>
      <c r="J2239" s="26" t="str">
        <f>IFERROR(VLOOKUP(G2239,WholesaleExtract!B:O,14,FALSE),"")</f>
        <v/>
      </c>
      <c r="K2239" s="26" t="str">
        <f>IFERROR(VLOOKUP(G2239,WholesaleExtract!B:K,10,FALSE),"")</f>
        <v/>
      </c>
      <c r="L2239" s="47" t="str">
        <f>IFERROR(VLOOKUP(G2239,WholesaleExtract!B:L,11,FALSE),"")</f>
        <v/>
      </c>
      <c r="M2239" s="47" t="str">
        <f>IFERROR(VLOOKUP(G2239,WholesaleExtract!B:M,12,FALSE),"")</f>
        <v/>
      </c>
      <c r="R2239" s="19"/>
      <c r="S2239" s="19"/>
    </row>
    <row r="2240" spans="1:19" x14ac:dyDescent="0.35">
      <c r="A2240" s="26" t="s">
        <v>543</v>
      </c>
      <c r="B2240" s="26" t="s">
        <v>543</v>
      </c>
      <c r="C2240" s="26"/>
      <c r="D2240" s="26" t="s">
        <v>543</v>
      </c>
      <c r="E2240" s="26" t="str">
        <f>IFERROR(VLOOKUP(G2240,WholesaleExtract!B:J,9,FALSE),"")</f>
        <v/>
      </c>
      <c r="F2240" s="26" t="str">
        <f>IFERROR(VLOOKUP(G2240,WholesaleExtract!B:J,6,FALSE),"")</f>
        <v/>
      </c>
      <c r="H2240" s="47" t="str">
        <f>IFERROR(VLOOKUP(G2240,WholesaleExtract!B:L,11,FALSE),"")</f>
        <v/>
      </c>
      <c r="I2240" s="26" t="str">
        <f>IFERROR(VLOOKUP(G2240,WholesaleExtract!B:O,8,FALSE),"")</f>
        <v/>
      </c>
      <c r="J2240" s="26" t="str">
        <f>IFERROR(VLOOKUP(G2240,WholesaleExtract!B:O,14,FALSE),"")</f>
        <v/>
      </c>
      <c r="K2240" s="26" t="str">
        <f>IFERROR(VLOOKUP(G2240,WholesaleExtract!B:K,10,FALSE),"")</f>
        <v/>
      </c>
      <c r="L2240" s="47" t="str">
        <f>IFERROR(VLOOKUP(G2240,WholesaleExtract!B:L,11,FALSE),"")</f>
        <v/>
      </c>
      <c r="M2240" s="47" t="str">
        <f>IFERROR(VLOOKUP(G2240,WholesaleExtract!B:M,12,FALSE),"")</f>
        <v/>
      </c>
      <c r="R2240" s="19"/>
      <c r="S2240" s="19"/>
    </row>
    <row r="2241" spans="1:19" x14ac:dyDescent="0.35">
      <c r="A2241" s="26" t="s">
        <v>543</v>
      </c>
      <c r="B2241" s="26" t="s">
        <v>543</v>
      </c>
      <c r="C2241" s="26"/>
      <c r="D2241" s="26" t="s">
        <v>543</v>
      </c>
      <c r="E2241" s="26" t="str">
        <f>IFERROR(VLOOKUP(G2241,WholesaleExtract!B:J,9,FALSE),"")</f>
        <v/>
      </c>
      <c r="F2241" s="26" t="str">
        <f>IFERROR(VLOOKUP(G2241,WholesaleExtract!B:J,6,FALSE),"")</f>
        <v/>
      </c>
      <c r="H2241" s="47" t="str">
        <f>IFERROR(VLOOKUP(G2241,WholesaleExtract!B:L,11,FALSE),"")</f>
        <v/>
      </c>
      <c r="I2241" s="26" t="str">
        <f>IFERROR(VLOOKUP(G2241,WholesaleExtract!B:O,8,FALSE),"")</f>
        <v/>
      </c>
      <c r="J2241" s="26" t="str">
        <f>IFERROR(VLOOKUP(G2241,WholesaleExtract!B:O,14,FALSE),"")</f>
        <v/>
      </c>
      <c r="K2241" s="26" t="str">
        <f>IFERROR(VLOOKUP(G2241,WholesaleExtract!B:K,10,FALSE),"")</f>
        <v/>
      </c>
      <c r="L2241" s="47" t="str">
        <f>IFERROR(VLOOKUP(G2241,WholesaleExtract!B:L,11,FALSE),"")</f>
        <v/>
      </c>
      <c r="M2241" s="47" t="str">
        <f>IFERROR(VLOOKUP(G2241,WholesaleExtract!B:M,12,FALSE),"")</f>
        <v/>
      </c>
      <c r="R2241" s="19"/>
      <c r="S2241" s="19"/>
    </row>
    <row r="2242" spans="1:19" x14ac:dyDescent="0.35">
      <c r="A2242" s="26" t="s">
        <v>543</v>
      </c>
      <c r="B2242" s="26" t="s">
        <v>543</v>
      </c>
      <c r="C2242" s="26"/>
      <c r="D2242" s="26" t="s">
        <v>543</v>
      </c>
      <c r="E2242" s="26" t="str">
        <f>IFERROR(VLOOKUP(G2242,WholesaleExtract!B:J,9,FALSE),"")</f>
        <v/>
      </c>
      <c r="F2242" s="26" t="str">
        <f>IFERROR(VLOOKUP(G2242,WholesaleExtract!B:J,6,FALSE),"")</f>
        <v/>
      </c>
      <c r="H2242" s="47" t="str">
        <f>IFERROR(VLOOKUP(G2242,WholesaleExtract!B:L,11,FALSE),"")</f>
        <v/>
      </c>
      <c r="I2242" s="26" t="str">
        <f>IFERROR(VLOOKUP(G2242,WholesaleExtract!B:O,8,FALSE),"")</f>
        <v/>
      </c>
      <c r="J2242" s="26" t="str">
        <f>IFERROR(VLOOKUP(G2242,WholesaleExtract!B:O,14,FALSE),"")</f>
        <v/>
      </c>
      <c r="K2242" s="26" t="str">
        <f>IFERROR(VLOOKUP(G2242,WholesaleExtract!B:K,10,FALSE),"")</f>
        <v/>
      </c>
      <c r="L2242" s="47" t="str">
        <f>IFERROR(VLOOKUP(G2242,WholesaleExtract!B:L,11,FALSE),"")</f>
        <v/>
      </c>
      <c r="M2242" s="47" t="str">
        <f>IFERROR(VLOOKUP(G2242,WholesaleExtract!B:M,12,FALSE),"")</f>
        <v/>
      </c>
      <c r="R2242" s="19"/>
      <c r="S2242" s="19"/>
    </row>
    <row r="2243" spans="1:19" x14ac:dyDescent="0.35">
      <c r="A2243" s="26" t="s">
        <v>543</v>
      </c>
      <c r="B2243" s="26" t="s">
        <v>543</v>
      </c>
      <c r="C2243" s="26"/>
      <c r="D2243" s="26" t="s">
        <v>543</v>
      </c>
      <c r="E2243" s="26" t="str">
        <f>IFERROR(VLOOKUP(G2243,WholesaleExtract!B:J,9,FALSE),"")</f>
        <v/>
      </c>
      <c r="F2243" s="26" t="str">
        <f>IFERROR(VLOOKUP(G2243,WholesaleExtract!B:J,6,FALSE),"")</f>
        <v/>
      </c>
      <c r="H2243" s="47" t="str">
        <f>IFERROR(VLOOKUP(G2243,WholesaleExtract!B:L,11,FALSE),"")</f>
        <v/>
      </c>
      <c r="I2243" s="26" t="str">
        <f>IFERROR(VLOOKUP(G2243,WholesaleExtract!B:O,8,FALSE),"")</f>
        <v/>
      </c>
      <c r="J2243" s="26" t="str">
        <f>IFERROR(VLOOKUP(G2243,WholesaleExtract!B:O,14,FALSE),"")</f>
        <v/>
      </c>
      <c r="K2243" s="26" t="str">
        <f>IFERROR(VLOOKUP(G2243,WholesaleExtract!B:K,10,FALSE),"")</f>
        <v/>
      </c>
      <c r="L2243" s="47" t="str">
        <f>IFERROR(VLOOKUP(G2243,WholesaleExtract!B:L,11,FALSE),"")</f>
        <v/>
      </c>
      <c r="M2243" s="47" t="str">
        <f>IFERROR(VLOOKUP(G2243,WholesaleExtract!B:M,12,FALSE),"")</f>
        <v/>
      </c>
      <c r="R2243" s="19"/>
      <c r="S2243" s="19"/>
    </row>
    <row r="2244" spans="1:19" x14ac:dyDescent="0.35">
      <c r="A2244" s="26" t="s">
        <v>543</v>
      </c>
      <c r="B2244" s="26" t="s">
        <v>543</v>
      </c>
      <c r="C2244" s="26"/>
      <c r="D2244" s="26" t="s">
        <v>543</v>
      </c>
      <c r="E2244" s="26" t="str">
        <f>IFERROR(VLOOKUP(G2244,WholesaleExtract!B:J,9,FALSE),"")</f>
        <v/>
      </c>
      <c r="F2244" s="26" t="str">
        <f>IFERROR(VLOOKUP(G2244,WholesaleExtract!B:J,6,FALSE),"")</f>
        <v/>
      </c>
      <c r="H2244" s="47" t="str">
        <f>IFERROR(VLOOKUP(G2244,WholesaleExtract!B:L,11,FALSE),"")</f>
        <v/>
      </c>
      <c r="I2244" s="26" t="str">
        <f>IFERROR(VLOOKUP(G2244,WholesaleExtract!B:O,8,FALSE),"")</f>
        <v/>
      </c>
      <c r="J2244" s="26" t="str">
        <f>IFERROR(VLOOKUP(G2244,WholesaleExtract!B:O,14,FALSE),"")</f>
        <v/>
      </c>
      <c r="K2244" s="26" t="str">
        <f>IFERROR(VLOOKUP(G2244,WholesaleExtract!B:K,10,FALSE),"")</f>
        <v/>
      </c>
      <c r="L2244" s="47" t="str">
        <f>IFERROR(VLOOKUP(G2244,WholesaleExtract!B:L,11,FALSE),"")</f>
        <v/>
      </c>
      <c r="M2244" s="47" t="str">
        <f>IFERROR(VLOOKUP(G2244,WholesaleExtract!B:M,12,FALSE),"")</f>
        <v/>
      </c>
      <c r="R2244" s="19"/>
      <c r="S2244" s="19"/>
    </row>
    <row r="2245" spans="1:19" x14ac:dyDescent="0.35">
      <c r="A2245" s="26" t="s">
        <v>543</v>
      </c>
      <c r="B2245" s="26" t="s">
        <v>543</v>
      </c>
      <c r="C2245" s="26"/>
      <c r="D2245" s="26" t="s">
        <v>543</v>
      </c>
      <c r="E2245" s="26" t="str">
        <f>IFERROR(VLOOKUP(G2245,WholesaleExtract!B:J,9,FALSE),"")</f>
        <v/>
      </c>
      <c r="F2245" s="26" t="str">
        <f>IFERROR(VLOOKUP(G2245,WholesaleExtract!B:J,6,FALSE),"")</f>
        <v/>
      </c>
      <c r="H2245" s="47" t="str">
        <f>IFERROR(VLOOKUP(G2245,WholesaleExtract!B:L,11,FALSE),"")</f>
        <v/>
      </c>
      <c r="I2245" s="26" t="str">
        <f>IFERROR(VLOOKUP(G2245,WholesaleExtract!B:O,8,FALSE),"")</f>
        <v/>
      </c>
      <c r="J2245" s="26" t="str">
        <f>IFERROR(VLOOKUP(G2245,WholesaleExtract!B:O,14,FALSE),"")</f>
        <v/>
      </c>
      <c r="K2245" s="26" t="str">
        <f>IFERROR(VLOOKUP(G2245,WholesaleExtract!B:K,10,FALSE),"")</f>
        <v/>
      </c>
      <c r="L2245" s="47" t="str">
        <f>IFERROR(VLOOKUP(G2245,WholesaleExtract!B:L,11,FALSE),"")</f>
        <v/>
      </c>
      <c r="M2245" s="47" t="str">
        <f>IFERROR(VLOOKUP(G2245,WholesaleExtract!B:M,12,FALSE),"")</f>
        <v/>
      </c>
      <c r="R2245" s="19"/>
      <c r="S2245" s="19"/>
    </row>
    <row r="2246" spans="1:19" x14ac:dyDescent="0.35">
      <c r="A2246" s="26" t="s">
        <v>543</v>
      </c>
      <c r="B2246" s="26" t="s">
        <v>543</v>
      </c>
      <c r="C2246" s="26"/>
      <c r="D2246" s="26" t="s">
        <v>543</v>
      </c>
      <c r="E2246" s="26" t="str">
        <f>IFERROR(VLOOKUP(G2246,WholesaleExtract!B:J,9,FALSE),"")</f>
        <v/>
      </c>
      <c r="F2246" s="26" t="str">
        <f>IFERROR(VLOOKUP(G2246,WholesaleExtract!B:J,6,FALSE),"")</f>
        <v/>
      </c>
      <c r="H2246" s="47" t="str">
        <f>IFERROR(VLOOKUP(G2246,WholesaleExtract!B:L,11,FALSE),"")</f>
        <v/>
      </c>
      <c r="I2246" s="26" t="str">
        <f>IFERROR(VLOOKUP(G2246,WholesaleExtract!B:O,8,FALSE),"")</f>
        <v/>
      </c>
      <c r="J2246" s="26" t="str">
        <f>IFERROR(VLOOKUP(G2246,WholesaleExtract!B:O,14,FALSE),"")</f>
        <v/>
      </c>
      <c r="K2246" s="26" t="str">
        <f>IFERROR(VLOOKUP(G2246,WholesaleExtract!B:K,10,FALSE),"")</f>
        <v/>
      </c>
      <c r="L2246" s="47" t="str">
        <f>IFERROR(VLOOKUP(G2246,WholesaleExtract!B:L,11,FALSE),"")</f>
        <v/>
      </c>
      <c r="M2246" s="47" t="str">
        <f>IFERROR(VLOOKUP(G2246,WholesaleExtract!B:M,12,FALSE),"")</f>
        <v/>
      </c>
      <c r="R2246" s="19"/>
      <c r="S2246" s="19"/>
    </row>
    <row r="2247" spans="1:19" x14ac:dyDescent="0.35">
      <c r="A2247" s="26" t="s">
        <v>543</v>
      </c>
      <c r="B2247" s="26" t="s">
        <v>543</v>
      </c>
      <c r="C2247" s="26"/>
      <c r="D2247" s="26" t="s">
        <v>543</v>
      </c>
      <c r="E2247" s="26" t="str">
        <f>IFERROR(VLOOKUP(G2247,WholesaleExtract!B:J,9,FALSE),"")</f>
        <v/>
      </c>
      <c r="F2247" s="26" t="str">
        <f>IFERROR(VLOOKUP(G2247,WholesaleExtract!B:J,6,FALSE),"")</f>
        <v/>
      </c>
      <c r="H2247" s="47" t="str">
        <f>IFERROR(VLOOKUP(G2247,WholesaleExtract!B:L,11,FALSE),"")</f>
        <v/>
      </c>
      <c r="I2247" s="26" t="str">
        <f>IFERROR(VLOOKUP(G2247,WholesaleExtract!B:O,8,FALSE),"")</f>
        <v/>
      </c>
      <c r="J2247" s="26" t="str">
        <f>IFERROR(VLOOKUP(G2247,WholesaleExtract!B:O,14,FALSE),"")</f>
        <v/>
      </c>
      <c r="K2247" s="26" t="str">
        <f>IFERROR(VLOOKUP(G2247,WholesaleExtract!B:K,10,FALSE),"")</f>
        <v/>
      </c>
      <c r="L2247" s="47" t="str">
        <f>IFERROR(VLOOKUP(G2247,WholesaleExtract!B:L,11,FALSE),"")</f>
        <v/>
      </c>
      <c r="M2247" s="47" t="str">
        <f>IFERROR(VLOOKUP(G2247,WholesaleExtract!B:M,12,FALSE),"")</f>
        <v/>
      </c>
      <c r="R2247" s="19"/>
      <c r="S2247" s="19"/>
    </row>
    <row r="2248" spans="1:19" x14ac:dyDescent="0.35">
      <c r="A2248" s="26" t="s">
        <v>543</v>
      </c>
      <c r="B2248" s="26" t="s">
        <v>543</v>
      </c>
      <c r="C2248" s="26"/>
      <c r="D2248" s="26" t="s">
        <v>543</v>
      </c>
      <c r="E2248" s="26" t="str">
        <f>IFERROR(VLOOKUP(G2248,WholesaleExtract!B:J,9,FALSE),"")</f>
        <v/>
      </c>
      <c r="F2248" s="26" t="str">
        <f>IFERROR(VLOOKUP(G2248,WholesaleExtract!B:J,6,FALSE),"")</f>
        <v/>
      </c>
      <c r="H2248" s="47" t="str">
        <f>IFERROR(VLOOKUP(G2248,WholesaleExtract!B:L,11,FALSE),"")</f>
        <v/>
      </c>
      <c r="I2248" s="26" t="str">
        <f>IFERROR(VLOOKUP(G2248,WholesaleExtract!B:O,8,FALSE),"")</f>
        <v/>
      </c>
      <c r="J2248" s="26" t="str">
        <f>IFERROR(VLOOKUP(G2248,WholesaleExtract!B:O,14,FALSE),"")</f>
        <v/>
      </c>
      <c r="K2248" s="26" t="str">
        <f>IFERROR(VLOOKUP(G2248,WholesaleExtract!B:K,10,FALSE),"")</f>
        <v/>
      </c>
      <c r="L2248" s="47" t="str">
        <f>IFERROR(VLOOKUP(G2248,WholesaleExtract!B:L,11,FALSE),"")</f>
        <v/>
      </c>
      <c r="M2248" s="47" t="str">
        <f>IFERROR(VLOOKUP(G2248,WholesaleExtract!B:M,12,FALSE),"")</f>
        <v/>
      </c>
      <c r="R2248" s="19"/>
      <c r="S2248" s="19"/>
    </row>
    <row r="2249" spans="1:19" x14ac:dyDescent="0.35">
      <c r="A2249" s="26" t="s">
        <v>543</v>
      </c>
      <c r="B2249" s="26" t="s">
        <v>543</v>
      </c>
      <c r="C2249" s="26"/>
      <c r="D2249" s="26" t="s">
        <v>543</v>
      </c>
      <c r="E2249" s="26" t="str">
        <f>IFERROR(VLOOKUP(G2249,WholesaleExtract!B:J,9,FALSE),"")</f>
        <v/>
      </c>
      <c r="F2249" s="26" t="str">
        <f>IFERROR(VLOOKUP(G2249,WholesaleExtract!B:J,6,FALSE),"")</f>
        <v/>
      </c>
      <c r="H2249" s="47" t="str">
        <f>IFERROR(VLOOKUP(G2249,WholesaleExtract!B:L,11,FALSE),"")</f>
        <v/>
      </c>
      <c r="I2249" s="26" t="str">
        <f>IFERROR(VLOOKUP(G2249,WholesaleExtract!B:O,8,FALSE),"")</f>
        <v/>
      </c>
      <c r="J2249" s="26" t="str">
        <f>IFERROR(VLOOKUP(G2249,WholesaleExtract!B:O,14,FALSE),"")</f>
        <v/>
      </c>
      <c r="K2249" s="26" t="str">
        <f>IFERROR(VLOOKUP(G2249,WholesaleExtract!B:K,10,FALSE),"")</f>
        <v/>
      </c>
      <c r="L2249" s="47" t="str">
        <f>IFERROR(VLOOKUP(G2249,WholesaleExtract!B:L,11,FALSE),"")</f>
        <v/>
      </c>
      <c r="M2249" s="47" t="str">
        <f>IFERROR(VLOOKUP(G2249,WholesaleExtract!B:M,12,FALSE),"")</f>
        <v/>
      </c>
      <c r="R2249" s="19"/>
      <c r="S2249" s="19"/>
    </row>
    <row r="2250" spans="1:19" x14ac:dyDescent="0.35">
      <c r="A2250" s="26" t="s">
        <v>543</v>
      </c>
      <c r="B2250" s="26" t="s">
        <v>543</v>
      </c>
      <c r="C2250" s="26"/>
      <c r="D2250" s="26" t="s">
        <v>543</v>
      </c>
      <c r="E2250" s="26" t="str">
        <f>IFERROR(VLOOKUP(G2250,WholesaleExtract!B:J,9,FALSE),"")</f>
        <v/>
      </c>
      <c r="F2250" s="26" t="str">
        <f>IFERROR(VLOOKUP(G2250,WholesaleExtract!B:J,6,FALSE),"")</f>
        <v/>
      </c>
      <c r="H2250" s="47" t="str">
        <f>IFERROR(VLOOKUP(G2250,WholesaleExtract!B:L,11,FALSE),"")</f>
        <v/>
      </c>
      <c r="I2250" s="26" t="str">
        <f>IFERROR(VLOOKUP(G2250,WholesaleExtract!B:O,8,FALSE),"")</f>
        <v/>
      </c>
      <c r="J2250" s="26" t="str">
        <f>IFERROR(VLOOKUP(G2250,WholesaleExtract!B:O,14,FALSE),"")</f>
        <v/>
      </c>
      <c r="K2250" s="26" t="str">
        <f>IFERROR(VLOOKUP(G2250,WholesaleExtract!B:K,10,FALSE),"")</f>
        <v/>
      </c>
      <c r="L2250" s="47" t="str">
        <f>IFERROR(VLOOKUP(G2250,WholesaleExtract!B:L,11,FALSE),"")</f>
        <v/>
      </c>
      <c r="M2250" s="47" t="str">
        <f>IFERROR(VLOOKUP(G2250,WholesaleExtract!B:M,12,FALSE),"")</f>
        <v/>
      </c>
      <c r="R2250" s="19"/>
      <c r="S2250" s="19"/>
    </row>
    <row r="2251" spans="1:19" x14ac:dyDescent="0.35">
      <c r="A2251" s="26" t="s">
        <v>543</v>
      </c>
      <c r="B2251" s="26" t="s">
        <v>543</v>
      </c>
      <c r="C2251" s="26"/>
      <c r="D2251" s="26" t="s">
        <v>543</v>
      </c>
      <c r="E2251" s="26" t="str">
        <f>IFERROR(VLOOKUP(G2251,WholesaleExtract!B:J,9,FALSE),"")</f>
        <v/>
      </c>
      <c r="F2251" s="26" t="str">
        <f>IFERROR(VLOOKUP(G2251,WholesaleExtract!B:J,6,FALSE),"")</f>
        <v/>
      </c>
      <c r="H2251" s="47" t="str">
        <f>IFERROR(VLOOKUP(G2251,WholesaleExtract!B:L,11,FALSE),"")</f>
        <v/>
      </c>
      <c r="I2251" s="26" t="str">
        <f>IFERROR(VLOOKUP(G2251,WholesaleExtract!B:O,8,FALSE),"")</f>
        <v/>
      </c>
      <c r="J2251" s="26" t="str">
        <f>IFERROR(VLOOKUP(G2251,WholesaleExtract!B:O,14,FALSE),"")</f>
        <v/>
      </c>
      <c r="K2251" s="26" t="str">
        <f>IFERROR(VLOOKUP(G2251,WholesaleExtract!B:K,10,FALSE),"")</f>
        <v/>
      </c>
      <c r="L2251" s="47" t="str">
        <f>IFERROR(VLOOKUP(G2251,WholesaleExtract!B:L,11,FALSE),"")</f>
        <v/>
      </c>
      <c r="M2251" s="47" t="str">
        <f>IFERROR(VLOOKUP(G2251,WholesaleExtract!B:M,12,FALSE),"")</f>
        <v/>
      </c>
      <c r="R2251" s="19"/>
      <c r="S2251" s="19"/>
    </row>
    <row r="2252" spans="1:19" x14ac:dyDescent="0.35">
      <c r="A2252" s="26" t="s">
        <v>543</v>
      </c>
      <c r="B2252" s="26" t="s">
        <v>543</v>
      </c>
      <c r="C2252" s="26"/>
      <c r="D2252" s="26" t="s">
        <v>543</v>
      </c>
      <c r="E2252" s="26" t="str">
        <f>IFERROR(VLOOKUP(G2252,WholesaleExtract!B:J,9,FALSE),"")</f>
        <v/>
      </c>
      <c r="F2252" s="26" t="str">
        <f>IFERROR(VLOOKUP(G2252,WholesaleExtract!B:J,6,FALSE),"")</f>
        <v/>
      </c>
      <c r="H2252" s="47" t="str">
        <f>IFERROR(VLOOKUP(G2252,WholesaleExtract!B:L,11,FALSE),"")</f>
        <v/>
      </c>
      <c r="I2252" s="26" t="str">
        <f>IFERROR(VLOOKUP(G2252,WholesaleExtract!B:O,8,FALSE),"")</f>
        <v/>
      </c>
      <c r="J2252" s="26" t="str">
        <f>IFERROR(VLOOKUP(G2252,WholesaleExtract!B:O,14,FALSE),"")</f>
        <v/>
      </c>
      <c r="K2252" s="26" t="str">
        <f>IFERROR(VLOOKUP(G2252,WholesaleExtract!B:K,10,FALSE),"")</f>
        <v/>
      </c>
      <c r="L2252" s="47" t="str">
        <f>IFERROR(VLOOKUP(G2252,WholesaleExtract!B:L,11,FALSE),"")</f>
        <v/>
      </c>
      <c r="M2252" s="47" t="str">
        <f>IFERROR(VLOOKUP(G2252,WholesaleExtract!B:M,12,FALSE),"")</f>
        <v/>
      </c>
      <c r="R2252" s="19"/>
      <c r="S2252" s="19"/>
    </row>
    <row r="2253" spans="1:19" x14ac:dyDescent="0.35">
      <c r="A2253" s="26" t="s">
        <v>543</v>
      </c>
      <c r="B2253" s="26" t="s">
        <v>543</v>
      </c>
      <c r="C2253" s="26"/>
      <c r="D2253" s="26" t="s">
        <v>543</v>
      </c>
      <c r="E2253" s="26" t="str">
        <f>IFERROR(VLOOKUP(G2253,WholesaleExtract!B:J,9,FALSE),"")</f>
        <v/>
      </c>
      <c r="F2253" s="26" t="str">
        <f>IFERROR(VLOOKUP(G2253,WholesaleExtract!B:J,6,FALSE),"")</f>
        <v/>
      </c>
      <c r="H2253" s="47" t="str">
        <f>IFERROR(VLOOKUP(G2253,WholesaleExtract!B:L,11,FALSE),"")</f>
        <v/>
      </c>
      <c r="I2253" s="26" t="str">
        <f>IFERROR(VLOOKUP(G2253,WholesaleExtract!B:O,8,FALSE),"")</f>
        <v/>
      </c>
      <c r="J2253" s="26" t="str">
        <f>IFERROR(VLOOKUP(G2253,WholesaleExtract!B:O,14,FALSE),"")</f>
        <v/>
      </c>
      <c r="K2253" s="26" t="str">
        <f>IFERROR(VLOOKUP(G2253,WholesaleExtract!B:K,10,FALSE),"")</f>
        <v/>
      </c>
      <c r="L2253" s="47" t="str">
        <f>IFERROR(VLOOKUP(G2253,WholesaleExtract!B:L,11,FALSE),"")</f>
        <v/>
      </c>
      <c r="M2253" s="47" t="str">
        <f>IFERROR(VLOOKUP(G2253,WholesaleExtract!B:M,12,FALSE),"")</f>
        <v/>
      </c>
      <c r="R2253" s="19"/>
      <c r="S2253" s="19"/>
    </row>
    <row r="2254" spans="1:19" x14ac:dyDescent="0.35">
      <c r="A2254" s="26" t="s">
        <v>543</v>
      </c>
      <c r="B2254" s="26" t="s">
        <v>543</v>
      </c>
      <c r="C2254" s="26"/>
      <c r="D2254" s="26" t="s">
        <v>543</v>
      </c>
      <c r="E2254" s="26" t="str">
        <f>IFERROR(VLOOKUP(G2254,WholesaleExtract!B:J,9,FALSE),"")</f>
        <v/>
      </c>
      <c r="F2254" s="26" t="str">
        <f>IFERROR(VLOOKUP(G2254,WholesaleExtract!B:J,6,FALSE),"")</f>
        <v/>
      </c>
      <c r="H2254" s="47" t="str">
        <f>IFERROR(VLOOKUP(G2254,WholesaleExtract!B:L,11,FALSE),"")</f>
        <v/>
      </c>
      <c r="I2254" s="26" t="str">
        <f>IFERROR(VLOOKUP(G2254,WholesaleExtract!B:O,8,FALSE),"")</f>
        <v/>
      </c>
      <c r="J2254" s="26" t="str">
        <f>IFERROR(VLOOKUP(G2254,WholesaleExtract!B:O,14,FALSE),"")</f>
        <v/>
      </c>
      <c r="K2254" s="26" t="str">
        <f>IFERROR(VLOOKUP(G2254,WholesaleExtract!B:K,10,FALSE),"")</f>
        <v/>
      </c>
      <c r="L2254" s="47" t="str">
        <f>IFERROR(VLOOKUP(G2254,WholesaleExtract!B:L,11,FALSE),"")</f>
        <v/>
      </c>
      <c r="M2254" s="47" t="str">
        <f>IFERROR(VLOOKUP(G2254,WholesaleExtract!B:M,12,FALSE),"")</f>
        <v/>
      </c>
      <c r="R2254" s="19"/>
      <c r="S2254" s="19"/>
    </row>
    <row r="2255" spans="1:19" x14ac:dyDescent="0.35">
      <c r="A2255" s="26" t="s">
        <v>543</v>
      </c>
      <c r="B2255" s="26" t="s">
        <v>543</v>
      </c>
      <c r="C2255" s="26"/>
      <c r="D2255" s="26" t="s">
        <v>543</v>
      </c>
      <c r="E2255" s="26" t="str">
        <f>IFERROR(VLOOKUP(G2255,WholesaleExtract!B:J,9,FALSE),"")</f>
        <v/>
      </c>
      <c r="F2255" s="26" t="str">
        <f>IFERROR(VLOOKUP(G2255,WholesaleExtract!B:J,6,FALSE),"")</f>
        <v/>
      </c>
      <c r="H2255" s="47" t="str">
        <f>IFERROR(VLOOKUP(G2255,WholesaleExtract!B:L,11,FALSE),"")</f>
        <v/>
      </c>
      <c r="I2255" s="26" t="str">
        <f>IFERROR(VLOOKUP(G2255,WholesaleExtract!B:O,8,FALSE),"")</f>
        <v/>
      </c>
      <c r="J2255" s="26" t="str">
        <f>IFERROR(VLOOKUP(G2255,WholesaleExtract!B:O,14,FALSE),"")</f>
        <v/>
      </c>
      <c r="K2255" s="26" t="str">
        <f>IFERROR(VLOOKUP(G2255,WholesaleExtract!B:K,10,FALSE),"")</f>
        <v/>
      </c>
      <c r="L2255" s="47" t="str">
        <f>IFERROR(VLOOKUP(G2255,WholesaleExtract!B:L,11,FALSE),"")</f>
        <v/>
      </c>
      <c r="M2255" s="47" t="str">
        <f>IFERROR(VLOOKUP(G2255,WholesaleExtract!B:M,12,FALSE),"")</f>
        <v/>
      </c>
      <c r="R2255" s="19"/>
      <c r="S2255" s="19"/>
    </row>
    <row r="2256" spans="1:19" x14ac:dyDescent="0.35">
      <c r="A2256" s="26" t="s">
        <v>543</v>
      </c>
      <c r="B2256" s="26" t="s">
        <v>543</v>
      </c>
      <c r="C2256" s="26"/>
      <c r="D2256" s="26" t="s">
        <v>543</v>
      </c>
      <c r="E2256" s="26" t="str">
        <f>IFERROR(VLOOKUP(G2256,WholesaleExtract!B:J,9,FALSE),"")</f>
        <v/>
      </c>
      <c r="F2256" s="26" t="str">
        <f>IFERROR(VLOOKUP(G2256,WholesaleExtract!B:J,6,FALSE),"")</f>
        <v/>
      </c>
      <c r="H2256" s="47" t="str">
        <f>IFERROR(VLOOKUP(G2256,WholesaleExtract!B:L,11,FALSE),"")</f>
        <v/>
      </c>
      <c r="I2256" s="26" t="str">
        <f>IFERROR(VLOOKUP(G2256,WholesaleExtract!B:O,8,FALSE),"")</f>
        <v/>
      </c>
      <c r="J2256" s="26" t="str">
        <f>IFERROR(VLOOKUP(G2256,WholesaleExtract!B:O,14,FALSE),"")</f>
        <v/>
      </c>
      <c r="K2256" s="26" t="str">
        <f>IFERROR(VLOOKUP(G2256,WholesaleExtract!B:K,10,FALSE),"")</f>
        <v/>
      </c>
      <c r="L2256" s="47" t="str">
        <f>IFERROR(VLOOKUP(G2256,WholesaleExtract!B:L,11,FALSE),"")</f>
        <v/>
      </c>
      <c r="M2256" s="47" t="str">
        <f>IFERROR(VLOOKUP(G2256,WholesaleExtract!B:M,12,FALSE),"")</f>
        <v/>
      </c>
      <c r="R2256" s="19"/>
      <c r="S2256" s="19"/>
    </row>
    <row r="2257" spans="1:19" x14ac:dyDescent="0.35">
      <c r="A2257" s="26" t="s">
        <v>543</v>
      </c>
      <c r="B2257" s="26" t="s">
        <v>543</v>
      </c>
      <c r="C2257" s="26"/>
      <c r="D2257" s="26" t="s">
        <v>543</v>
      </c>
      <c r="E2257" s="26" t="str">
        <f>IFERROR(VLOOKUP(G2257,WholesaleExtract!B:J,9,FALSE),"")</f>
        <v/>
      </c>
      <c r="F2257" s="26" t="str">
        <f>IFERROR(VLOOKUP(G2257,WholesaleExtract!B:J,6,FALSE),"")</f>
        <v/>
      </c>
      <c r="H2257" s="47" t="str">
        <f>IFERROR(VLOOKUP(G2257,WholesaleExtract!B:L,11,FALSE),"")</f>
        <v/>
      </c>
      <c r="I2257" s="26" t="str">
        <f>IFERROR(VLOOKUP(G2257,WholesaleExtract!B:O,8,FALSE),"")</f>
        <v/>
      </c>
      <c r="J2257" s="26" t="str">
        <f>IFERROR(VLOOKUP(G2257,WholesaleExtract!B:O,14,FALSE),"")</f>
        <v/>
      </c>
      <c r="K2257" s="26" t="str">
        <f>IFERROR(VLOOKUP(G2257,WholesaleExtract!B:K,10,FALSE),"")</f>
        <v/>
      </c>
      <c r="L2257" s="47" t="str">
        <f>IFERROR(VLOOKUP(G2257,WholesaleExtract!B:L,11,FALSE),"")</f>
        <v/>
      </c>
      <c r="M2257" s="47" t="str">
        <f>IFERROR(VLOOKUP(G2257,WholesaleExtract!B:M,12,FALSE),"")</f>
        <v/>
      </c>
      <c r="R2257" s="19"/>
      <c r="S2257" s="19"/>
    </row>
    <row r="2258" spans="1:19" x14ac:dyDescent="0.35">
      <c r="A2258" s="26" t="s">
        <v>543</v>
      </c>
      <c r="B2258" s="26" t="s">
        <v>543</v>
      </c>
      <c r="C2258" s="26"/>
      <c r="D2258" s="26" t="s">
        <v>543</v>
      </c>
      <c r="E2258" s="26" t="str">
        <f>IFERROR(VLOOKUP(G2258,WholesaleExtract!B:J,9,FALSE),"")</f>
        <v/>
      </c>
      <c r="F2258" s="26" t="str">
        <f>IFERROR(VLOOKUP(G2258,WholesaleExtract!B:J,6,FALSE),"")</f>
        <v/>
      </c>
      <c r="H2258" s="47" t="str">
        <f>IFERROR(VLOOKUP(G2258,WholesaleExtract!B:L,11,FALSE),"")</f>
        <v/>
      </c>
      <c r="I2258" s="26" t="str">
        <f>IFERROR(VLOOKUP(G2258,WholesaleExtract!B:O,8,FALSE),"")</f>
        <v/>
      </c>
      <c r="J2258" s="26" t="str">
        <f>IFERROR(VLOOKUP(G2258,WholesaleExtract!B:O,14,FALSE),"")</f>
        <v/>
      </c>
      <c r="K2258" s="26" t="str">
        <f>IFERROR(VLOOKUP(G2258,WholesaleExtract!B:K,10,FALSE),"")</f>
        <v/>
      </c>
      <c r="L2258" s="47" t="str">
        <f>IFERROR(VLOOKUP(G2258,WholesaleExtract!B:L,11,FALSE),"")</f>
        <v/>
      </c>
      <c r="M2258" s="47" t="str">
        <f>IFERROR(VLOOKUP(G2258,WholesaleExtract!B:M,12,FALSE),"")</f>
        <v/>
      </c>
      <c r="R2258" s="19"/>
      <c r="S2258" s="19"/>
    </row>
    <row r="2259" spans="1:19" x14ac:dyDescent="0.35">
      <c r="A2259" s="26" t="s">
        <v>543</v>
      </c>
      <c r="B2259" s="26" t="s">
        <v>543</v>
      </c>
      <c r="C2259" s="26"/>
      <c r="D2259" s="26" t="s">
        <v>543</v>
      </c>
      <c r="E2259" s="26" t="str">
        <f>IFERROR(VLOOKUP(G2259,WholesaleExtract!B:J,9,FALSE),"")</f>
        <v/>
      </c>
      <c r="F2259" s="26" t="str">
        <f>IFERROR(VLOOKUP(G2259,WholesaleExtract!B:J,6,FALSE),"")</f>
        <v/>
      </c>
      <c r="H2259" s="47" t="str">
        <f>IFERROR(VLOOKUP(G2259,WholesaleExtract!B:L,11,FALSE),"")</f>
        <v/>
      </c>
      <c r="I2259" s="26" t="str">
        <f>IFERROR(VLOOKUP(G2259,WholesaleExtract!B:O,8,FALSE),"")</f>
        <v/>
      </c>
      <c r="J2259" s="26" t="str">
        <f>IFERROR(VLOOKUP(G2259,WholesaleExtract!B:O,14,FALSE),"")</f>
        <v/>
      </c>
      <c r="K2259" s="26" t="str">
        <f>IFERROR(VLOOKUP(G2259,WholesaleExtract!B:K,10,FALSE),"")</f>
        <v/>
      </c>
      <c r="L2259" s="47" t="str">
        <f>IFERROR(VLOOKUP(G2259,WholesaleExtract!B:L,11,FALSE),"")</f>
        <v/>
      </c>
      <c r="M2259" s="47" t="str">
        <f>IFERROR(VLOOKUP(G2259,WholesaleExtract!B:M,12,FALSE),"")</f>
        <v/>
      </c>
      <c r="R2259" s="19"/>
      <c r="S2259" s="19"/>
    </row>
    <row r="2260" spans="1:19" x14ac:dyDescent="0.35">
      <c r="A2260" s="26" t="s">
        <v>543</v>
      </c>
      <c r="B2260" s="26" t="s">
        <v>543</v>
      </c>
      <c r="C2260" s="26"/>
      <c r="D2260" s="26" t="s">
        <v>543</v>
      </c>
      <c r="E2260" s="26" t="str">
        <f>IFERROR(VLOOKUP(G2260,WholesaleExtract!B:J,9,FALSE),"")</f>
        <v/>
      </c>
      <c r="F2260" s="26" t="str">
        <f>IFERROR(VLOOKUP(G2260,WholesaleExtract!B:J,6,FALSE),"")</f>
        <v/>
      </c>
      <c r="H2260" s="47" t="str">
        <f>IFERROR(VLOOKUP(G2260,WholesaleExtract!B:L,11,FALSE),"")</f>
        <v/>
      </c>
      <c r="I2260" s="26" t="str">
        <f>IFERROR(VLOOKUP(G2260,WholesaleExtract!B:O,8,FALSE),"")</f>
        <v/>
      </c>
      <c r="J2260" s="26" t="str">
        <f>IFERROR(VLOOKUP(G2260,WholesaleExtract!B:O,14,FALSE),"")</f>
        <v/>
      </c>
      <c r="K2260" s="26" t="str">
        <f>IFERROR(VLOOKUP(G2260,WholesaleExtract!B:K,10,FALSE),"")</f>
        <v/>
      </c>
      <c r="L2260" s="47" t="str">
        <f>IFERROR(VLOOKUP(G2260,WholesaleExtract!B:L,11,FALSE),"")</f>
        <v/>
      </c>
      <c r="M2260" s="47" t="str">
        <f>IFERROR(VLOOKUP(G2260,WholesaleExtract!B:M,12,FALSE),"")</f>
        <v/>
      </c>
      <c r="R2260" s="19"/>
      <c r="S2260" s="19"/>
    </row>
    <row r="2261" spans="1:19" x14ac:dyDescent="0.35">
      <c r="A2261" s="26" t="s">
        <v>543</v>
      </c>
      <c r="B2261" s="26" t="s">
        <v>543</v>
      </c>
      <c r="C2261" s="26"/>
      <c r="D2261" s="26" t="s">
        <v>543</v>
      </c>
      <c r="E2261" s="26" t="str">
        <f>IFERROR(VLOOKUP(G2261,WholesaleExtract!B:J,9,FALSE),"")</f>
        <v/>
      </c>
      <c r="F2261" s="26" t="str">
        <f>IFERROR(VLOOKUP(G2261,WholesaleExtract!B:J,6,FALSE),"")</f>
        <v/>
      </c>
      <c r="H2261" s="47" t="str">
        <f>IFERROR(VLOOKUP(G2261,WholesaleExtract!B:L,11,FALSE),"")</f>
        <v/>
      </c>
      <c r="I2261" s="26" t="str">
        <f>IFERROR(VLOOKUP(G2261,WholesaleExtract!B:O,8,FALSE),"")</f>
        <v/>
      </c>
      <c r="J2261" s="26" t="str">
        <f>IFERROR(VLOOKUP(G2261,WholesaleExtract!B:O,14,FALSE),"")</f>
        <v/>
      </c>
      <c r="K2261" s="26" t="str">
        <f>IFERROR(VLOOKUP(G2261,WholesaleExtract!B:K,10,FALSE),"")</f>
        <v/>
      </c>
      <c r="L2261" s="47" t="str">
        <f>IFERROR(VLOOKUP(G2261,WholesaleExtract!B:L,11,FALSE),"")</f>
        <v/>
      </c>
      <c r="M2261" s="47" t="str">
        <f>IFERROR(VLOOKUP(G2261,WholesaleExtract!B:M,12,FALSE),"")</f>
        <v/>
      </c>
      <c r="R2261" s="19"/>
      <c r="S2261" s="19"/>
    </row>
    <row r="2262" spans="1:19" x14ac:dyDescent="0.35">
      <c r="A2262" s="26" t="s">
        <v>543</v>
      </c>
      <c r="B2262" s="26" t="s">
        <v>543</v>
      </c>
      <c r="C2262" s="26"/>
      <c r="D2262" s="26" t="s">
        <v>543</v>
      </c>
      <c r="E2262" s="26" t="str">
        <f>IFERROR(VLOOKUP(G2262,WholesaleExtract!B:J,9,FALSE),"")</f>
        <v/>
      </c>
      <c r="F2262" s="26" t="str">
        <f>IFERROR(VLOOKUP(G2262,WholesaleExtract!B:J,6,FALSE),"")</f>
        <v/>
      </c>
      <c r="H2262" s="47" t="str">
        <f>IFERROR(VLOOKUP(G2262,WholesaleExtract!B:L,11,FALSE),"")</f>
        <v/>
      </c>
      <c r="I2262" s="26" t="str">
        <f>IFERROR(VLOOKUP(G2262,WholesaleExtract!B:O,8,FALSE),"")</f>
        <v/>
      </c>
      <c r="J2262" s="26" t="str">
        <f>IFERROR(VLOOKUP(G2262,WholesaleExtract!B:O,14,FALSE),"")</f>
        <v/>
      </c>
      <c r="K2262" s="26" t="str">
        <f>IFERROR(VLOOKUP(G2262,WholesaleExtract!B:K,10,FALSE),"")</f>
        <v/>
      </c>
      <c r="L2262" s="47" t="str">
        <f>IFERROR(VLOOKUP(G2262,WholesaleExtract!B:L,11,FALSE),"")</f>
        <v/>
      </c>
      <c r="M2262" s="47" t="str">
        <f>IFERROR(VLOOKUP(G2262,WholesaleExtract!B:M,12,FALSE),"")</f>
        <v/>
      </c>
      <c r="R2262" s="19"/>
      <c r="S2262" s="19"/>
    </row>
    <row r="2263" spans="1:19" x14ac:dyDescent="0.35">
      <c r="A2263" s="26" t="s">
        <v>543</v>
      </c>
      <c r="B2263" s="26" t="s">
        <v>543</v>
      </c>
      <c r="C2263" s="26"/>
      <c r="D2263" s="26" t="s">
        <v>543</v>
      </c>
      <c r="E2263" s="26" t="str">
        <f>IFERROR(VLOOKUP(G2263,WholesaleExtract!B:J,9,FALSE),"")</f>
        <v/>
      </c>
      <c r="F2263" s="26" t="str">
        <f>IFERROR(VLOOKUP(G2263,WholesaleExtract!B:J,6,FALSE),"")</f>
        <v/>
      </c>
      <c r="H2263" s="47" t="str">
        <f>IFERROR(VLOOKUP(G2263,WholesaleExtract!B:L,11,FALSE),"")</f>
        <v/>
      </c>
      <c r="I2263" s="26" t="str">
        <f>IFERROR(VLOOKUP(G2263,WholesaleExtract!B:O,8,FALSE),"")</f>
        <v/>
      </c>
      <c r="J2263" s="26" t="str">
        <f>IFERROR(VLOOKUP(G2263,WholesaleExtract!B:O,14,FALSE),"")</f>
        <v/>
      </c>
      <c r="K2263" s="26" t="str">
        <f>IFERROR(VLOOKUP(G2263,WholesaleExtract!B:K,10,FALSE),"")</f>
        <v/>
      </c>
      <c r="L2263" s="47" t="str">
        <f>IFERROR(VLOOKUP(G2263,WholesaleExtract!B:L,11,FALSE),"")</f>
        <v/>
      </c>
      <c r="M2263" s="47" t="str">
        <f>IFERROR(VLOOKUP(G2263,WholesaleExtract!B:M,12,FALSE),"")</f>
        <v/>
      </c>
      <c r="R2263" s="19"/>
      <c r="S2263" s="19"/>
    </row>
    <row r="2264" spans="1:19" x14ac:dyDescent="0.35">
      <c r="A2264" s="26" t="s">
        <v>543</v>
      </c>
      <c r="B2264" s="26" t="s">
        <v>543</v>
      </c>
      <c r="C2264" s="26"/>
      <c r="D2264" s="26" t="s">
        <v>543</v>
      </c>
      <c r="E2264" s="26" t="str">
        <f>IFERROR(VLOOKUP(G2264,WholesaleExtract!B:J,9,FALSE),"")</f>
        <v/>
      </c>
      <c r="F2264" s="26" t="str">
        <f>IFERROR(VLOOKUP(G2264,WholesaleExtract!B:J,6,FALSE),"")</f>
        <v/>
      </c>
      <c r="H2264" s="47" t="str">
        <f>IFERROR(VLOOKUP(G2264,WholesaleExtract!B:L,11,FALSE),"")</f>
        <v/>
      </c>
      <c r="I2264" s="26" t="str">
        <f>IFERROR(VLOOKUP(G2264,WholesaleExtract!B:O,8,FALSE),"")</f>
        <v/>
      </c>
      <c r="J2264" s="26" t="str">
        <f>IFERROR(VLOOKUP(G2264,WholesaleExtract!B:O,14,FALSE),"")</f>
        <v/>
      </c>
      <c r="K2264" s="26" t="str">
        <f>IFERROR(VLOOKUP(G2264,WholesaleExtract!B:K,10,FALSE),"")</f>
        <v/>
      </c>
      <c r="L2264" s="47" t="str">
        <f>IFERROR(VLOOKUP(G2264,WholesaleExtract!B:L,11,FALSE),"")</f>
        <v/>
      </c>
      <c r="M2264" s="47" t="str">
        <f>IFERROR(VLOOKUP(G2264,WholesaleExtract!B:M,12,FALSE),"")</f>
        <v/>
      </c>
      <c r="R2264" s="19"/>
      <c r="S2264" s="19"/>
    </row>
    <row r="2265" spans="1:19" x14ac:dyDescent="0.35">
      <c r="A2265" s="26" t="s">
        <v>543</v>
      </c>
      <c r="B2265" s="26" t="s">
        <v>543</v>
      </c>
      <c r="C2265" s="26"/>
      <c r="D2265" s="26" t="s">
        <v>543</v>
      </c>
      <c r="E2265" s="26" t="str">
        <f>IFERROR(VLOOKUP(G2265,WholesaleExtract!B:J,9,FALSE),"")</f>
        <v/>
      </c>
      <c r="F2265" s="26" t="str">
        <f>IFERROR(VLOOKUP(G2265,WholesaleExtract!B:J,6,FALSE),"")</f>
        <v/>
      </c>
      <c r="H2265" s="47" t="str">
        <f>IFERROR(VLOOKUP(G2265,WholesaleExtract!B:L,11,FALSE),"")</f>
        <v/>
      </c>
      <c r="I2265" s="26" t="str">
        <f>IFERROR(VLOOKUP(G2265,WholesaleExtract!B:O,8,FALSE),"")</f>
        <v/>
      </c>
      <c r="J2265" s="26" t="str">
        <f>IFERROR(VLOOKUP(G2265,WholesaleExtract!B:O,14,FALSE),"")</f>
        <v/>
      </c>
      <c r="K2265" s="26" t="str">
        <f>IFERROR(VLOOKUP(G2265,WholesaleExtract!B:K,10,FALSE),"")</f>
        <v/>
      </c>
      <c r="L2265" s="47" t="str">
        <f>IFERROR(VLOOKUP(G2265,WholesaleExtract!B:L,11,FALSE),"")</f>
        <v/>
      </c>
      <c r="M2265" s="47" t="str">
        <f>IFERROR(VLOOKUP(G2265,WholesaleExtract!B:M,12,FALSE),"")</f>
        <v/>
      </c>
      <c r="R2265" s="19"/>
      <c r="S2265" s="19"/>
    </row>
    <row r="2266" spans="1:19" x14ac:dyDescent="0.35">
      <c r="A2266" s="26" t="s">
        <v>543</v>
      </c>
      <c r="B2266" s="26" t="s">
        <v>543</v>
      </c>
      <c r="C2266" s="26"/>
      <c r="D2266" s="26" t="s">
        <v>543</v>
      </c>
      <c r="E2266" s="26" t="str">
        <f>IFERROR(VLOOKUP(G2266,WholesaleExtract!B:J,9,FALSE),"")</f>
        <v/>
      </c>
      <c r="F2266" s="26" t="str">
        <f>IFERROR(VLOOKUP(G2266,WholesaleExtract!B:J,6,FALSE),"")</f>
        <v/>
      </c>
      <c r="H2266" s="47" t="str">
        <f>IFERROR(VLOOKUP(G2266,WholesaleExtract!B:L,11,FALSE),"")</f>
        <v/>
      </c>
      <c r="I2266" s="26" t="str">
        <f>IFERROR(VLOOKUP(G2266,WholesaleExtract!B:O,8,FALSE),"")</f>
        <v/>
      </c>
      <c r="J2266" s="26" t="str">
        <f>IFERROR(VLOOKUP(G2266,WholesaleExtract!B:O,14,FALSE),"")</f>
        <v/>
      </c>
      <c r="K2266" s="26" t="str">
        <f>IFERROR(VLOOKUP(G2266,WholesaleExtract!B:K,10,FALSE),"")</f>
        <v/>
      </c>
      <c r="L2266" s="47" t="str">
        <f>IFERROR(VLOOKUP(G2266,WholesaleExtract!B:L,11,FALSE),"")</f>
        <v/>
      </c>
      <c r="M2266" s="47" t="str">
        <f>IFERROR(VLOOKUP(G2266,WholesaleExtract!B:M,12,FALSE),"")</f>
        <v/>
      </c>
      <c r="R2266" s="19"/>
      <c r="S2266" s="19"/>
    </row>
    <row r="2267" spans="1:19" x14ac:dyDescent="0.35">
      <c r="A2267" s="26" t="s">
        <v>543</v>
      </c>
      <c r="B2267" s="26" t="s">
        <v>543</v>
      </c>
      <c r="C2267" s="26"/>
      <c r="D2267" s="26" t="s">
        <v>543</v>
      </c>
      <c r="E2267" s="26" t="str">
        <f>IFERROR(VLOOKUP(G2267,WholesaleExtract!B:J,9,FALSE),"")</f>
        <v/>
      </c>
      <c r="F2267" s="26" t="str">
        <f>IFERROR(VLOOKUP(G2267,WholesaleExtract!B:J,6,FALSE),"")</f>
        <v/>
      </c>
      <c r="H2267" s="47" t="str">
        <f>IFERROR(VLOOKUP(G2267,WholesaleExtract!B:L,11,FALSE),"")</f>
        <v/>
      </c>
      <c r="I2267" s="26" t="str">
        <f>IFERROR(VLOOKUP(G2267,WholesaleExtract!B:O,8,FALSE),"")</f>
        <v/>
      </c>
      <c r="J2267" s="26" t="str">
        <f>IFERROR(VLOOKUP(G2267,WholesaleExtract!B:O,14,FALSE),"")</f>
        <v/>
      </c>
      <c r="K2267" s="26" t="str">
        <f>IFERROR(VLOOKUP(G2267,WholesaleExtract!B:K,10,FALSE),"")</f>
        <v/>
      </c>
      <c r="L2267" s="47" t="str">
        <f>IFERROR(VLOOKUP(G2267,WholesaleExtract!B:L,11,FALSE),"")</f>
        <v/>
      </c>
      <c r="M2267" s="47" t="str">
        <f>IFERROR(VLOOKUP(G2267,WholesaleExtract!B:M,12,FALSE),"")</f>
        <v/>
      </c>
      <c r="R2267" s="19"/>
      <c r="S2267" s="19"/>
    </row>
    <row r="2268" spans="1:19" x14ac:dyDescent="0.35">
      <c r="A2268" s="26" t="s">
        <v>543</v>
      </c>
      <c r="B2268" s="26" t="s">
        <v>543</v>
      </c>
      <c r="C2268" s="26"/>
      <c r="D2268" s="26" t="s">
        <v>543</v>
      </c>
      <c r="E2268" s="26" t="str">
        <f>IFERROR(VLOOKUP(G2268,WholesaleExtract!B:J,9,FALSE),"")</f>
        <v/>
      </c>
      <c r="F2268" s="26" t="str">
        <f>IFERROR(VLOOKUP(G2268,WholesaleExtract!B:J,6,FALSE),"")</f>
        <v/>
      </c>
      <c r="H2268" s="47" t="str">
        <f>IFERROR(VLOOKUP(G2268,WholesaleExtract!B:L,11,FALSE),"")</f>
        <v/>
      </c>
      <c r="I2268" s="26" t="str">
        <f>IFERROR(VLOOKUP(G2268,WholesaleExtract!B:O,8,FALSE),"")</f>
        <v/>
      </c>
      <c r="J2268" s="26" t="str">
        <f>IFERROR(VLOOKUP(G2268,WholesaleExtract!B:O,14,FALSE),"")</f>
        <v/>
      </c>
      <c r="K2268" s="26" t="str">
        <f>IFERROR(VLOOKUP(G2268,WholesaleExtract!B:K,10,FALSE),"")</f>
        <v/>
      </c>
      <c r="L2268" s="47" t="str">
        <f>IFERROR(VLOOKUP(G2268,WholesaleExtract!B:L,11,FALSE),"")</f>
        <v/>
      </c>
      <c r="M2268" s="47" t="str">
        <f>IFERROR(VLOOKUP(G2268,WholesaleExtract!B:M,12,FALSE),"")</f>
        <v/>
      </c>
      <c r="R2268" s="19"/>
      <c r="S2268" s="19"/>
    </row>
    <row r="2269" spans="1:19" x14ac:dyDescent="0.35">
      <c r="A2269" s="26" t="s">
        <v>543</v>
      </c>
      <c r="B2269" s="26" t="s">
        <v>543</v>
      </c>
      <c r="C2269" s="26"/>
      <c r="D2269" s="26" t="s">
        <v>543</v>
      </c>
      <c r="E2269" s="26" t="str">
        <f>IFERROR(VLOOKUP(G2269,WholesaleExtract!B:J,9,FALSE),"")</f>
        <v/>
      </c>
      <c r="F2269" s="26" t="str">
        <f>IFERROR(VLOOKUP(G2269,WholesaleExtract!B:J,6,FALSE),"")</f>
        <v/>
      </c>
      <c r="H2269" s="47" t="str">
        <f>IFERROR(VLOOKUP(G2269,WholesaleExtract!B:L,11,FALSE),"")</f>
        <v/>
      </c>
      <c r="I2269" s="26" t="str">
        <f>IFERROR(VLOOKUP(G2269,WholesaleExtract!B:O,8,FALSE),"")</f>
        <v/>
      </c>
      <c r="J2269" s="26" t="str">
        <f>IFERROR(VLOOKUP(G2269,WholesaleExtract!B:O,14,FALSE),"")</f>
        <v/>
      </c>
      <c r="K2269" s="26" t="str">
        <f>IFERROR(VLOOKUP(G2269,WholesaleExtract!B:K,10,FALSE),"")</f>
        <v/>
      </c>
      <c r="L2269" s="47" t="str">
        <f>IFERROR(VLOOKUP(G2269,WholesaleExtract!B:L,11,FALSE),"")</f>
        <v/>
      </c>
      <c r="M2269" s="47" t="str">
        <f>IFERROR(VLOOKUP(G2269,WholesaleExtract!B:M,12,FALSE),"")</f>
        <v/>
      </c>
      <c r="R2269" s="19"/>
      <c r="S2269" s="19"/>
    </row>
    <row r="2270" spans="1:19" x14ac:dyDescent="0.35">
      <c r="A2270" s="26" t="s">
        <v>543</v>
      </c>
      <c r="B2270" s="26" t="s">
        <v>543</v>
      </c>
      <c r="C2270" s="26"/>
      <c r="D2270" s="26" t="s">
        <v>543</v>
      </c>
      <c r="E2270" s="26" t="str">
        <f>IFERROR(VLOOKUP(G2270,WholesaleExtract!B:J,9,FALSE),"")</f>
        <v/>
      </c>
      <c r="F2270" s="26" t="str">
        <f>IFERROR(VLOOKUP(G2270,WholesaleExtract!B:J,6,FALSE),"")</f>
        <v/>
      </c>
      <c r="H2270" s="47" t="str">
        <f>IFERROR(VLOOKUP(G2270,WholesaleExtract!B:L,11,FALSE),"")</f>
        <v/>
      </c>
      <c r="I2270" s="26" t="str">
        <f>IFERROR(VLOOKUP(G2270,WholesaleExtract!B:O,8,FALSE),"")</f>
        <v/>
      </c>
      <c r="J2270" s="26" t="str">
        <f>IFERROR(VLOOKUP(G2270,WholesaleExtract!B:O,14,FALSE),"")</f>
        <v/>
      </c>
      <c r="K2270" s="26" t="str">
        <f>IFERROR(VLOOKUP(G2270,WholesaleExtract!B:K,10,FALSE),"")</f>
        <v/>
      </c>
      <c r="L2270" s="47" t="str">
        <f>IFERROR(VLOOKUP(G2270,WholesaleExtract!B:L,11,FALSE),"")</f>
        <v/>
      </c>
      <c r="M2270" s="47" t="str">
        <f>IFERROR(VLOOKUP(G2270,WholesaleExtract!B:M,12,FALSE),"")</f>
        <v/>
      </c>
      <c r="R2270" s="19"/>
      <c r="S2270" s="19"/>
    </row>
    <row r="2271" spans="1:19" x14ac:dyDescent="0.35">
      <c r="A2271" s="26" t="s">
        <v>543</v>
      </c>
      <c r="B2271" s="26" t="s">
        <v>543</v>
      </c>
      <c r="C2271" s="26"/>
      <c r="D2271" s="26" t="s">
        <v>543</v>
      </c>
      <c r="E2271" s="26" t="str">
        <f>IFERROR(VLOOKUP(G2271,WholesaleExtract!B:J,9,FALSE),"")</f>
        <v/>
      </c>
      <c r="F2271" s="26" t="str">
        <f>IFERROR(VLOOKUP(G2271,WholesaleExtract!B:J,6,FALSE),"")</f>
        <v/>
      </c>
      <c r="H2271" s="47" t="str">
        <f>IFERROR(VLOOKUP(G2271,WholesaleExtract!B:L,11,FALSE),"")</f>
        <v/>
      </c>
      <c r="I2271" s="26" t="str">
        <f>IFERROR(VLOOKUP(G2271,WholesaleExtract!B:O,8,FALSE),"")</f>
        <v/>
      </c>
      <c r="J2271" s="26" t="str">
        <f>IFERROR(VLOOKUP(G2271,WholesaleExtract!B:O,14,FALSE),"")</f>
        <v/>
      </c>
      <c r="K2271" s="26" t="str">
        <f>IFERROR(VLOOKUP(G2271,WholesaleExtract!B:K,10,FALSE),"")</f>
        <v/>
      </c>
      <c r="L2271" s="47" t="str">
        <f>IFERROR(VLOOKUP(G2271,WholesaleExtract!B:L,11,FALSE),"")</f>
        <v/>
      </c>
      <c r="M2271" s="47" t="str">
        <f>IFERROR(VLOOKUP(G2271,WholesaleExtract!B:M,12,FALSE),"")</f>
        <v/>
      </c>
      <c r="R2271" s="19"/>
      <c r="S2271" s="19"/>
    </row>
    <row r="2272" spans="1:19" x14ac:dyDescent="0.35">
      <c r="A2272" s="26" t="s">
        <v>543</v>
      </c>
      <c r="B2272" s="26" t="s">
        <v>543</v>
      </c>
      <c r="C2272" s="26"/>
      <c r="D2272" s="26" t="s">
        <v>543</v>
      </c>
      <c r="E2272" s="26" t="str">
        <f>IFERROR(VLOOKUP(G2272,WholesaleExtract!B:J,9,FALSE),"")</f>
        <v/>
      </c>
      <c r="F2272" s="26" t="str">
        <f>IFERROR(VLOOKUP(G2272,WholesaleExtract!B:J,6,FALSE),"")</f>
        <v/>
      </c>
      <c r="H2272" s="47" t="str">
        <f>IFERROR(VLOOKUP(G2272,WholesaleExtract!B:L,11,FALSE),"")</f>
        <v/>
      </c>
      <c r="I2272" s="26" t="str">
        <f>IFERROR(VLOOKUP(G2272,WholesaleExtract!B:O,8,FALSE),"")</f>
        <v/>
      </c>
      <c r="J2272" s="26" t="str">
        <f>IFERROR(VLOOKUP(G2272,WholesaleExtract!B:O,14,FALSE),"")</f>
        <v/>
      </c>
      <c r="K2272" s="26" t="str">
        <f>IFERROR(VLOOKUP(G2272,WholesaleExtract!B:K,10,FALSE),"")</f>
        <v/>
      </c>
      <c r="L2272" s="47" t="str">
        <f>IFERROR(VLOOKUP(G2272,WholesaleExtract!B:L,11,FALSE),"")</f>
        <v/>
      </c>
      <c r="M2272" s="47" t="str">
        <f>IFERROR(VLOOKUP(G2272,WholesaleExtract!B:M,12,FALSE),"")</f>
        <v/>
      </c>
      <c r="R2272" s="19"/>
      <c r="S2272" s="19"/>
    </row>
    <row r="2273" spans="1:19" x14ac:dyDescent="0.35">
      <c r="A2273" s="26" t="s">
        <v>543</v>
      </c>
      <c r="B2273" s="26" t="s">
        <v>543</v>
      </c>
      <c r="C2273" s="26"/>
      <c r="D2273" s="26" t="s">
        <v>543</v>
      </c>
      <c r="E2273" s="26" t="str">
        <f>IFERROR(VLOOKUP(G2273,WholesaleExtract!B:J,9,FALSE),"")</f>
        <v/>
      </c>
      <c r="F2273" s="26" t="str">
        <f>IFERROR(VLOOKUP(G2273,WholesaleExtract!B:J,6,FALSE),"")</f>
        <v/>
      </c>
      <c r="H2273" s="47" t="str">
        <f>IFERROR(VLOOKUP(G2273,WholesaleExtract!B:L,11,FALSE),"")</f>
        <v/>
      </c>
      <c r="I2273" s="26" t="str">
        <f>IFERROR(VLOOKUP(G2273,WholesaleExtract!B:O,8,FALSE),"")</f>
        <v/>
      </c>
      <c r="J2273" s="26" t="str">
        <f>IFERROR(VLOOKUP(G2273,WholesaleExtract!B:O,14,FALSE),"")</f>
        <v/>
      </c>
      <c r="K2273" s="26" t="str">
        <f>IFERROR(VLOOKUP(G2273,WholesaleExtract!B:K,10,FALSE),"")</f>
        <v/>
      </c>
      <c r="L2273" s="47" t="str">
        <f>IFERROR(VLOOKUP(G2273,WholesaleExtract!B:L,11,FALSE),"")</f>
        <v/>
      </c>
      <c r="M2273" s="47" t="str">
        <f>IFERROR(VLOOKUP(G2273,WholesaleExtract!B:M,12,FALSE),"")</f>
        <v/>
      </c>
      <c r="R2273" s="19"/>
      <c r="S2273" s="19"/>
    </row>
    <row r="2274" spans="1:19" x14ac:dyDescent="0.35">
      <c r="A2274" s="26" t="s">
        <v>543</v>
      </c>
      <c r="B2274" s="26" t="s">
        <v>543</v>
      </c>
      <c r="C2274" s="26"/>
      <c r="D2274" s="26" t="s">
        <v>543</v>
      </c>
      <c r="E2274" s="26" t="str">
        <f>IFERROR(VLOOKUP(G2274,WholesaleExtract!B:J,9,FALSE),"")</f>
        <v/>
      </c>
      <c r="F2274" s="26" t="str">
        <f>IFERROR(VLOOKUP(G2274,WholesaleExtract!B:J,6,FALSE),"")</f>
        <v/>
      </c>
      <c r="H2274" s="47" t="str">
        <f>IFERROR(VLOOKUP(G2274,WholesaleExtract!B:L,11,FALSE),"")</f>
        <v/>
      </c>
      <c r="I2274" s="26" t="str">
        <f>IFERROR(VLOOKUP(G2274,WholesaleExtract!B:O,8,FALSE),"")</f>
        <v/>
      </c>
      <c r="J2274" s="26" t="str">
        <f>IFERROR(VLOOKUP(G2274,WholesaleExtract!B:O,14,FALSE),"")</f>
        <v/>
      </c>
      <c r="K2274" s="26" t="str">
        <f>IFERROR(VLOOKUP(G2274,WholesaleExtract!B:K,10,FALSE),"")</f>
        <v/>
      </c>
      <c r="L2274" s="47" t="str">
        <f>IFERROR(VLOOKUP(G2274,WholesaleExtract!B:L,11,FALSE),"")</f>
        <v/>
      </c>
      <c r="M2274" s="47" t="str">
        <f>IFERROR(VLOOKUP(G2274,WholesaleExtract!B:M,12,FALSE),"")</f>
        <v/>
      </c>
      <c r="R2274" s="19"/>
      <c r="S2274" s="19"/>
    </row>
    <row r="2275" spans="1:19" x14ac:dyDescent="0.35">
      <c r="A2275" s="26" t="s">
        <v>543</v>
      </c>
      <c r="B2275" s="26" t="s">
        <v>543</v>
      </c>
      <c r="C2275" s="26"/>
      <c r="D2275" s="26" t="s">
        <v>543</v>
      </c>
      <c r="E2275" s="26" t="str">
        <f>IFERROR(VLOOKUP(G2275,WholesaleExtract!B:J,9,FALSE),"")</f>
        <v/>
      </c>
      <c r="F2275" s="26" t="str">
        <f>IFERROR(VLOOKUP(G2275,WholesaleExtract!B:J,6,FALSE),"")</f>
        <v/>
      </c>
      <c r="H2275" s="47" t="str">
        <f>IFERROR(VLOOKUP(G2275,WholesaleExtract!B:L,11,FALSE),"")</f>
        <v/>
      </c>
      <c r="I2275" s="26" t="str">
        <f>IFERROR(VLOOKUP(G2275,WholesaleExtract!B:O,8,FALSE),"")</f>
        <v/>
      </c>
      <c r="J2275" s="26" t="str">
        <f>IFERROR(VLOOKUP(G2275,WholesaleExtract!B:O,14,FALSE),"")</f>
        <v/>
      </c>
      <c r="K2275" s="26" t="str">
        <f>IFERROR(VLOOKUP(G2275,WholesaleExtract!B:K,10,FALSE),"")</f>
        <v/>
      </c>
      <c r="L2275" s="47" t="str">
        <f>IFERROR(VLOOKUP(G2275,WholesaleExtract!B:L,11,FALSE),"")</f>
        <v/>
      </c>
      <c r="M2275" s="47" t="str">
        <f>IFERROR(VLOOKUP(G2275,WholesaleExtract!B:M,12,FALSE),"")</f>
        <v/>
      </c>
      <c r="R2275" s="19"/>
      <c r="S2275" s="19"/>
    </row>
    <row r="2276" spans="1:19" x14ac:dyDescent="0.35">
      <c r="A2276" s="26" t="s">
        <v>543</v>
      </c>
      <c r="B2276" s="26" t="s">
        <v>543</v>
      </c>
      <c r="C2276" s="26"/>
      <c r="D2276" s="26" t="s">
        <v>543</v>
      </c>
      <c r="E2276" s="26" t="str">
        <f>IFERROR(VLOOKUP(G2276,WholesaleExtract!B:J,9,FALSE),"")</f>
        <v/>
      </c>
      <c r="F2276" s="26" t="str">
        <f>IFERROR(VLOOKUP(G2276,WholesaleExtract!B:J,6,FALSE),"")</f>
        <v/>
      </c>
      <c r="H2276" s="47" t="str">
        <f>IFERROR(VLOOKUP(G2276,WholesaleExtract!B:L,11,FALSE),"")</f>
        <v/>
      </c>
      <c r="I2276" s="26" t="str">
        <f>IFERROR(VLOOKUP(G2276,WholesaleExtract!B:O,8,FALSE),"")</f>
        <v/>
      </c>
      <c r="J2276" s="26" t="str">
        <f>IFERROR(VLOOKUP(G2276,WholesaleExtract!B:O,14,FALSE),"")</f>
        <v/>
      </c>
      <c r="K2276" s="26" t="str">
        <f>IFERROR(VLOOKUP(G2276,WholesaleExtract!B:K,10,FALSE),"")</f>
        <v/>
      </c>
      <c r="L2276" s="47" t="str">
        <f>IFERROR(VLOOKUP(G2276,WholesaleExtract!B:L,11,FALSE),"")</f>
        <v/>
      </c>
      <c r="M2276" s="47" t="str">
        <f>IFERROR(VLOOKUP(G2276,WholesaleExtract!B:M,12,FALSE),"")</f>
        <v/>
      </c>
      <c r="R2276" s="19"/>
      <c r="S2276" s="19"/>
    </row>
    <row r="2277" spans="1:19" x14ac:dyDescent="0.35">
      <c r="A2277" s="26" t="s">
        <v>543</v>
      </c>
      <c r="B2277" s="26" t="s">
        <v>543</v>
      </c>
      <c r="C2277" s="26"/>
      <c r="D2277" s="26" t="s">
        <v>543</v>
      </c>
      <c r="E2277" s="26" t="str">
        <f>IFERROR(VLOOKUP(G2277,WholesaleExtract!B:J,9,FALSE),"")</f>
        <v/>
      </c>
      <c r="F2277" s="26" t="str">
        <f>IFERROR(VLOOKUP(G2277,WholesaleExtract!B:J,6,FALSE),"")</f>
        <v/>
      </c>
      <c r="H2277" s="47" t="str">
        <f>IFERROR(VLOOKUP(G2277,WholesaleExtract!B:L,11,FALSE),"")</f>
        <v/>
      </c>
      <c r="I2277" s="26" t="str">
        <f>IFERROR(VLOOKUP(G2277,WholesaleExtract!B:O,8,FALSE),"")</f>
        <v/>
      </c>
      <c r="J2277" s="26" t="str">
        <f>IFERROR(VLOOKUP(G2277,WholesaleExtract!B:O,14,FALSE),"")</f>
        <v/>
      </c>
      <c r="K2277" s="26" t="str">
        <f>IFERROR(VLOOKUP(G2277,WholesaleExtract!B:K,10,FALSE),"")</f>
        <v/>
      </c>
      <c r="L2277" s="47" t="str">
        <f>IFERROR(VLOOKUP(G2277,WholesaleExtract!B:L,11,FALSE),"")</f>
        <v/>
      </c>
      <c r="M2277" s="47" t="str">
        <f>IFERROR(VLOOKUP(G2277,WholesaleExtract!B:M,12,FALSE),"")</f>
        <v/>
      </c>
      <c r="R2277" s="19"/>
      <c r="S2277" s="19"/>
    </row>
    <row r="2278" spans="1:19" x14ac:dyDescent="0.35">
      <c r="A2278" s="26" t="s">
        <v>543</v>
      </c>
      <c r="B2278" s="26" t="s">
        <v>543</v>
      </c>
      <c r="C2278" s="26"/>
      <c r="D2278" s="26" t="s">
        <v>543</v>
      </c>
      <c r="E2278" s="26" t="str">
        <f>IFERROR(VLOOKUP(G2278,WholesaleExtract!B:J,9,FALSE),"")</f>
        <v/>
      </c>
      <c r="F2278" s="26" t="str">
        <f>IFERROR(VLOOKUP(G2278,WholesaleExtract!B:J,6,FALSE),"")</f>
        <v/>
      </c>
      <c r="H2278" s="47" t="str">
        <f>IFERROR(VLOOKUP(G2278,WholesaleExtract!B:L,11,FALSE),"")</f>
        <v/>
      </c>
      <c r="I2278" s="26" t="str">
        <f>IFERROR(VLOOKUP(G2278,WholesaleExtract!B:O,8,FALSE),"")</f>
        <v/>
      </c>
      <c r="J2278" s="26" t="str">
        <f>IFERROR(VLOOKUP(G2278,WholesaleExtract!B:O,14,FALSE),"")</f>
        <v/>
      </c>
      <c r="K2278" s="26" t="str">
        <f>IFERROR(VLOOKUP(G2278,WholesaleExtract!B:K,10,FALSE),"")</f>
        <v/>
      </c>
      <c r="L2278" s="47" t="str">
        <f>IFERROR(VLOOKUP(G2278,WholesaleExtract!B:L,11,FALSE),"")</f>
        <v/>
      </c>
      <c r="M2278" s="47" t="str">
        <f>IFERROR(VLOOKUP(G2278,WholesaleExtract!B:M,12,FALSE),"")</f>
        <v/>
      </c>
      <c r="R2278" s="19"/>
      <c r="S2278" s="19"/>
    </row>
    <row r="2279" spans="1:19" x14ac:dyDescent="0.35">
      <c r="A2279" s="26" t="s">
        <v>543</v>
      </c>
      <c r="B2279" s="26" t="s">
        <v>543</v>
      </c>
      <c r="C2279" s="26"/>
      <c r="D2279" s="26" t="s">
        <v>543</v>
      </c>
      <c r="E2279" s="26" t="str">
        <f>IFERROR(VLOOKUP(G2279,WholesaleExtract!B:J,9,FALSE),"")</f>
        <v/>
      </c>
      <c r="F2279" s="26" t="str">
        <f>IFERROR(VLOOKUP(G2279,WholesaleExtract!B:J,6,FALSE),"")</f>
        <v/>
      </c>
      <c r="H2279" s="47" t="str">
        <f>IFERROR(VLOOKUP(G2279,WholesaleExtract!B:L,11,FALSE),"")</f>
        <v/>
      </c>
      <c r="I2279" s="26" t="str">
        <f>IFERROR(VLOOKUP(G2279,WholesaleExtract!B:O,8,FALSE),"")</f>
        <v/>
      </c>
      <c r="J2279" s="26" t="str">
        <f>IFERROR(VLOOKUP(G2279,WholesaleExtract!B:O,14,FALSE),"")</f>
        <v/>
      </c>
      <c r="K2279" s="26" t="str">
        <f>IFERROR(VLOOKUP(G2279,WholesaleExtract!B:K,10,FALSE),"")</f>
        <v/>
      </c>
      <c r="L2279" s="47" t="str">
        <f>IFERROR(VLOOKUP(G2279,WholesaleExtract!B:L,11,FALSE),"")</f>
        <v/>
      </c>
      <c r="M2279" s="47" t="str">
        <f>IFERROR(VLOOKUP(G2279,WholesaleExtract!B:M,12,FALSE),"")</f>
        <v/>
      </c>
      <c r="R2279" s="19"/>
      <c r="S2279" s="19"/>
    </row>
    <row r="2280" spans="1:19" x14ac:dyDescent="0.35">
      <c r="A2280" s="26" t="s">
        <v>543</v>
      </c>
      <c r="B2280" s="26" t="s">
        <v>543</v>
      </c>
      <c r="C2280" s="26"/>
      <c r="D2280" s="26" t="s">
        <v>543</v>
      </c>
      <c r="E2280" s="26" t="str">
        <f>IFERROR(VLOOKUP(G2280,WholesaleExtract!B:J,9,FALSE),"")</f>
        <v/>
      </c>
      <c r="F2280" s="26" t="str">
        <f>IFERROR(VLOOKUP(G2280,WholesaleExtract!B:J,6,FALSE),"")</f>
        <v/>
      </c>
      <c r="H2280" s="47" t="str">
        <f>IFERROR(VLOOKUP(G2280,WholesaleExtract!B:L,11,FALSE),"")</f>
        <v/>
      </c>
      <c r="I2280" s="26" t="str">
        <f>IFERROR(VLOOKUP(G2280,WholesaleExtract!B:O,8,FALSE),"")</f>
        <v/>
      </c>
      <c r="J2280" s="26" t="str">
        <f>IFERROR(VLOOKUP(G2280,WholesaleExtract!B:O,14,FALSE),"")</f>
        <v/>
      </c>
      <c r="K2280" s="26" t="str">
        <f>IFERROR(VLOOKUP(G2280,WholesaleExtract!B:K,10,FALSE),"")</f>
        <v/>
      </c>
      <c r="L2280" s="47" t="str">
        <f>IFERROR(VLOOKUP(G2280,WholesaleExtract!B:L,11,FALSE),"")</f>
        <v/>
      </c>
      <c r="M2280" s="47" t="str">
        <f>IFERROR(VLOOKUP(G2280,WholesaleExtract!B:M,12,FALSE),"")</f>
        <v/>
      </c>
      <c r="R2280" s="19"/>
      <c r="S2280" s="19"/>
    </row>
    <row r="2281" spans="1:19" x14ac:dyDescent="0.35">
      <c r="A2281" s="26" t="s">
        <v>543</v>
      </c>
      <c r="B2281" s="26" t="s">
        <v>543</v>
      </c>
      <c r="C2281" s="26"/>
      <c r="D2281" s="26" t="s">
        <v>543</v>
      </c>
      <c r="E2281" s="26" t="str">
        <f>IFERROR(VLOOKUP(G2281,WholesaleExtract!B:J,9,FALSE),"")</f>
        <v/>
      </c>
      <c r="F2281" s="26" t="str">
        <f>IFERROR(VLOOKUP(G2281,WholesaleExtract!B:J,6,FALSE),"")</f>
        <v/>
      </c>
      <c r="H2281" s="47" t="str">
        <f>IFERROR(VLOOKUP(G2281,WholesaleExtract!B:L,11,FALSE),"")</f>
        <v/>
      </c>
      <c r="I2281" s="26" t="str">
        <f>IFERROR(VLOOKUP(G2281,WholesaleExtract!B:O,8,FALSE),"")</f>
        <v/>
      </c>
      <c r="J2281" s="26" t="str">
        <f>IFERROR(VLOOKUP(G2281,WholesaleExtract!B:O,14,FALSE),"")</f>
        <v/>
      </c>
      <c r="K2281" s="26" t="str">
        <f>IFERROR(VLOOKUP(G2281,WholesaleExtract!B:K,10,FALSE),"")</f>
        <v/>
      </c>
      <c r="L2281" s="47" t="str">
        <f>IFERROR(VLOOKUP(G2281,WholesaleExtract!B:L,11,FALSE),"")</f>
        <v/>
      </c>
      <c r="M2281" s="47" t="str">
        <f>IFERROR(VLOOKUP(G2281,WholesaleExtract!B:M,12,FALSE),"")</f>
        <v/>
      </c>
      <c r="R2281" s="19"/>
      <c r="S2281" s="19"/>
    </row>
    <row r="2282" spans="1:19" x14ac:dyDescent="0.35">
      <c r="A2282" s="26" t="s">
        <v>543</v>
      </c>
      <c r="B2282" s="26" t="s">
        <v>543</v>
      </c>
      <c r="C2282" s="26"/>
      <c r="D2282" s="26" t="s">
        <v>543</v>
      </c>
      <c r="E2282" s="26" t="str">
        <f>IFERROR(VLOOKUP(G2282,WholesaleExtract!B:J,9,FALSE),"")</f>
        <v/>
      </c>
      <c r="F2282" s="26" t="str">
        <f>IFERROR(VLOOKUP(G2282,WholesaleExtract!B:J,6,FALSE),"")</f>
        <v/>
      </c>
      <c r="H2282" s="47" t="str">
        <f>IFERROR(VLOOKUP(G2282,WholesaleExtract!B:L,11,FALSE),"")</f>
        <v/>
      </c>
      <c r="I2282" s="26" t="str">
        <f>IFERROR(VLOOKUP(G2282,WholesaleExtract!B:O,8,FALSE),"")</f>
        <v/>
      </c>
      <c r="J2282" s="26" t="str">
        <f>IFERROR(VLOOKUP(G2282,WholesaleExtract!B:O,14,FALSE),"")</f>
        <v/>
      </c>
      <c r="K2282" s="26" t="str">
        <f>IFERROR(VLOOKUP(G2282,WholesaleExtract!B:K,10,FALSE),"")</f>
        <v/>
      </c>
      <c r="L2282" s="47" t="str">
        <f>IFERROR(VLOOKUP(G2282,WholesaleExtract!B:L,11,FALSE),"")</f>
        <v/>
      </c>
      <c r="M2282" s="47" t="str">
        <f>IFERROR(VLOOKUP(G2282,WholesaleExtract!B:M,12,FALSE),"")</f>
        <v/>
      </c>
      <c r="R2282" s="19"/>
      <c r="S2282" s="19"/>
    </row>
    <row r="2283" spans="1:19" x14ac:dyDescent="0.35">
      <c r="A2283" s="26" t="s">
        <v>543</v>
      </c>
      <c r="B2283" s="26" t="s">
        <v>543</v>
      </c>
      <c r="C2283" s="26"/>
      <c r="D2283" s="26" t="s">
        <v>543</v>
      </c>
      <c r="E2283" s="26" t="str">
        <f>IFERROR(VLOOKUP(G2283,WholesaleExtract!B:J,9,FALSE),"")</f>
        <v/>
      </c>
      <c r="F2283" s="26" t="str">
        <f>IFERROR(VLOOKUP(G2283,WholesaleExtract!B:J,6,FALSE),"")</f>
        <v/>
      </c>
      <c r="H2283" s="47" t="str">
        <f>IFERROR(VLOOKUP(G2283,WholesaleExtract!B:L,11,FALSE),"")</f>
        <v/>
      </c>
      <c r="I2283" s="26" t="str">
        <f>IFERROR(VLOOKUP(G2283,WholesaleExtract!B:O,8,FALSE),"")</f>
        <v/>
      </c>
      <c r="J2283" s="26" t="str">
        <f>IFERROR(VLOOKUP(G2283,WholesaleExtract!B:O,14,FALSE),"")</f>
        <v/>
      </c>
      <c r="K2283" s="26" t="str">
        <f>IFERROR(VLOOKUP(G2283,WholesaleExtract!B:K,10,FALSE),"")</f>
        <v/>
      </c>
      <c r="L2283" s="47" t="str">
        <f>IFERROR(VLOOKUP(G2283,WholesaleExtract!B:L,11,FALSE),"")</f>
        <v/>
      </c>
      <c r="M2283" s="47" t="str">
        <f>IFERROR(VLOOKUP(G2283,WholesaleExtract!B:M,12,FALSE),"")</f>
        <v/>
      </c>
      <c r="R2283" s="19"/>
      <c r="S2283" s="19"/>
    </row>
    <row r="2284" spans="1:19" x14ac:dyDescent="0.35">
      <c r="A2284" s="26" t="s">
        <v>543</v>
      </c>
      <c r="B2284" s="26" t="s">
        <v>543</v>
      </c>
      <c r="C2284" s="26"/>
      <c r="D2284" s="26" t="s">
        <v>543</v>
      </c>
      <c r="E2284" s="26" t="str">
        <f>IFERROR(VLOOKUP(G2284,WholesaleExtract!B:J,9,FALSE),"")</f>
        <v/>
      </c>
      <c r="F2284" s="26" t="str">
        <f>IFERROR(VLOOKUP(G2284,WholesaleExtract!B:J,6,FALSE),"")</f>
        <v/>
      </c>
      <c r="H2284" s="47" t="str">
        <f>IFERROR(VLOOKUP(G2284,WholesaleExtract!B:L,11,FALSE),"")</f>
        <v/>
      </c>
      <c r="I2284" s="26" t="str">
        <f>IFERROR(VLOOKUP(G2284,WholesaleExtract!B:O,8,FALSE),"")</f>
        <v/>
      </c>
      <c r="J2284" s="26" t="str">
        <f>IFERROR(VLOOKUP(G2284,WholesaleExtract!B:O,14,FALSE),"")</f>
        <v/>
      </c>
      <c r="K2284" s="26" t="str">
        <f>IFERROR(VLOOKUP(G2284,WholesaleExtract!B:K,10,FALSE),"")</f>
        <v/>
      </c>
      <c r="L2284" s="47" t="str">
        <f>IFERROR(VLOOKUP(G2284,WholesaleExtract!B:L,11,FALSE),"")</f>
        <v/>
      </c>
      <c r="M2284" s="47" t="str">
        <f>IFERROR(VLOOKUP(G2284,WholesaleExtract!B:M,12,FALSE),"")</f>
        <v/>
      </c>
      <c r="R2284" s="19"/>
      <c r="S2284" s="19"/>
    </row>
    <row r="2285" spans="1:19" x14ac:dyDescent="0.35">
      <c r="A2285" s="26" t="s">
        <v>543</v>
      </c>
      <c r="B2285" s="26" t="s">
        <v>543</v>
      </c>
      <c r="C2285" s="26"/>
      <c r="D2285" s="26" t="s">
        <v>543</v>
      </c>
      <c r="E2285" s="26" t="str">
        <f>IFERROR(VLOOKUP(G2285,WholesaleExtract!B:J,9,FALSE),"")</f>
        <v/>
      </c>
      <c r="F2285" s="26" t="str">
        <f>IFERROR(VLOOKUP(G2285,WholesaleExtract!B:J,6,FALSE),"")</f>
        <v/>
      </c>
      <c r="H2285" s="47" t="str">
        <f>IFERROR(VLOOKUP(G2285,WholesaleExtract!B:L,11,FALSE),"")</f>
        <v/>
      </c>
      <c r="I2285" s="26" t="str">
        <f>IFERROR(VLOOKUP(G2285,WholesaleExtract!B:O,8,FALSE),"")</f>
        <v/>
      </c>
      <c r="J2285" s="26" t="str">
        <f>IFERROR(VLOOKUP(G2285,WholesaleExtract!B:O,14,FALSE),"")</f>
        <v/>
      </c>
      <c r="K2285" s="26" t="str">
        <f>IFERROR(VLOOKUP(G2285,WholesaleExtract!B:K,10,FALSE),"")</f>
        <v/>
      </c>
      <c r="L2285" s="47" t="str">
        <f>IFERROR(VLOOKUP(G2285,WholesaleExtract!B:L,11,FALSE),"")</f>
        <v/>
      </c>
      <c r="M2285" s="47" t="str">
        <f>IFERROR(VLOOKUP(G2285,WholesaleExtract!B:M,12,FALSE),"")</f>
        <v/>
      </c>
      <c r="R2285" s="19"/>
      <c r="S2285" s="19"/>
    </row>
    <row r="2286" spans="1:19" x14ac:dyDescent="0.35">
      <c r="A2286" s="26" t="s">
        <v>543</v>
      </c>
      <c r="B2286" s="26" t="s">
        <v>543</v>
      </c>
      <c r="C2286" s="26"/>
      <c r="D2286" s="26" t="s">
        <v>543</v>
      </c>
      <c r="E2286" s="26" t="str">
        <f>IFERROR(VLOOKUP(G2286,WholesaleExtract!B:J,9,FALSE),"")</f>
        <v/>
      </c>
      <c r="F2286" s="26" t="str">
        <f>IFERROR(VLOOKUP(G2286,WholesaleExtract!B:J,6,FALSE),"")</f>
        <v/>
      </c>
      <c r="H2286" s="47" t="str">
        <f>IFERROR(VLOOKUP(G2286,WholesaleExtract!B:L,11,FALSE),"")</f>
        <v/>
      </c>
      <c r="I2286" s="26" t="str">
        <f>IFERROR(VLOOKUP(G2286,WholesaleExtract!B:O,8,FALSE),"")</f>
        <v/>
      </c>
      <c r="J2286" s="26" t="str">
        <f>IFERROR(VLOOKUP(G2286,WholesaleExtract!B:O,14,FALSE),"")</f>
        <v/>
      </c>
      <c r="K2286" s="26" t="str">
        <f>IFERROR(VLOOKUP(G2286,WholesaleExtract!B:K,10,FALSE),"")</f>
        <v/>
      </c>
      <c r="L2286" s="47" t="str">
        <f>IFERROR(VLOOKUP(G2286,WholesaleExtract!B:L,11,FALSE),"")</f>
        <v/>
      </c>
      <c r="M2286" s="47" t="str">
        <f>IFERROR(VLOOKUP(G2286,WholesaleExtract!B:M,12,FALSE),"")</f>
        <v/>
      </c>
      <c r="R2286" s="19"/>
      <c r="S2286" s="19"/>
    </row>
    <row r="2287" spans="1:19" x14ac:dyDescent="0.35">
      <c r="A2287" s="26" t="s">
        <v>543</v>
      </c>
      <c r="B2287" s="26" t="s">
        <v>543</v>
      </c>
      <c r="C2287" s="26"/>
      <c r="D2287" s="26" t="s">
        <v>543</v>
      </c>
      <c r="E2287" s="26" t="str">
        <f>IFERROR(VLOOKUP(G2287,WholesaleExtract!B:J,9,FALSE),"")</f>
        <v/>
      </c>
      <c r="F2287" s="26" t="str">
        <f>IFERROR(VLOOKUP(G2287,WholesaleExtract!B:J,6,FALSE),"")</f>
        <v/>
      </c>
      <c r="H2287" s="47" t="str">
        <f>IFERROR(VLOOKUP(G2287,WholesaleExtract!B:L,11,FALSE),"")</f>
        <v/>
      </c>
      <c r="I2287" s="26" t="str">
        <f>IFERROR(VLOOKUP(G2287,WholesaleExtract!B:O,8,FALSE),"")</f>
        <v/>
      </c>
      <c r="J2287" s="26" t="str">
        <f>IFERROR(VLOOKUP(G2287,WholesaleExtract!B:O,14,FALSE),"")</f>
        <v/>
      </c>
      <c r="K2287" s="26" t="str">
        <f>IFERROR(VLOOKUP(G2287,WholesaleExtract!B:K,10,FALSE),"")</f>
        <v/>
      </c>
      <c r="L2287" s="47" t="str">
        <f>IFERROR(VLOOKUP(G2287,WholesaleExtract!B:L,11,FALSE),"")</f>
        <v/>
      </c>
      <c r="M2287" s="47" t="str">
        <f>IFERROR(VLOOKUP(G2287,WholesaleExtract!B:M,12,FALSE),"")</f>
        <v/>
      </c>
      <c r="R2287" s="19"/>
      <c r="S2287" s="19"/>
    </row>
    <row r="2288" spans="1:19" x14ac:dyDescent="0.35">
      <c r="A2288" s="26" t="s">
        <v>543</v>
      </c>
      <c r="B2288" s="26" t="s">
        <v>543</v>
      </c>
      <c r="C2288" s="26"/>
      <c r="D2288" s="26" t="s">
        <v>543</v>
      </c>
      <c r="E2288" s="26" t="str">
        <f>IFERROR(VLOOKUP(G2288,WholesaleExtract!B:J,9,FALSE),"")</f>
        <v/>
      </c>
      <c r="F2288" s="26" t="str">
        <f>IFERROR(VLOOKUP(G2288,WholesaleExtract!B:J,6,FALSE),"")</f>
        <v/>
      </c>
      <c r="H2288" s="47" t="str">
        <f>IFERROR(VLOOKUP(G2288,WholesaleExtract!B:L,11,FALSE),"")</f>
        <v/>
      </c>
      <c r="I2288" s="26" t="str">
        <f>IFERROR(VLOOKUP(G2288,WholesaleExtract!B:O,8,FALSE),"")</f>
        <v/>
      </c>
      <c r="J2288" s="26" t="str">
        <f>IFERROR(VLOOKUP(G2288,WholesaleExtract!B:O,14,FALSE),"")</f>
        <v/>
      </c>
      <c r="K2288" s="26" t="str">
        <f>IFERROR(VLOOKUP(G2288,WholesaleExtract!B:K,10,FALSE),"")</f>
        <v/>
      </c>
      <c r="L2288" s="47" t="str">
        <f>IFERROR(VLOOKUP(G2288,WholesaleExtract!B:L,11,FALSE),"")</f>
        <v/>
      </c>
      <c r="M2288" s="47" t="str">
        <f>IFERROR(VLOOKUP(G2288,WholesaleExtract!B:M,12,FALSE),"")</f>
        <v/>
      </c>
      <c r="R2288" s="19"/>
      <c r="S2288" s="19"/>
    </row>
    <row r="2289" spans="1:19" x14ac:dyDescent="0.35">
      <c r="A2289" s="26" t="s">
        <v>543</v>
      </c>
      <c r="B2289" s="26" t="s">
        <v>543</v>
      </c>
      <c r="C2289" s="26"/>
      <c r="D2289" s="26" t="s">
        <v>543</v>
      </c>
      <c r="E2289" s="26" t="str">
        <f>IFERROR(VLOOKUP(G2289,WholesaleExtract!B:J,9,FALSE),"")</f>
        <v/>
      </c>
      <c r="F2289" s="26" t="str">
        <f>IFERROR(VLOOKUP(G2289,WholesaleExtract!B:J,6,FALSE),"")</f>
        <v/>
      </c>
      <c r="H2289" s="47" t="str">
        <f>IFERROR(VLOOKUP(G2289,WholesaleExtract!B:L,11,FALSE),"")</f>
        <v/>
      </c>
      <c r="I2289" s="26" t="str">
        <f>IFERROR(VLOOKUP(G2289,WholesaleExtract!B:O,8,FALSE),"")</f>
        <v/>
      </c>
      <c r="J2289" s="26" t="str">
        <f>IFERROR(VLOOKUP(G2289,WholesaleExtract!B:O,14,FALSE),"")</f>
        <v/>
      </c>
      <c r="K2289" s="26" t="str">
        <f>IFERROR(VLOOKUP(G2289,WholesaleExtract!B:K,10,FALSE),"")</f>
        <v/>
      </c>
      <c r="L2289" s="47" t="str">
        <f>IFERROR(VLOOKUP(G2289,WholesaleExtract!B:L,11,FALSE),"")</f>
        <v/>
      </c>
      <c r="M2289" s="47" t="str">
        <f>IFERROR(VLOOKUP(G2289,WholesaleExtract!B:M,12,FALSE),"")</f>
        <v/>
      </c>
      <c r="R2289" s="19"/>
      <c r="S2289" s="19"/>
    </row>
    <row r="2290" spans="1:19" x14ac:dyDescent="0.35">
      <c r="A2290" s="26" t="s">
        <v>543</v>
      </c>
      <c r="B2290" s="26" t="s">
        <v>543</v>
      </c>
      <c r="C2290" s="26"/>
      <c r="D2290" s="26" t="s">
        <v>543</v>
      </c>
      <c r="E2290" s="26" t="str">
        <f>IFERROR(VLOOKUP(G2290,WholesaleExtract!B:J,9,FALSE),"")</f>
        <v/>
      </c>
      <c r="F2290" s="26" t="str">
        <f>IFERROR(VLOOKUP(G2290,WholesaleExtract!B:J,6,FALSE),"")</f>
        <v/>
      </c>
      <c r="H2290" s="47" t="str">
        <f>IFERROR(VLOOKUP(G2290,WholesaleExtract!B:L,11,FALSE),"")</f>
        <v/>
      </c>
      <c r="I2290" s="26" t="str">
        <f>IFERROR(VLOOKUP(G2290,WholesaleExtract!B:O,8,FALSE),"")</f>
        <v/>
      </c>
      <c r="J2290" s="26" t="str">
        <f>IFERROR(VLOOKUP(G2290,WholesaleExtract!B:O,14,FALSE),"")</f>
        <v/>
      </c>
      <c r="K2290" s="26" t="str">
        <f>IFERROR(VLOOKUP(G2290,WholesaleExtract!B:K,10,FALSE),"")</f>
        <v/>
      </c>
      <c r="L2290" s="47" t="str">
        <f>IFERROR(VLOOKUP(G2290,WholesaleExtract!B:L,11,FALSE),"")</f>
        <v/>
      </c>
      <c r="M2290" s="47" t="str">
        <f>IFERROR(VLOOKUP(G2290,WholesaleExtract!B:M,12,FALSE),"")</f>
        <v/>
      </c>
      <c r="R2290" s="19"/>
      <c r="S2290" s="19"/>
    </row>
    <row r="2291" spans="1:19" x14ac:dyDescent="0.35">
      <c r="A2291" s="26" t="s">
        <v>543</v>
      </c>
      <c r="B2291" s="26" t="s">
        <v>543</v>
      </c>
      <c r="C2291" s="26"/>
      <c r="D2291" s="26" t="s">
        <v>543</v>
      </c>
      <c r="E2291" s="26" t="str">
        <f>IFERROR(VLOOKUP(G2291,WholesaleExtract!B:J,9,FALSE),"")</f>
        <v/>
      </c>
      <c r="F2291" s="26" t="str">
        <f>IFERROR(VLOOKUP(G2291,WholesaleExtract!B:J,6,FALSE),"")</f>
        <v/>
      </c>
      <c r="H2291" s="47" t="str">
        <f>IFERROR(VLOOKUP(G2291,WholesaleExtract!B:L,11,FALSE),"")</f>
        <v/>
      </c>
      <c r="I2291" s="26" t="str">
        <f>IFERROR(VLOOKUP(G2291,WholesaleExtract!B:O,8,FALSE),"")</f>
        <v/>
      </c>
      <c r="J2291" s="26" t="str">
        <f>IFERROR(VLOOKUP(G2291,WholesaleExtract!B:O,14,FALSE),"")</f>
        <v/>
      </c>
      <c r="K2291" s="26" t="str">
        <f>IFERROR(VLOOKUP(G2291,WholesaleExtract!B:K,10,FALSE),"")</f>
        <v/>
      </c>
      <c r="L2291" s="47" t="str">
        <f>IFERROR(VLOOKUP(G2291,WholesaleExtract!B:L,11,FALSE),"")</f>
        <v/>
      </c>
      <c r="M2291" s="47" t="str">
        <f>IFERROR(VLOOKUP(G2291,WholesaleExtract!B:M,12,FALSE),"")</f>
        <v/>
      </c>
      <c r="R2291" s="19"/>
      <c r="S2291" s="19"/>
    </row>
    <row r="2292" spans="1:19" x14ac:dyDescent="0.35">
      <c r="A2292" s="26" t="s">
        <v>543</v>
      </c>
      <c r="B2292" s="26" t="s">
        <v>543</v>
      </c>
      <c r="C2292" s="26"/>
      <c r="D2292" s="26" t="s">
        <v>543</v>
      </c>
      <c r="E2292" s="26" t="str">
        <f>IFERROR(VLOOKUP(G2292,WholesaleExtract!B:J,9,FALSE),"")</f>
        <v/>
      </c>
      <c r="F2292" s="26" t="str">
        <f>IFERROR(VLOOKUP(G2292,WholesaleExtract!B:J,6,FALSE),"")</f>
        <v/>
      </c>
      <c r="H2292" s="47" t="str">
        <f>IFERROR(VLOOKUP(G2292,WholesaleExtract!B:L,11,FALSE),"")</f>
        <v/>
      </c>
      <c r="I2292" s="26" t="str">
        <f>IFERROR(VLOOKUP(G2292,WholesaleExtract!B:O,8,FALSE),"")</f>
        <v/>
      </c>
      <c r="J2292" s="26" t="str">
        <f>IFERROR(VLOOKUP(G2292,WholesaleExtract!B:O,14,FALSE),"")</f>
        <v/>
      </c>
      <c r="K2292" s="26" t="str">
        <f>IFERROR(VLOOKUP(G2292,WholesaleExtract!B:K,10,FALSE),"")</f>
        <v/>
      </c>
      <c r="L2292" s="47" t="str">
        <f>IFERROR(VLOOKUP(G2292,WholesaleExtract!B:L,11,FALSE),"")</f>
        <v/>
      </c>
      <c r="M2292" s="47" t="str">
        <f>IFERROR(VLOOKUP(G2292,WholesaleExtract!B:M,12,FALSE),"")</f>
        <v/>
      </c>
      <c r="R2292" s="19"/>
      <c r="S2292" s="19"/>
    </row>
    <row r="2293" spans="1:19" x14ac:dyDescent="0.35">
      <c r="A2293" s="26" t="s">
        <v>543</v>
      </c>
      <c r="B2293" s="26" t="s">
        <v>543</v>
      </c>
      <c r="C2293" s="26"/>
      <c r="D2293" s="26" t="s">
        <v>543</v>
      </c>
      <c r="E2293" s="26" t="str">
        <f>IFERROR(VLOOKUP(G2293,WholesaleExtract!B:J,9,FALSE),"")</f>
        <v/>
      </c>
      <c r="F2293" s="26" t="str">
        <f>IFERROR(VLOOKUP(G2293,WholesaleExtract!B:J,6,FALSE),"")</f>
        <v/>
      </c>
      <c r="H2293" s="47" t="str">
        <f>IFERROR(VLOOKUP(G2293,WholesaleExtract!B:L,11,FALSE),"")</f>
        <v/>
      </c>
      <c r="I2293" s="26" t="str">
        <f>IFERROR(VLOOKUP(G2293,WholesaleExtract!B:O,8,FALSE),"")</f>
        <v/>
      </c>
      <c r="J2293" s="26" t="str">
        <f>IFERROR(VLOOKUP(G2293,WholesaleExtract!B:O,14,FALSE),"")</f>
        <v/>
      </c>
      <c r="K2293" s="26" t="str">
        <f>IFERROR(VLOOKUP(G2293,WholesaleExtract!B:K,10,FALSE),"")</f>
        <v/>
      </c>
      <c r="L2293" s="47" t="str">
        <f>IFERROR(VLOOKUP(G2293,WholesaleExtract!B:L,11,FALSE),"")</f>
        <v/>
      </c>
      <c r="M2293" s="47" t="str">
        <f>IFERROR(VLOOKUP(G2293,WholesaleExtract!B:M,12,FALSE),"")</f>
        <v/>
      </c>
      <c r="R2293" s="19"/>
      <c r="S2293" s="19"/>
    </row>
    <row r="2294" spans="1:19" x14ac:dyDescent="0.35">
      <c r="A2294" s="26" t="s">
        <v>543</v>
      </c>
      <c r="B2294" s="26" t="s">
        <v>543</v>
      </c>
      <c r="C2294" s="26"/>
      <c r="D2294" s="26" t="s">
        <v>543</v>
      </c>
      <c r="E2294" s="26" t="str">
        <f>IFERROR(VLOOKUP(G2294,WholesaleExtract!B:J,9,FALSE),"")</f>
        <v/>
      </c>
      <c r="F2294" s="26" t="str">
        <f>IFERROR(VLOOKUP(G2294,WholesaleExtract!B:J,6,FALSE),"")</f>
        <v/>
      </c>
      <c r="H2294" s="47" t="str">
        <f>IFERROR(VLOOKUP(G2294,WholesaleExtract!B:L,11,FALSE),"")</f>
        <v/>
      </c>
      <c r="I2294" s="26" t="str">
        <f>IFERROR(VLOOKUP(G2294,WholesaleExtract!B:O,8,FALSE),"")</f>
        <v/>
      </c>
      <c r="J2294" s="26" t="str">
        <f>IFERROR(VLOOKUP(G2294,WholesaleExtract!B:O,14,FALSE),"")</f>
        <v/>
      </c>
      <c r="K2294" s="26" t="str">
        <f>IFERROR(VLOOKUP(G2294,WholesaleExtract!B:K,10,FALSE),"")</f>
        <v/>
      </c>
      <c r="L2294" s="47" t="str">
        <f>IFERROR(VLOOKUP(G2294,WholesaleExtract!B:L,11,FALSE),"")</f>
        <v/>
      </c>
      <c r="M2294" s="47" t="str">
        <f>IFERROR(VLOOKUP(G2294,WholesaleExtract!B:M,12,FALSE),"")</f>
        <v/>
      </c>
      <c r="R2294" s="19"/>
      <c r="S2294" s="19"/>
    </row>
    <row r="2295" spans="1:19" x14ac:dyDescent="0.35">
      <c r="A2295" s="26" t="s">
        <v>543</v>
      </c>
      <c r="B2295" s="26" t="s">
        <v>543</v>
      </c>
      <c r="C2295" s="26"/>
      <c r="D2295" s="26" t="s">
        <v>543</v>
      </c>
      <c r="E2295" s="26" t="str">
        <f>IFERROR(VLOOKUP(G2295,WholesaleExtract!B:J,9,FALSE),"")</f>
        <v/>
      </c>
      <c r="F2295" s="26" t="str">
        <f>IFERROR(VLOOKUP(G2295,WholesaleExtract!B:J,6,FALSE),"")</f>
        <v/>
      </c>
      <c r="H2295" s="47" t="str">
        <f>IFERROR(VLOOKUP(G2295,WholesaleExtract!B:L,11,FALSE),"")</f>
        <v/>
      </c>
      <c r="I2295" s="26" t="str">
        <f>IFERROR(VLOOKUP(G2295,WholesaleExtract!B:O,8,FALSE),"")</f>
        <v/>
      </c>
      <c r="J2295" s="26" t="str">
        <f>IFERROR(VLOOKUP(G2295,WholesaleExtract!B:O,14,FALSE),"")</f>
        <v/>
      </c>
      <c r="K2295" s="26" t="str">
        <f>IFERROR(VLOOKUP(G2295,WholesaleExtract!B:K,10,FALSE),"")</f>
        <v/>
      </c>
      <c r="L2295" s="47" t="str">
        <f>IFERROR(VLOOKUP(G2295,WholesaleExtract!B:L,11,FALSE),"")</f>
        <v/>
      </c>
      <c r="M2295" s="47" t="str">
        <f>IFERROR(VLOOKUP(G2295,WholesaleExtract!B:M,12,FALSE),"")</f>
        <v/>
      </c>
      <c r="R2295" s="19"/>
      <c r="S2295" s="19"/>
    </row>
    <row r="2296" spans="1:19" x14ac:dyDescent="0.35">
      <c r="A2296" s="26" t="s">
        <v>543</v>
      </c>
      <c r="B2296" s="26" t="s">
        <v>543</v>
      </c>
      <c r="C2296" s="26"/>
      <c r="D2296" s="26" t="s">
        <v>543</v>
      </c>
      <c r="E2296" s="26" t="str">
        <f>IFERROR(VLOOKUP(G2296,WholesaleExtract!B:J,9,FALSE),"")</f>
        <v/>
      </c>
      <c r="F2296" s="26" t="str">
        <f>IFERROR(VLOOKUP(G2296,WholesaleExtract!B:J,6,FALSE),"")</f>
        <v/>
      </c>
      <c r="H2296" s="47" t="str">
        <f>IFERROR(VLOOKUP(G2296,WholesaleExtract!B:L,11,FALSE),"")</f>
        <v/>
      </c>
      <c r="I2296" s="26" t="str">
        <f>IFERROR(VLOOKUP(G2296,WholesaleExtract!B:O,8,FALSE),"")</f>
        <v/>
      </c>
      <c r="J2296" s="26" t="str">
        <f>IFERROR(VLOOKUP(G2296,WholesaleExtract!B:O,14,FALSE),"")</f>
        <v/>
      </c>
      <c r="K2296" s="26" t="str">
        <f>IFERROR(VLOOKUP(G2296,WholesaleExtract!B:K,10,FALSE),"")</f>
        <v/>
      </c>
      <c r="L2296" s="47" t="str">
        <f>IFERROR(VLOOKUP(G2296,WholesaleExtract!B:L,11,FALSE),"")</f>
        <v/>
      </c>
      <c r="M2296" s="47" t="str">
        <f>IFERROR(VLOOKUP(G2296,WholesaleExtract!B:M,12,FALSE),"")</f>
        <v/>
      </c>
      <c r="R2296" s="19"/>
      <c r="S2296" s="19"/>
    </row>
    <row r="2297" spans="1:19" x14ac:dyDescent="0.35">
      <c r="A2297" s="26" t="s">
        <v>543</v>
      </c>
      <c r="B2297" s="26" t="s">
        <v>543</v>
      </c>
      <c r="C2297" s="26"/>
      <c r="D2297" s="26" t="s">
        <v>543</v>
      </c>
      <c r="E2297" s="26" t="str">
        <f>IFERROR(VLOOKUP(G2297,WholesaleExtract!B:J,9,FALSE),"")</f>
        <v/>
      </c>
      <c r="F2297" s="26" t="str">
        <f>IFERROR(VLOOKUP(G2297,WholesaleExtract!B:J,6,FALSE),"")</f>
        <v/>
      </c>
      <c r="H2297" s="47" t="str">
        <f>IFERROR(VLOOKUP(G2297,WholesaleExtract!B:L,11,FALSE),"")</f>
        <v/>
      </c>
      <c r="I2297" s="26" t="str">
        <f>IFERROR(VLOOKUP(G2297,WholesaleExtract!B:O,8,FALSE),"")</f>
        <v/>
      </c>
      <c r="J2297" s="26" t="str">
        <f>IFERROR(VLOOKUP(G2297,WholesaleExtract!B:O,14,FALSE),"")</f>
        <v/>
      </c>
      <c r="K2297" s="26" t="str">
        <f>IFERROR(VLOOKUP(G2297,WholesaleExtract!B:K,10,FALSE),"")</f>
        <v/>
      </c>
      <c r="L2297" s="47" t="str">
        <f>IFERROR(VLOOKUP(G2297,WholesaleExtract!B:L,11,FALSE),"")</f>
        <v/>
      </c>
      <c r="M2297" s="47" t="str">
        <f>IFERROR(VLOOKUP(G2297,WholesaleExtract!B:M,12,FALSE),"")</f>
        <v/>
      </c>
      <c r="R2297" s="19"/>
      <c r="S2297" s="19"/>
    </row>
    <row r="2298" spans="1:19" x14ac:dyDescent="0.35">
      <c r="A2298" s="26" t="s">
        <v>543</v>
      </c>
      <c r="B2298" s="26" t="s">
        <v>543</v>
      </c>
      <c r="C2298" s="26"/>
      <c r="D2298" s="26" t="s">
        <v>543</v>
      </c>
      <c r="E2298" s="26" t="str">
        <f>IFERROR(VLOOKUP(G2298,WholesaleExtract!B:J,9,FALSE),"")</f>
        <v/>
      </c>
      <c r="F2298" s="26" t="str">
        <f>IFERROR(VLOOKUP(G2298,WholesaleExtract!B:J,6,FALSE),"")</f>
        <v/>
      </c>
      <c r="H2298" s="47" t="str">
        <f>IFERROR(VLOOKUP(G2298,WholesaleExtract!B:L,11,FALSE),"")</f>
        <v/>
      </c>
      <c r="I2298" s="26" t="str">
        <f>IFERROR(VLOOKUP(G2298,WholesaleExtract!B:O,8,FALSE),"")</f>
        <v/>
      </c>
      <c r="J2298" s="26" t="str">
        <f>IFERROR(VLOOKUP(G2298,WholesaleExtract!B:O,14,FALSE),"")</f>
        <v/>
      </c>
      <c r="K2298" s="26" t="str">
        <f>IFERROR(VLOOKUP(G2298,WholesaleExtract!B:K,10,FALSE),"")</f>
        <v/>
      </c>
      <c r="L2298" s="47" t="str">
        <f>IFERROR(VLOOKUP(G2298,WholesaleExtract!B:L,11,FALSE),"")</f>
        <v/>
      </c>
      <c r="M2298" s="47" t="str">
        <f>IFERROR(VLOOKUP(G2298,WholesaleExtract!B:M,12,FALSE),"")</f>
        <v/>
      </c>
      <c r="R2298" s="19"/>
      <c r="S2298" s="19"/>
    </row>
    <row r="2299" spans="1:19" x14ac:dyDescent="0.35">
      <c r="A2299" s="26" t="s">
        <v>543</v>
      </c>
      <c r="B2299" s="26" t="s">
        <v>543</v>
      </c>
      <c r="C2299" s="26"/>
      <c r="D2299" s="26" t="s">
        <v>543</v>
      </c>
      <c r="E2299" s="26" t="str">
        <f>IFERROR(VLOOKUP(G2299,WholesaleExtract!B:J,9,FALSE),"")</f>
        <v/>
      </c>
      <c r="F2299" s="26" t="str">
        <f>IFERROR(VLOOKUP(G2299,WholesaleExtract!B:J,6,FALSE),"")</f>
        <v/>
      </c>
      <c r="H2299" s="47" t="str">
        <f>IFERROR(VLOOKUP(G2299,WholesaleExtract!B:L,11,FALSE),"")</f>
        <v/>
      </c>
      <c r="I2299" s="26" t="str">
        <f>IFERROR(VLOOKUP(G2299,WholesaleExtract!B:O,8,FALSE),"")</f>
        <v/>
      </c>
      <c r="J2299" s="26" t="str">
        <f>IFERROR(VLOOKUP(G2299,WholesaleExtract!B:O,14,FALSE),"")</f>
        <v/>
      </c>
      <c r="K2299" s="26" t="str">
        <f>IFERROR(VLOOKUP(G2299,WholesaleExtract!B:K,10,FALSE),"")</f>
        <v/>
      </c>
      <c r="L2299" s="47" t="str">
        <f>IFERROR(VLOOKUP(G2299,WholesaleExtract!B:L,11,FALSE),"")</f>
        <v/>
      </c>
      <c r="M2299" s="47" t="str">
        <f>IFERROR(VLOOKUP(G2299,WholesaleExtract!B:M,12,FALSE),"")</f>
        <v/>
      </c>
      <c r="R2299" s="19"/>
      <c r="S2299" s="19"/>
    </row>
    <row r="2300" spans="1:19" x14ac:dyDescent="0.35">
      <c r="A2300" s="26" t="s">
        <v>543</v>
      </c>
      <c r="B2300" s="26" t="s">
        <v>543</v>
      </c>
      <c r="C2300" s="26"/>
      <c r="D2300" s="26" t="s">
        <v>543</v>
      </c>
      <c r="E2300" s="26" t="str">
        <f>IFERROR(VLOOKUP(G2300,WholesaleExtract!B:J,9,FALSE),"")</f>
        <v/>
      </c>
      <c r="F2300" s="26" t="str">
        <f>IFERROR(VLOOKUP(G2300,WholesaleExtract!B:J,6,FALSE),"")</f>
        <v/>
      </c>
      <c r="H2300" s="47" t="str">
        <f>IFERROR(VLOOKUP(G2300,WholesaleExtract!B:L,11,FALSE),"")</f>
        <v/>
      </c>
      <c r="I2300" s="26" t="str">
        <f>IFERROR(VLOOKUP(G2300,WholesaleExtract!B:O,8,FALSE),"")</f>
        <v/>
      </c>
      <c r="J2300" s="26" t="str">
        <f>IFERROR(VLOOKUP(G2300,WholesaleExtract!B:O,14,FALSE),"")</f>
        <v/>
      </c>
      <c r="K2300" s="26" t="str">
        <f>IFERROR(VLOOKUP(G2300,WholesaleExtract!B:K,10,FALSE),"")</f>
        <v/>
      </c>
      <c r="L2300" s="47" t="str">
        <f>IFERROR(VLOOKUP(G2300,WholesaleExtract!B:L,11,FALSE),"")</f>
        <v/>
      </c>
      <c r="M2300" s="47" t="str">
        <f>IFERROR(VLOOKUP(G2300,WholesaleExtract!B:M,12,FALSE),"")</f>
        <v/>
      </c>
      <c r="R2300" s="19"/>
      <c r="S2300" s="19"/>
    </row>
    <row r="2301" spans="1:19" x14ac:dyDescent="0.35">
      <c r="A2301" s="26" t="s">
        <v>543</v>
      </c>
      <c r="B2301" s="26" t="s">
        <v>543</v>
      </c>
      <c r="C2301" s="26"/>
      <c r="D2301" s="26" t="s">
        <v>543</v>
      </c>
      <c r="E2301" s="26" t="str">
        <f>IFERROR(VLOOKUP(G2301,WholesaleExtract!B:J,9,FALSE),"")</f>
        <v/>
      </c>
      <c r="F2301" s="26" t="str">
        <f>IFERROR(VLOOKUP(G2301,WholesaleExtract!B:J,6,FALSE),"")</f>
        <v/>
      </c>
      <c r="H2301" s="47" t="str">
        <f>IFERROR(VLOOKUP(G2301,WholesaleExtract!B:L,11,FALSE),"")</f>
        <v/>
      </c>
      <c r="I2301" s="26" t="str">
        <f>IFERROR(VLOOKUP(G2301,WholesaleExtract!B:O,8,FALSE),"")</f>
        <v/>
      </c>
      <c r="J2301" s="26" t="str">
        <f>IFERROR(VLOOKUP(G2301,WholesaleExtract!B:O,14,FALSE),"")</f>
        <v/>
      </c>
      <c r="K2301" s="26" t="str">
        <f>IFERROR(VLOOKUP(G2301,WholesaleExtract!B:K,10,FALSE),"")</f>
        <v/>
      </c>
      <c r="L2301" s="47" t="str">
        <f>IFERROR(VLOOKUP(G2301,WholesaleExtract!B:L,11,FALSE),"")</f>
        <v/>
      </c>
      <c r="M2301" s="47" t="str">
        <f>IFERROR(VLOOKUP(G2301,WholesaleExtract!B:M,12,FALSE),"")</f>
        <v/>
      </c>
      <c r="R2301" s="19"/>
      <c r="S2301" s="19"/>
    </row>
    <row r="2302" spans="1:19" x14ac:dyDescent="0.35">
      <c r="A2302" s="26" t="s">
        <v>543</v>
      </c>
      <c r="B2302" s="26" t="s">
        <v>543</v>
      </c>
      <c r="C2302" s="26"/>
      <c r="D2302" s="26" t="s">
        <v>543</v>
      </c>
      <c r="E2302" s="26" t="str">
        <f>IFERROR(VLOOKUP(G2302,WholesaleExtract!B:J,9,FALSE),"")</f>
        <v/>
      </c>
      <c r="F2302" s="26" t="str">
        <f>IFERROR(VLOOKUP(G2302,WholesaleExtract!B:J,6,FALSE),"")</f>
        <v/>
      </c>
      <c r="H2302" s="47" t="str">
        <f>IFERROR(VLOOKUP(G2302,WholesaleExtract!B:L,11,FALSE),"")</f>
        <v/>
      </c>
      <c r="I2302" s="26" t="str">
        <f>IFERROR(VLOOKUP(G2302,WholesaleExtract!B:O,8,FALSE),"")</f>
        <v/>
      </c>
      <c r="J2302" s="26" t="str">
        <f>IFERROR(VLOOKUP(G2302,WholesaleExtract!B:O,14,FALSE),"")</f>
        <v/>
      </c>
      <c r="K2302" s="26" t="str">
        <f>IFERROR(VLOOKUP(G2302,WholesaleExtract!B:K,10,FALSE),"")</f>
        <v/>
      </c>
      <c r="L2302" s="47" t="str">
        <f>IFERROR(VLOOKUP(G2302,WholesaleExtract!B:L,11,FALSE),"")</f>
        <v/>
      </c>
      <c r="M2302" s="47" t="str">
        <f>IFERROR(VLOOKUP(G2302,WholesaleExtract!B:M,12,FALSE),"")</f>
        <v/>
      </c>
      <c r="R2302" s="19"/>
      <c r="S2302" s="19"/>
    </row>
    <row r="2303" spans="1:19" x14ac:dyDescent="0.35">
      <c r="A2303" s="26" t="s">
        <v>543</v>
      </c>
      <c r="B2303" s="26" t="s">
        <v>543</v>
      </c>
      <c r="C2303" s="26"/>
      <c r="D2303" s="26" t="s">
        <v>543</v>
      </c>
      <c r="E2303" s="26" t="str">
        <f>IFERROR(VLOOKUP(G2303,WholesaleExtract!B:J,9,FALSE),"")</f>
        <v/>
      </c>
      <c r="F2303" s="26" t="str">
        <f>IFERROR(VLOOKUP(G2303,WholesaleExtract!B:J,6,FALSE),"")</f>
        <v/>
      </c>
      <c r="H2303" s="47" t="str">
        <f>IFERROR(VLOOKUP(G2303,WholesaleExtract!B:L,11,FALSE),"")</f>
        <v/>
      </c>
      <c r="I2303" s="26" t="str">
        <f>IFERROR(VLOOKUP(G2303,WholesaleExtract!B:O,8,FALSE),"")</f>
        <v/>
      </c>
      <c r="J2303" s="26" t="str">
        <f>IFERROR(VLOOKUP(G2303,WholesaleExtract!B:O,14,FALSE),"")</f>
        <v/>
      </c>
      <c r="K2303" s="26" t="str">
        <f>IFERROR(VLOOKUP(G2303,WholesaleExtract!B:K,10,FALSE),"")</f>
        <v/>
      </c>
      <c r="L2303" s="47" t="str">
        <f>IFERROR(VLOOKUP(G2303,WholesaleExtract!B:L,11,FALSE),"")</f>
        <v/>
      </c>
      <c r="M2303" s="47" t="str">
        <f>IFERROR(VLOOKUP(G2303,WholesaleExtract!B:M,12,FALSE),"")</f>
        <v/>
      </c>
      <c r="R2303" s="19"/>
      <c r="S2303" s="19"/>
    </row>
    <row r="2304" spans="1:19" x14ac:dyDescent="0.35">
      <c r="A2304" s="26" t="s">
        <v>543</v>
      </c>
      <c r="B2304" s="26" t="s">
        <v>543</v>
      </c>
      <c r="C2304" s="26"/>
      <c r="D2304" s="26" t="s">
        <v>543</v>
      </c>
      <c r="E2304" s="26" t="str">
        <f>IFERROR(VLOOKUP(G2304,WholesaleExtract!B:J,9,FALSE),"")</f>
        <v/>
      </c>
      <c r="F2304" s="26" t="str">
        <f>IFERROR(VLOOKUP(G2304,WholesaleExtract!B:J,6,FALSE),"")</f>
        <v/>
      </c>
      <c r="H2304" s="47" t="str">
        <f>IFERROR(VLOOKUP(G2304,WholesaleExtract!B:L,11,FALSE),"")</f>
        <v/>
      </c>
      <c r="I2304" s="26" t="str">
        <f>IFERROR(VLOOKUP(G2304,WholesaleExtract!B:O,8,FALSE),"")</f>
        <v/>
      </c>
      <c r="J2304" s="26" t="str">
        <f>IFERROR(VLOOKUP(G2304,WholesaleExtract!B:O,14,FALSE),"")</f>
        <v/>
      </c>
      <c r="K2304" s="26" t="str">
        <f>IFERROR(VLOOKUP(G2304,WholesaleExtract!B:K,10,FALSE),"")</f>
        <v/>
      </c>
      <c r="L2304" s="47" t="str">
        <f>IFERROR(VLOOKUP(G2304,WholesaleExtract!B:L,11,FALSE),"")</f>
        <v/>
      </c>
      <c r="M2304" s="47" t="str">
        <f>IFERROR(VLOOKUP(G2304,WholesaleExtract!B:M,12,FALSE),"")</f>
        <v/>
      </c>
      <c r="R2304" s="19"/>
      <c r="S2304" s="19"/>
    </row>
    <row r="2305" spans="1:19" x14ac:dyDescent="0.35">
      <c r="A2305" s="26" t="s">
        <v>543</v>
      </c>
      <c r="B2305" s="26" t="s">
        <v>543</v>
      </c>
      <c r="C2305" s="26"/>
      <c r="D2305" s="26" t="s">
        <v>543</v>
      </c>
      <c r="E2305" s="26" t="str">
        <f>IFERROR(VLOOKUP(G2305,WholesaleExtract!B:J,9,FALSE),"")</f>
        <v/>
      </c>
      <c r="F2305" s="26" t="str">
        <f>IFERROR(VLOOKUP(G2305,WholesaleExtract!B:J,6,FALSE),"")</f>
        <v/>
      </c>
      <c r="H2305" s="47" t="str">
        <f>IFERROR(VLOOKUP(G2305,WholesaleExtract!B:L,11,FALSE),"")</f>
        <v/>
      </c>
      <c r="I2305" s="26" t="str">
        <f>IFERROR(VLOOKUP(G2305,WholesaleExtract!B:O,8,FALSE),"")</f>
        <v/>
      </c>
      <c r="J2305" s="26" t="str">
        <f>IFERROR(VLOOKUP(G2305,WholesaleExtract!B:O,14,FALSE),"")</f>
        <v/>
      </c>
      <c r="K2305" s="26" t="str">
        <f>IFERROR(VLOOKUP(G2305,WholesaleExtract!B:K,10,FALSE),"")</f>
        <v/>
      </c>
      <c r="L2305" s="47" t="str">
        <f>IFERROR(VLOOKUP(G2305,WholesaleExtract!B:L,11,FALSE),"")</f>
        <v/>
      </c>
      <c r="M2305" s="47" t="str">
        <f>IFERROR(VLOOKUP(G2305,WholesaleExtract!B:M,12,FALSE),"")</f>
        <v/>
      </c>
      <c r="R2305" s="19"/>
      <c r="S2305" s="19"/>
    </row>
    <row r="2306" spans="1:19" x14ac:dyDescent="0.35">
      <c r="A2306" s="26" t="s">
        <v>543</v>
      </c>
      <c r="B2306" s="26" t="s">
        <v>543</v>
      </c>
      <c r="C2306" s="26"/>
      <c r="D2306" s="26" t="s">
        <v>543</v>
      </c>
      <c r="E2306" s="26" t="str">
        <f>IFERROR(VLOOKUP(G2306,WholesaleExtract!B:J,9,FALSE),"")</f>
        <v/>
      </c>
      <c r="F2306" s="26" t="str">
        <f>IFERROR(VLOOKUP(G2306,WholesaleExtract!B:J,6,FALSE),"")</f>
        <v/>
      </c>
      <c r="H2306" s="47" t="str">
        <f>IFERROR(VLOOKUP(G2306,WholesaleExtract!B:L,11,FALSE),"")</f>
        <v/>
      </c>
      <c r="I2306" s="26" t="str">
        <f>IFERROR(VLOOKUP(G2306,WholesaleExtract!B:O,8,FALSE),"")</f>
        <v/>
      </c>
      <c r="J2306" s="26" t="str">
        <f>IFERROR(VLOOKUP(G2306,WholesaleExtract!B:O,14,FALSE),"")</f>
        <v/>
      </c>
      <c r="K2306" s="26" t="str">
        <f>IFERROR(VLOOKUP(G2306,WholesaleExtract!B:K,10,FALSE),"")</f>
        <v/>
      </c>
      <c r="L2306" s="47" t="str">
        <f>IFERROR(VLOOKUP(G2306,WholesaleExtract!B:L,11,FALSE),"")</f>
        <v/>
      </c>
      <c r="M2306" s="47" t="str">
        <f>IFERROR(VLOOKUP(G2306,WholesaleExtract!B:M,12,FALSE),"")</f>
        <v/>
      </c>
      <c r="R2306" s="19"/>
      <c r="S2306" s="19"/>
    </row>
    <row r="2307" spans="1:19" x14ac:dyDescent="0.35">
      <c r="A2307" s="26" t="s">
        <v>543</v>
      </c>
      <c r="B2307" s="26" t="s">
        <v>543</v>
      </c>
      <c r="C2307" s="26"/>
      <c r="D2307" s="26" t="s">
        <v>543</v>
      </c>
      <c r="E2307" s="26" t="str">
        <f>IFERROR(VLOOKUP(G2307,WholesaleExtract!B:J,9,FALSE),"")</f>
        <v/>
      </c>
      <c r="F2307" s="26" t="str">
        <f>IFERROR(VLOOKUP(G2307,WholesaleExtract!B:J,6,FALSE),"")</f>
        <v/>
      </c>
      <c r="H2307" s="47" t="str">
        <f>IFERROR(VLOOKUP(G2307,WholesaleExtract!B:L,11,FALSE),"")</f>
        <v/>
      </c>
      <c r="I2307" s="26" t="str">
        <f>IFERROR(VLOOKUP(G2307,WholesaleExtract!B:O,8,FALSE),"")</f>
        <v/>
      </c>
      <c r="J2307" s="26" t="str">
        <f>IFERROR(VLOOKUP(G2307,WholesaleExtract!B:O,14,FALSE),"")</f>
        <v/>
      </c>
      <c r="K2307" s="26" t="str">
        <f>IFERROR(VLOOKUP(G2307,WholesaleExtract!B:K,10,FALSE),"")</f>
        <v/>
      </c>
      <c r="L2307" s="47" t="str">
        <f>IFERROR(VLOOKUP(G2307,WholesaleExtract!B:L,11,FALSE),"")</f>
        <v/>
      </c>
      <c r="M2307" s="47" t="str">
        <f>IFERROR(VLOOKUP(G2307,WholesaleExtract!B:M,12,FALSE),"")</f>
        <v/>
      </c>
      <c r="R2307" s="19"/>
      <c r="S2307" s="19"/>
    </row>
    <row r="2308" spans="1:19" x14ac:dyDescent="0.35">
      <c r="A2308" s="26" t="s">
        <v>543</v>
      </c>
      <c r="B2308" s="26" t="s">
        <v>543</v>
      </c>
      <c r="C2308" s="26"/>
      <c r="D2308" s="26" t="s">
        <v>543</v>
      </c>
      <c r="E2308" s="26" t="str">
        <f>IFERROR(VLOOKUP(G2308,WholesaleExtract!B:J,9,FALSE),"")</f>
        <v/>
      </c>
      <c r="F2308" s="26" t="str">
        <f>IFERROR(VLOOKUP(G2308,WholesaleExtract!B:J,6,FALSE),"")</f>
        <v/>
      </c>
      <c r="H2308" s="47" t="str">
        <f>IFERROR(VLOOKUP(G2308,WholesaleExtract!B:L,11,FALSE),"")</f>
        <v/>
      </c>
      <c r="I2308" s="26" t="str">
        <f>IFERROR(VLOOKUP(G2308,WholesaleExtract!B:O,8,FALSE),"")</f>
        <v/>
      </c>
      <c r="J2308" s="26" t="str">
        <f>IFERROR(VLOOKUP(G2308,WholesaleExtract!B:O,14,FALSE),"")</f>
        <v/>
      </c>
      <c r="K2308" s="26" t="str">
        <f>IFERROR(VLOOKUP(G2308,WholesaleExtract!B:K,10,FALSE),"")</f>
        <v/>
      </c>
      <c r="L2308" s="47" t="str">
        <f>IFERROR(VLOOKUP(G2308,WholesaleExtract!B:L,11,FALSE),"")</f>
        <v/>
      </c>
      <c r="M2308" s="47" t="str">
        <f>IFERROR(VLOOKUP(G2308,WholesaleExtract!B:M,12,FALSE),"")</f>
        <v/>
      </c>
      <c r="R2308" s="19"/>
      <c r="S2308" s="19"/>
    </row>
    <row r="2309" spans="1:19" x14ac:dyDescent="0.35">
      <c r="A2309" s="26" t="s">
        <v>543</v>
      </c>
      <c r="B2309" s="26" t="s">
        <v>543</v>
      </c>
      <c r="C2309" s="26"/>
      <c r="D2309" s="26" t="s">
        <v>543</v>
      </c>
      <c r="E2309" s="26" t="str">
        <f>IFERROR(VLOOKUP(G2309,WholesaleExtract!B:J,9,FALSE),"")</f>
        <v/>
      </c>
      <c r="F2309" s="26" t="str">
        <f>IFERROR(VLOOKUP(G2309,WholesaleExtract!B:J,6,FALSE),"")</f>
        <v/>
      </c>
      <c r="H2309" s="47" t="str">
        <f>IFERROR(VLOOKUP(G2309,WholesaleExtract!B:L,11,FALSE),"")</f>
        <v/>
      </c>
      <c r="I2309" s="26" t="str">
        <f>IFERROR(VLOOKUP(G2309,WholesaleExtract!B:O,8,FALSE),"")</f>
        <v/>
      </c>
      <c r="J2309" s="26" t="str">
        <f>IFERROR(VLOOKUP(G2309,WholesaleExtract!B:O,14,FALSE),"")</f>
        <v/>
      </c>
      <c r="K2309" s="26" t="str">
        <f>IFERROR(VLOOKUP(G2309,WholesaleExtract!B:K,10,FALSE),"")</f>
        <v/>
      </c>
      <c r="L2309" s="47" t="str">
        <f>IFERROR(VLOOKUP(G2309,WholesaleExtract!B:L,11,FALSE),"")</f>
        <v/>
      </c>
      <c r="M2309" s="47" t="str">
        <f>IFERROR(VLOOKUP(G2309,WholesaleExtract!B:M,12,FALSE),"")</f>
        <v/>
      </c>
      <c r="R2309" s="19"/>
      <c r="S2309" s="19"/>
    </row>
    <row r="2310" spans="1:19" x14ac:dyDescent="0.35">
      <c r="A2310" s="26" t="s">
        <v>543</v>
      </c>
      <c r="B2310" s="26" t="s">
        <v>543</v>
      </c>
      <c r="C2310" s="26"/>
      <c r="D2310" s="26" t="s">
        <v>543</v>
      </c>
      <c r="E2310" s="26" t="str">
        <f>IFERROR(VLOOKUP(G2310,WholesaleExtract!B:J,9,FALSE),"")</f>
        <v/>
      </c>
      <c r="F2310" s="26" t="str">
        <f>IFERROR(VLOOKUP(G2310,WholesaleExtract!B:J,6,FALSE),"")</f>
        <v/>
      </c>
      <c r="H2310" s="47" t="str">
        <f>IFERROR(VLOOKUP(G2310,WholesaleExtract!B:L,11,FALSE),"")</f>
        <v/>
      </c>
      <c r="I2310" s="26" t="str">
        <f>IFERROR(VLOOKUP(G2310,WholesaleExtract!B:O,8,FALSE),"")</f>
        <v/>
      </c>
      <c r="J2310" s="26" t="str">
        <f>IFERROR(VLOOKUP(G2310,WholesaleExtract!B:O,14,FALSE),"")</f>
        <v/>
      </c>
      <c r="K2310" s="26" t="str">
        <f>IFERROR(VLOOKUP(G2310,WholesaleExtract!B:K,10,FALSE),"")</f>
        <v/>
      </c>
      <c r="L2310" s="47" t="str">
        <f>IFERROR(VLOOKUP(G2310,WholesaleExtract!B:L,11,FALSE),"")</f>
        <v/>
      </c>
      <c r="M2310" s="47" t="str">
        <f>IFERROR(VLOOKUP(G2310,WholesaleExtract!B:M,12,FALSE),"")</f>
        <v/>
      </c>
      <c r="R2310" s="19"/>
      <c r="S2310" s="19"/>
    </row>
    <row r="2311" spans="1:19" x14ac:dyDescent="0.35">
      <c r="A2311" s="26" t="s">
        <v>543</v>
      </c>
      <c r="B2311" s="26" t="s">
        <v>543</v>
      </c>
      <c r="C2311" s="26"/>
      <c r="D2311" s="26" t="s">
        <v>543</v>
      </c>
      <c r="E2311" s="26" t="str">
        <f>IFERROR(VLOOKUP(G2311,WholesaleExtract!B:J,9,FALSE),"")</f>
        <v/>
      </c>
      <c r="F2311" s="26" t="str">
        <f>IFERROR(VLOOKUP(G2311,WholesaleExtract!B:J,6,FALSE),"")</f>
        <v/>
      </c>
      <c r="H2311" s="47" t="str">
        <f>IFERROR(VLOOKUP(G2311,WholesaleExtract!B:L,11,FALSE),"")</f>
        <v/>
      </c>
      <c r="I2311" s="26" t="str">
        <f>IFERROR(VLOOKUP(G2311,WholesaleExtract!B:O,8,FALSE),"")</f>
        <v/>
      </c>
      <c r="J2311" s="26" t="str">
        <f>IFERROR(VLOOKUP(G2311,WholesaleExtract!B:O,14,FALSE),"")</f>
        <v/>
      </c>
      <c r="K2311" s="26" t="str">
        <f>IFERROR(VLOOKUP(G2311,WholesaleExtract!B:K,10,FALSE),"")</f>
        <v/>
      </c>
      <c r="L2311" s="47" t="str">
        <f>IFERROR(VLOOKUP(G2311,WholesaleExtract!B:L,11,FALSE),"")</f>
        <v/>
      </c>
      <c r="M2311" s="47" t="str">
        <f>IFERROR(VLOOKUP(G2311,WholesaleExtract!B:M,12,FALSE),"")</f>
        <v/>
      </c>
      <c r="R2311" s="19"/>
      <c r="S2311" s="19"/>
    </row>
    <row r="2312" spans="1:19" x14ac:dyDescent="0.35">
      <c r="A2312" s="26" t="s">
        <v>543</v>
      </c>
      <c r="B2312" s="26" t="s">
        <v>543</v>
      </c>
      <c r="C2312" s="26"/>
      <c r="D2312" s="26" t="s">
        <v>543</v>
      </c>
      <c r="E2312" s="26" t="str">
        <f>IFERROR(VLOOKUP(G2312,WholesaleExtract!B:J,9,FALSE),"")</f>
        <v/>
      </c>
      <c r="F2312" s="26" t="str">
        <f>IFERROR(VLOOKUP(G2312,WholesaleExtract!B:J,6,FALSE),"")</f>
        <v/>
      </c>
      <c r="H2312" s="47" t="str">
        <f>IFERROR(VLOOKUP(G2312,WholesaleExtract!B:L,11,FALSE),"")</f>
        <v/>
      </c>
      <c r="I2312" s="26" t="str">
        <f>IFERROR(VLOOKUP(G2312,WholesaleExtract!B:O,8,FALSE),"")</f>
        <v/>
      </c>
      <c r="J2312" s="26" t="str">
        <f>IFERROR(VLOOKUP(G2312,WholesaleExtract!B:O,14,FALSE),"")</f>
        <v/>
      </c>
      <c r="K2312" s="26" t="str">
        <f>IFERROR(VLOOKUP(G2312,WholesaleExtract!B:K,10,FALSE),"")</f>
        <v/>
      </c>
      <c r="L2312" s="47" t="str">
        <f>IFERROR(VLOOKUP(G2312,WholesaleExtract!B:L,11,FALSE),"")</f>
        <v/>
      </c>
      <c r="M2312" s="47" t="str">
        <f>IFERROR(VLOOKUP(G2312,WholesaleExtract!B:M,12,FALSE),"")</f>
        <v/>
      </c>
      <c r="R2312" s="19"/>
      <c r="S2312" s="19"/>
    </row>
    <row r="2313" spans="1:19" x14ac:dyDescent="0.35">
      <c r="A2313" s="26" t="s">
        <v>543</v>
      </c>
      <c r="B2313" s="26" t="s">
        <v>543</v>
      </c>
      <c r="C2313" s="26"/>
      <c r="D2313" s="26" t="s">
        <v>543</v>
      </c>
      <c r="E2313" s="26" t="str">
        <f>IFERROR(VLOOKUP(G2313,WholesaleExtract!B:J,9,FALSE),"")</f>
        <v/>
      </c>
      <c r="F2313" s="26" t="str">
        <f>IFERROR(VLOOKUP(G2313,WholesaleExtract!B:J,6,FALSE),"")</f>
        <v/>
      </c>
      <c r="H2313" s="47" t="str">
        <f>IFERROR(VLOOKUP(G2313,WholesaleExtract!B:L,11,FALSE),"")</f>
        <v/>
      </c>
      <c r="I2313" s="26" t="str">
        <f>IFERROR(VLOOKUP(G2313,WholesaleExtract!B:O,8,FALSE),"")</f>
        <v/>
      </c>
      <c r="J2313" s="26" t="str">
        <f>IFERROR(VLOOKUP(G2313,WholesaleExtract!B:O,14,FALSE),"")</f>
        <v/>
      </c>
      <c r="K2313" s="26" t="str">
        <f>IFERROR(VLOOKUP(G2313,WholesaleExtract!B:K,10,FALSE),"")</f>
        <v/>
      </c>
      <c r="L2313" s="47" t="str">
        <f>IFERROR(VLOOKUP(G2313,WholesaleExtract!B:L,11,FALSE),"")</f>
        <v/>
      </c>
      <c r="M2313" s="47" t="str">
        <f>IFERROR(VLOOKUP(G2313,WholesaleExtract!B:M,12,FALSE),"")</f>
        <v/>
      </c>
      <c r="R2313" s="19"/>
      <c r="S2313" s="19"/>
    </row>
    <row r="2314" spans="1:19" x14ac:dyDescent="0.35">
      <c r="A2314" s="26" t="s">
        <v>543</v>
      </c>
      <c r="B2314" s="26" t="s">
        <v>543</v>
      </c>
      <c r="C2314" s="26"/>
      <c r="D2314" s="26" t="s">
        <v>543</v>
      </c>
      <c r="E2314" s="26" t="str">
        <f>IFERROR(VLOOKUP(G2314,WholesaleExtract!B:J,9,FALSE),"")</f>
        <v/>
      </c>
      <c r="F2314" s="26" t="str">
        <f>IFERROR(VLOOKUP(G2314,WholesaleExtract!B:J,6,FALSE),"")</f>
        <v/>
      </c>
      <c r="H2314" s="47" t="str">
        <f>IFERROR(VLOOKUP(G2314,WholesaleExtract!B:L,11,FALSE),"")</f>
        <v/>
      </c>
      <c r="I2314" s="26" t="str">
        <f>IFERROR(VLOOKUP(G2314,WholesaleExtract!B:O,8,FALSE),"")</f>
        <v/>
      </c>
      <c r="J2314" s="26" t="str">
        <f>IFERROR(VLOOKUP(G2314,WholesaleExtract!B:O,14,FALSE),"")</f>
        <v/>
      </c>
      <c r="K2314" s="26" t="str">
        <f>IFERROR(VLOOKUP(G2314,WholesaleExtract!B:K,10,FALSE),"")</f>
        <v/>
      </c>
      <c r="L2314" s="47" t="str">
        <f>IFERROR(VLOOKUP(G2314,WholesaleExtract!B:L,11,FALSE),"")</f>
        <v/>
      </c>
      <c r="M2314" s="47" t="str">
        <f>IFERROR(VLOOKUP(G2314,WholesaleExtract!B:M,12,FALSE),"")</f>
        <v/>
      </c>
      <c r="R2314" s="19"/>
      <c r="S2314" s="19"/>
    </row>
    <row r="2315" spans="1:19" x14ac:dyDescent="0.35">
      <c r="A2315" s="26" t="s">
        <v>543</v>
      </c>
      <c r="B2315" s="26" t="s">
        <v>543</v>
      </c>
      <c r="C2315" s="26"/>
      <c r="D2315" s="26" t="s">
        <v>543</v>
      </c>
      <c r="E2315" s="26" t="str">
        <f>IFERROR(VLOOKUP(G2315,WholesaleExtract!B:J,9,FALSE),"")</f>
        <v/>
      </c>
      <c r="F2315" s="26" t="str">
        <f>IFERROR(VLOOKUP(G2315,WholesaleExtract!B:J,6,FALSE),"")</f>
        <v/>
      </c>
      <c r="H2315" s="47" t="str">
        <f>IFERROR(VLOOKUP(G2315,WholesaleExtract!B:L,11,FALSE),"")</f>
        <v/>
      </c>
      <c r="I2315" s="26" t="str">
        <f>IFERROR(VLOOKUP(G2315,WholesaleExtract!B:O,8,FALSE),"")</f>
        <v/>
      </c>
      <c r="J2315" s="26" t="str">
        <f>IFERROR(VLOOKUP(G2315,WholesaleExtract!B:O,14,FALSE),"")</f>
        <v/>
      </c>
      <c r="K2315" s="26" t="str">
        <f>IFERROR(VLOOKUP(G2315,WholesaleExtract!B:K,10,FALSE),"")</f>
        <v/>
      </c>
      <c r="L2315" s="47" t="str">
        <f>IFERROR(VLOOKUP(G2315,WholesaleExtract!B:L,11,FALSE),"")</f>
        <v/>
      </c>
      <c r="M2315" s="47" t="str">
        <f>IFERROR(VLOOKUP(G2315,WholesaleExtract!B:M,12,FALSE),"")</f>
        <v/>
      </c>
      <c r="R2315" s="19"/>
      <c r="S2315" s="19"/>
    </row>
    <row r="2316" spans="1:19" x14ac:dyDescent="0.35">
      <c r="A2316" s="26" t="s">
        <v>543</v>
      </c>
      <c r="B2316" s="26" t="s">
        <v>543</v>
      </c>
      <c r="C2316" s="26"/>
      <c r="D2316" s="26" t="s">
        <v>543</v>
      </c>
      <c r="E2316" s="26" t="str">
        <f>IFERROR(VLOOKUP(G2316,WholesaleExtract!B:J,9,FALSE),"")</f>
        <v/>
      </c>
      <c r="F2316" s="26" t="str">
        <f>IFERROR(VLOOKUP(G2316,WholesaleExtract!B:J,6,FALSE),"")</f>
        <v/>
      </c>
      <c r="H2316" s="47" t="str">
        <f>IFERROR(VLOOKUP(G2316,WholesaleExtract!B:L,11,FALSE),"")</f>
        <v/>
      </c>
      <c r="I2316" s="26" t="str">
        <f>IFERROR(VLOOKUP(G2316,WholesaleExtract!B:O,8,FALSE),"")</f>
        <v/>
      </c>
      <c r="J2316" s="26" t="str">
        <f>IFERROR(VLOOKUP(G2316,WholesaleExtract!B:O,14,FALSE),"")</f>
        <v/>
      </c>
      <c r="K2316" s="26" t="str">
        <f>IFERROR(VLOOKUP(G2316,WholesaleExtract!B:K,10,FALSE),"")</f>
        <v/>
      </c>
      <c r="L2316" s="47" t="str">
        <f>IFERROR(VLOOKUP(G2316,WholesaleExtract!B:L,11,FALSE),"")</f>
        <v/>
      </c>
      <c r="M2316" s="47" t="str">
        <f>IFERROR(VLOOKUP(G2316,WholesaleExtract!B:M,12,FALSE),"")</f>
        <v/>
      </c>
      <c r="R2316" s="19"/>
      <c r="S2316" s="19"/>
    </row>
    <row r="2317" spans="1:19" x14ac:dyDescent="0.35">
      <c r="A2317" s="26" t="s">
        <v>543</v>
      </c>
      <c r="B2317" s="26" t="s">
        <v>543</v>
      </c>
      <c r="C2317" s="26"/>
      <c r="D2317" s="26" t="s">
        <v>543</v>
      </c>
      <c r="E2317" s="26" t="str">
        <f>IFERROR(VLOOKUP(G2317,WholesaleExtract!B:J,9,FALSE),"")</f>
        <v/>
      </c>
      <c r="F2317" s="26" t="str">
        <f>IFERROR(VLOOKUP(G2317,WholesaleExtract!B:J,6,FALSE),"")</f>
        <v/>
      </c>
      <c r="H2317" s="47" t="str">
        <f>IFERROR(VLOOKUP(G2317,WholesaleExtract!B:L,11,FALSE),"")</f>
        <v/>
      </c>
      <c r="I2317" s="26" t="str">
        <f>IFERROR(VLOOKUP(G2317,WholesaleExtract!B:O,8,FALSE),"")</f>
        <v/>
      </c>
      <c r="J2317" s="26" t="str">
        <f>IFERROR(VLOOKUP(G2317,WholesaleExtract!B:O,14,FALSE),"")</f>
        <v/>
      </c>
      <c r="K2317" s="26" t="str">
        <f>IFERROR(VLOOKUP(G2317,WholesaleExtract!B:K,10,FALSE),"")</f>
        <v/>
      </c>
      <c r="L2317" s="47" t="str">
        <f>IFERROR(VLOOKUP(G2317,WholesaleExtract!B:L,11,FALSE),"")</f>
        <v/>
      </c>
      <c r="M2317" s="47" t="str">
        <f>IFERROR(VLOOKUP(G2317,WholesaleExtract!B:M,12,FALSE),"")</f>
        <v/>
      </c>
      <c r="R2317" s="19"/>
      <c r="S2317" s="19"/>
    </row>
    <row r="2318" spans="1:19" x14ac:dyDescent="0.35">
      <c r="A2318" s="26" t="s">
        <v>543</v>
      </c>
      <c r="B2318" s="26" t="s">
        <v>543</v>
      </c>
      <c r="C2318" s="26"/>
      <c r="D2318" s="26" t="s">
        <v>543</v>
      </c>
      <c r="E2318" s="26" t="str">
        <f>IFERROR(VLOOKUP(G2318,WholesaleExtract!B:J,9,FALSE),"")</f>
        <v/>
      </c>
      <c r="F2318" s="26" t="str">
        <f>IFERROR(VLOOKUP(G2318,WholesaleExtract!B:J,6,FALSE),"")</f>
        <v/>
      </c>
      <c r="H2318" s="47" t="str">
        <f>IFERROR(VLOOKUP(G2318,WholesaleExtract!B:L,11,FALSE),"")</f>
        <v/>
      </c>
      <c r="I2318" s="26" t="str">
        <f>IFERROR(VLOOKUP(G2318,WholesaleExtract!B:O,8,FALSE),"")</f>
        <v/>
      </c>
      <c r="J2318" s="26" t="str">
        <f>IFERROR(VLOOKUP(G2318,WholesaleExtract!B:O,14,FALSE),"")</f>
        <v/>
      </c>
      <c r="K2318" s="26" t="str">
        <f>IFERROR(VLOOKUP(G2318,WholesaleExtract!B:K,10,FALSE),"")</f>
        <v/>
      </c>
      <c r="L2318" s="47" t="str">
        <f>IFERROR(VLOOKUP(G2318,WholesaleExtract!B:L,11,FALSE),"")</f>
        <v/>
      </c>
      <c r="M2318" s="47" t="str">
        <f>IFERROR(VLOOKUP(G2318,WholesaleExtract!B:M,12,FALSE),"")</f>
        <v/>
      </c>
      <c r="R2318" s="19"/>
      <c r="S2318" s="19"/>
    </row>
    <row r="2319" spans="1:19" x14ac:dyDescent="0.35">
      <c r="A2319" s="26" t="s">
        <v>543</v>
      </c>
      <c r="B2319" s="26" t="s">
        <v>543</v>
      </c>
      <c r="C2319" s="26"/>
      <c r="D2319" s="26" t="s">
        <v>543</v>
      </c>
      <c r="E2319" s="26" t="str">
        <f>IFERROR(VLOOKUP(G2319,WholesaleExtract!B:J,9,FALSE),"")</f>
        <v/>
      </c>
      <c r="F2319" s="26" t="str">
        <f>IFERROR(VLOOKUP(G2319,WholesaleExtract!B:J,6,FALSE),"")</f>
        <v/>
      </c>
      <c r="H2319" s="47" t="str">
        <f>IFERROR(VLOOKUP(G2319,WholesaleExtract!B:L,11,FALSE),"")</f>
        <v/>
      </c>
      <c r="I2319" s="26" t="str">
        <f>IFERROR(VLOOKUP(G2319,WholesaleExtract!B:O,8,FALSE),"")</f>
        <v/>
      </c>
      <c r="J2319" s="26" t="str">
        <f>IFERROR(VLOOKUP(G2319,WholesaleExtract!B:O,14,FALSE),"")</f>
        <v/>
      </c>
      <c r="K2319" s="26" t="str">
        <f>IFERROR(VLOOKUP(G2319,WholesaleExtract!B:K,10,FALSE),"")</f>
        <v/>
      </c>
      <c r="L2319" s="47" t="str">
        <f>IFERROR(VLOOKUP(G2319,WholesaleExtract!B:L,11,FALSE),"")</f>
        <v/>
      </c>
      <c r="M2319" s="47" t="str">
        <f>IFERROR(VLOOKUP(G2319,WholesaleExtract!B:M,12,FALSE),"")</f>
        <v/>
      </c>
      <c r="R2319" s="19"/>
      <c r="S2319" s="19"/>
    </row>
    <row r="2320" spans="1:19" x14ac:dyDescent="0.35">
      <c r="A2320" s="26" t="s">
        <v>543</v>
      </c>
      <c r="B2320" s="26" t="s">
        <v>543</v>
      </c>
      <c r="C2320" s="26"/>
      <c r="D2320" s="26" t="s">
        <v>543</v>
      </c>
      <c r="E2320" s="26" t="str">
        <f>IFERROR(VLOOKUP(G2320,WholesaleExtract!B:J,9,FALSE),"")</f>
        <v/>
      </c>
      <c r="F2320" s="26" t="str">
        <f>IFERROR(VLOOKUP(G2320,WholesaleExtract!B:J,6,FALSE),"")</f>
        <v/>
      </c>
      <c r="H2320" s="47" t="str">
        <f>IFERROR(VLOOKUP(G2320,WholesaleExtract!B:L,11,FALSE),"")</f>
        <v/>
      </c>
      <c r="I2320" s="26" t="str">
        <f>IFERROR(VLOOKUP(G2320,WholesaleExtract!B:O,8,FALSE),"")</f>
        <v/>
      </c>
      <c r="J2320" s="26" t="str">
        <f>IFERROR(VLOOKUP(G2320,WholesaleExtract!B:O,14,FALSE),"")</f>
        <v/>
      </c>
      <c r="K2320" s="26" t="str">
        <f>IFERROR(VLOOKUP(G2320,WholesaleExtract!B:K,10,FALSE),"")</f>
        <v/>
      </c>
      <c r="L2320" s="47" t="str">
        <f>IFERROR(VLOOKUP(G2320,WholesaleExtract!B:L,11,FALSE),"")</f>
        <v/>
      </c>
      <c r="M2320" s="47" t="str">
        <f>IFERROR(VLOOKUP(G2320,WholesaleExtract!B:M,12,FALSE),"")</f>
        <v/>
      </c>
      <c r="R2320" s="19"/>
      <c r="S2320" s="19"/>
    </row>
    <row r="2321" spans="1:19" x14ac:dyDescent="0.35">
      <c r="A2321" s="26" t="s">
        <v>543</v>
      </c>
      <c r="B2321" s="26" t="s">
        <v>543</v>
      </c>
      <c r="C2321" s="26"/>
      <c r="D2321" s="26" t="s">
        <v>543</v>
      </c>
      <c r="E2321" s="26" t="str">
        <f>IFERROR(VLOOKUP(G2321,WholesaleExtract!B:J,9,FALSE),"")</f>
        <v/>
      </c>
      <c r="F2321" s="26" t="str">
        <f>IFERROR(VLOOKUP(G2321,WholesaleExtract!B:J,6,FALSE),"")</f>
        <v/>
      </c>
      <c r="H2321" s="47" t="str">
        <f>IFERROR(VLOOKUP(G2321,WholesaleExtract!B:L,11,FALSE),"")</f>
        <v/>
      </c>
      <c r="I2321" s="26" t="str">
        <f>IFERROR(VLOOKUP(G2321,WholesaleExtract!B:O,8,FALSE),"")</f>
        <v/>
      </c>
      <c r="J2321" s="26" t="str">
        <f>IFERROR(VLOOKUP(G2321,WholesaleExtract!B:O,14,FALSE),"")</f>
        <v/>
      </c>
      <c r="K2321" s="26" t="str">
        <f>IFERROR(VLOOKUP(G2321,WholesaleExtract!B:K,10,FALSE),"")</f>
        <v/>
      </c>
      <c r="L2321" s="47" t="str">
        <f>IFERROR(VLOOKUP(G2321,WholesaleExtract!B:L,11,FALSE),"")</f>
        <v/>
      </c>
      <c r="M2321" s="47" t="str">
        <f>IFERROR(VLOOKUP(G2321,WholesaleExtract!B:M,12,FALSE),"")</f>
        <v/>
      </c>
      <c r="R2321" s="19"/>
      <c r="S2321" s="19"/>
    </row>
    <row r="2322" spans="1:19" x14ac:dyDescent="0.35">
      <c r="A2322" s="26" t="s">
        <v>543</v>
      </c>
      <c r="B2322" s="26" t="s">
        <v>543</v>
      </c>
      <c r="C2322" s="26"/>
      <c r="D2322" s="26" t="s">
        <v>543</v>
      </c>
      <c r="E2322" s="26" t="str">
        <f>IFERROR(VLOOKUP(G2322,WholesaleExtract!B:J,9,FALSE),"")</f>
        <v/>
      </c>
      <c r="F2322" s="26" t="str">
        <f>IFERROR(VLOOKUP(G2322,WholesaleExtract!B:J,6,FALSE),"")</f>
        <v/>
      </c>
      <c r="H2322" s="47" t="str">
        <f>IFERROR(VLOOKUP(G2322,WholesaleExtract!B:L,11,FALSE),"")</f>
        <v/>
      </c>
      <c r="I2322" s="26" t="str">
        <f>IFERROR(VLOOKUP(G2322,WholesaleExtract!B:O,8,FALSE),"")</f>
        <v/>
      </c>
      <c r="J2322" s="26" t="str">
        <f>IFERROR(VLOOKUP(G2322,WholesaleExtract!B:O,14,FALSE),"")</f>
        <v/>
      </c>
      <c r="K2322" s="26" t="str">
        <f>IFERROR(VLOOKUP(G2322,WholesaleExtract!B:K,10,FALSE),"")</f>
        <v/>
      </c>
      <c r="L2322" s="47" t="str">
        <f>IFERROR(VLOOKUP(G2322,WholesaleExtract!B:L,11,FALSE),"")</f>
        <v/>
      </c>
      <c r="M2322" s="47" t="str">
        <f>IFERROR(VLOOKUP(G2322,WholesaleExtract!B:M,12,FALSE),"")</f>
        <v/>
      </c>
      <c r="R2322" s="19"/>
      <c r="S2322" s="19"/>
    </row>
    <row r="2323" spans="1:19" x14ac:dyDescent="0.35">
      <c r="A2323" s="26" t="s">
        <v>543</v>
      </c>
      <c r="B2323" s="26" t="s">
        <v>543</v>
      </c>
      <c r="C2323" s="26"/>
      <c r="D2323" s="26" t="s">
        <v>543</v>
      </c>
      <c r="E2323" s="26" t="str">
        <f>IFERROR(VLOOKUP(G2323,WholesaleExtract!B:J,9,FALSE),"")</f>
        <v/>
      </c>
      <c r="F2323" s="26" t="str">
        <f>IFERROR(VLOOKUP(G2323,WholesaleExtract!B:J,6,FALSE),"")</f>
        <v/>
      </c>
      <c r="H2323" s="47" t="str">
        <f>IFERROR(VLOOKUP(G2323,WholesaleExtract!B:L,11,FALSE),"")</f>
        <v/>
      </c>
      <c r="I2323" s="26" t="str">
        <f>IFERROR(VLOOKUP(G2323,WholesaleExtract!B:O,8,FALSE),"")</f>
        <v/>
      </c>
      <c r="J2323" s="26" t="str">
        <f>IFERROR(VLOOKUP(G2323,WholesaleExtract!B:O,14,FALSE),"")</f>
        <v/>
      </c>
      <c r="K2323" s="26" t="str">
        <f>IFERROR(VLOOKUP(G2323,WholesaleExtract!B:K,10,FALSE),"")</f>
        <v/>
      </c>
      <c r="L2323" s="47" t="str">
        <f>IFERROR(VLOOKUP(G2323,WholesaleExtract!B:L,11,FALSE),"")</f>
        <v/>
      </c>
      <c r="M2323" s="47" t="str">
        <f>IFERROR(VLOOKUP(G2323,WholesaleExtract!B:M,12,FALSE),"")</f>
        <v/>
      </c>
      <c r="R2323" s="19"/>
      <c r="S2323" s="19"/>
    </row>
    <row r="2324" spans="1:19" x14ac:dyDescent="0.35">
      <c r="A2324" s="26" t="s">
        <v>543</v>
      </c>
      <c r="B2324" s="26" t="s">
        <v>543</v>
      </c>
      <c r="C2324" s="26"/>
      <c r="D2324" s="26" t="s">
        <v>543</v>
      </c>
      <c r="E2324" s="26" t="str">
        <f>IFERROR(VLOOKUP(G2324,WholesaleExtract!B:J,9,FALSE),"")</f>
        <v/>
      </c>
      <c r="F2324" s="26" t="str">
        <f>IFERROR(VLOOKUP(G2324,WholesaleExtract!B:J,6,FALSE),"")</f>
        <v/>
      </c>
      <c r="H2324" s="47" t="str">
        <f>IFERROR(VLOOKUP(G2324,WholesaleExtract!B:L,11,FALSE),"")</f>
        <v/>
      </c>
      <c r="I2324" s="26" t="str">
        <f>IFERROR(VLOOKUP(G2324,WholesaleExtract!B:O,8,FALSE),"")</f>
        <v/>
      </c>
      <c r="J2324" s="26" t="str">
        <f>IFERROR(VLOOKUP(G2324,WholesaleExtract!B:O,14,FALSE),"")</f>
        <v/>
      </c>
      <c r="K2324" s="26" t="str">
        <f>IFERROR(VLOOKUP(G2324,WholesaleExtract!B:K,10,FALSE),"")</f>
        <v/>
      </c>
      <c r="L2324" s="47" t="str">
        <f>IFERROR(VLOOKUP(G2324,WholesaleExtract!B:L,11,FALSE),"")</f>
        <v/>
      </c>
      <c r="M2324" s="47" t="str">
        <f>IFERROR(VLOOKUP(G2324,WholesaleExtract!B:M,12,FALSE),"")</f>
        <v/>
      </c>
      <c r="R2324" s="19"/>
      <c r="S2324" s="19"/>
    </row>
    <row r="2325" spans="1:19" x14ac:dyDescent="0.35">
      <c r="A2325" s="26" t="s">
        <v>543</v>
      </c>
      <c r="B2325" s="26" t="s">
        <v>543</v>
      </c>
      <c r="C2325" s="26"/>
      <c r="D2325" s="26" t="s">
        <v>543</v>
      </c>
      <c r="E2325" s="26" t="str">
        <f>IFERROR(VLOOKUP(G2325,WholesaleExtract!B:J,9,FALSE),"")</f>
        <v/>
      </c>
      <c r="F2325" s="26" t="str">
        <f>IFERROR(VLOOKUP(G2325,WholesaleExtract!B:J,6,FALSE),"")</f>
        <v/>
      </c>
      <c r="H2325" s="47" t="str">
        <f>IFERROR(VLOOKUP(G2325,WholesaleExtract!B:L,11,FALSE),"")</f>
        <v/>
      </c>
      <c r="I2325" s="26" t="str">
        <f>IFERROR(VLOOKUP(G2325,WholesaleExtract!B:O,8,FALSE),"")</f>
        <v/>
      </c>
      <c r="J2325" s="26" t="str">
        <f>IFERROR(VLOOKUP(G2325,WholesaleExtract!B:O,14,FALSE),"")</f>
        <v/>
      </c>
      <c r="K2325" s="26" t="str">
        <f>IFERROR(VLOOKUP(G2325,WholesaleExtract!B:K,10,FALSE),"")</f>
        <v/>
      </c>
      <c r="L2325" s="47" t="str">
        <f>IFERROR(VLOOKUP(G2325,WholesaleExtract!B:L,11,FALSE),"")</f>
        <v/>
      </c>
      <c r="M2325" s="47" t="str">
        <f>IFERROR(VLOOKUP(G2325,WholesaleExtract!B:M,12,FALSE),"")</f>
        <v/>
      </c>
      <c r="R2325" s="19"/>
      <c r="S2325" s="19"/>
    </row>
    <row r="2326" spans="1:19" x14ac:dyDescent="0.35">
      <c r="A2326" s="26" t="s">
        <v>543</v>
      </c>
      <c r="B2326" s="26" t="s">
        <v>543</v>
      </c>
      <c r="C2326" s="26"/>
      <c r="D2326" s="26" t="s">
        <v>543</v>
      </c>
      <c r="E2326" s="26" t="str">
        <f>IFERROR(VLOOKUP(G2326,WholesaleExtract!B:J,9,FALSE),"")</f>
        <v/>
      </c>
      <c r="F2326" s="26" t="str">
        <f>IFERROR(VLOOKUP(G2326,WholesaleExtract!B:J,6,FALSE),"")</f>
        <v/>
      </c>
      <c r="H2326" s="47" t="str">
        <f>IFERROR(VLOOKUP(G2326,WholesaleExtract!B:L,11,FALSE),"")</f>
        <v/>
      </c>
      <c r="I2326" s="26" t="str">
        <f>IFERROR(VLOOKUP(G2326,WholesaleExtract!B:O,8,FALSE),"")</f>
        <v/>
      </c>
      <c r="J2326" s="26" t="str">
        <f>IFERROR(VLOOKUP(G2326,WholesaleExtract!B:O,14,FALSE),"")</f>
        <v/>
      </c>
      <c r="K2326" s="26" t="str">
        <f>IFERROR(VLOOKUP(G2326,WholesaleExtract!B:K,10,FALSE),"")</f>
        <v/>
      </c>
      <c r="L2326" s="47" t="str">
        <f>IFERROR(VLOOKUP(G2326,WholesaleExtract!B:L,11,FALSE),"")</f>
        <v/>
      </c>
      <c r="M2326" s="47" t="str">
        <f>IFERROR(VLOOKUP(G2326,WholesaleExtract!B:M,12,FALSE),"")</f>
        <v/>
      </c>
      <c r="R2326" s="19"/>
      <c r="S2326" s="19"/>
    </row>
    <row r="2327" spans="1:19" x14ac:dyDescent="0.35">
      <c r="A2327" s="26" t="s">
        <v>543</v>
      </c>
      <c r="B2327" s="26" t="s">
        <v>543</v>
      </c>
      <c r="C2327" s="26"/>
      <c r="D2327" s="26" t="s">
        <v>543</v>
      </c>
      <c r="E2327" s="26" t="str">
        <f>IFERROR(VLOOKUP(G2327,WholesaleExtract!B:J,9,FALSE),"")</f>
        <v/>
      </c>
      <c r="F2327" s="26" t="str">
        <f>IFERROR(VLOOKUP(G2327,WholesaleExtract!B:J,6,FALSE),"")</f>
        <v/>
      </c>
      <c r="H2327" s="47" t="str">
        <f>IFERROR(VLOOKUP(G2327,WholesaleExtract!B:L,11,FALSE),"")</f>
        <v/>
      </c>
      <c r="I2327" s="26" t="str">
        <f>IFERROR(VLOOKUP(G2327,WholesaleExtract!B:O,8,FALSE),"")</f>
        <v/>
      </c>
      <c r="J2327" s="26" t="str">
        <f>IFERROR(VLOOKUP(G2327,WholesaleExtract!B:O,14,FALSE),"")</f>
        <v/>
      </c>
      <c r="K2327" s="26" t="str">
        <f>IFERROR(VLOOKUP(G2327,WholesaleExtract!B:K,10,FALSE),"")</f>
        <v/>
      </c>
      <c r="L2327" s="47" t="str">
        <f>IFERROR(VLOOKUP(G2327,WholesaleExtract!B:L,11,FALSE),"")</f>
        <v/>
      </c>
      <c r="M2327" s="47" t="str">
        <f>IFERROR(VLOOKUP(G2327,WholesaleExtract!B:M,12,FALSE),"")</f>
        <v/>
      </c>
      <c r="R2327" s="19"/>
      <c r="S2327" s="19"/>
    </row>
    <row r="2328" spans="1:19" x14ac:dyDescent="0.35">
      <c r="A2328" s="26" t="s">
        <v>543</v>
      </c>
      <c r="B2328" s="26" t="s">
        <v>543</v>
      </c>
      <c r="C2328" s="26"/>
      <c r="D2328" s="26" t="s">
        <v>543</v>
      </c>
      <c r="E2328" s="26" t="str">
        <f>IFERROR(VLOOKUP(G2328,WholesaleExtract!B:J,9,FALSE),"")</f>
        <v/>
      </c>
      <c r="F2328" s="26" t="str">
        <f>IFERROR(VLOOKUP(G2328,WholesaleExtract!B:J,6,FALSE),"")</f>
        <v/>
      </c>
      <c r="H2328" s="47" t="str">
        <f>IFERROR(VLOOKUP(G2328,WholesaleExtract!B:L,11,FALSE),"")</f>
        <v/>
      </c>
      <c r="I2328" s="26" t="str">
        <f>IFERROR(VLOOKUP(G2328,WholesaleExtract!B:O,8,FALSE),"")</f>
        <v/>
      </c>
      <c r="J2328" s="26" t="str">
        <f>IFERROR(VLOOKUP(G2328,WholesaleExtract!B:O,14,FALSE),"")</f>
        <v/>
      </c>
      <c r="K2328" s="26" t="str">
        <f>IFERROR(VLOOKUP(G2328,WholesaleExtract!B:K,10,FALSE),"")</f>
        <v/>
      </c>
      <c r="L2328" s="47" t="str">
        <f>IFERROR(VLOOKUP(G2328,WholesaleExtract!B:L,11,FALSE),"")</f>
        <v/>
      </c>
      <c r="M2328" s="47" t="str">
        <f>IFERROR(VLOOKUP(G2328,WholesaleExtract!B:M,12,FALSE),"")</f>
        <v/>
      </c>
      <c r="R2328" s="19"/>
      <c r="S2328" s="19"/>
    </row>
    <row r="2329" spans="1:19" x14ac:dyDescent="0.35">
      <c r="A2329" s="26" t="s">
        <v>543</v>
      </c>
      <c r="B2329" s="26" t="s">
        <v>543</v>
      </c>
      <c r="C2329" s="26"/>
      <c r="D2329" s="26" t="s">
        <v>543</v>
      </c>
      <c r="E2329" s="26" t="str">
        <f>IFERROR(VLOOKUP(G2329,WholesaleExtract!B:J,9,FALSE),"")</f>
        <v/>
      </c>
      <c r="F2329" s="26" t="str">
        <f>IFERROR(VLOOKUP(G2329,WholesaleExtract!B:J,6,FALSE),"")</f>
        <v/>
      </c>
      <c r="H2329" s="47" t="str">
        <f>IFERROR(VLOOKUP(G2329,WholesaleExtract!B:L,11,FALSE),"")</f>
        <v/>
      </c>
      <c r="I2329" s="26" t="str">
        <f>IFERROR(VLOOKUP(G2329,WholesaleExtract!B:O,8,FALSE),"")</f>
        <v/>
      </c>
      <c r="J2329" s="26" t="str">
        <f>IFERROR(VLOOKUP(G2329,WholesaleExtract!B:O,14,FALSE),"")</f>
        <v/>
      </c>
      <c r="K2329" s="26" t="str">
        <f>IFERROR(VLOOKUP(G2329,WholesaleExtract!B:K,10,FALSE),"")</f>
        <v/>
      </c>
      <c r="L2329" s="47" t="str">
        <f>IFERROR(VLOOKUP(G2329,WholesaleExtract!B:L,11,FALSE),"")</f>
        <v/>
      </c>
      <c r="M2329" s="47" t="str">
        <f>IFERROR(VLOOKUP(G2329,WholesaleExtract!B:M,12,FALSE),"")</f>
        <v/>
      </c>
      <c r="R2329" s="19"/>
      <c r="S2329" s="19"/>
    </row>
    <row r="2330" spans="1:19" x14ac:dyDescent="0.35">
      <c r="A2330" s="26" t="s">
        <v>543</v>
      </c>
      <c r="B2330" s="26" t="s">
        <v>543</v>
      </c>
      <c r="C2330" s="26"/>
      <c r="D2330" s="26" t="s">
        <v>543</v>
      </c>
      <c r="E2330" s="26" t="str">
        <f>IFERROR(VLOOKUP(G2330,WholesaleExtract!B:J,9,FALSE),"")</f>
        <v/>
      </c>
      <c r="F2330" s="26" t="str">
        <f>IFERROR(VLOOKUP(G2330,WholesaleExtract!B:J,6,FALSE),"")</f>
        <v/>
      </c>
      <c r="H2330" s="47" t="str">
        <f>IFERROR(VLOOKUP(G2330,WholesaleExtract!B:L,11,FALSE),"")</f>
        <v/>
      </c>
      <c r="I2330" s="26" t="str">
        <f>IFERROR(VLOOKUP(G2330,WholesaleExtract!B:O,8,FALSE),"")</f>
        <v/>
      </c>
      <c r="J2330" s="26" t="str">
        <f>IFERROR(VLOOKUP(G2330,WholesaleExtract!B:O,14,FALSE),"")</f>
        <v/>
      </c>
      <c r="K2330" s="26" t="str">
        <f>IFERROR(VLOOKUP(G2330,WholesaleExtract!B:K,10,FALSE),"")</f>
        <v/>
      </c>
      <c r="L2330" s="47" t="str">
        <f>IFERROR(VLOOKUP(G2330,WholesaleExtract!B:L,11,FALSE),"")</f>
        <v/>
      </c>
      <c r="M2330" s="47" t="str">
        <f>IFERROR(VLOOKUP(G2330,WholesaleExtract!B:M,12,FALSE),"")</f>
        <v/>
      </c>
      <c r="R2330" s="19"/>
      <c r="S2330" s="19"/>
    </row>
    <row r="2331" spans="1:19" x14ac:dyDescent="0.35">
      <c r="A2331" s="26" t="s">
        <v>543</v>
      </c>
      <c r="B2331" s="26" t="s">
        <v>543</v>
      </c>
      <c r="C2331" s="26"/>
      <c r="D2331" s="26" t="s">
        <v>543</v>
      </c>
      <c r="E2331" s="26" t="str">
        <f>IFERROR(VLOOKUP(G2331,WholesaleExtract!B:J,9,FALSE),"")</f>
        <v/>
      </c>
      <c r="F2331" s="26" t="str">
        <f>IFERROR(VLOOKUP(G2331,WholesaleExtract!B:J,6,FALSE),"")</f>
        <v/>
      </c>
      <c r="H2331" s="47" t="str">
        <f>IFERROR(VLOOKUP(G2331,WholesaleExtract!B:L,11,FALSE),"")</f>
        <v/>
      </c>
      <c r="I2331" s="26" t="str">
        <f>IFERROR(VLOOKUP(G2331,WholesaleExtract!B:O,8,FALSE),"")</f>
        <v/>
      </c>
      <c r="J2331" s="26" t="str">
        <f>IFERROR(VLOOKUP(G2331,WholesaleExtract!B:O,14,FALSE),"")</f>
        <v/>
      </c>
      <c r="K2331" s="26" t="str">
        <f>IFERROR(VLOOKUP(G2331,WholesaleExtract!B:K,10,FALSE),"")</f>
        <v/>
      </c>
      <c r="L2331" s="47" t="str">
        <f>IFERROR(VLOOKUP(G2331,WholesaleExtract!B:L,11,FALSE),"")</f>
        <v/>
      </c>
      <c r="M2331" s="47" t="str">
        <f>IFERROR(VLOOKUP(G2331,WholesaleExtract!B:M,12,FALSE),"")</f>
        <v/>
      </c>
      <c r="R2331" s="19"/>
      <c r="S2331" s="19"/>
    </row>
    <row r="2332" spans="1:19" x14ac:dyDescent="0.35">
      <c r="A2332" s="26" t="s">
        <v>543</v>
      </c>
      <c r="B2332" s="26" t="s">
        <v>543</v>
      </c>
      <c r="C2332" s="26"/>
      <c r="D2332" s="26" t="s">
        <v>543</v>
      </c>
      <c r="E2332" s="26" t="str">
        <f>IFERROR(VLOOKUP(G2332,WholesaleExtract!B:J,9,FALSE),"")</f>
        <v/>
      </c>
      <c r="F2332" s="26" t="str">
        <f>IFERROR(VLOOKUP(G2332,WholesaleExtract!B:J,6,FALSE),"")</f>
        <v/>
      </c>
      <c r="H2332" s="47" t="str">
        <f>IFERROR(VLOOKUP(G2332,WholesaleExtract!B:L,11,FALSE),"")</f>
        <v/>
      </c>
      <c r="I2332" s="26" t="str">
        <f>IFERROR(VLOOKUP(G2332,WholesaleExtract!B:O,8,FALSE),"")</f>
        <v/>
      </c>
      <c r="J2332" s="26" t="str">
        <f>IFERROR(VLOOKUP(G2332,WholesaleExtract!B:O,14,FALSE),"")</f>
        <v/>
      </c>
      <c r="K2332" s="26" t="str">
        <f>IFERROR(VLOOKUP(G2332,WholesaleExtract!B:K,10,FALSE),"")</f>
        <v/>
      </c>
      <c r="L2332" s="47" t="str">
        <f>IFERROR(VLOOKUP(G2332,WholesaleExtract!B:L,11,FALSE),"")</f>
        <v/>
      </c>
      <c r="M2332" s="47" t="str">
        <f>IFERROR(VLOOKUP(G2332,WholesaleExtract!B:M,12,FALSE),"")</f>
        <v/>
      </c>
      <c r="R2332" s="19"/>
      <c r="S2332" s="19"/>
    </row>
    <row r="2333" spans="1:19" x14ac:dyDescent="0.35">
      <c r="A2333" s="26" t="s">
        <v>543</v>
      </c>
      <c r="B2333" s="26" t="s">
        <v>543</v>
      </c>
      <c r="C2333" s="26"/>
      <c r="D2333" s="26" t="s">
        <v>543</v>
      </c>
      <c r="E2333" s="26" t="str">
        <f>IFERROR(VLOOKUP(G2333,WholesaleExtract!B:J,9,FALSE),"")</f>
        <v/>
      </c>
      <c r="F2333" s="26" t="str">
        <f>IFERROR(VLOOKUP(G2333,WholesaleExtract!B:J,6,FALSE),"")</f>
        <v/>
      </c>
      <c r="H2333" s="47" t="str">
        <f>IFERROR(VLOOKUP(G2333,WholesaleExtract!B:L,11,FALSE),"")</f>
        <v/>
      </c>
      <c r="I2333" s="26" t="str">
        <f>IFERROR(VLOOKUP(G2333,WholesaleExtract!B:O,8,FALSE),"")</f>
        <v/>
      </c>
      <c r="J2333" s="26" t="str">
        <f>IFERROR(VLOOKUP(G2333,WholesaleExtract!B:O,14,FALSE),"")</f>
        <v/>
      </c>
      <c r="K2333" s="26" t="str">
        <f>IFERROR(VLOOKUP(G2333,WholesaleExtract!B:K,10,FALSE),"")</f>
        <v/>
      </c>
      <c r="L2333" s="47" t="str">
        <f>IFERROR(VLOOKUP(G2333,WholesaleExtract!B:L,11,FALSE),"")</f>
        <v/>
      </c>
      <c r="M2333" s="47" t="str">
        <f>IFERROR(VLOOKUP(G2333,WholesaleExtract!B:M,12,FALSE),"")</f>
        <v/>
      </c>
      <c r="R2333" s="19"/>
      <c r="S2333" s="19"/>
    </row>
    <row r="2334" spans="1:19" x14ac:dyDescent="0.35">
      <c r="A2334" s="26" t="s">
        <v>543</v>
      </c>
      <c r="B2334" s="26" t="s">
        <v>543</v>
      </c>
      <c r="C2334" s="26"/>
      <c r="D2334" s="26" t="s">
        <v>543</v>
      </c>
      <c r="E2334" s="26" t="str">
        <f>IFERROR(VLOOKUP(G2334,WholesaleExtract!B:J,9,FALSE),"")</f>
        <v/>
      </c>
      <c r="F2334" s="26" t="str">
        <f>IFERROR(VLOOKUP(G2334,WholesaleExtract!B:J,6,FALSE),"")</f>
        <v/>
      </c>
      <c r="H2334" s="47" t="str">
        <f>IFERROR(VLOOKUP(G2334,WholesaleExtract!B:L,11,FALSE),"")</f>
        <v/>
      </c>
      <c r="I2334" s="26" t="str">
        <f>IFERROR(VLOOKUP(G2334,WholesaleExtract!B:O,8,FALSE),"")</f>
        <v/>
      </c>
      <c r="J2334" s="26" t="str">
        <f>IFERROR(VLOOKUP(G2334,WholesaleExtract!B:O,14,FALSE),"")</f>
        <v/>
      </c>
      <c r="K2334" s="26" t="str">
        <f>IFERROR(VLOOKUP(G2334,WholesaleExtract!B:K,10,FALSE),"")</f>
        <v/>
      </c>
      <c r="L2334" s="47" t="str">
        <f>IFERROR(VLOOKUP(G2334,WholesaleExtract!B:L,11,FALSE),"")</f>
        <v/>
      </c>
      <c r="M2334" s="47" t="str">
        <f>IFERROR(VLOOKUP(G2334,WholesaleExtract!B:M,12,FALSE),"")</f>
        <v/>
      </c>
      <c r="R2334" s="19"/>
      <c r="S2334" s="19"/>
    </row>
    <row r="2335" spans="1:19" x14ac:dyDescent="0.35">
      <c r="A2335" s="26" t="s">
        <v>543</v>
      </c>
      <c r="B2335" s="26" t="s">
        <v>543</v>
      </c>
      <c r="C2335" s="26"/>
      <c r="D2335" s="26" t="s">
        <v>543</v>
      </c>
      <c r="E2335" s="26" t="str">
        <f>IFERROR(VLOOKUP(G2335,WholesaleExtract!B:J,9,FALSE),"")</f>
        <v/>
      </c>
      <c r="F2335" s="26" t="str">
        <f>IFERROR(VLOOKUP(G2335,WholesaleExtract!B:J,6,FALSE),"")</f>
        <v/>
      </c>
      <c r="H2335" s="47" t="str">
        <f>IFERROR(VLOOKUP(G2335,WholesaleExtract!B:L,11,FALSE),"")</f>
        <v/>
      </c>
      <c r="I2335" s="26" t="str">
        <f>IFERROR(VLOOKUP(G2335,WholesaleExtract!B:O,8,FALSE),"")</f>
        <v/>
      </c>
      <c r="J2335" s="26" t="str">
        <f>IFERROR(VLOOKUP(G2335,WholesaleExtract!B:O,14,FALSE),"")</f>
        <v/>
      </c>
      <c r="K2335" s="26" t="str">
        <f>IFERROR(VLOOKUP(G2335,WholesaleExtract!B:K,10,FALSE),"")</f>
        <v/>
      </c>
      <c r="L2335" s="47" t="str">
        <f>IFERROR(VLOOKUP(G2335,WholesaleExtract!B:L,11,FALSE),"")</f>
        <v/>
      </c>
      <c r="M2335" s="47" t="str">
        <f>IFERROR(VLOOKUP(G2335,WholesaleExtract!B:M,12,FALSE),"")</f>
        <v/>
      </c>
      <c r="R2335" s="19"/>
      <c r="S2335" s="19"/>
    </row>
    <row r="2336" spans="1:19" x14ac:dyDescent="0.35">
      <c r="A2336" s="26" t="s">
        <v>543</v>
      </c>
      <c r="B2336" s="26" t="s">
        <v>543</v>
      </c>
      <c r="C2336" s="26"/>
      <c r="D2336" s="26" t="s">
        <v>543</v>
      </c>
      <c r="E2336" s="26" t="str">
        <f>IFERROR(VLOOKUP(G2336,WholesaleExtract!B:J,9,FALSE),"")</f>
        <v/>
      </c>
      <c r="F2336" s="26" t="str">
        <f>IFERROR(VLOOKUP(G2336,WholesaleExtract!B:J,6,FALSE),"")</f>
        <v/>
      </c>
      <c r="H2336" s="47" t="str">
        <f>IFERROR(VLOOKUP(G2336,WholesaleExtract!B:L,11,FALSE),"")</f>
        <v/>
      </c>
      <c r="I2336" s="26" t="str">
        <f>IFERROR(VLOOKUP(G2336,WholesaleExtract!B:O,8,FALSE),"")</f>
        <v/>
      </c>
      <c r="J2336" s="26" t="str">
        <f>IFERROR(VLOOKUP(G2336,WholesaleExtract!B:O,14,FALSE),"")</f>
        <v/>
      </c>
      <c r="K2336" s="26" t="str">
        <f>IFERROR(VLOOKUP(G2336,WholesaleExtract!B:K,10,FALSE),"")</f>
        <v/>
      </c>
      <c r="L2336" s="47" t="str">
        <f>IFERROR(VLOOKUP(G2336,WholesaleExtract!B:L,11,FALSE),"")</f>
        <v/>
      </c>
      <c r="M2336" s="47" t="str">
        <f>IFERROR(VLOOKUP(G2336,WholesaleExtract!B:M,12,FALSE),"")</f>
        <v/>
      </c>
      <c r="R2336" s="19"/>
      <c r="S2336" s="19"/>
    </row>
    <row r="2337" spans="1:19" x14ac:dyDescent="0.35">
      <c r="A2337" s="26" t="s">
        <v>543</v>
      </c>
      <c r="B2337" s="26" t="s">
        <v>543</v>
      </c>
      <c r="C2337" s="26"/>
      <c r="D2337" s="26" t="s">
        <v>543</v>
      </c>
      <c r="E2337" s="26" t="str">
        <f>IFERROR(VLOOKUP(G2337,WholesaleExtract!B:J,9,FALSE),"")</f>
        <v/>
      </c>
      <c r="F2337" s="26" t="str">
        <f>IFERROR(VLOOKUP(G2337,WholesaleExtract!B:J,6,FALSE),"")</f>
        <v/>
      </c>
      <c r="H2337" s="47" t="str">
        <f>IFERROR(VLOOKUP(G2337,WholesaleExtract!B:L,11,FALSE),"")</f>
        <v/>
      </c>
      <c r="I2337" s="26" t="str">
        <f>IFERROR(VLOOKUP(G2337,WholesaleExtract!B:O,8,FALSE),"")</f>
        <v/>
      </c>
      <c r="J2337" s="26" t="str">
        <f>IFERROR(VLOOKUP(G2337,WholesaleExtract!B:O,14,FALSE),"")</f>
        <v/>
      </c>
      <c r="K2337" s="26" t="str">
        <f>IFERROR(VLOOKUP(G2337,WholesaleExtract!B:K,10,FALSE),"")</f>
        <v/>
      </c>
      <c r="L2337" s="47" t="str">
        <f>IFERROR(VLOOKUP(G2337,WholesaleExtract!B:L,11,FALSE),"")</f>
        <v/>
      </c>
      <c r="M2337" s="47" t="str">
        <f>IFERROR(VLOOKUP(G2337,WholesaleExtract!B:M,12,FALSE),"")</f>
        <v/>
      </c>
      <c r="R2337" s="19"/>
      <c r="S2337" s="19"/>
    </row>
    <row r="2338" spans="1:19" x14ac:dyDescent="0.35">
      <c r="A2338" s="26" t="s">
        <v>543</v>
      </c>
      <c r="B2338" s="26" t="s">
        <v>543</v>
      </c>
      <c r="C2338" s="26"/>
      <c r="D2338" s="26" t="s">
        <v>543</v>
      </c>
      <c r="E2338" s="26" t="str">
        <f>IFERROR(VLOOKUP(G2338,WholesaleExtract!B:J,9,FALSE),"")</f>
        <v/>
      </c>
      <c r="F2338" s="26" t="str">
        <f>IFERROR(VLOOKUP(G2338,WholesaleExtract!B:J,6,FALSE),"")</f>
        <v/>
      </c>
      <c r="H2338" s="47" t="str">
        <f>IFERROR(VLOOKUP(G2338,WholesaleExtract!B:L,11,FALSE),"")</f>
        <v/>
      </c>
      <c r="I2338" s="26" t="str">
        <f>IFERROR(VLOOKUP(G2338,WholesaleExtract!B:O,8,FALSE),"")</f>
        <v/>
      </c>
      <c r="J2338" s="26" t="str">
        <f>IFERROR(VLOOKUP(G2338,WholesaleExtract!B:O,14,FALSE),"")</f>
        <v/>
      </c>
      <c r="K2338" s="26" t="str">
        <f>IFERROR(VLOOKUP(G2338,WholesaleExtract!B:K,10,FALSE),"")</f>
        <v/>
      </c>
      <c r="L2338" s="47" t="str">
        <f>IFERROR(VLOOKUP(G2338,WholesaleExtract!B:L,11,FALSE),"")</f>
        <v/>
      </c>
      <c r="M2338" s="47" t="str">
        <f>IFERROR(VLOOKUP(G2338,WholesaleExtract!B:M,12,FALSE),"")</f>
        <v/>
      </c>
      <c r="R2338" s="19"/>
      <c r="S2338" s="19"/>
    </row>
    <row r="2339" spans="1:19" x14ac:dyDescent="0.35">
      <c r="A2339" s="26" t="s">
        <v>543</v>
      </c>
      <c r="B2339" s="26" t="s">
        <v>543</v>
      </c>
      <c r="C2339" s="26"/>
      <c r="D2339" s="26" t="s">
        <v>543</v>
      </c>
      <c r="E2339" s="26" t="str">
        <f>IFERROR(VLOOKUP(G2339,WholesaleExtract!B:J,9,FALSE),"")</f>
        <v/>
      </c>
      <c r="F2339" s="26" t="str">
        <f>IFERROR(VLOOKUP(G2339,WholesaleExtract!B:J,6,FALSE),"")</f>
        <v/>
      </c>
      <c r="H2339" s="47" t="str">
        <f>IFERROR(VLOOKUP(G2339,WholesaleExtract!B:L,11,FALSE),"")</f>
        <v/>
      </c>
      <c r="I2339" s="26" t="str">
        <f>IFERROR(VLOOKUP(G2339,WholesaleExtract!B:O,8,FALSE),"")</f>
        <v/>
      </c>
      <c r="J2339" s="26" t="str">
        <f>IFERROR(VLOOKUP(G2339,WholesaleExtract!B:O,14,FALSE),"")</f>
        <v/>
      </c>
      <c r="K2339" s="26" t="str">
        <f>IFERROR(VLOOKUP(G2339,WholesaleExtract!B:K,10,FALSE),"")</f>
        <v/>
      </c>
      <c r="L2339" s="47" t="str">
        <f>IFERROR(VLOOKUP(G2339,WholesaleExtract!B:L,11,FALSE),"")</f>
        <v/>
      </c>
      <c r="M2339" s="47" t="str">
        <f>IFERROR(VLOOKUP(G2339,WholesaleExtract!B:M,12,FALSE),"")</f>
        <v/>
      </c>
      <c r="R2339" s="19"/>
      <c r="S2339" s="19"/>
    </row>
    <row r="2340" spans="1:19" x14ac:dyDescent="0.35">
      <c r="A2340" s="26" t="s">
        <v>543</v>
      </c>
      <c r="B2340" s="26" t="s">
        <v>543</v>
      </c>
      <c r="C2340" s="26"/>
      <c r="D2340" s="26" t="s">
        <v>543</v>
      </c>
      <c r="E2340" s="26" t="str">
        <f>IFERROR(VLOOKUP(G2340,WholesaleExtract!B:J,9,FALSE),"")</f>
        <v/>
      </c>
      <c r="F2340" s="26" t="str">
        <f>IFERROR(VLOOKUP(G2340,WholesaleExtract!B:J,6,FALSE),"")</f>
        <v/>
      </c>
      <c r="H2340" s="47" t="str">
        <f>IFERROR(VLOOKUP(G2340,WholesaleExtract!B:L,11,FALSE),"")</f>
        <v/>
      </c>
      <c r="I2340" s="26" t="str">
        <f>IFERROR(VLOOKUP(G2340,WholesaleExtract!B:O,8,FALSE),"")</f>
        <v/>
      </c>
      <c r="J2340" s="26" t="str">
        <f>IFERROR(VLOOKUP(G2340,WholesaleExtract!B:O,14,FALSE),"")</f>
        <v/>
      </c>
      <c r="K2340" s="26" t="str">
        <f>IFERROR(VLOOKUP(G2340,WholesaleExtract!B:K,10,FALSE),"")</f>
        <v/>
      </c>
      <c r="L2340" s="47" t="str">
        <f>IFERROR(VLOOKUP(G2340,WholesaleExtract!B:L,11,FALSE),"")</f>
        <v/>
      </c>
      <c r="M2340" s="47" t="str">
        <f>IFERROR(VLOOKUP(G2340,WholesaleExtract!B:M,12,FALSE),"")</f>
        <v/>
      </c>
      <c r="R2340" s="19"/>
      <c r="S2340" s="19"/>
    </row>
    <row r="2341" spans="1:19" x14ac:dyDescent="0.35">
      <c r="A2341" s="26" t="s">
        <v>543</v>
      </c>
      <c r="B2341" s="26" t="s">
        <v>543</v>
      </c>
      <c r="C2341" s="26"/>
      <c r="D2341" s="26" t="s">
        <v>543</v>
      </c>
      <c r="E2341" s="26" t="str">
        <f>IFERROR(VLOOKUP(G2341,WholesaleExtract!B:J,9,FALSE),"")</f>
        <v/>
      </c>
      <c r="F2341" s="26" t="str">
        <f>IFERROR(VLOOKUP(G2341,WholesaleExtract!B:J,6,FALSE),"")</f>
        <v/>
      </c>
      <c r="H2341" s="47" t="str">
        <f>IFERROR(VLOOKUP(G2341,WholesaleExtract!B:L,11,FALSE),"")</f>
        <v/>
      </c>
      <c r="I2341" s="26" t="str">
        <f>IFERROR(VLOOKUP(G2341,WholesaleExtract!B:O,8,FALSE),"")</f>
        <v/>
      </c>
      <c r="J2341" s="26" t="str">
        <f>IFERROR(VLOOKUP(G2341,WholesaleExtract!B:O,14,FALSE),"")</f>
        <v/>
      </c>
      <c r="K2341" s="26" t="str">
        <f>IFERROR(VLOOKUP(G2341,WholesaleExtract!B:K,10,FALSE),"")</f>
        <v/>
      </c>
      <c r="L2341" s="47" t="str">
        <f>IFERROR(VLOOKUP(G2341,WholesaleExtract!B:L,11,FALSE),"")</f>
        <v/>
      </c>
      <c r="M2341" s="47" t="str">
        <f>IFERROR(VLOOKUP(G2341,WholesaleExtract!B:M,12,FALSE),"")</f>
        <v/>
      </c>
      <c r="R2341" s="19"/>
      <c r="S2341" s="19"/>
    </row>
    <row r="2342" spans="1:19" x14ac:dyDescent="0.35">
      <c r="A2342" s="26" t="s">
        <v>543</v>
      </c>
      <c r="B2342" s="26" t="s">
        <v>543</v>
      </c>
      <c r="C2342" s="26"/>
      <c r="D2342" s="26" t="s">
        <v>543</v>
      </c>
      <c r="E2342" s="26" t="str">
        <f>IFERROR(VLOOKUP(G2342,WholesaleExtract!B:J,9,FALSE),"")</f>
        <v/>
      </c>
      <c r="F2342" s="26" t="str">
        <f>IFERROR(VLOOKUP(G2342,WholesaleExtract!B:J,6,FALSE),"")</f>
        <v/>
      </c>
      <c r="H2342" s="47" t="str">
        <f>IFERROR(VLOOKUP(G2342,WholesaleExtract!B:L,11,FALSE),"")</f>
        <v/>
      </c>
      <c r="I2342" s="26" t="str">
        <f>IFERROR(VLOOKUP(G2342,WholesaleExtract!B:O,8,FALSE),"")</f>
        <v/>
      </c>
      <c r="J2342" s="26" t="str">
        <f>IFERROR(VLOOKUP(G2342,WholesaleExtract!B:O,14,FALSE),"")</f>
        <v/>
      </c>
      <c r="K2342" s="26" t="str">
        <f>IFERROR(VLOOKUP(G2342,WholesaleExtract!B:K,10,FALSE),"")</f>
        <v/>
      </c>
      <c r="L2342" s="47" t="str">
        <f>IFERROR(VLOOKUP(G2342,WholesaleExtract!B:L,11,FALSE),"")</f>
        <v/>
      </c>
      <c r="M2342" s="47" t="str">
        <f>IFERROR(VLOOKUP(G2342,WholesaleExtract!B:M,12,FALSE),"")</f>
        <v/>
      </c>
      <c r="R2342" s="19"/>
      <c r="S2342" s="19"/>
    </row>
    <row r="2343" spans="1:19" x14ac:dyDescent="0.35">
      <c r="A2343" s="26" t="s">
        <v>543</v>
      </c>
      <c r="B2343" s="26" t="s">
        <v>543</v>
      </c>
      <c r="C2343" s="26"/>
      <c r="D2343" s="26" t="s">
        <v>543</v>
      </c>
      <c r="E2343" s="26" t="str">
        <f>IFERROR(VLOOKUP(G2343,WholesaleExtract!B:J,9,FALSE),"")</f>
        <v/>
      </c>
      <c r="F2343" s="26" t="str">
        <f>IFERROR(VLOOKUP(G2343,WholesaleExtract!B:J,6,FALSE),"")</f>
        <v/>
      </c>
      <c r="H2343" s="47" t="str">
        <f>IFERROR(VLOOKUP(G2343,WholesaleExtract!B:L,11,FALSE),"")</f>
        <v/>
      </c>
      <c r="I2343" s="26" t="str">
        <f>IFERROR(VLOOKUP(G2343,WholesaleExtract!B:O,8,FALSE),"")</f>
        <v/>
      </c>
      <c r="J2343" s="26" t="str">
        <f>IFERROR(VLOOKUP(G2343,WholesaleExtract!B:O,14,FALSE),"")</f>
        <v/>
      </c>
      <c r="K2343" s="26" t="str">
        <f>IFERROR(VLOOKUP(G2343,WholesaleExtract!B:K,10,FALSE),"")</f>
        <v/>
      </c>
      <c r="L2343" s="47" t="str">
        <f>IFERROR(VLOOKUP(G2343,WholesaleExtract!B:L,11,FALSE),"")</f>
        <v/>
      </c>
      <c r="M2343" s="47" t="str">
        <f>IFERROR(VLOOKUP(G2343,WholesaleExtract!B:M,12,FALSE),"")</f>
        <v/>
      </c>
      <c r="R2343" s="19"/>
      <c r="S2343" s="19"/>
    </row>
    <row r="2344" spans="1:19" x14ac:dyDescent="0.35">
      <c r="A2344" s="26" t="s">
        <v>543</v>
      </c>
      <c r="B2344" s="26" t="s">
        <v>543</v>
      </c>
      <c r="C2344" s="26"/>
      <c r="D2344" s="26" t="s">
        <v>543</v>
      </c>
      <c r="E2344" s="26" t="str">
        <f>IFERROR(VLOOKUP(G2344,WholesaleExtract!B:J,9,FALSE),"")</f>
        <v/>
      </c>
      <c r="F2344" s="26" t="str">
        <f>IFERROR(VLOOKUP(G2344,WholesaleExtract!B:J,6,FALSE),"")</f>
        <v/>
      </c>
      <c r="H2344" s="47" t="str">
        <f>IFERROR(VLOOKUP(G2344,WholesaleExtract!B:L,11,FALSE),"")</f>
        <v/>
      </c>
      <c r="I2344" s="26" t="str">
        <f>IFERROR(VLOOKUP(G2344,WholesaleExtract!B:O,8,FALSE),"")</f>
        <v/>
      </c>
      <c r="J2344" s="26" t="str">
        <f>IFERROR(VLOOKUP(G2344,WholesaleExtract!B:O,14,FALSE),"")</f>
        <v/>
      </c>
      <c r="K2344" s="26" t="str">
        <f>IFERROR(VLOOKUP(G2344,WholesaleExtract!B:K,10,FALSE),"")</f>
        <v/>
      </c>
      <c r="L2344" s="47" t="str">
        <f>IFERROR(VLOOKUP(G2344,WholesaleExtract!B:L,11,FALSE),"")</f>
        <v/>
      </c>
      <c r="M2344" s="47" t="str">
        <f>IFERROR(VLOOKUP(G2344,WholesaleExtract!B:M,12,FALSE),"")</f>
        <v/>
      </c>
      <c r="R2344" s="19"/>
      <c r="S2344" s="19"/>
    </row>
    <row r="2345" spans="1:19" x14ac:dyDescent="0.35">
      <c r="A2345" s="26" t="s">
        <v>543</v>
      </c>
      <c r="B2345" s="26" t="s">
        <v>543</v>
      </c>
      <c r="C2345" s="26"/>
      <c r="D2345" s="26" t="s">
        <v>543</v>
      </c>
      <c r="E2345" s="26" t="str">
        <f>IFERROR(VLOOKUP(G2345,WholesaleExtract!B:J,9,FALSE),"")</f>
        <v/>
      </c>
      <c r="F2345" s="26" t="str">
        <f>IFERROR(VLOOKUP(G2345,WholesaleExtract!B:J,6,FALSE),"")</f>
        <v/>
      </c>
      <c r="H2345" s="47" t="str">
        <f>IFERROR(VLOOKUP(G2345,WholesaleExtract!B:L,11,FALSE),"")</f>
        <v/>
      </c>
      <c r="I2345" s="26" t="str">
        <f>IFERROR(VLOOKUP(G2345,WholesaleExtract!B:O,8,FALSE),"")</f>
        <v/>
      </c>
      <c r="J2345" s="26" t="str">
        <f>IFERROR(VLOOKUP(G2345,WholesaleExtract!B:O,14,FALSE),"")</f>
        <v/>
      </c>
      <c r="K2345" s="26" t="str">
        <f>IFERROR(VLOOKUP(G2345,WholesaleExtract!B:K,10,FALSE),"")</f>
        <v/>
      </c>
      <c r="L2345" s="47" t="str">
        <f>IFERROR(VLOOKUP(G2345,WholesaleExtract!B:L,11,FALSE),"")</f>
        <v/>
      </c>
      <c r="M2345" s="47" t="str">
        <f>IFERROR(VLOOKUP(G2345,WholesaleExtract!B:M,12,FALSE),"")</f>
        <v/>
      </c>
      <c r="R2345" s="19"/>
      <c r="S2345" s="19"/>
    </row>
    <row r="2346" spans="1:19" x14ac:dyDescent="0.35">
      <c r="A2346" s="26" t="s">
        <v>543</v>
      </c>
      <c r="B2346" s="26" t="s">
        <v>543</v>
      </c>
      <c r="C2346" s="26"/>
      <c r="D2346" s="26" t="s">
        <v>543</v>
      </c>
      <c r="E2346" s="26" t="str">
        <f>IFERROR(VLOOKUP(G2346,WholesaleExtract!B:J,9,FALSE),"")</f>
        <v/>
      </c>
      <c r="F2346" s="26" t="str">
        <f>IFERROR(VLOOKUP(G2346,WholesaleExtract!B:J,6,FALSE),"")</f>
        <v/>
      </c>
      <c r="H2346" s="47" t="str">
        <f>IFERROR(VLOOKUP(G2346,WholesaleExtract!B:L,11,FALSE),"")</f>
        <v/>
      </c>
      <c r="I2346" s="26" t="str">
        <f>IFERROR(VLOOKUP(G2346,WholesaleExtract!B:O,8,FALSE),"")</f>
        <v/>
      </c>
      <c r="J2346" s="26" t="str">
        <f>IFERROR(VLOOKUP(G2346,WholesaleExtract!B:O,14,FALSE),"")</f>
        <v/>
      </c>
      <c r="K2346" s="26" t="str">
        <f>IFERROR(VLOOKUP(G2346,WholesaleExtract!B:K,10,FALSE),"")</f>
        <v/>
      </c>
      <c r="L2346" s="47" t="str">
        <f>IFERROR(VLOOKUP(G2346,WholesaleExtract!B:L,11,FALSE),"")</f>
        <v/>
      </c>
      <c r="M2346" s="47" t="str">
        <f>IFERROR(VLOOKUP(G2346,WholesaleExtract!B:M,12,FALSE),"")</f>
        <v/>
      </c>
      <c r="R2346" s="19"/>
      <c r="S2346" s="19"/>
    </row>
    <row r="2347" spans="1:19" x14ac:dyDescent="0.35">
      <c r="A2347" s="26" t="s">
        <v>543</v>
      </c>
      <c r="B2347" s="26" t="s">
        <v>543</v>
      </c>
      <c r="C2347" s="26"/>
      <c r="D2347" s="26" t="s">
        <v>543</v>
      </c>
      <c r="E2347" s="26" t="str">
        <f>IFERROR(VLOOKUP(G2347,WholesaleExtract!B:J,9,FALSE),"")</f>
        <v/>
      </c>
      <c r="F2347" s="26" t="str">
        <f>IFERROR(VLOOKUP(G2347,WholesaleExtract!B:J,6,FALSE),"")</f>
        <v/>
      </c>
      <c r="H2347" s="47" t="str">
        <f>IFERROR(VLOOKUP(G2347,WholesaleExtract!B:L,11,FALSE),"")</f>
        <v/>
      </c>
      <c r="I2347" s="26" t="str">
        <f>IFERROR(VLOOKUP(G2347,WholesaleExtract!B:O,8,FALSE),"")</f>
        <v/>
      </c>
      <c r="J2347" s="26" t="str">
        <f>IFERROR(VLOOKUP(G2347,WholesaleExtract!B:O,14,FALSE),"")</f>
        <v/>
      </c>
      <c r="K2347" s="26" t="str">
        <f>IFERROR(VLOOKUP(G2347,WholesaleExtract!B:K,10,FALSE),"")</f>
        <v/>
      </c>
      <c r="L2347" s="47" t="str">
        <f>IFERROR(VLOOKUP(G2347,WholesaleExtract!B:L,11,FALSE),"")</f>
        <v/>
      </c>
      <c r="M2347" s="47" t="str">
        <f>IFERROR(VLOOKUP(G2347,WholesaleExtract!B:M,12,FALSE),"")</f>
        <v/>
      </c>
      <c r="R2347" s="19"/>
      <c r="S2347" s="19"/>
    </row>
    <row r="2348" spans="1:19" x14ac:dyDescent="0.35">
      <c r="A2348" s="26" t="s">
        <v>543</v>
      </c>
      <c r="B2348" s="26" t="s">
        <v>543</v>
      </c>
      <c r="C2348" s="26"/>
      <c r="D2348" s="26" t="s">
        <v>543</v>
      </c>
      <c r="E2348" s="26" t="str">
        <f>IFERROR(VLOOKUP(G2348,WholesaleExtract!B:J,9,FALSE),"")</f>
        <v/>
      </c>
      <c r="F2348" s="26" t="str">
        <f>IFERROR(VLOOKUP(G2348,WholesaleExtract!B:J,6,FALSE),"")</f>
        <v/>
      </c>
      <c r="H2348" s="47" t="str">
        <f>IFERROR(VLOOKUP(G2348,WholesaleExtract!B:L,11,FALSE),"")</f>
        <v/>
      </c>
      <c r="I2348" s="26" t="str">
        <f>IFERROR(VLOOKUP(G2348,WholesaleExtract!B:O,8,FALSE),"")</f>
        <v/>
      </c>
      <c r="J2348" s="26" t="str">
        <f>IFERROR(VLOOKUP(G2348,WholesaleExtract!B:O,14,FALSE),"")</f>
        <v/>
      </c>
      <c r="K2348" s="26" t="str">
        <f>IFERROR(VLOOKUP(G2348,WholesaleExtract!B:K,10,FALSE),"")</f>
        <v/>
      </c>
      <c r="L2348" s="47" t="str">
        <f>IFERROR(VLOOKUP(G2348,WholesaleExtract!B:L,11,FALSE),"")</f>
        <v/>
      </c>
      <c r="M2348" s="47" t="str">
        <f>IFERROR(VLOOKUP(G2348,WholesaleExtract!B:M,12,FALSE),"")</f>
        <v/>
      </c>
      <c r="R2348" s="19"/>
      <c r="S2348" s="19"/>
    </row>
    <row r="2349" spans="1:19" x14ac:dyDescent="0.35">
      <c r="A2349" s="26" t="s">
        <v>543</v>
      </c>
      <c r="B2349" s="26" t="s">
        <v>543</v>
      </c>
      <c r="C2349" s="26"/>
      <c r="D2349" s="26" t="s">
        <v>543</v>
      </c>
      <c r="E2349" s="26" t="str">
        <f>IFERROR(VLOOKUP(G2349,WholesaleExtract!B:J,9,FALSE),"")</f>
        <v/>
      </c>
      <c r="F2349" s="26" t="str">
        <f>IFERROR(VLOOKUP(G2349,WholesaleExtract!B:J,6,FALSE),"")</f>
        <v/>
      </c>
      <c r="H2349" s="47" t="str">
        <f>IFERROR(VLOOKUP(G2349,WholesaleExtract!B:L,11,FALSE),"")</f>
        <v/>
      </c>
      <c r="I2349" s="26" t="str">
        <f>IFERROR(VLOOKUP(G2349,WholesaleExtract!B:O,8,FALSE),"")</f>
        <v/>
      </c>
      <c r="J2349" s="26" t="str">
        <f>IFERROR(VLOOKUP(G2349,WholesaleExtract!B:O,14,FALSE),"")</f>
        <v/>
      </c>
      <c r="K2349" s="26" t="str">
        <f>IFERROR(VLOOKUP(G2349,WholesaleExtract!B:K,10,FALSE),"")</f>
        <v/>
      </c>
      <c r="L2349" s="47" t="str">
        <f>IFERROR(VLOOKUP(G2349,WholesaleExtract!B:L,11,FALSE),"")</f>
        <v/>
      </c>
      <c r="M2349" s="47" t="str">
        <f>IFERROR(VLOOKUP(G2349,WholesaleExtract!B:M,12,FALSE),"")</f>
        <v/>
      </c>
      <c r="R2349" s="19"/>
      <c r="S2349" s="19"/>
    </row>
    <row r="2350" spans="1:19" x14ac:dyDescent="0.35">
      <c r="A2350" s="26" t="s">
        <v>543</v>
      </c>
      <c r="B2350" s="26" t="s">
        <v>543</v>
      </c>
      <c r="C2350" s="26"/>
      <c r="D2350" s="26" t="s">
        <v>543</v>
      </c>
      <c r="E2350" s="26" t="str">
        <f>IFERROR(VLOOKUP(G2350,WholesaleExtract!B:J,9,FALSE),"")</f>
        <v/>
      </c>
      <c r="F2350" s="26" t="str">
        <f>IFERROR(VLOOKUP(G2350,WholesaleExtract!B:J,6,FALSE),"")</f>
        <v/>
      </c>
      <c r="H2350" s="47" t="str">
        <f>IFERROR(VLOOKUP(G2350,WholesaleExtract!B:L,11,FALSE),"")</f>
        <v/>
      </c>
      <c r="I2350" s="26" t="str">
        <f>IFERROR(VLOOKUP(G2350,WholesaleExtract!B:O,8,FALSE),"")</f>
        <v/>
      </c>
      <c r="J2350" s="26" t="str">
        <f>IFERROR(VLOOKUP(G2350,WholesaleExtract!B:O,14,FALSE),"")</f>
        <v/>
      </c>
      <c r="K2350" s="26" t="str">
        <f>IFERROR(VLOOKUP(G2350,WholesaleExtract!B:K,10,FALSE),"")</f>
        <v/>
      </c>
      <c r="L2350" s="47" t="str">
        <f>IFERROR(VLOOKUP(G2350,WholesaleExtract!B:L,11,FALSE),"")</f>
        <v/>
      </c>
      <c r="M2350" s="47" t="str">
        <f>IFERROR(VLOOKUP(G2350,WholesaleExtract!B:M,12,FALSE),"")</f>
        <v/>
      </c>
      <c r="R2350" s="19"/>
      <c r="S2350" s="19"/>
    </row>
    <row r="2351" spans="1:19" x14ac:dyDescent="0.35">
      <c r="A2351" s="26" t="s">
        <v>543</v>
      </c>
      <c r="B2351" s="26" t="s">
        <v>543</v>
      </c>
      <c r="C2351" s="26"/>
      <c r="D2351" s="26" t="s">
        <v>543</v>
      </c>
      <c r="E2351" s="26" t="str">
        <f>IFERROR(VLOOKUP(G2351,WholesaleExtract!B:J,9,FALSE),"")</f>
        <v/>
      </c>
      <c r="F2351" s="26" t="str">
        <f>IFERROR(VLOOKUP(G2351,WholesaleExtract!B:J,6,FALSE),"")</f>
        <v/>
      </c>
      <c r="H2351" s="47" t="str">
        <f>IFERROR(VLOOKUP(G2351,WholesaleExtract!B:L,11,FALSE),"")</f>
        <v/>
      </c>
      <c r="I2351" s="26" t="str">
        <f>IFERROR(VLOOKUP(G2351,WholesaleExtract!B:O,8,FALSE),"")</f>
        <v/>
      </c>
      <c r="J2351" s="26" t="str">
        <f>IFERROR(VLOOKUP(G2351,WholesaleExtract!B:O,14,FALSE),"")</f>
        <v/>
      </c>
      <c r="K2351" s="26" t="str">
        <f>IFERROR(VLOOKUP(G2351,WholesaleExtract!B:K,10,FALSE),"")</f>
        <v/>
      </c>
      <c r="L2351" s="47" t="str">
        <f>IFERROR(VLOOKUP(G2351,WholesaleExtract!B:L,11,FALSE),"")</f>
        <v/>
      </c>
      <c r="M2351" s="47" t="str">
        <f>IFERROR(VLOOKUP(G2351,WholesaleExtract!B:M,12,FALSE),"")</f>
        <v/>
      </c>
      <c r="R2351" s="19"/>
      <c r="S2351" s="19"/>
    </row>
    <row r="2352" spans="1:19" x14ac:dyDescent="0.35">
      <c r="A2352" s="26" t="s">
        <v>543</v>
      </c>
      <c r="B2352" s="26" t="s">
        <v>543</v>
      </c>
      <c r="C2352" s="26"/>
      <c r="D2352" s="26" t="s">
        <v>543</v>
      </c>
      <c r="E2352" s="26" t="str">
        <f>IFERROR(VLOOKUP(G2352,WholesaleExtract!B:J,9,FALSE),"")</f>
        <v/>
      </c>
      <c r="F2352" s="26" t="str">
        <f>IFERROR(VLOOKUP(G2352,WholesaleExtract!B:J,6,FALSE),"")</f>
        <v/>
      </c>
      <c r="H2352" s="47" t="str">
        <f>IFERROR(VLOOKUP(G2352,WholesaleExtract!B:L,11,FALSE),"")</f>
        <v/>
      </c>
      <c r="I2352" s="26" t="str">
        <f>IFERROR(VLOOKUP(G2352,WholesaleExtract!B:O,8,FALSE),"")</f>
        <v/>
      </c>
      <c r="J2352" s="26" t="str">
        <f>IFERROR(VLOOKUP(G2352,WholesaleExtract!B:O,14,FALSE),"")</f>
        <v/>
      </c>
      <c r="K2352" s="26" t="str">
        <f>IFERROR(VLOOKUP(G2352,WholesaleExtract!B:K,10,FALSE),"")</f>
        <v/>
      </c>
      <c r="L2352" s="47" t="str">
        <f>IFERROR(VLOOKUP(G2352,WholesaleExtract!B:L,11,FALSE),"")</f>
        <v/>
      </c>
      <c r="M2352" s="47" t="str">
        <f>IFERROR(VLOOKUP(G2352,WholesaleExtract!B:M,12,FALSE),"")</f>
        <v/>
      </c>
      <c r="R2352" s="19"/>
      <c r="S2352" s="19"/>
    </row>
    <row r="2353" spans="1:19" x14ac:dyDescent="0.35">
      <c r="A2353" s="26" t="s">
        <v>543</v>
      </c>
      <c r="B2353" s="26" t="s">
        <v>543</v>
      </c>
      <c r="C2353" s="26"/>
      <c r="D2353" s="26" t="s">
        <v>543</v>
      </c>
      <c r="E2353" s="26" t="str">
        <f>IFERROR(VLOOKUP(G2353,WholesaleExtract!B:J,9,FALSE),"")</f>
        <v/>
      </c>
      <c r="F2353" s="26" t="str">
        <f>IFERROR(VLOOKUP(G2353,WholesaleExtract!B:J,6,FALSE),"")</f>
        <v/>
      </c>
      <c r="H2353" s="47" t="str">
        <f>IFERROR(VLOOKUP(G2353,WholesaleExtract!B:L,11,FALSE),"")</f>
        <v/>
      </c>
      <c r="I2353" s="26" t="str">
        <f>IFERROR(VLOOKUP(G2353,WholesaleExtract!B:O,8,FALSE),"")</f>
        <v/>
      </c>
      <c r="J2353" s="26" t="str">
        <f>IFERROR(VLOOKUP(G2353,WholesaleExtract!B:O,14,FALSE),"")</f>
        <v/>
      </c>
      <c r="K2353" s="26" t="str">
        <f>IFERROR(VLOOKUP(G2353,WholesaleExtract!B:K,10,FALSE),"")</f>
        <v/>
      </c>
      <c r="L2353" s="47" t="str">
        <f>IFERROR(VLOOKUP(G2353,WholesaleExtract!B:L,11,FALSE),"")</f>
        <v/>
      </c>
      <c r="M2353" s="47" t="str">
        <f>IFERROR(VLOOKUP(G2353,WholesaleExtract!B:M,12,FALSE),"")</f>
        <v/>
      </c>
      <c r="R2353" s="19"/>
      <c r="S2353" s="19"/>
    </row>
    <row r="2354" spans="1:19" x14ac:dyDescent="0.35">
      <c r="A2354" s="26" t="s">
        <v>543</v>
      </c>
      <c r="B2354" s="26" t="s">
        <v>543</v>
      </c>
      <c r="C2354" s="26"/>
      <c r="D2354" s="26" t="s">
        <v>543</v>
      </c>
      <c r="E2354" s="26" t="str">
        <f>IFERROR(VLOOKUP(G2354,WholesaleExtract!B:J,9,FALSE),"")</f>
        <v/>
      </c>
      <c r="F2354" s="26" t="str">
        <f>IFERROR(VLOOKUP(G2354,WholesaleExtract!B:J,6,FALSE),"")</f>
        <v/>
      </c>
      <c r="H2354" s="47" t="str">
        <f>IFERROR(VLOOKUP(G2354,WholesaleExtract!B:L,11,FALSE),"")</f>
        <v/>
      </c>
      <c r="I2354" s="26" t="str">
        <f>IFERROR(VLOOKUP(G2354,WholesaleExtract!B:O,8,FALSE),"")</f>
        <v/>
      </c>
      <c r="J2354" s="26" t="str">
        <f>IFERROR(VLOOKUP(G2354,WholesaleExtract!B:O,14,FALSE),"")</f>
        <v/>
      </c>
      <c r="K2354" s="26" t="str">
        <f>IFERROR(VLOOKUP(G2354,WholesaleExtract!B:K,10,FALSE),"")</f>
        <v/>
      </c>
      <c r="L2354" s="47" t="str">
        <f>IFERROR(VLOOKUP(G2354,WholesaleExtract!B:L,11,FALSE),"")</f>
        <v/>
      </c>
      <c r="M2354" s="47" t="str">
        <f>IFERROR(VLOOKUP(G2354,WholesaleExtract!B:M,12,FALSE),"")</f>
        <v/>
      </c>
      <c r="R2354" s="19"/>
      <c r="S2354" s="19"/>
    </row>
    <row r="2355" spans="1:19" x14ac:dyDescent="0.35">
      <c r="A2355" s="26" t="s">
        <v>543</v>
      </c>
      <c r="B2355" s="26" t="s">
        <v>543</v>
      </c>
      <c r="C2355" s="26"/>
      <c r="D2355" s="26" t="s">
        <v>543</v>
      </c>
      <c r="E2355" s="26" t="str">
        <f>IFERROR(VLOOKUP(G2355,WholesaleExtract!B:J,9,FALSE),"")</f>
        <v/>
      </c>
      <c r="F2355" s="26" t="str">
        <f>IFERROR(VLOOKUP(G2355,WholesaleExtract!B:J,6,FALSE),"")</f>
        <v/>
      </c>
      <c r="H2355" s="47" t="str">
        <f>IFERROR(VLOOKUP(G2355,WholesaleExtract!B:L,11,FALSE),"")</f>
        <v/>
      </c>
      <c r="I2355" s="26" t="str">
        <f>IFERROR(VLOOKUP(G2355,WholesaleExtract!B:O,8,FALSE),"")</f>
        <v/>
      </c>
      <c r="J2355" s="26" t="str">
        <f>IFERROR(VLOOKUP(G2355,WholesaleExtract!B:O,14,FALSE),"")</f>
        <v/>
      </c>
      <c r="K2355" s="26" t="str">
        <f>IFERROR(VLOOKUP(G2355,WholesaleExtract!B:K,10,FALSE),"")</f>
        <v/>
      </c>
      <c r="L2355" s="47" t="str">
        <f>IFERROR(VLOOKUP(G2355,WholesaleExtract!B:L,11,FALSE),"")</f>
        <v/>
      </c>
      <c r="M2355" s="47" t="str">
        <f>IFERROR(VLOOKUP(G2355,WholesaleExtract!B:M,12,FALSE),"")</f>
        <v/>
      </c>
      <c r="R2355" s="19"/>
      <c r="S2355" s="19"/>
    </row>
    <row r="2356" spans="1:19" x14ac:dyDescent="0.35">
      <c r="A2356" s="26" t="s">
        <v>543</v>
      </c>
      <c r="B2356" s="26" t="s">
        <v>543</v>
      </c>
      <c r="C2356" s="26"/>
      <c r="D2356" s="26" t="s">
        <v>543</v>
      </c>
      <c r="E2356" s="26" t="str">
        <f>IFERROR(VLOOKUP(G2356,WholesaleExtract!B:J,9,FALSE),"")</f>
        <v/>
      </c>
      <c r="F2356" s="26" t="str">
        <f>IFERROR(VLOOKUP(G2356,WholesaleExtract!B:J,6,FALSE),"")</f>
        <v/>
      </c>
      <c r="H2356" s="47" t="str">
        <f>IFERROR(VLOOKUP(G2356,WholesaleExtract!B:L,11,FALSE),"")</f>
        <v/>
      </c>
      <c r="I2356" s="26" t="str">
        <f>IFERROR(VLOOKUP(G2356,WholesaleExtract!B:O,8,FALSE),"")</f>
        <v/>
      </c>
      <c r="J2356" s="26" t="str">
        <f>IFERROR(VLOOKUP(G2356,WholesaleExtract!B:O,14,FALSE),"")</f>
        <v/>
      </c>
      <c r="K2356" s="26" t="str">
        <f>IFERROR(VLOOKUP(G2356,WholesaleExtract!B:K,10,FALSE),"")</f>
        <v/>
      </c>
      <c r="L2356" s="47" t="str">
        <f>IFERROR(VLOOKUP(G2356,WholesaleExtract!B:L,11,FALSE),"")</f>
        <v/>
      </c>
      <c r="M2356" s="47" t="str">
        <f>IFERROR(VLOOKUP(G2356,WholesaleExtract!B:M,12,FALSE),"")</f>
        <v/>
      </c>
      <c r="R2356" s="19"/>
      <c r="S2356" s="19"/>
    </row>
    <row r="2357" spans="1:19" x14ac:dyDescent="0.35">
      <c r="A2357" s="26" t="s">
        <v>543</v>
      </c>
      <c r="B2357" s="26" t="s">
        <v>543</v>
      </c>
      <c r="C2357" s="26"/>
      <c r="D2357" s="26" t="s">
        <v>543</v>
      </c>
      <c r="E2357" s="26" t="str">
        <f>IFERROR(VLOOKUP(G2357,WholesaleExtract!B:J,9,FALSE),"")</f>
        <v/>
      </c>
      <c r="F2357" s="26" t="str">
        <f>IFERROR(VLOOKUP(G2357,WholesaleExtract!B:J,6,FALSE),"")</f>
        <v/>
      </c>
      <c r="H2357" s="47" t="str">
        <f>IFERROR(VLOOKUP(G2357,WholesaleExtract!B:L,11,FALSE),"")</f>
        <v/>
      </c>
      <c r="I2357" s="26" t="str">
        <f>IFERROR(VLOOKUP(G2357,WholesaleExtract!B:O,8,FALSE),"")</f>
        <v/>
      </c>
      <c r="J2357" s="26" t="str">
        <f>IFERROR(VLOOKUP(G2357,WholesaleExtract!B:O,14,FALSE),"")</f>
        <v/>
      </c>
      <c r="K2357" s="26" t="str">
        <f>IFERROR(VLOOKUP(G2357,WholesaleExtract!B:K,10,FALSE),"")</f>
        <v/>
      </c>
      <c r="L2357" s="47" t="str">
        <f>IFERROR(VLOOKUP(G2357,WholesaleExtract!B:L,11,FALSE),"")</f>
        <v/>
      </c>
      <c r="M2357" s="47" t="str">
        <f>IFERROR(VLOOKUP(G2357,WholesaleExtract!B:M,12,FALSE),"")</f>
        <v/>
      </c>
      <c r="R2357" s="19"/>
      <c r="S2357" s="19"/>
    </row>
    <row r="2358" spans="1:19" x14ac:dyDescent="0.35">
      <c r="A2358" s="26" t="s">
        <v>543</v>
      </c>
      <c r="B2358" s="26" t="s">
        <v>543</v>
      </c>
      <c r="C2358" s="26"/>
      <c r="D2358" s="26" t="s">
        <v>543</v>
      </c>
      <c r="E2358" s="26" t="str">
        <f>IFERROR(VLOOKUP(G2358,WholesaleExtract!B:J,9,FALSE),"")</f>
        <v/>
      </c>
      <c r="F2358" s="26" t="str">
        <f>IFERROR(VLOOKUP(G2358,WholesaleExtract!B:J,6,FALSE),"")</f>
        <v/>
      </c>
      <c r="H2358" s="47" t="str">
        <f>IFERROR(VLOOKUP(G2358,WholesaleExtract!B:L,11,FALSE),"")</f>
        <v/>
      </c>
      <c r="I2358" s="26" t="str">
        <f>IFERROR(VLOOKUP(G2358,WholesaleExtract!B:O,8,FALSE),"")</f>
        <v/>
      </c>
      <c r="J2358" s="26" t="str">
        <f>IFERROR(VLOOKUP(G2358,WholesaleExtract!B:O,14,FALSE),"")</f>
        <v/>
      </c>
      <c r="K2358" s="26" t="str">
        <f>IFERROR(VLOOKUP(G2358,WholesaleExtract!B:K,10,FALSE),"")</f>
        <v/>
      </c>
      <c r="L2358" s="47" t="str">
        <f>IFERROR(VLOOKUP(G2358,WholesaleExtract!B:L,11,FALSE),"")</f>
        <v/>
      </c>
      <c r="M2358" s="47" t="str">
        <f>IFERROR(VLOOKUP(G2358,WholesaleExtract!B:M,12,FALSE),"")</f>
        <v/>
      </c>
      <c r="R2358" s="19"/>
      <c r="S2358" s="19"/>
    </row>
    <row r="2359" spans="1:19" x14ac:dyDescent="0.35">
      <c r="A2359" s="26" t="s">
        <v>543</v>
      </c>
      <c r="B2359" s="26" t="s">
        <v>543</v>
      </c>
      <c r="C2359" s="26"/>
      <c r="D2359" s="26" t="s">
        <v>543</v>
      </c>
      <c r="E2359" s="26" t="str">
        <f>IFERROR(VLOOKUP(G2359,WholesaleExtract!B:J,9,FALSE),"")</f>
        <v/>
      </c>
      <c r="F2359" s="26" t="str">
        <f>IFERROR(VLOOKUP(G2359,WholesaleExtract!B:J,6,FALSE),"")</f>
        <v/>
      </c>
      <c r="H2359" s="47" t="str">
        <f>IFERROR(VLOOKUP(G2359,WholesaleExtract!B:L,11,FALSE),"")</f>
        <v/>
      </c>
      <c r="I2359" s="26" t="str">
        <f>IFERROR(VLOOKUP(G2359,WholesaleExtract!B:O,8,FALSE),"")</f>
        <v/>
      </c>
      <c r="J2359" s="26" t="str">
        <f>IFERROR(VLOOKUP(G2359,WholesaleExtract!B:O,14,FALSE),"")</f>
        <v/>
      </c>
      <c r="K2359" s="26" t="str">
        <f>IFERROR(VLOOKUP(G2359,WholesaleExtract!B:K,10,FALSE),"")</f>
        <v/>
      </c>
      <c r="L2359" s="47" t="str">
        <f>IFERROR(VLOOKUP(G2359,WholesaleExtract!B:L,11,FALSE),"")</f>
        <v/>
      </c>
      <c r="M2359" s="47" t="str">
        <f>IFERROR(VLOOKUP(G2359,WholesaleExtract!B:M,12,FALSE),"")</f>
        <v/>
      </c>
      <c r="R2359" s="19"/>
      <c r="S2359" s="19"/>
    </row>
    <row r="2360" spans="1:19" x14ac:dyDescent="0.35">
      <c r="A2360" s="26" t="s">
        <v>543</v>
      </c>
      <c r="B2360" s="26" t="s">
        <v>543</v>
      </c>
      <c r="C2360" s="26"/>
      <c r="D2360" s="26" t="s">
        <v>543</v>
      </c>
      <c r="E2360" s="26" t="str">
        <f>IFERROR(VLOOKUP(G2360,WholesaleExtract!B:J,9,FALSE),"")</f>
        <v/>
      </c>
      <c r="F2360" s="26" t="str">
        <f>IFERROR(VLOOKUP(G2360,WholesaleExtract!B:J,6,FALSE),"")</f>
        <v/>
      </c>
      <c r="H2360" s="47" t="str">
        <f>IFERROR(VLOOKUP(G2360,WholesaleExtract!B:L,11,FALSE),"")</f>
        <v/>
      </c>
      <c r="I2360" s="26" t="str">
        <f>IFERROR(VLOOKUP(G2360,WholesaleExtract!B:O,8,FALSE),"")</f>
        <v/>
      </c>
      <c r="J2360" s="26" t="str">
        <f>IFERROR(VLOOKUP(G2360,WholesaleExtract!B:O,14,FALSE),"")</f>
        <v/>
      </c>
      <c r="K2360" s="26" t="str">
        <f>IFERROR(VLOOKUP(G2360,WholesaleExtract!B:K,10,FALSE),"")</f>
        <v/>
      </c>
      <c r="L2360" s="47" t="str">
        <f>IFERROR(VLOOKUP(G2360,WholesaleExtract!B:L,11,FALSE),"")</f>
        <v/>
      </c>
      <c r="M2360" s="47" t="str">
        <f>IFERROR(VLOOKUP(G2360,WholesaleExtract!B:M,12,FALSE),"")</f>
        <v/>
      </c>
      <c r="R2360" s="19"/>
      <c r="S2360" s="19"/>
    </row>
    <row r="2361" spans="1:19" x14ac:dyDescent="0.35">
      <c r="A2361" s="26" t="s">
        <v>543</v>
      </c>
      <c r="B2361" s="26" t="s">
        <v>543</v>
      </c>
      <c r="C2361" s="26"/>
      <c r="D2361" s="26" t="s">
        <v>543</v>
      </c>
      <c r="E2361" s="26" t="str">
        <f>IFERROR(VLOOKUP(G2361,WholesaleExtract!B:J,9,FALSE),"")</f>
        <v/>
      </c>
      <c r="F2361" s="26" t="str">
        <f>IFERROR(VLOOKUP(G2361,WholesaleExtract!B:J,6,FALSE),"")</f>
        <v/>
      </c>
      <c r="H2361" s="47" t="str">
        <f>IFERROR(VLOOKUP(G2361,WholesaleExtract!B:L,11,FALSE),"")</f>
        <v/>
      </c>
      <c r="I2361" s="26" t="str">
        <f>IFERROR(VLOOKUP(G2361,WholesaleExtract!B:O,8,FALSE),"")</f>
        <v/>
      </c>
      <c r="J2361" s="26" t="str">
        <f>IFERROR(VLOOKUP(G2361,WholesaleExtract!B:O,14,FALSE),"")</f>
        <v/>
      </c>
      <c r="K2361" s="26" t="str">
        <f>IFERROR(VLOOKUP(G2361,WholesaleExtract!B:K,10,FALSE),"")</f>
        <v/>
      </c>
      <c r="L2361" s="47" t="str">
        <f>IFERROR(VLOOKUP(G2361,WholesaleExtract!B:L,11,FALSE),"")</f>
        <v/>
      </c>
      <c r="M2361" s="47" t="str">
        <f>IFERROR(VLOOKUP(G2361,WholesaleExtract!B:M,12,FALSE),"")</f>
        <v/>
      </c>
      <c r="R2361" s="19"/>
      <c r="S2361" s="19"/>
    </row>
    <row r="2362" spans="1:19" x14ac:dyDescent="0.35">
      <c r="A2362" s="26" t="s">
        <v>543</v>
      </c>
      <c r="B2362" s="26" t="s">
        <v>543</v>
      </c>
      <c r="C2362" s="26"/>
      <c r="D2362" s="26" t="s">
        <v>543</v>
      </c>
      <c r="E2362" s="26" t="str">
        <f>IFERROR(VLOOKUP(G2362,WholesaleExtract!B:J,9,FALSE),"")</f>
        <v/>
      </c>
      <c r="F2362" s="26" t="str">
        <f>IFERROR(VLOOKUP(G2362,WholesaleExtract!B:J,6,FALSE),"")</f>
        <v/>
      </c>
      <c r="H2362" s="47" t="str">
        <f>IFERROR(VLOOKUP(G2362,WholesaleExtract!B:L,11,FALSE),"")</f>
        <v/>
      </c>
      <c r="I2362" s="26" t="str">
        <f>IFERROR(VLOOKUP(G2362,WholesaleExtract!B:O,8,FALSE),"")</f>
        <v/>
      </c>
      <c r="J2362" s="26" t="str">
        <f>IFERROR(VLOOKUP(G2362,WholesaleExtract!B:O,14,FALSE),"")</f>
        <v/>
      </c>
      <c r="K2362" s="26" t="str">
        <f>IFERROR(VLOOKUP(G2362,WholesaleExtract!B:K,10,FALSE),"")</f>
        <v/>
      </c>
      <c r="L2362" s="47" t="str">
        <f>IFERROR(VLOOKUP(G2362,WholesaleExtract!B:L,11,FALSE),"")</f>
        <v/>
      </c>
      <c r="M2362" s="47" t="str">
        <f>IFERROR(VLOOKUP(G2362,WholesaleExtract!B:M,12,FALSE),"")</f>
        <v/>
      </c>
      <c r="R2362" s="19"/>
      <c r="S2362" s="19"/>
    </row>
    <row r="2363" spans="1:19" x14ac:dyDescent="0.35">
      <c r="A2363" s="26" t="s">
        <v>543</v>
      </c>
      <c r="B2363" s="26" t="s">
        <v>543</v>
      </c>
      <c r="C2363" s="26"/>
      <c r="D2363" s="26" t="s">
        <v>543</v>
      </c>
      <c r="E2363" s="26" t="str">
        <f>IFERROR(VLOOKUP(G2363,WholesaleExtract!B:J,9,FALSE),"")</f>
        <v/>
      </c>
      <c r="F2363" s="26" t="str">
        <f>IFERROR(VLOOKUP(G2363,WholesaleExtract!B:J,6,FALSE),"")</f>
        <v/>
      </c>
      <c r="H2363" s="47" t="str">
        <f>IFERROR(VLOOKUP(G2363,WholesaleExtract!B:L,11,FALSE),"")</f>
        <v/>
      </c>
      <c r="I2363" s="26" t="str">
        <f>IFERROR(VLOOKUP(G2363,WholesaleExtract!B:O,8,FALSE),"")</f>
        <v/>
      </c>
      <c r="J2363" s="26" t="str">
        <f>IFERROR(VLOOKUP(G2363,WholesaleExtract!B:O,14,FALSE),"")</f>
        <v/>
      </c>
      <c r="K2363" s="26" t="str">
        <f>IFERROR(VLOOKUP(G2363,WholesaleExtract!B:K,10,FALSE),"")</f>
        <v/>
      </c>
      <c r="L2363" s="47" t="str">
        <f>IFERROR(VLOOKUP(G2363,WholesaleExtract!B:L,11,FALSE),"")</f>
        <v/>
      </c>
      <c r="M2363" s="47" t="str">
        <f>IFERROR(VLOOKUP(G2363,WholesaleExtract!B:M,12,FALSE),"")</f>
        <v/>
      </c>
      <c r="R2363" s="19"/>
      <c r="S2363" s="19"/>
    </row>
    <row r="2364" spans="1:19" x14ac:dyDescent="0.35">
      <c r="A2364" s="26" t="s">
        <v>543</v>
      </c>
      <c r="B2364" s="26" t="s">
        <v>543</v>
      </c>
      <c r="C2364" s="26"/>
      <c r="D2364" s="26" t="s">
        <v>543</v>
      </c>
      <c r="E2364" s="26" t="str">
        <f>IFERROR(VLOOKUP(G2364,WholesaleExtract!B:J,9,FALSE),"")</f>
        <v/>
      </c>
      <c r="F2364" s="26" t="str">
        <f>IFERROR(VLOOKUP(G2364,WholesaleExtract!B:J,6,FALSE),"")</f>
        <v/>
      </c>
      <c r="H2364" s="47" t="str">
        <f>IFERROR(VLOOKUP(G2364,WholesaleExtract!B:L,11,FALSE),"")</f>
        <v/>
      </c>
      <c r="I2364" s="26" t="str">
        <f>IFERROR(VLOOKUP(G2364,WholesaleExtract!B:O,8,FALSE),"")</f>
        <v/>
      </c>
      <c r="J2364" s="26" t="str">
        <f>IFERROR(VLOOKUP(G2364,WholesaleExtract!B:O,14,FALSE),"")</f>
        <v/>
      </c>
      <c r="K2364" s="26" t="str">
        <f>IFERROR(VLOOKUP(G2364,WholesaleExtract!B:K,10,FALSE),"")</f>
        <v/>
      </c>
      <c r="L2364" s="47" t="str">
        <f>IFERROR(VLOOKUP(G2364,WholesaleExtract!B:L,11,FALSE),"")</f>
        <v/>
      </c>
      <c r="M2364" s="47" t="str">
        <f>IFERROR(VLOOKUP(G2364,WholesaleExtract!B:M,12,FALSE),"")</f>
        <v/>
      </c>
      <c r="R2364" s="19"/>
      <c r="S2364" s="19"/>
    </row>
    <row r="2365" spans="1:19" x14ac:dyDescent="0.35">
      <c r="A2365" s="26" t="s">
        <v>543</v>
      </c>
      <c r="B2365" s="26" t="s">
        <v>543</v>
      </c>
      <c r="C2365" s="26"/>
      <c r="D2365" s="26" t="s">
        <v>543</v>
      </c>
      <c r="E2365" s="26" t="str">
        <f>IFERROR(VLOOKUP(G2365,WholesaleExtract!B:J,9,FALSE),"")</f>
        <v/>
      </c>
      <c r="F2365" s="26" t="str">
        <f>IFERROR(VLOOKUP(G2365,WholesaleExtract!B:J,6,FALSE),"")</f>
        <v/>
      </c>
      <c r="H2365" s="47" t="str">
        <f>IFERROR(VLOOKUP(G2365,WholesaleExtract!B:L,11,FALSE),"")</f>
        <v/>
      </c>
      <c r="I2365" s="26" t="str">
        <f>IFERROR(VLOOKUP(G2365,WholesaleExtract!B:O,8,FALSE),"")</f>
        <v/>
      </c>
      <c r="J2365" s="26" t="str">
        <f>IFERROR(VLOOKUP(G2365,WholesaleExtract!B:O,14,FALSE),"")</f>
        <v/>
      </c>
      <c r="K2365" s="26" t="str">
        <f>IFERROR(VLOOKUP(G2365,WholesaleExtract!B:K,10,FALSE),"")</f>
        <v/>
      </c>
      <c r="L2365" s="47" t="str">
        <f>IFERROR(VLOOKUP(G2365,WholesaleExtract!B:L,11,FALSE),"")</f>
        <v/>
      </c>
      <c r="M2365" s="47" t="str">
        <f>IFERROR(VLOOKUP(G2365,WholesaleExtract!B:M,12,FALSE),"")</f>
        <v/>
      </c>
      <c r="R2365" s="19"/>
      <c r="S2365" s="19"/>
    </row>
    <row r="2366" spans="1:19" x14ac:dyDescent="0.35">
      <c r="A2366" s="26" t="s">
        <v>543</v>
      </c>
      <c r="B2366" s="26" t="s">
        <v>543</v>
      </c>
      <c r="C2366" s="26"/>
      <c r="D2366" s="26" t="s">
        <v>543</v>
      </c>
      <c r="E2366" s="26" t="str">
        <f>IFERROR(VLOOKUP(G2366,WholesaleExtract!B:J,9,FALSE),"")</f>
        <v/>
      </c>
      <c r="F2366" s="26" t="str">
        <f>IFERROR(VLOOKUP(G2366,WholesaleExtract!B:J,6,FALSE),"")</f>
        <v/>
      </c>
      <c r="H2366" s="47" t="str">
        <f>IFERROR(VLOOKUP(G2366,WholesaleExtract!B:L,11,FALSE),"")</f>
        <v/>
      </c>
      <c r="I2366" s="26" t="str">
        <f>IFERROR(VLOOKUP(G2366,WholesaleExtract!B:O,8,FALSE),"")</f>
        <v/>
      </c>
      <c r="J2366" s="26" t="str">
        <f>IFERROR(VLOOKUP(G2366,WholesaleExtract!B:O,14,FALSE),"")</f>
        <v/>
      </c>
      <c r="K2366" s="26" t="str">
        <f>IFERROR(VLOOKUP(G2366,WholesaleExtract!B:K,10,FALSE),"")</f>
        <v/>
      </c>
      <c r="L2366" s="47" t="str">
        <f>IFERROR(VLOOKUP(G2366,WholesaleExtract!B:L,11,FALSE),"")</f>
        <v/>
      </c>
      <c r="M2366" s="47" t="str">
        <f>IFERROR(VLOOKUP(G2366,WholesaleExtract!B:M,12,FALSE),"")</f>
        <v/>
      </c>
      <c r="R2366" s="19"/>
      <c r="S2366" s="19"/>
    </row>
    <row r="2367" spans="1:19" x14ac:dyDescent="0.35">
      <c r="A2367" s="26" t="s">
        <v>543</v>
      </c>
      <c r="B2367" s="26" t="s">
        <v>543</v>
      </c>
      <c r="C2367" s="26"/>
      <c r="D2367" s="26" t="s">
        <v>543</v>
      </c>
      <c r="E2367" s="26" t="str">
        <f>IFERROR(VLOOKUP(G2367,WholesaleExtract!B:J,9,FALSE),"")</f>
        <v/>
      </c>
      <c r="F2367" s="26" t="str">
        <f>IFERROR(VLOOKUP(G2367,WholesaleExtract!B:J,6,FALSE),"")</f>
        <v/>
      </c>
      <c r="H2367" s="47" t="str">
        <f>IFERROR(VLOOKUP(G2367,WholesaleExtract!B:L,11,FALSE),"")</f>
        <v/>
      </c>
      <c r="I2367" s="26" t="str">
        <f>IFERROR(VLOOKUP(G2367,WholesaleExtract!B:O,8,FALSE),"")</f>
        <v/>
      </c>
      <c r="J2367" s="26" t="str">
        <f>IFERROR(VLOOKUP(G2367,WholesaleExtract!B:O,14,FALSE),"")</f>
        <v/>
      </c>
      <c r="K2367" s="26" t="str">
        <f>IFERROR(VLOOKUP(G2367,WholesaleExtract!B:K,10,FALSE),"")</f>
        <v/>
      </c>
      <c r="L2367" s="47" t="str">
        <f>IFERROR(VLOOKUP(G2367,WholesaleExtract!B:L,11,FALSE),"")</f>
        <v/>
      </c>
      <c r="M2367" s="47" t="str">
        <f>IFERROR(VLOOKUP(G2367,WholesaleExtract!B:M,12,FALSE),"")</f>
        <v/>
      </c>
      <c r="R2367" s="19"/>
      <c r="S2367" s="19"/>
    </row>
    <row r="2368" spans="1:19" x14ac:dyDescent="0.35">
      <c r="A2368" s="26" t="s">
        <v>543</v>
      </c>
      <c r="B2368" s="26" t="s">
        <v>543</v>
      </c>
      <c r="C2368" s="26"/>
      <c r="D2368" s="26" t="s">
        <v>543</v>
      </c>
      <c r="E2368" s="26" t="str">
        <f>IFERROR(VLOOKUP(G2368,WholesaleExtract!B:J,9,FALSE),"")</f>
        <v/>
      </c>
      <c r="F2368" s="26" t="str">
        <f>IFERROR(VLOOKUP(G2368,WholesaleExtract!B:J,6,FALSE),"")</f>
        <v/>
      </c>
      <c r="H2368" s="47" t="str">
        <f>IFERROR(VLOOKUP(G2368,WholesaleExtract!B:L,11,FALSE),"")</f>
        <v/>
      </c>
      <c r="I2368" s="26" t="str">
        <f>IFERROR(VLOOKUP(G2368,WholesaleExtract!B:O,8,FALSE),"")</f>
        <v/>
      </c>
      <c r="J2368" s="26" t="str">
        <f>IFERROR(VLOOKUP(G2368,WholesaleExtract!B:O,14,FALSE),"")</f>
        <v/>
      </c>
      <c r="K2368" s="26" t="str">
        <f>IFERROR(VLOOKUP(G2368,WholesaleExtract!B:K,10,FALSE),"")</f>
        <v/>
      </c>
      <c r="L2368" s="47" t="str">
        <f>IFERROR(VLOOKUP(G2368,WholesaleExtract!B:L,11,FALSE),"")</f>
        <v/>
      </c>
      <c r="M2368" s="47" t="str">
        <f>IFERROR(VLOOKUP(G2368,WholesaleExtract!B:M,12,FALSE),"")</f>
        <v/>
      </c>
      <c r="R2368" s="19"/>
      <c r="S2368" s="19"/>
    </row>
    <row r="2369" spans="1:19" x14ac:dyDescent="0.35">
      <c r="A2369" s="26" t="s">
        <v>543</v>
      </c>
      <c r="B2369" s="26" t="s">
        <v>543</v>
      </c>
      <c r="C2369" s="26"/>
      <c r="D2369" s="26" t="s">
        <v>543</v>
      </c>
      <c r="E2369" s="26" t="str">
        <f>IFERROR(VLOOKUP(G2369,WholesaleExtract!B:J,9,FALSE),"")</f>
        <v/>
      </c>
      <c r="F2369" s="26" t="str">
        <f>IFERROR(VLOOKUP(G2369,WholesaleExtract!B:J,6,FALSE),"")</f>
        <v/>
      </c>
      <c r="H2369" s="47" t="str">
        <f>IFERROR(VLOOKUP(G2369,WholesaleExtract!B:L,11,FALSE),"")</f>
        <v/>
      </c>
      <c r="I2369" s="26" t="str">
        <f>IFERROR(VLOOKUP(G2369,WholesaleExtract!B:O,8,FALSE),"")</f>
        <v/>
      </c>
      <c r="J2369" s="26" t="str">
        <f>IFERROR(VLOOKUP(G2369,WholesaleExtract!B:O,14,FALSE),"")</f>
        <v/>
      </c>
      <c r="K2369" s="26" t="str">
        <f>IFERROR(VLOOKUP(G2369,WholesaleExtract!B:K,10,FALSE),"")</f>
        <v/>
      </c>
      <c r="L2369" s="47" t="str">
        <f>IFERROR(VLOOKUP(G2369,WholesaleExtract!B:L,11,FALSE),"")</f>
        <v/>
      </c>
      <c r="M2369" s="47" t="str">
        <f>IFERROR(VLOOKUP(G2369,WholesaleExtract!B:M,12,FALSE),"")</f>
        <v/>
      </c>
      <c r="R2369" s="19"/>
      <c r="S2369" s="19"/>
    </row>
    <row r="2370" spans="1:19" x14ac:dyDescent="0.35">
      <c r="A2370" s="26" t="s">
        <v>543</v>
      </c>
      <c r="B2370" s="26" t="s">
        <v>543</v>
      </c>
      <c r="C2370" s="26"/>
      <c r="D2370" s="26" t="s">
        <v>543</v>
      </c>
      <c r="E2370" s="26" t="str">
        <f>IFERROR(VLOOKUP(G2370,WholesaleExtract!B:J,9,FALSE),"")</f>
        <v/>
      </c>
      <c r="F2370" s="26" t="str">
        <f>IFERROR(VLOOKUP(G2370,WholesaleExtract!B:J,6,FALSE),"")</f>
        <v/>
      </c>
      <c r="H2370" s="47" t="str">
        <f>IFERROR(VLOOKUP(G2370,WholesaleExtract!B:L,11,FALSE),"")</f>
        <v/>
      </c>
      <c r="I2370" s="26" t="str">
        <f>IFERROR(VLOOKUP(G2370,WholesaleExtract!B:O,8,FALSE),"")</f>
        <v/>
      </c>
      <c r="J2370" s="26" t="str">
        <f>IFERROR(VLOOKUP(G2370,WholesaleExtract!B:O,14,FALSE),"")</f>
        <v/>
      </c>
      <c r="K2370" s="26" t="str">
        <f>IFERROR(VLOOKUP(G2370,WholesaleExtract!B:K,10,FALSE),"")</f>
        <v/>
      </c>
      <c r="L2370" s="47" t="str">
        <f>IFERROR(VLOOKUP(G2370,WholesaleExtract!B:L,11,FALSE),"")</f>
        <v/>
      </c>
      <c r="M2370" s="47" t="str">
        <f>IFERROR(VLOOKUP(G2370,WholesaleExtract!B:M,12,FALSE),"")</f>
        <v/>
      </c>
      <c r="R2370" s="19"/>
      <c r="S2370" s="19"/>
    </row>
    <row r="2371" spans="1:19" x14ac:dyDescent="0.35">
      <c r="A2371" s="26" t="s">
        <v>543</v>
      </c>
      <c r="B2371" s="26" t="s">
        <v>543</v>
      </c>
      <c r="C2371" s="26"/>
      <c r="D2371" s="26" t="s">
        <v>543</v>
      </c>
      <c r="E2371" s="26" t="str">
        <f>IFERROR(VLOOKUP(G2371,WholesaleExtract!B:J,9,FALSE),"")</f>
        <v/>
      </c>
      <c r="F2371" s="26" t="str">
        <f>IFERROR(VLOOKUP(G2371,WholesaleExtract!B:J,6,FALSE),"")</f>
        <v/>
      </c>
      <c r="H2371" s="47" t="str">
        <f>IFERROR(VLOOKUP(G2371,WholesaleExtract!B:L,11,FALSE),"")</f>
        <v/>
      </c>
      <c r="I2371" s="26" t="str">
        <f>IFERROR(VLOOKUP(G2371,WholesaleExtract!B:O,8,FALSE),"")</f>
        <v/>
      </c>
      <c r="J2371" s="26" t="str">
        <f>IFERROR(VLOOKUP(G2371,WholesaleExtract!B:O,14,FALSE),"")</f>
        <v/>
      </c>
      <c r="K2371" s="26" t="str">
        <f>IFERROR(VLOOKUP(G2371,WholesaleExtract!B:K,10,FALSE),"")</f>
        <v/>
      </c>
      <c r="L2371" s="47" t="str">
        <f>IFERROR(VLOOKUP(G2371,WholesaleExtract!B:L,11,FALSE),"")</f>
        <v/>
      </c>
      <c r="M2371" s="47" t="str">
        <f>IFERROR(VLOOKUP(G2371,WholesaleExtract!B:M,12,FALSE),"")</f>
        <v/>
      </c>
      <c r="R2371" s="19"/>
      <c r="S2371" s="19"/>
    </row>
    <row r="2372" spans="1:19" x14ac:dyDescent="0.35">
      <c r="A2372" s="26" t="s">
        <v>543</v>
      </c>
      <c r="B2372" s="26" t="s">
        <v>543</v>
      </c>
      <c r="C2372" s="26"/>
      <c r="D2372" s="26" t="s">
        <v>543</v>
      </c>
      <c r="E2372" s="26" t="str">
        <f>IFERROR(VLOOKUP(G2372,WholesaleExtract!B:J,9,FALSE),"")</f>
        <v/>
      </c>
      <c r="F2372" s="26" t="str">
        <f>IFERROR(VLOOKUP(G2372,WholesaleExtract!B:J,6,FALSE),"")</f>
        <v/>
      </c>
      <c r="H2372" s="47" t="str">
        <f>IFERROR(VLOOKUP(G2372,WholesaleExtract!B:L,11,FALSE),"")</f>
        <v/>
      </c>
      <c r="I2372" s="26" t="str">
        <f>IFERROR(VLOOKUP(G2372,WholesaleExtract!B:O,8,FALSE),"")</f>
        <v/>
      </c>
      <c r="J2372" s="26" t="str">
        <f>IFERROR(VLOOKUP(G2372,WholesaleExtract!B:O,14,FALSE),"")</f>
        <v/>
      </c>
      <c r="K2372" s="26" t="str">
        <f>IFERROR(VLOOKUP(G2372,WholesaleExtract!B:K,10,FALSE),"")</f>
        <v/>
      </c>
      <c r="L2372" s="47" t="str">
        <f>IFERROR(VLOOKUP(G2372,WholesaleExtract!B:L,11,FALSE),"")</f>
        <v/>
      </c>
      <c r="M2372" s="47" t="str">
        <f>IFERROR(VLOOKUP(G2372,WholesaleExtract!B:M,12,FALSE),"")</f>
        <v/>
      </c>
      <c r="R2372" s="19"/>
      <c r="S2372" s="19"/>
    </row>
    <row r="2373" spans="1:19" x14ac:dyDescent="0.35">
      <c r="A2373" s="26" t="s">
        <v>543</v>
      </c>
      <c r="B2373" s="26" t="s">
        <v>543</v>
      </c>
      <c r="C2373" s="26"/>
      <c r="D2373" s="26" t="s">
        <v>543</v>
      </c>
      <c r="E2373" s="26" t="str">
        <f>IFERROR(VLOOKUP(G2373,WholesaleExtract!B:J,9,FALSE),"")</f>
        <v/>
      </c>
      <c r="F2373" s="26" t="str">
        <f>IFERROR(VLOOKUP(G2373,WholesaleExtract!B:J,6,FALSE),"")</f>
        <v/>
      </c>
      <c r="H2373" s="47" t="str">
        <f>IFERROR(VLOOKUP(G2373,WholesaleExtract!B:L,11,FALSE),"")</f>
        <v/>
      </c>
      <c r="I2373" s="26" t="str">
        <f>IFERROR(VLOOKUP(G2373,WholesaleExtract!B:O,8,FALSE),"")</f>
        <v/>
      </c>
      <c r="J2373" s="26" t="str">
        <f>IFERROR(VLOOKUP(G2373,WholesaleExtract!B:O,14,FALSE),"")</f>
        <v/>
      </c>
      <c r="K2373" s="26" t="str">
        <f>IFERROR(VLOOKUP(G2373,WholesaleExtract!B:K,10,FALSE),"")</f>
        <v/>
      </c>
      <c r="L2373" s="47" t="str">
        <f>IFERROR(VLOOKUP(G2373,WholesaleExtract!B:L,11,FALSE),"")</f>
        <v/>
      </c>
      <c r="M2373" s="47" t="str">
        <f>IFERROR(VLOOKUP(G2373,WholesaleExtract!B:M,12,FALSE),"")</f>
        <v/>
      </c>
      <c r="R2373" s="19"/>
      <c r="S2373" s="19"/>
    </row>
    <row r="2374" spans="1:19" x14ac:dyDescent="0.35">
      <c r="A2374" s="26" t="s">
        <v>543</v>
      </c>
      <c r="B2374" s="26" t="s">
        <v>543</v>
      </c>
      <c r="C2374" s="26"/>
      <c r="D2374" s="26" t="s">
        <v>543</v>
      </c>
      <c r="E2374" s="26" t="str">
        <f>IFERROR(VLOOKUP(G2374,WholesaleExtract!B:J,9,FALSE),"")</f>
        <v/>
      </c>
      <c r="F2374" s="26" t="str">
        <f>IFERROR(VLOOKUP(G2374,WholesaleExtract!B:J,6,FALSE),"")</f>
        <v/>
      </c>
      <c r="H2374" s="47" t="str">
        <f>IFERROR(VLOOKUP(G2374,WholesaleExtract!B:L,11,FALSE),"")</f>
        <v/>
      </c>
      <c r="I2374" s="26" t="str">
        <f>IFERROR(VLOOKUP(G2374,WholesaleExtract!B:O,8,FALSE),"")</f>
        <v/>
      </c>
      <c r="J2374" s="26" t="str">
        <f>IFERROR(VLOOKUP(G2374,WholesaleExtract!B:O,14,FALSE),"")</f>
        <v/>
      </c>
      <c r="K2374" s="26" t="str">
        <f>IFERROR(VLOOKUP(G2374,WholesaleExtract!B:K,10,FALSE),"")</f>
        <v/>
      </c>
      <c r="L2374" s="47" t="str">
        <f>IFERROR(VLOOKUP(G2374,WholesaleExtract!B:L,11,FALSE),"")</f>
        <v/>
      </c>
      <c r="M2374" s="47" t="str">
        <f>IFERROR(VLOOKUP(G2374,WholesaleExtract!B:M,12,FALSE),"")</f>
        <v/>
      </c>
      <c r="R2374" s="19"/>
      <c r="S2374" s="19"/>
    </row>
    <row r="2375" spans="1:19" x14ac:dyDescent="0.35">
      <c r="A2375" s="26" t="s">
        <v>543</v>
      </c>
      <c r="B2375" s="26" t="s">
        <v>543</v>
      </c>
      <c r="C2375" s="26"/>
      <c r="D2375" s="26" t="s">
        <v>543</v>
      </c>
      <c r="E2375" s="26" t="str">
        <f>IFERROR(VLOOKUP(G2375,WholesaleExtract!B:J,9,FALSE),"")</f>
        <v/>
      </c>
      <c r="F2375" s="26" t="str">
        <f>IFERROR(VLOOKUP(G2375,WholesaleExtract!B:J,6,FALSE),"")</f>
        <v/>
      </c>
      <c r="H2375" s="47" t="str">
        <f>IFERROR(VLOOKUP(G2375,WholesaleExtract!B:L,11,FALSE),"")</f>
        <v/>
      </c>
      <c r="I2375" s="26" t="str">
        <f>IFERROR(VLOOKUP(G2375,WholesaleExtract!B:O,8,FALSE),"")</f>
        <v/>
      </c>
      <c r="J2375" s="26" t="str">
        <f>IFERROR(VLOOKUP(G2375,WholesaleExtract!B:O,14,FALSE),"")</f>
        <v/>
      </c>
      <c r="K2375" s="26" t="str">
        <f>IFERROR(VLOOKUP(G2375,WholesaleExtract!B:K,10,FALSE),"")</f>
        <v/>
      </c>
      <c r="L2375" s="47" t="str">
        <f>IFERROR(VLOOKUP(G2375,WholesaleExtract!B:L,11,FALSE),"")</f>
        <v/>
      </c>
      <c r="M2375" s="47" t="str">
        <f>IFERROR(VLOOKUP(G2375,WholesaleExtract!B:M,12,FALSE),"")</f>
        <v/>
      </c>
      <c r="R2375" s="19"/>
      <c r="S2375" s="19"/>
    </row>
    <row r="2376" spans="1:19" x14ac:dyDescent="0.35">
      <c r="A2376" s="26" t="s">
        <v>543</v>
      </c>
      <c r="B2376" s="26" t="s">
        <v>543</v>
      </c>
      <c r="C2376" s="26"/>
      <c r="D2376" s="26" t="s">
        <v>543</v>
      </c>
      <c r="E2376" s="26" t="str">
        <f>IFERROR(VLOOKUP(G2376,WholesaleExtract!B:J,9,FALSE),"")</f>
        <v/>
      </c>
      <c r="F2376" s="26" t="str">
        <f>IFERROR(VLOOKUP(G2376,WholesaleExtract!B:J,6,FALSE),"")</f>
        <v/>
      </c>
      <c r="H2376" s="47" t="str">
        <f>IFERROR(VLOOKUP(G2376,WholesaleExtract!B:L,11,FALSE),"")</f>
        <v/>
      </c>
      <c r="I2376" s="26" t="str">
        <f>IFERROR(VLOOKUP(G2376,WholesaleExtract!B:O,8,FALSE),"")</f>
        <v/>
      </c>
      <c r="J2376" s="26" t="str">
        <f>IFERROR(VLOOKUP(G2376,WholesaleExtract!B:O,14,FALSE),"")</f>
        <v/>
      </c>
      <c r="K2376" s="26" t="str">
        <f>IFERROR(VLOOKUP(G2376,WholesaleExtract!B:K,10,FALSE),"")</f>
        <v/>
      </c>
      <c r="L2376" s="47" t="str">
        <f>IFERROR(VLOOKUP(G2376,WholesaleExtract!B:L,11,FALSE),"")</f>
        <v/>
      </c>
      <c r="M2376" s="47" t="str">
        <f>IFERROR(VLOOKUP(G2376,WholesaleExtract!B:M,12,FALSE),"")</f>
        <v/>
      </c>
      <c r="R2376" s="19"/>
      <c r="S2376" s="19"/>
    </row>
    <row r="2377" spans="1:19" x14ac:dyDescent="0.35">
      <c r="A2377" s="26" t="s">
        <v>543</v>
      </c>
      <c r="B2377" s="26" t="s">
        <v>543</v>
      </c>
      <c r="C2377" s="26"/>
      <c r="D2377" s="26" t="s">
        <v>543</v>
      </c>
      <c r="E2377" s="26" t="str">
        <f>IFERROR(VLOOKUP(G2377,WholesaleExtract!B:J,9,FALSE),"")</f>
        <v/>
      </c>
      <c r="F2377" s="26" t="str">
        <f>IFERROR(VLOOKUP(G2377,WholesaleExtract!B:J,6,FALSE),"")</f>
        <v/>
      </c>
      <c r="H2377" s="47" t="str">
        <f>IFERROR(VLOOKUP(G2377,WholesaleExtract!B:L,11,FALSE),"")</f>
        <v/>
      </c>
      <c r="I2377" s="26" t="str">
        <f>IFERROR(VLOOKUP(G2377,WholesaleExtract!B:O,8,FALSE),"")</f>
        <v/>
      </c>
      <c r="J2377" s="26" t="str">
        <f>IFERROR(VLOOKUP(G2377,WholesaleExtract!B:O,14,FALSE),"")</f>
        <v/>
      </c>
      <c r="K2377" s="26" t="str">
        <f>IFERROR(VLOOKUP(G2377,WholesaleExtract!B:K,10,FALSE),"")</f>
        <v/>
      </c>
      <c r="L2377" s="47" t="str">
        <f>IFERROR(VLOOKUP(G2377,WholesaleExtract!B:L,11,FALSE),"")</f>
        <v/>
      </c>
      <c r="M2377" s="47" t="str">
        <f>IFERROR(VLOOKUP(G2377,WholesaleExtract!B:M,12,FALSE),"")</f>
        <v/>
      </c>
      <c r="R2377" s="19"/>
      <c r="S2377" s="19"/>
    </row>
    <row r="2378" spans="1:19" x14ac:dyDescent="0.35">
      <c r="A2378" s="26" t="s">
        <v>543</v>
      </c>
      <c r="B2378" s="26" t="s">
        <v>543</v>
      </c>
      <c r="C2378" s="26"/>
      <c r="D2378" s="26" t="s">
        <v>543</v>
      </c>
      <c r="E2378" s="26" t="str">
        <f>IFERROR(VLOOKUP(G2378,WholesaleExtract!B:J,9,FALSE),"")</f>
        <v/>
      </c>
      <c r="F2378" s="26" t="str">
        <f>IFERROR(VLOOKUP(G2378,WholesaleExtract!B:J,6,FALSE),"")</f>
        <v/>
      </c>
      <c r="H2378" s="47" t="str">
        <f>IFERROR(VLOOKUP(G2378,WholesaleExtract!B:L,11,FALSE),"")</f>
        <v/>
      </c>
      <c r="I2378" s="26" t="str">
        <f>IFERROR(VLOOKUP(G2378,WholesaleExtract!B:O,8,FALSE),"")</f>
        <v/>
      </c>
      <c r="J2378" s="26" t="str">
        <f>IFERROR(VLOOKUP(G2378,WholesaleExtract!B:O,14,FALSE),"")</f>
        <v/>
      </c>
      <c r="K2378" s="26" t="str">
        <f>IFERROR(VLOOKUP(G2378,WholesaleExtract!B:K,10,FALSE),"")</f>
        <v/>
      </c>
      <c r="L2378" s="47" t="str">
        <f>IFERROR(VLOOKUP(G2378,WholesaleExtract!B:L,11,FALSE),"")</f>
        <v/>
      </c>
      <c r="M2378" s="47" t="str">
        <f>IFERROR(VLOOKUP(G2378,WholesaleExtract!B:M,12,FALSE),"")</f>
        <v/>
      </c>
      <c r="R2378" s="19"/>
      <c r="S2378" s="19"/>
    </row>
    <row r="2379" spans="1:19" x14ac:dyDescent="0.35">
      <c r="A2379" s="26" t="s">
        <v>543</v>
      </c>
      <c r="B2379" s="26" t="s">
        <v>543</v>
      </c>
      <c r="C2379" s="26"/>
      <c r="D2379" s="26" t="s">
        <v>543</v>
      </c>
      <c r="E2379" s="26" t="str">
        <f>IFERROR(VLOOKUP(G2379,WholesaleExtract!B:J,9,FALSE),"")</f>
        <v/>
      </c>
      <c r="F2379" s="26" t="str">
        <f>IFERROR(VLOOKUP(G2379,WholesaleExtract!B:J,6,FALSE),"")</f>
        <v/>
      </c>
      <c r="H2379" s="47" t="str">
        <f>IFERROR(VLOOKUP(G2379,WholesaleExtract!B:L,11,FALSE),"")</f>
        <v/>
      </c>
      <c r="I2379" s="26" t="str">
        <f>IFERROR(VLOOKUP(G2379,WholesaleExtract!B:O,8,FALSE),"")</f>
        <v/>
      </c>
      <c r="J2379" s="26" t="str">
        <f>IFERROR(VLOOKUP(G2379,WholesaleExtract!B:O,14,FALSE),"")</f>
        <v/>
      </c>
      <c r="K2379" s="26" t="str">
        <f>IFERROR(VLOOKUP(G2379,WholesaleExtract!B:K,10,FALSE),"")</f>
        <v/>
      </c>
      <c r="L2379" s="47" t="str">
        <f>IFERROR(VLOOKUP(G2379,WholesaleExtract!B:L,11,FALSE),"")</f>
        <v/>
      </c>
      <c r="M2379" s="47" t="str">
        <f>IFERROR(VLOOKUP(G2379,WholesaleExtract!B:M,12,FALSE),"")</f>
        <v/>
      </c>
      <c r="R2379" s="19"/>
      <c r="S2379" s="19"/>
    </row>
    <row r="2380" spans="1:19" x14ac:dyDescent="0.35">
      <c r="A2380" s="26" t="s">
        <v>543</v>
      </c>
      <c r="B2380" s="26" t="s">
        <v>543</v>
      </c>
      <c r="C2380" s="26"/>
      <c r="D2380" s="26" t="s">
        <v>543</v>
      </c>
      <c r="E2380" s="26" t="str">
        <f>IFERROR(VLOOKUP(G2380,WholesaleExtract!B:J,9,FALSE),"")</f>
        <v/>
      </c>
      <c r="F2380" s="26" t="str">
        <f>IFERROR(VLOOKUP(G2380,WholesaleExtract!B:J,6,FALSE),"")</f>
        <v/>
      </c>
      <c r="H2380" s="47" t="str">
        <f>IFERROR(VLOOKUP(G2380,WholesaleExtract!B:L,11,FALSE),"")</f>
        <v/>
      </c>
      <c r="I2380" s="26" t="str">
        <f>IFERROR(VLOOKUP(G2380,WholesaleExtract!B:O,8,FALSE),"")</f>
        <v/>
      </c>
      <c r="J2380" s="26" t="str">
        <f>IFERROR(VLOOKUP(G2380,WholesaleExtract!B:O,14,FALSE),"")</f>
        <v/>
      </c>
      <c r="K2380" s="26" t="str">
        <f>IFERROR(VLOOKUP(G2380,WholesaleExtract!B:K,10,FALSE),"")</f>
        <v/>
      </c>
      <c r="L2380" s="47" t="str">
        <f>IFERROR(VLOOKUP(G2380,WholesaleExtract!B:L,11,FALSE),"")</f>
        <v/>
      </c>
      <c r="M2380" s="47" t="str">
        <f>IFERROR(VLOOKUP(G2380,WholesaleExtract!B:M,12,FALSE),"")</f>
        <v/>
      </c>
      <c r="R2380" s="19"/>
      <c r="S2380" s="19"/>
    </row>
    <row r="2381" spans="1:19" x14ac:dyDescent="0.35">
      <c r="A2381" s="26" t="s">
        <v>543</v>
      </c>
      <c r="B2381" s="26" t="s">
        <v>543</v>
      </c>
      <c r="C2381" s="26"/>
      <c r="D2381" s="26" t="s">
        <v>543</v>
      </c>
      <c r="E2381" s="26" t="str">
        <f>IFERROR(VLOOKUP(G2381,WholesaleExtract!B:J,9,FALSE),"")</f>
        <v/>
      </c>
      <c r="F2381" s="26" t="str">
        <f>IFERROR(VLOOKUP(G2381,WholesaleExtract!B:J,6,FALSE),"")</f>
        <v/>
      </c>
      <c r="H2381" s="47" t="str">
        <f>IFERROR(VLOOKUP(G2381,WholesaleExtract!B:L,11,FALSE),"")</f>
        <v/>
      </c>
      <c r="I2381" s="26" t="str">
        <f>IFERROR(VLOOKUP(G2381,WholesaleExtract!B:O,8,FALSE),"")</f>
        <v/>
      </c>
      <c r="J2381" s="26" t="str">
        <f>IFERROR(VLOOKUP(G2381,WholesaleExtract!B:O,14,FALSE),"")</f>
        <v/>
      </c>
      <c r="K2381" s="26" t="str">
        <f>IFERROR(VLOOKUP(G2381,WholesaleExtract!B:K,10,FALSE),"")</f>
        <v/>
      </c>
      <c r="L2381" s="47" t="str">
        <f>IFERROR(VLOOKUP(G2381,WholesaleExtract!B:L,11,FALSE),"")</f>
        <v/>
      </c>
      <c r="M2381" s="47" t="str">
        <f>IFERROR(VLOOKUP(G2381,WholesaleExtract!B:M,12,FALSE),"")</f>
        <v/>
      </c>
      <c r="R2381" s="19"/>
      <c r="S2381" s="19"/>
    </row>
    <row r="2382" spans="1:19" x14ac:dyDescent="0.35">
      <c r="A2382" s="26" t="s">
        <v>543</v>
      </c>
      <c r="B2382" s="26" t="s">
        <v>543</v>
      </c>
      <c r="C2382" s="26"/>
      <c r="D2382" s="26" t="s">
        <v>543</v>
      </c>
      <c r="E2382" s="26" t="str">
        <f>IFERROR(VLOOKUP(G2382,WholesaleExtract!B:J,9,FALSE),"")</f>
        <v/>
      </c>
      <c r="F2382" s="26" t="str">
        <f>IFERROR(VLOOKUP(G2382,WholesaleExtract!B:J,6,FALSE),"")</f>
        <v/>
      </c>
      <c r="H2382" s="47" t="str">
        <f>IFERROR(VLOOKUP(G2382,WholesaleExtract!B:L,11,FALSE),"")</f>
        <v/>
      </c>
      <c r="I2382" s="26" t="str">
        <f>IFERROR(VLOOKUP(G2382,WholesaleExtract!B:O,8,FALSE),"")</f>
        <v/>
      </c>
      <c r="J2382" s="26" t="str">
        <f>IFERROR(VLOOKUP(G2382,WholesaleExtract!B:O,14,FALSE),"")</f>
        <v/>
      </c>
      <c r="K2382" s="26" t="str">
        <f>IFERROR(VLOOKUP(G2382,WholesaleExtract!B:K,10,FALSE),"")</f>
        <v/>
      </c>
      <c r="L2382" s="47" t="str">
        <f>IFERROR(VLOOKUP(G2382,WholesaleExtract!B:L,11,FALSE),"")</f>
        <v/>
      </c>
      <c r="M2382" s="47" t="str">
        <f>IFERROR(VLOOKUP(G2382,WholesaleExtract!B:M,12,FALSE),"")</f>
        <v/>
      </c>
      <c r="R2382" s="19"/>
      <c r="S2382" s="19"/>
    </row>
    <row r="2383" spans="1:19" x14ac:dyDescent="0.35">
      <c r="A2383" s="26" t="s">
        <v>543</v>
      </c>
      <c r="B2383" s="26" t="s">
        <v>543</v>
      </c>
      <c r="C2383" s="26"/>
      <c r="D2383" s="26" t="s">
        <v>543</v>
      </c>
      <c r="E2383" s="26" t="str">
        <f>IFERROR(VLOOKUP(G2383,WholesaleExtract!B:J,9,FALSE),"")</f>
        <v/>
      </c>
      <c r="F2383" s="26" t="str">
        <f>IFERROR(VLOOKUP(G2383,WholesaleExtract!B:J,6,FALSE),"")</f>
        <v/>
      </c>
      <c r="H2383" s="47" t="str">
        <f>IFERROR(VLOOKUP(G2383,WholesaleExtract!B:L,11,FALSE),"")</f>
        <v/>
      </c>
      <c r="I2383" s="26" t="str">
        <f>IFERROR(VLOOKUP(G2383,WholesaleExtract!B:O,8,FALSE),"")</f>
        <v/>
      </c>
      <c r="J2383" s="26" t="str">
        <f>IFERROR(VLOOKUP(G2383,WholesaleExtract!B:O,14,FALSE),"")</f>
        <v/>
      </c>
      <c r="K2383" s="26" t="str">
        <f>IFERROR(VLOOKUP(G2383,WholesaleExtract!B:K,10,FALSE),"")</f>
        <v/>
      </c>
      <c r="L2383" s="47" t="str">
        <f>IFERROR(VLOOKUP(G2383,WholesaleExtract!B:L,11,FALSE),"")</f>
        <v/>
      </c>
      <c r="M2383" s="47" t="str">
        <f>IFERROR(VLOOKUP(G2383,WholesaleExtract!B:M,12,FALSE),"")</f>
        <v/>
      </c>
      <c r="R2383" s="19"/>
      <c r="S2383" s="19"/>
    </row>
    <row r="2384" spans="1:19" x14ac:dyDescent="0.35">
      <c r="A2384" s="26" t="s">
        <v>543</v>
      </c>
      <c r="B2384" s="26" t="s">
        <v>543</v>
      </c>
      <c r="C2384" s="26"/>
      <c r="D2384" s="26" t="s">
        <v>543</v>
      </c>
      <c r="E2384" s="26" t="str">
        <f>IFERROR(VLOOKUP(G2384,WholesaleExtract!B:J,9,FALSE),"")</f>
        <v/>
      </c>
      <c r="F2384" s="26" t="str">
        <f>IFERROR(VLOOKUP(G2384,WholesaleExtract!B:J,6,FALSE),"")</f>
        <v/>
      </c>
      <c r="H2384" s="47" t="str">
        <f>IFERROR(VLOOKUP(G2384,WholesaleExtract!B:L,11,FALSE),"")</f>
        <v/>
      </c>
      <c r="I2384" s="26" t="str">
        <f>IFERROR(VLOOKUP(G2384,WholesaleExtract!B:O,8,FALSE),"")</f>
        <v/>
      </c>
      <c r="J2384" s="26" t="str">
        <f>IFERROR(VLOOKUP(G2384,WholesaleExtract!B:O,14,FALSE),"")</f>
        <v/>
      </c>
      <c r="K2384" s="26" t="str">
        <f>IFERROR(VLOOKUP(G2384,WholesaleExtract!B:K,10,FALSE),"")</f>
        <v/>
      </c>
      <c r="L2384" s="47" t="str">
        <f>IFERROR(VLOOKUP(G2384,WholesaleExtract!B:L,11,FALSE),"")</f>
        <v/>
      </c>
      <c r="M2384" s="47" t="str">
        <f>IFERROR(VLOOKUP(G2384,WholesaleExtract!B:M,12,FALSE),"")</f>
        <v/>
      </c>
      <c r="R2384" s="19"/>
      <c r="S2384" s="19"/>
    </row>
    <row r="2385" spans="1:19" x14ac:dyDescent="0.35">
      <c r="A2385" s="26" t="s">
        <v>543</v>
      </c>
      <c r="B2385" s="26" t="s">
        <v>543</v>
      </c>
      <c r="C2385" s="26"/>
      <c r="D2385" s="26" t="s">
        <v>543</v>
      </c>
      <c r="E2385" s="26" t="str">
        <f>IFERROR(VLOOKUP(G2385,WholesaleExtract!B:J,9,FALSE),"")</f>
        <v/>
      </c>
      <c r="F2385" s="26" t="str">
        <f>IFERROR(VLOOKUP(G2385,WholesaleExtract!B:J,6,FALSE),"")</f>
        <v/>
      </c>
      <c r="H2385" s="47" t="str">
        <f>IFERROR(VLOOKUP(G2385,WholesaleExtract!B:L,11,FALSE),"")</f>
        <v/>
      </c>
      <c r="I2385" s="26" t="str">
        <f>IFERROR(VLOOKUP(G2385,WholesaleExtract!B:O,8,FALSE),"")</f>
        <v/>
      </c>
      <c r="J2385" s="26" t="str">
        <f>IFERROR(VLOOKUP(G2385,WholesaleExtract!B:O,14,FALSE),"")</f>
        <v/>
      </c>
      <c r="K2385" s="26" t="str">
        <f>IFERROR(VLOOKUP(G2385,WholesaleExtract!B:K,10,FALSE),"")</f>
        <v/>
      </c>
      <c r="L2385" s="47" t="str">
        <f>IFERROR(VLOOKUP(G2385,WholesaleExtract!B:L,11,FALSE),"")</f>
        <v/>
      </c>
      <c r="M2385" s="47" t="str">
        <f>IFERROR(VLOOKUP(G2385,WholesaleExtract!B:M,12,FALSE),"")</f>
        <v/>
      </c>
      <c r="R2385" s="19"/>
      <c r="S2385" s="19"/>
    </row>
    <row r="2386" spans="1:19" x14ac:dyDescent="0.35">
      <c r="A2386" s="26" t="s">
        <v>543</v>
      </c>
      <c r="B2386" s="26" t="s">
        <v>543</v>
      </c>
      <c r="C2386" s="26"/>
      <c r="D2386" s="26" t="s">
        <v>543</v>
      </c>
      <c r="E2386" s="26" t="str">
        <f>IFERROR(VLOOKUP(G2386,WholesaleExtract!B:J,9,FALSE),"")</f>
        <v/>
      </c>
      <c r="F2386" s="26" t="str">
        <f>IFERROR(VLOOKUP(G2386,WholesaleExtract!B:J,6,FALSE),"")</f>
        <v/>
      </c>
      <c r="H2386" s="47" t="str">
        <f>IFERROR(VLOOKUP(G2386,WholesaleExtract!B:L,11,FALSE),"")</f>
        <v/>
      </c>
      <c r="I2386" s="26" t="str">
        <f>IFERROR(VLOOKUP(G2386,WholesaleExtract!B:O,8,FALSE),"")</f>
        <v/>
      </c>
      <c r="J2386" s="26" t="str">
        <f>IFERROR(VLOOKUP(G2386,WholesaleExtract!B:O,14,FALSE),"")</f>
        <v/>
      </c>
      <c r="K2386" s="26" t="str">
        <f>IFERROR(VLOOKUP(G2386,WholesaleExtract!B:K,10,FALSE),"")</f>
        <v/>
      </c>
      <c r="L2386" s="47" t="str">
        <f>IFERROR(VLOOKUP(G2386,WholesaleExtract!B:L,11,FALSE),"")</f>
        <v/>
      </c>
      <c r="M2386" s="47" t="str">
        <f>IFERROR(VLOOKUP(G2386,WholesaleExtract!B:M,12,FALSE),"")</f>
        <v/>
      </c>
      <c r="R2386" s="19"/>
      <c r="S2386" s="19"/>
    </row>
    <row r="2387" spans="1:19" x14ac:dyDescent="0.35">
      <c r="A2387" s="26" t="s">
        <v>543</v>
      </c>
      <c r="B2387" s="26" t="s">
        <v>543</v>
      </c>
      <c r="C2387" s="26"/>
      <c r="D2387" s="26" t="s">
        <v>543</v>
      </c>
      <c r="E2387" s="26" t="str">
        <f>IFERROR(VLOOKUP(G2387,WholesaleExtract!B:J,9,FALSE),"")</f>
        <v/>
      </c>
      <c r="F2387" s="26" t="str">
        <f>IFERROR(VLOOKUP(G2387,WholesaleExtract!B:J,6,FALSE),"")</f>
        <v/>
      </c>
      <c r="H2387" s="47" t="str">
        <f>IFERROR(VLOOKUP(G2387,WholesaleExtract!B:L,11,FALSE),"")</f>
        <v/>
      </c>
      <c r="I2387" s="26" t="str">
        <f>IFERROR(VLOOKUP(G2387,WholesaleExtract!B:O,8,FALSE),"")</f>
        <v/>
      </c>
      <c r="J2387" s="26" t="str">
        <f>IFERROR(VLOOKUP(G2387,WholesaleExtract!B:O,14,FALSE),"")</f>
        <v/>
      </c>
      <c r="K2387" s="26" t="str">
        <f>IFERROR(VLOOKUP(G2387,WholesaleExtract!B:K,10,FALSE),"")</f>
        <v/>
      </c>
      <c r="L2387" s="47" t="str">
        <f>IFERROR(VLOOKUP(G2387,WholesaleExtract!B:L,11,FALSE),"")</f>
        <v/>
      </c>
      <c r="M2387" s="47" t="str">
        <f>IFERROR(VLOOKUP(G2387,WholesaleExtract!B:M,12,FALSE),"")</f>
        <v/>
      </c>
      <c r="R2387" s="19"/>
      <c r="S2387" s="19"/>
    </row>
    <row r="2388" spans="1:19" x14ac:dyDescent="0.35">
      <c r="A2388" s="26" t="s">
        <v>543</v>
      </c>
      <c r="B2388" s="26" t="s">
        <v>543</v>
      </c>
      <c r="C2388" s="26"/>
      <c r="D2388" s="26" t="s">
        <v>543</v>
      </c>
      <c r="E2388" s="26" t="str">
        <f>IFERROR(VLOOKUP(G2388,WholesaleExtract!B:J,9,FALSE),"")</f>
        <v/>
      </c>
      <c r="F2388" s="26" t="str">
        <f>IFERROR(VLOOKUP(G2388,WholesaleExtract!B:J,6,FALSE),"")</f>
        <v/>
      </c>
      <c r="H2388" s="47" t="str">
        <f>IFERROR(VLOOKUP(G2388,WholesaleExtract!B:L,11,FALSE),"")</f>
        <v/>
      </c>
      <c r="I2388" s="26" t="str">
        <f>IFERROR(VLOOKUP(G2388,WholesaleExtract!B:O,8,FALSE),"")</f>
        <v/>
      </c>
      <c r="J2388" s="26" t="str">
        <f>IFERROR(VLOOKUP(G2388,WholesaleExtract!B:O,14,FALSE),"")</f>
        <v/>
      </c>
      <c r="K2388" s="26" t="str">
        <f>IFERROR(VLOOKUP(G2388,WholesaleExtract!B:K,10,FALSE),"")</f>
        <v/>
      </c>
      <c r="L2388" s="47" t="str">
        <f>IFERROR(VLOOKUP(G2388,WholesaleExtract!B:L,11,FALSE),"")</f>
        <v/>
      </c>
      <c r="M2388" s="47" t="str">
        <f>IFERROR(VLOOKUP(G2388,WholesaleExtract!B:M,12,FALSE),"")</f>
        <v/>
      </c>
      <c r="R2388" s="19"/>
      <c r="S2388" s="19"/>
    </row>
    <row r="2389" spans="1:19" x14ac:dyDescent="0.35">
      <c r="A2389" s="26" t="s">
        <v>543</v>
      </c>
      <c r="B2389" s="26" t="s">
        <v>543</v>
      </c>
      <c r="C2389" s="26"/>
      <c r="D2389" s="26" t="s">
        <v>543</v>
      </c>
      <c r="E2389" s="26" t="str">
        <f>IFERROR(VLOOKUP(G2389,WholesaleExtract!B:J,9,FALSE),"")</f>
        <v/>
      </c>
      <c r="F2389" s="26" t="str">
        <f>IFERROR(VLOOKUP(G2389,WholesaleExtract!B:J,6,FALSE),"")</f>
        <v/>
      </c>
      <c r="H2389" s="47" t="str">
        <f>IFERROR(VLOOKUP(G2389,WholesaleExtract!B:L,11,FALSE),"")</f>
        <v/>
      </c>
      <c r="I2389" s="26" t="str">
        <f>IFERROR(VLOOKUP(G2389,WholesaleExtract!B:O,8,FALSE),"")</f>
        <v/>
      </c>
      <c r="J2389" s="26" t="str">
        <f>IFERROR(VLOOKUP(G2389,WholesaleExtract!B:O,14,FALSE),"")</f>
        <v/>
      </c>
      <c r="K2389" s="26" t="str">
        <f>IFERROR(VLOOKUP(G2389,WholesaleExtract!B:K,10,FALSE),"")</f>
        <v/>
      </c>
      <c r="L2389" s="47" t="str">
        <f>IFERROR(VLOOKUP(G2389,WholesaleExtract!B:L,11,FALSE),"")</f>
        <v/>
      </c>
      <c r="M2389" s="47" t="str">
        <f>IFERROR(VLOOKUP(G2389,WholesaleExtract!B:M,12,FALSE),"")</f>
        <v/>
      </c>
      <c r="R2389" s="19"/>
      <c r="S2389" s="19"/>
    </row>
    <row r="2390" spans="1:19" x14ac:dyDescent="0.35">
      <c r="A2390" s="26" t="s">
        <v>543</v>
      </c>
      <c r="B2390" s="26" t="s">
        <v>543</v>
      </c>
      <c r="C2390" s="26"/>
      <c r="D2390" s="26" t="s">
        <v>543</v>
      </c>
      <c r="E2390" s="26" t="str">
        <f>IFERROR(VLOOKUP(G2390,WholesaleExtract!B:J,9,FALSE),"")</f>
        <v/>
      </c>
      <c r="F2390" s="26" t="str">
        <f>IFERROR(VLOOKUP(G2390,WholesaleExtract!B:J,6,FALSE),"")</f>
        <v/>
      </c>
      <c r="H2390" s="47" t="str">
        <f>IFERROR(VLOOKUP(G2390,WholesaleExtract!B:L,11,FALSE),"")</f>
        <v/>
      </c>
      <c r="I2390" s="26" t="str">
        <f>IFERROR(VLOOKUP(G2390,WholesaleExtract!B:O,8,FALSE),"")</f>
        <v/>
      </c>
      <c r="J2390" s="26" t="str">
        <f>IFERROR(VLOOKUP(G2390,WholesaleExtract!B:O,14,FALSE),"")</f>
        <v/>
      </c>
      <c r="K2390" s="26" t="str">
        <f>IFERROR(VLOOKUP(G2390,WholesaleExtract!B:K,10,FALSE),"")</f>
        <v/>
      </c>
      <c r="L2390" s="47" t="str">
        <f>IFERROR(VLOOKUP(G2390,WholesaleExtract!B:L,11,FALSE),"")</f>
        <v/>
      </c>
      <c r="M2390" s="47" t="str">
        <f>IFERROR(VLOOKUP(G2390,WholesaleExtract!B:M,12,FALSE),"")</f>
        <v/>
      </c>
      <c r="R2390" s="19"/>
      <c r="S2390" s="19"/>
    </row>
    <row r="2391" spans="1:19" x14ac:dyDescent="0.35">
      <c r="A2391" s="26" t="s">
        <v>543</v>
      </c>
      <c r="B2391" s="26" t="s">
        <v>543</v>
      </c>
      <c r="C2391" s="26"/>
      <c r="D2391" s="26" t="s">
        <v>543</v>
      </c>
      <c r="E2391" s="26" t="str">
        <f>IFERROR(VLOOKUP(G2391,WholesaleExtract!B:J,9,FALSE),"")</f>
        <v/>
      </c>
      <c r="F2391" s="26" t="str">
        <f>IFERROR(VLOOKUP(G2391,WholesaleExtract!B:J,6,FALSE),"")</f>
        <v/>
      </c>
      <c r="H2391" s="47" t="str">
        <f>IFERROR(VLOOKUP(G2391,WholesaleExtract!B:L,11,FALSE),"")</f>
        <v/>
      </c>
      <c r="I2391" s="26" t="str">
        <f>IFERROR(VLOOKUP(G2391,WholesaleExtract!B:O,8,FALSE),"")</f>
        <v/>
      </c>
      <c r="J2391" s="26" t="str">
        <f>IFERROR(VLOOKUP(G2391,WholesaleExtract!B:O,14,FALSE),"")</f>
        <v/>
      </c>
      <c r="K2391" s="26" t="str">
        <f>IFERROR(VLOOKUP(G2391,WholesaleExtract!B:K,10,FALSE),"")</f>
        <v/>
      </c>
      <c r="L2391" s="47" t="str">
        <f>IFERROR(VLOOKUP(G2391,WholesaleExtract!B:L,11,FALSE),"")</f>
        <v/>
      </c>
      <c r="M2391" s="47" t="str">
        <f>IFERROR(VLOOKUP(G2391,WholesaleExtract!B:M,12,FALSE),"")</f>
        <v/>
      </c>
      <c r="R2391" s="19"/>
      <c r="S2391" s="19"/>
    </row>
    <row r="2392" spans="1:19" x14ac:dyDescent="0.35">
      <c r="A2392" s="26" t="s">
        <v>543</v>
      </c>
      <c r="B2392" s="26" t="s">
        <v>543</v>
      </c>
      <c r="C2392" s="26"/>
      <c r="D2392" s="26" t="s">
        <v>543</v>
      </c>
      <c r="E2392" s="26" t="str">
        <f>IFERROR(VLOOKUP(G2392,WholesaleExtract!B:J,9,FALSE),"")</f>
        <v/>
      </c>
      <c r="F2392" s="26" t="str">
        <f>IFERROR(VLOOKUP(G2392,WholesaleExtract!B:J,6,FALSE),"")</f>
        <v/>
      </c>
      <c r="H2392" s="47" t="str">
        <f>IFERROR(VLOOKUP(G2392,WholesaleExtract!B:L,11,FALSE),"")</f>
        <v/>
      </c>
      <c r="I2392" s="26" t="str">
        <f>IFERROR(VLOOKUP(G2392,WholesaleExtract!B:O,8,FALSE),"")</f>
        <v/>
      </c>
      <c r="J2392" s="26" t="str">
        <f>IFERROR(VLOOKUP(G2392,WholesaleExtract!B:O,14,FALSE),"")</f>
        <v/>
      </c>
      <c r="K2392" s="26" t="str">
        <f>IFERROR(VLOOKUP(G2392,WholesaleExtract!B:K,10,FALSE),"")</f>
        <v/>
      </c>
      <c r="L2392" s="47" t="str">
        <f>IFERROR(VLOOKUP(G2392,WholesaleExtract!B:L,11,FALSE),"")</f>
        <v/>
      </c>
      <c r="M2392" s="47" t="str">
        <f>IFERROR(VLOOKUP(G2392,WholesaleExtract!B:M,12,FALSE),"")</f>
        <v/>
      </c>
      <c r="R2392" s="19"/>
      <c r="S2392" s="19"/>
    </row>
    <row r="2393" spans="1:19" x14ac:dyDescent="0.35">
      <c r="A2393" s="26" t="s">
        <v>543</v>
      </c>
      <c r="B2393" s="26" t="s">
        <v>543</v>
      </c>
      <c r="C2393" s="26"/>
      <c r="D2393" s="26" t="s">
        <v>543</v>
      </c>
      <c r="E2393" s="26" t="str">
        <f>IFERROR(VLOOKUP(G2393,WholesaleExtract!B:J,9,FALSE),"")</f>
        <v/>
      </c>
      <c r="F2393" s="26" t="str">
        <f>IFERROR(VLOOKUP(G2393,WholesaleExtract!B:J,6,FALSE),"")</f>
        <v/>
      </c>
      <c r="H2393" s="47" t="str">
        <f>IFERROR(VLOOKUP(G2393,WholesaleExtract!B:L,11,FALSE),"")</f>
        <v/>
      </c>
      <c r="I2393" s="26" t="str">
        <f>IFERROR(VLOOKUP(G2393,WholesaleExtract!B:O,8,FALSE),"")</f>
        <v/>
      </c>
      <c r="J2393" s="26" t="str">
        <f>IFERROR(VLOOKUP(G2393,WholesaleExtract!B:O,14,FALSE),"")</f>
        <v/>
      </c>
      <c r="K2393" s="26" t="str">
        <f>IFERROR(VLOOKUP(G2393,WholesaleExtract!B:K,10,FALSE),"")</f>
        <v/>
      </c>
      <c r="L2393" s="47" t="str">
        <f>IFERROR(VLOOKUP(G2393,WholesaleExtract!B:L,11,FALSE),"")</f>
        <v/>
      </c>
      <c r="M2393" s="47" t="str">
        <f>IFERROR(VLOOKUP(G2393,WholesaleExtract!B:M,12,FALSE),"")</f>
        <v/>
      </c>
      <c r="R2393" s="19"/>
      <c r="S2393" s="19"/>
    </row>
    <row r="2394" spans="1:19" x14ac:dyDescent="0.35">
      <c r="A2394" s="26" t="s">
        <v>543</v>
      </c>
      <c r="B2394" s="26" t="s">
        <v>543</v>
      </c>
      <c r="C2394" s="26"/>
      <c r="D2394" s="26" t="s">
        <v>543</v>
      </c>
      <c r="E2394" s="26" t="str">
        <f>IFERROR(VLOOKUP(G2394,WholesaleExtract!B:J,9,FALSE),"")</f>
        <v/>
      </c>
      <c r="F2394" s="26" t="str">
        <f>IFERROR(VLOOKUP(G2394,WholesaleExtract!B:J,6,FALSE),"")</f>
        <v/>
      </c>
      <c r="H2394" s="47" t="str">
        <f>IFERROR(VLOOKUP(G2394,WholesaleExtract!B:L,11,FALSE),"")</f>
        <v/>
      </c>
      <c r="I2394" s="26" t="str">
        <f>IFERROR(VLOOKUP(G2394,WholesaleExtract!B:O,8,FALSE),"")</f>
        <v/>
      </c>
      <c r="J2394" s="26" t="str">
        <f>IFERROR(VLOOKUP(G2394,WholesaleExtract!B:O,14,FALSE),"")</f>
        <v/>
      </c>
      <c r="K2394" s="26" t="str">
        <f>IFERROR(VLOOKUP(G2394,WholesaleExtract!B:K,10,FALSE),"")</f>
        <v/>
      </c>
      <c r="L2394" s="47" t="str">
        <f>IFERROR(VLOOKUP(G2394,WholesaleExtract!B:L,11,FALSE),"")</f>
        <v/>
      </c>
      <c r="M2394" s="47" t="str">
        <f>IFERROR(VLOOKUP(G2394,WholesaleExtract!B:M,12,FALSE),"")</f>
        <v/>
      </c>
      <c r="R2394" s="19"/>
      <c r="S2394" s="19"/>
    </row>
    <row r="2395" spans="1:19" x14ac:dyDescent="0.35">
      <c r="A2395" s="26" t="s">
        <v>543</v>
      </c>
      <c r="B2395" s="26" t="s">
        <v>543</v>
      </c>
      <c r="C2395" s="26"/>
      <c r="D2395" s="26" t="s">
        <v>543</v>
      </c>
      <c r="E2395" s="26" t="str">
        <f>IFERROR(VLOOKUP(G2395,WholesaleExtract!B:J,9,FALSE),"")</f>
        <v/>
      </c>
      <c r="F2395" s="26" t="str">
        <f>IFERROR(VLOOKUP(G2395,WholesaleExtract!B:J,6,FALSE),"")</f>
        <v/>
      </c>
      <c r="H2395" s="47" t="str">
        <f>IFERROR(VLOOKUP(G2395,WholesaleExtract!B:L,11,FALSE),"")</f>
        <v/>
      </c>
      <c r="I2395" s="26" t="str">
        <f>IFERROR(VLOOKUP(G2395,WholesaleExtract!B:O,8,FALSE),"")</f>
        <v/>
      </c>
      <c r="J2395" s="26" t="str">
        <f>IFERROR(VLOOKUP(G2395,WholesaleExtract!B:O,14,FALSE),"")</f>
        <v/>
      </c>
      <c r="K2395" s="26" t="str">
        <f>IFERROR(VLOOKUP(G2395,WholesaleExtract!B:K,10,FALSE),"")</f>
        <v/>
      </c>
      <c r="L2395" s="47" t="str">
        <f>IFERROR(VLOOKUP(G2395,WholesaleExtract!B:L,11,FALSE),"")</f>
        <v/>
      </c>
      <c r="M2395" s="47" t="str">
        <f>IFERROR(VLOOKUP(G2395,WholesaleExtract!B:M,12,FALSE),"")</f>
        <v/>
      </c>
      <c r="R2395" s="19"/>
      <c r="S2395" s="19"/>
    </row>
    <row r="2396" spans="1:19" x14ac:dyDescent="0.35">
      <c r="A2396" s="26" t="s">
        <v>543</v>
      </c>
      <c r="B2396" s="26" t="s">
        <v>543</v>
      </c>
      <c r="C2396" s="26"/>
      <c r="D2396" s="26" t="s">
        <v>543</v>
      </c>
      <c r="E2396" s="26" t="str">
        <f>IFERROR(VLOOKUP(G2396,WholesaleExtract!B:J,9,FALSE),"")</f>
        <v/>
      </c>
      <c r="F2396" s="26" t="str">
        <f>IFERROR(VLOOKUP(G2396,WholesaleExtract!B:J,6,FALSE),"")</f>
        <v/>
      </c>
      <c r="H2396" s="47" t="str">
        <f>IFERROR(VLOOKUP(G2396,WholesaleExtract!B:L,11,FALSE),"")</f>
        <v/>
      </c>
      <c r="I2396" s="26" t="str">
        <f>IFERROR(VLOOKUP(G2396,WholesaleExtract!B:O,8,FALSE),"")</f>
        <v/>
      </c>
      <c r="J2396" s="26" t="str">
        <f>IFERROR(VLOOKUP(G2396,WholesaleExtract!B:O,14,FALSE),"")</f>
        <v/>
      </c>
      <c r="K2396" s="26" t="str">
        <f>IFERROR(VLOOKUP(G2396,WholesaleExtract!B:K,10,FALSE),"")</f>
        <v/>
      </c>
      <c r="L2396" s="47" t="str">
        <f>IFERROR(VLOOKUP(G2396,WholesaleExtract!B:L,11,FALSE),"")</f>
        <v/>
      </c>
      <c r="M2396" s="47" t="str">
        <f>IFERROR(VLOOKUP(G2396,WholesaleExtract!B:M,12,FALSE),"")</f>
        <v/>
      </c>
      <c r="R2396" s="19"/>
      <c r="S2396" s="19"/>
    </row>
    <row r="2397" spans="1:19" x14ac:dyDescent="0.35">
      <c r="A2397" s="26" t="s">
        <v>543</v>
      </c>
      <c r="B2397" s="26" t="s">
        <v>543</v>
      </c>
      <c r="C2397" s="26"/>
      <c r="D2397" s="26" t="s">
        <v>543</v>
      </c>
      <c r="E2397" s="26" t="str">
        <f>IFERROR(VLOOKUP(G2397,WholesaleExtract!B:J,9,FALSE),"")</f>
        <v/>
      </c>
      <c r="F2397" s="26" t="str">
        <f>IFERROR(VLOOKUP(G2397,WholesaleExtract!B:J,6,FALSE),"")</f>
        <v/>
      </c>
      <c r="H2397" s="47" t="str">
        <f>IFERROR(VLOOKUP(G2397,WholesaleExtract!B:L,11,FALSE),"")</f>
        <v/>
      </c>
      <c r="I2397" s="26" t="str">
        <f>IFERROR(VLOOKUP(G2397,WholesaleExtract!B:O,8,FALSE),"")</f>
        <v/>
      </c>
      <c r="J2397" s="26" t="str">
        <f>IFERROR(VLOOKUP(G2397,WholesaleExtract!B:O,14,FALSE),"")</f>
        <v/>
      </c>
      <c r="K2397" s="26" t="str">
        <f>IFERROR(VLOOKUP(G2397,WholesaleExtract!B:K,10,FALSE),"")</f>
        <v/>
      </c>
      <c r="L2397" s="47" t="str">
        <f>IFERROR(VLOOKUP(G2397,WholesaleExtract!B:L,11,FALSE),"")</f>
        <v/>
      </c>
      <c r="M2397" s="47" t="str">
        <f>IFERROR(VLOOKUP(G2397,WholesaleExtract!B:M,12,FALSE),"")</f>
        <v/>
      </c>
      <c r="R2397" s="19"/>
      <c r="S2397" s="19"/>
    </row>
    <row r="2398" spans="1:19" x14ac:dyDescent="0.35">
      <c r="A2398" s="26" t="s">
        <v>543</v>
      </c>
      <c r="B2398" s="26" t="s">
        <v>543</v>
      </c>
      <c r="C2398" s="26"/>
      <c r="D2398" s="26" t="s">
        <v>543</v>
      </c>
      <c r="E2398" s="26" t="str">
        <f>IFERROR(VLOOKUP(G2398,WholesaleExtract!B:J,9,FALSE),"")</f>
        <v/>
      </c>
      <c r="F2398" s="26" t="str">
        <f>IFERROR(VLOOKUP(G2398,WholesaleExtract!B:J,6,FALSE),"")</f>
        <v/>
      </c>
      <c r="H2398" s="47" t="str">
        <f>IFERROR(VLOOKUP(G2398,WholesaleExtract!B:L,11,FALSE),"")</f>
        <v/>
      </c>
      <c r="I2398" s="26" t="str">
        <f>IFERROR(VLOOKUP(G2398,WholesaleExtract!B:O,8,FALSE),"")</f>
        <v/>
      </c>
      <c r="J2398" s="26" t="str">
        <f>IFERROR(VLOOKUP(G2398,WholesaleExtract!B:O,14,FALSE),"")</f>
        <v/>
      </c>
      <c r="K2398" s="26" t="str">
        <f>IFERROR(VLOOKUP(G2398,WholesaleExtract!B:K,10,FALSE),"")</f>
        <v/>
      </c>
      <c r="L2398" s="47" t="str">
        <f>IFERROR(VLOOKUP(G2398,WholesaleExtract!B:L,11,FALSE),"")</f>
        <v/>
      </c>
      <c r="M2398" s="47" t="str">
        <f>IFERROR(VLOOKUP(G2398,WholesaleExtract!B:M,12,FALSE),"")</f>
        <v/>
      </c>
      <c r="R2398" s="19"/>
      <c r="S2398" s="19"/>
    </row>
    <row r="2399" spans="1:19" x14ac:dyDescent="0.35">
      <c r="A2399" s="26" t="s">
        <v>543</v>
      </c>
      <c r="B2399" s="26" t="s">
        <v>543</v>
      </c>
      <c r="C2399" s="26"/>
      <c r="D2399" s="26" t="s">
        <v>543</v>
      </c>
      <c r="E2399" s="26" t="str">
        <f>IFERROR(VLOOKUP(G2399,WholesaleExtract!B:J,9,FALSE),"")</f>
        <v/>
      </c>
      <c r="F2399" s="26" t="str">
        <f>IFERROR(VLOOKUP(G2399,WholesaleExtract!B:J,6,FALSE),"")</f>
        <v/>
      </c>
      <c r="H2399" s="47" t="str">
        <f>IFERROR(VLOOKUP(G2399,WholesaleExtract!B:L,11,FALSE),"")</f>
        <v/>
      </c>
      <c r="I2399" s="26" t="str">
        <f>IFERROR(VLOOKUP(G2399,WholesaleExtract!B:O,8,FALSE),"")</f>
        <v/>
      </c>
      <c r="J2399" s="26" t="str">
        <f>IFERROR(VLOOKUP(G2399,WholesaleExtract!B:O,14,FALSE),"")</f>
        <v/>
      </c>
      <c r="K2399" s="26" t="str">
        <f>IFERROR(VLOOKUP(G2399,WholesaleExtract!B:K,10,FALSE),"")</f>
        <v/>
      </c>
      <c r="L2399" s="47" t="str">
        <f>IFERROR(VLOOKUP(G2399,WholesaleExtract!B:L,11,FALSE),"")</f>
        <v/>
      </c>
      <c r="M2399" s="47" t="str">
        <f>IFERROR(VLOOKUP(G2399,WholesaleExtract!B:M,12,FALSE),"")</f>
        <v/>
      </c>
      <c r="R2399" s="19"/>
      <c r="S2399" s="19"/>
    </row>
    <row r="2400" spans="1:19" x14ac:dyDescent="0.35">
      <c r="A2400" s="26" t="s">
        <v>543</v>
      </c>
      <c r="B2400" s="26" t="s">
        <v>543</v>
      </c>
      <c r="C2400" s="26"/>
      <c r="D2400" s="26" t="s">
        <v>543</v>
      </c>
      <c r="E2400" s="26" t="str">
        <f>IFERROR(VLOOKUP(G2400,WholesaleExtract!B:J,9,FALSE),"")</f>
        <v/>
      </c>
      <c r="F2400" s="26" t="str">
        <f>IFERROR(VLOOKUP(G2400,WholesaleExtract!B:J,6,FALSE),"")</f>
        <v/>
      </c>
      <c r="H2400" s="47" t="str">
        <f>IFERROR(VLOOKUP(G2400,WholesaleExtract!B:L,11,FALSE),"")</f>
        <v/>
      </c>
      <c r="I2400" s="26" t="str">
        <f>IFERROR(VLOOKUP(G2400,WholesaleExtract!B:O,8,FALSE),"")</f>
        <v/>
      </c>
      <c r="J2400" s="26" t="str">
        <f>IFERROR(VLOOKUP(G2400,WholesaleExtract!B:O,14,FALSE),"")</f>
        <v/>
      </c>
      <c r="K2400" s="26" t="str">
        <f>IFERROR(VLOOKUP(G2400,WholesaleExtract!B:K,10,FALSE),"")</f>
        <v/>
      </c>
      <c r="L2400" s="47" t="str">
        <f>IFERROR(VLOOKUP(G2400,WholesaleExtract!B:L,11,FALSE),"")</f>
        <v/>
      </c>
      <c r="M2400" s="47" t="str">
        <f>IFERROR(VLOOKUP(G2400,WholesaleExtract!B:M,12,FALSE),"")</f>
        <v/>
      </c>
      <c r="R2400" s="19"/>
      <c r="S2400" s="19"/>
    </row>
    <row r="2401" spans="1:19" x14ac:dyDescent="0.35">
      <c r="A2401" s="26" t="s">
        <v>543</v>
      </c>
      <c r="B2401" s="26" t="s">
        <v>543</v>
      </c>
      <c r="C2401" s="26"/>
      <c r="D2401" s="26" t="s">
        <v>543</v>
      </c>
      <c r="E2401" s="26" t="str">
        <f>IFERROR(VLOOKUP(G2401,WholesaleExtract!B:J,9,FALSE),"")</f>
        <v/>
      </c>
      <c r="F2401" s="26" t="str">
        <f>IFERROR(VLOOKUP(G2401,WholesaleExtract!B:J,6,FALSE),"")</f>
        <v/>
      </c>
      <c r="H2401" s="47" t="str">
        <f>IFERROR(VLOOKUP(G2401,WholesaleExtract!B:L,11,FALSE),"")</f>
        <v/>
      </c>
      <c r="I2401" s="26" t="str">
        <f>IFERROR(VLOOKUP(G2401,WholesaleExtract!B:O,8,FALSE),"")</f>
        <v/>
      </c>
      <c r="J2401" s="26" t="str">
        <f>IFERROR(VLOOKUP(G2401,WholesaleExtract!B:O,14,FALSE),"")</f>
        <v/>
      </c>
      <c r="K2401" s="26" t="str">
        <f>IFERROR(VLOOKUP(G2401,WholesaleExtract!B:K,10,FALSE),"")</f>
        <v/>
      </c>
      <c r="L2401" s="47" t="str">
        <f>IFERROR(VLOOKUP(G2401,WholesaleExtract!B:L,11,FALSE),"")</f>
        <v/>
      </c>
      <c r="M2401" s="47" t="str">
        <f>IFERROR(VLOOKUP(G2401,WholesaleExtract!B:M,12,FALSE),"")</f>
        <v/>
      </c>
      <c r="R2401" s="19"/>
      <c r="S2401" s="19"/>
    </row>
    <row r="2402" spans="1:19" x14ac:dyDescent="0.35">
      <c r="A2402" s="26" t="s">
        <v>543</v>
      </c>
      <c r="B2402" s="26" t="s">
        <v>543</v>
      </c>
      <c r="C2402" s="26"/>
      <c r="D2402" s="26" t="s">
        <v>543</v>
      </c>
      <c r="E2402" s="26" t="str">
        <f>IFERROR(VLOOKUP(G2402,WholesaleExtract!B:J,9,FALSE),"")</f>
        <v/>
      </c>
      <c r="F2402" s="26" t="str">
        <f>IFERROR(VLOOKUP(G2402,WholesaleExtract!B:J,6,FALSE),"")</f>
        <v/>
      </c>
      <c r="H2402" s="47" t="str">
        <f>IFERROR(VLOOKUP(G2402,WholesaleExtract!B:L,11,FALSE),"")</f>
        <v/>
      </c>
      <c r="I2402" s="26" t="str">
        <f>IFERROR(VLOOKUP(G2402,WholesaleExtract!B:O,8,FALSE),"")</f>
        <v/>
      </c>
      <c r="J2402" s="26" t="str">
        <f>IFERROR(VLOOKUP(G2402,WholesaleExtract!B:O,14,FALSE),"")</f>
        <v/>
      </c>
      <c r="K2402" s="26" t="str">
        <f>IFERROR(VLOOKUP(G2402,WholesaleExtract!B:K,10,FALSE),"")</f>
        <v/>
      </c>
      <c r="L2402" s="47" t="str">
        <f>IFERROR(VLOOKUP(G2402,WholesaleExtract!B:L,11,FALSE),"")</f>
        <v/>
      </c>
      <c r="M2402" s="47" t="str">
        <f>IFERROR(VLOOKUP(G2402,WholesaleExtract!B:M,12,FALSE),"")</f>
        <v/>
      </c>
      <c r="R2402" s="19"/>
      <c r="S2402" s="19"/>
    </row>
    <row r="2403" spans="1:19" x14ac:dyDescent="0.35">
      <c r="A2403" s="26" t="s">
        <v>543</v>
      </c>
      <c r="B2403" s="26" t="s">
        <v>543</v>
      </c>
      <c r="C2403" s="26"/>
      <c r="D2403" s="26" t="s">
        <v>543</v>
      </c>
      <c r="E2403" s="26" t="str">
        <f>IFERROR(VLOOKUP(G2403,WholesaleExtract!B:J,9,FALSE),"")</f>
        <v/>
      </c>
      <c r="F2403" s="26" t="str">
        <f>IFERROR(VLOOKUP(G2403,WholesaleExtract!B:J,6,FALSE),"")</f>
        <v/>
      </c>
      <c r="H2403" s="47" t="str">
        <f>IFERROR(VLOOKUP(G2403,WholesaleExtract!B:L,11,FALSE),"")</f>
        <v/>
      </c>
      <c r="I2403" s="26" t="str">
        <f>IFERROR(VLOOKUP(G2403,WholesaleExtract!B:O,8,FALSE),"")</f>
        <v/>
      </c>
      <c r="J2403" s="26" t="str">
        <f>IFERROR(VLOOKUP(G2403,WholesaleExtract!B:O,14,FALSE),"")</f>
        <v/>
      </c>
      <c r="K2403" s="26" t="str">
        <f>IFERROR(VLOOKUP(G2403,WholesaleExtract!B:K,10,FALSE),"")</f>
        <v/>
      </c>
      <c r="L2403" s="47" t="str">
        <f>IFERROR(VLOOKUP(G2403,WholesaleExtract!B:L,11,FALSE),"")</f>
        <v/>
      </c>
      <c r="M2403" s="47" t="str">
        <f>IFERROR(VLOOKUP(G2403,WholesaleExtract!B:M,12,FALSE),"")</f>
        <v/>
      </c>
      <c r="R2403" s="19"/>
      <c r="S2403" s="19"/>
    </row>
    <row r="2404" spans="1:19" x14ac:dyDescent="0.35">
      <c r="A2404" s="26" t="s">
        <v>543</v>
      </c>
      <c r="B2404" s="26" t="s">
        <v>543</v>
      </c>
      <c r="C2404" s="26"/>
      <c r="D2404" s="26" t="s">
        <v>543</v>
      </c>
      <c r="E2404" s="26" t="str">
        <f>IFERROR(VLOOKUP(G2404,WholesaleExtract!B:J,9,FALSE),"")</f>
        <v/>
      </c>
      <c r="F2404" s="26" t="str">
        <f>IFERROR(VLOOKUP(G2404,WholesaleExtract!B:J,6,FALSE),"")</f>
        <v/>
      </c>
      <c r="H2404" s="47" t="str">
        <f>IFERROR(VLOOKUP(G2404,WholesaleExtract!B:L,11,FALSE),"")</f>
        <v/>
      </c>
      <c r="I2404" s="26" t="str">
        <f>IFERROR(VLOOKUP(G2404,WholesaleExtract!B:O,8,FALSE),"")</f>
        <v/>
      </c>
      <c r="J2404" s="26" t="str">
        <f>IFERROR(VLOOKUP(G2404,WholesaleExtract!B:O,14,FALSE),"")</f>
        <v/>
      </c>
      <c r="K2404" s="26" t="str">
        <f>IFERROR(VLOOKUP(G2404,WholesaleExtract!B:K,10,FALSE),"")</f>
        <v/>
      </c>
      <c r="L2404" s="47" t="str">
        <f>IFERROR(VLOOKUP(G2404,WholesaleExtract!B:L,11,FALSE),"")</f>
        <v/>
      </c>
      <c r="M2404" s="47" t="str">
        <f>IFERROR(VLOOKUP(G2404,WholesaleExtract!B:M,12,FALSE),"")</f>
        <v/>
      </c>
      <c r="R2404" s="19"/>
      <c r="S2404" s="19"/>
    </row>
    <row r="2405" spans="1:19" x14ac:dyDescent="0.35">
      <c r="A2405" s="26" t="s">
        <v>543</v>
      </c>
      <c r="B2405" s="26" t="s">
        <v>543</v>
      </c>
      <c r="C2405" s="26"/>
      <c r="D2405" s="26" t="s">
        <v>543</v>
      </c>
      <c r="E2405" s="26" t="str">
        <f>IFERROR(VLOOKUP(G2405,WholesaleExtract!B:J,9,FALSE),"")</f>
        <v/>
      </c>
      <c r="F2405" s="26" t="str">
        <f>IFERROR(VLOOKUP(G2405,WholesaleExtract!B:J,6,FALSE),"")</f>
        <v/>
      </c>
      <c r="H2405" s="47" t="str">
        <f>IFERROR(VLOOKUP(G2405,WholesaleExtract!B:L,11,FALSE),"")</f>
        <v/>
      </c>
      <c r="I2405" s="26" t="str">
        <f>IFERROR(VLOOKUP(G2405,WholesaleExtract!B:O,8,FALSE),"")</f>
        <v/>
      </c>
      <c r="J2405" s="26" t="str">
        <f>IFERROR(VLOOKUP(G2405,WholesaleExtract!B:O,14,FALSE),"")</f>
        <v/>
      </c>
      <c r="K2405" s="26" t="str">
        <f>IFERROR(VLOOKUP(G2405,WholesaleExtract!B:K,10,FALSE),"")</f>
        <v/>
      </c>
      <c r="L2405" s="47" t="str">
        <f>IFERROR(VLOOKUP(G2405,WholesaleExtract!B:L,11,FALSE),"")</f>
        <v/>
      </c>
      <c r="M2405" s="47" t="str">
        <f>IFERROR(VLOOKUP(G2405,WholesaleExtract!B:M,12,FALSE),"")</f>
        <v/>
      </c>
      <c r="R2405" s="19"/>
      <c r="S2405" s="19"/>
    </row>
    <row r="2406" spans="1:19" x14ac:dyDescent="0.35">
      <c r="A2406" s="26" t="s">
        <v>543</v>
      </c>
      <c r="B2406" s="26" t="s">
        <v>543</v>
      </c>
      <c r="C2406" s="26"/>
      <c r="D2406" s="26" t="s">
        <v>543</v>
      </c>
      <c r="E2406" s="26" t="str">
        <f>IFERROR(VLOOKUP(G2406,WholesaleExtract!B:J,9,FALSE),"")</f>
        <v/>
      </c>
      <c r="F2406" s="26" t="str">
        <f>IFERROR(VLOOKUP(G2406,WholesaleExtract!B:J,6,FALSE),"")</f>
        <v/>
      </c>
      <c r="H2406" s="47" t="str">
        <f>IFERROR(VLOOKUP(G2406,WholesaleExtract!B:L,11,FALSE),"")</f>
        <v/>
      </c>
      <c r="I2406" s="26" t="str">
        <f>IFERROR(VLOOKUP(G2406,WholesaleExtract!B:O,8,FALSE),"")</f>
        <v/>
      </c>
      <c r="J2406" s="26" t="str">
        <f>IFERROR(VLOOKUP(G2406,WholesaleExtract!B:O,14,FALSE),"")</f>
        <v/>
      </c>
      <c r="K2406" s="26" t="str">
        <f>IFERROR(VLOOKUP(G2406,WholesaleExtract!B:K,10,FALSE),"")</f>
        <v/>
      </c>
      <c r="L2406" s="47" t="str">
        <f>IFERROR(VLOOKUP(G2406,WholesaleExtract!B:L,11,FALSE),"")</f>
        <v/>
      </c>
      <c r="M2406" s="47" t="str">
        <f>IFERROR(VLOOKUP(G2406,WholesaleExtract!B:M,12,FALSE),"")</f>
        <v/>
      </c>
      <c r="R2406" s="19"/>
      <c r="S2406" s="19"/>
    </row>
    <row r="2407" spans="1:19" x14ac:dyDescent="0.35">
      <c r="A2407" s="26" t="s">
        <v>543</v>
      </c>
      <c r="B2407" s="26" t="s">
        <v>543</v>
      </c>
      <c r="C2407" s="26"/>
      <c r="D2407" s="26" t="s">
        <v>543</v>
      </c>
      <c r="E2407" s="26" t="str">
        <f>IFERROR(VLOOKUP(G2407,WholesaleExtract!B:J,9,FALSE),"")</f>
        <v/>
      </c>
      <c r="F2407" s="26" t="str">
        <f>IFERROR(VLOOKUP(G2407,WholesaleExtract!B:J,6,FALSE),"")</f>
        <v/>
      </c>
      <c r="H2407" s="47" t="str">
        <f>IFERROR(VLOOKUP(G2407,WholesaleExtract!B:L,11,FALSE),"")</f>
        <v/>
      </c>
      <c r="I2407" s="26" t="str">
        <f>IFERROR(VLOOKUP(G2407,WholesaleExtract!B:O,8,FALSE),"")</f>
        <v/>
      </c>
      <c r="J2407" s="26" t="str">
        <f>IFERROR(VLOOKUP(G2407,WholesaleExtract!B:O,14,FALSE),"")</f>
        <v/>
      </c>
      <c r="K2407" s="26" t="str">
        <f>IFERROR(VLOOKUP(G2407,WholesaleExtract!B:K,10,FALSE),"")</f>
        <v/>
      </c>
      <c r="L2407" s="47" t="str">
        <f>IFERROR(VLOOKUP(G2407,WholesaleExtract!B:L,11,FALSE),"")</f>
        <v/>
      </c>
      <c r="M2407" s="47" t="str">
        <f>IFERROR(VLOOKUP(G2407,WholesaleExtract!B:M,12,FALSE),"")</f>
        <v/>
      </c>
      <c r="R2407" s="19"/>
      <c r="S2407" s="19"/>
    </row>
    <row r="2408" spans="1:19" x14ac:dyDescent="0.35">
      <c r="A2408" s="26" t="s">
        <v>543</v>
      </c>
      <c r="B2408" s="26" t="s">
        <v>543</v>
      </c>
      <c r="C2408" s="26"/>
      <c r="D2408" s="26" t="s">
        <v>543</v>
      </c>
      <c r="E2408" s="26" t="str">
        <f>IFERROR(VLOOKUP(G2408,WholesaleExtract!B:J,9,FALSE),"")</f>
        <v/>
      </c>
      <c r="F2408" s="26" t="str">
        <f>IFERROR(VLOOKUP(G2408,WholesaleExtract!B:J,6,FALSE),"")</f>
        <v/>
      </c>
      <c r="H2408" s="47" t="str">
        <f>IFERROR(VLOOKUP(G2408,WholesaleExtract!B:L,11,FALSE),"")</f>
        <v/>
      </c>
      <c r="I2408" s="26" t="str">
        <f>IFERROR(VLOOKUP(G2408,WholesaleExtract!B:O,8,FALSE),"")</f>
        <v/>
      </c>
      <c r="J2408" s="26" t="str">
        <f>IFERROR(VLOOKUP(G2408,WholesaleExtract!B:O,14,FALSE),"")</f>
        <v/>
      </c>
      <c r="K2408" s="26" t="str">
        <f>IFERROR(VLOOKUP(G2408,WholesaleExtract!B:K,10,FALSE),"")</f>
        <v/>
      </c>
      <c r="L2408" s="47" t="str">
        <f>IFERROR(VLOOKUP(G2408,WholesaleExtract!B:L,11,FALSE),"")</f>
        <v/>
      </c>
      <c r="M2408" s="47" t="str">
        <f>IFERROR(VLOOKUP(G2408,WholesaleExtract!B:M,12,FALSE),"")</f>
        <v/>
      </c>
      <c r="R2408" s="19"/>
      <c r="S2408" s="19"/>
    </row>
    <row r="2409" spans="1:19" x14ac:dyDescent="0.35">
      <c r="A2409" s="26" t="s">
        <v>543</v>
      </c>
      <c r="B2409" s="26" t="s">
        <v>543</v>
      </c>
      <c r="C2409" s="26"/>
      <c r="D2409" s="26" t="s">
        <v>543</v>
      </c>
      <c r="E2409" s="26" t="str">
        <f>IFERROR(VLOOKUP(G2409,WholesaleExtract!B:J,9,FALSE),"")</f>
        <v/>
      </c>
      <c r="F2409" s="26" t="str">
        <f>IFERROR(VLOOKUP(G2409,WholesaleExtract!B:J,6,FALSE),"")</f>
        <v/>
      </c>
      <c r="H2409" s="47" t="str">
        <f>IFERROR(VLOOKUP(G2409,WholesaleExtract!B:L,11,FALSE),"")</f>
        <v/>
      </c>
      <c r="I2409" s="26" t="str">
        <f>IFERROR(VLOOKUP(G2409,WholesaleExtract!B:O,8,FALSE),"")</f>
        <v/>
      </c>
      <c r="J2409" s="26" t="str">
        <f>IFERROR(VLOOKUP(G2409,WholesaleExtract!B:O,14,FALSE),"")</f>
        <v/>
      </c>
      <c r="K2409" s="26" t="str">
        <f>IFERROR(VLOOKUP(G2409,WholesaleExtract!B:K,10,FALSE),"")</f>
        <v/>
      </c>
      <c r="L2409" s="47" t="str">
        <f>IFERROR(VLOOKUP(G2409,WholesaleExtract!B:L,11,FALSE),"")</f>
        <v/>
      </c>
      <c r="M2409" s="47" t="str">
        <f>IFERROR(VLOOKUP(G2409,WholesaleExtract!B:M,12,FALSE),"")</f>
        <v/>
      </c>
      <c r="R2409" s="19"/>
      <c r="S2409" s="19"/>
    </row>
    <row r="2410" spans="1:19" x14ac:dyDescent="0.35">
      <c r="A2410" s="26" t="s">
        <v>543</v>
      </c>
      <c r="B2410" s="26" t="s">
        <v>543</v>
      </c>
      <c r="C2410" s="26"/>
      <c r="D2410" s="26" t="s">
        <v>543</v>
      </c>
      <c r="E2410" s="26" t="str">
        <f>IFERROR(VLOOKUP(G2410,WholesaleExtract!B:J,9,FALSE),"")</f>
        <v/>
      </c>
      <c r="F2410" s="26" t="str">
        <f>IFERROR(VLOOKUP(G2410,WholesaleExtract!B:J,6,FALSE),"")</f>
        <v/>
      </c>
      <c r="H2410" s="47" t="str">
        <f>IFERROR(VLOOKUP(G2410,WholesaleExtract!B:L,11,FALSE),"")</f>
        <v/>
      </c>
      <c r="I2410" s="26" t="str">
        <f>IFERROR(VLOOKUP(G2410,WholesaleExtract!B:O,8,FALSE),"")</f>
        <v/>
      </c>
      <c r="J2410" s="26" t="str">
        <f>IFERROR(VLOOKUP(G2410,WholesaleExtract!B:O,14,FALSE),"")</f>
        <v/>
      </c>
      <c r="K2410" s="26" t="str">
        <f>IFERROR(VLOOKUP(G2410,WholesaleExtract!B:K,10,FALSE),"")</f>
        <v/>
      </c>
      <c r="L2410" s="47" t="str">
        <f>IFERROR(VLOOKUP(G2410,WholesaleExtract!B:L,11,FALSE),"")</f>
        <v/>
      </c>
      <c r="M2410" s="47" t="str">
        <f>IFERROR(VLOOKUP(G2410,WholesaleExtract!B:M,12,FALSE),"")</f>
        <v/>
      </c>
      <c r="R2410" s="19"/>
      <c r="S2410" s="19"/>
    </row>
    <row r="2411" spans="1:19" x14ac:dyDescent="0.35">
      <c r="A2411" s="26" t="s">
        <v>543</v>
      </c>
      <c r="B2411" s="26" t="s">
        <v>543</v>
      </c>
      <c r="C2411" s="26"/>
      <c r="D2411" s="26" t="s">
        <v>543</v>
      </c>
      <c r="E2411" s="26" t="str">
        <f>IFERROR(VLOOKUP(G2411,WholesaleExtract!B:J,9,FALSE),"")</f>
        <v/>
      </c>
      <c r="F2411" s="26" t="str">
        <f>IFERROR(VLOOKUP(G2411,WholesaleExtract!B:J,6,FALSE),"")</f>
        <v/>
      </c>
      <c r="H2411" s="47" t="str">
        <f>IFERROR(VLOOKUP(G2411,WholesaleExtract!B:L,11,FALSE),"")</f>
        <v/>
      </c>
      <c r="I2411" s="26" t="str">
        <f>IFERROR(VLOOKUP(G2411,WholesaleExtract!B:O,8,FALSE),"")</f>
        <v/>
      </c>
      <c r="J2411" s="26" t="str">
        <f>IFERROR(VLOOKUP(G2411,WholesaleExtract!B:O,14,FALSE),"")</f>
        <v/>
      </c>
      <c r="K2411" s="26" t="str">
        <f>IFERROR(VLOOKUP(G2411,WholesaleExtract!B:K,10,FALSE),"")</f>
        <v/>
      </c>
      <c r="L2411" s="47" t="str">
        <f>IFERROR(VLOOKUP(G2411,WholesaleExtract!B:L,11,FALSE),"")</f>
        <v/>
      </c>
      <c r="M2411" s="47" t="str">
        <f>IFERROR(VLOOKUP(G2411,WholesaleExtract!B:M,12,FALSE),"")</f>
        <v/>
      </c>
      <c r="R2411" s="19"/>
      <c r="S2411" s="19"/>
    </row>
    <row r="2412" spans="1:19" x14ac:dyDescent="0.35">
      <c r="A2412" s="26" t="s">
        <v>543</v>
      </c>
      <c r="B2412" s="26" t="s">
        <v>543</v>
      </c>
      <c r="C2412" s="26"/>
      <c r="D2412" s="26" t="s">
        <v>543</v>
      </c>
      <c r="E2412" s="26" t="str">
        <f>IFERROR(VLOOKUP(G2412,WholesaleExtract!B:J,9,FALSE),"")</f>
        <v/>
      </c>
      <c r="F2412" s="26" t="str">
        <f>IFERROR(VLOOKUP(G2412,WholesaleExtract!B:J,6,FALSE),"")</f>
        <v/>
      </c>
      <c r="H2412" s="47" t="str">
        <f>IFERROR(VLOOKUP(G2412,WholesaleExtract!B:L,11,FALSE),"")</f>
        <v/>
      </c>
      <c r="I2412" s="26" t="str">
        <f>IFERROR(VLOOKUP(G2412,WholesaleExtract!B:O,8,FALSE),"")</f>
        <v/>
      </c>
      <c r="J2412" s="26" t="str">
        <f>IFERROR(VLOOKUP(G2412,WholesaleExtract!B:O,14,FALSE),"")</f>
        <v/>
      </c>
      <c r="K2412" s="26" t="str">
        <f>IFERROR(VLOOKUP(G2412,WholesaleExtract!B:K,10,FALSE),"")</f>
        <v/>
      </c>
      <c r="L2412" s="47" t="str">
        <f>IFERROR(VLOOKUP(G2412,WholesaleExtract!B:L,11,FALSE),"")</f>
        <v/>
      </c>
      <c r="M2412" s="47" t="str">
        <f>IFERROR(VLOOKUP(G2412,WholesaleExtract!B:M,12,FALSE),"")</f>
        <v/>
      </c>
      <c r="R2412" s="19"/>
      <c r="S2412" s="19"/>
    </row>
    <row r="2413" spans="1:19" x14ac:dyDescent="0.35">
      <c r="A2413" s="26" t="s">
        <v>543</v>
      </c>
      <c r="B2413" s="26" t="s">
        <v>543</v>
      </c>
      <c r="C2413" s="26"/>
      <c r="D2413" s="26" t="s">
        <v>543</v>
      </c>
      <c r="E2413" s="26" t="str">
        <f>IFERROR(VLOOKUP(G2413,WholesaleExtract!B:J,9,FALSE),"")</f>
        <v/>
      </c>
      <c r="F2413" s="26" t="str">
        <f>IFERROR(VLOOKUP(G2413,WholesaleExtract!B:J,6,FALSE),"")</f>
        <v/>
      </c>
      <c r="H2413" s="47" t="str">
        <f>IFERROR(VLOOKUP(G2413,WholesaleExtract!B:L,11,FALSE),"")</f>
        <v/>
      </c>
      <c r="I2413" s="26" t="str">
        <f>IFERROR(VLOOKUP(G2413,WholesaleExtract!B:O,8,FALSE),"")</f>
        <v/>
      </c>
      <c r="J2413" s="26" t="str">
        <f>IFERROR(VLOOKUP(G2413,WholesaleExtract!B:O,14,FALSE),"")</f>
        <v/>
      </c>
      <c r="K2413" s="26" t="str">
        <f>IFERROR(VLOOKUP(G2413,WholesaleExtract!B:K,10,FALSE),"")</f>
        <v/>
      </c>
      <c r="L2413" s="47" t="str">
        <f>IFERROR(VLOOKUP(G2413,WholesaleExtract!B:L,11,FALSE),"")</f>
        <v/>
      </c>
      <c r="M2413" s="47" t="str">
        <f>IFERROR(VLOOKUP(G2413,WholesaleExtract!B:M,12,FALSE),"")</f>
        <v/>
      </c>
      <c r="R2413" s="19"/>
      <c r="S2413" s="19"/>
    </row>
    <row r="2414" spans="1:19" x14ac:dyDescent="0.35">
      <c r="A2414" s="26" t="s">
        <v>543</v>
      </c>
      <c r="B2414" s="26" t="s">
        <v>543</v>
      </c>
      <c r="C2414" s="26"/>
      <c r="D2414" s="26" t="s">
        <v>543</v>
      </c>
      <c r="E2414" s="26" t="str">
        <f>IFERROR(VLOOKUP(G2414,WholesaleExtract!B:J,9,FALSE),"")</f>
        <v/>
      </c>
      <c r="F2414" s="26" t="str">
        <f>IFERROR(VLOOKUP(G2414,WholesaleExtract!B:J,6,FALSE),"")</f>
        <v/>
      </c>
      <c r="H2414" s="47" t="str">
        <f>IFERROR(VLOOKUP(G2414,WholesaleExtract!B:L,11,FALSE),"")</f>
        <v/>
      </c>
      <c r="I2414" s="26" t="str">
        <f>IFERROR(VLOOKUP(G2414,WholesaleExtract!B:O,8,FALSE),"")</f>
        <v/>
      </c>
      <c r="J2414" s="26" t="str">
        <f>IFERROR(VLOOKUP(G2414,WholesaleExtract!B:O,14,FALSE),"")</f>
        <v/>
      </c>
      <c r="K2414" s="26" t="str">
        <f>IFERROR(VLOOKUP(G2414,WholesaleExtract!B:K,10,FALSE),"")</f>
        <v/>
      </c>
      <c r="L2414" s="47" t="str">
        <f>IFERROR(VLOOKUP(G2414,WholesaleExtract!B:L,11,FALSE),"")</f>
        <v/>
      </c>
      <c r="M2414" s="47" t="str">
        <f>IFERROR(VLOOKUP(G2414,WholesaleExtract!B:M,12,FALSE),"")</f>
        <v/>
      </c>
      <c r="R2414" s="19"/>
      <c r="S2414" s="19"/>
    </row>
    <row r="2415" spans="1:19" x14ac:dyDescent="0.35">
      <c r="A2415" s="26" t="s">
        <v>543</v>
      </c>
      <c r="B2415" s="26" t="s">
        <v>543</v>
      </c>
      <c r="C2415" s="26"/>
      <c r="D2415" s="26" t="s">
        <v>543</v>
      </c>
      <c r="E2415" s="26" t="str">
        <f>IFERROR(VLOOKUP(G2415,WholesaleExtract!B:J,9,FALSE),"")</f>
        <v/>
      </c>
      <c r="F2415" s="26" t="str">
        <f>IFERROR(VLOOKUP(G2415,WholesaleExtract!B:J,6,FALSE),"")</f>
        <v/>
      </c>
      <c r="H2415" s="47" t="str">
        <f>IFERROR(VLOOKUP(G2415,WholesaleExtract!B:L,11,FALSE),"")</f>
        <v/>
      </c>
      <c r="I2415" s="26" t="str">
        <f>IFERROR(VLOOKUP(G2415,WholesaleExtract!B:O,8,FALSE),"")</f>
        <v/>
      </c>
      <c r="J2415" s="26" t="str">
        <f>IFERROR(VLOOKUP(G2415,WholesaleExtract!B:O,14,FALSE),"")</f>
        <v/>
      </c>
      <c r="K2415" s="26" t="str">
        <f>IFERROR(VLOOKUP(G2415,WholesaleExtract!B:K,10,FALSE),"")</f>
        <v/>
      </c>
      <c r="L2415" s="47" t="str">
        <f>IFERROR(VLOOKUP(G2415,WholesaleExtract!B:L,11,FALSE),"")</f>
        <v/>
      </c>
      <c r="M2415" s="47" t="str">
        <f>IFERROR(VLOOKUP(G2415,WholesaleExtract!B:M,12,FALSE),"")</f>
        <v/>
      </c>
      <c r="R2415" s="19"/>
      <c r="S2415" s="19"/>
    </row>
    <row r="2416" spans="1:19" x14ac:dyDescent="0.35">
      <c r="A2416" s="26" t="s">
        <v>543</v>
      </c>
      <c r="B2416" s="26" t="s">
        <v>543</v>
      </c>
      <c r="C2416" s="26"/>
      <c r="D2416" s="26" t="s">
        <v>543</v>
      </c>
      <c r="E2416" s="26" t="str">
        <f>IFERROR(VLOOKUP(G2416,WholesaleExtract!B:J,9,FALSE),"")</f>
        <v/>
      </c>
      <c r="F2416" s="26" t="str">
        <f>IFERROR(VLOOKUP(G2416,WholesaleExtract!B:J,6,FALSE),"")</f>
        <v/>
      </c>
      <c r="H2416" s="47" t="str">
        <f>IFERROR(VLOOKUP(G2416,WholesaleExtract!B:L,11,FALSE),"")</f>
        <v/>
      </c>
      <c r="I2416" s="26" t="str">
        <f>IFERROR(VLOOKUP(G2416,WholesaleExtract!B:O,8,FALSE),"")</f>
        <v/>
      </c>
      <c r="J2416" s="26" t="str">
        <f>IFERROR(VLOOKUP(G2416,WholesaleExtract!B:O,14,FALSE),"")</f>
        <v/>
      </c>
      <c r="K2416" s="26" t="str">
        <f>IFERROR(VLOOKUP(G2416,WholesaleExtract!B:K,10,FALSE),"")</f>
        <v/>
      </c>
      <c r="L2416" s="47" t="str">
        <f>IFERROR(VLOOKUP(G2416,WholesaleExtract!B:L,11,FALSE),"")</f>
        <v/>
      </c>
      <c r="M2416" s="47" t="str">
        <f>IFERROR(VLOOKUP(G2416,WholesaleExtract!B:M,12,FALSE),"")</f>
        <v/>
      </c>
      <c r="R2416" s="19"/>
      <c r="S2416" s="19"/>
    </row>
    <row r="2417" spans="1:19" x14ac:dyDescent="0.35">
      <c r="A2417" s="26" t="s">
        <v>543</v>
      </c>
      <c r="B2417" s="26" t="s">
        <v>543</v>
      </c>
      <c r="C2417" s="26"/>
      <c r="D2417" s="26" t="s">
        <v>543</v>
      </c>
      <c r="E2417" s="26" t="str">
        <f>IFERROR(VLOOKUP(G2417,WholesaleExtract!B:J,9,FALSE),"")</f>
        <v/>
      </c>
      <c r="F2417" s="26" t="str">
        <f>IFERROR(VLOOKUP(G2417,WholesaleExtract!B:J,6,FALSE),"")</f>
        <v/>
      </c>
      <c r="H2417" s="47" t="str">
        <f>IFERROR(VLOOKUP(G2417,WholesaleExtract!B:L,11,FALSE),"")</f>
        <v/>
      </c>
      <c r="I2417" s="26" t="str">
        <f>IFERROR(VLOOKUP(G2417,WholesaleExtract!B:O,8,FALSE),"")</f>
        <v/>
      </c>
      <c r="J2417" s="26" t="str">
        <f>IFERROR(VLOOKUP(G2417,WholesaleExtract!B:O,14,FALSE),"")</f>
        <v/>
      </c>
      <c r="K2417" s="26" t="str">
        <f>IFERROR(VLOOKUP(G2417,WholesaleExtract!B:K,10,FALSE),"")</f>
        <v/>
      </c>
      <c r="L2417" s="47" t="str">
        <f>IFERROR(VLOOKUP(G2417,WholesaleExtract!B:L,11,FALSE),"")</f>
        <v/>
      </c>
      <c r="M2417" s="47" t="str">
        <f>IFERROR(VLOOKUP(G2417,WholesaleExtract!B:M,12,FALSE),"")</f>
        <v/>
      </c>
      <c r="R2417" s="19"/>
      <c r="S2417" s="19"/>
    </row>
    <row r="2418" spans="1:19" x14ac:dyDescent="0.35">
      <c r="A2418" s="26" t="s">
        <v>543</v>
      </c>
      <c r="B2418" s="26" t="s">
        <v>543</v>
      </c>
      <c r="C2418" s="26"/>
      <c r="D2418" s="26" t="s">
        <v>543</v>
      </c>
      <c r="E2418" s="26" t="str">
        <f>IFERROR(VLOOKUP(G2418,WholesaleExtract!B:J,9,FALSE),"")</f>
        <v/>
      </c>
      <c r="F2418" s="26" t="str">
        <f>IFERROR(VLOOKUP(G2418,WholesaleExtract!B:J,6,FALSE),"")</f>
        <v/>
      </c>
      <c r="H2418" s="47" t="str">
        <f>IFERROR(VLOOKUP(G2418,WholesaleExtract!B:L,11,FALSE),"")</f>
        <v/>
      </c>
      <c r="I2418" s="26" t="str">
        <f>IFERROR(VLOOKUP(G2418,WholesaleExtract!B:O,8,FALSE),"")</f>
        <v/>
      </c>
      <c r="J2418" s="26" t="str">
        <f>IFERROR(VLOOKUP(G2418,WholesaleExtract!B:O,14,FALSE),"")</f>
        <v/>
      </c>
      <c r="K2418" s="26" t="str">
        <f>IFERROR(VLOOKUP(G2418,WholesaleExtract!B:K,10,FALSE),"")</f>
        <v/>
      </c>
      <c r="L2418" s="47" t="str">
        <f>IFERROR(VLOOKUP(G2418,WholesaleExtract!B:L,11,FALSE),"")</f>
        <v/>
      </c>
      <c r="M2418" s="47" t="str">
        <f>IFERROR(VLOOKUP(G2418,WholesaleExtract!B:M,12,FALSE),"")</f>
        <v/>
      </c>
      <c r="R2418" s="19"/>
      <c r="S2418" s="19"/>
    </row>
    <row r="2419" spans="1:19" x14ac:dyDescent="0.35">
      <c r="A2419" s="26" t="s">
        <v>543</v>
      </c>
      <c r="B2419" s="26" t="s">
        <v>543</v>
      </c>
      <c r="C2419" s="26"/>
      <c r="D2419" s="26" t="s">
        <v>543</v>
      </c>
      <c r="E2419" s="26" t="str">
        <f>IFERROR(VLOOKUP(G2419,WholesaleExtract!B:J,9,FALSE),"")</f>
        <v/>
      </c>
      <c r="F2419" s="26" t="str">
        <f>IFERROR(VLOOKUP(G2419,WholesaleExtract!B:J,6,FALSE),"")</f>
        <v/>
      </c>
      <c r="H2419" s="47" t="str">
        <f>IFERROR(VLOOKUP(G2419,WholesaleExtract!B:L,11,FALSE),"")</f>
        <v/>
      </c>
      <c r="I2419" s="26" t="str">
        <f>IFERROR(VLOOKUP(G2419,WholesaleExtract!B:O,8,FALSE),"")</f>
        <v/>
      </c>
      <c r="J2419" s="26" t="str">
        <f>IFERROR(VLOOKUP(G2419,WholesaleExtract!B:O,14,FALSE),"")</f>
        <v/>
      </c>
      <c r="K2419" s="26" t="str">
        <f>IFERROR(VLOOKUP(G2419,WholesaleExtract!B:K,10,FALSE),"")</f>
        <v/>
      </c>
      <c r="L2419" s="47" t="str">
        <f>IFERROR(VLOOKUP(G2419,WholesaleExtract!B:L,11,FALSE),"")</f>
        <v/>
      </c>
      <c r="M2419" s="47" t="str">
        <f>IFERROR(VLOOKUP(G2419,WholesaleExtract!B:M,12,FALSE),"")</f>
        <v/>
      </c>
      <c r="R2419" s="19"/>
      <c r="S2419" s="19"/>
    </row>
    <row r="2420" spans="1:19" x14ac:dyDescent="0.35">
      <c r="A2420" s="26" t="s">
        <v>543</v>
      </c>
      <c r="B2420" s="26" t="s">
        <v>543</v>
      </c>
      <c r="C2420" s="26"/>
      <c r="D2420" s="26" t="s">
        <v>543</v>
      </c>
      <c r="E2420" s="26" t="str">
        <f>IFERROR(VLOOKUP(G2420,WholesaleExtract!B:J,9,FALSE),"")</f>
        <v/>
      </c>
      <c r="F2420" s="26" t="str">
        <f>IFERROR(VLOOKUP(G2420,WholesaleExtract!B:J,6,FALSE),"")</f>
        <v/>
      </c>
      <c r="H2420" s="47" t="str">
        <f>IFERROR(VLOOKUP(G2420,WholesaleExtract!B:L,11,FALSE),"")</f>
        <v/>
      </c>
      <c r="I2420" s="26" t="str">
        <f>IFERROR(VLOOKUP(G2420,WholesaleExtract!B:O,8,FALSE),"")</f>
        <v/>
      </c>
      <c r="J2420" s="26" t="str">
        <f>IFERROR(VLOOKUP(G2420,WholesaleExtract!B:O,14,FALSE),"")</f>
        <v/>
      </c>
      <c r="K2420" s="26" t="str">
        <f>IFERROR(VLOOKUP(G2420,WholesaleExtract!B:K,10,FALSE),"")</f>
        <v/>
      </c>
      <c r="L2420" s="47" t="str">
        <f>IFERROR(VLOOKUP(G2420,WholesaleExtract!B:L,11,FALSE),"")</f>
        <v/>
      </c>
      <c r="M2420" s="47" t="str">
        <f>IFERROR(VLOOKUP(G2420,WholesaleExtract!B:M,12,FALSE),"")</f>
        <v/>
      </c>
      <c r="R2420" s="19"/>
      <c r="S2420" s="19"/>
    </row>
    <row r="2421" spans="1:19" x14ac:dyDescent="0.35">
      <c r="A2421" s="26" t="s">
        <v>543</v>
      </c>
      <c r="B2421" s="26" t="s">
        <v>543</v>
      </c>
      <c r="C2421" s="26"/>
      <c r="D2421" s="26" t="s">
        <v>543</v>
      </c>
      <c r="E2421" s="26" t="str">
        <f>IFERROR(VLOOKUP(G2421,WholesaleExtract!B:J,9,FALSE),"")</f>
        <v/>
      </c>
      <c r="F2421" s="26" t="str">
        <f>IFERROR(VLOOKUP(G2421,WholesaleExtract!B:J,6,FALSE),"")</f>
        <v/>
      </c>
      <c r="H2421" s="47" t="str">
        <f>IFERROR(VLOOKUP(G2421,WholesaleExtract!B:L,11,FALSE),"")</f>
        <v/>
      </c>
      <c r="I2421" s="26" t="str">
        <f>IFERROR(VLOOKUP(G2421,WholesaleExtract!B:O,8,FALSE),"")</f>
        <v/>
      </c>
      <c r="J2421" s="26" t="str">
        <f>IFERROR(VLOOKUP(G2421,WholesaleExtract!B:O,14,FALSE),"")</f>
        <v/>
      </c>
      <c r="K2421" s="26" t="str">
        <f>IFERROR(VLOOKUP(G2421,WholesaleExtract!B:K,10,FALSE),"")</f>
        <v/>
      </c>
      <c r="L2421" s="47" t="str">
        <f>IFERROR(VLOOKUP(G2421,WholesaleExtract!B:L,11,FALSE),"")</f>
        <v/>
      </c>
      <c r="M2421" s="47" t="str">
        <f>IFERROR(VLOOKUP(G2421,WholesaleExtract!B:M,12,FALSE),"")</f>
        <v/>
      </c>
      <c r="R2421" s="19"/>
      <c r="S2421" s="19"/>
    </row>
    <row r="2422" spans="1:19" x14ac:dyDescent="0.35">
      <c r="A2422" s="26" t="s">
        <v>543</v>
      </c>
      <c r="B2422" s="26" t="s">
        <v>543</v>
      </c>
      <c r="C2422" s="26"/>
      <c r="D2422" s="26" t="s">
        <v>543</v>
      </c>
      <c r="E2422" s="26" t="str">
        <f>IFERROR(VLOOKUP(G2422,WholesaleExtract!B:J,9,FALSE),"")</f>
        <v/>
      </c>
      <c r="F2422" s="26" t="str">
        <f>IFERROR(VLOOKUP(G2422,WholesaleExtract!B:J,6,FALSE),"")</f>
        <v/>
      </c>
      <c r="H2422" s="47" t="str">
        <f>IFERROR(VLOOKUP(G2422,WholesaleExtract!B:L,11,FALSE),"")</f>
        <v/>
      </c>
      <c r="I2422" s="26" t="str">
        <f>IFERROR(VLOOKUP(G2422,WholesaleExtract!B:O,8,FALSE),"")</f>
        <v/>
      </c>
      <c r="J2422" s="26" t="str">
        <f>IFERROR(VLOOKUP(G2422,WholesaleExtract!B:O,14,FALSE),"")</f>
        <v/>
      </c>
      <c r="K2422" s="26" t="str">
        <f>IFERROR(VLOOKUP(G2422,WholesaleExtract!B:K,10,FALSE),"")</f>
        <v/>
      </c>
      <c r="L2422" s="47" t="str">
        <f>IFERROR(VLOOKUP(G2422,WholesaleExtract!B:L,11,FALSE),"")</f>
        <v/>
      </c>
      <c r="M2422" s="47" t="str">
        <f>IFERROR(VLOOKUP(G2422,WholesaleExtract!B:M,12,FALSE),"")</f>
        <v/>
      </c>
      <c r="R2422" s="19"/>
      <c r="S2422" s="19"/>
    </row>
    <row r="2423" spans="1:19" x14ac:dyDescent="0.35">
      <c r="A2423" s="26" t="s">
        <v>543</v>
      </c>
      <c r="B2423" s="26" t="s">
        <v>543</v>
      </c>
      <c r="C2423" s="26"/>
      <c r="D2423" s="26" t="s">
        <v>543</v>
      </c>
      <c r="E2423" s="26" t="str">
        <f>IFERROR(VLOOKUP(G2423,WholesaleExtract!B:J,9,FALSE),"")</f>
        <v/>
      </c>
      <c r="F2423" s="26" t="str">
        <f>IFERROR(VLOOKUP(G2423,WholesaleExtract!B:J,6,FALSE),"")</f>
        <v/>
      </c>
      <c r="H2423" s="47" t="str">
        <f>IFERROR(VLOOKUP(G2423,WholesaleExtract!B:L,11,FALSE),"")</f>
        <v/>
      </c>
      <c r="I2423" s="26" t="str">
        <f>IFERROR(VLOOKUP(G2423,WholesaleExtract!B:O,8,FALSE),"")</f>
        <v/>
      </c>
      <c r="J2423" s="26" t="str">
        <f>IFERROR(VLOOKUP(G2423,WholesaleExtract!B:O,14,FALSE),"")</f>
        <v/>
      </c>
      <c r="K2423" s="26" t="str">
        <f>IFERROR(VLOOKUP(G2423,WholesaleExtract!B:K,10,FALSE),"")</f>
        <v/>
      </c>
      <c r="L2423" s="47" t="str">
        <f>IFERROR(VLOOKUP(G2423,WholesaleExtract!B:L,11,FALSE),"")</f>
        <v/>
      </c>
      <c r="M2423" s="47" t="str">
        <f>IFERROR(VLOOKUP(G2423,WholesaleExtract!B:M,12,FALSE),"")</f>
        <v/>
      </c>
      <c r="R2423" s="19"/>
      <c r="S2423" s="19"/>
    </row>
    <row r="2424" spans="1:19" x14ac:dyDescent="0.35">
      <c r="A2424" s="26" t="s">
        <v>543</v>
      </c>
      <c r="B2424" s="26" t="s">
        <v>543</v>
      </c>
      <c r="C2424" s="26"/>
      <c r="D2424" s="26" t="s">
        <v>543</v>
      </c>
      <c r="E2424" s="26" t="str">
        <f>IFERROR(VLOOKUP(G2424,WholesaleExtract!B:J,9,FALSE),"")</f>
        <v/>
      </c>
      <c r="F2424" s="26" t="str">
        <f>IFERROR(VLOOKUP(G2424,WholesaleExtract!B:J,6,FALSE),"")</f>
        <v/>
      </c>
      <c r="H2424" s="47" t="str">
        <f>IFERROR(VLOOKUP(G2424,WholesaleExtract!B:L,11,FALSE),"")</f>
        <v/>
      </c>
      <c r="I2424" s="26" t="str">
        <f>IFERROR(VLOOKUP(G2424,WholesaleExtract!B:O,8,FALSE),"")</f>
        <v/>
      </c>
      <c r="J2424" s="26" t="str">
        <f>IFERROR(VLOOKUP(G2424,WholesaleExtract!B:O,14,FALSE),"")</f>
        <v/>
      </c>
      <c r="K2424" s="26" t="str">
        <f>IFERROR(VLOOKUP(G2424,WholesaleExtract!B:K,10,FALSE),"")</f>
        <v/>
      </c>
      <c r="L2424" s="47" t="str">
        <f>IFERROR(VLOOKUP(G2424,WholesaleExtract!B:L,11,FALSE),"")</f>
        <v/>
      </c>
      <c r="M2424" s="47" t="str">
        <f>IFERROR(VLOOKUP(G2424,WholesaleExtract!B:M,12,FALSE),"")</f>
        <v/>
      </c>
      <c r="R2424" s="19"/>
      <c r="S2424" s="19"/>
    </row>
    <row r="2425" spans="1:19" x14ac:dyDescent="0.35">
      <c r="A2425" s="26" t="s">
        <v>543</v>
      </c>
      <c r="B2425" s="26" t="s">
        <v>543</v>
      </c>
      <c r="C2425" s="26"/>
      <c r="D2425" s="26" t="s">
        <v>543</v>
      </c>
      <c r="E2425" s="26" t="str">
        <f>IFERROR(VLOOKUP(G2425,WholesaleExtract!B:J,9,FALSE),"")</f>
        <v/>
      </c>
      <c r="F2425" s="26" t="str">
        <f>IFERROR(VLOOKUP(G2425,WholesaleExtract!B:J,6,FALSE),"")</f>
        <v/>
      </c>
      <c r="H2425" s="47" t="str">
        <f>IFERROR(VLOOKUP(G2425,WholesaleExtract!B:L,11,FALSE),"")</f>
        <v/>
      </c>
      <c r="I2425" s="26" t="str">
        <f>IFERROR(VLOOKUP(G2425,WholesaleExtract!B:O,8,FALSE),"")</f>
        <v/>
      </c>
      <c r="J2425" s="26" t="str">
        <f>IFERROR(VLOOKUP(G2425,WholesaleExtract!B:O,14,FALSE),"")</f>
        <v/>
      </c>
      <c r="K2425" s="26" t="str">
        <f>IFERROR(VLOOKUP(G2425,WholesaleExtract!B:K,10,FALSE),"")</f>
        <v/>
      </c>
      <c r="L2425" s="47" t="str">
        <f>IFERROR(VLOOKUP(G2425,WholesaleExtract!B:L,11,FALSE),"")</f>
        <v/>
      </c>
      <c r="M2425" s="47" t="str">
        <f>IFERROR(VLOOKUP(G2425,WholesaleExtract!B:M,12,FALSE),"")</f>
        <v/>
      </c>
      <c r="R2425" s="19"/>
      <c r="S2425" s="19"/>
    </row>
    <row r="2426" spans="1:19" x14ac:dyDescent="0.35">
      <c r="A2426" s="26" t="s">
        <v>543</v>
      </c>
      <c r="B2426" s="26" t="s">
        <v>543</v>
      </c>
      <c r="C2426" s="26"/>
      <c r="D2426" s="26" t="s">
        <v>543</v>
      </c>
      <c r="E2426" s="26" t="str">
        <f>IFERROR(VLOOKUP(G2426,WholesaleExtract!B:J,9,FALSE),"")</f>
        <v/>
      </c>
      <c r="F2426" s="26" t="str">
        <f>IFERROR(VLOOKUP(G2426,WholesaleExtract!B:J,6,FALSE),"")</f>
        <v/>
      </c>
      <c r="H2426" s="47" t="str">
        <f>IFERROR(VLOOKUP(G2426,WholesaleExtract!B:L,11,FALSE),"")</f>
        <v/>
      </c>
      <c r="I2426" s="26" t="str">
        <f>IFERROR(VLOOKUP(G2426,WholesaleExtract!B:O,8,FALSE),"")</f>
        <v/>
      </c>
      <c r="J2426" s="26" t="str">
        <f>IFERROR(VLOOKUP(G2426,WholesaleExtract!B:O,14,FALSE),"")</f>
        <v/>
      </c>
      <c r="K2426" s="26" t="str">
        <f>IFERROR(VLOOKUP(G2426,WholesaleExtract!B:K,10,FALSE),"")</f>
        <v/>
      </c>
      <c r="L2426" s="47" t="str">
        <f>IFERROR(VLOOKUP(G2426,WholesaleExtract!B:L,11,FALSE),"")</f>
        <v/>
      </c>
      <c r="M2426" s="47" t="str">
        <f>IFERROR(VLOOKUP(G2426,WholesaleExtract!B:M,12,FALSE),"")</f>
        <v/>
      </c>
      <c r="R2426" s="19"/>
      <c r="S2426" s="19"/>
    </row>
    <row r="2427" spans="1:19" x14ac:dyDescent="0.35">
      <c r="A2427" s="26" t="s">
        <v>543</v>
      </c>
      <c r="B2427" s="26" t="s">
        <v>543</v>
      </c>
      <c r="C2427" s="26"/>
      <c r="D2427" s="26" t="s">
        <v>543</v>
      </c>
      <c r="E2427" s="26" t="str">
        <f>IFERROR(VLOOKUP(G2427,WholesaleExtract!B:J,9,FALSE),"")</f>
        <v/>
      </c>
      <c r="F2427" s="26" t="str">
        <f>IFERROR(VLOOKUP(G2427,WholesaleExtract!B:J,6,FALSE),"")</f>
        <v/>
      </c>
      <c r="H2427" s="47" t="str">
        <f>IFERROR(VLOOKUP(G2427,WholesaleExtract!B:L,11,FALSE),"")</f>
        <v/>
      </c>
      <c r="I2427" s="26" t="str">
        <f>IFERROR(VLOOKUP(G2427,WholesaleExtract!B:O,8,FALSE),"")</f>
        <v/>
      </c>
      <c r="J2427" s="26" t="str">
        <f>IFERROR(VLOOKUP(G2427,WholesaleExtract!B:O,14,FALSE),"")</f>
        <v/>
      </c>
      <c r="K2427" s="26" t="str">
        <f>IFERROR(VLOOKUP(G2427,WholesaleExtract!B:K,10,FALSE),"")</f>
        <v/>
      </c>
      <c r="L2427" s="47" t="str">
        <f>IFERROR(VLOOKUP(G2427,WholesaleExtract!B:L,11,FALSE),"")</f>
        <v/>
      </c>
      <c r="M2427" s="47" t="str">
        <f>IFERROR(VLOOKUP(G2427,WholesaleExtract!B:M,12,FALSE),"")</f>
        <v/>
      </c>
      <c r="R2427" s="19"/>
      <c r="S2427" s="19"/>
    </row>
    <row r="2428" spans="1:19" x14ac:dyDescent="0.35">
      <c r="A2428" s="26" t="s">
        <v>543</v>
      </c>
      <c r="B2428" s="26" t="s">
        <v>543</v>
      </c>
      <c r="C2428" s="26"/>
      <c r="D2428" s="26" t="s">
        <v>543</v>
      </c>
      <c r="E2428" s="26" t="str">
        <f>IFERROR(VLOOKUP(G2428,WholesaleExtract!B:J,9,FALSE),"")</f>
        <v/>
      </c>
      <c r="F2428" s="26" t="str">
        <f>IFERROR(VLOOKUP(G2428,WholesaleExtract!B:J,6,FALSE),"")</f>
        <v/>
      </c>
      <c r="H2428" s="47" t="str">
        <f>IFERROR(VLOOKUP(G2428,WholesaleExtract!B:L,11,FALSE),"")</f>
        <v/>
      </c>
      <c r="I2428" s="26" t="str">
        <f>IFERROR(VLOOKUP(G2428,WholesaleExtract!B:O,8,FALSE),"")</f>
        <v/>
      </c>
      <c r="J2428" s="26" t="str">
        <f>IFERROR(VLOOKUP(G2428,WholesaleExtract!B:O,14,FALSE),"")</f>
        <v/>
      </c>
      <c r="K2428" s="26" t="str">
        <f>IFERROR(VLOOKUP(G2428,WholesaleExtract!B:K,10,FALSE),"")</f>
        <v/>
      </c>
      <c r="L2428" s="47" t="str">
        <f>IFERROR(VLOOKUP(G2428,WholesaleExtract!B:L,11,FALSE),"")</f>
        <v/>
      </c>
      <c r="M2428" s="47" t="str">
        <f>IFERROR(VLOOKUP(G2428,WholesaleExtract!B:M,12,FALSE),"")</f>
        <v/>
      </c>
      <c r="R2428" s="19"/>
      <c r="S2428" s="19"/>
    </row>
    <row r="2429" spans="1:19" x14ac:dyDescent="0.35">
      <c r="A2429" s="26" t="s">
        <v>543</v>
      </c>
      <c r="B2429" s="26" t="s">
        <v>543</v>
      </c>
      <c r="C2429" s="26"/>
      <c r="D2429" s="26" t="s">
        <v>543</v>
      </c>
      <c r="E2429" s="26" t="str">
        <f>IFERROR(VLOOKUP(G2429,WholesaleExtract!B:J,9,FALSE),"")</f>
        <v/>
      </c>
      <c r="F2429" s="26" t="str">
        <f>IFERROR(VLOOKUP(G2429,WholesaleExtract!B:J,6,FALSE),"")</f>
        <v/>
      </c>
      <c r="H2429" s="47" t="str">
        <f>IFERROR(VLOOKUP(G2429,WholesaleExtract!B:L,11,FALSE),"")</f>
        <v/>
      </c>
      <c r="I2429" s="26" t="str">
        <f>IFERROR(VLOOKUP(G2429,WholesaleExtract!B:O,8,FALSE),"")</f>
        <v/>
      </c>
      <c r="J2429" s="26" t="str">
        <f>IFERROR(VLOOKUP(G2429,WholesaleExtract!B:O,14,FALSE),"")</f>
        <v/>
      </c>
      <c r="K2429" s="26" t="str">
        <f>IFERROR(VLOOKUP(G2429,WholesaleExtract!B:K,10,FALSE),"")</f>
        <v/>
      </c>
      <c r="L2429" s="47" t="str">
        <f>IFERROR(VLOOKUP(G2429,WholesaleExtract!B:L,11,FALSE),"")</f>
        <v/>
      </c>
      <c r="M2429" s="47" t="str">
        <f>IFERROR(VLOOKUP(G2429,WholesaleExtract!B:M,12,FALSE),"")</f>
        <v/>
      </c>
      <c r="R2429" s="19"/>
      <c r="S2429" s="19"/>
    </row>
    <row r="2430" spans="1:19" x14ac:dyDescent="0.35">
      <c r="A2430" s="26" t="s">
        <v>543</v>
      </c>
      <c r="B2430" s="26" t="s">
        <v>543</v>
      </c>
      <c r="C2430" s="26"/>
      <c r="D2430" s="26" t="s">
        <v>543</v>
      </c>
      <c r="E2430" s="26" t="str">
        <f>IFERROR(VLOOKUP(G2430,WholesaleExtract!B:J,9,FALSE),"")</f>
        <v/>
      </c>
      <c r="F2430" s="26" t="str">
        <f>IFERROR(VLOOKUP(G2430,WholesaleExtract!B:J,6,FALSE),"")</f>
        <v/>
      </c>
      <c r="H2430" s="47" t="str">
        <f>IFERROR(VLOOKUP(G2430,WholesaleExtract!B:L,11,FALSE),"")</f>
        <v/>
      </c>
      <c r="I2430" s="26" t="str">
        <f>IFERROR(VLOOKUP(G2430,WholesaleExtract!B:O,8,FALSE),"")</f>
        <v/>
      </c>
      <c r="J2430" s="26" t="str">
        <f>IFERROR(VLOOKUP(G2430,WholesaleExtract!B:O,14,FALSE),"")</f>
        <v/>
      </c>
      <c r="K2430" s="26" t="str">
        <f>IFERROR(VLOOKUP(G2430,WholesaleExtract!B:K,10,FALSE),"")</f>
        <v/>
      </c>
      <c r="L2430" s="47" t="str">
        <f>IFERROR(VLOOKUP(G2430,WholesaleExtract!B:L,11,FALSE),"")</f>
        <v/>
      </c>
      <c r="M2430" s="47" t="str">
        <f>IFERROR(VLOOKUP(G2430,WholesaleExtract!B:M,12,FALSE),"")</f>
        <v/>
      </c>
      <c r="R2430" s="19"/>
      <c r="S2430" s="19"/>
    </row>
    <row r="2431" spans="1:19" x14ac:dyDescent="0.35">
      <c r="A2431" s="26" t="s">
        <v>543</v>
      </c>
      <c r="B2431" s="26" t="s">
        <v>543</v>
      </c>
      <c r="C2431" s="26"/>
      <c r="D2431" s="26" t="s">
        <v>543</v>
      </c>
      <c r="E2431" s="26" t="str">
        <f>IFERROR(VLOOKUP(G2431,WholesaleExtract!B:J,9,FALSE),"")</f>
        <v/>
      </c>
      <c r="F2431" s="26" t="str">
        <f>IFERROR(VLOOKUP(G2431,WholesaleExtract!B:J,6,FALSE),"")</f>
        <v/>
      </c>
      <c r="H2431" s="47" t="str">
        <f>IFERROR(VLOOKUP(G2431,WholesaleExtract!B:L,11,FALSE),"")</f>
        <v/>
      </c>
      <c r="I2431" s="26" t="str">
        <f>IFERROR(VLOOKUP(G2431,WholesaleExtract!B:O,8,FALSE),"")</f>
        <v/>
      </c>
      <c r="J2431" s="26" t="str">
        <f>IFERROR(VLOOKUP(G2431,WholesaleExtract!B:O,14,FALSE),"")</f>
        <v/>
      </c>
      <c r="K2431" s="26" t="str">
        <f>IFERROR(VLOOKUP(G2431,WholesaleExtract!B:K,10,FALSE),"")</f>
        <v/>
      </c>
      <c r="L2431" s="47" t="str">
        <f>IFERROR(VLOOKUP(G2431,WholesaleExtract!B:L,11,FALSE),"")</f>
        <v/>
      </c>
      <c r="M2431" s="47" t="str">
        <f>IFERROR(VLOOKUP(G2431,WholesaleExtract!B:M,12,FALSE),"")</f>
        <v/>
      </c>
      <c r="R2431" s="19"/>
      <c r="S2431" s="19"/>
    </row>
    <row r="2432" spans="1:19" x14ac:dyDescent="0.35">
      <c r="A2432" s="26" t="s">
        <v>543</v>
      </c>
      <c r="B2432" s="26" t="s">
        <v>543</v>
      </c>
      <c r="C2432" s="26"/>
      <c r="D2432" s="26" t="s">
        <v>543</v>
      </c>
      <c r="E2432" s="26" t="str">
        <f>IFERROR(VLOOKUP(G2432,WholesaleExtract!B:J,9,FALSE),"")</f>
        <v/>
      </c>
      <c r="F2432" s="26" t="str">
        <f>IFERROR(VLOOKUP(G2432,WholesaleExtract!B:J,6,FALSE),"")</f>
        <v/>
      </c>
      <c r="H2432" s="47" t="str">
        <f>IFERROR(VLOOKUP(G2432,WholesaleExtract!B:L,11,FALSE),"")</f>
        <v/>
      </c>
      <c r="I2432" s="26" t="str">
        <f>IFERROR(VLOOKUP(G2432,WholesaleExtract!B:O,8,FALSE),"")</f>
        <v/>
      </c>
      <c r="J2432" s="26" t="str">
        <f>IFERROR(VLOOKUP(G2432,WholesaleExtract!B:O,14,FALSE),"")</f>
        <v/>
      </c>
      <c r="K2432" s="26" t="str">
        <f>IFERROR(VLOOKUP(G2432,WholesaleExtract!B:K,10,FALSE),"")</f>
        <v/>
      </c>
      <c r="L2432" s="47" t="str">
        <f>IFERROR(VLOOKUP(G2432,WholesaleExtract!B:L,11,FALSE),"")</f>
        <v/>
      </c>
      <c r="M2432" s="47" t="str">
        <f>IFERROR(VLOOKUP(G2432,WholesaleExtract!B:M,12,FALSE),"")</f>
        <v/>
      </c>
      <c r="R2432" s="19"/>
      <c r="S2432" s="19"/>
    </row>
    <row r="2433" spans="1:19" x14ac:dyDescent="0.35">
      <c r="A2433" s="26" t="s">
        <v>543</v>
      </c>
      <c r="B2433" s="26" t="s">
        <v>543</v>
      </c>
      <c r="C2433" s="26"/>
      <c r="D2433" s="26" t="s">
        <v>543</v>
      </c>
      <c r="E2433" s="26" t="str">
        <f>IFERROR(VLOOKUP(G2433,WholesaleExtract!B:J,9,FALSE),"")</f>
        <v/>
      </c>
      <c r="F2433" s="26" t="str">
        <f>IFERROR(VLOOKUP(G2433,WholesaleExtract!B:J,6,FALSE),"")</f>
        <v/>
      </c>
      <c r="H2433" s="47" t="str">
        <f>IFERROR(VLOOKUP(G2433,WholesaleExtract!B:L,11,FALSE),"")</f>
        <v/>
      </c>
      <c r="I2433" s="26" t="str">
        <f>IFERROR(VLOOKUP(G2433,WholesaleExtract!B:O,8,FALSE),"")</f>
        <v/>
      </c>
      <c r="J2433" s="26" t="str">
        <f>IFERROR(VLOOKUP(G2433,WholesaleExtract!B:O,14,FALSE),"")</f>
        <v/>
      </c>
      <c r="K2433" s="26" t="str">
        <f>IFERROR(VLOOKUP(G2433,WholesaleExtract!B:K,10,FALSE),"")</f>
        <v/>
      </c>
      <c r="L2433" s="47" t="str">
        <f>IFERROR(VLOOKUP(G2433,WholesaleExtract!B:L,11,FALSE),"")</f>
        <v/>
      </c>
      <c r="M2433" s="47" t="str">
        <f>IFERROR(VLOOKUP(G2433,WholesaleExtract!B:M,12,FALSE),"")</f>
        <v/>
      </c>
      <c r="R2433" s="19"/>
      <c r="S2433" s="19"/>
    </row>
    <row r="2434" spans="1:19" x14ac:dyDescent="0.35">
      <c r="A2434" s="26" t="s">
        <v>543</v>
      </c>
      <c r="B2434" s="26" t="s">
        <v>543</v>
      </c>
      <c r="C2434" s="26"/>
      <c r="D2434" s="26" t="s">
        <v>543</v>
      </c>
      <c r="E2434" s="26" t="str">
        <f>IFERROR(VLOOKUP(G2434,WholesaleExtract!B:J,9,FALSE),"")</f>
        <v/>
      </c>
      <c r="F2434" s="26" t="str">
        <f>IFERROR(VLOOKUP(G2434,WholesaleExtract!B:J,6,FALSE),"")</f>
        <v/>
      </c>
      <c r="H2434" s="47" t="str">
        <f>IFERROR(VLOOKUP(G2434,WholesaleExtract!B:L,11,FALSE),"")</f>
        <v/>
      </c>
      <c r="I2434" s="26" t="str">
        <f>IFERROR(VLOOKUP(G2434,WholesaleExtract!B:O,8,FALSE),"")</f>
        <v/>
      </c>
      <c r="J2434" s="26" t="str">
        <f>IFERROR(VLOOKUP(G2434,WholesaleExtract!B:O,14,FALSE),"")</f>
        <v/>
      </c>
      <c r="K2434" s="26" t="str">
        <f>IFERROR(VLOOKUP(G2434,WholesaleExtract!B:K,10,FALSE),"")</f>
        <v/>
      </c>
      <c r="L2434" s="47" t="str">
        <f>IFERROR(VLOOKUP(G2434,WholesaleExtract!B:L,11,FALSE),"")</f>
        <v/>
      </c>
      <c r="M2434" s="47" t="str">
        <f>IFERROR(VLOOKUP(G2434,WholesaleExtract!B:M,12,FALSE),"")</f>
        <v/>
      </c>
      <c r="R2434" s="19"/>
      <c r="S2434" s="19"/>
    </row>
    <row r="2435" spans="1:19" x14ac:dyDescent="0.35">
      <c r="A2435" s="26" t="s">
        <v>543</v>
      </c>
      <c r="B2435" s="26" t="s">
        <v>543</v>
      </c>
      <c r="C2435" s="26"/>
      <c r="D2435" s="26" t="s">
        <v>543</v>
      </c>
      <c r="E2435" s="26" t="str">
        <f>IFERROR(VLOOKUP(G2435,WholesaleExtract!B:J,9,FALSE),"")</f>
        <v/>
      </c>
      <c r="F2435" s="26" t="str">
        <f>IFERROR(VLOOKUP(G2435,WholesaleExtract!B:J,6,FALSE),"")</f>
        <v/>
      </c>
      <c r="H2435" s="47" t="str">
        <f>IFERROR(VLOOKUP(G2435,WholesaleExtract!B:L,11,FALSE),"")</f>
        <v/>
      </c>
      <c r="I2435" s="26" t="str">
        <f>IFERROR(VLOOKUP(G2435,WholesaleExtract!B:O,8,FALSE),"")</f>
        <v/>
      </c>
      <c r="J2435" s="26" t="str">
        <f>IFERROR(VLOOKUP(G2435,WholesaleExtract!B:O,14,FALSE),"")</f>
        <v/>
      </c>
      <c r="K2435" s="26" t="str">
        <f>IFERROR(VLOOKUP(G2435,WholesaleExtract!B:K,10,FALSE),"")</f>
        <v/>
      </c>
      <c r="L2435" s="47" t="str">
        <f>IFERROR(VLOOKUP(G2435,WholesaleExtract!B:L,11,FALSE),"")</f>
        <v/>
      </c>
      <c r="M2435" s="47" t="str">
        <f>IFERROR(VLOOKUP(G2435,WholesaleExtract!B:M,12,FALSE),"")</f>
        <v/>
      </c>
      <c r="R2435" s="19"/>
      <c r="S2435" s="19"/>
    </row>
    <row r="2436" spans="1:19" x14ac:dyDescent="0.35">
      <c r="A2436" s="26" t="s">
        <v>543</v>
      </c>
      <c r="B2436" s="26" t="s">
        <v>543</v>
      </c>
      <c r="C2436" s="26"/>
      <c r="D2436" s="26" t="s">
        <v>543</v>
      </c>
      <c r="E2436" s="26" t="str">
        <f>IFERROR(VLOOKUP(G2436,WholesaleExtract!B:J,9,FALSE),"")</f>
        <v/>
      </c>
      <c r="F2436" s="26" t="str">
        <f>IFERROR(VLOOKUP(G2436,WholesaleExtract!B:J,6,FALSE),"")</f>
        <v/>
      </c>
      <c r="H2436" s="47" t="str">
        <f>IFERROR(VLOOKUP(G2436,WholesaleExtract!B:L,11,FALSE),"")</f>
        <v/>
      </c>
      <c r="I2436" s="26" t="str">
        <f>IFERROR(VLOOKUP(G2436,WholesaleExtract!B:O,8,FALSE),"")</f>
        <v/>
      </c>
      <c r="J2436" s="26" t="str">
        <f>IFERROR(VLOOKUP(G2436,WholesaleExtract!B:O,14,FALSE),"")</f>
        <v/>
      </c>
      <c r="K2436" s="26" t="str">
        <f>IFERROR(VLOOKUP(G2436,WholesaleExtract!B:K,10,FALSE),"")</f>
        <v/>
      </c>
      <c r="L2436" s="47" t="str">
        <f>IFERROR(VLOOKUP(G2436,WholesaleExtract!B:L,11,FALSE),"")</f>
        <v/>
      </c>
      <c r="M2436" s="47" t="str">
        <f>IFERROR(VLOOKUP(G2436,WholesaleExtract!B:M,12,FALSE),"")</f>
        <v/>
      </c>
      <c r="R2436" s="19"/>
      <c r="S2436" s="19"/>
    </row>
    <row r="2437" spans="1:19" x14ac:dyDescent="0.35">
      <c r="A2437" s="26" t="s">
        <v>543</v>
      </c>
      <c r="B2437" s="26" t="s">
        <v>543</v>
      </c>
      <c r="C2437" s="26"/>
      <c r="D2437" s="26" t="s">
        <v>543</v>
      </c>
      <c r="E2437" s="26" t="str">
        <f>IFERROR(VLOOKUP(G2437,WholesaleExtract!B:J,9,FALSE),"")</f>
        <v/>
      </c>
      <c r="F2437" s="26" t="str">
        <f>IFERROR(VLOOKUP(G2437,WholesaleExtract!B:J,6,FALSE),"")</f>
        <v/>
      </c>
      <c r="H2437" s="47" t="str">
        <f>IFERROR(VLOOKUP(G2437,WholesaleExtract!B:L,11,FALSE),"")</f>
        <v/>
      </c>
      <c r="I2437" s="26" t="str">
        <f>IFERROR(VLOOKUP(G2437,WholesaleExtract!B:O,8,FALSE),"")</f>
        <v/>
      </c>
      <c r="J2437" s="26" t="str">
        <f>IFERROR(VLOOKUP(G2437,WholesaleExtract!B:O,14,FALSE),"")</f>
        <v/>
      </c>
      <c r="K2437" s="26" t="str">
        <f>IFERROR(VLOOKUP(G2437,WholesaleExtract!B:K,10,FALSE),"")</f>
        <v/>
      </c>
      <c r="L2437" s="47" t="str">
        <f>IFERROR(VLOOKUP(G2437,WholesaleExtract!B:L,11,FALSE),"")</f>
        <v/>
      </c>
      <c r="M2437" s="47" t="str">
        <f>IFERROR(VLOOKUP(G2437,WholesaleExtract!B:M,12,FALSE),"")</f>
        <v/>
      </c>
      <c r="R2437" s="19"/>
      <c r="S2437" s="19"/>
    </row>
    <row r="2438" spans="1:19" x14ac:dyDescent="0.35">
      <c r="A2438" s="26" t="s">
        <v>543</v>
      </c>
      <c r="B2438" s="26" t="s">
        <v>543</v>
      </c>
      <c r="C2438" s="26"/>
      <c r="D2438" s="26" t="s">
        <v>543</v>
      </c>
      <c r="E2438" s="26" t="str">
        <f>IFERROR(VLOOKUP(G2438,WholesaleExtract!B:J,9,FALSE),"")</f>
        <v/>
      </c>
      <c r="F2438" s="26" t="str">
        <f>IFERROR(VLOOKUP(G2438,WholesaleExtract!B:J,6,FALSE),"")</f>
        <v/>
      </c>
      <c r="H2438" s="47" t="str">
        <f>IFERROR(VLOOKUP(G2438,WholesaleExtract!B:L,11,FALSE),"")</f>
        <v/>
      </c>
      <c r="I2438" s="26" t="str">
        <f>IFERROR(VLOOKUP(G2438,WholesaleExtract!B:O,8,FALSE),"")</f>
        <v/>
      </c>
      <c r="J2438" s="26" t="str">
        <f>IFERROR(VLOOKUP(G2438,WholesaleExtract!B:O,14,FALSE),"")</f>
        <v/>
      </c>
      <c r="K2438" s="26" t="str">
        <f>IFERROR(VLOOKUP(G2438,WholesaleExtract!B:K,10,FALSE),"")</f>
        <v/>
      </c>
      <c r="L2438" s="47" t="str">
        <f>IFERROR(VLOOKUP(G2438,WholesaleExtract!B:L,11,FALSE),"")</f>
        <v/>
      </c>
      <c r="M2438" s="47" t="str">
        <f>IFERROR(VLOOKUP(G2438,WholesaleExtract!B:M,12,FALSE),"")</f>
        <v/>
      </c>
      <c r="R2438" s="19"/>
      <c r="S2438" s="19"/>
    </row>
    <row r="2439" spans="1:19" x14ac:dyDescent="0.35">
      <c r="A2439" s="26" t="s">
        <v>543</v>
      </c>
      <c r="B2439" s="26" t="s">
        <v>543</v>
      </c>
      <c r="C2439" s="26"/>
      <c r="D2439" s="26" t="s">
        <v>543</v>
      </c>
      <c r="E2439" s="26" t="str">
        <f>IFERROR(VLOOKUP(G2439,WholesaleExtract!B:J,9,FALSE),"")</f>
        <v/>
      </c>
      <c r="F2439" s="26" t="str">
        <f>IFERROR(VLOOKUP(G2439,WholesaleExtract!B:J,6,FALSE),"")</f>
        <v/>
      </c>
      <c r="H2439" s="47" t="str">
        <f>IFERROR(VLOOKUP(G2439,WholesaleExtract!B:L,11,FALSE),"")</f>
        <v/>
      </c>
      <c r="I2439" s="26" t="str">
        <f>IFERROR(VLOOKUP(G2439,WholesaleExtract!B:O,8,FALSE),"")</f>
        <v/>
      </c>
      <c r="J2439" s="26" t="str">
        <f>IFERROR(VLOOKUP(G2439,WholesaleExtract!B:O,14,FALSE),"")</f>
        <v/>
      </c>
      <c r="K2439" s="26" t="str">
        <f>IFERROR(VLOOKUP(G2439,WholesaleExtract!B:K,10,FALSE),"")</f>
        <v/>
      </c>
      <c r="L2439" s="47" t="str">
        <f>IFERROR(VLOOKUP(G2439,WholesaleExtract!B:L,11,FALSE),"")</f>
        <v/>
      </c>
      <c r="M2439" s="47" t="str">
        <f>IFERROR(VLOOKUP(G2439,WholesaleExtract!B:M,12,FALSE),"")</f>
        <v/>
      </c>
      <c r="R2439" s="19"/>
      <c r="S2439" s="19"/>
    </row>
    <row r="2440" spans="1:19" x14ac:dyDescent="0.35">
      <c r="A2440" s="26" t="s">
        <v>543</v>
      </c>
      <c r="B2440" s="26" t="s">
        <v>543</v>
      </c>
      <c r="C2440" s="26"/>
      <c r="D2440" s="26" t="s">
        <v>543</v>
      </c>
      <c r="E2440" s="26" t="str">
        <f>IFERROR(VLOOKUP(G2440,WholesaleExtract!B:J,9,FALSE),"")</f>
        <v/>
      </c>
      <c r="F2440" s="26" t="str">
        <f>IFERROR(VLOOKUP(G2440,WholesaleExtract!B:J,6,FALSE),"")</f>
        <v/>
      </c>
      <c r="H2440" s="47" t="str">
        <f>IFERROR(VLOOKUP(G2440,WholesaleExtract!B:L,11,FALSE),"")</f>
        <v/>
      </c>
      <c r="I2440" s="26" t="str">
        <f>IFERROR(VLOOKUP(G2440,WholesaleExtract!B:O,8,FALSE),"")</f>
        <v/>
      </c>
      <c r="J2440" s="26" t="str">
        <f>IFERROR(VLOOKUP(G2440,WholesaleExtract!B:O,14,FALSE),"")</f>
        <v/>
      </c>
      <c r="K2440" s="26" t="str">
        <f>IFERROR(VLOOKUP(G2440,WholesaleExtract!B:K,10,FALSE),"")</f>
        <v/>
      </c>
      <c r="L2440" s="47" t="str">
        <f>IFERROR(VLOOKUP(G2440,WholesaleExtract!B:L,11,FALSE),"")</f>
        <v/>
      </c>
      <c r="M2440" s="47" t="str">
        <f>IFERROR(VLOOKUP(G2440,WholesaleExtract!B:M,12,FALSE),"")</f>
        <v/>
      </c>
      <c r="R2440" s="19"/>
      <c r="S2440" s="19"/>
    </row>
    <row r="2441" spans="1:19" x14ac:dyDescent="0.35">
      <c r="A2441" s="26" t="s">
        <v>543</v>
      </c>
      <c r="B2441" s="26" t="s">
        <v>543</v>
      </c>
      <c r="C2441" s="26"/>
      <c r="D2441" s="26" t="s">
        <v>543</v>
      </c>
      <c r="E2441" s="26" t="str">
        <f>IFERROR(VLOOKUP(G2441,WholesaleExtract!B:J,9,FALSE),"")</f>
        <v/>
      </c>
      <c r="F2441" s="26" t="str">
        <f>IFERROR(VLOOKUP(G2441,WholesaleExtract!B:J,6,FALSE),"")</f>
        <v/>
      </c>
      <c r="H2441" s="47" t="str">
        <f>IFERROR(VLOOKUP(G2441,WholesaleExtract!B:L,11,FALSE),"")</f>
        <v/>
      </c>
      <c r="I2441" s="26" t="str">
        <f>IFERROR(VLOOKUP(G2441,WholesaleExtract!B:O,8,FALSE),"")</f>
        <v/>
      </c>
      <c r="J2441" s="26" t="str">
        <f>IFERROR(VLOOKUP(G2441,WholesaleExtract!B:O,14,FALSE),"")</f>
        <v/>
      </c>
      <c r="K2441" s="26" t="str">
        <f>IFERROR(VLOOKUP(G2441,WholesaleExtract!B:K,10,FALSE),"")</f>
        <v/>
      </c>
      <c r="L2441" s="47" t="str">
        <f>IFERROR(VLOOKUP(G2441,WholesaleExtract!B:L,11,FALSE),"")</f>
        <v/>
      </c>
      <c r="M2441" s="47" t="str">
        <f>IFERROR(VLOOKUP(G2441,WholesaleExtract!B:M,12,FALSE),"")</f>
        <v/>
      </c>
      <c r="R2441" s="19"/>
      <c r="S2441" s="19"/>
    </row>
    <row r="2442" spans="1:19" x14ac:dyDescent="0.35">
      <c r="A2442" s="26" t="s">
        <v>543</v>
      </c>
      <c r="B2442" s="26" t="s">
        <v>543</v>
      </c>
      <c r="C2442" s="26"/>
      <c r="D2442" s="26" t="s">
        <v>543</v>
      </c>
      <c r="E2442" s="26" t="str">
        <f>IFERROR(VLOOKUP(G2442,WholesaleExtract!B:J,9,FALSE),"")</f>
        <v/>
      </c>
      <c r="F2442" s="26" t="str">
        <f>IFERROR(VLOOKUP(G2442,WholesaleExtract!B:J,6,FALSE),"")</f>
        <v/>
      </c>
      <c r="H2442" s="47" t="str">
        <f>IFERROR(VLOOKUP(G2442,WholesaleExtract!B:L,11,FALSE),"")</f>
        <v/>
      </c>
      <c r="I2442" s="26" t="str">
        <f>IFERROR(VLOOKUP(G2442,WholesaleExtract!B:O,8,FALSE),"")</f>
        <v/>
      </c>
      <c r="J2442" s="26" t="str">
        <f>IFERROR(VLOOKUP(G2442,WholesaleExtract!B:O,14,FALSE),"")</f>
        <v/>
      </c>
      <c r="K2442" s="26" t="str">
        <f>IFERROR(VLOOKUP(G2442,WholesaleExtract!B:K,10,FALSE),"")</f>
        <v/>
      </c>
      <c r="L2442" s="47" t="str">
        <f>IFERROR(VLOOKUP(G2442,WholesaleExtract!B:L,11,FALSE),"")</f>
        <v/>
      </c>
      <c r="M2442" s="47" t="str">
        <f>IFERROR(VLOOKUP(G2442,WholesaleExtract!B:M,12,FALSE),"")</f>
        <v/>
      </c>
      <c r="R2442" s="19"/>
      <c r="S2442" s="19"/>
    </row>
    <row r="2443" spans="1:19" x14ac:dyDescent="0.35">
      <c r="A2443" s="26" t="s">
        <v>543</v>
      </c>
      <c r="B2443" s="26" t="s">
        <v>543</v>
      </c>
      <c r="C2443" s="26"/>
      <c r="D2443" s="26" t="s">
        <v>543</v>
      </c>
      <c r="E2443" s="26" t="str">
        <f>IFERROR(VLOOKUP(G2443,WholesaleExtract!B:J,9,FALSE),"")</f>
        <v/>
      </c>
      <c r="F2443" s="26" t="str">
        <f>IFERROR(VLOOKUP(G2443,WholesaleExtract!B:J,6,FALSE),"")</f>
        <v/>
      </c>
      <c r="H2443" s="47" t="str">
        <f>IFERROR(VLOOKUP(G2443,WholesaleExtract!B:L,11,FALSE),"")</f>
        <v/>
      </c>
      <c r="I2443" s="26" t="str">
        <f>IFERROR(VLOOKUP(G2443,WholesaleExtract!B:O,8,FALSE),"")</f>
        <v/>
      </c>
      <c r="J2443" s="26" t="str">
        <f>IFERROR(VLOOKUP(G2443,WholesaleExtract!B:O,14,FALSE),"")</f>
        <v/>
      </c>
      <c r="K2443" s="26" t="str">
        <f>IFERROR(VLOOKUP(G2443,WholesaleExtract!B:K,10,FALSE),"")</f>
        <v/>
      </c>
      <c r="L2443" s="47" t="str">
        <f>IFERROR(VLOOKUP(G2443,WholesaleExtract!B:L,11,FALSE),"")</f>
        <v/>
      </c>
      <c r="M2443" s="47" t="str">
        <f>IFERROR(VLOOKUP(G2443,WholesaleExtract!B:M,12,FALSE),"")</f>
        <v/>
      </c>
      <c r="R2443" s="19"/>
      <c r="S2443" s="19"/>
    </row>
    <row r="2444" spans="1:19" x14ac:dyDescent="0.35">
      <c r="A2444" s="26" t="s">
        <v>543</v>
      </c>
      <c r="B2444" s="26" t="s">
        <v>543</v>
      </c>
      <c r="C2444" s="26"/>
      <c r="D2444" s="26" t="s">
        <v>543</v>
      </c>
      <c r="E2444" s="26" t="str">
        <f>IFERROR(VLOOKUP(G2444,WholesaleExtract!B:J,9,FALSE),"")</f>
        <v/>
      </c>
      <c r="F2444" s="26" t="str">
        <f>IFERROR(VLOOKUP(G2444,WholesaleExtract!B:J,6,FALSE),"")</f>
        <v/>
      </c>
      <c r="H2444" s="47" t="str">
        <f>IFERROR(VLOOKUP(G2444,WholesaleExtract!B:L,11,FALSE),"")</f>
        <v/>
      </c>
      <c r="I2444" s="26" t="str">
        <f>IFERROR(VLOOKUP(G2444,WholesaleExtract!B:O,8,FALSE),"")</f>
        <v/>
      </c>
      <c r="J2444" s="26" t="str">
        <f>IFERROR(VLOOKUP(G2444,WholesaleExtract!B:O,14,FALSE),"")</f>
        <v/>
      </c>
      <c r="K2444" s="26" t="str">
        <f>IFERROR(VLOOKUP(G2444,WholesaleExtract!B:K,10,FALSE),"")</f>
        <v/>
      </c>
      <c r="L2444" s="47" t="str">
        <f>IFERROR(VLOOKUP(G2444,WholesaleExtract!B:L,11,FALSE),"")</f>
        <v/>
      </c>
      <c r="M2444" s="47" t="str">
        <f>IFERROR(VLOOKUP(G2444,WholesaleExtract!B:M,12,FALSE),"")</f>
        <v/>
      </c>
      <c r="R2444" s="19"/>
      <c r="S2444" s="19"/>
    </row>
    <row r="2445" spans="1:19" x14ac:dyDescent="0.35">
      <c r="A2445" s="26" t="s">
        <v>543</v>
      </c>
      <c r="B2445" s="26" t="s">
        <v>543</v>
      </c>
      <c r="C2445" s="26"/>
      <c r="D2445" s="26" t="s">
        <v>543</v>
      </c>
      <c r="E2445" s="26" t="str">
        <f>IFERROR(VLOOKUP(G2445,WholesaleExtract!B:J,9,FALSE),"")</f>
        <v/>
      </c>
      <c r="F2445" s="26" t="str">
        <f>IFERROR(VLOOKUP(G2445,WholesaleExtract!B:J,6,FALSE),"")</f>
        <v/>
      </c>
      <c r="H2445" s="47" t="str">
        <f>IFERROR(VLOOKUP(G2445,WholesaleExtract!B:L,11,FALSE),"")</f>
        <v/>
      </c>
      <c r="I2445" s="26" t="str">
        <f>IFERROR(VLOOKUP(G2445,WholesaleExtract!B:O,8,FALSE),"")</f>
        <v/>
      </c>
      <c r="J2445" s="26" t="str">
        <f>IFERROR(VLOOKUP(G2445,WholesaleExtract!B:O,14,FALSE),"")</f>
        <v/>
      </c>
      <c r="K2445" s="26" t="str">
        <f>IFERROR(VLOOKUP(G2445,WholesaleExtract!B:K,10,FALSE),"")</f>
        <v/>
      </c>
      <c r="L2445" s="47" t="str">
        <f>IFERROR(VLOOKUP(G2445,WholesaleExtract!B:L,11,FALSE),"")</f>
        <v/>
      </c>
      <c r="M2445" s="47" t="str">
        <f>IFERROR(VLOOKUP(G2445,WholesaleExtract!B:M,12,FALSE),"")</f>
        <v/>
      </c>
      <c r="R2445" s="19"/>
      <c r="S2445" s="19"/>
    </row>
    <row r="2446" spans="1:19" x14ac:dyDescent="0.35">
      <c r="A2446" s="26" t="s">
        <v>543</v>
      </c>
      <c r="B2446" s="26" t="s">
        <v>543</v>
      </c>
      <c r="C2446" s="26"/>
      <c r="D2446" s="26" t="s">
        <v>543</v>
      </c>
      <c r="E2446" s="26" t="str">
        <f>IFERROR(VLOOKUP(G2446,WholesaleExtract!B:J,9,FALSE),"")</f>
        <v/>
      </c>
      <c r="F2446" s="26" t="str">
        <f>IFERROR(VLOOKUP(G2446,WholesaleExtract!B:J,6,FALSE),"")</f>
        <v/>
      </c>
      <c r="H2446" s="47" t="str">
        <f>IFERROR(VLOOKUP(G2446,WholesaleExtract!B:L,11,FALSE),"")</f>
        <v/>
      </c>
      <c r="I2446" s="26" t="str">
        <f>IFERROR(VLOOKUP(G2446,WholesaleExtract!B:O,8,FALSE),"")</f>
        <v/>
      </c>
      <c r="J2446" s="26" t="str">
        <f>IFERROR(VLOOKUP(G2446,WholesaleExtract!B:O,14,FALSE),"")</f>
        <v/>
      </c>
      <c r="K2446" s="26" t="str">
        <f>IFERROR(VLOOKUP(G2446,WholesaleExtract!B:K,10,FALSE),"")</f>
        <v/>
      </c>
      <c r="L2446" s="47" t="str">
        <f>IFERROR(VLOOKUP(G2446,WholesaleExtract!B:L,11,FALSE),"")</f>
        <v/>
      </c>
      <c r="M2446" s="47" t="str">
        <f>IFERROR(VLOOKUP(G2446,WholesaleExtract!B:M,12,FALSE),"")</f>
        <v/>
      </c>
      <c r="R2446" s="19"/>
      <c r="S2446" s="19"/>
    </row>
    <row r="2447" spans="1:19" x14ac:dyDescent="0.35">
      <c r="A2447" s="26" t="s">
        <v>543</v>
      </c>
      <c r="B2447" s="26" t="s">
        <v>543</v>
      </c>
      <c r="C2447" s="26"/>
      <c r="D2447" s="26" t="s">
        <v>543</v>
      </c>
      <c r="E2447" s="26" t="str">
        <f>IFERROR(VLOOKUP(G2447,WholesaleExtract!B:J,9,FALSE),"")</f>
        <v/>
      </c>
      <c r="F2447" s="26" t="str">
        <f>IFERROR(VLOOKUP(G2447,WholesaleExtract!B:J,6,FALSE),"")</f>
        <v/>
      </c>
      <c r="H2447" s="47" t="str">
        <f>IFERROR(VLOOKUP(G2447,WholesaleExtract!B:L,11,FALSE),"")</f>
        <v/>
      </c>
      <c r="I2447" s="26" t="str">
        <f>IFERROR(VLOOKUP(G2447,WholesaleExtract!B:O,8,FALSE),"")</f>
        <v/>
      </c>
      <c r="J2447" s="26" t="str">
        <f>IFERROR(VLOOKUP(G2447,WholesaleExtract!B:O,14,FALSE),"")</f>
        <v/>
      </c>
      <c r="K2447" s="26" t="str">
        <f>IFERROR(VLOOKUP(G2447,WholesaleExtract!B:K,10,FALSE),"")</f>
        <v/>
      </c>
      <c r="L2447" s="47" t="str">
        <f>IFERROR(VLOOKUP(G2447,WholesaleExtract!B:L,11,FALSE),"")</f>
        <v/>
      </c>
      <c r="M2447" s="47" t="str">
        <f>IFERROR(VLOOKUP(G2447,WholesaleExtract!B:M,12,FALSE),"")</f>
        <v/>
      </c>
      <c r="R2447" s="19"/>
      <c r="S2447" s="19"/>
    </row>
    <row r="2448" spans="1:19" x14ac:dyDescent="0.35">
      <c r="A2448" s="26" t="s">
        <v>543</v>
      </c>
      <c r="B2448" s="26" t="s">
        <v>543</v>
      </c>
      <c r="C2448" s="26"/>
      <c r="D2448" s="26" t="s">
        <v>543</v>
      </c>
      <c r="E2448" s="26" t="str">
        <f>IFERROR(VLOOKUP(G2448,WholesaleExtract!B:J,9,FALSE),"")</f>
        <v/>
      </c>
      <c r="F2448" s="26" t="str">
        <f>IFERROR(VLOOKUP(G2448,WholesaleExtract!B:J,6,FALSE),"")</f>
        <v/>
      </c>
      <c r="H2448" s="47" t="str">
        <f>IFERROR(VLOOKUP(G2448,WholesaleExtract!B:L,11,FALSE),"")</f>
        <v/>
      </c>
      <c r="I2448" s="26" t="str">
        <f>IFERROR(VLOOKUP(G2448,WholesaleExtract!B:O,8,FALSE),"")</f>
        <v/>
      </c>
      <c r="J2448" s="26" t="str">
        <f>IFERROR(VLOOKUP(G2448,WholesaleExtract!B:O,14,FALSE),"")</f>
        <v/>
      </c>
      <c r="K2448" s="26" t="str">
        <f>IFERROR(VLOOKUP(G2448,WholesaleExtract!B:K,10,FALSE),"")</f>
        <v/>
      </c>
      <c r="L2448" s="47" t="str">
        <f>IFERROR(VLOOKUP(G2448,WholesaleExtract!B:L,11,FALSE),"")</f>
        <v/>
      </c>
      <c r="M2448" s="47" t="str">
        <f>IFERROR(VLOOKUP(G2448,WholesaleExtract!B:M,12,FALSE),"")</f>
        <v/>
      </c>
      <c r="R2448" s="19"/>
      <c r="S2448" s="19"/>
    </row>
    <row r="2449" spans="1:19" x14ac:dyDescent="0.35">
      <c r="A2449" s="26" t="s">
        <v>543</v>
      </c>
      <c r="B2449" s="26" t="s">
        <v>543</v>
      </c>
      <c r="C2449" s="26"/>
      <c r="D2449" s="26" t="s">
        <v>543</v>
      </c>
      <c r="E2449" s="26" t="str">
        <f>IFERROR(VLOOKUP(G2449,WholesaleExtract!B:J,9,FALSE),"")</f>
        <v/>
      </c>
      <c r="F2449" s="26" t="str">
        <f>IFERROR(VLOOKUP(G2449,WholesaleExtract!B:J,6,FALSE),"")</f>
        <v/>
      </c>
      <c r="H2449" s="47" t="str">
        <f>IFERROR(VLOOKUP(G2449,WholesaleExtract!B:L,11,FALSE),"")</f>
        <v/>
      </c>
      <c r="I2449" s="26" t="str">
        <f>IFERROR(VLOOKUP(G2449,WholesaleExtract!B:O,8,FALSE),"")</f>
        <v/>
      </c>
      <c r="J2449" s="26" t="str">
        <f>IFERROR(VLOOKUP(G2449,WholesaleExtract!B:O,14,FALSE),"")</f>
        <v/>
      </c>
      <c r="K2449" s="26" t="str">
        <f>IFERROR(VLOOKUP(G2449,WholesaleExtract!B:K,10,FALSE),"")</f>
        <v/>
      </c>
      <c r="L2449" s="47" t="str">
        <f>IFERROR(VLOOKUP(G2449,WholesaleExtract!B:L,11,FALSE),"")</f>
        <v/>
      </c>
      <c r="M2449" s="47" t="str">
        <f>IFERROR(VLOOKUP(G2449,WholesaleExtract!B:M,12,FALSE),"")</f>
        <v/>
      </c>
      <c r="R2449" s="19"/>
      <c r="S2449" s="19"/>
    </row>
    <row r="2450" spans="1:19" x14ac:dyDescent="0.35">
      <c r="A2450" s="26" t="s">
        <v>543</v>
      </c>
      <c r="B2450" s="26" t="s">
        <v>543</v>
      </c>
      <c r="C2450" s="26"/>
      <c r="D2450" s="26" t="s">
        <v>543</v>
      </c>
      <c r="E2450" s="26" t="str">
        <f>IFERROR(VLOOKUP(G2450,WholesaleExtract!B:J,9,FALSE),"")</f>
        <v/>
      </c>
      <c r="F2450" s="26" t="str">
        <f>IFERROR(VLOOKUP(G2450,WholesaleExtract!B:J,6,FALSE),"")</f>
        <v/>
      </c>
      <c r="H2450" s="47" t="str">
        <f>IFERROR(VLOOKUP(G2450,WholesaleExtract!B:L,11,FALSE),"")</f>
        <v/>
      </c>
      <c r="I2450" s="26" t="str">
        <f>IFERROR(VLOOKUP(G2450,WholesaleExtract!B:O,8,FALSE),"")</f>
        <v/>
      </c>
      <c r="J2450" s="26" t="str">
        <f>IFERROR(VLOOKUP(G2450,WholesaleExtract!B:O,14,FALSE),"")</f>
        <v/>
      </c>
      <c r="K2450" s="26" t="str">
        <f>IFERROR(VLOOKUP(G2450,WholesaleExtract!B:K,10,FALSE),"")</f>
        <v/>
      </c>
      <c r="L2450" s="47" t="str">
        <f>IFERROR(VLOOKUP(G2450,WholesaleExtract!B:L,11,FALSE),"")</f>
        <v/>
      </c>
      <c r="M2450" s="47" t="str">
        <f>IFERROR(VLOOKUP(G2450,WholesaleExtract!B:M,12,FALSE),"")</f>
        <v/>
      </c>
      <c r="R2450" s="19"/>
      <c r="S2450" s="19"/>
    </row>
    <row r="2451" spans="1:19" x14ac:dyDescent="0.35">
      <c r="A2451" s="26" t="s">
        <v>543</v>
      </c>
      <c r="B2451" s="26" t="s">
        <v>543</v>
      </c>
      <c r="C2451" s="26"/>
      <c r="D2451" s="26" t="s">
        <v>543</v>
      </c>
      <c r="E2451" s="26" t="str">
        <f>IFERROR(VLOOKUP(G2451,WholesaleExtract!B:J,9,FALSE),"")</f>
        <v/>
      </c>
      <c r="F2451" s="26" t="str">
        <f>IFERROR(VLOOKUP(G2451,WholesaleExtract!B:J,6,FALSE),"")</f>
        <v/>
      </c>
      <c r="H2451" s="47" t="str">
        <f>IFERROR(VLOOKUP(G2451,WholesaleExtract!B:L,11,FALSE),"")</f>
        <v/>
      </c>
      <c r="I2451" s="26" t="str">
        <f>IFERROR(VLOOKUP(G2451,WholesaleExtract!B:O,8,FALSE),"")</f>
        <v/>
      </c>
      <c r="J2451" s="26" t="str">
        <f>IFERROR(VLOOKUP(G2451,WholesaleExtract!B:O,14,FALSE),"")</f>
        <v/>
      </c>
      <c r="K2451" s="26" t="str">
        <f>IFERROR(VLOOKUP(G2451,WholesaleExtract!B:K,10,FALSE),"")</f>
        <v/>
      </c>
      <c r="L2451" s="47" t="str">
        <f>IFERROR(VLOOKUP(G2451,WholesaleExtract!B:L,11,FALSE),"")</f>
        <v/>
      </c>
      <c r="M2451" s="47" t="str">
        <f>IFERROR(VLOOKUP(G2451,WholesaleExtract!B:M,12,FALSE),"")</f>
        <v/>
      </c>
      <c r="R2451" s="19"/>
      <c r="S2451" s="19"/>
    </row>
    <row r="2452" spans="1:19" x14ac:dyDescent="0.35">
      <c r="A2452" s="26" t="s">
        <v>543</v>
      </c>
      <c r="B2452" s="26" t="s">
        <v>543</v>
      </c>
      <c r="C2452" s="26"/>
      <c r="D2452" s="26" t="s">
        <v>543</v>
      </c>
      <c r="E2452" s="26" t="str">
        <f>IFERROR(VLOOKUP(G2452,WholesaleExtract!B:J,9,FALSE),"")</f>
        <v/>
      </c>
      <c r="F2452" s="26" t="str">
        <f>IFERROR(VLOOKUP(G2452,WholesaleExtract!B:J,6,FALSE),"")</f>
        <v/>
      </c>
      <c r="H2452" s="47" t="str">
        <f>IFERROR(VLOOKUP(G2452,WholesaleExtract!B:L,11,FALSE),"")</f>
        <v/>
      </c>
      <c r="I2452" s="26" t="str">
        <f>IFERROR(VLOOKUP(G2452,WholesaleExtract!B:O,8,FALSE),"")</f>
        <v/>
      </c>
      <c r="J2452" s="26" t="str">
        <f>IFERROR(VLOOKUP(G2452,WholesaleExtract!B:O,14,FALSE),"")</f>
        <v/>
      </c>
      <c r="K2452" s="26" t="str">
        <f>IFERROR(VLOOKUP(G2452,WholesaleExtract!B:K,10,FALSE),"")</f>
        <v/>
      </c>
      <c r="L2452" s="47" t="str">
        <f>IFERROR(VLOOKUP(G2452,WholesaleExtract!B:L,11,FALSE),"")</f>
        <v/>
      </c>
      <c r="M2452" s="47" t="str">
        <f>IFERROR(VLOOKUP(G2452,WholesaleExtract!B:M,12,FALSE),"")</f>
        <v/>
      </c>
      <c r="R2452" s="19"/>
      <c r="S2452" s="19"/>
    </row>
    <row r="2453" spans="1:19" x14ac:dyDescent="0.35">
      <c r="A2453" s="26" t="s">
        <v>543</v>
      </c>
      <c r="B2453" s="26" t="s">
        <v>543</v>
      </c>
      <c r="C2453" s="26"/>
      <c r="D2453" s="26" t="s">
        <v>543</v>
      </c>
      <c r="E2453" s="26" t="str">
        <f>IFERROR(VLOOKUP(G2453,WholesaleExtract!B:J,9,FALSE),"")</f>
        <v/>
      </c>
      <c r="F2453" s="26" t="str">
        <f>IFERROR(VLOOKUP(G2453,WholesaleExtract!B:J,6,FALSE),"")</f>
        <v/>
      </c>
      <c r="H2453" s="47" t="str">
        <f>IFERROR(VLOOKUP(G2453,WholesaleExtract!B:L,11,FALSE),"")</f>
        <v/>
      </c>
      <c r="I2453" s="26" t="str">
        <f>IFERROR(VLOOKUP(G2453,WholesaleExtract!B:O,8,FALSE),"")</f>
        <v/>
      </c>
      <c r="J2453" s="26" t="str">
        <f>IFERROR(VLOOKUP(G2453,WholesaleExtract!B:O,14,FALSE),"")</f>
        <v/>
      </c>
      <c r="K2453" s="26" t="str">
        <f>IFERROR(VLOOKUP(G2453,WholesaleExtract!B:K,10,FALSE),"")</f>
        <v/>
      </c>
      <c r="L2453" s="47" t="str">
        <f>IFERROR(VLOOKUP(G2453,WholesaleExtract!B:L,11,FALSE),"")</f>
        <v/>
      </c>
      <c r="M2453" s="47" t="str">
        <f>IFERROR(VLOOKUP(G2453,WholesaleExtract!B:M,12,FALSE),"")</f>
        <v/>
      </c>
      <c r="R2453" s="19"/>
      <c r="S2453" s="19"/>
    </row>
    <row r="2454" spans="1:19" x14ac:dyDescent="0.35">
      <c r="A2454" s="26" t="s">
        <v>543</v>
      </c>
      <c r="B2454" s="26" t="s">
        <v>543</v>
      </c>
      <c r="C2454" s="26"/>
      <c r="D2454" s="26" t="s">
        <v>543</v>
      </c>
      <c r="E2454" s="26" t="str">
        <f>IFERROR(VLOOKUP(G2454,WholesaleExtract!B:J,9,FALSE),"")</f>
        <v/>
      </c>
      <c r="F2454" s="26" t="str">
        <f>IFERROR(VLOOKUP(G2454,WholesaleExtract!B:J,6,FALSE),"")</f>
        <v/>
      </c>
      <c r="H2454" s="47" t="str">
        <f>IFERROR(VLOOKUP(G2454,WholesaleExtract!B:L,11,FALSE),"")</f>
        <v/>
      </c>
      <c r="I2454" s="26" t="str">
        <f>IFERROR(VLOOKUP(G2454,WholesaleExtract!B:O,8,FALSE),"")</f>
        <v/>
      </c>
      <c r="J2454" s="26" t="str">
        <f>IFERROR(VLOOKUP(G2454,WholesaleExtract!B:O,14,FALSE),"")</f>
        <v/>
      </c>
      <c r="K2454" s="26" t="str">
        <f>IFERROR(VLOOKUP(G2454,WholesaleExtract!B:K,10,FALSE),"")</f>
        <v/>
      </c>
      <c r="L2454" s="47" t="str">
        <f>IFERROR(VLOOKUP(G2454,WholesaleExtract!B:L,11,FALSE),"")</f>
        <v/>
      </c>
      <c r="M2454" s="47" t="str">
        <f>IFERROR(VLOOKUP(G2454,WholesaleExtract!B:M,12,FALSE),"")</f>
        <v/>
      </c>
      <c r="R2454" s="19"/>
      <c r="S2454" s="19"/>
    </row>
    <row r="2455" spans="1:19" x14ac:dyDescent="0.35">
      <c r="A2455" s="26" t="s">
        <v>543</v>
      </c>
      <c r="B2455" s="26" t="s">
        <v>543</v>
      </c>
      <c r="C2455" s="26"/>
      <c r="D2455" s="26" t="s">
        <v>543</v>
      </c>
      <c r="E2455" s="26" t="str">
        <f>IFERROR(VLOOKUP(G2455,WholesaleExtract!B:J,9,FALSE),"")</f>
        <v/>
      </c>
      <c r="F2455" s="26" t="str">
        <f>IFERROR(VLOOKUP(G2455,WholesaleExtract!B:J,6,FALSE),"")</f>
        <v/>
      </c>
      <c r="H2455" s="47" t="str">
        <f>IFERROR(VLOOKUP(G2455,WholesaleExtract!B:L,11,FALSE),"")</f>
        <v/>
      </c>
      <c r="I2455" s="26" t="str">
        <f>IFERROR(VLOOKUP(G2455,WholesaleExtract!B:O,8,FALSE),"")</f>
        <v/>
      </c>
      <c r="J2455" s="26" t="str">
        <f>IFERROR(VLOOKUP(G2455,WholesaleExtract!B:O,14,FALSE),"")</f>
        <v/>
      </c>
      <c r="K2455" s="26" t="str">
        <f>IFERROR(VLOOKUP(G2455,WholesaleExtract!B:K,10,FALSE),"")</f>
        <v/>
      </c>
      <c r="L2455" s="47" t="str">
        <f>IFERROR(VLOOKUP(G2455,WholesaleExtract!B:L,11,FALSE),"")</f>
        <v/>
      </c>
      <c r="M2455" s="47" t="str">
        <f>IFERROR(VLOOKUP(G2455,WholesaleExtract!B:M,12,FALSE),"")</f>
        <v/>
      </c>
      <c r="R2455" s="19"/>
      <c r="S2455" s="19"/>
    </row>
    <row r="2456" spans="1:19" x14ac:dyDescent="0.35">
      <c r="A2456" s="26" t="s">
        <v>543</v>
      </c>
      <c r="B2456" s="26" t="s">
        <v>543</v>
      </c>
      <c r="C2456" s="26"/>
      <c r="D2456" s="26" t="s">
        <v>543</v>
      </c>
      <c r="E2456" s="26" t="str">
        <f>IFERROR(VLOOKUP(G2456,WholesaleExtract!B:J,9,FALSE),"")</f>
        <v/>
      </c>
      <c r="F2456" s="26" t="str">
        <f>IFERROR(VLOOKUP(G2456,WholesaleExtract!B:J,6,FALSE),"")</f>
        <v/>
      </c>
      <c r="H2456" s="47" t="str">
        <f>IFERROR(VLOOKUP(G2456,WholesaleExtract!B:L,11,FALSE),"")</f>
        <v/>
      </c>
      <c r="I2456" s="26" t="str">
        <f>IFERROR(VLOOKUP(G2456,WholesaleExtract!B:O,8,FALSE),"")</f>
        <v/>
      </c>
      <c r="J2456" s="26" t="str">
        <f>IFERROR(VLOOKUP(G2456,WholesaleExtract!B:O,14,FALSE),"")</f>
        <v/>
      </c>
      <c r="K2456" s="26" t="str">
        <f>IFERROR(VLOOKUP(G2456,WholesaleExtract!B:K,10,FALSE),"")</f>
        <v/>
      </c>
      <c r="L2456" s="47" t="str">
        <f>IFERROR(VLOOKUP(G2456,WholesaleExtract!B:L,11,FALSE),"")</f>
        <v/>
      </c>
      <c r="M2456" s="47" t="str">
        <f>IFERROR(VLOOKUP(G2456,WholesaleExtract!B:M,12,FALSE),"")</f>
        <v/>
      </c>
      <c r="R2456" s="19"/>
      <c r="S2456" s="19"/>
    </row>
    <row r="2457" spans="1:19" x14ac:dyDescent="0.35">
      <c r="A2457" s="26" t="s">
        <v>543</v>
      </c>
      <c r="B2457" s="26" t="s">
        <v>543</v>
      </c>
      <c r="C2457" s="26"/>
      <c r="D2457" s="26" t="s">
        <v>543</v>
      </c>
      <c r="E2457" s="26" t="str">
        <f>IFERROR(VLOOKUP(G2457,WholesaleExtract!B:J,9,FALSE),"")</f>
        <v/>
      </c>
      <c r="F2457" s="26" t="str">
        <f>IFERROR(VLOOKUP(G2457,WholesaleExtract!B:J,6,FALSE),"")</f>
        <v/>
      </c>
      <c r="H2457" s="47" t="str">
        <f>IFERROR(VLOOKUP(G2457,WholesaleExtract!B:L,11,FALSE),"")</f>
        <v/>
      </c>
      <c r="I2457" s="26" t="str">
        <f>IFERROR(VLOOKUP(G2457,WholesaleExtract!B:O,8,FALSE),"")</f>
        <v/>
      </c>
      <c r="J2457" s="26" t="str">
        <f>IFERROR(VLOOKUP(G2457,WholesaleExtract!B:O,14,FALSE),"")</f>
        <v/>
      </c>
      <c r="K2457" s="26" t="str">
        <f>IFERROR(VLOOKUP(G2457,WholesaleExtract!B:K,10,FALSE),"")</f>
        <v/>
      </c>
      <c r="L2457" s="47" t="str">
        <f>IFERROR(VLOOKUP(G2457,WholesaleExtract!B:L,11,FALSE),"")</f>
        <v/>
      </c>
      <c r="M2457" s="47" t="str">
        <f>IFERROR(VLOOKUP(G2457,WholesaleExtract!B:M,12,FALSE),"")</f>
        <v/>
      </c>
      <c r="R2457" s="19"/>
      <c r="S2457" s="19"/>
    </row>
    <row r="2458" spans="1:19" x14ac:dyDescent="0.35">
      <c r="A2458" s="26" t="s">
        <v>543</v>
      </c>
      <c r="B2458" s="26" t="s">
        <v>543</v>
      </c>
      <c r="C2458" s="26"/>
      <c r="D2458" s="26" t="s">
        <v>543</v>
      </c>
      <c r="E2458" s="26" t="str">
        <f>IFERROR(VLOOKUP(G2458,WholesaleExtract!B:J,9,FALSE),"")</f>
        <v/>
      </c>
      <c r="F2458" s="26" t="str">
        <f>IFERROR(VLOOKUP(G2458,WholesaleExtract!B:J,6,FALSE),"")</f>
        <v/>
      </c>
      <c r="H2458" s="47" t="str">
        <f>IFERROR(VLOOKUP(G2458,WholesaleExtract!B:L,11,FALSE),"")</f>
        <v/>
      </c>
      <c r="I2458" s="26" t="str">
        <f>IFERROR(VLOOKUP(G2458,WholesaleExtract!B:O,8,FALSE),"")</f>
        <v/>
      </c>
      <c r="J2458" s="26" t="str">
        <f>IFERROR(VLOOKUP(G2458,WholesaleExtract!B:O,14,FALSE),"")</f>
        <v/>
      </c>
      <c r="K2458" s="26" t="str">
        <f>IFERROR(VLOOKUP(G2458,WholesaleExtract!B:K,10,FALSE),"")</f>
        <v/>
      </c>
      <c r="L2458" s="47" t="str">
        <f>IFERROR(VLOOKUP(G2458,WholesaleExtract!B:L,11,FALSE),"")</f>
        <v/>
      </c>
      <c r="M2458" s="47" t="str">
        <f>IFERROR(VLOOKUP(G2458,WholesaleExtract!B:M,12,FALSE),"")</f>
        <v/>
      </c>
      <c r="R2458" s="19"/>
      <c r="S2458" s="19"/>
    </row>
    <row r="2459" spans="1:19" x14ac:dyDescent="0.35">
      <c r="A2459" s="26" t="s">
        <v>543</v>
      </c>
      <c r="B2459" s="26" t="s">
        <v>543</v>
      </c>
      <c r="C2459" s="26"/>
      <c r="D2459" s="26" t="s">
        <v>543</v>
      </c>
      <c r="E2459" s="26" t="str">
        <f>IFERROR(VLOOKUP(G2459,WholesaleExtract!B:J,9,FALSE),"")</f>
        <v/>
      </c>
      <c r="F2459" s="26" t="str">
        <f>IFERROR(VLOOKUP(G2459,WholesaleExtract!B:J,6,FALSE),"")</f>
        <v/>
      </c>
      <c r="H2459" s="47" t="str">
        <f>IFERROR(VLOOKUP(G2459,WholesaleExtract!B:L,11,FALSE),"")</f>
        <v/>
      </c>
      <c r="I2459" s="26" t="str">
        <f>IFERROR(VLOOKUP(G2459,WholesaleExtract!B:O,8,FALSE),"")</f>
        <v/>
      </c>
      <c r="J2459" s="26" t="str">
        <f>IFERROR(VLOOKUP(G2459,WholesaleExtract!B:O,14,FALSE),"")</f>
        <v/>
      </c>
      <c r="K2459" s="26" t="str">
        <f>IFERROR(VLOOKUP(G2459,WholesaleExtract!B:K,10,FALSE),"")</f>
        <v/>
      </c>
      <c r="L2459" s="47" t="str">
        <f>IFERROR(VLOOKUP(G2459,WholesaleExtract!B:L,11,FALSE),"")</f>
        <v/>
      </c>
      <c r="M2459" s="47" t="str">
        <f>IFERROR(VLOOKUP(G2459,WholesaleExtract!B:M,12,FALSE),"")</f>
        <v/>
      </c>
      <c r="R2459" s="19"/>
      <c r="S2459" s="19"/>
    </row>
    <row r="2460" spans="1:19" x14ac:dyDescent="0.35">
      <c r="A2460" s="26" t="s">
        <v>543</v>
      </c>
      <c r="B2460" s="26" t="s">
        <v>543</v>
      </c>
      <c r="C2460" s="26"/>
      <c r="D2460" s="26" t="s">
        <v>543</v>
      </c>
      <c r="E2460" s="26" t="str">
        <f>IFERROR(VLOOKUP(G2460,WholesaleExtract!B:J,9,FALSE),"")</f>
        <v/>
      </c>
      <c r="F2460" s="26" t="str">
        <f>IFERROR(VLOOKUP(G2460,WholesaleExtract!B:J,6,FALSE),"")</f>
        <v/>
      </c>
      <c r="H2460" s="47" t="str">
        <f>IFERROR(VLOOKUP(G2460,WholesaleExtract!B:L,11,FALSE),"")</f>
        <v/>
      </c>
      <c r="I2460" s="26" t="str">
        <f>IFERROR(VLOOKUP(G2460,WholesaleExtract!B:O,8,FALSE),"")</f>
        <v/>
      </c>
      <c r="J2460" s="26" t="str">
        <f>IFERROR(VLOOKUP(G2460,WholesaleExtract!B:O,14,FALSE),"")</f>
        <v/>
      </c>
      <c r="K2460" s="26" t="str">
        <f>IFERROR(VLOOKUP(G2460,WholesaleExtract!B:K,10,FALSE),"")</f>
        <v/>
      </c>
      <c r="L2460" s="47" t="str">
        <f>IFERROR(VLOOKUP(G2460,WholesaleExtract!B:L,11,FALSE),"")</f>
        <v/>
      </c>
      <c r="M2460" s="47" t="str">
        <f>IFERROR(VLOOKUP(G2460,WholesaleExtract!B:M,12,FALSE),"")</f>
        <v/>
      </c>
      <c r="R2460" s="19"/>
      <c r="S2460" s="19"/>
    </row>
    <row r="2461" spans="1:19" x14ac:dyDescent="0.35">
      <c r="A2461" s="26" t="s">
        <v>543</v>
      </c>
      <c r="B2461" s="26" t="s">
        <v>543</v>
      </c>
      <c r="C2461" s="26"/>
      <c r="D2461" s="26" t="s">
        <v>543</v>
      </c>
      <c r="E2461" s="26" t="str">
        <f>IFERROR(VLOOKUP(G2461,WholesaleExtract!B:J,9,FALSE),"")</f>
        <v/>
      </c>
      <c r="F2461" s="26" t="str">
        <f>IFERROR(VLOOKUP(G2461,WholesaleExtract!B:J,6,FALSE),"")</f>
        <v/>
      </c>
      <c r="H2461" s="47" t="str">
        <f>IFERROR(VLOOKUP(G2461,WholesaleExtract!B:L,11,FALSE),"")</f>
        <v/>
      </c>
      <c r="I2461" s="26" t="str">
        <f>IFERROR(VLOOKUP(G2461,WholesaleExtract!B:O,8,FALSE),"")</f>
        <v/>
      </c>
      <c r="J2461" s="26" t="str">
        <f>IFERROR(VLOOKUP(G2461,WholesaleExtract!B:O,14,FALSE),"")</f>
        <v/>
      </c>
      <c r="K2461" s="26" t="str">
        <f>IFERROR(VLOOKUP(G2461,WholesaleExtract!B:K,10,FALSE),"")</f>
        <v/>
      </c>
      <c r="L2461" s="47" t="str">
        <f>IFERROR(VLOOKUP(G2461,WholesaleExtract!B:L,11,FALSE),"")</f>
        <v/>
      </c>
      <c r="M2461" s="47" t="str">
        <f>IFERROR(VLOOKUP(G2461,WholesaleExtract!B:M,12,FALSE),"")</f>
        <v/>
      </c>
      <c r="R2461" s="19"/>
      <c r="S2461" s="19"/>
    </row>
    <row r="2462" spans="1:19" x14ac:dyDescent="0.35">
      <c r="A2462" s="26" t="s">
        <v>543</v>
      </c>
      <c r="B2462" s="26" t="s">
        <v>543</v>
      </c>
      <c r="C2462" s="26"/>
      <c r="D2462" s="26" t="s">
        <v>543</v>
      </c>
      <c r="E2462" s="26" t="str">
        <f>IFERROR(VLOOKUP(G2462,WholesaleExtract!B:J,9,FALSE),"")</f>
        <v/>
      </c>
      <c r="F2462" s="26" t="str">
        <f>IFERROR(VLOOKUP(G2462,WholesaleExtract!B:J,6,FALSE),"")</f>
        <v/>
      </c>
      <c r="H2462" s="47" t="str">
        <f>IFERROR(VLOOKUP(G2462,WholesaleExtract!B:L,11,FALSE),"")</f>
        <v/>
      </c>
      <c r="I2462" s="26" t="str">
        <f>IFERROR(VLOOKUP(G2462,WholesaleExtract!B:O,8,FALSE),"")</f>
        <v/>
      </c>
      <c r="J2462" s="26" t="str">
        <f>IFERROR(VLOOKUP(G2462,WholesaleExtract!B:O,14,FALSE),"")</f>
        <v/>
      </c>
      <c r="K2462" s="26" t="str">
        <f>IFERROR(VLOOKUP(G2462,WholesaleExtract!B:K,10,FALSE),"")</f>
        <v/>
      </c>
      <c r="L2462" s="47" t="str">
        <f>IFERROR(VLOOKUP(G2462,WholesaleExtract!B:L,11,FALSE),"")</f>
        <v/>
      </c>
      <c r="M2462" s="47" t="str">
        <f>IFERROR(VLOOKUP(G2462,WholesaleExtract!B:M,12,FALSE),"")</f>
        <v/>
      </c>
      <c r="R2462" s="19"/>
      <c r="S2462" s="19"/>
    </row>
    <row r="2463" spans="1:19" x14ac:dyDescent="0.35">
      <c r="A2463" s="26" t="s">
        <v>543</v>
      </c>
      <c r="B2463" s="26" t="s">
        <v>543</v>
      </c>
      <c r="C2463" s="26"/>
      <c r="D2463" s="26" t="s">
        <v>543</v>
      </c>
      <c r="E2463" s="26" t="str">
        <f>IFERROR(VLOOKUP(G2463,WholesaleExtract!B:J,9,FALSE),"")</f>
        <v/>
      </c>
      <c r="F2463" s="26" t="str">
        <f>IFERROR(VLOOKUP(G2463,WholesaleExtract!B:J,6,FALSE),"")</f>
        <v/>
      </c>
      <c r="H2463" s="47" t="str">
        <f>IFERROR(VLOOKUP(G2463,WholesaleExtract!B:L,11,FALSE),"")</f>
        <v/>
      </c>
      <c r="I2463" s="26" t="str">
        <f>IFERROR(VLOOKUP(G2463,WholesaleExtract!B:O,8,FALSE),"")</f>
        <v/>
      </c>
      <c r="J2463" s="26" t="str">
        <f>IFERROR(VLOOKUP(G2463,WholesaleExtract!B:O,14,FALSE),"")</f>
        <v/>
      </c>
      <c r="K2463" s="26" t="str">
        <f>IFERROR(VLOOKUP(G2463,WholesaleExtract!B:K,10,FALSE),"")</f>
        <v/>
      </c>
      <c r="L2463" s="47" t="str">
        <f>IFERROR(VLOOKUP(G2463,WholesaleExtract!B:L,11,FALSE),"")</f>
        <v/>
      </c>
      <c r="M2463" s="47" t="str">
        <f>IFERROR(VLOOKUP(G2463,WholesaleExtract!B:M,12,FALSE),"")</f>
        <v/>
      </c>
      <c r="R2463" s="19"/>
      <c r="S2463" s="19"/>
    </row>
    <row r="2464" spans="1:19" x14ac:dyDescent="0.35">
      <c r="A2464" s="26" t="s">
        <v>543</v>
      </c>
      <c r="B2464" s="26" t="s">
        <v>543</v>
      </c>
      <c r="C2464" s="26"/>
      <c r="D2464" s="26" t="s">
        <v>543</v>
      </c>
      <c r="E2464" s="26" t="str">
        <f>IFERROR(VLOOKUP(G2464,WholesaleExtract!B:J,9,FALSE),"")</f>
        <v/>
      </c>
      <c r="F2464" s="26" t="str">
        <f>IFERROR(VLOOKUP(G2464,WholesaleExtract!B:J,6,FALSE),"")</f>
        <v/>
      </c>
      <c r="H2464" s="47" t="str">
        <f>IFERROR(VLOOKUP(G2464,WholesaleExtract!B:L,11,FALSE),"")</f>
        <v/>
      </c>
      <c r="I2464" s="26" t="str">
        <f>IFERROR(VLOOKUP(G2464,WholesaleExtract!B:O,8,FALSE),"")</f>
        <v/>
      </c>
      <c r="J2464" s="26" t="str">
        <f>IFERROR(VLOOKUP(G2464,WholesaleExtract!B:O,14,FALSE),"")</f>
        <v/>
      </c>
      <c r="K2464" s="26" t="str">
        <f>IFERROR(VLOOKUP(G2464,WholesaleExtract!B:K,10,FALSE),"")</f>
        <v/>
      </c>
      <c r="L2464" s="47" t="str">
        <f>IFERROR(VLOOKUP(G2464,WholesaleExtract!B:L,11,FALSE),"")</f>
        <v/>
      </c>
      <c r="M2464" s="47" t="str">
        <f>IFERROR(VLOOKUP(G2464,WholesaleExtract!B:M,12,FALSE),"")</f>
        <v/>
      </c>
      <c r="R2464" s="19"/>
      <c r="S2464" s="19"/>
    </row>
    <row r="2465" spans="1:19" x14ac:dyDescent="0.35">
      <c r="A2465" s="26" t="s">
        <v>543</v>
      </c>
      <c r="B2465" s="26" t="s">
        <v>543</v>
      </c>
      <c r="C2465" s="26"/>
      <c r="D2465" s="26" t="s">
        <v>543</v>
      </c>
      <c r="E2465" s="26" t="str">
        <f>IFERROR(VLOOKUP(G2465,WholesaleExtract!B:J,9,FALSE),"")</f>
        <v/>
      </c>
      <c r="F2465" s="26" t="str">
        <f>IFERROR(VLOOKUP(G2465,WholesaleExtract!B:J,6,FALSE),"")</f>
        <v/>
      </c>
      <c r="H2465" s="47" t="str">
        <f>IFERROR(VLOOKUP(G2465,WholesaleExtract!B:L,11,FALSE),"")</f>
        <v/>
      </c>
      <c r="I2465" s="26" t="str">
        <f>IFERROR(VLOOKUP(G2465,WholesaleExtract!B:O,8,FALSE),"")</f>
        <v/>
      </c>
      <c r="J2465" s="26" t="str">
        <f>IFERROR(VLOOKUP(G2465,WholesaleExtract!B:O,14,FALSE),"")</f>
        <v/>
      </c>
      <c r="K2465" s="26" t="str">
        <f>IFERROR(VLOOKUP(G2465,WholesaleExtract!B:K,10,FALSE),"")</f>
        <v/>
      </c>
      <c r="L2465" s="47" t="str">
        <f>IFERROR(VLOOKUP(G2465,WholesaleExtract!B:L,11,FALSE),"")</f>
        <v/>
      </c>
      <c r="M2465" s="47" t="str">
        <f>IFERROR(VLOOKUP(G2465,WholesaleExtract!B:M,12,FALSE),"")</f>
        <v/>
      </c>
      <c r="R2465" s="19"/>
      <c r="S2465" s="19"/>
    </row>
    <row r="2466" spans="1:19" x14ac:dyDescent="0.35">
      <c r="A2466" s="26" t="s">
        <v>543</v>
      </c>
      <c r="B2466" s="26" t="s">
        <v>543</v>
      </c>
      <c r="C2466" s="26"/>
      <c r="D2466" s="26" t="s">
        <v>543</v>
      </c>
      <c r="E2466" s="26" t="str">
        <f>IFERROR(VLOOKUP(G2466,WholesaleExtract!B:J,9,FALSE),"")</f>
        <v/>
      </c>
      <c r="F2466" s="26" t="str">
        <f>IFERROR(VLOOKUP(G2466,WholesaleExtract!B:J,6,FALSE),"")</f>
        <v/>
      </c>
      <c r="H2466" s="47" t="str">
        <f>IFERROR(VLOOKUP(G2466,WholesaleExtract!B:L,11,FALSE),"")</f>
        <v/>
      </c>
      <c r="I2466" s="26" t="str">
        <f>IFERROR(VLOOKUP(G2466,WholesaleExtract!B:O,8,FALSE),"")</f>
        <v/>
      </c>
      <c r="J2466" s="26" t="str">
        <f>IFERROR(VLOOKUP(G2466,WholesaleExtract!B:O,14,FALSE),"")</f>
        <v/>
      </c>
      <c r="K2466" s="26" t="str">
        <f>IFERROR(VLOOKUP(G2466,WholesaleExtract!B:K,10,FALSE),"")</f>
        <v/>
      </c>
      <c r="L2466" s="47" t="str">
        <f>IFERROR(VLOOKUP(G2466,WholesaleExtract!B:L,11,FALSE),"")</f>
        <v/>
      </c>
      <c r="M2466" s="47" t="str">
        <f>IFERROR(VLOOKUP(G2466,WholesaleExtract!B:M,12,FALSE),"")</f>
        <v/>
      </c>
      <c r="R2466" s="19"/>
      <c r="S2466" s="19"/>
    </row>
    <row r="2467" spans="1:19" x14ac:dyDescent="0.35">
      <c r="A2467" s="26" t="s">
        <v>543</v>
      </c>
      <c r="B2467" s="26" t="s">
        <v>543</v>
      </c>
      <c r="C2467" s="26"/>
      <c r="D2467" s="26" t="s">
        <v>543</v>
      </c>
      <c r="E2467" s="26" t="str">
        <f>IFERROR(VLOOKUP(G2467,WholesaleExtract!B:J,9,FALSE),"")</f>
        <v/>
      </c>
      <c r="F2467" s="26" t="str">
        <f>IFERROR(VLOOKUP(G2467,WholesaleExtract!B:J,6,FALSE),"")</f>
        <v/>
      </c>
      <c r="H2467" s="47" t="str">
        <f>IFERROR(VLOOKUP(G2467,WholesaleExtract!B:L,11,FALSE),"")</f>
        <v/>
      </c>
      <c r="I2467" s="26" t="str">
        <f>IFERROR(VLOOKUP(G2467,WholesaleExtract!B:O,8,FALSE),"")</f>
        <v/>
      </c>
      <c r="J2467" s="26" t="str">
        <f>IFERROR(VLOOKUP(G2467,WholesaleExtract!B:O,14,FALSE),"")</f>
        <v/>
      </c>
      <c r="K2467" s="26" t="str">
        <f>IFERROR(VLOOKUP(G2467,WholesaleExtract!B:K,10,FALSE),"")</f>
        <v/>
      </c>
      <c r="L2467" s="47" t="str">
        <f>IFERROR(VLOOKUP(G2467,WholesaleExtract!B:L,11,FALSE),"")</f>
        <v/>
      </c>
      <c r="M2467" s="47" t="str">
        <f>IFERROR(VLOOKUP(G2467,WholesaleExtract!B:M,12,FALSE),"")</f>
        <v/>
      </c>
      <c r="R2467" s="19"/>
      <c r="S2467" s="19"/>
    </row>
    <row r="2468" spans="1:19" x14ac:dyDescent="0.35">
      <c r="A2468" s="26" t="s">
        <v>543</v>
      </c>
      <c r="B2468" s="26" t="s">
        <v>543</v>
      </c>
      <c r="C2468" s="26"/>
      <c r="D2468" s="26" t="s">
        <v>543</v>
      </c>
      <c r="E2468" s="26" t="str">
        <f>IFERROR(VLOOKUP(G2468,WholesaleExtract!B:J,9,FALSE),"")</f>
        <v/>
      </c>
      <c r="F2468" s="26" t="str">
        <f>IFERROR(VLOOKUP(G2468,WholesaleExtract!B:J,6,FALSE),"")</f>
        <v/>
      </c>
      <c r="H2468" s="47" t="str">
        <f>IFERROR(VLOOKUP(G2468,WholesaleExtract!B:L,11,FALSE),"")</f>
        <v/>
      </c>
      <c r="I2468" s="26" t="str">
        <f>IFERROR(VLOOKUP(G2468,WholesaleExtract!B:O,8,FALSE),"")</f>
        <v/>
      </c>
      <c r="J2468" s="26" t="str">
        <f>IFERROR(VLOOKUP(G2468,WholesaleExtract!B:O,14,FALSE),"")</f>
        <v/>
      </c>
      <c r="K2468" s="26" t="str">
        <f>IFERROR(VLOOKUP(G2468,WholesaleExtract!B:K,10,FALSE),"")</f>
        <v/>
      </c>
      <c r="L2468" s="47" t="str">
        <f>IFERROR(VLOOKUP(G2468,WholesaleExtract!B:L,11,FALSE),"")</f>
        <v/>
      </c>
      <c r="M2468" s="47" t="str">
        <f>IFERROR(VLOOKUP(G2468,WholesaleExtract!B:M,12,FALSE),"")</f>
        <v/>
      </c>
      <c r="R2468" s="19"/>
      <c r="S2468" s="19"/>
    </row>
    <row r="2469" spans="1:19" x14ac:dyDescent="0.35">
      <c r="A2469" s="26" t="s">
        <v>543</v>
      </c>
      <c r="B2469" s="26" t="s">
        <v>543</v>
      </c>
      <c r="C2469" s="26"/>
      <c r="D2469" s="26" t="s">
        <v>543</v>
      </c>
      <c r="E2469" s="26" t="str">
        <f>IFERROR(VLOOKUP(G2469,WholesaleExtract!B:J,9,FALSE),"")</f>
        <v/>
      </c>
      <c r="F2469" s="26" t="str">
        <f>IFERROR(VLOOKUP(G2469,WholesaleExtract!B:J,6,FALSE),"")</f>
        <v/>
      </c>
      <c r="H2469" s="47" t="str">
        <f>IFERROR(VLOOKUP(G2469,WholesaleExtract!B:L,11,FALSE),"")</f>
        <v/>
      </c>
      <c r="I2469" s="26" t="str">
        <f>IFERROR(VLOOKUP(G2469,WholesaleExtract!B:O,8,FALSE),"")</f>
        <v/>
      </c>
      <c r="J2469" s="26" t="str">
        <f>IFERROR(VLOOKUP(G2469,WholesaleExtract!B:O,14,FALSE),"")</f>
        <v/>
      </c>
      <c r="K2469" s="26" t="str">
        <f>IFERROR(VLOOKUP(G2469,WholesaleExtract!B:K,10,FALSE),"")</f>
        <v/>
      </c>
      <c r="L2469" s="47" t="str">
        <f>IFERROR(VLOOKUP(G2469,WholesaleExtract!B:L,11,FALSE),"")</f>
        <v/>
      </c>
      <c r="M2469" s="47" t="str">
        <f>IFERROR(VLOOKUP(G2469,WholesaleExtract!B:M,12,FALSE),"")</f>
        <v/>
      </c>
      <c r="R2469" s="19"/>
      <c r="S2469" s="19"/>
    </row>
    <row r="2470" spans="1:19" x14ac:dyDescent="0.35">
      <c r="A2470" s="26" t="s">
        <v>543</v>
      </c>
      <c r="B2470" s="26" t="s">
        <v>543</v>
      </c>
      <c r="C2470" s="26"/>
      <c r="D2470" s="26" t="s">
        <v>543</v>
      </c>
      <c r="E2470" s="26" t="str">
        <f>IFERROR(VLOOKUP(G2470,WholesaleExtract!B:J,9,FALSE),"")</f>
        <v/>
      </c>
      <c r="F2470" s="26" t="str">
        <f>IFERROR(VLOOKUP(G2470,WholesaleExtract!B:J,6,FALSE),"")</f>
        <v/>
      </c>
      <c r="H2470" s="47" t="str">
        <f>IFERROR(VLOOKUP(G2470,WholesaleExtract!B:L,11,FALSE),"")</f>
        <v/>
      </c>
      <c r="I2470" s="26" t="str">
        <f>IFERROR(VLOOKUP(G2470,WholesaleExtract!B:O,8,FALSE),"")</f>
        <v/>
      </c>
      <c r="J2470" s="26" t="str">
        <f>IFERROR(VLOOKUP(G2470,WholesaleExtract!B:O,14,FALSE),"")</f>
        <v/>
      </c>
      <c r="K2470" s="26" t="str">
        <f>IFERROR(VLOOKUP(G2470,WholesaleExtract!B:K,10,FALSE),"")</f>
        <v/>
      </c>
      <c r="L2470" s="47" t="str">
        <f>IFERROR(VLOOKUP(G2470,WholesaleExtract!B:L,11,FALSE),"")</f>
        <v/>
      </c>
      <c r="M2470" s="47" t="str">
        <f>IFERROR(VLOOKUP(G2470,WholesaleExtract!B:M,12,FALSE),"")</f>
        <v/>
      </c>
      <c r="R2470" s="19"/>
      <c r="S2470" s="19"/>
    </row>
    <row r="2471" spans="1:19" x14ac:dyDescent="0.35">
      <c r="A2471" s="26" t="s">
        <v>543</v>
      </c>
      <c r="B2471" s="26" t="s">
        <v>543</v>
      </c>
      <c r="C2471" s="26"/>
      <c r="D2471" s="26" t="s">
        <v>543</v>
      </c>
      <c r="E2471" s="26" t="str">
        <f>IFERROR(VLOOKUP(G2471,WholesaleExtract!B:J,9,FALSE),"")</f>
        <v/>
      </c>
      <c r="F2471" s="26" t="str">
        <f>IFERROR(VLOOKUP(G2471,WholesaleExtract!B:J,6,FALSE),"")</f>
        <v/>
      </c>
      <c r="H2471" s="47" t="str">
        <f>IFERROR(VLOOKUP(G2471,WholesaleExtract!B:L,11,FALSE),"")</f>
        <v/>
      </c>
      <c r="I2471" s="26" t="str">
        <f>IFERROR(VLOOKUP(G2471,WholesaleExtract!B:O,8,FALSE),"")</f>
        <v/>
      </c>
      <c r="J2471" s="26" t="str">
        <f>IFERROR(VLOOKUP(G2471,WholesaleExtract!B:O,14,FALSE),"")</f>
        <v/>
      </c>
      <c r="K2471" s="26" t="str">
        <f>IFERROR(VLOOKUP(G2471,WholesaleExtract!B:K,10,FALSE),"")</f>
        <v/>
      </c>
      <c r="L2471" s="47" t="str">
        <f>IFERROR(VLOOKUP(G2471,WholesaleExtract!B:L,11,FALSE),"")</f>
        <v/>
      </c>
      <c r="M2471" s="47" t="str">
        <f>IFERROR(VLOOKUP(G2471,WholesaleExtract!B:M,12,FALSE),"")</f>
        <v/>
      </c>
      <c r="R2471" s="19"/>
      <c r="S2471" s="19"/>
    </row>
    <row r="2472" spans="1:19" x14ac:dyDescent="0.35">
      <c r="A2472" s="26" t="s">
        <v>543</v>
      </c>
      <c r="B2472" s="26" t="s">
        <v>543</v>
      </c>
      <c r="C2472" s="26"/>
      <c r="D2472" s="26" t="s">
        <v>543</v>
      </c>
      <c r="E2472" s="26" t="str">
        <f>IFERROR(VLOOKUP(G2472,WholesaleExtract!B:J,9,FALSE),"")</f>
        <v/>
      </c>
      <c r="F2472" s="26" t="str">
        <f>IFERROR(VLOOKUP(G2472,WholesaleExtract!B:J,6,FALSE),"")</f>
        <v/>
      </c>
      <c r="H2472" s="47" t="str">
        <f>IFERROR(VLOOKUP(G2472,WholesaleExtract!B:L,11,FALSE),"")</f>
        <v/>
      </c>
      <c r="I2472" s="26" t="str">
        <f>IFERROR(VLOOKUP(G2472,WholesaleExtract!B:O,8,FALSE),"")</f>
        <v/>
      </c>
      <c r="J2472" s="26" t="str">
        <f>IFERROR(VLOOKUP(G2472,WholesaleExtract!B:O,14,FALSE),"")</f>
        <v/>
      </c>
      <c r="K2472" s="26" t="str">
        <f>IFERROR(VLOOKUP(G2472,WholesaleExtract!B:K,10,FALSE),"")</f>
        <v/>
      </c>
      <c r="L2472" s="47" t="str">
        <f>IFERROR(VLOOKUP(G2472,WholesaleExtract!B:L,11,FALSE),"")</f>
        <v/>
      </c>
      <c r="M2472" s="47" t="str">
        <f>IFERROR(VLOOKUP(G2472,WholesaleExtract!B:M,12,FALSE),"")</f>
        <v/>
      </c>
      <c r="R2472" s="19"/>
      <c r="S2472" s="19"/>
    </row>
    <row r="2473" spans="1:19" x14ac:dyDescent="0.35">
      <c r="A2473" s="26" t="s">
        <v>543</v>
      </c>
      <c r="B2473" s="26" t="s">
        <v>543</v>
      </c>
      <c r="C2473" s="26"/>
      <c r="D2473" s="26" t="s">
        <v>543</v>
      </c>
      <c r="E2473" s="26" t="str">
        <f>IFERROR(VLOOKUP(G2473,WholesaleExtract!B:J,9,FALSE),"")</f>
        <v/>
      </c>
      <c r="F2473" s="26" t="str">
        <f>IFERROR(VLOOKUP(G2473,WholesaleExtract!B:J,6,FALSE),"")</f>
        <v/>
      </c>
      <c r="H2473" s="47" t="str">
        <f>IFERROR(VLOOKUP(G2473,WholesaleExtract!B:L,11,FALSE),"")</f>
        <v/>
      </c>
      <c r="I2473" s="26" t="str">
        <f>IFERROR(VLOOKUP(G2473,WholesaleExtract!B:O,8,FALSE),"")</f>
        <v/>
      </c>
      <c r="J2473" s="26" t="str">
        <f>IFERROR(VLOOKUP(G2473,WholesaleExtract!B:O,14,FALSE),"")</f>
        <v/>
      </c>
      <c r="K2473" s="26" t="str">
        <f>IFERROR(VLOOKUP(G2473,WholesaleExtract!B:K,10,FALSE),"")</f>
        <v/>
      </c>
      <c r="L2473" s="47" t="str">
        <f>IFERROR(VLOOKUP(G2473,WholesaleExtract!B:L,11,FALSE),"")</f>
        <v/>
      </c>
      <c r="M2473" s="47" t="str">
        <f>IFERROR(VLOOKUP(G2473,WholesaleExtract!B:M,12,FALSE),"")</f>
        <v/>
      </c>
      <c r="R2473" s="19"/>
      <c r="S2473" s="19"/>
    </row>
    <row r="2474" spans="1:19" x14ac:dyDescent="0.35">
      <c r="A2474" s="26" t="s">
        <v>543</v>
      </c>
      <c r="B2474" s="26" t="s">
        <v>543</v>
      </c>
      <c r="C2474" s="26"/>
      <c r="D2474" s="26" t="s">
        <v>543</v>
      </c>
      <c r="E2474" s="26" t="str">
        <f>IFERROR(VLOOKUP(G2474,WholesaleExtract!B:J,9,FALSE),"")</f>
        <v/>
      </c>
      <c r="F2474" s="26" t="str">
        <f>IFERROR(VLOOKUP(G2474,WholesaleExtract!B:J,6,FALSE),"")</f>
        <v/>
      </c>
      <c r="H2474" s="47" t="str">
        <f>IFERROR(VLOOKUP(G2474,WholesaleExtract!B:L,11,FALSE),"")</f>
        <v/>
      </c>
      <c r="I2474" s="26" t="str">
        <f>IFERROR(VLOOKUP(G2474,WholesaleExtract!B:O,8,FALSE),"")</f>
        <v/>
      </c>
      <c r="J2474" s="26" t="str">
        <f>IFERROR(VLOOKUP(G2474,WholesaleExtract!B:O,14,FALSE),"")</f>
        <v/>
      </c>
      <c r="K2474" s="26" t="str">
        <f>IFERROR(VLOOKUP(G2474,WholesaleExtract!B:K,10,FALSE),"")</f>
        <v/>
      </c>
      <c r="L2474" s="47" t="str">
        <f>IFERROR(VLOOKUP(G2474,WholesaleExtract!B:L,11,FALSE),"")</f>
        <v/>
      </c>
      <c r="M2474" s="47" t="str">
        <f>IFERROR(VLOOKUP(G2474,WholesaleExtract!B:M,12,FALSE),"")</f>
        <v/>
      </c>
      <c r="R2474" s="19"/>
      <c r="S2474" s="19"/>
    </row>
    <row r="2475" spans="1:19" x14ac:dyDescent="0.35">
      <c r="A2475" s="26" t="s">
        <v>543</v>
      </c>
      <c r="B2475" s="26" t="s">
        <v>543</v>
      </c>
      <c r="C2475" s="26"/>
      <c r="D2475" s="26" t="s">
        <v>543</v>
      </c>
      <c r="E2475" s="26" t="str">
        <f>IFERROR(VLOOKUP(G2475,WholesaleExtract!B:J,9,FALSE),"")</f>
        <v/>
      </c>
      <c r="F2475" s="26" t="str">
        <f>IFERROR(VLOOKUP(G2475,WholesaleExtract!B:J,6,FALSE),"")</f>
        <v/>
      </c>
      <c r="H2475" s="47" t="str">
        <f>IFERROR(VLOOKUP(G2475,WholesaleExtract!B:L,11,FALSE),"")</f>
        <v/>
      </c>
      <c r="I2475" s="26" t="str">
        <f>IFERROR(VLOOKUP(G2475,WholesaleExtract!B:O,8,FALSE),"")</f>
        <v/>
      </c>
      <c r="J2475" s="26" t="str">
        <f>IFERROR(VLOOKUP(G2475,WholesaleExtract!B:O,14,FALSE),"")</f>
        <v/>
      </c>
      <c r="K2475" s="26" t="str">
        <f>IFERROR(VLOOKUP(G2475,WholesaleExtract!B:K,10,FALSE),"")</f>
        <v/>
      </c>
      <c r="L2475" s="47" t="str">
        <f>IFERROR(VLOOKUP(G2475,WholesaleExtract!B:L,11,FALSE),"")</f>
        <v/>
      </c>
      <c r="M2475" s="47" t="str">
        <f>IFERROR(VLOOKUP(G2475,WholesaleExtract!B:M,12,FALSE),"")</f>
        <v/>
      </c>
      <c r="R2475" s="19"/>
      <c r="S2475" s="19"/>
    </row>
    <row r="2476" spans="1:19" x14ac:dyDescent="0.35">
      <c r="A2476" s="26" t="s">
        <v>543</v>
      </c>
      <c r="B2476" s="26" t="s">
        <v>543</v>
      </c>
      <c r="C2476" s="26"/>
      <c r="D2476" s="26" t="s">
        <v>543</v>
      </c>
      <c r="E2476" s="26" t="str">
        <f>IFERROR(VLOOKUP(G2476,WholesaleExtract!B:J,9,FALSE),"")</f>
        <v/>
      </c>
      <c r="F2476" s="26" t="str">
        <f>IFERROR(VLOOKUP(G2476,WholesaleExtract!B:J,6,FALSE),"")</f>
        <v/>
      </c>
      <c r="H2476" s="47" t="str">
        <f>IFERROR(VLOOKUP(G2476,WholesaleExtract!B:L,11,FALSE),"")</f>
        <v/>
      </c>
      <c r="I2476" s="26" t="str">
        <f>IFERROR(VLOOKUP(G2476,WholesaleExtract!B:O,8,FALSE),"")</f>
        <v/>
      </c>
      <c r="J2476" s="26" t="str">
        <f>IFERROR(VLOOKUP(G2476,WholesaleExtract!B:O,14,FALSE),"")</f>
        <v/>
      </c>
      <c r="K2476" s="26" t="str">
        <f>IFERROR(VLOOKUP(G2476,WholesaleExtract!B:K,10,FALSE),"")</f>
        <v/>
      </c>
      <c r="L2476" s="47" t="str">
        <f>IFERROR(VLOOKUP(G2476,WholesaleExtract!B:L,11,FALSE),"")</f>
        <v/>
      </c>
      <c r="M2476" s="47" t="str">
        <f>IFERROR(VLOOKUP(G2476,WholesaleExtract!B:M,12,FALSE),"")</f>
        <v/>
      </c>
      <c r="R2476" s="19"/>
      <c r="S2476" s="19"/>
    </row>
    <row r="2477" spans="1:19" x14ac:dyDescent="0.35">
      <c r="A2477" s="26" t="s">
        <v>543</v>
      </c>
      <c r="B2477" s="26" t="s">
        <v>543</v>
      </c>
      <c r="C2477" s="26"/>
      <c r="D2477" s="26" t="s">
        <v>543</v>
      </c>
      <c r="E2477" s="26" t="str">
        <f>IFERROR(VLOOKUP(G2477,WholesaleExtract!B:J,9,FALSE),"")</f>
        <v/>
      </c>
      <c r="F2477" s="26" t="str">
        <f>IFERROR(VLOOKUP(G2477,WholesaleExtract!B:J,6,FALSE),"")</f>
        <v/>
      </c>
      <c r="H2477" s="47" t="str">
        <f>IFERROR(VLOOKUP(G2477,WholesaleExtract!B:L,11,FALSE),"")</f>
        <v/>
      </c>
      <c r="I2477" s="26" t="str">
        <f>IFERROR(VLOOKUP(G2477,WholesaleExtract!B:O,8,FALSE),"")</f>
        <v/>
      </c>
      <c r="J2477" s="26" t="str">
        <f>IFERROR(VLOOKUP(G2477,WholesaleExtract!B:O,14,FALSE),"")</f>
        <v/>
      </c>
      <c r="K2477" s="26" t="str">
        <f>IFERROR(VLOOKUP(G2477,WholesaleExtract!B:K,10,FALSE),"")</f>
        <v/>
      </c>
      <c r="L2477" s="47" t="str">
        <f>IFERROR(VLOOKUP(G2477,WholesaleExtract!B:L,11,FALSE),"")</f>
        <v/>
      </c>
      <c r="M2477" s="47" t="str">
        <f>IFERROR(VLOOKUP(G2477,WholesaleExtract!B:M,12,FALSE),"")</f>
        <v/>
      </c>
      <c r="R2477" s="19"/>
      <c r="S2477" s="19"/>
    </row>
    <row r="2478" spans="1:19" x14ac:dyDescent="0.35">
      <c r="A2478" s="26" t="s">
        <v>543</v>
      </c>
      <c r="B2478" s="26" t="s">
        <v>543</v>
      </c>
      <c r="C2478" s="26"/>
      <c r="D2478" s="26" t="s">
        <v>543</v>
      </c>
      <c r="E2478" s="26" t="str">
        <f>IFERROR(VLOOKUP(G2478,WholesaleExtract!B:J,9,FALSE),"")</f>
        <v/>
      </c>
      <c r="F2478" s="26" t="str">
        <f>IFERROR(VLOOKUP(G2478,WholesaleExtract!B:J,6,FALSE),"")</f>
        <v/>
      </c>
      <c r="H2478" s="47" t="str">
        <f>IFERROR(VLOOKUP(G2478,WholesaleExtract!B:L,11,FALSE),"")</f>
        <v/>
      </c>
      <c r="I2478" s="26" t="str">
        <f>IFERROR(VLOOKUP(G2478,WholesaleExtract!B:O,8,FALSE),"")</f>
        <v/>
      </c>
      <c r="J2478" s="26" t="str">
        <f>IFERROR(VLOOKUP(G2478,WholesaleExtract!B:O,14,FALSE),"")</f>
        <v/>
      </c>
      <c r="K2478" s="26" t="str">
        <f>IFERROR(VLOOKUP(G2478,WholesaleExtract!B:K,10,FALSE),"")</f>
        <v/>
      </c>
      <c r="L2478" s="47" t="str">
        <f>IFERROR(VLOOKUP(G2478,WholesaleExtract!B:L,11,FALSE),"")</f>
        <v/>
      </c>
      <c r="M2478" s="47" t="str">
        <f>IFERROR(VLOOKUP(G2478,WholesaleExtract!B:M,12,FALSE),"")</f>
        <v/>
      </c>
      <c r="R2478" s="19"/>
      <c r="S2478" s="19"/>
    </row>
    <row r="2479" spans="1:19" x14ac:dyDescent="0.35">
      <c r="A2479" s="26" t="s">
        <v>543</v>
      </c>
      <c r="B2479" s="26" t="s">
        <v>543</v>
      </c>
      <c r="C2479" s="26"/>
      <c r="D2479" s="26" t="s">
        <v>543</v>
      </c>
      <c r="E2479" s="26" t="str">
        <f>IFERROR(VLOOKUP(G2479,WholesaleExtract!B:J,9,FALSE),"")</f>
        <v/>
      </c>
      <c r="F2479" s="26" t="str">
        <f>IFERROR(VLOOKUP(G2479,WholesaleExtract!B:J,6,FALSE),"")</f>
        <v/>
      </c>
      <c r="H2479" s="47" t="str">
        <f>IFERROR(VLOOKUP(G2479,WholesaleExtract!B:L,11,FALSE),"")</f>
        <v/>
      </c>
      <c r="I2479" s="26" t="str">
        <f>IFERROR(VLOOKUP(G2479,WholesaleExtract!B:O,8,FALSE),"")</f>
        <v/>
      </c>
      <c r="J2479" s="26" t="str">
        <f>IFERROR(VLOOKUP(G2479,WholesaleExtract!B:O,14,FALSE),"")</f>
        <v/>
      </c>
      <c r="K2479" s="26" t="str">
        <f>IFERROR(VLOOKUP(G2479,WholesaleExtract!B:K,10,FALSE),"")</f>
        <v/>
      </c>
      <c r="L2479" s="47" t="str">
        <f>IFERROR(VLOOKUP(G2479,WholesaleExtract!B:L,11,FALSE),"")</f>
        <v/>
      </c>
      <c r="M2479" s="47" t="str">
        <f>IFERROR(VLOOKUP(G2479,WholesaleExtract!B:M,12,FALSE),"")</f>
        <v/>
      </c>
      <c r="R2479" s="19"/>
      <c r="S2479" s="19"/>
    </row>
    <row r="2480" spans="1:19" x14ac:dyDescent="0.35">
      <c r="A2480" s="26" t="s">
        <v>543</v>
      </c>
      <c r="B2480" s="26" t="s">
        <v>543</v>
      </c>
      <c r="C2480" s="26"/>
      <c r="D2480" s="26" t="s">
        <v>543</v>
      </c>
      <c r="E2480" s="26" t="str">
        <f>IFERROR(VLOOKUP(G2480,WholesaleExtract!B:J,9,FALSE),"")</f>
        <v/>
      </c>
      <c r="F2480" s="26" t="str">
        <f>IFERROR(VLOOKUP(G2480,WholesaleExtract!B:J,6,FALSE),"")</f>
        <v/>
      </c>
      <c r="H2480" s="47" t="str">
        <f>IFERROR(VLOOKUP(G2480,WholesaleExtract!B:L,11,FALSE),"")</f>
        <v/>
      </c>
      <c r="I2480" s="26" t="str">
        <f>IFERROR(VLOOKUP(G2480,WholesaleExtract!B:O,8,FALSE),"")</f>
        <v/>
      </c>
      <c r="J2480" s="26" t="str">
        <f>IFERROR(VLOOKUP(G2480,WholesaleExtract!B:O,14,FALSE),"")</f>
        <v/>
      </c>
      <c r="K2480" s="26" t="str">
        <f>IFERROR(VLOOKUP(G2480,WholesaleExtract!B:K,10,FALSE),"")</f>
        <v/>
      </c>
      <c r="L2480" s="47" t="str">
        <f>IFERROR(VLOOKUP(G2480,WholesaleExtract!B:L,11,FALSE),"")</f>
        <v/>
      </c>
      <c r="M2480" s="47" t="str">
        <f>IFERROR(VLOOKUP(G2480,WholesaleExtract!B:M,12,FALSE),"")</f>
        <v/>
      </c>
      <c r="R2480" s="19"/>
      <c r="S2480" s="19"/>
    </row>
    <row r="2481" spans="1:19" x14ac:dyDescent="0.35">
      <c r="A2481" s="26" t="s">
        <v>543</v>
      </c>
      <c r="B2481" s="26" t="s">
        <v>543</v>
      </c>
      <c r="C2481" s="26"/>
      <c r="D2481" s="26" t="s">
        <v>543</v>
      </c>
      <c r="E2481" s="26" t="str">
        <f>IFERROR(VLOOKUP(G2481,WholesaleExtract!B:J,9,FALSE),"")</f>
        <v/>
      </c>
      <c r="F2481" s="26" t="str">
        <f>IFERROR(VLOOKUP(G2481,WholesaleExtract!B:J,6,FALSE),"")</f>
        <v/>
      </c>
      <c r="H2481" s="47" t="str">
        <f>IFERROR(VLOOKUP(G2481,WholesaleExtract!B:L,11,FALSE),"")</f>
        <v/>
      </c>
      <c r="I2481" s="26" t="str">
        <f>IFERROR(VLOOKUP(G2481,WholesaleExtract!B:O,8,FALSE),"")</f>
        <v/>
      </c>
      <c r="J2481" s="26" t="str">
        <f>IFERROR(VLOOKUP(G2481,WholesaleExtract!B:O,14,FALSE),"")</f>
        <v/>
      </c>
      <c r="K2481" s="26" t="str">
        <f>IFERROR(VLOOKUP(G2481,WholesaleExtract!B:K,10,FALSE),"")</f>
        <v/>
      </c>
      <c r="L2481" s="47" t="str">
        <f>IFERROR(VLOOKUP(G2481,WholesaleExtract!B:L,11,FALSE),"")</f>
        <v/>
      </c>
      <c r="M2481" s="47" t="str">
        <f>IFERROR(VLOOKUP(G2481,WholesaleExtract!B:M,12,FALSE),"")</f>
        <v/>
      </c>
      <c r="R2481" s="19"/>
      <c r="S2481" s="19"/>
    </row>
    <row r="2482" spans="1:19" x14ac:dyDescent="0.35">
      <c r="A2482" s="26" t="s">
        <v>543</v>
      </c>
      <c r="B2482" s="26" t="s">
        <v>543</v>
      </c>
      <c r="C2482" s="26"/>
      <c r="D2482" s="26" t="s">
        <v>543</v>
      </c>
      <c r="E2482" s="26" t="str">
        <f>IFERROR(VLOOKUP(G2482,WholesaleExtract!B:J,9,FALSE),"")</f>
        <v/>
      </c>
      <c r="F2482" s="26" t="str">
        <f>IFERROR(VLOOKUP(G2482,WholesaleExtract!B:J,6,FALSE),"")</f>
        <v/>
      </c>
      <c r="H2482" s="47" t="str">
        <f>IFERROR(VLOOKUP(G2482,WholesaleExtract!B:L,11,FALSE),"")</f>
        <v/>
      </c>
      <c r="I2482" s="26" t="str">
        <f>IFERROR(VLOOKUP(G2482,WholesaleExtract!B:O,8,FALSE),"")</f>
        <v/>
      </c>
      <c r="J2482" s="26" t="str">
        <f>IFERROR(VLOOKUP(G2482,WholesaleExtract!B:O,14,FALSE),"")</f>
        <v/>
      </c>
      <c r="K2482" s="26" t="str">
        <f>IFERROR(VLOOKUP(G2482,WholesaleExtract!B:K,10,FALSE),"")</f>
        <v/>
      </c>
      <c r="L2482" s="47" t="str">
        <f>IFERROR(VLOOKUP(G2482,WholesaleExtract!B:L,11,FALSE),"")</f>
        <v/>
      </c>
      <c r="M2482" s="47" t="str">
        <f>IFERROR(VLOOKUP(G2482,WholesaleExtract!B:M,12,FALSE),"")</f>
        <v/>
      </c>
      <c r="R2482" s="19"/>
      <c r="S2482" s="19"/>
    </row>
    <row r="2483" spans="1:19" x14ac:dyDescent="0.35">
      <c r="A2483" s="26" t="s">
        <v>543</v>
      </c>
      <c r="B2483" s="26" t="s">
        <v>543</v>
      </c>
      <c r="C2483" s="26"/>
      <c r="D2483" s="26" t="s">
        <v>543</v>
      </c>
      <c r="E2483" s="26" t="str">
        <f>IFERROR(VLOOKUP(G2483,WholesaleExtract!B:J,9,FALSE),"")</f>
        <v/>
      </c>
      <c r="F2483" s="26" t="str">
        <f>IFERROR(VLOOKUP(G2483,WholesaleExtract!B:J,6,FALSE),"")</f>
        <v/>
      </c>
      <c r="H2483" s="47" t="str">
        <f>IFERROR(VLOOKUP(G2483,WholesaleExtract!B:L,11,FALSE),"")</f>
        <v/>
      </c>
      <c r="I2483" s="26" t="str">
        <f>IFERROR(VLOOKUP(G2483,WholesaleExtract!B:O,8,FALSE),"")</f>
        <v/>
      </c>
      <c r="J2483" s="26" t="str">
        <f>IFERROR(VLOOKUP(G2483,WholesaleExtract!B:O,14,FALSE),"")</f>
        <v/>
      </c>
      <c r="K2483" s="26" t="str">
        <f>IFERROR(VLOOKUP(G2483,WholesaleExtract!B:K,10,FALSE),"")</f>
        <v/>
      </c>
      <c r="L2483" s="47" t="str">
        <f>IFERROR(VLOOKUP(G2483,WholesaleExtract!B:L,11,FALSE),"")</f>
        <v/>
      </c>
      <c r="M2483" s="47" t="str">
        <f>IFERROR(VLOOKUP(G2483,WholesaleExtract!B:M,12,FALSE),"")</f>
        <v/>
      </c>
      <c r="R2483" s="19"/>
      <c r="S2483" s="19"/>
    </row>
    <row r="2484" spans="1:19" x14ac:dyDescent="0.35">
      <c r="A2484" s="26" t="s">
        <v>543</v>
      </c>
      <c r="B2484" s="26" t="s">
        <v>543</v>
      </c>
      <c r="C2484" s="26"/>
      <c r="D2484" s="26" t="s">
        <v>543</v>
      </c>
      <c r="E2484" s="26" t="str">
        <f>IFERROR(VLOOKUP(G2484,WholesaleExtract!B:J,9,FALSE),"")</f>
        <v/>
      </c>
      <c r="F2484" s="26" t="str">
        <f>IFERROR(VLOOKUP(G2484,WholesaleExtract!B:J,6,FALSE),"")</f>
        <v/>
      </c>
      <c r="H2484" s="47" t="str">
        <f>IFERROR(VLOOKUP(G2484,WholesaleExtract!B:L,11,FALSE),"")</f>
        <v/>
      </c>
      <c r="I2484" s="26" t="str">
        <f>IFERROR(VLOOKUP(G2484,WholesaleExtract!B:O,8,FALSE),"")</f>
        <v/>
      </c>
      <c r="J2484" s="26" t="str">
        <f>IFERROR(VLOOKUP(G2484,WholesaleExtract!B:O,14,FALSE),"")</f>
        <v/>
      </c>
      <c r="K2484" s="26" t="str">
        <f>IFERROR(VLOOKUP(G2484,WholesaleExtract!B:K,10,FALSE),"")</f>
        <v/>
      </c>
      <c r="L2484" s="47" t="str">
        <f>IFERROR(VLOOKUP(G2484,WholesaleExtract!B:L,11,FALSE),"")</f>
        <v/>
      </c>
      <c r="M2484" s="47" t="str">
        <f>IFERROR(VLOOKUP(G2484,WholesaleExtract!B:M,12,FALSE),"")</f>
        <v/>
      </c>
      <c r="R2484" s="19"/>
      <c r="S2484" s="19"/>
    </row>
    <row r="2485" spans="1:19" x14ac:dyDescent="0.35">
      <c r="A2485" s="26" t="s">
        <v>543</v>
      </c>
      <c r="B2485" s="26" t="s">
        <v>543</v>
      </c>
      <c r="C2485" s="26"/>
      <c r="D2485" s="26" t="s">
        <v>543</v>
      </c>
      <c r="E2485" s="26" t="str">
        <f>IFERROR(VLOOKUP(G2485,WholesaleExtract!B:J,9,FALSE),"")</f>
        <v/>
      </c>
      <c r="F2485" s="26" t="str">
        <f>IFERROR(VLOOKUP(G2485,WholesaleExtract!B:J,6,FALSE),"")</f>
        <v/>
      </c>
      <c r="H2485" s="47" t="str">
        <f>IFERROR(VLOOKUP(G2485,WholesaleExtract!B:L,11,FALSE),"")</f>
        <v/>
      </c>
      <c r="I2485" s="26" t="str">
        <f>IFERROR(VLOOKUP(G2485,WholesaleExtract!B:O,8,FALSE),"")</f>
        <v/>
      </c>
      <c r="J2485" s="26" t="str">
        <f>IFERROR(VLOOKUP(G2485,WholesaleExtract!B:O,14,FALSE),"")</f>
        <v/>
      </c>
      <c r="K2485" s="26" t="str">
        <f>IFERROR(VLOOKUP(G2485,WholesaleExtract!B:K,10,FALSE),"")</f>
        <v/>
      </c>
      <c r="L2485" s="47" t="str">
        <f>IFERROR(VLOOKUP(G2485,WholesaleExtract!B:L,11,FALSE),"")</f>
        <v/>
      </c>
      <c r="M2485" s="47" t="str">
        <f>IFERROR(VLOOKUP(G2485,WholesaleExtract!B:M,12,FALSE),"")</f>
        <v/>
      </c>
      <c r="R2485" s="19"/>
      <c r="S2485" s="19"/>
    </row>
    <row r="2486" spans="1:19" x14ac:dyDescent="0.35">
      <c r="A2486" s="26" t="s">
        <v>543</v>
      </c>
      <c r="B2486" s="26" t="s">
        <v>543</v>
      </c>
      <c r="C2486" s="26"/>
      <c r="D2486" s="26" t="s">
        <v>543</v>
      </c>
      <c r="E2486" s="26" t="str">
        <f>IFERROR(VLOOKUP(G2486,WholesaleExtract!B:J,9,FALSE),"")</f>
        <v/>
      </c>
      <c r="F2486" s="26" t="str">
        <f>IFERROR(VLOOKUP(G2486,WholesaleExtract!B:J,6,FALSE),"")</f>
        <v/>
      </c>
      <c r="H2486" s="47" t="str">
        <f>IFERROR(VLOOKUP(G2486,WholesaleExtract!B:L,11,FALSE),"")</f>
        <v/>
      </c>
      <c r="I2486" s="26" t="str">
        <f>IFERROR(VLOOKUP(G2486,WholesaleExtract!B:O,8,FALSE),"")</f>
        <v/>
      </c>
      <c r="J2486" s="26" t="str">
        <f>IFERROR(VLOOKUP(G2486,WholesaleExtract!B:O,14,FALSE),"")</f>
        <v/>
      </c>
      <c r="K2486" s="26" t="str">
        <f>IFERROR(VLOOKUP(G2486,WholesaleExtract!B:K,10,FALSE),"")</f>
        <v/>
      </c>
      <c r="L2486" s="47" t="str">
        <f>IFERROR(VLOOKUP(G2486,WholesaleExtract!B:L,11,FALSE),"")</f>
        <v/>
      </c>
      <c r="M2486" s="47" t="str">
        <f>IFERROR(VLOOKUP(G2486,WholesaleExtract!B:M,12,FALSE),"")</f>
        <v/>
      </c>
      <c r="R2486" s="19"/>
      <c r="S2486" s="19"/>
    </row>
    <row r="2487" spans="1:19" x14ac:dyDescent="0.35">
      <c r="A2487" s="26" t="s">
        <v>543</v>
      </c>
      <c r="B2487" s="26" t="s">
        <v>543</v>
      </c>
      <c r="C2487" s="26"/>
      <c r="D2487" s="26" t="s">
        <v>543</v>
      </c>
      <c r="E2487" s="26" t="str">
        <f>IFERROR(VLOOKUP(G2487,WholesaleExtract!B:J,9,FALSE),"")</f>
        <v/>
      </c>
      <c r="F2487" s="26" t="str">
        <f>IFERROR(VLOOKUP(G2487,WholesaleExtract!B:J,6,FALSE),"")</f>
        <v/>
      </c>
      <c r="H2487" s="47" t="str">
        <f>IFERROR(VLOOKUP(G2487,WholesaleExtract!B:L,11,FALSE),"")</f>
        <v/>
      </c>
      <c r="I2487" s="26" t="str">
        <f>IFERROR(VLOOKUP(G2487,WholesaleExtract!B:O,8,FALSE),"")</f>
        <v/>
      </c>
      <c r="J2487" s="26" t="str">
        <f>IFERROR(VLOOKUP(G2487,WholesaleExtract!B:O,14,FALSE),"")</f>
        <v/>
      </c>
      <c r="K2487" s="26" t="str">
        <f>IFERROR(VLOOKUP(G2487,WholesaleExtract!B:K,10,FALSE),"")</f>
        <v/>
      </c>
      <c r="L2487" s="47" t="str">
        <f>IFERROR(VLOOKUP(G2487,WholesaleExtract!B:L,11,FALSE),"")</f>
        <v/>
      </c>
      <c r="M2487" s="47" t="str">
        <f>IFERROR(VLOOKUP(G2487,WholesaleExtract!B:M,12,FALSE),"")</f>
        <v/>
      </c>
      <c r="R2487" s="19"/>
      <c r="S2487" s="19"/>
    </row>
    <row r="2488" spans="1:19" x14ac:dyDescent="0.35">
      <c r="A2488" s="26" t="s">
        <v>543</v>
      </c>
      <c r="B2488" s="26" t="s">
        <v>543</v>
      </c>
      <c r="C2488" s="26"/>
      <c r="D2488" s="26" t="s">
        <v>543</v>
      </c>
      <c r="E2488" s="26" t="str">
        <f>IFERROR(VLOOKUP(G2488,WholesaleExtract!B:J,9,FALSE),"")</f>
        <v/>
      </c>
      <c r="F2488" s="26" t="str">
        <f>IFERROR(VLOOKUP(G2488,WholesaleExtract!B:J,6,FALSE),"")</f>
        <v/>
      </c>
      <c r="H2488" s="47" t="str">
        <f>IFERROR(VLOOKUP(G2488,WholesaleExtract!B:L,11,FALSE),"")</f>
        <v/>
      </c>
      <c r="I2488" s="26" t="str">
        <f>IFERROR(VLOOKUP(G2488,WholesaleExtract!B:O,8,FALSE),"")</f>
        <v/>
      </c>
      <c r="J2488" s="26" t="str">
        <f>IFERROR(VLOOKUP(G2488,WholesaleExtract!B:O,14,FALSE),"")</f>
        <v/>
      </c>
      <c r="K2488" s="26" t="str">
        <f>IFERROR(VLOOKUP(G2488,WholesaleExtract!B:K,10,FALSE),"")</f>
        <v/>
      </c>
      <c r="L2488" s="47" t="str">
        <f>IFERROR(VLOOKUP(G2488,WholesaleExtract!B:L,11,FALSE),"")</f>
        <v/>
      </c>
      <c r="M2488" s="47" t="str">
        <f>IFERROR(VLOOKUP(G2488,WholesaleExtract!B:M,12,FALSE),"")</f>
        <v/>
      </c>
      <c r="R2488" s="19"/>
      <c r="S2488" s="19"/>
    </row>
    <row r="2489" spans="1:19" x14ac:dyDescent="0.35">
      <c r="A2489" s="26" t="s">
        <v>543</v>
      </c>
      <c r="B2489" s="26" t="s">
        <v>543</v>
      </c>
      <c r="C2489" s="26"/>
      <c r="D2489" s="26" t="s">
        <v>543</v>
      </c>
      <c r="E2489" s="26" t="str">
        <f>IFERROR(VLOOKUP(G2489,WholesaleExtract!B:J,9,FALSE),"")</f>
        <v/>
      </c>
      <c r="F2489" s="26" t="str">
        <f>IFERROR(VLOOKUP(G2489,WholesaleExtract!B:J,6,FALSE),"")</f>
        <v/>
      </c>
      <c r="H2489" s="47" t="str">
        <f>IFERROR(VLOOKUP(G2489,WholesaleExtract!B:L,11,FALSE),"")</f>
        <v/>
      </c>
      <c r="I2489" s="26" t="str">
        <f>IFERROR(VLOOKUP(G2489,WholesaleExtract!B:O,8,FALSE),"")</f>
        <v/>
      </c>
      <c r="J2489" s="26" t="str">
        <f>IFERROR(VLOOKUP(G2489,WholesaleExtract!B:O,14,FALSE),"")</f>
        <v/>
      </c>
      <c r="K2489" s="26" t="str">
        <f>IFERROR(VLOOKUP(G2489,WholesaleExtract!B:K,10,FALSE),"")</f>
        <v/>
      </c>
      <c r="L2489" s="47" t="str">
        <f>IFERROR(VLOOKUP(G2489,WholesaleExtract!B:L,11,FALSE),"")</f>
        <v/>
      </c>
      <c r="M2489" s="47" t="str">
        <f>IFERROR(VLOOKUP(G2489,WholesaleExtract!B:M,12,FALSE),"")</f>
        <v/>
      </c>
      <c r="R2489" s="19"/>
      <c r="S2489" s="19"/>
    </row>
    <row r="2490" spans="1:19" x14ac:dyDescent="0.35">
      <c r="A2490" s="26" t="s">
        <v>543</v>
      </c>
      <c r="B2490" s="26" t="s">
        <v>543</v>
      </c>
      <c r="C2490" s="26"/>
      <c r="D2490" s="26" t="s">
        <v>543</v>
      </c>
      <c r="E2490" s="26" t="str">
        <f>IFERROR(VLOOKUP(G2490,WholesaleExtract!B:J,9,FALSE),"")</f>
        <v/>
      </c>
      <c r="F2490" s="26" t="str">
        <f>IFERROR(VLOOKUP(G2490,WholesaleExtract!B:J,6,FALSE),"")</f>
        <v/>
      </c>
      <c r="H2490" s="47" t="str">
        <f>IFERROR(VLOOKUP(G2490,WholesaleExtract!B:L,11,FALSE),"")</f>
        <v/>
      </c>
      <c r="I2490" s="26" t="str">
        <f>IFERROR(VLOOKUP(G2490,WholesaleExtract!B:O,8,FALSE),"")</f>
        <v/>
      </c>
      <c r="J2490" s="26" t="str">
        <f>IFERROR(VLOOKUP(G2490,WholesaleExtract!B:O,14,FALSE),"")</f>
        <v/>
      </c>
      <c r="K2490" s="26" t="str">
        <f>IFERROR(VLOOKUP(G2490,WholesaleExtract!B:K,10,FALSE),"")</f>
        <v/>
      </c>
      <c r="L2490" s="47" t="str">
        <f>IFERROR(VLOOKUP(G2490,WholesaleExtract!B:L,11,FALSE),"")</f>
        <v/>
      </c>
      <c r="M2490" s="47" t="str">
        <f>IFERROR(VLOOKUP(G2490,WholesaleExtract!B:M,12,FALSE),"")</f>
        <v/>
      </c>
      <c r="R2490" s="19"/>
      <c r="S2490" s="19"/>
    </row>
    <row r="2491" spans="1:19" x14ac:dyDescent="0.35">
      <c r="A2491" s="26" t="s">
        <v>543</v>
      </c>
      <c r="B2491" s="26" t="s">
        <v>543</v>
      </c>
      <c r="C2491" s="26"/>
      <c r="D2491" s="26" t="s">
        <v>543</v>
      </c>
      <c r="E2491" s="26" t="str">
        <f>IFERROR(VLOOKUP(G2491,WholesaleExtract!B:J,9,FALSE),"")</f>
        <v/>
      </c>
      <c r="F2491" s="26" t="str">
        <f>IFERROR(VLOOKUP(G2491,WholesaleExtract!B:J,6,FALSE),"")</f>
        <v/>
      </c>
      <c r="H2491" s="47" t="str">
        <f>IFERROR(VLOOKUP(G2491,WholesaleExtract!B:L,11,FALSE),"")</f>
        <v/>
      </c>
      <c r="I2491" s="26" t="str">
        <f>IFERROR(VLOOKUP(G2491,WholesaleExtract!B:O,8,FALSE),"")</f>
        <v/>
      </c>
      <c r="J2491" s="26" t="str">
        <f>IFERROR(VLOOKUP(G2491,WholesaleExtract!B:O,14,FALSE),"")</f>
        <v/>
      </c>
      <c r="K2491" s="26" t="str">
        <f>IFERROR(VLOOKUP(G2491,WholesaleExtract!B:K,10,FALSE),"")</f>
        <v/>
      </c>
      <c r="L2491" s="47" t="str">
        <f>IFERROR(VLOOKUP(G2491,WholesaleExtract!B:L,11,FALSE),"")</f>
        <v/>
      </c>
      <c r="M2491" s="47" t="str">
        <f>IFERROR(VLOOKUP(G2491,WholesaleExtract!B:M,12,FALSE),"")</f>
        <v/>
      </c>
      <c r="R2491" s="19"/>
      <c r="S2491" s="19"/>
    </row>
    <row r="2492" spans="1:19" x14ac:dyDescent="0.35">
      <c r="A2492" s="26" t="s">
        <v>543</v>
      </c>
      <c r="B2492" s="26" t="s">
        <v>543</v>
      </c>
      <c r="C2492" s="26"/>
      <c r="D2492" s="26" t="s">
        <v>543</v>
      </c>
      <c r="E2492" s="26" t="str">
        <f>IFERROR(VLOOKUP(G2492,WholesaleExtract!B:J,9,FALSE),"")</f>
        <v/>
      </c>
      <c r="F2492" s="26" t="str">
        <f>IFERROR(VLOOKUP(G2492,WholesaleExtract!B:J,6,FALSE),"")</f>
        <v/>
      </c>
      <c r="H2492" s="47" t="str">
        <f>IFERROR(VLOOKUP(G2492,WholesaleExtract!B:L,11,FALSE),"")</f>
        <v/>
      </c>
      <c r="I2492" s="26" t="str">
        <f>IFERROR(VLOOKUP(G2492,WholesaleExtract!B:O,8,FALSE),"")</f>
        <v/>
      </c>
      <c r="J2492" s="26" t="str">
        <f>IFERROR(VLOOKUP(G2492,WholesaleExtract!B:O,14,FALSE),"")</f>
        <v/>
      </c>
      <c r="K2492" s="26" t="str">
        <f>IFERROR(VLOOKUP(G2492,WholesaleExtract!B:K,10,FALSE),"")</f>
        <v/>
      </c>
      <c r="L2492" s="47" t="str">
        <f>IFERROR(VLOOKUP(G2492,WholesaleExtract!B:L,11,FALSE),"")</f>
        <v/>
      </c>
      <c r="M2492" s="47" t="str">
        <f>IFERROR(VLOOKUP(G2492,WholesaleExtract!B:M,12,FALSE),"")</f>
        <v/>
      </c>
      <c r="R2492" s="19"/>
      <c r="S2492" s="19"/>
    </row>
    <row r="2493" spans="1:19" x14ac:dyDescent="0.35">
      <c r="A2493" s="26" t="s">
        <v>543</v>
      </c>
      <c r="B2493" s="26" t="s">
        <v>543</v>
      </c>
      <c r="C2493" s="26"/>
      <c r="D2493" s="26" t="s">
        <v>543</v>
      </c>
      <c r="E2493" s="26" t="str">
        <f>IFERROR(VLOOKUP(G2493,WholesaleExtract!B:J,9,FALSE),"")</f>
        <v/>
      </c>
      <c r="F2493" s="26" t="str">
        <f>IFERROR(VLOOKUP(G2493,WholesaleExtract!B:J,6,FALSE),"")</f>
        <v/>
      </c>
      <c r="H2493" s="47" t="str">
        <f>IFERROR(VLOOKUP(G2493,WholesaleExtract!B:L,11,FALSE),"")</f>
        <v/>
      </c>
      <c r="I2493" s="26" t="str">
        <f>IFERROR(VLOOKUP(G2493,WholesaleExtract!B:O,8,FALSE),"")</f>
        <v/>
      </c>
      <c r="J2493" s="26" t="str">
        <f>IFERROR(VLOOKUP(G2493,WholesaleExtract!B:O,14,FALSE),"")</f>
        <v/>
      </c>
      <c r="K2493" s="26" t="str">
        <f>IFERROR(VLOOKUP(G2493,WholesaleExtract!B:K,10,FALSE),"")</f>
        <v/>
      </c>
      <c r="L2493" s="47" t="str">
        <f>IFERROR(VLOOKUP(G2493,WholesaleExtract!B:L,11,FALSE),"")</f>
        <v/>
      </c>
      <c r="M2493" s="47" t="str">
        <f>IFERROR(VLOOKUP(G2493,WholesaleExtract!B:M,12,FALSE),"")</f>
        <v/>
      </c>
      <c r="R2493" s="19"/>
      <c r="S2493" s="19"/>
    </row>
    <row r="2494" spans="1:19" x14ac:dyDescent="0.35">
      <c r="A2494" s="26" t="s">
        <v>543</v>
      </c>
      <c r="B2494" s="26" t="s">
        <v>543</v>
      </c>
      <c r="C2494" s="26"/>
      <c r="D2494" s="26" t="s">
        <v>543</v>
      </c>
      <c r="E2494" s="26" t="str">
        <f>IFERROR(VLOOKUP(G2494,WholesaleExtract!B:J,9,FALSE),"")</f>
        <v/>
      </c>
      <c r="F2494" s="26" t="str">
        <f>IFERROR(VLOOKUP(G2494,WholesaleExtract!B:J,6,FALSE),"")</f>
        <v/>
      </c>
      <c r="H2494" s="47" t="str">
        <f>IFERROR(VLOOKUP(G2494,WholesaleExtract!B:L,11,FALSE),"")</f>
        <v/>
      </c>
      <c r="I2494" s="26" t="str">
        <f>IFERROR(VLOOKUP(G2494,WholesaleExtract!B:O,8,FALSE),"")</f>
        <v/>
      </c>
      <c r="J2494" s="26" t="str">
        <f>IFERROR(VLOOKUP(G2494,WholesaleExtract!B:O,14,FALSE),"")</f>
        <v/>
      </c>
      <c r="K2494" s="26" t="str">
        <f>IFERROR(VLOOKUP(G2494,WholesaleExtract!B:K,10,FALSE),"")</f>
        <v/>
      </c>
      <c r="L2494" s="47" t="str">
        <f>IFERROR(VLOOKUP(G2494,WholesaleExtract!B:L,11,FALSE),"")</f>
        <v/>
      </c>
      <c r="M2494" s="47" t="str">
        <f>IFERROR(VLOOKUP(G2494,WholesaleExtract!B:M,12,FALSE),"")</f>
        <v/>
      </c>
      <c r="R2494" s="19"/>
      <c r="S2494" s="19"/>
    </row>
    <row r="2495" spans="1:19" x14ac:dyDescent="0.35">
      <c r="A2495" s="26" t="s">
        <v>543</v>
      </c>
      <c r="B2495" s="26" t="s">
        <v>543</v>
      </c>
      <c r="C2495" s="26"/>
      <c r="D2495" s="26" t="s">
        <v>543</v>
      </c>
      <c r="E2495" s="26" t="str">
        <f>IFERROR(VLOOKUP(G2495,WholesaleExtract!B:J,9,FALSE),"")</f>
        <v/>
      </c>
      <c r="F2495" s="26" t="str">
        <f>IFERROR(VLOOKUP(G2495,WholesaleExtract!B:J,6,FALSE),"")</f>
        <v/>
      </c>
      <c r="H2495" s="47" t="str">
        <f>IFERROR(VLOOKUP(G2495,WholesaleExtract!B:L,11,FALSE),"")</f>
        <v/>
      </c>
      <c r="I2495" s="26" t="str">
        <f>IFERROR(VLOOKUP(G2495,WholesaleExtract!B:O,8,FALSE),"")</f>
        <v/>
      </c>
      <c r="J2495" s="26" t="str">
        <f>IFERROR(VLOOKUP(G2495,WholesaleExtract!B:O,14,FALSE),"")</f>
        <v/>
      </c>
      <c r="K2495" s="26" t="str">
        <f>IFERROR(VLOOKUP(G2495,WholesaleExtract!B:K,10,FALSE),"")</f>
        <v/>
      </c>
      <c r="L2495" s="47" t="str">
        <f>IFERROR(VLOOKUP(G2495,WholesaleExtract!B:L,11,FALSE),"")</f>
        <v/>
      </c>
      <c r="M2495" s="47" t="str">
        <f>IFERROR(VLOOKUP(G2495,WholesaleExtract!B:M,12,FALSE),"")</f>
        <v/>
      </c>
      <c r="R2495" s="19"/>
      <c r="S2495" s="19"/>
    </row>
    <row r="2496" spans="1:19" x14ac:dyDescent="0.35">
      <c r="A2496" s="26" t="s">
        <v>543</v>
      </c>
      <c r="B2496" s="26" t="s">
        <v>543</v>
      </c>
      <c r="C2496" s="26"/>
      <c r="D2496" s="26" t="s">
        <v>543</v>
      </c>
      <c r="E2496" s="26" t="str">
        <f>IFERROR(VLOOKUP(G2496,WholesaleExtract!B:J,9,FALSE),"")</f>
        <v/>
      </c>
      <c r="F2496" s="26" t="str">
        <f>IFERROR(VLOOKUP(G2496,WholesaleExtract!B:J,6,FALSE),"")</f>
        <v/>
      </c>
      <c r="H2496" s="47" t="str">
        <f>IFERROR(VLOOKUP(G2496,WholesaleExtract!B:L,11,FALSE),"")</f>
        <v/>
      </c>
      <c r="I2496" s="26" t="str">
        <f>IFERROR(VLOOKUP(G2496,WholesaleExtract!B:O,8,FALSE),"")</f>
        <v/>
      </c>
      <c r="J2496" s="26" t="str">
        <f>IFERROR(VLOOKUP(G2496,WholesaleExtract!B:O,14,FALSE),"")</f>
        <v/>
      </c>
      <c r="K2496" s="26" t="str">
        <f>IFERROR(VLOOKUP(G2496,WholesaleExtract!B:K,10,FALSE),"")</f>
        <v/>
      </c>
      <c r="L2496" s="47" t="str">
        <f>IFERROR(VLOOKUP(G2496,WholesaleExtract!B:L,11,FALSE),"")</f>
        <v/>
      </c>
      <c r="M2496" s="47" t="str">
        <f>IFERROR(VLOOKUP(G2496,WholesaleExtract!B:M,12,FALSE),"")</f>
        <v/>
      </c>
      <c r="R2496" s="19"/>
      <c r="S2496" s="19"/>
    </row>
    <row r="2497" spans="1:19" x14ac:dyDescent="0.35">
      <c r="A2497" s="26" t="s">
        <v>543</v>
      </c>
      <c r="B2497" s="26" t="s">
        <v>543</v>
      </c>
      <c r="C2497" s="26"/>
      <c r="D2497" s="26" t="s">
        <v>543</v>
      </c>
      <c r="E2497" s="26" t="str">
        <f>IFERROR(VLOOKUP(G2497,WholesaleExtract!B:J,9,FALSE),"")</f>
        <v/>
      </c>
      <c r="F2497" s="26" t="str">
        <f>IFERROR(VLOOKUP(G2497,WholesaleExtract!B:J,6,FALSE),"")</f>
        <v/>
      </c>
      <c r="H2497" s="47" t="str">
        <f>IFERROR(VLOOKUP(G2497,WholesaleExtract!B:L,11,FALSE),"")</f>
        <v/>
      </c>
      <c r="I2497" s="26" t="str">
        <f>IFERROR(VLOOKUP(G2497,WholesaleExtract!B:O,8,FALSE),"")</f>
        <v/>
      </c>
      <c r="J2497" s="26" t="str">
        <f>IFERROR(VLOOKUP(G2497,WholesaleExtract!B:O,14,FALSE),"")</f>
        <v/>
      </c>
      <c r="K2497" s="26" t="str">
        <f>IFERROR(VLOOKUP(G2497,WholesaleExtract!B:K,10,FALSE),"")</f>
        <v/>
      </c>
      <c r="L2497" s="47" t="str">
        <f>IFERROR(VLOOKUP(G2497,WholesaleExtract!B:L,11,FALSE),"")</f>
        <v/>
      </c>
      <c r="M2497" s="47" t="str">
        <f>IFERROR(VLOOKUP(G2497,WholesaleExtract!B:M,12,FALSE),"")</f>
        <v/>
      </c>
      <c r="R2497" s="19"/>
      <c r="S2497" s="19"/>
    </row>
    <row r="2498" spans="1:19" x14ac:dyDescent="0.35">
      <c r="A2498" s="26" t="s">
        <v>543</v>
      </c>
      <c r="B2498" s="26" t="s">
        <v>543</v>
      </c>
      <c r="C2498" s="26"/>
      <c r="D2498" s="26" t="s">
        <v>543</v>
      </c>
      <c r="E2498" s="26" t="str">
        <f>IFERROR(VLOOKUP(G2498,WholesaleExtract!B:J,9,FALSE),"")</f>
        <v/>
      </c>
      <c r="F2498" s="26" t="str">
        <f>IFERROR(VLOOKUP(G2498,WholesaleExtract!B:J,6,FALSE),"")</f>
        <v/>
      </c>
      <c r="H2498" s="47" t="str">
        <f>IFERROR(VLOOKUP(G2498,WholesaleExtract!B:L,11,FALSE),"")</f>
        <v/>
      </c>
      <c r="I2498" s="26" t="str">
        <f>IFERROR(VLOOKUP(G2498,WholesaleExtract!B:O,8,FALSE),"")</f>
        <v/>
      </c>
      <c r="J2498" s="26" t="str">
        <f>IFERROR(VLOOKUP(G2498,WholesaleExtract!B:O,14,FALSE),"")</f>
        <v/>
      </c>
      <c r="K2498" s="26" t="str">
        <f>IFERROR(VLOOKUP(G2498,WholesaleExtract!B:K,10,FALSE),"")</f>
        <v/>
      </c>
      <c r="L2498" s="47" t="str">
        <f>IFERROR(VLOOKUP(G2498,WholesaleExtract!B:L,11,FALSE),"")</f>
        <v/>
      </c>
      <c r="M2498" s="47" t="str">
        <f>IFERROR(VLOOKUP(G2498,WholesaleExtract!B:M,12,FALSE),"")</f>
        <v/>
      </c>
      <c r="R2498" s="19"/>
      <c r="S2498" s="19"/>
    </row>
    <row r="2499" spans="1:19" x14ac:dyDescent="0.35">
      <c r="A2499" s="26" t="s">
        <v>543</v>
      </c>
      <c r="B2499" s="26" t="s">
        <v>543</v>
      </c>
      <c r="C2499" s="26"/>
      <c r="D2499" s="26" t="s">
        <v>543</v>
      </c>
      <c r="E2499" s="26" t="str">
        <f>IFERROR(VLOOKUP(G2499,WholesaleExtract!B:J,9,FALSE),"")</f>
        <v/>
      </c>
      <c r="F2499" s="26" t="str">
        <f>IFERROR(VLOOKUP(G2499,WholesaleExtract!B:J,6,FALSE),"")</f>
        <v/>
      </c>
      <c r="H2499" s="47" t="str">
        <f>IFERROR(VLOOKUP(G2499,WholesaleExtract!B:L,11,FALSE),"")</f>
        <v/>
      </c>
      <c r="I2499" s="26" t="str">
        <f>IFERROR(VLOOKUP(G2499,WholesaleExtract!B:O,8,FALSE),"")</f>
        <v/>
      </c>
      <c r="J2499" s="26" t="str">
        <f>IFERROR(VLOOKUP(G2499,WholesaleExtract!B:O,14,FALSE),"")</f>
        <v/>
      </c>
      <c r="K2499" s="26" t="str">
        <f>IFERROR(VLOOKUP(G2499,WholesaleExtract!B:K,10,FALSE),"")</f>
        <v/>
      </c>
      <c r="L2499" s="47" t="str">
        <f>IFERROR(VLOOKUP(G2499,WholesaleExtract!B:L,11,FALSE),"")</f>
        <v/>
      </c>
      <c r="M2499" s="47" t="str">
        <f>IFERROR(VLOOKUP(G2499,WholesaleExtract!B:M,12,FALSE),"")</f>
        <v/>
      </c>
      <c r="R2499" s="19"/>
      <c r="S2499" s="19"/>
    </row>
    <row r="2500" spans="1:19" x14ac:dyDescent="0.35">
      <c r="A2500" s="26" t="s">
        <v>543</v>
      </c>
      <c r="B2500" s="26" t="s">
        <v>543</v>
      </c>
      <c r="C2500" s="26"/>
      <c r="D2500" s="26" t="s">
        <v>543</v>
      </c>
      <c r="E2500" s="26" t="str">
        <f>IFERROR(VLOOKUP(G2500,WholesaleExtract!B:J,9,FALSE),"")</f>
        <v/>
      </c>
      <c r="F2500" s="26" t="str">
        <f>IFERROR(VLOOKUP(G2500,WholesaleExtract!B:J,6,FALSE),"")</f>
        <v/>
      </c>
      <c r="H2500" s="47" t="str">
        <f>IFERROR(VLOOKUP(G2500,WholesaleExtract!B:L,11,FALSE),"")</f>
        <v/>
      </c>
      <c r="I2500" s="26" t="str">
        <f>IFERROR(VLOOKUP(G2500,WholesaleExtract!B:O,8,FALSE),"")</f>
        <v/>
      </c>
      <c r="J2500" s="26" t="str">
        <f>IFERROR(VLOOKUP(G2500,WholesaleExtract!B:O,14,FALSE),"")</f>
        <v/>
      </c>
      <c r="K2500" s="26" t="str">
        <f>IFERROR(VLOOKUP(G2500,WholesaleExtract!B:K,10,FALSE),"")</f>
        <v/>
      </c>
      <c r="L2500" s="47" t="str">
        <f>IFERROR(VLOOKUP(G2500,WholesaleExtract!B:L,11,FALSE),"")</f>
        <v/>
      </c>
      <c r="M2500" s="47" t="str">
        <f>IFERROR(VLOOKUP(G2500,WholesaleExtract!B:M,12,FALSE),"")</f>
        <v/>
      </c>
      <c r="R2500" s="19"/>
      <c r="S2500" s="19"/>
    </row>
    <row r="2501" spans="1:19" x14ac:dyDescent="0.35">
      <c r="A2501" s="26" t="s">
        <v>543</v>
      </c>
      <c r="B2501" s="26" t="s">
        <v>543</v>
      </c>
      <c r="C2501" s="26"/>
      <c r="D2501" s="26" t="s">
        <v>543</v>
      </c>
      <c r="E2501" s="26" t="str">
        <f>IFERROR(VLOOKUP(G2501,WholesaleExtract!B:J,9,FALSE),"")</f>
        <v/>
      </c>
      <c r="F2501" s="26" t="str">
        <f>IFERROR(VLOOKUP(G2501,WholesaleExtract!B:J,6,FALSE),"")</f>
        <v/>
      </c>
      <c r="H2501" s="47" t="str">
        <f>IFERROR(VLOOKUP(G2501,WholesaleExtract!B:L,11,FALSE),"")</f>
        <v/>
      </c>
      <c r="I2501" s="26" t="str">
        <f>IFERROR(VLOOKUP(G2501,WholesaleExtract!B:O,8,FALSE),"")</f>
        <v/>
      </c>
      <c r="J2501" s="26" t="str">
        <f>IFERROR(VLOOKUP(G2501,WholesaleExtract!B:O,14,FALSE),"")</f>
        <v/>
      </c>
      <c r="K2501" s="26" t="str">
        <f>IFERROR(VLOOKUP(G2501,WholesaleExtract!B:K,10,FALSE),"")</f>
        <v/>
      </c>
      <c r="L2501" s="47" t="str">
        <f>IFERROR(VLOOKUP(G2501,WholesaleExtract!B:L,11,FALSE),"")</f>
        <v/>
      </c>
      <c r="M2501" s="47" t="str">
        <f>IFERROR(VLOOKUP(G2501,WholesaleExtract!B:M,12,FALSE),"")</f>
        <v/>
      </c>
      <c r="R2501" s="19"/>
      <c r="S2501" s="19"/>
    </row>
    <row r="2502" spans="1:19" x14ac:dyDescent="0.35">
      <c r="A2502" s="26" t="s">
        <v>543</v>
      </c>
      <c r="B2502" s="26" t="s">
        <v>543</v>
      </c>
      <c r="C2502" s="26"/>
      <c r="D2502" s="26" t="s">
        <v>543</v>
      </c>
      <c r="E2502" s="26" t="str">
        <f>IFERROR(VLOOKUP(G2502,WholesaleExtract!B:J,9,FALSE),"")</f>
        <v/>
      </c>
      <c r="F2502" s="26" t="str">
        <f>IFERROR(VLOOKUP(G2502,WholesaleExtract!B:J,6,FALSE),"")</f>
        <v/>
      </c>
      <c r="H2502" s="47" t="str">
        <f>IFERROR(VLOOKUP(G2502,WholesaleExtract!B:L,11,FALSE),"")</f>
        <v/>
      </c>
      <c r="I2502" s="26" t="str">
        <f>IFERROR(VLOOKUP(G2502,WholesaleExtract!B:O,8,FALSE),"")</f>
        <v/>
      </c>
      <c r="J2502" s="26" t="str">
        <f>IFERROR(VLOOKUP(G2502,WholesaleExtract!B:O,14,FALSE),"")</f>
        <v/>
      </c>
      <c r="K2502" s="26" t="str">
        <f>IFERROR(VLOOKUP(G2502,WholesaleExtract!B:K,10,FALSE),"")</f>
        <v/>
      </c>
      <c r="L2502" s="47" t="str">
        <f>IFERROR(VLOOKUP(G2502,WholesaleExtract!B:L,11,FALSE),"")</f>
        <v/>
      </c>
      <c r="M2502" s="47" t="str">
        <f>IFERROR(VLOOKUP(G2502,WholesaleExtract!B:M,12,FALSE),"")</f>
        <v/>
      </c>
      <c r="R2502" s="19"/>
      <c r="S2502" s="19"/>
    </row>
    <row r="2503" spans="1:19" x14ac:dyDescent="0.35">
      <c r="A2503" s="26" t="s">
        <v>543</v>
      </c>
      <c r="B2503" s="26" t="s">
        <v>543</v>
      </c>
      <c r="C2503" s="26"/>
      <c r="D2503" s="26" t="s">
        <v>543</v>
      </c>
      <c r="E2503" s="26" t="str">
        <f>IFERROR(VLOOKUP(G2503,WholesaleExtract!B:J,9,FALSE),"")</f>
        <v/>
      </c>
      <c r="F2503" s="26" t="str">
        <f>IFERROR(VLOOKUP(G2503,WholesaleExtract!B:J,6,FALSE),"")</f>
        <v/>
      </c>
      <c r="H2503" s="47" t="str">
        <f>IFERROR(VLOOKUP(G2503,WholesaleExtract!B:L,11,FALSE),"")</f>
        <v/>
      </c>
      <c r="I2503" s="26" t="str">
        <f>IFERROR(VLOOKUP(G2503,WholesaleExtract!B:O,8,FALSE),"")</f>
        <v/>
      </c>
      <c r="J2503" s="26" t="str">
        <f>IFERROR(VLOOKUP(G2503,WholesaleExtract!B:O,14,FALSE),"")</f>
        <v/>
      </c>
      <c r="K2503" s="26" t="str">
        <f>IFERROR(VLOOKUP(G2503,WholesaleExtract!B:K,10,FALSE),"")</f>
        <v/>
      </c>
      <c r="L2503" s="47" t="str">
        <f>IFERROR(VLOOKUP(G2503,WholesaleExtract!B:L,11,FALSE),"")</f>
        <v/>
      </c>
      <c r="M2503" s="47" t="str">
        <f>IFERROR(VLOOKUP(G2503,WholesaleExtract!B:M,12,FALSE),"")</f>
        <v/>
      </c>
      <c r="R2503" s="19"/>
      <c r="S2503" s="19"/>
    </row>
    <row r="2504" spans="1:19" x14ac:dyDescent="0.35">
      <c r="A2504" s="26" t="s">
        <v>543</v>
      </c>
      <c r="B2504" s="26" t="s">
        <v>543</v>
      </c>
      <c r="C2504" s="26"/>
      <c r="D2504" s="26" t="s">
        <v>543</v>
      </c>
      <c r="E2504" s="26" t="str">
        <f>IFERROR(VLOOKUP(G2504,WholesaleExtract!B:J,9,FALSE),"")</f>
        <v/>
      </c>
      <c r="F2504" s="26" t="str">
        <f>IFERROR(VLOOKUP(G2504,WholesaleExtract!B:J,6,FALSE),"")</f>
        <v/>
      </c>
      <c r="H2504" s="47" t="str">
        <f>IFERROR(VLOOKUP(G2504,WholesaleExtract!B:L,11,FALSE),"")</f>
        <v/>
      </c>
      <c r="I2504" s="26" t="str">
        <f>IFERROR(VLOOKUP(G2504,WholesaleExtract!B:O,8,FALSE),"")</f>
        <v/>
      </c>
      <c r="J2504" s="26" t="str">
        <f>IFERROR(VLOOKUP(G2504,WholesaleExtract!B:O,14,FALSE),"")</f>
        <v/>
      </c>
      <c r="K2504" s="26" t="str">
        <f>IFERROR(VLOOKUP(G2504,WholesaleExtract!B:K,10,FALSE),"")</f>
        <v/>
      </c>
      <c r="L2504" s="47" t="str">
        <f>IFERROR(VLOOKUP(G2504,WholesaleExtract!B:L,11,FALSE),"")</f>
        <v/>
      </c>
      <c r="M2504" s="47" t="str">
        <f>IFERROR(VLOOKUP(G2504,WholesaleExtract!B:M,12,FALSE),"")</f>
        <v/>
      </c>
      <c r="R2504" s="19"/>
      <c r="S2504" s="19"/>
    </row>
    <row r="2505" spans="1:19" x14ac:dyDescent="0.35">
      <c r="A2505" s="26" t="s">
        <v>543</v>
      </c>
      <c r="B2505" s="26" t="s">
        <v>543</v>
      </c>
      <c r="C2505" s="26"/>
      <c r="D2505" s="26" t="s">
        <v>543</v>
      </c>
      <c r="E2505" s="26" t="str">
        <f>IFERROR(VLOOKUP(G2505,WholesaleExtract!B:J,9,FALSE),"")</f>
        <v/>
      </c>
      <c r="F2505" s="26" t="str">
        <f>IFERROR(VLOOKUP(G2505,WholesaleExtract!B:J,6,FALSE),"")</f>
        <v/>
      </c>
      <c r="H2505" s="47" t="str">
        <f>IFERROR(VLOOKUP(G2505,WholesaleExtract!B:L,11,FALSE),"")</f>
        <v/>
      </c>
      <c r="I2505" s="26" t="str">
        <f>IFERROR(VLOOKUP(G2505,WholesaleExtract!B:O,8,FALSE),"")</f>
        <v/>
      </c>
      <c r="J2505" s="26" t="str">
        <f>IFERROR(VLOOKUP(G2505,WholesaleExtract!B:O,14,FALSE),"")</f>
        <v/>
      </c>
      <c r="K2505" s="26" t="str">
        <f>IFERROR(VLOOKUP(G2505,WholesaleExtract!B:K,10,FALSE),"")</f>
        <v/>
      </c>
      <c r="L2505" s="47" t="str">
        <f>IFERROR(VLOOKUP(G2505,WholesaleExtract!B:L,11,FALSE),"")</f>
        <v/>
      </c>
      <c r="M2505" s="47" t="str">
        <f>IFERROR(VLOOKUP(G2505,WholesaleExtract!B:M,12,FALSE),"")</f>
        <v/>
      </c>
      <c r="R2505" s="19"/>
      <c r="S2505" s="19"/>
    </row>
    <row r="2506" spans="1:19" x14ac:dyDescent="0.35">
      <c r="A2506" s="26" t="s">
        <v>543</v>
      </c>
      <c r="B2506" s="26" t="s">
        <v>543</v>
      </c>
      <c r="C2506" s="26"/>
      <c r="D2506" s="26" t="s">
        <v>543</v>
      </c>
      <c r="E2506" s="26" t="str">
        <f>IFERROR(VLOOKUP(G2506,WholesaleExtract!B:J,9,FALSE),"")</f>
        <v/>
      </c>
      <c r="F2506" s="26" t="str">
        <f>IFERROR(VLOOKUP(G2506,WholesaleExtract!B:J,6,FALSE),"")</f>
        <v/>
      </c>
      <c r="H2506" s="47" t="str">
        <f>IFERROR(VLOOKUP(G2506,WholesaleExtract!B:L,11,FALSE),"")</f>
        <v/>
      </c>
      <c r="I2506" s="26" t="str">
        <f>IFERROR(VLOOKUP(G2506,WholesaleExtract!B:O,8,FALSE),"")</f>
        <v/>
      </c>
      <c r="J2506" s="26" t="str">
        <f>IFERROR(VLOOKUP(G2506,WholesaleExtract!B:O,14,FALSE),"")</f>
        <v/>
      </c>
      <c r="K2506" s="26" t="str">
        <f>IFERROR(VLOOKUP(G2506,WholesaleExtract!B:K,10,FALSE),"")</f>
        <v/>
      </c>
      <c r="L2506" s="47" t="str">
        <f>IFERROR(VLOOKUP(G2506,WholesaleExtract!B:L,11,FALSE),"")</f>
        <v/>
      </c>
      <c r="M2506" s="47" t="str">
        <f>IFERROR(VLOOKUP(G2506,WholesaleExtract!B:M,12,FALSE),"")</f>
        <v/>
      </c>
      <c r="R2506" s="19"/>
      <c r="S2506" s="19"/>
    </row>
    <row r="2507" spans="1:19" x14ac:dyDescent="0.35">
      <c r="A2507" s="26" t="s">
        <v>543</v>
      </c>
      <c r="B2507" s="26" t="s">
        <v>543</v>
      </c>
      <c r="C2507" s="26"/>
      <c r="D2507" s="26" t="s">
        <v>543</v>
      </c>
      <c r="E2507" s="26" t="str">
        <f>IFERROR(VLOOKUP(G2507,WholesaleExtract!B:J,9,FALSE),"")</f>
        <v/>
      </c>
      <c r="F2507" s="26" t="str">
        <f>IFERROR(VLOOKUP(G2507,WholesaleExtract!B:J,6,FALSE),"")</f>
        <v/>
      </c>
      <c r="H2507" s="47" t="str">
        <f>IFERROR(VLOOKUP(G2507,WholesaleExtract!B:L,11,FALSE),"")</f>
        <v/>
      </c>
      <c r="I2507" s="26" t="str">
        <f>IFERROR(VLOOKUP(G2507,WholesaleExtract!B:O,8,FALSE),"")</f>
        <v/>
      </c>
      <c r="J2507" s="26" t="str">
        <f>IFERROR(VLOOKUP(G2507,WholesaleExtract!B:O,14,FALSE),"")</f>
        <v/>
      </c>
      <c r="K2507" s="26" t="str">
        <f>IFERROR(VLOOKUP(G2507,WholesaleExtract!B:K,10,FALSE),"")</f>
        <v/>
      </c>
      <c r="L2507" s="47" t="str">
        <f>IFERROR(VLOOKUP(G2507,WholesaleExtract!B:L,11,FALSE),"")</f>
        <v/>
      </c>
      <c r="M2507" s="47" t="str">
        <f>IFERROR(VLOOKUP(G2507,WholesaleExtract!B:M,12,FALSE),"")</f>
        <v/>
      </c>
      <c r="R2507" s="19"/>
      <c r="S2507" s="19"/>
    </row>
    <row r="2508" spans="1:19" x14ac:dyDescent="0.35">
      <c r="A2508" s="26" t="s">
        <v>543</v>
      </c>
      <c r="B2508" s="26" t="s">
        <v>543</v>
      </c>
      <c r="C2508" s="26"/>
      <c r="D2508" s="26" t="s">
        <v>543</v>
      </c>
      <c r="E2508" s="26" t="str">
        <f>IFERROR(VLOOKUP(G2508,WholesaleExtract!B:J,9,FALSE),"")</f>
        <v/>
      </c>
      <c r="F2508" s="26" t="str">
        <f>IFERROR(VLOOKUP(G2508,WholesaleExtract!B:J,6,FALSE),"")</f>
        <v/>
      </c>
      <c r="H2508" s="47" t="str">
        <f>IFERROR(VLOOKUP(G2508,WholesaleExtract!B:L,11,FALSE),"")</f>
        <v/>
      </c>
      <c r="I2508" s="26" t="str">
        <f>IFERROR(VLOOKUP(G2508,WholesaleExtract!B:O,8,FALSE),"")</f>
        <v/>
      </c>
      <c r="J2508" s="26" t="str">
        <f>IFERROR(VLOOKUP(G2508,WholesaleExtract!B:O,14,FALSE),"")</f>
        <v/>
      </c>
      <c r="K2508" s="26" t="str">
        <f>IFERROR(VLOOKUP(G2508,WholesaleExtract!B:K,10,FALSE),"")</f>
        <v/>
      </c>
      <c r="L2508" s="47" t="str">
        <f>IFERROR(VLOOKUP(G2508,WholesaleExtract!B:L,11,FALSE),"")</f>
        <v/>
      </c>
      <c r="M2508" s="47" t="str">
        <f>IFERROR(VLOOKUP(G2508,WholesaleExtract!B:M,12,FALSE),"")</f>
        <v/>
      </c>
      <c r="R2508" s="19"/>
      <c r="S2508" s="19"/>
    </row>
    <row r="2509" spans="1:19" x14ac:dyDescent="0.35">
      <c r="A2509" s="26" t="s">
        <v>543</v>
      </c>
      <c r="B2509" s="26" t="s">
        <v>543</v>
      </c>
      <c r="C2509" s="26"/>
      <c r="D2509" s="26" t="s">
        <v>543</v>
      </c>
      <c r="E2509" s="26" t="str">
        <f>IFERROR(VLOOKUP(G2509,WholesaleExtract!B:J,9,FALSE),"")</f>
        <v/>
      </c>
      <c r="F2509" s="26" t="str">
        <f>IFERROR(VLOOKUP(G2509,WholesaleExtract!B:J,6,FALSE),"")</f>
        <v/>
      </c>
      <c r="H2509" s="47" t="str">
        <f>IFERROR(VLOOKUP(G2509,WholesaleExtract!B:L,11,FALSE),"")</f>
        <v/>
      </c>
      <c r="I2509" s="26" t="str">
        <f>IFERROR(VLOOKUP(G2509,WholesaleExtract!B:O,8,FALSE),"")</f>
        <v/>
      </c>
      <c r="J2509" s="26" t="str">
        <f>IFERROR(VLOOKUP(G2509,WholesaleExtract!B:O,14,FALSE),"")</f>
        <v/>
      </c>
      <c r="K2509" s="26" t="str">
        <f>IFERROR(VLOOKUP(G2509,WholesaleExtract!B:K,10,FALSE),"")</f>
        <v/>
      </c>
      <c r="L2509" s="47" t="str">
        <f>IFERROR(VLOOKUP(G2509,WholesaleExtract!B:L,11,FALSE),"")</f>
        <v/>
      </c>
      <c r="M2509" s="47" t="str">
        <f>IFERROR(VLOOKUP(G2509,WholesaleExtract!B:M,12,FALSE),"")</f>
        <v/>
      </c>
      <c r="R2509" s="19"/>
      <c r="S2509" s="19"/>
    </row>
    <row r="2510" spans="1:19" x14ac:dyDescent="0.35">
      <c r="A2510" s="26" t="s">
        <v>543</v>
      </c>
      <c r="B2510" s="26" t="s">
        <v>543</v>
      </c>
      <c r="C2510" s="26"/>
      <c r="D2510" s="26" t="s">
        <v>543</v>
      </c>
      <c r="E2510" s="26" t="str">
        <f>IFERROR(VLOOKUP(G2510,WholesaleExtract!B:J,9,FALSE),"")</f>
        <v/>
      </c>
      <c r="F2510" s="26" t="str">
        <f>IFERROR(VLOOKUP(G2510,WholesaleExtract!B:J,6,FALSE),"")</f>
        <v/>
      </c>
      <c r="H2510" s="47" t="str">
        <f>IFERROR(VLOOKUP(G2510,WholesaleExtract!B:L,11,FALSE),"")</f>
        <v/>
      </c>
      <c r="I2510" s="26" t="str">
        <f>IFERROR(VLOOKUP(G2510,WholesaleExtract!B:O,8,FALSE),"")</f>
        <v/>
      </c>
      <c r="J2510" s="26" t="str">
        <f>IFERROR(VLOOKUP(G2510,WholesaleExtract!B:O,14,FALSE),"")</f>
        <v/>
      </c>
      <c r="K2510" s="26" t="str">
        <f>IFERROR(VLOOKUP(G2510,WholesaleExtract!B:K,10,FALSE),"")</f>
        <v/>
      </c>
      <c r="L2510" s="47" t="str">
        <f>IFERROR(VLOOKUP(G2510,WholesaleExtract!B:L,11,FALSE),"")</f>
        <v/>
      </c>
      <c r="M2510" s="47" t="str">
        <f>IFERROR(VLOOKUP(G2510,WholesaleExtract!B:M,12,FALSE),"")</f>
        <v/>
      </c>
      <c r="R2510" s="19"/>
      <c r="S2510" s="19"/>
    </row>
    <row r="2511" spans="1:19" x14ac:dyDescent="0.35">
      <c r="A2511" s="26" t="s">
        <v>543</v>
      </c>
      <c r="B2511" s="26" t="s">
        <v>543</v>
      </c>
      <c r="C2511" s="26"/>
      <c r="D2511" s="26" t="s">
        <v>543</v>
      </c>
      <c r="E2511" s="26" t="str">
        <f>IFERROR(VLOOKUP(G2511,WholesaleExtract!B:J,9,FALSE),"")</f>
        <v/>
      </c>
      <c r="F2511" s="26" t="str">
        <f>IFERROR(VLOOKUP(G2511,WholesaleExtract!B:J,6,FALSE),"")</f>
        <v/>
      </c>
      <c r="H2511" s="47" t="str">
        <f>IFERROR(VLOOKUP(G2511,WholesaleExtract!B:L,11,FALSE),"")</f>
        <v/>
      </c>
      <c r="I2511" s="26" t="str">
        <f>IFERROR(VLOOKUP(G2511,WholesaleExtract!B:O,8,FALSE),"")</f>
        <v/>
      </c>
      <c r="J2511" s="26" t="str">
        <f>IFERROR(VLOOKUP(G2511,WholesaleExtract!B:O,14,FALSE),"")</f>
        <v/>
      </c>
      <c r="K2511" s="26" t="str">
        <f>IFERROR(VLOOKUP(G2511,WholesaleExtract!B:K,10,FALSE),"")</f>
        <v/>
      </c>
      <c r="L2511" s="47" t="str">
        <f>IFERROR(VLOOKUP(G2511,WholesaleExtract!B:L,11,FALSE),"")</f>
        <v/>
      </c>
      <c r="M2511" s="47" t="str">
        <f>IFERROR(VLOOKUP(G2511,WholesaleExtract!B:M,12,FALSE),"")</f>
        <v/>
      </c>
      <c r="R2511" s="19"/>
      <c r="S2511" s="19"/>
    </row>
    <row r="2512" spans="1:19" x14ac:dyDescent="0.35">
      <c r="A2512" s="26" t="s">
        <v>543</v>
      </c>
      <c r="B2512" s="26" t="s">
        <v>543</v>
      </c>
      <c r="C2512" s="26"/>
      <c r="D2512" s="26" t="s">
        <v>543</v>
      </c>
      <c r="E2512" s="26" t="str">
        <f>IFERROR(VLOOKUP(G2512,WholesaleExtract!B:J,9,FALSE),"")</f>
        <v/>
      </c>
      <c r="F2512" s="26" t="str">
        <f>IFERROR(VLOOKUP(G2512,WholesaleExtract!B:J,6,FALSE),"")</f>
        <v/>
      </c>
      <c r="H2512" s="47" t="str">
        <f>IFERROR(VLOOKUP(G2512,WholesaleExtract!B:L,11,FALSE),"")</f>
        <v/>
      </c>
      <c r="I2512" s="26" t="str">
        <f>IFERROR(VLOOKUP(G2512,WholesaleExtract!B:O,8,FALSE),"")</f>
        <v/>
      </c>
      <c r="J2512" s="26" t="str">
        <f>IFERROR(VLOOKUP(G2512,WholesaleExtract!B:O,14,FALSE),"")</f>
        <v/>
      </c>
      <c r="K2512" s="26" t="str">
        <f>IFERROR(VLOOKUP(G2512,WholesaleExtract!B:K,10,FALSE),"")</f>
        <v/>
      </c>
      <c r="L2512" s="47" t="str">
        <f>IFERROR(VLOOKUP(G2512,WholesaleExtract!B:L,11,FALSE),"")</f>
        <v/>
      </c>
      <c r="M2512" s="47" t="str">
        <f>IFERROR(VLOOKUP(G2512,WholesaleExtract!B:M,12,FALSE),"")</f>
        <v/>
      </c>
      <c r="R2512" s="19"/>
      <c r="S2512" s="19"/>
    </row>
    <row r="2513" spans="1:19" x14ac:dyDescent="0.35">
      <c r="A2513" s="26" t="s">
        <v>543</v>
      </c>
      <c r="B2513" s="26" t="s">
        <v>543</v>
      </c>
      <c r="C2513" s="26"/>
      <c r="D2513" s="26" t="s">
        <v>543</v>
      </c>
      <c r="E2513" s="26" t="str">
        <f>IFERROR(VLOOKUP(G2513,WholesaleExtract!B:J,9,FALSE),"")</f>
        <v/>
      </c>
      <c r="F2513" s="26" t="str">
        <f>IFERROR(VLOOKUP(G2513,WholesaleExtract!B:J,6,FALSE),"")</f>
        <v/>
      </c>
      <c r="H2513" s="47" t="str">
        <f>IFERROR(VLOOKUP(G2513,WholesaleExtract!B:L,11,FALSE),"")</f>
        <v/>
      </c>
      <c r="I2513" s="26" t="str">
        <f>IFERROR(VLOOKUP(G2513,WholesaleExtract!B:O,8,FALSE),"")</f>
        <v/>
      </c>
      <c r="J2513" s="26" t="str">
        <f>IFERROR(VLOOKUP(G2513,WholesaleExtract!B:O,14,FALSE),"")</f>
        <v/>
      </c>
      <c r="K2513" s="26" t="str">
        <f>IFERROR(VLOOKUP(G2513,WholesaleExtract!B:K,10,FALSE),"")</f>
        <v/>
      </c>
      <c r="L2513" s="47" t="str">
        <f>IFERROR(VLOOKUP(G2513,WholesaleExtract!B:L,11,FALSE),"")</f>
        <v/>
      </c>
      <c r="M2513" s="47" t="str">
        <f>IFERROR(VLOOKUP(G2513,WholesaleExtract!B:M,12,FALSE),"")</f>
        <v/>
      </c>
      <c r="R2513" s="19"/>
      <c r="S2513" s="19"/>
    </row>
    <row r="2514" spans="1:19" x14ac:dyDescent="0.35">
      <c r="A2514" s="26" t="s">
        <v>543</v>
      </c>
      <c r="B2514" s="26" t="s">
        <v>543</v>
      </c>
      <c r="C2514" s="26"/>
      <c r="D2514" s="26" t="s">
        <v>543</v>
      </c>
      <c r="E2514" s="26" t="str">
        <f>IFERROR(VLOOKUP(G2514,WholesaleExtract!B:J,9,FALSE),"")</f>
        <v/>
      </c>
      <c r="F2514" s="26" t="str">
        <f>IFERROR(VLOOKUP(G2514,WholesaleExtract!B:J,6,FALSE),"")</f>
        <v/>
      </c>
      <c r="H2514" s="47" t="str">
        <f>IFERROR(VLOOKUP(G2514,WholesaleExtract!B:L,11,FALSE),"")</f>
        <v/>
      </c>
      <c r="I2514" s="26" t="str">
        <f>IFERROR(VLOOKUP(G2514,WholesaleExtract!B:O,8,FALSE),"")</f>
        <v/>
      </c>
      <c r="J2514" s="26" t="str">
        <f>IFERROR(VLOOKUP(G2514,WholesaleExtract!B:O,14,FALSE),"")</f>
        <v/>
      </c>
      <c r="K2514" s="26" t="str">
        <f>IFERROR(VLOOKUP(G2514,WholesaleExtract!B:K,10,FALSE),"")</f>
        <v/>
      </c>
      <c r="L2514" s="47" t="str">
        <f>IFERROR(VLOOKUP(G2514,WholesaleExtract!B:L,11,FALSE),"")</f>
        <v/>
      </c>
      <c r="M2514" s="47" t="str">
        <f>IFERROR(VLOOKUP(G2514,WholesaleExtract!B:M,12,FALSE),"")</f>
        <v/>
      </c>
      <c r="R2514" s="19"/>
      <c r="S2514" s="19"/>
    </row>
    <row r="2515" spans="1:19" x14ac:dyDescent="0.35">
      <c r="A2515" s="26" t="s">
        <v>543</v>
      </c>
      <c r="B2515" s="26" t="s">
        <v>543</v>
      </c>
      <c r="C2515" s="26"/>
      <c r="D2515" s="26" t="s">
        <v>543</v>
      </c>
      <c r="E2515" s="26" t="str">
        <f>IFERROR(VLOOKUP(G2515,WholesaleExtract!B:J,9,FALSE),"")</f>
        <v/>
      </c>
      <c r="F2515" s="26" t="str">
        <f>IFERROR(VLOOKUP(G2515,WholesaleExtract!B:J,6,FALSE),"")</f>
        <v/>
      </c>
      <c r="H2515" s="47" t="str">
        <f>IFERROR(VLOOKUP(G2515,WholesaleExtract!B:L,11,FALSE),"")</f>
        <v/>
      </c>
      <c r="I2515" s="26" t="str">
        <f>IFERROR(VLOOKUP(G2515,WholesaleExtract!B:O,8,FALSE),"")</f>
        <v/>
      </c>
      <c r="J2515" s="26" t="str">
        <f>IFERROR(VLOOKUP(G2515,WholesaleExtract!B:O,14,FALSE),"")</f>
        <v/>
      </c>
      <c r="K2515" s="26" t="str">
        <f>IFERROR(VLOOKUP(G2515,WholesaleExtract!B:K,10,FALSE),"")</f>
        <v/>
      </c>
      <c r="L2515" s="47" t="str">
        <f>IFERROR(VLOOKUP(G2515,WholesaleExtract!B:L,11,FALSE),"")</f>
        <v/>
      </c>
      <c r="M2515" s="47" t="str">
        <f>IFERROR(VLOOKUP(G2515,WholesaleExtract!B:M,12,FALSE),"")</f>
        <v/>
      </c>
      <c r="R2515" s="19"/>
      <c r="S2515" s="19"/>
    </row>
    <row r="2516" spans="1:19" x14ac:dyDescent="0.35">
      <c r="A2516" s="26" t="s">
        <v>543</v>
      </c>
      <c r="B2516" s="26" t="s">
        <v>543</v>
      </c>
      <c r="C2516" s="26"/>
      <c r="D2516" s="26" t="s">
        <v>543</v>
      </c>
      <c r="E2516" s="26" t="str">
        <f>IFERROR(VLOOKUP(G2516,WholesaleExtract!B:J,9,FALSE),"")</f>
        <v/>
      </c>
      <c r="F2516" s="26" t="str">
        <f>IFERROR(VLOOKUP(G2516,WholesaleExtract!B:J,6,FALSE),"")</f>
        <v/>
      </c>
      <c r="H2516" s="47" t="str">
        <f>IFERROR(VLOOKUP(G2516,WholesaleExtract!B:L,11,FALSE),"")</f>
        <v/>
      </c>
      <c r="I2516" s="26" t="str">
        <f>IFERROR(VLOOKUP(G2516,WholesaleExtract!B:O,8,FALSE),"")</f>
        <v/>
      </c>
      <c r="J2516" s="26" t="str">
        <f>IFERROR(VLOOKUP(G2516,WholesaleExtract!B:O,14,FALSE),"")</f>
        <v/>
      </c>
      <c r="K2516" s="26" t="str">
        <f>IFERROR(VLOOKUP(G2516,WholesaleExtract!B:K,10,FALSE),"")</f>
        <v/>
      </c>
      <c r="L2516" s="47" t="str">
        <f>IFERROR(VLOOKUP(G2516,WholesaleExtract!B:L,11,FALSE),"")</f>
        <v/>
      </c>
      <c r="M2516" s="47" t="str">
        <f>IFERROR(VLOOKUP(G2516,WholesaleExtract!B:M,12,FALSE),"")</f>
        <v/>
      </c>
      <c r="R2516" s="19"/>
      <c r="S2516" s="19"/>
    </row>
    <row r="2517" spans="1:19" x14ac:dyDescent="0.35">
      <c r="A2517" s="26" t="s">
        <v>543</v>
      </c>
      <c r="B2517" s="26" t="s">
        <v>543</v>
      </c>
      <c r="C2517" s="26"/>
      <c r="D2517" s="26" t="s">
        <v>543</v>
      </c>
      <c r="E2517" s="26" t="str">
        <f>IFERROR(VLOOKUP(G2517,WholesaleExtract!B:J,9,FALSE),"")</f>
        <v/>
      </c>
      <c r="F2517" s="26" t="str">
        <f>IFERROR(VLOOKUP(G2517,WholesaleExtract!B:J,6,FALSE),"")</f>
        <v/>
      </c>
      <c r="H2517" s="47" t="str">
        <f>IFERROR(VLOOKUP(G2517,WholesaleExtract!B:L,11,FALSE),"")</f>
        <v/>
      </c>
      <c r="I2517" s="26" t="str">
        <f>IFERROR(VLOOKUP(G2517,WholesaleExtract!B:O,8,FALSE),"")</f>
        <v/>
      </c>
      <c r="J2517" s="26" t="str">
        <f>IFERROR(VLOOKUP(G2517,WholesaleExtract!B:O,14,FALSE),"")</f>
        <v/>
      </c>
      <c r="K2517" s="26" t="str">
        <f>IFERROR(VLOOKUP(G2517,WholesaleExtract!B:K,10,FALSE),"")</f>
        <v/>
      </c>
      <c r="L2517" s="47" t="str">
        <f>IFERROR(VLOOKUP(G2517,WholesaleExtract!B:L,11,FALSE),"")</f>
        <v/>
      </c>
      <c r="M2517" s="47" t="str">
        <f>IFERROR(VLOOKUP(G2517,WholesaleExtract!B:M,12,FALSE),"")</f>
        <v/>
      </c>
      <c r="R2517" s="19"/>
      <c r="S2517" s="19"/>
    </row>
    <row r="2518" spans="1:19" x14ac:dyDescent="0.35">
      <c r="A2518" s="26" t="s">
        <v>543</v>
      </c>
      <c r="B2518" s="26" t="s">
        <v>543</v>
      </c>
      <c r="C2518" s="26"/>
      <c r="D2518" s="26" t="s">
        <v>543</v>
      </c>
      <c r="E2518" s="26" t="str">
        <f>IFERROR(VLOOKUP(G2518,WholesaleExtract!B:J,9,FALSE),"")</f>
        <v/>
      </c>
      <c r="F2518" s="26" t="str">
        <f>IFERROR(VLOOKUP(G2518,WholesaleExtract!B:J,6,FALSE),"")</f>
        <v/>
      </c>
      <c r="H2518" s="47" t="str">
        <f>IFERROR(VLOOKUP(G2518,WholesaleExtract!B:L,11,FALSE),"")</f>
        <v/>
      </c>
      <c r="I2518" s="26" t="str">
        <f>IFERROR(VLOOKUP(G2518,WholesaleExtract!B:O,8,FALSE),"")</f>
        <v/>
      </c>
      <c r="J2518" s="26" t="str">
        <f>IFERROR(VLOOKUP(G2518,WholesaleExtract!B:O,14,FALSE),"")</f>
        <v/>
      </c>
      <c r="K2518" s="26" t="str">
        <f>IFERROR(VLOOKUP(G2518,WholesaleExtract!B:K,10,FALSE),"")</f>
        <v/>
      </c>
      <c r="L2518" s="47" t="str">
        <f>IFERROR(VLOOKUP(G2518,WholesaleExtract!B:L,11,FALSE),"")</f>
        <v/>
      </c>
      <c r="M2518" s="47" t="str">
        <f>IFERROR(VLOOKUP(G2518,WholesaleExtract!B:M,12,FALSE),"")</f>
        <v/>
      </c>
      <c r="R2518" s="19"/>
      <c r="S2518" s="19"/>
    </row>
    <row r="2519" spans="1:19" x14ac:dyDescent="0.35">
      <c r="A2519" s="26" t="s">
        <v>543</v>
      </c>
      <c r="B2519" s="26" t="s">
        <v>543</v>
      </c>
      <c r="C2519" s="26"/>
      <c r="D2519" s="26" t="s">
        <v>543</v>
      </c>
      <c r="E2519" s="26" t="str">
        <f>IFERROR(VLOOKUP(G2519,WholesaleExtract!B:J,9,FALSE),"")</f>
        <v/>
      </c>
      <c r="F2519" s="26" t="str">
        <f>IFERROR(VLOOKUP(G2519,WholesaleExtract!B:J,6,FALSE),"")</f>
        <v/>
      </c>
      <c r="H2519" s="47" t="str">
        <f>IFERROR(VLOOKUP(G2519,WholesaleExtract!B:L,11,FALSE),"")</f>
        <v/>
      </c>
      <c r="I2519" s="26" t="str">
        <f>IFERROR(VLOOKUP(G2519,WholesaleExtract!B:O,8,FALSE),"")</f>
        <v/>
      </c>
      <c r="J2519" s="26" t="str">
        <f>IFERROR(VLOOKUP(G2519,WholesaleExtract!B:O,14,FALSE),"")</f>
        <v/>
      </c>
      <c r="K2519" s="26" t="str">
        <f>IFERROR(VLOOKUP(G2519,WholesaleExtract!B:K,10,FALSE),"")</f>
        <v/>
      </c>
      <c r="L2519" s="47" t="str">
        <f>IFERROR(VLOOKUP(G2519,WholesaleExtract!B:L,11,FALSE),"")</f>
        <v/>
      </c>
      <c r="M2519" s="47" t="str">
        <f>IFERROR(VLOOKUP(G2519,WholesaleExtract!B:M,12,FALSE),"")</f>
        <v/>
      </c>
      <c r="R2519" s="19"/>
      <c r="S2519" s="19"/>
    </row>
    <row r="2520" spans="1:19" x14ac:dyDescent="0.35">
      <c r="A2520" s="26" t="s">
        <v>543</v>
      </c>
      <c r="B2520" s="26" t="s">
        <v>543</v>
      </c>
      <c r="C2520" s="26"/>
      <c r="D2520" s="26" t="s">
        <v>543</v>
      </c>
      <c r="E2520" s="26" t="str">
        <f>IFERROR(VLOOKUP(G2520,WholesaleExtract!B:J,9,FALSE),"")</f>
        <v/>
      </c>
      <c r="F2520" s="26" t="str">
        <f>IFERROR(VLOOKUP(G2520,WholesaleExtract!B:J,6,FALSE),"")</f>
        <v/>
      </c>
      <c r="H2520" s="47" t="str">
        <f>IFERROR(VLOOKUP(G2520,WholesaleExtract!B:L,11,FALSE),"")</f>
        <v/>
      </c>
      <c r="I2520" s="26" t="str">
        <f>IFERROR(VLOOKUP(G2520,WholesaleExtract!B:O,8,FALSE),"")</f>
        <v/>
      </c>
      <c r="J2520" s="26" t="str">
        <f>IFERROR(VLOOKUP(G2520,WholesaleExtract!B:O,14,FALSE),"")</f>
        <v/>
      </c>
      <c r="K2520" s="26" t="str">
        <f>IFERROR(VLOOKUP(G2520,WholesaleExtract!B:K,10,FALSE),"")</f>
        <v/>
      </c>
      <c r="L2520" s="47" t="str">
        <f>IFERROR(VLOOKUP(G2520,WholesaleExtract!B:L,11,FALSE),"")</f>
        <v/>
      </c>
      <c r="M2520" s="47" t="str">
        <f>IFERROR(VLOOKUP(G2520,WholesaleExtract!B:M,12,FALSE),"")</f>
        <v/>
      </c>
      <c r="R2520" s="19"/>
      <c r="S2520" s="19"/>
    </row>
    <row r="2521" spans="1:19" x14ac:dyDescent="0.35">
      <c r="A2521" s="26" t="s">
        <v>543</v>
      </c>
      <c r="B2521" s="26" t="s">
        <v>543</v>
      </c>
      <c r="C2521" s="26"/>
      <c r="D2521" s="26" t="s">
        <v>543</v>
      </c>
      <c r="E2521" s="26" t="str">
        <f>IFERROR(VLOOKUP(G2521,WholesaleExtract!B:J,9,FALSE),"")</f>
        <v/>
      </c>
      <c r="F2521" s="26" t="str">
        <f>IFERROR(VLOOKUP(G2521,WholesaleExtract!B:J,6,FALSE),"")</f>
        <v/>
      </c>
      <c r="H2521" s="47" t="str">
        <f>IFERROR(VLOOKUP(G2521,WholesaleExtract!B:L,11,FALSE),"")</f>
        <v/>
      </c>
      <c r="I2521" s="26" t="str">
        <f>IFERROR(VLOOKUP(G2521,WholesaleExtract!B:O,8,FALSE),"")</f>
        <v/>
      </c>
      <c r="J2521" s="26" t="str">
        <f>IFERROR(VLOOKUP(G2521,WholesaleExtract!B:O,14,FALSE),"")</f>
        <v/>
      </c>
      <c r="K2521" s="26" t="str">
        <f>IFERROR(VLOOKUP(G2521,WholesaleExtract!B:K,10,FALSE),"")</f>
        <v/>
      </c>
      <c r="L2521" s="47" t="str">
        <f>IFERROR(VLOOKUP(G2521,WholesaleExtract!B:L,11,FALSE),"")</f>
        <v/>
      </c>
      <c r="M2521" s="47" t="str">
        <f>IFERROR(VLOOKUP(G2521,WholesaleExtract!B:M,12,FALSE),"")</f>
        <v/>
      </c>
      <c r="R2521" s="19"/>
      <c r="S2521" s="19"/>
    </row>
    <row r="2522" spans="1:19" x14ac:dyDescent="0.35">
      <c r="A2522" s="26" t="s">
        <v>543</v>
      </c>
      <c r="B2522" s="26" t="s">
        <v>543</v>
      </c>
      <c r="C2522" s="26"/>
      <c r="D2522" s="26" t="s">
        <v>543</v>
      </c>
      <c r="E2522" s="26" t="str">
        <f>IFERROR(VLOOKUP(G2522,WholesaleExtract!B:J,9,FALSE),"")</f>
        <v/>
      </c>
      <c r="F2522" s="26" t="str">
        <f>IFERROR(VLOOKUP(G2522,WholesaleExtract!B:J,6,FALSE),"")</f>
        <v/>
      </c>
      <c r="H2522" s="47" t="str">
        <f>IFERROR(VLOOKUP(G2522,WholesaleExtract!B:L,11,FALSE),"")</f>
        <v/>
      </c>
      <c r="I2522" s="26" t="str">
        <f>IFERROR(VLOOKUP(G2522,WholesaleExtract!B:O,8,FALSE),"")</f>
        <v/>
      </c>
      <c r="J2522" s="26" t="str">
        <f>IFERROR(VLOOKUP(G2522,WholesaleExtract!B:O,14,FALSE),"")</f>
        <v/>
      </c>
      <c r="K2522" s="26" t="str">
        <f>IFERROR(VLOOKUP(G2522,WholesaleExtract!B:K,10,FALSE),"")</f>
        <v/>
      </c>
      <c r="L2522" s="47" t="str">
        <f>IFERROR(VLOOKUP(G2522,WholesaleExtract!B:L,11,FALSE),"")</f>
        <v/>
      </c>
      <c r="M2522" s="47" t="str">
        <f>IFERROR(VLOOKUP(G2522,WholesaleExtract!B:M,12,FALSE),"")</f>
        <v/>
      </c>
      <c r="R2522" s="19"/>
      <c r="S2522" s="19"/>
    </row>
    <row r="2523" spans="1:19" x14ac:dyDescent="0.35">
      <c r="A2523" s="26" t="s">
        <v>543</v>
      </c>
      <c r="B2523" s="26" t="s">
        <v>543</v>
      </c>
      <c r="C2523" s="26"/>
      <c r="D2523" s="26" t="s">
        <v>543</v>
      </c>
      <c r="E2523" s="26" t="str">
        <f>IFERROR(VLOOKUP(G2523,WholesaleExtract!B:J,9,FALSE),"")</f>
        <v/>
      </c>
      <c r="F2523" s="26" t="str">
        <f>IFERROR(VLOOKUP(G2523,WholesaleExtract!B:J,6,FALSE),"")</f>
        <v/>
      </c>
      <c r="H2523" s="47" t="str">
        <f>IFERROR(VLOOKUP(G2523,WholesaleExtract!B:L,11,FALSE),"")</f>
        <v/>
      </c>
      <c r="I2523" s="26" t="str">
        <f>IFERROR(VLOOKUP(G2523,WholesaleExtract!B:O,8,FALSE),"")</f>
        <v/>
      </c>
      <c r="J2523" s="26" t="str">
        <f>IFERROR(VLOOKUP(G2523,WholesaleExtract!B:O,14,FALSE),"")</f>
        <v/>
      </c>
      <c r="K2523" s="26" t="str">
        <f>IFERROR(VLOOKUP(G2523,WholesaleExtract!B:K,10,FALSE),"")</f>
        <v/>
      </c>
      <c r="L2523" s="47" t="str">
        <f>IFERROR(VLOOKUP(G2523,WholesaleExtract!B:L,11,FALSE),"")</f>
        <v/>
      </c>
      <c r="M2523" s="47" t="str">
        <f>IFERROR(VLOOKUP(G2523,WholesaleExtract!B:M,12,FALSE),"")</f>
        <v/>
      </c>
      <c r="R2523" s="19"/>
      <c r="S2523" s="19"/>
    </row>
    <row r="2524" spans="1:19" x14ac:dyDescent="0.35">
      <c r="A2524" s="26" t="s">
        <v>543</v>
      </c>
      <c r="B2524" s="26" t="s">
        <v>543</v>
      </c>
      <c r="C2524" s="26"/>
      <c r="D2524" s="26" t="s">
        <v>543</v>
      </c>
      <c r="E2524" s="26" t="str">
        <f>IFERROR(VLOOKUP(G2524,WholesaleExtract!B:J,9,FALSE),"")</f>
        <v/>
      </c>
      <c r="F2524" s="26" t="str">
        <f>IFERROR(VLOOKUP(G2524,WholesaleExtract!B:J,6,FALSE),"")</f>
        <v/>
      </c>
      <c r="H2524" s="47" t="str">
        <f>IFERROR(VLOOKUP(G2524,WholesaleExtract!B:L,11,FALSE),"")</f>
        <v/>
      </c>
      <c r="I2524" s="26" t="str">
        <f>IFERROR(VLOOKUP(G2524,WholesaleExtract!B:O,8,FALSE),"")</f>
        <v/>
      </c>
      <c r="J2524" s="26" t="str">
        <f>IFERROR(VLOOKUP(G2524,WholesaleExtract!B:O,14,FALSE),"")</f>
        <v/>
      </c>
      <c r="K2524" s="26" t="str">
        <f>IFERROR(VLOOKUP(G2524,WholesaleExtract!B:K,10,FALSE),"")</f>
        <v/>
      </c>
      <c r="L2524" s="47" t="str">
        <f>IFERROR(VLOOKUP(G2524,WholesaleExtract!B:L,11,FALSE),"")</f>
        <v/>
      </c>
      <c r="M2524" s="47" t="str">
        <f>IFERROR(VLOOKUP(G2524,WholesaleExtract!B:M,12,FALSE),"")</f>
        <v/>
      </c>
      <c r="R2524" s="19"/>
      <c r="S2524" s="19"/>
    </row>
    <row r="2525" spans="1:19" x14ac:dyDescent="0.35">
      <c r="A2525" s="26" t="s">
        <v>543</v>
      </c>
      <c r="B2525" s="26" t="s">
        <v>543</v>
      </c>
      <c r="C2525" s="26"/>
      <c r="D2525" s="26" t="s">
        <v>543</v>
      </c>
      <c r="E2525" s="26" t="str">
        <f>IFERROR(VLOOKUP(G2525,WholesaleExtract!B:J,9,FALSE),"")</f>
        <v/>
      </c>
      <c r="F2525" s="26" t="str">
        <f>IFERROR(VLOOKUP(G2525,WholesaleExtract!B:J,6,FALSE),"")</f>
        <v/>
      </c>
      <c r="H2525" s="47" t="str">
        <f>IFERROR(VLOOKUP(G2525,WholesaleExtract!B:L,11,FALSE),"")</f>
        <v/>
      </c>
      <c r="I2525" s="26" t="str">
        <f>IFERROR(VLOOKUP(G2525,WholesaleExtract!B:O,8,FALSE),"")</f>
        <v/>
      </c>
      <c r="J2525" s="26" t="str">
        <f>IFERROR(VLOOKUP(G2525,WholesaleExtract!B:O,14,FALSE),"")</f>
        <v/>
      </c>
      <c r="K2525" s="26" t="str">
        <f>IFERROR(VLOOKUP(G2525,WholesaleExtract!B:K,10,FALSE),"")</f>
        <v/>
      </c>
      <c r="L2525" s="47" t="str">
        <f>IFERROR(VLOOKUP(G2525,WholesaleExtract!B:L,11,FALSE),"")</f>
        <v/>
      </c>
      <c r="M2525" s="47" t="str">
        <f>IFERROR(VLOOKUP(G2525,WholesaleExtract!B:M,12,FALSE),"")</f>
        <v/>
      </c>
      <c r="R2525" s="19"/>
      <c r="S2525" s="19"/>
    </row>
    <row r="2526" spans="1:19" x14ac:dyDescent="0.35">
      <c r="A2526" s="26" t="s">
        <v>543</v>
      </c>
      <c r="B2526" s="26" t="s">
        <v>543</v>
      </c>
      <c r="C2526" s="26"/>
      <c r="D2526" s="26" t="s">
        <v>543</v>
      </c>
      <c r="E2526" s="26" t="str">
        <f>IFERROR(VLOOKUP(G2526,WholesaleExtract!B:J,9,FALSE),"")</f>
        <v/>
      </c>
      <c r="F2526" s="26" t="str">
        <f>IFERROR(VLOOKUP(G2526,WholesaleExtract!B:J,6,FALSE),"")</f>
        <v/>
      </c>
      <c r="H2526" s="47" t="str">
        <f>IFERROR(VLOOKUP(G2526,WholesaleExtract!B:L,11,FALSE),"")</f>
        <v/>
      </c>
      <c r="I2526" s="26" t="str">
        <f>IFERROR(VLOOKUP(G2526,WholesaleExtract!B:O,8,FALSE),"")</f>
        <v/>
      </c>
      <c r="J2526" s="26" t="str">
        <f>IFERROR(VLOOKUP(G2526,WholesaleExtract!B:O,14,FALSE),"")</f>
        <v/>
      </c>
      <c r="K2526" s="26" t="str">
        <f>IFERROR(VLOOKUP(G2526,WholesaleExtract!B:K,10,FALSE),"")</f>
        <v/>
      </c>
      <c r="L2526" s="47" t="str">
        <f>IFERROR(VLOOKUP(G2526,WholesaleExtract!B:L,11,FALSE),"")</f>
        <v/>
      </c>
      <c r="M2526" s="47" t="str">
        <f>IFERROR(VLOOKUP(G2526,WholesaleExtract!B:M,12,FALSE),"")</f>
        <v/>
      </c>
      <c r="R2526" s="19"/>
      <c r="S2526" s="19"/>
    </row>
    <row r="2527" spans="1:19" x14ac:dyDescent="0.35">
      <c r="A2527" s="26" t="s">
        <v>543</v>
      </c>
      <c r="B2527" s="26" t="s">
        <v>543</v>
      </c>
      <c r="C2527" s="26"/>
      <c r="D2527" s="26" t="s">
        <v>543</v>
      </c>
      <c r="E2527" s="26" t="str">
        <f>IFERROR(VLOOKUP(G2527,WholesaleExtract!B:J,9,FALSE),"")</f>
        <v/>
      </c>
      <c r="F2527" s="26" t="str">
        <f>IFERROR(VLOOKUP(G2527,WholesaleExtract!B:J,6,FALSE),"")</f>
        <v/>
      </c>
      <c r="H2527" s="47" t="str">
        <f>IFERROR(VLOOKUP(G2527,WholesaleExtract!B:L,11,FALSE),"")</f>
        <v/>
      </c>
      <c r="I2527" s="26" t="str">
        <f>IFERROR(VLOOKUP(G2527,WholesaleExtract!B:O,8,FALSE),"")</f>
        <v/>
      </c>
      <c r="J2527" s="26" t="str">
        <f>IFERROR(VLOOKUP(G2527,WholesaleExtract!B:O,14,FALSE),"")</f>
        <v/>
      </c>
      <c r="K2527" s="26" t="str">
        <f>IFERROR(VLOOKUP(G2527,WholesaleExtract!B:K,10,FALSE),"")</f>
        <v/>
      </c>
      <c r="L2527" s="47" t="str">
        <f>IFERROR(VLOOKUP(G2527,WholesaleExtract!B:L,11,FALSE),"")</f>
        <v/>
      </c>
      <c r="M2527" s="47" t="str">
        <f>IFERROR(VLOOKUP(G2527,WholesaleExtract!B:M,12,FALSE),"")</f>
        <v/>
      </c>
      <c r="R2527" s="19"/>
      <c r="S2527" s="19"/>
    </row>
    <row r="2528" spans="1:19" x14ac:dyDescent="0.35">
      <c r="A2528" s="26" t="s">
        <v>543</v>
      </c>
      <c r="B2528" s="26" t="s">
        <v>543</v>
      </c>
      <c r="C2528" s="26"/>
      <c r="D2528" s="26" t="s">
        <v>543</v>
      </c>
      <c r="E2528" s="26" t="str">
        <f>IFERROR(VLOOKUP(G2528,WholesaleExtract!B:J,9,FALSE),"")</f>
        <v/>
      </c>
      <c r="F2528" s="26" t="str">
        <f>IFERROR(VLOOKUP(G2528,WholesaleExtract!B:J,6,FALSE),"")</f>
        <v/>
      </c>
      <c r="H2528" s="47" t="str">
        <f>IFERROR(VLOOKUP(G2528,WholesaleExtract!B:L,11,FALSE),"")</f>
        <v/>
      </c>
      <c r="I2528" s="26" t="str">
        <f>IFERROR(VLOOKUP(G2528,WholesaleExtract!B:O,8,FALSE),"")</f>
        <v/>
      </c>
      <c r="J2528" s="26" t="str">
        <f>IFERROR(VLOOKUP(G2528,WholesaleExtract!B:O,14,FALSE),"")</f>
        <v/>
      </c>
      <c r="K2528" s="26" t="str">
        <f>IFERROR(VLOOKUP(G2528,WholesaleExtract!B:K,10,FALSE),"")</f>
        <v/>
      </c>
      <c r="L2528" s="47" t="str">
        <f>IFERROR(VLOOKUP(G2528,WholesaleExtract!B:L,11,FALSE),"")</f>
        <v/>
      </c>
      <c r="M2528" s="47" t="str">
        <f>IFERROR(VLOOKUP(G2528,WholesaleExtract!B:M,12,FALSE),"")</f>
        <v/>
      </c>
      <c r="R2528" s="19"/>
      <c r="S2528" s="19"/>
    </row>
    <row r="2529" spans="1:19" x14ac:dyDescent="0.35">
      <c r="A2529" s="26" t="s">
        <v>543</v>
      </c>
      <c r="B2529" s="26" t="s">
        <v>543</v>
      </c>
      <c r="C2529" s="26"/>
      <c r="D2529" s="26" t="s">
        <v>543</v>
      </c>
      <c r="E2529" s="26" t="str">
        <f>IFERROR(VLOOKUP(G2529,WholesaleExtract!B:J,9,FALSE),"")</f>
        <v/>
      </c>
      <c r="F2529" s="26" t="str">
        <f>IFERROR(VLOOKUP(G2529,WholesaleExtract!B:J,6,FALSE),"")</f>
        <v/>
      </c>
      <c r="H2529" s="47" t="str">
        <f>IFERROR(VLOOKUP(G2529,WholesaleExtract!B:L,11,FALSE),"")</f>
        <v/>
      </c>
      <c r="I2529" s="26" t="str">
        <f>IFERROR(VLOOKUP(G2529,WholesaleExtract!B:O,8,FALSE),"")</f>
        <v/>
      </c>
      <c r="J2529" s="26" t="str">
        <f>IFERROR(VLOOKUP(G2529,WholesaleExtract!B:O,14,FALSE),"")</f>
        <v/>
      </c>
      <c r="K2529" s="26" t="str">
        <f>IFERROR(VLOOKUP(G2529,WholesaleExtract!B:K,10,FALSE),"")</f>
        <v/>
      </c>
      <c r="L2529" s="47" t="str">
        <f>IFERROR(VLOOKUP(G2529,WholesaleExtract!B:L,11,FALSE),"")</f>
        <v/>
      </c>
      <c r="M2529" s="47" t="str">
        <f>IFERROR(VLOOKUP(G2529,WholesaleExtract!B:M,12,FALSE),"")</f>
        <v/>
      </c>
      <c r="R2529" s="19"/>
      <c r="S2529" s="19"/>
    </row>
    <row r="2530" spans="1:19" x14ac:dyDescent="0.35">
      <c r="A2530" s="26" t="s">
        <v>543</v>
      </c>
      <c r="B2530" s="26" t="s">
        <v>543</v>
      </c>
      <c r="C2530" s="26"/>
      <c r="D2530" s="26" t="s">
        <v>543</v>
      </c>
      <c r="E2530" s="26" t="str">
        <f>IFERROR(VLOOKUP(G2530,WholesaleExtract!B:J,9,FALSE),"")</f>
        <v/>
      </c>
      <c r="F2530" s="26" t="str">
        <f>IFERROR(VLOOKUP(G2530,WholesaleExtract!B:J,6,FALSE),"")</f>
        <v/>
      </c>
      <c r="H2530" s="47" t="str">
        <f>IFERROR(VLOOKUP(G2530,WholesaleExtract!B:L,11,FALSE),"")</f>
        <v/>
      </c>
      <c r="I2530" s="26" t="str">
        <f>IFERROR(VLOOKUP(G2530,WholesaleExtract!B:O,8,FALSE),"")</f>
        <v/>
      </c>
      <c r="J2530" s="26" t="str">
        <f>IFERROR(VLOOKUP(G2530,WholesaleExtract!B:O,14,FALSE),"")</f>
        <v/>
      </c>
      <c r="K2530" s="26" t="str">
        <f>IFERROR(VLOOKUP(G2530,WholesaleExtract!B:K,10,FALSE),"")</f>
        <v/>
      </c>
      <c r="L2530" s="47" t="str">
        <f>IFERROR(VLOOKUP(G2530,WholesaleExtract!B:L,11,FALSE),"")</f>
        <v/>
      </c>
      <c r="M2530" s="47" t="str">
        <f>IFERROR(VLOOKUP(G2530,WholesaleExtract!B:M,12,FALSE),"")</f>
        <v/>
      </c>
      <c r="R2530" s="19"/>
      <c r="S2530" s="19"/>
    </row>
    <row r="2531" spans="1:19" x14ac:dyDescent="0.35">
      <c r="A2531" s="26" t="s">
        <v>543</v>
      </c>
      <c r="B2531" s="26" t="s">
        <v>543</v>
      </c>
      <c r="C2531" s="26"/>
      <c r="D2531" s="26" t="s">
        <v>543</v>
      </c>
      <c r="E2531" s="26" t="str">
        <f>IFERROR(VLOOKUP(G2531,WholesaleExtract!B:J,9,FALSE),"")</f>
        <v/>
      </c>
      <c r="F2531" s="26" t="str">
        <f>IFERROR(VLOOKUP(G2531,WholesaleExtract!B:J,6,FALSE),"")</f>
        <v/>
      </c>
      <c r="H2531" s="47" t="str">
        <f>IFERROR(VLOOKUP(G2531,WholesaleExtract!B:L,11,FALSE),"")</f>
        <v/>
      </c>
      <c r="I2531" s="26" t="str">
        <f>IFERROR(VLOOKUP(G2531,WholesaleExtract!B:O,8,FALSE),"")</f>
        <v/>
      </c>
      <c r="J2531" s="26" t="str">
        <f>IFERROR(VLOOKUP(G2531,WholesaleExtract!B:O,14,FALSE),"")</f>
        <v/>
      </c>
      <c r="K2531" s="26" t="str">
        <f>IFERROR(VLOOKUP(G2531,WholesaleExtract!B:K,10,FALSE),"")</f>
        <v/>
      </c>
      <c r="L2531" s="47" t="str">
        <f>IFERROR(VLOOKUP(G2531,WholesaleExtract!B:L,11,FALSE),"")</f>
        <v/>
      </c>
      <c r="M2531" s="47" t="str">
        <f>IFERROR(VLOOKUP(G2531,WholesaleExtract!B:M,12,FALSE),"")</f>
        <v/>
      </c>
      <c r="R2531" s="19"/>
      <c r="S2531" s="19"/>
    </row>
    <row r="2532" spans="1:19" x14ac:dyDescent="0.35">
      <c r="A2532" s="26" t="s">
        <v>543</v>
      </c>
      <c r="B2532" s="26" t="s">
        <v>543</v>
      </c>
      <c r="C2532" s="26"/>
      <c r="D2532" s="26" t="s">
        <v>543</v>
      </c>
      <c r="E2532" s="26" t="str">
        <f>IFERROR(VLOOKUP(G2532,WholesaleExtract!B:J,9,FALSE),"")</f>
        <v/>
      </c>
      <c r="F2532" s="26" t="str">
        <f>IFERROR(VLOOKUP(G2532,WholesaleExtract!B:J,6,FALSE),"")</f>
        <v/>
      </c>
      <c r="H2532" s="47" t="str">
        <f>IFERROR(VLOOKUP(G2532,WholesaleExtract!B:L,11,FALSE),"")</f>
        <v/>
      </c>
      <c r="I2532" s="26" t="str">
        <f>IFERROR(VLOOKUP(G2532,WholesaleExtract!B:O,8,FALSE),"")</f>
        <v/>
      </c>
      <c r="J2532" s="26" t="str">
        <f>IFERROR(VLOOKUP(G2532,WholesaleExtract!B:O,14,FALSE),"")</f>
        <v/>
      </c>
      <c r="K2532" s="26" t="str">
        <f>IFERROR(VLOOKUP(G2532,WholesaleExtract!B:K,10,FALSE),"")</f>
        <v/>
      </c>
      <c r="L2532" s="47" t="str">
        <f>IFERROR(VLOOKUP(G2532,WholesaleExtract!B:L,11,FALSE),"")</f>
        <v/>
      </c>
      <c r="M2532" s="47" t="str">
        <f>IFERROR(VLOOKUP(G2532,WholesaleExtract!B:M,12,FALSE),"")</f>
        <v/>
      </c>
      <c r="R2532" s="19"/>
      <c r="S2532" s="19"/>
    </row>
    <row r="2533" spans="1:19" x14ac:dyDescent="0.35">
      <c r="A2533" s="26" t="s">
        <v>543</v>
      </c>
      <c r="B2533" s="26" t="s">
        <v>543</v>
      </c>
      <c r="C2533" s="26"/>
      <c r="D2533" s="26" t="s">
        <v>543</v>
      </c>
      <c r="E2533" s="26" t="str">
        <f>IFERROR(VLOOKUP(G2533,WholesaleExtract!B:J,9,FALSE),"")</f>
        <v/>
      </c>
      <c r="F2533" s="26" t="str">
        <f>IFERROR(VLOOKUP(G2533,WholesaleExtract!B:J,6,FALSE),"")</f>
        <v/>
      </c>
      <c r="H2533" s="47" t="str">
        <f>IFERROR(VLOOKUP(G2533,WholesaleExtract!B:L,11,FALSE),"")</f>
        <v/>
      </c>
      <c r="I2533" s="26" t="str">
        <f>IFERROR(VLOOKUP(G2533,WholesaleExtract!B:O,8,FALSE),"")</f>
        <v/>
      </c>
      <c r="J2533" s="26" t="str">
        <f>IFERROR(VLOOKUP(G2533,WholesaleExtract!B:O,14,FALSE),"")</f>
        <v/>
      </c>
      <c r="K2533" s="26" t="str">
        <f>IFERROR(VLOOKUP(G2533,WholesaleExtract!B:K,10,FALSE),"")</f>
        <v/>
      </c>
      <c r="L2533" s="47" t="str">
        <f>IFERROR(VLOOKUP(G2533,WholesaleExtract!B:L,11,FALSE),"")</f>
        <v/>
      </c>
      <c r="M2533" s="47" t="str">
        <f>IFERROR(VLOOKUP(G2533,WholesaleExtract!B:M,12,FALSE),"")</f>
        <v/>
      </c>
      <c r="R2533" s="19"/>
      <c r="S2533" s="19"/>
    </row>
    <row r="2534" spans="1:19" x14ac:dyDescent="0.35">
      <c r="A2534" s="26" t="s">
        <v>543</v>
      </c>
      <c r="B2534" s="26" t="s">
        <v>543</v>
      </c>
      <c r="C2534" s="26"/>
      <c r="D2534" s="26" t="s">
        <v>543</v>
      </c>
      <c r="E2534" s="26" t="str">
        <f>IFERROR(VLOOKUP(G2534,WholesaleExtract!B:J,9,FALSE),"")</f>
        <v/>
      </c>
      <c r="F2534" s="26" t="str">
        <f>IFERROR(VLOOKUP(G2534,WholesaleExtract!B:J,6,FALSE),"")</f>
        <v/>
      </c>
      <c r="H2534" s="47" t="str">
        <f>IFERROR(VLOOKUP(G2534,WholesaleExtract!B:L,11,FALSE),"")</f>
        <v/>
      </c>
      <c r="I2534" s="26" t="str">
        <f>IFERROR(VLOOKUP(G2534,WholesaleExtract!B:O,8,FALSE),"")</f>
        <v/>
      </c>
      <c r="J2534" s="26" t="str">
        <f>IFERROR(VLOOKUP(G2534,WholesaleExtract!B:O,14,FALSE),"")</f>
        <v/>
      </c>
      <c r="K2534" s="26" t="str">
        <f>IFERROR(VLOOKUP(G2534,WholesaleExtract!B:K,10,FALSE),"")</f>
        <v/>
      </c>
      <c r="L2534" s="47" t="str">
        <f>IFERROR(VLOOKUP(G2534,WholesaleExtract!B:L,11,FALSE),"")</f>
        <v/>
      </c>
      <c r="M2534" s="47" t="str">
        <f>IFERROR(VLOOKUP(G2534,WholesaleExtract!B:M,12,FALSE),"")</f>
        <v/>
      </c>
      <c r="R2534" s="19"/>
      <c r="S2534" s="19"/>
    </row>
    <row r="2535" spans="1:19" x14ac:dyDescent="0.35">
      <c r="A2535" s="26" t="s">
        <v>543</v>
      </c>
      <c r="B2535" s="26" t="s">
        <v>543</v>
      </c>
      <c r="C2535" s="26"/>
      <c r="D2535" s="26" t="s">
        <v>543</v>
      </c>
      <c r="E2535" s="26" t="str">
        <f>IFERROR(VLOOKUP(G2535,WholesaleExtract!B:J,9,FALSE),"")</f>
        <v/>
      </c>
      <c r="F2535" s="26" t="str">
        <f>IFERROR(VLOOKUP(G2535,WholesaleExtract!B:J,6,FALSE),"")</f>
        <v/>
      </c>
      <c r="H2535" s="47" t="str">
        <f>IFERROR(VLOOKUP(G2535,WholesaleExtract!B:L,11,FALSE),"")</f>
        <v/>
      </c>
      <c r="I2535" s="26" t="str">
        <f>IFERROR(VLOOKUP(G2535,WholesaleExtract!B:O,8,FALSE),"")</f>
        <v/>
      </c>
      <c r="J2535" s="26" t="str">
        <f>IFERROR(VLOOKUP(G2535,WholesaleExtract!B:O,14,FALSE),"")</f>
        <v/>
      </c>
      <c r="K2535" s="26" t="str">
        <f>IFERROR(VLOOKUP(G2535,WholesaleExtract!B:K,10,FALSE),"")</f>
        <v/>
      </c>
      <c r="L2535" s="47" t="str">
        <f>IFERROR(VLOOKUP(G2535,WholesaleExtract!B:L,11,FALSE),"")</f>
        <v/>
      </c>
      <c r="M2535" s="47" t="str">
        <f>IFERROR(VLOOKUP(G2535,WholesaleExtract!B:M,12,FALSE),"")</f>
        <v/>
      </c>
      <c r="R2535" s="19"/>
      <c r="S2535" s="19"/>
    </row>
    <row r="2536" spans="1:19" x14ac:dyDescent="0.35">
      <c r="A2536" s="26" t="s">
        <v>543</v>
      </c>
      <c r="B2536" s="26" t="s">
        <v>543</v>
      </c>
      <c r="C2536" s="26"/>
      <c r="D2536" s="26" t="s">
        <v>543</v>
      </c>
      <c r="E2536" s="26" t="str">
        <f>IFERROR(VLOOKUP(G2536,WholesaleExtract!B:J,9,FALSE),"")</f>
        <v/>
      </c>
      <c r="F2536" s="26" t="str">
        <f>IFERROR(VLOOKUP(G2536,WholesaleExtract!B:J,6,FALSE),"")</f>
        <v/>
      </c>
      <c r="H2536" s="47" t="str">
        <f>IFERROR(VLOOKUP(G2536,WholesaleExtract!B:L,11,FALSE),"")</f>
        <v/>
      </c>
      <c r="I2536" s="26" t="str">
        <f>IFERROR(VLOOKUP(G2536,WholesaleExtract!B:O,8,FALSE),"")</f>
        <v/>
      </c>
      <c r="J2536" s="26" t="str">
        <f>IFERROR(VLOOKUP(G2536,WholesaleExtract!B:O,14,FALSE),"")</f>
        <v/>
      </c>
      <c r="K2536" s="26" t="str">
        <f>IFERROR(VLOOKUP(G2536,WholesaleExtract!B:K,10,FALSE),"")</f>
        <v/>
      </c>
      <c r="L2536" s="47" t="str">
        <f>IFERROR(VLOOKUP(G2536,WholesaleExtract!B:L,11,FALSE),"")</f>
        <v/>
      </c>
      <c r="M2536" s="47" t="str">
        <f>IFERROR(VLOOKUP(G2536,WholesaleExtract!B:M,12,FALSE),"")</f>
        <v/>
      </c>
      <c r="R2536" s="19"/>
      <c r="S2536" s="19"/>
    </row>
    <row r="2537" spans="1:19" x14ac:dyDescent="0.35">
      <c r="A2537" s="26" t="s">
        <v>543</v>
      </c>
      <c r="B2537" s="26" t="s">
        <v>543</v>
      </c>
      <c r="C2537" s="26"/>
      <c r="D2537" s="26" t="s">
        <v>543</v>
      </c>
      <c r="E2537" s="26" t="str">
        <f>IFERROR(VLOOKUP(G2537,WholesaleExtract!B:J,9,FALSE),"")</f>
        <v/>
      </c>
      <c r="F2537" s="26" t="str">
        <f>IFERROR(VLOOKUP(G2537,WholesaleExtract!B:J,6,FALSE),"")</f>
        <v/>
      </c>
      <c r="H2537" s="47" t="str">
        <f>IFERROR(VLOOKUP(G2537,WholesaleExtract!B:L,11,FALSE),"")</f>
        <v/>
      </c>
      <c r="I2537" s="26" t="str">
        <f>IFERROR(VLOOKUP(G2537,WholesaleExtract!B:O,8,FALSE),"")</f>
        <v/>
      </c>
      <c r="J2537" s="26" t="str">
        <f>IFERROR(VLOOKUP(G2537,WholesaleExtract!B:O,14,FALSE),"")</f>
        <v/>
      </c>
      <c r="K2537" s="26" t="str">
        <f>IFERROR(VLOOKUP(G2537,WholesaleExtract!B:K,10,FALSE),"")</f>
        <v/>
      </c>
      <c r="L2537" s="47" t="str">
        <f>IFERROR(VLOOKUP(G2537,WholesaleExtract!B:L,11,FALSE),"")</f>
        <v/>
      </c>
      <c r="M2537" s="47" t="str">
        <f>IFERROR(VLOOKUP(G2537,WholesaleExtract!B:M,12,FALSE),"")</f>
        <v/>
      </c>
      <c r="R2537" s="19"/>
      <c r="S2537" s="19"/>
    </row>
    <row r="2538" spans="1:19" x14ac:dyDescent="0.35">
      <c r="A2538" s="26" t="s">
        <v>543</v>
      </c>
      <c r="B2538" s="26" t="s">
        <v>543</v>
      </c>
      <c r="C2538" s="26"/>
      <c r="D2538" s="26" t="s">
        <v>543</v>
      </c>
      <c r="E2538" s="26" t="str">
        <f>IFERROR(VLOOKUP(G2538,WholesaleExtract!B:J,9,FALSE),"")</f>
        <v/>
      </c>
      <c r="F2538" s="26" t="str">
        <f>IFERROR(VLOOKUP(G2538,WholesaleExtract!B:J,6,FALSE),"")</f>
        <v/>
      </c>
      <c r="H2538" s="47" t="str">
        <f>IFERROR(VLOOKUP(G2538,WholesaleExtract!B:L,11,FALSE),"")</f>
        <v/>
      </c>
      <c r="I2538" s="26" t="str">
        <f>IFERROR(VLOOKUP(G2538,WholesaleExtract!B:O,8,FALSE),"")</f>
        <v/>
      </c>
      <c r="J2538" s="26" t="str">
        <f>IFERROR(VLOOKUP(G2538,WholesaleExtract!B:O,14,FALSE),"")</f>
        <v/>
      </c>
      <c r="K2538" s="26" t="str">
        <f>IFERROR(VLOOKUP(G2538,WholesaleExtract!B:K,10,FALSE),"")</f>
        <v/>
      </c>
      <c r="L2538" s="47" t="str">
        <f>IFERROR(VLOOKUP(G2538,WholesaleExtract!B:L,11,FALSE),"")</f>
        <v/>
      </c>
      <c r="M2538" s="47" t="str">
        <f>IFERROR(VLOOKUP(G2538,WholesaleExtract!B:M,12,FALSE),"")</f>
        <v/>
      </c>
      <c r="R2538" s="19"/>
      <c r="S2538" s="19"/>
    </row>
    <row r="2539" spans="1:19" x14ac:dyDescent="0.35">
      <c r="A2539" s="26" t="s">
        <v>543</v>
      </c>
      <c r="B2539" s="26" t="s">
        <v>543</v>
      </c>
      <c r="C2539" s="26"/>
      <c r="D2539" s="26" t="s">
        <v>543</v>
      </c>
      <c r="E2539" s="26" t="str">
        <f>IFERROR(VLOOKUP(G2539,WholesaleExtract!B:J,9,FALSE),"")</f>
        <v/>
      </c>
      <c r="F2539" s="26" t="str">
        <f>IFERROR(VLOOKUP(G2539,WholesaleExtract!B:J,6,FALSE),"")</f>
        <v/>
      </c>
      <c r="H2539" s="47" t="str">
        <f>IFERROR(VLOOKUP(G2539,WholesaleExtract!B:L,11,FALSE),"")</f>
        <v/>
      </c>
      <c r="I2539" s="26" t="str">
        <f>IFERROR(VLOOKUP(G2539,WholesaleExtract!B:O,8,FALSE),"")</f>
        <v/>
      </c>
      <c r="J2539" s="26" t="str">
        <f>IFERROR(VLOOKUP(G2539,WholesaleExtract!B:O,14,FALSE),"")</f>
        <v/>
      </c>
      <c r="K2539" s="26" t="str">
        <f>IFERROR(VLOOKUP(G2539,WholesaleExtract!B:K,10,FALSE),"")</f>
        <v/>
      </c>
      <c r="L2539" s="47" t="str">
        <f>IFERROR(VLOOKUP(G2539,WholesaleExtract!B:L,11,FALSE),"")</f>
        <v/>
      </c>
      <c r="M2539" s="47" t="str">
        <f>IFERROR(VLOOKUP(G2539,WholesaleExtract!B:M,12,FALSE),"")</f>
        <v/>
      </c>
      <c r="R2539" s="19"/>
      <c r="S2539" s="19"/>
    </row>
    <row r="2540" spans="1:19" x14ac:dyDescent="0.35">
      <c r="A2540" s="26" t="s">
        <v>543</v>
      </c>
      <c r="B2540" s="26" t="s">
        <v>543</v>
      </c>
      <c r="C2540" s="26"/>
      <c r="D2540" s="26" t="s">
        <v>543</v>
      </c>
      <c r="E2540" s="26" t="str">
        <f>IFERROR(VLOOKUP(G2540,WholesaleExtract!B:J,9,FALSE),"")</f>
        <v/>
      </c>
      <c r="F2540" s="26" t="str">
        <f>IFERROR(VLOOKUP(G2540,WholesaleExtract!B:J,6,FALSE),"")</f>
        <v/>
      </c>
      <c r="H2540" s="47" t="str">
        <f>IFERROR(VLOOKUP(G2540,WholesaleExtract!B:L,11,FALSE),"")</f>
        <v/>
      </c>
      <c r="I2540" s="26" t="str">
        <f>IFERROR(VLOOKUP(G2540,WholesaleExtract!B:O,8,FALSE),"")</f>
        <v/>
      </c>
      <c r="J2540" s="26" t="str">
        <f>IFERROR(VLOOKUP(G2540,WholesaleExtract!B:O,14,FALSE),"")</f>
        <v/>
      </c>
      <c r="K2540" s="26" t="str">
        <f>IFERROR(VLOOKUP(G2540,WholesaleExtract!B:K,10,FALSE),"")</f>
        <v/>
      </c>
      <c r="L2540" s="47" t="str">
        <f>IFERROR(VLOOKUP(G2540,WholesaleExtract!B:L,11,FALSE),"")</f>
        <v/>
      </c>
      <c r="M2540" s="47" t="str">
        <f>IFERROR(VLOOKUP(G2540,WholesaleExtract!B:M,12,FALSE),"")</f>
        <v/>
      </c>
      <c r="R2540" s="19"/>
      <c r="S2540" s="19"/>
    </row>
    <row r="2541" spans="1:19" x14ac:dyDescent="0.35">
      <c r="A2541" s="26" t="s">
        <v>543</v>
      </c>
      <c r="B2541" s="26" t="s">
        <v>543</v>
      </c>
      <c r="C2541" s="26"/>
      <c r="D2541" s="26" t="s">
        <v>543</v>
      </c>
      <c r="E2541" s="26" t="str">
        <f>IFERROR(VLOOKUP(G2541,WholesaleExtract!B:J,9,FALSE),"")</f>
        <v/>
      </c>
      <c r="F2541" s="26" t="str">
        <f>IFERROR(VLOOKUP(G2541,WholesaleExtract!B:J,6,FALSE),"")</f>
        <v/>
      </c>
      <c r="H2541" s="47" t="str">
        <f>IFERROR(VLOOKUP(G2541,WholesaleExtract!B:L,11,FALSE),"")</f>
        <v/>
      </c>
      <c r="I2541" s="26" t="str">
        <f>IFERROR(VLOOKUP(G2541,WholesaleExtract!B:O,8,FALSE),"")</f>
        <v/>
      </c>
      <c r="J2541" s="26" t="str">
        <f>IFERROR(VLOOKUP(G2541,WholesaleExtract!B:O,14,FALSE),"")</f>
        <v/>
      </c>
      <c r="K2541" s="26" t="str">
        <f>IFERROR(VLOOKUP(G2541,WholesaleExtract!B:K,10,FALSE),"")</f>
        <v/>
      </c>
      <c r="L2541" s="47" t="str">
        <f>IFERROR(VLOOKUP(G2541,WholesaleExtract!B:L,11,FALSE),"")</f>
        <v/>
      </c>
      <c r="M2541" s="47" t="str">
        <f>IFERROR(VLOOKUP(G2541,WholesaleExtract!B:M,12,FALSE),"")</f>
        <v/>
      </c>
      <c r="R2541" s="19"/>
      <c r="S2541" s="19"/>
    </row>
    <row r="2542" spans="1:19" x14ac:dyDescent="0.35">
      <c r="A2542" s="26" t="s">
        <v>543</v>
      </c>
      <c r="B2542" s="26" t="s">
        <v>543</v>
      </c>
      <c r="C2542" s="26"/>
      <c r="D2542" s="26" t="s">
        <v>543</v>
      </c>
      <c r="E2542" s="26" t="str">
        <f>IFERROR(VLOOKUP(G2542,WholesaleExtract!B:J,9,FALSE),"")</f>
        <v/>
      </c>
      <c r="F2542" s="26" t="str">
        <f>IFERROR(VLOOKUP(G2542,WholesaleExtract!B:J,6,FALSE),"")</f>
        <v/>
      </c>
      <c r="H2542" s="47" t="str">
        <f>IFERROR(VLOOKUP(G2542,WholesaleExtract!B:L,11,FALSE),"")</f>
        <v/>
      </c>
      <c r="I2542" s="26" t="str">
        <f>IFERROR(VLOOKUP(G2542,WholesaleExtract!B:O,8,FALSE),"")</f>
        <v/>
      </c>
      <c r="J2542" s="26" t="str">
        <f>IFERROR(VLOOKUP(G2542,WholesaleExtract!B:O,14,FALSE),"")</f>
        <v/>
      </c>
      <c r="K2542" s="26" t="str">
        <f>IFERROR(VLOOKUP(G2542,WholesaleExtract!B:K,10,FALSE),"")</f>
        <v/>
      </c>
      <c r="L2542" s="47" t="str">
        <f>IFERROR(VLOOKUP(G2542,WholesaleExtract!B:L,11,FALSE),"")</f>
        <v/>
      </c>
      <c r="M2542" s="47" t="str">
        <f>IFERROR(VLOOKUP(G2542,WholesaleExtract!B:M,12,FALSE),"")</f>
        <v/>
      </c>
      <c r="R2542" s="19"/>
      <c r="S2542" s="19"/>
    </row>
    <row r="2543" spans="1:19" x14ac:dyDescent="0.35">
      <c r="A2543" s="26" t="s">
        <v>543</v>
      </c>
      <c r="B2543" s="26" t="s">
        <v>543</v>
      </c>
      <c r="C2543" s="26"/>
      <c r="D2543" s="26" t="s">
        <v>543</v>
      </c>
      <c r="E2543" s="26" t="str">
        <f>IFERROR(VLOOKUP(G2543,WholesaleExtract!B:J,9,FALSE),"")</f>
        <v/>
      </c>
      <c r="F2543" s="26" t="str">
        <f>IFERROR(VLOOKUP(G2543,WholesaleExtract!B:J,6,FALSE),"")</f>
        <v/>
      </c>
      <c r="H2543" s="47" t="str">
        <f>IFERROR(VLOOKUP(G2543,WholesaleExtract!B:L,11,FALSE),"")</f>
        <v/>
      </c>
      <c r="I2543" s="26" t="str">
        <f>IFERROR(VLOOKUP(G2543,WholesaleExtract!B:O,8,FALSE),"")</f>
        <v/>
      </c>
      <c r="J2543" s="26" t="str">
        <f>IFERROR(VLOOKUP(G2543,WholesaleExtract!B:O,14,FALSE),"")</f>
        <v/>
      </c>
      <c r="K2543" s="26" t="str">
        <f>IFERROR(VLOOKUP(G2543,WholesaleExtract!B:K,10,FALSE),"")</f>
        <v/>
      </c>
      <c r="L2543" s="47" t="str">
        <f>IFERROR(VLOOKUP(G2543,WholesaleExtract!B:L,11,FALSE),"")</f>
        <v/>
      </c>
      <c r="M2543" s="47" t="str">
        <f>IFERROR(VLOOKUP(G2543,WholesaleExtract!B:M,12,FALSE),"")</f>
        <v/>
      </c>
      <c r="R2543" s="19"/>
      <c r="S2543" s="19"/>
    </row>
    <row r="2544" spans="1:19" x14ac:dyDescent="0.35">
      <c r="A2544" s="26" t="s">
        <v>543</v>
      </c>
      <c r="B2544" s="26" t="s">
        <v>543</v>
      </c>
      <c r="C2544" s="26"/>
      <c r="D2544" s="26" t="s">
        <v>543</v>
      </c>
      <c r="E2544" s="26" t="str">
        <f>IFERROR(VLOOKUP(G2544,WholesaleExtract!B:J,9,FALSE),"")</f>
        <v/>
      </c>
      <c r="F2544" s="26" t="str">
        <f>IFERROR(VLOOKUP(G2544,WholesaleExtract!B:J,6,FALSE),"")</f>
        <v/>
      </c>
      <c r="H2544" s="47" t="str">
        <f>IFERROR(VLOOKUP(G2544,WholesaleExtract!B:L,11,FALSE),"")</f>
        <v/>
      </c>
      <c r="I2544" s="26" t="str">
        <f>IFERROR(VLOOKUP(G2544,WholesaleExtract!B:O,8,FALSE),"")</f>
        <v/>
      </c>
      <c r="J2544" s="26" t="str">
        <f>IFERROR(VLOOKUP(G2544,WholesaleExtract!B:O,14,FALSE),"")</f>
        <v/>
      </c>
      <c r="K2544" s="26" t="str">
        <f>IFERROR(VLOOKUP(G2544,WholesaleExtract!B:K,10,FALSE),"")</f>
        <v/>
      </c>
      <c r="L2544" s="47" t="str">
        <f>IFERROR(VLOOKUP(G2544,WholesaleExtract!B:L,11,FALSE),"")</f>
        <v/>
      </c>
      <c r="M2544" s="47" t="str">
        <f>IFERROR(VLOOKUP(G2544,WholesaleExtract!B:M,12,FALSE),"")</f>
        <v/>
      </c>
      <c r="R2544" s="19"/>
      <c r="S2544" s="19"/>
    </row>
    <row r="2545" spans="1:19" x14ac:dyDescent="0.35">
      <c r="A2545" s="26" t="s">
        <v>543</v>
      </c>
      <c r="B2545" s="26" t="s">
        <v>543</v>
      </c>
      <c r="C2545" s="26"/>
      <c r="D2545" s="26" t="s">
        <v>543</v>
      </c>
      <c r="E2545" s="26" t="str">
        <f>IFERROR(VLOOKUP(G2545,WholesaleExtract!B:J,9,FALSE),"")</f>
        <v/>
      </c>
      <c r="F2545" s="26" t="str">
        <f>IFERROR(VLOOKUP(G2545,WholesaleExtract!B:J,6,FALSE),"")</f>
        <v/>
      </c>
      <c r="H2545" s="47" t="str">
        <f>IFERROR(VLOOKUP(G2545,WholesaleExtract!B:L,11,FALSE),"")</f>
        <v/>
      </c>
      <c r="I2545" s="26" t="str">
        <f>IFERROR(VLOOKUP(G2545,WholesaleExtract!B:O,8,FALSE),"")</f>
        <v/>
      </c>
      <c r="J2545" s="26" t="str">
        <f>IFERROR(VLOOKUP(G2545,WholesaleExtract!B:O,14,FALSE),"")</f>
        <v/>
      </c>
      <c r="K2545" s="26" t="str">
        <f>IFERROR(VLOOKUP(G2545,WholesaleExtract!B:K,10,FALSE),"")</f>
        <v/>
      </c>
      <c r="L2545" s="47" t="str">
        <f>IFERROR(VLOOKUP(G2545,WholesaleExtract!B:L,11,FALSE),"")</f>
        <v/>
      </c>
      <c r="M2545" s="47" t="str">
        <f>IFERROR(VLOOKUP(G2545,WholesaleExtract!B:M,12,FALSE),"")</f>
        <v/>
      </c>
      <c r="R2545" s="19"/>
      <c r="S2545" s="19"/>
    </row>
    <row r="2546" spans="1:19" x14ac:dyDescent="0.35">
      <c r="A2546" s="26" t="s">
        <v>543</v>
      </c>
      <c r="B2546" s="26" t="s">
        <v>543</v>
      </c>
      <c r="C2546" s="26"/>
      <c r="D2546" s="26" t="s">
        <v>543</v>
      </c>
      <c r="E2546" s="26" t="str">
        <f>IFERROR(VLOOKUP(G2546,WholesaleExtract!B:J,9,FALSE),"")</f>
        <v/>
      </c>
      <c r="F2546" s="26" t="str">
        <f>IFERROR(VLOOKUP(G2546,WholesaleExtract!B:J,6,FALSE),"")</f>
        <v/>
      </c>
      <c r="H2546" s="47" t="str">
        <f>IFERROR(VLOOKUP(G2546,WholesaleExtract!B:L,11,FALSE),"")</f>
        <v/>
      </c>
      <c r="I2546" s="26" t="str">
        <f>IFERROR(VLOOKUP(G2546,WholesaleExtract!B:O,8,FALSE),"")</f>
        <v/>
      </c>
      <c r="J2546" s="26" t="str">
        <f>IFERROR(VLOOKUP(G2546,WholesaleExtract!B:O,14,FALSE),"")</f>
        <v/>
      </c>
      <c r="K2546" s="26" t="str">
        <f>IFERROR(VLOOKUP(G2546,WholesaleExtract!B:K,10,FALSE),"")</f>
        <v/>
      </c>
      <c r="L2546" s="47" t="str">
        <f>IFERROR(VLOOKUP(G2546,WholesaleExtract!B:L,11,FALSE),"")</f>
        <v/>
      </c>
      <c r="M2546" s="47" t="str">
        <f>IFERROR(VLOOKUP(G2546,WholesaleExtract!B:M,12,FALSE),"")</f>
        <v/>
      </c>
      <c r="R2546" s="19"/>
      <c r="S2546" s="19"/>
    </row>
    <row r="2547" spans="1:19" x14ac:dyDescent="0.35">
      <c r="A2547" s="26" t="s">
        <v>543</v>
      </c>
      <c r="B2547" s="26" t="s">
        <v>543</v>
      </c>
      <c r="C2547" s="26"/>
      <c r="D2547" s="26" t="s">
        <v>543</v>
      </c>
      <c r="E2547" s="26" t="str">
        <f>IFERROR(VLOOKUP(G2547,WholesaleExtract!B:J,9,FALSE),"")</f>
        <v/>
      </c>
      <c r="F2547" s="26" t="str">
        <f>IFERROR(VLOOKUP(G2547,WholesaleExtract!B:J,6,FALSE),"")</f>
        <v/>
      </c>
      <c r="H2547" s="47" t="str">
        <f>IFERROR(VLOOKUP(G2547,WholesaleExtract!B:L,11,FALSE),"")</f>
        <v/>
      </c>
      <c r="I2547" s="26" t="str">
        <f>IFERROR(VLOOKUP(G2547,WholesaleExtract!B:O,8,FALSE),"")</f>
        <v/>
      </c>
      <c r="J2547" s="26" t="str">
        <f>IFERROR(VLOOKUP(G2547,WholesaleExtract!B:O,14,FALSE),"")</f>
        <v/>
      </c>
      <c r="K2547" s="26" t="str">
        <f>IFERROR(VLOOKUP(G2547,WholesaleExtract!B:K,10,FALSE),"")</f>
        <v/>
      </c>
      <c r="L2547" s="47" t="str">
        <f>IFERROR(VLOOKUP(G2547,WholesaleExtract!B:L,11,FALSE),"")</f>
        <v/>
      </c>
      <c r="M2547" s="47" t="str">
        <f>IFERROR(VLOOKUP(G2547,WholesaleExtract!B:M,12,FALSE),"")</f>
        <v/>
      </c>
      <c r="R2547" s="19"/>
      <c r="S2547" s="19"/>
    </row>
    <row r="2548" spans="1:19" x14ac:dyDescent="0.35">
      <c r="A2548" s="26" t="s">
        <v>543</v>
      </c>
      <c r="B2548" s="26" t="s">
        <v>543</v>
      </c>
      <c r="C2548" s="26"/>
      <c r="D2548" s="26" t="s">
        <v>543</v>
      </c>
      <c r="E2548" s="26" t="str">
        <f>IFERROR(VLOOKUP(G2548,WholesaleExtract!B:J,9,FALSE),"")</f>
        <v/>
      </c>
      <c r="F2548" s="26" t="str">
        <f>IFERROR(VLOOKUP(G2548,WholesaleExtract!B:J,6,FALSE),"")</f>
        <v/>
      </c>
      <c r="H2548" s="47" t="str">
        <f>IFERROR(VLOOKUP(G2548,WholesaleExtract!B:L,11,FALSE),"")</f>
        <v/>
      </c>
      <c r="I2548" s="26" t="str">
        <f>IFERROR(VLOOKUP(G2548,WholesaleExtract!B:O,8,FALSE),"")</f>
        <v/>
      </c>
      <c r="J2548" s="26" t="str">
        <f>IFERROR(VLOOKUP(G2548,WholesaleExtract!B:O,14,FALSE),"")</f>
        <v/>
      </c>
      <c r="K2548" s="26" t="str">
        <f>IFERROR(VLOOKUP(G2548,WholesaleExtract!B:K,10,FALSE),"")</f>
        <v/>
      </c>
      <c r="L2548" s="47" t="str">
        <f>IFERROR(VLOOKUP(G2548,WholesaleExtract!B:L,11,FALSE),"")</f>
        <v/>
      </c>
      <c r="M2548" s="47" t="str">
        <f>IFERROR(VLOOKUP(G2548,WholesaleExtract!B:M,12,FALSE),"")</f>
        <v/>
      </c>
      <c r="R2548" s="19"/>
      <c r="S2548" s="19"/>
    </row>
    <row r="2549" spans="1:19" x14ac:dyDescent="0.35">
      <c r="A2549" s="26" t="s">
        <v>543</v>
      </c>
      <c r="B2549" s="26" t="s">
        <v>543</v>
      </c>
      <c r="C2549" s="26"/>
      <c r="D2549" s="26" t="s">
        <v>543</v>
      </c>
      <c r="E2549" s="26" t="str">
        <f>IFERROR(VLOOKUP(G2549,WholesaleExtract!B:J,9,FALSE),"")</f>
        <v/>
      </c>
      <c r="F2549" s="26" t="str">
        <f>IFERROR(VLOOKUP(G2549,WholesaleExtract!B:J,6,FALSE),"")</f>
        <v/>
      </c>
      <c r="H2549" s="47" t="str">
        <f>IFERROR(VLOOKUP(G2549,WholesaleExtract!B:L,11,FALSE),"")</f>
        <v/>
      </c>
      <c r="I2549" s="26" t="str">
        <f>IFERROR(VLOOKUP(G2549,WholesaleExtract!B:O,8,FALSE),"")</f>
        <v/>
      </c>
      <c r="J2549" s="26" t="str">
        <f>IFERROR(VLOOKUP(G2549,WholesaleExtract!B:O,14,FALSE),"")</f>
        <v/>
      </c>
      <c r="K2549" s="26" t="str">
        <f>IFERROR(VLOOKUP(G2549,WholesaleExtract!B:K,10,FALSE),"")</f>
        <v/>
      </c>
      <c r="L2549" s="47" t="str">
        <f>IFERROR(VLOOKUP(G2549,WholesaleExtract!B:L,11,FALSE),"")</f>
        <v/>
      </c>
      <c r="M2549" s="47" t="str">
        <f>IFERROR(VLOOKUP(G2549,WholesaleExtract!B:M,12,FALSE),"")</f>
        <v/>
      </c>
      <c r="R2549" s="19"/>
      <c r="S2549" s="19"/>
    </row>
    <row r="2550" spans="1:19" x14ac:dyDescent="0.35">
      <c r="A2550" s="26" t="s">
        <v>543</v>
      </c>
      <c r="B2550" s="26" t="s">
        <v>543</v>
      </c>
      <c r="C2550" s="26"/>
      <c r="D2550" s="26" t="s">
        <v>543</v>
      </c>
      <c r="E2550" s="26" t="str">
        <f>IFERROR(VLOOKUP(G2550,WholesaleExtract!B:J,9,FALSE),"")</f>
        <v/>
      </c>
      <c r="F2550" s="26" t="str">
        <f>IFERROR(VLOOKUP(G2550,WholesaleExtract!B:J,6,FALSE),"")</f>
        <v/>
      </c>
      <c r="H2550" s="47" t="str">
        <f>IFERROR(VLOOKUP(G2550,WholesaleExtract!B:L,11,FALSE),"")</f>
        <v/>
      </c>
      <c r="I2550" s="26" t="str">
        <f>IFERROR(VLOOKUP(G2550,WholesaleExtract!B:O,8,FALSE),"")</f>
        <v/>
      </c>
      <c r="J2550" s="26" t="str">
        <f>IFERROR(VLOOKUP(G2550,WholesaleExtract!B:O,14,FALSE),"")</f>
        <v/>
      </c>
      <c r="K2550" s="26" t="str">
        <f>IFERROR(VLOOKUP(G2550,WholesaleExtract!B:K,10,FALSE),"")</f>
        <v/>
      </c>
      <c r="L2550" s="47" t="str">
        <f>IFERROR(VLOOKUP(G2550,WholesaleExtract!B:L,11,FALSE),"")</f>
        <v/>
      </c>
      <c r="M2550" s="47" t="str">
        <f>IFERROR(VLOOKUP(G2550,WholesaleExtract!B:M,12,FALSE),"")</f>
        <v/>
      </c>
      <c r="R2550" s="19"/>
      <c r="S2550" s="19"/>
    </row>
    <row r="2551" spans="1:19" x14ac:dyDescent="0.35">
      <c r="A2551" s="26" t="s">
        <v>543</v>
      </c>
      <c r="B2551" s="26" t="s">
        <v>543</v>
      </c>
      <c r="C2551" s="26"/>
      <c r="D2551" s="26" t="s">
        <v>543</v>
      </c>
      <c r="E2551" s="26" t="str">
        <f>IFERROR(VLOOKUP(G2551,WholesaleExtract!B:J,9,FALSE),"")</f>
        <v/>
      </c>
      <c r="F2551" s="26" t="str">
        <f>IFERROR(VLOOKUP(G2551,WholesaleExtract!B:J,6,FALSE),"")</f>
        <v/>
      </c>
      <c r="H2551" s="47" t="str">
        <f>IFERROR(VLOOKUP(G2551,WholesaleExtract!B:L,11,FALSE),"")</f>
        <v/>
      </c>
      <c r="I2551" s="26" t="str">
        <f>IFERROR(VLOOKUP(G2551,WholesaleExtract!B:O,8,FALSE),"")</f>
        <v/>
      </c>
      <c r="J2551" s="26" t="str">
        <f>IFERROR(VLOOKUP(G2551,WholesaleExtract!B:O,14,FALSE),"")</f>
        <v/>
      </c>
      <c r="K2551" s="26" t="str">
        <f>IFERROR(VLOOKUP(G2551,WholesaleExtract!B:K,10,FALSE),"")</f>
        <v/>
      </c>
      <c r="L2551" s="47" t="str">
        <f>IFERROR(VLOOKUP(G2551,WholesaleExtract!B:L,11,FALSE),"")</f>
        <v/>
      </c>
      <c r="M2551" s="47" t="str">
        <f>IFERROR(VLOOKUP(G2551,WholesaleExtract!B:M,12,FALSE),"")</f>
        <v/>
      </c>
      <c r="R2551" s="19"/>
      <c r="S2551" s="19"/>
    </row>
    <row r="2552" spans="1:19" x14ac:dyDescent="0.35">
      <c r="A2552" s="26" t="s">
        <v>543</v>
      </c>
      <c r="B2552" s="26" t="s">
        <v>543</v>
      </c>
      <c r="C2552" s="26"/>
      <c r="D2552" s="26" t="s">
        <v>543</v>
      </c>
      <c r="E2552" s="26" t="str">
        <f>IFERROR(VLOOKUP(G2552,WholesaleExtract!B:J,9,FALSE),"")</f>
        <v/>
      </c>
      <c r="F2552" s="26" t="str">
        <f>IFERROR(VLOOKUP(G2552,WholesaleExtract!B:J,6,FALSE),"")</f>
        <v/>
      </c>
      <c r="H2552" s="47" t="str">
        <f>IFERROR(VLOOKUP(G2552,WholesaleExtract!B:L,11,FALSE),"")</f>
        <v/>
      </c>
      <c r="I2552" s="26" t="str">
        <f>IFERROR(VLOOKUP(G2552,WholesaleExtract!B:O,8,FALSE),"")</f>
        <v/>
      </c>
      <c r="J2552" s="26" t="str">
        <f>IFERROR(VLOOKUP(G2552,WholesaleExtract!B:O,14,FALSE),"")</f>
        <v/>
      </c>
      <c r="K2552" s="26" t="str">
        <f>IFERROR(VLOOKUP(G2552,WholesaleExtract!B:K,10,FALSE),"")</f>
        <v/>
      </c>
      <c r="L2552" s="47" t="str">
        <f>IFERROR(VLOOKUP(G2552,WholesaleExtract!B:L,11,FALSE),"")</f>
        <v/>
      </c>
      <c r="M2552" s="47" t="str">
        <f>IFERROR(VLOOKUP(G2552,WholesaleExtract!B:M,12,FALSE),"")</f>
        <v/>
      </c>
      <c r="R2552" s="19"/>
      <c r="S2552" s="19"/>
    </row>
    <row r="2553" spans="1:19" x14ac:dyDescent="0.35">
      <c r="A2553" s="26" t="s">
        <v>543</v>
      </c>
      <c r="B2553" s="26" t="s">
        <v>543</v>
      </c>
      <c r="C2553" s="26"/>
      <c r="D2553" s="26" t="s">
        <v>543</v>
      </c>
      <c r="E2553" s="26" t="str">
        <f>IFERROR(VLOOKUP(G2553,WholesaleExtract!B:J,9,FALSE),"")</f>
        <v/>
      </c>
      <c r="F2553" s="26" t="str">
        <f>IFERROR(VLOOKUP(G2553,WholesaleExtract!B:J,6,FALSE),"")</f>
        <v/>
      </c>
      <c r="H2553" s="47" t="str">
        <f>IFERROR(VLOOKUP(G2553,WholesaleExtract!B:L,11,FALSE),"")</f>
        <v/>
      </c>
      <c r="I2553" s="26" t="str">
        <f>IFERROR(VLOOKUP(G2553,WholesaleExtract!B:O,8,FALSE),"")</f>
        <v/>
      </c>
      <c r="J2553" s="26" t="str">
        <f>IFERROR(VLOOKUP(G2553,WholesaleExtract!B:O,14,FALSE),"")</f>
        <v/>
      </c>
      <c r="K2553" s="26" t="str">
        <f>IFERROR(VLOOKUP(G2553,WholesaleExtract!B:K,10,FALSE),"")</f>
        <v/>
      </c>
      <c r="L2553" s="47" t="str">
        <f>IFERROR(VLOOKUP(G2553,WholesaleExtract!B:L,11,FALSE),"")</f>
        <v/>
      </c>
      <c r="M2553" s="47" t="str">
        <f>IFERROR(VLOOKUP(G2553,WholesaleExtract!B:M,12,FALSE),"")</f>
        <v/>
      </c>
      <c r="R2553" s="19"/>
      <c r="S2553" s="19"/>
    </row>
    <row r="2554" spans="1:19" x14ac:dyDescent="0.35">
      <c r="A2554" s="26" t="s">
        <v>543</v>
      </c>
      <c r="B2554" s="26" t="s">
        <v>543</v>
      </c>
      <c r="C2554" s="26"/>
      <c r="D2554" s="26" t="s">
        <v>543</v>
      </c>
      <c r="E2554" s="26" t="str">
        <f>IFERROR(VLOOKUP(G2554,WholesaleExtract!B:J,9,FALSE),"")</f>
        <v/>
      </c>
      <c r="F2554" s="26" t="str">
        <f>IFERROR(VLOOKUP(G2554,WholesaleExtract!B:J,6,FALSE),"")</f>
        <v/>
      </c>
      <c r="H2554" s="47" t="str">
        <f>IFERROR(VLOOKUP(G2554,WholesaleExtract!B:L,11,FALSE),"")</f>
        <v/>
      </c>
      <c r="I2554" s="26" t="str">
        <f>IFERROR(VLOOKUP(G2554,WholesaleExtract!B:O,8,FALSE),"")</f>
        <v/>
      </c>
      <c r="J2554" s="26" t="str">
        <f>IFERROR(VLOOKUP(G2554,WholesaleExtract!B:O,14,FALSE),"")</f>
        <v/>
      </c>
      <c r="K2554" s="26" t="str">
        <f>IFERROR(VLOOKUP(G2554,WholesaleExtract!B:K,10,FALSE),"")</f>
        <v/>
      </c>
      <c r="L2554" s="47" t="str">
        <f>IFERROR(VLOOKUP(G2554,WholesaleExtract!B:L,11,FALSE),"")</f>
        <v/>
      </c>
      <c r="M2554" s="47" t="str">
        <f>IFERROR(VLOOKUP(G2554,WholesaleExtract!B:M,12,FALSE),"")</f>
        <v/>
      </c>
      <c r="R2554" s="19"/>
      <c r="S2554" s="19"/>
    </row>
    <row r="2555" spans="1:19" x14ac:dyDescent="0.35">
      <c r="A2555" s="26" t="s">
        <v>543</v>
      </c>
      <c r="B2555" s="26" t="s">
        <v>543</v>
      </c>
      <c r="C2555" s="26"/>
      <c r="D2555" s="26" t="s">
        <v>543</v>
      </c>
      <c r="E2555" s="26" t="str">
        <f>IFERROR(VLOOKUP(G2555,WholesaleExtract!B:J,9,FALSE),"")</f>
        <v/>
      </c>
      <c r="F2555" s="26" t="str">
        <f>IFERROR(VLOOKUP(G2555,WholesaleExtract!B:J,6,FALSE),"")</f>
        <v/>
      </c>
      <c r="H2555" s="47" t="str">
        <f>IFERROR(VLOOKUP(G2555,WholesaleExtract!B:L,11,FALSE),"")</f>
        <v/>
      </c>
      <c r="I2555" s="26" t="str">
        <f>IFERROR(VLOOKUP(G2555,WholesaleExtract!B:O,8,FALSE),"")</f>
        <v/>
      </c>
      <c r="J2555" s="26" t="str">
        <f>IFERROR(VLOOKUP(G2555,WholesaleExtract!B:O,14,FALSE),"")</f>
        <v/>
      </c>
      <c r="K2555" s="26" t="str">
        <f>IFERROR(VLOOKUP(G2555,WholesaleExtract!B:K,10,FALSE),"")</f>
        <v/>
      </c>
      <c r="L2555" s="47" t="str">
        <f>IFERROR(VLOOKUP(G2555,WholesaleExtract!B:L,11,FALSE),"")</f>
        <v/>
      </c>
      <c r="M2555" s="47" t="str">
        <f>IFERROR(VLOOKUP(G2555,WholesaleExtract!B:M,12,FALSE),"")</f>
        <v/>
      </c>
      <c r="R2555" s="19"/>
      <c r="S2555" s="19"/>
    </row>
    <row r="2556" spans="1:19" x14ac:dyDescent="0.35">
      <c r="A2556" s="26" t="s">
        <v>543</v>
      </c>
      <c r="B2556" s="26" t="s">
        <v>543</v>
      </c>
      <c r="C2556" s="26"/>
      <c r="D2556" s="26" t="s">
        <v>543</v>
      </c>
      <c r="E2556" s="26" t="str">
        <f>IFERROR(VLOOKUP(G2556,WholesaleExtract!B:J,9,FALSE),"")</f>
        <v/>
      </c>
      <c r="F2556" s="26" t="str">
        <f>IFERROR(VLOOKUP(G2556,WholesaleExtract!B:J,6,FALSE),"")</f>
        <v/>
      </c>
      <c r="H2556" s="47" t="str">
        <f>IFERROR(VLOOKUP(G2556,WholesaleExtract!B:L,11,FALSE),"")</f>
        <v/>
      </c>
      <c r="I2556" s="26" t="str">
        <f>IFERROR(VLOOKUP(G2556,WholesaleExtract!B:O,8,FALSE),"")</f>
        <v/>
      </c>
      <c r="J2556" s="26" t="str">
        <f>IFERROR(VLOOKUP(G2556,WholesaleExtract!B:O,14,FALSE),"")</f>
        <v/>
      </c>
      <c r="K2556" s="26" t="str">
        <f>IFERROR(VLOOKUP(G2556,WholesaleExtract!B:K,10,FALSE),"")</f>
        <v/>
      </c>
      <c r="L2556" s="47" t="str">
        <f>IFERROR(VLOOKUP(G2556,WholesaleExtract!B:L,11,FALSE),"")</f>
        <v/>
      </c>
      <c r="M2556" s="47" t="str">
        <f>IFERROR(VLOOKUP(G2556,WholesaleExtract!B:M,12,FALSE),"")</f>
        <v/>
      </c>
      <c r="R2556" s="19"/>
      <c r="S2556" s="19"/>
    </row>
    <row r="2557" spans="1:19" x14ac:dyDescent="0.35">
      <c r="A2557" s="26" t="s">
        <v>543</v>
      </c>
      <c r="B2557" s="26" t="s">
        <v>543</v>
      </c>
      <c r="C2557" s="26"/>
      <c r="D2557" s="26" t="s">
        <v>543</v>
      </c>
      <c r="E2557" s="26" t="str">
        <f>IFERROR(VLOOKUP(G2557,WholesaleExtract!B:J,9,FALSE),"")</f>
        <v/>
      </c>
      <c r="F2557" s="26" t="str">
        <f>IFERROR(VLOOKUP(G2557,WholesaleExtract!B:J,6,FALSE),"")</f>
        <v/>
      </c>
      <c r="H2557" s="47" t="str">
        <f>IFERROR(VLOOKUP(G2557,WholesaleExtract!B:L,11,FALSE),"")</f>
        <v/>
      </c>
      <c r="I2557" s="26" t="str">
        <f>IFERROR(VLOOKUP(G2557,WholesaleExtract!B:O,8,FALSE),"")</f>
        <v/>
      </c>
      <c r="J2557" s="26" t="str">
        <f>IFERROR(VLOOKUP(G2557,WholesaleExtract!B:O,14,FALSE),"")</f>
        <v/>
      </c>
      <c r="K2557" s="26" t="str">
        <f>IFERROR(VLOOKUP(G2557,WholesaleExtract!B:K,10,FALSE),"")</f>
        <v/>
      </c>
      <c r="L2557" s="47" t="str">
        <f>IFERROR(VLOOKUP(G2557,WholesaleExtract!B:L,11,FALSE),"")</f>
        <v/>
      </c>
      <c r="M2557" s="47" t="str">
        <f>IFERROR(VLOOKUP(G2557,WholesaleExtract!B:M,12,FALSE),"")</f>
        <v/>
      </c>
      <c r="R2557" s="19"/>
      <c r="S2557" s="19"/>
    </row>
    <row r="2558" spans="1:19" x14ac:dyDescent="0.35">
      <c r="A2558" s="26" t="s">
        <v>543</v>
      </c>
      <c r="B2558" s="26" t="s">
        <v>543</v>
      </c>
      <c r="C2558" s="26"/>
      <c r="D2558" s="26" t="s">
        <v>543</v>
      </c>
      <c r="E2558" s="26" t="str">
        <f>IFERROR(VLOOKUP(G2558,WholesaleExtract!B:J,9,FALSE),"")</f>
        <v/>
      </c>
      <c r="F2558" s="26" t="str">
        <f>IFERROR(VLOOKUP(G2558,WholesaleExtract!B:J,6,FALSE),"")</f>
        <v/>
      </c>
      <c r="H2558" s="47" t="str">
        <f>IFERROR(VLOOKUP(G2558,WholesaleExtract!B:L,11,FALSE),"")</f>
        <v/>
      </c>
      <c r="I2558" s="26" t="str">
        <f>IFERROR(VLOOKUP(G2558,WholesaleExtract!B:O,8,FALSE),"")</f>
        <v/>
      </c>
      <c r="J2558" s="26" t="str">
        <f>IFERROR(VLOOKUP(G2558,WholesaleExtract!B:O,14,FALSE),"")</f>
        <v/>
      </c>
      <c r="K2558" s="26" t="str">
        <f>IFERROR(VLOOKUP(G2558,WholesaleExtract!B:K,10,FALSE),"")</f>
        <v/>
      </c>
      <c r="L2558" s="47" t="str">
        <f>IFERROR(VLOOKUP(G2558,WholesaleExtract!B:L,11,FALSE),"")</f>
        <v/>
      </c>
      <c r="M2558" s="47" t="str">
        <f>IFERROR(VLOOKUP(G2558,WholesaleExtract!B:M,12,FALSE),"")</f>
        <v/>
      </c>
      <c r="R2558" s="19"/>
      <c r="S2558" s="19"/>
    </row>
    <row r="2559" spans="1:19" x14ac:dyDescent="0.35">
      <c r="A2559" s="26" t="s">
        <v>543</v>
      </c>
      <c r="B2559" s="26" t="s">
        <v>543</v>
      </c>
      <c r="C2559" s="26"/>
      <c r="D2559" s="26" t="s">
        <v>543</v>
      </c>
      <c r="E2559" s="26" t="str">
        <f>IFERROR(VLOOKUP(G2559,WholesaleExtract!B:J,9,FALSE),"")</f>
        <v/>
      </c>
      <c r="F2559" s="26" t="str">
        <f>IFERROR(VLOOKUP(G2559,WholesaleExtract!B:J,6,FALSE),"")</f>
        <v/>
      </c>
      <c r="H2559" s="47" t="str">
        <f>IFERROR(VLOOKUP(G2559,WholesaleExtract!B:L,11,FALSE),"")</f>
        <v/>
      </c>
      <c r="I2559" s="26" t="str">
        <f>IFERROR(VLOOKUP(G2559,WholesaleExtract!B:O,8,FALSE),"")</f>
        <v/>
      </c>
      <c r="J2559" s="26" t="str">
        <f>IFERROR(VLOOKUP(G2559,WholesaleExtract!B:O,14,FALSE),"")</f>
        <v/>
      </c>
      <c r="K2559" s="26" t="str">
        <f>IFERROR(VLOOKUP(G2559,WholesaleExtract!B:K,10,FALSE),"")</f>
        <v/>
      </c>
      <c r="L2559" s="47" t="str">
        <f>IFERROR(VLOOKUP(G2559,WholesaleExtract!B:L,11,FALSE),"")</f>
        <v/>
      </c>
      <c r="M2559" s="47" t="str">
        <f>IFERROR(VLOOKUP(G2559,WholesaleExtract!B:M,12,FALSE),"")</f>
        <v/>
      </c>
      <c r="R2559" s="19"/>
      <c r="S2559" s="19"/>
    </row>
    <row r="2560" spans="1:19" x14ac:dyDescent="0.35">
      <c r="A2560" s="26" t="s">
        <v>543</v>
      </c>
      <c r="B2560" s="26" t="s">
        <v>543</v>
      </c>
      <c r="C2560" s="26"/>
      <c r="D2560" s="26" t="s">
        <v>543</v>
      </c>
      <c r="E2560" s="26" t="str">
        <f>IFERROR(VLOOKUP(G2560,WholesaleExtract!B:J,9,FALSE),"")</f>
        <v/>
      </c>
      <c r="F2560" s="26" t="str">
        <f>IFERROR(VLOOKUP(G2560,WholesaleExtract!B:J,6,FALSE),"")</f>
        <v/>
      </c>
      <c r="H2560" s="47" t="str">
        <f>IFERROR(VLOOKUP(G2560,WholesaleExtract!B:L,11,FALSE),"")</f>
        <v/>
      </c>
      <c r="I2560" s="26" t="str">
        <f>IFERROR(VLOOKUP(G2560,WholesaleExtract!B:O,8,FALSE),"")</f>
        <v/>
      </c>
      <c r="J2560" s="26" t="str">
        <f>IFERROR(VLOOKUP(G2560,WholesaleExtract!B:O,14,FALSE),"")</f>
        <v/>
      </c>
      <c r="K2560" s="26" t="str">
        <f>IFERROR(VLOOKUP(G2560,WholesaleExtract!B:K,10,FALSE),"")</f>
        <v/>
      </c>
      <c r="L2560" s="47" t="str">
        <f>IFERROR(VLOOKUP(G2560,WholesaleExtract!B:L,11,FALSE),"")</f>
        <v/>
      </c>
      <c r="M2560" s="47" t="str">
        <f>IFERROR(VLOOKUP(G2560,WholesaleExtract!B:M,12,FALSE),"")</f>
        <v/>
      </c>
      <c r="R2560" s="19"/>
      <c r="S2560" s="19"/>
    </row>
    <row r="2561" spans="1:19" x14ac:dyDescent="0.35">
      <c r="A2561" s="26" t="s">
        <v>543</v>
      </c>
      <c r="B2561" s="26" t="s">
        <v>543</v>
      </c>
      <c r="C2561" s="26"/>
      <c r="D2561" s="26" t="s">
        <v>543</v>
      </c>
      <c r="E2561" s="26" t="str">
        <f>IFERROR(VLOOKUP(G2561,WholesaleExtract!B:J,9,FALSE),"")</f>
        <v/>
      </c>
      <c r="F2561" s="26" t="str">
        <f>IFERROR(VLOOKUP(G2561,WholesaleExtract!B:J,6,FALSE),"")</f>
        <v/>
      </c>
      <c r="H2561" s="47" t="str">
        <f>IFERROR(VLOOKUP(G2561,WholesaleExtract!B:L,11,FALSE),"")</f>
        <v/>
      </c>
      <c r="I2561" s="26" t="str">
        <f>IFERROR(VLOOKUP(G2561,WholesaleExtract!B:O,8,FALSE),"")</f>
        <v/>
      </c>
      <c r="J2561" s="26" t="str">
        <f>IFERROR(VLOOKUP(G2561,WholesaleExtract!B:O,14,FALSE),"")</f>
        <v/>
      </c>
      <c r="K2561" s="26" t="str">
        <f>IFERROR(VLOOKUP(G2561,WholesaleExtract!B:K,10,FALSE),"")</f>
        <v/>
      </c>
      <c r="L2561" s="47" t="str">
        <f>IFERROR(VLOOKUP(G2561,WholesaleExtract!B:L,11,FALSE),"")</f>
        <v/>
      </c>
      <c r="M2561" s="47" t="str">
        <f>IFERROR(VLOOKUP(G2561,WholesaleExtract!B:M,12,FALSE),"")</f>
        <v/>
      </c>
      <c r="R2561" s="19"/>
      <c r="S2561" s="19"/>
    </row>
    <row r="2562" spans="1:19" x14ac:dyDescent="0.35">
      <c r="A2562" s="26" t="s">
        <v>543</v>
      </c>
      <c r="B2562" s="26" t="s">
        <v>543</v>
      </c>
      <c r="C2562" s="26"/>
      <c r="D2562" s="26" t="s">
        <v>543</v>
      </c>
      <c r="E2562" s="26" t="str">
        <f>IFERROR(VLOOKUP(G2562,WholesaleExtract!B:J,9,FALSE),"")</f>
        <v/>
      </c>
      <c r="F2562" s="26" t="str">
        <f>IFERROR(VLOOKUP(G2562,WholesaleExtract!B:J,6,FALSE),"")</f>
        <v/>
      </c>
      <c r="H2562" s="47" t="str">
        <f>IFERROR(VLOOKUP(G2562,WholesaleExtract!B:L,11,FALSE),"")</f>
        <v/>
      </c>
      <c r="I2562" s="26" t="str">
        <f>IFERROR(VLOOKUP(G2562,WholesaleExtract!B:O,8,FALSE),"")</f>
        <v/>
      </c>
      <c r="J2562" s="26" t="str">
        <f>IFERROR(VLOOKUP(G2562,WholesaleExtract!B:O,14,FALSE),"")</f>
        <v/>
      </c>
      <c r="K2562" s="26" t="str">
        <f>IFERROR(VLOOKUP(G2562,WholesaleExtract!B:K,10,FALSE),"")</f>
        <v/>
      </c>
      <c r="L2562" s="47" t="str">
        <f>IFERROR(VLOOKUP(G2562,WholesaleExtract!B:L,11,FALSE),"")</f>
        <v/>
      </c>
      <c r="M2562" s="47" t="str">
        <f>IFERROR(VLOOKUP(G2562,WholesaleExtract!B:M,12,FALSE),"")</f>
        <v/>
      </c>
      <c r="R2562" s="19"/>
      <c r="S2562" s="19"/>
    </row>
    <row r="2563" spans="1:19" x14ac:dyDescent="0.35">
      <c r="A2563" s="26" t="s">
        <v>543</v>
      </c>
      <c r="B2563" s="26" t="s">
        <v>543</v>
      </c>
      <c r="C2563" s="26"/>
      <c r="D2563" s="26" t="s">
        <v>543</v>
      </c>
      <c r="E2563" s="26" t="str">
        <f>IFERROR(VLOOKUP(G2563,WholesaleExtract!B:J,9,FALSE),"")</f>
        <v/>
      </c>
      <c r="F2563" s="26" t="str">
        <f>IFERROR(VLOOKUP(G2563,WholesaleExtract!B:J,6,FALSE),"")</f>
        <v/>
      </c>
      <c r="H2563" s="47" t="str">
        <f>IFERROR(VLOOKUP(G2563,WholesaleExtract!B:L,11,FALSE),"")</f>
        <v/>
      </c>
      <c r="I2563" s="26" t="str">
        <f>IFERROR(VLOOKUP(G2563,WholesaleExtract!B:O,8,FALSE),"")</f>
        <v/>
      </c>
      <c r="J2563" s="26" t="str">
        <f>IFERROR(VLOOKUP(G2563,WholesaleExtract!B:O,14,FALSE),"")</f>
        <v/>
      </c>
      <c r="K2563" s="26" t="str">
        <f>IFERROR(VLOOKUP(G2563,WholesaleExtract!B:K,10,FALSE),"")</f>
        <v/>
      </c>
      <c r="L2563" s="47" t="str">
        <f>IFERROR(VLOOKUP(G2563,WholesaleExtract!B:L,11,FALSE),"")</f>
        <v/>
      </c>
      <c r="M2563" s="47" t="str">
        <f>IFERROR(VLOOKUP(G2563,WholesaleExtract!B:M,12,FALSE),"")</f>
        <v/>
      </c>
      <c r="R2563" s="19"/>
      <c r="S2563" s="19"/>
    </row>
    <row r="2564" spans="1:19" x14ac:dyDescent="0.35">
      <c r="A2564" s="26" t="s">
        <v>543</v>
      </c>
      <c r="B2564" s="26" t="s">
        <v>543</v>
      </c>
      <c r="C2564" s="26"/>
      <c r="D2564" s="26" t="s">
        <v>543</v>
      </c>
      <c r="E2564" s="26" t="str">
        <f>IFERROR(VLOOKUP(G2564,WholesaleExtract!B:J,9,FALSE),"")</f>
        <v/>
      </c>
      <c r="F2564" s="26" t="str">
        <f>IFERROR(VLOOKUP(G2564,WholesaleExtract!B:J,6,FALSE),"")</f>
        <v/>
      </c>
      <c r="H2564" s="47" t="str">
        <f>IFERROR(VLOOKUP(G2564,WholesaleExtract!B:L,11,FALSE),"")</f>
        <v/>
      </c>
      <c r="I2564" s="26" t="str">
        <f>IFERROR(VLOOKUP(G2564,WholesaleExtract!B:O,8,FALSE),"")</f>
        <v/>
      </c>
      <c r="J2564" s="26" t="str">
        <f>IFERROR(VLOOKUP(G2564,WholesaleExtract!B:O,14,FALSE),"")</f>
        <v/>
      </c>
      <c r="K2564" s="26" t="str">
        <f>IFERROR(VLOOKUP(G2564,WholesaleExtract!B:K,10,FALSE),"")</f>
        <v/>
      </c>
      <c r="L2564" s="47" t="str">
        <f>IFERROR(VLOOKUP(G2564,WholesaleExtract!B:L,11,FALSE),"")</f>
        <v/>
      </c>
      <c r="M2564" s="47" t="str">
        <f>IFERROR(VLOOKUP(G2564,WholesaleExtract!B:M,12,FALSE),"")</f>
        <v/>
      </c>
      <c r="R2564" s="19"/>
      <c r="S2564" s="19"/>
    </row>
    <row r="2565" spans="1:19" x14ac:dyDescent="0.35">
      <c r="A2565" s="26" t="s">
        <v>543</v>
      </c>
      <c r="B2565" s="26" t="s">
        <v>543</v>
      </c>
      <c r="C2565" s="26"/>
      <c r="D2565" s="26" t="s">
        <v>543</v>
      </c>
      <c r="E2565" s="26" t="str">
        <f>IFERROR(VLOOKUP(G2565,WholesaleExtract!B:J,9,FALSE),"")</f>
        <v/>
      </c>
      <c r="F2565" s="26" t="str">
        <f>IFERROR(VLOOKUP(G2565,WholesaleExtract!B:J,6,FALSE),"")</f>
        <v/>
      </c>
      <c r="H2565" s="47" t="str">
        <f>IFERROR(VLOOKUP(G2565,WholesaleExtract!B:L,11,FALSE),"")</f>
        <v/>
      </c>
      <c r="I2565" s="26" t="str">
        <f>IFERROR(VLOOKUP(G2565,WholesaleExtract!B:O,8,FALSE),"")</f>
        <v/>
      </c>
      <c r="J2565" s="26" t="str">
        <f>IFERROR(VLOOKUP(G2565,WholesaleExtract!B:O,14,FALSE),"")</f>
        <v/>
      </c>
      <c r="K2565" s="26" t="str">
        <f>IFERROR(VLOOKUP(G2565,WholesaleExtract!B:K,10,FALSE),"")</f>
        <v/>
      </c>
      <c r="L2565" s="47" t="str">
        <f>IFERROR(VLOOKUP(G2565,WholesaleExtract!B:L,11,FALSE),"")</f>
        <v/>
      </c>
      <c r="M2565" s="47" t="str">
        <f>IFERROR(VLOOKUP(G2565,WholesaleExtract!B:M,12,FALSE),"")</f>
        <v/>
      </c>
      <c r="R2565" s="19"/>
      <c r="S2565" s="19"/>
    </row>
    <row r="2566" spans="1:19" x14ac:dyDescent="0.35">
      <c r="A2566" s="26" t="s">
        <v>543</v>
      </c>
      <c r="B2566" s="26" t="s">
        <v>543</v>
      </c>
      <c r="C2566" s="26"/>
      <c r="D2566" s="26" t="s">
        <v>543</v>
      </c>
      <c r="E2566" s="26" t="str">
        <f>IFERROR(VLOOKUP(G2566,WholesaleExtract!B:J,9,FALSE),"")</f>
        <v/>
      </c>
      <c r="F2566" s="26" t="str">
        <f>IFERROR(VLOOKUP(G2566,WholesaleExtract!B:J,6,FALSE),"")</f>
        <v/>
      </c>
      <c r="H2566" s="47" t="str">
        <f>IFERROR(VLOOKUP(G2566,WholesaleExtract!B:L,11,FALSE),"")</f>
        <v/>
      </c>
      <c r="I2566" s="26" t="str">
        <f>IFERROR(VLOOKUP(G2566,WholesaleExtract!B:O,8,FALSE),"")</f>
        <v/>
      </c>
      <c r="J2566" s="26" t="str">
        <f>IFERROR(VLOOKUP(G2566,WholesaleExtract!B:O,14,FALSE),"")</f>
        <v/>
      </c>
      <c r="K2566" s="26" t="str">
        <f>IFERROR(VLOOKUP(G2566,WholesaleExtract!B:K,10,FALSE),"")</f>
        <v/>
      </c>
      <c r="L2566" s="47" t="str">
        <f>IFERROR(VLOOKUP(G2566,WholesaleExtract!B:L,11,FALSE),"")</f>
        <v/>
      </c>
      <c r="M2566" s="47" t="str">
        <f>IFERROR(VLOOKUP(G2566,WholesaleExtract!B:M,12,FALSE),"")</f>
        <v/>
      </c>
      <c r="R2566" s="19"/>
      <c r="S2566" s="19"/>
    </row>
    <row r="2567" spans="1:19" x14ac:dyDescent="0.35">
      <c r="A2567" s="26" t="s">
        <v>543</v>
      </c>
      <c r="B2567" s="26" t="s">
        <v>543</v>
      </c>
      <c r="C2567" s="26"/>
      <c r="D2567" s="26" t="s">
        <v>543</v>
      </c>
      <c r="E2567" s="26" t="str">
        <f>IFERROR(VLOOKUP(G2567,WholesaleExtract!B:J,9,FALSE),"")</f>
        <v/>
      </c>
      <c r="F2567" s="26" t="str">
        <f>IFERROR(VLOOKUP(G2567,WholesaleExtract!B:J,6,FALSE),"")</f>
        <v/>
      </c>
      <c r="H2567" s="47" t="str">
        <f>IFERROR(VLOOKUP(G2567,WholesaleExtract!B:L,11,FALSE),"")</f>
        <v/>
      </c>
      <c r="I2567" s="26" t="str">
        <f>IFERROR(VLOOKUP(G2567,WholesaleExtract!B:O,8,FALSE),"")</f>
        <v/>
      </c>
      <c r="J2567" s="26" t="str">
        <f>IFERROR(VLOOKUP(G2567,WholesaleExtract!B:O,14,FALSE),"")</f>
        <v/>
      </c>
      <c r="K2567" s="26" t="str">
        <f>IFERROR(VLOOKUP(G2567,WholesaleExtract!B:K,10,FALSE),"")</f>
        <v/>
      </c>
      <c r="L2567" s="47" t="str">
        <f>IFERROR(VLOOKUP(G2567,WholesaleExtract!B:L,11,FALSE),"")</f>
        <v/>
      </c>
      <c r="M2567" s="47" t="str">
        <f>IFERROR(VLOOKUP(G2567,WholesaleExtract!B:M,12,FALSE),"")</f>
        <v/>
      </c>
      <c r="R2567" s="19"/>
      <c r="S2567" s="19"/>
    </row>
    <row r="2568" spans="1:19" x14ac:dyDescent="0.35">
      <c r="A2568" s="26" t="s">
        <v>543</v>
      </c>
      <c r="B2568" s="26" t="s">
        <v>543</v>
      </c>
      <c r="C2568" s="26"/>
      <c r="D2568" s="26" t="s">
        <v>543</v>
      </c>
      <c r="E2568" s="26" t="str">
        <f>IFERROR(VLOOKUP(G2568,WholesaleExtract!B:J,9,FALSE),"")</f>
        <v/>
      </c>
      <c r="F2568" s="26" t="str">
        <f>IFERROR(VLOOKUP(G2568,WholesaleExtract!B:J,6,FALSE),"")</f>
        <v/>
      </c>
      <c r="H2568" s="47" t="str">
        <f>IFERROR(VLOOKUP(G2568,WholesaleExtract!B:L,11,FALSE),"")</f>
        <v/>
      </c>
      <c r="I2568" s="26" t="str">
        <f>IFERROR(VLOOKUP(G2568,WholesaleExtract!B:O,8,FALSE),"")</f>
        <v/>
      </c>
      <c r="J2568" s="26" t="str">
        <f>IFERROR(VLOOKUP(G2568,WholesaleExtract!B:O,14,FALSE),"")</f>
        <v/>
      </c>
      <c r="K2568" s="26" t="str">
        <f>IFERROR(VLOOKUP(G2568,WholesaleExtract!B:K,10,FALSE),"")</f>
        <v/>
      </c>
      <c r="L2568" s="47" t="str">
        <f>IFERROR(VLOOKUP(G2568,WholesaleExtract!B:L,11,FALSE),"")</f>
        <v/>
      </c>
      <c r="M2568" s="47" t="str">
        <f>IFERROR(VLOOKUP(G2568,WholesaleExtract!B:M,12,FALSE),"")</f>
        <v/>
      </c>
      <c r="R2568" s="19"/>
      <c r="S2568" s="19"/>
    </row>
    <row r="2569" spans="1:19" x14ac:dyDescent="0.35">
      <c r="A2569" s="26" t="s">
        <v>543</v>
      </c>
      <c r="B2569" s="26" t="s">
        <v>543</v>
      </c>
      <c r="C2569" s="26"/>
      <c r="D2569" s="26" t="s">
        <v>543</v>
      </c>
      <c r="E2569" s="26" t="str">
        <f>IFERROR(VLOOKUP(G2569,WholesaleExtract!B:J,9,FALSE),"")</f>
        <v/>
      </c>
      <c r="F2569" s="26" t="str">
        <f>IFERROR(VLOOKUP(G2569,WholesaleExtract!B:J,6,FALSE),"")</f>
        <v/>
      </c>
      <c r="H2569" s="47" t="str">
        <f>IFERROR(VLOOKUP(G2569,WholesaleExtract!B:L,11,FALSE),"")</f>
        <v/>
      </c>
      <c r="I2569" s="26" t="str">
        <f>IFERROR(VLOOKUP(G2569,WholesaleExtract!B:O,8,FALSE),"")</f>
        <v/>
      </c>
      <c r="J2569" s="26" t="str">
        <f>IFERROR(VLOOKUP(G2569,WholesaleExtract!B:O,14,FALSE),"")</f>
        <v/>
      </c>
      <c r="K2569" s="26" t="str">
        <f>IFERROR(VLOOKUP(G2569,WholesaleExtract!B:K,10,FALSE),"")</f>
        <v/>
      </c>
      <c r="L2569" s="47" t="str">
        <f>IFERROR(VLOOKUP(G2569,WholesaleExtract!B:L,11,FALSE),"")</f>
        <v/>
      </c>
      <c r="M2569" s="47" t="str">
        <f>IFERROR(VLOOKUP(G2569,WholesaleExtract!B:M,12,FALSE),"")</f>
        <v/>
      </c>
      <c r="R2569" s="19"/>
      <c r="S2569" s="19"/>
    </row>
    <row r="2570" spans="1:19" x14ac:dyDescent="0.35">
      <c r="A2570" s="26" t="s">
        <v>543</v>
      </c>
      <c r="B2570" s="26" t="s">
        <v>543</v>
      </c>
      <c r="C2570" s="26"/>
      <c r="D2570" s="26" t="s">
        <v>543</v>
      </c>
      <c r="E2570" s="26" t="str">
        <f>IFERROR(VLOOKUP(G2570,WholesaleExtract!B:J,9,FALSE),"")</f>
        <v/>
      </c>
      <c r="F2570" s="26" t="str">
        <f>IFERROR(VLOOKUP(G2570,WholesaleExtract!B:J,6,FALSE),"")</f>
        <v/>
      </c>
      <c r="H2570" s="47" t="str">
        <f>IFERROR(VLOOKUP(G2570,WholesaleExtract!B:L,11,FALSE),"")</f>
        <v/>
      </c>
      <c r="I2570" s="26" t="str">
        <f>IFERROR(VLOOKUP(G2570,WholesaleExtract!B:O,8,FALSE),"")</f>
        <v/>
      </c>
      <c r="J2570" s="26" t="str">
        <f>IFERROR(VLOOKUP(G2570,WholesaleExtract!B:O,14,FALSE),"")</f>
        <v/>
      </c>
      <c r="K2570" s="26" t="str">
        <f>IFERROR(VLOOKUP(G2570,WholesaleExtract!B:K,10,FALSE),"")</f>
        <v/>
      </c>
      <c r="L2570" s="47" t="str">
        <f>IFERROR(VLOOKUP(G2570,WholesaleExtract!B:L,11,FALSE),"")</f>
        <v/>
      </c>
      <c r="M2570" s="47" t="str">
        <f>IFERROR(VLOOKUP(G2570,WholesaleExtract!B:M,12,FALSE),"")</f>
        <v/>
      </c>
      <c r="R2570" s="19"/>
      <c r="S2570" s="19"/>
    </row>
    <row r="2571" spans="1:19" x14ac:dyDescent="0.35">
      <c r="A2571" s="26" t="s">
        <v>543</v>
      </c>
      <c r="B2571" s="26" t="s">
        <v>543</v>
      </c>
      <c r="C2571" s="26"/>
      <c r="D2571" s="26" t="s">
        <v>543</v>
      </c>
      <c r="E2571" s="26" t="str">
        <f>IFERROR(VLOOKUP(G2571,WholesaleExtract!B:J,9,FALSE),"")</f>
        <v/>
      </c>
      <c r="F2571" s="26" t="str">
        <f>IFERROR(VLOOKUP(G2571,WholesaleExtract!B:J,6,FALSE),"")</f>
        <v/>
      </c>
      <c r="H2571" s="47" t="str">
        <f>IFERROR(VLOOKUP(G2571,WholesaleExtract!B:L,11,FALSE),"")</f>
        <v/>
      </c>
      <c r="I2571" s="26" t="str">
        <f>IFERROR(VLOOKUP(G2571,WholesaleExtract!B:O,8,FALSE),"")</f>
        <v/>
      </c>
      <c r="J2571" s="26" t="str">
        <f>IFERROR(VLOOKUP(G2571,WholesaleExtract!B:O,14,FALSE),"")</f>
        <v/>
      </c>
      <c r="K2571" s="26" t="str">
        <f>IFERROR(VLOOKUP(G2571,WholesaleExtract!B:K,10,FALSE),"")</f>
        <v/>
      </c>
      <c r="L2571" s="47" t="str">
        <f>IFERROR(VLOOKUP(G2571,WholesaleExtract!B:L,11,FALSE),"")</f>
        <v/>
      </c>
      <c r="M2571" s="47" t="str">
        <f>IFERROR(VLOOKUP(G2571,WholesaleExtract!B:M,12,FALSE),"")</f>
        <v/>
      </c>
      <c r="R2571" s="19"/>
      <c r="S2571" s="19"/>
    </row>
    <row r="2572" spans="1:19" x14ac:dyDescent="0.35">
      <c r="A2572" s="26" t="s">
        <v>543</v>
      </c>
      <c r="B2572" s="26" t="s">
        <v>543</v>
      </c>
      <c r="C2572" s="26"/>
      <c r="D2572" s="26" t="s">
        <v>543</v>
      </c>
      <c r="E2572" s="26" t="str">
        <f>IFERROR(VLOOKUP(G2572,WholesaleExtract!B:J,9,FALSE),"")</f>
        <v/>
      </c>
      <c r="F2572" s="26" t="str">
        <f>IFERROR(VLOOKUP(G2572,WholesaleExtract!B:J,6,FALSE),"")</f>
        <v/>
      </c>
      <c r="H2572" s="47" t="str">
        <f>IFERROR(VLOOKUP(G2572,WholesaleExtract!B:L,11,FALSE),"")</f>
        <v/>
      </c>
      <c r="I2572" s="26" t="str">
        <f>IFERROR(VLOOKUP(G2572,WholesaleExtract!B:O,8,FALSE),"")</f>
        <v/>
      </c>
      <c r="J2572" s="26" t="str">
        <f>IFERROR(VLOOKUP(G2572,WholesaleExtract!B:O,14,FALSE),"")</f>
        <v/>
      </c>
      <c r="K2572" s="26" t="str">
        <f>IFERROR(VLOOKUP(G2572,WholesaleExtract!B:K,10,FALSE),"")</f>
        <v/>
      </c>
      <c r="L2572" s="47" t="str">
        <f>IFERROR(VLOOKUP(G2572,WholesaleExtract!B:L,11,FALSE),"")</f>
        <v/>
      </c>
      <c r="M2572" s="47" t="str">
        <f>IFERROR(VLOOKUP(G2572,WholesaleExtract!B:M,12,FALSE),"")</f>
        <v/>
      </c>
      <c r="R2572" s="19"/>
      <c r="S2572" s="19"/>
    </row>
    <row r="2573" spans="1:19" x14ac:dyDescent="0.35">
      <c r="A2573" s="26" t="s">
        <v>543</v>
      </c>
      <c r="B2573" s="26" t="s">
        <v>543</v>
      </c>
      <c r="C2573" s="26"/>
      <c r="D2573" s="26" t="s">
        <v>543</v>
      </c>
      <c r="E2573" s="26" t="str">
        <f>IFERROR(VLOOKUP(G2573,WholesaleExtract!B:J,9,FALSE),"")</f>
        <v/>
      </c>
      <c r="F2573" s="26" t="str">
        <f>IFERROR(VLOOKUP(G2573,WholesaleExtract!B:J,6,FALSE),"")</f>
        <v/>
      </c>
      <c r="H2573" s="47" t="str">
        <f>IFERROR(VLOOKUP(G2573,WholesaleExtract!B:L,11,FALSE),"")</f>
        <v/>
      </c>
      <c r="I2573" s="26" t="str">
        <f>IFERROR(VLOOKUP(G2573,WholesaleExtract!B:O,8,FALSE),"")</f>
        <v/>
      </c>
      <c r="J2573" s="26" t="str">
        <f>IFERROR(VLOOKUP(G2573,WholesaleExtract!B:O,14,FALSE),"")</f>
        <v/>
      </c>
      <c r="K2573" s="26" t="str">
        <f>IFERROR(VLOOKUP(G2573,WholesaleExtract!B:K,10,FALSE),"")</f>
        <v/>
      </c>
      <c r="L2573" s="47" t="str">
        <f>IFERROR(VLOOKUP(G2573,WholesaleExtract!B:L,11,FALSE),"")</f>
        <v/>
      </c>
      <c r="M2573" s="47" t="str">
        <f>IFERROR(VLOOKUP(G2573,WholesaleExtract!B:M,12,FALSE),"")</f>
        <v/>
      </c>
      <c r="R2573" s="19"/>
      <c r="S2573" s="19"/>
    </row>
    <row r="2574" spans="1:19" x14ac:dyDescent="0.35">
      <c r="A2574" s="26" t="s">
        <v>543</v>
      </c>
      <c r="B2574" s="26" t="s">
        <v>543</v>
      </c>
      <c r="C2574" s="26"/>
      <c r="D2574" s="26" t="s">
        <v>543</v>
      </c>
      <c r="E2574" s="26" t="str">
        <f>IFERROR(VLOOKUP(G2574,WholesaleExtract!B:J,9,FALSE),"")</f>
        <v/>
      </c>
      <c r="F2574" s="26" t="str">
        <f>IFERROR(VLOOKUP(G2574,WholesaleExtract!B:J,6,FALSE),"")</f>
        <v/>
      </c>
      <c r="H2574" s="47" t="str">
        <f>IFERROR(VLOOKUP(G2574,WholesaleExtract!B:L,11,FALSE),"")</f>
        <v/>
      </c>
      <c r="I2574" s="26" t="str">
        <f>IFERROR(VLOOKUP(G2574,WholesaleExtract!B:O,8,FALSE),"")</f>
        <v/>
      </c>
      <c r="J2574" s="26" t="str">
        <f>IFERROR(VLOOKUP(G2574,WholesaleExtract!B:O,14,FALSE),"")</f>
        <v/>
      </c>
      <c r="K2574" s="26" t="str">
        <f>IFERROR(VLOOKUP(G2574,WholesaleExtract!B:K,10,FALSE),"")</f>
        <v/>
      </c>
      <c r="L2574" s="47" t="str">
        <f>IFERROR(VLOOKUP(G2574,WholesaleExtract!B:L,11,FALSE),"")</f>
        <v/>
      </c>
      <c r="M2574" s="47" t="str">
        <f>IFERROR(VLOOKUP(G2574,WholesaleExtract!B:M,12,FALSE),"")</f>
        <v/>
      </c>
      <c r="R2574" s="19"/>
      <c r="S2574" s="19"/>
    </row>
    <row r="2575" spans="1:19" x14ac:dyDescent="0.35">
      <c r="A2575" s="26" t="s">
        <v>543</v>
      </c>
      <c r="B2575" s="26" t="s">
        <v>543</v>
      </c>
      <c r="C2575" s="26"/>
      <c r="D2575" s="26" t="s">
        <v>543</v>
      </c>
      <c r="E2575" s="26" t="str">
        <f>IFERROR(VLOOKUP(G2575,WholesaleExtract!B:J,9,FALSE),"")</f>
        <v/>
      </c>
      <c r="F2575" s="26" t="str">
        <f>IFERROR(VLOOKUP(G2575,WholesaleExtract!B:J,6,FALSE),"")</f>
        <v/>
      </c>
      <c r="H2575" s="47" t="str">
        <f>IFERROR(VLOOKUP(G2575,WholesaleExtract!B:L,11,FALSE),"")</f>
        <v/>
      </c>
      <c r="I2575" s="26" t="str">
        <f>IFERROR(VLOOKUP(G2575,WholesaleExtract!B:O,8,FALSE),"")</f>
        <v/>
      </c>
      <c r="J2575" s="26" t="str">
        <f>IFERROR(VLOOKUP(G2575,WholesaleExtract!B:O,14,FALSE),"")</f>
        <v/>
      </c>
      <c r="K2575" s="26" t="str">
        <f>IFERROR(VLOOKUP(G2575,WholesaleExtract!B:K,10,FALSE),"")</f>
        <v/>
      </c>
      <c r="L2575" s="47" t="str">
        <f>IFERROR(VLOOKUP(G2575,WholesaleExtract!B:L,11,FALSE),"")</f>
        <v/>
      </c>
      <c r="M2575" s="47" t="str">
        <f>IFERROR(VLOOKUP(G2575,WholesaleExtract!B:M,12,FALSE),"")</f>
        <v/>
      </c>
      <c r="R2575" s="19"/>
      <c r="S2575" s="19"/>
    </row>
    <row r="2576" spans="1:19" x14ac:dyDescent="0.35">
      <c r="A2576" s="26" t="s">
        <v>543</v>
      </c>
      <c r="B2576" s="26" t="s">
        <v>543</v>
      </c>
      <c r="C2576" s="26"/>
      <c r="D2576" s="26" t="s">
        <v>543</v>
      </c>
      <c r="E2576" s="26" t="str">
        <f>IFERROR(VLOOKUP(G2576,WholesaleExtract!B:J,9,FALSE),"")</f>
        <v/>
      </c>
      <c r="F2576" s="26" t="str">
        <f>IFERROR(VLOOKUP(G2576,WholesaleExtract!B:J,6,FALSE),"")</f>
        <v/>
      </c>
      <c r="H2576" s="47" t="str">
        <f>IFERROR(VLOOKUP(G2576,WholesaleExtract!B:L,11,FALSE),"")</f>
        <v/>
      </c>
      <c r="I2576" s="26" t="str">
        <f>IFERROR(VLOOKUP(G2576,WholesaleExtract!B:O,8,FALSE),"")</f>
        <v/>
      </c>
      <c r="J2576" s="26" t="str">
        <f>IFERROR(VLOOKUP(G2576,WholesaleExtract!B:O,14,FALSE),"")</f>
        <v/>
      </c>
      <c r="K2576" s="26" t="str">
        <f>IFERROR(VLOOKUP(G2576,WholesaleExtract!B:K,10,FALSE),"")</f>
        <v/>
      </c>
      <c r="L2576" s="47" t="str">
        <f>IFERROR(VLOOKUP(G2576,WholesaleExtract!B:L,11,FALSE),"")</f>
        <v/>
      </c>
      <c r="M2576" s="47" t="str">
        <f>IFERROR(VLOOKUP(G2576,WholesaleExtract!B:M,12,FALSE),"")</f>
        <v/>
      </c>
      <c r="R2576" s="19"/>
      <c r="S2576" s="19"/>
    </row>
    <row r="2577" spans="1:19" x14ac:dyDescent="0.35">
      <c r="A2577" s="26" t="s">
        <v>543</v>
      </c>
      <c r="B2577" s="26" t="s">
        <v>543</v>
      </c>
      <c r="C2577" s="26"/>
      <c r="D2577" s="26" t="s">
        <v>543</v>
      </c>
      <c r="E2577" s="26" t="str">
        <f>IFERROR(VLOOKUP(G2577,WholesaleExtract!B:J,9,FALSE),"")</f>
        <v/>
      </c>
      <c r="F2577" s="26" t="str">
        <f>IFERROR(VLOOKUP(G2577,WholesaleExtract!B:J,6,FALSE),"")</f>
        <v/>
      </c>
      <c r="H2577" s="47" t="str">
        <f>IFERROR(VLOOKUP(G2577,WholesaleExtract!B:L,11,FALSE),"")</f>
        <v/>
      </c>
      <c r="I2577" s="26" t="str">
        <f>IFERROR(VLOOKUP(G2577,WholesaleExtract!B:O,8,FALSE),"")</f>
        <v/>
      </c>
      <c r="J2577" s="26" t="str">
        <f>IFERROR(VLOOKUP(G2577,WholesaleExtract!B:O,14,FALSE),"")</f>
        <v/>
      </c>
      <c r="K2577" s="26" t="str">
        <f>IFERROR(VLOOKUP(G2577,WholesaleExtract!B:K,10,FALSE),"")</f>
        <v/>
      </c>
      <c r="L2577" s="47" t="str">
        <f>IFERROR(VLOOKUP(G2577,WholesaleExtract!B:L,11,FALSE),"")</f>
        <v/>
      </c>
      <c r="M2577" s="47" t="str">
        <f>IFERROR(VLOOKUP(G2577,WholesaleExtract!B:M,12,FALSE),"")</f>
        <v/>
      </c>
      <c r="R2577" s="19"/>
      <c r="S2577" s="19"/>
    </row>
    <row r="2578" spans="1:19" x14ac:dyDescent="0.35">
      <c r="A2578" s="26" t="s">
        <v>543</v>
      </c>
      <c r="B2578" s="26" t="s">
        <v>543</v>
      </c>
      <c r="C2578" s="26"/>
      <c r="D2578" s="26" t="s">
        <v>543</v>
      </c>
      <c r="E2578" s="26" t="str">
        <f>IFERROR(VLOOKUP(G2578,WholesaleExtract!B:J,9,FALSE),"")</f>
        <v/>
      </c>
      <c r="F2578" s="26" t="str">
        <f>IFERROR(VLOOKUP(G2578,WholesaleExtract!B:J,6,FALSE),"")</f>
        <v/>
      </c>
      <c r="H2578" s="47" t="str">
        <f>IFERROR(VLOOKUP(G2578,WholesaleExtract!B:L,11,FALSE),"")</f>
        <v/>
      </c>
      <c r="I2578" s="26" t="str">
        <f>IFERROR(VLOOKUP(G2578,WholesaleExtract!B:O,8,FALSE),"")</f>
        <v/>
      </c>
      <c r="J2578" s="26" t="str">
        <f>IFERROR(VLOOKUP(G2578,WholesaleExtract!B:O,14,FALSE),"")</f>
        <v/>
      </c>
      <c r="K2578" s="26" t="str">
        <f>IFERROR(VLOOKUP(G2578,WholesaleExtract!B:K,10,FALSE),"")</f>
        <v/>
      </c>
      <c r="L2578" s="47" t="str">
        <f>IFERROR(VLOOKUP(G2578,WholesaleExtract!B:L,11,FALSE),"")</f>
        <v/>
      </c>
      <c r="M2578" s="47" t="str">
        <f>IFERROR(VLOOKUP(G2578,WholesaleExtract!B:M,12,FALSE),"")</f>
        <v/>
      </c>
      <c r="R2578" s="19"/>
      <c r="S2578" s="19"/>
    </row>
    <row r="2579" spans="1:19" x14ac:dyDescent="0.35">
      <c r="A2579" s="26" t="s">
        <v>543</v>
      </c>
      <c r="B2579" s="26" t="s">
        <v>543</v>
      </c>
      <c r="C2579" s="26"/>
      <c r="D2579" s="26" t="s">
        <v>543</v>
      </c>
      <c r="E2579" s="26" t="str">
        <f>IFERROR(VLOOKUP(G2579,WholesaleExtract!B:J,9,FALSE),"")</f>
        <v/>
      </c>
      <c r="F2579" s="26" t="str">
        <f>IFERROR(VLOOKUP(G2579,WholesaleExtract!B:J,6,FALSE),"")</f>
        <v/>
      </c>
      <c r="H2579" s="47" t="str">
        <f>IFERROR(VLOOKUP(G2579,WholesaleExtract!B:L,11,FALSE),"")</f>
        <v/>
      </c>
      <c r="I2579" s="26" t="str">
        <f>IFERROR(VLOOKUP(G2579,WholesaleExtract!B:O,8,FALSE),"")</f>
        <v/>
      </c>
      <c r="J2579" s="26" t="str">
        <f>IFERROR(VLOOKUP(G2579,WholesaleExtract!B:O,14,FALSE),"")</f>
        <v/>
      </c>
      <c r="K2579" s="26" t="str">
        <f>IFERROR(VLOOKUP(G2579,WholesaleExtract!B:K,10,FALSE),"")</f>
        <v/>
      </c>
      <c r="L2579" s="47" t="str">
        <f>IFERROR(VLOOKUP(G2579,WholesaleExtract!B:L,11,FALSE),"")</f>
        <v/>
      </c>
      <c r="M2579" s="47" t="str">
        <f>IFERROR(VLOOKUP(G2579,WholesaleExtract!B:M,12,FALSE),"")</f>
        <v/>
      </c>
      <c r="R2579" s="19"/>
      <c r="S2579" s="19"/>
    </row>
    <row r="2580" spans="1:19" x14ac:dyDescent="0.35">
      <c r="A2580" s="26" t="s">
        <v>543</v>
      </c>
      <c r="B2580" s="26" t="s">
        <v>543</v>
      </c>
      <c r="C2580" s="26"/>
      <c r="D2580" s="26" t="s">
        <v>543</v>
      </c>
      <c r="E2580" s="26" t="str">
        <f>IFERROR(VLOOKUP(G2580,WholesaleExtract!B:J,9,FALSE),"")</f>
        <v/>
      </c>
      <c r="F2580" s="26" t="str">
        <f>IFERROR(VLOOKUP(G2580,WholesaleExtract!B:J,6,FALSE),"")</f>
        <v/>
      </c>
      <c r="H2580" s="47" t="str">
        <f>IFERROR(VLOOKUP(G2580,WholesaleExtract!B:L,11,FALSE),"")</f>
        <v/>
      </c>
      <c r="I2580" s="26" t="str">
        <f>IFERROR(VLOOKUP(G2580,WholesaleExtract!B:O,8,FALSE),"")</f>
        <v/>
      </c>
      <c r="J2580" s="26" t="str">
        <f>IFERROR(VLOOKUP(G2580,WholesaleExtract!B:O,14,FALSE),"")</f>
        <v/>
      </c>
      <c r="K2580" s="26" t="str">
        <f>IFERROR(VLOOKUP(G2580,WholesaleExtract!B:K,10,FALSE),"")</f>
        <v/>
      </c>
      <c r="L2580" s="47" t="str">
        <f>IFERROR(VLOOKUP(G2580,WholesaleExtract!B:L,11,FALSE),"")</f>
        <v/>
      </c>
      <c r="M2580" s="47" t="str">
        <f>IFERROR(VLOOKUP(G2580,WholesaleExtract!B:M,12,FALSE),"")</f>
        <v/>
      </c>
      <c r="R2580" s="19"/>
      <c r="S2580" s="19"/>
    </row>
    <row r="2581" spans="1:19" x14ac:dyDescent="0.35">
      <c r="A2581" s="26" t="s">
        <v>543</v>
      </c>
      <c r="B2581" s="26" t="s">
        <v>543</v>
      </c>
      <c r="C2581" s="26"/>
      <c r="D2581" s="26" t="s">
        <v>543</v>
      </c>
      <c r="E2581" s="26" t="str">
        <f>IFERROR(VLOOKUP(G2581,WholesaleExtract!B:J,9,FALSE),"")</f>
        <v/>
      </c>
      <c r="F2581" s="26" t="str">
        <f>IFERROR(VLOOKUP(G2581,WholesaleExtract!B:J,6,FALSE),"")</f>
        <v/>
      </c>
      <c r="H2581" s="47" t="str">
        <f>IFERROR(VLOOKUP(G2581,WholesaleExtract!B:L,11,FALSE),"")</f>
        <v/>
      </c>
      <c r="I2581" s="26" t="str">
        <f>IFERROR(VLOOKUP(G2581,WholesaleExtract!B:O,8,FALSE),"")</f>
        <v/>
      </c>
      <c r="J2581" s="26" t="str">
        <f>IFERROR(VLOOKUP(G2581,WholesaleExtract!B:O,14,FALSE),"")</f>
        <v/>
      </c>
      <c r="K2581" s="26" t="str">
        <f>IFERROR(VLOOKUP(G2581,WholesaleExtract!B:K,10,FALSE),"")</f>
        <v/>
      </c>
      <c r="L2581" s="47" t="str">
        <f>IFERROR(VLOOKUP(G2581,WholesaleExtract!B:L,11,FALSE),"")</f>
        <v/>
      </c>
      <c r="M2581" s="47" t="str">
        <f>IFERROR(VLOOKUP(G2581,WholesaleExtract!B:M,12,FALSE),"")</f>
        <v/>
      </c>
      <c r="R2581" s="19"/>
      <c r="S2581" s="19"/>
    </row>
    <row r="2582" spans="1:19" x14ac:dyDescent="0.35">
      <c r="A2582" s="26" t="s">
        <v>543</v>
      </c>
      <c r="B2582" s="26" t="s">
        <v>543</v>
      </c>
      <c r="C2582" s="26"/>
      <c r="D2582" s="26" t="s">
        <v>543</v>
      </c>
      <c r="E2582" s="26" t="str">
        <f>IFERROR(VLOOKUP(G2582,WholesaleExtract!B:J,9,FALSE),"")</f>
        <v/>
      </c>
      <c r="F2582" s="26" t="str">
        <f>IFERROR(VLOOKUP(G2582,WholesaleExtract!B:J,6,FALSE),"")</f>
        <v/>
      </c>
      <c r="H2582" s="47" t="str">
        <f>IFERROR(VLOOKUP(G2582,WholesaleExtract!B:L,11,FALSE),"")</f>
        <v/>
      </c>
      <c r="I2582" s="26" t="str">
        <f>IFERROR(VLOOKUP(G2582,WholesaleExtract!B:O,8,FALSE),"")</f>
        <v/>
      </c>
      <c r="J2582" s="26" t="str">
        <f>IFERROR(VLOOKUP(G2582,WholesaleExtract!B:O,14,FALSE),"")</f>
        <v/>
      </c>
      <c r="K2582" s="26" t="str">
        <f>IFERROR(VLOOKUP(G2582,WholesaleExtract!B:K,10,FALSE),"")</f>
        <v/>
      </c>
      <c r="L2582" s="47" t="str">
        <f>IFERROR(VLOOKUP(G2582,WholesaleExtract!B:L,11,FALSE),"")</f>
        <v/>
      </c>
      <c r="M2582" s="47" t="str">
        <f>IFERROR(VLOOKUP(G2582,WholesaleExtract!B:M,12,FALSE),"")</f>
        <v/>
      </c>
      <c r="R2582" s="19"/>
      <c r="S2582" s="19"/>
    </row>
    <row r="2583" spans="1:19" x14ac:dyDescent="0.35">
      <c r="A2583" s="26" t="s">
        <v>543</v>
      </c>
      <c r="B2583" s="26" t="s">
        <v>543</v>
      </c>
      <c r="C2583" s="26"/>
      <c r="D2583" s="26" t="s">
        <v>543</v>
      </c>
      <c r="E2583" s="26" t="str">
        <f>IFERROR(VLOOKUP(G2583,WholesaleExtract!B:J,9,FALSE),"")</f>
        <v/>
      </c>
      <c r="F2583" s="26" t="str">
        <f>IFERROR(VLOOKUP(G2583,WholesaleExtract!B:J,6,FALSE),"")</f>
        <v/>
      </c>
      <c r="H2583" s="47" t="str">
        <f>IFERROR(VLOOKUP(G2583,WholesaleExtract!B:L,11,FALSE),"")</f>
        <v/>
      </c>
      <c r="I2583" s="26" t="str">
        <f>IFERROR(VLOOKUP(G2583,WholesaleExtract!B:O,8,FALSE),"")</f>
        <v/>
      </c>
      <c r="J2583" s="26" t="str">
        <f>IFERROR(VLOOKUP(G2583,WholesaleExtract!B:O,14,FALSE),"")</f>
        <v/>
      </c>
      <c r="K2583" s="26" t="str">
        <f>IFERROR(VLOOKUP(G2583,WholesaleExtract!B:K,10,FALSE),"")</f>
        <v/>
      </c>
      <c r="L2583" s="47" t="str">
        <f>IFERROR(VLOOKUP(G2583,WholesaleExtract!B:L,11,FALSE),"")</f>
        <v/>
      </c>
      <c r="M2583" s="47" t="str">
        <f>IFERROR(VLOOKUP(G2583,WholesaleExtract!B:M,12,FALSE),"")</f>
        <v/>
      </c>
      <c r="R2583" s="19"/>
      <c r="S2583" s="19"/>
    </row>
    <row r="2584" spans="1:19" x14ac:dyDescent="0.35">
      <c r="A2584" s="26" t="s">
        <v>543</v>
      </c>
      <c r="B2584" s="26" t="s">
        <v>543</v>
      </c>
      <c r="C2584" s="26"/>
      <c r="D2584" s="26" t="s">
        <v>543</v>
      </c>
      <c r="E2584" s="26" t="str">
        <f>IFERROR(VLOOKUP(G2584,WholesaleExtract!B:J,9,FALSE),"")</f>
        <v/>
      </c>
      <c r="F2584" s="26" t="str">
        <f>IFERROR(VLOOKUP(G2584,WholesaleExtract!B:J,6,FALSE),"")</f>
        <v/>
      </c>
      <c r="H2584" s="47" t="str">
        <f>IFERROR(VLOOKUP(G2584,WholesaleExtract!B:L,11,FALSE),"")</f>
        <v/>
      </c>
      <c r="I2584" s="26" t="str">
        <f>IFERROR(VLOOKUP(G2584,WholesaleExtract!B:O,8,FALSE),"")</f>
        <v/>
      </c>
      <c r="J2584" s="26" t="str">
        <f>IFERROR(VLOOKUP(G2584,WholesaleExtract!B:O,14,FALSE),"")</f>
        <v/>
      </c>
      <c r="K2584" s="26" t="str">
        <f>IFERROR(VLOOKUP(G2584,WholesaleExtract!B:K,10,FALSE),"")</f>
        <v/>
      </c>
      <c r="L2584" s="47" t="str">
        <f>IFERROR(VLOOKUP(G2584,WholesaleExtract!B:L,11,FALSE),"")</f>
        <v/>
      </c>
      <c r="M2584" s="47" t="str">
        <f>IFERROR(VLOOKUP(G2584,WholesaleExtract!B:M,12,FALSE),"")</f>
        <v/>
      </c>
      <c r="R2584" s="19"/>
      <c r="S2584" s="19"/>
    </row>
    <row r="2585" spans="1:19" x14ac:dyDescent="0.35">
      <c r="A2585" s="26" t="s">
        <v>543</v>
      </c>
      <c r="B2585" s="26" t="s">
        <v>543</v>
      </c>
      <c r="C2585" s="26"/>
      <c r="D2585" s="26" t="s">
        <v>543</v>
      </c>
      <c r="E2585" s="26" t="str">
        <f>IFERROR(VLOOKUP(G2585,WholesaleExtract!B:J,9,FALSE),"")</f>
        <v/>
      </c>
      <c r="F2585" s="26" t="str">
        <f>IFERROR(VLOOKUP(G2585,WholesaleExtract!B:J,6,FALSE),"")</f>
        <v/>
      </c>
      <c r="H2585" s="47" t="str">
        <f>IFERROR(VLOOKUP(G2585,WholesaleExtract!B:L,11,FALSE),"")</f>
        <v/>
      </c>
      <c r="I2585" s="26" t="str">
        <f>IFERROR(VLOOKUP(G2585,WholesaleExtract!B:O,8,FALSE),"")</f>
        <v/>
      </c>
      <c r="J2585" s="26" t="str">
        <f>IFERROR(VLOOKUP(G2585,WholesaleExtract!B:O,14,FALSE),"")</f>
        <v/>
      </c>
      <c r="K2585" s="26" t="str">
        <f>IFERROR(VLOOKUP(G2585,WholesaleExtract!B:K,10,FALSE),"")</f>
        <v/>
      </c>
      <c r="L2585" s="47" t="str">
        <f>IFERROR(VLOOKUP(G2585,WholesaleExtract!B:L,11,FALSE),"")</f>
        <v/>
      </c>
      <c r="M2585" s="47" t="str">
        <f>IFERROR(VLOOKUP(G2585,WholesaleExtract!B:M,12,FALSE),"")</f>
        <v/>
      </c>
      <c r="R2585" s="19"/>
      <c r="S2585" s="19"/>
    </row>
    <row r="2586" spans="1:19" x14ac:dyDescent="0.35">
      <c r="A2586" s="26" t="s">
        <v>543</v>
      </c>
      <c r="B2586" s="26" t="s">
        <v>543</v>
      </c>
      <c r="C2586" s="26"/>
      <c r="D2586" s="26" t="s">
        <v>543</v>
      </c>
      <c r="E2586" s="26" t="str">
        <f>IFERROR(VLOOKUP(G2586,WholesaleExtract!B:J,9,FALSE),"")</f>
        <v/>
      </c>
      <c r="F2586" s="26" t="str">
        <f>IFERROR(VLOOKUP(G2586,WholesaleExtract!B:J,6,FALSE),"")</f>
        <v/>
      </c>
      <c r="H2586" s="47" t="str">
        <f>IFERROR(VLOOKUP(G2586,WholesaleExtract!B:L,11,FALSE),"")</f>
        <v/>
      </c>
      <c r="I2586" s="26" t="str">
        <f>IFERROR(VLOOKUP(G2586,WholesaleExtract!B:O,8,FALSE),"")</f>
        <v/>
      </c>
      <c r="J2586" s="26" t="str">
        <f>IFERROR(VLOOKUP(G2586,WholesaleExtract!B:O,14,FALSE),"")</f>
        <v/>
      </c>
      <c r="K2586" s="26" t="str">
        <f>IFERROR(VLOOKUP(G2586,WholesaleExtract!B:K,10,FALSE),"")</f>
        <v/>
      </c>
      <c r="L2586" s="47" t="str">
        <f>IFERROR(VLOOKUP(G2586,WholesaleExtract!B:L,11,FALSE),"")</f>
        <v/>
      </c>
      <c r="M2586" s="47" t="str">
        <f>IFERROR(VLOOKUP(G2586,WholesaleExtract!B:M,12,FALSE),"")</f>
        <v/>
      </c>
      <c r="R2586" s="19"/>
      <c r="S2586" s="19"/>
    </row>
    <row r="2587" spans="1:19" x14ac:dyDescent="0.35">
      <c r="A2587" s="26" t="s">
        <v>543</v>
      </c>
      <c r="B2587" s="26" t="s">
        <v>543</v>
      </c>
      <c r="C2587" s="26"/>
      <c r="D2587" s="26" t="s">
        <v>543</v>
      </c>
      <c r="E2587" s="26" t="str">
        <f>IFERROR(VLOOKUP(G2587,WholesaleExtract!B:J,9,FALSE),"")</f>
        <v/>
      </c>
      <c r="F2587" s="26" t="str">
        <f>IFERROR(VLOOKUP(G2587,WholesaleExtract!B:J,6,FALSE),"")</f>
        <v/>
      </c>
      <c r="H2587" s="47" t="str">
        <f>IFERROR(VLOOKUP(G2587,WholesaleExtract!B:L,11,FALSE),"")</f>
        <v/>
      </c>
      <c r="I2587" s="26" t="str">
        <f>IFERROR(VLOOKUP(G2587,WholesaleExtract!B:O,8,FALSE),"")</f>
        <v/>
      </c>
      <c r="J2587" s="26" t="str">
        <f>IFERROR(VLOOKUP(G2587,WholesaleExtract!B:O,14,FALSE),"")</f>
        <v/>
      </c>
      <c r="K2587" s="26" t="str">
        <f>IFERROR(VLOOKUP(G2587,WholesaleExtract!B:K,10,FALSE),"")</f>
        <v/>
      </c>
      <c r="L2587" s="47" t="str">
        <f>IFERROR(VLOOKUP(G2587,WholesaleExtract!B:L,11,FALSE),"")</f>
        <v/>
      </c>
      <c r="M2587" s="47" t="str">
        <f>IFERROR(VLOOKUP(G2587,WholesaleExtract!B:M,12,FALSE),"")</f>
        <v/>
      </c>
      <c r="R2587" s="19"/>
      <c r="S2587" s="19"/>
    </row>
    <row r="2588" spans="1:19" x14ac:dyDescent="0.35">
      <c r="A2588" s="26" t="s">
        <v>543</v>
      </c>
      <c r="B2588" s="26" t="s">
        <v>543</v>
      </c>
      <c r="C2588" s="26"/>
      <c r="D2588" s="26" t="s">
        <v>543</v>
      </c>
      <c r="E2588" s="26" t="str">
        <f>IFERROR(VLOOKUP(G2588,WholesaleExtract!B:J,9,FALSE),"")</f>
        <v/>
      </c>
      <c r="F2588" s="26" t="str">
        <f>IFERROR(VLOOKUP(G2588,WholesaleExtract!B:J,6,FALSE),"")</f>
        <v/>
      </c>
      <c r="H2588" s="47" t="str">
        <f>IFERROR(VLOOKUP(G2588,WholesaleExtract!B:L,11,FALSE),"")</f>
        <v/>
      </c>
      <c r="I2588" s="26" t="str">
        <f>IFERROR(VLOOKUP(G2588,WholesaleExtract!B:O,8,FALSE),"")</f>
        <v/>
      </c>
      <c r="J2588" s="26" t="str">
        <f>IFERROR(VLOOKUP(G2588,WholesaleExtract!B:O,14,FALSE),"")</f>
        <v/>
      </c>
      <c r="K2588" s="26" t="str">
        <f>IFERROR(VLOOKUP(G2588,WholesaleExtract!B:K,10,FALSE),"")</f>
        <v/>
      </c>
      <c r="L2588" s="47" t="str">
        <f>IFERROR(VLOOKUP(G2588,WholesaleExtract!B:L,11,FALSE),"")</f>
        <v/>
      </c>
      <c r="M2588" s="47" t="str">
        <f>IFERROR(VLOOKUP(G2588,WholesaleExtract!B:M,12,FALSE),"")</f>
        <v/>
      </c>
      <c r="R2588" s="19"/>
      <c r="S2588" s="19"/>
    </row>
    <row r="2589" spans="1:19" x14ac:dyDescent="0.35">
      <c r="A2589" s="26" t="s">
        <v>543</v>
      </c>
      <c r="B2589" s="26" t="s">
        <v>543</v>
      </c>
      <c r="C2589" s="26"/>
      <c r="D2589" s="26" t="s">
        <v>543</v>
      </c>
      <c r="E2589" s="26" t="str">
        <f>IFERROR(VLOOKUP(G2589,WholesaleExtract!B:J,9,FALSE),"")</f>
        <v/>
      </c>
      <c r="F2589" s="26" t="str">
        <f>IFERROR(VLOOKUP(G2589,WholesaleExtract!B:J,6,FALSE),"")</f>
        <v/>
      </c>
      <c r="H2589" s="47" t="str">
        <f>IFERROR(VLOOKUP(G2589,WholesaleExtract!B:L,11,FALSE),"")</f>
        <v/>
      </c>
      <c r="I2589" s="26" t="str">
        <f>IFERROR(VLOOKUP(G2589,WholesaleExtract!B:O,8,FALSE),"")</f>
        <v/>
      </c>
      <c r="J2589" s="26" t="str">
        <f>IFERROR(VLOOKUP(G2589,WholesaleExtract!B:O,14,FALSE),"")</f>
        <v/>
      </c>
      <c r="K2589" s="26" t="str">
        <f>IFERROR(VLOOKUP(G2589,WholesaleExtract!B:K,10,FALSE),"")</f>
        <v/>
      </c>
      <c r="L2589" s="47" t="str">
        <f>IFERROR(VLOOKUP(G2589,WholesaleExtract!B:L,11,FALSE),"")</f>
        <v/>
      </c>
      <c r="M2589" s="47" t="str">
        <f>IFERROR(VLOOKUP(G2589,WholesaleExtract!B:M,12,FALSE),"")</f>
        <v/>
      </c>
      <c r="R2589" s="19"/>
      <c r="S2589" s="19"/>
    </row>
    <row r="2590" spans="1:19" x14ac:dyDescent="0.35">
      <c r="A2590" s="26" t="s">
        <v>543</v>
      </c>
      <c r="B2590" s="26" t="s">
        <v>543</v>
      </c>
      <c r="C2590" s="26"/>
      <c r="D2590" s="26" t="s">
        <v>543</v>
      </c>
      <c r="E2590" s="26" t="str">
        <f>IFERROR(VLOOKUP(G2590,WholesaleExtract!B:J,9,FALSE),"")</f>
        <v/>
      </c>
      <c r="F2590" s="26" t="str">
        <f>IFERROR(VLOOKUP(G2590,WholesaleExtract!B:J,6,FALSE),"")</f>
        <v/>
      </c>
      <c r="H2590" s="47" t="str">
        <f>IFERROR(VLOOKUP(G2590,WholesaleExtract!B:L,11,FALSE),"")</f>
        <v/>
      </c>
      <c r="I2590" s="26" t="str">
        <f>IFERROR(VLOOKUP(G2590,WholesaleExtract!B:O,8,FALSE),"")</f>
        <v/>
      </c>
      <c r="J2590" s="26" t="str">
        <f>IFERROR(VLOOKUP(G2590,WholesaleExtract!B:O,14,FALSE),"")</f>
        <v/>
      </c>
      <c r="K2590" s="26" t="str">
        <f>IFERROR(VLOOKUP(G2590,WholesaleExtract!B:K,10,FALSE),"")</f>
        <v/>
      </c>
      <c r="L2590" s="47" t="str">
        <f>IFERROR(VLOOKUP(G2590,WholesaleExtract!B:L,11,FALSE),"")</f>
        <v/>
      </c>
      <c r="M2590" s="47" t="str">
        <f>IFERROR(VLOOKUP(G2590,WholesaleExtract!B:M,12,FALSE),"")</f>
        <v/>
      </c>
      <c r="R2590" s="19"/>
      <c r="S2590" s="19"/>
    </row>
    <row r="2591" spans="1:19" x14ac:dyDescent="0.35">
      <c r="A2591" s="26" t="s">
        <v>543</v>
      </c>
      <c r="B2591" s="26" t="s">
        <v>543</v>
      </c>
      <c r="C2591" s="26"/>
      <c r="D2591" s="26" t="s">
        <v>543</v>
      </c>
      <c r="E2591" s="26" t="str">
        <f>IFERROR(VLOOKUP(G2591,WholesaleExtract!B:J,9,FALSE),"")</f>
        <v/>
      </c>
      <c r="F2591" s="26" t="str">
        <f>IFERROR(VLOOKUP(G2591,WholesaleExtract!B:J,6,FALSE),"")</f>
        <v/>
      </c>
      <c r="H2591" s="47" t="str">
        <f>IFERROR(VLOOKUP(G2591,WholesaleExtract!B:L,11,FALSE),"")</f>
        <v/>
      </c>
      <c r="I2591" s="26" t="str">
        <f>IFERROR(VLOOKUP(G2591,WholesaleExtract!B:O,8,FALSE),"")</f>
        <v/>
      </c>
      <c r="J2591" s="26" t="str">
        <f>IFERROR(VLOOKUP(G2591,WholesaleExtract!B:O,14,FALSE),"")</f>
        <v/>
      </c>
      <c r="K2591" s="26" t="str">
        <f>IFERROR(VLOOKUP(G2591,WholesaleExtract!B:K,10,FALSE),"")</f>
        <v/>
      </c>
      <c r="L2591" s="47" t="str">
        <f>IFERROR(VLOOKUP(G2591,WholesaleExtract!B:L,11,FALSE),"")</f>
        <v/>
      </c>
      <c r="M2591" s="47" t="str">
        <f>IFERROR(VLOOKUP(G2591,WholesaleExtract!B:M,12,FALSE),"")</f>
        <v/>
      </c>
      <c r="R2591" s="19"/>
      <c r="S2591" s="19"/>
    </row>
    <row r="2592" spans="1:19" x14ac:dyDescent="0.35">
      <c r="A2592" s="26" t="s">
        <v>543</v>
      </c>
      <c r="B2592" s="26" t="s">
        <v>543</v>
      </c>
      <c r="C2592" s="26"/>
      <c r="D2592" s="26" t="s">
        <v>543</v>
      </c>
      <c r="E2592" s="26" t="str">
        <f>IFERROR(VLOOKUP(G2592,WholesaleExtract!B:J,9,FALSE),"")</f>
        <v/>
      </c>
      <c r="F2592" s="26" t="str">
        <f>IFERROR(VLOOKUP(G2592,WholesaleExtract!B:J,6,FALSE),"")</f>
        <v/>
      </c>
      <c r="H2592" s="47" t="str">
        <f>IFERROR(VLOOKUP(G2592,WholesaleExtract!B:L,11,FALSE),"")</f>
        <v/>
      </c>
      <c r="I2592" s="26" t="str">
        <f>IFERROR(VLOOKUP(G2592,WholesaleExtract!B:O,8,FALSE),"")</f>
        <v/>
      </c>
      <c r="J2592" s="26" t="str">
        <f>IFERROR(VLOOKUP(G2592,WholesaleExtract!B:O,14,FALSE),"")</f>
        <v/>
      </c>
      <c r="K2592" s="26" t="str">
        <f>IFERROR(VLOOKUP(G2592,WholesaleExtract!B:K,10,FALSE),"")</f>
        <v/>
      </c>
      <c r="L2592" s="47" t="str">
        <f>IFERROR(VLOOKUP(G2592,WholesaleExtract!B:L,11,FALSE),"")</f>
        <v/>
      </c>
      <c r="M2592" s="47" t="str">
        <f>IFERROR(VLOOKUP(G2592,WholesaleExtract!B:M,12,FALSE),"")</f>
        <v/>
      </c>
      <c r="R2592" s="19"/>
      <c r="S2592" s="19"/>
    </row>
    <row r="2593" spans="1:19" x14ac:dyDescent="0.35">
      <c r="A2593" s="26" t="s">
        <v>543</v>
      </c>
      <c r="B2593" s="26" t="s">
        <v>543</v>
      </c>
      <c r="C2593" s="26"/>
      <c r="D2593" s="26" t="s">
        <v>543</v>
      </c>
      <c r="E2593" s="26" t="str">
        <f>IFERROR(VLOOKUP(G2593,WholesaleExtract!B:J,9,FALSE),"")</f>
        <v/>
      </c>
      <c r="F2593" s="26" t="str">
        <f>IFERROR(VLOOKUP(G2593,WholesaleExtract!B:J,6,FALSE),"")</f>
        <v/>
      </c>
      <c r="H2593" s="47" t="str">
        <f>IFERROR(VLOOKUP(G2593,WholesaleExtract!B:L,11,FALSE),"")</f>
        <v/>
      </c>
      <c r="I2593" s="26" t="str">
        <f>IFERROR(VLOOKUP(G2593,WholesaleExtract!B:O,8,FALSE),"")</f>
        <v/>
      </c>
      <c r="J2593" s="26" t="str">
        <f>IFERROR(VLOOKUP(G2593,WholesaleExtract!B:O,14,FALSE),"")</f>
        <v/>
      </c>
      <c r="K2593" s="26" t="str">
        <f>IFERROR(VLOOKUP(G2593,WholesaleExtract!B:K,10,FALSE),"")</f>
        <v/>
      </c>
      <c r="L2593" s="47" t="str">
        <f>IFERROR(VLOOKUP(G2593,WholesaleExtract!B:L,11,FALSE),"")</f>
        <v/>
      </c>
      <c r="M2593" s="47" t="str">
        <f>IFERROR(VLOOKUP(G2593,WholesaleExtract!B:M,12,FALSE),"")</f>
        <v/>
      </c>
      <c r="R2593" s="19"/>
      <c r="S2593" s="19"/>
    </row>
    <row r="2594" spans="1:19" x14ac:dyDescent="0.35">
      <c r="A2594" s="26" t="s">
        <v>543</v>
      </c>
      <c r="B2594" s="26" t="s">
        <v>543</v>
      </c>
      <c r="C2594" s="26"/>
      <c r="D2594" s="26" t="s">
        <v>543</v>
      </c>
      <c r="E2594" s="26" t="str">
        <f>IFERROR(VLOOKUP(G2594,WholesaleExtract!B:J,9,FALSE),"")</f>
        <v/>
      </c>
      <c r="F2594" s="26" t="str">
        <f>IFERROR(VLOOKUP(G2594,WholesaleExtract!B:J,6,FALSE),"")</f>
        <v/>
      </c>
      <c r="H2594" s="47" t="str">
        <f>IFERROR(VLOOKUP(G2594,WholesaleExtract!B:L,11,FALSE),"")</f>
        <v/>
      </c>
      <c r="I2594" s="26" t="str">
        <f>IFERROR(VLOOKUP(G2594,WholesaleExtract!B:O,8,FALSE),"")</f>
        <v/>
      </c>
      <c r="J2594" s="26" t="str">
        <f>IFERROR(VLOOKUP(G2594,WholesaleExtract!B:O,14,FALSE),"")</f>
        <v/>
      </c>
      <c r="K2594" s="26" t="str">
        <f>IFERROR(VLOOKUP(G2594,WholesaleExtract!B:K,10,FALSE),"")</f>
        <v/>
      </c>
      <c r="L2594" s="47" t="str">
        <f>IFERROR(VLOOKUP(G2594,WholesaleExtract!B:L,11,FALSE),"")</f>
        <v/>
      </c>
      <c r="M2594" s="47" t="str">
        <f>IFERROR(VLOOKUP(G2594,WholesaleExtract!B:M,12,FALSE),"")</f>
        <v/>
      </c>
      <c r="R2594" s="19"/>
      <c r="S2594" s="19"/>
    </row>
    <row r="2595" spans="1:19" x14ac:dyDescent="0.35">
      <c r="A2595" s="26" t="s">
        <v>543</v>
      </c>
      <c r="B2595" s="26" t="s">
        <v>543</v>
      </c>
      <c r="C2595" s="26"/>
      <c r="D2595" s="26" t="s">
        <v>543</v>
      </c>
      <c r="E2595" s="26" t="str">
        <f>IFERROR(VLOOKUP(G2595,WholesaleExtract!B:J,9,FALSE),"")</f>
        <v/>
      </c>
      <c r="F2595" s="26" t="str">
        <f>IFERROR(VLOOKUP(G2595,WholesaleExtract!B:J,6,FALSE),"")</f>
        <v/>
      </c>
      <c r="H2595" s="47" t="str">
        <f>IFERROR(VLOOKUP(G2595,WholesaleExtract!B:L,11,FALSE),"")</f>
        <v/>
      </c>
      <c r="I2595" s="26" t="str">
        <f>IFERROR(VLOOKUP(G2595,WholesaleExtract!B:O,8,FALSE),"")</f>
        <v/>
      </c>
      <c r="J2595" s="26" t="str">
        <f>IFERROR(VLOOKUP(G2595,WholesaleExtract!B:O,14,FALSE),"")</f>
        <v/>
      </c>
      <c r="K2595" s="26" t="str">
        <f>IFERROR(VLOOKUP(G2595,WholesaleExtract!B:K,10,FALSE),"")</f>
        <v/>
      </c>
      <c r="L2595" s="47" t="str">
        <f>IFERROR(VLOOKUP(G2595,WholesaleExtract!B:L,11,FALSE),"")</f>
        <v/>
      </c>
      <c r="M2595" s="47" t="str">
        <f>IFERROR(VLOOKUP(G2595,WholesaleExtract!B:M,12,FALSE),"")</f>
        <v/>
      </c>
      <c r="R2595" s="19"/>
      <c r="S2595" s="19"/>
    </row>
    <row r="2596" spans="1:19" x14ac:dyDescent="0.35">
      <c r="A2596" s="26" t="s">
        <v>543</v>
      </c>
      <c r="B2596" s="26" t="s">
        <v>543</v>
      </c>
      <c r="C2596" s="26"/>
      <c r="D2596" s="26" t="s">
        <v>543</v>
      </c>
      <c r="E2596" s="26" t="str">
        <f>IFERROR(VLOOKUP(G2596,WholesaleExtract!B:J,9,FALSE),"")</f>
        <v/>
      </c>
      <c r="F2596" s="26" t="str">
        <f>IFERROR(VLOOKUP(G2596,WholesaleExtract!B:J,6,FALSE),"")</f>
        <v/>
      </c>
      <c r="H2596" s="47" t="str">
        <f>IFERROR(VLOOKUP(G2596,WholesaleExtract!B:L,11,FALSE),"")</f>
        <v/>
      </c>
      <c r="I2596" s="26" t="str">
        <f>IFERROR(VLOOKUP(G2596,WholesaleExtract!B:O,8,FALSE),"")</f>
        <v/>
      </c>
      <c r="J2596" s="26" t="str">
        <f>IFERROR(VLOOKUP(G2596,WholesaleExtract!B:O,14,FALSE),"")</f>
        <v/>
      </c>
      <c r="K2596" s="26" t="str">
        <f>IFERROR(VLOOKUP(G2596,WholesaleExtract!B:K,10,FALSE),"")</f>
        <v/>
      </c>
      <c r="L2596" s="47" t="str">
        <f>IFERROR(VLOOKUP(G2596,WholesaleExtract!B:L,11,FALSE),"")</f>
        <v/>
      </c>
      <c r="M2596" s="47" t="str">
        <f>IFERROR(VLOOKUP(G2596,WholesaleExtract!B:M,12,FALSE),"")</f>
        <v/>
      </c>
      <c r="R2596" s="19"/>
      <c r="S2596" s="19"/>
    </row>
    <row r="2597" spans="1:19" x14ac:dyDescent="0.35">
      <c r="A2597" s="26" t="s">
        <v>543</v>
      </c>
      <c r="B2597" s="26" t="s">
        <v>543</v>
      </c>
      <c r="C2597" s="26"/>
      <c r="D2597" s="26" t="s">
        <v>543</v>
      </c>
      <c r="E2597" s="26" t="str">
        <f>IFERROR(VLOOKUP(G2597,WholesaleExtract!B:J,9,FALSE),"")</f>
        <v/>
      </c>
      <c r="F2597" s="26" t="str">
        <f>IFERROR(VLOOKUP(G2597,WholesaleExtract!B:J,6,FALSE),"")</f>
        <v/>
      </c>
      <c r="H2597" s="47" t="str">
        <f>IFERROR(VLOOKUP(G2597,WholesaleExtract!B:L,11,FALSE),"")</f>
        <v/>
      </c>
      <c r="I2597" s="26" t="str">
        <f>IFERROR(VLOOKUP(G2597,WholesaleExtract!B:O,8,FALSE),"")</f>
        <v/>
      </c>
      <c r="J2597" s="26" t="str">
        <f>IFERROR(VLOOKUP(G2597,WholesaleExtract!B:O,14,FALSE),"")</f>
        <v/>
      </c>
      <c r="K2597" s="26" t="str">
        <f>IFERROR(VLOOKUP(G2597,WholesaleExtract!B:K,10,FALSE),"")</f>
        <v/>
      </c>
      <c r="L2597" s="47" t="str">
        <f>IFERROR(VLOOKUP(G2597,WholesaleExtract!B:L,11,FALSE),"")</f>
        <v/>
      </c>
      <c r="M2597" s="47" t="str">
        <f>IFERROR(VLOOKUP(G2597,WholesaleExtract!B:M,12,FALSE),"")</f>
        <v/>
      </c>
      <c r="R2597" s="19"/>
      <c r="S2597" s="19"/>
    </row>
    <row r="2598" spans="1:19" x14ac:dyDescent="0.35">
      <c r="A2598" s="26" t="s">
        <v>543</v>
      </c>
      <c r="B2598" s="26" t="s">
        <v>543</v>
      </c>
      <c r="C2598" s="26"/>
      <c r="D2598" s="26" t="s">
        <v>543</v>
      </c>
      <c r="E2598" s="26" t="str">
        <f>IFERROR(VLOOKUP(G2598,WholesaleExtract!B:J,9,FALSE),"")</f>
        <v/>
      </c>
      <c r="F2598" s="26" t="str">
        <f>IFERROR(VLOOKUP(G2598,WholesaleExtract!B:J,6,FALSE),"")</f>
        <v/>
      </c>
      <c r="H2598" s="47" t="str">
        <f>IFERROR(VLOOKUP(G2598,WholesaleExtract!B:L,11,FALSE),"")</f>
        <v/>
      </c>
      <c r="I2598" s="26" t="str">
        <f>IFERROR(VLOOKUP(G2598,WholesaleExtract!B:O,8,FALSE),"")</f>
        <v/>
      </c>
      <c r="J2598" s="26" t="str">
        <f>IFERROR(VLOOKUP(G2598,WholesaleExtract!B:O,14,FALSE),"")</f>
        <v/>
      </c>
      <c r="K2598" s="26" t="str">
        <f>IFERROR(VLOOKUP(G2598,WholesaleExtract!B:K,10,FALSE),"")</f>
        <v/>
      </c>
      <c r="L2598" s="47" t="str">
        <f>IFERROR(VLOOKUP(G2598,WholesaleExtract!B:L,11,FALSE),"")</f>
        <v/>
      </c>
      <c r="M2598" s="47" t="str">
        <f>IFERROR(VLOOKUP(G2598,WholesaleExtract!B:M,12,FALSE),"")</f>
        <v/>
      </c>
      <c r="R2598" s="19"/>
      <c r="S2598" s="19"/>
    </row>
    <row r="2599" spans="1:19" x14ac:dyDescent="0.35">
      <c r="A2599" s="26" t="s">
        <v>543</v>
      </c>
      <c r="B2599" s="26" t="s">
        <v>543</v>
      </c>
      <c r="C2599" s="26"/>
      <c r="D2599" s="26" t="s">
        <v>543</v>
      </c>
      <c r="E2599" s="26" t="str">
        <f>IFERROR(VLOOKUP(G2599,WholesaleExtract!B:J,9,FALSE),"")</f>
        <v/>
      </c>
      <c r="F2599" s="26" t="str">
        <f>IFERROR(VLOOKUP(G2599,WholesaleExtract!B:J,6,FALSE),"")</f>
        <v/>
      </c>
      <c r="H2599" s="47" t="str">
        <f>IFERROR(VLOOKUP(G2599,WholesaleExtract!B:L,11,FALSE),"")</f>
        <v/>
      </c>
      <c r="I2599" s="26" t="str">
        <f>IFERROR(VLOOKUP(G2599,WholesaleExtract!B:O,8,FALSE),"")</f>
        <v/>
      </c>
      <c r="J2599" s="26" t="str">
        <f>IFERROR(VLOOKUP(G2599,WholesaleExtract!B:O,14,FALSE),"")</f>
        <v/>
      </c>
      <c r="K2599" s="26" t="str">
        <f>IFERROR(VLOOKUP(G2599,WholesaleExtract!B:K,10,FALSE),"")</f>
        <v/>
      </c>
      <c r="L2599" s="47" t="str">
        <f>IFERROR(VLOOKUP(G2599,WholesaleExtract!B:L,11,FALSE),"")</f>
        <v/>
      </c>
      <c r="M2599" s="47" t="str">
        <f>IFERROR(VLOOKUP(G2599,WholesaleExtract!B:M,12,FALSE),"")</f>
        <v/>
      </c>
      <c r="R2599" s="19"/>
      <c r="S2599" s="19"/>
    </row>
    <row r="2600" spans="1:19" x14ac:dyDescent="0.35">
      <c r="A2600" s="26" t="s">
        <v>543</v>
      </c>
      <c r="B2600" s="26" t="s">
        <v>543</v>
      </c>
      <c r="C2600" s="26"/>
      <c r="D2600" s="26" t="s">
        <v>543</v>
      </c>
      <c r="E2600" s="26" t="str">
        <f>IFERROR(VLOOKUP(G2600,WholesaleExtract!B:J,9,FALSE),"")</f>
        <v/>
      </c>
      <c r="F2600" s="26" t="str">
        <f>IFERROR(VLOOKUP(G2600,WholesaleExtract!B:J,6,FALSE),"")</f>
        <v/>
      </c>
      <c r="H2600" s="47" t="str">
        <f>IFERROR(VLOOKUP(G2600,WholesaleExtract!B:L,11,FALSE),"")</f>
        <v/>
      </c>
      <c r="I2600" s="26" t="str">
        <f>IFERROR(VLOOKUP(G2600,WholesaleExtract!B:O,8,FALSE),"")</f>
        <v/>
      </c>
      <c r="J2600" s="26" t="str">
        <f>IFERROR(VLOOKUP(G2600,WholesaleExtract!B:O,14,FALSE),"")</f>
        <v/>
      </c>
      <c r="K2600" s="26" t="str">
        <f>IFERROR(VLOOKUP(G2600,WholesaleExtract!B:K,10,FALSE),"")</f>
        <v/>
      </c>
      <c r="L2600" s="47" t="str">
        <f>IFERROR(VLOOKUP(G2600,WholesaleExtract!B:L,11,FALSE),"")</f>
        <v/>
      </c>
      <c r="M2600" s="47" t="str">
        <f>IFERROR(VLOOKUP(G2600,WholesaleExtract!B:M,12,FALSE),"")</f>
        <v/>
      </c>
      <c r="R2600" s="19"/>
      <c r="S2600" s="19"/>
    </row>
    <row r="2601" spans="1:19" x14ac:dyDescent="0.35">
      <c r="A2601" s="26" t="s">
        <v>543</v>
      </c>
      <c r="B2601" s="26" t="s">
        <v>543</v>
      </c>
      <c r="C2601" s="26"/>
      <c r="D2601" s="26" t="s">
        <v>543</v>
      </c>
      <c r="E2601" s="26" t="str">
        <f>IFERROR(VLOOKUP(G2601,WholesaleExtract!B:J,9,FALSE),"")</f>
        <v/>
      </c>
      <c r="F2601" s="26" t="str">
        <f>IFERROR(VLOOKUP(G2601,WholesaleExtract!B:J,6,FALSE),"")</f>
        <v/>
      </c>
      <c r="H2601" s="47" t="str">
        <f>IFERROR(VLOOKUP(G2601,WholesaleExtract!B:L,11,FALSE),"")</f>
        <v/>
      </c>
      <c r="I2601" s="26" t="str">
        <f>IFERROR(VLOOKUP(G2601,WholesaleExtract!B:O,8,FALSE),"")</f>
        <v/>
      </c>
      <c r="J2601" s="26" t="str">
        <f>IFERROR(VLOOKUP(G2601,WholesaleExtract!B:O,14,FALSE),"")</f>
        <v/>
      </c>
      <c r="K2601" s="26" t="str">
        <f>IFERROR(VLOOKUP(G2601,WholesaleExtract!B:K,10,FALSE),"")</f>
        <v/>
      </c>
      <c r="L2601" s="47" t="str">
        <f>IFERROR(VLOOKUP(G2601,WholesaleExtract!B:L,11,FALSE),"")</f>
        <v/>
      </c>
      <c r="M2601" s="47" t="str">
        <f>IFERROR(VLOOKUP(G2601,WholesaleExtract!B:M,12,FALSE),"")</f>
        <v/>
      </c>
      <c r="R2601" s="19"/>
      <c r="S2601" s="19"/>
    </row>
    <row r="2602" spans="1:19" x14ac:dyDescent="0.35">
      <c r="A2602" s="26" t="s">
        <v>543</v>
      </c>
      <c r="B2602" s="26" t="s">
        <v>543</v>
      </c>
      <c r="C2602" s="26"/>
      <c r="D2602" s="26" t="s">
        <v>543</v>
      </c>
      <c r="E2602" s="26" t="str">
        <f>IFERROR(VLOOKUP(G2602,WholesaleExtract!B:J,9,FALSE),"")</f>
        <v/>
      </c>
      <c r="F2602" s="26" t="str">
        <f>IFERROR(VLOOKUP(G2602,WholesaleExtract!B:J,6,FALSE),"")</f>
        <v/>
      </c>
      <c r="H2602" s="47" t="str">
        <f>IFERROR(VLOOKUP(G2602,WholesaleExtract!B:L,11,FALSE),"")</f>
        <v/>
      </c>
      <c r="I2602" s="26" t="str">
        <f>IFERROR(VLOOKUP(G2602,WholesaleExtract!B:O,8,FALSE),"")</f>
        <v/>
      </c>
      <c r="J2602" s="26" t="str">
        <f>IFERROR(VLOOKUP(G2602,WholesaleExtract!B:O,14,FALSE),"")</f>
        <v/>
      </c>
      <c r="K2602" s="26" t="str">
        <f>IFERROR(VLOOKUP(G2602,WholesaleExtract!B:K,10,FALSE),"")</f>
        <v/>
      </c>
      <c r="L2602" s="47" t="str">
        <f>IFERROR(VLOOKUP(G2602,WholesaleExtract!B:L,11,FALSE),"")</f>
        <v/>
      </c>
      <c r="M2602" s="47" t="str">
        <f>IFERROR(VLOOKUP(G2602,WholesaleExtract!B:M,12,FALSE),"")</f>
        <v/>
      </c>
      <c r="R2602" s="19"/>
      <c r="S2602" s="19"/>
    </row>
    <row r="2603" spans="1:19" x14ac:dyDescent="0.35">
      <c r="A2603" s="26" t="s">
        <v>543</v>
      </c>
      <c r="B2603" s="26" t="s">
        <v>543</v>
      </c>
      <c r="C2603" s="26"/>
      <c r="D2603" s="26" t="s">
        <v>543</v>
      </c>
      <c r="E2603" s="26" t="str">
        <f>IFERROR(VLOOKUP(G2603,WholesaleExtract!B:J,9,FALSE),"")</f>
        <v/>
      </c>
      <c r="F2603" s="26" t="str">
        <f>IFERROR(VLOOKUP(G2603,WholesaleExtract!B:J,6,FALSE),"")</f>
        <v/>
      </c>
      <c r="H2603" s="47" t="str">
        <f>IFERROR(VLOOKUP(G2603,WholesaleExtract!B:L,11,FALSE),"")</f>
        <v/>
      </c>
      <c r="I2603" s="26" t="str">
        <f>IFERROR(VLOOKUP(G2603,WholesaleExtract!B:O,8,FALSE),"")</f>
        <v/>
      </c>
      <c r="J2603" s="26" t="str">
        <f>IFERROR(VLOOKUP(G2603,WholesaleExtract!B:O,14,FALSE),"")</f>
        <v/>
      </c>
      <c r="K2603" s="26" t="str">
        <f>IFERROR(VLOOKUP(G2603,WholesaleExtract!B:K,10,FALSE),"")</f>
        <v/>
      </c>
      <c r="L2603" s="47" t="str">
        <f>IFERROR(VLOOKUP(G2603,WholesaleExtract!B:L,11,FALSE),"")</f>
        <v/>
      </c>
      <c r="M2603" s="47" t="str">
        <f>IFERROR(VLOOKUP(G2603,WholesaleExtract!B:M,12,FALSE),"")</f>
        <v/>
      </c>
      <c r="R2603" s="19"/>
      <c r="S2603" s="19"/>
    </row>
    <row r="2604" spans="1:19" x14ac:dyDescent="0.35">
      <c r="A2604" s="26" t="s">
        <v>543</v>
      </c>
      <c r="B2604" s="26" t="s">
        <v>543</v>
      </c>
      <c r="C2604" s="26"/>
      <c r="D2604" s="26" t="s">
        <v>543</v>
      </c>
      <c r="E2604" s="26" t="str">
        <f>IFERROR(VLOOKUP(G2604,WholesaleExtract!B:J,9,FALSE),"")</f>
        <v/>
      </c>
      <c r="F2604" s="26" t="str">
        <f>IFERROR(VLOOKUP(G2604,WholesaleExtract!B:J,6,FALSE),"")</f>
        <v/>
      </c>
      <c r="H2604" s="47" t="str">
        <f>IFERROR(VLOOKUP(G2604,WholesaleExtract!B:L,11,FALSE),"")</f>
        <v/>
      </c>
      <c r="I2604" s="26" t="str">
        <f>IFERROR(VLOOKUP(G2604,WholesaleExtract!B:O,8,FALSE),"")</f>
        <v/>
      </c>
      <c r="J2604" s="26" t="str">
        <f>IFERROR(VLOOKUP(G2604,WholesaleExtract!B:O,14,FALSE),"")</f>
        <v/>
      </c>
      <c r="K2604" s="26" t="str">
        <f>IFERROR(VLOOKUP(G2604,WholesaleExtract!B:K,10,FALSE),"")</f>
        <v/>
      </c>
      <c r="L2604" s="47" t="str">
        <f>IFERROR(VLOOKUP(G2604,WholesaleExtract!B:L,11,FALSE),"")</f>
        <v/>
      </c>
      <c r="M2604" s="47" t="str">
        <f>IFERROR(VLOOKUP(G2604,WholesaleExtract!B:M,12,FALSE),"")</f>
        <v/>
      </c>
      <c r="R2604" s="19"/>
      <c r="S2604" s="19"/>
    </row>
    <row r="2605" spans="1:19" x14ac:dyDescent="0.35">
      <c r="A2605" s="26" t="s">
        <v>543</v>
      </c>
      <c r="B2605" s="26" t="s">
        <v>543</v>
      </c>
      <c r="C2605" s="26"/>
      <c r="D2605" s="26" t="s">
        <v>543</v>
      </c>
      <c r="E2605" s="26" t="str">
        <f>IFERROR(VLOOKUP(G2605,WholesaleExtract!B:J,9,FALSE),"")</f>
        <v/>
      </c>
      <c r="F2605" s="26" t="str">
        <f>IFERROR(VLOOKUP(G2605,WholesaleExtract!B:J,6,FALSE),"")</f>
        <v/>
      </c>
      <c r="H2605" s="47" t="str">
        <f>IFERROR(VLOOKUP(G2605,WholesaleExtract!B:L,11,FALSE),"")</f>
        <v/>
      </c>
      <c r="I2605" s="26" t="str">
        <f>IFERROR(VLOOKUP(G2605,WholesaleExtract!B:O,8,FALSE),"")</f>
        <v/>
      </c>
      <c r="J2605" s="26" t="str">
        <f>IFERROR(VLOOKUP(G2605,WholesaleExtract!B:O,14,FALSE),"")</f>
        <v/>
      </c>
      <c r="K2605" s="26" t="str">
        <f>IFERROR(VLOOKUP(G2605,WholesaleExtract!B:K,10,FALSE),"")</f>
        <v/>
      </c>
      <c r="L2605" s="47" t="str">
        <f>IFERROR(VLOOKUP(G2605,WholesaleExtract!B:L,11,FALSE),"")</f>
        <v/>
      </c>
      <c r="M2605" s="47" t="str">
        <f>IFERROR(VLOOKUP(G2605,WholesaleExtract!B:M,12,FALSE),"")</f>
        <v/>
      </c>
      <c r="R2605" s="19"/>
      <c r="S2605" s="19"/>
    </row>
    <row r="2606" spans="1:19" x14ac:dyDescent="0.35">
      <c r="A2606" s="26" t="s">
        <v>543</v>
      </c>
      <c r="B2606" s="26" t="s">
        <v>543</v>
      </c>
      <c r="C2606" s="26"/>
      <c r="D2606" s="26" t="s">
        <v>543</v>
      </c>
      <c r="E2606" s="26" t="str">
        <f>IFERROR(VLOOKUP(G2606,WholesaleExtract!B:J,9,FALSE),"")</f>
        <v/>
      </c>
      <c r="F2606" s="26" t="str">
        <f>IFERROR(VLOOKUP(G2606,WholesaleExtract!B:J,6,FALSE),"")</f>
        <v/>
      </c>
      <c r="H2606" s="47" t="str">
        <f>IFERROR(VLOOKUP(G2606,WholesaleExtract!B:L,11,FALSE),"")</f>
        <v/>
      </c>
      <c r="I2606" s="26" t="str">
        <f>IFERROR(VLOOKUP(G2606,WholesaleExtract!B:O,8,FALSE),"")</f>
        <v/>
      </c>
      <c r="J2606" s="26" t="str">
        <f>IFERROR(VLOOKUP(G2606,WholesaleExtract!B:O,14,FALSE),"")</f>
        <v/>
      </c>
      <c r="K2606" s="26" t="str">
        <f>IFERROR(VLOOKUP(G2606,WholesaleExtract!B:K,10,FALSE),"")</f>
        <v/>
      </c>
      <c r="L2606" s="47" t="str">
        <f>IFERROR(VLOOKUP(G2606,WholesaleExtract!B:L,11,FALSE),"")</f>
        <v/>
      </c>
      <c r="M2606" s="47" t="str">
        <f>IFERROR(VLOOKUP(G2606,WholesaleExtract!B:M,12,FALSE),"")</f>
        <v/>
      </c>
      <c r="R2606" s="19"/>
      <c r="S2606" s="19"/>
    </row>
    <row r="2607" spans="1:19" x14ac:dyDescent="0.35">
      <c r="A2607" s="26" t="s">
        <v>543</v>
      </c>
      <c r="B2607" s="26" t="s">
        <v>543</v>
      </c>
      <c r="C2607" s="26"/>
      <c r="D2607" s="26" t="s">
        <v>543</v>
      </c>
      <c r="E2607" s="26" t="str">
        <f>IFERROR(VLOOKUP(G2607,WholesaleExtract!B:J,9,FALSE),"")</f>
        <v/>
      </c>
      <c r="F2607" s="26" t="str">
        <f>IFERROR(VLOOKUP(G2607,WholesaleExtract!B:J,6,FALSE),"")</f>
        <v/>
      </c>
      <c r="H2607" s="47" t="str">
        <f>IFERROR(VLOOKUP(G2607,WholesaleExtract!B:L,11,FALSE),"")</f>
        <v/>
      </c>
      <c r="I2607" s="26" t="str">
        <f>IFERROR(VLOOKUP(G2607,WholesaleExtract!B:O,8,FALSE),"")</f>
        <v/>
      </c>
      <c r="J2607" s="26" t="str">
        <f>IFERROR(VLOOKUP(G2607,WholesaleExtract!B:O,14,FALSE),"")</f>
        <v/>
      </c>
      <c r="K2607" s="26" t="str">
        <f>IFERROR(VLOOKUP(G2607,WholesaleExtract!B:K,10,FALSE),"")</f>
        <v/>
      </c>
      <c r="L2607" s="47" t="str">
        <f>IFERROR(VLOOKUP(G2607,WholesaleExtract!B:L,11,FALSE),"")</f>
        <v/>
      </c>
      <c r="M2607" s="47" t="str">
        <f>IFERROR(VLOOKUP(G2607,WholesaleExtract!B:M,12,FALSE),"")</f>
        <v/>
      </c>
      <c r="R2607" s="19"/>
      <c r="S2607" s="19"/>
    </row>
    <row r="2608" spans="1:19" x14ac:dyDescent="0.35">
      <c r="A2608" s="26" t="s">
        <v>543</v>
      </c>
      <c r="B2608" s="26" t="s">
        <v>543</v>
      </c>
      <c r="C2608" s="26"/>
      <c r="D2608" s="26" t="s">
        <v>543</v>
      </c>
      <c r="E2608" s="26" t="str">
        <f>IFERROR(VLOOKUP(G2608,WholesaleExtract!B:J,9,FALSE),"")</f>
        <v/>
      </c>
      <c r="F2608" s="26" t="str">
        <f>IFERROR(VLOOKUP(G2608,WholesaleExtract!B:J,6,FALSE),"")</f>
        <v/>
      </c>
      <c r="H2608" s="47" t="str">
        <f>IFERROR(VLOOKUP(G2608,WholesaleExtract!B:L,11,FALSE),"")</f>
        <v/>
      </c>
      <c r="I2608" s="26" t="str">
        <f>IFERROR(VLOOKUP(G2608,WholesaleExtract!B:O,8,FALSE),"")</f>
        <v/>
      </c>
      <c r="J2608" s="26" t="str">
        <f>IFERROR(VLOOKUP(G2608,WholesaleExtract!B:O,14,FALSE),"")</f>
        <v/>
      </c>
      <c r="K2608" s="26" t="str">
        <f>IFERROR(VLOOKUP(G2608,WholesaleExtract!B:K,10,FALSE),"")</f>
        <v/>
      </c>
      <c r="L2608" s="47" t="str">
        <f>IFERROR(VLOOKUP(G2608,WholesaleExtract!B:L,11,FALSE),"")</f>
        <v/>
      </c>
      <c r="M2608" s="47" t="str">
        <f>IFERROR(VLOOKUP(G2608,WholesaleExtract!B:M,12,FALSE),"")</f>
        <v/>
      </c>
      <c r="R2608" s="19"/>
      <c r="S2608" s="19"/>
    </row>
    <row r="2609" spans="1:19" x14ac:dyDescent="0.35">
      <c r="A2609" s="26" t="s">
        <v>543</v>
      </c>
      <c r="B2609" s="26" t="s">
        <v>543</v>
      </c>
      <c r="C2609" s="26"/>
      <c r="D2609" s="26" t="s">
        <v>543</v>
      </c>
      <c r="E2609" s="26" t="str">
        <f>IFERROR(VLOOKUP(G2609,WholesaleExtract!B:J,9,FALSE),"")</f>
        <v/>
      </c>
      <c r="F2609" s="26" t="str">
        <f>IFERROR(VLOOKUP(G2609,WholesaleExtract!B:J,6,FALSE),"")</f>
        <v/>
      </c>
      <c r="H2609" s="47" t="str">
        <f>IFERROR(VLOOKUP(G2609,WholesaleExtract!B:L,11,FALSE),"")</f>
        <v/>
      </c>
      <c r="I2609" s="26" t="str">
        <f>IFERROR(VLOOKUP(G2609,WholesaleExtract!B:O,8,FALSE),"")</f>
        <v/>
      </c>
      <c r="J2609" s="26" t="str">
        <f>IFERROR(VLOOKUP(G2609,WholesaleExtract!B:O,14,FALSE),"")</f>
        <v/>
      </c>
      <c r="K2609" s="26" t="str">
        <f>IFERROR(VLOOKUP(G2609,WholesaleExtract!B:K,10,FALSE),"")</f>
        <v/>
      </c>
      <c r="L2609" s="47" t="str">
        <f>IFERROR(VLOOKUP(G2609,WholesaleExtract!B:L,11,FALSE),"")</f>
        <v/>
      </c>
      <c r="M2609" s="47" t="str">
        <f>IFERROR(VLOOKUP(G2609,WholesaleExtract!B:M,12,FALSE),"")</f>
        <v/>
      </c>
      <c r="R2609" s="19"/>
      <c r="S2609" s="19"/>
    </row>
    <row r="2610" spans="1:19" x14ac:dyDescent="0.35">
      <c r="A2610" s="26" t="s">
        <v>543</v>
      </c>
      <c r="B2610" s="26" t="s">
        <v>543</v>
      </c>
      <c r="C2610" s="26"/>
      <c r="D2610" s="26" t="s">
        <v>543</v>
      </c>
      <c r="E2610" s="26" t="str">
        <f>IFERROR(VLOOKUP(G2610,WholesaleExtract!B:J,9,FALSE),"")</f>
        <v/>
      </c>
      <c r="F2610" s="26" t="str">
        <f>IFERROR(VLOOKUP(G2610,WholesaleExtract!B:J,6,FALSE),"")</f>
        <v/>
      </c>
      <c r="H2610" s="47" t="str">
        <f>IFERROR(VLOOKUP(G2610,WholesaleExtract!B:L,11,FALSE),"")</f>
        <v/>
      </c>
      <c r="I2610" s="26" t="str">
        <f>IFERROR(VLOOKUP(G2610,WholesaleExtract!B:O,8,FALSE),"")</f>
        <v/>
      </c>
      <c r="J2610" s="26" t="str">
        <f>IFERROR(VLOOKUP(G2610,WholesaleExtract!B:O,14,FALSE),"")</f>
        <v/>
      </c>
      <c r="K2610" s="26" t="str">
        <f>IFERROR(VLOOKUP(G2610,WholesaleExtract!B:K,10,FALSE),"")</f>
        <v/>
      </c>
      <c r="L2610" s="47" t="str">
        <f>IFERROR(VLOOKUP(G2610,WholesaleExtract!B:L,11,FALSE),"")</f>
        <v/>
      </c>
      <c r="M2610" s="47" t="str">
        <f>IFERROR(VLOOKUP(G2610,WholesaleExtract!B:M,12,FALSE),"")</f>
        <v/>
      </c>
      <c r="R2610" s="19"/>
      <c r="S2610" s="19"/>
    </row>
    <row r="2611" spans="1:19" x14ac:dyDescent="0.35">
      <c r="A2611" s="26" t="s">
        <v>543</v>
      </c>
      <c r="B2611" s="26" t="s">
        <v>543</v>
      </c>
      <c r="C2611" s="26"/>
      <c r="D2611" s="26" t="s">
        <v>543</v>
      </c>
      <c r="E2611" s="26" t="str">
        <f>IFERROR(VLOOKUP(G2611,WholesaleExtract!B:J,9,FALSE),"")</f>
        <v/>
      </c>
      <c r="F2611" s="26" t="str">
        <f>IFERROR(VLOOKUP(G2611,WholesaleExtract!B:J,6,FALSE),"")</f>
        <v/>
      </c>
      <c r="H2611" s="47" t="str">
        <f>IFERROR(VLOOKUP(G2611,WholesaleExtract!B:L,11,FALSE),"")</f>
        <v/>
      </c>
      <c r="I2611" s="26" t="str">
        <f>IFERROR(VLOOKUP(G2611,WholesaleExtract!B:O,8,FALSE),"")</f>
        <v/>
      </c>
      <c r="J2611" s="26" t="str">
        <f>IFERROR(VLOOKUP(G2611,WholesaleExtract!B:O,14,FALSE),"")</f>
        <v/>
      </c>
      <c r="K2611" s="26" t="str">
        <f>IFERROR(VLOOKUP(G2611,WholesaleExtract!B:K,10,FALSE),"")</f>
        <v/>
      </c>
      <c r="L2611" s="47" t="str">
        <f>IFERROR(VLOOKUP(G2611,WholesaleExtract!B:L,11,FALSE),"")</f>
        <v/>
      </c>
      <c r="M2611" s="47" t="str">
        <f>IFERROR(VLOOKUP(G2611,WholesaleExtract!B:M,12,FALSE),"")</f>
        <v/>
      </c>
      <c r="R2611" s="19"/>
      <c r="S2611" s="19"/>
    </row>
    <row r="2612" spans="1:19" x14ac:dyDescent="0.35">
      <c r="A2612" s="26" t="s">
        <v>543</v>
      </c>
      <c r="B2612" s="26" t="s">
        <v>543</v>
      </c>
      <c r="C2612" s="26"/>
      <c r="D2612" s="26" t="s">
        <v>543</v>
      </c>
      <c r="E2612" s="26" t="str">
        <f>IFERROR(VLOOKUP(G2612,WholesaleExtract!B:J,9,FALSE),"")</f>
        <v/>
      </c>
      <c r="F2612" s="26" t="str">
        <f>IFERROR(VLOOKUP(G2612,WholesaleExtract!B:J,6,FALSE),"")</f>
        <v/>
      </c>
      <c r="H2612" s="47" t="str">
        <f>IFERROR(VLOOKUP(G2612,WholesaleExtract!B:L,11,FALSE),"")</f>
        <v/>
      </c>
      <c r="I2612" s="26" t="str">
        <f>IFERROR(VLOOKUP(G2612,WholesaleExtract!B:O,8,FALSE),"")</f>
        <v/>
      </c>
      <c r="J2612" s="26" t="str">
        <f>IFERROR(VLOOKUP(G2612,WholesaleExtract!B:O,14,FALSE),"")</f>
        <v/>
      </c>
      <c r="K2612" s="26" t="str">
        <f>IFERROR(VLOOKUP(G2612,WholesaleExtract!B:K,10,FALSE),"")</f>
        <v/>
      </c>
      <c r="L2612" s="47" t="str">
        <f>IFERROR(VLOOKUP(G2612,WholesaleExtract!B:L,11,FALSE),"")</f>
        <v/>
      </c>
      <c r="M2612" s="47" t="str">
        <f>IFERROR(VLOOKUP(G2612,WholesaleExtract!B:M,12,FALSE),"")</f>
        <v/>
      </c>
      <c r="R2612" s="19"/>
      <c r="S2612" s="19"/>
    </row>
    <row r="2613" spans="1:19" x14ac:dyDescent="0.35">
      <c r="A2613" s="26" t="s">
        <v>543</v>
      </c>
      <c r="B2613" s="26" t="s">
        <v>543</v>
      </c>
      <c r="C2613" s="26"/>
      <c r="D2613" s="26" t="s">
        <v>543</v>
      </c>
      <c r="E2613" s="26" t="str">
        <f>IFERROR(VLOOKUP(G2613,WholesaleExtract!B:J,9,FALSE),"")</f>
        <v/>
      </c>
      <c r="F2613" s="26" t="str">
        <f>IFERROR(VLOOKUP(G2613,WholesaleExtract!B:J,6,FALSE),"")</f>
        <v/>
      </c>
      <c r="H2613" s="47" t="str">
        <f>IFERROR(VLOOKUP(G2613,WholesaleExtract!B:L,11,FALSE),"")</f>
        <v/>
      </c>
      <c r="I2613" s="26" t="str">
        <f>IFERROR(VLOOKUP(G2613,WholesaleExtract!B:O,8,FALSE),"")</f>
        <v/>
      </c>
      <c r="J2613" s="26" t="str">
        <f>IFERROR(VLOOKUP(G2613,WholesaleExtract!B:O,14,FALSE),"")</f>
        <v/>
      </c>
      <c r="K2613" s="26" t="str">
        <f>IFERROR(VLOOKUP(G2613,WholesaleExtract!B:K,10,FALSE),"")</f>
        <v/>
      </c>
      <c r="L2613" s="47" t="str">
        <f>IFERROR(VLOOKUP(G2613,WholesaleExtract!B:L,11,FALSE),"")</f>
        <v/>
      </c>
      <c r="M2613" s="47" t="str">
        <f>IFERROR(VLOOKUP(G2613,WholesaleExtract!B:M,12,FALSE),"")</f>
        <v/>
      </c>
      <c r="R2613" s="19"/>
      <c r="S2613" s="19"/>
    </row>
    <row r="2614" spans="1:19" x14ac:dyDescent="0.35">
      <c r="A2614" s="26" t="s">
        <v>543</v>
      </c>
      <c r="B2614" s="26" t="s">
        <v>543</v>
      </c>
      <c r="C2614" s="26"/>
      <c r="D2614" s="26" t="s">
        <v>543</v>
      </c>
      <c r="E2614" s="26" t="str">
        <f>IFERROR(VLOOKUP(G2614,WholesaleExtract!B:J,9,FALSE),"")</f>
        <v/>
      </c>
      <c r="F2614" s="26" t="str">
        <f>IFERROR(VLOOKUP(G2614,WholesaleExtract!B:J,6,FALSE),"")</f>
        <v/>
      </c>
      <c r="H2614" s="47" t="str">
        <f>IFERROR(VLOOKUP(G2614,WholesaleExtract!B:L,11,FALSE),"")</f>
        <v/>
      </c>
      <c r="I2614" s="26" t="str">
        <f>IFERROR(VLOOKUP(G2614,WholesaleExtract!B:O,8,FALSE),"")</f>
        <v/>
      </c>
      <c r="J2614" s="26" t="str">
        <f>IFERROR(VLOOKUP(G2614,WholesaleExtract!B:O,14,FALSE),"")</f>
        <v/>
      </c>
      <c r="K2614" s="26" t="str">
        <f>IFERROR(VLOOKUP(G2614,WholesaleExtract!B:K,10,FALSE),"")</f>
        <v/>
      </c>
      <c r="L2614" s="47" t="str">
        <f>IFERROR(VLOOKUP(G2614,WholesaleExtract!B:L,11,FALSE),"")</f>
        <v/>
      </c>
      <c r="M2614" s="47" t="str">
        <f>IFERROR(VLOOKUP(G2614,WholesaleExtract!B:M,12,FALSE),"")</f>
        <v/>
      </c>
      <c r="R2614" s="19"/>
      <c r="S2614" s="19"/>
    </row>
    <row r="2615" spans="1:19" x14ac:dyDescent="0.35">
      <c r="A2615" s="26" t="s">
        <v>543</v>
      </c>
      <c r="B2615" s="26" t="s">
        <v>543</v>
      </c>
      <c r="C2615" s="26"/>
      <c r="D2615" s="26" t="s">
        <v>543</v>
      </c>
      <c r="E2615" s="26" t="str">
        <f>IFERROR(VLOOKUP(G2615,WholesaleExtract!B:J,9,FALSE),"")</f>
        <v/>
      </c>
      <c r="F2615" s="26" t="str">
        <f>IFERROR(VLOOKUP(G2615,WholesaleExtract!B:J,6,FALSE),"")</f>
        <v/>
      </c>
      <c r="H2615" s="47" t="str">
        <f>IFERROR(VLOOKUP(G2615,WholesaleExtract!B:L,11,FALSE),"")</f>
        <v/>
      </c>
      <c r="I2615" s="26" t="str">
        <f>IFERROR(VLOOKUP(G2615,WholesaleExtract!B:O,8,FALSE),"")</f>
        <v/>
      </c>
      <c r="J2615" s="26" t="str">
        <f>IFERROR(VLOOKUP(G2615,WholesaleExtract!B:O,14,FALSE),"")</f>
        <v/>
      </c>
      <c r="K2615" s="26" t="str">
        <f>IFERROR(VLOOKUP(G2615,WholesaleExtract!B:K,10,FALSE),"")</f>
        <v/>
      </c>
      <c r="L2615" s="47" t="str">
        <f>IFERROR(VLOOKUP(G2615,WholesaleExtract!B:L,11,FALSE),"")</f>
        <v/>
      </c>
      <c r="M2615" s="47" t="str">
        <f>IFERROR(VLOOKUP(G2615,WholesaleExtract!B:M,12,FALSE),"")</f>
        <v/>
      </c>
      <c r="R2615" s="19"/>
      <c r="S2615" s="19"/>
    </row>
    <row r="2616" spans="1:19" x14ac:dyDescent="0.35">
      <c r="A2616" s="26" t="s">
        <v>543</v>
      </c>
      <c r="B2616" s="26" t="s">
        <v>543</v>
      </c>
      <c r="C2616" s="26"/>
      <c r="D2616" s="26" t="s">
        <v>543</v>
      </c>
      <c r="E2616" s="26" t="str">
        <f>IFERROR(VLOOKUP(G2616,WholesaleExtract!B:J,9,FALSE),"")</f>
        <v/>
      </c>
      <c r="F2616" s="26" t="str">
        <f>IFERROR(VLOOKUP(G2616,WholesaleExtract!B:J,6,FALSE),"")</f>
        <v/>
      </c>
      <c r="H2616" s="47" t="str">
        <f>IFERROR(VLOOKUP(G2616,WholesaleExtract!B:L,11,FALSE),"")</f>
        <v/>
      </c>
      <c r="I2616" s="26" t="str">
        <f>IFERROR(VLOOKUP(G2616,WholesaleExtract!B:O,8,FALSE),"")</f>
        <v/>
      </c>
      <c r="J2616" s="26" t="str">
        <f>IFERROR(VLOOKUP(G2616,WholesaleExtract!B:O,14,FALSE),"")</f>
        <v/>
      </c>
      <c r="K2616" s="26" t="str">
        <f>IFERROR(VLOOKUP(G2616,WholesaleExtract!B:K,10,FALSE),"")</f>
        <v/>
      </c>
      <c r="L2616" s="47" t="str">
        <f>IFERROR(VLOOKUP(G2616,WholesaleExtract!B:L,11,FALSE),"")</f>
        <v/>
      </c>
      <c r="M2616" s="47" t="str">
        <f>IFERROR(VLOOKUP(G2616,WholesaleExtract!B:M,12,FALSE),"")</f>
        <v/>
      </c>
      <c r="R2616" s="19"/>
      <c r="S2616" s="19"/>
    </row>
    <row r="2617" spans="1:19" x14ac:dyDescent="0.35">
      <c r="A2617" s="26" t="s">
        <v>543</v>
      </c>
      <c r="B2617" s="26" t="s">
        <v>543</v>
      </c>
      <c r="C2617" s="26"/>
      <c r="D2617" s="26" t="s">
        <v>543</v>
      </c>
      <c r="E2617" s="26" t="str">
        <f>IFERROR(VLOOKUP(G2617,WholesaleExtract!B:J,9,FALSE),"")</f>
        <v/>
      </c>
      <c r="F2617" s="26" t="str">
        <f>IFERROR(VLOOKUP(G2617,WholesaleExtract!B:J,6,FALSE),"")</f>
        <v/>
      </c>
      <c r="H2617" s="47" t="str">
        <f>IFERROR(VLOOKUP(G2617,WholesaleExtract!B:L,11,FALSE),"")</f>
        <v/>
      </c>
      <c r="I2617" s="26" t="str">
        <f>IFERROR(VLOOKUP(G2617,WholesaleExtract!B:O,8,FALSE),"")</f>
        <v/>
      </c>
      <c r="J2617" s="26" t="str">
        <f>IFERROR(VLOOKUP(G2617,WholesaleExtract!B:O,14,FALSE),"")</f>
        <v/>
      </c>
      <c r="K2617" s="26" t="str">
        <f>IFERROR(VLOOKUP(G2617,WholesaleExtract!B:K,10,FALSE),"")</f>
        <v/>
      </c>
      <c r="L2617" s="47" t="str">
        <f>IFERROR(VLOOKUP(G2617,WholesaleExtract!B:L,11,FALSE),"")</f>
        <v/>
      </c>
      <c r="M2617" s="47" t="str">
        <f>IFERROR(VLOOKUP(G2617,WholesaleExtract!B:M,12,FALSE),"")</f>
        <v/>
      </c>
      <c r="R2617" s="19"/>
      <c r="S2617" s="19"/>
    </row>
    <row r="2618" spans="1:19" x14ac:dyDescent="0.35">
      <c r="A2618" s="26" t="s">
        <v>543</v>
      </c>
      <c r="B2618" s="26" t="s">
        <v>543</v>
      </c>
      <c r="C2618" s="26"/>
      <c r="D2618" s="26" t="s">
        <v>543</v>
      </c>
      <c r="E2618" s="26" t="str">
        <f>IFERROR(VLOOKUP(G2618,WholesaleExtract!B:J,9,FALSE),"")</f>
        <v/>
      </c>
      <c r="F2618" s="26" t="str">
        <f>IFERROR(VLOOKUP(G2618,WholesaleExtract!B:J,6,FALSE),"")</f>
        <v/>
      </c>
      <c r="H2618" s="47" t="str">
        <f>IFERROR(VLOOKUP(G2618,WholesaleExtract!B:L,11,FALSE),"")</f>
        <v/>
      </c>
      <c r="I2618" s="26" t="str">
        <f>IFERROR(VLOOKUP(G2618,WholesaleExtract!B:O,8,FALSE),"")</f>
        <v/>
      </c>
      <c r="J2618" s="26" t="str">
        <f>IFERROR(VLOOKUP(G2618,WholesaleExtract!B:O,14,FALSE),"")</f>
        <v/>
      </c>
      <c r="K2618" s="26" t="str">
        <f>IFERROR(VLOOKUP(G2618,WholesaleExtract!B:K,10,FALSE),"")</f>
        <v/>
      </c>
      <c r="L2618" s="47" t="str">
        <f>IFERROR(VLOOKUP(G2618,WholesaleExtract!B:L,11,FALSE),"")</f>
        <v/>
      </c>
      <c r="M2618" s="47" t="str">
        <f>IFERROR(VLOOKUP(G2618,WholesaleExtract!B:M,12,FALSE),"")</f>
        <v/>
      </c>
      <c r="R2618" s="19"/>
      <c r="S2618" s="19"/>
    </row>
    <row r="2619" spans="1:19" x14ac:dyDescent="0.35">
      <c r="A2619" s="26" t="s">
        <v>543</v>
      </c>
      <c r="B2619" s="26" t="s">
        <v>543</v>
      </c>
      <c r="C2619" s="26"/>
      <c r="D2619" s="26" t="s">
        <v>543</v>
      </c>
      <c r="E2619" s="26" t="str">
        <f>IFERROR(VLOOKUP(G2619,WholesaleExtract!B:J,9,FALSE),"")</f>
        <v/>
      </c>
      <c r="F2619" s="26" t="str">
        <f>IFERROR(VLOOKUP(G2619,WholesaleExtract!B:J,6,FALSE),"")</f>
        <v/>
      </c>
      <c r="H2619" s="47" t="str">
        <f>IFERROR(VLOOKUP(G2619,WholesaleExtract!B:L,11,FALSE),"")</f>
        <v/>
      </c>
      <c r="I2619" s="26" t="str">
        <f>IFERROR(VLOOKUP(G2619,WholesaleExtract!B:O,8,FALSE),"")</f>
        <v/>
      </c>
      <c r="J2619" s="26" t="str">
        <f>IFERROR(VLOOKUP(G2619,WholesaleExtract!B:O,14,FALSE),"")</f>
        <v/>
      </c>
      <c r="K2619" s="26" t="str">
        <f>IFERROR(VLOOKUP(G2619,WholesaleExtract!B:K,10,FALSE),"")</f>
        <v/>
      </c>
      <c r="L2619" s="47" t="str">
        <f>IFERROR(VLOOKUP(G2619,WholesaleExtract!B:L,11,FALSE),"")</f>
        <v/>
      </c>
      <c r="M2619" s="47" t="str">
        <f>IFERROR(VLOOKUP(G2619,WholesaleExtract!B:M,12,FALSE),"")</f>
        <v/>
      </c>
      <c r="R2619" s="19"/>
      <c r="S2619" s="19"/>
    </row>
    <row r="2620" spans="1:19" x14ac:dyDescent="0.35">
      <c r="A2620" s="26" t="s">
        <v>543</v>
      </c>
      <c r="B2620" s="26" t="s">
        <v>543</v>
      </c>
      <c r="C2620" s="26"/>
      <c r="D2620" s="26" t="s">
        <v>543</v>
      </c>
      <c r="E2620" s="26" t="str">
        <f>IFERROR(VLOOKUP(G2620,WholesaleExtract!B:J,9,FALSE),"")</f>
        <v/>
      </c>
      <c r="F2620" s="26" t="str">
        <f>IFERROR(VLOOKUP(G2620,WholesaleExtract!B:J,6,FALSE),"")</f>
        <v/>
      </c>
      <c r="H2620" s="47" t="str">
        <f>IFERROR(VLOOKUP(G2620,WholesaleExtract!B:L,11,FALSE),"")</f>
        <v/>
      </c>
      <c r="I2620" s="26" t="str">
        <f>IFERROR(VLOOKUP(G2620,WholesaleExtract!B:O,8,FALSE),"")</f>
        <v/>
      </c>
      <c r="J2620" s="26" t="str">
        <f>IFERROR(VLOOKUP(G2620,WholesaleExtract!B:O,14,FALSE),"")</f>
        <v/>
      </c>
      <c r="K2620" s="26" t="str">
        <f>IFERROR(VLOOKUP(G2620,WholesaleExtract!B:K,10,FALSE),"")</f>
        <v/>
      </c>
      <c r="L2620" s="47" t="str">
        <f>IFERROR(VLOOKUP(G2620,WholesaleExtract!B:L,11,FALSE),"")</f>
        <v/>
      </c>
      <c r="M2620" s="47" t="str">
        <f>IFERROR(VLOOKUP(G2620,WholesaleExtract!B:M,12,FALSE),"")</f>
        <v/>
      </c>
      <c r="R2620" s="19"/>
      <c r="S2620" s="19"/>
    </row>
    <row r="2621" spans="1:19" x14ac:dyDescent="0.35">
      <c r="A2621" s="26" t="s">
        <v>543</v>
      </c>
      <c r="B2621" s="26" t="s">
        <v>543</v>
      </c>
      <c r="C2621" s="26"/>
      <c r="D2621" s="26" t="s">
        <v>543</v>
      </c>
      <c r="E2621" s="26" t="str">
        <f>IFERROR(VLOOKUP(G2621,WholesaleExtract!B:J,9,FALSE),"")</f>
        <v/>
      </c>
      <c r="F2621" s="26" t="str">
        <f>IFERROR(VLOOKUP(G2621,WholesaleExtract!B:J,6,FALSE),"")</f>
        <v/>
      </c>
      <c r="H2621" s="47" t="str">
        <f>IFERROR(VLOOKUP(G2621,WholesaleExtract!B:L,11,FALSE),"")</f>
        <v/>
      </c>
      <c r="I2621" s="26" t="str">
        <f>IFERROR(VLOOKUP(G2621,WholesaleExtract!B:O,8,FALSE),"")</f>
        <v/>
      </c>
      <c r="J2621" s="26" t="str">
        <f>IFERROR(VLOOKUP(G2621,WholesaleExtract!B:O,14,FALSE),"")</f>
        <v/>
      </c>
      <c r="K2621" s="26" t="str">
        <f>IFERROR(VLOOKUP(G2621,WholesaleExtract!B:K,10,FALSE),"")</f>
        <v/>
      </c>
      <c r="L2621" s="47" t="str">
        <f>IFERROR(VLOOKUP(G2621,WholesaleExtract!B:L,11,FALSE),"")</f>
        <v/>
      </c>
      <c r="M2621" s="47" t="str">
        <f>IFERROR(VLOOKUP(G2621,WholesaleExtract!B:M,12,FALSE),"")</f>
        <v/>
      </c>
      <c r="R2621" s="19"/>
      <c r="S2621" s="19"/>
    </row>
    <row r="2622" spans="1:19" x14ac:dyDescent="0.35">
      <c r="A2622" s="26" t="s">
        <v>543</v>
      </c>
      <c r="B2622" s="26" t="s">
        <v>543</v>
      </c>
      <c r="C2622" s="26"/>
      <c r="D2622" s="26" t="s">
        <v>543</v>
      </c>
      <c r="E2622" s="26" t="str">
        <f>IFERROR(VLOOKUP(G2622,WholesaleExtract!B:J,9,FALSE),"")</f>
        <v/>
      </c>
      <c r="F2622" s="26" t="str">
        <f>IFERROR(VLOOKUP(G2622,WholesaleExtract!B:J,6,FALSE),"")</f>
        <v/>
      </c>
      <c r="H2622" s="47" t="str">
        <f>IFERROR(VLOOKUP(G2622,WholesaleExtract!B:L,11,FALSE),"")</f>
        <v/>
      </c>
      <c r="I2622" s="26" t="str">
        <f>IFERROR(VLOOKUP(G2622,WholesaleExtract!B:O,8,FALSE),"")</f>
        <v/>
      </c>
      <c r="J2622" s="26" t="str">
        <f>IFERROR(VLOOKUP(G2622,WholesaleExtract!B:O,14,FALSE),"")</f>
        <v/>
      </c>
      <c r="K2622" s="26" t="str">
        <f>IFERROR(VLOOKUP(G2622,WholesaleExtract!B:K,10,FALSE),"")</f>
        <v/>
      </c>
      <c r="L2622" s="47" t="str">
        <f>IFERROR(VLOOKUP(G2622,WholesaleExtract!B:L,11,FALSE),"")</f>
        <v/>
      </c>
      <c r="M2622" s="47" t="str">
        <f>IFERROR(VLOOKUP(G2622,WholesaleExtract!B:M,12,FALSE),"")</f>
        <v/>
      </c>
      <c r="R2622" s="19"/>
      <c r="S2622" s="19"/>
    </row>
    <row r="2623" spans="1:19" x14ac:dyDescent="0.35">
      <c r="A2623" s="26" t="s">
        <v>543</v>
      </c>
      <c r="B2623" s="26" t="s">
        <v>543</v>
      </c>
      <c r="C2623" s="26"/>
      <c r="D2623" s="26" t="s">
        <v>543</v>
      </c>
      <c r="E2623" s="26" t="str">
        <f>IFERROR(VLOOKUP(G2623,WholesaleExtract!B:J,9,FALSE),"")</f>
        <v/>
      </c>
      <c r="F2623" s="26" t="str">
        <f>IFERROR(VLOOKUP(G2623,WholesaleExtract!B:J,6,FALSE),"")</f>
        <v/>
      </c>
      <c r="H2623" s="47" t="str">
        <f>IFERROR(VLOOKUP(G2623,WholesaleExtract!B:L,11,FALSE),"")</f>
        <v/>
      </c>
      <c r="I2623" s="26" t="str">
        <f>IFERROR(VLOOKUP(G2623,WholesaleExtract!B:O,8,FALSE),"")</f>
        <v/>
      </c>
      <c r="J2623" s="26" t="str">
        <f>IFERROR(VLOOKUP(G2623,WholesaleExtract!B:O,14,FALSE),"")</f>
        <v/>
      </c>
      <c r="K2623" s="26" t="str">
        <f>IFERROR(VLOOKUP(G2623,WholesaleExtract!B:K,10,FALSE),"")</f>
        <v/>
      </c>
      <c r="L2623" s="47" t="str">
        <f>IFERROR(VLOOKUP(G2623,WholesaleExtract!B:L,11,FALSE),"")</f>
        <v/>
      </c>
      <c r="M2623" s="47" t="str">
        <f>IFERROR(VLOOKUP(G2623,WholesaleExtract!B:M,12,FALSE),"")</f>
        <v/>
      </c>
      <c r="R2623" s="19"/>
      <c r="S2623" s="19"/>
    </row>
    <row r="2624" spans="1:19" x14ac:dyDescent="0.35">
      <c r="A2624" s="26" t="s">
        <v>543</v>
      </c>
      <c r="B2624" s="26" t="s">
        <v>543</v>
      </c>
      <c r="C2624" s="26"/>
      <c r="D2624" s="26" t="s">
        <v>543</v>
      </c>
      <c r="E2624" s="26" t="str">
        <f>IFERROR(VLOOKUP(G2624,WholesaleExtract!B:J,9,FALSE),"")</f>
        <v/>
      </c>
      <c r="F2624" s="26" t="str">
        <f>IFERROR(VLOOKUP(G2624,WholesaleExtract!B:J,6,FALSE),"")</f>
        <v/>
      </c>
      <c r="H2624" s="47" t="str">
        <f>IFERROR(VLOOKUP(G2624,WholesaleExtract!B:L,11,FALSE),"")</f>
        <v/>
      </c>
      <c r="I2624" s="26" t="str">
        <f>IFERROR(VLOOKUP(G2624,WholesaleExtract!B:O,8,FALSE),"")</f>
        <v/>
      </c>
      <c r="J2624" s="26" t="str">
        <f>IFERROR(VLOOKUP(G2624,WholesaleExtract!B:O,14,FALSE),"")</f>
        <v/>
      </c>
      <c r="K2624" s="26" t="str">
        <f>IFERROR(VLOOKUP(G2624,WholesaleExtract!B:K,10,FALSE),"")</f>
        <v/>
      </c>
      <c r="L2624" s="47" t="str">
        <f>IFERROR(VLOOKUP(G2624,WholesaleExtract!B:L,11,FALSE),"")</f>
        <v/>
      </c>
      <c r="M2624" s="47" t="str">
        <f>IFERROR(VLOOKUP(G2624,WholesaleExtract!B:M,12,FALSE),"")</f>
        <v/>
      </c>
      <c r="R2624" s="19"/>
      <c r="S2624" s="19"/>
    </row>
    <row r="2625" spans="1:19" x14ac:dyDescent="0.35">
      <c r="A2625" s="26" t="s">
        <v>543</v>
      </c>
      <c r="B2625" s="26" t="s">
        <v>543</v>
      </c>
      <c r="C2625" s="26"/>
      <c r="D2625" s="26" t="s">
        <v>543</v>
      </c>
      <c r="E2625" s="26" t="str">
        <f>IFERROR(VLOOKUP(G2625,WholesaleExtract!B:J,9,FALSE),"")</f>
        <v/>
      </c>
      <c r="F2625" s="26" t="str">
        <f>IFERROR(VLOOKUP(G2625,WholesaleExtract!B:J,6,FALSE),"")</f>
        <v/>
      </c>
      <c r="H2625" s="47" t="str">
        <f>IFERROR(VLOOKUP(G2625,WholesaleExtract!B:L,11,FALSE),"")</f>
        <v/>
      </c>
      <c r="I2625" s="26" t="str">
        <f>IFERROR(VLOOKUP(G2625,WholesaleExtract!B:O,8,FALSE),"")</f>
        <v/>
      </c>
      <c r="J2625" s="26" t="str">
        <f>IFERROR(VLOOKUP(G2625,WholesaleExtract!B:O,14,FALSE),"")</f>
        <v/>
      </c>
      <c r="K2625" s="26" t="str">
        <f>IFERROR(VLOOKUP(G2625,WholesaleExtract!B:K,10,FALSE),"")</f>
        <v/>
      </c>
      <c r="L2625" s="47" t="str">
        <f>IFERROR(VLOOKUP(G2625,WholesaleExtract!B:L,11,FALSE),"")</f>
        <v/>
      </c>
      <c r="M2625" s="47" t="str">
        <f>IFERROR(VLOOKUP(G2625,WholesaleExtract!B:M,12,FALSE),"")</f>
        <v/>
      </c>
      <c r="R2625" s="19"/>
      <c r="S2625" s="19"/>
    </row>
    <row r="2626" spans="1:19" x14ac:dyDescent="0.35">
      <c r="A2626" s="26" t="s">
        <v>543</v>
      </c>
      <c r="B2626" s="26" t="s">
        <v>543</v>
      </c>
      <c r="C2626" s="26"/>
      <c r="D2626" s="26" t="s">
        <v>543</v>
      </c>
      <c r="E2626" s="26" t="str">
        <f>IFERROR(VLOOKUP(G2626,WholesaleExtract!B:J,9,FALSE),"")</f>
        <v/>
      </c>
      <c r="F2626" s="26" t="str">
        <f>IFERROR(VLOOKUP(G2626,WholesaleExtract!B:J,6,FALSE),"")</f>
        <v/>
      </c>
      <c r="H2626" s="47" t="str">
        <f>IFERROR(VLOOKUP(G2626,WholesaleExtract!B:L,11,FALSE),"")</f>
        <v/>
      </c>
      <c r="I2626" s="26" t="str">
        <f>IFERROR(VLOOKUP(G2626,WholesaleExtract!B:O,8,FALSE),"")</f>
        <v/>
      </c>
      <c r="J2626" s="26" t="str">
        <f>IFERROR(VLOOKUP(G2626,WholesaleExtract!B:O,14,FALSE),"")</f>
        <v/>
      </c>
      <c r="K2626" s="26" t="str">
        <f>IFERROR(VLOOKUP(G2626,WholesaleExtract!B:K,10,FALSE),"")</f>
        <v/>
      </c>
      <c r="L2626" s="47" t="str">
        <f>IFERROR(VLOOKUP(G2626,WholesaleExtract!B:L,11,FALSE),"")</f>
        <v/>
      </c>
      <c r="M2626" s="47" t="str">
        <f>IFERROR(VLOOKUP(G2626,WholesaleExtract!B:M,12,FALSE),"")</f>
        <v/>
      </c>
      <c r="R2626" s="19"/>
      <c r="S2626" s="19"/>
    </row>
    <row r="2627" spans="1:19" x14ac:dyDescent="0.35">
      <c r="A2627" s="26" t="s">
        <v>543</v>
      </c>
      <c r="B2627" s="26" t="s">
        <v>543</v>
      </c>
      <c r="C2627" s="26"/>
      <c r="D2627" s="26" t="s">
        <v>543</v>
      </c>
      <c r="E2627" s="26" t="str">
        <f>IFERROR(VLOOKUP(G2627,WholesaleExtract!B:J,9,FALSE),"")</f>
        <v/>
      </c>
      <c r="F2627" s="26" t="str">
        <f>IFERROR(VLOOKUP(G2627,WholesaleExtract!B:J,6,FALSE),"")</f>
        <v/>
      </c>
      <c r="H2627" s="47" t="str">
        <f>IFERROR(VLOOKUP(G2627,WholesaleExtract!B:L,11,FALSE),"")</f>
        <v/>
      </c>
      <c r="I2627" s="26" t="str">
        <f>IFERROR(VLOOKUP(G2627,WholesaleExtract!B:O,8,FALSE),"")</f>
        <v/>
      </c>
      <c r="J2627" s="26" t="str">
        <f>IFERROR(VLOOKUP(G2627,WholesaleExtract!B:O,14,FALSE),"")</f>
        <v/>
      </c>
      <c r="K2627" s="26" t="str">
        <f>IFERROR(VLOOKUP(G2627,WholesaleExtract!B:K,10,FALSE),"")</f>
        <v/>
      </c>
      <c r="L2627" s="47" t="str">
        <f>IFERROR(VLOOKUP(G2627,WholesaleExtract!B:L,11,FALSE),"")</f>
        <v/>
      </c>
      <c r="M2627" s="47" t="str">
        <f>IFERROR(VLOOKUP(G2627,WholesaleExtract!B:M,12,FALSE),"")</f>
        <v/>
      </c>
      <c r="R2627" s="19"/>
      <c r="S2627" s="19"/>
    </row>
    <row r="2628" spans="1:19" x14ac:dyDescent="0.35">
      <c r="A2628" s="26" t="s">
        <v>543</v>
      </c>
      <c r="B2628" s="26" t="s">
        <v>543</v>
      </c>
      <c r="C2628" s="26"/>
      <c r="D2628" s="26" t="s">
        <v>543</v>
      </c>
      <c r="E2628" s="26" t="str">
        <f>IFERROR(VLOOKUP(G2628,WholesaleExtract!B:J,9,FALSE),"")</f>
        <v/>
      </c>
      <c r="F2628" s="26" t="str">
        <f>IFERROR(VLOOKUP(G2628,WholesaleExtract!B:J,6,FALSE),"")</f>
        <v/>
      </c>
      <c r="H2628" s="47" t="str">
        <f>IFERROR(VLOOKUP(G2628,WholesaleExtract!B:L,11,FALSE),"")</f>
        <v/>
      </c>
      <c r="I2628" s="26" t="str">
        <f>IFERROR(VLOOKUP(G2628,WholesaleExtract!B:O,8,FALSE),"")</f>
        <v/>
      </c>
      <c r="J2628" s="26" t="str">
        <f>IFERROR(VLOOKUP(G2628,WholesaleExtract!B:O,14,FALSE),"")</f>
        <v/>
      </c>
      <c r="K2628" s="26" t="str">
        <f>IFERROR(VLOOKUP(G2628,WholesaleExtract!B:K,10,FALSE),"")</f>
        <v/>
      </c>
      <c r="L2628" s="47" t="str">
        <f>IFERROR(VLOOKUP(G2628,WholesaleExtract!B:L,11,FALSE),"")</f>
        <v/>
      </c>
      <c r="M2628" s="47" t="str">
        <f>IFERROR(VLOOKUP(G2628,WholesaleExtract!B:M,12,FALSE),"")</f>
        <v/>
      </c>
      <c r="R2628" s="19"/>
      <c r="S2628" s="19"/>
    </row>
    <row r="2629" spans="1:19" x14ac:dyDescent="0.35">
      <c r="A2629" s="26" t="s">
        <v>543</v>
      </c>
      <c r="B2629" s="26" t="s">
        <v>543</v>
      </c>
      <c r="C2629" s="26"/>
      <c r="D2629" s="26" t="s">
        <v>543</v>
      </c>
      <c r="E2629" s="26" t="str">
        <f>IFERROR(VLOOKUP(G2629,WholesaleExtract!B:J,9,FALSE),"")</f>
        <v/>
      </c>
      <c r="F2629" s="26" t="str">
        <f>IFERROR(VLOOKUP(G2629,WholesaleExtract!B:J,6,FALSE),"")</f>
        <v/>
      </c>
      <c r="H2629" s="47" t="str">
        <f>IFERROR(VLOOKUP(G2629,WholesaleExtract!B:L,11,FALSE),"")</f>
        <v/>
      </c>
      <c r="I2629" s="26" t="str">
        <f>IFERROR(VLOOKUP(G2629,WholesaleExtract!B:O,8,FALSE),"")</f>
        <v/>
      </c>
      <c r="J2629" s="26" t="str">
        <f>IFERROR(VLOOKUP(G2629,WholesaleExtract!B:O,14,FALSE),"")</f>
        <v/>
      </c>
      <c r="K2629" s="26" t="str">
        <f>IFERROR(VLOOKUP(G2629,WholesaleExtract!B:K,10,FALSE),"")</f>
        <v/>
      </c>
      <c r="L2629" s="47" t="str">
        <f>IFERROR(VLOOKUP(G2629,WholesaleExtract!B:L,11,FALSE),"")</f>
        <v/>
      </c>
      <c r="M2629" s="47" t="str">
        <f>IFERROR(VLOOKUP(G2629,WholesaleExtract!B:M,12,FALSE),"")</f>
        <v/>
      </c>
      <c r="R2629" s="19"/>
      <c r="S2629" s="19"/>
    </row>
    <row r="2630" spans="1:19" x14ac:dyDescent="0.35">
      <c r="A2630" s="26" t="s">
        <v>543</v>
      </c>
      <c r="B2630" s="26" t="s">
        <v>543</v>
      </c>
      <c r="C2630" s="26"/>
      <c r="D2630" s="26" t="s">
        <v>543</v>
      </c>
      <c r="E2630" s="26" t="str">
        <f>IFERROR(VLOOKUP(G2630,WholesaleExtract!B:J,9,FALSE),"")</f>
        <v/>
      </c>
      <c r="F2630" s="26" t="str">
        <f>IFERROR(VLOOKUP(G2630,WholesaleExtract!B:J,6,FALSE),"")</f>
        <v/>
      </c>
      <c r="H2630" s="47" t="str">
        <f>IFERROR(VLOOKUP(G2630,WholesaleExtract!B:L,11,FALSE),"")</f>
        <v/>
      </c>
      <c r="I2630" s="26" t="str">
        <f>IFERROR(VLOOKUP(G2630,WholesaleExtract!B:O,8,FALSE),"")</f>
        <v/>
      </c>
      <c r="J2630" s="26" t="str">
        <f>IFERROR(VLOOKUP(G2630,WholesaleExtract!B:O,14,FALSE),"")</f>
        <v/>
      </c>
      <c r="K2630" s="26" t="str">
        <f>IFERROR(VLOOKUP(G2630,WholesaleExtract!B:K,10,FALSE),"")</f>
        <v/>
      </c>
      <c r="L2630" s="47" t="str">
        <f>IFERROR(VLOOKUP(G2630,WholesaleExtract!B:L,11,FALSE),"")</f>
        <v/>
      </c>
      <c r="M2630" s="47" t="str">
        <f>IFERROR(VLOOKUP(G2630,WholesaleExtract!B:M,12,FALSE),"")</f>
        <v/>
      </c>
      <c r="R2630" s="19"/>
      <c r="S2630" s="19"/>
    </row>
    <row r="2631" spans="1:19" x14ac:dyDescent="0.35">
      <c r="A2631" s="26" t="s">
        <v>543</v>
      </c>
      <c r="B2631" s="26" t="s">
        <v>543</v>
      </c>
      <c r="C2631" s="26"/>
      <c r="D2631" s="26" t="s">
        <v>543</v>
      </c>
      <c r="E2631" s="26" t="str">
        <f>IFERROR(VLOOKUP(G2631,WholesaleExtract!B:J,9,FALSE),"")</f>
        <v/>
      </c>
      <c r="F2631" s="26" t="str">
        <f>IFERROR(VLOOKUP(G2631,WholesaleExtract!B:J,6,FALSE),"")</f>
        <v/>
      </c>
      <c r="H2631" s="47" t="str">
        <f>IFERROR(VLOOKUP(G2631,WholesaleExtract!B:L,11,FALSE),"")</f>
        <v/>
      </c>
      <c r="I2631" s="26" t="str">
        <f>IFERROR(VLOOKUP(G2631,WholesaleExtract!B:O,8,FALSE),"")</f>
        <v/>
      </c>
      <c r="J2631" s="26" t="str">
        <f>IFERROR(VLOOKUP(G2631,WholesaleExtract!B:O,14,FALSE),"")</f>
        <v/>
      </c>
      <c r="K2631" s="26" t="str">
        <f>IFERROR(VLOOKUP(G2631,WholesaleExtract!B:K,10,FALSE),"")</f>
        <v/>
      </c>
      <c r="L2631" s="47" t="str">
        <f>IFERROR(VLOOKUP(G2631,WholesaleExtract!B:L,11,FALSE),"")</f>
        <v/>
      </c>
      <c r="M2631" s="47" t="str">
        <f>IFERROR(VLOOKUP(G2631,WholesaleExtract!B:M,12,FALSE),"")</f>
        <v/>
      </c>
      <c r="R2631" s="19"/>
      <c r="S2631" s="19"/>
    </row>
    <row r="2632" spans="1:19" x14ac:dyDescent="0.35">
      <c r="A2632" s="26" t="s">
        <v>543</v>
      </c>
      <c r="B2632" s="26" t="s">
        <v>543</v>
      </c>
      <c r="C2632" s="26"/>
      <c r="D2632" s="26" t="s">
        <v>543</v>
      </c>
      <c r="E2632" s="26" t="str">
        <f>IFERROR(VLOOKUP(G2632,WholesaleExtract!B:J,9,FALSE),"")</f>
        <v/>
      </c>
      <c r="F2632" s="26" t="str">
        <f>IFERROR(VLOOKUP(G2632,WholesaleExtract!B:J,6,FALSE),"")</f>
        <v/>
      </c>
      <c r="H2632" s="47" t="str">
        <f>IFERROR(VLOOKUP(G2632,WholesaleExtract!B:L,11,FALSE),"")</f>
        <v/>
      </c>
      <c r="I2632" s="26" t="str">
        <f>IFERROR(VLOOKUP(G2632,WholesaleExtract!B:O,8,FALSE),"")</f>
        <v/>
      </c>
      <c r="J2632" s="26" t="str">
        <f>IFERROR(VLOOKUP(G2632,WholesaleExtract!B:O,14,FALSE),"")</f>
        <v/>
      </c>
      <c r="K2632" s="26" t="str">
        <f>IFERROR(VLOOKUP(G2632,WholesaleExtract!B:K,10,FALSE),"")</f>
        <v/>
      </c>
      <c r="L2632" s="47" t="str">
        <f>IFERROR(VLOOKUP(G2632,WholesaleExtract!B:L,11,FALSE),"")</f>
        <v/>
      </c>
      <c r="M2632" s="47" t="str">
        <f>IFERROR(VLOOKUP(G2632,WholesaleExtract!B:M,12,FALSE),"")</f>
        <v/>
      </c>
      <c r="R2632" s="19"/>
      <c r="S2632" s="19"/>
    </row>
    <row r="2633" spans="1:19" x14ac:dyDescent="0.35">
      <c r="A2633" s="26" t="s">
        <v>543</v>
      </c>
      <c r="B2633" s="26" t="s">
        <v>543</v>
      </c>
      <c r="C2633" s="26"/>
      <c r="D2633" s="26" t="s">
        <v>543</v>
      </c>
      <c r="E2633" s="26" t="str">
        <f>IFERROR(VLOOKUP(G2633,WholesaleExtract!B:J,9,FALSE),"")</f>
        <v/>
      </c>
      <c r="F2633" s="26" t="str">
        <f>IFERROR(VLOOKUP(G2633,WholesaleExtract!B:J,6,FALSE),"")</f>
        <v/>
      </c>
      <c r="H2633" s="47" t="str">
        <f>IFERROR(VLOOKUP(G2633,WholesaleExtract!B:L,11,FALSE),"")</f>
        <v/>
      </c>
      <c r="I2633" s="26" t="str">
        <f>IFERROR(VLOOKUP(G2633,WholesaleExtract!B:O,8,FALSE),"")</f>
        <v/>
      </c>
      <c r="J2633" s="26" t="str">
        <f>IFERROR(VLOOKUP(G2633,WholesaleExtract!B:O,14,FALSE),"")</f>
        <v/>
      </c>
      <c r="K2633" s="26" t="str">
        <f>IFERROR(VLOOKUP(G2633,WholesaleExtract!B:K,10,FALSE),"")</f>
        <v/>
      </c>
      <c r="L2633" s="47" t="str">
        <f>IFERROR(VLOOKUP(G2633,WholesaleExtract!B:L,11,FALSE),"")</f>
        <v/>
      </c>
      <c r="M2633" s="47" t="str">
        <f>IFERROR(VLOOKUP(G2633,WholesaleExtract!B:M,12,FALSE),"")</f>
        <v/>
      </c>
      <c r="R2633" s="19"/>
      <c r="S2633" s="19"/>
    </row>
    <row r="2634" spans="1:19" x14ac:dyDescent="0.35">
      <c r="A2634" s="26" t="s">
        <v>543</v>
      </c>
      <c r="B2634" s="26" t="s">
        <v>543</v>
      </c>
      <c r="C2634" s="26"/>
      <c r="D2634" s="26" t="s">
        <v>543</v>
      </c>
      <c r="E2634" s="26" t="str">
        <f>IFERROR(VLOOKUP(G2634,WholesaleExtract!B:J,9,FALSE),"")</f>
        <v/>
      </c>
      <c r="F2634" s="26" t="str">
        <f>IFERROR(VLOOKUP(G2634,WholesaleExtract!B:J,6,FALSE),"")</f>
        <v/>
      </c>
      <c r="H2634" s="47" t="str">
        <f>IFERROR(VLOOKUP(G2634,WholesaleExtract!B:L,11,FALSE),"")</f>
        <v/>
      </c>
      <c r="I2634" s="26" t="str">
        <f>IFERROR(VLOOKUP(G2634,WholesaleExtract!B:O,8,FALSE),"")</f>
        <v/>
      </c>
      <c r="J2634" s="26" t="str">
        <f>IFERROR(VLOOKUP(G2634,WholesaleExtract!B:O,14,FALSE),"")</f>
        <v/>
      </c>
      <c r="K2634" s="26" t="str">
        <f>IFERROR(VLOOKUP(G2634,WholesaleExtract!B:K,10,FALSE),"")</f>
        <v/>
      </c>
      <c r="L2634" s="47" t="str">
        <f>IFERROR(VLOOKUP(G2634,WholesaleExtract!B:L,11,FALSE),"")</f>
        <v/>
      </c>
      <c r="M2634" s="47" t="str">
        <f>IFERROR(VLOOKUP(G2634,WholesaleExtract!B:M,12,FALSE),"")</f>
        <v/>
      </c>
      <c r="R2634" s="19"/>
      <c r="S2634" s="19"/>
    </row>
    <row r="2635" spans="1:19" x14ac:dyDescent="0.35">
      <c r="A2635" s="26" t="s">
        <v>543</v>
      </c>
      <c r="B2635" s="26" t="s">
        <v>543</v>
      </c>
      <c r="C2635" s="26"/>
      <c r="D2635" s="26" t="s">
        <v>543</v>
      </c>
      <c r="E2635" s="26" t="str">
        <f>IFERROR(VLOOKUP(G2635,WholesaleExtract!B:J,9,FALSE),"")</f>
        <v/>
      </c>
      <c r="F2635" s="26" t="str">
        <f>IFERROR(VLOOKUP(G2635,WholesaleExtract!B:J,6,FALSE),"")</f>
        <v/>
      </c>
      <c r="H2635" s="47" t="str">
        <f>IFERROR(VLOOKUP(G2635,WholesaleExtract!B:L,11,FALSE),"")</f>
        <v/>
      </c>
      <c r="I2635" s="26" t="str">
        <f>IFERROR(VLOOKUP(G2635,WholesaleExtract!B:O,8,FALSE),"")</f>
        <v/>
      </c>
      <c r="J2635" s="26" t="str">
        <f>IFERROR(VLOOKUP(G2635,WholesaleExtract!B:O,14,FALSE),"")</f>
        <v/>
      </c>
      <c r="K2635" s="26" t="str">
        <f>IFERROR(VLOOKUP(G2635,WholesaleExtract!B:K,10,FALSE),"")</f>
        <v/>
      </c>
      <c r="L2635" s="47" t="str">
        <f>IFERROR(VLOOKUP(G2635,WholesaleExtract!B:L,11,FALSE),"")</f>
        <v/>
      </c>
      <c r="M2635" s="47" t="str">
        <f>IFERROR(VLOOKUP(G2635,WholesaleExtract!B:M,12,FALSE),"")</f>
        <v/>
      </c>
      <c r="R2635" s="19"/>
      <c r="S2635" s="19"/>
    </row>
    <row r="2636" spans="1:19" x14ac:dyDescent="0.35">
      <c r="A2636" s="26" t="s">
        <v>543</v>
      </c>
      <c r="B2636" s="26" t="s">
        <v>543</v>
      </c>
      <c r="C2636" s="26"/>
      <c r="D2636" s="26" t="s">
        <v>543</v>
      </c>
      <c r="E2636" s="26" t="str">
        <f>IFERROR(VLOOKUP(G2636,WholesaleExtract!B:J,9,FALSE),"")</f>
        <v/>
      </c>
      <c r="F2636" s="26" t="str">
        <f>IFERROR(VLOOKUP(G2636,WholesaleExtract!B:J,6,FALSE),"")</f>
        <v/>
      </c>
      <c r="H2636" s="47" t="str">
        <f>IFERROR(VLOOKUP(G2636,WholesaleExtract!B:L,11,FALSE),"")</f>
        <v/>
      </c>
      <c r="I2636" s="26" t="str">
        <f>IFERROR(VLOOKUP(G2636,WholesaleExtract!B:O,8,FALSE),"")</f>
        <v/>
      </c>
      <c r="J2636" s="26" t="str">
        <f>IFERROR(VLOOKUP(G2636,WholesaleExtract!B:O,14,FALSE),"")</f>
        <v/>
      </c>
      <c r="K2636" s="26" t="str">
        <f>IFERROR(VLOOKUP(G2636,WholesaleExtract!B:K,10,FALSE),"")</f>
        <v/>
      </c>
      <c r="L2636" s="47" t="str">
        <f>IFERROR(VLOOKUP(G2636,WholesaleExtract!B:L,11,FALSE),"")</f>
        <v/>
      </c>
      <c r="M2636" s="47" t="str">
        <f>IFERROR(VLOOKUP(G2636,WholesaleExtract!B:M,12,FALSE),"")</f>
        <v/>
      </c>
      <c r="R2636" s="19"/>
      <c r="S2636" s="19"/>
    </row>
    <row r="2637" spans="1:19" x14ac:dyDescent="0.35">
      <c r="A2637" s="26" t="s">
        <v>543</v>
      </c>
      <c r="B2637" s="26" t="s">
        <v>543</v>
      </c>
      <c r="C2637" s="26"/>
      <c r="D2637" s="26" t="s">
        <v>543</v>
      </c>
      <c r="E2637" s="26" t="str">
        <f>IFERROR(VLOOKUP(G2637,WholesaleExtract!B:J,9,FALSE),"")</f>
        <v/>
      </c>
      <c r="F2637" s="26" t="str">
        <f>IFERROR(VLOOKUP(G2637,WholesaleExtract!B:J,6,FALSE),"")</f>
        <v/>
      </c>
      <c r="H2637" s="47" t="str">
        <f>IFERROR(VLOOKUP(G2637,WholesaleExtract!B:L,11,FALSE),"")</f>
        <v/>
      </c>
      <c r="I2637" s="26" t="str">
        <f>IFERROR(VLOOKUP(G2637,WholesaleExtract!B:O,8,FALSE),"")</f>
        <v/>
      </c>
      <c r="J2637" s="26" t="str">
        <f>IFERROR(VLOOKUP(G2637,WholesaleExtract!B:O,14,FALSE),"")</f>
        <v/>
      </c>
      <c r="K2637" s="26" t="str">
        <f>IFERROR(VLOOKUP(G2637,WholesaleExtract!B:K,10,FALSE),"")</f>
        <v/>
      </c>
      <c r="L2637" s="47" t="str">
        <f>IFERROR(VLOOKUP(G2637,WholesaleExtract!B:L,11,FALSE),"")</f>
        <v/>
      </c>
      <c r="M2637" s="47" t="str">
        <f>IFERROR(VLOOKUP(G2637,WholesaleExtract!B:M,12,FALSE),"")</f>
        <v/>
      </c>
      <c r="R2637" s="19"/>
      <c r="S2637" s="19"/>
    </row>
    <row r="2638" spans="1:19" x14ac:dyDescent="0.35">
      <c r="A2638" s="26" t="s">
        <v>543</v>
      </c>
      <c r="B2638" s="26" t="s">
        <v>543</v>
      </c>
      <c r="C2638" s="26"/>
      <c r="D2638" s="26" t="s">
        <v>543</v>
      </c>
      <c r="E2638" s="26" t="str">
        <f>IFERROR(VLOOKUP(G2638,WholesaleExtract!B:J,9,FALSE),"")</f>
        <v/>
      </c>
      <c r="F2638" s="26" t="str">
        <f>IFERROR(VLOOKUP(G2638,WholesaleExtract!B:J,6,FALSE),"")</f>
        <v/>
      </c>
      <c r="H2638" s="47" t="str">
        <f>IFERROR(VLOOKUP(G2638,WholesaleExtract!B:L,11,FALSE),"")</f>
        <v/>
      </c>
      <c r="I2638" s="26" t="str">
        <f>IFERROR(VLOOKUP(G2638,WholesaleExtract!B:O,8,FALSE),"")</f>
        <v/>
      </c>
      <c r="J2638" s="26" t="str">
        <f>IFERROR(VLOOKUP(G2638,WholesaleExtract!B:O,14,FALSE),"")</f>
        <v/>
      </c>
      <c r="K2638" s="26" t="str">
        <f>IFERROR(VLOOKUP(G2638,WholesaleExtract!B:K,10,FALSE),"")</f>
        <v/>
      </c>
      <c r="L2638" s="47" t="str">
        <f>IFERROR(VLOOKUP(G2638,WholesaleExtract!B:L,11,FALSE),"")</f>
        <v/>
      </c>
      <c r="M2638" s="47" t="str">
        <f>IFERROR(VLOOKUP(G2638,WholesaleExtract!B:M,12,FALSE),"")</f>
        <v/>
      </c>
      <c r="R2638" s="19"/>
      <c r="S2638" s="19"/>
    </row>
    <row r="2639" spans="1:19" x14ac:dyDescent="0.35">
      <c r="A2639" s="26" t="s">
        <v>543</v>
      </c>
      <c r="B2639" s="26" t="s">
        <v>543</v>
      </c>
      <c r="C2639" s="26"/>
      <c r="D2639" s="26" t="s">
        <v>543</v>
      </c>
      <c r="E2639" s="26" t="str">
        <f>IFERROR(VLOOKUP(G2639,WholesaleExtract!B:J,9,FALSE),"")</f>
        <v/>
      </c>
      <c r="F2639" s="26" t="str">
        <f>IFERROR(VLOOKUP(G2639,WholesaleExtract!B:J,6,FALSE),"")</f>
        <v/>
      </c>
      <c r="H2639" s="47" t="str">
        <f>IFERROR(VLOOKUP(G2639,WholesaleExtract!B:L,11,FALSE),"")</f>
        <v/>
      </c>
      <c r="I2639" s="26" t="str">
        <f>IFERROR(VLOOKUP(G2639,WholesaleExtract!B:O,8,FALSE),"")</f>
        <v/>
      </c>
      <c r="J2639" s="26" t="str">
        <f>IFERROR(VLOOKUP(G2639,WholesaleExtract!B:O,14,FALSE),"")</f>
        <v/>
      </c>
      <c r="K2639" s="26" t="str">
        <f>IFERROR(VLOOKUP(G2639,WholesaleExtract!B:K,10,FALSE),"")</f>
        <v/>
      </c>
      <c r="L2639" s="47" t="str">
        <f>IFERROR(VLOOKUP(G2639,WholesaleExtract!B:L,11,FALSE),"")</f>
        <v/>
      </c>
      <c r="M2639" s="47" t="str">
        <f>IFERROR(VLOOKUP(G2639,WholesaleExtract!B:M,12,FALSE),"")</f>
        <v/>
      </c>
      <c r="R2639" s="19"/>
      <c r="S2639" s="19"/>
    </row>
    <row r="2640" spans="1:19" x14ac:dyDescent="0.35">
      <c r="A2640" s="26" t="s">
        <v>543</v>
      </c>
      <c r="B2640" s="26" t="s">
        <v>543</v>
      </c>
      <c r="C2640" s="26"/>
      <c r="D2640" s="26" t="s">
        <v>543</v>
      </c>
      <c r="E2640" s="26" t="str">
        <f>IFERROR(VLOOKUP(G2640,WholesaleExtract!B:J,9,FALSE),"")</f>
        <v/>
      </c>
      <c r="F2640" s="26" t="str">
        <f>IFERROR(VLOOKUP(G2640,WholesaleExtract!B:J,6,FALSE),"")</f>
        <v/>
      </c>
      <c r="H2640" s="47" t="str">
        <f>IFERROR(VLOOKUP(G2640,WholesaleExtract!B:L,11,FALSE),"")</f>
        <v/>
      </c>
      <c r="I2640" s="26" t="str">
        <f>IFERROR(VLOOKUP(G2640,WholesaleExtract!B:O,8,FALSE),"")</f>
        <v/>
      </c>
      <c r="J2640" s="26" t="str">
        <f>IFERROR(VLOOKUP(G2640,WholesaleExtract!B:O,14,FALSE),"")</f>
        <v/>
      </c>
      <c r="K2640" s="26" t="str">
        <f>IFERROR(VLOOKUP(G2640,WholesaleExtract!B:K,10,FALSE),"")</f>
        <v/>
      </c>
      <c r="L2640" s="47" t="str">
        <f>IFERROR(VLOOKUP(G2640,WholesaleExtract!B:L,11,FALSE),"")</f>
        <v/>
      </c>
      <c r="M2640" s="47" t="str">
        <f>IFERROR(VLOOKUP(G2640,WholesaleExtract!B:M,12,FALSE),"")</f>
        <v/>
      </c>
      <c r="R2640" s="19"/>
      <c r="S2640" s="19"/>
    </row>
    <row r="2641" spans="1:19" x14ac:dyDescent="0.35">
      <c r="A2641" s="26" t="s">
        <v>543</v>
      </c>
      <c r="B2641" s="26" t="s">
        <v>543</v>
      </c>
      <c r="C2641" s="26"/>
      <c r="D2641" s="26" t="s">
        <v>543</v>
      </c>
      <c r="E2641" s="26" t="str">
        <f>IFERROR(VLOOKUP(G2641,WholesaleExtract!B:J,9,FALSE),"")</f>
        <v/>
      </c>
      <c r="F2641" s="26" t="str">
        <f>IFERROR(VLOOKUP(G2641,WholesaleExtract!B:J,6,FALSE),"")</f>
        <v/>
      </c>
      <c r="H2641" s="47" t="str">
        <f>IFERROR(VLOOKUP(G2641,WholesaleExtract!B:L,11,FALSE),"")</f>
        <v/>
      </c>
      <c r="I2641" s="26" t="str">
        <f>IFERROR(VLOOKUP(G2641,WholesaleExtract!B:O,8,FALSE),"")</f>
        <v/>
      </c>
      <c r="J2641" s="26" t="str">
        <f>IFERROR(VLOOKUP(G2641,WholesaleExtract!B:O,14,FALSE),"")</f>
        <v/>
      </c>
      <c r="K2641" s="26" t="str">
        <f>IFERROR(VLOOKUP(G2641,WholesaleExtract!B:K,10,FALSE),"")</f>
        <v/>
      </c>
      <c r="L2641" s="47" t="str">
        <f>IFERROR(VLOOKUP(G2641,WholesaleExtract!B:L,11,FALSE),"")</f>
        <v/>
      </c>
      <c r="M2641" s="47" t="str">
        <f>IFERROR(VLOOKUP(G2641,WholesaleExtract!B:M,12,FALSE),"")</f>
        <v/>
      </c>
      <c r="R2641" s="19"/>
      <c r="S2641" s="19"/>
    </row>
    <row r="2642" spans="1:19" x14ac:dyDescent="0.35">
      <c r="A2642" s="26" t="s">
        <v>543</v>
      </c>
      <c r="B2642" s="26" t="s">
        <v>543</v>
      </c>
      <c r="C2642" s="26"/>
      <c r="D2642" s="26" t="s">
        <v>543</v>
      </c>
      <c r="E2642" s="26" t="str">
        <f>IFERROR(VLOOKUP(G2642,WholesaleExtract!B:J,9,FALSE),"")</f>
        <v/>
      </c>
      <c r="F2642" s="26" t="str">
        <f>IFERROR(VLOOKUP(G2642,WholesaleExtract!B:J,6,FALSE),"")</f>
        <v/>
      </c>
      <c r="H2642" s="47" t="str">
        <f>IFERROR(VLOOKUP(G2642,WholesaleExtract!B:L,11,FALSE),"")</f>
        <v/>
      </c>
      <c r="I2642" s="26" t="str">
        <f>IFERROR(VLOOKUP(G2642,WholesaleExtract!B:O,8,FALSE),"")</f>
        <v/>
      </c>
      <c r="J2642" s="26" t="str">
        <f>IFERROR(VLOOKUP(G2642,WholesaleExtract!B:O,14,FALSE),"")</f>
        <v/>
      </c>
      <c r="K2642" s="26" t="str">
        <f>IFERROR(VLOOKUP(G2642,WholesaleExtract!B:K,10,FALSE),"")</f>
        <v/>
      </c>
      <c r="L2642" s="47" t="str">
        <f>IFERROR(VLOOKUP(G2642,WholesaleExtract!B:L,11,FALSE),"")</f>
        <v/>
      </c>
      <c r="M2642" s="47" t="str">
        <f>IFERROR(VLOOKUP(G2642,WholesaleExtract!B:M,12,FALSE),"")</f>
        <v/>
      </c>
      <c r="R2642" s="19"/>
      <c r="S2642" s="19"/>
    </row>
    <row r="2643" spans="1:19" x14ac:dyDescent="0.35">
      <c r="A2643" s="26" t="s">
        <v>543</v>
      </c>
      <c r="B2643" s="26" t="s">
        <v>543</v>
      </c>
      <c r="C2643" s="26"/>
      <c r="D2643" s="26" t="s">
        <v>543</v>
      </c>
      <c r="E2643" s="26" t="str">
        <f>IFERROR(VLOOKUP(G2643,WholesaleExtract!B:J,9,FALSE),"")</f>
        <v/>
      </c>
      <c r="F2643" s="26" t="str">
        <f>IFERROR(VLOOKUP(G2643,WholesaleExtract!B:J,6,FALSE),"")</f>
        <v/>
      </c>
      <c r="H2643" s="47" t="str">
        <f>IFERROR(VLOOKUP(G2643,WholesaleExtract!B:L,11,FALSE),"")</f>
        <v/>
      </c>
      <c r="I2643" s="26" t="str">
        <f>IFERROR(VLOOKUP(G2643,WholesaleExtract!B:O,8,FALSE),"")</f>
        <v/>
      </c>
      <c r="J2643" s="26" t="str">
        <f>IFERROR(VLOOKUP(G2643,WholesaleExtract!B:O,14,FALSE),"")</f>
        <v/>
      </c>
      <c r="K2643" s="26" t="str">
        <f>IFERROR(VLOOKUP(G2643,WholesaleExtract!B:K,10,FALSE),"")</f>
        <v/>
      </c>
      <c r="L2643" s="47" t="str">
        <f>IFERROR(VLOOKUP(G2643,WholesaleExtract!B:L,11,FALSE),"")</f>
        <v/>
      </c>
      <c r="M2643" s="47" t="str">
        <f>IFERROR(VLOOKUP(G2643,WholesaleExtract!B:M,12,FALSE),"")</f>
        <v/>
      </c>
      <c r="R2643" s="19"/>
      <c r="S2643" s="19"/>
    </row>
    <row r="2644" spans="1:19" x14ac:dyDescent="0.35">
      <c r="A2644" s="26" t="s">
        <v>543</v>
      </c>
      <c r="B2644" s="26" t="s">
        <v>543</v>
      </c>
      <c r="C2644" s="26"/>
      <c r="D2644" s="26" t="s">
        <v>543</v>
      </c>
      <c r="E2644" s="26" t="str">
        <f>IFERROR(VLOOKUP(G2644,WholesaleExtract!B:J,9,FALSE),"")</f>
        <v/>
      </c>
      <c r="F2644" s="26" t="str">
        <f>IFERROR(VLOOKUP(G2644,WholesaleExtract!B:J,6,FALSE),"")</f>
        <v/>
      </c>
      <c r="H2644" s="47" t="str">
        <f>IFERROR(VLOOKUP(G2644,WholesaleExtract!B:L,11,FALSE),"")</f>
        <v/>
      </c>
      <c r="I2644" s="26" t="str">
        <f>IFERROR(VLOOKUP(G2644,WholesaleExtract!B:O,8,FALSE),"")</f>
        <v/>
      </c>
      <c r="J2644" s="26" t="str">
        <f>IFERROR(VLOOKUP(G2644,WholesaleExtract!B:O,14,FALSE),"")</f>
        <v/>
      </c>
      <c r="K2644" s="26" t="str">
        <f>IFERROR(VLOOKUP(G2644,WholesaleExtract!B:K,10,FALSE),"")</f>
        <v/>
      </c>
      <c r="L2644" s="47" t="str">
        <f>IFERROR(VLOOKUP(G2644,WholesaleExtract!B:L,11,FALSE),"")</f>
        <v/>
      </c>
      <c r="M2644" s="47" t="str">
        <f>IFERROR(VLOOKUP(G2644,WholesaleExtract!B:M,12,FALSE),"")</f>
        <v/>
      </c>
      <c r="R2644" s="19"/>
      <c r="S2644" s="19"/>
    </row>
    <row r="2645" spans="1:19" x14ac:dyDescent="0.35">
      <c r="A2645" s="26" t="s">
        <v>543</v>
      </c>
      <c r="B2645" s="26" t="s">
        <v>543</v>
      </c>
      <c r="C2645" s="26"/>
      <c r="D2645" s="26" t="s">
        <v>543</v>
      </c>
      <c r="E2645" s="26" t="str">
        <f>IFERROR(VLOOKUP(G2645,WholesaleExtract!B:J,9,FALSE),"")</f>
        <v/>
      </c>
      <c r="F2645" s="26" t="str">
        <f>IFERROR(VLOOKUP(G2645,WholesaleExtract!B:J,6,FALSE),"")</f>
        <v/>
      </c>
      <c r="H2645" s="47" t="str">
        <f>IFERROR(VLOOKUP(G2645,WholesaleExtract!B:L,11,FALSE),"")</f>
        <v/>
      </c>
      <c r="I2645" s="26" t="str">
        <f>IFERROR(VLOOKUP(G2645,WholesaleExtract!B:O,8,FALSE),"")</f>
        <v/>
      </c>
      <c r="J2645" s="26" t="str">
        <f>IFERROR(VLOOKUP(G2645,WholesaleExtract!B:O,14,FALSE),"")</f>
        <v/>
      </c>
      <c r="K2645" s="26" t="str">
        <f>IFERROR(VLOOKUP(G2645,WholesaleExtract!B:K,10,FALSE),"")</f>
        <v/>
      </c>
      <c r="L2645" s="47" t="str">
        <f>IFERROR(VLOOKUP(G2645,WholesaleExtract!B:L,11,FALSE),"")</f>
        <v/>
      </c>
      <c r="M2645" s="47" t="str">
        <f>IFERROR(VLOOKUP(G2645,WholesaleExtract!B:M,12,FALSE),"")</f>
        <v/>
      </c>
      <c r="R2645" s="19"/>
      <c r="S2645" s="19"/>
    </row>
    <row r="2646" spans="1:19" x14ac:dyDescent="0.35">
      <c r="A2646" s="26" t="s">
        <v>543</v>
      </c>
      <c r="B2646" s="26" t="s">
        <v>543</v>
      </c>
      <c r="C2646" s="26"/>
      <c r="D2646" s="26" t="s">
        <v>543</v>
      </c>
      <c r="E2646" s="26" t="str">
        <f>IFERROR(VLOOKUP(G2646,WholesaleExtract!B:J,9,FALSE),"")</f>
        <v/>
      </c>
      <c r="F2646" s="26" t="str">
        <f>IFERROR(VLOOKUP(G2646,WholesaleExtract!B:J,6,FALSE),"")</f>
        <v/>
      </c>
      <c r="H2646" s="47" t="str">
        <f>IFERROR(VLOOKUP(G2646,WholesaleExtract!B:L,11,FALSE),"")</f>
        <v/>
      </c>
      <c r="I2646" s="26" t="str">
        <f>IFERROR(VLOOKUP(G2646,WholesaleExtract!B:O,8,FALSE),"")</f>
        <v/>
      </c>
      <c r="J2646" s="26" t="str">
        <f>IFERROR(VLOOKUP(G2646,WholesaleExtract!B:O,14,FALSE),"")</f>
        <v/>
      </c>
      <c r="K2646" s="26" t="str">
        <f>IFERROR(VLOOKUP(G2646,WholesaleExtract!B:K,10,FALSE),"")</f>
        <v/>
      </c>
      <c r="L2646" s="47" t="str">
        <f>IFERROR(VLOOKUP(G2646,WholesaleExtract!B:L,11,FALSE),"")</f>
        <v/>
      </c>
      <c r="M2646" s="47" t="str">
        <f>IFERROR(VLOOKUP(G2646,WholesaleExtract!B:M,12,FALSE),"")</f>
        <v/>
      </c>
      <c r="R2646" s="19"/>
      <c r="S2646" s="19"/>
    </row>
    <row r="2647" spans="1:19" x14ac:dyDescent="0.35">
      <c r="A2647" s="26" t="s">
        <v>543</v>
      </c>
      <c r="B2647" s="26" t="s">
        <v>543</v>
      </c>
      <c r="C2647" s="26"/>
      <c r="D2647" s="26" t="s">
        <v>543</v>
      </c>
      <c r="E2647" s="26" t="str">
        <f>IFERROR(VLOOKUP(G2647,WholesaleExtract!B:J,9,FALSE),"")</f>
        <v/>
      </c>
      <c r="F2647" s="26" t="str">
        <f>IFERROR(VLOOKUP(G2647,WholesaleExtract!B:J,6,FALSE),"")</f>
        <v/>
      </c>
      <c r="H2647" s="47" t="str">
        <f>IFERROR(VLOOKUP(G2647,WholesaleExtract!B:L,11,FALSE),"")</f>
        <v/>
      </c>
      <c r="I2647" s="26" t="str">
        <f>IFERROR(VLOOKUP(G2647,WholesaleExtract!B:O,8,FALSE),"")</f>
        <v/>
      </c>
      <c r="J2647" s="26" t="str">
        <f>IFERROR(VLOOKUP(G2647,WholesaleExtract!B:O,14,FALSE),"")</f>
        <v/>
      </c>
      <c r="K2647" s="26" t="str">
        <f>IFERROR(VLOOKUP(G2647,WholesaleExtract!B:K,10,FALSE),"")</f>
        <v/>
      </c>
      <c r="L2647" s="47" t="str">
        <f>IFERROR(VLOOKUP(G2647,WholesaleExtract!B:L,11,FALSE),"")</f>
        <v/>
      </c>
      <c r="M2647" s="47" t="str">
        <f>IFERROR(VLOOKUP(G2647,WholesaleExtract!B:M,12,FALSE),"")</f>
        <v/>
      </c>
      <c r="R2647" s="19"/>
      <c r="S2647" s="19"/>
    </row>
    <row r="2648" spans="1:19" x14ac:dyDescent="0.35">
      <c r="A2648" s="26" t="s">
        <v>543</v>
      </c>
      <c r="B2648" s="26" t="s">
        <v>543</v>
      </c>
      <c r="C2648" s="26"/>
      <c r="D2648" s="26" t="s">
        <v>543</v>
      </c>
      <c r="E2648" s="26" t="str">
        <f>IFERROR(VLOOKUP(G2648,WholesaleExtract!B:J,9,FALSE),"")</f>
        <v/>
      </c>
      <c r="F2648" s="26" t="str">
        <f>IFERROR(VLOOKUP(G2648,WholesaleExtract!B:J,6,FALSE),"")</f>
        <v/>
      </c>
      <c r="H2648" s="47" t="str">
        <f>IFERROR(VLOOKUP(G2648,WholesaleExtract!B:L,11,FALSE),"")</f>
        <v/>
      </c>
      <c r="I2648" s="26" t="str">
        <f>IFERROR(VLOOKUP(G2648,WholesaleExtract!B:O,8,FALSE),"")</f>
        <v/>
      </c>
      <c r="J2648" s="26" t="str">
        <f>IFERROR(VLOOKUP(G2648,WholesaleExtract!B:O,14,FALSE),"")</f>
        <v/>
      </c>
      <c r="K2648" s="26" t="str">
        <f>IFERROR(VLOOKUP(G2648,WholesaleExtract!B:K,10,FALSE),"")</f>
        <v/>
      </c>
      <c r="L2648" s="47" t="str">
        <f>IFERROR(VLOOKUP(G2648,WholesaleExtract!B:L,11,FALSE),"")</f>
        <v/>
      </c>
      <c r="M2648" s="47" t="str">
        <f>IFERROR(VLOOKUP(G2648,WholesaleExtract!B:M,12,FALSE),"")</f>
        <v/>
      </c>
      <c r="R2648" s="19"/>
      <c r="S2648" s="19"/>
    </row>
    <row r="2649" spans="1:19" x14ac:dyDescent="0.35">
      <c r="A2649" s="26" t="s">
        <v>543</v>
      </c>
      <c r="B2649" s="26" t="s">
        <v>543</v>
      </c>
      <c r="C2649" s="26"/>
      <c r="D2649" s="26" t="s">
        <v>543</v>
      </c>
      <c r="E2649" s="26" t="str">
        <f>IFERROR(VLOOKUP(G2649,WholesaleExtract!B:J,9,FALSE),"")</f>
        <v/>
      </c>
      <c r="F2649" s="26" t="str">
        <f>IFERROR(VLOOKUP(G2649,WholesaleExtract!B:J,6,FALSE),"")</f>
        <v/>
      </c>
      <c r="H2649" s="47" t="str">
        <f>IFERROR(VLOOKUP(G2649,WholesaleExtract!B:L,11,FALSE),"")</f>
        <v/>
      </c>
      <c r="I2649" s="26" t="str">
        <f>IFERROR(VLOOKUP(G2649,WholesaleExtract!B:O,8,FALSE),"")</f>
        <v/>
      </c>
      <c r="J2649" s="26" t="str">
        <f>IFERROR(VLOOKUP(G2649,WholesaleExtract!B:O,14,FALSE),"")</f>
        <v/>
      </c>
      <c r="K2649" s="26" t="str">
        <f>IFERROR(VLOOKUP(G2649,WholesaleExtract!B:K,10,FALSE),"")</f>
        <v/>
      </c>
      <c r="L2649" s="47" t="str">
        <f>IFERROR(VLOOKUP(G2649,WholesaleExtract!B:L,11,FALSE),"")</f>
        <v/>
      </c>
      <c r="M2649" s="47" t="str">
        <f>IFERROR(VLOOKUP(G2649,WholesaleExtract!B:M,12,FALSE),"")</f>
        <v/>
      </c>
      <c r="R2649" s="19"/>
      <c r="S2649" s="19"/>
    </row>
    <row r="2650" spans="1:19" x14ac:dyDescent="0.35">
      <c r="A2650" s="26" t="s">
        <v>543</v>
      </c>
      <c r="B2650" s="26" t="s">
        <v>543</v>
      </c>
      <c r="C2650" s="26"/>
      <c r="D2650" s="26" t="s">
        <v>543</v>
      </c>
      <c r="E2650" s="26" t="str">
        <f>IFERROR(VLOOKUP(G2650,WholesaleExtract!B:J,9,FALSE),"")</f>
        <v/>
      </c>
      <c r="F2650" s="26" t="str">
        <f>IFERROR(VLOOKUP(G2650,WholesaleExtract!B:J,6,FALSE),"")</f>
        <v/>
      </c>
      <c r="H2650" s="47" t="str">
        <f>IFERROR(VLOOKUP(G2650,WholesaleExtract!B:L,11,FALSE),"")</f>
        <v/>
      </c>
      <c r="I2650" s="26" t="str">
        <f>IFERROR(VLOOKUP(G2650,WholesaleExtract!B:O,8,FALSE),"")</f>
        <v/>
      </c>
      <c r="J2650" s="26" t="str">
        <f>IFERROR(VLOOKUP(G2650,WholesaleExtract!B:O,14,FALSE),"")</f>
        <v/>
      </c>
      <c r="K2650" s="26" t="str">
        <f>IFERROR(VLOOKUP(G2650,WholesaleExtract!B:K,10,FALSE),"")</f>
        <v/>
      </c>
      <c r="L2650" s="47" t="str">
        <f>IFERROR(VLOOKUP(G2650,WholesaleExtract!B:L,11,FALSE),"")</f>
        <v/>
      </c>
      <c r="M2650" s="47" t="str">
        <f>IFERROR(VLOOKUP(G2650,WholesaleExtract!B:M,12,FALSE),"")</f>
        <v/>
      </c>
      <c r="R2650" s="19"/>
      <c r="S2650" s="19"/>
    </row>
    <row r="2651" spans="1:19" x14ac:dyDescent="0.35">
      <c r="A2651" s="26" t="s">
        <v>543</v>
      </c>
      <c r="B2651" s="26" t="s">
        <v>543</v>
      </c>
      <c r="C2651" s="26"/>
      <c r="D2651" s="26" t="s">
        <v>543</v>
      </c>
      <c r="E2651" s="26" t="str">
        <f>IFERROR(VLOOKUP(G2651,WholesaleExtract!B:J,9,FALSE),"")</f>
        <v/>
      </c>
      <c r="F2651" s="26" t="str">
        <f>IFERROR(VLOOKUP(G2651,WholesaleExtract!B:J,6,FALSE),"")</f>
        <v/>
      </c>
      <c r="H2651" s="47" t="str">
        <f>IFERROR(VLOOKUP(G2651,WholesaleExtract!B:L,11,FALSE),"")</f>
        <v/>
      </c>
      <c r="I2651" s="26" t="str">
        <f>IFERROR(VLOOKUP(G2651,WholesaleExtract!B:O,8,FALSE),"")</f>
        <v/>
      </c>
      <c r="J2651" s="26" t="str">
        <f>IFERROR(VLOOKUP(G2651,WholesaleExtract!B:O,14,FALSE),"")</f>
        <v/>
      </c>
      <c r="K2651" s="26" t="str">
        <f>IFERROR(VLOOKUP(G2651,WholesaleExtract!B:K,10,FALSE),"")</f>
        <v/>
      </c>
      <c r="L2651" s="47" t="str">
        <f>IFERROR(VLOOKUP(G2651,WholesaleExtract!B:L,11,FALSE),"")</f>
        <v/>
      </c>
      <c r="M2651" s="47" t="str">
        <f>IFERROR(VLOOKUP(G2651,WholesaleExtract!B:M,12,FALSE),"")</f>
        <v/>
      </c>
      <c r="R2651" s="19"/>
      <c r="S2651" s="19"/>
    </row>
    <row r="2652" spans="1:19" x14ac:dyDescent="0.35">
      <c r="A2652" s="26" t="s">
        <v>543</v>
      </c>
      <c r="B2652" s="26" t="s">
        <v>543</v>
      </c>
      <c r="C2652" s="26"/>
      <c r="D2652" s="26" t="s">
        <v>543</v>
      </c>
      <c r="E2652" s="26" t="str">
        <f>IFERROR(VLOOKUP(G2652,WholesaleExtract!B:J,9,FALSE),"")</f>
        <v/>
      </c>
      <c r="F2652" s="26" t="str">
        <f>IFERROR(VLOOKUP(G2652,WholesaleExtract!B:J,6,FALSE),"")</f>
        <v/>
      </c>
      <c r="H2652" s="47" t="str">
        <f>IFERROR(VLOOKUP(G2652,WholesaleExtract!B:L,11,FALSE),"")</f>
        <v/>
      </c>
      <c r="I2652" s="26" t="str">
        <f>IFERROR(VLOOKUP(G2652,WholesaleExtract!B:O,8,FALSE),"")</f>
        <v/>
      </c>
      <c r="J2652" s="26" t="str">
        <f>IFERROR(VLOOKUP(G2652,WholesaleExtract!B:O,14,FALSE),"")</f>
        <v/>
      </c>
      <c r="K2652" s="26" t="str">
        <f>IFERROR(VLOOKUP(G2652,WholesaleExtract!B:K,10,FALSE),"")</f>
        <v/>
      </c>
      <c r="L2652" s="47" t="str">
        <f>IFERROR(VLOOKUP(G2652,WholesaleExtract!B:L,11,FALSE),"")</f>
        <v/>
      </c>
      <c r="M2652" s="47" t="str">
        <f>IFERROR(VLOOKUP(G2652,WholesaleExtract!B:M,12,FALSE),"")</f>
        <v/>
      </c>
      <c r="R2652" s="19"/>
      <c r="S2652" s="19"/>
    </row>
    <row r="2653" spans="1:19" x14ac:dyDescent="0.35">
      <c r="A2653" s="26" t="s">
        <v>543</v>
      </c>
      <c r="B2653" s="26" t="s">
        <v>543</v>
      </c>
      <c r="C2653" s="26"/>
      <c r="D2653" s="26" t="s">
        <v>543</v>
      </c>
      <c r="E2653" s="26" t="str">
        <f>IFERROR(VLOOKUP(G2653,WholesaleExtract!B:J,9,FALSE),"")</f>
        <v/>
      </c>
      <c r="F2653" s="26" t="str">
        <f>IFERROR(VLOOKUP(G2653,WholesaleExtract!B:J,6,FALSE),"")</f>
        <v/>
      </c>
      <c r="H2653" s="47" t="str">
        <f>IFERROR(VLOOKUP(G2653,WholesaleExtract!B:L,11,FALSE),"")</f>
        <v/>
      </c>
      <c r="I2653" s="26" t="str">
        <f>IFERROR(VLOOKUP(G2653,WholesaleExtract!B:O,8,FALSE),"")</f>
        <v/>
      </c>
      <c r="J2653" s="26" t="str">
        <f>IFERROR(VLOOKUP(G2653,WholesaleExtract!B:O,14,FALSE),"")</f>
        <v/>
      </c>
      <c r="K2653" s="26" t="str">
        <f>IFERROR(VLOOKUP(G2653,WholesaleExtract!B:K,10,FALSE),"")</f>
        <v/>
      </c>
      <c r="L2653" s="47" t="str">
        <f>IFERROR(VLOOKUP(G2653,WholesaleExtract!B:L,11,FALSE),"")</f>
        <v/>
      </c>
      <c r="M2653" s="47" t="str">
        <f>IFERROR(VLOOKUP(G2653,WholesaleExtract!B:M,12,FALSE),"")</f>
        <v/>
      </c>
      <c r="R2653" s="19"/>
      <c r="S2653" s="19"/>
    </row>
    <row r="2654" spans="1:19" x14ac:dyDescent="0.35">
      <c r="A2654" s="26" t="s">
        <v>543</v>
      </c>
      <c r="B2654" s="26" t="s">
        <v>543</v>
      </c>
      <c r="C2654" s="26"/>
      <c r="D2654" s="26" t="s">
        <v>543</v>
      </c>
      <c r="E2654" s="26" t="str">
        <f>IFERROR(VLOOKUP(G2654,WholesaleExtract!B:J,9,FALSE),"")</f>
        <v/>
      </c>
      <c r="F2654" s="26" t="str">
        <f>IFERROR(VLOOKUP(G2654,WholesaleExtract!B:J,6,FALSE),"")</f>
        <v/>
      </c>
      <c r="H2654" s="47" t="str">
        <f>IFERROR(VLOOKUP(G2654,WholesaleExtract!B:L,11,FALSE),"")</f>
        <v/>
      </c>
      <c r="I2654" s="26" t="str">
        <f>IFERROR(VLOOKUP(G2654,WholesaleExtract!B:O,8,FALSE),"")</f>
        <v/>
      </c>
      <c r="J2654" s="26" t="str">
        <f>IFERROR(VLOOKUP(G2654,WholesaleExtract!B:O,14,FALSE),"")</f>
        <v/>
      </c>
      <c r="K2654" s="26" t="str">
        <f>IFERROR(VLOOKUP(G2654,WholesaleExtract!B:K,10,FALSE),"")</f>
        <v/>
      </c>
      <c r="L2654" s="47" t="str">
        <f>IFERROR(VLOOKUP(G2654,WholesaleExtract!B:L,11,FALSE),"")</f>
        <v/>
      </c>
      <c r="M2654" s="47" t="str">
        <f>IFERROR(VLOOKUP(G2654,WholesaleExtract!B:M,12,FALSE),"")</f>
        <v/>
      </c>
      <c r="R2654" s="19"/>
      <c r="S2654" s="19"/>
    </row>
    <row r="2655" spans="1:19" x14ac:dyDescent="0.35">
      <c r="A2655" s="26" t="s">
        <v>543</v>
      </c>
      <c r="B2655" s="26" t="s">
        <v>543</v>
      </c>
      <c r="C2655" s="26"/>
      <c r="D2655" s="26" t="s">
        <v>543</v>
      </c>
      <c r="E2655" s="26" t="str">
        <f>IFERROR(VLOOKUP(G2655,WholesaleExtract!B:J,9,FALSE),"")</f>
        <v/>
      </c>
      <c r="F2655" s="26" t="str">
        <f>IFERROR(VLOOKUP(G2655,WholesaleExtract!B:J,6,FALSE),"")</f>
        <v/>
      </c>
      <c r="H2655" s="47" t="str">
        <f>IFERROR(VLOOKUP(G2655,WholesaleExtract!B:L,11,FALSE),"")</f>
        <v/>
      </c>
      <c r="I2655" s="26" t="str">
        <f>IFERROR(VLOOKUP(G2655,WholesaleExtract!B:O,8,FALSE),"")</f>
        <v/>
      </c>
      <c r="J2655" s="26" t="str">
        <f>IFERROR(VLOOKUP(G2655,WholesaleExtract!B:O,14,FALSE),"")</f>
        <v/>
      </c>
      <c r="K2655" s="26" t="str">
        <f>IFERROR(VLOOKUP(G2655,WholesaleExtract!B:K,10,FALSE),"")</f>
        <v/>
      </c>
      <c r="L2655" s="47" t="str">
        <f>IFERROR(VLOOKUP(G2655,WholesaleExtract!B:L,11,FALSE),"")</f>
        <v/>
      </c>
      <c r="M2655" s="47" t="str">
        <f>IFERROR(VLOOKUP(G2655,WholesaleExtract!B:M,12,FALSE),"")</f>
        <v/>
      </c>
      <c r="R2655" s="19"/>
      <c r="S2655" s="19"/>
    </row>
    <row r="2656" spans="1:19" x14ac:dyDescent="0.35">
      <c r="A2656" s="26" t="s">
        <v>543</v>
      </c>
      <c r="B2656" s="26" t="s">
        <v>543</v>
      </c>
      <c r="C2656" s="26"/>
      <c r="D2656" s="26" t="s">
        <v>543</v>
      </c>
      <c r="E2656" s="26" t="str">
        <f>IFERROR(VLOOKUP(G2656,WholesaleExtract!B:J,9,FALSE),"")</f>
        <v/>
      </c>
      <c r="F2656" s="26" t="str">
        <f>IFERROR(VLOOKUP(G2656,WholesaleExtract!B:J,6,FALSE),"")</f>
        <v/>
      </c>
      <c r="H2656" s="47" t="str">
        <f>IFERROR(VLOOKUP(G2656,WholesaleExtract!B:L,11,FALSE),"")</f>
        <v/>
      </c>
      <c r="I2656" s="26" t="str">
        <f>IFERROR(VLOOKUP(G2656,WholesaleExtract!B:O,8,FALSE),"")</f>
        <v/>
      </c>
      <c r="J2656" s="26" t="str">
        <f>IFERROR(VLOOKUP(G2656,WholesaleExtract!B:O,14,FALSE),"")</f>
        <v/>
      </c>
      <c r="K2656" s="26" t="str">
        <f>IFERROR(VLOOKUP(G2656,WholesaleExtract!B:K,10,FALSE),"")</f>
        <v/>
      </c>
      <c r="L2656" s="47" t="str">
        <f>IFERROR(VLOOKUP(G2656,WholesaleExtract!B:L,11,FALSE),"")</f>
        <v/>
      </c>
      <c r="M2656" s="47" t="str">
        <f>IFERROR(VLOOKUP(G2656,WholesaleExtract!B:M,12,FALSE),"")</f>
        <v/>
      </c>
      <c r="R2656" s="19"/>
      <c r="S2656" s="19"/>
    </row>
    <row r="2657" spans="1:19" x14ac:dyDescent="0.35">
      <c r="A2657" s="26" t="s">
        <v>543</v>
      </c>
      <c r="B2657" s="26" t="s">
        <v>543</v>
      </c>
      <c r="C2657" s="26"/>
      <c r="D2657" s="26" t="s">
        <v>543</v>
      </c>
      <c r="E2657" s="26" t="str">
        <f>IFERROR(VLOOKUP(G2657,WholesaleExtract!B:J,9,FALSE),"")</f>
        <v/>
      </c>
      <c r="F2657" s="26" t="str">
        <f>IFERROR(VLOOKUP(G2657,WholesaleExtract!B:J,6,FALSE),"")</f>
        <v/>
      </c>
      <c r="H2657" s="47" t="str">
        <f>IFERROR(VLOOKUP(G2657,WholesaleExtract!B:L,11,FALSE),"")</f>
        <v/>
      </c>
      <c r="I2657" s="26" t="str">
        <f>IFERROR(VLOOKUP(G2657,WholesaleExtract!B:O,8,FALSE),"")</f>
        <v/>
      </c>
      <c r="J2657" s="26" t="str">
        <f>IFERROR(VLOOKUP(G2657,WholesaleExtract!B:O,14,FALSE),"")</f>
        <v/>
      </c>
      <c r="K2657" s="26" t="str">
        <f>IFERROR(VLOOKUP(G2657,WholesaleExtract!B:K,10,FALSE),"")</f>
        <v/>
      </c>
      <c r="L2657" s="47" t="str">
        <f>IFERROR(VLOOKUP(G2657,WholesaleExtract!B:L,11,FALSE),"")</f>
        <v/>
      </c>
      <c r="M2657" s="47" t="str">
        <f>IFERROR(VLOOKUP(G2657,WholesaleExtract!B:M,12,FALSE),"")</f>
        <v/>
      </c>
      <c r="R2657" s="19"/>
      <c r="S2657" s="19"/>
    </row>
    <row r="2658" spans="1:19" x14ac:dyDescent="0.35">
      <c r="A2658" s="26" t="s">
        <v>543</v>
      </c>
      <c r="B2658" s="26" t="s">
        <v>543</v>
      </c>
      <c r="C2658" s="26"/>
      <c r="D2658" s="26" t="s">
        <v>543</v>
      </c>
      <c r="E2658" s="26" t="str">
        <f>IFERROR(VLOOKUP(G2658,WholesaleExtract!B:J,9,FALSE),"")</f>
        <v/>
      </c>
      <c r="F2658" s="26" t="str">
        <f>IFERROR(VLOOKUP(G2658,WholesaleExtract!B:J,6,FALSE),"")</f>
        <v/>
      </c>
      <c r="H2658" s="47" t="str">
        <f>IFERROR(VLOOKUP(G2658,WholesaleExtract!B:L,11,FALSE),"")</f>
        <v/>
      </c>
      <c r="I2658" s="26" t="str">
        <f>IFERROR(VLOOKUP(G2658,WholesaleExtract!B:O,8,FALSE),"")</f>
        <v/>
      </c>
      <c r="J2658" s="26" t="str">
        <f>IFERROR(VLOOKUP(G2658,WholesaleExtract!B:O,14,FALSE),"")</f>
        <v/>
      </c>
      <c r="K2658" s="26" t="str">
        <f>IFERROR(VLOOKUP(G2658,WholesaleExtract!B:K,10,FALSE),"")</f>
        <v/>
      </c>
      <c r="L2658" s="47" t="str">
        <f>IFERROR(VLOOKUP(G2658,WholesaleExtract!B:L,11,FALSE),"")</f>
        <v/>
      </c>
      <c r="M2658" s="47" t="str">
        <f>IFERROR(VLOOKUP(G2658,WholesaleExtract!B:M,12,FALSE),"")</f>
        <v/>
      </c>
      <c r="R2658" s="19"/>
      <c r="S2658" s="19"/>
    </row>
    <row r="2659" spans="1:19" x14ac:dyDescent="0.35">
      <c r="A2659" s="26" t="s">
        <v>543</v>
      </c>
      <c r="B2659" s="26" t="s">
        <v>543</v>
      </c>
      <c r="C2659" s="26"/>
      <c r="D2659" s="26" t="s">
        <v>543</v>
      </c>
      <c r="E2659" s="26" t="str">
        <f>IFERROR(VLOOKUP(G2659,WholesaleExtract!B:J,9,FALSE),"")</f>
        <v/>
      </c>
      <c r="F2659" s="26" t="str">
        <f>IFERROR(VLOOKUP(G2659,WholesaleExtract!B:J,6,FALSE),"")</f>
        <v/>
      </c>
      <c r="H2659" s="47" t="str">
        <f>IFERROR(VLOOKUP(G2659,WholesaleExtract!B:L,11,FALSE),"")</f>
        <v/>
      </c>
      <c r="I2659" s="26" t="str">
        <f>IFERROR(VLOOKUP(G2659,WholesaleExtract!B:O,8,FALSE),"")</f>
        <v/>
      </c>
      <c r="J2659" s="26" t="str">
        <f>IFERROR(VLOOKUP(G2659,WholesaleExtract!B:O,14,FALSE),"")</f>
        <v/>
      </c>
      <c r="K2659" s="26" t="str">
        <f>IFERROR(VLOOKUP(G2659,WholesaleExtract!B:K,10,FALSE),"")</f>
        <v/>
      </c>
      <c r="L2659" s="47" t="str">
        <f>IFERROR(VLOOKUP(G2659,WholesaleExtract!B:L,11,FALSE),"")</f>
        <v/>
      </c>
      <c r="M2659" s="47" t="str">
        <f>IFERROR(VLOOKUP(G2659,WholesaleExtract!B:M,12,FALSE),"")</f>
        <v/>
      </c>
      <c r="R2659" s="19"/>
      <c r="S2659" s="19"/>
    </row>
    <row r="2660" spans="1:19" x14ac:dyDescent="0.35">
      <c r="A2660" s="26" t="s">
        <v>543</v>
      </c>
      <c r="B2660" s="26" t="s">
        <v>543</v>
      </c>
      <c r="C2660" s="26"/>
      <c r="D2660" s="26" t="s">
        <v>543</v>
      </c>
      <c r="E2660" s="26" t="str">
        <f>IFERROR(VLOOKUP(G2660,WholesaleExtract!B:J,9,FALSE),"")</f>
        <v/>
      </c>
      <c r="F2660" s="26" t="str">
        <f>IFERROR(VLOOKUP(G2660,WholesaleExtract!B:J,6,FALSE),"")</f>
        <v/>
      </c>
      <c r="H2660" s="47" t="str">
        <f>IFERROR(VLOOKUP(G2660,WholesaleExtract!B:L,11,FALSE),"")</f>
        <v/>
      </c>
      <c r="I2660" s="26" t="str">
        <f>IFERROR(VLOOKUP(G2660,WholesaleExtract!B:O,8,FALSE),"")</f>
        <v/>
      </c>
      <c r="J2660" s="26" t="str">
        <f>IFERROR(VLOOKUP(G2660,WholesaleExtract!B:O,14,FALSE),"")</f>
        <v/>
      </c>
      <c r="K2660" s="26" t="str">
        <f>IFERROR(VLOOKUP(G2660,WholesaleExtract!B:K,10,FALSE),"")</f>
        <v/>
      </c>
      <c r="L2660" s="47" t="str">
        <f>IFERROR(VLOOKUP(G2660,WholesaleExtract!B:L,11,FALSE),"")</f>
        <v/>
      </c>
      <c r="M2660" s="47" t="str">
        <f>IFERROR(VLOOKUP(G2660,WholesaleExtract!B:M,12,FALSE),"")</f>
        <v/>
      </c>
      <c r="R2660" s="19"/>
      <c r="S2660" s="19"/>
    </row>
    <row r="2661" spans="1:19" x14ac:dyDescent="0.35">
      <c r="A2661" s="26" t="s">
        <v>543</v>
      </c>
      <c r="B2661" s="26" t="s">
        <v>543</v>
      </c>
      <c r="C2661" s="26"/>
      <c r="D2661" s="26" t="s">
        <v>543</v>
      </c>
      <c r="E2661" s="26" t="str">
        <f>IFERROR(VLOOKUP(G2661,WholesaleExtract!B:J,9,FALSE),"")</f>
        <v/>
      </c>
      <c r="F2661" s="26" t="str">
        <f>IFERROR(VLOOKUP(G2661,WholesaleExtract!B:J,6,FALSE),"")</f>
        <v/>
      </c>
      <c r="H2661" s="47" t="str">
        <f>IFERROR(VLOOKUP(G2661,WholesaleExtract!B:L,11,FALSE),"")</f>
        <v/>
      </c>
      <c r="I2661" s="26" t="str">
        <f>IFERROR(VLOOKUP(G2661,WholesaleExtract!B:O,8,FALSE),"")</f>
        <v/>
      </c>
      <c r="J2661" s="26" t="str">
        <f>IFERROR(VLOOKUP(G2661,WholesaleExtract!B:O,14,FALSE),"")</f>
        <v/>
      </c>
      <c r="K2661" s="26" t="str">
        <f>IFERROR(VLOOKUP(G2661,WholesaleExtract!B:K,10,FALSE),"")</f>
        <v/>
      </c>
      <c r="L2661" s="47" t="str">
        <f>IFERROR(VLOOKUP(G2661,WholesaleExtract!B:L,11,FALSE),"")</f>
        <v/>
      </c>
      <c r="M2661" s="47" t="str">
        <f>IFERROR(VLOOKUP(G2661,WholesaleExtract!B:M,12,FALSE),"")</f>
        <v/>
      </c>
      <c r="R2661" s="19"/>
      <c r="S2661" s="19"/>
    </row>
    <row r="2662" spans="1:19" x14ac:dyDescent="0.35">
      <c r="A2662" s="26" t="s">
        <v>543</v>
      </c>
      <c r="B2662" s="26" t="s">
        <v>543</v>
      </c>
      <c r="C2662" s="26"/>
      <c r="D2662" s="26" t="s">
        <v>543</v>
      </c>
      <c r="E2662" s="26" t="str">
        <f>IFERROR(VLOOKUP(G2662,WholesaleExtract!B:J,9,FALSE),"")</f>
        <v/>
      </c>
      <c r="F2662" s="26" t="str">
        <f>IFERROR(VLOOKUP(G2662,WholesaleExtract!B:J,6,FALSE),"")</f>
        <v/>
      </c>
      <c r="H2662" s="47" t="str">
        <f>IFERROR(VLOOKUP(G2662,WholesaleExtract!B:L,11,FALSE),"")</f>
        <v/>
      </c>
      <c r="I2662" s="26" t="str">
        <f>IFERROR(VLOOKUP(G2662,WholesaleExtract!B:O,8,FALSE),"")</f>
        <v/>
      </c>
      <c r="J2662" s="26" t="str">
        <f>IFERROR(VLOOKUP(G2662,WholesaleExtract!B:O,14,FALSE),"")</f>
        <v/>
      </c>
      <c r="K2662" s="26" t="str">
        <f>IFERROR(VLOOKUP(G2662,WholesaleExtract!B:K,10,FALSE),"")</f>
        <v/>
      </c>
      <c r="L2662" s="47" t="str">
        <f>IFERROR(VLOOKUP(G2662,WholesaleExtract!B:L,11,FALSE),"")</f>
        <v/>
      </c>
      <c r="M2662" s="47" t="str">
        <f>IFERROR(VLOOKUP(G2662,WholesaleExtract!B:M,12,FALSE),"")</f>
        <v/>
      </c>
      <c r="R2662" s="19"/>
      <c r="S2662" s="19"/>
    </row>
    <row r="2663" spans="1:19" x14ac:dyDescent="0.35">
      <c r="A2663" s="26" t="s">
        <v>543</v>
      </c>
      <c r="B2663" s="26" t="s">
        <v>543</v>
      </c>
      <c r="C2663" s="26"/>
      <c r="D2663" s="26" t="s">
        <v>543</v>
      </c>
      <c r="E2663" s="26" t="str">
        <f>IFERROR(VLOOKUP(G2663,WholesaleExtract!B:J,9,FALSE),"")</f>
        <v/>
      </c>
      <c r="F2663" s="26" t="str">
        <f>IFERROR(VLOOKUP(G2663,WholesaleExtract!B:J,6,FALSE),"")</f>
        <v/>
      </c>
      <c r="H2663" s="47" t="str">
        <f>IFERROR(VLOOKUP(G2663,WholesaleExtract!B:L,11,FALSE),"")</f>
        <v/>
      </c>
      <c r="I2663" s="26" t="str">
        <f>IFERROR(VLOOKUP(G2663,WholesaleExtract!B:O,8,FALSE),"")</f>
        <v/>
      </c>
      <c r="J2663" s="26" t="str">
        <f>IFERROR(VLOOKUP(G2663,WholesaleExtract!B:O,14,FALSE),"")</f>
        <v/>
      </c>
      <c r="K2663" s="26" t="str">
        <f>IFERROR(VLOOKUP(G2663,WholesaleExtract!B:K,10,FALSE),"")</f>
        <v/>
      </c>
      <c r="L2663" s="47" t="str">
        <f>IFERROR(VLOOKUP(G2663,WholesaleExtract!B:L,11,FALSE),"")</f>
        <v/>
      </c>
      <c r="M2663" s="47" t="str">
        <f>IFERROR(VLOOKUP(G2663,WholesaleExtract!B:M,12,FALSE),"")</f>
        <v/>
      </c>
      <c r="R2663" s="19"/>
      <c r="S2663" s="19"/>
    </row>
    <row r="2664" spans="1:19" x14ac:dyDescent="0.35">
      <c r="A2664" s="26" t="s">
        <v>543</v>
      </c>
      <c r="B2664" s="26" t="s">
        <v>543</v>
      </c>
      <c r="C2664" s="26"/>
      <c r="D2664" s="26" t="s">
        <v>543</v>
      </c>
      <c r="E2664" s="26" t="str">
        <f>IFERROR(VLOOKUP(G2664,WholesaleExtract!B:J,9,FALSE),"")</f>
        <v/>
      </c>
      <c r="F2664" s="26" t="str">
        <f>IFERROR(VLOOKUP(G2664,WholesaleExtract!B:J,6,FALSE),"")</f>
        <v/>
      </c>
      <c r="H2664" s="47" t="str">
        <f>IFERROR(VLOOKUP(G2664,WholesaleExtract!B:L,11,FALSE),"")</f>
        <v/>
      </c>
      <c r="I2664" s="26" t="str">
        <f>IFERROR(VLOOKUP(G2664,WholesaleExtract!B:O,8,FALSE),"")</f>
        <v/>
      </c>
      <c r="J2664" s="26" t="str">
        <f>IFERROR(VLOOKUP(G2664,WholesaleExtract!B:O,14,FALSE),"")</f>
        <v/>
      </c>
      <c r="K2664" s="26" t="str">
        <f>IFERROR(VLOOKUP(G2664,WholesaleExtract!B:K,10,FALSE),"")</f>
        <v/>
      </c>
      <c r="L2664" s="47" t="str">
        <f>IFERROR(VLOOKUP(G2664,WholesaleExtract!B:L,11,FALSE),"")</f>
        <v/>
      </c>
      <c r="M2664" s="47" t="str">
        <f>IFERROR(VLOOKUP(G2664,WholesaleExtract!B:M,12,FALSE),"")</f>
        <v/>
      </c>
      <c r="R2664" s="19"/>
      <c r="S2664" s="19"/>
    </row>
    <row r="2665" spans="1:19" x14ac:dyDescent="0.35">
      <c r="A2665" s="26" t="s">
        <v>543</v>
      </c>
      <c r="B2665" s="26" t="s">
        <v>543</v>
      </c>
      <c r="C2665" s="26"/>
      <c r="D2665" s="26" t="s">
        <v>543</v>
      </c>
      <c r="E2665" s="26" t="str">
        <f>IFERROR(VLOOKUP(G2665,WholesaleExtract!B:J,9,FALSE),"")</f>
        <v/>
      </c>
      <c r="F2665" s="26" t="str">
        <f>IFERROR(VLOOKUP(G2665,WholesaleExtract!B:J,6,FALSE),"")</f>
        <v/>
      </c>
      <c r="H2665" s="47" t="str">
        <f>IFERROR(VLOOKUP(G2665,WholesaleExtract!B:L,11,FALSE),"")</f>
        <v/>
      </c>
      <c r="I2665" s="26" t="str">
        <f>IFERROR(VLOOKUP(G2665,WholesaleExtract!B:O,8,FALSE),"")</f>
        <v/>
      </c>
      <c r="J2665" s="26" t="str">
        <f>IFERROR(VLOOKUP(G2665,WholesaleExtract!B:O,14,FALSE),"")</f>
        <v/>
      </c>
      <c r="K2665" s="26" t="str">
        <f>IFERROR(VLOOKUP(G2665,WholesaleExtract!B:K,10,FALSE),"")</f>
        <v/>
      </c>
      <c r="L2665" s="47" t="str">
        <f>IFERROR(VLOOKUP(G2665,WholesaleExtract!B:L,11,FALSE),"")</f>
        <v/>
      </c>
      <c r="M2665" s="47" t="str">
        <f>IFERROR(VLOOKUP(G2665,WholesaleExtract!B:M,12,FALSE),"")</f>
        <v/>
      </c>
      <c r="R2665" s="19"/>
      <c r="S2665" s="19"/>
    </row>
    <row r="2666" spans="1:19" x14ac:dyDescent="0.35">
      <c r="A2666" s="26" t="s">
        <v>543</v>
      </c>
      <c r="B2666" s="26" t="s">
        <v>543</v>
      </c>
      <c r="C2666" s="26"/>
      <c r="D2666" s="26" t="s">
        <v>543</v>
      </c>
      <c r="E2666" s="26" t="str">
        <f>IFERROR(VLOOKUP(G2666,WholesaleExtract!B:J,9,FALSE),"")</f>
        <v/>
      </c>
      <c r="F2666" s="26" t="str">
        <f>IFERROR(VLOOKUP(G2666,WholesaleExtract!B:J,6,FALSE),"")</f>
        <v/>
      </c>
      <c r="H2666" s="47" t="str">
        <f>IFERROR(VLOOKUP(G2666,WholesaleExtract!B:L,11,FALSE),"")</f>
        <v/>
      </c>
      <c r="I2666" s="26" t="str">
        <f>IFERROR(VLOOKUP(G2666,WholesaleExtract!B:O,8,FALSE),"")</f>
        <v/>
      </c>
      <c r="J2666" s="26" t="str">
        <f>IFERROR(VLOOKUP(G2666,WholesaleExtract!B:O,14,FALSE),"")</f>
        <v/>
      </c>
      <c r="K2666" s="26" t="str">
        <f>IFERROR(VLOOKUP(G2666,WholesaleExtract!B:K,10,FALSE),"")</f>
        <v/>
      </c>
      <c r="L2666" s="47" t="str">
        <f>IFERROR(VLOOKUP(G2666,WholesaleExtract!B:L,11,FALSE),"")</f>
        <v/>
      </c>
      <c r="M2666" s="47" t="str">
        <f>IFERROR(VLOOKUP(G2666,WholesaleExtract!B:M,12,FALSE),"")</f>
        <v/>
      </c>
      <c r="R2666" s="19"/>
      <c r="S2666" s="19"/>
    </row>
    <row r="2667" spans="1:19" x14ac:dyDescent="0.35">
      <c r="A2667" s="26" t="s">
        <v>543</v>
      </c>
      <c r="B2667" s="26" t="s">
        <v>543</v>
      </c>
      <c r="C2667" s="26"/>
      <c r="D2667" s="26" t="s">
        <v>543</v>
      </c>
      <c r="E2667" s="26" t="str">
        <f>IFERROR(VLOOKUP(G2667,WholesaleExtract!B:J,9,FALSE),"")</f>
        <v/>
      </c>
      <c r="F2667" s="26" t="str">
        <f>IFERROR(VLOOKUP(G2667,WholesaleExtract!B:J,6,FALSE),"")</f>
        <v/>
      </c>
      <c r="H2667" s="47" t="str">
        <f>IFERROR(VLOOKUP(G2667,WholesaleExtract!B:L,11,FALSE),"")</f>
        <v/>
      </c>
      <c r="I2667" s="26" t="str">
        <f>IFERROR(VLOOKUP(G2667,WholesaleExtract!B:O,8,FALSE),"")</f>
        <v/>
      </c>
      <c r="J2667" s="26" t="str">
        <f>IFERROR(VLOOKUP(G2667,WholesaleExtract!B:O,14,FALSE),"")</f>
        <v/>
      </c>
      <c r="K2667" s="26" t="str">
        <f>IFERROR(VLOOKUP(G2667,WholesaleExtract!B:K,10,FALSE),"")</f>
        <v/>
      </c>
      <c r="L2667" s="47" t="str">
        <f>IFERROR(VLOOKUP(G2667,WholesaleExtract!B:L,11,FALSE),"")</f>
        <v/>
      </c>
      <c r="M2667" s="47" t="str">
        <f>IFERROR(VLOOKUP(G2667,WholesaleExtract!B:M,12,FALSE),"")</f>
        <v/>
      </c>
      <c r="R2667" s="19"/>
      <c r="S2667" s="19"/>
    </row>
    <row r="2668" spans="1:19" x14ac:dyDescent="0.35">
      <c r="A2668" s="26" t="s">
        <v>543</v>
      </c>
      <c r="B2668" s="26" t="s">
        <v>543</v>
      </c>
      <c r="C2668" s="26"/>
      <c r="D2668" s="26" t="s">
        <v>543</v>
      </c>
      <c r="E2668" s="26" t="str">
        <f>IFERROR(VLOOKUP(G2668,WholesaleExtract!B:J,9,FALSE),"")</f>
        <v/>
      </c>
      <c r="F2668" s="26" t="str">
        <f>IFERROR(VLOOKUP(G2668,WholesaleExtract!B:J,6,FALSE),"")</f>
        <v/>
      </c>
      <c r="H2668" s="47" t="str">
        <f>IFERROR(VLOOKUP(G2668,WholesaleExtract!B:L,11,FALSE),"")</f>
        <v/>
      </c>
      <c r="I2668" s="26" t="str">
        <f>IFERROR(VLOOKUP(G2668,WholesaleExtract!B:O,8,FALSE),"")</f>
        <v/>
      </c>
      <c r="J2668" s="26" t="str">
        <f>IFERROR(VLOOKUP(G2668,WholesaleExtract!B:O,14,FALSE),"")</f>
        <v/>
      </c>
      <c r="K2668" s="26" t="str">
        <f>IFERROR(VLOOKUP(G2668,WholesaleExtract!B:K,10,FALSE),"")</f>
        <v/>
      </c>
      <c r="L2668" s="47" t="str">
        <f>IFERROR(VLOOKUP(G2668,WholesaleExtract!B:L,11,FALSE),"")</f>
        <v/>
      </c>
      <c r="M2668" s="47" t="str">
        <f>IFERROR(VLOOKUP(G2668,WholesaleExtract!B:M,12,FALSE),"")</f>
        <v/>
      </c>
      <c r="R2668" s="19"/>
      <c r="S2668" s="19"/>
    </row>
    <row r="2669" spans="1:19" x14ac:dyDescent="0.35">
      <c r="A2669" s="26" t="s">
        <v>543</v>
      </c>
      <c r="B2669" s="26" t="s">
        <v>543</v>
      </c>
      <c r="C2669" s="26"/>
      <c r="D2669" s="26" t="s">
        <v>543</v>
      </c>
      <c r="E2669" s="26" t="str">
        <f>IFERROR(VLOOKUP(G2669,WholesaleExtract!B:J,9,FALSE),"")</f>
        <v/>
      </c>
      <c r="F2669" s="26" t="str">
        <f>IFERROR(VLOOKUP(G2669,WholesaleExtract!B:J,6,FALSE),"")</f>
        <v/>
      </c>
      <c r="H2669" s="47" t="str">
        <f>IFERROR(VLOOKUP(G2669,WholesaleExtract!B:L,11,FALSE),"")</f>
        <v/>
      </c>
      <c r="I2669" s="26" t="str">
        <f>IFERROR(VLOOKUP(G2669,WholesaleExtract!B:O,8,FALSE),"")</f>
        <v/>
      </c>
      <c r="J2669" s="26" t="str">
        <f>IFERROR(VLOOKUP(G2669,WholesaleExtract!B:O,14,FALSE),"")</f>
        <v/>
      </c>
      <c r="K2669" s="26" t="str">
        <f>IFERROR(VLOOKUP(G2669,WholesaleExtract!B:K,10,FALSE),"")</f>
        <v/>
      </c>
      <c r="L2669" s="47" t="str">
        <f>IFERROR(VLOOKUP(G2669,WholesaleExtract!B:L,11,FALSE),"")</f>
        <v/>
      </c>
      <c r="M2669" s="47" t="str">
        <f>IFERROR(VLOOKUP(G2669,WholesaleExtract!B:M,12,FALSE),"")</f>
        <v/>
      </c>
      <c r="R2669" s="19"/>
      <c r="S2669" s="19"/>
    </row>
    <row r="2670" spans="1:19" x14ac:dyDescent="0.35">
      <c r="A2670" s="26" t="s">
        <v>543</v>
      </c>
      <c r="B2670" s="26" t="s">
        <v>543</v>
      </c>
      <c r="C2670" s="26"/>
      <c r="D2670" s="26" t="s">
        <v>543</v>
      </c>
      <c r="E2670" s="26" t="str">
        <f>IFERROR(VLOOKUP(G2670,WholesaleExtract!B:J,9,FALSE),"")</f>
        <v/>
      </c>
      <c r="F2670" s="26" t="str">
        <f>IFERROR(VLOOKUP(G2670,WholesaleExtract!B:J,6,FALSE),"")</f>
        <v/>
      </c>
      <c r="H2670" s="47" t="str">
        <f>IFERROR(VLOOKUP(G2670,WholesaleExtract!B:L,11,FALSE),"")</f>
        <v/>
      </c>
      <c r="I2670" s="26" t="str">
        <f>IFERROR(VLOOKUP(G2670,WholesaleExtract!B:O,8,FALSE),"")</f>
        <v/>
      </c>
      <c r="J2670" s="26" t="str">
        <f>IFERROR(VLOOKUP(G2670,WholesaleExtract!B:O,14,FALSE),"")</f>
        <v/>
      </c>
      <c r="K2670" s="26" t="str">
        <f>IFERROR(VLOOKUP(G2670,WholesaleExtract!B:K,10,FALSE),"")</f>
        <v/>
      </c>
      <c r="L2670" s="47" t="str">
        <f>IFERROR(VLOOKUP(G2670,WholesaleExtract!B:L,11,FALSE),"")</f>
        <v/>
      </c>
      <c r="M2670" s="47" t="str">
        <f>IFERROR(VLOOKUP(G2670,WholesaleExtract!B:M,12,FALSE),"")</f>
        <v/>
      </c>
      <c r="R2670" s="19"/>
      <c r="S2670" s="19"/>
    </row>
    <row r="2671" spans="1:19" x14ac:dyDescent="0.35">
      <c r="A2671" s="26" t="s">
        <v>543</v>
      </c>
      <c r="B2671" s="26" t="s">
        <v>543</v>
      </c>
      <c r="C2671" s="26"/>
      <c r="D2671" s="26" t="s">
        <v>543</v>
      </c>
      <c r="E2671" s="26" t="str">
        <f>IFERROR(VLOOKUP(G2671,WholesaleExtract!B:J,9,FALSE),"")</f>
        <v/>
      </c>
      <c r="F2671" s="26" t="str">
        <f>IFERROR(VLOOKUP(G2671,WholesaleExtract!B:J,6,FALSE),"")</f>
        <v/>
      </c>
      <c r="H2671" s="47" t="str">
        <f>IFERROR(VLOOKUP(G2671,WholesaleExtract!B:L,11,FALSE),"")</f>
        <v/>
      </c>
      <c r="I2671" s="26" t="str">
        <f>IFERROR(VLOOKUP(G2671,WholesaleExtract!B:O,8,FALSE),"")</f>
        <v/>
      </c>
      <c r="J2671" s="26" t="str">
        <f>IFERROR(VLOOKUP(G2671,WholesaleExtract!B:O,14,FALSE),"")</f>
        <v/>
      </c>
      <c r="K2671" s="26" t="str">
        <f>IFERROR(VLOOKUP(G2671,WholesaleExtract!B:K,10,FALSE),"")</f>
        <v/>
      </c>
      <c r="L2671" s="47" t="str">
        <f>IFERROR(VLOOKUP(G2671,WholesaleExtract!B:L,11,FALSE),"")</f>
        <v/>
      </c>
      <c r="M2671" s="47" t="str">
        <f>IFERROR(VLOOKUP(G2671,WholesaleExtract!B:M,12,FALSE),"")</f>
        <v/>
      </c>
      <c r="R2671" s="19"/>
      <c r="S2671" s="19"/>
    </row>
    <row r="2672" spans="1:19" x14ac:dyDescent="0.35">
      <c r="A2672" s="26" t="s">
        <v>543</v>
      </c>
      <c r="B2672" s="26" t="s">
        <v>543</v>
      </c>
      <c r="C2672" s="26"/>
      <c r="D2672" s="26" t="s">
        <v>543</v>
      </c>
      <c r="E2672" s="26" t="str">
        <f>IFERROR(VLOOKUP(G2672,WholesaleExtract!B:J,9,FALSE),"")</f>
        <v/>
      </c>
      <c r="F2672" s="26" t="str">
        <f>IFERROR(VLOOKUP(G2672,WholesaleExtract!B:J,6,FALSE),"")</f>
        <v/>
      </c>
      <c r="H2672" s="47" t="str">
        <f>IFERROR(VLOOKUP(G2672,WholesaleExtract!B:L,11,FALSE),"")</f>
        <v/>
      </c>
      <c r="I2672" s="26" t="str">
        <f>IFERROR(VLOOKUP(G2672,WholesaleExtract!B:O,8,FALSE),"")</f>
        <v/>
      </c>
      <c r="J2672" s="26" t="str">
        <f>IFERROR(VLOOKUP(G2672,WholesaleExtract!B:O,14,FALSE),"")</f>
        <v/>
      </c>
      <c r="K2672" s="26" t="str">
        <f>IFERROR(VLOOKUP(G2672,WholesaleExtract!B:K,10,FALSE),"")</f>
        <v/>
      </c>
      <c r="L2672" s="47" t="str">
        <f>IFERROR(VLOOKUP(G2672,WholesaleExtract!B:L,11,FALSE),"")</f>
        <v/>
      </c>
      <c r="M2672" s="47" t="str">
        <f>IFERROR(VLOOKUP(G2672,WholesaleExtract!B:M,12,FALSE),"")</f>
        <v/>
      </c>
      <c r="R2672" s="19"/>
      <c r="S2672" s="19"/>
    </row>
    <row r="2673" spans="1:19" x14ac:dyDescent="0.35">
      <c r="A2673" s="26" t="s">
        <v>543</v>
      </c>
      <c r="B2673" s="26" t="s">
        <v>543</v>
      </c>
      <c r="C2673" s="26"/>
      <c r="D2673" s="26" t="s">
        <v>543</v>
      </c>
      <c r="E2673" s="26" t="str">
        <f>IFERROR(VLOOKUP(G2673,WholesaleExtract!B:J,9,FALSE),"")</f>
        <v/>
      </c>
      <c r="F2673" s="26" t="str">
        <f>IFERROR(VLOOKUP(G2673,WholesaleExtract!B:J,6,FALSE),"")</f>
        <v/>
      </c>
      <c r="H2673" s="47" t="str">
        <f>IFERROR(VLOOKUP(G2673,WholesaleExtract!B:L,11,FALSE),"")</f>
        <v/>
      </c>
      <c r="I2673" s="26" t="str">
        <f>IFERROR(VLOOKUP(G2673,WholesaleExtract!B:O,8,FALSE),"")</f>
        <v/>
      </c>
      <c r="J2673" s="26" t="str">
        <f>IFERROR(VLOOKUP(G2673,WholesaleExtract!B:O,14,FALSE),"")</f>
        <v/>
      </c>
      <c r="K2673" s="26" t="str">
        <f>IFERROR(VLOOKUP(G2673,WholesaleExtract!B:K,10,FALSE),"")</f>
        <v/>
      </c>
      <c r="L2673" s="47" t="str">
        <f>IFERROR(VLOOKUP(G2673,WholesaleExtract!B:L,11,FALSE),"")</f>
        <v/>
      </c>
      <c r="M2673" s="47" t="str">
        <f>IFERROR(VLOOKUP(G2673,WholesaleExtract!B:M,12,FALSE),"")</f>
        <v/>
      </c>
      <c r="R2673" s="19"/>
      <c r="S2673" s="19"/>
    </row>
    <row r="2674" spans="1:19" x14ac:dyDescent="0.35">
      <c r="A2674" s="26" t="s">
        <v>543</v>
      </c>
      <c r="B2674" s="26" t="s">
        <v>543</v>
      </c>
      <c r="C2674" s="26"/>
      <c r="D2674" s="26" t="s">
        <v>543</v>
      </c>
      <c r="E2674" s="26" t="str">
        <f>IFERROR(VLOOKUP(G2674,WholesaleExtract!B:J,9,FALSE),"")</f>
        <v/>
      </c>
      <c r="F2674" s="26" t="str">
        <f>IFERROR(VLOOKUP(G2674,WholesaleExtract!B:J,6,FALSE),"")</f>
        <v/>
      </c>
      <c r="H2674" s="47" t="str">
        <f>IFERROR(VLOOKUP(G2674,WholesaleExtract!B:L,11,FALSE),"")</f>
        <v/>
      </c>
      <c r="I2674" s="26" t="str">
        <f>IFERROR(VLOOKUP(G2674,WholesaleExtract!B:O,8,FALSE),"")</f>
        <v/>
      </c>
      <c r="J2674" s="26" t="str">
        <f>IFERROR(VLOOKUP(G2674,WholesaleExtract!B:O,14,FALSE),"")</f>
        <v/>
      </c>
      <c r="K2674" s="26" t="str">
        <f>IFERROR(VLOOKUP(G2674,WholesaleExtract!B:K,10,FALSE),"")</f>
        <v/>
      </c>
      <c r="L2674" s="47" t="str">
        <f>IFERROR(VLOOKUP(G2674,WholesaleExtract!B:L,11,FALSE),"")</f>
        <v/>
      </c>
      <c r="M2674" s="47" t="str">
        <f>IFERROR(VLOOKUP(G2674,WholesaleExtract!B:M,12,FALSE),"")</f>
        <v/>
      </c>
      <c r="R2674" s="19"/>
      <c r="S2674" s="19"/>
    </row>
    <row r="2675" spans="1:19" x14ac:dyDescent="0.35">
      <c r="A2675" s="26" t="s">
        <v>543</v>
      </c>
      <c r="B2675" s="26" t="s">
        <v>543</v>
      </c>
      <c r="C2675" s="26"/>
      <c r="D2675" s="26" t="s">
        <v>543</v>
      </c>
      <c r="E2675" s="26" t="str">
        <f>IFERROR(VLOOKUP(G2675,WholesaleExtract!B:J,9,FALSE),"")</f>
        <v/>
      </c>
      <c r="F2675" s="26" t="str">
        <f>IFERROR(VLOOKUP(G2675,WholesaleExtract!B:J,6,FALSE),"")</f>
        <v/>
      </c>
      <c r="H2675" s="47" t="str">
        <f>IFERROR(VLOOKUP(G2675,WholesaleExtract!B:L,11,FALSE),"")</f>
        <v/>
      </c>
      <c r="I2675" s="26" t="str">
        <f>IFERROR(VLOOKUP(G2675,WholesaleExtract!B:O,8,FALSE),"")</f>
        <v/>
      </c>
      <c r="J2675" s="26" t="str">
        <f>IFERROR(VLOOKUP(G2675,WholesaleExtract!B:O,14,FALSE),"")</f>
        <v/>
      </c>
      <c r="K2675" s="26" t="str">
        <f>IFERROR(VLOOKUP(G2675,WholesaleExtract!B:K,10,FALSE),"")</f>
        <v/>
      </c>
      <c r="L2675" s="47" t="str">
        <f>IFERROR(VLOOKUP(G2675,WholesaleExtract!B:L,11,FALSE),"")</f>
        <v/>
      </c>
      <c r="M2675" s="47" t="str">
        <f>IFERROR(VLOOKUP(G2675,WholesaleExtract!B:M,12,FALSE),"")</f>
        <v/>
      </c>
      <c r="R2675" s="19"/>
      <c r="S2675" s="19"/>
    </row>
    <row r="2676" spans="1:19" x14ac:dyDescent="0.35">
      <c r="A2676" s="26" t="s">
        <v>543</v>
      </c>
      <c r="B2676" s="26" t="s">
        <v>543</v>
      </c>
      <c r="C2676" s="26"/>
      <c r="D2676" s="26" t="s">
        <v>543</v>
      </c>
      <c r="E2676" s="26" t="str">
        <f>IFERROR(VLOOKUP(G2676,WholesaleExtract!B:J,9,FALSE),"")</f>
        <v/>
      </c>
      <c r="F2676" s="26" t="str">
        <f>IFERROR(VLOOKUP(G2676,WholesaleExtract!B:J,6,FALSE),"")</f>
        <v/>
      </c>
      <c r="H2676" s="47" t="str">
        <f>IFERROR(VLOOKUP(G2676,WholesaleExtract!B:L,11,FALSE),"")</f>
        <v/>
      </c>
      <c r="I2676" s="26" t="str">
        <f>IFERROR(VLOOKUP(G2676,WholesaleExtract!B:O,8,FALSE),"")</f>
        <v/>
      </c>
      <c r="J2676" s="26" t="str">
        <f>IFERROR(VLOOKUP(G2676,WholesaleExtract!B:O,14,FALSE),"")</f>
        <v/>
      </c>
      <c r="K2676" s="26" t="str">
        <f>IFERROR(VLOOKUP(G2676,WholesaleExtract!B:K,10,FALSE),"")</f>
        <v/>
      </c>
      <c r="L2676" s="47" t="str">
        <f>IFERROR(VLOOKUP(G2676,WholesaleExtract!B:L,11,FALSE),"")</f>
        <v/>
      </c>
      <c r="M2676" s="47" t="str">
        <f>IFERROR(VLOOKUP(G2676,WholesaleExtract!B:M,12,FALSE),"")</f>
        <v/>
      </c>
      <c r="R2676" s="19"/>
      <c r="S2676" s="19"/>
    </row>
    <row r="2677" spans="1:19" x14ac:dyDescent="0.35">
      <c r="A2677" s="26" t="s">
        <v>543</v>
      </c>
      <c r="B2677" s="26" t="s">
        <v>543</v>
      </c>
      <c r="C2677" s="26"/>
      <c r="D2677" s="26" t="s">
        <v>543</v>
      </c>
      <c r="E2677" s="26" t="str">
        <f>IFERROR(VLOOKUP(G2677,WholesaleExtract!B:J,9,FALSE),"")</f>
        <v/>
      </c>
      <c r="F2677" s="26" t="str">
        <f>IFERROR(VLOOKUP(G2677,WholesaleExtract!B:J,6,FALSE),"")</f>
        <v/>
      </c>
      <c r="H2677" s="47" t="str">
        <f>IFERROR(VLOOKUP(G2677,WholesaleExtract!B:L,11,FALSE),"")</f>
        <v/>
      </c>
      <c r="I2677" s="26" t="str">
        <f>IFERROR(VLOOKUP(G2677,WholesaleExtract!B:O,8,FALSE),"")</f>
        <v/>
      </c>
      <c r="J2677" s="26" t="str">
        <f>IFERROR(VLOOKUP(G2677,WholesaleExtract!B:O,14,FALSE),"")</f>
        <v/>
      </c>
      <c r="K2677" s="26" t="str">
        <f>IFERROR(VLOOKUP(G2677,WholesaleExtract!B:K,10,FALSE),"")</f>
        <v/>
      </c>
      <c r="L2677" s="47" t="str">
        <f>IFERROR(VLOOKUP(G2677,WholesaleExtract!B:L,11,FALSE),"")</f>
        <v/>
      </c>
      <c r="M2677" s="47" t="str">
        <f>IFERROR(VLOOKUP(G2677,WholesaleExtract!B:M,12,FALSE),"")</f>
        <v/>
      </c>
      <c r="R2677" s="19"/>
      <c r="S2677" s="19"/>
    </row>
    <row r="2678" spans="1:19" x14ac:dyDescent="0.35">
      <c r="A2678" s="26" t="s">
        <v>543</v>
      </c>
      <c r="B2678" s="26" t="s">
        <v>543</v>
      </c>
      <c r="C2678" s="26"/>
      <c r="D2678" s="26" t="s">
        <v>543</v>
      </c>
      <c r="E2678" s="26" t="str">
        <f>IFERROR(VLOOKUP(G2678,WholesaleExtract!B:J,9,FALSE),"")</f>
        <v/>
      </c>
      <c r="F2678" s="26" t="str">
        <f>IFERROR(VLOOKUP(G2678,WholesaleExtract!B:J,6,FALSE),"")</f>
        <v/>
      </c>
      <c r="H2678" s="47" t="str">
        <f>IFERROR(VLOOKUP(G2678,WholesaleExtract!B:L,11,FALSE),"")</f>
        <v/>
      </c>
      <c r="I2678" s="26" t="str">
        <f>IFERROR(VLOOKUP(G2678,WholesaleExtract!B:O,8,FALSE),"")</f>
        <v/>
      </c>
      <c r="J2678" s="26" t="str">
        <f>IFERROR(VLOOKUP(G2678,WholesaleExtract!B:O,14,FALSE),"")</f>
        <v/>
      </c>
      <c r="K2678" s="26" t="str">
        <f>IFERROR(VLOOKUP(G2678,WholesaleExtract!B:K,10,FALSE),"")</f>
        <v/>
      </c>
      <c r="L2678" s="47" t="str">
        <f>IFERROR(VLOOKUP(G2678,WholesaleExtract!B:L,11,FALSE),"")</f>
        <v/>
      </c>
      <c r="M2678" s="47" t="str">
        <f>IFERROR(VLOOKUP(G2678,WholesaleExtract!B:M,12,FALSE),"")</f>
        <v/>
      </c>
      <c r="R2678" s="19"/>
      <c r="S2678" s="19"/>
    </row>
    <row r="2679" spans="1:19" x14ac:dyDescent="0.35">
      <c r="A2679" s="26" t="s">
        <v>543</v>
      </c>
      <c r="B2679" s="26" t="s">
        <v>543</v>
      </c>
      <c r="C2679" s="26"/>
      <c r="D2679" s="26" t="s">
        <v>543</v>
      </c>
      <c r="E2679" s="26" t="str">
        <f>IFERROR(VLOOKUP(G2679,WholesaleExtract!B:J,9,FALSE),"")</f>
        <v/>
      </c>
      <c r="F2679" s="26" t="str">
        <f>IFERROR(VLOOKUP(G2679,WholesaleExtract!B:J,6,FALSE),"")</f>
        <v/>
      </c>
      <c r="H2679" s="47" t="str">
        <f>IFERROR(VLOOKUP(G2679,WholesaleExtract!B:L,11,FALSE),"")</f>
        <v/>
      </c>
      <c r="I2679" s="26" t="str">
        <f>IFERROR(VLOOKUP(G2679,WholesaleExtract!B:O,8,FALSE),"")</f>
        <v/>
      </c>
      <c r="J2679" s="26" t="str">
        <f>IFERROR(VLOOKUP(G2679,WholesaleExtract!B:O,14,FALSE),"")</f>
        <v/>
      </c>
      <c r="K2679" s="26" t="str">
        <f>IFERROR(VLOOKUP(G2679,WholesaleExtract!B:K,10,FALSE),"")</f>
        <v/>
      </c>
      <c r="L2679" s="47" t="str">
        <f>IFERROR(VLOOKUP(G2679,WholesaleExtract!B:L,11,FALSE),"")</f>
        <v/>
      </c>
      <c r="M2679" s="47" t="str">
        <f>IFERROR(VLOOKUP(G2679,WholesaleExtract!B:M,12,FALSE),"")</f>
        <v/>
      </c>
      <c r="R2679" s="19"/>
      <c r="S2679" s="19"/>
    </row>
    <row r="2680" spans="1:19" x14ac:dyDescent="0.35">
      <c r="A2680" s="26" t="s">
        <v>543</v>
      </c>
      <c r="B2680" s="26" t="s">
        <v>543</v>
      </c>
      <c r="C2680" s="26"/>
      <c r="D2680" s="26" t="s">
        <v>543</v>
      </c>
      <c r="E2680" s="26" t="str">
        <f>IFERROR(VLOOKUP(G2680,WholesaleExtract!B:J,9,FALSE),"")</f>
        <v/>
      </c>
      <c r="F2680" s="26" t="str">
        <f>IFERROR(VLOOKUP(G2680,WholesaleExtract!B:J,6,FALSE),"")</f>
        <v/>
      </c>
      <c r="H2680" s="47" t="str">
        <f>IFERROR(VLOOKUP(G2680,WholesaleExtract!B:L,11,FALSE),"")</f>
        <v/>
      </c>
      <c r="I2680" s="26" t="str">
        <f>IFERROR(VLOOKUP(G2680,WholesaleExtract!B:O,8,FALSE),"")</f>
        <v/>
      </c>
      <c r="J2680" s="26" t="str">
        <f>IFERROR(VLOOKUP(G2680,WholesaleExtract!B:O,14,FALSE),"")</f>
        <v/>
      </c>
      <c r="K2680" s="26" t="str">
        <f>IFERROR(VLOOKUP(G2680,WholesaleExtract!B:K,10,FALSE),"")</f>
        <v/>
      </c>
      <c r="L2680" s="47" t="str">
        <f>IFERROR(VLOOKUP(G2680,WholesaleExtract!B:L,11,FALSE),"")</f>
        <v/>
      </c>
      <c r="M2680" s="47" t="str">
        <f>IFERROR(VLOOKUP(G2680,WholesaleExtract!B:M,12,FALSE),"")</f>
        <v/>
      </c>
      <c r="R2680" s="19"/>
      <c r="S2680" s="19"/>
    </row>
    <row r="2681" spans="1:19" x14ac:dyDescent="0.35">
      <c r="A2681" s="26" t="s">
        <v>543</v>
      </c>
      <c r="B2681" s="26" t="s">
        <v>543</v>
      </c>
      <c r="C2681" s="26"/>
      <c r="D2681" s="26" t="s">
        <v>543</v>
      </c>
      <c r="E2681" s="26" t="str">
        <f>IFERROR(VLOOKUP(G2681,WholesaleExtract!B:J,9,FALSE),"")</f>
        <v/>
      </c>
      <c r="F2681" s="26" t="str">
        <f>IFERROR(VLOOKUP(G2681,WholesaleExtract!B:J,6,FALSE),"")</f>
        <v/>
      </c>
      <c r="H2681" s="47" t="str">
        <f>IFERROR(VLOOKUP(G2681,WholesaleExtract!B:L,11,FALSE),"")</f>
        <v/>
      </c>
      <c r="I2681" s="26" t="str">
        <f>IFERROR(VLOOKUP(G2681,WholesaleExtract!B:O,8,FALSE),"")</f>
        <v/>
      </c>
      <c r="J2681" s="26" t="str">
        <f>IFERROR(VLOOKUP(G2681,WholesaleExtract!B:O,14,FALSE),"")</f>
        <v/>
      </c>
      <c r="K2681" s="26" t="str">
        <f>IFERROR(VLOOKUP(G2681,WholesaleExtract!B:K,10,FALSE),"")</f>
        <v/>
      </c>
      <c r="L2681" s="47" t="str">
        <f>IFERROR(VLOOKUP(G2681,WholesaleExtract!B:L,11,FALSE),"")</f>
        <v/>
      </c>
      <c r="M2681" s="47" t="str">
        <f>IFERROR(VLOOKUP(G2681,WholesaleExtract!B:M,12,FALSE),"")</f>
        <v/>
      </c>
      <c r="R2681" s="19"/>
      <c r="S2681" s="19"/>
    </row>
    <row r="2682" spans="1:19" x14ac:dyDescent="0.35">
      <c r="A2682" s="26" t="s">
        <v>543</v>
      </c>
      <c r="B2682" s="26" t="s">
        <v>543</v>
      </c>
      <c r="C2682" s="26"/>
      <c r="D2682" s="26" t="s">
        <v>543</v>
      </c>
      <c r="E2682" s="26" t="str">
        <f>IFERROR(VLOOKUP(G2682,WholesaleExtract!B:J,9,FALSE),"")</f>
        <v/>
      </c>
      <c r="F2682" s="26" t="str">
        <f>IFERROR(VLOOKUP(G2682,WholesaleExtract!B:J,6,FALSE),"")</f>
        <v/>
      </c>
      <c r="H2682" s="47" t="str">
        <f>IFERROR(VLOOKUP(G2682,WholesaleExtract!B:L,11,FALSE),"")</f>
        <v/>
      </c>
      <c r="I2682" s="26" t="str">
        <f>IFERROR(VLOOKUP(G2682,WholesaleExtract!B:O,8,FALSE),"")</f>
        <v/>
      </c>
      <c r="J2682" s="26" t="str">
        <f>IFERROR(VLOOKUP(G2682,WholesaleExtract!B:O,14,FALSE),"")</f>
        <v/>
      </c>
      <c r="K2682" s="26" t="str">
        <f>IFERROR(VLOOKUP(G2682,WholesaleExtract!B:K,10,FALSE),"")</f>
        <v/>
      </c>
      <c r="L2682" s="47" t="str">
        <f>IFERROR(VLOOKUP(G2682,WholesaleExtract!B:L,11,FALSE),"")</f>
        <v/>
      </c>
      <c r="M2682" s="47" t="str">
        <f>IFERROR(VLOOKUP(G2682,WholesaleExtract!B:M,12,FALSE),"")</f>
        <v/>
      </c>
      <c r="R2682" s="19"/>
      <c r="S2682" s="19"/>
    </row>
    <row r="2683" spans="1:19" x14ac:dyDescent="0.35">
      <c r="A2683" s="26" t="s">
        <v>543</v>
      </c>
      <c r="B2683" s="26" t="s">
        <v>543</v>
      </c>
      <c r="C2683" s="26"/>
      <c r="D2683" s="26" t="s">
        <v>543</v>
      </c>
      <c r="E2683" s="26" t="str">
        <f>IFERROR(VLOOKUP(G2683,WholesaleExtract!B:J,9,FALSE),"")</f>
        <v/>
      </c>
      <c r="F2683" s="26" t="str">
        <f>IFERROR(VLOOKUP(G2683,WholesaleExtract!B:J,6,FALSE),"")</f>
        <v/>
      </c>
      <c r="H2683" s="47" t="str">
        <f>IFERROR(VLOOKUP(G2683,WholesaleExtract!B:L,11,FALSE),"")</f>
        <v/>
      </c>
      <c r="I2683" s="26" t="str">
        <f>IFERROR(VLOOKUP(G2683,WholesaleExtract!B:O,8,FALSE),"")</f>
        <v/>
      </c>
      <c r="J2683" s="26" t="str">
        <f>IFERROR(VLOOKUP(G2683,WholesaleExtract!B:O,14,FALSE),"")</f>
        <v/>
      </c>
      <c r="K2683" s="26" t="str">
        <f>IFERROR(VLOOKUP(G2683,WholesaleExtract!B:K,10,FALSE),"")</f>
        <v/>
      </c>
      <c r="L2683" s="47" t="str">
        <f>IFERROR(VLOOKUP(G2683,WholesaleExtract!B:L,11,FALSE),"")</f>
        <v/>
      </c>
      <c r="M2683" s="47" t="str">
        <f>IFERROR(VLOOKUP(G2683,WholesaleExtract!B:M,12,FALSE),"")</f>
        <v/>
      </c>
      <c r="R2683" s="19"/>
      <c r="S2683" s="19"/>
    </row>
    <row r="2684" spans="1:19" x14ac:dyDescent="0.35">
      <c r="A2684" s="26" t="s">
        <v>543</v>
      </c>
      <c r="B2684" s="26" t="s">
        <v>543</v>
      </c>
      <c r="C2684" s="26"/>
      <c r="D2684" s="26" t="s">
        <v>543</v>
      </c>
      <c r="E2684" s="26" t="str">
        <f>IFERROR(VLOOKUP(G2684,WholesaleExtract!B:J,9,FALSE),"")</f>
        <v/>
      </c>
      <c r="F2684" s="26" t="str">
        <f>IFERROR(VLOOKUP(G2684,WholesaleExtract!B:J,6,FALSE),"")</f>
        <v/>
      </c>
      <c r="H2684" s="47" t="str">
        <f>IFERROR(VLOOKUP(G2684,WholesaleExtract!B:L,11,FALSE),"")</f>
        <v/>
      </c>
      <c r="I2684" s="26" t="str">
        <f>IFERROR(VLOOKUP(G2684,WholesaleExtract!B:O,8,FALSE),"")</f>
        <v/>
      </c>
      <c r="J2684" s="26" t="str">
        <f>IFERROR(VLOOKUP(G2684,WholesaleExtract!B:O,14,FALSE),"")</f>
        <v/>
      </c>
      <c r="K2684" s="26" t="str">
        <f>IFERROR(VLOOKUP(G2684,WholesaleExtract!B:K,10,FALSE),"")</f>
        <v/>
      </c>
      <c r="L2684" s="47" t="str">
        <f>IFERROR(VLOOKUP(G2684,WholesaleExtract!B:L,11,FALSE),"")</f>
        <v/>
      </c>
      <c r="M2684" s="47" t="str">
        <f>IFERROR(VLOOKUP(G2684,WholesaleExtract!B:M,12,FALSE),"")</f>
        <v/>
      </c>
      <c r="R2684" s="19"/>
      <c r="S2684" s="19"/>
    </row>
    <row r="2685" spans="1:19" x14ac:dyDescent="0.35">
      <c r="A2685" s="26" t="s">
        <v>543</v>
      </c>
      <c r="B2685" s="26" t="s">
        <v>543</v>
      </c>
      <c r="C2685" s="26"/>
      <c r="D2685" s="26" t="s">
        <v>543</v>
      </c>
      <c r="E2685" s="26" t="str">
        <f>IFERROR(VLOOKUP(G2685,WholesaleExtract!B:J,9,FALSE),"")</f>
        <v/>
      </c>
      <c r="F2685" s="26" t="str">
        <f>IFERROR(VLOOKUP(G2685,WholesaleExtract!B:J,6,FALSE),"")</f>
        <v/>
      </c>
      <c r="H2685" s="47" t="str">
        <f>IFERROR(VLOOKUP(G2685,WholesaleExtract!B:L,11,FALSE),"")</f>
        <v/>
      </c>
      <c r="I2685" s="26" t="str">
        <f>IFERROR(VLOOKUP(G2685,WholesaleExtract!B:O,8,FALSE),"")</f>
        <v/>
      </c>
      <c r="J2685" s="26" t="str">
        <f>IFERROR(VLOOKUP(G2685,WholesaleExtract!B:O,14,FALSE),"")</f>
        <v/>
      </c>
      <c r="K2685" s="26" t="str">
        <f>IFERROR(VLOOKUP(G2685,WholesaleExtract!B:K,10,FALSE),"")</f>
        <v/>
      </c>
      <c r="L2685" s="47" t="str">
        <f>IFERROR(VLOOKUP(G2685,WholesaleExtract!B:L,11,FALSE),"")</f>
        <v/>
      </c>
      <c r="M2685" s="47" t="str">
        <f>IFERROR(VLOOKUP(G2685,WholesaleExtract!B:M,12,FALSE),"")</f>
        <v/>
      </c>
      <c r="R2685" s="19"/>
      <c r="S2685" s="19"/>
    </row>
    <row r="2686" spans="1:19" x14ac:dyDescent="0.35">
      <c r="A2686" s="26" t="s">
        <v>543</v>
      </c>
      <c r="B2686" s="26" t="s">
        <v>543</v>
      </c>
      <c r="C2686" s="26"/>
      <c r="D2686" s="26" t="s">
        <v>543</v>
      </c>
      <c r="E2686" s="26" t="str">
        <f>IFERROR(VLOOKUP(G2686,WholesaleExtract!B:J,9,FALSE),"")</f>
        <v/>
      </c>
      <c r="F2686" s="26" t="str">
        <f>IFERROR(VLOOKUP(G2686,WholesaleExtract!B:J,6,FALSE),"")</f>
        <v/>
      </c>
      <c r="H2686" s="47" t="str">
        <f>IFERROR(VLOOKUP(G2686,WholesaleExtract!B:L,11,FALSE),"")</f>
        <v/>
      </c>
      <c r="I2686" s="26" t="str">
        <f>IFERROR(VLOOKUP(G2686,WholesaleExtract!B:O,8,FALSE),"")</f>
        <v/>
      </c>
      <c r="J2686" s="26" t="str">
        <f>IFERROR(VLOOKUP(G2686,WholesaleExtract!B:O,14,FALSE),"")</f>
        <v/>
      </c>
      <c r="K2686" s="26" t="str">
        <f>IFERROR(VLOOKUP(G2686,WholesaleExtract!B:K,10,FALSE),"")</f>
        <v/>
      </c>
      <c r="L2686" s="47" t="str">
        <f>IFERROR(VLOOKUP(G2686,WholesaleExtract!B:L,11,FALSE),"")</f>
        <v/>
      </c>
      <c r="M2686" s="47" t="str">
        <f>IFERROR(VLOOKUP(G2686,WholesaleExtract!B:M,12,FALSE),"")</f>
        <v/>
      </c>
      <c r="R2686" s="19"/>
      <c r="S2686" s="19"/>
    </row>
    <row r="2687" spans="1:19" x14ac:dyDescent="0.35">
      <c r="A2687" s="26" t="s">
        <v>543</v>
      </c>
      <c r="B2687" s="26" t="s">
        <v>543</v>
      </c>
      <c r="C2687" s="26"/>
      <c r="D2687" s="26" t="s">
        <v>543</v>
      </c>
      <c r="E2687" s="26" t="str">
        <f>IFERROR(VLOOKUP(G2687,WholesaleExtract!B:J,9,FALSE),"")</f>
        <v/>
      </c>
      <c r="F2687" s="26" t="str">
        <f>IFERROR(VLOOKUP(G2687,WholesaleExtract!B:J,6,FALSE),"")</f>
        <v/>
      </c>
      <c r="H2687" s="47" t="str">
        <f>IFERROR(VLOOKUP(G2687,WholesaleExtract!B:L,11,FALSE),"")</f>
        <v/>
      </c>
      <c r="I2687" s="26" t="str">
        <f>IFERROR(VLOOKUP(G2687,WholesaleExtract!B:O,8,FALSE),"")</f>
        <v/>
      </c>
      <c r="J2687" s="26" t="str">
        <f>IFERROR(VLOOKUP(G2687,WholesaleExtract!B:O,14,FALSE),"")</f>
        <v/>
      </c>
      <c r="K2687" s="26" t="str">
        <f>IFERROR(VLOOKUP(G2687,WholesaleExtract!B:K,10,FALSE),"")</f>
        <v/>
      </c>
      <c r="L2687" s="47" t="str">
        <f>IFERROR(VLOOKUP(G2687,WholesaleExtract!B:L,11,FALSE),"")</f>
        <v/>
      </c>
      <c r="M2687" s="47" t="str">
        <f>IFERROR(VLOOKUP(G2687,WholesaleExtract!B:M,12,FALSE),"")</f>
        <v/>
      </c>
      <c r="R2687" s="19"/>
      <c r="S2687" s="19"/>
    </row>
    <row r="2688" spans="1:19" x14ac:dyDescent="0.35">
      <c r="A2688" s="26" t="s">
        <v>543</v>
      </c>
      <c r="B2688" s="26" t="s">
        <v>543</v>
      </c>
      <c r="C2688" s="26"/>
      <c r="D2688" s="26" t="s">
        <v>543</v>
      </c>
      <c r="E2688" s="26" t="str">
        <f>IFERROR(VLOOKUP(G2688,WholesaleExtract!B:J,9,FALSE),"")</f>
        <v/>
      </c>
      <c r="F2688" s="26" t="str">
        <f>IFERROR(VLOOKUP(G2688,WholesaleExtract!B:J,6,FALSE),"")</f>
        <v/>
      </c>
      <c r="H2688" s="47" t="str">
        <f>IFERROR(VLOOKUP(G2688,WholesaleExtract!B:L,11,FALSE),"")</f>
        <v/>
      </c>
      <c r="I2688" s="26" t="str">
        <f>IFERROR(VLOOKUP(G2688,WholesaleExtract!B:O,8,FALSE),"")</f>
        <v/>
      </c>
      <c r="J2688" s="26" t="str">
        <f>IFERROR(VLOOKUP(G2688,WholesaleExtract!B:O,14,FALSE),"")</f>
        <v/>
      </c>
      <c r="K2688" s="26" t="str">
        <f>IFERROR(VLOOKUP(G2688,WholesaleExtract!B:K,10,FALSE),"")</f>
        <v/>
      </c>
      <c r="L2688" s="47" t="str">
        <f>IFERROR(VLOOKUP(G2688,WholesaleExtract!B:L,11,FALSE),"")</f>
        <v/>
      </c>
      <c r="M2688" s="47" t="str">
        <f>IFERROR(VLOOKUP(G2688,WholesaleExtract!B:M,12,FALSE),"")</f>
        <v/>
      </c>
      <c r="R2688" s="19"/>
      <c r="S2688" s="19"/>
    </row>
    <row r="2689" spans="1:19" x14ac:dyDescent="0.35">
      <c r="A2689" s="26" t="s">
        <v>543</v>
      </c>
      <c r="B2689" s="26" t="s">
        <v>543</v>
      </c>
      <c r="C2689" s="26"/>
      <c r="D2689" s="26" t="s">
        <v>543</v>
      </c>
      <c r="E2689" s="26" t="str">
        <f>IFERROR(VLOOKUP(G2689,WholesaleExtract!B:J,9,FALSE),"")</f>
        <v/>
      </c>
      <c r="F2689" s="26" t="str">
        <f>IFERROR(VLOOKUP(G2689,WholesaleExtract!B:J,6,FALSE),"")</f>
        <v/>
      </c>
      <c r="H2689" s="47" t="str">
        <f>IFERROR(VLOOKUP(G2689,WholesaleExtract!B:L,11,FALSE),"")</f>
        <v/>
      </c>
      <c r="I2689" s="26" t="str">
        <f>IFERROR(VLOOKUP(G2689,WholesaleExtract!B:O,8,FALSE),"")</f>
        <v/>
      </c>
      <c r="J2689" s="26" t="str">
        <f>IFERROR(VLOOKUP(G2689,WholesaleExtract!B:O,14,FALSE),"")</f>
        <v/>
      </c>
      <c r="K2689" s="26" t="str">
        <f>IFERROR(VLOOKUP(G2689,WholesaleExtract!B:K,10,FALSE),"")</f>
        <v/>
      </c>
      <c r="L2689" s="47" t="str">
        <f>IFERROR(VLOOKUP(G2689,WholesaleExtract!B:L,11,FALSE),"")</f>
        <v/>
      </c>
      <c r="M2689" s="47" t="str">
        <f>IFERROR(VLOOKUP(G2689,WholesaleExtract!B:M,12,FALSE),"")</f>
        <v/>
      </c>
      <c r="R2689" s="19"/>
      <c r="S2689" s="19"/>
    </row>
    <row r="2690" spans="1:19" x14ac:dyDescent="0.35">
      <c r="A2690" s="26" t="s">
        <v>543</v>
      </c>
      <c r="B2690" s="26" t="s">
        <v>543</v>
      </c>
      <c r="C2690" s="26"/>
      <c r="D2690" s="26" t="s">
        <v>543</v>
      </c>
      <c r="E2690" s="26" t="str">
        <f>IFERROR(VLOOKUP(G2690,WholesaleExtract!B:J,9,FALSE),"")</f>
        <v/>
      </c>
      <c r="F2690" s="26" t="str">
        <f>IFERROR(VLOOKUP(G2690,WholesaleExtract!B:J,6,FALSE),"")</f>
        <v/>
      </c>
      <c r="H2690" s="47" t="str">
        <f>IFERROR(VLOOKUP(G2690,WholesaleExtract!B:L,11,FALSE),"")</f>
        <v/>
      </c>
      <c r="I2690" s="26" t="str">
        <f>IFERROR(VLOOKUP(G2690,WholesaleExtract!B:O,8,FALSE),"")</f>
        <v/>
      </c>
      <c r="J2690" s="26" t="str">
        <f>IFERROR(VLOOKUP(G2690,WholesaleExtract!B:O,14,FALSE),"")</f>
        <v/>
      </c>
      <c r="K2690" s="26" t="str">
        <f>IFERROR(VLOOKUP(G2690,WholesaleExtract!B:K,10,FALSE),"")</f>
        <v/>
      </c>
      <c r="L2690" s="47" t="str">
        <f>IFERROR(VLOOKUP(G2690,WholesaleExtract!B:L,11,FALSE),"")</f>
        <v/>
      </c>
      <c r="M2690" s="47" t="str">
        <f>IFERROR(VLOOKUP(G2690,WholesaleExtract!B:M,12,FALSE),"")</f>
        <v/>
      </c>
      <c r="R2690" s="19"/>
      <c r="S2690" s="19"/>
    </row>
    <row r="2691" spans="1:19" x14ac:dyDescent="0.35">
      <c r="A2691" s="26" t="s">
        <v>543</v>
      </c>
      <c r="B2691" s="26" t="s">
        <v>543</v>
      </c>
      <c r="C2691" s="26"/>
      <c r="D2691" s="26" t="s">
        <v>543</v>
      </c>
      <c r="E2691" s="26" t="str">
        <f>IFERROR(VLOOKUP(G2691,WholesaleExtract!B:J,9,FALSE),"")</f>
        <v/>
      </c>
      <c r="F2691" s="26" t="str">
        <f>IFERROR(VLOOKUP(G2691,WholesaleExtract!B:J,6,FALSE),"")</f>
        <v/>
      </c>
      <c r="H2691" s="47" t="str">
        <f>IFERROR(VLOOKUP(G2691,WholesaleExtract!B:L,11,FALSE),"")</f>
        <v/>
      </c>
      <c r="I2691" s="26" t="str">
        <f>IFERROR(VLOOKUP(G2691,WholesaleExtract!B:O,8,FALSE),"")</f>
        <v/>
      </c>
      <c r="J2691" s="26" t="str">
        <f>IFERROR(VLOOKUP(G2691,WholesaleExtract!B:O,14,FALSE),"")</f>
        <v/>
      </c>
      <c r="K2691" s="26" t="str">
        <f>IFERROR(VLOOKUP(G2691,WholesaleExtract!B:K,10,FALSE),"")</f>
        <v/>
      </c>
      <c r="L2691" s="47" t="str">
        <f>IFERROR(VLOOKUP(G2691,WholesaleExtract!B:L,11,FALSE),"")</f>
        <v/>
      </c>
      <c r="M2691" s="47" t="str">
        <f>IFERROR(VLOOKUP(G2691,WholesaleExtract!B:M,12,FALSE),"")</f>
        <v/>
      </c>
      <c r="R2691" s="19"/>
      <c r="S2691" s="19"/>
    </row>
    <row r="2692" spans="1:19" x14ac:dyDescent="0.35">
      <c r="A2692" s="26" t="s">
        <v>543</v>
      </c>
      <c r="B2692" s="26" t="s">
        <v>543</v>
      </c>
      <c r="C2692" s="26"/>
      <c r="D2692" s="26" t="s">
        <v>543</v>
      </c>
      <c r="E2692" s="26" t="str">
        <f>IFERROR(VLOOKUP(G2692,WholesaleExtract!B:J,9,FALSE),"")</f>
        <v/>
      </c>
      <c r="F2692" s="26" t="str">
        <f>IFERROR(VLOOKUP(G2692,WholesaleExtract!B:J,6,FALSE),"")</f>
        <v/>
      </c>
      <c r="H2692" s="47" t="str">
        <f>IFERROR(VLOOKUP(G2692,WholesaleExtract!B:L,11,FALSE),"")</f>
        <v/>
      </c>
      <c r="I2692" s="26" t="str">
        <f>IFERROR(VLOOKUP(G2692,WholesaleExtract!B:O,8,FALSE),"")</f>
        <v/>
      </c>
      <c r="J2692" s="26" t="str">
        <f>IFERROR(VLOOKUP(G2692,WholesaleExtract!B:O,14,FALSE),"")</f>
        <v/>
      </c>
      <c r="K2692" s="26" t="str">
        <f>IFERROR(VLOOKUP(G2692,WholesaleExtract!B:K,10,FALSE),"")</f>
        <v/>
      </c>
      <c r="L2692" s="47" t="str">
        <f>IFERROR(VLOOKUP(G2692,WholesaleExtract!B:L,11,FALSE),"")</f>
        <v/>
      </c>
      <c r="M2692" s="47" t="str">
        <f>IFERROR(VLOOKUP(G2692,WholesaleExtract!B:M,12,FALSE),"")</f>
        <v/>
      </c>
      <c r="R2692" s="19"/>
      <c r="S2692" s="19"/>
    </row>
    <row r="2693" spans="1:19" x14ac:dyDescent="0.35">
      <c r="A2693" s="26" t="s">
        <v>543</v>
      </c>
      <c r="B2693" s="26" t="s">
        <v>543</v>
      </c>
      <c r="C2693" s="26"/>
      <c r="D2693" s="26" t="s">
        <v>543</v>
      </c>
      <c r="E2693" s="26" t="str">
        <f>IFERROR(VLOOKUP(G2693,WholesaleExtract!B:J,9,FALSE),"")</f>
        <v/>
      </c>
      <c r="F2693" s="26" t="str">
        <f>IFERROR(VLOOKUP(G2693,WholesaleExtract!B:J,6,FALSE),"")</f>
        <v/>
      </c>
      <c r="H2693" s="47" t="str">
        <f>IFERROR(VLOOKUP(G2693,WholesaleExtract!B:L,11,FALSE),"")</f>
        <v/>
      </c>
      <c r="I2693" s="26" t="str">
        <f>IFERROR(VLOOKUP(G2693,WholesaleExtract!B:O,8,FALSE),"")</f>
        <v/>
      </c>
      <c r="J2693" s="26" t="str">
        <f>IFERROR(VLOOKUP(G2693,WholesaleExtract!B:O,14,FALSE),"")</f>
        <v/>
      </c>
      <c r="K2693" s="26" t="str">
        <f>IFERROR(VLOOKUP(G2693,WholesaleExtract!B:K,10,FALSE),"")</f>
        <v/>
      </c>
      <c r="L2693" s="47" t="str">
        <f>IFERROR(VLOOKUP(G2693,WholesaleExtract!B:L,11,FALSE),"")</f>
        <v/>
      </c>
      <c r="M2693" s="47" t="str">
        <f>IFERROR(VLOOKUP(G2693,WholesaleExtract!B:M,12,FALSE),"")</f>
        <v/>
      </c>
      <c r="R2693" s="19"/>
      <c r="S2693" s="19"/>
    </row>
    <row r="2694" spans="1:19" x14ac:dyDescent="0.35">
      <c r="A2694" s="26" t="s">
        <v>543</v>
      </c>
      <c r="B2694" s="26" t="s">
        <v>543</v>
      </c>
      <c r="C2694" s="26"/>
      <c r="D2694" s="26" t="s">
        <v>543</v>
      </c>
      <c r="E2694" s="26" t="str">
        <f>IFERROR(VLOOKUP(G2694,WholesaleExtract!B:J,9,FALSE),"")</f>
        <v/>
      </c>
      <c r="F2694" s="26" t="str">
        <f>IFERROR(VLOOKUP(G2694,WholesaleExtract!B:J,6,FALSE),"")</f>
        <v/>
      </c>
      <c r="H2694" s="47" t="str">
        <f>IFERROR(VLOOKUP(G2694,WholesaleExtract!B:L,11,FALSE),"")</f>
        <v/>
      </c>
      <c r="I2694" s="26" t="str">
        <f>IFERROR(VLOOKUP(G2694,WholesaleExtract!B:O,8,FALSE),"")</f>
        <v/>
      </c>
      <c r="J2694" s="26" t="str">
        <f>IFERROR(VLOOKUP(G2694,WholesaleExtract!B:O,14,FALSE),"")</f>
        <v/>
      </c>
      <c r="K2694" s="26" t="str">
        <f>IFERROR(VLOOKUP(G2694,WholesaleExtract!B:K,10,FALSE),"")</f>
        <v/>
      </c>
      <c r="L2694" s="47" t="str">
        <f>IFERROR(VLOOKUP(G2694,WholesaleExtract!B:L,11,FALSE),"")</f>
        <v/>
      </c>
      <c r="M2694" s="47" t="str">
        <f>IFERROR(VLOOKUP(G2694,WholesaleExtract!B:M,12,FALSE),"")</f>
        <v/>
      </c>
      <c r="R2694" s="19"/>
      <c r="S2694" s="19"/>
    </row>
    <row r="2695" spans="1:19" x14ac:dyDescent="0.35">
      <c r="A2695" s="26" t="s">
        <v>543</v>
      </c>
      <c r="B2695" s="26" t="s">
        <v>543</v>
      </c>
      <c r="C2695" s="26"/>
      <c r="D2695" s="26" t="s">
        <v>543</v>
      </c>
      <c r="E2695" s="26" t="str">
        <f>IFERROR(VLOOKUP(G2695,WholesaleExtract!B:J,9,FALSE),"")</f>
        <v/>
      </c>
      <c r="F2695" s="26" t="str">
        <f>IFERROR(VLOOKUP(G2695,WholesaleExtract!B:J,6,FALSE),"")</f>
        <v/>
      </c>
      <c r="H2695" s="47" t="str">
        <f>IFERROR(VLOOKUP(G2695,WholesaleExtract!B:L,11,FALSE),"")</f>
        <v/>
      </c>
      <c r="I2695" s="26" t="str">
        <f>IFERROR(VLOOKUP(G2695,WholesaleExtract!B:O,8,FALSE),"")</f>
        <v/>
      </c>
      <c r="J2695" s="26" t="str">
        <f>IFERROR(VLOOKUP(G2695,WholesaleExtract!B:O,14,FALSE),"")</f>
        <v/>
      </c>
      <c r="K2695" s="26" t="str">
        <f>IFERROR(VLOOKUP(G2695,WholesaleExtract!B:K,10,FALSE),"")</f>
        <v/>
      </c>
      <c r="L2695" s="47" t="str">
        <f>IFERROR(VLOOKUP(G2695,WholesaleExtract!B:L,11,FALSE),"")</f>
        <v/>
      </c>
      <c r="M2695" s="47" t="str">
        <f>IFERROR(VLOOKUP(G2695,WholesaleExtract!B:M,12,FALSE),"")</f>
        <v/>
      </c>
      <c r="R2695" s="19"/>
      <c r="S2695" s="19"/>
    </row>
    <row r="2696" spans="1:19" x14ac:dyDescent="0.35">
      <c r="A2696" s="26" t="s">
        <v>543</v>
      </c>
      <c r="B2696" s="26" t="s">
        <v>543</v>
      </c>
      <c r="C2696" s="26"/>
      <c r="D2696" s="26" t="s">
        <v>543</v>
      </c>
      <c r="E2696" s="26" t="str">
        <f>IFERROR(VLOOKUP(G2696,WholesaleExtract!B:J,9,FALSE),"")</f>
        <v/>
      </c>
      <c r="F2696" s="26" t="str">
        <f>IFERROR(VLOOKUP(G2696,WholesaleExtract!B:J,6,FALSE),"")</f>
        <v/>
      </c>
      <c r="H2696" s="47" t="str">
        <f>IFERROR(VLOOKUP(G2696,WholesaleExtract!B:L,11,FALSE),"")</f>
        <v/>
      </c>
      <c r="I2696" s="26" t="str">
        <f>IFERROR(VLOOKUP(G2696,WholesaleExtract!B:O,8,FALSE),"")</f>
        <v/>
      </c>
      <c r="J2696" s="26" t="str">
        <f>IFERROR(VLOOKUP(G2696,WholesaleExtract!B:O,14,FALSE),"")</f>
        <v/>
      </c>
      <c r="K2696" s="26" t="str">
        <f>IFERROR(VLOOKUP(G2696,WholesaleExtract!B:K,10,FALSE),"")</f>
        <v/>
      </c>
      <c r="L2696" s="47" t="str">
        <f>IFERROR(VLOOKUP(G2696,WholesaleExtract!B:L,11,FALSE),"")</f>
        <v/>
      </c>
      <c r="M2696" s="47" t="str">
        <f>IFERROR(VLOOKUP(G2696,WholesaleExtract!B:M,12,FALSE),"")</f>
        <v/>
      </c>
      <c r="R2696" s="19"/>
      <c r="S2696" s="19"/>
    </row>
    <row r="2697" spans="1:19" x14ac:dyDescent="0.35">
      <c r="A2697" s="26" t="s">
        <v>543</v>
      </c>
      <c r="B2697" s="26" t="s">
        <v>543</v>
      </c>
      <c r="C2697" s="26"/>
      <c r="D2697" s="26" t="s">
        <v>543</v>
      </c>
      <c r="E2697" s="26" t="str">
        <f>IFERROR(VLOOKUP(G2697,WholesaleExtract!B:J,9,FALSE),"")</f>
        <v/>
      </c>
      <c r="F2697" s="26" t="str">
        <f>IFERROR(VLOOKUP(G2697,WholesaleExtract!B:J,6,FALSE),"")</f>
        <v/>
      </c>
      <c r="H2697" s="47" t="str">
        <f>IFERROR(VLOOKUP(G2697,WholesaleExtract!B:L,11,FALSE),"")</f>
        <v/>
      </c>
      <c r="I2697" s="26" t="str">
        <f>IFERROR(VLOOKUP(G2697,WholesaleExtract!B:O,8,FALSE),"")</f>
        <v/>
      </c>
      <c r="J2697" s="26" t="str">
        <f>IFERROR(VLOOKUP(G2697,WholesaleExtract!B:O,14,FALSE),"")</f>
        <v/>
      </c>
      <c r="K2697" s="26" t="str">
        <f>IFERROR(VLOOKUP(G2697,WholesaleExtract!B:K,10,FALSE),"")</f>
        <v/>
      </c>
      <c r="L2697" s="47" t="str">
        <f>IFERROR(VLOOKUP(G2697,WholesaleExtract!B:L,11,FALSE),"")</f>
        <v/>
      </c>
      <c r="M2697" s="47" t="str">
        <f>IFERROR(VLOOKUP(G2697,WholesaleExtract!B:M,12,FALSE),"")</f>
        <v/>
      </c>
      <c r="R2697" s="19"/>
      <c r="S2697" s="19"/>
    </row>
    <row r="2698" spans="1:19" x14ac:dyDescent="0.35">
      <c r="A2698" s="26" t="s">
        <v>543</v>
      </c>
      <c r="B2698" s="26" t="s">
        <v>543</v>
      </c>
      <c r="C2698" s="26"/>
      <c r="D2698" s="26" t="s">
        <v>543</v>
      </c>
      <c r="E2698" s="26" t="str">
        <f>IFERROR(VLOOKUP(G2698,WholesaleExtract!B:J,9,FALSE),"")</f>
        <v/>
      </c>
      <c r="F2698" s="26" t="str">
        <f>IFERROR(VLOOKUP(G2698,WholesaleExtract!B:J,6,FALSE),"")</f>
        <v/>
      </c>
      <c r="H2698" s="47" t="str">
        <f>IFERROR(VLOOKUP(G2698,WholesaleExtract!B:L,11,FALSE),"")</f>
        <v/>
      </c>
      <c r="I2698" s="26" t="str">
        <f>IFERROR(VLOOKUP(G2698,WholesaleExtract!B:O,8,FALSE),"")</f>
        <v/>
      </c>
      <c r="J2698" s="26" t="str">
        <f>IFERROR(VLOOKUP(G2698,WholesaleExtract!B:O,14,FALSE),"")</f>
        <v/>
      </c>
      <c r="K2698" s="26" t="str">
        <f>IFERROR(VLOOKUP(G2698,WholesaleExtract!B:K,10,FALSE),"")</f>
        <v/>
      </c>
      <c r="L2698" s="47" t="str">
        <f>IFERROR(VLOOKUP(G2698,WholesaleExtract!B:L,11,FALSE),"")</f>
        <v/>
      </c>
      <c r="M2698" s="47" t="str">
        <f>IFERROR(VLOOKUP(G2698,WholesaleExtract!B:M,12,FALSE),"")</f>
        <v/>
      </c>
      <c r="R2698" s="19"/>
      <c r="S2698" s="19"/>
    </row>
    <row r="2699" spans="1:19" x14ac:dyDescent="0.35">
      <c r="A2699" s="26" t="s">
        <v>543</v>
      </c>
      <c r="B2699" s="26" t="s">
        <v>543</v>
      </c>
      <c r="C2699" s="26"/>
      <c r="D2699" s="26" t="s">
        <v>543</v>
      </c>
      <c r="E2699" s="26" t="str">
        <f>IFERROR(VLOOKUP(G2699,WholesaleExtract!B:J,9,FALSE),"")</f>
        <v/>
      </c>
      <c r="F2699" s="26" t="str">
        <f>IFERROR(VLOOKUP(G2699,WholesaleExtract!B:J,6,FALSE),"")</f>
        <v/>
      </c>
      <c r="H2699" s="47" t="str">
        <f>IFERROR(VLOOKUP(G2699,WholesaleExtract!B:L,11,FALSE),"")</f>
        <v/>
      </c>
      <c r="I2699" s="26" t="str">
        <f>IFERROR(VLOOKUP(G2699,WholesaleExtract!B:O,8,FALSE),"")</f>
        <v/>
      </c>
      <c r="J2699" s="26" t="str">
        <f>IFERROR(VLOOKUP(G2699,WholesaleExtract!B:O,14,FALSE),"")</f>
        <v/>
      </c>
      <c r="K2699" s="26" t="str">
        <f>IFERROR(VLOOKUP(G2699,WholesaleExtract!B:K,10,FALSE),"")</f>
        <v/>
      </c>
      <c r="L2699" s="47" t="str">
        <f>IFERROR(VLOOKUP(G2699,WholesaleExtract!B:L,11,FALSE),"")</f>
        <v/>
      </c>
      <c r="M2699" s="47" t="str">
        <f>IFERROR(VLOOKUP(G2699,WholesaleExtract!B:M,12,FALSE),"")</f>
        <v/>
      </c>
      <c r="R2699" s="19"/>
      <c r="S2699" s="19"/>
    </row>
    <row r="2700" spans="1:19" x14ac:dyDescent="0.35">
      <c r="A2700" s="26" t="s">
        <v>543</v>
      </c>
      <c r="B2700" s="26" t="s">
        <v>543</v>
      </c>
      <c r="C2700" s="26"/>
      <c r="D2700" s="26" t="s">
        <v>543</v>
      </c>
      <c r="E2700" s="26" t="str">
        <f>IFERROR(VLOOKUP(G2700,WholesaleExtract!B:J,9,FALSE),"")</f>
        <v/>
      </c>
      <c r="F2700" s="26" t="str">
        <f>IFERROR(VLOOKUP(G2700,WholesaleExtract!B:J,6,FALSE),"")</f>
        <v/>
      </c>
      <c r="H2700" s="47" t="str">
        <f>IFERROR(VLOOKUP(G2700,WholesaleExtract!B:L,11,FALSE),"")</f>
        <v/>
      </c>
      <c r="I2700" s="26" t="str">
        <f>IFERROR(VLOOKUP(G2700,WholesaleExtract!B:O,8,FALSE),"")</f>
        <v/>
      </c>
      <c r="J2700" s="26" t="str">
        <f>IFERROR(VLOOKUP(G2700,WholesaleExtract!B:O,14,FALSE),"")</f>
        <v/>
      </c>
      <c r="K2700" s="26" t="str">
        <f>IFERROR(VLOOKUP(G2700,WholesaleExtract!B:K,10,FALSE),"")</f>
        <v/>
      </c>
      <c r="L2700" s="47" t="str">
        <f>IFERROR(VLOOKUP(G2700,WholesaleExtract!B:L,11,FALSE),"")</f>
        <v/>
      </c>
      <c r="M2700" s="47" t="str">
        <f>IFERROR(VLOOKUP(G2700,WholesaleExtract!B:M,12,FALSE),"")</f>
        <v/>
      </c>
      <c r="R2700" s="19"/>
      <c r="S2700" s="19"/>
    </row>
    <row r="2701" spans="1:19" x14ac:dyDescent="0.35">
      <c r="A2701" s="26" t="s">
        <v>543</v>
      </c>
      <c r="B2701" s="26" t="s">
        <v>543</v>
      </c>
      <c r="C2701" s="26"/>
      <c r="D2701" s="26" t="s">
        <v>543</v>
      </c>
      <c r="E2701" s="26" t="str">
        <f>IFERROR(VLOOKUP(G2701,WholesaleExtract!B:J,9,FALSE),"")</f>
        <v/>
      </c>
      <c r="F2701" s="26" t="str">
        <f>IFERROR(VLOOKUP(G2701,WholesaleExtract!B:J,6,FALSE),"")</f>
        <v/>
      </c>
      <c r="H2701" s="47" t="str">
        <f>IFERROR(VLOOKUP(G2701,WholesaleExtract!B:L,11,FALSE),"")</f>
        <v/>
      </c>
      <c r="I2701" s="26" t="str">
        <f>IFERROR(VLOOKUP(G2701,WholesaleExtract!B:O,8,FALSE),"")</f>
        <v/>
      </c>
      <c r="J2701" s="26" t="str">
        <f>IFERROR(VLOOKUP(G2701,WholesaleExtract!B:O,14,FALSE),"")</f>
        <v/>
      </c>
      <c r="K2701" s="26" t="str">
        <f>IFERROR(VLOOKUP(G2701,WholesaleExtract!B:K,10,FALSE),"")</f>
        <v/>
      </c>
      <c r="L2701" s="47" t="str">
        <f>IFERROR(VLOOKUP(G2701,WholesaleExtract!B:L,11,FALSE),"")</f>
        <v/>
      </c>
      <c r="M2701" s="47" t="str">
        <f>IFERROR(VLOOKUP(G2701,WholesaleExtract!B:M,12,FALSE),"")</f>
        <v/>
      </c>
      <c r="R2701" s="19"/>
      <c r="S2701" s="19"/>
    </row>
    <row r="2702" spans="1:19" x14ac:dyDescent="0.35">
      <c r="A2702" s="26" t="s">
        <v>543</v>
      </c>
      <c r="B2702" s="26" t="s">
        <v>543</v>
      </c>
      <c r="C2702" s="26"/>
      <c r="D2702" s="26" t="s">
        <v>543</v>
      </c>
      <c r="E2702" s="26" t="str">
        <f>IFERROR(VLOOKUP(G2702,WholesaleExtract!B:J,9,FALSE),"")</f>
        <v/>
      </c>
      <c r="F2702" s="26" t="str">
        <f>IFERROR(VLOOKUP(G2702,WholesaleExtract!B:J,6,FALSE),"")</f>
        <v/>
      </c>
      <c r="H2702" s="47" t="str">
        <f>IFERROR(VLOOKUP(G2702,WholesaleExtract!B:L,11,FALSE),"")</f>
        <v/>
      </c>
      <c r="I2702" s="26" t="str">
        <f>IFERROR(VLOOKUP(G2702,WholesaleExtract!B:O,8,FALSE),"")</f>
        <v/>
      </c>
      <c r="J2702" s="26" t="str">
        <f>IFERROR(VLOOKUP(G2702,WholesaleExtract!B:O,14,FALSE),"")</f>
        <v/>
      </c>
      <c r="K2702" s="26" t="str">
        <f>IFERROR(VLOOKUP(G2702,WholesaleExtract!B:K,10,FALSE),"")</f>
        <v/>
      </c>
      <c r="L2702" s="47" t="str">
        <f>IFERROR(VLOOKUP(G2702,WholesaleExtract!B:L,11,FALSE),"")</f>
        <v/>
      </c>
      <c r="M2702" s="47" t="str">
        <f>IFERROR(VLOOKUP(G2702,WholesaleExtract!B:M,12,FALSE),"")</f>
        <v/>
      </c>
      <c r="R2702" s="19"/>
      <c r="S2702" s="19"/>
    </row>
    <row r="2703" spans="1:19" x14ac:dyDescent="0.35">
      <c r="A2703" s="26" t="s">
        <v>543</v>
      </c>
      <c r="B2703" s="26" t="s">
        <v>543</v>
      </c>
      <c r="C2703" s="26"/>
      <c r="D2703" s="26" t="s">
        <v>543</v>
      </c>
      <c r="E2703" s="26" t="str">
        <f>IFERROR(VLOOKUP(G2703,WholesaleExtract!B:J,9,FALSE),"")</f>
        <v/>
      </c>
      <c r="F2703" s="26" t="str">
        <f>IFERROR(VLOOKUP(G2703,WholesaleExtract!B:J,6,FALSE),"")</f>
        <v/>
      </c>
      <c r="H2703" s="47" t="str">
        <f>IFERROR(VLOOKUP(G2703,WholesaleExtract!B:L,11,FALSE),"")</f>
        <v/>
      </c>
      <c r="I2703" s="26" t="str">
        <f>IFERROR(VLOOKUP(G2703,WholesaleExtract!B:O,8,FALSE),"")</f>
        <v/>
      </c>
      <c r="J2703" s="26" t="str">
        <f>IFERROR(VLOOKUP(G2703,WholesaleExtract!B:O,14,FALSE),"")</f>
        <v/>
      </c>
      <c r="K2703" s="26" t="str">
        <f>IFERROR(VLOOKUP(G2703,WholesaleExtract!B:K,10,FALSE),"")</f>
        <v/>
      </c>
      <c r="L2703" s="47" t="str">
        <f>IFERROR(VLOOKUP(G2703,WholesaleExtract!B:L,11,FALSE),"")</f>
        <v/>
      </c>
      <c r="M2703" s="47" t="str">
        <f>IFERROR(VLOOKUP(G2703,WholesaleExtract!B:M,12,FALSE),"")</f>
        <v/>
      </c>
      <c r="R2703" s="19"/>
      <c r="S2703" s="19"/>
    </row>
    <row r="2704" spans="1:19" x14ac:dyDescent="0.35">
      <c r="A2704" s="26" t="s">
        <v>543</v>
      </c>
      <c r="B2704" s="26" t="s">
        <v>543</v>
      </c>
      <c r="C2704" s="26"/>
      <c r="D2704" s="26" t="s">
        <v>543</v>
      </c>
      <c r="E2704" s="26" t="str">
        <f>IFERROR(VLOOKUP(G2704,WholesaleExtract!B:J,9,FALSE),"")</f>
        <v/>
      </c>
      <c r="F2704" s="26" t="str">
        <f>IFERROR(VLOOKUP(G2704,WholesaleExtract!B:J,6,FALSE),"")</f>
        <v/>
      </c>
      <c r="H2704" s="47" t="str">
        <f>IFERROR(VLOOKUP(G2704,WholesaleExtract!B:L,11,FALSE),"")</f>
        <v/>
      </c>
      <c r="I2704" s="26" t="str">
        <f>IFERROR(VLOOKUP(G2704,WholesaleExtract!B:O,8,FALSE),"")</f>
        <v/>
      </c>
      <c r="J2704" s="26" t="str">
        <f>IFERROR(VLOOKUP(G2704,WholesaleExtract!B:O,14,FALSE),"")</f>
        <v/>
      </c>
      <c r="K2704" s="26" t="str">
        <f>IFERROR(VLOOKUP(G2704,WholesaleExtract!B:K,10,FALSE),"")</f>
        <v/>
      </c>
      <c r="L2704" s="47" t="str">
        <f>IFERROR(VLOOKUP(G2704,WholesaleExtract!B:L,11,FALSE),"")</f>
        <v/>
      </c>
      <c r="M2704" s="47" t="str">
        <f>IFERROR(VLOOKUP(G2704,WholesaleExtract!B:M,12,FALSE),"")</f>
        <v/>
      </c>
      <c r="R2704" s="19"/>
      <c r="S2704" s="19"/>
    </row>
    <row r="2705" spans="1:19" x14ac:dyDescent="0.35">
      <c r="A2705" s="26" t="s">
        <v>543</v>
      </c>
      <c r="B2705" s="26" t="s">
        <v>543</v>
      </c>
      <c r="C2705" s="26"/>
      <c r="D2705" s="26" t="s">
        <v>543</v>
      </c>
      <c r="E2705" s="26" t="str">
        <f>IFERROR(VLOOKUP(G2705,WholesaleExtract!B:J,9,FALSE),"")</f>
        <v/>
      </c>
      <c r="F2705" s="26" t="str">
        <f>IFERROR(VLOOKUP(G2705,WholesaleExtract!B:J,6,FALSE),"")</f>
        <v/>
      </c>
      <c r="H2705" s="47" t="str">
        <f>IFERROR(VLOOKUP(G2705,WholesaleExtract!B:L,11,FALSE),"")</f>
        <v/>
      </c>
      <c r="I2705" s="26" t="str">
        <f>IFERROR(VLOOKUP(G2705,WholesaleExtract!B:O,8,FALSE),"")</f>
        <v/>
      </c>
      <c r="J2705" s="26" t="str">
        <f>IFERROR(VLOOKUP(G2705,WholesaleExtract!B:O,14,FALSE),"")</f>
        <v/>
      </c>
      <c r="K2705" s="26" t="str">
        <f>IFERROR(VLOOKUP(G2705,WholesaleExtract!B:K,10,FALSE),"")</f>
        <v/>
      </c>
      <c r="L2705" s="47" t="str">
        <f>IFERROR(VLOOKUP(G2705,WholesaleExtract!B:L,11,FALSE),"")</f>
        <v/>
      </c>
      <c r="M2705" s="47" t="str">
        <f>IFERROR(VLOOKUP(G2705,WholesaleExtract!B:M,12,FALSE),"")</f>
        <v/>
      </c>
      <c r="R2705" s="19"/>
      <c r="S2705" s="19"/>
    </row>
    <row r="2706" spans="1:19" x14ac:dyDescent="0.35">
      <c r="A2706" s="26" t="s">
        <v>543</v>
      </c>
      <c r="B2706" s="26" t="s">
        <v>543</v>
      </c>
      <c r="C2706" s="26"/>
      <c r="D2706" s="26" t="s">
        <v>543</v>
      </c>
      <c r="E2706" s="26" t="str">
        <f>IFERROR(VLOOKUP(G2706,WholesaleExtract!B:J,9,FALSE),"")</f>
        <v/>
      </c>
      <c r="F2706" s="26" t="str">
        <f>IFERROR(VLOOKUP(G2706,WholesaleExtract!B:J,6,FALSE),"")</f>
        <v/>
      </c>
      <c r="H2706" s="47" t="str">
        <f>IFERROR(VLOOKUP(G2706,WholesaleExtract!B:L,11,FALSE),"")</f>
        <v/>
      </c>
      <c r="I2706" s="26" t="str">
        <f>IFERROR(VLOOKUP(G2706,WholesaleExtract!B:O,8,FALSE),"")</f>
        <v/>
      </c>
      <c r="J2706" s="26" t="str">
        <f>IFERROR(VLOOKUP(G2706,WholesaleExtract!B:O,14,FALSE),"")</f>
        <v/>
      </c>
      <c r="K2706" s="26" t="str">
        <f>IFERROR(VLOOKUP(G2706,WholesaleExtract!B:K,10,FALSE),"")</f>
        <v/>
      </c>
      <c r="L2706" s="47" t="str">
        <f>IFERROR(VLOOKUP(G2706,WholesaleExtract!B:L,11,FALSE),"")</f>
        <v/>
      </c>
      <c r="M2706" s="47" t="str">
        <f>IFERROR(VLOOKUP(G2706,WholesaleExtract!B:M,12,FALSE),"")</f>
        <v/>
      </c>
      <c r="R2706" s="19"/>
      <c r="S2706" s="19"/>
    </row>
    <row r="2707" spans="1:19" x14ac:dyDescent="0.35">
      <c r="A2707" s="26" t="s">
        <v>543</v>
      </c>
      <c r="B2707" s="26" t="s">
        <v>543</v>
      </c>
      <c r="C2707" s="26"/>
      <c r="D2707" s="26" t="s">
        <v>543</v>
      </c>
      <c r="E2707" s="26" t="str">
        <f>IFERROR(VLOOKUP(G2707,WholesaleExtract!B:J,9,FALSE),"")</f>
        <v/>
      </c>
      <c r="F2707" s="26" t="str">
        <f>IFERROR(VLOOKUP(G2707,WholesaleExtract!B:J,6,FALSE),"")</f>
        <v/>
      </c>
      <c r="H2707" s="47" t="str">
        <f>IFERROR(VLOOKUP(G2707,WholesaleExtract!B:L,11,FALSE),"")</f>
        <v/>
      </c>
      <c r="I2707" s="26" t="str">
        <f>IFERROR(VLOOKUP(G2707,WholesaleExtract!B:O,8,FALSE),"")</f>
        <v/>
      </c>
      <c r="J2707" s="26" t="str">
        <f>IFERROR(VLOOKUP(G2707,WholesaleExtract!B:O,14,FALSE),"")</f>
        <v/>
      </c>
      <c r="K2707" s="26" t="str">
        <f>IFERROR(VLOOKUP(G2707,WholesaleExtract!B:K,10,FALSE),"")</f>
        <v/>
      </c>
      <c r="L2707" s="47" t="str">
        <f>IFERROR(VLOOKUP(G2707,WholesaleExtract!B:L,11,FALSE),"")</f>
        <v/>
      </c>
      <c r="M2707" s="47" t="str">
        <f>IFERROR(VLOOKUP(G2707,WholesaleExtract!B:M,12,FALSE),"")</f>
        <v/>
      </c>
      <c r="R2707" s="19"/>
      <c r="S2707" s="19"/>
    </row>
    <row r="2708" spans="1:19" x14ac:dyDescent="0.35">
      <c r="A2708" s="26" t="s">
        <v>543</v>
      </c>
      <c r="B2708" s="26" t="s">
        <v>543</v>
      </c>
      <c r="C2708" s="26"/>
      <c r="D2708" s="26" t="s">
        <v>543</v>
      </c>
      <c r="E2708" s="26" t="str">
        <f>IFERROR(VLOOKUP(G2708,WholesaleExtract!B:J,9,FALSE),"")</f>
        <v/>
      </c>
      <c r="F2708" s="26" t="str">
        <f>IFERROR(VLOOKUP(G2708,WholesaleExtract!B:J,6,FALSE),"")</f>
        <v/>
      </c>
      <c r="H2708" s="47" t="str">
        <f>IFERROR(VLOOKUP(G2708,WholesaleExtract!B:L,11,FALSE),"")</f>
        <v/>
      </c>
      <c r="I2708" s="26" t="str">
        <f>IFERROR(VLOOKUP(G2708,WholesaleExtract!B:O,8,FALSE),"")</f>
        <v/>
      </c>
      <c r="J2708" s="26" t="str">
        <f>IFERROR(VLOOKUP(G2708,WholesaleExtract!B:O,14,FALSE),"")</f>
        <v/>
      </c>
      <c r="K2708" s="26" t="str">
        <f>IFERROR(VLOOKUP(G2708,WholesaleExtract!B:K,10,FALSE),"")</f>
        <v/>
      </c>
      <c r="L2708" s="47" t="str">
        <f>IFERROR(VLOOKUP(G2708,WholesaleExtract!B:L,11,FALSE),"")</f>
        <v/>
      </c>
      <c r="M2708" s="47" t="str">
        <f>IFERROR(VLOOKUP(G2708,WholesaleExtract!B:M,12,FALSE),"")</f>
        <v/>
      </c>
      <c r="R2708" s="19"/>
      <c r="S2708" s="19"/>
    </row>
    <row r="2709" spans="1:19" x14ac:dyDescent="0.35">
      <c r="A2709" s="26" t="s">
        <v>543</v>
      </c>
      <c r="B2709" s="26" t="s">
        <v>543</v>
      </c>
      <c r="C2709" s="26"/>
      <c r="D2709" s="26" t="s">
        <v>543</v>
      </c>
      <c r="E2709" s="26" t="str">
        <f>IFERROR(VLOOKUP(G2709,WholesaleExtract!B:J,9,FALSE),"")</f>
        <v/>
      </c>
      <c r="F2709" s="26" t="str">
        <f>IFERROR(VLOOKUP(G2709,WholesaleExtract!B:J,6,FALSE),"")</f>
        <v/>
      </c>
      <c r="H2709" s="47" t="str">
        <f>IFERROR(VLOOKUP(G2709,WholesaleExtract!B:L,11,FALSE),"")</f>
        <v/>
      </c>
      <c r="I2709" s="26" t="str">
        <f>IFERROR(VLOOKUP(G2709,WholesaleExtract!B:O,8,FALSE),"")</f>
        <v/>
      </c>
      <c r="J2709" s="26" t="str">
        <f>IFERROR(VLOOKUP(G2709,WholesaleExtract!B:O,14,FALSE),"")</f>
        <v/>
      </c>
      <c r="K2709" s="26" t="str">
        <f>IFERROR(VLOOKUP(G2709,WholesaleExtract!B:K,10,FALSE),"")</f>
        <v/>
      </c>
      <c r="L2709" s="47" t="str">
        <f>IFERROR(VLOOKUP(G2709,WholesaleExtract!B:L,11,FALSE),"")</f>
        <v/>
      </c>
      <c r="M2709" s="47" t="str">
        <f>IFERROR(VLOOKUP(G2709,WholesaleExtract!B:M,12,FALSE),"")</f>
        <v/>
      </c>
      <c r="R2709" s="19"/>
      <c r="S2709" s="19"/>
    </row>
    <row r="2710" spans="1:19" x14ac:dyDescent="0.35">
      <c r="A2710" s="26" t="s">
        <v>543</v>
      </c>
      <c r="B2710" s="26" t="s">
        <v>543</v>
      </c>
      <c r="C2710" s="26"/>
      <c r="D2710" s="26" t="s">
        <v>543</v>
      </c>
      <c r="E2710" s="26" t="str">
        <f>IFERROR(VLOOKUP(G2710,WholesaleExtract!B:J,9,FALSE),"")</f>
        <v/>
      </c>
      <c r="F2710" s="26" t="str">
        <f>IFERROR(VLOOKUP(G2710,WholesaleExtract!B:J,6,FALSE),"")</f>
        <v/>
      </c>
      <c r="H2710" s="47" t="str">
        <f>IFERROR(VLOOKUP(G2710,WholesaleExtract!B:L,11,FALSE),"")</f>
        <v/>
      </c>
      <c r="I2710" s="26" t="str">
        <f>IFERROR(VLOOKUP(G2710,WholesaleExtract!B:O,8,FALSE),"")</f>
        <v/>
      </c>
      <c r="J2710" s="26" t="str">
        <f>IFERROR(VLOOKUP(G2710,WholesaleExtract!B:O,14,FALSE),"")</f>
        <v/>
      </c>
      <c r="K2710" s="26" t="str">
        <f>IFERROR(VLOOKUP(G2710,WholesaleExtract!B:K,10,FALSE),"")</f>
        <v/>
      </c>
      <c r="L2710" s="47" t="str">
        <f>IFERROR(VLOOKUP(G2710,WholesaleExtract!B:L,11,FALSE),"")</f>
        <v/>
      </c>
      <c r="M2710" s="47" t="str">
        <f>IFERROR(VLOOKUP(G2710,WholesaleExtract!B:M,12,FALSE),"")</f>
        <v/>
      </c>
      <c r="R2710" s="19"/>
      <c r="S2710" s="19"/>
    </row>
    <row r="2711" spans="1:19" x14ac:dyDescent="0.35">
      <c r="A2711" s="26" t="s">
        <v>543</v>
      </c>
      <c r="B2711" s="26" t="s">
        <v>543</v>
      </c>
      <c r="C2711" s="26"/>
      <c r="D2711" s="26" t="s">
        <v>543</v>
      </c>
      <c r="E2711" s="26" t="str">
        <f>IFERROR(VLOOKUP(G2711,WholesaleExtract!B:J,9,FALSE),"")</f>
        <v/>
      </c>
      <c r="F2711" s="26" t="str">
        <f>IFERROR(VLOOKUP(G2711,WholesaleExtract!B:J,6,FALSE),"")</f>
        <v/>
      </c>
      <c r="H2711" s="47" t="str">
        <f>IFERROR(VLOOKUP(G2711,WholesaleExtract!B:L,11,FALSE),"")</f>
        <v/>
      </c>
      <c r="I2711" s="26" t="str">
        <f>IFERROR(VLOOKUP(G2711,WholesaleExtract!B:O,8,FALSE),"")</f>
        <v/>
      </c>
      <c r="J2711" s="26" t="str">
        <f>IFERROR(VLOOKUP(G2711,WholesaleExtract!B:O,14,FALSE),"")</f>
        <v/>
      </c>
      <c r="K2711" s="26" t="str">
        <f>IFERROR(VLOOKUP(G2711,WholesaleExtract!B:K,10,FALSE),"")</f>
        <v/>
      </c>
      <c r="L2711" s="47" t="str">
        <f>IFERROR(VLOOKUP(G2711,WholesaleExtract!B:L,11,FALSE),"")</f>
        <v/>
      </c>
      <c r="M2711" s="47" t="str">
        <f>IFERROR(VLOOKUP(G2711,WholesaleExtract!B:M,12,FALSE),"")</f>
        <v/>
      </c>
      <c r="R2711" s="19"/>
      <c r="S2711" s="19"/>
    </row>
    <row r="2712" spans="1:19" x14ac:dyDescent="0.35">
      <c r="A2712" s="26" t="s">
        <v>543</v>
      </c>
      <c r="B2712" s="26" t="s">
        <v>543</v>
      </c>
      <c r="C2712" s="26"/>
      <c r="D2712" s="26" t="s">
        <v>543</v>
      </c>
      <c r="E2712" s="26" t="str">
        <f>IFERROR(VLOOKUP(G2712,WholesaleExtract!B:J,9,FALSE),"")</f>
        <v/>
      </c>
      <c r="F2712" s="26" t="str">
        <f>IFERROR(VLOOKUP(G2712,WholesaleExtract!B:J,6,FALSE),"")</f>
        <v/>
      </c>
      <c r="H2712" s="47" t="str">
        <f>IFERROR(VLOOKUP(G2712,WholesaleExtract!B:L,11,FALSE),"")</f>
        <v/>
      </c>
      <c r="I2712" s="26" t="str">
        <f>IFERROR(VLOOKUP(G2712,WholesaleExtract!B:O,8,FALSE),"")</f>
        <v/>
      </c>
      <c r="J2712" s="26" t="str">
        <f>IFERROR(VLOOKUP(G2712,WholesaleExtract!B:O,14,FALSE),"")</f>
        <v/>
      </c>
      <c r="K2712" s="26" t="str">
        <f>IFERROR(VLOOKUP(G2712,WholesaleExtract!B:K,10,FALSE),"")</f>
        <v/>
      </c>
      <c r="L2712" s="47" t="str">
        <f>IFERROR(VLOOKUP(G2712,WholesaleExtract!B:L,11,FALSE),"")</f>
        <v/>
      </c>
      <c r="M2712" s="47" t="str">
        <f>IFERROR(VLOOKUP(G2712,WholesaleExtract!B:M,12,FALSE),"")</f>
        <v/>
      </c>
      <c r="R2712" s="19"/>
      <c r="S2712" s="19"/>
    </row>
    <row r="2713" spans="1:19" x14ac:dyDescent="0.35">
      <c r="A2713" s="26" t="s">
        <v>543</v>
      </c>
      <c r="B2713" s="26" t="s">
        <v>543</v>
      </c>
      <c r="C2713" s="26"/>
      <c r="D2713" s="26" t="s">
        <v>543</v>
      </c>
      <c r="E2713" s="26" t="str">
        <f>IFERROR(VLOOKUP(G2713,WholesaleExtract!B:J,9,FALSE),"")</f>
        <v/>
      </c>
      <c r="F2713" s="26" t="str">
        <f>IFERROR(VLOOKUP(G2713,WholesaleExtract!B:J,6,FALSE),"")</f>
        <v/>
      </c>
      <c r="H2713" s="47" t="str">
        <f>IFERROR(VLOOKUP(G2713,WholesaleExtract!B:L,11,FALSE),"")</f>
        <v/>
      </c>
      <c r="I2713" s="26" t="str">
        <f>IFERROR(VLOOKUP(G2713,WholesaleExtract!B:O,8,FALSE),"")</f>
        <v/>
      </c>
      <c r="J2713" s="26" t="str">
        <f>IFERROR(VLOOKUP(G2713,WholesaleExtract!B:O,14,FALSE),"")</f>
        <v/>
      </c>
      <c r="K2713" s="26" t="str">
        <f>IFERROR(VLOOKUP(G2713,WholesaleExtract!B:K,10,FALSE),"")</f>
        <v/>
      </c>
      <c r="L2713" s="47" t="str">
        <f>IFERROR(VLOOKUP(G2713,WholesaleExtract!B:L,11,FALSE),"")</f>
        <v/>
      </c>
      <c r="M2713" s="47" t="str">
        <f>IFERROR(VLOOKUP(G2713,WholesaleExtract!B:M,12,FALSE),"")</f>
        <v/>
      </c>
      <c r="R2713" s="19"/>
      <c r="S2713" s="19"/>
    </row>
    <row r="2714" spans="1:19" x14ac:dyDescent="0.35">
      <c r="A2714" s="26" t="s">
        <v>543</v>
      </c>
      <c r="B2714" s="26" t="s">
        <v>543</v>
      </c>
      <c r="C2714" s="26"/>
      <c r="D2714" s="26" t="s">
        <v>543</v>
      </c>
      <c r="E2714" s="26" t="str">
        <f>IFERROR(VLOOKUP(G2714,WholesaleExtract!B:J,9,FALSE),"")</f>
        <v/>
      </c>
      <c r="F2714" s="26" t="str">
        <f>IFERROR(VLOOKUP(G2714,WholesaleExtract!B:J,6,FALSE),"")</f>
        <v/>
      </c>
      <c r="H2714" s="47" t="str">
        <f>IFERROR(VLOOKUP(G2714,WholesaleExtract!B:L,11,FALSE),"")</f>
        <v/>
      </c>
      <c r="I2714" s="26" t="str">
        <f>IFERROR(VLOOKUP(G2714,WholesaleExtract!B:O,8,FALSE),"")</f>
        <v/>
      </c>
      <c r="J2714" s="26" t="str">
        <f>IFERROR(VLOOKUP(G2714,WholesaleExtract!B:O,14,FALSE),"")</f>
        <v/>
      </c>
      <c r="K2714" s="26" t="str">
        <f>IFERROR(VLOOKUP(G2714,WholesaleExtract!B:K,10,FALSE),"")</f>
        <v/>
      </c>
      <c r="L2714" s="47" t="str">
        <f>IFERROR(VLOOKUP(G2714,WholesaleExtract!B:L,11,FALSE),"")</f>
        <v/>
      </c>
      <c r="M2714" s="47" t="str">
        <f>IFERROR(VLOOKUP(G2714,WholesaleExtract!B:M,12,FALSE),"")</f>
        <v/>
      </c>
      <c r="R2714" s="19"/>
      <c r="S2714" s="19"/>
    </row>
    <row r="2715" spans="1:19" x14ac:dyDescent="0.35">
      <c r="A2715" s="26" t="s">
        <v>543</v>
      </c>
      <c r="B2715" s="26" t="s">
        <v>543</v>
      </c>
      <c r="C2715" s="26"/>
      <c r="D2715" s="26" t="s">
        <v>543</v>
      </c>
      <c r="E2715" s="26" t="str">
        <f>IFERROR(VLOOKUP(G2715,WholesaleExtract!B:J,9,FALSE),"")</f>
        <v/>
      </c>
      <c r="F2715" s="26" t="str">
        <f>IFERROR(VLOOKUP(G2715,WholesaleExtract!B:J,6,FALSE),"")</f>
        <v/>
      </c>
      <c r="H2715" s="47" t="str">
        <f>IFERROR(VLOOKUP(G2715,WholesaleExtract!B:L,11,FALSE),"")</f>
        <v/>
      </c>
      <c r="I2715" s="26" t="str">
        <f>IFERROR(VLOOKUP(G2715,WholesaleExtract!B:O,8,FALSE),"")</f>
        <v/>
      </c>
      <c r="J2715" s="26" t="str">
        <f>IFERROR(VLOOKUP(G2715,WholesaleExtract!B:O,14,FALSE),"")</f>
        <v/>
      </c>
      <c r="K2715" s="26" t="str">
        <f>IFERROR(VLOOKUP(G2715,WholesaleExtract!B:K,10,FALSE),"")</f>
        <v/>
      </c>
      <c r="L2715" s="47" t="str">
        <f>IFERROR(VLOOKUP(G2715,WholesaleExtract!B:L,11,FALSE),"")</f>
        <v/>
      </c>
      <c r="M2715" s="47" t="str">
        <f>IFERROR(VLOOKUP(G2715,WholesaleExtract!B:M,12,FALSE),"")</f>
        <v/>
      </c>
      <c r="R2715" s="19"/>
      <c r="S2715" s="19"/>
    </row>
    <row r="2716" spans="1:19" x14ac:dyDescent="0.35">
      <c r="A2716" s="26" t="s">
        <v>543</v>
      </c>
      <c r="B2716" s="26" t="s">
        <v>543</v>
      </c>
      <c r="C2716" s="26"/>
      <c r="D2716" s="26" t="s">
        <v>543</v>
      </c>
      <c r="E2716" s="26" t="str">
        <f>IFERROR(VLOOKUP(G2716,WholesaleExtract!B:J,9,FALSE),"")</f>
        <v/>
      </c>
      <c r="F2716" s="26" t="str">
        <f>IFERROR(VLOOKUP(G2716,WholesaleExtract!B:J,6,FALSE),"")</f>
        <v/>
      </c>
      <c r="H2716" s="47" t="str">
        <f>IFERROR(VLOOKUP(G2716,WholesaleExtract!B:L,11,FALSE),"")</f>
        <v/>
      </c>
      <c r="I2716" s="26" t="str">
        <f>IFERROR(VLOOKUP(G2716,WholesaleExtract!B:O,8,FALSE),"")</f>
        <v/>
      </c>
      <c r="J2716" s="26" t="str">
        <f>IFERROR(VLOOKUP(G2716,WholesaleExtract!B:O,14,FALSE),"")</f>
        <v/>
      </c>
      <c r="K2716" s="26" t="str">
        <f>IFERROR(VLOOKUP(G2716,WholesaleExtract!B:K,10,FALSE),"")</f>
        <v/>
      </c>
      <c r="L2716" s="47" t="str">
        <f>IFERROR(VLOOKUP(G2716,WholesaleExtract!B:L,11,FALSE),"")</f>
        <v/>
      </c>
      <c r="M2716" s="47" t="str">
        <f>IFERROR(VLOOKUP(G2716,WholesaleExtract!B:M,12,FALSE),"")</f>
        <v/>
      </c>
      <c r="R2716" s="19"/>
      <c r="S2716" s="19"/>
    </row>
    <row r="2717" spans="1:19" x14ac:dyDescent="0.35">
      <c r="A2717" s="26" t="s">
        <v>543</v>
      </c>
      <c r="B2717" s="26" t="s">
        <v>543</v>
      </c>
      <c r="C2717" s="26"/>
      <c r="D2717" s="26" t="s">
        <v>543</v>
      </c>
      <c r="E2717" s="26" t="str">
        <f>IFERROR(VLOOKUP(G2717,WholesaleExtract!B:J,9,FALSE),"")</f>
        <v/>
      </c>
      <c r="F2717" s="26" t="str">
        <f>IFERROR(VLOOKUP(G2717,WholesaleExtract!B:J,6,FALSE),"")</f>
        <v/>
      </c>
      <c r="H2717" s="47" t="str">
        <f>IFERROR(VLOOKUP(G2717,WholesaleExtract!B:L,11,FALSE),"")</f>
        <v/>
      </c>
      <c r="I2717" s="26" t="str">
        <f>IFERROR(VLOOKUP(G2717,WholesaleExtract!B:O,8,FALSE),"")</f>
        <v/>
      </c>
      <c r="J2717" s="26" t="str">
        <f>IFERROR(VLOOKUP(G2717,WholesaleExtract!B:O,14,FALSE),"")</f>
        <v/>
      </c>
      <c r="K2717" s="26" t="str">
        <f>IFERROR(VLOOKUP(G2717,WholesaleExtract!B:K,10,FALSE),"")</f>
        <v/>
      </c>
      <c r="L2717" s="47" t="str">
        <f>IFERROR(VLOOKUP(G2717,WholesaleExtract!B:L,11,FALSE),"")</f>
        <v/>
      </c>
      <c r="M2717" s="47" t="str">
        <f>IFERROR(VLOOKUP(G2717,WholesaleExtract!B:M,12,FALSE),"")</f>
        <v/>
      </c>
      <c r="R2717" s="19"/>
      <c r="S2717" s="19"/>
    </row>
    <row r="2718" spans="1:19" x14ac:dyDescent="0.35">
      <c r="A2718" s="26" t="s">
        <v>543</v>
      </c>
      <c r="B2718" s="26" t="s">
        <v>543</v>
      </c>
      <c r="C2718" s="26"/>
      <c r="D2718" s="26" t="s">
        <v>543</v>
      </c>
      <c r="E2718" s="26" t="str">
        <f>IFERROR(VLOOKUP(G2718,WholesaleExtract!B:J,9,FALSE),"")</f>
        <v/>
      </c>
      <c r="F2718" s="26" t="str">
        <f>IFERROR(VLOOKUP(G2718,WholesaleExtract!B:J,6,FALSE),"")</f>
        <v/>
      </c>
      <c r="H2718" s="47" t="str">
        <f>IFERROR(VLOOKUP(G2718,WholesaleExtract!B:L,11,FALSE),"")</f>
        <v/>
      </c>
      <c r="I2718" s="26" t="str">
        <f>IFERROR(VLOOKUP(G2718,WholesaleExtract!B:O,8,FALSE),"")</f>
        <v/>
      </c>
      <c r="J2718" s="26" t="str">
        <f>IFERROR(VLOOKUP(G2718,WholesaleExtract!B:O,14,FALSE),"")</f>
        <v/>
      </c>
      <c r="K2718" s="26" t="str">
        <f>IFERROR(VLOOKUP(G2718,WholesaleExtract!B:K,10,FALSE),"")</f>
        <v/>
      </c>
      <c r="L2718" s="47" t="str">
        <f>IFERROR(VLOOKUP(G2718,WholesaleExtract!B:L,11,FALSE),"")</f>
        <v/>
      </c>
      <c r="M2718" s="47" t="str">
        <f>IFERROR(VLOOKUP(G2718,WholesaleExtract!B:M,12,FALSE),"")</f>
        <v/>
      </c>
      <c r="R2718" s="19"/>
      <c r="S2718" s="19"/>
    </row>
    <row r="2719" spans="1:19" x14ac:dyDescent="0.35">
      <c r="A2719" s="26" t="s">
        <v>543</v>
      </c>
      <c r="B2719" s="26" t="s">
        <v>543</v>
      </c>
      <c r="C2719" s="26"/>
      <c r="D2719" s="26" t="s">
        <v>543</v>
      </c>
      <c r="E2719" s="26" t="str">
        <f>IFERROR(VLOOKUP(G2719,WholesaleExtract!B:J,9,FALSE),"")</f>
        <v/>
      </c>
      <c r="F2719" s="26" t="str">
        <f>IFERROR(VLOOKUP(G2719,WholesaleExtract!B:J,6,FALSE),"")</f>
        <v/>
      </c>
      <c r="H2719" s="47" t="str">
        <f>IFERROR(VLOOKUP(G2719,WholesaleExtract!B:L,11,FALSE),"")</f>
        <v/>
      </c>
      <c r="I2719" s="26" t="str">
        <f>IFERROR(VLOOKUP(G2719,WholesaleExtract!B:O,8,FALSE),"")</f>
        <v/>
      </c>
      <c r="J2719" s="26" t="str">
        <f>IFERROR(VLOOKUP(G2719,WholesaleExtract!B:O,14,FALSE),"")</f>
        <v/>
      </c>
      <c r="K2719" s="26" t="str">
        <f>IFERROR(VLOOKUP(G2719,WholesaleExtract!B:K,10,FALSE),"")</f>
        <v/>
      </c>
      <c r="L2719" s="47" t="str">
        <f>IFERROR(VLOOKUP(G2719,WholesaleExtract!B:L,11,FALSE),"")</f>
        <v/>
      </c>
      <c r="M2719" s="47" t="str">
        <f>IFERROR(VLOOKUP(G2719,WholesaleExtract!B:M,12,FALSE),"")</f>
        <v/>
      </c>
      <c r="R2719" s="19"/>
      <c r="S2719" s="19"/>
    </row>
    <row r="2720" spans="1:19" x14ac:dyDescent="0.35">
      <c r="A2720" s="26" t="s">
        <v>543</v>
      </c>
      <c r="B2720" s="26" t="s">
        <v>543</v>
      </c>
      <c r="C2720" s="26"/>
      <c r="D2720" s="26" t="s">
        <v>543</v>
      </c>
      <c r="E2720" s="26" t="str">
        <f>IFERROR(VLOOKUP(G2720,WholesaleExtract!B:J,9,FALSE),"")</f>
        <v/>
      </c>
      <c r="F2720" s="26" t="str">
        <f>IFERROR(VLOOKUP(G2720,WholesaleExtract!B:J,6,FALSE),"")</f>
        <v/>
      </c>
      <c r="H2720" s="47" t="str">
        <f>IFERROR(VLOOKUP(G2720,WholesaleExtract!B:L,11,FALSE),"")</f>
        <v/>
      </c>
      <c r="I2720" s="26" t="str">
        <f>IFERROR(VLOOKUP(G2720,WholesaleExtract!B:O,8,FALSE),"")</f>
        <v/>
      </c>
      <c r="J2720" s="26" t="str">
        <f>IFERROR(VLOOKUP(G2720,WholesaleExtract!B:O,14,FALSE),"")</f>
        <v/>
      </c>
      <c r="K2720" s="26" t="str">
        <f>IFERROR(VLOOKUP(G2720,WholesaleExtract!B:K,10,FALSE),"")</f>
        <v/>
      </c>
      <c r="L2720" s="47" t="str">
        <f>IFERROR(VLOOKUP(G2720,WholesaleExtract!B:L,11,FALSE),"")</f>
        <v/>
      </c>
      <c r="M2720" s="47" t="str">
        <f>IFERROR(VLOOKUP(G2720,WholesaleExtract!B:M,12,FALSE),"")</f>
        <v/>
      </c>
      <c r="R2720" s="19"/>
      <c r="S2720" s="19"/>
    </row>
    <row r="2721" spans="1:19" x14ac:dyDescent="0.35">
      <c r="A2721" s="26" t="s">
        <v>543</v>
      </c>
      <c r="B2721" s="26" t="s">
        <v>543</v>
      </c>
      <c r="C2721" s="26"/>
      <c r="D2721" s="26" t="s">
        <v>543</v>
      </c>
      <c r="E2721" s="26" t="str">
        <f>IFERROR(VLOOKUP(G2721,WholesaleExtract!B:J,9,FALSE),"")</f>
        <v/>
      </c>
      <c r="F2721" s="26" t="str">
        <f>IFERROR(VLOOKUP(G2721,WholesaleExtract!B:J,6,FALSE),"")</f>
        <v/>
      </c>
      <c r="H2721" s="47" t="str">
        <f>IFERROR(VLOOKUP(G2721,WholesaleExtract!B:L,11,FALSE),"")</f>
        <v/>
      </c>
      <c r="I2721" s="26" t="str">
        <f>IFERROR(VLOOKUP(G2721,WholesaleExtract!B:O,8,FALSE),"")</f>
        <v/>
      </c>
      <c r="J2721" s="26" t="str">
        <f>IFERROR(VLOOKUP(G2721,WholesaleExtract!B:O,14,FALSE),"")</f>
        <v/>
      </c>
      <c r="K2721" s="26" t="str">
        <f>IFERROR(VLOOKUP(G2721,WholesaleExtract!B:K,10,FALSE),"")</f>
        <v/>
      </c>
      <c r="L2721" s="47" t="str">
        <f>IFERROR(VLOOKUP(G2721,WholesaleExtract!B:L,11,FALSE),"")</f>
        <v/>
      </c>
      <c r="M2721" s="47" t="str">
        <f>IFERROR(VLOOKUP(G2721,WholesaleExtract!B:M,12,FALSE),"")</f>
        <v/>
      </c>
      <c r="R2721" s="19"/>
      <c r="S2721" s="19"/>
    </row>
    <row r="2722" spans="1:19" x14ac:dyDescent="0.35">
      <c r="A2722" s="26" t="s">
        <v>543</v>
      </c>
      <c r="B2722" s="26" t="s">
        <v>543</v>
      </c>
      <c r="C2722" s="26"/>
      <c r="D2722" s="26" t="s">
        <v>543</v>
      </c>
      <c r="E2722" s="26" t="str">
        <f>IFERROR(VLOOKUP(G2722,WholesaleExtract!B:J,9,FALSE),"")</f>
        <v/>
      </c>
      <c r="F2722" s="26" t="str">
        <f>IFERROR(VLOOKUP(G2722,WholesaleExtract!B:J,6,FALSE),"")</f>
        <v/>
      </c>
      <c r="H2722" s="47" t="str">
        <f>IFERROR(VLOOKUP(G2722,WholesaleExtract!B:L,11,FALSE),"")</f>
        <v/>
      </c>
      <c r="I2722" s="26" t="str">
        <f>IFERROR(VLOOKUP(G2722,WholesaleExtract!B:O,8,FALSE),"")</f>
        <v/>
      </c>
      <c r="J2722" s="26" t="str">
        <f>IFERROR(VLOOKUP(G2722,WholesaleExtract!B:O,14,FALSE),"")</f>
        <v/>
      </c>
      <c r="K2722" s="26" t="str">
        <f>IFERROR(VLOOKUP(G2722,WholesaleExtract!B:K,10,FALSE),"")</f>
        <v/>
      </c>
      <c r="L2722" s="47" t="str">
        <f>IFERROR(VLOOKUP(G2722,WholesaleExtract!B:L,11,FALSE),"")</f>
        <v/>
      </c>
      <c r="M2722" s="47" t="str">
        <f>IFERROR(VLOOKUP(G2722,WholesaleExtract!B:M,12,FALSE),"")</f>
        <v/>
      </c>
      <c r="R2722" s="19"/>
      <c r="S2722" s="19"/>
    </row>
    <row r="2723" spans="1:19" x14ac:dyDescent="0.35">
      <c r="A2723" s="26" t="s">
        <v>543</v>
      </c>
      <c r="B2723" s="26" t="s">
        <v>543</v>
      </c>
      <c r="C2723" s="26"/>
      <c r="D2723" s="26" t="s">
        <v>543</v>
      </c>
      <c r="E2723" s="26" t="str">
        <f>IFERROR(VLOOKUP(G2723,WholesaleExtract!B:J,9,FALSE),"")</f>
        <v/>
      </c>
      <c r="F2723" s="26" t="str">
        <f>IFERROR(VLOOKUP(G2723,WholesaleExtract!B:J,6,FALSE),"")</f>
        <v/>
      </c>
      <c r="H2723" s="47" t="str">
        <f>IFERROR(VLOOKUP(G2723,WholesaleExtract!B:L,11,FALSE),"")</f>
        <v/>
      </c>
      <c r="I2723" s="26" t="str">
        <f>IFERROR(VLOOKUP(G2723,WholesaleExtract!B:O,8,FALSE),"")</f>
        <v/>
      </c>
      <c r="J2723" s="26" t="str">
        <f>IFERROR(VLOOKUP(G2723,WholesaleExtract!B:O,14,FALSE),"")</f>
        <v/>
      </c>
      <c r="K2723" s="26" t="str">
        <f>IFERROR(VLOOKUP(G2723,WholesaleExtract!B:K,10,FALSE),"")</f>
        <v/>
      </c>
      <c r="L2723" s="47" t="str">
        <f>IFERROR(VLOOKUP(G2723,WholesaleExtract!B:L,11,FALSE),"")</f>
        <v/>
      </c>
      <c r="M2723" s="47" t="str">
        <f>IFERROR(VLOOKUP(G2723,WholesaleExtract!B:M,12,FALSE),"")</f>
        <v/>
      </c>
      <c r="R2723" s="19"/>
      <c r="S2723" s="19"/>
    </row>
    <row r="2724" spans="1:19" x14ac:dyDescent="0.35">
      <c r="A2724" s="26" t="s">
        <v>543</v>
      </c>
      <c r="B2724" s="26" t="s">
        <v>543</v>
      </c>
      <c r="C2724" s="26"/>
      <c r="D2724" s="26" t="s">
        <v>543</v>
      </c>
      <c r="E2724" s="26" t="str">
        <f>IFERROR(VLOOKUP(G2724,WholesaleExtract!B:J,9,FALSE),"")</f>
        <v/>
      </c>
      <c r="F2724" s="26" t="str">
        <f>IFERROR(VLOOKUP(G2724,WholesaleExtract!B:J,6,FALSE),"")</f>
        <v/>
      </c>
      <c r="H2724" s="47" t="str">
        <f>IFERROR(VLOOKUP(G2724,WholesaleExtract!B:L,11,FALSE),"")</f>
        <v/>
      </c>
      <c r="I2724" s="26" t="str">
        <f>IFERROR(VLOOKUP(G2724,WholesaleExtract!B:O,8,FALSE),"")</f>
        <v/>
      </c>
      <c r="J2724" s="26" t="str">
        <f>IFERROR(VLOOKUP(G2724,WholesaleExtract!B:O,14,FALSE),"")</f>
        <v/>
      </c>
      <c r="K2724" s="26" t="str">
        <f>IFERROR(VLOOKUP(G2724,WholesaleExtract!B:K,10,FALSE),"")</f>
        <v/>
      </c>
      <c r="L2724" s="47" t="str">
        <f>IFERROR(VLOOKUP(G2724,WholesaleExtract!B:L,11,FALSE),"")</f>
        <v/>
      </c>
      <c r="M2724" s="47" t="str">
        <f>IFERROR(VLOOKUP(G2724,WholesaleExtract!B:M,12,FALSE),"")</f>
        <v/>
      </c>
      <c r="R2724" s="19"/>
      <c r="S2724" s="19"/>
    </row>
    <row r="2725" spans="1:19" x14ac:dyDescent="0.35">
      <c r="A2725" s="26" t="s">
        <v>543</v>
      </c>
      <c r="B2725" s="26" t="s">
        <v>543</v>
      </c>
      <c r="C2725" s="26"/>
      <c r="D2725" s="26" t="s">
        <v>543</v>
      </c>
      <c r="E2725" s="26" t="str">
        <f>IFERROR(VLOOKUP(G2725,WholesaleExtract!B:J,9,FALSE),"")</f>
        <v/>
      </c>
      <c r="F2725" s="26" t="str">
        <f>IFERROR(VLOOKUP(G2725,WholesaleExtract!B:J,6,FALSE),"")</f>
        <v/>
      </c>
      <c r="H2725" s="47" t="str">
        <f>IFERROR(VLOOKUP(G2725,WholesaleExtract!B:L,11,FALSE),"")</f>
        <v/>
      </c>
      <c r="I2725" s="26" t="str">
        <f>IFERROR(VLOOKUP(G2725,WholesaleExtract!B:O,8,FALSE),"")</f>
        <v/>
      </c>
      <c r="J2725" s="26" t="str">
        <f>IFERROR(VLOOKUP(G2725,WholesaleExtract!B:O,14,FALSE),"")</f>
        <v/>
      </c>
      <c r="K2725" s="26" t="str">
        <f>IFERROR(VLOOKUP(G2725,WholesaleExtract!B:K,10,FALSE),"")</f>
        <v/>
      </c>
      <c r="L2725" s="47" t="str">
        <f>IFERROR(VLOOKUP(G2725,WholesaleExtract!B:L,11,FALSE),"")</f>
        <v/>
      </c>
      <c r="M2725" s="47" t="str">
        <f>IFERROR(VLOOKUP(G2725,WholesaleExtract!B:M,12,FALSE),"")</f>
        <v/>
      </c>
      <c r="R2725" s="19"/>
      <c r="S2725" s="19"/>
    </row>
    <row r="2726" spans="1:19" x14ac:dyDescent="0.35">
      <c r="A2726" s="26" t="s">
        <v>543</v>
      </c>
      <c r="B2726" s="26" t="s">
        <v>543</v>
      </c>
      <c r="C2726" s="26"/>
      <c r="D2726" s="26" t="s">
        <v>543</v>
      </c>
      <c r="E2726" s="26" t="str">
        <f>IFERROR(VLOOKUP(G2726,WholesaleExtract!B:J,9,FALSE),"")</f>
        <v/>
      </c>
      <c r="F2726" s="26" t="str">
        <f>IFERROR(VLOOKUP(G2726,WholesaleExtract!B:J,6,FALSE),"")</f>
        <v/>
      </c>
      <c r="H2726" s="47" t="str">
        <f>IFERROR(VLOOKUP(G2726,WholesaleExtract!B:L,11,FALSE),"")</f>
        <v/>
      </c>
      <c r="I2726" s="26" t="str">
        <f>IFERROR(VLOOKUP(G2726,WholesaleExtract!B:O,8,FALSE),"")</f>
        <v/>
      </c>
      <c r="J2726" s="26" t="str">
        <f>IFERROR(VLOOKUP(G2726,WholesaleExtract!B:O,14,FALSE),"")</f>
        <v/>
      </c>
      <c r="K2726" s="26" t="str">
        <f>IFERROR(VLOOKUP(G2726,WholesaleExtract!B:K,10,FALSE),"")</f>
        <v/>
      </c>
      <c r="L2726" s="47" t="str">
        <f>IFERROR(VLOOKUP(G2726,WholesaleExtract!B:L,11,FALSE),"")</f>
        <v/>
      </c>
      <c r="M2726" s="47" t="str">
        <f>IFERROR(VLOOKUP(G2726,WholesaleExtract!B:M,12,FALSE),"")</f>
        <v/>
      </c>
      <c r="R2726" s="19"/>
      <c r="S2726" s="19"/>
    </row>
    <row r="2727" spans="1:19" x14ac:dyDescent="0.35">
      <c r="A2727" s="26" t="s">
        <v>543</v>
      </c>
      <c r="B2727" s="26" t="s">
        <v>543</v>
      </c>
      <c r="C2727" s="26"/>
      <c r="D2727" s="26" t="s">
        <v>543</v>
      </c>
      <c r="E2727" s="26" t="str">
        <f>IFERROR(VLOOKUP(G2727,WholesaleExtract!B:J,9,FALSE),"")</f>
        <v/>
      </c>
      <c r="F2727" s="26" t="str">
        <f>IFERROR(VLOOKUP(G2727,WholesaleExtract!B:J,6,FALSE),"")</f>
        <v/>
      </c>
      <c r="H2727" s="47" t="str">
        <f>IFERROR(VLOOKUP(G2727,WholesaleExtract!B:L,11,FALSE),"")</f>
        <v/>
      </c>
      <c r="I2727" s="26" t="str">
        <f>IFERROR(VLOOKUP(G2727,WholesaleExtract!B:O,8,FALSE),"")</f>
        <v/>
      </c>
      <c r="J2727" s="26" t="str">
        <f>IFERROR(VLOOKUP(G2727,WholesaleExtract!B:O,14,FALSE),"")</f>
        <v/>
      </c>
      <c r="K2727" s="26" t="str">
        <f>IFERROR(VLOOKUP(G2727,WholesaleExtract!B:K,10,FALSE),"")</f>
        <v/>
      </c>
      <c r="L2727" s="47" t="str">
        <f>IFERROR(VLOOKUP(G2727,WholesaleExtract!B:L,11,FALSE),"")</f>
        <v/>
      </c>
      <c r="M2727" s="47" t="str">
        <f>IFERROR(VLOOKUP(G2727,WholesaleExtract!B:M,12,FALSE),"")</f>
        <v/>
      </c>
      <c r="R2727" s="19"/>
      <c r="S2727" s="19"/>
    </row>
    <row r="2728" spans="1:19" x14ac:dyDescent="0.35">
      <c r="A2728" s="26" t="s">
        <v>543</v>
      </c>
      <c r="B2728" s="26" t="s">
        <v>543</v>
      </c>
      <c r="C2728" s="26"/>
      <c r="D2728" s="26" t="s">
        <v>543</v>
      </c>
      <c r="E2728" s="26" t="str">
        <f>IFERROR(VLOOKUP(G2728,WholesaleExtract!B:J,9,FALSE),"")</f>
        <v/>
      </c>
      <c r="F2728" s="26" t="str">
        <f>IFERROR(VLOOKUP(G2728,WholesaleExtract!B:J,6,FALSE),"")</f>
        <v/>
      </c>
      <c r="H2728" s="47" t="str">
        <f>IFERROR(VLOOKUP(G2728,WholesaleExtract!B:L,11,FALSE),"")</f>
        <v/>
      </c>
      <c r="I2728" s="26" t="str">
        <f>IFERROR(VLOOKUP(G2728,WholesaleExtract!B:O,8,FALSE),"")</f>
        <v/>
      </c>
      <c r="J2728" s="26" t="str">
        <f>IFERROR(VLOOKUP(G2728,WholesaleExtract!B:O,14,FALSE),"")</f>
        <v/>
      </c>
      <c r="K2728" s="26" t="str">
        <f>IFERROR(VLOOKUP(G2728,WholesaleExtract!B:K,10,FALSE),"")</f>
        <v/>
      </c>
      <c r="L2728" s="47" t="str">
        <f>IFERROR(VLOOKUP(G2728,WholesaleExtract!B:L,11,FALSE),"")</f>
        <v/>
      </c>
      <c r="M2728" s="47" t="str">
        <f>IFERROR(VLOOKUP(G2728,WholesaleExtract!B:M,12,FALSE),"")</f>
        <v/>
      </c>
      <c r="R2728" s="19"/>
      <c r="S2728" s="19"/>
    </row>
    <row r="2729" spans="1:19" x14ac:dyDescent="0.35">
      <c r="A2729" s="26" t="s">
        <v>543</v>
      </c>
      <c r="B2729" s="26" t="s">
        <v>543</v>
      </c>
      <c r="C2729" s="26"/>
      <c r="D2729" s="26" t="s">
        <v>543</v>
      </c>
      <c r="E2729" s="26" t="str">
        <f>IFERROR(VLOOKUP(G2729,WholesaleExtract!B:J,9,FALSE),"")</f>
        <v/>
      </c>
      <c r="F2729" s="26" t="str">
        <f>IFERROR(VLOOKUP(G2729,WholesaleExtract!B:J,6,FALSE),"")</f>
        <v/>
      </c>
      <c r="H2729" s="47" t="str">
        <f>IFERROR(VLOOKUP(G2729,WholesaleExtract!B:L,11,FALSE),"")</f>
        <v/>
      </c>
      <c r="I2729" s="26" t="str">
        <f>IFERROR(VLOOKUP(G2729,WholesaleExtract!B:O,8,FALSE),"")</f>
        <v/>
      </c>
      <c r="J2729" s="26" t="str">
        <f>IFERROR(VLOOKUP(G2729,WholesaleExtract!B:O,14,FALSE),"")</f>
        <v/>
      </c>
      <c r="K2729" s="26" t="str">
        <f>IFERROR(VLOOKUP(G2729,WholesaleExtract!B:K,10,FALSE),"")</f>
        <v/>
      </c>
      <c r="L2729" s="47" t="str">
        <f>IFERROR(VLOOKUP(G2729,WholesaleExtract!B:L,11,FALSE),"")</f>
        <v/>
      </c>
      <c r="M2729" s="47" t="str">
        <f>IFERROR(VLOOKUP(G2729,WholesaleExtract!B:M,12,FALSE),"")</f>
        <v/>
      </c>
      <c r="R2729" s="19"/>
      <c r="S2729" s="19"/>
    </row>
    <row r="2730" spans="1:19" x14ac:dyDescent="0.35">
      <c r="A2730" s="26" t="s">
        <v>543</v>
      </c>
      <c r="B2730" s="26" t="s">
        <v>543</v>
      </c>
      <c r="C2730" s="26"/>
      <c r="D2730" s="26" t="s">
        <v>543</v>
      </c>
      <c r="E2730" s="26" t="str">
        <f>IFERROR(VLOOKUP(G2730,WholesaleExtract!B:J,9,FALSE),"")</f>
        <v/>
      </c>
      <c r="F2730" s="26" t="str">
        <f>IFERROR(VLOOKUP(G2730,WholesaleExtract!B:J,6,FALSE),"")</f>
        <v/>
      </c>
      <c r="H2730" s="47" t="str">
        <f>IFERROR(VLOOKUP(G2730,WholesaleExtract!B:L,11,FALSE),"")</f>
        <v/>
      </c>
      <c r="I2730" s="26" t="str">
        <f>IFERROR(VLOOKUP(G2730,WholesaleExtract!B:O,8,FALSE),"")</f>
        <v/>
      </c>
      <c r="J2730" s="26" t="str">
        <f>IFERROR(VLOOKUP(G2730,WholesaleExtract!B:O,14,FALSE),"")</f>
        <v/>
      </c>
      <c r="K2730" s="26" t="str">
        <f>IFERROR(VLOOKUP(G2730,WholesaleExtract!B:K,10,FALSE),"")</f>
        <v/>
      </c>
      <c r="L2730" s="47" t="str">
        <f>IFERROR(VLOOKUP(G2730,WholesaleExtract!B:L,11,FALSE),"")</f>
        <v/>
      </c>
      <c r="M2730" s="47" t="str">
        <f>IFERROR(VLOOKUP(G2730,WholesaleExtract!B:M,12,FALSE),"")</f>
        <v/>
      </c>
      <c r="R2730" s="19"/>
      <c r="S2730" s="19"/>
    </row>
    <row r="2731" spans="1:19" x14ac:dyDescent="0.35">
      <c r="A2731" s="26" t="s">
        <v>543</v>
      </c>
      <c r="B2731" s="26" t="s">
        <v>543</v>
      </c>
      <c r="C2731" s="26"/>
      <c r="D2731" s="26" t="s">
        <v>543</v>
      </c>
      <c r="E2731" s="26" t="str">
        <f>IFERROR(VLOOKUP(G2731,WholesaleExtract!B:J,9,FALSE),"")</f>
        <v/>
      </c>
      <c r="F2731" s="26" t="str">
        <f>IFERROR(VLOOKUP(G2731,WholesaleExtract!B:J,6,FALSE),"")</f>
        <v/>
      </c>
      <c r="H2731" s="47" t="str">
        <f>IFERROR(VLOOKUP(G2731,WholesaleExtract!B:L,11,FALSE),"")</f>
        <v/>
      </c>
      <c r="I2731" s="26" t="str">
        <f>IFERROR(VLOOKUP(G2731,WholesaleExtract!B:O,8,FALSE),"")</f>
        <v/>
      </c>
      <c r="J2731" s="26" t="str">
        <f>IFERROR(VLOOKUP(G2731,WholesaleExtract!B:O,14,FALSE),"")</f>
        <v/>
      </c>
      <c r="K2731" s="26" t="str">
        <f>IFERROR(VLOOKUP(G2731,WholesaleExtract!B:K,10,FALSE),"")</f>
        <v/>
      </c>
      <c r="L2731" s="47" t="str">
        <f>IFERROR(VLOOKUP(G2731,WholesaleExtract!B:L,11,FALSE),"")</f>
        <v/>
      </c>
      <c r="M2731" s="47" t="str">
        <f>IFERROR(VLOOKUP(G2731,WholesaleExtract!B:M,12,FALSE),"")</f>
        <v/>
      </c>
      <c r="R2731" s="19"/>
      <c r="S2731" s="19"/>
    </row>
    <row r="2732" spans="1:19" x14ac:dyDescent="0.35">
      <c r="A2732" s="26" t="s">
        <v>543</v>
      </c>
      <c r="B2732" s="26" t="s">
        <v>543</v>
      </c>
      <c r="C2732" s="26"/>
      <c r="D2732" s="26" t="s">
        <v>543</v>
      </c>
      <c r="E2732" s="26" t="str">
        <f>IFERROR(VLOOKUP(G2732,WholesaleExtract!B:J,9,FALSE),"")</f>
        <v/>
      </c>
      <c r="F2732" s="26" t="str">
        <f>IFERROR(VLOOKUP(G2732,WholesaleExtract!B:J,6,FALSE),"")</f>
        <v/>
      </c>
      <c r="H2732" s="47" t="str">
        <f>IFERROR(VLOOKUP(G2732,WholesaleExtract!B:L,11,FALSE),"")</f>
        <v/>
      </c>
      <c r="I2732" s="26" t="str">
        <f>IFERROR(VLOOKUP(G2732,WholesaleExtract!B:O,8,FALSE),"")</f>
        <v/>
      </c>
      <c r="J2732" s="26" t="str">
        <f>IFERROR(VLOOKUP(G2732,WholesaleExtract!B:O,14,FALSE),"")</f>
        <v/>
      </c>
      <c r="K2732" s="26" t="str">
        <f>IFERROR(VLOOKUP(G2732,WholesaleExtract!B:K,10,FALSE),"")</f>
        <v/>
      </c>
      <c r="L2732" s="47" t="str">
        <f>IFERROR(VLOOKUP(G2732,WholesaleExtract!B:L,11,FALSE),"")</f>
        <v/>
      </c>
      <c r="M2732" s="47" t="str">
        <f>IFERROR(VLOOKUP(G2732,WholesaleExtract!B:M,12,FALSE),"")</f>
        <v/>
      </c>
      <c r="R2732" s="19"/>
      <c r="S2732" s="19"/>
    </row>
    <row r="2733" spans="1:19" x14ac:dyDescent="0.35">
      <c r="A2733" s="26" t="s">
        <v>543</v>
      </c>
      <c r="B2733" s="26" t="s">
        <v>543</v>
      </c>
      <c r="C2733" s="26"/>
      <c r="D2733" s="26" t="s">
        <v>543</v>
      </c>
      <c r="E2733" s="26" t="str">
        <f>IFERROR(VLOOKUP(G2733,WholesaleExtract!B:J,9,FALSE),"")</f>
        <v/>
      </c>
      <c r="F2733" s="26" t="str">
        <f>IFERROR(VLOOKUP(G2733,WholesaleExtract!B:J,6,FALSE),"")</f>
        <v/>
      </c>
      <c r="H2733" s="47" t="str">
        <f>IFERROR(VLOOKUP(G2733,WholesaleExtract!B:L,11,FALSE),"")</f>
        <v/>
      </c>
      <c r="I2733" s="26" t="str">
        <f>IFERROR(VLOOKUP(G2733,WholesaleExtract!B:O,8,FALSE),"")</f>
        <v/>
      </c>
      <c r="J2733" s="26" t="str">
        <f>IFERROR(VLOOKUP(G2733,WholesaleExtract!B:O,14,FALSE),"")</f>
        <v/>
      </c>
      <c r="K2733" s="26" t="str">
        <f>IFERROR(VLOOKUP(G2733,WholesaleExtract!B:K,10,FALSE),"")</f>
        <v/>
      </c>
      <c r="L2733" s="47" t="str">
        <f>IFERROR(VLOOKUP(G2733,WholesaleExtract!B:L,11,FALSE),"")</f>
        <v/>
      </c>
      <c r="M2733" s="47" t="str">
        <f>IFERROR(VLOOKUP(G2733,WholesaleExtract!B:M,12,FALSE),"")</f>
        <v/>
      </c>
      <c r="R2733" s="19"/>
      <c r="S2733" s="19"/>
    </row>
    <row r="2734" spans="1:19" x14ac:dyDescent="0.35">
      <c r="A2734" s="26" t="s">
        <v>543</v>
      </c>
      <c r="B2734" s="26" t="s">
        <v>543</v>
      </c>
      <c r="C2734" s="26"/>
      <c r="D2734" s="26" t="s">
        <v>543</v>
      </c>
      <c r="E2734" s="26" t="str">
        <f>IFERROR(VLOOKUP(G2734,WholesaleExtract!B:J,9,FALSE),"")</f>
        <v/>
      </c>
      <c r="F2734" s="26" t="str">
        <f>IFERROR(VLOOKUP(G2734,WholesaleExtract!B:J,6,FALSE),"")</f>
        <v/>
      </c>
      <c r="H2734" s="47" t="str">
        <f>IFERROR(VLOOKUP(G2734,WholesaleExtract!B:L,11,FALSE),"")</f>
        <v/>
      </c>
      <c r="I2734" s="26" t="str">
        <f>IFERROR(VLOOKUP(G2734,WholesaleExtract!B:O,8,FALSE),"")</f>
        <v/>
      </c>
      <c r="J2734" s="26" t="str">
        <f>IFERROR(VLOOKUP(G2734,WholesaleExtract!B:O,14,FALSE),"")</f>
        <v/>
      </c>
      <c r="K2734" s="26" t="str">
        <f>IFERROR(VLOOKUP(G2734,WholesaleExtract!B:K,10,FALSE),"")</f>
        <v/>
      </c>
      <c r="L2734" s="47" t="str">
        <f>IFERROR(VLOOKUP(G2734,WholesaleExtract!B:L,11,FALSE),"")</f>
        <v/>
      </c>
      <c r="M2734" s="47" t="str">
        <f>IFERROR(VLOOKUP(G2734,WholesaleExtract!B:M,12,FALSE),"")</f>
        <v/>
      </c>
      <c r="R2734" s="19"/>
      <c r="S2734" s="19"/>
    </row>
    <row r="2735" spans="1:19" x14ac:dyDescent="0.35">
      <c r="A2735" s="26" t="s">
        <v>543</v>
      </c>
      <c r="B2735" s="26" t="s">
        <v>543</v>
      </c>
      <c r="C2735" s="26"/>
      <c r="D2735" s="26" t="s">
        <v>543</v>
      </c>
      <c r="E2735" s="26" t="str">
        <f>IFERROR(VLOOKUP(G2735,WholesaleExtract!B:J,9,FALSE),"")</f>
        <v/>
      </c>
      <c r="F2735" s="26" t="str">
        <f>IFERROR(VLOOKUP(G2735,WholesaleExtract!B:J,6,FALSE),"")</f>
        <v/>
      </c>
      <c r="H2735" s="47" t="str">
        <f>IFERROR(VLOOKUP(G2735,WholesaleExtract!B:L,11,FALSE),"")</f>
        <v/>
      </c>
      <c r="I2735" s="26" t="str">
        <f>IFERROR(VLOOKUP(G2735,WholesaleExtract!B:O,8,FALSE),"")</f>
        <v/>
      </c>
      <c r="J2735" s="26" t="str">
        <f>IFERROR(VLOOKUP(G2735,WholesaleExtract!B:O,14,FALSE),"")</f>
        <v/>
      </c>
      <c r="K2735" s="26" t="str">
        <f>IFERROR(VLOOKUP(G2735,WholesaleExtract!B:K,10,FALSE),"")</f>
        <v/>
      </c>
      <c r="L2735" s="47" t="str">
        <f>IFERROR(VLOOKUP(G2735,WholesaleExtract!B:L,11,FALSE),"")</f>
        <v/>
      </c>
      <c r="M2735" s="47" t="str">
        <f>IFERROR(VLOOKUP(G2735,WholesaleExtract!B:M,12,FALSE),"")</f>
        <v/>
      </c>
      <c r="R2735" s="19"/>
      <c r="S2735" s="19"/>
    </row>
    <row r="2736" spans="1:19" x14ac:dyDescent="0.35">
      <c r="A2736" s="26" t="s">
        <v>543</v>
      </c>
      <c r="B2736" s="26" t="s">
        <v>543</v>
      </c>
      <c r="C2736" s="26"/>
      <c r="D2736" s="26" t="s">
        <v>543</v>
      </c>
      <c r="E2736" s="26" t="str">
        <f>IFERROR(VLOOKUP(G2736,WholesaleExtract!B:J,9,FALSE),"")</f>
        <v/>
      </c>
      <c r="F2736" s="26" t="str">
        <f>IFERROR(VLOOKUP(G2736,WholesaleExtract!B:J,6,FALSE),"")</f>
        <v/>
      </c>
      <c r="H2736" s="47" t="str">
        <f>IFERROR(VLOOKUP(G2736,WholesaleExtract!B:L,11,FALSE),"")</f>
        <v/>
      </c>
      <c r="I2736" s="26" t="str">
        <f>IFERROR(VLOOKUP(G2736,WholesaleExtract!B:O,8,FALSE),"")</f>
        <v/>
      </c>
      <c r="J2736" s="26" t="str">
        <f>IFERROR(VLOOKUP(G2736,WholesaleExtract!B:O,14,FALSE),"")</f>
        <v/>
      </c>
      <c r="K2736" s="26" t="str">
        <f>IFERROR(VLOOKUP(G2736,WholesaleExtract!B:K,10,FALSE),"")</f>
        <v/>
      </c>
      <c r="L2736" s="47" t="str">
        <f>IFERROR(VLOOKUP(G2736,WholesaleExtract!B:L,11,FALSE),"")</f>
        <v/>
      </c>
      <c r="M2736" s="47" t="str">
        <f>IFERROR(VLOOKUP(G2736,WholesaleExtract!B:M,12,FALSE),"")</f>
        <v/>
      </c>
      <c r="R2736" s="19"/>
      <c r="S2736" s="19"/>
    </row>
    <row r="2737" spans="1:19" x14ac:dyDescent="0.35">
      <c r="A2737" s="26" t="s">
        <v>543</v>
      </c>
      <c r="B2737" s="26" t="s">
        <v>543</v>
      </c>
      <c r="C2737" s="26"/>
      <c r="D2737" s="26" t="s">
        <v>543</v>
      </c>
      <c r="E2737" s="26" t="str">
        <f>IFERROR(VLOOKUP(G2737,WholesaleExtract!B:J,9,FALSE),"")</f>
        <v/>
      </c>
      <c r="F2737" s="26" t="str">
        <f>IFERROR(VLOOKUP(G2737,WholesaleExtract!B:J,6,FALSE),"")</f>
        <v/>
      </c>
      <c r="H2737" s="47" t="str">
        <f>IFERROR(VLOOKUP(G2737,WholesaleExtract!B:L,11,FALSE),"")</f>
        <v/>
      </c>
      <c r="I2737" s="26" t="str">
        <f>IFERROR(VLOOKUP(G2737,WholesaleExtract!B:O,8,FALSE),"")</f>
        <v/>
      </c>
      <c r="J2737" s="26" t="str">
        <f>IFERROR(VLOOKUP(G2737,WholesaleExtract!B:O,14,FALSE),"")</f>
        <v/>
      </c>
      <c r="K2737" s="26" t="str">
        <f>IFERROR(VLOOKUP(G2737,WholesaleExtract!B:K,10,FALSE),"")</f>
        <v/>
      </c>
      <c r="L2737" s="47" t="str">
        <f>IFERROR(VLOOKUP(G2737,WholesaleExtract!B:L,11,FALSE),"")</f>
        <v/>
      </c>
      <c r="M2737" s="47" t="str">
        <f>IFERROR(VLOOKUP(G2737,WholesaleExtract!B:M,12,FALSE),"")</f>
        <v/>
      </c>
      <c r="R2737" s="19"/>
      <c r="S2737" s="19"/>
    </row>
    <row r="2738" spans="1:19" x14ac:dyDescent="0.35">
      <c r="A2738" s="26" t="s">
        <v>543</v>
      </c>
      <c r="B2738" s="26" t="s">
        <v>543</v>
      </c>
      <c r="C2738" s="26"/>
      <c r="D2738" s="26" t="s">
        <v>543</v>
      </c>
      <c r="E2738" s="26" t="str">
        <f>IFERROR(VLOOKUP(G2738,WholesaleExtract!B:J,9,FALSE),"")</f>
        <v/>
      </c>
      <c r="F2738" s="26" t="str">
        <f>IFERROR(VLOOKUP(G2738,WholesaleExtract!B:J,6,FALSE),"")</f>
        <v/>
      </c>
      <c r="H2738" s="47" t="str">
        <f>IFERROR(VLOOKUP(G2738,WholesaleExtract!B:L,11,FALSE),"")</f>
        <v/>
      </c>
      <c r="I2738" s="26" t="str">
        <f>IFERROR(VLOOKUP(G2738,WholesaleExtract!B:O,8,FALSE),"")</f>
        <v/>
      </c>
      <c r="J2738" s="26" t="str">
        <f>IFERROR(VLOOKUP(G2738,WholesaleExtract!B:O,14,FALSE),"")</f>
        <v/>
      </c>
      <c r="K2738" s="26" t="str">
        <f>IFERROR(VLOOKUP(G2738,WholesaleExtract!B:K,10,FALSE),"")</f>
        <v/>
      </c>
      <c r="L2738" s="47" t="str">
        <f>IFERROR(VLOOKUP(G2738,WholesaleExtract!B:L,11,FALSE),"")</f>
        <v/>
      </c>
      <c r="M2738" s="47" t="str">
        <f>IFERROR(VLOOKUP(G2738,WholesaleExtract!B:M,12,FALSE),"")</f>
        <v/>
      </c>
      <c r="R2738" s="19"/>
      <c r="S2738" s="19"/>
    </row>
    <row r="2739" spans="1:19" x14ac:dyDescent="0.35">
      <c r="A2739" s="26" t="s">
        <v>543</v>
      </c>
      <c r="B2739" s="26" t="s">
        <v>543</v>
      </c>
      <c r="C2739" s="26"/>
      <c r="D2739" s="26" t="s">
        <v>543</v>
      </c>
      <c r="E2739" s="26" t="str">
        <f>IFERROR(VLOOKUP(G2739,WholesaleExtract!B:J,9,FALSE),"")</f>
        <v/>
      </c>
      <c r="F2739" s="26" t="str">
        <f>IFERROR(VLOOKUP(G2739,WholesaleExtract!B:J,6,FALSE),"")</f>
        <v/>
      </c>
      <c r="H2739" s="47" t="str">
        <f>IFERROR(VLOOKUP(G2739,WholesaleExtract!B:L,11,FALSE),"")</f>
        <v/>
      </c>
      <c r="I2739" s="26" t="str">
        <f>IFERROR(VLOOKUP(G2739,WholesaleExtract!B:O,8,FALSE),"")</f>
        <v/>
      </c>
      <c r="J2739" s="26" t="str">
        <f>IFERROR(VLOOKUP(G2739,WholesaleExtract!B:O,14,FALSE),"")</f>
        <v/>
      </c>
      <c r="K2739" s="26" t="str">
        <f>IFERROR(VLOOKUP(G2739,WholesaleExtract!B:K,10,FALSE),"")</f>
        <v/>
      </c>
      <c r="L2739" s="47" t="str">
        <f>IFERROR(VLOOKUP(G2739,WholesaleExtract!B:L,11,FALSE),"")</f>
        <v/>
      </c>
      <c r="M2739" s="47" t="str">
        <f>IFERROR(VLOOKUP(G2739,WholesaleExtract!B:M,12,FALSE),"")</f>
        <v/>
      </c>
      <c r="R2739" s="19"/>
      <c r="S2739" s="19"/>
    </row>
    <row r="2740" spans="1:19" x14ac:dyDescent="0.35">
      <c r="A2740" s="26" t="s">
        <v>543</v>
      </c>
      <c r="B2740" s="26" t="s">
        <v>543</v>
      </c>
      <c r="C2740" s="26"/>
      <c r="D2740" s="26" t="s">
        <v>543</v>
      </c>
      <c r="E2740" s="26" t="str">
        <f>IFERROR(VLOOKUP(G2740,WholesaleExtract!B:J,9,FALSE),"")</f>
        <v/>
      </c>
      <c r="F2740" s="26" t="str">
        <f>IFERROR(VLOOKUP(G2740,WholesaleExtract!B:J,6,FALSE),"")</f>
        <v/>
      </c>
      <c r="H2740" s="47" t="str">
        <f>IFERROR(VLOOKUP(G2740,WholesaleExtract!B:L,11,FALSE),"")</f>
        <v/>
      </c>
      <c r="I2740" s="26" t="str">
        <f>IFERROR(VLOOKUP(G2740,WholesaleExtract!B:O,8,FALSE),"")</f>
        <v/>
      </c>
      <c r="J2740" s="26" t="str">
        <f>IFERROR(VLOOKUP(G2740,WholesaleExtract!B:O,14,FALSE),"")</f>
        <v/>
      </c>
      <c r="K2740" s="26" t="str">
        <f>IFERROR(VLOOKUP(G2740,WholesaleExtract!B:K,10,FALSE),"")</f>
        <v/>
      </c>
      <c r="L2740" s="47" t="str">
        <f>IFERROR(VLOOKUP(G2740,WholesaleExtract!B:L,11,FALSE),"")</f>
        <v/>
      </c>
      <c r="M2740" s="47" t="str">
        <f>IFERROR(VLOOKUP(G2740,WholesaleExtract!B:M,12,FALSE),"")</f>
        <v/>
      </c>
      <c r="R2740" s="19"/>
      <c r="S2740" s="19"/>
    </row>
    <row r="2741" spans="1:19" x14ac:dyDescent="0.35">
      <c r="A2741" s="26" t="s">
        <v>543</v>
      </c>
      <c r="B2741" s="26" t="s">
        <v>543</v>
      </c>
      <c r="C2741" s="26"/>
      <c r="D2741" s="26" t="s">
        <v>543</v>
      </c>
      <c r="E2741" s="26" t="str">
        <f>IFERROR(VLOOKUP(G2741,WholesaleExtract!B:J,9,FALSE),"")</f>
        <v/>
      </c>
      <c r="F2741" s="26" t="str">
        <f>IFERROR(VLOOKUP(G2741,WholesaleExtract!B:J,6,FALSE),"")</f>
        <v/>
      </c>
      <c r="H2741" s="47" t="str">
        <f>IFERROR(VLOOKUP(G2741,WholesaleExtract!B:L,11,FALSE),"")</f>
        <v/>
      </c>
      <c r="I2741" s="26" t="str">
        <f>IFERROR(VLOOKUP(G2741,WholesaleExtract!B:O,8,FALSE),"")</f>
        <v/>
      </c>
      <c r="J2741" s="26" t="str">
        <f>IFERROR(VLOOKUP(G2741,WholesaleExtract!B:O,14,FALSE),"")</f>
        <v/>
      </c>
      <c r="K2741" s="26" t="str">
        <f>IFERROR(VLOOKUP(G2741,WholesaleExtract!B:K,10,FALSE),"")</f>
        <v/>
      </c>
      <c r="L2741" s="47" t="str">
        <f>IFERROR(VLOOKUP(G2741,WholesaleExtract!B:L,11,FALSE),"")</f>
        <v/>
      </c>
      <c r="M2741" s="47" t="str">
        <f>IFERROR(VLOOKUP(G2741,WholesaleExtract!B:M,12,FALSE),"")</f>
        <v/>
      </c>
      <c r="R2741" s="19"/>
      <c r="S2741" s="19"/>
    </row>
    <row r="2742" spans="1:19" x14ac:dyDescent="0.35">
      <c r="A2742" s="26" t="s">
        <v>543</v>
      </c>
      <c r="B2742" s="26" t="s">
        <v>543</v>
      </c>
      <c r="C2742" s="26"/>
      <c r="D2742" s="26" t="s">
        <v>543</v>
      </c>
      <c r="E2742" s="26" t="str">
        <f>IFERROR(VLOOKUP(G2742,WholesaleExtract!B:J,9,FALSE),"")</f>
        <v/>
      </c>
      <c r="F2742" s="26" t="str">
        <f>IFERROR(VLOOKUP(G2742,WholesaleExtract!B:J,6,FALSE),"")</f>
        <v/>
      </c>
      <c r="H2742" s="47" t="str">
        <f>IFERROR(VLOOKUP(G2742,WholesaleExtract!B:L,11,FALSE),"")</f>
        <v/>
      </c>
      <c r="I2742" s="26" t="str">
        <f>IFERROR(VLOOKUP(G2742,WholesaleExtract!B:O,8,FALSE),"")</f>
        <v/>
      </c>
      <c r="J2742" s="26" t="str">
        <f>IFERROR(VLOOKUP(G2742,WholesaleExtract!B:O,14,FALSE),"")</f>
        <v/>
      </c>
      <c r="K2742" s="26" t="str">
        <f>IFERROR(VLOOKUP(G2742,WholesaleExtract!B:K,10,FALSE),"")</f>
        <v/>
      </c>
      <c r="L2742" s="47" t="str">
        <f>IFERROR(VLOOKUP(G2742,WholesaleExtract!B:L,11,FALSE),"")</f>
        <v/>
      </c>
      <c r="M2742" s="47" t="str">
        <f>IFERROR(VLOOKUP(G2742,WholesaleExtract!B:M,12,FALSE),"")</f>
        <v/>
      </c>
      <c r="R2742" s="19"/>
      <c r="S2742" s="19"/>
    </row>
    <row r="2743" spans="1:19" x14ac:dyDescent="0.35">
      <c r="A2743" s="26" t="s">
        <v>543</v>
      </c>
      <c r="B2743" s="26" t="s">
        <v>543</v>
      </c>
      <c r="C2743" s="26"/>
      <c r="D2743" s="26" t="s">
        <v>543</v>
      </c>
      <c r="E2743" s="26" t="str">
        <f>IFERROR(VLOOKUP(G2743,WholesaleExtract!B:J,9,FALSE),"")</f>
        <v/>
      </c>
      <c r="F2743" s="26" t="str">
        <f>IFERROR(VLOOKUP(G2743,WholesaleExtract!B:J,6,FALSE),"")</f>
        <v/>
      </c>
      <c r="H2743" s="47" t="str">
        <f>IFERROR(VLOOKUP(G2743,WholesaleExtract!B:L,11,FALSE),"")</f>
        <v/>
      </c>
      <c r="I2743" s="26" t="str">
        <f>IFERROR(VLOOKUP(G2743,WholesaleExtract!B:O,8,FALSE),"")</f>
        <v/>
      </c>
      <c r="J2743" s="26" t="str">
        <f>IFERROR(VLOOKUP(G2743,WholesaleExtract!B:O,14,FALSE),"")</f>
        <v/>
      </c>
      <c r="K2743" s="26" t="str">
        <f>IFERROR(VLOOKUP(G2743,WholesaleExtract!B:K,10,FALSE),"")</f>
        <v/>
      </c>
      <c r="L2743" s="47" t="str">
        <f>IFERROR(VLOOKUP(G2743,WholesaleExtract!B:L,11,FALSE),"")</f>
        <v/>
      </c>
      <c r="M2743" s="47" t="str">
        <f>IFERROR(VLOOKUP(G2743,WholesaleExtract!B:M,12,FALSE),"")</f>
        <v/>
      </c>
      <c r="R2743" s="19"/>
      <c r="S2743" s="19"/>
    </row>
    <row r="2744" spans="1:19" x14ac:dyDescent="0.35">
      <c r="A2744" s="26" t="s">
        <v>543</v>
      </c>
      <c r="B2744" s="26" t="s">
        <v>543</v>
      </c>
      <c r="C2744" s="26"/>
      <c r="D2744" s="26" t="s">
        <v>543</v>
      </c>
      <c r="E2744" s="26" t="str">
        <f>IFERROR(VLOOKUP(G2744,WholesaleExtract!B:J,9,FALSE),"")</f>
        <v/>
      </c>
      <c r="F2744" s="26" t="str">
        <f>IFERROR(VLOOKUP(G2744,WholesaleExtract!B:J,6,FALSE),"")</f>
        <v/>
      </c>
      <c r="H2744" s="47" t="str">
        <f>IFERROR(VLOOKUP(G2744,WholesaleExtract!B:L,11,FALSE),"")</f>
        <v/>
      </c>
      <c r="I2744" s="26" t="str">
        <f>IFERROR(VLOOKUP(G2744,WholesaleExtract!B:O,8,FALSE),"")</f>
        <v/>
      </c>
      <c r="J2744" s="26" t="str">
        <f>IFERROR(VLOOKUP(G2744,WholesaleExtract!B:O,14,FALSE),"")</f>
        <v/>
      </c>
      <c r="K2744" s="26" t="str">
        <f>IFERROR(VLOOKUP(G2744,WholesaleExtract!B:K,10,FALSE),"")</f>
        <v/>
      </c>
      <c r="L2744" s="47" t="str">
        <f>IFERROR(VLOOKUP(G2744,WholesaleExtract!B:L,11,FALSE),"")</f>
        <v/>
      </c>
      <c r="M2744" s="47" t="str">
        <f>IFERROR(VLOOKUP(G2744,WholesaleExtract!B:M,12,FALSE),"")</f>
        <v/>
      </c>
      <c r="R2744" s="19"/>
      <c r="S2744" s="19"/>
    </row>
    <row r="2745" spans="1:19" x14ac:dyDescent="0.35">
      <c r="A2745" s="26" t="s">
        <v>543</v>
      </c>
      <c r="B2745" s="26" t="s">
        <v>543</v>
      </c>
      <c r="C2745" s="26"/>
      <c r="D2745" s="26" t="s">
        <v>543</v>
      </c>
      <c r="E2745" s="26" t="str">
        <f>IFERROR(VLOOKUP(G2745,WholesaleExtract!B:J,9,FALSE),"")</f>
        <v/>
      </c>
      <c r="F2745" s="26" t="str">
        <f>IFERROR(VLOOKUP(G2745,WholesaleExtract!B:J,6,FALSE),"")</f>
        <v/>
      </c>
      <c r="H2745" s="47" t="str">
        <f>IFERROR(VLOOKUP(G2745,WholesaleExtract!B:L,11,FALSE),"")</f>
        <v/>
      </c>
      <c r="I2745" s="26" t="str">
        <f>IFERROR(VLOOKUP(G2745,WholesaleExtract!B:O,8,FALSE),"")</f>
        <v/>
      </c>
      <c r="J2745" s="26" t="str">
        <f>IFERROR(VLOOKUP(G2745,WholesaleExtract!B:O,14,FALSE),"")</f>
        <v/>
      </c>
      <c r="K2745" s="26" t="str">
        <f>IFERROR(VLOOKUP(G2745,WholesaleExtract!B:K,10,FALSE),"")</f>
        <v/>
      </c>
      <c r="L2745" s="47" t="str">
        <f>IFERROR(VLOOKUP(G2745,WholesaleExtract!B:L,11,FALSE),"")</f>
        <v/>
      </c>
      <c r="M2745" s="47" t="str">
        <f>IFERROR(VLOOKUP(G2745,WholesaleExtract!B:M,12,FALSE),"")</f>
        <v/>
      </c>
      <c r="R2745" s="19"/>
      <c r="S2745" s="19"/>
    </row>
    <row r="2746" spans="1:19" x14ac:dyDescent="0.35">
      <c r="A2746" s="26" t="s">
        <v>543</v>
      </c>
      <c r="B2746" s="26" t="s">
        <v>543</v>
      </c>
      <c r="C2746" s="26"/>
      <c r="D2746" s="26" t="s">
        <v>543</v>
      </c>
      <c r="E2746" s="26" t="str">
        <f>IFERROR(VLOOKUP(G2746,WholesaleExtract!B:J,9,FALSE),"")</f>
        <v/>
      </c>
      <c r="F2746" s="26" t="str">
        <f>IFERROR(VLOOKUP(G2746,WholesaleExtract!B:J,6,FALSE),"")</f>
        <v/>
      </c>
      <c r="H2746" s="47" t="str">
        <f>IFERROR(VLOOKUP(G2746,WholesaleExtract!B:L,11,FALSE),"")</f>
        <v/>
      </c>
      <c r="I2746" s="26" t="str">
        <f>IFERROR(VLOOKUP(G2746,WholesaleExtract!B:O,8,FALSE),"")</f>
        <v/>
      </c>
      <c r="J2746" s="26" t="str">
        <f>IFERROR(VLOOKUP(G2746,WholesaleExtract!B:O,14,FALSE),"")</f>
        <v/>
      </c>
      <c r="K2746" s="26" t="str">
        <f>IFERROR(VLOOKUP(G2746,WholesaleExtract!B:K,10,FALSE),"")</f>
        <v/>
      </c>
      <c r="L2746" s="47" t="str">
        <f>IFERROR(VLOOKUP(G2746,WholesaleExtract!B:L,11,FALSE),"")</f>
        <v/>
      </c>
      <c r="M2746" s="47" t="str">
        <f>IFERROR(VLOOKUP(G2746,WholesaleExtract!B:M,12,FALSE),"")</f>
        <v/>
      </c>
      <c r="R2746" s="19"/>
      <c r="S2746" s="19"/>
    </row>
    <row r="2747" spans="1:19" x14ac:dyDescent="0.35">
      <c r="A2747" s="26" t="s">
        <v>543</v>
      </c>
      <c r="B2747" s="26" t="s">
        <v>543</v>
      </c>
      <c r="C2747" s="26"/>
      <c r="D2747" s="26" t="s">
        <v>543</v>
      </c>
      <c r="E2747" s="26" t="str">
        <f>IFERROR(VLOOKUP(G2747,WholesaleExtract!B:J,9,FALSE),"")</f>
        <v/>
      </c>
      <c r="F2747" s="26" t="str">
        <f>IFERROR(VLOOKUP(G2747,WholesaleExtract!B:J,6,FALSE),"")</f>
        <v/>
      </c>
      <c r="H2747" s="47" t="str">
        <f>IFERROR(VLOOKUP(G2747,WholesaleExtract!B:L,11,FALSE),"")</f>
        <v/>
      </c>
      <c r="I2747" s="26" t="str">
        <f>IFERROR(VLOOKUP(G2747,WholesaleExtract!B:O,8,FALSE),"")</f>
        <v/>
      </c>
      <c r="J2747" s="26" t="str">
        <f>IFERROR(VLOOKUP(G2747,WholesaleExtract!B:O,14,FALSE),"")</f>
        <v/>
      </c>
      <c r="K2747" s="26" t="str">
        <f>IFERROR(VLOOKUP(G2747,WholesaleExtract!B:K,10,FALSE),"")</f>
        <v/>
      </c>
      <c r="L2747" s="47" t="str">
        <f>IFERROR(VLOOKUP(G2747,WholesaleExtract!B:L,11,FALSE),"")</f>
        <v/>
      </c>
      <c r="M2747" s="47" t="str">
        <f>IFERROR(VLOOKUP(G2747,WholesaleExtract!B:M,12,FALSE),"")</f>
        <v/>
      </c>
      <c r="R2747" s="19"/>
      <c r="S2747" s="19"/>
    </row>
    <row r="2748" spans="1:19" x14ac:dyDescent="0.35">
      <c r="A2748" s="26" t="s">
        <v>543</v>
      </c>
      <c r="B2748" s="26" t="s">
        <v>543</v>
      </c>
      <c r="C2748" s="26"/>
      <c r="D2748" s="26" t="s">
        <v>543</v>
      </c>
      <c r="E2748" s="26" t="str">
        <f>IFERROR(VLOOKUP(G2748,WholesaleExtract!B:J,9,FALSE),"")</f>
        <v/>
      </c>
      <c r="F2748" s="26" t="str">
        <f>IFERROR(VLOOKUP(G2748,WholesaleExtract!B:J,6,FALSE),"")</f>
        <v/>
      </c>
      <c r="H2748" s="47" t="str">
        <f>IFERROR(VLOOKUP(G2748,WholesaleExtract!B:L,11,FALSE),"")</f>
        <v/>
      </c>
      <c r="I2748" s="26" t="str">
        <f>IFERROR(VLOOKUP(G2748,WholesaleExtract!B:O,8,FALSE),"")</f>
        <v/>
      </c>
      <c r="J2748" s="26" t="str">
        <f>IFERROR(VLOOKUP(G2748,WholesaleExtract!B:O,14,FALSE),"")</f>
        <v/>
      </c>
      <c r="K2748" s="26" t="str">
        <f>IFERROR(VLOOKUP(G2748,WholesaleExtract!B:K,10,FALSE),"")</f>
        <v/>
      </c>
      <c r="L2748" s="47" t="str">
        <f>IFERROR(VLOOKUP(G2748,WholesaleExtract!B:L,11,FALSE),"")</f>
        <v/>
      </c>
      <c r="M2748" s="47" t="str">
        <f>IFERROR(VLOOKUP(G2748,WholesaleExtract!B:M,12,FALSE),"")</f>
        <v/>
      </c>
      <c r="R2748" s="19"/>
      <c r="S2748" s="19"/>
    </row>
    <row r="2749" spans="1:19" x14ac:dyDescent="0.35">
      <c r="A2749" s="26" t="s">
        <v>543</v>
      </c>
      <c r="B2749" s="26" t="s">
        <v>543</v>
      </c>
      <c r="C2749" s="26"/>
      <c r="D2749" s="26" t="s">
        <v>543</v>
      </c>
      <c r="E2749" s="26" t="str">
        <f>IFERROR(VLOOKUP(G2749,WholesaleExtract!B:J,9,FALSE),"")</f>
        <v/>
      </c>
      <c r="F2749" s="26" t="str">
        <f>IFERROR(VLOOKUP(G2749,WholesaleExtract!B:J,6,FALSE),"")</f>
        <v/>
      </c>
      <c r="H2749" s="47" t="str">
        <f>IFERROR(VLOOKUP(G2749,WholesaleExtract!B:L,11,FALSE),"")</f>
        <v/>
      </c>
      <c r="I2749" s="26" t="str">
        <f>IFERROR(VLOOKUP(G2749,WholesaleExtract!B:O,8,FALSE),"")</f>
        <v/>
      </c>
      <c r="J2749" s="26" t="str">
        <f>IFERROR(VLOOKUP(G2749,WholesaleExtract!B:O,14,FALSE),"")</f>
        <v/>
      </c>
      <c r="K2749" s="26" t="str">
        <f>IFERROR(VLOOKUP(G2749,WholesaleExtract!B:K,10,FALSE),"")</f>
        <v/>
      </c>
      <c r="L2749" s="47" t="str">
        <f>IFERROR(VLOOKUP(G2749,WholesaleExtract!B:L,11,FALSE),"")</f>
        <v/>
      </c>
      <c r="M2749" s="47" t="str">
        <f>IFERROR(VLOOKUP(G2749,WholesaleExtract!B:M,12,FALSE),"")</f>
        <v/>
      </c>
      <c r="R2749" s="19"/>
      <c r="S2749" s="19"/>
    </row>
    <row r="2750" spans="1:19" x14ac:dyDescent="0.35">
      <c r="A2750" s="26" t="s">
        <v>543</v>
      </c>
      <c r="B2750" s="26" t="s">
        <v>543</v>
      </c>
      <c r="C2750" s="26"/>
      <c r="D2750" s="26" t="s">
        <v>543</v>
      </c>
      <c r="E2750" s="26" t="str">
        <f>IFERROR(VLOOKUP(G2750,WholesaleExtract!B:J,9,FALSE),"")</f>
        <v/>
      </c>
      <c r="F2750" s="26" t="str">
        <f>IFERROR(VLOOKUP(G2750,WholesaleExtract!B:J,6,FALSE),"")</f>
        <v/>
      </c>
      <c r="H2750" s="47" t="str">
        <f>IFERROR(VLOOKUP(G2750,WholesaleExtract!B:L,11,FALSE),"")</f>
        <v/>
      </c>
      <c r="I2750" s="26" t="str">
        <f>IFERROR(VLOOKUP(G2750,WholesaleExtract!B:O,8,FALSE),"")</f>
        <v/>
      </c>
      <c r="J2750" s="26" t="str">
        <f>IFERROR(VLOOKUP(G2750,WholesaleExtract!B:O,14,FALSE),"")</f>
        <v/>
      </c>
      <c r="K2750" s="26" t="str">
        <f>IFERROR(VLOOKUP(G2750,WholesaleExtract!B:K,10,FALSE),"")</f>
        <v/>
      </c>
      <c r="L2750" s="47" t="str">
        <f>IFERROR(VLOOKUP(G2750,WholesaleExtract!B:L,11,FALSE),"")</f>
        <v/>
      </c>
      <c r="M2750" s="47" t="str">
        <f>IFERROR(VLOOKUP(G2750,WholesaleExtract!B:M,12,FALSE),"")</f>
        <v/>
      </c>
      <c r="R2750" s="19"/>
      <c r="S2750" s="19"/>
    </row>
    <row r="2751" spans="1:19" x14ac:dyDescent="0.35">
      <c r="A2751" s="26" t="s">
        <v>543</v>
      </c>
      <c r="B2751" s="26" t="s">
        <v>543</v>
      </c>
      <c r="C2751" s="26"/>
      <c r="D2751" s="26" t="s">
        <v>543</v>
      </c>
      <c r="E2751" s="26" t="str">
        <f>IFERROR(VLOOKUP(G2751,WholesaleExtract!B:J,9,FALSE),"")</f>
        <v/>
      </c>
      <c r="F2751" s="26" t="str">
        <f>IFERROR(VLOOKUP(G2751,WholesaleExtract!B:J,6,FALSE),"")</f>
        <v/>
      </c>
      <c r="H2751" s="47" t="str">
        <f>IFERROR(VLOOKUP(G2751,WholesaleExtract!B:L,11,FALSE),"")</f>
        <v/>
      </c>
      <c r="I2751" s="26" t="str">
        <f>IFERROR(VLOOKUP(G2751,WholesaleExtract!B:O,8,FALSE),"")</f>
        <v/>
      </c>
      <c r="J2751" s="26" t="str">
        <f>IFERROR(VLOOKUP(G2751,WholesaleExtract!B:O,14,FALSE),"")</f>
        <v/>
      </c>
      <c r="K2751" s="26" t="str">
        <f>IFERROR(VLOOKUP(G2751,WholesaleExtract!B:K,10,FALSE),"")</f>
        <v/>
      </c>
      <c r="L2751" s="47" t="str">
        <f>IFERROR(VLOOKUP(G2751,WholesaleExtract!B:L,11,FALSE),"")</f>
        <v/>
      </c>
      <c r="M2751" s="47" t="str">
        <f>IFERROR(VLOOKUP(G2751,WholesaleExtract!B:M,12,FALSE),"")</f>
        <v/>
      </c>
      <c r="R2751" s="19"/>
      <c r="S2751" s="19"/>
    </row>
    <row r="2752" spans="1:19" x14ac:dyDescent="0.35">
      <c r="A2752" s="26" t="s">
        <v>543</v>
      </c>
      <c r="B2752" s="26" t="s">
        <v>543</v>
      </c>
      <c r="C2752" s="26"/>
      <c r="D2752" s="26" t="s">
        <v>543</v>
      </c>
      <c r="E2752" s="26" t="str">
        <f>IFERROR(VLOOKUP(G2752,WholesaleExtract!B:J,9,FALSE),"")</f>
        <v/>
      </c>
      <c r="F2752" s="26" t="str">
        <f>IFERROR(VLOOKUP(G2752,WholesaleExtract!B:J,6,FALSE),"")</f>
        <v/>
      </c>
      <c r="H2752" s="47" t="str">
        <f>IFERROR(VLOOKUP(G2752,WholesaleExtract!B:L,11,FALSE),"")</f>
        <v/>
      </c>
      <c r="I2752" s="26" t="str">
        <f>IFERROR(VLOOKUP(G2752,WholesaleExtract!B:O,8,FALSE),"")</f>
        <v/>
      </c>
      <c r="J2752" s="26" t="str">
        <f>IFERROR(VLOOKUP(G2752,WholesaleExtract!B:O,14,FALSE),"")</f>
        <v/>
      </c>
      <c r="K2752" s="26" t="str">
        <f>IFERROR(VLOOKUP(G2752,WholesaleExtract!B:K,10,FALSE),"")</f>
        <v/>
      </c>
      <c r="L2752" s="47" t="str">
        <f>IFERROR(VLOOKUP(G2752,WholesaleExtract!B:L,11,FALSE),"")</f>
        <v/>
      </c>
      <c r="M2752" s="47" t="str">
        <f>IFERROR(VLOOKUP(G2752,WholesaleExtract!B:M,12,FALSE),"")</f>
        <v/>
      </c>
      <c r="R2752" s="19"/>
      <c r="S2752" s="19"/>
    </row>
    <row r="2753" spans="1:19" x14ac:dyDescent="0.35">
      <c r="A2753" s="26" t="s">
        <v>543</v>
      </c>
      <c r="B2753" s="26" t="s">
        <v>543</v>
      </c>
      <c r="C2753" s="26"/>
      <c r="D2753" s="26" t="s">
        <v>543</v>
      </c>
      <c r="E2753" s="26" t="str">
        <f>IFERROR(VLOOKUP(G2753,WholesaleExtract!B:J,9,FALSE),"")</f>
        <v/>
      </c>
      <c r="F2753" s="26" t="str">
        <f>IFERROR(VLOOKUP(G2753,WholesaleExtract!B:J,6,FALSE),"")</f>
        <v/>
      </c>
      <c r="H2753" s="47" t="str">
        <f>IFERROR(VLOOKUP(G2753,WholesaleExtract!B:L,11,FALSE),"")</f>
        <v/>
      </c>
      <c r="I2753" s="26" t="str">
        <f>IFERROR(VLOOKUP(G2753,WholesaleExtract!B:O,8,FALSE),"")</f>
        <v/>
      </c>
      <c r="J2753" s="26" t="str">
        <f>IFERROR(VLOOKUP(G2753,WholesaleExtract!B:O,14,FALSE),"")</f>
        <v/>
      </c>
      <c r="K2753" s="26" t="str">
        <f>IFERROR(VLOOKUP(G2753,WholesaleExtract!B:K,10,FALSE),"")</f>
        <v/>
      </c>
      <c r="L2753" s="47" t="str">
        <f>IFERROR(VLOOKUP(G2753,WholesaleExtract!B:L,11,FALSE),"")</f>
        <v/>
      </c>
      <c r="M2753" s="47" t="str">
        <f>IFERROR(VLOOKUP(G2753,WholesaleExtract!B:M,12,FALSE),"")</f>
        <v/>
      </c>
      <c r="R2753" s="19"/>
      <c r="S2753" s="19"/>
    </row>
    <row r="2754" spans="1:19" x14ac:dyDescent="0.35">
      <c r="A2754" s="26" t="s">
        <v>543</v>
      </c>
      <c r="B2754" s="26" t="s">
        <v>543</v>
      </c>
      <c r="C2754" s="26"/>
      <c r="D2754" s="26" t="s">
        <v>543</v>
      </c>
      <c r="E2754" s="26" t="str">
        <f>IFERROR(VLOOKUP(G2754,WholesaleExtract!B:J,9,FALSE),"")</f>
        <v/>
      </c>
      <c r="F2754" s="26" t="str">
        <f>IFERROR(VLOOKUP(G2754,WholesaleExtract!B:J,6,FALSE),"")</f>
        <v/>
      </c>
      <c r="H2754" s="47" t="str">
        <f>IFERROR(VLOOKUP(G2754,WholesaleExtract!B:L,11,FALSE),"")</f>
        <v/>
      </c>
      <c r="I2754" s="26" t="str">
        <f>IFERROR(VLOOKUP(G2754,WholesaleExtract!B:O,8,FALSE),"")</f>
        <v/>
      </c>
      <c r="J2754" s="26" t="str">
        <f>IFERROR(VLOOKUP(G2754,WholesaleExtract!B:O,14,FALSE),"")</f>
        <v/>
      </c>
      <c r="K2754" s="26" t="str">
        <f>IFERROR(VLOOKUP(G2754,WholesaleExtract!B:K,10,FALSE),"")</f>
        <v/>
      </c>
      <c r="L2754" s="47" t="str">
        <f>IFERROR(VLOOKUP(G2754,WholesaleExtract!B:L,11,FALSE),"")</f>
        <v/>
      </c>
      <c r="M2754" s="47" t="str">
        <f>IFERROR(VLOOKUP(G2754,WholesaleExtract!B:M,12,FALSE),"")</f>
        <v/>
      </c>
      <c r="R2754" s="19"/>
      <c r="S2754" s="19"/>
    </row>
    <row r="2755" spans="1:19" x14ac:dyDescent="0.35">
      <c r="A2755" s="26" t="s">
        <v>543</v>
      </c>
      <c r="B2755" s="26" t="s">
        <v>543</v>
      </c>
      <c r="C2755" s="26"/>
      <c r="D2755" s="26" t="s">
        <v>543</v>
      </c>
      <c r="E2755" s="26" t="str">
        <f>IFERROR(VLOOKUP(G2755,WholesaleExtract!B:J,9,FALSE),"")</f>
        <v/>
      </c>
      <c r="F2755" s="26" t="str">
        <f>IFERROR(VLOOKUP(G2755,WholesaleExtract!B:J,6,FALSE),"")</f>
        <v/>
      </c>
      <c r="H2755" s="47" t="str">
        <f>IFERROR(VLOOKUP(G2755,WholesaleExtract!B:L,11,FALSE),"")</f>
        <v/>
      </c>
      <c r="I2755" s="26" t="str">
        <f>IFERROR(VLOOKUP(G2755,WholesaleExtract!B:O,8,FALSE),"")</f>
        <v/>
      </c>
      <c r="J2755" s="26" t="str">
        <f>IFERROR(VLOOKUP(G2755,WholesaleExtract!B:O,14,FALSE),"")</f>
        <v/>
      </c>
      <c r="K2755" s="26" t="str">
        <f>IFERROR(VLOOKUP(G2755,WholesaleExtract!B:K,10,FALSE),"")</f>
        <v/>
      </c>
      <c r="L2755" s="47" t="str">
        <f>IFERROR(VLOOKUP(G2755,WholesaleExtract!B:L,11,FALSE),"")</f>
        <v/>
      </c>
      <c r="M2755" s="47" t="str">
        <f>IFERROR(VLOOKUP(G2755,WholesaleExtract!B:M,12,FALSE),"")</f>
        <v/>
      </c>
      <c r="R2755" s="19"/>
      <c r="S2755" s="19"/>
    </row>
    <row r="2756" spans="1:19" x14ac:dyDescent="0.35">
      <c r="A2756" s="26" t="s">
        <v>543</v>
      </c>
      <c r="B2756" s="26" t="s">
        <v>543</v>
      </c>
      <c r="C2756" s="26"/>
      <c r="D2756" s="26" t="s">
        <v>543</v>
      </c>
      <c r="E2756" s="26" t="str">
        <f>IFERROR(VLOOKUP(G2756,WholesaleExtract!B:J,9,FALSE),"")</f>
        <v/>
      </c>
      <c r="F2756" s="26" t="str">
        <f>IFERROR(VLOOKUP(G2756,WholesaleExtract!B:J,6,FALSE),"")</f>
        <v/>
      </c>
      <c r="H2756" s="47" t="str">
        <f>IFERROR(VLOOKUP(G2756,WholesaleExtract!B:L,11,FALSE),"")</f>
        <v/>
      </c>
      <c r="I2756" s="26" t="str">
        <f>IFERROR(VLOOKUP(G2756,WholesaleExtract!B:O,8,FALSE),"")</f>
        <v/>
      </c>
      <c r="J2756" s="26" t="str">
        <f>IFERROR(VLOOKUP(G2756,WholesaleExtract!B:O,14,FALSE),"")</f>
        <v/>
      </c>
      <c r="K2756" s="26" t="str">
        <f>IFERROR(VLOOKUP(G2756,WholesaleExtract!B:K,10,FALSE),"")</f>
        <v/>
      </c>
      <c r="L2756" s="47" t="str">
        <f>IFERROR(VLOOKUP(G2756,WholesaleExtract!B:L,11,FALSE),"")</f>
        <v/>
      </c>
      <c r="M2756" s="47" t="str">
        <f>IFERROR(VLOOKUP(G2756,WholesaleExtract!B:M,12,FALSE),"")</f>
        <v/>
      </c>
      <c r="R2756" s="19"/>
      <c r="S2756" s="19"/>
    </row>
    <row r="2757" spans="1:19" x14ac:dyDescent="0.35">
      <c r="A2757" s="26" t="s">
        <v>543</v>
      </c>
      <c r="B2757" s="26" t="s">
        <v>543</v>
      </c>
      <c r="C2757" s="26"/>
      <c r="D2757" s="26" t="s">
        <v>543</v>
      </c>
      <c r="E2757" s="26" t="str">
        <f>IFERROR(VLOOKUP(G2757,WholesaleExtract!B:J,9,FALSE),"")</f>
        <v/>
      </c>
      <c r="F2757" s="26" t="str">
        <f>IFERROR(VLOOKUP(G2757,WholesaleExtract!B:J,6,FALSE),"")</f>
        <v/>
      </c>
      <c r="H2757" s="47" t="str">
        <f>IFERROR(VLOOKUP(G2757,WholesaleExtract!B:L,11,FALSE),"")</f>
        <v/>
      </c>
      <c r="I2757" s="26" t="str">
        <f>IFERROR(VLOOKUP(G2757,WholesaleExtract!B:O,8,FALSE),"")</f>
        <v/>
      </c>
      <c r="J2757" s="26" t="str">
        <f>IFERROR(VLOOKUP(G2757,WholesaleExtract!B:O,14,FALSE),"")</f>
        <v/>
      </c>
      <c r="K2757" s="26" t="str">
        <f>IFERROR(VLOOKUP(G2757,WholesaleExtract!B:K,10,FALSE),"")</f>
        <v/>
      </c>
      <c r="L2757" s="47" t="str">
        <f>IFERROR(VLOOKUP(G2757,WholesaleExtract!B:L,11,FALSE),"")</f>
        <v/>
      </c>
      <c r="M2757" s="47" t="str">
        <f>IFERROR(VLOOKUP(G2757,WholesaleExtract!B:M,12,FALSE),"")</f>
        <v/>
      </c>
      <c r="R2757" s="19"/>
      <c r="S2757" s="19"/>
    </row>
    <row r="2758" spans="1:19" x14ac:dyDescent="0.35">
      <c r="A2758" s="26" t="s">
        <v>543</v>
      </c>
      <c r="B2758" s="26" t="s">
        <v>543</v>
      </c>
      <c r="C2758" s="26"/>
      <c r="D2758" s="26" t="s">
        <v>543</v>
      </c>
      <c r="E2758" s="26" t="str">
        <f>IFERROR(VLOOKUP(G2758,WholesaleExtract!B:J,9,FALSE),"")</f>
        <v/>
      </c>
      <c r="F2758" s="26" t="str">
        <f>IFERROR(VLOOKUP(G2758,WholesaleExtract!B:J,6,FALSE),"")</f>
        <v/>
      </c>
      <c r="H2758" s="47" t="str">
        <f>IFERROR(VLOOKUP(G2758,WholesaleExtract!B:L,11,FALSE),"")</f>
        <v/>
      </c>
      <c r="I2758" s="26" t="str">
        <f>IFERROR(VLOOKUP(G2758,WholesaleExtract!B:O,8,FALSE),"")</f>
        <v/>
      </c>
      <c r="J2758" s="26" t="str">
        <f>IFERROR(VLOOKUP(G2758,WholesaleExtract!B:O,14,FALSE),"")</f>
        <v/>
      </c>
      <c r="K2758" s="26" t="str">
        <f>IFERROR(VLOOKUP(G2758,WholesaleExtract!B:K,10,FALSE),"")</f>
        <v/>
      </c>
      <c r="L2758" s="47" t="str">
        <f>IFERROR(VLOOKUP(G2758,WholesaleExtract!B:L,11,FALSE),"")</f>
        <v/>
      </c>
      <c r="M2758" s="47" t="str">
        <f>IFERROR(VLOOKUP(G2758,WholesaleExtract!B:M,12,FALSE),"")</f>
        <v/>
      </c>
      <c r="R2758" s="19"/>
      <c r="S2758" s="19"/>
    </row>
    <row r="2759" spans="1:19" x14ac:dyDescent="0.35">
      <c r="A2759" s="26" t="s">
        <v>543</v>
      </c>
      <c r="B2759" s="26" t="s">
        <v>543</v>
      </c>
      <c r="C2759" s="26"/>
      <c r="D2759" s="26" t="s">
        <v>543</v>
      </c>
      <c r="E2759" s="26" t="str">
        <f>IFERROR(VLOOKUP(G2759,WholesaleExtract!B:J,9,FALSE),"")</f>
        <v/>
      </c>
      <c r="F2759" s="26" t="str">
        <f>IFERROR(VLOOKUP(G2759,WholesaleExtract!B:J,6,FALSE),"")</f>
        <v/>
      </c>
      <c r="H2759" s="47" t="str">
        <f>IFERROR(VLOOKUP(G2759,WholesaleExtract!B:L,11,FALSE),"")</f>
        <v/>
      </c>
      <c r="I2759" s="26" t="str">
        <f>IFERROR(VLOOKUP(G2759,WholesaleExtract!B:O,8,FALSE),"")</f>
        <v/>
      </c>
      <c r="J2759" s="26" t="str">
        <f>IFERROR(VLOOKUP(G2759,WholesaleExtract!B:O,14,FALSE),"")</f>
        <v/>
      </c>
      <c r="K2759" s="26" t="str">
        <f>IFERROR(VLOOKUP(G2759,WholesaleExtract!B:K,10,FALSE),"")</f>
        <v/>
      </c>
      <c r="L2759" s="47" t="str">
        <f>IFERROR(VLOOKUP(G2759,WholesaleExtract!B:L,11,FALSE),"")</f>
        <v/>
      </c>
      <c r="M2759" s="47" t="str">
        <f>IFERROR(VLOOKUP(G2759,WholesaleExtract!B:M,12,FALSE),"")</f>
        <v/>
      </c>
      <c r="R2759" s="19"/>
      <c r="S2759" s="19"/>
    </row>
    <row r="2760" spans="1:19" x14ac:dyDescent="0.35">
      <c r="A2760" s="26" t="s">
        <v>543</v>
      </c>
      <c r="B2760" s="26" t="s">
        <v>543</v>
      </c>
      <c r="C2760" s="26"/>
      <c r="D2760" s="26" t="s">
        <v>543</v>
      </c>
      <c r="E2760" s="26" t="str">
        <f>IFERROR(VLOOKUP(G2760,WholesaleExtract!B:J,9,FALSE),"")</f>
        <v/>
      </c>
      <c r="F2760" s="26" t="str">
        <f>IFERROR(VLOOKUP(G2760,WholesaleExtract!B:J,6,FALSE),"")</f>
        <v/>
      </c>
      <c r="H2760" s="47" t="str">
        <f>IFERROR(VLOOKUP(G2760,WholesaleExtract!B:L,11,FALSE),"")</f>
        <v/>
      </c>
      <c r="I2760" s="26" t="str">
        <f>IFERROR(VLOOKUP(G2760,WholesaleExtract!B:O,8,FALSE),"")</f>
        <v/>
      </c>
      <c r="J2760" s="26" t="str">
        <f>IFERROR(VLOOKUP(G2760,WholesaleExtract!B:O,14,FALSE),"")</f>
        <v/>
      </c>
      <c r="K2760" s="26" t="str">
        <f>IFERROR(VLOOKUP(G2760,WholesaleExtract!B:K,10,FALSE),"")</f>
        <v/>
      </c>
      <c r="L2760" s="47" t="str">
        <f>IFERROR(VLOOKUP(G2760,WholesaleExtract!B:L,11,FALSE),"")</f>
        <v/>
      </c>
      <c r="M2760" s="47" t="str">
        <f>IFERROR(VLOOKUP(G2760,WholesaleExtract!B:M,12,FALSE),"")</f>
        <v/>
      </c>
      <c r="R2760" s="19"/>
      <c r="S2760" s="19"/>
    </row>
    <row r="2761" spans="1:19" x14ac:dyDescent="0.35">
      <c r="A2761" s="26" t="s">
        <v>543</v>
      </c>
      <c r="B2761" s="26" t="s">
        <v>543</v>
      </c>
      <c r="C2761" s="26"/>
      <c r="D2761" s="26" t="s">
        <v>543</v>
      </c>
      <c r="E2761" s="26" t="str">
        <f>IFERROR(VLOOKUP(G2761,WholesaleExtract!B:J,9,FALSE),"")</f>
        <v/>
      </c>
      <c r="F2761" s="26" t="str">
        <f>IFERROR(VLOOKUP(G2761,WholesaleExtract!B:J,6,FALSE),"")</f>
        <v/>
      </c>
      <c r="H2761" s="47" t="str">
        <f>IFERROR(VLOOKUP(G2761,WholesaleExtract!B:L,11,FALSE),"")</f>
        <v/>
      </c>
      <c r="I2761" s="26" t="str">
        <f>IFERROR(VLOOKUP(G2761,WholesaleExtract!B:O,8,FALSE),"")</f>
        <v/>
      </c>
      <c r="J2761" s="26" t="str">
        <f>IFERROR(VLOOKUP(G2761,WholesaleExtract!B:O,14,FALSE),"")</f>
        <v/>
      </c>
      <c r="K2761" s="26" t="str">
        <f>IFERROR(VLOOKUP(G2761,WholesaleExtract!B:K,10,FALSE),"")</f>
        <v/>
      </c>
      <c r="L2761" s="47" t="str">
        <f>IFERROR(VLOOKUP(G2761,WholesaleExtract!B:L,11,FALSE),"")</f>
        <v/>
      </c>
      <c r="M2761" s="47" t="str">
        <f>IFERROR(VLOOKUP(G2761,WholesaleExtract!B:M,12,FALSE),"")</f>
        <v/>
      </c>
      <c r="R2761" s="19"/>
      <c r="S2761" s="19"/>
    </row>
    <row r="2762" spans="1:19" x14ac:dyDescent="0.35">
      <c r="A2762" s="26" t="s">
        <v>543</v>
      </c>
      <c r="B2762" s="26" t="s">
        <v>543</v>
      </c>
      <c r="C2762" s="26"/>
      <c r="D2762" s="26" t="s">
        <v>543</v>
      </c>
      <c r="E2762" s="26" t="str">
        <f>IFERROR(VLOOKUP(G2762,WholesaleExtract!B:J,9,FALSE),"")</f>
        <v/>
      </c>
      <c r="F2762" s="26" t="str">
        <f>IFERROR(VLOOKUP(G2762,WholesaleExtract!B:J,6,FALSE),"")</f>
        <v/>
      </c>
      <c r="H2762" s="47" t="str">
        <f>IFERROR(VLOOKUP(G2762,WholesaleExtract!B:L,11,FALSE),"")</f>
        <v/>
      </c>
      <c r="I2762" s="26" t="str">
        <f>IFERROR(VLOOKUP(G2762,WholesaleExtract!B:O,8,FALSE),"")</f>
        <v/>
      </c>
      <c r="J2762" s="26" t="str">
        <f>IFERROR(VLOOKUP(G2762,WholesaleExtract!B:O,14,FALSE),"")</f>
        <v/>
      </c>
      <c r="K2762" s="26" t="str">
        <f>IFERROR(VLOOKUP(G2762,WholesaleExtract!B:K,10,FALSE),"")</f>
        <v/>
      </c>
      <c r="L2762" s="47" t="str">
        <f>IFERROR(VLOOKUP(G2762,WholesaleExtract!B:L,11,FALSE),"")</f>
        <v/>
      </c>
      <c r="M2762" s="47" t="str">
        <f>IFERROR(VLOOKUP(G2762,WholesaleExtract!B:M,12,FALSE),"")</f>
        <v/>
      </c>
      <c r="R2762" s="19"/>
      <c r="S2762" s="19"/>
    </row>
    <row r="2763" spans="1:19" x14ac:dyDescent="0.35">
      <c r="A2763" s="26" t="s">
        <v>543</v>
      </c>
      <c r="B2763" s="26" t="s">
        <v>543</v>
      </c>
      <c r="C2763" s="26"/>
      <c r="D2763" s="26" t="s">
        <v>543</v>
      </c>
      <c r="E2763" s="26" t="str">
        <f>IFERROR(VLOOKUP(G2763,WholesaleExtract!B:J,9,FALSE),"")</f>
        <v/>
      </c>
      <c r="F2763" s="26" t="str">
        <f>IFERROR(VLOOKUP(G2763,WholesaleExtract!B:J,6,FALSE),"")</f>
        <v/>
      </c>
      <c r="H2763" s="47" t="str">
        <f>IFERROR(VLOOKUP(G2763,WholesaleExtract!B:L,11,FALSE),"")</f>
        <v/>
      </c>
      <c r="I2763" s="26" t="str">
        <f>IFERROR(VLOOKUP(G2763,WholesaleExtract!B:O,8,FALSE),"")</f>
        <v/>
      </c>
      <c r="J2763" s="26" t="str">
        <f>IFERROR(VLOOKUP(G2763,WholesaleExtract!B:O,14,FALSE),"")</f>
        <v/>
      </c>
      <c r="K2763" s="26" t="str">
        <f>IFERROR(VLOOKUP(G2763,WholesaleExtract!B:K,10,FALSE),"")</f>
        <v/>
      </c>
      <c r="L2763" s="47" t="str">
        <f>IFERROR(VLOOKUP(G2763,WholesaleExtract!B:L,11,FALSE),"")</f>
        <v/>
      </c>
      <c r="M2763" s="47" t="str">
        <f>IFERROR(VLOOKUP(G2763,WholesaleExtract!B:M,12,FALSE),"")</f>
        <v/>
      </c>
      <c r="R2763" s="19"/>
      <c r="S2763" s="19"/>
    </row>
    <row r="2764" spans="1:19" x14ac:dyDescent="0.35">
      <c r="A2764" s="26" t="s">
        <v>543</v>
      </c>
      <c r="B2764" s="26" t="s">
        <v>543</v>
      </c>
      <c r="C2764" s="26"/>
      <c r="D2764" s="26" t="s">
        <v>543</v>
      </c>
      <c r="E2764" s="26" t="str">
        <f>IFERROR(VLOOKUP(G2764,WholesaleExtract!B:J,9,FALSE),"")</f>
        <v/>
      </c>
      <c r="F2764" s="26" t="str">
        <f>IFERROR(VLOOKUP(G2764,WholesaleExtract!B:J,6,FALSE),"")</f>
        <v/>
      </c>
      <c r="H2764" s="47" t="str">
        <f>IFERROR(VLOOKUP(G2764,WholesaleExtract!B:L,11,FALSE),"")</f>
        <v/>
      </c>
      <c r="I2764" s="26" t="str">
        <f>IFERROR(VLOOKUP(G2764,WholesaleExtract!B:O,8,FALSE),"")</f>
        <v/>
      </c>
      <c r="J2764" s="26" t="str">
        <f>IFERROR(VLOOKUP(G2764,WholesaleExtract!B:O,14,FALSE),"")</f>
        <v/>
      </c>
      <c r="K2764" s="26" t="str">
        <f>IFERROR(VLOOKUP(G2764,WholesaleExtract!B:K,10,FALSE),"")</f>
        <v/>
      </c>
      <c r="L2764" s="47" t="str">
        <f>IFERROR(VLOOKUP(G2764,WholesaleExtract!B:L,11,FALSE),"")</f>
        <v/>
      </c>
      <c r="M2764" s="47" t="str">
        <f>IFERROR(VLOOKUP(G2764,WholesaleExtract!B:M,12,FALSE),"")</f>
        <v/>
      </c>
      <c r="R2764" s="19"/>
      <c r="S2764" s="19"/>
    </row>
    <row r="2765" spans="1:19" x14ac:dyDescent="0.35">
      <c r="A2765" s="26" t="s">
        <v>543</v>
      </c>
      <c r="B2765" s="26" t="s">
        <v>543</v>
      </c>
      <c r="C2765" s="26"/>
      <c r="D2765" s="26" t="s">
        <v>543</v>
      </c>
      <c r="E2765" s="26" t="str">
        <f>IFERROR(VLOOKUP(G2765,WholesaleExtract!B:J,9,FALSE),"")</f>
        <v/>
      </c>
      <c r="F2765" s="26" t="str">
        <f>IFERROR(VLOOKUP(G2765,WholesaleExtract!B:J,6,FALSE),"")</f>
        <v/>
      </c>
      <c r="H2765" s="47" t="str">
        <f>IFERROR(VLOOKUP(G2765,WholesaleExtract!B:L,11,FALSE),"")</f>
        <v/>
      </c>
      <c r="I2765" s="26" t="str">
        <f>IFERROR(VLOOKUP(G2765,WholesaleExtract!B:O,8,FALSE),"")</f>
        <v/>
      </c>
      <c r="J2765" s="26" t="str">
        <f>IFERROR(VLOOKUP(G2765,WholesaleExtract!B:O,14,FALSE),"")</f>
        <v/>
      </c>
      <c r="K2765" s="26" t="str">
        <f>IFERROR(VLOOKUP(G2765,WholesaleExtract!B:K,10,FALSE),"")</f>
        <v/>
      </c>
      <c r="L2765" s="47" t="str">
        <f>IFERROR(VLOOKUP(G2765,WholesaleExtract!B:L,11,FALSE),"")</f>
        <v/>
      </c>
      <c r="M2765" s="47" t="str">
        <f>IFERROR(VLOOKUP(G2765,WholesaleExtract!B:M,12,FALSE),"")</f>
        <v/>
      </c>
      <c r="R2765" s="19"/>
      <c r="S2765" s="19"/>
    </row>
    <row r="2766" spans="1:19" x14ac:dyDescent="0.35">
      <c r="A2766" s="26" t="s">
        <v>543</v>
      </c>
      <c r="B2766" s="26" t="s">
        <v>543</v>
      </c>
      <c r="C2766" s="26"/>
      <c r="D2766" s="26" t="s">
        <v>543</v>
      </c>
      <c r="E2766" s="26" t="str">
        <f>IFERROR(VLOOKUP(G2766,WholesaleExtract!B:J,9,FALSE),"")</f>
        <v/>
      </c>
      <c r="F2766" s="26" t="str">
        <f>IFERROR(VLOOKUP(G2766,WholesaleExtract!B:J,6,FALSE),"")</f>
        <v/>
      </c>
      <c r="H2766" s="47" t="str">
        <f>IFERROR(VLOOKUP(G2766,WholesaleExtract!B:L,11,FALSE),"")</f>
        <v/>
      </c>
      <c r="I2766" s="26" t="str">
        <f>IFERROR(VLOOKUP(G2766,WholesaleExtract!B:O,8,FALSE),"")</f>
        <v/>
      </c>
      <c r="J2766" s="26" t="str">
        <f>IFERROR(VLOOKUP(G2766,WholesaleExtract!B:O,14,FALSE),"")</f>
        <v/>
      </c>
      <c r="K2766" s="26" t="str">
        <f>IFERROR(VLOOKUP(G2766,WholesaleExtract!B:K,10,FALSE),"")</f>
        <v/>
      </c>
      <c r="L2766" s="47" t="str">
        <f>IFERROR(VLOOKUP(G2766,WholesaleExtract!B:L,11,FALSE),"")</f>
        <v/>
      </c>
      <c r="M2766" s="47" t="str">
        <f>IFERROR(VLOOKUP(G2766,WholesaleExtract!B:M,12,FALSE),"")</f>
        <v/>
      </c>
      <c r="R2766" s="19"/>
      <c r="S2766" s="19"/>
    </row>
    <row r="2767" spans="1:19" x14ac:dyDescent="0.35">
      <c r="A2767" s="26" t="s">
        <v>543</v>
      </c>
      <c r="B2767" s="26" t="s">
        <v>543</v>
      </c>
      <c r="C2767" s="26"/>
      <c r="D2767" s="26" t="s">
        <v>543</v>
      </c>
      <c r="E2767" s="26" t="str">
        <f>IFERROR(VLOOKUP(G2767,WholesaleExtract!B:J,9,FALSE),"")</f>
        <v/>
      </c>
      <c r="F2767" s="26" t="str">
        <f>IFERROR(VLOOKUP(G2767,WholesaleExtract!B:J,6,FALSE),"")</f>
        <v/>
      </c>
      <c r="H2767" s="47" t="str">
        <f>IFERROR(VLOOKUP(G2767,WholesaleExtract!B:L,11,FALSE),"")</f>
        <v/>
      </c>
      <c r="I2767" s="26" t="str">
        <f>IFERROR(VLOOKUP(G2767,WholesaleExtract!B:O,8,FALSE),"")</f>
        <v/>
      </c>
      <c r="J2767" s="26" t="str">
        <f>IFERROR(VLOOKUP(G2767,WholesaleExtract!B:O,14,FALSE),"")</f>
        <v/>
      </c>
      <c r="K2767" s="26" t="str">
        <f>IFERROR(VLOOKUP(G2767,WholesaleExtract!B:K,10,FALSE),"")</f>
        <v/>
      </c>
      <c r="L2767" s="47" t="str">
        <f>IFERROR(VLOOKUP(G2767,WholesaleExtract!B:L,11,FALSE),"")</f>
        <v/>
      </c>
      <c r="M2767" s="47" t="str">
        <f>IFERROR(VLOOKUP(G2767,WholesaleExtract!B:M,12,FALSE),"")</f>
        <v/>
      </c>
      <c r="R2767" s="19"/>
      <c r="S2767" s="19"/>
    </row>
    <row r="2768" spans="1:19" x14ac:dyDescent="0.35">
      <c r="A2768" s="26" t="s">
        <v>543</v>
      </c>
      <c r="B2768" s="26" t="s">
        <v>543</v>
      </c>
      <c r="C2768" s="26"/>
      <c r="D2768" s="26" t="s">
        <v>543</v>
      </c>
      <c r="E2768" s="26" t="str">
        <f>IFERROR(VLOOKUP(G2768,WholesaleExtract!B:J,9,FALSE),"")</f>
        <v/>
      </c>
      <c r="F2768" s="26" t="str">
        <f>IFERROR(VLOOKUP(G2768,WholesaleExtract!B:J,6,FALSE),"")</f>
        <v/>
      </c>
      <c r="H2768" s="47" t="str">
        <f>IFERROR(VLOOKUP(G2768,WholesaleExtract!B:L,11,FALSE),"")</f>
        <v/>
      </c>
      <c r="I2768" s="26" t="str">
        <f>IFERROR(VLOOKUP(G2768,WholesaleExtract!B:O,8,FALSE),"")</f>
        <v/>
      </c>
      <c r="J2768" s="26" t="str">
        <f>IFERROR(VLOOKUP(G2768,WholesaleExtract!B:O,14,FALSE),"")</f>
        <v/>
      </c>
      <c r="K2768" s="26" t="str">
        <f>IFERROR(VLOOKUP(G2768,WholesaleExtract!B:K,10,FALSE),"")</f>
        <v/>
      </c>
      <c r="L2768" s="47" t="str">
        <f>IFERROR(VLOOKUP(G2768,WholesaleExtract!B:L,11,FALSE),"")</f>
        <v/>
      </c>
      <c r="M2768" s="47" t="str">
        <f>IFERROR(VLOOKUP(G2768,WholesaleExtract!B:M,12,FALSE),"")</f>
        <v/>
      </c>
      <c r="R2768" s="19"/>
      <c r="S2768" s="19"/>
    </row>
    <row r="2769" spans="1:19" x14ac:dyDescent="0.35">
      <c r="A2769" s="26" t="s">
        <v>543</v>
      </c>
      <c r="B2769" s="26" t="s">
        <v>543</v>
      </c>
      <c r="C2769" s="26"/>
      <c r="D2769" s="26" t="s">
        <v>543</v>
      </c>
      <c r="E2769" s="26" t="str">
        <f>IFERROR(VLOOKUP(G2769,WholesaleExtract!B:J,9,FALSE),"")</f>
        <v/>
      </c>
      <c r="F2769" s="26" t="str">
        <f>IFERROR(VLOOKUP(G2769,WholesaleExtract!B:J,6,FALSE),"")</f>
        <v/>
      </c>
      <c r="H2769" s="47" t="str">
        <f>IFERROR(VLOOKUP(G2769,WholesaleExtract!B:L,11,FALSE),"")</f>
        <v/>
      </c>
      <c r="I2769" s="26" t="str">
        <f>IFERROR(VLOOKUP(G2769,WholesaleExtract!B:O,8,FALSE),"")</f>
        <v/>
      </c>
      <c r="J2769" s="26" t="str">
        <f>IFERROR(VLOOKUP(G2769,WholesaleExtract!B:O,14,FALSE),"")</f>
        <v/>
      </c>
      <c r="K2769" s="26" t="str">
        <f>IFERROR(VLOOKUP(G2769,WholesaleExtract!B:K,10,FALSE),"")</f>
        <v/>
      </c>
      <c r="L2769" s="47" t="str">
        <f>IFERROR(VLOOKUP(G2769,WholesaleExtract!B:L,11,FALSE),"")</f>
        <v/>
      </c>
      <c r="M2769" s="47" t="str">
        <f>IFERROR(VLOOKUP(G2769,WholesaleExtract!B:M,12,FALSE),"")</f>
        <v/>
      </c>
      <c r="R2769" s="19"/>
      <c r="S2769" s="19"/>
    </row>
    <row r="2770" spans="1:19" x14ac:dyDescent="0.35">
      <c r="A2770" s="26" t="s">
        <v>543</v>
      </c>
      <c r="B2770" s="26" t="s">
        <v>543</v>
      </c>
      <c r="C2770" s="26"/>
      <c r="D2770" s="26" t="s">
        <v>543</v>
      </c>
      <c r="E2770" s="26" t="str">
        <f>IFERROR(VLOOKUP(G2770,WholesaleExtract!B:J,9,FALSE),"")</f>
        <v/>
      </c>
      <c r="F2770" s="26" t="str">
        <f>IFERROR(VLOOKUP(G2770,WholesaleExtract!B:J,6,FALSE),"")</f>
        <v/>
      </c>
      <c r="H2770" s="47" t="str">
        <f>IFERROR(VLOOKUP(G2770,WholesaleExtract!B:L,11,FALSE),"")</f>
        <v/>
      </c>
      <c r="I2770" s="26" t="str">
        <f>IFERROR(VLOOKUP(G2770,WholesaleExtract!B:O,8,FALSE),"")</f>
        <v/>
      </c>
      <c r="J2770" s="26" t="str">
        <f>IFERROR(VLOOKUP(G2770,WholesaleExtract!B:O,14,FALSE),"")</f>
        <v/>
      </c>
      <c r="K2770" s="26" t="str">
        <f>IFERROR(VLOOKUP(G2770,WholesaleExtract!B:K,10,FALSE),"")</f>
        <v/>
      </c>
      <c r="L2770" s="47" t="str">
        <f>IFERROR(VLOOKUP(G2770,WholesaleExtract!B:L,11,FALSE),"")</f>
        <v/>
      </c>
      <c r="M2770" s="47" t="str">
        <f>IFERROR(VLOOKUP(G2770,WholesaleExtract!B:M,12,FALSE),"")</f>
        <v/>
      </c>
      <c r="R2770" s="19"/>
      <c r="S2770" s="19"/>
    </row>
    <row r="2771" spans="1:19" x14ac:dyDescent="0.35">
      <c r="A2771" s="26" t="s">
        <v>543</v>
      </c>
      <c r="B2771" s="26" t="s">
        <v>543</v>
      </c>
      <c r="C2771" s="26"/>
      <c r="D2771" s="26" t="s">
        <v>543</v>
      </c>
      <c r="E2771" s="26" t="str">
        <f>IFERROR(VLOOKUP(G2771,WholesaleExtract!B:J,9,FALSE),"")</f>
        <v/>
      </c>
      <c r="F2771" s="26" t="str">
        <f>IFERROR(VLOOKUP(G2771,WholesaleExtract!B:J,6,FALSE),"")</f>
        <v/>
      </c>
      <c r="H2771" s="47" t="str">
        <f>IFERROR(VLOOKUP(G2771,WholesaleExtract!B:L,11,FALSE),"")</f>
        <v/>
      </c>
      <c r="I2771" s="26" t="str">
        <f>IFERROR(VLOOKUP(G2771,WholesaleExtract!B:O,8,FALSE),"")</f>
        <v/>
      </c>
      <c r="J2771" s="26" t="str">
        <f>IFERROR(VLOOKUP(G2771,WholesaleExtract!B:O,14,FALSE),"")</f>
        <v/>
      </c>
      <c r="K2771" s="26" t="str">
        <f>IFERROR(VLOOKUP(G2771,WholesaleExtract!B:K,10,FALSE),"")</f>
        <v/>
      </c>
      <c r="L2771" s="47" t="str">
        <f>IFERROR(VLOOKUP(G2771,WholesaleExtract!B:L,11,FALSE),"")</f>
        <v/>
      </c>
      <c r="M2771" s="47" t="str">
        <f>IFERROR(VLOOKUP(G2771,WholesaleExtract!B:M,12,FALSE),"")</f>
        <v/>
      </c>
      <c r="R2771" s="19"/>
      <c r="S2771" s="19"/>
    </row>
    <row r="2772" spans="1:19" x14ac:dyDescent="0.35">
      <c r="A2772" s="26" t="s">
        <v>543</v>
      </c>
      <c r="B2772" s="26" t="s">
        <v>543</v>
      </c>
      <c r="C2772" s="26"/>
      <c r="D2772" s="26" t="s">
        <v>543</v>
      </c>
      <c r="E2772" s="26" t="str">
        <f>IFERROR(VLOOKUP(G2772,WholesaleExtract!B:J,9,FALSE),"")</f>
        <v/>
      </c>
      <c r="F2772" s="26" t="str">
        <f>IFERROR(VLOOKUP(G2772,WholesaleExtract!B:J,6,FALSE),"")</f>
        <v/>
      </c>
      <c r="H2772" s="47" t="str">
        <f>IFERROR(VLOOKUP(G2772,WholesaleExtract!B:L,11,FALSE),"")</f>
        <v/>
      </c>
      <c r="I2772" s="26" t="str">
        <f>IFERROR(VLOOKUP(G2772,WholesaleExtract!B:O,8,FALSE),"")</f>
        <v/>
      </c>
      <c r="J2772" s="26" t="str">
        <f>IFERROR(VLOOKUP(G2772,WholesaleExtract!B:O,14,FALSE),"")</f>
        <v/>
      </c>
      <c r="K2772" s="26" t="str">
        <f>IFERROR(VLOOKUP(G2772,WholesaleExtract!B:K,10,FALSE),"")</f>
        <v/>
      </c>
      <c r="L2772" s="47" t="str">
        <f>IFERROR(VLOOKUP(G2772,WholesaleExtract!B:L,11,FALSE),"")</f>
        <v/>
      </c>
      <c r="M2772" s="47" t="str">
        <f>IFERROR(VLOOKUP(G2772,WholesaleExtract!B:M,12,FALSE),"")</f>
        <v/>
      </c>
      <c r="R2772" s="19"/>
      <c r="S2772" s="19"/>
    </row>
    <row r="2773" spans="1:19" x14ac:dyDescent="0.35">
      <c r="A2773" s="26" t="s">
        <v>543</v>
      </c>
      <c r="B2773" s="26" t="s">
        <v>543</v>
      </c>
      <c r="C2773" s="26"/>
      <c r="D2773" s="26" t="s">
        <v>543</v>
      </c>
      <c r="E2773" s="26" t="str">
        <f>IFERROR(VLOOKUP(G2773,WholesaleExtract!B:J,9,FALSE),"")</f>
        <v/>
      </c>
      <c r="F2773" s="26" t="str">
        <f>IFERROR(VLOOKUP(G2773,WholesaleExtract!B:J,6,FALSE),"")</f>
        <v/>
      </c>
      <c r="H2773" s="47" t="str">
        <f>IFERROR(VLOOKUP(G2773,WholesaleExtract!B:L,11,FALSE),"")</f>
        <v/>
      </c>
      <c r="I2773" s="26" t="str">
        <f>IFERROR(VLOOKUP(G2773,WholesaleExtract!B:O,8,FALSE),"")</f>
        <v/>
      </c>
      <c r="J2773" s="26" t="str">
        <f>IFERROR(VLOOKUP(G2773,WholesaleExtract!B:O,14,FALSE),"")</f>
        <v/>
      </c>
      <c r="K2773" s="26" t="str">
        <f>IFERROR(VLOOKUP(G2773,WholesaleExtract!B:K,10,FALSE),"")</f>
        <v/>
      </c>
      <c r="L2773" s="47" t="str">
        <f>IFERROR(VLOOKUP(G2773,WholesaleExtract!B:L,11,FALSE),"")</f>
        <v/>
      </c>
      <c r="M2773" s="47" t="str">
        <f>IFERROR(VLOOKUP(G2773,WholesaleExtract!B:M,12,FALSE),"")</f>
        <v/>
      </c>
      <c r="R2773" s="19"/>
      <c r="S2773" s="19"/>
    </row>
    <row r="2774" spans="1:19" x14ac:dyDescent="0.35">
      <c r="A2774" s="26" t="s">
        <v>543</v>
      </c>
      <c r="B2774" s="26" t="s">
        <v>543</v>
      </c>
      <c r="C2774" s="26"/>
      <c r="D2774" s="26" t="s">
        <v>543</v>
      </c>
      <c r="E2774" s="26" t="str">
        <f>IFERROR(VLOOKUP(G2774,WholesaleExtract!B:J,9,FALSE),"")</f>
        <v/>
      </c>
      <c r="F2774" s="26" t="str">
        <f>IFERROR(VLOOKUP(G2774,WholesaleExtract!B:J,6,FALSE),"")</f>
        <v/>
      </c>
      <c r="H2774" s="47" t="str">
        <f>IFERROR(VLOOKUP(G2774,WholesaleExtract!B:L,11,FALSE),"")</f>
        <v/>
      </c>
      <c r="I2774" s="26" t="str">
        <f>IFERROR(VLOOKUP(G2774,WholesaleExtract!B:O,8,FALSE),"")</f>
        <v/>
      </c>
      <c r="J2774" s="26" t="str">
        <f>IFERROR(VLOOKUP(G2774,WholesaleExtract!B:O,14,FALSE),"")</f>
        <v/>
      </c>
      <c r="K2774" s="26" t="str">
        <f>IFERROR(VLOOKUP(G2774,WholesaleExtract!B:K,10,FALSE),"")</f>
        <v/>
      </c>
      <c r="L2774" s="47" t="str">
        <f>IFERROR(VLOOKUP(G2774,WholesaleExtract!B:L,11,FALSE),"")</f>
        <v/>
      </c>
      <c r="M2774" s="47" t="str">
        <f>IFERROR(VLOOKUP(G2774,WholesaleExtract!B:M,12,FALSE),"")</f>
        <v/>
      </c>
      <c r="R2774" s="19"/>
      <c r="S2774" s="19"/>
    </row>
    <row r="2775" spans="1:19" x14ac:dyDescent="0.35">
      <c r="A2775" s="26" t="s">
        <v>543</v>
      </c>
      <c r="B2775" s="26" t="s">
        <v>543</v>
      </c>
      <c r="C2775" s="26"/>
      <c r="D2775" s="26" t="s">
        <v>543</v>
      </c>
      <c r="E2775" s="26" t="str">
        <f>IFERROR(VLOOKUP(G2775,WholesaleExtract!B:J,9,FALSE),"")</f>
        <v/>
      </c>
      <c r="F2775" s="26" t="str">
        <f>IFERROR(VLOOKUP(G2775,WholesaleExtract!B:J,6,FALSE),"")</f>
        <v/>
      </c>
      <c r="H2775" s="47" t="str">
        <f>IFERROR(VLOOKUP(G2775,WholesaleExtract!B:L,11,FALSE),"")</f>
        <v/>
      </c>
      <c r="I2775" s="26" t="str">
        <f>IFERROR(VLOOKUP(G2775,WholesaleExtract!B:O,8,FALSE),"")</f>
        <v/>
      </c>
      <c r="J2775" s="26" t="str">
        <f>IFERROR(VLOOKUP(G2775,WholesaleExtract!B:O,14,FALSE),"")</f>
        <v/>
      </c>
      <c r="K2775" s="26" t="str">
        <f>IFERROR(VLOOKUP(G2775,WholesaleExtract!B:K,10,FALSE),"")</f>
        <v/>
      </c>
      <c r="L2775" s="47" t="str">
        <f>IFERROR(VLOOKUP(G2775,WholesaleExtract!B:L,11,FALSE),"")</f>
        <v/>
      </c>
      <c r="M2775" s="47" t="str">
        <f>IFERROR(VLOOKUP(G2775,WholesaleExtract!B:M,12,FALSE),"")</f>
        <v/>
      </c>
      <c r="R2775" s="19"/>
      <c r="S2775" s="19"/>
    </row>
    <row r="2776" spans="1:19" x14ac:dyDescent="0.35">
      <c r="A2776" s="26" t="s">
        <v>543</v>
      </c>
      <c r="B2776" s="26" t="s">
        <v>543</v>
      </c>
      <c r="C2776" s="26"/>
      <c r="D2776" s="26" t="s">
        <v>543</v>
      </c>
      <c r="E2776" s="26" t="str">
        <f>IFERROR(VLOOKUP(G2776,WholesaleExtract!B:J,9,FALSE),"")</f>
        <v/>
      </c>
      <c r="F2776" s="26" t="str">
        <f>IFERROR(VLOOKUP(G2776,WholesaleExtract!B:J,6,FALSE),"")</f>
        <v/>
      </c>
      <c r="H2776" s="47" t="str">
        <f>IFERROR(VLOOKUP(G2776,WholesaleExtract!B:L,11,FALSE),"")</f>
        <v/>
      </c>
      <c r="I2776" s="26" t="str">
        <f>IFERROR(VLOOKUP(G2776,WholesaleExtract!B:O,8,FALSE),"")</f>
        <v/>
      </c>
      <c r="J2776" s="26" t="str">
        <f>IFERROR(VLOOKUP(G2776,WholesaleExtract!B:O,14,FALSE),"")</f>
        <v/>
      </c>
      <c r="K2776" s="26" t="str">
        <f>IFERROR(VLOOKUP(G2776,WholesaleExtract!B:K,10,FALSE),"")</f>
        <v/>
      </c>
      <c r="L2776" s="47" t="str">
        <f>IFERROR(VLOOKUP(G2776,WholesaleExtract!B:L,11,FALSE),"")</f>
        <v/>
      </c>
      <c r="M2776" s="47" t="str">
        <f>IFERROR(VLOOKUP(G2776,WholesaleExtract!B:M,12,FALSE),"")</f>
        <v/>
      </c>
      <c r="R2776" s="19"/>
      <c r="S2776" s="19"/>
    </row>
    <row r="2777" spans="1:19" x14ac:dyDescent="0.35">
      <c r="A2777" s="26" t="s">
        <v>543</v>
      </c>
      <c r="B2777" s="26" t="s">
        <v>543</v>
      </c>
      <c r="C2777" s="26"/>
      <c r="D2777" s="26" t="s">
        <v>543</v>
      </c>
      <c r="E2777" s="26" t="str">
        <f>IFERROR(VLOOKUP(G2777,WholesaleExtract!B:J,9,FALSE),"")</f>
        <v/>
      </c>
      <c r="F2777" s="26" t="str">
        <f>IFERROR(VLOOKUP(G2777,WholesaleExtract!B:J,6,FALSE),"")</f>
        <v/>
      </c>
      <c r="H2777" s="47" t="str">
        <f>IFERROR(VLOOKUP(G2777,WholesaleExtract!B:L,11,FALSE),"")</f>
        <v/>
      </c>
      <c r="I2777" s="26" t="str">
        <f>IFERROR(VLOOKUP(G2777,WholesaleExtract!B:O,8,FALSE),"")</f>
        <v/>
      </c>
      <c r="J2777" s="26" t="str">
        <f>IFERROR(VLOOKUP(G2777,WholesaleExtract!B:O,14,FALSE),"")</f>
        <v/>
      </c>
      <c r="K2777" s="26" t="str">
        <f>IFERROR(VLOOKUP(G2777,WholesaleExtract!B:K,10,FALSE),"")</f>
        <v/>
      </c>
      <c r="L2777" s="47" t="str">
        <f>IFERROR(VLOOKUP(G2777,WholesaleExtract!B:L,11,FALSE),"")</f>
        <v/>
      </c>
      <c r="M2777" s="47" t="str">
        <f>IFERROR(VLOOKUP(G2777,WholesaleExtract!B:M,12,FALSE),"")</f>
        <v/>
      </c>
      <c r="R2777" s="19"/>
      <c r="S2777" s="19"/>
    </row>
    <row r="2778" spans="1:19" x14ac:dyDescent="0.35">
      <c r="A2778" s="26" t="s">
        <v>543</v>
      </c>
      <c r="B2778" s="26" t="s">
        <v>543</v>
      </c>
      <c r="C2778" s="26"/>
      <c r="D2778" s="26" t="s">
        <v>543</v>
      </c>
      <c r="E2778" s="26" t="str">
        <f>IFERROR(VLOOKUP(G2778,WholesaleExtract!B:J,9,FALSE),"")</f>
        <v/>
      </c>
      <c r="F2778" s="26" t="str">
        <f>IFERROR(VLOOKUP(G2778,WholesaleExtract!B:J,6,FALSE),"")</f>
        <v/>
      </c>
      <c r="H2778" s="47" t="str">
        <f>IFERROR(VLOOKUP(G2778,WholesaleExtract!B:L,11,FALSE),"")</f>
        <v/>
      </c>
      <c r="I2778" s="26" t="str">
        <f>IFERROR(VLOOKUP(G2778,WholesaleExtract!B:O,8,FALSE),"")</f>
        <v/>
      </c>
      <c r="J2778" s="26" t="str">
        <f>IFERROR(VLOOKUP(G2778,WholesaleExtract!B:O,14,FALSE),"")</f>
        <v/>
      </c>
      <c r="K2778" s="26" t="str">
        <f>IFERROR(VLOOKUP(G2778,WholesaleExtract!B:K,10,FALSE),"")</f>
        <v/>
      </c>
      <c r="L2778" s="47" t="str">
        <f>IFERROR(VLOOKUP(G2778,WholesaleExtract!B:L,11,FALSE),"")</f>
        <v/>
      </c>
      <c r="M2778" s="47" t="str">
        <f>IFERROR(VLOOKUP(G2778,WholesaleExtract!B:M,12,FALSE),"")</f>
        <v/>
      </c>
      <c r="R2778" s="19"/>
      <c r="S2778" s="19"/>
    </row>
    <row r="2779" spans="1:19" x14ac:dyDescent="0.35">
      <c r="A2779" s="26" t="s">
        <v>543</v>
      </c>
      <c r="B2779" s="26" t="s">
        <v>543</v>
      </c>
      <c r="C2779" s="26"/>
      <c r="D2779" s="26" t="s">
        <v>543</v>
      </c>
      <c r="E2779" s="26" t="str">
        <f>IFERROR(VLOOKUP(G2779,WholesaleExtract!B:J,9,FALSE),"")</f>
        <v/>
      </c>
      <c r="F2779" s="26" t="str">
        <f>IFERROR(VLOOKUP(G2779,WholesaleExtract!B:J,6,FALSE),"")</f>
        <v/>
      </c>
      <c r="H2779" s="47" t="str">
        <f>IFERROR(VLOOKUP(G2779,WholesaleExtract!B:L,11,FALSE),"")</f>
        <v/>
      </c>
      <c r="I2779" s="26" t="str">
        <f>IFERROR(VLOOKUP(G2779,WholesaleExtract!B:O,8,FALSE),"")</f>
        <v/>
      </c>
      <c r="J2779" s="26" t="str">
        <f>IFERROR(VLOOKUP(G2779,WholesaleExtract!B:O,14,FALSE),"")</f>
        <v/>
      </c>
      <c r="K2779" s="26" t="str">
        <f>IFERROR(VLOOKUP(G2779,WholesaleExtract!B:K,10,FALSE),"")</f>
        <v/>
      </c>
      <c r="L2779" s="47" t="str">
        <f>IFERROR(VLOOKUP(G2779,WholesaleExtract!B:L,11,FALSE),"")</f>
        <v/>
      </c>
      <c r="M2779" s="47" t="str">
        <f>IFERROR(VLOOKUP(G2779,WholesaleExtract!B:M,12,FALSE),"")</f>
        <v/>
      </c>
      <c r="R2779" s="19"/>
      <c r="S2779" s="19"/>
    </row>
    <row r="2780" spans="1:19" x14ac:dyDescent="0.35">
      <c r="A2780" s="26" t="s">
        <v>543</v>
      </c>
      <c r="B2780" s="26" t="s">
        <v>543</v>
      </c>
      <c r="C2780" s="26"/>
      <c r="D2780" s="26" t="s">
        <v>543</v>
      </c>
      <c r="E2780" s="26" t="str">
        <f>IFERROR(VLOOKUP(G2780,WholesaleExtract!B:J,9,FALSE),"")</f>
        <v/>
      </c>
      <c r="F2780" s="26" t="str">
        <f>IFERROR(VLOOKUP(G2780,WholesaleExtract!B:J,6,FALSE),"")</f>
        <v/>
      </c>
      <c r="H2780" s="47" t="str">
        <f>IFERROR(VLOOKUP(G2780,WholesaleExtract!B:L,11,FALSE),"")</f>
        <v/>
      </c>
      <c r="I2780" s="26" t="str">
        <f>IFERROR(VLOOKUP(G2780,WholesaleExtract!B:O,8,FALSE),"")</f>
        <v/>
      </c>
      <c r="J2780" s="26" t="str">
        <f>IFERROR(VLOOKUP(G2780,WholesaleExtract!B:O,14,FALSE),"")</f>
        <v/>
      </c>
      <c r="K2780" s="26" t="str">
        <f>IFERROR(VLOOKUP(G2780,WholesaleExtract!B:K,10,FALSE),"")</f>
        <v/>
      </c>
      <c r="L2780" s="47" t="str">
        <f>IFERROR(VLOOKUP(G2780,WholesaleExtract!B:L,11,FALSE),"")</f>
        <v/>
      </c>
      <c r="M2780" s="47" t="str">
        <f>IFERROR(VLOOKUP(G2780,WholesaleExtract!B:M,12,FALSE),"")</f>
        <v/>
      </c>
      <c r="R2780" s="19"/>
      <c r="S2780" s="19"/>
    </row>
    <row r="2781" spans="1:19" x14ac:dyDescent="0.35">
      <c r="A2781" s="26" t="s">
        <v>543</v>
      </c>
      <c r="B2781" s="26" t="s">
        <v>543</v>
      </c>
      <c r="C2781" s="26"/>
      <c r="D2781" s="26" t="s">
        <v>543</v>
      </c>
      <c r="E2781" s="26" t="str">
        <f>IFERROR(VLOOKUP(G2781,WholesaleExtract!B:J,9,FALSE),"")</f>
        <v/>
      </c>
      <c r="F2781" s="26" t="str">
        <f>IFERROR(VLOOKUP(G2781,WholesaleExtract!B:J,6,FALSE),"")</f>
        <v/>
      </c>
      <c r="H2781" s="47" t="str">
        <f>IFERROR(VLOOKUP(G2781,WholesaleExtract!B:L,11,FALSE),"")</f>
        <v/>
      </c>
      <c r="I2781" s="26" t="str">
        <f>IFERROR(VLOOKUP(G2781,WholesaleExtract!B:O,8,FALSE),"")</f>
        <v/>
      </c>
      <c r="J2781" s="26" t="str">
        <f>IFERROR(VLOOKUP(G2781,WholesaleExtract!B:O,14,FALSE),"")</f>
        <v/>
      </c>
      <c r="K2781" s="26" t="str">
        <f>IFERROR(VLOOKUP(G2781,WholesaleExtract!B:K,10,FALSE),"")</f>
        <v/>
      </c>
      <c r="L2781" s="47" t="str">
        <f>IFERROR(VLOOKUP(G2781,WholesaleExtract!B:L,11,FALSE),"")</f>
        <v/>
      </c>
      <c r="M2781" s="47" t="str">
        <f>IFERROR(VLOOKUP(G2781,WholesaleExtract!B:M,12,FALSE),"")</f>
        <v/>
      </c>
      <c r="R2781" s="19"/>
      <c r="S2781" s="19"/>
    </row>
    <row r="2782" spans="1:19" x14ac:dyDescent="0.35">
      <c r="A2782" s="26" t="s">
        <v>543</v>
      </c>
      <c r="B2782" s="26" t="s">
        <v>543</v>
      </c>
      <c r="C2782" s="26"/>
      <c r="D2782" s="26" t="s">
        <v>543</v>
      </c>
      <c r="E2782" s="26" t="str">
        <f>IFERROR(VLOOKUP(G2782,WholesaleExtract!B:J,9,FALSE),"")</f>
        <v/>
      </c>
      <c r="F2782" s="26" t="str">
        <f>IFERROR(VLOOKUP(G2782,WholesaleExtract!B:J,6,FALSE),"")</f>
        <v/>
      </c>
      <c r="H2782" s="47" t="str">
        <f>IFERROR(VLOOKUP(G2782,WholesaleExtract!B:L,11,FALSE),"")</f>
        <v/>
      </c>
      <c r="I2782" s="26" t="str">
        <f>IFERROR(VLOOKUP(G2782,WholesaleExtract!B:O,8,FALSE),"")</f>
        <v/>
      </c>
      <c r="J2782" s="26" t="str">
        <f>IFERROR(VLOOKUP(G2782,WholesaleExtract!B:O,14,FALSE),"")</f>
        <v/>
      </c>
      <c r="K2782" s="26" t="str">
        <f>IFERROR(VLOOKUP(G2782,WholesaleExtract!B:K,10,FALSE),"")</f>
        <v/>
      </c>
      <c r="L2782" s="47" t="str">
        <f>IFERROR(VLOOKUP(G2782,WholesaleExtract!B:L,11,FALSE),"")</f>
        <v/>
      </c>
      <c r="M2782" s="47" t="str">
        <f>IFERROR(VLOOKUP(G2782,WholesaleExtract!B:M,12,FALSE),"")</f>
        <v/>
      </c>
      <c r="R2782" s="19"/>
      <c r="S2782" s="19"/>
    </row>
    <row r="2783" spans="1:19" x14ac:dyDescent="0.35">
      <c r="A2783" s="26" t="s">
        <v>543</v>
      </c>
      <c r="B2783" s="26" t="s">
        <v>543</v>
      </c>
      <c r="C2783" s="26"/>
      <c r="D2783" s="26" t="s">
        <v>543</v>
      </c>
      <c r="E2783" s="26" t="str">
        <f>IFERROR(VLOOKUP(G2783,WholesaleExtract!B:J,9,FALSE),"")</f>
        <v/>
      </c>
      <c r="F2783" s="26" t="str">
        <f>IFERROR(VLOOKUP(G2783,WholesaleExtract!B:J,6,FALSE),"")</f>
        <v/>
      </c>
      <c r="H2783" s="47" t="str">
        <f>IFERROR(VLOOKUP(G2783,WholesaleExtract!B:L,11,FALSE),"")</f>
        <v/>
      </c>
      <c r="I2783" s="26" t="str">
        <f>IFERROR(VLOOKUP(G2783,WholesaleExtract!B:O,8,FALSE),"")</f>
        <v/>
      </c>
      <c r="J2783" s="26" t="str">
        <f>IFERROR(VLOOKUP(G2783,WholesaleExtract!B:O,14,FALSE),"")</f>
        <v/>
      </c>
      <c r="K2783" s="26" t="str">
        <f>IFERROR(VLOOKUP(G2783,WholesaleExtract!B:K,10,FALSE),"")</f>
        <v/>
      </c>
      <c r="L2783" s="47" t="str">
        <f>IFERROR(VLOOKUP(G2783,WholesaleExtract!B:L,11,FALSE),"")</f>
        <v/>
      </c>
      <c r="M2783" s="47" t="str">
        <f>IFERROR(VLOOKUP(G2783,WholesaleExtract!B:M,12,FALSE),"")</f>
        <v/>
      </c>
      <c r="R2783" s="19"/>
      <c r="S2783" s="19"/>
    </row>
    <row r="2784" spans="1:19" x14ac:dyDescent="0.35">
      <c r="A2784" s="26" t="s">
        <v>543</v>
      </c>
      <c r="B2784" s="26" t="s">
        <v>543</v>
      </c>
      <c r="C2784" s="26"/>
      <c r="D2784" s="26" t="s">
        <v>543</v>
      </c>
      <c r="E2784" s="26" t="str">
        <f>IFERROR(VLOOKUP(G2784,WholesaleExtract!B:J,9,FALSE),"")</f>
        <v/>
      </c>
      <c r="F2784" s="26" t="str">
        <f>IFERROR(VLOOKUP(G2784,WholesaleExtract!B:J,6,FALSE),"")</f>
        <v/>
      </c>
      <c r="H2784" s="47" t="str">
        <f>IFERROR(VLOOKUP(G2784,WholesaleExtract!B:L,11,FALSE),"")</f>
        <v/>
      </c>
      <c r="I2784" s="26" t="str">
        <f>IFERROR(VLOOKUP(G2784,WholesaleExtract!B:O,8,FALSE),"")</f>
        <v/>
      </c>
      <c r="J2784" s="26" t="str">
        <f>IFERROR(VLOOKUP(G2784,WholesaleExtract!B:O,14,FALSE),"")</f>
        <v/>
      </c>
      <c r="K2784" s="26" t="str">
        <f>IFERROR(VLOOKUP(G2784,WholesaleExtract!B:K,10,FALSE),"")</f>
        <v/>
      </c>
      <c r="L2784" s="47" t="str">
        <f>IFERROR(VLOOKUP(G2784,WholesaleExtract!B:L,11,FALSE),"")</f>
        <v/>
      </c>
      <c r="M2784" s="47" t="str">
        <f>IFERROR(VLOOKUP(G2784,WholesaleExtract!B:M,12,FALSE),"")</f>
        <v/>
      </c>
      <c r="R2784" s="19"/>
      <c r="S2784" s="19"/>
    </row>
    <row r="2785" spans="1:19" x14ac:dyDescent="0.35">
      <c r="A2785" s="26" t="s">
        <v>543</v>
      </c>
      <c r="B2785" s="26" t="s">
        <v>543</v>
      </c>
      <c r="C2785" s="26"/>
      <c r="D2785" s="26" t="s">
        <v>543</v>
      </c>
      <c r="E2785" s="26" t="str">
        <f>IFERROR(VLOOKUP(G2785,WholesaleExtract!B:J,9,FALSE),"")</f>
        <v/>
      </c>
      <c r="F2785" s="26" t="str">
        <f>IFERROR(VLOOKUP(G2785,WholesaleExtract!B:J,6,FALSE),"")</f>
        <v/>
      </c>
      <c r="H2785" s="47" t="str">
        <f>IFERROR(VLOOKUP(G2785,WholesaleExtract!B:L,11,FALSE),"")</f>
        <v/>
      </c>
      <c r="I2785" s="26" t="str">
        <f>IFERROR(VLOOKUP(G2785,WholesaleExtract!B:O,8,FALSE),"")</f>
        <v/>
      </c>
      <c r="J2785" s="26" t="str">
        <f>IFERROR(VLOOKUP(G2785,WholesaleExtract!B:O,14,FALSE),"")</f>
        <v/>
      </c>
      <c r="K2785" s="26" t="str">
        <f>IFERROR(VLOOKUP(G2785,WholesaleExtract!B:K,10,FALSE),"")</f>
        <v/>
      </c>
      <c r="L2785" s="47" t="str">
        <f>IFERROR(VLOOKUP(G2785,WholesaleExtract!B:L,11,FALSE),"")</f>
        <v/>
      </c>
      <c r="M2785" s="47" t="str">
        <f>IFERROR(VLOOKUP(G2785,WholesaleExtract!B:M,12,FALSE),"")</f>
        <v/>
      </c>
      <c r="R2785" s="19"/>
      <c r="S2785" s="19"/>
    </row>
    <row r="2786" spans="1:19" x14ac:dyDescent="0.35">
      <c r="A2786" s="26" t="s">
        <v>543</v>
      </c>
      <c r="B2786" s="26" t="s">
        <v>543</v>
      </c>
      <c r="C2786" s="26"/>
      <c r="D2786" s="26" t="s">
        <v>543</v>
      </c>
      <c r="E2786" s="26" t="str">
        <f>IFERROR(VLOOKUP(G2786,WholesaleExtract!B:J,9,FALSE),"")</f>
        <v/>
      </c>
      <c r="F2786" s="26" t="str">
        <f>IFERROR(VLOOKUP(G2786,WholesaleExtract!B:J,6,FALSE),"")</f>
        <v/>
      </c>
      <c r="H2786" s="47" t="str">
        <f>IFERROR(VLOOKUP(G2786,WholesaleExtract!B:L,11,FALSE),"")</f>
        <v/>
      </c>
      <c r="I2786" s="26" t="str">
        <f>IFERROR(VLOOKUP(G2786,WholesaleExtract!B:O,8,FALSE),"")</f>
        <v/>
      </c>
      <c r="J2786" s="26" t="str">
        <f>IFERROR(VLOOKUP(G2786,WholesaleExtract!B:O,14,FALSE),"")</f>
        <v/>
      </c>
      <c r="K2786" s="26" t="str">
        <f>IFERROR(VLOOKUP(G2786,WholesaleExtract!B:K,10,FALSE),"")</f>
        <v/>
      </c>
      <c r="L2786" s="47" t="str">
        <f>IFERROR(VLOOKUP(G2786,WholesaleExtract!B:L,11,FALSE),"")</f>
        <v/>
      </c>
      <c r="M2786" s="47" t="str">
        <f>IFERROR(VLOOKUP(G2786,WholesaleExtract!B:M,12,FALSE),"")</f>
        <v/>
      </c>
      <c r="R2786" s="19"/>
      <c r="S2786" s="19"/>
    </row>
    <row r="2787" spans="1:19" x14ac:dyDescent="0.35">
      <c r="A2787" s="26" t="s">
        <v>543</v>
      </c>
      <c r="B2787" s="26" t="s">
        <v>543</v>
      </c>
      <c r="C2787" s="26"/>
      <c r="D2787" s="26" t="s">
        <v>543</v>
      </c>
      <c r="E2787" s="26" t="str">
        <f>IFERROR(VLOOKUP(G2787,WholesaleExtract!B:J,9,FALSE),"")</f>
        <v/>
      </c>
      <c r="F2787" s="26" t="str">
        <f>IFERROR(VLOOKUP(G2787,WholesaleExtract!B:J,6,FALSE),"")</f>
        <v/>
      </c>
      <c r="H2787" s="47" t="str">
        <f>IFERROR(VLOOKUP(G2787,WholesaleExtract!B:L,11,FALSE),"")</f>
        <v/>
      </c>
      <c r="I2787" s="26" t="str">
        <f>IFERROR(VLOOKUP(G2787,WholesaleExtract!B:O,8,FALSE),"")</f>
        <v/>
      </c>
      <c r="J2787" s="26" t="str">
        <f>IFERROR(VLOOKUP(G2787,WholesaleExtract!B:O,14,FALSE),"")</f>
        <v/>
      </c>
      <c r="K2787" s="26" t="str">
        <f>IFERROR(VLOOKUP(G2787,WholesaleExtract!B:K,10,FALSE),"")</f>
        <v/>
      </c>
      <c r="L2787" s="47" t="str">
        <f>IFERROR(VLOOKUP(G2787,WholesaleExtract!B:L,11,FALSE),"")</f>
        <v/>
      </c>
      <c r="M2787" s="47" t="str">
        <f>IFERROR(VLOOKUP(G2787,WholesaleExtract!B:M,12,FALSE),"")</f>
        <v/>
      </c>
      <c r="R2787" s="19"/>
      <c r="S2787" s="19"/>
    </row>
    <row r="2788" spans="1:19" x14ac:dyDescent="0.35">
      <c r="A2788" s="26" t="s">
        <v>543</v>
      </c>
      <c r="B2788" s="26" t="s">
        <v>543</v>
      </c>
      <c r="C2788" s="26"/>
      <c r="D2788" s="26" t="s">
        <v>543</v>
      </c>
      <c r="E2788" s="26" t="str">
        <f>IFERROR(VLOOKUP(G2788,WholesaleExtract!B:J,9,FALSE),"")</f>
        <v/>
      </c>
      <c r="F2788" s="26" t="str">
        <f>IFERROR(VLOOKUP(G2788,WholesaleExtract!B:J,6,FALSE),"")</f>
        <v/>
      </c>
      <c r="H2788" s="47" t="str">
        <f>IFERROR(VLOOKUP(G2788,WholesaleExtract!B:L,11,FALSE),"")</f>
        <v/>
      </c>
      <c r="I2788" s="26" t="str">
        <f>IFERROR(VLOOKUP(G2788,WholesaleExtract!B:O,8,FALSE),"")</f>
        <v/>
      </c>
      <c r="J2788" s="26" t="str">
        <f>IFERROR(VLOOKUP(G2788,WholesaleExtract!B:O,14,FALSE),"")</f>
        <v/>
      </c>
      <c r="K2788" s="26" t="str">
        <f>IFERROR(VLOOKUP(G2788,WholesaleExtract!B:K,10,FALSE),"")</f>
        <v/>
      </c>
      <c r="L2788" s="47" t="str">
        <f>IFERROR(VLOOKUP(G2788,WholesaleExtract!B:L,11,FALSE),"")</f>
        <v/>
      </c>
      <c r="M2788" s="47" t="str">
        <f>IFERROR(VLOOKUP(G2788,WholesaleExtract!B:M,12,FALSE),"")</f>
        <v/>
      </c>
      <c r="R2788" s="19"/>
      <c r="S2788" s="19"/>
    </row>
    <row r="2789" spans="1:19" x14ac:dyDescent="0.35">
      <c r="A2789" s="26" t="s">
        <v>543</v>
      </c>
      <c r="B2789" s="26" t="s">
        <v>543</v>
      </c>
      <c r="C2789" s="26"/>
      <c r="D2789" s="26" t="s">
        <v>543</v>
      </c>
      <c r="E2789" s="26" t="str">
        <f>IFERROR(VLOOKUP(G2789,WholesaleExtract!B:J,9,FALSE),"")</f>
        <v/>
      </c>
      <c r="F2789" s="26" t="str">
        <f>IFERROR(VLOOKUP(G2789,WholesaleExtract!B:J,6,FALSE),"")</f>
        <v/>
      </c>
      <c r="H2789" s="47" t="str">
        <f>IFERROR(VLOOKUP(G2789,WholesaleExtract!B:L,11,FALSE),"")</f>
        <v/>
      </c>
      <c r="I2789" s="26" t="str">
        <f>IFERROR(VLOOKUP(G2789,WholesaleExtract!B:O,8,FALSE),"")</f>
        <v/>
      </c>
      <c r="J2789" s="26" t="str">
        <f>IFERROR(VLOOKUP(G2789,WholesaleExtract!B:O,14,FALSE),"")</f>
        <v/>
      </c>
      <c r="K2789" s="26" t="str">
        <f>IFERROR(VLOOKUP(G2789,WholesaleExtract!B:K,10,FALSE),"")</f>
        <v/>
      </c>
      <c r="L2789" s="47" t="str">
        <f>IFERROR(VLOOKUP(G2789,WholesaleExtract!B:L,11,FALSE),"")</f>
        <v/>
      </c>
      <c r="M2789" s="47" t="str">
        <f>IFERROR(VLOOKUP(G2789,WholesaleExtract!B:M,12,FALSE),"")</f>
        <v/>
      </c>
      <c r="R2789" s="19"/>
      <c r="S2789" s="19"/>
    </row>
    <row r="2790" spans="1:19" x14ac:dyDescent="0.35">
      <c r="A2790" s="26" t="s">
        <v>543</v>
      </c>
      <c r="B2790" s="26" t="s">
        <v>543</v>
      </c>
      <c r="C2790" s="26"/>
      <c r="D2790" s="26" t="s">
        <v>543</v>
      </c>
      <c r="E2790" s="26" t="str">
        <f>IFERROR(VLOOKUP(G2790,WholesaleExtract!B:J,9,FALSE),"")</f>
        <v/>
      </c>
      <c r="F2790" s="26" t="str">
        <f>IFERROR(VLOOKUP(G2790,WholesaleExtract!B:J,6,FALSE),"")</f>
        <v/>
      </c>
      <c r="H2790" s="47" t="str">
        <f>IFERROR(VLOOKUP(G2790,WholesaleExtract!B:L,11,FALSE),"")</f>
        <v/>
      </c>
      <c r="I2790" s="26" t="str">
        <f>IFERROR(VLOOKUP(G2790,WholesaleExtract!B:O,8,FALSE),"")</f>
        <v/>
      </c>
      <c r="J2790" s="26" t="str">
        <f>IFERROR(VLOOKUP(G2790,WholesaleExtract!B:O,14,FALSE),"")</f>
        <v/>
      </c>
      <c r="K2790" s="26" t="str">
        <f>IFERROR(VLOOKUP(G2790,WholesaleExtract!B:K,10,FALSE),"")</f>
        <v/>
      </c>
      <c r="L2790" s="47" t="str">
        <f>IFERROR(VLOOKUP(G2790,WholesaleExtract!B:L,11,FALSE),"")</f>
        <v/>
      </c>
      <c r="M2790" s="47" t="str">
        <f>IFERROR(VLOOKUP(G2790,WholesaleExtract!B:M,12,FALSE),"")</f>
        <v/>
      </c>
      <c r="R2790" s="19"/>
      <c r="S2790" s="19"/>
    </row>
    <row r="2791" spans="1:19" x14ac:dyDescent="0.35">
      <c r="A2791" s="26" t="s">
        <v>543</v>
      </c>
      <c r="B2791" s="26" t="s">
        <v>543</v>
      </c>
      <c r="C2791" s="26"/>
      <c r="D2791" s="26" t="s">
        <v>543</v>
      </c>
      <c r="E2791" s="26" t="str">
        <f>IFERROR(VLOOKUP(G2791,WholesaleExtract!B:J,9,FALSE),"")</f>
        <v/>
      </c>
      <c r="F2791" s="26" t="str">
        <f>IFERROR(VLOOKUP(G2791,WholesaleExtract!B:J,6,FALSE),"")</f>
        <v/>
      </c>
      <c r="H2791" s="47" t="str">
        <f>IFERROR(VLOOKUP(G2791,WholesaleExtract!B:L,11,FALSE),"")</f>
        <v/>
      </c>
      <c r="I2791" s="26" t="str">
        <f>IFERROR(VLOOKUP(G2791,WholesaleExtract!B:O,8,FALSE),"")</f>
        <v/>
      </c>
      <c r="J2791" s="26" t="str">
        <f>IFERROR(VLOOKUP(G2791,WholesaleExtract!B:O,14,FALSE),"")</f>
        <v/>
      </c>
      <c r="K2791" s="26" t="str">
        <f>IFERROR(VLOOKUP(G2791,WholesaleExtract!B:K,10,FALSE),"")</f>
        <v/>
      </c>
      <c r="L2791" s="47" t="str">
        <f>IFERROR(VLOOKUP(G2791,WholesaleExtract!B:L,11,FALSE),"")</f>
        <v/>
      </c>
      <c r="M2791" s="47" t="str">
        <f>IFERROR(VLOOKUP(G2791,WholesaleExtract!B:M,12,FALSE),"")</f>
        <v/>
      </c>
      <c r="R2791" s="19"/>
      <c r="S2791" s="19"/>
    </row>
    <row r="2792" spans="1:19" x14ac:dyDescent="0.35">
      <c r="A2792" s="26" t="s">
        <v>543</v>
      </c>
      <c r="B2792" s="26" t="s">
        <v>543</v>
      </c>
      <c r="C2792" s="26"/>
      <c r="D2792" s="26" t="s">
        <v>543</v>
      </c>
      <c r="E2792" s="26" t="str">
        <f>IFERROR(VLOOKUP(G2792,WholesaleExtract!B:J,9,FALSE),"")</f>
        <v/>
      </c>
      <c r="F2792" s="26" t="str">
        <f>IFERROR(VLOOKUP(G2792,WholesaleExtract!B:J,6,FALSE),"")</f>
        <v/>
      </c>
      <c r="H2792" s="47" t="str">
        <f>IFERROR(VLOOKUP(G2792,WholesaleExtract!B:L,11,FALSE),"")</f>
        <v/>
      </c>
      <c r="I2792" s="26" t="str">
        <f>IFERROR(VLOOKUP(G2792,WholesaleExtract!B:O,8,FALSE),"")</f>
        <v/>
      </c>
      <c r="J2792" s="26" t="str">
        <f>IFERROR(VLOOKUP(G2792,WholesaleExtract!B:O,14,FALSE),"")</f>
        <v/>
      </c>
      <c r="K2792" s="26" t="str">
        <f>IFERROR(VLOOKUP(G2792,WholesaleExtract!B:K,10,FALSE),"")</f>
        <v/>
      </c>
      <c r="L2792" s="47" t="str">
        <f>IFERROR(VLOOKUP(G2792,WholesaleExtract!B:L,11,FALSE),"")</f>
        <v/>
      </c>
      <c r="M2792" s="47" t="str">
        <f>IFERROR(VLOOKUP(G2792,WholesaleExtract!B:M,12,FALSE),"")</f>
        <v/>
      </c>
      <c r="R2792" s="19"/>
      <c r="S2792" s="19"/>
    </row>
    <row r="2793" spans="1:19" x14ac:dyDescent="0.35">
      <c r="A2793" s="26" t="s">
        <v>543</v>
      </c>
      <c r="B2793" s="26" t="s">
        <v>543</v>
      </c>
      <c r="C2793" s="26"/>
      <c r="D2793" s="26" t="s">
        <v>543</v>
      </c>
      <c r="E2793" s="26" t="str">
        <f>IFERROR(VLOOKUP(G2793,WholesaleExtract!B:J,9,FALSE),"")</f>
        <v/>
      </c>
      <c r="F2793" s="26" t="str">
        <f>IFERROR(VLOOKUP(G2793,WholesaleExtract!B:J,6,FALSE),"")</f>
        <v/>
      </c>
      <c r="H2793" s="47" t="str">
        <f>IFERROR(VLOOKUP(G2793,WholesaleExtract!B:L,11,FALSE),"")</f>
        <v/>
      </c>
      <c r="I2793" s="26" t="str">
        <f>IFERROR(VLOOKUP(G2793,WholesaleExtract!B:O,8,FALSE),"")</f>
        <v/>
      </c>
      <c r="J2793" s="26" t="str">
        <f>IFERROR(VLOOKUP(G2793,WholesaleExtract!B:O,14,FALSE),"")</f>
        <v/>
      </c>
      <c r="K2793" s="26" t="str">
        <f>IFERROR(VLOOKUP(G2793,WholesaleExtract!B:K,10,FALSE),"")</f>
        <v/>
      </c>
      <c r="L2793" s="47" t="str">
        <f>IFERROR(VLOOKUP(G2793,WholesaleExtract!B:L,11,FALSE),"")</f>
        <v/>
      </c>
      <c r="M2793" s="47" t="str">
        <f>IFERROR(VLOOKUP(G2793,WholesaleExtract!B:M,12,FALSE),"")</f>
        <v/>
      </c>
      <c r="R2793" s="19"/>
      <c r="S2793" s="19"/>
    </row>
    <row r="2794" spans="1:19" x14ac:dyDescent="0.35">
      <c r="A2794" s="26" t="s">
        <v>543</v>
      </c>
      <c r="B2794" s="26" t="s">
        <v>543</v>
      </c>
      <c r="C2794" s="26"/>
      <c r="D2794" s="26" t="s">
        <v>543</v>
      </c>
      <c r="E2794" s="26" t="str">
        <f>IFERROR(VLOOKUP(G2794,WholesaleExtract!B:J,9,FALSE),"")</f>
        <v/>
      </c>
      <c r="F2794" s="26" t="str">
        <f>IFERROR(VLOOKUP(G2794,WholesaleExtract!B:J,6,FALSE),"")</f>
        <v/>
      </c>
      <c r="H2794" s="47" t="str">
        <f>IFERROR(VLOOKUP(G2794,WholesaleExtract!B:L,11,FALSE),"")</f>
        <v/>
      </c>
      <c r="I2794" s="26" t="str">
        <f>IFERROR(VLOOKUP(G2794,WholesaleExtract!B:O,8,FALSE),"")</f>
        <v/>
      </c>
      <c r="J2794" s="26" t="str">
        <f>IFERROR(VLOOKUP(G2794,WholesaleExtract!B:O,14,FALSE),"")</f>
        <v/>
      </c>
      <c r="K2794" s="26" t="str">
        <f>IFERROR(VLOOKUP(G2794,WholesaleExtract!B:K,10,FALSE),"")</f>
        <v/>
      </c>
      <c r="L2794" s="47" t="str">
        <f>IFERROR(VLOOKUP(G2794,WholesaleExtract!B:L,11,FALSE),"")</f>
        <v/>
      </c>
      <c r="M2794" s="47" t="str">
        <f>IFERROR(VLOOKUP(G2794,WholesaleExtract!B:M,12,FALSE),"")</f>
        <v/>
      </c>
      <c r="R2794" s="19"/>
      <c r="S2794" s="19"/>
    </row>
    <row r="2795" spans="1:19" x14ac:dyDescent="0.35">
      <c r="A2795" s="26" t="s">
        <v>543</v>
      </c>
      <c r="B2795" s="26" t="s">
        <v>543</v>
      </c>
      <c r="C2795" s="26"/>
      <c r="D2795" s="26" t="s">
        <v>543</v>
      </c>
      <c r="E2795" s="26" t="str">
        <f>IFERROR(VLOOKUP(G2795,WholesaleExtract!B:J,9,FALSE),"")</f>
        <v/>
      </c>
      <c r="F2795" s="26" t="str">
        <f>IFERROR(VLOOKUP(G2795,WholesaleExtract!B:J,6,FALSE),"")</f>
        <v/>
      </c>
      <c r="H2795" s="47" t="str">
        <f>IFERROR(VLOOKUP(G2795,WholesaleExtract!B:L,11,FALSE),"")</f>
        <v/>
      </c>
      <c r="I2795" s="26" t="str">
        <f>IFERROR(VLOOKUP(G2795,WholesaleExtract!B:O,8,FALSE),"")</f>
        <v/>
      </c>
      <c r="J2795" s="26" t="str">
        <f>IFERROR(VLOOKUP(G2795,WholesaleExtract!B:O,14,FALSE),"")</f>
        <v/>
      </c>
      <c r="K2795" s="26" t="str">
        <f>IFERROR(VLOOKUP(G2795,WholesaleExtract!B:K,10,FALSE),"")</f>
        <v/>
      </c>
      <c r="L2795" s="47" t="str">
        <f>IFERROR(VLOOKUP(G2795,WholesaleExtract!B:L,11,FALSE),"")</f>
        <v/>
      </c>
      <c r="M2795" s="47" t="str">
        <f>IFERROR(VLOOKUP(G2795,WholesaleExtract!B:M,12,FALSE),"")</f>
        <v/>
      </c>
      <c r="R2795" s="19"/>
      <c r="S2795" s="19"/>
    </row>
    <row r="2796" spans="1:19" x14ac:dyDescent="0.35">
      <c r="A2796" s="26" t="s">
        <v>543</v>
      </c>
      <c r="B2796" s="26" t="s">
        <v>543</v>
      </c>
      <c r="C2796" s="26"/>
      <c r="D2796" s="26" t="s">
        <v>543</v>
      </c>
      <c r="E2796" s="26" t="str">
        <f>IFERROR(VLOOKUP(G2796,WholesaleExtract!B:J,9,FALSE),"")</f>
        <v/>
      </c>
      <c r="F2796" s="26" t="str">
        <f>IFERROR(VLOOKUP(G2796,WholesaleExtract!B:J,6,FALSE),"")</f>
        <v/>
      </c>
      <c r="H2796" s="47" t="str">
        <f>IFERROR(VLOOKUP(G2796,WholesaleExtract!B:L,11,FALSE),"")</f>
        <v/>
      </c>
      <c r="I2796" s="26" t="str">
        <f>IFERROR(VLOOKUP(G2796,WholesaleExtract!B:O,8,FALSE),"")</f>
        <v/>
      </c>
      <c r="J2796" s="26" t="str">
        <f>IFERROR(VLOOKUP(G2796,WholesaleExtract!B:O,14,FALSE),"")</f>
        <v/>
      </c>
      <c r="K2796" s="26" t="str">
        <f>IFERROR(VLOOKUP(G2796,WholesaleExtract!B:K,10,FALSE),"")</f>
        <v/>
      </c>
      <c r="L2796" s="47" t="str">
        <f>IFERROR(VLOOKUP(G2796,WholesaleExtract!B:L,11,FALSE),"")</f>
        <v/>
      </c>
      <c r="M2796" s="47" t="str">
        <f>IFERROR(VLOOKUP(G2796,WholesaleExtract!B:M,12,FALSE),"")</f>
        <v/>
      </c>
      <c r="R2796" s="19"/>
      <c r="S2796" s="19"/>
    </row>
    <row r="2797" spans="1:19" x14ac:dyDescent="0.35">
      <c r="A2797" s="26" t="s">
        <v>543</v>
      </c>
      <c r="B2797" s="26" t="s">
        <v>543</v>
      </c>
      <c r="C2797" s="26"/>
      <c r="D2797" s="26" t="s">
        <v>543</v>
      </c>
      <c r="E2797" s="26" t="str">
        <f>IFERROR(VLOOKUP(G2797,WholesaleExtract!B:J,9,FALSE),"")</f>
        <v/>
      </c>
      <c r="F2797" s="26" t="str">
        <f>IFERROR(VLOOKUP(G2797,WholesaleExtract!B:J,6,FALSE),"")</f>
        <v/>
      </c>
      <c r="H2797" s="47" t="str">
        <f>IFERROR(VLOOKUP(G2797,WholesaleExtract!B:L,11,FALSE),"")</f>
        <v/>
      </c>
      <c r="I2797" s="26" t="str">
        <f>IFERROR(VLOOKUP(G2797,WholesaleExtract!B:O,8,FALSE),"")</f>
        <v/>
      </c>
      <c r="J2797" s="26" t="str">
        <f>IFERROR(VLOOKUP(G2797,WholesaleExtract!B:O,14,FALSE),"")</f>
        <v/>
      </c>
      <c r="K2797" s="26" t="str">
        <f>IFERROR(VLOOKUP(G2797,WholesaleExtract!B:K,10,FALSE),"")</f>
        <v/>
      </c>
      <c r="L2797" s="47" t="str">
        <f>IFERROR(VLOOKUP(G2797,WholesaleExtract!B:L,11,FALSE),"")</f>
        <v/>
      </c>
      <c r="M2797" s="47" t="str">
        <f>IFERROR(VLOOKUP(G2797,WholesaleExtract!B:M,12,FALSE),"")</f>
        <v/>
      </c>
      <c r="R2797" s="19"/>
      <c r="S2797" s="19"/>
    </row>
    <row r="2798" spans="1:19" x14ac:dyDescent="0.35">
      <c r="A2798" s="26" t="s">
        <v>543</v>
      </c>
      <c r="B2798" s="26" t="s">
        <v>543</v>
      </c>
      <c r="C2798" s="26"/>
      <c r="D2798" s="26" t="s">
        <v>543</v>
      </c>
      <c r="E2798" s="26" t="str">
        <f>IFERROR(VLOOKUP(G2798,WholesaleExtract!B:J,9,FALSE),"")</f>
        <v/>
      </c>
      <c r="F2798" s="26" t="str">
        <f>IFERROR(VLOOKUP(G2798,WholesaleExtract!B:J,6,FALSE),"")</f>
        <v/>
      </c>
      <c r="H2798" s="47" t="str">
        <f>IFERROR(VLOOKUP(G2798,WholesaleExtract!B:L,11,FALSE),"")</f>
        <v/>
      </c>
      <c r="I2798" s="26" t="str">
        <f>IFERROR(VLOOKUP(G2798,WholesaleExtract!B:O,8,FALSE),"")</f>
        <v/>
      </c>
      <c r="J2798" s="26" t="str">
        <f>IFERROR(VLOOKUP(G2798,WholesaleExtract!B:O,14,FALSE),"")</f>
        <v/>
      </c>
      <c r="K2798" s="26" t="str">
        <f>IFERROR(VLOOKUP(G2798,WholesaleExtract!B:K,10,FALSE),"")</f>
        <v/>
      </c>
      <c r="L2798" s="47" t="str">
        <f>IFERROR(VLOOKUP(G2798,WholesaleExtract!B:L,11,FALSE),"")</f>
        <v/>
      </c>
      <c r="M2798" s="47" t="str">
        <f>IFERROR(VLOOKUP(G2798,WholesaleExtract!B:M,12,FALSE),"")</f>
        <v/>
      </c>
      <c r="R2798" s="19"/>
      <c r="S2798" s="19"/>
    </row>
    <row r="2799" spans="1:19" x14ac:dyDescent="0.35">
      <c r="A2799" s="26" t="s">
        <v>543</v>
      </c>
      <c r="B2799" s="26" t="s">
        <v>543</v>
      </c>
      <c r="C2799" s="26"/>
      <c r="D2799" s="26" t="s">
        <v>543</v>
      </c>
      <c r="E2799" s="26" t="str">
        <f>IFERROR(VLOOKUP(G2799,WholesaleExtract!B:J,9,FALSE),"")</f>
        <v/>
      </c>
      <c r="F2799" s="26" t="str">
        <f>IFERROR(VLOOKUP(G2799,WholesaleExtract!B:J,6,FALSE),"")</f>
        <v/>
      </c>
      <c r="H2799" s="47" t="str">
        <f>IFERROR(VLOOKUP(G2799,WholesaleExtract!B:L,11,FALSE),"")</f>
        <v/>
      </c>
      <c r="I2799" s="26" t="str">
        <f>IFERROR(VLOOKUP(G2799,WholesaleExtract!B:O,8,FALSE),"")</f>
        <v/>
      </c>
      <c r="J2799" s="26" t="str">
        <f>IFERROR(VLOOKUP(G2799,WholesaleExtract!B:O,14,FALSE),"")</f>
        <v/>
      </c>
      <c r="K2799" s="26" t="str">
        <f>IFERROR(VLOOKUP(G2799,WholesaleExtract!B:K,10,FALSE),"")</f>
        <v/>
      </c>
      <c r="L2799" s="47" t="str">
        <f>IFERROR(VLOOKUP(G2799,WholesaleExtract!B:L,11,FALSE),"")</f>
        <v/>
      </c>
      <c r="M2799" s="47" t="str">
        <f>IFERROR(VLOOKUP(G2799,WholesaleExtract!B:M,12,FALSE),"")</f>
        <v/>
      </c>
      <c r="R2799" s="19"/>
      <c r="S2799" s="19"/>
    </row>
    <row r="2800" spans="1:19" x14ac:dyDescent="0.35">
      <c r="A2800" s="26" t="s">
        <v>543</v>
      </c>
      <c r="B2800" s="26" t="s">
        <v>543</v>
      </c>
      <c r="C2800" s="26"/>
      <c r="D2800" s="26" t="s">
        <v>543</v>
      </c>
      <c r="E2800" s="26" t="str">
        <f>IFERROR(VLOOKUP(G2800,WholesaleExtract!B:J,9,FALSE),"")</f>
        <v/>
      </c>
      <c r="F2800" s="26" t="str">
        <f>IFERROR(VLOOKUP(G2800,WholesaleExtract!B:J,6,FALSE),"")</f>
        <v/>
      </c>
      <c r="H2800" s="47" t="str">
        <f>IFERROR(VLOOKUP(G2800,WholesaleExtract!B:L,11,FALSE),"")</f>
        <v/>
      </c>
      <c r="I2800" s="26" t="str">
        <f>IFERROR(VLOOKUP(G2800,WholesaleExtract!B:O,8,FALSE),"")</f>
        <v/>
      </c>
      <c r="J2800" s="26" t="str">
        <f>IFERROR(VLOOKUP(G2800,WholesaleExtract!B:O,14,FALSE),"")</f>
        <v/>
      </c>
      <c r="K2800" s="26" t="str">
        <f>IFERROR(VLOOKUP(G2800,WholesaleExtract!B:K,10,FALSE),"")</f>
        <v/>
      </c>
      <c r="L2800" s="47" t="str">
        <f>IFERROR(VLOOKUP(G2800,WholesaleExtract!B:L,11,FALSE),"")</f>
        <v/>
      </c>
      <c r="M2800" s="47" t="str">
        <f>IFERROR(VLOOKUP(G2800,WholesaleExtract!B:M,12,FALSE),"")</f>
        <v/>
      </c>
      <c r="R2800" s="19"/>
      <c r="S2800" s="19"/>
    </row>
    <row r="2801" spans="1:19" x14ac:dyDescent="0.35">
      <c r="A2801" s="26" t="s">
        <v>543</v>
      </c>
      <c r="B2801" s="26" t="s">
        <v>543</v>
      </c>
      <c r="C2801" s="26"/>
      <c r="D2801" s="26" t="s">
        <v>543</v>
      </c>
      <c r="E2801" s="26" t="str">
        <f>IFERROR(VLOOKUP(G2801,WholesaleExtract!B:J,9,FALSE),"")</f>
        <v/>
      </c>
      <c r="F2801" s="26" t="str">
        <f>IFERROR(VLOOKUP(G2801,WholesaleExtract!B:J,6,FALSE),"")</f>
        <v/>
      </c>
      <c r="H2801" s="47" t="str">
        <f>IFERROR(VLOOKUP(G2801,WholesaleExtract!B:L,11,FALSE),"")</f>
        <v/>
      </c>
      <c r="I2801" s="26" t="str">
        <f>IFERROR(VLOOKUP(G2801,WholesaleExtract!B:O,8,FALSE),"")</f>
        <v/>
      </c>
      <c r="J2801" s="26" t="str">
        <f>IFERROR(VLOOKUP(G2801,WholesaleExtract!B:O,14,FALSE),"")</f>
        <v/>
      </c>
      <c r="K2801" s="26" t="str">
        <f>IFERROR(VLOOKUP(G2801,WholesaleExtract!B:K,10,FALSE),"")</f>
        <v/>
      </c>
      <c r="L2801" s="47" t="str">
        <f>IFERROR(VLOOKUP(G2801,WholesaleExtract!B:L,11,FALSE),"")</f>
        <v/>
      </c>
      <c r="M2801" s="47" t="str">
        <f>IFERROR(VLOOKUP(G2801,WholesaleExtract!B:M,12,FALSE),"")</f>
        <v/>
      </c>
      <c r="R2801" s="19"/>
      <c r="S2801" s="19"/>
    </row>
    <row r="2802" spans="1:19" x14ac:dyDescent="0.35">
      <c r="A2802" s="26" t="s">
        <v>543</v>
      </c>
      <c r="B2802" s="26" t="s">
        <v>543</v>
      </c>
      <c r="C2802" s="26"/>
      <c r="D2802" s="26" t="s">
        <v>543</v>
      </c>
      <c r="E2802" s="26" t="str">
        <f>IFERROR(VLOOKUP(G2802,WholesaleExtract!B:J,9,FALSE),"")</f>
        <v/>
      </c>
      <c r="F2802" s="26" t="str">
        <f>IFERROR(VLOOKUP(G2802,WholesaleExtract!B:J,6,FALSE),"")</f>
        <v/>
      </c>
      <c r="H2802" s="47" t="str">
        <f>IFERROR(VLOOKUP(G2802,WholesaleExtract!B:L,11,FALSE),"")</f>
        <v/>
      </c>
      <c r="I2802" s="26" t="str">
        <f>IFERROR(VLOOKUP(G2802,WholesaleExtract!B:O,8,FALSE),"")</f>
        <v/>
      </c>
      <c r="J2802" s="26" t="str">
        <f>IFERROR(VLOOKUP(G2802,WholesaleExtract!B:O,14,FALSE),"")</f>
        <v/>
      </c>
      <c r="K2802" s="26" t="str">
        <f>IFERROR(VLOOKUP(G2802,WholesaleExtract!B:K,10,FALSE),"")</f>
        <v/>
      </c>
      <c r="L2802" s="47" t="str">
        <f>IFERROR(VLOOKUP(G2802,WholesaleExtract!B:L,11,FALSE),"")</f>
        <v/>
      </c>
      <c r="M2802" s="47" t="str">
        <f>IFERROR(VLOOKUP(G2802,WholesaleExtract!B:M,12,FALSE),"")</f>
        <v/>
      </c>
      <c r="R2802" s="19"/>
      <c r="S2802" s="19"/>
    </row>
    <row r="2803" spans="1:19" x14ac:dyDescent="0.35">
      <c r="A2803" s="26" t="s">
        <v>543</v>
      </c>
      <c r="B2803" s="26" t="s">
        <v>543</v>
      </c>
      <c r="C2803" s="26"/>
      <c r="D2803" s="26" t="s">
        <v>543</v>
      </c>
      <c r="E2803" s="26" t="str">
        <f>IFERROR(VLOOKUP(G2803,WholesaleExtract!B:J,9,FALSE),"")</f>
        <v/>
      </c>
      <c r="F2803" s="26" t="str">
        <f>IFERROR(VLOOKUP(G2803,WholesaleExtract!B:J,6,FALSE),"")</f>
        <v/>
      </c>
      <c r="H2803" s="47" t="str">
        <f>IFERROR(VLOOKUP(G2803,WholesaleExtract!B:L,11,FALSE),"")</f>
        <v/>
      </c>
      <c r="I2803" s="26" t="str">
        <f>IFERROR(VLOOKUP(G2803,WholesaleExtract!B:O,8,FALSE),"")</f>
        <v/>
      </c>
      <c r="J2803" s="26" t="str">
        <f>IFERROR(VLOOKUP(G2803,WholesaleExtract!B:O,14,FALSE),"")</f>
        <v/>
      </c>
      <c r="K2803" s="26" t="str">
        <f>IFERROR(VLOOKUP(G2803,WholesaleExtract!B:K,10,FALSE),"")</f>
        <v/>
      </c>
      <c r="L2803" s="47" t="str">
        <f>IFERROR(VLOOKUP(G2803,WholesaleExtract!B:L,11,FALSE),"")</f>
        <v/>
      </c>
      <c r="M2803" s="47" t="str">
        <f>IFERROR(VLOOKUP(G2803,WholesaleExtract!B:M,12,FALSE),"")</f>
        <v/>
      </c>
      <c r="R2803" s="19"/>
      <c r="S2803" s="19"/>
    </row>
    <row r="2804" spans="1:19" x14ac:dyDescent="0.35">
      <c r="A2804" s="26" t="s">
        <v>543</v>
      </c>
      <c r="B2804" s="26" t="s">
        <v>543</v>
      </c>
      <c r="C2804" s="26"/>
      <c r="D2804" s="26" t="s">
        <v>543</v>
      </c>
      <c r="E2804" s="26" t="str">
        <f>IFERROR(VLOOKUP(G2804,WholesaleExtract!B:J,9,FALSE),"")</f>
        <v/>
      </c>
      <c r="F2804" s="26" t="str">
        <f>IFERROR(VLOOKUP(G2804,WholesaleExtract!B:J,6,FALSE),"")</f>
        <v/>
      </c>
      <c r="H2804" s="47" t="str">
        <f>IFERROR(VLOOKUP(G2804,WholesaleExtract!B:L,11,FALSE),"")</f>
        <v/>
      </c>
      <c r="I2804" s="26" t="str">
        <f>IFERROR(VLOOKUP(G2804,WholesaleExtract!B:O,8,FALSE),"")</f>
        <v/>
      </c>
      <c r="J2804" s="26" t="str">
        <f>IFERROR(VLOOKUP(G2804,WholesaleExtract!B:O,14,FALSE),"")</f>
        <v/>
      </c>
      <c r="K2804" s="26" t="str">
        <f>IFERROR(VLOOKUP(G2804,WholesaleExtract!B:K,10,FALSE),"")</f>
        <v/>
      </c>
      <c r="L2804" s="47" t="str">
        <f>IFERROR(VLOOKUP(G2804,WholesaleExtract!B:L,11,FALSE),"")</f>
        <v/>
      </c>
      <c r="M2804" s="47" t="str">
        <f>IFERROR(VLOOKUP(G2804,WholesaleExtract!B:M,12,FALSE),"")</f>
        <v/>
      </c>
      <c r="R2804" s="19"/>
      <c r="S2804" s="19"/>
    </row>
    <row r="2805" spans="1:19" x14ac:dyDescent="0.35">
      <c r="A2805" s="26" t="s">
        <v>543</v>
      </c>
      <c r="B2805" s="26" t="s">
        <v>543</v>
      </c>
      <c r="C2805" s="26"/>
      <c r="D2805" s="26" t="s">
        <v>543</v>
      </c>
      <c r="E2805" s="26" t="str">
        <f>IFERROR(VLOOKUP(G2805,WholesaleExtract!B:J,9,FALSE),"")</f>
        <v/>
      </c>
      <c r="F2805" s="26" t="str">
        <f>IFERROR(VLOOKUP(G2805,WholesaleExtract!B:J,6,FALSE),"")</f>
        <v/>
      </c>
      <c r="H2805" s="47" t="str">
        <f>IFERROR(VLOOKUP(G2805,WholesaleExtract!B:L,11,FALSE),"")</f>
        <v/>
      </c>
      <c r="I2805" s="26" t="str">
        <f>IFERROR(VLOOKUP(G2805,WholesaleExtract!B:O,8,FALSE),"")</f>
        <v/>
      </c>
      <c r="J2805" s="26" t="str">
        <f>IFERROR(VLOOKUP(G2805,WholesaleExtract!B:O,14,FALSE),"")</f>
        <v/>
      </c>
      <c r="K2805" s="26" t="str">
        <f>IFERROR(VLOOKUP(G2805,WholesaleExtract!B:K,10,FALSE),"")</f>
        <v/>
      </c>
      <c r="L2805" s="47" t="str">
        <f>IFERROR(VLOOKUP(G2805,WholesaleExtract!B:L,11,FALSE),"")</f>
        <v/>
      </c>
      <c r="M2805" s="47" t="str">
        <f>IFERROR(VLOOKUP(G2805,WholesaleExtract!B:M,12,FALSE),"")</f>
        <v/>
      </c>
      <c r="R2805" s="19"/>
      <c r="S2805" s="19"/>
    </row>
    <row r="2806" spans="1:19" x14ac:dyDescent="0.35">
      <c r="A2806" s="26" t="s">
        <v>543</v>
      </c>
      <c r="B2806" s="26" t="s">
        <v>543</v>
      </c>
      <c r="C2806" s="26"/>
      <c r="D2806" s="26" t="s">
        <v>543</v>
      </c>
      <c r="E2806" s="26" t="str">
        <f>IFERROR(VLOOKUP(G2806,WholesaleExtract!B:J,9,FALSE),"")</f>
        <v/>
      </c>
      <c r="F2806" s="26" t="str">
        <f>IFERROR(VLOOKUP(G2806,WholesaleExtract!B:J,6,FALSE),"")</f>
        <v/>
      </c>
      <c r="H2806" s="47" t="str">
        <f>IFERROR(VLOOKUP(G2806,WholesaleExtract!B:L,11,FALSE),"")</f>
        <v/>
      </c>
      <c r="I2806" s="26" t="str">
        <f>IFERROR(VLOOKUP(G2806,WholesaleExtract!B:O,8,FALSE),"")</f>
        <v/>
      </c>
      <c r="J2806" s="26" t="str">
        <f>IFERROR(VLOOKUP(G2806,WholesaleExtract!B:O,14,FALSE),"")</f>
        <v/>
      </c>
      <c r="K2806" s="26" t="str">
        <f>IFERROR(VLOOKUP(G2806,WholesaleExtract!B:K,10,FALSE),"")</f>
        <v/>
      </c>
      <c r="L2806" s="47" t="str">
        <f>IFERROR(VLOOKUP(G2806,WholesaleExtract!B:L,11,FALSE),"")</f>
        <v/>
      </c>
      <c r="M2806" s="47" t="str">
        <f>IFERROR(VLOOKUP(G2806,WholesaleExtract!B:M,12,FALSE),"")</f>
        <v/>
      </c>
      <c r="R2806" s="19"/>
      <c r="S2806" s="19"/>
    </row>
    <row r="2807" spans="1:19" x14ac:dyDescent="0.35">
      <c r="A2807" s="26" t="s">
        <v>543</v>
      </c>
      <c r="B2807" s="26" t="s">
        <v>543</v>
      </c>
      <c r="C2807" s="26"/>
      <c r="D2807" s="26" t="s">
        <v>543</v>
      </c>
      <c r="E2807" s="26" t="str">
        <f>IFERROR(VLOOKUP(G2807,WholesaleExtract!B:J,9,FALSE),"")</f>
        <v/>
      </c>
      <c r="F2807" s="26" t="str">
        <f>IFERROR(VLOOKUP(G2807,WholesaleExtract!B:J,6,FALSE),"")</f>
        <v/>
      </c>
      <c r="H2807" s="47" t="str">
        <f>IFERROR(VLOOKUP(G2807,WholesaleExtract!B:L,11,FALSE),"")</f>
        <v/>
      </c>
      <c r="I2807" s="26" t="str">
        <f>IFERROR(VLOOKUP(G2807,WholesaleExtract!B:O,8,FALSE),"")</f>
        <v/>
      </c>
      <c r="J2807" s="26" t="str">
        <f>IFERROR(VLOOKUP(G2807,WholesaleExtract!B:O,14,FALSE),"")</f>
        <v/>
      </c>
      <c r="K2807" s="26" t="str">
        <f>IFERROR(VLOOKUP(G2807,WholesaleExtract!B:K,10,FALSE),"")</f>
        <v/>
      </c>
      <c r="L2807" s="47" t="str">
        <f>IFERROR(VLOOKUP(G2807,WholesaleExtract!B:L,11,FALSE),"")</f>
        <v/>
      </c>
      <c r="M2807" s="47" t="str">
        <f>IFERROR(VLOOKUP(G2807,WholesaleExtract!B:M,12,FALSE),"")</f>
        <v/>
      </c>
      <c r="R2807" s="19"/>
      <c r="S2807" s="19"/>
    </row>
    <row r="2808" spans="1:19" x14ac:dyDescent="0.35">
      <c r="A2808" s="26" t="s">
        <v>543</v>
      </c>
      <c r="B2808" s="26" t="s">
        <v>543</v>
      </c>
      <c r="C2808" s="26"/>
      <c r="D2808" s="26" t="s">
        <v>543</v>
      </c>
      <c r="E2808" s="26" t="str">
        <f>IFERROR(VLOOKUP(G2808,WholesaleExtract!B:J,9,FALSE),"")</f>
        <v/>
      </c>
      <c r="F2808" s="26" t="str">
        <f>IFERROR(VLOOKUP(G2808,WholesaleExtract!B:J,6,FALSE),"")</f>
        <v/>
      </c>
      <c r="H2808" s="47" t="str">
        <f>IFERROR(VLOOKUP(G2808,WholesaleExtract!B:L,11,FALSE),"")</f>
        <v/>
      </c>
      <c r="I2808" s="26" t="str">
        <f>IFERROR(VLOOKUP(G2808,WholesaleExtract!B:O,8,FALSE),"")</f>
        <v/>
      </c>
      <c r="J2808" s="26" t="str">
        <f>IFERROR(VLOOKUP(G2808,WholesaleExtract!B:O,14,FALSE),"")</f>
        <v/>
      </c>
      <c r="K2808" s="26" t="str">
        <f>IFERROR(VLOOKUP(G2808,WholesaleExtract!B:K,10,FALSE),"")</f>
        <v/>
      </c>
      <c r="L2808" s="47" t="str">
        <f>IFERROR(VLOOKUP(G2808,WholesaleExtract!B:L,11,FALSE),"")</f>
        <v/>
      </c>
      <c r="M2808" s="47" t="str">
        <f>IFERROR(VLOOKUP(G2808,WholesaleExtract!B:M,12,FALSE),"")</f>
        <v/>
      </c>
      <c r="R2808" s="19"/>
      <c r="S2808" s="19"/>
    </row>
    <row r="2809" spans="1:19" x14ac:dyDescent="0.35">
      <c r="A2809" s="26" t="s">
        <v>543</v>
      </c>
      <c r="B2809" s="26" t="s">
        <v>543</v>
      </c>
      <c r="C2809" s="26"/>
      <c r="D2809" s="26" t="s">
        <v>543</v>
      </c>
      <c r="E2809" s="26" t="str">
        <f>IFERROR(VLOOKUP(G2809,WholesaleExtract!B:J,9,FALSE),"")</f>
        <v/>
      </c>
      <c r="F2809" s="26" t="str">
        <f>IFERROR(VLOOKUP(G2809,WholesaleExtract!B:J,6,FALSE),"")</f>
        <v/>
      </c>
      <c r="H2809" s="47" t="str">
        <f>IFERROR(VLOOKUP(G2809,WholesaleExtract!B:L,11,FALSE),"")</f>
        <v/>
      </c>
      <c r="I2809" s="26" t="str">
        <f>IFERROR(VLOOKUP(G2809,WholesaleExtract!B:O,8,FALSE),"")</f>
        <v/>
      </c>
      <c r="J2809" s="26" t="str">
        <f>IFERROR(VLOOKUP(G2809,WholesaleExtract!B:O,14,FALSE),"")</f>
        <v/>
      </c>
      <c r="K2809" s="26" t="str">
        <f>IFERROR(VLOOKUP(G2809,WholesaleExtract!B:K,10,FALSE),"")</f>
        <v/>
      </c>
      <c r="L2809" s="47" t="str">
        <f>IFERROR(VLOOKUP(G2809,WholesaleExtract!B:L,11,FALSE),"")</f>
        <v/>
      </c>
      <c r="M2809" s="47" t="str">
        <f>IFERROR(VLOOKUP(G2809,WholesaleExtract!B:M,12,FALSE),"")</f>
        <v/>
      </c>
      <c r="R2809" s="19"/>
      <c r="S2809" s="19"/>
    </row>
    <row r="2810" spans="1:19" x14ac:dyDescent="0.35">
      <c r="A2810" s="26" t="s">
        <v>543</v>
      </c>
      <c r="B2810" s="26" t="s">
        <v>543</v>
      </c>
      <c r="C2810" s="26"/>
      <c r="D2810" s="26" t="s">
        <v>543</v>
      </c>
      <c r="E2810" s="26" t="str">
        <f>IFERROR(VLOOKUP(G2810,WholesaleExtract!B:J,9,FALSE),"")</f>
        <v/>
      </c>
      <c r="F2810" s="26" t="str">
        <f>IFERROR(VLOOKUP(G2810,WholesaleExtract!B:J,6,FALSE),"")</f>
        <v/>
      </c>
      <c r="H2810" s="47" t="str">
        <f>IFERROR(VLOOKUP(G2810,WholesaleExtract!B:L,11,FALSE),"")</f>
        <v/>
      </c>
      <c r="I2810" s="26" t="str">
        <f>IFERROR(VLOOKUP(G2810,WholesaleExtract!B:O,8,FALSE),"")</f>
        <v/>
      </c>
      <c r="J2810" s="26" t="str">
        <f>IFERROR(VLOOKUP(G2810,WholesaleExtract!B:O,14,FALSE),"")</f>
        <v/>
      </c>
      <c r="K2810" s="26" t="str">
        <f>IFERROR(VLOOKUP(G2810,WholesaleExtract!B:K,10,FALSE),"")</f>
        <v/>
      </c>
      <c r="L2810" s="47" t="str">
        <f>IFERROR(VLOOKUP(G2810,WholesaleExtract!B:L,11,FALSE),"")</f>
        <v/>
      </c>
      <c r="M2810" s="47" t="str">
        <f>IFERROR(VLOOKUP(G2810,WholesaleExtract!B:M,12,FALSE),"")</f>
        <v/>
      </c>
      <c r="R2810" s="19"/>
      <c r="S2810" s="19"/>
    </row>
    <row r="2811" spans="1:19" x14ac:dyDescent="0.35">
      <c r="A2811" s="26" t="s">
        <v>543</v>
      </c>
      <c r="B2811" s="26" t="s">
        <v>543</v>
      </c>
      <c r="C2811" s="26"/>
      <c r="D2811" s="26" t="s">
        <v>543</v>
      </c>
      <c r="E2811" s="26" t="str">
        <f>IFERROR(VLOOKUP(G2811,WholesaleExtract!B:J,9,FALSE),"")</f>
        <v/>
      </c>
      <c r="F2811" s="26" t="str">
        <f>IFERROR(VLOOKUP(G2811,WholesaleExtract!B:J,6,FALSE),"")</f>
        <v/>
      </c>
      <c r="H2811" s="47" t="str">
        <f>IFERROR(VLOOKUP(G2811,WholesaleExtract!B:L,11,FALSE),"")</f>
        <v/>
      </c>
      <c r="I2811" s="26" t="str">
        <f>IFERROR(VLOOKUP(G2811,WholesaleExtract!B:O,8,FALSE),"")</f>
        <v/>
      </c>
      <c r="J2811" s="26" t="str">
        <f>IFERROR(VLOOKUP(G2811,WholesaleExtract!B:O,14,FALSE),"")</f>
        <v/>
      </c>
      <c r="K2811" s="26" t="str">
        <f>IFERROR(VLOOKUP(G2811,WholesaleExtract!B:K,10,FALSE),"")</f>
        <v/>
      </c>
      <c r="L2811" s="47" t="str">
        <f>IFERROR(VLOOKUP(G2811,WholesaleExtract!B:L,11,FALSE),"")</f>
        <v/>
      </c>
      <c r="M2811" s="47" t="str">
        <f>IFERROR(VLOOKUP(G2811,WholesaleExtract!B:M,12,FALSE),"")</f>
        <v/>
      </c>
      <c r="R2811" s="19"/>
      <c r="S2811" s="19"/>
    </row>
    <row r="2812" spans="1:19" x14ac:dyDescent="0.35">
      <c r="A2812" s="26" t="s">
        <v>543</v>
      </c>
      <c r="B2812" s="26" t="s">
        <v>543</v>
      </c>
      <c r="C2812" s="26"/>
      <c r="D2812" s="26" t="s">
        <v>543</v>
      </c>
      <c r="E2812" s="26" t="str">
        <f>IFERROR(VLOOKUP(G2812,WholesaleExtract!B:J,9,FALSE),"")</f>
        <v/>
      </c>
      <c r="F2812" s="26" t="str">
        <f>IFERROR(VLOOKUP(G2812,WholesaleExtract!B:J,6,FALSE),"")</f>
        <v/>
      </c>
      <c r="H2812" s="47" t="str">
        <f>IFERROR(VLOOKUP(G2812,WholesaleExtract!B:L,11,FALSE),"")</f>
        <v/>
      </c>
      <c r="I2812" s="26" t="str">
        <f>IFERROR(VLOOKUP(G2812,WholesaleExtract!B:O,8,FALSE),"")</f>
        <v/>
      </c>
      <c r="J2812" s="26" t="str">
        <f>IFERROR(VLOOKUP(G2812,WholesaleExtract!B:O,14,FALSE),"")</f>
        <v/>
      </c>
      <c r="K2812" s="26" t="str">
        <f>IFERROR(VLOOKUP(G2812,WholesaleExtract!B:K,10,FALSE),"")</f>
        <v/>
      </c>
      <c r="L2812" s="47" t="str">
        <f>IFERROR(VLOOKUP(G2812,WholesaleExtract!B:L,11,FALSE),"")</f>
        <v/>
      </c>
      <c r="M2812" s="47" t="str">
        <f>IFERROR(VLOOKUP(G2812,WholesaleExtract!B:M,12,FALSE),"")</f>
        <v/>
      </c>
      <c r="R2812" s="19"/>
      <c r="S2812" s="19"/>
    </row>
    <row r="2813" spans="1:19" x14ac:dyDescent="0.35">
      <c r="A2813" s="26" t="s">
        <v>543</v>
      </c>
      <c r="B2813" s="26" t="s">
        <v>543</v>
      </c>
      <c r="C2813" s="26"/>
      <c r="D2813" s="26" t="s">
        <v>543</v>
      </c>
      <c r="E2813" s="26" t="str">
        <f>IFERROR(VLOOKUP(G2813,WholesaleExtract!B:J,9,FALSE),"")</f>
        <v/>
      </c>
      <c r="F2813" s="26" t="str">
        <f>IFERROR(VLOOKUP(G2813,WholesaleExtract!B:J,6,FALSE),"")</f>
        <v/>
      </c>
      <c r="H2813" s="47" t="str">
        <f>IFERROR(VLOOKUP(G2813,WholesaleExtract!B:L,11,FALSE),"")</f>
        <v/>
      </c>
      <c r="I2813" s="26" t="str">
        <f>IFERROR(VLOOKUP(G2813,WholesaleExtract!B:O,8,FALSE),"")</f>
        <v/>
      </c>
      <c r="J2813" s="26" t="str">
        <f>IFERROR(VLOOKUP(G2813,WholesaleExtract!B:O,14,FALSE),"")</f>
        <v/>
      </c>
      <c r="K2813" s="26" t="str">
        <f>IFERROR(VLOOKUP(G2813,WholesaleExtract!B:K,10,FALSE),"")</f>
        <v/>
      </c>
      <c r="L2813" s="47" t="str">
        <f>IFERROR(VLOOKUP(G2813,WholesaleExtract!B:L,11,FALSE),"")</f>
        <v/>
      </c>
      <c r="M2813" s="47" t="str">
        <f>IFERROR(VLOOKUP(G2813,WholesaleExtract!B:M,12,FALSE),"")</f>
        <v/>
      </c>
      <c r="R2813" s="19"/>
      <c r="S2813" s="19"/>
    </row>
    <row r="2814" spans="1:19" x14ac:dyDescent="0.35">
      <c r="A2814" s="26" t="s">
        <v>543</v>
      </c>
      <c r="B2814" s="26" t="s">
        <v>543</v>
      </c>
      <c r="C2814" s="26"/>
      <c r="D2814" s="26" t="s">
        <v>543</v>
      </c>
      <c r="E2814" s="26" t="str">
        <f>IFERROR(VLOOKUP(G2814,WholesaleExtract!B:J,9,FALSE),"")</f>
        <v/>
      </c>
      <c r="F2814" s="26" t="str">
        <f>IFERROR(VLOOKUP(G2814,WholesaleExtract!B:J,6,FALSE),"")</f>
        <v/>
      </c>
      <c r="H2814" s="47" t="str">
        <f>IFERROR(VLOOKUP(G2814,WholesaleExtract!B:L,11,FALSE),"")</f>
        <v/>
      </c>
      <c r="I2814" s="26" t="str">
        <f>IFERROR(VLOOKUP(G2814,WholesaleExtract!B:O,8,FALSE),"")</f>
        <v/>
      </c>
      <c r="J2814" s="26" t="str">
        <f>IFERROR(VLOOKUP(G2814,WholesaleExtract!B:O,14,FALSE),"")</f>
        <v/>
      </c>
      <c r="K2814" s="26" t="str">
        <f>IFERROR(VLOOKUP(G2814,WholesaleExtract!B:K,10,FALSE),"")</f>
        <v/>
      </c>
      <c r="L2814" s="47" t="str">
        <f>IFERROR(VLOOKUP(G2814,WholesaleExtract!B:L,11,FALSE),"")</f>
        <v/>
      </c>
      <c r="M2814" s="47" t="str">
        <f>IFERROR(VLOOKUP(G2814,WholesaleExtract!B:M,12,FALSE),"")</f>
        <v/>
      </c>
      <c r="R2814" s="19"/>
      <c r="S2814" s="19"/>
    </row>
    <row r="2815" spans="1:19" x14ac:dyDescent="0.35">
      <c r="A2815" s="26" t="s">
        <v>543</v>
      </c>
      <c r="B2815" s="26" t="s">
        <v>543</v>
      </c>
      <c r="C2815" s="26"/>
      <c r="D2815" s="26" t="s">
        <v>543</v>
      </c>
      <c r="E2815" s="26" t="str">
        <f>IFERROR(VLOOKUP(G2815,WholesaleExtract!B:J,9,FALSE),"")</f>
        <v/>
      </c>
      <c r="F2815" s="26" t="str">
        <f>IFERROR(VLOOKUP(G2815,WholesaleExtract!B:J,6,FALSE),"")</f>
        <v/>
      </c>
      <c r="H2815" s="47" t="str">
        <f>IFERROR(VLOOKUP(G2815,WholesaleExtract!B:L,11,FALSE),"")</f>
        <v/>
      </c>
      <c r="I2815" s="26" t="str">
        <f>IFERROR(VLOOKUP(G2815,WholesaleExtract!B:O,8,FALSE),"")</f>
        <v/>
      </c>
      <c r="J2815" s="26" t="str">
        <f>IFERROR(VLOOKUP(G2815,WholesaleExtract!B:O,14,FALSE),"")</f>
        <v/>
      </c>
      <c r="K2815" s="26" t="str">
        <f>IFERROR(VLOOKUP(G2815,WholesaleExtract!B:K,10,FALSE),"")</f>
        <v/>
      </c>
      <c r="L2815" s="47" t="str">
        <f>IFERROR(VLOOKUP(G2815,WholesaleExtract!B:L,11,FALSE),"")</f>
        <v/>
      </c>
      <c r="M2815" s="47" t="str">
        <f>IFERROR(VLOOKUP(G2815,WholesaleExtract!B:M,12,FALSE),"")</f>
        <v/>
      </c>
      <c r="R2815" s="19"/>
      <c r="S2815" s="19"/>
    </row>
    <row r="2816" spans="1:19" x14ac:dyDescent="0.35">
      <c r="A2816" s="26" t="s">
        <v>543</v>
      </c>
      <c r="B2816" s="26" t="s">
        <v>543</v>
      </c>
      <c r="C2816" s="26"/>
      <c r="D2816" s="26" t="s">
        <v>543</v>
      </c>
      <c r="E2816" s="26" t="str">
        <f>IFERROR(VLOOKUP(G2816,WholesaleExtract!B:J,9,FALSE),"")</f>
        <v/>
      </c>
      <c r="F2816" s="26" t="str">
        <f>IFERROR(VLOOKUP(G2816,WholesaleExtract!B:J,6,FALSE),"")</f>
        <v/>
      </c>
      <c r="H2816" s="47" t="str">
        <f>IFERROR(VLOOKUP(G2816,WholesaleExtract!B:L,11,FALSE),"")</f>
        <v/>
      </c>
      <c r="I2816" s="26" t="str">
        <f>IFERROR(VLOOKUP(G2816,WholesaleExtract!B:O,8,FALSE),"")</f>
        <v/>
      </c>
      <c r="J2816" s="26" t="str">
        <f>IFERROR(VLOOKUP(G2816,WholesaleExtract!B:O,14,FALSE),"")</f>
        <v/>
      </c>
      <c r="K2816" s="26" t="str">
        <f>IFERROR(VLOOKUP(G2816,WholesaleExtract!B:K,10,FALSE),"")</f>
        <v/>
      </c>
      <c r="L2816" s="47" t="str">
        <f>IFERROR(VLOOKUP(G2816,WholesaleExtract!B:L,11,FALSE),"")</f>
        <v/>
      </c>
      <c r="M2816" s="47" t="str">
        <f>IFERROR(VLOOKUP(G2816,WholesaleExtract!B:M,12,FALSE),"")</f>
        <v/>
      </c>
      <c r="R2816" s="19"/>
      <c r="S2816" s="19"/>
    </row>
    <row r="2817" spans="1:19" x14ac:dyDescent="0.35">
      <c r="A2817" s="26" t="s">
        <v>543</v>
      </c>
      <c r="B2817" s="26" t="s">
        <v>543</v>
      </c>
      <c r="C2817" s="26"/>
      <c r="D2817" s="26" t="s">
        <v>543</v>
      </c>
      <c r="E2817" s="26" t="str">
        <f>IFERROR(VLOOKUP(G2817,WholesaleExtract!B:J,9,FALSE),"")</f>
        <v/>
      </c>
      <c r="F2817" s="26" t="str">
        <f>IFERROR(VLOOKUP(G2817,WholesaleExtract!B:J,6,FALSE),"")</f>
        <v/>
      </c>
      <c r="H2817" s="47" t="str">
        <f>IFERROR(VLOOKUP(G2817,WholesaleExtract!B:L,11,FALSE),"")</f>
        <v/>
      </c>
      <c r="I2817" s="26" t="str">
        <f>IFERROR(VLOOKUP(G2817,WholesaleExtract!B:O,8,FALSE),"")</f>
        <v/>
      </c>
      <c r="J2817" s="26" t="str">
        <f>IFERROR(VLOOKUP(G2817,WholesaleExtract!B:O,14,FALSE),"")</f>
        <v/>
      </c>
      <c r="K2817" s="26" t="str">
        <f>IFERROR(VLOOKUP(G2817,WholesaleExtract!B:K,10,FALSE),"")</f>
        <v/>
      </c>
      <c r="L2817" s="47" t="str">
        <f>IFERROR(VLOOKUP(G2817,WholesaleExtract!B:L,11,FALSE),"")</f>
        <v/>
      </c>
      <c r="M2817" s="47" t="str">
        <f>IFERROR(VLOOKUP(G2817,WholesaleExtract!B:M,12,FALSE),"")</f>
        <v/>
      </c>
      <c r="R2817" s="19"/>
      <c r="S2817" s="19"/>
    </row>
    <row r="2818" spans="1:19" x14ac:dyDescent="0.35">
      <c r="A2818" s="26" t="s">
        <v>543</v>
      </c>
      <c r="B2818" s="26" t="s">
        <v>543</v>
      </c>
      <c r="C2818" s="26"/>
      <c r="D2818" s="26" t="s">
        <v>543</v>
      </c>
      <c r="E2818" s="26" t="str">
        <f>IFERROR(VLOOKUP(G2818,WholesaleExtract!B:J,9,FALSE),"")</f>
        <v/>
      </c>
      <c r="F2818" s="26" t="str">
        <f>IFERROR(VLOOKUP(G2818,WholesaleExtract!B:J,6,FALSE),"")</f>
        <v/>
      </c>
      <c r="H2818" s="47" t="str">
        <f>IFERROR(VLOOKUP(G2818,WholesaleExtract!B:L,11,FALSE),"")</f>
        <v/>
      </c>
      <c r="I2818" s="26" t="str">
        <f>IFERROR(VLOOKUP(G2818,WholesaleExtract!B:O,8,FALSE),"")</f>
        <v/>
      </c>
      <c r="J2818" s="26" t="str">
        <f>IFERROR(VLOOKUP(G2818,WholesaleExtract!B:O,14,FALSE),"")</f>
        <v/>
      </c>
      <c r="K2818" s="26" t="str">
        <f>IFERROR(VLOOKUP(G2818,WholesaleExtract!B:K,10,FALSE),"")</f>
        <v/>
      </c>
      <c r="L2818" s="47" t="str">
        <f>IFERROR(VLOOKUP(G2818,WholesaleExtract!B:L,11,FALSE),"")</f>
        <v/>
      </c>
      <c r="M2818" s="47" t="str">
        <f>IFERROR(VLOOKUP(G2818,WholesaleExtract!B:M,12,FALSE),"")</f>
        <v/>
      </c>
      <c r="R2818" s="19"/>
      <c r="S2818" s="19"/>
    </row>
    <row r="2819" spans="1:19" x14ac:dyDescent="0.35">
      <c r="A2819" s="26" t="s">
        <v>543</v>
      </c>
      <c r="B2819" s="26" t="s">
        <v>543</v>
      </c>
      <c r="C2819" s="26"/>
      <c r="D2819" s="26" t="s">
        <v>543</v>
      </c>
      <c r="E2819" s="26" t="str">
        <f>IFERROR(VLOOKUP(G2819,WholesaleExtract!B:J,9,FALSE),"")</f>
        <v/>
      </c>
      <c r="F2819" s="26" t="str">
        <f>IFERROR(VLOOKUP(G2819,WholesaleExtract!B:J,6,FALSE),"")</f>
        <v/>
      </c>
      <c r="H2819" s="47" t="str">
        <f>IFERROR(VLOOKUP(G2819,WholesaleExtract!B:L,11,FALSE),"")</f>
        <v/>
      </c>
      <c r="I2819" s="26" t="str">
        <f>IFERROR(VLOOKUP(G2819,WholesaleExtract!B:O,8,FALSE),"")</f>
        <v/>
      </c>
      <c r="J2819" s="26" t="str">
        <f>IFERROR(VLOOKUP(G2819,WholesaleExtract!B:O,14,FALSE),"")</f>
        <v/>
      </c>
      <c r="K2819" s="26" t="str">
        <f>IFERROR(VLOOKUP(G2819,WholesaleExtract!B:K,10,FALSE),"")</f>
        <v/>
      </c>
      <c r="L2819" s="47" t="str">
        <f>IFERROR(VLOOKUP(G2819,WholesaleExtract!B:L,11,FALSE),"")</f>
        <v/>
      </c>
      <c r="M2819" s="47" t="str">
        <f>IFERROR(VLOOKUP(G2819,WholesaleExtract!B:M,12,FALSE),"")</f>
        <v/>
      </c>
      <c r="R2819" s="19"/>
      <c r="S2819" s="19"/>
    </row>
    <row r="2820" spans="1:19" x14ac:dyDescent="0.35">
      <c r="A2820" s="26" t="s">
        <v>543</v>
      </c>
      <c r="B2820" s="26" t="s">
        <v>543</v>
      </c>
      <c r="C2820" s="26"/>
      <c r="D2820" s="26" t="s">
        <v>543</v>
      </c>
      <c r="E2820" s="26" t="str">
        <f>IFERROR(VLOOKUP(G2820,WholesaleExtract!B:J,9,FALSE),"")</f>
        <v/>
      </c>
      <c r="F2820" s="26" t="str">
        <f>IFERROR(VLOOKUP(G2820,WholesaleExtract!B:J,6,FALSE),"")</f>
        <v/>
      </c>
      <c r="H2820" s="47" t="str">
        <f>IFERROR(VLOOKUP(G2820,WholesaleExtract!B:L,11,FALSE),"")</f>
        <v/>
      </c>
      <c r="I2820" s="26" t="str">
        <f>IFERROR(VLOOKUP(G2820,WholesaleExtract!B:O,8,FALSE),"")</f>
        <v/>
      </c>
      <c r="J2820" s="26" t="str">
        <f>IFERROR(VLOOKUP(G2820,WholesaleExtract!B:O,14,FALSE),"")</f>
        <v/>
      </c>
      <c r="K2820" s="26" t="str">
        <f>IFERROR(VLOOKUP(G2820,WholesaleExtract!B:K,10,FALSE),"")</f>
        <v/>
      </c>
      <c r="L2820" s="47" t="str">
        <f>IFERROR(VLOOKUP(G2820,WholesaleExtract!B:L,11,FALSE),"")</f>
        <v/>
      </c>
      <c r="M2820" s="47" t="str">
        <f>IFERROR(VLOOKUP(G2820,WholesaleExtract!B:M,12,FALSE),"")</f>
        <v/>
      </c>
      <c r="R2820" s="19"/>
      <c r="S2820" s="19"/>
    </row>
    <row r="2821" spans="1:19" x14ac:dyDescent="0.35">
      <c r="A2821" s="26" t="s">
        <v>543</v>
      </c>
      <c r="B2821" s="26" t="s">
        <v>543</v>
      </c>
      <c r="C2821" s="26"/>
      <c r="D2821" s="26" t="s">
        <v>543</v>
      </c>
      <c r="E2821" s="26" t="str">
        <f>IFERROR(VLOOKUP(G2821,WholesaleExtract!B:J,9,FALSE),"")</f>
        <v/>
      </c>
      <c r="F2821" s="26" t="str">
        <f>IFERROR(VLOOKUP(G2821,WholesaleExtract!B:J,6,FALSE),"")</f>
        <v/>
      </c>
      <c r="H2821" s="47" t="str">
        <f>IFERROR(VLOOKUP(G2821,WholesaleExtract!B:L,11,FALSE),"")</f>
        <v/>
      </c>
      <c r="I2821" s="26" t="str">
        <f>IFERROR(VLOOKUP(G2821,WholesaleExtract!B:O,8,FALSE),"")</f>
        <v/>
      </c>
      <c r="J2821" s="26" t="str">
        <f>IFERROR(VLOOKUP(G2821,WholesaleExtract!B:O,14,FALSE),"")</f>
        <v/>
      </c>
      <c r="K2821" s="26" t="str">
        <f>IFERROR(VLOOKUP(G2821,WholesaleExtract!B:K,10,FALSE),"")</f>
        <v/>
      </c>
      <c r="L2821" s="47" t="str">
        <f>IFERROR(VLOOKUP(G2821,WholesaleExtract!B:L,11,FALSE),"")</f>
        <v/>
      </c>
      <c r="M2821" s="47" t="str">
        <f>IFERROR(VLOOKUP(G2821,WholesaleExtract!B:M,12,FALSE),"")</f>
        <v/>
      </c>
      <c r="R2821" s="19"/>
      <c r="S2821" s="19"/>
    </row>
    <row r="2822" spans="1:19" x14ac:dyDescent="0.35">
      <c r="A2822" s="26" t="s">
        <v>543</v>
      </c>
      <c r="B2822" s="26" t="s">
        <v>543</v>
      </c>
      <c r="C2822" s="26"/>
      <c r="D2822" s="26" t="s">
        <v>543</v>
      </c>
      <c r="E2822" s="26" t="str">
        <f>IFERROR(VLOOKUP(G2822,WholesaleExtract!B:J,9,FALSE),"")</f>
        <v/>
      </c>
      <c r="F2822" s="26" t="str">
        <f>IFERROR(VLOOKUP(G2822,WholesaleExtract!B:J,6,FALSE),"")</f>
        <v/>
      </c>
      <c r="H2822" s="47" t="str">
        <f>IFERROR(VLOOKUP(G2822,WholesaleExtract!B:L,11,FALSE),"")</f>
        <v/>
      </c>
      <c r="I2822" s="26" t="str">
        <f>IFERROR(VLOOKUP(G2822,WholesaleExtract!B:O,8,FALSE),"")</f>
        <v/>
      </c>
      <c r="J2822" s="26" t="str">
        <f>IFERROR(VLOOKUP(G2822,WholesaleExtract!B:O,14,FALSE),"")</f>
        <v/>
      </c>
      <c r="K2822" s="26" t="str">
        <f>IFERROR(VLOOKUP(G2822,WholesaleExtract!B:K,10,FALSE),"")</f>
        <v/>
      </c>
      <c r="L2822" s="47" t="str">
        <f>IFERROR(VLOOKUP(G2822,WholesaleExtract!B:L,11,FALSE),"")</f>
        <v/>
      </c>
      <c r="M2822" s="47" t="str">
        <f>IFERROR(VLOOKUP(G2822,WholesaleExtract!B:M,12,FALSE),"")</f>
        <v/>
      </c>
      <c r="R2822" s="19"/>
      <c r="S2822" s="19"/>
    </row>
    <row r="2823" spans="1:19" x14ac:dyDescent="0.35">
      <c r="A2823" s="26" t="s">
        <v>543</v>
      </c>
      <c r="B2823" s="26" t="s">
        <v>543</v>
      </c>
      <c r="C2823" s="26"/>
      <c r="D2823" s="26" t="s">
        <v>543</v>
      </c>
      <c r="E2823" s="26" t="str">
        <f>IFERROR(VLOOKUP(G2823,WholesaleExtract!B:J,9,FALSE),"")</f>
        <v/>
      </c>
      <c r="F2823" s="26" t="str">
        <f>IFERROR(VLOOKUP(G2823,WholesaleExtract!B:J,6,FALSE),"")</f>
        <v/>
      </c>
      <c r="H2823" s="47" t="str">
        <f>IFERROR(VLOOKUP(G2823,WholesaleExtract!B:L,11,FALSE),"")</f>
        <v/>
      </c>
      <c r="I2823" s="26" t="str">
        <f>IFERROR(VLOOKUP(G2823,WholesaleExtract!B:O,8,FALSE),"")</f>
        <v/>
      </c>
      <c r="J2823" s="26" t="str">
        <f>IFERROR(VLOOKUP(G2823,WholesaleExtract!B:O,14,FALSE),"")</f>
        <v/>
      </c>
      <c r="K2823" s="26" t="str">
        <f>IFERROR(VLOOKUP(G2823,WholesaleExtract!B:K,10,FALSE),"")</f>
        <v/>
      </c>
      <c r="L2823" s="47" t="str">
        <f>IFERROR(VLOOKUP(G2823,WholesaleExtract!B:L,11,FALSE),"")</f>
        <v/>
      </c>
      <c r="M2823" s="47" t="str">
        <f>IFERROR(VLOOKUP(G2823,WholesaleExtract!B:M,12,FALSE),"")</f>
        <v/>
      </c>
      <c r="R2823" s="19"/>
      <c r="S2823" s="19"/>
    </row>
    <row r="2824" spans="1:19" x14ac:dyDescent="0.35">
      <c r="A2824" s="26" t="s">
        <v>543</v>
      </c>
      <c r="B2824" s="26" t="s">
        <v>543</v>
      </c>
      <c r="C2824" s="26"/>
      <c r="D2824" s="26" t="s">
        <v>543</v>
      </c>
      <c r="E2824" s="26" t="str">
        <f>IFERROR(VLOOKUP(G2824,WholesaleExtract!B:J,9,FALSE),"")</f>
        <v/>
      </c>
      <c r="F2824" s="26" t="str">
        <f>IFERROR(VLOOKUP(G2824,WholesaleExtract!B:J,6,FALSE),"")</f>
        <v/>
      </c>
      <c r="H2824" s="47" t="str">
        <f>IFERROR(VLOOKUP(G2824,WholesaleExtract!B:L,11,FALSE),"")</f>
        <v/>
      </c>
      <c r="I2824" s="26" t="str">
        <f>IFERROR(VLOOKUP(G2824,WholesaleExtract!B:O,8,FALSE),"")</f>
        <v/>
      </c>
      <c r="J2824" s="26" t="str">
        <f>IFERROR(VLOOKUP(G2824,WholesaleExtract!B:O,14,FALSE),"")</f>
        <v/>
      </c>
      <c r="K2824" s="26" t="str">
        <f>IFERROR(VLOOKUP(G2824,WholesaleExtract!B:K,10,FALSE),"")</f>
        <v/>
      </c>
      <c r="L2824" s="47" t="str">
        <f>IFERROR(VLOOKUP(G2824,WholesaleExtract!B:L,11,FALSE),"")</f>
        <v/>
      </c>
      <c r="M2824" s="47" t="str">
        <f>IFERROR(VLOOKUP(G2824,WholesaleExtract!B:M,12,FALSE),"")</f>
        <v/>
      </c>
      <c r="R2824" s="19"/>
      <c r="S2824" s="19"/>
    </row>
    <row r="2825" spans="1:19" x14ac:dyDescent="0.35">
      <c r="A2825" s="26" t="s">
        <v>543</v>
      </c>
      <c r="B2825" s="26" t="s">
        <v>543</v>
      </c>
      <c r="C2825" s="26"/>
      <c r="D2825" s="26" t="s">
        <v>543</v>
      </c>
      <c r="E2825" s="26" t="str">
        <f>IFERROR(VLOOKUP(G2825,WholesaleExtract!B:J,9,FALSE),"")</f>
        <v/>
      </c>
      <c r="F2825" s="26" t="str">
        <f>IFERROR(VLOOKUP(G2825,WholesaleExtract!B:J,6,FALSE),"")</f>
        <v/>
      </c>
      <c r="H2825" s="47" t="str">
        <f>IFERROR(VLOOKUP(G2825,WholesaleExtract!B:L,11,FALSE),"")</f>
        <v/>
      </c>
      <c r="I2825" s="26" t="str">
        <f>IFERROR(VLOOKUP(G2825,WholesaleExtract!B:O,8,FALSE),"")</f>
        <v/>
      </c>
      <c r="J2825" s="26" t="str">
        <f>IFERROR(VLOOKUP(G2825,WholesaleExtract!B:O,14,FALSE),"")</f>
        <v/>
      </c>
      <c r="K2825" s="26" t="str">
        <f>IFERROR(VLOOKUP(G2825,WholesaleExtract!B:K,10,FALSE),"")</f>
        <v/>
      </c>
      <c r="L2825" s="47" t="str">
        <f>IFERROR(VLOOKUP(G2825,WholesaleExtract!B:L,11,FALSE),"")</f>
        <v/>
      </c>
      <c r="M2825" s="47" t="str">
        <f>IFERROR(VLOOKUP(G2825,WholesaleExtract!B:M,12,FALSE),"")</f>
        <v/>
      </c>
      <c r="R2825" s="19"/>
      <c r="S2825" s="19"/>
    </row>
    <row r="2826" spans="1:19" x14ac:dyDescent="0.35">
      <c r="A2826" s="26" t="s">
        <v>543</v>
      </c>
      <c r="B2826" s="26" t="s">
        <v>543</v>
      </c>
      <c r="C2826" s="26"/>
      <c r="D2826" s="26" t="s">
        <v>543</v>
      </c>
      <c r="E2826" s="26" t="str">
        <f>IFERROR(VLOOKUP(G2826,WholesaleExtract!B:J,9,FALSE),"")</f>
        <v/>
      </c>
      <c r="F2826" s="26" t="str">
        <f>IFERROR(VLOOKUP(G2826,WholesaleExtract!B:J,6,FALSE),"")</f>
        <v/>
      </c>
      <c r="H2826" s="47" t="str">
        <f>IFERROR(VLOOKUP(G2826,WholesaleExtract!B:L,11,FALSE),"")</f>
        <v/>
      </c>
      <c r="I2826" s="26" t="str">
        <f>IFERROR(VLOOKUP(G2826,WholesaleExtract!B:O,8,FALSE),"")</f>
        <v/>
      </c>
      <c r="J2826" s="26" t="str">
        <f>IFERROR(VLOOKUP(G2826,WholesaleExtract!B:O,14,FALSE),"")</f>
        <v/>
      </c>
      <c r="K2826" s="26" t="str">
        <f>IFERROR(VLOOKUP(G2826,WholesaleExtract!B:K,10,FALSE),"")</f>
        <v/>
      </c>
      <c r="L2826" s="47" t="str">
        <f>IFERROR(VLOOKUP(G2826,WholesaleExtract!B:L,11,FALSE),"")</f>
        <v/>
      </c>
      <c r="M2826" s="47" t="str">
        <f>IFERROR(VLOOKUP(G2826,WholesaleExtract!B:M,12,FALSE),"")</f>
        <v/>
      </c>
      <c r="R2826" s="19"/>
      <c r="S2826" s="19"/>
    </row>
    <row r="2827" spans="1:19" x14ac:dyDescent="0.35">
      <c r="A2827" s="26" t="s">
        <v>543</v>
      </c>
      <c r="B2827" s="26" t="s">
        <v>543</v>
      </c>
      <c r="C2827" s="26"/>
      <c r="D2827" s="26" t="s">
        <v>543</v>
      </c>
      <c r="E2827" s="26" t="str">
        <f>IFERROR(VLOOKUP(G2827,WholesaleExtract!B:J,9,FALSE),"")</f>
        <v/>
      </c>
      <c r="F2827" s="26" t="str">
        <f>IFERROR(VLOOKUP(G2827,WholesaleExtract!B:J,6,FALSE),"")</f>
        <v/>
      </c>
      <c r="H2827" s="47" t="str">
        <f>IFERROR(VLOOKUP(G2827,WholesaleExtract!B:L,11,FALSE),"")</f>
        <v/>
      </c>
      <c r="I2827" s="26" t="str">
        <f>IFERROR(VLOOKUP(G2827,WholesaleExtract!B:O,8,FALSE),"")</f>
        <v/>
      </c>
      <c r="J2827" s="26" t="str">
        <f>IFERROR(VLOOKUP(G2827,WholesaleExtract!B:O,14,FALSE),"")</f>
        <v/>
      </c>
      <c r="K2827" s="26" t="str">
        <f>IFERROR(VLOOKUP(G2827,WholesaleExtract!B:K,10,FALSE),"")</f>
        <v/>
      </c>
      <c r="L2827" s="47" t="str">
        <f>IFERROR(VLOOKUP(G2827,WholesaleExtract!B:L,11,FALSE),"")</f>
        <v/>
      </c>
      <c r="M2827" s="47" t="str">
        <f>IFERROR(VLOOKUP(G2827,WholesaleExtract!B:M,12,FALSE),"")</f>
        <v/>
      </c>
      <c r="R2827" s="19"/>
      <c r="S2827" s="19"/>
    </row>
    <row r="2828" spans="1:19" x14ac:dyDescent="0.35">
      <c r="A2828" s="26" t="s">
        <v>543</v>
      </c>
      <c r="B2828" s="26" t="s">
        <v>543</v>
      </c>
      <c r="C2828" s="26"/>
      <c r="D2828" s="26" t="s">
        <v>543</v>
      </c>
      <c r="E2828" s="26" t="str">
        <f>IFERROR(VLOOKUP(G2828,WholesaleExtract!B:J,9,FALSE),"")</f>
        <v/>
      </c>
      <c r="F2828" s="26" t="str">
        <f>IFERROR(VLOOKUP(G2828,WholesaleExtract!B:J,6,FALSE),"")</f>
        <v/>
      </c>
      <c r="H2828" s="47" t="str">
        <f>IFERROR(VLOOKUP(G2828,WholesaleExtract!B:L,11,FALSE),"")</f>
        <v/>
      </c>
      <c r="I2828" s="26" t="str">
        <f>IFERROR(VLOOKUP(G2828,WholesaleExtract!B:O,8,FALSE),"")</f>
        <v/>
      </c>
      <c r="J2828" s="26" t="str">
        <f>IFERROR(VLOOKUP(G2828,WholesaleExtract!B:O,14,FALSE),"")</f>
        <v/>
      </c>
      <c r="K2828" s="26" t="str">
        <f>IFERROR(VLOOKUP(G2828,WholesaleExtract!B:K,10,FALSE),"")</f>
        <v/>
      </c>
      <c r="L2828" s="47" t="str">
        <f>IFERROR(VLOOKUP(G2828,WholesaleExtract!B:L,11,FALSE),"")</f>
        <v/>
      </c>
      <c r="M2828" s="47" t="str">
        <f>IFERROR(VLOOKUP(G2828,WholesaleExtract!B:M,12,FALSE),"")</f>
        <v/>
      </c>
      <c r="R2828" s="19"/>
      <c r="S2828" s="19"/>
    </row>
    <row r="2829" spans="1:19" x14ac:dyDescent="0.35">
      <c r="A2829" s="26" t="s">
        <v>543</v>
      </c>
      <c r="B2829" s="26" t="s">
        <v>543</v>
      </c>
      <c r="C2829" s="26"/>
      <c r="D2829" s="26" t="s">
        <v>543</v>
      </c>
      <c r="E2829" s="26" t="str">
        <f>IFERROR(VLOOKUP(G2829,WholesaleExtract!B:J,9,FALSE),"")</f>
        <v/>
      </c>
      <c r="F2829" s="26" t="str">
        <f>IFERROR(VLOOKUP(G2829,WholesaleExtract!B:J,6,FALSE),"")</f>
        <v/>
      </c>
      <c r="H2829" s="47" t="str">
        <f>IFERROR(VLOOKUP(G2829,WholesaleExtract!B:L,11,FALSE),"")</f>
        <v/>
      </c>
      <c r="I2829" s="26" t="str">
        <f>IFERROR(VLOOKUP(G2829,WholesaleExtract!B:O,8,FALSE),"")</f>
        <v/>
      </c>
      <c r="J2829" s="26" t="str">
        <f>IFERROR(VLOOKUP(G2829,WholesaleExtract!B:O,14,FALSE),"")</f>
        <v/>
      </c>
      <c r="K2829" s="26" t="str">
        <f>IFERROR(VLOOKUP(G2829,WholesaleExtract!B:K,10,FALSE),"")</f>
        <v/>
      </c>
      <c r="L2829" s="47" t="str">
        <f>IFERROR(VLOOKUP(G2829,WholesaleExtract!B:L,11,FALSE),"")</f>
        <v/>
      </c>
      <c r="M2829" s="47" t="str">
        <f>IFERROR(VLOOKUP(G2829,WholesaleExtract!B:M,12,FALSE),"")</f>
        <v/>
      </c>
      <c r="R2829" s="19"/>
      <c r="S2829" s="19"/>
    </row>
    <row r="2830" spans="1:19" x14ac:dyDescent="0.35">
      <c r="A2830" s="26" t="s">
        <v>543</v>
      </c>
      <c r="B2830" s="26" t="s">
        <v>543</v>
      </c>
      <c r="C2830" s="26"/>
      <c r="D2830" s="26" t="s">
        <v>543</v>
      </c>
      <c r="E2830" s="26" t="str">
        <f>IFERROR(VLOOKUP(G2830,WholesaleExtract!B:J,9,FALSE),"")</f>
        <v/>
      </c>
      <c r="F2830" s="26" t="str">
        <f>IFERROR(VLOOKUP(G2830,WholesaleExtract!B:J,6,FALSE),"")</f>
        <v/>
      </c>
      <c r="H2830" s="47" t="str">
        <f>IFERROR(VLOOKUP(G2830,WholesaleExtract!B:L,11,FALSE),"")</f>
        <v/>
      </c>
      <c r="I2830" s="26" t="str">
        <f>IFERROR(VLOOKUP(G2830,WholesaleExtract!B:O,8,FALSE),"")</f>
        <v/>
      </c>
      <c r="J2830" s="26" t="str">
        <f>IFERROR(VLOOKUP(G2830,WholesaleExtract!B:O,14,FALSE),"")</f>
        <v/>
      </c>
      <c r="K2830" s="26" t="str">
        <f>IFERROR(VLOOKUP(G2830,WholesaleExtract!B:K,10,FALSE),"")</f>
        <v/>
      </c>
      <c r="L2830" s="47" t="str">
        <f>IFERROR(VLOOKUP(G2830,WholesaleExtract!B:L,11,FALSE),"")</f>
        <v/>
      </c>
      <c r="M2830" s="47" t="str">
        <f>IFERROR(VLOOKUP(G2830,WholesaleExtract!B:M,12,FALSE),"")</f>
        <v/>
      </c>
      <c r="R2830" s="19"/>
      <c r="S2830" s="19"/>
    </row>
    <row r="2831" spans="1:19" x14ac:dyDescent="0.35">
      <c r="A2831" s="26" t="s">
        <v>543</v>
      </c>
      <c r="B2831" s="26" t="s">
        <v>543</v>
      </c>
      <c r="C2831" s="26"/>
      <c r="D2831" s="26" t="s">
        <v>543</v>
      </c>
      <c r="E2831" s="26" t="str">
        <f>IFERROR(VLOOKUP(G2831,WholesaleExtract!B:J,9,FALSE),"")</f>
        <v/>
      </c>
      <c r="F2831" s="26" t="str">
        <f>IFERROR(VLOOKUP(G2831,WholesaleExtract!B:J,6,FALSE),"")</f>
        <v/>
      </c>
      <c r="H2831" s="47" t="str">
        <f>IFERROR(VLOOKUP(G2831,WholesaleExtract!B:L,11,FALSE),"")</f>
        <v/>
      </c>
      <c r="I2831" s="26" t="str">
        <f>IFERROR(VLOOKUP(G2831,WholesaleExtract!B:O,8,FALSE),"")</f>
        <v/>
      </c>
      <c r="J2831" s="26" t="str">
        <f>IFERROR(VLOOKUP(G2831,WholesaleExtract!B:O,14,FALSE),"")</f>
        <v/>
      </c>
      <c r="K2831" s="26" t="str">
        <f>IFERROR(VLOOKUP(G2831,WholesaleExtract!B:K,10,FALSE),"")</f>
        <v/>
      </c>
      <c r="L2831" s="47" t="str">
        <f>IFERROR(VLOOKUP(G2831,WholesaleExtract!B:L,11,FALSE),"")</f>
        <v/>
      </c>
      <c r="M2831" s="47" t="str">
        <f>IFERROR(VLOOKUP(G2831,WholesaleExtract!B:M,12,FALSE),"")</f>
        <v/>
      </c>
      <c r="R2831" s="19"/>
      <c r="S2831" s="19"/>
    </row>
    <row r="2832" spans="1:19" x14ac:dyDescent="0.35">
      <c r="A2832" s="26" t="s">
        <v>543</v>
      </c>
      <c r="B2832" s="26" t="s">
        <v>543</v>
      </c>
      <c r="C2832" s="26"/>
      <c r="D2832" s="26" t="s">
        <v>543</v>
      </c>
      <c r="E2832" s="26" t="str">
        <f>IFERROR(VLOOKUP(G2832,WholesaleExtract!B:J,9,FALSE),"")</f>
        <v/>
      </c>
      <c r="F2832" s="26" t="str">
        <f>IFERROR(VLOOKUP(G2832,WholesaleExtract!B:J,6,FALSE),"")</f>
        <v/>
      </c>
      <c r="H2832" s="47" t="str">
        <f>IFERROR(VLOOKUP(G2832,WholesaleExtract!B:L,11,FALSE),"")</f>
        <v/>
      </c>
      <c r="I2832" s="26" t="str">
        <f>IFERROR(VLOOKUP(G2832,WholesaleExtract!B:O,8,FALSE),"")</f>
        <v/>
      </c>
      <c r="J2832" s="26" t="str">
        <f>IFERROR(VLOOKUP(G2832,WholesaleExtract!B:O,14,FALSE),"")</f>
        <v/>
      </c>
      <c r="K2832" s="26" t="str">
        <f>IFERROR(VLOOKUP(G2832,WholesaleExtract!B:K,10,FALSE),"")</f>
        <v/>
      </c>
      <c r="L2832" s="47" t="str">
        <f>IFERROR(VLOOKUP(G2832,WholesaleExtract!B:L,11,FALSE),"")</f>
        <v/>
      </c>
      <c r="M2832" s="47" t="str">
        <f>IFERROR(VLOOKUP(G2832,WholesaleExtract!B:M,12,FALSE),"")</f>
        <v/>
      </c>
      <c r="R2832" s="19"/>
      <c r="S2832" s="19"/>
    </row>
    <row r="2833" spans="1:19" x14ac:dyDescent="0.35">
      <c r="A2833" s="26" t="s">
        <v>543</v>
      </c>
      <c r="B2833" s="26" t="s">
        <v>543</v>
      </c>
      <c r="C2833" s="26"/>
      <c r="D2833" s="26" t="s">
        <v>543</v>
      </c>
      <c r="E2833" s="26" t="str">
        <f>IFERROR(VLOOKUP(G2833,WholesaleExtract!B:J,9,FALSE),"")</f>
        <v/>
      </c>
      <c r="F2833" s="26" t="str">
        <f>IFERROR(VLOOKUP(G2833,WholesaleExtract!B:J,6,FALSE),"")</f>
        <v/>
      </c>
      <c r="H2833" s="47" t="str">
        <f>IFERROR(VLOOKUP(G2833,WholesaleExtract!B:L,11,FALSE),"")</f>
        <v/>
      </c>
      <c r="I2833" s="26" t="str">
        <f>IFERROR(VLOOKUP(G2833,WholesaleExtract!B:O,8,FALSE),"")</f>
        <v/>
      </c>
      <c r="J2833" s="26" t="str">
        <f>IFERROR(VLOOKUP(G2833,WholesaleExtract!B:O,14,FALSE),"")</f>
        <v/>
      </c>
      <c r="K2833" s="26" t="str">
        <f>IFERROR(VLOOKUP(G2833,WholesaleExtract!B:K,10,FALSE),"")</f>
        <v/>
      </c>
      <c r="L2833" s="47" t="str">
        <f>IFERROR(VLOOKUP(G2833,WholesaleExtract!B:L,11,FALSE),"")</f>
        <v/>
      </c>
      <c r="M2833" s="47" t="str">
        <f>IFERROR(VLOOKUP(G2833,WholesaleExtract!B:M,12,FALSE),"")</f>
        <v/>
      </c>
      <c r="R2833" s="19"/>
      <c r="S2833" s="19"/>
    </row>
    <row r="2834" spans="1:19" x14ac:dyDescent="0.35">
      <c r="A2834" s="26" t="s">
        <v>543</v>
      </c>
      <c r="B2834" s="26" t="s">
        <v>543</v>
      </c>
      <c r="C2834" s="26"/>
      <c r="D2834" s="26" t="s">
        <v>543</v>
      </c>
      <c r="E2834" s="26" t="str">
        <f>IFERROR(VLOOKUP(G2834,WholesaleExtract!B:J,9,FALSE),"")</f>
        <v/>
      </c>
      <c r="F2834" s="26" t="str">
        <f>IFERROR(VLOOKUP(G2834,WholesaleExtract!B:J,6,FALSE),"")</f>
        <v/>
      </c>
      <c r="H2834" s="47" t="str">
        <f>IFERROR(VLOOKUP(G2834,WholesaleExtract!B:L,11,FALSE),"")</f>
        <v/>
      </c>
      <c r="I2834" s="26" t="str">
        <f>IFERROR(VLOOKUP(G2834,WholesaleExtract!B:O,8,FALSE),"")</f>
        <v/>
      </c>
      <c r="J2834" s="26" t="str">
        <f>IFERROR(VLOOKUP(G2834,WholesaleExtract!B:O,14,FALSE),"")</f>
        <v/>
      </c>
      <c r="K2834" s="26" t="str">
        <f>IFERROR(VLOOKUP(G2834,WholesaleExtract!B:K,10,FALSE),"")</f>
        <v/>
      </c>
      <c r="L2834" s="47" t="str">
        <f>IFERROR(VLOOKUP(G2834,WholesaleExtract!B:L,11,FALSE),"")</f>
        <v/>
      </c>
      <c r="M2834" s="47" t="str">
        <f>IFERROR(VLOOKUP(G2834,WholesaleExtract!B:M,12,FALSE),"")</f>
        <v/>
      </c>
      <c r="R2834" s="19"/>
      <c r="S2834" s="19"/>
    </row>
    <row r="2835" spans="1:19" x14ac:dyDescent="0.35">
      <c r="A2835" s="26" t="s">
        <v>543</v>
      </c>
      <c r="B2835" s="26" t="s">
        <v>543</v>
      </c>
      <c r="C2835" s="26"/>
      <c r="D2835" s="26" t="s">
        <v>543</v>
      </c>
      <c r="E2835" s="26" t="str">
        <f>IFERROR(VLOOKUP(G2835,WholesaleExtract!B:J,9,FALSE),"")</f>
        <v/>
      </c>
      <c r="F2835" s="26" t="str">
        <f>IFERROR(VLOOKUP(G2835,WholesaleExtract!B:J,6,FALSE),"")</f>
        <v/>
      </c>
      <c r="H2835" s="47" t="str">
        <f>IFERROR(VLOOKUP(G2835,WholesaleExtract!B:L,11,FALSE),"")</f>
        <v/>
      </c>
      <c r="I2835" s="26" t="str">
        <f>IFERROR(VLOOKUP(G2835,WholesaleExtract!B:O,8,FALSE),"")</f>
        <v/>
      </c>
      <c r="J2835" s="26" t="str">
        <f>IFERROR(VLOOKUP(G2835,WholesaleExtract!B:O,14,FALSE),"")</f>
        <v/>
      </c>
      <c r="K2835" s="26" t="str">
        <f>IFERROR(VLOOKUP(G2835,WholesaleExtract!B:K,10,FALSE),"")</f>
        <v/>
      </c>
      <c r="L2835" s="47" t="str">
        <f>IFERROR(VLOOKUP(G2835,WholesaleExtract!B:L,11,FALSE),"")</f>
        <v/>
      </c>
      <c r="M2835" s="47" t="str">
        <f>IFERROR(VLOOKUP(G2835,WholesaleExtract!B:M,12,FALSE),"")</f>
        <v/>
      </c>
      <c r="R2835" s="19"/>
      <c r="S2835" s="19"/>
    </row>
    <row r="2836" spans="1:19" x14ac:dyDescent="0.35">
      <c r="A2836" s="26" t="s">
        <v>543</v>
      </c>
      <c r="B2836" s="26" t="s">
        <v>543</v>
      </c>
      <c r="C2836" s="26"/>
      <c r="D2836" s="26" t="s">
        <v>543</v>
      </c>
      <c r="E2836" s="26" t="str">
        <f>IFERROR(VLOOKUP(G2836,WholesaleExtract!B:J,9,FALSE),"")</f>
        <v/>
      </c>
      <c r="F2836" s="26" t="str">
        <f>IFERROR(VLOOKUP(G2836,WholesaleExtract!B:J,6,FALSE),"")</f>
        <v/>
      </c>
      <c r="H2836" s="47" t="str">
        <f>IFERROR(VLOOKUP(G2836,WholesaleExtract!B:L,11,FALSE),"")</f>
        <v/>
      </c>
      <c r="I2836" s="26" t="str">
        <f>IFERROR(VLOOKUP(G2836,WholesaleExtract!B:O,8,FALSE),"")</f>
        <v/>
      </c>
      <c r="J2836" s="26" t="str">
        <f>IFERROR(VLOOKUP(G2836,WholesaleExtract!B:O,14,FALSE),"")</f>
        <v/>
      </c>
      <c r="K2836" s="26" t="str">
        <f>IFERROR(VLOOKUP(G2836,WholesaleExtract!B:K,10,FALSE),"")</f>
        <v/>
      </c>
      <c r="L2836" s="47" t="str">
        <f>IFERROR(VLOOKUP(G2836,WholesaleExtract!B:L,11,FALSE),"")</f>
        <v/>
      </c>
      <c r="M2836" s="47" t="str">
        <f>IFERROR(VLOOKUP(G2836,WholesaleExtract!B:M,12,FALSE),"")</f>
        <v/>
      </c>
      <c r="R2836" s="19"/>
      <c r="S2836" s="19"/>
    </row>
    <row r="2837" spans="1:19" x14ac:dyDescent="0.35">
      <c r="A2837" s="26" t="s">
        <v>543</v>
      </c>
      <c r="B2837" s="26" t="s">
        <v>543</v>
      </c>
      <c r="C2837" s="26"/>
      <c r="D2837" s="26" t="s">
        <v>543</v>
      </c>
      <c r="E2837" s="26" t="str">
        <f>IFERROR(VLOOKUP(G2837,WholesaleExtract!B:J,9,FALSE),"")</f>
        <v/>
      </c>
      <c r="F2837" s="26" t="str">
        <f>IFERROR(VLOOKUP(G2837,WholesaleExtract!B:J,6,FALSE),"")</f>
        <v/>
      </c>
      <c r="H2837" s="47" t="str">
        <f>IFERROR(VLOOKUP(G2837,WholesaleExtract!B:L,11,FALSE),"")</f>
        <v/>
      </c>
      <c r="I2837" s="26" t="str">
        <f>IFERROR(VLOOKUP(G2837,WholesaleExtract!B:O,8,FALSE),"")</f>
        <v/>
      </c>
      <c r="J2837" s="26" t="str">
        <f>IFERROR(VLOOKUP(G2837,WholesaleExtract!B:O,14,FALSE),"")</f>
        <v/>
      </c>
      <c r="K2837" s="26" t="str">
        <f>IFERROR(VLOOKUP(G2837,WholesaleExtract!B:K,10,FALSE),"")</f>
        <v/>
      </c>
      <c r="L2837" s="47" t="str">
        <f>IFERROR(VLOOKUP(G2837,WholesaleExtract!B:L,11,FALSE),"")</f>
        <v/>
      </c>
      <c r="M2837" s="47" t="str">
        <f>IFERROR(VLOOKUP(G2837,WholesaleExtract!B:M,12,FALSE),"")</f>
        <v/>
      </c>
      <c r="R2837" s="19"/>
      <c r="S2837" s="19"/>
    </row>
    <row r="2838" spans="1:19" x14ac:dyDescent="0.35">
      <c r="A2838" s="26" t="s">
        <v>543</v>
      </c>
      <c r="B2838" s="26" t="s">
        <v>543</v>
      </c>
      <c r="C2838" s="26"/>
      <c r="D2838" s="26" t="s">
        <v>543</v>
      </c>
      <c r="E2838" s="26" t="str">
        <f>IFERROR(VLOOKUP(G2838,WholesaleExtract!B:J,9,FALSE),"")</f>
        <v/>
      </c>
      <c r="F2838" s="26" t="str">
        <f>IFERROR(VLOOKUP(G2838,WholesaleExtract!B:J,6,FALSE),"")</f>
        <v/>
      </c>
      <c r="H2838" s="47" t="str">
        <f>IFERROR(VLOOKUP(G2838,WholesaleExtract!B:L,11,FALSE),"")</f>
        <v/>
      </c>
      <c r="I2838" s="26" t="str">
        <f>IFERROR(VLOOKUP(G2838,WholesaleExtract!B:O,8,FALSE),"")</f>
        <v/>
      </c>
      <c r="J2838" s="26" t="str">
        <f>IFERROR(VLOOKUP(G2838,WholesaleExtract!B:O,14,FALSE),"")</f>
        <v/>
      </c>
      <c r="K2838" s="26" t="str">
        <f>IFERROR(VLOOKUP(G2838,WholesaleExtract!B:K,10,FALSE),"")</f>
        <v/>
      </c>
      <c r="L2838" s="47" t="str">
        <f>IFERROR(VLOOKUP(G2838,WholesaleExtract!B:L,11,FALSE),"")</f>
        <v/>
      </c>
      <c r="M2838" s="47" t="str">
        <f>IFERROR(VLOOKUP(G2838,WholesaleExtract!B:M,12,FALSE),"")</f>
        <v/>
      </c>
      <c r="R2838" s="19"/>
      <c r="S2838" s="19"/>
    </row>
    <row r="2839" spans="1:19" x14ac:dyDescent="0.35">
      <c r="A2839" s="26" t="s">
        <v>543</v>
      </c>
      <c r="B2839" s="26" t="s">
        <v>543</v>
      </c>
      <c r="C2839" s="26"/>
      <c r="D2839" s="26" t="s">
        <v>543</v>
      </c>
      <c r="E2839" s="26" t="str">
        <f>IFERROR(VLOOKUP(G2839,WholesaleExtract!B:J,9,FALSE),"")</f>
        <v/>
      </c>
      <c r="F2839" s="26" t="str">
        <f>IFERROR(VLOOKUP(G2839,WholesaleExtract!B:J,6,FALSE),"")</f>
        <v/>
      </c>
      <c r="H2839" s="47" t="str">
        <f>IFERROR(VLOOKUP(G2839,WholesaleExtract!B:L,11,FALSE),"")</f>
        <v/>
      </c>
      <c r="I2839" s="26" t="str">
        <f>IFERROR(VLOOKUP(G2839,WholesaleExtract!B:O,8,FALSE),"")</f>
        <v/>
      </c>
      <c r="J2839" s="26" t="str">
        <f>IFERROR(VLOOKUP(G2839,WholesaleExtract!B:O,14,FALSE),"")</f>
        <v/>
      </c>
      <c r="K2839" s="26" t="str">
        <f>IFERROR(VLOOKUP(G2839,WholesaleExtract!B:K,10,FALSE),"")</f>
        <v/>
      </c>
      <c r="L2839" s="47" t="str">
        <f>IFERROR(VLOOKUP(G2839,WholesaleExtract!B:L,11,FALSE),"")</f>
        <v/>
      </c>
      <c r="M2839" s="47" t="str">
        <f>IFERROR(VLOOKUP(G2839,WholesaleExtract!B:M,12,FALSE),"")</f>
        <v/>
      </c>
      <c r="R2839" s="19"/>
      <c r="S2839" s="19"/>
    </row>
    <row r="2840" spans="1:19" x14ac:dyDescent="0.35">
      <c r="A2840" s="26" t="s">
        <v>543</v>
      </c>
      <c r="B2840" s="26" t="s">
        <v>543</v>
      </c>
      <c r="C2840" s="26"/>
      <c r="D2840" s="26" t="s">
        <v>543</v>
      </c>
      <c r="E2840" s="26" t="str">
        <f>IFERROR(VLOOKUP(G2840,WholesaleExtract!B:J,9,FALSE),"")</f>
        <v/>
      </c>
      <c r="F2840" s="26" t="str">
        <f>IFERROR(VLOOKUP(G2840,WholesaleExtract!B:J,6,FALSE),"")</f>
        <v/>
      </c>
      <c r="H2840" s="47" t="str">
        <f>IFERROR(VLOOKUP(G2840,WholesaleExtract!B:L,11,FALSE),"")</f>
        <v/>
      </c>
      <c r="I2840" s="26" t="str">
        <f>IFERROR(VLOOKUP(G2840,WholesaleExtract!B:O,8,FALSE),"")</f>
        <v/>
      </c>
      <c r="J2840" s="26" t="str">
        <f>IFERROR(VLOOKUP(G2840,WholesaleExtract!B:O,14,FALSE),"")</f>
        <v/>
      </c>
      <c r="K2840" s="26" t="str">
        <f>IFERROR(VLOOKUP(G2840,WholesaleExtract!B:K,10,FALSE),"")</f>
        <v/>
      </c>
      <c r="L2840" s="47" t="str">
        <f>IFERROR(VLOOKUP(G2840,WholesaleExtract!B:L,11,FALSE),"")</f>
        <v/>
      </c>
      <c r="M2840" s="47" t="str">
        <f>IFERROR(VLOOKUP(G2840,WholesaleExtract!B:M,12,FALSE),"")</f>
        <v/>
      </c>
      <c r="R2840" s="19"/>
      <c r="S2840" s="19"/>
    </row>
    <row r="2841" spans="1:19" x14ac:dyDescent="0.35">
      <c r="A2841" s="26" t="s">
        <v>543</v>
      </c>
      <c r="B2841" s="26" t="s">
        <v>543</v>
      </c>
      <c r="C2841" s="26"/>
      <c r="D2841" s="26" t="s">
        <v>543</v>
      </c>
      <c r="E2841" s="26" t="str">
        <f>IFERROR(VLOOKUP(G2841,WholesaleExtract!B:J,9,FALSE),"")</f>
        <v/>
      </c>
      <c r="F2841" s="26" t="str">
        <f>IFERROR(VLOOKUP(G2841,WholesaleExtract!B:J,6,FALSE),"")</f>
        <v/>
      </c>
      <c r="H2841" s="47" t="str">
        <f>IFERROR(VLOOKUP(G2841,WholesaleExtract!B:L,11,FALSE),"")</f>
        <v/>
      </c>
      <c r="I2841" s="26" t="str">
        <f>IFERROR(VLOOKUP(G2841,WholesaleExtract!B:O,8,FALSE),"")</f>
        <v/>
      </c>
      <c r="J2841" s="26" t="str">
        <f>IFERROR(VLOOKUP(G2841,WholesaleExtract!B:O,14,FALSE),"")</f>
        <v/>
      </c>
      <c r="K2841" s="26" t="str">
        <f>IFERROR(VLOOKUP(G2841,WholesaleExtract!B:K,10,FALSE),"")</f>
        <v/>
      </c>
      <c r="L2841" s="47" t="str">
        <f>IFERROR(VLOOKUP(G2841,WholesaleExtract!B:L,11,FALSE),"")</f>
        <v/>
      </c>
      <c r="M2841" s="47" t="str">
        <f>IFERROR(VLOOKUP(G2841,WholesaleExtract!B:M,12,FALSE),"")</f>
        <v/>
      </c>
      <c r="R2841" s="19"/>
      <c r="S2841" s="19"/>
    </row>
    <row r="2842" spans="1:19" x14ac:dyDescent="0.35">
      <c r="A2842" s="26" t="s">
        <v>543</v>
      </c>
      <c r="B2842" s="26" t="s">
        <v>543</v>
      </c>
      <c r="C2842" s="26"/>
      <c r="D2842" s="26" t="s">
        <v>543</v>
      </c>
      <c r="E2842" s="26" t="str">
        <f>IFERROR(VLOOKUP(G2842,WholesaleExtract!B:J,9,FALSE),"")</f>
        <v/>
      </c>
      <c r="F2842" s="26" t="str">
        <f>IFERROR(VLOOKUP(G2842,WholesaleExtract!B:J,6,FALSE),"")</f>
        <v/>
      </c>
      <c r="H2842" s="47" t="str">
        <f>IFERROR(VLOOKUP(G2842,WholesaleExtract!B:L,11,FALSE),"")</f>
        <v/>
      </c>
      <c r="I2842" s="26" t="str">
        <f>IFERROR(VLOOKUP(G2842,WholesaleExtract!B:O,8,FALSE),"")</f>
        <v/>
      </c>
      <c r="J2842" s="26" t="str">
        <f>IFERROR(VLOOKUP(G2842,WholesaleExtract!B:O,14,FALSE),"")</f>
        <v/>
      </c>
      <c r="K2842" s="26" t="str">
        <f>IFERROR(VLOOKUP(G2842,WholesaleExtract!B:K,10,FALSE),"")</f>
        <v/>
      </c>
      <c r="L2842" s="47" t="str">
        <f>IFERROR(VLOOKUP(G2842,WholesaleExtract!B:L,11,FALSE),"")</f>
        <v/>
      </c>
      <c r="M2842" s="47" t="str">
        <f>IFERROR(VLOOKUP(G2842,WholesaleExtract!B:M,12,FALSE),"")</f>
        <v/>
      </c>
      <c r="R2842" s="19"/>
      <c r="S2842" s="19"/>
    </row>
    <row r="2843" spans="1:19" x14ac:dyDescent="0.35">
      <c r="A2843" s="26" t="s">
        <v>543</v>
      </c>
      <c r="B2843" s="26" t="s">
        <v>543</v>
      </c>
      <c r="C2843" s="26"/>
      <c r="D2843" s="26" t="s">
        <v>543</v>
      </c>
      <c r="E2843" s="26" t="str">
        <f>IFERROR(VLOOKUP(G2843,WholesaleExtract!B:J,9,FALSE),"")</f>
        <v/>
      </c>
      <c r="F2843" s="26" t="str">
        <f>IFERROR(VLOOKUP(G2843,WholesaleExtract!B:J,6,FALSE),"")</f>
        <v/>
      </c>
      <c r="H2843" s="47" t="str">
        <f>IFERROR(VLOOKUP(G2843,WholesaleExtract!B:L,11,FALSE),"")</f>
        <v/>
      </c>
      <c r="I2843" s="26" t="str">
        <f>IFERROR(VLOOKUP(G2843,WholesaleExtract!B:O,8,FALSE),"")</f>
        <v/>
      </c>
      <c r="J2843" s="26" t="str">
        <f>IFERROR(VLOOKUP(G2843,WholesaleExtract!B:O,14,FALSE),"")</f>
        <v/>
      </c>
      <c r="K2843" s="26" t="str">
        <f>IFERROR(VLOOKUP(G2843,WholesaleExtract!B:K,10,FALSE),"")</f>
        <v/>
      </c>
      <c r="L2843" s="47" t="str">
        <f>IFERROR(VLOOKUP(G2843,WholesaleExtract!B:L,11,FALSE),"")</f>
        <v/>
      </c>
      <c r="M2843" s="47" t="str">
        <f>IFERROR(VLOOKUP(G2843,WholesaleExtract!B:M,12,FALSE),"")</f>
        <v/>
      </c>
      <c r="R2843" s="19"/>
      <c r="S2843" s="19"/>
    </row>
    <row r="2844" spans="1:19" x14ac:dyDescent="0.35">
      <c r="A2844" s="26" t="s">
        <v>543</v>
      </c>
      <c r="B2844" s="26" t="s">
        <v>543</v>
      </c>
      <c r="C2844" s="26"/>
      <c r="D2844" s="26" t="s">
        <v>543</v>
      </c>
      <c r="E2844" s="26" t="str">
        <f>IFERROR(VLOOKUP(G2844,WholesaleExtract!B:J,9,FALSE),"")</f>
        <v/>
      </c>
      <c r="F2844" s="26" t="str">
        <f>IFERROR(VLOOKUP(G2844,WholesaleExtract!B:J,6,FALSE),"")</f>
        <v/>
      </c>
      <c r="H2844" s="47" t="str">
        <f>IFERROR(VLOOKUP(G2844,WholesaleExtract!B:L,11,FALSE),"")</f>
        <v/>
      </c>
      <c r="I2844" s="26" t="str">
        <f>IFERROR(VLOOKUP(G2844,WholesaleExtract!B:O,8,FALSE),"")</f>
        <v/>
      </c>
      <c r="J2844" s="26" t="str">
        <f>IFERROR(VLOOKUP(G2844,WholesaleExtract!B:O,14,FALSE),"")</f>
        <v/>
      </c>
      <c r="K2844" s="26" t="str">
        <f>IFERROR(VLOOKUP(G2844,WholesaleExtract!B:K,10,FALSE),"")</f>
        <v/>
      </c>
      <c r="L2844" s="47" t="str">
        <f>IFERROR(VLOOKUP(G2844,WholesaleExtract!B:L,11,FALSE),"")</f>
        <v/>
      </c>
      <c r="M2844" s="47" t="str">
        <f>IFERROR(VLOOKUP(G2844,WholesaleExtract!B:M,12,FALSE),"")</f>
        <v/>
      </c>
      <c r="R2844" s="19"/>
      <c r="S2844" s="19"/>
    </row>
    <row r="2845" spans="1:19" x14ac:dyDescent="0.35">
      <c r="A2845" s="26" t="s">
        <v>543</v>
      </c>
      <c r="B2845" s="26" t="s">
        <v>543</v>
      </c>
      <c r="C2845" s="26"/>
      <c r="D2845" s="26" t="s">
        <v>543</v>
      </c>
      <c r="E2845" s="26" t="str">
        <f>IFERROR(VLOOKUP(G2845,WholesaleExtract!B:J,9,FALSE),"")</f>
        <v/>
      </c>
      <c r="F2845" s="26" t="str">
        <f>IFERROR(VLOOKUP(G2845,WholesaleExtract!B:J,6,FALSE),"")</f>
        <v/>
      </c>
      <c r="H2845" s="47" t="str">
        <f>IFERROR(VLOOKUP(G2845,WholesaleExtract!B:L,11,FALSE),"")</f>
        <v/>
      </c>
      <c r="I2845" s="26" t="str">
        <f>IFERROR(VLOOKUP(G2845,WholesaleExtract!B:O,8,FALSE),"")</f>
        <v/>
      </c>
      <c r="J2845" s="26" t="str">
        <f>IFERROR(VLOOKUP(G2845,WholesaleExtract!B:O,14,FALSE),"")</f>
        <v/>
      </c>
      <c r="K2845" s="26" t="str">
        <f>IFERROR(VLOOKUP(G2845,WholesaleExtract!B:K,10,FALSE),"")</f>
        <v/>
      </c>
      <c r="L2845" s="47" t="str">
        <f>IFERROR(VLOOKUP(G2845,WholesaleExtract!B:L,11,FALSE),"")</f>
        <v/>
      </c>
      <c r="M2845" s="47" t="str">
        <f>IFERROR(VLOOKUP(G2845,WholesaleExtract!B:M,12,FALSE),"")</f>
        <v/>
      </c>
      <c r="R2845" s="19"/>
      <c r="S2845" s="19"/>
    </row>
    <row r="2846" spans="1:19" x14ac:dyDescent="0.35">
      <c r="A2846" s="26" t="s">
        <v>543</v>
      </c>
      <c r="B2846" s="26" t="s">
        <v>543</v>
      </c>
      <c r="C2846" s="26"/>
      <c r="D2846" s="26" t="s">
        <v>543</v>
      </c>
      <c r="E2846" s="26" t="str">
        <f>IFERROR(VLOOKUP(G2846,WholesaleExtract!B:J,9,FALSE),"")</f>
        <v/>
      </c>
      <c r="F2846" s="26" t="str">
        <f>IFERROR(VLOOKUP(G2846,WholesaleExtract!B:J,6,FALSE),"")</f>
        <v/>
      </c>
      <c r="H2846" s="47" t="str">
        <f>IFERROR(VLOOKUP(G2846,WholesaleExtract!B:L,11,FALSE),"")</f>
        <v/>
      </c>
      <c r="I2846" s="26" t="str">
        <f>IFERROR(VLOOKUP(G2846,WholesaleExtract!B:O,8,FALSE),"")</f>
        <v/>
      </c>
      <c r="J2846" s="26" t="str">
        <f>IFERROR(VLOOKUP(G2846,WholesaleExtract!B:O,14,FALSE),"")</f>
        <v/>
      </c>
      <c r="K2846" s="26" t="str">
        <f>IFERROR(VLOOKUP(G2846,WholesaleExtract!B:K,10,FALSE),"")</f>
        <v/>
      </c>
      <c r="L2846" s="47" t="str">
        <f>IFERROR(VLOOKUP(G2846,WholesaleExtract!B:L,11,FALSE),"")</f>
        <v/>
      </c>
      <c r="M2846" s="47" t="str">
        <f>IFERROR(VLOOKUP(G2846,WholesaleExtract!B:M,12,FALSE),"")</f>
        <v/>
      </c>
      <c r="R2846" s="19"/>
      <c r="S2846" s="19"/>
    </row>
    <row r="2847" spans="1:19" x14ac:dyDescent="0.35">
      <c r="A2847" s="26" t="s">
        <v>543</v>
      </c>
      <c r="B2847" s="26" t="s">
        <v>543</v>
      </c>
      <c r="C2847" s="26"/>
      <c r="D2847" s="26" t="s">
        <v>543</v>
      </c>
      <c r="E2847" s="26" t="str">
        <f>IFERROR(VLOOKUP(G2847,WholesaleExtract!B:J,9,FALSE),"")</f>
        <v/>
      </c>
      <c r="F2847" s="26" t="str">
        <f>IFERROR(VLOOKUP(G2847,WholesaleExtract!B:J,6,FALSE),"")</f>
        <v/>
      </c>
      <c r="H2847" s="47" t="str">
        <f>IFERROR(VLOOKUP(G2847,WholesaleExtract!B:L,11,FALSE),"")</f>
        <v/>
      </c>
      <c r="I2847" s="26" t="str">
        <f>IFERROR(VLOOKUP(G2847,WholesaleExtract!B:O,8,FALSE),"")</f>
        <v/>
      </c>
      <c r="J2847" s="26" t="str">
        <f>IFERROR(VLOOKUP(G2847,WholesaleExtract!B:O,14,FALSE),"")</f>
        <v/>
      </c>
      <c r="K2847" s="26" t="str">
        <f>IFERROR(VLOOKUP(G2847,WholesaleExtract!B:K,10,FALSE),"")</f>
        <v/>
      </c>
      <c r="L2847" s="47" t="str">
        <f>IFERROR(VLOOKUP(G2847,WholesaleExtract!B:L,11,FALSE),"")</f>
        <v/>
      </c>
      <c r="M2847" s="47" t="str">
        <f>IFERROR(VLOOKUP(G2847,WholesaleExtract!B:M,12,FALSE),"")</f>
        <v/>
      </c>
      <c r="R2847" s="19"/>
      <c r="S2847" s="19"/>
    </row>
    <row r="2848" spans="1:19" x14ac:dyDescent="0.35">
      <c r="A2848" s="26" t="s">
        <v>543</v>
      </c>
      <c r="B2848" s="26" t="s">
        <v>543</v>
      </c>
      <c r="C2848" s="26"/>
      <c r="D2848" s="26" t="s">
        <v>543</v>
      </c>
      <c r="E2848" s="26" t="str">
        <f>IFERROR(VLOOKUP(G2848,WholesaleExtract!B:J,9,FALSE),"")</f>
        <v/>
      </c>
      <c r="F2848" s="26" t="str">
        <f>IFERROR(VLOOKUP(G2848,WholesaleExtract!B:J,6,FALSE),"")</f>
        <v/>
      </c>
      <c r="H2848" s="47" t="str">
        <f>IFERROR(VLOOKUP(G2848,WholesaleExtract!B:L,11,FALSE),"")</f>
        <v/>
      </c>
      <c r="I2848" s="26" t="str">
        <f>IFERROR(VLOOKUP(G2848,WholesaleExtract!B:O,8,FALSE),"")</f>
        <v/>
      </c>
      <c r="J2848" s="26" t="str">
        <f>IFERROR(VLOOKUP(G2848,WholesaleExtract!B:O,14,FALSE),"")</f>
        <v/>
      </c>
      <c r="K2848" s="26" t="str">
        <f>IFERROR(VLOOKUP(G2848,WholesaleExtract!B:K,10,FALSE),"")</f>
        <v/>
      </c>
      <c r="L2848" s="47" t="str">
        <f>IFERROR(VLOOKUP(G2848,WholesaleExtract!B:L,11,FALSE),"")</f>
        <v/>
      </c>
      <c r="M2848" s="47" t="str">
        <f>IFERROR(VLOOKUP(G2848,WholesaleExtract!B:M,12,FALSE),"")</f>
        <v/>
      </c>
      <c r="R2848" s="19"/>
      <c r="S2848" s="19"/>
    </row>
    <row r="2849" spans="1:19" x14ac:dyDescent="0.35">
      <c r="A2849" s="26" t="s">
        <v>543</v>
      </c>
      <c r="B2849" s="26" t="s">
        <v>543</v>
      </c>
      <c r="C2849" s="26"/>
      <c r="D2849" s="26" t="s">
        <v>543</v>
      </c>
      <c r="E2849" s="26" t="str">
        <f>IFERROR(VLOOKUP(G2849,WholesaleExtract!B:J,9,FALSE),"")</f>
        <v/>
      </c>
      <c r="F2849" s="26" t="str">
        <f>IFERROR(VLOOKUP(G2849,WholesaleExtract!B:J,6,FALSE),"")</f>
        <v/>
      </c>
      <c r="H2849" s="47" t="str">
        <f>IFERROR(VLOOKUP(G2849,WholesaleExtract!B:L,11,FALSE),"")</f>
        <v/>
      </c>
      <c r="I2849" s="26" t="str">
        <f>IFERROR(VLOOKUP(G2849,WholesaleExtract!B:O,8,FALSE),"")</f>
        <v/>
      </c>
      <c r="J2849" s="26" t="str">
        <f>IFERROR(VLOOKUP(G2849,WholesaleExtract!B:O,14,FALSE),"")</f>
        <v/>
      </c>
      <c r="K2849" s="26" t="str">
        <f>IFERROR(VLOOKUP(G2849,WholesaleExtract!B:K,10,FALSE),"")</f>
        <v/>
      </c>
      <c r="L2849" s="47" t="str">
        <f>IFERROR(VLOOKUP(G2849,WholesaleExtract!B:L,11,FALSE),"")</f>
        <v/>
      </c>
      <c r="M2849" s="47" t="str">
        <f>IFERROR(VLOOKUP(G2849,WholesaleExtract!B:M,12,FALSE),"")</f>
        <v/>
      </c>
      <c r="R2849" s="19"/>
      <c r="S2849" s="19"/>
    </row>
    <row r="2850" spans="1:19" x14ac:dyDescent="0.35">
      <c r="A2850" s="26" t="s">
        <v>543</v>
      </c>
      <c r="B2850" s="26" t="s">
        <v>543</v>
      </c>
      <c r="C2850" s="26"/>
      <c r="D2850" s="26" t="s">
        <v>543</v>
      </c>
      <c r="E2850" s="26" t="str">
        <f>IFERROR(VLOOKUP(G2850,WholesaleExtract!B:J,9,FALSE),"")</f>
        <v/>
      </c>
      <c r="F2850" s="26" t="str">
        <f>IFERROR(VLOOKUP(G2850,WholesaleExtract!B:J,6,FALSE),"")</f>
        <v/>
      </c>
      <c r="H2850" s="47" t="str">
        <f>IFERROR(VLOOKUP(G2850,WholesaleExtract!B:L,11,FALSE),"")</f>
        <v/>
      </c>
      <c r="I2850" s="26" t="str">
        <f>IFERROR(VLOOKUP(G2850,WholesaleExtract!B:O,8,FALSE),"")</f>
        <v/>
      </c>
      <c r="J2850" s="26" t="str">
        <f>IFERROR(VLOOKUP(G2850,WholesaleExtract!B:O,14,FALSE),"")</f>
        <v/>
      </c>
      <c r="K2850" s="26" t="str">
        <f>IFERROR(VLOOKUP(G2850,WholesaleExtract!B:K,10,FALSE),"")</f>
        <v/>
      </c>
      <c r="L2850" s="47" t="str">
        <f>IFERROR(VLOOKUP(G2850,WholesaleExtract!B:L,11,FALSE),"")</f>
        <v/>
      </c>
      <c r="M2850" s="47" t="str">
        <f>IFERROR(VLOOKUP(G2850,WholesaleExtract!B:M,12,FALSE),"")</f>
        <v/>
      </c>
      <c r="R2850" s="19"/>
      <c r="S2850" s="19"/>
    </row>
    <row r="2851" spans="1:19" x14ac:dyDescent="0.35">
      <c r="A2851" s="26" t="s">
        <v>543</v>
      </c>
      <c r="B2851" s="26" t="s">
        <v>543</v>
      </c>
      <c r="C2851" s="26"/>
      <c r="D2851" s="26" t="s">
        <v>543</v>
      </c>
      <c r="E2851" s="26" t="str">
        <f>IFERROR(VLOOKUP(G2851,WholesaleExtract!B:J,9,FALSE),"")</f>
        <v/>
      </c>
      <c r="F2851" s="26" t="str">
        <f>IFERROR(VLOOKUP(G2851,WholesaleExtract!B:J,6,FALSE),"")</f>
        <v/>
      </c>
      <c r="H2851" s="47" t="str">
        <f>IFERROR(VLOOKUP(G2851,WholesaleExtract!B:L,11,FALSE),"")</f>
        <v/>
      </c>
      <c r="I2851" s="26" t="str">
        <f>IFERROR(VLOOKUP(G2851,WholesaleExtract!B:O,8,FALSE),"")</f>
        <v/>
      </c>
      <c r="J2851" s="26" t="str">
        <f>IFERROR(VLOOKUP(G2851,WholesaleExtract!B:O,14,FALSE),"")</f>
        <v/>
      </c>
      <c r="K2851" s="26" t="str">
        <f>IFERROR(VLOOKUP(G2851,WholesaleExtract!B:K,10,FALSE),"")</f>
        <v/>
      </c>
      <c r="L2851" s="47" t="str">
        <f>IFERROR(VLOOKUP(G2851,WholesaleExtract!B:L,11,FALSE),"")</f>
        <v/>
      </c>
      <c r="M2851" s="47" t="str">
        <f>IFERROR(VLOOKUP(G2851,WholesaleExtract!B:M,12,FALSE),"")</f>
        <v/>
      </c>
      <c r="R2851" s="19"/>
      <c r="S2851" s="19"/>
    </row>
    <row r="2852" spans="1:19" x14ac:dyDescent="0.35">
      <c r="A2852" s="26" t="s">
        <v>543</v>
      </c>
      <c r="B2852" s="26" t="s">
        <v>543</v>
      </c>
      <c r="C2852" s="26"/>
      <c r="D2852" s="26" t="s">
        <v>543</v>
      </c>
      <c r="E2852" s="26" t="str">
        <f>IFERROR(VLOOKUP(G2852,WholesaleExtract!B:J,9,FALSE),"")</f>
        <v/>
      </c>
      <c r="F2852" s="26" t="str">
        <f>IFERROR(VLOOKUP(G2852,WholesaleExtract!B:J,6,FALSE),"")</f>
        <v/>
      </c>
      <c r="H2852" s="47" t="str">
        <f>IFERROR(VLOOKUP(G2852,WholesaleExtract!B:L,11,FALSE),"")</f>
        <v/>
      </c>
      <c r="I2852" s="26" t="str">
        <f>IFERROR(VLOOKUP(G2852,WholesaleExtract!B:O,8,FALSE),"")</f>
        <v/>
      </c>
      <c r="J2852" s="26" t="str">
        <f>IFERROR(VLOOKUP(G2852,WholesaleExtract!B:O,14,FALSE),"")</f>
        <v/>
      </c>
      <c r="K2852" s="26" t="str">
        <f>IFERROR(VLOOKUP(G2852,WholesaleExtract!B:K,10,FALSE),"")</f>
        <v/>
      </c>
      <c r="L2852" s="47" t="str">
        <f>IFERROR(VLOOKUP(G2852,WholesaleExtract!B:L,11,FALSE),"")</f>
        <v/>
      </c>
      <c r="M2852" s="47" t="str">
        <f>IFERROR(VLOOKUP(G2852,WholesaleExtract!B:M,12,FALSE),"")</f>
        <v/>
      </c>
      <c r="R2852" s="19"/>
      <c r="S2852" s="19"/>
    </row>
    <row r="2853" spans="1:19" x14ac:dyDescent="0.35">
      <c r="A2853" s="26" t="s">
        <v>543</v>
      </c>
      <c r="B2853" s="26" t="s">
        <v>543</v>
      </c>
      <c r="C2853" s="26"/>
      <c r="D2853" s="26" t="s">
        <v>543</v>
      </c>
      <c r="E2853" s="26" t="str">
        <f>IFERROR(VLOOKUP(G2853,WholesaleExtract!B:J,9,FALSE),"")</f>
        <v/>
      </c>
      <c r="F2853" s="26" t="str">
        <f>IFERROR(VLOOKUP(G2853,WholesaleExtract!B:J,6,FALSE),"")</f>
        <v/>
      </c>
      <c r="H2853" s="47" t="str">
        <f>IFERROR(VLOOKUP(G2853,WholesaleExtract!B:L,11,FALSE),"")</f>
        <v/>
      </c>
      <c r="I2853" s="26" t="str">
        <f>IFERROR(VLOOKUP(G2853,WholesaleExtract!B:O,8,FALSE),"")</f>
        <v/>
      </c>
      <c r="J2853" s="26" t="str">
        <f>IFERROR(VLOOKUP(G2853,WholesaleExtract!B:O,14,FALSE),"")</f>
        <v/>
      </c>
      <c r="K2853" s="26" t="str">
        <f>IFERROR(VLOOKUP(G2853,WholesaleExtract!B:K,10,FALSE),"")</f>
        <v/>
      </c>
      <c r="L2853" s="47" t="str">
        <f>IFERROR(VLOOKUP(G2853,WholesaleExtract!B:L,11,FALSE),"")</f>
        <v/>
      </c>
      <c r="M2853" s="47" t="str">
        <f>IFERROR(VLOOKUP(G2853,WholesaleExtract!B:M,12,FALSE),"")</f>
        <v/>
      </c>
      <c r="R2853" s="19"/>
      <c r="S2853" s="19"/>
    </row>
    <row r="2854" spans="1:19" x14ac:dyDescent="0.35">
      <c r="A2854" s="26" t="s">
        <v>543</v>
      </c>
      <c r="B2854" s="26" t="s">
        <v>543</v>
      </c>
      <c r="C2854" s="26"/>
      <c r="D2854" s="26" t="s">
        <v>543</v>
      </c>
      <c r="E2854" s="26" t="str">
        <f>IFERROR(VLOOKUP(G2854,WholesaleExtract!B:J,9,FALSE),"")</f>
        <v/>
      </c>
      <c r="F2854" s="26" t="str">
        <f>IFERROR(VLOOKUP(G2854,WholesaleExtract!B:J,6,FALSE),"")</f>
        <v/>
      </c>
      <c r="H2854" s="47" t="str">
        <f>IFERROR(VLOOKUP(G2854,WholesaleExtract!B:L,11,FALSE),"")</f>
        <v/>
      </c>
      <c r="I2854" s="26" t="str">
        <f>IFERROR(VLOOKUP(G2854,WholesaleExtract!B:O,8,FALSE),"")</f>
        <v/>
      </c>
      <c r="J2854" s="26" t="str">
        <f>IFERROR(VLOOKUP(G2854,WholesaleExtract!B:O,14,FALSE),"")</f>
        <v/>
      </c>
      <c r="K2854" s="26" t="str">
        <f>IFERROR(VLOOKUP(G2854,WholesaleExtract!B:K,10,FALSE),"")</f>
        <v/>
      </c>
      <c r="L2854" s="47" t="str">
        <f>IFERROR(VLOOKUP(G2854,WholesaleExtract!B:L,11,FALSE),"")</f>
        <v/>
      </c>
      <c r="M2854" s="47" t="str">
        <f>IFERROR(VLOOKUP(G2854,WholesaleExtract!B:M,12,FALSE),"")</f>
        <v/>
      </c>
      <c r="R2854" s="19"/>
      <c r="S2854" s="19"/>
    </row>
    <row r="2855" spans="1:19" x14ac:dyDescent="0.35">
      <c r="A2855" s="26" t="s">
        <v>543</v>
      </c>
      <c r="B2855" s="26" t="s">
        <v>543</v>
      </c>
      <c r="C2855" s="26"/>
      <c r="D2855" s="26" t="s">
        <v>543</v>
      </c>
      <c r="E2855" s="26" t="str">
        <f>IFERROR(VLOOKUP(G2855,WholesaleExtract!B:J,9,FALSE),"")</f>
        <v/>
      </c>
      <c r="F2855" s="26" t="str">
        <f>IFERROR(VLOOKUP(G2855,WholesaleExtract!B:J,6,FALSE),"")</f>
        <v/>
      </c>
      <c r="H2855" s="47" t="str">
        <f>IFERROR(VLOOKUP(G2855,WholesaleExtract!B:L,11,FALSE),"")</f>
        <v/>
      </c>
      <c r="I2855" s="26" t="str">
        <f>IFERROR(VLOOKUP(G2855,WholesaleExtract!B:O,8,FALSE),"")</f>
        <v/>
      </c>
      <c r="J2855" s="26" t="str">
        <f>IFERROR(VLOOKUP(G2855,WholesaleExtract!B:O,14,FALSE),"")</f>
        <v/>
      </c>
      <c r="K2855" s="26" t="str">
        <f>IFERROR(VLOOKUP(G2855,WholesaleExtract!B:K,10,FALSE),"")</f>
        <v/>
      </c>
      <c r="L2855" s="47" t="str">
        <f>IFERROR(VLOOKUP(G2855,WholesaleExtract!B:L,11,FALSE),"")</f>
        <v/>
      </c>
      <c r="M2855" s="47" t="str">
        <f>IFERROR(VLOOKUP(G2855,WholesaleExtract!B:M,12,FALSE),"")</f>
        <v/>
      </c>
      <c r="R2855" s="19"/>
      <c r="S2855" s="19"/>
    </row>
    <row r="2856" spans="1:19" x14ac:dyDescent="0.35">
      <c r="A2856" s="26" t="s">
        <v>543</v>
      </c>
      <c r="B2856" s="26" t="s">
        <v>543</v>
      </c>
      <c r="C2856" s="26"/>
      <c r="D2856" s="26" t="s">
        <v>543</v>
      </c>
      <c r="E2856" s="26" t="str">
        <f>IFERROR(VLOOKUP(G2856,WholesaleExtract!B:J,9,FALSE),"")</f>
        <v/>
      </c>
      <c r="F2856" s="26" t="str">
        <f>IFERROR(VLOOKUP(G2856,WholesaleExtract!B:J,6,FALSE),"")</f>
        <v/>
      </c>
      <c r="H2856" s="47" t="str">
        <f>IFERROR(VLOOKUP(G2856,WholesaleExtract!B:L,11,FALSE),"")</f>
        <v/>
      </c>
      <c r="I2856" s="26" t="str">
        <f>IFERROR(VLOOKUP(G2856,WholesaleExtract!B:O,8,FALSE),"")</f>
        <v/>
      </c>
      <c r="J2856" s="26" t="str">
        <f>IFERROR(VLOOKUP(G2856,WholesaleExtract!B:O,14,FALSE),"")</f>
        <v/>
      </c>
      <c r="K2856" s="26" t="str">
        <f>IFERROR(VLOOKUP(G2856,WholesaleExtract!B:K,10,FALSE),"")</f>
        <v/>
      </c>
      <c r="L2856" s="47" t="str">
        <f>IFERROR(VLOOKUP(G2856,WholesaleExtract!B:L,11,FALSE),"")</f>
        <v/>
      </c>
      <c r="M2856" s="47" t="str">
        <f>IFERROR(VLOOKUP(G2856,WholesaleExtract!B:M,12,FALSE),"")</f>
        <v/>
      </c>
      <c r="R2856" s="19"/>
      <c r="S2856" s="19"/>
    </row>
    <row r="2857" spans="1:19" x14ac:dyDescent="0.35">
      <c r="A2857" s="26" t="s">
        <v>543</v>
      </c>
      <c r="B2857" s="26" t="s">
        <v>543</v>
      </c>
      <c r="C2857" s="26"/>
      <c r="D2857" s="26" t="s">
        <v>543</v>
      </c>
      <c r="E2857" s="26" t="str">
        <f>IFERROR(VLOOKUP(G2857,WholesaleExtract!B:J,9,FALSE),"")</f>
        <v/>
      </c>
      <c r="F2857" s="26" t="str">
        <f>IFERROR(VLOOKUP(G2857,WholesaleExtract!B:J,6,FALSE),"")</f>
        <v/>
      </c>
      <c r="H2857" s="47" t="str">
        <f>IFERROR(VLOOKUP(G2857,WholesaleExtract!B:L,11,FALSE),"")</f>
        <v/>
      </c>
      <c r="I2857" s="26" t="str">
        <f>IFERROR(VLOOKUP(G2857,WholesaleExtract!B:O,8,FALSE),"")</f>
        <v/>
      </c>
      <c r="J2857" s="26" t="str">
        <f>IFERROR(VLOOKUP(G2857,WholesaleExtract!B:O,14,FALSE),"")</f>
        <v/>
      </c>
      <c r="K2857" s="26" t="str">
        <f>IFERROR(VLOOKUP(G2857,WholesaleExtract!B:K,10,FALSE),"")</f>
        <v/>
      </c>
      <c r="L2857" s="47" t="str">
        <f>IFERROR(VLOOKUP(G2857,WholesaleExtract!B:L,11,FALSE),"")</f>
        <v/>
      </c>
      <c r="M2857" s="47" t="str">
        <f>IFERROR(VLOOKUP(G2857,WholesaleExtract!B:M,12,FALSE),"")</f>
        <v/>
      </c>
      <c r="R2857" s="19"/>
      <c r="S2857" s="19"/>
    </row>
    <row r="2858" spans="1:19" x14ac:dyDescent="0.35">
      <c r="A2858" s="26" t="s">
        <v>543</v>
      </c>
      <c r="B2858" s="26" t="s">
        <v>543</v>
      </c>
      <c r="C2858" s="26"/>
      <c r="D2858" s="26" t="s">
        <v>543</v>
      </c>
      <c r="E2858" s="26" t="str">
        <f>IFERROR(VLOOKUP(G2858,WholesaleExtract!B:J,9,FALSE),"")</f>
        <v/>
      </c>
      <c r="F2858" s="26" t="str">
        <f>IFERROR(VLOOKUP(G2858,WholesaleExtract!B:J,6,FALSE),"")</f>
        <v/>
      </c>
      <c r="H2858" s="47" t="str">
        <f>IFERROR(VLOOKUP(G2858,WholesaleExtract!B:L,11,FALSE),"")</f>
        <v/>
      </c>
      <c r="I2858" s="26" t="str">
        <f>IFERROR(VLOOKUP(G2858,WholesaleExtract!B:O,8,FALSE),"")</f>
        <v/>
      </c>
      <c r="J2858" s="26" t="str">
        <f>IFERROR(VLOOKUP(G2858,WholesaleExtract!B:O,14,FALSE),"")</f>
        <v/>
      </c>
      <c r="K2858" s="26" t="str">
        <f>IFERROR(VLOOKUP(G2858,WholesaleExtract!B:K,10,FALSE),"")</f>
        <v/>
      </c>
      <c r="L2858" s="47" t="str">
        <f>IFERROR(VLOOKUP(G2858,WholesaleExtract!B:L,11,FALSE),"")</f>
        <v/>
      </c>
      <c r="M2858" s="47" t="str">
        <f>IFERROR(VLOOKUP(G2858,WholesaleExtract!B:M,12,FALSE),"")</f>
        <v/>
      </c>
      <c r="R2858" s="19"/>
      <c r="S2858" s="19"/>
    </row>
    <row r="2859" spans="1:19" x14ac:dyDescent="0.35">
      <c r="A2859" s="26" t="s">
        <v>543</v>
      </c>
      <c r="B2859" s="26" t="s">
        <v>543</v>
      </c>
      <c r="C2859" s="26"/>
      <c r="D2859" s="26" t="s">
        <v>543</v>
      </c>
      <c r="E2859" s="26" t="str">
        <f>IFERROR(VLOOKUP(G2859,WholesaleExtract!B:J,9,FALSE),"")</f>
        <v/>
      </c>
      <c r="F2859" s="26" t="str">
        <f>IFERROR(VLOOKUP(G2859,WholesaleExtract!B:J,6,FALSE),"")</f>
        <v/>
      </c>
      <c r="H2859" s="47" t="str">
        <f>IFERROR(VLOOKUP(G2859,WholesaleExtract!B:L,11,FALSE),"")</f>
        <v/>
      </c>
      <c r="I2859" s="26" t="str">
        <f>IFERROR(VLOOKUP(G2859,WholesaleExtract!B:O,8,FALSE),"")</f>
        <v/>
      </c>
      <c r="J2859" s="26" t="str">
        <f>IFERROR(VLOOKUP(G2859,WholesaleExtract!B:O,14,FALSE),"")</f>
        <v/>
      </c>
      <c r="K2859" s="26" t="str">
        <f>IFERROR(VLOOKUP(G2859,WholesaleExtract!B:K,10,FALSE),"")</f>
        <v/>
      </c>
      <c r="L2859" s="47" t="str">
        <f>IFERROR(VLOOKUP(G2859,WholesaleExtract!B:L,11,FALSE),"")</f>
        <v/>
      </c>
      <c r="M2859" s="47" t="str">
        <f>IFERROR(VLOOKUP(G2859,WholesaleExtract!B:M,12,FALSE),"")</f>
        <v/>
      </c>
      <c r="R2859" s="19"/>
      <c r="S2859" s="19"/>
    </row>
    <row r="2860" spans="1:19" x14ac:dyDescent="0.35">
      <c r="A2860" s="26" t="s">
        <v>543</v>
      </c>
      <c r="B2860" s="26" t="s">
        <v>543</v>
      </c>
      <c r="C2860" s="26"/>
      <c r="D2860" s="26" t="s">
        <v>543</v>
      </c>
      <c r="E2860" s="26" t="str">
        <f>IFERROR(VLOOKUP(G2860,WholesaleExtract!B:J,9,FALSE),"")</f>
        <v/>
      </c>
      <c r="F2860" s="26" t="str">
        <f>IFERROR(VLOOKUP(G2860,WholesaleExtract!B:J,6,FALSE),"")</f>
        <v/>
      </c>
      <c r="H2860" s="47" t="str">
        <f>IFERROR(VLOOKUP(G2860,WholesaleExtract!B:L,11,FALSE),"")</f>
        <v/>
      </c>
      <c r="I2860" s="26" t="str">
        <f>IFERROR(VLOOKUP(G2860,WholesaleExtract!B:O,8,FALSE),"")</f>
        <v/>
      </c>
      <c r="J2860" s="26" t="str">
        <f>IFERROR(VLOOKUP(G2860,WholesaleExtract!B:O,14,FALSE),"")</f>
        <v/>
      </c>
      <c r="K2860" s="26" t="str">
        <f>IFERROR(VLOOKUP(G2860,WholesaleExtract!B:K,10,FALSE),"")</f>
        <v/>
      </c>
      <c r="L2860" s="47" t="str">
        <f>IFERROR(VLOOKUP(G2860,WholesaleExtract!B:L,11,FALSE),"")</f>
        <v/>
      </c>
      <c r="M2860" s="47" t="str">
        <f>IFERROR(VLOOKUP(G2860,WholesaleExtract!B:M,12,FALSE),"")</f>
        <v/>
      </c>
      <c r="R2860" s="19"/>
      <c r="S2860" s="19"/>
    </row>
    <row r="2861" spans="1:19" x14ac:dyDescent="0.35">
      <c r="A2861" s="26" t="s">
        <v>543</v>
      </c>
      <c r="B2861" s="26" t="s">
        <v>543</v>
      </c>
      <c r="C2861" s="26"/>
      <c r="D2861" s="26" t="s">
        <v>543</v>
      </c>
      <c r="E2861" s="26" t="str">
        <f>IFERROR(VLOOKUP(G2861,WholesaleExtract!B:J,9,FALSE),"")</f>
        <v/>
      </c>
      <c r="F2861" s="26" t="str">
        <f>IFERROR(VLOOKUP(G2861,WholesaleExtract!B:J,6,FALSE),"")</f>
        <v/>
      </c>
      <c r="H2861" s="47" t="str">
        <f>IFERROR(VLOOKUP(G2861,WholesaleExtract!B:L,11,FALSE),"")</f>
        <v/>
      </c>
      <c r="I2861" s="26" t="str">
        <f>IFERROR(VLOOKUP(G2861,WholesaleExtract!B:O,8,FALSE),"")</f>
        <v/>
      </c>
      <c r="J2861" s="26" t="str">
        <f>IFERROR(VLOOKUP(G2861,WholesaleExtract!B:O,14,FALSE),"")</f>
        <v/>
      </c>
      <c r="K2861" s="26" t="str">
        <f>IFERROR(VLOOKUP(G2861,WholesaleExtract!B:K,10,FALSE),"")</f>
        <v/>
      </c>
      <c r="L2861" s="47" t="str">
        <f>IFERROR(VLOOKUP(G2861,WholesaleExtract!B:L,11,FALSE),"")</f>
        <v/>
      </c>
      <c r="M2861" s="47" t="str">
        <f>IFERROR(VLOOKUP(G2861,WholesaleExtract!B:M,12,FALSE),"")</f>
        <v/>
      </c>
      <c r="R2861" s="19"/>
      <c r="S2861" s="19"/>
    </row>
    <row r="2862" spans="1:19" x14ac:dyDescent="0.35">
      <c r="A2862" s="26" t="s">
        <v>543</v>
      </c>
      <c r="B2862" s="26" t="s">
        <v>543</v>
      </c>
      <c r="C2862" s="26"/>
      <c r="D2862" s="26" t="s">
        <v>543</v>
      </c>
      <c r="E2862" s="26" t="str">
        <f>IFERROR(VLOOKUP(G2862,WholesaleExtract!B:J,9,FALSE),"")</f>
        <v/>
      </c>
      <c r="F2862" s="26" t="str">
        <f>IFERROR(VLOOKUP(G2862,WholesaleExtract!B:J,6,FALSE),"")</f>
        <v/>
      </c>
      <c r="H2862" s="47" t="str">
        <f>IFERROR(VLOOKUP(G2862,WholesaleExtract!B:L,11,FALSE),"")</f>
        <v/>
      </c>
      <c r="I2862" s="26" t="str">
        <f>IFERROR(VLOOKUP(G2862,WholesaleExtract!B:O,8,FALSE),"")</f>
        <v/>
      </c>
      <c r="J2862" s="26" t="str">
        <f>IFERROR(VLOOKUP(G2862,WholesaleExtract!B:O,14,FALSE),"")</f>
        <v/>
      </c>
      <c r="K2862" s="26" t="str">
        <f>IFERROR(VLOOKUP(G2862,WholesaleExtract!B:K,10,FALSE),"")</f>
        <v/>
      </c>
      <c r="L2862" s="47" t="str">
        <f>IFERROR(VLOOKUP(G2862,WholesaleExtract!B:L,11,FALSE),"")</f>
        <v/>
      </c>
      <c r="M2862" s="47" t="str">
        <f>IFERROR(VLOOKUP(G2862,WholesaleExtract!B:M,12,FALSE),"")</f>
        <v/>
      </c>
      <c r="R2862" s="19"/>
      <c r="S2862" s="19"/>
    </row>
    <row r="2863" spans="1:19" x14ac:dyDescent="0.35">
      <c r="A2863" s="26" t="s">
        <v>543</v>
      </c>
      <c r="B2863" s="26" t="s">
        <v>543</v>
      </c>
      <c r="C2863" s="26"/>
      <c r="D2863" s="26" t="s">
        <v>543</v>
      </c>
      <c r="E2863" s="26" t="str">
        <f>IFERROR(VLOOKUP(G2863,WholesaleExtract!B:J,9,FALSE),"")</f>
        <v/>
      </c>
      <c r="F2863" s="26" t="str">
        <f>IFERROR(VLOOKUP(G2863,WholesaleExtract!B:J,6,FALSE),"")</f>
        <v/>
      </c>
      <c r="H2863" s="47" t="str">
        <f>IFERROR(VLOOKUP(G2863,WholesaleExtract!B:L,11,FALSE),"")</f>
        <v/>
      </c>
      <c r="I2863" s="26" t="str">
        <f>IFERROR(VLOOKUP(G2863,WholesaleExtract!B:O,8,FALSE),"")</f>
        <v/>
      </c>
      <c r="J2863" s="26" t="str">
        <f>IFERROR(VLOOKUP(G2863,WholesaleExtract!B:O,14,FALSE),"")</f>
        <v/>
      </c>
      <c r="K2863" s="26" t="str">
        <f>IFERROR(VLOOKUP(G2863,WholesaleExtract!B:K,10,FALSE),"")</f>
        <v/>
      </c>
      <c r="L2863" s="47" t="str">
        <f>IFERROR(VLOOKUP(G2863,WholesaleExtract!B:L,11,FALSE),"")</f>
        <v/>
      </c>
      <c r="M2863" s="47" t="str">
        <f>IFERROR(VLOOKUP(G2863,WholesaleExtract!B:M,12,FALSE),"")</f>
        <v/>
      </c>
      <c r="R2863" s="19"/>
      <c r="S2863" s="19"/>
    </row>
    <row r="2864" spans="1:19" x14ac:dyDescent="0.35">
      <c r="A2864" s="26" t="s">
        <v>543</v>
      </c>
      <c r="B2864" s="26" t="s">
        <v>543</v>
      </c>
      <c r="C2864" s="26"/>
      <c r="D2864" s="26" t="s">
        <v>543</v>
      </c>
      <c r="E2864" s="26" t="str">
        <f>IFERROR(VLOOKUP(G2864,WholesaleExtract!B:J,9,FALSE),"")</f>
        <v/>
      </c>
      <c r="F2864" s="26" t="str">
        <f>IFERROR(VLOOKUP(G2864,WholesaleExtract!B:J,6,FALSE),"")</f>
        <v/>
      </c>
      <c r="H2864" s="47" t="str">
        <f>IFERROR(VLOOKUP(G2864,WholesaleExtract!B:L,11,FALSE),"")</f>
        <v/>
      </c>
      <c r="I2864" s="26" t="str">
        <f>IFERROR(VLOOKUP(G2864,WholesaleExtract!B:O,8,FALSE),"")</f>
        <v/>
      </c>
      <c r="J2864" s="26" t="str">
        <f>IFERROR(VLOOKUP(G2864,WholesaleExtract!B:O,14,FALSE),"")</f>
        <v/>
      </c>
      <c r="K2864" s="26" t="str">
        <f>IFERROR(VLOOKUP(G2864,WholesaleExtract!B:K,10,FALSE),"")</f>
        <v/>
      </c>
      <c r="L2864" s="47" t="str">
        <f>IFERROR(VLOOKUP(G2864,WholesaleExtract!B:L,11,FALSE),"")</f>
        <v/>
      </c>
      <c r="M2864" s="47" t="str">
        <f>IFERROR(VLOOKUP(G2864,WholesaleExtract!B:M,12,FALSE),"")</f>
        <v/>
      </c>
      <c r="R2864" s="19"/>
      <c r="S2864" s="19"/>
    </row>
    <row r="2865" spans="1:19" x14ac:dyDescent="0.35">
      <c r="A2865" s="26" t="s">
        <v>543</v>
      </c>
      <c r="B2865" s="26" t="s">
        <v>543</v>
      </c>
      <c r="C2865" s="26"/>
      <c r="D2865" s="26" t="s">
        <v>543</v>
      </c>
      <c r="E2865" s="26" t="str">
        <f>IFERROR(VLOOKUP(G2865,WholesaleExtract!B:J,9,FALSE),"")</f>
        <v/>
      </c>
      <c r="F2865" s="26" t="str">
        <f>IFERROR(VLOOKUP(G2865,WholesaleExtract!B:J,6,FALSE),"")</f>
        <v/>
      </c>
      <c r="H2865" s="47" t="str">
        <f>IFERROR(VLOOKUP(G2865,WholesaleExtract!B:L,11,FALSE),"")</f>
        <v/>
      </c>
      <c r="I2865" s="26" t="str">
        <f>IFERROR(VLOOKUP(G2865,WholesaleExtract!B:O,8,FALSE),"")</f>
        <v/>
      </c>
      <c r="J2865" s="26" t="str">
        <f>IFERROR(VLOOKUP(G2865,WholesaleExtract!B:O,14,FALSE),"")</f>
        <v/>
      </c>
      <c r="K2865" s="26" t="str">
        <f>IFERROR(VLOOKUP(G2865,WholesaleExtract!B:K,10,FALSE),"")</f>
        <v/>
      </c>
      <c r="L2865" s="47" t="str">
        <f>IFERROR(VLOOKUP(G2865,WholesaleExtract!B:L,11,FALSE),"")</f>
        <v/>
      </c>
      <c r="M2865" s="47" t="str">
        <f>IFERROR(VLOOKUP(G2865,WholesaleExtract!B:M,12,FALSE),"")</f>
        <v/>
      </c>
      <c r="R2865" s="19"/>
      <c r="S2865" s="19"/>
    </row>
    <row r="2866" spans="1:19" x14ac:dyDescent="0.35">
      <c r="A2866" s="26" t="s">
        <v>543</v>
      </c>
      <c r="B2866" s="26" t="s">
        <v>543</v>
      </c>
      <c r="C2866" s="26"/>
      <c r="D2866" s="26" t="s">
        <v>543</v>
      </c>
      <c r="E2866" s="26" t="str">
        <f>IFERROR(VLOOKUP(G2866,WholesaleExtract!B:J,9,FALSE),"")</f>
        <v/>
      </c>
      <c r="F2866" s="26" t="str">
        <f>IFERROR(VLOOKUP(G2866,WholesaleExtract!B:J,6,FALSE),"")</f>
        <v/>
      </c>
      <c r="H2866" s="47" t="str">
        <f>IFERROR(VLOOKUP(G2866,WholesaleExtract!B:L,11,FALSE),"")</f>
        <v/>
      </c>
      <c r="I2866" s="26" t="str">
        <f>IFERROR(VLOOKUP(G2866,WholesaleExtract!B:O,8,FALSE),"")</f>
        <v/>
      </c>
      <c r="J2866" s="26" t="str">
        <f>IFERROR(VLOOKUP(G2866,WholesaleExtract!B:O,14,FALSE),"")</f>
        <v/>
      </c>
      <c r="K2866" s="26" t="str">
        <f>IFERROR(VLOOKUP(G2866,WholesaleExtract!B:K,10,FALSE),"")</f>
        <v/>
      </c>
      <c r="L2866" s="47" t="str">
        <f>IFERROR(VLOOKUP(G2866,WholesaleExtract!B:L,11,FALSE),"")</f>
        <v/>
      </c>
      <c r="M2866" s="47" t="str">
        <f>IFERROR(VLOOKUP(G2866,WholesaleExtract!B:M,12,FALSE),"")</f>
        <v/>
      </c>
      <c r="R2866" s="19"/>
      <c r="S2866" s="19"/>
    </row>
    <row r="2867" spans="1:19" x14ac:dyDescent="0.35">
      <c r="A2867" s="26" t="s">
        <v>543</v>
      </c>
      <c r="B2867" s="26" t="s">
        <v>543</v>
      </c>
      <c r="C2867" s="26"/>
      <c r="D2867" s="26" t="s">
        <v>543</v>
      </c>
      <c r="E2867" s="26" t="str">
        <f>IFERROR(VLOOKUP(G2867,WholesaleExtract!B:J,9,FALSE),"")</f>
        <v/>
      </c>
      <c r="F2867" s="26" t="str">
        <f>IFERROR(VLOOKUP(G2867,WholesaleExtract!B:J,6,FALSE),"")</f>
        <v/>
      </c>
      <c r="H2867" s="47" t="str">
        <f>IFERROR(VLOOKUP(G2867,WholesaleExtract!B:L,11,FALSE),"")</f>
        <v/>
      </c>
      <c r="I2867" s="26" t="str">
        <f>IFERROR(VLOOKUP(G2867,WholesaleExtract!B:O,8,FALSE),"")</f>
        <v/>
      </c>
      <c r="J2867" s="26" t="str">
        <f>IFERROR(VLOOKUP(G2867,WholesaleExtract!B:O,14,FALSE),"")</f>
        <v/>
      </c>
      <c r="K2867" s="26" t="str">
        <f>IFERROR(VLOOKUP(G2867,WholesaleExtract!B:K,10,FALSE),"")</f>
        <v/>
      </c>
      <c r="L2867" s="47" t="str">
        <f>IFERROR(VLOOKUP(G2867,WholesaleExtract!B:L,11,FALSE),"")</f>
        <v/>
      </c>
      <c r="M2867" s="47" t="str">
        <f>IFERROR(VLOOKUP(G2867,WholesaleExtract!B:M,12,FALSE),"")</f>
        <v/>
      </c>
      <c r="R2867" s="19"/>
      <c r="S2867" s="19"/>
    </row>
    <row r="2868" spans="1:19" x14ac:dyDescent="0.35">
      <c r="A2868" s="26" t="s">
        <v>543</v>
      </c>
      <c r="B2868" s="26" t="s">
        <v>543</v>
      </c>
      <c r="C2868" s="26"/>
      <c r="D2868" s="26" t="s">
        <v>543</v>
      </c>
      <c r="E2868" s="26" t="str">
        <f>IFERROR(VLOOKUP(G2868,WholesaleExtract!B:J,9,FALSE),"")</f>
        <v/>
      </c>
      <c r="F2868" s="26" t="str">
        <f>IFERROR(VLOOKUP(G2868,WholesaleExtract!B:J,6,FALSE),"")</f>
        <v/>
      </c>
      <c r="H2868" s="47" t="str">
        <f>IFERROR(VLOOKUP(G2868,WholesaleExtract!B:L,11,FALSE),"")</f>
        <v/>
      </c>
      <c r="I2868" s="26" t="str">
        <f>IFERROR(VLOOKUP(G2868,WholesaleExtract!B:O,8,FALSE),"")</f>
        <v/>
      </c>
      <c r="J2868" s="26" t="str">
        <f>IFERROR(VLOOKUP(G2868,WholesaleExtract!B:O,14,FALSE),"")</f>
        <v/>
      </c>
      <c r="K2868" s="26" t="str">
        <f>IFERROR(VLOOKUP(G2868,WholesaleExtract!B:K,10,FALSE),"")</f>
        <v/>
      </c>
      <c r="L2868" s="47" t="str">
        <f>IFERROR(VLOOKUP(G2868,WholesaleExtract!B:L,11,FALSE),"")</f>
        <v/>
      </c>
      <c r="M2868" s="47" t="str">
        <f>IFERROR(VLOOKUP(G2868,WholesaleExtract!B:M,12,FALSE),"")</f>
        <v/>
      </c>
      <c r="R2868" s="19"/>
      <c r="S2868" s="19"/>
    </row>
    <row r="2869" spans="1:19" x14ac:dyDescent="0.35">
      <c r="A2869" s="26" t="s">
        <v>543</v>
      </c>
      <c r="B2869" s="26" t="s">
        <v>543</v>
      </c>
      <c r="C2869" s="26"/>
      <c r="D2869" s="26" t="s">
        <v>543</v>
      </c>
      <c r="E2869" s="26" t="str">
        <f>IFERROR(VLOOKUP(G2869,WholesaleExtract!B:J,9,FALSE),"")</f>
        <v/>
      </c>
      <c r="F2869" s="26" t="str">
        <f>IFERROR(VLOOKUP(G2869,WholesaleExtract!B:J,6,FALSE),"")</f>
        <v/>
      </c>
      <c r="H2869" s="47" t="str">
        <f>IFERROR(VLOOKUP(G2869,WholesaleExtract!B:L,11,FALSE),"")</f>
        <v/>
      </c>
      <c r="I2869" s="26" t="str">
        <f>IFERROR(VLOOKUP(G2869,WholesaleExtract!B:O,8,FALSE),"")</f>
        <v/>
      </c>
      <c r="J2869" s="26" t="str">
        <f>IFERROR(VLOOKUP(G2869,WholesaleExtract!B:O,14,FALSE),"")</f>
        <v/>
      </c>
      <c r="K2869" s="26" t="str">
        <f>IFERROR(VLOOKUP(G2869,WholesaleExtract!B:K,10,FALSE),"")</f>
        <v/>
      </c>
      <c r="L2869" s="47" t="str">
        <f>IFERROR(VLOOKUP(G2869,WholesaleExtract!B:L,11,FALSE),"")</f>
        <v/>
      </c>
      <c r="M2869" s="47" t="str">
        <f>IFERROR(VLOOKUP(G2869,WholesaleExtract!B:M,12,FALSE),"")</f>
        <v/>
      </c>
      <c r="R2869" s="19"/>
      <c r="S2869" s="19"/>
    </row>
    <row r="2870" spans="1:19" x14ac:dyDescent="0.35">
      <c r="A2870" s="26" t="s">
        <v>543</v>
      </c>
      <c r="B2870" s="26" t="s">
        <v>543</v>
      </c>
      <c r="C2870" s="26"/>
      <c r="D2870" s="26" t="s">
        <v>543</v>
      </c>
      <c r="E2870" s="26" t="str">
        <f>IFERROR(VLOOKUP(G2870,WholesaleExtract!B:J,9,FALSE),"")</f>
        <v/>
      </c>
      <c r="F2870" s="26" t="str">
        <f>IFERROR(VLOOKUP(G2870,WholesaleExtract!B:J,6,FALSE),"")</f>
        <v/>
      </c>
      <c r="H2870" s="47" t="str">
        <f>IFERROR(VLOOKUP(G2870,WholesaleExtract!B:L,11,FALSE),"")</f>
        <v/>
      </c>
      <c r="I2870" s="26" t="str">
        <f>IFERROR(VLOOKUP(G2870,WholesaleExtract!B:O,8,FALSE),"")</f>
        <v/>
      </c>
      <c r="J2870" s="26" t="str">
        <f>IFERROR(VLOOKUP(G2870,WholesaleExtract!B:O,14,FALSE),"")</f>
        <v/>
      </c>
      <c r="K2870" s="26" t="str">
        <f>IFERROR(VLOOKUP(G2870,WholesaleExtract!B:K,10,FALSE),"")</f>
        <v/>
      </c>
      <c r="L2870" s="47" t="str">
        <f>IFERROR(VLOOKUP(G2870,WholesaleExtract!B:L,11,FALSE),"")</f>
        <v/>
      </c>
      <c r="M2870" s="47" t="str">
        <f>IFERROR(VLOOKUP(G2870,WholesaleExtract!B:M,12,FALSE),"")</f>
        <v/>
      </c>
      <c r="R2870" s="19"/>
      <c r="S2870" s="19"/>
    </row>
    <row r="2871" spans="1:19" x14ac:dyDescent="0.35">
      <c r="A2871" s="26" t="s">
        <v>543</v>
      </c>
      <c r="B2871" s="26" t="s">
        <v>543</v>
      </c>
      <c r="C2871" s="26"/>
      <c r="D2871" s="26" t="s">
        <v>543</v>
      </c>
      <c r="E2871" s="26" t="str">
        <f>IFERROR(VLOOKUP(G2871,WholesaleExtract!B:J,9,FALSE),"")</f>
        <v/>
      </c>
      <c r="F2871" s="26" t="str">
        <f>IFERROR(VLOOKUP(G2871,WholesaleExtract!B:J,6,FALSE),"")</f>
        <v/>
      </c>
      <c r="H2871" s="47" t="str">
        <f>IFERROR(VLOOKUP(G2871,WholesaleExtract!B:L,11,FALSE),"")</f>
        <v/>
      </c>
      <c r="I2871" s="26" t="str">
        <f>IFERROR(VLOOKUP(G2871,WholesaleExtract!B:O,8,FALSE),"")</f>
        <v/>
      </c>
      <c r="J2871" s="26" t="str">
        <f>IFERROR(VLOOKUP(G2871,WholesaleExtract!B:O,14,FALSE),"")</f>
        <v/>
      </c>
      <c r="K2871" s="26" t="str">
        <f>IFERROR(VLOOKUP(G2871,WholesaleExtract!B:K,10,FALSE),"")</f>
        <v/>
      </c>
      <c r="L2871" s="47" t="str">
        <f>IFERROR(VLOOKUP(G2871,WholesaleExtract!B:L,11,FALSE),"")</f>
        <v/>
      </c>
      <c r="M2871" s="47" t="str">
        <f>IFERROR(VLOOKUP(G2871,WholesaleExtract!B:M,12,FALSE),"")</f>
        <v/>
      </c>
      <c r="R2871" s="19"/>
      <c r="S2871" s="19"/>
    </row>
    <row r="2872" spans="1:19" x14ac:dyDescent="0.35">
      <c r="A2872" s="26" t="s">
        <v>543</v>
      </c>
      <c r="B2872" s="26" t="s">
        <v>543</v>
      </c>
      <c r="C2872" s="26"/>
      <c r="D2872" s="26" t="s">
        <v>543</v>
      </c>
      <c r="E2872" s="26" t="str">
        <f>IFERROR(VLOOKUP(G2872,WholesaleExtract!B:J,9,FALSE),"")</f>
        <v/>
      </c>
      <c r="F2872" s="26" t="str">
        <f>IFERROR(VLOOKUP(G2872,WholesaleExtract!B:J,6,FALSE),"")</f>
        <v/>
      </c>
      <c r="H2872" s="47" t="str">
        <f>IFERROR(VLOOKUP(G2872,WholesaleExtract!B:L,11,FALSE),"")</f>
        <v/>
      </c>
      <c r="I2872" s="26" t="str">
        <f>IFERROR(VLOOKUP(G2872,WholesaleExtract!B:O,8,FALSE),"")</f>
        <v/>
      </c>
      <c r="J2872" s="26" t="str">
        <f>IFERROR(VLOOKUP(G2872,WholesaleExtract!B:O,14,FALSE),"")</f>
        <v/>
      </c>
      <c r="K2872" s="26" t="str">
        <f>IFERROR(VLOOKUP(G2872,WholesaleExtract!B:K,10,FALSE),"")</f>
        <v/>
      </c>
      <c r="L2872" s="47" t="str">
        <f>IFERROR(VLOOKUP(G2872,WholesaleExtract!B:L,11,FALSE),"")</f>
        <v/>
      </c>
      <c r="M2872" s="47" t="str">
        <f>IFERROR(VLOOKUP(G2872,WholesaleExtract!B:M,12,FALSE),"")</f>
        <v/>
      </c>
      <c r="R2872" s="19"/>
      <c r="S2872" s="19"/>
    </row>
    <row r="2873" spans="1:19" x14ac:dyDescent="0.35">
      <c r="A2873" s="26" t="s">
        <v>543</v>
      </c>
      <c r="B2873" s="26" t="s">
        <v>543</v>
      </c>
      <c r="C2873" s="26"/>
      <c r="D2873" s="26" t="s">
        <v>543</v>
      </c>
      <c r="E2873" s="26" t="str">
        <f>IFERROR(VLOOKUP(G2873,WholesaleExtract!B:J,9,FALSE),"")</f>
        <v/>
      </c>
      <c r="F2873" s="26" t="str">
        <f>IFERROR(VLOOKUP(G2873,WholesaleExtract!B:J,6,FALSE),"")</f>
        <v/>
      </c>
      <c r="H2873" s="47" t="str">
        <f>IFERROR(VLOOKUP(G2873,WholesaleExtract!B:L,11,FALSE),"")</f>
        <v/>
      </c>
      <c r="I2873" s="26" t="str">
        <f>IFERROR(VLOOKUP(G2873,WholesaleExtract!B:O,8,FALSE),"")</f>
        <v/>
      </c>
      <c r="J2873" s="26" t="str">
        <f>IFERROR(VLOOKUP(G2873,WholesaleExtract!B:O,14,FALSE),"")</f>
        <v/>
      </c>
      <c r="K2873" s="26" t="str">
        <f>IFERROR(VLOOKUP(G2873,WholesaleExtract!B:K,10,FALSE),"")</f>
        <v/>
      </c>
      <c r="L2873" s="47" t="str">
        <f>IFERROR(VLOOKUP(G2873,WholesaleExtract!B:L,11,FALSE),"")</f>
        <v/>
      </c>
      <c r="M2873" s="47" t="str">
        <f>IFERROR(VLOOKUP(G2873,WholesaleExtract!B:M,12,FALSE),"")</f>
        <v/>
      </c>
      <c r="R2873" s="19"/>
      <c r="S2873" s="19"/>
    </row>
    <row r="2874" spans="1:19" x14ac:dyDescent="0.35">
      <c r="A2874" s="26" t="s">
        <v>543</v>
      </c>
      <c r="B2874" s="26" t="s">
        <v>543</v>
      </c>
      <c r="C2874" s="26"/>
      <c r="D2874" s="26" t="s">
        <v>543</v>
      </c>
      <c r="E2874" s="26" t="str">
        <f>IFERROR(VLOOKUP(G2874,WholesaleExtract!B:J,9,FALSE),"")</f>
        <v/>
      </c>
      <c r="F2874" s="26" t="str">
        <f>IFERROR(VLOOKUP(G2874,WholesaleExtract!B:J,6,FALSE),"")</f>
        <v/>
      </c>
      <c r="H2874" s="47" t="str">
        <f>IFERROR(VLOOKUP(G2874,WholesaleExtract!B:L,11,FALSE),"")</f>
        <v/>
      </c>
      <c r="I2874" s="26" t="str">
        <f>IFERROR(VLOOKUP(G2874,WholesaleExtract!B:O,8,FALSE),"")</f>
        <v/>
      </c>
      <c r="J2874" s="26" t="str">
        <f>IFERROR(VLOOKUP(G2874,WholesaleExtract!B:O,14,FALSE),"")</f>
        <v/>
      </c>
      <c r="K2874" s="26" t="str">
        <f>IFERROR(VLOOKUP(G2874,WholesaleExtract!B:K,10,FALSE),"")</f>
        <v/>
      </c>
      <c r="L2874" s="47" t="str">
        <f>IFERROR(VLOOKUP(G2874,WholesaleExtract!B:L,11,FALSE),"")</f>
        <v/>
      </c>
      <c r="M2874" s="47" t="str">
        <f>IFERROR(VLOOKUP(G2874,WholesaleExtract!B:M,12,FALSE),"")</f>
        <v/>
      </c>
      <c r="R2874" s="19"/>
      <c r="S2874" s="19"/>
    </row>
    <row r="2875" spans="1:19" x14ac:dyDescent="0.35">
      <c r="A2875" s="26" t="s">
        <v>543</v>
      </c>
      <c r="B2875" s="26" t="s">
        <v>543</v>
      </c>
      <c r="C2875" s="26"/>
      <c r="D2875" s="26" t="s">
        <v>543</v>
      </c>
      <c r="E2875" s="26" t="str">
        <f>IFERROR(VLOOKUP(G2875,WholesaleExtract!B:J,9,FALSE),"")</f>
        <v/>
      </c>
      <c r="F2875" s="26" t="str">
        <f>IFERROR(VLOOKUP(G2875,WholesaleExtract!B:J,6,FALSE),"")</f>
        <v/>
      </c>
      <c r="H2875" s="47" t="str">
        <f>IFERROR(VLOOKUP(G2875,WholesaleExtract!B:L,11,FALSE),"")</f>
        <v/>
      </c>
      <c r="I2875" s="26" t="str">
        <f>IFERROR(VLOOKUP(G2875,WholesaleExtract!B:O,8,FALSE),"")</f>
        <v/>
      </c>
      <c r="J2875" s="26" t="str">
        <f>IFERROR(VLOOKUP(G2875,WholesaleExtract!B:O,14,FALSE),"")</f>
        <v/>
      </c>
      <c r="K2875" s="26" t="str">
        <f>IFERROR(VLOOKUP(G2875,WholesaleExtract!B:K,10,FALSE),"")</f>
        <v/>
      </c>
      <c r="L2875" s="47" t="str">
        <f>IFERROR(VLOOKUP(G2875,WholesaleExtract!B:L,11,FALSE),"")</f>
        <v/>
      </c>
      <c r="M2875" s="47" t="str">
        <f>IFERROR(VLOOKUP(G2875,WholesaleExtract!B:M,12,FALSE),"")</f>
        <v/>
      </c>
      <c r="R2875" s="19"/>
      <c r="S2875" s="19"/>
    </row>
    <row r="2876" spans="1:19" x14ac:dyDescent="0.35">
      <c r="A2876" s="26" t="s">
        <v>543</v>
      </c>
      <c r="B2876" s="26" t="s">
        <v>543</v>
      </c>
      <c r="C2876" s="26"/>
      <c r="D2876" s="26" t="s">
        <v>543</v>
      </c>
      <c r="E2876" s="26" t="str">
        <f>IFERROR(VLOOKUP(G2876,WholesaleExtract!B:J,9,FALSE),"")</f>
        <v/>
      </c>
      <c r="F2876" s="26" t="str">
        <f>IFERROR(VLOOKUP(G2876,WholesaleExtract!B:J,6,FALSE),"")</f>
        <v/>
      </c>
      <c r="H2876" s="47" t="str">
        <f>IFERROR(VLOOKUP(G2876,WholesaleExtract!B:L,11,FALSE),"")</f>
        <v/>
      </c>
      <c r="I2876" s="26" t="str">
        <f>IFERROR(VLOOKUP(G2876,WholesaleExtract!B:O,8,FALSE),"")</f>
        <v/>
      </c>
      <c r="J2876" s="26" t="str">
        <f>IFERROR(VLOOKUP(G2876,WholesaleExtract!B:O,14,FALSE),"")</f>
        <v/>
      </c>
      <c r="K2876" s="26" t="str">
        <f>IFERROR(VLOOKUP(G2876,WholesaleExtract!B:K,10,FALSE),"")</f>
        <v/>
      </c>
      <c r="L2876" s="47" t="str">
        <f>IFERROR(VLOOKUP(G2876,WholesaleExtract!B:L,11,FALSE),"")</f>
        <v/>
      </c>
      <c r="M2876" s="47" t="str">
        <f>IFERROR(VLOOKUP(G2876,WholesaleExtract!B:M,12,FALSE),"")</f>
        <v/>
      </c>
      <c r="R2876" s="19"/>
      <c r="S2876" s="19"/>
    </row>
    <row r="2877" spans="1:19" x14ac:dyDescent="0.35">
      <c r="A2877" s="26" t="s">
        <v>543</v>
      </c>
      <c r="B2877" s="26" t="s">
        <v>543</v>
      </c>
      <c r="C2877" s="26"/>
      <c r="D2877" s="26" t="s">
        <v>543</v>
      </c>
      <c r="E2877" s="26" t="str">
        <f>IFERROR(VLOOKUP(G2877,WholesaleExtract!B:J,9,FALSE),"")</f>
        <v/>
      </c>
      <c r="F2877" s="26" t="str">
        <f>IFERROR(VLOOKUP(G2877,WholesaleExtract!B:J,6,FALSE),"")</f>
        <v/>
      </c>
      <c r="H2877" s="47" t="str">
        <f>IFERROR(VLOOKUP(G2877,WholesaleExtract!B:L,11,FALSE),"")</f>
        <v/>
      </c>
      <c r="I2877" s="26" t="str">
        <f>IFERROR(VLOOKUP(G2877,WholesaleExtract!B:O,8,FALSE),"")</f>
        <v/>
      </c>
      <c r="J2877" s="26" t="str">
        <f>IFERROR(VLOOKUP(G2877,WholesaleExtract!B:O,14,FALSE),"")</f>
        <v/>
      </c>
      <c r="K2877" s="26" t="str">
        <f>IFERROR(VLOOKUP(G2877,WholesaleExtract!B:K,10,FALSE),"")</f>
        <v/>
      </c>
      <c r="L2877" s="47" t="str">
        <f>IFERROR(VLOOKUP(G2877,WholesaleExtract!B:L,11,FALSE),"")</f>
        <v/>
      </c>
      <c r="M2877" s="47" t="str">
        <f>IFERROR(VLOOKUP(G2877,WholesaleExtract!B:M,12,FALSE),"")</f>
        <v/>
      </c>
      <c r="R2877" s="19"/>
      <c r="S2877" s="19"/>
    </row>
    <row r="2878" spans="1:19" x14ac:dyDescent="0.35">
      <c r="A2878" s="26" t="s">
        <v>543</v>
      </c>
      <c r="B2878" s="26" t="s">
        <v>543</v>
      </c>
      <c r="C2878" s="26"/>
      <c r="D2878" s="26" t="s">
        <v>543</v>
      </c>
      <c r="E2878" s="26" t="str">
        <f>IFERROR(VLOOKUP(G2878,WholesaleExtract!B:J,9,FALSE),"")</f>
        <v/>
      </c>
      <c r="F2878" s="26" t="str">
        <f>IFERROR(VLOOKUP(G2878,WholesaleExtract!B:J,6,FALSE),"")</f>
        <v/>
      </c>
      <c r="H2878" s="47" t="str">
        <f>IFERROR(VLOOKUP(G2878,WholesaleExtract!B:L,11,FALSE),"")</f>
        <v/>
      </c>
      <c r="I2878" s="26" t="str">
        <f>IFERROR(VLOOKUP(G2878,WholesaleExtract!B:O,8,FALSE),"")</f>
        <v/>
      </c>
      <c r="J2878" s="26" t="str">
        <f>IFERROR(VLOOKUP(G2878,WholesaleExtract!B:O,14,FALSE),"")</f>
        <v/>
      </c>
      <c r="K2878" s="26" t="str">
        <f>IFERROR(VLOOKUP(G2878,WholesaleExtract!B:K,10,FALSE),"")</f>
        <v/>
      </c>
      <c r="L2878" s="47" t="str">
        <f>IFERROR(VLOOKUP(G2878,WholesaleExtract!B:L,11,FALSE),"")</f>
        <v/>
      </c>
      <c r="M2878" s="47" t="str">
        <f>IFERROR(VLOOKUP(G2878,WholesaleExtract!B:M,12,FALSE),"")</f>
        <v/>
      </c>
      <c r="R2878" s="19"/>
      <c r="S2878" s="19"/>
    </row>
    <row r="2879" spans="1:19" x14ac:dyDescent="0.35">
      <c r="A2879" s="26" t="s">
        <v>543</v>
      </c>
      <c r="B2879" s="26" t="s">
        <v>543</v>
      </c>
      <c r="C2879" s="26"/>
      <c r="D2879" s="26" t="s">
        <v>543</v>
      </c>
      <c r="E2879" s="26" t="str">
        <f>IFERROR(VLOOKUP(G2879,WholesaleExtract!B:J,9,FALSE),"")</f>
        <v/>
      </c>
      <c r="F2879" s="26" t="str">
        <f>IFERROR(VLOOKUP(G2879,WholesaleExtract!B:J,6,FALSE),"")</f>
        <v/>
      </c>
      <c r="H2879" s="47" t="str">
        <f>IFERROR(VLOOKUP(G2879,WholesaleExtract!B:L,11,FALSE),"")</f>
        <v/>
      </c>
      <c r="I2879" s="26" t="str">
        <f>IFERROR(VLOOKUP(G2879,WholesaleExtract!B:O,8,FALSE),"")</f>
        <v/>
      </c>
      <c r="J2879" s="26" t="str">
        <f>IFERROR(VLOOKUP(G2879,WholesaleExtract!B:O,14,FALSE),"")</f>
        <v/>
      </c>
      <c r="K2879" s="26" t="str">
        <f>IFERROR(VLOOKUP(G2879,WholesaleExtract!B:K,10,FALSE),"")</f>
        <v/>
      </c>
      <c r="L2879" s="47" t="str">
        <f>IFERROR(VLOOKUP(G2879,WholesaleExtract!B:L,11,FALSE),"")</f>
        <v/>
      </c>
      <c r="M2879" s="47" t="str">
        <f>IFERROR(VLOOKUP(G2879,WholesaleExtract!B:M,12,FALSE),"")</f>
        <v/>
      </c>
      <c r="R2879" s="19"/>
      <c r="S2879" s="19"/>
    </row>
    <row r="2880" spans="1:19" x14ac:dyDescent="0.35">
      <c r="A2880" s="26" t="s">
        <v>543</v>
      </c>
      <c r="B2880" s="26" t="s">
        <v>543</v>
      </c>
      <c r="C2880" s="26"/>
      <c r="D2880" s="26" t="s">
        <v>543</v>
      </c>
      <c r="E2880" s="26" t="str">
        <f>IFERROR(VLOOKUP(G2880,WholesaleExtract!B:J,9,FALSE),"")</f>
        <v/>
      </c>
      <c r="F2880" s="26" t="str">
        <f>IFERROR(VLOOKUP(G2880,WholesaleExtract!B:J,6,FALSE),"")</f>
        <v/>
      </c>
      <c r="H2880" s="47" t="str">
        <f>IFERROR(VLOOKUP(G2880,WholesaleExtract!B:L,11,FALSE),"")</f>
        <v/>
      </c>
      <c r="I2880" s="26" t="str">
        <f>IFERROR(VLOOKUP(G2880,WholesaleExtract!B:O,8,FALSE),"")</f>
        <v/>
      </c>
      <c r="J2880" s="26" t="str">
        <f>IFERROR(VLOOKUP(G2880,WholesaleExtract!B:O,14,FALSE),"")</f>
        <v/>
      </c>
      <c r="K2880" s="26" t="str">
        <f>IFERROR(VLOOKUP(G2880,WholesaleExtract!B:K,10,FALSE),"")</f>
        <v/>
      </c>
      <c r="L2880" s="47" t="str">
        <f>IFERROR(VLOOKUP(G2880,WholesaleExtract!B:L,11,FALSE),"")</f>
        <v/>
      </c>
      <c r="M2880" s="47" t="str">
        <f>IFERROR(VLOOKUP(G2880,WholesaleExtract!B:M,12,FALSE),"")</f>
        <v/>
      </c>
      <c r="R2880" s="19"/>
      <c r="S2880" s="19"/>
    </row>
    <row r="2881" spans="1:19" x14ac:dyDescent="0.35">
      <c r="A2881" s="26" t="s">
        <v>543</v>
      </c>
      <c r="B2881" s="26" t="s">
        <v>543</v>
      </c>
      <c r="C2881" s="26"/>
      <c r="D2881" s="26" t="s">
        <v>543</v>
      </c>
      <c r="E2881" s="26" t="str">
        <f>IFERROR(VLOOKUP(G2881,WholesaleExtract!B:J,9,FALSE),"")</f>
        <v/>
      </c>
      <c r="F2881" s="26" t="str">
        <f>IFERROR(VLOOKUP(G2881,WholesaleExtract!B:J,6,FALSE),"")</f>
        <v/>
      </c>
      <c r="H2881" s="47" t="str">
        <f>IFERROR(VLOOKUP(G2881,WholesaleExtract!B:L,11,FALSE),"")</f>
        <v/>
      </c>
      <c r="I2881" s="26" t="str">
        <f>IFERROR(VLOOKUP(G2881,WholesaleExtract!B:O,8,FALSE),"")</f>
        <v/>
      </c>
      <c r="J2881" s="26" t="str">
        <f>IFERROR(VLOOKUP(G2881,WholesaleExtract!B:O,14,FALSE),"")</f>
        <v/>
      </c>
      <c r="K2881" s="26" t="str">
        <f>IFERROR(VLOOKUP(G2881,WholesaleExtract!B:K,10,FALSE),"")</f>
        <v/>
      </c>
      <c r="L2881" s="47" t="str">
        <f>IFERROR(VLOOKUP(G2881,WholesaleExtract!B:L,11,FALSE),"")</f>
        <v/>
      </c>
      <c r="M2881" s="47" t="str">
        <f>IFERROR(VLOOKUP(G2881,WholesaleExtract!B:M,12,FALSE),"")</f>
        <v/>
      </c>
      <c r="R2881" s="19"/>
      <c r="S2881" s="19"/>
    </row>
    <row r="2882" spans="1:19" x14ac:dyDescent="0.35">
      <c r="A2882" s="26" t="s">
        <v>543</v>
      </c>
      <c r="B2882" s="26" t="s">
        <v>543</v>
      </c>
      <c r="C2882" s="26"/>
      <c r="D2882" s="26" t="s">
        <v>543</v>
      </c>
      <c r="E2882" s="26" t="str">
        <f>IFERROR(VLOOKUP(G2882,WholesaleExtract!B:J,9,FALSE),"")</f>
        <v/>
      </c>
      <c r="F2882" s="26" t="str">
        <f>IFERROR(VLOOKUP(G2882,WholesaleExtract!B:J,6,FALSE),"")</f>
        <v/>
      </c>
      <c r="H2882" s="47" t="str">
        <f>IFERROR(VLOOKUP(G2882,WholesaleExtract!B:L,11,FALSE),"")</f>
        <v/>
      </c>
      <c r="I2882" s="26" t="str">
        <f>IFERROR(VLOOKUP(G2882,WholesaleExtract!B:O,8,FALSE),"")</f>
        <v/>
      </c>
      <c r="J2882" s="26" t="str">
        <f>IFERROR(VLOOKUP(G2882,WholesaleExtract!B:O,14,FALSE),"")</f>
        <v/>
      </c>
      <c r="K2882" s="26" t="str">
        <f>IFERROR(VLOOKUP(G2882,WholesaleExtract!B:K,10,FALSE),"")</f>
        <v/>
      </c>
      <c r="L2882" s="47" t="str">
        <f>IFERROR(VLOOKUP(G2882,WholesaleExtract!B:L,11,FALSE),"")</f>
        <v/>
      </c>
      <c r="M2882" s="47" t="str">
        <f>IFERROR(VLOOKUP(G2882,WholesaleExtract!B:M,12,FALSE),"")</f>
        <v/>
      </c>
      <c r="R2882" s="19"/>
      <c r="S2882" s="19"/>
    </row>
    <row r="2883" spans="1:19" x14ac:dyDescent="0.35">
      <c r="A2883" s="26" t="s">
        <v>543</v>
      </c>
      <c r="B2883" s="26" t="s">
        <v>543</v>
      </c>
      <c r="C2883" s="26"/>
      <c r="D2883" s="26" t="s">
        <v>543</v>
      </c>
      <c r="E2883" s="26" t="str">
        <f>IFERROR(VLOOKUP(G2883,WholesaleExtract!B:J,9,FALSE),"")</f>
        <v/>
      </c>
      <c r="F2883" s="26" t="str">
        <f>IFERROR(VLOOKUP(G2883,WholesaleExtract!B:J,6,FALSE),"")</f>
        <v/>
      </c>
      <c r="H2883" s="47" t="str">
        <f>IFERROR(VLOOKUP(G2883,WholesaleExtract!B:L,11,FALSE),"")</f>
        <v/>
      </c>
      <c r="I2883" s="26" t="str">
        <f>IFERROR(VLOOKUP(G2883,WholesaleExtract!B:O,8,FALSE),"")</f>
        <v/>
      </c>
      <c r="J2883" s="26" t="str">
        <f>IFERROR(VLOOKUP(G2883,WholesaleExtract!B:O,14,FALSE),"")</f>
        <v/>
      </c>
      <c r="K2883" s="26" t="str">
        <f>IFERROR(VLOOKUP(G2883,WholesaleExtract!B:K,10,FALSE),"")</f>
        <v/>
      </c>
      <c r="L2883" s="47" t="str">
        <f>IFERROR(VLOOKUP(G2883,WholesaleExtract!B:L,11,FALSE),"")</f>
        <v/>
      </c>
      <c r="M2883" s="47" t="str">
        <f>IFERROR(VLOOKUP(G2883,WholesaleExtract!B:M,12,FALSE),"")</f>
        <v/>
      </c>
      <c r="R2883" s="19"/>
      <c r="S2883" s="19"/>
    </row>
    <row r="2884" spans="1:19" x14ac:dyDescent="0.35">
      <c r="A2884" s="26" t="s">
        <v>543</v>
      </c>
      <c r="B2884" s="26" t="s">
        <v>543</v>
      </c>
      <c r="C2884" s="26"/>
      <c r="D2884" s="26" t="s">
        <v>543</v>
      </c>
      <c r="E2884" s="26" t="str">
        <f>IFERROR(VLOOKUP(G2884,WholesaleExtract!B:J,9,FALSE),"")</f>
        <v/>
      </c>
      <c r="F2884" s="26" t="str">
        <f>IFERROR(VLOOKUP(G2884,WholesaleExtract!B:J,6,FALSE),"")</f>
        <v/>
      </c>
      <c r="H2884" s="47" t="str">
        <f>IFERROR(VLOOKUP(G2884,WholesaleExtract!B:L,11,FALSE),"")</f>
        <v/>
      </c>
      <c r="I2884" s="26" t="str">
        <f>IFERROR(VLOOKUP(G2884,WholesaleExtract!B:O,8,FALSE),"")</f>
        <v/>
      </c>
      <c r="J2884" s="26" t="str">
        <f>IFERROR(VLOOKUP(G2884,WholesaleExtract!B:O,14,FALSE),"")</f>
        <v/>
      </c>
      <c r="K2884" s="26" t="str">
        <f>IFERROR(VLOOKUP(G2884,WholesaleExtract!B:K,10,FALSE),"")</f>
        <v/>
      </c>
      <c r="L2884" s="47" t="str">
        <f>IFERROR(VLOOKUP(G2884,WholesaleExtract!B:L,11,FALSE),"")</f>
        <v/>
      </c>
      <c r="M2884" s="47" t="str">
        <f>IFERROR(VLOOKUP(G2884,WholesaleExtract!B:M,12,FALSE),"")</f>
        <v/>
      </c>
      <c r="R2884" s="19"/>
      <c r="S2884" s="19"/>
    </row>
    <row r="2885" spans="1:19" x14ac:dyDescent="0.35">
      <c r="A2885" s="26" t="s">
        <v>543</v>
      </c>
      <c r="B2885" s="26" t="s">
        <v>543</v>
      </c>
      <c r="C2885" s="26"/>
      <c r="D2885" s="26" t="s">
        <v>543</v>
      </c>
      <c r="E2885" s="26" t="str">
        <f>IFERROR(VLOOKUP(G2885,WholesaleExtract!B:J,9,FALSE),"")</f>
        <v/>
      </c>
      <c r="F2885" s="26" t="str">
        <f>IFERROR(VLOOKUP(G2885,WholesaleExtract!B:J,6,FALSE),"")</f>
        <v/>
      </c>
      <c r="H2885" s="47" t="str">
        <f>IFERROR(VLOOKUP(G2885,WholesaleExtract!B:L,11,FALSE),"")</f>
        <v/>
      </c>
      <c r="I2885" s="26" t="str">
        <f>IFERROR(VLOOKUP(G2885,WholesaleExtract!B:O,8,FALSE),"")</f>
        <v/>
      </c>
      <c r="J2885" s="26" t="str">
        <f>IFERROR(VLOOKUP(G2885,WholesaleExtract!B:O,14,FALSE),"")</f>
        <v/>
      </c>
      <c r="K2885" s="26" t="str">
        <f>IFERROR(VLOOKUP(G2885,WholesaleExtract!B:K,10,FALSE),"")</f>
        <v/>
      </c>
      <c r="L2885" s="47" t="str">
        <f>IFERROR(VLOOKUP(G2885,WholesaleExtract!B:L,11,FALSE),"")</f>
        <v/>
      </c>
      <c r="M2885" s="47" t="str">
        <f>IFERROR(VLOOKUP(G2885,WholesaleExtract!B:M,12,FALSE),"")</f>
        <v/>
      </c>
      <c r="R2885" s="19"/>
      <c r="S2885" s="19"/>
    </row>
    <row r="2886" spans="1:19" x14ac:dyDescent="0.35">
      <c r="A2886" s="26" t="s">
        <v>543</v>
      </c>
      <c r="B2886" s="26" t="s">
        <v>543</v>
      </c>
      <c r="C2886" s="26"/>
      <c r="D2886" s="26" t="s">
        <v>543</v>
      </c>
      <c r="E2886" s="26" t="str">
        <f>IFERROR(VLOOKUP(G2886,WholesaleExtract!B:J,9,FALSE),"")</f>
        <v/>
      </c>
      <c r="F2886" s="26" t="str">
        <f>IFERROR(VLOOKUP(G2886,WholesaleExtract!B:J,6,FALSE),"")</f>
        <v/>
      </c>
      <c r="H2886" s="47" t="str">
        <f>IFERROR(VLOOKUP(G2886,WholesaleExtract!B:L,11,FALSE),"")</f>
        <v/>
      </c>
      <c r="I2886" s="26" t="str">
        <f>IFERROR(VLOOKUP(G2886,WholesaleExtract!B:O,8,FALSE),"")</f>
        <v/>
      </c>
      <c r="J2886" s="26" t="str">
        <f>IFERROR(VLOOKUP(G2886,WholesaleExtract!B:O,14,FALSE),"")</f>
        <v/>
      </c>
      <c r="K2886" s="26" t="str">
        <f>IFERROR(VLOOKUP(G2886,WholesaleExtract!B:K,10,FALSE),"")</f>
        <v/>
      </c>
      <c r="L2886" s="47" t="str">
        <f>IFERROR(VLOOKUP(G2886,WholesaleExtract!B:L,11,FALSE),"")</f>
        <v/>
      </c>
      <c r="M2886" s="47" t="str">
        <f>IFERROR(VLOOKUP(G2886,WholesaleExtract!B:M,12,FALSE),"")</f>
        <v/>
      </c>
      <c r="R2886" s="19"/>
      <c r="S2886" s="19"/>
    </row>
    <row r="2887" spans="1:19" x14ac:dyDescent="0.35">
      <c r="A2887" s="26" t="s">
        <v>543</v>
      </c>
      <c r="B2887" s="26" t="s">
        <v>543</v>
      </c>
      <c r="C2887" s="26"/>
      <c r="D2887" s="26" t="s">
        <v>543</v>
      </c>
      <c r="E2887" s="26" t="str">
        <f>IFERROR(VLOOKUP(G2887,WholesaleExtract!B:J,9,FALSE),"")</f>
        <v/>
      </c>
      <c r="F2887" s="26" t="str">
        <f>IFERROR(VLOOKUP(G2887,WholesaleExtract!B:J,6,FALSE),"")</f>
        <v/>
      </c>
      <c r="H2887" s="47" t="str">
        <f>IFERROR(VLOOKUP(G2887,WholesaleExtract!B:L,11,FALSE),"")</f>
        <v/>
      </c>
      <c r="I2887" s="26" t="str">
        <f>IFERROR(VLOOKUP(G2887,WholesaleExtract!B:O,8,FALSE),"")</f>
        <v/>
      </c>
      <c r="J2887" s="26" t="str">
        <f>IFERROR(VLOOKUP(G2887,WholesaleExtract!B:O,14,FALSE),"")</f>
        <v/>
      </c>
      <c r="K2887" s="26" t="str">
        <f>IFERROR(VLOOKUP(G2887,WholesaleExtract!B:K,10,FALSE),"")</f>
        <v/>
      </c>
      <c r="L2887" s="47" t="str">
        <f>IFERROR(VLOOKUP(G2887,WholesaleExtract!B:L,11,FALSE),"")</f>
        <v/>
      </c>
      <c r="M2887" s="47" t="str">
        <f>IFERROR(VLOOKUP(G2887,WholesaleExtract!B:M,12,FALSE),"")</f>
        <v/>
      </c>
      <c r="R2887" s="19"/>
      <c r="S2887" s="19"/>
    </row>
    <row r="2888" spans="1:19" x14ac:dyDescent="0.35">
      <c r="A2888" s="26" t="s">
        <v>543</v>
      </c>
      <c r="B2888" s="26" t="s">
        <v>543</v>
      </c>
      <c r="C2888" s="26"/>
      <c r="D2888" s="26" t="s">
        <v>543</v>
      </c>
      <c r="E2888" s="26" t="str">
        <f>IFERROR(VLOOKUP(G2888,WholesaleExtract!B:J,9,FALSE),"")</f>
        <v/>
      </c>
      <c r="F2888" s="26" t="str">
        <f>IFERROR(VLOOKUP(G2888,WholesaleExtract!B:J,6,FALSE),"")</f>
        <v/>
      </c>
      <c r="H2888" s="47" t="str">
        <f>IFERROR(VLOOKUP(G2888,WholesaleExtract!B:L,11,FALSE),"")</f>
        <v/>
      </c>
      <c r="I2888" s="26" t="str">
        <f>IFERROR(VLOOKUP(G2888,WholesaleExtract!B:O,8,FALSE),"")</f>
        <v/>
      </c>
      <c r="J2888" s="26" t="str">
        <f>IFERROR(VLOOKUP(G2888,WholesaleExtract!B:O,14,FALSE),"")</f>
        <v/>
      </c>
      <c r="K2888" s="26" t="str">
        <f>IFERROR(VLOOKUP(G2888,WholesaleExtract!B:K,10,FALSE),"")</f>
        <v/>
      </c>
      <c r="L2888" s="47" t="str">
        <f>IFERROR(VLOOKUP(G2888,WholesaleExtract!B:L,11,FALSE),"")</f>
        <v/>
      </c>
      <c r="M2888" s="47" t="str">
        <f>IFERROR(VLOOKUP(G2888,WholesaleExtract!B:M,12,FALSE),"")</f>
        <v/>
      </c>
      <c r="R2888" s="19"/>
      <c r="S2888" s="19"/>
    </row>
    <row r="2889" spans="1:19" x14ac:dyDescent="0.35">
      <c r="A2889" s="26" t="s">
        <v>543</v>
      </c>
      <c r="B2889" s="26" t="s">
        <v>543</v>
      </c>
      <c r="C2889" s="26"/>
      <c r="D2889" s="26" t="s">
        <v>543</v>
      </c>
      <c r="E2889" s="26" t="str">
        <f>IFERROR(VLOOKUP(G2889,WholesaleExtract!B:J,9,FALSE),"")</f>
        <v/>
      </c>
      <c r="F2889" s="26" t="str">
        <f>IFERROR(VLOOKUP(G2889,WholesaleExtract!B:J,6,FALSE),"")</f>
        <v/>
      </c>
      <c r="H2889" s="47" t="str">
        <f>IFERROR(VLOOKUP(G2889,WholesaleExtract!B:L,11,FALSE),"")</f>
        <v/>
      </c>
      <c r="I2889" s="26" t="str">
        <f>IFERROR(VLOOKUP(G2889,WholesaleExtract!B:O,8,FALSE),"")</f>
        <v/>
      </c>
      <c r="J2889" s="26" t="str">
        <f>IFERROR(VLOOKUP(G2889,WholesaleExtract!B:O,14,FALSE),"")</f>
        <v/>
      </c>
      <c r="K2889" s="26" t="str">
        <f>IFERROR(VLOOKUP(G2889,WholesaleExtract!B:K,10,FALSE),"")</f>
        <v/>
      </c>
      <c r="L2889" s="47" t="str">
        <f>IFERROR(VLOOKUP(G2889,WholesaleExtract!B:L,11,FALSE),"")</f>
        <v/>
      </c>
      <c r="M2889" s="47" t="str">
        <f>IFERROR(VLOOKUP(G2889,WholesaleExtract!B:M,12,FALSE),"")</f>
        <v/>
      </c>
      <c r="R2889" s="19"/>
      <c r="S2889" s="19"/>
    </row>
    <row r="2890" spans="1:19" x14ac:dyDescent="0.35">
      <c r="A2890" s="26" t="s">
        <v>543</v>
      </c>
      <c r="B2890" s="26" t="s">
        <v>543</v>
      </c>
      <c r="C2890" s="26"/>
      <c r="D2890" s="26" t="s">
        <v>543</v>
      </c>
      <c r="E2890" s="26" t="str">
        <f>IFERROR(VLOOKUP(G2890,WholesaleExtract!B:J,9,FALSE),"")</f>
        <v/>
      </c>
      <c r="F2890" s="26" t="str">
        <f>IFERROR(VLOOKUP(G2890,WholesaleExtract!B:J,6,FALSE),"")</f>
        <v/>
      </c>
      <c r="H2890" s="47" t="str">
        <f>IFERROR(VLOOKUP(G2890,WholesaleExtract!B:L,11,FALSE),"")</f>
        <v/>
      </c>
      <c r="I2890" s="26" t="str">
        <f>IFERROR(VLOOKUP(G2890,WholesaleExtract!B:O,8,FALSE),"")</f>
        <v/>
      </c>
      <c r="J2890" s="26" t="str">
        <f>IFERROR(VLOOKUP(G2890,WholesaleExtract!B:O,14,FALSE),"")</f>
        <v/>
      </c>
      <c r="K2890" s="26" t="str">
        <f>IFERROR(VLOOKUP(G2890,WholesaleExtract!B:K,10,FALSE),"")</f>
        <v/>
      </c>
      <c r="L2890" s="47" t="str">
        <f>IFERROR(VLOOKUP(G2890,WholesaleExtract!B:L,11,FALSE),"")</f>
        <v/>
      </c>
      <c r="M2890" s="47" t="str">
        <f>IFERROR(VLOOKUP(G2890,WholesaleExtract!B:M,12,FALSE),"")</f>
        <v/>
      </c>
      <c r="R2890" s="19"/>
      <c r="S2890" s="19"/>
    </row>
    <row r="2891" spans="1:19" x14ac:dyDescent="0.35">
      <c r="A2891" s="26" t="s">
        <v>543</v>
      </c>
      <c r="B2891" s="26" t="s">
        <v>543</v>
      </c>
      <c r="C2891" s="26"/>
      <c r="D2891" s="26" t="s">
        <v>543</v>
      </c>
      <c r="E2891" s="26" t="str">
        <f>IFERROR(VLOOKUP(G2891,WholesaleExtract!B:J,9,FALSE),"")</f>
        <v/>
      </c>
      <c r="F2891" s="26" t="str">
        <f>IFERROR(VLOOKUP(G2891,WholesaleExtract!B:J,6,FALSE),"")</f>
        <v/>
      </c>
      <c r="H2891" s="47" t="str">
        <f>IFERROR(VLOOKUP(G2891,WholesaleExtract!B:L,11,FALSE),"")</f>
        <v/>
      </c>
      <c r="I2891" s="26" t="str">
        <f>IFERROR(VLOOKUP(G2891,WholesaleExtract!B:O,8,FALSE),"")</f>
        <v/>
      </c>
      <c r="J2891" s="26" t="str">
        <f>IFERROR(VLOOKUP(G2891,WholesaleExtract!B:O,14,FALSE),"")</f>
        <v/>
      </c>
      <c r="K2891" s="26" t="str">
        <f>IFERROR(VLOOKUP(G2891,WholesaleExtract!B:K,10,FALSE),"")</f>
        <v/>
      </c>
      <c r="L2891" s="47" t="str">
        <f>IFERROR(VLOOKUP(G2891,WholesaleExtract!B:L,11,FALSE),"")</f>
        <v/>
      </c>
      <c r="M2891" s="47" t="str">
        <f>IFERROR(VLOOKUP(G2891,WholesaleExtract!B:M,12,FALSE),"")</f>
        <v/>
      </c>
      <c r="R2891" s="19"/>
      <c r="S2891" s="19"/>
    </row>
    <row r="2892" spans="1:19" x14ac:dyDescent="0.35">
      <c r="A2892" s="26" t="s">
        <v>543</v>
      </c>
      <c r="B2892" s="26" t="s">
        <v>543</v>
      </c>
      <c r="C2892" s="26"/>
      <c r="D2892" s="26" t="s">
        <v>543</v>
      </c>
      <c r="E2892" s="26" t="str">
        <f>IFERROR(VLOOKUP(G2892,WholesaleExtract!B:J,9,FALSE),"")</f>
        <v/>
      </c>
      <c r="F2892" s="26" t="str">
        <f>IFERROR(VLOOKUP(G2892,WholesaleExtract!B:J,6,FALSE),"")</f>
        <v/>
      </c>
      <c r="H2892" s="47" t="str">
        <f>IFERROR(VLOOKUP(G2892,WholesaleExtract!B:L,11,FALSE),"")</f>
        <v/>
      </c>
      <c r="I2892" s="26" t="str">
        <f>IFERROR(VLOOKUP(G2892,WholesaleExtract!B:O,8,FALSE),"")</f>
        <v/>
      </c>
      <c r="J2892" s="26" t="str">
        <f>IFERROR(VLOOKUP(G2892,WholesaleExtract!B:O,14,FALSE),"")</f>
        <v/>
      </c>
      <c r="K2892" s="26" t="str">
        <f>IFERROR(VLOOKUP(G2892,WholesaleExtract!B:K,10,FALSE),"")</f>
        <v/>
      </c>
      <c r="L2892" s="47" t="str">
        <f>IFERROR(VLOOKUP(G2892,WholesaleExtract!B:L,11,FALSE),"")</f>
        <v/>
      </c>
      <c r="M2892" s="47" t="str">
        <f>IFERROR(VLOOKUP(G2892,WholesaleExtract!B:M,12,FALSE),"")</f>
        <v/>
      </c>
      <c r="R2892" s="19"/>
      <c r="S2892" s="19"/>
    </row>
    <row r="2893" spans="1:19" x14ac:dyDescent="0.35">
      <c r="A2893" s="26" t="s">
        <v>543</v>
      </c>
      <c r="B2893" s="26" t="s">
        <v>543</v>
      </c>
      <c r="C2893" s="26"/>
      <c r="D2893" s="26" t="s">
        <v>543</v>
      </c>
      <c r="E2893" s="26" t="str">
        <f>IFERROR(VLOOKUP(G2893,WholesaleExtract!B:J,9,FALSE),"")</f>
        <v/>
      </c>
      <c r="F2893" s="26" t="str">
        <f>IFERROR(VLOOKUP(G2893,WholesaleExtract!B:J,6,FALSE),"")</f>
        <v/>
      </c>
      <c r="H2893" s="47" t="str">
        <f>IFERROR(VLOOKUP(G2893,WholesaleExtract!B:L,11,FALSE),"")</f>
        <v/>
      </c>
      <c r="I2893" s="26" t="str">
        <f>IFERROR(VLOOKUP(G2893,WholesaleExtract!B:O,8,FALSE),"")</f>
        <v/>
      </c>
      <c r="J2893" s="26" t="str">
        <f>IFERROR(VLOOKUP(G2893,WholesaleExtract!B:O,14,FALSE),"")</f>
        <v/>
      </c>
      <c r="K2893" s="26" t="str">
        <f>IFERROR(VLOOKUP(G2893,WholesaleExtract!B:K,10,FALSE),"")</f>
        <v/>
      </c>
      <c r="L2893" s="47" t="str">
        <f>IFERROR(VLOOKUP(G2893,WholesaleExtract!B:L,11,FALSE),"")</f>
        <v/>
      </c>
      <c r="M2893" s="47" t="str">
        <f>IFERROR(VLOOKUP(G2893,WholesaleExtract!B:M,12,FALSE),"")</f>
        <v/>
      </c>
      <c r="R2893" s="19"/>
      <c r="S2893" s="19"/>
    </row>
    <row r="2894" spans="1:19" x14ac:dyDescent="0.35">
      <c r="A2894" s="26" t="s">
        <v>543</v>
      </c>
      <c r="B2894" s="26" t="s">
        <v>543</v>
      </c>
      <c r="C2894" s="26"/>
      <c r="D2894" s="26" t="s">
        <v>543</v>
      </c>
      <c r="E2894" s="26" t="str">
        <f>IFERROR(VLOOKUP(G2894,WholesaleExtract!B:J,9,FALSE),"")</f>
        <v/>
      </c>
      <c r="F2894" s="26" t="str">
        <f>IFERROR(VLOOKUP(G2894,WholesaleExtract!B:J,6,FALSE),"")</f>
        <v/>
      </c>
      <c r="H2894" s="47" t="str">
        <f>IFERROR(VLOOKUP(G2894,WholesaleExtract!B:L,11,FALSE),"")</f>
        <v/>
      </c>
      <c r="I2894" s="26" t="str">
        <f>IFERROR(VLOOKUP(G2894,WholesaleExtract!B:O,8,FALSE),"")</f>
        <v/>
      </c>
      <c r="J2894" s="26" t="str">
        <f>IFERROR(VLOOKUP(G2894,WholesaleExtract!B:O,14,FALSE),"")</f>
        <v/>
      </c>
      <c r="K2894" s="26" t="str">
        <f>IFERROR(VLOOKUP(G2894,WholesaleExtract!B:K,10,FALSE),"")</f>
        <v/>
      </c>
      <c r="L2894" s="47" t="str">
        <f>IFERROR(VLOOKUP(G2894,WholesaleExtract!B:L,11,FALSE),"")</f>
        <v/>
      </c>
      <c r="M2894" s="47" t="str">
        <f>IFERROR(VLOOKUP(G2894,WholesaleExtract!B:M,12,FALSE),"")</f>
        <v/>
      </c>
      <c r="R2894" s="19"/>
      <c r="S2894" s="19"/>
    </row>
    <row r="2895" spans="1:19" x14ac:dyDescent="0.35">
      <c r="A2895" s="26" t="s">
        <v>543</v>
      </c>
      <c r="B2895" s="26" t="s">
        <v>543</v>
      </c>
      <c r="C2895" s="26"/>
      <c r="D2895" s="26" t="s">
        <v>543</v>
      </c>
      <c r="E2895" s="26" t="str">
        <f>IFERROR(VLOOKUP(G2895,WholesaleExtract!B:J,9,FALSE),"")</f>
        <v/>
      </c>
      <c r="F2895" s="26" t="str">
        <f>IFERROR(VLOOKUP(G2895,WholesaleExtract!B:J,6,FALSE),"")</f>
        <v/>
      </c>
      <c r="H2895" s="47" t="str">
        <f>IFERROR(VLOOKUP(G2895,WholesaleExtract!B:L,11,FALSE),"")</f>
        <v/>
      </c>
      <c r="I2895" s="26" t="str">
        <f>IFERROR(VLOOKUP(G2895,WholesaleExtract!B:O,8,FALSE),"")</f>
        <v/>
      </c>
      <c r="J2895" s="26" t="str">
        <f>IFERROR(VLOOKUP(G2895,WholesaleExtract!B:O,14,FALSE),"")</f>
        <v/>
      </c>
      <c r="K2895" s="26" t="str">
        <f>IFERROR(VLOOKUP(G2895,WholesaleExtract!B:K,10,FALSE),"")</f>
        <v/>
      </c>
      <c r="L2895" s="47" t="str">
        <f>IFERROR(VLOOKUP(G2895,WholesaleExtract!B:L,11,FALSE),"")</f>
        <v/>
      </c>
      <c r="M2895" s="47" t="str">
        <f>IFERROR(VLOOKUP(G2895,WholesaleExtract!B:M,12,FALSE),"")</f>
        <v/>
      </c>
      <c r="R2895" s="19"/>
      <c r="S2895" s="19"/>
    </row>
    <row r="2896" spans="1:19" x14ac:dyDescent="0.35">
      <c r="A2896" s="26" t="s">
        <v>543</v>
      </c>
      <c r="B2896" s="26" t="s">
        <v>543</v>
      </c>
      <c r="C2896" s="26"/>
      <c r="D2896" s="26" t="s">
        <v>543</v>
      </c>
      <c r="E2896" s="26" t="str">
        <f>IFERROR(VLOOKUP(G2896,WholesaleExtract!B:J,9,FALSE),"")</f>
        <v/>
      </c>
      <c r="F2896" s="26" t="str">
        <f>IFERROR(VLOOKUP(G2896,WholesaleExtract!B:J,6,FALSE),"")</f>
        <v/>
      </c>
      <c r="H2896" s="47" t="str">
        <f>IFERROR(VLOOKUP(G2896,WholesaleExtract!B:L,11,FALSE),"")</f>
        <v/>
      </c>
      <c r="I2896" s="26" t="str">
        <f>IFERROR(VLOOKUP(G2896,WholesaleExtract!B:O,8,FALSE),"")</f>
        <v/>
      </c>
      <c r="J2896" s="26" t="str">
        <f>IFERROR(VLOOKUP(G2896,WholesaleExtract!B:O,14,FALSE),"")</f>
        <v/>
      </c>
      <c r="K2896" s="26" t="str">
        <f>IFERROR(VLOOKUP(G2896,WholesaleExtract!B:K,10,FALSE),"")</f>
        <v/>
      </c>
      <c r="L2896" s="47" t="str">
        <f>IFERROR(VLOOKUP(G2896,WholesaleExtract!B:L,11,FALSE),"")</f>
        <v/>
      </c>
      <c r="M2896" s="47" t="str">
        <f>IFERROR(VLOOKUP(G2896,WholesaleExtract!B:M,12,FALSE),"")</f>
        <v/>
      </c>
      <c r="R2896" s="19"/>
      <c r="S2896" s="19"/>
    </row>
    <row r="2897" spans="1:19" x14ac:dyDescent="0.35">
      <c r="A2897" s="26" t="s">
        <v>543</v>
      </c>
      <c r="B2897" s="26" t="s">
        <v>543</v>
      </c>
      <c r="C2897" s="26"/>
      <c r="D2897" s="26" t="s">
        <v>543</v>
      </c>
      <c r="E2897" s="26" t="str">
        <f>IFERROR(VLOOKUP(G2897,WholesaleExtract!B:J,9,FALSE),"")</f>
        <v/>
      </c>
      <c r="F2897" s="26" t="str">
        <f>IFERROR(VLOOKUP(G2897,WholesaleExtract!B:J,6,FALSE),"")</f>
        <v/>
      </c>
      <c r="H2897" s="47" t="str">
        <f>IFERROR(VLOOKUP(G2897,WholesaleExtract!B:L,11,FALSE),"")</f>
        <v/>
      </c>
      <c r="I2897" s="26" t="str">
        <f>IFERROR(VLOOKUP(G2897,WholesaleExtract!B:O,8,FALSE),"")</f>
        <v/>
      </c>
      <c r="J2897" s="26" t="str">
        <f>IFERROR(VLOOKUP(G2897,WholesaleExtract!B:O,14,FALSE),"")</f>
        <v/>
      </c>
      <c r="K2897" s="26" t="str">
        <f>IFERROR(VLOOKUP(G2897,WholesaleExtract!B:K,10,FALSE),"")</f>
        <v/>
      </c>
      <c r="L2897" s="47" t="str">
        <f>IFERROR(VLOOKUP(G2897,WholesaleExtract!B:L,11,FALSE),"")</f>
        <v/>
      </c>
      <c r="M2897" s="47" t="str">
        <f>IFERROR(VLOOKUP(G2897,WholesaleExtract!B:M,12,FALSE),"")</f>
        <v/>
      </c>
      <c r="R2897" s="19"/>
      <c r="S2897" s="19"/>
    </row>
    <row r="2898" spans="1:19" x14ac:dyDescent="0.35">
      <c r="A2898" s="26" t="s">
        <v>543</v>
      </c>
      <c r="B2898" s="26" t="s">
        <v>543</v>
      </c>
      <c r="C2898" s="26"/>
      <c r="D2898" s="26" t="s">
        <v>543</v>
      </c>
      <c r="E2898" s="26" t="str">
        <f>IFERROR(VLOOKUP(G2898,WholesaleExtract!B:J,9,FALSE),"")</f>
        <v/>
      </c>
      <c r="F2898" s="26" t="str">
        <f>IFERROR(VLOOKUP(G2898,WholesaleExtract!B:J,6,FALSE),"")</f>
        <v/>
      </c>
      <c r="H2898" s="47" t="str">
        <f>IFERROR(VLOOKUP(G2898,WholesaleExtract!B:L,11,FALSE),"")</f>
        <v/>
      </c>
      <c r="I2898" s="26" t="str">
        <f>IFERROR(VLOOKUP(G2898,WholesaleExtract!B:O,8,FALSE),"")</f>
        <v/>
      </c>
      <c r="J2898" s="26" t="str">
        <f>IFERROR(VLOOKUP(G2898,WholesaleExtract!B:O,14,FALSE),"")</f>
        <v/>
      </c>
      <c r="K2898" s="26" t="str">
        <f>IFERROR(VLOOKUP(G2898,WholesaleExtract!B:K,10,FALSE),"")</f>
        <v/>
      </c>
      <c r="L2898" s="47" t="str">
        <f>IFERROR(VLOOKUP(G2898,WholesaleExtract!B:L,11,FALSE),"")</f>
        <v/>
      </c>
      <c r="M2898" s="47" t="str">
        <f>IFERROR(VLOOKUP(G2898,WholesaleExtract!B:M,12,FALSE),"")</f>
        <v/>
      </c>
      <c r="R2898" s="19"/>
      <c r="S2898" s="19"/>
    </row>
    <row r="2899" spans="1:19" x14ac:dyDescent="0.35">
      <c r="A2899" s="26" t="s">
        <v>543</v>
      </c>
      <c r="B2899" s="26" t="s">
        <v>543</v>
      </c>
      <c r="C2899" s="26"/>
      <c r="D2899" s="26" t="s">
        <v>543</v>
      </c>
      <c r="E2899" s="26" t="str">
        <f>IFERROR(VLOOKUP(G2899,WholesaleExtract!B:J,9,FALSE),"")</f>
        <v/>
      </c>
      <c r="F2899" s="26" t="str">
        <f>IFERROR(VLOOKUP(G2899,WholesaleExtract!B:J,6,FALSE),"")</f>
        <v/>
      </c>
      <c r="H2899" s="47" t="str">
        <f>IFERROR(VLOOKUP(G2899,WholesaleExtract!B:L,11,FALSE),"")</f>
        <v/>
      </c>
      <c r="I2899" s="26" t="str">
        <f>IFERROR(VLOOKUP(G2899,WholesaleExtract!B:O,8,FALSE),"")</f>
        <v/>
      </c>
      <c r="J2899" s="26" t="str">
        <f>IFERROR(VLOOKUP(G2899,WholesaleExtract!B:O,14,FALSE),"")</f>
        <v/>
      </c>
      <c r="K2899" s="26" t="str">
        <f>IFERROR(VLOOKUP(G2899,WholesaleExtract!B:K,10,FALSE),"")</f>
        <v/>
      </c>
      <c r="L2899" s="47" t="str">
        <f>IFERROR(VLOOKUP(G2899,WholesaleExtract!B:L,11,FALSE),"")</f>
        <v/>
      </c>
      <c r="M2899" s="47" t="str">
        <f>IFERROR(VLOOKUP(G2899,WholesaleExtract!B:M,12,FALSE),"")</f>
        <v/>
      </c>
      <c r="R2899" s="19"/>
      <c r="S2899" s="19"/>
    </row>
    <row r="2900" spans="1:19" x14ac:dyDescent="0.35">
      <c r="A2900" s="26" t="s">
        <v>543</v>
      </c>
      <c r="B2900" s="26" t="s">
        <v>543</v>
      </c>
      <c r="C2900" s="26"/>
      <c r="D2900" s="26" t="s">
        <v>543</v>
      </c>
      <c r="E2900" s="26" t="str">
        <f>IFERROR(VLOOKUP(G2900,WholesaleExtract!B:J,9,FALSE),"")</f>
        <v/>
      </c>
      <c r="F2900" s="26" t="str">
        <f>IFERROR(VLOOKUP(G2900,WholesaleExtract!B:J,6,FALSE),"")</f>
        <v/>
      </c>
      <c r="H2900" s="47" t="str">
        <f>IFERROR(VLOOKUP(G2900,WholesaleExtract!B:L,11,FALSE),"")</f>
        <v/>
      </c>
      <c r="I2900" s="26" t="str">
        <f>IFERROR(VLOOKUP(G2900,WholesaleExtract!B:O,8,FALSE),"")</f>
        <v/>
      </c>
      <c r="J2900" s="26" t="str">
        <f>IFERROR(VLOOKUP(G2900,WholesaleExtract!B:O,14,FALSE),"")</f>
        <v/>
      </c>
      <c r="K2900" s="26" t="str">
        <f>IFERROR(VLOOKUP(G2900,WholesaleExtract!B:K,10,FALSE),"")</f>
        <v/>
      </c>
      <c r="L2900" s="47" t="str">
        <f>IFERROR(VLOOKUP(G2900,WholesaleExtract!B:L,11,FALSE),"")</f>
        <v/>
      </c>
      <c r="M2900" s="47" t="str">
        <f>IFERROR(VLOOKUP(G2900,WholesaleExtract!B:M,12,FALSE),"")</f>
        <v/>
      </c>
      <c r="R2900" s="19"/>
      <c r="S2900" s="19"/>
    </row>
    <row r="2901" spans="1:19" x14ac:dyDescent="0.35">
      <c r="A2901" s="26" t="s">
        <v>543</v>
      </c>
      <c r="B2901" s="26" t="s">
        <v>543</v>
      </c>
      <c r="C2901" s="26"/>
      <c r="D2901" s="26" t="s">
        <v>543</v>
      </c>
      <c r="E2901" s="26" t="str">
        <f>IFERROR(VLOOKUP(G2901,WholesaleExtract!B:J,9,FALSE),"")</f>
        <v/>
      </c>
      <c r="F2901" s="26" t="str">
        <f>IFERROR(VLOOKUP(G2901,WholesaleExtract!B:J,6,FALSE),"")</f>
        <v/>
      </c>
      <c r="H2901" s="47" t="str">
        <f>IFERROR(VLOOKUP(G2901,WholesaleExtract!B:L,11,FALSE),"")</f>
        <v/>
      </c>
      <c r="I2901" s="26" t="str">
        <f>IFERROR(VLOOKUP(G2901,WholesaleExtract!B:O,8,FALSE),"")</f>
        <v/>
      </c>
      <c r="J2901" s="26" t="str">
        <f>IFERROR(VLOOKUP(G2901,WholesaleExtract!B:O,14,FALSE),"")</f>
        <v/>
      </c>
      <c r="K2901" s="26" t="str">
        <f>IFERROR(VLOOKUP(G2901,WholesaleExtract!B:K,10,FALSE),"")</f>
        <v/>
      </c>
      <c r="L2901" s="47" t="str">
        <f>IFERROR(VLOOKUP(G2901,WholesaleExtract!B:L,11,FALSE),"")</f>
        <v/>
      </c>
      <c r="M2901" s="47" t="str">
        <f>IFERROR(VLOOKUP(G2901,WholesaleExtract!B:M,12,FALSE),"")</f>
        <v/>
      </c>
      <c r="R2901" s="19"/>
      <c r="S2901" s="19"/>
    </row>
    <row r="2902" spans="1:19" x14ac:dyDescent="0.35">
      <c r="A2902" s="26" t="s">
        <v>543</v>
      </c>
      <c r="B2902" s="26" t="s">
        <v>543</v>
      </c>
      <c r="C2902" s="26"/>
      <c r="D2902" s="26" t="s">
        <v>543</v>
      </c>
      <c r="E2902" s="26" t="str">
        <f>IFERROR(VLOOKUP(G2902,WholesaleExtract!B:J,9,FALSE),"")</f>
        <v/>
      </c>
      <c r="F2902" s="26" t="str">
        <f>IFERROR(VLOOKUP(G2902,WholesaleExtract!B:J,6,FALSE),"")</f>
        <v/>
      </c>
      <c r="H2902" s="47" t="str">
        <f>IFERROR(VLOOKUP(G2902,WholesaleExtract!B:L,11,FALSE),"")</f>
        <v/>
      </c>
      <c r="I2902" s="26" t="str">
        <f>IFERROR(VLOOKUP(G2902,WholesaleExtract!B:O,8,FALSE),"")</f>
        <v/>
      </c>
      <c r="J2902" s="26" t="str">
        <f>IFERROR(VLOOKUP(G2902,WholesaleExtract!B:O,14,FALSE),"")</f>
        <v/>
      </c>
      <c r="K2902" s="26" t="str">
        <f>IFERROR(VLOOKUP(G2902,WholesaleExtract!B:K,10,FALSE),"")</f>
        <v/>
      </c>
      <c r="L2902" s="47" t="str">
        <f>IFERROR(VLOOKUP(G2902,WholesaleExtract!B:L,11,FALSE),"")</f>
        <v/>
      </c>
      <c r="M2902" s="47" t="str">
        <f>IFERROR(VLOOKUP(G2902,WholesaleExtract!B:M,12,FALSE),"")</f>
        <v/>
      </c>
      <c r="R2902" s="19"/>
      <c r="S2902" s="19"/>
    </row>
    <row r="2903" spans="1:19" x14ac:dyDescent="0.35">
      <c r="A2903" s="26" t="s">
        <v>543</v>
      </c>
      <c r="B2903" s="26" t="s">
        <v>543</v>
      </c>
      <c r="C2903" s="26"/>
      <c r="D2903" s="26" t="s">
        <v>543</v>
      </c>
      <c r="E2903" s="26" t="str">
        <f>IFERROR(VLOOKUP(G2903,WholesaleExtract!B:J,9,FALSE),"")</f>
        <v/>
      </c>
      <c r="F2903" s="26" t="str">
        <f>IFERROR(VLOOKUP(G2903,WholesaleExtract!B:J,6,FALSE),"")</f>
        <v/>
      </c>
      <c r="H2903" s="47" t="str">
        <f>IFERROR(VLOOKUP(G2903,WholesaleExtract!B:L,11,FALSE),"")</f>
        <v/>
      </c>
      <c r="I2903" s="26" t="str">
        <f>IFERROR(VLOOKUP(G2903,WholesaleExtract!B:O,8,FALSE),"")</f>
        <v/>
      </c>
      <c r="J2903" s="26" t="str">
        <f>IFERROR(VLOOKUP(G2903,WholesaleExtract!B:O,14,FALSE),"")</f>
        <v/>
      </c>
      <c r="K2903" s="26" t="str">
        <f>IFERROR(VLOOKUP(G2903,WholesaleExtract!B:K,10,FALSE),"")</f>
        <v/>
      </c>
      <c r="L2903" s="47" t="str">
        <f>IFERROR(VLOOKUP(G2903,WholesaleExtract!B:L,11,FALSE),"")</f>
        <v/>
      </c>
      <c r="M2903" s="47" t="str">
        <f>IFERROR(VLOOKUP(G2903,WholesaleExtract!B:M,12,FALSE),"")</f>
        <v/>
      </c>
      <c r="R2903" s="19"/>
      <c r="S2903" s="19"/>
    </row>
    <row r="2904" spans="1:19" x14ac:dyDescent="0.35">
      <c r="A2904" s="26" t="s">
        <v>543</v>
      </c>
      <c r="B2904" s="26" t="s">
        <v>543</v>
      </c>
      <c r="C2904" s="26"/>
      <c r="D2904" s="26" t="s">
        <v>543</v>
      </c>
      <c r="E2904" s="26" t="str">
        <f>IFERROR(VLOOKUP(G2904,WholesaleExtract!B:J,9,FALSE),"")</f>
        <v/>
      </c>
      <c r="F2904" s="26" t="str">
        <f>IFERROR(VLOOKUP(G2904,WholesaleExtract!B:J,6,FALSE),"")</f>
        <v/>
      </c>
      <c r="H2904" s="47" t="str">
        <f>IFERROR(VLOOKUP(G2904,WholesaleExtract!B:L,11,FALSE),"")</f>
        <v/>
      </c>
      <c r="I2904" s="26" t="str">
        <f>IFERROR(VLOOKUP(G2904,WholesaleExtract!B:O,8,FALSE),"")</f>
        <v/>
      </c>
      <c r="J2904" s="26" t="str">
        <f>IFERROR(VLOOKUP(G2904,WholesaleExtract!B:O,14,FALSE),"")</f>
        <v/>
      </c>
      <c r="K2904" s="26" t="str">
        <f>IFERROR(VLOOKUP(G2904,WholesaleExtract!B:K,10,FALSE),"")</f>
        <v/>
      </c>
      <c r="L2904" s="47" t="str">
        <f>IFERROR(VLOOKUP(G2904,WholesaleExtract!B:L,11,FALSE),"")</f>
        <v/>
      </c>
      <c r="M2904" s="47" t="str">
        <f>IFERROR(VLOOKUP(G2904,WholesaleExtract!B:M,12,FALSE),"")</f>
        <v/>
      </c>
      <c r="R2904" s="19"/>
      <c r="S2904" s="19"/>
    </row>
    <row r="2905" spans="1:19" x14ac:dyDescent="0.35">
      <c r="A2905" s="26" t="s">
        <v>543</v>
      </c>
      <c r="B2905" s="26" t="s">
        <v>543</v>
      </c>
      <c r="C2905" s="26"/>
      <c r="D2905" s="26" t="s">
        <v>543</v>
      </c>
      <c r="E2905" s="26" t="str">
        <f>IFERROR(VLOOKUP(G2905,WholesaleExtract!B:J,9,FALSE),"")</f>
        <v/>
      </c>
      <c r="F2905" s="26" t="str">
        <f>IFERROR(VLOOKUP(G2905,WholesaleExtract!B:J,6,FALSE),"")</f>
        <v/>
      </c>
      <c r="H2905" s="47" t="str">
        <f>IFERROR(VLOOKUP(G2905,WholesaleExtract!B:L,11,FALSE),"")</f>
        <v/>
      </c>
      <c r="I2905" s="26" t="str">
        <f>IFERROR(VLOOKUP(G2905,WholesaleExtract!B:O,8,FALSE),"")</f>
        <v/>
      </c>
      <c r="J2905" s="26" t="str">
        <f>IFERROR(VLOOKUP(G2905,WholesaleExtract!B:O,14,FALSE),"")</f>
        <v/>
      </c>
      <c r="K2905" s="26" t="str">
        <f>IFERROR(VLOOKUP(G2905,WholesaleExtract!B:K,10,FALSE),"")</f>
        <v/>
      </c>
      <c r="L2905" s="47" t="str">
        <f>IFERROR(VLOOKUP(G2905,WholesaleExtract!B:L,11,FALSE),"")</f>
        <v/>
      </c>
      <c r="M2905" s="47" t="str">
        <f>IFERROR(VLOOKUP(G2905,WholesaleExtract!B:M,12,FALSE),"")</f>
        <v/>
      </c>
      <c r="R2905" s="19"/>
      <c r="S2905" s="19"/>
    </row>
    <row r="2906" spans="1:19" x14ac:dyDescent="0.35">
      <c r="A2906" s="26" t="s">
        <v>543</v>
      </c>
      <c r="B2906" s="26" t="s">
        <v>543</v>
      </c>
      <c r="C2906" s="26"/>
      <c r="D2906" s="26" t="s">
        <v>543</v>
      </c>
      <c r="E2906" s="26" t="str">
        <f>IFERROR(VLOOKUP(G2906,WholesaleExtract!B:J,9,FALSE),"")</f>
        <v/>
      </c>
      <c r="F2906" s="26" t="str">
        <f>IFERROR(VLOOKUP(G2906,WholesaleExtract!B:J,6,FALSE),"")</f>
        <v/>
      </c>
      <c r="H2906" s="47" t="str">
        <f>IFERROR(VLOOKUP(G2906,WholesaleExtract!B:L,11,FALSE),"")</f>
        <v/>
      </c>
      <c r="I2906" s="26" t="str">
        <f>IFERROR(VLOOKUP(G2906,WholesaleExtract!B:O,8,FALSE),"")</f>
        <v/>
      </c>
      <c r="J2906" s="26" t="str">
        <f>IFERROR(VLOOKUP(G2906,WholesaleExtract!B:O,14,FALSE),"")</f>
        <v/>
      </c>
      <c r="K2906" s="26" t="str">
        <f>IFERROR(VLOOKUP(G2906,WholesaleExtract!B:K,10,FALSE),"")</f>
        <v/>
      </c>
      <c r="L2906" s="47" t="str">
        <f>IFERROR(VLOOKUP(G2906,WholesaleExtract!B:L,11,FALSE),"")</f>
        <v/>
      </c>
      <c r="M2906" s="47" t="str">
        <f>IFERROR(VLOOKUP(G2906,WholesaleExtract!B:M,12,FALSE),"")</f>
        <v/>
      </c>
      <c r="R2906" s="19"/>
      <c r="S2906" s="19"/>
    </row>
    <row r="2907" spans="1:19" x14ac:dyDescent="0.35">
      <c r="A2907" s="26" t="s">
        <v>543</v>
      </c>
      <c r="B2907" s="26" t="s">
        <v>543</v>
      </c>
      <c r="C2907" s="26"/>
      <c r="D2907" s="26" t="s">
        <v>543</v>
      </c>
      <c r="E2907" s="26" t="str">
        <f>IFERROR(VLOOKUP(G2907,WholesaleExtract!B:J,9,FALSE),"")</f>
        <v/>
      </c>
      <c r="F2907" s="26" t="str">
        <f>IFERROR(VLOOKUP(G2907,WholesaleExtract!B:J,6,FALSE),"")</f>
        <v/>
      </c>
      <c r="H2907" s="47" t="str">
        <f>IFERROR(VLOOKUP(G2907,WholesaleExtract!B:L,11,FALSE),"")</f>
        <v/>
      </c>
      <c r="I2907" s="26" t="str">
        <f>IFERROR(VLOOKUP(G2907,WholesaleExtract!B:O,8,FALSE),"")</f>
        <v/>
      </c>
      <c r="J2907" s="26" t="str">
        <f>IFERROR(VLOOKUP(G2907,WholesaleExtract!B:O,14,FALSE),"")</f>
        <v/>
      </c>
      <c r="K2907" s="26" t="str">
        <f>IFERROR(VLOOKUP(G2907,WholesaleExtract!B:K,10,FALSE),"")</f>
        <v/>
      </c>
      <c r="L2907" s="47" t="str">
        <f>IFERROR(VLOOKUP(G2907,WholesaleExtract!B:L,11,FALSE),"")</f>
        <v/>
      </c>
      <c r="M2907" s="47" t="str">
        <f>IFERROR(VLOOKUP(G2907,WholesaleExtract!B:M,12,FALSE),"")</f>
        <v/>
      </c>
      <c r="R2907" s="19"/>
      <c r="S2907" s="19"/>
    </row>
    <row r="2908" spans="1:19" x14ac:dyDescent="0.35">
      <c r="A2908" s="26" t="s">
        <v>543</v>
      </c>
      <c r="B2908" s="26" t="s">
        <v>543</v>
      </c>
      <c r="C2908" s="26"/>
      <c r="D2908" s="26" t="s">
        <v>543</v>
      </c>
      <c r="E2908" s="26" t="str">
        <f>IFERROR(VLOOKUP(G2908,WholesaleExtract!B:J,9,FALSE),"")</f>
        <v/>
      </c>
      <c r="F2908" s="26" t="str">
        <f>IFERROR(VLOOKUP(G2908,WholesaleExtract!B:J,6,FALSE),"")</f>
        <v/>
      </c>
      <c r="H2908" s="47" t="str">
        <f>IFERROR(VLOOKUP(G2908,WholesaleExtract!B:L,11,FALSE),"")</f>
        <v/>
      </c>
      <c r="I2908" s="26" t="str">
        <f>IFERROR(VLOOKUP(G2908,WholesaleExtract!B:O,8,FALSE),"")</f>
        <v/>
      </c>
      <c r="J2908" s="26" t="str">
        <f>IFERROR(VLOOKUP(G2908,WholesaleExtract!B:O,14,FALSE),"")</f>
        <v/>
      </c>
      <c r="K2908" s="26" t="str">
        <f>IFERROR(VLOOKUP(G2908,WholesaleExtract!B:K,10,FALSE),"")</f>
        <v/>
      </c>
      <c r="L2908" s="47" t="str">
        <f>IFERROR(VLOOKUP(G2908,WholesaleExtract!B:L,11,FALSE),"")</f>
        <v/>
      </c>
      <c r="M2908" s="47" t="str">
        <f>IFERROR(VLOOKUP(G2908,WholesaleExtract!B:M,12,FALSE),"")</f>
        <v/>
      </c>
      <c r="R2908" s="19"/>
      <c r="S2908" s="19"/>
    </row>
    <row r="2909" spans="1:19" x14ac:dyDescent="0.35">
      <c r="A2909" s="26" t="s">
        <v>543</v>
      </c>
      <c r="B2909" s="26" t="s">
        <v>543</v>
      </c>
      <c r="C2909" s="26"/>
      <c r="D2909" s="26" t="s">
        <v>543</v>
      </c>
      <c r="E2909" s="26" t="str">
        <f>IFERROR(VLOOKUP(G2909,WholesaleExtract!B:J,9,FALSE),"")</f>
        <v/>
      </c>
      <c r="F2909" s="26" t="str">
        <f>IFERROR(VLOOKUP(G2909,WholesaleExtract!B:J,6,FALSE),"")</f>
        <v/>
      </c>
      <c r="H2909" s="47" t="str">
        <f>IFERROR(VLOOKUP(G2909,WholesaleExtract!B:L,11,FALSE),"")</f>
        <v/>
      </c>
      <c r="I2909" s="26" t="str">
        <f>IFERROR(VLOOKUP(G2909,WholesaleExtract!B:O,8,FALSE),"")</f>
        <v/>
      </c>
      <c r="J2909" s="26" t="str">
        <f>IFERROR(VLOOKUP(G2909,WholesaleExtract!B:O,14,FALSE),"")</f>
        <v/>
      </c>
      <c r="K2909" s="26" t="str">
        <f>IFERROR(VLOOKUP(G2909,WholesaleExtract!B:K,10,FALSE),"")</f>
        <v/>
      </c>
      <c r="L2909" s="47" t="str">
        <f>IFERROR(VLOOKUP(G2909,WholesaleExtract!B:L,11,FALSE),"")</f>
        <v/>
      </c>
      <c r="M2909" s="47" t="str">
        <f>IFERROR(VLOOKUP(G2909,WholesaleExtract!B:M,12,FALSE),"")</f>
        <v/>
      </c>
      <c r="R2909" s="19"/>
      <c r="S2909" s="19"/>
    </row>
    <row r="2910" spans="1:19" x14ac:dyDescent="0.35">
      <c r="A2910" s="26" t="s">
        <v>543</v>
      </c>
      <c r="B2910" s="26" t="s">
        <v>543</v>
      </c>
      <c r="C2910" s="26"/>
      <c r="D2910" s="26" t="s">
        <v>543</v>
      </c>
      <c r="E2910" s="26" t="str">
        <f>IFERROR(VLOOKUP(G2910,WholesaleExtract!B:J,9,FALSE),"")</f>
        <v/>
      </c>
      <c r="F2910" s="26" t="str">
        <f>IFERROR(VLOOKUP(G2910,WholesaleExtract!B:J,6,FALSE),"")</f>
        <v/>
      </c>
      <c r="H2910" s="47" t="str">
        <f>IFERROR(VLOOKUP(G2910,WholesaleExtract!B:L,11,FALSE),"")</f>
        <v/>
      </c>
      <c r="I2910" s="26" t="str">
        <f>IFERROR(VLOOKUP(G2910,WholesaleExtract!B:O,8,FALSE),"")</f>
        <v/>
      </c>
      <c r="J2910" s="26" t="str">
        <f>IFERROR(VLOOKUP(G2910,WholesaleExtract!B:O,14,FALSE),"")</f>
        <v/>
      </c>
      <c r="K2910" s="26" t="str">
        <f>IFERROR(VLOOKUP(G2910,WholesaleExtract!B:K,10,FALSE),"")</f>
        <v/>
      </c>
      <c r="L2910" s="47" t="str">
        <f>IFERROR(VLOOKUP(G2910,WholesaleExtract!B:L,11,FALSE),"")</f>
        <v/>
      </c>
      <c r="M2910" s="47" t="str">
        <f>IFERROR(VLOOKUP(G2910,WholesaleExtract!B:M,12,FALSE),"")</f>
        <v/>
      </c>
      <c r="R2910" s="19"/>
      <c r="S2910" s="19"/>
    </row>
    <row r="2911" spans="1:19" x14ac:dyDescent="0.35">
      <c r="A2911" s="26" t="s">
        <v>543</v>
      </c>
      <c r="B2911" s="26" t="s">
        <v>543</v>
      </c>
      <c r="C2911" s="26"/>
      <c r="D2911" s="26" t="s">
        <v>543</v>
      </c>
      <c r="E2911" s="26" t="str">
        <f>IFERROR(VLOOKUP(G2911,WholesaleExtract!B:J,9,FALSE),"")</f>
        <v/>
      </c>
      <c r="F2911" s="26" t="str">
        <f>IFERROR(VLOOKUP(G2911,WholesaleExtract!B:J,6,FALSE),"")</f>
        <v/>
      </c>
      <c r="H2911" s="47" t="str">
        <f>IFERROR(VLOOKUP(G2911,WholesaleExtract!B:L,11,FALSE),"")</f>
        <v/>
      </c>
      <c r="I2911" s="26" t="str">
        <f>IFERROR(VLOOKUP(G2911,WholesaleExtract!B:O,8,FALSE),"")</f>
        <v/>
      </c>
      <c r="J2911" s="26" t="str">
        <f>IFERROR(VLOOKUP(G2911,WholesaleExtract!B:O,14,FALSE),"")</f>
        <v/>
      </c>
      <c r="K2911" s="26" t="str">
        <f>IFERROR(VLOOKUP(G2911,WholesaleExtract!B:K,10,FALSE),"")</f>
        <v/>
      </c>
      <c r="L2911" s="47" t="str">
        <f>IFERROR(VLOOKUP(G2911,WholesaleExtract!B:L,11,FALSE),"")</f>
        <v/>
      </c>
      <c r="M2911" s="47" t="str">
        <f>IFERROR(VLOOKUP(G2911,WholesaleExtract!B:M,12,FALSE),"")</f>
        <v/>
      </c>
      <c r="R2911" s="19"/>
      <c r="S2911" s="19"/>
    </row>
    <row r="2912" spans="1:19" x14ac:dyDescent="0.35">
      <c r="A2912" s="26" t="s">
        <v>543</v>
      </c>
      <c r="B2912" s="26" t="s">
        <v>543</v>
      </c>
      <c r="C2912" s="26"/>
      <c r="D2912" s="26" t="s">
        <v>543</v>
      </c>
      <c r="E2912" s="26" t="str">
        <f>IFERROR(VLOOKUP(G2912,WholesaleExtract!B:J,9,FALSE),"")</f>
        <v/>
      </c>
      <c r="F2912" s="26" t="str">
        <f>IFERROR(VLOOKUP(G2912,WholesaleExtract!B:J,6,FALSE),"")</f>
        <v/>
      </c>
      <c r="H2912" s="47" t="str">
        <f>IFERROR(VLOOKUP(G2912,WholesaleExtract!B:L,11,FALSE),"")</f>
        <v/>
      </c>
      <c r="I2912" s="26" t="str">
        <f>IFERROR(VLOOKUP(G2912,WholesaleExtract!B:O,8,FALSE),"")</f>
        <v/>
      </c>
      <c r="J2912" s="26" t="str">
        <f>IFERROR(VLOOKUP(G2912,WholesaleExtract!B:O,14,FALSE),"")</f>
        <v/>
      </c>
      <c r="K2912" s="26" t="str">
        <f>IFERROR(VLOOKUP(G2912,WholesaleExtract!B:K,10,FALSE),"")</f>
        <v/>
      </c>
      <c r="L2912" s="47" t="str">
        <f>IFERROR(VLOOKUP(G2912,WholesaleExtract!B:L,11,FALSE),"")</f>
        <v/>
      </c>
      <c r="M2912" s="47" t="str">
        <f>IFERROR(VLOOKUP(G2912,WholesaleExtract!B:M,12,FALSE),"")</f>
        <v/>
      </c>
      <c r="R2912" s="19"/>
      <c r="S2912" s="19"/>
    </row>
    <row r="2913" spans="1:19" x14ac:dyDescent="0.35">
      <c r="A2913" s="26" t="s">
        <v>543</v>
      </c>
      <c r="B2913" s="26" t="s">
        <v>543</v>
      </c>
      <c r="C2913" s="26"/>
      <c r="D2913" s="26" t="s">
        <v>543</v>
      </c>
      <c r="E2913" s="26" t="str">
        <f>IFERROR(VLOOKUP(G2913,WholesaleExtract!B:J,9,FALSE),"")</f>
        <v/>
      </c>
      <c r="F2913" s="26" t="str">
        <f>IFERROR(VLOOKUP(G2913,WholesaleExtract!B:J,6,FALSE),"")</f>
        <v/>
      </c>
      <c r="H2913" s="47" t="str">
        <f>IFERROR(VLOOKUP(G2913,WholesaleExtract!B:L,11,FALSE),"")</f>
        <v/>
      </c>
      <c r="I2913" s="26" t="str">
        <f>IFERROR(VLOOKUP(G2913,WholesaleExtract!B:O,8,FALSE),"")</f>
        <v/>
      </c>
      <c r="J2913" s="26" t="str">
        <f>IFERROR(VLOOKUP(G2913,WholesaleExtract!B:O,14,FALSE),"")</f>
        <v/>
      </c>
      <c r="K2913" s="26" t="str">
        <f>IFERROR(VLOOKUP(G2913,WholesaleExtract!B:K,10,FALSE),"")</f>
        <v/>
      </c>
      <c r="L2913" s="47" t="str">
        <f>IFERROR(VLOOKUP(G2913,WholesaleExtract!B:L,11,FALSE),"")</f>
        <v/>
      </c>
      <c r="M2913" s="47" t="str">
        <f>IFERROR(VLOOKUP(G2913,WholesaleExtract!B:M,12,FALSE),"")</f>
        <v/>
      </c>
      <c r="R2913" s="19"/>
      <c r="S2913" s="19"/>
    </row>
    <row r="2914" spans="1:19" x14ac:dyDescent="0.35">
      <c r="A2914" s="26" t="s">
        <v>543</v>
      </c>
      <c r="B2914" s="26" t="s">
        <v>543</v>
      </c>
      <c r="C2914" s="26"/>
      <c r="D2914" s="26" t="s">
        <v>543</v>
      </c>
      <c r="E2914" s="26" t="str">
        <f>IFERROR(VLOOKUP(G2914,WholesaleExtract!B:J,9,FALSE),"")</f>
        <v/>
      </c>
      <c r="F2914" s="26" t="str">
        <f>IFERROR(VLOOKUP(G2914,WholesaleExtract!B:J,6,FALSE),"")</f>
        <v/>
      </c>
      <c r="H2914" s="47" t="str">
        <f>IFERROR(VLOOKUP(G2914,WholesaleExtract!B:L,11,FALSE),"")</f>
        <v/>
      </c>
      <c r="I2914" s="26" t="str">
        <f>IFERROR(VLOOKUP(G2914,WholesaleExtract!B:O,8,FALSE),"")</f>
        <v/>
      </c>
      <c r="J2914" s="26" t="str">
        <f>IFERROR(VLOOKUP(G2914,WholesaleExtract!B:O,14,FALSE),"")</f>
        <v/>
      </c>
      <c r="K2914" s="26" t="str">
        <f>IFERROR(VLOOKUP(G2914,WholesaleExtract!B:K,10,FALSE),"")</f>
        <v/>
      </c>
      <c r="L2914" s="47" t="str">
        <f>IFERROR(VLOOKUP(G2914,WholesaleExtract!B:L,11,FALSE),"")</f>
        <v/>
      </c>
      <c r="M2914" s="47" t="str">
        <f>IFERROR(VLOOKUP(G2914,WholesaleExtract!B:M,12,FALSE),"")</f>
        <v/>
      </c>
      <c r="R2914" s="19"/>
      <c r="S2914" s="19"/>
    </row>
    <row r="2915" spans="1:19" x14ac:dyDescent="0.35">
      <c r="A2915" s="26" t="s">
        <v>543</v>
      </c>
      <c r="B2915" s="26" t="s">
        <v>543</v>
      </c>
      <c r="C2915" s="26"/>
      <c r="D2915" s="26" t="s">
        <v>543</v>
      </c>
      <c r="E2915" s="26" t="str">
        <f>IFERROR(VLOOKUP(G2915,WholesaleExtract!B:J,9,FALSE),"")</f>
        <v/>
      </c>
      <c r="F2915" s="26" t="str">
        <f>IFERROR(VLOOKUP(G2915,WholesaleExtract!B:J,6,FALSE),"")</f>
        <v/>
      </c>
      <c r="H2915" s="47" t="str">
        <f>IFERROR(VLOOKUP(G2915,WholesaleExtract!B:L,11,FALSE),"")</f>
        <v/>
      </c>
      <c r="I2915" s="26" t="str">
        <f>IFERROR(VLOOKUP(G2915,WholesaleExtract!B:O,8,FALSE),"")</f>
        <v/>
      </c>
      <c r="J2915" s="26" t="str">
        <f>IFERROR(VLOOKUP(G2915,WholesaleExtract!B:O,14,FALSE),"")</f>
        <v/>
      </c>
      <c r="K2915" s="26" t="str">
        <f>IFERROR(VLOOKUP(G2915,WholesaleExtract!B:K,10,FALSE),"")</f>
        <v/>
      </c>
      <c r="L2915" s="47" t="str">
        <f>IFERROR(VLOOKUP(G2915,WholesaleExtract!B:L,11,FALSE),"")</f>
        <v/>
      </c>
      <c r="M2915" s="47" t="str">
        <f>IFERROR(VLOOKUP(G2915,WholesaleExtract!B:M,12,FALSE),"")</f>
        <v/>
      </c>
      <c r="R2915" s="19"/>
      <c r="S2915" s="19"/>
    </row>
    <row r="2916" spans="1:19" x14ac:dyDescent="0.35">
      <c r="A2916" s="26" t="s">
        <v>543</v>
      </c>
      <c r="B2916" s="26" t="s">
        <v>543</v>
      </c>
      <c r="C2916" s="26"/>
      <c r="D2916" s="26" t="s">
        <v>543</v>
      </c>
      <c r="E2916" s="26" t="str">
        <f>IFERROR(VLOOKUP(G2916,WholesaleExtract!B:J,9,FALSE),"")</f>
        <v/>
      </c>
      <c r="F2916" s="26" t="str">
        <f>IFERROR(VLOOKUP(G2916,WholesaleExtract!B:J,6,FALSE),"")</f>
        <v/>
      </c>
      <c r="H2916" s="47" t="str">
        <f>IFERROR(VLOOKUP(G2916,WholesaleExtract!B:L,11,FALSE),"")</f>
        <v/>
      </c>
      <c r="I2916" s="26" t="str">
        <f>IFERROR(VLOOKUP(G2916,WholesaleExtract!B:O,8,FALSE),"")</f>
        <v/>
      </c>
      <c r="J2916" s="26" t="str">
        <f>IFERROR(VLOOKUP(G2916,WholesaleExtract!B:O,14,FALSE),"")</f>
        <v/>
      </c>
      <c r="K2916" s="26" t="str">
        <f>IFERROR(VLOOKUP(G2916,WholesaleExtract!B:K,10,FALSE),"")</f>
        <v/>
      </c>
      <c r="L2916" s="47" t="str">
        <f>IFERROR(VLOOKUP(G2916,WholesaleExtract!B:L,11,FALSE),"")</f>
        <v/>
      </c>
      <c r="M2916" s="47" t="str">
        <f>IFERROR(VLOOKUP(G2916,WholesaleExtract!B:M,12,FALSE),"")</f>
        <v/>
      </c>
      <c r="R2916" s="19"/>
      <c r="S2916" s="19"/>
    </row>
    <row r="2917" spans="1:19" x14ac:dyDescent="0.35">
      <c r="A2917" s="26" t="s">
        <v>543</v>
      </c>
      <c r="B2917" s="26" t="s">
        <v>543</v>
      </c>
      <c r="C2917" s="26"/>
      <c r="D2917" s="26" t="s">
        <v>543</v>
      </c>
      <c r="E2917" s="26" t="str">
        <f>IFERROR(VLOOKUP(G2917,WholesaleExtract!B:J,9,FALSE),"")</f>
        <v/>
      </c>
      <c r="F2917" s="26" t="str">
        <f>IFERROR(VLOOKUP(G2917,WholesaleExtract!B:J,6,FALSE),"")</f>
        <v/>
      </c>
      <c r="H2917" s="47" t="str">
        <f>IFERROR(VLOOKUP(G2917,WholesaleExtract!B:L,11,FALSE),"")</f>
        <v/>
      </c>
      <c r="I2917" s="26" t="str">
        <f>IFERROR(VLOOKUP(G2917,WholesaleExtract!B:O,8,FALSE),"")</f>
        <v/>
      </c>
      <c r="J2917" s="26" t="str">
        <f>IFERROR(VLOOKUP(G2917,WholesaleExtract!B:O,14,FALSE),"")</f>
        <v/>
      </c>
      <c r="K2917" s="26" t="str">
        <f>IFERROR(VLOOKUP(G2917,WholesaleExtract!B:K,10,FALSE),"")</f>
        <v/>
      </c>
      <c r="L2917" s="47" t="str">
        <f>IFERROR(VLOOKUP(G2917,WholesaleExtract!B:L,11,FALSE),"")</f>
        <v/>
      </c>
      <c r="M2917" s="47" t="str">
        <f>IFERROR(VLOOKUP(G2917,WholesaleExtract!B:M,12,FALSE),"")</f>
        <v/>
      </c>
      <c r="R2917" s="19"/>
      <c r="S2917" s="19"/>
    </row>
    <row r="2918" spans="1:19" x14ac:dyDescent="0.35">
      <c r="A2918" s="26" t="s">
        <v>543</v>
      </c>
      <c r="B2918" s="26" t="s">
        <v>543</v>
      </c>
      <c r="C2918" s="26"/>
      <c r="D2918" s="26" t="s">
        <v>543</v>
      </c>
      <c r="E2918" s="26" t="str">
        <f>IFERROR(VLOOKUP(G2918,WholesaleExtract!B:J,9,FALSE),"")</f>
        <v/>
      </c>
      <c r="F2918" s="26" t="str">
        <f>IFERROR(VLOOKUP(G2918,WholesaleExtract!B:J,6,FALSE),"")</f>
        <v/>
      </c>
      <c r="H2918" s="47" t="str">
        <f>IFERROR(VLOOKUP(G2918,WholesaleExtract!B:L,11,FALSE),"")</f>
        <v/>
      </c>
      <c r="I2918" s="26" t="str">
        <f>IFERROR(VLOOKUP(G2918,WholesaleExtract!B:O,8,FALSE),"")</f>
        <v/>
      </c>
      <c r="J2918" s="26" t="str">
        <f>IFERROR(VLOOKUP(G2918,WholesaleExtract!B:O,14,FALSE),"")</f>
        <v/>
      </c>
      <c r="K2918" s="26" t="str">
        <f>IFERROR(VLOOKUP(G2918,WholesaleExtract!B:K,10,FALSE),"")</f>
        <v/>
      </c>
      <c r="L2918" s="47" t="str">
        <f>IFERROR(VLOOKUP(G2918,WholesaleExtract!B:L,11,FALSE),"")</f>
        <v/>
      </c>
      <c r="M2918" s="47" t="str">
        <f>IFERROR(VLOOKUP(G2918,WholesaleExtract!B:M,12,FALSE),"")</f>
        <v/>
      </c>
      <c r="R2918" s="19"/>
      <c r="S2918" s="19"/>
    </row>
    <row r="2919" spans="1:19" x14ac:dyDescent="0.35">
      <c r="A2919" s="26" t="s">
        <v>543</v>
      </c>
      <c r="B2919" s="26" t="s">
        <v>543</v>
      </c>
      <c r="C2919" s="26"/>
      <c r="D2919" s="26" t="s">
        <v>543</v>
      </c>
      <c r="E2919" s="26" t="str">
        <f>IFERROR(VLOOKUP(G2919,WholesaleExtract!B:J,9,FALSE),"")</f>
        <v/>
      </c>
      <c r="F2919" s="26" t="str">
        <f>IFERROR(VLOOKUP(G2919,WholesaleExtract!B:J,6,FALSE),"")</f>
        <v/>
      </c>
      <c r="H2919" s="47" t="str">
        <f>IFERROR(VLOOKUP(G2919,WholesaleExtract!B:L,11,FALSE),"")</f>
        <v/>
      </c>
      <c r="I2919" s="26" t="str">
        <f>IFERROR(VLOOKUP(G2919,WholesaleExtract!B:O,8,FALSE),"")</f>
        <v/>
      </c>
      <c r="J2919" s="26" t="str">
        <f>IFERROR(VLOOKUP(G2919,WholesaleExtract!B:O,14,FALSE),"")</f>
        <v/>
      </c>
      <c r="K2919" s="26" t="str">
        <f>IFERROR(VLOOKUP(G2919,WholesaleExtract!B:K,10,FALSE),"")</f>
        <v/>
      </c>
      <c r="L2919" s="47" t="str">
        <f>IFERROR(VLOOKUP(G2919,WholesaleExtract!B:L,11,FALSE),"")</f>
        <v/>
      </c>
      <c r="M2919" s="47" t="str">
        <f>IFERROR(VLOOKUP(G2919,WholesaleExtract!B:M,12,FALSE),"")</f>
        <v/>
      </c>
      <c r="R2919" s="19"/>
      <c r="S2919" s="19"/>
    </row>
    <row r="2920" spans="1:19" x14ac:dyDescent="0.35">
      <c r="A2920" s="26" t="s">
        <v>543</v>
      </c>
      <c r="B2920" s="26" t="s">
        <v>543</v>
      </c>
      <c r="C2920" s="26"/>
      <c r="D2920" s="26" t="s">
        <v>543</v>
      </c>
      <c r="E2920" s="26" t="str">
        <f>IFERROR(VLOOKUP(G2920,WholesaleExtract!B:J,9,FALSE),"")</f>
        <v/>
      </c>
      <c r="F2920" s="26" t="str">
        <f>IFERROR(VLOOKUP(G2920,WholesaleExtract!B:J,6,FALSE),"")</f>
        <v/>
      </c>
      <c r="H2920" s="47" t="str">
        <f>IFERROR(VLOOKUP(G2920,WholesaleExtract!B:L,11,FALSE),"")</f>
        <v/>
      </c>
      <c r="I2920" s="26" t="str">
        <f>IFERROR(VLOOKUP(G2920,WholesaleExtract!B:O,8,FALSE),"")</f>
        <v/>
      </c>
      <c r="J2920" s="26" t="str">
        <f>IFERROR(VLOOKUP(G2920,WholesaleExtract!B:O,14,FALSE),"")</f>
        <v/>
      </c>
      <c r="K2920" s="26" t="str">
        <f>IFERROR(VLOOKUP(G2920,WholesaleExtract!B:K,10,FALSE),"")</f>
        <v/>
      </c>
      <c r="L2920" s="47" t="str">
        <f>IFERROR(VLOOKUP(G2920,WholesaleExtract!B:L,11,FALSE),"")</f>
        <v/>
      </c>
      <c r="M2920" s="47" t="str">
        <f>IFERROR(VLOOKUP(G2920,WholesaleExtract!B:M,12,FALSE),"")</f>
        <v/>
      </c>
      <c r="R2920" s="19"/>
      <c r="S2920" s="19"/>
    </row>
    <row r="2921" spans="1:19" x14ac:dyDescent="0.35">
      <c r="A2921" s="26" t="s">
        <v>543</v>
      </c>
      <c r="B2921" s="26" t="s">
        <v>543</v>
      </c>
      <c r="C2921" s="26"/>
      <c r="D2921" s="26" t="s">
        <v>543</v>
      </c>
      <c r="E2921" s="26" t="str">
        <f>IFERROR(VLOOKUP(G2921,WholesaleExtract!B:J,9,FALSE),"")</f>
        <v/>
      </c>
      <c r="F2921" s="26" t="str">
        <f>IFERROR(VLOOKUP(G2921,WholesaleExtract!B:J,6,FALSE),"")</f>
        <v/>
      </c>
      <c r="H2921" s="47" t="str">
        <f>IFERROR(VLOOKUP(G2921,WholesaleExtract!B:L,11,FALSE),"")</f>
        <v/>
      </c>
      <c r="I2921" s="26" t="str">
        <f>IFERROR(VLOOKUP(G2921,WholesaleExtract!B:O,8,FALSE),"")</f>
        <v/>
      </c>
      <c r="J2921" s="26" t="str">
        <f>IFERROR(VLOOKUP(G2921,WholesaleExtract!B:O,14,FALSE),"")</f>
        <v/>
      </c>
      <c r="K2921" s="26" t="str">
        <f>IFERROR(VLOOKUP(G2921,WholesaleExtract!B:K,10,FALSE),"")</f>
        <v/>
      </c>
      <c r="L2921" s="47" t="str">
        <f>IFERROR(VLOOKUP(G2921,WholesaleExtract!B:L,11,FALSE),"")</f>
        <v/>
      </c>
      <c r="M2921" s="47" t="str">
        <f>IFERROR(VLOOKUP(G2921,WholesaleExtract!B:M,12,FALSE),"")</f>
        <v/>
      </c>
      <c r="R2921" s="19"/>
      <c r="S2921" s="19"/>
    </row>
    <row r="2922" spans="1:19" x14ac:dyDescent="0.35">
      <c r="A2922" s="26" t="s">
        <v>543</v>
      </c>
      <c r="B2922" s="26" t="s">
        <v>543</v>
      </c>
      <c r="C2922" s="26"/>
      <c r="D2922" s="26" t="s">
        <v>543</v>
      </c>
      <c r="E2922" s="26" t="str">
        <f>IFERROR(VLOOKUP(G2922,WholesaleExtract!B:J,9,FALSE),"")</f>
        <v/>
      </c>
      <c r="F2922" s="26" t="str">
        <f>IFERROR(VLOOKUP(G2922,WholesaleExtract!B:J,6,FALSE),"")</f>
        <v/>
      </c>
      <c r="H2922" s="47" t="str">
        <f>IFERROR(VLOOKUP(G2922,WholesaleExtract!B:L,11,FALSE),"")</f>
        <v/>
      </c>
      <c r="I2922" s="26" t="str">
        <f>IFERROR(VLOOKUP(G2922,WholesaleExtract!B:O,8,FALSE),"")</f>
        <v/>
      </c>
      <c r="J2922" s="26" t="str">
        <f>IFERROR(VLOOKUP(G2922,WholesaleExtract!B:O,14,FALSE),"")</f>
        <v/>
      </c>
      <c r="K2922" s="26" t="str">
        <f>IFERROR(VLOOKUP(G2922,WholesaleExtract!B:K,10,FALSE),"")</f>
        <v/>
      </c>
      <c r="L2922" s="47" t="str">
        <f>IFERROR(VLOOKUP(G2922,WholesaleExtract!B:L,11,FALSE),"")</f>
        <v/>
      </c>
      <c r="M2922" s="47" t="str">
        <f>IFERROR(VLOOKUP(G2922,WholesaleExtract!B:M,12,FALSE),"")</f>
        <v/>
      </c>
      <c r="R2922" s="19"/>
      <c r="S2922" s="19"/>
    </row>
    <row r="2923" spans="1:19" x14ac:dyDescent="0.35">
      <c r="A2923" s="26" t="s">
        <v>543</v>
      </c>
      <c r="B2923" s="26" t="s">
        <v>543</v>
      </c>
      <c r="C2923" s="26"/>
      <c r="D2923" s="26" t="s">
        <v>543</v>
      </c>
      <c r="E2923" s="26" t="str">
        <f>IFERROR(VLOOKUP(G2923,WholesaleExtract!B:J,9,FALSE),"")</f>
        <v/>
      </c>
      <c r="F2923" s="26" t="str">
        <f>IFERROR(VLOOKUP(G2923,WholesaleExtract!B:J,6,FALSE),"")</f>
        <v/>
      </c>
      <c r="H2923" s="47" t="str">
        <f>IFERROR(VLOOKUP(G2923,WholesaleExtract!B:L,11,FALSE),"")</f>
        <v/>
      </c>
      <c r="I2923" s="26" t="str">
        <f>IFERROR(VLOOKUP(G2923,WholesaleExtract!B:O,8,FALSE),"")</f>
        <v/>
      </c>
      <c r="J2923" s="26" t="str">
        <f>IFERROR(VLOOKUP(G2923,WholesaleExtract!B:O,14,FALSE),"")</f>
        <v/>
      </c>
      <c r="K2923" s="26" t="str">
        <f>IFERROR(VLOOKUP(G2923,WholesaleExtract!B:K,10,FALSE),"")</f>
        <v/>
      </c>
      <c r="L2923" s="47" t="str">
        <f>IFERROR(VLOOKUP(G2923,WholesaleExtract!B:L,11,FALSE),"")</f>
        <v/>
      </c>
      <c r="M2923" s="47" t="str">
        <f>IFERROR(VLOOKUP(G2923,WholesaleExtract!B:M,12,FALSE),"")</f>
        <v/>
      </c>
      <c r="R2923" s="19"/>
      <c r="S2923" s="19"/>
    </row>
    <row r="2924" spans="1:19" x14ac:dyDescent="0.35">
      <c r="A2924" s="26" t="s">
        <v>543</v>
      </c>
      <c r="B2924" s="26" t="s">
        <v>543</v>
      </c>
      <c r="C2924" s="26"/>
      <c r="D2924" s="26" t="s">
        <v>543</v>
      </c>
      <c r="E2924" s="26" t="str">
        <f>IFERROR(VLOOKUP(G2924,WholesaleExtract!B:J,9,FALSE),"")</f>
        <v/>
      </c>
      <c r="F2924" s="26" t="str">
        <f>IFERROR(VLOOKUP(G2924,WholesaleExtract!B:J,6,FALSE),"")</f>
        <v/>
      </c>
      <c r="H2924" s="47" t="str">
        <f>IFERROR(VLOOKUP(G2924,WholesaleExtract!B:L,11,FALSE),"")</f>
        <v/>
      </c>
      <c r="I2924" s="26" t="str">
        <f>IFERROR(VLOOKUP(G2924,WholesaleExtract!B:O,8,FALSE),"")</f>
        <v/>
      </c>
      <c r="J2924" s="26" t="str">
        <f>IFERROR(VLOOKUP(G2924,WholesaleExtract!B:O,14,FALSE),"")</f>
        <v/>
      </c>
      <c r="K2924" s="26" t="str">
        <f>IFERROR(VLOOKUP(G2924,WholesaleExtract!B:K,10,FALSE),"")</f>
        <v/>
      </c>
      <c r="L2924" s="47" t="str">
        <f>IFERROR(VLOOKUP(G2924,WholesaleExtract!B:L,11,FALSE),"")</f>
        <v/>
      </c>
      <c r="M2924" s="47" t="str">
        <f>IFERROR(VLOOKUP(G2924,WholesaleExtract!B:M,12,FALSE),"")</f>
        <v/>
      </c>
      <c r="R2924" s="19"/>
      <c r="S2924" s="19"/>
    </row>
    <row r="2925" spans="1:19" x14ac:dyDescent="0.35">
      <c r="A2925" s="26" t="s">
        <v>543</v>
      </c>
      <c r="B2925" s="26" t="s">
        <v>543</v>
      </c>
      <c r="C2925" s="26"/>
      <c r="D2925" s="26" t="s">
        <v>543</v>
      </c>
      <c r="E2925" s="26" t="str">
        <f>IFERROR(VLOOKUP(G2925,WholesaleExtract!B:J,9,FALSE),"")</f>
        <v/>
      </c>
      <c r="F2925" s="26" t="str">
        <f>IFERROR(VLOOKUP(G2925,WholesaleExtract!B:J,6,FALSE),"")</f>
        <v/>
      </c>
      <c r="H2925" s="47" t="str">
        <f>IFERROR(VLOOKUP(G2925,WholesaleExtract!B:L,11,FALSE),"")</f>
        <v/>
      </c>
      <c r="I2925" s="26" t="str">
        <f>IFERROR(VLOOKUP(G2925,WholesaleExtract!B:O,8,FALSE),"")</f>
        <v/>
      </c>
      <c r="J2925" s="26" t="str">
        <f>IFERROR(VLOOKUP(G2925,WholesaleExtract!B:O,14,FALSE),"")</f>
        <v/>
      </c>
      <c r="K2925" s="26" t="str">
        <f>IFERROR(VLOOKUP(G2925,WholesaleExtract!B:K,10,FALSE),"")</f>
        <v/>
      </c>
      <c r="L2925" s="47" t="str">
        <f>IFERROR(VLOOKUP(G2925,WholesaleExtract!B:L,11,FALSE),"")</f>
        <v/>
      </c>
      <c r="M2925" s="47" t="str">
        <f>IFERROR(VLOOKUP(G2925,WholesaleExtract!B:M,12,FALSE),"")</f>
        <v/>
      </c>
      <c r="R2925" s="19"/>
      <c r="S2925" s="19"/>
    </row>
    <row r="2926" spans="1:19" x14ac:dyDescent="0.35">
      <c r="A2926" s="26" t="s">
        <v>543</v>
      </c>
      <c r="B2926" s="26" t="s">
        <v>543</v>
      </c>
      <c r="C2926" s="26"/>
      <c r="D2926" s="26" t="s">
        <v>543</v>
      </c>
      <c r="E2926" s="26" t="str">
        <f>IFERROR(VLOOKUP(G2926,WholesaleExtract!B:J,9,FALSE),"")</f>
        <v/>
      </c>
      <c r="F2926" s="26" t="str">
        <f>IFERROR(VLOOKUP(G2926,WholesaleExtract!B:J,6,FALSE),"")</f>
        <v/>
      </c>
      <c r="H2926" s="47" t="str">
        <f>IFERROR(VLOOKUP(G2926,WholesaleExtract!B:L,11,FALSE),"")</f>
        <v/>
      </c>
      <c r="I2926" s="26" t="str">
        <f>IFERROR(VLOOKUP(G2926,WholesaleExtract!B:O,8,FALSE),"")</f>
        <v/>
      </c>
      <c r="J2926" s="26" t="str">
        <f>IFERROR(VLOOKUP(G2926,WholesaleExtract!B:O,14,FALSE),"")</f>
        <v/>
      </c>
      <c r="K2926" s="26" t="str">
        <f>IFERROR(VLOOKUP(G2926,WholesaleExtract!B:K,10,FALSE),"")</f>
        <v/>
      </c>
      <c r="L2926" s="47" t="str">
        <f>IFERROR(VLOOKUP(G2926,WholesaleExtract!B:L,11,FALSE),"")</f>
        <v/>
      </c>
      <c r="M2926" s="47" t="str">
        <f>IFERROR(VLOOKUP(G2926,WholesaleExtract!B:M,12,FALSE),"")</f>
        <v/>
      </c>
      <c r="R2926" s="19"/>
      <c r="S2926" s="19"/>
    </row>
    <row r="2927" spans="1:19" x14ac:dyDescent="0.35">
      <c r="A2927" s="26" t="s">
        <v>543</v>
      </c>
      <c r="B2927" s="26" t="s">
        <v>543</v>
      </c>
      <c r="C2927" s="26"/>
      <c r="D2927" s="26" t="s">
        <v>543</v>
      </c>
      <c r="E2927" s="26" t="str">
        <f>IFERROR(VLOOKUP(G2927,WholesaleExtract!B:J,9,FALSE),"")</f>
        <v/>
      </c>
      <c r="F2927" s="26" t="str">
        <f>IFERROR(VLOOKUP(G2927,WholesaleExtract!B:J,6,FALSE),"")</f>
        <v/>
      </c>
      <c r="H2927" s="47" t="str">
        <f>IFERROR(VLOOKUP(G2927,WholesaleExtract!B:L,11,FALSE),"")</f>
        <v/>
      </c>
      <c r="I2927" s="26" t="str">
        <f>IFERROR(VLOOKUP(G2927,WholesaleExtract!B:O,8,FALSE),"")</f>
        <v/>
      </c>
      <c r="J2927" s="26" t="str">
        <f>IFERROR(VLOOKUP(G2927,WholesaleExtract!B:O,14,FALSE),"")</f>
        <v/>
      </c>
      <c r="K2927" s="26" t="str">
        <f>IFERROR(VLOOKUP(G2927,WholesaleExtract!B:K,10,FALSE),"")</f>
        <v/>
      </c>
      <c r="L2927" s="47" t="str">
        <f>IFERROR(VLOOKUP(G2927,WholesaleExtract!B:L,11,FALSE),"")</f>
        <v/>
      </c>
      <c r="M2927" s="47" t="str">
        <f>IFERROR(VLOOKUP(G2927,WholesaleExtract!B:M,12,FALSE),"")</f>
        <v/>
      </c>
      <c r="R2927" s="19"/>
      <c r="S2927" s="19"/>
    </row>
    <row r="2928" spans="1:19" x14ac:dyDescent="0.35">
      <c r="A2928" s="26" t="s">
        <v>543</v>
      </c>
      <c r="B2928" s="26" t="s">
        <v>543</v>
      </c>
      <c r="C2928" s="26"/>
      <c r="D2928" s="26" t="s">
        <v>543</v>
      </c>
      <c r="E2928" s="26" t="str">
        <f>IFERROR(VLOOKUP(G2928,WholesaleExtract!B:J,9,FALSE),"")</f>
        <v/>
      </c>
      <c r="F2928" s="26" t="str">
        <f>IFERROR(VLOOKUP(G2928,WholesaleExtract!B:J,6,FALSE),"")</f>
        <v/>
      </c>
      <c r="H2928" s="47" t="str">
        <f>IFERROR(VLOOKUP(G2928,WholesaleExtract!B:L,11,FALSE),"")</f>
        <v/>
      </c>
      <c r="I2928" s="26" t="str">
        <f>IFERROR(VLOOKUP(G2928,WholesaleExtract!B:O,8,FALSE),"")</f>
        <v/>
      </c>
      <c r="J2928" s="26" t="str">
        <f>IFERROR(VLOOKUP(G2928,WholesaleExtract!B:O,14,FALSE),"")</f>
        <v/>
      </c>
      <c r="K2928" s="26" t="str">
        <f>IFERROR(VLOOKUP(G2928,WholesaleExtract!B:K,10,FALSE),"")</f>
        <v/>
      </c>
      <c r="L2928" s="47" t="str">
        <f>IFERROR(VLOOKUP(G2928,WholesaleExtract!B:L,11,FALSE),"")</f>
        <v/>
      </c>
      <c r="M2928" s="47" t="str">
        <f>IFERROR(VLOOKUP(G2928,WholesaleExtract!B:M,12,FALSE),"")</f>
        <v/>
      </c>
      <c r="R2928" s="19"/>
      <c r="S2928" s="19"/>
    </row>
    <row r="2929" spans="1:19" x14ac:dyDescent="0.35">
      <c r="A2929" s="26" t="s">
        <v>543</v>
      </c>
      <c r="B2929" s="26" t="s">
        <v>543</v>
      </c>
      <c r="C2929" s="26"/>
      <c r="D2929" s="26" t="s">
        <v>543</v>
      </c>
      <c r="E2929" s="26" t="str">
        <f>IFERROR(VLOOKUP(G2929,WholesaleExtract!B:J,9,FALSE),"")</f>
        <v/>
      </c>
      <c r="F2929" s="26" t="str">
        <f>IFERROR(VLOOKUP(G2929,WholesaleExtract!B:J,6,FALSE),"")</f>
        <v/>
      </c>
      <c r="H2929" s="47" t="str">
        <f>IFERROR(VLOOKUP(G2929,WholesaleExtract!B:L,11,FALSE),"")</f>
        <v/>
      </c>
      <c r="I2929" s="26" t="str">
        <f>IFERROR(VLOOKUP(G2929,WholesaleExtract!B:O,8,FALSE),"")</f>
        <v/>
      </c>
      <c r="J2929" s="26" t="str">
        <f>IFERROR(VLOOKUP(G2929,WholesaleExtract!B:O,14,FALSE),"")</f>
        <v/>
      </c>
      <c r="K2929" s="26" t="str">
        <f>IFERROR(VLOOKUP(G2929,WholesaleExtract!B:K,10,FALSE),"")</f>
        <v/>
      </c>
      <c r="L2929" s="47" t="str">
        <f>IFERROR(VLOOKUP(G2929,WholesaleExtract!B:L,11,FALSE),"")</f>
        <v/>
      </c>
      <c r="M2929" s="47" t="str">
        <f>IFERROR(VLOOKUP(G2929,WholesaleExtract!B:M,12,FALSE),"")</f>
        <v/>
      </c>
      <c r="R2929" s="19"/>
      <c r="S2929" s="19"/>
    </row>
    <row r="2930" spans="1:19" x14ac:dyDescent="0.35">
      <c r="A2930" s="26" t="s">
        <v>543</v>
      </c>
      <c r="B2930" s="26" t="s">
        <v>543</v>
      </c>
      <c r="C2930" s="26"/>
      <c r="D2930" s="26" t="s">
        <v>543</v>
      </c>
      <c r="E2930" s="26" t="str">
        <f>IFERROR(VLOOKUP(G2930,WholesaleExtract!B:J,9,FALSE),"")</f>
        <v/>
      </c>
      <c r="F2930" s="26" t="str">
        <f>IFERROR(VLOOKUP(G2930,WholesaleExtract!B:J,6,FALSE),"")</f>
        <v/>
      </c>
      <c r="H2930" s="47" t="str">
        <f>IFERROR(VLOOKUP(G2930,WholesaleExtract!B:L,11,FALSE),"")</f>
        <v/>
      </c>
      <c r="I2930" s="26" t="str">
        <f>IFERROR(VLOOKUP(G2930,WholesaleExtract!B:O,8,FALSE),"")</f>
        <v/>
      </c>
      <c r="J2930" s="26" t="str">
        <f>IFERROR(VLOOKUP(G2930,WholesaleExtract!B:O,14,FALSE),"")</f>
        <v/>
      </c>
      <c r="K2930" s="26" t="str">
        <f>IFERROR(VLOOKUP(G2930,WholesaleExtract!B:K,10,FALSE),"")</f>
        <v/>
      </c>
      <c r="L2930" s="47" t="str">
        <f>IFERROR(VLOOKUP(G2930,WholesaleExtract!B:L,11,FALSE),"")</f>
        <v/>
      </c>
      <c r="M2930" s="47" t="str">
        <f>IFERROR(VLOOKUP(G2930,WholesaleExtract!B:M,12,FALSE),"")</f>
        <v/>
      </c>
      <c r="R2930" s="19"/>
      <c r="S2930" s="19"/>
    </row>
    <row r="2931" spans="1:19" x14ac:dyDescent="0.35">
      <c r="A2931" s="26" t="s">
        <v>543</v>
      </c>
      <c r="B2931" s="26" t="s">
        <v>543</v>
      </c>
      <c r="C2931" s="26"/>
      <c r="D2931" s="26" t="s">
        <v>543</v>
      </c>
      <c r="E2931" s="26" t="str">
        <f>IFERROR(VLOOKUP(G2931,WholesaleExtract!B:J,9,FALSE),"")</f>
        <v/>
      </c>
      <c r="F2931" s="26" t="str">
        <f>IFERROR(VLOOKUP(G2931,WholesaleExtract!B:J,6,FALSE),"")</f>
        <v/>
      </c>
      <c r="H2931" s="47" t="str">
        <f>IFERROR(VLOOKUP(G2931,WholesaleExtract!B:L,11,FALSE),"")</f>
        <v/>
      </c>
      <c r="I2931" s="26" t="str">
        <f>IFERROR(VLOOKUP(G2931,WholesaleExtract!B:O,8,FALSE),"")</f>
        <v/>
      </c>
      <c r="J2931" s="26" t="str">
        <f>IFERROR(VLOOKUP(G2931,WholesaleExtract!B:O,14,FALSE),"")</f>
        <v/>
      </c>
      <c r="K2931" s="26" t="str">
        <f>IFERROR(VLOOKUP(G2931,WholesaleExtract!B:K,10,FALSE),"")</f>
        <v/>
      </c>
      <c r="L2931" s="47" t="str">
        <f>IFERROR(VLOOKUP(G2931,WholesaleExtract!B:L,11,FALSE),"")</f>
        <v/>
      </c>
      <c r="M2931" s="47" t="str">
        <f>IFERROR(VLOOKUP(G2931,WholesaleExtract!B:M,12,FALSE),"")</f>
        <v/>
      </c>
      <c r="R2931" s="19"/>
      <c r="S2931" s="19"/>
    </row>
    <row r="2932" spans="1:19" x14ac:dyDescent="0.35">
      <c r="A2932" s="26" t="s">
        <v>543</v>
      </c>
      <c r="B2932" s="26" t="s">
        <v>543</v>
      </c>
      <c r="C2932" s="26"/>
      <c r="D2932" s="26" t="s">
        <v>543</v>
      </c>
      <c r="E2932" s="26" t="str">
        <f>IFERROR(VLOOKUP(G2932,WholesaleExtract!B:J,9,FALSE),"")</f>
        <v/>
      </c>
      <c r="F2932" s="26" t="str">
        <f>IFERROR(VLOOKUP(G2932,WholesaleExtract!B:J,6,FALSE),"")</f>
        <v/>
      </c>
      <c r="H2932" s="47" t="str">
        <f>IFERROR(VLOOKUP(G2932,WholesaleExtract!B:L,11,FALSE),"")</f>
        <v/>
      </c>
      <c r="I2932" s="26" t="str">
        <f>IFERROR(VLOOKUP(G2932,WholesaleExtract!B:O,8,FALSE),"")</f>
        <v/>
      </c>
      <c r="J2932" s="26" t="str">
        <f>IFERROR(VLOOKUP(G2932,WholesaleExtract!B:O,14,FALSE),"")</f>
        <v/>
      </c>
      <c r="K2932" s="26" t="str">
        <f>IFERROR(VLOOKUP(G2932,WholesaleExtract!B:K,10,FALSE),"")</f>
        <v/>
      </c>
      <c r="L2932" s="47" t="str">
        <f>IFERROR(VLOOKUP(G2932,WholesaleExtract!B:L,11,FALSE),"")</f>
        <v/>
      </c>
      <c r="M2932" s="47" t="str">
        <f>IFERROR(VLOOKUP(G2932,WholesaleExtract!B:M,12,FALSE),"")</f>
        <v/>
      </c>
      <c r="R2932" s="19"/>
      <c r="S2932" s="19"/>
    </row>
    <row r="2933" spans="1:19" x14ac:dyDescent="0.35">
      <c r="A2933" s="26" t="s">
        <v>543</v>
      </c>
      <c r="B2933" s="26" t="s">
        <v>543</v>
      </c>
      <c r="C2933" s="26"/>
      <c r="D2933" s="26" t="s">
        <v>543</v>
      </c>
      <c r="E2933" s="26" t="str">
        <f>IFERROR(VLOOKUP(G2933,WholesaleExtract!B:J,9,FALSE),"")</f>
        <v/>
      </c>
      <c r="F2933" s="26" t="str">
        <f>IFERROR(VLOOKUP(G2933,WholesaleExtract!B:J,6,FALSE),"")</f>
        <v/>
      </c>
      <c r="H2933" s="47" t="str">
        <f>IFERROR(VLOOKUP(G2933,WholesaleExtract!B:L,11,FALSE),"")</f>
        <v/>
      </c>
      <c r="I2933" s="26" t="str">
        <f>IFERROR(VLOOKUP(G2933,WholesaleExtract!B:O,8,FALSE),"")</f>
        <v/>
      </c>
      <c r="J2933" s="26" t="str">
        <f>IFERROR(VLOOKUP(G2933,WholesaleExtract!B:O,14,FALSE),"")</f>
        <v/>
      </c>
      <c r="K2933" s="26" t="str">
        <f>IFERROR(VLOOKUP(G2933,WholesaleExtract!B:K,10,FALSE),"")</f>
        <v/>
      </c>
      <c r="L2933" s="47" t="str">
        <f>IFERROR(VLOOKUP(G2933,WholesaleExtract!B:L,11,FALSE),"")</f>
        <v/>
      </c>
      <c r="M2933" s="47" t="str">
        <f>IFERROR(VLOOKUP(G2933,WholesaleExtract!B:M,12,FALSE),"")</f>
        <v/>
      </c>
      <c r="R2933" s="19"/>
      <c r="S2933" s="19"/>
    </row>
    <row r="2934" spans="1:19" x14ac:dyDescent="0.35">
      <c r="A2934" s="26" t="s">
        <v>543</v>
      </c>
      <c r="B2934" s="26" t="s">
        <v>543</v>
      </c>
      <c r="C2934" s="26"/>
      <c r="D2934" s="26" t="s">
        <v>543</v>
      </c>
      <c r="E2934" s="26" t="str">
        <f>IFERROR(VLOOKUP(G2934,WholesaleExtract!B:J,9,FALSE),"")</f>
        <v/>
      </c>
      <c r="F2934" s="26" t="str">
        <f>IFERROR(VLOOKUP(G2934,WholesaleExtract!B:J,6,FALSE),"")</f>
        <v/>
      </c>
      <c r="H2934" s="47" t="str">
        <f>IFERROR(VLOOKUP(G2934,WholesaleExtract!B:L,11,FALSE),"")</f>
        <v/>
      </c>
      <c r="I2934" s="26" t="str">
        <f>IFERROR(VLOOKUP(G2934,WholesaleExtract!B:O,8,FALSE),"")</f>
        <v/>
      </c>
      <c r="J2934" s="26" t="str">
        <f>IFERROR(VLOOKUP(G2934,WholesaleExtract!B:O,14,FALSE),"")</f>
        <v/>
      </c>
      <c r="K2934" s="26" t="str">
        <f>IFERROR(VLOOKUP(G2934,WholesaleExtract!B:K,10,FALSE),"")</f>
        <v/>
      </c>
      <c r="L2934" s="47" t="str">
        <f>IFERROR(VLOOKUP(G2934,WholesaleExtract!B:L,11,FALSE),"")</f>
        <v/>
      </c>
      <c r="M2934" s="47" t="str">
        <f>IFERROR(VLOOKUP(G2934,WholesaleExtract!B:M,12,FALSE),"")</f>
        <v/>
      </c>
      <c r="R2934" s="19"/>
      <c r="S2934" s="19"/>
    </row>
    <row r="2935" spans="1:19" x14ac:dyDescent="0.35">
      <c r="A2935" s="26" t="s">
        <v>543</v>
      </c>
      <c r="B2935" s="26" t="s">
        <v>543</v>
      </c>
      <c r="C2935" s="26"/>
      <c r="D2935" s="26" t="s">
        <v>543</v>
      </c>
      <c r="E2935" s="26" t="str">
        <f>IFERROR(VLOOKUP(G2935,WholesaleExtract!B:J,9,FALSE),"")</f>
        <v/>
      </c>
      <c r="F2935" s="26" t="str">
        <f>IFERROR(VLOOKUP(G2935,WholesaleExtract!B:J,6,FALSE),"")</f>
        <v/>
      </c>
      <c r="H2935" s="47" t="str">
        <f>IFERROR(VLOOKUP(G2935,WholesaleExtract!B:L,11,FALSE),"")</f>
        <v/>
      </c>
      <c r="I2935" s="26" t="str">
        <f>IFERROR(VLOOKUP(G2935,WholesaleExtract!B:O,8,FALSE),"")</f>
        <v/>
      </c>
      <c r="J2935" s="26" t="str">
        <f>IFERROR(VLOOKUP(G2935,WholesaleExtract!B:O,14,FALSE),"")</f>
        <v/>
      </c>
      <c r="K2935" s="26" t="str">
        <f>IFERROR(VLOOKUP(G2935,WholesaleExtract!B:K,10,FALSE),"")</f>
        <v/>
      </c>
      <c r="L2935" s="47" t="str">
        <f>IFERROR(VLOOKUP(G2935,WholesaleExtract!B:L,11,FALSE),"")</f>
        <v/>
      </c>
      <c r="M2935" s="47" t="str">
        <f>IFERROR(VLOOKUP(G2935,WholesaleExtract!B:M,12,FALSE),"")</f>
        <v/>
      </c>
      <c r="R2935" s="19"/>
      <c r="S2935" s="19"/>
    </row>
    <row r="2936" spans="1:19" x14ac:dyDescent="0.35">
      <c r="A2936" s="26" t="s">
        <v>543</v>
      </c>
      <c r="B2936" s="26" t="s">
        <v>543</v>
      </c>
      <c r="C2936" s="26"/>
      <c r="D2936" s="26" t="s">
        <v>543</v>
      </c>
      <c r="E2936" s="26" t="str">
        <f>IFERROR(VLOOKUP(G2936,WholesaleExtract!B:J,9,FALSE),"")</f>
        <v/>
      </c>
      <c r="F2936" s="26" t="str">
        <f>IFERROR(VLOOKUP(G2936,WholesaleExtract!B:J,6,FALSE),"")</f>
        <v/>
      </c>
      <c r="H2936" s="47" t="str">
        <f>IFERROR(VLOOKUP(G2936,WholesaleExtract!B:L,11,FALSE),"")</f>
        <v/>
      </c>
      <c r="I2936" s="26" t="str">
        <f>IFERROR(VLOOKUP(G2936,WholesaleExtract!B:O,8,FALSE),"")</f>
        <v/>
      </c>
      <c r="J2936" s="26" t="str">
        <f>IFERROR(VLOOKUP(G2936,WholesaleExtract!B:O,14,FALSE),"")</f>
        <v/>
      </c>
      <c r="K2936" s="26" t="str">
        <f>IFERROR(VLOOKUP(G2936,WholesaleExtract!B:K,10,FALSE),"")</f>
        <v/>
      </c>
      <c r="L2936" s="47" t="str">
        <f>IFERROR(VLOOKUP(G2936,WholesaleExtract!B:L,11,FALSE),"")</f>
        <v/>
      </c>
      <c r="M2936" s="47" t="str">
        <f>IFERROR(VLOOKUP(G2936,WholesaleExtract!B:M,12,FALSE),"")</f>
        <v/>
      </c>
      <c r="R2936" s="19"/>
      <c r="S2936" s="19"/>
    </row>
    <row r="2937" spans="1:19" x14ac:dyDescent="0.35">
      <c r="A2937" s="26" t="s">
        <v>543</v>
      </c>
      <c r="B2937" s="26" t="s">
        <v>543</v>
      </c>
      <c r="C2937" s="26"/>
      <c r="D2937" s="26" t="s">
        <v>543</v>
      </c>
      <c r="E2937" s="26" t="str">
        <f>IFERROR(VLOOKUP(G2937,WholesaleExtract!B:J,9,FALSE),"")</f>
        <v/>
      </c>
      <c r="F2937" s="26" t="str">
        <f>IFERROR(VLOOKUP(G2937,WholesaleExtract!B:J,6,FALSE),"")</f>
        <v/>
      </c>
      <c r="H2937" s="47" t="str">
        <f>IFERROR(VLOOKUP(G2937,WholesaleExtract!B:L,11,FALSE),"")</f>
        <v/>
      </c>
      <c r="I2937" s="26" t="str">
        <f>IFERROR(VLOOKUP(G2937,WholesaleExtract!B:O,8,FALSE),"")</f>
        <v/>
      </c>
      <c r="J2937" s="26" t="str">
        <f>IFERROR(VLOOKUP(G2937,WholesaleExtract!B:O,14,FALSE),"")</f>
        <v/>
      </c>
      <c r="K2937" s="26" t="str">
        <f>IFERROR(VLOOKUP(G2937,WholesaleExtract!B:K,10,FALSE),"")</f>
        <v/>
      </c>
      <c r="L2937" s="47" t="str">
        <f>IFERROR(VLOOKUP(G2937,WholesaleExtract!B:L,11,FALSE),"")</f>
        <v/>
      </c>
      <c r="M2937" s="47" t="str">
        <f>IFERROR(VLOOKUP(G2937,WholesaleExtract!B:M,12,FALSE),"")</f>
        <v/>
      </c>
      <c r="R2937" s="19"/>
      <c r="S2937" s="19"/>
    </row>
    <row r="2938" spans="1:19" x14ac:dyDescent="0.35">
      <c r="A2938" s="26" t="s">
        <v>543</v>
      </c>
      <c r="B2938" s="26" t="s">
        <v>543</v>
      </c>
      <c r="C2938" s="26"/>
      <c r="D2938" s="26" t="s">
        <v>543</v>
      </c>
      <c r="E2938" s="26" t="str">
        <f>IFERROR(VLOOKUP(G2938,WholesaleExtract!B:J,9,FALSE),"")</f>
        <v/>
      </c>
      <c r="F2938" s="26" t="str">
        <f>IFERROR(VLOOKUP(G2938,WholesaleExtract!B:J,6,FALSE),"")</f>
        <v/>
      </c>
      <c r="H2938" s="47" t="str">
        <f>IFERROR(VLOOKUP(G2938,WholesaleExtract!B:L,11,FALSE),"")</f>
        <v/>
      </c>
      <c r="I2938" s="26" t="str">
        <f>IFERROR(VLOOKUP(G2938,WholesaleExtract!B:O,8,FALSE),"")</f>
        <v/>
      </c>
      <c r="J2938" s="26" t="str">
        <f>IFERROR(VLOOKUP(G2938,WholesaleExtract!B:O,14,FALSE),"")</f>
        <v/>
      </c>
      <c r="K2938" s="26" t="str">
        <f>IFERROR(VLOOKUP(G2938,WholesaleExtract!B:K,10,FALSE),"")</f>
        <v/>
      </c>
      <c r="L2938" s="47" t="str">
        <f>IFERROR(VLOOKUP(G2938,WholesaleExtract!B:L,11,FALSE),"")</f>
        <v/>
      </c>
      <c r="M2938" s="47" t="str">
        <f>IFERROR(VLOOKUP(G2938,WholesaleExtract!B:M,12,FALSE),"")</f>
        <v/>
      </c>
      <c r="R2938" s="19"/>
      <c r="S2938" s="19"/>
    </row>
    <row r="2939" spans="1:19" x14ac:dyDescent="0.35">
      <c r="A2939" s="26" t="s">
        <v>543</v>
      </c>
      <c r="B2939" s="26" t="s">
        <v>543</v>
      </c>
      <c r="C2939" s="26"/>
      <c r="D2939" s="26" t="s">
        <v>543</v>
      </c>
      <c r="E2939" s="26" t="str">
        <f>IFERROR(VLOOKUP(G2939,WholesaleExtract!B:J,9,FALSE),"")</f>
        <v/>
      </c>
      <c r="F2939" s="26" t="str">
        <f>IFERROR(VLOOKUP(G2939,WholesaleExtract!B:J,6,FALSE),"")</f>
        <v/>
      </c>
      <c r="H2939" s="47" t="str">
        <f>IFERROR(VLOOKUP(G2939,WholesaleExtract!B:L,11,FALSE),"")</f>
        <v/>
      </c>
      <c r="I2939" s="26" t="str">
        <f>IFERROR(VLOOKUP(G2939,WholesaleExtract!B:O,8,FALSE),"")</f>
        <v/>
      </c>
      <c r="J2939" s="26" t="str">
        <f>IFERROR(VLOOKUP(G2939,WholesaleExtract!B:O,14,FALSE),"")</f>
        <v/>
      </c>
      <c r="K2939" s="26" t="str">
        <f>IFERROR(VLOOKUP(G2939,WholesaleExtract!B:K,10,FALSE),"")</f>
        <v/>
      </c>
      <c r="L2939" s="47" t="str">
        <f>IFERROR(VLOOKUP(G2939,WholesaleExtract!B:L,11,FALSE),"")</f>
        <v/>
      </c>
      <c r="M2939" s="47" t="str">
        <f>IFERROR(VLOOKUP(G2939,WholesaleExtract!B:M,12,FALSE),"")</f>
        <v/>
      </c>
      <c r="R2939" s="19"/>
      <c r="S2939" s="19"/>
    </row>
    <row r="2940" spans="1:19" x14ac:dyDescent="0.35">
      <c r="A2940" s="26" t="s">
        <v>543</v>
      </c>
      <c r="B2940" s="26" t="s">
        <v>543</v>
      </c>
      <c r="C2940" s="26"/>
      <c r="D2940" s="26" t="s">
        <v>543</v>
      </c>
      <c r="E2940" s="26" t="str">
        <f>IFERROR(VLOOKUP(G2940,WholesaleExtract!B:J,9,FALSE),"")</f>
        <v/>
      </c>
      <c r="F2940" s="26" t="str">
        <f>IFERROR(VLOOKUP(G2940,WholesaleExtract!B:J,6,FALSE),"")</f>
        <v/>
      </c>
      <c r="H2940" s="47" t="str">
        <f>IFERROR(VLOOKUP(G2940,WholesaleExtract!B:L,11,FALSE),"")</f>
        <v/>
      </c>
      <c r="I2940" s="26" t="str">
        <f>IFERROR(VLOOKUP(G2940,WholesaleExtract!B:O,8,FALSE),"")</f>
        <v/>
      </c>
      <c r="J2940" s="26" t="str">
        <f>IFERROR(VLOOKUP(G2940,WholesaleExtract!B:O,14,FALSE),"")</f>
        <v/>
      </c>
      <c r="K2940" s="26" t="str">
        <f>IFERROR(VLOOKUP(G2940,WholesaleExtract!B:K,10,FALSE),"")</f>
        <v/>
      </c>
      <c r="L2940" s="47" t="str">
        <f>IFERROR(VLOOKUP(G2940,WholesaleExtract!B:L,11,FALSE),"")</f>
        <v/>
      </c>
      <c r="M2940" s="47" t="str">
        <f>IFERROR(VLOOKUP(G2940,WholesaleExtract!B:M,12,FALSE),"")</f>
        <v/>
      </c>
      <c r="R2940" s="19"/>
      <c r="S2940" s="19"/>
    </row>
    <row r="2941" spans="1:19" x14ac:dyDescent="0.35">
      <c r="A2941" s="26" t="s">
        <v>543</v>
      </c>
      <c r="B2941" s="26" t="s">
        <v>543</v>
      </c>
      <c r="C2941" s="26"/>
      <c r="D2941" s="26" t="s">
        <v>543</v>
      </c>
      <c r="E2941" s="26" t="str">
        <f>IFERROR(VLOOKUP(G2941,WholesaleExtract!B:J,9,FALSE),"")</f>
        <v/>
      </c>
      <c r="F2941" s="26" t="str">
        <f>IFERROR(VLOOKUP(G2941,WholesaleExtract!B:J,6,FALSE),"")</f>
        <v/>
      </c>
      <c r="H2941" s="47" t="str">
        <f>IFERROR(VLOOKUP(G2941,WholesaleExtract!B:L,11,FALSE),"")</f>
        <v/>
      </c>
      <c r="I2941" s="26" t="str">
        <f>IFERROR(VLOOKUP(G2941,WholesaleExtract!B:O,8,FALSE),"")</f>
        <v/>
      </c>
      <c r="J2941" s="26" t="str">
        <f>IFERROR(VLOOKUP(G2941,WholesaleExtract!B:O,14,FALSE),"")</f>
        <v/>
      </c>
      <c r="K2941" s="26" t="str">
        <f>IFERROR(VLOOKUP(G2941,WholesaleExtract!B:K,10,FALSE),"")</f>
        <v/>
      </c>
      <c r="L2941" s="47" t="str">
        <f>IFERROR(VLOOKUP(G2941,WholesaleExtract!B:L,11,FALSE),"")</f>
        <v/>
      </c>
      <c r="M2941" s="47" t="str">
        <f>IFERROR(VLOOKUP(G2941,WholesaleExtract!B:M,12,FALSE),"")</f>
        <v/>
      </c>
      <c r="R2941" s="19"/>
      <c r="S2941" s="19"/>
    </row>
    <row r="2942" spans="1:19" x14ac:dyDescent="0.35">
      <c r="A2942" s="26" t="s">
        <v>543</v>
      </c>
      <c r="B2942" s="26" t="s">
        <v>543</v>
      </c>
      <c r="C2942" s="26"/>
      <c r="D2942" s="26" t="s">
        <v>543</v>
      </c>
      <c r="E2942" s="26" t="str">
        <f>IFERROR(VLOOKUP(G2942,WholesaleExtract!B:J,9,FALSE),"")</f>
        <v/>
      </c>
      <c r="F2942" s="26" t="str">
        <f>IFERROR(VLOOKUP(G2942,WholesaleExtract!B:J,6,FALSE),"")</f>
        <v/>
      </c>
      <c r="H2942" s="47" t="str">
        <f>IFERROR(VLOOKUP(G2942,WholesaleExtract!B:L,11,FALSE),"")</f>
        <v/>
      </c>
      <c r="I2942" s="26" t="str">
        <f>IFERROR(VLOOKUP(G2942,WholesaleExtract!B:O,8,FALSE),"")</f>
        <v/>
      </c>
      <c r="J2942" s="26" t="str">
        <f>IFERROR(VLOOKUP(G2942,WholesaleExtract!B:O,14,FALSE),"")</f>
        <v/>
      </c>
      <c r="K2942" s="26" t="str">
        <f>IFERROR(VLOOKUP(G2942,WholesaleExtract!B:K,10,FALSE),"")</f>
        <v/>
      </c>
      <c r="L2942" s="47" t="str">
        <f>IFERROR(VLOOKUP(G2942,WholesaleExtract!B:L,11,FALSE),"")</f>
        <v/>
      </c>
      <c r="M2942" s="47" t="str">
        <f>IFERROR(VLOOKUP(G2942,WholesaleExtract!B:M,12,FALSE),"")</f>
        <v/>
      </c>
      <c r="R2942" s="19"/>
      <c r="S2942" s="19"/>
    </row>
    <row r="2943" spans="1:19" x14ac:dyDescent="0.35">
      <c r="A2943" s="26" t="s">
        <v>543</v>
      </c>
      <c r="B2943" s="26" t="s">
        <v>543</v>
      </c>
      <c r="C2943" s="26"/>
      <c r="D2943" s="26" t="s">
        <v>543</v>
      </c>
      <c r="E2943" s="26" t="str">
        <f>IFERROR(VLOOKUP(G2943,WholesaleExtract!B:J,9,FALSE),"")</f>
        <v/>
      </c>
      <c r="F2943" s="26" t="str">
        <f>IFERROR(VLOOKUP(G2943,WholesaleExtract!B:J,6,FALSE),"")</f>
        <v/>
      </c>
      <c r="H2943" s="47" t="str">
        <f>IFERROR(VLOOKUP(G2943,WholesaleExtract!B:L,11,FALSE),"")</f>
        <v/>
      </c>
      <c r="I2943" s="26" t="str">
        <f>IFERROR(VLOOKUP(G2943,WholesaleExtract!B:O,8,FALSE),"")</f>
        <v/>
      </c>
      <c r="J2943" s="26" t="str">
        <f>IFERROR(VLOOKUP(G2943,WholesaleExtract!B:O,14,FALSE),"")</f>
        <v/>
      </c>
      <c r="K2943" s="26" t="str">
        <f>IFERROR(VLOOKUP(G2943,WholesaleExtract!B:K,10,FALSE),"")</f>
        <v/>
      </c>
      <c r="L2943" s="47" t="str">
        <f>IFERROR(VLOOKUP(G2943,WholesaleExtract!B:L,11,FALSE),"")</f>
        <v/>
      </c>
      <c r="M2943" s="47" t="str">
        <f>IFERROR(VLOOKUP(G2943,WholesaleExtract!B:M,12,FALSE),"")</f>
        <v/>
      </c>
      <c r="R2943" s="19"/>
      <c r="S2943" s="19"/>
    </row>
    <row r="2944" spans="1:19" x14ac:dyDescent="0.35">
      <c r="A2944" s="26" t="s">
        <v>543</v>
      </c>
      <c r="B2944" s="26" t="s">
        <v>543</v>
      </c>
      <c r="C2944" s="26"/>
      <c r="D2944" s="26" t="s">
        <v>543</v>
      </c>
      <c r="E2944" s="26" t="str">
        <f>IFERROR(VLOOKUP(G2944,WholesaleExtract!B:J,9,FALSE),"")</f>
        <v/>
      </c>
      <c r="F2944" s="26" t="str">
        <f>IFERROR(VLOOKUP(G2944,WholesaleExtract!B:J,6,FALSE),"")</f>
        <v/>
      </c>
      <c r="H2944" s="47" t="str">
        <f>IFERROR(VLOOKUP(G2944,WholesaleExtract!B:L,11,FALSE),"")</f>
        <v/>
      </c>
      <c r="I2944" s="26" t="str">
        <f>IFERROR(VLOOKUP(G2944,WholesaleExtract!B:O,8,FALSE),"")</f>
        <v/>
      </c>
      <c r="J2944" s="26" t="str">
        <f>IFERROR(VLOOKUP(G2944,WholesaleExtract!B:O,14,FALSE),"")</f>
        <v/>
      </c>
      <c r="K2944" s="26" t="str">
        <f>IFERROR(VLOOKUP(G2944,WholesaleExtract!B:K,10,FALSE),"")</f>
        <v/>
      </c>
      <c r="L2944" s="47" t="str">
        <f>IFERROR(VLOOKUP(G2944,WholesaleExtract!B:L,11,FALSE),"")</f>
        <v/>
      </c>
      <c r="M2944" s="47" t="str">
        <f>IFERROR(VLOOKUP(G2944,WholesaleExtract!B:M,12,FALSE),"")</f>
        <v/>
      </c>
      <c r="R2944" s="19"/>
      <c r="S2944" s="19"/>
    </row>
    <row r="2945" spans="1:19" x14ac:dyDescent="0.35">
      <c r="A2945" s="26" t="s">
        <v>543</v>
      </c>
      <c r="B2945" s="26" t="s">
        <v>543</v>
      </c>
      <c r="C2945" s="26"/>
      <c r="D2945" s="26" t="s">
        <v>543</v>
      </c>
      <c r="E2945" s="26" t="str">
        <f>IFERROR(VLOOKUP(G2945,WholesaleExtract!B:J,9,FALSE),"")</f>
        <v/>
      </c>
      <c r="F2945" s="26" t="str">
        <f>IFERROR(VLOOKUP(G2945,WholesaleExtract!B:J,6,FALSE),"")</f>
        <v/>
      </c>
      <c r="H2945" s="47" t="str">
        <f>IFERROR(VLOOKUP(G2945,WholesaleExtract!B:L,11,FALSE),"")</f>
        <v/>
      </c>
      <c r="I2945" s="26" t="str">
        <f>IFERROR(VLOOKUP(G2945,WholesaleExtract!B:O,8,FALSE),"")</f>
        <v/>
      </c>
      <c r="J2945" s="26" t="str">
        <f>IFERROR(VLOOKUP(G2945,WholesaleExtract!B:O,14,FALSE),"")</f>
        <v/>
      </c>
      <c r="K2945" s="26" t="str">
        <f>IFERROR(VLOOKUP(G2945,WholesaleExtract!B:K,10,FALSE),"")</f>
        <v/>
      </c>
      <c r="L2945" s="47" t="str">
        <f>IFERROR(VLOOKUP(G2945,WholesaleExtract!B:L,11,FALSE),"")</f>
        <v/>
      </c>
      <c r="M2945" s="47" t="str">
        <f>IFERROR(VLOOKUP(G2945,WholesaleExtract!B:M,12,FALSE),"")</f>
        <v/>
      </c>
      <c r="R2945" s="19"/>
      <c r="S2945" s="19"/>
    </row>
    <row r="2946" spans="1:19" x14ac:dyDescent="0.35">
      <c r="A2946" s="26" t="s">
        <v>543</v>
      </c>
      <c r="B2946" s="26" t="s">
        <v>543</v>
      </c>
      <c r="C2946" s="26"/>
      <c r="D2946" s="26" t="s">
        <v>543</v>
      </c>
      <c r="E2946" s="26" t="str">
        <f>IFERROR(VLOOKUP(G2946,WholesaleExtract!B:J,9,FALSE),"")</f>
        <v/>
      </c>
      <c r="F2946" s="26" t="str">
        <f>IFERROR(VLOOKUP(G2946,WholesaleExtract!B:J,6,FALSE),"")</f>
        <v/>
      </c>
      <c r="H2946" s="47" t="str">
        <f>IFERROR(VLOOKUP(G2946,WholesaleExtract!B:L,11,FALSE),"")</f>
        <v/>
      </c>
      <c r="I2946" s="26" t="str">
        <f>IFERROR(VLOOKUP(G2946,WholesaleExtract!B:O,8,FALSE),"")</f>
        <v/>
      </c>
      <c r="J2946" s="26" t="str">
        <f>IFERROR(VLOOKUP(G2946,WholesaleExtract!B:O,14,FALSE),"")</f>
        <v/>
      </c>
      <c r="K2946" s="26" t="str">
        <f>IFERROR(VLOOKUP(G2946,WholesaleExtract!B:K,10,FALSE),"")</f>
        <v/>
      </c>
      <c r="L2946" s="47" t="str">
        <f>IFERROR(VLOOKUP(G2946,WholesaleExtract!B:L,11,FALSE),"")</f>
        <v/>
      </c>
      <c r="M2946" s="47" t="str">
        <f>IFERROR(VLOOKUP(G2946,WholesaleExtract!B:M,12,FALSE),"")</f>
        <v/>
      </c>
      <c r="R2946" s="19"/>
      <c r="S2946" s="19"/>
    </row>
    <row r="2947" spans="1:19" x14ac:dyDescent="0.35">
      <c r="A2947" s="26" t="s">
        <v>543</v>
      </c>
      <c r="B2947" s="26" t="s">
        <v>543</v>
      </c>
      <c r="C2947" s="26"/>
      <c r="D2947" s="26" t="s">
        <v>543</v>
      </c>
      <c r="E2947" s="26" t="str">
        <f>IFERROR(VLOOKUP(G2947,WholesaleExtract!B:J,9,FALSE),"")</f>
        <v/>
      </c>
      <c r="F2947" s="26" t="str">
        <f>IFERROR(VLOOKUP(G2947,WholesaleExtract!B:J,6,FALSE),"")</f>
        <v/>
      </c>
      <c r="H2947" s="47" t="str">
        <f>IFERROR(VLOOKUP(G2947,WholesaleExtract!B:L,11,FALSE),"")</f>
        <v/>
      </c>
      <c r="I2947" s="26" t="str">
        <f>IFERROR(VLOOKUP(G2947,WholesaleExtract!B:O,8,FALSE),"")</f>
        <v/>
      </c>
      <c r="J2947" s="26" t="str">
        <f>IFERROR(VLOOKUP(G2947,WholesaleExtract!B:O,14,FALSE),"")</f>
        <v/>
      </c>
      <c r="K2947" s="26" t="str">
        <f>IFERROR(VLOOKUP(G2947,WholesaleExtract!B:K,10,FALSE),"")</f>
        <v/>
      </c>
      <c r="L2947" s="47" t="str">
        <f>IFERROR(VLOOKUP(G2947,WholesaleExtract!B:L,11,FALSE),"")</f>
        <v/>
      </c>
      <c r="M2947" s="47" t="str">
        <f>IFERROR(VLOOKUP(G2947,WholesaleExtract!B:M,12,FALSE),"")</f>
        <v/>
      </c>
      <c r="R2947" s="19"/>
      <c r="S2947" s="19"/>
    </row>
    <row r="2948" spans="1:19" x14ac:dyDescent="0.35">
      <c r="A2948" s="26" t="s">
        <v>543</v>
      </c>
      <c r="B2948" s="26" t="s">
        <v>543</v>
      </c>
      <c r="C2948" s="26"/>
      <c r="D2948" s="26" t="s">
        <v>543</v>
      </c>
      <c r="E2948" s="26" t="str">
        <f>IFERROR(VLOOKUP(G2948,WholesaleExtract!B:J,9,FALSE),"")</f>
        <v/>
      </c>
      <c r="F2948" s="26" t="str">
        <f>IFERROR(VLOOKUP(G2948,WholesaleExtract!B:J,6,FALSE),"")</f>
        <v/>
      </c>
      <c r="H2948" s="47" t="str">
        <f>IFERROR(VLOOKUP(G2948,WholesaleExtract!B:L,11,FALSE),"")</f>
        <v/>
      </c>
      <c r="I2948" s="26" t="str">
        <f>IFERROR(VLOOKUP(G2948,WholesaleExtract!B:O,8,FALSE),"")</f>
        <v/>
      </c>
      <c r="J2948" s="26" t="str">
        <f>IFERROR(VLOOKUP(G2948,WholesaleExtract!B:O,14,FALSE),"")</f>
        <v/>
      </c>
      <c r="K2948" s="26" t="str">
        <f>IFERROR(VLOOKUP(G2948,WholesaleExtract!B:K,10,FALSE),"")</f>
        <v/>
      </c>
      <c r="L2948" s="47" t="str">
        <f>IFERROR(VLOOKUP(G2948,WholesaleExtract!B:L,11,FALSE),"")</f>
        <v/>
      </c>
      <c r="M2948" s="47" t="str">
        <f>IFERROR(VLOOKUP(G2948,WholesaleExtract!B:M,12,FALSE),"")</f>
        <v/>
      </c>
      <c r="R2948" s="19"/>
      <c r="S2948" s="19"/>
    </row>
    <row r="2949" spans="1:19" x14ac:dyDescent="0.35">
      <c r="A2949" s="26" t="s">
        <v>543</v>
      </c>
      <c r="B2949" s="26" t="s">
        <v>543</v>
      </c>
      <c r="C2949" s="26"/>
      <c r="D2949" s="26" t="s">
        <v>543</v>
      </c>
      <c r="E2949" s="26" t="str">
        <f>IFERROR(VLOOKUP(G2949,WholesaleExtract!B:J,9,FALSE),"")</f>
        <v/>
      </c>
      <c r="F2949" s="26" t="str">
        <f>IFERROR(VLOOKUP(G2949,WholesaleExtract!B:J,6,FALSE),"")</f>
        <v/>
      </c>
      <c r="H2949" s="47" t="str">
        <f>IFERROR(VLOOKUP(G2949,WholesaleExtract!B:L,11,FALSE),"")</f>
        <v/>
      </c>
      <c r="I2949" s="26" t="str">
        <f>IFERROR(VLOOKUP(G2949,WholesaleExtract!B:O,8,FALSE),"")</f>
        <v/>
      </c>
      <c r="J2949" s="26" t="str">
        <f>IFERROR(VLOOKUP(G2949,WholesaleExtract!B:O,14,FALSE),"")</f>
        <v/>
      </c>
      <c r="K2949" s="26" t="str">
        <f>IFERROR(VLOOKUP(G2949,WholesaleExtract!B:K,10,FALSE),"")</f>
        <v/>
      </c>
      <c r="L2949" s="47" t="str">
        <f>IFERROR(VLOOKUP(G2949,WholesaleExtract!B:L,11,FALSE),"")</f>
        <v/>
      </c>
      <c r="M2949" s="47" t="str">
        <f>IFERROR(VLOOKUP(G2949,WholesaleExtract!B:M,12,FALSE),"")</f>
        <v/>
      </c>
      <c r="R2949" s="19"/>
      <c r="S2949" s="19"/>
    </row>
    <row r="2950" spans="1:19" x14ac:dyDescent="0.35">
      <c r="A2950" s="26" t="s">
        <v>543</v>
      </c>
      <c r="B2950" s="26" t="s">
        <v>543</v>
      </c>
      <c r="C2950" s="26"/>
      <c r="D2950" s="26" t="s">
        <v>543</v>
      </c>
      <c r="E2950" s="26" t="str">
        <f>IFERROR(VLOOKUP(G2950,WholesaleExtract!B:J,9,FALSE),"")</f>
        <v/>
      </c>
      <c r="F2950" s="26" t="str">
        <f>IFERROR(VLOOKUP(G2950,WholesaleExtract!B:J,6,FALSE),"")</f>
        <v/>
      </c>
      <c r="H2950" s="47" t="str">
        <f>IFERROR(VLOOKUP(G2950,WholesaleExtract!B:L,11,FALSE),"")</f>
        <v/>
      </c>
      <c r="I2950" s="26" t="str">
        <f>IFERROR(VLOOKUP(G2950,WholesaleExtract!B:O,8,FALSE),"")</f>
        <v/>
      </c>
      <c r="J2950" s="26" t="str">
        <f>IFERROR(VLOOKUP(G2950,WholesaleExtract!B:O,14,FALSE),"")</f>
        <v/>
      </c>
      <c r="K2950" s="26" t="str">
        <f>IFERROR(VLOOKUP(G2950,WholesaleExtract!B:K,10,FALSE),"")</f>
        <v/>
      </c>
      <c r="L2950" s="47" t="str">
        <f>IFERROR(VLOOKUP(G2950,WholesaleExtract!B:L,11,FALSE),"")</f>
        <v/>
      </c>
      <c r="M2950" s="47" t="str">
        <f>IFERROR(VLOOKUP(G2950,WholesaleExtract!B:M,12,FALSE),"")</f>
        <v/>
      </c>
      <c r="R2950" s="19"/>
      <c r="S2950" s="19"/>
    </row>
    <row r="2951" spans="1:19" x14ac:dyDescent="0.35">
      <c r="A2951" s="26" t="s">
        <v>543</v>
      </c>
      <c r="B2951" s="26" t="s">
        <v>543</v>
      </c>
      <c r="C2951" s="26"/>
      <c r="D2951" s="26" t="s">
        <v>543</v>
      </c>
      <c r="E2951" s="26" t="str">
        <f>IFERROR(VLOOKUP(G2951,WholesaleExtract!B:J,9,FALSE),"")</f>
        <v/>
      </c>
      <c r="F2951" s="26" t="str">
        <f>IFERROR(VLOOKUP(G2951,WholesaleExtract!B:J,6,FALSE),"")</f>
        <v/>
      </c>
      <c r="H2951" s="47" t="str">
        <f>IFERROR(VLOOKUP(G2951,WholesaleExtract!B:L,11,FALSE),"")</f>
        <v/>
      </c>
      <c r="I2951" s="26" t="str">
        <f>IFERROR(VLOOKUP(G2951,WholesaleExtract!B:O,8,FALSE),"")</f>
        <v/>
      </c>
      <c r="J2951" s="26" t="str">
        <f>IFERROR(VLOOKUP(G2951,WholesaleExtract!B:O,14,FALSE),"")</f>
        <v/>
      </c>
      <c r="K2951" s="26" t="str">
        <f>IFERROR(VLOOKUP(G2951,WholesaleExtract!B:K,10,FALSE),"")</f>
        <v/>
      </c>
      <c r="L2951" s="47" t="str">
        <f>IFERROR(VLOOKUP(G2951,WholesaleExtract!B:L,11,FALSE),"")</f>
        <v/>
      </c>
      <c r="M2951" s="47" t="str">
        <f>IFERROR(VLOOKUP(G2951,WholesaleExtract!B:M,12,FALSE),"")</f>
        <v/>
      </c>
      <c r="R2951" s="19"/>
      <c r="S2951" s="19"/>
    </row>
    <row r="2952" spans="1:19" x14ac:dyDescent="0.35">
      <c r="A2952" s="26" t="s">
        <v>543</v>
      </c>
      <c r="B2952" s="26" t="s">
        <v>543</v>
      </c>
      <c r="C2952" s="26"/>
      <c r="D2952" s="26" t="s">
        <v>543</v>
      </c>
      <c r="E2952" s="26" t="str">
        <f>IFERROR(VLOOKUP(G2952,WholesaleExtract!B:J,9,FALSE),"")</f>
        <v/>
      </c>
      <c r="F2952" s="26" t="str">
        <f>IFERROR(VLOOKUP(G2952,WholesaleExtract!B:J,6,FALSE),"")</f>
        <v/>
      </c>
      <c r="H2952" s="47" t="str">
        <f>IFERROR(VLOOKUP(G2952,WholesaleExtract!B:L,11,FALSE),"")</f>
        <v/>
      </c>
      <c r="I2952" s="26" t="str">
        <f>IFERROR(VLOOKUP(G2952,WholesaleExtract!B:O,8,FALSE),"")</f>
        <v/>
      </c>
      <c r="J2952" s="26" t="str">
        <f>IFERROR(VLOOKUP(G2952,WholesaleExtract!B:O,14,FALSE),"")</f>
        <v/>
      </c>
      <c r="K2952" s="26" t="str">
        <f>IFERROR(VLOOKUP(G2952,WholesaleExtract!B:K,10,FALSE),"")</f>
        <v/>
      </c>
      <c r="L2952" s="47" t="str">
        <f>IFERROR(VLOOKUP(G2952,WholesaleExtract!B:L,11,FALSE),"")</f>
        <v/>
      </c>
      <c r="M2952" s="47" t="str">
        <f>IFERROR(VLOOKUP(G2952,WholesaleExtract!B:M,12,FALSE),"")</f>
        <v/>
      </c>
      <c r="R2952" s="19"/>
      <c r="S2952" s="19"/>
    </row>
    <row r="2953" spans="1:19" x14ac:dyDescent="0.35">
      <c r="A2953" s="26" t="s">
        <v>543</v>
      </c>
      <c r="B2953" s="26" t="s">
        <v>543</v>
      </c>
      <c r="C2953" s="26"/>
      <c r="D2953" s="26" t="s">
        <v>543</v>
      </c>
      <c r="E2953" s="26" t="str">
        <f>IFERROR(VLOOKUP(G2953,WholesaleExtract!B:J,9,FALSE),"")</f>
        <v/>
      </c>
      <c r="F2953" s="26" t="str">
        <f>IFERROR(VLOOKUP(G2953,WholesaleExtract!B:J,6,FALSE),"")</f>
        <v/>
      </c>
      <c r="H2953" s="47" t="str">
        <f>IFERROR(VLOOKUP(G2953,WholesaleExtract!B:L,11,FALSE),"")</f>
        <v/>
      </c>
      <c r="I2953" s="26" t="str">
        <f>IFERROR(VLOOKUP(G2953,WholesaleExtract!B:O,8,FALSE),"")</f>
        <v/>
      </c>
      <c r="J2953" s="26" t="str">
        <f>IFERROR(VLOOKUP(G2953,WholesaleExtract!B:O,14,FALSE),"")</f>
        <v/>
      </c>
      <c r="K2953" s="26" t="str">
        <f>IFERROR(VLOOKUP(G2953,WholesaleExtract!B:K,10,FALSE),"")</f>
        <v/>
      </c>
      <c r="L2953" s="47" t="str">
        <f>IFERROR(VLOOKUP(G2953,WholesaleExtract!B:L,11,FALSE),"")</f>
        <v/>
      </c>
      <c r="M2953" s="47" t="str">
        <f>IFERROR(VLOOKUP(G2953,WholesaleExtract!B:M,12,FALSE),"")</f>
        <v/>
      </c>
      <c r="R2953" s="19"/>
      <c r="S2953" s="19"/>
    </row>
    <row r="2954" spans="1:19" x14ac:dyDescent="0.35">
      <c r="A2954" s="26" t="s">
        <v>543</v>
      </c>
      <c r="B2954" s="26" t="s">
        <v>543</v>
      </c>
      <c r="C2954" s="26"/>
      <c r="D2954" s="26" t="s">
        <v>543</v>
      </c>
      <c r="E2954" s="26" t="str">
        <f>IFERROR(VLOOKUP(G2954,WholesaleExtract!B:J,9,FALSE),"")</f>
        <v/>
      </c>
      <c r="F2954" s="26" t="str">
        <f>IFERROR(VLOOKUP(G2954,WholesaleExtract!B:J,6,FALSE),"")</f>
        <v/>
      </c>
      <c r="H2954" s="47" t="str">
        <f>IFERROR(VLOOKUP(G2954,WholesaleExtract!B:L,11,FALSE),"")</f>
        <v/>
      </c>
      <c r="I2954" s="26" t="str">
        <f>IFERROR(VLOOKUP(G2954,WholesaleExtract!B:O,8,FALSE),"")</f>
        <v/>
      </c>
      <c r="J2954" s="26" t="str">
        <f>IFERROR(VLOOKUP(G2954,WholesaleExtract!B:O,14,FALSE),"")</f>
        <v/>
      </c>
      <c r="K2954" s="26" t="str">
        <f>IFERROR(VLOOKUP(G2954,WholesaleExtract!B:K,10,FALSE),"")</f>
        <v/>
      </c>
      <c r="L2954" s="47" t="str">
        <f>IFERROR(VLOOKUP(G2954,WholesaleExtract!B:L,11,FALSE),"")</f>
        <v/>
      </c>
      <c r="M2954" s="47" t="str">
        <f>IFERROR(VLOOKUP(G2954,WholesaleExtract!B:M,12,FALSE),"")</f>
        <v/>
      </c>
      <c r="R2954" s="19"/>
      <c r="S2954" s="19"/>
    </row>
    <row r="2955" spans="1:19" x14ac:dyDescent="0.35">
      <c r="A2955" s="26" t="s">
        <v>543</v>
      </c>
      <c r="B2955" s="26" t="s">
        <v>543</v>
      </c>
      <c r="C2955" s="26"/>
      <c r="D2955" s="26" t="s">
        <v>543</v>
      </c>
      <c r="E2955" s="26" t="str">
        <f>IFERROR(VLOOKUP(G2955,WholesaleExtract!B:J,9,FALSE),"")</f>
        <v/>
      </c>
      <c r="F2955" s="26" t="str">
        <f>IFERROR(VLOOKUP(G2955,WholesaleExtract!B:J,6,FALSE),"")</f>
        <v/>
      </c>
      <c r="H2955" s="47" t="str">
        <f>IFERROR(VLOOKUP(G2955,WholesaleExtract!B:L,11,FALSE),"")</f>
        <v/>
      </c>
      <c r="I2955" s="26" t="str">
        <f>IFERROR(VLOOKUP(G2955,WholesaleExtract!B:O,8,FALSE),"")</f>
        <v/>
      </c>
      <c r="J2955" s="26" t="str">
        <f>IFERROR(VLOOKUP(G2955,WholesaleExtract!B:O,14,FALSE),"")</f>
        <v/>
      </c>
      <c r="K2955" s="26" t="str">
        <f>IFERROR(VLOOKUP(G2955,WholesaleExtract!B:K,10,FALSE),"")</f>
        <v/>
      </c>
      <c r="L2955" s="47" t="str">
        <f>IFERROR(VLOOKUP(G2955,WholesaleExtract!B:L,11,FALSE),"")</f>
        <v/>
      </c>
      <c r="M2955" s="47" t="str">
        <f>IFERROR(VLOOKUP(G2955,WholesaleExtract!B:M,12,FALSE),"")</f>
        <v/>
      </c>
      <c r="R2955" s="19"/>
      <c r="S2955" s="19"/>
    </row>
    <row r="2956" spans="1:19" x14ac:dyDescent="0.35">
      <c r="A2956" s="26" t="s">
        <v>543</v>
      </c>
      <c r="B2956" s="26" t="s">
        <v>543</v>
      </c>
      <c r="C2956" s="26"/>
      <c r="D2956" s="26" t="s">
        <v>543</v>
      </c>
      <c r="E2956" s="26" t="str">
        <f>IFERROR(VLOOKUP(G2956,WholesaleExtract!B:J,9,FALSE),"")</f>
        <v/>
      </c>
      <c r="F2956" s="26" t="str">
        <f>IFERROR(VLOOKUP(G2956,WholesaleExtract!B:J,6,FALSE),"")</f>
        <v/>
      </c>
      <c r="H2956" s="47" t="str">
        <f>IFERROR(VLOOKUP(G2956,WholesaleExtract!B:L,11,FALSE),"")</f>
        <v/>
      </c>
      <c r="I2956" s="26" t="str">
        <f>IFERROR(VLOOKUP(G2956,WholesaleExtract!B:O,8,FALSE),"")</f>
        <v/>
      </c>
      <c r="J2956" s="26" t="str">
        <f>IFERROR(VLOOKUP(G2956,WholesaleExtract!B:O,14,FALSE),"")</f>
        <v/>
      </c>
      <c r="K2956" s="26" t="str">
        <f>IFERROR(VLOOKUP(G2956,WholesaleExtract!B:K,10,FALSE),"")</f>
        <v/>
      </c>
      <c r="L2956" s="47" t="str">
        <f>IFERROR(VLOOKUP(G2956,WholesaleExtract!B:L,11,FALSE),"")</f>
        <v/>
      </c>
      <c r="M2956" s="47" t="str">
        <f>IFERROR(VLOOKUP(G2956,WholesaleExtract!B:M,12,FALSE),"")</f>
        <v/>
      </c>
      <c r="R2956" s="19"/>
      <c r="S2956" s="19"/>
    </row>
    <row r="2957" spans="1:19" x14ac:dyDescent="0.35">
      <c r="A2957" s="26" t="s">
        <v>543</v>
      </c>
      <c r="B2957" s="26" t="s">
        <v>543</v>
      </c>
      <c r="C2957" s="26"/>
      <c r="D2957" s="26" t="s">
        <v>543</v>
      </c>
      <c r="E2957" s="26" t="str">
        <f>IFERROR(VLOOKUP(G2957,WholesaleExtract!B:J,9,FALSE),"")</f>
        <v/>
      </c>
      <c r="F2957" s="26" t="str">
        <f>IFERROR(VLOOKUP(G2957,WholesaleExtract!B:J,6,FALSE),"")</f>
        <v/>
      </c>
      <c r="H2957" s="47" t="str">
        <f>IFERROR(VLOOKUP(G2957,WholesaleExtract!B:L,11,FALSE),"")</f>
        <v/>
      </c>
      <c r="I2957" s="26" t="str">
        <f>IFERROR(VLOOKUP(G2957,WholesaleExtract!B:O,8,FALSE),"")</f>
        <v/>
      </c>
      <c r="J2957" s="26" t="str">
        <f>IFERROR(VLOOKUP(G2957,WholesaleExtract!B:O,14,FALSE),"")</f>
        <v/>
      </c>
      <c r="K2957" s="26" t="str">
        <f>IFERROR(VLOOKUP(G2957,WholesaleExtract!B:K,10,FALSE),"")</f>
        <v/>
      </c>
      <c r="L2957" s="47" t="str">
        <f>IFERROR(VLOOKUP(G2957,WholesaleExtract!B:L,11,FALSE),"")</f>
        <v/>
      </c>
      <c r="M2957" s="47" t="str">
        <f>IFERROR(VLOOKUP(G2957,WholesaleExtract!B:M,12,FALSE),"")</f>
        <v/>
      </c>
      <c r="R2957" s="19"/>
      <c r="S2957" s="19"/>
    </row>
    <row r="2958" spans="1:19" x14ac:dyDescent="0.35">
      <c r="A2958" s="26" t="s">
        <v>543</v>
      </c>
      <c r="B2958" s="26" t="s">
        <v>543</v>
      </c>
      <c r="C2958" s="26"/>
      <c r="D2958" s="26" t="s">
        <v>543</v>
      </c>
      <c r="E2958" s="26" t="str">
        <f>IFERROR(VLOOKUP(G2958,WholesaleExtract!B:J,9,FALSE),"")</f>
        <v/>
      </c>
      <c r="F2958" s="26" t="str">
        <f>IFERROR(VLOOKUP(G2958,WholesaleExtract!B:J,6,FALSE),"")</f>
        <v/>
      </c>
      <c r="H2958" s="47" t="str">
        <f>IFERROR(VLOOKUP(G2958,WholesaleExtract!B:L,11,FALSE),"")</f>
        <v/>
      </c>
      <c r="I2958" s="26" t="str">
        <f>IFERROR(VLOOKUP(G2958,WholesaleExtract!B:O,8,FALSE),"")</f>
        <v/>
      </c>
      <c r="J2958" s="26" t="str">
        <f>IFERROR(VLOOKUP(G2958,WholesaleExtract!B:O,14,FALSE),"")</f>
        <v/>
      </c>
      <c r="K2958" s="26" t="str">
        <f>IFERROR(VLOOKUP(G2958,WholesaleExtract!B:K,10,FALSE),"")</f>
        <v/>
      </c>
      <c r="L2958" s="47" t="str">
        <f>IFERROR(VLOOKUP(G2958,WholesaleExtract!B:L,11,FALSE),"")</f>
        <v/>
      </c>
      <c r="M2958" s="47" t="str">
        <f>IFERROR(VLOOKUP(G2958,WholesaleExtract!B:M,12,FALSE),"")</f>
        <v/>
      </c>
      <c r="R2958" s="19"/>
      <c r="S2958" s="19"/>
    </row>
    <row r="2959" spans="1:19" x14ac:dyDescent="0.35">
      <c r="A2959" s="26" t="s">
        <v>543</v>
      </c>
      <c r="B2959" s="26" t="s">
        <v>543</v>
      </c>
      <c r="C2959" s="26"/>
      <c r="D2959" s="26" t="s">
        <v>543</v>
      </c>
      <c r="E2959" s="26" t="str">
        <f>IFERROR(VLOOKUP(G2959,WholesaleExtract!B:J,9,FALSE),"")</f>
        <v/>
      </c>
      <c r="F2959" s="26" t="str">
        <f>IFERROR(VLOOKUP(G2959,WholesaleExtract!B:J,6,FALSE),"")</f>
        <v/>
      </c>
      <c r="H2959" s="47" t="str">
        <f>IFERROR(VLOOKUP(G2959,WholesaleExtract!B:L,11,FALSE),"")</f>
        <v/>
      </c>
      <c r="I2959" s="26" t="str">
        <f>IFERROR(VLOOKUP(G2959,WholesaleExtract!B:O,8,FALSE),"")</f>
        <v/>
      </c>
      <c r="J2959" s="26" t="str">
        <f>IFERROR(VLOOKUP(G2959,WholesaleExtract!B:O,14,FALSE),"")</f>
        <v/>
      </c>
      <c r="K2959" s="26" t="str">
        <f>IFERROR(VLOOKUP(G2959,WholesaleExtract!B:K,10,FALSE),"")</f>
        <v/>
      </c>
      <c r="L2959" s="47" t="str">
        <f>IFERROR(VLOOKUP(G2959,WholesaleExtract!B:L,11,FALSE),"")</f>
        <v/>
      </c>
      <c r="M2959" s="47" t="str">
        <f>IFERROR(VLOOKUP(G2959,WholesaleExtract!B:M,12,FALSE),"")</f>
        <v/>
      </c>
      <c r="R2959" s="19"/>
      <c r="S2959" s="19"/>
    </row>
    <row r="2960" spans="1:19" x14ac:dyDescent="0.35">
      <c r="A2960" s="26" t="s">
        <v>543</v>
      </c>
      <c r="B2960" s="26" t="s">
        <v>543</v>
      </c>
      <c r="C2960" s="26"/>
      <c r="D2960" s="26" t="s">
        <v>543</v>
      </c>
      <c r="E2960" s="26" t="str">
        <f>IFERROR(VLOOKUP(G2960,WholesaleExtract!B:J,9,FALSE),"")</f>
        <v/>
      </c>
      <c r="F2960" s="26" t="str">
        <f>IFERROR(VLOOKUP(G2960,WholesaleExtract!B:J,6,FALSE),"")</f>
        <v/>
      </c>
      <c r="H2960" s="47" t="str">
        <f>IFERROR(VLOOKUP(G2960,WholesaleExtract!B:L,11,FALSE),"")</f>
        <v/>
      </c>
      <c r="I2960" s="26" t="str">
        <f>IFERROR(VLOOKUP(G2960,WholesaleExtract!B:O,8,FALSE),"")</f>
        <v/>
      </c>
      <c r="J2960" s="26" t="str">
        <f>IFERROR(VLOOKUP(G2960,WholesaleExtract!B:O,14,FALSE),"")</f>
        <v/>
      </c>
      <c r="K2960" s="26" t="str">
        <f>IFERROR(VLOOKUP(G2960,WholesaleExtract!B:K,10,FALSE),"")</f>
        <v/>
      </c>
      <c r="L2960" s="47" t="str">
        <f>IFERROR(VLOOKUP(G2960,WholesaleExtract!B:L,11,FALSE),"")</f>
        <v/>
      </c>
      <c r="M2960" s="47" t="str">
        <f>IFERROR(VLOOKUP(G2960,WholesaleExtract!B:M,12,FALSE),"")</f>
        <v/>
      </c>
      <c r="R2960" s="19"/>
      <c r="S2960" s="19"/>
    </row>
    <row r="2961" spans="1:19" x14ac:dyDescent="0.35">
      <c r="A2961" s="26" t="s">
        <v>543</v>
      </c>
      <c r="B2961" s="26" t="s">
        <v>543</v>
      </c>
      <c r="C2961" s="26"/>
      <c r="D2961" s="26" t="s">
        <v>543</v>
      </c>
      <c r="E2961" s="26" t="str">
        <f>IFERROR(VLOOKUP(G2961,WholesaleExtract!B:J,9,FALSE),"")</f>
        <v/>
      </c>
      <c r="F2961" s="26" t="str">
        <f>IFERROR(VLOOKUP(G2961,WholesaleExtract!B:J,6,FALSE),"")</f>
        <v/>
      </c>
      <c r="H2961" s="47" t="str">
        <f>IFERROR(VLOOKUP(G2961,WholesaleExtract!B:L,11,FALSE),"")</f>
        <v/>
      </c>
      <c r="I2961" s="26" t="str">
        <f>IFERROR(VLOOKUP(G2961,WholesaleExtract!B:O,8,FALSE),"")</f>
        <v/>
      </c>
      <c r="J2961" s="26" t="str">
        <f>IFERROR(VLOOKUP(G2961,WholesaleExtract!B:O,14,FALSE),"")</f>
        <v/>
      </c>
      <c r="K2961" s="26" t="str">
        <f>IFERROR(VLOOKUP(G2961,WholesaleExtract!B:K,10,FALSE),"")</f>
        <v/>
      </c>
      <c r="L2961" s="47" t="str">
        <f>IFERROR(VLOOKUP(G2961,WholesaleExtract!B:L,11,FALSE),"")</f>
        <v/>
      </c>
      <c r="M2961" s="47" t="str">
        <f>IFERROR(VLOOKUP(G2961,WholesaleExtract!B:M,12,FALSE),"")</f>
        <v/>
      </c>
      <c r="R2961" s="19"/>
      <c r="S2961" s="19"/>
    </row>
    <row r="2962" spans="1:19" x14ac:dyDescent="0.35">
      <c r="A2962" s="26" t="s">
        <v>543</v>
      </c>
      <c r="B2962" s="26" t="s">
        <v>543</v>
      </c>
      <c r="C2962" s="26"/>
      <c r="D2962" s="26" t="s">
        <v>543</v>
      </c>
      <c r="E2962" s="26" t="str">
        <f>IFERROR(VLOOKUP(G2962,WholesaleExtract!B:J,9,FALSE),"")</f>
        <v/>
      </c>
      <c r="F2962" s="26" t="str">
        <f>IFERROR(VLOOKUP(G2962,WholesaleExtract!B:J,6,FALSE),"")</f>
        <v/>
      </c>
      <c r="H2962" s="47" t="str">
        <f>IFERROR(VLOOKUP(G2962,WholesaleExtract!B:L,11,FALSE),"")</f>
        <v/>
      </c>
      <c r="I2962" s="26" t="str">
        <f>IFERROR(VLOOKUP(G2962,WholesaleExtract!B:O,8,FALSE),"")</f>
        <v/>
      </c>
      <c r="J2962" s="26" t="str">
        <f>IFERROR(VLOOKUP(G2962,WholesaleExtract!B:O,14,FALSE),"")</f>
        <v/>
      </c>
      <c r="K2962" s="26" t="str">
        <f>IFERROR(VLOOKUP(G2962,WholesaleExtract!B:K,10,FALSE),"")</f>
        <v/>
      </c>
      <c r="L2962" s="47" t="str">
        <f>IFERROR(VLOOKUP(G2962,WholesaleExtract!B:L,11,FALSE),"")</f>
        <v/>
      </c>
      <c r="M2962" s="47" t="str">
        <f>IFERROR(VLOOKUP(G2962,WholesaleExtract!B:M,12,FALSE),"")</f>
        <v/>
      </c>
      <c r="R2962" s="19"/>
      <c r="S2962" s="19"/>
    </row>
    <row r="2963" spans="1:19" x14ac:dyDescent="0.35">
      <c r="A2963" s="26" t="s">
        <v>543</v>
      </c>
      <c r="B2963" s="26" t="s">
        <v>543</v>
      </c>
      <c r="C2963" s="26"/>
      <c r="D2963" s="26" t="s">
        <v>543</v>
      </c>
      <c r="E2963" s="26" t="str">
        <f>IFERROR(VLOOKUP(G2963,WholesaleExtract!B:J,9,FALSE),"")</f>
        <v/>
      </c>
      <c r="F2963" s="26" t="str">
        <f>IFERROR(VLOOKUP(G2963,WholesaleExtract!B:J,6,FALSE),"")</f>
        <v/>
      </c>
      <c r="H2963" s="47" t="str">
        <f>IFERROR(VLOOKUP(G2963,WholesaleExtract!B:L,11,FALSE),"")</f>
        <v/>
      </c>
      <c r="I2963" s="26" t="str">
        <f>IFERROR(VLOOKUP(G2963,WholesaleExtract!B:O,8,FALSE),"")</f>
        <v/>
      </c>
      <c r="J2963" s="26" t="str">
        <f>IFERROR(VLOOKUP(G2963,WholesaleExtract!B:O,14,FALSE),"")</f>
        <v/>
      </c>
      <c r="K2963" s="26" t="str">
        <f>IFERROR(VLOOKUP(G2963,WholesaleExtract!B:K,10,FALSE),"")</f>
        <v/>
      </c>
      <c r="L2963" s="47" t="str">
        <f>IFERROR(VLOOKUP(G2963,WholesaleExtract!B:L,11,FALSE),"")</f>
        <v/>
      </c>
      <c r="M2963" s="47" t="str">
        <f>IFERROR(VLOOKUP(G2963,WholesaleExtract!B:M,12,FALSE),"")</f>
        <v/>
      </c>
      <c r="R2963" s="19"/>
      <c r="S2963" s="19"/>
    </row>
    <row r="2964" spans="1:19" x14ac:dyDescent="0.35">
      <c r="A2964" s="26" t="s">
        <v>543</v>
      </c>
      <c r="B2964" s="26" t="s">
        <v>543</v>
      </c>
      <c r="C2964" s="26"/>
      <c r="D2964" s="26" t="s">
        <v>543</v>
      </c>
      <c r="E2964" s="26" t="str">
        <f>IFERROR(VLOOKUP(G2964,WholesaleExtract!B:J,9,FALSE),"")</f>
        <v/>
      </c>
      <c r="F2964" s="26" t="str">
        <f>IFERROR(VLOOKUP(G2964,WholesaleExtract!B:J,6,FALSE),"")</f>
        <v/>
      </c>
      <c r="H2964" s="47" t="str">
        <f>IFERROR(VLOOKUP(G2964,WholesaleExtract!B:L,11,FALSE),"")</f>
        <v/>
      </c>
      <c r="I2964" s="26" t="str">
        <f>IFERROR(VLOOKUP(G2964,WholesaleExtract!B:O,8,FALSE),"")</f>
        <v/>
      </c>
      <c r="J2964" s="26" t="str">
        <f>IFERROR(VLOOKUP(G2964,WholesaleExtract!B:O,14,FALSE),"")</f>
        <v/>
      </c>
      <c r="K2964" s="26" t="str">
        <f>IFERROR(VLOOKUP(G2964,WholesaleExtract!B:K,10,FALSE),"")</f>
        <v/>
      </c>
      <c r="L2964" s="47" t="str">
        <f>IFERROR(VLOOKUP(G2964,WholesaleExtract!B:L,11,FALSE),"")</f>
        <v/>
      </c>
      <c r="M2964" s="47" t="str">
        <f>IFERROR(VLOOKUP(G2964,WholesaleExtract!B:M,12,FALSE),"")</f>
        <v/>
      </c>
      <c r="R2964" s="19"/>
      <c r="S2964" s="19"/>
    </row>
    <row r="2965" spans="1:19" x14ac:dyDescent="0.35">
      <c r="A2965" s="26" t="s">
        <v>543</v>
      </c>
      <c r="B2965" s="26" t="s">
        <v>543</v>
      </c>
      <c r="C2965" s="26"/>
      <c r="D2965" s="26" t="s">
        <v>543</v>
      </c>
      <c r="E2965" s="26" t="str">
        <f>IFERROR(VLOOKUP(G2965,WholesaleExtract!B:J,9,FALSE),"")</f>
        <v/>
      </c>
      <c r="F2965" s="26" t="str">
        <f>IFERROR(VLOOKUP(G2965,WholesaleExtract!B:J,6,FALSE),"")</f>
        <v/>
      </c>
      <c r="H2965" s="47" t="str">
        <f>IFERROR(VLOOKUP(G2965,WholesaleExtract!B:L,11,FALSE),"")</f>
        <v/>
      </c>
      <c r="I2965" s="26" t="str">
        <f>IFERROR(VLOOKUP(G2965,WholesaleExtract!B:O,8,FALSE),"")</f>
        <v/>
      </c>
      <c r="J2965" s="26" t="str">
        <f>IFERROR(VLOOKUP(G2965,WholesaleExtract!B:O,14,FALSE),"")</f>
        <v/>
      </c>
      <c r="K2965" s="26" t="str">
        <f>IFERROR(VLOOKUP(G2965,WholesaleExtract!B:K,10,FALSE),"")</f>
        <v/>
      </c>
      <c r="L2965" s="47" t="str">
        <f>IFERROR(VLOOKUP(G2965,WholesaleExtract!B:L,11,FALSE),"")</f>
        <v/>
      </c>
      <c r="M2965" s="47" t="str">
        <f>IFERROR(VLOOKUP(G2965,WholesaleExtract!B:M,12,FALSE),"")</f>
        <v/>
      </c>
      <c r="R2965" s="19"/>
      <c r="S2965" s="19"/>
    </row>
    <row r="2966" spans="1:19" x14ac:dyDescent="0.35">
      <c r="A2966" s="26" t="s">
        <v>543</v>
      </c>
      <c r="B2966" s="26" t="s">
        <v>543</v>
      </c>
      <c r="C2966" s="26"/>
      <c r="D2966" s="26" t="s">
        <v>543</v>
      </c>
      <c r="E2966" s="26" t="str">
        <f>IFERROR(VLOOKUP(G2966,WholesaleExtract!B:J,9,FALSE),"")</f>
        <v/>
      </c>
      <c r="F2966" s="26" t="str">
        <f>IFERROR(VLOOKUP(G2966,WholesaleExtract!B:J,6,FALSE),"")</f>
        <v/>
      </c>
      <c r="H2966" s="47" t="str">
        <f>IFERROR(VLOOKUP(G2966,WholesaleExtract!B:L,11,FALSE),"")</f>
        <v/>
      </c>
      <c r="I2966" s="26" t="str">
        <f>IFERROR(VLOOKUP(G2966,WholesaleExtract!B:O,8,FALSE),"")</f>
        <v/>
      </c>
      <c r="J2966" s="26" t="str">
        <f>IFERROR(VLOOKUP(G2966,WholesaleExtract!B:O,14,FALSE),"")</f>
        <v/>
      </c>
      <c r="K2966" s="26" t="str">
        <f>IFERROR(VLOOKUP(G2966,WholesaleExtract!B:K,10,FALSE),"")</f>
        <v/>
      </c>
      <c r="L2966" s="47" t="str">
        <f>IFERROR(VLOOKUP(G2966,WholesaleExtract!B:L,11,FALSE),"")</f>
        <v/>
      </c>
      <c r="M2966" s="47" t="str">
        <f>IFERROR(VLOOKUP(G2966,WholesaleExtract!B:M,12,FALSE),"")</f>
        <v/>
      </c>
      <c r="R2966" s="19"/>
      <c r="S2966" s="19"/>
    </row>
    <row r="2967" spans="1:19" x14ac:dyDescent="0.35">
      <c r="A2967" s="26" t="s">
        <v>543</v>
      </c>
      <c r="B2967" s="26" t="s">
        <v>543</v>
      </c>
      <c r="C2967" s="26"/>
      <c r="D2967" s="26" t="s">
        <v>543</v>
      </c>
      <c r="E2967" s="26" t="str">
        <f>IFERROR(VLOOKUP(G2967,WholesaleExtract!B:J,9,FALSE),"")</f>
        <v/>
      </c>
      <c r="F2967" s="26" t="str">
        <f>IFERROR(VLOOKUP(G2967,WholesaleExtract!B:J,6,FALSE),"")</f>
        <v/>
      </c>
      <c r="H2967" s="47" t="str">
        <f>IFERROR(VLOOKUP(G2967,WholesaleExtract!B:L,11,FALSE),"")</f>
        <v/>
      </c>
      <c r="I2967" s="26" t="str">
        <f>IFERROR(VLOOKUP(G2967,WholesaleExtract!B:O,8,FALSE),"")</f>
        <v/>
      </c>
      <c r="J2967" s="26" t="str">
        <f>IFERROR(VLOOKUP(G2967,WholesaleExtract!B:O,14,FALSE),"")</f>
        <v/>
      </c>
      <c r="K2967" s="26" t="str">
        <f>IFERROR(VLOOKUP(G2967,WholesaleExtract!B:K,10,FALSE),"")</f>
        <v/>
      </c>
      <c r="L2967" s="47" t="str">
        <f>IFERROR(VLOOKUP(G2967,WholesaleExtract!B:L,11,FALSE),"")</f>
        <v/>
      </c>
      <c r="M2967" s="47" t="str">
        <f>IFERROR(VLOOKUP(G2967,WholesaleExtract!B:M,12,FALSE),"")</f>
        <v/>
      </c>
      <c r="R2967" s="19"/>
      <c r="S2967" s="19"/>
    </row>
    <row r="2968" spans="1:19" x14ac:dyDescent="0.35">
      <c r="A2968" s="26" t="s">
        <v>543</v>
      </c>
      <c r="B2968" s="26" t="s">
        <v>543</v>
      </c>
      <c r="C2968" s="26"/>
      <c r="D2968" s="26" t="s">
        <v>543</v>
      </c>
      <c r="E2968" s="26" t="str">
        <f>IFERROR(VLOOKUP(G2968,WholesaleExtract!B:J,9,FALSE),"")</f>
        <v/>
      </c>
      <c r="F2968" s="26" t="str">
        <f>IFERROR(VLOOKUP(G2968,WholesaleExtract!B:J,6,FALSE),"")</f>
        <v/>
      </c>
      <c r="H2968" s="47" t="str">
        <f>IFERROR(VLOOKUP(G2968,WholesaleExtract!B:L,11,FALSE),"")</f>
        <v/>
      </c>
      <c r="I2968" s="26" t="str">
        <f>IFERROR(VLOOKUP(G2968,WholesaleExtract!B:O,8,FALSE),"")</f>
        <v/>
      </c>
      <c r="J2968" s="26" t="str">
        <f>IFERROR(VLOOKUP(G2968,WholesaleExtract!B:O,14,FALSE),"")</f>
        <v/>
      </c>
      <c r="K2968" s="26" t="str">
        <f>IFERROR(VLOOKUP(G2968,WholesaleExtract!B:K,10,FALSE),"")</f>
        <v/>
      </c>
      <c r="L2968" s="47" t="str">
        <f>IFERROR(VLOOKUP(G2968,WholesaleExtract!B:L,11,FALSE),"")</f>
        <v/>
      </c>
      <c r="M2968" s="47" t="str">
        <f>IFERROR(VLOOKUP(G2968,WholesaleExtract!B:M,12,FALSE),"")</f>
        <v/>
      </c>
      <c r="R2968" s="19"/>
      <c r="S2968" s="19"/>
    </row>
    <row r="2969" spans="1:19" x14ac:dyDescent="0.35">
      <c r="A2969" s="26" t="s">
        <v>543</v>
      </c>
      <c r="B2969" s="26" t="s">
        <v>543</v>
      </c>
      <c r="C2969" s="26"/>
      <c r="D2969" s="26" t="s">
        <v>543</v>
      </c>
      <c r="E2969" s="26" t="str">
        <f>IFERROR(VLOOKUP(G2969,WholesaleExtract!B:J,9,FALSE),"")</f>
        <v/>
      </c>
      <c r="F2969" s="26" t="str">
        <f>IFERROR(VLOOKUP(G2969,WholesaleExtract!B:J,6,FALSE),"")</f>
        <v/>
      </c>
      <c r="H2969" s="47" t="str">
        <f>IFERROR(VLOOKUP(G2969,WholesaleExtract!B:L,11,FALSE),"")</f>
        <v/>
      </c>
      <c r="I2969" s="26" t="str">
        <f>IFERROR(VLOOKUP(G2969,WholesaleExtract!B:O,8,FALSE),"")</f>
        <v/>
      </c>
      <c r="J2969" s="26" t="str">
        <f>IFERROR(VLOOKUP(G2969,WholesaleExtract!B:O,14,FALSE),"")</f>
        <v/>
      </c>
      <c r="K2969" s="26" t="str">
        <f>IFERROR(VLOOKUP(G2969,WholesaleExtract!B:K,10,FALSE),"")</f>
        <v/>
      </c>
      <c r="L2969" s="47" t="str">
        <f>IFERROR(VLOOKUP(G2969,WholesaleExtract!B:L,11,FALSE),"")</f>
        <v/>
      </c>
      <c r="M2969" s="47" t="str">
        <f>IFERROR(VLOOKUP(G2969,WholesaleExtract!B:M,12,FALSE),"")</f>
        <v/>
      </c>
      <c r="R2969" s="19"/>
      <c r="S2969" s="19"/>
    </row>
    <row r="2970" spans="1:19" x14ac:dyDescent="0.35">
      <c r="A2970" s="26" t="s">
        <v>543</v>
      </c>
      <c r="B2970" s="26" t="s">
        <v>543</v>
      </c>
      <c r="C2970" s="26"/>
      <c r="D2970" s="26" t="s">
        <v>543</v>
      </c>
      <c r="E2970" s="26" t="str">
        <f>IFERROR(VLOOKUP(G2970,WholesaleExtract!B:J,9,FALSE),"")</f>
        <v/>
      </c>
      <c r="F2970" s="26" t="str">
        <f>IFERROR(VLOOKUP(G2970,WholesaleExtract!B:J,6,FALSE),"")</f>
        <v/>
      </c>
      <c r="H2970" s="47" t="str">
        <f>IFERROR(VLOOKUP(G2970,WholesaleExtract!B:L,11,FALSE),"")</f>
        <v/>
      </c>
      <c r="I2970" s="26" t="str">
        <f>IFERROR(VLOOKUP(G2970,WholesaleExtract!B:O,8,FALSE),"")</f>
        <v/>
      </c>
      <c r="J2970" s="26" t="str">
        <f>IFERROR(VLOOKUP(G2970,WholesaleExtract!B:O,14,FALSE),"")</f>
        <v/>
      </c>
      <c r="K2970" s="26" t="str">
        <f>IFERROR(VLOOKUP(G2970,WholesaleExtract!B:K,10,FALSE),"")</f>
        <v/>
      </c>
      <c r="L2970" s="47" t="str">
        <f>IFERROR(VLOOKUP(G2970,WholesaleExtract!B:L,11,FALSE),"")</f>
        <v/>
      </c>
      <c r="M2970" s="47" t="str">
        <f>IFERROR(VLOOKUP(G2970,WholesaleExtract!B:M,12,FALSE),"")</f>
        <v/>
      </c>
      <c r="R2970" s="19"/>
      <c r="S2970" s="19"/>
    </row>
    <row r="2971" spans="1:19" x14ac:dyDescent="0.35">
      <c r="A2971" s="26" t="s">
        <v>543</v>
      </c>
      <c r="B2971" s="26" t="s">
        <v>543</v>
      </c>
      <c r="C2971" s="26"/>
      <c r="D2971" s="26" t="s">
        <v>543</v>
      </c>
      <c r="E2971" s="26" t="str">
        <f>IFERROR(VLOOKUP(G2971,WholesaleExtract!B:J,9,FALSE),"")</f>
        <v/>
      </c>
      <c r="F2971" s="26" t="str">
        <f>IFERROR(VLOOKUP(G2971,WholesaleExtract!B:J,6,FALSE),"")</f>
        <v/>
      </c>
      <c r="H2971" s="47" t="str">
        <f>IFERROR(VLOOKUP(G2971,WholesaleExtract!B:L,11,FALSE),"")</f>
        <v/>
      </c>
      <c r="I2971" s="26" t="str">
        <f>IFERROR(VLOOKUP(G2971,WholesaleExtract!B:O,8,FALSE),"")</f>
        <v/>
      </c>
      <c r="J2971" s="26" t="str">
        <f>IFERROR(VLOOKUP(G2971,WholesaleExtract!B:O,14,FALSE),"")</f>
        <v/>
      </c>
      <c r="K2971" s="26" t="str">
        <f>IFERROR(VLOOKUP(G2971,WholesaleExtract!B:K,10,FALSE),"")</f>
        <v/>
      </c>
      <c r="L2971" s="47" t="str">
        <f>IFERROR(VLOOKUP(G2971,WholesaleExtract!B:L,11,FALSE),"")</f>
        <v/>
      </c>
      <c r="M2971" s="47" t="str">
        <f>IFERROR(VLOOKUP(G2971,WholesaleExtract!B:M,12,FALSE),"")</f>
        <v/>
      </c>
      <c r="R2971" s="19"/>
      <c r="S2971" s="19"/>
    </row>
    <row r="2972" spans="1:19" x14ac:dyDescent="0.35">
      <c r="A2972" s="26" t="s">
        <v>543</v>
      </c>
      <c r="B2972" s="26" t="s">
        <v>543</v>
      </c>
      <c r="C2972" s="26"/>
      <c r="D2972" s="26" t="s">
        <v>543</v>
      </c>
      <c r="E2972" s="26" t="str">
        <f>IFERROR(VLOOKUP(G2972,WholesaleExtract!B:J,9,FALSE),"")</f>
        <v/>
      </c>
      <c r="F2972" s="26" t="str">
        <f>IFERROR(VLOOKUP(G2972,WholesaleExtract!B:J,6,FALSE),"")</f>
        <v/>
      </c>
      <c r="H2972" s="47" t="str">
        <f>IFERROR(VLOOKUP(G2972,WholesaleExtract!B:L,11,FALSE),"")</f>
        <v/>
      </c>
      <c r="I2972" s="26" t="str">
        <f>IFERROR(VLOOKUP(G2972,WholesaleExtract!B:O,8,FALSE),"")</f>
        <v/>
      </c>
      <c r="J2972" s="26" t="str">
        <f>IFERROR(VLOOKUP(G2972,WholesaleExtract!B:O,14,FALSE),"")</f>
        <v/>
      </c>
      <c r="K2972" s="26" t="str">
        <f>IFERROR(VLOOKUP(G2972,WholesaleExtract!B:K,10,FALSE),"")</f>
        <v/>
      </c>
      <c r="L2972" s="47" t="str">
        <f>IFERROR(VLOOKUP(G2972,WholesaleExtract!B:L,11,FALSE),"")</f>
        <v/>
      </c>
      <c r="M2972" s="47" t="str">
        <f>IFERROR(VLOOKUP(G2972,WholesaleExtract!B:M,12,FALSE),"")</f>
        <v/>
      </c>
      <c r="R2972" s="19"/>
      <c r="S2972" s="19"/>
    </row>
    <row r="2973" spans="1:19" x14ac:dyDescent="0.35">
      <c r="A2973" s="26" t="s">
        <v>543</v>
      </c>
      <c r="B2973" s="26" t="s">
        <v>543</v>
      </c>
      <c r="C2973" s="26"/>
      <c r="D2973" s="26" t="s">
        <v>543</v>
      </c>
      <c r="E2973" s="26" t="str">
        <f>IFERROR(VLOOKUP(G2973,WholesaleExtract!B:J,9,FALSE),"")</f>
        <v/>
      </c>
      <c r="F2973" s="26" t="str">
        <f>IFERROR(VLOOKUP(G2973,WholesaleExtract!B:J,6,FALSE),"")</f>
        <v/>
      </c>
      <c r="H2973" s="47" t="str">
        <f>IFERROR(VLOOKUP(G2973,WholesaleExtract!B:L,11,FALSE),"")</f>
        <v/>
      </c>
      <c r="I2973" s="26" t="str">
        <f>IFERROR(VLOOKUP(G2973,WholesaleExtract!B:O,8,FALSE),"")</f>
        <v/>
      </c>
      <c r="J2973" s="26" t="str">
        <f>IFERROR(VLOOKUP(G2973,WholesaleExtract!B:O,14,FALSE),"")</f>
        <v/>
      </c>
      <c r="K2973" s="26" t="str">
        <f>IFERROR(VLOOKUP(G2973,WholesaleExtract!B:K,10,FALSE),"")</f>
        <v/>
      </c>
      <c r="L2973" s="47" t="str">
        <f>IFERROR(VLOOKUP(G2973,WholesaleExtract!B:L,11,FALSE),"")</f>
        <v/>
      </c>
      <c r="M2973" s="47" t="str">
        <f>IFERROR(VLOOKUP(G2973,WholesaleExtract!B:M,12,FALSE),"")</f>
        <v/>
      </c>
      <c r="R2973" s="19"/>
      <c r="S2973" s="19"/>
    </row>
    <row r="2974" spans="1:19" x14ac:dyDescent="0.35">
      <c r="A2974" s="26" t="s">
        <v>543</v>
      </c>
      <c r="B2974" s="26" t="s">
        <v>543</v>
      </c>
      <c r="C2974" s="26"/>
      <c r="D2974" s="26" t="s">
        <v>543</v>
      </c>
      <c r="E2974" s="26" t="str">
        <f>IFERROR(VLOOKUP(G2974,WholesaleExtract!B:J,9,FALSE),"")</f>
        <v/>
      </c>
      <c r="F2974" s="26" t="str">
        <f>IFERROR(VLOOKUP(G2974,WholesaleExtract!B:J,6,FALSE),"")</f>
        <v/>
      </c>
      <c r="H2974" s="47" t="str">
        <f>IFERROR(VLOOKUP(G2974,WholesaleExtract!B:L,11,FALSE),"")</f>
        <v/>
      </c>
      <c r="I2974" s="26" t="str">
        <f>IFERROR(VLOOKUP(G2974,WholesaleExtract!B:O,8,FALSE),"")</f>
        <v/>
      </c>
      <c r="J2974" s="26" t="str">
        <f>IFERROR(VLOOKUP(G2974,WholesaleExtract!B:O,14,FALSE),"")</f>
        <v/>
      </c>
      <c r="K2974" s="26" t="str">
        <f>IFERROR(VLOOKUP(G2974,WholesaleExtract!B:K,10,FALSE),"")</f>
        <v/>
      </c>
      <c r="L2974" s="47" t="str">
        <f>IFERROR(VLOOKUP(G2974,WholesaleExtract!B:L,11,FALSE),"")</f>
        <v/>
      </c>
      <c r="M2974" s="47" t="str">
        <f>IFERROR(VLOOKUP(G2974,WholesaleExtract!B:M,12,FALSE),"")</f>
        <v/>
      </c>
      <c r="R2974" s="19"/>
      <c r="S2974" s="19"/>
    </row>
    <row r="2975" spans="1:19" x14ac:dyDescent="0.35">
      <c r="A2975" s="26" t="s">
        <v>543</v>
      </c>
      <c r="B2975" s="26" t="s">
        <v>543</v>
      </c>
      <c r="C2975" s="26"/>
      <c r="D2975" s="26" t="s">
        <v>543</v>
      </c>
      <c r="E2975" s="26" t="str">
        <f>IFERROR(VLOOKUP(G2975,WholesaleExtract!B:J,9,FALSE),"")</f>
        <v/>
      </c>
      <c r="F2975" s="26" t="str">
        <f>IFERROR(VLOOKUP(G2975,WholesaleExtract!B:J,6,FALSE),"")</f>
        <v/>
      </c>
      <c r="H2975" s="47" t="str">
        <f>IFERROR(VLOOKUP(G2975,WholesaleExtract!B:L,11,FALSE),"")</f>
        <v/>
      </c>
      <c r="I2975" s="26" t="str">
        <f>IFERROR(VLOOKUP(G2975,WholesaleExtract!B:O,8,FALSE),"")</f>
        <v/>
      </c>
      <c r="J2975" s="26" t="str">
        <f>IFERROR(VLOOKUP(G2975,WholesaleExtract!B:O,14,FALSE),"")</f>
        <v/>
      </c>
      <c r="K2975" s="26" t="str">
        <f>IFERROR(VLOOKUP(G2975,WholesaleExtract!B:K,10,FALSE),"")</f>
        <v/>
      </c>
      <c r="L2975" s="47" t="str">
        <f>IFERROR(VLOOKUP(G2975,WholesaleExtract!B:L,11,FALSE),"")</f>
        <v/>
      </c>
      <c r="M2975" s="47" t="str">
        <f>IFERROR(VLOOKUP(G2975,WholesaleExtract!B:M,12,FALSE),"")</f>
        <v/>
      </c>
      <c r="R2975" s="19"/>
      <c r="S2975" s="19"/>
    </row>
    <row r="2976" spans="1:19" x14ac:dyDescent="0.35">
      <c r="A2976" s="26" t="s">
        <v>543</v>
      </c>
      <c r="B2976" s="26" t="s">
        <v>543</v>
      </c>
      <c r="C2976" s="26"/>
      <c r="D2976" s="26" t="s">
        <v>543</v>
      </c>
      <c r="E2976" s="26" t="str">
        <f>IFERROR(VLOOKUP(G2976,WholesaleExtract!B:J,9,FALSE),"")</f>
        <v/>
      </c>
      <c r="F2976" s="26" t="str">
        <f>IFERROR(VLOOKUP(G2976,WholesaleExtract!B:J,6,FALSE),"")</f>
        <v/>
      </c>
      <c r="H2976" s="47" t="str">
        <f>IFERROR(VLOOKUP(G2976,WholesaleExtract!B:L,11,FALSE),"")</f>
        <v/>
      </c>
      <c r="I2976" s="26" t="str">
        <f>IFERROR(VLOOKUP(G2976,WholesaleExtract!B:O,8,FALSE),"")</f>
        <v/>
      </c>
      <c r="J2976" s="26" t="str">
        <f>IFERROR(VLOOKUP(G2976,WholesaleExtract!B:O,14,FALSE),"")</f>
        <v/>
      </c>
      <c r="K2976" s="26" t="str">
        <f>IFERROR(VLOOKUP(G2976,WholesaleExtract!B:K,10,FALSE),"")</f>
        <v/>
      </c>
      <c r="L2976" s="47" t="str">
        <f>IFERROR(VLOOKUP(G2976,WholesaleExtract!B:L,11,FALSE),"")</f>
        <v/>
      </c>
      <c r="M2976" s="47" t="str">
        <f>IFERROR(VLOOKUP(G2976,WholesaleExtract!B:M,12,FALSE),"")</f>
        <v/>
      </c>
      <c r="R2976" s="19"/>
      <c r="S2976" s="19"/>
    </row>
    <row r="2977" spans="1:19" x14ac:dyDescent="0.35">
      <c r="A2977" s="26" t="s">
        <v>543</v>
      </c>
      <c r="B2977" s="26" t="s">
        <v>543</v>
      </c>
      <c r="C2977" s="26"/>
      <c r="D2977" s="26" t="s">
        <v>543</v>
      </c>
      <c r="E2977" s="26" t="str">
        <f>IFERROR(VLOOKUP(G2977,WholesaleExtract!B:J,9,FALSE),"")</f>
        <v/>
      </c>
      <c r="F2977" s="26" t="str">
        <f>IFERROR(VLOOKUP(G2977,WholesaleExtract!B:J,6,FALSE),"")</f>
        <v/>
      </c>
      <c r="H2977" s="47" t="str">
        <f>IFERROR(VLOOKUP(G2977,WholesaleExtract!B:L,11,FALSE),"")</f>
        <v/>
      </c>
      <c r="I2977" s="26" t="str">
        <f>IFERROR(VLOOKUP(G2977,WholesaleExtract!B:O,8,FALSE),"")</f>
        <v/>
      </c>
      <c r="J2977" s="26" t="str">
        <f>IFERROR(VLOOKUP(G2977,WholesaleExtract!B:O,14,FALSE),"")</f>
        <v/>
      </c>
      <c r="K2977" s="26" t="str">
        <f>IFERROR(VLOOKUP(G2977,WholesaleExtract!B:K,10,FALSE),"")</f>
        <v/>
      </c>
      <c r="L2977" s="47" t="str">
        <f>IFERROR(VLOOKUP(G2977,WholesaleExtract!B:L,11,FALSE),"")</f>
        <v/>
      </c>
      <c r="M2977" s="47" t="str">
        <f>IFERROR(VLOOKUP(G2977,WholesaleExtract!B:M,12,FALSE),"")</f>
        <v/>
      </c>
      <c r="R2977" s="19"/>
      <c r="S2977" s="19"/>
    </row>
    <row r="2978" spans="1:19" x14ac:dyDescent="0.35">
      <c r="A2978" s="26" t="s">
        <v>543</v>
      </c>
      <c r="B2978" s="26" t="s">
        <v>543</v>
      </c>
      <c r="C2978" s="26"/>
      <c r="D2978" s="26" t="s">
        <v>543</v>
      </c>
      <c r="E2978" s="26" t="str">
        <f>IFERROR(VLOOKUP(G2978,WholesaleExtract!B:J,9,FALSE),"")</f>
        <v/>
      </c>
      <c r="F2978" s="26" t="str">
        <f>IFERROR(VLOOKUP(G2978,WholesaleExtract!B:J,6,FALSE),"")</f>
        <v/>
      </c>
      <c r="H2978" s="47" t="str">
        <f>IFERROR(VLOOKUP(G2978,WholesaleExtract!B:L,11,FALSE),"")</f>
        <v/>
      </c>
      <c r="I2978" s="26" t="str">
        <f>IFERROR(VLOOKUP(G2978,WholesaleExtract!B:O,8,FALSE),"")</f>
        <v/>
      </c>
      <c r="J2978" s="26" t="str">
        <f>IFERROR(VLOOKUP(G2978,WholesaleExtract!B:O,14,FALSE),"")</f>
        <v/>
      </c>
      <c r="K2978" s="26" t="str">
        <f>IFERROR(VLOOKUP(G2978,WholesaleExtract!B:K,10,FALSE),"")</f>
        <v/>
      </c>
      <c r="L2978" s="47" t="str">
        <f>IFERROR(VLOOKUP(G2978,WholesaleExtract!B:L,11,FALSE),"")</f>
        <v/>
      </c>
      <c r="M2978" s="47" t="str">
        <f>IFERROR(VLOOKUP(G2978,WholesaleExtract!B:M,12,FALSE),"")</f>
        <v/>
      </c>
      <c r="R2978" s="19"/>
      <c r="S2978" s="19"/>
    </row>
    <row r="2979" spans="1:19" x14ac:dyDescent="0.35">
      <c r="A2979" s="26" t="s">
        <v>543</v>
      </c>
      <c r="B2979" s="26" t="s">
        <v>543</v>
      </c>
      <c r="C2979" s="26"/>
      <c r="D2979" s="26" t="s">
        <v>543</v>
      </c>
      <c r="E2979" s="26" t="str">
        <f>IFERROR(VLOOKUP(G2979,WholesaleExtract!B:J,9,FALSE),"")</f>
        <v/>
      </c>
      <c r="F2979" s="26" t="str">
        <f>IFERROR(VLOOKUP(G2979,WholesaleExtract!B:J,6,FALSE),"")</f>
        <v/>
      </c>
      <c r="H2979" s="47" t="str">
        <f>IFERROR(VLOOKUP(G2979,WholesaleExtract!B:L,11,FALSE),"")</f>
        <v/>
      </c>
      <c r="I2979" s="26" t="str">
        <f>IFERROR(VLOOKUP(G2979,WholesaleExtract!B:O,8,FALSE),"")</f>
        <v/>
      </c>
      <c r="J2979" s="26" t="str">
        <f>IFERROR(VLOOKUP(G2979,WholesaleExtract!B:O,14,FALSE),"")</f>
        <v/>
      </c>
      <c r="K2979" s="26" t="str">
        <f>IFERROR(VLOOKUP(G2979,WholesaleExtract!B:K,10,FALSE),"")</f>
        <v/>
      </c>
      <c r="L2979" s="47" t="str">
        <f>IFERROR(VLOOKUP(G2979,WholesaleExtract!B:L,11,FALSE),"")</f>
        <v/>
      </c>
      <c r="M2979" s="47" t="str">
        <f>IFERROR(VLOOKUP(G2979,WholesaleExtract!B:M,12,FALSE),"")</f>
        <v/>
      </c>
      <c r="R2979" s="19"/>
      <c r="S2979" s="19"/>
    </row>
    <row r="2980" spans="1:19" x14ac:dyDescent="0.35">
      <c r="A2980" s="26" t="s">
        <v>543</v>
      </c>
      <c r="B2980" s="26" t="s">
        <v>543</v>
      </c>
      <c r="C2980" s="26"/>
      <c r="D2980" s="26" t="s">
        <v>543</v>
      </c>
      <c r="E2980" s="26" t="str">
        <f>IFERROR(VLOOKUP(G2980,WholesaleExtract!B:J,9,FALSE),"")</f>
        <v/>
      </c>
      <c r="F2980" s="26" t="str">
        <f>IFERROR(VLOOKUP(G2980,WholesaleExtract!B:J,6,FALSE),"")</f>
        <v/>
      </c>
      <c r="H2980" s="47" t="str">
        <f>IFERROR(VLOOKUP(G2980,WholesaleExtract!B:L,11,FALSE),"")</f>
        <v/>
      </c>
      <c r="I2980" s="26" t="str">
        <f>IFERROR(VLOOKUP(G2980,WholesaleExtract!B:O,8,FALSE),"")</f>
        <v/>
      </c>
      <c r="J2980" s="26" t="str">
        <f>IFERROR(VLOOKUP(G2980,WholesaleExtract!B:O,14,FALSE),"")</f>
        <v/>
      </c>
      <c r="K2980" s="26" t="str">
        <f>IFERROR(VLOOKUP(G2980,WholesaleExtract!B:K,10,FALSE),"")</f>
        <v/>
      </c>
      <c r="L2980" s="47" t="str">
        <f>IFERROR(VLOOKUP(G2980,WholesaleExtract!B:L,11,FALSE),"")</f>
        <v/>
      </c>
      <c r="M2980" s="47" t="str">
        <f>IFERROR(VLOOKUP(G2980,WholesaleExtract!B:M,12,FALSE),"")</f>
        <v/>
      </c>
      <c r="R2980" s="19"/>
      <c r="S2980" s="19"/>
    </row>
    <row r="2981" spans="1:19" x14ac:dyDescent="0.35">
      <c r="A2981" s="26" t="s">
        <v>543</v>
      </c>
      <c r="B2981" s="26" t="s">
        <v>543</v>
      </c>
      <c r="C2981" s="26"/>
      <c r="D2981" s="26" t="s">
        <v>543</v>
      </c>
      <c r="E2981" s="26" t="str">
        <f>IFERROR(VLOOKUP(G2981,WholesaleExtract!B:J,9,FALSE),"")</f>
        <v/>
      </c>
      <c r="F2981" s="26" t="str">
        <f>IFERROR(VLOOKUP(G2981,WholesaleExtract!B:J,6,FALSE),"")</f>
        <v/>
      </c>
      <c r="H2981" s="47" t="str">
        <f>IFERROR(VLOOKUP(G2981,WholesaleExtract!B:L,11,FALSE),"")</f>
        <v/>
      </c>
      <c r="I2981" s="26" t="str">
        <f>IFERROR(VLOOKUP(G2981,WholesaleExtract!B:O,8,FALSE),"")</f>
        <v/>
      </c>
      <c r="J2981" s="26" t="str">
        <f>IFERROR(VLOOKUP(G2981,WholesaleExtract!B:O,14,FALSE),"")</f>
        <v/>
      </c>
      <c r="K2981" s="26" t="str">
        <f>IFERROR(VLOOKUP(G2981,WholesaleExtract!B:K,10,FALSE),"")</f>
        <v/>
      </c>
      <c r="L2981" s="47" t="str">
        <f>IFERROR(VLOOKUP(G2981,WholesaleExtract!B:L,11,FALSE),"")</f>
        <v/>
      </c>
      <c r="M2981" s="47" t="str">
        <f>IFERROR(VLOOKUP(G2981,WholesaleExtract!B:M,12,FALSE),"")</f>
        <v/>
      </c>
      <c r="R2981" s="19"/>
      <c r="S2981" s="19"/>
    </row>
    <row r="2982" spans="1:19" x14ac:dyDescent="0.35">
      <c r="A2982" s="26" t="s">
        <v>543</v>
      </c>
      <c r="B2982" s="26" t="s">
        <v>543</v>
      </c>
      <c r="C2982" s="26"/>
      <c r="D2982" s="26" t="s">
        <v>543</v>
      </c>
      <c r="E2982" s="26" t="str">
        <f>IFERROR(VLOOKUP(G2982,WholesaleExtract!B:J,9,FALSE),"")</f>
        <v/>
      </c>
      <c r="F2982" s="26" t="str">
        <f>IFERROR(VLOOKUP(G2982,WholesaleExtract!B:J,6,FALSE),"")</f>
        <v/>
      </c>
      <c r="H2982" s="47" t="str">
        <f>IFERROR(VLOOKUP(G2982,WholesaleExtract!B:L,11,FALSE),"")</f>
        <v/>
      </c>
      <c r="I2982" s="26" t="str">
        <f>IFERROR(VLOOKUP(G2982,WholesaleExtract!B:O,8,FALSE),"")</f>
        <v/>
      </c>
      <c r="J2982" s="26" t="str">
        <f>IFERROR(VLOOKUP(G2982,WholesaleExtract!B:O,14,FALSE),"")</f>
        <v/>
      </c>
      <c r="K2982" s="26" t="str">
        <f>IFERROR(VLOOKUP(G2982,WholesaleExtract!B:K,10,FALSE),"")</f>
        <v/>
      </c>
      <c r="L2982" s="47" t="str">
        <f>IFERROR(VLOOKUP(G2982,WholesaleExtract!B:L,11,FALSE),"")</f>
        <v/>
      </c>
      <c r="M2982" s="47" t="str">
        <f>IFERROR(VLOOKUP(G2982,WholesaleExtract!B:M,12,FALSE),"")</f>
        <v/>
      </c>
      <c r="R2982" s="19"/>
      <c r="S2982" s="19"/>
    </row>
    <row r="2983" spans="1:19" x14ac:dyDescent="0.35">
      <c r="A2983" s="26" t="s">
        <v>543</v>
      </c>
      <c r="B2983" s="26" t="s">
        <v>543</v>
      </c>
      <c r="C2983" s="26"/>
      <c r="D2983" s="26" t="s">
        <v>543</v>
      </c>
      <c r="E2983" s="26" t="str">
        <f>IFERROR(VLOOKUP(G2983,WholesaleExtract!B:J,9,FALSE),"")</f>
        <v/>
      </c>
      <c r="F2983" s="26" t="str">
        <f>IFERROR(VLOOKUP(G2983,WholesaleExtract!B:J,6,FALSE),"")</f>
        <v/>
      </c>
      <c r="H2983" s="47" t="str">
        <f>IFERROR(VLOOKUP(G2983,WholesaleExtract!B:L,11,FALSE),"")</f>
        <v/>
      </c>
      <c r="I2983" s="26" t="str">
        <f>IFERROR(VLOOKUP(G2983,WholesaleExtract!B:O,8,FALSE),"")</f>
        <v/>
      </c>
      <c r="J2983" s="26" t="str">
        <f>IFERROR(VLOOKUP(G2983,WholesaleExtract!B:O,14,FALSE),"")</f>
        <v/>
      </c>
      <c r="K2983" s="26" t="str">
        <f>IFERROR(VLOOKUP(G2983,WholesaleExtract!B:K,10,FALSE),"")</f>
        <v/>
      </c>
      <c r="L2983" s="47" t="str">
        <f>IFERROR(VLOOKUP(G2983,WholesaleExtract!B:L,11,FALSE),"")</f>
        <v/>
      </c>
      <c r="M2983" s="47" t="str">
        <f>IFERROR(VLOOKUP(G2983,WholesaleExtract!B:M,12,FALSE),"")</f>
        <v/>
      </c>
      <c r="R2983" s="19"/>
      <c r="S2983" s="19"/>
    </row>
    <row r="2984" spans="1:19" x14ac:dyDescent="0.35">
      <c r="A2984" s="26" t="s">
        <v>543</v>
      </c>
      <c r="B2984" s="26" t="s">
        <v>543</v>
      </c>
      <c r="C2984" s="26"/>
      <c r="D2984" s="26" t="s">
        <v>543</v>
      </c>
      <c r="E2984" s="26" t="str">
        <f>IFERROR(VLOOKUP(G2984,WholesaleExtract!B:J,9,FALSE),"")</f>
        <v/>
      </c>
      <c r="F2984" s="26" t="str">
        <f>IFERROR(VLOOKUP(G2984,WholesaleExtract!B:J,6,FALSE),"")</f>
        <v/>
      </c>
      <c r="H2984" s="47" t="str">
        <f>IFERROR(VLOOKUP(G2984,WholesaleExtract!B:L,11,FALSE),"")</f>
        <v/>
      </c>
      <c r="I2984" s="26" t="str">
        <f>IFERROR(VLOOKUP(G2984,WholesaleExtract!B:O,8,FALSE),"")</f>
        <v/>
      </c>
      <c r="J2984" s="26" t="str">
        <f>IFERROR(VLOOKUP(G2984,WholesaleExtract!B:O,14,FALSE),"")</f>
        <v/>
      </c>
      <c r="K2984" s="26" t="str">
        <f>IFERROR(VLOOKUP(G2984,WholesaleExtract!B:K,10,FALSE),"")</f>
        <v/>
      </c>
      <c r="L2984" s="47" t="str">
        <f>IFERROR(VLOOKUP(G2984,WholesaleExtract!B:L,11,FALSE),"")</f>
        <v/>
      </c>
      <c r="M2984" s="47" t="str">
        <f>IFERROR(VLOOKUP(G2984,WholesaleExtract!B:M,12,FALSE),"")</f>
        <v/>
      </c>
      <c r="R2984" s="19"/>
      <c r="S2984" s="19"/>
    </row>
    <row r="2985" spans="1:19" x14ac:dyDescent="0.35">
      <c r="A2985" s="26" t="s">
        <v>543</v>
      </c>
      <c r="B2985" s="26" t="s">
        <v>543</v>
      </c>
      <c r="C2985" s="26"/>
      <c r="D2985" s="26" t="s">
        <v>543</v>
      </c>
      <c r="E2985" s="26" t="str">
        <f>IFERROR(VLOOKUP(G2985,WholesaleExtract!B:J,9,FALSE),"")</f>
        <v/>
      </c>
      <c r="F2985" s="26" t="str">
        <f>IFERROR(VLOOKUP(G2985,WholesaleExtract!B:J,6,FALSE),"")</f>
        <v/>
      </c>
      <c r="H2985" s="47" t="str">
        <f>IFERROR(VLOOKUP(G2985,WholesaleExtract!B:L,11,FALSE),"")</f>
        <v/>
      </c>
      <c r="I2985" s="26" t="str">
        <f>IFERROR(VLOOKUP(G2985,WholesaleExtract!B:O,8,FALSE),"")</f>
        <v/>
      </c>
      <c r="J2985" s="26" t="str">
        <f>IFERROR(VLOOKUP(G2985,WholesaleExtract!B:O,14,FALSE),"")</f>
        <v/>
      </c>
      <c r="K2985" s="26" t="str">
        <f>IFERROR(VLOOKUP(G2985,WholesaleExtract!B:K,10,FALSE),"")</f>
        <v/>
      </c>
      <c r="L2985" s="47" t="str">
        <f>IFERROR(VLOOKUP(G2985,WholesaleExtract!B:L,11,FALSE),"")</f>
        <v/>
      </c>
      <c r="M2985" s="47" t="str">
        <f>IFERROR(VLOOKUP(G2985,WholesaleExtract!B:M,12,FALSE),"")</f>
        <v/>
      </c>
      <c r="R2985" s="19"/>
      <c r="S2985" s="19"/>
    </row>
    <row r="2986" spans="1:19" x14ac:dyDescent="0.35">
      <c r="A2986" s="26" t="s">
        <v>543</v>
      </c>
      <c r="B2986" s="26" t="s">
        <v>543</v>
      </c>
      <c r="C2986" s="26"/>
      <c r="D2986" s="26" t="s">
        <v>543</v>
      </c>
      <c r="E2986" s="26" t="str">
        <f>IFERROR(VLOOKUP(G2986,WholesaleExtract!B:J,9,FALSE),"")</f>
        <v/>
      </c>
      <c r="F2986" s="26" t="str">
        <f>IFERROR(VLOOKUP(G2986,WholesaleExtract!B:J,6,FALSE),"")</f>
        <v/>
      </c>
      <c r="H2986" s="47" t="str">
        <f>IFERROR(VLOOKUP(G2986,WholesaleExtract!B:L,11,FALSE),"")</f>
        <v/>
      </c>
      <c r="I2986" s="26" t="str">
        <f>IFERROR(VLOOKUP(G2986,WholesaleExtract!B:O,8,FALSE),"")</f>
        <v/>
      </c>
      <c r="J2986" s="26" t="str">
        <f>IFERROR(VLOOKUP(G2986,WholesaleExtract!B:O,14,FALSE),"")</f>
        <v/>
      </c>
      <c r="K2986" s="26" t="str">
        <f>IFERROR(VLOOKUP(G2986,WholesaleExtract!B:K,10,FALSE),"")</f>
        <v/>
      </c>
      <c r="L2986" s="47" t="str">
        <f>IFERROR(VLOOKUP(G2986,WholesaleExtract!B:L,11,FALSE),"")</f>
        <v/>
      </c>
      <c r="M2986" s="47" t="str">
        <f>IFERROR(VLOOKUP(G2986,WholesaleExtract!B:M,12,FALSE),"")</f>
        <v/>
      </c>
      <c r="R2986" s="19"/>
      <c r="S2986" s="19"/>
    </row>
    <row r="2987" spans="1:19" x14ac:dyDescent="0.35">
      <c r="A2987" s="26" t="s">
        <v>543</v>
      </c>
      <c r="B2987" s="26" t="s">
        <v>543</v>
      </c>
      <c r="C2987" s="26"/>
      <c r="D2987" s="26" t="s">
        <v>543</v>
      </c>
      <c r="E2987" s="26" t="str">
        <f>IFERROR(VLOOKUP(G2987,WholesaleExtract!B:J,9,FALSE),"")</f>
        <v/>
      </c>
      <c r="F2987" s="26" t="str">
        <f>IFERROR(VLOOKUP(G2987,WholesaleExtract!B:J,6,FALSE),"")</f>
        <v/>
      </c>
      <c r="H2987" s="47" t="str">
        <f>IFERROR(VLOOKUP(G2987,WholesaleExtract!B:L,11,FALSE),"")</f>
        <v/>
      </c>
      <c r="I2987" s="26" t="str">
        <f>IFERROR(VLOOKUP(G2987,WholesaleExtract!B:O,8,FALSE),"")</f>
        <v/>
      </c>
      <c r="J2987" s="26" t="str">
        <f>IFERROR(VLOOKUP(G2987,WholesaleExtract!B:O,14,FALSE),"")</f>
        <v/>
      </c>
      <c r="K2987" s="26" t="str">
        <f>IFERROR(VLOOKUP(G2987,WholesaleExtract!B:K,10,FALSE),"")</f>
        <v/>
      </c>
      <c r="L2987" s="47" t="str">
        <f>IFERROR(VLOOKUP(G2987,WholesaleExtract!B:L,11,FALSE),"")</f>
        <v/>
      </c>
      <c r="M2987" s="47" t="str">
        <f>IFERROR(VLOOKUP(G2987,WholesaleExtract!B:M,12,FALSE),"")</f>
        <v/>
      </c>
      <c r="R2987" s="19"/>
      <c r="S2987" s="19"/>
    </row>
    <row r="2988" spans="1:19" x14ac:dyDescent="0.35">
      <c r="A2988" s="26" t="s">
        <v>543</v>
      </c>
      <c r="B2988" s="26" t="s">
        <v>543</v>
      </c>
      <c r="C2988" s="26"/>
      <c r="D2988" s="26" t="s">
        <v>543</v>
      </c>
      <c r="E2988" s="26" t="str">
        <f>IFERROR(VLOOKUP(G2988,WholesaleExtract!B:J,9,FALSE),"")</f>
        <v/>
      </c>
      <c r="F2988" s="26" t="str">
        <f>IFERROR(VLOOKUP(G2988,WholesaleExtract!B:J,6,FALSE),"")</f>
        <v/>
      </c>
      <c r="H2988" s="47" t="str">
        <f>IFERROR(VLOOKUP(G2988,WholesaleExtract!B:L,11,FALSE),"")</f>
        <v/>
      </c>
      <c r="I2988" s="26" t="str">
        <f>IFERROR(VLOOKUP(G2988,WholesaleExtract!B:O,8,FALSE),"")</f>
        <v/>
      </c>
      <c r="J2988" s="26" t="str">
        <f>IFERROR(VLOOKUP(G2988,WholesaleExtract!B:O,14,FALSE),"")</f>
        <v/>
      </c>
      <c r="K2988" s="26" t="str">
        <f>IFERROR(VLOOKUP(G2988,WholesaleExtract!B:K,10,FALSE),"")</f>
        <v/>
      </c>
      <c r="L2988" s="47" t="str">
        <f>IFERROR(VLOOKUP(G2988,WholesaleExtract!B:L,11,FALSE),"")</f>
        <v/>
      </c>
      <c r="M2988" s="47" t="str">
        <f>IFERROR(VLOOKUP(G2988,WholesaleExtract!B:M,12,FALSE),"")</f>
        <v/>
      </c>
      <c r="R2988" s="19"/>
      <c r="S2988" s="19"/>
    </row>
    <row r="2989" spans="1:19" x14ac:dyDescent="0.35">
      <c r="A2989" s="26" t="s">
        <v>543</v>
      </c>
      <c r="B2989" s="26" t="s">
        <v>543</v>
      </c>
      <c r="C2989" s="26"/>
      <c r="D2989" s="26" t="s">
        <v>543</v>
      </c>
      <c r="E2989" s="26" t="str">
        <f>IFERROR(VLOOKUP(G2989,WholesaleExtract!B:J,9,FALSE),"")</f>
        <v/>
      </c>
      <c r="F2989" s="26" t="str">
        <f>IFERROR(VLOOKUP(G2989,WholesaleExtract!B:J,6,FALSE),"")</f>
        <v/>
      </c>
      <c r="H2989" s="47" t="str">
        <f>IFERROR(VLOOKUP(G2989,WholesaleExtract!B:L,11,FALSE),"")</f>
        <v/>
      </c>
      <c r="I2989" s="26" t="str">
        <f>IFERROR(VLOOKUP(G2989,WholesaleExtract!B:O,8,FALSE),"")</f>
        <v/>
      </c>
      <c r="J2989" s="26" t="str">
        <f>IFERROR(VLOOKUP(G2989,WholesaleExtract!B:O,14,FALSE),"")</f>
        <v/>
      </c>
      <c r="K2989" s="26" t="str">
        <f>IFERROR(VLOOKUP(G2989,WholesaleExtract!B:K,10,FALSE),"")</f>
        <v/>
      </c>
      <c r="L2989" s="47" t="str">
        <f>IFERROR(VLOOKUP(G2989,WholesaleExtract!B:L,11,FALSE),"")</f>
        <v/>
      </c>
      <c r="M2989" s="47" t="str">
        <f>IFERROR(VLOOKUP(G2989,WholesaleExtract!B:M,12,FALSE),"")</f>
        <v/>
      </c>
      <c r="R2989" s="19"/>
      <c r="S2989" s="19"/>
    </row>
    <row r="2990" spans="1:19" x14ac:dyDescent="0.35">
      <c r="A2990" s="26" t="s">
        <v>543</v>
      </c>
      <c r="B2990" s="26" t="s">
        <v>543</v>
      </c>
      <c r="C2990" s="26"/>
      <c r="D2990" s="26" t="s">
        <v>543</v>
      </c>
      <c r="E2990" s="26" t="str">
        <f>IFERROR(VLOOKUP(G2990,WholesaleExtract!B:J,9,FALSE),"")</f>
        <v/>
      </c>
      <c r="F2990" s="26" t="str">
        <f>IFERROR(VLOOKUP(G2990,WholesaleExtract!B:J,6,FALSE),"")</f>
        <v/>
      </c>
      <c r="H2990" s="47" t="str">
        <f>IFERROR(VLOOKUP(G2990,WholesaleExtract!B:L,11,FALSE),"")</f>
        <v/>
      </c>
      <c r="I2990" s="26" t="str">
        <f>IFERROR(VLOOKUP(G2990,WholesaleExtract!B:O,8,FALSE),"")</f>
        <v/>
      </c>
      <c r="J2990" s="26" t="str">
        <f>IFERROR(VLOOKUP(G2990,WholesaleExtract!B:O,14,FALSE),"")</f>
        <v/>
      </c>
      <c r="K2990" s="26" t="str">
        <f>IFERROR(VLOOKUP(G2990,WholesaleExtract!B:K,10,FALSE),"")</f>
        <v/>
      </c>
      <c r="L2990" s="47" t="str">
        <f>IFERROR(VLOOKUP(G2990,WholesaleExtract!B:L,11,FALSE),"")</f>
        <v/>
      </c>
      <c r="M2990" s="47" t="str">
        <f>IFERROR(VLOOKUP(G2990,WholesaleExtract!B:M,12,FALSE),"")</f>
        <v/>
      </c>
      <c r="R2990" s="19"/>
      <c r="S2990" s="19"/>
    </row>
    <row r="2991" spans="1:19" x14ac:dyDescent="0.35">
      <c r="A2991" s="26" t="s">
        <v>543</v>
      </c>
      <c r="B2991" s="26" t="s">
        <v>543</v>
      </c>
      <c r="C2991" s="26"/>
      <c r="D2991" s="26" t="s">
        <v>543</v>
      </c>
      <c r="E2991" s="26" t="str">
        <f>IFERROR(VLOOKUP(G2991,WholesaleExtract!B:J,9,FALSE),"")</f>
        <v/>
      </c>
      <c r="F2991" s="26" t="str">
        <f>IFERROR(VLOOKUP(G2991,WholesaleExtract!B:J,6,FALSE),"")</f>
        <v/>
      </c>
      <c r="H2991" s="47" t="str">
        <f>IFERROR(VLOOKUP(G2991,WholesaleExtract!B:L,11,FALSE),"")</f>
        <v/>
      </c>
      <c r="I2991" s="26" t="str">
        <f>IFERROR(VLOOKUP(G2991,WholesaleExtract!B:O,8,FALSE),"")</f>
        <v/>
      </c>
      <c r="J2991" s="26" t="str">
        <f>IFERROR(VLOOKUP(G2991,WholesaleExtract!B:O,14,FALSE),"")</f>
        <v/>
      </c>
      <c r="K2991" s="26" t="str">
        <f>IFERROR(VLOOKUP(G2991,WholesaleExtract!B:K,10,FALSE),"")</f>
        <v/>
      </c>
      <c r="L2991" s="47" t="str">
        <f>IFERROR(VLOOKUP(G2991,WholesaleExtract!B:L,11,FALSE),"")</f>
        <v/>
      </c>
      <c r="M2991" s="47" t="str">
        <f>IFERROR(VLOOKUP(G2991,WholesaleExtract!B:M,12,FALSE),"")</f>
        <v/>
      </c>
      <c r="R2991" s="19"/>
      <c r="S2991" s="19"/>
    </row>
    <row r="2992" spans="1:19" x14ac:dyDescent="0.35">
      <c r="A2992" s="26" t="s">
        <v>543</v>
      </c>
      <c r="B2992" s="26" t="s">
        <v>543</v>
      </c>
      <c r="C2992" s="26"/>
      <c r="D2992" s="26" t="s">
        <v>543</v>
      </c>
      <c r="E2992" s="26" t="str">
        <f>IFERROR(VLOOKUP(G2992,WholesaleExtract!B:J,9,FALSE),"")</f>
        <v/>
      </c>
      <c r="F2992" s="26" t="str">
        <f>IFERROR(VLOOKUP(G2992,WholesaleExtract!B:J,6,FALSE),"")</f>
        <v/>
      </c>
      <c r="H2992" s="47" t="str">
        <f>IFERROR(VLOOKUP(G2992,WholesaleExtract!B:L,11,FALSE),"")</f>
        <v/>
      </c>
      <c r="I2992" s="26" t="str">
        <f>IFERROR(VLOOKUP(G2992,WholesaleExtract!B:O,8,FALSE),"")</f>
        <v/>
      </c>
      <c r="J2992" s="26" t="str">
        <f>IFERROR(VLOOKUP(G2992,WholesaleExtract!B:O,14,FALSE),"")</f>
        <v/>
      </c>
      <c r="K2992" s="26" t="str">
        <f>IFERROR(VLOOKUP(G2992,WholesaleExtract!B:K,10,FALSE),"")</f>
        <v/>
      </c>
      <c r="L2992" s="47" t="str">
        <f>IFERROR(VLOOKUP(G2992,WholesaleExtract!B:L,11,FALSE),"")</f>
        <v/>
      </c>
      <c r="M2992" s="47" t="str">
        <f>IFERROR(VLOOKUP(G2992,WholesaleExtract!B:M,12,FALSE),"")</f>
        <v/>
      </c>
      <c r="R2992" s="19"/>
      <c r="S2992" s="19"/>
    </row>
    <row r="2993" spans="1:19" x14ac:dyDescent="0.35">
      <c r="A2993" s="26" t="s">
        <v>543</v>
      </c>
      <c r="B2993" s="26" t="s">
        <v>543</v>
      </c>
      <c r="C2993" s="26"/>
      <c r="D2993" s="26" t="s">
        <v>543</v>
      </c>
      <c r="E2993" s="26" t="str">
        <f>IFERROR(VLOOKUP(G2993,WholesaleExtract!B:J,9,FALSE),"")</f>
        <v/>
      </c>
      <c r="F2993" s="26" t="str">
        <f>IFERROR(VLOOKUP(G2993,WholesaleExtract!B:J,6,FALSE),"")</f>
        <v/>
      </c>
      <c r="H2993" s="47" t="str">
        <f>IFERROR(VLOOKUP(G2993,WholesaleExtract!B:L,11,FALSE),"")</f>
        <v/>
      </c>
      <c r="I2993" s="26" t="str">
        <f>IFERROR(VLOOKUP(G2993,WholesaleExtract!B:O,8,FALSE),"")</f>
        <v/>
      </c>
      <c r="J2993" s="26" t="str">
        <f>IFERROR(VLOOKUP(G2993,WholesaleExtract!B:O,14,FALSE),"")</f>
        <v/>
      </c>
      <c r="K2993" s="26" t="str">
        <f>IFERROR(VLOOKUP(G2993,WholesaleExtract!B:K,10,FALSE),"")</f>
        <v/>
      </c>
      <c r="L2993" s="47" t="str">
        <f>IFERROR(VLOOKUP(G2993,WholesaleExtract!B:L,11,FALSE),"")</f>
        <v/>
      </c>
      <c r="M2993" s="47" t="str">
        <f>IFERROR(VLOOKUP(G2993,WholesaleExtract!B:M,12,FALSE),"")</f>
        <v/>
      </c>
      <c r="R2993" s="19"/>
      <c r="S2993" s="19"/>
    </row>
    <row r="2994" spans="1:19" x14ac:dyDescent="0.35">
      <c r="A2994" s="26" t="s">
        <v>543</v>
      </c>
      <c r="B2994" s="26" t="s">
        <v>543</v>
      </c>
      <c r="C2994" s="26"/>
      <c r="D2994" s="26" t="s">
        <v>543</v>
      </c>
      <c r="E2994" s="26" t="str">
        <f>IFERROR(VLOOKUP(G2994,WholesaleExtract!B:J,9,FALSE),"")</f>
        <v/>
      </c>
      <c r="F2994" s="26" t="str">
        <f>IFERROR(VLOOKUP(G2994,WholesaleExtract!B:J,6,FALSE),"")</f>
        <v/>
      </c>
      <c r="H2994" s="47" t="str">
        <f>IFERROR(VLOOKUP(G2994,WholesaleExtract!B:L,11,FALSE),"")</f>
        <v/>
      </c>
      <c r="I2994" s="26" t="str">
        <f>IFERROR(VLOOKUP(G2994,WholesaleExtract!B:O,8,FALSE),"")</f>
        <v/>
      </c>
      <c r="J2994" s="26" t="str">
        <f>IFERROR(VLOOKUP(G2994,WholesaleExtract!B:O,14,FALSE),"")</f>
        <v/>
      </c>
      <c r="K2994" s="26" t="str">
        <f>IFERROR(VLOOKUP(G2994,WholesaleExtract!B:K,10,FALSE),"")</f>
        <v/>
      </c>
      <c r="L2994" s="47" t="str">
        <f>IFERROR(VLOOKUP(G2994,WholesaleExtract!B:L,11,FALSE),"")</f>
        <v/>
      </c>
      <c r="M2994" s="47" t="str">
        <f>IFERROR(VLOOKUP(G2994,WholesaleExtract!B:M,12,FALSE),"")</f>
        <v/>
      </c>
      <c r="R2994" s="19"/>
      <c r="S2994" s="19"/>
    </row>
    <row r="2995" spans="1:19" x14ac:dyDescent="0.35">
      <c r="A2995" s="26" t="s">
        <v>543</v>
      </c>
      <c r="B2995" s="26" t="s">
        <v>543</v>
      </c>
      <c r="C2995" s="26"/>
      <c r="D2995" s="26" t="s">
        <v>543</v>
      </c>
      <c r="E2995" s="26" t="str">
        <f>IFERROR(VLOOKUP(G2995,WholesaleExtract!B:J,9,FALSE),"")</f>
        <v/>
      </c>
      <c r="F2995" s="26" t="str">
        <f>IFERROR(VLOOKUP(G2995,WholesaleExtract!B:J,6,FALSE),"")</f>
        <v/>
      </c>
      <c r="H2995" s="47" t="str">
        <f>IFERROR(VLOOKUP(G2995,WholesaleExtract!B:L,11,FALSE),"")</f>
        <v/>
      </c>
      <c r="I2995" s="26" t="str">
        <f>IFERROR(VLOOKUP(G2995,WholesaleExtract!B:O,8,FALSE),"")</f>
        <v/>
      </c>
      <c r="J2995" s="26" t="str">
        <f>IFERROR(VLOOKUP(G2995,WholesaleExtract!B:O,14,FALSE),"")</f>
        <v/>
      </c>
      <c r="K2995" s="26" t="str">
        <f>IFERROR(VLOOKUP(G2995,WholesaleExtract!B:K,10,FALSE),"")</f>
        <v/>
      </c>
      <c r="L2995" s="47" t="str">
        <f>IFERROR(VLOOKUP(G2995,WholesaleExtract!B:L,11,FALSE),"")</f>
        <v/>
      </c>
      <c r="M2995" s="47" t="str">
        <f>IFERROR(VLOOKUP(G2995,WholesaleExtract!B:M,12,FALSE),"")</f>
        <v/>
      </c>
      <c r="R2995" s="19"/>
      <c r="S2995" s="19"/>
    </row>
    <row r="2996" spans="1:19" x14ac:dyDescent="0.35">
      <c r="A2996" s="26" t="s">
        <v>543</v>
      </c>
      <c r="B2996" s="26" t="s">
        <v>543</v>
      </c>
      <c r="C2996" s="26"/>
      <c r="D2996" s="26" t="s">
        <v>543</v>
      </c>
      <c r="E2996" s="26" t="str">
        <f>IFERROR(VLOOKUP(G2996,WholesaleExtract!B:J,9,FALSE),"")</f>
        <v/>
      </c>
      <c r="F2996" s="26" t="str">
        <f>IFERROR(VLOOKUP(G2996,WholesaleExtract!B:J,6,FALSE),"")</f>
        <v/>
      </c>
      <c r="H2996" s="47" t="str">
        <f>IFERROR(VLOOKUP(G2996,WholesaleExtract!B:L,11,FALSE),"")</f>
        <v/>
      </c>
      <c r="I2996" s="26" t="str">
        <f>IFERROR(VLOOKUP(G2996,WholesaleExtract!B:O,8,FALSE),"")</f>
        <v/>
      </c>
      <c r="J2996" s="26" t="str">
        <f>IFERROR(VLOOKUP(G2996,WholesaleExtract!B:O,14,FALSE),"")</f>
        <v/>
      </c>
      <c r="K2996" s="26" t="str">
        <f>IFERROR(VLOOKUP(G2996,WholesaleExtract!B:K,10,FALSE),"")</f>
        <v/>
      </c>
      <c r="L2996" s="47" t="str">
        <f>IFERROR(VLOOKUP(G2996,WholesaleExtract!B:L,11,FALSE),"")</f>
        <v/>
      </c>
      <c r="M2996" s="47" t="str">
        <f>IFERROR(VLOOKUP(G2996,WholesaleExtract!B:M,12,FALSE),"")</f>
        <v/>
      </c>
      <c r="R2996" s="19"/>
      <c r="S2996" s="19"/>
    </row>
    <row r="2997" spans="1:19" x14ac:dyDescent="0.35">
      <c r="A2997" s="26" t="s">
        <v>543</v>
      </c>
      <c r="B2997" s="26" t="s">
        <v>543</v>
      </c>
      <c r="C2997" s="26"/>
      <c r="D2997" s="26" t="s">
        <v>543</v>
      </c>
      <c r="E2997" s="26" t="str">
        <f>IFERROR(VLOOKUP(G2997,WholesaleExtract!B:J,9,FALSE),"")</f>
        <v/>
      </c>
      <c r="F2997" s="26" t="str">
        <f>IFERROR(VLOOKUP(G2997,WholesaleExtract!B:J,6,FALSE),"")</f>
        <v/>
      </c>
      <c r="H2997" s="47" t="str">
        <f>IFERROR(VLOOKUP(G2997,WholesaleExtract!B:L,11,FALSE),"")</f>
        <v/>
      </c>
      <c r="I2997" s="26" t="str">
        <f>IFERROR(VLOOKUP(G2997,WholesaleExtract!B:O,8,FALSE),"")</f>
        <v/>
      </c>
      <c r="J2997" s="26" t="str">
        <f>IFERROR(VLOOKUP(G2997,WholesaleExtract!B:O,14,FALSE),"")</f>
        <v/>
      </c>
      <c r="K2997" s="26" t="str">
        <f>IFERROR(VLOOKUP(G2997,WholesaleExtract!B:K,10,FALSE),"")</f>
        <v/>
      </c>
      <c r="L2997" s="47" t="str">
        <f>IFERROR(VLOOKUP(G2997,WholesaleExtract!B:L,11,FALSE),"")</f>
        <v/>
      </c>
      <c r="M2997" s="47" t="str">
        <f>IFERROR(VLOOKUP(G2997,WholesaleExtract!B:M,12,FALSE),"")</f>
        <v/>
      </c>
      <c r="R2997" s="19"/>
      <c r="S2997" s="19"/>
    </row>
    <row r="2998" spans="1:19" x14ac:dyDescent="0.35">
      <c r="A2998" s="26" t="s">
        <v>543</v>
      </c>
      <c r="B2998" s="26" t="s">
        <v>543</v>
      </c>
      <c r="C2998" s="26"/>
      <c r="D2998" s="26" t="s">
        <v>543</v>
      </c>
      <c r="E2998" s="26" t="str">
        <f>IFERROR(VLOOKUP(G2998,WholesaleExtract!B:J,9,FALSE),"")</f>
        <v/>
      </c>
      <c r="F2998" s="26" t="str">
        <f>IFERROR(VLOOKUP(G2998,WholesaleExtract!B:J,6,FALSE),"")</f>
        <v/>
      </c>
      <c r="H2998" s="47" t="str">
        <f>IFERROR(VLOOKUP(G2998,WholesaleExtract!B:L,11,FALSE),"")</f>
        <v/>
      </c>
      <c r="I2998" s="26" t="str">
        <f>IFERROR(VLOOKUP(G2998,WholesaleExtract!B:O,8,FALSE),"")</f>
        <v/>
      </c>
      <c r="J2998" s="26" t="str">
        <f>IFERROR(VLOOKUP(G2998,WholesaleExtract!B:O,14,FALSE),"")</f>
        <v/>
      </c>
      <c r="K2998" s="26" t="str">
        <f>IFERROR(VLOOKUP(G2998,WholesaleExtract!B:K,10,FALSE),"")</f>
        <v/>
      </c>
      <c r="L2998" s="47" t="str">
        <f>IFERROR(VLOOKUP(G2998,WholesaleExtract!B:L,11,FALSE),"")</f>
        <v/>
      </c>
      <c r="M2998" s="47" t="str">
        <f>IFERROR(VLOOKUP(G2998,WholesaleExtract!B:M,12,FALSE),"")</f>
        <v/>
      </c>
      <c r="R2998" s="19"/>
      <c r="S2998" s="19"/>
    </row>
    <row r="2999" spans="1:19" x14ac:dyDescent="0.35">
      <c r="A2999" s="26" t="s">
        <v>543</v>
      </c>
      <c r="B2999" s="26" t="s">
        <v>543</v>
      </c>
      <c r="C2999" s="26"/>
      <c r="D2999" s="26" t="s">
        <v>543</v>
      </c>
      <c r="E2999" s="26" t="str">
        <f>IFERROR(VLOOKUP(G2999,WholesaleExtract!B:J,9,FALSE),"")</f>
        <v/>
      </c>
      <c r="F2999" s="26" t="str">
        <f>IFERROR(VLOOKUP(G2999,WholesaleExtract!B:J,6,FALSE),"")</f>
        <v/>
      </c>
      <c r="H2999" s="47" t="str">
        <f>IFERROR(VLOOKUP(G2999,WholesaleExtract!B:L,11,FALSE),"")</f>
        <v/>
      </c>
      <c r="I2999" s="26" t="str">
        <f>IFERROR(VLOOKUP(G2999,WholesaleExtract!B:O,8,FALSE),"")</f>
        <v/>
      </c>
      <c r="J2999" s="26" t="str">
        <f>IFERROR(VLOOKUP(G2999,WholesaleExtract!B:O,14,FALSE),"")</f>
        <v/>
      </c>
      <c r="K2999" s="26" t="str">
        <f>IFERROR(VLOOKUP(G2999,WholesaleExtract!B:K,10,FALSE),"")</f>
        <v/>
      </c>
      <c r="L2999" s="47" t="str">
        <f>IFERROR(VLOOKUP(G2999,WholesaleExtract!B:L,11,FALSE),"")</f>
        <v/>
      </c>
      <c r="M2999" s="47" t="str">
        <f>IFERROR(VLOOKUP(G2999,WholesaleExtract!B:M,12,FALSE),"")</f>
        <v/>
      </c>
      <c r="R2999" s="19"/>
      <c r="S2999" s="19"/>
    </row>
    <row r="3000" spans="1:19" x14ac:dyDescent="0.35">
      <c r="A3000" s="26" t="s">
        <v>543</v>
      </c>
      <c r="B3000" s="26" t="s">
        <v>543</v>
      </c>
      <c r="C3000" s="26"/>
      <c r="D3000" s="26" t="s">
        <v>543</v>
      </c>
      <c r="E3000" s="26" t="str">
        <f>IFERROR(VLOOKUP(G3000,WholesaleExtract!B:J,9,FALSE),"")</f>
        <v/>
      </c>
      <c r="F3000" s="26" t="str">
        <f>IFERROR(VLOOKUP(G3000,WholesaleExtract!B:J,6,FALSE),"")</f>
        <v/>
      </c>
      <c r="H3000" s="47" t="str">
        <f>IFERROR(VLOOKUP(G3000,WholesaleExtract!B:L,11,FALSE),"")</f>
        <v/>
      </c>
      <c r="I3000" s="26" t="str">
        <f>IFERROR(VLOOKUP(G3000,WholesaleExtract!B:O,8,FALSE),"")</f>
        <v/>
      </c>
      <c r="J3000" s="26" t="str">
        <f>IFERROR(VLOOKUP(G3000,WholesaleExtract!B:O,14,FALSE),"")</f>
        <v/>
      </c>
      <c r="K3000" s="26" t="str">
        <f>IFERROR(VLOOKUP(G3000,WholesaleExtract!B:K,10,FALSE),"")</f>
        <v/>
      </c>
      <c r="L3000" s="47" t="str">
        <f>IFERROR(VLOOKUP(G3000,WholesaleExtract!B:L,11,FALSE),"")</f>
        <v/>
      </c>
      <c r="M3000" s="47" t="str">
        <f>IFERROR(VLOOKUP(G3000,WholesaleExtract!B:M,12,FALSE),"")</f>
        <v/>
      </c>
      <c r="R3000" s="19"/>
      <c r="S3000" s="19"/>
    </row>
    <row r="3001" spans="1:19" x14ac:dyDescent="0.35">
      <c r="A3001" s="26" t="s">
        <v>543</v>
      </c>
      <c r="B3001" s="26" t="s">
        <v>543</v>
      </c>
      <c r="C3001" s="26"/>
      <c r="D3001" s="26" t="s">
        <v>543</v>
      </c>
      <c r="E3001" s="26" t="str">
        <f>IFERROR(VLOOKUP(G3001,WholesaleExtract!B:J,9,FALSE),"")</f>
        <v/>
      </c>
      <c r="F3001" s="26" t="str">
        <f>IFERROR(VLOOKUP(G3001,WholesaleExtract!B:J,6,FALSE),"")</f>
        <v/>
      </c>
      <c r="H3001" s="47" t="str">
        <f>IFERROR(VLOOKUP(G3001,WholesaleExtract!B:L,11,FALSE),"")</f>
        <v/>
      </c>
      <c r="I3001" s="26" t="str">
        <f>IFERROR(VLOOKUP(G3001,WholesaleExtract!B:O,8,FALSE),"")</f>
        <v/>
      </c>
      <c r="J3001" s="26" t="str">
        <f>IFERROR(VLOOKUP(G3001,WholesaleExtract!B:O,14,FALSE),"")</f>
        <v/>
      </c>
      <c r="K3001" s="26" t="str">
        <f>IFERROR(VLOOKUP(G3001,WholesaleExtract!B:K,10,FALSE),"")</f>
        <v/>
      </c>
      <c r="L3001" s="47" t="str">
        <f>IFERROR(VLOOKUP(G3001,WholesaleExtract!B:L,11,FALSE),"")</f>
        <v/>
      </c>
      <c r="M3001" s="47" t="str">
        <f>IFERROR(VLOOKUP(G3001,WholesaleExtract!B:M,12,FALSE),"")</f>
        <v/>
      </c>
      <c r="R3001" s="19"/>
      <c r="S3001" s="19"/>
    </row>
    <row r="3002" spans="1:19" x14ac:dyDescent="0.35">
      <c r="A3002" s="26" t="s">
        <v>543</v>
      </c>
      <c r="B3002" s="26" t="s">
        <v>543</v>
      </c>
      <c r="C3002" s="26"/>
      <c r="D3002" s="26" t="s">
        <v>543</v>
      </c>
      <c r="E3002" s="26" t="str">
        <f>IFERROR(VLOOKUP(G3002,WholesaleExtract!B:J,9,FALSE),"")</f>
        <v/>
      </c>
      <c r="F3002" s="26" t="str">
        <f>IFERROR(VLOOKUP(G3002,WholesaleExtract!B:J,6,FALSE),"")</f>
        <v/>
      </c>
      <c r="H3002" s="47" t="str">
        <f>IFERROR(VLOOKUP(G3002,WholesaleExtract!B:L,11,FALSE),"")</f>
        <v/>
      </c>
      <c r="I3002" s="26" t="str">
        <f>IFERROR(VLOOKUP(G3002,WholesaleExtract!B:O,8,FALSE),"")</f>
        <v/>
      </c>
      <c r="J3002" s="26" t="str">
        <f>IFERROR(VLOOKUP(G3002,WholesaleExtract!B:O,14,FALSE),"")</f>
        <v/>
      </c>
      <c r="K3002" s="26" t="str">
        <f>IFERROR(VLOOKUP(G3002,WholesaleExtract!B:K,10,FALSE),"")</f>
        <v/>
      </c>
      <c r="L3002" s="47" t="str">
        <f>IFERROR(VLOOKUP(G3002,WholesaleExtract!B:L,11,FALSE),"")</f>
        <v/>
      </c>
      <c r="M3002" s="47" t="str">
        <f>IFERROR(VLOOKUP(G3002,WholesaleExtract!B:M,12,FALSE),"")</f>
        <v/>
      </c>
      <c r="R3002" s="19"/>
      <c r="S3002" s="19"/>
    </row>
    <row r="3003" spans="1:19" x14ac:dyDescent="0.35">
      <c r="A3003" s="26" t="s">
        <v>543</v>
      </c>
      <c r="B3003" s="26" t="s">
        <v>543</v>
      </c>
      <c r="C3003" s="26"/>
      <c r="D3003" s="26" t="s">
        <v>543</v>
      </c>
      <c r="E3003" s="26" t="str">
        <f>IFERROR(VLOOKUP(G3003,WholesaleExtract!B:J,9,FALSE),"")</f>
        <v/>
      </c>
      <c r="F3003" s="26" t="str">
        <f>IFERROR(VLOOKUP(G3003,WholesaleExtract!B:J,6,FALSE),"")</f>
        <v/>
      </c>
      <c r="H3003" s="47" t="str">
        <f>IFERROR(VLOOKUP(G3003,WholesaleExtract!B:L,11,FALSE),"")</f>
        <v/>
      </c>
      <c r="I3003" s="26" t="str">
        <f>IFERROR(VLOOKUP(G3003,WholesaleExtract!B:O,8,FALSE),"")</f>
        <v/>
      </c>
      <c r="J3003" s="26" t="str">
        <f>IFERROR(VLOOKUP(G3003,WholesaleExtract!B:O,14,FALSE),"")</f>
        <v/>
      </c>
      <c r="K3003" s="26" t="str">
        <f>IFERROR(VLOOKUP(G3003,WholesaleExtract!B:K,10,FALSE),"")</f>
        <v/>
      </c>
      <c r="L3003" s="47" t="str">
        <f>IFERROR(VLOOKUP(G3003,WholesaleExtract!B:L,11,FALSE),"")</f>
        <v/>
      </c>
      <c r="M3003" s="47" t="str">
        <f>IFERROR(VLOOKUP(G3003,WholesaleExtract!B:M,12,FALSE),"")</f>
        <v/>
      </c>
      <c r="R3003" s="19"/>
      <c r="S3003" s="19"/>
    </row>
    <row r="3004" spans="1:19" x14ac:dyDescent="0.35">
      <c r="A3004" s="26" t="s">
        <v>543</v>
      </c>
      <c r="B3004" s="26" t="s">
        <v>543</v>
      </c>
      <c r="C3004" s="26"/>
      <c r="D3004" s="26" t="s">
        <v>543</v>
      </c>
      <c r="E3004" s="26" t="str">
        <f>IFERROR(VLOOKUP(G3004,WholesaleExtract!B:J,9,FALSE),"")</f>
        <v/>
      </c>
      <c r="F3004" s="26" t="str">
        <f>IFERROR(VLOOKUP(G3004,WholesaleExtract!B:J,6,FALSE),"")</f>
        <v/>
      </c>
      <c r="H3004" s="47" t="str">
        <f>IFERROR(VLOOKUP(G3004,WholesaleExtract!B:L,11,FALSE),"")</f>
        <v/>
      </c>
      <c r="I3004" s="26" t="str">
        <f>IFERROR(VLOOKUP(G3004,WholesaleExtract!B:O,8,FALSE),"")</f>
        <v/>
      </c>
      <c r="J3004" s="26" t="str">
        <f>IFERROR(VLOOKUP(G3004,WholesaleExtract!B:O,14,FALSE),"")</f>
        <v/>
      </c>
      <c r="K3004" s="26" t="str">
        <f>IFERROR(VLOOKUP(G3004,WholesaleExtract!B:K,10,FALSE),"")</f>
        <v/>
      </c>
      <c r="L3004" s="47" t="str">
        <f>IFERROR(VLOOKUP(G3004,WholesaleExtract!B:L,11,FALSE),"")</f>
        <v/>
      </c>
      <c r="M3004" s="47" t="str">
        <f>IFERROR(VLOOKUP(G3004,WholesaleExtract!B:M,12,FALSE),"")</f>
        <v/>
      </c>
      <c r="R3004" s="19"/>
      <c r="S3004" s="19"/>
    </row>
    <row r="3005" spans="1:19" x14ac:dyDescent="0.35">
      <c r="A3005" s="26" t="s">
        <v>543</v>
      </c>
      <c r="B3005" s="26" t="s">
        <v>543</v>
      </c>
      <c r="C3005" s="26"/>
      <c r="D3005" s="26" t="s">
        <v>543</v>
      </c>
      <c r="E3005" s="26" t="str">
        <f>IFERROR(VLOOKUP(G3005,WholesaleExtract!B:J,9,FALSE),"")</f>
        <v/>
      </c>
      <c r="F3005" s="26" t="str">
        <f>IFERROR(VLOOKUP(G3005,WholesaleExtract!B:J,6,FALSE),"")</f>
        <v/>
      </c>
      <c r="H3005" s="47" t="str">
        <f>IFERROR(VLOOKUP(G3005,WholesaleExtract!B:L,11,FALSE),"")</f>
        <v/>
      </c>
      <c r="I3005" s="26" t="str">
        <f>IFERROR(VLOOKUP(G3005,WholesaleExtract!B:O,8,FALSE),"")</f>
        <v/>
      </c>
      <c r="J3005" s="26" t="str">
        <f>IFERROR(VLOOKUP(G3005,WholesaleExtract!B:O,14,FALSE),"")</f>
        <v/>
      </c>
      <c r="K3005" s="26" t="str">
        <f>IFERROR(VLOOKUP(G3005,WholesaleExtract!B:K,10,FALSE),"")</f>
        <v/>
      </c>
      <c r="L3005" s="47" t="str">
        <f>IFERROR(VLOOKUP(G3005,WholesaleExtract!B:L,11,FALSE),"")</f>
        <v/>
      </c>
      <c r="M3005" s="47" t="str">
        <f>IFERROR(VLOOKUP(G3005,WholesaleExtract!B:M,12,FALSE),"")</f>
        <v/>
      </c>
      <c r="R3005" s="19"/>
      <c r="S3005" s="19"/>
    </row>
    <row r="3006" spans="1:19" x14ac:dyDescent="0.35">
      <c r="A3006" s="26" t="s">
        <v>543</v>
      </c>
      <c r="B3006" s="26" t="s">
        <v>543</v>
      </c>
      <c r="C3006" s="26"/>
      <c r="D3006" s="26" t="s">
        <v>543</v>
      </c>
      <c r="E3006" s="26" t="str">
        <f>IFERROR(VLOOKUP(G3006,WholesaleExtract!B:J,9,FALSE),"")</f>
        <v/>
      </c>
      <c r="F3006" s="26" t="str">
        <f>IFERROR(VLOOKUP(G3006,WholesaleExtract!B:J,6,FALSE),"")</f>
        <v/>
      </c>
      <c r="H3006" s="47" t="str">
        <f>IFERROR(VLOOKUP(G3006,WholesaleExtract!B:L,11,FALSE),"")</f>
        <v/>
      </c>
      <c r="I3006" s="26" t="str">
        <f>IFERROR(VLOOKUP(G3006,WholesaleExtract!B:O,8,FALSE),"")</f>
        <v/>
      </c>
      <c r="J3006" s="26" t="str">
        <f>IFERROR(VLOOKUP(G3006,WholesaleExtract!B:O,14,FALSE),"")</f>
        <v/>
      </c>
      <c r="K3006" s="26" t="str">
        <f>IFERROR(VLOOKUP(G3006,WholesaleExtract!B:K,10,FALSE),"")</f>
        <v/>
      </c>
      <c r="L3006" s="47" t="str">
        <f>IFERROR(VLOOKUP(G3006,WholesaleExtract!B:L,11,FALSE),"")</f>
        <v/>
      </c>
      <c r="M3006" s="47" t="str">
        <f>IFERROR(VLOOKUP(G3006,WholesaleExtract!B:M,12,FALSE),"")</f>
        <v/>
      </c>
      <c r="R3006" s="19"/>
      <c r="S3006" s="19"/>
    </row>
    <row r="3007" spans="1:19" x14ac:dyDescent="0.35">
      <c r="A3007" s="26" t="s">
        <v>543</v>
      </c>
      <c r="B3007" s="26" t="s">
        <v>543</v>
      </c>
      <c r="C3007" s="26"/>
      <c r="D3007" s="26" t="s">
        <v>543</v>
      </c>
      <c r="E3007" s="26" t="str">
        <f>IFERROR(VLOOKUP(G3007,WholesaleExtract!B:J,9,FALSE),"")</f>
        <v/>
      </c>
      <c r="F3007" s="26" t="str">
        <f>IFERROR(VLOOKUP(G3007,WholesaleExtract!B:J,6,FALSE),"")</f>
        <v/>
      </c>
      <c r="H3007" s="47" t="str">
        <f>IFERROR(VLOOKUP(G3007,WholesaleExtract!B:L,11,FALSE),"")</f>
        <v/>
      </c>
      <c r="I3007" s="26" t="str">
        <f>IFERROR(VLOOKUP(G3007,WholesaleExtract!B:O,8,FALSE),"")</f>
        <v/>
      </c>
      <c r="J3007" s="26" t="str">
        <f>IFERROR(VLOOKUP(G3007,WholesaleExtract!B:O,14,FALSE),"")</f>
        <v/>
      </c>
      <c r="K3007" s="26" t="str">
        <f>IFERROR(VLOOKUP(G3007,WholesaleExtract!B:K,10,FALSE),"")</f>
        <v/>
      </c>
      <c r="L3007" s="47" t="str">
        <f>IFERROR(VLOOKUP(G3007,WholesaleExtract!B:L,11,FALSE),"")</f>
        <v/>
      </c>
      <c r="M3007" s="47" t="str">
        <f>IFERROR(VLOOKUP(G3007,WholesaleExtract!B:M,12,FALSE),"")</f>
        <v/>
      </c>
      <c r="R3007" s="19"/>
      <c r="S3007" s="19"/>
    </row>
    <row r="3008" spans="1:19" x14ac:dyDescent="0.35">
      <c r="A3008" s="26" t="s">
        <v>543</v>
      </c>
      <c r="B3008" s="26" t="s">
        <v>543</v>
      </c>
      <c r="C3008" s="26"/>
      <c r="D3008" s="26" t="s">
        <v>543</v>
      </c>
      <c r="E3008" s="26" t="str">
        <f>IFERROR(VLOOKUP(G3008,WholesaleExtract!B:J,9,FALSE),"")</f>
        <v/>
      </c>
      <c r="F3008" s="26" t="str">
        <f>IFERROR(VLOOKUP(G3008,WholesaleExtract!B:J,6,FALSE),"")</f>
        <v/>
      </c>
      <c r="H3008" s="47" t="str">
        <f>IFERROR(VLOOKUP(G3008,WholesaleExtract!B:L,11,FALSE),"")</f>
        <v/>
      </c>
      <c r="I3008" s="26" t="str">
        <f>IFERROR(VLOOKUP(G3008,WholesaleExtract!B:O,8,FALSE),"")</f>
        <v/>
      </c>
      <c r="J3008" s="26" t="str">
        <f>IFERROR(VLOOKUP(G3008,WholesaleExtract!B:O,14,FALSE),"")</f>
        <v/>
      </c>
      <c r="K3008" s="26" t="str">
        <f>IFERROR(VLOOKUP(G3008,WholesaleExtract!B:K,10,FALSE),"")</f>
        <v/>
      </c>
      <c r="L3008" s="47" t="str">
        <f>IFERROR(VLOOKUP(G3008,WholesaleExtract!B:L,11,FALSE),"")</f>
        <v/>
      </c>
      <c r="M3008" s="47" t="str">
        <f>IFERROR(VLOOKUP(G3008,WholesaleExtract!B:M,12,FALSE),"")</f>
        <v/>
      </c>
      <c r="R3008" s="19"/>
      <c r="S3008" s="19"/>
    </row>
    <row r="3009" spans="1:19" x14ac:dyDescent="0.35">
      <c r="A3009" s="26" t="s">
        <v>543</v>
      </c>
      <c r="B3009" s="26" t="s">
        <v>543</v>
      </c>
      <c r="C3009" s="26"/>
      <c r="D3009" s="26" t="s">
        <v>543</v>
      </c>
      <c r="E3009" s="26" t="str">
        <f>IFERROR(VLOOKUP(G3009,WholesaleExtract!B:J,9,FALSE),"")</f>
        <v/>
      </c>
      <c r="F3009" s="26" t="str">
        <f>IFERROR(VLOOKUP(G3009,WholesaleExtract!B:J,6,FALSE),"")</f>
        <v/>
      </c>
      <c r="H3009" s="47" t="str">
        <f>IFERROR(VLOOKUP(G3009,WholesaleExtract!B:L,11,FALSE),"")</f>
        <v/>
      </c>
      <c r="I3009" s="26" t="str">
        <f>IFERROR(VLOOKUP(G3009,WholesaleExtract!B:O,8,FALSE),"")</f>
        <v/>
      </c>
      <c r="J3009" s="26" t="str">
        <f>IFERROR(VLOOKUP(G3009,WholesaleExtract!B:O,14,FALSE),"")</f>
        <v/>
      </c>
      <c r="K3009" s="26" t="str">
        <f>IFERROR(VLOOKUP(G3009,WholesaleExtract!B:K,10,FALSE),"")</f>
        <v/>
      </c>
      <c r="L3009" s="47" t="str">
        <f>IFERROR(VLOOKUP(G3009,WholesaleExtract!B:L,11,FALSE),"")</f>
        <v/>
      </c>
      <c r="M3009" s="47" t="str">
        <f>IFERROR(VLOOKUP(G3009,WholesaleExtract!B:M,12,FALSE),"")</f>
        <v/>
      </c>
      <c r="R3009" s="19"/>
      <c r="S3009" s="19"/>
    </row>
    <row r="3010" spans="1:19" x14ac:dyDescent="0.35">
      <c r="A3010" s="26" t="s">
        <v>543</v>
      </c>
      <c r="B3010" s="26" t="s">
        <v>543</v>
      </c>
      <c r="C3010" s="26"/>
      <c r="D3010" s="26" t="s">
        <v>543</v>
      </c>
      <c r="E3010" s="26" t="str">
        <f>IFERROR(VLOOKUP(G3010,WholesaleExtract!B:J,9,FALSE),"")</f>
        <v/>
      </c>
      <c r="F3010" s="26" t="str">
        <f>IFERROR(VLOOKUP(G3010,WholesaleExtract!B:J,6,FALSE),"")</f>
        <v/>
      </c>
      <c r="H3010" s="47" t="str">
        <f>IFERROR(VLOOKUP(G3010,WholesaleExtract!B:L,11,FALSE),"")</f>
        <v/>
      </c>
      <c r="I3010" s="26" t="str">
        <f>IFERROR(VLOOKUP(G3010,WholesaleExtract!B:O,8,FALSE),"")</f>
        <v/>
      </c>
      <c r="J3010" s="26" t="str">
        <f>IFERROR(VLOOKUP(G3010,WholesaleExtract!B:O,14,FALSE),"")</f>
        <v/>
      </c>
      <c r="K3010" s="26" t="str">
        <f>IFERROR(VLOOKUP(G3010,WholesaleExtract!B:K,10,FALSE),"")</f>
        <v/>
      </c>
      <c r="L3010" s="47" t="str">
        <f>IFERROR(VLOOKUP(G3010,WholesaleExtract!B:L,11,FALSE),"")</f>
        <v/>
      </c>
      <c r="M3010" s="47" t="str">
        <f>IFERROR(VLOOKUP(G3010,WholesaleExtract!B:M,12,FALSE),"")</f>
        <v/>
      </c>
      <c r="R3010" s="19"/>
      <c r="S3010" s="19"/>
    </row>
    <row r="3011" spans="1:19" x14ac:dyDescent="0.35">
      <c r="A3011" s="26" t="s">
        <v>543</v>
      </c>
      <c r="B3011" s="26" t="s">
        <v>543</v>
      </c>
      <c r="C3011" s="26"/>
      <c r="D3011" s="26" t="s">
        <v>543</v>
      </c>
      <c r="E3011" s="26" t="str">
        <f>IFERROR(VLOOKUP(G3011,WholesaleExtract!B:J,9,FALSE),"")</f>
        <v/>
      </c>
      <c r="F3011" s="26" t="str">
        <f>IFERROR(VLOOKUP(G3011,WholesaleExtract!B:J,6,FALSE),"")</f>
        <v/>
      </c>
      <c r="H3011" s="47" t="str">
        <f>IFERROR(VLOOKUP(G3011,WholesaleExtract!B:L,11,FALSE),"")</f>
        <v/>
      </c>
      <c r="I3011" s="26" t="str">
        <f>IFERROR(VLOOKUP(G3011,WholesaleExtract!B:O,8,FALSE),"")</f>
        <v/>
      </c>
      <c r="J3011" s="26" t="str">
        <f>IFERROR(VLOOKUP(G3011,WholesaleExtract!B:O,14,FALSE),"")</f>
        <v/>
      </c>
      <c r="K3011" s="26" t="str">
        <f>IFERROR(VLOOKUP(G3011,WholesaleExtract!B:K,10,FALSE),"")</f>
        <v/>
      </c>
      <c r="L3011" s="47" t="str">
        <f>IFERROR(VLOOKUP(G3011,WholesaleExtract!B:L,11,FALSE),"")</f>
        <v/>
      </c>
      <c r="M3011" s="47" t="str">
        <f>IFERROR(VLOOKUP(G3011,WholesaleExtract!B:M,12,FALSE),"")</f>
        <v/>
      </c>
      <c r="R3011" s="19"/>
      <c r="S3011" s="19"/>
    </row>
    <row r="3012" spans="1:19" x14ac:dyDescent="0.35">
      <c r="A3012" s="26" t="s">
        <v>543</v>
      </c>
      <c r="B3012" s="26" t="s">
        <v>543</v>
      </c>
      <c r="C3012" s="26"/>
      <c r="D3012" s="26" t="s">
        <v>543</v>
      </c>
      <c r="E3012" s="26" t="str">
        <f>IFERROR(VLOOKUP(G3012,WholesaleExtract!B:J,9,FALSE),"")</f>
        <v/>
      </c>
      <c r="F3012" s="26" t="str">
        <f>IFERROR(VLOOKUP(G3012,WholesaleExtract!B:J,6,FALSE),"")</f>
        <v/>
      </c>
      <c r="H3012" s="47" t="str">
        <f>IFERROR(VLOOKUP(G3012,WholesaleExtract!B:L,11,FALSE),"")</f>
        <v/>
      </c>
      <c r="I3012" s="26" t="str">
        <f>IFERROR(VLOOKUP(G3012,WholesaleExtract!B:O,8,FALSE),"")</f>
        <v/>
      </c>
      <c r="J3012" s="26" t="str">
        <f>IFERROR(VLOOKUP(G3012,WholesaleExtract!B:O,14,FALSE),"")</f>
        <v/>
      </c>
      <c r="K3012" s="26" t="str">
        <f>IFERROR(VLOOKUP(G3012,WholesaleExtract!B:K,10,FALSE),"")</f>
        <v/>
      </c>
      <c r="L3012" s="47" t="str">
        <f>IFERROR(VLOOKUP(G3012,WholesaleExtract!B:L,11,FALSE),"")</f>
        <v/>
      </c>
      <c r="M3012" s="47" t="str">
        <f>IFERROR(VLOOKUP(G3012,WholesaleExtract!B:M,12,FALSE),"")</f>
        <v/>
      </c>
      <c r="R3012" s="19"/>
      <c r="S3012" s="19"/>
    </row>
    <row r="3013" spans="1:19" x14ac:dyDescent="0.35">
      <c r="A3013" s="26" t="s">
        <v>543</v>
      </c>
      <c r="B3013" s="26" t="s">
        <v>543</v>
      </c>
      <c r="C3013" s="26"/>
      <c r="D3013" s="26" t="s">
        <v>543</v>
      </c>
      <c r="E3013" s="26" t="str">
        <f>IFERROR(VLOOKUP(G3013,WholesaleExtract!B:J,9,FALSE),"")</f>
        <v/>
      </c>
      <c r="F3013" s="26" t="str">
        <f>IFERROR(VLOOKUP(G3013,WholesaleExtract!B:J,6,FALSE),"")</f>
        <v/>
      </c>
      <c r="H3013" s="47" t="str">
        <f>IFERROR(VLOOKUP(G3013,WholesaleExtract!B:L,11,FALSE),"")</f>
        <v/>
      </c>
      <c r="I3013" s="26" t="str">
        <f>IFERROR(VLOOKUP(G3013,WholesaleExtract!B:O,8,FALSE),"")</f>
        <v/>
      </c>
      <c r="J3013" s="26" t="str">
        <f>IFERROR(VLOOKUP(G3013,WholesaleExtract!B:O,14,FALSE),"")</f>
        <v/>
      </c>
      <c r="K3013" s="26" t="str">
        <f>IFERROR(VLOOKUP(G3013,WholesaleExtract!B:K,10,FALSE),"")</f>
        <v/>
      </c>
      <c r="L3013" s="47" t="str">
        <f>IFERROR(VLOOKUP(G3013,WholesaleExtract!B:L,11,FALSE),"")</f>
        <v/>
      </c>
      <c r="M3013" s="47" t="str">
        <f>IFERROR(VLOOKUP(G3013,WholesaleExtract!B:M,12,FALSE),"")</f>
        <v/>
      </c>
      <c r="R3013" s="19"/>
      <c r="S3013" s="19"/>
    </row>
    <row r="3014" spans="1:19" x14ac:dyDescent="0.35">
      <c r="A3014" s="26" t="s">
        <v>543</v>
      </c>
      <c r="B3014" s="26" t="s">
        <v>543</v>
      </c>
      <c r="C3014" s="26"/>
      <c r="D3014" s="26" t="s">
        <v>543</v>
      </c>
      <c r="E3014" s="26" t="str">
        <f>IFERROR(VLOOKUP(G3014,WholesaleExtract!B:J,9,FALSE),"")</f>
        <v/>
      </c>
      <c r="F3014" s="26" t="str">
        <f>IFERROR(VLOOKUP(G3014,WholesaleExtract!B:J,6,FALSE),"")</f>
        <v/>
      </c>
      <c r="H3014" s="47" t="str">
        <f>IFERROR(VLOOKUP(G3014,WholesaleExtract!B:L,11,FALSE),"")</f>
        <v/>
      </c>
      <c r="I3014" s="26" t="str">
        <f>IFERROR(VLOOKUP(G3014,WholesaleExtract!B:O,8,FALSE),"")</f>
        <v/>
      </c>
      <c r="J3014" s="26" t="str">
        <f>IFERROR(VLOOKUP(G3014,WholesaleExtract!B:O,14,FALSE),"")</f>
        <v/>
      </c>
      <c r="K3014" s="26" t="str">
        <f>IFERROR(VLOOKUP(G3014,WholesaleExtract!B:K,10,FALSE),"")</f>
        <v/>
      </c>
      <c r="L3014" s="47" t="str">
        <f>IFERROR(VLOOKUP(G3014,WholesaleExtract!B:L,11,FALSE),"")</f>
        <v/>
      </c>
      <c r="M3014" s="47" t="str">
        <f>IFERROR(VLOOKUP(G3014,WholesaleExtract!B:M,12,FALSE),"")</f>
        <v/>
      </c>
      <c r="R3014" s="19"/>
      <c r="S3014" s="19"/>
    </row>
    <row r="3015" spans="1:19" x14ac:dyDescent="0.35">
      <c r="A3015" s="26" t="s">
        <v>543</v>
      </c>
      <c r="B3015" s="26" t="s">
        <v>543</v>
      </c>
      <c r="C3015" s="26"/>
      <c r="D3015" s="26" t="s">
        <v>543</v>
      </c>
      <c r="E3015" s="26" t="str">
        <f>IFERROR(VLOOKUP(G3015,WholesaleExtract!B:J,9,FALSE),"")</f>
        <v/>
      </c>
      <c r="F3015" s="26" t="str">
        <f>IFERROR(VLOOKUP(G3015,WholesaleExtract!B:J,6,FALSE),"")</f>
        <v/>
      </c>
      <c r="H3015" s="47" t="str">
        <f>IFERROR(VLOOKUP(G3015,WholesaleExtract!B:L,11,FALSE),"")</f>
        <v/>
      </c>
      <c r="I3015" s="26" t="str">
        <f>IFERROR(VLOOKUP(G3015,WholesaleExtract!B:O,8,FALSE),"")</f>
        <v/>
      </c>
      <c r="J3015" s="26" t="str">
        <f>IFERROR(VLOOKUP(G3015,WholesaleExtract!B:O,14,FALSE),"")</f>
        <v/>
      </c>
      <c r="K3015" s="26" t="str">
        <f>IFERROR(VLOOKUP(G3015,WholesaleExtract!B:K,10,FALSE),"")</f>
        <v/>
      </c>
      <c r="L3015" s="47" t="str">
        <f>IFERROR(VLOOKUP(G3015,WholesaleExtract!B:L,11,FALSE),"")</f>
        <v/>
      </c>
      <c r="M3015" s="47" t="str">
        <f>IFERROR(VLOOKUP(G3015,WholesaleExtract!B:M,12,FALSE),"")</f>
        <v/>
      </c>
      <c r="R3015" s="19"/>
      <c r="S3015" s="19"/>
    </row>
    <row r="3016" spans="1:19" x14ac:dyDescent="0.35">
      <c r="A3016" s="26" t="s">
        <v>543</v>
      </c>
      <c r="B3016" s="26" t="s">
        <v>543</v>
      </c>
      <c r="C3016" s="26"/>
      <c r="D3016" s="26" t="s">
        <v>543</v>
      </c>
      <c r="E3016" s="26" t="str">
        <f>IFERROR(VLOOKUP(G3016,WholesaleExtract!B:J,9,FALSE),"")</f>
        <v/>
      </c>
      <c r="F3016" s="26" t="str">
        <f>IFERROR(VLOOKUP(G3016,WholesaleExtract!B:J,6,FALSE),"")</f>
        <v/>
      </c>
      <c r="H3016" s="47" t="str">
        <f>IFERROR(VLOOKUP(G3016,WholesaleExtract!B:L,11,FALSE),"")</f>
        <v/>
      </c>
      <c r="I3016" s="26" t="str">
        <f>IFERROR(VLOOKUP(G3016,WholesaleExtract!B:O,8,FALSE),"")</f>
        <v/>
      </c>
      <c r="J3016" s="26" t="str">
        <f>IFERROR(VLOOKUP(G3016,WholesaleExtract!B:O,14,FALSE),"")</f>
        <v/>
      </c>
      <c r="K3016" s="26" t="str">
        <f>IFERROR(VLOOKUP(G3016,WholesaleExtract!B:K,10,FALSE),"")</f>
        <v/>
      </c>
      <c r="L3016" s="47" t="str">
        <f>IFERROR(VLOOKUP(G3016,WholesaleExtract!B:L,11,FALSE),"")</f>
        <v/>
      </c>
      <c r="M3016" s="47" t="str">
        <f>IFERROR(VLOOKUP(G3016,WholesaleExtract!B:M,12,FALSE),"")</f>
        <v/>
      </c>
      <c r="R3016" s="19"/>
      <c r="S3016" s="19"/>
    </row>
    <row r="3017" spans="1:19" x14ac:dyDescent="0.35">
      <c r="A3017" s="26" t="s">
        <v>543</v>
      </c>
      <c r="B3017" s="26" t="s">
        <v>543</v>
      </c>
      <c r="C3017" s="26"/>
      <c r="D3017" s="26" t="s">
        <v>543</v>
      </c>
      <c r="E3017" s="26" t="str">
        <f>IFERROR(VLOOKUP(G3017,WholesaleExtract!B:J,9,FALSE),"")</f>
        <v/>
      </c>
      <c r="F3017" s="26" t="str">
        <f>IFERROR(VLOOKUP(G3017,WholesaleExtract!B:J,6,FALSE),"")</f>
        <v/>
      </c>
      <c r="H3017" s="47" t="str">
        <f>IFERROR(VLOOKUP(G3017,WholesaleExtract!B:L,11,FALSE),"")</f>
        <v/>
      </c>
      <c r="I3017" s="26" t="str">
        <f>IFERROR(VLOOKUP(G3017,WholesaleExtract!B:O,8,FALSE),"")</f>
        <v/>
      </c>
      <c r="J3017" s="26" t="str">
        <f>IFERROR(VLOOKUP(G3017,WholesaleExtract!B:O,14,FALSE),"")</f>
        <v/>
      </c>
      <c r="K3017" s="26" t="str">
        <f>IFERROR(VLOOKUP(G3017,WholesaleExtract!B:K,10,FALSE),"")</f>
        <v/>
      </c>
      <c r="L3017" s="47" t="str">
        <f>IFERROR(VLOOKUP(G3017,WholesaleExtract!B:L,11,FALSE),"")</f>
        <v/>
      </c>
      <c r="M3017" s="47" t="str">
        <f>IFERROR(VLOOKUP(G3017,WholesaleExtract!B:M,12,FALSE),"")</f>
        <v/>
      </c>
      <c r="R3017" s="19"/>
      <c r="S3017" s="19"/>
    </row>
    <row r="3018" spans="1:19" x14ac:dyDescent="0.35">
      <c r="A3018" s="26" t="s">
        <v>543</v>
      </c>
      <c r="B3018" s="26" t="s">
        <v>543</v>
      </c>
      <c r="C3018" s="26"/>
      <c r="D3018" s="26" t="s">
        <v>543</v>
      </c>
      <c r="E3018" s="26" t="str">
        <f>IFERROR(VLOOKUP(G3018,WholesaleExtract!B:J,9,FALSE),"")</f>
        <v/>
      </c>
      <c r="F3018" s="26" t="str">
        <f>IFERROR(VLOOKUP(G3018,WholesaleExtract!B:J,6,FALSE),"")</f>
        <v/>
      </c>
      <c r="H3018" s="47" t="str">
        <f>IFERROR(VLOOKUP(G3018,WholesaleExtract!B:L,11,FALSE),"")</f>
        <v/>
      </c>
      <c r="I3018" s="26" t="str">
        <f>IFERROR(VLOOKUP(G3018,WholesaleExtract!B:O,8,FALSE),"")</f>
        <v/>
      </c>
      <c r="J3018" s="26" t="str">
        <f>IFERROR(VLOOKUP(G3018,WholesaleExtract!B:O,14,FALSE),"")</f>
        <v/>
      </c>
      <c r="K3018" s="26" t="str">
        <f>IFERROR(VLOOKUP(G3018,WholesaleExtract!B:K,10,FALSE),"")</f>
        <v/>
      </c>
      <c r="L3018" s="47" t="str">
        <f>IFERROR(VLOOKUP(G3018,WholesaleExtract!B:L,11,FALSE),"")</f>
        <v/>
      </c>
      <c r="M3018" s="47" t="str">
        <f>IFERROR(VLOOKUP(G3018,WholesaleExtract!B:M,12,FALSE),"")</f>
        <v/>
      </c>
      <c r="R3018" s="19"/>
      <c r="S3018" s="19"/>
    </row>
    <row r="3019" spans="1:19" x14ac:dyDescent="0.35">
      <c r="A3019" s="26" t="s">
        <v>543</v>
      </c>
      <c r="B3019" s="26" t="s">
        <v>543</v>
      </c>
      <c r="C3019" s="26"/>
      <c r="D3019" s="26" t="s">
        <v>543</v>
      </c>
      <c r="E3019" s="26" t="str">
        <f>IFERROR(VLOOKUP(G3019,WholesaleExtract!B:J,9,FALSE),"")</f>
        <v/>
      </c>
      <c r="F3019" s="26" t="str">
        <f>IFERROR(VLOOKUP(G3019,WholesaleExtract!B:J,6,FALSE),"")</f>
        <v/>
      </c>
      <c r="H3019" s="47" t="str">
        <f>IFERROR(VLOOKUP(G3019,WholesaleExtract!B:L,11,FALSE),"")</f>
        <v/>
      </c>
      <c r="I3019" s="26" t="str">
        <f>IFERROR(VLOOKUP(G3019,WholesaleExtract!B:O,8,FALSE),"")</f>
        <v/>
      </c>
      <c r="J3019" s="26" t="str">
        <f>IFERROR(VLOOKUP(G3019,WholesaleExtract!B:O,14,FALSE),"")</f>
        <v/>
      </c>
      <c r="K3019" s="26" t="str">
        <f>IFERROR(VLOOKUP(G3019,WholesaleExtract!B:K,10,FALSE),"")</f>
        <v/>
      </c>
      <c r="L3019" s="47" t="str">
        <f>IFERROR(VLOOKUP(G3019,WholesaleExtract!B:L,11,FALSE),"")</f>
        <v/>
      </c>
      <c r="M3019" s="47" t="str">
        <f>IFERROR(VLOOKUP(G3019,WholesaleExtract!B:M,12,FALSE),"")</f>
        <v/>
      </c>
      <c r="R3019" s="19"/>
      <c r="S3019" s="19"/>
    </row>
    <row r="3020" spans="1:19" x14ac:dyDescent="0.35">
      <c r="A3020" s="26" t="s">
        <v>543</v>
      </c>
      <c r="B3020" s="26" t="s">
        <v>543</v>
      </c>
      <c r="C3020" s="26"/>
      <c r="D3020" s="26" t="s">
        <v>543</v>
      </c>
      <c r="E3020" s="26" t="str">
        <f>IFERROR(VLOOKUP(G3020,WholesaleExtract!B:J,9,FALSE),"")</f>
        <v/>
      </c>
      <c r="F3020" s="26" t="str">
        <f>IFERROR(VLOOKUP(G3020,WholesaleExtract!B:J,6,FALSE),"")</f>
        <v/>
      </c>
      <c r="H3020" s="47" t="str">
        <f>IFERROR(VLOOKUP(G3020,WholesaleExtract!B:L,11,FALSE),"")</f>
        <v/>
      </c>
      <c r="I3020" s="26" t="str">
        <f>IFERROR(VLOOKUP(G3020,WholesaleExtract!B:O,8,FALSE),"")</f>
        <v/>
      </c>
      <c r="J3020" s="26" t="str">
        <f>IFERROR(VLOOKUP(G3020,WholesaleExtract!B:O,14,FALSE),"")</f>
        <v/>
      </c>
      <c r="K3020" s="26" t="str">
        <f>IFERROR(VLOOKUP(G3020,WholesaleExtract!B:K,10,FALSE),"")</f>
        <v/>
      </c>
      <c r="L3020" s="47" t="str">
        <f>IFERROR(VLOOKUP(G3020,WholesaleExtract!B:L,11,FALSE),"")</f>
        <v/>
      </c>
      <c r="M3020" s="47" t="str">
        <f>IFERROR(VLOOKUP(G3020,WholesaleExtract!B:M,12,FALSE),"")</f>
        <v/>
      </c>
      <c r="R3020" s="19"/>
      <c r="S3020" s="19"/>
    </row>
    <row r="3021" spans="1:19" x14ac:dyDescent="0.35">
      <c r="A3021" s="26" t="s">
        <v>543</v>
      </c>
      <c r="B3021" s="26" t="s">
        <v>543</v>
      </c>
      <c r="C3021" s="26"/>
      <c r="D3021" s="26" t="s">
        <v>543</v>
      </c>
      <c r="E3021" s="26" t="str">
        <f>IFERROR(VLOOKUP(G3021,WholesaleExtract!B:J,9,FALSE),"")</f>
        <v/>
      </c>
      <c r="F3021" s="26" t="str">
        <f>IFERROR(VLOOKUP(G3021,WholesaleExtract!B:J,6,FALSE),"")</f>
        <v/>
      </c>
      <c r="H3021" s="47" t="str">
        <f>IFERROR(VLOOKUP(G3021,WholesaleExtract!B:L,11,FALSE),"")</f>
        <v/>
      </c>
      <c r="I3021" s="26" t="str">
        <f>IFERROR(VLOOKUP(G3021,WholesaleExtract!B:O,8,FALSE),"")</f>
        <v/>
      </c>
      <c r="J3021" s="26" t="str">
        <f>IFERROR(VLOOKUP(G3021,WholesaleExtract!B:O,14,FALSE),"")</f>
        <v/>
      </c>
      <c r="K3021" s="26" t="str">
        <f>IFERROR(VLOOKUP(G3021,WholesaleExtract!B:K,10,FALSE),"")</f>
        <v/>
      </c>
      <c r="L3021" s="47" t="str">
        <f>IFERROR(VLOOKUP(G3021,WholesaleExtract!B:L,11,FALSE),"")</f>
        <v/>
      </c>
      <c r="M3021" s="47" t="str">
        <f>IFERROR(VLOOKUP(G3021,WholesaleExtract!B:M,12,FALSE),"")</f>
        <v/>
      </c>
      <c r="R3021" s="19"/>
      <c r="S3021" s="19"/>
    </row>
    <row r="3022" spans="1:19" x14ac:dyDescent="0.35">
      <c r="A3022" s="26" t="s">
        <v>543</v>
      </c>
      <c r="B3022" s="26" t="s">
        <v>543</v>
      </c>
      <c r="C3022" s="26"/>
      <c r="D3022" s="26" t="s">
        <v>543</v>
      </c>
      <c r="E3022" s="26" t="str">
        <f>IFERROR(VLOOKUP(G3022,WholesaleExtract!B:J,9,FALSE),"")</f>
        <v/>
      </c>
      <c r="F3022" s="26" t="str">
        <f>IFERROR(VLOOKUP(G3022,WholesaleExtract!B:J,6,FALSE),"")</f>
        <v/>
      </c>
      <c r="H3022" s="47" t="str">
        <f>IFERROR(VLOOKUP(G3022,WholesaleExtract!B:L,11,FALSE),"")</f>
        <v/>
      </c>
      <c r="I3022" s="26" t="str">
        <f>IFERROR(VLOOKUP(G3022,WholesaleExtract!B:O,8,FALSE),"")</f>
        <v/>
      </c>
      <c r="J3022" s="26" t="str">
        <f>IFERROR(VLOOKUP(G3022,WholesaleExtract!B:O,14,FALSE),"")</f>
        <v/>
      </c>
      <c r="K3022" s="26" t="str">
        <f>IFERROR(VLOOKUP(G3022,WholesaleExtract!B:K,10,FALSE),"")</f>
        <v/>
      </c>
      <c r="L3022" s="47" t="str">
        <f>IFERROR(VLOOKUP(G3022,WholesaleExtract!B:L,11,FALSE),"")</f>
        <v/>
      </c>
      <c r="M3022" s="47" t="str">
        <f>IFERROR(VLOOKUP(G3022,WholesaleExtract!B:M,12,FALSE),"")</f>
        <v/>
      </c>
      <c r="R3022" s="19"/>
      <c r="S3022" s="19"/>
    </row>
    <row r="3023" spans="1:19" x14ac:dyDescent="0.35">
      <c r="A3023" s="26" t="s">
        <v>543</v>
      </c>
      <c r="B3023" s="26" t="s">
        <v>543</v>
      </c>
      <c r="C3023" s="26"/>
      <c r="D3023" s="26" t="s">
        <v>543</v>
      </c>
      <c r="E3023" s="26" t="str">
        <f>IFERROR(VLOOKUP(G3023,WholesaleExtract!B:J,9,FALSE),"")</f>
        <v/>
      </c>
      <c r="F3023" s="26" t="str">
        <f>IFERROR(VLOOKUP(G3023,WholesaleExtract!B:J,6,FALSE),"")</f>
        <v/>
      </c>
      <c r="H3023" s="47" t="str">
        <f>IFERROR(VLOOKUP(G3023,WholesaleExtract!B:L,11,FALSE),"")</f>
        <v/>
      </c>
      <c r="I3023" s="26" t="str">
        <f>IFERROR(VLOOKUP(G3023,WholesaleExtract!B:O,8,FALSE),"")</f>
        <v/>
      </c>
      <c r="J3023" s="26" t="str">
        <f>IFERROR(VLOOKUP(G3023,WholesaleExtract!B:O,14,FALSE),"")</f>
        <v/>
      </c>
      <c r="K3023" s="26" t="str">
        <f>IFERROR(VLOOKUP(G3023,WholesaleExtract!B:K,10,FALSE),"")</f>
        <v/>
      </c>
      <c r="L3023" s="47" t="str">
        <f>IFERROR(VLOOKUP(G3023,WholesaleExtract!B:L,11,FALSE),"")</f>
        <v/>
      </c>
      <c r="M3023" s="47" t="str">
        <f>IFERROR(VLOOKUP(G3023,WholesaleExtract!B:M,12,FALSE),"")</f>
        <v/>
      </c>
      <c r="R3023" s="19"/>
      <c r="S3023" s="19"/>
    </row>
    <row r="3024" spans="1:19" x14ac:dyDescent="0.35">
      <c r="A3024" s="26" t="s">
        <v>543</v>
      </c>
      <c r="B3024" s="26" t="s">
        <v>543</v>
      </c>
      <c r="C3024" s="26"/>
      <c r="D3024" s="26" t="s">
        <v>543</v>
      </c>
      <c r="E3024" s="26" t="str">
        <f>IFERROR(VLOOKUP(G3024,WholesaleExtract!B:J,9,FALSE),"")</f>
        <v/>
      </c>
      <c r="F3024" s="26" t="str">
        <f>IFERROR(VLOOKUP(G3024,WholesaleExtract!B:J,6,FALSE),"")</f>
        <v/>
      </c>
      <c r="H3024" s="47" t="str">
        <f>IFERROR(VLOOKUP(G3024,WholesaleExtract!B:L,11,FALSE),"")</f>
        <v/>
      </c>
      <c r="I3024" s="26" t="str">
        <f>IFERROR(VLOOKUP(G3024,WholesaleExtract!B:O,8,FALSE),"")</f>
        <v/>
      </c>
      <c r="J3024" s="26" t="str">
        <f>IFERROR(VLOOKUP(G3024,WholesaleExtract!B:O,14,FALSE),"")</f>
        <v/>
      </c>
      <c r="K3024" s="26" t="str">
        <f>IFERROR(VLOOKUP(G3024,WholesaleExtract!B:K,10,FALSE),"")</f>
        <v/>
      </c>
      <c r="L3024" s="47" t="str">
        <f>IFERROR(VLOOKUP(G3024,WholesaleExtract!B:L,11,FALSE),"")</f>
        <v/>
      </c>
      <c r="M3024" s="47" t="str">
        <f>IFERROR(VLOOKUP(G3024,WholesaleExtract!B:M,12,FALSE),"")</f>
        <v/>
      </c>
      <c r="R3024" s="19"/>
      <c r="S3024" s="19"/>
    </row>
    <row r="3025" spans="1:19" x14ac:dyDescent="0.35">
      <c r="A3025" s="26" t="s">
        <v>543</v>
      </c>
      <c r="B3025" s="26" t="s">
        <v>543</v>
      </c>
      <c r="C3025" s="26"/>
      <c r="D3025" s="26" t="s">
        <v>543</v>
      </c>
      <c r="E3025" s="26" t="str">
        <f>IFERROR(VLOOKUP(G3025,WholesaleExtract!B:J,9,FALSE),"")</f>
        <v/>
      </c>
      <c r="F3025" s="26" t="str">
        <f>IFERROR(VLOOKUP(G3025,WholesaleExtract!B:J,6,FALSE),"")</f>
        <v/>
      </c>
      <c r="H3025" s="47" t="str">
        <f>IFERROR(VLOOKUP(G3025,WholesaleExtract!B:L,11,FALSE),"")</f>
        <v/>
      </c>
      <c r="I3025" s="26" t="str">
        <f>IFERROR(VLOOKUP(G3025,WholesaleExtract!B:O,8,FALSE),"")</f>
        <v/>
      </c>
      <c r="J3025" s="26" t="str">
        <f>IFERROR(VLOOKUP(G3025,WholesaleExtract!B:O,14,FALSE),"")</f>
        <v/>
      </c>
      <c r="K3025" s="26" t="str">
        <f>IFERROR(VLOOKUP(G3025,WholesaleExtract!B:K,10,FALSE),"")</f>
        <v/>
      </c>
      <c r="L3025" s="47" t="str">
        <f>IFERROR(VLOOKUP(G3025,WholesaleExtract!B:L,11,FALSE),"")</f>
        <v/>
      </c>
      <c r="M3025" s="47" t="str">
        <f>IFERROR(VLOOKUP(G3025,WholesaleExtract!B:M,12,FALSE),"")</f>
        <v/>
      </c>
      <c r="R3025" s="19"/>
      <c r="S3025" s="19"/>
    </row>
    <row r="3026" spans="1:19" x14ac:dyDescent="0.35">
      <c r="A3026" s="26" t="s">
        <v>543</v>
      </c>
      <c r="B3026" s="26" t="s">
        <v>543</v>
      </c>
      <c r="C3026" s="26"/>
      <c r="D3026" s="26" t="s">
        <v>543</v>
      </c>
      <c r="E3026" s="26" t="str">
        <f>IFERROR(VLOOKUP(G3026,WholesaleExtract!B:J,9,FALSE),"")</f>
        <v/>
      </c>
      <c r="F3026" s="26" t="str">
        <f>IFERROR(VLOOKUP(G3026,WholesaleExtract!B:J,6,FALSE),"")</f>
        <v/>
      </c>
      <c r="H3026" s="47" t="str">
        <f>IFERROR(VLOOKUP(G3026,WholesaleExtract!B:L,11,FALSE),"")</f>
        <v/>
      </c>
      <c r="I3026" s="26" t="str">
        <f>IFERROR(VLOOKUP(G3026,WholesaleExtract!B:O,8,FALSE),"")</f>
        <v/>
      </c>
      <c r="J3026" s="26" t="str">
        <f>IFERROR(VLOOKUP(G3026,WholesaleExtract!B:O,14,FALSE),"")</f>
        <v/>
      </c>
      <c r="K3026" s="26" t="str">
        <f>IFERROR(VLOOKUP(G3026,WholesaleExtract!B:K,10,FALSE),"")</f>
        <v/>
      </c>
      <c r="L3026" s="47" t="str">
        <f>IFERROR(VLOOKUP(G3026,WholesaleExtract!B:L,11,FALSE),"")</f>
        <v/>
      </c>
      <c r="M3026" s="47" t="str">
        <f>IFERROR(VLOOKUP(G3026,WholesaleExtract!B:M,12,FALSE),"")</f>
        <v/>
      </c>
      <c r="R3026" s="19"/>
      <c r="S3026" s="19"/>
    </row>
    <row r="3027" spans="1:19" x14ac:dyDescent="0.35">
      <c r="A3027" s="26" t="s">
        <v>543</v>
      </c>
      <c r="B3027" s="26" t="s">
        <v>543</v>
      </c>
      <c r="C3027" s="26"/>
      <c r="D3027" s="26" t="s">
        <v>543</v>
      </c>
      <c r="E3027" s="26" t="str">
        <f>IFERROR(VLOOKUP(G3027,WholesaleExtract!B:J,9,FALSE),"")</f>
        <v/>
      </c>
      <c r="F3027" s="26" t="str">
        <f>IFERROR(VLOOKUP(G3027,WholesaleExtract!B:J,6,FALSE),"")</f>
        <v/>
      </c>
      <c r="H3027" s="47" t="str">
        <f>IFERROR(VLOOKUP(G3027,WholesaleExtract!B:L,11,FALSE),"")</f>
        <v/>
      </c>
      <c r="I3027" s="26" t="str">
        <f>IFERROR(VLOOKUP(G3027,WholesaleExtract!B:O,8,FALSE),"")</f>
        <v/>
      </c>
      <c r="J3027" s="26" t="str">
        <f>IFERROR(VLOOKUP(G3027,WholesaleExtract!B:O,14,FALSE),"")</f>
        <v/>
      </c>
      <c r="K3027" s="26" t="str">
        <f>IFERROR(VLOOKUP(G3027,WholesaleExtract!B:K,10,FALSE),"")</f>
        <v/>
      </c>
      <c r="L3027" s="47" t="str">
        <f>IFERROR(VLOOKUP(G3027,WholesaleExtract!B:L,11,FALSE),"")</f>
        <v/>
      </c>
      <c r="M3027" s="47" t="str">
        <f>IFERROR(VLOOKUP(G3027,WholesaleExtract!B:M,12,FALSE),"")</f>
        <v/>
      </c>
      <c r="R3027" s="19"/>
      <c r="S3027" s="19"/>
    </row>
    <row r="3028" spans="1:19" x14ac:dyDescent="0.35">
      <c r="A3028" s="26" t="s">
        <v>543</v>
      </c>
      <c r="B3028" s="26" t="s">
        <v>543</v>
      </c>
      <c r="C3028" s="26"/>
      <c r="D3028" s="26" t="s">
        <v>543</v>
      </c>
      <c r="E3028" s="26" t="str">
        <f>IFERROR(VLOOKUP(G3028,WholesaleExtract!B:J,9,FALSE),"")</f>
        <v/>
      </c>
      <c r="F3028" s="26" t="str">
        <f>IFERROR(VLOOKUP(G3028,WholesaleExtract!B:J,6,FALSE),"")</f>
        <v/>
      </c>
      <c r="H3028" s="47" t="str">
        <f>IFERROR(VLOOKUP(G3028,WholesaleExtract!B:L,11,FALSE),"")</f>
        <v/>
      </c>
      <c r="I3028" s="26" t="str">
        <f>IFERROR(VLOOKUP(G3028,WholesaleExtract!B:O,8,FALSE),"")</f>
        <v/>
      </c>
      <c r="J3028" s="26" t="str">
        <f>IFERROR(VLOOKUP(G3028,WholesaleExtract!B:O,14,FALSE),"")</f>
        <v/>
      </c>
      <c r="K3028" s="26" t="str">
        <f>IFERROR(VLOOKUP(G3028,WholesaleExtract!B:K,10,FALSE),"")</f>
        <v/>
      </c>
      <c r="L3028" s="47" t="str">
        <f>IFERROR(VLOOKUP(G3028,WholesaleExtract!B:L,11,FALSE),"")</f>
        <v/>
      </c>
      <c r="M3028" s="47" t="str">
        <f>IFERROR(VLOOKUP(G3028,WholesaleExtract!B:M,12,FALSE),"")</f>
        <v/>
      </c>
      <c r="R3028" s="19"/>
      <c r="S3028" s="19"/>
    </row>
    <row r="3029" spans="1:19" x14ac:dyDescent="0.35">
      <c r="A3029" s="26" t="s">
        <v>543</v>
      </c>
      <c r="B3029" s="26" t="s">
        <v>543</v>
      </c>
      <c r="C3029" s="26"/>
      <c r="D3029" s="26" t="s">
        <v>543</v>
      </c>
      <c r="E3029" s="26" t="str">
        <f>IFERROR(VLOOKUP(G3029,WholesaleExtract!B:J,9,FALSE),"")</f>
        <v/>
      </c>
      <c r="F3029" s="26" t="str">
        <f>IFERROR(VLOOKUP(G3029,WholesaleExtract!B:J,6,FALSE),"")</f>
        <v/>
      </c>
      <c r="H3029" s="47" t="str">
        <f>IFERROR(VLOOKUP(G3029,WholesaleExtract!B:L,11,FALSE),"")</f>
        <v/>
      </c>
      <c r="I3029" s="26" t="str">
        <f>IFERROR(VLOOKUP(G3029,WholesaleExtract!B:O,8,FALSE),"")</f>
        <v/>
      </c>
      <c r="J3029" s="26" t="str">
        <f>IFERROR(VLOOKUP(G3029,WholesaleExtract!B:O,14,FALSE),"")</f>
        <v/>
      </c>
      <c r="K3029" s="26" t="str">
        <f>IFERROR(VLOOKUP(G3029,WholesaleExtract!B:K,10,FALSE),"")</f>
        <v/>
      </c>
      <c r="L3029" s="47" t="str">
        <f>IFERROR(VLOOKUP(G3029,WholesaleExtract!B:L,11,FALSE),"")</f>
        <v/>
      </c>
      <c r="M3029" s="47" t="str">
        <f>IFERROR(VLOOKUP(G3029,WholesaleExtract!B:M,12,FALSE),"")</f>
        <v/>
      </c>
      <c r="R3029" s="19"/>
      <c r="S3029" s="19"/>
    </row>
    <row r="3030" spans="1:19" x14ac:dyDescent="0.35">
      <c r="A3030" s="26" t="s">
        <v>543</v>
      </c>
      <c r="B3030" s="26" t="s">
        <v>543</v>
      </c>
      <c r="C3030" s="26"/>
      <c r="D3030" s="26" t="s">
        <v>543</v>
      </c>
      <c r="E3030" s="26" t="str">
        <f>IFERROR(VLOOKUP(G3030,WholesaleExtract!B:J,9,FALSE),"")</f>
        <v/>
      </c>
      <c r="F3030" s="26" t="str">
        <f>IFERROR(VLOOKUP(G3030,WholesaleExtract!B:J,6,FALSE),"")</f>
        <v/>
      </c>
      <c r="H3030" s="47" t="str">
        <f>IFERROR(VLOOKUP(G3030,WholesaleExtract!B:L,11,FALSE),"")</f>
        <v/>
      </c>
      <c r="I3030" s="26" t="str">
        <f>IFERROR(VLOOKUP(G3030,WholesaleExtract!B:O,8,FALSE),"")</f>
        <v/>
      </c>
      <c r="J3030" s="26" t="str">
        <f>IFERROR(VLOOKUP(G3030,WholesaleExtract!B:O,14,FALSE),"")</f>
        <v/>
      </c>
      <c r="K3030" s="26" t="str">
        <f>IFERROR(VLOOKUP(G3030,WholesaleExtract!B:K,10,FALSE),"")</f>
        <v/>
      </c>
      <c r="L3030" s="47" t="str">
        <f>IFERROR(VLOOKUP(G3030,WholesaleExtract!B:L,11,FALSE),"")</f>
        <v/>
      </c>
      <c r="M3030" s="47" t="str">
        <f>IFERROR(VLOOKUP(G3030,WholesaleExtract!B:M,12,FALSE),"")</f>
        <v/>
      </c>
      <c r="R3030" s="19"/>
      <c r="S3030" s="19"/>
    </row>
    <row r="3031" spans="1:19" x14ac:dyDescent="0.35">
      <c r="A3031" s="26" t="s">
        <v>543</v>
      </c>
      <c r="B3031" s="26" t="s">
        <v>543</v>
      </c>
      <c r="C3031" s="26"/>
      <c r="D3031" s="26" t="s">
        <v>543</v>
      </c>
      <c r="E3031" s="26" t="str">
        <f>IFERROR(VLOOKUP(G3031,WholesaleExtract!B:J,9,FALSE),"")</f>
        <v/>
      </c>
      <c r="F3031" s="26" t="str">
        <f>IFERROR(VLOOKUP(G3031,WholesaleExtract!B:J,6,FALSE),"")</f>
        <v/>
      </c>
      <c r="H3031" s="47" t="str">
        <f>IFERROR(VLOOKUP(G3031,WholesaleExtract!B:L,11,FALSE),"")</f>
        <v/>
      </c>
      <c r="I3031" s="26" t="str">
        <f>IFERROR(VLOOKUP(G3031,WholesaleExtract!B:O,8,FALSE),"")</f>
        <v/>
      </c>
      <c r="J3031" s="26" t="str">
        <f>IFERROR(VLOOKUP(G3031,WholesaleExtract!B:O,14,FALSE),"")</f>
        <v/>
      </c>
      <c r="K3031" s="26" t="str">
        <f>IFERROR(VLOOKUP(G3031,WholesaleExtract!B:K,10,FALSE),"")</f>
        <v/>
      </c>
      <c r="L3031" s="47" t="str">
        <f>IFERROR(VLOOKUP(G3031,WholesaleExtract!B:L,11,FALSE),"")</f>
        <v/>
      </c>
      <c r="M3031" s="47" t="str">
        <f>IFERROR(VLOOKUP(G3031,WholesaleExtract!B:M,12,FALSE),"")</f>
        <v/>
      </c>
      <c r="R3031" s="19"/>
      <c r="S3031" s="19"/>
    </row>
    <row r="3032" spans="1:19" x14ac:dyDescent="0.35">
      <c r="A3032" s="26" t="s">
        <v>543</v>
      </c>
      <c r="B3032" s="26" t="s">
        <v>543</v>
      </c>
      <c r="C3032" s="26"/>
      <c r="D3032" s="26" t="s">
        <v>543</v>
      </c>
      <c r="E3032" s="26" t="str">
        <f>IFERROR(VLOOKUP(G3032,WholesaleExtract!B:J,9,FALSE),"")</f>
        <v/>
      </c>
      <c r="F3032" s="26" t="str">
        <f>IFERROR(VLOOKUP(G3032,WholesaleExtract!B:J,6,FALSE),"")</f>
        <v/>
      </c>
      <c r="H3032" s="47" t="str">
        <f>IFERROR(VLOOKUP(G3032,WholesaleExtract!B:L,11,FALSE),"")</f>
        <v/>
      </c>
      <c r="I3032" s="26" t="str">
        <f>IFERROR(VLOOKUP(G3032,WholesaleExtract!B:O,8,FALSE),"")</f>
        <v/>
      </c>
      <c r="J3032" s="26" t="str">
        <f>IFERROR(VLOOKUP(G3032,WholesaleExtract!B:O,14,FALSE),"")</f>
        <v/>
      </c>
      <c r="K3032" s="26" t="str">
        <f>IFERROR(VLOOKUP(G3032,WholesaleExtract!B:K,10,FALSE),"")</f>
        <v/>
      </c>
      <c r="L3032" s="47" t="str">
        <f>IFERROR(VLOOKUP(G3032,WholesaleExtract!B:L,11,FALSE),"")</f>
        <v/>
      </c>
      <c r="M3032" s="47" t="str">
        <f>IFERROR(VLOOKUP(G3032,WholesaleExtract!B:M,12,FALSE),"")</f>
        <v/>
      </c>
      <c r="R3032" s="19"/>
      <c r="S3032" s="19"/>
    </row>
    <row r="3033" spans="1:19" x14ac:dyDescent="0.35">
      <c r="A3033" s="26" t="s">
        <v>543</v>
      </c>
      <c r="B3033" s="26" t="s">
        <v>543</v>
      </c>
      <c r="C3033" s="26"/>
      <c r="D3033" s="26" t="s">
        <v>543</v>
      </c>
      <c r="E3033" s="26" t="str">
        <f>IFERROR(VLOOKUP(G3033,WholesaleExtract!B:J,9,FALSE),"")</f>
        <v/>
      </c>
      <c r="F3033" s="26" t="str">
        <f>IFERROR(VLOOKUP(G3033,WholesaleExtract!B:J,6,FALSE),"")</f>
        <v/>
      </c>
      <c r="H3033" s="47" t="str">
        <f>IFERROR(VLOOKUP(G3033,WholesaleExtract!B:L,11,FALSE),"")</f>
        <v/>
      </c>
      <c r="I3033" s="26" t="str">
        <f>IFERROR(VLOOKUP(G3033,WholesaleExtract!B:O,8,FALSE),"")</f>
        <v/>
      </c>
      <c r="J3033" s="26" t="str">
        <f>IFERROR(VLOOKUP(G3033,WholesaleExtract!B:O,14,FALSE),"")</f>
        <v/>
      </c>
      <c r="K3033" s="26" t="str">
        <f>IFERROR(VLOOKUP(G3033,WholesaleExtract!B:K,10,FALSE),"")</f>
        <v/>
      </c>
      <c r="L3033" s="47" t="str">
        <f>IFERROR(VLOOKUP(G3033,WholesaleExtract!B:L,11,FALSE),"")</f>
        <v/>
      </c>
      <c r="M3033" s="47" t="str">
        <f>IFERROR(VLOOKUP(G3033,WholesaleExtract!B:M,12,FALSE),"")</f>
        <v/>
      </c>
      <c r="R3033" s="19"/>
      <c r="S3033" s="19"/>
    </row>
    <row r="3034" spans="1:19" x14ac:dyDescent="0.35">
      <c r="A3034" s="26" t="s">
        <v>543</v>
      </c>
      <c r="B3034" s="26" t="s">
        <v>543</v>
      </c>
      <c r="C3034" s="26"/>
      <c r="D3034" s="26" t="s">
        <v>543</v>
      </c>
      <c r="E3034" s="26" t="str">
        <f>IFERROR(VLOOKUP(G3034,WholesaleExtract!B:J,9,FALSE),"")</f>
        <v/>
      </c>
      <c r="F3034" s="26" t="str">
        <f>IFERROR(VLOOKUP(G3034,WholesaleExtract!B:J,6,FALSE),"")</f>
        <v/>
      </c>
      <c r="H3034" s="47" t="str">
        <f>IFERROR(VLOOKUP(G3034,WholesaleExtract!B:L,11,FALSE),"")</f>
        <v/>
      </c>
      <c r="I3034" s="26" t="str">
        <f>IFERROR(VLOOKUP(G3034,WholesaleExtract!B:O,8,FALSE),"")</f>
        <v/>
      </c>
      <c r="J3034" s="26" t="str">
        <f>IFERROR(VLOOKUP(G3034,WholesaleExtract!B:O,14,FALSE),"")</f>
        <v/>
      </c>
      <c r="K3034" s="26" t="str">
        <f>IFERROR(VLOOKUP(G3034,WholesaleExtract!B:K,10,FALSE),"")</f>
        <v/>
      </c>
      <c r="L3034" s="47" t="str">
        <f>IFERROR(VLOOKUP(G3034,WholesaleExtract!B:L,11,FALSE),"")</f>
        <v/>
      </c>
      <c r="M3034" s="47" t="str">
        <f>IFERROR(VLOOKUP(G3034,WholesaleExtract!B:M,12,FALSE),"")</f>
        <v/>
      </c>
      <c r="R3034" s="19"/>
      <c r="S3034" s="19"/>
    </row>
    <row r="3035" spans="1:19" x14ac:dyDescent="0.35">
      <c r="A3035" s="26" t="s">
        <v>543</v>
      </c>
      <c r="B3035" s="26" t="s">
        <v>543</v>
      </c>
      <c r="C3035" s="26"/>
      <c r="D3035" s="26" t="s">
        <v>543</v>
      </c>
      <c r="E3035" s="26" t="str">
        <f>IFERROR(VLOOKUP(G3035,WholesaleExtract!B:J,9,FALSE),"")</f>
        <v/>
      </c>
      <c r="F3035" s="26" t="str">
        <f>IFERROR(VLOOKUP(G3035,WholesaleExtract!B:J,6,FALSE),"")</f>
        <v/>
      </c>
      <c r="H3035" s="47" t="str">
        <f>IFERROR(VLOOKUP(G3035,WholesaleExtract!B:L,11,FALSE),"")</f>
        <v/>
      </c>
      <c r="I3035" s="26" t="str">
        <f>IFERROR(VLOOKUP(G3035,WholesaleExtract!B:O,8,FALSE),"")</f>
        <v/>
      </c>
      <c r="J3035" s="26" t="str">
        <f>IFERROR(VLOOKUP(G3035,WholesaleExtract!B:O,14,FALSE),"")</f>
        <v/>
      </c>
      <c r="K3035" s="26" t="str">
        <f>IFERROR(VLOOKUP(G3035,WholesaleExtract!B:K,10,FALSE),"")</f>
        <v/>
      </c>
      <c r="L3035" s="47" t="str">
        <f>IFERROR(VLOOKUP(G3035,WholesaleExtract!B:L,11,FALSE),"")</f>
        <v/>
      </c>
      <c r="M3035" s="47" t="str">
        <f>IFERROR(VLOOKUP(G3035,WholesaleExtract!B:M,12,FALSE),"")</f>
        <v/>
      </c>
      <c r="R3035" s="19"/>
      <c r="S3035" s="19"/>
    </row>
    <row r="3036" spans="1:19" x14ac:dyDescent="0.35">
      <c r="A3036" s="26" t="s">
        <v>543</v>
      </c>
      <c r="B3036" s="26" t="s">
        <v>543</v>
      </c>
      <c r="C3036" s="26"/>
      <c r="D3036" s="26" t="s">
        <v>543</v>
      </c>
      <c r="E3036" s="26" t="str">
        <f>IFERROR(VLOOKUP(G3036,WholesaleExtract!B:J,9,FALSE),"")</f>
        <v/>
      </c>
      <c r="F3036" s="26" t="str">
        <f>IFERROR(VLOOKUP(G3036,WholesaleExtract!B:J,6,FALSE),"")</f>
        <v/>
      </c>
      <c r="H3036" s="47" t="str">
        <f>IFERROR(VLOOKUP(G3036,WholesaleExtract!B:L,11,FALSE),"")</f>
        <v/>
      </c>
      <c r="I3036" s="26" t="str">
        <f>IFERROR(VLOOKUP(G3036,WholesaleExtract!B:O,8,FALSE),"")</f>
        <v/>
      </c>
      <c r="J3036" s="26" t="str">
        <f>IFERROR(VLOOKUP(G3036,WholesaleExtract!B:O,14,FALSE),"")</f>
        <v/>
      </c>
      <c r="K3036" s="26" t="str">
        <f>IFERROR(VLOOKUP(G3036,WholesaleExtract!B:K,10,FALSE),"")</f>
        <v/>
      </c>
      <c r="L3036" s="47" t="str">
        <f>IFERROR(VLOOKUP(G3036,WholesaleExtract!B:L,11,FALSE),"")</f>
        <v/>
      </c>
      <c r="M3036" s="47" t="str">
        <f>IFERROR(VLOOKUP(G3036,WholesaleExtract!B:M,12,FALSE),"")</f>
        <v/>
      </c>
      <c r="R3036" s="19"/>
      <c r="S3036" s="19"/>
    </row>
    <row r="3037" spans="1:19" x14ac:dyDescent="0.35">
      <c r="A3037" s="26" t="s">
        <v>543</v>
      </c>
      <c r="B3037" s="26" t="s">
        <v>543</v>
      </c>
      <c r="C3037" s="26"/>
      <c r="D3037" s="26" t="s">
        <v>543</v>
      </c>
      <c r="E3037" s="26" t="str">
        <f>IFERROR(VLOOKUP(G3037,WholesaleExtract!B:J,9,FALSE),"")</f>
        <v/>
      </c>
      <c r="F3037" s="26" t="str">
        <f>IFERROR(VLOOKUP(G3037,WholesaleExtract!B:J,6,FALSE),"")</f>
        <v/>
      </c>
      <c r="H3037" s="47" t="str">
        <f>IFERROR(VLOOKUP(G3037,WholesaleExtract!B:L,11,FALSE),"")</f>
        <v/>
      </c>
      <c r="I3037" s="26" t="str">
        <f>IFERROR(VLOOKUP(G3037,WholesaleExtract!B:O,8,FALSE),"")</f>
        <v/>
      </c>
      <c r="J3037" s="26" t="str">
        <f>IFERROR(VLOOKUP(G3037,WholesaleExtract!B:O,14,FALSE),"")</f>
        <v/>
      </c>
      <c r="K3037" s="26" t="str">
        <f>IFERROR(VLOOKUP(G3037,WholesaleExtract!B:K,10,FALSE),"")</f>
        <v/>
      </c>
      <c r="L3037" s="47" t="str">
        <f>IFERROR(VLOOKUP(G3037,WholesaleExtract!B:L,11,FALSE),"")</f>
        <v/>
      </c>
      <c r="M3037" s="47" t="str">
        <f>IFERROR(VLOOKUP(G3037,WholesaleExtract!B:M,12,FALSE),"")</f>
        <v/>
      </c>
      <c r="R3037" s="19"/>
      <c r="S3037" s="19"/>
    </row>
    <row r="3038" spans="1:19" x14ac:dyDescent="0.35">
      <c r="A3038" s="26" t="s">
        <v>543</v>
      </c>
      <c r="B3038" s="26" t="s">
        <v>543</v>
      </c>
      <c r="C3038" s="26"/>
      <c r="D3038" s="26" t="s">
        <v>543</v>
      </c>
      <c r="E3038" s="26" t="str">
        <f>IFERROR(VLOOKUP(G3038,WholesaleExtract!B:J,9,FALSE),"")</f>
        <v/>
      </c>
      <c r="F3038" s="26" t="str">
        <f>IFERROR(VLOOKUP(G3038,WholesaleExtract!B:J,6,FALSE),"")</f>
        <v/>
      </c>
      <c r="H3038" s="47" t="str">
        <f>IFERROR(VLOOKUP(G3038,WholesaleExtract!B:L,11,FALSE),"")</f>
        <v/>
      </c>
      <c r="I3038" s="26" t="str">
        <f>IFERROR(VLOOKUP(G3038,WholesaleExtract!B:O,8,FALSE),"")</f>
        <v/>
      </c>
      <c r="J3038" s="26" t="str">
        <f>IFERROR(VLOOKUP(G3038,WholesaleExtract!B:O,14,FALSE),"")</f>
        <v/>
      </c>
      <c r="K3038" s="26" t="str">
        <f>IFERROR(VLOOKUP(G3038,WholesaleExtract!B:K,10,FALSE),"")</f>
        <v/>
      </c>
      <c r="L3038" s="47" t="str">
        <f>IFERROR(VLOOKUP(G3038,WholesaleExtract!B:L,11,FALSE),"")</f>
        <v/>
      </c>
      <c r="M3038" s="47" t="str">
        <f>IFERROR(VLOOKUP(G3038,WholesaleExtract!B:M,12,FALSE),"")</f>
        <v/>
      </c>
      <c r="R3038" s="19"/>
      <c r="S3038" s="19"/>
    </row>
    <row r="3039" spans="1:19" x14ac:dyDescent="0.35">
      <c r="A3039" s="26" t="s">
        <v>543</v>
      </c>
      <c r="B3039" s="26" t="s">
        <v>543</v>
      </c>
      <c r="C3039" s="26"/>
      <c r="D3039" s="26" t="s">
        <v>543</v>
      </c>
      <c r="E3039" s="26" t="str">
        <f>IFERROR(VLOOKUP(G3039,WholesaleExtract!B:J,9,FALSE),"")</f>
        <v/>
      </c>
      <c r="F3039" s="26" t="str">
        <f>IFERROR(VLOOKUP(G3039,WholesaleExtract!B:J,6,FALSE),"")</f>
        <v/>
      </c>
      <c r="H3039" s="47" t="str">
        <f>IFERROR(VLOOKUP(G3039,WholesaleExtract!B:L,11,FALSE),"")</f>
        <v/>
      </c>
      <c r="I3039" s="26" t="str">
        <f>IFERROR(VLOOKUP(G3039,WholesaleExtract!B:O,8,FALSE),"")</f>
        <v/>
      </c>
      <c r="J3039" s="26" t="str">
        <f>IFERROR(VLOOKUP(G3039,WholesaleExtract!B:O,14,FALSE),"")</f>
        <v/>
      </c>
      <c r="K3039" s="26" t="str">
        <f>IFERROR(VLOOKUP(G3039,WholesaleExtract!B:K,10,FALSE),"")</f>
        <v/>
      </c>
      <c r="L3039" s="47" t="str">
        <f>IFERROR(VLOOKUP(G3039,WholesaleExtract!B:L,11,FALSE),"")</f>
        <v/>
      </c>
      <c r="M3039" s="47" t="str">
        <f>IFERROR(VLOOKUP(G3039,WholesaleExtract!B:M,12,FALSE),"")</f>
        <v/>
      </c>
      <c r="R3039" s="19"/>
      <c r="S3039" s="19"/>
    </row>
    <row r="3040" spans="1:19" x14ac:dyDescent="0.35">
      <c r="A3040" s="26" t="s">
        <v>543</v>
      </c>
      <c r="B3040" s="26" t="s">
        <v>543</v>
      </c>
      <c r="C3040" s="26"/>
      <c r="D3040" s="26" t="s">
        <v>543</v>
      </c>
      <c r="E3040" s="26" t="str">
        <f>IFERROR(VLOOKUP(G3040,WholesaleExtract!B:J,9,FALSE),"")</f>
        <v/>
      </c>
      <c r="F3040" s="26" t="str">
        <f>IFERROR(VLOOKUP(G3040,WholesaleExtract!B:J,6,FALSE),"")</f>
        <v/>
      </c>
      <c r="H3040" s="47" t="str">
        <f>IFERROR(VLOOKUP(G3040,WholesaleExtract!B:L,11,FALSE),"")</f>
        <v/>
      </c>
      <c r="I3040" s="26" t="str">
        <f>IFERROR(VLOOKUP(G3040,WholesaleExtract!B:O,8,FALSE),"")</f>
        <v/>
      </c>
      <c r="J3040" s="26" t="str">
        <f>IFERROR(VLOOKUP(G3040,WholesaleExtract!B:O,14,FALSE),"")</f>
        <v/>
      </c>
      <c r="K3040" s="26" t="str">
        <f>IFERROR(VLOOKUP(G3040,WholesaleExtract!B:K,10,FALSE),"")</f>
        <v/>
      </c>
      <c r="L3040" s="47" t="str">
        <f>IFERROR(VLOOKUP(G3040,WholesaleExtract!B:L,11,FALSE),"")</f>
        <v/>
      </c>
      <c r="M3040" s="47" t="str">
        <f>IFERROR(VLOOKUP(G3040,WholesaleExtract!B:M,12,FALSE),"")</f>
        <v/>
      </c>
      <c r="R3040" s="19"/>
      <c r="S3040" s="19"/>
    </row>
    <row r="3041" spans="1:19" x14ac:dyDescent="0.35">
      <c r="A3041" s="26" t="s">
        <v>543</v>
      </c>
      <c r="B3041" s="26" t="s">
        <v>543</v>
      </c>
      <c r="C3041" s="26"/>
      <c r="D3041" s="26" t="s">
        <v>543</v>
      </c>
      <c r="E3041" s="26" t="str">
        <f>IFERROR(VLOOKUP(G3041,WholesaleExtract!B:J,9,FALSE),"")</f>
        <v/>
      </c>
      <c r="F3041" s="26" t="str">
        <f>IFERROR(VLOOKUP(G3041,WholesaleExtract!B:J,6,FALSE),"")</f>
        <v/>
      </c>
      <c r="H3041" s="47" t="str">
        <f>IFERROR(VLOOKUP(G3041,WholesaleExtract!B:L,11,FALSE),"")</f>
        <v/>
      </c>
      <c r="I3041" s="26" t="str">
        <f>IFERROR(VLOOKUP(G3041,WholesaleExtract!B:O,8,FALSE),"")</f>
        <v/>
      </c>
      <c r="J3041" s="26" t="str">
        <f>IFERROR(VLOOKUP(G3041,WholesaleExtract!B:O,14,FALSE),"")</f>
        <v/>
      </c>
      <c r="K3041" s="26" t="str">
        <f>IFERROR(VLOOKUP(G3041,WholesaleExtract!B:K,10,FALSE),"")</f>
        <v/>
      </c>
      <c r="L3041" s="47" t="str">
        <f>IFERROR(VLOOKUP(G3041,WholesaleExtract!B:L,11,FALSE),"")</f>
        <v/>
      </c>
      <c r="M3041" s="47" t="str">
        <f>IFERROR(VLOOKUP(G3041,WholesaleExtract!B:M,12,FALSE),"")</f>
        <v/>
      </c>
      <c r="R3041" s="19"/>
      <c r="S3041" s="19"/>
    </row>
    <row r="3042" spans="1:19" x14ac:dyDescent="0.35">
      <c r="A3042" s="26" t="s">
        <v>543</v>
      </c>
      <c r="B3042" s="26" t="s">
        <v>543</v>
      </c>
      <c r="C3042" s="26"/>
      <c r="D3042" s="26" t="s">
        <v>543</v>
      </c>
      <c r="E3042" s="26" t="str">
        <f>IFERROR(VLOOKUP(G3042,WholesaleExtract!B:J,9,FALSE),"")</f>
        <v/>
      </c>
      <c r="F3042" s="26" t="str">
        <f>IFERROR(VLOOKUP(G3042,WholesaleExtract!B:J,6,FALSE),"")</f>
        <v/>
      </c>
      <c r="H3042" s="47" t="str">
        <f>IFERROR(VLOOKUP(G3042,WholesaleExtract!B:L,11,FALSE),"")</f>
        <v/>
      </c>
      <c r="I3042" s="26" t="str">
        <f>IFERROR(VLOOKUP(G3042,WholesaleExtract!B:O,8,FALSE),"")</f>
        <v/>
      </c>
      <c r="J3042" s="26" t="str">
        <f>IFERROR(VLOOKUP(G3042,WholesaleExtract!B:O,14,FALSE),"")</f>
        <v/>
      </c>
      <c r="K3042" s="26" t="str">
        <f>IFERROR(VLOOKUP(G3042,WholesaleExtract!B:K,10,FALSE),"")</f>
        <v/>
      </c>
      <c r="L3042" s="47" t="str">
        <f>IFERROR(VLOOKUP(G3042,WholesaleExtract!B:L,11,FALSE),"")</f>
        <v/>
      </c>
      <c r="M3042" s="47" t="str">
        <f>IFERROR(VLOOKUP(G3042,WholesaleExtract!B:M,12,FALSE),"")</f>
        <v/>
      </c>
      <c r="R3042" s="19"/>
      <c r="S3042" s="19"/>
    </row>
    <row r="3043" spans="1:19" x14ac:dyDescent="0.35">
      <c r="A3043" s="26" t="s">
        <v>543</v>
      </c>
      <c r="B3043" s="26" t="s">
        <v>543</v>
      </c>
      <c r="C3043" s="26"/>
      <c r="D3043" s="26" t="s">
        <v>543</v>
      </c>
      <c r="E3043" s="26" t="str">
        <f>IFERROR(VLOOKUP(G3043,WholesaleExtract!B:J,9,FALSE),"")</f>
        <v/>
      </c>
      <c r="F3043" s="26" t="str">
        <f>IFERROR(VLOOKUP(G3043,WholesaleExtract!B:J,6,FALSE),"")</f>
        <v/>
      </c>
      <c r="H3043" s="47" t="str">
        <f>IFERROR(VLOOKUP(G3043,WholesaleExtract!B:L,11,FALSE),"")</f>
        <v/>
      </c>
      <c r="I3043" s="26" t="str">
        <f>IFERROR(VLOOKUP(G3043,WholesaleExtract!B:O,8,FALSE),"")</f>
        <v/>
      </c>
      <c r="J3043" s="26" t="str">
        <f>IFERROR(VLOOKUP(G3043,WholesaleExtract!B:O,14,FALSE),"")</f>
        <v/>
      </c>
      <c r="K3043" s="26" t="str">
        <f>IFERROR(VLOOKUP(G3043,WholesaleExtract!B:K,10,FALSE),"")</f>
        <v/>
      </c>
      <c r="L3043" s="47" t="str">
        <f>IFERROR(VLOOKUP(G3043,WholesaleExtract!B:L,11,FALSE),"")</f>
        <v/>
      </c>
      <c r="M3043" s="47" t="str">
        <f>IFERROR(VLOOKUP(G3043,WholesaleExtract!B:M,12,FALSE),"")</f>
        <v/>
      </c>
      <c r="R3043" s="19"/>
      <c r="S3043" s="19"/>
    </row>
    <row r="3044" spans="1:19" x14ac:dyDescent="0.35">
      <c r="A3044" s="26" t="s">
        <v>543</v>
      </c>
      <c r="B3044" s="26" t="s">
        <v>543</v>
      </c>
      <c r="C3044" s="26"/>
      <c r="D3044" s="26" t="s">
        <v>543</v>
      </c>
      <c r="E3044" s="26" t="str">
        <f>IFERROR(VLOOKUP(G3044,WholesaleExtract!B:J,9,FALSE),"")</f>
        <v/>
      </c>
      <c r="F3044" s="26" t="str">
        <f>IFERROR(VLOOKUP(G3044,WholesaleExtract!B:J,6,FALSE),"")</f>
        <v/>
      </c>
      <c r="H3044" s="47" t="str">
        <f>IFERROR(VLOOKUP(G3044,WholesaleExtract!B:L,11,FALSE),"")</f>
        <v/>
      </c>
      <c r="I3044" s="26" t="str">
        <f>IFERROR(VLOOKUP(G3044,WholesaleExtract!B:O,8,FALSE),"")</f>
        <v/>
      </c>
      <c r="J3044" s="26" t="str">
        <f>IFERROR(VLOOKUP(G3044,WholesaleExtract!B:O,14,FALSE),"")</f>
        <v/>
      </c>
      <c r="K3044" s="26" t="str">
        <f>IFERROR(VLOOKUP(G3044,WholesaleExtract!B:K,10,FALSE),"")</f>
        <v/>
      </c>
      <c r="L3044" s="47" t="str">
        <f>IFERROR(VLOOKUP(G3044,WholesaleExtract!B:L,11,FALSE),"")</f>
        <v/>
      </c>
      <c r="M3044" s="47" t="str">
        <f>IFERROR(VLOOKUP(G3044,WholesaleExtract!B:M,12,FALSE),"")</f>
        <v/>
      </c>
      <c r="R3044" s="19"/>
      <c r="S3044" s="19"/>
    </row>
    <row r="3045" spans="1:19" x14ac:dyDescent="0.35">
      <c r="A3045" s="26" t="s">
        <v>543</v>
      </c>
      <c r="B3045" s="26" t="s">
        <v>543</v>
      </c>
      <c r="C3045" s="26"/>
      <c r="D3045" s="26" t="s">
        <v>543</v>
      </c>
      <c r="E3045" s="26" t="str">
        <f>IFERROR(VLOOKUP(G3045,WholesaleExtract!B:J,9,FALSE),"")</f>
        <v/>
      </c>
      <c r="F3045" s="26" t="str">
        <f>IFERROR(VLOOKUP(G3045,WholesaleExtract!B:J,6,FALSE),"")</f>
        <v/>
      </c>
      <c r="H3045" s="47" t="str">
        <f>IFERROR(VLOOKUP(G3045,WholesaleExtract!B:L,11,FALSE),"")</f>
        <v/>
      </c>
      <c r="I3045" s="26" t="str">
        <f>IFERROR(VLOOKUP(G3045,WholesaleExtract!B:O,8,FALSE),"")</f>
        <v/>
      </c>
      <c r="J3045" s="26" t="str">
        <f>IFERROR(VLOOKUP(G3045,WholesaleExtract!B:O,14,FALSE),"")</f>
        <v/>
      </c>
      <c r="K3045" s="26" t="str">
        <f>IFERROR(VLOOKUP(G3045,WholesaleExtract!B:K,10,FALSE),"")</f>
        <v/>
      </c>
      <c r="L3045" s="47" t="str">
        <f>IFERROR(VLOOKUP(G3045,WholesaleExtract!B:L,11,FALSE),"")</f>
        <v/>
      </c>
      <c r="M3045" s="47" t="str">
        <f>IFERROR(VLOOKUP(G3045,WholesaleExtract!B:M,12,FALSE),"")</f>
        <v/>
      </c>
      <c r="R3045" s="19"/>
      <c r="S3045" s="19"/>
    </row>
    <row r="3046" spans="1:19" x14ac:dyDescent="0.35">
      <c r="A3046" s="26" t="s">
        <v>543</v>
      </c>
      <c r="B3046" s="26" t="s">
        <v>543</v>
      </c>
      <c r="C3046" s="26"/>
      <c r="D3046" s="26" t="s">
        <v>543</v>
      </c>
      <c r="E3046" s="26" t="str">
        <f>IFERROR(VLOOKUP(G3046,WholesaleExtract!B:J,9,FALSE),"")</f>
        <v/>
      </c>
      <c r="F3046" s="26" t="str">
        <f>IFERROR(VLOOKUP(G3046,WholesaleExtract!B:J,6,FALSE),"")</f>
        <v/>
      </c>
      <c r="H3046" s="47" t="str">
        <f>IFERROR(VLOOKUP(G3046,WholesaleExtract!B:L,11,FALSE),"")</f>
        <v/>
      </c>
      <c r="I3046" s="26" t="str">
        <f>IFERROR(VLOOKUP(G3046,WholesaleExtract!B:O,8,FALSE),"")</f>
        <v/>
      </c>
      <c r="J3046" s="26" t="str">
        <f>IFERROR(VLOOKUP(G3046,WholesaleExtract!B:O,14,FALSE),"")</f>
        <v/>
      </c>
      <c r="K3046" s="26" t="str">
        <f>IFERROR(VLOOKUP(G3046,WholesaleExtract!B:K,10,FALSE),"")</f>
        <v/>
      </c>
      <c r="L3046" s="47" t="str">
        <f>IFERROR(VLOOKUP(G3046,WholesaleExtract!B:L,11,FALSE),"")</f>
        <v/>
      </c>
      <c r="M3046" s="47" t="str">
        <f>IFERROR(VLOOKUP(G3046,WholesaleExtract!B:M,12,FALSE),"")</f>
        <v/>
      </c>
      <c r="R3046" s="19"/>
      <c r="S3046" s="19"/>
    </row>
    <row r="3047" spans="1:19" x14ac:dyDescent="0.35">
      <c r="A3047" s="26" t="s">
        <v>543</v>
      </c>
      <c r="B3047" s="26" t="s">
        <v>543</v>
      </c>
      <c r="C3047" s="26"/>
      <c r="D3047" s="26" t="s">
        <v>543</v>
      </c>
      <c r="E3047" s="26" t="str">
        <f>IFERROR(VLOOKUP(G3047,WholesaleExtract!B:J,9,FALSE),"")</f>
        <v/>
      </c>
      <c r="F3047" s="26" t="str">
        <f>IFERROR(VLOOKUP(G3047,WholesaleExtract!B:J,6,FALSE),"")</f>
        <v/>
      </c>
      <c r="H3047" s="47" t="str">
        <f>IFERROR(VLOOKUP(G3047,WholesaleExtract!B:L,11,FALSE),"")</f>
        <v/>
      </c>
      <c r="I3047" s="26" t="str">
        <f>IFERROR(VLOOKUP(G3047,WholesaleExtract!B:O,8,FALSE),"")</f>
        <v/>
      </c>
      <c r="J3047" s="26" t="str">
        <f>IFERROR(VLOOKUP(G3047,WholesaleExtract!B:O,14,FALSE),"")</f>
        <v/>
      </c>
      <c r="K3047" s="26" t="str">
        <f>IFERROR(VLOOKUP(G3047,WholesaleExtract!B:K,10,FALSE),"")</f>
        <v/>
      </c>
      <c r="L3047" s="47" t="str">
        <f>IFERROR(VLOOKUP(G3047,WholesaleExtract!B:L,11,FALSE),"")</f>
        <v/>
      </c>
      <c r="M3047" s="47" t="str">
        <f>IFERROR(VLOOKUP(G3047,WholesaleExtract!B:M,12,FALSE),"")</f>
        <v/>
      </c>
      <c r="R3047" s="19"/>
      <c r="S3047" s="19"/>
    </row>
    <row r="3048" spans="1:19" x14ac:dyDescent="0.35">
      <c r="A3048" s="26" t="s">
        <v>543</v>
      </c>
      <c r="B3048" s="26" t="s">
        <v>543</v>
      </c>
      <c r="C3048" s="26"/>
      <c r="D3048" s="26" t="s">
        <v>543</v>
      </c>
      <c r="E3048" s="26" t="str">
        <f>IFERROR(VLOOKUP(G3048,WholesaleExtract!B:J,9,FALSE),"")</f>
        <v/>
      </c>
      <c r="F3048" s="26" t="str">
        <f>IFERROR(VLOOKUP(G3048,WholesaleExtract!B:J,6,FALSE),"")</f>
        <v/>
      </c>
      <c r="H3048" s="47" t="str">
        <f>IFERROR(VLOOKUP(G3048,WholesaleExtract!B:L,11,FALSE),"")</f>
        <v/>
      </c>
      <c r="I3048" s="26" t="str">
        <f>IFERROR(VLOOKUP(G3048,WholesaleExtract!B:O,8,FALSE),"")</f>
        <v/>
      </c>
      <c r="J3048" s="26" t="str">
        <f>IFERROR(VLOOKUP(G3048,WholesaleExtract!B:O,14,FALSE),"")</f>
        <v/>
      </c>
      <c r="K3048" s="26" t="str">
        <f>IFERROR(VLOOKUP(G3048,WholesaleExtract!B:K,10,FALSE),"")</f>
        <v/>
      </c>
      <c r="L3048" s="47" t="str">
        <f>IFERROR(VLOOKUP(G3048,WholesaleExtract!B:L,11,FALSE),"")</f>
        <v/>
      </c>
      <c r="M3048" s="47" t="str">
        <f>IFERROR(VLOOKUP(G3048,WholesaleExtract!B:M,12,FALSE),"")</f>
        <v/>
      </c>
      <c r="R3048" s="19"/>
      <c r="S3048" s="19"/>
    </row>
    <row r="3049" spans="1:19" x14ac:dyDescent="0.35">
      <c r="A3049" s="26" t="s">
        <v>543</v>
      </c>
      <c r="B3049" s="26" t="s">
        <v>543</v>
      </c>
      <c r="C3049" s="26"/>
      <c r="D3049" s="26" t="s">
        <v>543</v>
      </c>
      <c r="E3049" s="26" t="str">
        <f>IFERROR(VLOOKUP(G3049,WholesaleExtract!B:J,9,FALSE),"")</f>
        <v/>
      </c>
      <c r="F3049" s="26" t="str">
        <f>IFERROR(VLOOKUP(G3049,WholesaleExtract!B:J,6,FALSE),"")</f>
        <v/>
      </c>
      <c r="H3049" s="47" t="str">
        <f>IFERROR(VLOOKUP(G3049,WholesaleExtract!B:L,11,FALSE),"")</f>
        <v/>
      </c>
      <c r="I3049" s="26" t="str">
        <f>IFERROR(VLOOKUP(G3049,WholesaleExtract!B:O,8,FALSE),"")</f>
        <v/>
      </c>
      <c r="J3049" s="26" t="str">
        <f>IFERROR(VLOOKUP(G3049,WholesaleExtract!B:O,14,FALSE),"")</f>
        <v/>
      </c>
      <c r="K3049" s="26" t="str">
        <f>IFERROR(VLOOKUP(G3049,WholesaleExtract!B:K,10,FALSE),"")</f>
        <v/>
      </c>
      <c r="L3049" s="47" t="str">
        <f>IFERROR(VLOOKUP(G3049,WholesaleExtract!B:L,11,FALSE),"")</f>
        <v/>
      </c>
      <c r="M3049" s="47" t="str">
        <f>IFERROR(VLOOKUP(G3049,WholesaleExtract!B:M,12,FALSE),"")</f>
        <v/>
      </c>
      <c r="R3049" s="19"/>
      <c r="S3049" s="19"/>
    </row>
    <row r="3050" spans="1:19" x14ac:dyDescent="0.35">
      <c r="A3050" s="26" t="s">
        <v>543</v>
      </c>
      <c r="B3050" s="26" t="s">
        <v>543</v>
      </c>
      <c r="C3050" s="26"/>
      <c r="D3050" s="26" t="s">
        <v>543</v>
      </c>
      <c r="E3050" s="26" t="str">
        <f>IFERROR(VLOOKUP(G3050,WholesaleExtract!B:J,9,FALSE),"")</f>
        <v/>
      </c>
      <c r="F3050" s="26" t="str">
        <f>IFERROR(VLOOKUP(G3050,WholesaleExtract!B:J,6,FALSE),"")</f>
        <v/>
      </c>
      <c r="H3050" s="47" t="str">
        <f>IFERROR(VLOOKUP(G3050,WholesaleExtract!B:L,11,FALSE),"")</f>
        <v/>
      </c>
      <c r="I3050" s="26" t="str">
        <f>IFERROR(VLOOKUP(G3050,WholesaleExtract!B:O,8,FALSE),"")</f>
        <v/>
      </c>
      <c r="J3050" s="26" t="str">
        <f>IFERROR(VLOOKUP(G3050,WholesaleExtract!B:O,14,FALSE),"")</f>
        <v/>
      </c>
      <c r="K3050" s="26" t="str">
        <f>IFERROR(VLOOKUP(G3050,WholesaleExtract!B:K,10,FALSE),"")</f>
        <v/>
      </c>
      <c r="L3050" s="47" t="str">
        <f>IFERROR(VLOOKUP(G3050,WholesaleExtract!B:L,11,FALSE),"")</f>
        <v/>
      </c>
      <c r="M3050" s="47" t="str">
        <f>IFERROR(VLOOKUP(G3050,WholesaleExtract!B:M,12,FALSE),"")</f>
        <v/>
      </c>
      <c r="R3050" s="19"/>
      <c r="S3050" s="19"/>
    </row>
    <row r="3051" spans="1:19" x14ac:dyDescent="0.35">
      <c r="A3051" s="26" t="s">
        <v>543</v>
      </c>
      <c r="B3051" s="26" t="s">
        <v>543</v>
      </c>
      <c r="C3051" s="26"/>
      <c r="D3051" s="26" t="s">
        <v>543</v>
      </c>
      <c r="E3051" s="26" t="str">
        <f>IFERROR(VLOOKUP(G3051,WholesaleExtract!B:J,9,FALSE),"")</f>
        <v/>
      </c>
      <c r="F3051" s="26" t="str">
        <f>IFERROR(VLOOKUP(G3051,WholesaleExtract!B:J,6,FALSE),"")</f>
        <v/>
      </c>
      <c r="H3051" s="47" t="str">
        <f>IFERROR(VLOOKUP(G3051,WholesaleExtract!B:L,11,FALSE),"")</f>
        <v/>
      </c>
      <c r="I3051" s="26" t="str">
        <f>IFERROR(VLOOKUP(G3051,WholesaleExtract!B:O,8,FALSE),"")</f>
        <v/>
      </c>
      <c r="J3051" s="26" t="str">
        <f>IFERROR(VLOOKUP(G3051,WholesaleExtract!B:O,14,FALSE),"")</f>
        <v/>
      </c>
      <c r="K3051" s="26" t="str">
        <f>IFERROR(VLOOKUP(G3051,WholesaleExtract!B:K,10,FALSE),"")</f>
        <v/>
      </c>
      <c r="L3051" s="47" t="str">
        <f>IFERROR(VLOOKUP(G3051,WholesaleExtract!B:L,11,FALSE),"")</f>
        <v/>
      </c>
      <c r="M3051" s="47" t="str">
        <f>IFERROR(VLOOKUP(G3051,WholesaleExtract!B:M,12,FALSE),"")</f>
        <v/>
      </c>
      <c r="R3051" s="19"/>
      <c r="S3051" s="19"/>
    </row>
    <row r="3052" spans="1:19" x14ac:dyDescent="0.35">
      <c r="A3052" s="26" t="s">
        <v>543</v>
      </c>
      <c r="B3052" s="26" t="s">
        <v>543</v>
      </c>
      <c r="C3052" s="26"/>
      <c r="D3052" s="26" t="s">
        <v>543</v>
      </c>
      <c r="E3052" s="26" t="str">
        <f>IFERROR(VLOOKUP(G3052,WholesaleExtract!B:J,9,FALSE),"")</f>
        <v/>
      </c>
      <c r="F3052" s="26" t="str">
        <f>IFERROR(VLOOKUP(G3052,WholesaleExtract!B:J,6,FALSE),"")</f>
        <v/>
      </c>
      <c r="H3052" s="47" t="str">
        <f>IFERROR(VLOOKUP(G3052,WholesaleExtract!B:L,11,FALSE),"")</f>
        <v/>
      </c>
      <c r="I3052" s="26" t="str">
        <f>IFERROR(VLOOKUP(G3052,WholesaleExtract!B:O,8,FALSE),"")</f>
        <v/>
      </c>
      <c r="J3052" s="26" t="str">
        <f>IFERROR(VLOOKUP(G3052,WholesaleExtract!B:O,14,FALSE),"")</f>
        <v/>
      </c>
      <c r="K3052" s="26" t="str">
        <f>IFERROR(VLOOKUP(G3052,WholesaleExtract!B:K,10,FALSE),"")</f>
        <v/>
      </c>
      <c r="L3052" s="47" t="str">
        <f>IFERROR(VLOOKUP(G3052,WholesaleExtract!B:L,11,FALSE),"")</f>
        <v/>
      </c>
      <c r="M3052" s="47" t="str">
        <f>IFERROR(VLOOKUP(G3052,WholesaleExtract!B:M,12,FALSE),"")</f>
        <v/>
      </c>
      <c r="R3052" s="19"/>
      <c r="S3052" s="19"/>
    </row>
    <row r="3053" spans="1:19" x14ac:dyDescent="0.35">
      <c r="A3053" s="26" t="s">
        <v>543</v>
      </c>
      <c r="B3053" s="26" t="s">
        <v>543</v>
      </c>
      <c r="C3053" s="26"/>
      <c r="D3053" s="26" t="s">
        <v>543</v>
      </c>
      <c r="E3053" s="26" t="str">
        <f>IFERROR(VLOOKUP(G3053,WholesaleExtract!B:J,9,FALSE),"")</f>
        <v/>
      </c>
      <c r="F3053" s="26" t="str">
        <f>IFERROR(VLOOKUP(G3053,WholesaleExtract!B:J,6,FALSE),"")</f>
        <v/>
      </c>
      <c r="H3053" s="47" t="str">
        <f>IFERROR(VLOOKUP(G3053,WholesaleExtract!B:L,11,FALSE),"")</f>
        <v/>
      </c>
      <c r="I3053" s="26" t="str">
        <f>IFERROR(VLOOKUP(G3053,WholesaleExtract!B:O,8,FALSE),"")</f>
        <v/>
      </c>
      <c r="J3053" s="26" t="str">
        <f>IFERROR(VLOOKUP(G3053,WholesaleExtract!B:O,14,FALSE),"")</f>
        <v/>
      </c>
      <c r="K3053" s="26" t="str">
        <f>IFERROR(VLOOKUP(G3053,WholesaleExtract!B:K,10,FALSE),"")</f>
        <v/>
      </c>
      <c r="L3053" s="47" t="str">
        <f>IFERROR(VLOOKUP(G3053,WholesaleExtract!B:L,11,FALSE),"")</f>
        <v/>
      </c>
      <c r="M3053" s="47" t="str">
        <f>IFERROR(VLOOKUP(G3053,WholesaleExtract!B:M,12,FALSE),"")</f>
        <v/>
      </c>
      <c r="R3053" s="19"/>
      <c r="S3053" s="19"/>
    </row>
    <row r="3054" spans="1:19" x14ac:dyDescent="0.35">
      <c r="A3054" s="26" t="s">
        <v>543</v>
      </c>
      <c r="B3054" s="26" t="s">
        <v>543</v>
      </c>
      <c r="C3054" s="26"/>
      <c r="D3054" s="26" t="s">
        <v>543</v>
      </c>
      <c r="E3054" s="26" t="str">
        <f>IFERROR(VLOOKUP(G3054,WholesaleExtract!B:J,9,FALSE),"")</f>
        <v/>
      </c>
      <c r="F3054" s="26" t="str">
        <f>IFERROR(VLOOKUP(G3054,WholesaleExtract!B:J,6,FALSE),"")</f>
        <v/>
      </c>
      <c r="H3054" s="47" t="str">
        <f>IFERROR(VLOOKUP(G3054,WholesaleExtract!B:L,11,FALSE),"")</f>
        <v/>
      </c>
      <c r="I3054" s="26" t="str">
        <f>IFERROR(VLOOKUP(G3054,WholesaleExtract!B:O,8,FALSE),"")</f>
        <v/>
      </c>
      <c r="J3054" s="26" t="str">
        <f>IFERROR(VLOOKUP(G3054,WholesaleExtract!B:O,14,FALSE),"")</f>
        <v/>
      </c>
      <c r="K3054" s="26" t="str">
        <f>IFERROR(VLOOKUP(G3054,WholesaleExtract!B:K,10,FALSE),"")</f>
        <v/>
      </c>
      <c r="L3054" s="47" t="str">
        <f>IFERROR(VLOOKUP(G3054,WholesaleExtract!B:L,11,FALSE),"")</f>
        <v/>
      </c>
      <c r="M3054" s="47" t="str">
        <f>IFERROR(VLOOKUP(G3054,WholesaleExtract!B:M,12,FALSE),"")</f>
        <v/>
      </c>
      <c r="R3054" s="19"/>
      <c r="S3054" s="19"/>
    </row>
    <row r="3055" spans="1:19" x14ac:dyDescent="0.35">
      <c r="A3055" s="26" t="s">
        <v>543</v>
      </c>
      <c r="B3055" s="26" t="s">
        <v>543</v>
      </c>
      <c r="C3055" s="26"/>
      <c r="D3055" s="26" t="s">
        <v>543</v>
      </c>
      <c r="E3055" s="26" t="str">
        <f>IFERROR(VLOOKUP(G3055,WholesaleExtract!B:J,9,FALSE),"")</f>
        <v/>
      </c>
      <c r="F3055" s="26" t="str">
        <f>IFERROR(VLOOKUP(G3055,WholesaleExtract!B:J,6,FALSE),"")</f>
        <v/>
      </c>
      <c r="H3055" s="47" t="str">
        <f>IFERROR(VLOOKUP(G3055,WholesaleExtract!B:L,11,FALSE),"")</f>
        <v/>
      </c>
      <c r="I3055" s="26" t="str">
        <f>IFERROR(VLOOKUP(G3055,WholesaleExtract!B:O,8,FALSE),"")</f>
        <v/>
      </c>
      <c r="J3055" s="26" t="str">
        <f>IFERROR(VLOOKUP(G3055,WholesaleExtract!B:O,14,FALSE),"")</f>
        <v/>
      </c>
      <c r="K3055" s="26" t="str">
        <f>IFERROR(VLOOKUP(G3055,WholesaleExtract!B:K,10,FALSE),"")</f>
        <v/>
      </c>
      <c r="L3055" s="47" t="str">
        <f>IFERROR(VLOOKUP(G3055,WholesaleExtract!B:L,11,FALSE),"")</f>
        <v/>
      </c>
      <c r="M3055" s="47" t="str">
        <f>IFERROR(VLOOKUP(G3055,WholesaleExtract!B:M,12,FALSE),"")</f>
        <v/>
      </c>
      <c r="R3055" s="19"/>
      <c r="S3055" s="19"/>
    </row>
    <row r="3056" spans="1:19" x14ac:dyDescent="0.35">
      <c r="A3056" s="26" t="s">
        <v>543</v>
      </c>
      <c r="B3056" s="26" t="s">
        <v>543</v>
      </c>
      <c r="C3056" s="26"/>
      <c r="D3056" s="26" t="s">
        <v>543</v>
      </c>
      <c r="E3056" s="26" t="str">
        <f>IFERROR(VLOOKUP(G3056,WholesaleExtract!B:J,9,FALSE),"")</f>
        <v/>
      </c>
      <c r="F3056" s="26" t="str">
        <f>IFERROR(VLOOKUP(G3056,WholesaleExtract!B:J,6,FALSE),"")</f>
        <v/>
      </c>
      <c r="H3056" s="47" t="str">
        <f>IFERROR(VLOOKUP(G3056,WholesaleExtract!B:L,11,FALSE),"")</f>
        <v/>
      </c>
      <c r="I3056" s="26" t="str">
        <f>IFERROR(VLOOKUP(G3056,WholesaleExtract!B:O,8,FALSE),"")</f>
        <v/>
      </c>
      <c r="J3056" s="26" t="str">
        <f>IFERROR(VLOOKUP(G3056,WholesaleExtract!B:O,14,FALSE),"")</f>
        <v/>
      </c>
      <c r="K3056" s="26" t="str">
        <f>IFERROR(VLOOKUP(G3056,WholesaleExtract!B:K,10,FALSE),"")</f>
        <v/>
      </c>
      <c r="L3056" s="47" t="str">
        <f>IFERROR(VLOOKUP(G3056,WholesaleExtract!B:L,11,FALSE),"")</f>
        <v/>
      </c>
      <c r="M3056" s="47" t="str">
        <f>IFERROR(VLOOKUP(G3056,WholesaleExtract!B:M,12,FALSE),"")</f>
        <v/>
      </c>
      <c r="R3056" s="19"/>
      <c r="S3056" s="19"/>
    </row>
    <row r="3057" spans="1:19" x14ac:dyDescent="0.35">
      <c r="A3057" s="26" t="s">
        <v>543</v>
      </c>
      <c r="B3057" s="26" t="s">
        <v>543</v>
      </c>
      <c r="C3057" s="26"/>
      <c r="D3057" s="26" t="s">
        <v>543</v>
      </c>
      <c r="E3057" s="26" t="str">
        <f>IFERROR(VLOOKUP(G3057,WholesaleExtract!B:J,9,FALSE),"")</f>
        <v/>
      </c>
      <c r="F3057" s="26" t="str">
        <f>IFERROR(VLOOKUP(G3057,WholesaleExtract!B:J,6,FALSE),"")</f>
        <v/>
      </c>
      <c r="H3057" s="47" t="str">
        <f>IFERROR(VLOOKUP(G3057,WholesaleExtract!B:L,11,FALSE),"")</f>
        <v/>
      </c>
      <c r="I3057" s="26" t="str">
        <f>IFERROR(VLOOKUP(G3057,WholesaleExtract!B:O,8,FALSE),"")</f>
        <v/>
      </c>
      <c r="J3057" s="26" t="str">
        <f>IFERROR(VLOOKUP(G3057,WholesaleExtract!B:O,14,FALSE),"")</f>
        <v/>
      </c>
      <c r="K3057" s="26" t="str">
        <f>IFERROR(VLOOKUP(G3057,WholesaleExtract!B:K,10,FALSE),"")</f>
        <v/>
      </c>
      <c r="L3057" s="47" t="str">
        <f>IFERROR(VLOOKUP(G3057,WholesaleExtract!B:L,11,FALSE),"")</f>
        <v/>
      </c>
      <c r="M3057" s="47" t="str">
        <f>IFERROR(VLOOKUP(G3057,WholesaleExtract!B:M,12,FALSE),"")</f>
        <v/>
      </c>
      <c r="R3057" s="19"/>
      <c r="S3057" s="19"/>
    </row>
    <row r="3058" spans="1:19" x14ac:dyDescent="0.35">
      <c r="A3058" s="26" t="s">
        <v>543</v>
      </c>
      <c r="B3058" s="26" t="s">
        <v>543</v>
      </c>
      <c r="C3058" s="26"/>
      <c r="D3058" s="26" t="s">
        <v>543</v>
      </c>
      <c r="E3058" s="26" t="str">
        <f>IFERROR(VLOOKUP(G3058,WholesaleExtract!B:J,9,FALSE),"")</f>
        <v/>
      </c>
      <c r="F3058" s="26" t="str">
        <f>IFERROR(VLOOKUP(G3058,WholesaleExtract!B:J,6,FALSE),"")</f>
        <v/>
      </c>
      <c r="H3058" s="47" t="str">
        <f>IFERROR(VLOOKUP(G3058,WholesaleExtract!B:L,11,FALSE),"")</f>
        <v/>
      </c>
      <c r="I3058" s="26" t="str">
        <f>IFERROR(VLOOKUP(G3058,WholesaleExtract!B:O,8,FALSE),"")</f>
        <v/>
      </c>
      <c r="J3058" s="26" t="str">
        <f>IFERROR(VLOOKUP(G3058,WholesaleExtract!B:O,14,FALSE),"")</f>
        <v/>
      </c>
      <c r="K3058" s="26" t="str">
        <f>IFERROR(VLOOKUP(G3058,WholesaleExtract!B:K,10,FALSE),"")</f>
        <v/>
      </c>
      <c r="L3058" s="47" t="str">
        <f>IFERROR(VLOOKUP(G3058,WholesaleExtract!B:L,11,FALSE),"")</f>
        <v/>
      </c>
      <c r="M3058" s="47" t="str">
        <f>IFERROR(VLOOKUP(G3058,WholesaleExtract!B:M,12,FALSE),"")</f>
        <v/>
      </c>
      <c r="R3058" s="19"/>
      <c r="S3058" s="19"/>
    </row>
    <row r="3059" spans="1:19" x14ac:dyDescent="0.35">
      <c r="A3059" s="26" t="s">
        <v>543</v>
      </c>
      <c r="B3059" s="26" t="s">
        <v>543</v>
      </c>
      <c r="C3059" s="26"/>
      <c r="D3059" s="26" t="s">
        <v>543</v>
      </c>
      <c r="E3059" s="26" t="str">
        <f>IFERROR(VLOOKUP(G3059,WholesaleExtract!B:J,9,FALSE),"")</f>
        <v/>
      </c>
      <c r="F3059" s="26" t="str">
        <f>IFERROR(VLOOKUP(G3059,WholesaleExtract!B:J,6,FALSE),"")</f>
        <v/>
      </c>
      <c r="H3059" s="47" t="str">
        <f>IFERROR(VLOOKUP(G3059,WholesaleExtract!B:L,11,FALSE),"")</f>
        <v/>
      </c>
      <c r="I3059" s="26" t="str">
        <f>IFERROR(VLOOKUP(G3059,WholesaleExtract!B:O,8,FALSE),"")</f>
        <v/>
      </c>
      <c r="J3059" s="26" t="str">
        <f>IFERROR(VLOOKUP(G3059,WholesaleExtract!B:O,14,FALSE),"")</f>
        <v/>
      </c>
      <c r="K3059" s="26" t="str">
        <f>IFERROR(VLOOKUP(G3059,WholesaleExtract!B:K,10,FALSE),"")</f>
        <v/>
      </c>
      <c r="L3059" s="47" t="str">
        <f>IFERROR(VLOOKUP(G3059,WholesaleExtract!B:L,11,FALSE),"")</f>
        <v/>
      </c>
      <c r="M3059" s="47" t="str">
        <f>IFERROR(VLOOKUP(G3059,WholesaleExtract!B:M,12,FALSE),"")</f>
        <v/>
      </c>
      <c r="R3059" s="19"/>
      <c r="S3059" s="19"/>
    </row>
    <row r="3060" spans="1:19" x14ac:dyDescent="0.35">
      <c r="A3060" s="26" t="s">
        <v>543</v>
      </c>
      <c r="B3060" s="26" t="s">
        <v>543</v>
      </c>
      <c r="C3060" s="26"/>
      <c r="D3060" s="26" t="s">
        <v>543</v>
      </c>
      <c r="E3060" s="26" t="str">
        <f>IFERROR(VLOOKUP(G3060,WholesaleExtract!B:J,9,FALSE),"")</f>
        <v/>
      </c>
      <c r="F3060" s="26" t="str">
        <f>IFERROR(VLOOKUP(G3060,WholesaleExtract!B:J,6,FALSE),"")</f>
        <v/>
      </c>
      <c r="H3060" s="47" t="str">
        <f>IFERROR(VLOOKUP(G3060,WholesaleExtract!B:L,11,FALSE),"")</f>
        <v/>
      </c>
      <c r="I3060" s="26" t="str">
        <f>IFERROR(VLOOKUP(G3060,WholesaleExtract!B:O,8,FALSE),"")</f>
        <v/>
      </c>
      <c r="J3060" s="26" t="str">
        <f>IFERROR(VLOOKUP(G3060,WholesaleExtract!B:O,14,FALSE),"")</f>
        <v/>
      </c>
      <c r="K3060" s="26" t="str">
        <f>IFERROR(VLOOKUP(G3060,WholesaleExtract!B:K,10,FALSE),"")</f>
        <v/>
      </c>
      <c r="L3060" s="47" t="str">
        <f>IFERROR(VLOOKUP(G3060,WholesaleExtract!B:L,11,FALSE),"")</f>
        <v/>
      </c>
      <c r="M3060" s="47" t="str">
        <f>IFERROR(VLOOKUP(G3060,WholesaleExtract!B:M,12,FALSE),"")</f>
        <v/>
      </c>
      <c r="R3060" s="19"/>
      <c r="S3060" s="19"/>
    </row>
    <row r="3061" spans="1:19" x14ac:dyDescent="0.35">
      <c r="A3061" s="26" t="s">
        <v>543</v>
      </c>
      <c r="B3061" s="26" t="s">
        <v>543</v>
      </c>
      <c r="C3061" s="26"/>
      <c r="D3061" s="26" t="s">
        <v>543</v>
      </c>
      <c r="E3061" s="26" t="str">
        <f>IFERROR(VLOOKUP(G3061,WholesaleExtract!B:J,9,FALSE),"")</f>
        <v/>
      </c>
      <c r="F3061" s="26" t="str">
        <f>IFERROR(VLOOKUP(G3061,WholesaleExtract!B:J,6,FALSE),"")</f>
        <v/>
      </c>
      <c r="H3061" s="47" t="str">
        <f>IFERROR(VLOOKUP(G3061,WholesaleExtract!B:L,11,FALSE),"")</f>
        <v/>
      </c>
      <c r="I3061" s="26" t="str">
        <f>IFERROR(VLOOKUP(G3061,WholesaleExtract!B:O,8,FALSE),"")</f>
        <v/>
      </c>
      <c r="J3061" s="26" t="str">
        <f>IFERROR(VLOOKUP(G3061,WholesaleExtract!B:O,14,FALSE),"")</f>
        <v/>
      </c>
      <c r="K3061" s="26" t="str">
        <f>IFERROR(VLOOKUP(G3061,WholesaleExtract!B:K,10,FALSE),"")</f>
        <v/>
      </c>
      <c r="L3061" s="47" t="str">
        <f>IFERROR(VLOOKUP(G3061,WholesaleExtract!B:L,11,FALSE),"")</f>
        <v/>
      </c>
      <c r="M3061" s="47" t="str">
        <f>IFERROR(VLOOKUP(G3061,WholesaleExtract!B:M,12,FALSE),"")</f>
        <v/>
      </c>
      <c r="R3061" s="19"/>
      <c r="S3061" s="19"/>
    </row>
    <row r="3062" spans="1:19" x14ac:dyDescent="0.35">
      <c r="A3062" s="26" t="s">
        <v>543</v>
      </c>
      <c r="B3062" s="26" t="s">
        <v>543</v>
      </c>
      <c r="C3062" s="26"/>
      <c r="D3062" s="26" t="s">
        <v>543</v>
      </c>
      <c r="E3062" s="26" t="str">
        <f>IFERROR(VLOOKUP(G3062,WholesaleExtract!B:J,9,FALSE),"")</f>
        <v/>
      </c>
      <c r="F3062" s="26" t="str">
        <f>IFERROR(VLOOKUP(G3062,WholesaleExtract!B:J,6,FALSE),"")</f>
        <v/>
      </c>
      <c r="H3062" s="47" t="str">
        <f>IFERROR(VLOOKUP(G3062,WholesaleExtract!B:L,11,FALSE),"")</f>
        <v/>
      </c>
      <c r="I3062" s="26" t="str">
        <f>IFERROR(VLOOKUP(G3062,WholesaleExtract!B:O,8,FALSE),"")</f>
        <v/>
      </c>
      <c r="J3062" s="26" t="str">
        <f>IFERROR(VLOOKUP(G3062,WholesaleExtract!B:O,14,FALSE),"")</f>
        <v/>
      </c>
      <c r="K3062" s="26" t="str">
        <f>IFERROR(VLOOKUP(G3062,WholesaleExtract!B:K,10,FALSE),"")</f>
        <v/>
      </c>
      <c r="L3062" s="47" t="str">
        <f>IFERROR(VLOOKUP(G3062,WholesaleExtract!B:L,11,FALSE),"")</f>
        <v/>
      </c>
      <c r="M3062" s="47" t="str">
        <f>IFERROR(VLOOKUP(G3062,WholesaleExtract!B:M,12,FALSE),"")</f>
        <v/>
      </c>
      <c r="R3062" s="19"/>
      <c r="S3062" s="19"/>
    </row>
    <row r="3063" spans="1:19" x14ac:dyDescent="0.35">
      <c r="A3063" s="26" t="s">
        <v>543</v>
      </c>
      <c r="B3063" s="26" t="s">
        <v>543</v>
      </c>
      <c r="C3063" s="26"/>
      <c r="D3063" s="26" t="s">
        <v>543</v>
      </c>
      <c r="E3063" s="26" t="str">
        <f>IFERROR(VLOOKUP(G3063,WholesaleExtract!B:J,9,FALSE),"")</f>
        <v/>
      </c>
      <c r="F3063" s="26" t="str">
        <f>IFERROR(VLOOKUP(G3063,WholesaleExtract!B:J,6,FALSE),"")</f>
        <v/>
      </c>
      <c r="H3063" s="47" t="str">
        <f>IFERROR(VLOOKUP(G3063,WholesaleExtract!B:L,11,FALSE),"")</f>
        <v/>
      </c>
      <c r="I3063" s="26" t="str">
        <f>IFERROR(VLOOKUP(G3063,WholesaleExtract!B:O,8,FALSE),"")</f>
        <v/>
      </c>
      <c r="J3063" s="26" t="str">
        <f>IFERROR(VLOOKUP(G3063,WholesaleExtract!B:O,14,FALSE),"")</f>
        <v/>
      </c>
      <c r="K3063" s="26" t="str">
        <f>IFERROR(VLOOKUP(G3063,WholesaleExtract!B:K,10,FALSE),"")</f>
        <v/>
      </c>
      <c r="L3063" s="47" t="str">
        <f>IFERROR(VLOOKUP(G3063,WholesaleExtract!B:L,11,FALSE),"")</f>
        <v/>
      </c>
      <c r="M3063" s="47" t="str">
        <f>IFERROR(VLOOKUP(G3063,WholesaleExtract!B:M,12,FALSE),"")</f>
        <v/>
      </c>
      <c r="R3063" s="19"/>
      <c r="S3063" s="19"/>
    </row>
    <row r="3064" spans="1:19" x14ac:dyDescent="0.35">
      <c r="A3064" s="26" t="s">
        <v>543</v>
      </c>
      <c r="B3064" s="26" t="s">
        <v>543</v>
      </c>
      <c r="C3064" s="26"/>
      <c r="D3064" s="26" t="s">
        <v>543</v>
      </c>
      <c r="E3064" s="26" t="str">
        <f>IFERROR(VLOOKUP(G3064,WholesaleExtract!B:J,9,FALSE),"")</f>
        <v/>
      </c>
      <c r="F3064" s="26" t="str">
        <f>IFERROR(VLOOKUP(G3064,WholesaleExtract!B:J,6,FALSE),"")</f>
        <v/>
      </c>
      <c r="H3064" s="47" t="str">
        <f>IFERROR(VLOOKUP(G3064,WholesaleExtract!B:L,11,FALSE),"")</f>
        <v/>
      </c>
      <c r="I3064" s="26" t="str">
        <f>IFERROR(VLOOKUP(G3064,WholesaleExtract!B:O,8,FALSE),"")</f>
        <v/>
      </c>
      <c r="J3064" s="26" t="str">
        <f>IFERROR(VLOOKUP(G3064,WholesaleExtract!B:O,14,FALSE),"")</f>
        <v/>
      </c>
      <c r="K3064" s="26" t="str">
        <f>IFERROR(VLOOKUP(G3064,WholesaleExtract!B:K,10,FALSE),"")</f>
        <v/>
      </c>
      <c r="L3064" s="47" t="str">
        <f>IFERROR(VLOOKUP(G3064,WholesaleExtract!B:L,11,FALSE),"")</f>
        <v/>
      </c>
      <c r="M3064" s="47" t="str">
        <f>IFERROR(VLOOKUP(G3064,WholesaleExtract!B:M,12,FALSE),"")</f>
        <v/>
      </c>
      <c r="R3064" s="19"/>
      <c r="S3064" s="19"/>
    </row>
    <row r="3065" spans="1:19" x14ac:dyDescent="0.35">
      <c r="A3065" s="26" t="s">
        <v>543</v>
      </c>
      <c r="B3065" s="26" t="s">
        <v>543</v>
      </c>
      <c r="C3065" s="26"/>
      <c r="D3065" s="26" t="s">
        <v>543</v>
      </c>
      <c r="E3065" s="26" t="str">
        <f>IFERROR(VLOOKUP(G3065,WholesaleExtract!B:J,9,FALSE),"")</f>
        <v/>
      </c>
      <c r="F3065" s="26" t="str">
        <f>IFERROR(VLOOKUP(G3065,WholesaleExtract!B:J,6,FALSE),"")</f>
        <v/>
      </c>
      <c r="H3065" s="47" t="str">
        <f>IFERROR(VLOOKUP(G3065,WholesaleExtract!B:L,11,FALSE),"")</f>
        <v/>
      </c>
      <c r="I3065" s="26" t="str">
        <f>IFERROR(VLOOKUP(G3065,WholesaleExtract!B:O,8,FALSE),"")</f>
        <v/>
      </c>
      <c r="J3065" s="26" t="str">
        <f>IFERROR(VLOOKUP(G3065,WholesaleExtract!B:O,14,FALSE),"")</f>
        <v/>
      </c>
      <c r="K3065" s="26" t="str">
        <f>IFERROR(VLOOKUP(G3065,WholesaleExtract!B:K,10,FALSE),"")</f>
        <v/>
      </c>
      <c r="L3065" s="47" t="str">
        <f>IFERROR(VLOOKUP(G3065,WholesaleExtract!B:L,11,FALSE),"")</f>
        <v/>
      </c>
      <c r="M3065" s="47" t="str">
        <f>IFERROR(VLOOKUP(G3065,WholesaleExtract!B:M,12,FALSE),"")</f>
        <v/>
      </c>
      <c r="R3065" s="19"/>
      <c r="S3065" s="19"/>
    </row>
    <row r="3066" spans="1:19" x14ac:dyDescent="0.35">
      <c r="A3066" s="26" t="s">
        <v>543</v>
      </c>
      <c r="B3066" s="26" t="s">
        <v>543</v>
      </c>
      <c r="C3066" s="26"/>
      <c r="D3066" s="26" t="s">
        <v>543</v>
      </c>
      <c r="E3066" s="26" t="str">
        <f>IFERROR(VLOOKUP(G3066,WholesaleExtract!B:J,9,FALSE),"")</f>
        <v/>
      </c>
      <c r="F3066" s="26" t="str">
        <f>IFERROR(VLOOKUP(G3066,WholesaleExtract!B:J,6,FALSE),"")</f>
        <v/>
      </c>
      <c r="H3066" s="47" t="str">
        <f>IFERROR(VLOOKUP(G3066,WholesaleExtract!B:L,11,FALSE),"")</f>
        <v/>
      </c>
      <c r="I3066" s="26" t="str">
        <f>IFERROR(VLOOKUP(G3066,WholesaleExtract!B:O,8,FALSE),"")</f>
        <v/>
      </c>
      <c r="J3066" s="26" t="str">
        <f>IFERROR(VLOOKUP(G3066,WholesaleExtract!B:O,14,FALSE),"")</f>
        <v/>
      </c>
      <c r="K3066" s="26" t="str">
        <f>IFERROR(VLOOKUP(G3066,WholesaleExtract!B:K,10,FALSE),"")</f>
        <v/>
      </c>
      <c r="L3066" s="47" t="str">
        <f>IFERROR(VLOOKUP(G3066,WholesaleExtract!B:L,11,FALSE),"")</f>
        <v/>
      </c>
      <c r="M3066" s="47" t="str">
        <f>IFERROR(VLOOKUP(G3066,WholesaleExtract!B:M,12,FALSE),"")</f>
        <v/>
      </c>
      <c r="R3066" s="19"/>
      <c r="S3066" s="19"/>
    </row>
    <row r="3067" spans="1:19" x14ac:dyDescent="0.35">
      <c r="A3067" s="26" t="s">
        <v>543</v>
      </c>
      <c r="B3067" s="26" t="s">
        <v>543</v>
      </c>
      <c r="C3067" s="26"/>
      <c r="D3067" s="26" t="s">
        <v>543</v>
      </c>
      <c r="E3067" s="26" t="str">
        <f>IFERROR(VLOOKUP(G3067,WholesaleExtract!B:J,9,FALSE),"")</f>
        <v/>
      </c>
      <c r="F3067" s="26" t="str">
        <f>IFERROR(VLOOKUP(G3067,WholesaleExtract!B:J,6,FALSE),"")</f>
        <v/>
      </c>
      <c r="H3067" s="47" t="str">
        <f>IFERROR(VLOOKUP(G3067,WholesaleExtract!B:L,11,FALSE),"")</f>
        <v/>
      </c>
      <c r="I3067" s="26" t="str">
        <f>IFERROR(VLOOKUP(G3067,WholesaleExtract!B:O,8,FALSE),"")</f>
        <v/>
      </c>
      <c r="J3067" s="26" t="str">
        <f>IFERROR(VLOOKUP(G3067,WholesaleExtract!B:O,14,FALSE),"")</f>
        <v/>
      </c>
      <c r="K3067" s="26" t="str">
        <f>IFERROR(VLOOKUP(G3067,WholesaleExtract!B:K,10,FALSE),"")</f>
        <v/>
      </c>
      <c r="L3067" s="47" t="str">
        <f>IFERROR(VLOOKUP(G3067,WholesaleExtract!B:L,11,FALSE),"")</f>
        <v/>
      </c>
      <c r="M3067" s="47" t="str">
        <f>IFERROR(VLOOKUP(G3067,WholesaleExtract!B:M,12,FALSE),"")</f>
        <v/>
      </c>
      <c r="R3067" s="19"/>
      <c r="S3067" s="19"/>
    </row>
    <row r="3068" spans="1:19" x14ac:dyDescent="0.35">
      <c r="A3068" s="26" t="s">
        <v>543</v>
      </c>
      <c r="B3068" s="26" t="s">
        <v>543</v>
      </c>
      <c r="C3068" s="26"/>
      <c r="D3068" s="26" t="s">
        <v>543</v>
      </c>
      <c r="E3068" s="26" t="str">
        <f>IFERROR(VLOOKUP(G3068,WholesaleExtract!B:J,9,FALSE),"")</f>
        <v/>
      </c>
      <c r="F3068" s="26" t="str">
        <f>IFERROR(VLOOKUP(G3068,WholesaleExtract!B:J,6,FALSE),"")</f>
        <v/>
      </c>
      <c r="H3068" s="47" t="str">
        <f>IFERROR(VLOOKUP(G3068,WholesaleExtract!B:L,11,FALSE),"")</f>
        <v/>
      </c>
      <c r="I3068" s="26" t="str">
        <f>IFERROR(VLOOKUP(G3068,WholesaleExtract!B:O,8,FALSE),"")</f>
        <v/>
      </c>
      <c r="J3068" s="26" t="str">
        <f>IFERROR(VLOOKUP(G3068,WholesaleExtract!B:O,14,FALSE),"")</f>
        <v/>
      </c>
      <c r="K3068" s="26" t="str">
        <f>IFERROR(VLOOKUP(G3068,WholesaleExtract!B:K,10,FALSE),"")</f>
        <v/>
      </c>
      <c r="L3068" s="47" t="str">
        <f>IFERROR(VLOOKUP(G3068,WholesaleExtract!B:L,11,FALSE),"")</f>
        <v/>
      </c>
      <c r="M3068" s="47" t="str">
        <f>IFERROR(VLOOKUP(G3068,WholesaleExtract!B:M,12,FALSE),"")</f>
        <v/>
      </c>
      <c r="R3068" s="19"/>
      <c r="S3068" s="19"/>
    </row>
    <row r="3069" spans="1:19" x14ac:dyDescent="0.35">
      <c r="A3069" s="26" t="s">
        <v>543</v>
      </c>
      <c r="B3069" s="26" t="s">
        <v>543</v>
      </c>
      <c r="C3069" s="26"/>
      <c r="D3069" s="26" t="s">
        <v>543</v>
      </c>
      <c r="E3069" s="26" t="str">
        <f>IFERROR(VLOOKUP(G3069,WholesaleExtract!B:J,9,FALSE),"")</f>
        <v/>
      </c>
      <c r="F3069" s="26" t="str">
        <f>IFERROR(VLOOKUP(G3069,WholesaleExtract!B:J,6,FALSE),"")</f>
        <v/>
      </c>
      <c r="H3069" s="47" t="str">
        <f>IFERROR(VLOOKUP(G3069,WholesaleExtract!B:L,11,FALSE),"")</f>
        <v/>
      </c>
      <c r="I3069" s="26" t="str">
        <f>IFERROR(VLOOKUP(G3069,WholesaleExtract!B:O,8,FALSE),"")</f>
        <v/>
      </c>
      <c r="J3069" s="26" t="str">
        <f>IFERROR(VLOOKUP(G3069,WholesaleExtract!B:O,14,FALSE),"")</f>
        <v/>
      </c>
      <c r="K3069" s="26" t="str">
        <f>IFERROR(VLOOKUP(G3069,WholesaleExtract!B:K,10,FALSE),"")</f>
        <v/>
      </c>
      <c r="L3069" s="47" t="str">
        <f>IFERROR(VLOOKUP(G3069,WholesaleExtract!B:L,11,FALSE),"")</f>
        <v/>
      </c>
      <c r="M3069" s="47" t="str">
        <f>IFERROR(VLOOKUP(G3069,WholesaleExtract!B:M,12,FALSE),"")</f>
        <v/>
      </c>
      <c r="R3069" s="19"/>
      <c r="S3069" s="19"/>
    </row>
    <row r="3070" spans="1:19" x14ac:dyDescent="0.35">
      <c r="A3070" s="26" t="s">
        <v>543</v>
      </c>
      <c r="B3070" s="26" t="s">
        <v>543</v>
      </c>
      <c r="C3070" s="26"/>
      <c r="D3070" s="26" t="s">
        <v>543</v>
      </c>
      <c r="E3070" s="26" t="str">
        <f>IFERROR(VLOOKUP(G3070,WholesaleExtract!B:J,9,FALSE),"")</f>
        <v/>
      </c>
      <c r="F3070" s="26" t="str">
        <f>IFERROR(VLOOKUP(G3070,WholesaleExtract!B:J,6,FALSE),"")</f>
        <v/>
      </c>
      <c r="H3070" s="47" t="str">
        <f>IFERROR(VLOOKUP(G3070,WholesaleExtract!B:L,11,FALSE),"")</f>
        <v/>
      </c>
      <c r="I3070" s="26" t="str">
        <f>IFERROR(VLOOKUP(G3070,WholesaleExtract!B:O,8,FALSE),"")</f>
        <v/>
      </c>
      <c r="J3070" s="26" t="str">
        <f>IFERROR(VLOOKUP(G3070,WholesaleExtract!B:O,14,FALSE),"")</f>
        <v/>
      </c>
      <c r="K3070" s="26" t="str">
        <f>IFERROR(VLOOKUP(G3070,WholesaleExtract!B:K,10,FALSE),"")</f>
        <v/>
      </c>
      <c r="L3070" s="47" t="str">
        <f>IFERROR(VLOOKUP(G3070,WholesaleExtract!B:L,11,FALSE),"")</f>
        <v/>
      </c>
      <c r="M3070" s="47" t="str">
        <f>IFERROR(VLOOKUP(G3070,WholesaleExtract!B:M,12,FALSE),"")</f>
        <v/>
      </c>
      <c r="R3070" s="19"/>
      <c r="S3070" s="19"/>
    </row>
    <row r="3071" spans="1:19" x14ac:dyDescent="0.35">
      <c r="A3071" s="26" t="s">
        <v>543</v>
      </c>
      <c r="B3071" s="26" t="s">
        <v>543</v>
      </c>
      <c r="C3071" s="26"/>
      <c r="D3071" s="26" t="s">
        <v>543</v>
      </c>
      <c r="E3071" s="26" t="str">
        <f>IFERROR(VLOOKUP(G3071,WholesaleExtract!B:J,9,FALSE),"")</f>
        <v/>
      </c>
      <c r="F3071" s="26" t="str">
        <f>IFERROR(VLOOKUP(G3071,WholesaleExtract!B:J,6,FALSE),"")</f>
        <v/>
      </c>
      <c r="H3071" s="47" t="str">
        <f>IFERROR(VLOOKUP(G3071,WholesaleExtract!B:L,11,FALSE),"")</f>
        <v/>
      </c>
      <c r="I3071" s="26" t="str">
        <f>IFERROR(VLOOKUP(G3071,WholesaleExtract!B:O,8,FALSE),"")</f>
        <v/>
      </c>
      <c r="J3071" s="26" t="str">
        <f>IFERROR(VLOOKUP(G3071,WholesaleExtract!B:O,14,FALSE),"")</f>
        <v/>
      </c>
      <c r="K3071" s="26" t="str">
        <f>IFERROR(VLOOKUP(G3071,WholesaleExtract!B:K,10,FALSE),"")</f>
        <v/>
      </c>
      <c r="L3071" s="47" t="str">
        <f>IFERROR(VLOOKUP(G3071,WholesaleExtract!B:L,11,FALSE),"")</f>
        <v/>
      </c>
      <c r="M3071" s="47" t="str">
        <f>IFERROR(VLOOKUP(G3071,WholesaleExtract!B:M,12,FALSE),"")</f>
        <v/>
      </c>
      <c r="R3071" s="19"/>
      <c r="S3071" s="19"/>
    </row>
    <row r="3072" spans="1:19" x14ac:dyDescent="0.35">
      <c r="A3072" s="26" t="s">
        <v>543</v>
      </c>
      <c r="B3072" s="26" t="s">
        <v>543</v>
      </c>
      <c r="C3072" s="26"/>
      <c r="D3072" s="26" t="s">
        <v>543</v>
      </c>
      <c r="E3072" s="26" t="str">
        <f>IFERROR(VLOOKUP(G3072,WholesaleExtract!B:J,9,FALSE),"")</f>
        <v/>
      </c>
      <c r="F3072" s="26" t="str">
        <f>IFERROR(VLOOKUP(G3072,WholesaleExtract!B:J,6,FALSE),"")</f>
        <v/>
      </c>
      <c r="H3072" s="47" t="str">
        <f>IFERROR(VLOOKUP(G3072,WholesaleExtract!B:L,11,FALSE),"")</f>
        <v/>
      </c>
      <c r="I3072" s="26" t="str">
        <f>IFERROR(VLOOKUP(G3072,WholesaleExtract!B:O,8,FALSE),"")</f>
        <v/>
      </c>
      <c r="J3072" s="26" t="str">
        <f>IFERROR(VLOOKUP(G3072,WholesaleExtract!B:O,14,FALSE),"")</f>
        <v/>
      </c>
      <c r="K3072" s="26" t="str">
        <f>IFERROR(VLOOKUP(G3072,WholesaleExtract!B:K,10,FALSE),"")</f>
        <v/>
      </c>
      <c r="L3072" s="47" t="str">
        <f>IFERROR(VLOOKUP(G3072,WholesaleExtract!B:L,11,FALSE),"")</f>
        <v/>
      </c>
      <c r="M3072" s="47" t="str">
        <f>IFERROR(VLOOKUP(G3072,WholesaleExtract!B:M,12,FALSE),"")</f>
        <v/>
      </c>
      <c r="R3072" s="19"/>
      <c r="S3072" s="19"/>
    </row>
    <row r="3073" spans="1:19" x14ac:dyDescent="0.35">
      <c r="A3073" s="26" t="s">
        <v>543</v>
      </c>
      <c r="B3073" s="26" t="s">
        <v>543</v>
      </c>
      <c r="C3073" s="26"/>
      <c r="D3073" s="26" t="s">
        <v>543</v>
      </c>
      <c r="E3073" s="26" t="str">
        <f>IFERROR(VLOOKUP(G3073,WholesaleExtract!B:J,9,FALSE),"")</f>
        <v/>
      </c>
      <c r="F3073" s="26" t="str">
        <f>IFERROR(VLOOKUP(G3073,WholesaleExtract!B:J,6,FALSE),"")</f>
        <v/>
      </c>
      <c r="H3073" s="47" t="str">
        <f>IFERROR(VLOOKUP(G3073,WholesaleExtract!B:L,11,FALSE),"")</f>
        <v/>
      </c>
      <c r="I3073" s="26" t="str">
        <f>IFERROR(VLOOKUP(G3073,WholesaleExtract!B:O,8,FALSE),"")</f>
        <v/>
      </c>
      <c r="J3073" s="26" t="str">
        <f>IFERROR(VLOOKUP(G3073,WholesaleExtract!B:O,14,FALSE),"")</f>
        <v/>
      </c>
      <c r="K3073" s="26" t="str">
        <f>IFERROR(VLOOKUP(G3073,WholesaleExtract!B:K,10,FALSE),"")</f>
        <v/>
      </c>
      <c r="L3073" s="47" t="str">
        <f>IFERROR(VLOOKUP(G3073,WholesaleExtract!B:L,11,FALSE),"")</f>
        <v/>
      </c>
      <c r="M3073" s="47" t="str">
        <f>IFERROR(VLOOKUP(G3073,WholesaleExtract!B:M,12,FALSE),"")</f>
        <v/>
      </c>
      <c r="R3073" s="19"/>
      <c r="S3073" s="19"/>
    </row>
    <row r="3074" spans="1:19" x14ac:dyDescent="0.35">
      <c r="A3074" s="26" t="s">
        <v>543</v>
      </c>
      <c r="B3074" s="26" t="s">
        <v>543</v>
      </c>
      <c r="C3074" s="26"/>
      <c r="D3074" s="26" t="s">
        <v>543</v>
      </c>
      <c r="E3074" s="26" t="str">
        <f>IFERROR(VLOOKUP(G3074,WholesaleExtract!B:J,9,FALSE),"")</f>
        <v/>
      </c>
      <c r="F3074" s="26" t="str">
        <f>IFERROR(VLOOKUP(G3074,WholesaleExtract!B:J,6,FALSE),"")</f>
        <v/>
      </c>
      <c r="H3074" s="47" t="str">
        <f>IFERROR(VLOOKUP(G3074,WholesaleExtract!B:L,11,FALSE),"")</f>
        <v/>
      </c>
      <c r="I3074" s="26" t="str">
        <f>IFERROR(VLOOKUP(G3074,WholesaleExtract!B:O,8,FALSE),"")</f>
        <v/>
      </c>
      <c r="J3074" s="26" t="str">
        <f>IFERROR(VLOOKUP(G3074,WholesaleExtract!B:O,14,FALSE),"")</f>
        <v/>
      </c>
      <c r="K3074" s="26" t="str">
        <f>IFERROR(VLOOKUP(G3074,WholesaleExtract!B:K,10,FALSE),"")</f>
        <v/>
      </c>
      <c r="L3074" s="47" t="str">
        <f>IFERROR(VLOOKUP(G3074,WholesaleExtract!B:L,11,FALSE),"")</f>
        <v/>
      </c>
      <c r="M3074" s="47" t="str">
        <f>IFERROR(VLOOKUP(G3074,WholesaleExtract!B:M,12,FALSE),"")</f>
        <v/>
      </c>
      <c r="R3074" s="19"/>
      <c r="S3074" s="19"/>
    </row>
    <row r="3075" spans="1:19" x14ac:dyDescent="0.35">
      <c r="A3075" s="26" t="s">
        <v>543</v>
      </c>
      <c r="B3075" s="26" t="s">
        <v>543</v>
      </c>
      <c r="C3075" s="26"/>
      <c r="D3075" s="26" t="s">
        <v>543</v>
      </c>
      <c r="E3075" s="26" t="str">
        <f>IFERROR(VLOOKUP(G3075,WholesaleExtract!B:J,9,FALSE),"")</f>
        <v/>
      </c>
      <c r="F3075" s="26" t="str">
        <f>IFERROR(VLOOKUP(G3075,WholesaleExtract!B:J,6,FALSE),"")</f>
        <v/>
      </c>
      <c r="H3075" s="47" t="str">
        <f>IFERROR(VLOOKUP(G3075,WholesaleExtract!B:L,11,FALSE),"")</f>
        <v/>
      </c>
      <c r="I3075" s="26" t="str">
        <f>IFERROR(VLOOKUP(G3075,WholesaleExtract!B:O,8,FALSE),"")</f>
        <v/>
      </c>
      <c r="J3075" s="26" t="str">
        <f>IFERROR(VLOOKUP(G3075,WholesaleExtract!B:O,14,FALSE),"")</f>
        <v/>
      </c>
      <c r="K3075" s="26" t="str">
        <f>IFERROR(VLOOKUP(G3075,WholesaleExtract!B:K,10,FALSE),"")</f>
        <v/>
      </c>
      <c r="L3075" s="47" t="str">
        <f>IFERROR(VLOOKUP(G3075,WholesaleExtract!B:L,11,FALSE),"")</f>
        <v/>
      </c>
      <c r="M3075" s="47" t="str">
        <f>IFERROR(VLOOKUP(G3075,WholesaleExtract!B:M,12,FALSE),"")</f>
        <v/>
      </c>
      <c r="R3075" s="19"/>
      <c r="S3075" s="19"/>
    </row>
    <row r="3076" spans="1:19" x14ac:dyDescent="0.35">
      <c r="A3076" s="26" t="s">
        <v>543</v>
      </c>
      <c r="B3076" s="26" t="s">
        <v>543</v>
      </c>
      <c r="C3076" s="26"/>
      <c r="D3076" s="26" t="s">
        <v>543</v>
      </c>
      <c r="E3076" s="26" t="str">
        <f>IFERROR(VLOOKUP(G3076,WholesaleExtract!B:J,9,FALSE),"")</f>
        <v/>
      </c>
      <c r="F3076" s="26" t="str">
        <f>IFERROR(VLOOKUP(G3076,WholesaleExtract!B:J,6,FALSE),"")</f>
        <v/>
      </c>
      <c r="H3076" s="47" t="str">
        <f>IFERROR(VLOOKUP(G3076,WholesaleExtract!B:L,11,FALSE),"")</f>
        <v/>
      </c>
      <c r="I3076" s="26" t="str">
        <f>IFERROR(VLOOKUP(G3076,WholesaleExtract!B:O,8,FALSE),"")</f>
        <v/>
      </c>
      <c r="J3076" s="26" t="str">
        <f>IFERROR(VLOOKUP(G3076,WholesaleExtract!B:O,14,FALSE),"")</f>
        <v/>
      </c>
      <c r="K3076" s="26" t="str">
        <f>IFERROR(VLOOKUP(G3076,WholesaleExtract!B:K,10,FALSE),"")</f>
        <v/>
      </c>
      <c r="L3076" s="47" t="str">
        <f>IFERROR(VLOOKUP(G3076,WholesaleExtract!B:L,11,FALSE),"")</f>
        <v/>
      </c>
      <c r="M3076" s="47" t="str">
        <f>IFERROR(VLOOKUP(G3076,WholesaleExtract!B:M,12,FALSE),"")</f>
        <v/>
      </c>
      <c r="R3076" s="19"/>
      <c r="S3076" s="19"/>
    </row>
    <row r="3077" spans="1:19" x14ac:dyDescent="0.35">
      <c r="A3077" s="26" t="s">
        <v>543</v>
      </c>
      <c r="B3077" s="26" t="s">
        <v>543</v>
      </c>
      <c r="C3077" s="26"/>
      <c r="D3077" s="26" t="s">
        <v>543</v>
      </c>
      <c r="E3077" s="26" t="str">
        <f>IFERROR(VLOOKUP(G3077,WholesaleExtract!B:J,9,FALSE),"")</f>
        <v/>
      </c>
      <c r="F3077" s="26" t="str">
        <f>IFERROR(VLOOKUP(G3077,WholesaleExtract!B:J,6,FALSE),"")</f>
        <v/>
      </c>
      <c r="H3077" s="47" t="str">
        <f>IFERROR(VLOOKUP(G3077,WholesaleExtract!B:L,11,FALSE),"")</f>
        <v/>
      </c>
      <c r="I3077" s="26" t="str">
        <f>IFERROR(VLOOKUP(G3077,WholesaleExtract!B:O,8,FALSE),"")</f>
        <v/>
      </c>
      <c r="J3077" s="26" t="str">
        <f>IFERROR(VLOOKUP(G3077,WholesaleExtract!B:O,14,FALSE),"")</f>
        <v/>
      </c>
      <c r="K3077" s="26" t="str">
        <f>IFERROR(VLOOKUP(G3077,WholesaleExtract!B:K,10,FALSE),"")</f>
        <v/>
      </c>
      <c r="L3077" s="47" t="str">
        <f>IFERROR(VLOOKUP(G3077,WholesaleExtract!B:L,11,FALSE),"")</f>
        <v/>
      </c>
      <c r="M3077" s="47" t="str">
        <f>IFERROR(VLOOKUP(G3077,WholesaleExtract!B:M,12,FALSE),"")</f>
        <v/>
      </c>
      <c r="R3077" s="19"/>
      <c r="S3077" s="19"/>
    </row>
    <row r="3078" spans="1:19" x14ac:dyDescent="0.35">
      <c r="A3078" s="26" t="s">
        <v>543</v>
      </c>
      <c r="B3078" s="26" t="s">
        <v>543</v>
      </c>
      <c r="C3078" s="26"/>
      <c r="D3078" s="26" t="s">
        <v>543</v>
      </c>
      <c r="E3078" s="26" t="str">
        <f>IFERROR(VLOOKUP(G3078,WholesaleExtract!B:J,9,FALSE),"")</f>
        <v/>
      </c>
      <c r="F3078" s="26" t="str">
        <f>IFERROR(VLOOKUP(G3078,WholesaleExtract!B:J,6,FALSE),"")</f>
        <v/>
      </c>
      <c r="H3078" s="47" t="str">
        <f>IFERROR(VLOOKUP(G3078,WholesaleExtract!B:L,11,FALSE),"")</f>
        <v/>
      </c>
      <c r="I3078" s="26" t="str">
        <f>IFERROR(VLOOKUP(G3078,WholesaleExtract!B:O,8,FALSE),"")</f>
        <v/>
      </c>
      <c r="J3078" s="26" t="str">
        <f>IFERROR(VLOOKUP(G3078,WholesaleExtract!B:O,14,FALSE),"")</f>
        <v/>
      </c>
      <c r="K3078" s="26" t="str">
        <f>IFERROR(VLOOKUP(G3078,WholesaleExtract!B:K,10,FALSE),"")</f>
        <v/>
      </c>
      <c r="L3078" s="47" t="str">
        <f>IFERROR(VLOOKUP(G3078,WholesaleExtract!B:L,11,FALSE),"")</f>
        <v/>
      </c>
      <c r="M3078" s="47" t="str">
        <f>IFERROR(VLOOKUP(G3078,WholesaleExtract!B:M,12,FALSE),"")</f>
        <v/>
      </c>
      <c r="R3078" s="19"/>
      <c r="S3078" s="19"/>
    </row>
    <row r="3079" spans="1:19" x14ac:dyDescent="0.35">
      <c r="A3079" s="26" t="s">
        <v>543</v>
      </c>
      <c r="B3079" s="26" t="s">
        <v>543</v>
      </c>
      <c r="C3079" s="26"/>
      <c r="D3079" s="26" t="s">
        <v>543</v>
      </c>
      <c r="E3079" s="26" t="str">
        <f>IFERROR(VLOOKUP(G3079,WholesaleExtract!B:J,9,FALSE),"")</f>
        <v/>
      </c>
      <c r="F3079" s="26" t="str">
        <f>IFERROR(VLOOKUP(G3079,WholesaleExtract!B:J,6,FALSE),"")</f>
        <v/>
      </c>
      <c r="H3079" s="47" t="str">
        <f>IFERROR(VLOOKUP(G3079,WholesaleExtract!B:L,11,FALSE),"")</f>
        <v/>
      </c>
      <c r="I3079" s="26" t="str">
        <f>IFERROR(VLOOKUP(G3079,WholesaleExtract!B:O,8,FALSE),"")</f>
        <v/>
      </c>
      <c r="J3079" s="26" t="str">
        <f>IFERROR(VLOOKUP(G3079,WholesaleExtract!B:O,14,FALSE),"")</f>
        <v/>
      </c>
      <c r="K3079" s="26" t="str">
        <f>IFERROR(VLOOKUP(G3079,WholesaleExtract!B:K,10,FALSE),"")</f>
        <v/>
      </c>
      <c r="L3079" s="47" t="str">
        <f>IFERROR(VLOOKUP(G3079,WholesaleExtract!B:L,11,FALSE),"")</f>
        <v/>
      </c>
      <c r="M3079" s="47" t="str">
        <f>IFERROR(VLOOKUP(G3079,WholesaleExtract!B:M,12,FALSE),"")</f>
        <v/>
      </c>
      <c r="R3079" s="19"/>
      <c r="S3079" s="19"/>
    </row>
    <row r="3080" spans="1:19" x14ac:dyDescent="0.35">
      <c r="A3080" s="26" t="s">
        <v>543</v>
      </c>
      <c r="B3080" s="26" t="s">
        <v>543</v>
      </c>
      <c r="C3080" s="26"/>
      <c r="D3080" s="26" t="s">
        <v>543</v>
      </c>
      <c r="E3080" s="26" t="str">
        <f>IFERROR(VLOOKUP(G3080,WholesaleExtract!B:J,9,FALSE),"")</f>
        <v/>
      </c>
      <c r="F3080" s="26" t="str">
        <f>IFERROR(VLOOKUP(G3080,WholesaleExtract!B:J,6,FALSE),"")</f>
        <v/>
      </c>
      <c r="H3080" s="47" t="str">
        <f>IFERROR(VLOOKUP(G3080,WholesaleExtract!B:L,11,FALSE),"")</f>
        <v/>
      </c>
      <c r="I3080" s="26" t="str">
        <f>IFERROR(VLOOKUP(G3080,WholesaleExtract!B:O,8,FALSE),"")</f>
        <v/>
      </c>
      <c r="J3080" s="26" t="str">
        <f>IFERROR(VLOOKUP(G3080,WholesaleExtract!B:O,14,FALSE),"")</f>
        <v/>
      </c>
      <c r="K3080" s="26" t="str">
        <f>IFERROR(VLOOKUP(G3080,WholesaleExtract!B:K,10,FALSE),"")</f>
        <v/>
      </c>
      <c r="L3080" s="47" t="str">
        <f>IFERROR(VLOOKUP(G3080,WholesaleExtract!B:L,11,FALSE),"")</f>
        <v/>
      </c>
      <c r="M3080" s="47" t="str">
        <f>IFERROR(VLOOKUP(G3080,WholesaleExtract!B:M,12,FALSE),"")</f>
        <v/>
      </c>
      <c r="R3080" s="19"/>
      <c r="S3080" s="19"/>
    </row>
    <row r="3081" spans="1:19" x14ac:dyDescent="0.35">
      <c r="A3081" s="26" t="s">
        <v>543</v>
      </c>
      <c r="B3081" s="26" t="s">
        <v>543</v>
      </c>
      <c r="C3081" s="26"/>
      <c r="D3081" s="26" t="s">
        <v>543</v>
      </c>
      <c r="E3081" s="26" t="str">
        <f>IFERROR(VLOOKUP(G3081,WholesaleExtract!B:J,9,FALSE),"")</f>
        <v/>
      </c>
      <c r="F3081" s="26" t="str">
        <f>IFERROR(VLOOKUP(G3081,WholesaleExtract!B:J,6,FALSE),"")</f>
        <v/>
      </c>
      <c r="H3081" s="47" t="str">
        <f>IFERROR(VLOOKUP(G3081,WholesaleExtract!B:L,11,FALSE),"")</f>
        <v/>
      </c>
      <c r="I3081" s="26" t="str">
        <f>IFERROR(VLOOKUP(G3081,WholesaleExtract!B:O,8,FALSE),"")</f>
        <v/>
      </c>
      <c r="J3081" s="26" t="str">
        <f>IFERROR(VLOOKUP(G3081,WholesaleExtract!B:O,14,FALSE),"")</f>
        <v/>
      </c>
      <c r="K3081" s="26" t="str">
        <f>IFERROR(VLOOKUP(G3081,WholesaleExtract!B:K,10,FALSE),"")</f>
        <v/>
      </c>
      <c r="L3081" s="47" t="str">
        <f>IFERROR(VLOOKUP(G3081,WholesaleExtract!B:L,11,FALSE),"")</f>
        <v/>
      </c>
      <c r="M3081" s="47" t="str">
        <f>IFERROR(VLOOKUP(G3081,WholesaleExtract!B:M,12,FALSE),"")</f>
        <v/>
      </c>
      <c r="R3081" s="19"/>
      <c r="S3081" s="19"/>
    </row>
    <row r="3082" spans="1:19" x14ac:dyDescent="0.35">
      <c r="A3082" s="26" t="s">
        <v>543</v>
      </c>
      <c r="B3082" s="26" t="s">
        <v>543</v>
      </c>
      <c r="C3082" s="26"/>
      <c r="D3082" s="26" t="s">
        <v>543</v>
      </c>
      <c r="E3082" s="26" t="str">
        <f>IFERROR(VLOOKUP(G3082,WholesaleExtract!B:J,9,FALSE),"")</f>
        <v/>
      </c>
      <c r="F3082" s="26" t="str">
        <f>IFERROR(VLOOKUP(G3082,WholesaleExtract!B:J,6,FALSE),"")</f>
        <v/>
      </c>
      <c r="H3082" s="47" t="str">
        <f>IFERROR(VLOOKUP(G3082,WholesaleExtract!B:L,11,FALSE),"")</f>
        <v/>
      </c>
      <c r="I3082" s="26" t="str">
        <f>IFERROR(VLOOKUP(G3082,WholesaleExtract!B:O,8,FALSE),"")</f>
        <v/>
      </c>
      <c r="J3082" s="26" t="str">
        <f>IFERROR(VLOOKUP(G3082,WholesaleExtract!B:O,14,FALSE),"")</f>
        <v/>
      </c>
      <c r="K3082" s="26" t="str">
        <f>IFERROR(VLOOKUP(G3082,WholesaleExtract!B:K,10,FALSE),"")</f>
        <v/>
      </c>
      <c r="L3082" s="47" t="str">
        <f>IFERROR(VLOOKUP(G3082,WholesaleExtract!B:L,11,FALSE),"")</f>
        <v/>
      </c>
      <c r="M3082" s="47" t="str">
        <f>IFERROR(VLOOKUP(G3082,WholesaleExtract!B:M,12,FALSE),"")</f>
        <v/>
      </c>
      <c r="R3082" s="19"/>
      <c r="S3082" s="19"/>
    </row>
    <row r="3083" spans="1:19" x14ac:dyDescent="0.35">
      <c r="A3083" s="26" t="s">
        <v>543</v>
      </c>
      <c r="B3083" s="26" t="s">
        <v>543</v>
      </c>
      <c r="C3083" s="26"/>
      <c r="D3083" s="26" t="s">
        <v>543</v>
      </c>
      <c r="E3083" s="26" t="str">
        <f>IFERROR(VLOOKUP(G3083,WholesaleExtract!B:J,9,FALSE),"")</f>
        <v/>
      </c>
      <c r="F3083" s="26" t="str">
        <f>IFERROR(VLOOKUP(G3083,WholesaleExtract!B:J,6,FALSE),"")</f>
        <v/>
      </c>
      <c r="H3083" s="47" t="str">
        <f>IFERROR(VLOOKUP(G3083,WholesaleExtract!B:L,11,FALSE),"")</f>
        <v/>
      </c>
      <c r="I3083" s="26" t="str">
        <f>IFERROR(VLOOKUP(G3083,WholesaleExtract!B:O,8,FALSE),"")</f>
        <v/>
      </c>
      <c r="J3083" s="26" t="str">
        <f>IFERROR(VLOOKUP(G3083,WholesaleExtract!B:O,14,FALSE),"")</f>
        <v/>
      </c>
      <c r="K3083" s="26" t="str">
        <f>IFERROR(VLOOKUP(G3083,WholesaleExtract!B:K,10,FALSE),"")</f>
        <v/>
      </c>
      <c r="L3083" s="47" t="str">
        <f>IFERROR(VLOOKUP(G3083,WholesaleExtract!B:L,11,FALSE),"")</f>
        <v/>
      </c>
      <c r="M3083" s="47" t="str">
        <f>IFERROR(VLOOKUP(G3083,WholesaleExtract!B:M,12,FALSE),"")</f>
        <v/>
      </c>
      <c r="R3083" s="19"/>
      <c r="S3083" s="19"/>
    </row>
    <row r="3084" spans="1:19" x14ac:dyDescent="0.35">
      <c r="A3084" s="26" t="s">
        <v>543</v>
      </c>
      <c r="B3084" s="26" t="s">
        <v>543</v>
      </c>
      <c r="C3084" s="26"/>
      <c r="D3084" s="26" t="s">
        <v>543</v>
      </c>
      <c r="E3084" s="26" t="str">
        <f>IFERROR(VLOOKUP(G3084,WholesaleExtract!B:J,9,FALSE),"")</f>
        <v/>
      </c>
      <c r="F3084" s="26" t="str">
        <f>IFERROR(VLOOKUP(G3084,WholesaleExtract!B:J,6,FALSE),"")</f>
        <v/>
      </c>
      <c r="H3084" s="47" t="str">
        <f>IFERROR(VLOOKUP(G3084,WholesaleExtract!B:L,11,FALSE),"")</f>
        <v/>
      </c>
      <c r="I3084" s="26" t="str">
        <f>IFERROR(VLOOKUP(G3084,WholesaleExtract!B:O,8,FALSE),"")</f>
        <v/>
      </c>
      <c r="J3084" s="26" t="str">
        <f>IFERROR(VLOOKUP(G3084,WholesaleExtract!B:O,14,FALSE),"")</f>
        <v/>
      </c>
      <c r="K3084" s="26" t="str">
        <f>IFERROR(VLOOKUP(G3084,WholesaleExtract!B:K,10,FALSE),"")</f>
        <v/>
      </c>
      <c r="L3084" s="47" t="str">
        <f>IFERROR(VLOOKUP(G3084,WholesaleExtract!B:L,11,FALSE),"")</f>
        <v/>
      </c>
      <c r="M3084" s="47" t="str">
        <f>IFERROR(VLOOKUP(G3084,WholesaleExtract!B:M,12,FALSE),"")</f>
        <v/>
      </c>
      <c r="R3084" s="19"/>
      <c r="S3084" s="19"/>
    </row>
    <row r="3085" spans="1:19" x14ac:dyDescent="0.35">
      <c r="A3085" s="26" t="s">
        <v>543</v>
      </c>
      <c r="B3085" s="26" t="s">
        <v>543</v>
      </c>
      <c r="C3085" s="26"/>
      <c r="D3085" s="26" t="s">
        <v>543</v>
      </c>
      <c r="E3085" s="26" t="str">
        <f>IFERROR(VLOOKUP(G3085,WholesaleExtract!B:J,9,FALSE),"")</f>
        <v/>
      </c>
      <c r="F3085" s="26" t="str">
        <f>IFERROR(VLOOKUP(G3085,WholesaleExtract!B:J,6,FALSE),"")</f>
        <v/>
      </c>
      <c r="H3085" s="47" t="str">
        <f>IFERROR(VLOOKUP(G3085,WholesaleExtract!B:L,11,FALSE),"")</f>
        <v/>
      </c>
      <c r="I3085" s="26" t="str">
        <f>IFERROR(VLOOKUP(G3085,WholesaleExtract!B:O,8,FALSE),"")</f>
        <v/>
      </c>
      <c r="J3085" s="26" t="str">
        <f>IFERROR(VLOOKUP(G3085,WholesaleExtract!B:O,14,FALSE),"")</f>
        <v/>
      </c>
      <c r="K3085" s="26" t="str">
        <f>IFERROR(VLOOKUP(G3085,WholesaleExtract!B:K,10,FALSE),"")</f>
        <v/>
      </c>
      <c r="L3085" s="47" t="str">
        <f>IFERROR(VLOOKUP(G3085,WholesaleExtract!B:L,11,FALSE),"")</f>
        <v/>
      </c>
      <c r="M3085" s="47" t="str">
        <f>IFERROR(VLOOKUP(G3085,WholesaleExtract!B:M,12,FALSE),"")</f>
        <v/>
      </c>
      <c r="R3085" s="19"/>
      <c r="S3085" s="19"/>
    </row>
    <row r="3086" spans="1:19" x14ac:dyDescent="0.35">
      <c r="A3086" s="26" t="s">
        <v>543</v>
      </c>
      <c r="B3086" s="26" t="s">
        <v>543</v>
      </c>
      <c r="C3086" s="26"/>
      <c r="D3086" s="26" t="s">
        <v>543</v>
      </c>
      <c r="E3086" s="26" t="str">
        <f>IFERROR(VLOOKUP(G3086,WholesaleExtract!B:J,9,FALSE),"")</f>
        <v/>
      </c>
      <c r="F3086" s="26" t="str">
        <f>IFERROR(VLOOKUP(G3086,WholesaleExtract!B:J,6,FALSE),"")</f>
        <v/>
      </c>
      <c r="H3086" s="47" t="str">
        <f>IFERROR(VLOOKUP(G3086,WholesaleExtract!B:L,11,FALSE),"")</f>
        <v/>
      </c>
      <c r="I3086" s="26" t="str">
        <f>IFERROR(VLOOKUP(G3086,WholesaleExtract!B:O,8,FALSE),"")</f>
        <v/>
      </c>
      <c r="J3086" s="26" t="str">
        <f>IFERROR(VLOOKUP(G3086,WholesaleExtract!B:O,14,FALSE),"")</f>
        <v/>
      </c>
      <c r="K3086" s="26" t="str">
        <f>IFERROR(VLOOKUP(G3086,WholesaleExtract!B:K,10,FALSE),"")</f>
        <v/>
      </c>
      <c r="L3086" s="47" t="str">
        <f>IFERROR(VLOOKUP(G3086,WholesaleExtract!B:L,11,FALSE),"")</f>
        <v/>
      </c>
      <c r="M3086" s="47" t="str">
        <f>IFERROR(VLOOKUP(G3086,WholesaleExtract!B:M,12,FALSE),"")</f>
        <v/>
      </c>
      <c r="R3086" s="19"/>
      <c r="S3086" s="19"/>
    </row>
    <row r="3087" spans="1:19" x14ac:dyDescent="0.35">
      <c r="A3087" s="26" t="s">
        <v>543</v>
      </c>
      <c r="B3087" s="26" t="s">
        <v>543</v>
      </c>
      <c r="C3087" s="26"/>
      <c r="D3087" s="26" t="s">
        <v>543</v>
      </c>
      <c r="E3087" s="26" t="str">
        <f>IFERROR(VLOOKUP(G3087,WholesaleExtract!B:J,9,FALSE),"")</f>
        <v/>
      </c>
      <c r="F3087" s="26" t="str">
        <f>IFERROR(VLOOKUP(G3087,WholesaleExtract!B:J,6,FALSE),"")</f>
        <v/>
      </c>
      <c r="H3087" s="47" t="str">
        <f>IFERROR(VLOOKUP(G3087,WholesaleExtract!B:L,11,FALSE),"")</f>
        <v/>
      </c>
      <c r="I3087" s="26" t="str">
        <f>IFERROR(VLOOKUP(G3087,WholesaleExtract!B:O,8,FALSE),"")</f>
        <v/>
      </c>
      <c r="J3087" s="26" t="str">
        <f>IFERROR(VLOOKUP(G3087,WholesaleExtract!B:O,14,FALSE),"")</f>
        <v/>
      </c>
      <c r="K3087" s="26" t="str">
        <f>IFERROR(VLOOKUP(G3087,WholesaleExtract!B:K,10,FALSE),"")</f>
        <v/>
      </c>
      <c r="L3087" s="47" t="str">
        <f>IFERROR(VLOOKUP(G3087,WholesaleExtract!B:L,11,FALSE),"")</f>
        <v/>
      </c>
      <c r="M3087" s="47" t="str">
        <f>IFERROR(VLOOKUP(G3087,WholesaleExtract!B:M,12,FALSE),"")</f>
        <v/>
      </c>
      <c r="R3087" s="19"/>
      <c r="S3087" s="19"/>
    </row>
    <row r="3088" spans="1:19" x14ac:dyDescent="0.35">
      <c r="A3088" s="26" t="s">
        <v>543</v>
      </c>
      <c r="B3088" s="26" t="s">
        <v>543</v>
      </c>
      <c r="C3088" s="26"/>
      <c r="D3088" s="26" t="s">
        <v>543</v>
      </c>
      <c r="E3088" s="26" t="str">
        <f>IFERROR(VLOOKUP(G3088,WholesaleExtract!B:J,9,FALSE),"")</f>
        <v/>
      </c>
      <c r="F3088" s="26" t="str">
        <f>IFERROR(VLOOKUP(G3088,WholesaleExtract!B:J,6,FALSE),"")</f>
        <v/>
      </c>
      <c r="H3088" s="47" t="str">
        <f>IFERROR(VLOOKUP(G3088,WholesaleExtract!B:L,11,FALSE),"")</f>
        <v/>
      </c>
      <c r="I3088" s="26" t="str">
        <f>IFERROR(VLOOKUP(G3088,WholesaleExtract!B:O,8,FALSE),"")</f>
        <v/>
      </c>
      <c r="J3088" s="26" t="str">
        <f>IFERROR(VLOOKUP(G3088,WholesaleExtract!B:O,14,FALSE),"")</f>
        <v/>
      </c>
      <c r="K3088" s="26" t="str">
        <f>IFERROR(VLOOKUP(G3088,WholesaleExtract!B:K,10,FALSE),"")</f>
        <v/>
      </c>
      <c r="L3088" s="47" t="str">
        <f>IFERROR(VLOOKUP(G3088,WholesaleExtract!B:L,11,FALSE),"")</f>
        <v/>
      </c>
      <c r="M3088" s="47" t="str">
        <f>IFERROR(VLOOKUP(G3088,WholesaleExtract!B:M,12,FALSE),"")</f>
        <v/>
      </c>
      <c r="R3088" s="19"/>
      <c r="S3088" s="19"/>
    </row>
    <row r="3089" spans="1:19" x14ac:dyDescent="0.35">
      <c r="A3089" s="26" t="s">
        <v>543</v>
      </c>
      <c r="B3089" s="26" t="s">
        <v>543</v>
      </c>
      <c r="C3089" s="26"/>
      <c r="D3089" s="26" t="s">
        <v>543</v>
      </c>
      <c r="E3089" s="26" t="str">
        <f>IFERROR(VLOOKUP(G3089,WholesaleExtract!B:J,9,FALSE),"")</f>
        <v/>
      </c>
      <c r="F3089" s="26" t="str">
        <f>IFERROR(VLOOKUP(G3089,WholesaleExtract!B:J,6,FALSE),"")</f>
        <v/>
      </c>
      <c r="H3089" s="47" t="str">
        <f>IFERROR(VLOOKUP(G3089,WholesaleExtract!B:L,11,FALSE),"")</f>
        <v/>
      </c>
      <c r="I3089" s="26" t="str">
        <f>IFERROR(VLOOKUP(G3089,WholesaleExtract!B:O,8,FALSE),"")</f>
        <v/>
      </c>
      <c r="J3089" s="26" t="str">
        <f>IFERROR(VLOOKUP(G3089,WholesaleExtract!B:O,14,FALSE),"")</f>
        <v/>
      </c>
      <c r="K3089" s="26" t="str">
        <f>IFERROR(VLOOKUP(G3089,WholesaleExtract!B:K,10,FALSE),"")</f>
        <v/>
      </c>
      <c r="L3089" s="47" t="str">
        <f>IFERROR(VLOOKUP(G3089,WholesaleExtract!B:L,11,FALSE),"")</f>
        <v/>
      </c>
      <c r="M3089" s="47" t="str">
        <f>IFERROR(VLOOKUP(G3089,WholesaleExtract!B:M,12,FALSE),"")</f>
        <v/>
      </c>
      <c r="R3089" s="19"/>
      <c r="S3089" s="19"/>
    </row>
    <row r="3090" spans="1:19" x14ac:dyDescent="0.35">
      <c r="A3090" s="26" t="s">
        <v>543</v>
      </c>
      <c r="B3090" s="26" t="s">
        <v>543</v>
      </c>
      <c r="C3090" s="26"/>
      <c r="D3090" s="26" t="s">
        <v>543</v>
      </c>
      <c r="E3090" s="26" t="str">
        <f>IFERROR(VLOOKUP(G3090,WholesaleExtract!B:J,9,FALSE),"")</f>
        <v/>
      </c>
      <c r="F3090" s="26" t="str">
        <f>IFERROR(VLOOKUP(G3090,WholesaleExtract!B:J,6,FALSE),"")</f>
        <v/>
      </c>
      <c r="H3090" s="47" t="str">
        <f>IFERROR(VLOOKUP(G3090,WholesaleExtract!B:L,11,FALSE),"")</f>
        <v/>
      </c>
      <c r="I3090" s="26" t="str">
        <f>IFERROR(VLOOKUP(G3090,WholesaleExtract!B:O,8,FALSE),"")</f>
        <v/>
      </c>
      <c r="J3090" s="26" t="str">
        <f>IFERROR(VLOOKUP(G3090,WholesaleExtract!B:O,14,FALSE),"")</f>
        <v/>
      </c>
      <c r="K3090" s="26" t="str">
        <f>IFERROR(VLOOKUP(G3090,WholesaleExtract!B:K,10,FALSE),"")</f>
        <v/>
      </c>
      <c r="L3090" s="47" t="str">
        <f>IFERROR(VLOOKUP(G3090,WholesaleExtract!B:L,11,FALSE),"")</f>
        <v/>
      </c>
      <c r="M3090" s="47" t="str">
        <f>IFERROR(VLOOKUP(G3090,WholesaleExtract!B:M,12,FALSE),"")</f>
        <v/>
      </c>
      <c r="R3090" s="19"/>
      <c r="S3090" s="19"/>
    </row>
    <row r="3091" spans="1:19" x14ac:dyDescent="0.35">
      <c r="A3091" s="26" t="s">
        <v>543</v>
      </c>
      <c r="B3091" s="26" t="s">
        <v>543</v>
      </c>
      <c r="C3091" s="26"/>
      <c r="D3091" s="26" t="s">
        <v>543</v>
      </c>
      <c r="E3091" s="26" t="str">
        <f>IFERROR(VLOOKUP(G3091,WholesaleExtract!B:J,9,FALSE),"")</f>
        <v/>
      </c>
      <c r="F3091" s="26" t="str">
        <f>IFERROR(VLOOKUP(G3091,WholesaleExtract!B:J,6,FALSE),"")</f>
        <v/>
      </c>
      <c r="H3091" s="47" t="str">
        <f>IFERROR(VLOOKUP(G3091,WholesaleExtract!B:L,11,FALSE),"")</f>
        <v/>
      </c>
      <c r="I3091" s="26" t="str">
        <f>IFERROR(VLOOKUP(G3091,WholesaleExtract!B:O,8,FALSE),"")</f>
        <v/>
      </c>
      <c r="J3091" s="26" t="str">
        <f>IFERROR(VLOOKUP(G3091,WholesaleExtract!B:O,14,FALSE),"")</f>
        <v/>
      </c>
      <c r="K3091" s="26" t="str">
        <f>IFERROR(VLOOKUP(G3091,WholesaleExtract!B:K,10,FALSE),"")</f>
        <v/>
      </c>
      <c r="L3091" s="47" t="str">
        <f>IFERROR(VLOOKUP(G3091,WholesaleExtract!B:L,11,FALSE),"")</f>
        <v/>
      </c>
      <c r="M3091" s="47" t="str">
        <f>IFERROR(VLOOKUP(G3091,WholesaleExtract!B:M,12,FALSE),"")</f>
        <v/>
      </c>
      <c r="R3091" s="19"/>
      <c r="S3091" s="19"/>
    </row>
    <row r="3092" spans="1:19" x14ac:dyDescent="0.35">
      <c r="A3092" s="26" t="s">
        <v>543</v>
      </c>
      <c r="B3092" s="26" t="s">
        <v>543</v>
      </c>
      <c r="C3092" s="26"/>
      <c r="D3092" s="26" t="s">
        <v>543</v>
      </c>
      <c r="E3092" s="26" t="str">
        <f>IFERROR(VLOOKUP(G3092,WholesaleExtract!B:J,9,FALSE),"")</f>
        <v/>
      </c>
      <c r="F3092" s="26" t="str">
        <f>IFERROR(VLOOKUP(G3092,WholesaleExtract!B:J,6,FALSE),"")</f>
        <v/>
      </c>
      <c r="H3092" s="47" t="str">
        <f>IFERROR(VLOOKUP(G3092,WholesaleExtract!B:L,11,FALSE),"")</f>
        <v/>
      </c>
      <c r="I3092" s="26" t="str">
        <f>IFERROR(VLOOKUP(G3092,WholesaleExtract!B:O,8,FALSE),"")</f>
        <v/>
      </c>
      <c r="J3092" s="26" t="str">
        <f>IFERROR(VLOOKUP(G3092,WholesaleExtract!B:O,14,FALSE),"")</f>
        <v/>
      </c>
      <c r="K3092" s="26" t="str">
        <f>IFERROR(VLOOKUP(G3092,WholesaleExtract!B:K,10,FALSE),"")</f>
        <v/>
      </c>
      <c r="L3092" s="47" t="str">
        <f>IFERROR(VLOOKUP(G3092,WholesaleExtract!B:L,11,FALSE),"")</f>
        <v/>
      </c>
      <c r="M3092" s="47" t="str">
        <f>IFERROR(VLOOKUP(G3092,WholesaleExtract!B:M,12,FALSE),"")</f>
        <v/>
      </c>
      <c r="R3092" s="19"/>
      <c r="S3092" s="19"/>
    </row>
    <row r="3093" spans="1:19" x14ac:dyDescent="0.35">
      <c r="A3093" s="26" t="s">
        <v>543</v>
      </c>
      <c r="B3093" s="26" t="s">
        <v>543</v>
      </c>
      <c r="C3093" s="26"/>
      <c r="D3093" s="26" t="s">
        <v>543</v>
      </c>
      <c r="E3093" s="26" t="str">
        <f>IFERROR(VLOOKUP(G3093,WholesaleExtract!B:J,9,FALSE),"")</f>
        <v/>
      </c>
      <c r="F3093" s="26" t="str">
        <f>IFERROR(VLOOKUP(G3093,WholesaleExtract!B:J,6,FALSE),"")</f>
        <v/>
      </c>
      <c r="H3093" s="47" t="str">
        <f>IFERROR(VLOOKUP(G3093,WholesaleExtract!B:L,11,FALSE),"")</f>
        <v/>
      </c>
      <c r="I3093" s="26" t="str">
        <f>IFERROR(VLOOKUP(G3093,WholesaleExtract!B:O,8,FALSE),"")</f>
        <v/>
      </c>
      <c r="J3093" s="26" t="str">
        <f>IFERROR(VLOOKUP(G3093,WholesaleExtract!B:O,14,FALSE),"")</f>
        <v/>
      </c>
      <c r="K3093" s="26" t="str">
        <f>IFERROR(VLOOKUP(G3093,WholesaleExtract!B:K,10,FALSE),"")</f>
        <v/>
      </c>
      <c r="L3093" s="47" t="str">
        <f>IFERROR(VLOOKUP(G3093,WholesaleExtract!B:L,11,FALSE),"")</f>
        <v/>
      </c>
      <c r="M3093" s="47" t="str">
        <f>IFERROR(VLOOKUP(G3093,WholesaleExtract!B:M,12,FALSE),"")</f>
        <v/>
      </c>
      <c r="R3093" s="19"/>
      <c r="S3093" s="19"/>
    </row>
    <row r="3094" spans="1:19" x14ac:dyDescent="0.35">
      <c r="A3094" s="26" t="s">
        <v>543</v>
      </c>
      <c r="B3094" s="26" t="s">
        <v>543</v>
      </c>
      <c r="C3094" s="26"/>
      <c r="D3094" s="26" t="s">
        <v>543</v>
      </c>
      <c r="E3094" s="26" t="str">
        <f>IFERROR(VLOOKUP(G3094,WholesaleExtract!B:J,9,FALSE),"")</f>
        <v/>
      </c>
      <c r="F3094" s="26" t="str">
        <f>IFERROR(VLOOKUP(G3094,WholesaleExtract!B:J,6,FALSE),"")</f>
        <v/>
      </c>
      <c r="H3094" s="47" t="str">
        <f>IFERROR(VLOOKUP(G3094,WholesaleExtract!B:L,11,FALSE),"")</f>
        <v/>
      </c>
      <c r="I3094" s="26" t="str">
        <f>IFERROR(VLOOKUP(G3094,WholesaleExtract!B:O,8,FALSE),"")</f>
        <v/>
      </c>
      <c r="J3094" s="26" t="str">
        <f>IFERROR(VLOOKUP(G3094,WholesaleExtract!B:O,14,FALSE),"")</f>
        <v/>
      </c>
      <c r="K3094" s="26" t="str">
        <f>IFERROR(VLOOKUP(G3094,WholesaleExtract!B:K,10,FALSE),"")</f>
        <v/>
      </c>
      <c r="L3094" s="47" t="str">
        <f>IFERROR(VLOOKUP(G3094,WholesaleExtract!B:L,11,FALSE),"")</f>
        <v/>
      </c>
      <c r="M3094" s="47" t="str">
        <f>IFERROR(VLOOKUP(G3094,WholesaleExtract!B:M,12,FALSE),"")</f>
        <v/>
      </c>
      <c r="R3094" s="19"/>
      <c r="S3094" s="19"/>
    </row>
    <row r="3095" spans="1:19" x14ac:dyDescent="0.35">
      <c r="A3095" s="26" t="s">
        <v>543</v>
      </c>
      <c r="B3095" s="26" t="s">
        <v>543</v>
      </c>
      <c r="C3095" s="26"/>
      <c r="D3095" s="26" t="s">
        <v>543</v>
      </c>
      <c r="E3095" s="26" t="str">
        <f>IFERROR(VLOOKUP(G3095,WholesaleExtract!B:J,9,FALSE),"")</f>
        <v/>
      </c>
      <c r="F3095" s="26" t="str">
        <f>IFERROR(VLOOKUP(G3095,WholesaleExtract!B:J,6,FALSE),"")</f>
        <v/>
      </c>
      <c r="H3095" s="47" t="str">
        <f>IFERROR(VLOOKUP(G3095,WholesaleExtract!B:L,11,FALSE),"")</f>
        <v/>
      </c>
      <c r="I3095" s="26" t="str">
        <f>IFERROR(VLOOKUP(G3095,WholesaleExtract!B:O,8,FALSE),"")</f>
        <v/>
      </c>
      <c r="J3095" s="26" t="str">
        <f>IFERROR(VLOOKUP(G3095,WholesaleExtract!B:O,14,FALSE),"")</f>
        <v/>
      </c>
      <c r="K3095" s="26" t="str">
        <f>IFERROR(VLOOKUP(G3095,WholesaleExtract!B:K,10,FALSE),"")</f>
        <v/>
      </c>
      <c r="L3095" s="47" t="str">
        <f>IFERROR(VLOOKUP(G3095,WholesaleExtract!B:L,11,FALSE),"")</f>
        <v/>
      </c>
      <c r="M3095" s="47" t="str">
        <f>IFERROR(VLOOKUP(G3095,WholesaleExtract!B:M,12,FALSE),"")</f>
        <v/>
      </c>
      <c r="R3095" s="19"/>
      <c r="S3095" s="19"/>
    </row>
    <row r="3096" spans="1:19" x14ac:dyDescent="0.35">
      <c r="A3096" s="26" t="s">
        <v>543</v>
      </c>
      <c r="B3096" s="26" t="s">
        <v>543</v>
      </c>
      <c r="C3096" s="26"/>
      <c r="D3096" s="26" t="s">
        <v>543</v>
      </c>
      <c r="E3096" s="26" t="str">
        <f>IFERROR(VLOOKUP(G3096,WholesaleExtract!B:J,9,FALSE),"")</f>
        <v/>
      </c>
      <c r="F3096" s="26" t="str">
        <f>IFERROR(VLOOKUP(G3096,WholesaleExtract!B:J,6,FALSE),"")</f>
        <v/>
      </c>
      <c r="H3096" s="47" t="str">
        <f>IFERROR(VLOOKUP(G3096,WholesaleExtract!B:L,11,FALSE),"")</f>
        <v/>
      </c>
      <c r="I3096" s="26" t="str">
        <f>IFERROR(VLOOKUP(G3096,WholesaleExtract!B:O,8,FALSE),"")</f>
        <v/>
      </c>
      <c r="J3096" s="26" t="str">
        <f>IFERROR(VLOOKUP(G3096,WholesaleExtract!B:O,14,FALSE),"")</f>
        <v/>
      </c>
      <c r="K3096" s="26" t="str">
        <f>IFERROR(VLOOKUP(G3096,WholesaleExtract!B:K,10,FALSE),"")</f>
        <v/>
      </c>
      <c r="L3096" s="47" t="str">
        <f>IFERROR(VLOOKUP(G3096,WholesaleExtract!B:L,11,FALSE),"")</f>
        <v/>
      </c>
      <c r="M3096" s="47" t="str">
        <f>IFERROR(VLOOKUP(G3096,WholesaleExtract!B:M,12,FALSE),"")</f>
        <v/>
      </c>
      <c r="R3096" s="19"/>
      <c r="S3096" s="19"/>
    </row>
    <row r="3097" spans="1:19" x14ac:dyDescent="0.35">
      <c r="A3097" s="26" t="s">
        <v>543</v>
      </c>
      <c r="B3097" s="26" t="s">
        <v>543</v>
      </c>
      <c r="C3097" s="26"/>
      <c r="D3097" s="26" t="s">
        <v>543</v>
      </c>
      <c r="E3097" s="26" t="str">
        <f>IFERROR(VLOOKUP(G3097,WholesaleExtract!B:J,9,FALSE),"")</f>
        <v/>
      </c>
      <c r="F3097" s="26" t="str">
        <f>IFERROR(VLOOKUP(G3097,WholesaleExtract!B:J,6,FALSE),"")</f>
        <v/>
      </c>
      <c r="H3097" s="47" t="str">
        <f>IFERROR(VLOOKUP(G3097,WholesaleExtract!B:L,11,FALSE),"")</f>
        <v/>
      </c>
      <c r="I3097" s="26" t="str">
        <f>IFERROR(VLOOKUP(G3097,WholesaleExtract!B:O,8,FALSE),"")</f>
        <v/>
      </c>
      <c r="J3097" s="26" t="str">
        <f>IFERROR(VLOOKUP(G3097,WholesaleExtract!B:O,14,FALSE),"")</f>
        <v/>
      </c>
      <c r="K3097" s="26" t="str">
        <f>IFERROR(VLOOKUP(G3097,WholesaleExtract!B:K,10,FALSE),"")</f>
        <v/>
      </c>
      <c r="L3097" s="47" t="str">
        <f>IFERROR(VLOOKUP(G3097,WholesaleExtract!B:L,11,FALSE),"")</f>
        <v/>
      </c>
      <c r="M3097" s="47" t="str">
        <f>IFERROR(VLOOKUP(G3097,WholesaleExtract!B:M,12,FALSE),"")</f>
        <v/>
      </c>
      <c r="R3097" s="19"/>
      <c r="S3097" s="19"/>
    </row>
    <row r="3098" spans="1:19" x14ac:dyDescent="0.35">
      <c r="A3098" s="26" t="s">
        <v>543</v>
      </c>
      <c r="B3098" s="26" t="s">
        <v>543</v>
      </c>
      <c r="C3098" s="26"/>
      <c r="D3098" s="26" t="s">
        <v>543</v>
      </c>
      <c r="E3098" s="26" t="str">
        <f>IFERROR(VLOOKUP(G3098,WholesaleExtract!B:J,9,FALSE),"")</f>
        <v/>
      </c>
      <c r="F3098" s="26" t="str">
        <f>IFERROR(VLOOKUP(G3098,WholesaleExtract!B:J,6,FALSE),"")</f>
        <v/>
      </c>
      <c r="H3098" s="47" t="str">
        <f>IFERROR(VLOOKUP(G3098,WholesaleExtract!B:L,11,FALSE),"")</f>
        <v/>
      </c>
      <c r="I3098" s="26" t="str">
        <f>IFERROR(VLOOKUP(G3098,WholesaleExtract!B:O,8,FALSE),"")</f>
        <v/>
      </c>
      <c r="J3098" s="26" t="str">
        <f>IFERROR(VLOOKUP(G3098,WholesaleExtract!B:O,14,FALSE),"")</f>
        <v/>
      </c>
      <c r="K3098" s="26" t="str">
        <f>IFERROR(VLOOKUP(G3098,WholesaleExtract!B:K,10,FALSE),"")</f>
        <v/>
      </c>
      <c r="L3098" s="47" t="str">
        <f>IFERROR(VLOOKUP(G3098,WholesaleExtract!B:L,11,FALSE),"")</f>
        <v/>
      </c>
      <c r="M3098" s="47" t="str">
        <f>IFERROR(VLOOKUP(G3098,WholesaleExtract!B:M,12,FALSE),"")</f>
        <v/>
      </c>
      <c r="R3098" s="19"/>
      <c r="S3098" s="19"/>
    </row>
    <row r="3099" spans="1:19" x14ac:dyDescent="0.35">
      <c r="A3099" s="26" t="s">
        <v>543</v>
      </c>
      <c r="B3099" s="26" t="s">
        <v>543</v>
      </c>
      <c r="C3099" s="26"/>
      <c r="D3099" s="26" t="s">
        <v>543</v>
      </c>
      <c r="E3099" s="26" t="str">
        <f>IFERROR(VLOOKUP(G3099,WholesaleExtract!B:J,9,FALSE),"")</f>
        <v/>
      </c>
      <c r="F3099" s="26" t="str">
        <f>IFERROR(VLOOKUP(G3099,WholesaleExtract!B:J,6,FALSE),"")</f>
        <v/>
      </c>
      <c r="H3099" s="47" t="str">
        <f>IFERROR(VLOOKUP(G3099,WholesaleExtract!B:L,11,FALSE),"")</f>
        <v/>
      </c>
      <c r="I3099" s="26" t="str">
        <f>IFERROR(VLOOKUP(G3099,WholesaleExtract!B:O,8,FALSE),"")</f>
        <v/>
      </c>
      <c r="J3099" s="26" t="str">
        <f>IFERROR(VLOOKUP(G3099,WholesaleExtract!B:O,14,FALSE),"")</f>
        <v/>
      </c>
      <c r="K3099" s="26" t="str">
        <f>IFERROR(VLOOKUP(G3099,WholesaleExtract!B:K,10,FALSE),"")</f>
        <v/>
      </c>
      <c r="L3099" s="47" t="str">
        <f>IFERROR(VLOOKUP(G3099,WholesaleExtract!B:L,11,FALSE),"")</f>
        <v/>
      </c>
      <c r="M3099" s="47" t="str">
        <f>IFERROR(VLOOKUP(G3099,WholesaleExtract!B:M,12,FALSE),"")</f>
        <v/>
      </c>
      <c r="R3099" s="19"/>
      <c r="S3099" s="19"/>
    </row>
    <row r="3100" spans="1:19" x14ac:dyDescent="0.35">
      <c r="A3100" s="26" t="s">
        <v>543</v>
      </c>
      <c r="B3100" s="26" t="s">
        <v>543</v>
      </c>
      <c r="C3100" s="26"/>
      <c r="D3100" s="26" t="s">
        <v>543</v>
      </c>
      <c r="E3100" s="26" t="str">
        <f>IFERROR(VLOOKUP(G3100,WholesaleExtract!B:J,9,FALSE),"")</f>
        <v/>
      </c>
      <c r="F3100" s="26" t="str">
        <f>IFERROR(VLOOKUP(G3100,WholesaleExtract!B:J,6,FALSE),"")</f>
        <v/>
      </c>
      <c r="H3100" s="47" t="str">
        <f>IFERROR(VLOOKUP(G3100,WholesaleExtract!B:L,11,FALSE),"")</f>
        <v/>
      </c>
      <c r="I3100" s="26" t="str">
        <f>IFERROR(VLOOKUP(G3100,WholesaleExtract!B:O,8,FALSE),"")</f>
        <v/>
      </c>
      <c r="J3100" s="26" t="str">
        <f>IFERROR(VLOOKUP(G3100,WholesaleExtract!B:O,14,FALSE),"")</f>
        <v/>
      </c>
      <c r="K3100" s="26" t="str">
        <f>IFERROR(VLOOKUP(G3100,WholesaleExtract!B:K,10,FALSE),"")</f>
        <v/>
      </c>
      <c r="L3100" s="47" t="str">
        <f>IFERROR(VLOOKUP(G3100,WholesaleExtract!B:L,11,FALSE),"")</f>
        <v/>
      </c>
      <c r="M3100" s="47" t="str">
        <f>IFERROR(VLOOKUP(G3100,WholesaleExtract!B:M,12,FALSE),"")</f>
        <v/>
      </c>
      <c r="R3100" s="19"/>
      <c r="S3100" s="19"/>
    </row>
    <row r="3101" spans="1:19" x14ac:dyDescent="0.35">
      <c r="A3101" s="26" t="s">
        <v>543</v>
      </c>
      <c r="B3101" s="26" t="s">
        <v>543</v>
      </c>
      <c r="C3101" s="26"/>
      <c r="D3101" s="26" t="s">
        <v>543</v>
      </c>
      <c r="E3101" s="26" t="str">
        <f>IFERROR(VLOOKUP(G3101,WholesaleExtract!B:J,9,FALSE),"")</f>
        <v/>
      </c>
      <c r="F3101" s="26" t="str">
        <f>IFERROR(VLOOKUP(G3101,WholesaleExtract!B:J,6,FALSE),"")</f>
        <v/>
      </c>
      <c r="H3101" s="47" t="str">
        <f>IFERROR(VLOOKUP(G3101,WholesaleExtract!B:L,11,FALSE),"")</f>
        <v/>
      </c>
      <c r="I3101" s="26" t="str">
        <f>IFERROR(VLOOKUP(G3101,WholesaleExtract!B:O,8,FALSE),"")</f>
        <v/>
      </c>
      <c r="J3101" s="26" t="str">
        <f>IFERROR(VLOOKUP(G3101,WholesaleExtract!B:O,14,FALSE),"")</f>
        <v/>
      </c>
      <c r="K3101" s="26" t="str">
        <f>IFERROR(VLOOKUP(G3101,WholesaleExtract!B:K,10,FALSE),"")</f>
        <v/>
      </c>
      <c r="L3101" s="47" t="str">
        <f>IFERROR(VLOOKUP(G3101,WholesaleExtract!B:L,11,FALSE),"")</f>
        <v/>
      </c>
      <c r="M3101" s="47" t="str">
        <f>IFERROR(VLOOKUP(G3101,WholesaleExtract!B:M,12,FALSE),"")</f>
        <v/>
      </c>
      <c r="R3101" s="19"/>
      <c r="S3101" s="19"/>
    </row>
    <row r="3102" spans="1:19" x14ac:dyDescent="0.35">
      <c r="A3102" s="26" t="s">
        <v>543</v>
      </c>
      <c r="B3102" s="26" t="s">
        <v>543</v>
      </c>
      <c r="C3102" s="26"/>
      <c r="D3102" s="26" t="s">
        <v>543</v>
      </c>
      <c r="E3102" s="26" t="str">
        <f>IFERROR(VLOOKUP(G3102,WholesaleExtract!B:J,9,FALSE),"")</f>
        <v/>
      </c>
      <c r="F3102" s="26" t="str">
        <f>IFERROR(VLOOKUP(G3102,WholesaleExtract!B:J,6,FALSE),"")</f>
        <v/>
      </c>
      <c r="H3102" s="47" t="str">
        <f>IFERROR(VLOOKUP(G3102,WholesaleExtract!B:L,11,FALSE),"")</f>
        <v/>
      </c>
      <c r="I3102" s="26" t="str">
        <f>IFERROR(VLOOKUP(G3102,WholesaleExtract!B:O,8,FALSE),"")</f>
        <v/>
      </c>
      <c r="J3102" s="26" t="str">
        <f>IFERROR(VLOOKUP(G3102,WholesaleExtract!B:O,14,FALSE),"")</f>
        <v/>
      </c>
      <c r="K3102" s="26" t="str">
        <f>IFERROR(VLOOKUP(G3102,WholesaleExtract!B:K,10,FALSE),"")</f>
        <v/>
      </c>
      <c r="L3102" s="47" t="str">
        <f>IFERROR(VLOOKUP(G3102,WholesaleExtract!B:L,11,FALSE),"")</f>
        <v/>
      </c>
      <c r="M3102" s="47" t="str">
        <f>IFERROR(VLOOKUP(G3102,WholesaleExtract!B:M,12,FALSE),"")</f>
        <v/>
      </c>
      <c r="R3102" s="19"/>
      <c r="S3102" s="19"/>
    </row>
    <row r="3103" spans="1:19" x14ac:dyDescent="0.35">
      <c r="A3103" s="26" t="s">
        <v>543</v>
      </c>
      <c r="B3103" s="26" t="s">
        <v>543</v>
      </c>
      <c r="C3103" s="26"/>
      <c r="D3103" s="26" t="s">
        <v>543</v>
      </c>
      <c r="E3103" s="26" t="str">
        <f>IFERROR(VLOOKUP(G3103,WholesaleExtract!B:J,9,FALSE),"")</f>
        <v/>
      </c>
      <c r="F3103" s="26" t="str">
        <f>IFERROR(VLOOKUP(G3103,WholesaleExtract!B:J,6,FALSE),"")</f>
        <v/>
      </c>
      <c r="H3103" s="47" t="str">
        <f>IFERROR(VLOOKUP(G3103,WholesaleExtract!B:L,11,FALSE),"")</f>
        <v/>
      </c>
      <c r="I3103" s="26" t="str">
        <f>IFERROR(VLOOKUP(G3103,WholesaleExtract!B:O,8,FALSE),"")</f>
        <v/>
      </c>
      <c r="J3103" s="26" t="str">
        <f>IFERROR(VLOOKUP(G3103,WholesaleExtract!B:O,14,FALSE),"")</f>
        <v/>
      </c>
      <c r="K3103" s="26" t="str">
        <f>IFERROR(VLOOKUP(G3103,WholesaleExtract!B:K,10,FALSE),"")</f>
        <v/>
      </c>
      <c r="L3103" s="47" t="str">
        <f>IFERROR(VLOOKUP(G3103,WholesaleExtract!B:L,11,FALSE),"")</f>
        <v/>
      </c>
      <c r="M3103" s="47" t="str">
        <f>IFERROR(VLOOKUP(G3103,WholesaleExtract!B:M,12,FALSE),"")</f>
        <v/>
      </c>
      <c r="R3103" s="19"/>
      <c r="S3103" s="19"/>
    </row>
    <row r="3104" spans="1:19" x14ac:dyDescent="0.35">
      <c r="A3104" s="26" t="s">
        <v>543</v>
      </c>
      <c r="B3104" s="26" t="s">
        <v>543</v>
      </c>
      <c r="C3104" s="26"/>
      <c r="D3104" s="26" t="s">
        <v>543</v>
      </c>
      <c r="E3104" s="26" t="str">
        <f>IFERROR(VLOOKUP(G3104,WholesaleExtract!B:J,9,FALSE),"")</f>
        <v/>
      </c>
      <c r="F3104" s="26" t="str">
        <f>IFERROR(VLOOKUP(G3104,WholesaleExtract!B:J,6,FALSE),"")</f>
        <v/>
      </c>
      <c r="H3104" s="47" t="str">
        <f>IFERROR(VLOOKUP(G3104,WholesaleExtract!B:L,11,FALSE),"")</f>
        <v/>
      </c>
      <c r="I3104" s="26" t="str">
        <f>IFERROR(VLOOKUP(G3104,WholesaleExtract!B:O,8,FALSE),"")</f>
        <v/>
      </c>
      <c r="J3104" s="26" t="str">
        <f>IFERROR(VLOOKUP(G3104,WholesaleExtract!B:O,14,FALSE),"")</f>
        <v/>
      </c>
      <c r="K3104" s="26" t="str">
        <f>IFERROR(VLOOKUP(G3104,WholesaleExtract!B:K,10,FALSE),"")</f>
        <v/>
      </c>
      <c r="L3104" s="47" t="str">
        <f>IFERROR(VLOOKUP(G3104,WholesaleExtract!B:L,11,FALSE),"")</f>
        <v/>
      </c>
      <c r="M3104" s="47" t="str">
        <f>IFERROR(VLOOKUP(G3104,WholesaleExtract!B:M,12,FALSE),"")</f>
        <v/>
      </c>
      <c r="R3104" s="19"/>
      <c r="S3104" s="19"/>
    </row>
    <row r="3105" spans="1:19" x14ac:dyDescent="0.35">
      <c r="A3105" s="26" t="s">
        <v>543</v>
      </c>
      <c r="B3105" s="26" t="s">
        <v>543</v>
      </c>
      <c r="C3105" s="26"/>
      <c r="D3105" s="26" t="s">
        <v>543</v>
      </c>
      <c r="E3105" s="26" t="str">
        <f>IFERROR(VLOOKUP(G3105,WholesaleExtract!B:J,9,FALSE),"")</f>
        <v/>
      </c>
      <c r="F3105" s="26" t="str">
        <f>IFERROR(VLOOKUP(G3105,WholesaleExtract!B:J,6,FALSE),"")</f>
        <v/>
      </c>
      <c r="H3105" s="47" t="str">
        <f>IFERROR(VLOOKUP(G3105,WholesaleExtract!B:L,11,FALSE),"")</f>
        <v/>
      </c>
      <c r="I3105" s="26" t="str">
        <f>IFERROR(VLOOKUP(G3105,WholesaleExtract!B:O,8,FALSE),"")</f>
        <v/>
      </c>
      <c r="J3105" s="26" t="str">
        <f>IFERROR(VLOOKUP(G3105,WholesaleExtract!B:O,14,FALSE),"")</f>
        <v/>
      </c>
      <c r="K3105" s="26" t="str">
        <f>IFERROR(VLOOKUP(G3105,WholesaleExtract!B:K,10,FALSE),"")</f>
        <v/>
      </c>
      <c r="L3105" s="47" t="str">
        <f>IFERROR(VLOOKUP(G3105,WholesaleExtract!B:L,11,FALSE),"")</f>
        <v/>
      </c>
      <c r="M3105" s="47" t="str">
        <f>IFERROR(VLOOKUP(G3105,WholesaleExtract!B:M,12,FALSE),"")</f>
        <v/>
      </c>
      <c r="R3105" s="19"/>
      <c r="S3105" s="19"/>
    </row>
    <row r="3106" spans="1:19" x14ac:dyDescent="0.35">
      <c r="A3106" s="26" t="s">
        <v>543</v>
      </c>
      <c r="B3106" s="26" t="s">
        <v>543</v>
      </c>
      <c r="C3106" s="26"/>
      <c r="D3106" s="26" t="s">
        <v>543</v>
      </c>
      <c r="E3106" s="26" t="str">
        <f>IFERROR(VLOOKUP(G3106,WholesaleExtract!B:J,9,FALSE),"")</f>
        <v/>
      </c>
      <c r="F3106" s="26" t="str">
        <f>IFERROR(VLOOKUP(G3106,WholesaleExtract!B:J,6,FALSE),"")</f>
        <v/>
      </c>
      <c r="H3106" s="47" t="str">
        <f>IFERROR(VLOOKUP(G3106,WholesaleExtract!B:L,11,FALSE),"")</f>
        <v/>
      </c>
      <c r="I3106" s="26" t="str">
        <f>IFERROR(VLOOKUP(G3106,WholesaleExtract!B:O,8,FALSE),"")</f>
        <v/>
      </c>
      <c r="J3106" s="26" t="str">
        <f>IFERROR(VLOOKUP(G3106,WholesaleExtract!B:O,14,FALSE),"")</f>
        <v/>
      </c>
      <c r="K3106" s="26" t="str">
        <f>IFERROR(VLOOKUP(G3106,WholesaleExtract!B:K,10,FALSE),"")</f>
        <v/>
      </c>
      <c r="L3106" s="47" t="str">
        <f>IFERROR(VLOOKUP(G3106,WholesaleExtract!B:L,11,FALSE),"")</f>
        <v/>
      </c>
      <c r="M3106" s="47" t="str">
        <f>IFERROR(VLOOKUP(G3106,WholesaleExtract!B:M,12,FALSE),"")</f>
        <v/>
      </c>
      <c r="R3106" s="19"/>
      <c r="S3106" s="19"/>
    </row>
    <row r="3107" spans="1:19" x14ac:dyDescent="0.35">
      <c r="A3107" s="26" t="s">
        <v>543</v>
      </c>
      <c r="B3107" s="26" t="s">
        <v>543</v>
      </c>
      <c r="C3107" s="26"/>
      <c r="D3107" s="26" t="s">
        <v>543</v>
      </c>
      <c r="E3107" s="26" t="str">
        <f>IFERROR(VLOOKUP(G3107,WholesaleExtract!B:J,9,FALSE),"")</f>
        <v/>
      </c>
      <c r="F3107" s="26" t="str">
        <f>IFERROR(VLOOKUP(G3107,WholesaleExtract!B:J,6,FALSE),"")</f>
        <v/>
      </c>
      <c r="H3107" s="47" t="str">
        <f>IFERROR(VLOOKUP(G3107,WholesaleExtract!B:L,11,FALSE),"")</f>
        <v/>
      </c>
      <c r="I3107" s="26" t="str">
        <f>IFERROR(VLOOKUP(G3107,WholesaleExtract!B:O,8,FALSE),"")</f>
        <v/>
      </c>
      <c r="J3107" s="26" t="str">
        <f>IFERROR(VLOOKUP(G3107,WholesaleExtract!B:O,14,FALSE),"")</f>
        <v/>
      </c>
      <c r="K3107" s="26" t="str">
        <f>IFERROR(VLOOKUP(G3107,WholesaleExtract!B:K,10,FALSE),"")</f>
        <v/>
      </c>
      <c r="L3107" s="47" t="str">
        <f>IFERROR(VLOOKUP(G3107,WholesaleExtract!B:L,11,FALSE),"")</f>
        <v/>
      </c>
      <c r="M3107" s="47" t="str">
        <f>IFERROR(VLOOKUP(G3107,WholesaleExtract!B:M,12,FALSE),"")</f>
        <v/>
      </c>
      <c r="R3107" s="19"/>
      <c r="S3107" s="19"/>
    </row>
    <row r="3108" spans="1:19" x14ac:dyDescent="0.35">
      <c r="A3108" s="26" t="s">
        <v>543</v>
      </c>
      <c r="B3108" s="26" t="s">
        <v>543</v>
      </c>
      <c r="C3108" s="26"/>
      <c r="D3108" s="26" t="s">
        <v>543</v>
      </c>
      <c r="E3108" s="26" t="str">
        <f>IFERROR(VLOOKUP(G3108,WholesaleExtract!B:J,9,FALSE),"")</f>
        <v/>
      </c>
      <c r="F3108" s="26" t="str">
        <f>IFERROR(VLOOKUP(G3108,WholesaleExtract!B:J,6,FALSE),"")</f>
        <v/>
      </c>
      <c r="H3108" s="47" t="str">
        <f>IFERROR(VLOOKUP(G3108,WholesaleExtract!B:L,11,FALSE),"")</f>
        <v/>
      </c>
      <c r="I3108" s="26" t="str">
        <f>IFERROR(VLOOKUP(G3108,WholesaleExtract!B:O,8,FALSE),"")</f>
        <v/>
      </c>
      <c r="J3108" s="26" t="str">
        <f>IFERROR(VLOOKUP(G3108,WholesaleExtract!B:O,14,FALSE),"")</f>
        <v/>
      </c>
      <c r="K3108" s="26" t="str">
        <f>IFERROR(VLOOKUP(G3108,WholesaleExtract!B:K,10,FALSE),"")</f>
        <v/>
      </c>
      <c r="L3108" s="47" t="str">
        <f>IFERROR(VLOOKUP(G3108,WholesaleExtract!B:L,11,FALSE),"")</f>
        <v/>
      </c>
      <c r="M3108" s="47" t="str">
        <f>IFERROR(VLOOKUP(G3108,WholesaleExtract!B:M,12,FALSE),"")</f>
        <v/>
      </c>
      <c r="R3108" s="19"/>
      <c r="S3108" s="19"/>
    </row>
    <row r="3109" spans="1:19" x14ac:dyDescent="0.35">
      <c r="A3109" s="26" t="s">
        <v>543</v>
      </c>
      <c r="B3109" s="26" t="s">
        <v>543</v>
      </c>
      <c r="C3109" s="26"/>
      <c r="D3109" s="26" t="s">
        <v>543</v>
      </c>
      <c r="E3109" s="26" t="str">
        <f>IFERROR(VLOOKUP(G3109,WholesaleExtract!B:J,9,FALSE),"")</f>
        <v/>
      </c>
      <c r="F3109" s="26" t="str">
        <f>IFERROR(VLOOKUP(G3109,WholesaleExtract!B:J,6,FALSE),"")</f>
        <v/>
      </c>
      <c r="H3109" s="47" t="str">
        <f>IFERROR(VLOOKUP(G3109,WholesaleExtract!B:L,11,FALSE),"")</f>
        <v/>
      </c>
      <c r="I3109" s="26" t="str">
        <f>IFERROR(VLOOKUP(G3109,WholesaleExtract!B:O,8,FALSE),"")</f>
        <v/>
      </c>
      <c r="J3109" s="26" t="str">
        <f>IFERROR(VLOOKUP(G3109,WholesaleExtract!B:O,14,FALSE),"")</f>
        <v/>
      </c>
      <c r="K3109" s="26" t="str">
        <f>IFERROR(VLOOKUP(G3109,WholesaleExtract!B:K,10,FALSE),"")</f>
        <v/>
      </c>
      <c r="L3109" s="47" t="str">
        <f>IFERROR(VLOOKUP(G3109,WholesaleExtract!B:L,11,FALSE),"")</f>
        <v/>
      </c>
      <c r="M3109" s="47" t="str">
        <f>IFERROR(VLOOKUP(G3109,WholesaleExtract!B:M,12,FALSE),"")</f>
        <v/>
      </c>
      <c r="R3109" s="19"/>
      <c r="S3109" s="19"/>
    </row>
    <row r="3110" spans="1:19" x14ac:dyDescent="0.35">
      <c r="A3110" s="26" t="s">
        <v>543</v>
      </c>
      <c r="B3110" s="26" t="s">
        <v>543</v>
      </c>
      <c r="C3110" s="26"/>
      <c r="D3110" s="26" t="s">
        <v>543</v>
      </c>
      <c r="E3110" s="26" t="str">
        <f>IFERROR(VLOOKUP(G3110,WholesaleExtract!B:J,9,FALSE),"")</f>
        <v/>
      </c>
      <c r="F3110" s="26" t="str">
        <f>IFERROR(VLOOKUP(G3110,WholesaleExtract!B:J,6,FALSE),"")</f>
        <v/>
      </c>
      <c r="H3110" s="47" t="str">
        <f>IFERROR(VLOOKUP(G3110,WholesaleExtract!B:L,11,FALSE),"")</f>
        <v/>
      </c>
      <c r="I3110" s="26" t="str">
        <f>IFERROR(VLOOKUP(G3110,WholesaleExtract!B:O,8,FALSE),"")</f>
        <v/>
      </c>
      <c r="J3110" s="26" t="str">
        <f>IFERROR(VLOOKUP(G3110,WholesaleExtract!B:O,14,FALSE),"")</f>
        <v/>
      </c>
      <c r="K3110" s="26" t="str">
        <f>IFERROR(VLOOKUP(G3110,WholesaleExtract!B:K,10,FALSE),"")</f>
        <v/>
      </c>
      <c r="L3110" s="47" t="str">
        <f>IFERROR(VLOOKUP(G3110,WholesaleExtract!B:L,11,FALSE),"")</f>
        <v/>
      </c>
      <c r="M3110" s="47" t="str">
        <f>IFERROR(VLOOKUP(G3110,WholesaleExtract!B:M,12,FALSE),"")</f>
        <v/>
      </c>
      <c r="R3110" s="19"/>
      <c r="S3110" s="19"/>
    </row>
    <row r="3111" spans="1:19" x14ac:dyDescent="0.35">
      <c r="A3111" s="26" t="s">
        <v>543</v>
      </c>
      <c r="B3111" s="26" t="s">
        <v>543</v>
      </c>
      <c r="C3111" s="26"/>
      <c r="D3111" s="26" t="s">
        <v>543</v>
      </c>
      <c r="E3111" s="26" t="str">
        <f>IFERROR(VLOOKUP(G3111,WholesaleExtract!B:J,9,FALSE),"")</f>
        <v/>
      </c>
      <c r="F3111" s="26" t="str">
        <f>IFERROR(VLOOKUP(G3111,WholesaleExtract!B:J,6,FALSE),"")</f>
        <v/>
      </c>
      <c r="H3111" s="47" t="str">
        <f>IFERROR(VLOOKUP(G3111,WholesaleExtract!B:L,11,FALSE),"")</f>
        <v/>
      </c>
      <c r="I3111" s="26" t="str">
        <f>IFERROR(VLOOKUP(G3111,WholesaleExtract!B:O,8,FALSE),"")</f>
        <v/>
      </c>
      <c r="J3111" s="26" t="str">
        <f>IFERROR(VLOOKUP(G3111,WholesaleExtract!B:O,14,FALSE),"")</f>
        <v/>
      </c>
      <c r="K3111" s="26" t="str">
        <f>IFERROR(VLOOKUP(G3111,WholesaleExtract!B:K,10,FALSE),"")</f>
        <v/>
      </c>
      <c r="L3111" s="47" t="str">
        <f>IFERROR(VLOOKUP(G3111,WholesaleExtract!B:L,11,FALSE),"")</f>
        <v/>
      </c>
      <c r="M3111" s="47" t="str">
        <f>IFERROR(VLOOKUP(G3111,WholesaleExtract!B:M,12,FALSE),"")</f>
        <v/>
      </c>
      <c r="R3111" s="19"/>
      <c r="S3111" s="19"/>
    </row>
    <row r="3112" spans="1:19" x14ac:dyDescent="0.35">
      <c r="A3112" s="26" t="s">
        <v>543</v>
      </c>
      <c r="B3112" s="26" t="s">
        <v>543</v>
      </c>
      <c r="C3112" s="26"/>
      <c r="D3112" s="26" t="s">
        <v>543</v>
      </c>
      <c r="E3112" s="26" t="str">
        <f>IFERROR(VLOOKUP(G3112,WholesaleExtract!B:J,9,FALSE),"")</f>
        <v/>
      </c>
      <c r="F3112" s="26" t="str">
        <f>IFERROR(VLOOKUP(G3112,WholesaleExtract!B:J,6,FALSE),"")</f>
        <v/>
      </c>
      <c r="H3112" s="47" t="str">
        <f>IFERROR(VLOOKUP(G3112,WholesaleExtract!B:L,11,FALSE),"")</f>
        <v/>
      </c>
      <c r="I3112" s="26" t="str">
        <f>IFERROR(VLOOKUP(G3112,WholesaleExtract!B:O,8,FALSE),"")</f>
        <v/>
      </c>
      <c r="J3112" s="26" t="str">
        <f>IFERROR(VLOOKUP(G3112,WholesaleExtract!B:O,14,FALSE),"")</f>
        <v/>
      </c>
      <c r="K3112" s="26" t="str">
        <f>IFERROR(VLOOKUP(G3112,WholesaleExtract!B:K,10,FALSE),"")</f>
        <v/>
      </c>
      <c r="L3112" s="47" t="str">
        <f>IFERROR(VLOOKUP(G3112,WholesaleExtract!B:L,11,FALSE),"")</f>
        <v/>
      </c>
      <c r="M3112" s="47" t="str">
        <f>IFERROR(VLOOKUP(G3112,WholesaleExtract!B:M,12,FALSE),"")</f>
        <v/>
      </c>
      <c r="R3112" s="19"/>
      <c r="S3112" s="19"/>
    </row>
    <row r="3113" spans="1:19" x14ac:dyDescent="0.35">
      <c r="A3113" s="26" t="s">
        <v>543</v>
      </c>
      <c r="B3113" s="26" t="s">
        <v>543</v>
      </c>
      <c r="C3113" s="26"/>
      <c r="D3113" s="26" t="s">
        <v>543</v>
      </c>
      <c r="E3113" s="26" t="str">
        <f>IFERROR(VLOOKUP(G3113,WholesaleExtract!B:J,9,FALSE),"")</f>
        <v/>
      </c>
      <c r="F3113" s="26" t="str">
        <f>IFERROR(VLOOKUP(G3113,WholesaleExtract!B:J,6,FALSE),"")</f>
        <v/>
      </c>
      <c r="H3113" s="47" t="str">
        <f>IFERROR(VLOOKUP(G3113,WholesaleExtract!B:L,11,FALSE),"")</f>
        <v/>
      </c>
      <c r="I3113" s="26" t="str">
        <f>IFERROR(VLOOKUP(G3113,WholesaleExtract!B:O,8,FALSE),"")</f>
        <v/>
      </c>
      <c r="J3113" s="26" t="str">
        <f>IFERROR(VLOOKUP(G3113,WholesaleExtract!B:O,14,FALSE),"")</f>
        <v/>
      </c>
      <c r="K3113" s="26" t="str">
        <f>IFERROR(VLOOKUP(G3113,WholesaleExtract!B:K,10,FALSE),"")</f>
        <v/>
      </c>
      <c r="L3113" s="47" t="str">
        <f>IFERROR(VLOOKUP(G3113,WholesaleExtract!B:L,11,FALSE),"")</f>
        <v/>
      </c>
      <c r="M3113" s="47" t="str">
        <f>IFERROR(VLOOKUP(G3113,WholesaleExtract!B:M,12,FALSE),"")</f>
        <v/>
      </c>
      <c r="R3113" s="19"/>
      <c r="S3113" s="19"/>
    </row>
    <row r="3114" spans="1:19" x14ac:dyDescent="0.35">
      <c r="A3114" s="26" t="s">
        <v>543</v>
      </c>
      <c r="B3114" s="26" t="s">
        <v>543</v>
      </c>
      <c r="C3114" s="26"/>
      <c r="D3114" s="26" t="s">
        <v>543</v>
      </c>
      <c r="E3114" s="26" t="str">
        <f>IFERROR(VLOOKUP(G3114,WholesaleExtract!B:J,9,FALSE),"")</f>
        <v/>
      </c>
      <c r="F3114" s="26" t="str">
        <f>IFERROR(VLOOKUP(G3114,WholesaleExtract!B:J,6,FALSE),"")</f>
        <v/>
      </c>
      <c r="H3114" s="47" t="str">
        <f>IFERROR(VLOOKUP(G3114,WholesaleExtract!B:L,11,FALSE),"")</f>
        <v/>
      </c>
      <c r="I3114" s="26" t="str">
        <f>IFERROR(VLOOKUP(G3114,WholesaleExtract!B:O,8,FALSE),"")</f>
        <v/>
      </c>
      <c r="J3114" s="26" t="str">
        <f>IFERROR(VLOOKUP(G3114,WholesaleExtract!B:O,14,FALSE),"")</f>
        <v/>
      </c>
      <c r="K3114" s="26" t="str">
        <f>IFERROR(VLOOKUP(G3114,WholesaleExtract!B:K,10,FALSE),"")</f>
        <v/>
      </c>
      <c r="L3114" s="47" t="str">
        <f>IFERROR(VLOOKUP(G3114,WholesaleExtract!B:L,11,FALSE),"")</f>
        <v/>
      </c>
      <c r="M3114" s="47" t="str">
        <f>IFERROR(VLOOKUP(G3114,WholesaleExtract!B:M,12,FALSE),"")</f>
        <v/>
      </c>
      <c r="R3114" s="19"/>
      <c r="S3114" s="19"/>
    </row>
    <row r="3115" spans="1:19" x14ac:dyDescent="0.35">
      <c r="A3115" s="26" t="s">
        <v>543</v>
      </c>
      <c r="B3115" s="26" t="s">
        <v>543</v>
      </c>
      <c r="C3115" s="26"/>
      <c r="D3115" s="26" t="s">
        <v>543</v>
      </c>
      <c r="E3115" s="26" t="str">
        <f>IFERROR(VLOOKUP(G3115,WholesaleExtract!B:J,9,FALSE),"")</f>
        <v/>
      </c>
      <c r="F3115" s="26" t="str">
        <f>IFERROR(VLOOKUP(G3115,WholesaleExtract!B:J,6,FALSE),"")</f>
        <v/>
      </c>
      <c r="H3115" s="47" t="str">
        <f>IFERROR(VLOOKUP(G3115,WholesaleExtract!B:L,11,FALSE),"")</f>
        <v/>
      </c>
      <c r="I3115" s="26" t="str">
        <f>IFERROR(VLOOKUP(G3115,WholesaleExtract!B:O,8,FALSE),"")</f>
        <v/>
      </c>
      <c r="J3115" s="26" t="str">
        <f>IFERROR(VLOOKUP(G3115,WholesaleExtract!B:O,14,FALSE),"")</f>
        <v/>
      </c>
      <c r="K3115" s="26" t="str">
        <f>IFERROR(VLOOKUP(G3115,WholesaleExtract!B:K,10,FALSE),"")</f>
        <v/>
      </c>
      <c r="L3115" s="47" t="str">
        <f>IFERROR(VLOOKUP(G3115,WholesaleExtract!B:L,11,FALSE),"")</f>
        <v/>
      </c>
      <c r="M3115" s="47" t="str">
        <f>IFERROR(VLOOKUP(G3115,WholesaleExtract!B:M,12,FALSE),"")</f>
        <v/>
      </c>
      <c r="R3115" s="19"/>
      <c r="S3115" s="19"/>
    </row>
    <row r="3116" spans="1:19" x14ac:dyDescent="0.35">
      <c r="A3116" s="26" t="s">
        <v>543</v>
      </c>
      <c r="B3116" s="26" t="s">
        <v>543</v>
      </c>
      <c r="C3116" s="26"/>
      <c r="D3116" s="26" t="s">
        <v>543</v>
      </c>
      <c r="E3116" s="26" t="str">
        <f>IFERROR(VLOOKUP(G3116,WholesaleExtract!B:J,9,FALSE),"")</f>
        <v/>
      </c>
      <c r="F3116" s="26" t="str">
        <f>IFERROR(VLOOKUP(G3116,WholesaleExtract!B:J,6,FALSE),"")</f>
        <v/>
      </c>
      <c r="H3116" s="47" t="str">
        <f>IFERROR(VLOOKUP(G3116,WholesaleExtract!B:L,11,FALSE),"")</f>
        <v/>
      </c>
      <c r="I3116" s="26" t="str">
        <f>IFERROR(VLOOKUP(G3116,WholesaleExtract!B:O,8,FALSE),"")</f>
        <v/>
      </c>
      <c r="J3116" s="26" t="str">
        <f>IFERROR(VLOOKUP(G3116,WholesaleExtract!B:O,14,FALSE),"")</f>
        <v/>
      </c>
      <c r="K3116" s="26" t="str">
        <f>IFERROR(VLOOKUP(G3116,WholesaleExtract!B:K,10,FALSE),"")</f>
        <v/>
      </c>
      <c r="L3116" s="47" t="str">
        <f>IFERROR(VLOOKUP(G3116,WholesaleExtract!B:L,11,FALSE),"")</f>
        <v/>
      </c>
      <c r="M3116" s="47" t="str">
        <f>IFERROR(VLOOKUP(G3116,WholesaleExtract!B:M,12,FALSE),"")</f>
        <v/>
      </c>
      <c r="R3116" s="19"/>
      <c r="S3116" s="19"/>
    </row>
    <row r="3117" spans="1:19" x14ac:dyDescent="0.35">
      <c r="A3117" s="26" t="s">
        <v>543</v>
      </c>
      <c r="B3117" s="26" t="s">
        <v>543</v>
      </c>
      <c r="C3117" s="26"/>
      <c r="D3117" s="26" t="s">
        <v>543</v>
      </c>
      <c r="E3117" s="26" t="str">
        <f>IFERROR(VLOOKUP(G3117,WholesaleExtract!B:J,9,FALSE),"")</f>
        <v/>
      </c>
      <c r="F3117" s="26" t="str">
        <f>IFERROR(VLOOKUP(G3117,WholesaleExtract!B:J,6,FALSE),"")</f>
        <v/>
      </c>
      <c r="H3117" s="47" t="str">
        <f>IFERROR(VLOOKUP(G3117,WholesaleExtract!B:L,11,FALSE),"")</f>
        <v/>
      </c>
      <c r="I3117" s="26" t="str">
        <f>IFERROR(VLOOKUP(G3117,WholesaleExtract!B:O,8,FALSE),"")</f>
        <v/>
      </c>
      <c r="J3117" s="26" t="str">
        <f>IFERROR(VLOOKUP(G3117,WholesaleExtract!B:O,14,FALSE),"")</f>
        <v/>
      </c>
      <c r="K3117" s="26" t="str">
        <f>IFERROR(VLOOKUP(G3117,WholesaleExtract!B:K,10,FALSE),"")</f>
        <v/>
      </c>
      <c r="L3117" s="47" t="str">
        <f>IFERROR(VLOOKUP(G3117,WholesaleExtract!B:L,11,FALSE),"")</f>
        <v/>
      </c>
      <c r="M3117" s="47" t="str">
        <f>IFERROR(VLOOKUP(G3117,WholesaleExtract!B:M,12,FALSE),"")</f>
        <v/>
      </c>
      <c r="R3117" s="19"/>
      <c r="S3117" s="19"/>
    </row>
    <row r="3118" spans="1:19" x14ac:dyDescent="0.35">
      <c r="A3118" s="26" t="s">
        <v>543</v>
      </c>
      <c r="B3118" s="26" t="s">
        <v>543</v>
      </c>
      <c r="C3118" s="26"/>
      <c r="D3118" s="26" t="s">
        <v>543</v>
      </c>
      <c r="E3118" s="26" t="str">
        <f>IFERROR(VLOOKUP(G3118,WholesaleExtract!B:J,9,FALSE),"")</f>
        <v/>
      </c>
      <c r="F3118" s="26" t="str">
        <f>IFERROR(VLOOKUP(G3118,WholesaleExtract!B:J,6,FALSE),"")</f>
        <v/>
      </c>
      <c r="H3118" s="47" t="str">
        <f>IFERROR(VLOOKUP(G3118,WholesaleExtract!B:L,11,FALSE),"")</f>
        <v/>
      </c>
      <c r="I3118" s="26" t="str">
        <f>IFERROR(VLOOKUP(G3118,WholesaleExtract!B:O,8,FALSE),"")</f>
        <v/>
      </c>
      <c r="J3118" s="26" t="str">
        <f>IFERROR(VLOOKUP(G3118,WholesaleExtract!B:O,14,FALSE),"")</f>
        <v/>
      </c>
      <c r="K3118" s="26" t="str">
        <f>IFERROR(VLOOKUP(G3118,WholesaleExtract!B:K,10,FALSE),"")</f>
        <v/>
      </c>
      <c r="L3118" s="47" t="str">
        <f>IFERROR(VLOOKUP(G3118,WholesaleExtract!B:L,11,FALSE),"")</f>
        <v/>
      </c>
      <c r="M3118" s="47" t="str">
        <f>IFERROR(VLOOKUP(G3118,WholesaleExtract!B:M,12,FALSE),"")</f>
        <v/>
      </c>
      <c r="R3118" s="19"/>
      <c r="S3118" s="19"/>
    </row>
    <row r="3119" spans="1:19" x14ac:dyDescent="0.35">
      <c r="A3119" s="26" t="s">
        <v>543</v>
      </c>
      <c r="B3119" s="26" t="s">
        <v>543</v>
      </c>
      <c r="C3119" s="26"/>
      <c r="D3119" s="26" t="s">
        <v>543</v>
      </c>
      <c r="E3119" s="26" t="str">
        <f>IFERROR(VLOOKUP(G3119,WholesaleExtract!B:J,9,FALSE),"")</f>
        <v/>
      </c>
      <c r="F3119" s="26" t="str">
        <f>IFERROR(VLOOKUP(G3119,WholesaleExtract!B:J,6,FALSE),"")</f>
        <v/>
      </c>
      <c r="H3119" s="47" t="str">
        <f>IFERROR(VLOOKUP(G3119,WholesaleExtract!B:L,11,FALSE),"")</f>
        <v/>
      </c>
      <c r="I3119" s="26" t="str">
        <f>IFERROR(VLOOKUP(G3119,WholesaleExtract!B:O,8,FALSE),"")</f>
        <v/>
      </c>
      <c r="J3119" s="26" t="str">
        <f>IFERROR(VLOOKUP(G3119,WholesaleExtract!B:O,14,FALSE),"")</f>
        <v/>
      </c>
      <c r="K3119" s="26" t="str">
        <f>IFERROR(VLOOKUP(G3119,WholesaleExtract!B:K,10,FALSE),"")</f>
        <v/>
      </c>
      <c r="L3119" s="47" t="str">
        <f>IFERROR(VLOOKUP(G3119,WholesaleExtract!B:L,11,FALSE),"")</f>
        <v/>
      </c>
      <c r="M3119" s="47" t="str">
        <f>IFERROR(VLOOKUP(G3119,WholesaleExtract!B:M,12,FALSE),"")</f>
        <v/>
      </c>
      <c r="R3119" s="19"/>
      <c r="S3119" s="19"/>
    </row>
    <row r="3120" spans="1:19" x14ac:dyDescent="0.35">
      <c r="A3120" s="26" t="s">
        <v>543</v>
      </c>
      <c r="B3120" s="26" t="s">
        <v>543</v>
      </c>
      <c r="C3120" s="26"/>
      <c r="D3120" s="26" t="s">
        <v>543</v>
      </c>
      <c r="E3120" s="26" t="str">
        <f>IFERROR(VLOOKUP(G3120,WholesaleExtract!B:J,9,FALSE),"")</f>
        <v/>
      </c>
      <c r="F3120" s="26" t="str">
        <f>IFERROR(VLOOKUP(G3120,WholesaleExtract!B:J,6,FALSE),"")</f>
        <v/>
      </c>
      <c r="H3120" s="47" t="str">
        <f>IFERROR(VLOOKUP(G3120,WholesaleExtract!B:L,11,FALSE),"")</f>
        <v/>
      </c>
      <c r="I3120" s="26" t="str">
        <f>IFERROR(VLOOKUP(G3120,WholesaleExtract!B:O,8,FALSE),"")</f>
        <v/>
      </c>
      <c r="J3120" s="26" t="str">
        <f>IFERROR(VLOOKUP(G3120,WholesaleExtract!B:O,14,FALSE),"")</f>
        <v/>
      </c>
      <c r="K3120" s="26" t="str">
        <f>IFERROR(VLOOKUP(G3120,WholesaleExtract!B:K,10,FALSE),"")</f>
        <v/>
      </c>
      <c r="L3120" s="47" t="str">
        <f>IFERROR(VLOOKUP(G3120,WholesaleExtract!B:L,11,FALSE),"")</f>
        <v/>
      </c>
      <c r="M3120" s="47" t="str">
        <f>IFERROR(VLOOKUP(G3120,WholesaleExtract!B:M,12,FALSE),"")</f>
        <v/>
      </c>
      <c r="R3120" s="19"/>
      <c r="S3120" s="19"/>
    </row>
    <row r="3121" spans="1:19" x14ac:dyDescent="0.35">
      <c r="A3121" s="26" t="s">
        <v>543</v>
      </c>
      <c r="B3121" s="26" t="s">
        <v>543</v>
      </c>
      <c r="C3121" s="26"/>
      <c r="D3121" s="26" t="s">
        <v>543</v>
      </c>
      <c r="E3121" s="26" t="str">
        <f>IFERROR(VLOOKUP(G3121,WholesaleExtract!B:J,9,FALSE),"")</f>
        <v/>
      </c>
      <c r="F3121" s="26" t="str">
        <f>IFERROR(VLOOKUP(G3121,WholesaleExtract!B:J,6,FALSE),"")</f>
        <v/>
      </c>
      <c r="H3121" s="47" t="str">
        <f>IFERROR(VLOOKUP(G3121,WholesaleExtract!B:L,11,FALSE),"")</f>
        <v/>
      </c>
      <c r="I3121" s="26" t="str">
        <f>IFERROR(VLOOKUP(G3121,WholesaleExtract!B:O,8,FALSE),"")</f>
        <v/>
      </c>
      <c r="J3121" s="26" t="str">
        <f>IFERROR(VLOOKUP(G3121,WholesaleExtract!B:O,14,FALSE),"")</f>
        <v/>
      </c>
      <c r="K3121" s="26" t="str">
        <f>IFERROR(VLOOKUP(G3121,WholesaleExtract!B:K,10,FALSE),"")</f>
        <v/>
      </c>
      <c r="L3121" s="47" t="str">
        <f>IFERROR(VLOOKUP(G3121,WholesaleExtract!B:L,11,FALSE),"")</f>
        <v/>
      </c>
      <c r="M3121" s="47" t="str">
        <f>IFERROR(VLOOKUP(G3121,WholesaleExtract!B:M,12,FALSE),"")</f>
        <v/>
      </c>
      <c r="R3121" s="19"/>
      <c r="S3121" s="19"/>
    </row>
    <row r="3122" spans="1:19" x14ac:dyDescent="0.35">
      <c r="A3122" s="26" t="s">
        <v>543</v>
      </c>
      <c r="B3122" s="26" t="s">
        <v>543</v>
      </c>
      <c r="C3122" s="26"/>
      <c r="D3122" s="26" t="s">
        <v>543</v>
      </c>
      <c r="E3122" s="26" t="str">
        <f>IFERROR(VLOOKUP(G3122,WholesaleExtract!B:J,9,FALSE),"")</f>
        <v/>
      </c>
      <c r="F3122" s="26" t="str">
        <f>IFERROR(VLOOKUP(G3122,WholesaleExtract!B:J,6,FALSE),"")</f>
        <v/>
      </c>
      <c r="H3122" s="47" t="str">
        <f>IFERROR(VLOOKUP(G3122,WholesaleExtract!B:L,11,FALSE),"")</f>
        <v/>
      </c>
      <c r="I3122" s="26" t="str">
        <f>IFERROR(VLOOKUP(G3122,WholesaleExtract!B:O,8,FALSE),"")</f>
        <v/>
      </c>
      <c r="J3122" s="26" t="str">
        <f>IFERROR(VLOOKUP(G3122,WholesaleExtract!B:O,14,FALSE),"")</f>
        <v/>
      </c>
      <c r="K3122" s="26" t="str">
        <f>IFERROR(VLOOKUP(G3122,WholesaleExtract!B:K,10,FALSE),"")</f>
        <v/>
      </c>
      <c r="L3122" s="47" t="str">
        <f>IFERROR(VLOOKUP(G3122,WholesaleExtract!B:L,11,FALSE),"")</f>
        <v/>
      </c>
      <c r="M3122" s="47" t="str">
        <f>IFERROR(VLOOKUP(G3122,WholesaleExtract!B:M,12,FALSE),"")</f>
        <v/>
      </c>
      <c r="R3122" s="19"/>
      <c r="S3122" s="19"/>
    </row>
    <row r="3123" spans="1:19" x14ac:dyDescent="0.35">
      <c r="A3123" s="26" t="s">
        <v>543</v>
      </c>
      <c r="B3123" s="26" t="s">
        <v>543</v>
      </c>
      <c r="C3123" s="26"/>
      <c r="D3123" s="26" t="s">
        <v>543</v>
      </c>
      <c r="E3123" s="26" t="str">
        <f>IFERROR(VLOOKUP(G3123,WholesaleExtract!B:J,9,FALSE),"")</f>
        <v/>
      </c>
      <c r="F3123" s="26" t="str">
        <f>IFERROR(VLOOKUP(G3123,WholesaleExtract!B:J,6,FALSE),"")</f>
        <v/>
      </c>
      <c r="H3123" s="47" t="str">
        <f>IFERROR(VLOOKUP(G3123,WholesaleExtract!B:L,11,FALSE),"")</f>
        <v/>
      </c>
      <c r="I3123" s="26" t="str">
        <f>IFERROR(VLOOKUP(G3123,WholesaleExtract!B:O,8,FALSE),"")</f>
        <v/>
      </c>
      <c r="J3123" s="26" t="str">
        <f>IFERROR(VLOOKUP(G3123,WholesaleExtract!B:O,14,FALSE),"")</f>
        <v/>
      </c>
      <c r="K3123" s="26" t="str">
        <f>IFERROR(VLOOKUP(G3123,WholesaleExtract!B:K,10,FALSE),"")</f>
        <v/>
      </c>
      <c r="L3123" s="47" t="str">
        <f>IFERROR(VLOOKUP(G3123,WholesaleExtract!B:L,11,FALSE),"")</f>
        <v/>
      </c>
      <c r="M3123" s="47" t="str">
        <f>IFERROR(VLOOKUP(G3123,WholesaleExtract!B:M,12,FALSE),"")</f>
        <v/>
      </c>
      <c r="R3123" s="19"/>
      <c r="S3123" s="19"/>
    </row>
    <row r="3124" spans="1:19" x14ac:dyDescent="0.35">
      <c r="A3124" s="26" t="s">
        <v>543</v>
      </c>
      <c r="B3124" s="26" t="s">
        <v>543</v>
      </c>
      <c r="C3124" s="26"/>
      <c r="D3124" s="26" t="s">
        <v>543</v>
      </c>
      <c r="E3124" s="26" t="str">
        <f>IFERROR(VLOOKUP(G3124,WholesaleExtract!B:J,9,FALSE),"")</f>
        <v/>
      </c>
      <c r="F3124" s="26" t="str">
        <f>IFERROR(VLOOKUP(G3124,WholesaleExtract!B:J,6,FALSE),"")</f>
        <v/>
      </c>
      <c r="H3124" s="47" t="str">
        <f>IFERROR(VLOOKUP(G3124,WholesaleExtract!B:L,11,FALSE),"")</f>
        <v/>
      </c>
      <c r="I3124" s="26" t="str">
        <f>IFERROR(VLOOKUP(G3124,WholesaleExtract!B:O,8,FALSE),"")</f>
        <v/>
      </c>
      <c r="J3124" s="26" t="str">
        <f>IFERROR(VLOOKUP(G3124,WholesaleExtract!B:O,14,FALSE),"")</f>
        <v/>
      </c>
      <c r="K3124" s="26" t="str">
        <f>IFERROR(VLOOKUP(G3124,WholesaleExtract!B:K,10,FALSE),"")</f>
        <v/>
      </c>
      <c r="L3124" s="47" t="str">
        <f>IFERROR(VLOOKUP(G3124,WholesaleExtract!B:L,11,FALSE),"")</f>
        <v/>
      </c>
      <c r="M3124" s="47" t="str">
        <f>IFERROR(VLOOKUP(G3124,WholesaleExtract!B:M,12,FALSE),"")</f>
        <v/>
      </c>
      <c r="R3124" s="19"/>
      <c r="S3124" s="19"/>
    </row>
    <row r="3125" spans="1:19" x14ac:dyDescent="0.35">
      <c r="A3125" s="26" t="s">
        <v>543</v>
      </c>
      <c r="B3125" s="26" t="s">
        <v>543</v>
      </c>
      <c r="C3125" s="26"/>
      <c r="D3125" s="26" t="s">
        <v>543</v>
      </c>
      <c r="E3125" s="26" t="str">
        <f>IFERROR(VLOOKUP(G3125,WholesaleExtract!B:J,9,FALSE),"")</f>
        <v/>
      </c>
      <c r="F3125" s="26" t="str">
        <f>IFERROR(VLOOKUP(G3125,WholesaleExtract!B:J,6,FALSE),"")</f>
        <v/>
      </c>
      <c r="H3125" s="47" t="str">
        <f>IFERROR(VLOOKUP(G3125,WholesaleExtract!B:L,11,FALSE),"")</f>
        <v/>
      </c>
      <c r="I3125" s="26" t="str">
        <f>IFERROR(VLOOKUP(G3125,WholesaleExtract!B:O,8,FALSE),"")</f>
        <v/>
      </c>
      <c r="J3125" s="26" t="str">
        <f>IFERROR(VLOOKUP(G3125,WholesaleExtract!B:O,14,FALSE),"")</f>
        <v/>
      </c>
      <c r="K3125" s="26" t="str">
        <f>IFERROR(VLOOKUP(G3125,WholesaleExtract!B:K,10,FALSE),"")</f>
        <v/>
      </c>
      <c r="L3125" s="47" t="str">
        <f>IFERROR(VLOOKUP(G3125,WholesaleExtract!B:L,11,FALSE),"")</f>
        <v/>
      </c>
      <c r="M3125" s="47" t="str">
        <f>IFERROR(VLOOKUP(G3125,WholesaleExtract!B:M,12,FALSE),"")</f>
        <v/>
      </c>
      <c r="R3125" s="19"/>
      <c r="S3125" s="19"/>
    </row>
    <row r="3126" spans="1:19" x14ac:dyDescent="0.35">
      <c r="A3126" s="26" t="s">
        <v>543</v>
      </c>
      <c r="B3126" s="26" t="s">
        <v>543</v>
      </c>
      <c r="C3126" s="26"/>
      <c r="D3126" s="26" t="s">
        <v>543</v>
      </c>
      <c r="E3126" s="26" t="str">
        <f>IFERROR(VLOOKUP(G3126,WholesaleExtract!B:J,9,FALSE),"")</f>
        <v/>
      </c>
      <c r="F3126" s="26" t="str">
        <f>IFERROR(VLOOKUP(G3126,WholesaleExtract!B:J,6,FALSE),"")</f>
        <v/>
      </c>
      <c r="H3126" s="47" t="str">
        <f>IFERROR(VLOOKUP(G3126,WholesaleExtract!B:L,11,FALSE),"")</f>
        <v/>
      </c>
      <c r="I3126" s="26" t="str">
        <f>IFERROR(VLOOKUP(G3126,WholesaleExtract!B:O,8,FALSE),"")</f>
        <v/>
      </c>
      <c r="J3126" s="26" t="str">
        <f>IFERROR(VLOOKUP(G3126,WholesaleExtract!B:O,14,FALSE),"")</f>
        <v/>
      </c>
      <c r="K3126" s="26" t="str">
        <f>IFERROR(VLOOKUP(G3126,WholesaleExtract!B:K,10,FALSE),"")</f>
        <v/>
      </c>
      <c r="L3126" s="47" t="str">
        <f>IFERROR(VLOOKUP(G3126,WholesaleExtract!B:L,11,FALSE),"")</f>
        <v/>
      </c>
      <c r="M3126" s="47" t="str">
        <f>IFERROR(VLOOKUP(G3126,WholesaleExtract!B:M,12,FALSE),"")</f>
        <v/>
      </c>
      <c r="R3126" s="19"/>
      <c r="S3126" s="19"/>
    </row>
    <row r="3127" spans="1:19" x14ac:dyDescent="0.35">
      <c r="A3127" s="26" t="s">
        <v>543</v>
      </c>
      <c r="B3127" s="26" t="s">
        <v>543</v>
      </c>
      <c r="C3127" s="26"/>
      <c r="D3127" s="26" t="s">
        <v>543</v>
      </c>
      <c r="E3127" s="26" t="str">
        <f>IFERROR(VLOOKUP(G3127,WholesaleExtract!B:J,9,FALSE),"")</f>
        <v/>
      </c>
      <c r="F3127" s="26" t="str">
        <f>IFERROR(VLOOKUP(G3127,WholesaleExtract!B:J,6,FALSE),"")</f>
        <v/>
      </c>
      <c r="H3127" s="47" t="str">
        <f>IFERROR(VLOOKUP(G3127,WholesaleExtract!B:L,11,FALSE),"")</f>
        <v/>
      </c>
      <c r="I3127" s="26" t="str">
        <f>IFERROR(VLOOKUP(G3127,WholesaleExtract!B:O,8,FALSE),"")</f>
        <v/>
      </c>
      <c r="J3127" s="26" t="str">
        <f>IFERROR(VLOOKUP(G3127,WholesaleExtract!B:O,14,FALSE),"")</f>
        <v/>
      </c>
      <c r="K3127" s="26" t="str">
        <f>IFERROR(VLOOKUP(G3127,WholesaleExtract!B:K,10,FALSE),"")</f>
        <v/>
      </c>
      <c r="L3127" s="47" t="str">
        <f>IFERROR(VLOOKUP(G3127,WholesaleExtract!B:L,11,FALSE),"")</f>
        <v/>
      </c>
      <c r="M3127" s="47" t="str">
        <f>IFERROR(VLOOKUP(G3127,WholesaleExtract!B:M,12,FALSE),"")</f>
        <v/>
      </c>
      <c r="R3127" s="19"/>
      <c r="S3127" s="19"/>
    </row>
    <row r="3128" spans="1:19" x14ac:dyDescent="0.35">
      <c r="A3128" s="26" t="s">
        <v>543</v>
      </c>
      <c r="B3128" s="26" t="s">
        <v>543</v>
      </c>
      <c r="C3128" s="26"/>
      <c r="D3128" s="26" t="s">
        <v>543</v>
      </c>
      <c r="E3128" s="26" t="str">
        <f>IFERROR(VLOOKUP(G3128,WholesaleExtract!B:J,9,FALSE),"")</f>
        <v/>
      </c>
      <c r="F3128" s="26" t="str">
        <f>IFERROR(VLOOKUP(G3128,WholesaleExtract!B:J,6,FALSE),"")</f>
        <v/>
      </c>
      <c r="H3128" s="47" t="str">
        <f>IFERROR(VLOOKUP(G3128,WholesaleExtract!B:L,11,FALSE),"")</f>
        <v/>
      </c>
      <c r="I3128" s="26" t="str">
        <f>IFERROR(VLOOKUP(G3128,WholesaleExtract!B:O,8,FALSE),"")</f>
        <v/>
      </c>
      <c r="J3128" s="26" t="str">
        <f>IFERROR(VLOOKUP(G3128,WholesaleExtract!B:O,14,FALSE),"")</f>
        <v/>
      </c>
      <c r="K3128" s="26" t="str">
        <f>IFERROR(VLOOKUP(G3128,WholesaleExtract!B:K,10,FALSE),"")</f>
        <v/>
      </c>
      <c r="L3128" s="47" t="str">
        <f>IFERROR(VLOOKUP(G3128,WholesaleExtract!B:L,11,FALSE),"")</f>
        <v/>
      </c>
      <c r="M3128" s="47" t="str">
        <f>IFERROR(VLOOKUP(G3128,WholesaleExtract!B:M,12,FALSE),"")</f>
        <v/>
      </c>
      <c r="R3128" s="19"/>
      <c r="S3128" s="19"/>
    </row>
    <row r="3129" spans="1:19" x14ac:dyDescent="0.35">
      <c r="A3129" s="26" t="s">
        <v>543</v>
      </c>
      <c r="B3129" s="26" t="s">
        <v>543</v>
      </c>
      <c r="C3129" s="26"/>
      <c r="D3129" s="26" t="s">
        <v>543</v>
      </c>
      <c r="E3129" s="26" t="str">
        <f>IFERROR(VLOOKUP(G3129,WholesaleExtract!B:J,9,FALSE),"")</f>
        <v/>
      </c>
      <c r="F3129" s="26" t="str">
        <f>IFERROR(VLOOKUP(G3129,WholesaleExtract!B:J,6,FALSE),"")</f>
        <v/>
      </c>
      <c r="H3129" s="47" t="str">
        <f>IFERROR(VLOOKUP(G3129,WholesaleExtract!B:L,11,FALSE),"")</f>
        <v/>
      </c>
      <c r="I3129" s="26" t="str">
        <f>IFERROR(VLOOKUP(G3129,WholesaleExtract!B:O,8,FALSE),"")</f>
        <v/>
      </c>
      <c r="J3129" s="26" t="str">
        <f>IFERROR(VLOOKUP(G3129,WholesaleExtract!B:O,14,FALSE),"")</f>
        <v/>
      </c>
      <c r="K3129" s="26" t="str">
        <f>IFERROR(VLOOKUP(G3129,WholesaleExtract!B:K,10,FALSE),"")</f>
        <v/>
      </c>
      <c r="L3129" s="47" t="str">
        <f>IFERROR(VLOOKUP(G3129,WholesaleExtract!B:L,11,FALSE),"")</f>
        <v/>
      </c>
      <c r="M3129" s="47" t="str">
        <f>IFERROR(VLOOKUP(G3129,WholesaleExtract!B:M,12,FALSE),"")</f>
        <v/>
      </c>
      <c r="R3129" s="19"/>
      <c r="S3129" s="19"/>
    </row>
    <row r="3130" spans="1:19" x14ac:dyDescent="0.35">
      <c r="A3130" s="26" t="s">
        <v>543</v>
      </c>
      <c r="B3130" s="26" t="s">
        <v>543</v>
      </c>
      <c r="C3130" s="26"/>
      <c r="D3130" s="26" t="s">
        <v>543</v>
      </c>
      <c r="E3130" s="26" t="str">
        <f>IFERROR(VLOOKUP(G3130,WholesaleExtract!B:J,9,FALSE),"")</f>
        <v/>
      </c>
      <c r="F3130" s="26" t="str">
        <f>IFERROR(VLOOKUP(G3130,WholesaleExtract!B:J,6,FALSE),"")</f>
        <v/>
      </c>
      <c r="H3130" s="47" t="str">
        <f>IFERROR(VLOOKUP(G3130,WholesaleExtract!B:L,11,FALSE),"")</f>
        <v/>
      </c>
      <c r="I3130" s="26" t="str">
        <f>IFERROR(VLOOKUP(G3130,WholesaleExtract!B:O,8,FALSE),"")</f>
        <v/>
      </c>
      <c r="J3130" s="26" t="str">
        <f>IFERROR(VLOOKUP(G3130,WholesaleExtract!B:O,14,FALSE),"")</f>
        <v/>
      </c>
      <c r="K3130" s="26" t="str">
        <f>IFERROR(VLOOKUP(G3130,WholesaleExtract!B:K,10,FALSE),"")</f>
        <v/>
      </c>
      <c r="L3130" s="47" t="str">
        <f>IFERROR(VLOOKUP(G3130,WholesaleExtract!B:L,11,FALSE),"")</f>
        <v/>
      </c>
      <c r="M3130" s="47" t="str">
        <f>IFERROR(VLOOKUP(G3130,WholesaleExtract!B:M,12,FALSE),"")</f>
        <v/>
      </c>
      <c r="R3130" s="19"/>
      <c r="S3130" s="19"/>
    </row>
    <row r="3131" spans="1:19" x14ac:dyDescent="0.35">
      <c r="A3131" s="26" t="s">
        <v>543</v>
      </c>
      <c r="B3131" s="26" t="s">
        <v>543</v>
      </c>
      <c r="C3131" s="26"/>
      <c r="D3131" s="26" t="s">
        <v>543</v>
      </c>
      <c r="E3131" s="26" t="str">
        <f>IFERROR(VLOOKUP(G3131,WholesaleExtract!B:J,9,FALSE),"")</f>
        <v/>
      </c>
      <c r="F3131" s="26" t="str">
        <f>IFERROR(VLOOKUP(G3131,WholesaleExtract!B:J,6,FALSE),"")</f>
        <v/>
      </c>
      <c r="H3131" s="47" t="str">
        <f>IFERROR(VLOOKUP(G3131,WholesaleExtract!B:L,11,FALSE),"")</f>
        <v/>
      </c>
      <c r="I3131" s="26" t="str">
        <f>IFERROR(VLOOKUP(G3131,WholesaleExtract!B:O,8,FALSE),"")</f>
        <v/>
      </c>
      <c r="J3131" s="26" t="str">
        <f>IFERROR(VLOOKUP(G3131,WholesaleExtract!B:O,14,FALSE),"")</f>
        <v/>
      </c>
      <c r="K3131" s="26" t="str">
        <f>IFERROR(VLOOKUP(G3131,WholesaleExtract!B:K,10,FALSE),"")</f>
        <v/>
      </c>
      <c r="L3131" s="47" t="str">
        <f>IFERROR(VLOOKUP(G3131,WholesaleExtract!B:L,11,FALSE),"")</f>
        <v/>
      </c>
      <c r="M3131" s="47" t="str">
        <f>IFERROR(VLOOKUP(G3131,WholesaleExtract!B:M,12,FALSE),"")</f>
        <v/>
      </c>
      <c r="R3131" s="19"/>
      <c r="S3131" s="19"/>
    </row>
    <row r="3132" spans="1:19" x14ac:dyDescent="0.35">
      <c r="A3132" s="26" t="s">
        <v>543</v>
      </c>
      <c r="B3132" s="26" t="s">
        <v>543</v>
      </c>
      <c r="C3132" s="26"/>
      <c r="D3132" s="26" t="s">
        <v>543</v>
      </c>
      <c r="E3132" s="26" t="str">
        <f>IFERROR(VLOOKUP(G3132,WholesaleExtract!B:J,9,FALSE),"")</f>
        <v/>
      </c>
      <c r="F3132" s="26" t="str">
        <f>IFERROR(VLOOKUP(G3132,WholesaleExtract!B:J,6,FALSE),"")</f>
        <v/>
      </c>
      <c r="H3132" s="47" t="str">
        <f>IFERROR(VLOOKUP(G3132,WholesaleExtract!B:L,11,FALSE),"")</f>
        <v/>
      </c>
      <c r="I3132" s="26" t="str">
        <f>IFERROR(VLOOKUP(G3132,WholesaleExtract!B:O,8,FALSE),"")</f>
        <v/>
      </c>
      <c r="J3132" s="26" t="str">
        <f>IFERROR(VLOOKUP(G3132,WholesaleExtract!B:O,14,FALSE),"")</f>
        <v/>
      </c>
      <c r="K3132" s="26" t="str">
        <f>IFERROR(VLOOKUP(G3132,WholesaleExtract!B:K,10,FALSE),"")</f>
        <v/>
      </c>
      <c r="L3132" s="47" t="str">
        <f>IFERROR(VLOOKUP(G3132,WholesaleExtract!B:L,11,FALSE),"")</f>
        <v/>
      </c>
      <c r="M3132" s="47" t="str">
        <f>IFERROR(VLOOKUP(G3132,WholesaleExtract!B:M,12,FALSE),"")</f>
        <v/>
      </c>
      <c r="R3132" s="19"/>
      <c r="S3132" s="19"/>
    </row>
    <row r="3133" spans="1:19" x14ac:dyDescent="0.35">
      <c r="A3133" s="26" t="s">
        <v>543</v>
      </c>
      <c r="B3133" s="26" t="s">
        <v>543</v>
      </c>
      <c r="C3133" s="26"/>
      <c r="D3133" s="26" t="s">
        <v>543</v>
      </c>
      <c r="E3133" s="26" t="str">
        <f>IFERROR(VLOOKUP(G3133,WholesaleExtract!B:J,9,FALSE),"")</f>
        <v/>
      </c>
      <c r="F3133" s="26" t="str">
        <f>IFERROR(VLOOKUP(G3133,WholesaleExtract!B:J,6,FALSE),"")</f>
        <v/>
      </c>
      <c r="H3133" s="47" t="str">
        <f>IFERROR(VLOOKUP(G3133,WholesaleExtract!B:L,11,FALSE),"")</f>
        <v/>
      </c>
      <c r="I3133" s="26" t="str">
        <f>IFERROR(VLOOKUP(G3133,WholesaleExtract!B:O,8,FALSE),"")</f>
        <v/>
      </c>
      <c r="J3133" s="26" t="str">
        <f>IFERROR(VLOOKUP(G3133,WholesaleExtract!B:O,14,FALSE),"")</f>
        <v/>
      </c>
      <c r="K3133" s="26" t="str">
        <f>IFERROR(VLOOKUP(G3133,WholesaleExtract!B:K,10,FALSE),"")</f>
        <v/>
      </c>
      <c r="L3133" s="47" t="str">
        <f>IFERROR(VLOOKUP(G3133,WholesaleExtract!B:L,11,FALSE),"")</f>
        <v/>
      </c>
      <c r="M3133" s="47" t="str">
        <f>IFERROR(VLOOKUP(G3133,WholesaleExtract!B:M,12,FALSE),"")</f>
        <v/>
      </c>
      <c r="R3133" s="19"/>
      <c r="S3133" s="19"/>
    </row>
    <row r="3134" spans="1:19" x14ac:dyDescent="0.35">
      <c r="A3134" s="26" t="s">
        <v>543</v>
      </c>
      <c r="B3134" s="26" t="s">
        <v>543</v>
      </c>
      <c r="C3134" s="26"/>
      <c r="D3134" s="26" t="s">
        <v>543</v>
      </c>
      <c r="E3134" s="26" t="str">
        <f>IFERROR(VLOOKUP(G3134,WholesaleExtract!B:J,9,FALSE),"")</f>
        <v/>
      </c>
      <c r="F3134" s="26" t="str">
        <f>IFERROR(VLOOKUP(G3134,WholesaleExtract!B:J,6,FALSE),"")</f>
        <v/>
      </c>
      <c r="H3134" s="47" t="str">
        <f>IFERROR(VLOOKUP(G3134,WholesaleExtract!B:L,11,FALSE),"")</f>
        <v/>
      </c>
      <c r="I3134" s="26" t="str">
        <f>IFERROR(VLOOKUP(G3134,WholesaleExtract!B:O,8,FALSE),"")</f>
        <v/>
      </c>
      <c r="J3134" s="26" t="str">
        <f>IFERROR(VLOOKUP(G3134,WholesaleExtract!B:O,14,FALSE),"")</f>
        <v/>
      </c>
      <c r="K3134" s="26" t="str">
        <f>IFERROR(VLOOKUP(G3134,WholesaleExtract!B:K,10,FALSE),"")</f>
        <v/>
      </c>
      <c r="L3134" s="47" t="str">
        <f>IFERROR(VLOOKUP(G3134,WholesaleExtract!B:L,11,FALSE),"")</f>
        <v/>
      </c>
      <c r="M3134" s="47" t="str">
        <f>IFERROR(VLOOKUP(G3134,WholesaleExtract!B:M,12,FALSE),"")</f>
        <v/>
      </c>
      <c r="R3134" s="19"/>
      <c r="S3134" s="19"/>
    </row>
    <row r="3135" spans="1:19" x14ac:dyDescent="0.35">
      <c r="A3135" s="26" t="s">
        <v>543</v>
      </c>
      <c r="B3135" s="26" t="s">
        <v>543</v>
      </c>
      <c r="C3135" s="26"/>
      <c r="D3135" s="26" t="s">
        <v>543</v>
      </c>
      <c r="E3135" s="26" t="str">
        <f>IFERROR(VLOOKUP(G3135,WholesaleExtract!B:J,9,FALSE),"")</f>
        <v/>
      </c>
      <c r="F3135" s="26" t="str">
        <f>IFERROR(VLOOKUP(G3135,WholesaleExtract!B:J,6,FALSE),"")</f>
        <v/>
      </c>
      <c r="H3135" s="47" t="str">
        <f>IFERROR(VLOOKUP(G3135,WholesaleExtract!B:L,11,FALSE),"")</f>
        <v/>
      </c>
      <c r="I3135" s="26" t="str">
        <f>IFERROR(VLOOKUP(G3135,WholesaleExtract!B:O,8,FALSE),"")</f>
        <v/>
      </c>
      <c r="J3135" s="26" t="str">
        <f>IFERROR(VLOOKUP(G3135,WholesaleExtract!B:O,14,FALSE),"")</f>
        <v/>
      </c>
      <c r="K3135" s="26" t="str">
        <f>IFERROR(VLOOKUP(G3135,WholesaleExtract!B:K,10,FALSE),"")</f>
        <v/>
      </c>
      <c r="L3135" s="47" t="str">
        <f>IFERROR(VLOOKUP(G3135,WholesaleExtract!B:L,11,FALSE),"")</f>
        <v/>
      </c>
      <c r="M3135" s="47" t="str">
        <f>IFERROR(VLOOKUP(G3135,WholesaleExtract!B:M,12,FALSE),"")</f>
        <v/>
      </c>
      <c r="R3135" s="19"/>
      <c r="S3135" s="19"/>
    </row>
    <row r="3136" spans="1:19" x14ac:dyDescent="0.35">
      <c r="A3136" s="26" t="s">
        <v>543</v>
      </c>
      <c r="B3136" s="26" t="s">
        <v>543</v>
      </c>
      <c r="C3136" s="26"/>
      <c r="D3136" s="26" t="s">
        <v>543</v>
      </c>
      <c r="E3136" s="26" t="str">
        <f>IFERROR(VLOOKUP(G3136,WholesaleExtract!B:J,9,FALSE),"")</f>
        <v/>
      </c>
      <c r="F3136" s="26" t="str">
        <f>IFERROR(VLOOKUP(G3136,WholesaleExtract!B:J,6,FALSE),"")</f>
        <v/>
      </c>
      <c r="H3136" s="47" t="str">
        <f>IFERROR(VLOOKUP(G3136,WholesaleExtract!B:L,11,FALSE),"")</f>
        <v/>
      </c>
      <c r="I3136" s="26" t="str">
        <f>IFERROR(VLOOKUP(G3136,WholesaleExtract!B:O,8,FALSE),"")</f>
        <v/>
      </c>
      <c r="J3136" s="26" t="str">
        <f>IFERROR(VLOOKUP(G3136,WholesaleExtract!B:O,14,FALSE),"")</f>
        <v/>
      </c>
      <c r="K3136" s="26" t="str">
        <f>IFERROR(VLOOKUP(G3136,WholesaleExtract!B:K,10,FALSE),"")</f>
        <v/>
      </c>
      <c r="L3136" s="47" t="str">
        <f>IFERROR(VLOOKUP(G3136,WholesaleExtract!B:L,11,FALSE),"")</f>
        <v/>
      </c>
      <c r="M3136" s="47" t="str">
        <f>IFERROR(VLOOKUP(G3136,WholesaleExtract!B:M,12,FALSE),"")</f>
        <v/>
      </c>
      <c r="R3136" s="19"/>
      <c r="S3136" s="19"/>
    </row>
    <row r="3137" spans="1:19" x14ac:dyDescent="0.35">
      <c r="A3137" s="26" t="s">
        <v>543</v>
      </c>
      <c r="B3137" s="26" t="s">
        <v>543</v>
      </c>
      <c r="C3137" s="26"/>
      <c r="D3137" s="26" t="s">
        <v>543</v>
      </c>
      <c r="E3137" s="26" t="str">
        <f>IFERROR(VLOOKUP(G3137,WholesaleExtract!B:J,9,FALSE),"")</f>
        <v/>
      </c>
      <c r="F3137" s="26" t="str">
        <f>IFERROR(VLOOKUP(G3137,WholesaleExtract!B:J,6,FALSE),"")</f>
        <v/>
      </c>
      <c r="H3137" s="47" t="str">
        <f>IFERROR(VLOOKUP(G3137,WholesaleExtract!B:L,11,FALSE),"")</f>
        <v/>
      </c>
      <c r="I3137" s="26" t="str">
        <f>IFERROR(VLOOKUP(G3137,WholesaleExtract!B:O,8,FALSE),"")</f>
        <v/>
      </c>
      <c r="J3137" s="26" t="str">
        <f>IFERROR(VLOOKUP(G3137,WholesaleExtract!B:O,14,FALSE),"")</f>
        <v/>
      </c>
      <c r="K3137" s="26" t="str">
        <f>IFERROR(VLOOKUP(G3137,WholesaleExtract!B:K,10,FALSE),"")</f>
        <v/>
      </c>
      <c r="L3137" s="47" t="str">
        <f>IFERROR(VLOOKUP(G3137,WholesaleExtract!B:L,11,FALSE),"")</f>
        <v/>
      </c>
      <c r="M3137" s="47" t="str">
        <f>IFERROR(VLOOKUP(G3137,WholesaleExtract!B:M,12,FALSE),"")</f>
        <v/>
      </c>
      <c r="R3137" s="19"/>
      <c r="S3137" s="19"/>
    </row>
    <row r="3138" spans="1:19" x14ac:dyDescent="0.35">
      <c r="A3138" s="26" t="s">
        <v>543</v>
      </c>
      <c r="B3138" s="26" t="s">
        <v>543</v>
      </c>
      <c r="C3138" s="26"/>
      <c r="D3138" s="26" t="s">
        <v>543</v>
      </c>
      <c r="E3138" s="26" t="str">
        <f>IFERROR(VLOOKUP(G3138,WholesaleExtract!B:J,9,FALSE),"")</f>
        <v/>
      </c>
      <c r="F3138" s="26" t="str">
        <f>IFERROR(VLOOKUP(G3138,WholesaleExtract!B:J,6,FALSE),"")</f>
        <v/>
      </c>
      <c r="H3138" s="47" t="str">
        <f>IFERROR(VLOOKUP(G3138,WholesaleExtract!B:L,11,FALSE),"")</f>
        <v/>
      </c>
      <c r="I3138" s="26" t="str">
        <f>IFERROR(VLOOKUP(G3138,WholesaleExtract!B:O,8,FALSE),"")</f>
        <v/>
      </c>
      <c r="J3138" s="26" t="str">
        <f>IFERROR(VLOOKUP(G3138,WholesaleExtract!B:O,14,FALSE),"")</f>
        <v/>
      </c>
      <c r="K3138" s="26" t="str">
        <f>IFERROR(VLOOKUP(G3138,WholesaleExtract!B:K,10,FALSE),"")</f>
        <v/>
      </c>
      <c r="L3138" s="47" t="str">
        <f>IFERROR(VLOOKUP(G3138,WholesaleExtract!B:L,11,FALSE),"")</f>
        <v/>
      </c>
      <c r="M3138" s="47" t="str">
        <f>IFERROR(VLOOKUP(G3138,WholesaleExtract!B:M,12,FALSE),"")</f>
        <v/>
      </c>
      <c r="R3138" s="19"/>
      <c r="S3138" s="19"/>
    </row>
    <row r="3139" spans="1:19" x14ac:dyDescent="0.35">
      <c r="A3139" s="26" t="s">
        <v>543</v>
      </c>
      <c r="B3139" s="26" t="s">
        <v>543</v>
      </c>
      <c r="C3139" s="26"/>
      <c r="D3139" s="26" t="s">
        <v>543</v>
      </c>
      <c r="E3139" s="26" t="str">
        <f>IFERROR(VLOOKUP(G3139,WholesaleExtract!B:J,9,FALSE),"")</f>
        <v/>
      </c>
      <c r="F3139" s="26" t="str">
        <f>IFERROR(VLOOKUP(G3139,WholesaleExtract!B:J,6,FALSE),"")</f>
        <v/>
      </c>
      <c r="H3139" s="47" t="str">
        <f>IFERROR(VLOOKUP(G3139,WholesaleExtract!B:L,11,FALSE),"")</f>
        <v/>
      </c>
      <c r="I3139" s="26" t="str">
        <f>IFERROR(VLOOKUP(G3139,WholesaleExtract!B:O,8,FALSE),"")</f>
        <v/>
      </c>
      <c r="J3139" s="26" t="str">
        <f>IFERROR(VLOOKUP(G3139,WholesaleExtract!B:O,14,FALSE),"")</f>
        <v/>
      </c>
      <c r="K3139" s="26" t="str">
        <f>IFERROR(VLOOKUP(G3139,WholesaleExtract!B:K,10,FALSE),"")</f>
        <v/>
      </c>
      <c r="L3139" s="47" t="str">
        <f>IFERROR(VLOOKUP(G3139,WholesaleExtract!B:L,11,FALSE),"")</f>
        <v/>
      </c>
      <c r="M3139" s="47" t="str">
        <f>IFERROR(VLOOKUP(G3139,WholesaleExtract!B:M,12,FALSE),"")</f>
        <v/>
      </c>
      <c r="R3139" s="19"/>
      <c r="S3139" s="19"/>
    </row>
    <row r="3140" spans="1:19" x14ac:dyDescent="0.35">
      <c r="A3140" s="26" t="s">
        <v>543</v>
      </c>
      <c r="B3140" s="26" t="s">
        <v>543</v>
      </c>
      <c r="C3140" s="26"/>
      <c r="D3140" s="26" t="s">
        <v>543</v>
      </c>
      <c r="E3140" s="26" t="str">
        <f>IFERROR(VLOOKUP(G3140,WholesaleExtract!B:J,9,FALSE),"")</f>
        <v/>
      </c>
      <c r="F3140" s="26" t="str">
        <f>IFERROR(VLOOKUP(G3140,WholesaleExtract!B:J,6,FALSE),"")</f>
        <v/>
      </c>
      <c r="H3140" s="47" t="str">
        <f>IFERROR(VLOOKUP(G3140,WholesaleExtract!B:L,11,FALSE),"")</f>
        <v/>
      </c>
      <c r="I3140" s="26" t="str">
        <f>IFERROR(VLOOKUP(G3140,WholesaleExtract!B:O,8,FALSE),"")</f>
        <v/>
      </c>
      <c r="J3140" s="26" t="str">
        <f>IFERROR(VLOOKUP(G3140,WholesaleExtract!B:O,14,FALSE),"")</f>
        <v/>
      </c>
      <c r="K3140" s="26" t="str">
        <f>IFERROR(VLOOKUP(G3140,WholesaleExtract!B:K,10,FALSE),"")</f>
        <v/>
      </c>
      <c r="L3140" s="47" t="str">
        <f>IFERROR(VLOOKUP(G3140,WholesaleExtract!B:L,11,FALSE),"")</f>
        <v/>
      </c>
      <c r="M3140" s="47" t="str">
        <f>IFERROR(VLOOKUP(G3140,WholesaleExtract!B:M,12,FALSE),"")</f>
        <v/>
      </c>
      <c r="R3140" s="19"/>
      <c r="S3140" s="19"/>
    </row>
    <row r="3141" spans="1:19" x14ac:dyDescent="0.35">
      <c r="A3141" s="26" t="s">
        <v>543</v>
      </c>
      <c r="B3141" s="26" t="s">
        <v>543</v>
      </c>
      <c r="C3141" s="26"/>
      <c r="D3141" s="26" t="s">
        <v>543</v>
      </c>
      <c r="E3141" s="26" t="str">
        <f>IFERROR(VLOOKUP(G3141,WholesaleExtract!B:J,9,FALSE),"")</f>
        <v/>
      </c>
      <c r="F3141" s="26" t="str">
        <f>IFERROR(VLOOKUP(G3141,WholesaleExtract!B:J,6,FALSE),"")</f>
        <v/>
      </c>
      <c r="H3141" s="47" t="str">
        <f>IFERROR(VLOOKUP(G3141,WholesaleExtract!B:L,11,FALSE),"")</f>
        <v/>
      </c>
      <c r="I3141" s="26" t="str">
        <f>IFERROR(VLOOKUP(G3141,WholesaleExtract!B:O,8,FALSE),"")</f>
        <v/>
      </c>
      <c r="J3141" s="26" t="str">
        <f>IFERROR(VLOOKUP(G3141,WholesaleExtract!B:O,14,FALSE),"")</f>
        <v/>
      </c>
      <c r="K3141" s="26" t="str">
        <f>IFERROR(VLOOKUP(G3141,WholesaleExtract!B:K,10,FALSE),"")</f>
        <v/>
      </c>
      <c r="L3141" s="47" t="str">
        <f>IFERROR(VLOOKUP(G3141,WholesaleExtract!B:L,11,FALSE),"")</f>
        <v/>
      </c>
      <c r="M3141" s="47" t="str">
        <f>IFERROR(VLOOKUP(G3141,WholesaleExtract!B:M,12,FALSE),"")</f>
        <v/>
      </c>
      <c r="R3141" s="19"/>
      <c r="S3141" s="19"/>
    </row>
    <row r="3142" spans="1:19" x14ac:dyDescent="0.35">
      <c r="A3142" s="26" t="s">
        <v>543</v>
      </c>
      <c r="B3142" s="26" t="s">
        <v>543</v>
      </c>
      <c r="C3142" s="26"/>
      <c r="D3142" s="26" t="s">
        <v>543</v>
      </c>
      <c r="E3142" s="26" t="str">
        <f>IFERROR(VLOOKUP(G3142,WholesaleExtract!B:J,9,FALSE),"")</f>
        <v/>
      </c>
      <c r="F3142" s="26" t="str">
        <f>IFERROR(VLOOKUP(G3142,WholesaleExtract!B:J,6,FALSE),"")</f>
        <v/>
      </c>
      <c r="H3142" s="47" t="str">
        <f>IFERROR(VLOOKUP(G3142,WholesaleExtract!B:L,11,FALSE),"")</f>
        <v/>
      </c>
      <c r="I3142" s="26" t="str">
        <f>IFERROR(VLOOKUP(G3142,WholesaleExtract!B:O,8,FALSE),"")</f>
        <v/>
      </c>
      <c r="J3142" s="26" t="str">
        <f>IFERROR(VLOOKUP(G3142,WholesaleExtract!B:O,14,FALSE),"")</f>
        <v/>
      </c>
      <c r="K3142" s="26" t="str">
        <f>IFERROR(VLOOKUP(G3142,WholesaleExtract!B:K,10,FALSE),"")</f>
        <v/>
      </c>
      <c r="L3142" s="47" t="str">
        <f>IFERROR(VLOOKUP(G3142,WholesaleExtract!B:L,11,FALSE),"")</f>
        <v/>
      </c>
      <c r="M3142" s="47" t="str">
        <f>IFERROR(VLOOKUP(G3142,WholesaleExtract!B:M,12,FALSE),"")</f>
        <v/>
      </c>
      <c r="R3142" s="19"/>
      <c r="S3142" s="19"/>
    </row>
    <row r="3143" spans="1:19" x14ac:dyDescent="0.35">
      <c r="A3143" s="26" t="s">
        <v>543</v>
      </c>
      <c r="B3143" s="26" t="s">
        <v>543</v>
      </c>
      <c r="C3143" s="26"/>
      <c r="D3143" s="26" t="s">
        <v>543</v>
      </c>
      <c r="E3143" s="26" t="str">
        <f>IFERROR(VLOOKUP(G3143,WholesaleExtract!B:J,9,FALSE),"")</f>
        <v/>
      </c>
      <c r="F3143" s="26" t="str">
        <f>IFERROR(VLOOKUP(G3143,WholesaleExtract!B:J,6,FALSE),"")</f>
        <v/>
      </c>
      <c r="H3143" s="47" t="str">
        <f>IFERROR(VLOOKUP(G3143,WholesaleExtract!B:L,11,FALSE),"")</f>
        <v/>
      </c>
      <c r="I3143" s="26" t="str">
        <f>IFERROR(VLOOKUP(G3143,WholesaleExtract!B:O,8,FALSE),"")</f>
        <v/>
      </c>
      <c r="J3143" s="26" t="str">
        <f>IFERROR(VLOOKUP(G3143,WholesaleExtract!B:O,14,FALSE),"")</f>
        <v/>
      </c>
      <c r="K3143" s="26" t="str">
        <f>IFERROR(VLOOKUP(G3143,WholesaleExtract!B:K,10,FALSE),"")</f>
        <v/>
      </c>
      <c r="L3143" s="47" t="str">
        <f>IFERROR(VLOOKUP(G3143,WholesaleExtract!B:L,11,FALSE),"")</f>
        <v/>
      </c>
      <c r="M3143" s="47" t="str">
        <f>IFERROR(VLOOKUP(G3143,WholesaleExtract!B:M,12,FALSE),"")</f>
        <v/>
      </c>
      <c r="R3143" s="19"/>
      <c r="S3143" s="19"/>
    </row>
    <row r="3144" spans="1:19" x14ac:dyDescent="0.35">
      <c r="A3144" s="26" t="s">
        <v>543</v>
      </c>
      <c r="B3144" s="26" t="s">
        <v>543</v>
      </c>
      <c r="C3144" s="26"/>
      <c r="D3144" s="26" t="s">
        <v>543</v>
      </c>
      <c r="E3144" s="26" t="str">
        <f>IFERROR(VLOOKUP(G3144,WholesaleExtract!B:J,9,FALSE),"")</f>
        <v/>
      </c>
      <c r="F3144" s="26" t="str">
        <f>IFERROR(VLOOKUP(G3144,WholesaleExtract!B:J,6,FALSE),"")</f>
        <v/>
      </c>
      <c r="H3144" s="47" t="str">
        <f>IFERROR(VLOOKUP(G3144,WholesaleExtract!B:L,11,FALSE),"")</f>
        <v/>
      </c>
      <c r="I3144" s="26" t="str">
        <f>IFERROR(VLOOKUP(G3144,WholesaleExtract!B:O,8,FALSE),"")</f>
        <v/>
      </c>
      <c r="J3144" s="26" t="str">
        <f>IFERROR(VLOOKUP(G3144,WholesaleExtract!B:O,14,FALSE),"")</f>
        <v/>
      </c>
      <c r="K3144" s="26" t="str">
        <f>IFERROR(VLOOKUP(G3144,WholesaleExtract!B:K,10,FALSE),"")</f>
        <v/>
      </c>
      <c r="L3144" s="47" t="str">
        <f>IFERROR(VLOOKUP(G3144,WholesaleExtract!B:L,11,FALSE),"")</f>
        <v/>
      </c>
      <c r="M3144" s="47" t="str">
        <f>IFERROR(VLOOKUP(G3144,WholesaleExtract!B:M,12,FALSE),"")</f>
        <v/>
      </c>
      <c r="R3144" s="19"/>
      <c r="S3144" s="19"/>
    </row>
    <row r="3145" spans="1:19" x14ac:dyDescent="0.35">
      <c r="A3145" s="26" t="s">
        <v>543</v>
      </c>
      <c r="B3145" s="26" t="s">
        <v>543</v>
      </c>
      <c r="C3145" s="26"/>
      <c r="D3145" s="26" t="s">
        <v>543</v>
      </c>
      <c r="E3145" s="26" t="str">
        <f>IFERROR(VLOOKUP(G3145,WholesaleExtract!B:J,9,FALSE),"")</f>
        <v/>
      </c>
      <c r="F3145" s="26" t="str">
        <f>IFERROR(VLOOKUP(G3145,WholesaleExtract!B:J,6,FALSE),"")</f>
        <v/>
      </c>
      <c r="H3145" s="47" t="str">
        <f>IFERROR(VLOOKUP(G3145,WholesaleExtract!B:L,11,FALSE),"")</f>
        <v/>
      </c>
      <c r="I3145" s="26" t="str">
        <f>IFERROR(VLOOKUP(G3145,WholesaleExtract!B:O,8,FALSE),"")</f>
        <v/>
      </c>
      <c r="J3145" s="26" t="str">
        <f>IFERROR(VLOOKUP(G3145,WholesaleExtract!B:O,14,FALSE),"")</f>
        <v/>
      </c>
      <c r="K3145" s="26" t="str">
        <f>IFERROR(VLOOKUP(G3145,WholesaleExtract!B:K,10,FALSE),"")</f>
        <v/>
      </c>
      <c r="L3145" s="47" t="str">
        <f>IFERROR(VLOOKUP(G3145,WholesaleExtract!B:L,11,FALSE),"")</f>
        <v/>
      </c>
      <c r="M3145" s="47" t="str">
        <f>IFERROR(VLOOKUP(G3145,WholesaleExtract!B:M,12,FALSE),"")</f>
        <v/>
      </c>
      <c r="R3145" s="19"/>
      <c r="S3145" s="19"/>
    </row>
    <row r="3146" spans="1:19" x14ac:dyDescent="0.35">
      <c r="A3146" s="26" t="s">
        <v>543</v>
      </c>
      <c r="B3146" s="26" t="s">
        <v>543</v>
      </c>
      <c r="C3146" s="26"/>
      <c r="D3146" s="26" t="s">
        <v>543</v>
      </c>
      <c r="E3146" s="26" t="str">
        <f>IFERROR(VLOOKUP(G3146,WholesaleExtract!B:J,9,FALSE),"")</f>
        <v/>
      </c>
      <c r="F3146" s="26" t="str">
        <f>IFERROR(VLOOKUP(G3146,WholesaleExtract!B:J,6,FALSE),"")</f>
        <v/>
      </c>
      <c r="H3146" s="47" t="str">
        <f>IFERROR(VLOOKUP(G3146,WholesaleExtract!B:L,11,FALSE),"")</f>
        <v/>
      </c>
      <c r="I3146" s="26" t="str">
        <f>IFERROR(VLOOKUP(G3146,WholesaleExtract!B:O,8,FALSE),"")</f>
        <v/>
      </c>
      <c r="J3146" s="26" t="str">
        <f>IFERROR(VLOOKUP(G3146,WholesaleExtract!B:O,14,FALSE),"")</f>
        <v/>
      </c>
      <c r="K3146" s="26" t="str">
        <f>IFERROR(VLOOKUP(G3146,WholesaleExtract!B:K,10,FALSE),"")</f>
        <v/>
      </c>
      <c r="L3146" s="47" t="str">
        <f>IFERROR(VLOOKUP(G3146,WholesaleExtract!B:L,11,FALSE),"")</f>
        <v/>
      </c>
      <c r="M3146" s="47" t="str">
        <f>IFERROR(VLOOKUP(G3146,WholesaleExtract!B:M,12,FALSE),"")</f>
        <v/>
      </c>
      <c r="R3146" s="19"/>
      <c r="S3146" s="19"/>
    </row>
    <row r="3147" spans="1:19" x14ac:dyDescent="0.35">
      <c r="A3147" s="26" t="s">
        <v>543</v>
      </c>
      <c r="B3147" s="26" t="s">
        <v>543</v>
      </c>
      <c r="C3147" s="26"/>
      <c r="D3147" s="26" t="s">
        <v>543</v>
      </c>
      <c r="E3147" s="26" t="str">
        <f>IFERROR(VLOOKUP(G3147,WholesaleExtract!B:J,9,FALSE),"")</f>
        <v/>
      </c>
      <c r="F3147" s="26" t="str">
        <f>IFERROR(VLOOKUP(G3147,WholesaleExtract!B:J,6,FALSE),"")</f>
        <v/>
      </c>
      <c r="H3147" s="47" t="str">
        <f>IFERROR(VLOOKUP(G3147,WholesaleExtract!B:L,11,FALSE),"")</f>
        <v/>
      </c>
      <c r="I3147" s="26" t="str">
        <f>IFERROR(VLOOKUP(G3147,WholesaleExtract!B:O,8,FALSE),"")</f>
        <v/>
      </c>
      <c r="J3147" s="26" t="str">
        <f>IFERROR(VLOOKUP(G3147,WholesaleExtract!B:O,14,FALSE),"")</f>
        <v/>
      </c>
      <c r="K3147" s="26" t="str">
        <f>IFERROR(VLOOKUP(G3147,WholesaleExtract!B:K,10,FALSE),"")</f>
        <v/>
      </c>
      <c r="L3147" s="47" t="str">
        <f>IFERROR(VLOOKUP(G3147,WholesaleExtract!B:L,11,FALSE),"")</f>
        <v/>
      </c>
      <c r="M3147" s="47" t="str">
        <f>IFERROR(VLOOKUP(G3147,WholesaleExtract!B:M,12,FALSE),"")</f>
        <v/>
      </c>
      <c r="R3147" s="19"/>
      <c r="S3147" s="19"/>
    </row>
    <row r="3148" spans="1:19" x14ac:dyDescent="0.35">
      <c r="A3148" s="26" t="s">
        <v>543</v>
      </c>
      <c r="B3148" s="26" t="s">
        <v>543</v>
      </c>
      <c r="C3148" s="26"/>
      <c r="D3148" s="26" t="s">
        <v>543</v>
      </c>
      <c r="E3148" s="26" t="str">
        <f>IFERROR(VLOOKUP(G3148,WholesaleExtract!B:J,9,FALSE),"")</f>
        <v/>
      </c>
      <c r="F3148" s="26" t="str">
        <f>IFERROR(VLOOKUP(G3148,WholesaleExtract!B:J,6,FALSE),"")</f>
        <v/>
      </c>
      <c r="H3148" s="47" t="str">
        <f>IFERROR(VLOOKUP(G3148,WholesaleExtract!B:L,11,FALSE),"")</f>
        <v/>
      </c>
      <c r="I3148" s="26" t="str">
        <f>IFERROR(VLOOKUP(G3148,WholesaleExtract!B:O,8,FALSE),"")</f>
        <v/>
      </c>
      <c r="J3148" s="26" t="str">
        <f>IFERROR(VLOOKUP(G3148,WholesaleExtract!B:O,14,FALSE),"")</f>
        <v/>
      </c>
      <c r="K3148" s="26" t="str">
        <f>IFERROR(VLOOKUP(G3148,WholesaleExtract!B:K,10,FALSE),"")</f>
        <v/>
      </c>
      <c r="L3148" s="47" t="str">
        <f>IFERROR(VLOOKUP(G3148,WholesaleExtract!B:L,11,FALSE),"")</f>
        <v/>
      </c>
      <c r="M3148" s="47" t="str">
        <f>IFERROR(VLOOKUP(G3148,WholesaleExtract!B:M,12,FALSE),"")</f>
        <v/>
      </c>
      <c r="R3148" s="19"/>
      <c r="S3148" s="19"/>
    </row>
    <row r="3149" spans="1:19" x14ac:dyDescent="0.35">
      <c r="A3149" s="26" t="s">
        <v>543</v>
      </c>
      <c r="B3149" s="26" t="s">
        <v>543</v>
      </c>
      <c r="C3149" s="26"/>
      <c r="D3149" s="26" t="s">
        <v>543</v>
      </c>
      <c r="E3149" s="26" t="str">
        <f>IFERROR(VLOOKUP(G3149,WholesaleExtract!B:J,9,FALSE),"")</f>
        <v/>
      </c>
      <c r="F3149" s="26" t="str">
        <f>IFERROR(VLOOKUP(G3149,WholesaleExtract!B:J,6,FALSE),"")</f>
        <v/>
      </c>
      <c r="H3149" s="47" t="str">
        <f>IFERROR(VLOOKUP(G3149,WholesaleExtract!B:L,11,FALSE),"")</f>
        <v/>
      </c>
      <c r="I3149" s="26" t="str">
        <f>IFERROR(VLOOKUP(G3149,WholesaleExtract!B:O,8,FALSE),"")</f>
        <v/>
      </c>
      <c r="J3149" s="26" t="str">
        <f>IFERROR(VLOOKUP(G3149,WholesaleExtract!B:O,14,FALSE),"")</f>
        <v/>
      </c>
      <c r="K3149" s="26" t="str">
        <f>IFERROR(VLOOKUP(G3149,WholesaleExtract!B:K,10,FALSE),"")</f>
        <v/>
      </c>
      <c r="L3149" s="47" t="str">
        <f>IFERROR(VLOOKUP(G3149,WholesaleExtract!B:L,11,FALSE),"")</f>
        <v/>
      </c>
      <c r="M3149" s="47" t="str">
        <f>IFERROR(VLOOKUP(G3149,WholesaleExtract!B:M,12,FALSE),"")</f>
        <v/>
      </c>
      <c r="R3149" s="19"/>
      <c r="S3149" s="19"/>
    </row>
    <row r="3150" spans="1:19" x14ac:dyDescent="0.35">
      <c r="A3150" s="26" t="s">
        <v>543</v>
      </c>
      <c r="B3150" s="26" t="s">
        <v>543</v>
      </c>
      <c r="C3150" s="26"/>
      <c r="D3150" s="26" t="s">
        <v>543</v>
      </c>
      <c r="E3150" s="26" t="str">
        <f>IFERROR(VLOOKUP(G3150,WholesaleExtract!B:J,9,FALSE),"")</f>
        <v/>
      </c>
      <c r="F3150" s="26" t="str">
        <f>IFERROR(VLOOKUP(G3150,WholesaleExtract!B:J,6,FALSE),"")</f>
        <v/>
      </c>
      <c r="H3150" s="47" t="str">
        <f>IFERROR(VLOOKUP(G3150,WholesaleExtract!B:L,11,FALSE),"")</f>
        <v/>
      </c>
      <c r="I3150" s="26" t="str">
        <f>IFERROR(VLOOKUP(G3150,WholesaleExtract!B:O,8,FALSE),"")</f>
        <v/>
      </c>
      <c r="J3150" s="26" t="str">
        <f>IFERROR(VLOOKUP(G3150,WholesaleExtract!B:O,14,FALSE),"")</f>
        <v/>
      </c>
      <c r="K3150" s="26" t="str">
        <f>IFERROR(VLOOKUP(G3150,WholesaleExtract!B:K,10,FALSE),"")</f>
        <v/>
      </c>
      <c r="L3150" s="47" t="str">
        <f>IFERROR(VLOOKUP(G3150,WholesaleExtract!B:L,11,FALSE),"")</f>
        <v/>
      </c>
      <c r="M3150" s="47" t="str">
        <f>IFERROR(VLOOKUP(G3150,WholesaleExtract!B:M,12,FALSE),"")</f>
        <v/>
      </c>
      <c r="R3150" s="19"/>
      <c r="S3150" s="19"/>
    </row>
    <row r="3151" spans="1:19" x14ac:dyDescent="0.35">
      <c r="A3151" s="26" t="s">
        <v>543</v>
      </c>
      <c r="B3151" s="26" t="s">
        <v>543</v>
      </c>
      <c r="C3151" s="26"/>
      <c r="D3151" s="26" t="s">
        <v>543</v>
      </c>
      <c r="E3151" s="26" t="str">
        <f>IFERROR(VLOOKUP(G3151,WholesaleExtract!B:J,9,FALSE),"")</f>
        <v/>
      </c>
      <c r="F3151" s="26" t="str">
        <f>IFERROR(VLOOKUP(G3151,WholesaleExtract!B:J,6,FALSE),"")</f>
        <v/>
      </c>
      <c r="H3151" s="47" t="str">
        <f>IFERROR(VLOOKUP(G3151,WholesaleExtract!B:L,11,FALSE),"")</f>
        <v/>
      </c>
      <c r="I3151" s="26" t="str">
        <f>IFERROR(VLOOKUP(G3151,WholesaleExtract!B:O,8,FALSE),"")</f>
        <v/>
      </c>
      <c r="J3151" s="26" t="str">
        <f>IFERROR(VLOOKUP(G3151,WholesaleExtract!B:O,14,FALSE),"")</f>
        <v/>
      </c>
      <c r="K3151" s="26" t="str">
        <f>IFERROR(VLOOKUP(G3151,WholesaleExtract!B:K,10,FALSE),"")</f>
        <v/>
      </c>
      <c r="L3151" s="47" t="str">
        <f>IFERROR(VLOOKUP(G3151,WholesaleExtract!B:L,11,FALSE),"")</f>
        <v/>
      </c>
      <c r="M3151" s="47" t="str">
        <f>IFERROR(VLOOKUP(G3151,WholesaleExtract!B:M,12,FALSE),"")</f>
        <v/>
      </c>
      <c r="R3151" s="19"/>
      <c r="S3151" s="19"/>
    </row>
    <row r="3152" spans="1:19" x14ac:dyDescent="0.35">
      <c r="A3152" s="26" t="s">
        <v>543</v>
      </c>
      <c r="B3152" s="26" t="s">
        <v>543</v>
      </c>
      <c r="C3152" s="26"/>
      <c r="D3152" s="26" t="s">
        <v>543</v>
      </c>
      <c r="E3152" s="26" t="str">
        <f>IFERROR(VLOOKUP(G3152,WholesaleExtract!B:J,9,FALSE),"")</f>
        <v/>
      </c>
      <c r="F3152" s="26" t="str">
        <f>IFERROR(VLOOKUP(G3152,WholesaleExtract!B:J,6,FALSE),"")</f>
        <v/>
      </c>
      <c r="H3152" s="47" t="str">
        <f>IFERROR(VLOOKUP(G3152,WholesaleExtract!B:L,11,FALSE),"")</f>
        <v/>
      </c>
      <c r="I3152" s="26" t="str">
        <f>IFERROR(VLOOKUP(G3152,WholesaleExtract!B:O,8,FALSE),"")</f>
        <v/>
      </c>
      <c r="J3152" s="26" t="str">
        <f>IFERROR(VLOOKUP(G3152,WholesaleExtract!B:O,14,FALSE),"")</f>
        <v/>
      </c>
      <c r="K3152" s="26" t="str">
        <f>IFERROR(VLOOKUP(G3152,WholesaleExtract!B:K,10,FALSE),"")</f>
        <v/>
      </c>
      <c r="L3152" s="47" t="str">
        <f>IFERROR(VLOOKUP(G3152,WholesaleExtract!B:L,11,FALSE),"")</f>
        <v/>
      </c>
      <c r="M3152" s="47" t="str">
        <f>IFERROR(VLOOKUP(G3152,WholesaleExtract!B:M,12,FALSE),"")</f>
        <v/>
      </c>
      <c r="R3152" s="19"/>
      <c r="S3152" s="19"/>
    </row>
    <row r="3153" spans="1:19" x14ac:dyDescent="0.35">
      <c r="A3153" s="26" t="s">
        <v>543</v>
      </c>
      <c r="B3153" s="26" t="s">
        <v>543</v>
      </c>
      <c r="C3153" s="26"/>
      <c r="D3153" s="26" t="s">
        <v>543</v>
      </c>
      <c r="E3153" s="26" t="str">
        <f>IFERROR(VLOOKUP(G3153,WholesaleExtract!B:J,9,FALSE),"")</f>
        <v/>
      </c>
      <c r="F3153" s="26" t="str">
        <f>IFERROR(VLOOKUP(G3153,WholesaleExtract!B:J,6,FALSE),"")</f>
        <v/>
      </c>
      <c r="H3153" s="47" t="str">
        <f>IFERROR(VLOOKUP(G3153,WholesaleExtract!B:L,11,FALSE),"")</f>
        <v/>
      </c>
      <c r="I3153" s="26" t="str">
        <f>IFERROR(VLOOKUP(G3153,WholesaleExtract!B:O,8,FALSE),"")</f>
        <v/>
      </c>
      <c r="J3153" s="26" t="str">
        <f>IFERROR(VLOOKUP(G3153,WholesaleExtract!B:O,14,FALSE),"")</f>
        <v/>
      </c>
      <c r="K3153" s="26" t="str">
        <f>IFERROR(VLOOKUP(G3153,WholesaleExtract!B:K,10,FALSE),"")</f>
        <v/>
      </c>
      <c r="L3153" s="47" t="str">
        <f>IFERROR(VLOOKUP(G3153,WholesaleExtract!B:L,11,FALSE),"")</f>
        <v/>
      </c>
      <c r="M3153" s="47" t="str">
        <f>IFERROR(VLOOKUP(G3153,WholesaleExtract!B:M,12,FALSE),"")</f>
        <v/>
      </c>
      <c r="R3153" s="19"/>
      <c r="S3153" s="19"/>
    </row>
    <row r="3154" spans="1:19" x14ac:dyDescent="0.35">
      <c r="A3154" s="26" t="s">
        <v>543</v>
      </c>
      <c r="B3154" s="26" t="s">
        <v>543</v>
      </c>
      <c r="C3154" s="26"/>
      <c r="D3154" s="26" t="s">
        <v>543</v>
      </c>
      <c r="E3154" s="26" t="str">
        <f>IFERROR(VLOOKUP(G3154,WholesaleExtract!B:J,9,FALSE),"")</f>
        <v/>
      </c>
      <c r="F3154" s="26" t="str">
        <f>IFERROR(VLOOKUP(G3154,WholesaleExtract!B:J,6,FALSE),"")</f>
        <v/>
      </c>
      <c r="H3154" s="47" t="str">
        <f>IFERROR(VLOOKUP(G3154,WholesaleExtract!B:L,11,FALSE),"")</f>
        <v/>
      </c>
      <c r="I3154" s="26" t="str">
        <f>IFERROR(VLOOKUP(G3154,WholesaleExtract!B:O,8,FALSE),"")</f>
        <v/>
      </c>
      <c r="J3154" s="26" t="str">
        <f>IFERROR(VLOOKUP(G3154,WholesaleExtract!B:O,14,FALSE),"")</f>
        <v/>
      </c>
      <c r="K3154" s="26" t="str">
        <f>IFERROR(VLOOKUP(G3154,WholesaleExtract!B:K,10,FALSE),"")</f>
        <v/>
      </c>
      <c r="L3154" s="47" t="str">
        <f>IFERROR(VLOOKUP(G3154,WholesaleExtract!B:L,11,FALSE),"")</f>
        <v/>
      </c>
      <c r="M3154" s="47" t="str">
        <f>IFERROR(VLOOKUP(G3154,WholesaleExtract!B:M,12,FALSE),"")</f>
        <v/>
      </c>
      <c r="R3154" s="19"/>
      <c r="S3154" s="19"/>
    </row>
    <row r="3155" spans="1:19" x14ac:dyDescent="0.35">
      <c r="A3155" s="26" t="s">
        <v>543</v>
      </c>
      <c r="B3155" s="26" t="s">
        <v>543</v>
      </c>
      <c r="C3155" s="26"/>
      <c r="D3155" s="26" t="s">
        <v>543</v>
      </c>
      <c r="E3155" s="26" t="str">
        <f>IFERROR(VLOOKUP(G3155,WholesaleExtract!B:J,9,FALSE),"")</f>
        <v/>
      </c>
      <c r="F3155" s="26" t="str">
        <f>IFERROR(VLOOKUP(G3155,WholesaleExtract!B:J,6,FALSE),"")</f>
        <v/>
      </c>
      <c r="H3155" s="47" t="str">
        <f>IFERROR(VLOOKUP(G3155,WholesaleExtract!B:L,11,FALSE),"")</f>
        <v/>
      </c>
      <c r="I3155" s="26" t="str">
        <f>IFERROR(VLOOKUP(G3155,WholesaleExtract!B:O,8,FALSE),"")</f>
        <v/>
      </c>
      <c r="J3155" s="26" t="str">
        <f>IFERROR(VLOOKUP(G3155,WholesaleExtract!B:O,14,FALSE),"")</f>
        <v/>
      </c>
      <c r="K3155" s="26" t="str">
        <f>IFERROR(VLOOKUP(G3155,WholesaleExtract!B:K,10,FALSE),"")</f>
        <v/>
      </c>
      <c r="L3155" s="47" t="str">
        <f>IFERROR(VLOOKUP(G3155,WholesaleExtract!B:L,11,FALSE),"")</f>
        <v/>
      </c>
      <c r="M3155" s="47" t="str">
        <f>IFERROR(VLOOKUP(G3155,WholesaleExtract!B:M,12,FALSE),"")</f>
        <v/>
      </c>
      <c r="R3155" s="19"/>
      <c r="S3155" s="19"/>
    </row>
    <row r="3156" spans="1:19" x14ac:dyDescent="0.35">
      <c r="A3156" s="26" t="s">
        <v>543</v>
      </c>
      <c r="B3156" s="26" t="s">
        <v>543</v>
      </c>
      <c r="C3156" s="26"/>
      <c r="D3156" s="26" t="s">
        <v>543</v>
      </c>
      <c r="E3156" s="26" t="str">
        <f>IFERROR(VLOOKUP(G3156,WholesaleExtract!B:J,9,FALSE),"")</f>
        <v/>
      </c>
      <c r="F3156" s="26" t="str">
        <f>IFERROR(VLOOKUP(G3156,WholesaleExtract!B:J,6,FALSE),"")</f>
        <v/>
      </c>
      <c r="H3156" s="47" t="str">
        <f>IFERROR(VLOOKUP(G3156,WholesaleExtract!B:L,11,FALSE),"")</f>
        <v/>
      </c>
      <c r="I3156" s="26" t="str">
        <f>IFERROR(VLOOKUP(G3156,WholesaleExtract!B:O,8,FALSE),"")</f>
        <v/>
      </c>
      <c r="J3156" s="26" t="str">
        <f>IFERROR(VLOOKUP(G3156,WholesaleExtract!B:O,14,FALSE),"")</f>
        <v/>
      </c>
      <c r="K3156" s="26" t="str">
        <f>IFERROR(VLOOKUP(G3156,WholesaleExtract!B:K,10,FALSE),"")</f>
        <v/>
      </c>
      <c r="L3156" s="47" t="str">
        <f>IFERROR(VLOOKUP(G3156,WholesaleExtract!B:L,11,FALSE),"")</f>
        <v/>
      </c>
      <c r="M3156" s="47" t="str">
        <f>IFERROR(VLOOKUP(G3156,WholesaleExtract!B:M,12,FALSE),"")</f>
        <v/>
      </c>
      <c r="R3156" s="19"/>
      <c r="S3156" s="19"/>
    </row>
    <row r="3157" spans="1:19" x14ac:dyDescent="0.35">
      <c r="A3157" s="26" t="s">
        <v>543</v>
      </c>
      <c r="B3157" s="26" t="s">
        <v>543</v>
      </c>
      <c r="C3157" s="26"/>
      <c r="D3157" s="26" t="s">
        <v>543</v>
      </c>
      <c r="E3157" s="26" t="str">
        <f>IFERROR(VLOOKUP(G3157,WholesaleExtract!B:J,9,FALSE),"")</f>
        <v/>
      </c>
      <c r="F3157" s="26" t="str">
        <f>IFERROR(VLOOKUP(G3157,WholesaleExtract!B:J,6,FALSE),"")</f>
        <v/>
      </c>
      <c r="H3157" s="47" t="str">
        <f>IFERROR(VLOOKUP(G3157,WholesaleExtract!B:L,11,FALSE),"")</f>
        <v/>
      </c>
      <c r="I3157" s="26" t="str">
        <f>IFERROR(VLOOKUP(G3157,WholesaleExtract!B:O,8,FALSE),"")</f>
        <v/>
      </c>
      <c r="J3157" s="26" t="str">
        <f>IFERROR(VLOOKUP(G3157,WholesaleExtract!B:O,14,FALSE),"")</f>
        <v/>
      </c>
      <c r="K3157" s="26" t="str">
        <f>IFERROR(VLOOKUP(G3157,WholesaleExtract!B:K,10,FALSE),"")</f>
        <v/>
      </c>
      <c r="L3157" s="47" t="str">
        <f>IFERROR(VLOOKUP(G3157,WholesaleExtract!B:L,11,FALSE),"")</f>
        <v/>
      </c>
      <c r="M3157" s="47" t="str">
        <f>IFERROR(VLOOKUP(G3157,WholesaleExtract!B:M,12,FALSE),"")</f>
        <v/>
      </c>
      <c r="R3157" s="19"/>
      <c r="S3157" s="19"/>
    </row>
    <row r="3158" spans="1:19" x14ac:dyDescent="0.35">
      <c r="A3158" s="26" t="s">
        <v>543</v>
      </c>
      <c r="B3158" s="26" t="s">
        <v>543</v>
      </c>
      <c r="C3158" s="26"/>
      <c r="D3158" s="26" t="s">
        <v>543</v>
      </c>
      <c r="E3158" s="26" t="str">
        <f>IFERROR(VLOOKUP(G3158,WholesaleExtract!B:J,9,FALSE),"")</f>
        <v/>
      </c>
      <c r="F3158" s="26" t="str">
        <f>IFERROR(VLOOKUP(G3158,WholesaleExtract!B:J,6,FALSE),"")</f>
        <v/>
      </c>
      <c r="H3158" s="47" t="str">
        <f>IFERROR(VLOOKUP(G3158,WholesaleExtract!B:L,11,FALSE),"")</f>
        <v/>
      </c>
      <c r="I3158" s="26" t="str">
        <f>IFERROR(VLOOKUP(G3158,WholesaleExtract!B:O,8,FALSE),"")</f>
        <v/>
      </c>
      <c r="J3158" s="26" t="str">
        <f>IFERROR(VLOOKUP(G3158,WholesaleExtract!B:O,14,FALSE),"")</f>
        <v/>
      </c>
      <c r="K3158" s="26" t="str">
        <f>IFERROR(VLOOKUP(G3158,WholesaleExtract!B:K,10,FALSE),"")</f>
        <v/>
      </c>
      <c r="L3158" s="47" t="str">
        <f>IFERROR(VLOOKUP(G3158,WholesaleExtract!B:L,11,FALSE),"")</f>
        <v/>
      </c>
      <c r="M3158" s="47" t="str">
        <f>IFERROR(VLOOKUP(G3158,WholesaleExtract!B:M,12,FALSE),"")</f>
        <v/>
      </c>
      <c r="R3158" s="19"/>
      <c r="S3158" s="19"/>
    </row>
    <row r="3159" spans="1:19" x14ac:dyDescent="0.35">
      <c r="A3159" s="26" t="s">
        <v>543</v>
      </c>
      <c r="B3159" s="26" t="s">
        <v>543</v>
      </c>
      <c r="C3159" s="26"/>
      <c r="D3159" s="26" t="s">
        <v>543</v>
      </c>
      <c r="E3159" s="26" t="str">
        <f>IFERROR(VLOOKUP(G3159,WholesaleExtract!B:J,9,FALSE),"")</f>
        <v/>
      </c>
      <c r="F3159" s="26" t="str">
        <f>IFERROR(VLOOKUP(G3159,WholesaleExtract!B:J,6,FALSE),"")</f>
        <v/>
      </c>
      <c r="H3159" s="47" t="str">
        <f>IFERROR(VLOOKUP(G3159,WholesaleExtract!B:L,11,FALSE),"")</f>
        <v/>
      </c>
      <c r="I3159" s="26" t="str">
        <f>IFERROR(VLOOKUP(G3159,WholesaleExtract!B:O,8,FALSE),"")</f>
        <v/>
      </c>
      <c r="J3159" s="26" t="str">
        <f>IFERROR(VLOOKUP(G3159,WholesaleExtract!B:O,14,FALSE),"")</f>
        <v/>
      </c>
      <c r="K3159" s="26" t="str">
        <f>IFERROR(VLOOKUP(G3159,WholesaleExtract!B:K,10,FALSE),"")</f>
        <v/>
      </c>
      <c r="L3159" s="47" t="str">
        <f>IFERROR(VLOOKUP(G3159,WholesaleExtract!B:L,11,FALSE),"")</f>
        <v/>
      </c>
      <c r="M3159" s="47" t="str">
        <f>IFERROR(VLOOKUP(G3159,WholesaleExtract!B:M,12,FALSE),"")</f>
        <v/>
      </c>
      <c r="R3159" s="19"/>
      <c r="S3159" s="19"/>
    </row>
    <row r="3160" spans="1:19" x14ac:dyDescent="0.35">
      <c r="A3160" s="26" t="s">
        <v>543</v>
      </c>
      <c r="B3160" s="26" t="s">
        <v>543</v>
      </c>
      <c r="C3160" s="26"/>
      <c r="D3160" s="26" t="s">
        <v>543</v>
      </c>
      <c r="E3160" s="26" t="str">
        <f>IFERROR(VLOOKUP(G3160,WholesaleExtract!B:J,9,FALSE),"")</f>
        <v/>
      </c>
      <c r="F3160" s="26" t="str">
        <f>IFERROR(VLOOKUP(G3160,WholesaleExtract!B:J,6,FALSE),"")</f>
        <v/>
      </c>
      <c r="H3160" s="47" t="str">
        <f>IFERROR(VLOOKUP(G3160,WholesaleExtract!B:L,11,FALSE),"")</f>
        <v/>
      </c>
      <c r="I3160" s="26" t="str">
        <f>IFERROR(VLOOKUP(G3160,WholesaleExtract!B:O,8,FALSE),"")</f>
        <v/>
      </c>
      <c r="J3160" s="26" t="str">
        <f>IFERROR(VLOOKUP(G3160,WholesaleExtract!B:O,14,FALSE),"")</f>
        <v/>
      </c>
      <c r="K3160" s="26" t="str">
        <f>IFERROR(VLOOKUP(G3160,WholesaleExtract!B:K,10,FALSE),"")</f>
        <v/>
      </c>
      <c r="L3160" s="47" t="str">
        <f>IFERROR(VLOOKUP(G3160,WholesaleExtract!B:L,11,FALSE),"")</f>
        <v/>
      </c>
      <c r="M3160" s="47" t="str">
        <f>IFERROR(VLOOKUP(G3160,WholesaleExtract!B:M,12,FALSE),"")</f>
        <v/>
      </c>
      <c r="R3160" s="19"/>
      <c r="S3160" s="19"/>
    </row>
    <row r="3161" spans="1:19" x14ac:dyDescent="0.35">
      <c r="A3161" s="26" t="s">
        <v>543</v>
      </c>
      <c r="B3161" s="26" t="s">
        <v>543</v>
      </c>
      <c r="C3161" s="26"/>
      <c r="D3161" s="26" t="s">
        <v>543</v>
      </c>
      <c r="E3161" s="26" t="str">
        <f>IFERROR(VLOOKUP(G3161,WholesaleExtract!B:J,9,FALSE),"")</f>
        <v/>
      </c>
      <c r="F3161" s="26" t="str">
        <f>IFERROR(VLOOKUP(G3161,WholesaleExtract!B:J,6,FALSE),"")</f>
        <v/>
      </c>
      <c r="H3161" s="47" t="str">
        <f>IFERROR(VLOOKUP(G3161,WholesaleExtract!B:L,11,FALSE),"")</f>
        <v/>
      </c>
      <c r="I3161" s="26" t="str">
        <f>IFERROR(VLOOKUP(G3161,WholesaleExtract!B:O,8,FALSE),"")</f>
        <v/>
      </c>
      <c r="J3161" s="26" t="str">
        <f>IFERROR(VLOOKUP(G3161,WholesaleExtract!B:O,14,FALSE),"")</f>
        <v/>
      </c>
      <c r="K3161" s="26" t="str">
        <f>IFERROR(VLOOKUP(G3161,WholesaleExtract!B:K,10,FALSE),"")</f>
        <v/>
      </c>
      <c r="L3161" s="47" t="str">
        <f>IFERROR(VLOOKUP(G3161,WholesaleExtract!B:L,11,FALSE),"")</f>
        <v/>
      </c>
      <c r="M3161" s="47" t="str">
        <f>IFERROR(VLOOKUP(G3161,WholesaleExtract!B:M,12,FALSE),"")</f>
        <v/>
      </c>
      <c r="R3161" s="19"/>
      <c r="S3161" s="19"/>
    </row>
    <row r="3162" spans="1:19" x14ac:dyDescent="0.35">
      <c r="A3162" s="26" t="s">
        <v>543</v>
      </c>
      <c r="B3162" s="26" t="s">
        <v>543</v>
      </c>
      <c r="C3162" s="26"/>
      <c r="D3162" s="26" t="s">
        <v>543</v>
      </c>
      <c r="E3162" s="26" t="str">
        <f>IFERROR(VLOOKUP(G3162,WholesaleExtract!B:J,9,FALSE),"")</f>
        <v/>
      </c>
      <c r="F3162" s="26" t="str">
        <f>IFERROR(VLOOKUP(G3162,WholesaleExtract!B:J,6,FALSE),"")</f>
        <v/>
      </c>
      <c r="H3162" s="47" t="str">
        <f>IFERROR(VLOOKUP(G3162,WholesaleExtract!B:L,11,FALSE),"")</f>
        <v/>
      </c>
      <c r="I3162" s="26" t="str">
        <f>IFERROR(VLOOKUP(G3162,WholesaleExtract!B:O,8,FALSE),"")</f>
        <v/>
      </c>
      <c r="J3162" s="26" t="str">
        <f>IFERROR(VLOOKUP(G3162,WholesaleExtract!B:O,14,FALSE),"")</f>
        <v/>
      </c>
      <c r="K3162" s="26" t="str">
        <f>IFERROR(VLOOKUP(G3162,WholesaleExtract!B:K,10,FALSE),"")</f>
        <v/>
      </c>
      <c r="L3162" s="47" t="str">
        <f>IFERROR(VLOOKUP(G3162,WholesaleExtract!B:L,11,FALSE),"")</f>
        <v/>
      </c>
      <c r="M3162" s="47" t="str">
        <f>IFERROR(VLOOKUP(G3162,WholesaleExtract!B:M,12,FALSE),"")</f>
        <v/>
      </c>
      <c r="R3162" s="19"/>
      <c r="S3162" s="19"/>
    </row>
    <row r="3163" spans="1:19" x14ac:dyDescent="0.35">
      <c r="A3163" s="26" t="s">
        <v>543</v>
      </c>
      <c r="B3163" s="26" t="s">
        <v>543</v>
      </c>
      <c r="C3163" s="26"/>
      <c r="D3163" s="26" t="s">
        <v>543</v>
      </c>
      <c r="E3163" s="26" t="str">
        <f>IFERROR(VLOOKUP(G3163,WholesaleExtract!B:J,9,FALSE),"")</f>
        <v/>
      </c>
      <c r="F3163" s="26" t="str">
        <f>IFERROR(VLOOKUP(G3163,WholesaleExtract!B:J,6,FALSE),"")</f>
        <v/>
      </c>
      <c r="H3163" s="47" t="str">
        <f>IFERROR(VLOOKUP(G3163,WholesaleExtract!B:L,11,FALSE),"")</f>
        <v/>
      </c>
      <c r="I3163" s="26" t="str">
        <f>IFERROR(VLOOKUP(G3163,WholesaleExtract!B:O,8,FALSE),"")</f>
        <v/>
      </c>
      <c r="J3163" s="26" t="str">
        <f>IFERROR(VLOOKUP(G3163,WholesaleExtract!B:O,14,FALSE),"")</f>
        <v/>
      </c>
      <c r="K3163" s="26" t="str">
        <f>IFERROR(VLOOKUP(G3163,WholesaleExtract!B:K,10,FALSE),"")</f>
        <v/>
      </c>
      <c r="L3163" s="47" t="str">
        <f>IFERROR(VLOOKUP(G3163,WholesaleExtract!B:L,11,FALSE),"")</f>
        <v/>
      </c>
      <c r="M3163" s="47" t="str">
        <f>IFERROR(VLOOKUP(G3163,WholesaleExtract!B:M,12,FALSE),"")</f>
        <v/>
      </c>
      <c r="R3163" s="19"/>
      <c r="S3163" s="19"/>
    </row>
    <row r="3164" spans="1:19" x14ac:dyDescent="0.35">
      <c r="A3164" s="26" t="s">
        <v>543</v>
      </c>
      <c r="B3164" s="26" t="s">
        <v>543</v>
      </c>
      <c r="C3164" s="26"/>
      <c r="D3164" s="26" t="s">
        <v>543</v>
      </c>
      <c r="E3164" s="26" t="str">
        <f>IFERROR(VLOOKUP(G3164,WholesaleExtract!B:J,9,FALSE),"")</f>
        <v/>
      </c>
      <c r="F3164" s="26" t="str">
        <f>IFERROR(VLOOKUP(G3164,WholesaleExtract!B:J,6,FALSE),"")</f>
        <v/>
      </c>
      <c r="H3164" s="47" t="str">
        <f>IFERROR(VLOOKUP(G3164,WholesaleExtract!B:L,11,FALSE),"")</f>
        <v/>
      </c>
      <c r="I3164" s="26" t="str">
        <f>IFERROR(VLOOKUP(G3164,WholesaleExtract!B:O,8,FALSE),"")</f>
        <v/>
      </c>
      <c r="J3164" s="26" t="str">
        <f>IFERROR(VLOOKUP(G3164,WholesaleExtract!B:O,14,FALSE),"")</f>
        <v/>
      </c>
      <c r="K3164" s="26" t="str">
        <f>IFERROR(VLOOKUP(G3164,WholesaleExtract!B:K,10,FALSE),"")</f>
        <v/>
      </c>
      <c r="L3164" s="47" t="str">
        <f>IFERROR(VLOOKUP(G3164,WholesaleExtract!B:L,11,FALSE),"")</f>
        <v/>
      </c>
      <c r="M3164" s="47" t="str">
        <f>IFERROR(VLOOKUP(G3164,WholesaleExtract!B:M,12,FALSE),"")</f>
        <v/>
      </c>
      <c r="R3164" s="19"/>
      <c r="S3164" s="19"/>
    </row>
    <row r="3165" spans="1:19" x14ac:dyDescent="0.35">
      <c r="A3165" s="26" t="s">
        <v>543</v>
      </c>
      <c r="B3165" s="26" t="s">
        <v>543</v>
      </c>
      <c r="C3165" s="26"/>
      <c r="D3165" s="26" t="s">
        <v>543</v>
      </c>
      <c r="E3165" s="26" t="str">
        <f>IFERROR(VLOOKUP(G3165,WholesaleExtract!B:J,9,FALSE),"")</f>
        <v/>
      </c>
      <c r="F3165" s="26" t="str">
        <f>IFERROR(VLOOKUP(G3165,WholesaleExtract!B:J,6,FALSE),"")</f>
        <v/>
      </c>
      <c r="H3165" s="47" t="str">
        <f>IFERROR(VLOOKUP(G3165,WholesaleExtract!B:L,11,FALSE),"")</f>
        <v/>
      </c>
      <c r="I3165" s="26" t="str">
        <f>IFERROR(VLOOKUP(G3165,WholesaleExtract!B:O,8,FALSE),"")</f>
        <v/>
      </c>
      <c r="J3165" s="26" t="str">
        <f>IFERROR(VLOOKUP(G3165,WholesaleExtract!B:O,14,FALSE),"")</f>
        <v/>
      </c>
      <c r="K3165" s="26" t="str">
        <f>IFERROR(VLOOKUP(G3165,WholesaleExtract!B:K,10,FALSE),"")</f>
        <v/>
      </c>
      <c r="L3165" s="47" t="str">
        <f>IFERROR(VLOOKUP(G3165,WholesaleExtract!B:L,11,FALSE),"")</f>
        <v/>
      </c>
      <c r="M3165" s="47" t="str">
        <f>IFERROR(VLOOKUP(G3165,WholesaleExtract!B:M,12,FALSE),"")</f>
        <v/>
      </c>
      <c r="R3165" s="19"/>
      <c r="S3165" s="19"/>
    </row>
    <row r="3166" spans="1:19" x14ac:dyDescent="0.35">
      <c r="A3166" s="26" t="s">
        <v>543</v>
      </c>
      <c r="B3166" s="26" t="s">
        <v>543</v>
      </c>
      <c r="C3166" s="26"/>
      <c r="D3166" s="26" t="s">
        <v>543</v>
      </c>
      <c r="E3166" s="26" t="str">
        <f>IFERROR(VLOOKUP(G3166,WholesaleExtract!B:J,9,FALSE),"")</f>
        <v/>
      </c>
      <c r="F3166" s="26" t="str">
        <f>IFERROR(VLOOKUP(G3166,WholesaleExtract!B:J,6,FALSE),"")</f>
        <v/>
      </c>
      <c r="H3166" s="47" t="str">
        <f>IFERROR(VLOOKUP(G3166,WholesaleExtract!B:L,11,FALSE),"")</f>
        <v/>
      </c>
      <c r="I3166" s="26" t="str">
        <f>IFERROR(VLOOKUP(G3166,WholesaleExtract!B:O,8,FALSE),"")</f>
        <v/>
      </c>
      <c r="J3166" s="26" t="str">
        <f>IFERROR(VLOOKUP(G3166,WholesaleExtract!B:O,14,FALSE),"")</f>
        <v/>
      </c>
      <c r="K3166" s="26" t="str">
        <f>IFERROR(VLOOKUP(G3166,WholesaleExtract!B:K,10,FALSE),"")</f>
        <v/>
      </c>
      <c r="L3166" s="47" t="str">
        <f>IFERROR(VLOOKUP(G3166,WholesaleExtract!B:L,11,FALSE),"")</f>
        <v/>
      </c>
      <c r="M3166" s="47" t="str">
        <f>IFERROR(VLOOKUP(G3166,WholesaleExtract!B:M,12,FALSE),"")</f>
        <v/>
      </c>
      <c r="R3166" s="19"/>
      <c r="S3166" s="19"/>
    </row>
    <row r="3167" spans="1:19" x14ac:dyDescent="0.35">
      <c r="A3167" s="26" t="s">
        <v>543</v>
      </c>
      <c r="B3167" s="26" t="s">
        <v>543</v>
      </c>
      <c r="C3167" s="26"/>
      <c r="D3167" s="26" t="s">
        <v>543</v>
      </c>
      <c r="E3167" s="26" t="str">
        <f>IFERROR(VLOOKUP(G3167,WholesaleExtract!B:J,9,FALSE),"")</f>
        <v/>
      </c>
      <c r="F3167" s="26" t="str">
        <f>IFERROR(VLOOKUP(G3167,WholesaleExtract!B:J,6,FALSE),"")</f>
        <v/>
      </c>
      <c r="H3167" s="47" t="str">
        <f>IFERROR(VLOOKUP(G3167,WholesaleExtract!B:L,11,FALSE),"")</f>
        <v/>
      </c>
      <c r="I3167" s="26" t="str">
        <f>IFERROR(VLOOKUP(G3167,WholesaleExtract!B:O,8,FALSE),"")</f>
        <v/>
      </c>
      <c r="J3167" s="26" t="str">
        <f>IFERROR(VLOOKUP(G3167,WholesaleExtract!B:O,14,FALSE),"")</f>
        <v/>
      </c>
      <c r="K3167" s="26" t="str">
        <f>IFERROR(VLOOKUP(G3167,WholesaleExtract!B:K,10,FALSE),"")</f>
        <v/>
      </c>
      <c r="L3167" s="47" t="str">
        <f>IFERROR(VLOOKUP(G3167,WholesaleExtract!B:L,11,FALSE),"")</f>
        <v/>
      </c>
      <c r="M3167" s="47" t="str">
        <f>IFERROR(VLOOKUP(G3167,WholesaleExtract!B:M,12,FALSE),"")</f>
        <v/>
      </c>
      <c r="R3167" s="19"/>
      <c r="S3167" s="19"/>
    </row>
    <row r="3168" spans="1:19" x14ac:dyDescent="0.35">
      <c r="A3168" s="26" t="s">
        <v>543</v>
      </c>
      <c r="B3168" s="26" t="s">
        <v>543</v>
      </c>
      <c r="C3168" s="26"/>
      <c r="D3168" s="26" t="s">
        <v>543</v>
      </c>
      <c r="E3168" s="26" t="str">
        <f>IFERROR(VLOOKUP(G3168,WholesaleExtract!B:J,9,FALSE),"")</f>
        <v/>
      </c>
      <c r="F3168" s="26" t="str">
        <f>IFERROR(VLOOKUP(G3168,WholesaleExtract!B:J,6,FALSE),"")</f>
        <v/>
      </c>
      <c r="H3168" s="47" t="str">
        <f>IFERROR(VLOOKUP(G3168,WholesaleExtract!B:L,11,FALSE),"")</f>
        <v/>
      </c>
      <c r="I3168" s="26" t="str">
        <f>IFERROR(VLOOKUP(G3168,WholesaleExtract!B:O,8,FALSE),"")</f>
        <v/>
      </c>
      <c r="J3168" s="26" t="str">
        <f>IFERROR(VLOOKUP(G3168,WholesaleExtract!B:O,14,FALSE),"")</f>
        <v/>
      </c>
      <c r="K3168" s="26" t="str">
        <f>IFERROR(VLOOKUP(G3168,WholesaleExtract!B:K,10,FALSE),"")</f>
        <v/>
      </c>
      <c r="L3168" s="47" t="str">
        <f>IFERROR(VLOOKUP(G3168,WholesaleExtract!B:L,11,FALSE),"")</f>
        <v/>
      </c>
      <c r="M3168" s="47" t="str">
        <f>IFERROR(VLOOKUP(G3168,WholesaleExtract!B:M,12,FALSE),"")</f>
        <v/>
      </c>
      <c r="R3168" s="19"/>
      <c r="S3168" s="19"/>
    </row>
    <row r="3169" spans="1:19" x14ac:dyDescent="0.35">
      <c r="A3169" s="26" t="s">
        <v>543</v>
      </c>
      <c r="B3169" s="26" t="s">
        <v>543</v>
      </c>
      <c r="C3169" s="26"/>
      <c r="D3169" s="26" t="s">
        <v>543</v>
      </c>
      <c r="E3169" s="26" t="str">
        <f>IFERROR(VLOOKUP(G3169,WholesaleExtract!B:J,9,FALSE),"")</f>
        <v/>
      </c>
      <c r="F3169" s="26" t="str">
        <f>IFERROR(VLOOKUP(G3169,WholesaleExtract!B:J,6,FALSE),"")</f>
        <v/>
      </c>
      <c r="H3169" s="47" t="str">
        <f>IFERROR(VLOOKUP(G3169,WholesaleExtract!B:L,11,FALSE),"")</f>
        <v/>
      </c>
      <c r="I3169" s="26" t="str">
        <f>IFERROR(VLOOKUP(G3169,WholesaleExtract!B:O,8,FALSE),"")</f>
        <v/>
      </c>
      <c r="J3169" s="26" t="str">
        <f>IFERROR(VLOOKUP(G3169,WholesaleExtract!B:O,14,FALSE),"")</f>
        <v/>
      </c>
      <c r="K3169" s="26" t="str">
        <f>IFERROR(VLOOKUP(G3169,WholesaleExtract!B:K,10,FALSE),"")</f>
        <v/>
      </c>
      <c r="L3169" s="47" t="str">
        <f>IFERROR(VLOOKUP(G3169,WholesaleExtract!B:L,11,FALSE),"")</f>
        <v/>
      </c>
      <c r="M3169" s="47" t="str">
        <f>IFERROR(VLOOKUP(G3169,WholesaleExtract!B:M,12,FALSE),"")</f>
        <v/>
      </c>
      <c r="R3169" s="19"/>
      <c r="S3169" s="19"/>
    </row>
    <row r="3170" spans="1:19" x14ac:dyDescent="0.35">
      <c r="A3170" s="26" t="s">
        <v>543</v>
      </c>
      <c r="B3170" s="26" t="s">
        <v>543</v>
      </c>
      <c r="C3170" s="26"/>
      <c r="D3170" s="26" t="s">
        <v>543</v>
      </c>
      <c r="E3170" s="26" t="str">
        <f>IFERROR(VLOOKUP(G3170,WholesaleExtract!B:J,9,FALSE),"")</f>
        <v/>
      </c>
      <c r="F3170" s="26" t="str">
        <f>IFERROR(VLOOKUP(G3170,WholesaleExtract!B:J,6,FALSE),"")</f>
        <v/>
      </c>
      <c r="H3170" s="47" t="str">
        <f>IFERROR(VLOOKUP(G3170,WholesaleExtract!B:L,11,FALSE),"")</f>
        <v/>
      </c>
      <c r="I3170" s="26" t="str">
        <f>IFERROR(VLOOKUP(G3170,WholesaleExtract!B:O,8,FALSE),"")</f>
        <v/>
      </c>
      <c r="J3170" s="26" t="str">
        <f>IFERROR(VLOOKUP(G3170,WholesaleExtract!B:O,14,FALSE),"")</f>
        <v/>
      </c>
      <c r="K3170" s="26" t="str">
        <f>IFERROR(VLOOKUP(G3170,WholesaleExtract!B:K,10,FALSE),"")</f>
        <v/>
      </c>
      <c r="L3170" s="47" t="str">
        <f>IFERROR(VLOOKUP(G3170,WholesaleExtract!B:L,11,FALSE),"")</f>
        <v/>
      </c>
      <c r="M3170" s="47" t="str">
        <f>IFERROR(VLOOKUP(G3170,WholesaleExtract!B:M,12,FALSE),"")</f>
        <v/>
      </c>
      <c r="R3170" s="19"/>
      <c r="S3170" s="19"/>
    </row>
    <row r="3171" spans="1:19" x14ac:dyDescent="0.35">
      <c r="A3171" s="26" t="s">
        <v>543</v>
      </c>
      <c r="B3171" s="26" t="s">
        <v>543</v>
      </c>
      <c r="C3171" s="26"/>
      <c r="D3171" s="26" t="s">
        <v>543</v>
      </c>
      <c r="E3171" s="26" t="str">
        <f>IFERROR(VLOOKUP(G3171,WholesaleExtract!B:J,9,FALSE),"")</f>
        <v/>
      </c>
      <c r="F3171" s="26" t="str">
        <f>IFERROR(VLOOKUP(G3171,WholesaleExtract!B:J,6,FALSE),"")</f>
        <v/>
      </c>
      <c r="H3171" s="47" t="str">
        <f>IFERROR(VLOOKUP(G3171,WholesaleExtract!B:L,11,FALSE),"")</f>
        <v/>
      </c>
      <c r="I3171" s="26" t="str">
        <f>IFERROR(VLOOKUP(G3171,WholesaleExtract!B:O,8,FALSE),"")</f>
        <v/>
      </c>
      <c r="J3171" s="26" t="str">
        <f>IFERROR(VLOOKUP(G3171,WholesaleExtract!B:O,14,FALSE),"")</f>
        <v/>
      </c>
      <c r="K3171" s="26" t="str">
        <f>IFERROR(VLOOKUP(G3171,WholesaleExtract!B:K,10,FALSE),"")</f>
        <v/>
      </c>
      <c r="L3171" s="47" t="str">
        <f>IFERROR(VLOOKUP(G3171,WholesaleExtract!B:L,11,FALSE),"")</f>
        <v/>
      </c>
      <c r="M3171" s="47" t="str">
        <f>IFERROR(VLOOKUP(G3171,WholesaleExtract!B:M,12,FALSE),"")</f>
        <v/>
      </c>
      <c r="R3171" s="19"/>
      <c r="S3171" s="19"/>
    </row>
    <row r="3172" spans="1:19" x14ac:dyDescent="0.35">
      <c r="A3172" s="26" t="s">
        <v>543</v>
      </c>
      <c r="B3172" s="26" t="s">
        <v>543</v>
      </c>
      <c r="C3172" s="26"/>
      <c r="D3172" s="26" t="s">
        <v>543</v>
      </c>
      <c r="E3172" s="26" t="str">
        <f>IFERROR(VLOOKUP(G3172,WholesaleExtract!B:J,9,FALSE),"")</f>
        <v/>
      </c>
      <c r="F3172" s="26" t="str">
        <f>IFERROR(VLOOKUP(G3172,WholesaleExtract!B:J,6,FALSE),"")</f>
        <v/>
      </c>
      <c r="H3172" s="47" t="str">
        <f>IFERROR(VLOOKUP(G3172,WholesaleExtract!B:L,11,FALSE),"")</f>
        <v/>
      </c>
      <c r="I3172" s="26" t="str">
        <f>IFERROR(VLOOKUP(G3172,WholesaleExtract!B:O,8,FALSE),"")</f>
        <v/>
      </c>
      <c r="J3172" s="26" t="str">
        <f>IFERROR(VLOOKUP(G3172,WholesaleExtract!B:O,14,FALSE),"")</f>
        <v/>
      </c>
      <c r="K3172" s="26" t="str">
        <f>IFERROR(VLOOKUP(G3172,WholesaleExtract!B:K,10,FALSE),"")</f>
        <v/>
      </c>
      <c r="L3172" s="47" t="str">
        <f>IFERROR(VLOOKUP(G3172,WholesaleExtract!B:L,11,FALSE),"")</f>
        <v/>
      </c>
      <c r="M3172" s="47" t="str">
        <f>IFERROR(VLOOKUP(G3172,WholesaleExtract!B:M,12,FALSE),"")</f>
        <v/>
      </c>
      <c r="R3172" s="19"/>
      <c r="S3172" s="19"/>
    </row>
    <row r="3173" spans="1:19" x14ac:dyDescent="0.35">
      <c r="A3173" s="26" t="s">
        <v>543</v>
      </c>
      <c r="B3173" s="26" t="s">
        <v>543</v>
      </c>
      <c r="C3173" s="26"/>
      <c r="D3173" s="26" t="s">
        <v>543</v>
      </c>
      <c r="E3173" s="26" t="str">
        <f>IFERROR(VLOOKUP(G3173,WholesaleExtract!B:J,9,FALSE),"")</f>
        <v/>
      </c>
      <c r="F3173" s="26" t="str">
        <f>IFERROR(VLOOKUP(G3173,WholesaleExtract!B:J,6,FALSE),"")</f>
        <v/>
      </c>
      <c r="H3173" s="47" t="str">
        <f>IFERROR(VLOOKUP(G3173,WholesaleExtract!B:L,11,FALSE),"")</f>
        <v/>
      </c>
      <c r="I3173" s="26" t="str">
        <f>IFERROR(VLOOKUP(G3173,WholesaleExtract!B:O,8,FALSE),"")</f>
        <v/>
      </c>
      <c r="J3173" s="26" t="str">
        <f>IFERROR(VLOOKUP(G3173,WholesaleExtract!B:O,14,FALSE),"")</f>
        <v/>
      </c>
      <c r="K3173" s="26" t="str">
        <f>IFERROR(VLOOKUP(G3173,WholesaleExtract!B:K,10,FALSE),"")</f>
        <v/>
      </c>
      <c r="L3173" s="47" t="str">
        <f>IFERROR(VLOOKUP(G3173,WholesaleExtract!B:L,11,FALSE),"")</f>
        <v/>
      </c>
      <c r="M3173" s="47" t="str">
        <f>IFERROR(VLOOKUP(G3173,WholesaleExtract!B:M,12,FALSE),"")</f>
        <v/>
      </c>
      <c r="R3173" s="19"/>
      <c r="S3173" s="19"/>
    </row>
    <row r="3174" spans="1:19" x14ac:dyDescent="0.35">
      <c r="A3174" s="26" t="s">
        <v>543</v>
      </c>
      <c r="B3174" s="26" t="s">
        <v>543</v>
      </c>
      <c r="C3174" s="26"/>
      <c r="D3174" s="26" t="s">
        <v>543</v>
      </c>
      <c r="E3174" s="26" t="str">
        <f>IFERROR(VLOOKUP(G3174,WholesaleExtract!B:J,9,FALSE),"")</f>
        <v/>
      </c>
      <c r="F3174" s="26" t="str">
        <f>IFERROR(VLOOKUP(G3174,WholesaleExtract!B:J,6,FALSE),"")</f>
        <v/>
      </c>
      <c r="H3174" s="47" t="str">
        <f>IFERROR(VLOOKUP(G3174,WholesaleExtract!B:L,11,FALSE),"")</f>
        <v/>
      </c>
      <c r="I3174" s="26" t="str">
        <f>IFERROR(VLOOKUP(G3174,WholesaleExtract!B:O,8,FALSE),"")</f>
        <v/>
      </c>
      <c r="J3174" s="26" t="str">
        <f>IFERROR(VLOOKUP(G3174,WholesaleExtract!B:O,14,FALSE),"")</f>
        <v/>
      </c>
      <c r="K3174" s="26" t="str">
        <f>IFERROR(VLOOKUP(G3174,WholesaleExtract!B:K,10,FALSE),"")</f>
        <v/>
      </c>
      <c r="L3174" s="47" t="str">
        <f>IFERROR(VLOOKUP(G3174,WholesaleExtract!B:L,11,FALSE),"")</f>
        <v/>
      </c>
      <c r="M3174" s="47" t="str">
        <f>IFERROR(VLOOKUP(G3174,WholesaleExtract!B:M,12,FALSE),"")</f>
        <v/>
      </c>
      <c r="R3174" s="19"/>
      <c r="S3174" s="19"/>
    </row>
    <row r="3175" spans="1:19" x14ac:dyDescent="0.35">
      <c r="A3175" s="26" t="s">
        <v>543</v>
      </c>
      <c r="B3175" s="26" t="s">
        <v>543</v>
      </c>
      <c r="C3175" s="26"/>
      <c r="D3175" s="26" t="s">
        <v>543</v>
      </c>
      <c r="E3175" s="26" t="str">
        <f>IFERROR(VLOOKUP(G3175,WholesaleExtract!B:J,9,FALSE),"")</f>
        <v/>
      </c>
      <c r="F3175" s="26" t="str">
        <f>IFERROR(VLOOKUP(G3175,WholesaleExtract!B:J,6,FALSE),"")</f>
        <v/>
      </c>
      <c r="H3175" s="47" t="str">
        <f>IFERROR(VLOOKUP(G3175,WholesaleExtract!B:L,11,FALSE),"")</f>
        <v/>
      </c>
      <c r="I3175" s="26" t="str">
        <f>IFERROR(VLOOKUP(G3175,WholesaleExtract!B:O,8,FALSE),"")</f>
        <v/>
      </c>
      <c r="J3175" s="26" t="str">
        <f>IFERROR(VLOOKUP(G3175,WholesaleExtract!B:O,14,FALSE),"")</f>
        <v/>
      </c>
      <c r="K3175" s="26" t="str">
        <f>IFERROR(VLOOKUP(G3175,WholesaleExtract!B:K,10,FALSE),"")</f>
        <v/>
      </c>
      <c r="L3175" s="47" t="str">
        <f>IFERROR(VLOOKUP(G3175,WholesaleExtract!B:L,11,FALSE),"")</f>
        <v/>
      </c>
      <c r="M3175" s="47" t="str">
        <f>IFERROR(VLOOKUP(G3175,WholesaleExtract!B:M,12,FALSE),"")</f>
        <v/>
      </c>
      <c r="R3175" s="19"/>
      <c r="S3175" s="19"/>
    </row>
    <row r="3176" spans="1:19" x14ac:dyDescent="0.35">
      <c r="A3176" s="26" t="s">
        <v>543</v>
      </c>
      <c r="B3176" s="26" t="s">
        <v>543</v>
      </c>
      <c r="C3176" s="26"/>
      <c r="D3176" s="26" t="s">
        <v>543</v>
      </c>
      <c r="E3176" s="26" t="str">
        <f>IFERROR(VLOOKUP(G3176,WholesaleExtract!B:J,9,FALSE),"")</f>
        <v/>
      </c>
      <c r="F3176" s="26" t="str">
        <f>IFERROR(VLOOKUP(G3176,WholesaleExtract!B:J,6,FALSE),"")</f>
        <v/>
      </c>
      <c r="H3176" s="47" t="str">
        <f>IFERROR(VLOOKUP(G3176,WholesaleExtract!B:L,11,FALSE),"")</f>
        <v/>
      </c>
      <c r="I3176" s="26" t="str">
        <f>IFERROR(VLOOKUP(G3176,WholesaleExtract!B:O,8,FALSE),"")</f>
        <v/>
      </c>
      <c r="J3176" s="26" t="str">
        <f>IFERROR(VLOOKUP(G3176,WholesaleExtract!B:O,14,FALSE),"")</f>
        <v/>
      </c>
      <c r="K3176" s="26" t="str">
        <f>IFERROR(VLOOKUP(G3176,WholesaleExtract!B:K,10,FALSE),"")</f>
        <v/>
      </c>
      <c r="L3176" s="47" t="str">
        <f>IFERROR(VLOOKUP(G3176,WholesaleExtract!B:L,11,FALSE),"")</f>
        <v/>
      </c>
      <c r="M3176" s="47" t="str">
        <f>IFERROR(VLOOKUP(G3176,WholesaleExtract!B:M,12,FALSE),"")</f>
        <v/>
      </c>
      <c r="R3176" s="19"/>
      <c r="S3176" s="19"/>
    </row>
    <row r="3177" spans="1:19" x14ac:dyDescent="0.35">
      <c r="A3177" s="26" t="s">
        <v>543</v>
      </c>
      <c r="B3177" s="26" t="s">
        <v>543</v>
      </c>
      <c r="C3177" s="26"/>
      <c r="D3177" s="26" t="s">
        <v>543</v>
      </c>
      <c r="E3177" s="26" t="str">
        <f>IFERROR(VLOOKUP(G3177,WholesaleExtract!B:J,9,FALSE),"")</f>
        <v/>
      </c>
      <c r="F3177" s="26" t="str">
        <f>IFERROR(VLOOKUP(G3177,WholesaleExtract!B:J,6,FALSE),"")</f>
        <v/>
      </c>
      <c r="H3177" s="47" t="str">
        <f>IFERROR(VLOOKUP(G3177,WholesaleExtract!B:L,11,FALSE),"")</f>
        <v/>
      </c>
      <c r="I3177" s="26" t="str">
        <f>IFERROR(VLOOKUP(G3177,WholesaleExtract!B:O,8,FALSE),"")</f>
        <v/>
      </c>
      <c r="J3177" s="26" t="str">
        <f>IFERROR(VLOOKUP(G3177,WholesaleExtract!B:O,14,FALSE),"")</f>
        <v/>
      </c>
      <c r="K3177" s="26" t="str">
        <f>IFERROR(VLOOKUP(G3177,WholesaleExtract!B:K,10,FALSE),"")</f>
        <v/>
      </c>
      <c r="L3177" s="47" t="str">
        <f>IFERROR(VLOOKUP(G3177,WholesaleExtract!B:L,11,FALSE),"")</f>
        <v/>
      </c>
      <c r="M3177" s="47" t="str">
        <f>IFERROR(VLOOKUP(G3177,WholesaleExtract!B:M,12,FALSE),"")</f>
        <v/>
      </c>
      <c r="R3177" s="19"/>
      <c r="S3177" s="19"/>
    </row>
    <row r="3178" spans="1:19" x14ac:dyDescent="0.35">
      <c r="A3178" s="26" t="s">
        <v>543</v>
      </c>
      <c r="B3178" s="26" t="s">
        <v>543</v>
      </c>
      <c r="C3178" s="26"/>
      <c r="D3178" s="26" t="s">
        <v>543</v>
      </c>
      <c r="E3178" s="26" t="str">
        <f>IFERROR(VLOOKUP(G3178,WholesaleExtract!B:J,9,FALSE),"")</f>
        <v/>
      </c>
      <c r="F3178" s="26" t="str">
        <f>IFERROR(VLOOKUP(G3178,WholesaleExtract!B:J,6,FALSE),"")</f>
        <v/>
      </c>
      <c r="H3178" s="47" t="str">
        <f>IFERROR(VLOOKUP(G3178,WholesaleExtract!B:L,11,FALSE),"")</f>
        <v/>
      </c>
      <c r="I3178" s="26" t="str">
        <f>IFERROR(VLOOKUP(G3178,WholesaleExtract!B:O,8,FALSE),"")</f>
        <v/>
      </c>
      <c r="J3178" s="26" t="str">
        <f>IFERROR(VLOOKUP(G3178,WholesaleExtract!B:O,14,FALSE),"")</f>
        <v/>
      </c>
      <c r="K3178" s="26" t="str">
        <f>IFERROR(VLOOKUP(G3178,WholesaleExtract!B:K,10,FALSE),"")</f>
        <v/>
      </c>
      <c r="L3178" s="47" t="str">
        <f>IFERROR(VLOOKUP(G3178,WholesaleExtract!B:L,11,FALSE),"")</f>
        <v/>
      </c>
      <c r="M3178" s="47" t="str">
        <f>IFERROR(VLOOKUP(G3178,WholesaleExtract!B:M,12,FALSE),"")</f>
        <v/>
      </c>
      <c r="R3178" s="19"/>
      <c r="S3178" s="19"/>
    </row>
    <row r="3179" spans="1:19" x14ac:dyDescent="0.35">
      <c r="A3179" s="26" t="s">
        <v>543</v>
      </c>
      <c r="B3179" s="26" t="s">
        <v>543</v>
      </c>
      <c r="C3179" s="26"/>
      <c r="D3179" s="26" t="s">
        <v>543</v>
      </c>
      <c r="E3179" s="26" t="str">
        <f>IFERROR(VLOOKUP(G3179,WholesaleExtract!B:J,9,FALSE),"")</f>
        <v/>
      </c>
      <c r="F3179" s="26" t="str">
        <f>IFERROR(VLOOKUP(G3179,WholesaleExtract!B:J,6,FALSE),"")</f>
        <v/>
      </c>
      <c r="H3179" s="47" t="str">
        <f>IFERROR(VLOOKUP(G3179,WholesaleExtract!B:L,11,FALSE),"")</f>
        <v/>
      </c>
      <c r="I3179" s="26" t="str">
        <f>IFERROR(VLOOKUP(G3179,WholesaleExtract!B:O,8,FALSE),"")</f>
        <v/>
      </c>
      <c r="J3179" s="26" t="str">
        <f>IFERROR(VLOOKUP(G3179,WholesaleExtract!B:O,14,FALSE),"")</f>
        <v/>
      </c>
      <c r="K3179" s="26" t="str">
        <f>IFERROR(VLOOKUP(G3179,WholesaleExtract!B:K,10,FALSE),"")</f>
        <v/>
      </c>
      <c r="L3179" s="47" t="str">
        <f>IFERROR(VLOOKUP(G3179,WholesaleExtract!B:L,11,FALSE),"")</f>
        <v/>
      </c>
      <c r="M3179" s="47" t="str">
        <f>IFERROR(VLOOKUP(G3179,WholesaleExtract!B:M,12,FALSE),"")</f>
        <v/>
      </c>
      <c r="R3179" s="19"/>
      <c r="S3179" s="19"/>
    </row>
    <row r="3180" spans="1:19" x14ac:dyDescent="0.35">
      <c r="A3180" s="26" t="s">
        <v>543</v>
      </c>
      <c r="B3180" s="26" t="s">
        <v>543</v>
      </c>
      <c r="C3180" s="26"/>
      <c r="D3180" s="26" t="s">
        <v>543</v>
      </c>
      <c r="E3180" s="26" t="str">
        <f>IFERROR(VLOOKUP(G3180,WholesaleExtract!B:J,9,FALSE),"")</f>
        <v/>
      </c>
      <c r="F3180" s="26" t="str">
        <f>IFERROR(VLOOKUP(G3180,WholesaleExtract!B:J,6,FALSE),"")</f>
        <v/>
      </c>
      <c r="H3180" s="47" t="str">
        <f>IFERROR(VLOOKUP(G3180,WholesaleExtract!B:L,11,FALSE),"")</f>
        <v/>
      </c>
      <c r="I3180" s="26" t="str">
        <f>IFERROR(VLOOKUP(G3180,WholesaleExtract!B:O,8,FALSE),"")</f>
        <v/>
      </c>
      <c r="J3180" s="26" t="str">
        <f>IFERROR(VLOOKUP(G3180,WholesaleExtract!B:O,14,FALSE),"")</f>
        <v/>
      </c>
      <c r="K3180" s="26" t="str">
        <f>IFERROR(VLOOKUP(G3180,WholesaleExtract!B:K,10,FALSE),"")</f>
        <v/>
      </c>
      <c r="L3180" s="47" t="str">
        <f>IFERROR(VLOOKUP(G3180,WholesaleExtract!B:L,11,FALSE),"")</f>
        <v/>
      </c>
      <c r="M3180" s="47" t="str">
        <f>IFERROR(VLOOKUP(G3180,WholesaleExtract!B:M,12,FALSE),"")</f>
        <v/>
      </c>
      <c r="R3180" s="19"/>
      <c r="S3180" s="19"/>
    </row>
    <row r="3181" spans="1:19" x14ac:dyDescent="0.35">
      <c r="A3181" s="26" t="s">
        <v>543</v>
      </c>
      <c r="B3181" s="26" t="s">
        <v>543</v>
      </c>
      <c r="C3181" s="26"/>
      <c r="D3181" s="26" t="s">
        <v>543</v>
      </c>
      <c r="E3181" s="26" t="str">
        <f>IFERROR(VLOOKUP(G3181,WholesaleExtract!B:J,9,FALSE),"")</f>
        <v/>
      </c>
      <c r="F3181" s="26" t="str">
        <f>IFERROR(VLOOKUP(G3181,WholesaleExtract!B:J,6,FALSE),"")</f>
        <v/>
      </c>
      <c r="H3181" s="47" t="str">
        <f>IFERROR(VLOOKUP(G3181,WholesaleExtract!B:L,11,FALSE),"")</f>
        <v/>
      </c>
      <c r="I3181" s="26" t="str">
        <f>IFERROR(VLOOKUP(G3181,WholesaleExtract!B:O,8,FALSE),"")</f>
        <v/>
      </c>
      <c r="J3181" s="26" t="str">
        <f>IFERROR(VLOOKUP(G3181,WholesaleExtract!B:O,14,FALSE),"")</f>
        <v/>
      </c>
      <c r="K3181" s="26" t="str">
        <f>IFERROR(VLOOKUP(G3181,WholesaleExtract!B:K,10,FALSE),"")</f>
        <v/>
      </c>
      <c r="L3181" s="47" t="str">
        <f>IFERROR(VLOOKUP(G3181,WholesaleExtract!B:L,11,FALSE),"")</f>
        <v/>
      </c>
      <c r="M3181" s="47" t="str">
        <f>IFERROR(VLOOKUP(G3181,WholesaleExtract!B:M,12,FALSE),"")</f>
        <v/>
      </c>
      <c r="R3181" s="19"/>
      <c r="S3181" s="19"/>
    </row>
    <row r="3182" spans="1:19" x14ac:dyDescent="0.35">
      <c r="A3182" s="26" t="s">
        <v>543</v>
      </c>
      <c r="B3182" s="26" t="s">
        <v>543</v>
      </c>
      <c r="C3182" s="26"/>
      <c r="D3182" s="26" t="s">
        <v>543</v>
      </c>
      <c r="E3182" s="26" t="str">
        <f>IFERROR(VLOOKUP(G3182,WholesaleExtract!B:J,9,FALSE),"")</f>
        <v/>
      </c>
      <c r="F3182" s="26" t="str">
        <f>IFERROR(VLOOKUP(G3182,WholesaleExtract!B:J,6,FALSE),"")</f>
        <v/>
      </c>
      <c r="H3182" s="47" t="str">
        <f>IFERROR(VLOOKUP(G3182,WholesaleExtract!B:L,11,FALSE),"")</f>
        <v/>
      </c>
      <c r="I3182" s="26" t="str">
        <f>IFERROR(VLOOKUP(G3182,WholesaleExtract!B:O,8,FALSE),"")</f>
        <v/>
      </c>
      <c r="J3182" s="26" t="str">
        <f>IFERROR(VLOOKUP(G3182,WholesaleExtract!B:O,14,FALSE),"")</f>
        <v/>
      </c>
      <c r="K3182" s="26" t="str">
        <f>IFERROR(VLOOKUP(G3182,WholesaleExtract!B:K,10,FALSE),"")</f>
        <v/>
      </c>
      <c r="L3182" s="47" t="str">
        <f>IFERROR(VLOOKUP(G3182,WholesaleExtract!B:L,11,FALSE),"")</f>
        <v/>
      </c>
      <c r="M3182" s="47" t="str">
        <f>IFERROR(VLOOKUP(G3182,WholesaleExtract!B:M,12,FALSE),"")</f>
        <v/>
      </c>
      <c r="R3182" s="19"/>
      <c r="S3182" s="19"/>
    </row>
    <row r="3183" spans="1:19" x14ac:dyDescent="0.35">
      <c r="A3183" s="26" t="s">
        <v>543</v>
      </c>
      <c r="B3183" s="26" t="s">
        <v>543</v>
      </c>
      <c r="C3183" s="26"/>
      <c r="D3183" s="26" t="s">
        <v>543</v>
      </c>
      <c r="E3183" s="26" t="str">
        <f>IFERROR(VLOOKUP(G3183,WholesaleExtract!B:J,9,FALSE),"")</f>
        <v/>
      </c>
      <c r="F3183" s="26" t="str">
        <f>IFERROR(VLOOKUP(G3183,WholesaleExtract!B:J,6,FALSE),"")</f>
        <v/>
      </c>
      <c r="H3183" s="47" t="str">
        <f>IFERROR(VLOOKUP(G3183,WholesaleExtract!B:L,11,FALSE),"")</f>
        <v/>
      </c>
      <c r="I3183" s="26" t="str">
        <f>IFERROR(VLOOKUP(G3183,WholesaleExtract!B:O,8,FALSE),"")</f>
        <v/>
      </c>
      <c r="J3183" s="26" t="str">
        <f>IFERROR(VLOOKUP(G3183,WholesaleExtract!B:O,14,FALSE),"")</f>
        <v/>
      </c>
      <c r="K3183" s="26" t="str">
        <f>IFERROR(VLOOKUP(G3183,WholesaleExtract!B:K,10,FALSE),"")</f>
        <v/>
      </c>
      <c r="L3183" s="47" t="str">
        <f>IFERROR(VLOOKUP(G3183,WholesaleExtract!B:L,11,FALSE),"")</f>
        <v/>
      </c>
      <c r="M3183" s="47" t="str">
        <f>IFERROR(VLOOKUP(G3183,WholesaleExtract!B:M,12,FALSE),"")</f>
        <v/>
      </c>
      <c r="R3183" s="19"/>
      <c r="S3183" s="19"/>
    </row>
    <row r="3184" spans="1:19" x14ac:dyDescent="0.35">
      <c r="A3184" s="26" t="s">
        <v>543</v>
      </c>
      <c r="B3184" s="26" t="s">
        <v>543</v>
      </c>
      <c r="C3184" s="26"/>
      <c r="D3184" s="26" t="s">
        <v>543</v>
      </c>
      <c r="E3184" s="26" t="str">
        <f>IFERROR(VLOOKUP(G3184,WholesaleExtract!B:J,9,FALSE),"")</f>
        <v/>
      </c>
      <c r="F3184" s="26" t="str">
        <f>IFERROR(VLOOKUP(G3184,WholesaleExtract!B:J,6,FALSE),"")</f>
        <v/>
      </c>
      <c r="H3184" s="47" t="str">
        <f>IFERROR(VLOOKUP(G3184,WholesaleExtract!B:L,11,FALSE),"")</f>
        <v/>
      </c>
      <c r="I3184" s="26" t="str">
        <f>IFERROR(VLOOKUP(G3184,WholesaleExtract!B:O,8,FALSE),"")</f>
        <v/>
      </c>
      <c r="J3184" s="26" t="str">
        <f>IFERROR(VLOOKUP(G3184,WholesaleExtract!B:O,14,FALSE),"")</f>
        <v/>
      </c>
      <c r="K3184" s="26" t="str">
        <f>IFERROR(VLOOKUP(G3184,WholesaleExtract!B:K,10,FALSE),"")</f>
        <v/>
      </c>
      <c r="L3184" s="47" t="str">
        <f>IFERROR(VLOOKUP(G3184,WholesaleExtract!B:L,11,FALSE),"")</f>
        <v/>
      </c>
      <c r="M3184" s="47" t="str">
        <f>IFERROR(VLOOKUP(G3184,WholesaleExtract!B:M,12,FALSE),"")</f>
        <v/>
      </c>
      <c r="R3184" s="19"/>
      <c r="S3184" s="19"/>
    </row>
    <row r="3185" spans="1:19" x14ac:dyDescent="0.35">
      <c r="A3185" s="26" t="s">
        <v>543</v>
      </c>
      <c r="B3185" s="26" t="s">
        <v>543</v>
      </c>
      <c r="C3185" s="26"/>
      <c r="D3185" s="26" t="s">
        <v>543</v>
      </c>
      <c r="E3185" s="26" t="str">
        <f>IFERROR(VLOOKUP(G3185,WholesaleExtract!B:J,9,FALSE),"")</f>
        <v/>
      </c>
      <c r="F3185" s="26" t="str">
        <f>IFERROR(VLOOKUP(G3185,WholesaleExtract!B:J,6,FALSE),"")</f>
        <v/>
      </c>
      <c r="H3185" s="47" t="str">
        <f>IFERROR(VLOOKUP(G3185,WholesaleExtract!B:L,11,FALSE),"")</f>
        <v/>
      </c>
      <c r="I3185" s="26" t="str">
        <f>IFERROR(VLOOKUP(G3185,WholesaleExtract!B:O,8,FALSE),"")</f>
        <v/>
      </c>
      <c r="J3185" s="26" t="str">
        <f>IFERROR(VLOOKUP(G3185,WholesaleExtract!B:O,14,FALSE),"")</f>
        <v/>
      </c>
      <c r="K3185" s="26" t="str">
        <f>IFERROR(VLOOKUP(G3185,WholesaleExtract!B:K,10,FALSE),"")</f>
        <v/>
      </c>
      <c r="L3185" s="47" t="str">
        <f>IFERROR(VLOOKUP(G3185,WholesaleExtract!B:L,11,FALSE),"")</f>
        <v/>
      </c>
      <c r="M3185" s="47" t="str">
        <f>IFERROR(VLOOKUP(G3185,WholesaleExtract!B:M,12,FALSE),"")</f>
        <v/>
      </c>
      <c r="R3185" s="19"/>
      <c r="S3185" s="19"/>
    </row>
    <row r="3186" spans="1:19" x14ac:dyDescent="0.35">
      <c r="A3186" s="26" t="s">
        <v>543</v>
      </c>
      <c r="B3186" s="26" t="s">
        <v>543</v>
      </c>
      <c r="C3186" s="26"/>
      <c r="D3186" s="26" t="s">
        <v>543</v>
      </c>
      <c r="E3186" s="26" t="str">
        <f>IFERROR(VLOOKUP(G3186,WholesaleExtract!B:J,9,FALSE),"")</f>
        <v/>
      </c>
      <c r="F3186" s="26" t="str">
        <f>IFERROR(VLOOKUP(G3186,WholesaleExtract!B:J,6,FALSE),"")</f>
        <v/>
      </c>
      <c r="H3186" s="47" t="str">
        <f>IFERROR(VLOOKUP(G3186,WholesaleExtract!B:L,11,FALSE),"")</f>
        <v/>
      </c>
      <c r="I3186" s="26" t="str">
        <f>IFERROR(VLOOKUP(G3186,WholesaleExtract!B:O,8,FALSE),"")</f>
        <v/>
      </c>
      <c r="J3186" s="26" t="str">
        <f>IFERROR(VLOOKUP(G3186,WholesaleExtract!B:O,14,FALSE),"")</f>
        <v/>
      </c>
      <c r="K3186" s="26" t="str">
        <f>IFERROR(VLOOKUP(G3186,WholesaleExtract!B:K,10,FALSE),"")</f>
        <v/>
      </c>
      <c r="L3186" s="47" t="str">
        <f>IFERROR(VLOOKUP(G3186,WholesaleExtract!B:L,11,FALSE),"")</f>
        <v/>
      </c>
      <c r="M3186" s="47" t="str">
        <f>IFERROR(VLOOKUP(G3186,WholesaleExtract!B:M,12,FALSE),"")</f>
        <v/>
      </c>
      <c r="R3186" s="19"/>
      <c r="S3186" s="19"/>
    </row>
    <row r="3187" spans="1:19" x14ac:dyDescent="0.35">
      <c r="A3187" s="26" t="s">
        <v>543</v>
      </c>
      <c r="B3187" s="26" t="s">
        <v>543</v>
      </c>
      <c r="C3187" s="26"/>
      <c r="D3187" s="26" t="s">
        <v>543</v>
      </c>
      <c r="E3187" s="26" t="str">
        <f>IFERROR(VLOOKUP(G3187,WholesaleExtract!B:J,9,FALSE),"")</f>
        <v/>
      </c>
      <c r="F3187" s="26" t="str">
        <f>IFERROR(VLOOKUP(G3187,WholesaleExtract!B:J,6,FALSE),"")</f>
        <v/>
      </c>
      <c r="H3187" s="47" t="str">
        <f>IFERROR(VLOOKUP(G3187,WholesaleExtract!B:L,11,FALSE),"")</f>
        <v/>
      </c>
      <c r="I3187" s="26" t="str">
        <f>IFERROR(VLOOKUP(G3187,WholesaleExtract!B:O,8,FALSE),"")</f>
        <v/>
      </c>
      <c r="J3187" s="26" t="str">
        <f>IFERROR(VLOOKUP(G3187,WholesaleExtract!B:O,14,FALSE),"")</f>
        <v/>
      </c>
      <c r="K3187" s="26" t="str">
        <f>IFERROR(VLOOKUP(G3187,WholesaleExtract!B:K,10,FALSE),"")</f>
        <v/>
      </c>
      <c r="L3187" s="47" t="str">
        <f>IFERROR(VLOOKUP(G3187,WholesaleExtract!B:L,11,FALSE),"")</f>
        <v/>
      </c>
      <c r="M3187" s="47" t="str">
        <f>IFERROR(VLOOKUP(G3187,WholesaleExtract!B:M,12,FALSE),"")</f>
        <v/>
      </c>
      <c r="R3187" s="19"/>
      <c r="S3187" s="19"/>
    </row>
    <row r="3188" spans="1:19" x14ac:dyDescent="0.35">
      <c r="A3188" s="26" t="s">
        <v>543</v>
      </c>
      <c r="B3188" s="26" t="s">
        <v>543</v>
      </c>
      <c r="C3188" s="26"/>
      <c r="D3188" s="26" t="s">
        <v>543</v>
      </c>
      <c r="E3188" s="26" t="str">
        <f>IFERROR(VLOOKUP(G3188,WholesaleExtract!B:J,9,FALSE),"")</f>
        <v/>
      </c>
      <c r="F3188" s="26" t="str">
        <f>IFERROR(VLOOKUP(G3188,WholesaleExtract!B:J,6,FALSE),"")</f>
        <v/>
      </c>
      <c r="H3188" s="47" t="str">
        <f>IFERROR(VLOOKUP(G3188,WholesaleExtract!B:L,11,FALSE),"")</f>
        <v/>
      </c>
      <c r="I3188" s="26" t="str">
        <f>IFERROR(VLOOKUP(G3188,WholesaleExtract!B:O,8,FALSE),"")</f>
        <v/>
      </c>
      <c r="J3188" s="26" t="str">
        <f>IFERROR(VLOOKUP(G3188,WholesaleExtract!B:O,14,FALSE),"")</f>
        <v/>
      </c>
      <c r="K3188" s="26" t="str">
        <f>IFERROR(VLOOKUP(G3188,WholesaleExtract!B:K,10,FALSE),"")</f>
        <v/>
      </c>
      <c r="L3188" s="47" t="str">
        <f>IFERROR(VLOOKUP(G3188,WholesaleExtract!B:L,11,FALSE),"")</f>
        <v/>
      </c>
      <c r="M3188" s="47" t="str">
        <f>IFERROR(VLOOKUP(G3188,WholesaleExtract!B:M,12,FALSE),"")</f>
        <v/>
      </c>
      <c r="R3188" s="19"/>
      <c r="S3188" s="19"/>
    </row>
    <row r="3189" spans="1:19" x14ac:dyDescent="0.35">
      <c r="A3189" s="26" t="s">
        <v>543</v>
      </c>
      <c r="B3189" s="26" t="s">
        <v>543</v>
      </c>
      <c r="C3189" s="26"/>
      <c r="D3189" s="26" t="s">
        <v>543</v>
      </c>
      <c r="E3189" s="26" t="str">
        <f>IFERROR(VLOOKUP(G3189,WholesaleExtract!B:J,9,FALSE),"")</f>
        <v/>
      </c>
      <c r="F3189" s="26" t="str">
        <f>IFERROR(VLOOKUP(G3189,WholesaleExtract!B:J,6,FALSE),"")</f>
        <v/>
      </c>
      <c r="H3189" s="47" t="str">
        <f>IFERROR(VLOOKUP(G3189,WholesaleExtract!B:L,11,FALSE),"")</f>
        <v/>
      </c>
      <c r="I3189" s="26" t="str">
        <f>IFERROR(VLOOKUP(G3189,WholesaleExtract!B:O,8,FALSE),"")</f>
        <v/>
      </c>
      <c r="J3189" s="26" t="str">
        <f>IFERROR(VLOOKUP(G3189,WholesaleExtract!B:O,14,FALSE),"")</f>
        <v/>
      </c>
      <c r="K3189" s="26" t="str">
        <f>IFERROR(VLOOKUP(G3189,WholesaleExtract!B:K,10,FALSE),"")</f>
        <v/>
      </c>
      <c r="L3189" s="47" t="str">
        <f>IFERROR(VLOOKUP(G3189,WholesaleExtract!B:L,11,FALSE),"")</f>
        <v/>
      </c>
      <c r="M3189" s="47" t="str">
        <f>IFERROR(VLOOKUP(G3189,WholesaleExtract!B:M,12,FALSE),"")</f>
        <v/>
      </c>
      <c r="R3189" s="19"/>
      <c r="S3189" s="19"/>
    </row>
    <row r="3190" spans="1:19" x14ac:dyDescent="0.35">
      <c r="A3190" s="26" t="s">
        <v>543</v>
      </c>
      <c r="B3190" s="26" t="s">
        <v>543</v>
      </c>
      <c r="C3190" s="26"/>
      <c r="D3190" s="26" t="s">
        <v>543</v>
      </c>
      <c r="E3190" s="26" t="str">
        <f>IFERROR(VLOOKUP(G3190,WholesaleExtract!B:J,9,FALSE),"")</f>
        <v/>
      </c>
      <c r="F3190" s="26" t="str">
        <f>IFERROR(VLOOKUP(G3190,WholesaleExtract!B:J,6,FALSE),"")</f>
        <v/>
      </c>
      <c r="H3190" s="47" t="str">
        <f>IFERROR(VLOOKUP(G3190,WholesaleExtract!B:L,11,FALSE),"")</f>
        <v/>
      </c>
      <c r="I3190" s="26" t="str">
        <f>IFERROR(VLOOKUP(G3190,WholesaleExtract!B:O,8,FALSE),"")</f>
        <v/>
      </c>
      <c r="J3190" s="26" t="str">
        <f>IFERROR(VLOOKUP(G3190,WholesaleExtract!B:O,14,FALSE),"")</f>
        <v/>
      </c>
      <c r="K3190" s="26" t="str">
        <f>IFERROR(VLOOKUP(G3190,WholesaleExtract!B:K,10,FALSE),"")</f>
        <v/>
      </c>
      <c r="L3190" s="47" t="str">
        <f>IFERROR(VLOOKUP(G3190,WholesaleExtract!B:L,11,FALSE),"")</f>
        <v/>
      </c>
      <c r="M3190" s="47" t="str">
        <f>IFERROR(VLOOKUP(G3190,WholesaleExtract!B:M,12,FALSE),"")</f>
        <v/>
      </c>
      <c r="R3190" s="19"/>
      <c r="S3190" s="19"/>
    </row>
    <row r="3191" spans="1:19" x14ac:dyDescent="0.35">
      <c r="A3191" s="26" t="s">
        <v>543</v>
      </c>
      <c r="B3191" s="26" t="s">
        <v>543</v>
      </c>
      <c r="C3191" s="26"/>
      <c r="D3191" s="26" t="s">
        <v>543</v>
      </c>
      <c r="E3191" s="26" t="str">
        <f>IFERROR(VLOOKUP(G3191,WholesaleExtract!B:J,9,FALSE),"")</f>
        <v/>
      </c>
      <c r="F3191" s="26" t="str">
        <f>IFERROR(VLOOKUP(G3191,WholesaleExtract!B:J,6,FALSE),"")</f>
        <v/>
      </c>
      <c r="H3191" s="47" t="str">
        <f>IFERROR(VLOOKUP(G3191,WholesaleExtract!B:L,11,FALSE),"")</f>
        <v/>
      </c>
      <c r="I3191" s="26" t="str">
        <f>IFERROR(VLOOKUP(G3191,WholesaleExtract!B:O,8,FALSE),"")</f>
        <v/>
      </c>
      <c r="J3191" s="26" t="str">
        <f>IFERROR(VLOOKUP(G3191,WholesaleExtract!B:O,14,FALSE),"")</f>
        <v/>
      </c>
      <c r="K3191" s="26" t="str">
        <f>IFERROR(VLOOKUP(G3191,WholesaleExtract!B:K,10,FALSE),"")</f>
        <v/>
      </c>
      <c r="L3191" s="47" t="str">
        <f>IFERROR(VLOOKUP(G3191,WholesaleExtract!B:L,11,FALSE),"")</f>
        <v/>
      </c>
      <c r="M3191" s="47" t="str">
        <f>IFERROR(VLOOKUP(G3191,WholesaleExtract!B:M,12,FALSE),"")</f>
        <v/>
      </c>
      <c r="R3191" s="19"/>
      <c r="S3191" s="19"/>
    </row>
    <row r="3192" spans="1:19" x14ac:dyDescent="0.35">
      <c r="A3192" s="26" t="s">
        <v>543</v>
      </c>
      <c r="B3192" s="26" t="s">
        <v>543</v>
      </c>
      <c r="C3192" s="26"/>
      <c r="D3192" s="26" t="s">
        <v>543</v>
      </c>
      <c r="E3192" s="26" t="str">
        <f>IFERROR(VLOOKUP(G3192,WholesaleExtract!B:J,9,FALSE),"")</f>
        <v/>
      </c>
      <c r="F3192" s="26" t="str">
        <f>IFERROR(VLOOKUP(G3192,WholesaleExtract!B:J,6,FALSE),"")</f>
        <v/>
      </c>
      <c r="H3192" s="47" t="str">
        <f>IFERROR(VLOOKUP(G3192,WholesaleExtract!B:L,11,FALSE),"")</f>
        <v/>
      </c>
      <c r="I3192" s="26" t="str">
        <f>IFERROR(VLOOKUP(G3192,WholesaleExtract!B:O,8,FALSE),"")</f>
        <v/>
      </c>
      <c r="J3192" s="26" t="str">
        <f>IFERROR(VLOOKUP(G3192,WholesaleExtract!B:O,14,FALSE),"")</f>
        <v/>
      </c>
      <c r="K3192" s="26" t="str">
        <f>IFERROR(VLOOKUP(G3192,WholesaleExtract!B:K,10,FALSE),"")</f>
        <v/>
      </c>
      <c r="L3192" s="47" t="str">
        <f>IFERROR(VLOOKUP(G3192,WholesaleExtract!B:L,11,FALSE),"")</f>
        <v/>
      </c>
      <c r="M3192" s="47" t="str">
        <f>IFERROR(VLOOKUP(G3192,WholesaleExtract!B:M,12,FALSE),"")</f>
        <v/>
      </c>
      <c r="R3192" s="19"/>
      <c r="S3192" s="19"/>
    </row>
    <row r="3193" spans="1:19" x14ac:dyDescent="0.35">
      <c r="A3193" s="26" t="s">
        <v>543</v>
      </c>
      <c r="B3193" s="26" t="s">
        <v>543</v>
      </c>
      <c r="C3193" s="26"/>
      <c r="D3193" s="26" t="s">
        <v>543</v>
      </c>
      <c r="E3193" s="26" t="str">
        <f>IFERROR(VLOOKUP(G3193,WholesaleExtract!B:J,9,FALSE),"")</f>
        <v/>
      </c>
      <c r="F3193" s="26" t="str">
        <f>IFERROR(VLOOKUP(G3193,WholesaleExtract!B:J,6,FALSE),"")</f>
        <v/>
      </c>
      <c r="H3193" s="47" t="str">
        <f>IFERROR(VLOOKUP(G3193,WholesaleExtract!B:L,11,FALSE),"")</f>
        <v/>
      </c>
      <c r="I3193" s="26" t="str">
        <f>IFERROR(VLOOKUP(G3193,WholesaleExtract!B:O,8,FALSE),"")</f>
        <v/>
      </c>
      <c r="J3193" s="26" t="str">
        <f>IFERROR(VLOOKUP(G3193,WholesaleExtract!B:O,14,FALSE),"")</f>
        <v/>
      </c>
      <c r="K3193" s="26" t="str">
        <f>IFERROR(VLOOKUP(G3193,WholesaleExtract!B:K,10,FALSE),"")</f>
        <v/>
      </c>
      <c r="L3193" s="47" t="str">
        <f>IFERROR(VLOOKUP(G3193,WholesaleExtract!B:L,11,FALSE),"")</f>
        <v/>
      </c>
      <c r="M3193" s="47" t="str">
        <f>IFERROR(VLOOKUP(G3193,WholesaleExtract!B:M,12,FALSE),"")</f>
        <v/>
      </c>
      <c r="R3193" s="19"/>
      <c r="S3193" s="19"/>
    </row>
    <row r="3194" spans="1:19" x14ac:dyDescent="0.35">
      <c r="A3194" s="26" t="s">
        <v>543</v>
      </c>
      <c r="B3194" s="26" t="s">
        <v>543</v>
      </c>
      <c r="C3194" s="26"/>
      <c r="D3194" s="26" t="s">
        <v>543</v>
      </c>
      <c r="E3194" s="26" t="str">
        <f>IFERROR(VLOOKUP(G3194,WholesaleExtract!B:J,9,FALSE),"")</f>
        <v/>
      </c>
      <c r="F3194" s="26" t="str">
        <f>IFERROR(VLOOKUP(G3194,WholesaleExtract!B:J,6,FALSE),"")</f>
        <v/>
      </c>
      <c r="H3194" s="47" t="str">
        <f>IFERROR(VLOOKUP(G3194,WholesaleExtract!B:L,11,FALSE),"")</f>
        <v/>
      </c>
      <c r="I3194" s="26" t="str">
        <f>IFERROR(VLOOKUP(G3194,WholesaleExtract!B:O,8,FALSE),"")</f>
        <v/>
      </c>
      <c r="J3194" s="26" t="str">
        <f>IFERROR(VLOOKUP(G3194,WholesaleExtract!B:O,14,FALSE),"")</f>
        <v/>
      </c>
      <c r="K3194" s="26" t="str">
        <f>IFERROR(VLOOKUP(G3194,WholesaleExtract!B:K,10,FALSE),"")</f>
        <v/>
      </c>
      <c r="L3194" s="47" t="str">
        <f>IFERROR(VLOOKUP(G3194,WholesaleExtract!B:L,11,FALSE),"")</f>
        <v/>
      </c>
      <c r="M3194" s="47" t="str">
        <f>IFERROR(VLOOKUP(G3194,WholesaleExtract!B:M,12,FALSE),"")</f>
        <v/>
      </c>
      <c r="R3194" s="19"/>
      <c r="S3194" s="19"/>
    </row>
    <row r="3195" spans="1:19" x14ac:dyDescent="0.35">
      <c r="A3195" s="26" t="s">
        <v>543</v>
      </c>
      <c r="B3195" s="26" t="s">
        <v>543</v>
      </c>
      <c r="C3195" s="26"/>
      <c r="D3195" s="26" t="s">
        <v>543</v>
      </c>
      <c r="E3195" s="26" t="str">
        <f>IFERROR(VLOOKUP(G3195,WholesaleExtract!B:J,9,FALSE),"")</f>
        <v/>
      </c>
      <c r="F3195" s="26" t="str">
        <f>IFERROR(VLOOKUP(G3195,WholesaleExtract!B:J,6,FALSE),"")</f>
        <v/>
      </c>
      <c r="H3195" s="47" t="str">
        <f>IFERROR(VLOOKUP(G3195,WholesaleExtract!B:L,11,FALSE),"")</f>
        <v/>
      </c>
      <c r="I3195" s="26" t="str">
        <f>IFERROR(VLOOKUP(G3195,WholesaleExtract!B:O,8,FALSE),"")</f>
        <v/>
      </c>
      <c r="J3195" s="26" t="str">
        <f>IFERROR(VLOOKUP(G3195,WholesaleExtract!B:O,14,FALSE),"")</f>
        <v/>
      </c>
      <c r="K3195" s="26" t="str">
        <f>IFERROR(VLOOKUP(G3195,WholesaleExtract!B:K,10,FALSE),"")</f>
        <v/>
      </c>
      <c r="L3195" s="47" t="str">
        <f>IFERROR(VLOOKUP(G3195,WholesaleExtract!B:L,11,FALSE),"")</f>
        <v/>
      </c>
      <c r="M3195" s="47" t="str">
        <f>IFERROR(VLOOKUP(G3195,WholesaleExtract!B:M,12,FALSE),"")</f>
        <v/>
      </c>
      <c r="R3195" s="19"/>
      <c r="S3195" s="19"/>
    </row>
    <row r="3196" spans="1:19" x14ac:dyDescent="0.35">
      <c r="A3196" s="26" t="s">
        <v>543</v>
      </c>
      <c r="B3196" s="26" t="s">
        <v>543</v>
      </c>
      <c r="C3196" s="26"/>
      <c r="D3196" s="26" t="s">
        <v>543</v>
      </c>
      <c r="E3196" s="26" t="str">
        <f>IFERROR(VLOOKUP(G3196,WholesaleExtract!B:J,9,FALSE),"")</f>
        <v/>
      </c>
      <c r="F3196" s="26" t="str">
        <f>IFERROR(VLOOKUP(G3196,WholesaleExtract!B:J,6,FALSE),"")</f>
        <v/>
      </c>
      <c r="H3196" s="47" t="str">
        <f>IFERROR(VLOOKUP(G3196,WholesaleExtract!B:L,11,FALSE),"")</f>
        <v/>
      </c>
      <c r="I3196" s="26" t="str">
        <f>IFERROR(VLOOKUP(G3196,WholesaleExtract!B:O,8,FALSE),"")</f>
        <v/>
      </c>
      <c r="J3196" s="26" t="str">
        <f>IFERROR(VLOOKUP(G3196,WholesaleExtract!B:O,14,FALSE),"")</f>
        <v/>
      </c>
      <c r="K3196" s="26" t="str">
        <f>IFERROR(VLOOKUP(G3196,WholesaleExtract!B:K,10,FALSE),"")</f>
        <v/>
      </c>
      <c r="L3196" s="47" t="str">
        <f>IFERROR(VLOOKUP(G3196,WholesaleExtract!B:L,11,FALSE),"")</f>
        <v/>
      </c>
      <c r="M3196" s="47" t="str">
        <f>IFERROR(VLOOKUP(G3196,WholesaleExtract!B:M,12,FALSE),"")</f>
        <v/>
      </c>
      <c r="R3196" s="19"/>
      <c r="S3196" s="19"/>
    </row>
    <row r="3197" spans="1:19" x14ac:dyDescent="0.35">
      <c r="A3197" s="26" t="s">
        <v>543</v>
      </c>
      <c r="B3197" s="26" t="s">
        <v>543</v>
      </c>
      <c r="C3197" s="26"/>
      <c r="D3197" s="26" t="s">
        <v>543</v>
      </c>
      <c r="E3197" s="26" t="str">
        <f>IFERROR(VLOOKUP(G3197,WholesaleExtract!B:J,9,FALSE),"")</f>
        <v/>
      </c>
      <c r="F3197" s="26" t="str">
        <f>IFERROR(VLOOKUP(G3197,WholesaleExtract!B:J,6,FALSE),"")</f>
        <v/>
      </c>
      <c r="H3197" s="47" t="str">
        <f>IFERROR(VLOOKUP(G3197,WholesaleExtract!B:L,11,FALSE),"")</f>
        <v/>
      </c>
      <c r="I3197" s="26" t="str">
        <f>IFERROR(VLOOKUP(G3197,WholesaleExtract!B:O,8,FALSE),"")</f>
        <v/>
      </c>
      <c r="J3197" s="26" t="str">
        <f>IFERROR(VLOOKUP(G3197,WholesaleExtract!B:O,14,FALSE),"")</f>
        <v/>
      </c>
      <c r="K3197" s="26" t="str">
        <f>IFERROR(VLOOKUP(G3197,WholesaleExtract!B:K,10,FALSE),"")</f>
        <v/>
      </c>
      <c r="L3197" s="47" t="str">
        <f>IFERROR(VLOOKUP(G3197,WholesaleExtract!B:L,11,FALSE),"")</f>
        <v/>
      </c>
      <c r="M3197" s="47" t="str">
        <f>IFERROR(VLOOKUP(G3197,WholesaleExtract!B:M,12,FALSE),"")</f>
        <v/>
      </c>
      <c r="R3197" s="19"/>
      <c r="S3197" s="19"/>
    </row>
    <row r="3198" spans="1:19" x14ac:dyDescent="0.35">
      <c r="A3198" s="26" t="s">
        <v>543</v>
      </c>
      <c r="B3198" s="26" t="s">
        <v>543</v>
      </c>
      <c r="C3198" s="26"/>
      <c r="D3198" s="26" t="s">
        <v>543</v>
      </c>
      <c r="E3198" s="26" t="str">
        <f>IFERROR(VLOOKUP(G3198,WholesaleExtract!B:J,9,FALSE),"")</f>
        <v/>
      </c>
      <c r="F3198" s="26" t="str">
        <f>IFERROR(VLOOKUP(G3198,WholesaleExtract!B:J,6,FALSE),"")</f>
        <v/>
      </c>
      <c r="H3198" s="47" t="str">
        <f>IFERROR(VLOOKUP(G3198,WholesaleExtract!B:L,11,FALSE),"")</f>
        <v/>
      </c>
      <c r="I3198" s="26" t="str">
        <f>IFERROR(VLOOKUP(G3198,WholesaleExtract!B:O,8,FALSE),"")</f>
        <v/>
      </c>
      <c r="J3198" s="26" t="str">
        <f>IFERROR(VLOOKUP(G3198,WholesaleExtract!B:O,14,FALSE),"")</f>
        <v/>
      </c>
      <c r="K3198" s="26" t="str">
        <f>IFERROR(VLOOKUP(G3198,WholesaleExtract!B:K,10,FALSE),"")</f>
        <v/>
      </c>
      <c r="L3198" s="47" t="str">
        <f>IFERROR(VLOOKUP(G3198,WholesaleExtract!B:L,11,FALSE),"")</f>
        <v/>
      </c>
      <c r="M3198" s="47" t="str">
        <f>IFERROR(VLOOKUP(G3198,WholesaleExtract!B:M,12,FALSE),"")</f>
        <v/>
      </c>
      <c r="R3198" s="19"/>
      <c r="S3198" s="19"/>
    </row>
    <row r="3199" spans="1:19" x14ac:dyDescent="0.35">
      <c r="A3199" s="26" t="s">
        <v>543</v>
      </c>
      <c r="B3199" s="26" t="s">
        <v>543</v>
      </c>
      <c r="C3199" s="26"/>
      <c r="D3199" s="26" t="s">
        <v>543</v>
      </c>
      <c r="E3199" s="26" t="str">
        <f>IFERROR(VLOOKUP(G3199,WholesaleExtract!B:J,9,FALSE),"")</f>
        <v/>
      </c>
      <c r="F3199" s="26" t="str">
        <f>IFERROR(VLOOKUP(G3199,WholesaleExtract!B:J,6,FALSE),"")</f>
        <v/>
      </c>
      <c r="H3199" s="47" t="str">
        <f>IFERROR(VLOOKUP(G3199,WholesaleExtract!B:L,11,FALSE),"")</f>
        <v/>
      </c>
      <c r="I3199" s="26" t="str">
        <f>IFERROR(VLOOKUP(G3199,WholesaleExtract!B:O,8,FALSE),"")</f>
        <v/>
      </c>
      <c r="J3199" s="26" t="str">
        <f>IFERROR(VLOOKUP(G3199,WholesaleExtract!B:O,14,FALSE),"")</f>
        <v/>
      </c>
      <c r="K3199" s="26" t="str">
        <f>IFERROR(VLOOKUP(G3199,WholesaleExtract!B:K,10,FALSE),"")</f>
        <v/>
      </c>
      <c r="L3199" s="47" t="str">
        <f>IFERROR(VLOOKUP(G3199,WholesaleExtract!B:L,11,FALSE),"")</f>
        <v/>
      </c>
      <c r="M3199" s="47" t="str">
        <f>IFERROR(VLOOKUP(G3199,WholesaleExtract!B:M,12,FALSE),"")</f>
        <v/>
      </c>
      <c r="R3199" s="19"/>
      <c r="S3199" s="19"/>
    </row>
    <row r="3200" spans="1:19" x14ac:dyDescent="0.35">
      <c r="A3200" s="26" t="s">
        <v>543</v>
      </c>
      <c r="B3200" s="26" t="s">
        <v>543</v>
      </c>
      <c r="C3200" s="26"/>
      <c r="D3200" s="26" t="s">
        <v>543</v>
      </c>
      <c r="E3200" s="26" t="str">
        <f>IFERROR(VLOOKUP(G3200,WholesaleExtract!B:J,9,FALSE),"")</f>
        <v/>
      </c>
      <c r="F3200" s="26" t="str">
        <f>IFERROR(VLOOKUP(G3200,WholesaleExtract!B:J,6,FALSE),"")</f>
        <v/>
      </c>
      <c r="H3200" s="47" t="str">
        <f>IFERROR(VLOOKUP(G3200,WholesaleExtract!B:L,11,FALSE),"")</f>
        <v/>
      </c>
      <c r="I3200" s="26" t="str">
        <f>IFERROR(VLOOKUP(G3200,WholesaleExtract!B:O,8,FALSE),"")</f>
        <v/>
      </c>
      <c r="J3200" s="26" t="str">
        <f>IFERROR(VLOOKUP(G3200,WholesaleExtract!B:O,14,FALSE),"")</f>
        <v/>
      </c>
      <c r="K3200" s="26" t="str">
        <f>IFERROR(VLOOKUP(G3200,WholesaleExtract!B:K,10,FALSE),"")</f>
        <v/>
      </c>
      <c r="L3200" s="47" t="str">
        <f>IFERROR(VLOOKUP(G3200,WholesaleExtract!B:L,11,FALSE),"")</f>
        <v/>
      </c>
      <c r="M3200" s="47" t="str">
        <f>IFERROR(VLOOKUP(G3200,WholesaleExtract!B:M,12,FALSE),"")</f>
        <v/>
      </c>
      <c r="R3200" s="19"/>
      <c r="S3200" s="19"/>
    </row>
    <row r="3201" spans="1:19" x14ac:dyDescent="0.35">
      <c r="A3201" s="26" t="s">
        <v>543</v>
      </c>
      <c r="B3201" s="26" t="s">
        <v>543</v>
      </c>
      <c r="C3201" s="26"/>
      <c r="D3201" s="26" t="s">
        <v>543</v>
      </c>
      <c r="E3201" s="26" t="str">
        <f>IFERROR(VLOOKUP(G3201,WholesaleExtract!B:J,9,FALSE),"")</f>
        <v/>
      </c>
      <c r="F3201" s="26" t="str">
        <f>IFERROR(VLOOKUP(G3201,WholesaleExtract!B:J,6,FALSE),"")</f>
        <v/>
      </c>
      <c r="H3201" s="47" t="str">
        <f>IFERROR(VLOOKUP(G3201,WholesaleExtract!B:L,11,FALSE),"")</f>
        <v/>
      </c>
      <c r="I3201" s="26" t="str">
        <f>IFERROR(VLOOKUP(G3201,WholesaleExtract!B:O,8,FALSE),"")</f>
        <v/>
      </c>
      <c r="J3201" s="26" t="str">
        <f>IFERROR(VLOOKUP(G3201,WholesaleExtract!B:O,14,FALSE),"")</f>
        <v/>
      </c>
      <c r="K3201" s="26" t="str">
        <f>IFERROR(VLOOKUP(G3201,WholesaleExtract!B:K,10,FALSE),"")</f>
        <v/>
      </c>
      <c r="L3201" s="47" t="str">
        <f>IFERROR(VLOOKUP(G3201,WholesaleExtract!B:L,11,FALSE),"")</f>
        <v/>
      </c>
      <c r="M3201" s="47" t="str">
        <f>IFERROR(VLOOKUP(G3201,WholesaleExtract!B:M,12,FALSE),"")</f>
        <v/>
      </c>
      <c r="R3201" s="19"/>
      <c r="S3201" s="19"/>
    </row>
    <row r="3202" spans="1:19" x14ac:dyDescent="0.35">
      <c r="A3202" s="26" t="s">
        <v>543</v>
      </c>
      <c r="B3202" s="26" t="s">
        <v>543</v>
      </c>
      <c r="C3202" s="26"/>
      <c r="D3202" s="26" t="s">
        <v>543</v>
      </c>
      <c r="E3202" s="26" t="str">
        <f>IFERROR(VLOOKUP(G3202,WholesaleExtract!B:J,9,FALSE),"")</f>
        <v/>
      </c>
      <c r="F3202" s="26" t="str">
        <f>IFERROR(VLOOKUP(G3202,WholesaleExtract!B:J,6,FALSE),"")</f>
        <v/>
      </c>
      <c r="H3202" s="47" t="str">
        <f>IFERROR(VLOOKUP(G3202,WholesaleExtract!B:L,11,FALSE),"")</f>
        <v/>
      </c>
      <c r="I3202" s="26" t="str">
        <f>IFERROR(VLOOKUP(G3202,WholesaleExtract!B:O,8,FALSE),"")</f>
        <v/>
      </c>
      <c r="J3202" s="26" t="str">
        <f>IFERROR(VLOOKUP(G3202,WholesaleExtract!B:O,14,FALSE),"")</f>
        <v/>
      </c>
      <c r="K3202" s="26" t="str">
        <f>IFERROR(VLOOKUP(G3202,WholesaleExtract!B:K,10,FALSE),"")</f>
        <v/>
      </c>
      <c r="L3202" s="47" t="str">
        <f>IFERROR(VLOOKUP(G3202,WholesaleExtract!B:L,11,FALSE),"")</f>
        <v/>
      </c>
      <c r="M3202" s="47" t="str">
        <f>IFERROR(VLOOKUP(G3202,WholesaleExtract!B:M,12,FALSE),"")</f>
        <v/>
      </c>
      <c r="R3202" s="19"/>
      <c r="S3202" s="19"/>
    </row>
    <row r="3203" spans="1:19" x14ac:dyDescent="0.35">
      <c r="A3203" s="26" t="s">
        <v>543</v>
      </c>
      <c r="B3203" s="26" t="s">
        <v>543</v>
      </c>
      <c r="C3203" s="26"/>
      <c r="D3203" s="26" t="s">
        <v>543</v>
      </c>
      <c r="E3203" s="26" t="str">
        <f>IFERROR(VLOOKUP(G3203,WholesaleExtract!B:J,9,FALSE),"")</f>
        <v/>
      </c>
      <c r="F3203" s="26" t="str">
        <f>IFERROR(VLOOKUP(G3203,WholesaleExtract!B:J,6,FALSE),"")</f>
        <v/>
      </c>
      <c r="H3203" s="47" t="str">
        <f>IFERROR(VLOOKUP(G3203,WholesaleExtract!B:L,11,FALSE),"")</f>
        <v/>
      </c>
      <c r="I3203" s="26" t="str">
        <f>IFERROR(VLOOKUP(G3203,WholesaleExtract!B:O,8,FALSE),"")</f>
        <v/>
      </c>
      <c r="J3203" s="26" t="str">
        <f>IFERROR(VLOOKUP(G3203,WholesaleExtract!B:O,14,FALSE),"")</f>
        <v/>
      </c>
      <c r="K3203" s="26" t="str">
        <f>IFERROR(VLOOKUP(G3203,WholesaleExtract!B:K,10,FALSE),"")</f>
        <v/>
      </c>
      <c r="L3203" s="47" t="str">
        <f>IFERROR(VLOOKUP(G3203,WholesaleExtract!B:L,11,FALSE),"")</f>
        <v/>
      </c>
      <c r="M3203" s="47" t="str">
        <f>IFERROR(VLOOKUP(G3203,WholesaleExtract!B:M,12,FALSE),"")</f>
        <v/>
      </c>
      <c r="R3203" s="19"/>
      <c r="S3203" s="19"/>
    </row>
    <row r="3204" spans="1:19" x14ac:dyDescent="0.35">
      <c r="A3204" s="26" t="s">
        <v>543</v>
      </c>
      <c r="B3204" s="26" t="s">
        <v>543</v>
      </c>
      <c r="C3204" s="26"/>
      <c r="D3204" s="26" t="s">
        <v>543</v>
      </c>
      <c r="E3204" s="26" t="str">
        <f>IFERROR(VLOOKUP(G3204,WholesaleExtract!B:J,9,FALSE),"")</f>
        <v/>
      </c>
      <c r="F3204" s="26" t="str">
        <f>IFERROR(VLOOKUP(G3204,WholesaleExtract!B:J,6,FALSE),"")</f>
        <v/>
      </c>
      <c r="H3204" s="47" t="str">
        <f>IFERROR(VLOOKUP(G3204,WholesaleExtract!B:L,11,FALSE),"")</f>
        <v/>
      </c>
      <c r="I3204" s="26" t="str">
        <f>IFERROR(VLOOKUP(G3204,WholesaleExtract!B:O,8,FALSE),"")</f>
        <v/>
      </c>
      <c r="J3204" s="26" t="str">
        <f>IFERROR(VLOOKUP(G3204,WholesaleExtract!B:O,14,FALSE),"")</f>
        <v/>
      </c>
      <c r="K3204" s="26" t="str">
        <f>IFERROR(VLOOKUP(G3204,WholesaleExtract!B:K,10,FALSE),"")</f>
        <v/>
      </c>
      <c r="L3204" s="47" t="str">
        <f>IFERROR(VLOOKUP(G3204,WholesaleExtract!B:L,11,FALSE),"")</f>
        <v/>
      </c>
      <c r="M3204" s="47" t="str">
        <f>IFERROR(VLOOKUP(G3204,WholesaleExtract!B:M,12,FALSE),"")</f>
        <v/>
      </c>
      <c r="R3204" s="19"/>
      <c r="S3204" s="19"/>
    </row>
    <row r="3205" spans="1:19" x14ac:dyDescent="0.35">
      <c r="A3205" s="26" t="s">
        <v>543</v>
      </c>
      <c r="B3205" s="26" t="s">
        <v>543</v>
      </c>
      <c r="C3205" s="26"/>
      <c r="D3205" s="26" t="s">
        <v>543</v>
      </c>
      <c r="E3205" s="26" t="str">
        <f>IFERROR(VLOOKUP(G3205,WholesaleExtract!B:J,9,FALSE),"")</f>
        <v/>
      </c>
      <c r="F3205" s="26" t="str">
        <f>IFERROR(VLOOKUP(G3205,WholesaleExtract!B:J,6,FALSE),"")</f>
        <v/>
      </c>
      <c r="H3205" s="47" t="str">
        <f>IFERROR(VLOOKUP(G3205,WholesaleExtract!B:L,11,FALSE),"")</f>
        <v/>
      </c>
      <c r="I3205" s="26" t="str">
        <f>IFERROR(VLOOKUP(G3205,WholesaleExtract!B:O,8,FALSE),"")</f>
        <v/>
      </c>
      <c r="J3205" s="26" t="str">
        <f>IFERROR(VLOOKUP(G3205,WholesaleExtract!B:O,14,FALSE),"")</f>
        <v/>
      </c>
      <c r="K3205" s="26" t="str">
        <f>IFERROR(VLOOKUP(G3205,WholesaleExtract!B:K,10,FALSE),"")</f>
        <v/>
      </c>
      <c r="L3205" s="47" t="str">
        <f>IFERROR(VLOOKUP(G3205,WholesaleExtract!B:L,11,FALSE),"")</f>
        <v/>
      </c>
      <c r="M3205" s="47" t="str">
        <f>IFERROR(VLOOKUP(G3205,WholesaleExtract!B:M,12,FALSE),"")</f>
        <v/>
      </c>
      <c r="R3205" s="19"/>
      <c r="S3205" s="19"/>
    </row>
    <row r="3206" spans="1:19" x14ac:dyDescent="0.35">
      <c r="A3206" s="26" t="s">
        <v>543</v>
      </c>
      <c r="B3206" s="26" t="s">
        <v>543</v>
      </c>
      <c r="C3206" s="26"/>
      <c r="D3206" s="26" t="s">
        <v>543</v>
      </c>
      <c r="E3206" s="26" t="str">
        <f>IFERROR(VLOOKUP(G3206,WholesaleExtract!B:J,9,FALSE),"")</f>
        <v/>
      </c>
      <c r="F3206" s="26" t="str">
        <f>IFERROR(VLOOKUP(G3206,WholesaleExtract!B:J,6,FALSE),"")</f>
        <v/>
      </c>
      <c r="H3206" s="47" t="str">
        <f>IFERROR(VLOOKUP(G3206,WholesaleExtract!B:L,11,FALSE),"")</f>
        <v/>
      </c>
      <c r="I3206" s="26" t="str">
        <f>IFERROR(VLOOKUP(G3206,WholesaleExtract!B:O,8,FALSE),"")</f>
        <v/>
      </c>
      <c r="J3206" s="26" t="str">
        <f>IFERROR(VLOOKUP(G3206,WholesaleExtract!B:O,14,FALSE),"")</f>
        <v/>
      </c>
      <c r="K3206" s="26" t="str">
        <f>IFERROR(VLOOKUP(G3206,WholesaleExtract!B:K,10,FALSE),"")</f>
        <v/>
      </c>
      <c r="L3206" s="47" t="str">
        <f>IFERROR(VLOOKUP(G3206,WholesaleExtract!B:L,11,FALSE),"")</f>
        <v/>
      </c>
      <c r="M3206" s="47" t="str">
        <f>IFERROR(VLOOKUP(G3206,WholesaleExtract!B:M,12,FALSE),"")</f>
        <v/>
      </c>
      <c r="R3206" s="19"/>
      <c r="S3206" s="19"/>
    </row>
    <row r="3207" spans="1:19" x14ac:dyDescent="0.35">
      <c r="A3207" s="26" t="s">
        <v>543</v>
      </c>
      <c r="B3207" s="26" t="s">
        <v>543</v>
      </c>
      <c r="C3207" s="26"/>
      <c r="D3207" s="26" t="s">
        <v>543</v>
      </c>
      <c r="E3207" s="26" t="str">
        <f>IFERROR(VLOOKUP(G3207,WholesaleExtract!B:J,9,FALSE),"")</f>
        <v/>
      </c>
      <c r="F3207" s="26" t="str">
        <f>IFERROR(VLOOKUP(G3207,WholesaleExtract!B:J,6,FALSE),"")</f>
        <v/>
      </c>
      <c r="H3207" s="47" t="str">
        <f>IFERROR(VLOOKUP(G3207,WholesaleExtract!B:L,11,FALSE),"")</f>
        <v/>
      </c>
      <c r="I3207" s="26" t="str">
        <f>IFERROR(VLOOKUP(G3207,WholesaleExtract!B:O,8,FALSE),"")</f>
        <v/>
      </c>
      <c r="J3207" s="26" t="str">
        <f>IFERROR(VLOOKUP(G3207,WholesaleExtract!B:O,14,FALSE),"")</f>
        <v/>
      </c>
      <c r="K3207" s="26" t="str">
        <f>IFERROR(VLOOKUP(G3207,WholesaleExtract!B:K,10,FALSE),"")</f>
        <v/>
      </c>
      <c r="L3207" s="47" t="str">
        <f>IFERROR(VLOOKUP(G3207,WholesaleExtract!B:L,11,FALSE),"")</f>
        <v/>
      </c>
      <c r="M3207" s="47" t="str">
        <f>IFERROR(VLOOKUP(G3207,WholesaleExtract!B:M,12,FALSE),"")</f>
        <v/>
      </c>
      <c r="R3207" s="19"/>
      <c r="S3207" s="19"/>
    </row>
    <row r="3208" spans="1:19" x14ac:dyDescent="0.35">
      <c r="A3208" s="26" t="s">
        <v>543</v>
      </c>
      <c r="B3208" s="26" t="s">
        <v>543</v>
      </c>
      <c r="C3208" s="26"/>
      <c r="D3208" s="26" t="s">
        <v>543</v>
      </c>
      <c r="E3208" s="26" t="str">
        <f>IFERROR(VLOOKUP(G3208,WholesaleExtract!B:J,9,FALSE),"")</f>
        <v/>
      </c>
      <c r="F3208" s="26" t="str">
        <f>IFERROR(VLOOKUP(G3208,WholesaleExtract!B:J,6,FALSE),"")</f>
        <v/>
      </c>
      <c r="H3208" s="47" t="str">
        <f>IFERROR(VLOOKUP(G3208,WholesaleExtract!B:L,11,FALSE),"")</f>
        <v/>
      </c>
      <c r="I3208" s="26" t="str">
        <f>IFERROR(VLOOKUP(G3208,WholesaleExtract!B:O,8,FALSE),"")</f>
        <v/>
      </c>
      <c r="J3208" s="26" t="str">
        <f>IFERROR(VLOOKUP(G3208,WholesaleExtract!B:O,14,FALSE),"")</f>
        <v/>
      </c>
      <c r="K3208" s="26" t="str">
        <f>IFERROR(VLOOKUP(G3208,WholesaleExtract!B:K,10,FALSE),"")</f>
        <v/>
      </c>
      <c r="L3208" s="47" t="str">
        <f>IFERROR(VLOOKUP(G3208,WholesaleExtract!B:L,11,FALSE),"")</f>
        <v/>
      </c>
      <c r="M3208" s="47" t="str">
        <f>IFERROR(VLOOKUP(G3208,WholesaleExtract!B:M,12,FALSE),"")</f>
        <v/>
      </c>
      <c r="R3208" s="19"/>
      <c r="S3208" s="19"/>
    </row>
    <row r="3209" spans="1:19" x14ac:dyDescent="0.35">
      <c r="A3209" s="26" t="s">
        <v>543</v>
      </c>
      <c r="B3209" s="26" t="s">
        <v>543</v>
      </c>
      <c r="C3209" s="26"/>
      <c r="D3209" s="26" t="s">
        <v>543</v>
      </c>
      <c r="E3209" s="26" t="str">
        <f>IFERROR(VLOOKUP(G3209,WholesaleExtract!B:J,9,FALSE),"")</f>
        <v/>
      </c>
      <c r="F3209" s="26" t="str">
        <f>IFERROR(VLOOKUP(G3209,WholesaleExtract!B:J,6,FALSE),"")</f>
        <v/>
      </c>
      <c r="H3209" s="47" t="str">
        <f>IFERROR(VLOOKUP(G3209,WholesaleExtract!B:L,11,FALSE),"")</f>
        <v/>
      </c>
      <c r="I3209" s="26" t="str">
        <f>IFERROR(VLOOKUP(G3209,WholesaleExtract!B:O,8,FALSE),"")</f>
        <v/>
      </c>
      <c r="J3209" s="26" t="str">
        <f>IFERROR(VLOOKUP(G3209,WholesaleExtract!B:O,14,FALSE),"")</f>
        <v/>
      </c>
      <c r="K3209" s="26" t="str">
        <f>IFERROR(VLOOKUP(G3209,WholesaleExtract!B:K,10,FALSE),"")</f>
        <v/>
      </c>
      <c r="L3209" s="47" t="str">
        <f>IFERROR(VLOOKUP(G3209,WholesaleExtract!B:L,11,FALSE),"")</f>
        <v/>
      </c>
      <c r="M3209" s="47" t="str">
        <f>IFERROR(VLOOKUP(G3209,WholesaleExtract!B:M,12,FALSE),"")</f>
        <v/>
      </c>
      <c r="R3209" s="19"/>
      <c r="S3209" s="19"/>
    </row>
    <row r="3210" spans="1:19" x14ac:dyDescent="0.35">
      <c r="A3210" s="26" t="s">
        <v>543</v>
      </c>
      <c r="B3210" s="26" t="s">
        <v>543</v>
      </c>
      <c r="C3210" s="26"/>
      <c r="D3210" s="26" t="s">
        <v>543</v>
      </c>
      <c r="E3210" s="26" t="str">
        <f>IFERROR(VLOOKUP(G3210,WholesaleExtract!B:J,9,FALSE),"")</f>
        <v/>
      </c>
      <c r="F3210" s="26" t="str">
        <f>IFERROR(VLOOKUP(G3210,WholesaleExtract!B:J,6,FALSE),"")</f>
        <v/>
      </c>
      <c r="H3210" s="47" t="str">
        <f>IFERROR(VLOOKUP(G3210,WholesaleExtract!B:L,11,FALSE),"")</f>
        <v/>
      </c>
      <c r="I3210" s="26" t="str">
        <f>IFERROR(VLOOKUP(G3210,WholesaleExtract!B:O,8,FALSE),"")</f>
        <v/>
      </c>
      <c r="J3210" s="26" t="str">
        <f>IFERROR(VLOOKUP(G3210,WholesaleExtract!B:O,14,FALSE),"")</f>
        <v/>
      </c>
      <c r="K3210" s="26" t="str">
        <f>IFERROR(VLOOKUP(G3210,WholesaleExtract!B:K,10,FALSE),"")</f>
        <v/>
      </c>
      <c r="L3210" s="47" t="str">
        <f>IFERROR(VLOOKUP(G3210,WholesaleExtract!B:L,11,FALSE),"")</f>
        <v/>
      </c>
      <c r="M3210" s="47" t="str">
        <f>IFERROR(VLOOKUP(G3210,WholesaleExtract!B:M,12,FALSE),"")</f>
        <v/>
      </c>
      <c r="R3210" s="19"/>
      <c r="S3210" s="19"/>
    </row>
    <row r="3211" spans="1:19" x14ac:dyDescent="0.35">
      <c r="A3211" s="26" t="s">
        <v>543</v>
      </c>
      <c r="B3211" s="26" t="s">
        <v>543</v>
      </c>
      <c r="C3211" s="26"/>
      <c r="D3211" s="26" t="s">
        <v>543</v>
      </c>
      <c r="E3211" s="26" t="str">
        <f>IFERROR(VLOOKUP(G3211,WholesaleExtract!B:J,9,FALSE),"")</f>
        <v/>
      </c>
      <c r="F3211" s="26" t="str">
        <f>IFERROR(VLOOKUP(G3211,WholesaleExtract!B:J,6,FALSE),"")</f>
        <v/>
      </c>
      <c r="H3211" s="47" t="str">
        <f>IFERROR(VLOOKUP(G3211,WholesaleExtract!B:L,11,FALSE),"")</f>
        <v/>
      </c>
      <c r="I3211" s="26" t="str">
        <f>IFERROR(VLOOKUP(G3211,WholesaleExtract!B:O,8,FALSE),"")</f>
        <v/>
      </c>
      <c r="J3211" s="26" t="str">
        <f>IFERROR(VLOOKUP(G3211,WholesaleExtract!B:O,14,FALSE),"")</f>
        <v/>
      </c>
      <c r="K3211" s="26" t="str">
        <f>IFERROR(VLOOKUP(G3211,WholesaleExtract!B:K,10,FALSE),"")</f>
        <v/>
      </c>
      <c r="L3211" s="47" t="str">
        <f>IFERROR(VLOOKUP(G3211,WholesaleExtract!B:L,11,FALSE),"")</f>
        <v/>
      </c>
      <c r="M3211" s="47" t="str">
        <f>IFERROR(VLOOKUP(G3211,WholesaleExtract!B:M,12,FALSE),"")</f>
        <v/>
      </c>
      <c r="R3211" s="19"/>
      <c r="S3211" s="19"/>
    </row>
    <row r="3212" spans="1:19" x14ac:dyDescent="0.35">
      <c r="A3212" s="26" t="s">
        <v>543</v>
      </c>
      <c r="B3212" s="26" t="s">
        <v>543</v>
      </c>
      <c r="C3212" s="26"/>
      <c r="D3212" s="26" t="s">
        <v>543</v>
      </c>
      <c r="E3212" s="26" t="str">
        <f>IFERROR(VLOOKUP(G3212,WholesaleExtract!B:J,9,FALSE),"")</f>
        <v/>
      </c>
      <c r="F3212" s="26" t="str">
        <f>IFERROR(VLOOKUP(G3212,WholesaleExtract!B:J,6,FALSE),"")</f>
        <v/>
      </c>
      <c r="H3212" s="47" t="str">
        <f>IFERROR(VLOOKUP(G3212,WholesaleExtract!B:L,11,FALSE),"")</f>
        <v/>
      </c>
      <c r="I3212" s="26" t="str">
        <f>IFERROR(VLOOKUP(G3212,WholesaleExtract!B:O,8,FALSE),"")</f>
        <v/>
      </c>
      <c r="J3212" s="26" t="str">
        <f>IFERROR(VLOOKUP(G3212,WholesaleExtract!B:O,14,FALSE),"")</f>
        <v/>
      </c>
      <c r="K3212" s="26" t="str">
        <f>IFERROR(VLOOKUP(G3212,WholesaleExtract!B:K,10,FALSE),"")</f>
        <v/>
      </c>
      <c r="L3212" s="47" t="str">
        <f>IFERROR(VLOOKUP(G3212,WholesaleExtract!B:L,11,FALSE),"")</f>
        <v/>
      </c>
      <c r="M3212" s="47" t="str">
        <f>IFERROR(VLOOKUP(G3212,WholesaleExtract!B:M,12,FALSE),"")</f>
        <v/>
      </c>
      <c r="R3212" s="19"/>
      <c r="S3212" s="19"/>
    </row>
    <row r="3213" spans="1:19" x14ac:dyDescent="0.35">
      <c r="A3213" s="26" t="s">
        <v>543</v>
      </c>
      <c r="B3213" s="26" t="s">
        <v>543</v>
      </c>
      <c r="C3213" s="26"/>
      <c r="D3213" s="26" t="s">
        <v>543</v>
      </c>
      <c r="E3213" s="26" t="str">
        <f>IFERROR(VLOOKUP(G3213,WholesaleExtract!B:J,9,FALSE),"")</f>
        <v/>
      </c>
      <c r="F3213" s="26" t="str">
        <f>IFERROR(VLOOKUP(G3213,WholesaleExtract!B:J,6,FALSE),"")</f>
        <v/>
      </c>
      <c r="H3213" s="47" t="str">
        <f>IFERROR(VLOOKUP(G3213,WholesaleExtract!B:L,11,FALSE),"")</f>
        <v/>
      </c>
      <c r="I3213" s="26" t="str">
        <f>IFERROR(VLOOKUP(G3213,WholesaleExtract!B:O,8,FALSE),"")</f>
        <v/>
      </c>
      <c r="J3213" s="26" t="str">
        <f>IFERROR(VLOOKUP(G3213,WholesaleExtract!B:O,14,FALSE),"")</f>
        <v/>
      </c>
      <c r="K3213" s="26" t="str">
        <f>IFERROR(VLOOKUP(G3213,WholesaleExtract!B:K,10,FALSE),"")</f>
        <v/>
      </c>
      <c r="L3213" s="47" t="str">
        <f>IFERROR(VLOOKUP(G3213,WholesaleExtract!B:L,11,FALSE),"")</f>
        <v/>
      </c>
      <c r="M3213" s="47" t="str">
        <f>IFERROR(VLOOKUP(G3213,WholesaleExtract!B:M,12,FALSE),"")</f>
        <v/>
      </c>
      <c r="R3213" s="19"/>
      <c r="S3213" s="19"/>
    </row>
    <row r="3214" spans="1:19" x14ac:dyDescent="0.35">
      <c r="A3214" s="26" t="s">
        <v>543</v>
      </c>
      <c r="B3214" s="26" t="s">
        <v>543</v>
      </c>
      <c r="C3214" s="26"/>
      <c r="D3214" s="26" t="s">
        <v>543</v>
      </c>
      <c r="E3214" s="26" t="str">
        <f>IFERROR(VLOOKUP(G3214,WholesaleExtract!B:J,9,FALSE),"")</f>
        <v/>
      </c>
      <c r="F3214" s="26" t="str">
        <f>IFERROR(VLOOKUP(G3214,WholesaleExtract!B:J,6,FALSE),"")</f>
        <v/>
      </c>
      <c r="H3214" s="47" t="str">
        <f>IFERROR(VLOOKUP(G3214,WholesaleExtract!B:L,11,FALSE),"")</f>
        <v/>
      </c>
      <c r="I3214" s="26" t="str">
        <f>IFERROR(VLOOKUP(G3214,WholesaleExtract!B:O,8,FALSE),"")</f>
        <v/>
      </c>
      <c r="J3214" s="26" t="str">
        <f>IFERROR(VLOOKUP(G3214,WholesaleExtract!B:O,14,FALSE),"")</f>
        <v/>
      </c>
      <c r="K3214" s="26" t="str">
        <f>IFERROR(VLOOKUP(G3214,WholesaleExtract!B:K,10,FALSE),"")</f>
        <v/>
      </c>
      <c r="L3214" s="47" t="str">
        <f>IFERROR(VLOOKUP(G3214,WholesaleExtract!B:L,11,FALSE),"")</f>
        <v/>
      </c>
      <c r="M3214" s="47" t="str">
        <f>IFERROR(VLOOKUP(G3214,WholesaleExtract!B:M,12,FALSE),"")</f>
        <v/>
      </c>
      <c r="R3214" s="19"/>
      <c r="S3214" s="19"/>
    </row>
    <row r="3215" spans="1:19" x14ac:dyDescent="0.35">
      <c r="A3215" s="26" t="s">
        <v>543</v>
      </c>
      <c r="B3215" s="26" t="s">
        <v>543</v>
      </c>
      <c r="C3215" s="26"/>
      <c r="D3215" s="26" t="s">
        <v>543</v>
      </c>
      <c r="E3215" s="26" t="str">
        <f>IFERROR(VLOOKUP(G3215,WholesaleExtract!B:J,9,FALSE),"")</f>
        <v/>
      </c>
      <c r="F3215" s="26" t="str">
        <f>IFERROR(VLOOKUP(G3215,WholesaleExtract!B:J,6,FALSE),"")</f>
        <v/>
      </c>
      <c r="H3215" s="47" t="str">
        <f>IFERROR(VLOOKUP(G3215,WholesaleExtract!B:L,11,FALSE),"")</f>
        <v/>
      </c>
      <c r="I3215" s="26" t="str">
        <f>IFERROR(VLOOKUP(G3215,WholesaleExtract!B:O,8,FALSE),"")</f>
        <v/>
      </c>
      <c r="J3215" s="26" t="str">
        <f>IFERROR(VLOOKUP(G3215,WholesaleExtract!B:O,14,FALSE),"")</f>
        <v/>
      </c>
      <c r="K3215" s="26" t="str">
        <f>IFERROR(VLOOKUP(G3215,WholesaleExtract!B:K,10,FALSE),"")</f>
        <v/>
      </c>
      <c r="L3215" s="47" t="str">
        <f>IFERROR(VLOOKUP(G3215,WholesaleExtract!B:L,11,FALSE),"")</f>
        <v/>
      </c>
      <c r="M3215" s="47" t="str">
        <f>IFERROR(VLOOKUP(G3215,WholesaleExtract!B:M,12,FALSE),"")</f>
        <v/>
      </c>
      <c r="R3215" s="19"/>
      <c r="S3215" s="19"/>
    </row>
    <row r="3216" spans="1:19" x14ac:dyDescent="0.35">
      <c r="A3216" s="26" t="s">
        <v>543</v>
      </c>
      <c r="B3216" s="26" t="s">
        <v>543</v>
      </c>
      <c r="C3216" s="26"/>
      <c r="D3216" s="26" t="s">
        <v>543</v>
      </c>
      <c r="E3216" s="26" t="str">
        <f>IFERROR(VLOOKUP(G3216,WholesaleExtract!B:J,9,FALSE),"")</f>
        <v/>
      </c>
      <c r="F3216" s="26" t="str">
        <f>IFERROR(VLOOKUP(G3216,WholesaleExtract!B:J,6,FALSE),"")</f>
        <v/>
      </c>
      <c r="H3216" s="47" t="str">
        <f>IFERROR(VLOOKUP(G3216,WholesaleExtract!B:L,11,FALSE),"")</f>
        <v/>
      </c>
      <c r="I3216" s="26" t="str">
        <f>IFERROR(VLOOKUP(G3216,WholesaleExtract!B:O,8,FALSE),"")</f>
        <v/>
      </c>
      <c r="J3216" s="26" t="str">
        <f>IFERROR(VLOOKUP(G3216,WholesaleExtract!B:O,14,FALSE),"")</f>
        <v/>
      </c>
      <c r="K3216" s="26" t="str">
        <f>IFERROR(VLOOKUP(G3216,WholesaleExtract!B:K,10,FALSE),"")</f>
        <v/>
      </c>
      <c r="L3216" s="47" t="str">
        <f>IFERROR(VLOOKUP(G3216,WholesaleExtract!B:L,11,FALSE),"")</f>
        <v/>
      </c>
      <c r="M3216" s="47" t="str">
        <f>IFERROR(VLOOKUP(G3216,WholesaleExtract!B:M,12,FALSE),"")</f>
        <v/>
      </c>
      <c r="R3216" s="19"/>
      <c r="S3216" s="19"/>
    </row>
    <row r="3217" spans="1:19" x14ac:dyDescent="0.35">
      <c r="A3217" s="26" t="s">
        <v>543</v>
      </c>
      <c r="B3217" s="26" t="s">
        <v>543</v>
      </c>
      <c r="C3217" s="26"/>
      <c r="D3217" s="26" t="s">
        <v>543</v>
      </c>
      <c r="E3217" s="26" t="str">
        <f>IFERROR(VLOOKUP(G3217,WholesaleExtract!B:J,9,FALSE),"")</f>
        <v/>
      </c>
      <c r="F3217" s="26" t="str">
        <f>IFERROR(VLOOKUP(G3217,WholesaleExtract!B:J,6,FALSE),"")</f>
        <v/>
      </c>
      <c r="H3217" s="47" t="str">
        <f>IFERROR(VLOOKUP(G3217,WholesaleExtract!B:L,11,FALSE),"")</f>
        <v/>
      </c>
      <c r="I3217" s="26" t="str">
        <f>IFERROR(VLOOKUP(G3217,WholesaleExtract!B:O,8,FALSE),"")</f>
        <v/>
      </c>
      <c r="J3217" s="26" t="str">
        <f>IFERROR(VLOOKUP(G3217,WholesaleExtract!B:O,14,FALSE),"")</f>
        <v/>
      </c>
      <c r="K3217" s="26" t="str">
        <f>IFERROR(VLOOKUP(G3217,WholesaleExtract!B:K,10,FALSE),"")</f>
        <v/>
      </c>
      <c r="L3217" s="47" t="str">
        <f>IFERROR(VLOOKUP(G3217,WholesaleExtract!B:L,11,FALSE),"")</f>
        <v/>
      </c>
      <c r="M3217" s="47" t="str">
        <f>IFERROR(VLOOKUP(G3217,WholesaleExtract!B:M,12,FALSE),"")</f>
        <v/>
      </c>
      <c r="R3217" s="19"/>
      <c r="S3217" s="19"/>
    </row>
    <row r="3218" spans="1:19" x14ac:dyDescent="0.35">
      <c r="A3218" s="26" t="s">
        <v>543</v>
      </c>
      <c r="B3218" s="26" t="s">
        <v>543</v>
      </c>
      <c r="C3218" s="26"/>
      <c r="D3218" s="26" t="s">
        <v>543</v>
      </c>
      <c r="E3218" s="26" t="str">
        <f>IFERROR(VLOOKUP(G3218,WholesaleExtract!B:J,9,FALSE),"")</f>
        <v/>
      </c>
      <c r="F3218" s="26" t="str">
        <f>IFERROR(VLOOKUP(G3218,WholesaleExtract!B:J,6,FALSE),"")</f>
        <v/>
      </c>
      <c r="H3218" s="47" t="str">
        <f>IFERROR(VLOOKUP(G3218,WholesaleExtract!B:L,11,FALSE),"")</f>
        <v/>
      </c>
      <c r="I3218" s="26" t="str">
        <f>IFERROR(VLOOKUP(G3218,WholesaleExtract!B:O,8,FALSE),"")</f>
        <v/>
      </c>
      <c r="J3218" s="26" t="str">
        <f>IFERROR(VLOOKUP(G3218,WholesaleExtract!B:O,14,FALSE),"")</f>
        <v/>
      </c>
      <c r="K3218" s="26" t="str">
        <f>IFERROR(VLOOKUP(G3218,WholesaleExtract!B:K,10,FALSE),"")</f>
        <v/>
      </c>
      <c r="L3218" s="47" t="str">
        <f>IFERROR(VLOOKUP(G3218,WholesaleExtract!B:L,11,FALSE),"")</f>
        <v/>
      </c>
      <c r="M3218" s="47" t="str">
        <f>IFERROR(VLOOKUP(G3218,WholesaleExtract!B:M,12,FALSE),"")</f>
        <v/>
      </c>
      <c r="R3218" s="19"/>
      <c r="S3218" s="19"/>
    </row>
    <row r="3219" spans="1:19" x14ac:dyDescent="0.35">
      <c r="A3219" s="26" t="s">
        <v>543</v>
      </c>
      <c r="B3219" s="26" t="s">
        <v>543</v>
      </c>
      <c r="C3219" s="26"/>
      <c r="D3219" s="26" t="s">
        <v>543</v>
      </c>
      <c r="E3219" s="26" t="str">
        <f>IFERROR(VLOOKUP(G3219,WholesaleExtract!B:J,9,FALSE),"")</f>
        <v/>
      </c>
      <c r="F3219" s="26" t="str">
        <f>IFERROR(VLOOKUP(G3219,WholesaleExtract!B:J,6,FALSE),"")</f>
        <v/>
      </c>
      <c r="H3219" s="47" t="str">
        <f>IFERROR(VLOOKUP(G3219,WholesaleExtract!B:L,11,FALSE),"")</f>
        <v/>
      </c>
      <c r="I3219" s="26" t="str">
        <f>IFERROR(VLOOKUP(G3219,WholesaleExtract!B:O,8,FALSE),"")</f>
        <v/>
      </c>
      <c r="J3219" s="26" t="str">
        <f>IFERROR(VLOOKUP(G3219,WholesaleExtract!B:O,14,FALSE),"")</f>
        <v/>
      </c>
      <c r="K3219" s="26" t="str">
        <f>IFERROR(VLOOKUP(G3219,WholesaleExtract!B:K,10,FALSE),"")</f>
        <v/>
      </c>
      <c r="L3219" s="47" t="str">
        <f>IFERROR(VLOOKUP(G3219,WholesaleExtract!B:L,11,FALSE),"")</f>
        <v/>
      </c>
      <c r="M3219" s="47" t="str">
        <f>IFERROR(VLOOKUP(G3219,WholesaleExtract!B:M,12,FALSE),"")</f>
        <v/>
      </c>
      <c r="R3219" s="19"/>
      <c r="S3219" s="19"/>
    </row>
    <row r="3220" spans="1:19" x14ac:dyDescent="0.35">
      <c r="A3220" s="26" t="s">
        <v>543</v>
      </c>
      <c r="B3220" s="26" t="s">
        <v>543</v>
      </c>
      <c r="C3220" s="26"/>
      <c r="D3220" s="26" t="s">
        <v>543</v>
      </c>
      <c r="E3220" s="26" t="str">
        <f>IFERROR(VLOOKUP(G3220,WholesaleExtract!B:J,9,FALSE),"")</f>
        <v/>
      </c>
      <c r="F3220" s="26" t="str">
        <f>IFERROR(VLOOKUP(G3220,WholesaleExtract!B:J,6,FALSE),"")</f>
        <v/>
      </c>
      <c r="H3220" s="47" t="str">
        <f>IFERROR(VLOOKUP(G3220,WholesaleExtract!B:L,11,FALSE),"")</f>
        <v/>
      </c>
      <c r="I3220" s="26" t="str">
        <f>IFERROR(VLOOKUP(G3220,WholesaleExtract!B:O,8,FALSE),"")</f>
        <v/>
      </c>
      <c r="J3220" s="26" t="str">
        <f>IFERROR(VLOOKUP(G3220,WholesaleExtract!B:O,14,FALSE),"")</f>
        <v/>
      </c>
      <c r="K3220" s="26" t="str">
        <f>IFERROR(VLOOKUP(G3220,WholesaleExtract!B:K,10,FALSE),"")</f>
        <v/>
      </c>
      <c r="L3220" s="47" t="str">
        <f>IFERROR(VLOOKUP(G3220,WholesaleExtract!B:L,11,FALSE),"")</f>
        <v/>
      </c>
      <c r="M3220" s="47" t="str">
        <f>IFERROR(VLOOKUP(G3220,WholesaleExtract!B:M,12,FALSE),"")</f>
        <v/>
      </c>
      <c r="R3220" s="19"/>
      <c r="S3220" s="19"/>
    </row>
    <row r="3221" spans="1:19" x14ac:dyDescent="0.35">
      <c r="A3221" s="26" t="s">
        <v>543</v>
      </c>
      <c r="B3221" s="26" t="s">
        <v>543</v>
      </c>
      <c r="C3221" s="26"/>
      <c r="D3221" s="26" t="s">
        <v>543</v>
      </c>
      <c r="E3221" s="26" t="str">
        <f>IFERROR(VLOOKUP(G3221,WholesaleExtract!B:J,9,FALSE),"")</f>
        <v/>
      </c>
      <c r="F3221" s="26" t="str">
        <f>IFERROR(VLOOKUP(G3221,WholesaleExtract!B:J,6,FALSE),"")</f>
        <v/>
      </c>
      <c r="H3221" s="47" t="str">
        <f>IFERROR(VLOOKUP(G3221,WholesaleExtract!B:L,11,FALSE),"")</f>
        <v/>
      </c>
      <c r="I3221" s="26" t="str">
        <f>IFERROR(VLOOKUP(G3221,WholesaleExtract!B:O,8,FALSE),"")</f>
        <v/>
      </c>
      <c r="J3221" s="26" t="str">
        <f>IFERROR(VLOOKUP(G3221,WholesaleExtract!B:O,14,FALSE),"")</f>
        <v/>
      </c>
      <c r="K3221" s="26" t="str">
        <f>IFERROR(VLOOKUP(G3221,WholesaleExtract!B:K,10,FALSE),"")</f>
        <v/>
      </c>
      <c r="L3221" s="47" t="str">
        <f>IFERROR(VLOOKUP(G3221,WholesaleExtract!B:L,11,FALSE),"")</f>
        <v/>
      </c>
      <c r="M3221" s="47" t="str">
        <f>IFERROR(VLOOKUP(G3221,WholesaleExtract!B:M,12,FALSE),"")</f>
        <v/>
      </c>
      <c r="R3221" s="19"/>
      <c r="S3221" s="19"/>
    </row>
    <row r="3222" spans="1:19" x14ac:dyDescent="0.35">
      <c r="A3222" s="26" t="s">
        <v>543</v>
      </c>
      <c r="B3222" s="26" t="s">
        <v>543</v>
      </c>
      <c r="C3222" s="26"/>
      <c r="D3222" s="26" t="s">
        <v>543</v>
      </c>
      <c r="E3222" s="26" t="str">
        <f>IFERROR(VLOOKUP(G3222,WholesaleExtract!B:J,9,FALSE),"")</f>
        <v/>
      </c>
      <c r="F3222" s="26" t="str">
        <f>IFERROR(VLOOKUP(G3222,WholesaleExtract!B:J,6,FALSE),"")</f>
        <v/>
      </c>
      <c r="H3222" s="47" t="str">
        <f>IFERROR(VLOOKUP(G3222,WholesaleExtract!B:L,11,FALSE),"")</f>
        <v/>
      </c>
      <c r="I3222" s="26" t="str">
        <f>IFERROR(VLOOKUP(G3222,WholesaleExtract!B:O,8,FALSE),"")</f>
        <v/>
      </c>
      <c r="J3222" s="26" t="str">
        <f>IFERROR(VLOOKUP(G3222,WholesaleExtract!B:O,14,FALSE),"")</f>
        <v/>
      </c>
      <c r="K3222" s="26" t="str">
        <f>IFERROR(VLOOKUP(G3222,WholesaleExtract!B:K,10,FALSE),"")</f>
        <v/>
      </c>
      <c r="L3222" s="47" t="str">
        <f>IFERROR(VLOOKUP(G3222,WholesaleExtract!B:L,11,FALSE),"")</f>
        <v/>
      </c>
      <c r="M3222" s="47" t="str">
        <f>IFERROR(VLOOKUP(G3222,WholesaleExtract!B:M,12,FALSE),"")</f>
        <v/>
      </c>
      <c r="R3222" s="19"/>
      <c r="S3222" s="19"/>
    </row>
    <row r="3223" spans="1:19" x14ac:dyDescent="0.35">
      <c r="A3223" s="26" t="s">
        <v>543</v>
      </c>
      <c r="B3223" s="26" t="s">
        <v>543</v>
      </c>
      <c r="C3223" s="26"/>
      <c r="D3223" s="26" t="s">
        <v>543</v>
      </c>
      <c r="E3223" s="26" t="str">
        <f>IFERROR(VLOOKUP(G3223,WholesaleExtract!B:J,9,FALSE),"")</f>
        <v/>
      </c>
      <c r="F3223" s="26" t="str">
        <f>IFERROR(VLOOKUP(G3223,WholesaleExtract!B:J,6,FALSE),"")</f>
        <v/>
      </c>
      <c r="H3223" s="47" t="str">
        <f>IFERROR(VLOOKUP(G3223,WholesaleExtract!B:L,11,FALSE),"")</f>
        <v/>
      </c>
      <c r="I3223" s="26" t="str">
        <f>IFERROR(VLOOKUP(G3223,WholesaleExtract!B:O,8,FALSE),"")</f>
        <v/>
      </c>
      <c r="J3223" s="26" t="str">
        <f>IFERROR(VLOOKUP(G3223,WholesaleExtract!B:O,14,FALSE),"")</f>
        <v/>
      </c>
      <c r="K3223" s="26" t="str">
        <f>IFERROR(VLOOKUP(G3223,WholesaleExtract!B:K,10,FALSE),"")</f>
        <v/>
      </c>
      <c r="L3223" s="47" t="str">
        <f>IFERROR(VLOOKUP(G3223,WholesaleExtract!B:L,11,FALSE),"")</f>
        <v/>
      </c>
      <c r="M3223" s="47" t="str">
        <f>IFERROR(VLOOKUP(G3223,WholesaleExtract!B:M,12,FALSE),"")</f>
        <v/>
      </c>
      <c r="R3223" s="19"/>
      <c r="S3223" s="19"/>
    </row>
    <row r="3224" spans="1:19" x14ac:dyDescent="0.35">
      <c r="A3224" s="26" t="s">
        <v>543</v>
      </c>
      <c r="B3224" s="26" t="s">
        <v>543</v>
      </c>
      <c r="C3224" s="26"/>
      <c r="D3224" s="26" t="s">
        <v>543</v>
      </c>
      <c r="E3224" s="26" t="str">
        <f>IFERROR(VLOOKUP(G3224,WholesaleExtract!B:J,9,FALSE),"")</f>
        <v/>
      </c>
      <c r="F3224" s="26" t="str">
        <f>IFERROR(VLOOKUP(G3224,WholesaleExtract!B:J,6,FALSE),"")</f>
        <v/>
      </c>
      <c r="H3224" s="47" t="str">
        <f>IFERROR(VLOOKUP(G3224,WholesaleExtract!B:L,11,FALSE),"")</f>
        <v/>
      </c>
      <c r="I3224" s="26" t="str">
        <f>IFERROR(VLOOKUP(G3224,WholesaleExtract!B:O,8,FALSE),"")</f>
        <v/>
      </c>
      <c r="J3224" s="26" t="str">
        <f>IFERROR(VLOOKUP(G3224,WholesaleExtract!B:O,14,FALSE),"")</f>
        <v/>
      </c>
      <c r="K3224" s="26" t="str">
        <f>IFERROR(VLOOKUP(G3224,WholesaleExtract!B:K,10,FALSE),"")</f>
        <v/>
      </c>
      <c r="L3224" s="47" t="str">
        <f>IFERROR(VLOOKUP(G3224,WholesaleExtract!B:L,11,FALSE),"")</f>
        <v/>
      </c>
      <c r="M3224" s="47" t="str">
        <f>IFERROR(VLOOKUP(G3224,WholesaleExtract!B:M,12,FALSE),"")</f>
        <v/>
      </c>
      <c r="R3224" s="19"/>
      <c r="S3224" s="19"/>
    </row>
    <row r="3225" spans="1:19" x14ac:dyDescent="0.35">
      <c r="A3225" s="26" t="s">
        <v>543</v>
      </c>
      <c r="B3225" s="26" t="s">
        <v>543</v>
      </c>
      <c r="C3225" s="26"/>
      <c r="D3225" s="26" t="s">
        <v>543</v>
      </c>
      <c r="E3225" s="26" t="str">
        <f>IFERROR(VLOOKUP(G3225,WholesaleExtract!B:J,9,FALSE),"")</f>
        <v/>
      </c>
      <c r="F3225" s="26" t="str">
        <f>IFERROR(VLOOKUP(G3225,WholesaleExtract!B:J,6,FALSE),"")</f>
        <v/>
      </c>
      <c r="H3225" s="47" t="str">
        <f>IFERROR(VLOOKUP(G3225,WholesaleExtract!B:L,11,FALSE),"")</f>
        <v/>
      </c>
      <c r="I3225" s="26" t="str">
        <f>IFERROR(VLOOKUP(G3225,WholesaleExtract!B:O,8,FALSE),"")</f>
        <v/>
      </c>
      <c r="J3225" s="26" t="str">
        <f>IFERROR(VLOOKUP(G3225,WholesaleExtract!B:O,14,FALSE),"")</f>
        <v/>
      </c>
      <c r="K3225" s="26" t="str">
        <f>IFERROR(VLOOKUP(G3225,WholesaleExtract!B:K,10,FALSE),"")</f>
        <v/>
      </c>
      <c r="L3225" s="47" t="str">
        <f>IFERROR(VLOOKUP(G3225,WholesaleExtract!B:L,11,FALSE),"")</f>
        <v/>
      </c>
      <c r="M3225" s="47" t="str">
        <f>IFERROR(VLOOKUP(G3225,WholesaleExtract!B:M,12,FALSE),"")</f>
        <v/>
      </c>
      <c r="R3225" s="19"/>
      <c r="S3225" s="19"/>
    </row>
    <row r="3226" spans="1:19" x14ac:dyDescent="0.35">
      <c r="A3226" s="26" t="s">
        <v>543</v>
      </c>
      <c r="B3226" s="26" t="s">
        <v>543</v>
      </c>
      <c r="C3226" s="26"/>
      <c r="D3226" s="26" t="s">
        <v>543</v>
      </c>
      <c r="E3226" s="26" t="str">
        <f>IFERROR(VLOOKUP(G3226,WholesaleExtract!B:J,9,FALSE),"")</f>
        <v/>
      </c>
      <c r="F3226" s="26" t="str">
        <f>IFERROR(VLOOKUP(G3226,WholesaleExtract!B:J,6,FALSE),"")</f>
        <v/>
      </c>
      <c r="H3226" s="47" t="str">
        <f>IFERROR(VLOOKUP(G3226,WholesaleExtract!B:L,11,FALSE),"")</f>
        <v/>
      </c>
      <c r="I3226" s="26" t="str">
        <f>IFERROR(VLOOKUP(G3226,WholesaleExtract!B:O,8,FALSE),"")</f>
        <v/>
      </c>
      <c r="J3226" s="26" t="str">
        <f>IFERROR(VLOOKUP(G3226,WholesaleExtract!B:O,14,FALSE),"")</f>
        <v/>
      </c>
      <c r="K3226" s="26" t="str">
        <f>IFERROR(VLOOKUP(G3226,WholesaleExtract!B:K,10,FALSE),"")</f>
        <v/>
      </c>
      <c r="L3226" s="47" t="str">
        <f>IFERROR(VLOOKUP(G3226,WholesaleExtract!B:L,11,FALSE),"")</f>
        <v/>
      </c>
      <c r="M3226" s="47" t="str">
        <f>IFERROR(VLOOKUP(G3226,WholesaleExtract!B:M,12,FALSE),"")</f>
        <v/>
      </c>
      <c r="R3226" s="19"/>
      <c r="S3226" s="19"/>
    </row>
    <row r="3227" spans="1:19" x14ac:dyDescent="0.35">
      <c r="A3227" s="26" t="s">
        <v>543</v>
      </c>
      <c r="B3227" s="26" t="s">
        <v>543</v>
      </c>
      <c r="C3227" s="26"/>
      <c r="D3227" s="26" t="s">
        <v>543</v>
      </c>
      <c r="E3227" s="26" t="str">
        <f>IFERROR(VLOOKUP(G3227,WholesaleExtract!B:J,9,FALSE),"")</f>
        <v/>
      </c>
      <c r="F3227" s="26" t="str">
        <f>IFERROR(VLOOKUP(G3227,WholesaleExtract!B:J,6,FALSE),"")</f>
        <v/>
      </c>
      <c r="H3227" s="47" t="str">
        <f>IFERROR(VLOOKUP(G3227,WholesaleExtract!B:L,11,FALSE),"")</f>
        <v/>
      </c>
      <c r="I3227" s="26" t="str">
        <f>IFERROR(VLOOKUP(G3227,WholesaleExtract!B:O,8,FALSE),"")</f>
        <v/>
      </c>
      <c r="J3227" s="26" t="str">
        <f>IFERROR(VLOOKUP(G3227,WholesaleExtract!B:O,14,FALSE),"")</f>
        <v/>
      </c>
      <c r="K3227" s="26" t="str">
        <f>IFERROR(VLOOKUP(G3227,WholesaleExtract!B:K,10,FALSE),"")</f>
        <v/>
      </c>
      <c r="L3227" s="47" t="str">
        <f>IFERROR(VLOOKUP(G3227,WholesaleExtract!B:L,11,FALSE),"")</f>
        <v/>
      </c>
      <c r="M3227" s="47" t="str">
        <f>IFERROR(VLOOKUP(G3227,WholesaleExtract!B:M,12,FALSE),"")</f>
        <v/>
      </c>
      <c r="R3227" s="19"/>
      <c r="S3227" s="19"/>
    </row>
    <row r="3228" spans="1:19" x14ac:dyDescent="0.35">
      <c r="A3228" s="26" t="s">
        <v>543</v>
      </c>
      <c r="B3228" s="26" t="s">
        <v>543</v>
      </c>
      <c r="C3228" s="26"/>
      <c r="D3228" s="26" t="s">
        <v>543</v>
      </c>
      <c r="E3228" s="26" t="str">
        <f>IFERROR(VLOOKUP(G3228,WholesaleExtract!B:J,9,FALSE),"")</f>
        <v/>
      </c>
      <c r="F3228" s="26" t="str">
        <f>IFERROR(VLOOKUP(G3228,WholesaleExtract!B:J,6,FALSE),"")</f>
        <v/>
      </c>
      <c r="H3228" s="47" t="str">
        <f>IFERROR(VLOOKUP(G3228,WholesaleExtract!B:L,11,FALSE),"")</f>
        <v/>
      </c>
      <c r="I3228" s="26" t="str">
        <f>IFERROR(VLOOKUP(G3228,WholesaleExtract!B:O,8,FALSE),"")</f>
        <v/>
      </c>
      <c r="J3228" s="26" t="str">
        <f>IFERROR(VLOOKUP(G3228,WholesaleExtract!B:O,14,FALSE),"")</f>
        <v/>
      </c>
      <c r="K3228" s="26" t="str">
        <f>IFERROR(VLOOKUP(G3228,WholesaleExtract!B:K,10,FALSE),"")</f>
        <v/>
      </c>
      <c r="L3228" s="47" t="str">
        <f>IFERROR(VLOOKUP(G3228,WholesaleExtract!B:L,11,FALSE),"")</f>
        <v/>
      </c>
      <c r="M3228" s="47" t="str">
        <f>IFERROR(VLOOKUP(G3228,WholesaleExtract!B:M,12,FALSE),"")</f>
        <v/>
      </c>
      <c r="R3228" s="19"/>
      <c r="S3228" s="19"/>
    </row>
    <row r="3229" spans="1:19" x14ac:dyDescent="0.35">
      <c r="A3229" s="26" t="s">
        <v>543</v>
      </c>
      <c r="B3229" s="26" t="s">
        <v>543</v>
      </c>
      <c r="C3229" s="26"/>
      <c r="D3229" s="26" t="s">
        <v>543</v>
      </c>
      <c r="E3229" s="26" t="str">
        <f>IFERROR(VLOOKUP(G3229,WholesaleExtract!B:J,9,FALSE),"")</f>
        <v/>
      </c>
      <c r="F3229" s="26" t="str">
        <f>IFERROR(VLOOKUP(G3229,WholesaleExtract!B:J,6,FALSE),"")</f>
        <v/>
      </c>
      <c r="H3229" s="47" t="str">
        <f>IFERROR(VLOOKUP(G3229,WholesaleExtract!B:L,11,FALSE),"")</f>
        <v/>
      </c>
      <c r="I3229" s="26" t="str">
        <f>IFERROR(VLOOKUP(G3229,WholesaleExtract!B:O,8,FALSE),"")</f>
        <v/>
      </c>
      <c r="J3229" s="26" t="str">
        <f>IFERROR(VLOOKUP(G3229,WholesaleExtract!B:O,14,FALSE),"")</f>
        <v/>
      </c>
      <c r="K3229" s="26" t="str">
        <f>IFERROR(VLOOKUP(G3229,WholesaleExtract!B:K,10,FALSE),"")</f>
        <v/>
      </c>
      <c r="L3229" s="47" t="str">
        <f>IFERROR(VLOOKUP(G3229,WholesaleExtract!B:L,11,FALSE),"")</f>
        <v/>
      </c>
      <c r="M3229" s="47" t="str">
        <f>IFERROR(VLOOKUP(G3229,WholesaleExtract!B:M,12,FALSE),"")</f>
        <v/>
      </c>
      <c r="R3229" s="19"/>
      <c r="S3229" s="19"/>
    </row>
    <row r="3230" spans="1:19" x14ac:dyDescent="0.35">
      <c r="A3230" s="26" t="s">
        <v>543</v>
      </c>
      <c r="B3230" s="26" t="s">
        <v>543</v>
      </c>
      <c r="C3230" s="26"/>
      <c r="D3230" s="26" t="s">
        <v>543</v>
      </c>
      <c r="E3230" s="26" t="str">
        <f>IFERROR(VLOOKUP(G3230,WholesaleExtract!B:J,9,FALSE),"")</f>
        <v/>
      </c>
      <c r="F3230" s="26" t="str">
        <f>IFERROR(VLOOKUP(G3230,WholesaleExtract!B:J,6,FALSE),"")</f>
        <v/>
      </c>
      <c r="H3230" s="47" t="str">
        <f>IFERROR(VLOOKUP(G3230,WholesaleExtract!B:L,11,FALSE),"")</f>
        <v/>
      </c>
      <c r="I3230" s="26" t="str">
        <f>IFERROR(VLOOKUP(G3230,WholesaleExtract!B:O,8,FALSE),"")</f>
        <v/>
      </c>
      <c r="J3230" s="26" t="str">
        <f>IFERROR(VLOOKUP(G3230,WholesaleExtract!B:O,14,FALSE),"")</f>
        <v/>
      </c>
      <c r="K3230" s="26" t="str">
        <f>IFERROR(VLOOKUP(G3230,WholesaleExtract!B:K,10,FALSE),"")</f>
        <v/>
      </c>
      <c r="L3230" s="47" t="str">
        <f>IFERROR(VLOOKUP(G3230,WholesaleExtract!B:L,11,FALSE),"")</f>
        <v/>
      </c>
      <c r="M3230" s="47" t="str">
        <f>IFERROR(VLOOKUP(G3230,WholesaleExtract!B:M,12,FALSE),"")</f>
        <v/>
      </c>
      <c r="R3230" s="19"/>
      <c r="S3230" s="19"/>
    </row>
    <row r="3231" spans="1:19" x14ac:dyDescent="0.35">
      <c r="A3231" s="26" t="s">
        <v>543</v>
      </c>
      <c r="B3231" s="26" t="s">
        <v>543</v>
      </c>
      <c r="C3231" s="26"/>
      <c r="D3231" s="26" t="s">
        <v>543</v>
      </c>
      <c r="E3231" s="26" t="str">
        <f>IFERROR(VLOOKUP(G3231,WholesaleExtract!B:J,9,FALSE),"")</f>
        <v/>
      </c>
      <c r="F3231" s="26" t="str">
        <f>IFERROR(VLOOKUP(G3231,WholesaleExtract!B:J,6,FALSE),"")</f>
        <v/>
      </c>
      <c r="H3231" s="47" t="str">
        <f>IFERROR(VLOOKUP(G3231,WholesaleExtract!B:L,11,FALSE),"")</f>
        <v/>
      </c>
      <c r="I3231" s="26" t="str">
        <f>IFERROR(VLOOKUP(G3231,WholesaleExtract!B:O,8,FALSE),"")</f>
        <v/>
      </c>
      <c r="J3231" s="26" t="str">
        <f>IFERROR(VLOOKUP(G3231,WholesaleExtract!B:O,14,FALSE),"")</f>
        <v/>
      </c>
      <c r="K3231" s="26" t="str">
        <f>IFERROR(VLOOKUP(G3231,WholesaleExtract!B:K,10,FALSE),"")</f>
        <v/>
      </c>
      <c r="L3231" s="47" t="str">
        <f>IFERROR(VLOOKUP(G3231,WholesaleExtract!B:L,11,FALSE),"")</f>
        <v/>
      </c>
      <c r="M3231" s="47" t="str">
        <f>IFERROR(VLOOKUP(G3231,WholesaleExtract!B:M,12,FALSE),"")</f>
        <v/>
      </c>
      <c r="R3231" s="19"/>
      <c r="S3231" s="19"/>
    </row>
    <row r="3232" spans="1:19" x14ac:dyDescent="0.35">
      <c r="A3232" s="26" t="s">
        <v>543</v>
      </c>
      <c r="B3232" s="26" t="s">
        <v>543</v>
      </c>
      <c r="C3232" s="26"/>
      <c r="D3232" s="26" t="s">
        <v>543</v>
      </c>
      <c r="E3232" s="26" t="str">
        <f>IFERROR(VLOOKUP(G3232,WholesaleExtract!B:J,9,FALSE),"")</f>
        <v/>
      </c>
      <c r="F3232" s="26" t="str">
        <f>IFERROR(VLOOKUP(G3232,WholesaleExtract!B:J,6,FALSE),"")</f>
        <v/>
      </c>
      <c r="H3232" s="47" t="str">
        <f>IFERROR(VLOOKUP(G3232,WholesaleExtract!B:L,11,FALSE),"")</f>
        <v/>
      </c>
      <c r="I3232" s="26" t="str">
        <f>IFERROR(VLOOKUP(G3232,WholesaleExtract!B:O,8,FALSE),"")</f>
        <v/>
      </c>
      <c r="J3232" s="26" t="str">
        <f>IFERROR(VLOOKUP(G3232,WholesaleExtract!B:O,14,FALSE),"")</f>
        <v/>
      </c>
      <c r="K3232" s="26" t="str">
        <f>IFERROR(VLOOKUP(G3232,WholesaleExtract!B:K,10,FALSE),"")</f>
        <v/>
      </c>
      <c r="L3232" s="47" t="str">
        <f>IFERROR(VLOOKUP(G3232,WholesaleExtract!B:L,11,FALSE),"")</f>
        <v/>
      </c>
      <c r="M3232" s="47" t="str">
        <f>IFERROR(VLOOKUP(G3232,WholesaleExtract!B:M,12,FALSE),"")</f>
        <v/>
      </c>
      <c r="R3232" s="19"/>
      <c r="S3232" s="19"/>
    </row>
    <row r="3233" spans="1:19" x14ac:dyDescent="0.35">
      <c r="A3233" s="26" t="s">
        <v>543</v>
      </c>
      <c r="B3233" s="26" t="s">
        <v>543</v>
      </c>
      <c r="C3233" s="26"/>
      <c r="D3233" s="26" t="s">
        <v>543</v>
      </c>
      <c r="E3233" s="26" t="str">
        <f>IFERROR(VLOOKUP(G3233,WholesaleExtract!B:J,9,FALSE),"")</f>
        <v/>
      </c>
      <c r="F3233" s="26" t="str">
        <f>IFERROR(VLOOKUP(G3233,WholesaleExtract!B:J,6,FALSE),"")</f>
        <v/>
      </c>
      <c r="H3233" s="47" t="str">
        <f>IFERROR(VLOOKUP(G3233,WholesaleExtract!B:L,11,FALSE),"")</f>
        <v/>
      </c>
      <c r="I3233" s="26" t="str">
        <f>IFERROR(VLOOKUP(G3233,WholesaleExtract!B:O,8,FALSE),"")</f>
        <v/>
      </c>
      <c r="J3233" s="26" t="str">
        <f>IFERROR(VLOOKUP(G3233,WholesaleExtract!B:O,14,FALSE),"")</f>
        <v/>
      </c>
      <c r="K3233" s="26" t="str">
        <f>IFERROR(VLOOKUP(G3233,WholesaleExtract!B:K,10,FALSE),"")</f>
        <v/>
      </c>
      <c r="L3233" s="47" t="str">
        <f>IFERROR(VLOOKUP(G3233,WholesaleExtract!B:L,11,FALSE),"")</f>
        <v/>
      </c>
      <c r="M3233" s="47" t="str">
        <f>IFERROR(VLOOKUP(G3233,WholesaleExtract!B:M,12,FALSE),"")</f>
        <v/>
      </c>
      <c r="R3233" s="19"/>
      <c r="S3233" s="19"/>
    </row>
    <row r="3234" spans="1:19" x14ac:dyDescent="0.35">
      <c r="A3234" s="26" t="s">
        <v>543</v>
      </c>
      <c r="B3234" s="26" t="s">
        <v>543</v>
      </c>
      <c r="C3234" s="26"/>
      <c r="D3234" s="26" t="s">
        <v>543</v>
      </c>
      <c r="E3234" s="26" t="str">
        <f>IFERROR(VLOOKUP(G3234,WholesaleExtract!B:J,9,FALSE),"")</f>
        <v/>
      </c>
      <c r="F3234" s="26" t="str">
        <f>IFERROR(VLOOKUP(G3234,WholesaleExtract!B:J,6,FALSE),"")</f>
        <v/>
      </c>
      <c r="H3234" s="47" t="str">
        <f>IFERROR(VLOOKUP(G3234,WholesaleExtract!B:L,11,FALSE),"")</f>
        <v/>
      </c>
      <c r="I3234" s="26" t="str">
        <f>IFERROR(VLOOKUP(G3234,WholesaleExtract!B:O,8,FALSE),"")</f>
        <v/>
      </c>
      <c r="J3234" s="26" t="str">
        <f>IFERROR(VLOOKUP(G3234,WholesaleExtract!B:O,14,FALSE),"")</f>
        <v/>
      </c>
      <c r="K3234" s="26" t="str">
        <f>IFERROR(VLOOKUP(G3234,WholesaleExtract!B:K,10,FALSE),"")</f>
        <v/>
      </c>
      <c r="L3234" s="47" t="str">
        <f>IFERROR(VLOOKUP(G3234,WholesaleExtract!B:L,11,FALSE),"")</f>
        <v/>
      </c>
      <c r="M3234" s="47" t="str">
        <f>IFERROR(VLOOKUP(G3234,WholesaleExtract!B:M,12,FALSE),"")</f>
        <v/>
      </c>
      <c r="R3234" s="19"/>
      <c r="S3234" s="19"/>
    </row>
    <row r="3235" spans="1:19" x14ac:dyDescent="0.35">
      <c r="A3235" s="26" t="s">
        <v>543</v>
      </c>
      <c r="B3235" s="26" t="s">
        <v>543</v>
      </c>
      <c r="C3235" s="26"/>
      <c r="D3235" s="26" t="s">
        <v>543</v>
      </c>
      <c r="E3235" s="26" t="str">
        <f>IFERROR(VLOOKUP(G3235,WholesaleExtract!B:J,9,FALSE),"")</f>
        <v/>
      </c>
      <c r="F3235" s="26" t="str">
        <f>IFERROR(VLOOKUP(G3235,WholesaleExtract!B:J,6,FALSE),"")</f>
        <v/>
      </c>
      <c r="H3235" s="47" t="str">
        <f>IFERROR(VLOOKUP(G3235,WholesaleExtract!B:L,11,FALSE),"")</f>
        <v/>
      </c>
      <c r="I3235" s="26" t="str">
        <f>IFERROR(VLOOKUP(G3235,WholesaleExtract!B:O,8,FALSE),"")</f>
        <v/>
      </c>
      <c r="J3235" s="26" t="str">
        <f>IFERROR(VLOOKUP(G3235,WholesaleExtract!B:O,14,FALSE),"")</f>
        <v/>
      </c>
      <c r="K3235" s="26" t="str">
        <f>IFERROR(VLOOKUP(G3235,WholesaleExtract!B:K,10,FALSE),"")</f>
        <v/>
      </c>
      <c r="L3235" s="47" t="str">
        <f>IFERROR(VLOOKUP(G3235,WholesaleExtract!B:L,11,FALSE),"")</f>
        <v/>
      </c>
      <c r="M3235" s="47" t="str">
        <f>IFERROR(VLOOKUP(G3235,WholesaleExtract!B:M,12,FALSE),"")</f>
        <v/>
      </c>
      <c r="R3235" s="19"/>
      <c r="S3235" s="19"/>
    </row>
    <row r="3236" spans="1:19" x14ac:dyDescent="0.35">
      <c r="A3236" s="26" t="s">
        <v>543</v>
      </c>
      <c r="B3236" s="26" t="s">
        <v>543</v>
      </c>
      <c r="C3236" s="26"/>
      <c r="D3236" s="26" t="s">
        <v>543</v>
      </c>
      <c r="E3236" s="26" t="str">
        <f>IFERROR(VLOOKUP(G3236,WholesaleExtract!B:J,9,FALSE),"")</f>
        <v/>
      </c>
      <c r="F3236" s="26" t="str">
        <f>IFERROR(VLOOKUP(G3236,WholesaleExtract!B:J,6,FALSE),"")</f>
        <v/>
      </c>
      <c r="H3236" s="47" t="str">
        <f>IFERROR(VLOOKUP(G3236,WholesaleExtract!B:L,11,FALSE),"")</f>
        <v/>
      </c>
      <c r="I3236" s="26" t="str">
        <f>IFERROR(VLOOKUP(G3236,WholesaleExtract!B:O,8,FALSE),"")</f>
        <v/>
      </c>
      <c r="J3236" s="26" t="str">
        <f>IFERROR(VLOOKUP(G3236,WholesaleExtract!B:O,14,FALSE),"")</f>
        <v/>
      </c>
      <c r="K3236" s="26" t="str">
        <f>IFERROR(VLOOKUP(G3236,WholesaleExtract!B:K,10,FALSE),"")</f>
        <v/>
      </c>
      <c r="L3236" s="47" t="str">
        <f>IFERROR(VLOOKUP(G3236,WholesaleExtract!B:L,11,FALSE),"")</f>
        <v/>
      </c>
      <c r="M3236" s="47" t="str">
        <f>IFERROR(VLOOKUP(G3236,WholesaleExtract!B:M,12,FALSE),"")</f>
        <v/>
      </c>
      <c r="R3236" s="19"/>
      <c r="S3236" s="19"/>
    </row>
    <row r="3237" spans="1:19" x14ac:dyDescent="0.35">
      <c r="A3237" s="26" t="s">
        <v>543</v>
      </c>
      <c r="B3237" s="26" t="s">
        <v>543</v>
      </c>
      <c r="C3237" s="26"/>
      <c r="D3237" s="26" t="s">
        <v>543</v>
      </c>
      <c r="E3237" s="26" t="str">
        <f>IFERROR(VLOOKUP(G3237,WholesaleExtract!B:J,9,FALSE),"")</f>
        <v/>
      </c>
      <c r="F3237" s="26" t="str">
        <f>IFERROR(VLOOKUP(G3237,WholesaleExtract!B:J,6,FALSE),"")</f>
        <v/>
      </c>
      <c r="H3237" s="47" t="str">
        <f>IFERROR(VLOOKUP(G3237,WholesaleExtract!B:L,11,FALSE),"")</f>
        <v/>
      </c>
      <c r="I3237" s="26" t="str">
        <f>IFERROR(VLOOKUP(G3237,WholesaleExtract!B:O,8,FALSE),"")</f>
        <v/>
      </c>
      <c r="J3237" s="26" t="str">
        <f>IFERROR(VLOOKUP(G3237,WholesaleExtract!B:O,14,FALSE),"")</f>
        <v/>
      </c>
      <c r="K3237" s="26" t="str">
        <f>IFERROR(VLOOKUP(G3237,WholesaleExtract!B:K,10,FALSE),"")</f>
        <v/>
      </c>
      <c r="L3237" s="47" t="str">
        <f>IFERROR(VLOOKUP(G3237,WholesaleExtract!B:L,11,FALSE),"")</f>
        <v/>
      </c>
      <c r="M3237" s="47" t="str">
        <f>IFERROR(VLOOKUP(G3237,WholesaleExtract!B:M,12,FALSE),"")</f>
        <v/>
      </c>
      <c r="R3237" s="19"/>
      <c r="S3237" s="19"/>
    </row>
    <row r="3238" spans="1:19" x14ac:dyDescent="0.35">
      <c r="A3238" s="26" t="s">
        <v>543</v>
      </c>
      <c r="B3238" s="26" t="s">
        <v>543</v>
      </c>
      <c r="C3238" s="26"/>
      <c r="D3238" s="26" t="s">
        <v>543</v>
      </c>
      <c r="E3238" s="26" t="str">
        <f>IFERROR(VLOOKUP(G3238,WholesaleExtract!B:J,9,FALSE),"")</f>
        <v/>
      </c>
      <c r="F3238" s="26" t="str">
        <f>IFERROR(VLOOKUP(G3238,WholesaleExtract!B:J,6,FALSE),"")</f>
        <v/>
      </c>
      <c r="H3238" s="47" t="str">
        <f>IFERROR(VLOOKUP(G3238,WholesaleExtract!B:L,11,FALSE),"")</f>
        <v/>
      </c>
      <c r="I3238" s="26" t="str">
        <f>IFERROR(VLOOKUP(G3238,WholesaleExtract!B:O,8,FALSE),"")</f>
        <v/>
      </c>
      <c r="J3238" s="26" t="str">
        <f>IFERROR(VLOOKUP(G3238,WholesaleExtract!B:O,14,FALSE),"")</f>
        <v/>
      </c>
      <c r="K3238" s="26" t="str">
        <f>IFERROR(VLOOKUP(G3238,WholesaleExtract!B:K,10,FALSE),"")</f>
        <v/>
      </c>
      <c r="L3238" s="47" t="str">
        <f>IFERROR(VLOOKUP(G3238,WholesaleExtract!B:L,11,FALSE),"")</f>
        <v/>
      </c>
      <c r="M3238" s="47" t="str">
        <f>IFERROR(VLOOKUP(G3238,WholesaleExtract!B:M,12,FALSE),"")</f>
        <v/>
      </c>
      <c r="R3238" s="19"/>
      <c r="S3238" s="19"/>
    </row>
    <row r="3239" spans="1:19" x14ac:dyDescent="0.35">
      <c r="A3239" s="26" t="s">
        <v>543</v>
      </c>
      <c r="B3239" s="26" t="s">
        <v>543</v>
      </c>
      <c r="C3239" s="26"/>
      <c r="D3239" s="26" t="s">
        <v>543</v>
      </c>
      <c r="E3239" s="26" t="str">
        <f>IFERROR(VLOOKUP(G3239,WholesaleExtract!B:J,9,FALSE),"")</f>
        <v/>
      </c>
      <c r="F3239" s="26" t="str">
        <f>IFERROR(VLOOKUP(G3239,WholesaleExtract!B:J,6,FALSE),"")</f>
        <v/>
      </c>
      <c r="H3239" s="47" t="str">
        <f>IFERROR(VLOOKUP(G3239,WholesaleExtract!B:L,11,FALSE),"")</f>
        <v/>
      </c>
      <c r="I3239" s="26" t="str">
        <f>IFERROR(VLOOKUP(G3239,WholesaleExtract!B:O,8,FALSE),"")</f>
        <v/>
      </c>
      <c r="J3239" s="26" t="str">
        <f>IFERROR(VLOOKUP(G3239,WholesaleExtract!B:O,14,FALSE),"")</f>
        <v/>
      </c>
      <c r="K3239" s="26" t="str">
        <f>IFERROR(VLOOKUP(G3239,WholesaleExtract!B:K,10,FALSE),"")</f>
        <v/>
      </c>
      <c r="L3239" s="47" t="str">
        <f>IFERROR(VLOOKUP(G3239,WholesaleExtract!B:L,11,FALSE),"")</f>
        <v/>
      </c>
      <c r="M3239" s="47" t="str">
        <f>IFERROR(VLOOKUP(G3239,WholesaleExtract!B:M,12,FALSE),"")</f>
        <v/>
      </c>
      <c r="R3239" s="19"/>
      <c r="S3239" s="19"/>
    </row>
    <row r="3240" spans="1:19" x14ac:dyDescent="0.35">
      <c r="A3240" s="26" t="s">
        <v>543</v>
      </c>
      <c r="B3240" s="26" t="s">
        <v>543</v>
      </c>
      <c r="C3240" s="26"/>
      <c r="D3240" s="26" t="s">
        <v>543</v>
      </c>
      <c r="E3240" s="26" t="str">
        <f>IFERROR(VLOOKUP(G3240,WholesaleExtract!B:J,9,FALSE),"")</f>
        <v/>
      </c>
      <c r="F3240" s="26" t="str">
        <f>IFERROR(VLOOKUP(G3240,WholesaleExtract!B:J,6,FALSE),"")</f>
        <v/>
      </c>
      <c r="H3240" s="47" t="str">
        <f>IFERROR(VLOOKUP(G3240,WholesaleExtract!B:L,11,FALSE),"")</f>
        <v/>
      </c>
      <c r="I3240" s="26" t="str">
        <f>IFERROR(VLOOKUP(G3240,WholesaleExtract!B:O,8,FALSE),"")</f>
        <v/>
      </c>
      <c r="J3240" s="26" t="str">
        <f>IFERROR(VLOOKUP(G3240,WholesaleExtract!B:O,14,FALSE),"")</f>
        <v/>
      </c>
      <c r="K3240" s="26" t="str">
        <f>IFERROR(VLOOKUP(G3240,WholesaleExtract!B:K,10,FALSE),"")</f>
        <v/>
      </c>
      <c r="L3240" s="47" t="str">
        <f>IFERROR(VLOOKUP(G3240,WholesaleExtract!B:L,11,FALSE),"")</f>
        <v/>
      </c>
      <c r="M3240" s="47" t="str">
        <f>IFERROR(VLOOKUP(G3240,WholesaleExtract!B:M,12,FALSE),"")</f>
        <v/>
      </c>
      <c r="R3240" s="19"/>
      <c r="S3240" s="19"/>
    </row>
    <row r="3241" spans="1:19" x14ac:dyDescent="0.35">
      <c r="A3241" s="26" t="s">
        <v>543</v>
      </c>
      <c r="B3241" s="26" t="s">
        <v>543</v>
      </c>
      <c r="C3241" s="26"/>
      <c r="D3241" s="26" t="s">
        <v>543</v>
      </c>
      <c r="E3241" s="26" t="str">
        <f>IFERROR(VLOOKUP(G3241,WholesaleExtract!B:J,9,FALSE),"")</f>
        <v/>
      </c>
      <c r="F3241" s="26" t="str">
        <f>IFERROR(VLOOKUP(G3241,WholesaleExtract!B:J,6,FALSE),"")</f>
        <v/>
      </c>
      <c r="H3241" s="47" t="str">
        <f>IFERROR(VLOOKUP(G3241,WholesaleExtract!B:L,11,FALSE),"")</f>
        <v/>
      </c>
      <c r="I3241" s="26" t="str">
        <f>IFERROR(VLOOKUP(G3241,WholesaleExtract!B:O,8,FALSE),"")</f>
        <v/>
      </c>
      <c r="J3241" s="26" t="str">
        <f>IFERROR(VLOOKUP(G3241,WholesaleExtract!B:O,14,FALSE),"")</f>
        <v/>
      </c>
      <c r="K3241" s="26" t="str">
        <f>IFERROR(VLOOKUP(G3241,WholesaleExtract!B:K,10,FALSE),"")</f>
        <v/>
      </c>
      <c r="L3241" s="47" t="str">
        <f>IFERROR(VLOOKUP(G3241,WholesaleExtract!B:L,11,FALSE),"")</f>
        <v/>
      </c>
      <c r="M3241" s="47" t="str">
        <f>IFERROR(VLOOKUP(G3241,WholesaleExtract!B:M,12,FALSE),"")</f>
        <v/>
      </c>
      <c r="R3241" s="19"/>
      <c r="S3241" s="19"/>
    </row>
    <row r="3242" spans="1:19" x14ac:dyDescent="0.35">
      <c r="A3242" s="26" t="s">
        <v>543</v>
      </c>
      <c r="B3242" s="26" t="s">
        <v>543</v>
      </c>
      <c r="C3242" s="26"/>
      <c r="D3242" s="26" t="s">
        <v>543</v>
      </c>
      <c r="E3242" s="26" t="str">
        <f>IFERROR(VLOOKUP(G3242,WholesaleExtract!B:J,9,FALSE),"")</f>
        <v/>
      </c>
      <c r="F3242" s="26" t="str">
        <f>IFERROR(VLOOKUP(G3242,WholesaleExtract!B:J,6,FALSE),"")</f>
        <v/>
      </c>
      <c r="H3242" s="47" t="str">
        <f>IFERROR(VLOOKUP(G3242,WholesaleExtract!B:L,11,FALSE),"")</f>
        <v/>
      </c>
      <c r="I3242" s="26" t="str">
        <f>IFERROR(VLOOKUP(G3242,WholesaleExtract!B:O,8,FALSE),"")</f>
        <v/>
      </c>
      <c r="J3242" s="26" t="str">
        <f>IFERROR(VLOOKUP(G3242,WholesaleExtract!B:O,14,FALSE),"")</f>
        <v/>
      </c>
      <c r="K3242" s="26" t="str">
        <f>IFERROR(VLOOKUP(G3242,WholesaleExtract!B:K,10,FALSE),"")</f>
        <v/>
      </c>
      <c r="L3242" s="47" t="str">
        <f>IFERROR(VLOOKUP(G3242,WholesaleExtract!B:L,11,FALSE),"")</f>
        <v/>
      </c>
      <c r="M3242" s="47" t="str">
        <f>IFERROR(VLOOKUP(G3242,WholesaleExtract!B:M,12,FALSE),"")</f>
        <v/>
      </c>
      <c r="R3242" s="19"/>
      <c r="S3242" s="19"/>
    </row>
    <row r="3243" spans="1:19" x14ac:dyDescent="0.35">
      <c r="A3243" s="26" t="s">
        <v>543</v>
      </c>
      <c r="B3243" s="26" t="s">
        <v>543</v>
      </c>
      <c r="C3243" s="26"/>
      <c r="D3243" s="26" t="s">
        <v>543</v>
      </c>
      <c r="E3243" s="26" t="str">
        <f>IFERROR(VLOOKUP(G3243,WholesaleExtract!B:J,9,FALSE),"")</f>
        <v/>
      </c>
      <c r="F3243" s="26" t="str">
        <f>IFERROR(VLOOKUP(G3243,WholesaleExtract!B:J,6,FALSE),"")</f>
        <v/>
      </c>
      <c r="H3243" s="47" t="str">
        <f>IFERROR(VLOOKUP(G3243,WholesaleExtract!B:L,11,FALSE),"")</f>
        <v/>
      </c>
      <c r="I3243" s="26" t="str">
        <f>IFERROR(VLOOKUP(G3243,WholesaleExtract!B:O,8,FALSE),"")</f>
        <v/>
      </c>
      <c r="J3243" s="26" t="str">
        <f>IFERROR(VLOOKUP(G3243,WholesaleExtract!B:O,14,FALSE),"")</f>
        <v/>
      </c>
      <c r="K3243" s="26" t="str">
        <f>IFERROR(VLOOKUP(G3243,WholesaleExtract!B:K,10,FALSE),"")</f>
        <v/>
      </c>
      <c r="L3243" s="47" t="str">
        <f>IFERROR(VLOOKUP(G3243,WholesaleExtract!B:L,11,FALSE),"")</f>
        <v/>
      </c>
      <c r="M3243" s="47" t="str">
        <f>IFERROR(VLOOKUP(G3243,WholesaleExtract!B:M,12,FALSE),"")</f>
        <v/>
      </c>
      <c r="R3243" s="19"/>
      <c r="S3243" s="19"/>
    </row>
    <row r="3244" spans="1:19" x14ac:dyDescent="0.35">
      <c r="A3244" s="26" t="s">
        <v>543</v>
      </c>
      <c r="B3244" s="26" t="s">
        <v>543</v>
      </c>
      <c r="C3244" s="26"/>
      <c r="D3244" s="26" t="s">
        <v>543</v>
      </c>
      <c r="E3244" s="26" t="str">
        <f>IFERROR(VLOOKUP(G3244,WholesaleExtract!B:J,9,FALSE),"")</f>
        <v/>
      </c>
      <c r="F3244" s="26" t="str">
        <f>IFERROR(VLOOKUP(G3244,WholesaleExtract!B:J,6,FALSE),"")</f>
        <v/>
      </c>
      <c r="H3244" s="47" t="str">
        <f>IFERROR(VLOOKUP(G3244,WholesaleExtract!B:L,11,FALSE),"")</f>
        <v/>
      </c>
      <c r="I3244" s="26" t="str">
        <f>IFERROR(VLOOKUP(G3244,WholesaleExtract!B:O,8,FALSE),"")</f>
        <v/>
      </c>
      <c r="J3244" s="26" t="str">
        <f>IFERROR(VLOOKUP(G3244,WholesaleExtract!B:O,14,FALSE),"")</f>
        <v/>
      </c>
      <c r="K3244" s="26" t="str">
        <f>IFERROR(VLOOKUP(G3244,WholesaleExtract!B:K,10,FALSE),"")</f>
        <v/>
      </c>
      <c r="L3244" s="47" t="str">
        <f>IFERROR(VLOOKUP(G3244,WholesaleExtract!B:L,11,FALSE),"")</f>
        <v/>
      </c>
      <c r="M3244" s="47" t="str">
        <f>IFERROR(VLOOKUP(G3244,WholesaleExtract!B:M,12,FALSE),"")</f>
        <v/>
      </c>
      <c r="R3244" s="19"/>
      <c r="S3244" s="19"/>
    </row>
    <row r="3245" spans="1:19" x14ac:dyDescent="0.35">
      <c r="A3245" s="26" t="s">
        <v>543</v>
      </c>
      <c r="B3245" s="26" t="s">
        <v>543</v>
      </c>
      <c r="C3245" s="26"/>
      <c r="D3245" s="26" t="s">
        <v>543</v>
      </c>
      <c r="E3245" s="26" t="str">
        <f>IFERROR(VLOOKUP(G3245,WholesaleExtract!B:J,9,FALSE),"")</f>
        <v/>
      </c>
      <c r="F3245" s="26" t="str">
        <f>IFERROR(VLOOKUP(G3245,WholesaleExtract!B:J,6,FALSE),"")</f>
        <v/>
      </c>
      <c r="H3245" s="47" t="str">
        <f>IFERROR(VLOOKUP(G3245,WholesaleExtract!B:L,11,FALSE),"")</f>
        <v/>
      </c>
      <c r="I3245" s="26" t="str">
        <f>IFERROR(VLOOKUP(G3245,WholesaleExtract!B:O,8,FALSE),"")</f>
        <v/>
      </c>
      <c r="J3245" s="26" t="str">
        <f>IFERROR(VLOOKUP(G3245,WholesaleExtract!B:O,14,FALSE),"")</f>
        <v/>
      </c>
      <c r="K3245" s="26" t="str">
        <f>IFERROR(VLOOKUP(G3245,WholesaleExtract!B:K,10,FALSE),"")</f>
        <v/>
      </c>
      <c r="L3245" s="47" t="str">
        <f>IFERROR(VLOOKUP(G3245,WholesaleExtract!B:L,11,FALSE),"")</f>
        <v/>
      </c>
      <c r="M3245" s="47" t="str">
        <f>IFERROR(VLOOKUP(G3245,WholesaleExtract!B:M,12,FALSE),"")</f>
        <v/>
      </c>
      <c r="R3245" s="19"/>
      <c r="S3245" s="19"/>
    </row>
    <row r="3246" spans="1:19" x14ac:dyDescent="0.35">
      <c r="A3246" s="26" t="s">
        <v>543</v>
      </c>
      <c r="B3246" s="26" t="s">
        <v>543</v>
      </c>
      <c r="C3246" s="26"/>
      <c r="D3246" s="26" t="s">
        <v>543</v>
      </c>
      <c r="E3246" s="26" t="str">
        <f>IFERROR(VLOOKUP(G3246,WholesaleExtract!B:J,9,FALSE),"")</f>
        <v/>
      </c>
      <c r="F3246" s="26" t="str">
        <f>IFERROR(VLOOKUP(G3246,WholesaleExtract!B:J,6,FALSE),"")</f>
        <v/>
      </c>
      <c r="H3246" s="47" t="str">
        <f>IFERROR(VLOOKUP(G3246,WholesaleExtract!B:L,11,FALSE),"")</f>
        <v/>
      </c>
      <c r="I3246" s="26" t="str">
        <f>IFERROR(VLOOKUP(G3246,WholesaleExtract!B:O,8,FALSE),"")</f>
        <v/>
      </c>
      <c r="J3246" s="26" t="str">
        <f>IFERROR(VLOOKUP(G3246,WholesaleExtract!B:O,14,FALSE),"")</f>
        <v/>
      </c>
      <c r="K3246" s="26" t="str">
        <f>IFERROR(VLOOKUP(G3246,WholesaleExtract!B:K,10,FALSE),"")</f>
        <v/>
      </c>
      <c r="L3246" s="47" t="str">
        <f>IFERROR(VLOOKUP(G3246,WholesaleExtract!B:L,11,FALSE),"")</f>
        <v/>
      </c>
      <c r="M3246" s="47" t="str">
        <f>IFERROR(VLOOKUP(G3246,WholesaleExtract!B:M,12,FALSE),"")</f>
        <v/>
      </c>
      <c r="R3246" s="19"/>
      <c r="S3246" s="19"/>
    </row>
    <row r="3247" spans="1:19" x14ac:dyDescent="0.35">
      <c r="A3247" s="26" t="s">
        <v>543</v>
      </c>
      <c r="B3247" s="26" t="s">
        <v>543</v>
      </c>
      <c r="C3247" s="26"/>
      <c r="D3247" s="26" t="s">
        <v>543</v>
      </c>
      <c r="E3247" s="26" t="str">
        <f>IFERROR(VLOOKUP(G3247,WholesaleExtract!B:J,9,FALSE),"")</f>
        <v/>
      </c>
      <c r="F3247" s="26" t="str">
        <f>IFERROR(VLOOKUP(G3247,WholesaleExtract!B:J,6,FALSE),"")</f>
        <v/>
      </c>
      <c r="H3247" s="47" t="str">
        <f>IFERROR(VLOOKUP(G3247,WholesaleExtract!B:L,11,FALSE),"")</f>
        <v/>
      </c>
      <c r="I3247" s="26" t="str">
        <f>IFERROR(VLOOKUP(G3247,WholesaleExtract!B:O,8,FALSE),"")</f>
        <v/>
      </c>
      <c r="J3247" s="26" t="str">
        <f>IFERROR(VLOOKUP(G3247,WholesaleExtract!B:O,14,FALSE),"")</f>
        <v/>
      </c>
      <c r="K3247" s="26" t="str">
        <f>IFERROR(VLOOKUP(G3247,WholesaleExtract!B:K,10,FALSE),"")</f>
        <v/>
      </c>
      <c r="L3247" s="47" t="str">
        <f>IFERROR(VLOOKUP(G3247,WholesaleExtract!B:L,11,FALSE),"")</f>
        <v/>
      </c>
      <c r="M3247" s="47" t="str">
        <f>IFERROR(VLOOKUP(G3247,WholesaleExtract!B:M,12,FALSE),"")</f>
        <v/>
      </c>
      <c r="R3247" s="19"/>
      <c r="S3247" s="19"/>
    </row>
    <row r="3248" spans="1:19" x14ac:dyDescent="0.35">
      <c r="A3248" s="26" t="s">
        <v>543</v>
      </c>
      <c r="B3248" s="26" t="s">
        <v>543</v>
      </c>
      <c r="C3248" s="26"/>
      <c r="D3248" s="26" t="s">
        <v>543</v>
      </c>
      <c r="E3248" s="26" t="str">
        <f>IFERROR(VLOOKUP(G3248,WholesaleExtract!B:J,9,FALSE),"")</f>
        <v/>
      </c>
      <c r="F3248" s="26" t="str">
        <f>IFERROR(VLOOKUP(G3248,WholesaleExtract!B:J,6,FALSE),"")</f>
        <v/>
      </c>
      <c r="H3248" s="47" t="str">
        <f>IFERROR(VLOOKUP(G3248,WholesaleExtract!B:L,11,FALSE),"")</f>
        <v/>
      </c>
      <c r="I3248" s="26" t="str">
        <f>IFERROR(VLOOKUP(G3248,WholesaleExtract!B:O,8,FALSE),"")</f>
        <v/>
      </c>
      <c r="J3248" s="26" t="str">
        <f>IFERROR(VLOOKUP(G3248,WholesaleExtract!B:O,14,FALSE),"")</f>
        <v/>
      </c>
      <c r="K3248" s="26" t="str">
        <f>IFERROR(VLOOKUP(G3248,WholesaleExtract!B:K,10,FALSE),"")</f>
        <v/>
      </c>
      <c r="L3248" s="47" t="str">
        <f>IFERROR(VLOOKUP(G3248,WholesaleExtract!B:L,11,FALSE),"")</f>
        <v/>
      </c>
      <c r="M3248" s="47" t="str">
        <f>IFERROR(VLOOKUP(G3248,WholesaleExtract!B:M,12,FALSE),"")</f>
        <v/>
      </c>
      <c r="R3248" s="19"/>
      <c r="S3248" s="19"/>
    </row>
    <row r="3249" spans="1:19" x14ac:dyDescent="0.35">
      <c r="A3249" s="26" t="s">
        <v>543</v>
      </c>
      <c r="B3249" s="26" t="s">
        <v>543</v>
      </c>
      <c r="C3249" s="26"/>
      <c r="D3249" s="26" t="s">
        <v>543</v>
      </c>
      <c r="E3249" s="26" t="str">
        <f>IFERROR(VLOOKUP(G3249,WholesaleExtract!B:J,9,FALSE),"")</f>
        <v/>
      </c>
      <c r="F3249" s="26" t="str">
        <f>IFERROR(VLOOKUP(G3249,WholesaleExtract!B:J,6,FALSE),"")</f>
        <v/>
      </c>
      <c r="H3249" s="47" t="str">
        <f>IFERROR(VLOOKUP(G3249,WholesaleExtract!B:L,11,FALSE),"")</f>
        <v/>
      </c>
      <c r="I3249" s="26" t="str">
        <f>IFERROR(VLOOKUP(G3249,WholesaleExtract!B:O,8,FALSE),"")</f>
        <v/>
      </c>
      <c r="J3249" s="26" t="str">
        <f>IFERROR(VLOOKUP(G3249,WholesaleExtract!B:O,14,FALSE),"")</f>
        <v/>
      </c>
      <c r="K3249" s="26" t="str">
        <f>IFERROR(VLOOKUP(G3249,WholesaleExtract!B:K,10,FALSE),"")</f>
        <v/>
      </c>
      <c r="L3249" s="47" t="str">
        <f>IFERROR(VLOOKUP(G3249,WholesaleExtract!B:L,11,FALSE),"")</f>
        <v/>
      </c>
      <c r="M3249" s="47" t="str">
        <f>IFERROR(VLOOKUP(G3249,WholesaleExtract!B:M,12,FALSE),"")</f>
        <v/>
      </c>
      <c r="R3249" s="19"/>
      <c r="S3249" s="19"/>
    </row>
    <row r="3250" spans="1:19" x14ac:dyDescent="0.35">
      <c r="A3250" s="26" t="s">
        <v>543</v>
      </c>
      <c r="B3250" s="26" t="s">
        <v>543</v>
      </c>
      <c r="C3250" s="26"/>
      <c r="D3250" s="26" t="s">
        <v>543</v>
      </c>
      <c r="E3250" s="26" t="str">
        <f>IFERROR(VLOOKUP(G3250,WholesaleExtract!B:J,9,FALSE),"")</f>
        <v/>
      </c>
      <c r="F3250" s="26" t="str">
        <f>IFERROR(VLOOKUP(G3250,WholesaleExtract!B:J,6,FALSE),"")</f>
        <v/>
      </c>
      <c r="H3250" s="47" t="str">
        <f>IFERROR(VLOOKUP(G3250,WholesaleExtract!B:L,11,FALSE),"")</f>
        <v/>
      </c>
      <c r="I3250" s="26" t="str">
        <f>IFERROR(VLOOKUP(G3250,WholesaleExtract!B:O,8,FALSE),"")</f>
        <v/>
      </c>
      <c r="J3250" s="26" t="str">
        <f>IFERROR(VLOOKUP(G3250,WholesaleExtract!B:O,14,FALSE),"")</f>
        <v/>
      </c>
      <c r="K3250" s="26" t="str">
        <f>IFERROR(VLOOKUP(G3250,WholesaleExtract!B:K,10,FALSE),"")</f>
        <v/>
      </c>
      <c r="L3250" s="47" t="str">
        <f>IFERROR(VLOOKUP(G3250,WholesaleExtract!B:L,11,FALSE),"")</f>
        <v/>
      </c>
      <c r="M3250" s="47" t="str">
        <f>IFERROR(VLOOKUP(G3250,WholesaleExtract!B:M,12,FALSE),"")</f>
        <v/>
      </c>
      <c r="R3250" s="19"/>
      <c r="S3250" s="19"/>
    </row>
    <row r="3251" spans="1:19" x14ac:dyDescent="0.35">
      <c r="A3251" s="26" t="s">
        <v>543</v>
      </c>
      <c r="B3251" s="26" t="s">
        <v>543</v>
      </c>
      <c r="C3251" s="26"/>
      <c r="D3251" s="26" t="s">
        <v>543</v>
      </c>
      <c r="E3251" s="26" t="str">
        <f>IFERROR(VLOOKUP(G3251,WholesaleExtract!B:J,9,FALSE),"")</f>
        <v/>
      </c>
      <c r="F3251" s="26" t="str">
        <f>IFERROR(VLOOKUP(G3251,WholesaleExtract!B:J,6,FALSE),"")</f>
        <v/>
      </c>
      <c r="H3251" s="47" t="str">
        <f>IFERROR(VLOOKUP(G3251,WholesaleExtract!B:L,11,FALSE),"")</f>
        <v/>
      </c>
      <c r="I3251" s="26" t="str">
        <f>IFERROR(VLOOKUP(G3251,WholesaleExtract!B:O,8,FALSE),"")</f>
        <v/>
      </c>
      <c r="J3251" s="26" t="str">
        <f>IFERROR(VLOOKUP(G3251,WholesaleExtract!B:O,14,FALSE),"")</f>
        <v/>
      </c>
      <c r="K3251" s="26" t="str">
        <f>IFERROR(VLOOKUP(G3251,WholesaleExtract!B:K,10,FALSE),"")</f>
        <v/>
      </c>
      <c r="L3251" s="47" t="str">
        <f>IFERROR(VLOOKUP(G3251,WholesaleExtract!B:L,11,FALSE),"")</f>
        <v/>
      </c>
      <c r="M3251" s="47" t="str">
        <f>IFERROR(VLOOKUP(G3251,WholesaleExtract!B:M,12,FALSE),"")</f>
        <v/>
      </c>
      <c r="R3251" s="19"/>
      <c r="S3251" s="19"/>
    </row>
    <row r="3252" spans="1:19" x14ac:dyDescent="0.35">
      <c r="A3252" s="26" t="s">
        <v>543</v>
      </c>
      <c r="B3252" s="26" t="s">
        <v>543</v>
      </c>
      <c r="C3252" s="26"/>
      <c r="D3252" s="26" t="s">
        <v>543</v>
      </c>
      <c r="E3252" s="26" t="str">
        <f>IFERROR(VLOOKUP(G3252,WholesaleExtract!B:J,9,FALSE),"")</f>
        <v/>
      </c>
      <c r="F3252" s="26" t="str">
        <f>IFERROR(VLOOKUP(G3252,WholesaleExtract!B:J,6,FALSE),"")</f>
        <v/>
      </c>
      <c r="H3252" s="47" t="str">
        <f>IFERROR(VLOOKUP(G3252,WholesaleExtract!B:L,11,FALSE),"")</f>
        <v/>
      </c>
      <c r="I3252" s="26" t="str">
        <f>IFERROR(VLOOKUP(G3252,WholesaleExtract!B:O,8,FALSE),"")</f>
        <v/>
      </c>
      <c r="J3252" s="26" t="str">
        <f>IFERROR(VLOOKUP(G3252,WholesaleExtract!B:O,14,FALSE),"")</f>
        <v/>
      </c>
      <c r="K3252" s="26" t="str">
        <f>IFERROR(VLOOKUP(G3252,WholesaleExtract!B:K,10,FALSE),"")</f>
        <v/>
      </c>
      <c r="L3252" s="47" t="str">
        <f>IFERROR(VLOOKUP(G3252,WholesaleExtract!B:L,11,FALSE),"")</f>
        <v/>
      </c>
      <c r="M3252" s="47" t="str">
        <f>IFERROR(VLOOKUP(G3252,WholesaleExtract!B:M,12,FALSE),"")</f>
        <v/>
      </c>
      <c r="R3252" s="19"/>
      <c r="S3252" s="19"/>
    </row>
    <row r="3253" spans="1:19" x14ac:dyDescent="0.35">
      <c r="A3253" s="26" t="s">
        <v>543</v>
      </c>
      <c r="B3253" s="26" t="s">
        <v>543</v>
      </c>
      <c r="C3253" s="26"/>
      <c r="D3253" s="26" t="s">
        <v>543</v>
      </c>
      <c r="E3253" s="26" t="str">
        <f>IFERROR(VLOOKUP(G3253,WholesaleExtract!B:J,9,FALSE),"")</f>
        <v/>
      </c>
      <c r="F3253" s="26" t="str">
        <f>IFERROR(VLOOKUP(G3253,WholesaleExtract!B:J,6,FALSE),"")</f>
        <v/>
      </c>
      <c r="H3253" s="47" t="str">
        <f>IFERROR(VLOOKUP(G3253,WholesaleExtract!B:L,11,FALSE),"")</f>
        <v/>
      </c>
      <c r="I3253" s="26" t="str">
        <f>IFERROR(VLOOKUP(G3253,WholesaleExtract!B:O,8,FALSE),"")</f>
        <v/>
      </c>
      <c r="J3253" s="26" t="str">
        <f>IFERROR(VLOOKUP(G3253,WholesaleExtract!B:O,14,FALSE),"")</f>
        <v/>
      </c>
      <c r="K3253" s="26" t="str">
        <f>IFERROR(VLOOKUP(G3253,WholesaleExtract!B:K,10,FALSE),"")</f>
        <v/>
      </c>
      <c r="L3253" s="47" t="str">
        <f>IFERROR(VLOOKUP(G3253,WholesaleExtract!B:L,11,FALSE),"")</f>
        <v/>
      </c>
      <c r="M3253" s="47" t="str">
        <f>IFERROR(VLOOKUP(G3253,WholesaleExtract!B:M,12,FALSE),"")</f>
        <v/>
      </c>
      <c r="R3253" s="19"/>
      <c r="S3253" s="19"/>
    </row>
    <row r="3254" spans="1:19" x14ac:dyDescent="0.35">
      <c r="A3254" s="26" t="s">
        <v>543</v>
      </c>
      <c r="B3254" s="26" t="s">
        <v>543</v>
      </c>
      <c r="C3254" s="26"/>
      <c r="D3254" s="26" t="s">
        <v>543</v>
      </c>
      <c r="E3254" s="26" t="str">
        <f>IFERROR(VLOOKUP(G3254,WholesaleExtract!B:J,9,FALSE),"")</f>
        <v/>
      </c>
      <c r="F3254" s="26" t="str">
        <f>IFERROR(VLOOKUP(G3254,WholesaleExtract!B:J,6,FALSE),"")</f>
        <v/>
      </c>
      <c r="H3254" s="47" t="str">
        <f>IFERROR(VLOOKUP(G3254,WholesaleExtract!B:L,11,FALSE),"")</f>
        <v/>
      </c>
      <c r="I3254" s="26" t="str">
        <f>IFERROR(VLOOKUP(G3254,WholesaleExtract!B:O,8,FALSE),"")</f>
        <v/>
      </c>
      <c r="J3254" s="26" t="str">
        <f>IFERROR(VLOOKUP(G3254,WholesaleExtract!B:O,14,FALSE),"")</f>
        <v/>
      </c>
      <c r="K3254" s="26" t="str">
        <f>IFERROR(VLOOKUP(G3254,WholesaleExtract!B:K,10,FALSE),"")</f>
        <v/>
      </c>
      <c r="L3254" s="47" t="str">
        <f>IFERROR(VLOOKUP(G3254,WholesaleExtract!B:L,11,FALSE),"")</f>
        <v/>
      </c>
      <c r="M3254" s="47" t="str">
        <f>IFERROR(VLOOKUP(G3254,WholesaleExtract!B:M,12,FALSE),"")</f>
        <v/>
      </c>
      <c r="R3254" s="19"/>
      <c r="S3254" s="19"/>
    </row>
    <row r="3255" spans="1:19" x14ac:dyDescent="0.35">
      <c r="A3255" s="26" t="s">
        <v>543</v>
      </c>
      <c r="B3255" s="26" t="s">
        <v>543</v>
      </c>
      <c r="C3255" s="26"/>
      <c r="D3255" s="26" t="s">
        <v>543</v>
      </c>
      <c r="E3255" s="26" t="str">
        <f>IFERROR(VLOOKUP(G3255,WholesaleExtract!B:J,9,FALSE),"")</f>
        <v/>
      </c>
      <c r="F3255" s="26" t="str">
        <f>IFERROR(VLOOKUP(G3255,WholesaleExtract!B:J,6,FALSE),"")</f>
        <v/>
      </c>
      <c r="H3255" s="47" t="str">
        <f>IFERROR(VLOOKUP(G3255,WholesaleExtract!B:L,11,FALSE),"")</f>
        <v/>
      </c>
      <c r="I3255" s="26" t="str">
        <f>IFERROR(VLOOKUP(G3255,WholesaleExtract!B:O,8,FALSE),"")</f>
        <v/>
      </c>
      <c r="J3255" s="26" t="str">
        <f>IFERROR(VLOOKUP(G3255,WholesaleExtract!B:O,14,FALSE),"")</f>
        <v/>
      </c>
      <c r="K3255" s="26" t="str">
        <f>IFERROR(VLOOKUP(G3255,WholesaleExtract!B:K,10,FALSE),"")</f>
        <v/>
      </c>
      <c r="L3255" s="47" t="str">
        <f>IFERROR(VLOOKUP(G3255,WholesaleExtract!B:L,11,FALSE),"")</f>
        <v/>
      </c>
      <c r="M3255" s="47" t="str">
        <f>IFERROR(VLOOKUP(G3255,WholesaleExtract!B:M,12,FALSE),"")</f>
        <v/>
      </c>
      <c r="R3255" s="19"/>
      <c r="S3255" s="19"/>
    </row>
    <row r="3256" spans="1:19" x14ac:dyDescent="0.35">
      <c r="A3256" s="26" t="s">
        <v>543</v>
      </c>
      <c r="B3256" s="26" t="s">
        <v>543</v>
      </c>
      <c r="C3256" s="26"/>
      <c r="D3256" s="26" t="s">
        <v>543</v>
      </c>
      <c r="E3256" s="26" t="str">
        <f>IFERROR(VLOOKUP(G3256,WholesaleExtract!B:J,9,FALSE),"")</f>
        <v/>
      </c>
      <c r="F3256" s="26" t="str">
        <f>IFERROR(VLOOKUP(G3256,WholesaleExtract!B:J,6,FALSE),"")</f>
        <v/>
      </c>
      <c r="H3256" s="47" t="str">
        <f>IFERROR(VLOOKUP(G3256,WholesaleExtract!B:L,11,FALSE),"")</f>
        <v/>
      </c>
      <c r="I3256" s="26" t="str">
        <f>IFERROR(VLOOKUP(G3256,WholesaleExtract!B:O,8,FALSE),"")</f>
        <v/>
      </c>
      <c r="J3256" s="26" t="str">
        <f>IFERROR(VLOOKUP(G3256,WholesaleExtract!B:O,14,FALSE),"")</f>
        <v/>
      </c>
      <c r="K3256" s="26" t="str">
        <f>IFERROR(VLOOKUP(G3256,WholesaleExtract!B:K,10,FALSE),"")</f>
        <v/>
      </c>
      <c r="L3256" s="47" t="str">
        <f>IFERROR(VLOOKUP(G3256,WholesaleExtract!B:L,11,FALSE),"")</f>
        <v/>
      </c>
      <c r="M3256" s="47" t="str">
        <f>IFERROR(VLOOKUP(G3256,WholesaleExtract!B:M,12,FALSE),"")</f>
        <v/>
      </c>
      <c r="R3256" s="19"/>
      <c r="S3256" s="19"/>
    </row>
    <row r="3257" spans="1:19" x14ac:dyDescent="0.35">
      <c r="A3257" s="26" t="s">
        <v>543</v>
      </c>
      <c r="B3257" s="26" t="s">
        <v>543</v>
      </c>
      <c r="C3257" s="26"/>
      <c r="D3257" s="26" t="s">
        <v>543</v>
      </c>
      <c r="E3257" s="26" t="str">
        <f>IFERROR(VLOOKUP(G3257,WholesaleExtract!B:J,9,FALSE),"")</f>
        <v/>
      </c>
      <c r="F3257" s="26" t="str">
        <f>IFERROR(VLOOKUP(G3257,WholesaleExtract!B:J,6,FALSE),"")</f>
        <v/>
      </c>
      <c r="H3257" s="47" t="str">
        <f>IFERROR(VLOOKUP(G3257,WholesaleExtract!B:L,11,FALSE),"")</f>
        <v/>
      </c>
      <c r="I3257" s="26" t="str">
        <f>IFERROR(VLOOKUP(G3257,WholesaleExtract!B:O,8,FALSE),"")</f>
        <v/>
      </c>
      <c r="J3257" s="26" t="str">
        <f>IFERROR(VLOOKUP(G3257,WholesaleExtract!B:O,14,FALSE),"")</f>
        <v/>
      </c>
      <c r="K3257" s="26" t="str">
        <f>IFERROR(VLOOKUP(G3257,WholesaleExtract!B:K,10,FALSE),"")</f>
        <v/>
      </c>
      <c r="L3257" s="47" t="str">
        <f>IFERROR(VLOOKUP(G3257,WholesaleExtract!B:L,11,FALSE),"")</f>
        <v/>
      </c>
      <c r="M3257" s="47" t="str">
        <f>IFERROR(VLOOKUP(G3257,WholesaleExtract!B:M,12,FALSE),"")</f>
        <v/>
      </c>
      <c r="R3257" s="19"/>
      <c r="S3257" s="19"/>
    </row>
    <row r="3258" spans="1:19" x14ac:dyDescent="0.35">
      <c r="A3258" s="26" t="s">
        <v>543</v>
      </c>
      <c r="B3258" s="26" t="s">
        <v>543</v>
      </c>
      <c r="C3258" s="26"/>
      <c r="D3258" s="26" t="s">
        <v>543</v>
      </c>
      <c r="E3258" s="26" t="str">
        <f>IFERROR(VLOOKUP(G3258,WholesaleExtract!B:J,9,FALSE),"")</f>
        <v/>
      </c>
      <c r="F3258" s="26" t="str">
        <f>IFERROR(VLOOKUP(G3258,WholesaleExtract!B:J,6,FALSE),"")</f>
        <v/>
      </c>
      <c r="H3258" s="47" t="str">
        <f>IFERROR(VLOOKUP(G3258,WholesaleExtract!B:L,11,FALSE),"")</f>
        <v/>
      </c>
      <c r="I3258" s="26" t="str">
        <f>IFERROR(VLOOKUP(G3258,WholesaleExtract!B:O,8,FALSE),"")</f>
        <v/>
      </c>
      <c r="J3258" s="26" t="str">
        <f>IFERROR(VLOOKUP(G3258,WholesaleExtract!B:O,14,FALSE),"")</f>
        <v/>
      </c>
      <c r="K3258" s="26" t="str">
        <f>IFERROR(VLOOKUP(G3258,WholesaleExtract!B:K,10,FALSE),"")</f>
        <v/>
      </c>
      <c r="L3258" s="47" t="str">
        <f>IFERROR(VLOOKUP(G3258,WholesaleExtract!B:L,11,FALSE),"")</f>
        <v/>
      </c>
      <c r="M3258" s="47" t="str">
        <f>IFERROR(VLOOKUP(G3258,WholesaleExtract!B:M,12,FALSE),"")</f>
        <v/>
      </c>
      <c r="R3258" s="19"/>
      <c r="S3258" s="19"/>
    </row>
    <row r="3259" spans="1:19" x14ac:dyDescent="0.35">
      <c r="A3259" s="26" t="s">
        <v>543</v>
      </c>
      <c r="B3259" s="26" t="s">
        <v>543</v>
      </c>
      <c r="C3259" s="26"/>
      <c r="D3259" s="26" t="s">
        <v>543</v>
      </c>
      <c r="E3259" s="26" t="str">
        <f>IFERROR(VLOOKUP(G3259,WholesaleExtract!B:J,9,FALSE),"")</f>
        <v/>
      </c>
      <c r="F3259" s="26" t="str">
        <f>IFERROR(VLOOKUP(G3259,WholesaleExtract!B:J,6,FALSE),"")</f>
        <v/>
      </c>
      <c r="H3259" s="47" t="str">
        <f>IFERROR(VLOOKUP(G3259,WholesaleExtract!B:L,11,FALSE),"")</f>
        <v/>
      </c>
      <c r="I3259" s="26" t="str">
        <f>IFERROR(VLOOKUP(G3259,WholesaleExtract!B:O,8,FALSE),"")</f>
        <v/>
      </c>
      <c r="J3259" s="26" t="str">
        <f>IFERROR(VLOOKUP(G3259,WholesaleExtract!B:O,14,FALSE),"")</f>
        <v/>
      </c>
      <c r="K3259" s="26" t="str">
        <f>IFERROR(VLOOKUP(G3259,WholesaleExtract!B:K,10,FALSE),"")</f>
        <v/>
      </c>
      <c r="L3259" s="47" t="str">
        <f>IFERROR(VLOOKUP(G3259,WholesaleExtract!B:L,11,FALSE),"")</f>
        <v/>
      </c>
      <c r="M3259" s="47" t="str">
        <f>IFERROR(VLOOKUP(G3259,WholesaleExtract!B:M,12,FALSE),"")</f>
        <v/>
      </c>
      <c r="R3259" s="19"/>
      <c r="S3259" s="19"/>
    </row>
    <row r="3260" spans="1:19" x14ac:dyDescent="0.35">
      <c r="A3260" s="26" t="s">
        <v>543</v>
      </c>
      <c r="B3260" s="26" t="s">
        <v>543</v>
      </c>
      <c r="C3260" s="26"/>
      <c r="D3260" s="26" t="s">
        <v>543</v>
      </c>
      <c r="E3260" s="26" t="str">
        <f>IFERROR(VLOOKUP(G3260,WholesaleExtract!B:J,9,FALSE),"")</f>
        <v/>
      </c>
      <c r="F3260" s="26" t="str">
        <f>IFERROR(VLOOKUP(G3260,WholesaleExtract!B:J,6,FALSE),"")</f>
        <v/>
      </c>
      <c r="H3260" s="47" t="str">
        <f>IFERROR(VLOOKUP(G3260,WholesaleExtract!B:L,11,FALSE),"")</f>
        <v/>
      </c>
      <c r="I3260" s="26" t="str">
        <f>IFERROR(VLOOKUP(G3260,WholesaleExtract!B:O,8,FALSE),"")</f>
        <v/>
      </c>
      <c r="J3260" s="26" t="str">
        <f>IFERROR(VLOOKUP(G3260,WholesaleExtract!B:O,14,FALSE),"")</f>
        <v/>
      </c>
      <c r="K3260" s="26" t="str">
        <f>IFERROR(VLOOKUP(G3260,WholesaleExtract!B:K,10,FALSE),"")</f>
        <v/>
      </c>
      <c r="L3260" s="47" t="str">
        <f>IFERROR(VLOOKUP(G3260,WholesaleExtract!B:L,11,FALSE),"")</f>
        <v/>
      </c>
      <c r="M3260" s="47" t="str">
        <f>IFERROR(VLOOKUP(G3260,WholesaleExtract!B:M,12,FALSE),"")</f>
        <v/>
      </c>
      <c r="R3260" s="19"/>
      <c r="S3260" s="19"/>
    </row>
    <row r="3261" spans="1:19" x14ac:dyDescent="0.35">
      <c r="A3261" s="26" t="s">
        <v>543</v>
      </c>
      <c r="B3261" s="26" t="s">
        <v>543</v>
      </c>
      <c r="C3261" s="26"/>
      <c r="D3261" s="26" t="s">
        <v>543</v>
      </c>
      <c r="E3261" s="26" t="str">
        <f>IFERROR(VLOOKUP(G3261,WholesaleExtract!B:J,9,FALSE),"")</f>
        <v/>
      </c>
      <c r="F3261" s="26" t="str">
        <f>IFERROR(VLOOKUP(G3261,WholesaleExtract!B:J,6,FALSE),"")</f>
        <v/>
      </c>
      <c r="H3261" s="47" t="str">
        <f>IFERROR(VLOOKUP(G3261,WholesaleExtract!B:L,11,FALSE),"")</f>
        <v/>
      </c>
      <c r="I3261" s="26" t="str">
        <f>IFERROR(VLOOKUP(G3261,WholesaleExtract!B:O,8,FALSE),"")</f>
        <v/>
      </c>
      <c r="J3261" s="26" t="str">
        <f>IFERROR(VLOOKUP(G3261,WholesaleExtract!B:O,14,FALSE),"")</f>
        <v/>
      </c>
      <c r="K3261" s="26" t="str">
        <f>IFERROR(VLOOKUP(G3261,WholesaleExtract!B:K,10,FALSE),"")</f>
        <v/>
      </c>
      <c r="L3261" s="47" t="str">
        <f>IFERROR(VLOOKUP(G3261,WholesaleExtract!B:L,11,FALSE),"")</f>
        <v/>
      </c>
      <c r="M3261" s="47" t="str">
        <f>IFERROR(VLOOKUP(G3261,WholesaleExtract!B:M,12,FALSE),"")</f>
        <v/>
      </c>
      <c r="R3261" s="19"/>
      <c r="S3261" s="19"/>
    </row>
    <row r="3262" spans="1:19" x14ac:dyDescent="0.35">
      <c r="A3262" s="26" t="s">
        <v>543</v>
      </c>
      <c r="B3262" s="26" t="s">
        <v>543</v>
      </c>
      <c r="C3262" s="26"/>
      <c r="D3262" s="26" t="s">
        <v>543</v>
      </c>
      <c r="E3262" s="26" t="str">
        <f>IFERROR(VLOOKUP(G3262,WholesaleExtract!B:J,9,FALSE),"")</f>
        <v/>
      </c>
      <c r="F3262" s="26" t="str">
        <f>IFERROR(VLOOKUP(G3262,WholesaleExtract!B:J,6,FALSE),"")</f>
        <v/>
      </c>
      <c r="H3262" s="47" t="str">
        <f>IFERROR(VLOOKUP(G3262,WholesaleExtract!B:L,11,FALSE),"")</f>
        <v/>
      </c>
      <c r="I3262" s="26" t="str">
        <f>IFERROR(VLOOKUP(G3262,WholesaleExtract!B:O,8,FALSE),"")</f>
        <v/>
      </c>
      <c r="J3262" s="26" t="str">
        <f>IFERROR(VLOOKUP(G3262,WholesaleExtract!B:O,14,FALSE),"")</f>
        <v/>
      </c>
      <c r="K3262" s="26" t="str">
        <f>IFERROR(VLOOKUP(G3262,WholesaleExtract!B:K,10,FALSE),"")</f>
        <v/>
      </c>
      <c r="L3262" s="47" t="str">
        <f>IFERROR(VLOOKUP(G3262,WholesaleExtract!B:L,11,FALSE),"")</f>
        <v/>
      </c>
      <c r="M3262" s="47" t="str">
        <f>IFERROR(VLOOKUP(G3262,WholesaleExtract!B:M,12,FALSE),"")</f>
        <v/>
      </c>
      <c r="R3262" s="19"/>
      <c r="S3262" s="19"/>
    </row>
    <row r="3263" spans="1:19" x14ac:dyDescent="0.35">
      <c r="A3263" s="26" t="s">
        <v>543</v>
      </c>
      <c r="B3263" s="26" t="s">
        <v>543</v>
      </c>
      <c r="C3263" s="26"/>
      <c r="D3263" s="26" t="s">
        <v>543</v>
      </c>
      <c r="E3263" s="26" t="str">
        <f>IFERROR(VLOOKUP(G3263,WholesaleExtract!B:J,9,FALSE),"")</f>
        <v/>
      </c>
      <c r="F3263" s="26" t="str">
        <f>IFERROR(VLOOKUP(G3263,WholesaleExtract!B:J,6,FALSE),"")</f>
        <v/>
      </c>
      <c r="H3263" s="47" t="str">
        <f>IFERROR(VLOOKUP(G3263,WholesaleExtract!B:L,11,FALSE),"")</f>
        <v/>
      </c>
      <c r="I3263" s="26" t="str">
        <f>IFERROR(VLOOKUP(G3263,WholesaleExtract!B:O,8,FALSE),"")</f>
        <v/>
      </c>
      <c r="J3263" s="26" t="str">
        <f>IFERROR(VLOOKUP(G3263,WholesaleExtract!B:O,14,FALSE),"")</f>
        <v/>
      </c>
      <c r="K3263" s="26" t="str">
        <f>IFERROR(VLOOKUP(G3263,WholesaleExtract!B:K,10,FALSE),"")</f>
        <v/>
      </c>
      <c r="L3263" s="47" t="str">
        <f>IFERROR(VLOOKUP(G3263,WholesaleExtract!B:L,11,FALSE),"")</f>
        <v/>
      </c>
      <c r="M3263" s="47" t="str">
        <f>IFERROR(VLOOKUP(G3263,WholesaleExtract!B:M,12,FALSE),"")</f>
        <v/>
      </c>
      <c r="R3263" s="19"/>
      <c r="S3263" s="19"/>
    </row>
    <row r="3264" spans="1:19" x14ac:dyDescent="0.35">
      <c r="A3264" s="26" t="s">
        <v>543</v>
      </c>
      <c r="B3264" s="26" t="s">
        <v>543</v>
      </c>
      <c r="C3264" s="26"/>
      <c r="D3264" s="26" t="s">
        <v>543</v>
      </c>
      <c r="E3264" s="26" t="str">
        <f>IFERROR(VLOOKUP(G3264,WholesaleExtract!B:J,9,FALSE),"")</f>
        <v/>
      </c>
      <c r="F3264" s="26" t="str">
        <f>IFERROR(VLOOKUP(G3264,WholesaleExtract!B:J,6,FALSE),"")</f>
        <v/>
      </c>
      <c r="H3264" s="47" t="str">
        <f>IFERROR(VLOOKUP(G3264,WholesaleExtract!B:L,11,FALSE),"")</f>
        <v/>
      </c>
      <c r="I3264" s="26" t="str">
        <f>IFERROR(VLOOKUP(G3264,WholesaleExtract!B:O,8,FALSE),"")</f>
        <v/>
      </c>
      <c r="J3264" s="26" t="str">
        <f>IFERROR(VLOOKUP(G3264,WholesaleExtract!B:O,14,FALSE),"")</f>
        <v/>
      </c>
      <c r="K3264" s="26" t="str">
        <f>IFERROR(VLOOKUP(G3264,WholesaleExtract!B:K,10,FALSE),"")</f>
        <v/>
      </c>
      <c r="L3264" s="47" t="str">
        <f>IFERROR(VLOOKUP(G3264,WholesaleExtract!B:L,11,FALSE),"")</f>
        <v/>
      </c>
      <c r="M3264" s="47" t="str">
        <f>IFERROR(VLOOKUP(G3264,WholesaleExtract!B:M,12,FALSE),"")</f>
        <v/>
      </c>
      <c r="R3264" s="19"/>
      <c r="S3264" s="19"/>
    </row>
    <row r="3265" spans="1:19" x14ac:dyDescent="0.35">
      <c r="A3265" s="26" t="s">
        <v>543</v>
      </c>
      <c r="B3265" s="26" t="s">
        <v>543</v>
      </c>
      <c r="C3265" s="26"/>
      <c r="D3265" s="26" t="s">
        <v>543</v>
      </c>
      <c r="E3265" s="26" t="str">
        <f>IFERROR(VLOOKUP(G3265,WholesaleExtract!B:J,9,FALSE),"")</f>
        <v/>
      </c>
      <c r="F3265" s="26" t="str">
        <f>IFERROR(VLOOKUP(G3265,WholesaleExtract!B:J,6,FALSE),"")</f>
        <v/>
      </c>
      <c r="H3265" s="47" t="str">
        <f>IFERROR(VLOOKUP(G3265,WholesaleExtract!B:L,11,FALSE),"")</f>
        <v/>
      </c>
      <c r="I3265" s="26" t="str">
        <f>IFERROR(VLOOKUP(G3265,WholesaleExtract!B:O,8,FALSE),"")</f>
        <v/>
      </c>
      <c r="J3265" s="26" t="str">
        <f>IFERROR(VLOOKUP(G3265,WholesaleExtract!B:O,14,FALSE),"")</f>
        <v/>
      </c>
      <c r="K3265" s="26" t="str">
        <f>IFERROR(VLOOKUP(G3265,WholesaleExtract!B:K,10,FALSE),"")</f>
        <v/>
      </c>
      <c r="L3265" s="47" t="str">
        <f>IFERROR(VLOOKUP(G3265,WholesaleExtract!B:L,11,FALSE),"")</f>
        <v/>
      </c>
      <c r="M3265" s="47" t="str">
        <f>IFERROR(VLOOKUP(G3265,WholesaleExtract!B:M,12,FALSE),"")</f>
        <v/>
      </c>
      <c r="R3265" s="19"/>
      <c r="S3265" s="19"/>
    </row>
    <row r="3266" spans="1:19" x14ac:dyDescent="0.35">
      <c r="A3266" s="26" t="s">
        <v>543</v>
      </c>
      <c r="B3266" s="26" t="s">
        <v>543</v>
      </c>
      <c r="C3266" s="26"/>
      <c r="D3266" s="26" t="s">
        <v>543</v>
      </c>
      <c r="E3266" s="26" t="str">
        <f>IFERROR(VLOOKUP(G3266,WholesaleExtract!B:J,9,FALSE),"")</f>
        <v/>
      </c>
      <c r="F3266" s="26" t="str">
        <f>IFERROR(VLOOKUP(G3266,WholesaleExtract!B:J,6,FALSE),"")</f>
        <v/>
      </c>
      <c r="H3266" s="47" t="str">
        <f>IFERROR(VLOOKUP(G3266,WholesaleExtract!B:L,11,FALSE),"")</f>
        <v/>
      </c>
      <c r="I3266" s="26" t="str">
        <f>IFERROR(VLOOKUP(G3266,WholesaleExtract!B:O,8,FALSE),"")</f>
        <v/>
      </c>
      <c r="J3266" s="26" t="str">
        <f>IFERROR(VLOOKUP(G3266,WholesaleExtract!B:O,14,FALSE),"")</f>
        <v/>
      </c>
      <c r="K3266" s="26" t="str">
        <f>IFERROR(VLOOKUP(G3266,WholesaleExtract!B:K,10,FALSE),"")</f>
        <v/>
      </c>
      <c r="L3266" s="47" t="str">
        <f>IFERROR(VLOOKUP(G3266,WholesaleExtract!B:L,11,FALSE),"")</f>
        <v/>
      </c>
      <c r="M3266" s="47" t="str">
        <f>IFERROR(VLOOKUP(G3266,WholesaleExtract!B:M,12,FALSE),"")</f>
        <v/>
      </c>
      <c r="R3266" s="19"/>
      <c r="S3266" s="19"/>
    </row>
    <row r="3267" spans="1:19" x14ac:dyDescent="0.35">
      <c r="A3267" s="26" t="s">
        <v>543</v>
      </c>
      <c r="B3267" s="26" t="s">
        <v>543</v>
      </c>
      <c r="C3267" s="26"/>
      <c r="D3267" s="26" t="s">
        <v>543</v>
      </c>
      <c r="E3267" s="26" t="str">
        <f>IFERROR(VLOOKUP(G3267,WholesaleExtract!B:J,9,FALSE),"")</f>
        <v/>
      </c>
      <c r="F3267" s="26" t="str">
        <f>IFERROR(VLOOKUP(G3267,WholesaleExtract!B:J,6,FALSE),"")</f>
        <v/>
      </c>
      <c r="H3267" s="47" t="str">
        <f>IFERROR(VLOOKUP(G3267,WholesaleExtract!B:L,11,FALSE),"")</f>
        <v/>
      </c>
      <c r="I3267" s="26" t="str">
        <f>IFERROR(VLOOKUP(G3267,WholesaleExtract!B:O,8,FALSE),"")</f>
        <v/>
      </c>
      <c r="J3267" s="26" t="str">
        <f>IFERROR(VLOOKUP(G3267,WholesaleExtract!B:O,14,FALSE),"")</f>
        <v/>
      </c>
      <c r="K3267" s="26" t="str">
        <f>IFERROR(VLOOKUP(G3267,WholesaleExtract!B:K,10,FALSE),"")</f>
        <v/>
      </c>
      <c r="L3267" s="47" t="str">
        <f>IFERROR(VLOOKUP(G3267,WholesaleExtract!B:L,11,FALSE),"")</f>
        <v/>
      </c>
      <c r="M3267" s="47" t="str">
        <f>IFERROR(VLOOKUP(G3267,WholesaleExtract!B:M,12,FALSE),"")</f>
        <v/>
      </c>
      <c r="R3267" s="19"/>
      <c r="S3267" s="19"/>
    </row>
    <row r="3268" spans="1:19" x14ac:dyDescent="0.35">
      <c r="A3268" s="26" t="s">
        <v>543</v>
      </c>
      <c r="B3268" s="26" t="s">
        <v>543</v>
      </c>
      <c r="C3268" s="26"/>
      <c r="D3268" s="26" t="s">
        <v>543</v>
      </c>
      <c r="E3268" s="26" t="str">
        <f>IFERROR(VLOOKUP(G3268,WholesaleExtract!B:J,9,FALSE),"")</f>
        <v/>
      </c>
      <c r="F3268" s="26" t="str">
        <f>IFERROR(VLOOKUP(G3268,WholesaleExtract!B:J,6,FALSE),"")</f>
        <v/>
      </c>
      <c r="H3268" s="47" t="str">
        <f>IFERROR(VLOOKUP(G3268,WholesaleExtract!B:L,11,FALSE),"")</f>
        <v/>
      </c>
      <c r="I3268" s="26" t="str">
        <f>IFERROR(VLOOKUP(G3268,WholesaleExtract!B:O,8,FALSE),"")</f>
        <v/>
      </c>
      <c r="J3268" s="26" t="str">
        <f>IFERROR(VLOOKUP(G3268,WholesaleExtract!B:O,14,FALSE),"")</f>
        <v/>
      </c>
      <c r="K3268" s="26" t="str">
        <f>IFERROR(VLOOKUP(G3268,WholesaleExtract!B:K,10,FALSE),"")</f>
        <v/>
      </c>
      <c r="L3268" s="47" t="str">
        <f>IFERROR(VLOOKUP(G3268,WholesaleExtract!B:L,11,FALSE),"")</f>
        <v/>
      </c>
      <c r="M3268" s="47" t="str">
        <f>IFERROR(VLOOKUP(G3268,WholesaleExtract!B:M,12,FALSE),"")</f>
        <v/>
      </c>
      <c r="R3268" s="19"/>
      <c r="S3268" s="19"/>
    </row>
    <row r="3269" spans="1:19" x14ac:dyDescent="0.35">
      <c r="A3269" s="26" t="s">
        <v>543</v>
      </c>
      <c r="B3269" s="26" t="s">
        <v>543</v>
      </c>
      <c r="C3269" s="26"/>
      <c r="D3269" s="26" t="s">
        <v>543</v>
      </c>
      <c r="E3269" s="26" t="str">
        <f>IFERROR(VLOOKUP(G3269,WholesaleExtract!B:J,9,FALSE),"")</f>
        <v/>
      </c>
      <c r="F3269" s="26" t="str">
        <f>IFERROR(VLOOKUP(G3269,WholesaleExtract!B:J,6,FALSE),"")</f>
        <v/>
      </c>
      <c r="H3269" s="47" t="str">
        <f>IFERROR(VLOOKUP(G3269,WholesaleExtract!B:L,11,FALSE),"")</f>
        <v/>
      </c>
      <c r="I3269" s="26" t="str">
        <f>IFERROR(VLOOKUP(G3269,WholesaleExtract!B:O,8,FALSE),"")</f>
        <v/>
      </c>
      <c r="J3269" s="26" t="str">
        <f>IFERROR(VLOOKUP(G3269,WholesaleExtract!B:O,14,FALSE),"")</f>
        <v/>
      </c>
      <c r="K3269" s="26" t="str">
        <f>IFERROR(VLOOKUP(G3269,WholesaleExtract!B:K,10,FALSE),"")</f>
        <v/>
      </c>
      <c r="L3269" s="47" t="str">
        <f>IFERROR(VLOOKUP(G3269,WholesaleExtract!B:L,11,FALSE),"")</f>
        <v/>
      </c>
      <c r="M3269" s="47" t="str">
        <f>IFERROR(VLOOKUP(G3269,WholesaleExtract!B:M,12,FALSE),"")</f>
        <v/>
      </c>
      <c r="R3269" s="19"/>
      <c r="S3269" s="19"/>
    </row>
    <row r="3270" spans="1:19" x14ac:dyDescent="0.35">
      <c r="A3270" s="26" t="s">
        <v>543</v>
      </c>
      <c r="B3270" s="26" t="s">
        <v>543</v>
      </c>
      <c r="C3270" s="26"/>
      <c r="D3270" s="26" t="s">
        <v>543</v>
      </c>
      <c r="E3270" s="26" t="str">
        <f>IFERROR(VLOOKUP(G3270,WholesaleExtract!B:J,9,FALSE),"")</f>
        <v/>
      </c>
      <c r="F3270" s="26" t="str">
        <f>IFERROR(VLOOKUP(G3270,WholesaleExtract!B:J,6,FALSE),"")</f>
        <v/>
      </c>
      <c r="H3270" s="47" t="str">
        <f>IFERROR(VLOOKUP(G3270,WholesaleExtract!B:L,11,FALSE),"")</f>
        <v/>
      </c>
      <c r="I3270" s="26" t="str">
        <f>IFERROR(VLOOKUP(G3270,WholesaleExtract!B:O,8,FALSE),"")</f>
        <v/>
      </c>
      <c r="J3270" s="26" t="str">
        <f>IFERROR(VLOOKUP(G3270,WholesaleExtract!B:O,14,FALSE),"")</f>
        <v/>
      </c>
      <c r="K3270" s="26" t="str">
        <f>IFERROR(VLOOKUP(G3270,WholesaleExtract!B:K,10,FALSE),"")</f>
        <v/>
      </c>
      <c r="L3270" s="47" t="str">
        <f>IFERROR(VLOOKUP(G3270,WholesaleExtract!B:L,11,FALSE),"")</f>
        <v/>
      </c>
      <c r="M3270" s="47" t="str">
        <f>IFERROR(VLOOKUP(G3270,WholesaleExtract!B:M,12,FALSE),"")</f>
        <v/>
      </c>
      <c r="R3270" s="19"/>
      <c r="S3270" s="19"/>
    </row>
    <row r="3271" spans="1:19" x14ac:dyDescent="0.35">
      <c r="A3271" s="26" t="s">
        <v>543</v>
      </c>
      <c r="B3271" s="26" t="s">
        <v>543</v>
      </c>
      <c r="C3271" s="26"/>
      <c r="D3271" s="26" t="s">
        <v>543</v>
      </c>
      <c r="E3271" s="26" t="str">
        <f>IFERROR(VLOOKUP(G3271,WholesaleExtract!B:J,9,FALSE),"")</f>
        <v/>
      </c>
      <c r="F3271" s="26" t="str">
        <f>IFERROR(VLOOKUP(G3271,WholesaleExtract!B:J,6,FALSE),"")</f>
        <v/>
      </c>
      <c r="H3271" s="47" t="str">
        <f>IFERROR(VLOOKUP(G3271,WholesaleExtract!B:L,11,FALSE),"")</f>
        <v/>
      </c>
      <c r="I3271" s="26" t="str">
        <f>IFERROR(VLOOKUP(G3271,WholesaleExtract!B:O,8,FALSE),"")</f>
        <v/>
      </c>
      <c r="J3271" s="26" t="str">
        <f>IFERROR(VLOOKUP(G3271,WholesaleExtract!B:O,14,FALSE),"")</f>
        <v/>
      </c>
      <c r="K3271" s="26" t="str">
        <f>IFERROR(VLOOKUP(G3271,WholesaleExtract!B:K,10,FALSE),"")</f>
        <v/>
      </c>
      <c r="L3271" s="47" t="str">
        <f>IFERROR(VLOOKUP(G3271,WholesaleExtract!B:L,11,FALSE),"")</f>
        <v/>
      </c>
      <c r="M3271" s="47" t="str">
        <f>IFERROR(VLOOKUP(G3271,WholesaleExtract!B:M,12,FALSE),"")</f>
        <v/>
      </c>
      <c r="R3271" s="19"/>
      <c r="S3271" s="19"/>
    </row>
    <row r="3272" spans="1:19" x14ac:dyDescent="0.35">
      <c r="A3272" s="26" t="s">
        <v>543</v>
      </c>
      <c r="B3272" s="26" t="s">
        <v>543</v>
      </c>
      <c r="C3272" s="26"/>
      <c r="D3272" s="26" t="s">
        <v>543</v>
      </c>
      <c r="E3272" s="26" t="str">
        <f>IFERROR(VLOOKUP(G3272,WholesaleExtract!B:J,9,FALSE),"")</f>
        <v/>
      </c>
      <c r="F3272" s="26" t="str">
        <f>IFERROR(VLOOKUP(G3272,WholesaleExtract!B:J,6,FALSE),"")</f>
        <v/>
      </c>
      <c r="H3272" s="47" t="str">
        <f>IFERROR(VLOOKUP(G3272,WholesaleExtract!B:L,11,FALSE),"")</f>
        <v/>
      </c>
      <c r="I3272" s="26" t="str">
        <f>IFERROR(VLOOKUP(G3272,WholesaleExtract!B:O,8,FALSE),"")</f>
        <v/>
      </c>
      <c r="J3272" s="26" t="str">
        <f>IFERROR(VLOOKUP(G3272,WholesaleExtract!B:O,14,FALSE),"")</f>
        <v/>
      </c>
      <c r="K3272" s="26" t="str">
        <f>IFERROR(VLOOKUP(G3272,WholesaleExtract!B:K,10,FALSE),"")</f>
        <v/>
      </c>
      <c r="L3272" s="47" t="str">
        <f>IFERROR(VLOOKUP(G3272,WholesaleExtract!B:L,11,FALSE),"")</f>
        <v/>
      </c>
      <c r="M3272" s="47" t="str">
        <f>IFERROR(VLOOKUP(G3272,WholesaleExtract!B:M,12,FALSE),"")</f>
        <v/>
      </c>
      <c r="R3272" s="19"/>
      <c r="S3272" s="19"/>
    </row>
    <row r="3273" spans="1:19" x14ac:dyDescent="0.35">
      <c r="A3273" s="26" t="s">
        <v>543</v>
      </c>
      <c r="B3273" s="26" t="s">
        <v>543</v>
      </c>
      <c r="C3273" s="26"/>
      <c r="D3273" s="26" t="s">
        <v>543</v>
      </c>
      <c r="E3273" s="26" t="str">
        <f>IFERROR(VLOOKUP(G3273,WholesaleExtract!B:J,9,FALSE),"")</f>
        <v/>
      </c>
      <c r="F3273" s="26" t="str">
        <f>IFERROR(VLOOKUP(G3273,WholesaleExtract!B:J,6,FALSE),"")</f>
        <v/>
      </c>
      <c r="H3273" s="47" t="str">
        <f>IFERROR(VLOOKUP(G3273,WholesaleExtract!B:L,11,FALSE),"")</f>
        <v/>
      </c>
      <c r="I3273" s="26" t="str">
        <f>IFERROR(VLOOKUP(G3273,WholesaleExtract!B:O,8,FALSE),"")</f>
        <v/>
      </c>
      <c r="J3273" s="26" t="str">
        <f>IFERROR(VLOOKUP(G3273,WholesaleExtract!B:O,14,FALSE),"")</f>
        <v/>
      </c>
      <c r="K3273" s="26" t="str">
        <f>IFERROR(VLOOKUP(G3273,WholesaleExtract!B:K,10,FALSE),"")</f>
        <v/>
      </c>
      <c r="L3273" s="47" t="str">
        <f>IFERROR(VLOOKUP(G3273,WholesaleExtract!B:L,11,FALSE),"")</f>
        <v/>
      </c>
      <c r="M3273" s="47" t="str">
        <f>IFERROR(VLOOKUP(G3273,WholesaleExtract!B:M,12,FALSE),"")</f>
        <v/>
      </c>
      <c r="R3273" s="19"/>
      <c r="S3273" s="19"/>
    </row>
    <row r="3274" spans="1:19" x14ac:dyDescent="0.35">
      <c r="A3274" s="26" t="s">
        <v>543</v>
      </c>
      <c r="B3274" s="26" t="s">
        <v>543</v>
      </c>
      <c r="C3274" s="26"/>
      <c r="D3274" s="26" t="s">
        <v>543</v>
      </c>
      <c r="E3274" s="26" t="str">
        <f>IFERROR(VLOOKUP(G3274,WholesaleExtract!B:J,9,FALSE),"")</f>
        <v/>
      </c>
      <c r="F3274" s="26" t="str">
        <f>IFERROR(VLOOKUP(G3274,WholesaleExtract!B:J,6,FALSE),"")</f>
        <v/>
      </c>
      <c r="H3274" s="47" t="str">
        <f>IFERROR(VLOOKUP(G3274,WholesaleExtract!B:L,11,FALSE),"")</f>
        <v/>
      </c>
      <c r="I3274" s="26" t="str">
        <f>IFERROR(VLOOKUP(G3274,WholesaleExtract!B:O,8,FALSE),"")</f>
        <v/>
      </c>
      <c r="J3274" s="26" t="str">
        <f>IFERROR(VLOOKUP(G3274,WholesaleExtract!B:O,14,FALSE),"")</f>
        <v/>
      </c>
      <c r="K3274" s="26" t="str">
        <f>IFERROR(VLOOKUP(G3274,WholesaleExtract!B:K,10,FALSE),"")</f>
        <v/>
      </c>
      <c r="L3274" s="47" t="str">
        <f>IFERROR(VLOOKUP(G3274,WholesaleExtract!B:L,11,FALSE),"")</f>
        <v/>
      </c>
      <c r="M3274" s="47" t="str">
        <f>IFERROR(VLOOKUP(G3274,WholesaleExtract!B:M,12,FALSE),"")</f>
        <v/>
      </c>
      <c r="R3274" s="19"/>
      <c r="S3274" s="19"/>
    </row>
    <row r="3275" spans="1:19" x14ac:dyDescent="0.35">
      <c r="A3275" s="26" t="s">
        <v>543</v>
      </c>
      <c r="B3275" s="26" t="s">
        <v>543</v>
      </c>
      <c r="C3275" s="26"/>
      <c r="D3275" s="26" t="s">
        <v>543</v>
      </c>
      <c r="E3275" s="26" t="str">
        <f>IFERROR(VLOOKUP(G3275,WholesaleExtract!B:J,9,FALSE),"")</f>
        <v/>
      </c>
      <c r="F3275" s="26" t="str">
        <f>IFERROR(VLOOKUP(G3275,WholesaleExtract!B:J,6,FALSE),"")</f>
        <v/>
      </c>
      <c r="H3275" s="47" t="str">
        <f>IFERROR(VLOOKUP(G3275,WholesaleExtract!B:L,11,FALSE),"")</f>
        <v/>
      </c>
      <c r="I3275" s="26" t="str">
        <f>IFERROR(VLOOKUP(G3275,WholesaleExtract!B:O,8,FALSE),"")</f>
        <v/>
      </c>
      <c r="J3275" s="26" t="str">
        <f>IFERROR(VLOOKUP(G3275,WholesaleExtract!B:O,14,FALSE),"")</f>
        <v/>
      </c>
      <c r="K3275" s="26" t="str">
        <f>IFERROR(VLOOKUP(G3275,WholesaleExtract!B:K,10,FALSE),"")</f>
        <v/>
      </c>
      <c r="L3275" s="47" t="str">
        <f>IFERROR(VLOOKUP(G3275,WholesaleExtract!B:L,11,FALSE),"")</f>
        <v/>
      </c>
      <c r="M3275" s="47" t="str">
        <f>IFERROR(VLOOKUP(G3275,WholesaleExtract!B:M,12,FALSE),"")</f>
        <v/>
      </c>
      <c r="R3275" s="19"/>
      <c r="S3275" s="19"/>
    </row>
    <row r="3276" spans="1:19" x14ac:dyDescent="0.35">
      <c r="A3276" s="26" t="s">
        <v>543</v>
      </c>
      <c r="B3276" s="26" t="s">
        <v>543</v>
      </c>
      <c r="C3276" s="26"/>
      <c r="D3276" s="26" t="s">
        <v>543</v>
      </c>
      <c r="E3276" s="26" t="str">
        <f>IFERROR(VLOOKUP(G3276,WholesaleExtract!B:J,9,FALSE),"")</f>
        <v/>
      </c>
      <c r="F3276" s="26" t="str">
        <f>IFERROR(VLOOKUP(G3276,WholesaleExtract!B:J,6,FALSE),"")</f>
        <v/>
      </c>
      <c r="H3276" s="47" t="str">
        <f>IFERROR(VLOOKUP(G3276,WholesaleExtract!B:L,11,FALSE),"")</f>
        <v/>
      </c>
      <c r="I3276" s="26" t="str">
        <f>IFERROR(VLOOKUP(G3276,WholesaleExtract!B:O,8,FALSE),"")</f>
        <v/>
      </c>
      <c r="J3276" s="26" t="str">
        <f>IFERROR(VLOOKUP(G3276,WholesaleExtract!B:O,14,FALSE),"")</f>
        <v/>
      </c>
      <c r="K3276" s="26" t="str">
        <f>IFERROR(VLOOKUP(G3276,WholesaleExtract!B:K,10,FALSE),"")</f>
        <v/>
      </c>
      <c r="L3276" s="47" t="str">
        <f>IFERROR(VLOOKUP(G3276,WholesaleExtract!B:L,11,FALSE),"")</f>
        <v/>
      </c>
      <c r="M3276" s="47" t="str">
        <f>IFERROR(VLOOKUP(G3276,WholesaleExtract!B:M,12,FALSE),"")</f>
        <v/>
      </c>
      <c r="R3276" s="19"/>
      <c r="S3276" s="19"/>
    </row>
    <row r="3277" spans="1:19" x14ac:dyDescent="0.35">
      <c r="A3277" s="26" t="s">
        <v>543</v>
      </c>
      <c r="B3277" s="26" t="s">
        <v>543</v>
      </c>
      <c r="C3277" s="26"/>
      <c r="D3277" s="26" t="s">
        <v>543</v>
      </c>
      <c r="E3277" s="26" t="str">
        <f>IFERROR(VLOOKUP(G3277,WholesaleExtract!B:J,9,FALSE),"")</f>
        <v/>
      </c>
      <c r="F3277" s="26" t="str">
        <f>IFERROR(VLOOKUP(G3277,WholesaleExtract!B:J,6,FALSE),"")</f>
        <v/>
      </c>
      <c r="H3277" s="47" t="str">
        <f>IFERROR(VLOOKUP(G3277,WholesaleExtract!B:L,11,FALSE),"")</f>
        <v/>
      </c>
      <c r="I3277" s="26" t="str">
        <f>IFERROR(VLOOKUP(G3277,WholesaleExtract!B:O,8,FALSE),"")</f>
        <v/>
      </c>
      <c r="J3277" s="26" t="str">
        <f>IFERROR(VLOOKUP(G3277,WholesaleExtract!B:O,14,FALSE),"")</f>
        <v/>
      </c>
      <c r="K3277" s="26" t="str">
        <f>IFERROR(VLOOKUP(G3277,WholesaleExtract!B:K,10,FALSE),"")</f>
        <v/>
      </c>
      <c r="L3277" s="47" t="str">
        <f>IFERROR(VLOOKUP(G3277,WholesaleExtract!B:L,11,FALSE),"")</f>
        <v/>
      </c>
      <c r="M3277" s="47" t="str">
        <f>IFERROR(VLOOKUP(G3277,WholesaleExtract!B:M,12,FALSE),"")</f>
        <v/>
      </c>
      <c r="R3277" s="19"/>
      <c r="S3277" s="19"/>
    </row>
    <row r="3278" spans="1:19" x14ac:dyDescent="0.35">
      <c r="A3278" s="26" t="s">
        <v>543</v>
      </c>
      <c r="B3278" s="26" t="s">
        <v>543</v>
      </c>
      <c r="C3278" s="26"/>
      <c r="D3278" s="26" t="s">
        <v>543</v>
      </c>
      <c r="E3278" s="26" t="str">
        <f>IFERROR(VLOOKUP(G3278,WholesaleExtract!B:J,9,FALSE),"")</f>
        <v/>
      </c>
      <c r="F3278" s="26" t="str">
        <f>IFERROR(VLOOKUP(G3278,WholesaleExtract!B:J,6,FALSE),"")</f>
        <v/>
      </c>
      <c r="H3278" s="47" t="str">
        <f>IFERROR(VLOOKUP(G3278,WholesaleExtract!B:L,11,FALSE),"")</f>
        <v/>
      </c>
      <c r="I3278" s="26" t="str">
        <f>IFERROR(VLOOKUP(G3278,WholesaleExtract!B:O,8,FALSE),"")</f>
        <v/>
      </c>
      <c r="J3278" s="26" t="str">
        <f>IFERROR(VLOOKUP(G3278,WholesaleExtract!B:O,14,FALSE),"")</f>
        <v/>
      </c>
      <c r="K3278" s="26" t="str">
        <f>IFERROR(VLOOKUP(G3278,WholesaleExtract!B:K,10,FALSE),"")</f>
        <v/>
      </c>
      <c r="L3278" s="47" t="str">
        <f>IFERROR(VLOOKUP(G3278,WholesaleExtract!B:L,11,FALSE),"")</f>
        <v/>
      </c>
      <c r="M3278" s="47" t="str">
        <f>IFERROR(VLOOKUP(G3278,WholesaleExtract!B:M,12,FALSE),"")</f>
        <v/>
      </c>
      <c r="R3278" s="19"/>
      <c r="S3278" s="19"/>
    </row>
    <row r="3279" spans="1:19" x14ac:dyDescent="0.35">
      <c r="A3279" s="26" t="s">
        <v>543</v>
      </c>
      <c r="B3279" s="26" t="s">
        <v>543</v>
      </c>
      <c r="C3279" s="26"/>
      <c r="D3279" s="26" t="s">
        <v>543</v>
      </c>
      <c r="E3279" s="26" t="str">
        <f>IFERROR(VLOOKUP(G3279,WholesaleExtract!B:J,9,FALSE),"")</f>
        <v/>
      </c>
      <c r="F3279" s="26" t="str">
        <f>IFERROR(VLOOKUP(G3279,WholesaleExtract!B:J,6,FALSE),"")</f>
        <v/>
      </c>
      <c r="H3279" s="47" t="str">
        <f>IFERROR(VLOOKUP(G3279,WholesaleExtract!B:L,11,FALSE),"")</f>
        <v/>
      </c>
      <c r="I3279" s="26" t="str">
        <f>IFERROR(VLOOKUP(G3279,WholesaleExtract!B:O,8,FALSE),"")</f>
        <v/>
      </c>
      <c r="J3279" s="26" t="str">
        <f>IFERROR(VLOOKUP(G3279,WholesaleExtract!B:O,14,FALSE),"")</f>
        <v/>
      </c>
      <c r="K3279" s="26" t="str">
        <f>IFERROR(VLOOKUP(G3279,WholesaleExtract!B:K,10,FALSE),"")</f>
        <v/>
      </c>
      <c r="L3279" s="47" t="str">
        <f>IFERROR(VLOOKUP(G3279,WholesaleExtract!B:L,11,FALSE),"")</f>
        <v/>
      </c>
      <c r="M3279" s="47" t="str">
        <f>IFERROR(VLOOKUP(G3279,WholesaleExtract!B:M,12,FALSE),"")</f>
        <v/>
      </c>
      <c r="R3279" s="19"/>
      <c r="S3279" s="19"/>
    </row>
    <row r="3280" spans="1:19" x14ac:dyDescent="0.35">
      <c r="A3280" s="26" t="s">
        <v>543</v>
      </c>
      <c r="B3280" s="26" t="s">
        <v>543</v>
      </c>
      <c r="C3280" s="26"/>
      <c r="D3280" s="26" t="s">
        <v>543</v>
      </c>
      <c r="E3280" s="26" t="str">
        <f>IFERROR(VLOOKUP(G3280,WholesaleExtract!B:J,9,FALSE),"")</f>
        <v/>
      </c>
      <c r="F3280" s="26" t="str">
        <f>IFERROR(VLOOKUP(G3280,WholesaleExtract!B:J,6,FALSE),"")</f>
        <v/>
      </c>
      <c r="H3280" s="47" t="str">
        <f>IFERROR(VLOOKUP(G3280,WholesaleExtract!B:L,11,FALSE),"")</f>
        <v/>
      </c>
      <c r="I3280" s="26" t="str">
        <f>IFERROR(VLOOKUP(G3280,WholesaleExtract!B:O,8,FALSE),"")</f>
        <v/>
      </c>
      <c r="J3280" s="26" t="str">
        <f>IFERROR(VLOOKUP(G3280,WholesaleExtract!B:O,14,FALSE),"")</f>
        <v/>
      </c>
      <c r="K3280" s="26" t="str">
        <f>IFERROR(VLOOKUP(G3280,WholesaleExtract!B:K,10,FALSE),"")</f>
        <v/>
      </c>
      <c r="L3280" s="47" t="str">
        <f>IFERROR(VLOOKUP(G3280,WholesaleExtract!B:L,11,FALSE),"")</f>
        <v/>
      </c>
      <c r="M3280" s="47" t="str">
        <f>IFERROR(VLOOKUP(G3280,WholesaleExtract!B:M,12,FALSE),"")</f>
        <v/>
      </c>
      <c r="R3280" s="19"/>
      <c r="S3280" s="19"/>
    </row>
    <row r="3281" spans="1:19" x14ac:dyDescent="0.35">
      <c r="A3281" s="26" t="s">
        <v>543</v>
      </c>
      <c r="B3281" s="26" t="s">
        <v>543</v>
      </c>
      <c r="C3281" s="26"/>
      <c r="D3281" s="26" t="s">
        <v>543</v>
      </c>
      <c r="E3281" s="26" t="str">
        <f>IFERROR(VLOOKUP(G3281,WholesaleExtract!B:J,9,FALSE),"")</f>
        <v/>
      </c>
      <c r="F3281" s="26" t="str">
        <f>IFERROR(VLOOKUP(G3281,WholesaleExtract!B:J,6,FALSE),"")</f>
        <v/>
      </c>
      <c r="H3281" s="47" t="str">
        <f>IFERROR(VLOOKUP(G3281,WholesaleExtract!B:L,11,FALSE),"")</f>
        <v/>
      </c>
      <c r="I3281" s="26" t="str">
        <f>IFERROR(VLOOKUP(G3281,WholesaleExtract!B:O,8,FALSE),"")</f>
        <v/>
      </c>
      <c r="J3281" s="26" t="str">
        <f>IFERROR(VLOOKUP(G3281,WholesaleExtract!B:O,14,FALSE),"")</f>
        <v/>
      </c>
      <c r="K3281" s="26" t="str">
        <f>IFERROR(VLOOKUP(G3281,WholesaleExtract!B:K,10,FALSE),"")</f>
        <v/>
      </c>
      <c r="L3281" s="47" t="str">
        <f>IFERROR(VLOOKUP(G3281,WholesaleExtract!B:L,11,FALSE),"")</f>
        <v/>
      </c>
      <c r="M3281" s="47" t="str">
        <f>IFERROR(VLOOKUP(G3281,WholesaleExtract!B:M,12,FALSE),"")</f>
        <v/>
      </c>
      <c r="R3281" s="19"/>
      <c r="S3281" s="19"/>
    </row>
    <row r="3282" spans="1:19" x14ac:dyDescent="0.35">
      <c r="A3282" s="26" t="s">
        <v>543</v>
      </c>
      <c r="B3282" s="26" t="s">
        <v>543</v>
      </c>
      <c r="C3282" s="26"/>
      <c r="D3282" s="26" t="s">
        <v>543</v>
      </c>
      <c r="E3282" s="26" t="str">
        <f>IFERROR(VLOOKUP(G3282,WholesaleExtract!B:J,9,FALSE),"")</f>
        <v/>
      </c>
      <c r="F3282" s="26" t="str">
        <f>IFERROR(VLOOKUP(G3282,WholesaleExtract!B:J,6,FALSE),"")</f>
        <v/>
      </c>
      <c r="H3282" s="47" t="str">
        <f>IFERROR(VLOOKUP(G3282,WholesaleExtract!B:L,11,FALSE),"")</f>
        <v/>
      </c>
      <c r="I3282" s="26" t="str">
        <f>IFERROR(VLOOKUP(G3282,WholesaleExtract!B:O,8,FALSE),"")</f>
        <v/>
      </c>
      <c r="J3282" s="26" t="str">
        <f>IFERROR(VLOOKUP(G3282,WholesaleExtract!B:O,14,FALSE),"")</f>
        <v/>
      </c>
      <c r="K3282" s="26" t="str">
        <f>IFERROR(VLOOKUP(G3282,WholesaleExtract!B:K,10,FALSE),"")</f>
        <v/>
      </c>
      <c r="L3282" s="47" t="str">
        <f>IFERROR(VLOOKUP(G3282,WholesaleExtract!B:L,11,FALSE),"")</f>
        <v/>
      </c>
      <c r="M3282" s="47" t="str">
        <f>IFERROR(VLOOKUP(G3282,WholesaleExtract!B:M,12,FALSE),"")</f>
        <v/>
      </c>
      <c r="R3282" s="19"/>
      <c r="S3282" s="19"/>
    </row>
    <row r="3283" spans="1:19" x14ac:dyDescent="0.35">
      <c r="A3283" s="26" t="s">
        <v>543</v>
      </c>
      <c r="B3283" s="26" t="s">
        <v>543</v>
      </c>
      <c r="C3283" s="26"/>
      <c r="D3283" s="26" t="s">
        <v>543</v>
      </c>
      <c r="E3283" s="26" t="str">
        <f>IFERROR(VLOOKUP(G3283,WholesaleExtract!B:J,9,FALSE),"")</f>
        <v/>
      </c>
      <c r="F3283" s="26" t="str">
        <f>IFERROR(VLOOKUP(G3283,WholesaleExtract!B:J,6,FALSE),"")</f>
        <v/>
      </c>
      <c r="H3283" s="47" t="str">
        <f>IFERROR(VLOOKUP(G3283,WholesaleExtract!B:L,11,FALSE),"")</f>
        <v/>
      </c>
      <c r="I3283" s="26" t="str">
        <f>IFERROR(VLOOKUP(G3283,WholesaleExtract!B:O,8,FALSE),"")</f>
        <v/>
      </c>
      <c r="J3283" s="26" t="str">
        <f>IFERROR(VLOOKUP(G3283,WholesaleExtract!B:O,14,FALSE),"")</f>
        <v/>
      </c>
      <c r="K3283" s="26" t="str">
        <f>IFERROR(VLOOKUP(G3283,WholesaleExtract!B:K,10,FALSE),"")</f>
        <v/>
      </c>
      <c r="L3283" s="47" t="str">
        <f>IFERROR(VLOOKUP(G3283,WholesaleExtract!B:L,11,FALSE),"")</f>
        <v/>
      </c>
      <c r="M3283" s="47" t="str">
        <f>IFERROR(VLOOKUP(G3283,WholesaleExtract!B:M,12,FALSE),"")</f>
        <v/>
      </c>
      <c r="R3283" s="19"/>
      <c r="S3283" s="19"/>
    </row>
    <row r="3284" spans="1:19" x14ac:dyDescent="0.35">
      <c r="A3284" s="26" t="s">
        <v>543</v>
      </c>
      <c r="B3284" s="26" t="s">
        <v>543</v>
      </c>
      <c r="C3284" s="26"/>
      <c r="D3284" s="26" t="s">
        <v>543</v>
      </c>
      <c r="E3284" s="26" t="str">
        <f>IFERROR(VLOOKUP(G3284,WholesaleExtract!B:J,9,FALSE),"")</f>
        <v/>
      </c>
      <c r="F3284" s="26" t="str">
        <f>IFERROR(VLOOKUP(G3284,WholesaleExtract!B:J,6,FALSE),"")</f>
        <v/>
      </c>
      <c r="H3284" s="47" t="str">
        <f>IFERROR(VLOOKUP(G3284,WholesaleExtract!B:L,11,FALSE),"")</f>
        <v/>
      </c>
      <c r="I3284" s="26" t="str">
        <f>IFERROR(VLOOKUP(G3284,WholesaleExtract!B:O,8,FALSE),"")</f>
        <v/>
      </c>
      <c r="J3284" s="26" t="str">
        <f>IFERROR(VLOOKUP(G3284,WholesaleExtract!B:O,14,FALSE),"")</f>
        <v/>
      </c>
      <c r="K3284" s="26" t="str">
        <f>IFERROR(VLOOKUP(G3284,WholesaleExtract!B:K,10,FALSE),"")</f>
        <v/>
      </c>
      <c r="L3284" s="47" t="str">
        <f>IFERROR(VLOOKUP(G3284,WholesaleExtract!B:L,11,FALSE),"")</f>
        <v/>
      </c>
      <c r="M3284" s="47" t="str">
        <f>IFERROR(VLOOKUP(G3284,WholesaleExtract!B:M,12,FALSE),"")</f>
        <v/>
      </c>
      <c r="R3284" s="19"/>
      <c r="S3284" s="19"/>
    </row>
    <row r="3285" spans="1:19" x14ac:dyDescent="0.35">
      <c r="A3285" s="26" t="s">
        <v>543</v>
      </c>
      <c r="B3285" s="26" t="s">
        <v>543</v>
      </c>
      <c r="C3285" s="26"/>
      <c r="D3285" s="26" t="s">
        <v>543</v>
      </c>
      <c r="E3285" s="26" t="str">
        <f>IFERROR(VLOOKUP(G3285,WholesaleExtract!B:J,9,FALSE),"")</f>
        <v/>
      </c>
      <c r="F3285" s="26" t="str">
        <f>IFERROR(VLOOKUP(G3285,WholesaleExtract!B:J,6,FALSE),"")</f>
        <v/>
      </c>
      <c r="H3285" s="47" t="str">
        <f>IFERROR(VLOOKUP(G3285,WholesaleExtract!B:L,11,FALSE),"")</f>
        <v/>
      </c>
      <c r="I3285" s="26" t="str">
        <f>IFERROR(VLOOKUP(G3285,WholesaleExtract!B:O,8,FALSE),"")</f>
        <v/>
      </c>
      <c r="J3285" s="26" t="str">
        <f>IFERROR(VLOOKUP(G3285,WholesaleExtract!B:O,14,FALSE),"")</f>
        <v/>
      </c>
      <c r="K3285" s="26" t="str">
        <f>IFERROR(VLOOKUP(G3285,WholesaleExtract!B:K,10,FALSE),"")</f>
        <v/>
      </c>
      <c r="L3285" s="47" t="str">
        <f>IFERROR(VLOOKUP(G3285,WholesaleExtract!B:L,11,FALSE),"")</f>
        <v/>
      </c>
      <c r="M3285" s="47" t="str">
        <f>IFERROR(VLOOKUP(G3285,WholesaleExtract!B:M,12,FALSE),"")</f>
        <v/>
      </c>
      <c r="R3285" s="19"/>
      <c r="S3285" s="19"/>
    </row>
    <row r="3286" spans="1:19" x14ac:dyDescent="0.35">
      <c r="A3286" s="26" t="s">
        <v>543</v>
      </c>
      <c r="B3286" s="26" t="s">
        <v>543</v>
      </c>
      <c r="C3286" s="26"/>
      <c r="D3286" s="26" t="s">
        <v>543</v>
      </c>
      <c r="E3286" s="26" t="str">
        <f>IFERROR(VLOOKUP(G3286,WholesaleExtract!B:J,9,FALSE),"")</f>
        <v/>
      </c>
      <c r="F3286" s="26" t="str">
        <f>IFERROR(VLOOKUP(G3286,WholesaleExtract!B:J,6,FALSE),"")</f>
        <v/>
      </c>
      <c r="H3286" s="47" t="str">
        <f>IFERROR(VLOOKUP(G3286,WholesaleExtract!B:L,11,FALSE),"")</f>
        <v/>
      </c>
      <c r="I3286" s="26" t="str">
        <f>IFERROR(VLOOKUP(G3286,WholesaleExtract!B:O,8,FALSE),"")</f>
        <v/>
      </c>
      <c r="J3286" s="26" t="str">
        <f>IFERROR(VLOOKUP(G3286,WholesaleExtract!B:O,14,FALSE),"")</f>
        <v/>
      </c>
      <c r="K3286" s="26" t="str">
        <f>IFERROR(VLOOKUP(G3286,WholesaleExtract!B:K,10,FALSE),"")</f>
        <v/>
      </c>
      <c r="L3286" s="47" t="str">
        <f>IFERROR(VLOOKUP(G3286,WholesaleExtract!B:L,11,FALSE),"")</f>
        <v/>
      </c>
      <c r="M3286" s="47" t="str">
        <f>IFERROR(VLOOKUP(G3286,WholesaleExtract!B:M,12,FALSE),"")</f>
        <v/>
      </c>
      <c r="R3286" s="19"/>
      <c r="S3286" s="19"/>
    </row>
    <row r="3287" spans="1:19" x14ac:dyDescent="0.35">
      <c r="A3287" s="26" t="s">
        <v>543</v>
      </c>
      <c r="B3287" s="26" t="s">
        <v>543</v>
      </c>
      <c r="C3287" s="26"/>
      <c r="D3287" s="26" t="s">
        <v>543</v>
      </c>
      <c r="E3287" s="26" t="str">
        <f>IFERROR(VLOOKUP(G3287,WholesaleExtract!B:J,9,FALSE),"")</f>
        <v/>
      </c>
      <c r="F3287" s="26" t="str">
        <f>IFERROR(VLOOKUP(G3287,WholesaleExtract!B:J,6,FALSE),"")</f>
        <v/>
      </c>
      <c r="H3287" s="47" t="str">
        <f>IFERROR(VLOOKUP(G3287,WholesaleExtract!B:L,11,FALSE),"")</f>
        <v/>
      </c>
      <c r="I3287" s="26" t="str">
        <f>IFERROR(VLOOKUP(G3287,WholesaleExtract!B:O,8,FALSE),"")</f>
        <v/>
      </c>
      <c r="J3287" s="26" t="str">
        <f>IFERROR(VLOOKUP(G3287,WholesaleExtract!B:O,14,FALSE),"")</f>
        <v/>
      </c>
      <c r="K3287" s="26" t="str">
        <f>IFERROR(VLOOKUP(G3287,WholesaleExtract!B:K,10,FALSE),"")</f>
        <v/>
      </c>
      <c r="L3287" s="47" t="str">
        <f>IFERROR(VLOOKUP(G3287,WholesaleExtract!B:L,11,FALSE),"")</f>
        <v/>
      </c>
      <c r="M3287" s="47" t="str">
        <f>IFERROR(VLOOKUP(G3287,WholesaleExtract!B:M,12,FALSE),"")</f>
        <v/>
      </c>
      <c r="R3287" s="19"/>
      <c r="S3287" s="19"/>
    </row>
    <row r="3288" spans="1:19" x14ac:dyDescent="0.35">
      <c r="A3288" s="26" t="s">
        <v>543</v>
      </c>
      <c r="B3288" s="26" t="s">
        <v>543</v>
      </c>
      <c r="C3288" s="26"/>
      <c r="D3288" s="26" t="s">
        <v>543</v>
      </c>
      <c r="E3288" s="26" t="str">
        <f>IFERROR(VLOOKUP(G3288,WholesaleExtract!B:J,9,FALSE),"")</f>
        <v/>
      </c>
      <c r="F3288" s="26" t="str">
        <f>IFERROR(VLOOKUP(G3288,WholesaleExtract!B:J,6,FALSE),"")</f>
        <v/>
      </c>
      <c r="H3288" s="47" t="str">
        <f>IFERROR(VLOOKUP(G3288,WholesaleExtract!B:L,11,FALSE),"")</f>
        <v/>
      </c>
      <c r="I3288" s="26" t="str">
        <f>IFERROR(VLOOKUP(G3288,WholesaleExtract!B:O,8,FALSE),"")</f>
        <v/>
      </c>
      <c r="J3288" s="26" t="str">
        <f>IFERROR(VLOOKUP(G3288,WholesaleExtract!B:O,14,FALSE),"")</f>
        <v/>
      </c>
      <c r="K3288" s="26" t="str">
        <f>IFERROR(VLOOKUP(G3288,WholesaleExtract!B:K,10,FALSE),"")</f>
        <v/>
      </c>
      <c r="L3288" s="47" t="str">
        <f>IFERROR(VLOOKUP(G3288,WholesaleExtract!B:L,11,FALSE),"")</f>
        <v/>
      </c>
      <c r="M3288" s="47" t="str">
        <f>IFERROR(VLOOKUP(G3288,WholesaleExtract!B:M,12,FALSE),"")</f>
        <v/>
      </c>
      <c r="R3288" s="19"/>
      <c r="S3288" s="19"/>
    </row>
    <row r="3289" spans="1:19" x14ac:dyDescent="0.35">
      <c r="A3289" s="26" t="s">
        <v>543</v>
      </c>
      <c r="B3289" s="26" t="s">
        <v>543</v>
      </c>
      <c r="C3289" s="26"/>
      <c r="D3289" s="26" t="s">
        <v>543</v>
      </c>
      <c r="E3289" s="26" t="str">
        <f>IFERROR(VLOOKUP(G3289,WholesaleExtract!B:J,9,FALSE),"")</f>
        <v/>
      </c>
      <c r="F3289" s="26" t="str">
        <f>IFERROR(VLOOKUP(G3289,WholesaleExtract!B:J,6,FALSE),"")</f>
        <v/>
      </c>
      <c r="H3289" s="47" t="str">
        <f>IFERROR(VLOOKUP(G3289,WholesaleExtract!B:L,11,FALSE),"")</f>
        <v/>
      </c>
      <c r="I3289" s="26" t="str">
        <f>IFERROR(VLOOKUP(G3289,WholesaleExtract!B:O,8,FALSE),"")</f>
        <v/>
      </c>
      <c r="J3289" s="26" t="str">
        <f>IFERROR(VLOOKUP(G3289,WholesaleExtract!B:O,14,FALSE),"")</f>
        <v/>
      </c>
      <c r="K3289" s="26" t="str">
        <f>IFERROR(VLOOKUP(G3289,WholesaleExtract!B:K,10,FALSE),"")</f>
        <v/>
      </c>
      <c r="L3289" s="47" t="str">
        <f>IFERROR(VLOOKUP(G3289,WholesaleExtract!B:L,11,FALSE),"")</f>
        <v/>
      </c>
      <c r="M3289" s="47" t="str">
        <f>IFERROR(VLOOKUP(G3289,WholesaleExtract!B:M,12,FALSE),"")</f>
        <v/>
      </c>
      <c r="R3289" s="19"/>
      <c r="S3289" s="19"/>
    </row>
    <row r="3290" spans="1:19" x14ac:dyDescent="0.35">
      <c r="A3290" s="26" t="s">
        <v>543</v>
      </c>
      <c r="B3290" s="26" t="s">
        <v>543</v>
      </c>
      <c r="C3290" s="26"/>
      <c r="D3290" s="26" t="s">
        <v>543</v>
      </c>
      <c r="E3290" s="26" t="str">
        <f>IFERROR(VLOOKUP(G3290,WholesaleExtract!B:J,9,FALSE),"")</f>
        <v/>
      </c>
      <c r="F3290" s="26" t="str">
        <f>IFERROR(VLOOKUP(G3290,WholesaleExtract!B:J,6,FALSE),"")</f>
        <v/>
      </c>
      <c r="H3290" s="47" t="str">
        <f>IFERROR(VLOOKUP(G3290,WholesaleExtract!B:L,11,FALSE),"")</f>
        <v/>
      </c>
      <c r="I3290" s="26" t="str">
        <f>IFERROR(VLOOKUP(G3290,WholesaleExtract!B:O,8,FALSE),"")</f>
        <v/>
      </c>
      <c r="J3290" s="26" t="str">
        <f>IFERROR(VLOOKUP(G3290,WholesaleExtract!B:O,14,FALSE),"")</f>
        <v/>
      </c>
      <c r="K3290" s="26" t="str">
        <f>IFERROR(VLOOKUP(G3290,WholesaleExtract!B:K,10,FALSE),"")</f>
        <v/>
      </c>
      <c r="L3290" s="47" t="str">
        <f>IFERROR(VLOOKUP(G3290,WholesaleExtract!B:L,11,FALSE),"")</f>
        <v/>
      </c>
      <c r="M3290" s="47" t="str">
        <f>IFERROR(VLOOKUP(G3290,WholesaleExtract!B:M,12,FALSE),"")</f>
        <v/>
      </c>
      <c r="R3290" s="19"/>
      <c r="S3290" s="19"/>
    </row>
    <row r="3291" spans="1:19" x14ac:dyDescent="0.35">
      <c r="A3291" s="26" t="s">
        <v>543</v>
      </c>
      <c r="B3291" s="26" t="s">
        <v>543</v>
      </c>
      <c r="C3291" s="26"/>
      <c r="D3291" s="26" t="s">
        <v>543</v>
      </c>
      <c r="E3291" s="26" t="str">
        <f>IFERROR(VLOOKUP(G3291,WholesaleExtract!B:J,9,FALSE),"")</f>
        <v/>
      </c>
      <c r="F3291" s="26" t="str">
        <f>IFERROR(VLOOKUP(G3291,WholesaleExtract!B:J,6,FALSE),"")</f>
        <v/>
      </c>
      <c r="H3291" s="47" t="str">
        <f>IFERROR(VLOOKUP(G3291,WholesaleExtract!B:L,11,FALSE),"")</f>
        <v/>
      </c>
      <c r="I3291" s="26" t="str">
        <f>IFERROR(VLOOKUP(G3291,WholesaleExtract!B:O,8,FALSE),"")</f>
        <v/>
      </c>
      <c r="J3291" s="26" t="str">
        <f>IFERROR(VLOOKUP(G3291,WholesaleExtract!B:O,14,FALSE),"")</f>
        <v/>
      </c>
      <c r="K3291" s="26" t="str">
        <f>IFERROR(VLOOKUP(G3291,WholesaleExtract!B:K,10,FALSE),"")</f>
        <v/>
      </c>
      <c r="L3291" s="47" t="str">
        <f>IFERROR(VLOOKUP(G3291,WholesaleExtract!B:L,11,FALSE),"")</f>
        <v/>
      </c>
      <c r="M3291" s="47" t="str">
        <f>IFERROR(VLOOKUP(G3291,WholesaleExtract!B:M,12,FALSE),"")</f>
        <v/>
      </c>
      <c r="R3291" s="19"/>
      <c r="S3291" s="19"/>
    </row>
    <row r="3292" spans="1:19" x14ac:dyDescent="0.35">
      <c r="A3292" s="26" t="s">
        <v>543</v>
      </c>
      <c r="B3292" s="26" t="s">
        <v>543</v>
      </c>
      <c r="C3292" s="26"/>
      <c r="D3292" s="26" t="s">
        <v>543</v>
      </c>
      <c r="E3292" s="26" t="str">
        <f>IFERROR(VLOOKUP(G3292,WholesaleExtract!B:J,9,FALSE),"")</f>
        <v/>
      </c>
      <c r="F3292" s="26" t="str">
        <f>IFERROR(VLOOKUP(G3292,WholesaleExtract!B:J,6,FALSE),"")</f>
        <v/>
      </c>
      <c r="H3292" s="47" t="str">
        <f>IFERROR(VLOOKUP(G3292,WholesaleExtract!B:L,11,FALSE),"")</f>
        <v/>
      </c>
      <c r="I3292" s="26" t="str">
        <f>IFERROR(VLOOKUP(G3292,WholesaleExtract!B:O,8,FALSE),"")</f>
        <v/>
      </c>
      <c r="J3292" s="26" t="str">
        <f>IFERROR(VLOOKUP(G3292,WholesaleExtract!B:O,14,FALSE),"")</f>
        <v/>
      </c>
      <c r="K3292" s="26" t="str">
        <f>IFERROR(VLOOKUP(G3292,WholesaleExtract!B:K,10,FALSE),"")</f>
        <v/>
      </c>
      <c r="L3292" s="47" t="str">
        <f>IFERROR(VLOOKUP(G3292,WholesaleExtract!B:L,11,FALSE),"")</f>
        <v/>
      </c>
      <c r="M3292" s="47" t="str">
        <f>IFERROR(VLOOKUP(G3292,WholesaleExtract!B:M,12,FALSE),"")</f>
        <v/>
      </c>
      <c r="R3292" s="19"/>
      <c r="S3292" s="19"/>
    </row>
    <row r="3293" spans="1:19" x14ac:dyDescent="0.35">
      <c r="A3293" s="26" t="s">
        <v>543</v>
      </c>
      <c r="B3293" s="26" t="s">
        <v>543</v>
      </c>
      <c r="C3293" s="26"/>
      <c r="D3293" s="26" t="s">
        <v>543</v>
      </c>
      <c r="E3293" s="26" t="str">
        <f>IFERROR(VLOOKUP(G3293,WholesaleExtract!B:J,9,FALSE),"")</f>
        <v/>
      </c>
      <c r="F3293" s="26" t="str">
        <f>IFERROR(VLOOKUP(G3293,WholesaleExtract!B:J,6,FALSE),"")</f>
        <v/>
      </c>
      <c r="H3293" s="47" t="str">
        <f>IFERROR(VLOOKUP(G3293,WholesaleExtract!B:L,11,FALSE),"")</f>
        <v/>
      </c>
      <c r="I3293" s="26" t="str">
        <f>IFERROR(VLOOKUP(G3293,WholesaleExtract!B:O,8,FALSE),"")</f>
        <v/>
      </c>
      <c r="J3293" s="26" t="str">
        <f>IFERROR(VLOOKUP(G3293,WholesaleExtract!B:O,14,FALSE),"")</f>
        <v/>
      </c>
      <c r="K3293" s="26" t="str">
        <f>IFERROR(VLOOKUP(G3293,WholesaleExtract!B:K,10,FALSE),"")</f>
        <v/>
      </c>
      <c r="L3293" s="47" t="str">
        <f>IFERROR(VLOOKUP(G3293,WholesaleExtract!B:L,11,FALSE),"")</f>
        <v/>
      </c>
      <c r="M3293" s="47" t="str">
        <f>IFERROR(VLOOKUP(G3293,WholesaleExtract!B:M,12,FALSE),"")</f>
        <v/>
      </c>
      <c r="R3293" s="19"/>
      <c r="S3293" s="19"/>
    </row>
    <row r="3294" spans="1:19" x14ac:dyDescent="0.35">
      <c r="A3294" s="26" t="s">
        <v>543</v>
      </c>
      <c r="B3294" s="26" t="s">
        <v>543</v>
      </c>
      <c r="C3294" s="26"/>
      <c r="D3294" s="26" t="s">
        <v>543</v>
      </c>
      <c r="E3294" s="26" t="str">
        <f>IFERROR(VLOOKUP(G3294,WholesaleExtract!B:J,9,FALSE),"")</f>
        <v/>
      </c>
      <c r="F3294" s="26" t="str">
        <f>IFERROR(VLOOKUP(G3294,WholesaleExtract!B:J,6,FALSE),"")</f>
        <v/>
      </c>
      <c r="H3294" s="47" t="str">
        <f>IFERROR(VLOOKUP(G3294,WholesaleExtract!B:L,11,FALSE),"")</f>
        <v/>
      </c>
      <c r="I3294" s="26" t="str">
        <f>IFERROR(VLOOKUP(G3294,WholesaleExtract!B:O,8,FALSE),"")</f>
        <v/>
      </c>
      <c r="J3294" s="26" t="str">
        <f>IFERROR(VLOOKUP(G3294,WholesaleExtract!B:O,14,FALSE),"")</f>
        <v/>
      </c>
      <c r="K3294" s="26" t="str">
        <f>IFERROR(VLOOKUP(G3294,WholesaleExtract!B:K,10,FALSE),"")</f>
        <v/>
      </c>
      <c r="L3294" s="47" t="str">
        <f>IFERROR(VLOOKUP(G3294,WholesaleExtract!B:L,11,FALSE),"")</f>
        <v/>
      </c>
      <c r="M3294" s="47" t="str">
        <f>IFERROR(VLOOKUP(G3294,WholesaleExtract!B:M,12,FALSE),"")</f>
        <v/>
      </c>
      <c r="R3294" s="19"/>
      <c r="S3294" s="19"/>
    </row>
    <row r="3295" spans="1:19" x14ac:dyDescent="0.35">
      <c r="A3295" s="26" t="s">
        <v>543</v>
      </c>
      <c r="B3295" s="26" t="s">
        <v>543</v>
      </c>
      <c r="C3295" s="26"/>
      <c r="D3295" s="26" t="s">
        <v>543</v>
      </c>
      <c r="E3295" s="26" t="str">
        <f>IFERROR(VLOOKUP(G3295,WholesaleExtract!B:J,9,FALSE),"")</f>
        <v/>
      </c>
      <c r="F3295" s="26" t="str">
        <f>IFERROR(VLOOKUP(G3295,WholesaleExtract!B:J,6,FALSE),"")</f>
        <v/>
      </c>
      <c r="H3295" s="47" t="str">
        <f>IFERROR(VLOOKUP(G3295,WholesaleExtract!B:L,11,FALSE),"")</f>
        <v/>
      </c>
      <c r="I3295" s="26" t="str">
        <f>IFERROR(VLOOKUP(G3295,WholesaleExtract!B:O,8,FALSE),"")</f>
        <v/>
      </c>
      <c r="J3295" s="26" t="str">
        <f>IFERROR(VLOOKUP(G3295,WholesaleExtract!B:O,14,FALSE),"")</f>
        <v/>
      </c>
      <c r="K3295" s="26" t="str">
        <f>IFERROR(VLOOKUP(G3295,WholesaleExtract!B:K,10,FALSE),"")</f>
        <v/>
      </c>
      <c r="L3295" s="47" t="str">
        <f>IFERROR(VLOOKUP(G3295,WholesaleExtract!B:L,11,FALSE),"")</f>
        <v/>
      </c>
      <c r="M3295" s="47" t="str">
        <f>IFERROR(VLOOKUP(G3295,WholesaleExtract!B:M,12,FALSE),"")</f>
        <v/>
      </c>
      <c r="R3295" s="19"/>
      <c r="S3295" s="19"/>
    </row>
    <row r="3296" spans="1:19" x14ac:dyDescent="0.35">
      <c r="A3296" s="26" t="s">
        <v>543</v>
      </c>
      <c r="B3296" s="26" t="s">
        <v>543</v>
      </c>
      <c r="C3296" s="26"/>
      <c r="D3296" s="26" t="s">
        <v>543</v>
      </c>
      <c r="E3296" s="26" t="str">
        <f>IFERROR(VLOOKUP(G3296,WholesaleExtract!B:J,9,FALSE),"")</f>
        <v/>
      </c>
      <c r="F3296" s="26" t="str">
        <f>IFERROR(VLOOKUP(G3296,WholesaleExtract!B:J,6,FALSE),"")</f>
        <v/>
      </c>
      <c r="H3296" s="47" t="str">
        <f>IFERROR(VLOOKUP(G3296,WholesaleExtract!B:L,11,FALSE),"")</f>
        <v/>
      </c>
      <c r="I3296" s="26" t="str">
        <f>IFERROR(VLOOKUP(G3296,WholesaleExtract!B:O,8,FALSE),"")</f>
        <v/>
      </c>
      <c r="J3296" s="26" t="str">
        <f>IFERROR(VLOOKUP(G3296,WholesaleExtract!B:O,14,FALSE),"")</f>
        <v/>
      </c>
      <c r="K3296" s="26" t="str">
        <f>IFERROR(VLOOKUP(G3296,WholesaleExtract!B:K,10,FALSE),"")</f>
        <v/>
      </c>
      <c r="L3296" s="47" t="str">
        <f>IFERROR(VLOOKUP(G3296,WholesaleExtract!B:L,11,FALSE),"")</f>
        <v/>
      </c>
      <c r="M3296" s="47" t="str">
        <f>IFERROR(VLOOKUP(G3296,WholesaleExtract!B:M,12,FALSE),"")</f>
        <v/>
      </c>
      <c r="R3296" s="19"/>
      <c r="S3296" s="19"/>
    </row>
    <row r="3297" spans="1:19" x14ac:dyDescent="0.35">
      <c r="A3297" s="26" t="s">
        <v>543</v>
      </c>
      <c r="B3297" s="26" t="s">
        <v>543</v>
      </c>
      <c r="C3297" s="26"/>
      <c r="D3297" s="26" t="s">
        <v>543</v>
      </c>
      <c r="E3297" s="26" t="str">
        <f>IFERROR(VLOOKUP(G3297,WholesaleExtract!B:J,9,FALSE),"")</f>
        <v/>
      </c>
      <c r="F3297" s="26" t="str">
        <f>IFERROR(VLOOKUP(G3297,WholesaleExtract!B:J,6,FALSE),"")</f>
        <v/>
      </c>
      <c r="H3297" s="47" t="str">
        <f>IFERROR(VLOOKUP(G3297,WholesaleExtract!B:L,11,FALSE),"")</f>
        <v/>
      </c>
      <c r="I3297" s="26" t="str">
        <f>IFERROR(VLOOKUP(G3297,WholesaleExtract!B:O,8,FALSE),"")</f>
        <v/>
      </c>
      <c r="J3297" s="26" t="str">
        <f>IFERROR(VLOOKUP(G3297,WholesaleExtract!B:O,14,FALSE),"")</f>
        <v/>
      </c>
      <c r="K3297" s="26" t="str">
        <f>IFERROR(VLOOKUP(G3297,WholesaleExtract!B:K,10,FALSE),"")</f>
        <v/>
      </c>
      <c r="L3297" s="47" t="str">
        <f>IFERROR(VLOOKUP(G3297,WholesaleExtract!B:L,11,FALSE),"")</f>
        <v/>
      </c>
      <c r="M3297" s="47" t="str">
        <f>IFERROR(VLOOKUP(G3297,WholesaleExtract!B:M,12,FALSE),"")</f>
        <v/>
      </c>
      <c r="R3297" s="19"/>
      <c r="S3297" s="19"/>
    </row>
    <row r="3298" spans="1:19" x14ac:dyDescent="0.35">
      <c r="A3298" s="26" t="s">
        <v>543</v>
      </c>
      <c r="B3298" s="26" t="s">
        <v>543</v>
      </c>
      <c r="C3298" s="26"/>
      <c r="D3298" s="26" t="s">
        <v>543</v>
      </c>
      <c r="E3298" s="26" t="str">
        <f>IFERROR(VLOOKUP(G3298,WholesaleExtract!B:J,9,FALSE),"")</f>
        <v/>
      </c>
      <c r="F3298" s="26" t="str">
        <f>IFERROR(VLOOKUP(G3298,WholesaleExtract!B:J,6,FALSE),"")</f>
        <v/>
      </c>
      <c r="H3298" s="47" t="str">
        <f>IFERROR(VLOOKUP(G3298,WholesaleExtract!B:L,11,FALSE),"")</f>
        <v/>
      </c>
      <c r="I3298" s="26" t="str">
        <f>IFERROR(VLOOKUP(G3298,WholesaleExtract!B:O,8,FALSE),"")</f>
        <v/>
      </c>
      <c r="J3298" s="26" t="str">
        <f>IFERROR(VLOOKUP(G3298,WholesaleExtract!B:O,14,FALSE),"")</f>
        <v/>
      </c>
      <c r="K3298" s="26" t="str">
        <f>IFERROR(VLOOKUP(G3298,WholesaleExtract!B:K,10,FALSE),"")</f>
        <v/>
      </c>
      <c r="L3298" s="47" t="str">
        <f>IFERROR(VLOOKUP(G3298,WholesaleExtract!B:L,11,FALSE),"")</f>
        <v/>
      </c>
      <c r="M3298" s="47" t="str">
        <f>IFERROR(VLOOKUP(G3298,WholesaleExtract!B:M,12,FALSE),"")</f>
        <v/>
      </c>
      <c r="R3298" s="19"/>
      <c r="S3298" s="19"/>
    </row>
    <row r="3299" spans="1:19" x14ac:dyDescent="0.35">
      <c r="A3299" s="26" t="s">
        <v>543</v>
      </c>
      <c r="B3299" s="26" t="s">
        <v>543</v>
      </c>
      <c r="C3299" s="26"/>
      <c r="D3299" s="26" t="s">
        <v>543</v>
      </c>
      <c r="E3299" s="26" t="str">
        <f>IFERROR(VLOOKUP(G3299,WholesaleExtract!B:J,9,FALSE),"")</f>
        <v/>
      </c>
      <c r="F3299" s="26" t="str">
        <f>IFERROR(VLOOKUP(G3299,WholesaleExtract!B:J,6,FALSE),"")</f>
        <v/>
      </c>
      <c r="H3299" s="47" t="str">
        <f>IFERROR(VLOOKUP(G3299,WholesaleExtract!B:L,11,FALSE),"")</f>
        <v/>
      </c>
      <c r="I3299" s="26" t="str">
        <f>IFERROR(VLOOKUP(G3299,WholesaleExtract!B:O,8,FALSE),"")</f>
        <v/>
      </c>
      <c r="J3299" s="26" t="str">
        <f>IFERROR(VLOOKUP(G3299,WholesaleExtract!B:O,14,FALSE),"")</f>
        <v/>
      </c>
      <c r="K3299" s="26" t="str">
        <f>IFERROR(VLOOKUP(G3299,WholesaleExtract!B:K,10,FALSE),"")</f>
        <v/>
      </c>
      <c r="L3299" s="47" t="str">
        <f>IFERROR(VLOOKUP(G3299,WholesaleExtract!B:L,11,FALSE),"")</f>
        <v/>
      </c>
      <c r="M3299" s="47" t="str">
        <f>IFERROR(VLOOKUP(G3299,WholesaleExtract!B:M,12,FALSE),"")</f>
        <v/>
      </c>
      <c r="R3299" s="19"/>
      <c r="S3299" s="19"/>
    </row>
    <row r="3300" spans="1:19" x14ac:dyDescent="0.35">
      <c r="A3300" s="26" t="s">
        <v>543</v>
      </c>
      <c r="B3300" s="26" t="s">
        <v>543</v>
      </c>
      <c r="C3300" s="26"/>
      <c r="D3300" s="26" t="s">
        <v>543</v>
      </c>
      <c r="E3300" s="26" t="str">
        <f>IFERROR(VLOOKUP(G3300,WholesaleExtract!B:J,9,FALSE),"")</f>
        <v/>
      </c>
      <c r="F3300" s="26" t="str">
        <f>IFERROR(VLOOKUP(G3300,WholesaleExtract!B:J,6,FALSE),"")</f>
        <v/>
      </c>
      <c r="H3300" s="47" t="str">
        <f>IFERROR(VLOOKUP(G3300,WholesaleExtract!B:L,11,FALSE),"")</f>
        <v/>
      </c>
      <c r="I3300" s="26" t="str">
        <f>IFERROR(VLOOKUP(G3300,WholesaleExtract!B:O,8,FALSE),"")</f>
        <v/>
      </c>
      <c r="J3300" s="26" t="str">
        <f>IFERROR(VLOOKUP(G3300,WholesaleExtract!B:O,14,FALSE),"")</f>
        <v/>
      </c>
      <c r="K3300" s="26" t="str">
        <f>IFERROR(VLOOKUP(G3300,WholesaleExtract!B:K,10,FALSE),"")</f>
        <v/>
      </c>
      <c r="L3300" s="47" t="str">
        <f>IFERROR(VLOOKUP(G3300,WholesaleExtract!B:L,11,FALSE),"")</f>
        <v/>
      </c>
      <c r="M3300" s="47" t="str">
        <f>IFERROR(VLOOKUP(G3300,WholesaleExtract!B:M,12,FALSE),"")</f>
        <v/>
      </c>
      <c r="R3300" s="19"/>
      <c r="S3300" s="19"/>
    </row>
    <row r="3301" spans="1:19" x14ac:dyDescent="0.35">
      <c r="A3301" s="26" t="s">
        <v>543</v>
      </c>
      <c r="B3301" s="26" t="s">
        <v>543</v>
      </c>
      <c r="C3301" s="26"/>
      <c r="D3301" s="26" t="s">
        <v>543</v>
      </c>
      <c r="E3301" s="26" t="str">
        <f>IFERROR(VLOOKUP(G3301,WholesaleExtract!B:J,9,FALSE),"")</f>
        <v/>
      </c>
      <c r="F3301" s="26" t="str">
        <f>IFERROR(VLOOKUP(G3301,WholesaleExtract!B:J,6,FALSE),"")</f>
        <v/>
      </c>
      <c r="H3301" s="47" t="str">
        <f>IFERROR(VLOOKUP(G3301,WholesaleExtract!B:L,11,FALSE),"")</f>
        <v/>
      </c>
      <c r="I3301" s="26" t="str">
        <f>IFERROR(VLOOKUP(G3301,WholesaleExtract!B:O,8,FALSE),"")</f>
        <v/>
      </c>
      <c r="J3301" s="26" t="str">
        <f>IFERROR(VLOOKUP(G3301,WholesaleExtract!B:O,14,FALSE),"")</f>
        <v/>
      </c>
      <c r="K3301" s="26" t="str">
        <f>IFERROR(VLOOKUP(G3301,WholesaleExtract!B:K,10,FALSE),"")</f>
        <v/>
      </c>
      <c r="L3301" s="47" t="str">
        <f>IFERROR(VLOOKUP(G3301,WholesaleExtract!B:L,11,FALSE),"")</f>
        <v/>
      </c>
      <c r="M3301" s="47" t="str">
        <f>IFERROR(VLOOKUP(G3301,WholesaleExtract!B:M,12,FALSE),"")</f>
        <v/>
      </c>
      <c r="R3301" s="19"/>
      <c r="S3301" s="19"/>
    </row>
    <row r="3302" spans="1:19" x14ac:dyDescent="0.35">
      <c r="A3302" s="26" t="s">
        <v>543</v>
      </c>
      <c r="B3302" s="26" t="s">
        <v>543</v>
      </c>
      <c r="C3302" s="26"/>
      <c r="D3302" s="26" t="s">
        <v>543</v>
      </c>
      <c r="E3302" s="26" t="str">
        <f>IFERROR(VLOOKUP(G3302,WholesaleExtract!B:J,9,FALSE),"")</f>
        <v/>
      </c>
      <c r="F3302" s="26" t="str">
        <f>IFERROR(VLOOKUP(G3302,WholesaleExtract!B:J,6,FALSE),"")</f>
        <v/>
      </c>
      <c r="H3302" s="47" t="str">
        <f>IFERROR(VLOOKUP(G3302,WholesaleExtract!B:L,11,FALSE),"")</f>
        <v/>
      </c>
      <c r="I3302" s="26" t="str">
        <f>IFERROR(VLOOKUP(G3302,WholesaleExtract!B:O,8,FALSE),"")</f>
        <v/>
      </c>
      <c r="J3302" s="26" t="str">
        <f>IFERROR(VLOOKUP(G3302,WholesaleExtract!B:O,14,FALSE),"")</f>
        <v/>
      </c>
      <c r="K3302" s="26" t="str">
        <f>IFERROR(VLOOKUP(G3302,WholesaleExtract!B:K,10,FALSE),"")</f>
        <v/>
      </c>
      <c r="L3302" s="47" t="str">
        <f>IFERROR(VLOOKUP(G3302,WholesaleExtract!B:L,11,FALSE),"")</f>
        <v/>
      </c>
      <c r="M3302" s="47" t="str">
        <f>IFERROR(VLOOKUP(G3302,WholesaleExtract!B:M,12,FALSE),"")</f>
        <v/>
      </c>
      <c r="R3302" s="19"/>
      <c r="S3302" s="19"/>
    </row>
    <row r="3303" spans="1:19" x14ac:dyDescent="0.35">
      <c r="A3303" s="26" t="s">
        <v>543</v>
      </c>
      <c r="B3303" s="26" t="s">
        <v>543</v>
      </c>
      <c r="C3303" s="26"/>
      <c r="D3303" s="26" t="s">
        <v>543</v>
      </c>
      <c r="E3303" s="26" t="str">
        <f>IFERROR(VLOOKUP(G3303,WholesaleExtract!B:J,9,FALSE),"")</f>
        <v/>
      </c>
      <c r="F3303" s="26" t="str">
        <f>IFERROR(VLOOKUP(G3303,WholesaleExtract!B:J,6,FALSE),"")</f>
        <v/>
      </c>
      <c r="H3303" s="47" t="str">
        <f>IFERROR(VLOOKUP(G3303,WholesaleExtract!B:L,11,FALSE),"")</f>
        <v/>
      </c>
      <c r="I3303" s="26" t="str">
        <f>IFERROR(VLOOKUP(G3303,WholesaleExtract!B:O,8,FALSE),"")</f>
        <v/>
      </c>
      <c r="J3303" s="26" t="str">
        <f>IFERROR(VLOOKUP(G3303,WholesaleExtract!B:O,14,FALSE),"")</f>
        <v/>
      </c>
      <c r="K3303" s="26" t="str">
        <f>IFERROR(VLOOKUP(G3303,WholesaleExtract!B:K,10,FALSE),"")</f>
        <v/>
      </c>
      <c r="L3303" s="47" t="str">
        <f>IFERROR(VLOOKUP(G3303,WholesaleExtract!B:L,11,FALSE),"")</f>
        <v/>
      </c>
      <c r="M3303" s="47" t="str">
        <f>IFERROR(VLOOKUP(G3303,WholesaleExtract!B:M,12,FALSE),"")</f>
        <v/>
      </c>
      <c r="R3303" s="19"/>
      <c r="S3303" s="19"/>
    </row>
    <row r="3304" spans="1:19" x14ac:dyDescent="0.35">
      <c r="A3304" s="26" t="s">
        <v>543</v>
      </c>
      <c r="B3304" s="26" t="s">
        <v>543</v>
      </c>
      <c r="C3304" s="26"/>
      <c r="D3304" s="26" t="s">
        <v>543</v>
      </c>
      <c r="E3304" s="26" t="str">
        <f>IFERROR(VLOOKUP(G3304,WholesaleExtract!B:J,9,FALSE),"")</f>
        <v/>
      </c>
      <c r="F3304" s="26" t="str">
        <f>IFERROR(VLOOKUP(G3304,WholesaleExtract!B:J,6,FALSE),"")</f>
        <v/>
      </c>
      <c r="H3304" s="47" t="str">
        <f>IFERROR(VLOOKUP(G3304,WholesaleExtract!B:L,11,FALSE),"")</f>
        <v/>
      </c>
      <c r="I3304" s="26" t="str">
        <f>IFERROR(VLOOKUP(G3304,WholesaleExtract!B:O,8,FALSE),"")</f>
        <v/>
      </c>
      <c r="J3304" s="26" t="str">
        <f>IFERROR(VLOOKUP(G3304,WholesaleExtract!B:O,14,FALSE),"")</f>
        <v/>
      </c>
      <c r="K3304" s="26" t="str">
        <f>IFERROR(VLOOKUP(G3304,WholesaleExtract!B:K,10,FALSE),"")</f>
        <v/>
      </c>
      <c r="L3304" s="47" t="str">
        <f>IFERROR(VLOOKUP(G3304,WholesaleExtract!B:L,11,FALSE),"")</f>
        <v/>
      </c>
      <c r="M3304" s="47" t="str">
        <f>IFERROR(VLOOKUP(G3304,WholesaleExtract!B:M,12,FALSE),"")</f>
        <v/>
      </c>
      <c r="R3304" s="19"/>
      <c r="S3304" s="19"/>
    </row>
    <row r="3305" spans="1:19" x14ac:dyDescent="0.35">
      <c r="A3305" s="26" t="s">
        <v>543</v>
      </c>
      <c r="B3305" s="26" t="s">
        <v>543</v>
      </c>
      <c r="C3305" s="26"/>
      <c r="D3305" s="26" t="s">
        <v>543</v>
      </c>
      <c r="E3305" s="26" t="str">
        <f>IFERROR(VLOOKUP(G3305,WholesaleExtract!B:J,9,FALSE),"")</f>
        <v/>
      </c>
      <c r="F3305" s="26" t="str">
        <f>IFERROR(VLOOKUP(G3305,WholesaleExtract!B:J,6,FALSE),"")</f>
        <v/>
      </c>
      <c r="H3305" s="47" t="str">
        <f>IFERROR(VLOOKUP(G3305,WholesaleExtract!B:L,11,FALSE),"")</f>
        <v/>
      </c>
      <c r="I3305" s="26" t="str">
        <f>IFERROR(VLOOKUP(G3305,WholesaleExtract!B:O,8,FALSE),"")</f>
        <v/>
      </c>
      <c r="J3305" s="26" t="str">
        <f>IFERROR(VLOOKUP(G3305,WholesaleExtract!B:O,14,FALSE),"")</f>
        <v/>
      </c>
      <c r="K3305" s="26" t="str">
        <f>IFERROR(VLOOKUP(G3305,WholesaleExtract!B:K,10,FALSE),"")</f>
        <v/>
      </c>
      <c r="L3305" s="47" t="str">
        <f>IFERROR(VLOOKUP(G3305,WholesaleExtract!B:L,11,FALSE),"")</f>
        <v/>
      </c>
      <c r="M3305" s="47" t="str">
        <f>IFERROR(VLOOKUP(G3305,WholesaleExtract!B:M,12,FALSE),"")</f>
        <v/>
      </c>
      <c r="R3305" s="19"/>
      <c r="S3305" s="19"/>
    </row>
    <row r="3306" spans="1:19" x14ac:dyDescent="0.35">
      <c r="A3306" s="26" t="s">
        <v>543</v>
      </c>
      <c r="B3306" s="26" t="s">
        <v>543</v>
      </c>
      <c r="C3306" s="26"/>
      <c r="D3306" s="26" t="s">
        <v>543</v>
      </c>
      <c r="E3306" s="26" t="str">
        <f>IFERROR(VLOOKUP(G3306,WholesaleExtract!B:J,9,FALSE),"")</f>
        <v/>
      </c>
      <c r="F3306" s="26" t="str">
        <f>IFERROR(VLOOKUP(G3306,WholesaleExtract!B:J,6,FALSE),"")</f>
        <v/>
      </c>
      <c r="H3306" s="47" t="str">
        <f>IFERROR(VLOOKUP(G3306,WholesaleExtract!B:L,11,FALSE),"")</f>
        <v/>
      </c>
      <c r="I3306" s="26" t="str">
        <f>IFERROR(VLOOKUP(G3306,WholesaleExtract!B:O,8,FALSE),"")</f>
        <v/>
      </c>
      <c r="J3306" s="26" t="str">
        <f>IFERROR(VLOOKUP(G3306,WholesaleExtract!B:O,14,FALSE),"")</f>
        <v/>
      </c>
      <c r="K3306" s="26" t="str">
        <f>IFERROR(VLOOKUP(G3306,WholesaleExtract!B:K,10,FALSE),"")</f>
        <v/>
      </c>
      <c r="L3306" s="47" t="str">
        <f>IFERROR(VLOOKUP(G3306,WholesaleExtract!B:L,11,FALSE),"")</f>
        <v/>
      </c>
      <c r="M3306" s="47" t="str">
        <f>IFERROR(VLOOKUP(G3306,WholesaleExtract!B:M,12,FALSE),"")</f>
        <v/>
      </c>
      <c r="R3306" s="19"/>
      <c r="S3306" s="19"/>
    </row>
    <row r="3307" spans="1:19" x14ac:dyDescent="0.35">
      <c r="A3307" s="26" t="s">
        <v>543</v>
      </c>
      <c r="B3307" s="26" t="s">
        <v>543</v>
      </c>
      <c r="C3307" s="26"/>
      <c r="D3307" s="26" t="s">
        <v>543</v>
      </c>
      <c r="E3307" s="26" t="str">
        <f>IFERROR(VLOOKUP(G3307,WholesaleExtract!B:J,9,FALSE),"")</f>
        <v/>
      </c>
      <c r="F3307" s="26" t="str">
        <f>IFERROR(VLOOKUP(G3307,WholesaleExtract!B:J,6,FALSE),"")</f>
        <v/>
      </c>
      <c r="H3307" s="47" t="str">
        <f>IFERROR(VLOOKUP(G3307,WholesaleExtract!B:L,11,FALSE),"")</f>
        <v/>
      </c>
      <c r="I3307" s="26" t="str">
        <f>IFERROR(VLOOKUP(G3307,WholesaleExtract!B:O,8,FALSE),"")</f>
        <v/>
      </c>
      <c r="J3307" s="26" t="str">
        <f>IFERROR(VLOOKUP(G3307,WholesaleExtract!B:O,14,FALSE),"")</f>
        <v/>
      </c>
      <c r="K3307" s="26" t="str">
        <f>IFERROR(VLOOKUP(G3307,WholesaleExtract!B:K,10,FALSE),"")</f>
        <v/>
      </c>
      <c r="L3307" s="47" t="str">
        <f>IFERROR(VLOOKUP(G3307,WholesaleExtract!B:L,11,FALSE),"")</f>
        <v/>
      </c>
      <c r="M3307" s="47" t="str">
        <f>IFERROR(VLOOKUP(G3307,WholesaleExtract!B:M,12,FALSE),"")</f>
        <v/>
      </c>
      <c r="R3307" s="19"/>
      <c r="S3307" s="19"/>
    </row>
    <row r="3308" spans="1:19" x14ac:dyDescent="0.35">
      <c r="A3308" s="26" t="s">
        <v>543</v>
      </c>
      <c r="B3308" s="26" t="s">
        <v>543</v>
      </c>
      <c r="C3308" s="26"/>
      <c r="D3308" s="26" t="s">
        <v>543</v>
      </c>
      <c r="E3308" s="26" t="str">
        <f>IFERROR(VLOOKUP(G3308,WholesaleExtract!B:J,9,FALSE),"")</f>
        <v/>
      </c>
      <c r="F3308" s="26" t="str">
        <f>IFERROR(VLOOKUP(G3308,WholesaleExtract!B:J,6,FALSE),"")</f>
        <v/>
      </c>
      <c r="H3308" s="47" t="str">
        <f>IFERROR(VLOOKUP(G3308,WholesaleExtract!B:L,11,FALSE),"")</f>
        <v/>
      </c>
      <c r="I3308" s="26" t="str">
        <f>IFERROR(VLOOKUP(G3308,WholesaleExtract!B:O,8,FALSE),"")</f>
        <v/>
      </c>
      <c r="J3308" s="26" t="str">
        <f>IFERROR(VLOOKUP(G3308,WholesaleExtract!B:O,14,FALSE),"")</f>
        <v/>
      </c>
      <c r="K3308" s="26" t="str">
        <f>IFERROR(VLOOKUP(G3308,WholesaleExtract!B:K,10,FALSE),"")</f>
        <v/>
      </c>
      <c r="L3308" s="47" t="str">
        <f>IFERROR(VLOOKUP(G3308,WholesaleExtract!B:L,11,FALSE),"")</f>
        <v/>
      </c>
      <c r="M3308" s="47" t="str">
        <f>IFERROR(VLOOKUP(G3308,WholesaleExtract!B:M,12,FALSE),"")</f>
        <v/>
      </c>
      <c r="R3308" s="19"/>
      <c r="S3308" s="19"/>
    </row>
    <row r="3309" spans="1:19" x14ac:dyDescent="0.35">
      <c r="A3309" s="26" t="s">
        <v>543</v>
      </c>
      <c r="B3309" s="26" t="s">
        <v>543</v>
      </c>
      <c r="C3309" s="26"/>
      <c r="D3309" s="26" t="s">
        <v>543</v>
      </c>
      <c r="E3309" s="26" t="str">
        <f>IFERROR(VLOOKUP(G3309,WholesaleExtract!B:J,9,FALSE),"")</f>
        <v/>
      </c>
      <c r="F3309" s="26" t="str">
        <f>IFERROR(VLOOKUP(G3309,WholesaleExtract!B:J,6,FALSE),"")</f>
        <v/>
      </c>
      <c r="H3309" s="47" t="str">
        <f>IFERROR(VLOOKUP(G3309,WholesaleExtract!B:L,11,FALSE),"")</f>
        <v/>
      </c>
      <c r="I3309" s="26" t="str">
        <f>IFERROR(VLOOKUP(G3309,WholesaleExtract!B:O,8,FALSE),"")</f>
        <v/>
      </c>
      <c r="J3309" s="26" t="str">
        <f>IFERROR(VLOOKUP(G3309,WholesaleExtract!B:O,14,FALSE),"")</f>
        <v/>
      </c>
      <c r="K3309" s="26" t="str">
        <f>IFERROR(VLOOKUP(G3309,WholesaleExtract!B:K,10,FALSE),"")</f>
        <v/>
      </c>
      <c r="L3309" s="47" t="str">
        <f>IFERROR(VLOOKUP(G3309,WholesaleExtract!B:L,11,FALSE),"")</f>
        <v/>
      </c>
      <c r="M3309" s="47" t="str">
        <f>IFERROR(VLOOKUP(G3309,WholesaleExtract!B:M,12,FALSE),"")</f>
        <v/>
      </c>
      <c r="R3309" s="19"/>
      <c r="S3309" s="19"/>
    </row>
    <row r="3310" spans="1:19" x14ac:dyDescent="0.35">
      <c r="A3310" s="26" t="s">
        <v>543</v>
      </c>
      <c r="B3310" s="26" t="s">
        <v>543</v>
      </c>
      <c r="C3310" s="26"/>
      <c r="D3310" s="26" t="s">
        <v>543</v>
      </c>
      <c r="E3310" s="26" t="str">
        <f>IFERROR(VLOOKUP(G3310,WholesaleExtract!B:J,9,FALSE),"")</f>
        <v/>
      </c>
      <c r="F3310" s="26" t="str">
        <f>IFERROR(VLOOKUP(G3310,WholesaleExtract!B:J,6,FALSE),"")</f>
        <v/>
      </c>
      <c r="H3310" s="47" t="str">
        <f>IFERROR(VLOOKUP(G3310,WholesaleExtract!B:L,11,FALSE),"")</f>
        <v/>
      </c>
      <c r="I3310" s="26" t="str">
        <f>IFERROR(VLOOKUP(G3310,WholesaleExtract!B:O,8,FALSE),"")</f>
        <v/>
      </c>
      <c r="J3310" s="26" t="str">
        <f>IFERROR(VLOOKUP(G3310,WholesaleExtract!B:O,14,FALSE),"")</f>
        <v/>
      </c>
      <c r="K3310" s="26" t="str">
        <f>IFERROR(VLOOKUP(G3310,WholesaleExtract!B:K,10,FALSE),"")</f>
        <v/>
      </c>
      <c r="L3310" s="47" t="str">
        <f>IFERROR(VLOOKUP(G3310,WholesaleExtract!B:L,11,FALSE),"")</f>
        <v/>
      </c>
      <c r="M3310" s="47" t="str">
        <f>IFERROR(VLOOKUP(G3310,WholesaleExtract!B:M,12,FALSE),"")</f>
        <v/>
      </c>
      <c r="R3310" s="19"/>
      <c r="S3310" s="19"/>
    </row>
    <row r="3311" spans="1:19" x14ac:dyDescent="0.35">
      <c r="A3311" s="26" t="s">
        <v>543</v>
      </c>
      <c r="B3311" s="26" t="s">
        <v>543</v>
      </c>
      <c r="C3311" s="26"/>
      <c r="D3311" s="26" t="s">
        <v>543</v>
      </c>
      <c r="E3311" s="26" t="str">
        <f>IFERROR(VLOOKUP(G3311,WholesaleExtract!B:J,9,FALSE),"")</f>
        <v/>
      </c>
      <c r="F3311" s="26" t="str">
        <f>IFERROR(VLOOKUP(G3311,WholesaleExtract!B:J,6,FALSE),"")</f>
        <v/>
      </c>
      <c r="H3311" s="47" t="str">
        <f>IFERROR(VLOOKUP(G3311,WholesaleExtract!B:L,11,FALSE),"")</f>
        <v/>
      </c>
      <c r="I3311" s="26" t="str">
        <f>IFERROR(VLOOKUP(G3311,WholesaleExtract!B:O,8,FALSE),"")</f>
        <v/>
      </c>
      <c r="J3311" s="26" t="str">
        <f>IFERROR(VLOOKUP(G3311,WholesaleExtract!B:O,14,FALSE),"")</f>
        <v/>
      </c>
      <c r="K3311" s="26" t="str">
        <f>IFERROR(VLOOKUP(G3311,WholesaleExtract!B:K,10,FALSE),"")</f>
        <v/>
      </c>
      <c r="L3311" s="47" t="str">
        <f>IFERROR(VLOOKUP(G3311,WholesaleExtract!B:L,11,FALSE),"")</f>
        <v/>
      </c>
      <c r="M3311" s="47" t="str">
        <f>IFERROR(VLOOKUP(G3311,WholesaleExtract!B:M,12,FALSE),"")</f>
        <v/>
      </c>
      <c r="R3311" s="19"/>
      <c r="S3311" s="19"/>
    </row>
    <row r="3312" spans="1:19" x14ac:dyDescent="0.35">
      <c r="A3312" s="26" t="s">
        <v>543</v>
      </c>
      <c r="B3312" s="26" t="s">
        <v>543</v>
      </c>
      <c r="C3312" s="26"/>
      <c r="D3312" s="26" t="s">
        <v>543</v>
      </c>
      <c r="E3312" s="26" t="str">
        <f>IFERROR(VLOOKUP(G3312,WholesaleExtract!B:J,9,FALSE),"")</f>
        <v/>
      </c>
      <c r="F3312" s="26" t="str">
        <f>IFERROR(VLOOKUP(G3312,WholesaleExtract!B:J,6,FALSE),"")</f>
        <v/>
      </c>
      <c r="H3312" s="47" t="str">
        <f>IFERROR(VLOOKUP(G3312,WholesaleExtract!B:L,11,FALSE),"")</f>
        <v/>
      </c>
      <c r="I3312" s="26" t="str">
        <f>IFERROR(VLOOKUP(G3312,WholesaleExtract!B:O,8,FALSE),"")</f>
        <v/>
      </c>
      <c r="J3312" s="26" t="str">
        <f>IFERROR(VLOOKUP(G3312,WholesaleExtract!B:O,14,FALSE),"")</f>
        <v/>
      </c>
      <c r="K3312" s="26" t="str">
        <f>IFERROR(VLOOKUP(G3312,WholesaleExtract!B:K,10,FALSE),"")</f>
        <v/>
      </c>
      <c r="L3312" s="47" t="str">
        <f>IFERROR(VLOOKUP(G3312,WholesaleExtract!B:L,11,FALSE),"")</f>
        <v/>
      </c>
      <c r="M3312" s="47" t="str">
        <f>IFERROR(VLOOKUP(G3312,WholesaleExtract!B:M,12,FALSE),"")</f>
        <v/>
      </c>
      <c r="R3312" s="19"/>
      <c r="S3312" s="19"/>
    </row>
    <row r="3313" spans="1:19" x14ac:dyDescent="0.35">
      <c r="A3313" s="26" t="s">
        <v>543</v>
      </c>
      <c r="B3313" s="26" t="s">
        <v>543</v>
      </c>
      <c r="C3313" s="26"/>
      <c r="D3313" s="26" t="s">
        <v>543</v>
      </c>
      <c r="E3313" s="26" t="str">
        <f>IFERROR(VLOOKUP(G3313,WholesaleExtract!B:J,9,FALSE),"")</f>
        <v/>
      </c>
      <c r="F3313" s="26" t="str">
        <f>IFERROR(VLOOKUP(G3313,WholesaleExtract!B:J,6,FALSE),"")</f>
        <v/>
      </c>
      <c r="H3313" s="47" t="str">
        <f>IFERROR(VLOOKUP(G3313,WholesaleExtract!B:L,11,FALSE),"")</f>
        <v/>
      </c>
      <c r="I3313" s="26" t="str">
        <f>IFERROR(VLOOKUP(G3313,WholesaleExtract!B:O,8,FALSE),"")</f>
        <v/>
      </c>
      <c r="J3313" s="26" t="str">
        <f>IFERROR(VLOOKUP(G3313,WholesaleExtract!B:O,14,FALSE),"")</f>
        <v/>
      </c>
      <c r="K3313" s="26" t="str">
        <f>IFERROR(VLOOKUP(G3313,WholesaleExtract!B:K,10,FALSE),"")</f>
        <v/>
      </c>
      <c r="L3313" s="47" t="str">
        <f>IFERROR(VLOOKUP(G3313,WholesaleExtract!B:L,11,FALSE),"")</f>
        <v/>
      </c>
      <c r="M3313" s="47" t="str">
        <f>IFERROR(VLOOKUP(G3313,WholesaleExtract!B:M,12,FALSE),"")</f>
        <v/>
      </c>
      <c r="R3313" s="19"/>
      <c r="S3313" s="19"/>
    </row>
    <row r="3314" spans="1:19" x14ac:dyDescent="0.35">
      <c r="A3314" s="26" t="s">
        <v>543</v>
      </c>
      <c r="B3314" s="26" t="s">
        <v>543</v>
      </c>
      <c r="C3314" s="26"/>
      <c r="D3314" s="26" t="s">
        <v>543</v>
      </c>
      <c r="E3314" s="26" t="str">
        <f>IFERROR(VLOOKUP(G3314,WholesaleExtract!B:J,9,FALSE),"")</f>
        <v/>
      </c>
      <c r="F3314" s="26" t="str">
        <f>IFERROR(VLOOKUP(G3314,WholesaleExtract!B:J,6,FALSE),"")</f>
        <v/>
      </c>
      <c r="H3314" s="47" t="str">
        <f>IFERROR(VLOOKUP(G3314,WholesaleExtract!B:L,11,FALSE),"")</f>
        <v/>
      </c>
      <c r="I3314" s="26" t="str">
        <f>IFERROR(VLOOKUP(G3314,WholesaleExtract!B:O,8,FALSE),"")</f>
        <v/>
      </c>
      <c r="J3314" s="26" t="str">
        <f>IFERROR(VLOOKUP(G3314,WholesaleExtract!B:O,14,FALSE),"")</f>
        <v/>
      </c>
      <c r="K3314" s="26" t="str">
        <f>IFERROR(VLOOKUP(G3314,WholesaleExtract!B:K,10,FALSE),"")</f>
        <v/>
      </c>
      <c r="L3314" s="47" t="str">
        <f>IFERROR(VLOOKUP(G3314,WholesaleExtract!B:L,11,FALSE),"")</f>
        <v/>
      </c>
      <c r="M3314" s="47" t="str">
        <f>IFERROR(VLOOKUP(G3314,WholesaleExtract!B:M,12,FALSE),"")</f>
        <v/>
      </c>
      <c r="R3314" s="19"/>
      <c r="S3314" s="19"/>
    </row>
    <row r="3315" spans="1:19" x14ac:dyDescent="0.35">
      <c r="A3315" s="26" t="s">
        <v>543</v>
      </c>
      <c r="B3315" s="26" t="s">
        <v>543</v>
      </c>
      <c r="C3315" s="26"/>
      <c r="D3315" s="26" t="s">
        <v>543</v>
      </c>
      <c r="E3315" s="26" t="str">
        <f>IFERROR(VLOOKUP(G3315,WholesaleExtract!B:J,9,FALSE),"")</f>
        <v/>
      </c>
      <c r="F3315" s="26" t="str">
        <f>IFERROR(VLOOKUP(G3315,WholesaleExtract!B:J,6,FALSE),"")</f>
        <v/>
      </c>
      <c r="H3315" s="47" t="str">
        <f>IFERROR(VLOOKUP(G3315,WholesaleExtract!B:L,11,FALSE),"")</f>
        <v/>
      </c>
      <c r="I3315" s="26" t="str">
        <f>IFERROR(VLOOKUP(G3315,WholesaleExtract!B:O,8,FALSE),"")</f>
        <v/>
      </c>
      <c r="J3315" s="26" t="str">
        <f>IFERROR(VLOOKUP(G3315,WholesaleExtract!B:O,14,FALSE),"")</f>
        <v/>
      </c>
      <c r="K3315" s="26" t="str">
        <f>IFERROR(VLOOKUP(G3315,WholesaleExtract!B:K,10,FALSE),"")</f>
        <v/>
      </c>
      <c r="L3315" s="47" t="str">
        <f>IFERROR(VLOOKUP(G3315,WholesaleExtract!B:L,11,FALSE),"")</f>
        <v/>
      </c>
      <c r="M3315" s="47" t="str">
        <f>IFERROR(VLOOKUP(G3315,WholesaleExtract!B:M,12,FALSE),"")</f>
        <v/>
      </c>
      <c r="R3315" s="19"/>
      <c r="S3315" s="19"/>
    </row>
    <row r="3316" spans="1:19" x14ac:dyDescent="0.35">
      <c r="A3316" s="26" t="s">
        <v>543</v>
      </c>
      <c r="B3316" s="26" t="s">
        <v>543</v>
      </c>
      <c r="C3316" s="26"/>
      <c r="D3316" s="26" t="s">
        <v>543</v>
      </c>
      <c r="E3316" s="26" t="str">
        <f>IFERROR(VLOOKUP(G3316,WholesaleExtract!B:J,9,FALSE),"")</f>
        <v/>
      </c>
      <c r="F3316" s="26" t="str">
        <f>IFERROR(VLOOKUP(G3316,WholesaleExtract!B:J,6,FALSE),"")</f>
        <v/>
      </c>
      <c r="H3316" s="47" t="str">
        <f>IFERROR(VLOOKUP(G3316,WholesaleExtract!B:L,11,FALSE),"")</f>
        <v/>
      </c>
      <c r="I3316" s="26" t="str">
        <f>IFERROR(VLOOKUP(G3316,WholesaleExtract!B:O,8,FALSE),"")</f>
        <v/>
      </c>
      <c r="J3316" s="26" t="str">
        <f>IFERROR(VLOOKUP(G3316,WholesaleExtract!B:O,14,FALSE),"")</f>
        <v/>
      </c>
      <c r="K3316" s="26" t="str">
        <f>IFERROR(VLOOKUP(G3316,WholesaleExtract!B:K,10,FALSE),"")</f>
        <v/>
      </c>
      <c r="L3316" s="47" t="str">
        <f>IFERROR(VLOOKUP(G3316,WholesaleExtract!B:L,11,FALSE),"")</f>
        <v/>
      </c>
      <c r="M3316" s="47" t="str">
        <f>IFERROR(VLOOKUP(G3316,WholesaleExtract!B:M,12,FALSE),"")</f>
        <v/>
      </c>
      <c r="R3316" s="19"/>
      <c r="S3316" s="19"/>
    </row>
    <row r="3317" spans="1:19" x14ac:dyDescent="0.35">
      <c r="A3317" s="26" t="s">
        <v>543</v>
      </c>
      <c r="B3317" s="26" t="s">
        <v>543</v>
      </c>
      <c r="C3317" s="26"/>
      <c r="D3317" s="26" t="s">
        <v>543</v>
      </c>
      <c r="E3317" s="26" t="str">
        <f>IFERROR(VLOOKUP(G3317,WholesaleExtract!B:J,9,FALSE),"")</f>
        <v/>
      </c>
      <c r="F3317" s="26" t="str">
        <f>IFERROR(VLOOKUP(G3317,WholesaleExtract!B:J,6,FALSE),"")</f>
        <v/>
      </c>
      <c r="H3317" s="47" t="str">
        <f>IFERROR(VLOOKUP(G3317,WholesaleExtract!B:L,11,FALSE),"")</f>
        <v/>
      </c>
      <c r="I3317" s="26" t="str">
        <f>IFERROR(VLOOKUP(G3317,WholesaleExtract!B:O,8,FALSE),"")</f>
        <v/>
      </c>
      <c r="J3317" s="26" t="str">
        <f>IFERROR(VLOOKUP(G3317,WholesaleExtract!B:O,14,FALSE),"")</f>
        <v/>
      </c>
      <c r="K3317" s="26" t="str">
        <f>IFERROR(VLOOKUP(G3317,WholesaleExtract!B:K,10,FALSE),"")</f>
        <v/>
      </c>
      <c r="L3317" s="47" t="str">
        <f>IFERROR(VLOOKUP(G3317,WholesaleExtract!B:L,11,FALSE),"")</f>
        <v/>
      </c>
      <c r="M3317" s="47" t="str">
        <f>IFERROR(VLOOKUP(G3317,WholesaleExtract!B:M,12,FALSE),"")</f>
        <v/>
      </c>
      <c r="R3317" s="19"/>
      <c r="S3317" s="19"/>
    </row>
    <row r="3318" spans="1:19" x14ac:dyDescent="0.35">
      <c r="A3318" s="26" t="s">
        <v>543</v>
      </c>
      <c r="B3318" s="26" t="s">
        <v>543</v>
      </c>
      <c r="C3318" s="26"/>
      <c r="D3318" s="26" t="s">
        <v>543</v>
      </c>
      <c r="E3318" s="26" t="str">
        <f>IFERROR(VLOOKUP(G3318,WholesaleExtract!B:J,9,FALSE),"")</f>
        <v/>
      </c>
      <c r="F3318" s="26" t="str">
        <f>IFERROR(VLOOKUP(G3318,WholesaleExtract!B:J,6,FALSE),"")</f>
        <v/>
      </c>
      <c r="H3318" s="47" t="str">
        <f>IFERROR(VLOOKUP(G3318,WholesaleExtract!B:L,11,FALSE),"")</f>
        <v/>
      </c>
      <c r="I3318" s="26" t="str">
        <f>IFERROR(VLOOKUP(G3318,WholesaleExtract!B:O,8,FALSE),"")</f>
        <v/>
      </c>
      <c r="J3318" s="26" t="str">
        <f>IFERROR(VLOOKUP(G3318,WholesaleExtract!B:O,14,FALSE),"")</f>
        <v/>
      </c>
      <c r="K3318" s="26" t="str">
        <f>IFERROR(VLOOKUP(G3318,WholesaleExtract!B:K,10,FALSE),"")</f>
        <v/>
      </c>
      <c r="L3318" s="47" t="str">
        <f>IFERROR(VLOOKUP(G3318,WholesaleExtract!B:L,11,FALSE),"")</f>
        <v/>
      </c>
      <c r="M3318" s="47" t="str">
        <f>IFERROR(VLOOKUP(G3318,WholesaleExtract!B:M,12,FALSE),"")</f>
        <v/>
      </c>
      <c r="R3318" s="19"/>
      <c r="S3318" s="19"/>
    </row>
    <row r="3319" spans="1:19" x14ac:dyDescent="0.35">
      <c r="A3319" s="26" t="s">
        <v>543</v>
      </c>
      <c r="B3319" s="26" t="s">
        <v>543</v>
      </c>
      <c r="C3319" s="26"/>
      <c r="D3319" s="26" t="s">
        <v>543</v>
      </c>
      <c r="E3319" s="26" t="str">
        <f>IFERROR(VLOOKUP(G3319,WholesaleExtract!B:J,9,FALSE),"")</f>
        <v/>
      </c>
      <c r="F3319" s="26" t="str">
        <f>IFERROR(VLOOKUP(G3319,WholesaleExtract!B:J,6,FALSE),"")</f>
        <v/>
      </c>
      <c r="H3319" s="47" t="str">
        <f>IFERROR(VLOOKUP(G3319,WholesaleExtract!B:L,11,FALSE),"")</f>
        <v/>
      </c>
      <c r="I3319" s="26" t="str">
        <f>IFERROR(VLOOKUP(G3319,WholesaleExtract!B:O,8,FALSE),"")</f>
        <v/>
      </c>
      <c r="J3319" s="26" t="str">
        <f>IFERROR(VLOOKUP(G3319,WholesaleExtract!B:O,14,FALSE),"")</f>
        <v/>
      </c>
      <c r="K3319" s="26" t="str">
        <f>IFERROR(VLOOKUP(G3319,WholesaleExtract!B:K,10,FALSE),"")</f>
        <v/>
      </c>
      <c r="L3319" s="47" t="str">
        <f>IFERROR(VLOOKUP(G3319,WholesaleExtract!B:L,11,FALSE),"")</f>
        <v/>
      </c>
      <c r="M3319" s="47" t="str">
        <f>IFERROR(VLOOKUP(G3319,WholesaleExtract!B:M,12,FALSE),"")</f>
        <v/>
      </c>
      <c r="R3319" s="19"/>
      <c r="S3319" s="19"/>
    </row>
    <row r="3320" spans="1:19" x14ac:dyDescent="0.35">
      <c r="A3320" s="26" t="s">
        <v>543</v>
      </c>
      <c r="B3320" s="26" t="s">
        <v>543</v>
      </c>
      <c r="C3320" s="26"/>
      <c r="D3320" s="26" t="s">
        <v>543</v>
      </c>
      <c r="E3320" s="26" t="str">
        <f>IFERROR(VLOOKUP(G3320,WholesaleExtract!B:J,9,FALSE),"")</f>
        <v/>
      </c>
      <c r="F3320" s="26" t="str">
        <f>IFERROR(VLOOKUP(G3320,WholesaleExtract!B:J,6,FALSE),"")</f>
        <v/>
      </c>
      <c r="H3320" s="47" t="str">
        <f>IFERROR(VLOOKUP(G3320,WholesaleExtract!B:L,11,FALSE),"")</f>
        <v/>
      </c>
      <c r="I3320" s="26" t="str">
        <f>IFERROR(VLOOKUP(G3320,WholesaleExtract!B:O,8,FALSE),"")</f>
        <v/>
      </c>
      <c r="J3320" s="26" t="str">
        <f>IFERROR(VLOOKUP(G3320,WholesaleExtract!B:O,14,FALSE),"")</f>
        <v/>
      </c>
      <c r="K3320" s="26" t="str">
        <f>IFERROR(VLOOKUP(G3320,WholesaleExtract!B:K,10,FALSE),"")</f>
        <v/>
      </c>
      <c r="L3320" s="47" t="str">
        <f>IFERROR(VLOOKUP(G3320,WholesaleExtract!B:L,11,FALSE),"")</f>
        <v/>
      </c>
      <c r="M3320" s="47" t="str">
        <f>IFERROR(VLOOKUP(G3320,WholesaleExtract!B:M,12,FALSE),"")</f>
        <v/>
      </c>
      <c r="R3320" s="19"/>
      <c r="S3320" s="19"/>
    </row>
    <row r="3321" spans="1:19" x14ac:dyDescent="0.35">
      <c r="A3321" s="26" t="s">
        <v>543</v>
      </c>
      <c r="B3321" s="26" t="s">
        <v>543</v>
      </c>
      <c r="C3321" s="26"/>
      <c r="D3321" s="26" t="s">
        <v>543</v>
      </c>
      <c r="E3321" s="26" t="str">
        <f>IFERROR(VLOOKUP(G3321,WholesaleExtract!B:J,9,FALSE),"")</f>
        <v/>
      </c>
      <c r="F3321" s="26" t="str">
        <f>IFERROR(VLOOKUP(G3321,WholesaleExtract!B:J,6,FALSE),"")</f>
        <v/>
      </c>
      <c r="H3321" s="47" t="str">
        <f>IFERROR(VLOOKUP(G3321,WholesaleExtract!B:L,11,FALSE),"")</f>
        <v/>
      </c>
      <c r="I3321" s="26" t="str">
        <f>IFERROR(VLOOKUP(G3321,WholesaleExtract!B:O,8,FALSE),"")</f>
        <v/>
      </c>
      <c r="J3321" s="26" t="str">
        <f>IFERROR(VLOOKUP(G3321,WholesaleExtract!B:O,14,FALSE),"")</f>
        <v/>
      </c>
      <c r="K3321" s="26" t="str">
        <f>IFERROR(VLOOKUP(G3321,WholesaleExtract!B:K,10,FALSE),"")</f>
        <v/>
      </c>
      <c r="L3321" s="47" t="str">
        <f>IFERROR(VLOOKUP(G3321,WholesaleExtract!B:L,11,FALSE),"")</f>
        <v/>
      </c>
      <c r="M3321" s="47" t="str">
        <f>IFERROR(VLOOKUP(G3321,WholesaleExtract!B:M,12,FALSE),"")</f>
        <v/>
      </c>
      <c r="R3321" s="19"/>
      <c r="S3321" s="19"/>
    </row>
    <row r="3322" spans="1:19" x14ac:dyDescent="0.35">
      <c r="A3322" s="26" t="s">
        <v>543</v>
      </c>
      <c r="B3322" s="26" t="s">
        <v>543</v>
      </c>
      <c r="C3322" s="26"/>
      <c r="D3322" s="26" t="s">
        <v>543</v>
      </c>
      <c r="E3322" s="26" t="str">
        <f>IFERROR(VLOOKUP(G3322,WholesaleExtract!B:J,9,FALSE),"")</f>
        <v/>
      </c>
      <c r="F3322" s="26" t="str">
        <f>IFERROR(VLOOKUP(G3322,WholesaleExtract!B:J,6,FALSE),"")</f>
        <v/>
      </c>
      <c r="H3322" s="47" t="str">
        <f>IFERROR(VLOOKUP(G3322,WholesaleExtract!B:L,11,FALSE),"")</f>
        <v/>
      </c>
      <c r="I3322" s="26" t="str">
        <f>IFERROR(VLOOKUP(G3322,WholesaleExtract!B:O,8,FALSE),"")</f>
        <v/>
      </c>
      <c r="J3322" s="26" t="str">
        <f>IFERROR(VLOOKUP(G3322,WholesaleExtract!B:O,14,FALSE),"")</f>
        <v/>
      </c>
      <c r="K3322" s="26" t="str">
        <f>IFERROR(VLOOKUP(G3322,WholesaleExtract!B:K,10,FALSE),"")</f>
        <v/>
      </c>
      <c r="L3322" s="47" t="str">
        <f>IFERROR(VLOOKUP(G3322,WholesaleExtract!B:L,11,FALSE),"")</f>
        <v/>
      </c>
      <c r="M3322" s="47" t="str">
        <f>IFERROR(VLOOKUP(G3322,WholesaleExtract!B:M,12,FALSE),"")</f>
        <v/>
      </c>
      <c r="R3322" s="19"/>
      <c r="S3322" s="19"/>
    </row>
    <row r="3323" spans="1:19" x14ac:dyDescent="0.35">
      <c r="A3323" s="26" t="s">
        <v>543</v>
      </c>
      <c r="B3323" s="26" t="s">
        <v>543</v>
      </c>
      <c r="C3323" s="26"/>
      <c r="D3323" s="26" t="s">
        <v>543</v>
      </c>
      <c r="E3323" s="26" t="str">
        <f>IFERROR(VLOOKUP(G3323,WholesaleExtract!B:J,9,FALSE),"")</f>
        <v/>
      </c>
      <c r="F3323" s="26" t="str">
        <f>IFERROR(VLOOKUP(G3323,WholesaleExtract!B:J,6,FALSE),"")</f>
        <v/>
      </c>
      <c r="H3323" s="47" t="str">
        <f>IFERROR(VLOOKUP(G3323,WholesaleExtract!B:L,11,FALSE),"")</f>
        <v/>
      </c>
      <c r="I3323" s="26" t="str">
        <f>IFERROR(VLOOKUP(G3323,WholesaleExtract!B:O,8,FALSE),"")</f>
        <v/>
      </c>
      <c r="J3323" s="26" t="str">
        <f>IFERROR(VLOOKUP(G3323,WholesaleExtract!B:O,14,FALSE),"")</f>
        <v/>
      </c>
      <c r="K3323" s="26" t="str">
        <f>IFERROR(VLOOKUP(G3323,WholesaleExtract!B:K,10,FALSE),"")</f>
        <v/>
      </c>
      <c r="L3323" s="47" t="str">
        <f>IFERROR(VLOOKUP(G3323,WholesaleExtract!B:L,11,FALSE),"")</f>
        <v/>
      </c>
      <c r="M3323" s="47" t="str">
        <f>IFERROR(VLOOKUP(G3323,WholesaleExtract!B:M,12,FALSE),"")</f>
        <v/>
      </c>
      <c r="R3323" s="19"/>
      <c r="S3323" s="19"/>
    </row>
    <row r="3324" spans="1:19" x14ac:dyDescent="0.35">
      <c r="A3324" s="26" t="s">
        <v>543</v>
      </c>
      <c r="B3324" s="26" t="s">
        <v>543</v>
      </c>
      <c r="C3324" s="26"/>
      <c r="D3324" s="26" t="s">
        <v>543</v>
      </c>
      <c r="E3324" s="26" t="str">
        <f>IFERROR(VLOOKUP(G3324,WholesaleExtract!B:J,9,FALSE),"")</f>
        <v/>
      </c>
      <c r="F3324" s="26" t="str">
        <f>IFERROR(VLOOKUP(G3324,WholesaleExtract!B:J,6,FALSE),"")</f>
        <v/>
      </c>
      <c r="H3324" s="47" t="str">
        <f>IFERROR(VLOOKUP(G3324,WholesaleExtract!B:L,11,FALSE),"")</f>
        <v/>
      </c>
      <c r="I3324" s="26" t="str">
        <f>IFERROR(VLOOKUP(G3324,WholesaleExtract!B:O,8,FALSE),"")</f>
        <v/>
      </c>
      <c r="J3324" s="26" t="str">
        <f>IFERROR(VLOOKUP(G3324,WholesaleExtract!B:O,14,FALSE),"")</f>
        <v/>
      </c>
      <c r="K3324" s="26" t="str">
        <f>IFERROR(VLOOKUP(G3324,WholesaleExtract!B:K,10,FALSE),"")</f>
        <v/>
      </c>
      <c r="L3324" s="47" t="str">
        <f>IFERROR(VLOOKUP(G3324,WholesaleExtract!B:L,11,FALSE),"")</f>
        <v/>
      </c>
      <c r="M3324" s="47" t="str">
        <f>IFERROR(VLOOKUP(G3324,WholesaleExtract!B:M,12,FALSE),"")</f>
        <v/>
      </c>
      <c r="R3324" s="19"/>
      <c r="S3324" s="19"/>
    </row>
    <row r="3325" spans="1:19" x14ac:dyDescent="0.35">
      <c r="A3325" s="26" t="s">
        <v>543</v>
      </c>
      <c r="B3325" s="26" t="s">
        <v>543</v>
      </c>
      <c r="C3325" s="26"/>
      <c r="D3325" s="26" t="s">
        <v>543</v>
      </c>
      <c r="E3325" s="26" t="str">
        <f>IFERROR(VLOOKUP(G3325,WholesaleExtract!B:J,9,FALSE),"")</f>
        <v/>
      </c>
      <c r="F3325" s="26" t="str">
        <f>IFERROR(VLOOKUP(G3325,WholesaleExtract!B:J,6,FALSE),"")</f>
        <v/>
      </c>
      <c r="H3325" s="47" t="str">
        <f>IFERROR(VLOOKUP(G3325,WholesaleExtract!B:L,11,FALSE),"")</f>
        <v/>
      </c>
      <c r="I3325" s="26" t="str">
        <f>IFERROR(VLOOKUP(G3325,WholesaleExtract!B:O,8,FALSE),"")</f>
        <v/>
      </c>
      <c r="J3325" s="26" t="str">
        <f>IFERROR(VLOOKUP(G3325,WholesaleExtract!B:O,14,FALSE),"")</f>
        <v/>
      </c>
      <c r="K3325" s="26" t="str">
        <f>IFERROR(VLOOKUP(G3325,WholesaleExtract!B:K,10,FALSE),"")</f>
        <v/>
      </c>
      <c r="L3325" s="47" t="str">
        <f>IFERROR(VLOOKUP(G3325,WholesaleExtract!B:L,11,FALSE),"")</f>
        <v/>
      </c>
      <c r="M3325" s="47" t="str">
        <f>IFERROR(VLOOKUP(G3325,WholesaleExtract!B:M,12,FALSE),"")</f>
        <v/>
      </c>
      <c r="R3325" s="19"/>
      <c r="S3325" s="19"/>
    </row>
    <row r="3326" spans="1:19" x14ac:dyDescent="0.35">
      <c r="A3326" s="26" t="s">
        <v>543</v>
      </c>
      <c r="B3326" s="26" t="s">
        <v>543</v>
      </c>
      <c r="C3326" s="26"/>
      <c r="D3326" s="26" t="s">
        <v>543</v>
      </c>
      <c r="E3326" s="26" t="str">
        <f>IFERROR(VLOOKUP(G3326,WholesaleExtract!B:J,9,FALSE),"")</f>
        <v/>
      </c>
      <c r="F3326" s="26" t="str">
        <f>IFERROR(VLOOKUP(G3326,WholesaleExtract!B:J,6,FALSE),"")</f>
        <v/>
      </c>
      <c r="H3326" s="47" t="str">
        <f>IFERROR(VLOOKUP(G3326,WholesaleExtract!B:L,11,FALSE),"")</f>
        <v/>
      </c>
      <c r="I3326" s="26" t="str">
        <f>IFERROR(VLOOKUP(G3326,WholesaleExtract!B:O,8,FALSE),"")</f>
        <v/>
      </c>
      <c r="J3326" s="26" t="str">
        <f>IFERROR(VLOOKUP(G3326,WholesaleExtract!B:O,14,FALSE),"")</f>
        <v/>
      </c>
      <c r="K3326" s="26" t="str">
        <f>IFERROR(VLOOKUP(G3326,WholesaleExtract!B:K,10,FALSE),"")</f>
        <v/>
      </c>
      <c r="L3326" s="47" t="str">
        <f>IFERROR(VLOOKUP(G3326,WholesaleExtract!B:L,11,FALSE),"")</f>
        <v/>
      </c>
      <c r="M3326" s="47" t="str">
        <f>IFERROR(VLOOKUP(G3326,WholesaleExtract!B:M,12,FALSE),"")</f>
        <v/>
      </c>
      <c r="R3326" s="19"/>
      <c r="S3326" s="19"/>
    </row>
    <row r="3327" spans="1:19" x14ac:dyDescent="0.35">
      <c r="A3327" s="26" t="s">
        <v>543</v>
      </c>
      <c r="B3327" s="26" t="s">
        <v>543</v>
      </c>
      <c r="C3327" s="26"/>
      <c r="D3327" s="26" t="s">
        <v>543</v>
      </c>
      <c r="E3327" s="26" t="str">
        <f>IFERROR(VLOOKUP(G3327,WholesaleExtract!B:J,9,FALSE),"")</f>
        <v/>
      </c>
      <c r="F3327" s="26" t="str">
        <f>IFERROR(VLOOKUP(G3327,WholesaleExtract!B:J,6,FALSE),"")</f>
        <v/>
      </c>
      <c r="H3327" s="47" t="str">
        <f>IFERROR(VLOOKUP(G3327,WholesaleExtract!B:L,11,FALSE),"")</f>
        <v/>
      </c>
      <c r="I3327" s="26" t="str">
        <f>IFERROR(VLOOKUP(G3327,WholesaleExtract!B:O,8,FALSE),"")</f>
        <v/>
      </c>
      <c r="J3327" s="26" t="str">
        <f>IFERROR(VLOOKUP(G3327,WholesaleExtract!B:O,14,FALSE),"")</f>
        <v/>
      </c>
      <c r="K3327" s="26" t="str">
        <f>IFERROR(VLOOKUP(G3327,WholesaleExtract!B:K,10,FALSE),"")</f>
        <v/>
      </c>
      <c r="L3327" s="47" t="str">
        <f>IFERROR(VLOOKUP(G3327,WholesaleExtract!B:L,11,FALSE),"")</f>
        <v/>
      </c>
      <c r="M3327" s="47" t="str">
        <f>IFERROR(VLOOKUP(G3327,WholesaleExtract!B:M,12,FALSE),"")</f>
        <v/>
      </c>
      <c r="R3327" s="19"/>
      <c r="S3327" s="19"/>
    </row>
    <row r="3328" spans="1:19" x14ac:dyDescent="0.35">
      <c r="A3328" s="26" t="s">
        <v>543</v>
      </c>
      <c r="B3328" s="26" t="s">
        <v>543</v>
      </c>
      <c r="C3328" s="26"/>
      <c r="D3328" s="26" t="s">
        <v>543</v>
      </c>
      <c r="E3328" s="26" t="str">
        <f>IFERROR(VLOOKUP(G3328,WholesaleExtract!B:J,9,FALSE),"")</f>
        <v/>
      </c>
      <c r="F3328" s="26" t="str">
        <f>IFERROR(VLOOKUP(G3328,WholesaleExtract!B:J,6,FALSE),"")</f>
        <v/>
      </c>
      <c r="H3328" s="47" t="str">
        <f>IFERROR(VLOOKUP(G3328,WholesaleExtract!B:L,11,FALSE),"")</f>
        <v/>
      </c>
      <c r="I3328" s="26" t="str">
        <f>IFERROR(VLOOKUP(G3328,WholesaleExtract!B:O,8,FALSE),"")</f>
        <v/>
      </c>
      <c r="J3328" s="26" t="str">
        <f>IFERROR(VLOOKUP(G3328,WholesaleExtract!B:O,14,FALSE),"")</f>
        <v/>
      </c>
      <c r="K3328" s="26" t="str">
        <f>IFERROR(VLOOKUP(G3328,WholesaleExtract!B:K,10,FALSE),"")</f>
        <v/>
      </c>
      <c r="L3328" s="47" t="str">
        <f>IFERROR(VLOOKUP(G3328,WholesaleExtract!B:L,11,FALSE),"")</f>
        <v/>
      </c>
      <c r="M3328" s="47" t="str">
        <f>IFERROR(VLOOKUP(G3328,WholesaleExtract!B:M,12,FALSE),"")</f>
        <v/>
      </c>
      <c r="R3328" s="19"/>
      <c r="S3328" s="19"/>
    </row>
    <row r="3329" spans="1:19" x14ac:dyDescent="0.35">
      <c r="A3329" s="26" t="s">
        <v>543</v>
      </c>
      <c r="B3329" s="26" t="s">
        <v>543</v>
      </c>
      <c r="C3329" s="26"/>
      <c r="D3329" s="26" t="s">
        <v>543</v>
      </c>
      <c r="E3329" s="26" t="str">
        <f>IFERROR(VLOOKUP(G3329,WholesaleExtract!B:J,9,FALSE),"")</f>
        <v/>
      </c>
      <c r="F3329" s="26" t="str">
        <f>IFERROR(VLOOKUP(G3329,WholesaleExtract!B:J,6,FALSE),"")</f>
        <v/>
      </c>
      <c r="H3329" s="47" t="str">
        <f>IFERROR(VLOOKUP(G3329,WholesaleExtract!B:L,11,FALSE),"")</f>
        <v/>
      </c>
      <c r="I3329" s="26" t="str">
        <f>IFERROR(VLOOKUP(G3329,WholesaleExtract!B:O,8,FALSE),"")</f>
        <v/>
      </c>
      <c r="J3329" s="26" t="str">
        <f>IFERROR(VLOOKUP(G3329,WholesaleExtract!B:O,14,FALSE),"")</f>
        <v/>
      </c>
      <c r="K3329" s="26" t="str">
        <f>IFERROR(VLOOKUP(G3329,WholesaleExtract!B:K,10,FALSE),"")</f>
        <v/>
      </c>
      <c r="L3329" s="47" t="str">
        <f>IFERROR(VLOOKUP(G3329,WholesaleExtract!B:L,11,FALSE),"")</f>
        <v/>
      </c>
      <c r="M3329" s="47" t="str">
        <f>IFERROR(VLOOKUP(G3329,WholesaleExtract!B:M,12,FALSE),"")</f>
        <v/>
      </c>
      <c r="R3329" s="19"/>
      <c r="S3329" s="19"/>
    </row>
    <row r="3330" spans="1:19" x14ac:dyDescent="0.35">
      <c r="A3330" s="26" t="s">
        <v>543</v>
      </c>
      <c r="B3330" s="26" t="s">
        <v>543</v>
      </c>
      <c r="C3330" s="26"/>
      <c r="D3330" s="26" t="s">
        <v>543</v>
      </c>
      <c r="E3330" s="26" t="str">
        <f>IFERROR(VLOOKUP(G3330,WholesaleExtract!B:J,9,FALSE),"")</f>
        <v/>
      </c>
      <c r="F3330" s="26" t="str">
        <f>IFERROR(VLOOKUP(G3330,WholesaleExtract!B:J,6,FALSE),"")</f>
        <v/>
      </c>
      <c r="H3330" s="47" t="str">
        <f>IFERROR(VLOOKUP(G3330,WholesaleExtract!B:L,11,FALSE),"")</f>
        <v/>
      </c>
      <c r="I3330" s="26" t="str">
        <f>IFERROR(VLOOKUP(G3330,WholesaleExtract!B:O,8,FALSE),"")</f>
        <v/>
      </c>
      <c r="J3330" s="26" t="str">
        <f>IFERROR(VLOOKUP(G3330,WholesaleExtract!B:O,14,FALSE),"")</f>
        <v/>
      </c>
      <c r="K3330" s="26" t="str">
        <f>IFERROR(VLOOKUP(G3330,WholesaleExtract!B:K,10,FALSE),"")</f>
        <v/>
      </c>
      <c r="L3330" s="47" t="str">
        <f>IFERROR(VLOOKUP(G3330,WholesaleExtract!B:L,11,FALSE),"")</f>
        <v/>
      </c>
      <c r="M3330" s="47" t="str">
        <f>IFERROR(VLOOKUP(G3330,WholesaleExtract!B:M,12,FALSE),"")</f>
        <v/>
      </c>
      <c r="R3330" s="19"/>
      <c r="S3330" s="19"/>
    </row>
    <row r="3331" spans="1:19" x14ac:dyDescent="0.35">
      <c r="A3331" s="26" t="s">
        <v>543</v>
      </c>
      <c r="B3331" s="26" t="s">
        <v>543</v>
      </c>
      <c r="C3331" s="26"/>
      <c r="D3331" s="26" t="s">
        <v>543</v>
      </c>
      <c r="E3331" s="26" t="str">
        <f>IFERROR(VLOOKUP(G3331,WholesaleExtract!B:J,9,FALSE),"")</f>
        <v/>
      </c>
      <c r="F3331" s="26" t="str">
        <f>IFERROR(VLOOKUP(G3331,WholesaleExtract!B:J,6,FALSE),"")</f>
        <v/>
      </c>
      <c r="H3331" s="47" t="str">
        <f>IFERROR(VLOOKUP(G3331,WholesaleExtract!B:L,11,FALSE),"")</f>
        <v/>
      </c>
      <c r="I3331" s="26" t="str">
        <f>IFERROR(VLOOKUP(G3331,WholesaleExtract!B:O,8,FALSE),"")</f>
        <v/>
      </c>
      <c r="J3331" s="26" t="str">
        <f>IFERROR(VLOOKUP(G3331,WholesaleExtract!B:O,14,FALSE),"")</f>
        <v/>
      </c>
      <c r="K3331" s="26" t="str">
        <f>IFERROR(VLOOKUP(G3331,WholesaleExtract!B:K,10,FALSE),"")</f>
        <v/>
      </c>
      <c r="L3331" s="47" t="str">
        <f>IFERROR(VLOOKUP(G3331,WholesaleExtract!B:L,11,FALSE),"")</f>
        <v/>
      </c>
      <c r="M3331" s="47" t="str">
        <f>IFERROR(VLOOKUP(G3331,WholesaleExtract!B:M,12,FALSE),"")</f>
        <v/>
      </c>
      <c r="R3331" s="19"/>
      <c r="S3331" s="19"/>
    </row>
    <row r="3332" spans="1:19" x14ac:dyDescent="0.35">
      <c r="A3332" s="26" t="s">
        <v>543</v>
      </c>
      <c r="B3332" s="26" t="s">
        <v>543</v>
      </c>
      <c r="C3332" s="26"/>
      <c r="D3332" s="26" t="s">
        <v>543</v>
      </c>
      <c r="E3332" s="26" t="str">
        <f>IFERROR(VLOOKUP(G3332,WholesaleExtract!B:J,9,FALSE),"")</f>
        <v/>
      </c>
      <c r="F3332" s="26" t="str">
        <f>IFERROR(VLOOKUP(G3332,WholesaleExtract!B:J,6,FALSE),"")</f>
        <v/>
      </c>
      <c r="H3332" s="47" t="str">
        <f>IFERROR(VLOOKUP(G3332,WholesaleExtract!B:L,11,FALSE),"")</f>
        <v/>
      </c>
      <c r="I3332" s="26" t="str">
        <f>IFERROR(VLOOKUP(G3332,WholesaleExtract!B:O,8,FALSE),"")</f>
        <v/>
      </c>
      <c r="J3332" s="26" t="str">
        <f>IFERROR(VLOOKUP(G3332,WholesaleExtract!B:O,14,FALSE),"")</f>
        <v/>
      </c>
      <c r="K3332" s="26" t="str">
        <f>IFERROR(VLOOKUP(G3332,WholesaleExtract!B:K,10,FALSE),"")</f>
        <v/>
      </c>
      <c r="L3332" s="47" t="str">
        <f>IFERROR(VLOOKUP(G3332,WholesaleExtract!B:L,11,FALSE),"")</f>
        <v/>
      </c>
      <c r="M3332" s="47" t="str">
        <f>IFERROR(VLOOKUP(G3332,WholesaleExtract!B:M,12,FALSE),"")</f>
        <v/>
      </c>
      <c r="R3332" s="19"/>
      <c r="S3332" s="19"/>
    </row>
    <row r="3333" spans="1:19" x14ac:dyDescent="0.35">
      <c r="A3333" s="26" t="s">
        <v>543</v>
      </c>
      <c r="B3333" s="26" t="s">
        <v>543</v>
      </c>
      <c r="C3333" s="26"/>
      <c r="D3333" s="26" t="s">
        <v>543</v>
      </c>
      <c r="E3333" s="26" t="str">
        <f>IFERROR(VLOOKUP(G3333,WholesaleExtract!B:J,9,FALSE),"")</f>
        <v/>
      </c>
      <c r="F3333" s="26" t="str">
        <f>IFERROR(VLOOKUP(G3333,WholesaleExtract!B:J,6,FALSE),"")</f>
        <v/>
      </c>
      <c r="H3333" s="47" t="str">
        <f>IFERROR(VLOOKUP(G3333,WholesaleExtract!B:L,11,FALSE),"")</f>
        <v/>
      </c>
      <c r="I3333" s="26" t="str">
        <f>IFERROR(VLOOKUP(G3333,WholesaleExtract!B:O,8,FALSE),"")</f>
        <v/>
      </c>
      <c r="J3333" s="26" t="str">
        <f>IFERROR(VLOOKUP(G3333,WholesaleExtract!B:O,14,FALSE),"")</f>
        <v/>
      </c>
      <c r="K3333" s="26" t="str">
        <f>IFERROR(VLOOKUP(G3333,WholesaleExtract!B:K,10,FALSE),"")</f>
        <v/>
      </c>
      <c r="L3333" s="47" t="str">
        <f>IFERROR(VLOOKUP(G3333,WholesaleExtract!B:L,11,FALSE),"")</f>
        <v/>
      </c>
      <c r="M3333" s="47" t="str">
        <f>IFERROR(VLOOKUP(G3333,WholesaleExtract!B:M,12,FALSE),"")</f>
        <v/>
      </c>
      <c r="R3333" s="19"/>
      <c r="S3333" s="19"/>
    </row>
    <row r="3334" spans="1:19" x14ac:dyDescent="0.35">
      <c r="A3334" s="26" t="s">
        <v>543</v>
      </c>
      <c r="B3334" s="26" t="s">
        <v>543</v>
      </c>
      <c r="C3334" s="26"/>
      <c r="D3334" s="26" t="s">
        <v>543</v>
      </c>
      <c r="E3334" s="26" t="str">
        <f>IFERROR(VLOOKUP(G3334,WholesaleExtract!B:J,9,FALSE),"")</f>
        <v/>
      </c>
      <c r="F3334" s="26" t="str">
        <f>IFERROR(VLOOKUP(G3334,WholesaleExtract!B:J,6,FALSE),"")</f>
        <v/>
      </c>
      <c r="H3334" s="47" t="str">
        <f>IFERROR(VLOOKUP(G3334,WholesaleExtract!B:L,11,FALSE),"")</f>
        <v/>
      </c>
      <c r="I3334" s="26" t="str">
        <f>IFERROR(VLOOKUP(G3334,WholesaleExtract!B:O,8,FALSE),"")</f>
        <v/>
      </c>
      <c r="J3334" s="26" t="str">
        <f>IFERROR(VLOOKUP(G3334,WholesaleExtract!B:O,14,FALSE),"")</f>
        <v/>
      </c>
      <c r="K3334" s="26" t="str">
        <f>IFERROR(VLOOKUP(G3334,WholesaleExtract!B:K,10,FALSE),"")</f>
        <v/>
      </c>
      <c r="L3334" s="47" t="str">
        <f>IFERROR(VLOOKUP(G3334,WholesaleExtract!B:L,11,FALSE),"")</f>
        <v/>
      </c>
      <c r="M3334" s="47" t="str">
        <f>IFERROR(VLOOKUP(G3334,WholesaleExtract!B:M,12,FALSE),"")</f>
        <v/>
      </c>
      <c r="R3334" s="19"/>
      <c r="S3334" s="19"/>
    </row>
    <row r="3335" spans="1:19" x14ac:dyDescent="0.35">
      <c r="A3335" s="26" t="s">
        <v>543</v>
      </c>
      <c r="B3335" s="26" t="s">
        <v>543</v>
      </c>
      <c r="C3335" s="26"/>
      <c r="D3335" s="26" t="s">
        <v>543</v>
      </c>
      <c r="E3335" s="26" t="str">
        <f>IFERROR(VLOOKUP(G3335,WholesaleExtract!B:J,9,FALSE),"")</f>
        <v/>
      </c>
      <c r="F3335" s="26" t="str">
        <f>IFERROR(VLOOKUP(G3335,WholesaleExtract!B:J,6,FALSE),"")</f>
        <v/>
      </c>
      <c r="H3335" s="47" t="str">
        <f>IFERROR(VLOOKUP(G3335,WholesaleExtract!B:L,11,FALSE),"")</f>
        <v/>
      </c>
      <c r="I3335" s="26" t="str">
        <f>IFERROR(VLOOKUP(G3335,WholesaleExtract!B:O,8,FALSE),"")</f>
        <v/>
      </c>
      <c r="J3335" s="26" t="str">
        <f>IFERROR(VLOOKUP(G3335,WholesaleExtract!B:O,14,FALSE),"")</f>
        <v/>
      </c>
      <c r="K3335" s="26" t="str">
        <f>IFERROR(VLOOKUP(G3335,WholesaleExtract!B:K,10,FALSE),"")</f>
        <v/>
      </c>
      <c r="L3335" s="47" t="str">
        <f>IFERROR(VLOOKUP(G3335,WholesaleExtract!B:L,11,FALSE),"")</f>
        <v/>
      </c>
      <c r="M3335" s="47" t="str">
        <f>IFERROR(VLOOKUP(G3335,WholesaleExtract!B:M,12,FALSE),"")</f>
        <v/>
      </c>
      <c r="R3335" s="19"/>
      <c r="S3335" s="19"/>
    </row>
    <row r="3336" spans="1:19" x14ac:dyDescent="0.35">
      <c r="A3336" s="26" t="s">
        <v>543</v>
      </c>
      <c r="B3336" s="26" t="s">
        <v>543</v>
      </c>
      <c r="C3336" s="26"/>
      <c r="D3336" s="26" t="s">
        <v>543</v>
      </c>
      <c r="E3336" s="26" t="str">
        <f>IFERROR(VLOOKUP(G3336,WholesaleExtract!B:J,9,FALSE),"")</f>
        <v/>
      </c>
      <c r="F3336" s="26" t="str">
        <f>IFERROR(VLOOKUP(G3336,WholesaleExtract!B:J,6,FALSE),"")</f>
        <v/>
      </c>
      <c r="H3336" s="47" t="str">
        <f>IFERROR(VLOOKUP(G3336,WholesaleExtract!B:L,11,FALSE),"")</f>
        <v/>
      </c>
      <c r="I3336" s="26" t="str">
        <f>IFERROR(VLOOKUP(G3336,WholesaleExtract!B:O,8,FALSE),"")</f>
        <v/>
      </c>
      <c r="J3336" s="26" t="str">
        <f>IFERROR(VLOOKUP(G3336,WholesaleExtract!B:O,14,FALSE),"")</f>
        <v/>
      </c>
      <c r="K3336" s="26" t="str">
        <f>IFERROR(VLOOKUP(G3336,WholesaleExtract!B:K,10,FALSE),"")</f>
        <v/>
      </c>
      <c r="L3336" s="47" t="str">
        <f>IFERROR(VLOOKUP(G3336,WholesaleExtract!B:L,11,FALSE),"")</f>
        <v/>
      </c>
      <c r="M3336" s="47" t="str">
        <f>IFERROR(VLOOKUP(G3336,WholesaleExtract!B:M,12,FALSE),"")</f>
        <v/>
      </c>
      <c r="R3336" s="19"/>
      <c r="S3336" s="19"/>
    </row>
    <row r="3337" spans="1:19" x14ac:dyDescent="0.35">
      <c r="A3337" s="26" t="s">
        <v>543</v>
      </c>
      <c r="B3337" s="26" t="s">
        <v>543</v>
      </c>
      <c r="C3337" s="26"/>
      <c r="D3337" s="26" t="s">
        <v>543</v>
      </c>
      <c r="E3337" s="26" t="str">
        <f>IFERROR(VLOOKUP(G3337,WholesaleExtract!B:J,9,FALSE),"")</f>
        <v/>
      </c>
      <c r="F3337" s="26" t="str">
        <f>IFERROR(VLOOKUP(G3337,WholesaleExtract!B:J,6,FALSE),"")</f>
        <v/>
      </c>
      <c r="H3337" s="47" t="str">
        <f>IFERROR(VLOOKUP(G3337,WholesaleExtract!B:L,11,FALSE),"")</f>
        <v/>
      </c>
      <c r="I3337" s="26" t="str">
        <f>IFERROR(VLOOKUP(G3337,WholesaleExtract!B:O,8,FALSE),"")</f>
        <v/>
      </c>
      <c r="J3337" s="26" t="str">
        <f>IFERROR(VLOOKUP(G3337,WholesaleExtract!B:O,14,FALSE),"")</f>
        <v/>
      </c>
      <c r="K3337" s="26" t="str">
        <f>IFERROR(VLOOKUP(G3337,WholesaleExtract!B:K,10,FALSE),"")</f>
        <v/>
      </c>
      <c r="L3337" s="47" t="str">
        <f>IFERROR(VLOOKUP(G3337,WholesaleExtract!B:L,11,FALSE),"")</f>
        <v/>
      </c>
      <c r="M3337" s="47" t="str">
        <f>IFERROR(VLOOKUP(G3337,WholesaleExtract!B:M,12,FALSE),"")</f>
        <v/>
      </c>
      <c r="R3337" s="19"/>
      <c r="S3337" s="19"/>
    </row>
    <row r="3338" spans="1:19" x14ac:dyDescent="0.35">
      <c r="A3338" s="26" t="s">
        <v>543</v>
      </c>
      <c r="B3338" s="26" t="s">
        <v>543</v>
      </c>
      <c r="C3338" s="26"/>
      <c r="D3338" s="26" t="s">
        <v>543</v>
      </c>
      <c r="E3338" s="26" t="str">
        <f>IFERROR(VLOOKUP(G3338,WholesaleExtract!B:J,9,FALSE),"")</f>
        <v/>
      </c>
      <c r="F3338" s="26" t="str">
        <f>IFERROR(VLOOKUP(G3338,WholesaleExtract!B:J,6,FALSE),"")</f>
        <v/>
      </c>
      <c r="H3338" s="47" t="str">
        <f>IFERROR(VLOOKUP(G3338,WholesaleExtract!B:L,11,FALSE),"")</f>
        <v/>
      </c>
      <c r="I3338" s="26" t="str">
        <f>IFERROR(VLOOKUP(G3338,WholesaleExtract!B:O,8,FALSE),"")</f>
        <v/>
      </c>
      <c r="J3338" s="26" t="str">
        <f>IFERROR(VLOOKUP(G3338,WholesaleExtract!B:O,14,FALSE),"")</f>
        <v/>
      </c>
      <c r="K3338" s="26" t="str">
        <f>IFERROR(VLOOKUP(G3338,WholesaleExtract!B:K,10,FALSE),"")</f>
        <v/>
      </c>
      <c r="L3338" s="47" t="str">
        <f>IFERROR(VLOOKUP(G3338,WholesaleExtract!B:L,11,FALSE),"")</f>
        <v/>
      </c>
      <c r="M3338" s="47" t="str">
        <f>IFERROR(VLOOKUP(G3338,WholesaleExtract!B:M,12,FALSE),"")</f>
        <v/>
      </c>
      <c r="R3338" s="19"/>
      <c r="S3338" s="19"/>
    </row>
    <row r="3339" spans="1:19" x14ac:dyDescent="0.35">
      <c r="A3339" s="26" t="s">
        <v>543</v>
      </c>
      <c r="B3339" s="26" t="s">
        <v>543</v>
      </c>
      <c r="C3339" s="26"/>
      <c r="D3339" s="26" t="s">
        <v>543</v>
      </c>
      <c r="E3339" s="26" t="str">
        <f>IFERROR(VLOOKUP(G3339,WholesaleExtract!B:J,9,FALSE),"")</f>
        <v/>
      </c>
      <c r="F3339" s="26" t="str">
        <f>IFERROR(VLOOKUP(G3339,WholesaleExtract!B:J,6,FALSE),"")</f>
        <v/>
      </c>
      <c r="H3339" s="47" t="str">
        <f>IFERROR(VLOOKUP(G3339,WholesaleExtract!B:L,11,FALSE),"")</f>
        <v/>
      </c>
      <c r="I3339" s="26" t="str">
        <f>IFERROR(VLOOKUP(G3339,WholesaleExtract!B:O,8,FALSE),"")</f>
        <v/>
      </c>
      <c r="J3339" s="26" t="str">
        <f>IFERROR(VLOOKUP(G3339,WholesaleExtract!B:O,14,FALSE),"")</f>
        <v/>
      </c>
      <c r="K3339" s="26" t="str">
        <f>IFERROR(VLOOKUP(G3339,WholesaleExtract!B:K,10,FALSE),"")</f>
        <v/>
      </c>
      <c r="L3339" s="47" t="str">
        <f>IFERROR(VLOOKUP(G3339,WholesaleExtract!B:L,11,FALSE),"")</f>
        <v/>
      </c>
      <c r="M3339" s="47" t="str">
        <f>IFERROR(VLOOKUP(G3339,WholesaleExtract!B:M,12,FALSE),"")</f>
        <v/>
      </c>
      <c r="R3339" s="19"/>
      <c r="S3339" s="19"/>
    </row>
    <row r="3340" spans="1:19" x14ac:dyDescent="0.35">
      <c r="A3340" s="26" t="s">
        <v>543</v>
      </c>
      <c r="B3340" s="26" t="s">
        <v>543</v>
      </c>
      <c r="C3340" s="26"/>
      <c r="D3340" s="26" t="s">
        <v>543</v>
      </c>
      <c r="E3340" s="26" t="str">
        <f>IFERROR(VLOOKUP(G3340,WholesaleExtract!B:J,9,FALSE),"")</f>
        <v/>
      </c>
      <c r="F3340" s="26" t="str">
        <f>IFERROR(VLOOKUP(G3340,WholesaleExtract!B:J,6,FALSE),"")</f>
        <v/>
      </c>
      <c r="H3340" s="47" t="str">
        <f>IFERROR(VLOOKUP(G3340,WholesaleExtract!B:L,11,FALSE),"")</f>
        <v/>
      </c>
      <c r="I3340" s="26" t="str">
        <f>IFERROR(VLOOKUP(G3340,WholesaleExtract!B:O,8,FALSE),"")</f>
        <v/>
      </c>
      <c r="J3340" s="26" t="str">
        <f>IFERROR(VLOOKUP(G3340,WholesaleExtract!B:O,14,FALSE),"")</f>
        <v/>
      </c>
      <c r="K3340" s="26" t="str">
        <f>IFERROR(VLOOKUP(G3340,WholesaleExtract!B:K,10,FALSE),"")</f>
        <v/>
      </c>
      <c r="L3340" s="47" t="str">
        <f>IFERROR(VLOOKUP(G3340,WholesaleExtract!B:L,11,FALSE),"")</f>
        <v/>
      </c>
      <c r="M3340" s="47" t="str">
        <f>IFERROR(VLOOKUP(G3340,WholesaleExtract!B:M,12,FALSE),"")</f>
        <v/>
      </c>
      <c r="R3340" s="19"/>
      <c r="S3340" s="19"/>
    </row>
    <row r="3341" spans="1:19" x14ac:dyDescent="0.35">
      <c r="A3341" s="26" t="s">
        <v>543</v>
      </c>
      <c r="B3341" s="26" t="s">
        <v>543</v>
      </c>
      <c r="C3341" s="26"/>
      <c r="D3341" s="26" t="s">
        <v>543</v>
      </c>
      <c r="E3341" s="26" t="str">
        <f>IFERROR(VLOOKUP(G3341,WholesaleExtract!B:J,9,FALSE),"")</f>
        <v/>
      </c>
      <c r="F3341" s="26" t="str">
        <f>IFERROR(VLOOKUP(G3341,WholesaleExtract!B:J,6,FALSE),"")</f>
        <v/>
      </c>
      <c r="H3341" s="47" t="str">
        <f>IFERROR(VLOOKUP(G3341,WholesaleExtract!B:L,11,FALSE),"")</f>
        <v/>
      </c>
      <c r="I3341" s="26" t="str">
        <f>IFERROR(VLOOKUP(G3341,WholesaleExtract!B:O,8,FALSE),"")</f>
        <v/>
      </c>
      <c r="J3341" s="26" t="str">
        <f>IFERROR(VLOOKUP(G3341,WholesaleExtract!B:O,14,FALSE),"")</f>
        <v/>
      </c>
      <c r="K3341" s="26" t="str">
        <f>IFERROR(VLOOKUP(G3341,WholesaleExtract!B:K,10,FALSE),"")</f>
        <v/>
      </c>
      <c r="L3341" s="47" t="str">
        <f>IFERROR(VLOOKUP(G3341,WholesaleExtract!B:L,11,FALSE),"")</f>
        <v/>
      </c>
      <c r="M3341" s="47" t="str">
        <f>IFERROR(VLOOKUP(G3341,WholesaleExtract!B:M,12,FALSE),"")</f>
        <v/>
      </c>
      <c r="R3341" s="19"/>
      <c r="S3341" s="19"/>
    </row>
    <row r="3342" spans="1:19" x14ac:dyDescent="0.35">
      <c r="A3342" s="26" t="s">
        <v>543</v>
      </c>
      <c r="B3342" s="26" t="s">
        <v>543</v>
      </c>
      <c r="C3342" s="26"/>
      <c r="D3342" s="26" t="s">
        <v>543</v>
      </c>
      <c r="E3342" s="26" t="str">
        <f>IFERROR(VLOOKUP(G3342,WholesaleExtract!B:J,9,FALSE),"")</f>
        <v/>
      </c>
      <c r="F3342" s="26" t="str">
        <f>IFERROR(VLOOKUP(G3342,WholesaleExtract!B:J,6,FALSE),"")</f>
        <v/>
      </c>
      <c r="H3342" s="47" t="str">
        <f>IFERROR(VLOOKUP(G3342,WholesaleExtract!B:L,11,FALSE),"")</f>
        <v/>
      </c>
      <c r="I3342" s="26" t="str">
        <f>IFERROR(VLOOKUP(G3342,WholesaleExtract!B:O,8,FALSE),"")</f>
        <v/>
      </c>
      <c r="J3342" s="26" t="str">
        <f>IFERROR(VLOOKUP(G3342,WholesaleExtract!B:O,14,FALSE),"")</f>
        <v/>
      </c>
      <c r="K3342" s="26" t="str">
        <f>IFERROR(VLOOKUP(G3342,WholesaleExtract!B:K,10,FALSE),"")</f>
        <v/>
      </c>
      <c r="L3342" s="47" t="str">
        <f>IFERROR(VLOOKUP(G3342,WholesaleExtract!B:L,11,FALSE),"")</f>
        <v/>
      </c>
      <c r="M3342" s="47" t="str">
        <f>IFERROR(VLOOKUP(G3342,WholesaleExtract!B:M,12,FALSE),"")</f>
        <v/>
      </c>
      <c r="R3342" s="19"/>
      <c r="S3342" s="19"/>
    </row>
    <row r="3343" spans="1:19" x14ac:dyDescent="0.35">
      <c r="A3343" s="26" t="s">
        <v>543</v>
      </c>
      <c r="B3343" s="26" t="s">
        <v>543</v>
      </c>
      <c r="C3343" s="26"/>
      <c r="D3343" s="26" t="s">
        <v>543</v>
      </c>
      <c r="E3343" s="26" t="str">
        <f>IFERROR(VLOOKUP(G3343,WholesaleExtract!B:J,9,FALSE),"")</f>
        <v/>
      </c>
      <c r="F3343" s="26" t="str">
        <f>IFERROR(VLOOKUP(G3343,WholesaleExtract!B:J,6,FALSE),"")</f>
        <v/>
      </c>
      <c r="H3343" s="47" t="str">
        <f>IFERROR(VLOOKUP(G3343,WholesaleExtract!B:L,11,FALSE),"")</f>
        <v/>
      </c>
      <c r="I3343" s="26" t="str">
        <f>IFERROR(VLOOKUP(G3343,WholesaleExtract!B:O,8,FALSE),"")</f>
        <v/>
      </c>
      <c r="J3343" s="26" t="str">
        <f>IFERROR(VLOOKUP(G3343,WholesaleExtract!B:O,14,FALSE),"")</f>
        <v/>
      </c>
      <c r="K3343" s="26" t="str">
        <f>IFERROR(VLOOKUP(G3343,WholesaleExtract!B:K,10,FALSE),"")</f>
        <v/>
      </c>
      <c r="L3343" s="47" t="str">
        <f>IFERROR(VLOOKUP(G3343,WholesaleExtract!B:L,11,FALSE),"")</f>
        <v/>
      </c>
      <c r="M3343" s="47" t="str">
        <f>IFERROR(VLOOKUP(G3343,WholesaleExtract!B:M,12,FALSE),"")</f>
        <v/>
      </c>
      <c r="R3343" s="19"/>
      <c r="S3343" s="19"/>
    </row>
    <row r="3344" spans="1:19" x14ac:dyDescent="0.35">
      <c r="A3344" s="26" t="s">
        <v>543</v>
      </c>
      <c r="B3344" s="26" t="s">
        <v>543</v>
      </c>
      <c r="C3344" s="26"/>
      <c r="D3344" s="26" t="s">
        <v>543</v>
      </c>
      <c r="E3344" s="26" t="str">
        <f>IFERROR(VLOOKUP(G3344,WholesaleExtract!B:J,9,FALSE),"")</f>
        <v/>
      </c>
      <c r="F3344" s="26" t="str">
        <f>IFERROR(VLOOKUP(G3344,WholesaleExtract!B:J,6,FALSE),"")</f>
        <v/>
      </c>
      <c r="H3344" s="47" t="str">
        <f>IFERROR(VLOOKUP(G3344,WholesaleExtract!B:L,11,FALSE),"")</f>
        <v/>
      </c>
      <c r="I3344" s="26" t="str">
        <f>IFERROR(VLOOKUP(G3344,WholesaleExtract!B:O,8,FALSE),"")</f>
        <v/>
      </c>
      <c r="J3344" s="26" t="str">
        <f>IFERROR(VLOOKUP(G3344,WholesaleExtract!B:O,14,FALSE),"")</f>
        <v/>
      </c>
      <c r="K3344" s="26" t="str">
        <f>IFERROR(VLOOKUP(G3344,WholesaleExtract!B:K,10,FALSE),"")</f>
        <v/>
      </c>
      <c r="L3344" s="47" t="str">
        <f>IFERROR(VLOOKUP(G3344,WholesaleExtract!B:L,11,FALSE),"")</f>
        <v/>
      </c>
      <c r="M3344" s="47" t="str">
        <f>IFERROR(VLOOKUP(G3344,WholesaleExtract!B:M,12,FALSE),"")</f>
        <v/>
      </c>
      <c r="R3344" s="19"/>
      <c r="S3344" s="19"/>
    </row>
    <row r="3345" spans="1:19" x14ac:dyDescent="0.35">
      <c r="A3345" s="26" t="s">
        <v>543</v>
      </c>
      <c r="B3345" s="26" t="s">
        <v>543</v>
      </c>
      <c r="C3345" s="26"/>
      <c r="D3345" s="26" t="s">
        <v>543</v>
      </c>
      <c r="E3345" s="26" t="str">
        <f>IFERROR(VLOOKUP(G3345,WholesaleExtract!B:J,9,FALSE),"")</f>
        <v/>
      </c>
      <c r="F3345" s="26" t="str">
        <f>IFERROR(VLOOKUP(G3345,WholesaleExtract!B:J,6,FALSE),"")</f>
        <v/>
      </c>
      <c r="H3345" s="47" t="str">
        <f>IFERROR(VLOOKUP(G3345,WholesaleExtract!B:L,11,FALSE),"")</f>
        <v/>
      </c>
      <c r="I3345" s="26" t="str">
        <f>IFERROR(VLOOKUP(G3345,WholesaleExtract!B:O,8,FALSE),"")</f>
        <v/>
      </c>
      <c r="J3345" s="26" t="str">
        <f>IFERROR(VLOOKUP(G3345,WholesaleExtract!B:O,14,FALSE),"")</f>
        <v/>
      </c>
      <c r="K3345" s="26" t="str">
        <f>IFERROR(VLOOKUP(G3345,WholesaleExtract!B:K,10,FALSE),"")</f>
        <v/>
      </c>
      <c r="L3345" s="47" t="str">
        <f>IFERROR(VLOOKUP(G3345,WholesaleExtract!B:L,11,FALSE),"")</f>
        <v/>
      </c>
      <c r="M3345" s="47" t="str">
        <f>IFERROR(VLOOKUP(G3345,WholesaleExtract!B:M,12,FALSE),"")</f>
        <v/>
      </c>
      <c r="R3345" s="19"/>
      <c r="S3345" s="19"/>
    </row>
    <row r="3346" spans="1:19" x14ac:dyDescent="0.35">
      <c r="A3346" s="26" t="s">
        <v>543</v>
      </c>
      <c r="B3346" s="26" t="s">
        <v>543</v>
      </c>
      <c r="C3346" s="26"/>
      <c r="D3346" s="26" t="s">
        <v>543</v>
      </c>
      <c r="E3346" s="26" t="str">
        <f>IFERROR(VLOOKUP(G3346,WholesaleExtract!B:J,9,FALSE),"")</f>
        <v/>
      </c>
      <c r="F3346" s="26" t="str">
        <f>IFERROR(VLOOKUP(G3346,WholesaleExtract!B:J,6,FALSE),"")</f>
        <v/>
      </c>
      <c r="H3346" s="47" t="str">
        <f>IFERROR(VLOOKUP(G3346,WholesaleExtract!B:L,11,FALSE),"")</f>
        <v/>
      </c>
      <c r="I3346" s="26" t="str">
        <f>IFERROR(VLOOKUP(G3346,WholesaleExtract!B:O,8,FALSE),"")</f>
        <v/>
      </c>
      <c r="J3346" s="26" t="str">
        <f>IFERROR(VLOOKUP(G3346,WholesaleExtract!B:O,14,FALSE),"")</f>
        <v/>
      </c>
      <c r="K3346" s="26" t="str">
        <f>IFERROR(VLOOKUP(G3346,WholesaleExtract!B:K,10,FALSE),"")</f>
        <v/>
      </c>
      <c r="L3346" s="47" t="str">
        <f>IFERROR(VLOOKUP(G3346,WholesaleExtract!B:L,11,FALSE),"")</f>
        <v/>
      </c>
      <c r="M3346" s="47" t="str">
        <f>IFERROR(VLOOKUP(G3346,WholesaleExtract!B:M,12,FALSE),"")</f>
        <v/>
      </c>
      <c r="R3346" s="19"/>
      <c r="S3346" s="19"/>
    </row>
    <row r="3347" spans="1:19" x14ac:dyDescent="0.35">
      <c r="A3347" s="26" t="s">
        <v>543</v>
      </c>
      <c r="B3347" s="26" t="s">
        <v>543</v>
      </c>
      <c r="C3347" s="26"/>
      <c r="D3347" s="26" t="s">
        <v>543</v>
      </c>
      <c r="E3347" s="26" t="str">
        <f>IFERROR(VLOOKUP(G3347,WholesaleExtract!B:J,9,FALSE),"")</f>
        <v/>
      </c>
      <c r="F3347" s="26" t="str">
        <f>IFERROR(VLOOKUP(G3347,WholesaleExtract!B:J,6,FALSE),"")</f>
        <v/>
      </c>
      <c r="H3347" s="47" t="str">
        <f>IFERROR(VLOOKUP(G3347,WholesaleExtract!B:L,11,FALSE),"")</f>
        <v/>
      </c>
      <c r="I3347" s="26" t="str">
        <f>IFERROR(VLOOKUP(G3347,WholesaleExtract!B:O,8,FALSE),"")</f>
        <v/>
      </c>
      <c r="J3347" s="26" t="str">
        <f>IFERROR(VLOOKUP(G3347,WholesaleExtract!B:O,14,FALSE),"")</f>
        <v/>
      </c>
      <c r="K3347" s="26" t="str">
        <f>IFERROR(VLOOKUP(G3347,WholesaleExtract!B:K,10,FALSE),"")</f>
        <v/>
      </c>
      <c r="L3347" s="47" t="str">
        <f>IFERROR(VLOOKUP(G3347,WholesaleExtract!B:L,11,FALSE),"")</f>
        <v/>
      </c>
      <c r="M3347" s="47" t="str">
        <f>IFERROR(VLOOKUP(G3347,WholesaleExtract!B:M,12,FALSE),"")</f>
        <v/>
      </c>
      <c r="R3347" s="19"/>
      <c r="S3347" s="19"/>
    </row>
    <row r="3348" spans="1:19" x14ac:dyDescent="0.35">
      <c r="A3348" s="26" t="s">
        <v>543</v>
      </c>
      <c r="B3348" s="26" t="s">
        <v>543</v>
      </c>
      <c r="C3348" s="26"/>
      <c r="D3348" s="26" t="s">
        <v>543</v>
      </c>
      <c r="E3348" s="26" t="str">
        <f>IFERROR(VLOOKUP(G3348,WholesaleExtract!B:J,9,FALSE),"")</f>
        <v/>
      </c>
      <c r="F3348" s="26" t="str">
        <f>IFERROR(VLOOKUP(G3348,WholesaleExtract!B:J,6,FALSE),"")</f>
        <v/>
      </c>
      <c r="H3348" s="47" t="str">
        <f>IFERROR(VLOOKUP(G3348,WholesaleExtract!B:L,11,FALSE),"")</f>
        <v/>
      </c>
      <c r="I3348" s="26" t="str">
        <f>IFERROR(VLOOKUP(G3348,WholesaleExtract!B:O,8,FALSE),"")</f>
        <v/>
      </c>
      <c r="J3348" s="26" t="str">
        <f>IFERROR(VLOOKUP(G3348,WholesaleExtract!B:O,14,FALSE),"")</f>
        <v/>
      </c>
      <c r="K3348" s="26" t="str">
        <f>IFERROR(VLOOKUP(G3348,WholesaleExtract!B:K,10,FALSE),"")</f>
        <v/>
      </c>
      <c r="L3348" s="47" t="str">
        <f>IFERROR(VLOOKUP(G3348,WholesaleExtract!B:L,11,FALSE),"")</f>
        <v/>
      </c>
      <c r="M3348" s="47" t="str">
        <f>IFERROR(VLOOKUP(G3348,WholesaleExtract!B:M,12,FALSE),"")</f>
        <v/>
      </c>
      <c r="R3348" s="19"/>
      <c r="S3348" s="19"/>
    </row>
    <row r="3349" spans="1:19" x14ac:dyDescent="0.35">
      <c r="A3349" s="26" t="s">
        <v>543</v>
      </c>
      <c r="B3349" s="26" t="s">
        <v>543</v>
      </c>
      <c r="C3349" s="26"/>
      <c r="D3349" s="26" t="s">
        <v>543</v>
      </c>
      <c r="E3349" s="26" t="str">
        <f>IFERROR(VLOOKUP(G3349,WholesaleExtract!B:J,9,FALSE),"")</f>
        <v/>
      </c>
      <c r="F3349" s="26" t="str">
        <f>IFERROR(VLOOKUP(G3349,WholesaleExtract!B:J,6,FALSE),"")</f>
        <v/>
      </c>
      <c r="H3349" s="47" t="str">
        <f>IFERROR(VLOOKUP(G3349,WholesaleExtract!B:L,11,FALSE),"")</f>
        <v/>
      </c>
      <c r="I3349" s="26" t="str">
        <f>IFERROR(VLOOKUP(G3349,WholesaleExtract!B:O,8,FALSE),"")</f>
        <v/>
      </c>
      <c r="J3349" s="26" t="str">
        <f>IFERROR(VLOOKUP(G3349,WholesaleExtract!B:O,14,FALSE),"")</f>
        <v/>
      </c>
      <c r="K3349" s="26" t="str">
        <f>IFERROR(VLOOKUP(G3349,WholesaleExtract!B:K,10,FALSE),"")</f>
        <v/>
      </c>
      <c r="L3349" s="47" t="str">
        <f>IFERROR(VLOOKUP(G3349,WholesaleExtract!B:L,11,FALSE),"")</f>
        <v/>
      </c>
      <c r="M3349" s="47" t="str">
        <f>IFERROR(VLOOKUP(G3349,WholesaleExtract!B:M,12,FALSE),"")</f>
        <v/>
      </c>
      <c r="R3349" s="19"/>
      <c r="S3349" s="19"/>
    </row>
    <row r="3350" spans="1:19" x14ac:dyDescent="0.35">
      <c r="A3350" s="26" t="s">
        <v>543</v>
      </c>
      <c r="B3350" s="26" t="s">
        <v>543</v>
      </c>
      <c r="C3350" s="26"/>
      <c r="D3350" s="26" t="s">
        <v>543</v>
      </c>
      <c r="E3350" s="26" t="str">
        <f>IFERROR(VLOOKUP(G3350,WholesaleExtract!B:J,9,FALSE),"")</f>
        <v/>
      </c>
      <c r="F3350" s="26" t="str">
        <f>IFERROR(VLOOKUP(G3350,WholesaleExtract!B:J,6,FALSE),"")</f>
        <v/>
      </c>
      <c r="H3350" s="47" t="str">
        <f>IFERROR(VLOOKUP(G3350,WholesaleExtract!B:L,11,FALSE),"")</f>
        <v/>
      </c>
      <c r="I3350" s="26" t="str">
        <f>IFERROR(VLOOKUP(G3350,WholesaleExtract!B:O,8,FALSE),"")</f>
        <v/>
      </c>
      <c r="J3350" s="26" t="str">
        <f>IFERROR(VLOOKUP(G3350,WholesaleExtract!B:O,14,FALSE),"")</f>
        <v/>
      </c>
      <c r="K3350" s="26" t="str">
        <f>IFERROR(VLOOKUP(G3350,WholesaleExtract!B:K,10,FALSE),"")</f>
        <v/>
      </c>
      <c r="L3350" s="47" t="str">
        <f>IFERROR(VLOOKUP(G3350,WholesaleExtract!B:L,11,FALSE),"")</f>
        <v/>
      </c>
      <c r="M3350" s="47" t="str">
        <f>IFERROR(VLOOKUP(G3350,WholesaleExtract!B:M,12,FALSE),"")</f>
        <v/>
      </c>
      <c r="R3350" s="19"/>
      <c r="S3350" s="19"/>
    </row>
    <row r="3351" spans="1:19" x14ac:dyDescent="0.35">
      <c r="A3351" s="26" t="s">
        <v>543</v>
      </c>
      <c r="B3351" s="26" t="s">
        <v>543</v>
      </c>
      <c r="C3351" s="26"/>
      <c r="D3351" s="26" t="s">
        <v>543</v>
      </c>
      <c r="E3351" s="26" t="str">
        <f>IFERROR(VLOOKUP(G3351,WholesaleExtract!B:J,9,FALSE),"")</f>
        <v/>
      </c>
      <c r="F3351" s="26" t="str">
        <f>IFERROR(VLOOKUP(G3351,WholesaleExtract!B:J,6,FALSE),"")</f>
        <v/>
      </c>
      <c r="H3351" s="47" t="str">
        <f>IFERROR(VLOOKUP(G3351,WholesaleExtract!B:L,11,FALSE),"")</f>
        <v/>
      </c>
      <c r="I3351" s="26" t="str">
        <f>IFERROR(VLOOKUP(G3351,WholesaleExtract!B:O,8,FALSE),"")</f>
        <v/>
      </c>
      <c r="J3351" s="26" t="str">
        <f>IFERROR(VLOOKUP(G3351,WholesaleExtract!B:O,14,FALSE),"")</f>
        <v/>
      </c>
      <c r="K3351" s="26" t="str">
        <f>IFERROR(VLOOKUP(G3351,WholesaleExtract!B:K,10,FALSE),"")</f>
        <v/>
      </c>
      <c r="L3351" s="47" t="str">
        <f>IFERROR(VLOOKUP(G3351,WholesaleExtract!B:L,11,FALSE),"")</f>
        <v/>
      </c>
      <c r="M3351" s="47" t="str">
        <f>IFERROR(VLOOKUP(G3351,WholesaleExtract!B:M,12,FALSE),"")</f>
        <v/>
      </c>
      <c r="R3351" s="19"/>
      <c r="S3351" s="19"/>
    </row>
    <row r="3352" spans="1:19" x14ac:dyDescent="0.35">
      <c r="A3352" s="26" t="s">
        <v>543</v>
      </c>
      <c r="B3352" s="26" t="s">
        <v>543</v>
      </c>
      <c r="C3352" s="26"/>
      <c r="D3352" s="26" t="s">
        <v>543</v>
      </c>
      <c r="E3352" s="26" t="str">
        <f>IFERROR(VLOOKUP(G3352,WholesaleExtract!B:J,9,FALSE),"")</f>
        <v/>
      </c>
      <c r="F3352" s="26" t="str">
        <f>IFERROR(VLOOKUP(G3352,WholesaleExtract!B:J,6,FALSE),"")</f>
        <v/>
      </c>
      <c r="H3352" s="47" t="str">
        <f>IFERROR(VLOOKUP(G3352,WholesaleExtract!B:L,11,FALSE),"")</f>
        <v/>
      </c>
      <c r="I3352" s="26" t="str">
        <f>IFERROR(VLOOKUP(G3352,WholesaleExtract!B:O,8,FALSE),"")</f>
        <v/>
      </c>
      <c r="J3352" s="26" t="str">
        <f>IFERROR(VLOOKUP(G3352,WholesaleExtract!B:O,14,FALSE),"")</f>
        <v/>
      </c>
      <c r="K3352" s="26" t="str">
        <f>IFERROR(VLOOKUP(G3352,WholesaleExtract!B:K,10,FALSE),"")</f>
        <v/>
      </c>
      <c r="L3352" s="47" t="str">
        <f>IFERROR(VLOOKUP(G3352,WholesaleExtract!B:L,11,FALSE),"")</f>
        <v/>
      </c>
      <c r="M3352" s="47" t="str">
        <f>IFERROR(VLOOKUP(G3352,WholesaleExtract!B:M,12,FALSE),"")</f>
        <v/>
      </c>
      <c r="R3352" s="19"/>
      <c r="S3352" s="19"/>
    </row>
    <row r="3353" spans="1:19" x14ac:dyDescent="0.35">
      <c r="A3353" s="26" t="s">
        <v>543</v>
      </c>
      <c r="B3353" s="26" t="s">
        <v>543</v>
      </c>
      <c r="C3353" s="26"/>
      <c r="D3353" s="26" t="s">
        <v>543</v>
      </c>
      <c r="E3353" s="26" t="str">
        <f>IFERROR(VLOOKUP(G3353,WholesaleExtract!B:J,9,FALSE),"")</f>
        <v/>
      </c>
      <c r="F3353" s="26" t="str">
        <f>IFERROR(VLOOKUP(G3353,WholesaleExtract!B:J,6,FALSE),"")</f>
        <v/>
      </c>
      <c r="H3353" s="47" t="str">
        <f>IFERROR(VLOOKUP(G3353,WholesaleExtract!B:L,11,FALSE),"")</f>
        <v/>
      </c>
      <c r="I3353" s="26" t="str">
        <f>IFERROR(VLOOKUP(G3353,WholesaleExtract!B:O,8,FALSE),"")</f>
        <v/>
      </c>
      <c r="J3353" s="26" t="str">
        <f>IFERROR(VLOOKUP(G3353,WholesaleExtract!B:O,14,FALSE),"")</f>
        <v/>
      </c>
      <c r="K3353" s="26" t="str">
        <f>IFERROR(VLOOKUP(G3353,WholesaleExtract!B:K,10,FALSE),"")</f>
        <v/>
      </c>
      <c r="L3353" s="47" t="str">
        <f>IFERROR(VLOOKUP(G3353,WholesaleExtract!B:L,11,FALSE),"")</f>
        <v/>
      </c>
      <c r="M3353" s="47" t="str">
        <f>IFERROR(VLOOKUP(G3353,WholesaleExtract!B:M,12,FALSE),"")</f>
        <v/>
      </c>
      <c r="R3353" s="19"/>
      <c r="S3353" s="19"/>
    </row>
    <row r="3354" spans="1:19" x14ac:dyDescent="0.35">
      <c r="A3354" s="26" t="s">
        <v>543</v>
      </c>
      <c r="B3354" s="26" t="s">
        <v>543</v>
      </c>
      <c r="C3354" s="26"/>
      <c r="D3354" s="26" t="s">
        <v>543</v>
      </c>
      <c r="E3354" s="26" t="str">
        <f>IFERROR(VLOOKUP(G3354,WholesaleExtract!B:J,9,FALSE),"")</f>
        <v/>
      </c>
      <c r="F3354" s="26" t="str">
        <f>IFERROR(VLOOKUP(G3354,WholesaleExtract!B:J,6,FALSE),"")</f>
        <v/>
      </c>
      <c r="H3354" s="47" t="str">
        <f>IFERROR(VLOOKUP(G3354,WholesaleExtract!B:L,11,FALSE),"")</f>
        <v/>
      </c>
      <c r="I3354" s="26" t="str">
        <f>IFERROR(VLOOKUP(G3354,WholesaleExtract!B:O,8,FALSE),"")</f>
        <v/>
      </c>
      <c r="J3354" s="26" t="str">
        <f>IFERROR(VLOOKUP(G3354,WholesaleExtract!B:O,14,FALSE),"")</f>
        <v/>
      </c>
      <c r="K3354" s="26" t="str">
        <f>IFERROR(VLOOKUP(G3354,WholesaleExtract!B:K,10,FALSE),"")</f>
        <v/>
      </c>
      <c r="L3354" s="47" t="str">
        <f>IFERROR(VLOOKUP(G3354,WholesaleExtract!B:L,11,FALSE),"")</f>
        <v/>
      </c>
      <c r="M3354" s="47" t="str">
        <f>IFERROR(VLOOKUP(G3354,WholesaleExtract!B:M,12,FALSE),"")</f>
        <v/>
      </c>
      <c r="R3354" s="19"/>
      <c r="S3354" s="19"/>
    </row>
    <row r="3355" spans="1:19" x14ac:dyDescent="0.35">
      <c r="A3355" s="26" t="s">
        <v>543</v>
      </c>
      <c r="B3355" s="26" t="s">
        <v>543</v>
      </c>
      <c r="C3355" s="26"/>
      <c r="D3355" s="26" t="s">
        <v>543</v>
      </c>
      <c r="E3355" s="26" t="str">
        <f>IFERROR(VLOOKUP(G3355,WholesaleExtract!B:J,9,FALSE),"")</f>
        <v/>
      </c>
      <c r="F3355" s="26" t="str">
        <f>IFERROR(VLOOKUP(G3355,WholesaleExtract!B:J,6,FALSE),"")</f>
        <v/>
      </c>
      <c r="H3355" s="47" t="str">
        <f>IFERROR(VLOOKUP(G3355,WholesaleExtract!B:L,11,FALSE),"")</f>
        <v/>
      </c>
      <c r="I3355" s="26" t="str">
        <f>IFERROR(VLOOKUP(G3355,WholesaleExtract!B:O,8,FALSE),"")</f>
        <v/>
      </c>
      <c r="J3355" s="26" t="str">
        <f>IFERROR(VLOOKUP(G3355,WholesaleExtract!B:O,14,FALSE),"")</f>
        <v/>
      </c>
      <c r="K3355" s="26" t="str">
        <f>IFERROR(VLOOKUP(G3355,WholesaleExtract!B:K,10,FALSE),"")</f>
        <v/>
      </c>
      <c r="L3355" s="47" t="str">
        <f>IFERROR(VLOOKUP(G3355,WholesaleExtract!B:L,11,FALSE),"")</f>
        <v/>
      </c>
      <c r="M3355" s="47" t="str">
        <f>IFERROR(VLOOKUP(G3355,WholesaleExtract!B:M,12,FALSE),"")</f>
        <v/>
      </c>
      <c r="R3355" s="19"/>
      <c r="S3355" s="19"/>
    </row>
    <row r="3356" spans="1:19" x14ac:dyDescent="0.35">
      <c r="A3356" s="26" t="s">
        <v>543</v>
      </c>
      <c r="B3356" s="26" t="s">
        <v>543</v>
      </c>
      <c r="C3356" s="26"/>
      <c r="D3356" s="26" t="s">
        <v>543</v>
      </c>
      <c r="E3356" s="26" t="str">
        <f>IFERROR(VLOOKUP(G3356,WholesaleExtract!B:J,9,FALSE),"")</f>
        <v/>
      </c>
      <c r="F3356" s="26" t="str">
        <f>IFERROR(VLOOKUP(G3356,WholesaleExtract!B:J,6,FALSE),"")</f>
        <v/>
      </c>
      <c r="H3356" s="47" t="str">
        <f>IFERROR(VLOOKUP(G3356,WholesaleExtract!B:L,11,FALSE),"")</f>
        <v/>
      </c>
      <c r="I3356" s="26" t="str">
        <f>IFERROR(VLOOKUP(G3356,WholesaleExtract!B:O,8,FALSE),"")</f>
        <v/>
      </c>
      <c r="J3356" s="26" t="str">
        <f>IFERROR(VLOOKUP(G3356,WholesaleExtract!B:O,14,FALSE),"")</f>
        <v/>
      </c>
      <c r="K3356" s="26" t="str">
        <f>IFERROR(VLOOKUP(G3356,WholesaleExtract!B:K,10,FALSE),"")</f>
        <v/>
      </c>
      <c r="L3356" s="47" t="str">
        <f>IFERROR(VLOOKUP(G3356,WholesaleExtract!B:L,11,FALSE),"")</f>
        <v/>
      </c>
      <c r="M3356" s="47" t="str">
        <f>IFERROR(VLOOKUP(G3356,WholesaleExtract!B:M,12,FALSE),"")</f>
        <v/>
      </c>
      <c r="R3356" s="19"/>
      <c r="S3356" s="19"/>
    </row>
    <row r="3357" spans="1:19" x14ac:dyDescent="0.35">
      <c r="A3357" s="26" t="s">
        <v>543</v>
      </c>
      <c r="B3357" s="26" t="s">
        <v>543</v>
      </c>
      <c r="C3357" s="26"/>
      <c r="D3357" s="26" t="s">
        <v>543</v>
      </c>
      <c r="E3357" s="26" t="str">
        <f>IFERROR(VLOOKUP(G3357,WholesaleExtract!B:J,9,FALSE),"")</f>
        <v/>
      </c>
      <c r="F3357" s="26" t="str">
        <f>IFERROR(VLOOKUP(G3357,WholesaleExtract!B:J,6,FALSE),"")</f>
        <v/>
      </c>
      <c r="H3357" s="47" t="str">
        <f>IFERROR(VLOOKUP(G3357,WholesaleExtract!B:L,11,FALSE),"")</f>
        <v/>
      </c>
      <c r="I3357" s="26" t="str">
        <f>IFERROR(VLOOKUP(G3357,WholesaleExtract!B:O,8,FALSE),"")</f>
        <v/>
      </c>
      <c r="J3357" s="26" t="str">
        <f>IFERROR(VLOOKUP(G3357,WholesaleExtract!B:O,14,FALSE),"")</f>
        <v/>
      </c>
      <c r="K3357" s="26" t="str">
        <f>IFERROR(VLOOKUP(G3357,WholesaleExtract!B:K,10,FALSE),"")</f>
        <v/>
      </c>
      <c r="L3357" s="47" t="str">
        <f>IFERROR(VLOOKUP(G3357,WholesaleExtract!B:L,11,FALSE),"")</f>
        <v/>
      </c>
      <c r="M3357" s="47" t="str">
        <f>IFERROR(VLOOKUP(G3357,WholesaleExtract!B:M,12,FALSE),"")</f>
        <v/>
      </c>
      <c r="R3357" s="19"/>
      <c r="S3357" s="19"/>
    </row>
    <row r="3358" spans="1:19" x14ac:dyDescent="0.35">
      <c r="A3358" s="26" t="s">
        <v>543</v>
      </c>
      <c r="B3358" s="26" t="s">
        <v>543</v>
      </c>
      <c r="C3358" s="26"/>
      <c r="D3358" s="26" t="s">
        <v>543</v>
      </c>
      <c r="E3358" s="26" t="str">
        <f>IFERROR(VLOOKUP(G3358,WholesaleExtract!B:J,9,FALSE),"")</f>
        <v/>
      </c>
      <c r="F3358" s="26" t="str">
        <f>IFERROR(VLOOKUP(G3358,WholesaleExtract!B:J,6,FALSE),"")</f>
        <v/>
      </c>
      <c r="H3358" s="47" t="str">
        <f>IFERROR(VLOOKUP(G3358,WholesaleExtract!B:L,11,FALSE),"")</f>
        <v/>
      </c>
      <c r="I3358" s="26" t="str">
        <f>IFERROR(VLOOKUP(G3358,WholesaleExtract!B:O,8,FALSE),"")</f>
        <v/>
      </c>
      <c r="J3358" s="26" t="str">
        <f>IFERROR(VLOOKUP(G3358,WholesaleExtract!B:O,14,FALSE),"")</f>
        <v/>
      </c>
      <c r="K3358" s="26" t="str">
        <f>IFERROR(VLOOKUP(G3358,WholesaleExtract!B:K,10,FALSE),"")</f>
        <v/>
      </c>
      <c r="L3358" s="47" t="str">
        <f>IFERROR(VLOOKUP(G3358,WholesaleExtract!B:L,11,FALSE),"")</f>
        <v/>
      </c>
      <c r="M3358" s="47" t="str">
        <f>IFERROR(VLOOKUP(G3358,WholesaleExtract!B:M,12,FALSE),"")</f>
        <v/>
      </c>
      <c r="R3358" s="19"/>
      <c r="S3358" s="19"/>
    </row>
    <row r="3359" spans="1:19" x14ac:dyDescent="0.35">
      <c r="A3359" s="26" t="s">
        <v>543</v>
      </c>
      <c r="B3359" s="26" t="s">
        <v>543</v>
      </c>
      <c r="C3359" s="26"/>
      <c r="D3359" s="26" t="s">
        <v>543</v>
      </c>
      <c r="E3359" s="26" t="str">
        <f>IFERROR(VLOOKUP(G3359,WholesaleExtract!B:J,9,FALSE),"")</f>
        <v/>
      </c>
      <c r="F3359" s="26" t="str">
        <f>IFERROR(VLOOKUP(G3359,WholesaleExtract!B:J,6,FALSE),"")</f>
        <v/>
      </c>
      <c r="H3359" s="47" t="str">
        <f>IFERROR(VLOOKUP(G3359,WholesaleExtract!B:L,11,FALSE),"")</f>
        <v/>
      </c>
      <c r="I3359" s="26" t="str">
        <f>IFERROR(VLOOKUP(G3359,WholesaleExtract!B:O,8,FALSE),"")</f>
        <v/>
      </c>
      <c r="J3359" s="26" t="str">
        <f>IFERROR(VLOOKUP(G3359,WholesaleExtract!B:O,14,FALSE),"")</f>
        <v/>
      </c>
      <c r="K3359" s="26" t="str">
        <f>IFERROR(VLOOKUP(G3359,WholesaleExtract!B:K,10,FALSE),"")</f>
        <v/>
      </c>
      <c r="L3359" s="47" t="str">
        <f>IFERROR(VLOOKUP(G3359,WholesaleExtract!B:L,11,FALSE),"")</f>
        <v/>
      </c>
      <c r="M3359" s="47" t="str">
        <f>IFERROR(VLOOKUP(G3359,WholesaleExtract!B:M,12,FALSE),"")</f>
        <v/>
      </c>
      <c r="R3359" s="19"/>
      <c r="S3359" s="19"/>
    </row>
    <row r="3360" spans="1:19" x14ac:dyDescent="0.35">
      <c r="A3360" s="26" t="s">
        <v>543</v>
      </c>
      <c r="B3360" s="26" t="s">
        <v>543</v>
      </c>
      <c r="C3360" s="26"/>
      <c r="D3360" s="26" t="s">
        <v>543</v>
      </c>
      <c r="E3360" s="26" t="str">
        <f>IFERROR(VLOOKUP(G3360,WholesaleExtract!B:J,9,FALSE),"")</f>
        <v/>
      </c>
      <c r="F3360" s="26" t="str">
        <f>IFERROR(VLOOKUP(G3360,WholesaleExtract!B:J,6,FALSE),"")</f>
        <v/>
      </c>
      <c r="H3360" s="47" t="str">
        <f>IFERROR(VLOOKUP(G3360,WholesaleExtract!B:L,11,FALSE),"")</f>
        <v/>
      </c>
      <c r="I3360" s="26" t="str">
        <f>IFERROR(VLOOKUP(G3360,WholesaleExtract!B:O,8,FALSE),"")</f>
        <v/>
      </c>
      <c r="J3360" s="26" t="str">
        <f>IFERROR(VLOOKUP(G3360,WholesaleExtract!B:O,14,FALSE),"")</f>
        <v/>
      </c>
      <c r="K3360" s="26" t="str">
        <f>IFERROR(VLOOKUP(G3360,WholesaleExtract!B:K,10,FALSE),"")</f>
        <v/>
      </c>
      <c r="L3360" s="47" t="str">
        <f>IFERROR(VLOOKUP(G3360,WholesaleExtract!B:L,11,FALSE),"")</f>
        <v/>
      </c>
      <c r="M3360" s="47" t="str">
        <f>IFERROR(VLOOKUP(G3360,WholesaleExtract!B:M,12,FALSE),"")</f>
        <v/>
      </c>
      <c r="R3360" s="19"/>
      <c r="S3360" s="19"/>
    </row>
    <row r="3361" spans="1:19" x14ac:dyDescent="0.35">
      <c r="A3361" s="26" t="s">
        <v>543</v>
      </c>
      <c r="B3361" s="26" t="s">
        <v>543</v>
      </c>
      <c r="C3361" s="26"/>
      <c r="D3361" s="26" t="s">
        <v>543</v>
      </c>
      <c r="E3361" s="26" t="str">
        <f>IFERROR(VLOOKUP(G3361,WholesaleExtract!B:J,9,FALSE),"")</f>
        <v/>
      </c>
      <c r="F3361" s="26" t="str">
        <f>IFERROR(VLOOKUP(G3361,WholesaleExtract!B:J,6,FALSE),"")</f>
        <v/>
      </c>
      <c r="H3361" s="47" t="str">
        <f>IFERROR(VLOOKUP(G3361,WholesaleExtract!B:L,11,FALSE),"")</f>
        <v/>
      </c>
      <c r="I3361" s="26" t="str">
        <f>IFERROR(VLOOKUP(G3361,WholesaleExtract!B:O,8,FALSE),"")</f>
        <v/>
      </c>
      <c r="J3361" s="26" t="str">
        <f>IFERROR(VLOOKUP(G3361,WholesaleExtract!B:O,14,FALSE),"")</f>
        <v/>
      </c>
      <c r="K3361" s="26" t="str">
        <f>IFERROR(VLOOKUP(G3361,WholesaleExtract!B:K,10,FALSE),"")</f>
        <v/>
      </c>
      <c r="L3361" s="47" t="str">
        <f>IFERROR(VLOOKUP(G3361,WholesaleExtract!B:L,11,FALSE),"")</f>
        <v/>
      </c>
      <c r="M3361" s="47" t="str">
        <f>IFERROR(VLOOKUP(G3361,WholesaleExtract!B:M,12,FALSE),"")</f>
        <v/>
      </c>
      <c r="R3361" s="19"/>
      <c r="S3361" s="19"/>
    </row>
    <row r="3362" spans="1:19" x14ac:dyDescent="0.35">
      <c r="A3362" s="26" t="s">
        <v>543</v>
      </c>
      <c r="B3362" s="26" t="s">
        <v>543</v>
      </c>
      <c r="C3362" s="26"/>
      <c r="D3362" s="26" t="s">
        <v>543</v>
      </c>
      <c r="E3362" s="26" t="str">
        <f>IFERROR(VLOOKUP(G3362,WholesaleExtract!B:J,9,FALSE),"")</f>
        <v/>
      </c>
      <c r="F3362" s="26" t="str">
        <f>IFERROR(VLOOKUP(G3362,WholesaleExtract!B:J,6,FALSE),"")</f>
        <v/>
      </c>
      <c r="H3362" s="47" t="str">
        <f>IFERROR(VLOOKUP(G3362,WholesaleExtract!B:L,11,FALSE),"")</f>
        <v/>
      </c>
      <c r="I3362" s="26" t="str">
        <f>IFERROR(VLOOKUP(G3362,WholesaleExtract!B:O,8,FALSE),"")</f>
        <v/>
      </c>
      <c r="J3362" s="26" t="str">
        <f>IFERROR(VLOOKUP(G3362,WholesaleExtract!B:O,14,FALSE),"")</f>
        <v/>
      </c>
      <c r="K3362" s="26" t="str">
        <f>IFERROR(VLOOKUP(G3362,WholesaleExtract!B:K,10,FALSE),"")</f>
        <v/>
      </c>
      <c r="L3362" s="47" t="str">
        <f>IFERROR(VLOOKUP(G3362,WholesaleExtract!B:L,11,FALSE),"")</f>
        <v/>
      </c>
      <c r="M3362" s="47" t="str">
        <f>IFERROR(VLOOKUP(G3362,WholesaleExtract!B:M,12,FALSE),"")</f>
        <v/>
      </c>
      <c r="R3362" s="19"/>
      <c r="S3362" s="19"/>
    </row>
    <row r="3363" spans="1:19" x14ac:dyDescent="0.35">
      <c r="A3363" s="26" t="s">
        <v>543</v>
      </c>
      <c r="B3363" s="26" t="s">
        <v>543</v>
      </c>
      <c r="C3363" s="26"/>
      <c r="D3363" s="26" t="s">
        <v>543</v>
      </c>
      <c r="E3363" s="26" t="str">
        <f>IFERROR(VLOOKUP(G3363,WholesaleExtract!B:J,9,FALSE),"")</f>
        <v/>
      </c>
      <c r="F3363" s="26" t="str">
        <f>IFERROR(VLOOKUP(G3363,WholesaleExtract!B:J,6,FALSE),"")</f>
        <v/>
      </c>
      <c r="H3363" s="47" t="str">
        <f>IFERROR(VLOOKUP(G3363,WholesaleExtract!B:L,11,FALSE),"")</f>
        <v/>
      </c>
      <c r="I3363" s="26" t="str">
        <f>IFERROR(VLOOKUP(G3363,WholesaleExtract!B:O,8,FALSE),"")</f>
        <v/>
      </c>
      <c r="J3363" s="26" t="str">
        <f>IFERROR(VLOOKUP(G3363,WholesaleExtract!B:O,14,FALSE),"")</f>
        <v/>
      </c>
      <c r="K3363" s="26" t="str">
        <f>IFERROR(VLOOKUP(G3363,WholesaleExtract!B:K,10,FALSE),"")</f>
        <v/>
      </c>
      <c r="L3363" s="47" t="str">
        <f>IFERROR(VLOOKUP(G3363,WholesaleExtract!B:L,11,FALSE),"")</f>
        <v/>
      </c>
      <c r="M3363" s="47" t="str">
        <f>IFERROR(VLOOKUP(G3363,WholesaleExtract!B:M,12,FALSE),"")</f>
        <v/>
      </c>
      <c r="R3363" s="19"/>
      <c r="S3363" s="19"/>
    </row>
    <row r="3364" spans="1:19" x14ac:dyDescent="0.35">
      <c r="A3364" s="26" t="s">
        <v>543</v>
      </c>
      <c r="B3364" s="26" t="s">
        <v>543</v>
      </c>
      <c r="C3364" s="26"/>
      <c r="D3364" s="26" t="s">
        <v>543</v>
      </c>
      <c r="E3364" s="26" t="str">
        <f>IFERROR(VLOOKUP(G3364,WholesaleExtract!B:J,9,FALSE),"")</f>
        <v/>
      </c>
      <c r="F3364" s="26" t="str">
        <f>IFERROR(VLOOKUP(G3364,WholesaleExtract!B:J,6,FALSE),"")</f>
        <v/>
      </c>
      <c r="H3364" s="47" t="str">
        <f>IFERROR(VLOOKUP(G3364,WholesaleExtract!B:L,11,FALSE),"")</f>
        <v/>
      </c>
      <c r="I3364" s="26" t="str">
        <f>IFERROR(VLOOKUP(G3364,WholesaleExtract!B:O,8,FALSE),"")</f>
        <v/>
      </c>
      <c r="J3364" s="26" t="str">
        <f>IFERROR(VLOOKUP(G3364,WholesaleExtract!B:O,14,FALSE),"")</f>
        <v/>
      </c>
      <c r="K3364" s="26" t="str">
        <f>IFERROR(VLOOKUP(G3364,WholesaleExtract!B:K,10,FALSE),"")</f>
        <v/>
      </c>
      <c r="L3364" s="47" t="str">
        <f>IFERROR(VLOOKUP(G3364,WholesaleExtract!B:L,11,FALSE),"")</f>
        <v/>
      </c>
      <c r="M3364" s="47" t="str">
        <f>IFERROR(VLOOKUP(G3364,WholesaleExtract!B:M,12,FALSE),"")</f>
        <v/>
      </c>
      <c r="R3364" s="19"/>
      <c r="S3364" s="19"/>
    </row>
    <row r="3365" spans="1:19" x14ac:dyDescent="0.35">
      <c r="A3365" s="26" t="s">
        <v>543</v>
      </c>
      <c r="B3365" s="26" t="s">
        <v>543</v>
      </c>
      <c r="C3365" s="26"/>
      <c r="D3365" s="26" t="s">
        <v>543</v>
      </c>
      <c r="E3365" s="26" t="str">
        <f>IFERROR(VLOOKUP(G3365,WholesaleExtract!B:J,9,FALSE),"")</f>
        <v/>
      </c>
      <c r="F3365" s="26" t="str">
        <f>IFERROR(VLOOKUP(G3365,WholesaleExtract!B:J,6,FALSE),"")</f>
        <v/>
      </c>
      <c r="H3365" s="47" t="str">
        <f>IFERROR(VLOOKUP(G3365,WholesaleExtract!B:L,11,FALSE),"")</f>
        <v/>
      </c>
      <c r="I3365" s="26" t="str">
        <f>IFERROR(VLOOKUP(G3365,WholesaleExtract!B:O,8,FALSE),"")</f>
        <v/>
      </c>
      <c r="J3365" s="26" t="str">
        <f>IFERROR(VLOOKUP(G3365,WholesaleExtract!B:O,14,FALSE),"")</f>
        <v/>
      </c>
      <c r="K3365" s="26" t="str">
        <f>IFERROR(VLOOKUP(G3365,WholesaleExtract!B:K,10,FALSE),"")</f>
        <v/>
      </c>
      <c r="L3365" s="47" t="str">
        <f>IFERROR(VLOOKUP(G3365,WholesaleExtract!B:L,11,FALSE),"")</f>
        <v/>
      </c>
      <c r="M3365" s="47" t="str">
        <f>IFERROR(VLOOKUP(G3365,WholesaleExtract!B:M,12,FALSE),"")</f>
        <v/>
      </c>
      <c r="R3365" s="19"/>
      <c r="S3365" s="19"/>
    </row>
    <row r="3366" spans="1:19" x14ac:dyDescent="0.35">
      <c r="A3366" s="26" t="s">
        <v>543</v>
      </c>
      <c r="B3366" s="26" t="s">
        <v>543</v>
      </c>
      <c r="C3366" s="26"/>
      <c r="D3366" s="26" t="s">
        <v>543</v>
      </c>
      <c r="E3366" s="26" t="str">
        <f>IFERROR(VLOOKUP(G3366,WholesaleExtract!B:J,9,FALSE),"")</f>
        <v/>
      </c>
      <c r="F3366" s="26" t="str">
        <f>IFERROR(VLOOKUP(G3366,WholesaleExtract!B:J,6,FALSE),"")</f>
        <v/>
      </c>
      <c r="H3366" s="47" t="str">
        <f>IFERROR(VLOOKUP(G3366,WholesaleExtract!B:L,11,FALSE),"")</f>
        <v/>
      </c>
      <c r="I3366" s="26" t="str">
        <f>IFERROR(VLOOKUP(G3366,WholesaleExtract!B:O,8,FALSE),"")</f>
        <v/>
      </c>
      <c r="J3366" s="26" t="str">
        <f>IFERROR(VLOOKUP(G3366,WholesaleExtract!B:O,14,FALSE),"")</f>
        <v/>
      </c>
      <c r="K3366" s="26" t="str">
        <f>IFERROR(VLOOKUP(G3366,WholesaleExtract!B:K,10,FALSE),"")</f>
        <v/>
      </c>
      <c r="L3366" s="47" t="str">
        <f>IFERROR(VLOOKUP(G3366,WholesaleExtract!B:L,11,FALSE),"")</f>
        <v/>
      </c>
      <c r="M3366" s="47" t="str">
        <f>IFERROR(VLOOKUP(G3366,WholesaleExtract!B:M,12,FALSE),"")</f>
        <v/>
      </c>
      <c r="R3366" s="19"/>
      <c r="S3366" s="19"/>
    </row>
    <row r="3367" spans="1:19" x14ac:dyDescent="0.35">
      <c r="A3367" s="26" t="s">
        <v>543</v>
      </c>
      <c r="B3367" s="26" t="s">
        <v>543</v>
      </c>
      <c r="C3367" s="26"/>
      <c r="D3367" s="26" t="s">
        <v>543</v>
      </c>
      <c r="E3367" s="26" t="str">
        <f>IFERROR(VLOOKUP(G3367,WholesaleExtract!B:J,9,FALSE),"")</f>
        <v/>
      </c>
      <c r="F3367" s="26" t="str">
        <f>IFERROR(VLOOKUP(G3367,WholesaleExtract!B:J,6,FALSE),"")</f>
        <v/>
      </c>
      <c r="H3367" s="47" t="str">
        <f>IFERROR(VLOOKUP(G3367,WholesaleExtract!B:L,11,FALSE),"")</f>
        <v/>
      </c>
      <c r="I3367" s="26" t="str">
        <f>IFERROR(VLOOKUP(G3367,WholesaleExtract!B:O,8,FALSE),"")</f>
        <v/>
      </c>
      <c r="J3367" s="26" t="str">
        <f>IFERROR(VLOOKUP(G3367,WholesaleExtract!B:O,14,FALSE),"")</f>
        <v/>
      </c>
      <c r="K3367" s="26" t="str">
        <f>IFERROR(VLOOKUP(G3367,WholesaleExtract!B:K,10,FALSE),"")</f>
        <v/>
      </c>
      <c r="L3367" s="47" t="str">
        <f>IFERROR(VLOOKUP(G3367,WholesaleExtract!B:L,11,FALSE),"")</f>
        <v/>
      </c>
      <c r="M3367" s="47" t="str">
        <f>IFERROR(VLOOKUP(G3367,WholesaleExtract!B:M,12,FALSE),"")</f>
        <v/>
      </c>
      <c r="R3367" s="19"/>
      <c r="S3367" s="19"/>
    </row>
    <row r="3368" spans="1:19" x14ac:dyDescent="0.35">
      <c r="A3368" s="26" t="s">
        <v>543</v>
      </c>
      <c r="B3368" s="26" t="s">
        <v>543</v>
      </c>
      <c r="C3368" s="26"/>
      <c r="D3368" s="26" t="s">
        <v>543</v>
      </c>
      <c r="E3368" s="26" t="str">
        <f>IFERROR(VLOOKUP(G3368,WholesaleExtract!B:J,9,FALSE),"")</f>
        <v/>
      </c>
      <c r="F3368" s="26" t="str">
        <f>IFERROR(VLOOKUP(G3368,WholesaleExtract!B:J,6,FALSE),"")</f>
        <v/>
      </c>
      <c r="H3368" s="47" t="str">
        <f>IFERROR(VLOOKUP(G3368,WholesaleExtract!B:L,11,FALSE),"")</f>
        <v/>
      </c>
      <c r="I3368" s="26" t="str">
        <f>IFERROR(VLOOKUP(G3368,WholesaleExtract!B:O,8,FALSE),"")</f>
        <v/>
      </c>
      <c r="J3368" s="26" t="str">
        <f>IFERROR(VLOOKUP(G3368,WholesaleExtract!B:O,14,FALSE),"")</f>
        <v/>
      </c>
      <c r="K3368" s="26" t="str">
        <f>IFERROR(VLOOKUP(G3368,WholesaleExtract!B:K,10,FALSE),"")</f>
        <v/>
      </c>
      <c r="L3368" s="47" t="str">
        <f>IFERROR(VLOOKUP(G3368,WholesaleExtract!B:L,11,FALSE),"")</f>
        <v/>
      </c>
      <c r="M3368" s="47" t="str">
        <f>IFERROR(VLOOKUP(G3368,WholesaleExtract!B:M,12,FALSE),"")</f>
        <v/>
      </c>
      <c r="R3368" s="19"/>
      <c r="S3368" s="19"/>
    </row>
    <row r="3369" spans="1:19" x14ac:dyDescent="0.35">
      <c r="A3369" s="26" t="s">
        <v>543</v>
      </c>
      <c r="B3369" s="26" t="s">
        <v>543</v>
      </c>
      <c r="C3369" s="26"/>
      <c r="D3369" s="26" t="s">
        <v>543</v>
      </c>
      <c r="E3369" s="26" t="str">
        <f>IFERROR(VLOOKUP(G3369,WholesaleExtract!B:J,9,FALSE),"")</f>
        <v/>
      </c>
      <c r="F3369" s="26" t="str">
        <f>IFERROR(VLOOKUP(G3369,WholesaleExtract!B:J,6,FALSE),"")</f>
        <v/>
      </c>
      <c r="H3369" s="47" t="str">
        <f>IFERROR(VLOOKUP(G3369,WholesaleExtract!B:L,11,FALSE),"")</f>
        <v/>
      </c>
      <c r="I3369" s="26" t="str">
        <f>IFERROR(VLOOKUP(G3369,WholesaleExtract!B:O,8,FALSE),"")</f>
        <v/>
      </c>
      <c r="J3369" s="26" t="str">
        <f>IFERROR(VLOOKUP(G3369,WholesaleExtract!B:O,14,FALSE),"")</f>
        <v/>
      </c>
      <c r="K3369" s="26" t="str">
        <f>IFERROR(VLOOKUP(G3369,WholesaleExtract!B:K,10,FALSE),"")</f>
        <v/>
      </c>
      <c r="L3369" s="47" t="str">
        <f>IFERROR(VLOOKUP(G3369,WholesaleExtract!B:L,11,FALSE),"")</f>
        <v/>
      </c>
      <c r="M3369" s="47" t="str">
        <f>IFERROR(VLOOKUP(G3369,WholesaleExtract!B:M,12,FALSE),"")</f>
        <v/>
      </c>
      <c r="R3369" s="19"/>
      <c r="S3369" s="19"/>
    </row>
    <row r="3370" spans="1:19" x14ac:dyDescent="0.35">
      <c r="A3370" s="26" t="s">
        <v>543</v>
      </c>
      <c r="B3370" s="26" t="s">
        <v>543</v>
      </c>
      <c r="C3370" s="26"/>
      <c r="D3370" s="26" t="s">
        <v>543</v>
      </c>
      <c r="E3370" s="26" t="str">
        <f>IFERROR(VLOOKUP(G3370,WholesaleExtract!B:J,9,FALSE),"")</f>
        <v/>
      </c>
      <c r="F3370" s="26" t="str">
        <f>IFERROR(VLOOKUP(G3370,WholesaleExtract!B:J,6,FALSE),"")</f>
        <v/>
      </c>
      <c r="H3370" s="47" t="str">
        <f>IFERROR(VLOOKUP(G3370,WholesaleExtract!B:L,11,FALSE),"")</f>
        <v/>
      </c>
      <c r="I3370" s="26" t="str">
        <f>IFERROR(VLOOKUP(G3370,WholesaleExtract!B:O,8,FALSE),"")</f>
        <v/>
      </c>
      <c r="J3370" s="26" t="str">
        <f>IFERROR(VLOOKUP(G3370,WholesaleExtract!B:O,14,FALSE),"")</f>
        <v/>
      </c>
      <c r="K3370" s="26" t="str">
        <f>IFERROR(VLOOKUP(G3370,WholesaleExtract!B:K,10,FALSE),"")</f>
        <v/>
      </c>
      <c r="L3370" s="47" t="str">
        <f>IFERROR(VLOOKUP(G3370,WholesaleExtract!B:L,11,FALSE),"")</f>
        <v/>
      </c>
      <c r="M3370" s="47" t="str">
        <f>IFERROR(VLOOKUP(G3370,WholesaleExtract!B:M,12,FALSE),"")</f>
        <v/>
      </c>
      <c r="R3370" s="19"/>
      <c r="S3370" s="19"/>
    </row>
    <row r="3371" spans="1:19" x14ac:dyDescent="0.35">
      <c r="A3371" s="26" t="s">
        <v>543</v>
      </c>
      <c r="B3371" s="26" t="s">
        <v>543</v>
      </c>
      <c r="C3371" s="26"/>
      <c r="D3371" s="26" t="s">
        <v>543</v>
      </c>
      <c r="E3371" s="26" t="str">
        <f>IFERROR(VLOOKUP(G3371,WholesaleExtract!B:J,9,FALSE),"")</f>
        <v/>
      </c>
      <c r="F3371" s="26" t="str">
        <f>IFERROR(VLOOKUP(G3371,WholesaleExtract!B:J,6,FALSE),"")</f>
        <v/>
      </c>
      <c r="H3371" s="47" t="str">
        <f>IFERROR(VLOOKUP(G3371,WholesaleExtract!B:L,11,FALSE),"")</f>
        <v/>
      </c>
      <c r="I3371" s="26" t="str">
        <f>IFERROR(VLOOKUP(G3371,WholesaleExtract!B:O,8,FALSE),"")</f>
        <v/>
      </c>
      <c r="J3371" s="26" t="str">
        <f>IFERROR(VLOOKUP(G3371,WholesaleExtract!B:O,14,FALSE),"")</f>
        <v/>
      </c>
      <c r="K3371" s="26" t="str">
        <f>IFERROR(VLOOKUP(G3371,WholesaleExtract!B:K,10,FALSE),"")</f>
        <v/>
      </c>
      <c r="L3371" s="47" t="str">
        <f>IFERROR(VLOOKUP(G3371,WholesaleExtract!B:L,11,FALSE),"")</f>
        <v/>
      </c>
      <c r="M3371" s="47" t="str">
        <f>IFERROR(VLOOKUP(G3371,WholesaleExtract!B:M,12,FALSE),"")</f>
        <v/>
      </c>
      <c r="R3371" s="19"/>
      <c r="S3371" s="19"/>
    </row>
    <row r="3372" spans="1:19" x14ac:dyDescent="0.35">
      <c r="A3372" s="26" t="s">
        <v>543</v>
      </c>
      <c r="B3372" s="26" t="s">
        <v>543</v>
      </c>
      <c r="C3372" s="26"/>
      <c r="D3372" s="26" t="s">
        <v>543</v>
      </c>
      <c r="E3372" s="26" t="str">
        <f>IFERROR(VLOOKUP(G3372,WholesaleExtract!B:J,9,FALSE),"")</f>
        <v/>
      </c>
      <c r="F3372" s="26" t="str">
        <f>IFERROR(VLOOKUP(G3372,WholesaleExtract!B:J,6,FALSE),"")</f>
        <v/>
      </c>
      <c r="H3372" s="47" t="str">
        <f>IFERROR(VLOOKUP(G3372,WholesaleExtract!B:L,11,FALSE),"")</f>
        <v/>
      </c>
      <c r="I3372" s="26" t="str">
        <f>IFERROR(VLOOKUP(G3372,WholesaleExtract!B:O,8,FALSE),"")</f>
        <v/>
      </c>
      <c r="J3372" s="26" t="str">
        <f>IFERROR(VLOOKUP(G3372,WholesaleExtract!B:O,14,FALSE),"")</f>
        <v/>
      </c>
      <c r="K3372" s="26" t="str">
        <f>IFERROR(VLOOKUP(G3372,WholesaleExtract!B:K,10,FALSE),"")</f>
        <v/>
      </c>
      <c r="L3372" s="47" t="str">
        <f>IFERROR(VLOOKUP(G3372,WholesaleExtract!B:L,11,FALSE),"")</f>
        <v/>
      </c>
      <c r="M3372" s="47" t="str">
        <f>IFERROR(VLOOKUP(G3372,WholesaleExtract!B:M,12,FALSE),"")</f>
        <v/>
      </c>
      <c r="R3372" s="19"/>
      <c r="S3372" s="19"/>
    </row>
    <row r="3373" spans="1:19" x14ac:dyDescent="0.35">
      <c r="A3373" s="26" t="s">
        <v>543</v>
      </c>
      <c r="B3373" s="26" t="s">
        <v>543</v>
      </c>
      <c r="C3373" s="26"/>
      <c r="D3373" s="26" t="s">
        <v>543</v>
      </c>
      <c r="E3373" s="26" t="str">
        <f>IFERROR(VLOOKUP(G3373,WholesaleExtract!B:J,9,FALSE),"")</f>
        <v/>
      </c>
      <c r="F3373" s="26" t="str">
        <f>IFERROR(VLOOKUP(G3373,WholesaleExtract!B:J,6,FALSE),"")</f>
        <v/>
      </c>
      <c r="H3373" s="47" t="str">
        <f>IFERROR(VLOOKUP(G3373,WholesaleExtract!B:L,11,FALSE),"")</f>
        <v/>
      </c>
      <c r="I3373" s="26" t="str">
        <f>IFERROR(VLOOKUP(G3373,WholesaleExtract!B:O,8,FALSE),"")</f>
        <v/>
      </c>
      <c r="J3373" s="26" t="str">
        <f>IFERROR(VLOOKUP(G3373,WholesaleExtract!B:O,14,FALSE),"")</f>
        <v/>
      </c>
      <c r="K3373" s="26" t="str">
        <f>IFERROR(VLOOKUP(G3373,WholesaleExtract!B:K,10,FALSE),"")</f>
        <v/>
      </c>
      <c r="L3373" s="47" t="str">
        <f>IFERROR(VLOOKUP(G3373,WholesaleExtract!B:L,11,FALSE),"")</f>
        <v/>
      </c>
      <c r="M3373" s="47" t="str">
        <f>IFERROR(VLOOKUP(G3373,WholesaleExtract!B:M,12,FALSE),"")</f>
        <v/>
      </c>
      <c r="R3373" s="19"/>
      <c r="S3373" s="19"/>
    </row>
    <row r="3374" spans="1:19" x14ac:dyDescent="0.35">
      <c r="A3374" s="26" t="s">
        <v>543</v>
      </c>
      <c r="B3374" s="26" t="s">
        <v>543</v>
      </c>
      <c r="C3374" s="26"/>
      <c r="D3374" s="26" t="s">
        <v>543</v>
      </c>
      <c r="E3374" s="26" t="str">
        <f>IFERROR(VLOOKUP(G3374,WholesaleExtract!B:J,9,FALSE),"")</f>
        <v/>
      </c>
      <c r="F3374" s="26" t="str">
        <f>IFERROR(VLOOKUP(G3374,WholesaleExtract!B:J,6,FALSE),"")</f>
        <v/>
      </c>
      <c r="H3374" s="47" t="str">
        <f>IFERROR(VLOOKUP(G3374,WholesaleExtract!B:L,11,FALSE),"")</f>
        <v/>
      </c>
      <c r="I3374" s="26" t="str">
        <f>IFERROR(VLOOKUP(G3374,WholesaleExtract!B:O,8,FALSE),"")</f>
        <v/>
      </c>
      <c r="J3374" s="26" t="str">
        <f>IFERROR(VLOOKUP(G3374,WholesaleExtract!B:O,14,FALSE),"")</f>
        <v/>
      </c>
      <c r="K3374" s="26" t="str">
        <f>IFERROR(VLOOKUP(G3374,WholesaleExtract!B:K,10,FALSE),"")</f>
        <v/>
      </c>
      <c r="L3374" s="47" t="str">
        <f>IFERROR(VLOOKUP(G3374,WholesaleExtract!B:L,11,FALSE),"")</f>
        <v/>
      </c>
      <c r="M3374" s="47" t="str">
        <f>IFERROR(VLOOKUP(G3374,WholesaleExtract!B:M,12,FALSE),"")</f>
        <v/>
      </c>
      <c r="R3374" s="19"/>
      <c r="S3374" s="19"/>
    </row>
    <row r="3375" spans="1:19" x14ac:dyDescent="0.35">
      <c r="A3375" s="26" t="s">
        <v>543</v>
      </c>
      <c r="B3375" s="26" t="s">
        <v>543</v>
      </c>
      <c r="C3375" s="26"/>
      <c r="D3375" s="26" t="s">
        <v>543</v>
      </c>
      <c r="E3375" s="26" t="str">
        <f>IFERROR(VLOOKUP(G3375,WholesaleExtract!B:J,9,FALSE),"")</f>
        <v/>
      </c>
      <c r="F3375" s="26" t="str">
        <f>IFERROR(VLOOKUP(G3375,WholesaleExtract!B:J,6,FALSE),"")</f>
        <v/>
      </c>
      <c r="H3375" s="47" t="str">
        <f>IFERROR(VLOOKUP(G3375,WholesaleExtract!B:L,11,FALSE),"")</f>
        <v/>
      </c>
      <c r="I3375" s="26" t="str">
        <f>IFERROR(VLOOKUP(G3375,WholesaleExtract!B:O,8,FALSE),"")</f>
        <v/>
      </c>
      <c r="J3375" s="26" t="str">
        <f>IFERROR(VLOOKUP(G3375,WholesaleExtract!B:O,14,FALSE),"")</f>
        <v/>
      </c>
      <c r="K3375" s="26" t="str">
        <f>IFERROR(VLOOKUP(G3375,WholesaleExtract!B:K,10,FALSE),"")</f>
        <v/>
      </c>
      <c r="L3375" s="47" t="str">
        <f>IFERROR(VLOOKUP(G3375,WholesaleExtract!B:L,11,FALSE),"")</f>
        <v/>
      </c>
      <c r="M3375" s="47" t="str">
        <f>IFERROR(VLOOKUP(G3375,WholesaleExtract!B:M,12,FALSE),"")</f>
        <v/>
      </c>
      <c r="R3375" s="19"/>
      <c r="S3375" s="19"/>
    </row>
    <row r="3376" spans="1:19" x14ac:dyDescent="0.35">
      <c r="A3376" s="26" t="s">
        <v>543</v>
      </c>
      <c r="B3376" s="26" t="s">
        <v>543</v>
      </c>
      <c r="C3376" s="26"/>
      <c r="D3376" s="26" t="s">
        <v>543</v>
      </c>
      <c r="E3376" s="26" t="str">
        <f>IFERROR(VLOOKUP(G3376,WholesaleExtract!B:J,9,FALSE),"")</f>
        <v/>
      </c>
      <c r="F3376" s="26" t="str">
        <f>IFERROR(VLOOKUP(G3376,WholesaleExtract!B:J,6,FALSE),"")</f>
        <v/>
      </c>
      <c r="H3376" s="47" t="str">
        <f>IFERROR(VLOOKUP(G3376,WholesaleExtract!B:L,11,FALSE),"")</f>
        <v/>
      </c>
      <c r="I3376" s="26" t="str">
        <f>IFERROR(VLOOKUP(G3376,WholesaleExtract!B:O,8,FALSE),"")</f>
        <v/>
      </c>
      <c r="J3376" s="26" t="str">
        <f>IFERROR(VLOOKUP(G3376,WholesaleExtract!B:O,14,FALSE),"")</f>
        <v/>
      </c>
      <c r="K3376" s="26" t="str">
        <f>IFERROR(VLOOKUP(G3376,WholesaleExtract!B:K,10,FALSE),"")</f>
        <v/>
      </c>
      <c r="L3376" s="47" t="str">
        <f>IFERROR(VLOOKUP(G3376,WholesaleExtract!B:L,11,FALSE),"")</f>
        <v/>
      </c>
      <c r="M3376" s="47" t="str">
        <f>IFERROR(VLOOKUP(G3376,WholesaleExtract!B:M,12,FALSE),"")</f>
        <v/>
      </c>
      <c r="R3376" s="19"/>
      <c r="S3376" s="19"/>
    </row>
    <row r="3377" spans="1:19" x14ac:dyDescent="0.35">
      <c r="A3377" s="26" t="s">
        <v>543</v>
      </c>
      <c r="B3377" s="26" t="s">
        <v>543</v>
      </c>
      <c r="C3377" s="26"/>
      <c r="D3377" s="26" t="s">
        <v>543</v>
      </c>
      <c r="E3377" s="26" t="str">
        <f>IFERROR(VLOOKUP(G3377,WholesaleExtract!B:J,9,FALSE),"")</f>
        <v/>
      </c>
      <c r="F3377" s="26" t="str">
        <f>IFERROR(VLOOKUP(G3377,WholesaleExtract!B:J,6,FALSE),"")</f>
        <v/>
      </c>
      <c r="H3377" s="47" t="str">
        <f>IFERROR(VLOOKUP(G3377,WholesaleExtract!B:L,11,FALSE),"")</f>
        <v/>
      </c>
      <c r="I3377" s="26" t="str">
        <f>IFERROR(VLOOKUP(G3377,WholesaleExtract!B:O,8,FALSE),"")</f>
        <v/>
      </c>
      <c r="J3377" s="26" t="str">
        <f>IFERROR(VLOOKUP(G3377,WholesaleExtract!B:O,14,FALSE),"")</f>
        <v/>
      </c>
      <c r="K3377" s="26" t="str">
        <f>IFERROR(VLOOKUP(G3377,WholesaleExtract!B:K,10,FALSE),"")</f>
        <v/>
      </c>
      <c r="L3377" s="47" t="str">
        <f>IFERROR(VLOOKUP(G3377,WholesaleExtract!B:L,11,FALSE),"")</f>
        <v/>
      </c>
      <c r="M3377" s="47" t="str">
        <f>IFERROR(VLOOKUP(G3377,WholesaleExtract!B:M,12,FALSE),"")</f>
        <v/>
      </c>
      <c r="R3377" s="19"/>
      <c r="S3377" s="19"/>
    </row>
    <row r="3378" spans="1:19" x14ac:dyDescent="0.35">
      <c r="A3378" s="26" t="s">
        <v>543</v>
      </c>
      <c r="B3378" s="26" t="s">
        <v>543</v>
      </c>
      <c r="C3378" s="26"/>
      <c r="D3378" s="26" t="s">
        <v>543</v>
      </c>
      <c r="E3378" s="26" t="str">
        <f>IFERROR(VLOOKUP(G3378,WholesaleExtract!B:J,9,FALSE),"")</f>
        <v/>
      </c>
      <c r="F3378" s="26" t="str">
        <f>IFERROR(VLOOKUP(G3378,WholesaleExtract!B:J,6,FALSE),"")</f>
        <v/>
      </c>
      <c r="H3378" s="47" t="str">
        <f>IFERROR(VLOOKUP(G3378,WholesaleExtract!B:L,11,FALSE),"")</f>
        <v/>
      </c>
      <c r="I3378" s="26" t="str">
        <f>IFERROR(VLOOKUP(G3378,WholesaleExtract!B:O,8,FALSE),"")</f>
        <v/>
      </c>
      <c r="J3378" s="26" t="str">
        <f>IFERROR(VLOOKUP(G3378,WholesaleExtract!B:O,14,FALSE),"")</f>
        <v/>
      </c>
      <c r="K3378" s="26" t="str">
        <f>IFERROR(VLOOKUP(G3378,WholesaleExtract!B:K,10,FALSE),"")</f>
        <v/>
      </c>
      <c r="L3378" s="47" t="str">
        <f>IFERROR(VLOOKUP(G3378,WholesaleExtract!B:L,11,FALSE),"")</f>
        <v/>
      </c>
      <c r="M3378" s="47" t="str">
        <f>IFERROR(VLOOKUP(G3378,WholesaleExtract!B:M,12,FALSE),"")</f>
        <v/>
      </c>
      <c r="R3378" s="19"/>
      <c r="S3378" s="19"/>
    </row>
    <row r="3379" spans="1:19" x14ac:dyDescent="0.35">
      <c r="A3379" s="26" t="s">
        <v>543</v>
      </c>
      <c r="B3379" s="26" t="s">
        <v>543</v>
      </c>
      <c r="C3379" s="26"/>
      <c r="D3379" s="26" t="s">
        <v>543</v>
      </c>
      <c r="E3379" s="26" t="str">
        <f>IFERROR(VLOOKUP(G3379,WholesaleExtract!B:J,9,FALSE),"")</f>
        <v/>
      </c>
      <c r="F3379" s="26" t="str">
        <f>IFERROR(VLOOKUP(G3379,WholesaleExtract!B:J,6,FALSE),"")</f>
        <v/>
      </c>
      <c r="H3379" s="47" t="str">
        <f>IFERROR(VLOOKUP(G3379,WholesaleExtract!B:L,11,FALSE),"")</f>
        <v/>
      </c>
      <c r="I3379" s="26" t="str">
        <f>IFERROR(VLOOKUP(G3379,WholesaleExtract!B:O,8,FALSE),"")</f>
        <v/>
      </c>
      <c r="J3379" s="26" t="str">
        <f>IFERROR(VLOOKUP(G3379,WholesaleExtract!B:O,14,FALSE),"")</f>
        <v/>
      </c>
      <c r="K3379" s="26" t="str">
        <f>IFERROR(VLOOKUP(G3379,WholesaleExtract!B:K,10,FALSE),"")</f>
        <v/>
      </c>
      <c r="L3379" s="47" t="str">
        <f>IFERROR(VLOOKUP(G3379,WholesaleExtract!B:L,11,FALSE),"")</f>
        <v/>
      </c>
      <c r="M3379" s="47" t="str">
        <f>IFERROR(VLOOKUP(G3379,WholesaleExtract!B:M,12,FALSE),"")</f>
        <v/>
      </c>
      <c r="R3379" s="19"/>
      <c r="S3379" s="19"/>
    </row>
    <row r="3380" spans="1:19" x14ac:dyDescent="0.35">
      <c r="A3380" s="26" t="s">
        <v>543</v>
      </c>
      <c r="B3380" s="26" t="s">
        <v>543</v>
      </c>
      <c r="C3380" s="26"/>
      <c r="D3380" s="26" t="s">
        <v>543</v>
      </c>
      <c r="E3380" s="26" t="str">
        <f>IFERROR(VLOOKUP(G3380,WholesaleExtract!B:J,9,FALSE),"")</f>
        <v/>
      </c>
      <c r="F3380" s="26" t="str">
        <f>IFERROR(VLOOKUP(G3380,WholesaleExtract!B:J,6,FALSE),"")</f>
        <v/>
      </c>
      <c r="H3380" s="47" t="str">
        <f>IFERROR(VLOOKUP(G3380,WholesaleExtract!B:L,11,FALSE),"")</f>
        <v/>
      </c>
      <c r="I3380" s="26" t="str">
        <f>IFERROR(VLOOKUP(G3380,WholesaleExtract!B:O,8,FALSE),"")</f>
        <v/>
      </c>
      <c r="J3380" s="26" t="str">
        <f>IFERROR(VLOOKUP(G3380,WholesaleExtract!B:O,14,FALSE),"")</f>
        <v/>
      </c>
      <c r="K3380" s="26" t="str">
        <f>IFERROR(VLOOKUP(G3380,WholesaleExtract!B:K,10,FALSE),"")</f>
        <v/>
      </c>
      <c r="L3380" s="47" t="str">
        <f>IFERROR(VLOOKUP(G3380,WholesaleExtract!B:L,11,FALSE),"")</f>
        <v/>
      </c>
      <c r="M3380" s="47" t="str">
        <f>IFERROR(VLOOKUP(G3380,WholesaleExtract!B:M,12,FALSE),"")</f>
        <v/>
      </c>
      <c r="R3380" s="19"/>
      <c r="S3380" s="19"/>
    </row>
    <row r="3381" spans="1:19" x14ac:dyDescent="0.35">
      <c r="A3381" s="26" t="s">
        <v>543</v>
      </c>
      <c r="B3381" s="26" t="s">
        <v>543</v>
      </c>
      <c r="C3381" s="26"/>
      <c r="D3381" s="26" t="s">
        <v>543</v>
      </c>
      <c r="E3381" s="26" t="str">
        <f>IFERROR(VLOOKUP(G3381,WholesaleExtract!B:J,9,FALSE),"")</f>
        <v/>
      </c>
      <c r="F3381" s="26" t="str">
        <f>IFERROR(VLOOKUP(G3381,WholesaleExtract!B:J,6,FALSE),"")</f>
        <v/>
      </c>
      <c r="H3381" s="47" t="str">
        <f>IFERROR(VLOOKUP(G3381,WholesaleExtract!B:L,11,FALSE),"")</f>
        <v/>
      </c>
      <c r="I3381" s="26" t="str">
        <f>IFERROR(VLOOKUP(G3381,WholesaleExtract!B:O,8,FALSE),"")</f>
        <v/>
      </c>
      <c r="J3381" s="26" t="str">
        <f>IFERROR(VLOOKUP(G3381,WholesaleExtract!B:O,14,FALSE),"")</f>
        <v/>
      </c>
      <c r="K3381" s="26" t="str">
        <f>IFERROR(VLOOKUP(G3381,WholesaleExtract!B:K,10,FALSE),"")</f>
        <v/>
      </c>
      <c r="L3381" s="47" t="str">
        <f>IFERROR(VLOOKUP(G3381,WholesaleExtract!B:L,11,FALSE),"")</f>
        <v/>
      </c>
      <c r="M3381" s="47" t="str">
        <f>IFERROR(VLOOKUP(G3381,WholesaleExtract!B:M,12,FALSE),"")</f>
        <v/>
      </c>
      <c r="R3381" s="19"/>
      <c r="S3381" s="19"/>
    </row>
    <row r="3382" spans="1:19" x14ac:dyDescent="0.35">
      <c r="A3382" s="26" t="s">
        <v>543</v>
      </c>
      <c r="B3382" s="26" t="s">
        <v>543</v>
      </c>
      <c r="C3382" s="26"/>
      <c r="D3382" s="26" t="s">
        <v>543</v>
      </c>
      <c r="E3382" s="26" t="str">
        <f>IFERROR(VLOOKUP(G3382,WholesaleExtract!B:J,9,FALSE),"")</f>
        <v/>
      </c>
      <c r="F3382" s="26" t="str">
        <f>IFERROR(VLOOKUP(G3382,WholesaleExtract!B:J,6,FALSE),"")</f>
        <v/>
      </c>
      <c r="H3382" s="47" t="str">
        <f>IFERROR(VLOOKUP(G3382,WholesaleExtract!B:L,11,FALSE),"")</f>
        <v/>
      </c>
      <c r="I3382" s="26" t="str">
        <f>IFERROR(VLOOKUP(G3382,WholesaleExtract!B:O,8,FALSE),"")</f>
        <v/>
      </c>
      <c r="J3382" s="26" t="str">
        <f>IFERROR(VLOOKUP(G3382,WholesaleExtract!B:O,14,FALSE),"")</f>
        <v/>
      </c>
      <c r="K3382" s="26" t="str">
        <f>IFERROR(VLOOKUP(G3382,WholesaleExtract!B:K,10,FALSE),"")</f>
        <v/>
      </c>
      <c r="L3382" s="47" t="str">
        <f>IFERROR(VLOOKUP(G3382,WholesaleExtract!B:L,11,FALSE),"")</f>
        <v/>
      </c>
      <c r="M3382" s="47" t="str">
        <f>IFERROR(VLOOKUP(G3382,WholesaleExtract!B:M,12,FALSE),"")</f>
        <v/>
      </c>
      <c r="R3382" s="19"/>
      <c r="S3382" s="19"/>
    </row>
    <row r="3383" spans="1:19" x14ac:dyDescent="0.35">
      <c r="A3383" s="26" t="s">
        <v>543</v>
      </c>
      <c r="B3383" s="26" t="s">
        <v>543</v>
      </c>
      <c r="C3383" s="26"/>
      <c r="D3383" s="26" t="s">
        <v>543</v>
      </c>
      <c r="E3383" s="26" t="str">
        <f>IFERROR(VLOOKUP(G3383,WholesaleExtract!B:J,9,FALSE),"")</f>
        <v/>
      </c>
      <c r="F3383" s="26" t="str">
        <f>IFERROR(VLOOKUP(G3383,WholesaleExtract!B:J,6,FALSE),"")</f>
        <v/>
      </c>
      <c r="H3383" s="47" t="str">
        <f>IFERROR(VLOOKUP(G3383,WholesaleExtract!B:L,11,FALSE),"")</f>
        <v/>
      </c>
      <c r="I3383" s="26" t="str">
        <f>IFERROR(VLOOKUP(G3383,WholesaleExtract!B:O,8,FALSE),"")</f>
        <v/>
      </c>
      <c r="J3383" s="26" t="str">
        <f>IFERROR(VLOOKUP(G3383,WholesaleExtract!B:O,14,FALSE),"")</f>
        <v/>
      </c>
      <c r="K3383" s="26" t="str">
        <f>IFERROR(VLOOKUP(G3383,WholesaleExtract!B:K,10,FALSE),"")</f>
        <v/>
      </c>
      <c r="L3383" s="47" t="str">
        <f>IFERROR(VLOOKUP(G3383,WholesaleExtract!B:L,11,FALSE),"")</f>
        <v/>
      </c>
      <c r="M3383" s="47" t="str">
        <f>IFERROR(VLOOKUP(G3383,WholesaleExtract!B:M,12,FALSE),"")</f>
        <v/>
      </c>
      <c r="R3383" s="19"/>
      <c r="S3383" s="19"/>
    </row>
    <row r="3384" spans="1:19" x14ac:dyDescent="0.35">
      <c r="A3384" s="26" t="s">
        <v>543</v>
      </c>
      <c r="B3384" s="26" t="s">
        <v>543</v>
      </c>
      <c r="C3384" s="26"/>
      <c r="D3384" s="26" t="s">
        <v>543</v>
      </c>
      <c r="E3384" s="26" t="str">
        <f>IFERROR(VLOOKUP(G3384,WholesaleExtract!B:J,9,FALSE),"")</f>
        <v/>
      </c>
      <c r="F3384" s="26" t="str">
        <f>IFERROR(VLOOKUP(G3384,WholesaleExtract!B:J,6,FALSE),"")</f>
        <v/>
      </c>
      <c r="H3384" s="47" t="str">
        <f>IFERROR(VLOOKUP(G3384,WholesaleExtract!B:L,11,FALSE),"")</f>
        <v/>
      </c>
      <c r="I3384" s="26" t="str">
        <f>IFERROR(VLOOKUP(G3384,WholesaleExtract!B:O,8,FALSE),"")</f>
        <v/>
      </c>
      <c r="J3384" s="26" t="str">
        <f>IFERROR(VLOOKUP(G3384,WholesaleExtract!B:O,14,FALSE),"")</f>
        <v/>
      </c>
      <c r="K3384" s="26" t="str">
        <f>IFERROR(VLOOKUP(G3384,WholesaleExtract!B:K,10,FALSE),"")</f>
        <v/>
      </c>
      <c r="L3384" s="47" t="str">
        <f>IFERROR(VLOOKUP(G3384,WholesaleExtract!B:L,11,FALSE),"")</f>
        <v/>
      </c>
      <c r="M3384" s="47" t="str">
        <f>IFERROR(VLOOKUP(G3384,WholesaleExtract!B:M,12,FALSE),"")</f>
        <v/>
      </c>
      <c r="R3384" s="19"/>
      <c r="S3384" s="19"/>
    </row>
    <row r="3385" spans="1:19" x14ac:dyDescent="0.35">
      <c r="A3385" s="26" t="s">
        <v>543</v>
      </c>
      <c r="B3385" s="26" t="s">
        <v>543</v>
      </c>
      <c r="C3385" s="26"/>
      <c r="D3385" s="26" t="s">
        <v>543</v>
      </c>
      <c r="E3385" s="26" t="str">
        <f>IFERROR(VLOOKUP(G3385,WholesaleExtract!B:J,9,FALSE),"")</f>
        <v/>
      </c>
      <c r="F3385" s="26" t="str">
        <f>IFERROR(VLOOKUP(G3385,WholesaleExtract!B:J,6,FALSE),"")</f>
        <v/>
      </c>
      <c r="H3385" s="47" t="str">
        <f>IFERROR(VLOOKUP(G3385,WholesaleExtract!B:L,11,FALSE),"")</f>
        <v/>
      </c>
      <c r="I3385" s="26" t="str">
        <f>IFERROR(VLOOKUP(G3385,WholesaleExtract!B:O,8,FALSE),"")</f>
        <v/>
      </c>
      <c r="J3385" s="26" t="str">
        <f>IFERROR(VLOOKUP(G3385,WholesaleExtract!B:O,14,FALSE),"")</f>
        <v/>
      </c>
      <c r="K3385" s="26" t="str">
        <f>IFERROR(VLOOKUP(G3385,WholesaleExtract!B:K,10,FALSE),"")</f>
        <v/>
      </c>
      <c r="L3385" s="47" t="str">
        <f>IFERROR(VLOOKUP(G3385,WholesaleExtract!B:L,11,FALSE),"")</f>
        <v/>
      </c>
      <c r="M3385" s="47" t="str">
        <f>IFERROR(VLOOKUP(G3385,WholesaleExtract!B:M,12,FALSE),"")</f>
        <v/>
      </c>
      <c r="R3385" s="19"/>
      <c r="S3385" s="19"/>
    </row>
    <row r="3386" spans="1:19" x14ac:dyDescent="0.35">
      <c r="A3386" s="26" t="s">
        <v>543</v>
      </c>
      <c r="B3386" s="26" t="s">
        <v>543</v>
      </c>
      <c r="C3386" s="26"/>
      <c r="D3386" s="26" t="s">
        <v>543</v>
      </c>
      <c r="E3386" s="26" t="str">
        <f>IFERROR(VLOOKUP(G3386,WholesaleExtract!B:J,9,FALSE),"")</f>
        <v/>
      </c>
      <c r="F3386" s="26" t="str">
        <f>IFERROR(VLOOKUP(G3386,WholesaleExtract!B:J,6,FALSE),"")</f>
        <v/>
      </c>
      <c r="H3386" s="47" t="str">
        <f>IFERROR(VLOOKUP(G3386,WholesaleExtract!B:L,11,FALSE),"")</f>
        <v/>
      </c>
      <c r="I3386" s="26" t="str">
        <f>IFERROR(VLOOKUP(G3386,WholesaleExtract!B:O,8,FALSE),"")</f>
        <v/>
      </c>
      <c r="J3386" s="26" t="str">
        <f>IFERROR(VLOOKUP(G3386,WholesaleExtract!B:O,14,FALSE),"")</f>
        <v/>
      </c>
      <c r="K3386" s="26" t="str">
        <f>IFERROR(VLOOKUP(G3386,WholesaleExtract!B:K,10,FALSE),"")</f>
        <v/>
      </c>
      <c r="L3386" s="47" t="str">
        <f>IFERROR(VLOOKUP(G3386,WholesaleExtract!B:L,11,FALSE),"")</f>
        <v/>
      </c>
      <c r="M3386" s="47" t="str">
        <f>IFERROR(VLOOKUP(G3386,WholesaleExtract!B:M,12,FALSE),"")</f>
        <v/>
      </c>
      <c r="R3386" s="19"/>
      <c r="S3386" s="19"/>
    </row>
    <row r="3387" spans="1:19" x14ac:dyDescent="0.35">
      <c r="A3387" s="26" t="s">
        <v>543</v>
      </c>
      <c r="B3387" s="26" t="s">
        <v>543</v>
      </c>
      <c r="C3387" s="26"/>
      <c r="D3387" s="26" t="s">
        <v>543</v>
      </c>
      <c r="E3387" s="26" t="str">
        <f>IFERROR(VLOOKUP(G3387,WholesaleExtract!B:J,9,FALSE),"")</f>
        <v/>
      </c>
      <c r="F3387" s="26" t="str">
        <f>IFERROR(VLOOKUP(G3387,WholesaleExtract!B:J,6,FALSE),"")</f>
        <v/>
      </c>
      <c r="H3387" s="47" t="str">
        <f>IFERROR(VLOOKUP(G3387,WholesaleExtract!B:L,11,FALSE),"")</f>
        <v/>
      </c>
      <c r="I3387" s="26" t="str">
        <f>IFERROR(VLOOKUP(G3387,WholesaleExtract!B:O,8,FALSE),"")</f>
        <v/>
      </c>
      <c r="J3387" s="26" t="str">
        <f>IFERROR(VLOOKUP(G3387,WholesaleExtract!B:O,14,FALSE),"")</f>
        <v/>
      </c>
      <c r="K3387" s="26" t="str">
        <f>IFERROR(VLOOKUP(G3387,WholesaleExtract!B:K,10,FALSE),"")</f>
        <v/>
      </c>
      <c r="L3387" s="47" t="str">
        <f>IFERROR(VLOOKUP(G3387,WholesaleExtract!B:L,11,FALSE),"")</f>
        <v/>
      </c>
      <c r="M3387" s="47" t="str">
        <f>IFERROR(VLOOKUP(G3387,WholesaleExtract!B:M,12,FALSE),"")</f>
        <v/>
      </c>
      <c r="R3387" s="19"/>
      <c r="S3387" s="19"/>
    </row>
    <row r="3388" spans="1:19" x14ac:dyDescent="0.35">
      <c r="A3388" s="26" t="s">
        <v>543</v>
      </c>
      <c r="B3388" s="26" t="s">
        <v>543</v>
      </c>
      <c r="C3388" s="26"/>
      <c r="D3388" s="26" t="s">
        <v>543</v>
      </c>
      <c r="E3388" s="26" t="str">
        <f>IFERROR(VLOOKUP(G3388,WholesaleExtract!B:J,9,FALSE),"")</f>
        <v/>
      </c>
      <c r="F3388" s="26" t="str">
        <f>IFERROR(VLOOKUP(G3388,WholesaleExtract!B:J,6,FALSE),"")</f>
        <v/>
      </c>
      <c r="H3388" s="47" t="str">
        <f>IFERROR(VLOOKUP(G3388,WholesaleExtract!B:L,11,FALSE),"")</f>
        <v/>
      </c>
      <c r="I3388" s="26" t="str">
        <f>IFERROR(VLOOKUP(G3388,WholesaleExtract!B:O,8,FALSE),"")</f>
        <v/>
      </c>
      <c r="J3388" s="26" t="str">
        <f>IFERROR(VLOOKUP(G3388,WholesaleExtract!B:O,14,FALSE),"")</f>
        <v/>
      </c>
      <c r="K3388" s="26" t="str">
        <f>IFERROR(VLOOKUP(G3388,WholesaleExtract!B:K,10,FALSE),"")</f>
        <v/>
      </c>
      <c r="L3388" s="47" t="str">
        <f>IFERROR(VLOOKUP(G3388,WholesaleExtract!B:L,11,FALSE),"")</f>
        <v/>
      </c>
      <c r="M3388" s="47" t="str">
        <f>IFERROR(VLOOKUP(G3388,WholesaleExtract!B:M,12,FALSE),"")</f>
        <v/>
      </c>
      <c r="R3388" s="19"/>
      <c r="S3388" s="19"/>
    </row>
    <row r="3389" spans="1:19" x14ac:dyDescent="0.35">
      <c r="A3389" s="26" t="s">
        <v>543</v>
      </c>
      <c r="B3389" s="26" t="s">
        <v>543</v>
      </c>
      <c r="C3389" s="26"/>
      <c r="D3389" s="26" t="s">
        <v>543</v>
      </c>
      <c r="E3389" s="26" t="str">
        <f>IFERROR(VLOOKUP(G3389,WholesaleExtract!B:J,9,FALSE),"")</f>
        <v/>
      </c>
      <c r="F3389" s="26" t="str">
        <f>IFERROR(VLOOKUP(G3389,WholesaleExtract!B:J,6,FALSE),"")</f>
        <v/>
      </c>
      <c r="H3389" s="47" t="str">
        <f>IFERROR(VLOOKUP(G3389,WholesaleExtract!B:L,11,FALSE),"")</f>
        <v/>
      </c>
      <c r="I3389" s="26" t="str">
        <f>IFERROR(VLOOKUP(G3389,WholesaleExtract!B:O,8,FALSE),"")</f>
        <v/>
      </c>
      <c r="J3389" s="26" t="str">
        <f>IFERROR(VLOOKUP(G3389,WholesaleExtract!B:O,14,FALSE),"")</f>
        <v/>
      </c>
      <c r="K3389" s="26" t="str">
        <f>IFERROR(VLOOKUP(G3389,WholesaleExtract!B:K,10,FALSE),"")</f>
        <v/>
      </c>
      <c r="L3389" s="47" t="str">
        <f>IFERROR(VLOOKUP(G3389,WholesaleExtract!B:L,11,FALSE),"")</f>
        <v/>
      </c>
      <c r="M3389" s="47" t="str">
        <f>IFERROR(VLOOKUP(G3389,WholesaleExtract!B:M,12,FALSE),"")</f>
        <v/>
      </c>
      <c r="R3389" s="19"/>
      <c r="S3389" s="19"/>
    </row>
    <row r="3390" spans="1:19" x14ac:dyDescent="0.35">
      <c r="A3390" s="26" t="s">
        <v>543</v>
      </c>
      <c r="B3390" s="26" t="s">
        <v>543</v>
      </c>
      <c r="C3390" s="26"/>
      <c r="D3390" s="26" t="s">
        <v>543</v>
      </c>
      <c r="E3390" s="26" t="str">
        <f>IFERROR(VLOOKUP(G3390,WholesaleExtract!B:J,9,FALSE),"")</f>
        <v/>
      </c>
      <c r="F3390" s="26" t="str">
        <f>IFERROR(VLOOKUP(G3390,WholesaleExtract!B:J,6,FALSE),"")</f>
        <v/>
      </c>
      <c r="H3390" s="47" t="str">
        <f>IFERROR(VLOOKUP(G3390,WholesaleExtract!B:L,11,FALSE),"")</f>
        <v/>
      </c>
      <c r="I3390" s="26" t="str">
        <f>IFERROR(VLOOKUP(G3390,WholesaleExtract!B:O,8,FALSE),"")</f>
        <v/>
      </c>
      <c r="J3390" s="26" t="str">
        <f>IFERROR(VLOOKUP(G3390,WholesaleExtract!B:O,14,FALSE),"")</f>
        <v/>
      </c>
      <c r="K3390" s="26" t="str">
        <f>IFERROR(VLOOKUP(G3390,WholesaleExtract!B:K,10,FALSE),"")</f>
        <v/>
      </c>
      <c r="L3390" s="47" t="str">
        <f>IFERROR(VLOOKUP(G3390,WholesaleExtract!B:L,11,FALSE),"")</f>
        <v/>
      </c>
      <c r="M3390" s="47" t="str">
        <f>IFERROR(VLOOKUP(G3390,WholesaleExtract!B:M,12,FALSE),"")</f>
        <v/>
      </c>
      <c r="R3390" s="19"/>
      <c r="S3390" s="19"/>
    </row>
    <row r="3391" spans="1:19" x14ac:dyDescent="0.35">
      <c r="A3391" s="26" t="s">
        <v>543</v>
      </c>
      <c r="B3391" s="26" t="s">
        <v>543</v>
      </c>
      <c r="C3391" s="26"/>
      <c r="D3391" s="26" t="s">
        <v>543</v>
      </c>
      <c r="E3391" s="26" t="str">
        <f>IFERROR(VLOOKUP(G3391,WholesaleExtract!B:J,9,FALSE),"")</f>
        <v/>
      </c>
      <c r="F3391" s="26" t="str">
        <f>IFERROR(VLOOKUP(G3391,WholesaleExtract!B:J,6,FALSE),"")</f>
        <v/>
      </c>
      <c r="H3391" s="47" t="str">
        <f>IFERROR(VLOOKUP(G3391,WholesaleExtract!B:L,11,FALSE),"")</f>
        <v/>
      </c>
      <c r="I3391" s="26" t="str">
        <f>IFERROR(VLOOKUP(G3391,WholesaleExtract!B:O,8,FALSE),"")</f>
        <v/>
      </c>
      <c r="J3391" s="26" t="str">
        <f>IFERROR(VLOOKUP(G3391,WholesaleExtract!B:O,14,FALSE),"")</f>
        <v/>
      </c>
      <c r="K3391" s="26" t="str">
        <f>IFERROR(VLOOKUP(G3391,WholesaleExtract!B:K,10,FALSE),"")</f>
        <v/>
      </c>
      <c r="L3391" s="47" t="str">
        <f>IFERROR(VLOOKUP(G3391,WholesaleExtract!B:L,11,FALSE),"")</f>
        <v/>
      </c>
      <c r="M3391" s="47" t="str">
        <f>IFERROR(VLOOKUP(G3391,WholesaleExtract!B:M,12,FALSE),"")</f>
        <v/>
      </c>
      <c r="R3391" s="19"/>
      <c r="S3391" s="19"/>
    </row>
    <row r="3392" spans="1:19" x14ac:dyDescent="0.35">
      <c r="A3392" s="26" t="s">
        <v>543</v>
      </c>
      <c r="B3392" s="26" t="s">
        <v>543</v>
      </c>
      <c r="C3392" s="26"/>
      <c r="D3392" s="26" t="s">
        <v>543</v>
      </c>
      <c r="E3392" s="26" t="str">
        <f>IFERROR(VLOOKUP(G3392,WholesaleExtract!B:J,9,FALSE),"")</f>
        <v/>
      </c>
      <c r="F3392" s="26" t="str">
        <f>IFERROR(VLOOKUP(G3392,WholesaleExtract!B:J,6,FALSE),"")</f>
        <v/>
      </c>
      <c r="H3392" s="47" t="str">
        <f>IFERROR(VLOOKUP(G3392,WholesaleExtract!B:L,11,FALSE),"")</f>
        <v/>
      </c>
      <c r="I3392" s="26" t="str">
        <f>IFERROR(VLOOKUP(G3392,WholesaleExtract!B:O,8,FALSE),"")</f>
        <v/>
      </c>
      <c r="J3392" s="26" t="str">
        <f>IFERROR(VLOOKUP(G3392,WholesaleExtract!B:O,14,FALSE),"")</f>
        <v/>
      </c>
      <c r="K3392" s="26" t="str">
        <f>IFERROR(VLOOKUP(G3392,WholesaleExtract!B:K,10,FALSE),"")</f>
        <v/>
      </c>
      <c r="L3392" s="47" t="str">
        <f>IFERROR(VLOOKUP(G3392,WholesaleExtract!B:L,11,FALSE),"")</f>
        <v/>
      </c>
      <c r="M3392" s="47" t="str">
        <f>IFERROR(VLOOKUP(G3392,WholesaleExtract!B:M,12,FALSE),"")</f>
        <v/>
      </c>
      <c r="R3392" s="19"/>
      <c r="S3392" s="19"/>
    </row>
    <row r="3393" spans="1:19" x14ac:dyDescent="0.35">
      <c r="A3393" s="26" t="s">
        <v>543</v>
      </c>
      <c r="B3393" s="26" t="s">
        <v>543</v>
      </c>
      <c r="C3393" s="26"/>
      <c r="D3393" s="26" t="s">
        <v>543</v>
      </c>
      <c r="E3393" s="26" t="str">
        <f>IFERROR(VLOOKUP(G3393,WholesaleExtract!B:J,9,FALSE),"")</f>
        <v/>
      </c>
      <c r="F3393" s="26" t="str">
        <f>IFERROR(VLOOKUP(G3393,WholesaleExtract!B:J,6,FALSE),"")</f>
        <v/>
      </c>
      <c r="H3393" s="47" t="str">
        <f>IFERROR(VLOOKUP(G3393,WholesaleExtract!B:L,11,FALSE),"")</f>
        <v/>
      </c>
      <c r="I3393" s="26" t="str">
        <f>IFERROR(VLOOKUP(G3393,WholesaleExtract!B:O,8,FALSE),"")</f>
        <v/>
      </c>
      <c r="J3393" s="26" t="str">
        <f>IFERROR(VLOOKUP(G3393,WholesaleExtract!B:O,14,FALSE),"")</f>
        <v/>
      </c>
      <c r="K3393" s="26" t="str">
        <f>IFERROR(VLOOKUP(G3393,WholesaleExtract!B:K,10,FALSE),"")</f>
        <v/>
      </c>
      <c r="L3393" s="47" t="str">
        <f>IFERROR(VLOOKUP(G3393,WholesaleExtract!B:L,11,FALSE),"")</f>
        <v/>
      </c>
      <c r="M3393" s="47" t="str">
        <f>IFERROR(VLOOKUP(G3393,WholesaleExtract!B:M,12,FALSE),"")</f>
        <v/>
      </c>
      <c r="R3393" s="19"/>
      <c r="S3393" s="19"/>
    </row>
    <row r="3394" spans="1:19" x14ac:dyDescent="0.35">
      <c r="A3394" s="26" t="s">
        <v>543</v>
      </c>
      <c r="B3394" s="26" t="s">
        <v>543</v>
      </c>
      <c r="C3394" s="26"/>
      <c r="D3394" s="26" t="s">
        <v>543</v>
      </c>
      <c r="E3394" s="26" t="str">
        <f>IFERROR(VLOOKUP(G3394,WholesaleExtract!B:J,9,FALSE),"")</f>
        <v/>
      </c>
      <c r="F3394" s="26" t="str">
        <f>IFERROR(VLOOKUP(G3394,WholesaleExtract!B:J,6,FALSE),"")</f>
        <v/>
      </c>
      <c r="H3394" s="47" t="str">
        <f>IFERROR(VLOOKUP(G3394,WholesaleExtract!B:L,11,FALSE),"")</f>
        <v/>
      </c>
      <c r="I3394" s="26" t="str">
        <f>IFERROR(VLOOKUP(G3394,WholesaleExtract!B:O,8,FALSE),"")</f>
        <v/>
      </c>
      <c r="J3394" s="26" t="str">
        <f>IFERROR(VLOOKUP(G3394,WholesaleExtract!B:O,14,FALSE),"")</f>
        <v/>
      </c>
      <c r="K3394" s="26" t="str">
        <f>IFERROR(VLOOKUP(G3394,WholesaleExtract!B:K,10,FALSE),"")</f>
        <v/>
      </c>
      <c r="L3394" s="47" t="str">
        <f>IFERROR(VLOOKUP(G3394,WholesaleExtract!B:L,11,FALSE),"")</f>
        <v/>
      </c>
      <c r="M3394" s="47" t="str">
        <f>IFERROR(VLOOKUP(G3394,WholesaleExtract!B:M,12,FALSE),"")</f>
        <v/>
      </c>
      <c r="R3394" s="19"/>
      <c r="S3394" s="19"/>
    </row>
    <row r="3395" spans="1:19" x14ac:dyDescent="0.35">
      <c r="A3395" s="26" t="s">
        <v>543</v>
      </c>
      <c r="B3395" s="26" t="s">
        <v>543</v>
      </c>
      <c r="C3395" s="26"/>
      <c r="D3395" s="26" t="s">
        <v>543</v>
      </c>
      <c r="E3395" s="26" t="str">
        <f>IFERROR(VLOOKUP(G3395,WholesaleExtract!B:J,9,FALSE),"")</f>
        <v/>
      </c>
      <c r="F3395" s="26" t="str">
        <f>IFERROR(VLOOKUP(G3395,WholesaleExtract!B:J,6,FALSE),"")</f>
        <v/>
      </c>
      <c r="H3395" s="47" t="str">
        <f>IFERROR(VLOOKUP(G3395,WholesaleExtract!B:L,11,FALSE),"")</f>
        <v/>
      </c>
      <c r="I3395" s="26" t="str">
        <f>IFERROR(VLOOKUP(G3395,WholesaleExtract!B:O,8,FALSE),"")</f>
        <v/>
      </c>
      <c r="J3395" s="26" t="str">
        <f>IFERROR(VLOOKUP(G3395,WholesaleExtract!B:O,14,FALSE),"")</f>
        <v/>
      </c>
      <c r="K3395" s="26" t="str">
        <f>IFERROR(VLOOKUP(G3395,WholesaleExtract!B:K,10,FALSE),"")</f>
        <v/>
      </c>
      <c r="L3395" s="47" t="str">
        <f>IFERROR(VLOOKUP(G3395,WholesaleExtract!B:L,11,FALSE),"")</f>
        <v/>
      </c>
      <c r="M3395" s="47" t="str">
        <f>IFERROR(VLOOKUP(G3395,WholesaleExtract!B:M,12,FALSE),"")</f>
        <v/>
      </c>
      <c r="R3395" s="19"/>
      <c r="S3395" s="19"/>
    </row>
    <row r="3396" spans="1:19" x14ac:dyDescent="0.35">
      <c r="A3396" s="26" t="s">
        <v>543</v>
      </c>
      <c r="B3396" s="26" t="s">
        <v>543</v>
      </c>
      <c r="C3396" s="26"/>
      <c r="D3396" s="26" t="s">
        <v>543</v>
      </c>
      <c r="E3396" s="26" t="str">
        <f>IFERROR(VLOOKUP(G3396,WholesaleExtract!B:J,9,FALSE),"")</f>
        <v/>
      </c>
      <c r="F3396" s="26" t="str">
        <f>IFERROR(VLOOKUP(G3396,WholesaleExtract!B:J,6,FALSE),"")</f>
        <v/>
      </c>
      <c r="H3396" s="47" t="str">
        <f>IFERROR(VLOOKUP(G3396,WholesaleExtract!B:L,11,FALSE),"")</f>
        <v/>
      </c>
      <c r="I3396" s="26" t="str">
        <f>IFERROR(VLOOKUP(G3396,WholesaleExtract!B:O,8,FALSE),"")</f>
        <v/>
      </c>
      <c r="J3396" s="26" t="str">
        <f>IFERROR(VLOOKUP(G3396,WholesaleExtract!B:O,14,FALSE),"")</f>
        <v/>
      </c>
      <c r="K3396" s="26" t="str">
        <f>IFERROR(VLOOKUP(G3396,WholesaleExtract!B:K,10,FALSE),"")</f>
        <v/>
      </c>
      <c r="L3396" s="47" t="str">
        <f>IFERROR(VLOOKUP(G3396,WholesaleExtract!B:L,11,FALSE),"")</f>
        <v/>
      </c>
      <c r="M3396" s="47" t="str">
        <f>IFERROR(VLOOKUP(G3396,WholesaleExtract!B:M,12,FALSE),"")</f>
        <v/>
      </c>
      <c r="R3396" s="19"/>
      <c r="S3396" s="19"/>
    </row>
    <row r="3397" spans="1:19" x14ac:dyDescent="0.35">
      <c r="A3397" s="26" t="s">
        <v>543</v>
      </c>
      <c r="B3397" s="26" t="s">
        <v>543</v>
      </c>
      <c r="C3397" s="26"/>
      <c r="D3397" s="26" t="s">
        <v>543</v>
      </c>
      <c r="E3397" s="26" t="str">
        <f>IFERROR(VLOOKUP(G3397,WholesaleExtract!B:J,9,FALSE),"")</f>
        <v/>
      </c>
      <c r="F3397" s="26" t="str">
        <f>IFERROR(VLOOKUP(G3397,WholesaleExtract!B:J,6,FALSE),"")</f>
        <v/>
      </c>
      <c r="H3397" s="47" t="str">
        <f>IFERROR(VLOOKUP(G3397,WholesaleExtract!B:L,11,FALSE),"")</f>
        <v/>
      </c>
      <c r="I3397" s="26" t="str">
        <f>IFERROR(VLOOKUP(G3397,WholesaleExtract!B:O,8,FALSE),"")</f>
        <v/>
      </c>
      <c r="J3397" s="26" t="str">
        <f>IFERROR(VLOOKUP(G3397,WholesaleExtract!B:O,14,FALSE),"")</f>
        <v/>
      </c>
      <c r="K3397" s="26" t="str">
        <f>IFERROR(VLOOKUP(G3397,WholesaleExtract!B:K,10,FALSE),"")</f>
        <v/>
      </c>
      <c r="L3397" s="47" t="str">
        <f>IFERROR(VLOOKUP(G3397,WholesaleExtract!B:L,11,FALSE),"")</f>
        <v/>
      </c>
      <c r="M3397" s="47" t="str">
        <f>IFERROR(VLOOKUP(G3397,WholesaleExtract!B:M,12,FALSE),"")</f>
        <v/>
      </c>
      <c r="R3397" s="19"/>
      <c r="S3397" s="19"/>
    </row>
    <row r="3398" spans="1:19" x14ac:dyDescent="0.35">
      <c r="A3398" s="26" t="s">
        <v>543</v>
      </c>
      <c r="B3398" s="26" t="s">
        <v>543</v>
      </c>
      <c r="C3398" s="26"/>
      <c r="D3398" s="26" t="s">
        <v>543</v>
      </c>
      <c r="E3398" s="26" t="str">
        <f>IFERROR(VLOOKUP(G3398,WholesaleExtract!B:J,9,FALSE),"")</f>
        <v/>
      </c>
      <c r="F3398" s="26" t="str">
        <f>IFERROR(VLOOKUP(G3398,WholesaleExtract!B:J,6,FALSE),"")</f>
        <v/>
      </c>
      <c r="H3398" s="47" t="str">
        <f>IFERROR(VLOOKUP(G3398,WholesaleExtract!B:L,11,FALSE),"")</f>
        <v/>
      </c>
      <c r="I3398" s="26" t="str">
        <f>IFERROR(VLOOKUP(G3398,WholesaleExtract!B:O,8,FALSE),"")</f>
        <v/>
      </c>
      <c r="J3398" s="26" t="str">
        <f>IFERROR(VLOOKUP(G3398,WholesaleExtract!B:O,14,FALSE),"")</f>
        <v/>
      </c>
      <c r="K3398" s="26" t="str">
        <f>IFERROR(VLOOKUP(G3398,WholesaleExtract!B:K,10,FALSE),"")</f>
        <v/>
      </c>
      <c r="L3398" s="47" t="str">
        <f>IFERROR(VLOOKUP(G3398,WholesaleExtract!B:L,11,FALSE),"")</f>
        <v/>
      </c>
      <c r="M3398" s="47" t="str">
        <f>IFERROR(VLOOKUP(G3398,WholesaleExtract!B:M,12,FALSE),"")</f>
        <v/>
      </c>
      <c r="R3398" s="19"/>
      <c r="S3398" s="19"/>
    </row>
    <row r="3399" spans="1:19" x14ac:dyDescent="0.35">
      <c r="A3399" s="26" t="s">
        <v>543</v>
      </c>
      <c r="B3399" s="26" t="s">
        <v>543</v>
      </c>
      <c r="C3399" s="26"/>
      <c r="D3399" s="26" t="s">
        <v>543</v>
      </c>
      <c r="E3399" s="26" t="str">
        <f>IFERROR(VLOOKUP(G3399,WholesaleExtract!B:J,9,FALSE),"")</f>
        <v/>
      </c>
      <c r="F3399" s="26" t="str">
        <f>IFERROR(VLOOKUP(G3399,WholesaleExtract!B:J,6,FALSE),"")</f>
        <v/>
      </c>
      <c r="H3399" s="47" t="str">
        <f>IFERROR(VLOOKUP(G3399,WholesaleExtract!B:L,11,FALSE),"")</f>
        <v/>
      </c>
      <c r="I3399" s="26" t="str">
        <f>IFERROR(VLOOKUP(G3399,WholesaleExtract!B:O,8,FALSE),"")</f>
        <v/>
      </c>
      <c r="J3399" s="26" t="str">
        <f>IFERROR(VLOOKUP(G3399,WholesaleExtract!B:O,14,FALSE),"")</f>
        <v/>
      </c>
      <c r="K3399" s="26" t="str">
        <f>IFERROR(VLOOKUP(G3399,WholesaleExtract!B:K,10,FALSE),"")</f>
        <v/>
      </c>
      <c r="L3399" s="47" t="str">
        <f>IFERROR(VLOOKUP(G3399,WholesaleExtract!B:L,11,FALSE),"")</f>
        <v/>
      </c>
      <c r="M3399" s="47" t="str">
        <f>IFERROR(VLOOKUP(G3399,WholesaleExtract!B:M,12,FALSE),"")</f>
        <v/>
      </c>
      <c r="R3399" s="19"/>
      <c r="S3399" s="19"/>
    </row>
    <row r="3400" spans="1:19" x14ac:dyDescent="0.35">
      <c r="A3400" s="26" t="s">
        <v>543</v>
      </c>
      <c r="B3400" s="26" t="s">
        <v>543</v>
      </c>
      <c r="C3400" s="26"/>
      <c r="D3400" s="26" t="s">
        <v>543</v>
      </c>
      <c r="E3400" s="26" t="str">
        <f>IFERROR(VLOOKUP(G3400,WholesaleExtract!B:J,9,FALSE),"")</f>
        <v/>
      </c>
      <c r="F3400" s="26" t="str">
        <f>IFERROR(VLOOKUP(G3400,WholesaleExtract!B:J,6,FALSE),"")</f>
        <v/>
      </c>
      <c r="H3400" s="47" t="str">
        <f>IFERROR(VLOOKUP(G3400,WholesaleExtract!B:L,11,FALSE),"")</f>
        <v/>
      </c>
      <c r="I3400" s="26" t="str">
        <f>IFERROR(VLOOKUP(G3400,WholesaleExtract!B:O,8,FALSE),"")</f>
        <v/>
      </c>
      <c r="J3400" s="26" t="str">
        <f>IFERROR(VLOOKUP(G3400,WholesaleExtract!B:O,14,FALSE),"")</f>
        <v/>
      </c>
      <c r="K3400" s="26" t="str">
        <f>IFERROR(VLOOKUP(G3400,WholesaleExtract!B:K,10,FALSE),"")</f>
        <v/>
      </c>
      <c r="L3400" s="47" t="str">
        <f>IFERROR(VLOOKUP(G3400,WholesaleExtract!B:L,11,FALSE),"")</f>
        <v/>
      </c>
      <c r="M3400" s="47" t="str">
        <f>IFERROR(VLOOKUP(G3400,WholesaleExtract!B:M,12,FALSE),"")</f>
        <v/>
      </c>
      <c r="R3400" s="19"/>
      <c r="S3400" s="19"/>
    </row>
    <row r="3401" spans="1:19" x14ac:dyDescent="0.35">
      <c r="A3401" s="26" t="s">
        <v>543</v>
      </c>
      <c r="B3401" s="26" t="s">
        <v>543</v>
      </c>
      <c r="C3401" s="26"/>
      <c r="D3401" s="26" t="s">
        <v>543</v>
      </c>
      <c r="E3401" s="26" t="str">
        <f>IFERROR(VLOOKUP(G3401,WholesaleExtract!B:J,9,FALSE),"")</f>
        <v/>
      </c>
      <c r="F3401" s="26" t="str">
        <f>IFERROR(VLOOKUP(G3401,WholesaleExtract!B:J,6,FALSE),"")</f>
        <v/>
      </c>
      <c r="H3401" s="47" t="str">
        <f>IFERROR(VLOOKUP(G3401,WholesaleExtract!B:L,11,FALSE),"")</f>
        <v/>
      </c>
      <c r="I3401" s="26" t="str">
        <f>IFERROR(VLOOKUP(G3401,WholesaleExtract!B:O,8,FALSE),"")</f>
        <v/>
      </c>
      <c r="J3401" s="26" t="str">
        <f>IFERROR(VLOOKUP(G3401,WholesaleExtract!B:O,14,FALSE),"")</f>
        <v/>
      </c>
      <c r="K3401" s="26" t="str">
        <f>IFERROR(VLOOKUP(G3401,WholesaleExtract!B:K,10,FALSE),"")</f>
        <v/>
      </c>
      <c r="L3401" s="47" t="str">
        <f>IFERROR(VLOOKUP(G3401,WholesaleExtract!B:L,11,FALSE),"")</f>
        <v/>
      </c>
      <c r="M3401" s="47" t="str">
        <f>IFERROR(VLOOKUP(G3401,WholesaleExtract!B:M,12,FALSE),"")</f>
        <v/>
      </c>
      <c r="R3401" s="19"/>
      <c r="S3401" s="19"/>
    </row>
    <row r="3402" spans="1:19" x14ac:dyDescent="0.35">
      <c r="A3402" s="26" t="s">
        <v>543</v>
      </c>
      <c r="B3402" s="26" t="s">
        <v>543</v>
      </c>
      <c r="C3402" s="26"/>
      <c r="D3402" s="26" t="s">
        <v>543</v>
      </c>
      <c r="E3402" s="26" t="str">
        <f>IFERROR(VLOOKUP(G3402,WholesaleExtract!B:J,9,FALSE),"")</f>
        <v/>
      </c>
      <c r="F3402" s="26" t="str">
        <f>IFERROR(VLOOKUP(G3402,WholesaleExtract!B:J,6,FALSE),"")</f>
        <v/>
      </c>
      <c r="H3402" s="47" t="str">
        <f>IFERROR(VLOOKUP(G3402,WholesaleExtract!B:L,11,FALSE),"")</f>
        <v/>
      </c>
      <c r="I3402" s="26" t="str">
        <f>IFERROR(VLOOKUP(G3402,WholesaleExtract!B:O,8,FALSE),"")</f>
        <v/>
      </c>
      <c r="J3402" s="26" t="str">
        <f>IFERROR(VLOOKUP(G3402,WholesaleExtract!B:O,14,FALSE),"")</f>
        <v/>
      </c>
      <c r="K3402" s="26" t="str">
        <f>IFERROR(VLOOKUP(G3402,WholesaleExtract!B:K,10,FALSE),"")</f>
        <v/>
      </c>
      <c r="L3402" s="47" t="str">
        <f>IFERROR(VLOOKUP(G3402,WholesaleExtract!B:L,11,FALSE),"")</f>
        <v/>
      </c>
      <c r="M3402" s="47" t="str">
        <f>IFERROR(VLOOKUP(G3402,WholesaleExtract!B:M,12,FALSE),"")</f>
        <v/>
      </c>
      <c r="R3402" s="19"/>
      <c r="S3402" s="19"/>
    </row>
    <row r="3403" spans="1:19" x14ac:dyDescent="0.35">
      <c r="A3403" s="26" t="s">
        <v>543</v>
      </c>
      <c r="B3403" s="26" t="s">
        <v>543</v>
      </c>
      <c r="C3403" s="26"/>
      <c r="D3403" s="26" t="s">
        <v>543</v>
      </c>
      <c r="E3403" s="26" t="str">
        <f>IFERROR(VLOOKUP(G3403,WholesaleExtract!B:J,9,FALSE),"")</f>
        <v/>
      </c>
      <c r="F3403" s="26" t="str">
        <f>IFERROR(VLOOKUP(G3403,WholesaleExtract!B:J,6,FALSE),"")</f>
        <v/>
      </c>
      <c r="H3403" s="47" t="str">
        <f>IFERROR(VLOOKUP(G3403,WholesaleExtract!B:L,11,FALSE),"")</f>
        <v/>
      </c>
      <c r="I3403" s="26" t="str">
        <f>IFERROR(VLOOKUP(G3403,WholesaleExtract!B:O,8,FALSE),"")</f>
        <v/>
      </c>
      <c r="J3403" s="26" t="str">
        <f>IFERROR(VLOOKUP(G3403,WholesaleExtract!B:O,14,FALSE),"")</f>
        <v/>
      </c>
      <c r="K3403" s="26" t="str">
        <f>IFERROR(VLOOKUP(G3403,WholesaleExtract!B:K,10,FALSE),"")</f>
        <v/>
      </c>
      <c r="L3403" s="47" t="str">
        <f>IFERROR(VLOOKUP(G3403,WholesaleExtract!B:L,11,FALSE),"")</f>
        <v/>
      </c>
      <c r="M3403" s="47" t="str">
        <f>IFERROR(VLOOKUP(G3403,WholesaleExtract!B:M,12,FALSE),"")</f>
        <v/>
      </c>
      <c r="R3403" s="19"/>
      <c r="S3403" s="19"/>
    </row>
    <row r="3404" spans="1:19" x14ac:dyDescent="0.35">
      <c r="A3404" s="26" t="s">
        <v>543</v>
      </c>
      <c r="B3404" s="26" t="s">
        <v>543</v>
      </c>
      <c r="C3404" s="26"/>
      <c r="D3404" s="26" t="s">
        <v>543</v>
      </c>
      <c r="E3404" s="26" t="str">
        <f>IFERROR(VLOOKUP(G3404,WholesaleExtract!B:J,9,FALSE),"")</f>
        <v/>
      </c>
      <c r="F3404" s="26" t="str">
        <f>IFERROR(VLOOKUP(G3404,WholesaleExtract!B:J,6,FALSE),"")</f>
        <v/>
      </c>
      <c r="H3404" s="47" t="str">
        <f>IFERROR(VLOOKUP(G3404,WholesaleExtract!B:L,11,FALSE),"")</f>
        <v/>
      </c>
      <c r="I3404" s="26" t="str">
        <f>IFERROR(VLOOKUP(G3404,WholesaleExtract!B:O,8,FALSE),"")</f>
        <v/>
      </c>
      <c r="J3404" s="26" t="str">
        <f>IFERROR(VLOOKUP(G3404,WholesaleExtract!B:O,14,FALSE),"")</f>
        <v/>
      </c>
      <c r="K3404" s="26" t="str">
        <f>IFERROR(VLOOKUP(G3404,WholesaleExtract!B:K,10,FALSE),"")</f>
        <v/>
      </c>
      <c r="L3404" s="47" t="str">
        <f>IFERROR(VLOOKUP(G3404,WholesaleExtract!B:L,11,FALSE),"")</f>
        <v/>
      </c>
      <c r="M3404" s="47" t="str">
        <f>IFERROR(VLOOKUP(G3404,WholesaleExtract!B:M,12,FALSE),"")</f>
        <v/>
      </c>
      <c r="R3404" s="19"/>
      <c r="S3404" s="19"/>
    </row>
    <row r="3405" spans="1:19" x14ac:dyDescent="0.35">
      <c r="A3405" s="26" t="s">
        <v>543</v>
      </c>
      <c r="B3405" s="26" t="s">
        <v>543</v>
      </c>
      <c r="C3405" s="26"/>
      <c r="D3405" s="26" t="s">
        <v>543</v>
      </c>
      <c r="E3405" s="26" t="str">
        <f>IFERROR(VLOOKUP(G3405,WholesaleExtract!B:J,9,FALSE),"")</f>
        <v/>
      </c>
      <c r="F3405" s="26" t="str">
        <f>IFERROR(VLOOKUP(G3405,WholesaleExtract!B:J,6,FALSE),"")</f>
        <v/>
      </c>
      <c r="H3405" s="47" t="str">
        <f>IFERROR(VLOOKUP(G3405,WholesaleExtract!B:L,11,FALSE),"")</f>
        <v/>
      </c>
      <c r="I3405" s="26" t="str">
        <f>IFERROR(VLOOKUP(G3405,WholesaleExtract!B:O,8,FALSE),"")</f>
        <v/>
      </c>
      <c r="J3405" s="26" t="str">
        <f>IFERROR(VLOOKUP(G3405,WholesaleExtract!B:O,14,FALSE),"")</f>
        <v/>
      </c>
      <c r="K3405" s="26" t="str">
        <f>IFERROR(VLOOKUP(G3405,WholesaleExtract!B:K,10,FALSE),"")</f>
        <v/>
      </c>
      <c r="L3405" s="47" t="str">
        <f>IFERROR(VLOOKUP(G3405,WholesaleExtract!B:L,11,FALSE),"")</f>
        <v/>
      </c>
      <c r="M3405" s="47" t="str">
        <f>IFERROR(VLOOKUP(G3405,WholesaleExtract!B:M,12,FALSE),"")</f>
        <v/>
      </c>
      <c r="R3405" s="19"/>
      <c r="S3405" s="19"/>
    </row>
    <row r="3406" spans="1:19" x14ac:dyDescent="0.35">
      <c r="A3406" s="26" t="s">
        <v>543</v>
      </c>
      <c r="B3406" s="26" t="s">
        <v>543</v>
      </c>
      <c r="C3406" s="26"/>
      <c r="D3406" s="26" t="s">
        <v>543</v>
      </c>
      <c r="E3406" s="26" t="str">
        <f>IFERROR(VLOOKUP(G3406,WholesaleExtract!B:J,9,FALSE),"")</f>
        <v/>
      </c>
      <c r="F3406" s="26" t="str">
        <f>IFERROR(VLOOKUP(G3406,WholesaleExtract!B:J,6,FALSE),"")</f>
        <v/>
      </c>
      <c r="H3406" s="47" t="str">
        <f>IFERROR(VLOOKUP(G3406,WholesaleExtract!B:L,11,FALSE),"")</f>
        <v/>
      </c>
      <c r="I3406" s="26" t="str">
        <f>IFERROR(VLOOKUP(G3406,WholesaleExtract!B:O,8,FALSE),"")</f>
        <v/>
      </c>
      <c r="J3406" s="26" t="str">
        <f>IFERROR(VLOOKUP(G3406,WholesaleExtract!B:O,14,FALSE),"")</f>
        <v/>
      </c>
      <c r="K3406" s="26" t="str">
        <f>IFERROR(VLOOKUP(G3406,WholesaleExtract!B:K,10,FALSE),"")</f>
        <v/>
      </c>
      <c r="L3406" s="47" t="str">
        <f>IFERROR(VLOOKUP(G3406,WholesaleExtract!B:L,11,FALSE),"")</f>
        <v/>
      </c>
      <c r="M3406" s="47" t="str">
        <f>IFERROR(VLOOKUP(G3406,WholesaleExtract!B:M,12,FALSE),"")</f>
        <v/>
      </c>
      <c r="R3406" s="19"/>
      <c r="S3406" s="19"/>
    </row>
    <row r="3407" spans="1:19" x14ac:dyDescent="0.35">
      <c r="A3407" s="26" t="s">
        <v>543</v>
      </c>
      <c r="B3407" s="26" t="s">
        <v>543</v>
      </c>
      <c r="C3407" s="26"/>
      <c r="D3407" s="26" t="s">
        <v>543</v>
      </c>
      <c r="E3407" s="26" t="str">
        <f>IFERROR(VLOOKUP(G3407,WholesaleExtract!B:J,9,FALSE),"")</f>
        <v/>
      </c>
      <c r="F3407" s="26" t="str">
        <f>IFERROR(VLOOKUP(G3407,WholesaleExtract!B:J,6,FALSE),"")</f>
        <v/>
      </c>
      <c r="H3407" s="47" t="str">
        <f>IFERROR(VLOOKUP(G3407,WholesaleExtract!B:L,11,FALSE),"")</f>
        <v/>
      </c>
      <c r="I3407" s="26" t="str">
        <f>IFERROR(VLOOKUP(G3407,WholesaleExtract!B:O,8,FALSE),"")</f>
        <v/>
      </c>
      <c r="J3407" s="26" t="str">
        <f>IFERROR(VLOOKUP(G3407,WholesaleExtract!B:O,14,FALSE),"")</f>
        <v/>
      </c>
      <c r="K3407" s="26" t="str">
        <f>IFERROR(VLOOKUP(G3407,WholesaleExtract!B:K,10,FALSE),"")</f>
        <v/>
      </c>
      <c r="L3407" s="47" t="str">
        <f>IFERROR(VLOOKUP(G3407,WholesaleExtract!B:L,11,FALSE),"")</f>
        <v/>
      </c>
      <c r="M3407" s="47" t="str">
        <f>IFERROR(VLOOKUP(G3407,WholesaleExtract!B:M,12,FALSE),"")</f>
        <v/>
      </c>
      <c r="R3407" s="19"/>
      <c r="S3407" s="19"/>
    </row>
    <row r="3408" spans="1:19" x14ac:dyDescent="0.35">
      <c r="A3408" s="26" t="s">
        <v>543</v>
      </c>
      <c r="B3408" s="26" t="s">
        <v>543</v>
      </c>
      <c r="C3408" s="26"/>
      <c r="D3408" s="26" t="s">
        <v>543</v>
      </c>
      <c r="E3408" s="26" t="str">
        <f>IFERROR(VLOOKUP(G3408,WholesaleExtract!B:J,9,FALSE),"")</f>
        <v/>
      </c>
      <c r="F3408" s="26" t="str">
        <f>IFERROR(VLOOKUP(G3408,WholesaleExtract!B:J,6,FALSE),"")</f>
        <v/>
      </c>
      <c r="H3408" s="47" t="str">
        <f>IFERROR(VLOOKUP(G3408,WholesaleExtract!B:L,11,FALSE),"")</f>
        <v/>
      </c>
      <c r="I3408" s="26" t="str">
        <f>IFERROR(VLOOKUP(G3408,WholesaleExtract!B:O,8,FALSE),"")</f>
        <v/>
      </c>
      <c r="J3408" s="26" t="str">
        <f>IFERROR(VLOOKUP(G3408,WholesaleExtract!B:O,14,FALSE),"")</f>
        <v/>
      </c>
      <c r="K3408" s="26" t="str">
        <f>IFERROR(VLOOKUP(G3408,WholesaleExtract!B:K,10,FALSE),"")</f>
        <v/>
      </c>
      <c r="L3408" s="47" t="str">
        <f>IFERROR(VLOOKUP(G3408,WholesaleExtract!B:L,11,FALSE),"")</f>
        <v/>
      </c>
      <c r="M3408" s="47" t="str">
        <f>IFERROR(VLOOKUP(G3408,WholesaleExtract!B:M,12,FALSE),"")</f>
        <v/>
      </c>
      <c r="R3408" s="19"/>
      <c r="S3408" s="19"/>
    </row>
    <row r="3409" spans="1:19" x14ac:dyDescent="0.35">
      <c r="A3409" s="26" t="s">
        <v>543</v>
      </c>
      <c r="B3409" s="26" t="s">
        <v>543</v>
      </c>
      <c r="C3409" s="26"/>
      <c r="D3409" s="26" t="s">
        <v>543</v>
      </c>
      <c r="E3409" s="26" t="str">
        <f>IFERROR(VLOOKUP(G3409,WholesaleExtract!B:J,9,FALSE),"")</f>
        <v/>
      </c>
      <c r="F3409" s="26" t="str">
        <f>IFERROR(VLOOKUP(G3409,WholesaleExtract!B:J,6,FALSE),"")</f>
        <v/>
      </c>
      <c r="H3409" s="47" t="str">
        <f>IFERROR(VLOOKUP(G3409,WholesaleExtract!B:L,11,FALSE),"")</f>
        <v/>
      </c>
      <c r="I3409" s="26" t="str">
        <f>IFERROR(VLOOKUP(G3409,WholesaleExtract!B:O,8,FALSE),"")</f>
        <v/>
      </c>
      <c r="J3409" s="26" t="str">
        <f>IFERROR(VLOOKUP(G3409,WholesaleExtract!B:O,14,FALSE),"")</f>
        <v/>
      </c>
      <c r="K3409" s="26" t="str">
        <f>IFERROR(VLOOKUP(G3409,WholesaleExtract!B:K,10,FALSE),"")</f>
        <v/>
      </c>
      <c r="L3409" s="47" t="str">
        <f>IFERROR(VLOOKUP(G3409,WholesaleExtract!B:L,11,FALSE),"")</f>
        <v/>
      </c>
      <c r="M3409" s="47" t="str">
        <f>IFERROR(VLOOKUP(G3409,WholesaleExtract!B:M,12,FALSE),"")</f>
        <v/>
      </c>
      <c r="R3409" s="19"/>
      <c r="S3409" s="19"/>
    </row>
    <row r="3410" spans="1:19" x14ac:dyDescent="0.35">
      <c r="A3410" s="26" t="s">
        <v>543</v>
      </c>
      <c r="B3410" s="26" t="s">
        <v>543</v>
      </c>
      <c r="C3410" s="26"/>
      <c r="D3410" s="26" t="s">
        <v>543</v>
      </c>
      <c r="E3410" s="26" t="str">
        <f>IFERROR(VLOOKUP(G3410,WholesaleExtract!B:J,9,FALSE),"")</f>
        <v/>
      </c>
      <c r="F3410" s="26" t="str">
        <f>IFERROR(VLOOKUP(G3410,WholesaleExtract!B:J,6,FALSE),"")</f>
        <v/>
      </c>
      <c r="H3410" s="47" t="str">
        <f>IFERROR(VLOOKUP(G3410,WholesaleExtract!B:L,11,FALSE),"")</f>
        <v/>
      </c>
      <c r="I3410" s="26" t="str">
        <f>IFERROR(VLOOKUP(G3410,WholesaleExtract!B:O,8,FALSE),"")</f>
        <v/>
      </c>
      <c r="J3410" s="26" t="str">
        <f>IFERROR(VLOOKUP(G3410,WholesaleExtract!B:O,14,FALSE),"")</f>
        <v/>
      </c>
      <c r="K3410" s="26" t="str">
        <f>IFERROR(VLOOKUP(G3410,WholesaleExtract!B:K,10,FALSE),"")</f>
        <v/>
      </c>
      <c r="L3410" s="47" t="str">
        <f>IFERROR(VLOOKUP(G3410,WholesaleExtract!B:L,11,FALSE),"")</f>
        <v/>
      </c>
      <c r="M3410" s="47" t="str">
        <f>IFERROR(VLOOKUP(G3410,WholesaleExtract!B:M,12,FALSE),"")</f>
        <v/>
      </c>
      <c r="R3410" s="19"/>
      <c r="S3410" s="19"/>
    </row>
    <row r="3411" spans="1:19" x14ac:dyDescent="0.35">
      <c r="A3411" s="26" t="s">
        <v>543</v>
      </c>
      <c r="B3411" s="26" t="s">
        <v>543</v>
      </c>
      <c r="C3411" s="26"/>
      <c r="D3411" s="26" t="s">
        <v>543</v>
      </c>
      <c r="E3411" s="26" t="str">
        <f>IFERROR(VLOOKUP(G3411,WholesaleExtract!B:J,9,FALSE),"")</f>
        <v/>
      </c>
      <c r="F3411" s="26" t="str">
        <f>IFERROR(VLOOKUP(G3411,WholesaleExtract!B:J,6,FALSE),"")</f>
        <v/>
      </c>
      <c r="H3411" s="47" t="str">
        <f>IFERROR(VLOOKUP(G3411,WholesaleExtract!B:L,11,FALSE),"")</f>
        <v/>
      </c>
      <c r="I3411" s="26" t="str">
        <f>IFERROR(VLOOKUP(G3411,WholesaleExtract!B:O,8,FALSE),"")</f>
        <v/>
      </c>
      <c r="J3411" s="26" t="str">
        <f>IFERROR(VLOOKUP(G3411,WholesaleExtract!B:O,14,FALSE),"")</f>
        <v/>
      </c>
      <c r="K3411" s="26" t="str">
        <f>IFERROR(VLOOKUP(G3411,WholesaleExtract!B:K,10,FALSE),"")</f>
        <v/>
      </c>
      <c r="L3411" s="47" t="str">
        <f>IFERROR(VLOOKUP(G3411,WholesaleExtract!B:L,11,FALSE),"")</f>
        <v/>
      </c>
      <c r="M3411" s="47" t="str">
        <f>IFERROR(VLOOKUP(G3411,WholesaleExtract!B:M,12,FALSE),"")</f>
        <v/>
      </c>
      <c r="R3411" s="19"/>
      <c r="S3411" s="19"/>
    </row>
    <row r="3412" spans="1:19" x14ac:dyDescent="0.35">
      <c r="A3412" s="26" t="s">
        <v>543</v>
      </c>
      <c r="B3412" s="26" t="s">
        <v>543</v>
      </c>
      <c r="C3412" s="26"/>
      <c r="D3412" s="26" t="s">
        <v>543</v>
      </c>
      <c r="E3412" s="26" t="str">
        <f>IFERROR(VLOOKUP(G3412,WholesaleExtract!B:J,9,FALSE),"")</f>
        <v/>
      </c>
      <c r="F3412" s="26" t="str">
        <f>IFERROR(VLOOKUP(G3412,WholesaleExtract!B:J,6,FALSE),"")</f>
        <v/>
      </c>
      <c r="H3412" s="47" t="str">
        <f>IFERROR(VLOOKUP(G3412,WholesaleExtract!B:L,11,FALSE),"")</f>
        <v/>
      </c>
      <c r="I3412" s="26" t="str">
        <f>IFERROR(VLOOKUP(G3412,WholesaleExtract!B:O,8,FALSE),"")</f>
        <v/>
      </c>
      <c r="J3412" s="26" t="str">
        <f>IFERROR(VLOOKUP(G3412,WholesaleExtract!B:O,14,FALSE),"")</f>
        <v/>
      </c>
      <c r="K3412" s="26" t="str">
        <f>IFERROR(VLOOKUP(G3412,WholesaleExtract!B:K,10,FALSE),"")</f>
        <v/>
      </c>
      <c r="L3412" s="47" t="str">
        <f>IFERROR(VLOOKUP(G3412,WholesaleExtract!B:L,11,FALSE),"")</f>
        <v/>
      </c>
      <c r="M3412" s="47" t="str">
        <f>IFERROR(VLOOKUP(G3412,WholesaleExtract!B:M,12,FALSE),"")</f>
        <v/>
      </c>
      <c r="R3412" s="19"/>
      <c r="S3412" s="19"/>
    </row>
    <row r="3413" spans="1:19" x14ac:dyDescent="0.35">
      <c r="A3413" s="26" t="s">
        <v>543</v>
      </c>
      <c r="B3413" s="26" t="s">
        <v>543</v>
      </c>
      <c r="C3413" s="26"/>
      <c r="D3413" s="26" t="s">
        <v>543</v>
      </c>
      <c r="E3413" s="26" t="str">
        <f>IFERROR(VLOOKUP(G3413,WholesaleExtract!B:J,9,FALSE),"")</f>
        <v/>
      </c>
      <c r="F3413" s="26" t="str">
        <f>IFERROR(VLOOKUP(G3413,WholesaleExtract!B:J,6,FALSE),"")</f>
        <v/>
      </c>
      <c r="H3413" s="47" t="str">
        <f>IFERROR(VLOOKUP(G3413,WholesaleExtract!B:L,11,FALSE),"")</f>
        <v/>
      </c>
      <c r="I3413" s="26" t="str">
        <f>IFERROR(VLOOKUP(G3413,WholesaleExtract!B:O,8,FALSE),"")</f>
        <v/>
      </c>
      <c r="J3413" s="26" t="str">
        <f>IFERROR(VLOOKUP(G3413,WholesaleExtract!B:O,14,FALSE),"")</f>
        <v/>
      </c>
      <c r="K3413" s="26" t="str">
        <f>IFERROR(VLOOKUP(G3413,WholesaleExtract!B:K,10,FALSE),"")</f>
        <v/>
      </c>
      <c r="L3413" s="47" t="str">
        <f>IFERROR(VLOOKUP(G3413,WholesaleExtract!B:L,11,FALSE),"")</f>
        <v/>
      </c>
      <c r="M3413" s="47" t="str">
        <f>IFERROR(VLOOKUP(G3413,WholesaleExtract!B:M,12,FALSE),"")</f>
        <v/>
      </c>
      <c r="R3413" s="19"/>
      <c r="S3413" s="19"/>
    </row>
    <row r="3414" spans="1:19" x14ac:dyDescent="0.35">
      <c r="A3414" s="26" t="s">
        <v>543</v>
      </c>
      <c r="B3414" s="26" t="s">
        <v>543</v>
      </c>
      <c r="C3414" s="26"/>
      <c r="D3414" s="26" t="s">
        <v>543</v>
      </c>
      <c r="E3414" s="26" t="str">
        <f>IFERROR(VLOOKUP(G3414,WholesaleExtract!B:J,9,FALSE),"")</f>
        <v/>
      </c>
      <c r="F3414" s="26" t="str">
        <f>IFERROR(VLOOKUP(G3414,WholesaleExtract!B:J,6,FALSE),"")</f>
        <v/>
      </c>
      <c r="H3414" s="47" t="str">
        <f>IFERROR(VLOOKUP(G3414,WholesaleExtract!B:L,11,FALSE),"")</f>
        <v/>
      </c>
      <c r="I3414" s="26" t="str">
        <f>IFERROR(VLOOKUP(G3414,WholesaleExtract!B:O,8,FALSE),"")</f>
        <v/>
      </c>
      <c r="J3414" s="26" t="str">
        <f>IFERROR(VLOOKUP(G3414,WholesaleExtract!B:O,14,FALSE),"")</f>
        <v/>
      </c>
      <c r="K3414" s="26" t="str">
        <f>IFERROR(VLOOKUP(G3414,WholesaleExtract!B:K,10,FALSE),"")</f>
        <v/>
      </c>
      <c r="L3414" s="47" t="str">
        <f>IFERROR(VLOOKUP(G3414,WholesaleExtract!B:L,11,FALSE),"")</f>
        <v/>
      </c>
      <c r="M3414" s="47" t="str">
        <f>IFERROR(VLOOKUP(G3414,WholesaleExtract!B:M,12,FALSE),"")</f>
        <v/>
      </c>
      <c r="R3414" s="19"/>
      <c r="S3414" s="19"/>
    </row>
    <row r="3415" spans="1:19" x14ac:dyDescent="0.35">
      <c r="A3415" s="26" t="s">
        <v>543</v>
      </c>
      <c r="B3415" s="26" t="s">
        <v>543</v>
      </c>
      <c r="C3415" s="26"/>
      <c r="D3415" s="26" t="s">
        <v>543</v>
      </c>
      <c r="E3415" s="26" t="str">
        <f>IFERROR(VLOOKUP(G3415,WholesaleExtract!B:J,9,FALSE),"")</f>
        <v/>
      </c>
      <c r="F3415" s="26" t="str">
        <f>IFERROR(VLOOKUP(G3415,WholesaleExtract!B:J,6,FALSE),"")</f>
        <v/>
      </c>
      <c r="H3415" s="47" t="str">
        <f>IFERROR(VLOOKUP(G3415,WholesaleExtract!B:L,11,FALSE),"")</f>
        <v/>
      </c>
      <c r="I3415" s="26" t="str">
        <f>IFERROR(VLOOKUP(G3415,WholesaleExtract!B:O,8,FALSE),"")</f>
        <v/>
      </c>
      <c r="J3415" s="26" t="str">
        <f>IFERROR(VLOOKUP(G3415,WholesaleExtract!B:O,14,FALSE),"")</f>
        <v/>
      </c>
      <c r="K3415" s="26" t="str">
        <f>IFERROR(VLOOKUP(G3415,WholesaleExtract!B:K,10,FALSE),"")</f>
        <v/>
      </c>
      <c r="L3415" s="47" t="str">
        <f>IFERROR(VLOOKUP(G3415,WholesaleExtract!B:L,11,FALSE),"")</f>
        <v/>
      </c>
      <c r="M3415" s="47" t="str">
        <f>IFERROR(VLOOKUP(G3415,WholesaleExtract!B:M,12,FALSE),"")</f>
        <v/>
      </c>
      <c r="R3415" s="19"/>
      <c r="S3415" s="19"/>
    </row>
    <row r="3416" spans="1:19" x14ac:dyDescent="0.35">
      <c r="A3416" s="26" t="s">
        <v>543</v>
      </c>
      <c r="B3416" s="26" t="s">
        <v>543</v>
      </c>
      <c r="C3416" s="26"/>
      <c r="D3416" s="26" t="s">
        <v>543</v>
      </c>
      <c r="E3416" s="26" t="str">
        <f>IFERROR(VLOOKUP(G3416,WholesaleExtract!B:J,9,FALSE),"")</f>
        <v/>
      </c>
      <c r="F3416" s="26" t="str">
        <f>IFERROR(VLOOKUP(G3416,WholesaleExtract!B:J,6,FALSE),"")</f>
        <v/>
      </c>
      <c r="H3416" s="47" t="str">
        <f>IFERROR(VLOOKUP(G3416,WholesaleExtract!B:L,11,FALSE),"")</f>
        <v/>
      </c>
      <c r="I3416" s="26" t="str">
        <f>IFERROR(VLOOKUP(G3416,WholesaleExtract!B:O,8,FALSE),"")</f>
        <v/>
      </c>
      <c r="J3416" s="26" t="str">
        <f>IFERROR(VLOOKUP(G3416,WholesaleExtract!B:O,14,FALSE),"")</f>
        <v/>
      </c>
      <c r="K3416" s="26" t="str">
        <f>IFERROR(VLOOKUP(G3416,WholesaleExtract!B:K,10,FALSE),"")</f>
        <v/>
      </c>
      <c r="L3416" s="47" t="str">
        <f>IFERROR(VLOOKUP(G3416,WholesaleExtract!B:L,11,FALSE),"")</f>
        <v/>
      </c>
      <c r="M3416" s="47" t="str">
        <f>IFERROR(VLOOKUP(G3416,WholesaleExtract!B:M,12,FALSE),"")</f>
        <v/>
      </c>
      <c r="R3416" s="19"/>
      <c r="S3416" s="19"/>
    </row>
    <row r="3417" spans="1:19" x14ac:dyDescent="0.35">
      <c r="A3417" s="26" t="s">
        <v>543</v>
      </c>
      <c r="B3417" s="26" t="s">
        <v>543</v>
      </c>
      <c r="C3417" s="26"/>
      <c r="D3417" s="26" t="s">
        <v>543</v>
      </c>
      <c r="E3417" s="26" t="str">
        <f>IFERROR(VLOOKUP(G3417,WholesaleExtract!B:J,9,FALSE),"")</f>
        <v/>
      </c>
      <c r="F3417" s="26" t="str">
        <f>IFERROR(VLOOKUP(G3417,WholesaleExtract!B:J,6,FALSE),"")</f>
        <v/>
      </c>
      <c r="H3417" s="47" t="str">
        <f>IFERROR(VLOOKUP(G3417,WholesaleExtract!B:L,11,FALSE),"")</f>
        <v/>
      </c>
      <c r="I3417" s="26" t="str">
        <f>IFERROR(VLOOKUP(G3417,WholesaleExtract!B:O,8,FALSE),"")</f>
        <v/>
      </c>
      <c r="J3417" s="26" t="str">
        <f>IFERROR(VLOOKUP(G3417,WholesaleExtract!B:O,14,FALSE),"")</f>
        <v/>
      </c>
      <c r="K3417" s="26" t="str">
        <f>IFERROR(VLOOKUP(G3417,WholesaleExtract!B:K,10,FALSE),"")</f>
        <v/>
      </c>
      <c r="L3417" s="47" t="str">
        <f>IFERROR(VLOOKUP(G3417,WholesaleExtract!B:L,11,FALSE),"")</f>
        <v/>
      </c>
      <c r="M3417" s="47" t="str">
        <f>IFERROR(VLOOKUP(G3417,WholesaleExtract!B:M,12,FALSE),"")</f>
        <v/>
      </c>
      <c r="R3417" s="19"/>
      <c r="S3417" s="19"/>
    </row>
    <row r="3418" spans="1:19" x14ac:dyDescent="0.35">
      <c r="A3418" s="26" t="s">
        <v>543</v>
      </c>
      <c r="B3418" s="26" t="s">
        <v>543</v>
      </c>
      <c r="C3418" s="26"/>
      <c r="D3418" s="26" t="s">
        <v>543</v>
      </c>
      <c r="E3418" s="26" t="str">
        <f>IFERROR(VLOOKUP(G3418,WholesaleExtract!B:J,9,FALSE),"")</f>
        <v/>
      </c>
      <c r="F3418" s="26" t="str">
        <f>IFERROR(VLOOKUP(G3418,WholesaleExtract!B:J,6,FALSE),"")</f>
        <v/>
      </c>
      <c r="H3418" s="47" t="str">
        <f>IFERROR(VLOOKUP(G3418,WholesaleExtract!B:L,11,FALSE),"")</f>
        <v/>
      </c>
      <c r="I3418" s="26" t="str">
        <f>IFERROR(VLOOKUP(G3418,WholesaleExtract!B:O,8,FALSE),"")</f>
        <v/>
      </c>
      <c r="J3418" s="26" t="str">
        <f>IFERROR(VLOOKUP(G3418,WholesaleExtract!B:O,14,FALSE),"")</f>
        <v/>
      </c>
      <c r="K3418" s="26" t="str">
        <f>IFERROR(VLOOKUP(G3418,WholesaleExtract!B:K,10,FALSE),"")</f>
        <v/>
      </c>
      <c r="L3418" s="47" t="str">
        <f>IFERROR(VLOOKUP(G3418,WholesaleExtract!B:L,11,FALSE),"")</f>
        <v/>
      </c>
      <c r="M3418" s="47" t="str">
        <f>IFERROR(VLOOKUP(G3418,WholesaleExtract!B:M,12,FALSE),"")</f>
        <v/>
      </c>
      <c r="R3418" s="19"/>
      <c r="S3418" s="19"/>
    </row>
    <row r="3419" spans="1:19" x14ac:dyDescent="0.35">
      <c r="A3419" s="26" t="s">
        <v>543</v>
      </c>
      <c r="B3419" s="26" t="s">
        <v>543</v>
      </c>
      <c r="C3419" s="26"/>
      <c r="D3419" s="26" t="s">
        <v>543</v>
      </c>
      <c r="E3419" s="26" t="str">
        <f>IFERROR(VLOOKUP(G3419,WholesaleExtract!B:J,9,FALSE),"")</f>
        <v/>
      </c>
      <c r="F3419" s="26" t="str">
        <f>IFERROR(VLOOKUP(G3419,WholesaleExtract!B:J,6,FALSE),"")</f>
        <v/>
      </c>
      <c r="H3419" s="47" t="str">
        <f>IFERROR(VLOOKUP(G3419,WholesaleExtract!B:L,11,FALSE),"")</f>
        <v/>
      </c>
      <c r="I3419" s="26" t="str">
        <f>IFERROR(VLOOKUP(G3419,WholesaleExtract!B:O,8,FALSE),"")</f>
        <v/>
      </c>
      <c r="J3419" s="26" t="str">
        <f>IFERROR(VLOOKUP(G3419,WholesaleExtract!B:O,14,FALSE),"")</f>
        <v/>
      </c>
      <c r="K3419" s="26" t="str">
        <f>IFERROR(VLOOKUP(G3419,WholesaleExtract!B:K,10,FALSE),"")</f>
        <v/>
      </c>
      <c r="L3419" s="47" t="str">
        <f>IFERROR(VLOOKUP(G3419,WholesaleExtract!B:L,11,FALSE),"")</f>
        <v/>
      </c>
      <c r="M3419" s="47" t="str">
        <f>IFERROR(VLOOKUP(G3419,WholesaleExtract!B:M,12,FALSE),"")</f>
        <v/>
      </c>
      <c r="R3419" s="19"/>
      <c r="S3419" s="19"/>
    </row>
    <row r="3420" spans="1:19" x14ac:dyDescent="0.35">
      <c r="A3420" s="26" t="s">
        <v>543</v>
      </c>
      <c r="B3420" s="26" t="s">
        <v>543</v>
      </c>
      <c r="C3420" s="26"/>
      <c r="D3420" s="26" t="s">
        <v>543</v>
      </c>
      <c r="E3420" s="26" t="str">
        <f>IFERROR(VLOOKUP(G3420,WholesaleExtract!B:J,9,FALSE),"")</f>
        <v/>
      </c>
      <c r="F3420" s="26" t="str">
        <f>IFERROR(VLOOKUP(G3420,WholesaleExtract!B:J,6,FALSE),"")</f>
        <v/>
      </c>
      <c r="H3420" s="47" t="str">
        <f>IFERROR(VLOOKUP(G3420,WholesaleExtract!B:L,11,FALSE),"")</f>
        <v/>
      </c>
      <c r="I3420" s="26" t="str">
        <f>IFERROR(VLOOKUP(G3420,WholesaleExtract!B:O,8,FALSE),"")</f>
        <v/>
      </c>
      <c r="J3420" s="26" t="str">
        <f>IFERROR(VLOOKUP(G3420,WholesaleExtract!B:O,14,FALSE),"")</f>
        <v/>
      </c>
      <c r="K3420" s="26" t="str">
        <f>IFERROR(VLOOKUP(G3420,WholesaleExtract!B:K,10,FALSE),"")</f>
        <v/>
      </c>
      <c r="L3420" s="47" t="str">
        <f>IFERROR(VLOOKUP(G3420,WholesaleExtract!B:L,11,FALSE),"")</f>
        <v/>
      </c>
      <c r="M3420" s="47" t="str">
        <f>IFERROR(VLOOKUP(G3420,WholesaleExtract!B:M,12,FALSE),"")</f>
        <v/>
      </c>
      <c r="R3420" s="19"/>
      <c r="S3420" s="19"/>
    </row>
    <row r="3421" spans="1:19" x14ac:dyDescent="0.35">
      <c r="A3421" s="26" t="s">
        <v>543</v>
      </c>
      <c r="B3421" s="26" t="s">
        <v>543</v>
      </c>
      <c r="C3421" s="26"/>
      <c r="D3421" s="26" t="s">
        <v>543</v>
      </c>
      <c r="E3421" s="26" t="str">
        <f>IFERROR(VLOOKUP(G3421,WholesaleExtract!B:J,9,FALSE),"")</f>
        <v/>
      </c>
      <c r="F3421" s="26" t="str">
        <f>IFERROR(VLOOKUP(G3421,WholesaleExtract!B:J,6,FALSE),"")</f>
        <v/>
      </c>
      <c r="H3421" s="47" t="str">
        <f>IFERROR(VLOOKUP(G3421,WholesaleExtract!B:L,11,FALSE),"")</f>
        <v/>
      </c>
      <c r="I3421" s="26" t="str">
        <f>IFERROR(VLOOKUP(G3421,WholesaleExtract!B:O,8,FALSE),"")</f>
        <v/>
      </c>
      <c r="J3421" s="26" t="str">
        <f>IFERROR(VLOOKUP(G3421,WholesaleExtract!B:O,14,FALSE),"")</f>
        <v/>
      </c>
      <c r="K3421" s="26" t="str">
        <f>IFERROR(VLOOKUP(G3421,WholesaleExtract!B:K,10,FALSE),"")</f>
        <v/>
      </c>
      <c r="L3421" s="47" t="str">
        <f>IFERROR(VLOOKUP(G3421,WholesaleExtract!B:L,11,FALSE),"")</f>
        <v/>
      </c>
      <c r="M3421" s="47" t="str">
        <f>IFERROR(VLOOKUP(G3421,WholesaleExtract!B:M,12,FALSE),"")</f>
        <v/>
      </c>
      <c r="R3421" s="19"/>
      <c r="S3421" s="19"/>
    </row>
    <row r="3422" spans="1:19" x14ac:dyDescent="0.35">
      <c r="A3422" s="26" t="s">
        <v>543</v>
      </c>
      <c r="B3422" s="26" t="s">
        <v>543</v>
      </c>
      <c r="C3422" s="26"/>
      <c r="D3422" s="26" t="s">
        <v>543</v>
      </c>
      <c r="E3422" s="26" t="str">
        <f>IFERROR(VLOOKUP(G3422,WholesaleExtract!B:J,9,FALSE),"")</f>
        <v/>
      </c>
      <c r="F3422" s="26" t="str">
        <f>IFERROR(VLOOKUP(G3422,WholesaleExtract!B:J,6,FALSE),"")</f>
        <v/>
      </c>
      <c r="H3422" s="47" t="str">
        <f>IFERROR(VLOOKUP(G3422,WholesaleExtract!B:L,11,FALSE),"")</f>
        <v/>
      </c>
      <c r="I3422" s="26" t="str">
        <f>IFERROR(VLOOKUP(G3422,WholesaleExtract!B:O,8,FALSE),"")</f>
        <v/>
      </c>
      <c r="J3422" s="26" t="str">
        <f>IFERROR(VLOOKUP(G3422,WholesaleExtract!B:O,14,FALSE),"")</f>
        <v/>
      </c>
      <c r="K3422" s="26" t="str">
        <f>IFERROR(VLOOKUP(G3422,WholesaleExtract!B:K,10,FALSE),"")</f>
        <v/>
      </c>
      <c r="L3422" s="47" t="str">
        <f>IFERROR(VLOOKUP(G3422,WholesaleExtract!B:L,11,FALSE),"")</f>
        <v/>
      </c>
      <c r="M3422" s="47" t="str">
        <f>IFERROR(VLOOKUP(G3422,WholesaleExtract!B:M,12,FALSE),"")</f>
        <v/>
      </c>
      <c r="R3422" s="19"/>
      <c r="S3422" s="19"/>
    </row>
    <row r="3423" spans="1:19" x14ac:dyDescent="0.35">
      <c r="A3423" s="26" t="s">
        <v>543</v>
      </c>
      <c r="B3423" s="26" t="s">
        <v>543</v>
      </c>
      <c r="C3423" s="26"/>
      <c r="D3423" s="26" t="s">
        <v>543</v>
      </c>
      <c r="E3423" s="26" t="str">
        <f>IFERROR(VLOOKUP(G3423,WholesaleExtract!B:J,9,FALSE),"")</f>
        <v/>
      </c>
      <c r="F3423" s="26" t="str">
        <f>IFERROR(VLOOKUP(G3423,WholesaleExtract!B:J,6,FALSE),"")</f>
        <v/>
      </c>
      <c r="H3423" s="47" t="str">
        <f>IFERROR(VLOOKUP(G3423,WholesaleExtract!B:L,11,FALSE),"")</f>
        <v/>
      </c>
      <c r="I3423" s="26" t="str">
        <f>IFERROR(VLOOKUP(G3423,WholesaleExtract!B:O,8,FALSE),"")</f>
        <v/>
      </c>
      <c r="J3423" s="26" t="str">
        <f>IFERROR(VLOOKUP(G3423,WholesaleExtract!B:O,14,FALSE),"")</f>
        <v/>
      </c>
      <c r="K3423" s="26" t="str">
        <f>IFERROR(VLOOKUP(G3423,WholesaleExtract!B:K,10,FALSE),"")</f>
        <v/>
      </c>
      <c r="L3423" s="47" t="str">
        <f>IFERROR(VLOOKUP(G3423,WholesaleExtract!B:L,11,FALSE),"")</f>
        <v/>
      </c>
      <c r="M3423" s="47" t="str">
        <f>IFERROR(VLOOKUP(G3423,WholesaleExtract!B:M,12,FALSE),"")</f>
        <v/>
      </c>
      <c r="R3423" s="19"/>
      <c r="S3423" s="19"/>
    </row>
    <row r="3424" spans="1:19" x14ac:dyDescent="0.35">
      <c r="A3424" s="26" t="s">
        <v>543</v>
      </c>
      <c r="B3424" s="26" t="s">
        <v>543</v>
      </c>
      <c r="C3424" s="26"/>
      <c r="D3424" s="26" t="s">
        <v>543</v>
      </c>
      <c r="E3424" s="26" t="str">
        <f>IFERROR(VLOOKUP(G3424,WholesaleExtract!B:J,9,FALSE),"")</f>
        <v/>
      </c>
      <c r="F3424" s="26" t="str">
        <f>IFERROR(VLOOKUP(G3424,WholesaleExtract!B:J,6,FALSE),"")</f>
        <v/>
      </c>
      <c r="H3424" s="47" t="str">
        <f>IFERROR(VLOOKUP(G3424,WholesaleExtract!B:L,11,FALSE),"")</f>
        <v/>
      </c>
      <c r="I3424" s="26" t="str">
        <f>IFERROR(VLOOKUP(G3424,WholesaleExtract!B:O,8,FALSE),"")</f>
        <v/>
      </c>
      <c r="J3424" s="26" t="str">
        <f>IFERROR(VLOOKUP(G3424,WholesaleExtract!B:O,14,FALSE),"")</f>
        <v/>
      </c>
      <c r="K3424" s="26" t="str">
        <f>IFERROR(VLOOKUP(G3424,WholesaleExtract!B:K,10,FALSE),"")</f>
        <v/>
      </c>
      <c r="L3424" s="47" t="str">
        <f>IFERROR(VLOOKUP(G3424,WholesaleExtract!B:L,11,FALSE),"")</f>
        <v/>
      </c>
      <c r="M3424" s="47" t="str">
        <f>IFERROR(VLOOKUP(G3424,WholesaleExtract!B:M,12,FALSE),"")</f>
        <v/>
      </c>
      <c r="R3424" s="19"/>
      <c r="S3424" s="19"/>
    </row>
    <row r="3425" spans="1:19" x14ac:dyDescent="0.35">
      <c r="A3425" s="26" t="s">
        <v>543</v>
      </c>
      <c r="B3425" s="26" t="s">
        <v>543</v>
      </c>
      <c r="C3425" s="26"/>
      <c r="D3425" s="26" t="s">
        <v>543</v>
      </c>
      <c r="E3425" s="26" t="str">
        <f>IFERROR(VLOOKUP(G3425,WholesaleExtract!B:J,9,FALSE),"")</f>
        <v/>
      </c>
      <c r="F3425" s="26" t="str">
        <f>IFERROR(VLOOKUP(G3425,WholesaleExtract!B:J,6,FALSE),"")</f>
        <v/>
      </c>
      <c r="H3425" s="47" t="str">
        <f>IFERROR(VLOOKUP(G3425,WholesaleExtract!B:L,11,FALSE),"")</f>
        <v/>
      </c>
      <c r="I3425" s="26" t="str">
        <f>IFERROR(VLOOKUP(G3425,WholesaleExtract!B:O,8,FALSE),"")</f>
        <v/>
      </c>
      <c r="J3425" s="26" t="str">
        <f>IFERROR(VLOOKUP(G3425,WholesaleExtract!B:O,14,FALSE),"")</f>
        <v/>
      </c>
      <c r="K3425" s="26" t="str">
        <f>IFERROR(VLOOKUP(G3425,WholesaleExtract!B:K,10,FALSE),"")</f>
        <v/>
      </c>
      <c r="L3425" s="47" t="str">
        <f>IFERROR(VLOOKUP(G3425,WholesaleExtract!B:L,11,FALSE),"")</f>
        <v/>
      </c>
      <c r="M3425" s="47" t="str">
        <f>IFERROR(VLOOKUP(G3425,WholesaleExtract!B:M,12,FALSE),"")</f>
        <v/>
      </c>
      <c r="R3425" s="19"/>
      <c r="S3425" s="19"/>
    </row>
    <row r="3426" spans="1:19" x14ac:dyDescent="0.35">
      <c r="A3426" s="26" t="s">
        <v>543</v>
      </c>
      <c r="B3426" s="26" t="s">
        <v>543</v>
      </c>
      <c r="C3426" s="26"/>
      <c r="D3426" s="26" t="s">
        <v>543</v>
      </c>
      <c r="E3426" s="26" t="str">
        <f>IFERROR(VLOOKUP(G3426,WholesaleExtract!B:J,9,FALSE),"")</f>
        <v/>
      </c>
      <c r="F3426" s="26" t="str">
        <f>IFERROR(VLOOKUP(G3426,WholesaleExtract!B:J,6,FALSE),"")</f>
        <v/>
      </c>
      <c r="H3426" s="47" t="str">
        <f>IFERROR(VLOOKUP(G3426,WholesaleExtract!B:L,11,FALSE),"")</f>
        <v/>
      </c>
      <c r="I3426" s="26" t="str">
        <f>IFERROR(VLOOKUP(G3426,WholesaleExtract!B:O,8,FALSE),"")</f>
        <v/>
      </c>
      <c r="J3426" s="26" t="str">
        <f>IFERROR(VLOOKUP(G3426,WholesaleExtract!B:O,14,FALSE),"")</f>
        <v/>
      </c>
      <c r="K3426" s="26" t="str">
        <f>IFERROR(VLOOKUP(G3426,WholesaleExtract!B:K,10,FALSE),"")</f>
        <v/>
      </c>
      <c r="L3426" s="47" t="str">
        <f>IFERROR(VLOOKUP(G3426,WholesaleExtract!B:L,11,FALSE),"")</f>
        <v/>
      </c>
      <c r="M3426" s="47" t="str">
        <f>IFERROR(VLOOKUP(G3426,WholesaleExtract!B:M,12,FALSE),"")</f>
        <v/>
      </c>
      <c r="R3426" s="19"/>
      <c r="S3426" s="19"/>
    </row>
    <row r="3427" spans="1:19" x14ac:dyDescent="0.35">
      <c r="A3427" s="26" t="s">
        <v>543</v>
      </c>
      <c r="B3427" s="26" t="s">
        <v>543</v>
      </c>
      <c r="C3427" s="26"/>
      <c r="D3427" s="26" t="s">
        <v>543</v>
      </c>
      <c r="E3427" s="26" t="str">
        <f>IFERROR(VLOOKUP(G3427,WholesaleExtract!B:J,9,FALSE),"")</f>
        <v/>
      </c>
      <c r="F3427" s="26" t="str">
        <f>IFERROR(VLOOKUP(G3427,WholesaleExtract!B:J,6,FALSE),"")</f>
        <v/>
      </c>
      <c r="H3427" s="47" t="str">
        <f>IFERROR(VLOOKUP(G3427,WholesaleExtract!B:L,11,FALSE),"")</f>
        <v/>
      </c>
      <c r="I3427" s="26" t="str">
        <f>IFERROR(VLOOKUP(G3427,WholesaleExtract!B:O,8,FALSE),"")</f>
        <v/>
      </c>
      <c r="J3427" s="26" t="str">
        <f>IFERROR(VLOOKUP(G3427,WholesaleExtract!B:O,14,FALSE),"")</f>
        <v/>
      </c>
      <c r="K3427" s="26" t="str">
        <f>IFERROR(VLOOKUP(G3427,WholesaleExtract!B:K,10,FALSE),"")</f>
        <v/>
      </c>
      <c r="L3427" s="47" t="str">
        <f>IFERROR(VLOOKUP(G3427,WholesaleExtract!B:L,11,FALSE),"")</f>
        <v/>
      </c>
      <c r="M3427" s="47" t="str">
        <f>IFERROR(VLOOKUP(G3427,WholesaleExtract!B:M,12,FALSE),"")</f>
        <v/>
      </c>
      <c r="R3427" s="19"/>
      <c r="S3427" s="19"/>
    </row>
    <row r="3428" spans="1:19" x14ac:dyDescent="0.35">
      <c r="A3428" s="26" t="s">
        <v>543</v>
      </c>
      <c r="B3428" s="26" t="s">
        <v>543</v>
      </c>
      <c r="C3428" s="26"/>
      <c r="D3428" s="26" t="s">
        <v>543</v>
      </c>
      <c r="E3428" s="26" t="str">
        <f>IFERROR(VLOOKUP(G3428,WholesaleExtract!B:J,9,FALSE),"")</f>
        <v/>
      </c>
      <c r="F3428" s="26" t="str">
        <f>IFERROR(VLOOKUP(G3428,WholesaleExtract!B:J,6,FALSE),"")</f>
        <v/>
      </c>
      <c r="H3428" s="47" t="str">
        <f>IFERROR(VLOOKUP(G3428,WholesaleExtract!B:L,11,FALSE),"")</f>
        <v/>
      </c>
      <c r="I3428" s="26" t="str">
        <f>IFERROR(VLOOKUP(G3428,WholesaleExtract!B:O,8,FALSE),"")</f>
        <v/>
      </c>
      <c r="J3428" s="26" t="str">
        <f>IFERROR(VLOOKUP(G3428,WholesaleExtract!B:O,14,FALSE),"")</f>
        <v/>
      </c>
      <c r="K3428" s="26" t="str">
        <f>IFERROR(VLOOKUP(G3428,WholesaleExtract!B:K,10,FALSE),"")</f>
        <v/>
      </c>
      <c r="L3428" s="47" t="str">
        <f>IFERROR(VLOOKUP(G3428,WholesaleExtract!B:L,11,FALSE),"")</f>
        <v/>
      </c>
      <c r="M3428" s="47" t="str">
        <f>IFERROR(VLOOKUP(G3428,WholesaleExtract!B:M,12,FALSE),"")</f>
        <v/>
      </c>
      <c r="R3428" s="19"/>
      <c r="S3428" s="19"/>
    </row>
    <row r="3429" spans="1:19" x14ac:dyDescent="0.35">
      <c r="A3429" s="26" t="s">
        <v>543</v>
      </c>
      <c r="B3429" s="26" t="s">
        <v>543</v>
      </c>
      <c r="C3429" s="26"/>
      <c r="D3429" s="26" t="s">
        <v>543</v>
      </c>
      <c r="E3429" s="26" t="str">
        <f>IFERROR(VLOOKUP(G3429,WholesaleExtract!B:J,9,FALSE),"")</f>
        <v/>
      </c>
      <c r="F3429" s="26" t="str">
        <f>IFERROR(VLOOKUP(G3429,WholesaleExtract!B:J,6,FALSE),"")</f>
        <v/>
      </c>
      <c r="H3429" s="47" t="str">
        <f>IFERROR(VLOOKUP(G3429,WholesaleExtract!B:L,11,FALSE),"")</f>
        <v/>
      </c>
      <c r="I3429" s="26" t="str">
        <f>IFERROR(VLOOKUP(G3429,WholesaleExtract!B:O,8,FALSE),"")</f>
        <v/>
      </c>
      <c r="J3429" s="26" t="str">
        <f>IFERROR(VLOOKUP(G3429,WholesaleExtract!B:O,14,FALSE),"")</f>
        <v/>
      </c>
      <c r="K3429" s="26" t="str">
        <f>IFERROR(VLOOKUP(G3429,WholesaleExtract!B:K,10,FALSE),"")</f>
        <v/>
      </c>
      <c r="L3429" s="47" t="str">
        <f>IFERROR(VLOOKUP(G3429,WholesaleExtract!B:L,11,FALSE),"")</f>
        <v/>
      </c>
      <c r="M3429" s="47" t="str">
        <f>IFERROR(VLOOKUP(G3429,WholesaleExtract!B:M,12,FALSE),"")</f>
        <v/>
      </c>
      <c r="R3429" s="19"/>
      <c r="S3429" s="19"/>
    </row>
    <row r="3430" spans="1:19" x14ac:dyDescent="0.35">
      <c r="A3430" s="26" t="s">
        <v>543</v>
      </c>
      <c r="B3430" s="26" t="s">
        <v>543</v>
      </c>
      <c r="C3430" s="26"/>
      <c r="D3430" s="26" t="s">
        <v>543</v>
      </c>
      <c r="E3430" s="26" t="str">
        <f>IFERROR(VLOOKUP(G3430,WholesaleExtract!B:J,9,FALSE),"")</f>
        <v/>
      </c>
      <c r="F3430" s="26" t="str">
        <f>IFERROR(VLOOKUP(G3430,WholesaleExtract!B:J,6,FALSE),"")</f>
        <v/>
      </c>
      <c r="H3430" s="47" t="str">
        <f>IFERROR(VLOOKUP(G3430,WholesaleExtract!B:L,11,FALSE),"")</f>
        <v/>
      </c>
      <c r="I3430" s="26" t="str">
        <f>IFERROR(VLOOKUP(G3430,WholesaleExtract!B:O,8,FALSE),"")</f>
        <v/>
      </c>
      <c r="J3430" s="26" t="str">
        <f>IFERROR(VLOOKUP(G3430,WholesaleExtract!B:O,14,FALSE),"")</f>
        <v/>
      </c>
      <c r="K3430" s="26" t="str">
        <f>IFERROR(VLOOKUP(G3430,WholesaleExtract!B:K,10,FALSE),"")</f>
        <v/>
      </c>
      <c r="L3430" s="47" t="str">
        <f>IFERROR(VLOOKUP(G3430,WholesaleExtract!B:L,11,FALSE),"")</f>
        <v/>
      </c>
      <c r="M3430" s="47" t="str">
        <f>IFERROR(VLOOKUP(G3430,WholesaleExtract!B:M,12,FALSE),"")</f>
        <v/>
      </c>
      <c r="R3430" s="19"/>
      <c r="S3430" s="19"/>
    </row>
    <row r="3431" spans="1:19" x14ac:dyDescent="0.35">
      <c r="A3431" s="26" t="s">
        <v>543</v>
      </c>
      <c r="B3431" s="26" t="s">
        <v>543</v>
      </c>
      <c r="C3431" s="26"/>
      <c r="D3431" s="26" t="s">
        <v>543</v>
      </c>
      <c r="E3431" s="26" t="str">
        <f>IFERROR(VLOOKUP(G3431,WholesaleExtract!B:J,9,FALSE),"")</f>
        <v/>
      </c>
      <c r="F3431" s="26" t="str">
        <f>IFERROR(VLOOKUP(G3431,WholesaleExtract!B:J,6,FALSE),"")</f>
        <v/>
      </c>
      <c r="H3431" s="47" t="str">
        <f>IFERROR(VLOOKUP(G3431,WholesaleExtract!B:L,11,FALSE),"")</f>
        <v/>
      </c>
      <c r="I3431" s="26" t="str">
        <f>IFERROR(VLOOKUP(G3431,WholesaleExtract!B:O,8,FALSE),"")</f>
        <v/>
      </c>
      <c r="J3431" s="26" t="str">
        <f>IFERROR(VLOOKUP(G3431,WholesaleExtract!B:O,14,FALSE),"")</f>
        <v/>
      </c>
      <c r="K3431" s="26" t="str">
        <f>IFERROR(VLOOKUP(G3431,WholesaleExtract!B:K,10,FALSE),"")</f>
        <v/>
      </c>
      <c r="L3431" s="47" t="str">
        <f>IFERROR(VLOOKUP(G3431,WholesaleExtract!B:L,11,FALSE),"")</f>
        <v/>
      </c>
      <c r="M3431" s="47" t="str">
        <f>IFERROR(VLOOKUP(G3431,WholesaleExtract!B:M,12,FALSE),"")</f>
        <v/>
      </c>
      <c r="R3431" s="19"/>
      <c r="S3431" s="19"/>
    </row>
    <row r="3432" spans="1:19" x14ac:dyDescent="0.35">
      <c r="A3432" s="26" t="s">
        <v>543</v>
      </c>
      <c r="B3432" s="26" t="s">
        <v>543</v>
      </c>
      <c r="C3432" s="26"/>
      <c r="D3432" s="26" t="s">
        <v>543</v>
      </c>
      <c r="E3432" s="26" t="str">
        <f>IFERROR(VLOOKUP(G3432,WholesaleExtract!B:J,9,FALSE),"")</f>
        <v/>
      </c>
      <c r="F3432" s="26" t="str">
        <f>IFERROR(VLOOKUP(G3432,WholesaleExtract!B:J,6,FALSE),"")</f>
        <v/>
      </c>
      <c r="H3432" s="47" t="str">
        <f>IFERROR(VLOOKUP(G3432,WholesaleExtract!B:L,11,FALSE),"")</f>
        <v/>
      </c>
      <c r="I3432" s="26" t="str">
        <f>IFERROR(VLOOKUP(G3432,WholesaleExtract!B:O,8,FALSE),"")</f>
        <v/>
      </c>
      <c r="J3432" s="26" t="str">
        <f>IFERROR(VLOOKUP(G3432,WholesaleExtract!B:O,14,FALSE),"")</f>
        <v/>
      </c>
      <c r="K3432" s="26" t="str">
        <f>IFERROR(VLOOKUP(G3432,WholesaleExtract!B:K,10,FALSE),"")</f>
        <v/>
      </c>
      <c r="L3432" s="47" t="str">
        <f>IFERROR(VLOOKUP(G3432,WholesaleExtract!B:L,11,FALSE),"")</f>
        <v/>
      </c>
      <c r="M3432" s="47" t="str">
        <f>IFERROR(VLOOKUP(G3432,WholesaleExtract!B:M,12,FALSE),"")</f>
        <v/>
      </c>
      <c r="R3432" s="19"/>
      <c r="S3432" s="19"/>
    </row>
    <row r="3433" spans="1:19" x14ac:dyDescent="0.35">
      <c r="A3433" s="26" t="s">
        <v>543</v>
      </c>
      <c r="B3433" s="26" t="s">
        <v>543</v>
      </c>
      <c r="C3433" s="26"/>
      <c r="D3433" s="26" t="s">
        <v>543</v>
      </c>
      <c r="E3433" s="26" t="str">
        <f>IFERROR(VLOOKUP(G3433,WholesaleExtract!B:J,9,FALSE),"")</f>
        <v/>
      </c>
      <c r="F3433" s="26" t="str">
        <f>IFERROR(VLOOKUP(G3433,WholesaleExtract!B:J,6,FALSE),"")</f>
        <v/>
      </c>
      <c r="H3433" s="47" t="str">
        <f>IFERROR(VLOOKUP(G3433,WholesaleExtract!B:L,11,FALSE),"")</f>
        <v/>
      </c>
      <c r="I3433" s="26" t="str">
        <f>IFERROR(VLOOKUP(G3433,WholesaleExtract!B:O,8,FALSE),"")</f>
        <v/>
      </c>
      <c r="J3433" s="26" t="str">
        <f>IFERROR(VLOOKUP(G3433,WholesaleExtract!B:O,14,FALSE),"")</f>
        <v/>
      </c>
      <c r="K3433" s="26" t="str">
        <f>IFERROR(VLOOKUP(G3433,WholesaleExtract!B:K,10,FALSE),"")</f>
        <v/>
      </c>
      <c r="L3433" s="47" t="str">
        <f>IFERROR(VLOOKUP(G3433,WholesaleExtract!B:L,11,FALSE),"")</f>
        <v/>
      </c>
      <c r="M3433" s="47" t="str">
        <f>IFERROR(VLOOKUP(G3433,WholesaleExtract!B:M,12,FALSE),"")</f>
        <v/>
      </c>
      <c r="R3433" s="19"/>
      <c r="S3433" s="19"/>
    </row>
    <row r="3434" spans="1:19" x14ac:dyDescent="0.35">
      <c r="A3434" s="26" t="s">
        <v>543</v>
      </c>
      <c r="B3434" s="26" t="s">
        <v>543</v>
      </c>
      <c r="C3434" s="26"/>
      <c r="D3434" s="26" t="s">
        <v>543</v>
      </c>
      <c r="E3434" s="26" t="str">
        <f>IFERROR(VLOOKUP(G3434,WholesaleExtract!B:J,9,FALSE),"")</f>
        <v/>
      </c>
      <c r="F3434" s="26" t="str">
        <f>IFERROR(VLOOKUP(G3434,WholesaleExtract!B:J,6,FALSE),"")</f>
        <v/>
      </c>
      <c r="H3434" s="47" t="str">
        <f>IFERROR(VLOOKUP(G3434,WholesaleExtract!B:L,11,FALSE),"")</f>
        <v/>
      </c>
      <c r="I3434" s="26" t="str">
        <f>IFERROR(VLOOKUP(G3434,WholesaleExtract!B:O,8,FALSE),"")</f>
        <v/>
      </c>
      <c r="J3434" s="26" t="str">
        <f>IFERROR(VLOOKUP(G3434,WholesaleExtract!B:O,14,FALSE),"")</f>
        <v/>
      </c>
      <c r="K3434" s="26" t="str">
        <f>IFERROR(VLOOKUP(G3434,WholesaleExtract!B:K,10,FALSE),"")</f>
        <v/>
      </c>
      <c r="L3434" s="47" t="str">
        <f>IFERROR(VLOOKUP(G3434,WholesaleExtract!B:L,11,FALSE),"")</f>
        <v/>
      </c>
      <c r="M3434" s="47" t="str">
        <f>IFERROR(VLOOKUP(G3434,WholesaleExtract!B:M,12,FALSE),"")</f>
        <v/>
      </c>
      <c r="R3434" s="19"/>
      <c r="S3434" s="19"/>
    </row>
    <row r="3435" spans="1:19" x14ac:dyDescent="0.35">
      <c r="A3435" s="26" t="s">
        <v>543</v>
      </c>
      <c r="B3435" s="26" t="s">
        <v>543</v>
      </c>
      <c r="C3435" s="26"/>
      <c r="D3435" s="26" t="s">
        <v>543</v>
      </c>
      <c r="E3435" s="26" t="str">
        <f>IFERROR(VLOOKUP(G3435,WholesaleExtract!B:J,9,FALSE),"")</f>
        <v/>
      </c>
      <c r="F3435" s="26" t="str">
        <f>IFERROR(VLOOKUP(G3435,WholesaleExtract!B:J,6,FALSE),"")</f>
        <v/>
      </c>
      <c r="H3435" s="47" t="str">
        <f>IFERROR(VLOOKUP(G3435,WholesaleExtract!B:L,11,FALSE),"")</f>
        <v/>
      </c>
      <c r="I3435" s="26" t="str">
        <f>IFERROR(VLOOKUP(G3435,WholesaleExtract!B:O,8,FALSE),"")</f>
        <v/>
      </c>
      <c r="J3435" s="26" t="str">
        <f>IFERROR(VLOOKUP(G3435,WholesaleExtract!B:O,14,FALSE),"")</f>
        <v/>
      </c>
      <c r="K3435" s="26" t="str">
        <f>IFERROR(VLOOKUP(G3435,WholesaleExtract!B:K,10,FALSE),"")</f>
        <v/>
      </c>
      <c r="L3435" s="47" t="str">
        <f>IFERROR(VLOOKUP(G3435,WholesaleExtract!B:L,11,FALSE),"")</f>
        <v/>
      </c>
      <c r="M3435" s="47" t="str">
        <f>IFERROR(VLOOKUP(G3435,WholesaleExtract!B:M,12,FALSE),"")</f>
        <v/>
      </c>
      <c r="R3435" s="19"/>
      <c r="S3435" s="19"/>
    </row>
    <row r="3436" spans="1:19" x14ac:dyDescent="0.35">
      <c r="A3436" s="26" t="s">
        <v>543</v>
      </c>
      <c r="B3436" s="26" t="s">
        <v>543</v>
      </c>
      <c r="C3436" s="26"/>
      <c r="D3436" s="26" t="s">
        <v>543</v>
      </c>
      <c r="E3436" s="26" t="str">
        <f>IFERROR(VLOOKUP(G3436,WholesaleExtract!B:J,9,FALSE),"")</f>
        <v/>
      </c>
      <c r="F3436" s="26" t="str">
        <f>IFERROR(VLOOKUP(G3436,WholesaleExtract!B:J,6,FALSE),"")</f>
        <v/>
      </c>
      <c r="H3436" s="47" t="str">
        <f>IFERROR(VLOOKUP(G3436,WholesaleExtract!B:L,11,FALSE),"")</f>
        <v/>
      </c>
      <c r="I3436" s="26" t="str">
        <f>IFERROR(VLOOKUP(G3436,WholesaleExtract!B:O,8,FALSE),"")</f>
        <v/>
      </c>
      <c r="J3436" s="26" t="str">
        <f>IFERROR(VLOOKUP(G3436,WholesaleExtract!B:O,14,FALSE),"")</f>
        <v/>
      </c>
      <c r="K3436" s="26" t="str">
        <f>IFERROR(VLOOKUP(G3436,WholesaleExtract!B:K,10,FALSE),"")</f>
        <v/>
      </c>
      <c r="L3436" s="47" t="str">
        <f>IFERROR(VLOOKUP(G3436,WholesaleExtract!B:L,11,FALSE),"")</f>
        <v/>
      </c>
      <c r="M3436" s="47" t="str">
        <f>IFERROR(VLOOKUP(G3436,WholesaleExtract!B:M,12,FALSE),"")</f>
        <v/>
      </c>
      <c r="R3436" s="19"/>
      <c r="S3436" s="19"/>
    </row>
    <row r="3437" spans="1:19" x14ac:dyDescent="0.35">
      <c r="A3437" s="26" t="s">
        <v>543</v>
      </c>
      <c r="B3437" s="26" t="s">
        <v>543</v>
      </c>
      <c r="C3437" s="26"/>
      <c r="D3437" s="26" t="s">
        <v>543</v>
      </c>
      <c r="E3437" s="26" t="str">
        <f>IFERROR(VLOOKUP(G3437,WholesaleExtract!B:J,9,FALSE),"")</f>
        <v/>
      </c>
      <c r="F3437" s="26" t="str">
        <f>IFERROR(VLOOKUP(G3437,WholesaleExtract!B:J,6,FALSE),"")</f>
        <v/>
      </c>
      <c r="H3437" s="47" t="str">
        <f>IFERROR(VLOOKUP(G3437,WholesaleExtract!B:L,11,FALSE),"")</f>
        <v/>
      </c>
      <c r="I3437" s="26" t="str">
        <f>IFERROR(VLOOKUP(G3437,WholesaleExtract!B:O,8,FALSE),"")</f>
        <v/>
      </c>
      <c r="J3437" s="26" t="str">
        <f>IFERROR(VLOOKUP(G3437,WholesaleExtract!B:O,14,FALSE),"")</f>
        <v/>
      </c>
      <c r="K3437" s="26" t="str">
        <f>IFERROR(VLOOKUP(G3437,WholesaleExtract!B:K,10,FALSE),"")</f>
        <v/>
      </c>
      <c r="L3437" s="47" t="str">
        <f>IFERROR(VLOOKUP(G3437,WholesaleExtract!B:L,11,FALSE),"")</f>
        <v/>
      </c>
      <c r="M3437" s="47" t="str">
        <f>IFERROR(VLOOKUP(G3437,WholesaleExtract!B:M,12,FALSE),"")</f>
        <v/>
      </c>
      <c r="R3437" s="19"/>
      <c r="S3437" s="19"/>
    </row>
    <row r="3438" spans="1:19" x14ac:dyDescent="0.35">
      <c r="A3438" s="26" t="s">
        <v>543</v>
      </c>
      <c r="B3438" s="26" t="s">
        <v>543</v>
      </c>
      <c r="C3438" s="26"/>
      <c r="D3438" s="26" t="s">
        <v>543</v>
      </c>
      <c r="E3438" s="26" t="str">
        <f>IFERROR(VLOOKUP(G3438,WholesaleExtract!B:J,9,FALSE),"")</f>
        <v/>
      </c>
      <c r="F3438" s="26" t="str">
        <f>IFERROR(VLOOKUP(G3438,WholesaleExtract!B:J,6,FALSE),"")</f>
        <v/>
      </c>
      <c r="H3438" s="47" t="str">
        <f>IFERROR(VLOOKUP(G3438,WholesaleExtract!B:L,11,FALSE),"")</f>
        <v/>
      </c>
      <c r="I3438" s="26" t="str">
        <f>IFERROR(VLOOKUP(G3438,WholesaleExtract!B:O,8,FALSE),"")</f>
        <v/>
      </c>
      <c r="J3438" s="26" t="str">
        <f>IFERROR(VLOOKUP(G3438,WholesaleExtract!B:O,14,FALSE),"")</f>
        <v/>
      </c>
      <c r="K3438" s="26" t="str">
        <f>IFERROR(VLOOKUP(G3438,WholesaleExtract!B:K,10,FALSE),"")</f>
        <v/>
      </c>
      <c r="L3438" s="47" t="str">
        <f>IFERROR(VLOOKUP(G3438,WholesaleExtract!B:L,11,FALSE),"")</f>
        <v/>
      </c>
      <c r="M3438" s="47" t="str">
        <f>IFERROR(VLOOKUP(G3438,WholesaleExtract!B:M,12,FALSE),"")</f>
        <v/>
      </c>
      <c r="R3438" s="19"/>
      <c r="S3438" s="19"/>
    </row>
    <row r="3439" spans="1:19" x14ac:dyDescent="0.35">
      <c r="A3439" s="26" t="s">
        <v>543</v>
      </c>
      <c r="B3439" s="26" t="s">
        <v>543</v>
      </c>
      <c r="C3439" s="26"/>
      <c r="D3439" s="26" t="s">
        <v>543</v>
      </c>
      <c r="E3439" s="26" t="str">
        <f>IFERROR(VLOOKUP(G3439,WholesaleExtract!B:J,9,FALSE),"")</f>
        <v/>
      </c>
      <c r="F3439" s="26" t="str">
        <f>IFERROR(VLOOKUP(G3439,WholesaleExtract!B:J,6,FALSE),"")</f>
        <v/>
      </c>
      <c r="H3439" s="47" t="str">
        <f>IFERROR(VLOOKUP(G3439,WholesaleExtract!B:L,11,FALSE),"")</f>
        <v/>
      </c>
      <c r="I3439" s="26" t="str">
        <f>IFERROR(VLOOKUP(G3439,WholesaleExtract!B:O,8,FALSE),"")</f>
        <v/>
      </c>
      <c r="J3439" s="26" t="str">
        <f>IFERROR(VLOOKUP(G3439,WholesaleExtract!B:O,14,FALSE),"")</f>
        <v/>
      </c>
      <c r="K3439" s="26" t="str">
        <f>IFERROR(VLOOKUP(G3439,WholesaleExtract!B:K,10,FALSE),"")</f>
        <v/>
      </c>
      <c r="L3439" s="47" t="str">
        <f>IFERROR(VLOOKUP(G3439,WholesaleExtract!B:L,11,FALSE),"")</f>
        <v/>
      </c>
      <c r="M3439" s="47" t="str">
        <f>IFERROR(VLOOKUP(G3439,WholesaleExtract!B:M,12,FALSE),"")</f>
        <v/>
      </c>
      <c r="R3439" s="19"/>
      <c r="S3439" s="19"/>
    </row>
    <row r="3440" spans="1:19" x14ac:dyDescent="0.35">
      <c r="A3440" s="26" t="s">
        <v>543</v>
      </c>
      <c r="B3440" s="26" t="s">
        <v>543</v>
      </c>
      <c r="C3440" s="26"/>
      <c r="D3440" s="26" t="s">
        <v>543</v>
      </c>
      <c r="E3440" s="26" t="str">
        <f>IFERROR(VLOOKUP(G3440,WholesaleExtract!B:J,9,FALSE),"")</f>
        <v/>
      </c>
      <c r="F3440" s="26" t="str">
        <f>IFERROR(VLOOKUP(G3440,WholesaleExtract!B:J,6,FALSE),"")</f>
        <v/>
      </c>
      <c r="H3440" s="47" t="str">
        <f>IFERROR(VLOOKUP(G3440,WholesaleExtract!B:L,11,FALSE),"")</f>
        <v/>
      </c>
      <c r="I3440" s="26" t="str">
        <f>IFERROR(VLOOKUP(G3440,WholesaleExtract!B:O,8,FALSE),"")</f>
        <v/>
      </c>
      <c r="J3440" s="26" t="str">
        <f>IFERROR(VLOOKUP(G3440,WholesaleExtract!B:O,14,FALSE),"")</f>
        <v/>
      </c>
      <c r="K3440" s="26" t="str">
        <f>IFERROR(VLOOKUP(G3440,WholesaleExtract!B:K,10,FALSE),"")</f>
        <v/>
      </c>
      <c r="L3440" s="47" t="str">
        <f>IFERROR(VLOOKUP(G3440,WholesaleExtract!B:L,11,FALSE),"")</f>
        <v/>
      </c>
      <c r="M3440" s="47" t="str">
        <f>IFERROR(VLOOKUP(G3440,WholesaleExtract!B:M,12,FALSE),"")</f>
        <v/>
      </c>
      <c r="R3440" s="19"/>
      <c r="S3440" s="19"/>
    </row>
    <row r="3441" spans="1:19" x14ac:dyDescent="0.35">
      <c r="A3441" s="26" t="s">
        <v>543</v>
      </c>
      <c r="B3441" s="26" t="s">
        <v>543</v>
      </c>
      <c r="C3441" s="26"/>
      <c r="D3441" s="26" t="s">
        <v>543</v>
      </c>
      <c r="E3441" s="26" t="str">
        <f>IFERROR(VLOOKUP(G3441,WholesaleExtract!B:J,9,FALSE),"")</f>
        <v/>
      </c>
      <c r="F3441" s="26" t="str">
        <f>IFERROR(VLOOKUP(G3441,WholesaleExtract!B:J,6,FALSE),"")</f>
        <v/>
      </c>
      <c r="H3441" s="47" t="str">
        <f>IFERROR(VLOOKUP(G3441,WholesaleExtract!B:L,11,FALSE),"")</f>
        <v/>
      </c>
      <c r="I3441" s="26" t="str">
        <f>IFERROR(VLOOKUP(G3441,WholesaleExtract!B:O,8,FALSE),"")</f>
        <v/>
      </c>
      <c r="J3441" s="26" t="str">
        <f>IFERROR(VLOOKUP(G3441,WholesaleExtract!B:O,14,FALSE),"")</f>
        <v/>
      </c>
      <c r="K3441" s="26" t="str">
        <f>IFERROR(VLOOKUP(G3441,WholesaleExtract!B:K,10,FALSE),"")</f>
        <v/>
      </c>
      <c r="L3441" s="47" t="str">
        <f>IFERROR(VLOOKUP(G3441,WholesaleExtract!B:L,11,FALSE),"")</f>
        <v/>
      </c>
      <c r="M3441" s="47" t="str">
        <f>IFERROR(VLOOKUP(G3441,WholesaleExtract!B:M,12,FALSE),"")</f>
        <v/>
      </c>
      <c r="R3441" s="19"/>
      <c r="S3441" s="19"/>
    </row>
    <row r="3442" spans="1:19" x14ac:dyDescent="0.35">
      <c r="A3442" s="26" t="s">
        <v>543</v>
      </c>
      <c r="B3442" s="26" t="s">
        <v>543</v>
      </c>
      <c r="C3442" s="26"/>
      <c r="D3442" s="26" t="s">
        <v>543</v>
      </c>
      <c r="E3442" s="26" t="str">
        <f>IFERROR(VLOOKUP(G3442,WholesaleExtract!B:J,9,FALSE),"")</f>
        <v/>
      </c>
      <c r="F3442" s="26" t="str">
        <f>IFERROR(VLOOKUP(G3442,WholesaleExtract!B:J,6,FALSE),"")</f>
        <v/>
      </c>
      <c r="H3442" s="47" t="str">
        <f>IFERROR(VLOOKUP(G3442,WholesaleExtract!B:L,11,FALSE),"")</f>
        <v/>
      </c>
      <c r="I3442" s="26" t="str">
        <f>IFERROR(VLOOKUP(G3442,WholesaleExtract!B:O,8,FALSE),"")</f>
        <v/>
      </c>
      <c r="J3442" s="26" t="str">
        <f>IFERROR(VLOOKUP(G3442,WholesaleExtract!B:O,14,FALSE),"")</f>
        <v/>
      </c>
      <c r="K3442" s="26" t="str">
        <f>IFERROR(VLOOKUP(G3442,WholesaleExtract!B:K,10,FALSE),"")</f>
        <v/>
      </c>
      <c r="L3442" s="47" t="str">
        <f>IFERROR(VLOOKUP(G3442,WholesaleExtract!B:L,11,FALSE),"")</f>
        <v/>
      </c>
      <c r="M3442" s="47" t="str">
        <f>IFERROR(VLOOKUP(G3442,WholesaleExtract!B:M,12,FALSE),"")</f>
        <v/>
      </c>
      <c r="R3442" s="19"/>
      <c r="S3442" s="19"/>
    </row>
    <row r="3443" spans="1:19" x14ac:dyDescent="0.35">
      <c r="A3443" s="26" t="s">
        <v>543</v>
      </c>
      <c r="B3443" s="26" t="s">
        <v>543</v>
      </c>
      <c r="C3443" s="26"/>
      <c r="D3443" s="26" t="s">
        <v>543</v>
      </c>
      <c r="E3443" s="26" t="str">
        <f>IFERROR(VLOOKUP(G3443,WholesaleExtract!B:J,9,FALSE),"")</f>
        <v/>
      </c>
      <c r="F3443" s="26" t="str">
        <f>IFERROR(VLOOKUP(G3443,WholesaleExtract!B:J,6,FALSE),"")</f>
        <v/>
      </c>
      <c r="H3443" s="47" t="str">
        <f>IFERROR(VLOOKUP(G3443,WholesaleExtract!B:L,11,FALSE),"")</f>
        <v/>
      </c>
      <c r="I3443" s="26" t="str">
        <f>IFERROR(VLOOKUP(G3443,WholesaleExtract!B:O,8,FALSE),"")</f>
        <v/>
      </c>
      <c r="J3443" s="26" t="str">
        <f>IFERROR(VLOOKUP(G3443,WholesaleExtract!B:O,14,FALSE),"")</f>
        <v/>
      </c>
      <c r="K3443" s="26" t="str">
        <f>IFERROR(VLOOKUP(G3443,WholesaleExtract!B:K,10,FALSE),"")</f>
        <v/>
      </c>
      <c r="L3443" s="47" t="str">
        <f>IFERROR(VLOOKUP(G3443,WholesaleExtract!B:L,11,FALSE),"")</f>
        <v/>
      </c>
      <c r="M3443" s="47" t="str">
        <f>IFERROR(VLOOKUP(G3443,WholesaleExtract!B:M,12,FALSE),"")</f>
        <v/>
      </c>
      <c r="R3443" s="19"/>
      <c r="S3443" s="19"/>
    </row>
    <row r="3444" spans="1:19" x14ac:dyDescent="0.35">
      <c r="A3444" s="26" t="s">
        <v>543</v>
      </c>
      <c r="B3444" s="26" t="s">
        <v>543</v>
      </c>
      <c r="C3444" s="26"/>
      <c r="D3444" s="26" t="s">
        <v>543</v>
      </c>
      <c r="E3444" s="26" t="str">
        <f>IFERROR(VLOOKUP(G3444,WholesaleExtract!B:J,9,FALSE),"")</f>
        <v/>
      </c>
      <c r="F3444" s="26" t="str">
        <f>IFERROR(VLOOKUP(G3444,WholesaleExtract!B:J,6,FALSE),"")</f>
        <v/>
      </c>
      <c r="H3444" s="47" t="str">
        <f>IFERROR(VLOOKUP(G3444,WholesaleExtract!B:L,11,FALSE),"")</f>
        <v/>
      </c>
      <c r="I3444" s="26" t="str">
        <f>IFERROR(VLOOKUP(G3444,WholesaleExtract!B:O,8,FALSE),"")</f>
        <v/>
      </c>
      <c r="J3444" s="26" t="str">
        <f>IFERROR(VLOOKUP(G3444,WholesaleExtract!B:O,14,FALSE),"")</f>
        <v/>
      </c>
      <c r="K3444" s="26" t="str">
        <f>IFERROR(VLOOKUP(G3444,WholesaleExtract!B:K,10,FALSE),"")</f>
        <v/>
      </c>
      <c r="L3444" s="47" t="str">
        <f>IFERROR(VLOOKUP(G3444,WholesaleExtract!B:L,11,FALSE),"")</f>
        <v/>
      </c>
      <c r="M3444" s="47" t="str">
        <f>IFERROR(VLOOKUP(G3444,WholesaleExtract!B:M,12,FALSE),"")</f>
        <v/>
      </c>
      <c r="R3444" s="19"/>
      <c r="S3444" s="19"/>
    </row>
    <row r="3445" spans="1:19" x14ac:dyDescent="0.35">
      <c r="A3445" s="26" t="s">
        <v>543</v>
      </c>
      <c r="B3445" s="26" t="s">
        <v>543</v>
      </c>
      <c r="C3445" s="26"/>
      <c r="D3445" s="26" t="s">
        <v>543</v>
      </c>
      <c r="E3445" s="26" t="str">
        <f>IFERROR(VLOOKUP(G3445,WholesaleExtract!B:J,9,FALSE),"")</f>
        <v/>
      </c>
      <c r="F3445" s="26" t="str">
        <f>IFERROR(VLOOKUP(G3445,WholesaleExtract!B:J,6,FALSE),"")</f>
        <v/>
      </c>
      <c r="H3445" s="47" t="str">
        <f>IFERROR(VLOOKUP(G3445,WholesaleExtract!B:L,11,FALSE),"")</f>
        <v/>
      </c>
      <c r="I3445" s="26" t="str">
        <f>IFERROR(VLOOKUP(G3445,WholesaleExtract!B:O,8,FALSE),"")</f>
        <v/>
      </c>
      <c r="J3445" s="26" t="str">
        <f>IFERROR(VLOOKUP(G3445,WholesaleExtract!B:O,14,FALSE),"")</f>
        <v/>
      </c>
      <c r="K3445" s="26" t="str">
        <f>IFERROR(VLOOKUP(G3445,WholesaleExtract!B:K,10,FALSE),"")</f>
        <v/>
      </c>
      <c r="L3445" s="47" t="str">
        <f>IFERROR(VLOOKUP(G3445,WholesaleExtract!B:L,11,FALSE),"")</f>
        <v/>
      </c>
      <c r="M3445" s="47" t="str">
        <f>IFERROR(VLOOKUP(G3445,WholesaleExtract!B:M,12,FALSE),"")</f>
        <v/>
      </c>
      <c r="R3445" s="19"/>
      <c r="S3445" s="19"/>
    </row>
    <row r="3446" spans="1:19" x14ac:dyDescent="0.35">
      <c r="A3446" s="26" t="s">
        <v>543</v>
      </c>
      <c r="B3446" s="26" t="s">
        <v>543</v>
      </c>
      <c r="C3446" s="26"/>
      <c r="D3446" s="26" t="s">
        <v>543</v>
      </c>
      <c r="E3446" s="26" t="str">
        <f>IFERROR(VLOOKUP(G3446,WholesaleExtract!B:J,9,FALSE),"")</f>
        <v/>
      </c>
      <c r="F3446" s="26" t="str">
        <f>IFERROR(VLOOKUP(G3446,WholesaleExtract!B:J,6,FALSE),"")</f>
        <v/>
      </c>
      <c r="H3446" s="47" t="str">
        <f>IFERROR(VLOOKUP(G3446,WholesaleExtract!B:L,11,FALSE),"")</f>
        <v/>
      </c>
      <c r="I3446" s="26" t="str">
        <f>IFERROR(VLOOKUP(G3446,WholesaleExtract!B:O,8,FALSE),"")</f>
        <v/>
      </c>
      <c r="J3446" s="26" t="str">
        <f>IFERROR(VLOOKUP(G3446,WholesaleExtract!B:O,14,FALSE),"")</f>
        <v/>
      </c>
      <c r="K3446" s="26" t="str">
        <f>IFERROR(VLOOKUP(G3446,WholesaleExtract!B:K,10,FALSE),"")</f>
        <v/>
      </c>
      <c r="L3446" s="47" t="str">
        <f>IFERROR(VLOOKUP(G3446,WholesaleExtract!B:L,11,FALSE),"")</f>
        <v/>
      </c>
      <c r="M3446" s="47" t="str">
        <f>IFERROR(VLOOKUP(G3446,WholesaleExtract!B:M,12,FALSE),"")</f>
        <v/>
      </c>
      <c r="R3446" s="19"/>
      <c r="S3446" s="19"/>
    </row>
    <row r="3447" spans="1:19" x14ac:dyDescent="0.35">
      <c r="A3447" s="26" t="s">
        <v>543</v>
      </c>
      <c r="B3447" s="26" t="s">
        <v>543</v>
      </c>
      <c r="C3447" s="26"/>
      <c r="D3447" s="26" t="s">
        <v>543</v>
      </c>
      <c r="E3447" s="26" t="str">
        <f>IFERROR(VLOOKUP(G3447,WholesaleExtract!B:J,9,FALSE),"")</f>
        <v/>
      </c>
      <c r="F3447" s="26" t="str">
        <f>IFERROR(VLOOKUP(G3447,WholesaleExtract!B:J,6,FALSE),"")</f>
        <v/>
      </c>
      <c r="H3447" s="47" t="str">
        <f>IFERROR(VLOOKUP(G3447,WholesaleExtract!B:L,11,FALSE),"")</f>
        <v/>
      </c>
      <c r="I3447" s="26" t="str">
        <f>IFERROR(VLOOKUP(G3447,WholesaleExtract!B:O,8,FALSE),"")</f>
        <v/>
      </c>
      <c r="J3447" s="26" t="str">
        <f>IFERROR(VLOOKUP(G3447,WholesaleExtract!B:O,14,FALSE),"")</f>
        <v/>
      </c>
      <c r="K3447" s="26" t="str">
        <f>IFERROR(VLOOKUP(G3447,WholesaleExtract!B:K,10,FALSE),"")</f>
        <v/>
      </c>
      <c r="L3447" s="47" t="str">
        <f>IFERROR(VLOOKUP(G3447,WholesaleExtract!B:L,11,FALSE),"")</f>
        <v/>
      </c>
      <c r="M3447" s="47" t="str">
        <f>IFERROR(VLOOKUP(G3447,WholesaleExtract!B:M,12,FALSE),"")</f>
        <v/>
      </c>
      <c r="R3447" s="19"/>
      <c r="S3447" s="19"/>
    </row>
    <row r="3448" spans="1:19" x14ac:dyDescent="0.35">
      <c r="A3448" s="26" t="s">
        <v>543</v>
      </c>
      <c r="B3448" s="26" t="s">
        <v>543</v>
      </c>
      <c r="C3448" s="26"/>
      <c r="D3448" s="26" t="s">
        <v>543</v>
      </c>
      <c r="E3448" s="26" t="str">
        <f>IFERROR(VLOOKUP(G3448,WholesaleExtract!B:J,9,FALSE),"")</f>
        <v/>
      </c>
      <c r="F3448" s="26" t="str">
        <f>IFERROR(VLOOKUP(G3448,WholesaleExtract!B:J,6,FALSE),"")</f>
        <v/>
      </c>
      <c r="H3448" s="47" t="str">
        <f>IFERROR(VLOOKUP(G3448,WholesaleExtract!B:L,11,FALSE),"")</f>
        <v/>
      </c>
      <c r="I3448" s="26" t="str">
        <f>IFERROR(VLOOKUP(G3448,WholesaleExtract!B:O,8,FALSE),"")</f>
        <v/>
      </c>
      <c r="J3448" s="26" t="str">
        <f>IFERROR(VLOOKUP(G3448,WholesaleExtract!B:O,14,FALSE),"")</f>
        <v/>
      </c>
      <c r="K3448" s="26" t="str">
        <f>IFERROR(VLOOKUP(G3448,WholesaleExtract!B:K,10,FALSE),"")</f>
        <v/>
      </c>
      <c r="L3448" s="47" t="str">
        <f>IFERROR(VLOOKUP(G3448,WholesaleExtract!B:L,11,FALSE),"")</f>
        <v/>
      </c>
      <c r="M3448" s="47" t="str">
        <f>IFERROR(VLOOKUP(G3448,WholesaleExtract!B:M,12,FALSE),"")</f>
        <v/>
      </c>
      <c r="R3448" s="19"/>
      <c r="S3448" s="19"/>
    </row>
    <row r="3449" spans="1:19" x14ac:dyDescent="0.35">
      <c r="A3449" s="26" t="s">
        <v>543</v>
      </c>
      <c r="B3449" s="26" t="s">
        <v>543</v>
      </c>
      <c r="C3449" s="26"/>
      <c r="D3449" s="26" t="s">
        <v>543</v>
      </c>
      <c r="E3449" s="26" t="str">
        <f>IFERROR(VLOOKUP(G3449,WholesaleExtract!B:J,9,FALSE),"")</f>
        <v/>
      </c>
      <c r="F3449" s="26" t="str">
        <f>IFERROR(VLOOKUP(G3449,WholesaleExtract!B:J,6,FALSE),"")</f>
        <v/>
      </c>
      <c r="H3449" s="47" t="str">
        <f>IFERROR(VLOOKUP(G3449,WholesaleExtract!B:L,11,FALSE),"")</f>
        <v/>
      </c>
      <c r="I3449" s="26" t="str">
        <f>IFERROR(VLOOKUP(G3449,WholesaleExtract!B:O,8,FALSE),"")</f>
        <v/>
      </c>
      <c r="J3449" s="26" t="str">
        <f>IFERROR(VLOOKUP(G3449,WholesaleExtract!B:O,14,FALSE),"")</f>
        <v/>
      </c>
      <c r="K3449" s="26" t="str">
        <f>IFERROR(VLOOKUP(G3449,WholesaleExtract!B:K,10,FALSE),"")</f>
        <v/>
      </c>
      <c r="L3449" s="47" t="str">
        <f>IFERROR(VLOOKUP(G3449,WholesaleExtract!B:L,11,FALSE),"")</f>
        <v/>
      </c>
      <c r="M3449" s="47" t="str">
        <f>IFERROR(VLOOKUP(G3449,WholesaleExtract!B:M,12,FALSE),"")</f>
        <v/>
      </c>
      <c r="R3449" s="19"/>
      <c r="S3449" s="19"/>
    </row>
    <row r="3450" spans="1:19" x14ac:dyDescent="0.35">
      <c r="A3450" s="26" t="s">
        <v>543</v>
      </c>
      <c r="B3450" s="26" t="s">
        <v>543</v>
      </c>
      <c r="C3450" s="26"/>
      <c r="D3450" s="26" t="s">
        <v>543</v>
      </c>
      <c r="E3450" s="26" t="str">
        <f>IFERROR(VLOOKUP(G3450,WholesaleExtract!B:J,9,FALSE),"")</f>
        <v/>
      </c>
      <c r="F3450" s="26" t="str">
        <f>IFERROR(VLOOKUP(G3450,WholesaleExtract!B:J,6,FALSE),"")</f>
        <v/>
      </c>
      <c r="H3450" s="47" t="str">
        <f>IFERROR(VLOOKUP(G3450,WholesaleExtract!B:L,11,FALSE),"")</f>
        <v/>
      </c>
      <c r="I3450" s="26" t="str">
        <f>IFERROR(VLOOKUP(G3450,WholesaleExtract!B:O,8,FALSE),"")</f>
        <v/>
      </c>
      <c r="J3450" s="26" t="str">
        <f>IFERROR(VLOOKUP(G3450,WholesaleExtract!B:O,14,FALSE),"")</f>
        <v/>
      </c>
      <c r="K3450" s="26" t="str">
        <f>IFERROR(VLOOKUP(G3450,WholesaleExtract!B:K,10,FALSE),"")</f>
        <v/>
      </c>
      <c r="L3450" s="47" t="str">
        <f>IFERROR(VLOOKUP(G3450,WholesaleExtract!B:L,11,FALSE),"")</f>
        <v/>
      </c>
      <c r="M3450" s="47" t="str">
        <f>IFERROR(VLOOKUP(G3450,WholesaleExtract!B:M,12,FALSE),"")</f>
        <v/>
      </c>
      <c r="R3450" s="19"/>
      <c r="S3450" s="19"/>
    </row>
    <row r="3451" spans="1:19" x14ac:dyDescent="0.35">
      <c r="A3451" s="26" t="s">
        <v>543</v>
      </c>
      <c r="B3451" s="26" t="s">
        <v>543</v>
      </c>
      <c r="C3451" s="26"/>
      <c r="D3451" s="26" t="s">
        <v>543</v>
      </c>
      <c r="E3451" s="26" t="str">
        <f>IFERROR(VLOOKUP(G3451,WholesaleExtract!B:J,9,FALSE),"")</f>
        <v/>
      </c>
      <c r="F3451" s="26" t="str">
        <f>IFERROR(VLOOKUP(G3451,WholesaleExtract!B:J,6,FALSE),"")</f>
        <v/>
      </c>
      <c r="H3451" s="47" t="str">
        <f>IFERROR(VLOOKUP(G3451,WholesaleExtract!B:L,11,FALSE),"")</f>
        <v/>
      </c>
      <c r="I3451" s="26" t="str">
        <f>IFERROR(VLOOKUP(G3451,WholesaleExtract!B:O,8,FALSE),"")</f>
        <v/>
      </c>
      <c r="J3451" s="26" t="str">
        <f>IFERROR(VLOOKUP(G3451,WholesaleExtract!B:O,14,FALSE),"")</f>
        <v/>
      </c>
      <c r="K3451" s="26" t="str">
        <f>IFERROR(VLOOKUP(G3451,WholesaleExtract!B:K,10,FALSE),"")</f>
        <v/>
      </c>
      <c r="L3451" s="47" t="str">
        <f>IFERROR(VLOOKUP(G3451,WholesaleExtract!B:L,11,FALSE),"")</f>
        <v/>
      </c>
      <c r="M3451" s="47" t="str">
        <f>IFERROR(VLOOKUP(G3451,WholesaleExtract!B:M,12,FALSE),"")</f>
        <v/>
      </c>
      <c r="R3451" s="19"/>
      <c r="S3451" s="19"/>
    </row>
    <row r="3452" spans="1:19" x14ac:dyDescent="0.35">
      <c r="A3452" s="26" t="s">
        <v>543</v>
      </c>
      <c r="B3452" s="26" t="s">
        <v>543</v>
      </c>
      <c r="C3452" s="26"/>
      <c r="D3452" s="26" t="s">
        <v>543</v>
      </c>
      <c r="E3452" s="26" t="str">
        <f>IFERROR(VLOOKUP(G3452,WholesaleExtract!B:J,9,FALSE),"")</f>
        <v/>
      </c>
      <c r="F3452" s="26" t="str">
        <f>IFERROR(VLOOKUP(G3452,WholesaleExtract!B:J,6,FALSE),"")</f>
        <v/>
      </c>
      <c r="H3452" s="47" t="str">
        <f>IFERROR(VLOOKUP(G3452,WholesaleExtract!B:L,11,FALSE),"")</f>
        <v/>
      </c>
      <c r="I3452" s="26" t="str">
        <f>IFERROR(VLOOKUP(G3452,WholesaleExtract!B:O,8,FALSE),"")</f>
        <v/>
      </c>
      <c r="J3452" s="26" t="str">
        <f>IFERROR(VLOOKUP(G3452,WholesaleExtract!B:O,14,FALSE),"")</f>
        <v/>
      </c>
      <c r="K3452" s="26" t="str">
        <f>IFERROR(VLOOKUP(G3452,WholesaleExtract!B:K,10,FALSE),"")</f>
        <v/>
      </c>
      <c r="L3452" s="47" t="str">
        <f>IFERROR(VLOOKUP(G3452,WholesaleExtract!B:L,11,FALSE),"")</f>
        <v/>
      </c>
      <c r="M3452" s="47" t="str">
        <f>IFERROR(VLOOKUP(G3452,WholesaleExtract!B:M,12,FALSE),"")</f>
        <v/>
      </c>
      <c r="R3452" s="19"/>
      <c r="S3452" s="19"/>
    </row>
    <row r="3453" spans="1:19" x14ac:dyDescent="0.35">
      <c r="A3453" s="26" t="s">
        <v>543</v>
      </c>
      <c r="B3453" s="26" t="s">
        <v>543</v>
      </c>
      <c r="C3453" s="26"/>
      <c r="D3453" s="26" t="s">
        <v>543</v>
      </c>
      <c r="E3453" s="26" t="str">
        <f>IFERROR(VLOOKUP(G3453,WholesaleExtract!B:J,9,FALSE),"")</f>
        <v/>
      </c>
      <c r="F3453" s="26" t="str">
        <f>IFERROR(VLOOKUP(G3453,WholesaleExtract!B:J,6,FALSE),"")</f>
        <v/>
      </c>
      <c r="H3453" s="47" t="str">
        <f>IFERROR(VLOOKUP(G3453,WholesaleExtract!B:L,11,FALSE),"")</f>
        <v/>
      </c>
      <c r="I3453" s="26" t="str">
        <f>IFERROR(VLOOKUP(G3453,WholesaleExtract!B:O,8,FALSE),"")</f>
        <v/>
      </c>
      <c r="J3453" s="26" t="str">
        <f>IFERROR(VLOOKUP(G3453,WholesaleExtract!B:O,14,FALSE),"")</f>
        <v/>
      </c>
      <c r="K3453" s="26" t="str">
        <f>IFERROR(VLOOKUP(G3453,WholesaleExtract!B:K,10,FALSE),"")</f>
        <v/>
      </c>
      <c r="L3453" s="47" t="str">
        <f>IFERROR(VLOOKUP(G3453,WholesaleExtract!B:L,11,FALSE),"")</f>
        <v/>
      </c>
      <c r="M3453" s="47" t="str">
        <f>IFERROR(VLOOKUP(G3453,WholesaleExtract!B:M,12,FALSE),"")</f>
        <v/>
      </c>
      <c r="R3453" s="19"/>
      <c r="S3453" s="19"/>
    </row>
    <row r="3454" spans="1:19" x14ac:dyDescent="0.35">
      <c r="A3454" s="26" t="s">
        <v>543</v>
      </c>
      <c r="B3454" s="26" t="s">
        <v>543</v>
      </c>
      <c r="C3454" s="26"/>
      <c r="D3454" s="26" t="s">
        <v>543</v>
      </c>
      <c r="E3454" s="26" t="str">
        <f>IFERROR(VLOOKUP(G3454,WholesaleExtract!B:J,9,FALSE),"")</f>
        <v/>
      </c>
      <c r="F3454" s="26" t="str">
        <f>IFERROR(VLOOKUP(G3454,WholesaleExtract!B:J,6,FALSE),"")</f>
        <v/>
      </c>
      <c r="H3454" s="47" t="str">
        <f>IFERROR(VLOOKUP(G3454,WholesaleExtract!B:L,11,FALSE),"")</f>
        <v/>
      </c>
      <c r="I3454" s="26" t="str">
        <f>IFERROR(VLOOKUP(G3454,WholesaleExtract!B:O,8,FALSE),"")</f>
        <v/>
      </c>
      <c r="J3454" s="26" t="str">
        <f>IFERROR(VLOOKUP(G3454,WholesaleExtract!B:O,14,FALSE),"")</f>
        <v/>
      </c>
      <c r="K3454" s="26" t="str">
        <f>IFERROR(VLOOKUP(G3454,WholesaleExtract!B:K,10,FALSE),"")</f>
        <v/>
      </c>
      <c r="L3454" s="47" t="str">
        <f>IFERROR(VLOOKUP(G3454,WholesaleExtract!B:L,11,FALSE),"")</f>
        <v/>
      </c>
      <c r="M3454" s="47" t="str">
        <f>IFERROR(VLOOKUP(G3454,WholesaleExtract!B:M,12,FALSE),"")</f>
        <v/>
      </c>
      <c r="R3454" s="19"/>
      <c r="S3454" s="19"/>
    </row>
    <row r="3455" spans="1:19" x14ac:dyDescent="0.35">
      <c r="A3455" s="26" t="s">
        <v>543</v>
      </c>
      <c r="B3455" s="26" t="s">
        <v>543</v>
      </c>
      <c r="C3455" s="26"/>
      <c r="D3455" s="26" t="s">
        <v>543</v>
      </c>
      <c r="E3455" s="26" t="str">
        <f>IFERROR(VLOOKUP(G3455,WholesaleExtract!B:J,9,FALSE),"")</f>
        <v/>
      </c>
      <c r="F3455" s="26" t="str">
        <f>IFERROR(VLOOKUP(G3455,WholesaleExtract!B:J,6,FALSE),"")</f>
        <v/>
      </c>
      <c r="H3455" s="47" t="str">
        <f>IFERROR(VLOOKUP(G3455,WholesaleExtract!B:L,11,FALSE),"")</f>
        <v/>
      </c>
      <c r="I3455" s="26" t="str">
        <f>IFERROR(VLOOKUP(G3455,WholesaleExtract!B:O,8,FALSE),"")</f>
        <v/>
      </c>
      <c r="J3455" s="26" t="str">
        <f>IFERROR(VLOOKUP(G3455,WholesaleExtract!B:O,14,FALSE),"")</f>
        <v/>
      </c>
      <c r="K3455" s="26" t="str">
        <f>IFERROR(VLOOKUP(G3455,WholesaleExtract!B:K,10,FALSE),"")</f>
        <v/>
      </c>
      <c r="L3455" s="47" t="str">
        <f>IFERROR(VLOOKUP(G3455,WholesaleExtract!B:L,11,FALSE),"")</f>
        <v/>
      </c>
      <c r="M3455" s="47" t="str">
        <f>IFERROR(VLOOKUP(G3455,WholesaleExtract!B:M,12,FALSE),"")</f>
        <v/>
      </c>
      <c r="R3455" s="19"/>
      <c r="S3455" s="19"/>
    </row>
    <row r="3456" spans="1:19" x14ac:dyDescent="0.35">
      <c r="A3456" s="26" t="s">
        <v>543</v>
      </c>
      <c r="B3456" s="26" t="s">
        <v>543</v>
      </c>
      <c r="C3456" s="26"/>
      <c r="D3456" s="26" t="s">
        <v>543</v>
      </c>
      <c r="E3456" s="26" t="str">
        <f>IFERROR(VLOOKUP(G3456,WholesaleExtract!B:J,9,FALSE),"")</f>
        <v/>
      </c>
      <c r="F3456" s="26" t="str">
        <f>IFERROR(VLOOKUP(G3456,WholesaleExtract!B:J,6,FALSE),"")</f>
        <v/>
      </c>
      <c r="H3456" s="47" t="str">
        <f>IFERROR(VLOOKUP(G3456,WholesaleExtract!B:L,11,FALSE),"")</f>
        <v/>
      </c>
      <c r="I3456" s="26" t="str">
        <f>IFERROR(VLOOKUP(G3456,WholesaleExtract!B:O,8,FALSE),"")</f>
        <v/>
      </c>
      <c r="J3456" s="26" t="str">
        <f>IFERROR(VLOOKUP(G3456,WholesaleExtract!B:O,14,FALSE),"")</f>
        <v/>
      </c>
      <c r="K3456" s="26" t="str">
        <f>IFERROR(VLOOKUP(G3456,WholesaleExtract!B:K,10,FALSE),"")</f>
        <v/>
      </c>
      <c r="L3456" s="47" t="str">
        <f>IFERROR(VLOOKUP(G3456,WholesaleExtract!B:L,11,FALSE),"")</f>
        <v/>
      </c>
      <c r="M3456" s="47" t="str">
        <f>IFERROR(VLOOKUP(G3456,WholesaleExtract!B:M,12,FALSE),"")</f>
        <v/>
      </c>
      <c r="R3456" s="19"/>
      <c r="S3456" s="19"/>
    </row>
    <row r="3457" spans="1:19" x14ac:dyDescent="0.35">
      <c r="A3457" s="26" t="s">
        <v>543</v>
      </c>
      <c r="B3457" s="26" t="s">
        <v>543</v>
      </c>
      <c r="C3457" s="26"/>
      <c r="D3457" s="26" t="s">
        <v>543</v>
      </c>
      <c r="E3457" s="26" t="str">
        <f>IFERROR(VLOOKUP(G3457,WholesaleExtract!B:J,9,FALSE),"")</f>
        <v/>
      </c>
      <c r="F3457" s="26" t="str">
        <f>IFERROR(VLOOKUP(G3457,WholesaleExtract!B:J,6,FALSE),"")</f>
        <v/>
      </c>
      <c r="H3457" s="47" t="str">
        <f>IFERROR(VLOOKUP(G3457,WholesaleExtract!B:L,11,FALSE),"")</f>
        <v/>
      </c>
      <c r="I3457" s="26" t="str">
        <f>IFERROR(VLOOKUP(G3457,WholesaleExtract!B:O,8,FALSE),"")</f>
        <v/>
      </c>
      <c r="J3457" s="26" t="str">
        <f>IFERROR(VLOOKUP(G3457,WholesaleExtract!B:O,14,FALSE),"")</f>
        <v/>
      </c>
      <c r="K3457" s="26" t="str">
        <f>IFERROR(VLOOKUP(G3457,WholesaleExtract!B:K,10,FALSE),"")</f>
        <v/>
      </c>
      <c r="L3457" s="47" t="str">
        <f>IFERROR(VLOOKUP(G3457,WholesaleExtract!B:L,11,FALSE),"")</f>
        <v/>
      </c>
      <c r="M3457" s="47" t="str">
        <f>IFERROR(VLOOKUP(G3457,WholesaleExtract!B:M,12,FALSE),"")</f>
        <v/>
      </c>
      <c r="R3457" s="19"/>
      <c r="S3457" s="19"/>
    </row>
    <row r="3458" spans="1:19" x14ac:dyDescent="0.35">
      <c r="A3458" s="26" t="s">
        <v>543</v>
      </c>
      <c r="B3458" s="26" t="s">
        <v>543</v>
      </c>
      <c r="C3458" s="26"/>
      <c r="D3458" s="26" t="s">
        <v>543</v>
      </c>
      <c r="E3458" s="26" t="str">
        <f>IFERROR(VLOOKUP(G3458,WholesaleExtract!B:J,9,FALSE),"")</f>
        <v/>
      </c>
      <c r="F3458" s="26" t="str">
        <f>IFERROR(VLOOKUP(G3458,WholesaleExtract!B:J,6,FALSE),"")</f>
        <v/>
      </c>
      <c r="H3458" s="47" t="str">
        <f>IFERROR(VLOOKUP(G3458,WholesaleExtract!B:L,11,FALSE),"")</f>
        <v/>
      </c>
      <c r="I3458" s="26" t="str">
        <f>IFERROR(VLOOKUP(G3458,WholesaleExtract!B:O,8,FALSE),"")</f>
        <v/>
      </c>
      <c r="J3458" s="26" t="str">
        <f>IFERROR(VLOOKUP(G3458,WholesaleExtract!B:O,14,FALSE),"")</f>
        <v/>
      </c>
      <c r="K3458" s="26" t="str">
        <f>IFERROR(VLOOKUP(G3458,WholesaleExtract!B:K,10,FALSE),"")</f>
        <v/>
      </c>
      <c r="L3458" s="47" t="str">
        <f>IFERROR(VLOOKUP(G3458,WholesaleExtract!B:L,11,FALSE),"")</f>
        <v/>
      </c>
      <c r="M3458" s="47" t="str">
        <f>IFERROR(VLOOKUP(G3458,WholesaleExtract!B:M,12,FALSE),"")</f>
        <v/>
      </c>
      <c r="R3458" s="19"/>
      <c r="S3458" s="19"/>
    </row>
    <row r="3459" spans="1:19" x14ac:dyDescent="0.35">
      <c r="A3459" s="26" t="s">
        <v>543</v>
      </c>
      <c r="B3459" s="26" t="s">
        <v>543</v>
      </c>
      <c r="C3459" s="26"/>
      <c r="D3459" s="26" t="s">
        <v>543</v>
      </c>
      <c r="E3459" s="26" t="str">
        <f>IFERROR(VLOOKUP(G3459,WholesaleExtract!B:J,9,FALSE),"")</f>
        <v/>
      </c>
      <c r="F3459" s="26" t="str">
        <f>IFERROR(VLOOKUP(G3459,WholesaleExtract!B:J,6,FALSE),"")</f>
        <v/>
      </c>
      <c r="H3459" s="47" t="str">
        <f>IFERROR(VLOOKUP(G3459,WholesaleExtract!B:L,11,FALSE),"")</f>
        <v/>
      </c>
      <c r="I3459" s="26" t="str">
        <f>IFERROR(VLOOKUP(G3459,WholesaleExtract!B:O,8,FALSE),"")</f>
        <v/>
      </c>
      <c r="J3459" s="26" t="str">
        <f>IFERROR(VLOOKUP(G3459,WholesaleExtract!B:O,14,FALSE),"")</f>
        <v/>
      </c>
      <c r="K3459" s="26" t="str">
        <f>IFERROR(VLOOKUP(G3459,WholesaleExtract!B:K,10,FALSE),"")</f>
        <v/>
      </c>
      <c r="L3459" s="47" t="str">
        <f>IFERROR(VLOOKUP(G3459,WholesaleExtract!B:L,11,FALSE),"")</f>
        <v/>
      </c>
      <c r="M3459" s="47" t="str">
        <f>IFERROR(VLOOKUP(G3459,WholesaleExtract!B:M,12,FALSE),"")</f>
        <v/>
      </c>
      <c r="R3459" s="19"/>
      <c r="S3459" s="19"/>
    </row>
    <row r="3460" spans="1:19" x14ac:dyDescent="0.35">
      <c r="A3460" s="26" t="s">
        <v>543</v>
      </c>
      <c r="B3460" s="26" t="s">
        <v>543</v>
      </c>
      <c r="C3460" s="26"/>
      <c r="D3460" s="26" t="s">
        <v>543</v>
      </c>
      <c r="E3460" s="26" t="str">
        <f>IFERROR(VLOOKUP(G3460,WholesaleExtract!B:J,9,FALSE),"")</f>
        <v/>
      </c>
      <c r="F3460" s="26" t="str">
        <f>IFERROR(VLOOKUP(G3460,WholesaleExtract!B:J,6,FALSE),"")</f>
        <v/>
      </c>
      <c r="H3460" s="47" t="str">
        <f>IFERROR(VLOOKUP(G3460,WholesaleExtract!B:L,11,FALSE),"")</f>
        <v/>
      </c>
      <c r="I3460" s="26" t="str">
        <f>IFERROR(VLOOKUP(G3460,WholesaleExtract!B:O,8,FALSE),"")</f>
        <v/>
      </c>
      <c r="J3460" s="26" t="str">
        <f>IFERROR(VLOOKUP(G3460,WholesaleExtract!B:O,14,FALSE),"")</f>
        <v/>
      </c>
      <c r="K3460" s="26" t="str">
        <f>IFERROR(VLOOKUP(G3460,WholesaleExtract!B:K,10,FALSE),"")</f>
        <v/>
      </c>
      <c r="L3460" s="47" t="str">
        <f>IFERROR(VLOOKUP(G3460,WholesaleExtract!B:L,11,FALSE),"")</f>
        <v/>
      </c>
      <c r="M3460" s="47" t="str">
        <f>IFERROR(VLOOKUP(G3460,WholesaleExtract!B:M,12,FALSE),"")</f>
        <v/>
      </c>
      <c r="R3460" s="19"/>
      <c r="S3460" s="19"/>
    </row>
    <row r="3461" spans="1:19" x14ac:dyDescent="0.35">
      <c r="A3461" s="26" t="s">
        <v>543</v>
      </c>
      <c r="B3461" s="26" t="s">
        <v>543</v>
      </c>
      <c r="C3461" s="26"/>
      <c r="D3461" s="26" t="s">
        <v>543</v>
      </c>
      <c r="E3461" s="26" t="str">
        <f>IFERROR(VLOOKUP(G3461,WholesaleExtract!B:J,9,FALSE),"")</f>
        <v/>
      </c>
      <c r="F3461" s="26" t="str">
        <f>IFERROR(VLOOKUP(G3461,WholesaleExtract!B:J,6,FALSE),"")</f>
        <v/>
      </c>
      <c r="H3461" s="47" t="str">
        <f>IFERROR(VLOOKUP(G3461,WholesaleExtract!B:L,11,FALSE),"")</f>
        <v/>
      </c>
      <c r="I3461" s="26" t="str">
        <f>IFERROR(VLOOKUP(G3461,WholesaleExtract!B:O,8,FALSE),"")</f>
        <v/>
      </c>
      <c r="J3461" s="26" t="str">
        <f>IFERROR(VLOOKUP(G3461,WholesaleExtract!B:O,14,FALSE),"")</f>
        <v/>
      </c>
      <c r="K3461" s="26" t="str">
        <f>IFERROR(VLOOKUP(G3461,WholesaleExtract!B:K,10,FALSE),"")</f>
        <v/>
      </c>
      <c r="L3461" s="47" t="str">
        <f>IFERROR(VLOOKUP(G3461,WholesaleExtract!B:L,11,FALSE),"")</f>
        <v/>
      </c>
      <c r="M3461" s="47" t="str">
        <f>IFERROR(VLOOKUP(G3461,WholesaleExtract!B:M,12,FALSE),"")</f>
        <v/>
      </c>
      <c r="R3461" s="19"/>
      <c r="S3461" s="19"/>
    </row>
    <row r="3462" spans="1:19" x14ac:dyDescent="0.35">
      <c r="A3462" s="26" t="s">
        <v>543</v>
      </c>
      <c r="B3462" s="26" t="s">
        <v>543</v>
      </c>
      <c r="C3462" s="26"/>
      <c r="D3462" s="26" t="s">
        <v>543</v>
      </c>
      <c r="E3462" s="26" t="str">
        <f>IFERROR(VLOOKUP(G3462,WholesaleExtract!B:J,9,FALSE),"")</f>
        <v/>
      </c>
      <c r="F3462" s="26" t="str">
        <f>IFERROR(VLOOKUP(G3462,WholesaleExtract!B:J,6,FALSE),"")</f>
        <v/>
      </c>
      <c r="H3462" s="47" t="str">
        <f>IFERROR(VLOOKUP(G3462,WholesaleExtract!B:L,11,FALSE),"")</f>
        <v/>
      </c>
      <c r="I3462" s="26" t="str">
        <f>IFERROR(VLOOKUP(G3462,WholesaleExtract!B:O,8,FALSE),"")</f>
        <v/>
      </c>
      <c r="J3462" s="26" t="str">
        <f>IFERROR(VLOOKUP(G3462,WholesaleExtract!B:O,14,FALSE),"")</f>
        <v/>
      </c>
      <c r="K3462" s="26" t="str">
        <f>IFERROR(VLOOKUP(G3462,WholesaleExtract!B:K,10,FALSE),"")</f>
        <v/>
      </c>
      <c r="L3462" s="47" t="str">
        <f>IFERROR(VLOOKUP(G3462,WholesaleExtract!B:L,11,FALSE),"")</f>
        <v/>
      </c>
      <c r="M3462" s="47" t="str">
        <f>IFERROR(VLOOKUP(G3462,WholesaleExtract!B:M,12,FALSE),"")</f>
        <v/>
      </c>
      <c r="R3462" s="19"/>
      <c r="S3462" s="19"/>
    </row>
    <row r="3463" spans="1:19" x14ac:dyDescent="0.35">
      <c r="A3463" s="26" t="s">
        <v>543</v>
      </c>
      <c r="B3463" s="26" t="s">
        <v>543</v>
      </c>
      <c r="C3463" s="26"/>
      <c r="D3463" s="26" t="s">
        <v>543</v>
      </c>
      <c r="E3463" s="26" t="str">
        <f>IFERROR(VLOOKUP(G3463,WholesaleExtract!B:J,9,FALSE),"")</f>
        <v/>
      </c>
      <c r="F3463" s="26" t="str">
        <f>IFERROR(VLOOKUP(G3463,WholesaleExtract!B:J,6,FALSE),"")</f>
        <v/>
      </c>
      <c r="H3463" s="47" t="str">
        <f>IFERROR(VLOOKUP(G3463,WholesaleExtract!B:L,11,FALSE),"")</f>
        <v/>
      </c>
      <c r="I3463" s="26" t="str">
        <f>IFERROR(VLOOKUP(G3463,WholesaleExtract!B:O,8,FALSE),"")</f>
        <v/>
      </c>
      <c r="J3463" s="26" t="str">
        <f>IFERROR(VLOOKUP(G3463,WholesaleExtract!B:O,14,FALSE),"")</f>
        <v/>
      </c>
      <c r="K3463" s="26" t="str">
        <f>IFERROR(VLOOKUP(G3463,WholesaleExtract!B:K,10,FALSE),"")</f>
        <v/>
      </c>
      <c r="L3463" s="47" t="str">
        <f>IFERROR(VLOOKUP(G3463,WholesaleExtract!B:L,11,FALSE),"")</f>
        <v/>
      </c>
      <c r="M3463" s="47" t="str">
        <f>IFERROR(VLOOKUP(G3463,WholesaleExtract!B:M,12,FALSE),"")</f>
        <v/>
      </c>
      <c r="R3463" s="19"/>
      <c r="S3463" s="19"/>
    </row>
    <row r="3464" spans="1:19" x14ac:dyDescent="0.35">
      <c r="A3464" s="26" t="s">
        <v>543</v>
      </c>
      <c r="B3464" s="26" t="s">
        <v>543</v>
      </c>
      <c r="C3464" s="26"/>
      <c r="D3464" s="26" t="s">
        <v>543</v>
      </c>
      <c r="E3464" s="26" t="str">
        <f>IFERROR(VLOOKUP(G3464,WholesaleExtract!B:J,9,FALSE),"")</f>
        <v/>
      </c>
      <c r="F3464" s="26" t="str">
        <f>IFERROR(VLOOKUP(G3464,WholesaleExtract!B:J,6,FALSE),"")</f>
        <v/>
      </c>
      <c r="H3464" s="47" t="str">
        <f>IFERROR(VLOOKUP(G3464,WholesaleExtract!B:L,11,FALSE),"")</f>
        <v/>
      </c>
      <c r="I3464" s="26" t="str">
        <f>IFERROR(VLOOKUP(G3464,WholesaleExtract!B:O,8,FALSE),"")</f>
        <v/>
      </c>
      <c r="J3464" s="26" t="str">
        <f>IFERROR(VLOOKUP(G3464,WholesaleExtract!B:O,14,FALSE),"")</f>
        <v/>
      </c>
      <c r="K3464" s="26" t="str">
        <f>IFERROR(VLOOKUP(G3464,WholesaleExtract!B:K,10,FALSE),"")</f>
        <v/>
      </c>
      <c r="L3464" s="47" t="str">
        <f>IFERROR(VLOOKUP(G3464,WholesaleExtract!B:L,11,FALSE),"")</f>
        <v/>
      </c>
      <c r="M3464" s="47" t="str">
        <f>IFERROR(VLOOKUP(G3464,WholesaleExtract!B:M,12,FALSE),"")</f>
        <v/>
      </c>
      <c r="R3464" s="19"/>
      <c r="S3464" s="19"/>
    </row>
    <row r="3465" spans="1:19" x14ac:dyDescent="0.35">
      <c r="A3465" s="26" t="s">
        <v>543</v>
      </c>
      <c r="B3465" s="26" t="s">
        <v>543</v>
      </c>
      <c r="C3465" s="26"/>
      <c r="D3465" s="26" t="s">
        <v>543</v>
      </c>
      <c r="E3465" s="26" t="str">
        <f>IFERROR(VLOOKUP(G3465,WholesaleExtract!B:J,9,FALSE),"")</f>
        <v/>
      </c>
      <c r="F3465" s="26" t="str">
        <f>IFERROR(VLOOKUP(G3465,WholesaleExtract!B:J,6,FALSE),"")</f>
        <v/>
      </c>
      <c r="H3465" s="47" t="str">
        <f>IFERROR(VLOOKUP(G3465,WholesaleExtract!B:L,11,FALSE),"")</f>
        <v/>
      </c>
      <c r="I3465" s="26" t="str">
        <f>IFERROR(VLOOKUP(G3465,WholesaleExtract!B:O,8,FALSE),"")</f>
        <v/>
      </c>
      <c r="J3465" s="26" t="str">
        <f>IFERROR(VLOOKUP(G3465,WholesaleExtract!B:O,14,FALSE),"")</f>
        <v/>
      </c>
      <c r="K3465" s="26" t="str">
        <f>IFERROR(VLOOKUP(G3465,WholesaleExtract!B:K,10,FALSE),"")</f>
        <v/>
      </c>
      <c r="L3465" s="47" t="str">
        <f>IFERROR(VLOOKUP(G3465,WholesaleExtract!B:L,11,FALSE),"")</f>
        <v/>
      </c>
      <c r="M3465" s="47" t="str">
        <f>IFERROR(VLOOKUP(G3465,WholesaleExtract!B:M,12,FALSE),"")</f>
        <v/>
      </c>
      <c r="R3465" s="19"/>
      <c r="S3465" s="19"/>
    </row>
    <row r="3466" spans="1:19" x14ac:dyDescent="0.35">
      <c r="A3466" s="26" t="s">
        <v>543</v>
      </c>
      <c r="B3466" s="26" t="s">
        <v>543</v>
      </c>
      <c r="C3466" s="26"/>
      <c r="D3466" s="26" t="s">
        <v>543</v>
      </c>
      <c r="E3466" s="26" t="str">
        <f>IFERROR(VLOOKUP(G3466,WholesaleExtract!B:J,9,FALSE),"")</f>
        <v/>
      </c>
      <c r="F3466" s="26" t="str">
        <f>IFERROR(VLOOKUP(G3466,WholesaleExtract!B:J,6,FALSE),"")</f>
        <v/>
      </c>
      <c r="H3466" s="47" t="str">
        <f>IFERROR(VLOOKUP(G3466,WholesaleExtract!B:L,11,FALSE),"")</f>
        <v/>
      </c>
      <c r="I3466" s="26" t="str">
        <f>IFERROR(VLOOKUP(G3466,WholesaleExtract!B:O,8,FALSE),"")</f>
        <v/>
      </c>
      <c r="J3466" s="26" t="str">
        <f>IFERROR(VLOOKUP(G3466,WholesaleExtract!B:O,14,FALSE),"")</f>
        <v/>
      </c>
      <c r="K3466" s="26" t="str">
        <f>IFERROR(VLOOKUP(G3466,WholesaleExtract!B:K,10,FALSE),"")</f>
        <v/>
      </c>
      <c r="L3466" s="47" t="str">
        <f>IFERROR(VLOOKUP(G3466,WholesaleExtract!B:L,11,FALSE),"")</f>
        <v/>
      </c>
      <c r="M3466" s="47" t="str">
        <f>IFERROR(VLOOKUP(G3466,WholesaleExtract!B:M,12,FALSE),"")</f>
        <v/>
      </c>
      <c r="R3466" s="19"/>
      <c r="S3466" s="19"/>
    </row>
    <row r="3467" spans="1:19" x14ac:dyDescent="0.35">
      <c r="A3467" s="26" t="s">
        <v>543</v>
      </c>
      <c r="B3467" s="26" t="s">
        <v>543</v>
      </c>
      <c r="C3467" s="26"/>
      <c r="D3467" s="26" t="s">
        <v>543</v>
      </c>
      <c r="E3467" s="26" t="str">
        <f>IFERROR(VLOOKUP(G3467,WholesaleExtract!B:J,9,FALSE),"")</f>
        <v/>
      </c>
      <c r="F3467" s="26" t="str">
        <f>IFERROR(VLOOKUP(G3467,WholesaleExtract!B:J,6,FALSE),"")</f>
        <v/>
      </c>
      <c r="H3467" s="47" t="str">
        <f>IFERROR(VLOOKUP(G3467,WholesaleExtract!B:L,11,FALSE),"")</f>
        <v/>
      </c>
      <c r="I3467" s="26" t="str">
        <f>IFERROR(VLOOKUP(G3467,WholesaleExtract!B:O,8,FALSE),"")</f>
        <v/>
      </c>
      <c r="J3467" s="26" t="str">
        <f>IFERROR(VLOOKUP(G3467,WholesaleExtract!B:O,14,FALSE),"")</f>
        <v/>
      </c>
      <c r="K3467" s="26" t="str">
        <f>IFERROR(VLOOKUP(G3467,WholesaleExtract!B:K,10,FALSE),"")</f>
        <v/>
      </c>
      <c r="L3467" s="47" t="str">
        <f>IFERROR(VLOOKUP(G3467,WholesaleExtract!B:L,11,FALSE),"")</f>
        <v/>
      </c>
      <c r="M3467" s="47" t="str">
        <f>IFERROR(VLOOKUP(G3467,WholesaleExtract!B:M,12,FALSE),"")</f>
        <v/>
      </c>
      <c r="R3467" s="19"/>
      <c r="S3467" s="19"/>
    </row>
    <row r="3468" spans="1:19" x14ac:dyDescent="0.35">
      <c r="A3468" s="26" t="s">
        <v>543</v>
      </c>
      <c r="B3468" s="26" t="s">
        <v>543</v>
      </c>
      <c r="C3468" s="26"/>
      <c r="D3468" s="26" t="s">
        <v>543</v>
      </c>
      <c r="E3468" s="26" t="str">
        <f>IFERROR(VLOOKUP(G3468,WholesaleExtract!B:J,9,FALSE),"")</f>
        <v/>
      </c>
      <c r="F3468" s="26" t="str">
        <f>IFERROR(VLOOKUP(G3468,WholesaleExtract!B:J,6,FALSE),"")</f>
        <v/>
      </c>
      <c r="H3468" s="47" t="str">
        <f>IFERROR(VLOOKUP(G3468,WholesaleExtract!B:L,11,FALSE),"")</f>
        <v/>
      </c>
      <c r="I3468" s="26" t="str">
        <f>IFERROR(VLOOKUP(G3468,WholesaleExtract!B:O,8,FALSE),"")</f>
        <v/>
      </c>
      <c r="J3468" s="26" t="str">
        <f>IFERROR(VLOOKUP(G3468,WholesaleExtract!B:O,14,FALSE),"")</f>
        <v/>
      </c>
      <c r="K3468" s="26" t="str">
        <f>IFERROR(VLOOKUP(G3468,WholesaleExtract!B:K,10,FALSE),"")</f>
        <v/>
      </c>
      <c r="L3468" s="47" t="str">
        <f>IFERROR(VLOOKUP(G3468,WholesaleExtract!B:L,11,FALSE),"")</f>
        <v/>
      </c>
      <c r="M3468" s="47" t="str">
        <f>IFERROR(VLOOKUP(G3468,WholesaleExtract!B:M,12,FALSE),"")</f>
        <v/>
      </c>
      <c r="R3468" s="19"/>
      <c r="S3468" s="19"/>
    </row>
    <row r="3469" spans="1:19" x14ac:dyDescent="0.35">
      <c r="A3469" s="26" t="s">
        <v>543</v>
      </c>
      <c r="B3469" s="26" t="s">
        <v>543</v>
      </c>
      <c r="C3469" s="26"/>
      <c r="D3469" s="26" t="s">
        <v>543</v>
      </c>
      <c r="E3469" s="26" t="str">
        <f>IFERROR(VLOOKUP(G3469,WholesaleExtract!B:J,9,FALSE),"")</f>
        <v/>
      </c>
      <c r="F3469" s="26" t="str">
        <f>IFERROR(VLOOKUP(G3469,WholesaleExtract!B:J,6,FALSE),"")</f>
        <v/>
      </c>
      <c r="H3469" s="47" t="str">
        <f>IFERROR(VLOOKUP(G3469,WholesaleExtract!B:L,11,FALSE),"")</f>
        <v/>
      </c>
      <c r="I3469" s="26" t="str">
        <f>IFERROR(VLOOKUP(G3469,WholesaleExtract!B:O,8,FALSE),"")</f>
        <v/>
      </c>
      <c r="J3469" s="26" t="str">
        <f>IFERROR(VLOOKUP(G3469,WholesaleExtract!B:O,14,FALSE),"")</f>
        <v/>
      </c>
      <c r="K3469" s="26" t="str">
        <f>IFERROR(VLOOKUP(G3469,WholesaleExtract!B:K,10,FALSE),"")</f>
        <v/>
      </c>
      <c r="L3469" s="47" t="str">
        <f>IFERROR(VLOOKUP(G3469,WholesaleExtract!B:L,11,FALSE),"")</f>
        <v/>
      </c>
      <c r="M3469" s="47" t="str">
        <f>IFERROR(VLOOKUP(G3469,WholesaleExtract!B:M,12,FALSE),"")</f>
        <v/>
      </c>
      <c r="R3469" s="19"/>
      <c r="S3469" s="19"/>
    </row>
    <row r="3470" spans="1:19" x14ac:dyDescent="0.35">
      <c r="A3470" s="26" t="s">
        <v>543</v>
      </c>
      <c r="B3470" s="26" t="s">
        <v>543</v>
      </c>
      <c r="C3470" s="26"/>
      <c r="D3470" s="26" t="s">
        <v>543</v>
      </c>
      <c r="E3470" s="26" t="str">
        <f>IFERROR(VLOOKUP(G3470,WholesaleExtract!B:J,9,FALSE),"")</f>
        <v/>
      </c>
      <c r="F3470" s="26" t="str">
        <f>IFERROR(VLOOKUP(G3470,WholesaleExtract!B:J,6,FALSE),"")</f>
        <v/>
      </c>
      <c r="H3470" s="47" t="str">
        <f>IFERROR(VLOOKUP(G3470,WholesaleExtract!B:L,11,FALSE),"")</f>
        <v/>
      </c>
      <c r="I3470" s="26" t="str">
        <f>IFERROR(VLOOKUP(G3470,WholesaleExtract!B:O,8,FALSE),"")</f>
        <v/>
      </c>
      <c r="J3470" s="26" t="str">
        <f>IFERROR(VLOOKUP(G3470,WholesaleExtract!B:O,14,FALSE),"")</f>
        <v/>
      </c>
      <c r="K3470" s="26" t="str">
        <f>IFERROR(VLOOKUP(G3470,WholesaleExtract!B:K,10,FALSE),"")</f>
        <v/>
      </c>
      <c r="L3470" s="47" t="str">
        <f>IFERROR(VLOOKUP(G3470,WholesaleExtract!B:L,11,FALSE),"")</f>
        <v/>
      </c>
      <c r="M3470" s="47" t="str">
        <f>IFERROR(VLOOKUP(G3470,WholesaleExtract!B:M,12,FALSE),"")</f>
        <v/>
      </c>
      <c r="R3470" s="19"/>
      <c r="S3470" s="19"/>
    </row>
    <row r="3471" spans="1:19" x14ac:dyDescent="0.35">
      <c r="A3471" s="26" t="s">
        <v>543</v>
      </c>
      <c r="B3471" s="26" t="s">
        <v>543</v>
      </c>
      <c r="C3471" s="26"/>
      <c r="D3471" s="26" t="s">
        <v>543</v>
      </c>
      <c r="E3471" s="26" t="str">
        <f>IFERROR(VLOOKUP(G3471,WholesaleExtract!B:J,9,FALSE),"")</f>
        <v/>
      </c>
      <c r="F3471" s="26" t="str">
        <f>IFERROR(VLOOKUP(G3471,WholesaleExtract!B:J,6,FALSE),"")</f>
        <v/>
      </c>
      <c r="H3471" s="47" t="str">
        <f>IFERROR(VLOOKUP(G3471,WholesaleExtract!B:L,11,FALSE),"")</f>
        <v/>
      </c>
      <c r="I3471" s="26" t="str">
        <f>IFERROR(VLOOKUP(G3471,WholesaleExtract!B:O,8,FALSE),"")</f>
        <v/>
      </c>
      <c r="J3471" s="26" t="str">
        <f>IFERROR(VLOOKUP(G3471,WholesaleExtract!B:O,14,FALSE),"")</f>
        <v/>
      </c>
      <c r="K3471" s="26" t="str">
        <f>IFERROR(VLOOKUP(G3471,WholesaleExtract!B:K,10,FALSE),"")</f>
        <v/>
      </c>
      <c r="L3471" s="47" t="str">
        <f>IFERROR(VLOOKUP(G3471,WholesaleExtract!B:L,11,FALSE),"")</f>
        <v/>
      </c>
      <c r="M3471" s="47" t="str">
        <f>IFERROR(VLOOKUP(G3471,WholesaleExtract!B:M,12,FALSE),"")</f>
        <v/>
      </c>
      <c r="R3471" s="19"/>
      <c r="S3471" s="19"/>
    </row>
    <row r="3472" spans="1:19" x14ac:dyDescent="0.35">
      <c r="A3472" s="26" t="s">
        <v>543</v>
      </c>
      <c r="B3472" s="26" t="s">
        <v>543</v>
      </c>
      <c r="C3472" s="26"/>
      <c r="D3472" s="26" t="s">
        <v>543</v>
      </c>
      <c r="E3472" s="26" t="str">
        <f>IFERROR(VLOOKUP(G3472,WholesaleExtract!B:J,9,FALSE),"")</f>
        <v/>
      </c>
      <c r="F3472" s="26" t="str">
        <f>IFERROR(VLOOKUP(G3472,WholesaleExtract!B:J,6,FALSE),"")</f>
        <v/>
      </c>
      <c r="H3472" s="47" t="str">
        <f>IFERROR(VLOOKUP(G3472,WholesaleExtract!B:L,11,FALSE),"")</f>
        <v/>
      </c>
      <c r="I3472" s="26" t="str">
        <f>IFERROR(VLOOKUP(G3472,WholesaleExtract!B:O,8,FALSE),"")</f>
        <v/>
      </c>
      <c r="J3472" s="26" t="str">
        <f>IFERROR(VLOOKUP(G3472,WholesaleExtract!B:O,14,FALSE),"")</f>
        <v/>
      </c>
      <c r="K3472" s="26" t="str">
        <f>IFERROR(VLOOKUP(G3472,WholesaleExtract!B:K,10,FALSE),"")</f>
        <v/>
      </c>
      <c r="L3472" s="47" t="str">
        <f>IFERROR(VLOOKUP(G3472,WholesaleExtract!B:L,11,FALSE),"")</f>
        <v/>
      </c>
      <c r="M3472" s="47" t="str">
        <f>IFERROR(VLOOKUP(G3472,WholesaleExtract!B:M,12,FALSE),"")</f>
        <v/>
      </c>
      <c r="R3472" s="19"/>
      <c r="S3472" s="19"/>
    </row>
    <row r="3473" spans="1:19" x14ac:dyDescent="0.35">
      <c r="A3473" s="26" t="s">
        <v>543</v>
      </c>
      <c r="B3473" s="26" t="s">
        <v>543</v>
      </c>
      <c r="C3473" s="26"/>
      <c r="D3473" s="26" t="s">
        <v>543</v>
      </c>
      <c r="E3473" s="26" t="str">
        <f>IFERROR(VLOOKUP(G3473,WholesaleExtract!B:J,9,FALSE),"")</f>
        <v/>
      </c>
      <c r="F3473" s="26" t="str">
        <f>IFERROR(VLOOKUP(G3473,WholesaleExtract!B:J,6,FALSE),"")</f>
        <v/>
      </c>
      <c r="H3473" s="47" t="str">
        <f>IFERROR(VLOOKUP(G3473,WholesaleExtract!B:L,11,FALSE),"")</f>
        <v/>
      </c>
      <c r="I3473" s="26" t="str">
        <f>IFERROR(VLOOKUP(G3473,WholesaleExtract!B:O,8,FALSE),"")</f>
        <v/>
      </c>
      <c r="J3473" s="26" t="str">
        <f>IFERROR(VLOOKUP(G3473,WholesaleExtract!B:O,14,FALSE),"")</f>
        <v/>
      </c>
      <c r="K3473" s="26" t="str">
        <f>IFERROR(VLOOKUP(G3473,WholesaleExtract!B:K,10,FALSE),"")</f>
        <v/>
      </c>
      <c r="L3473" s="47" t="str">
        <f>IFERROR(VLOOKUP(G3473,WholesaleExtract!B:L,11,FALSE),"")</f>
        <v/>
      </c>
      <c r="M3473" s="47" t="str">
        <f>IFERROR(VLOOKUP(G3473,WholesaleExtract!B:M,12,FALSE),"")</f>
        <v/>
      </c>
      <c r="R3473" s="19"/>
      <c r="S3473" s="19"/>
    </row>
    <row r="3474" spans="1:19" x14ac:dyDescent="0.35">
      <c r="A3474" s="26" t="s">
        <v>543</v>
      </c>
      <c r="B3474" s="26" t="s">
        <v>543</v>
      </c>
      <c r="C3474" s="26"/>
      <c r="D3474" s="26" t="s">
        <v>543</v>
      </c>
      <c r="E3474" s="26" t="str">
        <f>IFERROR(VLOOKUP(G3474,WholesaleExtract!B:J,9,FALSE),"")</f>
        <v/>
      </c>
      <c r="F3474" s="26" t="str">
        <f>IFERROR(VLOOKUP(G3474,WholesaleExtract!B:J,6,FALSE),"")</f>
        <v/>
      </c>
      <c r="H3474" s="47" t="str">
        <f>IFERROR(VLOOKUP(G3474,WholesaleExtract!B:L,11,FALSE),"")</f>
        <v/>
      </c>
      <c r="I3474" s="26" t="str">
        <f>IFERROR(VLOOKUP(G3474,WholesaleExtract!B:O,8,FALSE),"")</f>
        <v/>
      </c>
      <c r="J3474" s="26" t="str">
        <f>IFERROR(VLOOKUP(G3474,WholesaleExtract!B:O,14,FALSE),"")</f>
        <v/>
      </c>
      <c r="K3474" s="26" t="str">
        <f>IFERROR(VLOOKUP(G3474,WholesaleExtract!B:K,10,FALSE),"")</f>
        <v/>
      </c>
      <c r="L3474" s="47" t="str">
        <f>IFERROR(VLOOKUP(G3474,WholesaleExtract!B:L,11,FALSE),"")</f>
        <v/>
      </c>
      <c r="M3474" s="47" t="str">
        <f>IFERROR(VLOOKUP(G3474,WholesaleExtract!B:M,12,FALSE),"")</f>
        <v/>
      </c>
      <c r="R3474" s="19"/>
      <c r="S3474" s="19"/>
    </row>
    <row r="3475" spans="1:19" x14ac:dyDescent="0.35">
      <c r="A3475" s="26" t="s">
        <v>543</v>
      </c>
      <c r="B3475" s="26" t="s">
        <v>543</v>
      </c>
      <c r="C3475" s="26"/>
      <c r="D3475" s="26" t="s">
        <v>543</v>
      </c>
      <c r="E3475" s="26" t="str">
        <f>IFERROR(VLOOKUP(G3475,WholesaleExtract!B:J,9,FALSE),"")</f>
        <v/>
      </c>
      <c r="F3475" s="26" t="str">
        <f>IFERROR(VLOOKUP(G3475,WholesaleExtract!B:J,6,FALSE),"")</f>
        <v/>
      </c>
      <c r="H3475" s="47" t="str">
        <f>IFERROR(VLOOKUP(G3475,WholesaleExtract!B:L,11,FALSE),"")</f>
        <v/>
      </c>
      <c r="I3475" s="26" t="str">
        <f>IFERROR(VLOOKUP(G3475,WholesaleExtract!B:O,8,FALSE),"")</f>
        <v/>
      </c>
      <c r="J3475" s="26" t="str">
        <f>IFERROR(VLOOKUP(G3475,WholesaleExtract!B:O,14,FALSE),"")</f>
        <v/>
      </c>
      <c r="K3475" s="26" t="str">
        <f>IFERROR(VLOOKUP(G3475,WholesaleExtract!B:K,10,FALSE),"")</f>
        <v/>
      </c>
      <c r="L3475" s="47" t="str">
        <f>IFERROR(VLOOKUP(G3475,WholesaleExtract!B:L,11,FALSE),"")</f>
        <v/>
      </c>
      <c r="M3475" s="47" t="str">
        <f>IFERROR(VLOOKUP(G3475,WholesaleExtract!B:M,12,FALSE),"")</f>
        <v/>
      </c>
      <c r="R3475" s="19"/>
      <c r="S3475" s="19"/>
    </row>
    <row r="3476" spans="1:19" x14ac:dyDescent="0.35">
      <c r="A3476" s="26" t="s">
        <v>543</v>
      </c>
      <c r="B3476" s="26" t="s">
        <v>543</v>
      </c>
      <c r="C3476" s="26"/>
      <c r="D3476" s="26" t="s">
        <v>543</v>
      </c>
      <c r="E3476" s="26" t="str">
        <f>IFERROR(VLOOKUP(G3476,WholesaleExtract!B:J,9,FALSE),"")</f>
        <v/>
      </c>
      <c r="F3476" s="26" t="str">
        <f>IFERROR(VLOOKUP(G3476,WholesaleExtract!B:J,6,FALSE),"")</f>
        <v/>
      </c>
      <c r="H3476" s="47" t="str">
        <f>IFERROR(VLOOKUP(G3476,WholesaleExtract!B:L,11,FALSE),"")</f>
        <v/>
      </c>
      <c r="I3476" s="26" t="str">
        <f>IFERROR(VLOOKUP(G3476,WholesaleExtract!B:O,8,FALSE),"")</f>
        <v/>
      </c>
      <c r="J3476" s="26" t="str">
        <f>IFERROR(VLOOKUP(G3476,WholesaleExtract!B:O,14,FALSE),"")</f>
        <v/>
      </c>
      <c r="K3476" s="26" t="str">
        <f>IFERROR(VLOOKUP(G3476,WholesaleExtract!B:K,10,FALSE),"")</f>
        <v/>
      </c>
      <c r="L3476" s="47" t="str">
        <f>IFERROR(VLOOKUP(G3476,WholesaleExtract!B:L,11,FALSE),"")</f>
        <v/>
      </c>
      <c r="M3476" s="47" t="str">
        <f>IFERROR(VLOOKUP(G3476,WholesaleExtract!B:M,12,FALSE),"")</f>
        <v/>
      </c>
      <c r="R3476" s="19"/>
      <c r="S3476" s="19"/>
    </row>
    <row r="3477" spans="1:19" x14ac:dyDescent="0.35">
      <c r="A3477" s="26" t="s">
        <v>543</v>
      </c>
      <c r="B3477" s="26" t="s">
        <v>543</v>
      </c>
      <c r="C3477" s="26"/>
      <c r="D3477" s="26" t="s">
        <v>543</v>
      </c>
      <c r="E3477" s="26" t="str">
        <f>IFERROR(VLOOKUP(G3477,WholesaleExtract!B:J,9,FALSE),"")</f>
        <v/>
      </c>
      <c r="F3477" s="26" t="str">
        <f>IFERROR(VLOOKUP(G3477,WholesaleExtract!B:J,6,FALSE),"")</f>
        <v/>
      </c>
      <c r="H3477" s="47" t="str">
        <f>IFERROR(VLOOKUP(G3477,WholesaleExtract!B:L,11,FALSE),"")</f>
        <v/>
      </c>
      <c r="I3477" s="26" t="str">
        <f>IFERROR(VLOOKUP(G3477,WholesaleExtract!B:O,8,FALSE),"")</f>
        <v/>
      </c>
      <c r="J3477" s="26" t="str">
        <f>IFERROR(VLOOKUP(G3477,WholesaleExtract!B:O,14,FALSE),"")</f>
        <v/>
      </c>
      <c r="K3477" s="26" t="str">
        <f>IFERROR(VLOOKUP(G3477,WholesaleExtract!B:K,10,FALSE),"")</f>
        <v/>
      </c>
      <c r="L3477" s="47" t="str">
        <f>IFERROR(VLOOKUP(G3477,WholesaleExtract!B:L,11,FALSE),"")</f>
        <v/>
      </c>
      <c r="M3477" s="47" t="str">
        <f>IFERROR(VLOOKUP(G3477,WholesaleExtract!B:M,12,FALSE),"")</f>
        <v/>
      </c>
      <c r="R3477" s="19"/>
      <c r="S3477" s="19"/>
    </row>
    <row r="3478" spans="1:19" x14ac:dyDescent="0.35">
      <c r="A3478" s="26" t="s">
        <v>543</v>
      </c>
      <c r="B3478" s="26" t="s">
        <v>543</v>
      </c>
      <c r="C3478" s="26"/>
      <c r="D3478" s="26" t="s">
        <v>543</v>
      </c>
      <c r="E3478" s="26" t="str">
        <f>IFERROR(VLOOKUP(G3478,WholesaleExtract!B:J,9,FALSE),"")</f>
        <v/>
      </c>
      <c r="F3478" s="26" t="str">
        <f>IFERROR(VLOOKUP(G3478,WholesaleExtract!B:J,6,FALSE),"")</f>
        <v/>
      </c>
      <c r="H3478" s="47" t="str">
        <f>IFERROR(VLOOKUP(G3478,WholesaleExtract!B:L,11,FALSE),"")</f>
        <v/>
      </c>
      <c r="I3478" s="26" t="str">
        <f>IFERROR(VLOOKUP(G3478,WholesaleExtract!B:O,8,FALSE),"")</f>
        <v/>
      </c>
      <c r="J3478" s="26" t="str">
        <f>IFERROR(VLOOKUP(G3478,WholesaleExtract!B:O,14,FALSE),"")</f>
        <v/>
      </c>
      <c r="K3478" s="26" t="str">
        <f>IFERROR(VLOOKUP(G3478,WholesaleExtract!B:K,10,FALSE),"")</f>
        <v/>
      </c>
      <c r="L3478" s="47" t="str">
        <f>IFERROR(VLOOKUP(G3478,WholesaleExtract!B:L,11,FALSE),"")</f>
        <v/>
      </c>
      <c r="M3478" s="47" t="str">
        <f>IFERROR(VLOOKUP(G3478,WholesaleExtract!B:M,12,FALSE),"")</f>
        <v/>
      </c>
      <c r="R3478" s="19"/>
      <c r="S3478" s="19"/>
    </row>
    <row r="3479" spans="1:19" x14ac:dyDescent="0.35">
      <c r="A3479" s="26" t="s">
        <v>543</v>
      </c>
      <c r="B3479" s="26" t="s">
        <v>543</v>
      </c>
      <c r="C3479" s="26"/>
      <c r="D3479" s="26" t="s">
        <v>543</v>
      </c>
      <c r="E3479" s="26" t="str">
        <f>IFERROR(VLOOKUP(G3479,WholesaleExtract!B:J,9,FALSE),"")</f>
        <v/>
      </c>
      <c r="F3479" s="26" t="str">
        <f>IFERROR(VLOOKUP(G3479,WholesaleExtract!B:J,6,FALSE),"")</f>
        <v/>
      </c>
      <c r="H3479" s="47" t="str">
        <f>IFERROR(VLOOKUP(G3479,WholesaleExtract!B:L,11,FALSE),"")</f>
        <v/>
      </c>
      <c r="I3479" s="26" t="str">
        <f>IFERROR(VLOOKUP(G3479,WholesaleExtract!B:O,8,FALSE),"")</f>
        <v/>
      </c>
      <c r="J3479" s="26" t="str">
        <f>IFERROR(VLOOKUP(G3479,WholesaleExtract!B:O,14,FALSE),"")</f>
        <v/>
      </c>
      <c r="K3479" s="26" t="str">
        <f>IFERROR(VLOOKUP(G3479,WholesaleExtract!B:K,10,FALSE),"")</f>
        <v/>
      </c>
      <c r="L3479" s="47" t="str">
        <f>IFERROR(VLOOKUP(G3479,WholesaleExtract!B:L,11,FALSE),"")</f>
        <v/>
      </c>
      <c r="M3479" s="47" t="str">
        <f>IFERROR(VLOOKUP(G3479,WholesaleExtract!B:M,12,FALSE),"")</f>
        <v/>
      </c>
      <c r="R3479" s="19"/>
      <c r="S3479" s="19"/>
    </row>
    <row r="3480" spans="1:19" x14ac:dyDescent="0.35">
      <c r="A3480" s="26" t="s">
        <v>543</v>
      </c>
      <c r="B3480" s="26" t="s">
        <v>543</v>
      </c>
      <c r="C3480" s="26"/>
      <c r="D3480" s="26" t="s">
        <v>543</v>
      </c>
      <c r="E3480" s="26" t="str">
        <f>IFERROR(VLOOKUP(G3480,WholesaleExtract!B:J,9,FALSE),"")</f>
        <v/>
      </c>
      <c r="F3480" s="26" t="str">
        <f>IFERROR(VLOOKUP(G3480,WholesaleExtract!B:J,6,FALSE),"")</f>
        <v/>
      </c>
      <c r="H3480" s="47" t="str">
        <f>IFERROR(VLOOKUP(G3480,WholesaleExtract!B:L,11,FALSE),"")</f>
        <v/>
      </c>
      <c r="I3480" s="26" t="str">
        <f>IFERROR(VLOOKUP(G3480,WholesaleExtract!B:O,8,FALSE),"")</f>
        <v/>
      </c>
      <c r="J3480" s="26" t="str">
        <f>IFERROR(VLOOKUP(G3480,WholesaleExtract!B:O,14,FALSE),"")</f>
        <v/>
      </c>
      <c r="K3480" s="26" t="str">
        <f>IFERROR(VLOOKUP(G3480,WholesaleExtract!B:K,10,FALSE),"")</f>
        <v/>
      </c>
      <c r="L3480" s="47" t="str">
        <f>IFERROR(VLOOKUP(G3480,WholesaleExtract!B:L,11,FALSE),"")</f>
        <v/>
      </c>
      <c r="M3480" s="47" t="str">
        <f>IFERROR(VLOOKUP(G3480,WholesaleExtract!B:M,12,FALSE),"")</f>
        <v/>
      </c>
      <c r="R3480" s="19"/>
      <c r="S3480" s="19"/>
    </row>
    <row r="3481" spans="1:19" x14ac:dyDescent="0.35">
      <c r="A3481" s="26" t="s">
        <v>543</v>
      </c>
      <c r="B3481" s="26" t="s">
        <v>543</v>
      </c>
      <c r="C3481" s="26"/>
      <c r="D3481" s="26" t="s">
        <v>543</v>
      </c>
      <c r="E3481" s="26" t="str">
        <f>IFERROR(VLOOKUP(G3481,WholesaleExtract!B:J,9,FALSE),"")</f>
        <v/>
      </c>
      <c r="F3481" s="26" t="str">
        <f>IFERROR(VLOOKUP(G3481,WholesaleExtract!B:J,6,FALSE),"")</f>
        <v/>
      </c>
      <c r="H3481" s="47" t="str">
        <f>IFERROR(VLOOKUP(G3481,WholesaleExtract!B:L,11,FALSE),"")</f>
        <v/>
      </c>
      <c r="I3481" s="26" t="str">
        <f>IFERROR(VLOOKUP(G3481,WholesaleExtract!B:O,8,FALSE),"")</f>
        <v/>
      </c>
      <c r="J3481" s="26" t="str">
        <f>IFERROR(VLOOKUP(G3481,WholesaleExtract!B:O,14,FALSE),"")</f>
        <v/>
      </c>
      <c r="K3481" s="26" t="str">
        <f>IFERROR(VLOOKUP(G3481,WholesaleExtract!B:K,10,FALSE),"")</f>
        <v/>
      </c>
      <c r="L3481" s="47" t="str">
        <f>IFERROR(VLOOKUP(G3481,WholesaleExtract!B:L,11,FALSE),"")</f>
        <v/>
      </c>
      <c r="M3481" s="47" t="str">
        <f>IFERROR(VLOOKUP(G3481,WholesaleExtract!B:M,12,FALSE),"")</f>
        <v/>
      </c>
      <c r="R3481" s="19"/>
      <c r="S3481" s="19"/>
    </row>
    <row r="3482" spans="1:19" x14ac:dyDescent="0.35">
      <c r="A3482" s="26" t="s">
        <v>543</v>
      </c>
      <c r="B3482" s="26" t="s">
        <v>543</v>
      </c>
      <c r="C3482" s="26"/>
      <c r="D3482" s="26" t="s">
        <v>543</v>
      </c>
      <c r="E3482" s="26" t="str">
        <f>IFERROR(VLOOKUP(G3482,WholesaleExtract!B:J,9,FALSE),"")</f>
        <v/>
      </c>
      <c r="F3482" s="26" t="str">
        <f>IFERROR(VLOOKUP(G3482,WholesaleExtract!B:J,6,FALSE),"")</f>
        <v/>
      </c>
      <c r="H3482" s="47" t="str">
        <f>IFERROR(VLOOKUP(G3482,WholesaleExtract!B:L,11,FALSE),"")</f>
        <v/>
      </c>
      <c r="I3482" s="26" t="str">
        <f>IFERROR(VLOOKUP(G3482,WholesaleExtract!B:O,8,FALSE),"")</f>
        <v/>
      </c>
      <c r="J3482" s="26" t="str">
        <f>IFERROR(VLOOKUP(G3482,WholesaleExtract!B:O,14,FALSE),"")</f>
        <v/>
      </c>
      <c r="K3482" s="26" t="str">
        <f>IFERROR(VLOOKUP(G3482,WholesaleExtract!B:K,10,FALSE),"")</f>
        <v/>
      </c>
      <c r="L3482" s="47" t="str">
        <f>IFERROR(VLOOKUP(G3482,WholesaleExtract!B:L,11,FALSE),"")</f>
        <v/>
      </c>
      <c r="M3482" s="47" t="str">
        <f>IFERROR(VLOOKUP(G3482,WholesaleExtract!B:M,12,FALSE),"")</f>
        <v/>
      </c>
      <c r="R3482" s="19"/>
      <c r="S3482" s="19"/>
    </row>
    <row r="3483" spans="1:19" x14ac:dyDescent="0.35">
      <c r="A3483" s="26" t="s">
        <v>543</v>
      </c>
      <c r="B3483" s="26" t="s">
        <v>543</v>
      </c>
      <c r="C3483" s="26"/>
      <c r="D3483" s="26" t="s">
        <v>543</v>
      </c>
      <c r="E3483" s="26" t="str">
        <f>IFERROR(VLOOKUP(G3483,WholesaleExtract!B:J,9,FALSE),"")</f>
        <v/>
      </c>
      <c r="F3483" s="26" t="str">
        <f>IFERROR(VLOOKUP(G3483,WholesaleExtract!B:J,6,FALSE),"")</f>
        <v/>
      </c>
      <c r="H3483" s="47" t="str">
        <f>IFERROR(VLOOKUP(G3483,WholesaleExtract!B:L,11,FALSE),"")</f>
        <v/>
      </c>
      <c r="I3483" s="26" t="str">
        <f>IFERROR(VLOOKUP(G3483,WholesaleExtract!B:O,8,FALSE),"")</f>
        <v/>
      </c>
      <c r="J3483" s="26" t="str">
        <f>IFERROR(VLOOKUP(G3483,WholesaleExtract!B:O,14,FALSE),"")</f>
        <v/>
      </c>
      <c r="K3483" s="26" t="str">
        <f>IFERROR(VLOOKUP(G3483,WholesaleExtract!B:K,10,FALSE),"")</f>
        <v/>
      </c>
      <c r="L3483" s="47" t="str">
        <f>IFERROR(VLOOKUP(G3483,WholesaleExtract!B:L,11,FALSE),"")</f>
        <v/>
      </c>
      <c r="M3483" s="47" t="str">
        <f>IFERROR(VLOOKUP(G3483,WholesaleExtract!B:M,12,FALSE),"")</f>
        <v/>
      </c>
      <c r="R3483" s="19"/>
      <c r="S3483" s="19"/>
    </row>
    <row r="3484" spans="1:19" x14ac:dyDescent="0.35">
      <c r="A3484" s="26" t="s">
        <v>543</v>
      </c>
      <c r="B3484" s="26" t="s">
        <v>543</v>
      </c>
      <c r="C3484" s="26"/>
      <c r="D3484" s="26" t="s">
        <v>543</v>
      </c>
      <c r="E3484" s="26" t="str">
        <f>IFERROR(VLOOKUP(G3484,WholesaleExtract!B:J,9,FALSE),"")</f>
        <v/>
      </c>
      <c r="F3484" s="26" t="str">
        <f>IFERROR(VLOOKUP(G3484,WholesaleExtract!B:J,6,FALSE),"")</f>
        <v/>
      </c>
      <c r="H3484" s="47" t="str">
        <f>IFERROR(VLOOKUP(G3484,WholesaleExtract!B:L,11,FALSE),"")</f>
        <v/>
      </c>
      <c r="I3484" s="26" t="str">
        <f>IFERROR(VLOOKUP(G3484,WholesaleExtract!B:O,8,FALSE),"")</f>
        <v/>
      </c>
      <c r="J3484" s="26" t="str">
        <f>IFERROR(VLOOKUP(G3484,WholesaleExtract!B:O,14,FALSE),"")</f>
        <v/>
      </c>
      <c r="K3484" s="26" t="str">
        <f>IFERROR(VLOOKUP(G3484,WholesaleExtract!B:K,10,FALSE),"")</f>
        <v/>
      </c>
      <c r="L3484" s="47" t="str">
        <f>IFERROR(VLOOKUP(G3484,WholesaleExtract!B:L,11,FALSE),"")</f>
        <v/>
      </c>
      <c r="M3484" s="47" t="str">
        <f>IFERROR(VLOOKUP(G3484,WholesaleExtract!B:M,12,FALSE),"")</f>
        <v/>
      </c>
      <c r="R3484" s="19"/>
      <c r="S3484" s="19"/>
    </row>
    <row r="3485" spans="1:19" x14ac:dyDescent="0.35">
      <c r="A3485" s="26" t="s">
        <v>543</v>
      </c>
      <c r="B3485" s="26" t="s">
        <v>543</v>
      </c>
      <c r="C3485" s="26"/>
      <c r="D3485" s="26" t="s">
        <v>543</v>
      </c>
      <c r="E3485" s="26" t="str">
        <f>IFERROR(VLOOKUP(G3485,WholesaleExtract!B:J,9,FALSE),"")</f>
        <v/>
      </c>
      <c r="F3485" s="26" t="str">
        <f>IFERROR(VLOOKUP(G3485,WholesaleExtract!B:J,6,FALSE),"")</f>
        <v/>
      </c>
      <c r="H3485" s="47" t="str">
        <f>IFERROR(VLOOKUP(G3485,WholesaleExtract!B:L,11,FALSE),"")</f>
        <v/>
      </c>
      <c r="I3485" s="26" t="str">
        <f>IFERROR(VLOOKUP(G3485,WholesaleExtract!B:O,8,FALSE),"")</f>
        <v/>
      </c>
      <c r="J3485" s="26" t="str">
        <f>IFERROR(VLOOKUP(G3485,WholesaleExtract!B:O,14,FALSE),"")</f>
        <v/>
      </c>
      <c r="K3485" s="26" t="str">
        <f>IFERROR(VLOOKUP(G3485,WholesaleExtract!B:K,10,FALSE),"")</f>
        <v/>
      </c>
      <c r="L3485" s="47" t="str">
        <f>IFERROR(VLOOKUP(G3485,WholesaleExtract!B:L,11,FALSE),"")</f>
        <v/>
      </c>
      <c r="M3485" s="47" t="str">
        <f>IFERROR(VLOOKUP(G3485,WholesaleExtract!B:M,12,FALSE),"")</f>
        <v/>
      </c>
      <c r="R3485" s="19"/>
      <c r="S3485" s="19"/>
    </row>
    <row r="3486" spans="1:19" x14ac:dyDescent="0.35">
      <c r="A3486" s="26" t="s">
        <v>543</v>
      </c>
      <c r="B3486" s="26" t="s">
        <v>543</v>
      </c>
      <c r="C3486" s="26"/>
      <c r="D3486" s="26" t="s">
        <v>543</v>
      </c>
      <c r="E3486" s="26" t="str">
        <f>IFERROR(VLOOKUP(G3486,WholesaleExtract!B:J,9,FALSE),"")</f>
        <v/>
      </c>
      <c r="F3486" s="26" t="str">
        <f>IFERROR(VLOOKUP(G3486,WholesaleExtract!B:J,6,FALSE),"")</f>
        <v/>
      </c>
      <c r="H3486" s="47" t="str">
        <f>IFERROR(VLOOKUP(G3486,WholesaleExtract!B:L,11,FALSE),"")</f>
        <v/>
      </c>
      <c r="I3486" s="26" t="str">
        <f>IFERROR(VLOOKUP(G3486,WholesaleExtract!B:O,8,FALSE),"")</f>
        <v/>
      </c>
      <c r="J3486" s="26" t="str">
        <f>IFERROR(VLOOKUP(G3486,WholesaleExtract!B:O,14,FALSE),"")</f>
        <v/>
      </c>
      <c r="K3486" s="26" t="str">
        <f>IFERROR(VLOOKUP(G3486,WholesaleExtract!B:K,10,FALSE),"")</f>
        <v/>
      </c>
      <c r="L3486" s="47" t="str">
        <f>IFERROR(VLOOKUP(G3486,WholesaleExtract!B:L,11,FALSE),"")</f>
        <v/>
      </c>
      <c r="M3486" s="47" t="str">
        <f>IFERROR(VLOOKUP(G3486,WholesaleExtract!B:M,12,FALSE),"")</f>
        <v/>
      </c>
      <c r="R3486" s="19"/>
      <c r="S3486" s="19"/>
    </row>
    <row r="3487" spans="1:19" x14ac:dyDescent="0.35">
      <c r="A3487" s="26" t="s">
        <v>543</v>
      </c>
      <c r="B3487" s="26" t="s">
        <v>543</v>
      </c>
      <c r="C3487" s="26"/>
      <c r="D3487" s="26" t="s">
        <v>543</v>
      </c>
      <c r="E3487" s="26" t="str">
        <f>IFERROR(VLOOKUP(G3487,WholesaleExtract!B:J,9,FALSE),"")</f>
        <v/>
      </c>
      <c r="F3487" s="26" t="str">
        <f>IFERROR(VLOOKUP(G3487,WholesaleExtract!B:J,6,FALSE),"")</f>
        <v/>
      </c>
      <c r="H3487" s="47" t="str">
        <f>IFERROR(VLOOKUP(G3487,WholesaleExtract!B:L,11,FALSE),"")</f>
        <v/>
      </c>
      <c r="I3487" s="26" t="str">
        <f>IFERROR(VLOOKUP(G3487,WholesaleExtract!B:O,8,FALSE),"")</f>
        <v/>
      </c>
      <c r="J3487" s="26" t="str">
        <f>IFERROR(VLOOKUP(G3487,WholesaleExtract!B:O,14,FALSE),"")</f>
        <v/>
      </c>
      <c r="K3487" s="26" t="str">
        <f>IFERROR(VLOOKUP(G3487,WholesaleExtract!B:K,10,FALSE),"")</f>
        <v/>
      </c>
      <c r="L3487" s="47" t="str">
        <f>IFERROR(VLOOKUP(G3487,WholesaleExtract!B:L,11,FALSE),"")</f>
        <v/>
      </c>
      <c r="M3487" s="47" t="str">
        <f>IFERROR(VLOOKUP(G3487,WholesaleExtract!B:M,12,FALSE),"")</f>
        <v/>
      </c>
      <c r="R3487" s="19"/>
      <c r="S3487" s="19"/>
    </row>
    <row r="3488" spans="1:19" x14ac:dyDescent="0.35">
      <c r="A3488" s="26" t="s">
        <v>543</v>
      </c>
      <c r="B3488" s="26" t="s">
        <v>543</v>
      </c>
      <c r="C3488" s="26"/>
      <c r="D3488" s="26" t="s">
        <v>543</v>
      </c>
      <c r="E3488" s="26" t="str">
        <f>IFERROR(VLOOKUP(G3488,WholesaleExtract!B:J,9,FALSE),"")</f>
        <v/>
      </c>
      <c r="F3488" s="26" t="str">
        <f>IFERROR(VLOOKUP(G3488,WholesaleExtract!B:J,6,FALSE),"")</f>
        <v/>
      </c>
      <c r="H3488" s="47" t="str">
        <f>IFERROR(VLOOKUP(G3488,WholesaleExtract!B:L,11,FALSE),"")</f>
        <v/>
      </c>
      <c r="I3488" s="26" t="str">
        <f>IFERROR(VLOOKUP(G3488,WholesaleExtract!B:O,8,FALSE),"")</f>
        <v/>
      </c>
      <c r="J3488" s="26" t="str">
        <f>IFERROR(VLOOKUP(G3488,WholesaleExtract!B:O,14,FALSE),"")</f>
        <v/>
      </c>
      <c r="K3488" s="26" t="str">
        <f>IFERROR(VLOOKUP(G3488,WholesaleExtract!B:K,10,FALSE),"")</f>
        <v/>
      </c>
      <c r="L3488" s="47" t="str">
        <f>IFERROR(VLOOKUP(G3488,WholesaleExtract!B:L,11,FALSE),"")</f>
        <v/>
      </c>
      <c r="M3488" s="47" t="str">
        <f>IFERROR(VLOOKUP(G3488,WholesaleExtract!B:M,12,FALSE),"")</f>
        <v/>
      </c>
      <c r="R3488" s="19"/>
      <c r="S3488" s="19"/>
    </row>
    <row r="3489" spans="1:19" x14ac:dyDescent="0.35">
      <c r="A3489" s="26" t="s">
        <v>543</v>
      </c>
      <c r="B3489" s="26" t="s">
        <v>543</v>
      </c>
      <c r="C3489" s="26"/>
      <c r="D3489" s="26" t="s">
        <v>543</v>
      </c>
      <c r="E3489" s="26" t="str">
        <f>IFERROR(VLOOKUP(G3489,WholesaleExtract!B:J,9,FALSE),"")</f>
        <v/>
      </c>
      <c r="F3489" s="26" t="str">
        <f>IFERROR(VLOOKUP(G3489,WholesaleExtract!B:J,6,FALSE),"")</f>
        <v/>
      </c>
      <c r="H3489" s="47" t="str">
        <f>IFERROR(VLOOKUP(G3489,WholesaleExtract!B:L,11,FALSE),"")</f>
        <v/>
      </c>
      <c r="I3489" s="26" t="str">
        <f>IFERROR(VLOOKUP(G3489,WholesaleExtract!B:O,8,FALSE),"")</f>
        <v/>
      </c>
      <c r="J3489" s="26" t="str">
        <f>IFERROR(VLOOKUP(G3489,WholesaleExtract!B:O,14,FALSE),"")</f>
        <v/>
      </c>
      <c r="K3489" s="26" t="str">
        <f>IFERROR(VLOOKUP(G3489,WholesaleExtract!B:K,10,FALSE),"")</f>
        <v/>
      </c>
      <c r="L3489" s="47" t="str">
        <f>IFERROR(VLOOKUP(G3489,WholesaleExtract!B:L,11,FALSE),"")</f>
        <v/>
      </c>
      <c r="M3489" s="47" t="str">
        <f>IFERROR(VLOOKUP(G3489,WholesaleExtract!B:M,12,FALSE),"")</f>
        <v/>
      </c>
      <c r="R3489" s="19"/>
      <c r="S3489" s="19"/>
    </row>
    <row r="3490" spans="1:19" x14ac:dyDescent="0.35">
      <c r="A3490" s="26" t="s">
        <v>543</v>
      </c>
      <c r="B3490" s="26" t="s">
        <v>543</v>
      </c>
      <c r="C3490" s="26"/>
      <c r="D3490" s="26" t="s">
        <v>543</v>
      </c>
      <c r="E3490" s="26" t="str">
        <f>IFERROR(VLOOKUP(G3490,WholesaleExtract!B:J,9,FALSE),"")</f>
        <v/>
      </c>
      <c r="F3490" s="26" t="str">
        <f>IFERROR(VLOOKUP(G3490,WholesaleExtract!B:J,6,FALSE),"")</f>
        <v/>
      </c>
      <c r="H3490" s="47" t="str">
        <f>IFERROR(VLOOKUP(G3490,WholesaleExtract!B:L,11,FALSE),"")</f>
        <v/>
      </c>
      <c r="I3490" s="26" t="str">
        <f>IFERROR(VLOOKUP(G3490,WholesaleExtract!B:O,8,FALSE),"")</f>
        <v/>
      </c>
      <c r="J3490" s="26" t="str">
        <f>IFERROR(VLOOKUP(G3490,WholesaleExtract!B:O,14,FALSE),"")</f>
        <v/>
      </c>
      <c r="K3490" s="26" t="str">
        <f>IFERROR(VLOOKUP(G3490,WholesaleExtract!B:K,10,FALSE),"")</f>
        <v/>
      </c>
      <c r="L3490" s="47" t="str">
        <f>IFERROR(VLOOKUP(G3490,WholesaleExtract!B:L,11,FALSE),"")</f>
        <v/>
      </c>
      <c r="M3490" s="47" t="str">
        <f>IFERROR(VLOOKUP(G3490,WholesaleExtract!B:M,12,FALSE),"")</f>
        <v/>
      </c>
      <c r="R3490" s="19"/>
      <c r="S3490" s="19"/>
    </row>
    <row r="3491" spans="1:19" x14ac:dyDescent="0.35">
      <c r="A3491" s="26" t="s">
        <v>543</v>
      </c>
      <c r="B3491" s="26" t="s">
        <v>543</v>
      </c>
      <c r="C3491" s="26"/>
      <c r="D3491" s="26" t="s">
        <v>543</v>
      </c>
      <c r="E3491" s="26" t="str">
        <f>IFERROR(VLOOKUP(G3491,WholesaleExtract!B:J,9,FALSE),"")</f>
        <v/>
      </c>
      <c r="F3491" s="26" t="str">
        <f>IFERROR(VLOOKUP(G3491,WholesaleExtract!B:J,6,FALSE),"")</f>
        <v/>
      </c>
      <c r="H3491" s="47" t="str">
        <f>IFERROR(VLOOKUP(G3491,WholesaleExtract!B:L,11,FALSE),"")</f>
        <v/>
      </c>
      <c r="I3491" s="26" t="str">
        <f>IFERROR(VLOOKUP(G3491,WholesaleExtract!B:O,8,FALSE),"")</f>
        <v/>
      </c>
      <c r="J3491" s="26" t="str">
        <f>IFERROR(VLOOKUP(G3491,WholesaleExtract!B:O,14,FALSE),"")</f>
        <v/>
      </c>
      <c r="K3491" s="26" t="str">
        <f>IFERROR(VLOOKUP(G3491,WholesaleExtract!B:K,10,FALSE),"")</f>
        <v/>
      </c>
      <c r="L3491" s="47" t="str">
        <f>IFERROR(VLOOKUP(G3491,WholesaleExtract!B:L,11,FALSE),"")</f>
        <v/>
      </c>
      <c r="M3491" s="47" t="str">
        <f>IFERROR(VLOOKUP(G3491,WholesaleExtract!B:M,12,FALSE),"")</f>
        <v/>
      </c>
      <c r="R3491" s="19"/>
      <c r="S3491" s="19"/>
    </row>
    <row r="3492" spans="1:19" x14ac:dyDescent="0.35">
      <c r="A3492" s="26" t="s">
        <v>543</v>
      </c>
      <c r="B3492" s="26" t="s">
        <v>543</v>
      </c>
      <c r="C3492" s="26"/>
      <c r="D3492" s="26" t="s">
        <v>543</v>
      </c>
      <c r="E3492" s="26" t="str">
        <f>IFERROR(VLOOKUP(G3492,WholesaleExtract!B:J,9,FALSE),"")</f>
        <v/>
      </c>
      <c r="F3492" s="26" t="str">
        <f>IFERROR(VLOOKUP(G3492,WholesaleExtract!B:J,6,FALSE),"")</f>
        <v/>
      </c>
      <c r="H3492" s="47" t="str">
        <f>IFERROR(VLOOKUP(G3492,WholesaleExtract!B:L,11,FALSE),"")</f>
        <v/>
      </c>
      <c r="I3492" s="26" t="str">
        <f>IFERROR(VLOOKUP(G3492,WholesaleExtract!B:O,8,FALSE),"")</f>
        <v/>
      </c>
      <c r="J3492" s="26" t="str">
        <f>IFERROR(VLOOKUP(G3492,WholesaleExtract!B:O,14,FALSE),"")</f>
        <v/>
      </c>
      <c r="K3492" s="26" t="str">
        <f>IFERROR(VLOOKUP(G3492,WholesaleExtract!B:K,10,FALSE),"")</f>
        <v/>
      </c>
      <c r="L3492" s="47" t="str">
        <f>IFERROR(VLOOKUP(G3492,WholesaleExtract!B:L,11,FALSE),"")</f>
        <v/>
      </c>
      <c r="M3492" s="47" t="str">
        <f>IFERROR(VLOOKUP(G3492,WholesaleExtract!B:M,12,FALSE),"")</f>
        <v/>
      </c>
      <c r="R3492" s="19"/>
      <c r="S3492" s="19"/>
    </row>
    <row r="3493" spans="1:19" x14ac:dyDescent="0.35">
      <c r="A3493" s="26" t="s">
        <v>543</v>
      </c>
      <c r="B3493" s="26" t="s">
        <v>543</v>
      </c>
      <c r="C3493" s="26"/>
      <c r="D3493" s="26" t="s">
        <v>543</v>
      </c>
      <c r="E3493" s="26" t="str">
        <f>IFERROR(VLOOKUP(G3493,WholesaleExtract!B:J,9,FALSE),"")</f>
        <v/>
      </c>
      <c r="F3493" s="26" t="str">
        <f>IFERROR(VLOOKUP(G3493,WholesaleExtract!B:J,6,FALSE),"")</f>
        <v/>
      </c>
      <c r="H3493" s="47" t="str">
        <f>IFERROR(VLOOKUP(G3493,WholesaleExtract!B:L,11,FALSE),"")</f>
        <v/>
      </c>
      <c r="I3493" s="26" t="str">
        <f>IFERROR(VLOOKUP(G3493,WholesaleExtract!B:O,8,FALSE),"")</f>
        <v/>
      </c>
      <c r="J3493" s="26" t="str">
        <f>IFERROR(VLOOKUP(G3493,WholesaleExtract!B:O,14,FALSE),"")</f>
        <v/>
      </c>
      <c r="K3493" s="26" t="str">
        <f>IFERROR(VLOOKUP(G3493,WholesaleExtract!B:K,10,FALSE),"")</f>
        <v/>
      </c>
      <c r="L3493" s="47" t="str">
        <f>IFERROR(VLOOKUP(G3493,WholesaleExtract!B:L,11,FALSE),"")</f>
        <v/>
      </c>
      <c r="M3493" s="47" t="str">
        <f>IFERROR(VLOOKUP(G3493,WholesaleExtract!B:M,12,FALSE),"")</f>
        <v/>
      </c>
      <c r="R3493" s="19"/>
      <c r="S3493" s="19"/>
    </row>
    <row r="3494" spans="1:19" x14ac:dyDescent="0.35">
      <c r="A3494" s="26" t="s">
        <v>543</v>
      </c>
      <c r="B3494" s="26" t="s">
        <v>543</v>
      </c>
      <c r="C3494" s="26"/>
      <c r="D3494" s="26" t="s">
        <v>543</v>
      </c>
      <c r="E3494" s="26" t="str">
        <f>IFERROR(VLOOKUP(G3494,WholesaleExtract!B:J,9,FALSE),"")</f>
        <v/>
      </c>
      <c r="F3494" s="26" t="str">
        <f>IFERROR(VLOOKUP(G3494,WholesaleExtract!B:J,6,FALSE),"")</f>
        <v/>
      </c>
      <c r="H3494" s="47" t="str">
        <f>IFERROR(VLOOKUP(G3494,WholesaleExtract!B:L,11,FALSE),"")</f>
        <v/>
      </c>
      <c r="I3494" s="26" t="str">
        <f>IFERROR(VLOOKUP(G3494,WholesaleExtract!B:O,8,FALSE),"")</f>
        <v/>
      </c>
      <c r="J3494" s="26" t="str">
        <f>IFERROR(VLOOKUP(G3494,WholesaleExtract!B:O,14,FALSE),"")</f>
        <v/>
      </c>
      <c r="K3494" s="26" t="str">
        <f>IFERROR(VLOOKUP(G3494,WholesaleExtract!B:K,10,FALSE),"")</f>
        <v/>
      </c>
      <c r="L3494" s="47" t="str">
        <f>IFERROR(VLOOKUP(G3494,WholesaleExtract!B:L,11,FALSE),"")</f>
        <v/>
      </c>
      <c r="M3494" s="47" t="str">
        <f>IFERROR(VLOOKUP(G3494,WholesaleExtract!B:M,12,FALSE),"")</f>
        <v/>
      </c>
      <c r="R3494" s="19"/>
      <c r="S3494" s="19"/>
    </row>
    <row r="3495" spans="1:19" x14ac:dyDescent="0.35">
      <c r="A3495" s="26" t="s">
        <v>543</v>
      </c>
      <c r="B3495" s="26" t="s">
        <v>543</v>
      </c>
      <c r="C3495" s="26"/>
      <c r="D3495" s="26" t="s">
        <v>543</v>
      </c>
      <c r="E3495" s="26" t="str">
        <f>IFERROR(VLOOKUP(G3495,WholesaleExtract!B:J,9,FALSE),"")</f>
        <v/>
      </c>
      <c r="F3495" s="26" t="str">
        <f>IFERROR(VLOOKUP(G3495,WholesaleExtract!B:J,6,FALSE),"")</f>
        <v/>
      </c>
      <c r="H3495" s="47" t="str">
        <f>IFERROR(VLOOKUP(G3495,WholesaleExtract!B:L,11,FALSE),"")</f>
        <v/>
      </c>
      <c r="I3495" s="26" t="str">
        <f>IFERROR(VLOOKUP(G3495,WholesaleExtract!B:O,8,FALSE),"")</f>
        <v/>
      </c>
      <c r="J3495" s="26" t="str">
        <f>IFERROR(VLOOKUP(G3495,WholesaleExtract!B:O,14,FALSE),"")</f>
        <v/>
      </c>
      <c r="K3495" s="26" t="str">
        <f>IFERROR(VLOOKUP(G3495,WholesaleExtract!B:K,10,FALSE),"")</f>
        <v/>
      </c>
      <c r="L3495" s="47" t="str">
        <f>IFERROR(VLOOKUP(G3495,WholesaleExtract!B:L,11,FALSE),"")</f>
        <v/>
      </c>
      <c r="M3495" s="47" t="str">
        <f>IFERROR(VLOOKUP(G3495,WholesaleExtract!B:M,12,FALSE),"")</f>
        <v/>
      </c>
      <c r="R3495" s="19"/>
      <c r="S3495" s="19"/>
    </row>
    <row r="3496" spans="1:19" x14ac:dyDescent="0.35">
      <c r="A3496" s="26" t="s">
        <v>543</v>
      </c>
      <c r="B3496" s="26" t="s">
        <v>543</v>
      </c>
      <c r="C3496" s="26"/>
      <c r="D3496" s="26" t="s">
        <v>543</v>
      </c>
      <c r="E3496" s="26" t="str">
        <f>IFERROR(VLOOKUP(G3496,WholesaleExtract!B:J,9,FALSE),"")</f>
        <v/>
      </c>
      <c r="F3496" s="26" t="str">
        <f>IFERROR(VLOOKUP(G3496,WholesaleExtract!B:J,6,FALSE),"")</f>
        <v/>
      </c>
      <c r="H3496" s="47" t="str">
        <f>IFERROR(VLOOKUP(G3496,WholesaleExtract!B:L,11,FALSE),"")</f>
        <v/>
      </c>
      <c r="I3496" s="26" t="str">
        <f>IFERROR(VLOOKUP(G3496,WholesaleExtract!B:O,8,FALSE),"")</f>
        <v/>
      </c>
      <c r="J3496" s="26" t="str">
        <f>IFERROR(VLOOKUP(G3496,WholesaleExtract!B:O,14,FALSE),"")</f>
        <v/>
      </c>
      <c r="K3496" s="26" t="str">
        <f>IFERROR(VLOOKUP(G3496,WholesaleExtract!B:K,10,FALSE),"")</f>
        <v/>
      </c>
      <c r="L3496" s="47" t="str">
        <f>IFERROR(VLOOKUP(G3496,WholesaleExtract!B:L,11,FALSE),"")</f>
        <v/>
      </c>
      <c r="M3496" s="47" t="str">
        <f>IFERROR(VLOOKUP(G3496,WholesaleExtract!B:M,12,FALSE),"")</f>
        <v/>
      </c>
      <c r="R3496" s="19"/>
      <c r="S3496" s="19"/>
    </row>
    <row r="3497" spans="1:19" x14ac:dyDescent="0.35">
      <c r="A3497" s="26" t="s">
        <v>543</v>
      </c>
      <c r="B3497" s="26" t="s">
        <v>543</v>
      </c>
      <c r="C3497" s="26"/>
      <c r="D3497" s="26" t="s">
        <v>543</v>
      </c>
      <c r="E3497" s="26" t="str">
        <f>IFERROR(VLOOKUP(G3497,WholesaleExtract!B:J,9,FALSE),"")</f>
        <v/>
      </c>
      <c r="F3497" s="26" t="str">
        <f>IFERROR(VLOOKUP(G3497,WholesaleExtract!B:J,6,FALSE),"")</f>
        <v/>
      </c>
      <c r="H3497" s="47" t="str">
        <f>IFERROR(VLOOKUP(G3497,WholesaleExtract!B:L,11,FALSE),"")</f>
        <v/>
      </c>
      <c r="I3497" s="26" t="str">
        <f>IFERROR(VLOOKUP(G3497,WholesaleExtract!B:O,8,FALSE),"")</f>
        <v/>
      </c>
      <c r="J3497" s="26" t="str">
        <f>IFERROR(VLOOKUP(G3497,WholesaleExtract!B:O,14,FALSE),"")</f>
        <v/>
      </c>
      <c r="K3497" s="26" t="str">
        <f>IFERROR(VLOOKUP(G3497,WholesaleExtract!B:K,10,FALSE),"")</f>
        <v/>
      </c>
      <c r="L3497" s="47" t="str">
        <f>IFERROR(VLOOKUP(G3497,WholesaleExtract!B:L,11,FALSE),"")</f>
        <v/>
      </c>
      <c r="M3497" s="47" t="str">
        <f>IFERROR(VLOOKUP(G3497,WholesaleExtract!B:M,12,FALSE),"")</f>
        <v/>
      </c>
      <c r="R3497" s="19"/>
      <c r="S3497" s="19"/>
    </row>
    <row r="3498" spans="1:19" x14ac:dyDescent="0.35">
      <c r="A3498" s="26" t="s">
        <v>543</v>
      </c>
      <c r="B3498" s="26" t="s">
        <v>543</v>
      </c>
      <c r="C3498" s="26"/>
      <c r="D3498" s="26" t="s">
        <v>543</v>
      </c>
      <c r="E3498" s="26" t="str">
        <f>IFERROR(VLOOKUP(G3498,WholesaleExtract!B:J,9,FALSE),"")</f>
        <v/>
      </c>
      <c r="F3498" s="26" t="str">
        <f>IFERROR(VLOOKUP(G3498,WholesaleExtract!B:J,6,FALSE),"")</f>
        <v/>
      </c>
      <c r="H3498" s="47" t="str">
        <f>IFERROR(VLOOKUP(G3498,WholesaleExtract!B:L,11,FALSE),"")</f>
        <v/>
      </c>
      <c r="I3498" s="26" t="str">
        <f>IFERROR(VLOOKUP(G3498,WholesaleExtract!B:O,8,FALSE),"")</f>
        <v/>
      </c>
      <c r="J3498" s="26" t="str">
        <f>IFERROR(VLOOKUP(G3498,WholesaleExtract!B:O,14,FALSE),"")</f>
        <v/>
      </c>
      <c r="K3498" s="26" t="str">
        <f>IFERROR(VLOOKUP(G3498,WholesaleExtract!B:K,10,FALSE),"")</f>
        <v/>
      </c>
      <c r="L3498" s="47" t="str">
        <f>IFERROR(VLOOKUP(G3498,WholesaleExtract!B:L,11,FALSE),"")</f>
        <v/>
      </c>
      <c r="M3498" s="47" t="str">
        <f>IFERROR(VLOOKUP(G3498,WholesaleExtract!B:M,12,FALSE),"")</f>
        <v/>
      </c>
      <c r="R3498" s="19"/>
      <c r="S3498" s="19"/>
    </row>
    <row r="3499" spans="1:19" x14ac:dyDescent="0.35">
      <c r="A3499" s="26" t="s">
        <v>543</v>
      </c>
      <c r="B3499" s="26" t="s">
        <v>543</v>
      </c>
      <c r="C3499" s="26"/>
      <c r="D3499" s="26" t="s">
        <v>543</v>
      </c>
      <c r="E3499" s="26" t="str">
        <f>IFERROR(VLOOKUP(G3499,WholesaleExtract!B:J,9,FALSE),"")</f>
        <v/>
      </c>
      <c r="F3499" s="26" t="str">
        <f>IFERROR(VLOOKUP(G3499,WholesaleExtract!B:J,6,FALSE),"")</f>
        <v/>
      </c>
      <c r="H3499" s="47" t="str">
        <f>IFERROR(VLOOKUP(G3499,WholesaleExtract!B:L,11,FALSE),"")</f>
        <v/>
      </c>
      <c r="I3499" s="26" t="str">
        <f>IFERROR(VLOOKUP(G3499,WholesaleExtract!B:O,8,FALSE),"")</f>
        <v/>
      </c>
      <c r="J3499" s="26" t="str">
        <f>IFERROR(VLOOKUP(G3499,WholesaleExtract!B:O,14,FALSE),"")</f>
        <v/>
      </c>
      <c r="K3499" s="26" t="str">
        <f>IFERROR(VLOOKUP(G3499,WholesaleExtract!B:K,10,FALSE),"")</f>
        <v/>
      </c>
      <c r="L3499" s="47" t="str">
        <f>IFERROR(VLOOKUP(G3499,WholesaleExtract!B:L,11,FALSE),"")</f>
        <v/>
      </c>
      <c r="M3499" s="47" t="str">
        <f>IFERROR(VLOOKUP(G3499,WholesaleExtract!B:M,12,FALSE),"")</f>
        <v/>
      </c>
      <c r="R3499" s="19"/>
      <c r="S3499" s="19"/>
    </row>
    <row r="3500" spans="1:19" x14ac:dyDescent="0.35">
      <c r="A3500" s="26" t="s">
        <v>543</v>
      </c>
      <c r="B3500" s="26" t="s">
        <v>543</v>
      </c>
      <c r="C3500" s="26"/>
      <c r="D3500" s="26" t="s">
        <v>543</v>
      </c>
      <c r="E3500" s="26" t="str">
        <f>IFERROR(VLOOKUP(G3500,WholesaleExtract!B:J,9,FALSE),"")</f>
        <v/>
      </c>
      <c r="F3500" s="26" t="str">
        <f>IFERROR(VLOOKUP(G3500,WholesaleExtract!B:J,6,FALSE),"")</f>
        <v/>
      </c>
      <c r="H3500" s="47" t="str">
        <f>IFERROR(VLOOKUP(G3500,WholesaleExtract!B:L,11,FALSE),"")</f>
        <v/>
      </c>
      <c r="I3500" s="26" t="str">
        <f>IFERROR(VLOOKUP(G3500,WholesaleExtract!B:O,8,FALSE),"")</f>
        <v/>
      </c>
      <c r="J3500" s="26" t="str">
        <f>IFERROR(VLOOKUP(G3500,WholesaleExtract!B:O,14,FALSE),"")</f>
        <v/>
      </c>
      <c r="K3500" s="26" t="str">
        <f>IFERROR(VLOOKUP(G3500,WholesaleExtract!B:K,10,FALSE),"")</f>
        <v/>
      </c>
      <c r="L3500" s="47" t="str">
        <f>IFERROR(VLOOKUP(G3500,WholesaleExtract!B:L,11,FALSE),"")</f>
        <v/>
      </c>
      <c r="M3500" s="47" t="str">
        <f>IFERROR(VLOOKUP(G3500,WholesaleExtract!B:M,12,FALSE),"")</f>
        <v/>
      </c>
      <c r="R3500" s="19"/>
      <c r="S3500" s="19"/>
    </row>
    <row r="3501" spans="1:19" x14ac:dyDescent="0.35">
      <c r="A3501" s="26" t="s">
        <v>543</v>
      </c>
      <c r="B3501" s="26" t="s">
        <v>543</v>
      </c>
      <c r="C3501" s="26"/>
      <c r="D3501" s="26" t="s">
        <v>543</v>
      </c>
      <c r="E3501" s="26" t="str">
        <f>IFERROR(VLOOKUP(G3501,WholesaleExtract!B:J,9,FALSE),"")</f>
        <v/>
      </c>
      <c r="F3501" s="26" t="str">
        <f>IFERROR(VLOOKUP(G3501,WholesaleExtract!B:J,6,FALSE),"")</f>
        <v/>
      </c>
      <c r="H3501" s="47" t="str">
        <f>IFERROR(VLOOKUP(G3501,WholesaleExtract!B:L,11,FALSE),"")</f>
        <v/>
      </c>
      <c r="I3501" s="26" t="str">
        <f>IFERROR(VLOOKUP(G3501,WholesaleExtract!B:O,8,FALSE),"")</f>
        <v/>
      </c>
      <c r="J3501" s="26" t="str">
        <f>IFERROR(VLOOKUP(G3501,WholesaleExtract!B:O,14,FALSE),"")</f>
        <v/>
      </c>
      <c r="K3501" s="26" t="str">
        <f>IFERROR(VLOOKUP(G3501,WholesaleExtract!B:K,10,FALSE),"")</f>
        <v/>
      </c>
      <c r="L3501" s="47" t="str">
        <f>IFERROR(VLOOKUP(G3501,WholesaleExtract!B:L,11,FALSE),"")</f>
        <v/>
      </c>
      <c r="M3501" s="47" t="str">
        <f>IFERROR(VLOOKUP(G3501,WholesaleExtract!B:M,12,FALSE),"")</f>
        <v/>
      </c>
      <c r="R3501" s="19"/>
      <c r="S3501" s="19"/>
    </row>
    <row r="3502" spans="1:19" x14ac:dyDescent="0.35">
      <c r="A3502" s="26" t="s">
        <v>543</v>
      </c>
      <c r="B3502" s="26" t="s">
        <v>543</v>
      </c>
      <c r="C3502" s="26"/>
      <c r="D3502" s="26" t="s">
        <v>543</v>
      </c>
      <c r="E3502" s="26" t="str">
        <f>IFERROR(VLOOKUP(G3502,WholesaleExtract!B:J,9,FALSE),"")</f>
        <v/>
      </c>
      <c r="F3502" s="26" t="str">
        <f>IFERROR(VLOOKUP(G3502,WholesaleExtract!B:J,6,FALSE),"")</f>
        <v/>
      </c>
      <c r="H3502" s="47" t="str">
        <f>IFERROR(VLOOKUP(G3502,WholesaleExtract!B:L,11,FALSE),"")</f>
        <v/>
      </c>
      <c r="I3502" s="26" t="str">
        <f>IFERROR(VLOOKUP(G3502,WholesaleExtract!B:O,8,FALSE),"")</f>
        <v/>
      </c>
      <c r="J3502" s="26" t="str">
        <f>IFERROR(VLOOKUP(G3502,WholesaleExtract!B:O,14,FALSE),"")</f>
        <v/>
      </c>
      <c r="K3502" s="26" t="str">
        <f>IFERROR(VLOOKUP(G3502,WholesaleExtract!B:K,10,FALSE),"")</f>
        <v/>
      </c>
      <c r="L3502" s="47" t="str">
        <f>IFERROR(VLOOKUP(G3502,WholesaleExtract!B:L,11,FALSE),"")</f>
        <v/>
      </c>
      <c r="M3502" s="47" t="str">
        <f>IFERROR(VLOOKUP(G3502,WholesaleExtract!B:M,12,FALSE),"")</f>
        <v/>
      </c>
      <c r="R3502" s="19"/>
      <c r="S3502" s="19"/>
    </row>
    <row r="3503" spans="1:19" x14ac:dyDescent="0.35">
      <c r="A3503" s="26" t="s">
        <v>543</v>
      </c>
      <c r="B3503" s="26" t="s">
        <v>543</v>
      </c>
      <c r="C3503" s="26"/>
      <c r="D3503" s="26" t="s">
        <v>543</v>
      </c>
      <c r="E3503" s="26" t="str">
        <f>IFERROR(VLOOKUP(G3503,WholesaleExtract!B:J,9,FALSE),"")</f>
        <v/>
      </c>
      <c r="F3503" s="26" t="str">
        <f>IFERROR(VLOOKUP(G3503,WholesaleExtract!B:J,6,FALSE),"")</f>
        <v/>
      </c>
      <c r="H3503" s="47" t="str">
        <f>IFERROR(VLOOKUP(G3503,WholesaleExtract!B:L,11,FALSE),"")</f>
        <v/>
      </c>
      <c r="I3503" s="26" t="str">
        <f>IFERROR(VLOOKUP(G3503,WholesaleExtract!B:O,8,FALSE),"")</f>
        <v/>
      </c>
      <c r="J3503" s="26" t="str">
        <f>IFERROR(VLOOKUP(G3503,WholesaleExtract!B:O,14,FALSE),"")</f>
        <v/>
      </c>
      <c r="K3503" s="26" t="str">
        <f>IFERROR(VLOOKUP(G3503,WholesaleExtract!B:K,10,FALSE),"")</f>
        <v/>
      </c>
      <c r="L3503" s="47" t="str">
        <f>IFERROR(VLOOKUP(G3503,WholesaleExtract!B:L,11,FALSE),"")</f>
        <v/>
      </c>
      <c r="M3503" s="47" t="str">
        <f>IFERROR(VLOOKUP(G3503,WholesaleExtract!B:M,12,FALSE),"")</f>
        <v/>
      </c>
      <c r="R3503" s="19"/>
      <c r="S3503" s="19"/>
    </row>
    <row r="3504" spans="1:19" x14ac:dyDescent="0.35">
      <c r="A3504" s="26" t="s">
        <v>543</v>
      </c>
      <c r="B3504" s="26" t="s">
        <v>543</v>
      </c>
      <c r="C3504" s="26"/>
      <c r="D3504" s="26" t="s">
        <v>543</v>
      </c>
      <c r="E3504" s="26" t="str">
        <f>IFERROR(VLOOKUP(G3504,WholesaleExtract!B:J,9,FALSE),"")</f>
        <v/>
      </c>
      <c r="F3504" s="26" t="str">
        <f>IFERROR(VLOOKUP(G3504,WholesaleExtract!B:J,6,FALSE),"")</f>
        <v/>
      </c>
      <c r="H3504" s="47" t="str">
        <f>IFERROR(VLOOKUP(G3504,WholesaleExtract!B:L,11,FALSE),"")</f>
        <v/>
      </c>
      <c r="I3504" s="26" t="str">
        <f>IFERROR(VLOOKUP(G3504,WholesaleExtract!B:O,8,FALSE),"")</f>
        <v/>
      </c>
      <c r="J3504" s="26" t="str">
        <f>IFERROR(VLOOKUP(G3504,WholesaleExtract!B:O,14,FALSE),"")</f>
        <v/>
      </c>
      <c r="K3504" s="26" t="str">
        <f>IFERROR(VLOOKUP(G3504,WholesaleExtract!B:K,10,FALSE),"")</f>
        <v/>
      </c>
      <c r="L3504" s="47" t="str">
        <f>IFERROR(VLOOKUP(G3504,WholesaleExtract!B:L,11,FALSE),"")</f>
        <v/>
      </c>
      <c r="M3504" s="47" t="str">
        <f>IFERROR(VLOOKUP(G3504,WholesaleExtract!B:M,12,FALSE),"")</f>
        <v/>
      </c>
      <c r="R3504" s="19"/>
      <c r="S3504" s="19"/>
    </row>
    <row r="3505" spans="1:19" x14ac:dyDescent="0.35">
      <c r="A3505" s="26" t="s">
        <v>543</v>
      </c>
      <c r="B3505" s="26" t="s">
        <v>543</v>
      </c>
      <c r="C3505" s="26"/>
      <c r="D3505" s="26" t="s">
        <v>543</v>
      </c>
      <c r="E3505" s="26" t="str">
        <f>IFERROR(VLOOKUP(G3505,WholesaleExtract!B:J,9,FALSE),"")</f>
        <v/>
      </c>
      <c r="F3505" s="26" t="str">
        <f>IFERROR(VLOOKUP(G3505,WholesaleExtract!B:J,6,FALSE),"")</f>
        <v/>
      </c>
      <c r="H3505" s="47" t="str">
        <f>IFERROR(VLOOKUP(G3505,WholesaleExtract!B:L,11,FALSE),"")</f>
        <v/>
      </c>
      <c r="I3505" s="26" t="str">
        <f>IFERROR(VLOOKUP(G3505,WholesaleExtract!B:O,8,FALSE),"")</f>
        <v/>
      </c>
      <c r="J3505" s="26" t="str">
        <f>IFERROR(VLOOKUP(G3505,WholesaleExtract!B:O,14,FALSE),"")</f>
        <v/>
      </c>
      <c r="K3505" s="26" t="str">
        <f>IFERROR(VLOOKUP(G3505,WholesaleExtract!B:K,10,FALSE),"")</f>
        <v/>
      </c>
      <c r="L3505" s="47" t="str">
        <f>IFERROR(VLOOKUP(G3505,WholesaleExtract!B:L,11,FALSE),"")</f>
        <v/>
      </c>
      <c r="M3505" s="47" t="str">
        <f>IFERROR(VLOOKUP(G3505,WholesaleExtract!B:M,12,FALSE),"")</f>
        <v/>
      </c>
      <c r="R3505" s="19"/>
      <c r="S3505" s="19"/>
    </row>
    <row r="3506" spans="1:19" x14ac:dyDescent="0.35">
      <c r="A3506" s="26" t="s">
        <v>543</v>
      </c>
      <c r="B3506" s="26" t="s">
        <v>543</v>
      </c>
      <c r="C3506" s="26"/>
      <c r="D3506" s="26" t="s">
        <v>543</v>
      </c>
      <c r="E3506" s="26" t="str">
        <f>IFERROR(VLOOKUP(G3506,WholesaleExtract!B:J,9,FALSE),"")</f>
        <v/>
      </c>
      <c r="F3506" s="26" t="str">
        <f>IFERROR(VLOOKUP(G3506,WholesaleExtract!B:J,6,FALSE),"")</f>
        <v/>
      </c>
      <c r="H3506" s="47" t="str">
        <f>IFERROR(VLOOKUP(G3506,WholesaleExtract!B:L,11,FALSE),"")</f>
        <v/>
      </c>
      <c r="I3506" s="26" t="str">
        <f>IFERROR(VLOOKUP(G3506,WholesaleExtract!B:O,8,FALSE),"")</f>
        <v/>
      </c>
      <c r="J3506" s="26" t="str">
        <f>IFERROR(VLOOKUP(G3506,WholesaleExtract!B:O,14,FALSE),"")</f>
        <v/>
      </c>
      <c r="K3506" s="26" t="str">
        <f>IFERROR(VLOOKUP(G3506,WholesaleExtract!B:K,10,FALSE),"")</f>
        <v/>
      </c>
      <c r="L3506" s="47" t="str">
        <f>IFERROR(VLOOKUP(G3506,WholesaleExtract!B:L,11,FALSE),"")</f>
        <v/>
      </c>
      <c r="M3506" s="47" t="str">
        <f>IFERROR(VLOOKUP(G3506,WholesaleExtract!B:M,12,FALSE),"")</f>
        <v/>
      </c>
      <c r="R3506" s="19"/>
      <c r="S3506" s="19"/>
    </row>
    <row r="3507" spans="1:19" x14ac:dyDescent="0.35">
      <c r="A3507" s="26" t="s">
        <v>543</v>
      </c>
      <c r="B3507" s="26" t="s">
        <v>543</v>
      </c>
      <c r="C3507" s="26"/>
      <c r="D3507" s="26" t="s">
        <v>543</v>
      </c>
      <c r="E3507" s="26" t="str">
        <f>IFERROR(VLOOKUP(G3507,WholesaleExtract!B:J,9,FALSE),"")</f>
        <v/>
      </c>
      <c r="F3507" s="26" t="str">
        <f>IFERROR(VLOOKUP(G3507,WholesaleExtract!B:J,6,FALSE),"")</f>
        <v/>
      </c>
      <c r="H3507" s="47" t="str">
        <f>IFERROR(VLOOKUP(G3507,WholesaleExtract!B:L,11,FALSE),"")</f>
        <v/>
      </c>
      <c r="I3507" s="26" t="str">
        <f>IFERROR(VLOOKUP(G3507,WholesaleExtract!B:O,8,FALSE),"")</f>
        <v/>
      </c>
      <c r="J3507" s="26" t="str">
        <f>IFERROR(VLOOKUP(G3507,WholesaleExtract!B:O,14,FALSE),"")</f>
        <v/>
      </c>
      <c r="K3507" s="26" t="str">
        <f>IFERROR(VLOOKUP(G3507,WholesaleExtract!B:K,10,FALSE),"")</f>
        <v/>
      </c>
      <c r="L3507" s="47" t="str">
        <f>IFERROR(VLOOKUP(G3507,WholesaleExtract!B:L,11,FALSE),"")</f>
        <v/>
      </c>
      <c r="M3507" s="47" t="str">
        <f>IFERROR(VLOOKUP(G3507,WholesaleExtract!B:M,12,FALSE),"")</f>
        <v/>
      </c>
      <c r="R3507" s="19"/>
      <c r="S3507" s="19"/>
    </row>
    <row r="3508" spans="1:19" x14ac:dyDescent="0.35">
      <c r="A3508" s="26" t="s">
        <v>543</v>
      </c>
      <c r="B3508" s="26" t="s">
        <v>543</v>
      </c>
      <c r="C3508" s="26"/>
      <c r="D3508" s="26" t="s">
        <v>543</v>
      </c>
      <c r="E3508" s="26" t="str">
        <f>IFERROR(VLOOKUP(G3508,WholesaleExtract!B:J,9,FALSE),"")</f>
        <v/>
      </c>
      <c r="F3508" s="26" t="str">
        <f>IFERROR(VLOOKUP(G3508,WholesaleExtract!B:J,6,FALSE),"")</f>
        <v/>
      </c>
      <c r="H3508" s="47" t="str">
        <f>IFERROR(VLOOKUP(G3508,WholesaleExtract!B:L,11,FALSE),"")</f>
        <v/>
      </c>
      <c r="I3508" s="26" t="str">
        <f>IFERROR(VLOOKUP(G3508,WholesaleExtract!B:O,8,FALSE),"")</f>
        <v/>
      </c>
      <c r="J3508" s="26" t="str">
        <f>IFERROR(VLOOKUP(G3508,WholesaleExtract!B:O,14,FALSE),"")</f>
        <v/>
      </c>
      <c r="K3508" s="26" t="str">
        <f>IFERROR(VLOOKUP(G3508,WholesaleExtract!B:K,10,FALSE),"")</f>
        <v/>
      </c>
      <c r="L3508" s="47" t="str">
        <f>IFERROR(VLOOKUP(G3508,WholesaleExtract!B:L,11,FALSE),"")</f>
        <v/>
      </c>
      <c r="M3508" s="47" t="str">
        <f>IFERROR(VLOOKUP(G3508,WholesaleExtract!B:M,12,FALSE),"")</f>
        <v/>
      </c>
      <c r="R3508" s="19"/>
      <c r="S3508" s="19"/>
    </row>
    <row r="3509" spans="1:19" x14ac:dyDescent="0.35">
      <c r="A3509" s="26" t="s">
        <v>543</v>
      </c>
      <c r="B3509" s="26" t="s">
        <v>543</v>
      </c>
      <c r="C3509" s="26"/>
      <c r="D3509" s="26" t="s">
        <v>543</v>
      </c>
      <c r="E3509" s="26" t="str">
        <f>IFERROR(VLOOKUP(G3509,WholesaleExtract!B:J,9,FALSE),"")</f>
        <v/>
      </c>
      <c r="F3509" s="26" t="str">
        <f>IFERROR(VLOOKUP(G3509,WholesaleExtract!B:J,6,FALSE),"")</f>
        <v/>
      </c>
      <c r="H3509" s="47" t="str">
        <f>IFERROR(VLOOKUP(G3509,WholesaleExtract!B:L,11,FALSE),"")</f>
        <v/>
      </c>
      <c r="I3509" s="26" t="str">
        <f>IFERROR(VLOOKUP(G3509,WholesaleExtract!B:O,8,FALSE),"")</f>
        <v/>
      </c>
      <c r="J3509" s="26" t="str">
        <f>IFERROR(VLOOKUP(G3509,WholesaleExtract!B:O,14,FALSE),"")</f>
        <v/>
      </c>
      <c r="K3509" s="26" t="str">
        <f>IFERROR(VLOOKUP(G3509,WholesaleExtract!B:K,10,FALSE),"")</f>
        <v/>
      </c>
      <c r="L3509" s="47" t="str">
        <f>IFERROR(VLOOKUP(G3509,WholesaleExtract!B:L,11,FALSE),"")</f>
        <v/>
      </c>
      <c r="M3509" s="47" t="str">
        <f>IFERROR(VLOOKUP(G3509,WholesaleExtract!B:M,12,FALSE),"")</f>
        <v/>
      </c>
      <c r="R3509" s="19"/>
      <c r="S3509" s="19"/>
    </row>
    <row r="3510" spans="1:19" x14ac:dyDescent="0.35">
      <c r="A3510" s="26" t="s">
        <v>543</v>
      </c>
      <c r="B3510" s="26" t="s">
        <v>543</v>
      </c>
      <c r="C3510" s="26"/>
      <c r="D3510" s="26" t="s">
        <v>543</v>
      </c>
      <c r="E3510" s="26" t="str">
        <f>IFERROR(VLOOKUP(G3510,WholesaleExtract!B:J,9,FALSE),"")</f>
        <v/>
      </c>
      <c r="F3510" s="26" t="str">
        <f>IFERROR(VLOOKUP(G3510,WholesaleExtract!B:J,6,FALSE),"")</f>
        <v/>
      </c>
      <c r="H3510" s="47" t="str">
        <f>IFERROR(VLOOKUP(G3510,WholesaleExtract!B:L,11,FALSE),"")</f>
        <v/>
      </c>
      <c r="I3510" s="26" t="str">
        <f>IFERROR(VLOOKUP(G3510,WholesaleExtract!B:O,8,FALSE),"")</f>
        <v/>
      </c>
      <c r="J3510" s="26" t="str">
        <f>IFERROR(VLOOKUP(G3510,WholesaleExtract!B:O,14,FALSE),"")</f>
        <v/>
      </c>
      <c r="K3510" s="26" t="str">
        <f>IFERROR(VLOOKUP(G3510,WholesaleExtract!B:K,10,FALSE),"")</f>
        <v/>
      </c>
      <c r="L3510" s="47" t="str">
        <f>IFERROR(VLOOKUP(G3510,WholesaleExtract!B:L,11,FALSE),"")</f>
        <v/>
      </c>
      <c r="M3510" s="47" t="str">
        <f>IFERROR(VLOOKUP(G3510,WholesaleExtract!B:M,12,FALSE),"")</f>
        <v/>
      </c>
      <c r="R3510" s="19"/>
      <c r="S3510" s="19"/>
    </row>
    <row r="3511" spans="1:19" x14ac:dyDescent="0.35">
      <c r="A3511" s="26" t="s">
        <v>543</v>
      </c>
      <c r="B3511" s="26" t="s">
        <v>543</v>
      </c>
      <c r="C3511" s="26"/>
      <c r="D3511" s="26" t="s">
        <v>543</v>
      </c>
      <c r="E3511" s="26" t="str">
        <f>IFERROR(VLOOKUP(G3511,WholesaleExtract!B:J,9,FALSE),"")</f>
        <v/>
      </c>
      <c r="F3511" s="26" t="str">
        <f>IFERROR(VLOOKUP(G3511,WholesaleExtract!B:J,6,FALSE),"")</f>
        <v/>
      </c>
      <c r="H3511" s="47" t="str">
        <f>IFERROR(VLOOKUP(G3511,WholesaleExtract!B:L,11,FALSE),"")</f>
        <v/>
      </c>
      <c r="I3511" s="26" t="str">
        <f>IFERROR(VLOOKUP(G3511,WholesaleExtract!B:O,8,FALSE),"")</f>
        <v/>
      </c>
      <c r="J3511" s="26" t="str">
        <f>IFERROR(VLOOKUP(G3511,WholesaleExtract!B:O,14,FALSE),"")</f>
        <v/>
      </c>
      <c r="K3511" s="26" t="str">
        <f>IFERROR(VLOOKUP(G3511,WholesaleExtract!B:K,10,FALSE),"")</f>
        <v/>
      </c>
      <c r="L3511" s="47" t="str">
        <f>IFERROR(VLOOKUP(G3511,WholesaleExtract!B:L,11,FALSE),"")</f>
        <v/>
      </c>
      <c r="M3511" s="47" t="str">
        <f>IFERROR(VLOOKUP(G3511,WholesaleExtract!B:M,12,FALSE),"")</f>
        <v/>
      </c>
      <c r="R3511" s="19"/>
      <c r="S3511" s="19"/>
    </row>
    <row r="3512" spans="1:19" x14ac:dyDescent="0.35">
      <c r="A3512" s="26" t="s">
        <v>543</v>
      </c>
      <c r="B3512" s="26" t="s">
        <v>543</v>
      </c>
      <c r="C3512" s="26"/>
      <c r="D3512" s="26" t="s">
        <v>543</v>
      </c>
      <c r="E3512" s="26" t="str">
        <f>IFERROR(VLOOKUP(G3512,WholesaleExtract!B:J,9,FALSE),"")</f>
        <v/>
      </c>
      <c r="F3512" s="26" t="str">
        <f>IFERROR(VLOOKUP(G3512,WholesaleExtract!B:J,6,FALSE),"")</f>
        <v/>
      </c>
      <c r="H3512" s="47" t="str">
        <f>IFERROR(VLOOKUP(G3512,WholesaleExtract!B:L,11,FALSE),"")</f>
        <v/>
      </c>
      <c r="I3512" s="26" t="str">
        <f>IFERROR(VLOOKUP(G3512,WholesaleExtract!B:O,8,FALSE),"")</f>
        <v/>
      </c>
      <c r="J3512" s="26" t="str">
        <f>IFERROR(VLOOKUP(G3512,WholesaleExtract!B:O,14,FALSE),"")</f>
        <v/>
      </c>
      <c r="K3512" s="26" t="str">
        <f>IFERROR(VLOOKUP(G3512,WholesaleExtract!B:K,10,FALSE),"")</f>
        <v/>
      </c>
      <c r="L3512" s="47" t="str">
        <f>IFERROR(VLOOKUP(G3512,WholesaleExtract!B:L,11,FALSE),"")</f>
        <v/>
      </c>
      <c r="M3512" s="47" t="str">
        <f>IFERROR(VLOOKUP(G3512,WholesaleExtract!B:M,12,FALSE),"")</f>
        <v/>
      </c>
      <c r="R3512" s="19"/>
      <c r="S3512" s="19"/>
    </row>
    <row r="3513" spans="1:19" x14ac:dyDescent="0.35">
      <c r="A3513" s="26" t="s">
        <v>543</v>
      </c>
      <c r="B3513" s="26" t="s">
        <v>543</v>
      </c>
      <c r="C3513" s="26"/>
      <c r="D3513" s="26" t="s">
        <v>543</v>
      </c>
      <c r="E3513" s="26" t="str">
        <f>IFERROR(VLOOKUP(G3513,WholesaleExtract!B:J,9,FALSE),"")</f>
        <v/>
      </c>
      <c r="F3513" s="26" t="str">
        <f>IFERROR(VLOOKUP(G3513,WholesaleExtract!B:J,6,FALSE),"")</f>
        <v/>
      </c>
      <c r="H3513" s="47" t="str">
        <f>IFERROR(VLOOKUP(G3513,WholesaleExtract!B:L,11,FALSE),"")</f>
        <v/>
      </c>
      <c r="I3513" s="26" t="str">
        <f>IFERROR(VLOOKUP(G3513,WholesaleExtract!B:O,8,FALSE),"")</f>
        <v/>
      </c>
      <c r="J3513" s="26" t="str">
        <f>IFERROR(VLOOKUP(G3513,WholesaleExtract!B:O,14,FALSE),"")</f>
        <v/>
      </c>
      <c r="K3513" s="26" t="str">
        <f>IFERROR(VLOOKUP(G3513,WholesaleExtract!B:K,10,FALSE),"")</f>
        <v/>
      </c>
      <c r="L3513" s="47" t="str">
        <f>IFERROR(VLOOKUP(G3513,WholesaleExtract!B:L,11,FALSE),"")</f>
        <v/>
      </c>
      <c r="M3513" s="47" t="str">
        <f>IFERROR(VLOOKUP(G3513,WholesaleExtract!B:M,12,FALSE),"")</f>
        <v/>
      </c>
      <c r="R3513" s="19"/>
      <c r="S3513" s="19"/>
    </row>
    <row r="3514" spans="1:19" x14ac:dyDescent="0.35">
      <c r="A3514" s="26" t="s">
        <v>543</v>
      </c>
      <c r="B3514" s="26" t="s">
        <v>543</v>
      </c>
      <c r="C3514" s="26"/>
      <c r="D3514" s="26" t="s">
        <v>543</v>
      </c>
      <c r="E3514" s="26" t="str">
        <f>IFERROR(VLOOKUP(G3514,WholesaleExtract!B:J,9,FALSE),"")</f>
        <v/>
      </c>
      <c r="F3514" s="26" t="str">
        <f>IFERROR(VLOOKUP(G3514,WholesaleExtract!B:J,6,FALSE),"")</f>
        <v/>
      </c>
      <c r="H3514" s="47" t="str">
        <f>IFERROR(VLOOKUP(G3514,WholesaleExtract!B:L,11,FALSE),"")</f>
        <v/>
      </c>
      <c r="I3514" s="26" t="str">
        <f>IFERROR(VLOOKUP(G3514,WholesaleExtract!B:O,8,FALSE),"")</f>
        <v/>
      </c>
      <c r="J3514" s="26" t="str">
        <f>IFERROR(VLOOKUP(G3514,WholesaleExtract!B:O,14,FALSE),"")</f>
        <v/>
      </c>
      <c r="K3514" s="26" t="str">
        <f>IFERROR(VLOOKUP(G3514,WholesaleExtract!B:K,10,FALSE),"")</f>
        <v/>
      </c>
      <c r="L3514" s="47" t="str">
        <f>IFERROR(VLOOKUP(G3514,WholesaleExtract!B:L,11,FALSE),"")</f>
        <v/>
      </c>
      <c r="M3514" s="47" t="str">
        <f>IFERROR(VLOOKUP(G3514,WholesaleExtract!B:M,12,FALSE),"")</f>
        <v/>
      </c>
      <c r="R3514" s="19"/>
      <c r="S3514" s="19"/>
    </row>
    <row r="3515" spans="1:19" x14ac:dyDescent="0.35">
      <c r="A3515" s="26" t="s">
        <v>543</v>
      </c>
      <c r="B3515" s="26" t="s">
        <v>543</v>
      </c>
      <c r="C3515" s="26"/>
      <c r="D3515" s="26" t="s">
        <v>543</v>
      </c>
      <c r="E3515" s="26" t="str">
        <f>IFERROR(VLOOKUP(G3515,WholesaleExtract!B:J,9,FALSE),"")</f>
        <v/>
      </c>
      <c r="F3515" s="26" t="str">
        <f>IFERROR(VLOOKUP(G3515,WholesaleExtract!B:J,6,FALSE),"")</f>
        <v/>
      </c>
      <c r="H3515" s="47" t="str">
        <f>IFERROR(VLOOKUP(G3515,WholesaleExtract!B:L,11,FALSE),"")</f>
        <v/>
      </c>
      <c r="I3515" s="26" t="str">
        <f>IFERROR(VLOOKUP(G3515,WholesaleExtract!B:O,8,FALSE),"")</f>
        <v/>
      </c>
      <c r="J3515" s="26" t="str">
        <f>IFERROR(VLOOKUP(G3515,WholesaleExtract!B:O,14,FALSE),"")</f>
        <v/>
      </c>
      <c r="K3515" s="26" t="str">
        <f>IFERROR(VLOOKUP(G3515,WholesaleExtract!B:K,10,FALSE),"")</f>
        <v/>
      </c>
      <c r="L3515" s="47" t="str">
        <f>IFERROR(VLOOKUP(G3515,WholesaleExtract!B:L,11,FALSE),"")</f>
        <v/>
      </c>
      <c r="M3515" s="47" t="str">
        <f>IFERROR(VLOOKUP(G3515,WholesaleExtract!B:M,12,FALSE),"")</f>
        <v/>
      </c>
      <c r="R3515" s="19"/>
      <c r="S3515" s="19"/>
    </row>
    <row r="3516" spans="1:19" x14ac:dyDescent="0.35">
      <c r="A3516" s="26" t="s">
        <v>543</v>
      </c>
      <c r="B3516" s="26" t="s">
        <v>543</v>
      </c>
      <c r="C3516" s="26"/>
      <c r="D3516" s="26" t="s">
        <v>543</v>
      </c>
      <c r="E3516" s="26" t="str">
        <f>IFERROR(VLOOKUP(G3516,WholesaleExtract!B:J,9,FALSE),"")</f>
        <v/>
      </c>
      <c r="F3516" s="26" t="str">
        <f>IFERROR(VLOOKUP(G3516,WholesaleExtract!B:J,6,FALSE),"")</f>
        <v/>
      </c>
      <c r="H3516" s="47" t="str">
        <f>IFERROR(VLOOKUP(G3516,WholesaleExtract!B:L,11,FALSE),"")</f>
        <v/>
      </c>
      <c r="I3516" s="26" t="str">
        <f>IFERROR(VLOOKUP(G3516,WholesaleExtract!B:O,8,FALSE),"")</f>
        <v/>
      </c>
      <c r="J3516" s="26" t="str">
        <f>IFERROR(VLOOKUP(G3516,WholesaleExtract!B:O,14,FALSE),"")</f>
        <v/>
      </c>
      <c r="K3516" s="26" t="str">
        <f>IFERROR(VLOOKUP(G3516,WholesaleExtract!B:K,10,FALSE),"")</f>
        <v/>
      </c>
      <c r="L3516" s="47" t="str">
        <f>IFERROR(VLOOKUP(G3516,WholesaleExtract!B:L,11,FALSE),"")</f>
        <v/>
      </c>
      <c r="M3516" s="47" t="str">
        <f>IFERROR(VLOOKUP(G3516,WholesaleExtract!B:M,12,FALSE),"")</f>
        <v/>
      </c>
      <c r="R3516" s="19"/>
      <c r="S3516" s="19"/>
    </row>
    <row r="3517" spans="1:19" x14ac:dyDescent="0.35">
      <c r="A3517" s="26" t="s">
        <v>543</v>
      </c>
      <c r="B3517" s="26" t="s">
        <v>543</v>
      </c>
      <c r="C3517" s="26"/>
      <c r="D3517" s="26" t="s">
        <v>543</v>
      </c>
      <c r="E3517" s="26" t="str">
        <f>IFERROR(VLOOKUP(G3517,WholesaleExtract!B:J,9,FALSE),"")</f>
        <v/>
      </c>
      <c r="F3517" s="26" t="str">
        <f>IFERROR(VLOOKUP(G3517,WholesaleExtract!B:J,6,FALSE),"")</f>
        <v/>
      </c>
      <c r="H3517" s="47" t="str">
        <f>IFERROR(VLOOKUP(G3517,WholesaleExtract!B:L,11,FALSE),"")</f>
        <v/>
      </c>
      <c r="I3517" s="26" t="str">
        <f>IFERROR(VLOOKUP(G3517,WholesaleExtract!B:O,8,FALSE),"")</f>
        <v/>
      </c>
      <c r="J3517" s="26" t="str">
        <f>IFERROR(VLOOKUP(G3517,WholesaleExtract!B:O,14,FALSE),"")</f>
        <v/>
      </c>
      <c r="K3517" s="26" t="str">
        <f>IFERROR(VLOOKUP(G3517,WholesaleExtract!B:K,10,FALSE),"")</f>
        <v/>
      </c>
      <c r="L3517" s="47" t="str">
        <f>IFERROR(VLOOKUP(G3517,WholesaleExtract!B:L,11,FALSE),"")</f>
        <v/>
      </c>
      <c r="M3517" s="47" t="str">
        <f>IFERROR(VLOOKUP(G3517,WholesaleExtract!B:M,12,FALSE),"")</f>
        <v/>
      </c>
      <c r="R3517" s="19"/>
      <c r="S3517" s="19"/>
    </row>
    <row r="3518" spans="1:19" x14ac:dyDescent="0.35">
      <c r="A3518" s="26" t="s">
        <v>543</v>
      </c>
      <c r="B3518" s="26" t="s">
        <v>543</v>
      </c>
      <c r="C3518" s="26"/>
      <c r="D3518" s="26" t="s">
        <v>543</v>
      </c>
      <c r="E3518" s="26" t="str">
        <f>IFERROR(VLOOKUP(G3518,WholesaleExtract!B:J,9,FALSE),"")</f>
        <v/>
      </c>
      <c r="F3518" s="26" t="str">
        <f>IFERROR(VLOOKUP(G3518,WholesaleExtract!B:J,6,FALSE),"")</f>
        <v/>
      </c>
      <c r="H3518" s="47" t="str">
        <f>IFERROR(VLOOKUP(G3518,WholesaleExtract!B:L,11,FALSE),"")</f>
        <v/>
      </c>
      <c r="I3518" s="26" t="str">
        <f>IFERROR(VLOOKUP(G3518,WholesaleExtract!B:O,8,FALSE),"")</f>
        <v/>
      </c>
      <c r="J3518" s="26" t="str">
        <f>IFERROR(VLOOKUP(G3518,WholesaleExtract!B:O,14,FALSE),"")</f>
        <v/>
      </c>
      <c r="K3518" s="26" t="str">
        <f>IFERROR(VLOOKUP(G3518,WholesaleExtract!B:K,10,FALSE),"")</f>
        <v/>
      </c>
      <c r="L3518" s="47" t="str">
        <f>IFERROR(VLOOKUP(G3518,WholesaleExtract!B:L,11,FALSE),"")</f>
        <v/>
      </c>
      <c r="M3518" s="47" t="str">
        <f>IFERROR(VLOOKUP(G3518,WholesaleExtract!B:M,12,FALSE),"")</f>
        <v/>
      </c>
      <c r="R3518" s="19"/>
      <c r="S3518" s="19"/>
    </row>
    <row r="3519" spans="1:19" x14ac:dyDescent="0.35">
      <c r="A3519" s="26" t="s">
        <v>543</v>
      </c>
      <c r="B3519" s="26" t="s">
        <v>543</v>
      </c>
      <c r="C3519" s="26"/>
      <c r="D3519" s="26" t="s">
        <v>543</v>
      </c>
      <c r="E3519" s="26" t="str">
        <f>IFERROR(VLOOKUP(G3519,WholesaleExtract!B:J,9,FALSE),"")</f>
        <v/>
      </c>
      <c r="F3519" s="26" t="str">
        <f>IFERROR(VLOOKUP(G3519,WholesaleExtract!B:J,6,FALSE),"")</f>
        <v/>
      </c>
      <c r="H3519" s="47" t="str">
        <f>IFERROR(VLOOKUP(G3519,WholesaleExtract!B:L,11,FALSE),"")</f>
        <v/>
      </c>
      <c r="I3519" s="26" t="str">
        <f>IFERROR(VLOOKUP(G3519,WholesaleExtract!B:O,8,FALSE),"")</f>
        <v/>
      </c>
      <c r="J3519" s="26" t="str">
        <f>IFERROR(VLOOKUP(G3519,WholesaleExtract!B:O,14,FALSE),"")</f>
        <v/>
      </c>
      <c r="K3519" s="26" t="str">
        <f>IFERROR(VLOOKUP(G3519,WholesaleExtract!B:K,10,FALSE),"")</f>
        <v/>
      </c>
      <c r="L3519" s="47" t="str">
        <f>IFERROR(VLOOKUP(G3519,WholesaleExtract!B:L,11,FALSE),"")</f>
        <v/>
      </c>
      <c r="M3519" s="47" t="str">
        <f>IFERROR(VLOOKUP(G3519,WholesaleExtract!B:M,12,FALSE),"")</f>
        <v/>
      </c>
      <c r="R3519" s="19"/>
      <c r="S3519" s="19"/>
    </row>
    <row r="3520" spans="1:19" x14ac:dyDescent="0.35">
      <c r="A3520" s="26" t="s">
        <v>543</v>
      </c>
      <c r="B3520" s="26" t="s">
        <v>543</v>
      </c>
      <c r="C3520" s="26"/>
      <c r="D3520" s="26" t="s">
        <v>543</v>
      </c>
      <c r="E3520" s="26" t="str">
        <f>IFERROR(VLOOKUP(G3520,WholesaleExtract!B:J,9,FALSE),"")</f>
        <v/>
      </c>
      <c r="F3520" s="26" t="str">
        <f>IFERROR(VLOOKUP(G3520,WholesaleExtract!B:J,6,FALSE),"")</f>
        <v/>
      </c>
      <c r="H3520" s="47" t="str">
        <f>IFERROR(VLOOKUP(G3520,WholesaleExtract!B:L,11,FALSE),"")</f>
        <v/>
      </c>
      <c r="I3520" s="26" t="str">
        <f>IFERROR(VLOOKUP(G3520,WholesaleExtract!B:O,8,FALSE),"")</f>
        <v/>
      </c>
      <c r="J3520" s="26" t="str">
        <f>IFERROR(VLOOKUP(G3520,WholesaleExtract!B:O,14,FALSE),"")</f>
        <v/>
      </c>
      <c r="K3520" s="26" t="str">
        <f>IFERROR(VLOOKUP(G3520,WholesaleExtract!B:K,10,FALSE),"")</f>
        <v/>
      </c>
      <c r="L3520" s="47" t="str">
        <f>IFERROR(VLOOKUP(G3520,WholesaleExtract!B:L,11,FALSE),"")</f>
        <v/>
      </c>
      <c r="M3520" s="47" t="str">
        <f>IFERROR(VLOOKUP(G3520,WholesaleExtract!B:M,12,FALSE),"")</f>
        <v/>
      </c>
      <c r="R3520" s="19"/>
      <c r="S3520" s="19"/>
    </row>
    <row r="3521" spans="1:19" x14ac:dyDescent="0.35">
      <c r="A3521" s="26" t="s">
        <v>543</v>
      </c>
      <c r="B3521" s="26" t="s">
        <v>543</v>
      </c>
      <c r="C3521" s="26"/>
      <c r="D3521" s="26" t="s">
        <v>543</v>
      </c>
      <c r="E3521" s="26" t="str">
        <f>IFERROR(VLOOKUP(G3521,WholesaleExtract!B:J,9,FALSE),"")</f>
        <v/>
      </c>
      <c r="F3521" s="26" t="str">
        <f>IFERROR(VLOOKUP(G3521,WholesaleExtract!B:J,6,FALSE),"")</f>
        <v/>
      </c>
      <c r="H3521" s="47" t="str">
        <f>IFERROR(VLOOKUP(G3521,WholesaleExtract!B:L,11,FALSE),"")</f>
        <v/>
      </c>
      <c r="I3521" s="26" t="str">
        <f>IFERROR(VLOOKUP(G3521,WholesaleExtract!B:O,8,FALSE),"")</f>
        <v/>
      </c>
      <c r="J3521" s="26" t="str">
        <f>IFERROR(VLOOKUP(G3521,WholesaleExtract!B:O,14,FALSE),"")</f>
        <v/>
      </c>
      <c r="K3521" s="26" t="str">
        <f>IFERROR(VLOOKUP(G3521,WholesaleExtract!B:K,10,FALSE),"")</f>
        <v/>
      </c>
      <c r="L3521" s="47" t="str">
        <f>IFERROR(VLOOKUP(G3521,WholesaleExtract!B:L,11,FALSE),"")</f>
        <v/>
      </c>
      <c r="M3521" s="47" t="str">
        <f>IFERROR(VLOOKUP(G3521,WholesaleExtract!B:M,12,FALSE),"")</f>
        <v/>
      </c>
      <c r="R3521" s="19"/>
      <c r="S3521" s="19"/>
    </row>
    <row r="3522" spans="1:19" x14ac:dyDescent="0.35">
      <c r="A3522" s="26" t="s">
        <v>543</v>
      </c>
      <c r="B3522" s="26" t="s">
        <v>543</v>
      </c>
      <c r="C3522" s="26"/>
      <c r="D3522" s="26" t="s">
        <v>543</v>
      </c>
      <c r="E3522" s="26" t="str">
        <f>IFERROR(VLOOKUP(G3522,WholesaleExtract!B:J,9,FALSE),"")</f>
        <v/>
      </c>
      <c r="F3522" s="26" t="str">
        <f>IFERROR(VLOOKUP(G3522,WholesaleExtract!B:J,6,FALSE),"")</f>
        <v/>
      </c>
      <c r="H3522" s="47" t="str">
        <f>IFERROR(VLOOKUP(G3522,WholesaleExtract!B:L,11,FALSE),"")</f>
        <v/>
      </c>
      <c r="I3522" s="26" t="str">
        <f>IFERROR(VLOOKUP(G3522,WholesaleExtract!B:O,8,FALSE),"")</f>
        <v/>
      </c>
      <c r="J3522" s="26" t="str">
        <f>IFERROR(VLOOKUP(G3522,WholesaleExtract!B:O,14,FALSE),"")</f>
        <v/>
      </c>
      <c r="K3522" s="26" t="str">
        <f>IFERROR(VLOOKUP(G3522,WholesaleExtract!B:K,10,FALSE),"")</f>
        <v/>
      </c>
      <c r="L3522" s="47" t="str">
        <f>IFERROR(VLOOKUP(G3522,WholesaleExtract!B:L,11,FALSE),"")</f>
        <v/>
      </c>
      <c r="M3522" s="47" t="str">
        <f>IFERROR(VLOOKUP(G3522,WholesaleExtract!B:M,12,FALSE),"")</f>
        <v/>
      </c>
      <c r="R3522" s="19"/>
      <c r="S3522" s="19"/>
    </row>
    <row r="3523" spans="1:19" x14ac:dyDescent="0.35">
      <c r="A3523" s="26" t="s">
        <v>543</v>
      </c>
      <c r="B3523" s="26" t="s">
        <v>543</v>
      </c>
      <c r="C3523" s="26"/>
      <c r="D3523" s="26" t="s">
        <v>543</v>
      </c>
      <c r="E3523" s="26" t="str">
        <f>IFERROR(VLOOKUP(G3523,WholesaleExtract!B:J,9,FALSE),"")</f>
        <v/>
      </c>
      <c r="F3523" s="26" t="str">
        <f>IFERROR(VLOOKUP(G3523,WholesaleExtract!B:J,6,FALSE),"")</f>
        <v/>
      </c>
      <c r="H3523" s="47" t="str">
        <f>IFERROR(VLOOKUP(G3523,WholesaleExtract!B:L,11,FALSE),"")</f>
        <v/>
      </c>
      <c r="I3523" s="26" t="str">
        <f>IFERROR(VLOOKUP(G3523,WholesaleExtract!B:O,8,FALSE),"")</f>
        <v/>
      </c>
      <c r="J3523" s="26" t="str">
        <f>IFERROR(VLOOKUP(G3523,WholesaleExtract!B:O,14,FALSE),"")</f>
        <v/>
      </c>
      <c r="K3523" s="26" t="str">
        <f>IFERROR(VLOOKUP(G3523,WholesaleExtract!B:K,10,FALSE),"")</f>
        <v/>
      </c>
      <c r="L3523" s="47" t="str">
        <f>IFERROR(VLOOKUP(G3523,WholesaleExtract!B:L,11,FALSE),"")</f>
        <v/>
      </c>
      <c r="M3523" s="47" t="str">
        <f>IFERROR(VLOOKUP(G3523,WholesaleExtract!B:M,12,FALSE),"")</f>
        <v/>
      </c>
      <c r="R3523" s="19"/>
      <c r="S3523" s="19"/>
    </row>
    <row r="3524" spans="1:19" x14ac:dyDescent="0.35">
      <c r="A3524" s="26" t="s">
        <v>543</v>
      </c>
      <c r="B3524" s="26" t="s">
        <v>543</v>
      </c>
      <c r="C3524" s="26"/>
      <c r="D3524" s="26" t="s">
        <v>543</v>
      </c>
      <c r="E3524" s="26" t="str">
        <f>IFERROR(VLOOKUP(G3524,WholesaleExtract!B:J,9,FALSE),"")</f>
        <v/>
      </c>
      <c r="F3524" s="26" t="str">
        <f>IFERROR(VLOOKUP(G3524,WholesaleExtract!B:J,6,FALSE),"")</f>
        <v/>
      </c>
      <c r="H3524" s="47" t="str">
        <f>IFERROR(VLOOKUP(G3524,WholesaleExtract!B:L,11,FALSE),"")</f>
        <v/>
      </c>
      <c r="I3524" s="26" t="str">
        <f>IFERROR(VLOOKUP(G3524,WholesaleExtract!B:O,8,FALSE),"")</f>
        <v/>
      </c>
      <c r="J3524" s="26" t="str">
        <f>IFERROR(VLOOKUP(G3524,WholesaleExtract!B:O,14,FALSE),"")</f>
        <v/>
      </c>
      <c r="K3524" s="26" t="str">
        <f>IFERROR(VLOOKUP(G3524,WholesaleExtract!B:K,10,FALSE),"")</f>
        <v/>
      </c>
      <c r="L3524" s="47" t="str">
        <f>IFERROR(VLOOKUP(G3524,WholesaleExtract!B:L,11,FALSE),"")</f>
        <v/>
      </c>
      <c r="M3524" s="47" t="str">
        <f>IFERROR(VLOOKUP(G3524,WholesaleExtract!B:M,12,FALSE),"")</f>
        <v/>
      </c>
      <c r="R3524" s="19"/>
      <c r="S3524" s="19"/>
    </row>
    <row r="3525" spans="1:19" x14ac:dyDescent="0.35">
      <c r="A3525" s="26" t="s">
        <v>543</v>
      </c>
      <c r="B3525" s="26" t="s">
        <v>543</v>
      </c>
      <c r="C3525" s="26"/>
      <c r="D3525" s="26" t="s">
        <v>543</v>
      </c>
      <c r="E3525" s="26" t="str">
        <f>IFERROR(VLOOKUP(G3525,WholesaleExtract!B:J,9,FALSE),"")</f>
        <v/>
      </c>
      <c r="F3525" s="26" t="str">
        <f>IFERROR(VLOOKUP(G3525,WholesaleExtract!B:J,6,FALSE),"")</f>
        <v/>
      </c>
      <c r="H3525" s="47" t="str">
        <f>IFERROR(VLOOKUP(G3525,WholesaleExtract!B:L,11,FALSE),"")</f>
        <v/>
      </c>
      <c r="I3525" s="26" t="str">
        <f>IFERROR(VLOOKUP(G3525,WholesaleExtract!B:O,8,FALSE),"")</f>
        <v/>
      </c>
      <c r="J3525" s="26" t="str">
        <f>IFERROR(VLOOKUP(G3525,WholesaleExtract!B:O,14,FALSE),"")</f>
        <v/>
      </c>
      <c r="K3525" s="26" t="str">
        <f>IFERROR(VLOOKUP(G3525,WholesaleExtract!B:K,10,FALSE),"")</f>
        <v/>
      </c>
      <c r="L3525" s="47" t="str">
        <f>IFERROR(VLOOKUP(G3525,WholesaleExtract!B:L,11,FALSE),"")</f>
        <v/>
      </c>
      <c r="M3525" s="47" t="str">
        <f>IFERROR(VLOOKUP(G3525,WholesaleExtract!B:M,12,FALSE),"")</f>
        <v/>
      </c>
      <c r="R3525" s="19"/>
      <c r="S3525" s="19"/>
    </row>
    <row r="3526" spans="1:19" x14ac:dyDescent="0.35">
      <c r="A3526" s="26" t="s">
        <v>543</v>
      </c>
      <c r="B3526" s="26" t="s">
        <v>543</v>
      </c>
      <c r="C3526" s="26"/>
      <c r="D3526" s="26" t="s">
        <v>543</v>
      </c>
      <c r="E3526" s="26" t="str">
        <f>IFERROR(VLOOKUP(G3526,WholesaleExtract!B:J,9,FALSE),"")</f>
        <v/>
      </c>
      <c r="F3526" s="26" t="str">
        <f>IFERROR(VLOOKUP(G3526,WholesaleExtract!B:J,6,FALSE),"")</f>
        <v/>
      </c>
      <c r="H3526" s="47" t="str">
        <f>IFERROR(VLOOKUP(G3526,WholesaleExtract!B:L,11,FALSE),"")</f>
        <v/>
      </c>
      <c r="I3526" s="26" t="str">
        <f>IFERROR(VLOOKUP(G3526,WholesaleExtract!B:O,8,FALSE),"")</f>
        <v/>
      </c>
      <c r="J3526" s="26" t="str">
        <f>IFERROR(VLOOKUP(G3526,WholesaleExtract!B:O,14,FALSE),"")</f>
        <v/>
      </c>
      <c r="K3526" s="26" t="str">
        <f>IFERROR(VLOOKUP(G3526,WholesaleExtract!B:K,10,FALSE),"")</f>
        <v/>
      </c>
      <c r="L3526" s="47" t="str">
        <f>IFERROR(VLOOKUP(G3526,WholesaleExtract!B:L,11,FALSE),"")</f>
        <v/>
      </c>
      <c r="M3526" s="47" t="str">
        <f>IFERROR(VLOOKUP(G3526,WholesaleExtract!B:M,12,FALSE),"")</f>
        <v/>
      </c>
      <c r="R3526" s="19"/>
      <c r="S3526" s="19"/>
    </row>
    <row r="3527" spans="1:19" x14ac:dyDescent="0.35">
      <c r="A3527" s="26" t="s">
        <v>543</v>
      </c>
      <c r="B3527" s="26" t="s">
        <v>543</v>
      </c>
      <c r="C3527" s="26"/>
      <c r="D3527" s="26" t="s">
        <v>543</v>
      </c>
      <c r="E3527" s="26" t="str">
        <f>IFERROR(VLOOKUP(G3527,WholesaleExtract!B:J,9,FALSE),"")</f>
        <v/>
      </c>
      <c r="F3527" s="26" t="str">
        <f>IFERROR(VLOOKUP(G3527,WholesaleExtract!B:J,6,FALSE),"")</f>
        <v/>
      </c>
      <c r="H3527" s="47" t="str">
        <f>IFERROR(VLOOKUP(G3527,WholesaleExtract!B:L,11,FALSE),"")</f>
        <v/>
      </c>
      <c r="I3527" s="26" t="str">
        <f>IFERROR(VLOOKUP(G3527,WholesaleExtract!B:O,8,FALSE),"")</f>
        <v/>
      </c>
      <c r="J3527" s="26" t="str">
        <f>IFERROR(VLOOKUP(G3527,WholesaleExtract!B:O,14,FALSE),"")</f>
        <v/>
      </c>
      <c r="K3527" s="26" t="str">
        <f>IFERROR(VLOOKUP(G3527,WholesaleExtract!B:K,10,FALSE),"")</f>
        <v/>
      </c>
      <c r="L3527" s="47" t="str">
        <f>IFERROR(VLOOKUP(G3527,WholesaleExtract!B:L,11,FALSE),"")</f>
        <v/>
      </c>
      <c r="M3527" s="47" t="str">
        <f>IFERROR(VLOOKUP(G3527,WholesaleExtract!B:M,12,FALSE),"")</f>
        <v/>
      </c>
      <c r="R3527" s="19"/>
      <c r="S3527" s="19"/>
    </row>
    <row r="3528" spans="1:19" x14ac:dyDescent="0.35">
      <c r="A3528" s="26" t="s">
        <v>543</v>
      </c>
      <c r="B3528" s="26" t="s">
        <v>543</v>
      </c>
      <c r="C3528" s="26"/>
      <c r="D3528" s="26" t="s">
        <v>543</v>
      </c>
      <c r="E3528" s="26" t="str">
        <f>IFERROR(VLOOKUP(G3528,WholesaleExtract!B:J,9,FALSE),"")</f>
        <v/>
      </c>
      <c r="F3528" s="26" t="str">
        <f>IFERROR(VLOOKUP(G3528,WholesaleExtract!B:J,6,FALSE),"")</f>
        <v/>
      </c>
      <c r="H3528" s="47" t="str">
        <f>IFERROR(VLOOKUP(G3528,WholesaleExtract!B:L,11,FALSE),"")</f>
        <v/>
      </c>
      <c r="I3528" s="26" t="str">
        <f>IFERROR(VLOOKUP(G3528,WholesaleExtract!B:O,8,FALSE),"")</f>
        <v/>
      </c>
      <c r="J3528" s="26" t="str">
        <f>IFERROR(VLOOKUP(G3528,WholesaleExtract!B:O,14,FALSE),"")</f>
        <v/>
      </c>
      <c r="K3528" s="26" t="str">
        <f>IFERROR(VLOOKUP(G3528,WholesaleExtract!B:K,10,FALSE),"")</f>
        <v/>
      </c>
      <c r="L3528" s="47" t="str">
        <f>IFERROR(VLOOKUP(G3528,WholesaleExtract!B:L,11,FALSE),"")</f>
        <v/>
      </c>
      <c r="M3528" s="47" t="str">
        <f>IFERROR(VLOOKUP(G3528,WholesaleExtract!B:M,12,FALSE),"")</f>
        <v/>
      </c>
      <c r="R3528" s="19"/>
      <c r="S3528" s="19"/>
    </row>
    <row r="3529" spans="1:19" x14ac:dyDescent="0.35">
      <c r="A3529" s="26" t="s">
        <v>543</v>
      </c>
      <c r="B3529" s="26" t="s">
        <v>543</v>
      </c>
      <c r="C3529" s="26"/>
      <c r="D3529" s="26" t="s">
        <v>543</v>
      </c>
      <c r="E3529" s="26" t="str">
        <f>IFERROR(VLOOKUP(G3529,WholesaleExtract!B:J,9,FALSE),"")</f>
        <v/>
      </c>
      <c r="F3529" s="26" t="str">
        <f>IFERROR(VLOOKUP(G3529,WholesaleExtract!B:J,6,FALSE),"")</f>
        <v/>
      </c>
      <c r="H3529" s="47" t="str">
        <f>IFERROR(VLOOKUP(G3529,WholesaleExtract!B:L,11,FALSE),"")</f>
        <v/>
      </c>
      <c r="I3529" s="26" t="str">
        <f>IFERROR(VLOOKUP(G3529,WholesaleExtract!B:O,8,FALSE),"")</f>
        <v/>
      </c>
      <c r="J3529" s="26" t="str">
        <f>IFERROR(VLOOKUP(G3529,WholesaleExtract!B:O,14,FALSE),"")</f>
        <v/>
      </c>
      <c r="K3529" s="26" t="str">
        <f>IFERROR(VLOOKUP(G3529,WholesaleExtract!B:K,10,FALSE),"")</f>
        <v/>
      </c>
      <c r="L3529" s="47" t="str">
        <f>IFERROR(VLOOKUP(G3529,WholesaleExtract!B:L,11,FALSE),"")</f>
        <v/>
      </c>
      <c r="M3529" s="47" t="str">
        <f>IFERROR(VLOOKUP(G3529,WholesaleExtract!B:M,12,FALSE),"")</f>
        <v/>
      </c>
      <c r="R3529" s="19"/>
      <c r="S3529" s="19"/>
    </row>
    <row r="3530" spans="1:19" x14ac:dyDescent="0.35">
      <c r="A3530" s="26" t="s">
        <v>543</v>
      </c>
      <c r="B3530" s="26" t="s">
        <v>543</v>
      </c>
      <c r="C3530" s="26"/>
      <c r="D3530" s="26" t="s">
        <v>543</v>
      </c>
      <c r="E3530" s="26" t="str">
        <f>IFERROR(VLOOKUP(G3530,WholesaleExtract!B:J,9,FALSE),"")</f>
        <v/>
      </c>
      <c r="F3530" s="26" t="str">
        <f>IFERROR(VLOOKUP(G3530,WholesaleExtract!B:J,6,FALSE),"")</f>
        <v/>
      </c>
      <c r="H3530" s="47" t="str">
        <f>IFERROR(VLOOKUP(G3530,WholesaleExtract!B:L,11,FALSE),"")</f>
        <v/>
      </c>
      <c r="I3530" s="26" t="str">
        <f>IFERROR(VLOOKUP(G3530,WholesaleExtract!B:O,8,FALSE),"")</f>
        <v/>
      </c>
      <c r="J3530" s="26" t="str">
        <f>IFERROR(VLOOKUP(G3530,WholesaleExtract!B:O,14,FALSE),"")</f>
        <v/>
      </c>
      <c r="K3530" s="26" t="str">
        <f>IFERROR(VLOOKUP(G3530,WholesaleExtract!B:K,10,FALSE),"")</f>
        <v/>
      </c>
      <c r="L3530" s="47" t="str">
        <f>IFERROR(VLOOKUP(G3530,WholesaleExtract!B:L,11,FALSE),"")</f>
        <v/>
      </c>
      <c r="M3530" s="47" t="str">
        <f>IFERROR(VLOOKUP(G3530,WholesaleExtract!B:M,12,FALSE),"")</f>
        <v/>
      </c>
      <c r="R3530" s="19"/>
      <c r="S3530" s="19"/>
    </row>
    <row r="3531" spans="1:19" x14ac:dyDescent="0.35">
      <c r="A3531" s="26" t="s">
        <v>543</v>
      </c>
      <c r="B3531" s="26" t="s">
        <v>543</v>
      </c>
      <c r="C3531" s="26"/>
      <c r="D3531" s="26" t="s">
        <v>543</v>
      </c>
      <c r="E3531" s="26" t="str">
        <f>IFERROR(VLOOKUP(G3531,WholesaleExtract!B:J,9,FALSE),"")</f>
        <v/>
      </c>
      <c r="F3531" s="26" t="str">
        <f>IFERROR(VLOOKUP(G3531,WholesaleExtract!B:J,6,FALSE),"")</f>
        <v/>
      </c>
      <c r="H3531" s="47" t="str">
        <f>IFERROR(VLOOKUP(G3531,WholesaleExtract!B:L,11,FALSE),"")</f>
        <v/>
      </c>
      <c r="I3531" s="26" t="str">
        <f>IFERROR(VLOOKUP(G3531,WholesaleExtract!B:O,8,FALSE),"")</f>
        <v/>
      </c>
      <c r="J3531" s="26" t="str">
        <f>IFERROR(VLOOKUP(G3531,WholesaleExtract!B:O,14,FALSE),"")</f>
        <v/>
      </c>
      <c r="K3531" s="26" t="str">
        <f>IFERROR(VLOOKUP(G3531,WholesaleExtract!B:K,10,FALSE),"")</f>
        <v/>
      </c>
      <c r="L3531" s="47" t="str">
        <f>IFERROR(VLOOKUP(G3531,WholesaleExtract!B:L,11,FALSE),"")</f>
        <v/>
      </c>
      <c r="M3531" s="47" t="str">
        <f>IFERROR(VLOOKUP(G3531,WholesaleExtract!B:M,12,FALSE),"")</f>
        <v/>
      </c>
      <c r="R3531" s="19"/>
      <c r="S3531" s="19"/>
    </row>
    <row r="3532" spans="1:19" x14ac:dyDescent="0.35">
      <c r="A3532" s="26" t="s">
        <v>543</v>
      </c>
      <c r="B3532" s="26" t="s">
        <v>543</v>
      </c>
      <c r="C3532" s="26"/>
      <c r="D3532" s="26" t="s">
        <v>543</v>
      </c>
      <c r="E3532" s="26" t="str">
        <f>IFERROR(VLOOKUP(G3532,WholesaleExtract!B:J,9,FALSE),"")</f>
        <v/>
      </c>
      <c r="F3532" s="26" t="str">
        <f>IFERROR(VLOOKUP(G3532,WholesaleExtract!B:J,6,FALSE),"")</f>
        <v/>
      </c>
      <c r="H3532" s="47" t="str">
        <f>IFERROR(VLOOKUP(G3532,WholesaleExtract!B:L,11,FALSE),"")</f>
        <v/>
      </c>
      <c r="I3532" s="26" t="str">
        <f>IFERROR(VLOOKUP(G3532,WholesaleExtract!B:O,8,FALSE),"")</f>
        <v/>
      </c>
      <c r="J3532" s="26" t="str">
        <f>IFERROR(VLOOKUP(G3532,WholesaleExtract!B:O,14,FALSE),"")</f>
        <v/>
      </c>
      <c r="K3532" s="26" t="str">
        <f>IFERROR(VLOOKUP(G3532,WholesaleExtract!B:K,10,FALSE),"")</f>
        <v/>
      </c>
      <c r="L3532" s="47" t="str">
        <f>IFERROR(VLOOKUP(G3532,WholesaleExtract!B:L,11,FALSE),"")</f>
        <v/>
      </c>
      <c r="M3532" s="47" t="str">
        <f>IFERROR(VLOOKUP(G3532,WholesaleExtract!B:M,12,FALSE),"")</f>
        <v/>
      </c>
      <c r="R3532" s="19"/>
      <c r="S3532" s="19"/>
    </row>
    <row r="3533" spans="1:19" x14ac:dyDescent="0.35">
      <c r="A3533" s="26" t="s">
        <v>543</v>
      </c>
      <c r="B3533" s="26" t="s">
        <v>543</v>
      </c>
      <c r="C3533" s="26"/>
      <c r="D3533" s="26" t="s">
        <v>543</v>
      </c>
      <c r="E3533" s="26" t="str">
        <f>IFERROR(VLOOKUP(G3533,WholesaleExtract!B:J,9,FALSE),"")</f>
        <v/>
      </c>
      <c r="F3533" s="26" t="str">
        <f>IFERROR(VLOOKUP(G3533,WholesaleExtract!B:J,6,FALSE),"")</f>
        <v/>
      </c>
      <c r="H3533" s="47" t="str">
        <f>IFERROR(VLOOKUP(G3533,WholesaleExtract!B:L,11,FALSE),"")</f>
        <v/>
      </c>
      <c r="I3533" s="26" t="str">
        <f>IFERROR(VLOOKUP(G3533,WholesaleExtract!B:O,8,FALSE),"")</f>
        <v/>
      </c>
      <c r="J3533" s="26" t="str">
        <f>IFERROR(VLOOKUP(G3533,WholesaleExtract!B:O,14,FALSE),"")</f>
        <v/>
      </c>
      <c r="K3533" s="26" t="str">
        <f>IFERROR(VLOOKUP(G3533,WholesaleExtract!B:K,10,FALSE),"")</f>
        <v/>
      </c>
      <c r="L3533" s="47" t="str">
        <f>IFERROR(VLOOKUP(G3533,WholesaleExtract!B:L,11,FALSE),"")</f>
        <v/>
      </c>
      <c r="M3533" s="47" t="str">
        <f>IFERROR(VLOOKUP(G3533,WholesaleExtract!B:M,12,FALSE),"")</f>
        <v/>
      </c>
      <c r="R3533" s="19"/>
      <c r="S3533" s="19"/>
    </row>
    <row r="3534" spans="1:19" x14ac:dyDescent="0.35">
      <c r="A3534" s="26" t="s">
        <v>543</v>
      </c>
      <c r="B3534" s="26" t="s">
        <v>543</v>
      </c>
      <c r="C3534" s="26"/>
      <c r="D3534" s="26" t="s">
        <v>543</v>
      </c>
      <c r="E3534" s="26" t="str">
        <f>IFERROR(VLOOKUP(G3534,WholesaleExtract!B:J,9,FALSE),"")</f>
        <v/>
      </c>
      <c r="F3534" s="26" t="str">
        <f>IFERROR(VLOOKUP(G3534,WholesaleExtract!B:J,6,FALSE),"")</f>
        <v/>
      </c>
      <c r="H3534" s="47" t="str">
        <f>IFERROR(VLOOKUP(G3534,WholesaleExtract!B:L,11,FALSE),"")</f>
        <v/>
      </c>
      <c r="I3534" s="26" t="str">
        <f>IFERROR(VLOOKUP(G3534,WholesaleExtract!B:O,8,FALSE),"")</f>
        <v/>
      </c>
      <c r="J3534" s="26" t="str">
        <f>IFERROR(VLOOKUP(G3534,WholesaleExtract!B:O,14,FALSE),"")</f>
        <v/>
      </c>
      <c r="K3534" s="26" t="str">
        <f>IFERROR(VLOOKUP(G3534,WholesaleExtract!B:K,10,FALSE),"")</f>
        <v/>
      </c>
      <c r="L3534" s="47" t="str">
        <f>IFERROR(VLOOKUP(G3534,WholesaleExtract!B:L,11,FALSE),"")</f>
        <v/>
      </c>
      <c r="M3534" s="47" t="str">
        <f>IFERROR(VLOOKUP(G3534,WholesaleExtract!B:M,12,FALSE),"")</f>
        <v/>
      </c>
      <c r="R3534" s="19"/>
      <c r="S3534" s="19"/>
    </row>
    <row r="3535" spans="1:19" x14ac:dyDescent="0.35">
      <c r="A3535" s="26" t="s">
        <v>543</v>
      </c>
      <c r="B3535" s="26" t="s">
        <v>543</v>
      </c>
      <c r="C3535" s="26"/>
      <c r="D3535" s="26" t="s">
        <v>543</v>
      </c>
      <c r="E3535" s="26" t="str">
        <f>IFERROR(VLOOKUP(G3535,WholesaleExtract!B:J,9,FALSE),"")</f>
        <v/>
      </c>
      <c r="F3535" s="26" t="str">
        <f>IFERROR(VLOOKUP(G3535,WholesaleExtract!B:J,6,FALSE),"")</f>
        <v/>
      </c>
      <c r="H3535" s="47" t="str">
        <f>IFERROR(VLOOKUP(G3535,WholesaleExtract!B:L,11,FALSE),"")</f>
        <v/>
      </c>
      <c r="I3535" s="26" t="str">
        <f>IFERROR(VLOOKUP(G3535,WholesaleExtract!B:O,8,FALSE),"")</f>
        <v/>
      </c>
      <c r="J3535" s="26" t="str">
        <f>IFERROR(VLOOKUP(G3535,WholesaleExtract!B:O,14,FALSE),"")</f>
        <v/>
      </c>
      <c r="K3535" s="26" t="str">
        <f>IFERROR(VLOOKUP(G3535,WholesaleExtract!B:K,10,FALSE),"")</f>
        <v/>
      </c>
      <c r="L3535" s="47" t="str">
        <f>IFERROR(VLOOKUP(G3535,WholesaleExtract!B:L,11,FALSE),"")</f>
        <v/>
      </c>
      <c r="M3535" s="47" t="str">
        <f>IFERROR(VLOOKUP(G3535,WholesaleExtract!B:M,12,FALSE),"")</f>
        <v/>
      </c>
      <c r="R3535" s="19"/>
      <c r="S3535" s="19"/>
    </row>
    <row r="3536" spans="1:19" x14ac:dyDescent="0.35">
      <c r="A3536" s="26" t="s">
        <v>543</v>
      </c>
      <c r="B3536" s="26" t="s">
        <v>543</v>
      </c>
      <c r="C3536" s="26"/>
      <c r="D3536" s="26" t="s">
        <v>543</v>
      </c>
      <c r="E3536" s="26" t="str">
        <f>IFERROR(VLOOKUP(G3536,WholesaleExtract!B:J,9,FALSE),"")</f>
        <v/>
      </c>
      <c r="F3536" s="26" t="str">
        <f>IFERROR(VLOOKUP(G3536,WholesaleExtract!B:J,6,FALSE),"")</f>
        <v/>
      </c>
      <c r="H3536" s="47" t="str">
        <f>IFERROR(VLOOKUP(G3536,WholesaleExtract!B:L,11,FALSE),"")</f>
        <v/>
      </c>
      <c r="I3536" s="26" t="str">
        <f>IFERROR(VLOOKUP(G3536,WholesaleExtract!B:O,8,FALSE),"")</f>
        <v/>
      </c>
      <c r="J3536" s="26" t="str">
        <f>IFERROR(VLOOKUP(G3536,WholesaleExtract!B:O,14,FALSE),"")</f>
        <v/>
      </c>
      <c r="K3536" s="26" t="str">
        <f>IFERROR(VLOOKUP(G3536,WholesaleExtract!B:K,10,FALSE),"")</f>
        <v/>
      </c>
      <c r="L3536" s="47" t="str">
        <f>IFERROR(VLOOKUP(G3536,WholesaleExtract!B:L,11,FALSE),"")</f>
        <v/>
      </c>
      <c r="M3536" s="47" t="str">
        <f>IFERROR(VLOOKUP(G3536,WholesaleExtract!B:M,12,FALSE),"")</f>
        <v/>
      </c>
      <c r="R3536" s="19"/>
      <c r="S3536" s="19"/>
    </row>
    <row r="3537" spans="1:19" x14ac:dyDescent="0.35">
      <c r="A3537" s="26" t="s">
        <v>543</v>
      </c>
      <c r="B3537" s="26" t="s">
        <v>543</v>
      </c>
      <c r="C3537" s="26"/>
      <c r="D3537" s="26" t="s">
        <v>543</v>
      </c>
      <c r="E3537" s="26" t="str">
        <f>IFERROR(VLOOKUP(G3537,WholesaleExtract!B:J,9,FALSE),"")</f>
        <v/>
      </c>
      <c r="F3537" s="26" t="str">
        <f>IFERROR(VLOOKUP(G3537,WholesaleExtract!B:J,6,FALSE),"")</f>
        <v/>
      </c>
      <c r="H3537" s="47" t="str">
        <f>IFERROR(VLOOKUP(G3537,WholesaleExtract!B:L,11,FALSE),"")</f>
        <v/>
      </c>
      <c r="I3537" s="26" t="str">
        <f>IFERROR(VLOOKUP(G3537,WholesaleExtract!B:O,8,FALSE),"")</f>
        <v/>
      </c>
      <c r="J3537" s="26" t="str">
        <f>IFERROR(VLOOKUP(G3537,WholesaleExtract!B:O,14,FALSE),"")</f>
        <v/>
      </c>
      <c r="K3537" s="26" t="str">
        <f>IFERROR(VLOOKUP(G3537,WholesaleExtract!B:K,10,FALSE),"")</f>
        <v/>
      </c>
      <c r="L3537" s="47" t="str">
        <f>IFERROR(VLOOKUP(G3537,WholesaleExtract!B:L,11,FALSE),"")</f>
        <v/>
      </c>
      <c r="M3537" s="47" t="str">
        <f>IFERROR(VLOOKUP(G3537,WholesaleExtract!B:M,12,FALSE),"")</f>
        <v/>
      </c>
      <c r="R3537" s="19"/>
      <c r="S3537" s="19"/>
    </row>
    <row r="3538" spans="1:19" x14ac:dyDescent="0.35">
      <c r="A3538" s="26" t="s">
        <v>543</v>
      </c>
      <c r="B3538" s="26" t="s">
        <v>543</v>
      </c>
      <c r="C3538" s="26"/>
      <c r="D3538" s="26" t="s">
        <v>543</v>
      </c>
      <c r="E3538" s="26" t="str">
        <f>IFERROR(VLOOKUP(G3538,WholesaleExtract!B:J,9,FALSE),"")</f>
        <v/>
      </c>
      <c r="F3538" s="26" t="str">
        <f>IFERROR(VLOOKUP(G3538,WholesaleExtract!B:J,6,FALSE),"")</f>
        <v/>
      </c>
      <c r="H3538" s="47" t="str">
        <f>IFERROR(VLOOKUP(G3538,WholesaleExtract!B:L,11,FALSE),"")</f>
        <v/>
      </c>
      <c r="I3538" s="26" t="str">
        <f>IFERROR(VLOOKUP(G3538,WholesaleExtract!B:O,8,FALSE),"")</f>
        <v/>
      </c>
      <c r="J3538" s="26" t="str">
        <f>IFERROR(VLOOKUP(G3538,WholesaleExtract!B:O,14,FALSE),"")</f>
        <v/>
      </c>
      <c r="K3538" s="26" t="str">
        <f>IFERROR(VLOOKUP(G3538,WholesaleExtract!B:K,10,FALSE),"")</f>
        <v/>
      </c>
      <c r="L3538" s="47" t="str">
        <f>IFERROR(VLOOKUP(G3538,WholesaleExtract!B:L,11,FALSE),"")</f>
        <v/>
      </c>
      <c r="M3538" s="47" t="str">
        <f>IFERROR(VLOOKUP(G3538,WholesaleExtract!B:M,12,FALSE),"")</f>
        <v/>
      </c>
      <c r="R3538" s="19"/>
      <c r="S3538" s="19"/>
    </row>
    <row r="3539" spans="1:19" x14ac:dyDescent="0.35">
      <c r="A3539" s="26" t="s">
        <v>543</v>
      </c>
      <c r="B3539" s="26" t="s">
        <v>543</v>
      </c>
      <c r="C3539" s="26"/>
      <c r="D3539" s="26" t="s">
        <v>543</v>
      </c>
      <c r="E3539" s="26" t="str">
        <f>IFERROR(VLOOKUP(G3539,WholesaleExtract!B:J,9,FALSE),"")</f>
        <v/>
      </c>
      <c r="F3539" s="26" t="str">
        <f>IFERROR(VLOOKUP(G3539,WholesaleExtract!B:J,6,FALSE),"")</f>
        <v/>
      </c>
      <c r="H3539" s="47" t="str">
        <f>IFERROR(VLOOKUP(G3539,WholesaleExtract!B:L,11,FALSE),"")</f>
        <v/>
      </c>
      <c r="I3539" s="26" t="str">
        <f>IFERROR(VLOOKUP(G3539,WholesaleExtract!B:O,8,FALSE),"")</f>
        <v/>
      </c>
      <c r="J3539" s="26" t="str">
        <f>IFERROR(VLOOKUP(G3539,WholesaleExtract!B:O,14,FALSE),"")</f>
        <v/>
      </c>
      <c r="K3539" s="26" t="str">
        <f>IFERROR(VLOOKUP(G3539,WholesaleExtract!B:K,10,FALSE),"")</f>
        <v/>
      </c>
      <c r="L3539" s="47" t="str">
        <f>IFERROR(VLOOKUP(G3539,WholesaleExtract!B:L,11,FALSE),"")</f>
        <v/>
      </c>
      <c r="M3539" s="47" t="str">
        <f>IFERROR(VLOOKUP(G3539,WholesaleExtract!B:M,12,FALSE),"")</f>
        <v/>
      </c>
      <c r="R3539" s="19"/>
      <c r="S3539" s="19"/>
    </row>
    <row r="3540" spans="1:19" x14ac:dyDescent="0.35">
      <c r="A3540" s="26" t="s">
        <v>543</v>
      </c>
      <c r="B3540" s="26" t="s">
        <v>543</v>
      </c>
      <c r="C3540" s="26"/>
      <c r="D3540" s="26" t="s">
        <v>543</v>
      </c>
      <c r="E3540" s="26" t="str">
        <f>IFERROR(VLOOKUP(G3540,WholesaleExtract!B:J,9,FALSE),"")</f>
        <v/>
      </c>
      <c r="F3540" s="26" t="str">
        <f>IFERROR(VLOOKUP(G3540,WholesaleExtract!B:J,6,FALSE),"")</f>
        <v/>
      </c>
      <c r="H3540" s="47" t="str">
        <f>IFERROR(VLOOKUP(G3540,WholesaleExtract!B:L,11,FALSE),"")</f>
        <v/>
      </c>
      <c r="I3540" s="26" t="str">
        <f>IFERROR(VLOOKUP(G3540,WholesaleExtract!B:O,8,FALSE),"")</f>
        <v/>
      </c>
      <c r="J3540" s="26" t="str">
        <f>IFERROR(VLOOKUP(G3540,WholesaleExtract!B:O,14,FALSE),"")</f>
        <v/>
      </c>
      <c r="K3540" s="26" t="str">
        <f>IFERROR(VLOOKUP(G3540,WholesaleExtract!B:K,10,FALSE),"")</f>
        <v/>
      </c>
      <c r="L3540" s="47" t="str">
        <f>IFERROR(VLOOKUP(G3540,WholesaleExtract!B:L,11,FALSE),"")</f>
        <v/>
      </c>
      <c r="M3540" s="47" t="str">
        <f>IFERROR(VLOOKUP(G3540,WholesaleExtract!B:M,12,FALSE),"")</f>
        <v/>
      </c>
      <c r="R3540" s="19"/>
      <c r="S3540" s="19"/>
    </row>
    <row r="3541" spans="1:19" x14ac:dyDescent="0.35">
      <c r="A3541" s="26" t="s">
        <v>543</v>
      </c>
      <c r="B3541" s="26" t="s">
        <v>543</v>
      </c>
      <c r="C3541" s="26"/>
      <c r="D3541" s="26" t="s">
        <v>543</v>
      </c>
      <c r="E3541" s="26" t="str">
        <f>IFERROR(VLOOKUP(G3541,WholesaleExtract!B:J,9,FALSE),"")</f>
        <v/>
      </c>
      <c r="F3541" s="26" t="str">
        <f>IFERROR(VLOOKUP(G3541,WholesaleExtract!B:J,6,FALSE),"")</f>
        <v/>
      </c>
      <c r="H3541" s="47" t="str">
        <f>IFERROR(VLOOKUP(G3541,WholesaleExtract!B:L,11,FALSE),"")</f>
        <v/>
      </c>
      <c r="I3541" s="26" t="str">
        <f>IFERROR(VLOOKUP(G3541,WholesaleExtract!B:O,8,FALSE),"")</f>
        <v/>
      </c>
      <c r="J3541" s="26" t="str">
        <f>IFERROR(VLOOKUP(G3541,WholesaleExtract!B:O,14,FALSE),"")</f>
        <v/>
      </c>
      <c r="K3541" s="26" t="str">
        <f>IFERROR(VLOOKUP(G3541,WholesaleExtract!B:K,10,FALSE),"")</f>
        <v/>
      </c>
      <c r="L3541" s="47" t="str">
        <f>IFERROR(VLOOKUP(G3541,WholesaleExtract!B:L,11,FALSE),"")</f>
        <v/>
      </c>
      <c r="M3541" s="47" t="str">
        <f>IFERROR(VLOOKUP(G3541,WholesaleExtract!B:M,12,FALSE),"")</f>
        <v/>
      </c>
      <c r="R3541" s="19"/>
      <c r="S3541" s="19"/>
    </row>
    <row r="3542" spans="1:19" x14ac:dyDescent="0.35">
      <c r="A3542" s="26" t="s">
        <v>543</v>
      </c>
      <c r="B3542" s="26" t="s">
        <v>543</v>
      </c>
      <c r="C3542" s="26"/>
      <c r="D3542" s="26" t="s">
        <v>543</v>
      </c>
      <c r="E3542" s="26" t="str">
        <f>IFERROR(VLOOKUP(G3542,WholesaleExtract!B:J,9,FALSE),"")</f>
        <v/>
      </c>
      <c r="F3542" s="26" t="str">
        <f>IFERROR(VLOOKUP(G3542,WholesaleExtract!B:J,6,FALSE),"")</f>
        <v/>
      </c>
      <c r="H3542" s="47" t="str">
        <f>IFERROR(VLOOKUP(G3542,WholesaleExtract!B:L,11,FALSE),"")</f>
        <v/>
      </c>
      <c r="I3542" s="26" t="str">
        <f>IFERROR(VLOOKUP(G3542,WholesaleExtract!B:O,8,FALSE),"")</f>
        <v/>
      </c>
      <c r="J3542" s="26" t="str">
        <f>IFERROR(VLOOKUP(G3542,WholesaleExtract!B:O,14,FALSE),"")</f>
        <v/>
      </c>
      <c r="K3542" s="26" t="str">
        <f>IFERROR(VLOOKUP(G3542,WholesaleExtract!B:K,10,FALSE),"")</f>
        <v/>
      </c>
      <c r="L3542" s="47" t="str">
        <f>IFERROR(VLOOKUP(G3542,WholesaleExtract!B:L,11,FALSE),"")</f>
        <v/>
      </c>
      <c r="M3542" s="47" t="str">
        <f>IFERROR(VLOOKUP(G3542,WholesaleExtract!B:M,12,FALSE),"")</f>
        <v/>
      </c>
      <c r="R3542" s="19"/>
      <c r="S3542" s="19"/>
    </row>
    <row r="3543" spans="1:19" x14ac:dyDescent="0.35">
      <c r="A3543" s="26" t="s">
        <v>543</v>
      </c>
      <c r="B3543" s="26" t="s">
        <v>543</v>
      </c>
      <c r="C3543" s="26"/>
      <c r="D3543" s="26" t="s">
        <v>543</v>
      </c>
      <c r="E3543" s="26" t="str">
        <f>IFERROR(VLOOKUP(G3543,WholesaleExtract!B:J,9,FALSE),"")</f>
        <v/>
      </c>
      <c r="F3543" s="26" t="str">
        <f>IFERROR(VLOOKUP(G3543,WholesaleExtract!B:J,6,FALSE),"")</f>
        <v/>
      </c>
      <c r="H3543" s="47" t="str">
        <f>IFERROR(VLOOKUP(G3543,WholesaleExtract!B:L,11,FALSE),"")</f>
        <v/>
      </c>
      <c r="I3543" s="26" t="str">
        <f>IFERROR(VLOOKUP(G3543,WholesaleExtract!B:O,8,FALSE),"")</f>
        <v/>
      </c>
      <c r="J3543" s="26" t="str">
        <f>IFERROR(VLOOKUP(G3543,WholesaleExtract!B:O,14,FALSE),"")</f>
        <v/>
      </c>
      <c r="K3543" s="26" t="str">
        <f>IFERROR(VLOOKUP(G3543,WholesaleExtract!B:K,10,FALSE),"")</f>
        <v/>
      </c>
      <c r="L3543" s="47" t="str">
        <f>IFERROR(VLOOKUP(G3543,WholesaleExtract!B:L,11,FALSE),"")</f>
        <v/>
      </c>
      <c r="M3543" s="47" t="str">
        <f>IFERROR(VLOOKUP(G3543,WholesaleExtract!B:M,12,FALSE),"")</f>
        <v/>
      </c>
      <c r="R3543" s="19"/>
      <c r="S3543" s="19"/>
    </row>
    <row r="3544" spans="1:19" x14ac:dyDescent="0.35">
      <c r="A3544" s="26" t="s">
        <v>543</v>
      </c>
      <c r="B3544" s="26" t="s">
        <v>543</v>
      </c>
      <c r="C3544" s="26"/>
      <c r="D3544" s="26" t="s">
        <v>543</v>
      </c>
      <c r="E3544" s="26" t="str">
        <f>IFERROR(VLOOKUP(G3544,WholesaleExtract!B:J,9,FALSE),"")</f>
        <v/>
      </c>
      <c r="F3544" s="26" t="str">
        <f>IFERROR(VLOOKUP(G3544,WholesaleExtract!B:J,6,FALSE),"")</f>
        <v/>
      </c>
      <c r="H3544" s="47" t="str">
        <f>IFERROR(VLOOKUP(G3544,WholesaleExtract!B:L,11,FALSE),"")</f>
        <v/>
      </c>
      <c r="I3544" s="26" t="str">
        <f>IFERROR(VLOOKUP(G3544,WholesaleExtract!B:O,8,FALSE),"")</f>
        <v/>
      </c>
      <c r="J3544" s="26" t="str">
        <f>IFERROR(VLOOKUP(G3544,WholesaleExtract!B:O,14,FALSE),"")</f>
        <v/>
      </c>
      <c r="K3544" s="26" t="str">
        <f>IFERROR(VLOOKUP(G3544,WholesaleExtract!B:K,10,FALSE),"")</f>
        <v/>
      </c>
      <c r="L3544" s="47" t="str">
        <f>IFERROR(VLOOKUP(G3544,WholesaleExtract!B:L,11,FALSE),"")</f>
        <v/>
      </c>
      <c r="M3544" s="47" t="str">
        <f>IFERROR(VLOOKUP(G3544,WholesaleExtract!B:M,12,FALSE),"")</f>
        <v/>
      </c>
      <c r="R3544" s="19"/>
      <c r="S3544" s="19"/>
    </row>
    <row r="3545" spans="1:19" x14ac:dyDescent="0.35">
      <c r="A3545" s="26" t="s">
        <v>543</v>
      </c>
      <c r="B3545" s="26" t="s">
        <v>543</v>
      </c>
      <c r="C3545" s="26"/>
      <c r="D3545" s="26" t="s">
        <v>543</v>
      </c>
      <c r="E3545" s="26" t="str">
        <f>IFERROR(VLOOKUP(G3545,WholesaleExtract!B:J,9,FALSE),"")</f>
        <v/>
      </c>
      <c r="F3545" s="26" t="str">
        <f>IFERROR(VLOOKUP(G3545,WholesaleExtract!B:J,6,FALSE),"")</f>
        <v/>
      </c>
      <c r="H3545" s="47" t="str">
        <f>IFERROR(VLOOKUP(G3545,WholesaleExtract!B:L,11,FALSE),"")</f>
        <v/>
      </c>
      <c r="I3545" s="26" t="str">
        <f>IFERROR(VLOOKUP(G3545,WholesaleExtract!B:O,8,FALSE),"")</f>
        <v/>
      </c>
      <c r="J3545" s="26" t="str">
        <f>IFERROR(VLOOKUP(G3545,WholesaleExtract!B:O,14,FALSE),"")</f>
        <v/>
      </c>
      <c r="K3545" s="26" t="str">
        <f>IFERROR(VLOOKUP(G3545,WholesaleExtract!B:K,10,FALSE),"")</f>
        <v/>
      </c>
      <c r="L3545" s="47" t="str">
        <f>IFERROR(VLOOKUP(G3545,WholesaleExtract!B:L,11,FALSE),"")</f>
        <v/>
      </c>
      <c r="M3545" s="47" t="str">
        <f>IFERROR(VLOOKUP(G3545,WholesaleExtract!B:M,12,FALSE),"")</f>
        <v/>
      </c>
      <c r="R3545" s="19"/>
      <c r="S3545" s="19"/>
    </row>
    <row r="3546" spans="1:19" x14ac:dyDescent="0.35">
      <c r="A3546" s="26" t="s">
        <v>543</v>
      </c>
      <c r="B3546" s="26" t="s">
        <v>543</v>
      </c>
      <c r="C3546" s="26"/>
      <c r="D3546" s="26" t="s">
        <v>543</v>
      </c>
      <c r="E3546" s="26" t="str">
        <f>IFERROR(VLOOKUP(G3546,WholesaleExtract!B:J,9,FALSE),"")</f>
        <v/>
      </c>
      <c r="F3546" s="26" t="str">
        <f>IFERROR(VLOOKUP(G3546,WholesaleExtract!B:J,6,FALSE),"")</f>
        <v/>
      </c>
      <c r="H3546" s="47" t="str">
        <f>IFERROR(VLOOKUP(G3546,WholesaleExtract!B:L,11,FALSE),"")</f>
        <v/>
      </c>
      <c r="I3546" s="26" t="str">
        <f>IFERROR(VLOOKUP(G3546,WholesaleExtract!B:O,8,FALSE),"")</f>
        <v/>
      </c>
      <c r="J3546" s="26" t="str">
        <f>IFERROR(VLOOKUP(G3546,WholesaleExtract!B:O,14,FALSE),"")</f>
        <v/>
      </c>
      <c r="K3546" s="26" t="str">
        <f>IFERROR(VLOOKUP(G3546,WholesaleExtract!B:K,10,FALSE),"")</f>
        <v/>
      </c>
      <c r="L3546" s="47" t="str">
        <f>IFERROR(VLOOKUP(G3546,WholesaleExtract!B:L,11,FALSE),"")</f>
        <v/>
      </c>
      <c r="M3546" s="47" t="str">
        <f>IFERROR(VLOOKUP(G3546,WholesaleExtract!B:M,12,FALSE),"")</f>
        <v/>
      </c>
      <c r="R3546" s="19"/>
      <c r="S3546" s="19"/>
    </row>
    <row r="3547" spans="1:19" x14ac:dyDescent="0.35">
      <c r="A3547" s="26" t="s">
        <v>543</v>
      </c>
      <c r="B3547" s="26" t="s">
        <v>543</v>
      </c>
      <c r="C3547" s="26"/>
      <c r="D3547" s="26" t="s">
        <v>543</v>
      </c>
      <c r="E3547" s="26" t="str">
        <f>IFERROR(VLOOKUP(G3547,WholesaleExtract!B:J,9,FALSE),"")</f>
        <v/>
      </c>
      <c r="F3547" s="26" t="str">
        <f>IFERROR(VLOOKUP(G3547,WholesaleExtract!B:J,6,FALSE),"")</f>
        <v/>
      </c>
      <c r="H3547" s="47" t="str">
        <f>IFERROR(VLOOKUP(G3547,WholesaleExtract!B:L,11,FALSE),"")</f>
        <v/>
      </c>
      <c r="I3547" s="26" t="str">
        <f>IFERROR(VLOOKUP(G3547,WholesaleExtract!B:O,8,FALSE),"")</f>
        <v/>
      </c>
      <c r="J3547" s="26" t="str">
        <f>IFERROR(VLOOKUP(G3547,WholesaleExtract!B:O,14,FALSE),"")</f>
        <v/>
      </c>
      <c r="K3547" s="26" t="str">
        <f>IFERROR(VLOOKUP(G3547,WholesaleExtract!B:K,10,FALSE),"")</f>
        <v/>
      </c>
      <c r="L3547" s="47" t="str">
        <f>IFERROR(VLOOKUP(G3547,WholesaleExtract!B:L,11,FALSE),"")</f>
        <v/>
      </c>
      <c r="M3547" s="47" t="str">
        <f>IFERROR(VLOOKUP(G3547,WholesaleExtract!B:M,12,FALSE),"")</f>
        <v/>
      </c>
      <c r="R3547" s="19"/>
      <c r="S3547" s="19"/>
    </row>
    <row r="3548" spans="1:19" x14ac:dyDescent="0.35">
      <c r="A3548" s="26" t="s">
        <v>543</v>
      </c>
      <c r="B3548" s="26" t="s">
        <v>543</v>
      </c>
      <c r="C3548" s="26"/>
      <c r="D3548" s="26" t="s">
        <v>543</v>
      </c>
      <c r="E3548" s="26" t="str">
        <f>IFERROR(VLOOKUP(G3548,WholesaleExtract!B:J,9,FALSE),"")</f>
        <v/>
      </c>
      <c r="F3548" s="26" t="str">
        <f>IFERROR(VLOOKUP(G3548,WholesaleExtract!B:J,6,FALSE),"")</f>
        <v/>
      </c>
      <c r="H3548" s="47" t="str">
        <f>IFERROR(VLOOKUP(G3548,WholesaleExtract!B:L,11,FALSE),"")</f>
        <v/>
      </c>
      <c r="I3548" s="26" t="str">
        <f>IFERROR(VLOOKUP(G3548,WholesaleExtract!B:O,8,FALSE),"")</f>
        <v/>
      </c>
      <c r="J3548" s="26" t="str">
        <f>IFERROR(VLOOKUP(G3548,WholesaleExtract!B:O,14,FALSE),"")</f>
        <v/>
      </c>
      <c r="K3548" s="26" t="str">
        <f>IFERROR(VLOOKUP(G3548,WholesaleExtract!B:K,10,FALSE),"")</f>
        <v/>
      </c>
      <c r="L3548" s="47" t="str">
        <f>IFERROR(VLOOKUP(G3548,WholesaleExtract!B:L,11,FALSE),"")</f>
        <v/>
      </c>
      <c r="M3548" s="47" t="str">
        <f>IFERROR(VLOOKUP(G3548,WholesaleExtract!B:M,12,FALSE),"")</f>
        <v/>
      </c>
      <c r="R3548" s="19"/>
      <c r="S3548" s="19"/>
    </row>
    <row r="3549" spans="1:19" x14ac:dyDescent="0.35">
      <c r="A3549" s="26" t="s">
        <v>543</v>
      </c>
      <c r="B3549" s="26" t="s">
        <v>543</v>
      </c>
      <c r="C3549" s="26"/>
      <c r="D3549" s="26" t="s">
        <v>543</v>
      </c>
      <c r="E3549" s="26" t="str">
        <f>IFERROR(VLOOKUP(G3549,WholesaleExtract!B:J,9,FALSE),"")</f>
        <v/>
      </c>
      <c r="F3549" s="26" t="str">
        <f>IFERROR(VLOOKUP(G3549,WholesaleExtract!B:J,6,FALSE),"")</f>
        <v/>
      </c>
      <c r="H3549" s="47" t="str">
        <f>IFERROR(VLOOKUP(G3549,WholesaleExtract!B:L,11,FALSE),"")</f>
        <v/>
      </c>
      <c r="I3549" s="26" t="str">
        <f>IFERROR(VLOOKUP(G3549,WholesaleExtract!B:O,8,FALSE),"")</f>
        <v/>
      </c>
      <c r="J3549" s="26" t="str">
        <f>IFERROR(VLOOKUP(G3549,WholesaleExtract!B:O,14,FALSE),"")</f>
        <v/>
      </c>
      <c r="K3549" s="26" t="str">
        <f>IFERROR(VLOOKUP(G3549,WholesaleExtract!B:K,10,FALSE),"")</f>
        <v/>
      </c>
      <c r="L3549" s="47" t="str">
        <f>IFERROR(VLOOKUP(G3549,WholesaleExtract!B:L,11,FALSE),"")</f>
        <v/>
      </c>
      <c r="M3549" s="47" t="str">
        <f>IFERROR(VLOOKUP(G3549,WholesaleExtract!B:M,12,FALSE),"")</f>
        <v/>
      </c>
      <c r="R3549" s="19"/>
      <c r="S3549" s="19"/>
    </row>
    <row r="3550" spans="1:19" x14ac:dyDescent="0.35">
      <c r="A3550" s="26" t="s">
        <v>543</v>
      </c>
      <c r="B3550" s="26" t="s">
        <v>543</v>
      </c>
      <c r="C3550" s="26"/>
      <c r="D3550" s="26" t="s">
        <v>543</v>
      </c>
      <c r="E3550" s="26" t="str">
        <f>IFERROR(VLOOKUP(G3550,WholesaleExtract!B:J,9,FALSE),"")</f>
        <v/>
      </c>
      <c r="F3550" s="26" t="str">
        <f>IFERROR(VLOOKUP(G3550,WholesaleExtract!B:J,6,FALSE),"")</f>
        <v/>
      </c>
      <c r="H3550" s="47" t="str">
        <f>IFERROR(VLOOKUP(G3550,WholesaleExtract!B:L,11,FALSE),"")</f>
        <v/>
      </c>
      <c r="I3550" s="26" t="str">
        <f>IFERROR(VLOOKUP(G3550,WholesaleExtract!B:O,8,FALSE),"")</f>
        <v/>
      </c>
      <c r="J3550" s="26" t="str">
        <f>IFERROR(VLOOKUP(G3550,WholesaleExtract!B:O,14,FALSE),"")</f>
        <v/>
      </c>
      <c r="K3550" s="26" t="str">
        <f>IFERROR(VLOOKUP(G3550,WholesaleExtract!B:K,10,FALSE),"")</f>
        <v/>
      </c>
      <c r="L3550" s="47" t="str">
        <f>IFERROR(VLOOKUP(G3550,WholesaleExtract!B:L,11,FALSE),"")</f>
        <v/>
      </c>
      <c r="M3550" s="47" t="str">
        <f>IFERROR(VLOOKUP(G3550,WholesaleExtract!B:M,12,FALSE),"")</f>
        <v/>
      </c>
      <c r="R3550" s="19"/>
      <c r="S3550" s="19"/>
    </row>
    <row r="3551" spans="1:19" x14ac:dyDescent="0.35">
      <c r="A3551" s="26" t="s">
        <v>543</v>
      </c>
      <c r="B3551" s="26" t="s">
        <v>543</v>
      </c>
      <c r="C3551" s="26"/>
      <c r="D3551" s="26" t="s">
        <v>543</v>
      </c>
      <c r="E3551" s="26" t="str">
        <f>IFERROR(VLOOKUP(G3551,WholesaleExtract!B:J,9,FALSE),"")</f>
        <v/>
      </c>
      <c r="F3551" s="26" t="str">
        <f>IFERROR(VLOOKUP(G3551,WholesaleExtract!B:J,6,FALSE),"")</f>
        <v/>
      </c>
      <c r="H3551" s="47" t="str">
        <f>IFERROR(VLOOKUP(G3551,WholesaleExtract!B:L,11,FALSE),"")</f>
        <v/>
      </c>
      <c r="I3551" s="26" t="str">
        <f>IFERROR(VLOOKUP(G3551,WholesaleExtract!B:O,8,FALSE),"")</f>
        <v/>
      </c>
      <c r="J3551" s="26" t="str">
        <f>IFERROR(VLOOKUP(G3551,WholesaleExtract!B:O,14,FALSE),"")</f>
        <v/>
      </c>
      <c r="K3551" s="26" t="str">
        <f>IFERROR(VLOOKUP(G3551,WholesaleExtract!B:K,10,FALSE),"")</f>
        <v/>
      </c>
      <c r="L3551" s="47" t="str">
        <f>IFERROR(VLOOKUP(G3551,WholesaleExtract!B:L,11,FALSE),"")</f>
        <v/>
      </c>
      <c r="M3551" s="47" t="str">
        <f>IFERROR(VLOOKUP(G3551,WholesaleExtract!B:M,12,FALSE),"")</f>
        <v/>
      </c>
      <c r="R3551" s="19"/>
      <c r="S3551" s="19"/>
    </row>
    <row r="3552" spans="1:19" x14ac:dyDescent="0.35">
      <c r="A3552" s="26" t="s">
        <v>543</v>
      </c>
      <c r="B3552" s="26" t="s">
        <v>543</v>
      </c>
      <c r="C3552" s="26"/>
      <c r="D3552" s="26" t="s">
        <v>543</v>
      </c>
      <c r="E3552" s="26" t="str">
        <f>IFERROR(VLOOKUP(G3552,WholesaleExtract!B:J,9,FALSE),"")</f>
        <v/>
      </c>
      <c r="F3552" s="26" t="str">
        <f>IFERROR(VLOOKUP(G3552,WholesaleExtract!B:J,6,FALSE),"")</f>
        <v/>
      </c>
      <c r="H3552" s="47" t="str">
        <f>IFERROR(VLOOKUP(G3552,WholesaleExtract!B:L,11,FALSE),"")</f>
        <v/>
      </c>
      <c r="I3552" s="26" t="str">
        <f>IFERROR(VLOOKUP(G3552,WholesaleExtract!B:O,8,FALSE),"")</f>
        <v/>
      </c>
      <c r="J3552" s="26" t="str">
        <f>IFERROR(VLOOKUP(G3552,WholesaleExtract!B:O,14,FALSE),"")</f>
        <v/>
      </c>
      <c r="K3552" s="26" t="str">
        <f>IFERROR(VLOOKUP(G3552,WholesaleExtract!B:K,10,FALSE),"")</f>
        <v/>
      </c>
      <c r="L3552" s="47" t="str">
        <f>IFERROR(VLOOKUP(G3552,WholesaleExtract!B:L,11,FALSE),"")</f>
        <v/>
      </c>
      <c r="M3552" s="47" t="str">
        <f>IFERROR(VLOOKUP(G3552,WholesaleExtract!B:M,12,FALSE),"")</f>
        <v/>
      </c>
      <c r="R3552" s="19"/>
      <c r="S3552" s="19"/>
    </row>
    <row r="3553" spans="1:19" x14ac:dyDescent="0.35">
      <c r="A3553" s="26" t="s">
        <v>543</v>
      </c>
      <c r="B3553" s="26" t="s">
        <v>543</v>
      </c>
      <c r="C3553" s="26"/>
      <c r="D3553" s="26" t="s">
        <v>543</v>
      </c>
      <c r="E3553" s="26" t="str">
        <f>IFERROR(VLOOKUP(G3553,WholesaleExtract!B:J,9,FALSE),"")</f>
        <v/>
      </c>
      <c r="F3553" s="26" t="str">
        <f>IFERROR(VLOOKUP(G3553,WholesaleExtract!B:J,6,FALSE),"")</f>
        <v/>
      </c>
      <c r="H3553" s="47" t="str">
        <f>IFERROR(VLOOKUP(G3553,WholesaleExtract!B:L,11,FALSE),"")</f>
        <v/>
      </c>
      <c r="I3553" s="26" t="str">
        <f>IFERROR(VLOOKUP(G3553,WholesaleExtract!B:O,8,FALSE),"")</f>
        <v/>
      </c>
      <c r="J3553" s="26" t="str">
        <f>IFERROR(VLOOKUP(G3553,WholesaleExtract!B:O,14,FALSE),"")</f>
        <v/>
      </c>
      <c r="K3553" s="26" t="str">
        <f>IFERROR(VLOOKUP(G3553,WholesaleExtract!B:K,10,FALSE),"")</f>
        <v/>
      </c>
      <c r="L3553" s="47" t="str">
        <f>IFERROR(VLOOKUP(G3553,WholesaleExtract!B:L,11,FALSE),"")</f>
        <v/>
      </c>
      <c r="M3553" s="47" t="str">
        <f>IFERROR(VLOOKUP(G3553,WholesaleExtract!B:M,12,FALSE),"")</f>
        <v/>
      </c>
      <c r="R3553" s="19"/>
      <c r="S3553" s="19"/>
    </row>
    <row r="3554" spans="1:19" x14ac:dyDescent="0.35">
      <c r="A3554" s="26" t="s">
        <v>543</v>
      </c>
      <c r="B3554" s="26" t="s">
        <v>543</v>
      </c>
      <c r="C3554" s="26"/>
      <c r="D3554" s="26" t="s">
        <v>543</v>
      </c>
      <c r="E3554" s="26" t="str">
        <f>IFERROR(VLOOKUP(G3554,WholesaleExtract!B:J,9,FALSE),"")</f>
        <v/>
      </c>
      <c r="F3554" s="26" t="str">
        <f>IFERROR(VLOOKUP(G3554,WholesaleExtract!B:J,6,FALSE),"")</f>
        <v/>
      </c>
      <c r="H3554" s="47" t="str">
        <f>IFERROR(VLOOKUP(G3554,WholesaleExtract!B:L,11,FALSE),"")</f>
        <v/>
      </c>
      <c r="I3554" s="26" t="str">
        <f>IFERROR(VLOOKUP(G3554,WholesaleExtract!B:O,8,FALSE),"")</f>
        <v/>
      </c>
      <c r="J3554" s="26" t="str">
        <f>IFERROR(VLOOKUP(G3554,WholesaleExtract!B:O,14,FALSE),"")</f>
        <v/>
      </c>
      <c r="K3554" s="26" t="str">
        <f>IFERROR(VLOOKUP(G3554,WholesaleExtract!B:K,10,FALSE),"")</f>
        <v/>
      </c>
      <c r="L3554" s="47" t="str">
        <f>IFERROR(VLOOKUP(G3554,WholesaleExtract!B:L,11,FALSE),"")</f>
        <v/>
      </c>
      <c r="M3554" s="47" t="str">
        <f>IFERROR(VLOOKUP(G3554,WholesaleExtract!B:M,12,FALSE),"")</f>
        <v/>
      </c>
      <c r="R3554" s="19"/>
      <c r="S3554" s="19"/>
    </row>
    <row r="3555" spans="1:19" x14ac:dyDescent="0.35">
      <c r="A3555" s="26" t="s">
        <v>543</v>
      </c>
      <c r="B3555" s="26" t="s">
        <v>543</v>
      </c>
      <c r="C3555" s="26"/>
      <c r="D3555" s="26" t="s">
        <v>543</v>
      </c>
      <c r="E3555" s="26" t="str">
        <f>IFERROR(VLOOKUP(G3555,WholesaleExtract!B:J,9,FALSE),"")</f>
        <v/>
      </c>
      <c r="F3555" s="26" t="str">
        <f>IFERROR(VLOOKUP(G3555,WholesaleExtract!B:J,6,FALSE),"")</f>
        <v/>
      </c>
      <c r="H3555" s="47" t="str">
        <f>IFERROR(VLOOKUP(G3555,WholesaleExtract!B:L,11,FALSE),"")</f>
        <v/>
      </c>
      <c r="I3555" s="26" t="str">
        <f>IFERROR(VLOOKUP(G3555,WholesaleExtract!B:O,8,FALSE),"")</f>
        <v/>
      </c>
      <c r="J3555" s="26" t="str">
        <f>IFERROR(VLOOKUP(G3555,WholesaleExtract!B:O,14,FALSE),"")</f>
        <v/>
      </c>
      <c r="K3555" s="26" t="str">
        <f>IFERROR(VLOOKUP(G3555,WholesaleExtract!B:K,10,FALSE),"")</f>
        <v/>
      </c>
      <c r="L3555" s="47" t="str">
        <f>IFERROR(VLOOKUP(G3555,WholesaleExtract!B:L,11,FALSE),"")</f>
        <v/>
      </c>
      <c r="M3555" s="47" t="str">
        <f>IFERROR(VLOOKUP(G3555,WholesaleExtract!B:M,12,FALSE),"")</f>
        <v/>
      </c>
      <c r="R3555" s="19"/>
      <c r="S3555" s="19"/>
    </row>
    <row r="3556" spans="1:19" x14ac:dyDescent="0.35">
      <c r="A3556" s="26" t="s">
        <v>543</v>
      </c>
      <c r="B3556" s="26" t="s">
        <v>543</v>
      </c>
      <c r="C3556" s="26"/>
      <c r="D3556" s="26" t="s">
        <v>543</v>
      </c>
      <c r="E3556" s="26" t="str">
        <f>IFERROR(VLOOKUP(G3556,WholesaleExtract!B:J,9,FALSE),"")</f>
        <v/>
      </c>
      <c r="F3556" s="26" t="str">
        <f>IFERROR(VLOOKUP(G3556,WholesaleExtract!B:J,6,FALSE),"")</f>
        <v/>
      </c>
      <c r="H3556" s="47" t="str">
        <f>IFERROR(VLOOKUP(G3556,WholesaleExtract!B:L,11,FALSE),"")</f>
        <v/>
      </c>
      <c r="I3556" s="26" t="str">
        <f>IFERROR(VLOOKUP(G3556,WholesaleExtract!B:O,8,FALSE),"")</f>
        <v/>
      </c>
      <c r="J3556" s="26" t="str">
        <f>IFERROR(VLOOKUP(G3556,WholesaleExtract!B:O,14,FALSE),"")</f>
        <v/>
      </c>
      <c r="K3556" s="26" t="str">
        <f>IFERROR(VLOOKUP(G3556,WholesaleExtract!B:K,10,FALSE),"")</f>
        <v/>
      </c>
      <c r="L3556" s="47" t="str">
        <f>IFERROR(VLOOKUP(G3556,WholesaleExtract!B:L,11,FALSE),"")</f>
        <v/>
      </c>
      <c r="M3556" s="47" t="str">
        <f>IFERROR(VLOOKUP(G3556,WholesaleExtract!B:M,12,FALSE),"")</f>
        <v/>
      </c>
      <c r="R3556" s="19"/>
      <c r="S3556" s="19"/>
    </row>
    <row r="3557" spans="1:19" x14ac:dyDescent="0.35">
      <c r="A3557" s="26" t="s">
        <v>543</v>
      </c>
      <c r="B3557" s="26" t="s">
        <v>543</v>
      </c>
      <c r="C3557" s="26"/>
      <c r="D3557" s="26" t="s">
        <v>543</v>
      </c>
      <c r="E3557" s="26" t="str">
        <f>IFERROR(VLOOKUP(G3557,WholesaleExtract!B:J,9,FALSE),"")</f>
        <v/>
      </c>
      <c r="F3557" s="26" t="str">
        <f>IFERROR(VLOOKUP(G3557,WholesaleExtract!B:J,6,FALSE),"")</f>
        <v/>
      </c>
      <c r="H3557" s="47" t="str">
        <f>IFERROR(VLOOKUP(G3557,WholesaleExtract!B:L,11,FALSE),"")</f>
        <v/>
      </c>
      <c r="I3557" s="26" t="str">
        <f>IFERROR(VLOOKUP(G3557,WholesaleExtract!B:O,8,FALSE),"")</f>
        <v/>
      </c>
      <c r="J3557" s="26" t="str">
        <f>IFERROR(VLOOKUP(G3557,WholesaleExtract!B:O,14,FALSE),"")</f>
        <v/>
      </c>
      <c r="K3557" s="26" t="str">
        <f>IFERROR(VLOOKUP(G3557,WholesaleExtract!B:K,10,FALSE),"")</f>
        <v/>
      </c>
      <c r="L3557" s="47" t="str">
        <f>IFERROR(VLOOKUP(G3557,WholesaleExtract!B:L,11,FALSE),"")</f>
        <v/>
      </c>
      <c r="M3557" s="47" t="str">
        <f>IFERROR(VLOOKUP(G3557,WholesaleExtract!B:M,12,FALSE),"")</f>
        <v/>
      </c>
      <c r="R3557" s="19"/>
      <c r="S3557" s="19"/>
    </row>
    <row r="3558" spans="1:19" x14ac:dyDescent="0.35">
      <c r="A3558" s="26" t="s">
        <v>543</v>
      </c>
      <c r="B3558" s="26" t="s">
        <v>543</v>
      </c>
      <c r="C3558" s="26"/>
      <c r="D3558" s="26" t="s">
        <v>543</v>
      </c>
      <c r="E3558" s="26" t="str">
        <f>IFERROR(VLOOKUP(G3558,WholesaleExtract!B:J,9,FALSE),"")</f>
        <v/>
      </c>
      <c r="F3558" s="26" t="str">
        <f>IFERROR(VLOOKUP(G3558,WholesaleExtract!B:J,6,FALSE),"")</f>
        <v/>
      </c>
      <c r="H3558" s="47" t="str">
        <f>IFERROR(VLOOKUP(G3558,WholesaleExtract!B:L,11,FALSE),"")</f>
        <v/>
      </c>
      <c r="I3558" s="26" t="str">
        <f>IFERROR(VLOOKUP(G3558,WholesaleExtract!B:O,8,FALSE),"")</f>
        <v/>
      </c>
      <c r="J3558" s="26" t="str">
        <f>IFERROR(VLOOKUP(G3558,WholesaleExtract!B:O,14,FALSE),"")</f>
        <v/>
      </c>
      <c r="K3558" s="26" t="str">
        <f>IFERROR(VLOOKUP(G3558,WholesaleExtract!B:K,10,FALSE),"")</f>
        <v/>
      </c>
      <c r="L3558" s="47" t="str">
        <f>IFERROR(VLOOKUP(G3558,WholesaleExtract!B:L,11,FALSE),"")</f>
        <v/>
      </c>
      <c r="M3558" s="47" t="str">
        <f>IFERROR(VLOOKUP(G3558,WholesaleExtract!B:M,12,FALSE),"")</f>
        <v/>
      </c>
      <c r="R3558" s="19"/>
      <c r="S3558" s="19"/>
    </row>
    <row r="3559" spans="1:19" x14ac:dyDescent="0.35">
      <c r="A3559" s="26" t="s">
        <v>543</v>
      </c>
      <c r="B3559" s="26" t="s">
        <v>543</v>
      </c>
      <c r="C3559" s="26"/>
      <c r="D3559" s="26" t="s">
        <v>543</v>
      </c>
      <c r="E3559" s="26" t="str">
        <f>IFERROR(VLOOKUP(G3559,WholesaleExtract!B:J,9,FALSE),"")</f>
        <v/>
      </c>
      <c r="F3559" s="26" t="str">
        <f>IFERROR(VLOOKUP(G3559,WholesaleExtract!B:J,6,FALSE),"")</f>
        <v/>
      </c>
      <c r="H3559" s="47" t="str">
        <f>IFERROR(VLOOKUP(G3559,WholesaleExtract!B:L,11,FALSE),"")</f>
        <v/>
      </c>
      <c r="I3559" s="26" t="str">
        <f>IFERROR(VLOOKUP(G3559,WholesaleExtract!B:O,8,FALSE),"")</f>
        <v/>
      </c>
      <c r="J3559" s="26" t="str">
        <f>IFERROR(VLOOKUP(G3559,WholesaleExtract!B:O,14,FALSE),"")</f>
        <v/>
      </c>
      <c r="K3559" s="26" t="str">
        <f>IFERROR(VLOOKUP(G3559,WholesaleExtract!B:K,10,FALSE),"")</f>
        <v/>
      </c>
      <c r="L3559" s="47" t="str">
        <f>IFERROR(VLOOKUP(G3559,WholesaleExtract!B:L,11,FALSE),"")</f>
        <v/>
      </c>
      <c r="M3559" s="47" t="str">
        <f>IFERROR(VLOOKUP(G3559,WholesaleExtract!B:M,12,FALSE),"")</f>
        <v/>
      </c>
      <c r="R3559" s="19"/>
      <c r="S3559" s="19"/>
    </row>
    <row r="3560" spans="1:19" x14ac:dyDescent="0.35">
      <c r="A3560" s="26" t="s">
        <v>543</v>
      </c>
      <c r="B3560" s="26" t="s">
        <v>543</v>
      </c>
      <c r="C3560" s="26"/>
      <c r="D3560" s="26" t="s">
        <v>543</v>
      </c>
      <c r="E3560" s="26" t="str">
        <f>IFERROR(VLOOKUP(G3560,WholesaleExtract!B:J,9,FALSE),"")</f>
        <v/>
      </c>
      <c r="F3560" s="26" t="str">
        <f>IFERROR(VLOOKUP(G3560,WholesaleExtract!B:J,6,FALSE),"")</f>
        <v/>
      </c>
      <c r="H3560" s="47" t="str">
        <f>IFERROR(VLOOKUP(G3560,WholesaleExtract!B:L,11,FALSE),"")</f>
        <v/>
      </c>
      <c r="I3560" s="26" t="str">
        <f>IFERROR(VLOOKUP(G3560,WholesaleExtract!B:O,8,FALSE),"")</f>
        <v/>
      </c>
      <c r="J3560" s="26" t="str">
        <f>IFERROR(VLOOKUP(G3560,WholesaleExtract!B:O,14,FALSE),"")</f>
        <v/>
      </c>
      <c r="K3560" s="26" t="str">
        <f>IFERROR(VLOOKUP(G3560,WholesaleExtract!B:K,10,FALSE),"")</f>
        <v/>
      </c>
      <c r="L3560" s="47" t="str">
        <f>IFERROR(VLOOKUP(G3560,WholesaleExtract!B:L,11,FALSE),"")</f>
        <v/>
      </c>
      <c r="M3560" s="47" t="str">
        <f>IFERROR(VLOOKUP(G3560,WholesaleExtract!B:M,12,FALSE),"")</f>
        <v/>
      </c>
      <c r="R3560" s="19"/>
      <c r="S3560" s="19"/>
    </row>
    <row r="3561" spans="1:19" x14ac:dyDescent="0.35">
      <c r="A3561" s="26" t="s">
        <v>543</v>
      </c>
      <c r="B3561" s="26" t="s">
        <v>543</v>
      </c>
      <c r="C3561" s="26"/>
      <c r="D3561" s="26" t="s">
        <v>543</v>
      </c>
      <c r="E3561" s="26" t="str">
        <f>IFERROR(VLOOKUP(G3561,WholesaleExtract!B:J,9,FALSE),"")</f>
        <v/>
      </c>
      <c r="F3561" s="26" t="str">
        <f>IFERROR(VLOOKUP(G3561,WholesaleExtract!B:J,6,FALSE),"")</f>
        <v/>
      </c>
      <c r="H3561" s="47" t="str">
        <f>IFERROR(VLOOKUP(G3561,WholesaleExtract!B:L,11,FALSE),"")</f>
        <v/>
      </c>
      <c r="I3561" s="26" t="str">
        <f>IFERROR(VLOOKUP(G3561,WholesaleExtract!B:O,8,FALSE),"")</f>
        <v/>
      </c>
      <c r="J3561" s="26" t="str">
        <f>IFERROR(VLOOKUP(G3561,WholesaleExtract!B:O,14,FALSE),"")</f>
        <v/>
      </c>
      <c r="K3561" s="26" t="str">
        <f>IFERROR(VLOOKUP(G3561,WholesaleExtract!B:K,10,FALSE),"")</f>
        <v/>
      </c>
      <c r="L3561" s="47" t="str">
        <f>IFERROR(VLOOKUP(G3561,WholesaleExtract!B:L,11,FALSE),"")</f>
        <v/>
      </c>
      <c r="M3561" s="47" t="str">
        <f>IFERROR(VLOOKUP(G3561,WholesaleExtract!B:M,12,FALSE),"")</f>
        <v/>
      </c>
      <c r="R3561" s="19"/>
      <c r="S3561" s="19"/>
    </row>
    <row r="3562" spans="1:19" x14ac:dyDescent="0.35">
      <c r="A3562" s="26" t="s">
        <v>543</v>
      </c>
      <c r="B3562" s="26" t="s">
        <v>543</v>
      </c>
      <c r="C3562" s="26"/>
      <c r="D3562" s="26" t="s">
        <v>543</v>
      </c>
      <c r="E3562" s="26" t="str">
        <f>IFERROR(VLOOKUP(G3562,WholesaleExtract!B:J,9,FALSE),"")</f>
        <v/>
      </c>
      <c r="F3562" s="26" t="str">
        <f>IFERROR(VLOOKUP(G3562,WholesaleExtract!B:J,6,FALSE),"")</f>
        <v/>
      </c>
      <c r="H3562" s="47" t="str">
        <f>IFERROR(VLOOKUP(G3562,WholesaleExtract!B:L,11,FALSE),"")</f>
        <v/>
      </c>
      <c r="I3562" s="26" t="str">
        <f>IFERROR(VLOOKUP(G3562,WholesaleExtract!B:O,8,FALSE),"")</f>
        <v/>
      </c>
      <c r="J3562" s="26" t="str">
        <f>IFERROR(VLOOKUP(G3562,WholesaleExtract!B:O,14,FALSE),"")</f>
        <v/>
      </c>
      <c r="K3562" s="26" t="str">
        <f>IFERROR(VLOOKUP(G3562,WholesaleExtract!B:K,10,FALSE),"")</f>
        <v/>
      </c>
      <c r="L3562" s="47" t="str">
        <f>IFERROR(VLOOKUP(G3562,WholesaleExtract!B:L,11,FALSE),"")</f>
        <v/>
      </c>
      <c r="M3562" s="47" t="str">
        <f>IFERROR(VLOOKUP(G3562,WholesaleExtract!B:M,12,FALSE),"")</f>
        <v/>
      </c>
      <c r="R3562" s="19"/>
      <c r="S3562" s="19"/>
    </row>
    <row r="3563" spans="1:19" x14ac:dyDescent="0.35">
      <c r="A3563" s="26" t="s">
        <v>543</v>
      </c>
      <c r="B3563" s="26" t="s">
        <v>543</v>
      </c>
      <c r="C3563" s="26"/>
      <c r="D3563" s="26" t="s">
        <v>543</v>
      </c>
      <c r="E3563" s="26" t="str">
        <f>IFERROR(VLOOKUP(G3563,WholesaleExtract!B:J,9,FALSE),"")</f>
        <v/>
      </c>
      <c r="F3563" s="26" t="str">
        <f>IFERROR(VLOOKUP(G3563,WholesaleExtract!B:J,6,FALSE),"")</f>
        <v/>
      </c>
      <c r="H3563" s="47" t="str">
        <f>IFERROR(VLOOKUP(G3563,WholesaleExtract!B:L,11,FALSE),"")</f>
        <v/>
      </c>
      <c r="I3563" s="26" t="str">
        <f>IFERROR(VLOOKUP(G3563,WholesaleExtract!B:O,8,FALSE),"")</f>
        <v/>
      </c>
      <c r="J3563" s="26" t="str">
        <f>IFERROR(VLOOKUP(G3563,WholesaleExtract!B:O,14,FALSE),"")</f>
        <v/>
      </c>
      <c r="K3563" s="26" t="str">
        <f>IFERROR(VLOOKUP(G3563,WholesaleExtract!B:K,10,FALSE),"")</f>
        <v/>
      </c>
      <c r="L3563" s="47" t="str">
        <f>IFERROR(VLOOKUP(G3563,WholesaleExtract!B:L,11,FALSE),"")</f>
        <v/>
      </c>
      <c r="M3563" s="47" t="str">
        <f>IFERROR(VLOOKUP(G3563,WholesaleExtract!B:M,12,FALSE),"")</f>
        <v/>
      </c>
      <c r="R3563" s="19"/>
      <c r="S3563" s="19"/>
    </row>
    <row r="3564" spans="1:19" x14ac:dyDescent="0.35">
      <c r="A3564" s="26" t="s">
        <v>543</v>
      </c>
      <c r="B3564" s="26" t="s">
        <v>543</v>
      </c>
      <c r="C3564" s="26"/>
      <c r="D3564" s="26" t="s">
        <v>543</v>
      </c>
      <c r="E3564" s="26" t="str">
        <f>IFERROR(VLOOKUP(G3564,WholesaleExtract!B:J,9,FALSE),"")</f>
        <v/>
      </c>
      <c r="F3564" s="26" t="str">
        <f>IFERROR(VLOOKUP(G3564,WholesaleExtract!B:J,6,FALSE),"")</f>
        <v/>
      </c>
      <c r="H3564" s="47" t="str">
        <f>IFERROR(VLOOKUP(G3564,WholesaleExtract!B:L,11,FALSE),"")</f>
        <v/>
      </c>
      <c r="I3564" s="26" t="str">
        <f>IFERROR(VLOOKUP(G3564,WholesaleExtract!B:O,8,FALSE),"")</f>
        <v/>
      </c>
      <c r="J3564" s="26" t="str">
        <f>IFERROR(VLOOKUP(G3564,WholesaleExtract!B:O,14,FALSE),"")</f>
        <v/>
      </c>
      <c r="K3564" s="26" t="str">
        <f>IFERROR(VLOOKUP(G3564,WholesaleExtract!B:K,10,FALSE),"")</f>
        <v/>
      </c>
      <c r="L3564" s="47" t="str">
        <f>IFERROR(VLOOKUP(G3564,WholesaleExtract!B:L,11,FALSE),"")</f>
        <v/>
      </c>
      <c r="M3564" s="47" t="str">
        <f>IFERROR(VLOOKUP(G3564,WholesaleExtract!B:M,12,FALSE),"")</f>
        <v/>
      </c>
      <c r="R3564" s="19"/>
      <c r="S3564" s="19"/>
    </row>
    <row r="3565" spans="1:19" x14ac:dyDescent="0.35">
      <c r="A3565" s="26" t="s">
        <v>543</v>
      </c>
      <c r="B3565" s="26" t="s">
        <v>543</v>
      </c>
      <c r="C3565" s="26"/>
      <c r="D3565" s="26" t="s">
        <v>543</v>
      </c>
      <c r="E3565" s="26" t="str">
        <f>IFERROR(VLOOKUP(G3565,WholesaleExtract!B:J,9,FALSE),"")</f>
        <v/>
      </c>
      <c r="F3565" s="26" t="str">
        <f>IFERROR(VLOOKUP(G3565,WholesaleExtract!B:J,6,FALSE),"")</f>
        <v/>
      </c>
      <c r="H3565" s="47" t="str">
        <f>IFERROR(VLOOKUP(G3565,WholesaleExtract!B:L,11,FALSE),"")</f>
        <v/>
      </c>
      <c r="I3565" s="26" t="str">
        <f>IFERROR(VLOOKUP(G3565,WholesaleExtract!B:O,8,FALSE),"")</f>
        <v/>
      </c>
      <c r="J3565" s="26" t="str">
        <f>IFERROR(VLOOKUP(G3565,WholesaleExtract!B:O,14,FALSE),"")</f>
        <v/>
      </c>
      <c r="K3565" s="26" t="str">
        <f>IFERROR(VLOOKUP(G3565,WholesaleExtract!B:K,10,FALSE),"")</f>
        <v/>
      </c>
      <c r="L3565" s="47" t="str">
        <f>IFERROR(VLOOKUP(G3565,WholesaleExtract!B:L,11,FALSE),"")</f>
        <v/>
      </c>
      <c r="M3565" s="47" t="str">
        <f>IFERROR(VLOOKUP(G3565,WholesaleExtract!B:M,12,FALSE),"")</f>
        <v/>
      </c>
      <c r="R3565" s="19"/>
      <c r="S3565" s="19"/>
    </row>
    <row r="3566" spans="1:19" x14ac:dyDescent="0.35">
      <c r="A3566" s="26" t="s">
        <v>543</v>
      </c>
      <c r="B3566" s="26" t="s">
        <v>543</v>
      </c>
      <c r="C3566" s="26"/>
      <c r="D3566" s="26" t="s">
        <v>543</v>
      </c>
      <c r="E3566" s="26" t="str">
        <f>IFERROR(VLOOKUP(G3566,WholesaleExtract!B:J,9,FALSE),"")</f>
        <v/>
      </c>
      <c r="F3566" s="26" t="str">
        <f>IFERROR(VLOOKUP(G3566,WholesaleExtract!B:J,6,FALSE),"")</f>
        <v/>
      </c>
      <c r="H3566" s="47" t="str">
        <f>IFERROR(VLOOKUP(G3566,WholesaleExtract!B:L,11,FALSE),"")</f>
        <v/>
      </c>
      <c r="I3566" s="26" t="str">
        <f>IFERROR(VLOOKUP(G3566,WholesaleExtract!B:O,8,FALSE),"")</f>
        <v/>
      </c>
      <c r="J3566" s="26" t="str">
        <f>IFERROR(VLOOKUP(G3566,WholesaleExtract!B:O,14,FALSE),"")</f>
        <v/>
      </c>
      <c r="K3566" s="26" t="str">
        <f>IFERROR(VLOOKUP(G3566,WholesaleExtract!B:K,10,FALSE),"")</f>
        <v/>
      </c>
      <c r="L3566" s="47" t="str">
        <f>IFERROR(VLOOKUP(G3566,WholesaleExtract!B:L,11,FALSE),"")</f>
        <v/>
      </c>
      <c r="M3566" s="47" t="str">
        <f>IFERROR(VLOOKUP(G3566,WholesaleExtract!B:M,12,FALSE),"")</f>
        <v/>
      </c>
      <c r="R3566" s="19"/>
      <c r="S3566" s="19"/>
    </row>
    <row r="3567" spans="1:19" x14ac:dyDescent="0.35">
      <c r="A3567" s="26" t="s">
        <v>543</v>
      </c>
      <c r="B3567" s="26" t="s">
        <v>543</v>
      </c>
      <c r="C3567" s="26"/>
      <c r="D3567" s="26" t="s">
        <v>543</v>
      </c>
      <c r="E3567" s="26" t="str">
        <f>IFERROR(VLOOKUP(G3567,WholesaleExtract!B:J,9,FALSE),"")</f>
        <v/>
      </c>
      <c r="F3567" s="26" t="str">
        <f>IFERROR(VLOOKUP(G3567,WholesaleExtract!B:J,6,FALSE),"")</f>
        <v/>
      </c>
      <c r="H3567" s="47" t="str">
        <f>IFERROR(VLOOKUP(G3567,WholesaleExtract!B:L,11,FALSE),"")</f>
        <v/>
      </c>
      <c r="I3567" s="26" t="str">
        <f>IFERROR(VLOOKUP(G3567,WholesaleExtract!B:O,8,FALSE),"")</f>
        <v/>
      </c>
      <c r="J3567" s="26" t="str">
        <f>IFERROR(VLOOKUP(G3567,WholesaleExtract!B:O,14,FALSE),"")</f>
        <v/>
      </c>
      <c r="K3567" s="26" t="str">
        <f>IFERROR(VLOOKUP(G3567,WholesaleExtract!B:K,10,FALSE),"")</f>
        <v/>
      </c>
      <c r="L3567" s="47" t="str">
        <f>IFERROR(VLOOKUP(G3567,WholesaleExtract!B:L,11,FALSE),"")</f>
        <v/>
      </c>
      <c r="M3567" s="47" t="str">
        <f>IFERROR(VLOOKUP(G3567,WholesaleExtract!B:M,12,FALSE),"")</f>
        <v/>
      </c>
      <c r="R3567" s="19"/>
      <c r="S3567" s="19"/>
    </row>
    <row r="3568" spans="1:19" x14ac:dyDescent="0.35">
      <c r="A3568" s="26" t="s">
        <v>543</v>
      </c>
      <c r="B3568" s="26" t="s">
        <v>543</v>
      </c>
      <c r="C3568" s="26"/>
      <c r="D3568" s="26" t="s">
        <v>543</v>
      </c>
      <c r="E3568" s="26" t="str">
        <f>IFERROR(VLOOKUP(G3568,WholesaleExtract!B:J,9,FALSE),"")</f>
        <v/>
      </c>
      <c r="F3568" s="26" t="str">
        <f>IFERROR(VLOOKUP(G3568,WholesaleExtract!B:J,6,FALSE),"")</f>
        <v/>
      </c>
      <c r="H3568" s="47" t="str">
        <f>IFERROR(VLOOKUP(G3568,WholesaleExtract!B:L,11,FALSE),"")</f>
        <v/>
      </c>
      <c r="I3568" s="26" t="str">
        <f>IFERROR(VLOOKUP(G3568,WholesaleExtract!B:O,8,FALSE),"")</f>
        <v/>
      </c>
      <c r="J3568" s="26" t="str">
        <f>IFERROR(VLOOKUP(G3568,WholesaleExtract!B:O,14,FALSE),"")</f>
        <v/>
      </c>
      <c r="K3568" s="26" t="str">
        <f>IFERROR(VLOOKUP(G3568,WholesaleExtract!B:K,10,FALSE),"")</f>
        <v/>
      </c>
      <c r="L3568" s="47" t="str">
        <f>IFERROR(VLOOKUP(G3568,WholesaleExtract!B:L,11,FALSE),"")</f>
        <v/>
      </c>
      <c r="M3568" s="47" t="str">
        <f>IFERROR(VLOOKUP(G3568,WholesaleExtract!B:M,12,FALSE),"")</f>
        <v/>
      </c>
      <c r="R3568" s="19"/>
      <c r="S3568" s="19"/>
    </row>
    <row r="3569" spans="1:19" x14ac:dyDescent="0.35">
      <c r="A3569" s="26" t="s">
        <v>543</v>
      </c>
      <c r="B3569" s="26" t="s">
        <v>543</v>
      </c>
      <c r="C3569" s="26"/>
      <c r="D3569" s="26" t="s">
        <v>543</v>
      </c>
      <c r="E3569" s="26" t="str">
        <f>IFERROR(VLOOKUP(G3569,WholesaleExtract!B:J,9,FALSE),"")</f>
        <v/>
      </c>
      <c r="F3569" s="26" t="str">
        <f>IFERROR(VLOOKUP(G3569,WholesaleExtract!B:J,6,FALSE),"")</f>
        <v/>
      </c>
      <c r="H3569" s="47" t="str">
        <f>IFERROR(VLOOKUP(G3569,WholesaleExtract!B:L,11,FALSE),"")</f>
        <v/>
      </c>
      <c r="I3569" s="26" t="str">
        <f>IFERROR(VLOOKUP(G3569,WholesaleExtract!B:O,8,FALSE),"")</f>
        <v/>
      </c>
      <c r="J3569" s="26" t="str">
        <f>IFERROR(VLOOKUP(G3569,WholesaleExtract!B:O,14,FALSE),"")</f>
        <v/>
      </c>
      <c r="K3569" s="26" t="str">
        <f>IFERROR(VLOOKUP(G3569,WholesaleExtract!B:K,10,FALSE),"")</f>
        <v/>
      </c>
      <c r="L3569" s="47" t="str">
        <f>IFERROR(VLOOKUP(G3569,WholesaleExtract!B:L,11,FALSE),"")</f>
        <v/>
      </c>
      <c r="M3569" s="47" t="str">
        <f>IFERROR(VLOOKUP(G3569,WholesaleExtract!B:M,12,FALSE),"")</f>
        <v/>
      </c>
      <c r="R3569" s="19"/>
      <c r="S3569" s="19"/>
    </row>
    <row r="3570" spans="1:19" x14ac:dyDescent="0.35">
      <c r="A3570" s="26" t="s">
        <v>543</v>
      </c>
      <c r="B3570" s="26" t="s">
        <v>543</v>
      </c>
      <c r="C3570" s="26"/>
      <c r="D3570" s="26" t="s">
        <v>543</v>
      </c>
      <c r="E3570" s="26" t="str">
        <f>IFERROR(VLOOKUP(G3570,WholesaleExtract!B:J,9,FALSE),"")</f>
        <v/>
      </c>
      <c r="F3570" s="26" t="str">
        <f>IFERROR(VLOOKUP(G3570,WholesaleExtract!B:J,6,FALSE),"")</f>
        <v/>
      </c>
      <c r="H3570" s="47" t="str">
        <f>IFERROR(VLOOKUP(G3570,WholesaleExtract!B:L,11,FALSE),"")</f>
        <v/>
      </c>
      <c r="I3570" s="26" t="str">
        <f>IFERROR(VLOOKUP(G3570,WholesaleExtract!B:O,8,FALSE),"")</f>
        <v/>
      </c>
      <c r="J3570" s="26" t="str">
        <f>IFERROR(VLOOKUP(G3570,WholesaleExtract!B:O,14,FALSE),"")</f>
        <v/>
      </c>
      <c r="K3570" s="26" t="str">
        <f>IFERROR(VLOOKUP(G3570,WholesaleExtract!B:K,10,FALSE),"")</f>
        <v/>
      </c>
      <c r="L3570" s="47" t="str">
        <f>IFERROR(VLOOKUP(G3570,WholesaleExtract!B:L,11,FALSE),"")</f>
        <v/>
      </c>
      <c r="M3570" s="47" t="str">
        <f>IFERROR(VLOOKUP(G3570,WholesaleExtract!B:M,12,FALSE),"")</f>
        <v/>
      </c>
      <c r="R3570" s="19"/>
      <c r="S3570" s="19"/>
    </row>
    <row r="3571" spans="1:19" x14ac:dyDescent="0.35">
      <c r="A3571" s="26" t="s">
        <v>543</v>
      </c>
      <c r="B3571" s="26" t="s">
        <v>543</v>
      </c>
      <c r="C3571" s="26"/>
      <c r="D3571" s="26" t="s">
        <v>543</v>
      </c>
      <c r="E3571" s="26" t="str">
        <f>IFERROR(VLOOKUP(G3571,WholesaleExtract!B:J,9,FALSE),"")</f>
        <v/>
      </c>
      <c r="F3571" s="26" t="str">
        <f>IFERROR(VLOOKUP(G3571,WholesaleExtract!B:J,6,FALSE),"")</f>
        <v/>
      </c>
      <c r="H3571" s="47" t="str">
        <f>IFERROR(VLOOKUP(G3571,WholesaleExtract!B:L,11,FALSE),"")</f>
        <v/>
      </c>
      <c r="I3571" s="26" t="str">
        <f>IFERROR(VLOOKUP(G3571,WholesaleExtract!B:O,8,FALSE),"")</f>
        <v/>
      </c>
      <c r="J3571" s="26" t="str">
        <f>IFERROR(VLOOKUP(G3571,WholesaleExtract!B:O,14,FALSE),"")</f>
        <v/>
      </c>
      <c r="K3571" s="26" t="str">
        <f>IFERROR(VLOOKUP(G3571,WholesaleExtract!B:K,10,FALSE),"")</f>
        <v/>
      </c>
      <c r="L3571" s="47" t="str">
        <f>IFERROR(VLOOKUP(G3571,WholesaleExtract!B:L,11,FALSE),"")</f>
        <v/>
      </c>
      <c r="M3571" s="47" t="str">
        <f>IFERROR(VLOOKUP(G3571,WholesaleExtract!B:M,12,FALSE),"")</f>
        <v/>
      </c>
      <c r="R3571" s="19"/>
      <c r="S3571" s="19"/>
    </row>
    <row r="3572" spans="1:19" x14ac:dyDescent="0.35">
      <c r="A3572" s="26" t="s">
        <v>543</v>
      </c>
      <c r="B3572" s="26" t="s">
        <v>543</v>
      </c>
      <c r="C3572" s="26"/>
      <c r="D3572" s="26" t="s">
        <v>543</v>
      </c>
      <c r="E3572" s="26" t="str">
        <f>IFERROR(VLOOKUP(G3572,WholesaleExtract!B:J,9,FALSE),"")</f>
        <v/>
      </c>
      <c r="F3572" s="26" t="str">
        <f>IFERROR(VLOOKUP(G3572,WholesaleExtract!B:J,6,FALSE),"")</f>
        <v/>
      </c>
      <c r="H3572" s="47" t="str">
        <f>IFERROR(VLOOKUP(G3572,WholesaleExtract!B:L,11,FALSE),"")</f>
        <v/>
      </c>
      <c r="I3572" s="26" t="str">
        <f>IFERROR(VLOOKUP(G3572,WholesaleExtract!B:O,8,FALSE),"")</f>
        <v/>
      </c>
      <c r="J3572" s="26" t="str">
        <f>IFERROR(VLOOKUP(G3572,WholesaleExtract!B:O,14,FALSE),"")</f>
        <v/>
      </c>
      <c r="K3572" s="26" t="str">
        <f>IFERROR(VLOOKUP(G3572,WholesaleExtract!B:K,10,FALSE),"")</f>
        <v/>
      </c>
      <c r="L3572" s="47" t="str">
        <f>IFERROR(VLOOKUP(G3572,WholesaleExtract!B:L,11,FALSE),"")</f>
        <v/>
      </c>
      <c r="M3572" s="47" t="str">
        <f>IFERROR(VLOOKUP(G3572,WholesaleExtract!B:M,12,FALSE),"")</f>
        <v/>
      </c>
      <c r="R3572" s="19"/>
      <c r="S3572" s="19"/>
    </row>
    <row r="3573" spans="1:19" x14ac:dyDescent="0.35">
      <c r="A3573" s="26" t="s">
        <v>543</v>
      </c>
      <c r="B3573" s="26" t="s">
        <v>543</v>
      </c>
      <c r="C3573" s="26"/>
      <c r="D3573" s="26" t="s">
        <v>543</v>
      </c>
      <c r="E3573" s="26" t="str">
        <f>IFERROR(VLOOKUP(G3573,WholesaleExtract!B:J,9,FALSE),"")</f>
        <v/>
      </c>
      <c r="F3573" s="26" t="str">
        <f>IFERROR(VLOOKUP(G3573,WholesaleExtract!B:J,6,FALSE),"")</f>
        <v/>
      </c>
      <c r="H3573" s="47" t="str">
        <f>IFERROR(VLOOKUP(G3573,WholesaleExtract!B:L,11,FALSE),"")</f>
        <v/>
      </c>
      <c r="I3573" s="26" t="str">
        <f>IFERROR(VLOOKUP(G3573,WholesaleExtract!B:O,8,FALSE),"")</f>
        <v/>
      </c>
      <c r="J3573" s="26" t="str">
        <f>IFERROR(VLOOKUP(G3573,WholesaleExtract!B:O,14,FALSE),"")</f>
        <v/>
      </c>
      <c r="K3573" s="26" t="str">
        <f>IFERROR(VLOOKUP(G3573,WholesaleExtract!B:K,10,FALSE),"")</f>
        <v/>
      </c>
      <c r="L3573" s="47" t="str">
        <f>IFERROR(VLOOKUP(G3573,WholesaleExtract!B:L,11,FALSE),"")</f>
        <v/>
      </c>
      <c r="M3573" s="47" t="str">
        <f>IFERROR(VLOOKUP(G3573,WholesaleExtract!B:M,12,FALSE),"")</f>
        <v/>
      </c>
      <c r="R3573" s="19"/>
      <c r="S3573" s="19"/>
    </row>
    <row r="3574" spans="1:19" x14ac:dyDescent="0.35">
      <c r="A3574" s="26" t="s">
        <v>543</v>
      </c>
      <c r="B3574" s="26" t="s">
        <v>543</v>
      </c>
      <c r="C3574" s="26"/>
      <c r="D3574" s="26" t="s">
        <v>543</v>
      </c>
      <c r="E3574" s="26" t="str">
        <f>IFERROR(VLOOKUP(G3574,WholesaleExtract!B:J,9,FALSE),"")</f>
        <v/>
      </c>
      <c r="F3574" s="26" t="str">
        <f>IFERROR(VLOOKUP(G3574,WholesaleExtract!B:J,6,FALSE),"")</f>
        <v/>
      </c>
      <c r="H3574" s="47" t="str">
        <f>IFERROR(VLOOKUP(G3574,WholesaleExtract!B:L,11,FALSE),"")</f>
        <v/>
      </c>
      <c r="I3574" s="26" t="str">
        <f>IFERROR(VLOOKUP(G3574,WholesaleExtract!B:O,8,FALSE),"")</f>
        <v/>
      </c>
      <c r="J3574" s="26" t="str">
        <f>IFERROR(VLOOKUP(G3574,WholesaleExtract!B:O,14,FALSE),"")</f>
        <v/>
      </c>
      <c r="K3574" s="26" t="str">
        <f>IFERROR(VLOOKUP(G3574,WholesaleExtract!B:K,10,FALSE),"")</f>
        <v/>
      </c>
      <c r="L3574" s="47" t="str">
        <f>IFERROR(VLOOKUP(G3574,WholesaleExtract!B:L,11,FALSE),"")</f>
        <v/>
      </c>
      <c r="M3574" s="47" t="str">
        <f>IFERROR(VLOOKUP(G3574,WholesaleExtract!B:M,12,FALSE),"")</f>
        <v/>
      </c>
      <c r="R3574" s="19"/>
      <c r="S3574" s="19"/>
    </row>
    <row r="3575" spans="1:19" x14ac:dyDescent="0.35">
      <c r="A3575" s="26" t="s">
        <v>543</v>
      </c>
      <c r="B3575" s="26" t="s">
        <v>543</v>
      </c>
      <c r="C3575" s="26"/>
      <c r="D3575" s="26" t="s">
        <v>543</v>
      </c>
      <c r="E3575" s="26" t="str">
        <f>IFERROR(VLOOKUP(G3575,WholesaleExtract!B:J,9,FALSE),"")</f>
        <v/>
      </c>
      <c r="F3575" s="26" t="str">
        <f>IFERROR(VLOOKUP(G3575,WholesaleExtract!B:J,6,FALSE),"")</f>
        <v/>
      </c>
      <c r="H3575" s="47" t="str">
        <f>IFERROR(VLOOKUP(G3575,WholesaleExtract!B:L,11,FALSE),"")</f>
        <v/>
      </c>
      <c r="I3575" s="26" t="str">
        <f>IFERROR(VLOOKUP(G3575,WholesaleExtract!B:O,8,FALSE),"")</f>
        <v/>
      </c>
      <c r="J3575" s="26" t="str">
        <f>IFERROR(VLOOKUP(G3575,WholesaleExtract!B:O,14,FALSE),"")</f>
        <v/>
      </c>
      <c r="K3575" s="26" t="str">
        <f>IFERROR(VLOOKUP(G3575,WholesaleExtract!B:K,10,FALSE),"")</f>
        <v/>
      </c>
      <c r="L3575" s="47" t="str">
        <f>IFERROR(VLOOKUP(G3575,WholesaleExtract!B:L,11,FALSE),"")</f>
        <v/>
      </c>
      <c r="M3575" s="47" t="str">
        <f>IFERROR(VLOOKUP(G3575,WholesaleExtract!B:M,12,FALSE),"")</f>
        <v/>
      </c>
      <c r="R3575" s="19"/>
      <c r="S3575" s="19"/>
    </row>
    <row r="3576" spans="1:19" x14ac:dyDescent="0.35">
      <c r="A3576" s="26" t="s">
        <v>543</v>
      </c>
      <c r="B3576" s="26" t="s">
        <v>543</v>
      </c>
      <c r="C3576" s="26"/>
      <c r="D3576" s="26" t="s">
        <v>543</v>
      </c>
      <c r="E3576" s="26" t="str">
        <f>IFERROR(VLOOKUP(G3576,WholesaleExtract!B:J,9,FALSE),"")</f>
        <v/>
      </c>
      <c r="F3576" s="26" t="str">
        <f>IFERROR(VLOOKUP(G3576,WholesaleExtract!B:J,6,FALSE),"")</f>
        <v/>
      </c>
      <c r="H3576" s="47" t="str">
        <f>IFERROR(VLOOKUP(G3576,WholesaleExtract!B:L,11,FALSE),"")</f>
        <v/>
      </c>
      <c r="I3576" s="26" t="str">
        <f>IFERROR(VLOOKUP(G3576,WholesaleExtract!B:O,8,FALSE),"")</f>
        <v/>
      </c>
      <c r="J3576" s="26" t="str">
        <f>IFERROR(VLOOKUP(G3576,WholesaleExtract!B:O,14,FALSE),"")</f>
        <v/>
      </c>
      <c r="K3576" s="26" t="str">
        <f>IFERROR(VLOOKUP(G3576,WholesaleExtract!B:K,10,FALSE),"")</f>
        <v/>
      </c>
      <c r="L3576" s="47" t="str">
        <f>IFERROR(VLOOKUP(G3576,WholesaleExtract!B:L,11,FALSE),"")</f>
        <v/>
      </c>
      <c r="M3576" s="47" t="str">
        <f>IFERROR(VLOOKUP(G3576,WholesaleExtract!B:M,12,FALSE),"")</f>
        <v/>
      </c>
      <c r="R3576" s="19"/>
      <c r="S3576" s="19"/>
    </row>
    <row r="3577" spans="1:19" x14ac:dyDescent="0.35">
      <c r="A3577" s="26" t="s">
        <v>543</v>
      </c>
      <c r="B3577" s="26" t="s">
        <v>543</v>
      </c>
      <c r="C3577" s="26"/>
      <c r="D3577" s="26" t="s">
        <v>543</v>
      </c>
      <c r="E3577" s="26" t="str">
        <f>IFERROR(VLOOKUP(G3577,WholesaleExtract!B:J,9,FALSE),"")</f>
        <v/>
      </c>
      <c r="F3577" s="26" t="str">
        <f>IFERROR(VLOOKUP(G3577,WholesaleExtract!B:J,6,FALSE),"")</f>
        <v/>
      </c>
      <c r="H3577" s="47" t="str">
        <f>IFERROR(VLOOKUP(G3577,WholesaleExtract!B:L,11,FALSE),"")</f>
        <v/>
      </c>
      <c r="I3577" s="26" t="str">
        <f>IFERROR(VLOOKUP(G3577,WholesaleExtract!B:O,8,FALSE),"")</f>
        <v/>
      </c>
      <c r="J3577" s="26" t="str">
        <f>IFERROR(VLOOKUP(G3577,WholesaleExtract!B:O,14,FALSE),"")</f>
        <v/>
      </c>
      <c r="K3577" s="26" t="str">
        <f>IFERROR(VLOOKUP(G3577,WholesaleExtract!B:K,10,FALSE),"")</f>
        <v/>
      </c>
      <c r="L3577" s="47" t="str">
        <f>IFERROR(VLOOKUP(G3577,WholesaleExtract!B:L,11,FALSE),"")</f>
        <v/>
      </c>
      <c r="M3577" s="47" t="str">
        <f>IFERROR(VLOOKUP(G3577,WholesaleExtract!B:M,12,FALSE),"")</f>
        <v/>
      </c>
      <c r="R3577" s="19"/>
      <c r="S3577" s="19"/>
    </row>
    <row r="3578" spans="1:19" x14ac:dyDescent="0.35">
      <c r="A3578" s="26" t="s">
        <v>543</v>
      </c>
      <c r="B3578" s="26" t="s">
        <v>543</v>
      </c>
      <c r="C3578" s="26"/>
      <c r="D3578" s="26" t="s">
        <v>543</v>
      </c>
      <c r="E3578" s="26" t="str">
        <f>IFERROR(VLOOKUP(G3578,WholesaleExtract!B:J,9,FALSE),"")</f>
        <v/>
      </c>
      <c r="F3578" s="26" t="str">
        <f>IFERROR(VLOOKUP(G3578,WholesaleExtract!B:J,6,FALSE),"")</f>
        <v/>
      </c>
      <c r="H3578" s="47" t="str">
        <f>IFERROR(VLOOKUP(G3578,WholesaleExtract!B:L,11,FALSE),"")</f>
        <v/>
      </c>
      <c r="I3578" s="26" t="str">
        <f>IFERROR(VLOOKUP(G3578,WholesaleExtract!B:O,8,FALSE),"")</f>
        <v/>
      </c>
      <c r="J3578" s="26" t="str">
        <f>IFERROR(VLOOKUP(G3578,WholesaleExtract!B:O,14,FALSE),"")</f>
        <v/>
      </c>
      <c r="K3578" s="26" t="str">
        <f>IFERROR(VLOOKUP(G3578,WholesaleExtract!B:K,10,FALSE),"")</f>
        <v/>
      </c>
      <c r="L3578" s="47" t="str">
        <f>IFERROR(VLOOKUP(G3578,WholesaleExtract!B:L,11,FALSE),"")</f>
        <v/>
      </c>
      <c r="M3578" s="47" t="str">
        <f>IFERROR(VLOOKUP(G3578,WholesaleExtract!B:M,12,FALSE),"")</f>
        <v/>
      </c>
      <c r="R3578" s="19"/>
      <c r="S3578" s="19"/>
    </row>
    <row r="3579" spans="1:19" x14ac:dyDescent="0.35">
      <c r="A3579" s="26" t="s">
        <v>543</v>
      </c>
      <c r="B3579" s="26" t="s">
        <v>543</v>
      </c>
      <c r="C3579" s="26"/>
      <c r="D3579" s="26" t="s">
        <v>543</v>
      </c>
      <c r="E3579" s="26" t="str">
        <f>IFERROR(VLOOKUP(G3579,WholesaleExtract!B:J,9,FALSE),"")</f>
        <v/>
      </c>
      <c r="F3579" s="26" t="str">
        <f>IFERROR(VLOOKUP(G3579,WholesaleExtract!B:J,6,FALSE),"")</f>
        <v/>
      </c>
      <c r="H3579" s="47" t="str">
        <f>IFERROR(VLOOKUP(G3579,WholesaleExtract!B:L,11,FALSE),"")</f>
        <v/>
      </c>
      <c r="I3579" s="26" t="str">
        <f>IFERROR(VLOOKUP(G3579,WholesaleExtract!B:O,8,FALSE),"")</f>
        <v/>
      </c>
      <c r="J3579" s="26" t="str">
        <f>IFERROR(VLOOKUP(G3579,WholesaleExtract!B:O,14,FALSE),"")</f>
        <v/>
      </c>
      <c r="K3579" s="26" t="str">
        <f>IFERROR(VLOOKUP(G3579,WholesaleExtract!B:K,10,FALSE),"")</f>
        <v/>
      </c>
      <c r="L3579" s="47" t="str">
        <f>IFERROR(VLOOKUP(G3579,WholesaleExtract!B:L,11,FALSE),"")</f>
        <v/>
      </c>
      <c r="M3579" s="47" t="str">
        <f>IFERROR(VLOOKUP(G3579,WholesaleExtract!B:M,12,FALSE),"")</f>
        <v/>
      </c>
      <c r="R3579" s="19"/>
      <c r="S3579" s="19"/>
    </row>
    <row r="3580" spans="1:19" x14ac:dyDescent="0.35">
      <c r="A3580" s="26" t="s">
        <v>543</v>
      </c>
      <c r="B3580" s="26" t="s">
        <v>543</v>
      </c>
      <c r="C3580" s="26"/>
      <c r="D3580" s="26" t="s">
        <v>543</v>
      </c>
      <c r="E3580" s="26" t="str">
        <f>IFERROR(VLOOKUP(G3580,WholesaleExtract!B:J,9,FALSE),"")</f>
        <v/>
      </c>
      <c r="F3580" s="26" t="str">
        <f>IFERROR(VLOOKUP(G3580,WholesaleExtract!B:J,6,FALSE),"")</f>
        <v/>
      </c>
      <c r="H3580" s="47" t="str">
        <f>IFERROR(VLOOKUP(G3580,WholesaleExtract!B:L,11,FALSE),"")</f>
        <v/>
      </c>
      <c r="I3580" s="26" t="str">
        <f>IFERROR(VLOOKUP(G3580,WholesaleExtract!B:O,8,FALSE),"")</f>
        <v/>
      </c>
      <c r="J3580" s="26" t="str">
        <f>IFERROR(VLOOKUP(G3580,WholesaleExtract!B:O,14,FALSE),"")</f>
        <v/>
      </c>
      <c r="K3580" s="26" t="str">
        <f>IFERROR(VLOOKUP(G3580,WholesaleExtract!B:K,10,FALSE),"")</f>
        <v/>
      </c>
      <c r="L3580" s="47" t="str">
        <f>IFERROR(VLOOKUP(G3580,WholesaleExtract!B:L,11,FALSE),"")</f>
        <v/>
      </c>
      <c r="M3580" s="47" t="str">
        <f>IFERROR(VLOOKUP(G3580,WholesaleExtract!B:M,12,FALSE),"")</f>
        <v/>
      </c>
      <c r="R3580" s="19"/>
      <c r="S3580" s="19"/>
    </row>
    <row r="3581" spans="1:19" x14ac:dyDescent="0.35">
      <c r="A3581" s="26" t="s">
        <v>543</v>
      </c>
      <c r="B3581" s="26" t="s">
        <v>543</v>
      </c>
      <c r="C3581" s="26"/>
      <c r="D3581" s="26" t="s">
        <v>543</v>
      </c>
      <c r="E3581" s="26" t="str">
        <f>IFERROR(VLOOKUP(G3581,WholesaleExtract!B:J,9,FALSE),"")</f>
        <v/>
      </c>
      <c r="F3581" s="26" t="str">
        <f>IFERROR(VLOOKUP(G3581,WholesaleExtract!B:J,6,FALSE),"")</f>
        <v/>
      </c>
      <c r="H3581" s="47" t="str">
        <f>IFERROR(VLOOKUP(G3581,WholesaleExtract!B:L,11,FALSE),"")</f>
        <v/>
      </c>
      <c r="I3581" s="26" t="str">
        <f>IFERROR(VLOOKUP(G3581,WholesaleExtract!B:O,8,FALSE),"")</f>
        <v/>
      </c>
      <c r="J3581" s="26" t="str">
        <f>IFERROR(VLOOKUP(G3581,WholesaleExtract!B:O,14,FALSE),"")</f>
        <v/>
      </c>
      <c r="K3581" s="26" t="str">
        <f>IFERROR(VLOOKUP(G3581,WholesaleExtract!B:K,10,FALSE),"")</f>
        <v/>
      </c>
      <c r="L3581" s="47" t="str">
        <f>IFERROR(VLOOKUP(G3581,WholesaleExtract!B:L,11,FALSE),"")</f>
        <v/>
      </c>
      <c r="M3581" s="47" t="str">
        <f>IFERROR(VLOOKUP(G3581,WholesaleExtract!B:M,12,FALSE),"")</f>
        <v/>
      </c>
      <c r="R3581" s="19"/>
      <c r="S3581" s="19"/>
    </row>
    <row r="3582" spans="1:19" x14ac:dyDescent="0.35">
      <c r="A3582" s="26" t="s">
        <v>543</v>
      </c>
      <c r="B3582" s="26" t="s">
        <v>543</v>
      </c>
      <c r="C3582" s="26"/>
      <c r="D3582" s="26" t="s">
        <v>543</v>
      </c>
      <c r="E3582" s="26" t="str">
        <f>IFERROR(VLOOKUP(G3582,WholesaleExtract!B:J,9,FALSE),"")</f>
        <v/>
      </c>
      <c r="F3582" s="26" t="str">
        <f>IFERROR(VLOOKUP(G3582,WholesaleExtract!B:J,6,FALSE),"")</f>
        <v/>
      </c>
      <c r="H3582" s="47" t="str">
        <f>IFERROR(VLOOKUP(G3582,WholesaleExtract!B:L,11,FALSE),"")</f>
        <v/>
      </c>
      <c r="I3582" s="26" t="str">
        <f>IFERROR(VLOOKUP(G3582,WholesaleExtract!B:O,8,FALSE),"")</f>
        <v/>
      </c>
      <c r="J3582" s="26" t="str">
        <f>IFERROR(VLOOKUP(G3582,WholesaleExtract!B:O,14,FALSE),"")</f>
        <v/>
      </c>
      <c r="K3582" s="26" t="str">
        <f>IFERROR(VLOOKUP(G3582,WholesaleExtract!B:K,10,FALSE),"")</f>
        <v/>
      </c>
      <c r="L3582" s="47" t="str">
        <f>IFERROR(VLOOKUP(G3582,WholesaleExtract!B:L,11,FALSE),"")</f>
        <v/>
      </c>
      <c r="M3582" s="47" t="str">
        <f>IFERROR(VLOOKUP(G3582,WholesaleExtract!B:M,12,FALSE),"")</f>
        <v/>
      </c>
      <c r="R3582" s="19"/>
      <c r="S3582" s="19"/>
    </row>
    <row r="3583" spans="1:19" x14ac:dyDescent="0.35">
      <c r="A3583" s="26" t="s">
        <v>543</v>
      </c>
      <c r="B3583" s="26" t="s">
        <v>543</v>
      </c>
      <c r="C3583" s="26"/>
      <c r="D3583" s="26" t="s">
        <v>543</v>
      </c>
      <c r="E3583" s="26" t="str">
        <f>IFERROR(VLOOKUP(G3583,WholesaleExtract!B:J,9,FALSE),"")</f>
        <v/>
      </c>
      <c r="F3583" s="26" t="str">
        <f>IFERROR(VLOOKUP(G3583,WholesaleExtract!B:J,6,FALSE),"")</f>
        <v/>
      </c>
      <c r="H3583" s="47" t="str">
        <f>IFERROR(VLOOKUP(G3583,WholesaleExtract!B:L,11,FALSE),"")</f>
        <v/>
      </c>
      <c r="I3583" s="26" t="str">
        <f>IFERROR(VLOOKUP(G3583,WholesaleExtract!B:O,8,FALSE),"")</f>
        <v/>
      </c>
      <c r="J3583" s="26" t="str">
        <f>IFERROR(VLOOKUP(G3583,WholesaleExtract!B:O,14,FALSE),"")</f>
        <v/>
      </c>
      <c r="K3583" s="26" t="str">
        <f>IFERROR(VLOOKUP(G3583,WholesaleExtract!B:K,10,FALSE),"")</f>
        <v/>
      </c>
      <c r="L3583" s="47" t="str">
        <f>IFERROR(VLOOKUP(G3583,WholesaleExtract!B:L,11,FALSE),"")</f>
        <v/>
      </c>
      <c r="M3583" s="47" t="str">
        <f>IFERROR(VLOOKUP(G3583,WholesaleExtract!B:M,12,FALSE),"")</f>
        <v/>
      </c>
      <c r="R3583" s="19"/>
      <c r="S3583" s="19"/>
    </row>
    <row r="3584" spans="1:19" x14ac:dyDescent="0.35">
      <c r="A3584" s="26" t="s">
        <v>543</v>
      </c>
      <c r="B3584" s="26" t="s">
        <v>543</v>
      </c>
      <c r="C3584" s="26"/>
      <c r="D3584" s="26" t="s">
        <v>543</v>
      </c>
      <c r="E3584" s="26" t="str">
        <f>IFERROR(VLOOKUP(G3584,WholesaleExtract!B:J,9,FALSE),"")</f>
        <v/>
      </c>
      <c r="F3584" s="26" t="str">
        <f>IFERROR(VLOOKUP(G3584,WholesaleExtract!B:J,6,FALSE),"")</f>
        <v/>
      </c>
      <c r="H3584" s="47" t="str">
        <f>IFERROR(VLOOKUP(G3584,WholesaleExtract!B:L,11,FALSE),"")</f>
        <v/>
      </c>
      <c r="I3584" s="26" t="str">
        <f>IFERROR(VLOOKUP(G3584,WholesaleExtract!B:O,8,FALSE),"")</f>
        <v/>
      </c>
      <c r="J3584" s="26" t="str">
        <f>IFERROR(VLOOKUP(G3584,WholesaleExtract!B:O,14,FALSE),"")</f>
        <v/>
      </c>
      <c r="K3584" s="26" t="str">
        <f>IFERROR(VLOOKUP(G3584,WholesaleExtract!B:K,10,FALSE),"")</f>
        <v/>
      </c>
      <c r="L3584" s="47" t="str">
        <f>IFERROR(VLOOKUP(G3584,WholesaleExtract!B:L,11,FALSE),"")</f>
        <v/>
      </c>
      <c r="M3584" s="47" t="str">
        <f>IFERROR(VLOOKUP(G3584,WholesaleExtract!B:M,12,FALSE),"")</f>
        <v/>
      </c>
      <c r="R3584" s="19"/>
      <c r="S3584" s="19"/>
    </row>
    <row r="3585" spans="1:19" x14ac:dyDescent="0.35">
      <c r="A3585" s="26" t="s">
        <v>543</v>
      </c>
      <c r="B3585" s="26" t="s">
        <v>543</v>
      </c>
      <c r="C3585" s="26"/>
      <c r="D3585" s="26" t="s">
        <v>543</v>
      </c>
      <c r="E3585" s="26" t="str">
        <f>IFERROR(VLOOKUP(G3585,WholesaleExtract!B:J,9,FALSE),"")</f>
        <v/>
      </c>
      <c r="F3585" s="26" t="str">
        <f>IFERROR(VLOOKUP(G3585,WholesaleExtract!B:J,6,FALSE),"")</f>
        <v/>
      </c>
      <c r="H3585" s="47" t="str">
        <f>IFERROR(VLOOKUP(G3585,WholesaleExtract!B:L,11,FALSE),"")</f>
        <v/>
      </c>
      <c r="I3585" s="26" t="str">
        <f>IFERROR(VLOOKUP(G3585,WholesaleExtract!B:O,8,FALSE),"")</f>
        <v/>
      </c>
      <c r="J3585" s="26" t="str">
        <f>IFERROR(VLOOKUP(G3585,WholesaleExtract!B:O,14,FALSE),"")</f>
        <v/>
      </c>
      <c r="K3585" s="26" t="str">
        <f>IFERROR(VLOOKUP(G3585,WholesaleExtract!B:K,10,FALSE),"")</f>
        <v/>
      </c>
      <c r="L3585" s="47" t="str">
        <f>IFERROR(VLOOKUP(G3585,WholesaleExtract!B:L,11,FALSE),"")</f>
        <v/>
      </c>
      <c r="M3585" s="47" t="str">
        <f>IFERROR(VLOOKUP(G3585,WholesaleExtract!B:M,12,FALSE),"")</f>
        <v/>
      </c>
      <c r="R3585" s="19"/>
      <c r="S3585" s="19"/>
    </row>
    <row r="3586" spans="1:19" x14ac:dyDescent="0.35">
      <c r="A3586" s="26" t="s">
        <v>543</v>
      </c>
      <c r="B3586" s="26" t="s">
        <v>543</v>
      </c>
      <c r="C3586" s="26"/>
      <c r="D3586" s="26" t="s">
        <v>543</v>
      </c>
      <c r="E3586" s="26" t="str">
        <f>IFERROR(VLOOKUP(G3586,WholesaleExtract!B:J,9,FALSE),"")</f>
        <v/>
      </c>
      <c r="F3586" s="26" t="str">
        <f>IFERROR(VLOOKUP(G3586,WholesaleExtract!B:J,6,FALSE),"")</f>
        <v/>
      </c>
      <c r="H3586" s="47" t="str">
        <f>IFERROR(VLOOKUP(G3586,WholesaleExtract!B:L,11,FALSE),"")</f>
        <v/>
      </c>
      <c r="I3586" s="26" t="str">
        <f>IFERROR(VLOOKUP(G3586,WholesaleExtract!B:O,8,FALSE),"")</f>
        <v/>
      </c>
      <c r="J3586" s="26" t="str">
        <f>IFERROR(VLOOKUP(G3586,WholesaleExtract!B:O,14,FALSE),"")</f>
        <v/>
      </c>
      <c r="K3586" s="26" t="str">
        <f>IFERROR(VLOOKUP(G3586,WholesaleExtract!B:K,10,FALSE),"")</f>
        <v/>
      </c>
      <c r="L3586" s="47" t="str">
        <f>IFERROR(VLOOKUP(G3586,WholesaleExtract!B:L,11,FALSE),"")</f>
        <v/>
      </c>
      <c r="M3586" s="47" t="str">
        <f>IFERROR(VLOOKUP(G3586,WholesaleExtract!B:M,12,FALSE),"")</f>
        <v/>
      </c>
      <c r="R3586" s="19"/>
      <c r="S3586" s="19"/>
    </row>
    <row r="3587" spans="1:19" x14ac:dyDescent="0.35">
      <c r="A3587" s="26" t="s">
        <v>543</v>
      </c>
      <c r="B3587" s="26" t="s">
        <v>543</v>
      </c>
      <c r="C3587" s="26"/>
      <c r="D3587" s="26" t="s">
        <v>543</v>
      </c>
      <c r="E3587" s="26" t="str">
        <f>IFERROR(VLOOKUP(G3587,WholesaleExtract!B:J,9,FALSE),"")</f>
        <v/>
      </c>
      <c r="F3587" s="26" t="str">
        <f>IFERROR(VLOOKUP(G3587,WholesaleExtract!B:J,6,FALSE),"")</f>
        <v/>
      </c>
      <c r="H3587" s="47" t="str">
        <f>IFERROR(VLOOKUP(G3587,WholesaleExtract!B:L,11,FALSE),"")</f>
        <v/>
      </c>
      <c r="I3587" s="26" t="str">
        <f>IFERROR(VLOOKUP(G3587,WholesaleExtract!B:O,8,FALSE),"")</f>
        <v/>
      </c>
      <c r="J3587" s="26" t="str">
        <f>IFERROR(VLOOKUP(G3587,WholesaleExtract!B:O,14,FALSE),"")</f>
        <v/>
      </c>
      <c r="K3587" s="26" t="str">
        <f>IFERROR(VLOOKUP(G3587,WholesaleExtract!B:K,10,FALSE),"")</f>
        <v/>
      </c>
      <c r="L3587" s="47" t="str">
        <f>IFERROR(VLOOKUP(G3587,WholesaleExtract!B:L,11,FALSE),"")</f>
        <v/>
      </c>
      <c r="M3587" s="47" t="str">
        <f>IFERROR(VLOOKUP(G3587,WholesaleExtract!B:M,12,FALSE),"")</f>
        <v/>
      </c>
      <c r="R3587" s="19"/>
      <c r="S3587" s="19"/>
    </row>
    <row r="3588" spans="1:19" x14ac:dyDescent="0.35">
      <c r="A3588" s="26" t="s">
        <v>543</v>
      </c>
      <c r="B3588" s="26" t="s">
        <v>543</v>
      </c>
      <c r="C3588" s="26"/>
      <c r="D3588" s="26" t="s">
        <v>543</v>
      </c>
      <c r="E3588" s="26" t="str">
        <f>IFERROR(VLOOKUP(G3588,WholesaleExtract!B:J,9,FALSE),"")</f>
        <v/>
      </c>
      <c r="F3588" s="26" t="str">
        <f>IFERROR(VLOOKUP(G3588,WholesaleExtract!B:J,6,FALSE),"")</f>
        <v/>
      </c>
      <c r="H3588" s="47" t="str">
        <f>IFERROR(VLOOKUP(G3588,WholesaleExtract!B:L,11,FALSE),"")</f>
        <v/>
      </c>
      <c r="I3588" s="26" t="str">
        <f>IFERROR(VLOOKUP(G3588,WholesaleExtract!B:O,8,FALSE),"")</f>
        <v/>
      </c>
      <c r="J3588" s="26" t="str">
        <f>IFERROR(VLOOKUP(G3588,WholesaleExtract!B:O,14,FALSE),"")</f>
        <v/>
      </c>
      <c r="K3588" s="26" t="str">
        <f>IFERROR(VLOOKUP(G3588,WholesaleExtract!B:K,10,FALSE),"")</f>
        <v/>
      </c>
      <c r="L3588" s="47" t="str">
        <f>IFERROR(VLOOKUP(G3588,WholesaleExtract!B:L,11,FALSE),"")</f>
        <v/>
      </c>
      <c r="M3588" s="47" t="str">
        <f>IFERROR(VLOOKUP(G3588,WholesaleExtract!B:M,12,FALSE),"")</f>
        <v/>
      </c>
      <c r="R3588" s="19"/>
      <c r="S3588" s="19"/>
    </row>
    <row r="3589" spans="1:19" x14ac:dyDescent="0.35">
      <c r="A3589" s="26" t="s">
        <v>543</v>
      </c>
      <c r="B3589" s="26" t="s">
        <v>543</v>
      </c>
      <c r="C3589" s="26"/>
      <c r="D3589" s="26" t="s">
        <v>543</v>
      </c>
      <c r="E3589" s="26" t="str">
        <f>IFERROR(VLOOKUP(G3589,WholesaleExtract!B:J,9,FALSE),"")</f>
        <v/>
      </c>
      <c r="F3589" s="26" t="str">
        <f>IFERROR(VLOOKUP(G3589,WholesaleExtract!B:J,6,FALSE),"")</f>
        <v/>
      </c>
      <c r="H3589" s="47" t="str">
        <f>IFERROR(VLOOKUP(G3589,WholesaleExtract!B:L,11,FALSE),"")</f>
        <v/>
      </c>
      <c r="I3589" s="26" t="str">
        <f>IFERROR(VLOOKUP(G3589,WholesaleExtract!B:O,8,FALSE),"")</f>
        <v/>
      </c>
      <c r="J3589" s="26" t="str">
        <f>IFERROR(VLOOKUP(G3589,WholesaleExtract!B:O,14,FALSE),"")</f>
        <v/>
      </c>
      <c r="K3589" s="26" t="str">
        <f>IFERROR(VLOOKUP(G3589,WholesaleExtract!B:K,10,FALSE),"")</f>
        <v/>
      </c>
      <c r="L3589" s="47" t="str">
        <f>IFERROR(VLOOKUP(G3589,WholesaleExtract!B:L,11,FALSE),"")</f>
        <v/>
      </c>
      <c r="M3589" s="47" t="str">
        <f>IFERROR(VLOOKUP(G3589,WholesaleExtract!B:M,12,FALSE),"")</f>
        <v/>
      </c>
      <c r="R3589" s="19"/>
      <c r="S3589" s="19"/>
    </row>
    <row r="3590" spans="1:19" x14ac:dyDescent="0.35">
      <c r="A3590" s="26" t="s">
        <v>543</v>
      </c>
      <c r="B3590" s="26" t="s">
        <v>543</v>
      </c>
      <c r="C3590" s="26"/>
      <c r="D3590" s="26" t="s">
        <v>543</v>
      </c>
      <c r="E3590" s="26" t="str">
        <f>IFERROR(VLOOKUP(G3590,WholesaleExtract!B:J,9,FALSE),"")</f>
        <v/>
      </c>
      <c r="F3590" s="26" t="str">
        <f>IFERROR(VLOOKUP(G3590,WholesaleExtract!B:J,6,FALSE),"")</f>
        <v/>
      </c>
      <c r="H3590" s="47" t="str">
        <f>IFERROR(VLOOKUP(G3590,WholesaleExtract!B:L,11,FALSE),"")</f>
        <v/>
      </c>
      <c r="I3590" s="26" t="str">
        <f>IFERROR(VLOOKUP(G3590,WholesaleExtract!B:O,8,FALSE),"")</f>
        <v/>
      </c>
      <c r="J3590" s="26" t="str">
        <f>IFERROR(VLOOKUP(G3590,WholesaleExtract!B:O,14,FALSE),"")</f>
        <v/>
      </c>
      <c r="K3590" s="26" t="str">
        <f>IFERROR(VLOOKUP(G3590,WholesaleExtract!B:K,10,FALSE),"")</f>
        <v/>
      </c>
      <c r="L3590" s="47" t="str">
        <f>IFERROR(VLOOKUP(G3590,WholesaleExtract!B:L,11,FALSE),"")</f>
        <v/>
      </c>
      <c r="M3590" s="47" t="str">
        <f>IFERROR(VLOOKUP(G3590,WholesaleExtract!B:M,12,FALSE),"")</f>
        <v/>
      </c>
      <c r="R3590" s="19"/>
      <c r="S3590" s="19"/>
    </row>
    <row r="3591" spans="1:19" x14ac:dyDescent="0.35">
      <c r="A3591" s="26" t="s">
        <v>543</v>
      </c>
      <c r="B3591" s="26" t="s">
        <v>543</v>
      </c>
      <c r="C3591" s="26"/>
      <c r="D3591" s="26" t="s">
        <v>543</v>
      </c>
      <c r="E3591" s="26" t="str">
        <f>IFERROR(VLOOKUP(G3591,WholesaleExtract!B:J,9,FALSE),"")</f>
        <v/>
      </c>
      <c r="F3591" s="26" t="str">
        <f>IFERROR(VLOOKUP(G3591,WholesaleExtract!B:J,6,FALSE),"")</f>
        <v/>
      </c>
      <c r="H3591" s="47" t="str">
        <f>IFERROR(VLOOKUP(G3591,WholesaleExtract!B:L,11,FALSE),"")</f>
        <v/>
      </c>
      <c r="I3591" s="26" t="str">
        <f>IFERROR(VLOOKUP(G3591,WholesaleExtract!B:O,8,FALSE),"")</f>
        <v/>
      </c>
      <c r="J3591" s="26" t="str">
        <f>IFERROR(VLOOKUP(G3591,WholesaleExtract!B:O,14,FALSE),"")</f>
        <v/>
      </c>
      <c r="K3591" s="26" t="str">
        <f>IFERROR(VLOOKUP(G3591,WholesaleExtract!B:K,10,FALSE),"")</f>
        <v/>
      </c>
      <c r="L3591" s="47" t="str">
        <f>IFERROR(VLOOKUP(G3591,WholesaleExtract!B:L,11,FALSE),"")</f>
        <v/>
      </c>
      <c r="M3591" s="47" t="str">
        <f>IFERROR(VLOOKUP(G3591,WholesaleExtract!B:M,12,FALSE),"")</f>
        <v/>
      </c>
      <c r="R3591" s="19"/>
      <c r="S3591" s="19"/>
    </row>
    <row r="3592" spans="1:19" x14ac:dyDescent="0.35">
      <c r="A3592" s="26" t="s">
        <v>543</v>
      </c>
      <c r="B3592" s="26" t="s">
        <v>543</v>
      </c>
      <c r="C3592" s="26"/>
      <c r="D3592" s="26" t="s">
        <v>543</v>
      </c>
      <c r="E3592" s="26" t="str">
        <f>IFERROR(VLOOKUP(G3592,WholesaleExtract!B:J,9,FALSE),"")</f>
        <v/>
      </c>
      <c r="F3592" s="26" t="str">
        <f>IFERROR(VLOOKUP(G3592,WholesaleExtract!B:J,6,FALSE),"")</f>
        <v/>
      </c>
      <c r="H3592" s="47" t="str">
        <f>IFERROR(VLOOKUP(G3592,WholesaleExtract!B:L,11,FALSE),"")</f>
        <v/>
      </c>
      <c r="I3592" s="26" t="str">
        <f>IFERROR(VLOOKUP(G3592,WholesaleExtract!B:O,8,FALSE),"")</f>
        <v/>
      </c>
      <c r="J3592" s="26" t="str">
        <f>IFERROR(VLOOKUP(G3592,WholesaleExtract!B:O,14,FALSE),"")</f>
        <v/>
      </c>
      <c r="K3592" s="26" t="str">
        <f>IFERROR(VLOOKUP(G3592,WholesaleExtract!B:K,10,FALSE),"")</f>
        <v/>
      </c>
      <c r="L3592" s="47" t="str">
        <f>IFERROR(VLOOKUP(G3592,WholesaleExtract!B:L,11,FALSE),"")</f>
        <v/>
      </c>
      <c r="M3592" s="47" t="str">
        <f>IFERROR(VLOOKUP(G3592,WholesaleExtract!B:M,12,FALSE),"")</f>
        <v/>
      </c>
      <c r="R3592" s="19"/>
      <c r="S3592" s="19"/>
    </row>
    <row r="3593" spans="1:19" x14ac:dyDescent="0.35">
      <c r="A3593" s="26" t="s">
        <v>543</v>
      </c>
      <c r="B3593" s="26" t="s">
        <v>543</v>
      </c>
      <c r="C3593" s="26"/>
      <c r="D3593" s="26" t="s">
        <v>543</v>
      </c>
      <c r="E3593" s="26" t="str">
        <f>IFERROR(VLOOKUP(G3593,WholesaleExtract!B:J,9,FALSE),"")</f>
        <v/>
      </c>
      <c r="F3593" s="26" t="str">
        <f>IFERROR(VLOOKUP(G3593,WholesaleExtract!B:J,6,FALSE),"")</f>
        <v/>
      </c>
      <c r="H3593" s="47" t="str">
        <f>IFERROR(VLOOKUP(G3593,WholesaleExtract!B:L,11,FALSE),"")</f>
        <v/>
      </c>
      <c r="I3593" s="26" t="str">
        <f>IFERROR(VLOOKUP(G3593,WholesaleExtract!B:O,8,FALSE),"")</f>
        <v/>
      </c>
      <c r="J3593" s="26" t="str">
        <f>IFERROR(VLOOKUP(G3593,WholesaleExtract!B:O,14,FALSE),"")</f>
        <v/>
      </c>
      <c r="K3593" s="26" t="str">
        <f>IFERROR(VLOOKUP(G3593,WholesaleExtract!B:K,10,FALSE),"")</f>
        <v/>
      </c>
      <c r="L3593" s="47" t="str">
        <f>IFERROR(VLOOKUP(G3593,WholesaleExtract!B:L,11,FALSE),"")</f>
        <v/>
      </c>
      <c r="M3593" s="47" t="str">
        <f>IFERROR(VLOOKUP(G3593,WholesaleExtract!B:M,12,FALSE),"")</f>
        <v/>
      </c>
      <c r="R3593" s="19"/>
      <c r="S3593" s="19"/>
    </row>
    <row r="3594" spans="1:19" x14ac:dyDescent="0.35">
      <c r="A3594" s="26" t="s">
        <v>543</v>
      </c>
      <c r="B3594" s="26" t="s">
        <v>543</v>
      </c>
      <c r="C3594" s="26"/>
      <c r="D3594" s="26" t="s">
        <v>543</v>
      </c>
      <c r="E3594" s="26" t="str">
        <f>IFERROR(VLOOKUP(G3594,WholesaleExtract!B:J,9,FALSE),"")</f>
        <v/>
      </c>
      <c r="F3594" s="26" t="str">
        <f>IFERROR(VLOOKUP(G3594,WholesaleExtract!B:J,6,FALSE),"")</f>
        <v/>
      </c>
      <c r="H3594" s="47" t="str">
        <f>IFERROR(VLOOKUP(G3594,WholesaleExtract!B:L,11,FALSE),"")</f>
        <v/>
      </c>
      <c r="I3594" s="26" t="str">
        <f>IFERROR(VLOOKUP(G3594,WholesaleExtract!B:O,8,FALSE),"")</f>
        <v/>
      </c>
      <c r="J3594" s="26" t="str">
        <f>IFERROR(VLOOKUP(G3594,WholesaleExtract!B:O,14,FALSE),"")</f>
        <v/>
      </c>
      <c r="K3594" s="26" t="str">
        <f>IFERROR(VLOOKUP(G3594,WholesaleExtract!B:K,10,FALSE),"")</f>
        <v/>
      </c>
      <c r="L3594" s="47" t="str">
        <f>IFERROR(VLOOKUP(G3594,WholesaleExtract!B:L,11,FALSE),"")</f>
        <v/>
      </c>
      <c r="M3594" s="47" t="str">
        <f>IFERROR(VLOOKUP(G3594,WholesaleExtract!B:M,12,FALSE),"")</f>
        <v/>
      </c>
      <c r="R3594" s="19"/>
      <c r="S3594" s="19"/>
    </row>
    <row r="3595" spans="1:19" x14ac:dyDescent="0.35">
      <c r="A3595" s="26" t="s">
        <v>543</v>
      </c>
      <c r="B3595" s="26" t="s">
        <v>543</v>
      </c>
      <c r="C3595" s="26"/>
      <c r="D3595" s="26" t="s">
        <v>543</v>
      </c>
      <c r="E3595" s="26" t="str">
        <f>IFERROR(VLOOKUP(G3595,WholesaleExtract!B:J,9,FALSE),"")</f>
        <v/>
      </c>
      <c r="F3595" s="26" t="str">
        <f>IFERROR(VLOOKUP(G3595,WholesaleExtract!B:J,6,FALSE),"")</f>
        <v/>
      </c>
      <c r="H3595" s="47" t="str">
        <f>IFERROR(VLOOKUP(G3595,WholesaleExtract!B:L,11,FALSE),"")</f>
        <v/>
      </c>
      <c r="I3595" s="26" t="str">
        <f>IFERROR(VLOOKUP(G3595,WholesaleExtract!B:O,8,FALSE),"")</f>
        <v/>
      </c>
      <c r="J3595" s="26" t="str">
        <f>IFERROR(VLOOKUP(G3595,WholesaleExtract!B:O,14,FALSE),"")</f>
        <v/>
      </c>
      <c r="K3595" s="26" t="str">
        <f>IFERROR(VLOOKUP(G3595,WholesaleExtract!B:K,10,FALSE),"")</f>
        <v/>
      </c>
      <c r="L3595" s="47" t="str">
        <f>IFERROR(VLOOKUP(G3595,WholesaleExtract!B:L,11,FALSE),"")</f>
        <v/>
      </c>
      <c r="M3595" s="47" t="str">
        <f>IFERROR(VLOOKUP(G3595,WholesaleExtract!B:M,12,FALSE),"")</f>
        <v/>
      </c>
      <c r="R3595" s="19"/>
      <c r="S3595" s="19"/>
    </row>
    <row r="3596" spans="1:19" x14ac:dyDescent="0.35">
      <c r="A3596" s="26" t="s">
        <v>543</v>
      </c>
      <c r="B3596" s="26" t="s">
        <v>543</v>
      </c>
      <c r="C3596" s="26"/>
      <c r="D3596" s="26" t="s">
        <v>543</v>
      </c>
      <c r="E3596" s="26" t="str">
        <f>IFERROR(VLOOKUP(G3596,WholesaleExtract!B:J,9,FALSE),"")</f>
        <v/>
      </c>
      <c r="F3596" s="26" t="str">
        <f>IFERROR(VLOOKUP(G3596,WholesaleExtract!B:J,6,FALSE),"")</f>
        <v/>
      </c>
      <c r="H3596" s="47" t="str">
        <f>IFERROR(VLOOKUP(G3596,WholesaleExtract!B:L,11,FALSE),"")</f>
        <v/>
      </c>
      <c r="I3596" s="26" t="str">
        <f>IFERROR(VLOOKUP(G3596,WholesaleExtract!B:O,8,FALSE),"")</f>
        <v/>
      </c>
      <c r="J3596" s="26" t="str">
        <f>IFERROR(VLOOKUP(G3596,WholesaleExtract!B:O,14,FALSE),"")</f>
        <v/>
      </c>
      <c r="K3596" s="26" t="str">
        <f>IFERROR(VLOOKUP(G3596,WholesaleExtract!B:K,10,FALSE),"")</f>
        <v/>
      </c>
      <c r="L3596" s="47" t="str">
        <f>IFERROR(VLOOKUP(G3596,WholesaleExtract!B:L,11,FALSE),"")</f>
        <v/>
      </c>
      <c r="M3596" s="47" t="str">
        <f>IFERROR(VLOOKUP(G3596,WholesaleExtract!B:M,12,FALSE),"")</f>
        <v/>
      </c>
      <c r="R3596" s="19"/>
      <c r="S3596" s="19"/>
    </row>
    <row r="3597" spans="1:19" x14ac:dyDescent="0.35">
      <c r="A3597" s="26" t="s">
        <v>543</v>
      </c>
      <c r="B3597" s="26" t="s">
        <v>543</v>
      </c>
      <c r="C3597" s="26"/>
      <c r="D3597" s="26" t="s">
        <v>543</v>
      </c>
      <c r="E3597" s="26" t="str">
        <f>IFERROR(VLOOKUP(G3597,WholesaleExtract!B:J,9,FALSE),"")</f>
        <v/>
      </c>
      <c r="F3597" s="26" t="str">
        <f>IFERROR(VLOOKUP(G3597,WholesaleExtract!B:J,6,FALSE),"")</f>
        <v/>
      </c>
      <c r="H3597" s="47" t="str">
        <f>IFERROR(VLOOKUP(G3597,WholesaleExtract!B:L,11,FALSE),"")</f>
        <v/>
      </c>
      <c r="I3597" s="26" t="str">
        <f>IFERROR(VLOOKUP(G3597,WholesaleExtract!B:O,8,FALSE),"")</f>
        <v/>
      </c>
      <c r="J3597" s="26" t="str">
        <f>IFERROR(VLOOKUP(G3597,WholesaleExtract!B:O,14,FALSE),"")</f>
        <v/>
      </c>
      <c r="K3597" s="26" t="str">
        <f>IFERROR(VLOOKUP(G3597,WholesaleExtract!B:K,10,FALSE),"")</f>
        <v/>
      </c>
      <c r="L3597" s="47" t="str">
        <f>IFERROR(VLOOKUP(G3597,WholesaleExtract!B:L,11,FALSE),"")</f>
        <v/>
      </c>
      <c r="M3597" s="47" t="str">
        <f>IFERROR(VLOOKUP(G3597,WholesaleExtract!B:M,12,FALSE),"")</f>
        <v/>
      </c>
      <c r="R3597" s="19"/>
      <c r="S3597" s="19"/>
    </row>
    <row r="3598" spans="1:19" x14ac:dyDescent="0.35">
      <c r="A3598" s="26" t="s">
        <v>543</v>
      </c>
      <c r="B3598" s="26" t="s">
        <v>543</v>
      </c>
      <c r="C3598" s="26"/>
      <c r="D3598" s="26" t="s">
        <v>543</v>
      </c>
      <c r="E3598" s="26" t="str">
        <f>IFERROR(VLOOKUP(G3598,WholesaleExtract!B:J,9,FALSE),"")</f>
        <v/>
      </c>
      <c r="F3598" s="26" t="str">
        <f>IFERROR(VLOOKUP(G3598,WholesaleExtract!B:J,6,FALSE),"")</f>
        <v/>
      </c>
      <c r="H3598" s="47" t="str">
        <f>IFERROR(VLOOKUP(G3598,WholesaleExtract!B:L,11,FALSE),"")</f>
        <v/>
      </c>
      <c r="I3598" s="26" t="str">
        <f>IFERROR(VLOOKUP(G3598,WholesaleExtract!B:O,8,FALSE),"")</f>
        <v/>
      </c>
      <c r="J3598" s="26" t="str">
        <f>IFERROR(VLOOKUP(G3598,WholesaleExtract!B:O,14,FALSE),"")</f>
        <v/>
      </c>
      <c r="K3598" s="26" t="str">
        <f>IFERROR(VLOOKUP(G3598,WholesaleExtract!B:K,10,FALSE),"")</f>
        <v/>
      </c>
      <c r="L3598" s="47" t="str">
        <f>IFERROR(VLOOKUP(G3598,WholesaleExtract!B:L,11,FALSE),"")</f>
        <v/>
      </c>
      <c r="M3598" s="47" t="str">
        <f>IFERROR(VLOOKUP(G3598,WholesaleExtract!B:M,12,FALSE),"")</f>
        <v/>
      </c>
      <c r="R3598" s="19"/>
      <c r="S3598" s="19"/>
    </row>
    <row r="3599" spans="1:19" x14ac:dyDescent="0.35">
      <c r="A3599" s="26" t="s">
        <v>543</v>
      </c>
      <c r="B3599" s="26" t="s">
        <v>543</v>
      </c>
      <c r="C3599" s="26"/>
      <c r="D3599" s="26" t="s">
        <v>543</v>
      </c>
      <c r="E3599" s="26" t="str">
        <f>IFERROR(VLOOKUP(G3599,WholesaleExtract!B:J,9,FALSE),"")</f>
        <v/>
      </c>
      <c r="F3599" s="26" t="str">
        <f>IFERROR(VLOOKUP(G3599,WholesaleExtract!B:J,6,FALSE),"")</f>
        <v/>
      </c>
      <c r="H3599" s="47" t="str">
        <f>IFERROR(VLOOKUP(G3599,WholesaleExtract!B:L,11,FALSE),"")</f>
        <v/>
      </c>
      <c r="I3599" s="26" t="str">
        <f>IFERROR(VLOOKUP(G3599,WholesaleExtract!B:O,8,FALSE),"")</f>
        <v/>
      </c>
      <c r="J3599" s="26" t="str">
        <f>IFERROR(VLOOKUP(G3599,WholesaleExtract!B:O,14,FALSE),"")</f>
        <v/>
      </c>
      <c r="K3599" s="26" t="str">
        <f>IFERROR(VLOOKUP(G3599,WholesaleExtract!B:K,10,FALSE),"")</f>
        <v/>
      </c>
      <c r="L3599" s="47" t="str">
        <f>IFERROR(VLOOKUP(G3599,WholesaleExtract!B:L,11,FALSE),"")</f>
        <v/>
      </c>
      <c r="M3599" s="47" t="str">
        <f>IFERROR(VLOOKUP(G3599,WholesaleExtract!B:M,12,FALSE),"")</f>
        <v/>
      </c>
      <c r="R3599" s="19"/>
      <c r="S3599" s="19"/>
    </row>
    <row r="3600" spans="1:19" x14ac:dyDescent="0.35">
      <c r="A3600" s="26" t="s">
        <v>543</v>
      </c>
      <c r="B3600" s="26" t="s">
        <v>543</v>
      </c>
      <c r="C3600" s="26"/>
      <c r="D3600" s="26" t="s">
        <v>543</v>
      </c>
      <c r="E3600" s="26" t="str">
        <f>IFERROR(VLOOKUP(G3600,WholesaleExtract!B:J,9,FALSE),"")</f>
        <v/>
      </c>
      <c r="F3600" s="26" t="str">
        <f>IFERROR(VLOOKUP(G3600,WholesaleExtract!B:J,6,FALSE),"")</f>
        <v/>
      </c>
      <c r="H3600" s="47" t="str">
        <f>IFERROR(VLOOKUP(G3600,WholesaleExtract!B:L,11,FALSE),"")</f>
        <v/>
      </c>
      <c r="I3600" s="26" t="str">
        <f>IFERROR(VLOOKUP(G3600,WholesaleExtract!B:O,8,FALSE),"")</f>
        <v/>
      </c>
      <c r="J3600" s="26" t="str">
        <f>IFERROR(VLOOKUP(G3600,WholesaleExtract!B:O,14,FALSE),"")</f>
        <v/>
      </c>
      <c r="K3600" s="26" t="str">
        <f>IFERROR(VLOOKUP(G3600,WholesaleExtract!B:K,10,FALSE),"")</f>
        <v/>
      </c>
      <c r="L3600" s="47" t="str">
        <f>IFERROR(VLOOKUP(G3600,WholesaleExtract!B:L,11,FALSE),"")</f>
        <v/>
      </c>
      <c r="M3600" s="47" t="str">
        <f>IFERROR(VLOOKUP(G3600,WholesaleExtract!B:M,12,FALSE),"")</f>
        <v/>
      </c>
      <c r="R3600" s="19"/>
      <c r="S3600" s="19"/>
    </row>
    <row r="3601" spans="1:19" x14ac:dyDescent="0.35">
      <c r="A3601" s="26" t="s">
        <v>543</v>
      </c>
      <c r="B3601" s="26" t="s">
        <v>543</v>
      </c>
      <c r="C3601" s="26"/>
      <c r="D3601" s="26" t="s">
        <v>543</v>
      </c>
      <c r="E3601" s="26" t="str">
        <f>IFERROR(VLOOKUP(G3601,WholesaleExtract!B:J,9,FALSE),"")</f>
        <v/>
      </c>
      <c r="F3601" s="26" t="str">
        <f>IFERROR(VLOOKUP(G3601,WholesaleExtract!B:J,6,FALSE),"")</f>
        <v/>
      </c>
      <c r="H3601" s="47" t="str">
        <f>IFERROR(VLOOKUP(G3601,WholesaleExtract!B:L,11,FALSE),"")</f>
        <v/>
      </c>
      <c r="I3601" s="26" t="str">
        <f>IFERROR(VLOOKUP(G3601,WholesaleExtract!B:O,8,FALSE),"")</f>
        <v/>
      </c>
      <c r="J3601" s="26" t="str">
        <f>IFERROR(VLOOKUP(G3601,WholesaleExtract!B:O,14,FALSE),"")</f>
        <v/>
      </c>
      <c r="K3601" s="26" t="str">
        <f>IFERROR(VLOOKUP(G3601,WholesaleExtract!B:K,10,FALSE),"")</f>
        <v/>
      </c>
      <c r="L3601" s="47" t="str">
        <f>IFERROR(VLOOKUP(G3601,WholesaleExtract!B:L,11,FALSE),"")</f>
        <v/>
      </c>
      <c r="M3601" s="47" t="str">
        <f>IFERROR(VLOOKUP(G3601,WholesaleExtract!B:M,12,FALSE),"")</f>
        <v/>
      </c>
      <c r="R3601" s="19"/>
      <c r="S3601" s="19"/>
    </row>
    <row r="3602" spans="1:19" x14ac:dyDescent="0.35">
      <c r="A3602" s="26" t="s">
        <v>543</v>
      </c>
      <c r="B3602" s="26" t="s">
        <v>543</v>
      </c>
      <c r="C3602" s="26"/>
      <c r="D3602" s="26" t="s">
        <v>543</v>
      </c>
      <c r="E3602" s="26" t="str">
        <f>IFERROR(VLOOKUP(G3602,WholesaleExtract!B:J,9,FALSE),"")</f>
        <v/>
      </c>
      <c r="F3602" s="26" t="str">
        <f>IFERROR(VLOOKUP(G3602,WholesaleExtract!B:J,6,FALSE),"")</f>
        <v/>
      </c>
      <c r="H3602" s="47" t="str">
        <f>IFERROR(VLOOKUP(G3602,WholesaleExtract!B:L,11,FALSE),"")</f>
        <v/>
      </c>
      <c r="I3602" s="26" t="str">
        <f>IFERROR(VLOOKUP(G3602,WholesaleExtract!B:O,8,FALSE),"")</f>
        <v/>
      </c>
      <c r="J3602" s="26" t="str">
        <f>IFERROR(VLOOKUP(G3602,WholesaleExtract!B:O,14,FALSE),"")</f>
        <v/>
      </c>
      <c r="K3602" s="26" t="str">
        <f>IFERROR(VLOOKUP(G3602,WholesaleExtract!B:K,10,FALSE),"")</f>
        <v/>
      </c>
      <c r="L3602" s="47" t="str">
        <f>IFERROR(VLOOKUP(G3602,WholesaleExtract!B:L,11,FALSE),"")</f>
        <v/>
      </c>
      <c r="M3602" s="47" t="str">
        <f>IFERROR(VLOOKUP(G3602,WholesaleExtract!B:M,12,FALSE),"")</f>
        <v/>
      </c>
      <c r="R3602" s="19"/>
      <c r="S3602" s="19"/>
    </row>
    <row r="3603" spans="1:19" x14ac:dyDescent="0.35">
      <c r="A3603" s="26" t="s">
        <v>543</v>
      </c>
      <c r="B3603" s="26" t="s">
        <v>543</v>
      </c>
      <c r="C3603" s="26"/>
      <c r="D3603" s="26" t="s">
        <v>543</v>
      </c>
      <c r="E3603" s="26" t="str">
        <f>IFERROR(VLOOKUP(G3603,WholesaleExtract!B:J,9,FALSE),"")</f>
        <v/>
      </c>
      <c r="F3603" s="26" t="str">
        <f>IFERROR(VLOOKUP(G3603,WholesaleExtract!B:J,6,FALSE),"")</f>
        <v/>
      </c>
      <c r="H3603" s="47" t="str">
        <f>IFERROR(VLOOKUP(G3603,WholesaleExtract!B:L,11,FALSE),"")</f>
        <v/>
      </c>
      <c r="I3603" s="26" t="str">
        <f>IFERROR(VLOOKUP(G3603,WholesaleExtract!B:O,8,FALSE),"")</f>
        <v/>
      </c>
      <c r="J3603" s="26" t="str">
        <f>IFERROR(VLOOKUP(G3603,WholesaleExtract!B:O,14,FALSE),"")</f>
        <v/>
      </c>
      <c r="K3603" s="26" t="str">
        <f>IFERROR(VLOOKUP(G3603,WholesaleExtract!B:K,10,FALSE),"")</f>
        <v/>
      </c>
      <c r="L3603" s="47" t="str">
        <f>IFERROR(VLOOKUP(G3603,WholesaleExtract!B:L,11,FALSE),"")</f>
        <v/>
      </c>
      <c r="M3603" s="47" t="str">
        <f>IFERROR(VLOOKUP(G3603,WholesaleExtract!B:M,12,FALSE),"")</f>
        <v/>
      </c>
      <c r="R3603" s="19"/>
      <c r="S3603" s="19"/>
    </row>
    <row r="3604" spans="1:19" x14ac:dyDescent="0.35">
      <c r="A3604" s="26" t="s">
        <v>543</v>
      </c>
      <c r="B3604" s="26" t="s">
        <v>543</v>
      </c>
      <c r="C3604" s="26"/>
      <c r="D3604" s="26" t="s">
        <v>543</v>
      </c>
      <c r="E3604" s="26" t="str">
        <f>IFERROR(VLOOKUP(G3604,WholesaleExtract!B:J,9,FALSE),"")</f>
        <v/>
      </c>
      <c r="F3604" s="26" t="str">
        <f>IFERROR(VLOOKUP(G3604,WholesaleExtract!B:J,6,FALSE),"")</f>
        <v/>
      </c>
      <c r="H3604" s="47" t="str">
        <f>IFERROR(VLOOKUP(G3604,WholesaleExtract!B:L,11,FALSE),"")</f>
        <v/>
      </c>
      <c r="I3604" s="26" t="str">
        <f>IFERROR(VLOOKUP(G3604,WholesaleExtract!B:O,8,FALSE),"")</f>
        <v/>
      </c>
      <c r="J3604" s="26" t="str">
        <f>IFERROR(VLOOKUP(G3604,WholesaleExtract!B:O,14,FALSE),"")</f>
        <v/>
      </c>
      <c r="K3604" s="26" t="str">
        <f>IFERROR(VLOOKUP(G3604,WholesaleExtract!B:K,10,FALSE),"")</f>
        <v/>
      </c>
      <c r="L3604" s="47" t="str">
        <f>IFERROR(VLOOKUP(G3604,WholesaleExtract!B:L,11,FALSE),"")</f>
        <v/>
      </c>
      <c r="M3604" s="47" t="str">
        <f>IFERROR(VLOOKUP(G3604,WholesaleExtract!B:M,12,FALSE),"")</f>
        <v/>
      </c>
      <c r="R3604" s="19"/>
      <c r="S3604" s="19"/>
    </row>
    <row r="3605" spans="1:19" x14ac:dyDescent="0.35">
      <c r="A3605" s="26" t="s">
        <v>543</v>
      </c>
      <c r="B3605" s="26" t="s">
        <v>543</v>
      </c>
      <c r="C3605" s="26"/>
      <c r="D3605" s="26" t="s">
        <v>543</v>
      </c>
      <c r="E3605" s="26" t="str">
        <f>IFERROR(VLOOKUP(G3605,WholesaleExtract!B:J,9,FALSE),"")</f>
        <v/>
      </c>
      <c r="F3605" s="26" t="str">
        <f>IFERROR(VLOOKUP(G3605,WholesaleExtract!B:J,6,FALSE),"")</f>
        <v/>
      </c>
      <c r="H3605" s="47" t="str">
        <f>IFERROR(VLOOKUP(G3605,WholesaleExtract!B:L,11,FALSE),"")</f>
        <v/>
      </c>
      <c r="I3605" s="26" t="str">
        <f>IFERROR(VLOOKUP(G3605,WholesaleExtract!B:O,8,FALSE),"")</f>
        <v/>
      </c>
      <c r="J3605" s="26" t="str">
        <f>IFERROR(VLOOKUP(G3605,WholesaleExtract!B:O,14,FALSE),"")</f>
        <v/>
      </c>
      <c r="K3605" s="26" t="str">
        <f>IFERROR(VLOOKUP(G3605,WholesaleExtract!B:K,10,FALSE),"")</f>
        <v/>
      </c>
      <c r="L3605" s="47" t="str">
        <f>IFERROR(VLOOKUP(G3605,WholesaleExtract!B:L,11,FALSE),"")</f>
        <v/>
      </c>
      <c r="M3605" s="47" t="str">
        <f>IFERROR(VLOOKUP(G3605,WholesaleExtract!B:M,12,FALSE),"")</f>
        <v/>
      </c>
      <c r="R3605" s="19"/>
      <c r="S3605" s="19"/>
    </row>
    <row r="3606" spans="1:19" x14ac:dyDescent="0.35">
      <c r="A3606" s="26" t="s">
        <v>543</v>
      </c>
      <c r="B3606" s="26" t="s">
        <v>543</v>
      </c>
      <c r="C3606" s="26"/>
      <c r="D3606" s="26" t="s">
        <v>543</v>
      </c>
      <c r="E3606" s="26" t="str">
        <f>IFERROR(VLOOKUP(G3606,WholesaleExtract!B:J,9,FALSE),"")</f>
        <v/>
      </c>
      <c r="F3606" s="26" t="str">
        <f>IFERROR(VLOOKUP(G3606,WholesaleExtract!B:J,6,FALSE),"")</f>
        <v/>
      </c>
      <c r="H3606" s="47" t="str">
        <f>IFERROR(VLOOKUP(G3606,WholesaleExtract!B:L,11,FALSE),"")</f>
        <v/>
      </c>
      <c r="I3606" s="26" t="str">
        <f>IFERROR(VLOOKUP(G3606,WholesaleExtract!B:O,8,FALSE),"")</f>
        <v/>
      </c>
      <c r="J3606" s="26" t="str">
        <f>IFERROR(VLOOKUP(G3606,WholesaleExtract!B:O,14,FALSE),"")</f>
        <v/>
      </c>
      <c r="K3606" s="26" t="str">
        <f>IFERROR(VLOOKUP(G3606,WholesaleExtract!B:K,10,FALSE),"")</f>
        <v/>
      </c>
      <c r="L3606" s="47" t="str">
        <f>IFERROR(VLOOKUP(G3606,WholesaleExtract!B:L,11,FALSE),"")</f>
        <v/>
      </c>
      <c r="M3606" s="47" t="str">
        <f>IFERROR(VLOOKUP(G3606,WholesaleExtract!B:M,12,FALSE),"")</f>
        <v/>
      </c>
      <c r="R3606" s="19"/>
      <c r="S3606" s="19"/>
    </row>
    <row r="3607" spans="1:19" x14ac:dyDescent="0.35">
      <c r="A3607" s="26" t="s">
        <v>543</v>
      </c>
      <c r="B3607" s="26" t="s">
        <v>543</v>
      </c>
      <c r="C3607" s="26"/>
      <c r="D3607" s="26" t="s">
        <v>543</v>
      </c>
      <c r="E3607" s="26" t="str">
        <f>IFERROR(VLOOKUP(G3607,WholesaleExtract!B:J,9,FALSE),"")</f>
        <v/>
      </c>
      <c r="F3607" s="26" t="str">
        <f>IFERROR(VLOOKUP(G3607,WholesaleExtract!B:J,6,FALSE),"")</f>
        <v/>
      </c>
      <c r="H3607" s="47" t="str">
        <f>IFERROR(VLOOKUP(G3607,WholesaleExtract!B:L,11,FALSE),"")</f>
        <v/>
      </c>
      <c r="I3607" s="26" t="str">
        <f>IFERROR(VLOOKUP(G3607,WholesaleExtract!B:O,8,FALSE),"")</f>
        <v/>
      </c>
      <c r="J3607" s="26" t="str">
        <f>IFERROR(VLOOKUP(G3607,WholesaleExtract!B:O,14,FALSE),"")</f>
        <v/>
      </c>
      <c r="K3607" s="26" t="str">
        <f>IFERROR(VLOOKUP(G3607,WholesaleExtract!B:K,10,FALSE),"")</f>
        <v/>
      </c>
      <c r="L3607" s="47" t="str">
        <f>IFERROR(VLOOKUP(G3607,WholesaleExtract!B:L,11,FALSE),"")</f>
        <v/>
      </c>
      <c r="M3607" s="47" t="str">
        <f>IFERROR(VLOOKUP(G3607,WholesaleExtract!B:M,12,FALSE),"")</f>
        <v/>
      </c>
      <c r="R3607" s="19"/>
      <c r="S3607" s="19"/>
    </row>
    <row r="3608" spans="1:19" x14ac:dyDescent="0.35">
      <c r="A3608" s="26" t="s">
        <v>543</v>
      </c>
      <c r="B3608" s="26" t="s">
        <v>543</v>
      </c>
      <c r="C3608" s="26"/>
      <c r="D3608" s="26" t="s">
        <v>543</v>
      </c>
      <c r="E3608" s="26" t="str">
        <f>IFERROR(VLOOKUP(G3608,WholesaleExtract!B:J,9,FALSE),"")</f>
        <v/>
      </c>
      <c r="F3608" s="26" t="str">
        <f>IFERROR(VLOOKUP(G3608,WholesaleExtract!B:J,6,FALSE),"")</f>
        <v/>
      </c>
      <c r="H3608" s="47" t="str">
        <f>IFERROR(VLOOKUP(G3608,WholesaleExtract!B:L,11,FALSE),"")</f>
        <v/>
      </c>
      <c r="I3608" s="26" t="str">
        <f>IFERROR(VLOOKUP(G3608,WholesaleExtract!B:O,8,FALSE),"")</f>
        <v/>
      </c>
      <c r="J3608" s="26" t="str">
        <f>IFERROR(VLOOKUP(G3608,WholesaleExtract!B:O,14,FALSE),"")</f>
        <v/>
      </c>
      <c r="K3608" s="26" t="str">
        <f>IFERROR(VLOOKUP(G3608,WholesaleExtract!B:K,10,FALSE),"")</f>
        <v/>
      </c>
      <c r="L3608" s="47" t="str">
        <f>IFERROR(VLOOKUP(G3608,WholesaleExtract!B:L,11,FALSE),"")</f>
        <v/>
      </c>
      <c r="M3608" s="47" t="str">
        <f>IFERROR(VLOOKUP(G3608,WholesaleExtract!B:M,12,FALSE),"")</f>
        <v/>
      </c>
      <c r="R3608" s="19"/>
      <c r="S3608" s="19"/>
    </row>
    <row r="3609" spans="1:19" x14ac:dyDescent="0.35">
      <c r="A3609" s="26" t="s">
        <v>543</v>
      </c>
      <c r="B3609" s="26" t="s">
        <v>543</v>
      </c>
      <c r="C3609" s="26"/>
      <c r="D3609" s="26" t="s">
        <v>543</v>
      </c>
      <c r="E3609" s="26" t="str">
        <f>IFERROR(VLOOKUP(G3609,WholesaleExtract!B:J,9,FALSE),"")</f>
        <v/>
      </c>
      <c r="F3609" s="26" t="str">
        <f>IFERROR(VLOOKUP(G3609,WholesaleExtract!B:J,6,FALSE),"")</f>
        <v/>
      </c>
      <c r="H3609" s="47" t="str">
        <f>IFERROR(VLOOKUP(G3609,WholesaleExtract!B:L,11,FALSE),"")</f>
        <v/>
      </c>
      <c r="I3609" s="26" t="str">
        <f>IFERROR(VLOOKUP(G3609,WholesaleExtract!B:O,8,FALSE),"")</f>
        <v/>
      </c>
      <c r="J3609" s="26" t="str">
        <f>IFERROR(VLOOKUP(G3609,WholesaleExtract!B:O,14,FALSE),"")</f>
        <v/>
      </c>
      <c r="K3609" s="26" t="str">
        <f>IFERROR(VLOOKUP(G3609,WholesaleExtract!B:K,10,FALSE),"")</f>
        <v/>
      </c>
      <c r="L3609" s="47" t="str">
        <f>IFERROR(VLOOKUP(G3609,WholesaleExtract!B:L,11,FALSE),"")</f>
        <v/>
      </c>
      <c r="M3609" s="47" t="str">
        <f>IFERROR(VLOOKUP(G3609,WholesaleExtract!B:M,12,FALSE),"")</f>
        <v/>
      </c>
      <c r="R3609" s="19"/>
      <c r="S3609" s="19"/>
    </row>
    <row r="3610" spans="1:19" x14ac:dyDescent="0.35">
      <c r="A3610" s="26" t="s">
        <v>543</v>
      </c>
      <c r="B3610" s="26" t="s">
        <v>543</v>
      </c>
      <c r="C3610" s="26"/>
      <c r="D3610" s="26" t="s">
        <v>543</v>
      </c>
      <c r="E3610" s="26" t="str">
        <f>IFERROR(VLOOKUP(G3610,WholesaleExtract!B:J,9,FALSE),"")</f>
        <v/>
      </c>
      <c r="F3610" s="26" t="str">
        <f>IFERROR(VLOOKUP(G3610,WholesaleExtract!B:J,6,FALSE),"")</f>
        <v/>
      </c>
      <c r="H3610" s="47" t="str">
        <f>IFERROR(VLOOKUP(G3610,WholesaleExtract!B:L,11,FALSE),"")</f>
        <v/>
      </c>
      <c r="I3610" s="26" t="str">
        <f>IFERROR(VLOOKUP(G3610,WholesaleExtract!B:O,8,FALSE),"")</f>
        <v/>
      </c>
      <c r="J3610" s="26" t="str">
        <f>IFERROR(VLOOKUP(G3610,WholesaleExtract!B:O,14,FALSE),"")</f>
        <v/>
      </c>
      <c r="K3610" s="26" t="str">
        <f>IFERROR(VLOOKUP(G3610,WholesaleExtract!B:K,10,FALSE),"")</f>
        <v/>
      </c>
      <c r="L3610" s="47" t="str">
        <f>IFERROR(VLOOKUP(G3610,WholesaleExtract!B:L,11,FALSE),"")</f>
        <v/>
      </c>
      <c r="M3610" s="47" t="str">
        <f>IFERROR(VLOOKUP(G3610,WholesaleExtract!B:M,12,FALSE),"")</f>
        <v/>
      </c>
      <c r="R3610" s="19"/>
      <c r="S3610" s="19"/>
    </row>
    <row r="3611" spans="1:19" x14ac:dyDescent="0.35">
      <c r="A3611" s="26" t="s">
        <v>543</v>
      </c>
      <c r="B3611" s="26" t="s">
        <v>543</v>
      </c>
      <c r="C3611" s="26"/>
      <c r="D3611" s="26" t="s">
        <v>543</v>
      </c>
      <c r="E3611" s="26" t="str">
        <f>IFERROR(VLOOKUP(G3611,WholesaleExtract!B:J,9,FALSE),"")</f>
        <v/>
      </c>
      <c r="F3611" s="26" t="str">
        <f>IFERROR(VLOOKUP(G3611,WholesaleExtract!B:J,6,FALSE),"")</f>
        <v/>
      </c>
      <c r="H3611" s="47" t="str">
        <f>IFERROR(VLOOKUP(G3611,WholesaleExtract!B:L,11,FALSE),"")</f>
        <v/>
      </c>
      <c r="I3611" s="26" t="str">
        <f>IFERROR(VLOOKUP(G3611,WholesaleExtract!B:O,8,FALSE),"")</f>
        <v/>
      </c>
      <c r="J3611" s="26" t="str">
        <f>IFERROR(VLOOKUP(G3611,WholesaleExtract!B:O,14,FALSE),"")</f>
        <v/>
      </c>
      <c r="K3611" s="26" t="str">
        <f>IFERROR(VLOOKUP(G3611,WholesaleExtract!B:K,10,FALSE),"")</f>
        <v/>
      </c>
      <c r="L3611" s="47" t="str">
        <f>IFERROR(VLOOKUP(G3611,WholesaleExtract!B:L,11,FALSE),"")</f>
        <v/>
      </c>
      <c r="M3611" s="47" t="str">
        <f>IFERROR(VLOOKUP(G3611,WholesaleExtract!B:M,12,FALSE),"")</f>
        <v/>
      </c>
      <c r="R3611" s="19"/>
      <c r="S3611" s="19"/>
    </row>
    <row r="3612" spans="1:19" x14ac:dyDescent="0.35">
      <c r="A3612" s="26" t="s">
        <v>543</v>
      </c>
      <c r="B3612" s="26" t="s">
        <v>543</v>
      </c>
      <c r="C3612" s="26"/>
      <c r="D3612" s="26" t="s">
        <v>543</v>
      </c>
      <c r="E3612" s="26" t="str">
        <f>IFERROR(VLOOKUP(G3612,WholesaleExtract!B:J,9,FALSE),"")</f>
        <v/>
      </c>
      <c r="F3612" s="26" t="str">
        <f>IFERROR(VLOOKUP(G3612,WholesaleExtract!B:J,6,FALSE),"")</f>
        <v/>
      </c>
      <c r="H3612" s="47" t="str">
        <f>IFERROR(VLOOKUP(G3612,WholesaleExtract!B:L,11,FALSE),"")</f>
        <v/>
      </c>
      <c r="I3612" s="26" t="str">
        <f>IFERROR(VLOOKUP(G3612,WholesaleExtract!B:O,8,FALSE),"")</f>
        <v/>
      </c>
      <c r="J3612" s="26" t="str">
        <f>IFERROR(VLOOKUP(G3612,WholesaleExtract!B:O,14,FALSE),"")</f>
        <v/>
      </c>
      <c r="K3612" s="26" t="str">
        <f>IFERROR(VLOOKUP(G3612,WholesaleExtract!B:K,10,FALSE),"")</f>
        <v/>
      </c>
      <c r="L3612" s="47" t="str">
        <f>IFERROR(VLOOKUP(G3612,WholesaleExtract!B:L,11,FALSE),"")</f>
        <v/>
      </c>
      <c r="M3612" s="47" t="str">
        <f>IFERROR(VLOOKUP(G3612,WholesaleExtract!B:M,12,FALSE),"")</f>
        <v/>
      </c>
      <c r="R3612" s="19"/>
      <c r="S3612" s="19"/>
    </row>
    <row r="3613" spans="1:19" x14ac:dyDescent="0.35">
      <c r="A3613" s="26" t="s">
        <v>543</v>
      </c>
      <c r="B3613" s="26" t="s">
        <v>543</v>
      </c>
      <c r="C3613" s="26"/>
      <c r="D3613" s="26" t="s">
        <v>543</v>
      </c>
      <c r="E3613" s="26" t="str">
        <f>IFERROR(VLOOKUP(G3613,WholesaleExtract!B:J,9,FALSE),"")</f>
        <v/>
      </c>
      <c r="F3613" s="26" t="str">
        <f>IFERROR(VLOOKUP(G3613,WholesaleExtract!B:J,6,FALSE),"")</f>
        <v/>
      </c>
      <c r="H3613" s="47" t="str">
        <f>IFERROR(VLOOKUP(G3613,WholesaleExtract!B:L,11,FALSE),"")</f>
        <v/>
      </c>
      <c r="I3613" s="26" t="str">
        <f>IFERROR(VLOOKUP(G3613,WholesaleExtract!B:O,8,FALSE),"")</f>
        <v/>
      </c>
      <c r="J3613" s="26" t="str">
        <f>IFERROR(VLOOKUP(G3613,WholesaleExtract!B:O,14,FALSE),"")</f>
        <v/>
      </c>
      <c r="K3613" s="26" t="str">
        <f>IFERROR(VLOOKUP(G3613,WholesaleExtract!B:K,10,FALSE),"")</f>
        <v/>
      </c>
      <c r="L3613" s="47" t="str">
        <f>IFERROR(VLOOKUP(G3613,WholesaleExtract!B:L,11,FALSE),"")</f>
        <v/>
      </c>
      <c r="M3613" s="47" t="str">
        <f>IFERROR(VLOOKUP(G3613,WholesaleExtract!B:M,12,FALSE),"")</f>
        <v/>
      </c>
      <c r="R3613" s="19"/>
      <c r="S3613" s="19"/>
    </row>
    <row r="3614" spans="1:19" x14ac:dyDescent="0.35">
      <c r="A3614" s="26" t="s">
        <v>543</v>
      </c>
      <c r="B3614" s="26" t="s">
        <v>543</v>
      </c>
      <c r="C3614" s="26"/>
      <c r="D3614" s="26" t="s">
        <v>543</v>
      </c>
      <c r="E3614" s="26" t="str">
        <f>IFERROR(VLOOKUP(G3614,WholesaleExtract!B:J,9,FALSE),"")</f>
        <v/>
      </c>
      <c r="F3614" s="26" t="str">
        <f>IFERROR(VLOOKUP(G3614,WholesaleExtract!B:J,6,FALSE),"")</f>
        <v/>
      </c>
      <c r="H3614" s="47" t="str">
        <f>IFERROR(VLOOKUP(G3614,WholesaleExtract!B:L,11,FALSE),"")</f>
        <v/>
      </c>
      <c r="I3614" s="26" t="str">
        <f>IFERROR(VLOOKUP(G3614,WholesaleExtract!B:O,8,FALSE),"")</f>
        <v/>
      </c>
      <c r="J3614" s="26" t="str">
        <f>IFERROR(VLOOKUP(G3614,WholesaleExtract!B:O,14,FALSE),"")</f>
        <v/>
      </c>
      <c r="K3614" s="26" t="str">
        <f>IFERROR(VLOOKUP(G3614,WholesaleExtract!B:K,10,FALSE),"")</f>
        <v/>
      </c>
      <c r="L3614" s="47" t="str">
        <f>IFERROR(VLOOKUP(G3614,WholesaleExtract!B:L,11,FALSE),"")</f>
        <v/>
      </c>
      <c r="M3614" s="47" t="str">
        <f>IFERROR(VLOOKUP(G3614,WholesaleExtract!B:M,12,FALSE),"")</f>
        <v/>
      </c>
      <c r="R3614" s="19"/>
      <c r="S3614" s="19"/>
    </row>
    <row r="3615" spans="1:19" x14ac:dyDescent="0.35">
      <c r="A3615" s="26" t="s">
        <v>543</v>
      </c>
      <c r="B3615" s="26" t="s">
        <v>543</v>
      </c>
      <c r="C3615" s="26"/>
      <c r="D3615" s="26" t="s">
        <v>543</v>
      </c>
      <c r="E3615" s="26" t="str">
        <f>IFERROR(VLOOKUP(G3615,WholesaleExtract!B:J,9,FALSE),"")</f>
        <v/>
      </c>
      <c r="F3615" s="26" t="str">
        <f>IFERROR(VLOOKUP(G3615,WholesaleExtract!B:J,6,FALSE),"")</f>
        <v/>
      </c>
      <c r="H3615" s="47" t="str">
        <f>IFERROR(VLOOKUP(G3615,WholesaleExtract!B:L,11,FALSE),"")</f>
        <v/>
      </c>
      <c r="I3615" s="26" t="str">
        <f>IFERROR(VLOOKUP(G3615,WholesaleExtract!B:O,8,FALSE),"")</f>
        <v/>
      </c>
      <c r="J3615" s="26" t="str">
        <f>IFERROR(VLOOKUP(G3615,WholesaleExtract!B:O,14,FALSE),"")</f>
        <v/>
      </c>
      <c r="K3615" s="26" t="str">
        <f>IFERROR(VLOOKUP(G3615,WholesaleExtract!B:K,10,FALSE),"")</f>
        <v/>
      </c>
      <c r="L3615" s="47" t="str">
        <f>IFERROR(VLOOKUP(G3615,WholesaleExtract!B:L,11,FALSE),"")</f>
        <v/>
      </c>
      <c r="M3615" s="47" t="str">
        <f>IFERROR(VLOOKUP(G3615,WholesaleExtract!B:M,12,FALSE),"")</f>
        <v/>
      </c>
      <c r="R3615" s="19"/>
      <c r="S3615" s="19"/>
    </row>
    <row r="3616" spans="1:19" x14ac:dyDescent="0.35">
      <c r="A3616" s="26" t="s">
        <v>543</v>
      </c>
      <c r="B3616" s="26" t="s">
        <v>543</v>
      </c>
      <c r="C3616" s="26"/>
      <c r="D3616" s="26" t="s">
        <v>543</v>
      </c>
      <c r="E3616" s="26" t="str">
        <f>IFERROR(VLOOKUP(G3616,WholesaleExtract!B:J,9,FALSE),"")</f>
        <v/>
      </c>
      <c r="F3616" s="26" t="str">
        <f>IFERROR(VLOOKUP(G3616,WholesaleExtract!B:J,6,FALSE),"")</f>
        <v/>
      </c>
      <c r="H3616" s="47" t="str">
        <f>IFERROR(VLOOKUP(G3616,WholesaleExtract!B:L,11,FALSE),"")</f>
        <v/>
      </c>
      <c r="I3616" s="26" t="str">
        <f>IFERROR(VLOOKUP(G3616,WholesaleExtract!B:O,8,FALSE),"")</f>
        <v/>
      </c>
      <c r="J3616" s="26" t="str">
        <f>IFERROR(VLOOKUP(G3616,WholesaleExtract!B:O,14,FALSE),"")</f>
        <v/>
      </c>
      <c r="K3616" s="26" t="str">
        <f>IFERROR(VLOOKUP(G3616,WholesaleExtract!B:K,10,FALSE),"")</f>
        <v/>
      </c>
      <c r="L3616" s="47" t="str">
        <f>IFERROR(VLOOKUP(G3616,WholesaleExtract!B:L,11,FALSE),"")</f>
        <v/>
      </c>
      <c r="M3616" s="47" t="str">
        <f>IFERROR(VLOOKUP(G3616,WholesaleExtract!B:M,12,FALSE),"")</f>
        <v/>
      </c>
      <c r="R3616" s="19"/>
      <c r="S3616" s="19"/>
    </row>
    <row r="3617" spans="1:19" x14ac:dyDescent="0.35">
      <c r="A3617" s="26" t="s">
        <v>543</v>
      </c>
      <c r="B3617" s="26" t="s">
        <v>543</v>
      </c>
      <c r="C3617" s="26"/>
      <c r="D3617" s="26" t="s">
        <v>543</v>
      </c>
      <c r="E3617" s="26" t="str">
        <f>IFERROR(VLOOKUP(G3617,WholesaleExtract!B:J,9,FALSE),"")</f>
        <v/>
      </c>
      <c r="F3617" s="26" t="str">
        <f>IFERROR(VLOOKUP(G3617,WholesaleExtract!B:J,6,FALSE),"")</f>
        <v/>
      </c>
      <c r="H3617" s="47" t="str">
        <f>IFERROR(VLOOKUP(G3617,WholesaleExtract!B:L,11,FALSE),"")</f>
        <v/>
      </c>
      <c r="I3617" s="26" t="str">
        <f>IFERROR(VLOOKUP(G3617,WholesaleExtract!B:O,8,FALSE),"")</f>
        <v/>
      </c>
      <c r="J3617" s="26" t="str">
        <f>IFERROR(VLOOKUP(G3617,WholesaleExtract!B:O,14,FALSE),"")</f>
        <v/>
      </c>
      <c r="K3617" s="26" t="str">
        <f>IFERROR(VLOOKUP(G3617,WholesaleExtract!B:K,10,FALSE),"")</f>
        <v/>
      </c>
      <c r="L3617" s="47" t="str">
        <f>IFERROR(VLOOKUP(G3617,WholesaleExtract!B:L,11,FALSE),"")</f>
        <v/>
      </c>
      <c r="M3617" s="47" t="str">
        <f>IFERROR(VLOOKUP(G3617,WholesaleExtract!B:M,12,FALSE),"")</f>
        <v/>
      </c>
      <c r="R3617" s="19"/>
      <c r="S3617" s="19"/>
    </row>
    <row r="3618" spans="1:19" x14ac:dyDescent="0.35">
      <c r="A3618" s="26" t="s">
        <v>543</v>
      </c>
      <c r="B3618" s="26" t="s">
        <v>543</v>
      </c>
      <c r="C3618" s="26"/>
      <c r="D3618" s="26" t="s">
        <v>543</v>
      </c>
      <c r="E3618" s="26" t="str">
        <f>IFERROR(VLOOKUP(G3618,WholesaleExtract!B:J,9,FALSE),"")</f>
        <v/>
      </c>
      <c r="F3618" s="26" t="str">
        <f>IFERROR(VLOOKUP(G3618,WholesaleExtract!B:J,6,FALSE),"")</f>
        <v/>
      </c>
      <c r="H3618" s="47" t="str">
        <f>IFERROR(VLOOKUP(G3618,WholesaleExtract!B:L,11,FALSE),"")</f>
        <v/>
      </c>
      <c r="I3618" s="26" t="str">
        <f>IFERROR(VLOOKUP(G3618,WholesaleExtract!B:O,8,FALSE),"")</f>
        <v/>
      </c>
      <c r="J3618" s="26" t="str">
        <f>IFERROR(VLOOKUP(G3618,WholesaleExtract!B:O,14,FALSE),"")</f>
        <v/>
      </c>
      <c r="K3618" s="26" t="str">
        <f>IFERROR(VLOOKUP(G3618,WholesaleExtract!B:K,10,FALSE),"")</f>
        <v/>
      </c>
      <c r="L3618" s="47" t="str">
        <f>IFERROR(VLOOKUP(G3618,WholesaleExtract!B:L,11,FALSE),"")</f>
        <v/>
      </c>
      <c r="M3618" s="47" t="str">
        <f>IFERROR(VLOOKUP(G3618,WholesaleExtract!B:M,12,FALSE),"")</f>
        <v/>
      </c>
      <c r="R3618" s="19"/>
      <c r="S3618" s="19"/>
    </row>
    <row r="3619" spans="1:19" x14ac:dyDescent="0.35">
      <c r="A3619" s="26" t="s">
        <v>543</v>
      </c>
      <c r="B3619" s="26" t="s">
        <v>543</v>
      </c>
      <c r="C3619" s="26"/>
      <c r="D3619" s="26" t="s">
        <v>543</v>
      </c>
      <c r="E3619" s="26" t="str">
        <f>IFERROR(VLOOKUP(G3619,WholesaleExtract!B:J,9,FALSE),"")</f>
        <v/>
      </c>
      <c r="F3619" s="26" t="str">
        <f>IFERROR(VLOOKUP(G3619,WholesaleExtract!B:J,6,FALSE),"")</f>
        <v/>
      </c>
      <c r="H3619" s="47" t="str">
        <f>IFERROR(VLOOKUP(G3619,WholesaleExtract!B:L,11,FALSE),"")</f>
        <v/>
      </c>
      <c r="I3619" s="26" t="str">
        <f>IFERROR(VLOOKUP(G3619,WholesaleExtract!B:O,8,FALSE),"")</f>
        <v/>
      </c>
      <c r="J3619" s="26" t="str">
        <f>IFERROR(VLOOKUP(G3619,WholesaleExtract!B:O,14,FALSE),"")</f>
        <v/>
      </c>
      <c r="K3619" s="26" t="str">
        <f>IFERROR(VLOOKUP(G3619,WholesaleExtract!B:K,10,FALSE),"")</f>
        <v/>
      </c>
      <c r="L3619" s="47" t="str">
        <f>IFERROR(VLOOKUP(G3619,WholesaleExtract!B:L,11,FALSE),"")</f>
        <v/>
      </c>
      <c r="M3619" s="47" t="str">
        <f>IFERROR(VLOOKUP(G3619,WholesaleExtract!B:M,12,FALSE),"")</f>
        <v/>
      </c>
      <c r="R3619" s="19"/>
      <c r="S3619" s="19"/>
    </row>
    <row r="3620" spans="1:19" x14ac:dyDescent="0.35">
      <c r="A3620" s="26" t="s">
        <v>543</v>
      </c>
      <c r="B3620" s="26" t="s">
        <v>543</v>
      </c>
      <c r="C3620" s="26"/>
      <c r="D3620" s="26" t="s">
        <v>543</v>
      </c>
      <c r="E3620" s="26" t="str">
        <f>IFERROR(VLOOKUP(G3620,WholesaleExtract!B:J,9,FALSE),"")</f>
        <v/>
      </c>
      <c r="F3620" s="26" t="str">
        <f>IFERROR(VLOOKUP(G3620,WholesaleExtract!B:J,6,FALSE),"")</f>
        <v/>
      </c>
      <c r="H3620" s="47" t="str">
        <f>IFERROR(VLOOKUP(G3620,WholesaleExtract!B:L,11,FALSE),"")</f>
        <v/>
      </c>
      <c r="I3620" s="26" t="str">
        <f>IFERROR(VLOOKUP(G3620,WholesaleExtract!B:O,8,FALSE),"")</f>
        <v/>
      </c>
      <c r="J3620" s="26" t="str">
        <f>IFERROR(VLOOKUP(G3620,WholesaleExtract!B:O,14,FALSE),"")</f>
        <v/>
      </c>
      <c r="K3620" s="26" t="str">
        <f>IFERROR(VLOOKUP(G3620,WholesaleExtract!B:K,10,FALSE),"")</f>
        <v/>
      </c>
      <c r="L3620" s="47" t="str">
        <f>IFERROR(VLOOKUP(G3620,WholesaleExtract!B:L,11,FALSE),"")</f>
        <v/>
      </c>
      <c r="M3620" s="47" t="str">
        <f>IFERROR(VLOOKUP(G3620,WholesaleExtract!B:M,12,FALSE),"")</f>
        <v/>
      </c>
      <c r="R3620" s="19"/>
      <c r="S3620" s="19"/>
    </row>
    <row r="3621" spans="1:19" x14ac:dyDescent="0.35">
      <c r="A3621" s="26" t="s">
        <v>543</v>
      </c>
      <c r="B3621" s="26" t="s">
        <v>543</v>
      </c>
      <c r="C3621" s="26"/>
      <c r="D3621" s="26" t="s">
        <v>543</v>
      </c>
      <c r="E3621" s="26" t="str">
        <f>IFERROR(VLOOKUP(G3621,WholesaleExtract!B:J,9,FALSE),"")</f>
        <v/>
      </c>
      <c r="F3621" s="26" t="str">
        <f>IFERROR(VLOOKUP(G3621,WholesaleExtract!B:J,6,FALSE),"")</f>
        <v/>
      </c>
      <c r="H3621" s="47" t="str">
        <f>IFERROR(VLOOKUP(G3621,WholesaleExtract!B:L,11,FALSE),"")</f>
        <v/>
      </c>
      <c r="I3621" s="26" t="str">
        <f>IFERROR(VLOOKUP(G3621,WholesaleExtract!B:O,8,FALSE),"")</f>
        <v/>
      </c>
      <c r="J3621" s="26" t="str">
        <f>IFERROR(VLOOKUP(G3621,WholesaleExtract!B:O,14,FALSE),"")</f>
        <v/>
      </c>
      <c r="K3621" s="26" t="str">
        <f>IFERROR(VLOOKUP(G3621,WholesaleExtract!B:K,10,FALSE),"")</f>
        <v/>
      </c>
      <c r="L3621" s="47" t="str">
        <f>IFERROR(VLOOKUP(G3621,WholesaleExtract!B:L,11,FALSE),"")</f>
        <v/>
      </c>
      <c r="M3621" s="47" t="str">
        <f>IFERROR(VLOOKUP(G3621,WholesaleExtract!B:M,12,FALSE),"")</f>
        <v/>
      </c>
      <c r="R3621" s="19"/>
      <c r="S3621" s="19"/>
    </row>
    <row r="3622" spans="1:19" x14ac:dyDescent="0.35">
      <c r="A3622" s="26" t="s">
        <v>543</v>
      </c>
      <c r="B3622" s="26" t="s">
        <v>543</v>
      </c>
      <c r="C3622" s="26"/>
      <c r="D3622" s="26" t="s">
        <v>543</v>
      </c>
      <c r="E3622" s="26" t="str">
        <f>IFERROR(VLOOKUP(G3622,WholesaleExtract!B:J,9,FALSE),"")</f>
        <v/>
      </c>
      <c r="F3622" s="26" t="str">
        <f>IFERROR(VLOOKUP(G3622,WholesaleExtract!B:J,6,FALSE),"")</f>
        <v/>
      </c>
      <c r="H3622" s="47" t="str">
        <f>IFERROR(VLOOKUP(G3622,WholesaleExtract!B:L,11,FALSE),"")</f>
        <v/>
      </c>
      <c r="I3622" s="26" t="str">
        <f>IFERROR(VLOOKUP(G3622,WholesaleExtract!B:O,8,FALSE),"")</f>
        <v/>
      </c>
      <c r="J3622" s="26" t="str">
        <f>IFERROR(VLOOKUP(G3622,WholesaleExtract!B:O,14,FALSE),"")</f>
        <v/>
      </c>
      <c r="K3622" s="26" t="str">
        <f>IFERROR(VLOOKUP(G3622,WholesaleExtract!B:K,10,FALSE),"")</f>
        <v/>
      </c>
      <c r="L3622" s="47" t="str">
        <f>IFERROR(VLOOKUP(G3622,WholesaleExtract!B:L,11,FALSE),"")</f>
        <v/>
      </c>
      <c r="M3622" s="47" t="str">
        <f>IFERROR(VLOOKUP(G3622,WholesaleExtract!B:M,12,FALSE),"")</f>
        <v/>
      </c>
      <c r="R3622" s="19"/>
      <c r="S3622" s="19"/>
    </row>
    <row r="3623" spans="1:19" x14ac:dyDescent="0.35">
      <c r="A3623" s="26" t="s">
        <v>543</v>
      </c>
      <c r="B3623" s="26" t="s">
        <v>543</v>
      </c>
      <c r="C3623" s="26"/>
      <c r="D3623" s="26" t="s">
        <v>543</v>
      </c>
      <c r="E3623" s="26" t="str">
        <f>IFERROR(VLOOKUP(G3623,WholesaleExtract!B:J,9,FALSE),"")</f>
        <v/>
      </c>
      <c r="F3623" s="26" t="str">
        <f>IFERROR(VLOOKUP(G3623,WholesaleExtract!B:J,6,FALSE),"")</f>
        <v/>
      </c>
      <c r="H3623" s="47" t="str">
        <f>IFERROR(VLOOKUP(G3623,WholesaleExtract!B:L,11,FALSE),"")</f>
        <v/>
      </c>
      <c r="I3623" s="26" t="str">
        <f>IFERROR(VLOOKUP(G3623,WholesaleExtract!B:O,8,FALSE),"")</f>
        <v/>
      </c>
      <c r="J3623" s="26" t="str">
        <f>IFERROR(VLOOKUP(G3623,WholesaleExtract!B:O,14,FALSE),"")</f>
        <v/>
      </c>
      <c r="K3623" s="26" t="str">
        <f>IFERROR(VLOOKUP(G3623,WholesaleExtract!B:K,10,FALSE),"")</f>
        <v/>
      </c>
      <c r="L3623" s="47" t="str">
        <f>IFERROR(VLOOKUP(G3623,WholesaleExtract!B:L,11,FALSE),"")</f>
        <v/>
      </c>
      <c r="M3623" s="47" t="str">
        <f>IFERROR(VLOOKUP(G3623,WholesaleExtract!B:M,12,FALSE),"")</f>
        <v/>
      </c>
      <c r="R3623" s="19"/>
      <c r="S3623" s="19"/>
    </row>
    <row r="3624" spans="1:19" x14ac:dyDescent="0.35">
      <c r="A3624" s="26" t="s">
        <v>543</v>
      </c>
      <c r="B3624" s="26" t="s">
        <v>543</v>
      </c>
      <c r="C3624" s="26"/>
      <c r="D3624" s="26" t="s">
        <v>543</v>
      </c>
      <c r="E3624" s="26" t="str">
        <f>IFERROR(VLOOKUP(G3624,WholesaleExtract!B:J,9,FALSE),"")</f>
        <v/>
      </c>
      <c r="F3624" s="26" t="str">
        <f>IFERROR(VLOOKUP(G3624,WholesaleExtract!B:J,6,FALSE),"")</f>
        <v/>
      </c>
      <c r="H3624" s="47" t="str">
        <f>IFERROR(VLOOKUP(G3624,WholesaleExtract!B:L,11,FALSE),"")</f>
        <v/>
      </c>
      <c r="I3624" s="26" t="str">
        <f>IFERROR(VLOOKUP(G3624,WholesaleExtract!B:O,8,FALSE),"")</f>
        <v/>
      </c>
      <c r="J3624" s="26" t="str">
        <f>IFERROR(VLOOKUP(G3624,WholesaleExtract!B:O,14,FALSE),"")</f>
        <v/>
      </c>
      <c r="K3624" s="26" t="str">
        <f>IFERROR(VLOOKUP(G3624,WholesaleExtract!B:K,10,FALSE),"")</f>
        <v/>
      </c>
      <c r="L3624" s="47" t="str">
        <f>IFERROR(VLOOKUP(G3624,WholesaleExtract!B:L,11,FALSE),"")</f>
        <v/>
      </c>
      <c r="M3624" s="47" t="str">
        <f>IFERROR(VLOOKUP(G3624,WholesaleExtract!B:M,12,FALSE),"")</f>
        <v/>
      </c>
      <c r="R3624" s="19"/>
      <c r="S3624" s="19"/>
    </row>
    <row r="3625" spans="1:19" x14ac:dyDescent="0.35">
      <c r="A3625" s="26" t="s">
        <v>543</v>
      </c>
      <c r="B3625" s="26" t="s">
        <v>543</v>
      </c>
      <c r="C3625" s="26"/>
      <c r="D3625" s="26" t="s">
        <v>543</v>
      </c>
      <c r="E3625" s="26" t="str">
        <f>IFERROR(VLOOKUP(G3625,WholesaleExtract!B:J,9,FALSE),"")</f>
        <v/>
      </c>
      <c r="F3625" s="26" t="str">
        <f>IFERROR(VLOOKUP(G3625,WholesaleExtract!B:J,6,FALSE),"")</f>
        <v/>
      </c>
      <c r="H3625" s="47" t="str">
        <f>IFERROR(VLOOKUP(G3625,WholesaleExtract!B:L,11,FALSE),"")</f>
        <v/>
      </c>
      <c r="I3625" s="26" t="str">
        <f>IFERROR(VLOOKUP(G3625,WholesaleExtract!B:O,8,FALSE),"")</f>
        <v/>
      </c>
      <c r="J3625" s="26" t="str">
        <f>IFERROR(VLOOKUP(G3625,WholesaleExtract!B:O,14,FALSE),"")</f>
        <v/>
      </c>
      <c r="K3625" s="26" t="str">
        <f>IFERROR(VLOOKUP(G3625,WholesaleExtract!B:K,10,FALSE),"")</f>
        <v/>
      </c>
      <c r="L3625" s="47" t="str">
        <f>IFERROR(VLOOKUP(G3625,WholesaleExtract!B:L,11,FALSE),"")</f>
        <v/>
      </c>
      <c r="M3625" s="47" t="str">
        <f>IFERROR(VLOOKUP(G3625,WholesaleExtract!B:M,12,FALSE),"")</f>
        <v/>
      </c>
      <c r="R3625" s="19"/>
      <c r="S3625" s="19"/>
    </row>
    <row r="3626" spans="1:19" x14ac:dyDescent="0.35">
      <c r="A3626" s="26" t="s">
        <v>543</v>
      </c>
      <c r="B3626" s="26" t="s">
        <v>543</v>
      </c>
      <c r="C3626" s="26"/>
      <c r="D3626" s="26" t="s">
        <v>543</v>
      </c>
      <c r="E3626" s="26" t="str">
        <f>IFERROR(VLOOKUP(G3626,WholesaleExtract!B:J,9,FALSE),"")</f>
        <v/>
      </c>
      <c r="F3626" s="26" t="str">
        <f>IFERROR(VLOOKUP(G3626,WholesaleExtract!B:J,6,FALSE),"")</f>
        <v/>
      </c>
      <c r="H3626" s="47" t="str">
        <f>IFERROR(VLOOKUP(G3626,WholesaleExtract!B:L,11,FALSE),"")</f>
        <v/>
      </c>
      <c r="I3626" s="26" t="str">
        <f>IFERROR(VLOOKUP(G3626,WholesaleExtract!B:O,8,FALSE),"")</f>
        <v/>
      </c>
      <c r="J3626" s="26" t="str">
        <f>IFERROR(VLOOKUP(G3626,WholesaleExtract!B:O,14,FALSE),"")</f>
        <v/>
      </c>
      <c r="K3626" s="26" t="str">
        <f>IFERROR(VLOOKUP(G3626,WholesaleExtract!B:K,10,FALSE),"")</f>
        <v/>
      </c>
      <c r="L3626" s="47" t="str">
        <f>IFERROR(VLOOKUP(G3626,WholesaleExtract!B:L,11,FALSE),"")</f>
        <v/>
      </c>
      <c r="M3626" s="47" t="str">
        <f>IFERROR(VLOOKUP(G3626,WholesaleExtract!B:M,12,FALSE),"")</f>
        <v/>
      </c>
      <c r="R3626" s="19"/>
      <c r="S3626" s="19"/>
    </row>
    <row r="3627" spans="1:19" x14ac:dyDescent="0.35">
      <c r="A3627" s="26" t="s">
        <v>543</v>
      </c>
      <c r="B3627" s="26" t="s">
        <v>543</v>
      </c>
      <c r="C3627" s="26"/>
      <c r="D3627" s="26" t="s">
        <v>543</v>
      </c>
      <c r="E3627" s="26" t="str">
        <f>IFERROR(VLOOKUP(G3627,WholesaleExtract!B:J,9,FALSE),"")</f>
        <v/>
      </c>
      <c r="F3627" s="26" t="str">
        <f>IFERROR(VLOOKUP(G3627,WholesaleExtract!B:J,6,FALSE),"")</f>
        <v/>
      </c>
      <c r="H3627" s="47" t="str">
        <f>IFERROR(VLOOKUP(G3627,WholesaleExtract!B:L,11,FALSE),"")</f>
        <v/>
      </c>
      <c r="I3627" s="26" t="str">
        <f>IFERROR(VLOOKUP(G3627,WholesaleExtract!B:O,8,FALSE),"")</f>
        <v/>
      </c>
      <c r="J3627" s="26" t="str">
        <f>IFERROR(VLOOKUP(G3627,WholesaleExtract!B:O,14,FALSE),"")</f>
        <v/>
      </c>
      <c r="K3627" s="26" t="str">
        <f>IFERROR(VLOOKUP(G3627,WholesaleExtract!B:K,10,FALSE),"")</f>
        <v/>
      </c>
      <c r="L3627" s="47" t="str">
        <f>IFERROR(VLOOKUP(G3627,WholesaleExtract!B:L,11,FALSE),"")</f>
        <v/>
      </c>
      <c r="M3627" s="47" t="str">
        <f>IFERROR(VLOOKUP(G3627,WholesaleExtract!B:M,12,FALSE),"")</f>
        <v/>
      </c>
      <c r="R3627" s="19"/>
      <c r="S3627" s="19"/>
    </row>
    <row r="3628" spans="1:19" x14ac:dyDescent="0.35">
      <c r="A3628" s="26" t="s">
        <v>543</v>
      </c>
      <c r="B3628" s="26" t="s">
        <v>543</v>
      </c>
      <c r="C3628" s="26"/>
      <c r="D3628" s="26" t="s">
        <v>543</v>
      </c>
      <c r="E3628" s="26" t="str">
        <f>IFERROR(VLOOKUP(G3628,WholesaleExtract!B:J,9,FALSE),"")</f>
        <v/>
      </c>
      <c r="F3628" s="26" t="str">
        <f>IFERROR(VLOOKUP(G3628,WholesaleExtract!B:J,6,FALSE),"")</f>
        <v/>
      </c>
      <c r="H3628" s="47" t="str">
        <f>IFERROR(VLOOKUP(G3628,WholesaleExtract!B:L,11,FALSE),"")</f>
        <v/>
      </c>
      <c r="I3628" s="26" t="str">
        <f>IFERROR(VLOOKUP(G3628,WholesaleExtract!B:O,8,FALSE),"")</f>
        <v/>
      </c>
      <c r="J3628" s="26" t="str">
        <f>IFERROR(VLOOKUP(G3628,WholesaleExtract!B:O,14,FALSE),"")</f>
        <v/>
      </c>
      <c r="K3628" s="26" t="str">
        <f>IFERROR(VLOOKUP(G3628,WholesaleExtract!B:K,10,FALSE),"")</f>
        <v/>
      </c>
      <c r="L3628" s="47" t="str">
        <f>IFERROR(VLOOKUP(G3628,WholesaleExtract!B:L,11,FALSE),"")</f>
        <v/>
      </c>
      <c r="M3628" s="47" t="str">
        <f>IFERROR(VLOOKUP(G3628,WholesaleExtract!B:M,12,FALSE),"")</f>
        <v/>
      </c>
      <c r="R3628" s="19"/>
      <c r="S3628" s="19"/>
    </row>
    <row r="3629" spans="1:19" x14ac:dyDescent="0.35">
      <c r="A3629" s="26" t="s">
        <v>543</v>
      </c>
      <c r="B3629" s="26" t="s">
        <v>543</v>
      </c>
      <c r="C3629" s="26"/>
      <c r="D3629" s="26" t="s">
        <v>543</v>
      </c>
      <c r="E3629" s="26" t="str">
        <f>IFERROR(VLOOKUP(G3629,WholesaleExtract!B:J,9,FALSE),"")</f>
        <v/>
      </c>
      <c r="F3629" s="26" t="str">
        <f>IFERROR(VLOOKUP(G3629,WholesaleExtract!B:J,6,FALSE),"")</f>
        <v/>
      </c>
      <c r="H3629" s="47" t="str">
        <f>IFERROR(VLOOKUP(G3629,WholesaleExtract!B:L,11,FALSE),"")</f>
        <v/>
      </c>
      <c r="I3629" s="26" t="str">
        <f>IFERROR(VLOOKUP(G3629,WholesaleExtract!B:O,8,FALSE),"")</f>
        <v/>
      </c>
      <c r="J3629" s="26" t="str">
        <f>IFERROR(VLOOKUP(G3629,WholesaleExtract!B:O,14,FALSE),"")</f>
        <v/>
      </c>
      <c r="K3629" s="26" t="str">
        <f>IFERROR(VLOOKUP(G3629,WholesaleExtract!B:K,10,FALSE),"")</f>
        <v/>
      </c>
      <c r="L3629" s="47" t="str">
        <f>IFERROR(VLOOKUP(G3629,WholesaleExtract!B:L,11,FALSE),"")</f>
        <v/>
      </c>
      <c r="M3629" s="47" t="str">
        <f>IFERROR(VLOOKUP(G3629,WholesaleExtract!B:M,12,FALSE),"")</f>
        <v/>
      </c>
      <c r="R3629" s="19"/>
      <c r="S3629" s="19"/>
    </row>
    <row r="3630" spans="1:19" x14ac:dyDescent="0.35">
      <c r="A3630" s="26" t="s">
        <v>543</v>
      </c>
      <c r="B3630" s="26" t="s">
        <v>543</v>
      </c>
      <c r="C3630" s="26"/>
      <c r="D3630" s="26" t="s">
        <v>543</v>
      </c>
      <c r="E3630" s="26" t="str">
        <f>IFERROR(VLOOKUP(G3630,WholesaleExtract!B:J,9,FALSE),"")</f>
        <v/>
      </c>
      <c r="F3630" s="26" t="str">
        <f>IFERROR(VLOOKUP(G3630,WholesaleExtract!B:J,6,FALSE),"")</f>
        <v/>
      </c>
      <c r="H3630" s="47" t="str">
        <f>IFERROR(VLOOKUP(G3630,WholesaleExtract!B:L,11,FALSE),"")</f>
        <v/>
      </c>
      <c r="I3630" s="26" t="str">
        <f>IFERROR(VLOOKUP(G3630,WholesaleExtract!B:O,8,FALSE),"")</f>
        <v/>
      </c>
      <c r="J3630" s="26" t="str">
        <f>IFERROR(VLOOKUP(G3630,WholesaleExtract!B:O,14,FALSE),"")</f>
        <v/>
      </c>
      <c r="K3630" s="26" t="str">
        <f>IFERROR(VLOOKUP(G3630,WholesaleExtract!B:K,10,FALSE),"")</f>
        <v/>
      </c>
      <c r="L3630" s="47" t="str">
        <f>IFERROR(VLOOKUP(G3630,WholesaleExtract!B:L,11,FALSE),"")</f>
        <v/>
      </c>
      <c r="M3630" s="47" t="str">
        <f>IFERROR(VLOOKUP(G3630,WholesaleExtract!B:M,12,FALSE),"")</f>
        <v/>
      </c>
      <c r="R3630" s="19"/>
      <c r="S3630" s="19"/>
    </row>
    <row r="3631" spans="1:19" x14ac:dyDescent="0.35">
      <c r="A3631" s="26" t="s">
        <v>543</v>
      </c>
      <c r="B3631" s="26" t="s">
        <v>543</v>
      </c>
      <c r="C3631" s="26"/>
      <c r="D3631" s="26" t="s">
        <v>543</v>
      </c>
      <c r="E3631" s="26" t="str">
        <f>IFERROR(VLOOKUP(G3631,WholesaleExtract!B:J,9,FALSE),"")</f>
        <v/>
      </c>
      <c r="F3631" s="26" t="str">
        <f>IFERROR(VLOOKUP(G3631,WholesaleExtract!B:J,6,FALSE),"")</f>
        <v/>
      </c>
      <c r="H3631" s="47" t="str">
        <f>IFERROR(VLOOKUP(G3631,WholesaleExtract!B:L,11,FALSE),"")</f>
        <v/>
      </c>
      <c r="I3631" s="26" t="str">
        <f>IFERROR(VLOOKUP(G3631,WholesaleExtract!B:O,8,FALSE),"")</f>
        <v/>
      </c>
      <c r="J3631" s="26" t="str">
        <f>IFERROR(VLOOKUP(G3631,WholesaleExtract!B:O,14,FALSE),"")</f>
        <v/>
      </c>
      <c r="K3631" s="26" t="str">
        <f>IFERROR(VLOOKUP(G3631,WholesaleExtract!B:K,10,FALSE),"")</f>
        <v/>
      </c>
      <c r="L3631" s="47" t="str">
        <f>IFERROR(VLOOKUP(G3631,WholesaleExtract!B:L,11,FALSE),"")</f>
        <v/>
      </c>
      <c r="M3631" s="47" t="str">
        <f>IFERROR(VLOOKUP(G3631,WholesaleExtract!B:M,12,FALSE),"")</f>
        <v/>
      </c>
      <c r="R3631" s="19"/>
      <c r="S3631" s="19"/>
    </row>
    <row r="3632" spans="1:19" x14ac:dyDescent="0.35">
      <c r="A3632" s="26" t="s">
        <v>543</v>
      </c>
      <c r="B3632" s="26" t="s">
        <v>543</v>
      </c>
      <c r="C3632" s="26"/>
      <c r="D3632" s="26" t="s">
        <v>543</v>
      </c>
      <c r="E3632" s="26" t="str">
        <f>IFERROR(VLOOKUP(G3632,WholesaleExtract!B:J,9,FALSE),"")</f>
        <v/>
      </c>
      <c r="F3632" s="26" t="str">
        <f>IFERROR(VLOOKUP(G3632,WholesaleExtract!B:J,6,FALSE),"")</f>
        <v/>
      </c>
      <c r="H3632" s="47" t="str">
        <f>IFERROR(VLOOKUP(G3632,WholesaleExtract!B:L,11,FALSE),"")</f>
        <v/>
      </c>
      <c r="I3632" s="26" t="str">
        <f>IFERROR(VLOOKUP(G3632,WholesaleExtract!B:O,8,FALSE),"")</f>
        <v/>
      </c>
      <c r="J3632" s="26" t="str">
        <f>IFERROR(VLOOKUP(G3632,WholesaleExtract!B:O,14,FALSE),"")</f>
        <v/>
      </c>
      <c r="K3632" s="26" t="str">
        <f>IFERROR(VLOOKUP(G3632,WholesaleExtract!B:K,10,FALSE),"")</f>
        <v/>
      </c>
      <c r="L3632" s="47" t="str">
        <f>IFERROR(VLOOKUP(G3632,WholesaleExtract!B:L,11,FALSE),"")</f>
        <v/>
      </c>
      <c r="M3632" s="47" t="str">
        <f>IFERROR(VLOOKUP(G3632,WholesaleExtract!B:M,12,FALSE),"")</f>
        <v/>
      </c>
      <c r="R3632" s="19"/>
      <c r="S3632" s="19"/>
    </row>
    <row r="3633" spans="1:19" x14ac:dyDescent="0.35">
      <c r="A3633" s="26" t="s">
        <v>543</v>
      </c>
      <c r="B3633" s="26" t="s">
        <v>543</v>
      </c>
      <c r="C3633" s="26"/>
      <c r="D3633" s="26" t="s">
        <v>543</v>
      </c>
      <c r="E3633" s="26" t="str">
        <f>IFERROR(VLOOKUP(G3633,WholesaleExtract!B:J,9,FALSE),"")</f>
        <v/>
      </c>
      <c r="F3633" s="26" t="str">
        <f>IFERROR(VLOOKUP(G3633,WholesaleExtract!B:J,6,FALSE),"")</f>
        <v/>
      </c>
      <c r="H3633" s="47" t="str">
        <f>IFERROR(VLOOKUP(G3633,WholesaleExtract!B:L,11,FALSE),"")</f>
        <v/>
      </c>
      <c r="I3633" s="26" t="str">
        <f>IFERROR(VLOOKUP(G3633,WholesaleExtract!B:O,8,FALSE),"")</f>
        <v/>
      </c>
      <c r="J3633" s="26" t="str">
        <f>IFERROR(VLOOKUP(G3633,WholesaleExtract!B:O,14,FALSE),"")</f>
        <v/>
      </c>
      <c r="K3633" s="26" t="str">
        <f>IFERROR(VLOOKUP(G3633,WholesaleExtract!B:K,10,FALSE),"")</f>
        <v/>
      </c>
      <c r="L3633" s="47" t="str">
        <f>IFERROR(VLOOKUP(G3633,WholesaleExtract!B:L,11,FALSE),"")</f>
        <v/>
      </c>
      <c r="M3633" s="47" t="str">
        <f>IFERROR(VLOOKUP(G3633,WholesaleExtract!B:M,12,FALSE),"")</f>
        <v/>
      </c>
      <c r="R3633" s="19"/>
      <c r="S3633" s="19"/>
    </row>
    <row r="3634" spans="1:19" x14ac:dyDescent="0.35">
      <c r="A3634" s="26" t="s">
        <v>543</v>
      </c>
      <c r="B3634" s="26" t="s">
        <v>543</v>
      </c>
      <c r="C3634" s="26"/>
      <c r="D3634" s="26" t="s">
        <v>543</v>
      </c>
      <c r="E3634" s="26" t="str">
        <f>IFERROR(VLOOKUP(G3634,WholesaleExtract!B:J,9,FALSE),"")</f>
        <v/>
      </c>
      <c r="F3634" s="26" t="str">
        <f>IFERROR(VLOOKUP(G3634,WholesaleExtract!B:J,6,FALSE),"")</f>
        <v/>
      </c>
      <c r="H3634" s="47" t="str">
        <f>IFERROR(VLOOKUP(G3634,WholesaleExtract!B:L,11,FALSE),"")</f>
        <v/>
      </c>
      <c r="I3634" s="26" t="str">
        <f>IFERROR(VLOOKUP(G3634,WholesaleExtract!B:O,8,FALSE),"")</f>
        <v/>
      </c>
      <c r="J3634" s="26" t="str">
        <f>IFERROR(VLOOKUP(G3634,WholesaleExtract!B:O,14,FALSE),"")</f>
        <v/>
      </c>
      <c r="K3634" s="26" t="str">
        <f>IFERROR(VLOOKUP(G3634,WholesaleExtract!B:K,10,FALSE),"")</f>
        <v/>
      </c>
      <c r="L3634" s="47" t="str">
        <f>IFERROR(VLOOKUP(G3634,WholesaleExtract!B:L,11,FALSE),"")</f>
        <v/>
      </c>
      <c r="M3634" s="47" t="str">
        <f>IFERROR(VLOOKUP(G3634,WholesaleExtract!B:M,12,FALSE),"")</f>
        <v/>
      </c>
      <c r="R3634" s="19"/>
      <c r="S3634" s="19"/>
    </row>
    <row r="3635" spans="1:19" x14ac:dyDescent="0.35">
      <c r="A3635" s="26" t="s">
        <v>543</v>
      </c>
      <c r="B3635" s="26" t="s">
        <v>543</v>
      </c>
      <c r="C3635" s="26"/>
      <c r="D3635" s="26" t="s">
        <v>543</v>
      </c>
      <c r="E3635" s="26" t="str">
        <f>IFERROR(VLOOKUP(G3635,WholesaleExtract!B:J,9,FALSE),"")</f>
        <v/>
      </c>
      <c r="F3635" s="26" t="str">
        <f>IFERROR(VLOOKUP(G3635,WholesaleExtract!B:J,6,FALSE),"")</f>
        <v/>
      </c>
      <c r="H3635" s="47" t="str">
        <f>IFERROR(VLOOKUP(G3635,WholesaleExtract!B:L,11,FALSE),"")</f>
        <v/>
      </c>
      <c r="I3635" s="26" t="str">
        <f>IFERROR(VLOOKUP(G3635,WholesaleExtract!B:O,8,FALSE),"")</f>
        <v/>
      </c>
      <c r="J3635" s="26" t="str">
        <f>IFERROR(VLOOKUP(G3635,WholesaleExtract!B:O,14,FALSE),"")</f>
        <v/>
      </c>
      <c r="K3635" s="26" t="str">
        <f>IFERROR(VLOOKUP(G3635,WholesaleExtract!B:K,10,FALSE),"")</f>
        <v/>
      </c>
      <c r="L3635" s="47" t="str">
        <f>IFERROR(VLOOKUP(G3635,WholesaleExtract!B:L,11,FALSE),"")</f>
        <v/>
      </c>
      <c r="M3635" s="47" t="str">
        <f>IFERROR(VLOOKUP(G3635,WholesaleExtract!B:M,12,FALSE),"")</f>
        <v/>
      </c>
      <c r="R3635" s="19"/>
      <c r="S3635" s="19"/>
    </row>
    <row r="3636" spans="1:19" x14ac:dyDescent="0.35">
      <c r="A3636" s="26" t="s">
        <v>543</v>
      </c>
      <c r="B3636" s="26" t="s">
        <v>543</v>
      </c>
      <c r="C3636" s="26"/>
      <c r="D3636" s="26" t="s">
        <v>543</v>
      </c>
      <c r="E3636" s="26" t="str">
        <f>IFERROR(VLOOKUP(G3636,WholesaleExtract!B:J,9,FALSE),"")</f>
        <v/>
      </c>
      <c r="F3636" s="26" t="str">
        <f>IFERROR(VLOOKUP(G3636,WholesaleExtract!B:J,6,FALSE),"")</f>
        <v/>
      </c>
      <c r="H3636" s="47" t="str">
        <f>IFERROR(VLOOKUP(G3636,WholesaleExtract!B:L,11,FALSE),"")</f>
        <v/>
      </c>
      <c r="I3636" s="26" t="str">
        <f>IFERROR(VLOOKUP(G3636,WholesaleExtract!B:O,8,FALSE),"")</f>
        <v/>
      </c>
      <c r="J3636" s="26" t="str">
        <f>IFERROR(VLOOKUP(G3636,WholesaleExtract!B:O,14,FALSE),"")</f>
        <v/>
      </c>
      <c r="K3636" s="26" t="str">
        <f>IFERROR(VLOOKUP(G3636,WholesaleExtract!B:K,10,FALSE),"")</f>
        <v/>
      </c>
      <c r="L3636" s="47" t="str">
        <f>IFERROR(VLOOKUP(G3636,WholesaleExtract!B:L,11,FALSE),"")</f>
        <v/>
      </c>
      <c r="M3636" s="47" t="str">
        <f>IFERROR(VLOOKUP(G3636,WholesaleExtract!B:M,12,FALSE),"")</f>
        <v/>
      </c>
      <c r="R3636" s="19"/>
      <c r="S3636" s="19"/>
    </row>
    <row r="3637" spans="1:19" x14ac:dyDescent="0.35">
      <c r="A3637" s="26" t="s">
        <v>543</v>
      </c>
      <c r="B3637" s="26" t="s">
        <v>543</v>
      </c>
      <c r="C3637" s="26"/>
      <c r="D3637" s="26" t="s">
        <v>543</v>
      </c>
      <c r="E3637" s="26" t="str">
        <f>IFERROR(VLOOKUP(G3637,WholesaleExtract!B:J,9,FALSE),"")</f>
        <v/>
      </c>
      <c r="F3637" s="26" t="str">
        <f>IFERROR(VLOOKUP(G3637,WholesaleExtract!B:J,6,FALSE),"")</f>
        <v/>
      </c>
      <c r="H3637" s="47" t="str">
        <f>IFERROR(VLOOKUP(G3637,WholesaleExtract!B:L,11,FALSE),"")</f>
        <v/>
      </c>
      <c r="I3637" s="26" t="str">
        <f>IFERROR(VLOOKUP(G3637,WholesaleExtract!B:O,8,FALSE),"")</f>
        <v/>
      </c>
      <c r="J3637" s="26" t="str">
        <f>IFERROR(VLOOKUP(G3637,WholesaleExtract!B:O,14,FALSE),"")</f>
        <v/>
      </c>
      <c r="K3637" s="26" t="str">
        <f>IFERROR(VLOOKUP(G3637,WholesaleExtract!B:K,10,FALSE),"")</f>
        <v/>
      </c>
      <c r="L3637" s="47" t="str">
        <f>IFERROR(VLOOKUP(G3637,WholesaleExtract!B:L,11,FALSE),"")</f>
        <v/>
      </c>
      <c r="M3637" s="47" t="str">
        <f>IFERROR(VLOOKUP(G3637,WholesaleExtract!B:M,12,FALSE),"")</f>
        <v/>
      </c>
      <c r="R3637" s="19"/>
      <c r="S3637" s="19"/>
    </row>
    <row r="3638" spans="1:19" x14ac:dyDescent="0.35">
      <c r="A3638" s="26" t="s">
        <v>543</v>
      </c>
      <c r="B3638" s="26" t="s">
        <v>543</v>
      </c>
      <c r="C3638" s="26"/>
      <c r="D3638" s="26" t="s">
        <v>543</v>
      </c>
      <c r="E3638" s="26" t="str">
        <f>IFERROR(VLOOKUP(G3638,WholesaleExtract!B:J,9,FALSE),"")</f>
        <v/>
      </c>
      <c r="F3638" s="26" t="str">
        <f>IFERROR(VLOOKUP(G3638,WholesaleExtract!B:J,6,FALSE),"")</f>
        <v/>
      </c>
      <c r="H3638" s="47" t="str">
        <f>IFERROR(VLOOKUP(G3638,WholesaleExtract!B:L,11,FALSE),"")</f>
        <v/>
      </c>
      <c r="I3638" s="26" t="str">
        <f>IFERROR(VLOOKUP(G3638,WholesaleExtract!B:O,8,FALSE),"")</f>
        <v/>
      </c>
      <c r="J3638" s="26" t="str">
        <f>IFERROR(VLOOKUP(G3638,WholesaleExtract!B:O,14,FALSE),"")</f>
        <v/>
      </c>
      <c r="K3638" s="26" t="str">
        <f>IFERROR(VLOOKUP(G3638,WholesaleExtract!B:K,10,FALSE),"")</f>
        <v/>
      </c>
      <c r="L3638" s="47" t="str">
        <f>IFERROR(VLOOKUP(G3638,WholesaleExtract!B:L,11,FALSE),"")</f>
        <v/>
      </c>
      <c r="M3638" s="47" t="str">
        <f>IFERROR(VLOOKUP(G3638,WholesaleExtract!B:M,12,FALSE),"")</f>
        <v/>
      </c>
      <c r="R3638" s="19"/>
      <c r="S3638" s="19"/>
    </row>
    <row r="3639" spans="1:19" x14ac:dyDescent="0.35">
      <c r="A3639" s="26" t="s">
        <v>543</v>
      </c>
      <c r="B3639" s="26" t="s">
        <v>543</v>
      </c>
      <c r="C3639" s="26"/>
      <c r="D3639" s="26" t="s">
        <v>543</v>
      </c>
      <c r="E3639" s="26" t="str">
        <f>IFERROR(VLOOKUP(G3639,WholesaleExtract!B:J,9,FALSE),"")</f>
        <v/>
      </c>
      <c r="F3639" s="26" t="str">
        <f>IFERROR(VLOOKUP(G3639,WholesaleExtract!B:J,6,FALSE),"")</f>
        <v/>
      </c>
      <c r="H3639" s="47" t="str">
        <f>IFERROR(VLOOKUP(G3639,WholesaleExtract!B:L,11,FALSE),"")</f>
        <v/>
      </c>
      <c r="I3639" s="26" t="str">
        <f>IFERROR(VLOOKUP(G3639,WholesaleExtract!B:O,8,FALSE),"")</f>
        <v/>
      </c>
      <c r="J3639" s="26" t="str">
        <f>IFERROR(VLOOKUP(G3639,WholesaleExtract!B:O,14,FALSE),"")</f>
        <v/>
      </c>
      <c r="K3639" s="26" t="str">
        <f>IFERROR(VLOOKUP(G3639,WholesaleExtract!B:K,10,FALSE),"")</f>
        <v/>
      </c>
      <c r="L3639" s="47" t="str">
        <f>IFERROR(VLOOKUP(G3639,WholesaleExtract!B:L,11,FALSE),"")</f>
        <v/>
      </c>
      <c r="M3639" s="47" t="str">
        <f>IFERROR(VLOOKUP(G3639,WholesaleExtract!B:M,12,FALSE),"")</f>
        <v/>
      </c>
      <c r="R3639" s="19"/>
      <c r="S3639" s="19"/>
    </row>
    <row r="3640" spans="1:19" x14ac:dyDescent="0.35">
      <c r="A3640" s="26" t="s">
        <v>543</v>
      </c>
      <c r="B3640" s="26" t="s">
        <v>543</v>
      </c>
      <c r="C3640" s="26"/>
      <c r="D3640" s="26" t="s">
        <v>543</v>
      </c>
      <c r="E3640" s="26" t="str">
        <f>IFERROR(VLOOKUP(G3640,WholesaleExtract!B:J,9,FALSE),"")</f>
        <v/>
      </c>
      <c r="F3640" s="26" t="str">
        <f>IFERROR(VLOOKUP(G3640,WholesaleExtract!B:J,6,FALSE),"")</f>
        <v/>
      </c>
      <c r="H3640" s="47" t="str">
        <f>IFERROR(VLOOKUP(G3640,WholesaleExtract!B:L,11,FALSE),"")</f>
        <v/>
      </c>
      <c r="I3640" s="26" t="str">
        <f>IFERROR(VLOOKUP(G3640,WholesaleExtract!B:O,8,FALSE),"")</f>
        <v/>
      </c>
      <c r="J3640" s="26" t="str">
        <f>IFERROR(VLOOKUP(G3640,WholesaleExtract!B:O,14,FALSE),"")</f>
        <v/>
      </c>
      <c r="K3640" s="26" t="str">
        <f>IFERROR(VLOOKUP(G3640,WholesaleExtract!B:K,10,FALSE),"")</f>
        <v/>
      </c>
      <c r="L3640" s="47" t="str">
        <f>IFERROR(VLOOKUP(G3640,WholesaleExtract!B:L,11,FALSE),"")</f>
        <v/>
      </c>
      <c r="M3640" s="47" t="str">
        <f>IFERROR(VLOOKUP(G3640,WholesaleExtract!B:M,12,FALSE),"")</f>
        <v/>
      </c>
      <c r="R3640" s="19"/>
      <c r="S3640" s="19"/>
    </row>
    <row r="3641" spans="1:19" x14ac:dyDescent="0.35">
      <c r="A3641" s="26" t="s">
        <v>543</v>
      </c>
      <c r="B3641" s="26" t="s">
        <v>543</v>
      </c>
      <c r="C3641" s="26"/>
      <c r="D3641" s="26" t="s">
        <v>543</v>
      </c>
      <c r="E3641" s="26" t="str">
        <f>IFERROR(VLOOKUP(G3641,WholesaleExtract!B:J,9,FALSE),"")</f>
        <v/>
      </c>
      <c r="F3641" s="26" t="str">
        <f>IFERROR(VLOOKUP(G3641,WholesaleExtract!B:J,6,FALSE),"")</f>
        <v/>
      </c>
      <c r="H3641" s="47" t="str">
        <f>IFERROR(VLOOKUP(G3641,WholesaleExtract!B:L,11,FALSE),"")</f>
        <v/>
      </c>
      <c r="I3641" s="26" t="str">
        <f>IFERROR(VLOOKUP(G3641,WholesaleExtract!B:O,8,FALSE),"")</f>
        <v/>
      </c>
      <c r="J3641" s="26" t="str">
        <f>IFERROR(VLOOKUP(G3641,WholesaleExtract!B:O,14,FALSE),"")</f>
        <v/>
      </c>
      <c r="K3641" s="26" t="str">
        <f>IFERROR(VLOOKUP(G3641,WholesaleExtract!B:K,10,FALSE),"")</f>
        <v/>
      </c>
      <c r="L3641" s="47" t="str">
        <f>IFERROR(VLOOKUP(G3641,WholesaleExtract!B:L,11,FALSE),"")</f>
        <v/>
      </c>
      <c r="M3641" s="47" t="str">
        <f>IFERROR(VLOOKUP(G3641,WholesaleExtract!B:M,12,FALSE),"")</f>
        <v/>
      </c>
      <c r="R3641" s="19"/>
      <c r="S3641" s="19"/>
    </row>
    <row r="3642" spans="1:19" x14ac:dyDescent="0.35">
      <c r="A3642" s="26" t="s">
        <v>543</v>
      </c>
      <c r="B3642" s="26" t="s">
        <v>543</v>
      </c>
      <c r="C3642" s="26"/>
      <c r="D3642" s="26" t="s">
        <v>543</v>
      </c>
      <c r="E3642" s="26" t="str">
        <f>IFERROR(VLOOKUP(G3642,WholesaleExtract!B:J,9,FALSE),"")</f>
        <v/>
      </c>
      <c r="F3642" s="26" t="str">
        <f>IFERROR(VLOOKUP(G3642,WholesaleExtract!B:J,6,FALSE),"")</f>
        <v/>
      </c>
      <c r="H3642" s="47" t="str">
        <f>IFERROR(VLOOKUP(G3642,WholesaleExtract!B:L,11,FALSE),"")</f>
        <v/>
      </c>
      <c r="I3642" s="26" t="str">
        <f>IFERROR(VLOOKUP(G3642,WholesaleExtract!B:O,8,FALSE),"")</f>
        <v/>
      </c>
      <c r="J3642" s="26" t="str">
        <f>IFERROR(VLOOKUP(G3642,WholesaleExtract!B:O,14,FALSE),"")</f>
        <v/>
      </c>
      <c r="K3642" s="26" t="str">
        <f>IFERROR(VLOOKUP(G3642,WholesaleExtract!B:K,10,FALSE),"")</f>
        <v/>
      </c>
      <c r="L3642" s="47" t="str">
        <f>IFERROR(VLOOKUP(G3642,WholesaleExtract!B:L,11,FALSE),"")</f>
        <v/>
      </c>
      <c r="M3642" s="47" t="str">
        <f>IFERROR(VLOOKUP(G3642,WholesaleExtract!B:M,12,FALSE),"")</f>
        <v/>
      </c>
      <c r="R3642" s="19"/>
      <c r="S3642" s="19"/>
    </row>
    <row r="3643" spans="1:19" x14ac:dyDescent="0.35">
      <c r="A3643" s="26" t="s">
        <v>543</v>
      </c>
      <c r="B3643" s="26" t="s">
        <v>543</v>
      </c>
      <c r="C3643" s="26"/>
      <c r="D3643" s="26" t="s">
        <v>543</v>
      </c>
      <c r="E3643" s="26" t="str">
        <f>IFERROR(VLOOKUP(G3643,WholesaleExtract!B:J,9,FALSE),"")</f>
        <v/>
      </c>
      <c r="F3643" s="26" t="str">
        <f>IFERROR(VLOOKUP(G3643,WholesaleExtract!B:J,6,FALSE),"")</f>
        <v/>
      </c>
      <c r="H3643" s="47" t="str">
        <f>IFERROR(VLOOKUP(G3643,WholesaleExtract!B:L,11,FALSE),"")</f>
        <v/>
      </c>
      <c r="I3643" s="26" t="str">
        <f>IFERROR(VLOOKUP(G3643,WholesaleExtract!B:O,8,FALSE),"")</f>
        <v/>
      </c>
      <c r="J3643" s="26" t="str">
        <f>IFERROR(VLOOKUP(G3643,WholesaleExtract!B:O,14,FALSE),"")</f>
        <v/>
      </c>
      <c r="K3643" s="26" t="str">
        <f>IFERROR(VLOOKUP(G3643,WholesaleExtract!B:K,10,FALSE),"")</f>
        <v/>
      </c>
      <c r="L3643" s="47" t="str">
        <f>IFERROR(VLOOKUP(G3643,WholesaleExtract!B:L,11,FALSE),"")</f>
        <v/>
      </c>
      <c r="M3643" s="47" t="str">
        <f>IFERROR(VLOOKUP(G3643,WholesaleExtract!B:M,12,FALSE),"")</f>
        <v/>
      </c>
      <c r="R3643" s="19"/>
      <c r="S3643" s="19"/>
    </row>
    <row r="3644" spans="1:19" x14ac:dyDescent="0.35">
      <c r="A3644" s="26" t="s">
        <v>543</v>
      </c>
      <c r="B3644" s="26" t="s">
        <v>543</v>
      </c>
      <c r="C3644" s="26"/>
      <c r="D3644" s="26" t="s">
        <v>543</v>
      </c>
      <c r="E3644" s="26" t="str">
        <f>IFERROR(VLOOKUP(G3644,WholesaleExtract!B:J,9,FALSE),"")</f>
        <v/>
      </c>
      <c r="F3644" s="26" t="str">
        <f>IFERROR(VLOOKUP(G3644,WholesaleExtract!B:J,6,FALSE),"")</f>
        <v/>
      </c>
      <c r="H3644" s="47" t="str">
        <f>IFERROR(VLOOKUP(G3644,WholesaleExtract!B:L,11,FALSE),"")</f>
        <v/>
      </c>
      <c r="I3644" s="26" t="str">
        <f>IFERROR(VLOOKUP(G3644,WholesaleExtract!B:O,8,FALSE),"")</f>
        <v/>
      </c>
      <c r="J3644" s="26" t="str">
        <f>IFERROR(VLOOKUP(G3644,WholesaleExtract!B:O,14,FALSE),"")</f>
        <v/>
      </c>
      <c r="K3644" s="26" t="str">
        <f>IFERROR(VLOOKUP(G3644,WholesaleExtract!B:K,10,FALSE),"")</f>
        <v/>
      </c>
      <c r="L3644" s="47" t="str">
        <f>IFERROR(VLOOKUP(G3644,WholesaleExtract!B:L,11,FALSE),"")</f>
        <v/>
      </c>
      <c r="M3644" s="47" t="str">
        <f>IFERROR(VLOOKUP(G3644,WholesaleExtract!B:M,12,FALSE),"")</f>
        <v/>
      </c>
      <c r="R3644" s="19"/>
      <c r="S3644" s="19"/>
    </row>
    <row r="3645" spans="1:19" x14ac:dyDescent="0.35">
      <c r="A3645" s="26" t="s">
        <v>543</v>
      </c>
      <c r="B3645" s="26" t="s">
        <v>543</v>
      </c>
      <c r="C3645" s="26"/>
      <c r="D3645" s="26" t="s">
        <v>543</v>
      </c>
      <c r="E3645" s="26" t="str">
        <f>IFERROR(VLOOKUP(G3645,WholesaleExtract!B:J,9,FALSE),"")</f>
        <v/>
      </c>
      <c r="F3645" s="26" t="str">
        <f>IFERROR(VLOOKUP(G3645,WholesaleExtract!B:J,6,FALSE),"")</f>
        <v/>
      </c>
      <c r="H3645" s="47" t="str">
        <f>IFERROR(VLOOKUP(G3645,WholesaleExtract!B:L,11,FALSE),"")</f>
        <v/>
      </c>
      <c r="I3645" s="26" t="str">
        <f>IFERROR(VLOOKUP(G3645,WholesaleExtract!B:O,8,FALSE),"")</f>
        <v/>
      </c>
      <c r="J3645" s="26" t="str">
        <f>IFERROR(VLOOKUP(G3645,WholesaleExtract!B:O,14,FALSE),"")</f>
        <v/>
      </c>
      <c r="K3645" s="26" t="str">
        <f>IFERROR(VLOOKUP(G3645,WholesaleExtract!B:K,10,FALSE),"")</f>
        <v/>
      </c>
      <c r="L3645" s="47" t="str">
        <f>IFERROR(VLOOKUP(G3645,WholesaleExtract!B:L,11,FALSE),"")</f>
        <v/>
      </c>
      <c r="M3645" s="47" t="str">
        <f>IFERROR(VLOOKUP(G3645,WholesaleExtract!B:M,12,FALSE),"")</f>
        <v/>
      </c>
      <c r="R3645" s="19"/>
      <c r="S3645" s="19"/>
    </row>
    <row r="3646" spans="1:19" x14ac:dyDescent="0.35">
      <c r="A3646" s="26" t="s">
        <v>543</v>
      </c>
      <c r="B3646" s="26" t="s">
        <v>543</v>
      </c>
      <c r="C3646" s="26"/>
      <c r="D3646" s="26" t="s">
        <v>543</v>
      </c>
      <c r="E3646" s="26" t="str">
        <f>IFERROR(VLOOKUP(G3646,WholesaleExtract!B:J,9,FALSE),"")</f>
        <v/>
      </c>
      <c r="F3646" s="26" t="str">
        <f>IFERROR(VLOOKUP(G3646,WholesaleExtract!B:J,6,FALSE),"")</f>
        <v/>
      </c>
      <c r="H3646" s="47" t="str">
        <f>IFERROR(VLOOKUP(G3646,WholesaleExtract!B:L,11,FALSE),"")</f>
        <v/>
      </c>
      <c r="I3646" s="26" t="str">
        <f>IFERROR(VLOOKUP(G3646,WholesaleExtract!B:O,8,FALSE),"")</f>
        <v/>
      </c>
      <c r="J3646" s="26" t="str">
        <f>IFERROR(VLOOKUP(G3646,WholesaleExtract!B:O,14,FALSE),"")</f>
        <v/>
      </c>
      <c r="K3646" s="26" t="str">
        <f>IFERROR(VLOOKUP(G3646,WholesaleExtract!B:K,10,FALSE),"")</f>
        <v/>
      </c>
      <c r="L3646" s="47" t="str">
        <f>IFERROR(VLOOKUP(G3646,WholesaleExtract!B:L,11,FALSE),"")</f>
        <v/>
      </c>
      <c r="M3646" s="47" t="str">
        <f>IFERROR(VLOOKUP(G3646,WholesaleExtract!B:M,12,FALSE),"")</f>
        <v/>
      </c>
      <c r="R3646" s="19"/>
      <c r="S3646" s="19"/>
    </row>
    <row r="3647" spans="1:19" x14ac:dyDescent="0.35">
      <c r="A3647" s="26" t="s">
        <v>543</v>
      </c>
      <c r="B3647" s="26" t="s">
        <v>543</v>
      </c>
      <c r="C3647" s="26"/>
      <c r="D3647" s="26" t="s">
        <v>543</v>
      </c>
      <c r="E3647" s="26" t="str">
        <f>IFERROR(VLOOKUP(G3647,WholesaleExtract!B:J,9,FALSE),"")</f>
        <v/>
      </c>
      <c r="F3647" s="26" t="str">
        <f>IFERROR(VLOOKUP(G3647,WholesaleExtract!B:J,6,FALSE),"")</f>
        <v/>
      </c>
      <c r="H3647" s="47" t="str">
        <f>IFERROR(VLOOKUP(G3647,WholesaleExtract!B:L,11,FALSE),"")</f>
        <v/>
      </c>
      <c r="I3647" s="26" t="str">
        <f>IFERROR(VLOOKUP(G3647,WholesaleExtract!B:O,8,FALSE),"")</f>
        <v/>
      </c>
      <c r="J3647" s="26" t="str">
        <f>IFERROR(VLOOKUP(G3647,WholesaleExtract!B:O,14,FALSE),"")</f>
        <v/>
      </c>
      <c r="K3647" s="26" t="str">
        <f>IFERROR(VLOOKUP(G3647,WholesaleExtract!B:K,10,FALSE),"")</f>
        <v/>
      </c>
      <c r="L3647" s="47" t="str">
        <f>IFERROR(VLOOKUP(G3647,WholesaleExtract!B:L,11,FALSE),"")</f>
        <v/>
      </c>
      <c r="M3647" s="47" t="str">
        <f>IFERROR(VLOOKUP(G3647,WholesaleExtract!B:M,12,FALSE),"")</f>
        <v/>
      </c>
      <c r="R3647" s="19"/>
      <c r="S3647" s="19"/>
    </row>
    <row r="3648" spans="1:19" x14ac:dyDescent="0.35">
      <c r="A3648" s="26" t="s">
        <v>543</v>
      </c>
      <c r="B3648" s="26" t="s">
        <v>543</v>
      </c>
      <c r="C3648" s="26"/>
      <c r="D3648" s="26" t="s">
        <v>543</v>
      </c>
      <c r="E3648" s="26" t="str">
        <f>IFERROR(VLOOKUP(G3648,WholesaleExtract!B:J,9,FALSE),"")</f>
        <v/>
      </c>
      <c r="F3648" s="26" t="str">
        <f>IFERROR(VLOOKUP(G3648,WholesaleExtract!B:J,6,FALSE),"")</f>
        <v/>
      </c>
      <c r="H3648" s="47" t="str">
        <f>IFERROR(VLOOKUP(G3648,WholesaleExtract!B:L,11,FALSE),"")</f>
        <v/>
      </c>
      <c r="I3648" s="26" t="str">
        <f>IFERROR(VLOOKUP(G3648,WholesaleExtract!B:O,8,FALSE),"")</f>
        <v/>
      </c>
      <c r="J3648" s="26" t="str">
        <f>IFERROR(VLOOKUP(G3648,WholesaleExtract!B:O,14,FALSE),"")</f>
        <v/>
      </c>
      <c r="K3648" s="26" t="str">
        <f>IFERROR(VLOOKUP(G3648,WholesaleExtract!B:K,10,FALSE),"")</f>
        <v/>
      </c>
      <c r="L3648" s="47" t="str">
        <f>IFERROR(VLOOKUP(G3648,WholesaleExtract!B:L,11,FALSE),"")</f>
        <v/>
      </c>
      <c r="M3648" s="47" t="str">
        <f>IFERROR(VLOOKUP(G3648,WholesaleExtract!B:M,12,FALSE),"")</f>
        <v/>
      </c>
      <c r="R3648" s="19"/>
      <c r="S3648" s="19"/>
    </row>
    <row r="3649" spans="1:19" x14ac:dyDescent="0.35">
      <c r="A3649" s="26" t="s">
        <v>543</v>
      </c>
      <c r="B3649" s="26" t="s">
        <v>543</v>
      </c>
      <c r="C3649" s="26"/>
      <c r="D3649" s="26" t="s">
        <v>543</v>
      </c>
      <c r="E3649" s="26" t="str">
        <f>IFERROR(VLOOKUP(G3649,WholesaleExtract!B:J,9,FALSE),"")</f>
        <v/>
      </c>
      <c r="F3649" s="26" t="str">
        <f>IFERROR(VLOOKUP(G3649,WholesaleExtract!B:J,6,FALSE),"")</f>
        <v/>
      </c>
      <c r="H3649" s="47" t="str">
        <f>IFERROR(VLOOKUP(G3649,WholesaleExtract!B:L,11,FALSE),"")</f>
        <v/>
      </c>
      <c r="I3649" s="26" t="str">
        <f>IFERROR(VLOOKUP(G3649,WholesaleExtract!B:O,8,FALSE),"")</f>
        <v/>
      </c>
      <c r="J3649" s="26" t="str">
        <f>IFERROR(VLOOKUP(G3649,WholesaleExtract!B:O,14,FALSE),"")</f>
        <v/>
      </c>
      <c r="K3649" s="26" t="str">
        <f>IFERROR(VLOOKUP(G3649,WholesaleExtract!B:K,10,FALSE),"")</f>
        <v/>
      </c>
      <c r="L3649" s="47" t="str">
        <f>IFERROR(VLOOKUP(G3649,WholesaleExtract!B:L,11,FALSE),"")</f>
        <v/>
      </c>
      <c r="M3649" s="47" t="str">
        <f>IFERROR(VLOOKUP(G3649,WholesaleExtract!B:M,12,FALSE),"")</f>
        <v/>
      </c>
      <c r="R3649" s="19"/>
      <c r="S3649" s="19"/>
    </row>
    <row r="3650" spans="1:19" x14ac:dyDescent="0.35">
      <c r="A3650" s="26" t="s">
        <v>543</v>
      </c>
      <c r="B3650" s="26" t="s">
        <v>543</v>
      </c>
      <c r="C3650" s="26"/>
      <c r="D3650" s="26" t="s">
        <v>543</v>
      </c>
      <c r="E3650" s="26" t="str">
        <f>IFERROR(VLOOKUP(G3650,WholesaleExtract!B:J,9,FALSE),"")</f>
        <v/>
      </c>
      <c r="F3650" s="26" t="str">
        <f>IFERROR(VLOOKUP(G3650,WholesaleExtract!B:J,6,FALSE),"")</f>
        <v/>
      </c>
      <c r="H3650" s="47" t="str">
        <f>IFERROR(VLOOKUP(G3650,WholesaleExtract!B:L,11,FALSE),"")</f>
        <v/>
      </c>
      <c r="I3650" s="26" t="str">
        <f>IFERROR(VLOOKUP(G3650,WholesaleExtract!B:O,8,FALSE),"")</f>
        <v/>
      </c>
      <c r="J3650" s="26" t="str">
        <f>IFERROR(VLOOKUP(G3650,WholesaleExtract!B:O,14,FALSE),"")</f>
        <v/>
      </c>
      <c r="K3650" s="26" t="str">
        <f>IFERROR(VLOOKUP(G3650,WholesaleExtract!B:K,10,FALSE),"")</f>
        <v/>
      </c>
      <c r="L3650" s="47" t="str">
        <f>IFERROR(VLOOKUP(G3650,WholesaleExtract!B:L,11,FALSE),"")</f>
        <v/>
      </c>
      <c r="M3650" s="47" t="str">
        <f>IFERROR(VLOOKUP(G3650,WholesaleExtract!B:M,12,FALSE),"")</f>
        <v/>
      </c>
      <c r="R3650" s="19"/>
      <c r="S3650" s="19"/>
    </row>
    <row r="3651" spans="1:19" x14ac:dyDescent="0.35">
      <c r="A3651" s="26" t="s">
        <v>543</v>
      </c>
      <c r="B3651" s="26" t="s">
        <v>543</v>
      </c>
      <c r="C3651" s="26"/>
      <c r="D3651" s="26" t="s">
        <v>543</v>
      </c>
      <c r="E3651" s="26" t="str">
        <f>IFERROR(VLOOKUP(G3651,WholesaleExtract!B:J,9,FALSE),"")</f>
        <v/>
      </c>
      <c r="F3651" s="26" t="str">
        <f>IFERROR(VLOOKUP(G3651,WholesaleExtract!B:J,6,FALSE),"")</f>
        <v/>
      </c>
      <c r="H3651" s="47" t="str">
        <f>IFERROR(VLOOKUP(G3651,WholesaleExtract!B:L,11,FALSE),"")</f>
        <v/>
      </c>
      <c r="I3651" s="26" t="str">
        <f>IFERROR(VLOOKUP(G3651,WholesaleExtract!B:O,8,FALSE),"")</f>
        <v/>
      </c>
      <c r="J3651" s="26" t="str">
        <f>IFERROR(VLOOKUP(G3651,WholesaleExtract!B:O,14,FALSE),"")</f>
        <v/>
      </c>
      <c r="K3651" s="26" t="str">
        <f>IFERROR(VLOOKUP(G3651,WholesaleExtract!B:K,10,FALSE),"")</f>
        <v/>
      </c>
      <c r="L3651" s="47" t="str">
        <f>IFERROR(VLOOKUP(G3651,WholesaleExtract!B:L,11,FALSE),"")</f>
        <v/>
      </c>
      <c r="M3651" s="47" t="str">
        <f>IFERROR(VLOOKUP(G3651,WholesaleExtract!B:M,12,FALSE),"")</f>
        <v/>
      </c>
      <c r="R3651" s="19"/>
      <c r="S3651" s="19"/>
    </row>
    <row r="3652" spans="1:19" x14ac:dyDescent="0.35">
      <c r="A3652" s="26" t="s">
        <v>543</v>
      </c>
      <c r="B3652" s="26" t="s">
        <v>543</v>
      </c>
      <c r="C3652" s="26"/>
      <c r="D3652" s="26" t="s">
        <v>543</v>
      </c>
      <c r="E3652" s="26" t="str">
        <f>IFERROR(VLOOKUP(G3652,WholesaleExtract!B:J,9,FALSE),"")</f>
        <v/>
      </c>
      <c r="F3652" s="26" t="str">
        <f>IFERROR(VLOOKUP(G3652,WholesaleExtract!B:J,6,FALSE),"")</f>
        <v/>
      </c>
      <c r="H3652" s="47" t="str">
        <f>IFERROR(VLOOKUP(G3652,WholesaleExtract!B:L,11,FALSE),"")</f>
        <v/>
      </c>
      <c r="I3652" s="26" t="str">
        <f>IFERROR(VLOOKUP(G3652,WholesaleExtract!B:O,8,FALSE),"")</f>
        <v/>
      </c>
      <c r="J3652" s="26" t="str">
        <f>IFERROR(VLOOKUP(G3652,WholesaleExtract!B:O,14,FALSE),"")</f>
        <v/>
      </c>
      <c r="K3652" s="26" t="str">
        <f>IFERROR(VLOOKUP(G3652,WholesaleExtract!B:K,10,FALSE),"")</f>
        <v/>
      </c>
      <c r="L3652" s="47" t="str">
        <f>IFERROR(VLOOKUP(G3652,WholesaleExtract!B:L,11,FALSE),"")</f>
        <v/>
      </c>
      <c r="M3652" s="47" t="str">
        <f>IFERROR(VLOOKUP(G3652,WholesaleExtract!B:M,12,FALSE),"")</f>
        <v/>
      </c>
      <c r="R3652" s="19"/>
      <c r="S3652" s="19"/>
    </row>
    <row r="3653" spans="1:19" x14ac:dyDescent="0.35">
      <c r="A3653" s="26" t="s">
        <v>543</v>
      </c>
      <c r="B3653" s="26" t="s">
        <v>543</v>
      </c>
      <c r="C3653" s="26"/>
      <c r="D3653" s="26" t="s">
        <v>543</v>
      </c>
      <c r="E3653" s="26" t="str">
        <f>IFERROR(VLOOKUP(G3653,WholesaleExtract!B:J,9,FALSE),"")</f>
        <v/>
      </c>
      <c r="F3653" s="26" t="str">
        <f>IFERROR(VLOOKUP(G3653,WholesaleExtract!B:J,6,FALSE),"")</f>
        <v/>
      </c>
      <c r="H3653" s="47" t="str">
        <f>IFERROR(VLOOKUP(G3653,WholesaleExtract!B:L,11,FALSE),"")</f>
        <v/>
      </c>
      <c r="I3653" s="26" t="str">
        <f>IFERROR(VLOOKUP(G3653,WholesaleExtract!B:O,8,FALSE),"")</f>
        <v/>
      </c>
      <c r="J3653" s="26" t="str">
        <f>IFERROR(VLOOKUP(G3653,WholesaleExtract!B:O,14,FALSE),"")</f>
        <v/>
      </c>
      <c r="K3653" s="26" t="str">
        <f>IFERROR(VLOOKUP(G3653,WholesaleExtract!B:K,10,FALSE),"")</f>
        <v/>
      </c>
      <c r="L3653" s="47" t="str">
        <f>IFERROR(VLOOKUP(G3653,WholesaleExtract!B:L,11,FALSE),"")</f>
        <v/>
      </c>
      <c r="M3653" s="47" t="str">
        <f>IFERROR(VLOOKUP(G3653,WholesaleExtract!B:M,12,FALSE),"")</f>
        <v/>
      </c>
      <c r="R3653" s="19"/>
      <c r="S3653" s="19"/>
    </row>
    <row r="3654" spans="1:19" x14ac:dyDescent="0.35">
      <c r="A3654" s="26" t="s">
        <v>543</v>
      </c>
      <c r="B3654" s="26" t="s">
        <v>543</v>
      </c>
      <c r="C3654" s="26"/>
      <c r="D3654" s="26" t="s">
        <v>543</v>
      </c>
      <c r="E3654" s="26" t="str">
        <f>IFERROR(VLOOKUP(G3654,WholesaleExtract!B:J,9,FALSE),"")</f>
        <v/>
      </c>
      <c r="F3654" s="26" t="str">
        <f>IFERROR(VLOOKUP(G3654,WholesaleExtract!B:J,6,FALSE),"")</f>
        <v/>
      </c>
      <c r="H3654" s="47" t="str">
        <f>IFERROR(VLOOKUP(G3654,WholesaleExtract!B:L,11,FALSE),"")</f>
        <v/>
      </c>
      <c r="I3654" s="26" t="str">
        <f>IFERROR(VLOOKUP(G3654,WholesaleExtract!B:O,8,FALSE),"")</f>
        <v/>
      </c>
      <c r="J3654" s="26" t="str">
        <f>IFERROR(VLOOKUP(G3654,WholesaleExtract!B:O,14,FALSE),"")</f>
        <v/>
      </c>
      <c r="K3654" s="26" t="str">
        <f>IFERROR(VLOOKUP(G3654,WholesaleExtract!B:K,10,FALSE),"")</f>
        <v/>
      </c>
      <c r="L3654" s="47" t="str">
        <f>IFERROR(VLOOKUP(G3654,WholesaleExtract!B:L,11,FALSE),"")</f>
        <v/>
      </c>
      <c r="M3654" s="47" t="str">
        <f>IFERROR(VLOOKUP(G3654,WholesaleExtract!B:M,12,FALSE),"")</f>
        <v/>
      </c>
      <c r="R3654" s="19"/>
      <c r="S3654" s="19"/>
    </row>
    <row r="3655" spans="1:19" x14ac:dyDescent="0.35">
      <c r="A3655" s="26" t="s">
        <v>543</v>
      </c>
      <c r="B3655" s="26" t="s">
        <v>543</v>
      </c>
      <c r="C3655" s="26"/>
      <c r="D3655" s="26" t="s">
        <v>543</v>
      </c>
      <c r="E3655" s="26" t="str">
        <f>IFERROR(VLOOKUP(G3655,WholesaleExtract!B:J,9,FALSE),"")</f>
        <v/>
      </c>
      <c r="F3655" s="26" t="str">
        <f>IFERROR(VLOOKUP(G3655,WholesaleExtract!B:J,6,FALSE),"")</f>
        <v/>
      </c>
      <c r="H3655" s="47" t="str">
        <f>IFERROR(VLOOKUP(G3655,WholesaleExtract!B:L,11,FALSE),"")</f>
        <v/>
      </c>
      <c r="I3655" s="26" t="str">
        <f>IFERROR(VLOOKUP(G3655,WholesaleExtract!B:O,8,FALSE),"")</f>
        <v/>
      </c>
      <c r="J3655" s="26" t="str">
        <f>IFERROR(VLOOKUP(G3655,WholesaleExtract!B:O,14,FALSE),"")</f>
        <v/>
      </c>
      <c r="K3655" s="26" t="str">
        <f>IFERROR(VLOOKUP(G3655,WholesaleExtract!B:K,10,FALSE),"")</f>
        <v/>
      </c>
      <c r="L3655" s="47" t="str">
        <f>IFERROR(VLOOKUP(G3655,WholesaleExtract!B:L,11,FALSE),"")</f>
        <v/>
      </c>
      <c r="M3655" s="47" t="str">
        <f>IFERROR(VLOOKUP(G3655,WholesaleExtract!B:M,12,FALSE),"")</f>
        <v/>
      </c>
      <c r="R3655" s="19"/>
      <c r="S3655" s="19"/>
    </row>
    <row r="3656" spans="1:19" x14ac:dyDescent="0.35">
      <c r="A3656" s="26" t="s">
        <v>543</v>
      </c>
      <c r="B3656" s="26" t="s">
        <v>543</v>
      </c>
      <c r="C3656" s="26"/>
      <c r="D3656" s="26" t="s">
        <v>543</v>
      </c>
      <c r="E3656" s="26" t="str">
        <f>IFERROR(VLOOKUP(G3656,WholesaleExtract!B:J,9,FALSE),"")</f>
        <v/>
      </c>
      <c r="F3656" s="26" t="str">
        <f>IFERROR(VLOOKUP(G3656,WholesaleExtract!B:J,6,FALSE),"")</f>
        <v/>
      </c>
      <c r="H3656" s="47" t="str">
        <f>IFERROR(VLOOKUP(G3656,WholesaleExtract!B:L,11,FALSE),"")</f>
        <v/>
      </c>
      <c r="I3656" s="26" t="str">
        <f>IFERROR(VLOOKUP(G3656,WholesaleExtract!B:O,8,FALSE),"")</f>
        <v/>
      </c>
      <c r="J3656" s="26" t="str">
        <f>IFERROR(VLOOKUP(G3656,WholesaleExtract!B:O,14,FALSE),"")</f>
        <v/>
      </c>
      <c r="K3656" s="26" t="str">
        <f>IFERROR(VLOOKUP(G3656,WholesaleExtract!B:K,10,FALSE),"")</f>
        <v/>
      </c>
      <c r="L3656" s="47" t="str">
        <f>IFERROR(VLOOKUP(G3656,WholesaleExtract!B:L,11,FALSE),"")</f>
        <v/>
      </c>
      <c r="M3656" s="47" t="str">
        <f>IFERROR(VLOOKUP(G3656,WholesaleExtract!B:M,12,FALSE),"")</f>
        <v/>
      </c>
      <c r="R3656" s="19"/>
      <c r="S3656" s="19"/>
    </row>
    <row r="3657" spans="1:19" x14ac:dyDescent="0.35">
      <c r="A3657" s="26" t="s">
        <v>543</v>
      </c>
      <c r="B3657" s="26" t="s">
        <v>543</v>
      </c>
      <c r="C3657" s="26"/>
      <c r="D3657" s="26" t="s">
        <v>543</v>
      </c>
      <c r="E3657" s="26" t="str">
        <f>IFERROR(VLOOKUP(G3657,WholesaleExtract!B:J,9,FALSE),"")</f>
        <v/>
      </c>
      <c r="F3657" s="26" t="str">
        <f>IFERROR(VLOOKUP(G3657,WholesaleExtract!B:J,6,FALSE),"")</f>
        <v/>
      </c>
      <c r="H3657" s="47" t="str">
        <f>IFERROR(VLOOKUP(G3657,WholesaleExtract!B:L,11,FALSE),"")</f>
        <v/>
      </c>
      <c r="I3657" s="26" t="str">
        <f>IFERROR(VLOOKUP(G3657,WholesaleExtract!B:O,8,FALSE),"")</f>
        <v/>
      </c>
      <c r="J3657" s="26" t="str">
        <f>IFERROR(VLOOKUP(G3657,WholesaleExtract!B:O,14,FALSE),"")</f>
        <v/>
      </c>
      <c r="K3657" s="26" t="str">
        <f>IFERROR(VLOOKUP(G3657,WholesaleExtract!B:K,10,FALSE),"")</f>
        <v/>
      </c>
      <c r="L3657" s="47" t="str">
        <f>IFERROR(VLOOKUP(G3657,WholesaleExtract!B:L,11,FALSE),"")</f>
        <v/>
      </c>
      <c r="M3657" s="47" t="str">
        <f>IFERROR(VLOOKUP(G3657,WholesaleExtract!B:M,12,FALSE),"")</f>
        <v/>
      </c>
      <c r="R3657" s="19"/>
      <c r="S3657" s="19"/>
    </row>
    <row r="3658" spans="1:19" x14ac:dyDescent="0.35">
      <c r="A3658" s="26" t="s">
        <v>543</v>
      </c>
      <c r="B3658" s="26" t="s">
        <v>543</v>
      </c>
      <c r="C3658" s="26"/>
      <c r="D3658" s="26" t="s">
        <v>543</v>
      </c>
      <c r="E3658" s="26" t="str">
        <f>IFERROR(VLOOKUP(G3658,WholesaleExtract!B:J,9,FALSE),"")</f>
        <v/>
      </c>
      <c r="F3658" s="26" t="str">
        <f>IFERROR(VLOOKUP(G3658,WholesaleExtract!B:J,6,FALSE),"")</f>
        <v/>
      </c>
      <c r="H3658" s="47" t="str">
        <f>IFERROR(VLOOKUP(G3658,WholesaleExtract!B:L,11,FALSE),"")</f>
        <v/>
      </c>
      <c r="I3658" s="26" t="str">
        <f>IFERROR(VLOOKUP(G3658,WholesaleExtract!B:O,8,FALSE),"")</f>
        <v/>
      </c>
      <c r="J3658" s="26" t="str">
        <f>IFERROR(VLOOKUP(G3658,WholesaleExtract!B:O,14,FALSE),"")</f>
        <v/>
      </c>
      <c r="K3658" s="26" t="str">
        <f>IFERROR(VLOOKUP(G3658,WholesaleExtract!B:K,10,FALSE),"")</f>
        <v/>
      </c>
      <c r="L3658" s="47" t="str">
        <f>IFERROR(VLOOKUP(G3658,WholesaleExtract!B:L,11,FALSE),"")</f>
        <v/>
      </c>
      <c r="M3658" s="47" t="str">
        <f>IFERROR(VLOOKUP(G3658,WholesaleExtract!B:M,12,FALSE),"")</f>
        <v/>
      </c>
      <c r="R3658" s="19"/>
      <c r="S3658" s="19"/>
    </row>
    <row r="3659" spans="1:19" x14ac:dyDescent="0.35">
      <c r="A3659" s="26" t="s">
        <v>543</v>
      </c>
      <c r="B3659" s="26" t="s">
        <v>543</v>
      </c>
      <c r="C3659" s="26"/>
      <c r="D3659" s="26" t="s">
        <v>543</v>
      </c>
      <c r="E3659" s="26" t="str">
        <f>IFERROR(VLOOKUP(G3659,WholesaleExtract!B:J,9,FALSE),"")</f>
        <v/>
      </c>
      <c r="F3659" s="26" t="str">
        <f>IFERROR(VLOOKUP(G3659,WholesaleExtract!B:J,6,FALSE),"")</f>
        <v/>
      </c>
      <c r="H3659" s="47" t="str">
        <f>IFERROR(VLOOKUP(G3659,WholesaleExtract!B:L,11,FALSE),"")</f>
        <v/>
      </c>
      <c r="I3659" s="26" t="str">
        <f>IFERROR(VLOOKUP(G3659,WholesaleExtract!B:O,8,FALSE),"")</f>
        <v/>
      </c>
      <c r="J3659" s="26" t="str">
        <f>IFERROR(VLOOKUP(G3659,WholesaleExtract!B:O,14,FALSE),"")</f>
        <v/>
      </c>
      <c r="K3659" s="26" t="str">
        <f>IFERROR(VLOOKUP(G3659,WholesaleExtract!B:K,10,FALSE),"")</f>
        <v/>
      </c>
      <c r="L3659" s="47" t="str">
        <f>IFERROR(VLOOKUP(G3659,WholesaleExtract!B:L,11,FALSE),"")</f>
        <v/>
      </c>
      <c r="M3659" s="47" t="str">
        <f>IFERROR(VLOOKUP(G3659,WholesaleExtract!B:M,12,FALSE),"")</f>
        <v/>
      </c>
      <c r="R3659" s="19"/>
      <c r="S3659" s="19"/>
    </row>
    <row r="3660" spans="1:19" x14ac:dyDescent="0.35">
      <c r="A3660" s="26" t="s">
        <v>543</v>
      </c>
      <c r="B3660" s="26" t="s">
        <v>543</v>
      </c>
      <c r="C3660" s="26"/>
      <c r="D3660" s="26" t="s">
        <v>543</v>
      </c>
      <c r="E3660" s="26" t="str">
        <f>IFERROR(VLOOKUP(G3660,WholesaleExtract!B:J,9,FALSE),"")</f>
        <v/>
      </c>
      <c r="F3660" s="26" t="str">
        <f>IFERROR(VLOOKUP(G3660,WholesaleExtract!B:J,6,FALSE),"")</f>
        <v/>
      </c>
      <c r="H3660" s="47" t="str">
        <f>IFERROR(VLOOKUP(G3660,WholesaleExtract!B:L,11,FALSE),"")</f>
        <v/>
      </c>
      <c r="I3660" s="26" t="str">
        <f>IFERROR(VLOOKUP(G3660,WholesaleExtract!B:O,8,FALSE),"")</f>
        <v/>
      </c>
      <c r="J3660" s="26" t="str">
        <f>IFERROR(VLOOKUP(G3660,WholesaleExtract!B:O,14,FALSE),"")</f>
        <v/>
      </c>
      <c r="K3660" s="26" t="str">
        <f>IFERROR(VLOOKUP(G3660,WholesaleExtract!B:K,10,FALSE),"")</f>
        <v/>
      </c>
      <c r="L3660" s="47" t="str">
        <f>IFERROR(VLOOKUP(G3660,WholesaleExtract!B:L,11,FALSE),"")</f>
        <v/>
      </c>
      <c r="M3660" s="47" t="str">
        <f>IFERROR(VLOOKUP(G3660,WholesaleExtract!B:M,12,FALSE),"")</f>
        <v/>
      </c>
      <c r="R3660" s="19"/>
      <c r="S3660" s="19"/>
    </row>
    <row r="3661" spans="1:19" x14ac:dyDescent="0.35">
      <c r="A3661" s="26" t="s">
        <v>543</v>
      </c>
      <c r="B3661" s="26" t="s">
        <v>543</v>
      </c>
      <c r="C3661" s="26"/>
      <c r="D3661" s="26" t="s">
        <v>543</v>
      </c>
      <c r="E3661" s="26" t="str">
        <f>IFERROR(VLOOKUP(G3661,WholesaleExtract!B:J,9,FALSE),"")</f>
        <v/>
      </c>
      <c r="F3661" s="26" t="str">
        <f>IFERROR(VLOOKUP(G3661,WholesaleExtract!B:J,6,FALSE),"")</f>
        <v/>
      </c>
      <c r="H3661" s="47" t="str">
        <f>IFERROR(VLOOKUP(G3661,WholesaleExtract!B:L,11,FALSE),"")</f>
        <v/>
      </c>
      <c r="I3661" s="26" t="str">
        <f>IFERROR(VLOOKUP(G3661,WholesaleExtract!B:O,8,FALSE),"")</f>
        <v/>
      </c>
      <c r="J3661" s="26" t="str">
        <f>IFERROR(VLOOKUP(G3661,WholesaleExtract!B:O,14,FALSE),"")</f>
        <v/>
      </c>
      <c r="K3661" s="26" t="str">
        <f>IFERROR(VLOOKUP(G3661,WholesaleExtract!B:K,10,FALSE),"")</f>
        <v/>
      </c>
      <c r="L3661" s="47" t="str">
        <f>IFERROR(VLOOKUP(G3661,WholesaleExtract!B:L,11,FALSE),"")</f>
        <v/>
      </c>
      <c r="M3661" s="47" t="str">
        <f>IFERROR(VLOOKUP(G3661,WholesaleExtract!B:M,12,FALSE),"")</f>
        <v/>
      </c>
      <c r="R3661" s="19"/>
      <c r="S3661" s="19"/>
    </row>
    <row r="3662" spans="1:19" x14ac:dyDescent="0.35">
      <c r="A3662" s="26" t="s">
        <v>543</v>
      </c>
      <c r="B3662" s="26" t="s">
        <v>543</v>
      </c>
      <c r="C3662" s="26"/>
      <c r="D3662" s="26" t="s">
        <v>543</v>
      </c>
      <c r="E3662" s="26" t="str">
        <f>IFERROR(VLOOKUP(G3662,WholesaleExtract!B:J,9,FALSE),"")</f>
        <v/>
      </c>
      <c r="F3662" s="26" t="str">
        <f>IFERROR(VLOOKUP(G3662,WholesaleExtract!B:J,6,FALSE),"")</f>
        <v/>
      </c>
      <c r="H3662" s="47" t="str">
        <f>IFERROR(VLOOKUP(G3662,WholesaleExtract!B:L,11,FALSE),"")</f>
        <v/>
      </c>
      <c r="I3662" s="26" t="str">
        <f>IFERROR(VLOOKUP(G3662,WholesaleExtract!B:O,8,FALSE),"")</f>
        <v/>
      </c>
      <c r="J3662" s="26" t="str">
        <f>IFERROR(VLOOKUP(G3662,WholesaleExtract!B:O,14,FALSE),"")</f>
        <v/>
      </c>
      <c r="K3662" s="26" t="str">
        <f>IFERROR(VLOOKUP(G3662,WholesaleExtract!B:K,10,FALSE),"")</f>
        <v/>
      </c>
      <c r="L3662" s="47" t="str">
        <f>IFERROR(VLOOKUP(G3662,WholesaleExtract!B:L,11,FALSE),"")</f>
        <v/>
      </c>
      <c r="M3662" s="47" t="str">
        <f>IFERROR(VLOOKUP(G3662,WholesaleExtract!B:M,12,FALSE),"")</f>
        <v/>
      </c>
      <c r="R3662" s="19"/>
      <c r="S3662" s="19"/>
    </row>
    <row r="3663" spans="1:19" x14ac:dyDescent="0.35">
      <c r="A3663" s="26" t="s">
        <v>543</v>
      </c>
      <c r="B3663" s="26" t="s">
        <v>543</v>
      </c>
      <c r="C3663" s="26"/>
      <c r="D3663" s="26" t="s">
        <v>543</v>
      </c>
      <c r="E3663" s="26" t="str">
        <f>IFERROR(VLOOKUP(G3663,WholesaleExtract!B:J,9,FALSE),"")</f>
        <v/>
      </c>
      <c r="F3663" s="26" t="str">
        <f>IFERROR(VLOOKUP(G3663,WholesaleExtract!B:J,6,FALSE),"")</f>
        <v/>
      </c>
      <c r="H3663" s="47" t="str">
        <f>IFERROR(VLOOKUP(G3663,WholesaleExtract!B:L,11,FALSE),"")</f>
        <v/>
      </c>
      <c r="I3663" s="26" t="str">
        <f>IFERROR(VLOOKUP(G3663,WholesaleExtract!B:O,8,FALSE),"")</f>
        <v/>
      </c>
      <c r="J3663" s="26" t="str">
        <f>IFERROR(VLOOKUP(G3663,WholesaleExtract!B:O,14,FALSE),"")</f>
        <v/>
      </c>
      <c r="K3663" s="26" t="str">
        <f>IFERROR(VLOOKUP(G3663,WholesaleExtract!B:K,10,FALSE),"")</f>
        <v/>
      </c>
      <c r="L3663" s="47" t="str">
        <f>IFERROR(VLOOKUP(G3663,WholesaleExtract!B:L,11,FALSE),"")</f>
        <v/>
      </c>
      <c r="M3663" s="47" t="str">
        <f>IFERROR(VLOOKUP(G3663,WholesaleExtract!B:M,12,FALSE),"")</f>
        <v/>
      </c>
      <c r="R3663" s="19"/>
      <c r="S3663" s="19"/>
    </row>
    <row r="3664" spans="1:19" x14ac:dyDescent="0.35">
      <c r="A3664" s="26" t="s">
        <v>543</v>
      </c>
      <c r="B3664" s="26" t="s">
        <v>543</v>
      </c>
      <c r="C3664" s="26"/>
      <c r="D3664" s="26" t="s">
        <v>543</v>
      </c>
      <c r="E3664" s="26" t="str">
        <f>IFERROR(VLOOKUP(G3664,WholesaleExtract!B:J,9,FALSE),"")</f>
        <v/>
      </c>
      <c r="F3664" s="26" t="str">
        <f>IFERROR(VLOOKUP(G3664,WholesaleExtract!B:J,6,FALSE),"")</f>
        <v/>
      </c>
      <c r="H3664" s="47" t="str">
        <f>IFERROR(VLOOKUP(G3664,WholesaleExtract!B:L,11,FALSE),"")</f>
        <v/>
      </c>
      <c r="I3664" s="26" t="str">
        <f>IFERROR(VLOOKUP(G3664,WholesaleExtract!B:O,8,FALSE),"")</f>
        <v/>
      </c>
      <c r="J3664" s="26" t="str">
        <f>IFERROR(VLOOKUP(G3664,WholesaleExtract!B:O,14,FALSE),"")</f>
        <v/>
      </c>
      <c r="K3664" s="26" t="str">
        <f>IFERROR(VLOOKUP(G3664,WholesaleExtract!B:K,10,FALSE),"")</f>
        <v/>
      </c>
      <c r="L3664" s="47" t="str">
        <f>IFERROR(VLOOKUP(G3664,WholesaleExtract!B:L,11,FALSE),"")</f>
        <v/>
      </c>
      <c r="M3664" s="47" t="str">
        <f>IFERROR(VLOOKUP(G3664,WholesaleExtract!B:M,12,FALSE),"")</f>
        <v/>
      </c>
      <c r="R3664" s="19"/>
      <c r="S3664" s="19"/>
    </row>
    <row r="3665" spans="1:19" x14ac:dyDescent="0.35">
      <c r="A3665" s="26" t="s">
        <v>543</v>
      </c>
      <c r="B3665" s="26" t="s">
        <v>543</v>
      </c>
      <c r="C3665" s="26"/>
      <c r="D3665" s="26" t="s">
        <v>543</v>
      </c>
      <c r="E3665" s="26" t="str">
        <f>IFERROR(VLOOKUP(G3665,WholesaleExtract!B:J,9,FALSE),"")</f>
        <v/>
      </c>
      <c r="F3665" s="26" t="str">
        <f>IFERROR(VLOOKUP(G3665,WholesaleExtract!B:J,6,FALSE),"")</f>
        <v/>
      </c>
      <c r="H3665" s="47" t="str">
        <f>IFERROR(VLOOKUP(G3665,WholesaleExtract!B:L,11,FALSE),"")</f>
        <v/>
      </c>
      <c r="I3665" s="26" t="str">
        <f>IFERROR(VLOOKUP(G3665,WholesaleExtract!B:O,8,FALSE),"")</f>
        <v/>
      </c>
      <c r="J3665" s="26" t="str">
        <f>IFERROR(VLOOKUP(G3665,WholesaleExtract!B:O,14,FALSE),"")</f>
        <v/>
      </c>
      <c r="K3665" s="26" t="str">
        <f>IFERROR(VLOOKUP(G3665,WholesaleExtract!B:K,10,FALSE),"")</f>
        <v/>
      </c>
      <c r="L3665" s="47" t="str">
        <f>IFERROR(VLOOKUP(G3665,WholesaleExtract!B:L,11,FALSE),"")</f>
        <v/>
      </c>
      <c r="M3665" s="47" t="str">
        <f>IFERROR(VLOOKUP(G3665,WholesaleExtract!B:M,12,FALSE),"")</f>
        <v/>
      </c>
      <c r="R3665" s="19"/>
      <c r="S3665" s="19"/>
    </row>
    <row r="3666" spans="1:19" x14ac:dyDescent="0.35">
      <c r="A3666" s="26" t="s">
        <v>543</v>
      </c>
      <c r="B3666" s="26" t="s">
        <v>543</v>
      </c>
      <c r="C3666" s="26"/>
      <c r="D3666" s="26" t="s">
        <v>543</v>
      </c>
      <c r="E3666" s="26" t="str">
        <f>IFERROR(VLOOKUP(G3666,WholesaleExtract!B:J,9,FALSE),"")</f>
        <v/>
      </c>
      <c r="F3666" s="26" t="str">
        <f>IFERROR(VLOOKUP(G3666,WholesaleExtract!B:J,6,FALSE),"")</f>
        <v/>
      </c>
      <c r="H3666" s="47" t="str">
        <f>IFERROR(VLOOKUP(G3666,WholesaleExtract!B:L,11,FALSE),"")</f>
        <v/>
      </c>
      <c r="I3666" s="26" t="str">
        <f>IFERROR(VLOOKUP(G3666,WholesaleExtract!B:O,8,FALSE),"")</f>
        <v/>
      </c>
      <c r="J3666" s="26" t="str">
        <f>IFERROR(VLOOKUP(G3666,WholesaleExtract!B:O,14,FALSE),"")</f>
        <v/>
      </c>
      <c r="K3666" s="26" t="str">
        <f>IFERROR(VLOOKUP(G3666,WholesaleExtract!B:K,10,FALSE),"")</f>
        <v/>
      </c>
      <c r="L3666" s="47" t="str">
        <f>IFERROR(VLOOKUP(G3666,WholesaleExtract!B:L,11,FALSE),"")</f>
        <v/>
      </c>
      <c r="M3666" s="47" t="str">
        <f>IFERROR(VLOOKUP(G3666,WholesaleExtract!B:M,12,FALSE),"")</f>
        <v/>
      </c>
      <c r="R3666" s="19"/>
      <c r="S3666" s="19"/>
    </row>
    <row r="3667" spans="1:19" x14ac:dyDescent="0.35">
      <c r="A3667" s="26" t="s">
        <v>543</v>
      </c>
      <c r="B3667" s="26" t="s">
        <v>543</v>
      </c>
      <c r="C3667" s="26"/>
      <c r="D3667" s="26" t="s">
        <v>543</v>
      </c>
      <c r="E3667" s="26" t="str">
        <f>IFERROR(VLOOKUP(G3667,WholesaleExtract!B:J,9,FALSE),"")</f>
        <v/>
      </c>
      <c r="F3667" s="26" t="str">
        <f>IFERROR(VLOOKUP(G3667,WholesaleExtract!B:J,6,FALSE),"")</f>
        <v/>
      </c>
      <c r="H3667" s="47" t="str">
        <f>IFERROR(VLOOKUP(G3667,WholesaleExtract!B:L,11,FALSE),"")</f>
        <v/>
      </c>
      <c r="I3667" s="26" t="str">
        <f>IFERROR(VLOOKUP(G3667,WholesaleExtract!B:O,8,FALSE),"")</f>
        <v/>
      </c>
      <c r="J3667" s="26" t="str">
        <f>IFERROR(VLOOKUP(G3667,WholesaleExtract!B:O,14,FALSE),"")</f>
        <v/>
      </c>
      <c r="K3667" s="26" t="str">
        <f>IFERROR(VLOOKUP(G3667,WholesaleExtract!B:K,10,FALSE),"")</f>
        <v/>
      </c>
      <c r="L3667" s="47" t="str">
        <f>IFERROR(VLOOKUP(G3667,WholesaleExtract!B:L,11,FALSE),"")</f>
        <v/>
      </c>
      <c r="M3667" s="47" t="str">
        <f>IFERROR(VLOOKUP(G3667,WholesaleExtract!B:M,12,FALSE),"")</f>
        <v/>
      </c>
      <c r="R3667" s="19"/>
      <c r="S3667" s="19"/>
    </row>
    <row r="3668" spans="1:19" x14ac:dyDescent="0.35">
      <c r="A3668" s="26" t="s">
        <v>543</v>
      </c>
      <c r="B3668" s="26" t="s">
        <v>543</v>
      </c>
      <c r="C3668" s="26"/>
      <c r="D3668" s="26" t="s">
        <v>543</v>
      </c>
      <c r="E3668" s="26" t="str">
        <f>IFERROR(VLOOKUP(G3668,WholesaleExtract!B:J,9,FALSE),"")</f>
        <v/>
      </c>
      <c r="F3668" s="26" t="str">
        <f>IFERROR(VLOOKUP(G3668,WholesaleExtract!B:J,6,FALSE),"")</f>
        <v/>
      </c>
      <c r="H3668" s="47" t="str">
        <f>IFERROR(VLOOKUP(G3668,WholesaleExtract!B:L,11,FALSE),"")</f>
        <v/>
      </c>
      <c r="I3668" s="26" t="str">
        <f>IFERROR(VLOOKUP(G3668,WholesaleExtract!B:O,8,FALSE),"")</f>
        <v/>
      </c>
      <c r="J3668" s="26" t="str">
        <f>IFERROR(VLOOKUP(G3668,WholesaleExtract!B:O,14,FALSE),"")</f>
        <v/>
      </c>
      <c r="K3668" s="26" t="str">
        <f>IFERROR(VLOOKUP(G3668,WholesaleExtract!B:K,10,FALSE),"")</f>
        <v/>
      </c>
      <c r="L3668" s="47" t="str">
        <f>IFERROR(VLOOKUP(G3668,WholesaleExtract!B:L,11,FALSE),"")</f>
        <v/>
      </c>
      <c r="M3668" s="47" t="str">
        <f>IFERROR(VLOOKUP(G3668,WholesaleExtract!B:M,12,FALSE),"")</f>
        <v/>
      </c>
      <c r="R3668" s="19"/>
      <c r="S3668" s="19"/>
    </row>
    <row r="3669" spans="1:19" x14ac:dyDescent="0.35">
      <c r="A3669" s="26" t="s">
        <v>543</v>
      </c>
      <c r="B3669" s="26" t="s">
        <v>543</v>
      </c>
      <c r="C3669" s="26"/>
      <c r="D3669" s="26" t="s">
        <v>543</v>
      </c>
      <c r="E3669" s="26" t="str">
        <f>IFERROR(VLOOKUP(G3669,WholesaleExtract!B:J,9,FALSE),"")</f>
        <v/>
      </c>
      <c r="F3669" s="26" t="str">
        <f>IFERROR(VLOOKUP(G3669,WholesaleExtract!B:J,6,FALSE),"")</f>
        <v/>
      </c>
      <c r="H3669" s="47" t="str">
        <f>IFERROR(VLOOKUP(G3669,WholesaleExtract!B:L,11,FALSE),"")</f>
        <v/>
      </c>
      <c r="I3669" s="26" t="str">
        <f>IFERROR(VLOOKUP(G3669,WholesaleExtract!B:O,8,FALSE),"")</f>
        <v/>
      </c>
      <c r="J3669" s="26" t="str">
        <f>IFERROR(VLOOKUP(G3669,WholesaleExtract!B:O,14,FALSE),"")</f>
        <v/>
      </c>
      <c r="K3669" s="26" t="str">
        <f>IFERROR(VLOOKUP(G3669,WholesaleExtract!B:K,10,FALSE),"")</f>
        <v/>
      </c>
      <c r="L3669" s="47" t="str">
        <f>IFERROR(VLOOKUP(G3669,WholesaleExtract!B:L,11,FALSE),"")</f>
        <v/>
      </c>
      <c r="M3669" s="47" t="str">
        <f>IFERROR(VLOOKUP(G3669,WholesaleExtract!B:M,12,FALSE),"")</f>
        <v/>
      </c>
      <c r="R3669" s="19"/>
      <c r="S3669" s="19"/>
    </row>
    <row r="3670" spans="1:19" x14ac:dyDescent="0.35">
      <c r="A3670" s="26" t="s">
        <v>543</v>
      </c>
      <c r="B3670" s="26" t="s">
        <v>543</v>
      </c>
      <c r="C3670" s="26"/>
      <c r="D3670" s="26" t="s">
        <v>543</v>
      </c>
      <c r="E3670" s="26" t="str">
        <f>IFERROR(VLOOKUP(G3670,WholesaleExtract!B:J,9,FALSE),"")</f>
        <v/>
      </c>
      <c r="F3670" s="26" t="str">
        <f>IFERROR(VLOOKUP(G3670,WholesaleExtract!B:J,6,FALSE),"")</f>
        <v/>
      </c>
      <c r="H3670" s="47" t="str">
        <f>IFERROR(VLOOKUP(G3670,WholesaleExtract!B:L,11,FALSE),"")</f>
        <v/>
      </c>
      <c r="I3670" s="26" t="str">
        <f>IFERROR(VLOOKUP(G3670,WholesaleExtract!B:O,8,FALSE),"")</f>
        <v/>
      </c>
      <c r="J3670" s="26" t="str">
        <f>IFERROR(VLOOKUP(G3670,WholesaleExtract!B:O,14,FALSE),"")</f>
        <v/>
      </c>
      <c r="K3670" s="26" t="str">
        <f>IFERROR(VLOOKUP(G3670,WholesaleExtract!B:K,10,FALSE),"")</f>
        <v/>
      </c>
      <c r="L3670" s="47" t="str">
        <f>IFERROR(VLOOKUP(G3670,WholesaleExtract!B:L,11,FALSE),"")</f>
        <v/>
      </c>
      <c r="M3670" s="47" t="str">
        <f>IFERROR(VLOOKUP(G3670,WholesaleExtract!B:M,12,FALSE),"")</f>
        <v/>
      </c>
      <c r="R3670" s="19"/>
      <c r="S3670" s="19"/>
    </row>
    <row r="3671" spans="1:19" x14ac:dyDescent="0.35">
      <c r="A3671" s="26" t="s">
        <v>543</v>
      </c>
      <c r="B3671" s="26" t="s">
        <v>543</v>
      </c>
      <c r="C3671" s="26"/>
      <c r="D3671" s="26" t="s">
        <v>543</v>
      </c>
      <c r="E3671" s="26" t="str">
        <f>IFERROR(VLOOKUP(G3671,WholesaleExtract!B:J,9,FALSE),"")</f>
        <v/>
      </c>
      <c r="F3671" s="26" t="str">
        <f>IFERROR(VLOOKUP(G3671,WholesaleExtract!B:J,6,FALSE),"")</f>
        <v/>
      </c>
      <c r="H3671" s="47" t="str">
        <f>IFERROR(VLOOKUP(G3671,WholesaleExtract!B:L,11,FALSE),"")</f>
        <v/>
      </c>
      <c r="I3671" s="26" t="str">
        <f>IFERROR(VLOOKUP(G3671,WholesaleExtract!B:O,8,FALSE),"")</f>
        <v/>
      </c>
      <c r="J3671" s="26" t="str">
        <f>IFERROR(VLOOKUP(G3671,WholesaleExtract!B:O,14,FALSE),"")</f>
        <v/>
      </c>
      <c r="K3671" s="26" t="str">
        <f>IFERROR(VLOOKUP(G3671,WholesaleExtract!B:K,10,FALSE),"")</f>
        <v/>
      </c>
      <c r="L3671" s="47" t="str">
        <f>IFERROR(VLOOKUP(G3671,WholesaleExtract!B:L,11,FALSE),"")</f>
        <v/>
      </c>
      <c r="M3671" s="47" t="str">
        <f>IFERROR(VLOOKUP(G3671,WholesaleExtract!B:M,12,FALSE),"")</f>
        <v/>
      </c>
      <c r="R3671" s="19"/>
      <c r="S3671" s="19"/>
    </row>
    <row r="3672" spans="1:19" x14ac:dyDescent="0.35">
      <c r="A3672" s="26" t="s">
        <v>543</v>
      </c>
      <c r="B3672" s="26" t="s">
        <v>543</v>
      </c>
      <c r="C3672" s="26"/>
      <c r="D3672" s="26" t="s">
        <v>543</v>
      </c>
      <c r="E3672" s="26" t="str">
        <f>IFERROR(VLOOKUP(G3672,WholesaleExtract!B:J,9,FALSE),"")</f>
        <v/>
      </c>
      <c r="F3672" s="26" t="str">
        <f>IFERROR(VLOOKUP(G3672,WholesaleExtract!B:J,6,FALSE),"")</f>
        <v/>
      </c>
      <c r="H3672" s="47" t="str">
        <f>IFERROR(VLOOKUP(G3672,WholesaleExtract!B:L,11,FALSE),"")</f>
        <v/>
      </c>
      <c r="I3672" s="26" t="str">
        <f>IFERROR(VLOOKUP(G3672,WholesaleExtract!B:O,8,FALSE),"")</f>
        <v/>
      </c>
      <c r="J3672" s="26" t="str">
        <f>IFERROR(VLOOKUP(G3672,WholesaleExtract!B:O,14,FALSE),"")</f>
        <v/>
      </c>
      <c r="K3672" s="26" t="str">
        <f>IFERROR(VLOOKUP(G3672,WholesaleExtract!B:K,10,FALSE),"")</f>
        <v/>
      </c>
      <c r="L3672" s="47" t="str">
        <f>IFERROR(VLOOKUP(G3672,WholesaleExtract!B:L,11,FALSE),"")</f>
        <v/>
      </c>
      <c r="M3672" s="47" t="str">
        <f>IFERROR(VLOOKUP(G3672,WholesaleExtract!B:M,12,FALSE),"")</f>
        <v/>
      </c>
      <c r="R3672" s="19"/>
      <c r="S3672" s="19"/>
    </row>
    <row r="3673" spans="1:19" x14ac:dyDescent="0.35">
      <c r="A3673" s="26" t="s">
        <v>543</v>
      </c>
      <c r="B3673" s="26" t="s">
        <v>543</v>
      </c>
      <c r="C3673" s="26"/>
      <c r="D3673" s="26" t="s">
        <v>543</v>
      </c>
      <c r="E3673" s="26" t="str">
        <f>IFERROR(VLOOKUP(G3673,WholesaleExtract!B:J,9,FALSE),"")</f>
        <v/>
      </c>
      <c r="F3673" s="26" t="str">
        <f>IFERROR(VLOOKUP(G3673,WholesaleExtract!B:J,6,FALSE),"")</f>
        <v/>
      </c>
      <c r="H3673" s="47" t="str">
        <f>IFERROR(VLOOKUP(G3673,WholesaleExtract!B:L,11,FALSE),"")</f>
        <v/>
      </c>
      <c r="I3673" s="26" t="str">
        <f>IFERROR(VLOOKUP(G3673,WholesaleExtract!B:O,8,FALSE),"")</f>
        <v/>
      </c>
      <c r="J3673" s="26" t="str">
        <f>IFERROR(VLOOKUP(G3673,WholesaleExtract!B:O,14,FALSE),"")</f>
        <v/>
      </c>
      <c r="K3673" s="26" t="str">
        <f>IFERROR(VLOOKUP(G3673,WholesaleExtract!B:K,10,FALSE),"")</f>
        <v/>
      </c>
      <c r="L3673" s="47" t="str">
        <f>IFERROR(VLOOKUP(G3673,WholesaleExtract!B:L,11,FALSE),"")</f>
        <v/>
      </c>
      <c r="M3673" s="47" t="str">
        <f>IFERROR(VLOOKUP(G3673,WholesaleExtract!B:M,12,FALSE),"")</f>
        <v/>
      </c>
      <c r="R3673" s="19"/>
      <c r="S3673" s="19"/>
    </row>
    <row r="3674" spans="1:19" x14ac:dyDescent="0.35">
      <c r="A3674" s="26" t="s">
        <v>543</v>
      </c>
      <c r="B3674" s="26" t="s">
        <v>543</v>
      </c>
      <c r="C3674" s="26"/>
      <c r="D3674" s="26" t="s">
        <v>543</v>
      </c>
      <c r="E3674" s="26" t="str">
        <f>IFERROR(VLOOKUP(G3674,WholesaleExtract!B:J,9,FALSE),"")</f>
        <v/>
      </c>
      <c r="F3674" s="26" t="str">
        <f>IFERROR(VLOOKUP(G3674,WholesaleExtract!B:J,6,FALSE),"")</f>
        <v/>
      </c>
      <c r="H3674" s="47" t="str">
        <f>IFERROR(VLOOKUP(G3674,WholesaleExtract!B:L,11,FALSE),"")</f>
        <v/>
      </c>
      <c r="I3674" s="26" t="str">
        <f>IFERROR(VLOOKUP(G3674,WholesaleExtract!B:O,8,FALSE),"")</f>
        <v/>
      </c>
      <c r="J3674" s="26" t="str">
        <f>IFERROR(VLOOKUP(G3674,WholesaleExtract!B:O,14,FALSE),"")</f>
        <v/>
      </c>
      <c r="K3674" s="26" t="str">
        <f>IFERROR(VLOOKUP(G3674,WholesaleExtract!B:K,10,FALSE),"")</f>
        <v/>
      </c>
      <c r="L3674" s="47" t="str">
        <f>IFERROR(VLOOKUP(G3674,WholesaleExtract!B:L,11,FALSE),"")</f>
        <v/>
      </c>
      <c r="M3674" s="47" t="str">
        <f>IFERROR(VLOOKUP(G3674,WholesaleExtract!B:M,12,FALSE),"")</f>
        <v/>
      </c>
      <c r="R3674" s="19"/>
      <c r="S3674" s="19"/>
    </row>
    <row r="3675" spans="1:19" x14ac:dyDescent="0.35">
      <c r="A3675" s="26" t="s">
        <v>543</v>
      </c>
      <c r="B3675" s="26" t="s">
        <v>543</v>
      </c>
      <c r="C3675" s="26"/>
      <c r="D3675" s="26" t="s">
        <v>543</v>
      </c>
      <c r="E3675" s="26" t="str">
        <f>IFERROR(VLOOKUP(G3675,WholesaleExtract!B:J,9,FALSE),"")</f>
        <v/>
      </c>
      <c r="F3675" s="26" t="str">
        <f>IFERROR(VLOOKUP(G3675,WholesaleExtract!B:J,6,FALSE),"")</f>
        <v/>
      </c>
      <c r="H3675" s="47" t="str">
        <f>IFERROR(VLOOKUP(G3675,WholesaleExtract!B:L,11,FALSE),"")</f>
        <v/>
      </c>
      <c r="I3675" s="26" t="str">
        <f>IFERROR(VLOOKUP(G3675,WholesaleExtract!B:O,8,FALSE),"")</f>
        <v/>
      </c>
      <c r="J3675" s="26" t="str">
        <f>IFERROR(VLOOKUP(G3675,WholesaleExtract!B:O,14,FALSE),"")</f>
        <v/>
      </c>
      <c r="K3675" s="26" t="str">
        <f>IFERROR(VLOOKUP(G3675,WholesaleExtract!B:K,10,FALSE),"")</f>
        <v/>
      </c>
      <c r="L3675" s="47" t="str">
        <f>IFERROR(VLOOKUP(G3675,WholesaleExtract!B:L,11,FALSE),"")</f>
        <v/>
      </c>
      <c r="M3675" s="47" t="str">
        <f>IFERROR(VLOOKUP(G3675,WholesaleExtract!B:M,12,FALSE),"")</f>
        <v/>
      </c>
      <c r="R3675" s="19"/>
      <c r="S3675" s="19"/>
    </row>
    <row r="3676" spans="1:19" x14ac:dyDescent="0.35">
      <c r="A3676" s="26" t="s">
        <v>543</v>
      </c>
      <c r="B3676" s="26" t="s">
        <v>543</v>
      </c>
      <c r="C3676" s="26"/>
      <c r="D3676" s="26" t="s">
        <v>543</v>
      </c>
      <c r="E3676" s="26" t="str">
        <f>IFERROR(VLOOKUP(G3676,WholesaleExtract!B:J,9,FALSE),"")</f>
        <v/>
      </c>
      <c r="F3676" s="26" t="str">
        <f>IFERROR(VLOOKUP(G3676,WholesaleExtract!B:J,6,FALSE),"")</f>
        <v/>
      </c>
      <c r="H3676" s="47" t="str">
        <f>IFERROR(VLOOKUP(G3676,WholesaleExtract!B:L,11,FALSE),"")</f>
        <v/>
      </c>
      <c r="I3676" s="26" t="str">
        <f>IFERROR(VLOOKUP(G3676,WholesaleExtract!B:O,8,FALSE),"")</f>
        <v/>
      </c>
      <c r="J3676" s="26" t="str">
        <f>IFERROR(VLOOKUP(G3676,WholesaleExtract!B:O,14,FALSE),"")</f>
        <v/>
      </c>
      <c r="K3676" s="26" t="str">
        <f>IFERROR(VLOOKUP(G3676,WholesaleExtract!B:K,10,FALSE),"")</f>
        <v/>
      </c>
      <c r="L3676" s="47" t="str">
        <f>IFERROR(VLOOKUP(G3676,WholesaleExtract!B:L,11,FALSE),"")</f>
        <v/>
      </c>
      <c r="M3676" s="47" t="str">
        <f>IFERROR(VLOOKUP(G3676,WholesaleExtract!B:M,12,FALSE),"")</f>
        <v/>
      </c>
      <c r="R3676" s="19"/>
      <c r="S3676" s="19"/>
    </row>
    <row r="3677" spans="1:19" x14ac:dyDescent="0.35">
      <c r="A3677" s="26" t="s">
        <v>543</v>
      </c>
      <c r="B3677" s="26" t="s">
        <v>543</v>
      </c>
      <c r="C3677" s="26"/>
      <c r="D3677" s="26" t="s">
        <v>543</v>
      </c>
      <c r="E3677" s="26" t="str">
        <f>IFERROR(VLOOKUP(G3677,WholesaleExtract!B:J,9,FALSE),"")</f>
        <v/>
      </c>
      <c r="F3677" s="26" t="str">
        <f>IFERROR(VLOOKUP(G3677,WholesaleExtract!B:J,6,FALSE),"")</f>
        <v/>
      </c>
      <c r="H3677" s="47" t="str">
        <f>IFERROR(VLOOKUP(G3677,WholesaleExtract!B:L,11,FALSE),"")</f>
        <v/>
      </c>
      <c r="I3677" s="26" t="str">
        <f>IFERROR(VLOOKUP(G3677,WholesaleExtract!B:O,8,FALSE),"")</f>
        <v/>
      </c>
      <c r="J3677" s="26" t="str">
        <f>IFERROR(VLOOKUP(G3677,WholesaleExtract!B:O,14,FALSE),"")</f>
        <v/>
      </c>
      <c r="K3677" s="26" t="str">
        <f>IFERROR(VLOOKUP(G3677,WholesaleExtract!B:K,10,FALSE),"")</f>
        <v/>
      </c>
      <c r="L3677" s="47" t="str">
        <f>IFERROR(VLOOKUP(G3677,WholesaleExtract!B:L,11,FALSE),"")</f>
        <v/>
      </c>
      <c r="M3677" s="47" t="str">
        <f>IFERROR(VLOOKUP(G3677,WholesaleExtract!B:M,12,FALSE),"")</f>
        <v/>
      </c>
      <c r="R3677" s="19"/>
      <c r="S3677" s="19"/>
    </row>
    <row r="3678" spans="1:19" x14ac:dyDescent="0.35">
      <c r="A3678" s="26" t="s">
        <v>543</v>
      </c>
      <c r="B3678" s="26" t="s">
        <v>543</v>
      </c>
      <c r="C3678" s="26"/>
      <c r="D3678" s="26" t="s">
        <v>543</v>
      </c>
      <c r="E3678" s="26" t="str">
        <f>IFERROR(VLOOKUP(G3678,WholesaleExtract!B:J,9,FALSE),"")</f>
        <v/>
      </c>
      <c r="F3678" s="26" t="str">
        <f>IFERROR(VLOOKUP(G3678,WholesaleExtract!B:J,6,FALSE),"")</f>
        <v/>
      </c>
      <c r="H3678" s="47" t="str">
        <f>IFERROR(VLOOKUP(G3678,WholesaleExtract!B:L,11,FALSE),"")</f>
        <v/>
      </c>
      <c r="I3678" s="26" t="str">
        <f>IFERROR(VLOOKUP(G3678,WholesaleExtract!B:O,8,FALSE),"")</f>
        <v/>
      </c>
      <c r="J3678" s="26" t="str">
        <f>IFERROR(VLOOKUP(G3678,WholesaleExtract!B:O,14,FALSE),"")</f>
        <v/>
      </c>
      <c r="K3678" s="26" t="str">
        <f>IFERROR(VLOOKUP(G3678,WholesaleExtract!B:K,10,FALSE),"")</f>
        <v/>
      </c>
      <c r="L3678" s="47" t="str">
        <f>IFERROR(VLOOKUP(G3678,WholesaleExtract!B:L,11,FALSE),"")</f>
        <v/>
      </c>
      <c r="M3678" s="47" t="str">
        <f>IFERROR(VLOOKUP(G3678,WholesaleExtract!B:M,12,FALSE),"")</f>
        <v/>
      </c>
      <c r="R3678" s="19"/>
      <c r="S3678" s="19"/>
    </row>
    <row r="3679" spans="1:19" x14ac:dyDescent="0.35">
      <c r="A3679" s="26" t="s">
        <v>543</v>
      </c>
      <c r="B3679" s="26" t="s">
        <v>543</v>
      </c>
      <c r="C3679" s="26"/>
      <c r="D3679" s="26" t="s">
        <v>543</v>
      </c>
      <c r="E3679" s="26" t="str">
        <f>IFERROR(VLOOKUP(G3679,WholesaleExtract!B:J,9,FALSE),"")</f>
        <v/>
      </c>
      <c r="F3679" s="26" t="str">
        <f>IFERROR(VLOOKUP(G3679,WholesaleExtract!B:J,6,FALSE),"")</f>
        <v/>
      </c>
      <c r="H3679" s="47" t="str">
        <f>IFERROR(VLOOKUP(G3679,WholesaleExtract!B:L,11,FALSE),"")</f>
        <v/>
      </c>
      <c r="I3679" s="26" t="str">
        <f>IFERROR(VLOOKUP(G3679,WholesaleExtract!B:O,8,FALSE),"")</f>
        <v/>
      </c>
      <c r="J3679" s="26" t="str">
        <f>IFERROR(VLOOKUP(G3679,WholesaleExtract!B:O,14,FALSE),"")</f>
        <v/>
      </c>
      <c r="K3679" s="26" t="str">
        <f>IFERROR(VLOOKUP(G3679,WholesaleExtract!B:K,10,FALSE),"")</f>
        <v/>
      </c>
      <c r="L3679" s="47" t="str">
        <f>IFERROR(VLOOKUP(G3679,WholesaleExtract!B:L,11,FALSE),"")</f>
        <v/>
      </c>
      <c r="M3679" s="47" t="str">
        <f>IFERROR(VLOOKUP(G3679,WholesaleExtract!B:M,12,FALSE),"")</f>
        <v/>
      </c>
      <c r="R3679" s="19"/>
      <c r="S3679" s="19"/>
    </row>
    <row r="3680" spans="1:19" x14ac:dyDescent="0.35">
      <c r="A3680" s="26" t="s">
        <v>543</v>
      </c>
      <c r="B3680" s="26" t="s">
        <v>543</v>
      </c>
      <c r="C3680" s="26"/>
      <c r="D3680" s="26" t="s">
        <v>543</v>
      </c>
      <c r="E3680" s="26" t="str">
        <f>IFERROR(VLOOKUP(G3680,WholesaleExtract!B:J,9,FALSE),"")</f>
        <v/>
      </c>
      <c r="F3680" s="26" t="str">
        <f>IFERROR(VLOOKUP(G3680,WholesaleExtract!B:J,6,FALSE),"")</f>
        <v/>
      </c>
      <c r="H3680" s="47" t="str">
        <f>IFERROR(VLOOKUP(G3680,WholesaleExtract!B:L,11,FALSE),"")</f>
        <v/>
      </c>
      <c r="I3680" s="26" t="str">
        <f>IFERROR(VLOOKUP(G3680,WholesaleExtract!B:O,8,FALSE),"")</f>
        <v/>
      </c>
      <c r="J3680" s="26" t="str">
        <f>IFERROR(VLOOKUP(G3680,WholesaleExtract!B:O,14,FALSE),"")</f>
        <v/>
      </c>
      <c r="K3680" s="26" t="str">
        <f>IFERROR(VLOOKUP(G3680,WholesaleExtract!B:K,10,FALSE),"")</f>
        <v/>
      </c>
      <c r="L3680" s="47" t="str">
        <f>IFERROR(VLOOKUP(G3680,WholesaleExtract!B:L,11,FALSE),"")</f>
        <v/>
      </c>
      <c r="M3680" s="47" t="str">
        <f>IFERROR(VLOOKUP(G3680,WholesaleExtract!B:M,12,FALSE),"")</f>
        <v/>
      </c>
      <c r="R3680" s="19"/>
      <c r="S3680" s="19"/>
    </row>
    <row r="3681" spans="1:19" x14ac:dyDescent="0.35">
      <c r="A3681" s="26" t="s">
        <v>543</v>
      </c>
      <c r="B3681" s="26" t="s">
        <v>543</v>
      </c>
      <c r="C3681" s="26"/>
      <c r="D3681" s="26" t="s">
        <v>543</v>
      </c>
      <c r="E3681" s="26" t="str">
        <f>IFERROR(VLOOKUP(G3681,WholesaleExtract!B:J,9,FALSE),"")</f>
        <v/>
      </c>
      <c r="F3681" s="26" t="str">
        <f>IFERROR(VLOOKUP(G3681,WholesaleExtract!B:J,6,FALSE),"")</f>
        <v/>
      </c>
      <c r="H3681" s="47" t="str">
        <f>IFERROR(VLOOKUP(G3681,WholesaleExtract!B:L,11,FALSE),"")</f>
        <v/>
      </c>
      <c r="I3681" s="26" t="str">
        <f>IFERROR(VLOOKUP(G3681,WholesaleExtract!B:O,8,FALSE),"")</f>
        <v/>
      </c>
      <c r="J3681" s="26" t="str">
        <f>IFERROR(VLOOKUP(G3681,WholesaleExtract!B:O,14,FALSE),"")</f>
        <v/>
      </c>
      <c r="K3681" s="26" t="str">
        <f>IFERROR(VLOOKUP(G3681,WholesaleExtract!B:K,10,FALSE),"")</f>
        <v/>
      </c>
      <c r="L3681" s="47" t="str">
        <f>IFERROR(VLOOKUP(G3681,WholesaleExtract!B:L,11,FALSE),"")</f>
        <v/>
      </c>
      <c r="M3681" s="47" t="str">
        <f>IFERROR(VLOOKUP(G3681,WholesaleExtract!B:M,12,FALSE),"")</f>
        <v/>
      </c>
      <c r="R3681" s="19"/>
      <c r="S3681" s="19"/>
    </row>
    <row r="3682" spans="1:19" x14ac:dyDescent="0.35">
      <c r="A3682" s="26" t="s">
        <v>543</v>
      </c>
      <c r="B3682" s="26" t="s">
        <v>543</v>
      </c>
      <c r="C3682" s="26"/>
      <c r="D3682" s="26" t="s">
        <v>543</v>
      </c>
      <c r="E3682" s="26" t="str">
        <f>IFERROR(VLOOKUP(G3682,WholesaleExtract!B:J,9,FALSE),"")</f>
        <v/>
      </c>
      <c r="F3682" s="26" t="str">
        <f>IFERROR(VLOOKUP(G3682,WholesaleExtract!B:J,6,FALSE),"")</f>
        <v/>
      </c>
      <c r="H3682" s="47" t="str">
        <f>IFERROR(VLOOKUP(G3682,WholesaleExtract!B:L,11,FALSE),"")</f>
        <v/>
      </c>
      <c r="I3682" s="26" t="str">
        <f>IFERROR(VLOOKUP(G3682,WholesaleExtract!B:O,8,FALSE),"")</f>
        <v/>
      </c>
      <c r="J3682" s="26" t="str">
        <f>IFERROR(VLOOKUP(G3682,WholesaleExtract!B:O,14,FALSE),"")</f>
        <v/>
      </c>
      <c r="K3682" s="26" t="str">
        <f>IFERROR(VLOOKUP(G3682,WholesaleExtract!B:K,10,FALSE),"")</f>
        <v/>
      </c>
      <c r="L3682" s="47" t="str">
        <f>IFERROR(VLOOKUP(G3682,WholesaleExtract!B:L,11,FALSE),"")</f>
        <v/>
      </c>
      <c r="M3682" s="47" t="str">
        <f>IFERROR(VLOOKUP(G3682,WholesaleExtract!B:M,12,FALSE),"")</f>
        <v/>
      </c>
      <c r="R3682" s="19"/>
      <c r="S3682" s="19"/>
    </row>
    <row r="3683" spans="1:19" x14ac:dyDescent="0.35">
      <c r="A3683" s="26" t="s">
        <v>543</v>
      </c>
      <c r="B3683" s="26" t="s">
        <v>543</v>
      </c>
      <c r="C3683" s="26"/>
      <c r="D3683" s="26" t="s">
        <v>543</v>
      </c>
      <c r="E3683" s="26" t="str">
        <f>IFERROR(VLOOKUP(G3683,WholesaleExtract!B:J,9,FALSE),"")</f>
        <v/>
      </c>
      <c r="F3683" s="26" t="str">
        <f>IFERROR(VLOOKUP(G3683,WholesaleExtract!B:J,6,FALSE),"")</f>
        <v/>
      </c>
      <c r="H3683" s="47" t="str">
        <f>IFERROR(VLOOKUP(G3683,WholesaleExtract!B:L,11,FALSE),"")</f>
        <v/>
      </c>
      <c r="I3683" s="26" t="str">
        <f>IFERROR(VLOOKUP(G3683,WholesaleExtract!B:O,8,FALSE),"")</f>
        <v/>
      </c>
      <c r="J3683" s="26" t="str">
        <f>IFERROR(VLOOKUP(G3683,WholesaleExtract!B:O,14,FALSE),"")</f>
        <v/>
      </c>
      <c r="K3683" s="26" t="str">
        <f>IFERROR(VLOOKUP(G3683,WholesaleExtract!B:K,10,FALSE),"")</f>
        <v/>
      </c>
      <c r="L3683" s="47" t="str">
        <f>IFERROR(VLOOKUP(G3683,WholesaleExtract!B:L,11,FALSE),"")</f>
        <v/>
      </c>
      <c r="M3683" s="47" t="str">
        <f>IFERROR(VLOOKUP(G3683,WholesaleExtract!B:M,12,FALSE),"")</f>
        <v/>
      </c>
      <c r="R3683" s="19"/>
      <c r="S3683" s="19"/>
    </row>
    <row r="3684" spans="1:19" x14ac:dyDescent="0.35">
      <c r="A3684" s="26" t="s">
        <v>543</v>
      </c>
      <c r="B3684" s="26" t="s">
        <v>543</v>
      </c>
      <c r="C3684" s="26"/>
      <c r="D3684" s="26" t="s">
        <v>543</v>
      </c>
      <c r="E3684" s="26" t="str">
        <f>IFERROR(VLOOKUP(G3684,WholesaleExtract!B:J,9,FALSE),"")</f>
        <v/>
      </c>
      <c r="F3684" s="26" t="str">
        <f>IFERROR(VLOOKUP(G3684,WholesaleExtract!B:J,6,FALSE),"")</f>
        <v/>
      </c>
      <c r="H3684" s="47" t="str">
        <f>IFERROR(VLOOKUP(G3684,WholesaleExtract!B:L,11,FALSE),"")</f>
        <v/>
      </c>
      <c r="I3684" s="26" t="str">
        <f>IFERROR(VLOOKUP(G3684,WholesaleExtract!B:O,8,FALSE),"")</f>
        <v/>
      </c>
      <c r="J3684" s="26" t="str">
        <f>IFERROR(VLOOKUP(G3684,WholesaleExtract!B:O,14,FALSE),"")</f>
        <v/>
      </c>
      <c r="K3684" s="26" t="str">
        <f>IFERROR(VLOOKUP(G3684,WholesaleExtract!B:K,10,FALSE),"")</f>
        <v/>
      </c>
      <c r="L3684" s="47" t="str">
        <f>IFERROR(VLOOKUP(G3684,WholesaleExtract!B:L,11,FALSE),"")</f>
        <v/>
      </c>
      <c r="M3684" s="47" t="str">
        <f>IFERROR(VLOOKUP(G3684,WholesaleExtract!B:M,12,FALSE),"")</f>
        <v/>
      </c>
      <c r="R3684" s="19"/>
      <c r="S3684" s="19"/>
    </row>
    <row r="3685" spans="1:19" x14ac:dyDescent="0.35">
      <c r="A3685" s="26" t="s">
        <v>543</v>
      </c>
      <c r="B3685" s="26" t="s">
        <v>543</v>
      </c>
      <c r="C3685" s="26"/>
      <c r="D3685" s="26" t="s">
        <v>543</v>
      </c>
      <c r="E3685" s="26" t="str">
        <f>IFERROR(VLOOKUP(G3685,WholesaleExtract!B:J,9,FALSE),"")</f>
        <v/>
      </c>
      <c r="F3685" s="26" t="str">
        <f>IFERROR(VLOOKUP(G3685,WholesaleExtract!B:J,6,FALSE),"")</f>
        <v/>
      </c>
      <c r="H3685" s="47" t="str">
        <f>IFERROR(VLOOKUP(G3685,WholesaleExtract!B:L,11,FALSE),"")</f>
        <v/>
      </c>
      <c r="I3685" s="26" t="str">
        <f>IFERROR(VLOOKUP(G3685,WholesaleExtract!B:O,8,FALSE),"")</f>
        <v/>
      </c>
      <c r="J3685" s="26" t="str">
        <f>IFERROR(VLOOKUP(G3685,WholesaleExtract!B:O,14,FALSE),"")</f>
        <v/>
      </c>
      <c r="K3685" s="26" t="str">
        <f>IFERROR(VLOOKUP(G3685,WholesaleExtract!B:K,10,FALSE),"")</f>
        <v/>
      </c>
      <c r="L3685" s="47" t="str">
        <f>IFERROR(VLOOKUP(G3685,WholesaleExtract!B:L,11,FALSE),"")</f>
        <v/>
      </c>
      <c r="M3685" s="47" t="str">
        <f>IFERROR(VLOOKUP(G3685,WholesaleExtract!B:M,12,FALSE),"")</f>
        <v/>
      </c>
      <c r="R3685" s="19"/>
      <c r="S3685" s="19"/>
    </row>
    <row r="3686" spans="1:19" x14ac:dyDescent="0.35">
      <c r="A3686" s="26" t="s">
        <v>543</v>
      </c>
      <c r="B3686" s="26" t="s">
        <v>543</v>
      </c>
      <c r="C3686" s="26"/>
      <c r="D3686" s="26" t="s">
        <v>543</v>
      </c>
      <c r="E3686" s="26" t="str">
        <f>IFERROR(VLOOKUP(G3686,WholesaleExtract!B:J,9,FALSE),"")</f>
        <v/>
      </c>
      <c r="F3686" s="26" t="str">
        <f>IFERROR(VLOOKUP(G3686,WholesaleExtract!B:J,6,FALSE),"")</f>
        <v/>
      </c>
      <c r="H3686" s="47" t="str">
        <f>IFERROR(VLOOKUP(G3686,WholesaleExtract!B:L,11,FALSE),"")</f>
        <v/>
      </c>
      <c r="I3686" s="26" t="str">
        <f>IFERROR(VLOOKUP(G3686,WholesaleExtract!B:O,8,FALSE),"")</f>
        <v/>
      </c>
      <c r="J3686" s="26" t="str">
        <f>IFERROR(VLOOKUP(G3686,WholesaleExtract!B:O,14,FALSE),"")</f>
        <v/>
      </c>
      <c r="K3686" s="26" t="str">
        <f>IFERROR(VLOOKUP(G3686,WholesaleExtract!B:K,10,FALSE),"")</f>
        <v/>
      </c>
      <c r="L3686" s="47" t="str">
        <f>IFERROR(VLOOKUP(G3686,WholesaleExtract!B:L,11,FALSE),"")</f>
        <v/>
      </c>
      <c r="M3686" s="47" t="str">
        <f>IFERROR(VLOOKUP(G3686,WholesaleExtract!B:M,12,FALSE),"")</f>
        <v/>
      </c>
      <c r="R3686" s="19"/>
      <c r="S3686" s="19"/>
    </row>
    <row r="3687" spans="1:19" x14ac:dyDescent="0.35">
      <c r="A3687" s="26" t="s">
        <v>543</v>
      </c>
      <c r="B3687" s="26" t="s">
        <v>543</v>
      </c>
      <c r="C3687" s="26"/>
      <c r="D3687" s="26" t="s">
        <v>543</v>
      </c>
      <c r="E3687" s="26" t="str">
        <f>IFERROR(VLOOKUP(G3687,WholesaleExtract!B:J,9,FALSE),"")</f>
        <v/>
      </c>
      <c r="F3687" s="26" t="str">
        <f>IFERROR(VLOOKUP(G3687,WholesaleExtract!B:J,6,FALSE),"")</f>
        <v/>
      </c>
      <c r="H3687" s="47" t="str">
        <f>IFERROR(VLOOKUP(G3687,WholesaleExtract!B:L,11,FALSE),"")</f>
        <v/>
      </c>
      <c r="I3687" s="26" t="str">
        <f>IFERROR(VLOOKUP(G3687,WholesaleExtract!B:O,8,FALSE),"")</f>
        <v/>
      </c>
      <c r="J3687" s="26" t="str">
        <f>IFERROR(VLOOKUP(G3687,WholesaleExtract!B:O,14,FALSE),"")</f>
        <v/>
      </c>
      <c r="K3687" s="26" t="str">
        <f>IFERROR(VLOOKUP(G3687,WholesaleExtract!B:K,10,FALSE),"")</f>
        <v/>
      </c>
      <c r="L3687" s="47" t="str">
        <f>IFERROR(VLOOKUP(G3687,WholesaleExtract!B:L,11,FALSE),"")</f>
        <v/>
      </c>
      <c r="M3687" s="47" t="str">
        <f>IFERROR(VLOOKUP(G3687,WholesaleExtract!B:M,12,FALSE),"")</f>
        <v/>
      </c>
      <c r="R3687" s="19"/>
      <c r="S3687" s="19"/>
    </row>
    <row r="3688" spans="1:19" x14ac:dyDescent="0.35">
      <c r="A3688" s="26" t="s">
        <v>543</v>
      </c>
      <c r="B3688" s="26" t="s">
        <v>543</v>
      </c>
      <c r="C3688" s="26"/>
      <c r="D3688" s="26" t="s">
        <v>543</v>
      </c>
      <c r="E3688" s="26" t="str">
        <f>IFERROR(VLOOKUP(G3688,WholesaleExtract!B:J,9,FALSE),"")</f>
        <v/>
      </c>
      <c r="F3688" s="26" t="str">
        <f>IFERROR(VLOOKUP(G3688,WholesaleExtract!B:J,6,FALSE),"")</f>
        <v/>
      </c>
      <c r="H3688" s="47" t="str">
        <f>IFERROR(VLOOKUP(G3688,WholesaleExtract!B:L,11,FALSE),"")</f>
        <v/>
      </c>
      <c r="I3688" s="26" t="str">
        <f>IFERROR(VLOOKUP(G3688,WholesaleExtract!B:O,8,FALSE),"")</f>
        <v/>
      </c>
      <c r="J3688" s="26" t="str">
        <f>IFERROR(VLOOKUP(G3688,WholesaleExtract!B:O,14,FALSE),"")</f>
        <v/>
      </c>
      <c r="K3688" s="26" t="str">
        <f>IFERROR(VLOOKUP(G3688,WholesaleExtract!B:K,10,FALSE),"")</f>
        <v/>
      </c>
      <c r="L3688" s="47" t="str">
        <f>IFERROR(VLOOKUP(G3688,WholesaleExtract!B:L,11,FALSE),"")</f>
        <v/>
      </c>
      <c r="M3688" s="47" t="str">
        <f>IFERROR(VLOOKUP(G3688,WholesaleExtract!B:M,12,FALSE),"")</f>
        <v/>
      </c>
      <c r="R3688" s="19"/>
      <c r="S3688" s="19"/>
    </row>
    <row r="3689" spans="1:19" x14ac:dyDescent="0.35">
      <c r="A3689" s="26" t="s">
        <v>543</v>
      </c>
      <c r="B3689" s="26" t="s">
        <v>543</v>
      </c>
      <c r="C3689" s="26"/>
      <c r="D3689" s="26" t="s">
        <v>543</v>
      </c>
      <c r="E3689" s="26" t="str">
        <f>IFERROR(VLOOKUP(G3689,WholesaleExtract!B:J,9,FALSE),"")</f>
        <v/>
      </c>
      <c r="F3689" s="26" t="str">
        <f>IFERROR(VLOOKUP(G3689,WholesaleExtract!B:J,6,FALSE),"")</f>
        <v/>
      </c>
      <c r="H3689" s="47" t="str">
        <f>IFERROR(VLOOKUP(G3689,WholesaleExtract!B:L,11,FALSE),"")</f>
        <v/>
      </c>
      <c r="I3689" s="26" t="str">
        <f>IFERROR(VLOOKUP(G3689,WholesaleExtract!B:O,8,FALSE),"")</f>
        <v/>
      </c>
      <c r="J3689" s="26" t="str">
        <f>IFERROR(VLOOKUP(G3689,WholesaleExtract!B:O,14,FALSE),"")</f>
        <v/>
      </c>
      <c r="K3689" s="26" t="str">
        <f>IFERROR(VLOOKUP(G3689,WholesaleExtract!B:K,10,FALSE),"")</f>
        <v/>
      </c>
      <c r="L3689" s="47" t="str">
        <f>IFERROR(VLOOKUP(G3689,WholesaleExtract!B:L,11,FALSE),"")</f>
        <v/>
      </c>
      <c r="M3689" s="47" t="str">
        <f>IFERROR(VLOOKUP(G3689,WholesaleExtract!B:M,12,FALSE),"")</f>
        <v/>
      </c>
      <c r="R3689" s="19"/>
      <c r="S3689" s="19"/>
    </row>
    <row r="3690" spans="1:19" x14ac:dyDescent="0.35">
      <c r="A3690" s="26" t="s">
        <v>543</v>
      </c>
      <c r="B3690" s="26" t="s">
        <v>543</v>
      </c>
      <c r="C3690" s="26"/>
      <c r="D3690" s="26" t="s">
        <v>543</v>
      </c>
      <c r="E3690" s="26" t="str">
        <f>IFERROR(VLOOKUP(G3690,WholesaleExtract!B:J,9,FALSE),"")</f>
        <v/>
      </c>
      <c r="F3690" s="26" t="str">
        <f>IFERROR(VLOOKUP(G3690,WholesaleExtract!B:J,6,FALSE),"")</f>
        <v/>
      </c>
      <c r="H3690" s="47" t="str">
        <f>IFERROR(VLOOKUP(G3690,WholesaleExtract!B:L,11,FALSE),"")</f>
        <v/>
      </c>
      <c r="I3690" s="26" t="str">
        <f>IFERROR(VLOOKUP(G3690,WholesaleExtract!B:O,8,FALSE),"")</f>
        <v/>
      </c>
      <c r="J3690" s="26" t="str">
        <f>IFERROR(VLOOKUP(G3690,WholesaleExtract!B:O,14,FALSE),"")</f>
        <v/>
      </c>
      <c r="K3690" s="26" t="str">
        <f>IFERROR(VLOOKUP(G3690,WholesaleExtract!B:K,10,FALSE),"")</f>
        <v/>
      </c>
      <c r="L3690" s="47" t="str">
        <f>IFERROR(VLOOKUP(G3690,WholesaleExtract!B:L,11,FALSE),"")</f>
        <v/>
      </c>
      <c r="M3690" s="47" t="str">
        <f>IFERROR(VLOOKUP(G3690,WholesaleExtract!B:M,12,FALSE),"")</f>
        <v/>
      </c>
      <c r="R3690" s="19"/>
      <c r="S3690" s="19"/>
    </row>
    <row r="3691" spans="1:19" x14ac:dyDescent="0.35">
      <c r="A3691" s="26" t="s">
        <v>543</v>
      </c>
      <c r="B3691" s="26" t="s">
        <v>543</v>
      </c>
      <c r="C3691" s="26"/>
      <c r="D3691" s="26" t="s">
        <v>543</v>
      </c>
      <c r="E3691" s="26" t="str">
        <f>IFERROR(VLOOKUP(G3691,WholesaleExtract!B:J,9,FALSE),"")</f>
        <v/>
      </c>
      <c r="F3691" s="26" t="str">
        <f>IFERROR(VLOOKUP(G3691,WholesaleExtract!B:J,6,FALSE),"")</f>
        <v/>
      </c>
      <c r="H3691" s="47" t="str">
        <f>IFERROR(VLOOKUP(G3691,WholesaleExtract!B:L,11,FALSE),"")</f>
        <v/>
      </c>
      <c r="I3691" s="26" t="str">
        <f>IFERROR(VLOOKUP(G3691,WholesaleExtract!B:O,8,FALSE),"")</f>
        <v/>
      </c>
      <c r="J3691" s="26" t="str">
        <f>IFERROR(VLOOKUP(G3691,WholesaleExtract!B:O,14,FALSE),"")</f>
        <v/>
      </c>
      <c r="K3691" s="26" t="str">
        <f>IFERROR(VLOOKUP(G3691,WholesaleExtract!B:K,10,FALSE),"")</f>
        <v/>
      </c>
      <c r="L3691" s="47" t="str">
        <f>IFERROR(VLOOKUP(G3691,WholesaleExtract!B:L,11,FALSE),"")</f>
        <v/>
      </c>
      <c r="M3691" s="47" t="str">
        <f>IFERROR(VLOOKUP(G3691,WholesaleExtract!B:M,12,FALSE),"")</f>
        <v/>
      </c>
      <c r="R3691" s="19"/>
      <c r="S3691" s="19"/>
    </row>
    <row r="3692" spans="1:19" x14ac:dyDescent="0.35">
      <c r="A3692" s="26" t="s">
        <v>543</v>
      </c>
      <c r="B3692" s="26" t="s">
        <v>543</v>
      </c>
      <c r="C3692" s="26"/>
      <c r="D3692" s="26" t="s">
        <v>543</v>
      </c>
      <c r="E3692" s="26" t="str">
        <f>IFERROR(VLOOKUP(G3692,WholesaleExtract!B:J,9,FALSE),"")</f>
        <v/>
      </c>
      <c r="F3692" s="26" t="str">
        <f>IFERROR(VLOOKUP(G3692,WholesaleExtract!B:J,6,FALSE),"")</f>
        <v/>
      </c>
      <c r="H3692" s="47" t="str">
        <f>IFERROR(VLOOKUP(G3692,WholesaleExtract!B:L,11,FALSE),"")</f>
        <v/>
      </c>
      <c r="I3692" s="26" t="str">
        <f>IFERROR(VLOOKUP(G3692,WholesaleExtract!B:O,8,FALSE),"")</f>
        <v/>
      </c>
      <c r="J3692" s="26" t="str">
        <f>IFERROR(VLOOKUP(G3692,WholesaleExtract!B:O,14,FALSE),"")</f>
        <v/>
      </c>
      <c r="K3692" s="26" t="str">
        <f>IFERROR(VLOOKUP(G3692,WholesaleExtract!B:K,10,FALSE),"")</f>
        <v/>
      </c>
      <c r="L3692" s="47" t="str">
        <f>IFERROR(VLOOKUP(G3692,WholesaleExtract!B:L,11,FALSE),"")</f>
        <v/>
      </c>
      <c r="M3692" s="47" t="str">
        <f>IFERROR(VLOOKUP(G3692,WholesaleExtract!B:M,12,FALSE),"")</f>
        <v/>
      </c>
      <c r="R3692" s="19"/>
      <c r="S3692" s="19"/>
    </row>
    <row r="3693" spans="1:19" x14ac:dyDescent="0.35">
      <c r="A3693" s="26" t="s">
        <v>543</v>
      </c>
      <c r="B3693" s="26" t="s">
        <v>543</v>
      </c>
      <c r="C3693" s="26"/>
      <c r="D3693" s="26" t="s">
        <v>543</v>
      </c>
      <c r="E3693" s="26" t="str">
        <f>IFERROR(VLOOKUP(G3693,WholesaleExtract!B:J,9,FALSE),"")</f>
        <v/>
      </c>
      <c r="F3693" s="26" t="str">
        <f>IFERROR(VLOOKUP(G3693,WholesaleExtract!B:J,6,FALSE),"")</f>
        <v/>
      </c>
      <c r="H3693" s="47" t="str">
        <f>IFERROR(VLOOKUP(G3693,WholesaleExtract!B:L,11,FALSE),"")</f>
        <v/>
      </c>
      <c r="I3693" s="26" t="str">
        <f>IFERROR(VLOOKUP(G3693,WholesaleExtract!B:O,8,FALSE),"")</f>
        <v/>
      </c>
      <c r="J3693" s="26" t="str">
        <f>IFERROR(VLOOKUP(G3693,WholesaleExtract!B:O,14,FALSE),"")</f>
        <v/>
      </c>
      <c r="K3693" s="26" t="str">
        <f>IFERROR(VLOOKUP(G3693,WholesaleExtract!B:K,10,FALSE),"")</f>
        <v/>
      </c>
      <c r="L3693" s="47" t="str">
        <f>IFERROR(VLOOKUP(G3693,WholesaleExtract!B:L,11,FALSE),"")</f>
        <v/>
      </c>
      <c r="M3693" s="47" t="str">
        <f>IFERROR(VLOOKUP(G3693,WholesaleExtract!B:M,12,FALSE),"")</f>
        <v/>
      </c>
      <c r="R3693" s="19"/>
      <c r="S3693" s="19"/>
    </row>
    <row r="3694" spans="1:19" x14ac:dyDescent="0.35">
      <c r="A3694" s="26" t="s">
        <v>543</v>
      </c>
      <c r="B3694" s="26" t="s">
        <v>543</v>
      </c>
      <c r="C3694" s="26"/>
      <c r="D3694" s="26" t="s">
        <v>543</v>
      </c>
      <c r="E3694" s="26" t="str">
        <f>IFERROR(VLOOKUP(G3694,WholesaleExtract!B:J,9,FALSE),"")</f>
        <v/>
      </c>
      <c r="F3694" s="26" t="str">
        <f>IFERROR(VLOOKUP(G3694,WholesaleExtract!B:J,6,FALSE),"")</f>
        <v/>
      </c>
      <c r="H3694" s="47" t="str">
        <f>IFERROR(VLOOKUP(G3694,WholesaleExtract!B:L,11,FALSE),"")</f>
        <v/>
      </c>
      <c r="I3694" s="26" t="str">
        <f>IFERROR(VLOOKUP(G3694,WholesaleExtract!B:O,8,FALSE),"")</f>
        <v/>
      </c>
      <c r="J3694" s="26" t="str">
        <f>IFERROR(VLOOKUP(G3694,WholesaleExtract!B:O,14,FALSE),"")</f>
        <v/>
      </c>
      <c r="K3694" s="26" t="str">
        <f>IFERROR(VLOOKUP(G3694,WholesaleExtract!B:K,10,FALSE),"")</f>
        <v/>
      </c>
      <c r="L3694" s="47" t="str">
        <f>IFERROR(VLOOKUP(G3694,WholesaleExtract!B:L,11,FALSE),"")</f>
        <v/>
      </c>
      <c r="M3694" s="47" t="str">
        <f>IFERROR(VLOOKUP(G3694,WholesaleExtract!B:M,12,FALSE),"")</f>
        <v/>
      </c>
      <c r="R3694" s="19"/>
      <c r="S3694" s="19"/>
    </row>
    <row r="3695" spans="1:19" x14ac:dyDescent="0.35">
      <c r="A3695" s="26" t="s">
        <v>543</v>
      </c>
      <c r="B3695" s="26" t="s">
        <v>543</v>
      </c>
      <c r="C3695" s="26"/>
      <c r="D3695" s="26" t="s">
        <v>543</v>
      </c>
      <c r="E3695" s="26" t="str">
        <f>IFERROR(VLOOKUP(G3695,WholesaleExtract!B:J,9,FALSE),"")</f>
        <v/>
      </c>
      <c r="F3695" s="26" t="str">
        <f>IFERROR(VLOOKUP(G3695,WholesaleExtract!B:J,6,FALSE),"")</f>
        <v/>
      </c>
      <c r="H3695" s="47" t="str">
        <f>IFERROR(VLOOKUP(G3695,WholesaleExtract!B:L,11,FALSE),"")</f>
        <v/>
      </c>
      <c r="I3695" s="26" t="str">
        <f>IFERROR(VLOOKUP(G3695,WholesaleExtract!B:O,8,FALSE),"")</f>
        <v/>
      </c>
      <c r="J3695" s="26" t="str">
        <f>IFERROR(VLOOKUP(G3695,WholesaleExtract!B:O,14,FALSE),"")</f>
        <v/>
      </c>
      <c r="K3695" s="26" t="str">
        <f>IFERROR(VLOOKUP(G3695,WholesaleExtract!B:K,10,FALSE),"")</f>
        <v/>
      </c>
      <c r="L3695" s="47" t="str">
        <f>IFERROR(VLOOKUP(G3695,WholesaleExtract!B:L,11,FALSE),"")</f>
        <v/>
      </c>
      <c r="M3695" s="47" t="str">
        <f>IFERROR(VLOOKUP(G3695,WholesaleExtract!B:M,12,FALSE),"")</f>
        <v/>
      </c>
      <c r="R3695" s="19"/>
      <c r="S3695" s="19"/>
    </row>
    <row r="3696" spans="1:19" x14ac:dyDescent="0.35">
      <c r="A3696" s="26" t="s">
        <v>543</v>
      </c>
      <c r="B3696" s="26" t="s">
        <v>543</v>
      </c>
      <c r="C3696" s="26"/>
      <c r="D3696" s="26" t="s">
        <v>543</v>
      </c>
      <c r="E3696" s="26" t="str">
        <f>IFERROR(VLOOKUP(G3696,WholesaleExtract!B:J,9,FALSE),"")</f>
        <v/>
      </c>
      <c r="F3696" s="26" t="str">
        <f>IFERROR(VLOOKUP(G3696,WholesaleExtract!B:J,6,FALSE),"")</f>
        <v/>
      </c>
      <c r="H3696" s="47" t="str">
        <f>IFERROR(VLOOKUP(G3696,WholesaleExtract!B:L,11,FALSE),"")</f>
        <v/>
      </c>
      <c r="I3696" s="26" t="str">
        <f>IFERROR(VLOOKUP(G3696,WholesaleExtract!B:O,8,FALSE),"")</f>
        <v/>
      </c>
      <c r="J3696" s="26" t="str">
        <f>IFERROR(VLOOKUP(G3696,WholesaleExtract!B:O,14,FALSE),"")</f>
        <v/>
      </c>
      <c r="K3696" s="26" t="str">
        <f>IFERROR(VLOOKUP(G3696,WholesaleExtract!B:K,10,FALSE),"")</f>
        <v/>
      </c>
      <c r="L3696" s="47" t="str">
        <f>IFERROR(VLOOKUP(G3696,WholesaleExtract!B:L,11,FALSE),"")</f>
        <v/>
      </c>
      <c r="M3696" s="47" t="str">
        <f>IFERROR(VLOOKUP(G3696,WholesaleExtract!B:M,12,FALSE),"")</f>
        <v/>
      </c>
      <c r="R3696" s="19"/>
      <c r="S3696" s="19"/>
    </row>
    <row r="3697" spans="1:19" x14ac:dyDescent="0.35">
      <c r="A3697" s="26" t="s">
        <v>543</v>
      </c>
      <c r="B3697" s="26" t="s">
        <v>543</v>
      </c>
      <c r="C3697" s="26"/>
      <c r="D3697" s="26" t="s">
        <v>543</v>
      </c>
      <c r="E3697" s="26" t="str">
        <f>IFERROR(VLOOKUP(G3697,WholesaleExtract!B:J,9,FALSE),"")</f>
        <v/>
      </c>
      <c r="F3697" s="26" t="str">
        <f>IFERROR(VLOOKUP(G3697,WholesaleExtract!B:J,6,FALSE),"")</f>
        <v/>
      </c>
      <c r="H3697" s="47" t="str">
        <f>IFERROR(VLOOKUP(G3697,WholesaleExtract!B:L,11,FALSE),"")</f>
        <v/>
      </c>
      <c r="I3697" s="26" t="str">
        <f>IFERROR(VLOOKUP(G3697,WholesaleExtract!B:O,8,FALSE),"")</f>
        <v/>
      </c>
      <c r="J3697" s="26" t="str">
        <f>IFERROR(VLOOKUP(G3697,WholesaleExtract!B:O,14,FALSE),"")</f>
        <v/>
      </c>
      <c r="K3697" s="26" t="str">
        <f>IFERROR(VLOOKUP(G3697,WholesaleExtract!B:K,10,FALSE),"")</f>
        <v/>
      </c>
      <c r="L3697" s="47" t="str">
        <f>IFERROR(VLOOKUP(G3697,WholesaleExtract!B:L,11,FALSE),"")</f>
        <v/>
      </c>
      <c r="M3697" s="47" t="str">
        <f>IFERROR(VLOOKUP(G3697,WholesaleExtract!B:M,12,FALSE),"")</f>
        <v/>
      </c>
      <c r="R3697" s="19"/>
      <c r="S3697" s="19"/>
    </row>
    <row r="3698" spans="1:19" x14ac:dyDescent="0.35">
      <c r="A3698" s="26" t="s">
        <v>543</v>
      </c>
      <c r="B3698" s="26" t="s">
        <v>543</v>
      </c>
      <c r="C3698" s="26"/>
      <c r="D3698" s="26" t="s">
        <v>543</v>
      </c>
      <c r="E3698" s="26" t="str">
        <f>IFERROR(VLOOKUP(G3698,WholesaleExtract!B:J,9,FALSE),"")</f>
        <v/>
      </c>
      <c r="F3698" s="26" t="str">
        <f>IFERROR(VLOOKUP(G3698,WholesaleExtract!B:J,6,FALSE),"")</f>
        <v/>
      </c>
      <c r="H3698" s="47" t="str">
        <f>IFERROR(VLOOKUP(G3698,WholesaleExtract!B:L,11,FALSE),"")</f>
        <v/>
      </c>
      <c r="I3698" s="26" t="str">
        <f>IFERROR(VLOOKUP(G3698,WholesaleExtract!B:O,8,FALSE),"")</f>
        <v/>
      </c>
      <c r="J3698" s="26" t="str">
        <f>IFERROR(VLOOKUP(G3698,WholesaleExtract!B:O,14,FALSE),"")</f>
        <v/>
      </c>
      <c r="K3698" s="26" t="str">
        <f>IFERROR(VLOOKUP(G3698,WholesaleExtract!B:K,10,FALSE),"")</f>
        <v/>
      </c>
      <c r="L3698" s="47" t="str">
        <f>IFERROR(VLOOKUP(G3698,WholesaleExtract!B:L,11,FALSE),"")</f>
        <v/>
      </c>
      <c r="M3698" s="47" t="str">
        <f>IFERROR(VLOOKUP(G3698,WholesaleExtract!B:M,12,FALSE),"")</f>
        <v/>
      </c>
      <c r="R3698" s="19"/>
      <c r="S3698" s="19"/>
    </row>
    <row r="3699" spans="1:19" x14ac:dyDescent="0.35">
      <c r="A3699" s="26" t="s">
        <v>543</v>
      </c>
      <c r="B3699" s="26" t="s">
        <v>543</v>
      </c>
      <c r="C3699" s="26"/>
      <c r="D3699" s="26" t="s">
        <v>543</v>
      </c>
      <c r="E3699" s="26" t="str">
        <f>IFERROR(VLOOKUP(G3699,WholesaleExtract!B:J,9,FALSE),"")</f>
        <v/>
      </c>
      <c r="F3699" s="26" t="str">
        <f>IFERROR(VLOOKUP(G3699,WholesaleExtract!B:J,6,FALSE),"")</f>
        <v/>
      </c>
      <c r="H3699" s="47" t="str">
        <f>IFERROR(VLOOKUP(G3699,WholesaleExtract!B:L,11,FALSE),"")</f>
        <v/>
      </c>
      <c r="I3699" s="26" t="str">
        <f>IFERROR(VLOOKUP(G3699,WholesaleExtract!B:O,8,FALSE),"")</f>
        <v/>
      </c>
      <c r="J3699" s="26" t="str">
        <f>IFERROR(VLOOKUP(G3699,WholesaleExtract!B:O,14,FALSE),"")</f>
        <v/>
      </c>
      <c r="K3699" s="26" t="str">
        <f>IFERROR(VLOOKUP(G3699,WholesaleExtract!B:K,10,FALSE),"")</f>
        <v/>
      </c>
      <c r="L3699" s="47" t="str">
        <f>IFERROR(VLOOKUP(G3699,WholesaleExtract!B:L,11,FALSE),"")</f>
        <v/>
      </c>
      <c r="M3699" s="47" t="str">
        <f>IFERROR(VLOOKUP(G3699,WholesaleExtract!B:M,12,FALSE),"")</f>
        <v/>
      </c>
      <c r="R3699" s="19"/>
      <c r="S3699" s="19"/>
    </row>
    <row r="3700" spans="1:19" x14ac:dyDescent="0.35">
      <c r="A3700" s="26" t="s">
        <v>543</v>
      </c>
      <c r="B3700" s="26" t="s">
        <v>543</v>
      </c>
      <c r="C3700" s="26"/>
      <c r="D3700" s="26" t="s">
        <v>543</v>
      </c>
      <c r="E3700" s="26" t="str">
        <f>IFERROR(VLOOKUP(G3700,WholesaleExtract!B:J,9,FALSE),"")</f>
        <v/>
      </c>
      <c r="F3700" s="26" t="str">
        <f>IFERROR(VLOOKUP(G3700,WholesaleExtract!B:J,6,FALSE),"")</f>
        <v/>
      </c>
      <c r="H3700" s="47" t="str">
        <f>IFERROR(VLOOKUP(G3700,WholesaleExtract!B:L,11,FALSE),"")</f>
        <v/>
      </c>
      <c r="I3700" s="26" t="str">
        <f>IFERROR(VLOOKUP(G3700,WholesaleExtract!B:O,8,FALSE),"")</f>
        <v/>
      </c>
      <c r="J3700" s="26" t="str">
        <f>IFERROR(VLOOKUP(G3700,WholesaleExtract!B:O,14,FALSE),"")</f>
        <v/>
      </c>
      <c r="K3700" s="26" t="str">
        <f>IFERROR(VLOOKUP(G3700,WholesaleExtract!B:K,10,FALSE),"")</f>
        <v/>
      </c>
      <c r="L3700" s="47" t="str">
        <f>IFERROR(VLOOKUP(G3700,WholesaleExtract!B:L,11,FALSE),"")</f>
        <v/>
      </c>
      <c r="M3700" s="47" t="str">
        <f>IFERROR(VLOOKUP(G3700,WholesaleExtract!B:M,12,FALSE),"")</f>
        <v/>
      </c>
      <c r="R3700" s="19"/>
      <c r="S3700" s="19"/>
    </row>
    <row r="3701" spans="1:19" x14ac:dyDescent="0.35">
      <c r="A3701" s="26" t="s">
        <v>543</v>
      </c>
      <c r="B3701" s="26" t="s">
        <v>543</v>
      </c>
      <c r="C3701" s="26"/>
      <c r="D3701" s="26" t="s">
        <v>543</v>
      </c>
      <c r="E3701" s="26" t="str">
        <f>IFERROR(VLOOKUP(G3701,WholesaleExtract!B:J,9,FALSE),"")</f>
        <v/>
      </c>
      <c r="F3701" s="26" t="str">
        <f>IFERROR(VLOOKUP(G3701,WholesaleExtract!B:J,6,FALSE),"")</f>
        <v/>
      </c>
      <c r="H3701" s="47" t="str">
        <f>IFERROR(VLOOKUP(G3701,WholesaleExtract!B:L,11,FALSE),"")</f>
        <v/>
      </c>
      <c r="I3701" s="26" t="str">
        <f>IFERROR(VLOOKUP(G3701,WholesaleExtract!B:O,8,FALSE),"")</f>
        <v/>
      </c>
      <c r="J3701" s="26" t="str">
        <f>IFERROR(VLOOKUP(G3701,WholesaleExtract!B:O,14,FALSE),"")</f>
        <v/>
      </c>
      <c r="K3701" s="26" t="str">
        <f>IFERROR(VLOOKUP(G3701,WholesaleExtract!B:K,10,FALSE),"")</f>
        <v/>
      </c>
      <c r="L3701" s="47" t="str">
        <f>IFERROR(VLOOKUP(G3701,WholesaleExtract!B:L,11,FALSE),"")</f>
        <v/>
      </c>
      <c r="M3701" s="47" t="str">
        <f>IFERROR(VLOOKUP(G3701,WholesaleExtract!B:M,12,FALSE),"")</f>
        <v/>
      </c>
      <c r="R3701" s="19"/>
      <c r="S3701" s="19"/>
    </row>
    <row r="3702" spans="1:19" x14ac:dyDescent="0.35">
      <c r="A3702" s="26" t="s">
        <v>543</v>
      </c>
      <c r="B3702" s="26" t="s">
        <v>543</v>
      </c>
      <c r="C3702" s="26"/>
      <c r="D3702" s="26" t="s">
        <v>543</v>
      </c>
      <c r="E3702" s="26" t="str">
        <f>IFERROR(VLOOKUP(G3702,WholesaleExtract!B:J,9,FALSE),"")</f>
        <v/>
      </c>
      <c r="F3702" s="26" t="str">
        <f>IFERROR(VLOOKUP(G3702,WholesaleExtract!B:J,6,FALSE),"")</f>
        <v/>
      </c>
      <c r="H3702" s="47" t="str">
        <f>IFERROR(VLOOKUP(G3702,WholesaleExtract!B:L,11,FALSE),"")</f>
        <v/>
      </c>
      <c r="I3702" s="26" t="str">
        <f>IFERROR(VLOOKUP(G3702,WholesaleExtract!B:O,8,FALSE),"")</f>
        <v/>
      </c>
      <c r="J3702" s="26" t="str">
        <f>IFERROR(VLOOKUP(G3702,WholesaleExtract!B:O,14,FALSE),"")</f>
        <v/>
      </c>
      <c r="K3702" s="26" t="str">
        <f>IFERROR(VLOOKUP(G3702,WholesaleExtract!B:K,10,FALSE),"")</f>
        <v/>
      </c>
      <c r="L3702" s="47" t="str">
        <f>IFERROR(VLOOKUP(G3702,WholesaleExtract!B:L,11,FALSE),"")</f>
        <v/>
      </c>
      <c r="M3702" s="47" t="str">
        <f>IFERROR(VLOOKUP(G3702,WholesaleExtract!B:M,12,FALSE),"")</f>
        <v/>
      </c>
      <c r="R3702" s="19"/>
      <c r="S3702" s="19"/>
    </row>
    <row r="3703" spans="1:19" x14ac:dyDescent="0.35">
      <c r="A3703" s="26" t="s">
        <v>543</v>
      </c>
      <c r="B3703" s="26" t="s">
        <v>543</v>
      </c>
      <c r="C3703" s="26"/>
      <c r="D3703" s="26" t="s">
        <v>543</v>
      </c>
      <c r="E3703" s="26" t="str">
        <f>IFERROR(VLOOKUP(G3703,WholesaleExtract!B:J,9,FALSE),"")</f>
        <v/>
      </c>
      <c r="F3703" s="26" t="str">
        <f>IFERROR(VLOOKUP(G3703,WholesaleExtract!B:J,6,FALSE),"")</f>
        <v/>
      </c>
      <c r="H3703" s="47" t="str">
        <f>IFERROR(VLOOKUP(G3703,WholesaleExtract!B:L,11,FALSE),"")</f>
        <v/>
      </c>
      <c r="I3703" s="26" t="str">
        <f>IFERROR(VLOOKUP(G3703,WholesaleExtract!B:O,8,FALSE),"")</f>
        <v/>
      </c>
      <c r="J3703" s="26" t="str">
        <f>IFERROR(VLOOKUP(G3703,WholesaleExtract!B:O,14,FALSE),"")</f>
        <v/>
      </c>
      <c r="K3703" s="26" t="str">
        <f>IFERROR(VLOOKUP(G3703,WholesaleExtract!B:K,10,FALSE),"")</f>
        <v/>
      </c>
      <c r="L3703" s="47" t="str">
        <f>IFERROR(VLOOKUP(G3703,WholesaleExtract!B:L,11,FALSE),"")</f>
        <v/>
      </c>
      <c r="M3703" s="47" t="str">
        <f>IFERROR(VLOOKUP(G3703,WholesaleExtract!B:M,12,FALSE),"")</f>
        <v/>
      </c>
      <c r="R3703" s="19"/>
      <c r="S3703" s="19"/>
    </row>
    <row r="3704" spans="1:19" x14ac:dyDescent="0.35">
      <c r="A3704" s="26" t="s">
        <v>543</v>
      </c>
      <c r="B3704" s="26" t="s">
        <v>543</v>
      </c>
      <c r="C3704" s="26"/>
      <c r="D3704" s="26" t="s">
        <v>543</v>
      </c>
      <c r="E3704" s="26" t="str">
        <f>IFERROR(VLOOKUP(G3704,WholesaleExtract!B:J,9,FALSE),"")</f>
        <v/>
      </c>
      <c r="F3704" s="26" t="str">
        <f>IFERROR(VLOOKUP(G3704,WholesaleExtract!B:J,6,FALSE),"")</f>
        <v/>
      </c>
      <c r="H3704" s="47" t="str">
        <f>IFERROR(VLOOKUP(G3704,WholesaleExtract!B:L,11,FALSE),"")</f>
        <v/>
      </c>
      <c r="I3704" s="26" t="str">
        <f>IFERROR(VLOOKUP(G3704,WholesaleExtract!B:O,8,FALSE),"")</f>
        <v/>
      </c>
      <c r="J3704" s="26" t="str">
        <f>IFERROR(VLOOKUP(G3704,WholesaleExtract!B:O,14,FALSE),"")</f>
        <v/>
      </c>
      <c r="K3704" s="26" t="str">
        <f>IFERROR(VLOOKUP(G3704,WholesaleExtract!B:K,10,FALSE),"")</f>
        <v/>
      </c>
      <c r="L3704" s="47" t="str">
        <f>IFERROR(VLOOKUP(G3704,WholesaleExtract!B:L,11,FALSE),"")</f>
        <v/>
      </c>
      <c r="M3704" s="47" t="str">
        <f>IFERROR(VLOOKUP(G3704,WholesaleExtract!B:M,12,FALSE),"")</f>
        <v/>
      </c>
      <c r="R3704" s="19"/>
      <c r="S3704" s="19"/>
    </row>
    <row r="3705" spans="1:19" x14ac:dyDescent="0.35">
      <c r="A3705" s="26" t="s">
        <v>543</v>
      </c>
      <c r="B3705" s="26" t="s">
        <v>543</v>
      </c>
      <c r="C3705" s="26"/>
      <c r="D3705" s="26" t="s">
        <v>543</v>
      </c>
      <c r="E3705" s="26" t="str">
        <f>IFERROR(VLOOKUP(G3705,WholesaleExtract!B:J,9,FALSE),"")</f>
        <v/>
      </c>
      <c r="F3705" s="26" t="str">
        <f>IFERROR(VLOOKUP(G3705,WholesaleExtract!B:J,6,FALSE),"")</f>
        <v/>
      </c>
      <c r="H3705" s="47" t="str">
        <f>IFERROR(VLOOKUP(G3705,WholesaleExtract!B:L,11,FALSE),"")</f>
        <v/>
      </c>
      <c r="I3705" s="26" t="str">
        <f>IFERROR(VLOOKUP(G3705,WholesaleExtract!B:O,8,FALSE),"")</f>
        <v/>
      </c>
      <c r="J3705" s="26" t="str">
        <f>IFERROR(VLOOKUP(G3705,WholesaleExtract!B:O,14,FALSE),"")</f>
        <v/>
      </c>
      <c r="K3705" s="26" t="str">
        <f>IFERROR(VLOOKUP(G3705,WholesaleExtract!B:K,10,FALSE),"")</f>
        <v/>
      </c>
      <c r="L3705" s="47" t="str">
        <f>IFERROR(VLOOKUP(G3705,WholesaleExtract!B:L,11,FALSE),"")</f>
        <v/>
      </c>
      <c r="M3705" s="47" t="str">
        <f>IFERROR(VLOOKUP(G3705,WholesaleExtract!B:M,12,FALSE),"")</f>
        <v/>
      </c>
      <c r="R3705" s="19"/>
      <c r="S3705" s="19"/>
    </row>
    <row r="3706" spans="1:19" x14ac:dyDescent="0.35">
      <c r="A3706" s="26" t="s">
        <v>543</v>
      </c>
      <c r="B3706" s="26" t="s">
        <v>543</v>
      </c>
      <c r="C3706" s="26"/>
      <c r="D3706" s="26" t="s">
        <v>543</v>
      </c>
      <c r="E3706" s="26" t="str">
        <f>IFERROR(VLOOKUP(G3706,WholesaleExtract!B:J,9,FALSE),"")</f>
        <v/>
      </c>
      <c r="F3706" s="26" t="str">
        <f>IFERROR(VLOOKUP(G3706,WholesaleExtract!B:J,6,FALSE),"")</f>
        <v/>
      </c>
      <c r="H3706" s="47" t="str">
        <f>IFERROR(VLOOKUP(G3706,WholesaleExtract!B:L,11,FALSE),"")</f>
        <v/>
      </c>
      <c r="I3706" s="26" t="str">
        <f>IFERROR(VLOOKUP(G3706,WholesaleExtract!B:O,8,FALSE),"")</f>
        <v/>
      </c>
      <c r="J3706" s="26" t="str">
        <f>IFERROR(VLOOKUP(G3706,WholesaleExtract!B:O,14,FALSE),"")</f>
        <v/>
      </c>
      <c r="K3706" s="26" t="str">
        <f>IFERROR(VLOOKUP(G3706,WholesaleExtract!B:K,10,FALSE),"")</f>
        <v/>
      </c>
      <c r="L3706" s="47" t="str">
        <f>IFERROR(VLOOKUP(G3706,WholesaleExtract!B:L,11,FALSE),"")</f>
        <v/>
      </c>
      <c r="M3706" s="47" t="str">
        <f>IFERROR(VLOOKUP(G3706,WholesaleExtract!B:M,12,FALSE),"")</f>
        <v/>
      </c>
      <c r="R3706" s="19"/>
      <c r="S3706" s="19"/>
    </row>
    <row r="3707" spans="1:19" x14ac:dyDescent="0.35">
      <c r="A3707" s="26" t="s">
        <v>543</v>
      </c>
      <c r="B3707" s="26" t="s">
        <v>543</v>
      </c>
      <c r="C3707" s="26"/>
      <c r="D3707" s="26" t="s">
        <v>543</v>
      </c>
      <c r="E3707" s="26" t="str">
        <f>IFERROR(VLOOKUP(G3707,WholesaleExtract!B:J,9,FALSE),"")</f>
        <v/>
      </c>
      <c r="F3707" s="26" t="str">
        <f>IFERROR(VLOOKUP(G3707,WholesaleExtract!B:J,6,FALSE),"")</f>
        <v/>
      </c>
      <c r="H3707" s="47" t="str">
        <f>IFERROR(VLOOKUP(G3707,WholesaleExtract!B:L,11,FALSE),"")</f>
        <v/>
      </c>
      <c r="I3707" s="26" t="str">
        <f>IFERROR(VLOOKUP(G3707,WholesaleExtract!B:O,8,FALSE),"")</f>
        <v/>
      </c>
      <c r="J3707" s="26" t="str">
        <f>IFERROR(VLOOKUP(G3707,WholesaleExtract!B:O,14,FALSE),"")</f>
        <v/>
      </c>
      <c r="K3707" s="26" t="str">
        <f>IFERROR(VLOOKUP(G3707,WholesaleExtract!B:K,10,FALSE),"")</f>
        <v/>
      </c>
      <c r="L3707" s="47" t="str">
        <f>IFERROR(VLOOKUP(G3707,WholesaleExtract!B:L,11,FALSE),"")</f>
        <v/>
      </c>
      <c r="M3707" s="47" t="str">
        <f>IFERROR(VLOOKUP(G3707,WholesaleExtract!B:M,12,FALSE),"")</f>
        <v/>
      </c>
      <c r="R3707" s="19"/>
      <c r="S3707" s="19"/>
    </row>
    <row r="3708" spans="1:19" x14ac:dyDescent="0.35">
      <c r="A3708" s="26" t="s">
        <v>543</v>
      </c>
      <c r="B3708" s="26" t="s">
        <v>543</v>
      </c>
      <c r="C3708" s="26"/>
      <c r="D3708" s="26" t="s">
        <v>543</v>
      </c>
      <c r="E3708" s="26" t="str">
        <f>IFERROR(VLOOKUP(G3708,WholesaleExtract!B:J,9,FALSE),"")</f>
        <v/>
      </c>
      <c r="F3708" s="26" t="str">
        <f>IFERROR(VLOOKUP(G3708,WholesaleExtract!B:J,6,FALSE),"")</f>
        <v/>
      </c>
      <c r="H3708" s="47" t="str">
        <f>IFERROR(VLOOKUP(G3708,WholesaleExtract!B:L,11,FALSE),"")</f>
        <v/>
      </c>
      <c r="I3708" s="26" t="str">
        <f>IFERROR(VLOOKUP(G3708,WholesaleExtract!B:O,8,FALSE),"")</f>
        <v/>
      </c>
      <c r="J3708" s="26" t="str">
        <f>IFERROR(VLOOKUP(G3708,WholesaleExtract!B:O,14,FALSE),"")</f>
        <v/>
      </c>
      <c r="K3708" s="26" t="str">
        <f>IFERROR(VLOOKUP(G3708,WholesaleExtract!B:K,10,FALSE),"")</f>
        <v/>
      </c>
      <c r="L3708" s="47" t="str">
        <f>IFERROR(VLOOKUP(G3708,WholesaleExtract!B:L,11,FALSE),"")</f>
        <v/>
      </c>
      <c r="M3708" s="47" t="str">
        <f>IFERROR(VLOOKUP(G3708,WholesaleExtract!B:M,12,FALSE),"")</f>
        <v/>
      </c>
      <c r="R3708" s="19"/>
      <c r="S3708" s="19"/>
    </row>
    <row r="3709" spans="1:19" x14ac:dyDescent="0.35">
      <c r="A3709" s="26" t="s">
        <v>543</v>
      </c>
      <c r="B3709" s="26" t="s">
        <v>543</v>
      </c>
      <c r="C3709" s="26"/>
      <c r="D3709" s="26" t="s">
        <v>543</v>
      </c>
      <c r="E3709" s="26" t="str">
        <f>IFERROR(VLOOKUP(G3709,WholesaleExtract!B:J,9,FALSE),"")</f>
        <v/>
      </c>
      <c r="F3709" s="26" t="str">
        <f>IFERROR(VLOOKUP(G3709,WholesaleExtract!B:J,6,FALSE),"")</f>
        <v/>
      </c>
      <c r="H3709" s="47" t="str">
        <f>IFERROR(VLOOKUP(G3709,WholesaleExtract!B:L,11,FALSE),"")</f>
        <v/>
      </c>
      <c r="I3709" s="26" t="str">
        <f>IFERROR(VLOOKUP(G3709,WholesaleExtract!B:O,8,FALSE),"")</f>
        <v/>
      </c>
      <c r="J3709" s="26" t="str">
        <f>IFERROR(VLOOKUP(G3709,WholesaleExtract!B:O,14,FALSE),"")</f>
        <v/>
      </c>
      <c r="K3709" s="26" t="str">
        <f>IFERROR(VLOOKUP(G3709,WholesaleExtract!B:K,10,FALSE),"")</f>
        <v/>
      </c>
      <c r="L3709" s="47" t="str">
        <f>IFERROR(VLOOKUP(G3709,WholesaleExtract!B:L,11,FALSE),"")</f>
        <v/>
      </c>
      <c r="M3709" s="47" t="str">
        <f>IFERROR(VLOOKUP(G3709,WholesaleExtract!B:M,12,FALSE),"")</f>
        <v/>
      </c>
      <c r="R3709" s="19"/>
      <c r="S3709" s="19"/>
    </row>
    <row r="3710" spans="1:19" x14ac:dyDescent="0.35">
      <c r="A3710" s="26" t="s">
        <v>543</v>
      </c>
      <c r="B3710" s="26" t="s">
        <v>543</v>
      </c>
      <c r="C3710" s="26"/>
      <c r="D3710" s="26" t="s">
        <v>543</v>
      </c>
      <c r="E3710" s="26" t="str">
        <f>IFERROR(VLOOKUP(G3710,WholesaleExtract!B:J,9,FALSE),"")</f>
        <v/>
      </c>
      <c r="F3710" s="26" t="str">
        <f>IFERROR(VLOOKUP(G3710,WholesaleExtract!B:J,6,FALSE),"")</f>
        <v/>
      </c>
      <c r="H3710" s="47" t="str">
        <f>IFERROR(VLOOKUP(G3710,WholesaleExtract!B:L,11,FALSE),"")</f>
        <v/>
      </c>
      <c r="I3710" s="26" t="str">
        <f>IFERROR(VLOOKUP(G3710,WholesaleExtract!B:O,8,FALSE),"")</f>
        <v/>
      </c>
      <c r="J3710" s="26" t="str">
        <f>IFERROR(VLOOKUP(G3710,WholesaleExtract!B:O,14,FALSE),"")</f>
        <v/>
      </c>
      <c r="K3710" s="26" t="str">
        <f>IFERROR(VLOOKUP(G3710,WholesaleExtract!B:K,10,FALSE),"")</f>
        <v/>
      </c>
      <c r="L3710" s="47" t="str">
        <f>IFERROR(VLOOKUP(G3710,WholesaleExtract!B:L,11,FALSE),"")</f>
        <v/>
      </c>
      <c r="M3710" s="47" t="str">
        <f>IFERROR(VLOOKUP(G3710,WholesaleExtract!B:M,12,FALSE),"")</f>
        <v/>
      </c>
      <c r="R3710" s="19"/>
      <c r="S3710" s="19"/>
    </row>
    <row r="3711" spans="1:19" x14ac:dyDescent="0.35">
      <c r="A3711" s="26" t="s">
        <v>543</v>
      </c>
      <c r="B3711" s="26" t="s">
        <v>543</v>
      </c>
      <c r="C3711" s="26"/>
      <c r="D3711" s="26" t="s">
        <v>543</v>
      </c>
      <c r="E3711" s="26" t="str">
        <f>IFERROR(VLOOKUP(G3711,WholesaleExtract!B:J,9,FALSE),"")</f>
        <v/>
      </c>
      <c r="F3711" s="26" t="str">
        <f>IFERROR(VLOOKUP(G3711,WholesaleExtract!B:J,6,FALSE),"")</f>
        <v/>
      </c>
      <c r="H3711" s="47" t="str">
        <f>IFERROR(VLOOKUP(G3711,WholesaleExtract!B:L,11,FALSE),"")</f>
        <v/>
      </c>
      <c r="I3711" s="26" t="str">
        <f>IFERROR(VLOOKUP(G3711,WholesaleExtract!B:O,8,FALSE),"")</f>
        <v/>
      </c>
      <c r="J3711" s="26" t="str">
        <f>IFERROR(VLOOKUP(G3711,WholesaleExtract!B:O,14,FALSE),"")</f>
        <v/>
      </c>
      <c r="K3711" s="26" t="str">
        <f>IFERROR(VLOOKUP(G3711,WholesaleExtract!B:K,10,FALSE),"")</f>
        <v/>
      </c>
      <c r="L3711" s="47" t="str">
        <f>IFERROR(VLOOKUP(G3711,WholesaleExtract!B:L,11,FALSE),"")</f>
        <v/>
      </c>
      <c r="M3711" s="47" t="str">
        <f>IFERROR(VLOOKUP(G3711,WholesaleExtract!B:M,12,FALSE),"")</f>
        <v/>
      </c>
      <c r="R3711" s="19"/>
      <c r="S3711" s="19"/>
    </row>
    <row r="3712" spans="1:19" x14ac:dyDescent="0.35">
      <c r="A3712" s="26" t="s">
        <v>543</v>
      </c>
      <c r="B3712" s="26" t="s">
        <v>543</v>
      </c>
      <c r="C3712" s="26"/>
      <c r="D3712" s="26" t="s">
        <v>543</v>
      </c>
      <c r="E3712" s="26" t="str">
        <f>IFERROR(VLOOKUP(G3712,WholesaleExtract!B:J,9,FALSE),"")</f>
        <v/>
      </c>
      <c r="F3712" s="26" t="str">
        <f>IFERROR(VLOOKUP(G3712,WholesaleExtract!B:J,6,FALSE),"")</f>
        <v/>
      </c>
      <c r="H3712" s="47" t="str">
        <f>IFERROR(VLOOKUP(G3712,WholesaleExtract!B:L,11,FALSE),"")</f>
        <v/>
      </c>
      <c r="I3712" s="26" t="str">
        <f>IFERROR(VLOOKUP(G3712,WholesaleExtract!B:O,8,FALSE),"")</f>
        <v/>
      </c>
      <c r="J3712" s="26" t="str">
        <f>IFERROR(VLOOKUP(G3712,WholesaleExtract!B:O,14,FALSE),"")</f>
        <v/>
      </c>
      <c r="K3712" s="26" t="str">
        <f>IFERROR(VLOOKUP(G3712,WholesaleExtract!B:K,10,FALSE),"")</f>
        <v/>
      </c>
      <c r="L3712" s="47" t="str">
        <f>IFERROR(VLOOKUP(G3712,WholesaleExtract!B:L,11,FALSE),"")</f>
        <v/>
      </c>
      <c r="M3712" s="47" t="str">
        <f>IFERROR(VLOOKUP(G3712,WholesaleExtract!B:M,12,FALSE),"")</f>
        <v/>
      </c>
      <c r="R3712" s="19"/>
      <c r="S3712" s="19"/>
    </row>
    <row r="3713" spans="1:19" x14ac:dyDescent="0.35">
      <c r="A3713" s="26" t="s">
        <v>543</v>
      </c>
      <c r="B3713" s="26" t="s">
        <v>543</v>
      </c>
      <c r="C3713" s="26"/>
      <c r="D3713" s="26" t="s">
        <v>543</v>
      </c>
      <c r="E3713" s="26" t="str">
        <f>IFERROR(VLOOKUP(G3713,WholesaleExtract!B:J,9,FALSE),"")</f>
        <v/>
      </c>
      <c r="F3713" s="26" t="str">
        <f>IFERROR(VLOOKUP(G3713,WholesaleExtract!B:J,6,FALSE),"")</f>
        <v/>
      </c>
      <c r="H3713" s="47" t="str">
        <f>IFERROR(VLOOKUP(G3713,WholesaleExtract!B:L,11,FALSE),"")</f>
        <v/>
      </c>
      <c r="I3713" s="26" t="str">
        <f>IFERROR(VLOOKUP(G3713,WholesaleExtract!B:O,8,FALSE),"")</f>
        <v/>
      </c>
      <c r="J3713" s="26" t="str">
        <f>IFERROR(VLOOKUP(G3713,WholesaleExtract!B:O,14,FALSE),"")</f>
        <v/>
      </c>
      <c r="K3713" s="26" t="str">
        <f>IFERROR(VLOOKUP(G3713,WholesaleExtract!B:K,10,FALSE),"")</f>
        <v/>
      </c>
      <c r="L3713" s="47" t="str">
        <f>IFERROR(VLOOKUP(G3713,WholesaleExtract!B:L,11,FALSE),"")</f>
        <v/>
      </c>
      <c r="M3713" s="47" t="str">
        <f>IFERROR(VLOOKUP(G3713,WholesaleExtract!B:M,12,FALSE),"")</f>
        <v/>
      </c>
      <c r="R3713" s="19"/>
      <c r="S3713" s="19"/>
    </row>
    <row r="3714" spans="1:19" x14ac:dyDescent="0.35">
      <c r="A3714" s="26" t="s">
        <v>543</v>
      </c>
      <c r="B3714" s="26" t="s">
        <v>543</v>
      </c>
      <c r="C3714" s="26"/>
      <c r="D3714" s="26" t="s">
        <v>543</v>
      </c>
      <c r="E3714" s="26" t="str">
        <f>IFERROR(VLOOKUP(G3714,WholesaleExtract!B:J,9,FALSE),"")</f>
        <v/>
      </c>
      <c r="F3714" s="26" t="str">
        <f>IFERROR(VLOOKUP(G3714,WholesaleExtract!B:J,6,FALSE),"")</f>
        <v/>
      </c>
      <c r="H3714" s="47" t="str">
        <f>IFERROR(VLOOKUP(G3714,WholesaleExtract!B:L,11,FALSE),"")</f>
        <v/>
      </c>
      <c r="I3714" s="26" t="str">
        <f>IFERROR(VLOOKUP(G3714,WholesaleExtract!B:O,8,FALSE),"")</f>
        <v/>
      </c>
      <c r="J3714" s="26" t="str">
        <f>IFERROR(VLOOKUP(G3714,WholesaleExtract!B:O,14,FALSE),"")</f>
        <v/>
      </c>
      <c r="K3714" s="26" t="str">
        <f>IFERROR(VLOOKUP(G3714,WholesaleExtract!B:K,10,FALSE),"")</f>
        <v/>
      </c>
      <c r="L3714" s="47" t="str">
        <f>IFERROR(VLOOKUP(G3714,WholesaleExtract!B:L,11,FALSE),"")</f>
        <v/>
      </c>
      <c r="M3714" s="47" t="str">
        <f>IFERROR(VLOOKUP(G3714,WholesaleExtract!B:M,12,FALSE),"")</f>
        <v/>
      </c>
      <c r="R3714" s="19"/>
      <c r="S3714" s="19"/>
    </row>
    <row r="3715" spans="1:19" x14ac:dyDescent="0.35">
      <c r="A3715" s="26" t="s">
        <v>543</v>
      </c>
      <c r="B3715" s="26" t="s">
        <v>543</v>
      </c>
      <c r="C3715" s="26"/>
      <c r="D3715" s="26" t="s">
        <v>543</v>
      </c>
      <c r="E3715" s="26" t="str">
        <f>IFERROR(VLOOKUP(G3715,WholesaleExtract!B:J,9,FALSE),"")</f>
        <v/>
      </c>
      <c r="F3715" s="26" t="str">
        <f>IFERROR(VLOOKUP(G3715,WholesaleExtract!B:J,6,FALSE),"")</f>
        <v/>
      </c>
      <c r="H3715" s="47" t="str">
        <f>IFERROR(VLOOKUP(G3715,WholesaleExtract!B:L,11,FALSE),"")</f>
        <v/>
      </c>
      <c r="I3715" s="26" t="str">
        <f>IFERROR(VLOOKUP(G3715,WholesaleExtract!B:O,8,FALSE),"")</f>
        <v/>
      </c>
      <c r="J3715" s="26" t="str">
        <f>IFERROR(VLOOKUP(G3715,WholesaleExtract!B:O,14,FALSE),"")</f>
        <v/>
      </c>
      <c r="K3715" s="26" t="str">
        <f>IFERROR(VLOOKUP(G3715,WholesaleExtract!B:K,10,FALSE),"")</f>
        <v/>
      </c>
      <c r="L3715" s="47" t="str">
        <f>IFERROR(VLOOKUP(G3715,WholesaleExtract!B:L,11,FALSE),"")</f>
        <v/>
      </c>
      <c r="M3715" s="47" t="str">
        <f>IFERROR(VLOOKUP(G3715,WholesaleExtract!B:M,12,FALSE),"")</f>
        <v/>
      </c>
      <c r="R3715" s="19"/>
      <c r="S3715" s="19"/>
    </row>
    <row r="3716" spans="1:19" x14ac:dyDescent="0.35">
      <c r="A3716" s="26" t="s">
        <v>543</v>
      </c>
      <c r="B3716" s="26" t="s">
        <v>543</v>
      </c>
      <c r="C3716" s="26"/>
      <c r="D3716" s="26" t="s">
        <v>543</v>
      </c>
      <c r="E3716" s="26" t="str">
        <f>IFERROR(VLOOKUP(G3716,WholesaleExtract!B:J,9,FALSE),"")</f>
        <v/>
      </c>
      <c r="F3716" s="26" t="str">
        <f>IFERROR(VLOOKUP(G3716,WholesaleExtract!B:J,6,FALSE),"")</f>
        <v/>
      </c>
      <c r="H3716" s="47" t="str">
        <f>IFERROR(VLOOKUP(G3716,WholesaleExtract!B:L,11,FALSE),"")</f>
        <v/>
      </c>
      <c r="I3716" s="26" t="str">
        <f>IFERROR(VLOOKUP(G3716,WholesaleExtract!B:O,8,FALSE),"")</f>
        <v/>
      </c>
      <c r="J3716" s="26" t="str">
        <f>IFERROR(VLOOKUP(G3716,WholesaleExtract!B:O,14,FALSE),"")</f>
        <v/>
      </c>
      <c r="K3716" s="26" t="str">
        <f>IFERROR(VLOOKUP(G3716,WholesaleExtract!B:K,10,FALSE),"")</f>
        <v/>
      </c>
      <c r="L3716" s="47" t="str">
        <f>IFERROR(VLOOKUP(G3716,WholesaleExtract!B:L,11,FALSE),"")</f>
        <v/>
      </c>
      <c r="M3716" s="47" t="str">
        <f>IFERROR(VLOOKUP(G3716,WholesaleExtract!B:M,12,FALSE),"")</f>
        <v/>
      </c>
      <c r="R3716" s="19"/>
      <c r="S3716" s="19"/>
    </row>
    <row r="3717" spans="1:19" x14ac:dyDescent="0.35">
      <c r="A3717" s="26" t="s">
        <v>543</v>
      </c>
      <c r="B3717" s="26" t="s">
        <v>543</v>
      </c>
      <c r="C3717" s="26"/>
      <c r="D3717" s="26" t="s">
        <v>543</v>
      </c>
      <c r="E3717" s="26" t="str">
        <f>IFERROR(VLOOKUP(G3717,WholesaleExtract!B:J,9,FALSE),"")</f>
        <v/>
      </c>
      <c r="F3717" s="26" t="str">
        <f>IFERROR(VLOOKUP(G3717,WholesaleExtract!B:J,6,FALSE),"")</f>
        <v/>
      </c>
      <c r="H3717" s="47" t="str">
        <f>IFERROR(VLOOKUP(G3717,WholesaleExtract!B:L,11,FALSE),"")</f>
        <v/>
      </c>
      <c r="I3717" s="26" t="str">
        <f>IFERROR(VLOOKUP(G3717,WholesaleExtract!B:O,8,FALSE),"")</f>
        <v/>
      </c>
      <c r="J3717" s="26" t="str">
        <f>IFERROR(VLOOKUP(G3717,WholesaleExtract!B:O,14,FALSE),"")</f>
        <v/>
      </c>
      <c r="K3717" s="26" t="str">
        <f>IFERROR(VLOOKUP(G3717,WholesaleExtract!B:K,10,FALSE),"")</f>
        <v/>
      </c>
      <c r="L3717" s="47" t="str">
        <f>IFERROR(VLOOKUP(G3717,WholesaleExtract!B:L,11,FALSE),"")</f>
        <v/>
      </c>
      <c r="M3717" s="47" t="str">
        <f>IFERROR(VLOOKUP(G3717,WholesaleExtract!B:M,12,FALSE),"")</f>
        <v/>
      </c>
      <c r="R3717" s="19"/>
      <c r="S3717" s="19"/>
    </row>
    <row r="3718" spans="1:19" x14ac:dyDescent="0.35">
      <c r="A3718" s="26" t="s">
        <v>543</v>
      </c>
      <c r="B3718" s="26" t="s">
        <v>543</v>
      </c>
      <c r="C3718" s="26"/>
      <c r="D3718" s="26" t="s">
        <v>543</v>
      </c>
      <c r="E3718" s="26" t="str">
        <f>IFERROR(VLOOKUP(G3718,WholesaleExtract!B:J,9,FALSE),"")</f>
        <v/>
      </c>
      <c r="F3718" s="26" t="str">
        <f>IFERROR(VLOOKUP(G3718,WholesaleExtract!B:J,6,FALSE),"")</f>
        <v/>
      </c>
      <c r="H3718" s="47" t="str">
        <f>IFERROR(VLOOKUP(G3718,WholesaleExtract!B:L,11,FALSE),"")</f>
        <v/>
      </c>
      <c r="I3718" s="26" t="str">
        <f>IFERROR(VLOOKUP(G3718,WholesaleExtract!B:O,8,FALSE),"")</f>
        <v/>
      </c>
      <c r="J3718" s="26" t="str">
        <f>IFERROR(VLOOKUP(G3718,WholesaleExtract!B:O,14,FALSE),"")</f>
        <v/>
      </c>
      <c r="K3718" s="26" t="str">
        <f>IFERROR(VLOOKUP(G3718,WholesaleExtract!B:K,10,FALSE),"")</f>
        <v/>
      </c>
      <c r="L3718" s="47" t="str">
        <f>IFERROR(VLOOKUP(G3718,WholesaleExtract!B:L,11,FALSE),"")</f>
        <v/>
      </c>
      <c r="M3718" s="47" t="str">
        <f>IFERROR(VLOOKUP(G3718,WholesaleExtract!B:M,12,FALSE),"")</f>
        <v/>
      </c>
      <c r="R3718" s="19"/>
      <c r="S3718" s="19"/>
    </row>
    <row r="3719" spans="1:19" x14ac:dyDescent="0.35">
      <c r="A3719" s="26" t="s">
        <v>543</v>
      </c>
      <c r="B3719" s="26" t="s">
        <v>543</v>
      </c>
      <c r="C3719" s="26"/>
      <c r="D3719" s="26" t="s">
        <v>543</v>
      </c>
      <c r="E3719" s="26" t="str">
        <f>IFERROR(VLOOKUP(G3719,WholesaleExtract!B:J,9,FALSE),"")</f>
        <v/>
      </c>
      <c r="F3719" s="26" t="str">
        <f>IFERROR(VLOOKUP(G3719,WholesaleExtract!B:J,6,FALSE),"")</f>
        <v/>
      </c>
      <c r="H3719" s="47" t="str">
        <f>IFERROR(VLOOKUP(G3719,WholesaleExtract!B:L,11,FALSE),"")</f>
        <v/>
      </c>
      <c r="I3719" s="26" t="str">
        <f>IFERROR(VLOOKUP(G3719,WholesaleExtract!B:O,8,FALSE),"")</f>
        <v/>
      </c>
      <c r="J3719" s="26" t="str">
        <f>IFERROR(VLOOKUP(G3719,WholesaleExtract!B:O,14,FALSE),"")</f>
        <v/>
      </c>
      <c r="K3719" s="26" t="str">
        <f>IFERROR(VLOOKUP(G3719,WholesaleExtract!B:K,10,FALSE),"")</f>
        <v/>
      </c>
      <c r="L3719" s="47" t="str">
        <f>IFERROR(VLOOKUP(G3719,WholesaleExtract!B:L,11,FALSE),"")</f>
        <v/>
      </c>
      <c r="M3719" s="47" t="str">
        <f>IFERROR(VLOOKUP(G3719,WholesaleExtract!B:M,12,FALSE),"")</f>
        <v/>
      </c>
      <c r="R3719" s="19"/>
      <c r="S3719" s="19"/>
    </row>
    <row r="3720" spans="1:19" x14ac:dyDescent="0.35">
      <c r="A3720" s="26" t="s">
        <v>543</v>
      </c>
      <c r="B3720" s="26" t="s">
        <v>543</v>
      </c>
      <c r="C3720" s="26"/>
      <c r="D3720" s="26" t="s">
        <v>543</v>
      </c>
      <c r="E3720" s="26" t="str">
        <f>IFERROR(VLOOKUP(G3720,WholesaleExtract!B:J,9,FALSE),"")</f>
        <v/>
      </c>
      <c r="F3720" s="26" t="str">
        <f>IFERROR(VLOOKUP(G3720,WholesaleExtract!B:J,6,FALSE),"")</f>
        <v/>
      </c>
      <c r="H3720" s="47" t="str">
        <f>IFERROR(VLOOKUP(G3720,WholesaleExtract!B:L,11,FALSE),"")</f>
        <v/>
      </c>
      <c r="I3720" s="26" t="str">
        <f>IFERROR(VLOOKUP(G3720,WholesaleExtract!B:O,8,FALSE),"")</f>
        <v/>
      </c>
      <c r="J3720" s="26" t="str">
        <f>IFERROR(VLOOKUP(G3720,WholesaleExtract!B:O,14,FALSE),"")</f>
        <v/>
      </c>
      <c r="K3720" s="26" t="str">
        <f>IFERROR(VLOOKUP(G3720,WholesaleExtract!B:K,10,FALSE),"")</f>
        <v/>
      </c>
      <c r="L3720" s="47" t="str">
        <f>IFERROR(VLOOKUP(G3720,WholesaleExtract!B:L,11,FALSE),"")</f>
        <v/>
      </c>
      <c r="M3720" s="47" t="str">
        <f>IFERROR(VLOOKUP(G3720,WholesaleExtract!B:M,12,FALSE),"")</f>
        <v/>
      </c>
      <c r="R3720" s="19"/>
      <c r="S3720" s="19"/>
    </row>
    <row r="3721" spans="1:19" x14ac:dyDescent="0.35">
      <c r="A3721" s="26" t="s">
        <v>543</v>
      </c>
      <c r="B3721" s="26" t="s">
        <v>543</v>
      </c>
      <c r="C3721" s="26"/>
      <c r="D3721" s="26" t="s">
        <v>543</v>
      </c>
      <c r="E3721" s="26" t="str">
        <f>IFERROR(VLOOKUP(G3721,WholesaleExtract!B:J,9,FALSE),"")</f>
        <v/>
      </c>
      <c r="F3721" s="26" t="str">
        <f>IFERROR(VLOOKUP(G3721,WholesaleExtract!B:J,6,FALSE),"")</f>
        <v/>
      </c>
      <c r="H3721" s="47" t="str">
        <f>IFERROR(VLOOKUP(G3721,WholesaleExtract!B:L,11,FALSE),"")</f>
        <v/>
      </c>
      <c r="I3721" s="26" t="str">
        <f>IFERROR(VLOOKUP(G3721,WholesaleExtract!B:O,8,FALSE),"")</f>
        <v/>
      </c>
      <c r="J3721" s="26" t="str">
        <f>IFERROR(VLOOKUP(G3721,WholesaleExtract!B:O,14,FALSE),"")</f>
        <v/>
      </c>
      <c r="K3721" s="26" t="str">
        <f>IFERROR(VLOOKUP(G3721,WholesaleExtract!B:K,10,FALSE),"")</f>
        <v/>
      </c>
      <c r="L3721" s="47" t="str">
        <f>IFERROR(VLOOKUP(G3721,WholesaleExtract!B:L,11,FALSE),"")</f>
        <v/>
      </c>
      <c r="M3721" s="47" t="str">
        <f>IFERROR(VLOOKUP(G3721,WholesaleExtract!B:M,12,FALSE),"")</f>
        <v/>
      </c>
      <c r="R3721" s="19"/>
      <c r="S3721" s="19"/>
    </row>
    <row r="3722" spans="1:19" x14ac:dyDescent="0.35">
      <c r="A3722" s="26" t="s">
        <v>543</v>
      </c>
      <c r="B3722" s="26" t="s">
        <v>543</v>
      </c>
      <c r="C3722" s="26"/>
      <c r="D3722" s="26" t="s">
        <v>543</v>
      </c>
      <c r="E3722" s="26" t="str">
        <f>IFERROR(VLOOKUP(G3722,WholesaleExtract!B:J,9,FALSE),"")</f>
        <v/>
      </c>
      <c r="F3722" s="26" t="str">
        <f>IFERROR(VLOOKUP(G3722,WholesaleExtract!B:J,6,FALSE),"")</f>
        <v/>
      </c>
      <c r="H3722" s="47" t="str">
        <f>IFERROR(VLOOKUP(G3722,WholesaleExtract!B:L,11,FALSE),"")</f>
        <v/>
      </c>
      <c r="I3722" s="26" t="str">
        <f>IFERROR(VLOOKUP(G3722,WholesaleExtract!B:O,8,FALSE),"")</f>
        <v/>
      </c>
      <c r="J3722" s="26" t="str">
        <f>IFERROR(VLOOKUP(G3722,WholesaleExtract!B:O,14,FALSE),"")</f>
        <v/>
      </c>
      <c r="K3722" s="26" t="str">
        <f>IFERROR(VLOOKUP(G3722,WholesaleExtract!B:K,10,FALSE),"")</f>
        <v/>
      </c>
      <c r="L3722" s="47" t="str">
        <f>IFERROR(VLOOKUP(G3722,WholesaleExtract!B:L,11,FALSE),"")</f>
        <v/>
      </c>
      <c r="M3722" s="47" t="str">
        <f>IFERROR(VLOOKUP(G3722,WholesaleExtract!B:M,12,FALSE),"")</f>
        <v/>
      </c>
      <c r="R3722" s="19"/>
      <c r="S3722" s="19"/>
    </row>
    <row r="3723" spans="1:19" x14ac:dyDescent="0.35">
      <c r="A3723" s="26" t="s">
        <v>543</v>
      </c>
      <c r="B3723" s="26" t="s">
        <v>543</v>
      </c>
      <c r="C3723" s="26"/>
      <c r="D3723" s="26" t="s">
        <v>543</v>
      </c>
      <c r="E3723" s="26" t="str">
        <f>IFERROR(VLOOKUP(G3723,WholesaleExtract!B:J,9,FALSE),"")</f>
        <v/>
      </c>
      <c r="F3723" s="26" t="str">
        <f>IFERROR(VLOOKUP(G3723,WholesaleExtract!B:J,6,FALSE),"")</f>
        <v/>
      </c>
      <c r="H3723" s="47" t="str">
        <f>IFERROR(VLOOKUP(G3723,WholesaleExtract!B:L,11,FALSE),"")</f>
        <v/>
      </c>
      <c r="I3723" s="26" t="str">
        <f>IFERROR(VLOOKUP(G3723,WholesaleExtract!B:O,8,FALSE),"")</f>
        <v/>
      </c>
      <c r="J3723" s="26" t="str">
        <f>IFERROR(VLOOKUP(G3723,WholesaleExtract!B:O,14,FALSE),"")</f>
        <v/>
      </c>
      <c r="K3723" s="26" t="str">
        <f>IFERROR(VLOOKUP(G3723,WholesaleExtract!B:K,10,FALSE),"")</f>
        <v/>
      </c>
      <c r="L3723" s="47" t="str">
        <f>IFERROR(VLOOKUP(G3723,WholesaleExtract!B:L,11,FALSE),"")</f>
        <v/>
      </c>
      <c r="M3723" s="47" t="str">
        <f>IFERROR(VLOOKUP(G3723,WholesaleExtract!B:M,12,FALSE),"")</f>
        <v/>
      </c>
      <c r="R3723" s="19"/>
      <c r="S3723" s="19"/>
    </row>
    <row r="3724" spans="1:19" x14ac:dyDescent="0.35">
      <c r="A3724" s="26" t="s">
        <v>543</v>
      </c>
      <c r="B3724" s="26" t="s">
        <v>543</v>
      </c>
      <c r="C3724" s="26"/>
      <c r="D3724" s="26" t="s">
        <v>543</v>
      </c>
      <c r="E3724" s="26" t="str">
        <f>IFERROR(VLOOKUP(G3724,WholesaleExtract!B:J,9,FALSE),"")</f>
        <v/>
      </c>
      <c r="F3724" s="26" t="str">
        <f>IFERROR(VLOOKUP(G3724,WholesaleExtract!B:J,6,FALSE),"")</f>
        <v/>
      </c>
      <c r="H3724" s="47" t="str">
        <f>IFERROR(VLOOKUP(G3724,WholesaleExtract!B:L,11,FALSE),"")</f>
        <v/>
      </c>
      <c r="I3724" s="26" t="str">
        <f>IFERROR(VLOOKUP(G3724,WholesaleExtract!B:O,8,FALSE),"")</f>
        <v/>
      </c>
      <c r="J3724" s="26" t="str">
        <f>IFERROR(VLOOKUP(G3724,WholesaleExtract!B:O,14,FALSE),"")</f>
        <v/>
      </c>
      <c r="K3724" s="26" t="str">
        <f>IFERROR(VLOOKUP(G3724,WholesaleExtract!B:K,10,FALSE),"")</f>
        <v/>
      </c>
      <c r="L3724" s="47" t="str">
        <f>IFERROR(VLOOKUP(G3724,WholesaleExtract!B:L,11,FALSE),"")</f>
        <v/>
      </c>
      <c r="M3724" s="47" t="str">
        <f>IFERROR(VLOOKUP(G3724,WholesaleExtract!B:M,12,FALSE),"")</f>
        <v/>
      </c>
      <c r="R3724" s="19"/>
      <c r="S3724" s="19"/>
    </row>
    <row r="3725" spans="1:19" x14ac:dyDescent="0.35">
      <c r="A3725" s="26" t="s">
        <v>543</v>
      </c>
      <c r="B3725" s="26" t="s">
        <v>543</v>
      </c>
      <c r="C3725" s="26"/>
      <c r="D3725" s="26" t="s">
        <v>543</v>
      </c>
      <c r="E3725" s="26" t="str">
        <f>IFERROR(VLOOKUP(G3725,WholesaleExtract!B:J,9,FALSE),"")</f>
        <v/>
      </c>
      <c r="F3725" s="26" t="str">
        <f>IFERROR(VLOOKUP(G3725,WholesaleExtract!B:J,6,FALSE),"")</f>
        <v/>
      </c>
      <c r="H3725" s="47" t="str">
        <f>IFERROR(VLOOKUP(G3725,WholesaleExtract!B:L,11,FALSE),"")</f>
        <v/>
      </c>
      <c r="I3725" s="26" t="str">
        <f>IFERROR(VLOOKUP(G3725,WholesaleExtract!B:O,8,FALSE),"")</f>
        <v/>
      </c>
      <c r="J3725" s="26" t="str">
        <f>IFERROR(VLOOKUP(G3725,WholesaleExtract!B:O,14,FALSE),"")</f>
        <v/>
      </c>
      <c r="K3725" s="26" t="str">
        <f>IFERROR(VLOOKUP(G3725,WholesaleExtract!B:K,10,FALSE),"")</f>
        <v/>
      </c>
      <c r="L3725" s="47" t="str">
        <f>IFERROR(VLOOKUP(G3725,WholesaleExtract!B:L,11,FALSE),"")</f>
        <v/>
      </c>
      <c r="M3725" s="47" t="str">
        <f>IFERROR(VLOOKUP(G3725,WholesaleExtract!B:M,12,FALSE),"")</f>
        <v/>
      </c>
      <c r="R3725" s="19"/>
      <c r="S3725" s="19"/>
    </row>
    <row r="3726" spans="1:19" x14ac:dyDescent="0.35">
      <c r="A3726" s="26" t="s">
        <v>543</v>
      </c>
      <c r="B3726" s="26" t="s">
        <v>543</v>
      </c>
      <c r="C3726" s="26"/>
      <c r="D3726" s="26" t="s">
        <v>543</v>
      </c>
      <c r="E3726" s="26" t="str">
        <f>IFERROR(VLOOKUP(G3726,WholesaleExtract!B:J,9,FALSE),"")</f>
        <v/>
      </c>
      <c r="F3726" s="26" t="str">
        <f>IFERROR(VLOOKUP(G3726,WholesaleExtract!B:J,6,FALSE),"")</f>
        <v/>
      </c>
      <c r="H3726" s="47" t="str">
        <f>IFERROR(VLOOKUP(G3726,WholesaleExtract!B:L,11,FALSE),"")</f>
        <v/>
      </c>
      <c r="I3726" s="26" t="str">
        <f>IFERROR(VLOOKUP(G3726,WholesaleExtract!B:O,8,FALSE),"")</f>
        <v/>
      </c>
      <c r="J3726" s="26" t="str">
        <f>IFERROR(VLOOKUP(G3726,WholesaleExtract!B:O,14,FALSE),"")</f>
        <v/>
      </c>
      <c r="K3726" s="26" t="str">
        <f>IFERROR(VLOOKUP(G3726,WholesaleExtract!B:K,10,FALSE),"")</f>
        <v/>
      </c>
      <c r="L3726" s="47" t="str">
        <f>IFERROR(VLOOKUP(G3726,WholesaleExtract!B:L,11,FALSE),"")</f>
        <v/>
      </c>
      <c r="M3726" s="47" t="str">
        <f>IFERROR(VLOOKUP(G3726,WholesaleExtract!B:M,12,FALSE),"")</f>
        <v/>
      </c>
      <c r="R3726" s="19"/>
      <c r="S3726" s="19"/>
    </row>
    <row r="3727" spans="1:19" x14ac:dyDescent="0.35">
      <c r="A3727" s="26" t="s">
        <v>543</v>
      </c>
      <c r="B3727" s="26" t="s">
        <v>543</v>
      </c>
      <c r="C3727" s="26"/>
      <c r="D3727" s="26" t="s">
        <v>543</v>
      </c>
      <c r="E3727" s="26" t="str">
        <f>IFERROR(VLOOKUP(G3727,WholesaleExtract!B:J,9,FALSE),"")</f>
        <v/>
      </c>
      <c r="F3727" s="26" t="str">
        <f>IFERROR(VLOOKUP(G3727,WholesaleExtract!B:J,6,FALSE),"")</f>
        <v/>
      </c>
      <c r="H3727" s="47" t="str">
        <f>IFERROR(VLOOKUP(G3727,WholesaleExtract!B:L,11,FALSE),"")</f>
        <v/>
      </c>
      <c r="I3727" s="26" t="str">
        <f>IFERROR(VLOOKUP(G3727,WholesaleExtract!B:O,8,FALSE),"")</f>
        <v/>
      </c>
      <c r="J3727" s="26" t="str">
        <f>IFERROR(VLOOKUP(G3727,WholesaleExtract!B:O,14,FALSE),"")</f>
        <v/>
      </c>
      <c r="K3727" s="26" t="str">
        <f>IFERROR(VLOOKUP(G3727,WholesaleExtract!B:K,10,FALSE),"")</f>
        <v/>
      </c>
      <c r="L3727" s="47" t="str">
        <f>IFERROR(VLOOKUP(G3727,WholesaleExtract!B:L,11,FALSE),"")</f>
        <v/>
      </c>
      <c r="M3727" s="47" t="str">
        <f>IFERROR(VLOOKUP(G3727,WholesaleExtract!B:M,12,FALSE),"")</f>
        <v/>
      </c>
      <c r="R3727" s="19"/>
      <c r="S3727" s="19"/>
    </row>
    <row r="3728" spans="1:19" x14ac:dyDescent="0.35">
      <c r="A3728" s="26" t="s">
        <v>543</v>
      </c>
      <c r="B3728" s="26" t="s">
        <v>543</v>
      </c>
      <c r="C3728" s="26"/>
      <c r="D3728" s="26" t="s">
        <v>543</v>
      </c>
      <c r="E3728" s="26" t="str">
        <f>IFERROR(VLOOKUP(G3728,WholesaleExtract!B:J,9,FALSE),"")</f>
        <v/>
      </c>
      <c r="F3728" s="26" t="str">
        <f>IFERROR(VLOOKUP(G3728,WholesaleExtract!B:J,6,FALSE),"")</f>
        <v/>
      </c>
      <c r="H3728" s="47" t="str">
        <f>IFERROR(VLOOKUP(G3728,WholesaleExtract!B:L,11,FALSE),"")</f>
        <v/>
      </c>
      <c r="I3728" s="26" t="str">
        <f>IFERROR(VLOOKUP(G3728,WholesaleExtract!B:O,8,FALSE),"")</f>
        <v/>
      </c>
      <c r="J3728" s="26" t="str">
        <f>IFERROR(VLOOKUP(G3728,WholesaleExtract!B:O,14,FALSE),"")</f>
        <v/>
      </c>
      <c r="K3728" s="26" t="str">
        <f>IFERROR(VLOOKUP(G3728,WholesaleExtract!B:K,10,FALSE),"")</f>
        <v/>
      </c>
      <c r="L3728" s="47" t="str">
        <f>IFERROR(VLOOKUP(G3728,WholesaleExtract!B:L,11,FALSE),"")</f>
        <v/>
      </c>
      <c r="M3728" s="47" t="str">
        <f>IFERROR(VLOOKUP(G3728,WholesaleExtract!B:M,12,FALSE),"")</f>
        <v/>
      </c>
      <c r="R3728" s="19"/>
      <c r="S3728" s="19"/>
    </row>
    <row r="3729" spans="1:19" x14ac:dyDescent="0.35">
      <c r="A3729" s="26" t="s">
        <v>543</v>
      </c>
      <c r="B3729" s="26" t="s">
        <v>543</v>
      </c>
      <c r="C3729" s="26"/>
      <c r="D3729" s="26" t="s">
        <v>543</v>
      </c>
      <c r="E3729" s="26" t="str">
        <f>IFERROR(VLOOKUP(G3729,WholesaleExtract!B:J,9,FALSE),"")</f>
        <v/>
      </c>
      <c r="F3729" s="26" t="str">
        <f>IFERROR(VLOOKUP(G3729,WholesaleExtract!B:J,6,FALSE),"")</f>
        <v/>
      </c>
      <c r="H3729" s="47" t="str">
        <f>IFERROR(VLOOKUP(G3729,WholesaleExtract!B:L,11,FALSE),"")</f>
        <v/>
      </c>
      <c r="I3729" s="26" t="str">
        <f>IFERROR(VLOOKUP(G3729,WholesaleExtract!B:O,8,FALSE),"")</f>
        <v/>
      </c>
      <c r="J3729" s="26" t="str">
        <f>IFERROR(VLOOKUP(G3729,WholesaleExtract!B:O,14,FALSE),"")</f>
        <v/>
      </c>
      <c r="K3729" s="26" t="str">
        <f>IFERROR(VLOOKUP(G3729,WholesaleExtract!B:K,10,FALSE),"")</f>
        <v/>
      </c>
      <c r="L3729" s="47" t="str">
        <f>IFERROR(VLOOKUP(G3729,WholesaleExtract!B:L,11,FALSE),"")</f>
        <v/>
      </c>
      <c r="M3729" s="47" t="str">
        <f>IFERROR(VLOOKUP(G3729,WholesaleExtract!B:M,12,FALSE),"")</f>
        <v/>
      </c>
      <c r="R3729" s="19"/>
      <c r="S3729" s="19"/>
    </row>
    <row r="3730" spans="1:19" x14ac:dyDescent="0.35">
      <c r="A3730" s="26" t="s">
        <v>543</v>
      </c>
      <c r="B3730" s="26" t="s">
        <v>543</v>
      </c>
      <c r="C3730" s="26"/>
      <c r="D3730" s="26" t="s">
        <v>543</v>
      </c>
      <c r="E3730" s="26" t="str">
        <f>IFERROR(VLOOKUP(G3730,WholesaleExtract!B:J,9,FALSE),"")</f>
        <v/>
      </c>
      <c r="F3730" s="26" t="str">
        <f>IFERROR(VLOOKUP(G3730,WholesaleExtract!B:J,6,FALSE),"")</f>
        <v/>
      </c>
      <c r="H3730" s="47" t="str">
        <f>IFERROR(VLOOKUP(G3730,WholesaleExtract!B:L,11,FALSE),"")</f>
        <v/>
      </c>
      <c r="I3730" s="26" t="str">
        <f>IFERROR(VLOOKUP(G3730,WholesaleExtract!B:O,8,FALSE),"")</f>
        <v/>
      </c>
      <c r="J3730" s="26" t="str">
        <f>IFERROR(VLOOKUP(G3730,WholesaleExtract!B:O,14,FALSE),"")</f>
        <v/>
      </c>
      <c r="K3730" s="26" t="str">
        <f>IFERROR(VLOOKUP(G3730,WholesaleExtract!B:K,10,FALSE),"")</f>
        <v/>
      </c>
      <c r="L3730" s="47" t="str">
        <f>IFERROR(VLOOKUP(G3730,WholesaleExtract!B:L,11,FALSE),"")</f>
        <v/>
      </c>
      <c r="M3730" s="47" t="str">
        <f>IFERROR(VLOOKUP(G3730,WholesaleExtract!B:M,12,FALSE),"")</f>
        <v/>
      </c>
      <c r="R3730" s="19"/>
      <c r="S3730" s="19"/>
    </row>
    <row r="3731" spans="1:19" x14ac:dyDescent="0.35">
      <c r="A3731" s="26" t="s">
        <v>543</v>
      </c>
      <c r="B3731" s="26" t="s">
        <v>543</v>
      </c>
      <c r="C3731" s="26"/>
      <c r="D3731" s="26" t="s">
        <v>543</v>
      </c>
      <c r="E3731" s="26" t="str">
        <f>IFERROR(VLOOKUP(G3731,WholesaleExtract!B:J,9,FALSE),"")</f>
        <v/>
      </c>
      <c r="F3731" s="26" t="str">
        <f>IFERROR(VLOOKUP(G3731,WholesaleExtract!B:J,6,FALSE),"")</f>
        <v/>
      </c>
      <c r="H3731" s="47" t="str">
        <f>IFERROR(VLOOKUP(G3731,WholesaleExtract!B:L,11,FALSE),"")</f>
        <v/>
      </c>
      <c r="I3731" s="26" t="str">
        <f>IFERROR(VLOOKUP(G3731,WholesaleExtract!B:O,8,FALSE),"")</f>
        <v/>
      </c>
      <c r="J3731" s="26" t="str">
        <f>IFERROR(VLOOKUP(G3731,WholesaleExtract!B:O,14,FALSE),"")</f>
        <v/>
      </c>
      <c r="K3731" s="26" t="str">
        <f>IFERROR(VLOOKUP(G3731,WholesaleExtract!B:K,10,FALSE),"")</f>
        <v/>
      </c>
      <c r="L3731" s="47" t="str">
        <f>IFERROR(VLOOKUP(G3731,WholesaleExtract!B:L,11,FALSE),"")</f>
        <v/>
      </c>
      <c r="M3731" s="47" t="str">
        <f>IFERROR(VLOOKUP(G3731,WholesaleExtract!B:M,12,FALSE),"")</f>
        <v/>
      </c>
      <c r="R3731" s="19"/>
      <c r="S3731" s="19"/>
    </row>
    <row r="3732" spans="1:19" x14ac:dyDescent="0.35">
      <c r="A3732" s="26" t="s">
        <v>543</v>
      </c>
      <c r="B3732" s="26" t="s">
        <v>543</v>
      </c>
      <c r="C3732" s="26"/>
      <c r="D3732" s="26" t="s">
        <v>543</v>
      </c>
      <c r="E3732" s="26" t="str">
        <f>IFERROR(VLOOKUP(G3732,WholesaleExtract!B:J,9,FALSE),"")</f>
        <v/>
      </c>
      <c r="F3732" s="26" t="str">
        <f>IFERROR(VLOOKUP(G3732,WholesaleExtract!B:J,6,FALSE),"")</f>
        <v/>
      </c>
      <c r="H3732" s="47" t="str">
        <f>IFERROR(VLOOKUP(G3732,WholesaleExtract!B:L,11,FALSE),"")</f>
        <v/>
      </c>
      <c r="I3732" s="26" t="str">
        <f>IFERROR(VLOOKUP(G3732,WholesaleExtract!B:O,8,FALSE),"")</f>
        <v/>
      </c>
      <c r="J3732" s="26" t="str">
        <f>IFERROR(VLOOKUP(G3732,WholesaleExtract!B:O,14,FALSE),"")</f>
        <v/>
      </c>
      <c r="K3732" s="26" t="str">
        <f>IFERROR(VLOOKUP(G3732,WholesaleExtract!B:K,10,FALSE),"")</f>
        <v/>
      </c>
      <c r="L3732" s="47" t="str">
        <f>IFERROR(VLOOKUP(G3732,WholesaleExtract!B:L,11,FALSE),"")</f>
        <v/>
      </c>
      <c r="M3732" s="47" t="str">
        <f>IFERROR(VLOOKUP(G3732,WholesaleExtract!B:M,12,FALSE),"")</f>
        <v/>
      </c>
      <c r="R3732" s="19"/>
      <c r="S3732" s="19"/>
    </row>
    <row r="3733" spans="1:19" x14ac:dyDescent="0.35">
      <c r="A3733" s="26" t="s">
        <v>543</v>
      </c>
      <c r="B3733" s="26" t="s">
        <v>543</v>
      </c>
      <c r="C3733" s="26"/>
      <c r="D3733" s="26" t="s">
        <v>543</v>
      </c>
      <c r="E3733" s="26" t="str">
        <f>IFERROR(VLOOKUP(G3733,WholesaleExtract!B:J,9,FALSE),"")</f>
        <v/>
      </c>
      <c r="F3733" s="26" t="str">
        <f>IFERROR(VLOOKUP(G3733,WholesaleExtract!B:J,6,FALSE),"")</f>
        <v/>
      </c>
      <c r="H3733" s="47" t="str">
        <f>IFERROR(VLOOKUP(G3733,WholesaleExtract!B:L,11,FALSE),"")</f>
        <v/>
      </c>
      <c r="I3733" s="26" t="str">
        <f>IFERROR(VLOOKUP(G3733,WholesaleExtract!B:O,8,FALSE),"")</f>
        <v/>
      </c>
      <c r="J3733" s="26" t="str">
        <f>IFERROR(VLOOKUP(G3733,WholesaleExtract!B:O,14,FALSE),"")</f>
        <v/>
      </c>
      <c r="K3733" s="26" t="str">
        <f>IFERROR(VLOOKUP(G3733,WholesaleExtract!B:K,10,FALSE),"")</f>
        <v/>
      </c>
      <c r="L3733" s="47" t="str">
        <f>IFERROR(VLOOKUP(G3733,WholesaleExtract!B:L,11,FALSE),"")</f>
        <v/>
      </c>
      <c r="M3733" s="47" t="str">
        <f>IFERROR(VLOOKUP(G3733,WholesaleExtract!B:M,12,FALSE),"")</f>
        <v/>
      </c>
      <c r="R3733" s="19"/>
      <c r="S3733" s="19"/>
    </row>
    <row r="3734" spans="1:19" x14ac:dyDescent="0.35">
      <c r="A3734" s="26" t="s">
        <v>543</v>
      </c>
      <c r="B3734" s="26" t="s">
        <v>543</v>
      </c>
      <c r="C3734" s="26"/>
      <c r="D3734" s="26" t="s">
        <v>543</v>
      </c>
      <c r="E3734" s="26" t="str">
        <f>IFERROR(VLOOKUP(G3734,WholesaleExtract!B:J,9,FALSE),"")</f>
        <v/>
      </c>
      <c r="F3734" s="26" t="str">
        <f>IFERROR(VLOOKUP(G3734,WholesaleExtract!B:J,6,FALSE),"")</f>
        <v/>
      </c>
      <c r="H3734" s="47" t="str">
        <f>IFERROR(VLOOKUP(G3734,WholesaleExtract!B:L,11,FALSE),"")</f>
        <v/>
      </c>
      <c r="I3734" s="26" t="str">
        <f>IFERROR(VLOOKUP(G3734,WholesaleExtract!B:O,8,FALSE),"")</f>
        <v/>
      </c>
      <c r="J3734" s="26" t="str">
        <f>IFERROR(VLOOKUP(G3734,WholesaleExtract!B:O,14,FALSE),"")</f>
        <v/>
      </c>
      <c r="K3734" s="26" t="str">
        <f>IFERROR(VLOOKUP(G3734,WholesaleExtract!B:K,10,FALSE),"")</f>
        <v/>
      </c>
      <c r="L3734" s="47" t="str">
        <f>IFERROR(VLOOKUP(G3734,WholesaleExtract!B:L,11,FALSE),"")</f>
        <v/>
      </c>
      <c r="M3734" s="47" t="str">
        <f>IFERROR(VLOOKUP(G3734,WholesaleExtract!B:M,12,FALSE),"")</f>
        <v/>
      </c>
      <c r="R3734" s="19"/>
      <c r="S3734" s="19"/>
    </row>
    <row r="3735" spans="1:19" x14ac:dyDescent="0.35">
      <c r="A3735" s="26" t="s">
        <v>543</v>
      </c>
      <c r="B3735" s="26" t="s">
        <v>543</v>
      </c>
      <c r="C3735" s="26"/>
      <c r="D3735" s="26" t="s">
        <v>543</v>
      </c>
      <c r="E3735" s="26" t="str">
        <f>IFERROR(VLOOKUP(G3735,WholesaleExtract!B:J,9,FALSE),"")</f>
        <v/>
      </c>
      <c r="F3735" s="26" t="str">
        <f>IFERROR(VLOOKUP(G3735,WholesaleExtract!B:J,6,FALSE),"")</f>
        <v/>
      </c>
      <c r="H3735" s="47" t="str">
        <f>IFERROR(VLOOKUP(G3735,WholesaleExtract!B:L,11,FALSE),"")</f>
        <v/>
      </c>
      <c r="I3735" s="26" t="str">
        <f>IFERROR(VLOOKUP(G3735,WholesaleExtract!B:O,8,FALSE),"")</f>
        <v/>
      </c>
      <c r="J3735" s="26" t="str">
        <f>IFERROR(VLOOKUP(G3735,WholesaleExtract!B:O,14,FALSE),"")</f>
        <v/>
      </c>
      <c r="K3735" s="26" t="str">
        <f>IFERROR(VLOOKUP(G3735,WholesaleExtract!B:K,10,FALSE),"")</f>
        <v/>
      </c>
      <c r="L3735" s="47" t="str">
        <f>IFERROR(VLOOKUP(G3735,WholesaleExtract!B:L,11,FALSE),"")</f>
        <v/>
      </c>
      <c r="M3735" s="47" t="str">
        <f>IFERROR(VLOOKUP(G3735,WholesaleExtract!B:M,12,FALSE),"")</f>
        <v/>
      </c>
      <c r="R3735" s="19"/>
      <c r="S3735" s="19"/>
    </row>
    <row r="3736" spans="1:19" x14ac:dyDescent="0.35">
      <c r="A3736" s="26" t="s">
        <v>543</v>
      </c>
      <c r="B3736" s="26" t="s">
        <v>543</v>
      </c>
      <c r="C3736" s="26"/>
      <c r="D3736" s="26" t="s">
        <v>543</v>
      </c>
      <c r="E3736" s="26" t="str">
        <f>IFERROR(VLOOKUP(G3736,WholesaleExtract!B:J,9,FALSE),"")</f>
        <v/>
      </c>
      <c r="F3736" s="26" t="str">
        <f>IFERROR(VLOOKUP(G3736,WholesaleExtract!B:J,6,FALSE),"")</f>
        <v/>
      </c>
      <c r="H3736" s="47" t="str">
        <f>IFERROR(VLOOKUP(G3736,WholesaleExtract!B:L,11,FALSE),"")</f>
        <v/>
      </c>
      <c r="I3736" s="26" t="str">
        <f>IFERROR(VLOOKUP(G3736,WholesaleExtract!B:O,8,FALSE),"")</f>
        <v/>
      </c>
      <c r="J3736" s="26" t="str">
        <f>IFERROR(VLOOKUP(G3736,WholesaleExtract!B:O,14,FALSE),"")</f>
        <v/>
      </c>
      <c r="K3736" s="26" t="str">
        <f>IFERROR(VLOOKUP(G3736,WholesaleExtract!B:K,10,FALSE),"")</f>
        <v/>
      </c>
      <c r="L3736" s="47" t="str">
        <f>IFERROR(VLOOKUP(G3736,WholesaleExtract!B:L,11,FALSE),"")</f>
        <v/>
      </c>
      <c r="M3736" s="47" t="str">
        <f>IFERROR(VLOOKUP(G3736,WholesaleExtract!B:M,12,FALSE),"")</f>
        <v/>
      </c>
      <c r="R3736" s="19"/>
      <c r="S3736" s="19"/>
    </row>
    <row r="3737" spans="1:19" x14ac:dyDescent="0.35">
      <c r="A3737" s="26" t="s">
        <v>543</v>
      </c>
      <c r="B3737" s="26" t="s">
        <v>543</v>
      </c>
      <c r="C3737" s="26"/>
      <c r="D3737" s="26" t="s">
        <v>543</v>
      </c>
      <c r="E3737" s="26" t="str">
        <f>IFERROR(VLOOKUP(G3737,WholesaleExtract!B:J,9,FALSE),"")</f>
        <v/>
      </c>
      <c r="F3737" s="26" t="str">
        <f>IFERROR(VLOOKUP(G3737,WholesaleExtract!B:J,6,FALSE),"")</f>
        <v/>
      </c>
      <c r="H3737" s="47" t="str">
        <f>IFERROR(VLOOKUP(G3737,WholesaleExtract!B:L,11,FALSE),"")</f>
        <v/>
      </c>
      <c r="I3737" s="26" t="str">
        <f>IFERROR(VLOOKUP(G3737,WholesaleExtract!B:O,8,FALSE),"")</f>
        <v/>
      </c>
      <c r="J3737" s="26" t="str">
        <f>IFERROR(VLOOKUP(G3737,WholesaleExtract!B:O,14,FALSE),"")</f>
        <v/>
      </c>
      <c r="K3737" s="26" t="str">
        <f>IFERROR(VLOOKUP(G3737,WholesaleExtract!B:K,10,FALSE),"")</f>
        <v/>
      </c>
      <c r="L3737" s="47" t="str">
        <f>IFERROR(VLOOKUP(G3737,WholesaleExtract!B:L,11,FALSE),"")</f>
        <v/>
      </c>
      <c r="M3737" s="47" t="str">
        <f>IFERROR(VLOOKUP(G3737,WholesaleExtract!B:M,12,FALSE),"")</f>
        <v/>
      </c>
      <c r="R3737" s="19"/>
      <c r="S3737" s="19"/>
    </row>
    <row r="3738" spans="1:19" x14ac:dyDescent="0.35">
      <c r="A3738" s="26" t="s">
        <v>543</v>
      </c>
      <c r="B3738" s="26" t="s">
        <v>543</v>
      </c>
      <c r="C3738" s="26"/>
      <c r="D3738" s="26" t="s">
        <v>543</v>
      </c>
      <c r="E3738" s="26" t="str">
        <f>IFERROR(VLOOKUP(G3738,WholesaleExtract!B:J,9,FALSE),"")</f>
        <v/>
      </c>
      <c r="F3738" s="26" t="str">
        <f>IFERROR(VLOOKUP(G3738,WholesaleExtract!B:J,6,FALSE),"")</f>
        <v/>
      </c>
      <c r="H3738" s="47" t="str">
        <f>IFERROR(VLOOKUP(G3738,WholesaleExtract!B:L,11,FALSE),"")</f>
        <v/>
      </c>
      <c r="I3738" s="26" t="str">
        <f>IFERROR(VLOOKUP(G3738,WholesaleExtract!B:O,8,FALSE),"")</f>
        <v/>
      </c>
      <c r="J3738" s="26" t="str">
        <f>IFERROR(VLOOKUP(G3738,WholesaleExtract!B:O,14,FALSE),"")</f>
        <v/>
      </c>
      <c r="K3738" s="26" t="str">
        <f>IFERROR(VLOOKUP(G3738,WholesaleExtract!B:K,10,FALSE),"")</f>
        <v/>
      </c>
      <c r="L3738" s="47" t="str">
        <f>IFERROR(VLOOKUP(G3738,WholesaleExtract!B:L,11,FALSE),"")</f>
        <v/>
      </c>
      <c r="M3738" s="47" t="str">
        <f>IFERROR(VLOOKUP(G3738,WholesaleExtract!B:M,12,FALSE),"")</f>
        <v/>
      </c>
      <c r="R3738" s="19"/>
      <c r="S3738" s="19"/>
    </row>
    <row r="3739" spans="1:19" x14ac:dyDescent="0.35">
      <c r="A3739" s="26" t="s">
        <v>543</v>
      </c>
      <c r="B3739" s="26" t="s">
        <v>543</v>
      </c>
      <c r="C3739" s="26"/>
      <c r="D3739" s="26" t="s">
        <v>543</v>
      </c>
      <c r="E3739" s="26" t="str">
        <f>IFERROR(VLOOKUP(G3739,WholesaleExtract!B:J,9,FALSE),"")</f>
        <v/>
      </c>
      <c r="F3739" s="26" t="str">
        <f>IFERROR(VLOOKUP(G3739,WholesaleExtract!B:J,6,FALSE),"")</f>
        <v/>
      </c>
      <c r="H3739" s="47" t="str">
        <f>IFERROR(VLOOKUP(G3739,WholesaleExtract!B:L,11,FALSE),"")</f>
        <v/>
      </c>
      <c r="I3739" s="26" t="str">
        <f>IFERROR(VLOOKUP(G3739,WholesaleExtract!B:O,8,FALSE),"")</f>
        <v/>
      </c>
      <c r="J3739" s="26" t="str">
        <f>IFERROR(VLOOKUP(G3739,WholesaleExtract!B:O,14,FALSE),"")</f>
        <v/>
      </c>
      <c r="K3739" s="26" t="str">
        <f>IFERROR(VLOOKUP(G3739,WholesaleExtract!B:K,10,FALSE),"")</f>
        <v/>
      </c>
      <c r="L3739" s="47" t="str">
        <f>IFERROR(VLOOKUP(G3739,WholesaleExtract!B:L,11,FALSE),"")</f>
        <v/>
      </c>
      <c r="M3739" s="47" t="str">
        <f>IFERROR(VLOOKUP(G3739,WholesaleExtract!B:M,12,FALSE),"")</f>
        <v/>
      </c>
      <c r="R3739" s="19"/>
      <c r="S3739" s="19"/>
    </row>
    <row r="3740" spans="1:19" x14ac:dyDescent="0.35">
      <c r="A3740" s="26" t="s">
        <v>543</v>
      </c>
      <c r="B3740" s="26" t="s">
        <v>543</v>
      </c>
      <c r="C3740" s="26"/>
      <c r="D3740" s="26" t="s">
        <v>543</v>
      </c>
      <c r="E3740" s="26" t="str">
        <f>IFERROR(VLOOKUP(G3740,WholesaleExtract!B:J,9,FALSE),"")</f>
        <v/>
      </c>
      <c r="F3740" s="26" t="str">
        <f>IFERROR(VLOOKUP(G3740,WholesaleExtract!B:J,6,FALSE),"")</f>
        <v/>
      </c>
      <c r="H3740" s="47" t="str">
        <f>IFERROR(VLOOKUP(G3740,WholesaleExtract!B:L,11,FALSE),"")</f>
        <v/>
      </c>
      <c r="I3740" s="26" t="str">
        <f>IFERROR(VLOOKUP(G3740,WholesaleExtract!B:O,8,FALSE),"")</f>
        <v/>
      </c>
      <c r="J3740" s="26" t="str">
        <f>IFERROR(VLOOKUP(G3740,WholesaleExtract!B:O,14,FALSE),"")</f>
        <v/>
      </c>
      <c r="K3740" s="26" t="str">
        <f>IFERROR(VLOOKUP(G3740,WholesaleExtract!B:K,10,FALSE),"")</f>
        <v/>
      </c>
      <c r="L3740" s="47" t="str">
        <f>IFERROR(VLOOKUP(G3740,WholesaleExtract!B:L,11,FALSE),"")</f>
        <v/>
      </c>
      <c r="M3740" s="47" t="str">
        <f>IFERROR(VLOOKUP(G3740,WholesaleExtract!B:M,12,FALSE),"")</f>
        <v/>
      </c>
      <c r="R3740" s="19"/>
      <c r="S3740" s="19"/>
    </row>
    <row r="3741" spans="1:19" x14ac:dyDescent="0.35">
      <c r="A3741" s="26" t="s">
        <v>543</v>
      </c>
      <c r="B3741" s="26" t="s">
        <v>543</v>
      </c>
      <c r="C3741" s="26"/>
      <c r="D3741" s="26" t="s">
        <v>543</v>
      </c>
      <c r="E3741" s="26" t="str">
        <f>IFERROR(VLOOKUP(G3741,WholesaleExtract!B:J,9,FALSE),"")</f>
        <v/>
      </c>
      <c r="F3741" s="26" t="str">
        <f>IFERROR(VLOOKUP(G3741,WholesaleExtract!B:J,6,FALSE),"")</f>
        <v/>
      </c>
      <c r="H3741" s="47" t="str">
        <f>IFERROR(VLOOKUP(G3741,WholesaleExtract!B:L,11,FALSE),"")</f>
        <v/>
      </c>
      <c r="I3741" s="26" t="str">
        <f>IFERROR(VLOOKUP(G3741,WholesaleExtract!B:O,8,FALSE),"")</f>
        <v/>
      </c>
      <c r="J3741" s="26" t="str">
        <f>IFERROR(VLOOKUP(G3741,WholesaleExtract!B:O,14,FALSE),"")</f>
        <v/>
      </c>
      <c r="K3741" s="26" t="str">
        <f>IFERROR(VLOOKUP(G3741,WholesaleExtract!B:K,10,FALSE),"")</f>
        <v/>
      </c>
      <c r="L3741" s="47" t="str">
        <f>IFERROR(VLOOKUP(G3741,WholesaleExtract!B:L,11,FALSE),"")</f>
        <v/>
      </c>
      <c r="M3741" s="47" t="str">
        <f>IFERROR(VLOOKUP(G3741,WholesaleExtract!B:M,12,FALSE),"")</f>
        <v/>
      </c>
      <c r="R3741" s="19"/>
      <c r="S3741" s="19"/>
    </row>
    <row r="3742" spans="1:19" x14ac:dyDescent="0.35">
      <c r="A3742" s="26" t="s">
        <v>543</v>
      </c>
      <c r="B3742" s="26" t="s">
        <v>543</v>
      </c>
      <c r="C3742" s="26"/>
      <c r="D3742" s="26" t="s">
        <v>543</v>
      </c>
      <c r="E3742" s="26" t="str">
        <f>IFERROR(VLOOKUP(G3742,WholesaleExtract!B:J,9,FALSE),"")</f>
        <v/>
      </c>
      <c r="F3742" s="26" t="str">
        <f>IFERROR(VLOOKUP(G3742,WholesaleExtract!B:J,6,FALSE),"")</f>
        <v/>
      </c>
      <c r="H3742" s="47" t="str">
        <f>IFERROR(VLOOKUP(G3742,WholesaleExtract!B:L,11,FALSE),"")</f>
        <v/>
      </c>
      <c r="I3742" s="26" t="str">
        <f>IFERROR(VLOOKUP(G3742,WholesaleExtract!B:O,8,FALSE),"")</f>
        <v/>
      </c>
      <c r="J3742" s="26" t="str">
        <f>IFERROR(VLOOKUP(G3742,WholesaleExtract!B:O,14,FALSE),"")</f>
        <v/>
      </c>
      <c r="K3742" s="26" t="str">
        <f>IFERROR(VLOOKUP(G3742,WholesaleExtract!B:K,10,FALSE),"")</f>
        <v/>
      </c>
      <c r="L3742" s="47" t="str">
        <f>IFERROR(VLOOKUP(G3742,WholesaleExtract!B:L,11,FALSE),"")</f>
        <v/>
      </c>
      <c r="M3742" s="47" t="str">
        <f>IFERROR(VLOOKUP(G3742,WholesaleExtract!B:M,12,FALSE),"")</f>
        <v/>
      </c>
      <c r="R3742" s="19"/>
      <c r="S3742" s="19"/>
    </row>
    <row r="3743" spans="1:19" x14ac:dyDescent="0.35">
      <c r="A3743" s="26" t="s">
        <v>543</v>
      </c>
      <c r="B3743" s="26" t="s">
        <v>543</v>
      </c>
      <c r="C3743" s="26"/>
      <c r="D3743" s="26" t="s">
        <v>543</v>
      </c>
      <c r="E3743" s="26" t="str">
        <f>IFERROR(VLOOKUP(G3743,WholesaleExtract!B:J,9,FALSE),"")</f>
        <v/>
      </c>
      <c r="F3743" s="26" t="str">
        <f>IFERROR(VLOOKUP(G3743,WholesaleExtract!B:J,6,FALSE),"")</f>
        <v/>
      </c>
      <c r="H3743" s="47" t="str">
        <f>IFERROR(VLOOKUP(G3743,WholesaleExtract!B:L,11,FALSE),"")</f>
        <v/>
      </c>
      <c r="I3743" s="26" t="str">
        <f>IFERROR(VLOOKUP(G3743,WholesaleExtract!B:O,8,FALSE),"")</f>
        <v/>
      </c>
      <c r="J3743" s="26" t="str">
        <f>IFERROR(VLOOKUP(G3743,WholesaleExtract!B:O,14,FALSE),"")</f>
        <v/>
      </c>
      <c r="K3743" s="26" t="str">
        <f>IFERROR(VLOOKUP(G3743,WholesaleExtract!B:K,10,FALSE),"")</f>
        <v/>
      </c>
      <c r="L3743" s="47" t="str">
        <f>IFERROR(VLOOKUP(G3743,WholesaleExtract!B:L,11,FALSE),"")</f>
        <v/>
      </c>
      <c r="M3743" s="47" t="str">
        <f>IFERROR(VLOOKUP(G3743,WholesaleExtract!B:M,12,FALSE),"")</f>
        <v/>
      </c>
      <c r="R3743" s="19"/>
      <c r="S3743" s="19"/>
    </row>
    <row r="3744" spans="1:19" x14ac:dyDescent="0.35">
      <c r="A3744" s="26" t="s">
        <v>543</v>
      </c>
      <c r="B3744" s="26" t="s">
        <v>543</v>
      </c>
      <c r="C3744" s="26"/>
      <c r="D3744" s="26" t="s">
        <v>543</v>
      </c>
      <c r="E3744" s="26" t="str">
        <f>IFERROR(VLOOKUP(G3744,WholesaleExtract!B:J,9,FALSE),"")</f>
        <v/>
      </c>
      <c r="F3744" s="26" t="str">
        <f>IFERROR(VLOOKUP(G3744,WholesaleExtract!B:J,6,FALSE),"")</f>
        <v/>
      </c>
      <c r="H3744" s="47" t="str">
        <f>IFERROR(VLOOKUP(G3744,WholesaleExtract!B:L,11,FALSE),"")</f>
        <v/>
      </c>
      <c r="I3744" s="26" t="str">
        <f>IFERROR(VLOOKUP(G3744,WholesaleExtract!B:O,8,FALSE),"")</f>
        <v/>
      </c>
      <c r="J3744" s="26" t="str">
        <f>IFERROR(VLOOKUP(G3744,WholesaleExtract!B:O,14,FALSE),"")</f>
        <v/>
      </c>
      <c r="K3744" s="26" t="str">
        <f>IFERROR(VLOOKUP(G3744,WholesaleExtract!B:K,10,FALSE),"")</f>
        <v/>
      </c>
      <c r="L3744" s="47" t="str">
        <f>IFERROR(VLOOKUP(G3744,WholesaleExtract!B:L,11,FALSE),"")</f>
        <v/>
      </c>
      <c r="M3744" s="47" t="str">
        <f>IFERROR(VLOOKUP(G3744,WholesaleExtract!B:M,12,FALSE),"")</f>
        <v/>
      </c>
      <c r="R3744" s="19"/>
      <c r="S3744" s="19"/>
    </row>
    <row r="3745" spans="1:19" x14ac:dyDescent="0.35">
      <c r="A3745" s="26" t="s">
        <v>543</v>
      </c>
      <c r="B3745" s="26" t="s">
        <v>543</v>
      </c>
      <c r="C3745" s="26"/>
      <c r="D3745" s="26" t="s">
        <v>543</v>
      </c>
      <c r="E3745" s="26" t="str">
        <f>IFERROR(VLOOKUP(G3745,WholesaleExtract!B:J,9,FALSE),"")</f>
        <v/>
      </c>
      <c r="F3745" s="26" t="str">
        <f>IFERROR(VLOOKUP(G3745,WholesaleExtract!B:J,6,FALSE),"")</f>
        <v/>
      </c>
      <c r="H3745" s="47" t="str">
        <f>IFERROR(VLOOKUP(G3745,WholesaleExtract!B:L,11,FALSE),"")</f>
        <v/>
      </c>
      <c r="I3745" s="26" t="str">
        <f>IFERROR(VLOOKUP(G3745,WholesaleExtract!B:O,8,FALSE),"")</f>
        <v/>
      </c>
      <c r="J3745" s="26" t="str">
        <f>IFERROR(VLOOKUP(G3745,WholesaleExtract!B:O,14,FALSE),"")</f>
        <v/>
      </c>
      <c r="K3745" s="26" t="str">
        <f>IFERROR(VLOOKUP(G3745,WholesaleExtract!B:K,10,FALSE),"")</f>
        <v/>
      </c>
      <c r="L3745" s="47" t="str">
        <f>IFERROR(VLOOKUP(G3745,WholesaleExtract!B:L,11,FALSE),"")</f>
        <v/>
      </c>
      <c r="M3745" s="47" t="str">
        <f>IFERROR(VLOOKUP(G3745,WholesaleExtract!B:M,12,FALSE),"")</f>
        <v/>
      </c>
      <c r="R3745" s="19"/>
      <c r="S3745" s="19"/>
    </row>
    <row r="3746" spans="1:19" x14ac:dyDescent="0.35">
      <c r="A3746" s="26" t="s">
        <v>543</v>
      </c>
      <c r="B3746" s="26" t="s">
        <v>543</v>
      </c>
      <c r="C3746" s="26"/>
      <c r="D3746" s="26" t="s">
        <v>543</v>
      </c>
      <c r="E3746" s="26" t="str">
        <f>IFERROR(VLOOKUP(G3746,WholesaleExtract!B:J,9,FALSE),"")</f>
        <v/>
      </c>
      <c r="F3746" s="26" t="str">
        <f>IFERROR(VLOOKUP(G3746,WholesaleExtract!B:J,6,FALSE),"")</f>
        <v/>
      </c>
      <c r="H3746" s="47" t="str">
        <f>IFERROR(VLOOKUP(G3746,WholesaleExtract!B:L,11,FALSE),"")</f>
        <v/>
      </c>
      <c r="I3746" s="26" t="str">
        <f>IFERROR(VLOOKUP(G3746,WholesaleExtract!B:O,8,FALSE),"")</f>
        <v/>
      </c>
      <c r="J3746" s="26" t="str">
        <f>IFERROR(VLOOKUP(G3746,WholesaleExtract!B:O,14,FALSE),"")</f>
        <v/>
      </c>
      <c r="K3746" s="26" t="str">
        <f>IFERROR(VLOOKUP(G3746,WholesaleExtract!B:K,10,FALSE),"")</f>
        <v/>
      </c>
      <c r="L3746" s="47" t="str">
        <f>IFERROR(VLOOKUP(G3746,WholesaleExtract!B:L,11,FALSE),"")</f>
        <v/>
      </c>
      <c r="M3746" s="47" t="str">
        <f>IFERROR(VLOOKUP(G3746,WholesaleExtract!B:M,12,FALSE),"")</f>
        <v/>
      </c>
      <c r="R3746" s="19"/>
      <c r="S3746" s="19"/>
    </row>
    <row r="3747" spans="1:19" x14ac:dyDescent="0.35">
      <c r="A3747" s="26" t="s">
        <v>543</v>
      </c>
      <c r="B3747" s="26" t="s">
        <v>543</v>
      </c>
      <c r="C3747" s="26"/>
      <c r="D3747" s="26" t="s">
        <v>543</v>
      </c>
      <c r="E3747" s="26" t="str">
        <f>IFERROR(VLOOKUP(G3747,WholesaleExtract!B:J,9,FALSE),"")</f>
        <v/>
      </c>
      <c r="F3747" s="26" t="str">
        <f>IFERROR(VLOOKUP(G3747,WholesaleExtract!B:J,6,FALSE),"")</f>
        <v/>
      </c>
      <c r="H3747" s="47" t="str">
        <f>IFERROR(VLOOKUP(G3747,WholesaleExtract!B:L,11,FALSE),"")</f>
        <v/>
      </c>
      <c r="I3747" s="26" t="str">
        <f>IFERROR(VLOOKUP(G3747,WholesaleExtract!B:O,8,FALSE),"")</f>
        <v/>
      </c>
      <c r="J3747" s="26" t="str">
        <f>IFERROR(VLOOKUP(G3747,WholesaleExtract!B:O,14,FALSE),"")</f>
        <v/>
      </c>
      <c r="K3747" s="26" t="str">
        <f>IFERROR(VLOOKUP(G3747,WholesaleExtract!B:K,10,FALSE),"")</f>
        <v/>
      </c>
      <c r="L3747" s="47" t="str">
        <f>IFERROR(VLOOKUP(G3747,WholesaleExtract!B:L,11,FALSE),"")</f>
        <v/>
      </c>
      <c r="M3747" s="47" t="str">
        <f>IFERROR(VLOOKUP(G3747,WholesaleExtract!B:M,12,FALSE),"")</f>
        <v/>
      </c>
      <c r="R3747" s="19"/>
      <c r="S3747" s="19"/>
    </row>
    <row r="3748" spans="1:19" x14ac:dyDescent="0.35">
      <c r="A3748" s="26" t="s">
        <v>543</v>
      </c>
      <c r="B3748" s="26" t="s">
        <v>543</v>
      </c>
      <c r="C3748" s="26"/>
      <c r="D3748" s="26" t="s">
        <v>543</v>
      </c>
      <c r="E3748" s="26" t="str">
        <f>IFERROR(VLOOKUP(G3748,WholesaleExtract!B:J,9,FALSE),"")</f>
        <v/>
      </c>
      <c r="F3748" s="26" t="str">
        <f>IFERROR(VLOOKUP(G3748,WholesaleExtract!B:J,6,FALSE),"")</f>
        <v/>
      </c>
      <c r="H3748" s="47" t="str">
        <f>IFERROR(VLOOKUP(G3748,WholesaleExtract!B:L,11,FALSE),"")</f>
        <v/>
      </c>
      <c r="I3748" s="26" t="str">
        <f>IFERROR(VLOOKUP(G3748,WholesaleExtract!B:O,8,FALSE),"")</f>
        <v/>
      </c>
      <c r="J3748" s="26" t="str">
        <f>IFERROR(VLOOKUP(G3748,WholesaleExtract!B:O,14,FALSE),"")</f>
        <v/>
      </c>
      <c r="K3748" s="26" t="str">
        <f>IFERROR(VLOOKUP(G3748,WholesaleExtract!B:K,10,FALSE),"")</f>
        <v/>
      </c>
      <c r="L3748" s="47" t="str">
        <f>IFERROR(VLOOKUP(G3748,WholesaleExtract!B:L,11,FALSE),"")</f>
        <v/>
      </c>
      <c r="M3748" s="47" t="str">
        <f>IFERROR(VLOOKUP(G3748,WholesaleExtract!B:M,12,FALSE),"")</f>
        <v/>
      </c>
      <c r="R3748" s="19"/>
      <c r="S3748" s="19"/>
    </row>
    <row r="3749" spans="1:19" x14ac:dyDescent="0.35">
      <c r="A3749" s="26" t="s">
        <v>543</v>
      </c>
      <c r="B3749" s="26" t="s">
        <v>543</v>
      </c>
      <c r="C3749" s="26"/>
      <c r="D3749" s="26" t="s">
        <v>543</v>
      </c>
      <c r="E3749" s="26" t="str">
        <f>IFERROR(VLOOKUP(G3749,WholesaleExtract!B:J,9,FALSE),"")</f>
        <v/>
      </c>
      <c r="F3749" s="26" t="str">
        <f>IFERROR(VLOOKUP(G3749,WholesaleExtract!B:J,6,FALSE),"")</f>
        <v/>
      </c>
      <c r="H3749" s="47" t="str">
        <f>IFERROR(VLOOKUP(G3749,WholesaleExtract!B:L,11,FALSE),"")</f>
        <v/>
      </c>
      <c r="I3749" s="26" t="str">
        <f>IFERROR(VLOOKUP(G3749,WholesaleExtract!B:O,8,FALSE),"")</f>
        <v/>
      </c>
      <c r="J3749" s="26" t="str">
        <f>IFERROR(VLOOKUP(G3749,WholesaleExtract!B:O,14,FALSE),"")</f>
        <v/>
      </c>
      <c r="K3749" s="26" t="str">
        <f>IFERROR(VLOOKUP(G3749,WholesaleExtract!B:K,10,FALSE),"")</f>
        <v/>
      </c>
      <c r="L3749" s="47" t="str">
        <f>IFERROR(VLOOKUP(G3749,WholesaleExtract!B:L,11,FALSE),"")</f>
        <v/>
      </c>
      <c r="M3749" s="47" t="str">
        <f>IFERROR(VLOOKUP(G3749,WholesaleExtract!B:M,12,FALSE),"")</f>
        <v/>
      </c>
      <c r="R3749" s="19"/>
      <c r="S3749" s="19"/>
    </row>
    <row r="3750" spans="1:19" x14ac:dyDescent="0.35">
      <c r="A3750" s="26" t="s">
        <v>543</v>
      </c>
      <c r="B3750" s="26" t="s">
        <v>543</v>
      </c>
      <c r="C3750" s="26"/>
      <c r="D3750" s="26" t="s">
        <v>543</v>
      </c>
      <c r="E3750" s="26" t="str">
        <f>IFERROR(VLOOKUP(G3750,WholesaleExtract!B:J,9,FALSE),"")</f>
        <v/>
      </c>
      <c r="F3750" s="26" t="str">
        <f>IFERROR(VLOOKUP(G3750,WholesaleExtract!B:J,6,FALSE),"")</f>
        <v/>
      </c>
      <c r="H3750" s="47" t="str">
        <f>IFERROR(VLOOKUP(G3750,WholesaleExtract!B:L,11,FALSE),"")</f>
        <v/>
      </c>
      <c r="I3750" s="26" t="str">
        <f>IFERROR(VLOOKUP(G3750,WholesaleExtract!B:O,8,FALSE),"")</f>
        <v/>
      </c>
      <c r="J3750" s="26" t="str">
        <f>IFERROR(VLOOKUP(G3750,WholesaleExtract!B:O,14,FALSE),"")</f>
        <v/>
      </c>
      <c r="K3750" s="26" t="str">
        <f>IFERROR(VLOOKUP(G3750,WholesaleExtract!B:K,10,FALSE),"")</f>
        <v/>
      </c>
      <c r="L3750" s="47" t="str">
        <f>IFERROR(VLOOKUP(G3750,WholesaleExtract!B:L,11,FALSE),"")</f>
        <v/>
      </c>
      <c r="M3750" s="47" t="str">
        <f>IFERROR(VLOOKUP(G3750,WholesaleExtract!B:M,12,FALSE),"")</f>
        <v/>
      </c>
      <c r="R3750" s="19"/>
      <c r="S3750" s="19"/>
    </row>
    <row r="3751" spans="1:19" x14ac:dyDescent="0.35">
      <c r="A3751" s="26" t="s">
        <v>543</v>
      </c>
      <c r="B3751" s="26" t="s">
        <v>543</v>
      </c>
      <c r="C3751" s="26"/>
      <c r="D3751" s="26" t="s">
        <v>543</v>
      </c>
      <c r="E3751" s="26" t="str">
        <f>IFERROR(VLOOKUP(G3751,WholesaleExtract!B:J,9,FALSE),"")</f>
        <v/>
      </c>
      <c r="F3751" s="26" t="str">
        <f>IFERROR(VLOOKUP(G3751,WholesaleExtract!B:J,6,FALSE),"")</f>
        <v/>
      </c>
      <c r="H3751" s="47" t="str">
        <f>IFERROR(VLOOKUP(G3751,WholesaleExtract!B:L,11,FALSE),"")</f>
        <v/>
      </c>
      <c r="I3751" s="26" t="str">
        <f>IFERROR(VLOOKUP(G3751,WholesaleExtract!B:O,8,FALSE),"")</f>
        <v/>
      </c>
      <c r="J3751" s="26" t="str">
        <f>IFERROR(VLOOKUP(G3751,WholesaleExtract!B:O,14,FALSE),"")</f>
        <v/>
      </c>
      <c r="K3751" s="26" t="str">
        <f>IFERROR(VLOOKUP(G3751,WholesaleExtract!B:K,10,FALSE),"")</f>
        <v/>
      </c>
      <c r="L3751" s="47" t="str">
        <f>IFERROR(VLOOKUP(G3751,WholesaleExtract!B:L,11,FALSE),"")</f>
        <v/>
      </c>
      <c r="M3751" s="47" t="str">
        <f>IFERROR(VLOOKUP(G3751,WholesaleExtract!B:M,12,FALSE),"")</f>
        <v/>
      </c>
      <c r="R3751" s="19"/>
      <c r="S3751" s="19"/>
    </row>
    <row r="3752" spans="1:19" x14ac:dyDescent="0.35">
      <c r="A3752" s="26" t="s">
        <v>543</v>
      </c>
      <c r="B3752" s="26" t="s">
        <v>543</v>
      </c>
      <c r="C3752" s="26"/>
      <c r="D3752" s="26" t="s">
        <v>543</v>
      </c>
      <c r="E3752" s="26" t="str">
        <f>IFERROR(VLOOKUP(G3752,WholesaleExtract!B:J,9,FALSE),"")</f>
        <v/>
      </c>
      <c r="F3752" s="26" t="str">
        <f>IFERROR(VLOOKUP(G3752,WholesaleExtract!B:J,6,FALSE),"")</f>
        <v/>
      </c>
      <c r="H3752" s="47" t="str">
        <f>IFERROR(VLOOKUP(G3752,WholesaleExtract!B:L,11,FALSE),"")</f>
        <v/>
      </c>
      <c r="I3752" s="26" t="str">
        <f>IFERROR(VLOOKUP(G3752,WholesaleExtract!B:O,8,FALSE),"")</f>
        <v/>
      </c>
      <c r="J3752" s="26" t="str">
        <f>IFERROR(VLOOKUP(G3752,WholesaleExtract!B:O,14,FALSE),"")</f>
        <v/>
      </c>
      <c r="K3752" s="26" t="str">
        <f>IFERROR(VLOOKUP(G3752,WholesaleExtract!B:K,10,FALSE),"")</f>
        <v/>
      </c>
      <c r="L3752" s="47" t="str">
        <f>IFERROR(VLOOKUP(G3752,WholesaleExtract!B:L,11,FALSE),"")</f>
        <v/>
      </c>
      <c r="M3752" s="47" t="str">
        <f>IFERROR(VLOOKUP(G3752,WholesaleExtract!B:M,12,FALSE),"")</f>
        <v/>
      </c>
      <c r="R3752" s="19"/>
      <c r="S3752" s="19"/>
    </row>
    <row r="3753" spans="1:19" x14ac:dyDescent="0.35">
      <c r="A3753" s="26" t="s">
        <v>543</v>
      </c>
      <c r="B3753" s="26" t="s">
        <v>543</v>
      </c>
      <c r="C3753" s="26"/>
      <c r="D3753" s="26" t="s">
        <v>543</v>
      </c>
      <c r="E3753" s="26" t="str">
        <f>IFERROR(VLOOKUP(G3753,WholesaleExtract!B:J,9,FALSE),"")</f>
        <v/>
      </c>
      <c r="F3753" s="26" t="str">
        <f>IFERROR(VLOOKUP(G3753,WholesaleExtract!B:J,6,FALSE),"")</f>
        <v/>
      </c>
      <c r="H3753" s="47" t="str">
        <f>IFERROR(VLOOKUP(G3753,WholesaleExtract!B:L,11,FALSE),"")</f>
        <v/>
      </c>
      <c r="I3753" s="26" t="str">
        <f>IFERROR(VLOOKUP(G3753,WholesaleExtract!B:O,8,FALSE),"")</f>
        <v/>
      </c>
      <c r="J3753" s="26" t="str">
        <f>IFERROR(VLOOKUP(G3753,WholesaleExtract!B:O,14,FALSE),"")</f>
        <v/>
      </c>
      <c r="K3753" s="26" t="str">
        <f>IFERROR(VLOOKUP(G3753,WholesaleExtract!B:K,10,FALSE),"")</f>
        <v/>
      </c>
      <c r="L3753" s="47" t="str">
        <f>IFERROR(VLOOKUP(G3753,WholesaleExtract!B:L,11,FALSE),"")</f>
        <v/>
      </c>
      <c r="M3753" s="47" t="str">
        <f>IFERROR(VLOOKUP(G3753,WholesaleExtract!B:M,12,FALSE),"")</f>
        <v/>
      </c>
      <c r="R3753" s="19"/>
      <c r="S3753" s="19"/>
    </row>
    <row r="3754" spans="1:19" x14ac:dyDescent="0.35">
      <c r="A3754" s="26" t="s">
        <v>543</v>
      </c>
      <c r="B3754" s="26" t="s">
        <v>543</v>
      </c>
      <c r="C3754" s="26"/>
      <c r="D3754" s="26" t="s">
        <v>543</v>
      </c>
      <c r="E3754" s="26" t="str">
        <f>IFERROR(VLOOKUP(G3754,WholesaleExtract!B:J,9,FALSE),"")</f>
        <v/>
      </c>
      <c r="F3754" s="26" t="str">
        <f>IFERROR(VLOOKUP(G3754,WholesaleExtract!B:J,6,FALSE),"")</f>
        <v/>
      </c>
      <c r="H3754" s="47" t="str">
        <f>IFERROR(VLOOKUP(G3754,WholesaleExtract!B:L,11,FALSE),"")</f>
        <v/>
      </c>
      <c r="I3754" s="26" t="str">
        <f>IFERROR(VLOOKUP(G3754,WholesaleExtract!B:O,8,FALSE),"")</f>
        <v/>
      </c>
      <c r="J3754" s="26" t="str">
        <f>IFERROR(VLOOKUP(G3754,WholesaleExtract!B:O,14,FALSE),"")</f>
        <v/>
      </c>
      <c r="K3754" s="26" t="str">
        <f>IFERROR(VLOOKUP(G3754,WholesaleExtract!B:K,10,FALSE),"")</f>
        <v/>
      </c>
      <c r="L3754" s="47" t="str">
        <f>IFERROR(VLOOKUP(G3754,WholesaleExtract!B:L,11,FALSE),"")</f>
        <v/>
      </c>
      <c r="M3754" s="47" t="str">
        <f>IFERROR(VLOOKUP(G3754,WholesaleExtract!B:M,12,FALSE),"")</f>
        <v/>
      </c>
      <c r="R3754" s="19"/>
      <c r="S3754" s="19"/>
    </row>
    <row r="3755" spans="1:19" x14ac:dyDescent="0.35">
      <c r="A3755" s="26" t="s">
        <v>543</v>
      </c>
      <c r="B3755" s="26" t="s">
        <v>543</v>
      </c>
      <c r="C3755" s="26"/>
      <c r="D3755" s="26" t="s">
        <v>543</v>
      </c>
      <c r="E3755" s="26" t="str">
        <f>IFERROR(VLOOKUP(G3755,WholesaleExtract!B:J,9,FALSE),"")</f>
        <v/>
      </c>
      <c r="F3755" s="26" t="str">
        <f>IFERROR(VLOOKUP(G3755,WholesaleExtract!B:J,6,FALSE),"")</f>
        <v/>
      </c>
      <c r="H3755" s="47" t="str">
        <f>IFERROR(VLOOKUP(G3755,WholesaleExtract!B:L,11,FALSE),"")</f>
        <v/>
      </c>
      <c r="I3755" s="26" t="str">
        <f>IFERROR(VLOOKUP(G3755,WholesaleExtract!B:O,8,FALSE),"")</f>
        <v/>
      </c>
      <c r="J3755" s="26" t="str">
        <f>IFERROR(VLOOKUP(G3755,WholesaleExtract!B:O,14,FALSE),"")</f>
        <v/>
      </c>
      <c r="K3755" s="26" t="str">
        <f>IFERROR(VLOOKUP(G3755,WholesaleExtract!B:K,10,FALSE),"")</f>
        <v/>
      </c>
      <c r="L3755" s="47" t="str">
        <f>IFERROR(VLOOKUP(G3755,WholesaleExtract!B:L,11,FALSE),"")</f>
        <v/>
      </c>
      <c r="M3755" s="47" t="str">
        <f>IFERROR(VLOOKUP(G3755,WholesaleExtract!B:M,12,FALSE),"")</f>
        <v/>
      </c>
      <c r="R3755" s="19"/>
      <c r="S3755" s="19"/>
    </row>
    <row r="3756" spans="1:19" x14ac:dyDescent="0.35">
      <c r="A3756" s="26" t="s">
        <v>543</v>
      </c>
      <c r="B3756" s="26" t="s">
        <v>543</v>
      </c>
      <c r="C3756" s="26"/>
      <c r="D3756" s="26" t="s">
        <v>543</v>
      </c>
      <c r="E3756" s="26" t="str">
        <f>IFERROR(VLOOKUP(G3756,WholesaleExtract!B:J,9,FALSE),"")</f>
        <v/>
      </c>
      <c r="F3756" s="26" t="str">
        <f>IFERROR(VLOOKUP(G3756,WholesaleExtract!B:J,6,FALSE),"")</f>
        <v/>
      </c>
      <c r="H3756" s="47" t="str">
        <f>IFERROR(VLOOKUP(G3756,WholesaleExtract!B:L,11,FALSE),"")</f>
        <v/>
      </c>
      <c r="I3756" s="26" t="str">
        <f>IFERROR(VLOOKUP(G3756,WholesaleExtract!B:O,8,FALSE),"")</f>
        <v/>
      </c>
      <c r="J3756" s="26" t="str">
        <f>IFERROR(VLOOKUP(G3756,WholesaleExtract!B:O,14,FALSE),"")</f>
        <v/>
      </c>
      <c r="K3756" s="26" t="str">
        <f>IFERROR(VLOOKUP(G3756,WholesaleExtract!B:K,10,FALSE),"")</f>
        <v/>
      </c>
      <c r="L3756" s="47" t="str">
        <f>IFERROR(VLOOKUP(G3756,WholesaleExtract!B:L,11,FALSE),"")</f>
        <v/>
      </c>
      <c r="M3756" s="47" t="str">
        <f>IFERROR(VLOOKUP(G3756,WholesaleExtract!B:M,12,FALSE),"")</f>
        <v/>
      </c>
      <c r="R3756" s="19"/>
      <c r="S3756" s="19"/>
    </row>
    <row r="3757" spans="1:19" x14ac:dyDescent="0.35">
      <c r="A3757" s="26" t="s">
        <v>543</v>
      </c>
      <c r="B3757" s="26" t="s">
        <v>543</v>
      </c>
      <c r="C3757" s="26"/>
      <c r="D3757" s="26" t="s">
        <v>543</v>
      </c>
      <c r="E3757" s="26" t="str">
        <f>IFERROR(VLOOKUP(G3757,WholesaleExtract!B:J,9,FALSE),"")</f>
        <v/>
      </c>
      <c r="F3757" s="26" t="str">
        <f>IFERROR(VLOOKUP(G3757,WholesaleExtract!B:J,6,FALSE),"")</f>
        <v/>
      </c>
      <c r="H3757" s="47" t="str">
        <f>IFERROR(VLOOKUP(G3757,WholesaleExtract!B:L,11,FALSE),"")</f>
        <v/>
      </c>
      <c r="I3757" s="26" t="str">
        <f>IFERROR(VLOOKUP(G3757,WholesaleExtract!B:O,8,FALSE),"")</f>
        <v/>
      </c>
      <c r="J3757" s="26" t="str">
        <f>IFERROR(VLOOKUP(G3757,WholesaleExtract!B:O,14,FALSE),"")</f>
        <v/>
      </c>
      <c r="K3757" s="26" t="str">
        <f>IFERROR(VLOOKUP(G3757,WholesaleExtract!B:K,10,FALSE),"")</f>
        <v/>
      </c>
      <c r="L3757" s="47" t="str">
        <f>IFERROR(VLOOKUP(G3757,WholesaleExtract!B:L,11,FALSE),"")</f>
        <v/>
      </c>
      <c r="M3757" s="47" t="str">
        <f>IFERROR(VLOOKUP(G3757,WholesaleExtract!B:M,12,FALSE),"")</f>
        <v/>
      </c>
      <c r="R3757" s="19"/>
      <c r="S3757" s="19"/>
    </row>
    <row r="3758" spans="1:19" x14ac:dyDescent="0.35">
      <c r="A3758" s="26" t="s">
        <v>543</v>
      </c>
      <c r="B3758" s="26" t="s">
        <v>543</v>
      </c>
      <c r="C3758" s="26"/>
      <c r="D3758" s="26" t="s">
        <v>543</v>
      </c>
      <c r="E3758" s="26" t="str">
        <f>IFERROR(VLOOKUP(G3758,WholesaleExtract!B:J,9,FALSE),"")</f>
        <v/>
      </c>
      <c r="F3758" s="26" t="str">
        <f>IFERROR(VLOOKUP(G3758,WholesaleExtract!B:J,6,FALSE),"")</f>
        <v/>
      </c>
      <c r="H3758" s="47" t="str">
        <f>IFERROR(VLOOKUP(G3758,WholesaleExtract!B:L,11,FALSE),"")</f>
        <v/>
      </c>
      <c r="I3758" s="26" t="str">
        <f>IFERROR(VLOOKUP(G3758,WholesaleExtract!B:O,8,FALSE),"")</f>
        <v/>
      </c>
      <c r="J3758" s="26" t="str">
        <f>IFERROR(VLOOKUP(G3758,WholesaleExtract!B:O,14,FALSE),"")</f>
        <v/>
      </c>
      <c r="K3758" s="26" t="str">
        <f>IFERROR(VLOOKUP(G3758,WholesaleExtract!B:K,10,FALSE),"")</f>
        <v/>
      </c>
      <c r="L3758" s="47" t="str">
        <f>IFERROR(VLOOKUP(G3758,WholesaleExtract!B:L,11,FALSE),"")</f>
        <v/>
      </c>
      <c r="M3758" s="47" t="str">
        <f>IFERROR(VLOOKUP(G3758,WholesaleExtract!B:M,12,FALSE),"")</f>
        <v/>
      </c>
      <c r="R3758" s="19"/>
      <c r="S3758" s="19"/>
    </row>
    <row r="3759" spans="1:19" x14ac:dyDescent="0.35">
      <c r="A3759" s="26" t="s">
        <v>543</v>
      </c>
      <c r="B3759" s="26" t="s">
        <v>543</v>
      </c>
      <c r="C3759" s="26"/>
      <c r="D3759" s="26" t="s">
        <v>543</v>
      </c>
      <c r="E3759" s="26" t="str">
        <f>IFERROR(VLOOKUP(G3759,WholesaleExtract!B:J,9,FALSE),"")</f>
        <v/>
      </c>
      <c r="F3759" s="26" t="str">
        <f>IFERROR(VLOOKUP(G3759,WholesaleExtract!B:J,6,FALSE),"")</f>
        <v/>
      </c>
      <c r="H3759" s="47" t="str">
        <f>IFERROR(VLOOKUP(G3759,WholesaleExtract!B:L,11,FALSE),"")</f>
        <v/>
      </c>
      <c r="I3759" s="26" t="str">
        <f>IFERROR(VLOOKUP(G3759,WholesaleExtract!B:O,8,FALSE),"")</f>
        <v/>
      </c>
      <c r="J3759" s="26" t="str">
        <f>IFERROR(VLOOKUP(G3759,WholesaleExtract!B:O,14,FALSE),"")</f>
        <v/>
      </c>
      <c r="K3759" s="26" t="str">
        <f>IFERROR(VLOOKUP(G3759,WholesaleExtract!B:K,10,FALSE),"")</f>
        <v/>
      </c>
      <c r="L3759" s="47" t="str">
        <f>IFERROR(VLOOKUP(G3759,WholesaleExtract!B:L,11,FALSE),"")</f>
        <v/>
      </c>
      <c r="M3759" s="47" t="str">
        <f>IFERROR(VLOOKUP(G3759,WholesaleExtract!B:M,12,FALSE),"")</f>
        <v/>
      </c>
      <c r="R3759" s="19"/>
      <c r="S3759" s="19"/>
    </row>
    <row r="3760" spans="1:19" x14ac:dyDescent="0.35">
      <c r="A3760" s="26" t="s">
        <v>543</v>
      </c>
      <c r="B3760" s="26" t="s">
        <v>543</v>
      </c>
      <c r="C3760" s="26"/>
      <c r="D3760" s="26" t="s">
        <v>543</v>
      </c>
      <c r="E3760" s="26" t="str">
        <f>IFERROR(VLOOKUP(G3760,WholesaleExtract!B:J,9,FALSE),"")</f>
        <v/>
      </c>
      <c r="F3760" s="26" t="str">
        <f>IFERROR(VLOOKUP(G3760,WholesaleExtract!B:J,6,FALSE),"")</f>
        <v/>
      </c>
      <c r="H3760" s="47" t="str">
        <f>IFERROR(VLOOKUP(G3760,WholesaleExtract!B:L,11,FALSE),"")</f>
        <v/>
      </c>
      <c r="I3760" s="26" t="str">
        <f>IFERROR(VLOOKUP(G3760,WholesaleExtract!B:O,8,FALSE),"")</f>
        <v/>
      </c>
      <c r="J3760" s="26" t="str">
        <f>IFERROR(VLOOKUP(G3760,WholesaleExtract!B:O,14,FALSE),"")</f>
        <v/>
      </c>
      <c r="K3760" s="26" t="str">
        <f>IFERROR(VLOOKUP(G3760,WholesaleExtract!B:K,10,FALSE),"")</f>
        <v/>
      </c>
      <c r="L3760" s="47" t="str">
        <f>IFERROR(VLOOKUP(G3760,WholesaleExtract!B:L,11,FALSE),"")</f>
        <v/>
      </c>
      <c r="M3760" s="47" t="str">
        <f>IFERROR(VLOOKUP(G3760,WholesaleExtract!B:M,12,FALSE),"")</f>
        <v/>
      </c>
      <c r="R3760" s="19"/>
      <c r="S3760" s="19"/>
    </row>
    <row r="3761" spans="1:19" x14ac:dyDescent="0.35">
      <c r="A3761" s="26" t="s">
        <v>543</v>
      </c>
      <c r="B3761" s="26" t="s">
        <v>543</v>
      </c>
      <c r="C3761" s="26"/>
      <c r="D3761" s="26" t="s">
        <v>543</v>
      </c>
      <c r="E3761" s="26" t="str">
        <f>IFERROR(VLOOKUP(G3761,WholesaleExtract!B:J,9,FALSE),"")</f>
        <v/>
      </c>
      <c r="F3761" s="26" t="str">
        <f>IFERROR(VLOOKUP(G3761,WholesaleExtract!B:J,6,FALSE),"")</f>
        <v/>
      </c>
      <c r="H3761" s="47" t="str">
        <f>IFERROR(VLOOKUP(G3761,WholesaleExtract!B:L,11,FALSE),"")</f>
        <v/>
      </c>
      <c r="I3761" s="26" t="str">
        <f>IFERROR(VLOOKUP(G3761,WholesaleExtract!B:O,8,FALSE),"")</f>
        <v/>
      </c>
      <c r="J3761" s="26" t="str">
        <f>IFERROR(VLOOKUP(G3761,WholesaleExtract!B:O,14,FALSE),"")</f>
        <v/>
      </c>
      <c r="K3761" s="26" t="str">
        <f>IFERROR(VLOOKUP(G3761,WholesaleExtract!B:K,10,FALSE),"")</f>
        <v/>
      </c>
      <c r="L3761" s="47" t="str">
        <f>IFERROR(VLOOKUP(G3761,WholesaleExtract!B:L,11,FALSE),"")</f>
        <v/>
      </c>
      <c r="M3761" s="47" t="str">
        <f>IFERROR(VLOOKUP(G3761,WholesaleExtract!B:M,12,FALSE),"")</f>
        <v/>
      </c>
      <c r="R3761" s="19"/>
      <c r="S3761" s="19"/>
    </row>
    <row r="3762" spans="1:19" x14ac:dyDescent="0.35">
      <c r="A3762" s="26" t="s">
        <v>543</v>
      </c>
      <c r="B3762" s="26" t="s">
        <v>543</v>
      </c>
      <c r="C3762" s="26"/>
      <c r="D3762" s="26" t="s">
        <v>543</v>
      </c>
      <c r="E3762" s="26" t="str">
        <f>IFERROR(VLOOKUP(G3762,WholesaleExtract!B:J,9,FALSE),"")</f>
        <v/>
      </c>
      <c r="F3762" s="26" t="str">
        <f>IFERROR(VLOOKUP(G3762,WholesaleExtract!B:J,6,FALSE),"")</f>
        <v/>
      </c>
      <c r="H3762" s="47" t="str">
        <f>IFERROR(VLOOKUP(G3762,WholesaleExtract!B:L,11,FALSE),"")</f>
        <v/>
      </c>
      <c r="I3762" s="26" t="str">
        <f>IFERROR(VLOOKUP(G3762,WholesaleExtract!B:O,8,FALSE),"")</f>
        <v/>
      </c>
      <c r="J3762" s="26" t="str">
        <f>IFERROR(VLOOKUP(G3762,WholesaleExtract!B:O,14,FALSE),"")</f>
        <v/>
      </c>
      <c r="K3762" s="26" t="str">
        <f>IFERROR(VLOOKUP(G3762,WholesaleExtract!B:K,10,FALSE),"")</f>
        <v/>
      </c>
      <c r="L3762" s="47" t="str">
        <f>IFERROR(VLOOKUP(G3762,WholesaleExtract!B:L,11,FALSE),"")</f>
        <v/>
      </c>
      <c r="M3762" s="47" t="str">
        <f>IFERROR(VLOOKUP(G3762,WholesaleExtract!B:M,12,FALSE),"")</f>
        <v/>
      </c>
      <c r="R3762" s="19"/>
      <c r="S3762" s="19"/>
    </row>
    <row r="3763" spans="1:19" x14ac:dyDescent="0.35">
      <c r="A3763" s="26" t="s">
        <v>543</v>
      </c>
      <c r="B3763" s="26" t="s">
        <v>543</v>
      </c>
      <c r="C3763" s="26"/>
      <c r="D3763" s="26" t="s">
        <v>543</v>
      </c>
      <c r="E3763" s="26" t="str">
        <f>IFERROR(VLOOKUP(G3763,WholesaleExtract!B:J,9,FALSE),"")</f>
        <v/>
      </c>
      <c r="F3763" s="26" t="str">
        <f>IFERROR(VLOOKUP(G3763,WholesaleExtract!B:J,6,FALSE),"")</f>
        <v/>
      </c>
      <c r="H3763" s="47" t="str">
        <f>IFERROR(VLOOKUP(G3763,WholesaleExtract!B:L,11,FALSE),"")</f>
        <v/>
      </c>
      <c r="I3763" s="26" t="str">
        <f>IFERROR(VLOOKUP(G3763,WholesaleExtract!B:O,8,FALSE),"")</f>
        <v/>
      </c>
      <c r="J3763" s="26" t="str">
        <f>IFERROR(VLOOKUP(G3763,WholesaleExtract!B:O,14,FALSE),"")</f>
        <v/>
      </c>
      <c r="K3763" s="26" t="str">
        <f>IFERROR(VLOOKUP(G3763,WholesaleExtract!B:K,10,FALSE),"")</f>
        <v/>
      </c>
      <c r="L3763" s="47" t="str">
        <f>IFERROR(VLOOKUP(G3763,WholesaleExtract!B:L,11,FALSE),"")</f>
        <v/>
      </c>
      <c r="M3763" s="47" t="str">
        <f>IFERROR(VLOOKUP(G3763,WholesaleExtract!B:M,12,FALSE),"")</f>
        <v/>
      </c>
      <c r="R3763" s="19"/>
      <c r="S3763" s="19"/>
    </row>
    <row r="3764" spans="1:19" x14ac:dyDescent="0.35">
      <c r="A3764" s="26" t="s">
        <v>543</v>
      </c>
      <c r="B3764" s="26" t="s">
        <v>543</v>
      </c>
      <c r="C3764" s="26"/>
      <c r="D3764" s="26" t="s">
        <v>543</v>
      </c>
      <c r="E3764" s="26" t="str">
        <f>IFERROR(VLOOKUP(G3764,WholesaleExtract!B:J,9,FALSE),"")</f>
        <v/>
      </c>
      <c r="F3764" s="26" t="str">
        <f>IFERROR(VLOOKUP(G3764,WholesaleExtract!B:J,6,FALSE),"")</f>
        <v/>
      </c>
      <c r="H3764" s="47" t="str">
        <f>IFERROR(VLOOKUP(G3764,WholesaleExtract!B:L,11,FALSE),"")</f>
        <v/>
      </c>
      <c r="I3764" s="26" t="str">
        <f>IFERROR(VLOOKUP(G3764,WholesaleExtract!B:O,8,FALSE),"")</f>
        <v/>
      </c>
      <c r="J3764" s="26" t="str">
        <f>IFERROR(VLOOKUP(G3764,WholesaleExtract!B:O,14,FALSE),"")</f>
        <v/>
      </c>
      <c r="K3764" s="26" t="str">
        <f>IFERROR(VLOOKUP(G3764,WholesaleExtract!B:K,10,FALSE),"")</f>
        <v/>
      </c>
      <c r="L3764" s="47" t="str">
        <f>IFERROR(VLOOKUP(G3764,WholesaleExtract!B:L,11,FALSE),"")</f>
        <v/>
      </c>
      <c r="M3764" s="47" t="str">
        <f>IFERROR(VLOOKUP(G3764,WholesaleExtract!B:M,12,FALSE),"")</f>
        <v/>
      </c>
      <c r="R3764" s="19"/>
      <c r="S3764" s="19"/>
    </row>
    <row r="3765" spans="1:19" x14ac:dyDescent="0.35">
      <c r="A3765" s="26" t="s">
        <v>543</v>
      </c>
      <c r="B3765" s="26" t="s">
        <v>543</v>
      </c>
      <c r="C3765" s="26"/>
      <c r="D3765" s="26" t="s">
        <v>543</v>
      </c>
      <c r="E3765" s="26" t="str">
        <f>IFERROR(VLOOKUP(G3765,WholesaleExtract!B:J,9,FALSE),"")</f>
        <v/>
      </c>
      <c r="F3765" s="26" t="str">
        <f>IFERROR(VLOOKUP(G3765,WholesaleExtract!B:J,6,FALSE),"")</f>
        <v/>
      </c>
      <c r="H3765" s="47" t="str">
        <f>IFERROR(VLOOKUP(G3765,WholesaleExtract!B:L,11,FALSE),"")</f>
        <v/>
      </c>
      <c r="I3765" s="26" t="str">
        <f>IFERROR(VLOOKUP(G3765,WholesaleExtract!B:O,8,FALSE),"")</f>
        <v/>
      </c>
      <c r="J3765" s="26" t="str">
        <f>IFERROR(VLOOKUP(G3765,WholesaleExtract!B:O,14,FALSE),"")</f>
        <v/>
      </c>
      <c r="K3765" s="26" t="str">
        <f>IFERROR(VLOOKUP(G3765,WholesaleExtract!B:K,10,FALSE),"")</f>
        <v/>
      </c>
      <c r="L3765" s="47" t="str">
        <f>IFERROR(VLOOKUP(G3765,WholesaleExtract!B:L,11,FALSE),"")</f>
        <v/>
      </c>
      <c r="M3765" s="47" t="str">
        <f>IFERROR(VLOOKUP(G3765,WholesaleExtract!B:M,12,FALSE),"")</f>
        <v/>
      </c>
      <c r="R3765" s="19"/>
      <c r="S3765" s="19"/>
    </row>
    <row r="3766" spans="1:19" x14ac:dyDescent="0.35">
      <c r="A3766" s="26" t="s">
        <v>543</v>
      </c>
      <c r="B3766" s="26" t="s">
        <v>543</v>
      </c>
      <c r="C3766" s="26"/>
      <c r="D3766" s="26" t="s">
        <v>543</v>
      </c>
      <c r="E3766" s="26" t="str">
        <f>IFERROR(VLOOKUP(G3766,WholesaleExtract!B:J,9,FALSE),"")</f>
        <v/>
      </c>
      <c r="F3766" s="26" t="str">
        <f>IFERROR(VLOOKUP(G3766,WholesaleExtract!B:J,6,FALSE),"")</f>
        <v/>
      </c>
      <c r="H3766" s="47" t="str">
        <f>IFERROR(VLOOKUP(G3766,WholesaleExtract!B:L,11,FALSE),"")</f>
        <v/>
      </c>
      <c r="I3766" s="26" t="str">
        <f>IFERROR(VLOOKUP(G3766,WholesaleExtract!B:O,8,FALSE),"")</f>
        <v/>
      </c>
      <c r="J3766" s="26" t="str">
        <f>IFERROR(VLOOKUP(G3766,WholesaleExtract!B:O,14,FALSE),"")</f>
        <v/>
      </c>
      <c r="K3766" s="26" t="str">
        <f>IFERROR(VLOOKUP(G3766,WholesaleExtract!B:K,10,FALSE),"")</f>
        <v/>
      </c>
      <c r="L3766" s="47" t="str">
        <f>IFERROR(VLOOKUP(G3766,WholesaleExtract!B:L,11,FALSE),"")</f>
        <v/>
      </c>
      <c r="M3766" s="47" t="str">
        <f>IFERROR(VLOOKUP(G3766,WholesaleExtract!B:M,12,FALSE),"")</f>
        <v/>
      </c>
      <c r="R3766" s="19"/>
      <c r="S3766" s="19"/>
    </row>
    <row r="3767" spans="1:19" x14ac:dyDescent="0.35">
      <c r="A3767" s="26" t="s">
        <v>543</v>
      </c>
      <c r="B3767" s="26" t="s">
        <v>543</v>
      </c>
      <c r="C3767" s="26"/>
      <c r="D3767" s="26" t="s">
        <v>543</v>
      </c>
      <c r="E3767" s="26" t="str">
        <f>IFERROR(VLOOKUP(G3767,WholesaleExtract!B:J,9,FALSE),"")</f>
        <v/>
      </c>
      <c r="F3767" s="26" t="str">
        <f>IFERROR(VLOOKUP(G3767,WholesaleExtract!B:J,6,FALSE),"")</f>
        <v/>
      </c>
      <c r="H3767" s="47" t="str">
        <f>IFERROR(VLOOKUP(G3767,WholesaleExtract!B:L,11,FALSE),"")</f>
        <v/>
      </c>
      <c r="I3767" s="26" t="str">
        <f>IFERROR(VLOOKUP(G3767,WholesaleExtract!B:O,8,FALSE),"")</f>
        <v/>
      </c>
      <c r="J3767" s="26" t="str">
        <f>IFERROR(VLOOKUP(G3767,WholesaleExtract!B:O,14,FALSE),"")</f>
        <v/>
      </c>
      <c r="K3767" s="26" t="str">
        <f>IFERROR(VLOOKUP(G3767,WholesaleExtract!B:K,10,FALSE),"")</f>
        <v/>
      </c>
      <c r="L3767" s="47" t="str">
        <f>IFERROR(VLOOKUP(G3767,WholesaleExtract!B:L,11,FALSE),"")</f>
        <v/>
      </c>
      <c r="M3767" s="47" t="str">
        <f>IFERROR(VLOOKUP(G3767,WholesaleExtract!B:M,12,FALSE),"")</f>
        <v/>
      </c>
      <c r="R3767" s="19"/>
      <c r="S3767" s="19"/>
    </row>
    <row r="3768" spans="1:19" x14ac:dyDescent="0.35">
      <c r="A3768" s="26" t="s">
        <v>543</v>
      </c>
      <c r="B3768" s="26" t="s">
        <v>543</v>
      </c>
      <c r="C3768" s="26"/>
      <c r="D3768" s="26" t="s">
        <v>543</v>
      </c>
      <c r="E3768" s="26" t="str">
        <f>IFERROR(VLOOKUP(G3768,WholesaleExtract!B:J,9,FALSE),"")</f>
        <v/>
      </c>
      <c r="F3768" s="26" t="str">
        <f>IFERROR(VLOOKUP(G3768,WholesaleExtract!B:J,6,FALSE),"")</f>
        <v/>
      </c>
      <c r="H3768" s="47" t="str">
        <f>IFERROR(VLOOKUP(G3768,WholesaleExtract!B:L,11,FALSE),"")</f>
        <v/>
      </c>
      <c r="I3768" s="26" t="str">
        <f>IFERROR(VLOOKUP(G3768,WholesaleExtract!B:O,8,FALSE),"")</f>
        <v/>
      </c>
      <c r="J3768" s="26" t="str">
        <f>IFERROR(VLOOKUP(G3768,WholesaleExtract!B:O,14,FALSE),"")</f>
        <v/>
      </c>
      <c r="K3768" s="26" t="str">
        <f>IFERROR(VLOOKUP(G3768,WholesaleExtract!B:K,10,FALSE),"")</f>
        <v/>
      </c>
      <c r="L3768" s="47" t="str">
        <f>IFERROR(VLOOKUP(G3768,WholesaleExtract!B:L,11,FALSE),"")</f>
        <v/>
      </c>
      <c r="M3768" s="47" t="str">
        <f>IFERROR(VLOOKUP(G3768,WholesaleExtract!B:M,12,FALSE),"")</f>
        <v/>
      </c>
      <c r="R3768" s="19"/>
      <c r="S3768" s="19"/>
    </row>
    <row r="3769" spans="1:19" x14ac:dyDescent="0.35">
      <c r="A3769" s="26" t="s">
        <v>543</v>
      </c>
      <c r="B3769" s="26" t="s">
        <v>543</v>
      </c>
      <c r="C3769" s="26"/>
      <c r="D3769" s="26" t="s">
        <v>543</v>
      </c>
      <c r="E3769" s="26" t="str">
        <f>IFERROR(VLOOKUP(G3769,WholesaleExtract!B:J,9,FALSE),"")</f>
        <v/>
      </c>
      <c r="F3769" s="26" t="str">
        <f>IFERROR(VLOOKUP(G3769,WholesaleExtract!B:J,6,FALSE),"")</f>
        <v/>
      </c>
      <c r="H3769" s="47" t="str">
        <f>IFERROR(VLOOKUP(G3769,WholesaleExtract!B:L,11,FALSE),"")</f>
        <v/>
      </c>
      <c r="I3769" s="26" t="str">
        <f>IFERROR(VLOOKUP(G3769,WholesaleExtract!B:O,8,FALSE),"")</f>
        <v/>
      </c>
      <c r="J3769" s="26" t="str">
        <f>IFERROR(VLOOKUP(G3769,WholesaleExtract!B:O,14,FALSE),"")</f>
        <v/>
      </c>
      <c r="K3769" s="26" t="str">
        <f>IFERROR(VLOOKUP(G3769,WholesaleExtract!B:K,10,FALSE),"")</f>
        <v/>
      </c>
      <c r="L3769" s="47" t="str">
        <f>IFERROR(VLOOKUP(G3769,WholesaleExtract!B:L,11,FALSE),"")</f>
        <v/>
      </c>
      <c r="M3769" s="47" t="str">
        <f>IFERROR(VLOOKUP(G3769,WholesaleExtract!B:M,12,FALSE),"")</f>
        <v/>
      </c>
      <c r="R3769" s="19"/>
      <c r="S3769" s="19"/>
    </row>
    <row r="3770" spans="1:19" x14ac:dyDescent="0.35">
      <c r="A3770" s="26" t="s">
        <v>543</v>
      </c>
      <c r="B3770" s="26" t="s">
        <v>543</v>
      </c>
      <c r="C3770" s="26"/>
      <c r="D3770" s="26" t="s">
        <v>543</v>
      </c>
      <c r="E3770" s="26" t="str">
        <f>IFERROR(VLOOKUP(G3770,WholesaleExtract!B:J,9,FALSE),"")</f>
        <v/>
      </c>
      <c r="F3770" s="26" t="str">
        <f>IFERROR(VLOOKUP(G3770,WholesaleExtract!B:J,6,FALSE),"")</f>
        <v/>
      </c>
      <c r="H3770" s="47" t="str">
        <f>IFERROR(VLOOKUP(G3770,WholesaleExtract!B:L,11,FALSE),"")</f>
        <v/>
      </c>
      <c r="I3770" s="26" t="str">
        <f>IFERROR(VLOOKUP(G3770,WholesaleExtract!B:O,8,FALSE),"")</f>
        <v/>
      </c>
      <c r="J3770" s="26" t="str">
        <f>IFERROR(VLOOKUP(G3770,WholesaleExtract!B:O,14,FALSE),"")</f>
        <v/>
      </c>
      <c r="K3770" s="26" t="str">
        <f>IFERROR(VLOOKUP(G3770,WholesaleExtract!B:K,10,FALSE),"")</f>
        <v/>
      </c>
      <c r="L3770" s="47" t="str">
        <f>IFERROR(VLOOKUP(G3770,WholesaleExtract!B:L,11,FALSE),"")</f>
        <v/>
      </c>
      <c r="M3770" s="47" t="str">
        <f>IFERROR(VLOOKUP(G3770,WholesaleExtract!B:M,12,FALSE),"")</f>
        <v/>
      </c>
      <c r="R3770" s="19"/>
      <c r="S3770" s="19"/>
    </row>
    <row r="3771" spans="1:19" x14ac:dyDescent="0.35">
      <c r="A3771" s="26" t="s">
        <v>543</v>
      </c>
      <c r="B3771" s="26" t="s">
        <v>543</v>
      </c>
      <c r="C3771" s="26"/>
      <c r="D3771" s="26" t="s">
        <v>543</v>
      </c>
      <c r="E3771" s="26" t="str">
        <f>IFERROR(VLOOKUP(G3771,WholesaleExtract!B:J,9,FALSE),"")</f>
        <v/>
      </c>
      <c r="F3771" s="26" t="str">
        <f>IFERROR(VLOOKUP(G3771,WholesaleExtract!B:J,6,FALSE),"")</f>
        <v/>
      </c>
      <c r="H3771" s="47" t="str">
        <f>IFERROR(VLOOKUP(G3771,WholesaleExtract!B:L,11,FALSE),"")</f>
        <v/>
      </c>
      <c r="I3771" s="26" t="str">
        <f>IFERROR(VLOOKUP(G3771,WholesaleExtract!B:O,8,FALSE),"")</f>
        <v/>
      </c>
      <c r="J3771" s="26" t="str">
        <f>IFERROR(VLOOKUP(G3771,WholesaleExtract!B:O,14,FALSE),"")</f>
        <v/>
      </c>
      <c r="K3771" s="26" t="str">
        <f>IFERROR(VLOOKUP(G3771,WholesaleExtract!B:K,10,FALSE),"")</f>
        <v/>
      </c>
      <c r="L3771" s="47" t="str">
        <f>IFERROR(VLOOKUP(G3771,WholesaleExtract!B:L,11,FALSE),"")</f>
        <v/>
      </c>
      <c r="M3771" s="47" t="str">
        <f>IFERROR(VLOOKUP(G3771,WholesaleExtract!B:M,12,FALSE),"")</f>
        <v/>
      </c>
      <c r="R3771" s="19"/>
      <c r="S3771" s="19"/>
    </row>
    <row r="3772" spans="1:19" x14ac:dyDescent="0.35">
      <c r="A3772" s="26" t="s">
        <v>543</v>
      </c>
      <c r="B3772" s="26" t="s">
        <v>543</v>
      </c>
      <c r="C3772" s="26"/>
      <c r="D3772" s="26" t="s">
        <v>543</v>
      </c>
      <c r="E3772" s="26" t="str">
        <f>IFERROR(VLOOKUP(G3772,WholesaleExtract!B:J,9,FALSE),"")</f>
        <v/>
      </c>
      <c r="F3772" s="26" t="str">
        <f>IFERROR(VLOOKUP(G3772,WholesaleExtract!B:J,6,FALSE),"")</f>
        <v/>
      </c>
      <c r="H3772" s="47" t="str">
        <f>IFERROR(VLOOKUP(G3772,WholesaleExtract!B:L,11,FALSE),"")</f>
        <v/>
      </c>
      <c r="I3772" s="26" t="str">
        <f>IFERROR(VLOOKUP(G3772,WholesaleExtract!B:O,8,FALSE),"")</f>
        <v/>
      </c>
      <c r="J3772" s="26" t="str">
        <f>IFERROR(VLOOKUP(G3772,WholesaleExtract!B:O,14,FALSE),"")</f>
        <v/>
      </c>
      <c r="K3772" s="26" t="str">
        <f>IFERROR(VLOOKUP(G3772,WholesaleExtract!B:K,10,FALSE),"")</f>
        <v/>
      </c>
      <c r="L3772" s="47" t="str">
        <f>IFERROR(VLOOKUP(G3772,WholesaleExtract!B:L,11,FALSE),"")</f>
        <v/>
      </c>
      <c r="M3772" s="47" t="str">
        <f>IFERROR(VLOOKUP(G3772,WholesaleExtract!B:M,12,FALSE),"")</f>
        <v/>
      </c>
      <c r="R3772" s="19"/>
      <c r="S3772" s="19"/>
    </row>
    <row r="3773" spans="1:19" x14ac:dyDescent="0.35">
      <c r="A3773" s="26" t="s">
        <v>543</v>
      </c>
      <c r="B3773" s="26" t="s">
        <v>543</v>
      </c>
      <c r="C3773" s="26"/>
      <c r="D3773" s="26" t="s">
        <v>543</v>
      </c>
      <c r="E3773" s="26" t="str">
        <f>IFERROR(VLOOKUP(G3773,WholesaleExtract!B:J,9,FALSE),"")</f>
        <v/>
      </c>
      <c r="F3773" s="26" t="str">
        <f>IFERROR(VLOOKUP(G3773,WholesaleExtract!B:J,6,FALSE),"")</f>
        <v/>
      </c>
      <c r="H3773" s="47" t="str">
        <f>IFERROR(VLOOKUP(G3773,WholesaleExtract!B:L,11,FALSE),"")</f>
        <v/>
      </c>
      <c r="I3773" s="26" t="str">
        <f>IFERROR(VLOOKUP(G3773,WholesaleExtract!B:O,8,FALSE),"")</f>
        <v/>
      </c>
      <c r="J3773" s="26" t="str">
        <f>IFERROR(VLOOKUP(G3773,WholesaleExtract!B:O,14,FALSE),"")</f>
        <v/>
      </c>
      <c r="K3773" s="26" t="str">
        <f>IFERROR(VLOOKUP(G3773,WholesaleExtract!B:K,10,FALSE),"")</f>
        <v/>
      </c>
      <c r="L3773" s="47" t="str">
        <f>IFERROR(VLOOKUP(G3773,WholesaleExtract!B:L,11,FALSE),"")</f>
        <v/>
      </c>
      <c r="M3773" s="47" t="str">
        <f>IFERROR(VLOOKUP(G3773,WholesaleExtract!B:M,12,FALSE),"")</f>
        <v/>
      </c>
      <c r="R3773" s="19"/>
      <c r="S3773" s="19"/>
    </row>
    <row r="3774" spans="1:19" x14ac:dyDescent="0.35">
      <c r="A3774" s="26" t="s">
        <v>543</v>
      </c>
      <c r="B3774" s="26" t="s">
        <v>543</v>
      </c>
      <c r="C3774" s="26"/>
      <c r="D3774" s="26" t="s">
        <v>543</v>
      </c>
      <c r="E3774" s="26" t="str">
        <f>IFERROR(VLOOKUP(G3774,WholesaleExtract!B:J,9,FALSE),"")</f>
        <v/>
      </c>
      <c r="F3774" s="26" t="str">
        <f>IFERROR(VLOOKUP(G3774,WholesaleExtract!B:J,6,FALSE),"")</f>
        <v/>
      </c>
      <c r="H3774" s="47" t="str">
        <f>IFERROR(VLOOKUP(G3774,WholesaleExtract!B:L,11,FALSE),"")</f>
        <v/>
      </c>
      <c r="I3774" s="26" t="str">
        <f>IFERROR(VLOOKUP(G3774,WholesaleExtract!B:O,8,FALSE),"")</f>
        <v/>
      </c>
      <c r="J3774" s="26" t="str">
        <f>IFERROR(VLOOKUP(G3774,WholesaleExtract!B:O,14,FALSE),"")</f>
        <v/>
      </c>
      <c r="K3774" s="26" t="str">
        <f>IFERROR(VLOOKUP(G3774,WholesaleExtract!B:K,10,FALSE),"")</f>
        <v/>
      </c>
      <c r="L3774" s="47" t="str">
        <f>IFERROR(VLOOKUP(G3774,WholesaleExtract!B:L,11,FALSE),"")</f>
        <v/>
      </c>
      <c r="M3774" s="47" t="str">
        <f>IFERROR(VLOOKUP(G3774,WholesaleExtract!B:M,12,FALSE),"")</f>
        <v/>
      </c>
      <c r="R3774" s="19"/>
      <c r="S3774" s="19"/>
    </row>
    <row r="3775" spans="1:19" x14ac:dyDescent="0.35">
      <c r="A3775" s="26" t="s">
        <v>543</v>
      </c>
      <c r="B3775" s="26" t="s">
        <v>543</v>
      </c>
      <c r="C3775" s="26"/>
      <c r="D3775" s="26" t="s">
        <v>543</v>
      </c>
      <c r="E3775" s="26" t="str">
        <f>IFERROR(VLOOKUP(G3775,WholesaleExtract!B:J,9,FALSE),"")</f>
        <v/>
      </c>
      <c r="F3775" s="26" t="str">
        <f>IFERROR(VLOOKUP(G3775,WholesaleExtract!B:J,6,FALSE),"")</f>
        <v/>
      </c>
      <c r="H3775" s="47" t="str">
        <f>IFERROR(VLOOKUP(G3775,WholesaleExtract!B:L,11,FALSE),"")</f>
        <v/>
      </c>
      <c r="I3775" s="26" t="str">
        <f>IFERROR(VLOOKUP(G3775,WholesaleExtract!B:O,8,FALSE),"")</f>
        <v/>
      </c>
      <c r="J3775" s="26" t="str">
        <f>IFERROR(VLOOKUP(G3775,WholesaleExtract!B:O,14,FALSE),"")</f>
        <v/>
      </c>
      <c r="K3775" s="26" t="str">
        <f>IFERROR(VLOOKUP(G3775,WholesaleExtract!B:K,10,FALSE),"")</f>
        <v/>
      </c>
      <c r="L3775" s="47" t="str">
        <f>IFERROR(VLOOKUP(G3775,WholesaleExtract!B:L,11,FALSE),"")</f>
        <v/>
      </c>
      <c r="M3775" s="47" t="str">
        <f>IFERROR(VLOOKUP(G3775,WholesaleExtract!B:M,12,FALSE),"")</f>
        <v/>
      </c>
      <c r="R3775" s="19"/>
      <c r="S3775" s="19"/>
    </row>
    <row r="3776" spans="1:19" x14ac:dyDescent="0.35">
      <c r="A3776" s="26" t="s">
        <v>543</v>
      </c>
      <c r="B3776" s="26" t="s">
        <v>543</v>
      </c>
      <c r="C3776" s="26"/>
      <c r="D3776" s="26" t="s">
        <v>543</v>
      </c>
      <c r="E3776" s="26" t="str">
        <f>IFERROR(VLOOKUP(G3776,WholesaleExtract!B:J,9,FALSE),"")</f>
        <v/>
      </c>
      <c r="F3776" s="26" t="str">
        <f>IFERROR(VLOOKUP(G3776,WholesaleExtract!B:J,6,FALSE),"")</f>
        <v/>
      </c>
      <c r="H3776" s="47" t="str">
        <f>IFERROR(VLOOKUP(G3776,WholesaleExtract!B:L,11,FALSE),"")</f>
        <v/>
      </c>
      <c r="I3776" s="26" t="str">
        <f>IFERROR(VLOOKUP(G3776,WholesaleExtract!B:O,8,FALSE),"")</f>
        <v/>
      </c>
      <c r="J3776" s="26" t="str">
        <f>IFERROR(VLOOKUP(G3776,WholesaleExtract!B:O,14,FALSE),"")</f>
        <v/>
      </c>
      <c r="K3776" s="26" t="str">
        <f>IFERROR(VLOOKUP(G3776,WholesaleExtract!B:K,10,FALSE),"")</f>
        <v/>
      </c>
      <c r="L3776" s="47" t="str">
        <f>IFERROR(VLOOKUP(G3776,WholesaleExtract!B:L,11,FALSE),"")</f>
        <v/>
      </c>
      <c r="M3776" s="47" t="str">
        <f>IFERROR(VLOOKUP(G3776,WholesaleExtract!B:M,12,FALSE),"")</f>
        <v/>
      </c>
      <c r="R3776" s="19"/>
      <c r="S3776" s="19"/>
    </row>
    <row r="3777" spans="1:19" x14ac:dyDescent="0.35">
      <c r="A3777" s="26" t="s">
        <v>543</v>
      </c>
      <c r="B3777" s="26" t="s">
        <v>543</v>
      </c>
      <c r="C3777" s="26"/>
      <c r="D3777" s="26" t="s">
        <v>543</v>
      </c>
      <c r="E3777" s="26" t="str">
        <f>IFERROR(VLOOKUP(G3777,WholesaleExtract!B:J,9,FALSE),"")</f>
        <v/>
      </c>
      <c r="F3777" s="26" t="str">
        <f>IFERROR(VLOOKUP(G3777,WholesaleExtract!B:J,6,FALSE),"")</f>
        <v/>
      </c>
      <c r="H3777" s="47" t="str">
        <f>IFERROR(VLOOKUP(G3777,WholesaleExtract!B:L,11,FALSE),"")</f>
        <v/>
      </c>
      <c r="I3777" s="26" t="str">
        <f>IFERROR(VLOOKUP(G3777,WholesaleExtract!B:O,8,FALSE),"")</f>
        <v/>
      </c>
      <c r="J3777" s="26" t="str">
        <f>IFERROR(VLOOKUP(G3777,WholesaleExtract!B:O,14,FALSE),"")</f>
        <v/>
      </c>
      <c r="K3777" s="26" t="str">
        <f>IFERROR(VLOOKUP(G3777,WholesaleExtract!B:K,10,FALSE),"")</f>
        <v/>
      </c>
      <c r="L3777" s="47" t="str">
        <f>IFERROR(VLOOKUP(G3777,WholesaleExtract!B:L,11,FALSE),"")</f>
        <v/>
      </c>
      <c r="M3777" s="47" t="str">
        <f>IFERROR(VLOOKUP(G3777,WholesaleExtract!B:M,12,FALSE),"")</f>
        <v/>
      </c>
      <c r="R3777" s="19"/>
      <c r="S3777" s="19"/>
    </row>
    <row r="3778" spans="1:19" x14ac:dyDescent="0.35">
      <c r="A3778" s="26" t="s">
        <v>543</v>
      </c>
      <c r="B3778" s="26" t="s">
        <v>543</v>
      </c>
      <c r="C3778" s="26"/>
      <c r="D3778" s="26" t="s">
        <v>543</v>
      </c>
      <c r="E3778" s="26" t="str">
        <f>IFERROR(VLOOKUP(G3778,WholesaleExtract!B:J,9,FALSE),"")</f>
        <v/>
      </c>
      <c r="F3778" s="26" t="str">
        <f>IFERROR(VLOOKUP(G3778,WholesaleExtract!B:J,6,FALSE),"")</f>
        <v/>
      </c>
      <c r="H3778" s="47" t="str">
        <f>IFERROR(VLOOKUP(G3778,WholesaleExtract!B:L,11,FALSE),"")</f>
        <v/>
      </c>
      <c r="I3778" s="26" t="str">
        <f>IFERROR(VLOOKUP(G3778,WholesaleExtract!B:O,8,FALSE),"")</f>
        <v/>
      </c>
      <c r="J3778" s="26" t="str">
        <f>IFERROR(VLOOKUP(G3778,WholesaleExtract!B:O,14,FALSE),"")</f>
        <v/>
      </c>
      <c r="K3778" s="26" t="str">
        <f>IFERROR(VLOOKUP(G3778,WholesaleExtract!B:K,10,FALSE),"")</f>
        <v/>
      </c>
      <c r="L3778" s="47" t="str">
        <f>IFERROR(VLOOKUP(G3778,WholesaleExtract!B:L,11,FALSE),"")</f>
        <v/>
      </c>
      <c r="M3778" s="47" t="str">
        <f>IFERROR(VLOOKUP(G3778,WholesaleExtract!B:M,12,FALSE),"")</f>
        <v/>
      </c>
      <c r="R3778" s="19"/>
      <c r="S3778" s="19"/>
    </row>
    <row r="3779" spans="1:19" x14ac:dyDescent="0.35">
      <c r="A3779" s="26" t="s">
        <v>543</v>
      </c>
      <c r="B3779" s="26" t="s">
        <v>543</v>
      </c>
      <c r="C3779" s="26"/>
      <c r="D3779" s="26" t="s">
        <v>543</v>
      </c>
      <c r="E3779" s="26" t="str">
        <f>IFERROR(VLOOKUP(G3779,WholesaleExtract!B:J,9,FALSE),"")</f>
        <v/>
      </c>
      <c r="F3779" s="26" t="str">
        <f>IFERROR(VLOOKUP(G3779,WholesaleExtract!B:J,6,FALSE),"")</f>
        <v/>
      </c>
      <c r="H3779" s="47" t="str">
        <f>IFERROR(VLOOKUP(G3779,WholesaleExtract!B:L,11,FALSE),"")</f>
        <v/>
      </c>
      <c r="I3779" s="26" t="str">
        <f>IFERROR(VLOOKUP(G3779,WholesaleExtract!B:O,8,FALSE),"")</f>
        <v/>
      </c>
      <c r="J3779" s="26" t="str">
        <f>IFERROR(VLOOKUP(G3779,WholesaleExtract!B:O,14,FALSE),"")</f>
        <v/>
      </c>
      <c r="K3779" s="26" t="str">
        <f>IFERROR(VLOOKUP(G3779,WholesaleExtract!B:K,10,FALSE),"")</f>
        <v/>
      </c>
      <c r="L3779" s="47" t="str">
        <f>IFERROR(VLOOKUP(G3779,WholesaleExtract!B:L,11,FALSE),"")</f>
        <v/>
      </c>
      <c r="M3779" s="47" t="str">
        <f>IFERROR(VLOOKUP(G3779,WholesaleExtract!B:M,12,FALSE),"")</f>
        <v/>
      </c>
      <c r="R3779" s="19"/>
      <c r="S3779" s="19"/>
    </row>
    <row r="3780" spans="1:19" x14ac:dyDescent="0.35">
      <c r="A3780" s="26" t="s">
        <v>543</v>
      </c>
      <c r="B3780" s="26" t="s">
        <v>543</v>
      </c>
      <c r="C3780" s="26"/>
      <c r="D3780" s="26" t="s">
        <v>543</v>
      </c>
      <c r="E3780" s="26" t="str">
        <f>IFERROR(VLOOKUP(G3780,WholesaleExtract!B:J,9,FALSE),"")</f>
        <v/>
      </c>
      <c r="F3780" s="26" t="str">
        <f>IFERROR(VLOOKUP(G3780,WholesaleExtract!B:J,6,FALSE),"")</f>
        <v/>
      </c>
      <c r="H3780" s="47" t="str">
        <f>IFERROR(VLOOKUP(G3780,WholesaleExtract!B:L,11,FALSE),"")</f>
        <v/>
      </c>
      <c r="I3780" s="26" t="str">
        <f>IFERROR(VLOOKUP(G3780,WholesaleExtract!B:O,8,FALSE),"")</f>
        <v/>
      </c>
      <c r="J3780" s="26" t="str">
        <f>IFERROR(VLOOKUP(G3780,WholesaleExtract!B:O,14,FALSE),"")</f>
        <v/>
      </c>
      <c r="K3780" s="26" t="str">
        <f>IFERROR(VLOOKUP(G3780,WholesaleExtract!B:K,10,FALSE),"")</f>
        <v/>
      </c>
      <c r="L3780" s="47" t="str">
        <f>IFERROR(VLOOKUP(G3780,WholesaleExtract!B:L,11,FALSE),"")</f>
        <v/>
      </c>
      <c r="M3780" s="47" t="str">
        <f>IFERROR(VLOOKUP(G3780,WholesaleExtract!B:M,12,FALSE),"")</f>
        <v/>
      </c>
      <c r="R3780" s="19"/>
      <c r="S3780" s="19"/>
    </row>
    <row r="3781" spans="1:19" x14ac:dyDescent="0.35">
      <c r="A3781" s="26" t="s">
        <v>543</v>
      </c>
      <c r="B3781" s="26" t="s">
        <v>543</v>
      </c>
      <c r="C3781" s="26"/>
      <c r="D3781" s="26" t="s">
        <v>543</v>
      </c>
      <c r="E3781" s="26" t="str">
        <f>IFERROR(VLOOKUP(G3781,WholesaleExtract!B:J,9,FALSE),"")</f>
        <v/>
      </c>
      <c r="F3781" s="26" t="str">
        <f>IFERROR(VLOOKUP(G3781,WholesaleExtract!B:J,6,FALSE),"")</f>
        <v/>
      </c>
      <c r="H3781" s="47" t="str">
        <f>IFERROR(VLOOKUP(G3781,WholesaleExtract!B:L,11,FALSE),"")</f>
        <v/>
      </c>
      <c r="I3781" s="26" t="str">
        <f>IFERROR(VLOOKUP(G3781,WholesaleExtract!B:O,8,FALSE),"")</f>
        <v/>
      </c>
      <c r="J3781" s="26" t="str">
        <f>IFERROR(VLOOKUP(G3781,WholesaleExtract!B:O,14,FALSE),"")</f>
        <v/>
      </c>
      <c r="K3781" s="26" t="str">
        <f>IFERROR(VLOOKUP(G3781,WholesaleExtract!B:K,10,FALSE),"")</f>
        <v/>
      </c>
      <c r="L3781" s="47" t="str">
        <f>IFERROR(VLOOKUP(G3781,WholesaleExtract!B:L,11,FALSE),"")</f>
        <v/>
      </c>
      <c r="M3781" s="47" t="str">
        <f>IFERROR(VLOOKUP(G3781,WholesaleExtract!B:M,12,FALSE),"")</f>
        <v/>
      </c>
      <c r="R3781" s="19"/>
      <c r="S3781" s="19"/>
    </row>
    <row r="3782" spans="1:19" x14ac:dyDescent="0.35">
      <c r="A3782" s="26" t="s">
        <v>543</v>
      </c>
      <c r="B3782" s="26" t="s">
        <v>543</v>
      </c>
      <c r="C3782" s="26"/>
      <c r="D3782" s="26" t="s">
        <v>543</v>
      </c>
      <c r="E3782" s="26" t="str">
        <f>IFERROR(VLOOKUP(G3782,WholesaleExtract!B:J,9,FALSE),"")</f>
        <v/>
      </c>
      <c r="F3782" s="26" t="str">
        <f>IFERROR(VLOOKUP(G3782,WholesaleExtract!B:J,6,FALSE),"")</f>
        <v/>
      </c>
      <c r="H3782" s="47" t="str">
        <f>IFERROR(VLOOKUP(G3782,WholesaleExtract!B:L,11,FALSE),"")</f>
        <v/>
      </c>
      <c r="I3782" s="26" t="str">
        <f>IFERROR(VLOOKUP(G3782,WholesaleExtract!B:O,8,FALSE),"")</f>
        <v/>
      </c>
      <c r="J3782" s="26" t="str">
        <f>IFERROR(VLOOKUP(G3782,WholesaleExtract!B:O,14,FALSE),"")</f>
        <v/>
      </c>
      <c r="K3782" s="26" t="str">
        <f>IFERROR(VLOOKUP(G3782,WholesaleExtract!B:K,10,FALSE),"")</f>
        <v/>
      </c>
      <c r="L3782" s="47" t="str">
        <f>IFERROR(VLOOKUP(G3782,WholesaleExtract!B:L,11,FALSE),"")</f>
        <v/>
      </c>
      <c r="M3782" s="47" t="str">
        <f>IFERROR(VLOOKUP(G3782,WholesaleExtract!B:M,12,FALSE),"")</f>
        <v/>
      </c>
      <c r="R3782" s="19"/>
      <c r="S3782" s="19"/>
    </row>
    <row r="3783" spans="1:19" x14ac:dyDescent="0.35">
      <c r="A3783" s="26" t="s">
        <v>543</v>
      </c>
      <c r="B3783" s="26" t="s">
        <v>543</v>
      </c>
      <c r="C3783" s="26"/>
      <c r="D3783" s="26" t="s">
        <v>543</v>
      </c>
      <c r="E3783" s="26" t="str">
        <f>IFERROR(VLOOKUP(G3783,WholesaleExtract!B:J,9,FALSE),"")</f>
        <v/>
      </c>
      <c r="F3783" s="26" t="str">
        <f>IFERROR(VLOOKUP(G3783,WholesaleExtract!B:J,6,FALSE),"")</f>
        <v/>
      </c>
      <c r="H3783" s="47" t="str">
        <f>IFERROR(VLOOKUP(G3783,WholesaleExtract!B:L,11,FALSE),"")</f>
        <v/>
      </c>
      <c r="I3783" s="26" t="str">
        <f>IFERROR(VLOOKUP(G3783,WholesaleExtract!B:O,8,FALSE),"")</f>
        <v/>
      </c>
      <c r="J3783" s="26" t="str">
        <f>IFERROR(VLOOKUP(G3783,WholesaleExtract!B:O,14,FALSE),"")</f>
        <v/>
      </c>
      <c r="K3783" s="26" t="str">
        <f>IFERROR(VLOOKUP(G3783,WholesaleExtract!B:K,10,FALSE),"")</f>
        <v/>
      </c>
      <c r="L3783" s="47" t="str">
        <f>IFERROR(VLOOKUP(G3783,WholesaleExtract!B:L,11,FALSE),"")</f>
        <v/>
      </c>
      <c r="M3783" s="47" t="str">
        <f>IFERROR(VLOOKUP(G3783,WholesaleExtract!B:M,12,FALSE),"")</f>
        <v/>
      </c>
      <c r="R3783" s="19"/>
      <c r="S3783" s="19"/>
    </row>
    <row r="3784" spans="1:19" x14ac:dyDescent="0.35">
      <c r="A3784" s="26" t="s">
        <v>543</v>
      </c>
      <c r="B3784" s="26" t="s">
        <v>543</v>
      </c>
      <c r="C3784" s="26"/>
      <c r="D3784" s="26" t="s">
        <v>543</v>
      </c>
      <c r="E3784" s="26" t="str">
        <f>IFERROR(VLOOKUP(G3784,WholesaleExtract!B:J,9,FALSE),"")</f>
        <v/>
      </c>
      <c r="F3784" s="26" t="str">
        <f>IFERROR(VLOOKUP(G3784,WholesaleExtract!B:J,6,FALSE),"")</f>
        <v/>
      </c>
      <c r="H3784" s="47" t="str">
        <f>IFERROR(VLOOKUP(G3784,WholesaleExtract!B:L,11,FALSE),"")</f>
        <v/>
      </c>
      <c r="I3784" s="26" t="str">
        <f>IFERROR(VLOOKUP(G3784,WholesaleExtract!B:O,8,FALSE),"")</f>
        <v/>
      </c>
      <c r="J3784" s="26" t="str">
        <f>IFERROR(VLOOKUP(G3784,WholesaleExtract!B:O,14,FALSE),"")</f>
        <v/>
      </c>
      <c r="K3784" s="26" t="str">
        <f>IFERROR(VLOOKUP(G3784,WholesaleExtract!B:K,10,FALSE),"")</f>
        <v/>
      </c>
      <c r="L3784" s="47" t="str">
        <f>IFERROR(VLOOKUP(G3784,WholesaleExtract!B:L,11,FALSE),"")</f>
        <v/>
      </c>
      <c r="M3784" s="47" t="str">
        <f>IFERROR(VLOOKUP(G3784,WholesaleExtract!B:M,12,FALSE),"")</f>
        <v/>
      </c>
      <c r="R3784" s="19"/>
      <c r="S3784" s="19"/>
    </row>
    <row r="3785" spans="1:19" x14ac:dyDescent="0.35">
      <c r="A3785" s="26" t="s">
        <v>543</v>
      </c>
      <c r="B3785" s="26" t="s">
        <v>543</v>
      </c>
      <c r="C3785" s="26"/>
      <c r="D3785" s="26" t="s">
        <v>543</v>
      </c>
      <c r="E3785" s="26" t="str">
        <f>IFERROR(VLOOKUP(G3785,WholesaleExtract!B:J,9,FALSE),"")</f>
        <v/>
      </c>
      <c r="F3785" s="26" t="str">
        <f>IFERROR(VLOOKUP(G3785,WholesaleExtract!B:J,6,FALSE),"")</f>
        <v/>
      </c>
      <c r="H3785" s="47" t="str">
        <f>IFERROR(VLOOKUP(G3785,WholesaleExtract!B:L,11,FALSE),"")</f>
        <v/>
      </c>
      <c r="I3785" s="26" t="str">
        <f>IFERROR(VLOOKUP(G3785,WholesaleExtract!B:O,8,FALSE),"")</f>
        <v/>
      </c>
      <c r="J3785" s="26" t="str">
        <f>IFERROR(VLOOKUP(G3785,WholesaleExtract!B:O,14,FALSE),"")</f>
        <v/>
      </c>
      <c r="K3785" s="26" t="str">
        <f>IFERROR(VLOOKUP(G3785,WholesaleExtract!B:K,10,FALSE),"")</f>
        <v/>
      </c>
      <c r="L3785" s="47" t="str">
        <f>IFERROR(VLOOKUP(G3785,WholesaleExtract!B:L,11,FALSE),"")</f>
        <v/>
      </c>
      <c r="M3785" s="47" t="str">
        <f>IFERROR(VLOOKUP(G3785,WholesaleExtract!B:M,12,FALSE),"")</f>
        <v/>
      </c>
      <c r="R3785" s="19"/>
      <c r="S3785" s="19"/>
    </row>
    <row r="3786" spans="1:19" x14ac:dyDescent="0.35">
      <c r="A3786" s="26" t="s">
        <v>543</v>
      </c>
      <c r="B3786" s="26" t="s">
        <v>543</v>
      </c>
      <c r="C3786" s="26"/>
      <c r="D3786" s="26" t="s">
        <v>543</v>
      </c>
      <c r="E3786" s="26" t="str">
        <f>IFERROR(VLOOKUP(G3786,WholesaleExtract!B:J,9,FALSE),"")</f>
        <v/>
      </c>
      <c r="F3786" s="26" t="str">
        <f>IFERROR(VLOOKUP(G3786,WholesaleExtract!B:J,6,FALSE),"")</f>
        <v/>
      </c>
      <c r="H3786" s="47" t="str">
        <f>IFERROR(VLOOKUP(G3786,WholesaleExtract!B:L,11,FALSE),"")</f>
        <v/>
      </c>
      <c r="I3786" s="26" t="str">
        <f>IFERROR(VLOOKUP(G3786,WholesaleExtract!B:O,8,FALSE),"")</f>
        <v/>
      </c>
      <c r="J3786" s="26" t="str">
        <f>IFERROR(VLOOKUP(G3786,WholesaleExtract!B:O,14,FALSE),"")</f>
        <v/>
      </c>
      <c r="K3786" s="26" t="str">
        <f>IFERROR(VLOOKUP(G3786,WholesaleExtract!B:K,10,FALSE),"")</f>
        <v/>
      </c>
      <c r="L3786" s="47" t="str">
        <f>IFERROR(VLOOKUP(G3786,WholesaleExtract!B:L,11,FALSE),"")</f>
        <v/>
      </c>
      <c r="M3786" s="47" t="str">
        <f>IFERROR(VLOOKUP(G3786,WholesaleExtract!B:M,12,FALSE),"")</f>
        <v/>
      </c>
      <c r="R3786" s="19"/>
      <c r="S3786" s="19"/>
    </row>
    <row r="3787" spans="1:19" x14ac:dyDescent="0.35">
      <c r="A3787" s="26" t="s">
        <v>543</v>
      </c>
      <c r="B3787" s="26" t="s">
        <v>543</v>
      </c>
      <c r="C3787" s="26"/>
      <c r="D3787" s="26" t="s">
        <v>543</v>
      </c>
      <c r="E3787" s="26" t="str">
        <f>IFERROR(VLOOKUP(G3787,WholesaleExtract!B:J,9,FALSE),"")</f>
        <v/>
      </c>
      <c r="F3787" s="26" t="str">
        <f>IFERROR(VLOOKUP(G3787,WholesaleExtract!B:J,6,FALSE),"")</f>
        <v/>
      </c>
      <c r="H3787" s="47" t="str">
        <f>IFERROR(VLOOKUP(G3787,WholesaleExtract!B:L,11,FALSE),"")</f>
        <v/>
      </c>
      <c r="I3787" s="26" t="str">
        <f>IFERROR(VLOOKUP(G3787,WholesaleExtract!B:O,8,FALSE),"")</f>
        <v/>
      </c>
      <c r="J3787" s="26" t="str">
        <f>IFERROR(VLOOKUP(G3787,WholesaleExtract!B:O,14,FALSE),"")</f>
        <v/>
      </c>
      <c r="K3787" s="26" t="str">
        <f>IFERROR(VLOOKUP(G3787,WholesaleExtract!B:K,10,FALSE),"")</f>
        <v/>
      </c>
      <c r="L3787" s="47" t="str">
        <f>IFERROR(VLOOKUP(G3787,WholesaleExtract!B:L,11,FALSE),"")</f>
        <v/>
      </c>
      <c r="M3787" s="47" t="str">
        <f>IFERROR(VLOOKUP(G3787,WholesaleExtract!B:M,12,FALSE),"")</f>
        <v/>
      </c>
      <c r="R3787" s="19"/>
      <c r="S3787" s="19"/>
    </row>
    <row r="3788" spans="1:19" x14ac:dyDescent="0.35">
      <c r="A3788" s="26" t="s">
        <v>543</v>
      </c>
      <c r="B3788" s="26" t="s">
        <v>543</v>
      </c>
      <c r="C3788" s="26"/>
      <c r="D3788" s="26" t="s">
        <v>543</v>
      </c>
      <c r="E3788" s="26" t="str">
        <f>IFERROR(VLOOKUP(G3788,WholesaleExtract!B:J,9,FALSE),"")</f>
        <v/>
      </c>
      <c r="F3788" s="26" t="str">
        <f>IFERROR(VLOOKUP(G3788,WholesaleExtract!B:J,6,FALSE),"")</f>
        <v/>
      </c>
      <c r="H3788" s="47" t="str">
        <f>IFERROR(VLOOKUP(G3788,WholesaleExtract!B:L,11,FALSE),"")</f>
        <v/>
      </c>
      <c r="I3788" s="26" t="str">
        <f>IFERROR(VLOOKUP(G3788,WholesaleExtract!B:O,8,FALSE),"")</f>
        <v/>
      </c>
      <c r="J3788" s="26" t="str">
        <f>IFERROR(VLOOKUP(G3788,WholesaleExtract!B:O,14,FALSE),"")</f>
        <v/>
      </c>
      <c r="K3788" s="26" t="str">
        <f>IFERROR(VLOOKUP(G3788,WholesaleExtract!B:K,10,FALSE),"")</f>
        <v/>
      </c>
      <c r="L3788" s="47" t="str">
        <f>IFERROR(VLOOKUP(G3788,WholesaleExtract!B:L,11,FALSE),"")</f>
        <v/>
      </c>
      <c r="M3788" s="47" t="str">
        <f>IFERROR(VLOOKUP(G3788,WholesaleExtract!B:M,12,FALSE),"")</f>
        <v/>
      </c>
      <c r="R3788" s="19"/>
      <c r="S3788" s="19"/>
    </row>
    <row r="3789" spans="1:19" x14ac:dyDescent="0.35">
      <c r="A3789" s="26" t="s">
        <v>543</v>
      </c>
      <c r="B3789" s="26" t="s">
        <v>543</v>
      </c>
      <c r="C3789" s="26"/>
      <c r="D3789" s="26" t="s">
        <v>543</v>
      </c>
      <c r="E3789" s="26" t="str">
        <f>IFERROR(VLOOKUP(G3789,WholesaleExtract!B:J,9,FALSE),"")</f>
        <v/>
      </c>
      <c r="F3789" s="26" t="str">
        <f>IFERROR(VLOOKUP(G3789,WholesaleExtract!B:J,6,FALSE),"")</f>
        <v/>
      </c>
      <c r="H3789" s="47" t="str">
        <f>IFERROR(VLOOKUP(G3789,WholesaleExtract!B:L,11,FALSE),"")</f>
        <v/>
      </c>
      <c r="I3789" s="26" t="str">
        <f>IFERROR(VLOOKUP(G3789,WholesaleExtract!B:O,8,FALSE),"")</f>
        <v/>
      </c>
      <c r="J3789" s="26" t="str">
        <f>IFERROR(VLOOKUP(G3789,WholesaleExtract!B:O,14,FALSE),"")</f>
        <v/>
      </c>
      <c r="K3789" s="26" t="str">
        <f>IFERROR(VLOOKUP(G3789,WholesaleExtract!B:K,10,FALSE),"")</f>
        <v/>
      </c>
      <c r="L3789" s="47" t="str">
        <f>IFERROR(VLOOKUP(G3789,WholesaleExtract!B:L,11,FALSE),"")</f>
        <v/>
      </c>
      <c r="M3789" s="47" t="str">
        <f>IFERROR(VLOOKUP(G3789,WholesaleExtract!B:M,12,FALSE),"")</f>
        <v/>
      </c>
      <c r="R3789" s="19"/>
      <c r="S3789" s="19"/>
    </row>
    <row r="3790" spans="1:19" x14ac:dyDescent="0.35">
      <c r="A3790" s="26" t="s">
        <v>543</v>
      </c>
      <c r="B3790" s="26" t="s">
        <v>543</v>
      </c>
      <c r="C3790" s="26"/>
      <c r="D3790" s="26" t="s">
        <v>543</v>
      </c>
      <c r="E3790" s="26" t="str">
        <f>IFERROR(VLOOKUP(G3790,WholesaleExtract!B:J,9,FALSE),"")</f>
        <v/>
      </c>
      <c r="F3790" s="26" t="str">
        <f>IFERROR(VLOOKUP(G3790,WholesaleExtract!B:J,6,FALSE),"")</f>
        <v/>
      </c>
      <c r="H3790" s="47" t="str">
        <f>IFERROR(VLOOKUP(G3790,WholesaleExtract!B:L,11,FALSE),"")</f>
        <v/>
      </c>
      <c r="I3790" s="26" t="str">
        <f>IFERROR(VLOOKUP(G3790,WholesaleExtract!B:O,8,FALSE),"")</f>
        <v/>
      </c>
      <c r="J3790" s="26" t="str">
        <f>IFERROR(VLOOKUP(G3790,WholesaleExtract!B:O,14,FALSE),"")</f>
        <v/>
      </c>
      <c r="K3790" s="26" t="str">
        <f>IFERROR(VLOOKUP(G3790,WholesaleExtract!B:K,10,FALSE),"")</f>
        <v/>
      </c>
      <c r="L3790" s="47" t="str">
        <f>IFERROR(VLOOKUP(G3790,WholesaleExtract!B:L,11,FALSE),"")</f>
        <v/>
      </c>
      <c r="M3790" s="47" t="str">
        <f>IFERROR(VLOOKUP(G3790,WholesaleExtract!B:M,12,FALSE),"")</f>
        <v/>
      </c>
      <c r="R3790" s="19"/>
      <c r="S3790" s="19"/>
    </row>
    <row r="3791" spans="1:19" x14ac:dyDescent="0.35">
      <c r="A3791" s="26" t="s">
        <v>543</v>
      </c>
      <c r="B3791" s="26" t="s">
        <v>543</v>
      </c>
      <c r="C3791" s="26"/>
      <c r="D3791" s="26" t="s">
        <v>543</v>
      </c>
      <c r="E3791" s="26" t="str">
        <f>IFERROR(VLOOKUP(G3791,WholesaleExtract!B:J,9,FALSE),"")</f>
        <v/>
      </c>
      <c r="F3791" s="26" t="str">
        <f>IFERROR(VLOOKUP(G3791,WholesaleExtract!B:J,6,FALSE),"")</f>
        <v/>
      </c>
      <c r="H3791" s="47" t="str">
        <f>IFERROR(VLOOKUP(G3791,WholesaleExtract!B:L,11,FALSE),"")</f>
        <v/>
      </c>
      <c r="I3791" s="26" t="str">
        <f>IFERROR(VLOOKUP(G3791,WholesaleExtract!B:O,8,FALSE),"")</f>
        <v/>
      </c>
      <c r="J3791" s="26" t="str">
        <f>IFERROR(VLOOKUP(G3791,WholesaleExtract!B:O,14,FALSE),"")</f>
        <v/>
      </c>
      <c r="K3791" s="26" t="str">
        <f>IFERROR(VLOOKUP(G3791,WholesaleExtract!B:K,10,FALSE),"")</f>
        <v/>
      </c>
      <c r="L3791" s="47" t="str">
        <f>IFERROR(VLOOKUP(G3791,WholesaleExtract!B:L,11,FALSE),"")</f>
        <v/>
      </c>
      <c r="M3791" s="47" t="str">
        <f>IFERROR(VLOOKUP(G3791,WholesaleExtract!B:M,12,FALSE),"")</f>
        <v/>
      </c>
      <c r="R3791" s="19"/>
      <c r="S3791" s="19"/>
    </row>
    <row r="3792" spans="1:19" x14ac:dyDescent="0.35">
      <c r="A3792" s="26" t="s">
        <v>543</v>
      </c>
      <c r="B3792" s="26" t="s">
        <v>543</v>
      </c>
      <c r="C3792" s="26"/>
      <c r="D3792" s="26" t="s">
        <v>543</v>
      </c>
      <c r="E3792" s="26" t="str">
        <f>IFERROR(VLOOKUP(G3792,WholesaleExtract!B:J,9,FALSE),"")</f>
        <v/>
      </c>
      <c r="F3792" s="26" t="str">
        <f>IFERROR(VLOOKUP(G3792,WholesaleExtract!B:J,6,FALSE),"")</f>
        <v/>
      </c>
      <c r="H3792" s="47" t="str">
        <f>IFERROR(VLOOKUP(G3792,WholesaleExtract!B:L,11,FALSE),"")</f>
        <v/>
      </c>
      <c r="I3792" s="26" t="str">
        <f>IFERROR(VLOOKUP(G3792,WholesaleExtract!B:O,8,FALSE),"")</f>
        <v/>
      </c>
      <c r="J3792" s="26" t="str">
        <f>IFERROR(VLOOKUP(G3792,WholesaleExtract!B:O,14,FALSE),"")</f>
        <v/>
      </c>
      <c r="K3792" s="26" t="str">
        <f>IFERROR(VLOOKUP(G3792,WholesaleExtract!B:K,10,FALSE),"")</f>
        <v/>
      </c>
      <c r="L3792" s="47" t="str">
        <f>IFERROR(VLOOKUP(G3792,WholesaleExtract!B:L,11,FALSE),"")</f>
        <v/>
      </c>
      <c r="M3792" s="47" t="str">
        <f>IFERROR(VLOOKUP(G3792,WholesaleExtract!B:M,12,FALSE),"")</f>
        <v/>
      </c>
      <c r="R3792" s="19"/>
      <c r="S3792" s="19"/>
    </row>
    <row r="3793" spans="1:19" x14ac:dyDescent="0.35">
      <c r="A3793" s="26" t="s">
        <v>543</v>
      </c>
      <c r="B3793" s="26" t="s">
        <v>543</v>
      </c>
      <c r="C3793" s="26"/>
      <c r="D3793" s="26" t="s">
        <v>543</v>
      </c>
      <c r="E3793" s="26" t="str">
        <f>IFERROR(VLOOKUP(G3793,WholesaleExtract!B:J,9,FALSE),"")</f>
        <v/>
      </c>
      <c r="F3793" s="26" t="str">
        <f>IFERROR(VLOOKUP(G3793,WholesaleExtract!B:J,6,FALSE),"")</f>
        <v/>
      </c>
      <c r="H3793" s="47" t="str">
        <f>IFERROR(VLOOKUP(G3793,WholesaleExtract!B:L,11,FALSE),"")</f>
        <v/>
      </c>
      <c r="I3793" s="26" t="str">
        <f>IFERROR(VLOOKUP(G3793,WholesaleExtract!B:O,8,FALSE),"")</f>
        <v/>
      </c>
      <c r="J3793" s="26" t="str">
        <f>IFERROR(VLOOKUP(G3793,WholesaleExtract!B:O,14,FALSE),"")</f>
        <v/>
      </c>
      <c r="K3793" s="26" t="str">
        <f>IFERROR(VLOOKUP(G3793,WholesaleExtract!B:K,10,FALSE),"")</f>
        <v/>
      </c>
      <c r="L3793" s="47" t="str">
        <f>IFERROR(VLOOKUP(G3793,WholesaleExtract!B:L,11,FALSE),"")</f>
        <v/>
      </c>
      <c r="M3793" s="47" t="str">
        <f>IFERROR(VLOOKUP(G3793,WholesaleExtract!B:M,12,FALSE),"")</f>
        <v/>
      </c>
      <c r="R3793" s="19"/>
      <c r="S3793" s="19"/>
    </row>
    <row r="3794" spans="1:19" x14ac:dyDescent="0.35">
      <c r="A3794" s="26" t="s">
        <v>543</v>
      </c>
      <c r="B3794" s="26" t="s">
        <v>543</v>
      </c>
      <c r="C3794" s="26"/>
      <c r="D3794" s="26" t="s">
        <v>543</v>
      </c>
      <c r="E3794" s="26" t="str">
        <f>IFERROR(VLOOKUP(G3794,WholesaleExtract!B:J,9,FALSE),"")</f>
        <v/>
      </c>
      <c r="F3794" s="26" t="str">
        <f>IFERROR(VLOOKUP(G3794,WholesaleExtract!B:J,6,FALSE),"")</f>
        <v/>
      </c>
      <c r="H3794" s="47" t="str">
        <f>IFERROR(VLOOKUP(G3794,WholesaleExtract!B:L,11,FALSE),"")</f>
        <v/>
      </c>
      <c r="I3794" s="26" t="str">
        <f>IFERROR(VLOOKUP(G3794,WholesaleExtract!B:O,8,FALSE),"")</f>
        <v/>
      </c>
      <c r="J3794" s="26" t="str">
        <f>IFERROR(VLOOKUP(G3794,WholesaleExtract!B:O,14,FALSE),"")</f>
        <v/>
      </c>
      <c r="K3794" s="26" t="str">
        <f>IFERROR(VLOOKUP(G3794,WholesaleExtract!B:K,10,FALSE),"")</f>
        <v/>
      </c>
      <c r="L3794" s="47" t="str">
        <f>IFERROR(VLOOKUP(G3794,WholesaleExtract!B:L,11,FALSE),"")</f>
        <v/>
      </c>
      <c r="M3794" s="47" t="str">
        <f>IFERROR(VLOOKUP(G3794,WholesaleExtract!B:M,12,FALSE),"")</f>
        <v/>
      </c>
      <c r="R3794" s="19"/>
      <c r="S3794" s="19"/>
    </row>
    <row r="3795" spans="1:19" x14ac:dyDescent="0.35">
      <c r="A3795" s="26" t="s">
        <v>543</v>
      </c>
      <c r="B3795" s="26" t="s">
        <v>543</v>
      </c>
      <c r="C3795" s="26"/>
      <c r="D3795" s="26" t="s">
        <v>543</v>
      </c>
      <c r="E3795" s="26" t="str">
        <f>IFERROR(VLOOKUP(G3795,WholesaleExtract!B:J,9,FALSE),"")</f>
        <v/>
      </c>
      <c r="F3795" s="26" t="str">
        <f>IFERROR(VLOOKUP(G3795,WholesaleExtract!B:J,6,FALSE),"")</f>
        <v/>
      </c>
      <c r="H3795" s="47" t="str">
        <f>IFERROR(VLOOKUP(G3795,WholesaleExtract!B:L,11,FALSE),"")</f>
        <v/>
      </c>
      <c r="I3795" s="26" t="str">
        <f>IFERROR(VLOOKUP(G3795,WholesaleExtract!B:O,8,FALSE),"")</f>
        <v/>
      </c>
      <c r="J3795" s="26" t="str">
        <f>IFERROR(VLOOKUP(G3795,WholesaleExtract!B:O,14,FALSE),"")</f>
        <v/>
      </c>
      <c r="K3795" s="26" t="str">
        <f>IFERROR(VLOOKUP(G3795,WholesaleExtract!B:K,10,FALSE),"")</f>
        <v/>
      </c>
      <c r="L3795" s="47" t="str">
        <f>IFERROR(VLOOKUP(G3795,WholesaleExtract!B:L,11,FALSE),"")</f>
        <v/>
      </c>
      <c r="M3795" s="47" t="str">
        <f>IFERROR(VLOOKUP(G3795,WholesaleExtract!B:M,12,FALSE),"")</f>
        <v/>
      </c>
      <c r="R3795" s="19"/>
      <c r="S3795" s="19"/>
    </row>
    <row r="3796" spans="1:19" x14ac:dyDescent="0.35">
      <c r="A3796" s="26" t="s">
        <v>543</v>
      </c>
      <c r="B3796" s="26" t="s">
        <v>543</v>
      </c>
      <c r="C3796" s="26"/>
      <c r="D3796" s="26" t="s">
        <v>543</v>
      </c>
      <c r="E3796" s="26" t="str">
        <f>IFERROR(VLOOKUP(G3796,WholesaleExtract!B:J,9,FALSE),"")</f>
        <v/>
      </c>
      <c r="F3796" s="26" t="str">
        <f>IFERROR(VLOOKUP(G3796,WholesaleExtract!B:J,6,FALSE),"")</f>
        <v/>
      </c>
      <c r="H3796" s="47" t="str">
        <f>IFERROR(VLOOKUP(G3796,WholesaleExtract!B:L,11,FALSE),"")</f>
        <v/>
      </c>
      <c r="I3796" s="26" t="str">
        <f>IFERROR(VLOOKUP(G3796,WholesaleExtract!B:O,8,FALSE),"")</f>
        <v/>
      </c>
      <c r="J3796" s="26" t="str">
        <f>IFERROR(VLOOKUP(G3796,WholesaleExtract!B:O,14,FALSE),"")</f>
        <v/>
      </c>
      <c r="K3796" s="26" t="str">
        <f>IFERROR(VLOOKUP(G3796,WholesaleExtract!B:K,10,FALSE),"")</f>
        <v/>
      </c>
      <c r="L3796" s="47" t="str">
        <f>IFERROR(VLOOKUP(G3796,WholesaleExtract!B:L,11,FALSE),"")</f>
        <v/>
      </c>
      <c r="M3796" s="47" t="str">
        <f>IFERROR(VLOOKUP(G3796,WholesaleExtract!B:M,12,FALSE),"")</f>
        <v/>
      </c>
      <c r="R3796" s="19"/>
      <c r="S3796" s="19"/>
    </row>
    <row r="3797" spans="1:19" x14ac:dyDescent="0.35">
      <c r="A3797" s="26" t="s">
        <v>543</v>
      </c>
      <c r="B3797" s="26" t="s">
        <v>543</v>
      </c>
      <c r="C3797" s="26"/>
      <c r="D3797" s="26" t="s">
        <v>543</v>
      </c>
      <c r="E3797" s="26" t="str">
        <f>IFERROR(VLOOKUP(G3797,WholesaleExtract!B:J,9,FALSE),"")</f>
        <v/>
      </c>
      <c r="F3797" s="26" t="str">
        <f>IFERROR(VLOOKUP(G3797,WholesaleExtract!B:J,6,FALSE),"")</f>
        <v/>
      </c>
      <c r="H3797" s="47" t="str">
        <f>IFERROR(VLOOKUP(G3797,WholesaleExtract!B:L,11,FALSE),"")</f>
        <v/>
      </c>
      <c r="I3797" s="26" t="str">
        <f>IFERROR(VLOOKUP(G3797,WholesaleExtract!B:O,8,FALSE),"")</f>
        <v/>
      </c>
      <c r="J3797" s="26" t="str">
        <f>IFERROR(VLOOKUP(G3797,WholesaleExtract!B:O,14,FALSE),"")</f>
        <v/>
      </c>
      <c r="K3797" s="26" t="str">
        <f>IFERROR(VLOOKUP(G3797,WholesaleExtract!B:K,10,FALSE),"")</f>
        <v/>
      </c>
      <c r="L3797" s="47" t="str">
        <f>IFERROR(VLOOKUP(G3797,WholesaleExtract!B:L,11,FALSE),"")</f>
        <v/>
      </c>
      <c r="M3797" s="47" t="str">
        <f>IFERROR(VLOOKUP(G3797,WholesaleExtract!B:M,12,FALSE),"")</f>
        <v/>
      </c>
      <c r="R3797" s="19"/>
      <c r="S3797" s="19"/>
    </row>
    <row r="3798" spans="1:19" x14ac:dyDescent="0.35">
      <c r="A3798" s="26" t="s">
        <v>543</v>
      </c>
      <c r="B3798" s="26" t="s">
        <v>543</v>
      </c>
      <c r="C3798" s="26"/>
      <c r="D3798" s="26" t="s">
        <v>543</v>
      </c>
      <c r="E3798" s="26" t="str">
        <f>IFERROR(VLOOKUP(G3798,WholesaleExtract!B:J,9,FALSE),"")</f>
        <v/>
      </c>
      <c r="F3798" s="26" t="str">
        <f>IFERROR(VLOOKUP(G3798,WholesaleExtract!B:J,6,FALSE),"")</f>
        <v/>
      </c>
      <c r="H3798" s="47" t="str">
        <f>IFERROR(VLOOKUP(G3798,WholesaleExtract!B:L,11,FALSE),"")</f>
        <v/>
      </c>
      <c r="I3798" s="26" t="str">
        <f>IFERROR(VLOOKUP(G3798,WholesaleExtract!B:O,8,FALSE),"")</f>
        <v/>
      </c>
      <c r="J3798" s="26" t="str">
        <f>IFERROR(VLOOKUP(G3798,WholesaleExtract!B:O,14,FALSE),"")</f>
        <v/>
      </c>
      <c r="K3798" s="26" t="str">
        <f>IFERROR(VLOOKUP(G3798,WholesaleExtract!B:K,10,FALSE),"")</f>
        <v/>
      </c>
      <c r="L3798" s="47" t="str">
        <f>IFERROR(VLOOKUP(G3798,WholesaleExtract!B:L,11,FALSE),"")</f>
        <v/>
      </c>
      <c r="M3798" s="47" t="str">
        <f>IFERROR(VLOOKUP(G3798,WholesaleExtract!B:M,12,FALSE),"")</f>
        <v/>
      </c>
      <c r="R3798" s="19"/>
      <c r="S3798" s="19"/>
    </row>
    <row r="3799" spans="1:19" x14ac:dyDescent="0.35">
      <c r="A3799" s="26" t="s">
        <v>543</v>
      </c>
      <c r="B3799" s="26" t="s">
        <v>543</v>
      </c>
      <c r="C3799" s="26"/>
      <c r="D3799" s="26" t="s">
        <v>543</v>
      </c>
      <c r="E3799" s="26" t="str">
        <f>IFERROR(VLOOKUP(G3799,WholesaleExtract!B:J,9,FALSE),"")</f>
        <v/>
      </c>
      <c r="F3799" s="26" t="str">
        <f>IFERROR(VLOOKUP(G3799,WholesaleExtract!B:J,6,FALSE),"")</f>
        <v/>
      </c>
      <c r="H3799" s="47" t="str">
        <f>IFERROR(VLOOKUP(G3799,WholesaleExtract!B:L,11,FALSE),"")</f>
        <v/>
      </c>
      <c r="I3799" s="26" t="str">
        <f>IFERROR(VLOOKUP(G3799,WholesaleExtract!B:O,8,FALSE),"")</f>
        <v/>
      </c>
      <c r="J3799" s="26" t="str">
        <f>IFERROR(VLOOKUP(G3799,WholesaleExtract!B:O,14,FALSE),"")</f>
        <v/>
      </c>
      <c r="K3799" s="26" t="str">
        <f>IFERROR(VLOOKUP(G3799,WholesaleExtract!B:K,10,FALSE),"")</f>
        <v/>
      </c>
      <c r="L3799" s="47" t="str">
        <f>IFERROR(VLOOKUP(G3799,WholesaleExtract!B:L,11,FALSE),"")</f>
        <v/>
      </c>
      <c r="M3799" s="47" t="str">
        <f>IFERROR(VLOOKUP(G3799,WholesaleExtract!B:M,12,FALSE),"")</f>
        <v/>
      </c>
      <c r="R3799" s="19"/>
      <c r="S3799" s="19"/>
    </row>
    <row r="3800" spans="1:19" x14ac:dyDescent="0.35">
      <c r="A3800" s="26" t="s">
        <v>543</v>
      </c>
      <c r="B3800" s="26" t="s">
        <v>543</v>
      </c>
      <c r="C3800" s="26"/>
      <c r="D3800" s="26" t="s">
        <v>543</v>
      </c>
      <c r="E3800" s="26" t="str">
        <f>IFERROR(VLOOKUP(G3800,WholesaleExtract!B:J,9,FALSE),"")</f>
        <v/>
      </c>
      <c r="F3800" s="26" t="str">
        <f>IFERROR(VLOOKUP(G3800,WholesaleExtract!B:J,6,FALSE),"")</f>
        <v/>
      </c>
      <c r="H3800" s="47" t="str">
        <f>IFERROR(VLOOKUP(G3800,WholesaleExtract!B:L,11,FALSE),"")</f>
        <v/>
      </c>
      <c r="I3800" s="26" t="str">
        <f>IFERROR(VLOOKUP(G3800,WholesaleExtract!B:O,8,FALSE),"")</f>
        <v/>
      </c>
      <c r="J3800" s="26" t="str">
        <f>IFERROR(VLOOKUP(G3800,WholesaleExtract!B:O,14,FALSE),"")</f>
        <v/>
      </c>
      <c r="K3800" s="26" t="str">
        <f>IFERROR(VLOOKUP(G3800,WholesaleExtract!B:K,10,FALSE),"")</f>
        <v/>
      </c>
      <c r="L3800" s="47" t="str">
        <f>IFERROR(VLOOKUP(G3800,WholesaleExtract!B:L,11,FALSE),"")</f>
        <v/>
      </c>
      <c r="M3800" s="47" t="str">
        <f>IFERROR(VLOOKUP(G3800,WholesaleExtract!B:M,12,FALSE),"")</f>
        <v/>
      </c>
      <c r="R3800" s="19"/>
      <c r="S3800" s="19"/>
    </row>
    <row r="3801" spans="1:19" x14ac:dyDescent="0.35">
      <c r="A3801" s="26" t="s">
        <v>543</v>
      </c>
      <c r="B3801" s="26" t="s">
        <v>543</v>
      </c>
      <c r="C3801" s="26"/>
      <c r="D3801" s="26" t="s">
        <v>543</v>
      </c>
      <c r="E3801" s="26" t="str">
        <f>IFERROR(VLOOKUP(G3801,WholesaleExtract!B:J,9,FALSE),"")</f>
        <v/>
      </c>
      <c r="F3801" s="26" t="str">
        <f>IFERROR(VLOOKUP(G3801,WholesaleExtract!B:J,6,FALSE),"")</f>
        <v/>
      </c>
      <c r="H3801" s="47" t="str">
        <f>IFERROR(VLOOKUP(G3801,WholesaleExtract!B:L,11,FALSE),"")</f>
        <v/>
      </c>
      <c r="I3801" s="26" t="str">
        <f>IFERROR(VLOOKUP(G3801,WholesaleExtract!B:O,8,FALSE),"")</f>
        <v/>
      </c>
      <c r="J3801" s="26" t="str">
        <f>IFERROR(VLOOKUP(G3801,WholesaleExtract!B:O,14,FALSE),"")</f>
        <v/>
      </c>
      <c r="K3801" s="26" t="str">
        <f>IFERROR(VLOOKUP(G3801,WholesaleExtract!B:K,10,FALSE),"")</f>
        <v/>
      </c>
      <c r="L3801" s="47" t="str">
        <f>IFERROR(VLOOKUP(G3801,WholesaleExtract!B:L,11,FALSE),"")</f>
        <v/>
      </c>
      <c r="M3801" s="47" t="str">
        <f>IFERROR(VLOOKUP(G3801,WholesaleExtract!B:M,12,FALSE),"")</f>
        <v/>
      </c>
      <c r="R3801" s="19"/>
      <c r="S3801" s="19"/>
    </row>
    <row r="3802" spans="1:19" x14ac:dyDescent="0.35">
      <c r="A3802" s="26" t="s">
        <v>543</v>
      </c>
      <c r="B3802" s="26" t="s">
        <v>543</v>
      </c>
      <c r="C3802" s="26"/>
      <c r="D3802" s="26" t="s">
        <v>543</v>
      </c>
      <c r="E3802" s="26" t="str">
        <f>IFERROR(VLOOKUP(G3802,WholesaleExtract!B:J,9,FALSE),"")</f>
        <v/>
      </c>
      <c r="F3802" s="26" t="str">
        <f>IFERROR(VLOOKUP(G3802,WholesaleExtract!B:J,6,FALSE),"")</f>
        <v/>
      </c>
      <c r="H3802" s="47" t="str">
        <f>IFERROR(VLOOKUP(G3802,WholesaleExtract!B:L,11,FALSE),"")</f>
        <v/>
      </c>
      <c r="I3802" s="26" t="str">
        <f>IFERROR(VLOOKUP(G3802,WholesaleExtract!B:O,8,FALSE),"")</f>
        <v/>
      </c>
      <c r="J3802" s="26" t="str">
        <f>IFERROR(VLOOKUP(G3802,WholesaleExtract!B:O,14,FALSE),"")</f>
        <v/>
      </c>
      <c r="K3802" s="26" t="str">
        <f>IFERROR(VLOOKUP(G3802,WholesaleExtract!B:K,10,FALSE),"")</f>
        <v/>
      </c>
      <c r="L3802" s="47" t="str">
        <f>IFERROR(VLOOKUP(G3802,WholesaleExtract!B:L,11,FALSE),"")</f>
        <v/>
      </c>
      <c r="M3802" s="47" t="str">
        <f>IFERROR(VLOOKUP(G3802,WholesaleExtract!B:M,12,FALSE),"")</f>
        <v/>
      </c>
      <c r="R3802" s="19"/>
      <c r="S3802" s="19"/>
    </row>
    <row r="3803" spans="1:19" x14ac:dyDescent="0.35">
      <c r="A3803" s="26" t="s">
        <v>543</v>
      </c>
      <c r="B3803" s="26" t="s">
        <v>543</v>
      </c>
      <c r="C3803" s="26"/>
      <c r="D3803" s="26" t="s">
        <v>543</v>
      </c>
      <c r="E3803" s="26" t="str">
        <f>IFERROR(VLOOKUP(G3803,WholesaleExtract!B:J,9,FALSE),"")</f>
        <v/>
      </c>
      <c r="F3803" s="26" t="str">
        <f>IFERROR(VLOOKUP(G3803,WholesaleExtract!B:J,6,FALSE),"")</f>
        <v/>
      </c>
      <c r="H3803" s="47" t="str">
        <f>IFERROR(VLOOKUP(G3803,WholesaleExtract!B:L,11,FALSE),"")</f>
        <v/>
      </c>
      <c r="I3803" s="26" t="str">
        <f>IFERROR(VLOOKUP(G3803,WholesaleExtract!B:O,8,FALSE),"")</f>
        <v/>
      </c>
      <c r="J3803" s="26" t="str">
        <f>IFERROR(VLOOKUP(G3803,WholesaleExtract!B:O,14,FALSE),"")</f>
        <v/>
      </c>
      <c r="K3803" s="26" t="str">
        <f>IFERROR(VLOOKUP(G3803,WholesaleExtract!B:K,10,FALSE),"")</f>
        <v/>
      </c>
      <c r="L3803" s="47" t="str">
        <f>IFERROR(VLOOKUP(G3803,WholesaleExtract!B:L,11,FALSE),"")</f>
        <v/>
      </c>
      <c r="M3803" s="47" t="str">
        <f>IFERROR(VLOOKUP(G3803,WholesaleExtract!B:M,12,FALSE),"")</f>
        <v/>
      </c>
      <c r="R3803" s="19"/>
      <c r="S3803" s="19"/>
    </row>
    <row r="3804" spans="1:19" x14ac:dyDescent="0.35">
      <c r="A3804" s="26" t="s">
        <v>543</v>
      </c>
      <c r="B3804" s="26" t="s">
        <v>543</v>
      </c>
      <c r="C3804" s="26"/>
      <c r="D3804" s="26" t="s">
        <v>543</v>
      </c>
      <c r="E3804" s="26" t="str">
        <f>IFERROR(VLOOKUP(G3804,WholesaleExtract!B:J,9,FALSE),"")</f>
        <v/>
      </c>
      <c r="F3804" s="26" t="str">
        <f>IFERROR(VLOOKUP(G3804,WholesaleExtract!B:J,6,FALSE),"")</f>
        <v/>
      </c>
      <c r="H3804" s="47" t="str">
        <f>IFERROR(VLOOKUP(G3804,WholesaleExtract!B:L,11,FALSE),"")</f>
        <v/>
      </c>
      <c r="I3804" s="26" t="str">
        <f>IFERROR(VLOOKUP(G3804,WholesaleExtract!B:O,8,FALSE),"")</f>
        <v/>
      </c>
      <c r="J3804" s="26" t="str">
        <f>IFERROR(VLOOKUP(G3804,WholesaleExtract!B:O,14,FALSE),"")</f>
        <v/>
      </c>
      <c r="K3804" s="26" t="str">
        <f>IFERROR(VLOOKUP(G3804,WholesaleExtract!B:K,10,FALSE),"")</f>
        <v/>
      </c>
      <c r="L3804" s="47" t="str">
        <f>IFERROR(VLOOKUP(G3804,WholesaleExtract!B:L,11,FALSE),"")</f>
        <v/>
      </c>
      <c r="M3804" s="47" t="str">
        <f>IFERROR(VLOOKUP(G3804,WholesaleExtract!B:M,12,FALSE),"")</f>
        <v/>
      </c>
      <c r="R3804" s="19"/>
      <c r="S3804" s="19"/>
    </row>
    <row r="3805" spans="1:19" x14ac:dyDescent="0.35">
      <c r="A3805" s="26" t="s">
        <v>543</v>
      </c>
      <c r="B3805" s="26" t="s">
        <v>543</v>
      </c>
      <c r="C3805" s="26"/>
      <c r="D3805" s="26" t="s">
        <v>543</v>
      </c>
      <c r="E3805" s="26" t="str">
        <f>IFERROR(VLOOKUP(G3805,WholesaleExtract!B:J,9,FALSE),"")</f>
        <v/>
      </c>
      <c r="F3805" s="26" t="str">
        <f>IFERROR(VLOOKUP(G3805,WholesaleExtract!B:J,6,FALSE),"")</f>
        <v/>
      </c>
      <c r="H3805" s="47" t="str">
        <f>IFERROR(VLOOKUP(G3805,WholesaleExtract!B:L,11,FALSE),"")</f>
        <v/>
      </c>
      <c r="I3805" s="26" t="str">
        <f>IFERROR(VLOOKUP(G3805,WholesaleExtract!B:O,8,FALSE),"")</f>
        <v/>
      </c>
      <c r="J3805" s="26" t="str">
        <f>IFERROR(VLOOKUP(G3805,WholesaleExtract!B:O,14,FALSE),"")</f>
        <v/>
      </c>
      <c r="K3805" s="26" t="str">
        <f>IFERROR(VLOOKUP(G3805,WholesaleExtract!B:K,10,FALSE),"")</f>
        <v/>
      </c>
      <c r="L3805" s="47" t="str">
        <f>IFERROR(VLOOKUP(G3805,WholesaleExtract!B:L,11,FALSE),"")</f>
        <v/>
      </c>
      <c r="M3805" s="47" t="str">
        <f>IFERROR(VLOOKUP(G3805,WholesaleExtract!B:M,12,FALSE),"")</f>
        <v/>
      </c>
      <c r="R3805" s="19"/>
      <c r="S3805" s="19"/>
    </row>
    <row r="3806" spans="1:19" x14ac:dyDescent="0.35">
      <c r="A3806" s="26" t="s">
        <v>543</v>
      </c>
      <c r="B3806" s="26" t="s">
        <v>543</v>
      </c>
      <c r="C3806" s="26"/>
      <c r="D3806" s="26" t="s">
        <v>543</v>
      </c>
      <c r="E3806" s="26" t="str">
        <f>IFERROR(VLOOKUP(G3806,WholesaleExtract!B:J,9,FALSE),"")</f>
        <v/>
      </c>
      <c r="F3806" s="26" t="str">
        <f>IFERROR(VLOOKUP(G3806,WholesaleExtract!B:J,6,FALSE),"")</f>
        <v/>
      </c>
      <c r="H3806" s="47" t="str">
        <f>IFERROR(VLOOKUP(G3806,WholesaleExtract!B:L,11,FALSE),"")</f>
        <v/>
      </c>
      <c r="I3806" s="26" t="str">
        <f>IFERROR(VLOOKUP(G3806,WholesaleExtract!B:O,8,FALSE),"")</f>
        <v/>
      </c>
      <c r="J3806" s="26" t="str">
        <f>IFERROR(VLOOKUP(G3806,WholesaleExtract!B:O,14,FALSE),"")</f>
        <v/>
      </c>
      <c r="K3806" s="26" t="str">
        <f>IFERROR(VLOOKUP(G3806,WholesaleExtract!B:K,10,FALSE),"")</f>
        <v/>
      </c>
      <c r="L3806" s="47" t="str">
        <f>IFERROR(VLOOKUP(G3806,WholesaleExtract!B:L,11,FALSE),"")</f>
        <v/>
      </c>
      <c r="M3806" s="47" t="str">
        <f>IFERROR(VLOOKUP(G3806,WholesaleExtract!B:M,12,FALSE),"")</f>
        <v/>
      </c>
      <c r="R3806" s="19"/>
      <c r="S3806" s="19"/>
    </row>
    <row r="3807" spans="1:19" x14ac:dyDescent="0.35">
      <c r="A3807" s="26" t="s">
        <v>543</v>
      </c>
      <c r="B3807" s="26" t="s">
        <v>543</v>
      </c>
      <c r="C3807" s="26"/>
      <c r="D3807" s="26" t="s">
        <v>543</v>
      </c>
      <c r="E3807" s="26" t="str">
        <f>IFERROR(VLOOKUP(G3807,WholesaleExtract!B:J,9,FALSE),"")</f>
        <v/>
      </c>
      <c r="F3807" s="26" t="str">
        <f>IFERROR(VLOOKUP(G3807,WholesaleExtract!B:J,6,FALSE),"")</f>
        <v/>
      </c>
      <c r="H3807" s="47" t="str">
        <f>IFERROR(VLOOKUP(G3807,WholesaleExtract!B:L,11,FALSE),"")</f>
        <v/>
      </c>
      <c r="I3807" s="26" t="str">
        <f>IFERROR(VLOOKUP(G3807,WholesaleExtract!B:O,8,FALSE),"")</f>
        <v/>
      </c>
      <c r="J3807" s="26" t="str">
        <f>IFERROR(VLOOKUP(G3807,WholesaleExtract!B:O,14,FALSE),"")</f>
        <v/>
      </c>
      <c r="K3807" s="26" t="str">
        <f>IFERROR(VLOOKUP(G3807,WholesaleExtract!B:K,10,FALSE),"")</f>
        <v/>
      </c>
      <c r="L3807" s="47" t="str">
        <f>IFERROR(VLOOKUP(G3807,WholesaleExtract!B:L,11,FALSE),"")</f>
        <v/>
      </c>
      <c r="M3807" s="47" t="str">
        <f>IFERROR(VLOOKUP(G3807,WholesaleExtract!B:M,12,FALSE),"")</f>
        <v/>
      </c>
      <c r="R3807" s="19"/>
      <c r="S3807" s="19"/>
    </row>
    <row r="3808" spans="1:19" x14ac:dyDescent="0.35">
      <c r="A3808" s="26" t="s">
        <v>543</v>
      </c>
      <c r="B3808" s="26" t="s">
        <v>543</v>
      </c>
      <c r="C3808" s="26"/>
      <c r="D3808" s="26" t="s">
        <v>543</v>
      </c>
      <c r="E3808" s="26" t="str">
        <f>IFERROR(VLOOKUP(G3808,WholesaleExtract!B:J,9,FALSE),"")</f>
        <v/>
      </c>
      <c r="F3808" s="26" t="str">
        <f>IFERROR(VLOOKUP(G3808,WholesaleExtract!B:J,6,FALSE),"")</f>
        <v/>
      </c>
      <c r="H3808" s="47" t="str">
        <f>IFERROR(VLOOKUP(G3808,WholesaleExtract!B:L,11,FALSE),"")</f>
        <v/>
      </c>
      <c r="I3808" s="26" t="str">
        <f>IFERROR(VLOOKUP(G3808,WholesaleExtract!B:O,8,FALSE),"")</f>
        <v/>
      </c>
      <c r="J3808" s="26" t="str">
        <f>IFERROR(VLOOKUP(G3808,WholesaleExtract!B:O,14,FALSE),"")</f>
        <v/>
      </c>
      <c r="K3808" s="26" t="str">
        <f>IFERROR(VLOOKUP(G3808,WholesaleExtract!B:K,10,FALSE),"")</f>
        <v/>
      </c>
      <c r="L3808" s="47" t="str">
        <f>IFERROR(VLOOKUP(G3808,WholesaleExtract!B:L,11,FALSE),"")</f>
        <v/>
      </c>
      <c r="M3808" s="47" t="str">
        <f>IFERROR(VLOOKUP(G3808,WholesaleExtract!B:M,12,FALSE),"")</f>
        <v/>
      </c>
      <c r="R3808" s="19"/>
      <c r="S3808" s="19"/>
    </row>
    <row r="3809" spans="1:19" x14ac:dyDescent="0.35">
      <c r="A3809" s="26" t="s">
        <v>543</v>
      </c>
      <c r="B3809" s="26" t="s">
        <v>543</v>
      </c>
      <c r="C3809" s="26"/>
      <c r="D3809" s="26" t="s">
        <v>543</v>
      </c>
      <c r="E3809" s="26" t="str">
        <f>IFERROR(VLOOKUP(G3809,WholesaleExtract!B:J,9,FALSE),"")</f>
        <v/>
      </c>
      <c r="F3809" s="26" t="str">
        <f>IFERROR(VLOOKUP(G3809,WholesaleExtract!B:J,6,FALSE),"")</f>
        <v/>
      </c>
      <c r="H3809" s="47" t="str">
        <f>IFERROR(VLOOKUP(G3809,WholesaleExtract!B:L,11,FALSE),"")</f>
        <v/>
      </c>
      <c r="I3809" s="26" t="str">
        <f>IFERROR(VLOOKUP(G3809,WholesaleExtract!B:O,8,FALSE),"")</f>
        <v/>
      </c>
      <c r="J3809" s="26" t="str">
        <f>IFERROR(VLOOKUP(G3809,WholesaleExtract!B:O,14,FALSE),"")</f>
        <v/>
      </c>
      <c r="K3809" s="26" t="str">
        <f>IFERROR(VLOOKUP(G3809,WholesaleExtract!B:K,10,FALSE),"")</f>
        <v/>
      </c>
      <c r="L3809" s="47" t="str">
        <f>IFERROR(VLOOKUP(G3809,WholesaleExtract!B:L,11,FALSE),"")</f>
        <v/>
      </c>
      <c r="M3809" s="47" t="str">
        <f>IFERROR(VLOOKUP(G3809,WholesaleExtract!B:M,12,FALSE),"")</f>
        <v/>
      </c>
      <c r="R3809" s="19"/>
      <c r="S3809" s="19"/>
    </row>
    <row r="3810" spans="1:19" x14ac:dyDescent="0.35">
      <c r="A3810" s="26" t="s">
        <v>543</v>
      </c>
      <c r="B3810" s="26" t="s">
        <v>543</v>
      </c>
      <c r="C3810" s="26"/>
      <c r="D3810" s="26" t="s">
        <v>543</v>
      </c>
      <c r="E3810" s="26" t="str">
        <f>IFERROR(VLOOKUP(G3810,WholesaleExtract!B:J,9,FALSE),"")</f>
        <v/>
      </c>
      <c r="F3810" s="26" t="str">
        <f>IFERROR(VLOOKUP(G3810,WholesaleExtract!B:J,6,FALSE),"")</f>
        <v/>
      </c>
      <c r="H3810" s="47" t="str">
        <f>IFERROR(VLOOKUP(G3810,WholesaleExtract!B:L,11,FALSE),"")</f>
        <v/>
      </c>
      <c r="I3810" s="26" t="str">
        <f>IFERROR(VLOOKUP(G3810,WholesaleExtract!B:O,8,FALSE),"")</f>
        <v/>
      </c>
      <c r="J3810" s="26" t="str">
        <f>IFERROR(VLOOKUP(G3810,WholesaleExtract!B:O,14,FALSE),"")</f>
        <v/>
      </c>
      <c r="K3810" s="26" t="str">
        <f>IFERROR(VLOOKUP(G3810,WholesaleExtract!B:K,10,FALSE),"")</f>
        <v/>
      </c>
      <c r="L3810" s="47" t="str">
        <f>IFERROR(VLOOKUP(G3810,WholesaleExtract!B:L,11,FALSE),"")</f>
        <v/>
      </c>
      <c r="M3810" s="47" t="str">
        <f>IFERROR(VLOOKUP(G3810,WholesaleExtract!B:M,12,FALSE),"")</f>
        <v/>
      </c>
      <c r="R3810" s="19"/>
      <c r="S3810" s="19"/>
    </row>
    <row r="3811" spans="1:19" x14ac:dyDescent="0.35">
      <c r="A3811" s="26" t="s">
        <v>543</v>
      </c>
      <c r="B3811" s="26" t="s">
        <v>543</v>
      </c>
      <c r="C3811" s="26"/>
      <c r="D3811" s="26" t="s">
        <v>543</v>
      </c>
      <c r="E3811" s="26" t="str">
        <f>IFERROR(VLOOKUP(G3811,WholesaleExtract!B:J,9,FALSE),"")</f>
        <v/>
      </c>
      <c r="F3811" s="26" t="str">
        <f>IFERROR(VLOOKUP(G3811,WholesaleExtract!B:J,6,FALSE),"")</f>
        <v/>
      </c>
      <c r="H3811" s="47" t="str">
        <f>IFERROR(VLOOKUP(G3811,WholesaleExtract!B:L,11,FALSE),"")</f>
        <v/>
      </c>
      <c r="I3811" s="26" t="str">
        <f>IFERROR(VLOOKUP(G3811,WholesaleExtract!B:O,8,FALSE),"")</f>
        <v/>
      </c>
      <c r="J3811" s="26" t="str">
        <f>IFERROR(VLOOKUP(G3811,WholesaleExtract!B:O,14,FALSE),"")</f>
        <v/>
      </c>
      <c r="K3811" s="26" t="str">
        <f>IFERROR(VLOOKUP(G3811,WholesaleExtract!B:K,10,FALSE),"")</f>
        <v/>
      </c>
      <c r="L3811" s="47" t="str">
        <f>IFERROR(VLOOKUP(G3811,WholesaleExtract!B:L,11,FALSE),"")</f>
        <v/>
      </c>
      <c r="M3811" s="47" t="str">
        <f>IFERROR(VLOOKUP(G3811,WholesaleExtract!B:M,12,FALSE),"")</f>
        <v/>
      </c>
      <c r="R3811" s="19"/>
      <c r="S3811" s="19"/>
    </row>
    <row r="3812" spans="1:19" x14ac:dyDescent="0.35">
      <c r="A3812" s="26" t="s">
        <v>543</v>
      </c>
      <c r="B3812" s="26" t="s">
        <v>543</v>
      </c>
      <c r="C3812" s="26"/>
      <c r="D3812" s="26" t="s">
        <v>543</v>
      </c>
      <c r="E3812" s="26" t="str">
        <f>IFERROR(VLOOKUP(G3812,WholesaleExtract!B:J,9,FALSE),"")</f>
        <v/>
      </c>
      <c r="F3812" s="26" t="str">
        <f>IFERROR(VLOOKUP(G3812,WholesaleExtract!B:J,6,FALSE),"")</f>
        <v/>
      </c>
      <c r="H3812" s="47" t="str">
        <f>IFERROR(VLOOKUP(G3812,WholesaleExtract!B:L,11,FALSE),"")</f>
        <v/>
      </c>
      <c r="I3812" s="26" t="str">
        <f>IFERROR(VLOOKUP(G3812,WholesaleExtract!B:O,8,FALSE),"")</f>
        <v/>
      </c>
      <c r="J3812" s="26" t="str">
        <f>IFERROR(VLOOKUP(G3812,WholesaleExtract!B:O,14,FALSE),"")</f>
        <v/>
      </c>
      <c r="K3812" s="26" t="str">
        <f>IFERROR(VLOOKUP(G3812,WholesaleExtract!B:K,10,FALSE),"")</f>
        <v/>
      </c>
      <c r="L3812" s="47" t="str">
        <f>IFERROR(VLOOKUP(G3812,WholesaleExtract!B:L,11,FALSE),"")</f>
        <v/>
      </c>
      <c r="M3812" s="47" t="str">
        <f>IFERROR(VLOOKUP(G3812,WholesaleExtract!B:M,12,FALSE),"")</f>
        <v/>
      </c>
      <c r="R3812" s="19"/>
      <c r="S3812" s="19"/>
    </row>
    <row r="3813" spans="1:19" x14ac:dyDescent="0.35">
      <c r="A3813" s="26" t="s">
        <v>543</v>
      </c>
      <c r="B3813" s="26" t="s">
        <v>543</v>
      </c>
      <c r="C3813" s="26"/>
      <c r="D3813" s="26" t="s">
        <v>543</v>
      </c>
      <c r="E3813" s="26" t="str">
        <f>IFERROR(VLOOKUP(G3813,WholesaleExtract!B:J,9,FALSE),"")</f>
        <v/>
      </c>
      <c r="F3813" s="26" t="str">
        <f>IFERROR(VLOOKUP(G3813,WholesaleExtract!B:J,6,FALSE),"")</f>
        <v/>
      </c>
      <c r="H3813" s="47" t="str">
        <f>IFERROR(VLOOKUP(G3813,WholesaleExtract!B:L,11,FALSE),"")</f>
        <v/>
      </c>
      <c r="I3813" s="26" t="str">
        <f>IFERROR(VLOOKUP(G3813,WholesaleExtract!B:O,8,FALSE),"")</f>
        <v/>
      </c>
      <c r="J3813" s="26" t="str">
        <f>IFERROR(VLOOKUP(G3813,WholesaleExtract!B:O,14,FALSE),"")</f>
        <v/>
      </c>
      <c r="K3813" s="26" t="str">
        <f>IFERROR(VLOOKUP(G3813,WholesaleExtract!B:K,10,FALSE),"")</f>
        <v/>
      </c>
      <c r="L3813" s="47" t="str">
        <f>IFERROR(VLOOKUP(G3813,WholesaleExtract!B:L,11,FALSE),"")</f>
        <v/>
      </c>
      <c r="M3813" s="47" t="str">
        <f>IFERROR(VLOOKUP(G3813,WholesaleExtract!B:M,12,FALSE),"")</f>
        <v/>
      </c>
      <c r="R3813" s="19"/>
      <c r="S3813" s="19"/>
    </row>
    <row r="3814" spans="1:19" x14ac:dyDescent="0.35">
      <c r="A3814" s="26" t="s">
        <v>543</v>
      </c>
      <c r="B3814" s="26" t="s">
        <v>543</v>
      </c>
      <c r="C3814" s="26"/>
      <c r="D3814" s="26" t="s">
        <v>543</v>
      </c>
      <c r="E3814" s="26" t="str">
        <f>IFERROR(VLOOKUP(G3814,WholesaleExtract!B:J,9,FALSE),"")</f>
        <v/>
      </c>
      <c r="F3814" s="26" t="str">
        <f>IFERROR(VLOOKUP(G3814,WholesaleExtract!B:J,6,FALSE),"")</f>
        <v/>
      </c>
      <c r="H3814" s="47" t="str">
        <f>IFERROR(VLOOKUP(G3814,WholesaleExtract!B:L,11,FALSE),"")</f>
        <v/>
      </c>
      <c r="I3814" s="26" t="str">
        <f>IFERROR(VLOOKUP(G3814,WholesaleExtract!B:O,8,FALSE),"")</f>
        <v/>
      </c>
      <c r="J3814" s="26" t="str">
        <f>IFERROR(VLOOKUP(G3814,WholesaleExtract!B:O,14,FALSE),"")</f>
        <v/>
      </c>
      <c r="K3814" s="26" t="str">
        <f>IFERROR(VLOOKUP(G3814,WholesaleExtract!B:K,10,FALSE),"")</f>
        <v/>
      </c>
      <c r="L3814" s="47" t="str">
        <f>IFERROR(VLOOKUP(G3814,WholesaleExtract!B:L,11,FALSE),"")</f>
        <v/>
      </c>
      <c r="M3814" s="47" t="str">
        <f>IFERROR(VLOOKUP(G3814,WholesaleExtract!B:M,12,FALSE),"")</f>
        <v/>
      </c>
      <c r="R3814" s="19"/>
      <c r="S3814" s="19"/>
    </row>
    <row r="3815" spans="1:19" x14ac:dyDescent="0.35">
      <c r="A3815" s="26" t="s">
        <v>543</v>
      </c>
      <c r="B3815" s="26" t="s">
        <v>543</v>
      </c>
      <c r="C3815" s="26"/>
      <c r="D3815" s="26" t="s">
        <v>543</v>
      </c>
      <c r="E3815" s="26" t="str">
        <f>IFERROR(VLOOKUP(G3815,WholesaleExtract!B:J,9,FALSE),"")</f>
        <v/>
      </c>
      <c r="F3815" s="26" t="str">
        <f>IFERROR(VLOOKUP(G3815,WholesaleExtract!B:J,6,FALSE),"")</f>
        <v/>
      </c>
      <c r="H3815" s="47" t="str">
        <f>IFERROR(VLOOKUP(G3815,WholesaleExtract!B:L,11,FALSE),"")</f>
        <v/>
      </c>
      <c r="I3815" s="26" t="str">
        <f>IFERROR(VLOOKUP(G3815,WholesaleExtract!B:O,8,FALSE),"")</f>
        <v/>
      </c>
      <c r="J3815" s="26" t="str">
        <f>IFERROR(VLOOKUP(G3815,WholesaleExtract!B:O,14,FALSE),"")</f>
        <v/>
      </c>
      <c r="K3815" s="26" t="str">
        <f>IFERROR(VLOOKUP(G3815,WholesaleExtract!B:K,10,FALSE),"")</f>
        <v/>
      </c>
      <c r="L3815" s="47" t="str">
        <f>IFERROR(VLOOKUP(G3815,WholesaleExtract!B:L,11,FALSE),"")</f>
        <v/>
      </c>
      <c r="M3815" s="47" t="str">
        <f>IFERROR(VLOOKUP(G3815,WholesaleExtract!B:M,12,FALSE),"")</f>
        <v/>
      </c>
      <c r="R3815" s="19"/>
      <c r="S3815" s="19"/>
    </row>
    <row r="3816" spans="1:19" x14ac:dyDescent="0.35">
      <c r="A3816" s="26" t="s">
        <v>543</v>
      </c>
      <c r="B3816" s="26" t="s">
        <v>543</v>
      </c>
      <c r="C3816" s="26"/>
      <c r="D3816" s="26" t="s">
        <v>543</v>
      </c>
      <c r="E3816" s="26" t="str">
        <f>IFERROR(VLOOKUP(G3816,WholesaleExtract!B:J,9,FALSE),"")</f>
        <v/>
      </c>
      <c r="F3816" s="26" t="str">
        <f>IFERROR(VLOOKUP(G3816,WholesaleExtract!B:J,6,FALSE),"")</f>
        <v/>
      </c>
      <c r="H3816" s="47" t="str">
        <f>IFERROR(VLOOKUP(G3816,WholesaleExtract!B:L,11,FALSE),"")</f>
        <v/>
      </c>
      <c r="I3816" s="26" t="str">
        <f>IFERROR(VLOOKUP(G3816,WholesaleExtract!B:O,8,FALSE),"")</f>
        <v/>
      </c>
      <c r="J3816" s="26" t="str">
        <f>IFERROR(VLOOKUP(G3816,WholesaleExtract!B:O,14,FALSE),"")</f>
        <v/>
      </c>
      <c r="K3816" s="26" t="str">
        <f>IFERROR(VLOOKUP(G3816,WholesaleExtract!B:K,10,FALSE),"")</f>
        <v/>
      </c>
      <c r="L3816" s="47" t="str">
        <f>IFERROR(VLOOKUP(G3816,WholesaleExtract!B:L,11,FALSE),"")</f>
        <v/>
      </c>
      <c r="M3816" s="47" t="str">
        <f>IFERROR(VLOOKUP(G3816,WholesaleExtract!B:M,12,FALSE),"")</f>
        <v/>
      </c>
      <c r="R3816" s="19"/>
      <c r="S3816" s="19"/>
    </row>
    <row r="3817" spans="1:19" x14ac:dyDescent="0.35">
      <c r="A3817" s="26" t="s">
        <v>543</v>
      </c>
      <c r="B3817" s="26" t="s">
        <v>543</v>
      </c>
      <c r="C3817" s="26"/>
      <c r="D3817" s="26" t="s">
        <v>543</v>
      </c>
      <c r="E3817" s="26" t="str">
        <f>IFERROR(VLOOKUP(G3817,WholesaleExtract!B:J,9,FALSE),"")</f>
        <v/>
      </c>
      <c r="F3817" s="26" t="str">
        <f>IFERROR(VLOOKUP(G3817,WholesaleExtract!B:J,6,FALSE),"")</f>
        <v/>
      </c>
      <c r="H3817" s="47" t="str">
        <f>IFERROR(VLOOKUP(G3817,WholesaleExtract!B:L,11,FALSE),"")</f>
        <v/>
      </c>
      <c r="I3817" s="26" t="str">
        <f>IFERROR(VLOOKUP(G3817,WholesaleExtract!B:O,8,FALSE),"")</f>
        <v/>
      </c>
      <c r="J3817" s="26" t="str">
        <f>IFERROR(VLOOKUP(G3817,WholesaleExtract!B:O,14,FALSE),"")</f>
        <v/>
      </c>
      <c r="K3817" s="26" t="str">
        <f>IFERROR(VLOOKUP(G3817,WholesaleExtract!B:K,10,FALSE),"")</f>
        <v/>
      </c>
      <c r="L3817" s="47" t="str">
        <f>IFERROR(VLOOKUP(G3817,WholesaleExtract!B:L,11,FALSE),"")</f>
        <v/>
      </c>
      <c r="M3817" s="47" t="str">
        <f>IFERROR(VLOOKUP(G3817,WholesaleExtract!B:M,12,FALSE),"")</f>
        <v/>
      </c>
      <c r="R3817" s="19"/>
      <c r="S3817" s="19"/>
    </row>
    <row r="3818" spans="1:19" x14ac:dyDescent="0.35">
      <c r="A3818" s="26" t="s">
        <v>543</v>
      </c>
      <c r="B3818" s="26" t="s">
        <v>543</v>
      </c>
      <c r="C3818" s="26"/>
      <c r="D3818" s="26" t="s">
        <v>543</v>
      </c>
      <c r="E3818" s="26" t="str">
        <f>IFERROR(VLOOKUP(G3818,WholesaleExtract!B:J,9,FALSE),"")</f>
        <v/>
      </c>
      <c r="F3818" s="26" t="str">
        <f>IFERROR(VLOOKUP(G3818,WholesaleExtract!B:J,6,FALSE),"")</f>
        <v/>
      </c>
      <c r="H3818" s="47" t="str">
        <f>IFERROR(VLOOKUP(G3818,WholesaleExtract!B:L,11,FALSE),"")</f>
        <v/>
      </c>
      <c r="I3818" s="26" t="str">
        <f>IFERROR(VLOOKUP(G3818,WholesaleExtract!B:O,8,FALSE),"")</f>
        <v/>
      </c>
      <c r="J3818" s="26" t="str">
        <f>IFERROR(VLOOKUP(G3818,WholesaleExtract!B:O,14,FALSE),"")</f>
        <v/>
      </c>
      <c r="K3818" s="26" t="str">
        <f>IFERROR(VLOOKUP(G3818,WholesaleExtract!B:K,10,FALSE),"")</f>
        <v/>
      </c>
      <c r="L3818" s="47" t="str">
        <f>IFERROR(VLOOKUP(G3818,WholesaleExtract!B:L,11,FALSE),"")</f>
        <v/>
      </c>
      <c r="M3818" s="47" t="str">
        <f>IFERROR(VLOOKUP(G3818,WholesaleExtract!B:M,12,FALSE),"")</f>
        <v/>
      </c>
      <c r="R3818" s="19"/>
      <c r="S3818" s="19"/>
    </row>
    <row r="3819" spans="1:19" x14ac:dyDescent="0.35">
      <c r="A3819" s="26" t="s">
        <v>543</v>
      </c>
      <c r="B3819" s="26" t="s">
        <v>543</v>
      </c>
      <c r="C3819" s="26"/>
      <c r="D3819" s="26" t="s">
        <v>543</v>
      </c>
      <c r="E3819" s="26" t="str">
        <f>IFERROR(VLOOKUP(G3819,WholesaleExtract!B:J,9,FALSE),"")</f>
        <v/>
      </c>
      <c r="F3819" s="26" t="str">
        <f>IFERROR(VLOOKUP(G3819,WholesaleExtract!B:J,6,FALSE),"")</f>
        <v/>
      </c>
      <c r="H3819" s="47" t="str">
        <f>IFERROR(VLOOKUP(G3819,WholesaleExtract!B:L,11,FALSE),"")</f>
        <v/>
      </c>
      <c r="I3819" s="26" t="str">
        <f>IFERROR(VLOOKUP(G3819,WholesaleExtract!B:O,8,FALSE),"")</f>
        <v/>
      </c>
      <c r="J3819" s="26" t="str">
        <f>IFERROR(VLOOKUP(G3819,WholesaleExtract!B:O,14,FALSE),"")</f>
        <v/>
      </c>
      <c r="K3819" s="26" t="str">
        <f>IFERROR(VLOOKUP(G3819,WholesaleExtract!B:K,10,FALSE),"")</f>
        <v/>
      </c>
      <c r="L3819" s="47" t="str">
        <f>IFERROR(VLOOKUP(G3819,WholesaleExtract!B:L,11,FALSE),"")</f>
        <v/>
      </c>
      <c r="M3819" s="47" t="str">
        <f>IFERROR(VLOOKUP(G3819,WholesaleExtract!B:M,12,FALSE),"")</f>
        <v/>
      </c>
      <c r="R3819" s="19"/>
      <c r="S3819" s="19"/>
    </row>
    <row r="3820" spans="1:19" x14ac:dyDescent="0.35">
      <c r="A3820" s="26" t="s">
        <v>543</v>
      </c>
      <c r="B3820" s="26" t="s">
        <v>543</v>
      </c>
      <c r="C3820" s="26"/>
      <c r="D3820" s="26" t="s">
        <v>543</v>
      </c>
      <c r="E3820" s="26" t="str">
        <f>IFERROR(VLOOKUP(G3820,WholesaleExtract!B:J,9,FALSE),"")</f>
        <v/>
      </c>
      <c r="F3820" s="26" t="str">
        <f>IFERROR(VLOOKUP(G3820,WholesaleExtract!B:J,6,FALSE),"")</f>
        <v/>
      </c>
      <c r="H3820" s="47" t="str">
        <f>IFERROR(VLOOKUP(G3820,WholesaleExtract!B:L,11,FALSE),"")</f>
        <v/>
      </c>
      <c r="I3820" s="26" t="str">
        <f>IFERROR(VLOOKUP(G3820,WholesaleExtract!B:O,8,FALSE),"")</f>
        <v/>
      </c>
      <c r="J3820" s="26" t="str">
        <f>IFERROR(VLOOKUP(G3820,WholesaleExtract!B:O,14,FALSE),"")</f>
        <v/>
      </c>
      <c r="K3820" s="26" t="str">
        <f>IFERROR(VLOOKUP(G3820,WholesaleExtract!B:K,10,FALSE),"")</f>
        <v/>
      </c>
      <c r="L3820" s="47" t="str">
        <f>IFERROR(VLOOKUP(G3820,WholesaleExtract!B:L,11,FALSE),"")</f>
        <v/>
      </c>
      <c r="M3820" s="47" t="str">
        <f>IFERROR(VLOOKUP(G3820,WholesaleExtract!B:M,12,FALSE),"")</f>
        <v/>
      </c>
      <c r="R3820" s="19"/>
      <c r="S3820" s="19"/>
    </row>
    <row r="3821" spans="1:19" x14ac:dyDescent="0.35">
      <c r="A3821" s="26" t="s">
        <v>543</v>
      </c>
      <c r="B3821" s="26" t="s">
        <v>543</v>
      </c>
      <c r="C3821" s="26"/>
      <c r="D3821" s="26" t="s">
        <v>543</v>
      </c>
      <c r="E3821" s="26" t="str">
        <f>IFERROR(VLOOKUP(G3821,WholesaleExtract!B:J,9,FALSE),"")</f>
        <v/>
      </c>
      <c r="F3821" s="26" t="str">
        <f>IFERROR(VLOOKUP(G3821,WholesaleExtract!B:J,6,FALSE),"")</f>
        <v/>
      </c>
      <c r="H3821" s="47" t="str">
        <f>IFERROR(VLOOKUP(G3821,WholesaleExtract!B:L,11,FALSE),"")</f>
        <v/>
      </c>
      <c r="I3821" s="26" t="str">
        <f>IFERROR(VLOOKUP(G3821,WholesaleExtract!B:O,8,FALSE),"")</f>
        <v/>
      </c>
      <c r="J3821" s="26" t="str">
        <f>IFERROR(VLOOKUP(G3821,WholesaleExtract!B:O,14,FALSE),"")</f>
        <v/>
      </c>
      <c r="K3821" s="26" t="str">
        <f>IFERROR(VLOOKUP(G3821,WholesaleExtract!B:K,10,FALSE),"")</f>
        <v/>
      </c>
      <c r="L3821" s="47" t="str">
        <f>IFERROR(VLOOKUP(G3821,WholesaleExtract!B:L,11,FALSE),"")</f>
        <v/>
      </c>
      <c r="M3821" s="47" t="str">
        <f>IFERROR(VLOOKUP(G3821,WholesaleExtract!B:M,12,FALSE),"")</f>
        <v/>
      </c>
      <c r="R3821" s="19"/>
      <c r="S3821" s="19"/>
    </row>
    <row r="3822" spans="1:19" x14ac:dyDescent="0.35">
      <c r="A3822" s="26" t="s">
        <v>543</v>
      </c>
      <c r="B3822" s="26" t="s">
        <v>543</v>
      </c>
      <c r="C3822" s="26"/>
      <c r="D3822" s="26" t="s">
        <v>543</v>
      </c>
      <c r="E3822" s="26" t="str">
        <f>IFERROR(VLOOKUP(G3822,WholesaleExtract!B:J,9,FALSE),"")</f>
        <v/>
      </c>
      <c r="F3822" s="26" t="str">
        <f>IFERROR(VLOOKUP(G3822,WholesaleExtract!B:J,6,FALSE),"")</f>
        <v/>
      </c>
      <c r="H3822" s="47" t="str">
        <f>IFERROR(VLOOKUP(G3822,WholesaleExtract!B:L,11,FALSE),"")</f>
        <v/>
      </c>
      <c r="I3822" s="26" t="str">
        <f>IFERROR(VLOOKUP(G3822,WholesaleExtract!B:O,8,FALSE),"")</f>
        <v/>
      </c>
      <c r="J3822" s="26" t="str">
        <f>IFERROR(VLOOKUP(G3822,WholesaleExtract!B:O,14,FALSE),"")</f>
        <v/>
      </c>
      <c r="K3822" s="26" t="str">
        <f>IFERROR(VLOOKUP(G3822,WholesaleExtract!B:K,10,FALSE),"")</f>
        <v/>
      </c>
      <c r="L3822" s="47" t="str">
        <f>IFERROR(VLOOKUP(G3822,WholesaleExtract!B:L,11,FALSE),"")</f>
        <v/>
      </c>
      <c r="M3822" s="47" t="str">
        <f>IFERROR(VLOOKUP(G3822,WholesaleExtract!B:M,12,FALSE),"")</f>
        <v/>
      </c>
      <c r="R3822" s="19"/>
      <c r="S3822" s="19"/>
    </row>
    <row r="3823" spans="1:19" x14ac:dyDescent="0.35">
      <c r="A3823" s="26" t="s">
        <v>543</v>
      </c>
      <c r="B3823" s="26" t="s">
        <v>543</v>
      </c>
      <c r="C3823" s="26"/>
      <c r="D3823" s="26" t="s">
        <v>543</v>
      </c>
      <c r="E3823" s="26" t="str">
        <f>IFERROR(VLOOKUP(G3823,WholesaleExtract!B:J,9,FALSE),"")</f>
        <v/>
      </c>
      <c r="F3823" s="26" t="str">
        <f>IFERROR(VLOOKUP(G3823,WholesaleExtract!B:J,6,FALSE),"")</f>
        <v/>
      </c>
      <c r="H3823" s="47" t="str">
        <f>IFERROR(VLOOKUP(G3823,WholesaleExtract!B:L,11,FALSE),"")</f>
        <v/>
      </c>
      <c r="I3823" s="26" t="str">
        <f>IFERROR(VLOOKUP(G3823,WholesaleExtract!B:O,8,FALSE),"")</f>
        <v/>
      </c>
      <c r="J3823" s="26" t="str">
        <f>IFERROR(VLOOKUP(G3823,WholesaleExtract!B:O,14,FALSE),"")</f>
        <v/>
      </c>
      <c r="K3823" s="26" t="str">
        <f>IFERROR(VLOOKUP(G3823,WholesaleExtract!B:K,10,FALSE),"")</f>
        <v/>
      </c>
      <c r="L3823" s="47" t="str">
        <f>IFERROR(VLOOKUP(G3823,WholesaleExtract!B:L,11,FALSE),"")</f>
        <v/>
      </c>
      <c r="M3823" s="47" t="str">
        <f>IFERROR(VLOOKUP(G3823,WholesaleExtract!B:M,12,FALSE),"")</f>
        <v/>
      </c>
      <c r="R3823" s="19"/>
      <c r="S3823" s="19"/>
    </row>
    <row r="3824" spans="1:19" x14ac:dyDescent="0.35">
      <c r="A3824" s="26" t="s">
        <v>543</v>
      </c>
      <c r="B3824" s="26" t="s">
        <v>543</v>
      </c>
      <c r="C3824" s="26"/>
      <c r="D3824" s="26" t="s">
        <v>543</v>
      </c>
      <c r="E3824" s="26" t="str">
        <f>IFERROR(VLOOKUP(G3824,WholesaleExtract!B:J,9,FALSE),"")</f>
        <v/>
      </c>
      <c r="F3824" s="26" t="str">
        <f>IFERROR(VLOOKUP(G3824,WholesaleExtract!B:J,6,FALSE),"")</f>
        <v/>
      </c>
      <c r="H3824" s="47" t="str">
        <f>IFERROR(VLOOKUP(G3824,WholesaleExtract!B:L,11,FALSE),"")</f>
        <v/>
      </c>
      <c r="I3824" s="26" t="str">
        <f>IFERROR(VLOOKUP(G3824,WholesaleExtract!B:O,8,FALSE),"")</f>
        <v/>
      </c>
      <c r="J3824" s="26" t="str">
        <f>IFERROR(VLOOKUP(G3824,WholesaleExtract!B:O,14,FALSE),"")</f>
        <v/>
      </c>
      <c r="K3824" s="26" t="str">
        <f>IFERROR(VLOOKUP(G3824,WholesaleExtract!B:K,10,FALSE),"")</f>
        <v/>
      </c>
      <c r="L3824" s="47" t="str">
        <f>IFERROR(VLOOKUP(G3824,WholesaleExtract!B:L,11,FALSE),"")</f>
        <v/>
      </c>
      <c r="M3824" s="47" t="str">
        <f>IFERROR(VLOOKUP(G3824,WholesaleExtract!B:M,12,FALSE),"")</f>
        <v/>
      </c>
      <c r="R3824" s="19"/>
      <c r="S3824" s="19"/>
    </row>
    <row r="3825" spans="1:19" x14ac:dyDescent="0.35">
      <c r="A3825" s="26" t="s">
        <v>543</v>
      </c>
      <c r="B3825" s="26" t="s">
        <v>543</v>
      </c>
      <c r="C3825" s="26"/>
      <c r="D3825" s="26" t="s">
        <v>543</v>
      </c>
      <c r="E3825" s="26" t="str">
        <f>IFERROR(VLOOKUP(G3825,WholesaleExtract!B:J,9,FALSE),"")</f>
        <v/>
      </c>
      <c r="F3825" s="26" t="str">
        <f>IFERROR(VLOOKUP(G3825,WholesaleExtract!B:J,6,FALSE),"")</f>
        <v/>
      </c>
      <c r="H3825" s="47" t="str">
        <f>IFERROR(VLOOKUP(G3825,WholesaleExtract!B:L,11,FALSE),"")</f>
        <v/>
      </c>
      <c r="I3825" s="26" t="str">
        <f>IFERROR(VLOOKUP(G3825,WholesaleExtract!B:O,8,FALSE),"")</f>
        <v/>
      </c>
      <c r="J3825" s="26" t="str">
        <f>IFERROR(VLOOKUP(G3825,WholesaleExtract!B:O,14,FALSE),"")</f>
        <v/>
      </c>
      <c r="K3825" s="26" t="str">
        <f>IFERROR(VLOOKUP(G3825,WholesaleExtract!B:K,10,FALSE),"")</f>
        <v/>
      </c>
      <c r="L3825" s="47" t="str">
        <f>IFERROR(VLOOKUP(G3825,WholesaleExtract!B:L,11,FALSE),"")</f>
        <v/>
      </c>
      <c r="M3825" s="47" t="str">
        <f>IFERROR(VLOOKUP(G3825,WholesaleExtract!B:M,12,FALSE),"")</f>
        <v/>
      </c>
      <c r="R3825" s="19"/>
      <c r="S3825" s="19"/>
    </row>
    <row r="3826" spans="1:19" x14ac:dyDescent="0.35">
      <c r="A3826" s="26" t="s">
        <v>543</v>
      </c>
      <c r="B3826" s="26" t="s">
        <v>543</v>
      </c>
      <c r="C3826" s="26"/>
      <c r="D3826" s="26" t="s">
        <v>543</v>
      </c>
      <c r="E3826" s="26" t="str">
        <f>IFERROR(VLOOKUP(G3826,WholesaleExtract!B:J,9,FALSE),"")</f>
        <v/>
      </c>
      <c r="F3826" s="26" t="str">
        <f>IFERROR(VLOOKUP(G3826,WholesaleExtract!B:J,6,FALSE),"")</f>
        <v/>
      </c>
      <c r="H3826" s="47" t="str">
        <f>IFERROR(VLOOKUP(G3826,WholesaleExtract!B:L,11,FALSE),"")</f>
        <v/>
      </c>
      <c r="I3826" s="26" t="str">
        <f>IFERROR(VLOOKUP(G3826,WholesaleExtract!B:O,8,FALSE),"")</f>
        <v/>
      </c>
      <c r="J3826" s="26" t="str">
        <f>IFERROR(VLOOKUP(G3826,WholesaleExtract!B:O,14,FALSE),"")</f>
        <v/>
      </c>
      <c r="K3826" s="26" t="str">
        <f>IFERROR(VLOOKUP(G3826,WholesaleExtract!B:K,10,FALSE),"")</f>
        <v/>
      </c>
      <c r="L3826" s="47" t="str">
        <f>IFERROR(VLOOKUP(G3826,WholesaleExtract!B:L,11,FALSE),"")</f>
        <v/>
      </c>
      <c r="M3826" s="47" t="str">
        <f>IFERROR(VLOOKUP(G3826,WholesaleExtract!B:M,12,FALSE),"")</f>
        <v/>
      </c>
      <c r="R3826" s="19"/>
      <c r="S3826" s="19"/>
    </row>
    <row r="3827" spans="1:19" x14ac:dyDescent="0.35">
      <c r="A3827" s="26" t="s">
        <v>543</v>
      </c>
      <c r="B3827" s="26" t="s">
        <v>543</v>
      </c>
      <c r="C3827" s="26"/>
      <c r="D3827" s="26" t="s">
        <v>543</v>
      </c>
      <c r="E3827" s="26" t="str">
        <f>IFERROR(VLOOKUP(G3827,WholesaleExtract!B:J,9,FALSE),"")</f>
        <v/>
      </c>
      <c r="F3827" s="26" t="str">
        <f>IFERROR(VLOOKUP(G3827,WholesaleExtract!B:J,6,FALSE),"")</f>
        <v/>
      </c>
      <c r="H3827" s="47" t="str">
        <f>IFERROR(VLOOKUP(G3827,WholesaleExtract!B:L,11,FALSE),"")</f>
        <v/>
      </c>
      <c r="I3827" s="26" t="str">
        <f>IFERROR(VLOOKUP(G3827,WholesaleExtract!B:O,8,FALSE),"")</f>
        <v/>
      </c>
      <c r="J3827" s="26" t="str">
        <f>IFERROR(VLOOKUP(G3827,WholesaleExtract!B:O,14,FALSE),"")</f>
        <v/>
      </c>
      <c r="K3827" s="26" t="str">
        <f>IFERROR(VLOOKUP(G3827,WholesaleExtract!B:K,10,FALSE),"")</f>
        <v/>
      </c>
      <c r="L3827" s="47" t="str">
        <f>IFERROR(VLOOKUP(G3827,WholesaleExtract!B:L,11,FALSE),"")</f>
        <v/>
      </c>
      <c r="M3827" s="47" t="str">
        <f>IFERROR(VLOOKUP(G3827,WholesaleExtract!B:M,12,FALSE),"")</f>
        <v/>
      </c>
      <c r="R3827" s="19"/>
      <c r="S3827" s="19"/>
    </row>
    <row r="3828" spans="1:19" x14ac:dyDescent="0.35">
      <c r="A3828" s="26" t="s">
        <v>543</v>
      </c>
      <c r="B3828" s="26" t="s">
        <v>543</v>
      </c>
      <c r="C3828" s="26"/>
      <c r="D3828" s="26" t="s">
        <v>543</v>
      </c>
      <c r="E3828" s="26" t="str">
        <f>IFERROR(VLOOKUP(G3828,WholesaleExtract!B:J,9,FALSE),"")</f>
        <v/>
      </c>
      <c r="F3828" s="26" t="str">
        <f>IFERROR(VLOOKUP(G3828,WholesaleExtract!B:J,6,FALSE),"")</f>
        <v/>
      </c>
      <c r="H3828" s="47" t="str">
        <f>IFERROR(VLOOKUP(G3828,WholesaleExtract!B:L,11,FALSE),"")</f>
        <v/>
      </c>
      <c r="I3828" s="26" t="str">
        <f>IFERROR(VLOOKUP(G3828,WholesaleExtract!B:O,8,FALSE),"")</f>
        <v/>
      </c>
      <c r="J3828" s="26" t="str">
        <f>IFERROR(VLOOKUP(G3828,WholesaleExtract!B:O,14,FALSE),"")</f>
        <v/>
      </c>
      <c r="K3828" s="26" t="str">
        <f>IFERROR(VLOOKUP(G3828,WholesaleExtract!B:K,10,FALSE),"")</f>
        <v/>
      </c>
      <c r="L3828" s="47" t="str">
        <f>IFERROR(VLOOKUP(G3828,WholesaleExtract!B:L,11,FALSE),"")</f>
        <v/>
      </c>
      <c r="M3828" s="47" t="str">
        <f>IFERROR(VLOOKUP(G3828,WholesaleExtract!B:M,12,FALSE),"")</f>
        <v/>
      </c>
      <c r="R3828" s="19"/>
      <c r="S3828" s="19"/>
    </row>
    <row r="3829" spans="1:19" x14ac:dyDescent="0.35">
      <c r="A3829" s="26" t="s">
        <v>543</v>
      </c>
      <c r="B3829" s="26" t="s">
        <v>543</v>
      </c>
      <c r="C3829" s="26"/>
      <c r="D3829" s="26" t="s">
        <v>543</v>
      </c>
      <c r="E3829" s="26" t="str">
        <f>IFERROR(VLOOKUP(G3829,WholesaleExtract!B:J,9,FALSE),"")</f>
        <v/>
      </c>
      <c r="F3829" s="26" t="str">
        <f>IFERROR(VLOOKUP(G3829,WholesaleExtract!B:J,6,FALSE),"")</f>
        <v/>
      </c>
      <c r="H3829" s="47" t="str">
        <f>IFERROR(VLOOKUP(G3829,WholesaleExtract!B:L,11,FALSE),"")</f>
        <v/>
      </c>
      <c r="I3829" s="26" t="str">
        <f>IFERROR(VLOOKUP(G3829,WholesaleExtract!B:O,8,FALSE),"")</f>
        <v/>
      </c>
      <c r="J3829" s="26" t="str">
        <f>IFERROR(VLOOKUP(G3829,WholesaleExtract!B:O,14,FALSE),"")</f>
        <v/>
      </c>
      <c r="K3829" s="26" t="str">
        <f>IFERROR(VLOOKUP(G3829,WholesaleExtract!B:K,10,FALSE),"")</f>
        <v/>
      </c>
      <c r="L3829" s="47" t="str">
        <f>IFERROR(VLOOKUP(G3829,WholesaleExtract!B:L,11,FALSE),"")</f>
        <v/>
      </c>
      <c r="M3829" s="47" t="str">
        <f>IFERROR(VLOOKUP(G3829,WholesaleExtract!B:M,12,FALSE),"")</f>
        <v/>
      </c>
      <c r="R3829" s="19"/>
      <c r="S3829" s="19"/>
    </row>
    <row r="3830" spans="1:19" x14ac:dyDescent="0.35">
      <c r="A3830" s="26" t="s">
        <v>543</v>
      </c>
      <c r="B3830" s="26" t="s">
        <v>543</v>
      </c>
      <c r="C3830" s="26"/>
      <c r="D3830" s="26" t="s">
        <v>543</v>
      </c>
      <c r="E3830" s="26" t="str">
        <f>IFERROR(VLOOKUP(G3830,WholesaleExtract!B:J,9,FALSE),"")</f>
        <v/>
      </c>
      <c r="F3830" s="26" t="str">
        <f>IFERROR(VLOOKUP(G3830,WholesaleExtract!B:J,6,FALSE),"")</f>
        <v/>
      </c>
      <c r="H3830" s="47" t="str">
        <f>IFERROR(VLOOKUP(G3830,WholesaleExtract!B:L,11,FALSE),"")</f>
        <v/>
      </c>
      <c r="I3830" s="26" t="str">
        <f>IFERROR(VLOOKUP(G3830,WholesaleExtract!B:O,8,FALSE),"")</f>
        <v/>
      </c>
      <c r="J3830" s="26" t="str">
        <f>IFERROR(VLOOKUP(G3830,WholesaleExtract!B:O,14,FALSE),"")</f>
        <v/>
      </c>
      <c r="K3830" s="26" t="str">
        <f>IFERROR(VLOOKUP(G3830,WholesaleExtract!B:K,10,FALSE),"")</f>
        <v/>
      </c>
      <c r="L3830" s="47" t="str">
        <f>IFERROR(VLOOKUP(G3830,WholesaleExtract!B:L,11,FALSE),"")</f>
        <v/>
      </c>
      <c r="M3830" s="47" t="str">
        <f>IFERROR(VLOOKUP(G3830,WholesaleExtract!B:M,12,FALSE),"")</f>
        <v/>
      </c>
      <c r="R3830" s="19"/>
      <c r="S3830" s="19"/>
    </row>
    <row r="3831" spans="1:19" x14ac:dyDescent="0.35">
      <c r="A3831" s="26" t="s">
        <v>543</v>
      </c>
      <c r="B3831" s="26" t="s">
        <v>543</v>
      </c>
      <c r="C3831" s="26"/>
      <c r="D3831" s="26" t="s">
        <v>543</v>
      </c>
      <c r="E3831" s="26" t="str">
        <f>IFERROR(VLOOKUP(G3831,WholesaleExtract!B:J,9,FALSE),"")</f>
        <v/>
      </c>
      <c r="F3831" s="26" t="str">
        <f>IFERROR(VLOOKUP(G3831,WholesaleExtract!B:J,6,FALSE),"")</f>
        <v/>
      </c>
      <c r="H3831" s="47" t="str">
        <f>IFERROR(VLOOKUP(G3831,WholesaleExtract!B:L,11,FALSE),"")</f>
        <v/>
      </c>
      <c r="I3831" s="26" t="str">
        <f>IFERROR(VLOOKUP(G3831,WholesaleExtract!B:O,8,FALSE),"")</f>
        <v/>
      </c>
      <c r="J3831" s="26" t="str">
        <f>IFERROR(VLOOKUP(G3831,WholesaleExtract!B:O,14,FALSE),"")</f>
        <v/>
      </c>
      <c r="K3831" s="26" t="str">
        <f>IFERROR(VLOOKUP(G3831,WholesaleExtract!B:K,10,FALSE),"")</f>
        <v/>
      </c>
      <c r="L3831" s="47" t="str">
        <f>IFERROR(VLOOKUP(G3831,WholesaleExtract!B:L,11,FALSE),"")</f>
        <v/>
      </c>
      <c r="M3831" s="47" t="str">
        <f>IFERROR(VLOOKUP(G3831,WholesaleExtract!B:M,12,FALSE),"")</f>
        <v/>
      </c>
      <c r="R3831" s="19"/>
      <c r="S3831" s="19"/>
    </row>
    <row r="3832" spans="1:19" x14ac:dyDescent="0.35">
      <c r="A3832" s="26" t="s">
        <v>543</v>
      </c>
      <c r="B3832" s="26" t="s">
        <v>543</v>
      </c>
      <c r="C3832" s="26"/>
      <c r="D3832" s="26" t="s">
        <v>543</v>
      </c>
      <c r="E3832" s="26" t="str">
        <f>IFERROR(VLOOKUP(G3832,WholesaleExtract!B:J,9,FALSE),"")</f>
        <v/>
      </c>
      <c r="F3832" s="26" t="str">
        <f>IFERROR(VLOOKUP(G3832,WholesaleExtract!B:J,6,FALSE),"")</f>
        <v/>
      </c>
      <c r="H3832" s="47" t="str">
        <f>IFERROR(VLOOKUP(G3832,WholesaleExtract!B:L,11,FALSE),"")</f>
        <v/>
      </c>
      <c r="I3832" s="26" t="str">
        <f>IFERROR(VLOOKUP(G3832,WholesaleExtract!B:O,8,FALSE),"")</f>
        <v/>
      </c>
      <c r="J3832" s="26" t="str">
        <f>IFERROR(VLOOKUP(G3832,WholesaleExtract!B:O,14,FALSE),"")</f>
        <v/>
      </c>
      <c r="K3832" s="26" t="str">
        <f>IFERROR(VLOOKUP(G3832,WholesaleExtract!B:K,10,FALSE),"")</f>
        <v/>
      </c>
      <c r="L3832" s="47" t="str">
        <f>IFERROR(VLOOKUP(G3832,WholesaleExtract!B:L,11,FALSE),"")</f>
        <v/>
      </c>
      <c r="M3832" s="47" t="str">
        <f>IFERROR(VLOOKUP(G3832,WholesaleExtract!B:M,12,FALSE),"")</f>
        <v/>
      </c>
      <c r="R3832" s="19"/>
      <c r="S3832" s="19"/>
    </row>
    <row r="3833" spans="1:19" x14ac:dyDescent="0.35">
      <c r="A3833" s="26" t="s">
        <v>543</v>
      </c>
      <c r="B3833" s="26" t="s">
        <v>543</v>
      </c>
      <c r="C3833" s="26"/>
      <c r="D3833" s="26" t="s">
        <v>543</v>
      </c>
      <c r="E3833" s="26" t="str">
        <f>IFERROR(VLOOKUP(G3833,WholesaleExtract!B:J,9,FALSE),"")</f>
        <v/>
      </c>
      <c r="F3833" s="26" t="str">
        <f>IFERROR(VLOOKUP(G3833,WholesaleExtract!B:J,6,FALSE),"")</f>
        <v/>
      </c>
      <c r="H3833" s="47" t="str">
        <f>IFERROR(VLOOKUP(G3833,WholesaleExtract!B:L,11,FALSE),"")</f>
        <v/>
      </c>
      <c r="I3833" s="26" t="str">
        <f>IFERROR(VLOOKUP(G3833,WholesaleExtract!B:O,8,FALSE),"")</f>
        <v/>
      </c>
      <c r="J3833" s="26" t="str">
        <f>IFERROR(VLOOKUP(G3833,WholesaleExtract!B:O,14,FALSE),"")</f>
        <v/>
      </c>
      <c r="K3833" s="26" t="str">
        <f>IFERROR(VLOOKUP(G3833,WholesaleExtract!B:K,10,FALSE),"")</f>
        <v/>
      </c>
      <c r="L3833" s="47" t="str">
        <f>IFERROR(VLOOKUP(G3833,WholesaleExtract!B:L,11,FALSE),"")</f>
        <v/>
      </c>
      <c r="M3833" s="47" t="str">
        <f>IFERROR(VLOOKUP(G3833,WholesaleExtract!B:M,12,FALSE),"")</f>
        <v/>
      </c>
      <c r="R3833" s="19"/>
      <c r="S3833" s="19"/>
    </row>
    <row r="3834" spans="1:19" x14ac:dyDescent="0.35">
      <c r="A3834" s="26" t="s">
        <v>543</v>
      </c>
      <c r="B3834" s="26" t="s">
        <v>543</v>
      </c>
      <c r="C3834" s="26"/>
      <c r="D3834" s="26" t="s">
        <v>543</v>
      </c>
      <c r="E3834" s="26" t="str">
        <f>IFERROR(VLOOKUP(G3834,WholesaleExtract!B:J,9,FALSE),"")</f>
        <v/>
      </c>
      <c r="F3834" s="26" t="str">
        <f>IFERROR(VLOOKUP(G3834,WholesaleExtract!B:J,6,FALSE),"")</f>
        <v/>
      </c>
      <c r="H3834" s="47" t="str">
        <f>IFERROR(VLOOKUP(G3834,WholesaleExtract!B:L,11,FALSE),"")</f>
        <v/>
      </c>
      <c r="I3834" s="26" t="str">
        <f>IFERROR(VLOOKUP(G3834,WholesaleExtract!B:O,8,FALSE),"")</f>
        <v/>
      </c>
      <c r="J3834" s="26" t="str">
        <f>IFERROR(VLOOKUP(G3834,WholesaleExtract!B:O,14,FALSE),"")</f>
        <v/>
      </c>
      <c r="K3834" s="26" t="str">
        <f>IFERROR(VLOOKUP(G3834,WholesaleExtract!B:K,10,FALSE),"")</f>
        <v/>
      </c>
      <c r="L3834" s="47" t="str">
        <f>IFERROR(VLOOKUP(G3834,WholesaleExtract!B:L,11,FALSE),"")</f>
        <v/>
      </c>
      <c r="M3834" s="47" t="str">
        <f>IFERROR(VLOOKUP(G3834,WholesaleExtract!B:M,12,FALSE),"")</f>
        <v/>
      </c>
      <c r="R3834" s="19"/>
      <c r="S3834" s="19"/>
    </row>
    <row r="3835" spans="1:19" x14ac:dyDescent="0.35">
      <c r="A3835" s="26" t="s">
        <v>543</v>
      </c>
      <c r="B3835" s="26" t="s">
        <v>543</v>
      </c>
      <c r="C3835" s="26"/>
      <c r="D3835" s="26" t="s">
        <v>543</v>
      </c>
      <c r="E3835" s="26" t="str">
        <f>IFERROR(VLOOKUP(G3835,WholesaleExtract!B:J,9,FALSE),"")</f>
        <v/>
      </c>
      <c r="F3835" s="26" t="str">
        <f>IFERROR(VLOOKUP(G3835,WholesaleExtract!B:J,6,FALSE),"")</f>
        <v/>
      </c>
      <c r="H3835" s="47" t="str">
        <f>IFERROR(VLOOKUP(G3835,WholesaleExtract!B:L,11,FALSE),"")</f>
        <v/>
      </c>
      <c r="I3835" s="26" t="str">
        <f>IFERROR(VLOOKUP(G3835,WholesaleExtract!B:O,8,FALSE),"")</f>
        <v/>
      </c>
      <c r="J3835" s="26" t="str">
        <f>IFERROR(VLOOKUP(G3835,WholesaleExtract!B:O,14,FALSE),"")</f>
        <v/>
      </c>
      <c r="K3835" s="26" t="str">
        <f>IFERROR(VLOOKUP(G3835,WholesaleExtract!B:K,10,FALSE),"")</f>
        <v/>
      </c>
      <c r="L3835" s="47" t="str">
        <f>IFERROR(VLOOKUP(G3835,WholesaleExtract!B:L,11,FALSE),"")</f>
        <v/>
      </c>
      <c r="M3835" s="47" t="str">
        <f>IFERROR(VLOOKUP(G3835,WholesaleExtract!B:M,12,FALSE),"")</f>
        <v/>
      </c>
      <c r="R3835" s="19"/>
      <c r="S3835" s="19"/>
    </row>
    <row r="3836" spans="1:19" x14ac:dyDescent="0.35">
      <c r="A3836" s="26" t="s">
        <v>543</v>
      </c>
      <c r="B3836" s="26" t="s">
        <v>543</v>
      </c>
      <c r="C3836" s="26"/>
      <c r="D3836" s="26" t="s">
        <v>543</v>
      </c>
      <c r="E3836" s="26" t="str">
        <f>IFERROR(VLOOKUP(G3836,WholesaleExtract!B:J,9,FALSE),"")</f>
        <v/>
      </c>
      <c r="F3836" s="26" t="str">
        <f>IFERROR(VLOOKUP(G3836,WholesaleExtract!B:J,6,FALSE),"")</f>
        <v/>
      </c>
      <c r="H3836" s="47" t="str">
        <f>IFERROR(VLOOKUP(G3836,WholesaleExtract!B:L,11,FALSE),"")</f>
        <v/>
      </c>
      <c r="I3836" s="26" t="str">
        <f>IFERROR(VLOOKUP(G3836,WholesaleExtract!B:O,8,FALSE),"")</f>
        <v/>
      </c>
      <c r="J3836" s="26" t="str">
        <f>IFERROR(VLOOKUP(G3836,WholesaleExtract!B:O,14,FALSE),"")</f>
        <v/>
      </c>
      <c r="K3836" s="26" t="str">
        <f>IFERROR(VLOOKUP(G3836,WholesaleExtract!B:K,10,FALSE),"")</f>
        <v/>
      </c>
      <c r="L3836" s="47" t="str">
        <f>IFERROR(VLOOKUP(G3836,WholesaleExtract!B:L,11,FALSE),"")</f>
        <v/>
      </c>
      <c r="M3836" s="47" t="str">
        <f>IFERROR(VLOOKUP(G3836,WholesaleExtract!B:M,12,FALSE),"")</f>
        <v/>
      </c>
      <c r="R3836" s="19"/>
      <c r="S3836" s="19"/>
    </row>
    <row r="3837" spans="1:19" x14ac:dyDescent="0.35">
      <c r="A3837" s="26" t="s">
        <v>543</v>
      </c>
      <c r="B3837" s="26" t="s">
        <v>543</v>
      </c>
      <c r="C3837" s="26"/>
      <c r="D3837" s="26" t="s">
        <v>543</v>
      </c>
      <c r="E3837" s="26" t="str">
        <f>IFERROR(VLOOKUP(G3837,WholesaleExtract!B:J,9,FALSE),"")</f>
        <v/>
      </c>
      <c r="F3837" s="26" t="str">
        <f>IFERROR(VLOOKUP(G3837,WholesaleExtract!B:J,6,FALSE),"")</f>
        <v/>
      </c>
      <c r="H3837" s="47" t="str">
        <f>IFERROR(VLOOKUP(G3837,WholesaleExtract!B:L,11,FALSE),"")</f>
        <v/>
      </c>
      <c r="I3837" s="26" t="str">
        <f>IFERROR(VLOOKUP(G3837,WholesaleExtract!B:O,8,FALSE),"")</f>
        <v/>
      </c>
      <c r="J3837" s="26" t="str">
        <f>IFERROR(VLOOKUP(G3837,WholesaleExtract!B:O,14,FALSE),"")</f>
        <v/>
      </c>
      <c r="K3837" s="26" t="str">
        <f>IFERROR(VLOOKUP(G3837,WholesaleExtract!B:K,10,FALSE),"")</f>
        <v/>
      </c>
      <c r="L3837" s="47" t="str">
        <f>IFERROR(VLOOKUP(G3837,WholesaleExtract!B:L,11,FALSE),"")</f>
        <v/>
      </c>
      <c r="M3837" s="47" t="str">
        <f>IFERROR(VLOOKUP(G3837,WholesaleExtract!B:M,12,FALSE),"")</f>
        <v/>
      </c>
      <c r="R3837" s="19"/>
      <c r="S3837" s="19"/>
    </row>
    <row r="3838" spans="1:19" x14ac:dyDescent="0.35">
      <c r="A3838" s="26" t="s">
        <v>543</v>
      </c>
      <c r="B3838" s="26" t="s">
        <v>543</v>
      </c>
      <c r="C3838" s="26"/>
      <c r="D3838" s="26" t="s">
        <v>543</v>
      </c>
      <c r="E3838" s="26" t="str">
        <f>IFERROR(VLOOKUP(G3838,WholesaleExtract!B:J,9,FALSE),"")</f>
        <v/>
      </c>
      <c r="F3838" s="26" t="str">
        <f>IFERROR(VLOOKUP(G3838,WholesaleExtract!B:J,6,FALSE),"")</f>
        <v/>
      </c>
      <c r="H3838" s="47" t="str">
        <f>IFERROR(VLOOKUP(G3838,WholesaleExtract!B:L,11,FALSE),"")</f>
        <v/>
      </c>
      <c r="I3838" s="26" t="str">
        <f>IFERROR(VLOOKUP(G3838,WholesaleExtract!B:O,8,FALSE),"")</f>
        <v/>
      </c>
      <c r="J3838" s="26" t="str">
        <f>IFERROR(VLOOKUP(G3838,WholesaleExtract!B:O,14,FALSE),"")</f>
        <v/>
      </c>
      <c r="K3838" s="26" t="str">
        <f>IFERROR(VLOOKUP(G3838,WholesaleExtract!B:K,10,FALSE),"")</f>
        <v/>
      </c>
      <c r="L3838" s="47" t="str">
        <f>IFERROR(VLOOKUP(G3838,WholesaleExtract!B:L,11,FALSE),"")</f>
        <v/>
      </c>
      <c r="M3838" s="47" t="str">
        <f>IFERROR(VLOOKUP(G3838,WholesaleExtract!B:M,12,FALSE),"")</f>
        <v/>
      </c>
      <c r="R3838" s="19"/>
      <c r="S3838" s="19"/>
    </row>
    <row r="3839" spans="1:19" x14ac:dyDescent="0.35">
      <c r="A3839" s="26" t="s">
        <v>543</v>
      </c>
      <c r="B3839" s="26" t="s">
        <v>543</v>
      </c>
      <c r="C3839" s="26"/>
      <c r="D3839" s="26" t="s">
        <v>543</v>
      </c>
      <c r="E3839" s="26" t="str">
        <f>IFERROR(VLOOKUP(G3839,WholesaleExtract!B:J,9,FALSE),"")</f>
        <v/>
      </c>
      <c r="F3839" s="26" t="str">
        <f>IFERROR(VLOOKUP(G3839,WholesaleExtract!B:J,6,FALSE),"")</f>
        <v/>
      </c>
      <c r="H3839" s="47" t="str">
        <f>IFERROR(VLOOKUP(G3839,WholesaleExtract!B:L,11,FALSE),"")</f>
        <v/>
      </c>
      <c r="I3839" s="26" t="str">
        <f>IFERROR(VLOOKUP(G3839,WholesaleExtract!B:O,8,FALSE),"")</f>
        <v/>
      </c>
      <c r="J3839" s="26" t="str">
        <f>IFERROR(VLOOKUP(G3839,WholesaleExtract!B:O,14,FALSE),"")</f>
        <v/>
      </c>
      <c r="K3839" s="26" t="str">
        <f>IFERROR(VLOOKUP(G3839,WholesaleExtract!B:K,10,FALSE),"")</f>
        <v/>
      </c>
      <c r="L3839" s="47" t="str">
        <f>IFERROR(VLOOKUP(G3839,WholesaleExtract!B:L,11,FALSE),"")</f>
        <v/>
      </c>
      <c r="M3839" s="47" t="str">
        <f>IFERROR(VLOOKUP(G3839,WholesaleExtract!B:M,12,FALSE),"")</f>
        <v/>
      </c>
      <c r="R3839" s="19"/>
      <c r="S3839" s="19"/>
    </row>
    <row r="3840" spans="1:19" x14ac:dyDescent="0.35">
      <c r="A3840" s="26" t="s">
        <v>543</v>
      </c>
      <c r="B3840" s="26" t="s">
        <v>543</v>
      </c>
      <c r="C3840" s="26"/>
      <c r="D3840" s="26" t="s">
        <v>543</v>
      </c>
      <c r="E3840" s="26" t="str">
        <f>IFERROR(VLOOKUP(G3840,WholesaleExtract!B:J,9,FALSE),"")</f>
        <v/>
      </c>
      <c r="F3840" s="26" t="str">
        <f>IFERROR(VLOOKUP(G3840,WholesaleExtract!B:J,6,FALSE),"")</f>
        <v/>
      </c>
      <c r="H3840" s="47" t="str">
        <f>IFERROR(VLOOKUP(G3840,WholesaleExtract!B:L,11,FALSE),"")</f>
        <v/>
      </c>
      <c r="I3840" s="26" t="str">
        <f>IFERROR(VLOOKUP(G3840,WholesaleExtract!B:O,8,FALSE),"")</f>
        <v/>
      </c>
      <c r="J3840" s="26" t="str">
        <f>IFERROR(VLOOKUP(G3840,WholesaleExtract!B:O,14,FALSE),"")</f>
        <v/>
      </c>
      <c r="K3840" s="26" t="str">
        <f>IFERROR(VLOOKUP(G3840,WholesaleExtract!B:K,10,FALSE),"")</f>
        <v/>
      </c>
      <c r="L3840" s="47" t="str">
        <f>IFERROR(VLOOKUP(G3840,WholesaleExtract!B:L,11,FALSE),"")</f>
        <v/>
      </c>
      <c r="M3840" s="47" t="str">
        <f>IFERROR(VLOOKUP(G3840,WholesaleExtract!B:M,12,FALSE),"")</f>
        <v/>
      </c>
      <c r="R3840" s="19"/>
      <c r="S3840" s="19"/>
    </row>
    <row r="3841" spans="1:19" x14ac:dyDescent="0.35">
      <c r="A3841" s="26" t="s">
        <v>543</v>
      </c>
      <c r="B3841" s="26" t="s">
        <v>543</v>
      </c>
      <c r="C3841" s="26"/>
      <c r="D3841" s="26" t="s">
        <v>543</v>
      </c>
      <c r="E3841" s="26" t="str">
        <f>IFERROR(VLOOKUP(G3841,WholesaleExtract!B:J,9,FALSE),"")</f>
        <v/>
      </c>
      <c r="F3841" s="26" t="str">
        <f>IFERROR(VLOOKUP(G3841,WholesaleExtract!B:J,6,FALSE),"")</f>
        <v/>
      </c>
      <c r="H3841" s="47" t="str">
        <f>IFERROR(VLOOKUP(G3841,WholesaleExtract!B:L,11,FALSE),"")</f>
        <v/>
      </c>
      <c r="I3841" s="26" t="str">
        <f>IFERROR(VLOOKUP(G3841,WholesaleExtract!B:O,8,FALSE),"")</f>
        <v/>
      </c>
      <c r="J3841" s="26" t="str">
        <f>IFERROR(VLOOKUP(G3841,WholesaleExtract!B:O,14,FALSE),"")</f>
        <v/>
      </c>
      <c r="K3841" s="26" t="str">
        <f>IFERROR(VLOOKUP(G3841,WholesaleExtract!B:K,10,FALSE),"")</f>
        <v/>
      </c>
      <c r="L3841" s="47" t="str">
        <f>IFERROR(VLOOKUP(G3841,WholesaleExtract!B:L,11,FALSE),"")</f>
        <v/>
      </c>
      <c r="M3841" s="47" t="str">
        <f>IFERROR(VLOOKUP(G3841,WholesaleExtract!B:M,12,FALSE),"")</f>
        <v/>
      </c>
      <c r="R3841" s="19"/>
      <c r="S3841" s="19"/>
    </row>
    <row r="3842" spans="1:19" x14ac:dyDescent="0.35">
      <c r="A3842" s="26" t="s">
        <v>543</v>
      </c>
      <c r="B3842" s="26" t="s">
        <v>543</v>
      </c>
      <c r="C3842" s="26"/>
      <c r="D3842" s="26" t="s">
        <v>543</v>
      </c>
      <c r="E3842" s="26" t="str">
        <f>IFERROR(VLOOKUP(G3842,WholesaleExtract!B:J,9,FALSE),"")</f>
        <v/>
      </c>
      <c r="F3842" s="26" t="str">
        <f>IFERROR(VLOOKUP(G3842,WholesaleExtract!B:J,6,FALSE),"")</f>
        <v/>
      </c>
      <c r="H3842" s="47" t="str">
        <f>IFERROR(VLOOKUP(G3842,WholesaleExtract!B:L,11,FALSE),"")</f>
        <v/>
      </c>
      <c r="I3842" s="26" t="str">
        <f>IFERROR(VLOOKUP(G3842,WholesaleExtract!B:O,8,FALSE),"")</f>
        <v/>
      </c>
      <c r="J3842" s="26" t="str">
        <f>IFERROR(VLOOKUP(G3842,WholesaleExtract!B:O,14,FALSE),"")</f>
        <v/>
      </c>
      <c r="K3842" s="26" t="str">
        <f>IFERROR(VLOOKUP(G3842,WholesaleExtract!B:K,10,FALSE),"")</f>
        <v/>
      </c>
      <c r="L3842" s="47" t="str">
        <f>IFERROR(VLOOKUP(G3842,WholesaleExtract!B:L,11,FALSE),"")</f>
        <v/>
      </c>
      <c r="M3842" s="47" t="str">
        <f>IFERROR(VLOOKUP(G3842,WholesaleExtract!B:M,12,FALSE),"")</f>
        <v/>
      </c>
      <c r="R3842" s="19"/>
      <c r="S3842" s="19"/>
    </row>
    <row r="3843" spans="1:19" x14ac:dyDescent="0.35">
      <c r="A3843" s="26" t="s">
        <v>543</v>
      </c>
      <c r="B3843" s="26" t="s">
        <v>543</v>
      </c>
      <c r="C3843" s="26"/>
      <c r="D3843" s="26" t="s">
        <v>543</v>
      </c>
      <c r="E3843" s="26" t="str">
        <f>IFERROR(VLOOKUP(G3843,WholesaleExtract!B:J,9,FALSE),"")</f>
        <v/>
      </c>
      <c r="F3843" s="26" t="str">
        <f>IFERROR(VLOOKUP(G3843,WholesaleExtract!B:J,6,FALSE),"")</f>
        <v/>
      </c>
      <c r="H3843" s="47" t="str">
        <f>IFERROR(VLOOKUP(G3843,WholesaleExtract!B:L,11,FALSE),"")</f>
        <v/>
      </c>
      <c r="I3843" s="26" t="str">
        <f>IFERROR(VLOOKUP(G3843,WholesaleExtract!B:O,8,FALSE),"")</f>
        <v/>
      </c>
      <c r="J3843" s="26" t="str">
        <f>IFERROR(VLOOKUP(G3843,WholesaleExtract!B:O,14,FALSE),"")</f>
        <v/>
      </c>
      <c r="K3843" s="26" t="str">
        <f>IFERROR(VLOOKUP(G3843,WholesaleExtract!B:K,10,FALSE),"")</f>
        <v/>
      </c>
      <c r="L3843" s="47" t="str">
        <f>IFERROR(VLOOKUP(G3843,WholesaleExtract!B:L,11,FALSE),"")</f>
        <v/>
      </c>
      <c r="M3843" s="47" t="str">
        <f>IFERROR(VLOOKUP(G3843,WholesaleExtract!B:M,12,FALSE),"")</f>
        <v/>
      </c>
      <c r="R3843" s="19"/>
      <c r="S3843" s="19"/>
    </row>
    <row r="3844" spans="1:19" x14ac:dyDescent="0.35">
      <c r="A3844" s="26" t="s">
        <v>543</v>
      </c>
      <c r="B3844" s="26" t="s">
        <v>543</v>
      </c>
      <c r="C3844" s="26"/>
      <c r="D3844" s="26" t="s">
        <v>543</v>
      </c>
      <c r="E3844" s="26" t="str">
        <f>IFERROR(VLOOKUP(G3844,WholesaleExtract!B:J,9,FALSE),"")</f>
        <v/>
      </c>
      <c r="F3844" s="26" t="str">
        <f>IFERROR(VLOOKUP(G3844,WholesaleExtract!B:J,6,FALSE),"")</f>
        <v/>
      </c>
      <c r="H3844" s="47" t="str">
        <f>IFERROR(VLOOKUP(G3844,WholesaleExtract!B:L,11,FALSE),"")</f>
        <v/>
      </c>
      <c r="I3844" s="26" t="str">
        <f>IFERROR(VLOOKUP(G3844,WholesaleExtract!B:O,8,FALSE),"")</f>
        <v/>
      </c>
      <c r="J3844" s="26" t="str">
        <f>IFERROR(VLOOKUP(G3844,WholesaleExtract!B:O,14,FALSE),"")</f>
        <v/>
      </c>
      <c r="K3844" s="26" t="str">
        <f>IFERROR(VLOOKUP(G3844,WholesaleExtract!B:K,10,FALSE),"")</f>
        <v/>
      </c>
      <c r="L3844" s="47" t="str">
        <f>IFERROR(VLOOKUP(G3844,WholesaleExtract!B:L,11,FALSE),"")</f>
        <v/>
      </c>
      <c r="M3844" s="47" t="str">
        <f>IFERROR(VLOOKUP(G3844,WholesaleExtract!B:M,12,FALSE),"")</f>
        <v/>
      </c>
      <c r="R3844" s="19"/>
      <c r="S3844" s="19"/>
    </row>
    <row r="3845" spans="1:19" x14ac:dyDescent="0.35">
      <c r="A3845" s="26" t="s">
        <v>543</v>
      </c>
      <c r="B3845" s="26" t="s">
        <v>543</v>
      </c>
      <c r="C3845" s="26"/>
      <c r="D3845" s="26" t="s">
        <v>543</v>
      </c>
      <c r="E3845" s="26" t="str">
        <f>IFERROR(VLOOKUP(G3845,WholesaleExtract!B:J,9,FALSE),"")</f>
        <v/>
      </c>
      <c r="F3845" s="26" t="str">
        <f>IFERROR(VLOOKUP(G3845,WholesaleExtract!B:J,6,FALSE),"")</f>
        <v/>
      </c>
      <c r="H3845" s="47" t="str">
        <f>IFERROR(VLOOKUP(G3845,WholesaleExtract!B:L,11,FALSE),"")</f>
        <v/>
      </c>
      <c r="I3845" s="26" t="str">
        <f>IFERROR(VLOOKUP(G3845,WholesaleExtract!B:O,8,FALSE),"")</f>
        <v/>
      </c>
      <c r="J3845" s="26" t="str">
        <f>IFERROR(VLOOKUP(G3845,WholesaleExtract!B:O,14,FALSE),"")</f>
        <v/>
      </c>
      <c r="K3845" s="26" t="str">
        <f>IFERROR(VLOOKUP(G3845,WholesaleExtract!B:K,10,FALSE),"")</f>
        <v/>
      </c>
      <c r="L3845" s="47" t="str">
        <f>IFERROR(VLOOKUP(G3845,WholesaleExtract!B:L,11,FALSE),"")</f>
        <v/>
      </c>
      <c r="M3845" s="47" t="str">
        <f>IFERROR(VLOOKUP(G3845,WholesaleExtract!B:M,12,FALSE),"")</f>
        <v/>
      </c>
      <c r="R3845" s="19"/>
      <c r="S3845" s="19"/>
    </row>
    <row r="3846" spans="1:19" x14ac:dyDescent="0.35">
      <c r="A3846" s="26" t="s">
        <v>543</v>
      </c>
      <c r="B3846" s="26" t="s">
        <v>543</v>
      </c>
      <c r="C3846" s="26"/>
      <c r="D3846" s="26" t="s">
        <v>543</v>
      </c>
      <c r="E3846" s="26" t="str">
        <f>IFERROR(VLOOKUP(G3846,WholesaleExtract!B:J,9,FALSE),"")</f>
        <v/>
      </c>
      <c r="F3846" s="26" t="str">
        <f>IFERROR(VLOOKUP(G3846,WholesaleExtract!B:J,6,FALSE),"")</f>
        <v/>
      </c>
      <c r="H3846" s="47" t="str">
        <f>IFERROR(VLOOKUP(G3846,WholesaleExtract!B:L,11,FALSE),"")</f>
        <v/>
      </c>
      <c r="I3846" s="26" t="str">
        <f>IFERROR(VLOOKUP(G3846,WholesaleExtract!B:O,8,FALSE),"")</f>
        <v/>
      </c>
      <c r="J3846" s="26" t="str">
        <f>IFERROR(VLOOKUP(G3846,WholesaleExtract!B:O,14,FALSE),"")</f>
        <v/>
      </c>
      <c r="K3846" s="26" t="str">
        <f>IFERROR(VLOOKUP(G3846,WholesaleExtract!B:K,10,FALSE),"")</f>
        <v/>
      </c>
      <c r="L3846" s="47" t="str">
        <f>IFERROR(VLOOKUP(G3846,WholesaleExtract!B:L,11,FALSE),"")</f>
        <v/>
      </c>
      <c r="M3846" s="47" t="str">
        <f>IFERROR(VLOOKUP(G3846,WholesaleExtract!B:M,12,FALSE),"")</f>
        <v/>
      </c>
      <c r="R3846" s="19"/>
      <c r="S3846" s="19"/>
    </row>
    <row r="3847" spans="1:19" x14ac:dyDescent="0.35">
      <c r="A3847" s="26" t="s">
        <v>543</v>
      </c>
      <c r="B3847" s="26" t="s">
        <v>543</v>
      </c>
      <c r="C3847" s="26"/>
      <c r="D3847" s="26" t="s">
        <v>543</v>
      </c>
      <c r="E3847" s="26" t="str">
        <f>IFERROR(VLOOKUP(G3847,WholesaleExtract!B:J,9,FALSE),"")</f>
        <v/>
      </c>
      <c r="F3847" s="26" t="str">
        <f>IFERROR(VLOOKUP(G3847,WholesaleExtract!B:J,6,FALSE),"")</f>
        <v/>
      </c>
      <c r="H3847" s="47" t="str">
        <f>IFERROR(VLOOKUP(G3847,WholesaleExtract!B:L,11,FALSE),"")</f>
        <v/>
      </c>
      <c r="I3847" s="26" t="str">
        <f>IFERROR(VLOOKUP(G3847,WholesaleExtract!B:O,8,FALSE),"")</f>
        <v/>
      </c>
      <c r="J3847" s="26" t="str">
        <f>IFERROR(VLOOKUP(G3847,WholesaleExtract!B:O,14,FALSE),"")</f>
        <v/>
      </c>
      <c r="K3847" s="26" t="str">
        <f>IFERROR(VLOOKUP(G3847,WholesaleExtract!B:K,10,FALSE),"")</f>
        <v/>
      </c>
      <c r="L3847" s="47" t="str">
        <f>IFERROR(VLOOKUP(G3847,WholesaleExtract!B:L,11,FALSE),"")</f>
        <v/>
      </c>
      <c r="M3847" s="47" t="str">
        <f>IFERROR(VLOOKUP(G3847,WholesaleExtract!B:M,12,FALSE),"")</f>
        <v/>
      </c>
      <c r="R3847" s="19"/>
      <c r="S3847" s="19"/>
    </row>
    <row r="3848" spans="1:19" x14ac:dyDescent="0.35">
      <c r="A3848" s="26" t="s">
        <v>543</v>
      </c>
      <c r="B3848" s="26" t="s">
        <v>543</v>
      </c>
      <c r="C3848" s="26"/>
      <c r="D3848" s="26" t="s">
        <v>543</v>
      </c>
      <c r="E3848" s="26" t="str">
        <f>IFERROR(VLOOKUP(G3848,WholesaleExtract!B:J,9,FALSE),"")</f>
        <v/>
      </c>
      <c r="F3848" s="26" t="str">
        <f>IFERROR(VLOOKUP(G3848,WholesaleExtract!B:J,6,FALSE),"")</f>
        <v/>
      </c>
      <c r="H3848" s="47" t="str">
        <f>IFERROR(VLOOKUP(G3848,WholesaleExtract!B:L,11,FALSE),"")</f>
        <v/>
      </c>
      <c r="I3848" s="26" t="str">
        <f>IFERROR(VLOOKUP(G3848,WholesaleExtract!B:O,8,FALSE),"")</f>
        <v/>
      </c>
      <c r="J3848" s="26" t="str">
        <f>IFERROR(VLOOKUP(G3848,WholesaleExtract!B:O,14,FALSE),"")</f>
        <v/>
      </c>
      <c r="K3848" s="26" t="str">
        <f>IFERROR(VLOOKUP(G3848,WholesaleExtract!B:K,10,FALSE),"")</f>
        <v/>
      </c>
      <c r="L3848" s="47" t="str">
        <f>IFERROR(VLOOKUP(G3848,WholesaleExtract!B:L,11,FALSE),"")</f>
        <v/>
      </c>
      <c r="M3848" s="47" t="str">
        <f>IFERROR(VLOOKUP(G3848,WholesaleExtract!B:M,12,FALSE),"")</f>
        <v/>
      </c>
      <c r="R3848" s="19"/>
      <c r="S3848" s="19"/>
    </row>
    <row r="3849" spans="1:19" x14ac:dyDescent="0.35">
      <c r="A3849" s="26" t="s">
        <v>543</v>
      </c>
      <c r="B3849" s="26" t="s">
        <v>543</v>
      </c>
      <c r="C3849" s="26"/>
      <c r="D3849" s="26" t="s">
        <v>543</v>
      </c>
      <c r="E3849" s="26" t="str">
        <f>IFERROR(VLOOKUP(G3849,WholesaleExtract!B:J,9,FALSE),"")</f>
        <v/>
      </c>
      <c r="F3849" s="26" t="str">
        <f>IFERROR(VLOOKUP(G3849,WholesaleExtract!B:J,6,FALSE),"")</f>
        <v/>
      </c>
      <c r="H3849" s="47" t="str">
        <f>IFERROR(VLOOKUP(G3849,WholesaleExtract!B:L,11,FALSE),"")</f>
        <v/>
      </c>
      <c r="I3849" s="26" t="str">
        <f>IFERROR(VLOOKUP(G3849,WholesaleExtract!B:O,8,FALSE),"")</f>
        <v/>
      </c>
      <c r="J3849" s="26" t="str">
        <f>IFERROR(VLOOKUP(G3849,WholesaleExtract!B:O,14,FALSE),"")</f>
        <v/>
      </c>
      <c r="K3849" s="26" t="str">
        <f>IFERROR(VLOOKUP(G3849,WholesaleExtract!B:K,10,FALSE),"")</f>
        <v/>
      </c>
      <c r="L3849" s="47" t="str">
        <f>IFERROR(VLOOKUP(G3849,WholesaleExtract!B:L,11,FALSE),"")</f>
        <v/>
      </c>
      <c r="M3849" s="47" t="str">
        <f>IFERROR(VLOOKUP(G3849,WholesaleExtract!B:M,12,FALSE),"")</f>
        <v/>
      </c>
      <c r="R3849" s="19"/>
      <c r="S3849" s="19"/>
    </row>
    <row r="3850" spans="1:19" x14ac:dyDescent="0.35">
      <c r="A3850" s="26" t="s">
        <v>543</v>
      </c>
      <c r="B3850" s="26" t="s">
        <v>543</v>
      </c>
      <c r="C3850" s="26"/>
      <c r="D3850" s="26" t="s">
        <v>543</v>
      </c>
      <c r="E3850" s="26" t="str">
        <f>IFERROR(VLOOKUP(G3850,WholesaleExtract!B:J,9,FALSE),"")</f>
        <v/>
      </c>
      <c r="F3850" s="26" t="str">
        <f>IFERROR(VLOOKUP(G3850,WholesaleExtract!B:J,6,FALSE),"")</f>
        <v/>
      </c>
      <c r="H3850" s="47" t="str">
        <f>IFERROR(VLOOKUP(G3850,WholesaleExtract!B:L,11,FALSE),"")</f>
        <v/>
      </c>
      <c r="I3850" s="26" t="str">
        <f>IFERROR(VLOOKUP(G3850,WholesaleExtract!B:O,8,FALSE),"")</f>
        <v/>
      </c>
      <c r="J3850" s="26" t="str">
        <f>IFERROR(VLOOKUP(G3850,WholesaleExtract!B:O,14,FALSE),"")</f>
        <v/>
      </c>
      <c r="K3850" s="26" t="str">
        <f>IFERROR(VLOOKUP(G3850,WholesaleExtract!B:K,10,FALSE),"")</f>
        <v/>
      </c>
      <c r="L3850" s="47" t="str">
        <f>IFERROR(VLOOKUP(G3850,WholesaleExtract!B:L,11,FALSE),"")</f>
        <v/>
      </c>
      <c r="M3850" s="47" t="str">
        <f>IFERROR(VLOOKUP(G3850,WholesaleExtract!B:M,12,FALSE),"")</f>
        <v/>
      </c>
      <c r="R3850" s="19"/>
      <c r="S3850" s="19"/>
    </row>
    <row r="3851" spans="1:19" x14ac:dyDescent="0.35">
      <c r="A3851" s="26" t="s">
        <v>543</v>
      </c>
      <c r="B3851" s="26" t="s">
        <v>543</v>
      </c>
      <c r="C3851" s="26"/>
      <c r="D3851" s="26" t="s">
        <v>543</v>
      </c>
      <c r="E3851" s="26" t="str">
        <f>IFERROR(VLOOKUP(G3851,WholesaleExtract!B:J,9,FALSE),"")</f>
        <v/>
      </c>
      <c r="F3851" s="26" t="str">
        <f>IFERROR(VLOOKUP(G3851,WholesaleExtract!B:J,6,FALSE),"")</f>
        <v/>
      </c>
      <c r="H3851" s="47" t="str">
        <f>IFERROR(VLOOKUP(G3851,WholesaleExtract!B:L,11,FALSE),"")</f>
        <v/>
      </c>
      <c r="I3851" s="26" t="str">
        <f>IFERROR(VLOOKUP(G3851,WholesaleExtract!B:O,8,FALSE),"")</f>
        <v/>
      </c>
      <c r="J3851" s="26" t="str">
        <f>IFERROR(VLOOKUP(G3851,WholesaleExtract!B:O,14,FALSE),"")</f>
        <v/>
      </c>
      <c r="K3851" s="26" t="str">
        <f>IFERROR(VLOOKUP(G3851,WholesaleExtract!B:K,10,FALSE),"")</f>
        <v/>
      </c>
      <c r="L3851" s="47" t="str">
        <f>IFERROR(VLOOKUP(G3851,WholesaleExtract!B:L,11,FALSE),"")</f>
        <v/>
      </c>
      <c r="M3851" s="47" t="str">
        <f>IFERROR(VLOOKUP(G3851,WholesaleExtract!B:M,12,FALSE),"")</f>
        <v/>
      </c>
      <c r="R3851" s="19"/>
      <c r="S3851" s="19"/>
    </row>
    <row r="3852" spans="1:19" x14ac:dyDescent="0.35">
      <c r="A3852" s="26" t="s">
        <v>543</v>
      </c>
      <c r="B3852" s="26" t="s">
        <v>543</v>
      </c>
      <c r="C3852" s="26"/>
      <c r="D3852" s="26" t="s">
        <v>543</v>
      </c>
      <c r="E3852" s="26" t="str">
        <f>IFERROR(VLOOKUP(G3852,WholesaleExtract!B:J,9,FALSE),"")</f>
        <v/>
      </c>
      <c r="F3852" s="26" t="str">
        <f>IFERROR(VLOOKUP(G3852,WholesaleExtract!B:J,6,FALSE),"")</f>
        <v/>
      </c>
      <c r="H3852" s="47" t="str">
        <f>IFERROR(VLOOKUP(G3852,WholesaleExtract!B:L,11,FALSE),"")</f>
        <v/>
      </c>
      <c r="I3852" s="26" t="str">
        <f>IFERROR(VLOOKUP(G3852,WholesaleExtract!B:O,8,FALSE),"")</f>
        <v/>
      </c>
      <c r="J3852" s="26" t="str">
        <f>IFERROR(VLOOKUP(G3852,WholesaleExtract!B:O,14,FALSE),"")</f>
        <v/>
      </c>
      <c r="K3852" s="26" t="str">
        <f>IFERROR(VLOOKUP(G3852,WholesaleExtract!B:K,10,FALSE),"")</f>
        <v/>
      </c>
      <c r="L3852" s="47" t="str">
        <f>IFERROR(VLOOKUP(G3852,WholesaleExtract!B:L,11,FALSE),"")</f>
        <v/>
      </c>
      <c r="M3852" s="47" t="str">
        <f>IFERROR(VLOOKUP(G3852,WholesaleExtract!B:M,12,FALSE),"")</f>
        <v/>
      </c>
      <c r="R3852" s="19"/>
      <c r="S3852" s="19"/>
    </row>
    <row r="3853" spans="1:19" x14ac:dyDescent="0.35">
      <c r="A3853" s="26" t="s">
        <v>543</v>
      </c>
      <c r="B3853" s="26" t="s">
        <v>543</v>
      </c>
      <c r="C3853" s="26"/>
      <c r="D3853" s="26" t="s">
        <v>543</v>
      </c>
      <c r="E3853" s="26" t="str">
        <f>IFERROR(VLOOKUP(G3853,WholesaleExtract!B:J,9,FALSE),"")</f>
        <v/>
      </c>
      <c r="F3853" s="26" t="str">
        <f>IFERROR(VLOOKUP(G3853,WholesaleExtract!B:J,6,FALSE),"")</f>
        <v/>
      </c>
      <c r="H3853" s="47" t="str">
        <f>IFERROR(VLOOKUP(G3853,WholesaleExtract!B:L,11,FALSE),"")</f>
        <v/>
      </c>
      <c r="I3853" s="26" t="str">
        <f>IFERROR(VLOOKUP(G3853,WholesaleExtract!B:O,8,FALSE),"")</f>
        <v/>
      </c>
      <c r="J3853" s="26" t="str">
        <f>IFERROR(VLOOKUP(G3853,WholesaleExtract!B:O,14,FALSE),"")</f>
        <v/>
      </c>
      <c r="K3853" s="26" t="str">
        <f>IFERROR(VLOOKUP(G3853,WholesaleExtract!B:K,10,FALSE),"")</f>
        <v/>
      </c>
      <c r="L3853" s="47" t="str">
        <f>IFERROR(VLOOKUP(G3853,WholesaleExtract!B:L,11,FALSE),"")</f>
        <v/>
      </c>
      <c r="M3853" s="47" t="str">
        <f>IFERROR(VLOOKUP(G3853,WholesaleExtract!B:M,12,FALSE),"")</f>
        <v/>
      </c>
      <c r="R3853" s="19"/>
      <c r="S3853" s="19"/>
    </row>
    <row r="3854" spans="1:19" x14ac:dyDescent="0.35">
      <c r="A3854" s="26" t="s">
        <v>543</v>
      </c>
      <c r="B3854" s="26" t="s">
        <v>543</v>
      </c>
      <c r="C3854" s="26"/>
      <c r="D3854" s="26" t="s">
        <v>543</v>
      </c>
      <c r="E3854" s="26" t="str">
        <f>IFERROR(VLOOKUP(G3854,WholesaleExtract!B:J,9,FALSE),"")</f>
        <v/>
      </c>
      <c r="F3854" s="26" t="str">
        <f>IFERROR(VLOOKUP(G3854,WholesaleExtract!B:J,6,FALSE),"")</f>
        <v/>
      </c>
      <c r="H3854" s="47" t="str">
        <f>IFERROR(VLOOKUP(G3854,WholesaleExtract!B:L,11,FALSE),"")</f>
        <v/>
      </c>
      <c r="I3854" s="26" t="str">
        <f>IFERROR(VLOOKUP(G3854,WholesaleExtract!B:O,8,FALSE),"")</f>
        <v/>
      </c>
      <c r="J3854" s="26" t="str">
        <f>IFERROR(VLOOKUP(G3854,WholesaleExtract!B:O,14,FALSE),"")</f>
        <v/>
      </c>
      <c r="K3854" s="26" t="str">
        <f>IFERROR(VLOOKUP(G3854,WholesaleExtract!B:K,10,FALSE),"")</f>
        <v/>
      </c>
      <c r="L3854" s="47" t="str">
        <f>IFERROR(VLOOKUP(G3854,WholesaleExtract!B:L,11,FALSE),"")</f>
        <v/>
      </c>
      <c r="M3854" s="47" t="str">
        <f>IFERROR(VLOOKUP(G3854,WholesaleExtract!B:M,12,FALSE),"")</f>
        <v/>
      </c>
      <c r="R3854" s="19"/>
      <c r="S3854" s="19"/>
    </row>
    <row r="3855" spans="1:19" x14ac:dyDescent="0.35">
      <c r="A3855" s="26" t="s">
        <v>543</v>
      </c>
      <c r="B3855" s="26" t="s">
        <v>543</v>
      </c>
      <c r="C3855" s="26"/>
      <c r="D3855" s="26" t="s">
        <v>543</v>
      </c>
      <c r="E3855" s="26" t="str">
        <f>IFERROR(VLOOKUP(G3855,WholesaleExtract!B:J,9,FALSE),"")</f>
        <v/>
      </c>
      <c r="F3855" s="26" t="str">
        <f>IFERROR(VLOOKUP(G3855,WholesaleExtract!B:J,6,FALSE),"")</f>
        <v/>
      </c>
      <c r="H3855" s="47" t="str">
        <f>IFERROR(VLOOKUP(G3855,WholesaleExtract!B:L,11,FALSE),"")</f>
        <v/>
      </c>
      <c r="I3855" s="26" t="str">
        <f>IFERROR(VLOOKUP(G3855,WholesaleExtract!B:O,8,FALSE),"")</f>
        <v/>
      </c>
      <c r="J3855" s="26" t="str">
        <f>IFERROR(VLOOKUP(G3855,WholesaleExtract!B:O,14,FALSE),"")</f>
        <v/>
      </c>
      <c r="K3855" s="26" t="str">
        <f>IFERROR(VLOOKUP(G3855,WholesaleExtract!B:K,10,FALSE),"")</f>
        <v/>
      </c>
      <c r="L3855" s="47" t="str">
        <f>IFERROR(VLOOKUP(G3855,WholesaleExtract!B:L,11,FALSE),"")</f>
        <v/>
      </c>
      <c r="M3855" s="47" t="str">
        <f>IFERROR(VLOOKUP(G3855,WholesaleExtract!B:M,12,FALSE),"")</f>
        <v/>
      </c>
      <c r="R3855" s="19"/>
      <c r="S3855" s="19"/>
    </row>
    <row r="3856" spans="1:19" x14ac:dyDescent="0.35">
      <c r="A3856" s="26" t="s">
        <v>543</v>
      </c>
      <c r="B3856" s="26" t="s">
        <v>543</v>
      </c>
      <c r="C3856" s="26"/>
      <c r="D3856" s="26" t="s">
        <v>543</v>
      </c>
      <c r="E3856" s="26" t="str">
        <f>IFERROR(VLOOKUP(G3856,WholesaleExtract!B:J,9,FALSE),"")</f>
        <v/>
      </c>
      <c r="F3856" s="26" t="str">
        <f>IFERROR(VLOOKUP(G3856,WholesaleExtract!B:J,6,FALSE),"")</f>
        <v/>
      </c>
      <c r="H3856" s="47" t="str">
        <f>IFERROR(VLOOKUP(G3856,WholesaleExtract!B:L,11,FALSE),"")</f>
        <v/>
      </c>
      <c r="I3856" s="26" t="str">
        <f>IFERROR(VLOOKUP(G3856,WholesaleExtract!B:O,8,FALSE),"")</f>
        <v/>
      </c>
      <c r="J3856" s="26" t="str">
        <f>IFERROR(VLOOKUP(G3856,WholesaleExtract!B:O,14,FALSE),"")</f>
        <v/>
      </c>
      <c r="K3856" s="26" t="str">
        <f>IFERROR(VLOOKUP(G3856,WholesaleExtract!B:K,10,FALSE),"")</f>
        <v/>
      </c>
      <c r="L3856" s="47" t="str">
        <f>IFERROR(VLOOKUP(G3856,WholesaleExtract!B:L,11,FALSE),"")</f>
        <v/>
      </c>
      <c r="M3856" s="47" t="str">
        <f>IFERROR(VLOOKUP(G3856,WholesaleExtract!B:M,12,FALSE),"")</f>
        <v/>
      </c>
      <c r="R3856" s="19"/>
      <c r="S3856" s="19"/>
    </row>
    <row r="3857" spans="1:19" x14ac:dyDescent="0.35">
      <c r="A3857" s="26" t="s">
        <v>543</v>
      </c>
      <c r="B3857" s="26" t="s">
        <v>543</v>
      </c>
      <c r="C3857" s="26"/>
      <c r="D3857" s="26" t="s">
        <v>543</v>
      </c>
      <c r="E3857" s="26" t="str">
        <f>IFERROR(VLOOKUP(G3857,WholesaleExtract!B:J,9,FALSE),"")</f>
        <v/>
      </c>
      <c r="F3857" s="26" t="str">
        <f>IFERROR(VLOOKUP(G3857,WholesaleExtract!B:J,6,FALSE),"")</f>
        <v/>
      </c>
      <c r="H3857" s="47" t="str">
        <f>IFERROR(VLOOKUP(G3857,WholesaleExtract!B:L,11,FALSE),"")</f>
        <v/>
      </c>
      <c r="I3857" s="26" t="str">
        <f>IFERROR(VLOOKUP(G3857,WholesaleExtract!B:O,8,FALSE),"")</f>
        <v/>
      </c>
      <c r="J3857" s="26" t="str">
        <f>IFERROR(VLOOKUP(G3857,WholesaleExtract!B:O,14,FALSE),"")</f>
        <v/>
      </c>
      <c r="K3857" s="26" t="str">
        <f>IFERROR(VLOOKUP(G3857,WholesaleExtract!B:K,10,FALSE),"")</f>
        <v/>
      </c>
      <c r="L3857" s="47" t="str">
        <f>IFERROR(VLOOKUP(G3857,WholesaleExtract!B:L,11,FALSE),"")</f>
        <v/>
      </c>
      <c r="M3857" s="47" t="str">
        <f>IFERROR(VLOOKUP(G3857,WholesaleExtract!B:M,12,FALSE),"")</f>
        <v/>
      </c>
      <c r="R3857" s="19"/>
      <c r="S3857" s="19"/>
    </row>
    <row r="3858" spans="1:19" x14ac:dyDescent="0.35">
      <c r="A3858" s="26" t="s">
        <v>543</v>
      </c>
      <c r="B3858" s="26" t="s">
        <v>543</v>
      </c>
      <c r="C3858" s="26"/>
      <c r="D3858" s="26" t="s">
        <v>543</v>
      </c>
      <c r="E3858" s="26" t="str">
        <f>IFERROR(VLOOKUP(G3858,WholesaleExtract!B:J,9,FALSE),"")</f>
        <v/>
      </c>
      <c r="F3858" s="26" t="str">
        <f>IFERROR(VLOOKUP(G3858,WholesaleExtract!B:J,6,FALSE),"")</f>
        <v/>
      </c>
      <c r="H3858" s="47" t="str">
        <f>IFERROR(VLOOKUP(G3858,WholesaleExtract!B:L,11,FALSE),"")</f>
        <v/>
      </c>
      <c r="I3858" s="26" t="str">
        <f>IFERROR(VLOOKUP(G3858,WholesaleExtract!B:O,8,FALSE),"")</f>
        <v/>
      </c>
      <c r="J3858" s="26" t="str">
        <f>IFERROR(VLOOKUP(G3858,WholesaleExtract!B:O,14,FALSE),"")</f>
        <v/>
      </c>
      <c r="K3858" s="26" t="str">
        <f>IFERROR(VLOOKUP(G3858,WholesaleExtract!B:K,10,FALSE),"")</f>
        <v/>
      </c>
      <c r="L3858" s="47" t="str">
        <f>IFERROR(VLOOKUP(G3858,WholesaleExtract!B:L,11,FALSE),"")</f>
        <v/>
      </c>
      <c r="M3858" s="47" t="str">
        <f>IFERROR(VLOOKUP(G3858,WholesaleExtract!B:M,12,FALSE),"")</f>
        <v/>
      </c>
      <c r="R3858" s="19"/>
      <c r="S3858" s="19"/>
    </row>
    <row r="3859" spans="1:19" x14ac:dyDescent="0.35">
      <c r="A3859" s="26" t="s">
        <v>543</v>
      </c>
      <c r="B3859" s="26" t="s">
        <v>543</v>
      </c>
      <c r="C3859" s="26"/>
      <c r="D3859" s="26" t="s">
        <v>543</v>
      </c>
      <c r="E3859" s="26" t="str">
        <f>IFERROR(VLOOKUP(G3859,WholesaleExtract!B:J,9,FALSE),"")</f>
        <v/>
      </c>
      <c r="F3859" s="26" t="str">
        <f>IFERROR(VLOOKUP(G3859,WholesaleExtract!B:J,6,FALSE),"")</f>
        <v/>
      </c>
      <c r="H3859" s="47" t="str">
        <f>IFERROR(VLOOKUP(G3859,WholesaleExtract!B:L,11,FALSE),"")</f>
        <v/>
      </c>
      <c r="I3859" s="26" t="str">
        <f>IFERROR(VLOOKUP(G3859,WholesaleExtract!B:O,8,FALSE),"")</f>
        <v/>
      </c>
      <c r="J3859" s="26" t="str">
        <f>IFERROR(VLOOKUP(G3859,WholesaleExtract!B:O,14,FALSE),"")</f>
        <v/>
      </c>
      <c r="K3859" s="26" t="str">
        <f>IFERROR(VLOOKUP(G3859,WholesaleExtract!B:K,10,FALSE),"")</f>
        <v/>
      </c>
      <c r="L3859" s="47" t="str">
        <f>IFERROR(VLOOKUP(G3859,WholesaleExtract!B:L,11,FALSE),"")</f>
        <v/>
      </c>
      <c r="M3859" s="47" t="str">
        <f>IFERROR(VLOOKUP(G3859,WholesaleExtract!B:M,12,FALSE),"")</f>
        <v/>
      </c>
      <c r="R3859" s="19"/>
      <c r="S3859" s="19"/>
    </row>
    <row r="3860" spans="1:19" x14ac:dyDescent="0.35">
      <c r="A3860" s="26" t="s">
        <v>543</v>
      </c>
      <c r="B3860" s="26" t="s">
        <v>543</v>
      </c>
      <c r="C3860" s="26"/>
      <c r="D3860" s="26" t="s">
        <v>543</v>
      </c>
      <c r="E3860" s="26" t="str">
        <f>IFERROR(VLOOKUP(G3860,WholesaleExtract!B:J,9,FALSE),"")</f>
        <v/>
      </c>
      <c r="F3860" s="26" t="str">
        <f>IFERROR(VLOOKUP(G3860,WholesaleExtract!B:J,6,FALSE),"")</f>
        <v/>
      </c>
      <c r="H3860" s="47" t="str">
        <f>IFERROR(VLOOKUP(G3860,WholesaleExtract!B:L,11,FALSE),"")</f>
        <v/>
      </c>
      <c r="I3860" s="26" t="str">
        <f>IFERROR(VLOOKUP(G3860,WholesaleExtract!B:O,8,FALSE),"")</f>
        <v/>
      </c>
      <c r="J3860" s="26" t="str">
        <f>IFERROR(VLOOKUP(G3860,WholesaleExtract!B:O,14,FALSE),"")</f>
        <v/>
      </c>
      <c r="K3860" s="26" t="str">
        <f>IFERROR(VLOOKUP(G3860,WholesaleExtract!B:K,10,FALSE),"")</f>
        <v/>
      </c>
      <c r="L3860" s="47" t="str">
        <f>IFERROR(VLOOKUP(G3860,WholesaleExtract!B:L,11,FALSE),"")</f>
        <v/>
      </c>
      <c r="M3860" s="47" t="str">
        <f>IFERROR(VLOOKUP(G3860,WholesaleExtract!B:M,12,FALSE),"")</f>
        <v/>
      </c>
      <c r="R3860" s="19"/>
      <c r="S3860" s="19"/>
    </row>
    <row r="3861" spans="1:19" x14ac:dyDescent="0.35">
      <c r="A3861" s="26" t="s">
        <v>543</v>
      </c>
      <c r="B3861" s="26" t="s">
        <v>543</v>
      </c>
      <c r="C3861" s="26"/>
      <c r="D3861" s="26" t="s">
        <v>543</v>
      </c>
      <c r="E3861" s="26" t="str">
        <f>IFERROR(VLOOKUP(G3861,WholesaleExtract!B:J,9,FALSE),"")</f>
        <v/>
      </c>
      <c r="F3861" s="26" t="str">
        <f>IFERROR(VLOOKUP(G3861,WholesaleExtract!B:J,6,FALSE),"")</f>
        <v/>
      </c>
      <c r="H3861" s="47" t="str">
        <f>IFERROR(VLOOKUP(G3861,WholesaleExtract!B:L,11,FALSE),"")</f>
        <v/>
      </c>
      <c r="I3861" s="26" t="str">
        <f>IFERROR(VLOOKUP(G3861,WholesaleExtract!B:O,8,FALSE),"")</f>
        <v/>
      </c>
      <c r="J3861" s="26" t="str">
        <f>IFERROR(VLOOKUP(G3861,WholesaleExtract!B:O,14,FALSE),"")</f>
        <v/>
      </c>
      <c r="K3861" s="26" t="str">
        <f>IFERROR(VLOOKUP(G3861,WholesaleExtract!B:K,10,FALSE),"")</f>
        <v/>
      </c>
      <c r="L3861" s="47" t="str">
        <f>IFERROR(VLOOKUP(G3861,WholesaleExtract!B:L,11,FALSE),"")</f>
        <v/>
      </c>
      <c r="M3861" s="47" t="str">
        <f>IFERROR(VLOOKUP(G3861,WholesaleExtract!B:M,12,FALSE),"")</f>
        <v/>
      </c>
      <c r="R3861" s="19"/>
      <c r="S3861" s="19"/>
    </row>
    <row r="3862" spans="1:19" x14ac:dyDescent="0.35">
      <c r="A3862" s="26" t="s">
        <v>543</v>
      </c>
      <c r="B3862" s="26" t="s">
        <v>543</v>
      </c>
      <c r="C3862" s="26"/>
      <c r="D3862" s="26" t="s">
        <v>543</v>
      </c>
      <c r="E3862" s="26" t="str">
        <f>IFERROR(VLOOKUP(G3862,WholesaleExtract!B:J,9,FALSE),"")</f>
        <v/>
      </c>
      <c r="F3862" s="26" t="str">
        <f>IFERROR(VLOOKUP(G3862,WholesaleExtract!B:J,6,FALSE),"")</f>
        <v/>
      </c>
      <c r="H3862" s="47" t="str">
        <f>IFERROR(VLOOKUP(G3862,WholesaleExtract!B:L,11,FALSE),"")</f>
        <v/>
      </c>
      <c r="I3862" s="26" t="str">
        <f>IFERROR(VLOOKUP(G3862,WholesaleExtract!B:O,8,FALSE),"")</f>
        <v/>
      </c>
      <c r="J3862" s="26" t="str">
        <f>IFERROR(VLOOKUP(G3862,WholesaleExtract!B:O,14,FALSE),"")</f>
        <v/>
      </c>
      <c r="K3862" s="26" t="str">
        <f>IFERROR(VLOOKUP(G3862,WholesaleExtract!B:K,10,FALSE),"")</f>
        <v/>
      </c>
      <c r="L3862" s="47" t="str">
        <f>IFERROR(VLOOKUP(G3862,WholesaleExtract!B:L,11,FALSE),"")</f>
        <v/>
      </c>
      <c r="M3862" s="47" t="str">
        <f>IFERROR(VLOOKUP(G3862,WholesaleExtract!B:M,12,FALSE),"")</f>
        <v/>
      </c>
      <c r="R3862" s="19"/>
      <c r="S3862" s="19"/>
    </row>
    <row r="3863" spans="1:19" x14ac:dyDescent="0.35">
      <c r="A3863" s="26" t="s">
        <v>543</v>
      </c>
      <c r="B3863" s="26" t="s">
        <v>543</v>
      </c>
      <c r="C3863" s="26"/>
      <c r="D3863" s="26" t="s">
        <v>543</v>
      </c>
      <c r="E3863" s="26" t="str">
        <f>IFERROR(VLOOKUP(G3863,WholesaleExtract!B:J,9,FALSE),"")</f>
        <v/>
      </c>
      <c r="F3863" s="26" t="str">
        <f>IFERROR(VLOOKUP(G3863,WholesaleExtract!B:J,6,FALSE),"")</f>
        <v/>
      </c>
      <c r="H3863" s="47" t="str">
        <f>IFERROR(VLOOKUP(G3863,WholesaleExtract!B:L,11,FALSE),"")</f>
        <v/>
      </c>
      <c r="I3863" s="26" t="str">
        <f>IFERROR(VLOOKUP(G3863,WholesaleExtract!B:O,8,FALSE),"")</f>
        <v/>
      </c>
      <c r="J3863" s="26" t="str">
        <f>IFERROR(VLOOKUP(G3863,WholesaleExtract!B:O,14,FALSE),"")</f>
        <v/>
      </c>
      <c r="K3863" s="26" t="str">
        <f>IFERROR(VLOOKUP(G3863,WholesaleExtract!B:K,10,FALSE),"")</f>
        <v/>
      </c>
      <c r="L3863" s="47" t="str">
        <f>IFERROR(VLOOKUP(G3863,WholesaleExtract!B:L,11,FALSE),"")</f>
        <v/>
      </c>
      <c r="M3863" s="47" t="str">
        <f>IFERROR(VLOOKUP(G3863,WholesaleExtract!B:M,12,FALSE),"")</f>
        <v/>
      </c>
      <c r="R3863" s="19"/>
      <c r="S3863" s="19"/>
    </row>
    <row r="3864" spans="1:19" x14ac:dyDescent="0.35">
      <c r="A3864" s="26" t="s">
        <v>543</v>
      </c>
      <c r="B3864" s="26" t="s">
        <v>543</v>
      </c>
      <c r="C3864" s="26"/>
      <c r="D3864" s="26" t="s">
        <v>543</v>
      </c>
      <c r="E3864" s="26" t="str">
        <f>IFERROR(VLOOKUP(G3864,WholesaleExtract!B:J,9,FALSE),"")</f>
        <v/>
      </c>
      <c r="F3864" s="26" t="str">
        <f>IFERROR(VLOOKUP(G3864,WholesaleExtract!B:J,6,FALSE),"")</f>
        <v/>
      </c>
      <c r="H3864" s="47" t="str">
        <f>IFERROR(VLOOKUP(G3864,WholesaleExtract!B:L,11,FALSE),"")</f>
        <v/>
      </c>
      <c r="I3864" s="26" t="str">
        <f>IFERROR(VLOOKUP(G3864,WholesaleExtract!B:O,8,FALSE),"")</f>
        <v/>
      </c>
      <c r="J3864" s="26" t="str">
        <f>IFERROR(VLOOKUP(G3864,WholesaleExtract!B:O,14,FALSE),"")</f>
        <v/>
      </c>
      <c r="K3864" s="26" t="str">
        <f>IFERROR(VLOOKUP(G3864,WholesaleExtract!B:K,10,FALSE),"")</f>
        <v/>
      </c>
      <c r="L3864" s="47" t="str">
        <f>IFERROR(VLOOKUP(G3864,WholesaleExtract!B:L,11,FALSE),"")</f>
        <v/>
      </c>
      <c r="M3864" s="47" t="str">
        <f>IFERROR(VLOOKUP(G3864,WholesaleExtract!B:M,12,FALSE),"")</f>
        <v/>
      </c>
      <c r="R3864" s="19"/>
      <c r="S3864" s="19"/>
    </row>
    <row r="3865" spans="1:19" x14ac:dyDescent="0.35">
      <c r="A3865" s="26" t="s">
        <v>543</v>
      </c>
      <c r="B3865" s="26" t="s">
        <v>543</v>
      </c>
      <c r="C3865" s="26"/>
      <c r="D3865" s="26" t="s">
        <v>543</v>
      </c>
      <c r="E3865" s="26" t="str">
        <f>IFERROR(VLOOKUP(G3865,WholesaleExtract!B:J,9,FALSE),"")</f>
        <v/>
      </c>
      <c r="F3865" s="26" t="str">
        <f>IFERROR(VLOOKUP(G3865,WholesaleExtract!B:J,6,FALSE),"")</f>
        <v/>
      </c>
      <c r="H3865" s="47" t="str">
        <f>IFERROR(VLOOKUP(G3865,WholesaleExtract!B:L,11,FALSE),"")</f>
        <v/>
      </c>
      <c r="I3865" s="26" t="str">
        <f>IFERROR(VLOOKUP(G3865,WholesaleExtract!B:O,8,FALSE),"")</f>
        <v/>
      </c>
      <c r="J3865" s="26" t="str">
        <f>IFERROR(VLOOKUP(G3865,WholesaleExtract!B:O,14,FALSE),"")</f>
        <v/>
      </c>
      <c r="K3865" s="26" t="str">
        <f>IFERROR(VLOOKUP(G3865,WholesaleExtract!B:K,10,FALSE),"")</f>
        <v/>
      </c>
      <c r="L3865" s="47" t="str">
        <f>IFERROR(VLOOKUP(G3865,WholesaleExtract!B:L,11,FALSE),"")</f>
        <v/>
      </c>
      <c r="M3865" s="47" t="str">
        <f>IFERROR(VLOOKUP(G3865,WholesaleExtract!B:M,12,FALSE),"")</f>
        <v/>
      </c>
      <c r="R3865" s="19"/>
      <c r="S3865" s="19"/>
    </row>
    <row r="3866" spans="1:19" x14ac:dyDescent="0.35">
      <c r="A3866" s="26" t="s">
        <v>543</v>
      </c>
      <c r="B3866" s="26" t="s">
        <v>543</v>
      </c>
      <c r="C3866" s="26"/>
      <c r="D3866" s="26" t="s">
        <v>543</v>
      </c>
      <c r="E3866" s="26" t="str">
        <f>IFERROR(VLOOKUP(G3866,WholesaleExtract!B:J,9,FALSE),"")</f>
        <v/>
      </c>
      <c r="F3866" s="26" t="str">
        <f>IFERROR(VLOOKUP(G3866,WholesaleExtract!B:J,6,FALSE),"")</f>
        <v/>
      </c>
      <c r="H3866" s="47" t="str">
        <f>IFERROR(VLOOKUP(G3866,WholesaleExtract!B:L,11,FALSE),"")</f>
        <v/>
      </c>
      <c r="I3866" s="26" t="str">
        <f>IFERROR(VLOOKUP(G3866,WholesaleExtract!B:O,8,FALSE),"")</f>
        <v/>
      </c>
      <c r="J3866" s="26" t="str">
        <f>IFERROR(VLOOKUP(G3866,WholesaleExtract!B:O,14,FALSE),"")</f>
        <v/>
      </c>
      <c r="K3866" s="26" t="str">
        <f>IFERROR(VLOOKUP(G3866,WholesaleExtract!B:K,10,FALSE),"")</f>
        <v/>
      </c>
      <c r="L3866" s="47" t="str">
        <f>IFERROR(VLOOKUP(G3866,WholesaleExtract!B:L,11,FALSE),"")</f>
        <v/>
      </c>
      <c r="M3866" s="47" t="str">
        <f>IFERROR(VLOOKUP(G3866,WholesaleExtract!B:M,12,FALSE),"")</f>
        <v/>
      </c>
      <c r="R3866" s="19"/>
      <c r="S3866" s="19"/>
    </row>
    <row r="3867" spans="1:19" x14ac:dyDescent="0.35">
      <c r="A3867" s="26" t="s">
        <v>543</v>
      </c>
      <c r="B3867" s="26" t="s">
        <v>543</v>
      </c>
      <c r="C3867" s="26"/>
      <c r="D3867" s="26" t="s">
        <v>543</v>
      </c>
      <c r="E3867" s="26" t="str">
        <f>IFERROR(VLOOKUP(G3867,WholesaleExtract!B:J,9,FALSE),"")</f>
        <v/>
      </c>
      <c r="F3867" s="26" t="str">
        <f>IFERROR(VLOOKUP(G3867,WholesaleExtract!B:J,6,FALSE),"")</f>
        <v/>
      </c>
      <c r="H3867" s="47" t="str">
        <f>IFERROR(VLOOKUP(G3867,WholesaleExtract!B:L,11,FALSE),"")</f>
        <v/>
      </c>
      <c r="I3867" s="26" t="str">
        <f>IFERROR(VLOOKUP(G3867,WholesaleExtract!B:O,8,FALSE),"")</f>
        <v/>
      </c>
      <c r="J3867" s="26" t="str">
        <f>IFERROR(VLOOKUP(G3867,WholesaleExtract!B:O,14,FALSE),"")</f>
        <v/>
      </c>
      <c r="K3867" s="26" t="str">
        <f>IFERROR(VLOOKUP(G3867,WholesaleExtract!B:K,10,FALSE),"")</f>
        <v/>
      </c>
      <c r="L3867" s="47" t="str">
        <f>IFERROR(VLOOKUP(G3867,WholesaleExtract!B:L,11,FALSE),"")</f>
        <v/>
      </c>
      <c r="M3867" s="47" t="str">
        <f>IFERROR(VLOOKUP(G3867,WholesaleExtract!B:M,12,FALSE),"")</f>
        <v/>
      </c>
      <c r="R3867" s="19"/>
      <c r="S3867" s="19"/>
    </row>
    <row r="3868" spans="1:19" x14ac:dyDescent="0.35">
      <c r="A3868" s="26" t="s">
        <v>543</v>
      </c>
      <c r="B3868" s="26" t="s">
        <v>543</v>
      </c>
      <c r="C3868" s="26"/>
      <c r="D3868" s="26" t="s">
        <v>543</v>
      </c>
      <c r="E3868" s="26" t="str">
        <f>IFERROR(VLOOKUP(G3868,WholesaleExtract!B:J,9,FALSE),"")</f>
        <v/>
      </c>
      <c r="F3868" s="26" t="str">
        <f>IFERROR(VLOOKUP(G3868,WholesaleExtract!B:J,6,FALSE),"")</f>
        <v/>
      </c>
      <c r="H3868" s="47" t="str">
        <f>IFERROR(VLOOKUP(G3868,WholesaleExtract!B:L,11,FALSE),"")</f>
        <v/>
      </c>
      <c r="I3868" s="26" t="str">
        <f>IFERROR(VLOOKUP(G3868,WholesaleExtract!B:O,8,FALSE),"")</f>
        <v/>
      </c>
      <c r="J3868" s="26" t="str">
        <f>IFERROR(VLOOKUP(G3868,WholesaleExtract!B:O,14,FALSE),"")</f>
        <v/>
      </c>
      <c r="K3868" s="26" t="str">
        <f>IFERROR(VLOOKUP(G3868,WholesaleExtract!B:K,10,FALSE),"")</f>
        <v/>
      </c>
      <c r="L3868" s="47" t="str">
        <f>IFERROR(VLOOKUP(G3868,WholesaleExtract!B:L,11,FALSE),"")</f>
        <v/>
      </c>
      <c r="M3868" s="47" t="str">
        <f>IFERROR(VLOOKUP(G3868,WholesaleExtract!B:M,12,FALSE),"")</f>
        <v/>
      </c>
      <c r="R3868" s="19"/>
      <c r="S3868" s="19"/>
    </row>
    <row r="3869" spans="1:19" x14ac:dyDescent="0.35">
      <c r="A3869" s="26" t="s">
        <v>543</v>
      </c>
      <c r="B3869" s="26" t="s">
        <v>543</v>
      </c>
      <c r="C3869" s="26"/>
      <c r="D3869" s="26" t="s">
        <v>543</v>
      </c>
      <c r="E3869" s="26" t="str">
        <f>IFERROR(VLOOKUP(G3869,WholesaleExtract!B:J,9,FALSE),"")</f>
        <v/>
      </c>
      <c r="F3869" s="26" t="str">
        <f>IFERROR(VLOOKUP(G3869,WholesaleExtract!B:J,6,FALSE),"")</f>
        <v/>
      </c>
      <c r="H3869" s="47" t="str">
        <f>IFERROR(VLOOKUP(G3869,WholesaleExtract!B:L,11,FALSE),"")</f>
        <v/>
      </c>
      <c r="I3869" s="26" t="str">
        <f>IFERROR(VLOOKUP(G3869,WholesaleExtract!B:O,8,FALSE),"")</f>
        <v/>
      </c>
      <c r="J3869" s="26" t="str">
        <f>IFERROR(VLOOKUP(G3869,WholesaleExtract!B:O,14,FALSE),"")</f>
        <v/>
      </c>
      <c r="K3869" s="26" t="str">
        <f>IFERROR(VLOOKUP(G3869,WholesaleExtract!B:K,10,FALSE),"")</f>
        <v/>
      </c>
      <c r="L3869" s="47" t="str">
        <f>IFERROR(VLOOKUP(G3869,WholesaleExtract!B:L,11,FALSE),"")</f>
        <v/>
      </c>
      <c r="M3869" s="47" t="str">
        <f>IFERROR(VLOOKUP(G3869,WholesaleExtract!B:M,12,FALSE),"")</f>
        <v/>
      </c>
      <c r="R3869" s="19"/>
      <c r="S3869" s="19"/>
    </row>
    <row r="3870" spans="1:19" x14ac:dyDescent="0.35">
      <c r="A3870" s="26" t="s">
        <v>543</v>
      </c>
      <c r="B3870" s="26" t="s">
        <v>543</v>
      </c>
      <c r="C3870" s="26"/>
      <c r="D3870" s="26" t="s">
        <v>543</v>
      </c>
      <c r="E3870" s="26" t="str">
        <f>IFERROR(VLOOKUP(G3870,WholesaleExtract!B:J,9,FALSE),"")</f>
        <v/>
      </c>
      <c r="F3870" s="26" t="str">
        <f>IFERROR(VLOOKUP(G3870,WholesaleExtract!B:J,6,FALSE),"")</f>
        <v/>
      </c>
      <c r="H3870" s="47" t="str">
        <f>IFERROR(VLOOKUP(G3870,WholesaleExtract!B:L,11,FALSE),"")</f>
        <v/>
      </c>
      <c r="I3870" s="26" t="str">
        <f>IFERROR(VLOOKUP(G3870,WholesaleExtract!B:O,8,FALSE),"")</f>
        <v/>
      </c>
      <c r="J3870" s="26" t="str">
        <f>IFERROR(VLOOKUP(G3870,WholesaleExtract!B:O,14,FALSE),"")</f>
        <v/>
      </c>
      <c r="K3870" s="26" t="str">
        <f>IFERROR(VLOOKUP(G3870,WholesaleExtract!B:K,10,FALSE),"")</f>
        <v/>
      </c>
      <c r="L3870" s="47" t="str">
        <f>IFERROR(VLOOKUP(G3870,WholesaleExtract!B:L,11,FALSE),"")</f>
        <v/>
      </c>
      <c r="M3870" s="47" t="str">
        <f>IFERROR(VLOOKUP(G3870,WholesaleExtract!B:M,12,FALSE),"")</f>
        <v/>
      </c>
      <c r="R3870" s="19"/>
      <c r="S3870" s="19"/>
    </row>
    <row r="3871" spans="1:19" x14ac:dyDescent="0.35">
      <c r="A3871" s="26" t="s">
        <v>543</v>
      </c>
      <c r="B3871" s="26" t="s">
        <v>543</v>
      </c>
      <c r="C3871" s="26"/>
      <c r="D3871" s="26" t="s">
        <v>543</v>
      </c>
      <c r="E3871" s="26" t="str">
        <f>IFERROR(VLOOKUP(G3871,WholesaleExtract!B:J,9,FALSE),"")</f>
        <v/>
      </c>
      <c r="F3871" s="26" t="str">
        <f>IFERROR(VLOOKUP(G3871,WholesaleExtract!B:J,6,FALSE),"")</f>
        <v/>
      </c>
      <c r="H3871" s="47" t="str">
        <f>IFERROR(VLOOKUP(G3871,WholesaleExtract!B:L,11,FALSE),"")</f>
        <v/>
      </c>
      <c r="I3871" s="26" t="str">
        <f>IFERROR(VLOOKUP(G3871,WholesaleExtract!B:O,8,FALSE),"")</f>
        <v/>
      </c>
      <c r="J3871" s="26" t="str">
        <f>IFERROR(VLOOKUP(G3871,WholesaleExtract!B:O,14,FALSE),"")</f>
        <v/>
      </c>
      <c r="K3871" s="26" t="str">
        <f>IFERROR(VLOOKUP(G3871,WholesaleExtract!B:K,10,FALSE),"")</f>
        <v/>
      </c>
      <c r="L3871" s="47" t="str">
        <f>IFERROR(VLOOKUP(G3871,WholesaleExtract!B:L,11,FALSE),"")</f>
        <v/>
      </c>
      <c r="M3871" s="47" t="str">
        <f>IFERROR(VLOOKUP(G3871,WholesaleExtract!B:M,12,FALSE),"")</f>
        <v/>
      </c>
      <c r="R3871" s="19"/>
      <c r="S3871" s="19"/>
    </row>
    <row r="3872" spans="1:19" x14ac:dyDescent="0.35">
      <c r="A3872" s="26" t="s">
        <v>543</v>
      </c>
      <c r="B3872" s="26" t="s">
        <v>543</v>
      </c>
      <c r="C3872" s="26"/>
      <c r="D3872" s="26" t="s">
        <v>543</v>
      </c>
      <c r="E3872" s="26" t="str">
        <f>IFERROR(VLOOKUP(G3872,WholesaleExtract!B:J,9,FALSE),"")</f>
        <v/>
      </c>
      <c r="F3872" s="26" t="str">
        <f>IFERROR(VLOOKUP(G3872,WholesaleExtract!B:J,6,FALSE),"")</f>
        <v/>
      </c>
      <c r="H3872" s="47" t="str">
        <f>IFERROR(VLOOKUP(G3872,WholesaleExtract!B:L,11,FALSE),"")</f>
        <v/>
      </c>
      <c r="I3872" s="26" t="str">
        <f>IFERROR(VLOOKUP(G3872,WholesaleExtract!B:O,8,FALSE),"")</f>
        <v/>
      </c>
      <c r="J3872" s="26" t="str">
        <f>IFERROR(VLOOKUP(G3872,WholesaleExtract!B:O,14,FALSE),"")</f>
        <v/>
      </c>
      <c r="K3872" s="26" t="str">
        <f>IFERROR(VLOOKUP(G3872,WholesaleExtract!B:K,10,FALSE),"")</f>
        <v/>
      </c>
      <c r="L3872" s="47" t="str">
        <f>IFERROR(VLOOKUP(G3872,WholesaleExtract!B:L,11,FALSE),"")</f>
        <v/>
      </c>
      <c r="M3872" s="47" t="str">
        <f>IFERROR(VLOOKUP(G3872,WholesaleExtract!B:M,12,FALSE),"")</f>
        <v/>
      </c>
      <c r="R3872" s="19"/>
      <c r="S3872" s="19"/>
    </row>
    <row r="3873" spans="1:19" x14ac:dyDescent="0.35">
      <c r="A3873" s="26" t="s">
        <v>543</v>
      </c>
      <c r="B3873" s="26" t="s">
        <v>543</v>
      </c>
      <c r="C3873" s="26"/>
      <c r="D3873" s="26" t="s">
        <v>543</v>
      </c>
      <c r="E3873" s="26" t="str">
        <f>IFERROR(VLOOKUP(G3873,WholesaleExtract!B:J,9,FALSE),"")</f>
        <v/>
      </c>
      <c r="F3873" s="26" t="str">
        <f>IFERROR(VLOOKUP(G3873,WholesaleExtract!B:J,6,FALSE),"")</f>
        <v/>
      </c>
      <c r="H3873" s="47" t="str">
        <f>IFERROR(VLOOKUP(G3873,WholesaleExtract!B:L,11,FALSE),"")</f>
        <v/>
      </c>
      <c r="I3873" s="26" t="str">
        <f>IFERROR(VLOOKUP(G3873,WholesaleExtract!B:O,8,FALSE),"")</f>
        <v/>
      </c>
      <c r="J3873" s="26" t="str">
        <f>IFERROR(VLOOKUP(G3873,WholesaleExtract!B:O,14,FALSE),"")</f>
        <v/>
      </c>
      <c r="K3873" s="26" t="str">
        <f>IFERROR(VLOOKUP(G3873,WholesaleExtract!B:K,10,FALSE),"")</f>
        <v/>
      </c>
      <c r="L3873" s="47" t="str">
        <f>IFERROR(VLOOKUP(G3873,WholesaleExtract!B:L,11,FALSE),"")</f>
        <v/>
      </c>
      <c r="M3873" s="47" t="str">
        <f>IFERROR(VLOOKUP(G3873,WholesaleExtract!B:M,12,FALSE),"")</f>
        <v/>
      </c>
      <c r="R3873" s="19"/>
      <c r="S3873" s="19"/>
    </row>
    <row r="3874" spans="1:19" x14ac:dyDescent="0.35">
      <c r="A3874" s="26" t="s">
        <v>543</v>
      </c>
      <c r="B3874" s="26" t="s">
        <v>543</v>
      </c>
      <c r="C3874" s="26"/>
      <c r="D3874" s="26" t="s">
        <v>543</v>
      </c>
      <c r="E3874" s="26" t="str">
        <f>IFERROR(VLOOKUP(G3874,WholesaleExtract!B:J,9,FALSE),"")</f>
        <v/>
      </c>
      <c r="F3874" s="26" t="str">
        <f>IFERROR(VLOOKUP(G3874,WholesaleExtract!B:J,6,FALSE),"")</f>
        <v/>
      </c>
      <c r="H3874" s="47" t="str">
        <f>IFERROR(VLOOKUP(G3874,WholesaleExtract!B:L,11,FALSE),"")</f>
        <v/>
      </c>
      <c r="I3874" s="26" t="str">
        <f>IFERROR(VLOOKUP(G3874,WholesaleExtract!B:O,8,FALSE),"")</f>
        <v/>
      </c>
      <c r="J3874" s="26" t="str">
        <f>IFERROR(VLOOKUP(G3874,WholesaleExtract!B:O,14,FALSE),"")</f>
        <v/>
      </c>
      <c r="K3874" s="26" t="str">
        <f>IFERROR(VLOOKUP(G3874,WholesaleExtract!B:K,10,FALSE),"")</f>
        <v/>
      </c>
      <c r="L3874" s="47" t="str">
        <f>IFERROR(VLOOKUP(G3874,WholesaleExtract!B:L,11,FALSE),"")</f>
        <v/>
      </c>
      <c r="M3874" s="47" t="str">
        <f>IFERROR(VLOOKUP(G3874,WholesaleExtract!B:M,12,FALSE),"")</f>
        <v/>
      </c>
      <c r="R3874" s="19"/>
      <c r="S3874" s="19"/>
    </row>
    <row r="3875" spans="1:19" x14ac:dyDescent="0.35">
      <c r="A3875" s="26" t="s">
        <v>543</v>
      </c>
      <c r="B3875" s="26" t="s">
        <v>543</v>
      </c>
      <c r="C3875" s="26"/>
      <c r="D3875" s="26" t="s">
        <v>543</v>
      </c>
      <c r="E3875" s="26" t="str">
        <f>IFERROR(VLOOKUP(G3875,WholesaleExtract!B:J,9,FALSE),"")</f>
        <v/>
      </c>
      <c r="F3875" s="26" t="str">
        <f>IFERROR(VLOOKUP(G3875,WholesaleExtract!B:J,6,FALSE),"")</f>
        <v/>
      </c>
      <c r="H3875" s="47" t="str">
        <f>IFERROR(VLOOKUP(G3875,WholesaleExtract!B:L,11,FALSE),"")</f>
        <v/>
      </c>
      <c r="I3875" s="26" t="str">
        <f>IFERROR(VLOOKUP(G3875,WholesaleExtract!B:O,8,FALSE),"")</f>
        <v/>
      </c>
      <c r="J3875" s="26" t="str">
        <f>IFERROR(VLOOKUP(G3875,WholesaleExtract!B:O,14,FALSE),"")</f>
        <v/>
      </c>
      <c r="K3875" s="26" t="str">
        <f>IFERROR(VLOOKUP(G3875,WholesaleExtract!B:K,10,FALSE),"")</f>
        <v/>
      </c>
      <c r="L3875" s="47" t="str">
        <f>IFERROR(VLOOKUP(G3875,WholesaleExtract!B:L,11,FALSE),"")</f>
        <v/>
      </c>
      <c r="M3875" s="47" t="str">
        <f>IFERROR(VLOOKUP(G3875,WholesaleExtract!B:M,12,FALSE),"")</f>
        <v/>
      </c>
      <c r="R3875" s="19"/>
      <c r="S3875" s="19"/>
    </row>
    <row r="3876" spans="1:19" x14ac:dyDescent="0.35">
      <c r="A3876" s="26" t="s">
        <v>543</v>
      </c>
      <c r="B3876" s="26" t="s">
        <v>543</v>
      </c>
      <c r="C3876" s="26"/>
      <c r="D3876" s="26" t="s">
        <v>543</v>
      </c>
      <c r="E3876" s="26" t="str">
        <f>IFERROR(VLOOKUP(G3876,WholesaleExtract!B:J,9,FALSE),"")</f>
        <v/>
      </c>
      <c r="F3876" s="26" t="str">
        <f>IFERROR(VLOOKUP(G3876,WholesaleExtract!B:J,6,FALSE),"")</f>
        <v/>
      </c>
      <c r="H3876" s="47" t="str">
        <f>IFERROR(VLOOKUP(G3876,WholesaleExtract!B:L,11,FALSE),"")</f>
        <v/>
      </c>
      <c r="I3876" s="26" t="str">
        <f>IFERROR(VLOOKUP(G3876,WholesaleExtract!B:O,8,FALSE),"")</f>
        <v/>
      </c>
      <c r="J3876" s="26" t="str">
        <f>IFERROR(VLOOKUP(G3876,WholesaleExtract!B:O,14,FALSE),"")</f>
        <v/>
      </c>
      <c r="K3876" s="26" t="str">
        <f>IFERROR(VLOOKUP(G3876,WholesaleExtract!B:K,10,FALSE),"")</f>
        <v/>
      </c>
      <c r="L3876" s="47" t="str">
        <f>IFERROR(VLOOKUP(G3876,WholesaleExtract!B:L,11,FALSE),"")</f>
        <v/>
      </c>
      <c r="M3876" s="47" t="str">
        <f>IFERROR(VLOOKUP(G3876,WholesaleExtract!B:M,12,FALSE),"")</f>
        <v/>
      </c>
      <c r="R3876" s="19"/>
      <c r="S3876" s="19"/>
    </row>
    <row r="3877" spans="1:19" x14ac:dyDescent="0.35">
      <c r="A3877" s="26" t="s">
        <v>543</v>
      </c>
      <c r="B3877" s="26" t="s">
        <v>543</v>
      </c>
      <c r="C3877" s="26"/>
      <c r="D3877" s="26" t="s">
        <v>543</v>
      </c>
      <c r="E3877" s="26" t="str">
        <f>IFERROR(VLOOKUP(G3877,WholesaleExtract!B:J,9,FALSE),"")</f>
        <v/>
      </c>
      <c r="F3877" s="26" t="str">
        <f>IFERROR(VLOOKUP(G3877,WholesaleExtract!B:J,6,FALSE),"")</f>
        <v/>
      </c>
      <c r="H3877" s="47" t="str">
        <f>IFERROR(VLOOKUP(G3877,WholesaleExtract!B:L,11,FALSE),"")</f>
        <v/>
      </c>
      <c r="I3877" s="26" t="str">
        <f>IFERROR(VLOOKUP(G3877,WholesaleExtract!B:O,8,FALSE),"")</f>
        <v/>
      </c>
      <c r="J3877" s="26" t="str">
        <f>IFERROR(VLOOKUP(G3877,WholesaleExtract!B:O,14,FALSE),"")</f>
        <v/>
      </c>
      <c r="K3877" s="26" t="str">
        <f>IFERROR(VLOOKUP(G3877,WholesaleExtract!B:K,10,FALSE),"")</f>
        <v/>
      </c>
      <c r="L3877" s="47" t="str">
        <f>IFERROR(VLOOKUP(G3877,WholesaleExtract!B:L,11,FALSE),"")</f>
        <v/>
      </c>
      <c r="M3877" s="47" t="str">
        <f>IFERROR(VLOOKUP(G3877,WholesaleExtract!B:M,12,FALSE),"")</f>
        <v/>
      </c>
      <c r="R3877" s="19"/>
      <c r="S3877" s="19"/>
    </row>
    <row r="3878" spans="1:19" x14ac:dyDescent="0.35">
      <c r="A3878" s="26" t="s">
        <v>543</v>
      </c>
      <c r="B3878" s="26" t="s">
        <v>543</v>
      </c>
      <c r="C3878" s="26"/>
      <c r="D3878" s="26" t="s">
        <v>543</v>
      </c>
      <c r="E3878" s="26" t="str">
        <f>IFERROR(VLOOKUP(G3878,WholesaleExtract!B:J,9,FALSE),"")</f>
        <v/>
      </c>
      <c r="F3878" s="26" t="str">
        <f>IFERROR(VLOOKUP(G3878,WholesaleExtract!B:J,6,FALSE),"")</f>
        <v/>
      </c>
      <c r="H3878" s="47" t="str">
        <f>IFERROR(VLOOKUP(G3878,WholesaleExtract!B:L,11,FALSE),"")</f>
        <v/>
      </c>
      <c r="I3878" s="26" t="str">
        <f>IFERROR(VLOOKUP(G3878,WholesaleExtract!B:O,8,FALSE),"")</f>
        <v/>
      </c>
      <c r="J3878" s="26" t="str">
        <f>IFERROR(VLOOKUP(G3878,WholesaleExtract!B:O,14,FALSE),"")</f>
        <v/>
      </c>
      <c r="K3878" s="26" t="str">
        <f>IFERROR(VLOOKUP(G3878,WholesaleExtract!B:K,10,FALSE),"")</f>
        <v/>
      </c>
      <c r="L3878" s="47" t="str">
        <f>IFERROR(VLOOKUP(G3878,WholesaleExtract!B:L,11,FALSE),"")</f>
        <v/>
      </c>
      <c r="M3878" s="47" t="str">
        <f>IFERROR(VLOOKUP(G3878,WholesaleExtract!B:M,12,FALSE),"")</f>
        <v/>
      </c>
      <c r="R3878" s="19"/>
      <c r="S3878" s="19"/>
    </row>
    <row r="3879" spans="1:19" x14ac:dyDescent="0.35">
      <c r="A3879" s="26" t="s">
        <v>543</v>
      </c>
      <c r="B3879" s="26" t="s">
        <v>543</v>
      </c>
      <c r="C3879" s="26"/>
      <c r="D3879" s="26" t="s">
        <v>543</v>
      </c>
      <c r="E3879" s="26" t="str">
        <f>IFERROR(VLOOKUP(G3879,WholesaleExtract!B:J,9,FALSE),"")</f>
        <v/>
      </c>
      <c r="F3879" s="26" t="str">
        <f>IFERROR(VLOOKUP(G3879,WholesaleExtract!B:J,6,FALSE),"")</f>
        <v/>
      </c>
      <c r="H3879" s="47" t="str">
        <f>IFERROR(VLOOKUP(G3879,WholesaleExtract!B:L,11,FALSE),"")</f>
        <v/>
      </c>
      <c r="I3879" s="26" t="str">
        <f>IFERROR(VLOOKUP(G3879,WholesaleExtract!B:O,8,FALSE),"")</f>
        <v/>
      </c>
      <c r="J3879" s="26" t="str">
        <f>IFERROR(VLOOKUP(G3879,WholesaleExtract!B:O,14,FALSE),"")</f>
        <v/>
      </c>
      <c r="K3879" s="26" t="str">
        <f>IFERROR(VLOOKUP(G3879,WholesaleExtract!B:K,10,FALSE),"")</f>
        <v/>
      </c>
      <c r="L3879" s="47" t="str">
        <f>IFERROR(VLOOKUP(G3879,WholesaleExtract!B:L,11,FALSE),"")</f>
        <v/>
      </c>
      <c r="M3879" s="47" t="str">
        <f>IFERROR(VLOOKUP(G3879,WholesaleExtract!B:M,12,FALSE),"")</f>
        <v/>
      </c>
      <c r="R3879" s="19"/>
      <c r="S3879" s="19"/>
    </row>
    <row r="3880" spans="1:19" x14ac:dyDescent="0.35">
      <c r="A3880" s="26" t="s">
        <v>543</v>
      </c>
      <c r="B3880" s="26" t="s">
        <v>543</v>
      </c>
      <c r="C3880" s="26"/>
      <c r="D3880" s="26" t="s">
        <v>543</v>
      </c>
      <c r="E3880" s="26" t="str">
        <f>IFERROR(VLOOKUP(G3880,WholesaleExtract!B:J,9,FALSE),"")</f>
        <v/>
      </c>
      <c r="F3880" s="26" t="str">
        <f>IFERROR(VLOOKUP(G3880,WholesaleExtract!B:J,6,FALSE),"")</f>
        <v/>
      </c>
      <c r="H3880" s="47" t="str">
        <f>IFERROR(VLOOKUP(G3880,WholesaleExtract!B:L,11,FALSE),"")</f>
        <v/>
      </c>
      <c r="I3880" s="26" t="str">
        <f>IFERROR(VLOOKUP(G3880,WholesaleExtract!B:O,8,FALSE),"")</f>
        <v/>
      </c>
      <c r="J3880" s="26" t="str">
        <f>IFERROR(VLOOKUP(G3880,WholesaleExtract!B:O,14,FALSE),"")</f>
        <v/>
      </c>
      <c r="K3880" s="26" t="str">
        <f>IFERROR(VLOOKUP(G3880,WholesaleExtract!B:K,10,FALSE),"")</f>
        <v/>
      </c>
      <c r="L3880" s="47" t="str">
        <f>IFERROR(VLOOKUP(G3880,WholesaleExtract!B:L,11,FALSE),"")</f>
        <v/>
      </c>
      <c r="M3880" s="47" t="str">
        <f>IFERROR(VLOOKUP(G3880,WholesaleExtract!B:M,12,FALSE),"")</f>
        <v/>
      </c>
      <c r="R3880" s="19"/>
      <c r="S3880" s="19"/>
    </row>
    <row r="3881" spans="1:19" x14ac:dyDescent="0.35">
      <c r="A3881" s="26" t="s">
        <v>543</v>
      </c>
      <c r="B3881" s="26" t="s">
        <v>543</v>
      </c>
      <c r="C3881" s="26"/>
      <c r="D3881" s="26" t="s">
        <v>543</v>
      </c>
      <c r="E3881" s="26" t="str">
        <f>IFERROR(VLOOKUP(G3881,WholesaleExtract!B:J,9,FALSE),"")</f>
        <v/>
      </c>
      <c r="F3881" s="26" t="str">
        <f>IFERROR(VLOOKUP(G3881,WholesaleExtract!B:J,6,FALSE),"")</f>
        <v/>
      </c>
      <c r="H3881" s="47" t="str">
        <f>IFERROR(VLOOKUP(G3881,WholesaleExtract!B:L,11,FALSE),"")</f>
        <v/>
      </c>
      <c r="I3881" s="26" t="str">
        <f>IFERROR(VLOOKUP(G3881,WholesaleExtract!B:O,8,FALSE),"")</f>
        <v/>
      </c>
      <c r="J3881" s="26" t="str">
        <f>IFERROR(VLOOKUP(G3881,WholesaleExtract!B:O,14,FALSE),"")</f>
        <v/>
      </c>
      <c r="K3881" s="26" t="str">
        <f>IFERROR(VLOOKUP(G3881,WholesaleExtract!B:K,10,FALSE),"")</f>
        <v/>
      </c>
      <c r="L3881" s="47" t="str">
        <f>IFERROR(VLOOKUP(G3881,WholesaleExtract!B:L,11,FALSE),"")</f>
        <v/>
      </c>
      <c r="M3881" s="47" t="str">
        <f>IFERROR(VLOOKUP(G3881,WholesaleExtract!B:M,12,FALSE),"")</f>
        <v/>
      </c>
      <c r="R3881" s="19"/>
      <c r="S3881" s="19"/>
    </row>
    <row r="3882" spans="1:19" x14ac:dyDescent="0.35">
      <c r="A3882" s="26" t="s">
        <v>543</v>
      </c>
      <c r="B3882" s="26" t="s">
        <v>543</v>
      </c>
      <c r="C3882" s="26"/>
      <c r="D3882" s="26" t="s">
        <v>543</v>
      </c>
      <c r="E3882" s="26" t="str">
        <f>IFERROR(VLOOKUP(G3882,WholesaleExtract!B:J,9,FALSE),"")</f>
        <v/>
      </c>
      <c r="F3882" s="26" t="str">
        <f>IFERROR(VLOOKUP(G3882,WholesaleExtract!B:J,6,FALSE),"")</f>
        <v/>
      </c>
      <c r="H3882" s="47" t="str">
        <f>IFERROR(VLOOKUP(G3882,WholesaleExtract!B:L,11,FALSE),"")</f>
        <v/>
      </c>
      <c r="I3882" s="26" t="str">
        <f>IFERROR(VLOOKUP(G3882,WholesaleExtract!B:O,8,FALSE),"")</f>
        <v/>
      </c>
      <c r="J3882" s="26" t="str">
        <f>IFERROR(VLOOKUP(G3882,WholesaleExtract!B:O,14,FALSE),"")</f>
        <v/>
      </c>
      <c r="K3882" s="26" t="str">
        <f>IFERROR(VLOOKUP(G3882,WholesaleExtract!B:K,10,FALSE),"")</f>
        <v/>
      </c>
      <c r="L3882" s="47" t="str">
        <f>IFERROR(VLOOKUP(G3882,WholesaleExtract!B:L,11,FALSE),"")</f>
        <v/>
      </c>
      <c r="M3882" s="47" t="str">
        <f>IFERROR(VLOOKUP(G3882,WholesaleExtract!B:M,12,FALSE),"")</f>
        <v/>
      </c>
      <c r="R3882" s="19"/>
      <c r="S3882" s="19"/>
    </row>
    <row r="3883" spans="1:19" x14ac:dyDescent="0.35">
      <c r="A3883" s="26" t="s">
        <v>543</v>
      </c>
      <c r="B3883" s="26" t="s">
        <v>543</v>
      </c>
      <c r="C3883" s="26"/>
      <c r="D3883" s="26" t="s">
        <v>543</v>
      </c>
      <c r="E3883" s="26" t="str">
        <f>IFERROR(VLOOKUP(G3883,WholesaleExtract!B:J,9,FALSE),"")</f>
        <v/>
      </c>
      <c r="F3883" s="26" t="str">
        <f>IFERROR(VLOOKUP(G3883,WholesaleExtract!B:J,6,FALSE),"")</f>
        <v/>
      </c>
      <c r="H3883" s="47" t="str">
        <f>IFERROR(VLOOKUP(G3883,WholesaleExtract!B:L,11,FALSE),"")</f>
        <v/>
      </c>
      <c r="I3883" s="26" t="str">
        <f>IFERROR(VLOOKUP(G3883,WholesaleExtract!B:O,8,FALSE),"")</f>
        <v/>
      </c>
      <c r="J3883" s="26" t="str">
        <f>IFERROR(VLOOKUP(G3883,WholesaleExtract!B:O,14,FALSE),"")</f>
        <v/>
      </c>
      <c r="K3883" s="26" t="str">
        <f>IFERROR(VLOOKUP(G3883,WholesaleExtract!B:K,10,FALSE),"")</f>
        <v/>
      </c>
      <c r="L3883" s="47" t="str">
        <f>IFERROR(VLOOKUP(G3883,WholesaleExtract!B:L,11,FALSE),"")</f>
        <v/>
      </c>
      <c r="M3883" s="47" t="str">
        <f>IFERROR(VLOOKUP(G3883,WholesaleExtract!B:M,12,FALSE),"")</f>
        <v/>
      </c>
      <c r="R3883" s="19"/>
      <c r="S3883" s="19"/>
    </row>
    <row r="3884" spans="1:19" x14ac:dyDescent="0.35">
      <c r="A3884" s="26" t="s">
        <v>543</v>
      </c>
      <c r="B3884" s="26" t="s">
        <v>543</v>
      </c>
      <c r="C3884" s="26"/>
      <c r="D3884" s="26" t="s">
        <v>543</v>
      </c>
      <c r="E3884" s="26" t="str">
        <f>IFERROR(VLOOKUP(G3884,WholesaleExtract!B:J,9,FALSE),"")</f>
        <v/>
      </c>
      <c r="F3884" s="26" t="str">
        <f>IFERROR(VLOOKUP(G3884,WholesaleExtract!B:J,6,FALSE),"")</f>
        <v/>
      </c>
      <c r="H3884" s="47" t="str">
        <f>IFERROR(VLOOKUP(G3884,WholesaleExtract!B:L,11,FALSE),"")</f>
        <v/>
      </c>
      <c r="I3884" s="26" t="str">
        <f>IFERROR(VLOOKUP(G3884,WholesaleExtract!B:O,8,FALSE),"")</f>
        <v/>
      </c>
      <c r="J3884" s="26" t="str">
        <f>IFERROR(VLOOKUP(G3884,WholesaleExtract!B:O,14,FALSE),"")</f>
        <v/>
      </c>
      <c r="K3884" s="26" t="str">
        <f>IFERROR(VLOOKUP(G3884,WholesaleExtract!B:K,10,FALSE),"")</f>
        <v/>
      </c>
      <c r="L3884" s="47" t="str">
        <f>IFERROR(VLOOKUP(G3884,WholesaleExtract!B:L,11,FALSE),"")</f>
        <v/>
      </c>
      <c r="M3884" s="47" t="str">
        <f>IFERROR(VLOOKUP(G3884,WholesaleExtract!B:M,12,FALSE),"")</f>
        <v/>
      </c>
      <c r="R3884" s="19"/>
      <c r="S3884" s="19"/>
    </row>
    <row r="3885" spans="1:19" x14ac:dyDescent="0.35">
      <c r="A3885" s="26" t="s">
        <v>543</v>
      </c>
      <c r="B3885" s="26" t="s">
        <v>543</v>
      </c>
      <c r="C3885" s="26"/>
      <c r="D3885" s="26" t="s">
        <v>543</v>
      </c>
      <c r="E3885" s="26" t="str">
        <f>IFERROR(VLOOKUP(G3885,WholesaleExtract!B:J,9,FALSE),"")</f>
        <v/>
      </c>
      <c r="F3885" s="26" t="str">
        <f>IFERROR(VLOOKUP(G3885,WholesaleExtract!B:J,6,FALSE),"")</f>
        <v/>
      </c>
      <c r="H3885" s="47" t="str">
        <f>IFERROR(VLOOKUP(G3885,WholesaleExtract!B:L,11,FALSE),"")</f>
        <v/>
      </c>
      <c r="I3885" s="26" t="str">
        <f>IFERROR(VLOOKUP(G3885,WholesaleExtract!B:O,8,FALSE),"")</f>
        <v/>
      </c>
      <c r="J3885" s="26" t="str">
        <f>IFERROR(VLOOKUP(G3885,WholesaleExtract!B:O,14,FALSE),"")</f>
        <v/>
      </c>
      <c r="K3885" s="26" t="str">
        <f>IFERROR(VLOOKUP(G3885,WholesaleExtract!B:K,10,FALSE),"")</f>
        <v/>
      </c>
      <c r="L3885" s="47" t="str">
        <f>IFERROR(VLOOKUP(G3885,WholesaleExtract!B:L,11,FALSE),"")</f>
        <v/>
      </c>
      <c r="M3885" s="47" t="str">
        <f>IFERROR(VLOOKUP(G3885,WholesaleExtract!B:M,12,FALSE),"")</f>
        <v/>
      </c>
      <c r="R3885" s="19"/>
      <c r="S3885" s="19"/>
    </row>
    <row r="3886" spans="1:19" x14ac:dyDescent="0.35">
      <c r="A3886" s="26" t="s">
        <v>543</v>
      </c>
      <c r="B3886" s="26" t="s">
        <v>543</v>
      </c>
      <c r="C3886" s="26"/>
      <c r="D3886" s="26" t="s">
        <v>543</v>
      </c>
      <c r="E3886" s="26" t="str">
        <f>IFERROR(VLOOKUP(G3886,WholesaleExtract!B:J,9,FALSE),"")</f>
        <v/>
      </c>
      <c r="F3886" s="26" t="str">
        <f>IFERROR(VLOOKUP(G3886,WholesaleExtract!B:J,6,FALSE),"")</f>
        <v/>
      </c>
      <c r="H3886" s="47" t="str">
        <f>IFERROR(VLOOKUP(G3886,WholesaleExtract!B:L,11,FALSE),"")</f>
        <v/>
      </c>
      <c r="I3886" s="26" t="str">
        <f>IFERROR(VLOOKUP(G3886,WholesaleExtract!B:O,8,FALSE),"")</f>
        <v/>
      </c>
      <c r="J3886" s="26" t="str">
        <f>IFERROR(VLOOKUP(G3886,WholesaleExtract!B:O,14,FALSE),"")</f>
        <v/>
      </c>
      <c r="K3886" s="26" t="str">
        <f>IFERROR(VLOOKUP(G3886,WholesaleExtract!B:K,10,FALSE),"")</f>
        <v/>
      </c>
      <c r="L3886" s="47" t="str">
        <f>IFERROR(VLOOKUP(G3886,WholesaleExtract!B:L,11,FALSE),"")</f>
        <v/>
      </c>
      <c r="M3886" s="47" t="str">
        <f>IFERROR(VLOOKUP(G3886,WholesaleExtract!B:M,12,FALSE),"")</f>
        <v/>
      </c>
      <c r="R3886" s="19"/>
      <c r="S3886" s="19"/>
    </row>
    <row r="3887" spans="1:19" x14ac:dyDescent="0.35">
      <c r="A3887" s="26" t="s">
        <v>543</v>
      </c>
      <c r="B3887" s="26" t="s">
        <v>543</v>
      </c>
      <c r="C3887" s="26"/>
      <c r="D3887" s="26" t="s">
        <v>543</v>
      </c>
      <c r="E3887" s="26" t="str">
        <f>IFERROR(VLOOKUP(G3887,WholesaleExtract!B:J,9,FALSE),"")</f>
        <v/>
      </c>
      <c r="F3887" s="26" t="str">
        <f>IFERROR(VLOOKUP(G3887,WholesaleExtract!B:J,6,FALSE),"")</f>
        <v/>
      </c>
      <c r="H3887" s="47" t="str">
        <f>IFERROR(VLOOKUP(G3887,WholesaleExtract!B:L,11,FALSE),"")</f>
        <v/>
      </c>
      <c r="I3887" s="26" t="str">
        <f>IFERROR(VLOOKUP(G3887,WholesaleExtract!B:O,8,FALSE),"")</f>
        <v/>
      </c>
      <c r="J3887" s="26" t="str">
        <f>IFERROR(VLOOKUP(G3887,WholesaleExtract!B:O,14,FALSE),"")</f>
        <v/>
      </c>
      <c r="K3887" s="26" t="str">
        <f>IFERROR(VLOOKUP(G3887,WholesaleExtract!B:K,10,FALSE),"")</f>
        <v/>
      </c>
      <c r="L3887" s="47" t="str">
        <f>IFERROR(VLOOKUP(G3887,WholesaleExtract!B:L,11,FALSE),"")</f>
        <v/>
      </c>
      <c r="M3887" s="47" t="str">
        <f>IFERROR(VLOOKUP(G3887,WholesaleExtract!B:M,12,FALSE),"")</f>
        <v/>
      </c>
      <c r="R3887" s="19"/>
      <c r="S3887" s="19"/>
    </row>
    <row r="3888" spans="1:19" x14ac:dyDescent="0.35">
      <c r="A3888" s="26" t="s">
        <v>543</v>
      </c>
      <c r="B3888" s="26" t="s">
        <v>543</v>
      </c>
      <c r="C3888" s="26"/>
      <c r="D3888" s="26" t="s">
        <v>543</v>
      </c>
      <c r="E3888" s="26" t="str">
        <f>IFERROR(VLOOKUP(G3888,WholesaleExtract!B:J,9,FALSE),"")</f>
        <v/>
      </c>
      <c r="F3888" s="26" t="str">
        <f>IFERROR(VLOOKUP(G3888,WholesaleExtract!B:J,6,FALSE),"")</f>
        <v/>
      </c>
      <c r="H3888" s="47" t="str">
        <f>IFERROR(VLOOKUP(G3888,WholesaleExtract!B:L,11,FALSE),"")</f>
        <v/>
      </c>
      <c r="I3888" s="26" t="str">
        <f>IFERROR(VLOOKUP(G3888,WholesaleExtract!B:O,8,FALSE),"")</f>
        <v/>
      </c>
      <c r="J3888" s="26" t="str">
        <f>IFERROR(VLOOKUP(G3888,WholesaleExtract!B:O,14,FALSE),"")</f>
        <v/>
      </c>
      <c r="K3888" s="26" t="str">
        <f>IFERROR(VLOOKUP(G3888,WholesaleExtract!B:K,10,FALSE),"")</f>
        <v/>
      </c>
      <c r="L3888" s="47" t="str">
        <f>IFERROR(VLOOKUP(G3888,WholesaleExtract!B:L,11,FALSE),"")</f>
        <v/>
      </c>
      <c r="M3888" s="47" t="str">
        <f>IFERROR(VLOOKUP(G3888,WholesaleExtract!B:M,12,FALSE),"")</f>
        <v/>
      </c>
      <c r="R3888" s="19"/>
      <c r="S3888" s="19"/>
    </row>
    <row r="3889" spans="1:19" x14ac:dyDescent="0.35">
      <c r="A3889" s="26" t="s">
        <v>543</v>
      </c>
      <c r="B3889" s="26" t="s">
        <v>543</v>
      </c>
      <c r="C3889" s="26"/>
      <c r="D3889" s="26" t="s">
        <v>543</v>
      </c>
      <c r="E3889" s="26" t="str">
        <f>IFERROR(VLOOKUP(G3889,WholesaleExtract!B:J,9,FALSE),"")</f>
        <v/>
      </c>
      <c r="F3889" s="26" t="str">
        <f>IFERROR(VLOOKUP(G3889,WholesaleExtract!B:J,6,FALSE),"")</f>
        <v/>
      </c>
      <c r="H3889" s="47" t="str">
        <f>IFERROR(VLOOKUP(G3889,WholesaleExtract!B:L,11,FALSE),"")</f>
        <v/>
      </c>
      <c r="I3889" s="26" t="str">
        <f>IFERROR(VLOOKUP(G3889,WholesaleExtract!B:O,8,FALSE),"")</f>
        <v/>
      </c>
      <c r="J3889" s="26" t="str">
        <f>IFERROR(VLOOKUP(G3889,WholesaleExtract!B:O,14,FALSE),"")</f>
        <v/>
      </c>
      <c r="K3889" s="26" t="str">
        <f>IFERROR(VLOOKUP(G3889,WholesaleExtract!B:K,10,FALSE),"")</f>
        <v/>
      </c>
      <c r="L3889" s="47" t="str">
        <f>IFERROR(VLOOKUP(G3889,WholesaleExtract!B:L,11,FALSE),"")</f>
        <v/>
      </c>
      <c r="M3889" s="47" t="str">
        <f>IFERROR(VLOOKUP(G3889,WholesaleExtract!B:M,12,FALSE),"")</f>
        <v/>
      </c>
      <c r="R3889" s="19"/>
      <c r="S3889" s="19"/>
    </row>
    <row r="3890" spans="1:19" x14ac:dyDescent="0.35">
      <c r="A3890" s="26" t="s">
        <v>543</v>
      </c>
      <c r="B3890" s="26" t="s">
        <v>543</v>
      </c>
      <c r="C3890" s="26"/>
      <c r="D3890" s="26" t="s">
        <v>543</v>
      </c>
      <c r="E3890" s="26" t="str">
        <f>IFERROR(VLOOKUP(G3890,WholesaleExtract!B:J,9,FALSE),"")</f>
        <v/>
      </c>
      <c r="F3890" s="26" t="str">
        <f>IFERROR(VLOOKUP(G3890,WholesaleExtract!B:J,6,FALSE),"")</f>
        <v/>
      </c>
      <c r="H3890" s="47" t="str">
        <f>IFERROR(VLOOKUP(G3890,WholesaleExtract!B:L,11,FALSE),"")</f>
        <v/>
      </c>
      <c r="I3890" s="26" t="str">
        <f>IFERROR(VLOOKUP(G3890,WholesaleExtract!B:O,8,FALSE),"")</f>
        <v/>
      </c>
      <c r="J3890" s="26" t="str">
        <f>IFERROR(VLOOKUP(G3890,WholesaleExtract!B:O,14,FALSE),"")</f>
        <v/>
      </c>
      <c r="K3890" s="26" t="str">
        <f>IFERROR(VLOOKUP(G3890,WholesaleExtract!B:K,10,FALSE),"")</f>
        <v/>
      </c>
      <c r="L3890" s="47" t="str">
        <f>IFERROR(VLOOKUP(G3890,WholesaleExtract!B:L,11,FALSE),"")</f>
        <v/>
      </c>
      <c r="M3890" s="47" t="str">
        <f>IFERROR(VLOOKUP(G3890,WholesaleExtract!B:M,12,FALSE),"")</f>
        <v/>
      </c>
      <c r="R3890" s="19"/>
      <c r="S3890" s="19"/>
    </row>
    <row r="3891" spans="1:19" x14ac:dyDescent="0.35">
      <c r="A3891" s="26" t="s">
        <v>543</v>
      </c>
      <c r="B3891" s="26" t="s">
        <v>543</v>
      </c>
      <c r="C3891" s="26"/>
      <c r="D3891" s="26" t="s">
        <v>543</v>
      </c>
      <c r="E3891" s="26" t="str">
        <f>IFERROR(VLOOKUP(G3891,WholesaleExtract!B:J,9,FALSE),"")</f>
        <v/>
      </c>
      <c r="F3891" s="26" t="str">
        <f>IFERROR(VLOOKUP(G3891,WholesaleExtract!B:J,6,FALSE),"")</f>
        <v/>
      </c>
      <c r="H3891" s="47" t="str">
        <f>IFERROR(VLOOKUP(G3891,WholesaleExtract!B:L,11,FALSE),"")</f>
        <v/>
      </c>
      <c r="I3891" s="26" t="str">
        <f>IFERROR(VLOOKUP(G3891,WholesaleExtract!B:O,8,FALSE),"")</f>
        <v/>
      </c>
      <c r="J3891" s="26" t="str">
        <f>IFERROR(VLOOKUP(G3891,WholesaleExtract!B:O,14,FALSE),"")</f>
        <v/>
      </c>
      <c r="K3891" s="26" t="str">
        <f>IFERROR(VLOOKUP(G3891,WholesaleExtract!B:K,10,FALSE),"")</f>
        <v/>
      </c>
      <c r="L3891" s="47" t="str">
        <f>IFERROR(VLOOKUP(G3891,WholesaleExtract!B:L,11,FALSE),"")</f>
        <v/>
      </c>
      <c r="M3891" s="47" t="str">
        <f>IFERROR(VLOOKUP(G3891,WholesaleExtract!B:M,12,FALSE),"")</f>
        <v/>
      </c>
      <c r="R3891" s="19"/>
      <c r="S3891" s="19"/>
    </row>
    <row r="3892" spans="1:19" x14ac:dyDescent="0.35">
      <c r="A3892" s="26" t="s">
        <v>543</v>
      </c>
      <c r="B3892" s="26" t="s">
        <v>543</v>
      </c>
      <c r="C3892" s="26"/>
      <c r="D3892" s="26" t="s">
        <v>543</v>
      </c>
      <c r="E3892" s="26" t="str">
        <f>IFERROR(VLOOKUP(G3892,WholesaleExtract!B:J,9,FALSE),"")</f>
        <v/>
      </c>
      <c r="F3892" s="26" t="str">
        <f>IFERROR(VLOOKUP(G3892,WholesaleExtract!B:J,6,FALSE),"")</f>
        <v/>
      </c>
      <c r="H3892" s="47" t="str">
        <f>IFERROR(VLOOKUP(G3892,WholesaleExtract!B:L,11,FALSE),"")</f>
        <v/>
      </c>
      <c r="I3892" s="26" t="str">
        <f>IFERROR(VLOOKUP(G3892,WholesaleExtract!B:O,8,FALSE),"")</f>
        <v/>
      </c>
      <c r="J3892" s="26" t="str">
        <f>IFERROR(VLOOKUP(G3892,WholesaleExtract!B:O,14,FALSE),"")</f>
        <v/>
      </c>
      <c r="K3892" s="26" t="str">
        <f>IFERROR(VLOOKUP(G3892,WholesaleExtract!B:K,10,FALSE),"")</f>
        <v/>
      </c>
      <c r="L3892" s="47" t="str">
        <f>IFERROR(VLOOKUP(G3892,WholesaleExtract!B:L,11,FALSE),"")</f>
        <v/>
      </c>
      <c r="M3892" s="47" t="str">
        <f>IFERROR(VLOOKUP(G3892,WholesaleExtract!B:M,12,FALSE),"")</f>
        <v/>
      </c>
      <c r="R3892" s="19"/>
      <c r="S3892" s="19"/>
    </row>
    <row r="3893" spans="1:19" x14ac:dyDescent="0.35">
      <c r="A3893" s="26" t="s">
        <v>543</v>
      </c>
      <c r="B3893" s="26" t="s">
        <v>543</v>
      </c>
      <c r="C3893" s="26"/>
      <c r="D3893" s="26" t="s">
        <v>543</v>
      </c>
      <c r="E3893" s="26" t="str">
        <f>IFERROR(VLOOKUP(G3893,WholesaleExtract!B:J,9,FALSE),"")</f>
        <v/>
      </c>
      <c r="F3893" s="26" t="str">
        <f>IFERROR(VLOOKUP(G3893,WholesaleExtract!B:J,6,FALSE),"")</f>
        <v/>
      </c>
      <c r="H3893" s="47" t="str">
        <f>IFERROR(VLOOKUP(G3893,WholesaleExtract!B:L,11,FALSE),"")</f>
        <v/>
      </c>
      <c r="I3893" s="26" t="str">
        <f>IFERROR(VLOOKUP(G3893,WholesaleExtract!B:O,8,FALSE),"")</f>
        <v/>
      </c>
      <c r="J3893" s="26" t="str">
        <f>IFERROR(VLOOKUP(G3893,WholesaleExtract!B:O,14,FALSE),"")</f>
        <v/>
      </c>
      <c r="K3893" s="26" t="str">
        <f>IFERROR(VLOOKUP(G3893,WholesaleExtract!B:K,10,FALSE),"")</f>
        <v/>
      </c>
      <c r="L3893" s="47" t="str">
        <f>IFERROR(VLOOKUP(G3893,WholesaleExtract!B:L,11,FALSE),"")</f>
        <v/>
      </c>
      <c r="M3893" s="47" t="str">
        <f>IFERROR(VLOOKUP(G3893,WholesaleExtract!B:M,12,FALSE),"")</f>
        <v/>
      </c>
      <c r="R3893" s="19"/>
      <c r="S3893" s="19"/>
    </row>
    <row r="3894" spans="1:19" x14ac:dyDescent="0.35">
      <c r="A3894" s="26" t="s">
        <v>543</v>
      </c>
      <c r="B3894" s="26" t="s">
        <v>543</v>
      </c>
      <c r="C3894" s="26"/>
      <c r="D3894" s="26" t="s">
        <v>543</v>
      </c>
      <c r="E3894" s="26" t="str">
        <f>IFERROR(VLOOKUP(G3894,WholesaleExtract!B:J,9,FALSE),"")</f>
        <v/>
      </c>
      <c r="F3894" s="26" t="str">
        <f>IFERROR(VLOOKUP(G3894,WholesaleExtract!B:J,6,FALSE),"")</f>
        <v/>
      </c>
      <c r="H3894" s="47" t="str">
        <f>IFERROR(VLOOKUP(G3894,WholesaleExtract!B:L,11,FALSE),"")</f>
        <v/>
      </c>
      <c r="I3894" s="26" t="str">
        <f>IFERROR(VLOOKUP(G3894,WholesaleExtract!B:O,8,FALSE),"")</f>
        <v/>
      </c>
      <c r="J3894" s="26" t="str">
        <f>IFERROR(VLOOKUP(G3894,WholesaleExtract!B:O,14,FALSE),"")</f>
        <v/>
      </c>
      <c r="K3894" s="26" t="str">
        <f>IFERROR(VLOOKUP(G3894,WholesaleExtract!B:K,10,FALSE),"")</f>
        <v/>
      </c>
      <c r="L3894" s="47" t="str">
        <f>IFERROR(VLOOKUP(G3894,WholesaleExtract!B:L,11,FALSE),"")</f>
        <v/>
      </c>
      <c r="M3894" s="47" t="str">
        <f>IFERROR(VLOOKUP(G3894,WholesaleExtract!B:M,12,FALSE),"")</f>
        <v/>
      </c>
      <c r="R3894" s="19"/>
      <c r="S3894" s="19"/>
    </row>
    <row r="3895" spans="1:19" x14ac:dyDescent="0.35">
      <c r="A3895" s="26" t="s">
        <v>543</v>
      </c>
      <c r="B3895" s="26" t="s">
        <v>543</v>
      </c>
      <c r="C3895" s="26"/>
      <c r="D3895" s="26" t="s">
        <v>543</v>
      </c>
      <c r="E3895" s="26" t="str">
        <f>IFERROR(VLOOKUP(G3895,WholesaleExtract!B:J,9,FALSE),"")</f>
        <v/>
      </c>
      <c r="F3895" s="26" t="str">
        <f>IFERROR(VLOOKUP(G3895,WholesaleExtract!B:J,6,FALSE),"")</f>
        <v/>
      </c>
      <c r="H3895" s="47" t="str">
        <f>IFERROR(VLOOKUP(G3895,WholesaleExtract!B:L,11,FALSE),"")</f>
        <v/>
      </c>
      <c r="I3895" s="26" t="str">
        <f>IFERROR(VLOOKUP(G3895,WholesaleExtract!B:O,8,FALSE),"")</f>
        <v/>
      </c>
      <c r="J3895" s="26" t="str">
        <f>IFERROR(VLOOKUP(G3895,WholesaleExtract!B:O,14,FALSE),"")</f>
        <v/>
      </c>
      <c r="K3895" s="26" t="str">
        <f>IFERROR(VLOOKUP(G3895,WholesaleExtract!B:K,10,FALSE),"")</f>
        <v/>
      </c>
      <c r="L3895" s="47" t="str">
        <f>IFERROR(VLOOKUP(G3895,WholesaleExtract!B:L,11,FALSE),"")</f>
        <v/>
      </c>
      <c r="M3895" s="47" t="str">
        <f>IFERROR(VLOOKUP(G3895,WholesaleExtract!B:M,12,FALSE),"")</f>
        <v/>
      </c>
      <c r="R3895" s="19"/>
      <c r="S3895" s="19"/>
    </row>
    <row r="3896" spans="1:19" x14ac:dyDescent="0.35">
      <c r="A3896" s="26" t="s">
        <v>543</v>
      </c>
      <c r="B3896" s="26" t="s">
        <v>543</v>
      </c>
      <c r="C3896" s="26"/>
      <c r="D3896" s="26" t="s">
        <v>543</v>
      </c>
      <c r="E3896" s="26" t="str">
        <f>IFERROR(VLOOKUP(G3896,WholesaleExtract!B:J,9,FALSE),"")</f>
        <v/>
      </c>
      <c r="F3896" s="26" t="str">
        <f>IFERROR(VLOOKUP(G3896,WholesaleExtract!B:J,6,FALSE),"")</f>
        <v/>
      </c>
      <c r="H3896" s="47" t="str">
        <f>IFERROR(VLOOKUP(G3896,WholesaleExtract!B:L,11,FALSE),"")</f>
        <v/>
      </c>
      <c r="I3896" s="26" t="str">
        <f>IFERROR(VLOOKUP(G3896,WholesaleExtract!B:O,8,FALSE),"")</f>
        <v/>
      </c>
      <c r="J3896" s="26" t="str">
        <f>IFERROR(VLOOKUP(G3896,WholesaleExtract!B:O,14,FALSE),"")</f>
        <v/>
      </c>
      <c r="K3896" s="26" t="str">
        <f>IFERROR(VLOOKUP(G3896,WholesaleExtract!B:K,10,FALSE),"")</f>
        <v/>
      </c>
      <c r="L3896" s="47" t="str">
        <f>IFERROR(VLOOKUP(G3896,WholesaleExtract!B:L,11,FALSE),"")</f>
        <v/>
      </c>
      <c r="M3896" s="47" t="str">
        <f>IFERROR(VLOOKUP(G3896,WholesaleExtract!B:M,12,FALSE),"")</f>
        <v/>
      </c>
      <c r="R3896" s="19"/>
      <c r="S3896" s="19"/>
    </row>
    <row r="3897" spans="1:19" x14ac:dyDescent="0.35">
      <c r="A3897" s="26" t="s">
        <v>543</v>
      </c>
      <c r="B3897" s="26" t="s">
        <v>543</v>
      </c>
      <c r="C3897" s="26"/>
      <c r="D3897" s="26" t="s">
        <v>543</v>
      </c>
      <c r="E3897" s="26" t="str">
        <f>IFERROR(VLOOKUP(G3897,WholesaleExtract!B:J,9,FALSE),"")</f>
        <v/>
      </c>
      <c r="F3897" s="26" t="str">
        <f>IFERROR(VLOOKUP(G3897,WholesaleExtract!B:J,6,FALSE),"")</f>
        <v/>
      </c>
      <c r="H3897" s="47" t="str">
        <f>IFERROR(VLOOKUP(G3897,WholesaleExtract!B:L,11,FALSE),"")</f>
        <v/>
      </c>
      <c r="I3897" s="26" t="str">
        <f>IFERROR(VLOOKUP(G3897,WholesaleExtract!B:O,8,FALSE),"")</f>
        <v/>
      </c>
      <c r="J3897" s="26" t="str">
        <f>IFERROR(VLOOKUP(G3897,WholesaleExtract!B:O,14,FALSE),"")</f>
        <v/>
      </c>
      <c r="K3897" s="26" t="str">
        <f>IFERROR(VLOOKUP(G3897,WholesaleExtract!B:K,10,FALSE),"")</f>
        <v/>
      </c>
      <c r="L3897" s="47" t="str">
        <f>IFERROR(VLOOKUP(G3897,WholesaleExtract!B:L,11,FALSE),"")</f>
        <v/>
      </c>
      <c r="M3897" s="47" t="str">
        <f>IFERROR(VLOOKUP(G3897,WholesaleExtract!B:M,12,FALSE),"")</f>
        <v/>
      </c>
      <c r="R3897" s="19"/>
      <c r="S3897" s="19"/>
    </row>
    <row r="3898" spans="1:19" x14ac:dyDescent="0.35">
      <c r="A3898" s="26" t="s">
        <v>543</v>
      </c>
      <c r="B3898" s="26" t="s">
        <v>543</v>
      </c>
      <c r="C3898" s="26"/>
      <c r="D3898" s="26" t="s">
        <v>543</v>
      </c>
      <c r="E3898" s="26" t="str">
        <f>IFERROR(VLOOKUP(G3898,WholesaleExtract!B:J,9,FALSE),"")</f>
        <v/>
      </c>
      <c r="F3898" s="26" t="str">
        <f>IFERROR(VLOOKUP(G3898,WholesaleExtract!B:J,6,FALSE),"")</f>
        <v/>
      </c>
      <c r="H3898" s="47" t="str">
        <f>IFERROR(VLOOKUP(G3898,WholesaleExtract!B:L,11,FALSE),"")</f>
        <v/>
      </c>
      <c r="I3898" s="26" t="str">
        <f>IFERROR(VLOOKUP(G3898,WholesaleExtract!B:O,8,FALSE),"")</f>
        <v/>
      </c>
      <c r="J3898" s="26" t="str">
        <f>IFERROR(VLOOKUP(G3898,WholesaleExtract!B:O,14,FALSE),"")</f>
        <v/>
      </c>
      <c r="K3898" s="26" t="str">
        <f>IFERROR(VLOOKUP(G3898,WholesaleExtract!B:K,10,FALSE),"")</f>
        <v/>
      </c>
      <c r="L3898" s="47" t="str">
        <f>IFERROR(VLOOKUP(G3898,WholesaleExtract!B:L,11,FALSE),"")</f>
        <v/>
      </c>
      <c r="M3898" s="47" t="str">
        <f>IFERROR(VLOOKUP(G3898,WholesaleExtract!B:M,12,FALSE),"")</f>
        <v/>
      </c>
      <c r="R3898" s="19"/>
      <c r="S3898" s="19"/>
    </row>
    <row r="3899" spans="1:19" x14ac:dyDescent="0.35">
      <c r="A3899" s="26" t="s">
        <v>543</v>
      </c>
      <c r="B3899" s="26" t="s">
        <v>543</v>
      </c>
      <c r="C3899" s="26"/>
      <c r="D3899" s="26" t="s">
        <v>543</v>
      </c>
      <c r="E3899" s="26" t="str">
        <f>IFERROR(VLOOKUP(G3899,WholesaleExtract!B:J,9,FALSE),"")</f>
        <v/>
      </c>
      <c r="F3899" s="26" t="str">
        <f>IFERROR(VLOOKUP(G3899,WholesaleExtract!B:J,6,FALSE),"")</f>
        <v/>
      </c>
      <c r="H3899" s="47" t="str">
        <f>IFERROR(VLOOKUP(G3899,WholesaleExtract!B:L,11,FALSE),"")</f>
        <v/>
      </c>
      <c r="I3899" s="26" t="str">
        <f>IFERROR(VLOOKUP(G3899,WholesaleExtract!B:O,8,FALSE),"")</f>
        <v/>
      </c>
      <c r="J3899" s="26" t="str">
        <f>IFERROR(VLOOKUP(G3899,WholesaleExtract!B:O,14,FALSE),"")</f>
        <v/>
      </c>
      <c r="K3899" s="26" t="str">
        <f>IFERROR(VLOOKUP(G3899,WholesaleExtract!B:K,10,FALSE),"")</f>
        <v/>
      </c>
      <c r="L3899" s="47" t="str">
        <f>IFERROR(VLOOKUP(G3899,WholesaleExtract!B:L,11,FALSE),"")</f>
        <v/>
      </c>
      <c r="M3899" s="47" t="str">
        <f>IFERROR(VLOOKUP(G3899,WholesaleExtract!B:M,12,FALSE),"")</f>
        <v/>
      </c>
      <c r="R3899" s="19"/>
      <c r="S3899" s="19"/>
    </row>
    <row r="3900" spans="1:19" x14ac:dyDescent="0.35">
      <c r="A3900" s="26" t="s">
        <v>543</v>
      </c>
      <c r="B3900" s="26" t="s">
        <v>543</v>
      </c>
      <c r="C3900" s="26"/>
      <c r="D3900" s="26" t="s">
        <v>543</v>
      </c>
      <c r="E3900" s="26" t="str">
        <f>IFERROR(VLOOKUP(G3900,WholesaleExtract!B:J,9,FALSE),"")</f>
        <v/>
      </c>
      <c r="F3900" s="26" t="str">
        <f>IFERROR(VLOOKUP(G3900,WholesaleExtract!B:J,6,FALSE),"")</f>
        <v/>
      </c>
      <c r="H3900" s="47" t="str">
        <f>IFERROR(VLOOKUP(G3900,WholesaleExtract!B:L,11,FALSE),"")</f>
        <v/>
      </c>
      <c r="I3900" s="26" t="str">
        <f>IFERROR(VLOOKUP(G3900,WholesaleExtract!B:O,8,FALSE),"")</f>
        <v/>
      </c>
      <c r="J3900" s="26" t="str">
        <f>IFERROR(VLOOKUP(G3900,WholesaleExtract!B:O,14,FALSE),"")</f>
        <v/>
      </c>
      <c r="K3900" s="26" t="str">
        <f>IFERROR(VLOOKUP(G3900,WholesaleExtract!B:K,10,FALSE),"")</f>
        <v/>
      </c>
      <c r="L3900" s="47" t="str">
        <f>IFERROR(VLOOKUP(G3900,WholesaleExtract!B:L,11,FALSE),"")</f>
        <v/>
      </c>
      <c r="M3900" s="47" t="str">
        <f>IFERROR(VLOOKUP(G3900,WholesaleExtract!B:M,12,FALSE),"")</f>
        <v/>
      </c>
      <c r="R3900" s="19"/>
      <c r="S3900" s="19"/>
    </row>
    <row r="3901" spans="1:19" x14ac:dyDescent="0.35">
      <c r="A3901" s="26" t="s">
        <v>543</v>
      </c>
      <c r="B3901" s="26" t="s">
        <v>543</v>
      </c>
      <c r="C3901" s="26"/>
      <c r="D3901" s="26" t="s">
        <v>543</v>
      </c>
      <c r="E3901" s="26" t="str">
        <f>IFERROR(VLOOKUP(G3901,WholesaleExtract!B:J,9,FALSE),"")</f>
        <v/>
      </c>
      <c r="F3901" s="26" t="str">
        <f>IFERROR(VLOOKUP(G3901,WholesaleExtract!B:J,6,FALSE),"")</f>
        <v/>
      </c>
      <c r="H3901" s="47" t="str">
        <f>IFERROR(VLOOKUP(G3901,WholesaleExtract!B:L,11,FALSE),"")</f>
        <v/>
      </c>
      <c r="I3901" s="26" t="str">
        <f>IFERROR(VLOOKUP(G3901,WholesaleExtract!B:O,8,FALSE),"")</f>
        <v/>
      </c>
      <c r="J3901" s="26" t="str">
        <f>IFERROR(VLOOKUP(G3901,WholesaleExtract!B:O,14,FALSE),"")</f>
        <v/>
      </c>
      <c r="K3901" s="26" t="str">
        <f>IFERROR(VLOOKUP(G3901,WholesaleExtract!B:K,10,FALSE),"")</f>
        <v/>
      </c>
      <c r="L3901" s="47" t="str">
        <f>IFERROR(VLOOKUP(G3901,WholesaleExtract!B:L,11,FALSE),"")</f>
        <v/>
      </c>
      <c r="M3901" s="47" t="str">
        <f>IFERROR(VLOOKUP(G3901,WholesaleExtract!B:M,12,FALSE),"")</f>
        <v/>
      </c>
      <c r="R3901" s="19"/>
      <c r="S3901" s="19"/>
    </row>
    <row r="3902" spans="1:19" x14ac:dyDescent="0.35">
      <c r="A3902" s="26" t="s">
        <v>543</v>
      </c>
      <c r="B3902" s="26" t="s">
        <v>543</v>
      </c>
      <c r="C3902" s="26"/>
      <c r="D3902" s="26" t="s">
        <v>543</v>
      </c>
      <c r="E3902" s="26" t="str">
        <f>IFERROR(VLOOKUP(G3902,WholesaleExtract!B:J,9,FALSE),"")</f>
        <v/>
      </c>
      <c r="F3902" s="26" t="str">
        <f>IFERROR(VLOOKUP(G3902,WholesaleExtract!B:J,6,FALSE),"")</f>
        <v/>
      </c>
      <c r="H3902" s="47" t="str">
        <f>IFERROR(VLOOKUP(G3902,WholesaleExtract!B:L,11,FALSE),"")</f>
        <v/>
      </c>
      <c r="I3902" s="26" t="str">
        <f>IFERROR(VLOOKUP(G3902,WholesaleExtract!B:O,8,FALSE),"")</f>
        <v/>
      </c>
      <c r="J3902" s="26" t="str">
        <f>IFERROR(VLOOKUP(G3902,WholesaleExtract!B:O,14,FALSE),"")</f>
        <v/>
      </c>
      <c r="K3902" s="26" t="str">
        <f>IFERROR(VLOOKUP(G3902,WholesaleExtract!B:K,10,FALSE),"")</f>
        <v/>
      </c>
      <c r="L3902" s="47" t="str">
        <f>IFERROR(VLOOKUP(G3902,WholesaleExtract!B:L,11,FALSE),"")</f>
        <v/>
      </c>
      <c r="M3902" s="47" t="str">
        <f>IFERROR(VLOOKUP(G3902,WholesaleExtract!B:M,12,FALSE),"")</f>
        <v/>
      </c>
      <c r="R3902" s="19"/>
      <c r="S3902" s="19"/>
    </row>
    <row r="3903" spans="1:19" x14ac:dyDescent="0.35">
      <c r="A3903" s="26" t="s">
        <v>543</v>
      </c>
      <c r="B3903" s="26" t="s">
        <v>543</v>
      </c>
      <c r="C3903" s="26"/>
      <c r="D3903" s="26" t="s">
        <v>543</v>
      </c>
      <c r="E3903" s="26" t="str">
        <f>IFERROR(VLOOKUP(G3903,WholesaleExtract!B:J,9,FALSE),"")</f>
        <v/>
      </c>
      <c r="F3903" s="26" t="str">
        <f>IFERROR(VLOOKUP(G3903,WholesaleExtract!B:J,6,FALSE),"")</f>
        <v/>
      </c>
      <c r="H3903" s="47" t="str">
        <f>IFERROR(VLOOKUP(G3903,WholesaleExtract!B:L,11,FALSE),"")</f>
        <v/>
      </c>
      <c r="I3903" s="26" t="str">
        <f>IFERROR(VLOOKUP(G3903,WholesaleExtract!B:O,8,FALSE),"")</f>
        <v/>
      </c>
      <c r="J3903" s="26" t="str">
        <f>IFERROR(VLOOKUP(G3903,WholesaleExtract!B:O,14,FALSE),"")</f>
        <v/>
      </c>
      <c r="K3903" s="26" t="str">
        <f>IFERROR(VLOOKUP(G3903,WholesaleExtract!B:K,10,FALSE),"")</f>
        <v/>
      </c>
      <c r="L3903" s="47" t="str">
        <f>IFERROR(VLOOKUP(G3903,WholesaleExtract!B:L,11,FALSE),"")</f>
        <v/>
      </c>
      <c r="M3903" s="47" t="str">
        <f>IFERROR(VLOOKUP(G3903,WholesaleExtract!B:M,12,FALSE),"")</f>
        <v/>
      </c>
      <c r="R3903" s="19"/>
      <c r="S3903" s="19"/>
    </row>
    <row r="3904" spans="1:19" x14ac:dyDescent="0.35">
      <c r="A3904" s="26" t="s">
        <v>543</v>
      </c>
      <c r="B3904" s="26" t="s">
        <v>543</v>
      </c>
      <c r="C3904" s="26"/>
      <c r="D3904" s="26" t="s">
        <v>543</v>
      </c>
      <c r="E3904" s="26" t="str">
        <f>IFERROR(VLOOKUP(G3904,WholesaleExtract!B:J,9,FALSE),"")</f>
        <v/>
      </c>
      <c r="F3904" s="26" t="str">
        <f>IFERROR(VLOOKUP(G3904,WholesaleExtract!B:J,6,FALSE),"")</f>
        <v/>
      </c>
      <c r="H3904" s="47" t="str">
        <f>IFERROR(VLOOKUP(G3904,WholesaleExtract!B:L,11,FALSE),"")</f>
        <v/>
      </c>
      <c r="I3904" s="26" t="str">
        <f>IFERROR(VLOOKUP(G3904,WholesaleExtract!B:O,8,FALSE),"")</f>
        <v/>
      </c>
      <c r="J3904" s="26" t="str">
        <f>IFERROR(VLOOKUP(G3904,WholesaleExtract!B:O,14,FALSE),"")</f>
        <v/>
      </c>
      <c r="K3904" s="26" t="str">
        <f>IFERROR(VLOOKUP(G3904,WholesaleExtract!B:K,10,FALSE),"")</f>
        <v/>
      </c>
      <c r="L3904" s="47" t="str">
        <f>IFERROR(VLOOKUP(G3904,WholesaleExtract!B:L,11,FALSE),"")</f>
        <v/>
      </c>
      <c r="M3904" s="47" t="str">
        <f>IFERROR(VLOOKUP(G3904,WholesaleExtract!B:M,12,FALSE),"")</f>
        <v/>
      </c>
      <c r="R3904" s="19"/>
      <c r="S3904" s="19"/>
    </row>
    <row r="3905" spans="1:19" x14ac:dyDescent="0.35">
      <c r="A3905" s="26" t="s">
        <v>543</v>
      </c>
      <c r="B3905" s="26" t="s">
        <v>543</v>
      </c>
      <c r="C3905" s="26"/>
      <c r="D3905" s="26" t="s">
        <v>543</v>
      </c>
      <c r="E3905" s="26" t="str">
        <f>IFERROR(VLOOKUP(G3905,WholesaleExtract!B:J,9,FALSE),"")</f>
        <v/>
      </c>
      <c r="F3905" s="26" t="str">
        <f>IFERROR(VLOOKUP(G3905,WholesaleExtract!B:J,6,FALSE),"")</f>
        <v/>
      </c>
      <c r="H3905" s="47" t="str">
        <f>IFERROR(VLOOKUP(G3905,WholesaleExtract!B:L,11,FALSE),"")</f>
        <v/>
      </c>
      <c r="I3905" s="26" t="str">
        <f>IFERROR(VLOOKUP(G3905,WholesaleExtract!B:O,8,FALSE),"")</f>
        <v/>
      </c>
      <c r="J3905" s="26" t="str">
        <f>IFERROR(VLOOKUP(G3905,WholesaleExtract!B:O,14,FALSE),"")</f>
        <v/>
      </c>
      <c r="K3905" s="26" t="str">
        <f>IFERROR(VLOOKUP(G3905,WholesaleExtract!B:K,10,FALSE),"")</f>
        <v/>
      </c>
      <c r="L3905" s="47" t="str">
        <f>IFERROR(VLOOKUP(G3905,WholesaleExtract!B:L,11,FALSE),"")</f>
        <v/>
      </c>
      <c r="M3905" s="47" t="str">
        <f>IFERROR(VLOOKUP(G3905,WholesaleExtract!B:M,12,FALSE),"")</f>
        <v/>
      </c>
      <c r="R3905" s="19"/>
      <c r="S3905" s="19"/>
    </row>
    <row r="3906" spans="1:19" x14ac:dyDescent="0.35">
      <c r="A3906" s="26" t="s">
        <v>543</v>
      </c>
      <c r="B3906" s="26" t="s">
        <v>543</v>
      </c>
      <c r="C3906" s="26"/>
      <c r="D3906" s="26" t="s">
        <v>543</v>
      </c>
      <c r="E3906" s="26" t="str">
        <f>IFERROR(VLOOKUP(G3906,WholesaleExtract!B:J,9,FALSE),"")</f>
        <v/>
      </c>
      <c r="F3906" s="26" t="str">
        <f>IFERROR(VLOOKUP(G3906,WholesaleExtract!B:J,6,FALSE),"")</f>
        <v/>
      </c>
      <c r="H3906" s="47" t="str">
        <f>IFERROR(VLOOKUP(G3906,WholesaleExtract!B:L,11,FALSE),"")</f>
        <v/>
      </c>
      <c r="I3906" s="26" t="str">
        <f>IFERROR(VLOOKUP(G3906,WholesaleExtract!B:O,8,FALSE),"")</f>
        <v/>
      </c>
      <c r="J3906" s="26" t="str">
        <f>IFERROR(VLOOKUP(G3906,WholesaleExtract!B:O,14,FALSE),"")</f>
        <v/>
      </c>
      <c r="K3906" s="26" t="str">
        <f>IFERROR(VLOOKUP(G3906,WholesaleExtract!B:K,10,FALSE),"")</f>
        <v/>
      </c>
      <c r="L3906" s="47" t="str">
        <f>IFERROR(VLOOKUP(G3906,WholesaleExtract!B:L,11,FALSE),"")</f>
        <v/>
      </c>
      <c r="M3906" s="47" t="str">
        <f>IFERROR(VLOOKUP(G3906,WholesaleExtract!B:M,12,FALSE),"")</f>
        <v/>
      </c>
      <c r="R3906" s="19"/>
      <c r="S3906" s="19"/>
    </row>
    <row r="3907" spans="1:19" x14ac:dyDescent="0.35">
      <c r="A3907" s="26" t="s">
        <v>543</v>
      </c>
      <c r="B3907" s="26" t="s">
        <v>543</v>
      </c>
      <c r="C3907" s="26"/>
      <c r="D3907" s="26" t="s">
        <v>543</v>
      </c>
      <c r="E3907" s="26" t="str">
        <f>IFERROR(VLOOKUP(G3907,WholesaleExtract!B:J,9,FALSE),"")</f>
        <v/>
      </c>
      <c r="F3907" s="26" t="str">
        <f>IFERROR(VLOOKUP(G3907,WholesaleExtract!B:J,6,FALSE),"")</f>
        <v/>
      </c>
      <c r="H3907" s="47" t="str">
        <f>IFERROR(VLOOKUP(G3907,WholesaleExtract!B:L,11,FALSE),"")</f>
        <v/>
      </c>
      <c r="I3907" s="26" t="str">
        <f>IFERROR(VLOOKUP(G3907,WholesaleExtract!B:O,8,FALSE),"")</f>
        <v/>
      </c>
      <c r="J3907" s="26" t="str">
        <f>IFERROR(VLOOKUP(G3907,WholesaleExtract!B:O,14,FALSE),"")</f>
        <v/>
      </c>
      <c r="K3907" s="26" t="str">
        <f>IFERROR(VLOOKUP(G3907,WholesaleExtract!B:K,10,FALSE),"")</f>
        <v/>
      </c>
      <c r="L3907" s="47" t="str">
        <f>IFERROR(VLOOKUP(G3907,WholesaleExtract!B:L,11,FALSE),"")</f>
        <v/>
      </c>
      <c r="M3907" s="47" t="str">
        <f>IFERROR(VLOOKUP(G3907,WholesaleExtract!B:M,12,FALSE),"")</f>
        <v/>
      </c>
      <c r="R3907" s="19"/>
      <c r="S3907" s="19"/>
    </row>
    <row r="3908" spans="1:19" x14ac:dyDescent="0.35">
      <c r="A3908" s="26" t="s">
        <v>543</v>
      </c>
      <c r="B3908" s="26" t="s">
        <v>543</v>
      </c>
      <c r="C3908" s="26"/>
      <c r="D3908" s="26" t="s">
        <v>543</v>
      </c>
      <c r="E3908" s="26" t="str">
        <f>IFERROR(VLOOKUP(G3908,WholesaleExtract!B:J,9,FALSE),"")</f>
        <v/>
      </c>
      <c r="F3908" s="26" t="str">
        <f>IFERROR(VLOOKUP(G3908,WholesaleExtract!B:J,6,FALSE),"")</f>
        <v/>
      </c>
      <c r="H3908" s="47" t="str">
        <f>IFERROR(VLOOKUP(G3908,WholesaleExtract!B:L,11,FALSE),"")</f>
        <v/>
      </c>
      <c r="I3908" s="26" t="str">
        <f>IFERROR(VLOOKUP(G3908,WholesaleExtract!B:O,8,FALSE),"")</f>
        <v/>
      </c>
      <c r="J3908" s="26" t="str">
        <f>IFERROR(VLOOKUP(G3908,WholesaleExtract!B:O,14,FALSE),"")</f>
        <v/>
      </c>
      <c r="K3908" s="26" t="str">
        <f>IFERROR(VLOOKUP(G3908,WholesaleExtract!B:K,10,FALSE),"")</f>
        <v/>
      </c>
      <c r="L3908" s="47" t="str">
        <f>IFERROR(VLOOKUP(G3908,WholesaleExtract!B:L,11,FALSE),"")</f>
        <v/>
      </c>
      <c r="M3908" s="47" t="str">
        <f>IFERROR(VLOOKUP(G3908,WholesaleExtract!B:M,12,FALSE),"")</f>
        <v/>
      </c>
      <c r="R3908" s="19"/>
      <c r="S3908" s="19"/>
    </row>
    <row r="3909" spans="1:19" x14ac:dyDescent="0.35">
      <c r="A3909" s="26" t="s">
        <v>543</v>
      </c>
      <c r="B3909" s="26" t="s">
        <v>543</v>
      </c>
      <c r="C3909" s="26"/>
      <c r="D3909" s="26" t="s">
        <v>543</v>
      </c>
      <c r="E3909" s="26" t="str">
        <f>IFERROR(VLOOKUP(G3909,WholesaleExtract!B:J,9,FALSE),"")</f>
        <v/>
      </c>
      <c r="F3909" s="26" t="str">
        <f>IFERROR(VLOOKUP(G3909,WholesaleExtract!B:J,6,FALSE),"")</f>
        <v/>
      </c>
      <c r="H3909" s="47" t="str">
        <f>IFERROR(VLOOKUP(G3909,WholesaleExtract!B:L,11,FALSE),"")</f>
        <v/>
      </c>
      <c r="I3909" s="26" t="str">
        <f>IFERROR(VLOOKUP(G3909,WholesaleExtract!B:O,8,FALSE),"")</f>
        <v/>
      </c>
      <c r="J3909" s="26" t="str">
        <f>IFERROR(VLOOKUP(G3909,WholesaleExtract!B:O,14,FALSE),"")</f>
        <v/>
      </c>
      <c r="K3909" s="26" t="str">
        <f>IFERROR(VLOOKUP(G3909,WholesaleExtract!B:K,10,FALSE),"")</f>
        <v/>
      </c>
      <c r="L3909" s="47" t="str">
        <f>IFERROR(VLOOKUP(G3909,WholesaleExtract!B:L,11,FALSE),"")</f>
        <v/>
      </c>
      <c r="M3909" s="47" t="str">
        <f>IFERROR(VLOOKUP(G3909,WholesaleExtract!B:M,12,FALSE),"")</f>
        <v/>
      </c>
      <c r="R3909" s="19"/>
      <c r="S3909" s="19"/>
    </row>
    <row r="3910" spans="1:19" x14ac:dyDescent="0.35">
      <c r="A3910" s="26" t="s">
        <v>543</v>
      </c>
      <c r="B3910" s="26" t="s">
        <v>543</v>
      </c>
      <c r="C3910" s="26"/>
      <c r="D3910" s="26" t="s">
        <v>543</v>
      </c>
      <c r="E3910" s="26" t="str">
        <f>IFERROR(VLOOKUP(G3910,WholesaleExtract!B:J,9,FALSE),"")</f>
        <v/>
      </c>
      <c r="F3910" s="26" t="str">
        <f>IFERROR(VLOOKUP(G3910,WholesaleExtract!B:J,6,FALSE),"")</f>
        <v/>
      </c>
      <c r="H3910" s="47" t="str">
        <f>IFERROR(VLOOKUP(G3910,WholesaleExtract!B:L,11,FALSE),"")</f>
        <v/>
      </c>
      <c r="I3910" s="26" t="str">
        <f>IFERROR(VLOOKUP(G3910,WholesaleExtract!B:O,8,FALSE),"")</f>
        <v/>
      </c>
      <c r="J3910" s="26" t="str">
        <f>IFERROR(VLOOKUP(G3910,WholesaleExtract!B:O,14,FALSE),"")</f>
        <v/>
      </c>
      <c r="K3910" s="26" t="str">
        <f>IFERROR(VLOOKUP(G3910,WholesaleExtract!B:K,10,FALSE),"")</f>
        <v/>
      </c>
      <c r="L3910" s="47" t="str">
        <f>IFERROR(VLOOKUP(G3910,WholesaleExtract!B:L,11,FALSE),"")</f>
        <v/>
      </c>
      <c r="M3910" s="47" t="str">
        <f>IFERROR(VLOOKUP(G3910,WholesaleExtract!B:M,12,FALSE),"")</f>
        <v/>
      </c>
      <c r="R3910" s="19"/>
      <c r="S3910" s="19"/>
    </row>
    <row r="3911" spans="1:19" x14ac:dyDescent="0.35">
      <c r="A3911" s="26" t="s">
        <v>543</v>
      </c>
      <c r="B3911" s="26" t="s">
        <v>543</v>
      </c>
      <c r="C3911" s="26"/>
      <c r="D3911" s="26" t="s">
        <v>543</v>
      </c>
      <c r="E3911" s="26" t="str">
        <f>IFERROR(VLOOKUP(G3911,WholesaleExtract!B:J,9,FALSE),"")</f>
        <v/>
      </c>
      <c r="F3911" s="26" t="str">
        <f>IFERROR(VLOOKUP(G3911,WholesaleExtract!B:J,6,FALSE),"")</f>
        <v/>
      </c>
      <c r="H3911" s="47" t="str">
        <f>IFERROR(VLOOKUP(G3911,WholesaleExtract!B:L,11,FALSE),"")</f>
        <v/>
      </c>
      <c r="I3911" s="26" t="str">
        <f>IFERROR(VLOOKUP(G3911,WholesaleExtract!B:O,8,FALSE),"")</f>
        <v/>
      </c>
      <c r="J3911" s="26" t="str">
        <f>IFERROR(VLOOKUP(G3911,WholesaleExtract!B:O,14,FALSE),"")</f>
        <v/>
      </c>
      <c r="K3911" s="26" t="str">
        <f>IFERROR(VLOOKUP(G3911,WholesaleExtract!B:K,10,FALSE),"")</f>
        <v/>
      </c>
      <c r="L3911" s="47" t="str">
        <f>IFERROR(VLOOKUP(G3911,WholesaleExtract!B:L,11,FALSE),"")</f>
        <v/>
      </c>
      <c r="M3911" s="47" t="str">
        <f>IFERROR(VLOOKUP(G3911,WholesaleExtract!B:M,12,FALSE),"")</f>
        <v/>
      </c>
      <c r="R3911" s="19"/>
      <c r="S3911" s="19"/>
    </row>
    <row r="3912" spans="1:19" x14ac:dyDescent="0.35">
      <c r="A3912" s="26" t="s">
        <v>543</v>
      </c>
      <c r="B3912" s="26" t="s">
        <v>543</v>
      </c>
      <c r="C3912" s="26"/>
      <c r="D3912" s="26" t="s">
        <v>543</v>
      </c>
      <c r="E3912" s="26" t="str">
        <f>IFERROR(VLOOKUP(G3912,WholesaleExtract!B:J,9,FALSE),"")</f>
        <v/>
      </c>
      <c r="F3912" s="26" t="str">
        <f>IFERROR(VLOOKUP(G3912,WholesaleExtract!B:J,6,FALSE),"")</f>
        <v/>
      </c>
      <c r="H3912" s="47" t="str">
        <f>IFERROR(VLOOKUP(G3912,WholesaleExtract!B:L,11,FALSE),"")</f>
        <v/>
      </c>
      <c r="I3912" s="26" t="str">
        <f>IFERROR(VLOOKUP(G3912,WholesaleExtract!B:O,8,FALSE),"")</f>
        <v/>
      </c>
      <c r="J3912" s="26" t="str">
        <f>IFERROR(VLOOKUP(G3912,WholesaleExtract!B:O,14,FALSE),"")</f>
        <v/>
      </c>
      <c r="K3912" s="26" t="str">
        <f>IFERROR(VLOOKUP(G3912,WholesaleExtract!B:K,10,FALSE),"")</f>
        <v/>
      </c>
      <c r="L3912" s="47" t="str">
        <f>IFERROR(VLOOKUP(G3912,WholesaleExtract!B:L,11,FALSE),"")</f>
        <v/>
      </c>
      <c r="M3912" s="47" t="str">
        <f>IFERROR(VLOOKUP(G3912,WholesaleExtract!B:M,12,FALSE),"")</f>
        <v/>
      </c>
      <c r="R3912" s="19"/>
      <c r="S3912" s="19"/>
    </row>
    <row r="3913" spans="1:19" x14ac:dyDescent="0.35">
      <c r="A3913" s="26" t="s">
        <v>543</v>
      </c>
      <c r="B3913" s="26" t="s">
        <v>543</v>
      </c>
      <c r="C3913" s="26"/>
      <c r="D3913" s="26" t="s">
        <v>543</v>
      </c>
      <c r="E3913" s="26" t="str">
        <f>IFERROR(VLOOKUP(G3913,WholesaleExtract!B:J,9,FALSE),"")</f>
        <v/>
      </c>
      <c r="F3913" s="26" t="str">
        <f>IFERROR(VLOOKUP(G3913,WholesaleExtract!B:J,6,FALSE),"")</f>
        <v/>
      </c>
      <c r="H3913" s="47" t="str">
        <f>IFERROR(VLOOKUP(G3913,WholesaleExtract!B:L,11,FALSE),"")</f>
        <v/>
      </c>
      <c r="I3913" s="26" t="str">
        <f>IFERROR(VLOOKUP(G3913,WholesaleExtract!B:O,8,FALSE),"")</f>
        <v/>
      </c>
      <c r="J3913" s="26" t="str">
        <f>IFERROR(VLOOKUP(G3913,WholesaleExtract!B:O,14,FALSE),"")</f>
        <v/>
      </c>
      <c r="K3913" s="26" t="str">
        <f>IFERROR(VLOOKUP(G3913,WholesaleExtract!B:K,10,FALSE),"")</f>
        <v/>
      </c>
      <c r="L3913" s="47" t="str">
        <f>IFERROR(VLOOKUP(G3913,WholesaleExtract!B:L,11,FALSE),"")</f>
        <v/>
      </c>
      <c r="M3913" s="47" t="str">
        <f>IFERROR(VLOOKUP(G3913,WholesaleExtract!B:M,12,FALSE),"")</f>
        <v/>
      </c>
      <c r="R3913" s="19"/>
      <c r="S3913" s="19"/>
    </row>
    <row r="3914" spans="1:19" x14ac:dyDescent="0.35">
      <c r="A3914" s="26" t="s">
        <v>543</v>
      </c>
      <c r="B3914" s="26" t="s">
        <v>543</v>
      </c>
      <c r="C3914" s="26"/>
      <c r="D3914" s="26" t="s">
        <v>543</v>
      </c>
      <c r="E3914" s="26" t="str">
        <f>IFERROR(VLOOKUP(G3914,WholesaleExtract!B:J,9,FALSE),"")</f>
        <v/>
      </c>
      <c r="F3914" s="26" t="str">
        <f>IFERROR(VLOOKUP(G3914,WholesaleExtract!B:J,6,FALSE),"")</f>
        <v/>
      </c>
      <c r="H3914" s="47" t="str">
        <f>IFERROR(VLOOKUP(G3914,WholesaleExtract!B:L,11,FALSE),"")</f>
        <v/>
      </c>
      <c r="I3914" s="26" t="str">
        <f>IFERROR(VLOOKUP(G3914,WholesaleExtract!B:O,8,FALSE),"")</f>
        <v/>
      </c>
      <c r="J3914" s="26" t="str">
        <f>IFERROR(VLOOKUP(G3914,WholesaleExtract!B:O,14,FALSE),"")</f>
        <v/>
      </c>
      <c r="K3914" s="26" t="str">
        <f>IFERROR(VLOOKUP(G3914,WholesaleExtract!B:K,10,FALSE),"")</f>
        <v/>
      </c>
      <c r="L3914" s="47" t="str">
        <f>IFERROR(VLOOKUP(G3914,WholesaleExtract!B:L,11,FALSE),"")</f>
        <v/>
      </c>
      <c r="M3914" s="47" t="str">
        <f>IFERROR(VLOOKUP(G3914,WholesaleExtract!B:M,12,FALSE),"")</f>
        <v/>
      </c>
      <c r="R3914" s="19"/>
      <c r="S3914" s="19"/>
    </row>
    <row r="3915" spans="1:19" x14ac:dyDescent="0.35">
      <c r="A3915" s="26" t="s">
        <v>543</v>
      </c>
      <c r="B3915" s="26" t="s">
        <v>543</v>
      </c>
      <c r="C3915" s="26"/>
      <c r="D3915" s="26" t="s">
        <v>543</v>
      </c>
      <c r="E3915" s="26" t="str">
        <f>IFERROR(VLOOKUP(G3915,WholesaleExtract!B:J,9,FALSE),"")</f>
        <v/>
      </c>
      <c r="F3915" s="26" t="str">
        <f>IFERROR(VLOOKUP(G3915,WholesaleExtract!B:J,6,FALSE),"")</f>
        <v/>
      </c>
      <c r="H3915" s="47" t="str">
        <f>IFERROR(VLOOKUP(G3915,WholesaleExtract!B:L,11,FALSE),"")</f>
        <v/>
      </c>
      <c r="I3915" s="26" t="str">
        <f>IFERROR(VLOOKUP(G3915,WholesaleExtract!B:O,8,FALSE),"")</f>
        <v/>
      </c>
      <c r="J3915" s="26" t="str">
        <f>IFERROR(VLOOKUP(G3915,WholesaleExtract!B:O,14,FALSE),"")</f>
        <v/>
      </c>
      <c r="K3915" s="26" t="str">
        <f>IFERROR(VLOOKUP(G3915,WholesaleExtract!B:K,10,FALSE),"")</f>
        <v/>
      </c>
      <c r="L3915" s="47" t="str">
        <f>IFERROR(VLOOKUP(G3915,WholesaleExtract!B:L,11,FALSE),"")</f>
        <v/>
      </c>
      <c r="M3915" s="47" t="str">
        <f>IFERROR(VLOOKUP(G3915,WholesaleExtract!B:M,12,FALSE),"")</f>
        <v/>
      </c>
      <c r="R3915" s="19"/>
      <c r="S3915" s="19"/>
    </row>
    <row r="3916" spans="1:19" x14ac:dyDescent="0.35">
      <c r="A3916" s="26" t="s">
        <v>543</v>
      </c>
      <c r="B3916" s="26" t="s">
        <v>543</v>
      </c>
      <c r="C3916" s="26"/>
      <c r="D3916" s="26" t="s">
        <v>543</v>
      </c>
      <c r="E3916" s="26" t="str">
        <f>IFERROR(VLOOKUP(G3916,WholesaleExtract!B:J,9,FALSE),"")</f>
        <v/>
      </c>
      <c r="F3916" s="26" t="str">
        <f>IFERROR(VLOOKUP(G3916,WholesaleExtract!B:J,6,FALSE),"")</f>
        <v/>
      </c>
      <c r="H3916" s="47" t="str">
        <f>IFERROR(VLOOKUP(G3916,WholesaleExtract!B:L,11,FALSE),"")</f>
        <v/>
      </c>
      <c r="I3916" s="26" t="str">
        <f>IFERROR(VLOOKUP(G3916,WholesaleExtract!B:O,8,FALSE),"")</f>
        <v/>
      </c>
      <c r="J3916" s="26" t="str">
        <f>IFERROR(VLOOKUP(G3916,WholesaleExtract!B:O,14,FALSE),"")</f>
        <v/>
      </c>
      <c r="K3916" s="26" t="str">
        <f>IFERROR(VLOOKUP(G3916,WholesaleExtract!B:K,10,FALSE),"")</f>
        <v/>
      </c>
      <c r="L3916" s="47" t="str">
        <f>IFERROR(VLOOKUP(G3916,WholesaleExtract!B:L,11,FALSE),"")</f>
        <v/>
      </c>
      <c r="M3916" s="47" t="str">
        <f>IFERROR(VLOOKUP(G3916,WholesaleExtract!B:M,12,FALSE),"")</f>
        <v/>
      </c>
      <c r="R3916" s="19"/>
      <c r="S3916" s="19"/>
    </row>
    <row r="3917" spans="1:19" x14ac:dyDescent="0.35">
      <c r="A3917" s="26" t="s">
        <v>543</v>
      </c>
      <c r="B3917" s="26" t="s">
        <v>543</v>
      </c>
      <c r="C3917" s="26"/>
      <c r="D3917" s="26" t="s">
        <v>543</v>
      </c>
      <c r="E3917" s="26" t="str">
        <f>IFERROR(VLOOKUP(G3917,WholesaleExtract!B:J,9,FALSE),"")</f>
        <v/>
      </c>
      <c r="F3917" s="26" t="str">
        <f>IFERROR(VLOOKUP(G3917,WholesaleExtract!B:J,6,FALSE),"")</f>
        <v/>
      </c>
      <c r="H3917" s="47" t="str">
        <f>IFERROR(VLOOKUP(G3917,WholesaleExtract!B:L,11,FALSE),"")</f>
        <v/>
      </c>
      <c r="I3917" s="26" t="str">
        <f>IFERROR(VLOOKUP(G3917,WholesaleExtract!B:O,8,FALSE),"")</f>
        <v/>
      </c>
      <c r="J3917" s="26" t="str">
        <f>IFERROR(VLOOKUP(G3917,WholesaleExtract!B:O,14,FALSE),"")</f>
        <v/>
      </c>
      <c r="K3917" s="26" t="str">
        <f>IFERROR(VLOOKUP(G3917,WholesaleExtract!B:K,10,FALSE),"")</f>
        <v/>
      </c>
      <c r="L3917" s="47" t="str">
        <f>IFERROR(VLOOKUP(G3917,WholesaleExtract!B:L,11,FALSE),"")</f>
        <v/>
      </c>
      <c r="M3917" s="47" t="str">
        <f>IFERROR(VLOOKUP(G3917,WholesaleExtract!B:M,12,FALSE),"")</f>
        <v/>
      </c>
      <c r="R3917" s="19"/>
      <c r="S3917" s="19"/>
    </row>
    <row r="3918" spans="1:19" x14ac:dyDescent="0.35">
      <c r="A3918" s="26" t="s">
        <v>543</v>
      </c>
      <c r="B3918" s="26" t="s">
        <v>543</v>
      </c>
      <c r="C3918" s="26"/>
      <c r="D3918" s="26" t="s">
        <v>543</v>
      </c>
      <c r="E3918" s="26" t="str">
        <f>IFERROR(VLOOKUP(G3918,WholesaleExtract!B:J,9,FALSE),"")</f>
        <v/>
      </c>
      <c r="F3918" s="26" t="str">
        <f>IFERROR(VLOOKUP(G3918,WholesaleExtract!B:J,6,FALSE),"")</f>
        <v/>
      </c>
      <c r="H3918" s="47" t="str">
        <f>IFERROR(VLOOKUP(G3918,WholesaleExtract!B:L,11,FALSE),"")</f>
        <v/>
      </c>
      <c r="I3918" s="26" t="str">
        <f>IFERROR(VLOOKUP(G3918,WholesaleExtract!B:O,8,FALSE),"")</f>
        <v/>
      </c>
      <c r="J3918" s="26" t="str">
        <f>IFERROR(VLOOKUP(G3918,WholesaleExtract!B:O,14,FALSE),"")</f>
        <v/>
      </c>
      <c r="K3918" s="26" t="str">
        <f>IFERROR(VLOOKUP(G3918,WholesaleExtract!B:K,10,FALSE),"")</f>
        <v/>
      </c>
      <c r="L3918" s="47" t="str">
        <f>IFERROR(VLOOKUP(G3918,WholesaleExtract!B:L,11,FALSE),"")</f>
        <v/>
      </c>
      <c r="M3918" s="47" t="str">
        <f>IFERROR(VLOOKUP(G3918,WholesaleExtract!B:M,12,FALSE),"")</f>
        <v/>
      </c>
      <c r="R3918" s="19"/>
      <c r="S3918" s="19"/>
    </row>
    <row r="3919" spans="1:19" x14ac:dyDescent="0.35">
      <c r="A3919" s="26" t="s">
        <v>543</v>
      </c>
      <c r="B3919" s="26" t="s">
        <v>543</v>
      </c>
      <c r="C3919" s="26"/>
      <c r="D3919" s="26" t="s">
        <v>543</v>
      </c>
      <c r="E3919" s="26" t="str">
        <f>IFERROR(VLOOKUP(G3919,WholesaleExtract!B:J,9,FALSE),"")</f>
        <v/>
      </c>
      <c r="F3919" s="26" t="str">
        <f>IFERROR(VLOOKUP(G3919,WholesaleExtract!B:J,6,FALSE),"")</f>
        <v/>
      </c>
      <c r="H3919" s="47" t="str">
        <f>IFERROR(VLOOKUP(G3919,WholesaleExtract!B:L,11,FALSE),"")</f>
        <v/>
      </c>
      <c r="I3919" s="26" t="str">
        <f>IFERROR(VLOOKUP(G3919,WholesaleExtract!B:O,8,FALSE),"")</f>
        <v/>
      </c>
      <c r="J3919" s="26" t="str">
        <f>IFERROR(VLOOKUP(G3919,WholesaleExtract!B:O,14,FALSE),"")</f>
        <v/>
      </c>
      <c r="K3919" s="26" t="str">
        <f>IFERROR(VLOOKUP(G3919,WholesaleExtract!B:K,10,FALSE),"")</f>
        <v/>
      </c>
      <c r="L3919" s="47" t="str">
        <f>IFERROR(VLOOKUP(G3919,WholesaleExtract!B:L,11,FALSE),"")</f>
        <v/>
      </c>
      <c r="M3919" s="47" t="str">
        <f>IFERROR(VLOOKUP(G3919,WholesaleExtract!B:M,12,FALSE),"")</f>
        <v/>
      </c>
      <c r="R3919" s="19"/>
      <c r="S3919" s="19"/>
    </row>
    <row r="3920" spans="1:19" x14ac:dyDescent="0.35">
      <c r="A3920" s="26" t="s">
        <v>543</v>
      </c>
      <c r="B3920" s="26" t="s">
        <v>543</v>
      </c>
      <c r="C3920" s="26"/>
      <c r="D3920" s="26" t="s">
        <v>543</v>
      </c>
      <c r="E3920" s="26" t="str">
        <f>IFERROR(VLOOKUP(G3920,WholesaleExtract!B:J,9,FALSE),"")</f>
        <v/>
      </c>
      <c r="F3920" s="26" t="str">
        <f>IFERROR(VLOOKUP(G3920,WholesaleExtract!B:J,6,FALSE),"")</f>
        <v/>
      </c>
      <c r="H3920" s="47" t="str">
        <f>IFERROR(VLOOKUP(G3920,WholesaleExtract!B:L,11,FALSE),"")</f>
        <v/>
      </c>
      <c r="I3920" s="26" t="str">
        <f>IFERROR(VLOOKUP(G3920,WholesaleExtract!B:O,8,FALSE),"")</f>
        <v/>
      </c>
      <c r="J3920" s="26" t="str">
        <f>IFERROR(VLOOKUP(G3920,WholesaleExtract!B:O,14,FALSE),"")</f>
        <v/>
      </c>
      <c r="K3920" s="26" t="str">
        <f>IFERROR(VLOOKUP(G3920,WholesaleExtract!B:K,10,FALSE),"")</f>
        <v/>
      </c>
      <c r="L3920" s="47" t="str">
        <f>IFERROR(VLOOKUP(G3920,WholesaleExtract!B:L,11,FALSE),"")</f>
        <v/>
      </c>
      <c r="M3920" s="47" t="str">
        <f>IFERROR(VLOOKUP(G3920,WholesaleExtract!B:M,12,FALSE),"")</f>
        <v/>
      </c>
      <c r="R3920" s="19"/>
      <c r="S3920" s="19"/>
    </row>
    <row r="3921" spans="1:19" x14ac:dyDescent="0.35">
      <c r="A3921" s="26" t="s">
        <v>543</v>
      </c>
      <c r="B3921" s="26" t="s">
        <v>543</v>
      </c>
      <c r="C3921" s="26"/>
      <c r="D3921" s="26" t="s">
        <v>543</v>
      </c>
      <c r="E3921" s="26" t="str">
        <f>IFERROR(VLOOKUP(G3921,WholesaleExtract!B:J,9,FALSE),"")</f>
        <v/>
      </c>
      <c r="F3921" s="26" t="str">
        <f>IFERROR(VLOOKUP(G3921,WholesaleExtract!B:J,6,FALSE),"")</f>
        <v/>
      </c>
      <c r="H3921" s="47" t="str">
        <f>IFERROR(VLOOKUP(G3921,WholesaleExtract!B:L,11,FALSE),"")</f>
        <v/>
      </c>
      <c r="I3921" s="26" t="str">
        <f>IFERROR(VLOOKUP(G3921,WholesaleExtract!B:O,8,FALSE),"")</f>
        <v/>
      </c>
      <c r="J3921" s="26" t="str">
        <f>IFERROR(VLOOKUP(G3921,WholesaleExtract!B:O,14,FALSE),"")</f>
        <v/>
      </c>
      <c r="K3921" s="26" t="str">
        <f>IFERROR(VLOOKUP(G3921,WholesaleExtract!B:K,10,FALSE),"")</f>
        <v/>
      </c>
      <c r="L3921" s="47" t="str">
        <f>IFERROR(VLOOKUP(G3921,WholesaleExtract!B:L,11,FALSE),"")</f>
        <v/>
      </c>
      <c r="M3921" s="47" t="str">
        <f>IFERROR(VLOOKUP(G3921,WholesaleExtract!B:M,12,FALSE),"")</f>
        <v/>
      </c>
      <c r="R3921" s="19"/>
      <c r="S3921" s="19"/>
    </row>
    <row r="3922" spans="1:19" x14ac:dyDescent="0.35">
      <c r="A3922" s="26" t="s">
        <v>543</v>
      </c>
      <c r="B3922" s="26" t="s">
        <v>543</v>
      </c>
      <c r="C3922" s="26"/>
      <c r="D3922" s="26" t="s">
        <v>543</v>
      </c>
      <c r="E3922" s="26" t="str">
        <f>IFERROR(VLOOKUP(G3922,WholesaleExtract!B:J,9,FALSE),"")</f>
        <v/>
      </c>
      <c r="F3922" s="26" t="str">
        <f>IFERROR(VLOOKUP(G3922,WholesaleExtract!B:J,6,FALSE),"")</f>
        <v/>
      </c>
      <c r="H3922" s="47" t="str">
        <f>IFERROR(VLOOKUP(G3922,WholesaleExtract!B:L,11,FALSE),"")</f>
        <v/>
      </c>
      <c r="I3922" s="26" t="str">
        <f>IFERROR(VLOOKUP(G3922,WholesaleExtract!B:O,8,FALSE),"")</f>
        <v/>
      </c>
      <c r="J3922" s="26" t="str">
        <f>IFERROR(VLOOKUP(G3922,WholesaleExtract!B:O,14,FALSE),"")</f>
        <v/>
      </c>
      <c r="K3922" s="26" t="str">
        <f>IFERROR(VLOOKUP(G3922,WholesaleExtract!B:K,10,FALSE),"")</f>
        <v/>
      </c>
      <c r="L3922" s="47" t="str">
        <f>IFERROR(VLOOKUP(G3922,WholesaleExtract!B:L,11,FALSE),"")</f>
        <v/>
      </c>
      <c r="M3922" s="47" t="str">
        <f>IFERROR(VLOOKUP(G3922,WholesaleExtract!B:M,12,FALSE),"")</f>
        <v/>
      </c>
      <c r="R3922" s="19"/>
      <c r="S3922" s="19"/>
    </row>
    <row r="3923" spans="1:19" x14ac:dyDescent="0.35">
      <c r="A3923" s="26" t="s">
        <v>543</v>
      </c>
      <c r="B3923" s="26" t="s">
        <v>543</v>
      </c>
      <c r="C3923" s="26"/>
      <c r="D3923" s="26" t="s">
        <v>543</v>
      </c>
      <c r="E3923" s="26" t="str">
        <f>IFERROR(VLOOKUP(G3923,WholesaleExtract!B:J,9,FALSE),"")</f>
        <v/>
      </c>
      <c r="F3923" s="26" t="str">
        <f>IFERROR(VLOOKUP(G3923,WholesaleExtract!B:J,6,FALSE),"")</f>
        <v/>
      </c>
      <c r="H3923" s="47" t="str">
        <f>IFERROR(VLOOKUP(G3923,WholesaleExtract!B:L,11,FALSE),"")</f>
        <v/>
      </c>
      <c r="I3923" s="26" t="str">
        <f>IFERROR(VLOOKUP(G3923,WholesaleExtract!B:O,8,FALSE),"")</f>
        <v/>
      </c>
      <c r="J3923" s="26" t="str">
        <f>IFERROR(VLOOKUP(G3923,WholesaleExtract!B:O,14,FALSE),"")</f>
        <v/>
      </c>
      <c r="K3923" s="26" t="str">
        <f>IFERROR(VLOOKUP(G3923,WholesaleExtract!B:K,10,FALSE),"")</f>
        <v/>
      </c>
      <c r="L3923" s="47" t="str">
        <f>IFERROR(VLOOKUP(G3923,WholesaleExtract!B:L,11,FALSE),"")</f>
        <v/>
      </c>
      <c r="M3923" s="47" t="str">
        <f>IFERROR(VLOOKUP(G3923,WholesaleExtract!B:M,12,FALSE),"")</f>
        <v/>
      </c>
      <c r="R3923" s="19"/>
      <c r="S3923" s="19"/>
    </row>
    <row r="3924" spans="1:19" x14ac:dyDescent="0.35">
      <c r="A3924" s="26" t="s">
        <v>543</v>
      </c>
      <c r="B3924" s="26" t="s">
        <v>543</v>
      </c>
      <c r="C3924" s="26"/>
      <c r="D3924" s="26" t="s">
        <v>543</v>
      </c>
      <c r="E3924" s="26" t="str">
        <f>IFERROR(VLOOKUP(G3924,WholesaleExtract!B:J,9,FALSE),"")</f>
        <v/>
      </c>
      <c r="F3924" s="26" t="str">
        <f>IFERROR(VLOOKUP(G3924,WholesaleExtract!B:J,6,FALSE),"")</f>
        <v/>
      </c>
      <c r="H3924" s="47" t="str">
        <f>IFERROR(VLOOKUP(G3924,WholesaleExtract!B:L,11,FALSE),"")</f>
        <v/>
      </c>
      <c r="I3924" s="26" t="str">
        <f>IFERROR(VLOOKUP(G3924,WholesaleExtract!B:O,8,FALSE),"")</f>
        <v/>
      </c>
      <c r="J3924" s="26" t="str">
        <f>IFERROR(VLOOKUP(G3924,WholesaleExtract!B:O,14,FALSE),"")</f>
        <v/>
      </c>
      <c r="K3924" s="26" t="str">
        <f>IFERROR(VLOOKUP(G3924,WholesaleExtract!B:K,10,FALSE),"")</f>
        <v/>
      </c>
      <c r="L3924" s="47" t="str">
        <f>IFERROR(VLOOKUP(G3924,WholesaleExtract!B:L,11,FALSE),"")</f>
        <v/>
      </c>
      <c r="M3924" s="47" t="str">
        <f>IFERROR(VLOOKUP(G3924,WholesaleExtract!B:M,12,FALSE),"")</f>
        <v/>
      </c>
      <c r="R3924" s="19"/>
      <c r="S3924" s="19"/>
    </row>
    <row r="3925" spans="1:19" x14ac:dyDescent="0.35">
      <c r="A3925" s="26" t="s">
        <v>543</v>
      </c>
      <c r="B3925" s="26" t="s">
        <v>543</v>
      </c>
      <c r="C3925" s="26"/>
      <c r="D3925" s="26" t="s">
        <v>543</v>
      </c>
      <c r="E3925" s="26" t="str">
        <f>IFERROR(VLOOKUP(G3925,WholesaleExtract!B:J,9,FALSE),"")</f>
        <v/>
      </c>
      <c r="F3925" s="26" t="str">
        <f>IFERROR(VLOOKUP(G3925,WholesaleExtract!B:J,6,FALSE),"")</f>
        <v/>
      </c>
      <c r="H3925" s="47" t="str">
        <f>IFERROR(VLOOKUP(G3925,WholesaleExtract!B:L,11,FALSE),"")</f>
        <v/>
      </c>
      <c r="I3925" s="26" t="str">
        <f>IFERROR(VLOOKUP(G3925,WholesaleExtract!B:O,8,FALSE),"")</f>
        <v/>
      </c>
      <c r="J3925" s="26" t="str">
        <f>IFERROR(VLOOKUP(G3925,WholesaleExtract!B:O,14,FALSE),"")</f>
        <v/>
      </c>
      <c r="K3925" s="26" t="str">
        <f>IFERROR(VLOOKUP(G3925,WholesaleExtract!B:K,10,FALSE),"")</f>
        <v/>
      </c>
      <c r="L3925" s="47" t="str">
        <f>IFERROR(VLOOKUP(G3925,WholesaleExtract!B:L,11,FALSE),"")</f>
        <v/>
      </c>
      <c r="M3925" s="47" t="str">
        <f>IFERROR(VLOOKUP(G3925,WholesaleExtract!B:M,12,FALSE),"")</f>
        <v/>
      </c>
      <c r="R3925" s="19"/>
      <c r="S3925" s="19"/>
    </row>
    <row r="3926" spans="1:19" x14ac:dyDescent="0.35">
      <c r="A3926" s="26" t="s">
        <v>543</v>
      </c>
      <c r="B3926" s="26" t="s">
        <v>543</v>
      </c>
      <c r="C3926" s="26"/>
      <c r="D3926" s="26" t="s">
        <v>543</v>
      </c>
      <c r="E3926" s="26" t="str">
        <f>IFERROR(VLOOKUP(G3926,WholesaleExtract!B:J,9,FALSE),"")</f>
        <v/>
      </c>
      <c r="F3926" s="26" t="str">
        <f>IFERROR(VLOOKUP(G3926,WholesaleExtract!B:J,6,FALSE),"")</f>
        <v/>
      </c>
      <c r="H3926" s="47" t="str">
        <f>IFERROR(VLOOKUP(G3926,WholesaleExtract!B:L,11,FALSE),"")</f>
        <v/>
      </c>
      <c r="I3926" s="26" t="str">
        <f>IFERROR(VLOOKUP(G3926,WholesaleExtract!B:O,8,FALSE),"")</f>
        <v/>
      </c>
      <c r="J3926" s="26" t="str">
        <f>IFERROR(VLOOKUP(G3926,WholesaleExtract!B:O,14,FALSE),"")</f>
        <v/>
      </c>
      <c r="K3926" s="26" t="str">
        <f>IFERROR(VLOOKUP(G3926,WholesaleExtract!B:K,10,FALSE),"")</f>
        <v/>
      </c>
      <c r="L3926" s="47" t="str">
        <f>IFERROR(VLOOKUP(G3926,WholesaleExtract!B:L,11,FALSE),"")</f>
        <v/>
      </c>
      <c r="M3926" s="47" t="str">
        <f>IFERROR(VLOOKUP(G3926,WholesaleExtract!B:M,12,FALSE),"")</f>
        <v/>
      </c>
      <c r="R3926" s="19"/>
      <c r="S3926" s="19"/>
    </row>
    <row r="3927" spans="1:19" x14ac:dyDescent="0.35">
      <c r="A3927" s="26" t="s">
        <v>543</v>
      </c>
      <c r="B3927" s="26" t="s">
        <v>543</v>
      </c>
      <c r="C3927" s="26"/>
      <c r="D3927" s="26" t="s">
        <v>543</v>
      </c>
      <c r="E3927" s="26" t="str">
        <f>IFERROR(VLOOKUP(G3927,WholesaleExtract!B:J,9,FALSE),"")</f>
        <v/>
      </c>
      <c r="F3927" s="26" t="str">
        <f>IFERROR(VLOOKUP(G3927,WholesaleExtract!B:J,6,FALSE),"")</f>
        <v/>
      </c>
      <c r="H3927" s="47" t="str">
        <f>IFERROR(VLOOKUP(G3927,WholesaleExtract!B:L,11,FALSE),"")</f>
        <v/>
      </c>
      <c r="I3927" s="26" t="str">
        <f>IFERROR(VLOOKUP(G3927,WholesaleExtract!B:O,8,FALSE),"")</f>
        <v/>
      </c>
      <c r="J3927" s="26" t="str">
        <f>IFERROR(VLOOKUP(G3927,WholesaleExtract!B:O,14,FALSE),"")</f>
        <v/>
      </c>
      <c r="K3927" s="26" t="str">
        <f>IFERROR(VLOOKUP(G3927,WholesaleExtract!B:K,10,FALSE),"")</f>
        <v/>
      </c>
      <c r="L3927" s="47" t="str">
        <f>IFERROR(VLOOKUP(G3927,WholesaleExtract!B:L,11,FALSE),"")</f>
        <v/>
      </c>
      <c r="M3927" s="47" t="str">
        <f>IFERROR(VLOOKUP(G3927,WholesaleExtract!B:M,12,FALSE),"")</f>
        <v/>
      </c>
      <c r="R3927" s="19"/>
      <c r="S3927" s="19"/>
    </row>
    <row r="3928" spans="1:19" x14ac:dyDescent="0.35">
      <c r="A3928" s="26" t="s">
        <v>543</v>
      </c>
      <c r="B3928" s="26" t="s">
        <v>543</v>
      </c>
      <c r="C3928" s="26"/>
      <c r="D3928" s="26" t="s">
        <v>543</v>
      </c>
      <c r="E3928" s="26" t="str">
        <f>IFERROR(VLOOKUP(G3928,WholesaleExtract!B:J,9,FALSE),"")</f>
        <v/>
      </c>
      <c r="F3928" s="26" t="str">
        <f>IFERROR(VLOOKUP(G3928,WholesaleExtract!B:J,6,FALSE),"")</f>
        <v/>
      </c>
      <c r="H3928" s="47" t="str">
        <f>IFERROR(VLOOKUP(G3928,WholesaleExtract!B:L,11,FALSE),"")</f>
        <v/>
      </c>
      <c r="I3928" s="26" t="str">
        <f>IFERROR(VLOOKUP(G3928,WholesaleExtract!B:O,8,FALSE),"")</f>
        <v/>
      </c>
      <c r="J3928" s="26" t="str">
        <f>IFERROR(VLOOKUP(G3928,WholesaleExtract!B:O,14,FALSE),"")</f>
        <v/>
      </c>
      <c r="K3928" s="26" t="str">
        <f>IFERROR(VLOOKUP(G3928,WholesaleExtract!B:K,10,FALSE),"")</f>
        <v/>
      </c>
      <c r="L3928" s="47" t="str">
        <f>IFERROR(VLOOKUP(G3928,WholesaleExtract!B:L,11,FALSE),"")</f>
        <v/>
      </c>
      <c r="M3928" s="47" t="str">
        <f>IFERROR(VLOOKUP(G3928,WholesaleExtract!B:M,12,FALSE),"")</f>
        <v/>
      </c>
      <c r="R3928" s="19"/>
      <c r="S3928" s="19"/>
    </row>
    <row r="3929" spans="1:19" x14ac:dyDescent="0.35">
      <c r="A3929" s="26" t="s">
        <v>543</v>
      </c>
      <c r="B3929" s="26" t="s">
        <v>543</v>
      </c>
      <c r="C3929" s="26"/>
      <c r="D3929" s="26" t="s">
        <v>543</v>
      </c>
      <c r="E3929" s="26" t="str">
        <f>IFERROR(VLOOKUP(G3929,WholesaleExtract!B:J,9,FALSE),"")</f>
        <v/>
      </c>
      <c r="F3929" s="26" t="str">
        <f>IFERROR(VLOOKUP(G3929,WholesaleExtract!B:J,6,FALSE),"")</f>
        <v/>
      </c>
      <c r="H3929" s="47" t="str">
        <f>IFERROR(VLOOKUP(G3929,WholesaleExtract!B:L,11,FALSE),"")</f>
        <v/>
      </c>
      <c r="I3929" s="26" t="str">
        <f>IFERROR(VLOOKUP(G3929,WholesaleExtract!B:O,8,FALSE),"")</f>
        <v/>
      </c>
      <c r="J3929" s="26" t="str">
        <f>IFERROR(VLOOKUP(G3929,WholesaleExtract!B:O,14,FALSE),"")</f>
        <v/>
      </c>
      <c r="K3929" s="26" t="str">
        <f>IFERROR(VLOOKUP(G3929,WholesaleExtract!B:K,10,FALSE),"")</f>
        <v/>
      </c>
      <c r="L3929" s="47" t="str">
        <f>IFERROR(VLOOKUP(G3929,WholesaleExtract!B:L,11,FALSE),"")</f>
        <v/>
      </c>
      <c r="M3929" s="47" t="str">
        <f>IFERROR(VLOOKUP(G3929,WholesaleExtract!B:M,12,FALSE),"")</f>
        <v/>
      </c>
      <c r="R3929" s="19"/>
      <c r="S3929" s="19"/>
    </row>
    <row r="3930" spans="1:19" x14ac:dyDescent="0.35">
      <c r="A3930" s="26" t="s">
        <v>543</v>
      </c>
      <c r="B3930" s="26" t="s">
        <v>543</v>
      </c>
      <c r="C3930" s="26"/>
      <c r="D3930" s="26" t="s">
        <v>543</v>
      </c>
      <c r="E3930" s="26" t="str">
        <f>IFERROR(VLOOKUP(G3930,WholesaleExtract!B:J,9,FALSE),"")</f>
        <v/>
      </c>
      <c r="F3930" s="26" t="str">
        <f>IFERROR(VLOOKUP(G3930,WholesaleExtract!B:J,6,FALSE),"")</f>
        <v/>
      </c>
      <c r="H3930" s="47" t="str">
        <f>IFERROR(VLOOKUP(G3930,WholesaleExtract!B:L,11,FALSE),"")</f>
        <v/>
      </c>
      <c r="I3930" s="26" t="str">
        <f>IFERROR(VLOOKUP(G3930,WholesaleExtract!B:O,8,FALSE),"")</f>
        <v/>
      </c>
      <c r="J3930" s="26" t="str">
        <f>IFERROR(VLOOKUP(G3930,WholesaleExtract!B:O,14,FALSE),"")</f>
        <v/>
      </c>
      <c r="K3930" s="26" t="str">
        <f>IFERROR(VLOOKUP(G3930,WholesaleExtract!B:K,10,FALSE),"")</f>
        <v/>
      </c>
      <c r="L3930" s="47" t="str">
        <f>IFERROR(VLOOKUP(G3930,WholesaleExtract!B:L,11,FALSE),"")</f>
        <v/>
      </c>
      <c r="M3930" s="47" t="str">
        <f>IFERROR(VLOOKUP(G3930,WholesaleExtract!B:M,12,FALSE),"")</f>
        <v/>
      </c>
      <c r="R3930" s="19"/>
      <c r="S3930" s="19"/>
    </row>
    <row r="3931" spans="1:19" x14ac:dyDescent="0.35">
      <c r="A3931" s="26" t="s">
        <v>543</v>
      </c>
      <c r="B3931" s="26" t="s">
        <v>543</v>
      </c>
      <c r="C3931" s="26"/>
      <c r="D3931" s="26" t="s">
        <v>543</v>
      </c>
      <c r="E3931" s="26" t="str">
        <f>IFERROR(VLOOKUP(G3931,WholesaleExtract!B:J,9,FALSE),"")</f>
        <v/>
      </c>
      <c r="F3931" s="26" t="str">
        <f>IFERROR(VLOOKUP(G3931,WholesaleExtract!B:J,6,FALSE),"")</f>
        <v/>
      </c>
      <c r="H3931" s="47" t="str">
        <f>IFERROR(VLOOKUP(G3931,WholesaleExtract!B:L,11,FALSE),"")</f>
        <v/>
      </c>
      <c r="I3931" s="26" t="str">
        <f>IFERROR(VLOOKUP(G3931,WholesaleExtract!B:O,8,FALSE),"")</f>
        <v/>
      </c>
      <c r="J3931" s="26" t="str">
        <f>IFERROR(VLOOKUP(G3931,WholesaleExtract!B:O,14,FALSE),"")</f>
        <v/>
      </c>
      <c r="K3931" s="26" t="str">
        <f>IFERROR(VLOOKUP(G3931,WholesaleExtract!B:K,10,FALSE),"")</f>
        <v/>
      </c>
      <c r="L3931" s="47" t="str">
        <f>IFERROR(VLOOKUP(G3931,WholesaleExtract!B:L,11,FALSE),"")</f>
        <v/>
      </c>
      <c r="M3931" s="47" t="str">
        <f>IFERROR(VLOOKUP(G3931,WholesaleExtract!B:M,12,FALSE),"")</f>
        <v/>
      </c>
      <c r="R3931" s="19"/>
      <c r="S3931" s="19"/>
    </row>
    <row r="3932" spans="1:19" x14ac:dyDescent="0.35">
      <c r="A3932" s="26" t="s">
        <v>543</v>
      </c>
      <c r="B3932" s="26" t="s">
        <v>543</v>
      </c>
      <c r="C3932" s="26"/>
      <c r="D3932" s="26" t="s">
        <v>543</v>
      </c>
      <c r="E3932" s="26" t="str">
        <f>IFERROR(VLOOKUP(G3932,WholesaleExtract!B:J,9,FALSE),"")</f>
        <v/>
      </c>
      <c r="F3932" s="26" t="str">
        <f>IFERROR(VLOOKUP(G3932,WholesaleExtract!B:J,6,FALSE),"")</f>
        <v/>
      </c>
      <c r="H3932" s="47" t="str">
        <f>IFERROR(VLOOKUP(G3932,WholesaleExtract!B:L,11,FALSE),"")</f>
        <v/>
      </c>
      <c r="I3932" s="26" t="str">
        <f>IFERROR(VLOOKUP(G3932,WholesaleExtract!B:O,8,FALSE),"")</f>
        <v/>
      </c>
      <c r="J3932" s="26" t="str">
        <f>IFERROR(VLOOKUP(G3932,WholesaleExtract!B:O,14,FALSE),"")</f>
        <v/>
      </c>
      <c r="K3932" s="26" t="str">
        <f>IFERROR(VLOOKUP(G3932,WholesaleExtract!B:K,10,FALSE),"")</f>
        <v/>
      </c>
      <c r="L3932" s="47" t="str">
        <f>IFERROR(VLOOKUP(G3932,WholesaleExtract!B:L,11,FALSE),"")</f>
        <v/>
      </c>
      <c r="M3932" s="47" t="str">
        <f>IFERROR(VLOOKUP(G3932,WholesaleExtract!B:M,12,FALSE),"")</f>
        <v/>
      </c>
      <c r="R3932" s="19"/>
      <c r="S3932" s="19"/>
    </row>
    <row r="3933" spans="1:19" x14ac:dyDescent="0.35">
      <c r="A3933" s="26" t="s">
        <v>543</v>
      </c>
      <c r="B3933" s="26" t="s">
        <v>543</v>
      </c>
      <c r="C3933" s="26"/>
      <c r="D3933" s="26" t="s">
        <v>543</v>
      </c>
      <c r="E3933" s="26" t="str">
        <f>IFERROR(VLOOKUP(G3933,WholesaleExtract!B:J,9,FALSE),"")</f>
        <v/>
      </c>
      <c r="F3933" s="26" t="str">
        <f>IFERROR(VLOOKUP(G3933,WholesaleExtract!B:J,6,FALSE),"")</f>
        <v/>
      </c>
      <c r="H3933" s="47" t="str">
        <f>IFERROR(VLOOKUP(G3933,WholesaleExtract!B:L,11,FALSE),"")</f>
        <v/>
      </c>
      <c r="I3933" s="26" t="str">
        <f>IFERROR(VLOOKUP(G3933,WholesaleExtract!B:O,8,FALSE),"")</f>
        <v/>
      </c>
      <c r="J3933" s="26" t="str">
        <f>IFERROR(VLOOKUP(G3933,WholesaleExtract!B:O,14,FALSE),"")</f>
        <v/>
      </c>
      <c r="K3933" s="26" t="str">
        <f>IFERROR(VLOOKUP(G3933,WholesaleExtract!B:K,10,FALSE),"")</f>
        <v/>
      </c>
      <c r="L3933" s="47" t="str">
        <f>IFERROR(VLOOKUP(G3933,WholesaleExtract!B:L,11,FALSE),"")</f>
        <v/>
      </c>
      <c r="M3933" s="47" t="str">
        <f>IFERROR(VLOOKUP(G3933,WholesaleExtract!B:M,12,FALSE),"")</f>
        <v/>
      </c>
      <c r="R3933" s="19"/>
      <c r="S3933" s="19"/>
    </row>
    <row r="3934" spans="1:19" x14ac:dyDescent="0.35">
      <c r="A3934" s="26" t="s">
        <v>543</v>
      </c>
      <c r="B3934" s="26" t="s">
        <v>543</v>
      </c>
      <c r="C3934" s="26"/>
      <c r="D3934" s="26" t="s">
        <v>543</v>
      </c>
      <c r="E3934" s="26" t="str">
        <f>IFERROR(VLOOKUP(G3934,WholesaleExtract!B:J,9,FALSE),"")</f>
        <v/>
      </c>
      <c r="F3934" s="26" t="str">
        <f>IFERROR(VLOOKUP(G3934,WholesaleExtract!B:J,6,FALSE),"")</f>
        <v/>
      </c>
      <c r="H3934" s="47" t="str">
        <f>IFERROR(VLOOKUP(G3934,WholesaleExtract!B:L,11,FALSE),"")</f>
        <v/>
      </c>
      <c r="I3934" s="26" t="str">
        <f>IFERROR(VLOOKUP(G3934,WholesaleExtract!B:O,8,FALSE),"")</f>
        <v/>
      </c>
      <c r="J3934" s="26" t="str">
        <f>IFERROR(VLOOKUP(G3934,WholesaleExtract!B:O,14,FALSE),"")</f>
        <v/>
      </c>
      <c r="K3934" s="26" t="str">
        <f>IFERROR(VLOOKUP(G3934,WholesaleExtract!B:K,10,FALSE),"")</f>
        <v/>
      </c>
      <c r="L3934" s="47" t="str">
        <f>IFERROR(VLOOKUP(G3934,WholesaleExtract!B:L,11,FALSE),"")</f>
        <v/>
      </c>
      <c r="M3934" s="47" t="str">
        <f>IFERROR(VLOOKUP(G3934,WholesaleExtract!B:M,12,FALSE),"")</f>
        <v/>
      </c>
      <c r="R3934" s="19"/>
      <c r="S3934" s="19"/>
    </row>
    <row r="3935" spans="1:19" x14ac:dyDescent="0.35">
      <c r="A3935" s="26" t="s">
        <v>543</v>
      </c>
      <c r="B3935" s="26" t="s">
        <v>543</v>
      </c>
      <c r="C3935" s="26"/>
      <c r="D3935" s="26" t="s">
        <v>543</v>
      </c>
      <c r="E3935" s="26" t="str">
        <f>IFERROR(VLOOKUP(G3935,WholesaleExtract!B:J,9,FALSE),"")</f>
        <v/>
      </c>
      <c r="F3935" s="26" t="str">
        <f>IFERROR(VLOOKUP(G3935,WholesaleExtract!B:J,6,FALSE),"")</f>
        <v/>
      </c>
      <c r="H3935" s="47" t="str">
        <f>IFERROR(VLOOKUP(G3935,WholesaleExtract!B:L,11,FALSE),"")</f>
        <v/>
      </c>
      <c r="I3935" s="26" t="str">
        <f>IFERROR(VLOOKUP(G3935,WholesaleExtract!B:O,8,FALSE),"")</f>
        <v/>
      </c>
      <c r="J3935" s="26" t="str">
        <f>IFERROR(VLOOKUP(G3935,WholesaleExtract!B:O,14,FALSE),"")</f>
        <v/>
      </c>
      <c r="K3935" s="26" t="str">
        <f>IFERROR(VLOOKUP(G3935,WholesaleExtract!B:K,10,FALSE),"")</f>
        <v/>
      </c>
      <c r="L3935" s="47" t="str">
        <f>IFERROR(VLOOKUP(G3935,WholesaleExtract!B:L,11,FALSE),"")</f>
        <v/>
      </c>
      <c r="M3935" s="47" t="str">
        <f>IFERROR(VLOOKUP(G3935,WholesaleExtract!B:M,12,FALSE),"")</f>
        <v/>
      </c>
      <c r="R3935" s="19"/>
      <c r="S3935" s="19"/>
    </row>
    <row r="3936" spans="1:19" x14ac:dyDescent="0.35">
      <c r="A3936" s="26" t="s">
        <v>543</v>
      </c>
      <c r="B3936" s="26" t="s">
        <v>543</v>
      </c>
      <c r="C3936" s="26"/>
      <c r="D3936" s="26" t="s">
        <v>543</v>
      </c>
      <c r="E3936" s="26" t="str">
        <f>IFERROR(VLOOKUP(G3936,WholesaleExtract!B:J,9,FALSE),"")</f>
        <v/>
      </c>
      <c r="F3936" s="26" t="str">
        <f>IFERROR(VLOOKUP(G3936,WholesaleExtract!B:J,6,FALSE),"")</f>
        <v/>
      </c>
      <c r="H3936" s="47" t="str">
        <f>IFERROR(VLOOKUP(G3936,WholesaleExtract!B:L,11,FALSE),"")</f>
        <v/>
      </c>
      <c r="I3936" s="26" t="str">
        <f>IFERROR(VLOOKUP(G3936,WholesaleExtract!B:O,8,FALSE),"")</f>
        <v/>
      </c>
      <c r="J3936" s="26" t="str">
        <f>IFERROR(VLOOKUP(G3936,WholesaleExtract!B:O,14,FALSE),"")</f>
        <v/>
      </c>
      <c r="K3936" s="26" t="str">
        <f>IFERROR(VLOOKUP(G3936,WholesaleExtract!B:K,10,FALSE),"")</f>
        <v/>
      </c>
      <c r="L3936" s="47" t="str">
        <f>IFERROR(VLOOKUP(G3936,WholesaleExtract!B:L,11,FALSE),"")</f>
        <v/>
      </c>
      <c r="M3936" s="47" t="str">
        <f>IFERROR(VLOOKUP(G3936,WholesaleExtract!B:M,12,FALSE),"")</f>
        <v/>
      </c>
      <c r="R3936" s="19"/>
      <c r="S3936" s="19"/>
    </row>
    <row r="3937" spans="1:19" x14ac:dyDescent="0.35">
      <c r="A3937" s="26" t="s">
        <v>543</v>
      </c>
      <c r="B3937" s="26" t="s">
        <v>543</v>
      </c>
      <c r="C3937" s="26"/>
      <c r="D3937" s="26" t="s">
        <v>543</v>
      </c>
      <c r="E3937" s="26" t="str">
        <f>IFERROR(VLOOKUP(G3937,WholesaleExtract!B:J,9,FALSE),"")</f>
        <v/>
      </c>
      <c r="F3937" s="26" t="str">
        <f>IFERROR(VLOOKUP(G3937,WholesaleExtract!B:J,6,FALSE),"")</f>
        <v/>
      </c>
      <c r="H3937" s="47" t="str">
        <f>IFERROR(VLOOKUP(G3937,WholesaleExtract!B:L,11,FALSE),"")</f>
        <v/>
      </c>
      <c r="I3937" s="26" t="str">
        <f>IFERROR(VLOOKUP(G3937,WholesaleExtract!B:O,8,FALSE),"")</f>
        <v/>
      </c>
      <c r="J3937" s="26" t="str">
        <f>IFERROR(VLOOKUP(G3937,WholesaleExtract!B:O,14,FALSE),"")</f>
        <v/>
      </c>
      <c r="K3937" s="26" t="str">
        <f>IFERROR(VLOOKUP(G3937,WholesaleExtract!B:K,10,FALSE),"")</f>
        <v/>
      </c>
      <c r="L3937" s="47" t="str">
        <f>IFERROR(VLOOKUP(G3937,WholesaleExtract!B:L,11,FALSE),"")</f>
        <v/>
      </c>
      <c r="M3937" s="47" t="str">
        <f>IFERROR(VLOOKUP(G3937,WholesaleExtract!B:M,12,FALSE),"")</f>
        <v/>
      </c>
      <c r="R3937" s="19"/>
      <c r="S3937" s="19"/>
    </row>
    <row r="3938" spans="1:19" x14ac:dyDescent="0.35">
      <c r="A3938" s="26" t="s">
        <v>543</v>
      </c>
      <c r="B3938" s="26" t="s">
        <v>543</v>
      </c>
      <c r="C3938" s="26"/>
      <c r="D3938" s="26" t="s">
        <v>543</v>
      </c>
      <c r="E3938" s="26" t="str">
        <f>IFERROR(VLOOKUP(G3938,WholesaleExtract!B:J,9,FALSE),"")</f>
        <v/>
      </c>
      <c r="F3938" s="26" t="str">
        <f>IFERROR(VLOOKUP(G3938,WholesaleExtract!B:J,6,FALSE),"")</f>
        <v/>
      </c>
      <c r="H3938" s="47" t="str">
        <f>IFERROR(VLOOKUP(G3938,WholesaleExtract!B:L,11,FALSE),"")</f>
        <v/>
      </c>
      <c r="I3938" s="26" t="str">
        <f>IFERROR(VLOOKUP(G3938,WholesaleExtract!B:O,8,FALSE),"")</f>
        <v/>
      </c>
      <c r="J3938" s="26" t="str">
        <f>IFERROR(VLOOKUP(G3938,WholesaleExtract!B:O,14,FALSE),"")</f>
        <v/>
      </c>
      <c r="K3938" s="26" t="str">
        <f>IFERROR(VLOOKUP(G3938,WholesaleExtract!B:K,10,FALSE),"")</f>
        <v/>
      </c>
      <c r="L3938" s="47" t="str">
        <f>IFERROR(VLOOKUP(G3938,WholesaleExtract!B:L,11,FALSE),"")</f>
        <v/>
      </c>
      <c r="M3938" s="47" t="str">
        <f>IFERROR(VLOOKUP(G3938,WholesaleExtract!B:M,12,FALSE),"")</f>
        <v/>
      </c>
      <c r="R3938" s="19"/>
      <c r="S3938" s="19"/>
    </row>
    <row r="3939" spans="1:19" x14ac:dyDescent="0.35">
      <c r="A3939" s="26" t="s">
        <v>543</v>
      </c>
      <c r="B3939" s="26" t="s">
        <v>543</v>
      </c>
      <c r="C3939" s="26"/>
      <c r="D3939" s="26" t="s">
        <v>543</v>
      </c>
      <c r="E3939" s="26" t="str">
        <f>IFERROR(VLOOKUP(G3939,WholesaleExtract!B:J,9,FALSE),"")</f>
        <v/>
      </c>
      <c r="F3939" s="26" t="str">
        <f>IFERROR(VLOOKUP(G3939,WholesaleExtract!B:J,6,FALSE),"")</f>
        <v/>
      </c>
      <c r="H3939" s="47" t="str">
        <f>IFERROR(VLOOKUP(G3939,WholesaleExtract!B:L,11,FALSE),"")</f>
        <v/>
      </c>
      <c r="I3939" s="26" t="str">
        <f>IFERROR(VLOOKUP(G3939,WholesaleExtract!B:O,8,FALSE),"")</f>
        <v/>
      </c>
      <c r="J3939" s="26" t="str">
        <f>IFERROR(VLOOKUP(G3939,WholesaleExtract!B:O,14,FALSE),"")</f>
        <v/>
      </c>
      <c r="K3939" s="26" t="str">
        <f>IFERROR(VLOOKUP(G3939,WholesaleExtract!B:K,10,FALSE),"")</f>
        <v/>
      </c>
      <c r="L3939" s="47" t="str">
        <f>IFERROR(VLOOKUP(G3939,WholesaleExtract!B:L,11,FALSE),"")</f>
        <v/>
      </c>
      <c r="M3939" s="47" t="str">
        <f>IFERROR(VLOOKUP(G3939,WholesaleExtract!B:M,12,FALSE),"")</f>
        <v/>
      </c>
      <c r="R3939" s="19"/>
      <c r="S3939" s="19"/>
    </row>
    <row r="3940" spans="1:19" x14ac:dyDescent="0.35">
      <c r="A3940" s="26" t="s">
        <v>543</v>
      </c>
      <c r="B3940" s="26" t="s">
        <v>543</v>
      </c>
      <c r="C3940" s="26"/>
      <c r="D3940" s="26" t="s">
        <v>543</v>
      </c>
      <c r="E3940" s="26" t="str">
        <f>IFERROR(VLOOKUP(G3940,WholesaleExtract!B:J,9,FALSE),"")</f>
        <v/>
      </c>
      <c r="F3940" s="26" t="str">
        <f>IFERROR(VLOOKUP(G3940,WholesaleExtract!B:J,6,FALSE),"")</f>
        <v/>
      </c>
      <c r="H3940" s="47" t="str">
        <f>IFERROR(VLOOKUP(G3940,WholesaleExtract!B:L,11,FALSE),"")</f>
        <v/>
      </c>
      <c r="I3940" s="26" t="str">
        <f>IFERROR(VLOOKUP(G3940,WholesaleExtract!B:O,8,FALSE),"")</f>
        <v/>
      </c>
      <c r="J3940" s="26" t="str">
        <f>IFERROR(VLOOKUP(G3940,WholesaleExtract!B:O,14,FALSE),"")</f>
        <v/>
      </c>
      <c r="K3940" s="26" t="str">
        <f>IFERROR(VLOOKUP(G3940,WholesaleExtract!B:K,10,FALSE),"")</f>
        <v/>
      </c>
      <c r="L3940" s="47" t="str">
        <f>IFERROR(VLOOKUP(G3940,WholesaleExtract!B:L,11,FALSE),"")</f>
        <v/>
      </c>
      <c r="M3940" s="47" t="str">
        <f>IFERROR(VLOOKUP(G3940,WholesaleExtract!B:M,12,FALSE),"")</f>
        <v/>
      </c>
      <c r="R3940" s="19"/>
      <c r="S3940" s="19"/>
    </row>
    <row r="3941" spans="1:19" x14ac:dyDescent="0.35">
      <c r="A3941" s="26" t="s">
        <v>543</v>
      </c>
      <c r="B3941" s="26" t="s">
        <v>543</v>
      </c>
      <c r="C3941" s="26"/>
      <c r="D3941" s="26" t="s">
        <v>543</v>
      </c>
      <c r="E3941" s="26" t="str">
        <f>IFERROR(VLOOKUP(G3941,WholesaleExtract!B:J,9,FALSE),"")</f>
        <v/>
      </c>
      <c r="F3941" s="26" t="str">
        <f>IFERROR(VLOOKUP(G3941,WholesaleExtract!B:J,6,FALSE),"")</f>
        <v/>
      </c>
      <c r="H3941" s="47" t="str">
        <f>IFERROR(VLOOKUP(G3941,WholesaleExtract!B:L,11,FALSE),"")</f>
        <v/>
      </c>
      <c r="I3941" s="26" t="str">
        <f>IFERROR(VLOOKUP(G3941,WholesaleExtract!B:O,8,FALSE),"")</f>
        <v/>
      </c>
      <c r="J3941" s="26" t="str">
        <f>IFERROR(VLOOKUP(G3941,WholesaleExtract!B:O,14,FALSE),"")</f>
        <v/>
      </c>
      <c r="K3941" s="26" t="str">
        <f>IFERROR(VLOOKUP(G3941,WholesaleExtract!B:K,10,FALSE),"")</f>
        <v/>
      </c>
      <c r="L3941" s="47" t="str">
        <f>IFERROR(VLOOKUP(G3941,WholesaleExtract!B:L,11,FALSE),"")</f>
        <v/>
      </c>
      <c r="M3941" s="47" t="str">
        <f>IFERROR(VLOOKUP(G3941,WholesaleExtract!B:M,12,FALSE),"")</f>
        <v/>
      </c>
      <c r="R3941" s="19"/>
      <c r="S3941" s="19"/>
    </row>
    <row r="3942" spans="1:19" x14ac:dyDescent="0.35">
      <c r="A3942" s="26" t="s">
        <v>543</v>
      </c>
      <c r="B3942" s="26" t="s">
        <v>543</v>
      </c>
      <c r="C3942" s="26"/>
      <c r="D3942" s="26" t="s">
        <v>543</v>
      </c>
      <c r="E3942" s="26" t="str">
        <f>IFERROR(VLOOKUP(G3942,WholesaleExtract!B:J,9,FALSE),"")</f>
        <v/>
      </c>
      <c r="F3942" s="26" t="str">
        <f>IFERROR(VLOOKUP(G3942,WholesaleExtract!B:J,6,FALSE),"")</f>
        <v/>
      </c>
      <c r="H3942" s="47" t="str">
        <f>IFERROR(VLOOKUP(G3942,WholesaleExtract!B:L,11,FALSE),"")</f>
        <v/>
      </c>
      <c r="I3942" s="26" t="str">
        <f>IFERROR(VLOOKUP(G3942,WholesaleExtract!B:O,8,FALSE),"")</f>
        <v/>
      </c>
      <c r="J3942" s="26" t="str">
        <f>IFERROR(VLOOKUP(G3942,WholesaleExtract!B:O,14,FALSE),"")</f>
        <v/>
      </c>
      <c r="K3942" s="26" t="str">
        <f>IFERROR(VLOOKUP(G3942,WholesaleExtract!B:K,10,FALSE),"")</f>
        <v/>
      </c>
      <c r="L3942" s="47" t="str">
        <f>IFERROR(VLOOKUP(G3942,WholesaleExtract!B:L,11,FALSE),"")</f>
        <v/>
      </c>
      <c r="M3942" s="47" t="str">
        <f>IFERROR(VLOOKUP(G3942,WholesaleExtract!B:M,12,FALSE),"")</f>
        <v/>
      </c>
      <c r="R3942" s="19"/>
      <c r="S3942" s="19"/>
    </row>
    <row r="3943" spans="1:19" x14ac:dyDescent="0.35">
      <c r="A3943" s="26" t="s">
        <v>543</v>
      </c>
      <c r="B3943" s="26" t="s">
        <v>543</v>
      </c>
      <c r="C3943" s="26"/>
      <c r="D3943" s="26" t="s">
        <v>543</v>
      </c>
      <c r="E3943" s="26" t="str">
        <f>IFERROR(VLOOKUP(G3943,WholesaleExtract!B:J,9,FALSE),"")</f>
        <v/>
      </c>
      <c r="F3943" s="26" t="str">
        <f>IFERROR(VLOOKUP(G3943,WholesaleExtract!B:J,6,FALSE),"")</f>
        <v/>
      </c>
      <c r="H3943" s="47" t="str">
        <f>IFERROR(VLOOKUP(G3943,WholesaleExtract!B:L,11,FALSE),"")</f>
        <v/>
      </c>
      <c r="I3943" s="26" t="str">
        <f>IFERROR(VLOOKUP(G3943,WholesaleExtract!B:O,8,FALSE),"")</f>
        <v/>
      </c>
      <c r="J3943" s="26" t="str">
        <f>IFERROR(VLOOKUP(G3943,WholesaleExtract!B:O,14,FALSE),"")</f>
        <v/>
      </c>
      <c r="K3943" s="26" t="str">
        <f>IFERROR(VLOOKUP(G3943,WholesaleExtract!B:K,10,FALSE),"")</f>
        <v/>
      </c>
      <c r="L3943" s="47" t="str">
        <f>IFERROR(VLOOKUP(G3943,WholesaleExtract!B:L,11,FALSE),"")</f>
        <v/>
      </c>
      <c r="M3943" s="47" t="str">
        <f>IFERROR(VLOOKUP(G3943,WholesaleExtract!B:M,12,FALSE),"")</f>
        <v/>
      </c>
      <c r="R3943" s="19"/>
      <c r="S3943" s="19"/>
    </row>
    <row r="3944" spans="1:19" x14ac:dyDescent="0.35">
      <c r="A3944" s="26" t="s">
        <v>543</v>
      </c>
      <c r="B3944" s="26" t="s">
        <v>543</v>
      </c>
      <c r="C3944" s="26"/>
      <c r="D3944" s="26" t="s">
        <v>543</v>
      </c>
      <c r="E3944" s="26" t="str">
        <f>IFERROR(VLOOKUP(G3944,WholesaleExtract!B:J,9,FALSE),"")</f>
        <v/>
      </c>
      <c r="F3944" s="26" t="str">
        <f>IFERROR(VLOOKUP(G3944,WholesaleExtract!B:J,6,FALSE),"")</f>
        <v/>
      </c>
      <c r="H3944" s="47" t="str">
        <f>IFERROR(VLOOKUP(G3944,WholesaleExtract!B:L,11,FALSE),"")</f>
        <v/>
      </c>
      <c r="I3944" s="26" t="str">
        <f>IFERROR(VLOOKUP(G3944,WholesaleExtract!B:O,8,FALSE),"")</f>
        <v/>
      </c>
      <c r="J3944" s="26" t="str">
        <f>IFERROR(VLOOKUP(G3944,WholesaleExtract!B:O,14,FALSE),"")</f>
        <v/>
      </c>
      <c r="K3944" s="26" t="str">
        <f>IFERROR(VLOOKUP(G3944,WholesaleExtract!B:K,10,FALSE),"")</f>
        <v/>
      </c>
      <c r="L3944" s="47" t="str">
        <f>IFERROR(VLOOKUP(G3944,WholesaleExtract!B:L,11,FALSE),"")</f>
        <v/>
      </c>
      <c r="M3944" s="47" t="str">
        <f>IFERROR(VLOOKUP(G3944,WholesaleExtract!B:M,12,FALSE),"")</f>
        <v/>
      </c>
      <c r="R3944" s="19"/>
      <c r="S3944" s="19"/>
    </row>
    <row r="3945" spans="1:19" x14ac:dyDescent="0.35">
      <c r="A3945" s="26" t="s">
        <v>543</v>
      </c>
      <c r="B3945" s="26" t="s">
        <v>543</v>
      </c>
      <c r="C3945" s="26"/>
      <c r="D3945" s="26" t="s">
        <v>543</v>
      </c>
      <c r="E3945" s="26" t="str">
        <f>IFERROR(VLOOKUP(G3945,WholesaleExtract!B:J,9,FALSE),"")</f>
        <v/>
      </c>
      <c r="F3945" s="26" t="str">
        <f>IFERROR(VLOOKUP(G3945,WholesaleExtract!B:J,6,FALSE),"")</f>
        <v/>
      </c>
      <c r="H3945" s="47" t="str">
        <f>IFERROR(VLOOKUP(G3945,WholesaleExtract!B:L,11,FALSE),"")</f>
        <v/>
      </c>
      <c r="I3945" s="26" t="str">
        <f>IFERROR(VLOOKUP(G3945,WholesaleExtract!B:O,8,FALSE),"")</f>
        <v/>
      </c>
      <c r="J3945" s="26" t="str">
        <f>IFERROR(VLOOKUP(G3945,WholesaleExtract!B:O,14,FALSE),"")</f>
        <v/>
      </c>
      <c r="K3945" s="26" t="str">
        <f>IFERROR(VLOOKUP(G3945,WholesaleExtract!B:K,10,FALSE),"")</f>
        <v/>
      </c>
      <c r="L3945" s="47" t="str">
        <f>IFERROR(VLOOKUP(G3945,WholesaleExtract!B:L,11,FALSE),"")</f>
        <v/>
      </c>
      <c r="M3945" s="47" t="str">
        <f>IFERROR(VLOOKUP(G3945,WholesaleExtract!B:M,12,FALSE),"")</f>
        <v/>
      </c>
      <c r="R3945" s="19"/>
      <c r="S3945" s="19"/>
    </row>
    <row r="3946" spans="1:19" x14ac:dyDescent="0.35">
      <c r="A3946" s="26" t="s">
        <v>543</v>
      </c>
      <c r="B3946" s="26" t="s">
        <v>543</v>
      </c>
      <c r="C3946" s="26"/>
      <c r="D3946" s="26" t="s">
        <v>543</v>
      </c>
      <c r="E3946" s="26" t="str">
        <f>IFERROR(VLOOKUP(G3946,WholesaleExtract!B:J,9,FALSE),"")</f>
        <v/>
      </c>
      <c r="F3946" s="26" t="str">
        <f>IFERROR(VLOOKUP(G3946,WholesaleExtract!B:J,6,FALSE),"")</f>
        <v/>
      </c>
      <c r="H3946" s="47" t="str">
        <f>IFERROR(VLOOKUP(G3946,WholesaleExtract!B:L,11,FALSE),"")</f>
        <v/>
      </c>
      <c r="I3946" s="26" t="str">
        <f>IFERROR(VLOOKUP(G3946,WholesaleExtract!B:O,8,FALSE),"")</f>
        <v/>
      </c>
      <c r="J3946" s="26" t="str">
        <f>IFERROR(VLOOKUP(G3946,WholesaleExtract!B:O,14,FALSE),"")</f>
        <v/>
      </c>
      <c r="K3946" s="26" t="str">
        <f>IFERROR(VLOOKUP(G3946,WholesaleExtract!B:K,10,FALSE),"")</f>
        <v/>
      </c>
      <c r="L3946" s="47" t="str">
        <f>IFERROR(VLOOKUP(G3946,WholesaleExtract!B:L,11,FALSE),"")</f>
        <v/>
      </c>
      <c r="M3946" s="47" t="str">
        <f>IFERROR(VLOOKUP(G3946,WholesaleExtract!B:M,12,FALSE),"")</f>
        <v/>
      </c>
      <c r="R3946" s="19"/>
      <c r="S3946" s="19"/>
    </row>
    <row r="3947" spans="1:19" x14ac:dyDescent="0.35">
      <c r="A3947" s="26" t="s">
        <v>543</v>
      </c>
      <c r="B3947" s="26" t="s">
        <v>543</v>
      </c>
      <c r="C3947" s="26"/>
      <c r="D3947" s="26" t="s">
        <v>543</v>
      </c>
      <c r="E3947" s="26" t="str">
        <f>IFERROR(VLOOKUP(G3947,WholesaleExtract!B:J,9,FALSE),"")</f>
        <v/>
      </c>
      <c r="F3947" s="26" t="str">
        <f>IFERROR(VLOOKUP(G3947,WholesaleExtract!B:J,6,FALSE),"")</f>
        <v/>
      </c>
      <c r="H3947" s="47" t="str">
        <f>IFERROR(VLOOKUP(G3947,WholesaleExtract!B:L,11,FALSE),"")</f>
        <v/>
      </c>
      <c r="I3947" s="26" t="str">
        <f>IFERROR(VLOOKUP(G3947,WholesaleExtract!B:O,8,FALSE),"")</f>
        <v/>
      </c>
      <c r="J3947" s="26" t="str">
        <f>IFERROR(VLOOKUP(G3947,WholesaleExtract!B:O,14,FALSE),"")</f>
        <v/>
      </c>
      <c r="K3947" s="26" t="str">
        <f>IFERROR(VLOOKUP(G3947,WholesaleExtract!B:K,10,FALSE),"")</f>
        <v/>
      </c>
      <c r="L3947" s="47" t="str">
        <f>IFERROR(VLOOKUP(G3947,WholesaleExtract!B:L,11,FALSE),"")</f>
        <v/>
      </c>
      <c r="M3947" s="47" t="str">
        <f>IFERROR(VLOOKUP(G3947,WholesaleExtract!B:M,12,FALSE),"")</f>
        <v/>
      </c>
      <c r="R3947" s="19"/>
      <c r="S3947" s="19"/>
    </row>
    <row r="3948" spans="1:19" x14ac:dyDescent="0.35">
      <c r="A3948" s="26" t="s">
        <v>543</v>
      </c>
      <c r="B3948" s="26" t="s">
        <v>543</v>
      </c>
      <c r="C3948" s="26"/>
      <c r="D3948" s="26" t="s">
        <v>543</v>
      </c>
      <c r="E3948" s="26" t="str">
        <f>IFERROR(VLOOKUP(G3948,WholesaleExtract!B:J,9,FALSE),"")</f>
        <v/>
      </c>
      <c r="F3948" s="26" t="str">
        <f>IFERROR(VLOOKUP(G3948,WholesaleExtract!B:J,6,FALSE),"")</f>
        <v/>
      </c>
      <c r="H3948" s="47" t="str">
        <f>IFERROR(VLOOKUP(G3948,WholesaleExtract!B:L,11,FALSE),"")</f>
        <v/>
      </c>
      <c r="I3948" s="26" t="str">
        <f>IFERROR(VLOOKUP(G3948,WholesaleExtract!B:O,8,FALSE),"")</f>
        <v/>
      </c>
      <c r="J3948" s="26" t="str">
        <f>IFERROR(VLOOKUP(G3948,WholesaleExtract!B:O,14,FALSE),"")</f>
        <v/>
      </c>
      <c r="K3948" s="26" t="str">
        <f>IFERROR(VLOOKUP(G3948,WholesaleExtract!B:K,10,FALSE),"")</f>
        <v/>
      </c>
      <c r="L3948" s="47" t="str">
        <f>IFERROR(VLOOKUP(G3948,WholesaleExtract!B:L,11,FALSE),"")</f>
        <v/>
      </c>
      <c r="M3948" s="47" t="str">
        <f>IFERROR(VLOOKUP(G3948,WholesaleExtract!B:M,12,FALSE),"")</f>
        <v/>
      </c>
      <c r="R3948" s="19"/>
      <c r="S3948" s="19"/>
    </row>
    <row r="3949" spans="1:19" x14ac:dyDescent="0.35">
      <c r="A3949" s="26" t="s">
        <v>543</v>
      </c>
      <c r="B3949" s="26" t="s">
        <v>543</v>
      </c>
      <c r="C3949" s="26"/>
      <c r="D3949" s="26" t="s">
        <v>543</v>
      </c>
      <c r="E3949" s="26" t="str">
        <f>IFERROR(VLOOKUP(G3949,WholesaleExtract!B:J,9,FALSE),"")</f>
        <v/>
      </c>
      <c r="F3949" s="26" t="str">
        <f>IFERROR(VLOOKUP(G3949,WholesaleExtract!B:J,6,FALSE),"")</f>
        <v/>
      </c>
      <c r="H3949" s="47" t="str">
        <f>IFERROR(VLOOKUP(G3949,WholesaleExtract!B:L,11,FALSE),"")</f>
        <v/>
      </c>
      <c r="I3949" s="26" t="str">
        <f>IFERROR(VLOOKUP(G3949,WholesaleExtract!B:O,8,FALSE),"")</f>
        <v/>
      </c>
      <c r="J3949" s="26" t="str">
        <f>IFERROR(VLOOKUP(G3949,WholesaleExtract!B:O,14,FALSE),"")</f>
        <v/>
      </c>
      <c r="K3949" s="26" t="str">
        <f>IFERROR(VLOOKUP(G3949,WholesaleExtract!B:K,10,FALSE),"")</f>
        <v/>
      </c>
      <c r="L3949" s="47" t="str">
        <f>IFERROR(VLOOKUP(G3949,WholesaleExtract!B:L,11,FALSE),"")</f>
        <v/>
      </c>
      <c r="M3949" s="47" t="str">
        <f>IFERROR(VLOOKUP(G3949,WholesaleExtract!B:M,12,FALSE),"")</f>
        <v/>
      </c>
      <c r="R3949" s="19"/>
      <c r="S3949" s="19"/>
    </row>
    <row r="3950" spans="1:19" x14ac:dyDescent="0.35">
      <c r="A3950" s="26" t="s">
        <v>543</v>
      </c>
      <c r="B3950" s="26" t="s">
        <v>543</v>
      </c>
      <c r="C3950" s="26"/>
      <c r="D3950" s="26" t="s">
        <v>543</v>
      </c>
      <c r="E3950" s="26" t="str">
        <f>IFERROR(VLOOKUP(G3950,WholesaleExtract!B:J,9,FALSE),"")</f>
        <v/>
      </c>
      <c r="F3950" s="26" t="str">
        <f>IFERROR(VLOOKUP(G3950,WholesaleExtract!B:J,6,FALSE),"")</f>
        <v/>
      </c>
      <c r="H3950" s="47" t="str">
        <f>IFERROR(VLOOKUP(G3950,WholesaleExtract!B:L,11,FALSE),"")</f>
        <v/>
      </c>
      <c r="I3950" s="26" t="str">
        <f>IFERROR(VLOOKUP(G3950,WholesaleExtract!B:O,8,FALSE),"")</f>
        <v/>
      </c>
      <c r="J3950" s="26" t="str">
        <f>IFERROR(VLOOKUP(G3950,WholesaleExtract!B:O,14,FALSE),"")</f>
        <v/>
      </c>
      <c r="K3950" s="26" t="str">
        <f>IFERROR(VLOOKUP(G3950,WholesaleExtract!B:K,10,FALSE),"")</f>
        <v/>
      </c>
      <c r="L3950" s="47" t="str">
        <f>IFERROR(VLOOKUP(G3950,WholesaleExtract!B:L,11,FALSE),"")</f>
        <v/>
      </c>
      <c r="M3950" s="47" t="str">
        <f>IFERROR(VLOOKUP(G3950,WholesaleExtract!B:M,12,FALSE),"")</f>
        <v/>
      </c>
      <c r="R3950" s="19"/>
      <c r="S3950" s="19"/>
    </row>
    <row r="3951" spans="1:19" x14ac:dyDescent="0.35">
      <c r="A3951" s="26" t="s">
        <v>543</v>
      </c>
      <c r="B3951" s="26" t="s">
        <v>543</v>
      </c>
      <c r="C3951" s="26"/>
      <c r="D3951" s="26" t="s">
        <v>543</v>
      </c>
      <c r="E3951" s="26" t="str">
        <f>IFERROR(VLOOKUP(G3951,WholesaleExtract!B:J,9,FALSE),"")</f>
        <v/>
      </c>
      <c r="F3951" s="26" t="str">
        <f>IFERROR(VLOOKUP(G3951,WholesaleExtract!B:J,6,FALSE),"")</f>
        <v/>
      </c>
      <c r="H3951" s="47" t="str">
        <f>IFERROR(VLOOKUP(G3951,WholesaleExtract!B:L,11,FALSE),"")</f>
        <v/>
      </c>
      <c r="I3951" s="26" t="str">
        <f>IFERROR(VLOOKUP(G3951,WholesaleExtract!B:O,8,FALSE),"")</f>
        <v/>
      </c>
      <c r="J3951" s="26" t="str">
        <f>IFERROR(VLOOKUP(G3951,WholesaleExtract!B:O,14,FALSE),"")</f>
        <v/>
      </c>
      <c r="K3951" s="26" t="str">
        <f>IFERROR(VLOOKUP(G3951,WholesaleExtract!B:K,10,FALSE),"")</f>
        <v/>
      </c>
      <c r="L3951" s="47" t="str">
        <f>IFERROR(VLOOKUP(G3951,WholesaleExtract!B:L,11,FALSE),"")</f>
        <v/>
      </c>
      <c r="M3951" s="47" t="str">
        <f>IFERROR(VLOOKUP(G3951,WholesaleExtract!B:M,12,FALSE),"")</f>
        <v/>
      </c>
      <c r="R3951" s="19"/>
      <c r="S3951" s="19"/>
    </row>
    <row r="3952" spans="1:19" x14ac:dyDescent="0.35">
      <c r="A3952" s="26" t="s">
        <v>543</v>
      </c>
      <c r="B3952" s="26" t="s">
        <v>543</v>
      </c>
      <c r="C3952" s="26"/>
      <c r="D3952" s="26" t="s">
        <v>543</v>
      </c>
      <c r="E3952" s="26" t="str">
        <f>IFERROR(VLOOKUP(G3952,WholesaleExtract!B:J,9,FALSE),"")</f>
        <v/>
      </c>
      <c r="F3952" s="26" t="str">
        <f>IFERROR(VLOOKUP(G3952,WholesaleExtract!B:J,6,FALSE),"")</f>
        <v/>
      </c>
      <c r="H3952" s="47" t="str">
        <f>IFERROR(VLOOKUP(G3952,WholesaleExtract!B:L,11,FALSE),"")</f>
        <v/>
      </c>
      <c r="I3952" s="26" t="str">
        <f>IFERROR(VLOOKUP(G3952,WholesaleExtract!B:O,8,FALSE),"")</f>
        <v/>
      </c>
      <c r="J3952" s="26" t="str">
        <f>IFERROR(VLOOKUP(G3952,WholesaleExtract!B:O,14,FALSE),"")</f>
        <v/>
      </c>
      <c r="K3952" s="26" t="str">
        <f>IFERROR(VLOOKUP(G3952,WholesaleExtract!B:K,10,FALSE),"")</f>
        <v/>
      </c>
      <c r="L3952" s="47" t="str">
        <f>IFERROR(VLOOKUP(G3952,WholesaleExtract!B:L,11,FALSE),"")</f>
        <v/>
      </c>
      <c r="M3952" s="47" t="str">
        <f>IFERROR(VLOOKUP(G3952,WholesaleExtract!B:M,12,FALSE),"")</f>
        <v/>
      </c>
      <c r="R3952" s="19"/>
      <c r="S3952" s="19"/>
    </row>
    <row r="3953" spans="1:19" x14ac:dyDescent="0.35">
      <c r="A3953" s="26" t="s">
        <v>543</v>
      </c>
      <c r="B3953" s="26" t="s">
        <v>543</v>
      </c>
      <c r="C3953" s="26"/>
      <c r="D3953" s="26" t="s">
        <v>543</v>
      </c>
      <c r="E3953" s="26" t="str">
        <f>IFERROR(VLOOKUP(G3953,WholesaleExtract!B:J,9,FALSE),"")</f>
        <v/>
      </c>
      <c r="F3953" s="26" t="str">
        <f>IFERROR(VLOOKUP(G3953,WholesaleExtract!B:J,6,FALSE),"")</f>
        <v/>
      </c>
      <c r="H3953" s="47" t="str">
        <f>IFERROR(VLOOKUP(G3953,WholesaleExtract!B:L,11,FALSE),"")</f>
        <v/>
      </c>
      <c r="I3953" s="26" t="str">
        <f>IFERROR(VLOOKUP(G3953,WholesaleExtract!B:O,8,FALSE),"")</f>
        <v/>
      </c>
      <c r="J3953" s="26" t="str">
        <f>IFERROR(VLOOKUP(G3953,WholesaleExtract!B:O,14,FALSE),"")</f>
        <v/>
      </c>
      <c r="K3953" s="26" t="str">
        <f>IFERROR(VLOOKUP(G3953,WholesaleExtract!B:K,10,FALSE),"")</f>
        <v/>
      </c>
      <c r="L3953" s="47" t="str">
        <f>IFERROR(VLOOKUP(G3953,WholesaleExtract!B:L,11,FALSE),"")</f>
        <v/>
      </c>
      <c r="M3953" s="47" t="str">
        <f>IFERROR(VLOOKUP(G3953,WholesaleExtract!B:M,12,FALSE),"")</f>
        <v/>
      </c>
      <c r="R3953" s="19"/>
      <c r="S3953" s="19"/>
    </row>
    <row r="3954" spans="1:19" x14ac:dyDescent="0.35">
      <c r="A3954" s="26" t="s">
        <v>543</v>
      </c>
      <c r="B3954" s="26" t="s">
        <v>543</v>
      </c>
      <c r="C3954" s="26"/>
      <c r="D3954" s="26" t="s">
        <v>543</v>
      </c>
      <c r="E3954" s="26" t="str">
        <f>IFERROR(VLOOKUP(G3954,WholesaleExtract!B:J,9,FALSE),"")</f>
        <v/>
      </c>
      <c r="F3954" s="26" t="str">
        <f>IFERROR(VLOOKUP(G3954,WholesaleExtract!B:J,6,FALSE),"")</f>
        <v/>
      </c>
      <c r="H3954" s="47" t="str">
        <f>IFERROR(VLOOKUP(G3954,WholesaleExtract!B:L,11,FALSE),"")</f>
        <v/>
      </c>
      <c r="I3954" s="26" t="str">
        <f>IFERROR(VLOOKUP(G3954,WholesaleExtract!B:O,8,FALSE),"")</f>
        <v/>
      </c>
      <c r="J3954" s="26" t="str">
        <f>IFERROR(VLOOKUP(G3954,WholesaleExtract!B:O,14,FALSE),"")</f>
        <v/>
      </c>
      <c r="K3954" s="26" t="str">
        <f>IFERROR(VLOOKUP(G3954,WholesaleExtract!B:K,10,FALSE),"")</f>
        <v/>
      </c>
      <c r="L3954" s="47" t="str">
        <f>IFERROR(VLOOKUP(G3954,WholesaleExtract!B:L,11,FALSE),"")</f>
        <v/>
      </c>
      <c r="M3954" s="47" t="str">
        <f>IFERROR(VLOOKUP(G3954,WholesaleExtract!B:M,12,FALSE),"")</f>
        <v/>
      </c>
      <c r="R3954" s="19"/>
      <c r="S3954" s="19"/>
    </row>
    <row r="3955" spans="1:19" x14ac:dyDescent="0.35">
      <c r="A3955" s="26" t="s">
        <v>543</v>
      </c>
      <c r="B3955" s="26" t="s">
        <v>543</v>
      </c>
      <c r="C3955" s="26"/>
      <c r="D3955" s="26" t="s">
        <v>543</v>
      </c>
      <c r="E3955" s="26" t="str">
        <f>IFERROR(VLOOKUP(G3955,WholesaleExtract!B:J,9,FALSE),"")</f>
        <v/>
      </c>
      <c r="F3955" s="26" t="str">
        <f>IFERROR(VLOOKUP(G3955,WholesaleExtract!B:J,6,FALSE),"")</f>
        <v/>
      </c>
      <c r="H3955" s="47" t="str">
        <f>IFERROR(VLOOKUP(G3955,WholesaleExtract!B:L,11,FALSE),"")</f>
        <v/>
      </c>
      <c r="I3955" s="26" t="str">
        <f>IFERROR(VLOOKUP(G3955,WholesaleExtract!B:O,8,FALSE),"")</f>
        <v/>
      </c>
      <c r="J3955" s="26" t="str">
        <f>IFERROR(VLOOKUP(G3955,WholesaleExtract!B:O,14,FALSE),"")</f>
        <v/>
      </c>
      <c r="K3955" s="26" t="str">
        <f>IFERROR(VLOOKUP(G3955,WholesaleExtract!B:K,10,FALSE),"")</f>
        <v/>
      </c>
      <c r="L3955" s="47" t="str">
        <f>IFERROR(VLOOKUP(G3955,WholesaleExtract!B:L,11,FALSE),"")</f>
        <v/>
      </c>
      <c r="M3955" s="47" t="str">
        <f>IFERROR(VLOOKUP(G3955,WholesaleExtract!B:M,12,FALSE),"")</f>
        <v/>
      </c>
      <c r="R3955" s="19"/>
      <c r="S3955" s="19"/>
    </row>
    <row r="3956" spans="1:19" x14ac:dyDescent="0.35">
      <c r="A3956" s="26" t="s">
        <v>543</v>
      </c>
      <c r="B3956" s="26" t="s">
        <v>543</v>
      </c>
      <c r="C3956" s="26"/>
      <c r="D3956" s="26" t="s">
        <v>543</v>
      </c>
      <c r="E3956" s="26" t="str">
        <f>IFERROR(VLOOKUP(G3956,WholesaleExtract!B:J,9,FALSE),"")</f>
        <v/>
      </c>
      <c r="F3956" s="26" t="str">
        <f>IFERROR(VLOOKUP(G3956,WholesaleExtract!B:J,6,FALSE),"")</f>
        <v/>
      </c>
      <c r="H3956" s="47" t="str">
        <f>IFERROR(VLOOKUP(G3956,WholesaleExtract!B:L,11,FALSE),"")</f>
        <v/>
      </c>
      <c r="I3956" s="26" t="str">
        <f>IFERROR(VLOOKUP(G3956,WholesaleExtract!B:O,8,FALSE),"")</f>
        <v/>
      </c>
      <c r="J3956" s="26" t="str">
        <f>IFERROR(VLOOKUP(G3956,WholesaleExtract!B:O,14,FALSE),"")</f>
        <v/>
      </c>
      <c r="K3956" s="26" t="str">
        <f>IFERROR(VLOOKUP(G3956,WholesaleExtract!B:K,10,FALSE),"")</f>
        <v/>
      </c>
      <c r="L3956" s="47" t="str">
        <f>IFERROR(VLOOKUP(G3956,WholesaleExtract!B:L,11,FALSE),"")</f>
        <v/>
      </c>
      <c r="M3956" s="47" t="str">
        <f>IFERROR(VLOOKUP(G3956,WholesaleExtract!B:M,12,FALSE),"")</f>
        <v/>
      </c>
      <c r="R3956" s="19"/>
      <c r="S3956" s="19"/>
    </row>
    <row r="3957" spans="1:19" x14ac:dyDescent="0.35">
      <c r="A3957" s="26" t="s">
        <v>543</v>
      </c>
      <c r="B3957" s="26" t="s">
        <v>543</v>
      </c>
      <c r="C3957" s="26"/>
      <c r="D3957" s="26" t="s">
        <v>543</v>
      </c>
      <c r="E3957" s="26" t="str">
        <f>IFERROR(VLOOKUP(G3957,WholesaleExtract!B:J,9,FALSE),"")</f>
        <v/>
      </c>
      <c r="F3957" s="26" t="str">
        <f>IFERROR(VLOOKUP(G3957,WholesaleExtract!B:J,6,FALSE),"")</f>
        <v/>
      </c>
      <c r="H3957" s="47" t="str">
        <f>IFERROR(VLOOKUP(G3957,WholesaleExtract!B:L,11,FALSE),"")</f>
        <v/>
      </c>
      <c r="I3957" s="26" t="str">
        <f>IFERROR(VLOOKUP(G3957,WholesaleExtract!B:O,8,FALSE),"")</f>
        <v/>
      </c>
      <c r="J3957" s="26" t="str">
        <f>IFERROR(VLOOKUP(G3957,WholesaleExtract!B:O,14,FALSE),"")</f>
        <v/>
      </c>
      <c r="K3957" s="26" t="str">
        <f>IFERROR(VLOOKUP(G3957,WholesaleExtract!B:K,10,FALSE),"")</f>
        <v/>
      </c>
      <c r="L3957" s="47" t="str">
        <f>IFERROR(VLOOKUP(G3957,WholesaleExtract!B:L,11,FALSE),"")</f>
        <v/>
      </c>
      <c r="M3957" s="47" t="str">
        <f>IFERROR(VLOOKUP(G3957,WholesaleExtract!B:M,12,FALSE),"")</f>
        <v/>
      </c>
      <c r="R3957" s="19"/>
      <c r="S3957" s="19"/>
    </row>
    <row r="3958" spans="1:19" x14ac:dyDescent="0.35">
      <c r="A3958" s="26" t="s">
        <v>543</v>
      </c>
      <c r="B3958" s="26" t="s">
        <v>543</v>
      </c>
      <c r="C3958" s="26"/>
      <c r="D3958" s="26" t="s">
        <v>543</v>
      </c>
      <c r="E3958" s="26" t="str">
        <f>IFERROR(VLOOKUP(G3958,WholesaleExtract!B:J,9,FALSE),"")</f>
        <v/>
      </c>
      <c r="F3958" s="26" t="str">
        <f>IFERROR(VLOOKUP(G3958,WholesaleExtract!B:J,6,FALSE),"")</f>
        <v/>
      </c>
      <c r="H3958" s="47" t="str">
        <f>IFERROR(VLOOKUP(G3958,WholesaleExtract!B:L,11,FALSE),"")</f>
        <v/>
      </c>
      <c r="I3958" s="26" t="str">
        <f>IFERROR(VLOOKUP(G3958,WholesaleExtract!B:O,8,FALSE),"")</f>
        <v/>
      </c>
      <c r="J3958" s="26" t="str">
        <f>IFERROR(VLOOKUP(G3958,WholesaleExtract!B:O,14,FALSE),"")</f>
        <v/>
      </c>
      <c r="K3958" s="26" t="str">
        <f>IFERROR(VLOOKUP(G3958,WholesaleExtract!B:K,10,FALSE),"")</f>
        <v/>
      </c>
      <c r="L3958" s="47" t="str">
        <f>IFERROR(VLOOKUP(G3958,WholesaleExtract!B:L,11,FALSE),"")</f>
        <v/>
      </c>
      <c r="M3958" s="47" t="str">
        <f>IFERROR(VLOOKUP(G3958,WholesaleExtract!B:M,12,FALSE),"")</f>
        <v/>
      </c>
      <c r="R3958" s="19"/>
      <c r="S3958" s="19"/>
    </row>
    <row r="3959" spans="1:19" x14ac:dyDescent="0.35">
      <c r="A3959" s="26" t="s">
        <v>543</v>
      </c>
      <c r="B3959" s="26" t="s">
        <v>543</v>
      </c>
      <c r="C3959" s="26"/>
      <c r="D3959" s="26" t="s">
        <v>543</v>
      </c>
      <c r="E3959" s="26" t="str">
        <f>IFERROR(VLOOKUP(G3959,WholesaleExtract!B:J,9,FALSE),"")</f>
        <v/>
      </c>
      <c r="F3959" s="26" t="str">
        <f>IFERROR(VLOOKUP(G3959,WholesaleExtract!B:J,6,FALSE),"")</f>
        <v/>
      </c>
      <c r="H3959" s="47" t="str">
        <f>IFERROR(VLOOKUP(G3959,WholesaleExtract!B:L,11,FALSE),"")</f>
        <v/>
      </c>
      <c r="I3959" s="26" t="str">
        <f>IFERROR(VLOOKUP(G3959,WholesaleExtract!B:O,8,FALSE),"")</f>
        <v/>
      </c>
      <c r="J3959" s="26" t="str">
        <f>IFERROR(VLOOKUP(G3959,WholesaleExtract!B:O,14,FALSE),"")</f>
        <v/>
      </c>
      <c r="K3959" s="26" t="str">
        <f>IFERROR(VLOOKUP(G3959,WholesaleExtract!B:K,10,FALSE),"")</f>
        <v/>
      </c>
      <c r="L3959" s="47" t="str">
        <f>IFERROR(VLOOKUP(G3959,WholesaleExtract!B:L,11,FALSE),"")</f>
        <v/>
      </c>
      <c r="M3959" s="47" t="str">
        <f>IFERROR(VLOOKUP(G3959,WholesaleExtract!B:M,12,FALSE),"")</f>
        <v/>
      </c>
      <c r="R3959" s="19"/>
      <c r="S3959" s="19"/>
    </row>
    <row r="3960" spans="1:19" x14ac:dyDescent="0.35">
      <c r="A3960" s="26" t="s">
        <v>543</v>
      </c>
      <c r="B3960" s="26" t="s">
        <v>543</v>
      </c>
      <c r="C3960" s="26"/>
      <c r="D3960" s="26" t="s">
        <v>543</v>
      </c>
      <c r="E3960" s="26" t="str">
        <f>IFERROR(VLOOKUP(G3960,WholesaleExtract!B:J,9,FALSE),"")</f>
        <v/>
      </c>
      <c r="F3960" s="26" t="str">
        <f>IFERROR(VLOOKUP(G3960,WholesaleExtract!B:J,6,FALSE),"")</f>
        <v/>
      </c>
      <c r="H3960" s="47" t="str">
        <f>IFERROR(VLOOKUP(G3960,WholesaleExtract!B:L,11,FALSE),"")</f>
        <v/>
      </c>
      <c r="I3960" s="26" t="str">
        <f>IFERROR(VLOOKUP(G3960,WholesaleExtract!B:O,8,FALSE),"")</f>
        <v/>
      </c>
      <c r="J3960" s="26" t="str">
        <f>IFERROR(VLOOKUP(G3960,WholesaleExtract!B:O,14,FALSE),"")</f>
        <v/>
      </c>
      <c r="K3960" s="26" t="str">
        <f>IFERROR(VLOOKUP(G3960,WholesaleExtract!B:K,10,FALSE),"")</f>
        <v/>
      </c>
      <c r="L3960" s="47" t="str">
        <f>IFERROR(VLOOKUP(G3960,WholesaleExtract!B:L,11,FALSE),"")</f>
        <v/>
      </c>
      <c r="M3960" s="47" t="str">
        <f>IFERROR(VLOOKUP(G3960,WholesaleExtract!B:M,12,FALSE),"")</f>
        <v/>
      </c>
      <c r="R3960" s="19"/>
      <c r="S3960" s="19"/>
    </row>
    <row r="3961" spans="1:19" x14ac:dyDescent="0.35">
      <c r="A3961" s="26" t="s">
        <v>543</v>
      </c>
      <c r="B3961" s="26" t="s">
        <v>543</v>
      </c>
      <c r="C3961" s="26"/>
      <c r="D3961" s="26" t="s">
        <v>543</v>
      </c>
      <c r="E3961" s="26" t="str">
        <f>IFERROR(VLOOKUP(G3961,WholesaleExtract!B:J,9,FALSE),"")</f>
        <v/>
      </c>
      <c r="F3961" s="26" t="str">
        <f>IFERROR(VLOOKUP(G3961,WholesaleExtract!B:J,6,FALSE),"")</f>
        <v/>
      </c>
      <c r="H3961" s="47" t="str">
        <f>IFERROR(VLOOKUP(G3961,WholesaleExtract!B:L,11,FALSE),"")</f>
        <v/>
      </c>
      <c r="I3961" s="26" t="str">
        <f>IFERROR(VLOOKUP(G3961,WholesaleExtract!B:O,8,FALSE),"")</f>
        <v/>
      </c>
      <c r="J3961" s="26" t="str">
        <f>IFERROR(VLOOKUP(G3961,WholesaleExtract!B:O,14,FALSE),"")</f>
        <v/>
      </c>
      <c r="K3961" s="26" t="str">
        <f>IFERROR(VLOOKUP(G3961,WholesaleExtract!B:K,10,FALSE),"")</f>
        <v/>
      </c>
      <c r="L3961" s="47" t="str">
        <f>IFERROR(VLOOKUP(G3961,WholesaleExtract!B:L,11,FALSE),"")</f>
        <v/>
      </c>
      <c r="M3961" s="47" t="str">
        <f>IFERROR(VLOOKUP(G3961,WholesaleExtract!B:M,12,FALSE),"")</f>
        <v/>
      </c>
      <c r="R3961" s="19"/>
      <c r="S3961" s="19"/>
    </row>
    <row r="3962" spans="1:19" x14ac:dyDescent="0.35">
      <c r="A3962" s="26" t="s">
        <v>543</v>
      </c>
      <c r="B3962" s="26" t="s">
        <v>543</v>
      </c>
      <c r="C3962" s="26"/>
      <c r="D3962" s="26" t="s">
        <v>543</v>
      </c>
      <c r="E3962" s="26" t="str">
        <f>IFERROR(VLOOKUP(G3962,WholesaleExtract!B:J,9,FALSE),"")</f>
        <v/>
      </c>
      <c r="F3962" s="26" t="str">
        <f>IFERROR(VLOOKUP(G3962,WholesaleExtract!B:J,6,FALSE),"")</f>
        <v/>
      </c>
      <c r="H3962" s="47" t="str">
        <f>IFERROR(VLOOKUP(G3962,WholesaleExtract!B:L,11,FALSE),"")</f>
        <v/>
      </c>
      <c r="I3962" s="26" t="str">
        <f>IFERROR(VLOOKUP(G3962,WholesaleExtract!B:O,8,FALSE),"")</f>
        <v/>
      </c>
      <c r="J3962" s="26" t="str">
        <f>IFERROR(VLOOKUP(G3962,WholesaleExtract!B:O,14,FALSE),"")</f>
        <v/>
      </c>
      <c r="K3962" s="26" t="str">
        <f>IFERROR(VLOOKUP(G3962,WholesaleExtract!B:K,10,FALSE),"")</f>
        <v/>
      </c>
      <c r="L3962" s="47" t="str">
        <f>IFERROR(VLOOKUP(G3962,WholesaleExtract!B:L,11,FALSE),"")</f>
        <v/>
      </c>
      <c r="M3962" s="47" t="str">
        <f>IFERROR(VLOOKUP(G3962,WholesaleExtract!B:M,12,FALSE),"")</f>
        <v/>
      </c>
      <c r="R3962" s="19"/>
      <c r="S3962" s="19"/>
    </row>
    <row r="3963" spans="1:19" x14ac:dyDescent="0.35">
      <c r="A3963" s="26" t="s">
        <v>543</v>
      </c>
      <c r="B3963" s="26" t="s">
        <v>543</v>
      </c>
      <c r="C3963" s="26"/>
      <c r="D3963" s="26" t="s">
        <v>543</v>
      </c>
      <c r="E3963" s="26" t="str">
        <f>IFERROR(VLOOKUP(G3963,WholesaleExtract!B:J,9,FALSE),"")</f>
        <v/>
      </c>
      <c r="F3963" s="26" t="str">
        <f>IFERROR(VLOOKUP(G3963,WholesaleExtract!B:J,6,FALSE),"")</f>
        <v/>
      </c>
      <c r="H3963" s="47" t="str">
        <f>IFERROR(VLOOKUP(G3963,WholesaleExtract!B:L,11,FALSE),"")</f>
        <v/>
      </c>
      <c r="I3963" s="26" t="str">
        <f>IFERROR(VLOOKUP(G3963,WholesaleExtract!B:O,8,FALSE),"")</f>
        <v/>
      </c>
      <c r="J3963" s="26" t="str">
        <f>IFERROR(VLOOKUP(G3963,WholesaleExtract!B:O,14,FALSE),"")</f>
        <v/>
      </c>
      <c r="K3963" s="26" t="str">
        <f>IFERROR(VLOOKUP(G3963,WholesaleExtract!B:K,10,FALSE),"")</f>
        <v/>
      </c>
      <c r="L3963" s="47" t="str">
        <f>IFERROR(VLOOKUP(G3963,WholesaleExtract!B:L,11,FALSE),"")</f>
        <v/>
      </c>
      <c r="M3963" s="47" t="str">
        <f>IFERROR(VLOOKUP(G3963,WholesaleExtract!B:M,12,FALSE),"")</f>
        <v/>
      </c>
      <c r="R3963" s="19"/>
      <c r="S3963" s="19"/>
    </row>
    <row r="3964" spans="1:19" x14ac:dyDescent="0.35">
      <c r="A3964" s="26" t="s">
        <v>543</v>
      </c>
      <c r="B3964" s="26" t="s">
        <v>543</v>
      </c>
      <c r="C3964" s="26"/>
      <c r="D3964" s="26" t="s">
        <v>543</v>
      </c>
      <c r="E3964" s="26" t="str">
        <f>IFERROR(VLOOKUP(G3964,WholesaleExtract!B:J,9,FALSE),"")</f>
        <v/>
      </c>
      <c r="F3964" s="26" t="str">
        <f>IFERROR(VLOOKUP(G3964,WholesaleExtract!B:J,6,FALSE),"")</f>
        <v/>
      </c>
      <c r="H3964" s="47" t="str">
        <f>IFERROR(VLOOKUP(G3964,WholesaleExtract!B:L,11,FALSE),"")</f>
        <v/>
      </c>
      <c r="I3964" s="26" t="str">
        <f>IFERROR(VLOOKUP(G3964,WholesaleExtract!B:O,8,FALSE),"")</f>
        <v/>
      </c>
      <c r="J3964" s="26" t="str">
        <f>IFERROR(VLOOKUP(G3964,WholesaleExtract!B:O,14,FALSE),"")</f>
        <v/>
      </c>
      <c r="K3964" s="26" t="str">
        <f>IFERROR(VLOOKUP(G3964,WholesaleExtract!B:K,10,FALSE),"")</f>
        <v/>
      </c>
      <c r="L3964" s="47" t="str">
        <f>IFERROR(VLOOKUP(G3964,WholesaleExtract!B:L,11,FALSE),"")</f>
        <v/>
      </c>
      <c r="M3964" s="47" t="str">
        <f>IFERROR(VLOOKUP(G3964,WholesaleExtract!B:M,12,FALSE),"")</f>
        <v/>
      </c>
      <c r="R3964" s="19"/>
      <c r="S3964" s="19"/>
    </row>
    <row r="3965" spans="1:19" x14ac:dyDescent="0.35">
      <c r="A3965" s="26" t="s">
        <v>543</v>
      </c>
      <c r="B3965" s="26" t="s">
        <v>543</v>
      </c>
      <c r="C3965" s="26"/>
      <c r="D3965" s="26" t="s">
        <v>543</v>
      </c>
      <c r="E3965" s="26" t="str">
        <f>IFERROR(VLOOKUP(G3965,WholesaleExtract!B:J,9,FALSE),"")</f>
        <v/>
      </c>
      <c r="F3965" s="26" t="str">
        <f>IFERROR(VLOOKUP(G3965,WholesaleExtract!B:J,6,FALSE),"")</f>
        <v/>
      </c>
      <c r="H3965" s="47" t="str">
        <f>IFERROR(VLOOKUP(G3965,WholesaleExtract!B:L,11,FALSE),"")</f>
        <v/>
      </c>
      <c r="I3965" s="26" t="str">
        <f>IFERROR(VLOOKUP(G3965,WholesaleExtract!B:O,8,FALSE),"")</f>
        <v/>
      </c>
      <c r="J3965" s="26" t="str">
        <f>IFERROR(VLOOKUP(G3965,WholesaleExtract!B:O,14,FALSE),"")</f>
        <v/>
      </c>
      <c r="K3965" s="26" t="str">
        <f>IFERROR(VLOOKUP(G3965,WholesaleExtract!B:K,10,FALSE),"")</f>
        <v/>
      </c>
      <c r="L3965" s="47" t="str">
        <f>IFERROR(VLOOKUP(G3965,WholesaleExtract!B:L,11,FALSE),"")</f>
        <v/>
      </c>
      <c r="M3965" s="47" t="str">
        <f>IFERROR(VLOOKUP(G3965,WholesaleExtract!B:M,12,FALSE),"")</f>
        <v/>
      </c>
      <c r="R3965" s="19"/>
      <c r="S3965" s="19"/>
    </row>
    <row r="3966" spans="1:19" x14ac:dyDescent="0.35">
      <c r="A3966" s="26" t="s">
        <v>543</v>
      </c>
      <c r="B3966" s="26" t="s">
        <v>543</v>
      </c>
      <c r="C3966" s="26"/>
      <c r="D3966" s="26" t="s">
        <v>543</v>
      </c>
      <c r="E3966" s="26" t="str">
        <f>IFERROR(VLOOKUP(G3966,WholesaleExtract!B:J,9,FALSE),"")</f>
        <v/>
      </c>
      <c r="F3966" s="26" t="str">
        <f>IFERROR(VLOOKUP(G3966,WholesaleExtract!B:J,6,FALSE),"")</f>
        <v/>
      </c>
      <c r="H3966" s="47" t="str">
        <f>IFERROR(VLOOKUP(G3966,WholesaleExtract!B:L,11,FALSE),"")</f>
        <v/>
      </c>
      <c r="I3966" s="26" t="str">
        <f>IFERROR(VLOOKUP(G3966,WholesaleExtract!B:O,8,FALSE),"")</f>
        <v/>
      </c>
      <c r="J3966" s="26" t="str">
        <f>IFERROR(VLOOKUP(G3966,WholesaleExtract!B:O,14,FALSE),"")</f>
        <v/>
      </c>
      <c r="K3966" s="26" t="str">
        <f>IFERROR(VLOOKUP(G3966,WholesaleExtract!B:K,10,FALSE),"")</f>
        <v/>
      </c>
      <c r="L3966" s="47" t="str">
        <f>IFERROR(VLOOKUP(G3966,WholesaleExtract!B:L,11,FALSE),"")</f>
        <v/>
      </c>
      <c r="M3966" s="47" t="str">
        <f>IFERROR(VLOOKUP(G3966,WholesaleExtract!B:M,12,FALSE),"")</f>
        <v/>
      </c>
      <c r="R3966" s="19"/>
      <c r="S3966" s="19"/>
    </row>
    <row r="3967" spans="1:19" x14ac:dyDescent="0.35">
      <c r="A3967" s="26" t="s">
        <v>543</v>
      </c>
      <c r="B3967" s="26" t="s">
        <v>543</v>
      </c>
      <c r="C3967" s="26"/>
      <c r="D3967" s="26" t="s">
        <v>543</v>
      </c>
      <c r="E3967" s="26" t="str">
        <f>IFERROR(VLOOKUP(G3967,WholesaleExtract!B:J,9,FALSE),"")</f>
        <v/>
      </c>
      <c r="F3967" s="26" t="str">
        <f>IFERROR(VLOOKUP(G3967,WholesaleExtract!B:J,6,FALSE),"")</f>
        <v/>
      </c>
      <c r="H3967" s="47" t="str">
        <f>IFERROR(VLOOKUP(G3967,WholesaleExtract!B:L,11,FALSE),"")</f>
        <v/>
      </c>
      <c r="I3967" s="26" t="str">
        <f>IFERROR(VLOOKUP(G3967,WholesaleExtract!B:O,8,FALSE),"")</f>
        <v/>
      </c>
      <c r="J3967" s="26" t="str">
        <f>IFERROR(VLOOKUP(G3967,WholesaleExtract!B:O,14,FALSE),"")</f>
        <v/>
      </c>
      <c r="K3967" s="26" t="str">
        <f>IFERROR(VLOOKUP(G3967,WholesaleExtract!B:K,10,FALSE),"")</f>
        <v/>
      </c>
      <c r="L3967" s="47" t="str">
        <f>IFERROR(VLOOKUP(G3967,WholesaleExtract!B:L,11,FALSE),"")</f>
        <v/>
      </c>
      <c r="M3967" s="47" t="str">
        <f>IFERROR(VLOOKUP(G3967,WholesaleExtract!B:M,12,FALSE),"")</f>
        <v/>
      </c>
      <c r="R3967" s="19"/>
      <c r="S3967" s="19"/>
    </row>
    <row r="3968" spans="1:19" x14ac:dyDescent="0.35">
      <c r="A3968" s="26" t="s">
        <v>543</v>
      </c>
      <c r="B3968" s="26" t="s">
        <v>543</v>
      </c>
      <c r="C3968" s="26"/>
      <c r="D3968" s="26" t="s">
        <v>543</v>
      </c>
      <c r="E3968" s="26" t="str">
        <f>IFERROR(VLOOKUP(G3968,WholesaleExtract!B:J,9,FALSE),"")</f>
        <v/>
      </c>
      <c r="F3968" s="26" t="str">
        <f>IFERROR(VLOOKUP(G3968,WholesaleExtract!B:J,6,FALSE),"")</f>
        <v/>
      </c>
      <c r="H3968" s="47" t="str">
        <f>IFERROR(VLOOKUP(G3968,WholesaleExtract!B:L,11,FALSE),"")</f>
        <v/>
      </c>
      <c r="I3968" s="26" t="str">
        <f>IFERROR(VLOOKUP(G3968,WholesaleExtract!B:O,8,FALSE),"")</f>
        <v/>
      </c>
      <c r="J3968" s="26" t="str">
        <f>IFERROR(VLOOKUP(G3968,WholesaleExtract!B:O,14,FALSE),"")</f>
        <v/>
      </c>
      <c r="K3968" s="26" t="str">
        <f>IFERROR(VLOOKUP(G3968,WholesaleExtract!B:K,10,FALSE),"")</f>
        <v/>
      </c>
      <c r="L3968" s="47" t="str">
        <f>IFERROR(VLOOKUP(G3968,WholesaleExtract!B:L,11,FALSE),"")</f>
        <v/>
      </c>
      <c r="M3968" s="47" t="str">
        <f>IFERROR(VLOOKUP(G3968,WholesaleExtract!B:M,12,FALSE),"")</f>
        <v/>
      </c>
      <c r="R3968" s="19"/>
      <c r="S3968" s="19"/>
    </row>
    <row r="3969" spans="1:19" x14ac:dyDescent="0.35">
      <c r="A3969" s="26" t="s">
        <v>543</v>
      </c>
      <c r="B3969" s="26" t="s">
        <v>543</v>
      </c>
      <c r="C3969" s="26"/>
      <c r="D3969" s="26" t="s">
        <v>543</v>
      </c>
      <c r="E3969" s="26" t="str">
        <f>IFERROR(VLOOKUP(G3969,WholesaleExtract!B:J,9,FALSE),"")</f>
        <v/>
      </c>
      <c r="F3969" s="26" t="str">
        <f>IFERROR(VLOOKUP(G3969,WholesaleExtract!B:J,6,FALSE),"")</f>
        <v/>
      </c>
      <c r="H3969" s="47" t="str">
        <f>IFERROR(VLOOKUP(G3969,WholesaleExtract!B:L,11,FALSE),"")</f>
        <v/>
      </c>
      <c r="I3969" s="26" t="str">
        <f>IFERROR(VLOOKUP(G3969,WholesaleExtract!B:O,8,FALSE),"")</f>
        <v/>
      </c>
      <c r="J3969" s="26" t="str">
        <f>IFERROR(VLOOKUP(G3969,WholesaleExtract!B:O,14,FALSE),"")</f>
        <v/>
      </c>
      <c r="K3969" s="26" t="str">
        <f>IFERROR(VLOOKUP(G3969,WholesaleExtract!B:K,10,FALSE),"")</f>
        <v/>
      </c>
      <c r="L3969" s="47" t="str">
        <f>IFERROR(VLOOKUP(G3969,WholesaleExtract!B:L,11,FALSE),"")</f>
        <v/>
      </c>
      <c r="M3969" s="47" t="str">
        <f>IFERROR(VLOOKUP(G3969,WholesaleExtract!B:M,12,FALSE),"")</f>
        <v/>
      </c>
      <c r="R3969" s="19"/>
      <c r="S3969" s="19"/>
    </row>
    <row r="3970" spans="1:19" x14ac:dyDescent="0.35">
      <c r="A3970" s="26" t="s">
        <v>543</v>
      </c>
      <c r="B3970" s="26" t="s">
        <v>543</v>
      </c>
      <c r="C3970" s="26"/>
      <c r="D3970" s="26" t="s">
        <v>543</v>
      </c>
      <c r="E3970" s="26" t="str">
        <f>IFERROR(VLOOKUP(G3970,WholesaleExtract!B:J,9,FALSE),"")</f>
        <v/>
      </c>
      <c r="F3970" s="26" t="str">
        <f>IFERROR(VLOOKUP(G3970,WholesaleExtract!B:J,6,FALSE),"")</f>
        <v/>
      </c>
      <c r="H3970" s="47" t="str">
        <f>IFERROR(VLOOKUP(G3970,WholesaleExtract!B:L,11,FALSE),"")</f>
        <v/>
      </c>
      <c r="I3970" s="26" t="str">
        <f>IFERROR(VLOOKUP(G3970,WholesaleExtract!B:O,8,FALSE),"")</f>
        <v/>
      </c>
      <c r="J3970" s="26" t="str">
        <f>IFERROR(VLOOKUP(G3970,WholesaleExtract!B:O,14,FALSE),"")</f>
        <v/>
      </c>
      <c r="K3970" s="26" t="str">
        <f>IFERROR(VLOOKUP(G3970,WholesaleExtract!B:K,10,FALSE),"")</f>
        <v/>
      </c>
      <c r="L3970" s="47" t="str">
        <f>IFERROR(VLOOKUP(G3970,WholesaleExtract!B:L,11,FALSE),"")</f>
        <v/>
      </c>
      <c r="M3970" s="47" t="str">
        <f>IFERROR(VLOOKUP(G3970,WholesaleExtract!B:M,12,FALSE),"")</f>
        <v/>
      </c>
      <c r="R3970" s="19"/>
      <c r="S3970" s="19"/>
    </row>
    <row r="3971" spans="1:19" x14ac:dyDescent="0.35">
      <c r="A3971" s="26" t="s">
        <v>543</v>
      </c>
      <c r="B3971" s="26" t="s">
        <v>543</v>
      </c>
      <c r="C3971" s="26"/>
      <c r="D3971" s="26" t="s">
        <v>543</v>
      </c>
      <c r="E3971" s="26" t="str">
        <f>IFERROR(VLOOKUP(G3971,WholesaleExtract!B:J,9,FALSE),"")</f>
        <v/>
      </c>
      <c r="F3971" s="26" t="str">
        <f>IFERROR(VLOOKUP(G3971,WholesaleExtract!B:J,6,FALSE),"")</f>
        <v/>
      </c>
      <c r="H3971" s="47" t="str">
        <f>IFERROR(VLOOKUP(G3971,WholesaleExtract!B:L,11,FALSE),"")</f>
        <v/>
      </c>
      <c r="I3971" s="26" t="str">
        <f>IFERROR(VLOOKUP(G3971,WholesaleExtract!B:O,8,FALSE),"")</f>
        <v/>
      </c>
      <c r="J3971" s="26" t="str">
        <f>IFERROR(VLOOKUP(G3971,WholesaleExtract!B:O,14,FALSE),"")</f>
        <v/>
      </c>
      <c r="K3971" s="26" t="str">
        <f>IFERROR(VLOOKUP(G3971,WholesaleExtract!B:K,10,FALSE),"")</f>
        <v/>
      </c>
      <c r="L3971" s="47" t="str">
        <f>IFERROR(VLOOKUP(G3971,WholesaleExtract!B:L,11,FALSE),"")</f>
        <v/>
      </c>
      <c r="M3971" s="47" t="str">
        <f>IFERROR(VLOOKUP(G3971,WholesaleExtract!B:M,12,FALSE),"")</f>
        <v/>
      </c>
      <c r="R3971" s="19"/>
      <c r="S3971" s="19"/>
    </row>
    <row r="3972" spans="1:19" x14ac:dyDescent="0.35">
      <c r="A3972" s="26" t="s">
        <v>543</v>
      </c>
      <c r="B3972" s="26" t="s">
        <v>543</v>
      </c>
      <c r="C3972" s="26"/>
      <c r="D3972" s="26" t="s">
        <v>543</v>
      </c>
      <c r="E3972" s="26" t="str">
        <f>IFERROR(VLOOKUP(G3972,WholesaleExtract!B:J,9,FALSE),"")</f>
        <v/>
      </c>
      <c r="F3972" s="26" t="str">
        <f>IFERROR(VLOOKUP(G3972,WholesaleExtract!B:J,6,FALSE),"")</f>
        <v/>
      </c>
      <c r="H3972" s="47" t="str">
        <f>IFERROR(VLOOKUP(G3972,WholesaleExtract!B:L,11,FALSE),"")</f>
        <v/>
      </c>
      <c r="I3972" s="26" t="str">
        <f>IFERROR(VLOOKUP(G3972,WholesaleExtract!B:O,8,FALSE),"")</f>
        <v/>
      </c>
      <c r="J3972" s="26" t="str">
        <f>IFERROR(VLOOKUP(G3972,WholesaleExtract!B:O,14,FALSE),"")</f>
        <v/>
      </c>
      <c r="K3972" s="26" t="str">
        <f>IFERROR(VLOOKUP(G3972,WholesaleExtract!B:K,10,FALSE),"")</f>
        <v/>
      </c>
      <c r="L3972" s="47" t="str">
        <f>IFERROR(VLOOKUP(G3972,WholesaleExtract!B:L,11,FALSE),"")</f>
        <v/>
      </c>
      <c r="M3972" s="47" t="str">
        <f>IFERROR(VLOOKUP(G3972,WholesaleExtract!B:M,12,FALSE),"")</f>
        <v/>
      </c>
      <c r="R3972" s="19"/>
      <c r="S3972" s="19"/>
    </row>
    <row r="3973" spans="1:19" x14ac:dyDescent="0.35">
      <c r="A3973" s="26" t="s">
        <v>543</v>
      </c>
      <c r="B3973" s="26" t="s">
        <v>543</v>
      </c>
      <c r="C3973" s="26"/>
      <c r="D3973" s="26" t="s">
        <v>543</v>
      </c>
      <c r="E3973" s="26" t="str">
        <f>IFERROR(VLOOKUP(G3973,WholesaleExtract!B:J,9,FALSE),"")</f>
        <v/>
      </c>
      <c r="F3973" s="26" t="str">
        <f>IFERROR(VLOOKUP(G3973,WholesaleExtract!B:J,6,FALSE),"")</f>
        <v/>
      </c>
      <c r="H3973" s="47" t="str">
        <f>IFERROR(VLOOKUP(G3973,WholesaleExtract!B:L,11,FALSE),"")</f>
        <v/>
      </c>
      <c r="I3973" s="26" t="str">
        <f>IFERROR(VLOOKUP(G3973,WholesaleExtract!B:O,8,FALSE),"")</f>
        <v/>
      </c>
      <c r="J3973" s="26" t="str">
        <f>IFERROR(VLOOKUP(G3973,WholesaleExtract!B:O,14,FALSE),"")</f>
        <v/>
      </c>
      <c r="K3973" s="26" t="str">
        <f>IFERROR(VLOOKUP(G3973,WholesaleExtract!B:K,10,FALSE),"")</f>
        <v/>
      </c>
      <c r="L3973" s="47" t="str">
        <f>IFERROR(VLOOKUP(G3973,WholesaleExtract!B:L,11,FALSE),"")</f>
        <v/>
      </c>
      <c r="M3973" s="47" t="str">
        <f>IFERROR(VLOOKUP(G3973,WholesaleExtract!B:M,12,FALSE),"")</f>
        <v/>
      </c>
      <c r="R3973" s="19"/>
      <c r="S3973" s="19"/>
    </row>
    <row r="3974" spans="1:19" x14ac:dyDescent="0.35">
      <c r="A3974" s="26" t="s">
        <v>543</v>
      </c>
      <c r="B3974" s="26" t="s">
        <v>543</v>
      </c>
      <c r="C3974" s="26"/>
      <c r="D3974" s="26" t="s">
        <v>543</v>
      </c>
      <c r="E3974" s="26" t="str">
        <f>IFERROR(VLOOKUP(G3974,WholesaleExtract!B:J,9,FALSE),"")</f>
        <v/>
      </c>
      <c r="F3974" s="26" t="str">
        <f>IFERROR(VLOOKUP(G3974,WholesaleExtract!B:J,6,FALSE),"")</f>
        <v/>
      </c>
      <c r="H3974" s="47" t="str">
        <f>IFERROR(VLOOKUP(G3974,WholesaleExtract!B:L,11,FALSE),"")</f>
        <v/>
      </c>
      <c r="I3974" s="26" t="str">
        <f>IFERROR(VLOOKUP(G3974,WholesaleExtract!B:O,8,FALSE),"")</f>
        <v/>
      </c>
      <c r="J3974" s="26" t="str">
        <f>IFERROR(VLOOKUP(G3974,WholesaleExtract!B:O,14,FALSE),"")</f>
        <v/>
      </c>
      <c r="K3974" s="26" t="str">
        <f>IFERROR(VLOOKUP(G3974,WholesaleExtract!B:K,10,FALSE),"")</f>
        <v/>
      </c>
      <c r="L3974" s="47" t="str">
        <f>IFERROR(VLOOKUP(G3974,WholesaleExtract!B:L,11,FALSE),"")</f>
        <v/>
      </c>
      <c r="M3974" s="47" t="str">
        <f>IFERROR(VLOOKUP(G3974,WholesaleExtract!B:M,12,FALSE),"")</f>
        <v/>
      </c>
      <c r="R3974" s="19"/>
      <c r="S3974" s="19"/>
    </row>
    <row r="3975" spans="1:19" x14ac:dyDescent="0.35">
      <c r="A3975" s="26" t="s">
        <v>543</v>
      </c>
      <c r="B3975" s="26" t="s">
        <v>543</v>
      </c>
      <c r="C3975" s="26"/>
      <c r="D3975" s="26" t="s">
        <v>543</v>
      </c>
      <c r="E3975" s="26" t="str">
        <f>IFERROR(VLOOKUP(G3975,WholesaleExtract!B:J,9,FALSE),"")</f>
        <v/>
      </c>
      <c r="F3975" s="26" t="str">
        <f>IFERROR(VLOOKUP(G3975,WholesaleExtract!B:J,6,FALSE),"")</f>
        <v/>
      </c>
      <c r="H3975" s="47" t="str">
        <f>IFERROR(VLOOKUP(G3975,WholesaleExtract!B:L,11,FALSE),"")</f>
        <v/>
      </c>
      <c r="I3975" s="26" t="str">
        <f>IFERROR(VLOOKUP(G3975,WholesaleExtract!B:O,8,FALSE),"")</f>
        <v/>
      </c>
      <c r="J3975" s="26" t="str">
        <f>IFERROR(VLOOKUP(G3975,WholesaleExtract!B:O,14,FALSE),"")</f>
        <v/>
      </c>
      <c r="K3975" s="26" t="str">
        <f>IFERROR(VLOOKUP(G3975,WholesaleExtract!B:K,10,FALSE),"")</f>
        <v/>
      </c>
      <c r="L3975" s="47" t="str">
        <f>IFERROR(VLOOKUP(G3975,WholesaleExtract!B:L,11,FALSE),"")</f>
        <v/>
      </c>
      <c r="M3975" s="47" t="str">
        <f>IFERROR(VLOOKUP(G3975,WholesaleExtract!B:M,12,FALSE),"")</f>
        <v/>
      </c>
      <c r="R3975" s="19"/>
      <c r="S3975" s="19"/>
    </row>
    <row r="3976" spans="1:19" x14ac:dyDescent="0.35">
      <c r="A3976" s="26" t="s">
        <v>543</v>
      </c>
      <c r="B3976" s="26" t="s">
        <v>543</v>
      </c>
      <c r="C3976" s="26"/>
      <c r="D3976" s="26" t="s">
        <v>543</v>
      </c>
      <c r="E3976" s="26" t="str">
        <f>IFERROR(VLOOKUP(G3976,WholesaleExtract!B:J,9,FALSE),"")</f>
        <v/>
      </c>
      <c r="F3976" s="26" t="str">
        <f>IFERROR(VLOOKUP(G3976,WholesaleExtract!B:J,6,FALSE),"")</f>
        <v/>
      </c>
      <c r="H3976" s="47" t="str">
        <f>IFERROR(VLOOKUP(G3976,WholesaleExtract!B:L,11,FALSE),"")</f>
        <v/>
      </c>
      <c r="I3976" s="26" t="str">
        <f>IFERROR(VLOOKUP(G3976,WholesaleExtract!B:O,8,FALSE),"")</f>
        <v/>
      </c>
      <c r="J3976" s="26" t="str">
        <f>IFERROR(VLOOKUP(G3976,WholesaleExtract!B:O,14,FALSE),"")</f>
        <v/>
      </c>
      <c r="K3976" s="26" t="str">
        <f>IFERROR(VLOOKUP(G3976,WholesaleExtract!B:K,10,FALSE),"")</f>
        <v/>
      </c>
      <c r="L3976" s="47" t="str">
        <f>IFERROR(VLOOKUP(G3976,WholesaleExtract!B:L,11,FALSE),"")</f>
        <v/>
      </c>
      <c r="M3976" s="47" t="str">
        <f>IFERROR(VLOOKUP(G3976,WholesaleExtract!B:M,12,FALSE),"")</f>
        <v/>
      </c>
      <c r="R3976" s="19"/>
      <c r="S3976" s="19"/>
    </row>
    <row r="3977" spans="1:19" x14ac:dyDescent="0.35">
      <c r="A3977" s="26" t="s">
        <v>543</v>
      </c>
      <c r="B3977" s="26" t="s">
        <v>543</v>
      </c>
      <c r="C3977" s="26"/>
      <c r="D3977" s="26" t="s">
        <v>543</v>
      </c>
      <c r="E3977" s="26" t="str">
        <f>IFERROR(VLOOKUP(G3977,WholesaleExtract!B:J,9,FALSE),"")</f>
        <v/>
      </c>
      <c r="F3977" s="26" t="str">
        <f>IFERROR(VLOOKUP(G3977,WholesaleExtract!B:J,6,FALSE),"")</f>
        <v/>
      </c>
      <c r="H3977" s="47" t="str">
        <f>IFERROR(VLOOKUP(G3977,WholesaleExtract!B:L,11,FALSE),"")</f>
        <v/>
      </c>
      <c r="I3977" s="26" t="str">
        <f>IFERROR(VLOOKUP(G3977,WholesaleExtract!B:O,8,FALSE),"")</f>
        <v/>
      </c>
      <c r="J3977" s="26" t="str">
        <f>IFERROR(VLOOKUP(G3977,WholesaleExtract!B:O,14,FALSE),"")</f>
        <v/>
      </c>
      <c r="K3977" s="26" t="str">
        <f>IFERROR(VLOOKUP(G3977,WholesaleExtract!B:K,10,FALSE),"")</f>
        <v/>
      </c>
      <c r="L3977" s="47" t="str">
        <f>IFERROR(VLOOKUP(G3977,WholesaleExtract!B:L,11,FALSE),"")</f>
        <v/>
      </c>
      <c r="M3977" s="47" t="str">
        <f>IFERROR(VLOOKUP(G3977,WholesaleExtract!B:M,12,FALSE),"")</f>
        <v/>
      </c>
      <c r="R3977" s="19"/>
      <c r="S3977" s="19"/>
    </row>
    <row r="3978" spans="1:19" x14ac:dyDescent="0.35">
      <c r="A3978" s="26" t="s">
        <v>543</v>
      </c>
      <c r="B3978" s="26" t="s">
        <v>543</v>
      </c>
      <c r="C3978" s="26"/>
      <c r="D3978" s="26" t="s">
        <v>543</v>
      </c>
      <c r="E3978" s="26" t="str">
        <f>IFERROR(VLOOKUP(G3978,WholesaleExtract!B:J,9,FALSE),"")</f>
        <v/>
      </c>
      <c r="F3978" s="26" t="str">
        <f>IFERROR(VLOOKUP(G3978,WholesaleExtract!B:J,6,FALSE),"")</f>
        <v/>
      </c>
      <c r="H3978" s="47" t="str">
        <f>IFERROR(VLOOKUP(G3978,WholesaleExtract!B:L,11,FALSE),"")</f>
        <v/>
      </c>
      <c r="I3978" s="26" t="str">
        <f>IFERROR(VLOOKUP(G3978,WholesaleExtract!B:O,8,FALSE),"")</f>
        <v/>
      </c>
      <c r="J3978" s="26" t="str">
        <f>IFERROR(VLOOKUP(G3978,WholesaleExtract!B:O,14,FALSE),"")</f>
        <v/>
      </c>
      <c r="K3978" s="26" t="str">
        <f>IFERROR(VLOOKUP(G3978,WholesaleExtract!B:K,10,FALSE),"")</f>
        <v/>
      </c>
      <c r="L3978" s="47" t="str">
        <f>IFERROR(VLOOKUP(G3978,WholesaleExtract!B:L,11,FALSE),"")</f>
        <v/>
      </c>
      <c r="M3978" s="47" t="str">
        <f>IFERROR(VLOOKUP(G3978,WholesaleExtract!B:M,12,FALSE),"")</f>
        <v/>
      </c>
      <c r="R3978" s="19"/>
      <c r="S3978" s="19"/>
    </row>
    <row r="3979" spans="1:19" x14ac:dyDescent="0.35">
      <c r="A3979" s="26" t="s">
        <v>543</v>
      </c>
      <c r="B3979" s="26" t="s">
        <v>543</v>
      </c>
      <c r="C3979" s="26"/>
      <c r="D3979" s="26" t="s">
        <v>543</v>
      </c>
      <c r="E3979" s="26" t="str">
        <f>IFERROR(VLOOKUP(G3979,WholesaleExtract!B:J,9,FALSE),"")</f>
        <v/>
      </c>
      <c r="F3979" s="26" t="str">
        <f>IFERROR(VLOOKUP(G3979,WholesaleExtract!B:J,6,FALSE),"")</f>
        <v/>
      </c>
      <c r="H3979" s="47" t="str">
        <f>IFERROR(VLOOKUP(G3979,WholesaleExtract!B:L,11,FALSE),"")</f>
        <v/>
      </c>
      <c r="I3979" s="26" t="str">
        <f>IFERROR(VLOOKUP(G3979,WholesaleExtract!B:O,8,FALSE),"")</f>
        <v/>
      </c>
      <c r="J3979" s="26" t="str">
        <f>IFERROR(VLOOKUP(G3979,WholesaleExtract!B:O,14,FALSE),"")</f>
        <v/>
      </c>
      <c r="K3979" s="26" t="str">
        <f>IFERROR(VLOOKUP(G3979,WholesaleExtract!B:K,10,FALSE),"")</f>
        <v/>
      </c>
      <c r="L3979" s="47" t="str">
        <f>IFERROR(VLOOKUP(G3979,WholesaleExtract!B:L,11,FALSE),"")</f>
        <v/>
      </c>
      <c r="M3979" s="47" t="str">
        <f>IFERROR(VLOOKUP(G3979,WholesaleExtract!B:M,12,FALSE),"")</f>
        <v/>
      </c>
      <c r="R3979" s="19"/>
      <c r="S3979" s="19"/>
    </row>
    <row r="3980" spans="1:19" x14ac:dyDescent="0.35">
      <c r="A3980" s="26" t="s">
        <v>543</v>
      </c>
      <c r="B3980" s="26" t="s">
        <v>543</v>
      </c>
      <c r="C3980" s="26"/>
      <c r="D3980" s="26" t="s">
        <v>543</v>
      </c>
      <c r="E3980" s="26" t="str">
        <f>IFERROR(VLOOKUP(G3980,WholesaleExtract!B:J,9,FALSE),"")</f>
        <v/>
      </c>
      <c r="F3980" s="26" t="str">
        <f>IFERROR(VLOOKUP(G3980,WholesaleExtract!B:J,6,FALSE),"")</f>
        <v/>
      </c>
      <c r="H3980" s="47" t="str">
        <f>IFERROR(VLOOKUP(G3980,WholesaleExtract!B:L,11,FALSE),"")</f>
        <v/>
      </c>
      <c r="I3980" s="26" t="str">
        <f>IFERROR(VLOOKUP(G3980,WholesaleExtract!B:O,8,FALSE),"")</f>
        <v/>
      </c>
      <c r="J3980" s="26" t="str">
        <f>IFERROR(VLOOKUP(G3980,WholesaleExtract!B:O,14,FALSE),"")</f>
        <v/>
      </c>
      <c r="K3980" s="26" t="str">
        <f>IFERROR(VLOOKUP(G3980,WholesaleExtract!B:K,10,FALSE),"")</f>
        <v/>
      </c>
      <c r="L3980" s="47" t="str">
        <f>IFERROR(VLOOKUP(G3980,WholesaleExtract!B:L,11,FALSE),"")</f>
        <v/>
      </c>
      <c r="M3980" s="47" t="str">
        <f>IFERROR(VLOOKUP(G3980,WholesaleExtract!B:M,12,FALSE),"")</f>
        <v/>
      </c>
      <c r="R3980" s="19"/>
      <c r="S3980" s="19"/>
    </row>
    <row r="3981" spans="1:19" x14ac:dyDescent="0.35">
      <c r="A3981" s="26" t="s">
        <v>543</v>
      </c>
      <c r="B3981" s="26" t="s">
        <v>543</v>
      </c>
      <c r="C3981" s="26"/>
      <c r="D3981" s="26" t="s">
        <v>543</v>
      </c>
      <c r="E3981" s="26" t="str">
        <f>IFERROR(VLOOKUP(G3981,WholesaleExtract!B:J,9,FALSE),"")</f>
        <v/>
      </c>
      <c r="F3981" s="26" t="str">
        <f>IFERROR(VLOOKUP(G3981,WholesaleExtract!B:J,6,FALSE),"")</f>
        <v/>
      </c>
      <c r="H3981" s="47" t="str">
        <f>IFERROR(VLOOKUP(G3981,WholesaleExtract!B:L,11,FALSE),"")</f>
        <v/>
      </c>
      <c r="I3981" s="26" t="str">
        <f>IFERROR(VLOOKUP(G3981,WholesaleExtract!B:O,8,FALSE),"")</f>
        <v/>
      </c>
      <c r="J3981" s="26" t="str">
        <f>IFERROR(VLOOKUP(G3981,WholesaleExtract!B:O,14,FALSE),"")</f>
        <v/>
      </c>
      <c r="K3981" s="26" t="str">
        <f>IFERROR(VLOOKUP(G3981,WholesaleExtract!B:K,10,FALSE),"")</f>
        <v/>
      </c>
      <c r="L3981" s="47" t="str">
        <f>IFERROR(VLOOKUP(G3981,WholesaleExtract!B:L,11,FALSE),"")</f>
        <v/>
      </c>
      <c r="M3981" s="47" t="str">
        <f>IFERROR(VLOOKUP(G3981,WholesaleExtract!B:M,12,FALSE),"")</f>
        <v/>
      </c>
      <c r="R3981" s="19"/>
      <c r="S3981" s="19"/>
    </row>
    <row r="3982" spans="1:19" x14ac:dyDescent="0.35">
      <c r="A3982" s="26" t="s">
        <v>543</v>
      </c>
      <c r="B3982" s="26" t="s">
        <v>543</v>
      </c>
      <c r="C3982" s="26"/>
      <c r="D3982" s="26" t="s">
        <v>543</v>
      </c>
      <c r="E3982" s="26" t="str">
        <f>IFERROR(VLOOKUP(G3982,WholesaleExtract!B:J,9,FALSE),"")</f>
        <v/>
      </c>
      <c r="F3982" s="26" t="str">
        <f>IFERROR(VLOOKUP(G3982,WholesaleExtract!B:J,6,FALSE),"")</f>
        <v/>
      </c>
      <c r="H3982" s="47" t="str">
        <f>IFERROR(VLOOKUP(G3982,WholesaleExtract!B:L,11,FALSE),"")</f>
        <v/>
      </c>
      <c r="I3982" s="26" t="str">
        <f>IFERROR(VLOOKUP(G3982,WholesaleExtract!B:O,8,FALSE),"")</f>
        <v/>
      </c>
      <c r="J3982" s="26" t="str">
        <f>IFERROR(VLOOKUP(G3982,WholesaleExtract!B:O,14,FALSE),"")</f>
        <v/>
      </c>
      <c r="K3982" s="26" t="str">
        <f>IFERROR(VLOOKUP(G3982,WholesaleExtract!B:K,10,FALSE),"")</f>
        <v/>
      </c>
      <c r="L3982" s="47" t="str">
        <f>IFERROR(VLOOKUP(G3982,WholesaleExtract!B:L,11,FALSE),"")</f>
        <v/>
      </c>
      <c r="M3982" s="47" t="str">
        <f>IFERROR(VLOOKUP(G3982,WholesaleExtract!B:M,12,FALSE),"")</f>
        <v/>
      </c>
      <c r="R3982" s="19"/>
      <c r="S3982" s="19"/>
    </row>
    <row r="3983" spans="1:19" x14ac:dyDescent="0.35">
      <c r="A3983" s="26" t="s">
        <v>543</v>
      </c>
      <c r="B3983" s="26" t="s">
        <v>543</v>
      </c>
      <c r="C3983" s="26"/>
      <c r="D3983" s="26" t="s">
        <v>543</v>
      </c>
      <c r="E3983" s="26" t="str">
        <f>IFERROR(VLOOKUP(G3983,WholesaleExtract!B:J,9,FALSE),"")</f>
        <v/>
      </c>
      <c r="F3983" s="26" t="str">
        <f>IFERROR(VLOOKUP(G3983,WholesaleExtract!B:J,6,FALSE),"")</f>
        <v/>
      </c>
      <c r="H3983" s="47" t="str">
        <f>IFERROR(VLOOKUP(G3983,WholesaleExtract!B:L,11,FALSE),"")</f>
        <v/>
      </c>
      <c r="I3983" s="26" t="str">
        <f>IFERROR(VLOOKUP(G3983,WholesaleExtract!B:O,8,FALSE),"")</f>
        <v/>
      </c>
      <c r="J3983" s="26" t="str">
        <f>IFERROR(VLOOKUP(G3983,WholesaleExtract!B:O,14,FALSE),"")</f>
        <v/>
      </c>
      <c r="K3983" s="26" t="str">
        <f>IFERROR(VLOOKUP(G3983,WholesaleExtract!B:K,10,FALSE),"")</f>
        <v/>
      </c>
      <c r="L3983" s="47" t="str">
        <f>IFERROR(VLOOKUP(G3983,WholesaleExtract!B:L,11,FALSE),"")</f>
        <v/>
      </c>
      <c r="M3983" s="47" t="str">
        <f>IFERROR(VLOOKUP(G3983,WholesaleExtract!B:M,12,FALSE),"")</f>
        <v/>
      </c>
      <c r="R3983" s="19"/>
      <c r="S3983" s="19"/>
    </row>
    <row r="3984" spans="1:19" x14ac:dyDescent="0.35">
      <c r="A3984" s="26" t="s">
        <v>543</v>
      </c>
      <c r="B3984" s="26" t="s">
        <v>543</v>
      </c>
      <c r="C3984" s="26"/>
      <c r="D3984" s="26" t="s">
        <v>543</v>
      </c>
      <c r="E3984" s="26" t="str">
        <f>IFERROR(VLOOKUP(G3984,WholesaleExtract!B:J,9,FALSE),"")</f>
        <v/>
      </c>
      <c r="F3984" s="26" t="str">
        <f>IFERROR(VLOOKUP(G3984,WholesaleExtract!B:J,6,FALSE),"")</f>
        <v/>
      </c>
      <c r="H3984" s="47" t="str">
        <f>IFERROR(VLOOKUP(G3984,WholesaleExtract!B:L,11,FALSE),"")</f>
        <v/>
      </c>
      <c r="I3984" s="26" t="str">
        <f>IFERROR(VLOOKUP(G3984,WholesaleExtract!B:O,8,FALSE),"")</f>
        <v/>
      </c>
      <c r="J3984" s="26" t="str">
        <f>IFERROR(VLOOKUP(G3984,WholesaleExtract!B:O,14,FALSE),"")</f>
        <v/>
      </c>
      <c r="K3984" s="26" t="str">
        <f>IFERROR(VLOOKUP(G3984,WholesaleExtract!B:K,10,FALSE),"")</f>
        <v/>
      </c>
      <c r="L3984" s="47" t="str">
        <f>IFERROR(VLOOKUP(G3984,WholesaleExtract!B:L,11,FALSE),"")</f>
        <v/>
      </c>
      <c r="M3984" s="47" t="str">
        <f>IFERROR(VLOOKUP(G3984,WholesaleExtract!B:M,12,FALSE),"")</f>
        <v/>
      </c>
      <c r="R3984" s="19"/>
      <c r="S3984" s="19"/>
    </row>
    <row r="3985" spans="1:19" x14ac:dyDescent="0.35">
      <c r="A3985" s="26" t="s">
        <v>543</v>
      </c>
      <c r="B3985" s="26" t="s">
        <v>543</v>
      </c>
      <c r="C3985" s="26"/>
      <c r="D3985" s="26" t="s">
        <v>543</v>
      </c>
      <c r="E3985" s="26" t="str">
        <f>IFERROR(VLOOKUP(G3985,WholesaleExtract!B:J,9,FALSE),"")</f>
        <v/>
      </c>
      <c r="F3985" s="26" t="str">
        <f>IFERROR(VLOOKUP(G3985,WholesaleExtract!B:J,6,FALSE),"")</f>
        <v/>
      </c>
      <c r="H3985" s="47" t="str">
        <f>IFERROR(VLOOKUP(G3985,WholesaleExtract!B:L,11,FALSE),"")</f>
        <v/>
      </c>
      <c r="I3985" s="26" t="str">
        <f>IFERROR(VLOOKUP(G3985,WholesaleExtract!B:O,8,FALSE),"")</f>
        <v/>
      </c>
      <c r="J3985" s="26" t="str">
        <f>IFERROR(VLOOKUP(G3985,WholesaleExtract!B:O,14,FALSE),"")</f>
        <v/>
      </c>
      <c r="K3985" s="26" t="str">
        <f>IFERROR(VLOOKUP(G3985,WholesaleExtract!B:K,10,FALSE),"")</f>
        <v/>
      </c>
      <c r="L3985" s="47" t="str">
        <f>IFERROR(VLOOKUP(G3985,WholesaleExtract!B:L,11,FALSE),"")</f>
        <v/>
      </c>
      <c r="M3985" s="47" t="str">
        <f>IFERROR(VLOOKUP(G3985,WholesaleExtract!B:M,12,FALSE),"")</f>
        <v/>
      </c>
      <c r="R3985" s="19"/>
      <c r="S3985" s="19"/>
    </row>
    <row r="3986" spans="1:19" x14ac:dyDescent="0.35">
      <c r="A3986" s="26" t="s">
        <v>543</v>
      </c>
      <c r="B3986" s="26" t="s">
        <v>543</v>
      </c>
      <c r="C3986" s="26"/>
      <c r="D3986" s="26" t="s">
        <v>543</v>
      </c>
      <c r="E3986" s="26" t="str">
        <f>IFERROR(VLOOKUP(G3986,WholesaleExtract!B:J,9,FALSE),"")</f>
        <v/>
      </c>
      <c r="F3986" s="26" t="str">
        <f>IFERROR(VLOOKUP(G3986,WholesaleExtract!B:J,6,FALSE),"")</f>
        <v/>
      </c>
      <c r="H3986" s="47" t="str">
        <f>IFERROR(VLOOKUP(G3986,WholesaleExtract!B:L,11,FALSE),"")</f>
        <v/>
      </c>
      <c r="I3986" s="26" t="str">
        <f>IFERROR(VLOOKUP(G3986,WholesaleExtract!B:O,8,FALSE),"")</f>
        <v/>
      </c>
      <c r="J3986" s="26" t="str">
        <f>IFERROR(VLOOKUP(G3986,WholesaleExtract!B:O,14,FALSE),"")</f>
        <v/>
      </c>
      <c r="K3986" s="26" t="str">
        <f>IFERROR(VLOOKUP(G3986,WholesaleExtract!B:K,10,FALSE),"")</f>
        <v/>
      </c>
      <c r="L3986" s="47" t="str">
        <f>IFERROR(VLOOKUP(G3986,WholesaleExtract!B:L,11,FALSE),"")</f>
        <v/>
      </c>
      <c r="M3986" s="47" t="str">
        <f>IFERROR(VLOOKUP(G3986,WholesaleExtract!B:M,12,FALSE),"")</f>
        <v/>
      </c>
      <c r="R3986" s="19"/>
      <c r="S3986" s="19"/>
    </row>
    <row r="3987" spans="1:19" x14ac:dyDescent="0.35">
      <c r="A3987" s="26" t="s">
        <v>543</v>
      </c>
      <c r="B3987" s="26" t="s">
        <v>543</v>
      </c>
      <c r="C3987" s="26"/>
      <c r="D3987" s="26" t="s">
        <v>543</v>
      </c>
      <c r="E3987" s="26" t="str">
        <f>IFERROR(VLOOKUP(G3987,WholesaleExtract!B:J,9,FALSE),"")</f>
        <v/>
      </c>
      <c r="F3987" s="26" t="str">
        <f>IFERROR(VLOOKUP(G3987,WholesaleExtract!B:J,6,FALSE),"")</f>
        <v/>
      </c>
      <c r="H3987" s="47" t="str">
        <f>IFERROR(VLOOKUP(G3987,WholesaleExtract!B:L,11,FALSE),"")</f>
        <v/>
      </c>
      <c r="I3987" s="26" t="str">
        <f>IFERROR(VLOOKUP(G3987,WholesaleExtract!B:O,8,FALSE),"")</f>
        <v/>
      </c>
      <c r="J3987" s="26" t="str">
        <f>IFERROR(VLOOKUP(G3987,WholesaleExtract!B:O,14,FALSE),"")</f>
        <v/>
      </c>
      <c r="K3987" s="26" t="str">
        <f>IFERROR(VLOOKUP(G3987,WholesaleExtract!B:K,10,FALSE),"")</f>
        <v/>
      </c>
      <c r="L3987" s="47" t="str">
        <f>IFERROR(VLOOKUP(G3987,WholesaleExtract!B:L,11,FALSE),"")</f>
        <v/>
      </c>
      <c r="M3987" s="47" t="str">
        <f>IFERROR(VLOOKUP(G3987,WholesaleExtract!B:M,12,FALSE),"")</f>
        <v/>
      </c>
      <c r="R3987" s="19"/>
      <c r="S3987" s="19"/>
    </row>
    <row r="3988" spans="1:19" x14ac:dyDescent="0.35">
      <c r="A3988" s="26" t="s">
        <v>543</v>
      </c>
      <c r="B3988" s="26" t="s">
        <v>543</v>
      </c>
      <c r="C3988" s="26"/>
      <c r="D3988" s="26" t="s">
        <v>543</v>
      </c>
      <c r="E3988" s="26" t="str">
        <f>IFERROR(VLOOKUP(G3988,WholesaleExtract!B:J,9,FALSE),"")</f>
        <v/>
      </c>
      <c r="F3988" s="26" t="str">
        <f>IFERROR(VLOOKUP(G3988,WholesaleExtract!B:J,6,FALSE),"")</f>
        <v/>
      </c>
      <c r="H3988" s="47" t="str">
        <f>IFERROR(VLOOKUP(G3988,WholesaleExtract!B:L,11,FALSE),"")</f>
        <v/>
      </c>
      <c r="I3988" s="26" t="str">
        <f>IFERROR(VLOOKUP(G3988,WholesaleExtract!B:O,8,FALSE),"")</f>
        <v/>
      </c>
      <c r="J3988" s="26" t="str">
        <f>IFERROR(VLOOKUP(G3988,WholesaleExtract!B:O,14,FALSE),"")</f>
        <v/>
      </c>
      <c r="K3988" s="26" t="str">
        <f>IFERROR(VLOOKUP(G3988,WholesaleExtract!B:K,10,FALSE),"")</f>
        <v/>
      </c>
      <c r="L3988" s="47" t="str">
        <f>IFERROR(VLOOKUP(G3988,WholesaleExtract!B:L,11,FALSE),"")</f>
        <v/>
      </c>
      <c r="M3988" s="47" t="str">
        <f>IFERROR(VLOOKUP(G3988,WholesaleExtract!B:M,12,FALSE),"")</f>
        <v/>
      </c>
      <c r="R3988" s="19"/>
      <c r="S3988" s="19"/>
    </row>
    <row r="3989" spans="1:19" x14ac:dyDescent="0.35">
      <c r="A3989" s="26" t="s">
        <v>543</v>
      </c>
      <c r="B3989" s="26" t="s">
        <v>543</v>
      </c>
      <c r="C3989" s="26"/>
      <c r="D3989" s="26" t="s">
        <v>543</v>
      </c>
      <c r="E3989" s="26" t="str">
        <f>IFERROR(VLOOKUP(G3989,WholesaleExtract!B:J,9,FALSE),"")</f>
        <v/>
      </c>
      <c r="F3989" s="26" t="str">
        <f>IFERROR(VLOOKUP(G3989,WholesaleExtract!B:J,6,FALSE),"")</f>
        <v/>
      </c>
      <c r="H3989" s="47" t="str">
        <f>IFERROR(VLOOKUP(G3989,WholesaleExtract!B:L,11,FALSE),"")</f>
        <v/>
      </c>
      <c r="I3989" s="26" t="str">
        <f>IFERROR(VLOOKUP(G3989,WholesaleExtract!B:O,8,FALSE),"")</f>
        <v/>
      </c>
      <c r="J3989" s="26" t="str">
        <f>IFERROR(VLOOKUP(G3989,WholesaleExtract!B:O,14,FALSE),"")</f>
        <v/>
      </c>
      <c r="K3989" s="26" t="str">
        <f>IFERROR(VLOOKUP(G3989,WholesaleExtract!B:K,10,FALSE),"")</f>
        <v/>
      </c>
      <c r="L3989" s="47" t="str">
        <f>IFERROR(VLOOKUP(G3989,WholesaleExtract!B:L,11,FALSE),"")</f>
        <v/>
      </c>
      <c r="M3989" s="47" t="str">
        <f>IFERROR(VLOOKUP(G3989,WholesaleExtract!B:M,12,FALSE),"")</f>
        <v/>
      </c>
      <c r="R3989" s="19"/>
      <c r="S3989" s="19"/>
    </row>
    <row r="3990" spans="1:19" x14ac:dyDescent="0.35">
      <c r="A3990" s="26" t="s">
        <v>543</v>
      </c>
      <c r="B3990" s="26" t="s">
        <v>543</v>
      </c>
      <c r="C3990" s="26"/>
      <c r="D3990" s="26" t="s">
        <v>543</v>
      </c>
      <c r="E3990" s="26" t="str">
        <f>IFERROR(VLOOKUP(G3990,WholesaleExtract!B:J,9,FALSE),"")</f>
        <v/>
      </c>
      <c r="F3990" s="26" t="str">
        <f>IFERROR(VLOOKUP(G3990,WholesaleExtract!B:J,6,FALSE),"")</f>
        <v/>
      </c>
      <c r="H3990" s="47" t="str">
        <f>IFERROR(VLOOKUP(G3990,WholesaleExtract!B:L,11,FALSE),"")</f>
        <v/>
      </c>
      <c r="I3990" s="26" t="str">
        <f>IFERROR(VLOOKUP(G3990,WholesaleExtract!B:O,8,FALSE),"")</f>
        <v/>
      </c>
      <c r="J3990" s="26" t="str">
        <f>IFERROR(VLOOKUP(G3990,WholesaleExtract!B:O,14,FALSE),"")</f>
        <v/>
      </c>
      <c r="K3990" s="26" t="str">
        <f>IFERROR(VLOOKUP(G3990,WholesaleExtract!B:K,10,FALSE),"")</f>
        <v/>
      </c>
      <c r="L3990" s="47" t="str">
        <f>IFERROR(VLOOKUP(G3990,WholesaleExtract!B:L,11,FALSE),"")</f>
        <v/>
      </c>
      <c r="M3990" s="47" t="str">
        <f>IFERROR(VLOOKUP(G3990,WholesaleExtract!B:M,12,FALSE),"")</f>
        <v/>
      </c>
      <c r="R3990" s="19"/>
      <c r="S3990" s="19"/>
    </row>
    <row r="3991" spans="1:19" x14ac:dyDescent="0.35">
      <c r="A3991" s="26" t="s">
        <v>543</v>
      </c>
      <c r="B3991" s="26" t="s">
        <v>543</v>
      </c>
      <c r="C3991" s="26"/>
      <c r="D3991" s="26" t="s">
        <v>543</v>
      </c>
      <c r="E3991" s="26" t="str">
        <f>IFERROR(VLOOKUP(G3991,WholesaleExtract!B:J,9,FALSE),"")</f>
        <v/>
      </c>
      <c r="F3991" s="26" t="str">
        <f>IFERROR(VLOOKUP(G3991,WholesaleExtract!B:J,6,FALSE),"")</f>
        <v/>
      </c>
      <c r="H3991" s="47" t="str">
        <f>IFERROR(VLOOKUP(G3991,WholesaleExtract!B:L,11,FALSE),"")</f>
        <v/>
      </c>
      <c r="I3991" s="26" t="str">
        <f>IFERROR(VLOOKUP(G3991,WholesaleExtract!B:O,8,FALSE),"")</f>
        <v/>
      </c>
      <c r="J3991" s="26" t="str">
        <f>IFERROR(VLOOKUP(G3991,WholesaleExtract!B:O,14,FALSE),"")</f>
        <v/>
      </c>
      <c r="K3991" s="26" t="str">
        <f>IFERROR(VLOOKUP(G3991,WholesaleExtract!B:K,10,FALSE),"")</f>
        <v/>
      </c>
      <c r="L3991" s="47" t="str">
        <f>IFERROR(VLOOKUP(G3991,WholesaleExtract!B:L,11,FALSE),"")</f>
        <v/>
      </c>
      <c r="M3991" s="47" t="str">
        <f>IFERROR(VLOOKUP(G3991,WholesaleExtract!B:M,12,FALSE),"")</f>
        <v/>
      </c>
      <c r="R3991" s="19"/>
      <c r="S3991" s="19"/>
    </row>
    <row r="3992" spans="1:19" x14ac:dyDescent="0.35">
      <c r="A3992" s="26" t="s">
        <v>543</v>
      </c>
      <c r="B3992" s="26" t="s">
        <v>543</v>
      </c>
      <c r="C3992" s="26"/>
      <c r="D3992" s="26" t="s">
        <v>543</v>
      </c>
      <c r="E3992" s="26" t="str">
        <f>IFERROR(VLOOKUP(G3992,WholesaleExtract!B:J,9,FALSE),"")</f>
        <v/>
      </c>
      <c r="F3992" s="26" t="str">
        <f>IFERROR(VLOOKUP(G3992,WholesaleExtract!B:J,6,FALSE),"")</f>
        <v/>
      </c>
      <c r="H3992" s="47" t="str">
        <f>IFERROR(VLOOKUP(G3992,WholesaleExtract!B:L,11,FALSE),"")</f>
        <v/>
      </c>
      <c r="I3992" s="26" t="str">
        <f>IFERROR(VLOOKUP(G3992,WholesaleExtract!B:O,8,FALSE),"")</f>
        <v/>
      </c>
      <c r="J3992" s="26" t="str">
        <f>IFERROR(VLOOKUP(G3992,WholesaleExtract!B:O,14,FALSE),"")</f>
        <v/>
      </c>
      <c r="K3992" s="26" t="str">
        <f>IFERROR(VLOOKUP(G3992,WholesaleExtract!B:K,10,FALSE),"")</f>
        <v/>
      </c>
      <c r="L3992" s="47" t="str">
        <f>IFERROR(VLOOKUP(G3992,WholesaleExtract!B:L,11,FALSE),"")</f>
        <v/>
      </c>
      <c r="M3992" s="47" t="str">
        <f>IFERROR(VLOOKUP(G3992,WholesaleExtract!B:M,12,FALSE),"")</f>
        <v/>
      </c>
      <c r="R3992" s="19"/>
      <c r="S3992" s="19"/>
    </row>
    <row r="3993" spans="1:19" x14ac:dyDescent="0.35">
      <c r="A3993" s="26" t="s">
        <v>543</v>
      </c>
      <c r="B3993" s="26" t="s">
        <v>543</v>
      </c>
      <c r="C3993" s="26"/>
      <c r="D3993" s="26" t="s">
        <v>543</v>
      </c>
      <c r="E3993" s="26" t="str">
        <f>IFERROR(VLOOKUP(G3993,WholesaleExtract!B:J,9,FALSE),"")</f>
        <v/>
      </c>
      <c r="F3993" s="26" t="str">
        <f>IFERROR(VLOOKUP(G3993,WholesaleExtract!B:J,6,FALSE),"")</f>
        <v/>
      </c>
      <c r="H3993" s="47" t="str">
        <f>IFERROR(VLOOKUP(G3993,WholesaleExtract!B:L,11,FALSE),"")</f>
        <v/>
      </c>
      <c r="I3993" s="26" t="str">
        <f>IFERROR(VLOOKUP(G3993,WholesaleExtract!B:O,8,FALSE),"")</f>
        <v/>
      </c>
      <c r="J3993" s="26" t="str">
        <f>IFERROR(VLOOKUP(G3993,WholesaleExtract!B:O,14,FALSE),"")</f>
        <v/>
      </c>
      <c r="K3993" s="26" t="str">
        <f>IFERROR(VLOOKUP(G3993,WholesaleExtract!B:K,10,FALSE),"")</f>
        <v/>
      </c>
      <c r="L3993" s="47" t="str">
        <f>IFERROR(VLOOKUP(G3993,WholesaleExtract!B:L,11,FALSE),"")</f>
        <v/>
      </c>
      <c r="M3993" s="47" t="str">
        <f>IFERROR(VLOOKUP(G3993,WholesaleExtract!B:M,12,FALSE),"")</f>
        <v/>
      </c>
      <c r="R3993" s="19"/>
      <c r="S3993" s="19"/>
    </row>
    <row r="3994" spans="1:19" x14ac:dyDescent="0.35">
      <c r="A3994" s="26" t="s">
        <v>543</v>
      </c>
      <c r="B3994" s="26" t="s">
        <v>543</v>
      </c>
      <c r="C3994" s="26"/>
      <c r="D3994" s="26" t="s">
        <v>543</v>
      </c>
      <c r="E3994" s="26" t="str">
        <f>IFERROR(VLOOKUP(G3994,WholesaleExtract!B:J,9,FALSE),"")</f>
        <v/>
      </c>
      <c r="F3994" s="26" t="str">
        <f>IFERROR(VLOOKUP(G3994,WholesaleExtract!B:J,6,FALSE),"")</f>
        <v/>
      </c>
      <c r="H3994" s="47" t="str">
        <f>IFERROR(VLOOKUP(G3994,WholesaleExtract!B:L,11,FALSE),"")</f>
        <v/>
      </c>
      <c r="I3994" s="26" t="str">
        <f>IFERROR(VLOOKUP(G3994,WholesaleExtract!B:O,8,FALSE),"")</f>
        <v/>
      </c>
      <c r="J3994" s="26" t="str">
        <f>IFERROR(VLOOKUP(G3994,WholesaleExtract!B:O,14,FALSE),"")</f>
        <v/>
      </c>
      <c r="K3994" s="26" t="str">
        <f>IFERROR(VLOOKUP(G3994,WholesaleExtract!B:K,10,FALSE),"")</f>
        <v/>
      </c>
      <c r="L3994" s="47" t="str">
        <f>IFERROR(VLOOKUP(G3994,WholesaleExtract!B:L,11,FALSE),"")</f>
        <v/>
      </c>
      <c r="M3994" s="47" t="str">
        <f>IFERROR(VLOOKUP(G3994,WholesaleExtract!B:M,12,FALSE),"")</f>
        <v/>
      </c>
      <c r="R3994" s="19"/>
      <c r="S3994" s="19"/>
    </row>
    <row r="3995" spans="1:19" x14ac:dyDescent="0.35">
      <c r="A3995" s="26" t="s">
        <v>543</v>
      </c>
      <c r="B3995" s="26" t="s">
        <v>543</v>
      </c>
      <c r="C3995" s="26"/>
      <c r="D3995" s="26" t="s">
        <v>543</v>
      </c>
      <c r="E3995" s="26" t="str">
        <f>IFERROR(VLOOKUP(G3995,WholesaleExtract!B:J,9,FALSE),"")</f>
        <v/>
      </c>
      <c r="F3995" s="26" t="str">
        <f>IFERROR(VLOOKUP(G3995,WholesaleExtract!B:J,6,FALSE),"")</f>
        <v/>
      </c>
      <c r="H3995" s="47" t="str">
        <f>IFERROR(VLOOKUP(G3995,WholesaleExtract!B:L,11,FALSE),"")</f>
        <v/>
      </c>
      <c r="I3995" s="26" t="str">
        <f>IFERROR(VLOOKUP(G3995,WholesaleExtract!B:O,8,FALSE),"")</f>
        <v/>
      </c>
      <c r="J3995" s="26" t="str">
        <f>IFERROR(VLOOKUP(G3995,WholesaleExtract!B:O,14,FALSE),"")</f>
        <v/>
      </c>
      <c r="K3995" s="26" t="str">
        <f>IFERROR(VLOOKUP(G3995,WholesaleExtract!B:K,10,FALSE),"")</f>
        <v/>
      </c>
      <c r="L3995" s="47" t="str">
        <f>IFERROR(VLOOKUP(G3995,WholesaleExtract!B:L,11,FALSE),"")</f>
        <v/>
      </c>
      <c r="M3995" s="47" t="str">
        <f>IFERROR(VLOOKUP(G3995,WholesaleExtract!B:M,12,FALSE),"")</f>
        <v/>
      </c>
      <c r="R3995" s="19"/>
      <c r="S3995" s="19"/>
    </row>
    <row r="3996" spans="1:19" x14ac:dyDescent="0.35">
      <c r="A3996" s="26" t="s">
        <v>543</v>
      </c>
      <c r="B3996" s="26" t="s">
        <v>543</v>
      </c>
      <c r="C3996" s="26"/>
      <c r="D3996" s="26" t="s">
        <v>543</v>
      </c>
      <c r="E3996" s="26" t="str">
        <f>IFERROR(VLOOKUP(G3996,WholesaleExtract!B:J,9,FALSE),"")</f>
        <v/>
      </c>
      <c r="F3996" s="26" t="str">
        <f>IFERROR(VLOOKUP(G3996,WholesaleExtract!B:J,6,FALSE),"")</f>
        <v/>
      </c>
      <c r="H3996" s="47" t="str">
        <f>IFERROR(VLOOKUP(G3996,WholesaleExtract!B:L,11,FALSE),"")</f>
        <v/>
      </c>
      <c r="I3996" s="26" t="str">
        <f>IFERROR(VLOOKUP(G3996,WholesaleExtract!B:O,8,FALSE),"")</f>
        <v/>
      </c>
      <c r="J3996" s="26" t="str">
        <f>IFERROR(VLOOKUP(G3996,WholesaleExtract!B:O,14,FALSE),"")</f>
        <v/>
      </c>
      <c r="K3996" s="26" t="str">
        <f>IFERROR(VLOOKUP(G3996,WholesaleExtract!B:K,10,FALSE),"")</f>
        <v/>
      </c>
      <c r="L3996" s="47" t="str">
        <f>IFERROR(VLOOKUP(G3996,WholesaleExtract!B:L,11,FALSE),"")</f>
        <v/>
      </c>
      <c r="M3996" s="47" t="str">
        <f>IFERROR(VLOOKUP(G3996,WholesaleExtract!B:M,12,FALSE),"")</f>
        <v/>
      </c>
      <c r="R3996" s="19"/>
      <c r="S3996" s="19"/>
    </row>
    <row r="3997" spans="1:19" x14ac:dyDescent="0.35">
      <c r="A3997" s="26" t="s">
        <v>543</v>
      </c>
      <c r="B3997" s="26" t="s">
        <v>543</v>
      </c>
      <c r="C3997" s="26"/>
      <c r="D3997" s="26" t="s">
        <v>543</v>
      </c>
      <c r="E3997" s="26" t="str">
        <f>IFERROR(VLOOKUP(G3997,WholesaleExtract!B:J,9,FALSE),"")</f>
        <v/>
      </c>
      <c r="F3997" s="26" t="str">
        <f>IFERROR(VLOOKUP(G3997,WholesaleExtract!B:J,6,FALSE),"")</f>
        <v/>
      </c>
      <c r="H3997" s="47" t="str">
        <f>IFERROR(VLOOKUP(G3997,WholesaleExtract!B:L,11,FALSE),"")</f>
        <v/>
      </c>
      <c r="I3997" s="26" t="str">
        <f>IFERROR(VLOOKUP(G3997,WholesaleExtract!B:O,8,FALSE),"")</f>
        <v/>
      </c>
      <c r="J3997" s="26" t="str">
        <f>IFERROR(VLOOKUP(G3997,WholesaleExtract!B:O,14,FALSE),"")</f>
        <v/>
      </c>
      <c r="K3997" s="26" t="str">
        <f>IFERROR(VLOOKUP(G3997,WholesaleExtract!B:K,10,FALSE),"")</f>
        <v/>
      </c>
      <c r="L3997" s="47" t="str">
        <f>IFERROR(VLOOKUP(G3997,WholesaleExtract!B:L,11,FALSE),"")</f>
        <v/>
      </c>
      <c r="M3997" s="47" t="str">
        <f>IFERROR(VLOOKUP(G3997,WholesaleExtract!B:M,12,FALSE),"")</f>
        <v/>
      </c>
      <c r="R3997" s="19"/>
      <c r="S3997" s="19"/>
    </row>
    <row r="3998" spans="1:19" x14ac:dyDescent="0.35">
      <c r="A3998" s="26" t="s">
        <v>543</v>
      </c>
      <c r="B3998" s="26" t="s">
        <v>543</v>
      </c>
      <c r="C3998" s="26"/>
      <c r="D3998" s="26" t="s">
        <v>543</v>
      </c>
      <c r="E3998" s="26" t="str">
        <f>IFERROR(VLOOKUP(G3998,WholesaleExtract!B:J,9,FALSE),"")</f>
        <v/>
      </c>
      <c r="F3998" s="26" t="str">
        <f>IFERROR(VLOOKUP(G3998,WholesaleExtract!B:J,6,FALSE),"")</f>
        <v/>
      </c>
      <c r="H3998" s="47" t="str">
        <f>IFERROR(VLOOKUP(G3998,WholesaleExtract!B:L,11,FALSE),"")</f>
        <v/>
      </c>
      <c r="I3998" s="26" t="str">
        <f>IFERROR(VLOOKUP(G3998,WholesaleExtract!B:O,8,FALSE),"")</f>
        <v/>
      </c>
      <c r="J3998" s="26" t="str">
        <f>IFERROR(VLOOKUP(G3998,WholesaleExtract!B:O,14,FALSE),"")</f>
        <v/>
      </c>
      <c r="K3998" s="26" t="str">
        <f>IFERROR(VLOOKUP(G3998,WholesaleExtract!B:K,10,FALSE),"")</f>
        <v/>
      </c>
      <c r="L3998" s="47" t="str">
        <f>IFERROR(VLOOKUP(G3998,WholesaleExtract!B:L,11,FALSE),"")</f>
        <v/>
      </c>
      <c r="M3998" s="47" t="str">
        <f>IFERROR(VLOOKUP(G3998,WholesaleExtract!B:M,12,FALSE),"")</f>
        <v/>
      </c>
      <c r="R3998" s="19"/>
      <c r="S3998" s="19"/>
    </row>
    <row r="3999" spans="1:19" x14ac:dyDescent="0.35">
      <c r="A3999" s="26" t="s">
        <v>543</v>
      </c>
      <c r="B3999" s="26" t="s">
        <v>543</v>
      </c>
      <c r="C3999" s="26"/>
      <c r="D3999" s="26" t="s">
        <v>543</v>
      </c>
      <c r="E3999" s="26" t="str">
        <f>IFERROR(VLOOKUP(G3999,WholesaleExtract!B:J,9,FALSE),"")</f>
        <v/>
      </c>
      <c r="F3999" s="26" t="str">
        <f>IFERROR(VLOOKUP(G3999,WholesaleExtract!B:J,6,FALSE),"")</f>
        <v/>
      </c>
      <c r="H3999" s="47" t="str">
        <f>IFERROR(VLOOKUP(G3999,WholesaleExtract!B:L,11,FALSE),"")</f>
        <v/>
      </c>
      <c r="I3999" s="26" t="str">
        <f>IFERROR(VLOOKUP(G3999,WholesaleExtract!B:O,8,FALSE),"")</f>
        <v/>
      </c>
      <c r="J3999" s="26" t="str">
        <f>IFERROR(VLOOKUP(G3999,WholesaleExtract!B:O,14,FALSE),"")</f>
        <v/>
      </c>
      <c r="K3999" s="26" t="str">
        <f>IFERROR(VLOOKUP(G3999,WholesaleExtract!B:K,10,FALSE),"")</f>
        <v/>
      </c>
      <c r="L3999" s="47" t="str">
        <f>IFERROR(VLOOKUP(G3999,WholesaleExtract!B:L,11,FALSE),"")</f>
        <v/>
      </c>
      <c r="M3999" s="47" t="str">
        <f>IFERROR(VLOOKUP(G3999,WholesaleExtract!B:M,12,FALSE),"")</f>
        <v/>
      </c>
      <c r="R3999" s="19"/>
      <c r="S3999" s="19"/>
    </row>
    <row r="4000" spans="1:19" x14ac:dyDescent="0.35">
      <c r="A4000" s="26" t="s">
        <v>543</v>
      </c>
      <c r="B4000" s="26" t="s">
        <v>543</v>
      </c>
      <c r="C4000" s="26"/>
      <c r="D4000" s="26" t="s">
        <v>543</v>
      </c>
      <c r="E4000" s="26" t="str">
        <f>IFERROR(VLOOKUP(G4000,WholesaleExtract!B:J,9,FALSE),"")</f>
        <v/>
      </c>
      <c r="F4000" s="26" t="str">
        <f>IFERROR(VLOOKUP(G4000,WholesaleExtract!B:J,6,FALSE),"")</f>
        <v/>
      </c>
      <c r="H4000" s="47" t="str">
        <f>IFERROR(VLOOKUP(G4000,WholesaleExtract!B:L,11,FALSE),"")</f>
        <v/>
      </c>
      <c r="I4000" s="26" t="str">
        <f>IFERROR(VLOOKUP(G4000,WholesaleExtract!B:O,8,FALSE),"")</f>
        <v/>
      </c>
      <c r="J4000" s="26" t="str">
        <f>IFERROR(VLOOKUP(G4000,WholesaleExtract!B:O,14,FALSE),"")</f>
        <v/>
      </c>
      <c r="K4000" s="26" t="str">
        <f>IFERROR(VLOOKUP(G4000,WholesaleExtract!B:K,10,FALSE),"")</f>
        <v/>
      </c>
      <c r="L4000" s="47" t="str">
        <f>IFERROR(VLOOKUP(G4000,WholesaleExtract!B:L,11,FALSE),"")</f>
        <v/>
      </c>
      <c r="M4000" s="47" t="str">
        <f>IFERROR(VLOOKUP(G4000,WholesaleExtract!B:M,12,FALSE),"")</f>
        <v/>
      </c>
      <c r="R4000" s="19"/>
      <c r="S4000" s="19"/>
    </row>
    <row r="4001" spans="1:19" x14ac:dyDescent="0.35">
      <c r="A4001" s="26" t="s">
        <v>543</v>
      </c>
      <c r="B4001" s="26" t="s">
        <v>543</v>
      </c>
      <c r="C4001" s="26"/>
      <c r="D4001" s="26" t="s">
        <v>543</v>
      </c>
      <c r="E4001" s="26" t="str">
        <f>IFERROR(VLOOKUP(G4001,WholesaleExtract!B:J,9,FALSE),"")</f>
        <v/>
      </c>
      <c r="F4001" s="26" t="str">
        <f>IFERROR(VLOOKUP(G4001,WholesaleExtract!B:J,6,FALSE),"")</f>
        <v/>
      </c>
      <c r="H4001" s="47" t="str">
        <f>IFERROR(VLOOKUP(G4001,WholesaleExtract!B:L,11,FALSE),"")</f>
        <v/>
      </c>
      <c r="I4001" s="26" t="str">
        <f>IFERROR(VLOOKUP(G4001,WholesaleExtract!B:O,8,FALSE),"")</f>
        <v/>
      </c>
      <c r="J4001" s="26" t="str">
        <f>IFERROR(VLOOKUP(G4001,WholesaleExtract!B:O,14,FALSE),"")</f>
        <v/>
      </c>
      <c r="K4001" s="26" t="str">
        <f>IFERROR(VLOOKUP(G4001,WholesaleExtract!B:K,10,FALSE),"")</f>
        <v/>
      </c>
      <c r="L4001" s="47" t="str">
        <f>IFERROR(VLOOKUP(G4001,WholesaleExtract!B:L,11,FALSE),"")</f>
        <v/>
      </c>
      <c r="M4001" s="47" t="str">
        <f>IFERROR(VLOOKUP(G4001,WholesaleExtract!B:M,12,FALSE),"")</f>
        <v/>
      </c>
      <c r="R4001" s="19"/>
      <c r="S4001" s="19"/>
    </row>
    <row r="4002" spans="1:19" x14ac:dyDescent="0.35">
      <c r="A4002" s="26" t="s">
        <v>543</v>
      </c>
      <c r="B4002" s="26" t="s">
        <v>543</v>
      </c>
      <c r="C4002" s="26"/>
      <c r="D4002" s="26" t="s">
        <v>543</v>
      </c>
      <c r="E4002" s="26" t="str">
        <f>IFERROR(VLOOKUP(G4002,WholesaleExtract!B:J,9,FALSE),"")</f>
        <v/>
      </c>
      <c r="F4002" s="26" t="str">
        <f>IFERROR(VLOOKUP(G4002,WholesaleExtract!B:J,6,FALSE),"")</f>
        <v/>
      </c>
      <c r="H4002" s="47" t="str">
        <f>IFERROR(VLOOKUP(G4002,WholesaleExtract!B:L,11,FALSE),"")</f>
        <v/>
      </c>
      <c r="I4002" s="26" t="str">
        <f>IFERROR(VLOOKUP(G4002,WholesaleExtract!B:O,8,FALSE),"")</f>
        <v/>
      </c>
      <c r="J4002" s="26" t="str">
        <f>IFERROR(VLOOKUP(G4002,WholesaleExtract!B:O,14,FALSE),"")</f>
        <v/>
      </c>
      <c r="K4002" s="26" t="str">
        <f>IFERROR(VLOOKUP(G4002,WholesaleExtract!B:K,10,FALSE),"")</f>
        <v/>
      </c>
      <c r="L4002" s="47" t="str">
        <f>IFERROR(VLOOKUP(G4002,WholesaleExtract!B:L,11,FALSE),"")</f>
        <v/>
      </c>
      <c r="M4002" s="47" t="str">
        <f>IFERROR(VLOOKUP(G4002,WholesaleExtract!B:M,12,FALSE),"")</f>
        <v/>
      </c>
      <c r="R4002" s="19"/>
      <c r="S4002" s="19"/>
    </row>
    <row r="4003" spans="1:19" x14ac:dyDescent="0.35">
      <c r="A4003" s="26" t="s">
        <v>543</v>
      </c>
      <c r="B4003" s="26" t="s">
        <v>543</v>
      </c>
      <c r="C4003" s="26"/>
      <c r="D4003" s="26" t="s">
        <v>543</v>
      </c>
      <c r="E4003" s="26" t="str">
        <f>IFERROR(VLOOKUP(G4003,WholesaleExtract!B:J,9,FALSE),"")</f>
        <v/>
      </c>
      <c r="F4003" s="26" t="str">
        <f>IFERROR(VLOOKUP(G4003,WholesaleExtract!B:J,6,FALSE),"")</f>
        <v/>
      </c>
      <c r="H4003" s="47" t="str">
        <f>IFERROR(VLOOKUP(G4003,WholesaleExtract!B:L,11,FALSE),"")</f>
        <v/>
      </c>
      <c r="I4003" s="26" t="str">
        <f>IFERROR(VLOOKUP(G4003,WholesaleExtract!B:O,8,FALSE),"")</f>
        <v/>
      </c>
      <c r="J4003" s="26" t="str">
        <f>IFERROR(VLOOKUP(G4003,WholesaleExtract!B:O,14,FALSE),"")</f>
        <v/>
      </c>
      <c r="K4003" s="26" t="str">
        <f>IFERROR(VLOOKUP(G4003,WholesaleExtract!B:K,10,FALSE),"")</f>
        <v/>
      </c>
      <c r="L4003" s="47" t="str">
        <f>IFERROR(VLOOKUP(G4003,WholesaleExtract!B:L,11,FALSE),"")</f>
        <v/>
      </c>
      <c r="M4003" s="47" t="str">
        <f>IFERROR(VLOOKUP(G4003,WholesaleExtract!B:M,12,FALSE),"")</f>
        <v/>
      </c>
      <c r="R4003" s="19"/>
      <c r="S4003" s="19"/>
    </row>
    <row r="4004" spans="1:19" x14ac:dyDescent="0.35">
      <c r="A4004" s="26" t="s">
        <v>543</v>
      </c>
      <c r="B4004" s="26" t="s">
        <v>543</v>
      </c>
      <c r="C4004" s="26"/>
      <c r="D4004" s="26" t="s">
        <v>543</v>
      </c>
      <c r="E4004" s="26" t="str">
        <f>IFERROR(VLOOKUP(G4004,WholesaleExtract!B:J,9,FALSE),"")</f>
        <v/>
      </c>
      <c r="F4004" s="26" t="str">
        <f>IFERROR(VLOOKUP(G4004,WholesaleExtract!B:J,6,FALSE),"")</f>
        <v/>
      </c>
      <c r="H4004" s="47" t="str">
        <f>IFERROR(VLOOKUP(G4004,WholesaleExtract!B:L,11,FALSE),"")</f>
        <v/>
      </c>
      <c r="I4004" s="26" t="str">
        <f>IFERROR(VLOOKUP(G4004,WholesaleExtract!B:O,8,FALSE),"")</f>
        <v/>
      </c>
      <c r="J4004" s="26" t="str">
        <f>IFERROR(VLOOKUP(G4004,WholesaleExtract!B:O,14,FALSE),"")</f>
        <v/>
      </c>
      <c r="K4004" s="26" t="str">
        <f>IFERROR(VLOOKUP(G4004,WholesaleExtract!B:K,10,FALSE),"")</f>
        <v/>
      </c>
      <c r="L4004" s="47" t="str">
        <f>IFERROR(VLOOKUP(G4004,WholesaleExtract!B:L,11,FALSE),"")</f>
        <v/>
      </c>
      <c r="M4004" s="47" t="str">
        <f>IFERROR(VLOOKUP(G4004,WholesaleExtract!B:M,12,FALSE),"")</f>
        <v/>
      </c>
      <c r="R4004" s="19"/>
      <c r="S4004" s="19"/>
    </row>
    <row r="4005" spans="1:19" x14ac:dyDescent="0.35">
      <c r="A4005" s="26" t="s">
        <v>543</v>
      </c>
      <c r="B4005" s="26" t="s">
        <v>543</v>
      </c>
      <c r="C4005" s="26"/>
      <c r="D4005" s="26" t="s">
        <v>543</v>
      </c>
      <c r="E4005" s="26" t="str">
        <f>IFERROR(VLOOKUP(G4005,WholesaleExtract!B:J,9,FALSE),"")</f>
        <v/>
      </c>
      <c r="F4005" s="26" t="str">
        <f>IFERROR(VLOOKUP(G4005,WholesaleExtract!B:J,6,FALSE),"")</f>
        <v/>
      </c>
      <c r="H4005" s="47" t="str">
        <f>IFERROR(VLOOKUP(G4005,WholesaleExtract!B:L,11,FALSE),"")</f>
        <v/>
      </c>
      <c r="I4005" s="26" t="str">
        <f>IFERROR(VLOOKUP(G4005,WholesaleExtract!B:O,8,FALSE),"")</f>
        <v/>
      </c>
      <c r="J4005" s="26" t="str">
        <f>IFERROR(VLOOKUP(G4005,WholesaleExtract!B:O,14,FALSE),"")</f>
        <v/>
      </c>
      <c r="K4005" s="26" t="str">
        <f>IFERROR(VLOOKUP(G4005,WholesaleExtract!B:K,10,FALSE),"")</f>
        <v/>
      </c>
      <c r="L4005" s="47" t="str">
        <f>IFERROR(VLOOKUP(G4005,WholesaleExtract!B:L,11,FALSE),"")</f>
        <v/>
      </c>
      <c r="M4005" s="47" t="str">
        <f>IFERROR(VLOOKUP(G4005,WholesaleExtract!B:M,12,FALSE),"")</f>
        <v/>
      </c>
      <c r="R4005" s="19"/>
      <c r="S4005" s="19"/>
    </row>
    <row r="4006" spans="1:19" x14ac:dyDescent="0.35">
      <c r="A4006" s="26" t="s">
        <v>543</v>
      </c>
      <c r="B4006" s="26" t="s">
        <v>543</v>
      </c>
      <c r="C4006" s="26"/>
      <c r="D4006" s="26" t="s">
        <v>543</v>
      </c>
      <c r="E4006" s="26" t="str">
        <f>IFERROR(VLOOKUP(G4006,WholesaleExtract!B:J,9,FALSE),"")</f>
        <v/>
      </c>
      <c r="F4006" s="26" t="str">
        <f>IFERROR(VLOOKUP(G4006,WholesaleExtract!B:J,6,FALSE),"")</f>
        <v/>
      </c>
      <c r="H4006" s="47" t="str">
        <f>IFERROR(VLOOKUP(G4006,WholesaleExtract!B:L,11,FALSE),"")</f>
        <v/>
      </c>
      <c r="I4006" s="26" t="str">
        <f>IFERROR(VLOOKUP(G4006,WholesaleExtract!B:O,8,FALSE),"")</f>
        <v/>
      </c>
      <c r="J4006" s="26" t="str">
        <f>IFERROR(VLOOKUP(G4006,WholesaleExtract!B:O,14,FALSE),"")</f>
        <v/>
      </c>
      <c r="K4006" s="26" t="str">
        <f>IFERROR(VLOOKUP(G4006,WholesaleExtract!B:K,10,FALSE),"")</f>
        <v/>
      </c>
      <c r="L4006" s="47" t="str">
        <f>IFERROR(VLOOKUP(G4006,WholesaleExtract!B:L,11,FALSE),"")</f>
        <v/>
      </c>
      <c r="M4006" s="47" t="str">
        <f>IFERROR(VLOOKUP(G4006,WholesaleExtract!B:M,12,FALSE),"")</f>
        <v/>
      </c>
      <c r="R4006" s="19"/>
      <c r="S4006" s="19"/>
    </row>
    <row r="4007" spans="1:19" x14ac:dyDescent="0.35">
      <c r="A4007" s="26" t="s">
        <v>543</v>
      </c>
      <c r="B4007" s="26" t="s">
        <v>543</v>
      </c>
      <c r="C4007" s="26"/>
      <c r="D4007" s="26" t="s">
        <v>543</v>
      </c>
      <c r="E4007" s="26" t="str">
        <f>IFERROR(VLOOKUP(G4007,WholesaleExtract!B:J,9,FALSE),"")</f>
        <v/>
      </c>
      <c r="F4007" s="26" t="str">
        <f>IFERROR(VLOOKUP(G4007,WholesaleExtract!B:J,6,FALSE),"")</f>
        <v/>
      </c>
      <c r="H4007" s="47" t="str">
        <f>IFERROR(VLOOKUP(G4007,WholesaleExtract!B:L,11,FALSE),"")</f>
        <v/>
      </c>
      <c r="I4007" s="26" t="str">
        <f>IFERROR(VLOOKUP(G4007,WholesaleExtract!B:O,8,FALSE),"")</f>
        <v/>
      </c>
      <c r="J4007" s="26" t="str">
        <f>IFERROR(VLOOKUP(G4007,WholesaleExtract!B:O,14,FALSE),"")</f>
        <v/>
      </c>
      <c r="K4007" s="26" t="str">
        <f>IFERROR(VLOOKUP(G4007,WholesaleExtract!B:K,10,FALSE),"")</f>
        <v/>
      </c>
      <c r="L4007" s="47" t="str">
        <f>IFERROR(VLOOKUP(G4007,WholesaleExtract!B:L,11,FALSE),"")</f>
        <v/>
      </c>
      <c r="M4007" s="47" t="str">
        <f>IFERROR(VLOOKUP(G4007,WholesaleExtract!B:M,12,FALSE),"")</f>
        <v/>
      </c>
      <c r="R4007" s="19"/>
      <c r="S4007" s="19"/>
    </row>
    <row r="4008" spans="1:19" x14ac:dyDescent="0.35">
      <c r="A4008" s="26" t="s">
        <v>543</v>
      </c>
      <c r="B4008" s="26" t="s">
        <v>543</v>
      </c>
      <c r="C4008" s="26"/>
      <c r="D4008" s="26" t="s">
        <v>543</v>
      </c>
      <c r="E4008" s="26" t="str">
        <f>IFERROR(VLOOKUP(G4008,WholesaleExtract!B:J,9,FALSE),"")</f>
        <v/>
      </c>
      <c r="F4008" s="26" t="str">
        <f>IFERROR(VLOOKUP(G4008,WholesaleExtract!B:J,6,FALSE),"")</f>
        <v/>
      </c>
      <c r="H4008" s="47" t="str">
        <f>IFERROR(VLOOKUP(G4008,WholesaleExtract!B:L,11,FALSE),"")</f>
        <v/>
      </c>
      <c r="I4008" s="26" t="str">
        <f>IFERROR(VLOOKUP(G4008,WholesaleExtract!B:O,8,FALSE),"")</f>
        <v/>
      </c>
      <c r="J4008" s="26" t="str">
        <f>IFERROR(VLOOKUP(G4008,WholesaleExtract!B:O,14,FALSE),"")</f>
        <v/>
      </c>
      <c r="K4008" s="26" t="str">
        <f>IFERROR(VLOOKUP(G4008,WholesaleExtract!B:K,10,FALSE),"")</f>
        <v/>
      </c>
      <c r="L4008" s="47" t="str">
        <f>IFERROR(VLOOKUP(G4008,WholesaleExtract!B:L,11,FALSE),"")</f>
        <v/>
      </c>
      <c r="M4008" s="47" t="str">
        <f>IFERROR(VLOOKUP(G4008,WholesaleExtract!B:M,12,FALSE),"")</f>
        <v/>
      </c>
      <c r="R4008" s="19"/>
      <c r="S4008" s="19"/>
    </row>
    <row r="4009" spans="1:19" x14ac:dyDescent="0.35">
      <c r="A4009" s="26" t="s">
        <v>543</v>
      </c>
      <c r="B4009" s="26" t="s">
        <v>543</v>
      </c>
      <c r="C4009" s="26"/>
      <c r="D4009" s="26" t="s">
        <v>543</v>
      </c>
      <c r="E4009" s="26" t="str">
        <f>IFERROR(VLOOKUP(G4009,WholesaleExtract!B:J,9,FALSE),"")</f>
        <v/>
      </c>
      <c r="F4009" s="26" t="str">
        <f>IFERROR(VLOOKUP(G4009,WholesaleExtract!B:J,6,FALSE),"")</f>
        <v/>
      </c>
      <c r="H4009" s="47" t="str">
        <f>IFERROR(VLOOKUP(G4009,WholesaleExtract!B:L,11,FALSE),"")</f>
        <v/>
      </c>
      <c r="I4009" s="26" t="str">
        <f>IFERROR(VLOOKUP(G4009,WholesaleExtract!B:O,8,FALSE),"")</f>
        <v/>
      </c>
      <c r="J4009" s="26" t="str">
        <f>IFERROR(VLOOKUP(G4009,WholesaleExtract!B:O,14,FALSE),"")</f>
        <v/>
      </c>
      <c r="K4009" s="26" t="str">
        <f>IFERROR(VLOOKUP(G4009,WholesaleExtract!B:K,10,FALSE),"")</f>
        <v/>
      </c>
      <c r="L4009" s="47" t="str">
        <f>IFERROR(VLOOKUP(G4009,WholesaleExtract!B:L,11,FALSE),"")</f>
        <v/>
      </c>
      <c r="M4009" s="47" t="str">
        <f>IFERROR(VLOOKUP(G4009,WholesaleExtract!B:M,12,FALSE),"")</f>
        <v/>
      </c>
      <c r="R4009" s="19"/>
      <c r="S4009" s="19"/>
    </row>
    <row r="4010" spans="1:19" x14ac:dyDescent="0.35">
      <c r="A4010" s="26" t="s">
        <v>543</v>
      </c>
      <c r="B4010" s="26" t="s">
        <v>543</v>
      </c>
      <c r="C4010" s="26"/>
      <c r="D4010" s="26" t="s">
        <v>543</v>
      </c>
      <c r="E4010" s="26" t="str">
        <f>IFERROR(VLOOKUP(G4010,WholesaleExtract!B:J,9,FALSE),"")</f>
        <v/>
      </c>
      <c r="F4010" s="26" t="str">
        <f>IFERROR(VLOOKUP(G4010,WholesaleExtract!B:J,6,FALSE),"")</f>
        <v/>
      </c>
      <c r="H4010" s="47" t="str">
        <f>IFERROR(VLOOKUP(G4010,WholesaleExtract!B:L,11,FALSE),"")</f>
        <v/>
      </c>
      <c r="I4010" s="26" t="str">
        <f>IFERROR(VLOOKUP(G4010,WholesaleExtract!B:O,8,FALSE),"")</f>
        <v/>
      </c>
      <c r="J4010" s="26" t="str">
        <f>IFERROR(VLOOKUP(G4010,WholesaleExtract!B:O,14,FALSE),"")</f>
        <v/>
      </c>
      <c r="K4010" s="26" t="str">
        <f>IFERROR(VLOOKUP(G4010,WholesaleExtract!B:K,10,FALSE),"")</f>
        <v/>
      </c>
      <c r="L4010" s="47" t="str">
        <f>IFERROR(VLOOKUP(G4010,WholesaleExtract!B:L,11,FALSE),"")</f>
        <v/>
      </c>
      <c r="M4010" s="47" t="str">
        <f>IFERROR(VLOOKUP(G4010,WholesaleExtract!B:M,12,FALSE),"")</f>
        <v/>
      </c>
      <c r="R4010" s="19"/>
      <c r="S4010" s="19"/>
    </row>
    <row r="4011" spans="1:19" x14ac:dyDescent="0.35">
      <c r="A4011" s="26" t="s">
        <v>543</v>
      </c>
      <c r="B4011" s="26" t="s">
        <v>543</v>
      </c>
      <c r="C4011" s="26"/>
      <c r="D4011" s="26" t="s">
        <v>543</v>
      </c>
      <c r="E4011" s="26" t="str">
        <f>IFERROR(VLOOKUP(G4011,WholesaleExtract!B:J,9,FALSE),"")</f>
        <v/>
      </c>
      <c r="F4011" s="26" t="str">
        <f>IFERROR(VLOOKUP(G4011,WholesaleExtract!B:J,6,FALSE),"")</f>
        <v/>
      </c>
      <c r="H4011" s="47" t="str">
        <f>IFERROR(VLOOKUP(G4011,WholesaleExtract!B:L,11,FALSE),"")</f>
        <v/>
      </c>
      <c r="I4011" s="26" t="str">
        <f>IFERROR(VLOOKUP(G4011,WholesaleExtract!B:O,8,FALSE),"")</f>
        <v/>
      </c>
      <c r="J4011" s="26" t="str">
        <f>IFERROR(VLOOKUP(G4011,WholesaleExtract!B:O,14,FALSE),"")</f>
        <v/>
      </c>
      <c r="K4011" s="26" t="str">
        <f>IFERROR(VLOOKUP(G4011,WholesaleExtract!B:K,10,FALSE),"")</f>
        <v/>
      </c>
      <c r="L4011" s="47" t="str">
        <f>IFERROR(VLOOKUP(G4011,WholesaleExtract!B:L,11,FALSE),"")</f>
        <v/>
      </c>
      <c r="M4011" s="47" t="str">
        <f>IFERROR(VLOOKUP(G4011,WholesaleExtract!B:M,12,FALSE),"")</f>
        <v/>
      </c>
      <c r="R4011" s="19"/>
      <c r="S4011" s="19"/>
    </row>
    <row r="4012" spans="1:19" x14ac:dyDescent="0.35">
      <c r="A4012" s="26" t="s">
        <v>543</v>
      </c>
      <c r="B4012" s="26" t="s">
        <v>543</v>
      </c>
      <c r="C4012" s="26"/>
      <c r="D4012" s="26" t="s">
        <v>543</v>
      </c>
      <c r="E4012" s="26" t="str">
        <f>IFERROR(VLOOKUP(G4012,WholesaleExtract!B:J,9,FALSE),"")</f>
        <v/>
      </c>
      <c r="F4012" s="26" t="str">
        <f>IFERROR(VLOOKUP(G4012,WholesaleExtract!B:J,6,FALSE),"")</f>
        <v/>
      </c>
      <c r="H4012" s="47" t="str">
        <f>IFERROR(VLOOKUP(G4012,WholesaleExtract!B:L,11,FALSE),"")</f>
        <v/>
      </c>
      <c r="I4012" s="26" t="str">
        <f>IFERROR(VLOOKUP(G4012,WholesaleExtract!B:O,8,FALSE),"")</f>
        <v/>
      </c>
      <c r="J4012" s="26" t="str">
        <f>IFERROR(VLOOKUP(G4012,WholesaleExtract!B:O,14,FALSE),"")</f>
        <v/>
      </c>
      <c r="K4012" s="26" t="str">
        <f>IFERROR(VLOOKUP(G4012,WholesaleExtract!B:K,10,FALSE),"")</f>
        <v/>
      </c>
      <c r="L4012" s="47" t="str">
        <f>IFERROR(VLOOKUP(G4012,WholesaleExtract!B:L,11,FALSE),"")</f>
        <v/>
      </c>
      <c r="M4012" s="47" t="str">
        <f>IFERROR(VLOOKUP(G4012,WholesaleExtract!B:M,12,FALSE),"")</f>
        <v/>
      </c>
      <c r="R4012" s="19"/>
      <c r="S4012" s="19"/>
    </row>
    <row r="4013" spans="1:19" x14ac:dyDescent="0.35">
      <c r="A4013" s="26" t="s">
        <v>543</v>
      </c>
      <c r="B4013" s="26" t="s">
        <v>543</v>
      </c>
      <c r="C4013" s="26"/>
      <c r="D4013" s="26" t="s">
        <v>543</v>
      </c>
      <c r="E4013" s="26" t="str">
        <f>IFERROR(VLOOKUP(G4013,WholesaleExtract!B:J,9,FALSE),"")</f>
        <v/>
      </c>
      <c r="F4013" s="26" t="str">
        <f>IFERROR(VLOOKUP(G4013,WholesaleExtract!B:J,6,FALSE),"")</f>
        <v/>
      </c>
      <c r="H4013" s="47" t="str">
        <f>IFERROR(VLOOKUP(G4013,WholesaleExtract!B:L,11,FALSE),"")</f>
        <v/>
      </c>
      <c r="I4013" s="26" t="str">
        <f>IFERROR(VLOOKUP(G4013,WholesaleExtract!B:O,8,FALSE),"")</f>
        <v/>
      </c>
      <c r="J4013" s="26" t="str">
        <f>IFERROR(VLOOKUP(G4013,WholesaleExtract!B:O,14,FALSE),"")</f>
        <v/>
      </c>
      <c r="K4013" s="26" t="str">
        <f>IFERROR(VLOOKUP(G4013,WholesaleExtract!B:K,10,FALSE),"")</f>
        <v/>
      </c>
      <c r="L4013" s="47" t="str">
        <f>IFERROR(VLOOKUP(G4013,WholesaleExtract!B:L,11,FALSE),"")</f>
        <v/>
      </c>
      <c r="M4013" s="47" t="str">
        <f>IFERROR(VLOOKUP(G4013,WholesaleExtract!B:M,12,FALSE),"")</f>
        <v/>
      </c>
      <c r="R4013" s="19"/>
      <c r="S4013" s="19"/>
    </row>
    <row r="4014" spans="1:19" x14ac:dyDescent="0.35">
      <c r="A4014" s="26" t="s">
        <v>543</v>
      </c>
      <c r="B4014" s="26" t="s">
        <v>543</v>
      </c>
      <c r="C4014" s="26"/>
      <c r="D4014" s="26" t="s">
        <v>543</v>
      </c>
      <c r="E4014" s="26" t="str">
        <f>IFERROR(VLOOKUP(G4014,WholesaleExtract!B:J,9,FALSE),"")</f>
        <v/>
      </c>
      <c r="F4014" s="26" t="str">
        <f>IFERROR(VLOOKUP(G4014,WholesaleExtract!B:J,6,FALSE),"")</f>
        <v/>
      </c>
      <c r="H4014" s="47" t="str">
        <f>IFERROR(VLOOKUP(G4014,WholesaleExtract!B:L,11,FALSE),"")</f>
        <v/>
      </c>
      <c r="I4014" s="26" t="str">
        <f>IFERROR(VLOOKUP(G4014,WholesaleExtract!B:O,8,FALSE),"")</f>
        <v/>
      </c>
      <c r="J4014" s="26" t="str">
        <f>IFERROR(VLOOKUP(G4014,WholesaleExtract!B:O,14,FALSE),"")</f>
        <v/>
      </c>
      <c r="K4014" s="26" t="str">
        <f>IFERROR(VLOOKUP(G4014,WholesaleExtract!B:K,10,FALSE),"")</f>
        <v/>
      </c>
      <c r="L4014" s="47" t="str">
        <f>IFERROR(VLOOKUP(G4014,WholesaleExtract!B:L,11,FALSE),"")</f>
        <v/>
      </c>
      <c r="M4014" s="47" t="str">
        <f>IFERROR(VLOOKUP(G4014,WholesaleExtract!B:M,12,FALSE),"")</f>
        <v/>
      </c>
      <c r="R4014" s="19"/>
      <c r="S4014" s="19"/>
    </row>
    <row r="4015" spans="1:19" x14ac:dyDescent="0.35">
      <c r="A4015" s="26" t="s">
        <v>543</v>
      </c>
      <c r="B4015" s="26" t="s">
        <v>543</v>
      </c>
      <c r="C4015" s="26"/>
      <c r="D4015" s="26" t="s">
        <v>543</v>
      </c>
      <c r="E4015" s="26" t="str">
        <f>IFERROR(VLOOKUP(G4015,WholesaleExtract!B:J,9,FALSE),"")</f>
        <v/>
      </c>
      <c r="F4015" s="26" t="str">
        <f>IFERROR(VLOOKUP(G4015,WholesaleExtract!B:J,6,FALSE),"")</f>
        <v/>
      </c>
      <c r="H4015" s="47" t="str">
        <f>IFERROR(VLOOKUP(G4015,WholesaleExtract!B:L,11,FALSE),"")</f>
        <v/>
      </c>
      <c r="I4015" s="26" t="str">
        <f>IFERROR(VLOOKUP(G4015,WholesaleExtract!B:O,8,FALSE),"")</f>
        <v/>
      </c>
      <c r="J4015" s="26" t="str">
        <f>IFERROR(VLOOKUP(G4015,WholesaleExtract!B:O,14,FALSE),"")</f>
        <v/>
      </c>
      <c r="K4015" s="26" t="str">
        <f>IFERROR(VLOOKUP(G4015,WholesaleExtract!B:K,10,FALSE),"")</f>
        <v/>
      </c>
      <c r="L4015" s="47" t="str">
        <f>IFERROR(VLOOKUP(G4015,WholesaleExtract!B:L,11,FALSE),"")</f>
        <v/>
      </c>
      <c r="M4015" s="47" t="str">
        <f>IFERROR(VLOOKUP(G4015,WholesaleExtract!B:M,12,FALSE),"")</f>
        <v/>
      </c>
      <c r="R4015" s="19"/>
      <c r="S4015" s="19"/>
    </row>
    <row r="4016" spans="1:19" x14ac:dyDescent="0.35">
      <c r="A4016" s="26" t="s">
        <v>543</v>
      </c>
      <c r="B4016" s="26" t="s">
        <v>543</v>
      </c>
      <c r="C4016" s="26"/>
      <c r="D4016" s="26" t="s">
        <v>543</v>
      </c>
      <c r="E4016" s="26" t="str">
        <f>IFERROR(VLOOKUP(G4016,WholesaleExtract!B:J,9,FALSE),"")</f>
        <v/>
      </c>
      <c r="F4016" s="26" t="str">
        <f>IFERROR(VLOOKUP(G4016,WholesaleExtract!B:J,6,FALSE),"")</f>
        <v/>
      </c>
      <c r="H4016" s="47" t="str">
        <f>IFERROR(VLOOKUP(G4016,WholesaleExtract!B:L,11,FALSE),"")</f>
        <v/>
      </c>
      <c r="I4016" s="26" t="str">
        <f>IFERROR(VLOOKUP(G4016,WholesaleExtract!B:O,8,FALSE),"")</f>
        <v/>
      </c>
      <c r="J4016" s="26" t="str">
        <f>IFERROR(VLOOKUP(G4016,WholesaleExtract!B:O,14,FALSE),"")</f>
        <v/>
      </c>
      <c r="K4016" s="26" t="str">
        <f>IFERROR(VLOOKUP(G4016,WholesaleExtract!B:K,10,FALSE),"")</f>
        <v/>
      </c>
      <c r="L4016" s="47" t="str">
        <f>IFERROR(VLOOKUP(G4016,WholesaleExtract!B:L,11,FALSE),"")</f>
        <v/>
      </c>
      <c r="M4016" s="47" t="str">
        <f>IFERROR(VLOOKUP(G4016,WholesaleExtract!B:M,12,FALSE),"")</f>
        <v/>
      </c>
      <c r="R4016" s="19"/>
      <c r="S4016" s="19"/>
    </row>
    <row r="4017" spans="1:19" x14ac:dyDescent="0.35">
      <c r="A4017" s="26" t="s">
        <v>543</v>
      </c>
      <c r="B4017" s="26" t="s">
        <v>543</v>
      </c>
      <c r="C4017" s="26"/>
      <c r="D4017" s="26" t="s">
        <v>543</v>
      </c>
      <c r="E4017" s="26" t="str">
        <f>IFERROR(VLOOKUP(G4017,WholesaleExtract!B:J,9,FALSE),"")</f>
        <v/>
      </c>
      <c r="F4017" s="26" t="str">
        <f>IFERROR(VLOOKUP(G4017,WholesaleExtract!B:J,6,FALSE),"")</f>
        <v/>
      </c>
      <c r="H4017" s="47" t="str">
        <f>IFERROR(VLOOKUP(G4017,WholesaleExtract!B:L,11,FALSE),"")</f>
        <v/>
      </c>
      <c r="I4017" s="26" t="str">
        <f>IFERROR(VLOOKUP(G4017,WholesaleExtract!B:O,8,FALSE),"")</f>
        <v/>
      </c>
      <c r="J4017" s="26" t="str">
        <f>IFERROR(VLOOKUP(G4017,WholesaleExtract!B:O,14,FALSE),"")</f>
        <v/>
      </c>
      <c r="K4017" s="26" t="str">
        <f>IFERROR(VLOOKUP(G4017,WholesaleExtract!B:K,10,FALSE),"")</f>
        <v/>
      </c>
      <c r="L4017" s="47" t="str">
        <f>IFERROR(VLOOKUP(G4017,WholesaleExtract!B:L,11,FALSE),"")</f>
        <v/>
      </c>
      <c r="M4017" s="47" t="str">
        <f>IFERROR(VLOOKUP(G4017,WholesaleExtract!B:M,12,FALSE),"")</f>
        <v/>
      </c>
      <c r="R4017" s="19"/>
      <c r="S4017" s="19"/>
    </row>
    <row r="4018" spans="1:19" x14ac:dyDescent="0.35">
      <c r="A4018" s="26" t="s">
        <v>543</v>
      </c>
      <c r="B4018" s="26" t="s">
        <v>543</v>
      </c>
      <c r="C4018" s="26"/>
      <c r="D4018" s="26" t="s">
        <v>543</v>
      </c>
      <c r="E4018" s="26" t="str">
        <f>IFERROR(VLOOKUP(G4018,WholesaleExtract!B:J,9,FALSE),"")</f>
        <v/>
      </c>
      <c r="F4018" s="26" t="str">
        <f>IFERROR(VLOOKUP(G4018,WholesaleExtract!B:J,6,FALSE),"")</f>
        <v/>
      </c>
      <c r="H4018" s="47" t="str">
        <f>IFERROR(VLOOKUP(G4018,WholesaleExtract!B:L,11,FALSE),"")</f>
        <v/>
      </c>
      <c r="I4018" s="26" t="str">
        <f>IFERROR(VLOOKUP(G4018,WholesaleExtract!B:O,8,FALSE),"")</f>
        <v/>
      </c>
      <c r="J4018" s="26" t="str">
        <f>IFERROR(VLOOKUP(G4018,WholesaleExtract!B:O,14,FALSE),"")</f>
        <v/>
      </c>
      <c r="K4018" s="26" t="str">
        <f>IFERROR(VLOOKUP(G4018,WholesaleExtract!B:K,10,FALSE),"")</f>
        <v/>
      </c>
      <c r="L4018" s="47" t="str">
        <f>IFERROR(VLOOKUP(G4018,WholesaleExtract!B:L,11,FALSE),"")</f>
        <v/>
      </c>
      <c r="M4018" s="47" t="str">
        <f>IFERROR(VLOOKUP(G4018,WholesaleExtract!B:M,12,FALSE),"")</f>
        <v/>
      </c>
      <c r="R4018" s="19"/>
      <c r="S4018" s="19"/>
    </row>
    <row r="4019" spans="1:19" x14ac:dyDescent="0.35">
      <c r="A4019" s="26" t="s">
        <v>543</v>
      </c>
      <c r="B4019" s="26" t="s">
        <v>543</v>
      </c>
      <c r="C4019" s="26"/>
      <c r="D4019" s="26" t="s">
        <v>543</v>
      </c>
      <c r="E4019" s="26" t="str">
        <f>IFERROR(VLOOKUP(G4019,WholesaleExtract!B:J,9,FALSE),"")</f>
        <v/>
      </c>
      <c r="F4019" s="26" t="str">
        <f>IFERROR(VLOOKUP(G4019,WholesaleExtract!B:J,6,FALSE),"")</f>
        <v/>
      </c>
      <c r="H4019" s="47" t="str">
        <f>IFERROR(VLOOKUP(G4019,WholesaleExtract!B:L,11,FALSE),"")</f>
        <v/>
      </c>
      <c r="I4019" s="26" t="str">
        <f>IFERROR(VLOOKUP(G4019,WholesaleExtract!B:O,8,FALSE),"")</f>
        <v/>
      </c>
      <c r="J4019" s="26" t="str">
        <f>IFERROR(VLOOKUP(G4019,WholesaleExtract!B:O,14,FALSE),"")</f>
        <v/>
      </c>
      <c r="K4019" s="26" t="str">
        <f>IFERROR(VLOOKUP(G4019,WholesaleExtract!B:K,10,FALSE),"")</f>
        <v/>
      </c>
      <c r="L4019" s="47" t="str">
        <f>IFERROR(VLOOKUP(G4019,WholesaleExtract!B:L,11,FALSE),"")</f>
        <v/>
      </c>
      <c r="M4019" s="47" t="str">
        <f>IFERROR(VLOOKUP(G4019,WholesaleExtract!B:M,12,FALSE),"")</f>
        <v/>
      </c>
      <c r="R4019" s="19"/>
      <c r="S4019" s="19"/>
    </row>
    <row r="4020" spans="1:19" x14ac:dyDescent="0.35">
      <c r="A4020" s="26" t="s">
        <v>543</v>
      </c>
      <c r="B4020" s="26" t="s">
        <v>543</v>
      </c>
      <c r="C4020" s="26"/>
      <c r="D4020" s="26" t="s">
        <v>543</v>
      </c>
      <c r="E4020" s="26" t="str">
        <f>IFERROR(VLOOKUP(G4020,WholesaleExtract!B:J,9,FALSE),"")</f>
        <v/>
      </c>
      <c r="F4020" s="26" t="str">
        <f>IFERROR(VLOOKUP(G4020,WholesaleExtract!B:J,6,FALSE),"")</f>
        <v/>
      </c>
      <c r="H4020" s="47" t="str">
        <f>IFERROR(VLOOKUP(G4020,WholesaleExtract!B:L,11,FALSE),"")</f>
        <v/>
      </c>
      <c r="I4020" s="26" t="str">
        <f>IFERROR(VLOOKUP(G4020,WholesaleExtract!B:O,8,FALSE),"")</f>
        <v/>
      </c>
      <c r="J4020" s="26" t="str">
        <f>IFERROR(VLOOKUP(G4020,WholesaleExtract!B:O,14,FALSE),"")</f>
        <v/>
      </c>
      <c r="K4020" s="26" t="str">
        <f>IFERROR(VLOOKUP(G4020,WholesaleExtract!B:K,10,FALSE),"")</f>
        <v/>
      </c>
      <c r="L4020" s="47" t="str">
        <f>IFERROR(VLOOKUP(G4020,WholesaleExtract!B:L,11,FALSE),"")</f>
        <v/>
      </c>
      <c r="M4020" s="47" t="str">
        <f>IFERROR(VLOOKUP(G4020,WholesaleExtract!B:M,12,FALSE),"")</f>
        <v/>
      </c>
      <c r="R4020" s="19"/>
      <c r="S4020" s="19"/>
    </row>
    <row r="4021" spans="1:19" x14ac:dyDescent="0.35">
      <c r="A4021" s="26" t="s">
        <v>543</v>
      </c>
      <c r="B4021" s="26" t="s">
        <v>543</v>
      </c>
      <c r="C4021" s="26"/>
      <c r="D4021" s="26" t="s">
        <v>543</v>
      </c>
      <c r="E4021" s="26" t="str">
        <f>IFERROR(VLOOKUP(G4021,WholesaleExtract!B:J,9,FALSE),"")</f>
        <v/>
      </c>
      <c r="F4021" s="26" t="str">
        <f>IFERROR(VLOOKUP(G4021,WholesaleExtract!B:J,6,FALSE),"")</f>
        <v/>
      </c>
      <c r="H4021" s="47" t="str">
        <f>IFERROR(VLOOKUP(G4021,WholesaleExtract!B:L,11,FALSE),"")</f>
        <v/>
      </c>
      <c r="I4021" s="26" t="str">
        <f>IFERROR(VLOOKUP(G4021,WholesaleExtract!B:O,8,FALSE),"")</f>
        <v/>
      </c>
      <c r="J4021" s="26" t="str">
        <f>IFERROR(VLOOKUP(G4021,WholesaleExtract!B:O,14,FALSE),"")</f>
        <v/>
      </c>
      <c r="K4021" s="26" t="str">
        <f>IFERROR(VLOOKUP(G4021,WholesaleExtract!B:K,10,FALSE),"")</f>
        <v/>
      </c>
      <c r="L4021" s="47" t="str">
        <f>IFERROR(VLOOKUP(G4021,WholesaleExtract!B:L,11,FALSE),"")</f>
        <v/>
      </c>
      <c r="M4021" s="47" t="str">
        <f>IFERROR(VLOOKUP(G4021,WholesaleExtract!B:M,12,FALSE),"")</f>
        <v/>
      </c>
      <c r="R4021" s="19"/>
      <c r="S4021" s="19"/>
    </row>
    <row r="4022" spans="1:19" x14ac:dyDescent="0.35">
      <c r="A4022" s="26" t="s">
        <v>543</v>
      </c>
      <c r="B4022" s="26" t="s">
        <v>543</v>
      </c>
      <c r="C4022" s="26"/>
      <c r="D4022" s="26" t="s">
        <v>543</v>
      </c>
      <c r="E4022" s="26" t="str">
        <f>IFERROR(VLOOKUP(G4022,WholesaleExtract!B:J,9,FALSE),"")</f>
        <v/>
      </c>
      <c r="F4022" s="26" t="str">
        <f>IFERROR(VLOOKUP(G4022,WholesaleExtract!B:J,6,FALSE),"")</f>
        <v/>
      </c>
      <c r="H4022" s="47" t="str">
        <f>IFERROR(VLOOKUP(G4022,WholesaleExtract!B:L,11,FALSE),"")</f>
        <v/>
      </c>
      <c r="I4022" s="26" t="str">
        <f>IFERROR(VLOOKUP(G4022,WholesaleExtract!B:O,8,FALSE),"")</f>
        <v/>
      </c>
      <c r="J4022" s="26" t="str">
        <f>IFERROR(VLOOKUP(G4022,WholesaleExtract!B:O,14,FALSE),"")</f>
        <v/>
      </c>
      <c r="K4022" s="26" t="str">
        <f>IFERROR(VLOOKUP(G4022,WholesaleExtract!B:K,10,FALSE),"")</f>
        <v/>
      </c>
      <c r="L4022" s="47" t="str">
        <f>IFERROR(VLOOKUP(G4022,WholesaleExtract!B:L,11,FALSE),"")</f>
        <v/>
      </c>
      <c r="M4022" s="47" t="str">
        <f>IFERROR(VLOOKUP(G4022,WholesaleExtract!B:M,12,FALSE),"")</f>
        <v/>
      </c>
      <c r="R4022" s="19"/>
      <c r="S4022" s="19"/>
    </row>
    <row r="4023" spans="1:19" x14ac:dyDescent="0.35">
      <c r="A4023" s="26" t="s">
        <v>543</v>
      </c>
      <c r="B4023" s="26" t="s">
        <v>543</v>
      </c>
      <c r="C4023" s="26"/>
      <c r="D4023" s="26" t="s">
        <v>543</v>
      </c>
      <c r="E4023" s="26" t="str">
        <f>IFERROR(VLOOKUP(G4023,WholesaleExtract!B:J,9,FALSE),"")</f>
        <v/>
      </c>
      <c r="F4023" s="26" t="str">
        <f>IFERROR(VLOOKUP(G4023,WholesaleExtract!B:J,6,FALSE),"")</f>
        <v/>
      </c>
      <c r="H4023" s="47" t="str">
        <f>IFERROR(VLOOKUP(G4023,WholesaleExtract!B:L,11,FALSE),"")</f>
        <v/>
      </c>
      <c r="I4023" s="26" t="str">
        <f>IFERROR(VLOOKUP(G4023,WholesaleExtract!B:O,8,FALSE),"")</f>
        <v/>
      </c>
      <c r="J4023" s="26" t="str">
        <f>IFERROR(VLOOKUP(G4023,WholesaleExtract!B:O,14,FALSE),"")</f>
        <v/>
      </c>
      <c r="K4023" s="26" t="str">
        <f>IFERROR(VLOOKUP(G4023,WholesaleExtract!B:K,10,FALSE),"")</f>
        <v/>
      </c>
      <c r="L4023" s="47" t="str">
        <f>IFERROR(VLOOKUP(G4023,WholesaleExtract!B:L,11,FALSE),"")</f>
        <v/>
      </c>
      <c r="M4023" s="47" t="str">
        <f>IFERROR(VLOOKUP(G4023,WholesaleExtract!B:M,12,FALSE),"")</f>
        <v/>
      </c>
      <c r="R4023" s="19"/>
      <c r="S4023" s="19"/>
    </row>
    <row r="4024" spans="1:19" x14ac:dyDescent="0.35">
      <c r="A4024" s="26" t="s">
        <v>543</v>
      </c>
      <c r="B4024" s="26" t="s">
        <v>543</v>
      </c>
      <c r="C4024" s="26"/>
      <c r="D4024" s="26" t="s">
        <v>543</v>
      </c>
      <c r="E4024" s="26" t="str">
        <f>IFERROR(VLOOKUP(G4024,WholesaleExtract!B:J,9,FALSE),"")</f>
        <v/>
      </c>
      <c r="F4024" s="26" t="str">
        <f>IFERROR(VLOOKUP(G4024,WholesaleExtract!B:J,6,FALSE),"")</f>
        <v/>
      </c>
      <c r="H4024" s="47" t="str">
        <f>IFERROR(VLOOKUP(G4024,WholesaleExtract!B:L,11,FALSE),"")</f>
        <v/>
      </c>
      <c r="I4024" s="26" t="str">
        <f>IFERROR(VLOOKUP(G4024,WholesaleExtract!B:O,8,FALSE),"")</f>
        <v/>
      </c>
      <c r="J4024" s="26" t="str">
        <f>IFERROR(VLOOKUP(G4024,WholesaleExtract!B:O,14,FALSE),"")</f>
        <v/>
      </c>
      <c r="K4024" s="26" t="str">
        <f>IFERROR(VLOOKUP(G4024,WholesaleExtract!B:K,10,FALSE),"")</f>
        <v/>
      </c>
      <c r="L4024" s="47" t="str">
        <f>IFERROR(VLOOKUP(G4024,WholesaleExtract!B:L,11,FALSE),"")</f>
        <v/>
      </c>
      <c r="M4024" s="47" t="str">
        <f>IFERROR(VLOOKUP(G4024,WholesaleExtract!B:M,12,FALSE),"")</f>
        <v/>
      </c>
      <c r="R4024" s="19"/>
      <c r="S4024" s="19"/>
    </row>
    <row r="4025" spans="1:19" x14ac:dyDescent="0.35">
      <c r="A4025" s="26" t="s">
        <v>543</v>
      </c>
      <c r="B4025" s="26" t="s">
        <v>543</v>
      </c>
      <c r="C4025" s="26"/>
      <c r="D4025" s="26" t="s">
        <v>543</v>
      </c>
      <c r="E4025" s="26" t="str">
        <f>IFERROR(VLOOKUP(G4025,WholesaleExtract!B:J,9,FALSE),"")</f>
        <v/>
      </c>
      <c r="F4025" s="26" t="str">
        <f>IFERROR(VLOOKUP(G4025,WholesaleExtract!B:J,6,FALSE),"")</f>
        <v/>
      </c>
      <c r="H4025" s="47" t="str">
        <f>IFERROR(VLOOKUP(G4025,WholesaleExtract!B:L,11,FALSE),"")</f>
        <v/>
      </c>
      <c r="I4025" s="26" t="str">
        <f>IFERROR(VLOOKUP(G4025,WholesaleExtract!B:O,8,FALSE),"")</f>
        <v/>
      </c>
      <c r="J4025" s="26" t="str">
        <f>IFERROR(VLOOKUP(G4025,WholesaleExtract!B:O,14,FALSE),"")</f>
        <v/>
      </c>
      <c r="K4025" s="26" t="str">
        <f>IFERROR(VLOOKUP(G4025,WholesaleExtract!B:K,10,FALSE),"")</f>
        <v/>
      </c>
      <c r="L4025" s="47" t="str">
        <f>IFERROR(VLOOKUP(G4025,WholesaleExtract!B:L,11,FALSE),"")</f>
        <v/>
      </c>
      <c r="M4025" s="47" t="str">
        <f>IFERROR(VLOOKUP(G4025,WholesaleExtract!B:M,12,FALSE),"")</f>
        <v/>
      </c>
      <c r="R4025" s="19"/>
      <c r="S4025" s="19"/>
    </row>
    <row r="4026" spans="1:19" x14ac:dyDescent="0.35">
      <c r="A4026" s="26" t="s">
        <v>543</v>
      </c>
      <c r="B4026" s="26" t="s">
        <v>543</v>
      </c>
      <c r="C4026" s="26"/>
      <c r="D4026" s="26" t="s">
        <v>543</v>
      </c>
      <c r="E4026" s="26" t="str">
        <f>IFERROR(VLOOKUP(G4026,WholesaleExtract!B:J,9,FALSE),"")</f>
        <v/>
      </c>
      <c r="F4026" s="26" t="str">
        <f>IFERROR(VLOOKUP(G4026,WholesaleExtract!B:J,6,FALSE),"")</f>
        <v/>
      </c>
      <c r="H4026" s="47" t="str">
        <f>IFERROR(VLOOKUP(G4026,WholesaleExtract!B:L,11,FALSE),"")</f>
        <v/>
      </c>
      <c r="I4026" s="26" t="str">
        <f>IFERROR(VLOOKUP(G4026,WholesaleExtract!B:O,8,FALSE),"")</f>
        <v/>
      </c>
      <c r="J4026" s="26" t="str">
        <f>IFERROR(VLOOKUP(G4026,WholesaleExtract!B:O,14,FALSE),"")</f>
        <v/>
      </c>
      <c r="K4026" s="26" t="str">
        <f>IFERROR(VLOOKUP(G4026,WholesaleExtract!B:K,10,FALSE),"")</f>
        <v/>
      </c>
      <c r="L4026" s="47" t="str">
        <f>IFERROR(VLOOKUP(G4026,WholesaleExtract!B:L,11,FALSE),"")</f>
        <v/>
      </c>
      <c r="M4026" s="47" t="str">
        <f>IFERROR(VLOOKUP(G4026,WholesaleExtract!B:M,12,FALSE),"")</f>
        <v/>
      </c>
      <c r="R4026" s="19"/>
      <c r="S4026" s="19"/>
    </row>
    <row r="4027" spans="1:19" x14ac:dyDescent="0.35">
      <c r="A4027" s="26" t="s">
        <v>543</v>
      </c>
      <c r="B4027" s="26" t="s">
        <v>543</v>
      </c>
      <c r="C4027" s="26"/>
      <c r="D4027" s="26" t="s">
        <v>543</v>
      </c>
      <c r="E4027" s="26" t="str">
        <f>IFERROR(VLOOKUP(G4027,WholesaleExtract!B:J,9,FALSE),"")</f>
        <v/>
      </c>
      <c r="F4027" s="26" t="str">
        <f>IFERROR(VLOOKUP(G4027,WholesaleExtract!B:J,6,FALSE),"")</f>
        <v/>
      </c>
      <c r="H4027" s="47" t="str">
        <f>IFERROR(VLOOKUP(G4027,WholesaleExtract!B:L,11,FALSE),"")</f>
        <v/>
      </c>
      <c r="I4027" s="26" t="str">
        <f>IFERROR(VLOOKUP(G4027,WholesaleExtract!B:O,8,FALSE),"")</f>
        <v/>
      </c>
      <c r="J4027" s="26" t="str">
        <f>IFERROR(VLOOKUP(G4027,WholesaleExtract!B:O,14,FALSE),"")</f>
        <v/>
      </c>
      <c r="K4027" s="26" t="str">
        <f>IFERROR(VLOOKUP(G4027,WholesaleExtract!B:K,10,FALSE),"")</f>
        <v/>
      </c>
      <c r="L4027" s="47" t="str">
        <f>IFERROR(VLOOKUP(G4027,WholesaleExtract!B:L,11,FALSE),"")</f>
        <v/>
      </c>
      <c r="M4027" s="47" t="str">
        <f>IFERROR(VLOOKUP(G4027,WholesaleExtract!B:M,12,FALSE),"")</f>
        <v/>
      </c>
      <c r="R4027" s="19"/>
      <c r="S4027" s="19"/>
    </row>
    <row r="4028" spans="1:19" x14ac:dyDescent="0.35">
      <c r="A4028" s="26" t="s">
        <v>543</v>
      </c>
      <c r="B4028" s="26" t="s">
        <v>543</v>
      </c>
      <c r="C4028" s="26"/>
      <c r="D4028" s="26" t="s">
        <v>543</v>
      </c>
      <c r="E4028" s="26" t="str">
        <f>IFERROR(VLOOKUP(G4028,WholesaleExtract!B:J,9,FALSE),"")</f>
        <v/>
      </c>
      <c r="F4028" s="26" t="str">
        <f>IFERROR(VLOOKUP(G4028,WholesaleExtract!B:J,6,FALSE),"")</f>
        <v/>
      </c>
      <c r="H4028" s="47" t="str">
        <f>IFERROR(VLOOKUP(G4028,WholesaleExtract!B:L,11,FALSE),"")</f>
        <v/>
      </c>
      <c r="I4028" s="26" t="str">
        <f>IFERROR(VLOOKUP(G4028,WholesaleExtract!B:O,8,FALSE),"")</f>
        <v/>
      </c>
      <c r="J4028" s="26" t="str">
        <f>IFERROR(VLOOKUP(G4028,WholesaleExtract!B:O,14,FALSE),"")</f>
        <v/>
      </c>
      <c r="K4028" s="26" t="str">
        <f>IFERROR(VLOOKUP(G4028,WholesaleExtract!B:K,10,FALSE),"")</f>
        <v/>
      </c>
      <c r="L4028" s="47" t="str">
        <f>IFERROR(VLOOKUP(G4028,WholesaleExtract!B:L,11,FALSE),"")</f>
        <v/>
      </c>
      <c r="M4028" s="47" t="str">
        <f>IFERROR(VLOOKUP(G4028,WholesaleExtract!B:M,12,FALSE),"")</f>
        <v/>
      </c>
      <c r="R4028" s="19"/>
      <c r="S4028" s="19"/>
    </row>
    <row r="4029" spans="1:19" x14ac:dyDescent="0.35">
      <c r="A4029" s="26" t="s">
        <v>543</v>
      </c>
      <c r="B4029" s="26" t="s">
        <v>543</v>
      </c>
      <c r="C4029" s="26"/>
      <c r="D4029" s="26" t="s">
        <v>543</v>
      </c>
      <c r="E4029" s="26" t="str">
        <f>IFERROR(VLOOKUP(G4029,WholesaleExtract!B:J,9,FALSE),"")</f>
        <v/>
      </c>
      <c r="F4029" s="26" t="str">
        <f>IFERROR(VLOOKUP(G4029,WholesaleExtract!B:J,6,FALSE),"")</f>
        <v/>
      </c>
      <c r="H4029" s="47" t="str">
        <f>IFERROR(VLOOKUP(G4029,WholesaleExtract!B:L,11,FALSE),"")</f>
        <v/>
      </c>
      <c r="I4029" s="26" t="str">
        <f>IFERROR(VLOOKUP(G4029,WholesaleExtract!B:O,8,FALSE),"")</f>
        <v/>
      </c>
      <c r="J4029" s="26" t="str">
        <f>IFERROR(VLOOKUP(G4029,WholesaleExtract!B:O,14,FALSE),"")</f>
        <v/>
      </c>
      <c r="K4029" s="26" t="str">
        <f>IFERROR(VLOOKUP(G4029,WholesaleExtract!B:K,10,FALSE),"")</f>
        <v/>
      </c>
      <c r="L4029" s="47" t="str">
        <f>IFERROR(VLOOKUP(G4029,WholesaleExtract!B:L,11,FALSE),"")</f>
        <v/>
      </c>
      <c r="M4029" s="47" t="str">
        <f>IFERROR(VLOOKUP(G4029,WholesaleExtract!B:M,12,FALSE),"")</f>
        <v/>
      </c>
      <c r="R4029" s="19"/>
      <c r="S4029" s="19"/>
    </row>
    <row r="4030" spans="1:19" x14ac:dyDescent="0.35">
      <c r="A4030" s="26" t="s">
        <v>543</v>
      </c>
      <c r="B4030" s="26" t="s">
        <v>543</v>
      </c>
      <c r="C4030" s="26"/>
      <c r="D4030" s="26" t="s">
        <v>543</v>
      </c>
      <c r="E4030" s="26" t="str">
        <f>IFERROR(VLOOKUP(G4030,WholesaleExtract!B:J,9,FALSE),"")</f>
        <v/>
      </c>
      <c r="F4030" s="26" t="str">
        <f>IFERROR(VLOOKUP(G4030,WholesaleExtract!B:J,6,FALSE),"")</f>
        <v/>
      </c>
      <c r="H4030" s="47" t="str">
        <f>IFERROR(VLOOKUP(G4030,WholesaleExtract!B:L,11,FALSE),"")</f>
        <v/>
      </c>
      <c r="I4030" s="26" t="str">
        <f>IFERROR(VLOOKUP(G4030,WholesaleExtract!B:O,8,FALSE),"")</f>
        <v/>
      </c>
      <c r="J4030" s="26" t="str">
        <f>IFERROR(VLOOKUP(G4030,WholesaleExtract!B:O,14,FALSE),"")</f>
        <v/>
      </c>
      <c r="K4030" s="26" t="str">
        <f>IFERROR(VLOOKUP(G4030,WholesaleExtract!B:K,10,FALSE),"")</f>
        <v/>
      </c>
      <c r="L4030" s="47" t="str">
        <f>IFERROR(VLOOKUP(G4030,WholesaleExtract!B:L,11,FALSE),"")</f>
        <v/>
      </c>
      <c r="M4030" s="47" t="str">
        <f>IFERROR(VLOOKUP(G4030,WholesaleExtract!B:M,12,FALSE),"")</f>
        <v/>
      </c>
      <c r="R4030" s="19"/>
      <c r="S4030" s="19"/>
    </row>
    <row r="4031" spans="1:19" x14ac:dyDescent="0.35">
      <c r="A4031" s="26" t="s">
        <v>543</v>
      </c>
      <c r="B4031" s="26" t="s">
        <v>543</v>
      </c>
      <c r="C4031" s="26"/>
      <c r="D4031" s="26" t="s">
        <v>543</v>
      </c>
      <c r="E4031" s="26" t="str">
        <f>IFERROR(VLOOKUP(G4031,WholesaleExtract!B:J,9,FALSE),"")</f>
        <v/>
      </c>
      <c r="F4031" s="26" t="str">
        <f>IFERROR(VLOOKUP(G4031,WholesaleExtract!B:J,6,FALSE),"")</f>
        <v/>
      </c>
      <c r="H4031" s="47" t="str">
        <f>IFERROR(VLOOKUP(G4031,WholesaleExtract!B:L,11,FALSE),"")</f>
        <v/>
      </c>
      <c r="I4031" s="26" t="str">
        <f>IFERROR(VLOOKUP(G4031,WholesaleExtract!B:O,8,FALSE),"")</f>
        <v/>
      </c>
      <c r="J4031" s="26" t="str">
        <f>IFERROR(VLOOKUP(G4031,WholesaleExtract!B:O,14,FALSE),"")</f>
        <v/>
      </c>
      <c r="K4031" s="26" t="str">
        <f>IFERROR(VLOOKUP(G4031,WholesaleExtract!B:K,10,FALSE),"")</f>
        <v/>
      </c>
      <c r="L4031" s="47" t="str">
        <f>IFERROR(VLOOKUP(G4031,WholesaleExtract!B:L,11,FALSE),"")</f>
        <v/>
      </c>
      <c r="M4031" s="47" t="str">
        <f>IFERROR(VLOOKUP(G4031,WholesaleExtract!B:M,12,FALSE),"")</f>
        <v/>
      </c>
      <c r="R4031" s="19"/>
      <c r="S4031" s="19"/>
    </row>
    <row r="4032" spans="1:19" x14ac:dyDescent="0.35">
      <c r="A4032" s="26" t="s">
        <v>543</v>
      </c>
      <c r="B4032" s="26" t="s">
        <v>543</v>
      </c>
      <c r="C4032" s="26"/>
      <c r="D4032" s="26" t="s">
        <v>543</v>
      </c>
      <c r="E4032" s="26" t="str">
        <f>IFERROR(VLOOKUP(G4032,WholesaleExtract!B:J,9,FALSE),"")</f>
        <v/>
      </c>
      <c r="F4032" s="26" t="str">
        <f>IFERROR(VLOOKUP(G4032,WholesaleExtract!B:J,6,FALSE),"")</f>
        <v/>
      </c>
      <c r="H4032" s="47" t="str">
        <f>IFERROR(VLOOKUP(G4032,WholesaleExtract!B:L,11,FALSE),"")</f>
        <v/>
      </c>
      <c r="I4032" s="26" t="str">
        <f>IFERROR(VLOOKUP(G4032,WholesaleExtract!B:O,8,FALSE),"")</f>
        <v/>
      </c>
      <c r="J4032" s="26" t="str">
        <f>IFERROR(VLOOKUP(G4032,WholesaleExtract!B:O,14,FALSE),"")</f>
        <v/>
      </c>
      <c r="K4032" s="26" t="str">
        <f>IFERROR(VLOOKUP(G4032,WholesaleExtract!B:K,10,FALSE),"")</f>
        <v/>
      </c>
      <c r="L4032" s="47" t="str">
        <f>IFERROR(VLOOKUP(G4032,WholesaleExtract!B:L,11,FALSE),"")</f>
        <v/>
      </c>
      <c r="M4032" s="47" t="str">
        <f>IFERROR(VLOOKUP(G4032,WholesaleExtract!B:M,12,FALSE),"")</f>
        <v/>
      </c>
      <c r="R4032" s="19"/>
      <c r="S4032" s="19"/>
    </row>
    <row r="4033" spans="1:19" x14ac:dyDescent="0.35">
      <c r="A4033" s="26" t="s">
        <v>543</v>
      </c>
      <c r="B4033" s="26" t="s">
        <v>543</v>
      </c>
      <c r="C4033" s="26"/>
      <c r="D4033" s="26" t="s">
        <v>543</v>
      </c>
      <c r="E4033" s="26" t="str">
        <f>IFERROR(VLOOKUP(G4033,WholesaleExtract!B:J,9,FALSE),"")</f>
        <v/>
      </c>
      <c r="F4033" s="26" t="str">
        <f>IFERROR(VLOOKUP(G4033,WholesaleExtract!B:J,6,FALSE),"")</f>
        <v/>
      </c>
      <c r="H4033" s="47" t="str">
        <f>IFERROR(VLOOKUP(G4033,WholesaleExtract!B:L,11,FALSE),"")</f>
        <v/>
      </c>
      <c r="I4033" s="26" t="str">
        <f>IFERROR(VLOOKUP(G4033,WholesaleExtract!B:O,8,FALSE),"")</f>
        <v/>
      </c>
      <c r="J4033" s="26" t="str">
        <f>IFERROR(VLOOKUP(G4033,WholesaleExtract!B:O,14,FALSE),"")</f>
        <v/>
      </c>
      <c r="K4033" s="26" t="str">
        <f>IFERROR(VLOOKUP(G4033,WholesaleExtract!B:K,10,FALSE),"")</f>
        <v/>
      </c>
      <c r="L4033" s="47" t="str">
        <f>IFERROR(VLOOKUP(G4033,WholesaleExtract!B:L,11,FALSE),"")</f>
        <v/>
      </c>
      <c r="M4033" s="47" t="str">
        <f>IFERROR(VLOOKUP(G4033,WholesaleExtract!B:M,12,FALSE),"")</f>
        <v/>
      </c>
      <c r="R4033" s="19"/>
      <c r="S4033" s="19"/>
    </row>
    <row r="4034" spans="1:19" x14ac:dyDescent="0.35">
      <c r="A4034" s="26" t="s">
        <v>543</v>
      </c>
      <c r="B4034" s="26" t="s">
        <v>543</v>
      </c>
      <c r="C4034" s="26"/>
      <c r="D4034" s="26" t="s">
        <v>543</v>
      </c>
      <c r="E4034" s="26" t="str">
        <f>IFERROR(VLOOKUP(G4034,WholesaleExtract!B:J,9,FALSE),"")</f>
        <v/>
      </c>
      <c r="F4034" s="26" t="str">
        <f>IFERROR(VLOOKUP(G4034,WholesaleExtract!B:J,6,FALSE),"")</f>
        <v/>
      </c>
      <c r="H4034" s="47" t="str">
        <f>IFERROR(VLOOKUP(G4034,WholesaleExtract!B:L,11,FALSE),"")</f>
        <v/>
      </c>
      <c r="I4034" s="26" t="str">
        <f>IFERROR(VLOOKUP(G4034,WholesaleExtract!B:O,8,FALSE),"")</f>
        <v/>
      </c>
      <c r="J4034" s="26" t="str">
        <f>IFERROR(VLOOKUP(G4034,WholesaleExtract!B:O,14,FALSE),"")</f>
        <v/>
      </c>
      <c r="K4034" s="26" t="str">
        <f>IFERROR(VLOOKUP(G4034,WholesaleExtract!B:K,10,FALSE),"")</f>
        <v/>
      </c>
      <c r="L4034" s="47" t="str">
        <f>IFERROR(VLOOKUP(G4034,WholesaleExtract!B:L,11,FALSE),"")</f>
        <v/>
      </c>
      <c r="M4034" s="47" t="str">
        <f>IFERROR(VLOOKUP(G4034,WholesaleExtract!B:M,12,FALSE),"")</f>
        <v/>
      </c>
      <c r="R4034" s="19"/>
      <c r="S4034" s="19"/>
    </row>
    <row r="4035" spans="1:19" x14ac:dyDescent="0.35">
      <c r="A4035" s="26" t="s">
        <v>543</v>
      </c>
      <c r="B4035" s="26" t="s">
        <v>543</v>
      </c>
      <c r="C4035" s="26"/>
      <c r="D4035" s="26" t="s">
        <v>543</v>
      </c>
      <c r="E4035" s="26" t="str">
        <f>IFERROR(VLOOKUP(G4035,WholesaleExtract!B:J,9,FALSE),"")</f>
        <v/>
      </c>
      <c r="F4035" s="26" t="str">
        <f>IFERROR(VLOOKUP(G4035,WholesaleExtract!B:J,6,FALSE),"")</f>
        <v/>
      </c>
      <c r="H4035" s="47" t="str">
        <f>IFERROR(VLOOKUP(G4035,WholesaleExtract!B:L,11,FALSE),"")</f>
        <v/>
      </c>
      <c r="I4035" s="26" t="str">
        <f>IFERROR(VLOOKUP(G4035,WholesaleExtract!B:O,8,FALSE),"")</f>
        <v/>
      </c>
      <c r="J4035" s="26" t="str">
        <f>IFERROR(VLOOKUP(G4035,WholesaleExtract!B:O,14,FALSE),"")</f>
        <v/>
      </c>
      <c r="K4035" s="26" t="str">
        <f>IFERROR(VLOOKUP(G4035,WholesaleExtract!B:K,10,FALSE),"")</f>
        <v/>
      </c>
      <c r="L4035" s="47" t="str">
        <f>IFERROR(VLOOKUP(G4035,WholesaleExtract!B:L,11,FALSE),"")</f>
        <v/>
      </c>
      <c r="M4035" s="47" t="str">
        <f>IFERROR(VLOOKUP(G4035,WholesaleExtract!B:M,12,FALSE),"")</f>
        <v/>
      </c>
      <c r="R4035" s="19"/>
      <c r="S4035" s="19"/>
    </row>
    <row r="4036" spans="1:19" x14ac:dyDescent="0.35">
      <c r="A4036" s="26" t="s">
        <v>543</v>
      </c>
      <c r="B4036" s="26" t="s">
        <v>543</v>
      </c>
      <c r="C4036" s="26"/>
      <c r="D4036" s="26" t="s">
        <v>543</v>
      </c>
      <c r="E4036" s="26" t="str">
        <f>IFERROR(VLOOKUP(G4036,WholesaleExtract!B:J,9,FALSE),"")</f>
        <v/>
      </c>
      <c r="F4036" s="26" t="str">
        <f>IFERROR(VLOOKUP(G4036,WholesaleExtract!B:J,6,FALSE),"")</f>
        <v/>
      </c>
      <c r="H4036" s="47" t="str">
        <f>IFERROR(VLOOKUP(G4036,WholesaleExtract!B:L,11,FALSE),"")</f>
        <v/>
      </c>
      <c r="I4036" s="26" t="str">
        <f>IFERROR(VLOOKUP(G4036,WholesaleExtract!B:O,8,FALSE),"")</f>
        <v/>
      </c>
      <c r="J4036" s="26" t="str">
        <f>IFERROR(VLOOKUP(G4036,WholesaleExtract!B:O,14,FALSE),"")</f>
        <v/>
      </c>
      <c r="K4036" s="26" t="str">
        <f>IFERROR(VLOOKUP(G4036,WholesaleExtract!B:K,10,FALSE),"")</f>
        <v/>
      </c>
      <c r="L4036" s="47" t="str">
        <f>IFERROR(VLOOKUP(G4036,WholesaleExtract!B:L,11,FALSE),"")</f>
        <v/>
      </c>
      <c r="M4036" s="47" t="str">
        <f>IFERROR(VLOOKUP(G4036,WholesaleExtract!B:M,12,FALSE),"")</f>
        <v/>
      </c>
      <c r="R4036" s="19"/>
      <c r="S4036" s="19"/>
    </row>
    <row r="4037" spans="1:19" x14ac:dyDescent="0.35">
      <c r="A4037" s="26" t="s">
        <v>543</v>
      </c>
      <c r="B4037" s="26" t="s">
        <v>543</v>
      </c>
      <c r="C4037" s="26"/>
      <c r="D4037" s="26" t="s">
        <v>543</v>
      </c>
      <c r="E4037" s="26" t="str">
        <f>IFERROR(VLOOKUP(G4037,WholesaleExtract!B:J,9,FALSE),"")</f>
        <v/>
      </c>
      <c r="F4037" s="26" t="str">
        <f>IFERROR(VLOOKUP(G4037,WholesaleExtract!B:J,6,FALSE),"")</f>
        <v/>
      </c>
      <c r="H4037" s="47" t="str">
        <f>IFERROR(VLOOKUP(G4037,WholesaleExtract!B:L,11,FALSE),"")</f>
        <v/>
      </c>
      <c r="I4037" s="26" t="str">
        <f>IFERROR(VLOOKUP(G4037,WholesaleExtract!B:O,8,FALSE),"")</f>
        <v/>
      </c>
      <c r="J4037" s="26" t="str">
        <f>IFERROR(VLOOKUP(G4037,WholesaleExtract!B:O,14,FALSE),"")</f>
        <v/>
      </c>
      <c r="K4037" s="26" t="str">
        <f>IFERROR(VLOOKUP(G4037,WholesaleExtract!B:K,10,FALSE),"")</f>
        <v/>
      </c>
      <c r="L4037" s="47" t="str">
        <f>IFERROR(VLOOKUP(G4037,WholesaleExtract!B:L,11,FALSE),"")</f>
        <v/>
      </c>
      <c r="M4037" s="47" t="str">
        <f>IFERROR(VLOOKUP(G4037,WholesaleExtract!B:M,12,FALSE),"")</f>
        <v/>
      </c>
      <c r="R4037" s="19"/>
      <c r="S4037" s="19"/>
    </row>
    <row r="4038" spans="1:19" x14ac:dyDescent="0.35">
      <c r="A4038" s="26" t="s">
        <v>543</v>
      </c>
      <c r="B4038" s="26" t="s">
        <v>543</v>
      </c>
      <c r="C4038" s="26"/>
      <c r="D4038" s="26" t="s">
        <v>543</v>
      </c>
      <c r="E4038" s="26" t="str">
        <f>IFERROR(VLOOKUP(G4038,WholesaleExtract!B:J,9,FALSE),"")</f>
        <v/>
      </c>
      <c r="F4038" s="26" t="str">
        <f>IFERROR(VLOOKUP(G4038,WholesaleExtract!B:J,6,FALSE),"")</f>
        <v/>
      </c>
      <c r="H4038" s="47" t="str">
        <f>IFERROR(VLOOKUP(G4038,WholesaleExtract!B:L,11,FALSE),"")</f>
        <v/>
      </c>
      <c r="I4038" s="26" t="str">
        <f>IFERROR(VLOOKUP(G4038,WholesaleExtract!B:O,8,FALSE),"")</f>
        <v/>
      </c>
      <c r="J4038" s="26" t="str">
        <f>IFERROR(VLOOKUP(G4038,WholesaleExtract!B:O,14,FALSE),"")</f>
        <v/>
      </c>
      <c r="K4038" s="26" t="str">
        <f>IFERROR(VLOOKUP(G4038,WholesaleExtract!B:K,10,FALSE),"")</f>
        <v/>
      </c>
      <c r="L4038" s="47" t="str">
        <f>IFERROR(VLOOKUP(G4038,WholesaleExtract!B:L,11,FALSE),"")</f>
        <v/>
      </c>
      <c r="M4038" s="47" t="str">
        <f>IFERROR(VLOOKUP(G4038,WholesaleExtract!B:M,12,FALSE),"")</f>
        <v/>
      </c>
      <c r="R4038" s="19"/>
      <c r="S4038" s="19"/>
    </row>
    <row r="4039" spans="1:19" x14ac:dyDescent="0.35">
      <c r="A4039" s="26" t="s">
        <v>543</v>
      </c>
      <c r="B4039" s="26" t="s">
        <v>543</v>
      </c>
      <c r="C4039" s="26"/>
      <c r="D4039" s="26" t="s">
        <v>543</v>
      </c>
      <c r="E4039" s="26" t="str">
        <f>IFERROR(VLOOKUP(G4039,WholesaleExtract!B:J,9,FALSE),"")</f>
        <v/>
      </c>
      <c r="F4039" s="26" t="str">
        <f>IFERROR(VLOOKUP(G4039,WholesaleExtract!B:J,6,FALSE),"")</f>
        <v/>
      </c>
      <c r="H4039" s="47" t="str">
        <f>IFERROR(VLOOKUP(G4039,WholesaleExtract!B:L,11,FALSE),"")</f>
        <v/>
      </c>
      <c r="I4039" s="26" t="str">
        <f>IFERROR(VLOOKUP(G4039,WholesaleExtract!B:O,8,FALSE),"")</f>
        <v/>
      </c>
      <c r="J4039" s="26" t="str">
        <f>IFERROR(VLOOKUP(G4039,WholesaleExtract!B:O,14,FALSE),"")</f>
        <v/>
      </c>
      <c r="K4039" s="26" t="str">
        <f>IFERROR(VLOOKUP(G4039,WholesaleExtract!B:K,10,FALSE),"")</f>
        <v/>
      </c>
      <c r="L4039" s="47" t="str">
        <f>IFERROR(VLOOKUP(G4039,WholesaleExtract!B:L,11,FALSE),"")</f>
        <v/>
      </c>
      <c r="M4039" s="47" t="str">
        <f>IFERROR(VLOOKUP(G4039,WholesaleExtract!B:M,12,FALSE),"")</f>
        <v/>
      </c>
      <c r="R4039" s="19"/>
      <c r="S4039" s="19"/>
    </row>
    <row r="4040" spans="1:19" x14ac:dyDescent="0.35">
      <c r="A4040" s="26" t="s">
        <v>543</v>
      </c>
      <c r="B4040" s="26" t="s">
        <v>543</v>
      </c>
      <c r="C4040" s="26"/>
      <c r="D4040" s="26" t="s">
        <v>543</v>
      </c>
      <c r="E4040" s="26" t="str">
        <f>IFERROR(VLOOKUP(G4040,WholesaleExtract!B:J,9,FALSE),"")</f>
        <v/>
      </c>
      <c r="F4040" s="26" t="str">
        <f>IFERROR(VLOOKUP(G4040,WholesaleExtract!B:J,6,FALSE),"")</f>
        <v/>
      </c>
      <c r="H4040" s="47" t="str">
        <f>IFERROR(VLOOKUP(G4040,WholesaleExtract!B:L,11,FALSE),"")</f>
        <v/>
      </c>
      <c r="I4040" s="26" t="str">
        <f>IFERROR(VLOOKUP(G4040,WholesaleExtract!B:O,8,FALSE),"")</f>
        <v/>
      </c>
      <c r="J4040" s="26" t="str">
        <f>IFERROR(VLOOKUP(G4040,WholesaleExtract!B:O,14,FALSE),"")</f>
        <v/>
      </c>
      <c r="K4040" s="26" t="str">
        <f>IFERROR(VLOOKUP(G4040,WholesaleExtract!B:K,10,FALSE),"")</f>
        <v/>
      </c>
      <c r="L4040" s="47" t="str">
        <f>IFERROR(VLOOKUP(G4040,WholesaleExtract!B:L,11,FALSE),"")</f>
        <v/>
      </c>
      <c r="M4040" s="47" t="str">
        <f>IFERROR(VLOOKUP(G4040,WholesaleExtract!B:M,12,FALSE),"")</f>
        <v/>
      </c>
      <c r="R4040" s="19"/>
      <c r="S4040" s="19"/>
    </row>
    <row r="4041" spans="1:19" x14ac:dyDescent="0.35">
      <c r="A4041" s="26" t="s">
        <v>543</v>
      </c>
      <c r="B4041" s="26" t="s">
        <v>543</v>
      </c>
      <c r="C4041" s="26"/>
      <c r="D4041" s="26" t="s">
        <v>543</v>
      </c>
      <c r="E4041" s="26" t="str">
        <f>IFERROR(VLOOKUP(G4041,WholesaleExtract!B:J,9,FALSE),"")</f>
        <v/>
      </c>
      <c r="F4041" s="26" t="str">
        <f>IFERROR(VLOOKUP(G4041,WholesaleExtract!B:J,6,FALSE),"")</f>
        <v/>
      </c>
      <c r="H4041" s="47" t="str">
        <f>IFERROR(VLOOKUP(G4041,WholesaleExtract!B:L,11,FALSE),"")</f>
        <v/>
      </c>
      <c r="I4041" s="26" t="str">
        <f>IFERROR(VLOOKUP(G4041,WholesaleExtract!B:O,8,FALSE),"")</f>
        <v/>
      </c>
      <c r="J4041" s="26" t="str">
        <f>IFERROR(VLOOKUP(G4041,WholesaleExtract!B:O,14,FALSE),"")</f>
        <v/>
      </c>
      <c r="K4041" s="26" t="str">
        <f>IFERROR(VLOOKUP(G4041,WholesaleExtract!B:K,10,FALSE),"")</f>
        <v/>
      </c>
      <c r="L4041" s="47" t="str">
        <f>IFERROR(VLOOKUP(G4041,WholesaleExtract!B:L,11,FALSE),"")</f>
        <v/>
      </c>
      <c r="M4041" s="47" t="str">
        <f>IFERROR(VLOOKUP(G4041,WholesaleExtract!B:M,12,FALSE),"")</f>
        <v/>
      </c>
      <c r="R4041" s="19"/>
      <c r="S4041" s="19"/>
    </row>
    <row r="4042" spans="1:19" x14ac:dyDescent="0.35">
      <c r="A4042" s="26" t="s">
        <v>543</v>
      </c>
      <c r="B4042" s="26" t="s">
        <v>543</v>
      </c>
      <c r="C4042" s="26"/>
      <c r="D4042" s="26" t="s">
        <v>543</v>
      </c>
      <c r="E4042" s="26" t="str">
        <f>IFERROR(VLOOKUP(G4042,WholesaleExtract!B:J,9,FALSE),"")</f>
        <v/>
      </c>
      <c r="F4042" s="26" t="str">
        <f>IFERROR(VLOOKUP(G4042,WholesaleExtract!B:J,6,FALSE),"")</f>
        <v/>
      </c>
      <c r="H4042" s="47" t="str">
        <f>IFERROR(VLOOKUP(G4042,WholesaleExtract!B:L,11,FALSE),"")</f>
        <v/>
      </c>
      <c r="I4042" s="26" t="str">
        <f>IFERROR(VLOOKUP(G4042,WholesaleExtract!B:O,8,FALSE),"")</f>
        <v/>
      </c>
      <c r="J4042" s="26" t="str">
        <f>IFERROR(VLOOKUP(G4042,WholesaleExtract!B:O,14,FALSE),"")</f>
        <v/>
      </c>
      <c r="K4042" s="26" t="str">
        <f>IFERROR(VLOOKUP(G4042,WholesaleExtract!B:K,10,FALSE),"")</f>
        <v/>
      </c>
      <c r="L4042" s="47" t="str">
        <f>IFERROR(VLOOKUP(G4042,WholesaleExtract!B:L,11,FALSE),"")</f>
        <v/>
      </c>
      <c r="M4042" s="47" t="str">
        <f>IFERROR(VLOOKUP(G4042,WholesaleExtract!B:M,12,FALSE),"")</f>
        <v/>
      </c>
      <c r="R4042" s="19"/>
      <c r="S4042" s="19"/>
    </row>
    <row r="4043" spans="1:19" x14ac:dyDescent="0.35">
      <c r="A4043" s="26" t="s">
        <v>543</v>
      </c>
      <c r="B4043" s="26" t="s">
        <v>543</v>
      </c>
      <c r="C4043" s="26"/>
      <c r="D4043" s="26" t="s">
        <v>543</v>
      </c>
      <c r="E4043" s="26" t="str">
        <f>IFERROR(VLOOKUP(G4043,WholesaleExtract!B:J,9,FALSE),"")</f>
        <v/>
      </c>
      <c r="F4043" s="26" t="str">
        <f>IFERROR(VLOOKUP(G4043,WholesaleExtract!B:J,6,FALSE),"")</f>
        <v/>
      </c>
      <c r="H4043" s="47" t="str">
        <f>IFERROR(VLOOKUP(G4043,WholesaleExtract!B:L,11,FALSE),"")</f>
        <v/>
      </c>
      <c r="I4043" s="26" t="str">
        <f>IFERROR(VLOOKUP(G4043,WholesaleExtract!B:O,8,FALSE),"")</f>
        <v/>
      </c>
      <c r="J4043" s="26" t="str">
        <f>IFERROR(VLOOKUP(G4043,WholesaleExtract!B:O,14,FALSE),"")</f>
        <v/>
      </c>
      <c r="K4043" s="26" t="str">
        <f>IFERROR(VLOOKUP(G4043,WholesaleExtract!B:K,10,FALSE),"")</f>
        <v/>
      </c>
      <c r="L4043" s="47" t="str">
        <f>IFERROR(VLOOKUP(G4043,WholesaleExtract!B:L,11,FALSE),"")</f>
        <v/>
      </c>
      <c r="M4043" s="47" t="str">
        <f>IFERROR(VLOOKUP(G4043,WholesaleExtract!B:M,12,FALSE),"")</f>
        <v/>
      </c>
      <c r="R4043" s="19"/>
      <c r="S4043" s="19"/>
    </row>
    <row r="4044" spans="1:19" x14ac:dyDescent="0.35">
      <c r="A4044" s="26" t="s">
        <v>543</v>
      </c>
      <c r="B4044" s="26" t="s">
        <v>543</v>
      </c>
      <c r="C4044" s="26"/>
      <c r="D4044" s="26" t="s">
        <v>543</v>
      </c>
      <c r="E4044" s="26" t="str">
        <f>IFERROR(VLOOKUP(G4044,WholesaleExtract!B:J,9,FALSE),"")</f>
        <v/>
      </c>
      <c r="F4044" s="26" t="str">
        <f>IFERROR(VLOOKUP(G4044,WholesaleExtract!B:J,6,FALSE),"")</f>
        <v/>
      </c>
      <c r="H4044" s="47" t="str">
        <f>IFERROR(VLOOKUP(G4044,WholesaleExtract!B:L,11,FALSE),"")</f>
        <v/>
      </c>
      <c r="I4044" s="26" t="str">
        <f>IFERROR(VLOOKUP(G4044,WholesaleExtract!B:O,8,FALSE),"")</f>
        <v/>
      </c>
      <c r="J4044" s="26" t="str">
        <f>IFERROR(VLOOKUP(G4044,WholesaleExtract!B:O,14,FALSE),"")</f>
        <v/>
      </c>
      <c r="K4044" s="26" t="str">
        <f>IFERROR(VLOOKUP(G4044,WholesaleExtract!B:K,10,FALSE),"")</f>
        <v/>
      </c>
      <c r="L4044" s="47" t="str">
        <f>IFERROR(VLOOKUP(G4044,WholesaleExtract!B:L,11,FALSE),"")</f>
        <v/>
      </c>
      <c r="M4044" s="47" t="str">
        <f>IFERROR(VLOOKUP(G4044,WholesaleExtract!B:M,12,FALSE),"")</f>
        <v/>
      </c>
      <c r="R4044" s="19"/>
      <c r="S4044" s="19"/>
    </row>
    <row r="4045" spans="1:19" x14ac:dyDescent="0.35">
      <c r="A4045" s="26" t="s">
        <v>543</v>
      </c>
      <c r="B4045" s="26" t="s">
        <v>543</v>
      </c>
      <c r="C4045" s="26"/>
      <c r="D4045" s="26" t="s">
        <v>543</v>
      </c>
      <c r="E4045" s="26" t="str">
        <f>IFERROR(VLOOKUP(G4045,WholesaleExtract!B:J,9,FALSE),"")</f>
        <v/>
      </c>
      <c r="F4045" s="26" t="str">
        <f>IFERROR(VLOOKUP(G4045,WholesaleExtract!B:J,6,FALSE),"")</f>
        <v/>
      </c>
      <c r="H4045" s="47" t="str">
        <f>IFERROR(VLOOKUP(G4045,WholesaleExtract!B:L,11,FALSE),"")</f>
        <v/>
      </c>
      <c r="I4045" s="26" t="str">
        <f>IFERROR(VLOOKUP(G4045,WholesaleExtract!B:O,8,FALSE),"")</f>
        <v/>
      </c>
      <c r="J4045" s="26" t="str">
        <f>IFERROR(VLOOKUP(G4045,WholesaleExtract!B:O,14,FALSE),"")</f>
        <v/>
      </c>
      <c r="K4045" s="26" t="str">
        <f>IFERROR(VLOOKUP(G4045,WholesaleExtract!B:K,10,FALSE),"")</f>
        <v/>
      </c>
      <c r="L4045" s="47" t="str">
        <f>IFERROR(VLOOKUP(G4045,WholesaleExtract!B:L,11,FALSE),"")</f>
        <v/>
      </c>
      <c r="M4045" s="47" t="str">
        <f>IFERROR(VLOOKUP(G4045,WholesaleExtract!B:M,12,FALSE),"")</f>
        <v/>
      </c>
      <c r="R4045" s="19"/>
      <c r="S4045" s="19"/>
    </row>
    <row r="4046" spans="1:19" x14ac:dyDescent="0.35">
      <c r="A4046" s="26" t="s">
        <v>543</v>
      </c>
      <c r="B4046" s="26" t="s">
        <v>543</v>
      </c>
      <c r="C4046" s="26"/>
      <c r="D4046" s="26" t="s">
        <v>543</v>
      </c>
      <c r="E4046" s="26" t="str">
        <f>IFERROR(VLOOKUP(G4046,WholesaleExtract!B:J,9,FALSE),"")</f>
        <v/>
      </c>
      <c r="F4046" s="26" t="str">
        <f>IFERROR(VLOOKUP(G4046,WholesaleExtract!B:J,6,FALSE),"")</f>
        <v/>
      </c>
      <c r="H4046" s="47" t="str">
        <f>IFERROR(VLOOKUP(G4046,WholesaleExtract!B:L,11,FALSE),"")</f>
        <v/>
      </c>
      <c r="I4046" s="26" t="str">
        <f>IFERROR(VLOOKUP(G4046,WholesaleExtract!B:O,8,FALSE),"")</f>
        <v/>
      </c>
      <c r="J4046" s="26" t="str">
        <f>IFERROR(VLOOKUP(G4046,WholesaleExtract!B:O,14,FALSE),"")</f>
        <v/>
      </c>
      <c r="K4046" s="26" t="str">
        <f>IFERROR(VLOOKUP(G4046,WholesaleExtract!B:K,10,FALSE),"")</f>
        <v/>
      </c>
      <c r="L4046" s="47" t="str">
        <f>IFERROR(VLOOKUP(G4046,WholesaleExtract!B:L,11,FALSE),"")</f>
        <v/>
      </c>
      <c r="M4046" s="47" t="str">
        <f>IFERROR(VLOOKUP(G4046,WholesaleExtract!B:M,12,FALSE),"")</f>
        <v/>
      </c>
      <c r="R4046" s="19"/>
      <c r="S4046" s="19"/>
    </row>
    <row r="4047" spans="1:19" x14ac:dyDescent="0.35">
      <c r="A4047" s="26" t="s">
        <v>543</v>
      </c>
      <c r="B4047" s="26" t="s">
        <v>543</v>
      </c>
      <c r="C4047" s="26"/>
      <c r="D4047" s="26" t="s">
        <v>543</v>
      </c>
      <c r="E4047" s="26" t="str">
        <f>IFERROR(VLOOKUP(G4047,WholesaleExtract!B:J,9,FALSE),"")</f>
        <v/>
      </c>
      <c r="F4047" s="26" t="str">
        <f>IFERROR(VLOOKUP(G4047,WholesaleExtract!B:J,6,FALSE),"")</f>
        <v/>
      </c>
      <c r="H4047" s="47" t="str">
        <f>IFERROR(VLOOKUP(G4047,WholesaleExtract!B:L,11,FALSE),"")</f>
        <v/>
      </c>
      <c r="I4047" s="26" t="str">
        <f>IFERROR(VLOOKUP(G4047,WholesaleExtract!B:O,8,FALSE),"")</f>
        <v/>
      </c>
      <c r="J4047" s="26" t="str">
        <f>IFERROR(VLOOKUP(G4047,WholesaleExtract!B:O,14,FALSE),"")</f>
        <v/>
      </c>
      <c r="K4047" s="26" t="str">
        <f>IFERROR(VLOOKUP(G4047,WholesaleExtract!B:K,10,FALSE),"")</f>
        <v/>
      </c>
      <c r="L4047" s="47" t="str">
        <f>IFERROR(VLOOKUP(G4047,WholesaleExtract!B:L,11,FALSE),"")</f>
        <v/>
      </c>
      <c r="M4047" s="47" t="str">
        <f>IFERROR(VLOOKUP(G4047,WholesaleExtract!B:M,12,FALSE),"")</f>
        <v/>
      </c>
      <c r="R4047" s="19"/>
      <c r="S4047" s="19"/>
    </row>
    <row r="4048" spans="1:19" x14ac:dyDescent="0.35">
      <c r="A4048" s="26" t="s">
        <v>543</v>
      </c>
      <c r="B4048" s="26" t="s">
        <v>543</v>
      </c>
      <c r="C4048" s="26"/>
      <c r="D4048" s="26" t="s">
        <v>543</v>
      </c>
      <c r="E4048" s="26" t="str">
        <f>IFERROR(VLOOKUP(G4048,WholesaleExtract!B:J,9,FALSE),"")</f>
        <v/>
      </c>
      <c r="F4048" s="26" t="str">
        <f>IFERROR(VLOOKUP(G4048,WholesaleExtract!B:J,6,FALSE),"")</f>
        <v/>
      </c>
      <c r="H4048" s="47" t="str">
        <f>IFERROR(VLOOKUP(G4048,WholesaleExtract!B:L,11,FALSE),"")</f>
        <v/>
      </c>
      <c r="I4048" s="26" t="str">
        <f>IFERROR(VLOOKUP(G4048,WholesaleExtract!B:O,8,FALSE),"")</f>
        <v/>
      </c>
      <c r="J4048" s="26" t="str">
        <f>IFERROR(VLOOKUP(G4048,WholesaleExtract!B:O,14,FALSE),"")</f>
        <v/>
      </c>
      <c r="K4048" s="26" t="str">
        <f>IFERROR(VLOOKUP(G4048,WholesaleExtract!B:K,10,FALSE),"")</f>
        <v/>
      </c>
      <c r="L4048" s="47" t="str">
        <f>IFERROR(VLOOKUP(G4048,WholesaleExtract!B:L,11,FALSE),"")</f>
        <v/>
      </c>
      <c r="M4048" s="47" t="str">
        <f>IFERROR(VLOOKUP(G4048,WholesaleExtract!B:M,12,FALSE),"")</f>
        <v/>
      </c>
      <c r="R4048" s="19"/>
      <c r="S4048" s="19"/>
    </row>
    <row r="4049" spans="1:19" x14ac:dyDescent="0.35">
      <c r="A4049" s="26" t="s">
        <v>543</v>
      </c>
      <c r="B4049" s="26" t="s">
        <v>543</v>
      </c>
      <c r="C4049" s="26"/>
      <c r="D4049" s="26" t="s">
        <v>543</v>
      </c>
      <c r="E4049" s="26" t="str">
        <f>IFERROR(VLOOKUP(G4049,WholesaleExtract!B:J,9,FALSE),"")</f>
        <v/>
      </c>
      <c r="F4049" s="26" t="str">
        <f>IFERROR(VLOOKUP(G4049,WholesaleExtract!B:J,6,FALSE),"")</f>
        <v/>
      </c>
      <c r="H4049" s="47" t="str">
        <f>IFERROR(VLOOKUP(G4049,WholesaleExtract!B:L,11,FALSE),"")</f>
        <v/>
      </c>
      <c r="I4049" s="26" t="str">
        <f>IFERROR(VLOOKUP(G4049,WholesaleExtract!B:O,8,FALSE),"")</f>
        <v/>
      </c>
      <c r="J4049" s="26" t="str">
        <f>IFERROR(VLOOKUP(G4049,WholesaleExtract!B:O,14,FALSE),"")</f>
        <v/>
      </c>
      <c r="K4049" s="26" t="str">
        <f>IFERROR(VLOOKUP(G4049,WholesaleExtract!B:K,10,FALSE),"")</f>
        <v/>
      </c>
      <c r="L4049" s="47" t="str">
        <f>IFERROR(VLOOKUP(G4049,WholesaleExtract!B:L,11,FALSE),"")</f>
        <v/>
      </c>
      <c r="M4049" s="47" t="str">
        <f>IFERROR(VLOOKUP(G4049,WholesaleExtract!B:M,12,FALSE),"")</f>
        <v/>
      </c>
      <c r="R4049" s="19"/>
      <c r="S4049" s="19"/>
    </row>
    <row r="4050" spans="1:19" x14ac:dyDescent="0.35">
      <c r="A4050" s="26" t="s">
        <v>543</v>
      </c>
      <c r="B4050" s="26" t="s">
        <v>543</v>
      </c>
      <c r="C4050" s="26"/>
      <c r="D4050" s="26" t="s">
        <v>543</v>
      </c>
      <c r="E4050" s="26" t="str">
        <f>IFERROR(VLOOKUP(G4050,WholesaleExtract!B:J,9,FALSE),"")</f>
        <v/>
      </c>
      <c r="F4050" s="26" t="str">
        <f>IFERROR(VLOOKUP(G4050,WholesaleExtract!B:J,6,FALSE),"")</f>
        <v/>
      </c>
      <c r="H4050" s="47" t="str">
        <f>IFERROR(VLOOKUP(G4050,WholesaleExtract!B:L,11,FALSE),"")</f>
        <v/>
      </c>
      <c r="I4050" s="26" t="str">
        <f>IFERROR(VLOOKUP(G4050,WholesaleExtract!B:O,8,FALSE),"")</f>
        <v/>
      </c>
      <c r="J4050" s="26" t="str">
        <f>IFERROR(VLOOKUP(G4050,WholesaleExtract!B:O,14,FALSE),"")</f>
        <v/>
      </c>
      <c r="K4050" s="26" t="str">
        <f>IFERROR(VLOOKUP(G4050,WholesaleExtract!B:K,10,FALSE),"")</f>
        <v/>
      </c>
      <c r="L4050" s="47" t="str">
        <f>IFERROR(VLOOKUP(G4050,WholesaleExtract!B:L,11,FALSE),"")</f>
        <v/>
      </c>
      <c r="M4050" s="47" t="str">
        <f>IFERROR(VLOOKUP(G4050,WholesaleExtract!B:M,12,FALSE),"")</f>
        <v/>
      </c>
      <c r="R4050" s="19"/>
      <c r="S4050" s="19"/>
    </row>
    <row r="4051" spans="1:19" x14ac:dyDescent="0.35">
      <c r="A4051" s="26" t="s">
        <v>543</v>
      </c>
      <c r="B4051" s="26" t="s">
        <v>543</v>
      </c>
      <c r="C4051" s="26"/>
      <c r="D4051" s="26" t="s">
        <v>543</v>
      </c>
      <c r="E4051" s="26" t="str">
        <f>IFERROR(VLOOKUP(G4051,WholesaleExtract!B:J,9,FALSE),"")</f>
        <v/>
      </c>
      <c r="F4051" s="26" t="str">
        <f>IFERROR(VLOOKUP(G4051,WholesaleExtract!B:J,6,FALSE),"")</f>
        <v/>
      </c>
      <c r="H4051" s="47" t="str">
        <f>IFERROR(VLOOKUP(G4051,WholesaleExtract!B:L,11,FALSE),"")</f>
        <v/>
      </c>
      <c r="I4051" s="26" t="str">
        <f>IFERROR(VLOOKUP(G4051,WholesaleExtract!B:O,8,FALSE),"")</f>
        <v/>
      </c>
      <c r="J4051" s="26" t="str">
        <f>IFERROR(VLOOKUP(G4051,WholesaleExtract!B:O,14,FALSE),"")</f>
        <v/>
      </c>
      <c r="K4051" s="26" t="str">
        <f>IFERROR(VLOOKUP(G4051,WholesaleExtract!B:K,10,FALSE),"")</f>
        <v/>
      </c>
      <c r="L4051" s="47" t="str">
        <f>IFERROR(VLOOKUP(G4051,WholesaleExtract!B:L,11,FALSE),"")</f>
        <v/>
      </c>
      <c r="M4051" s="47" t="str">
        <f>IFERROR(VLOOKUP(G4051,WholesaleExtract!B:M,12,FALSE),"")</f>
        <v/>
      </c>
      <c r="R4051" s="19"/>
      <c r="S4051" s="19"/>
    </row>
    <row r="4052" spans="1:19" x14ac:dyDescent="0.35">
      <c r="A4052" s="26" t="s">
        <v>543</v>
      </c>
      <c r="B4052" s="26" t="s">
        <v>543</v>
      </c>
      <c r="C4052" s="26"/>
      <c r="D4052" s="26" t="s">
        <v>543</v>
      </c>
      <c r="E4052" s="26" t="str">
        <f>IFERROR(VLOOKUP(G4052,WholesaleExtract!B:J,9,FALSE),"")</f>
        <v/>
      </c>
      <c r="F4052" s="26" t="str">
        <f>IFERROR(VLOOKUP(G4052,WholesaleExtract!B:J,6,FALSE),"")</f>
        <v/>
      </c>
      <c r="H4052" s="47" t="str">
        <f>IFERROR(VLOOKUP(G4052,WholesaleExtract!B:L,11,FALSE),"")</f>
        <v/>
      </c>
      <c r="I4052" s="26" t="str">
        <f>IFERROR(VLOOKUP(G4052,WholesaleExtract!B:O,8,FALSE),"")</f>
        <v/>
      </c>
      <c r="J4052" s="26" t="str">
        <f>IFERROR(VLOOKUP(G4052,WholesaleExtract!B:O,14,FALSE),"")</f>
        <v/>
      </c>
      <c r="K4052" s="26" t="str">
        <f>IFERROR(VLOOKUP(G4052,WholesaleExtract!B:K,10,FALSE),"")</f>
        <v/>
      </c>
      <c r="L4052" s="47" t="str">
        <f>IFERROR(VLOOKUP(G4052,WholesaleExtract!B:L,11,FALSE),"")</f>
        <v/>
      </c>
      <c r="M4052" s="47" t="str">
        <f>IFERROR(VLOOKUP(G4052,WholesaleExtract!B:M,12,FALSE),"")</f>
        <v/>
      </c>
      <c r="R4052" s="19"/>
      <c r="S4052" s="19"/>
    </row>
    <row r="4053" spans="1:19" x14ac:dyDescent="0.35">
      <c r="A4053" s="26" t="s">
        <v>543</v>
      </c>
      <c r="B4053" s="26" t="s">
        <v>543</v>
      </c>
      <c r="C4053" s="26"/>
      <c r="D4053" s="26" t="s">
        <v>543</v>
      </c>
      <c r="E4053" s="26" t="str">
        <f>IFERROR(VLOOKUP(G4053,WholesaleExtract!B:J,9,FALSE),"")</f>
        <v/>
      </c>
      <c r="F4053" s="26" t="str">
        <f>IFERROR(VLOOKUP(G4053,WholesaleExtract!B:J,6,FALSE),"")</f>
        <v/>
      </c>
      <c r="H4053" s="47" t="str">
        <f>IFERROR(VLOOKUP(G4053,WholesaleExtract!B:L,11,FALSE),"")</f>
        <v/>
      </c>
      <c r="I4053" s="26" t="str">
        <f>IFERROR(VLOOKUP(G4053,WholesaleExtract!B:O,8,FALSE),"")</f>
        <v/>
      </c>
      <c r="J4053" s="26" t="str">
        <f>IFERROR(VLOOKUP(G4053,WholesaleExtract!B:O,14,FALSE),"")</f>
        <v/>
      </c>
      <c r="K4053" s="26" t="str">
        <f>IFERROR(VLOOKUP(G4053,WholesaleExtract!B:K,10,FALSE),"")</f>
        <v/>
      </c>
      <c r="L4053" s="47" t="str">
        <f>IFERROR(VLOOKUP(G4053,WholesaleExtract!B:L,11,FALSE),"")</f>
        <v/>
      </c>
      <c r="M4053" s="47" t="str">
        <f>IFERROR(VLOOKUP(G4053,WholesaleExtract!B:M,12,FALSE),"")</f>
        <v/>
      </c>
      <c r="R4053" s="19"/>
      <c r="S4053" s="19"/>
    </row>
    <row r="4054" spans="1:19" x14ac:dyDescent="0.35">
      <c r="A4054" s="26" t="s">
        <v>543</v>
      </c>
      <c r="B4054" s="26" t="s">
        <v>543</v>
      </c>
      <c r="C4054" s="26"/>
      <c r="D4054" s="26" t="s">
        <v>543</v>
      </c>
      <c r="E4054" s="26" t="str">
        <f>IFERROR(VLOOKUP(G4054,WholesaleExtract!B:J,9,FALSE),"")</f>
        <v/>
      </c>
      <c r="F4054" s="26" t="str">
        <f>IFERROR(VLOOKUP(G4054,WholesaleExtract!B:J,6,FALSE),"")</f>
        <v/>
      </c>
      <c r="H4054" s="47" t="str">
        <f>IFERROR(VLOOKUP(G4054,WholesaleExtract!B:L,11,FALSE),"")</f>
        <v/>
      </c>
      <c r="I4054" s="26" t="str">
        <f>IFERROR(VLOOKUP(G4054,WholesaleExtract!B:O,8,FALSE),"")</f>
        <v/>
      </c>
      <c r="J4054" s="26" t="str">
        <f>IFERROR(VLOOKUP(G4054,WholesaleExtract!B:O,14,FALSE),"")</f>
        <v/>
      </c>
      <c r="K4054" s="26" t="str">
        <f>IFERROR(VLOOKUP(G4054,WholesaleExtract!B:K,10,FALSE),"")</f>
        <v/>
      </c>
      <c r="L4054" s="47" t="str">
        <f>IFERROR(VLOOKUP(G4054,WholesaleExtract!B:L,11,FALSE),"")</f>
        <v/>
      </c>
      <c r="M4054" s="47" t="str">
        <f>IFERROR(VLOOKUP(G4054,WholesaleExtract!B:M,12,FALSE),"")</f>
        <v/>
      </c>
      <c r="R4054" s="19"/>
      <c r="S4054" s="19"/>
    </row>
    <row r="4055" spans="1:19" x14ac:dyDescent="0.35">
      <c r="A4055" s="26" t="s">
        <v>543</v>
      </c>
      <c r="B4055" s="26" t="s">
        <v>543</v>
      </c>
      <c r="C4055" s="26"/>
      <c r="D4055" s="26" t="s">
        <v>543</v>
      </c>
      <c r="E4055" s="26" t="str">
        <f>IFERROR(VLOOKUP(G4055,WholesaleExtract!B:J,9,FALSE),"")</f>
        <v/>
      </c>
      <c r="F4055" s="26" t="str">
        <f>IFERROR(VLOOKUP(G4055,WholesaleExtract!B:J,6,FALSE),"")</f>
        <v/>
      </c>
      <c r="H4055" s="47" t="str">
        <f>IFERROR(VLOOKUP(G4055,WholesaleExtract!B:L,11,FALSE),"")</f>
        <v/>
      </c>
      <c r="I4055" s="26" t="str">
        <f>IFERROR(VLOOKUP(G4055,WholesaleExtract!B:O,8,FALSE),"")</f>
        <v/>
      </c>
      <c r="J4055" s="26" t="str">
        <f>IFERROR(VLOOKUP(G4055,WholesaleExtract!B:O,14,FALSE),"")</f>
        <v/>
      </c>
      <c r="K4055" s="26" t="str">
        <f>IFERROR(VLOOKUP(G4055,WholesaleExtract!B:K,10,FALSE),"")</f>
        <v/>
      </c>
      <c r="L4055" s="47" t="str">
        <f>IFERROR(VLOOKUP(G4055,WholesaleExtract!B:L,11,FALSE),"")</f>
        <v/>
      </c>
      <c r="M4055" s="47" t="str">
        <f>IFERROR(VLOOKUP(G4055,WholesaleExtract!B:M,12,FALSE),"")</f>
        <v/>
      </c>
      <c r="R4055" s="19"/>
      <c r="S4055" s="19"/>
    </row>
    <row r="4056" spans="1:19" x14ac:dyDescent="0.35">
      <c r="A4056" s="26" t="s">
        <v>543</v>
      </c>
      <c r="B4056" s="26" t="s">
        <v>543</v>
      </c>
      <c r="C4056" s="26"/>
      <c r="D4056" s="26" t="s">
        <v>543</v>
      </c>
      <c r="E4056" s="26" t="str">
        <f>IFERROR(VLOOKUP(G4056,WholesaleExtract!B:J,9,FALSE),"")</f>
        <v/>
      </c>
      <c r="F4056" s="26" t="str">
        <f>IFERROR(VLOOKUP(G4056,WholesaleExtract!B:J,6,FALSE),"")</f>
        <v/>
      </c>
      <c r="H4056" s="47" t="str">
        <f>IFERROR(VLOOKUP(G4056,WholesaleExtract!B:L,11,FALSE),"")</f>
        <v/>
      </c>
      <c r="I4056" s="26" t="str">
        <f>IFERROR(VLOOKUP(G4056,WholesaleExtract!B:O,8,FALSE),"")</f>
        <v/>
      </c>
      <c r="J4056" s="26" t="str">
        <f>IFERROR(VLOOKUP(G4056,WholesaleExtract!B:O,14,FALSE),"")</f>
        <v/>
      </c>
      <c r="K4056" s="26" t="str">
        <f>IFERROR(VLOOKUP(G4056,WholesaleExtract!B:K,10,FALSE),"")</f>
        <v/>
      </c>
      <c r="L4056" s="47" t="str">
        <f>IFERROR(VLOOKUP(G4056,WholesaleExtract!B:L,11,FALSE),"")</f>
        <v/>
      </c>
      <c r="M4056" s="47" t="str">
        <f>IFERROR(VLOOKUP(G4056,WholesaleExtract!B:M,12,FALSE),"")</f>
        <v/>
      </c>
      <c r="R4056" s="19"/>
      <c r="S4056" s="19"/>
    </row>
    <row r="4057" spans="1:19" x14ac:dyDescent="0.35">
      <c r="A4057" s="26" t="s">
        <v>543</v>
      </c>
      <c r="B4057" s="26" t="s">
        <v>543</v>
      </c>
      <c r="C4057" s="26"/>
      <c r="D4057" s="26" t="s">
        <v>543</v>
      </c>
      <c r="E4057" s="26" t="str">
        <f>IFERROR(VLOOKUP(G4057,WholesaleExtract!B:J,9,FALSE),"")</f>
        <v/>
      </c>
      <c r="F4057" s="26" t="str">
        <f>IFERROR(VLOOKUP(G4057,WholesaleExtract!B:J,6,FALSE),"")</f>
        <v/>
      </c>
      <c r="H4057" s="47" t="str">
        <f>IFERROR(VLOOKUP(G4057,WholesaleExtract!B:L,11,FALSE),"")</f>
        <v/>
      </c>
      <c r="I4057" s="26" t="str">
        <f>IFERROR(VLOOKUP(G4057,WholesaleExtract!B:O,8,FALSE),"")</f>
        <v/>
      </c>
      <c r="J4057" s="26" t="str">
        <f>IFERROR(VLOOKUP(G4057,WholesaleExtract!B:O,14,FALSE),"")</f>
        <v/>
      </c>
      <c r="K4057" s="26" t="str">
        <f>IFERROR(VLOOKUP(G4057,WholesaleExtract!B:K,10,FALSE),"")</f>
        <v/>
      </c>
      <c r="L4057" s="47" t="str">
        <f>IFERROR(VLOOKUP(G4057,WholesaleExtract!B:L,11,FALSE),"")</f>
        <v/>
      </c>
      <c r="M4057" s="47" t="str">
        <f>IFERROR(VLOOKUP(G4057,WholesaleExtract!B:M,12,FALSE),"")</f>
        <v/>
      </c>
      <c r="R4057" s="19"/>
      <c r="S4057" s="19"/>
    </row>
    <row r="4058" spans="1:19" x14ac:dyDescent="0.35">
      <c r="A4058" s="26" t="s">
        <v>543</v>
      </c>
      <c r="B4058" s="26" t="s">
        <v>543</v>
      </c>
      <c r="C4058" s="26"/>
      <c r="D4058" s="26" t="s">
        <v>543</v>
      </c>
      <c r="E4058" s="26" t="str">
        <f>IFERROR(VLOOKUP(G4058,WholesaleExtract!B:J,9,FALSE),"")</f>
        <v/>
      </c>
      <c r="F4058" s="26" t="str">
        <f>IFERROR(VLOOKUP(G4058,WholesaleExtract!B:J,6,FALSE),"")</f>
        <v/>
      </c>
      <c r="H4058" s="47" t="str">
        <f>IFERROR(VLOOKUP(G4058,WholesaleExtract!B:L,11,FALSE),"")</f>
        <v/>
      </c>
      <c r="I4058" s="26" t="str">
        <f>IFERROR(VLOOKUP(G4058,WholesaleExtract!B:O,8,FALSE),"")</f>
        <v/>
      </c>
      <c r="J4058" s="26" t="str">
        <f>IFERROR(VLOOKUP(G4058,WholesaleExtract!B:O,14,FALSE),"")</f>
        <v/>
      </c>
      <c r="K4058" s="26" t="str">
        <f>IFERROR(VLOOKUP(G4058,WholesaleExtract!B:K,10,FALSE),"")</f>
        <v/>
      </c>
      <c r="L4058" s="47" t="str">
        <f>IFERROR(VLOOKUP(G4058,WholesaleExtract!B:L,11,FALSE),"")</f>
        <v/>
      </c>
      <c r="M4058" s="47" t="str">
        <f>IFERROR(VLOOKUP(G4058,WholesaleExtract!B:M,12,FALSE),"")</f>
        <v/>
      </c>
      <c r="R4058" s="19"/>
      <c r="S4058" s="19"/>
    </row>
    <row r="4059" spans="1:19" x14ac:dyDescent="0.35">
      <c r="A4059" s="26" t="s">
        <v>543</v>
      </c>
      <c r="B4059" s="26" t="s">
        <v>543</v>
      </c>
      <c r="C4059" s="26"/>
      <c r="D4059" s="26" t="s">
        <v>543</v>
      </c>
      <c r="E4059" s="26" t="str">
        <f>IFERROR(VLOOKUP(G4059,WholesaleExtract!B:J,9,FALSE),"")</f>
        <v/>
      </c>
      <c r="F4059" s="26" t="str">
        <f>IFERROR(VLOOKUP(G4059,WholesaleExtract!B:J,6,FALSE),"")</f>
        <v/>
      </c>
      <c r="H4059" s="47" t="str">
        <f>IFERROR(VLOOKUP(G4059,WholesaleExtract!B:L,11,FALSE),"")</f>
        <v/>
      </c>
      <c r="I4059" s="26" t="str">
        <f>IFERROR(VLOOKUP(G4059,WholesaleExtract!B:O,8,FALSE),"")</f>
        <v/>
      </c>
      <c r="J4059" s="26" t="str">
        <f>IFERROR(VLOOKUP(G4059,WholesaleExtract!B:O,14,FALSE),"")</f>
        <v/>
      </c>
      <c r="K4059" s="26" t="str">
        <f>IFERROR(VLOOKUP(G4059,WholesaleExtract!B:K,10,FALSE),"")</f>
        <v/>
      </c>
      <c r="L4059" s="47" t="str">
        <f>IFERROR(VLOOKUP(G4059,WholesaleExtract!B:L,11,FALSE),"")</f>
        <v/>
      </c>
      <c r="M4059" s="47" t="str">
        <f>IFERROR(VLOOKUP(G4059,WholesaleExtract!B:M,12,FALSE),"")</f>
        <v/>
      </c>
      <c r="R4059" s="19"/>
      <c r="S4059" s="19"/>
    </row>
    <row r="4060" spans="1:19" x14ac:dyDescent="0.35">
      <c r="A4060" s="26" t="s">
        <v>543</v>
      </c>
      <c r="B4060" s="26" t="s">
        <v>543</v>
      </c>
      <c r="C4060" s="26"/>
      <c r="D4060" s="26" t="s">
        <v>543</v>
      </c>
      <c r="E4060" s="26" t="str">
        <f>IFERROR(VLOOKUP(G4060,WholesaleExtract!B:J,9,FALSE),"")</f>
        <v/>
      </c>
      <c r="F4060" s="26" t="str">
        <f>IFERROR(VLOOKUP(G4060,WholesaleExtract!B:J,6,FALSE),"")</f>
        <v/>
      </c>
      <c r="H4060" s="47" t="str">
        <f>IFERROR(VLOOKUP(G4060,WholesaleExtract!B:L,11,FALSE),"")</f>
        <v/>
      </c>
      <c r="I4060" s="26" t="str">
        <f>IFERROR(VLOOKUP(G4060,WholesaleExtract!B:O,8,FALSE),"")</f>
        <v/>
      </c>
      <c r="J4060" s="26" t="str">
        <f>IFERROR(VLOOKUP(G4060,WholesaleExtract!B:O,14,FALSE),"")</f>
        <v/>
      </c>
      <c r="K4060" s="26" t="str">
        <f>IFERROR(VLOOKUP(G4060,WholesaleExtract!B:K,10,FALSE),"")</f>
        <v/>
      </c>
      <c r="L4060" s="47" t="str">
        <f>IFERROR(VLOOKUP(G4060,WholesaleExtract!B:L,11,FALSE),"")</f>
        <v/>
      </c>
      <c r="M4060" s="47" t="str">
        <f>IFERROR(VLOOKUP(G4060,WholesaleExtract!B:M,12,FALSE),"")</f>
        <v/>
      </c>
      <c r="R4060" s="19"/>
      <c r="S4060" s="19"/>
    </row>
    <row r="4061" spans="1:19" x14ac:dyDescent="0.35">
      <c r="A4061" s="26" t="s">
        <v>543</v>
      </c>
      <c r="B4061" s="26" t="s">
        <v>543</v>
      </c>
      <c r="C4061" s="26"/>
      <c r="D4061" s="26" t="s">
        <v>543</v>
      </c>
      <c r="E4061" s="26" t="str">
        <f>IFERROR(VLOOKUP(G4061,WholesaleExtract!B:J,9,FALSE),"")</f>
        <v/>
      </c>
      <c r="F4061" s="26" t="str">
        <f>IFERROR(VLOOKUP(G4061,WholesaleExtract!B:J,6,FALSE),"")</f>
        <v/>
      </c>
      <c r="H4061" s="47" t="str">
        <f>IFERROR(VLOOKUP(G4061,WholesaleExtract!B:L,11,FALSE),"")</f>
        <v/>
      </c>
      <c r="I4061" s="26" t="str">
        <f>IFERROR(VLOOKUP(G4061,WholesaleExtract!B:O,8,FALSE),"")</f>
        <v/>
      </c>
      <c r="J4061" s="26" t="str">
        <f>IFERROR(VLOOKUP(G4061,WholesaleExtract!B:O,14,FALSE),"")</f>
        <v/>
      </c>
      <c r="K4061" s="26" t="str">
        <f>IFERROR(VLOOKUP(G4061,WholesaleExtract!B:K,10,FALSE),"")</f>
        <v/>
      </c>
      <c r="L4061" s="47" t="str">
        <f>IFERROR(VLOOKUP(G4061,WholesaleExtract!B:L,11,FALSE),"")</f>
        <v/>
      </c>
      <c r="M4061" s="47" t="str">
        <f>IFERROR(VLOOKUP(G4061,WholesaleExtract!B:M,12,FALSE),"")</f>
        <v/>
      </c>
      <c r="R4061" s="19"/>
      <c r="S4061" s="19"/>
    </row>
    <row r="4062" spans="1:19" x14ac:dyDescent="0.35">
      <c r="A4062" s="26" t="s">
        <v>543</v>
      </c>
      <c r="B4062" s="26" t="s">
        <v>543</v>
      </c>
      <c r="C4062" s="26"/>
      <c r="D4062" s="26" t="s">
        <v>543</v>
      </c>
      <c r="E4062" s="26" t="str">
        <f>IFERROR(VLOOKUP(G4062,WholesaleExtract!B:J,9,FALSE),"")</f>
        <v/>
      </c>
      <c r="F4062" s="26" t="str">
        <f>IFERROR(VLOOKUP(G4062,WholesaleExtract!B:J,6,FALSE),"")</f>
        <v/>
      </c>
      <c r="H4062" s="47" t="str">
        <f>IFERROR(VLOOKUP(G4062,WholesaleExtract!B:L,11,FALSE),"")</f>
        <v/>
      </c>
      <c r="I4062" s="26" t="str">
        <f>IFERROR(VLOOKUP(G4062,WholesaleExtract!B:O,8,FALSE),"")</f>
        <v/>
      </c>
      <c r="J4062" s="26" t="str">
        <f>IFERROR(VLOOKUP(G4062,WholesaleExtract!B:O,14,FALSE),"")</f>
        <v/>
      </c>
      <c r="K4062" s="26" t="str">
        <f>IFERROR(VLOOKUP(G4062,WholesaleExtract!B:K,10,FALSE),"")</f>
        <v/>
      </c>
      <c r="L4062" s="47" t="str">
        <f>IFERROR(VLOOKUP(G4062,WholesaleExtract!B:L,11,FALSE),"")</f>
        <v/>
      </c>
      <c r="M4062" s="47" t="str">
        <f>IFERROR(VLOOKUP(G4062,WholesaleExtract!B:M,12,FALSE),"")</f>
        <v/>
      </c>
      <c r="R4062" s="19"/>
      <c r="S4062" s="19"/>
    </row>
    <row r="4063" spans="1:19" x14ac:dyDescent="0.35">
      <c r="A4063" s="26" t="s">
        <v>543</v>
      </c>
      <c r="B4063" s="26" t="s">
        <v>543</v>
      </c>
      <c r="C4063" s="26"/>
      <c r="D4063" s="26" t="s">
        <v>543</v>
      </c>
      <c r="E4063" s="26" t="str">
        <f>IFERROR(VLOOKUP(G4063,WholesaleExtract!B:J,9,FALSE),"")</f>
        <v/>
      </c>
      <c r="F4063" s="26" t="str">
        <f>IFERROR(VLOOKUP(G4063,WholesaleExtract!B:J,6,FALSE),"")</f>
        <v/>
      </c>
      <c r="H4063" s="47" t="str">
        <f>IFERROR(VLOOKUP(G4063,WholesaleExtract!B:L,11,FALSE),"")</f>
        <v/>
      </c>
      <c r="I4063" s="26" t="str">
        <f>IFERROR(VLOOKUP(G4063,WholesaleExtract!B:O,8,FALSE),"")</f>
        <v/>
      </c>
      <c r="J4063" s="26" t="str">
        <f>IFERROR(VLOOKUP(G4063,WholesaleExtract!B:O,14,FALSE),"")</f>
        <v/>
      </c>
      <c r="K4063" s="26" t="str">
        <f>IFERROR(VLOOKUP(G4063,WholesaleExtract!B:K,10,FALSE),"")</f>
        <v/>
      </c>
      <c r="L4063" s="47" t="str">
        <f>IFERROR(VLOOKUP(G4063,WholesaleExtract!B:L,11,FALSE),"")</f>
        <v/>
      </c>
      <c r="M4063" s="47" t="str">
        <f>IFERROR(VLOOKUP(G4063,WholesaleExtract!B:M,12,FALSE),"")</f>
        <v/>
      </c>
      <c r="R4063" s="19"/>
      <c r="S4063" s="19"/>
    </row>
    <row r="4064" spans="1:19" x14ac:dyDescent="0.35">
      <c r="A4064" s="26" t="s">
        <v>543</v>
      </c>
      <c r="B4064" s="26" t="s">
        <v>543</v>
      </c>
      <c r="C4064" s="26"/>
      <c r="D4064" s="26" t="s">
        <v>543</v>
      </c>
      <c r="E4064" s="26" t="str">
        <f>IFERROR(VLOOKUP(G4064,WholesaleExtract!B:J,9,FALSE),"")</f>
        <v/>
      </c>
      <c r="F4064" s="26" t="str">
        <f>IFERROR(VLOOKUP(G4064,WholesaleExtract!B:J,6,FALSE),"")</f>
        <v/>
      </c>
      <c r="H4064" s="47" t="str">
        <f>IFERROR(VLOOKUP(G4064,WholesaleExtract!B:L,11,FALSE),"")</f>
        <v/>
      </c>
      <c r="I4064" s="26" t="str">
        <f>IFERROR(VLOOKUP(G4064,WholesaleExtract!B:O,8,FALSE),"")</f>
        <v/>
      </c>
      <c r="J4064" s="26" t="str">
        <f>IFERROR(VLOOKUP(G4064,WholesaleExtract!B:O,14,FALSE),"")</f>
        <v/>
      </c>
      <c r="K4064" s="26" t="str">
        <f>IFERROR(VLOOKUP(G4064,WholesaleExtract!B:K,10,FALSE),"")</f>
        <v/>
      </c>
      <c r="L4064" s="47" t="str">
        <f>IFERROR(VLOOKUP(G4064,WholesaleExtract!B:L,11,FALSE),"")</f>
        <v/>
      </c>
      <c r="M4064" s="47" t="str">
        <f>IFERROR(VLOOKUP(G4064,WholesaleExtract!B:M,12,FALSE),"")</f>
        <v/>
      </c>
      <c r="R4064" s="19"/>
      <c r="S4064" s="19"/>
    </row>
    <row r="4065" spans="1:19" x14ac:dyDescent="0.35">
      <c r="A4065" s="26" t="s">
        <v>543</v>
      </c>
      <c r="B4065" s="26" t="s">
        <v>543</v>
      </c>
      <c r="C4065" s="26"/>
      <c r="D4065" s="26" t="s">
        <v>543</v>
      </c>
      <c r="E4065" s="26" t="str">
        <f>IFERROR(VLOOKUP(G4065,WholesaleExtract!B:J,9,FALSE),"")</f>
        <v/>
      </c>
      <c r="F4065" s="26" t="str">
        <f>IFERROR(VLOOKUP(G4065,WholesaleExtract!B:J,6,FALSE),"")</f>
        <v/>
      </c>
      <c r="H4065" s="47" t="str">
        <f>IFERROR(VLOOKUP(G4065,WholesaleExtract!B:L,11,FALSE),"")</f>
        <v/>
      </c>
      <c r="I4065" s="26" t="str">
        <f>IFERROR(VLOOKUP(G4065,WholesaleExtract!B:O,8,FALSE),"")</f>
        <v/>
      </c>
      <c r="J4065" s="26" t="str">
        <f>IFERROR(VLOOKUP(G4065,WholesaleExtract!B:O,14,FALSE),"")</f>
        <v/>
      </c>
      <c r="K4065" s="26" t="str">
        <f>IFERROR(VLOOKUP(G4065,WholesaleExtract!B:K,10,FALSE),"")</f>
        <v/>
      </c>
      <c r="L4065" s="47" t="str">
        <f>IFERROR(VLOOKUP(G4065,WholesaleExtract!B:L,11,FALSE),"")</f>
        <v/>
      </c>
      <c r="M4065" s="47" t="str">
        <f>IFERROR(VLOOKUP(G4065,WholesaleExtract!B:M,12,FALSE),"")</f>
        <v/>
      </c>
      <c r="R4065" s="19"/>
      <c r="S4065" s="19"/>
    </row>
    <row r="4066" spans="1:19" x14ac:dyDescent="0.35">
      <c r="A4066" s="26" t="s">
        <v>543</v>
      </c>
      <c r="B4066" s="26" t="s">
        <v>543</v>
      </c>
      <c r="C4066" s="26"/>
      <c r="D4066" s="26" t="s">
        <v>543</v>
      </c>
      <c r="E4066" s="26" t="str">
        <f>IFERROR(VLOOKUP(G4066,WholesaleExtract!B:J,9,FALSE),"")</f>
        <v/>
      </c>
      <c r="F4066" s="26" t="str">
        <f>IFERROR(VLOOKUP(G4066,WholesaleExtract!B:J,6,FALSE),"")</f>
        <v/>
      </c>
      <c r="H4066" s="47" t="str">
        <f>IFERROR(VLOOKUP(G4066,WholesaleExtract!B:L,11,FALSE),"")</f>
        <v/>
      </c>
      <c r="I4066" s="26" t="str">
        <f>IFERROR(VLOOKUP(G4066,WholesaleExtract!B:O,8,FALSE),"")</f>
        <v/>
      </c>
      <c r="J4066" s="26" t="str">
        <f>IFERROR(VLOOKUP(G4066,WholesaleExtract!B:O,14,FALSE),"")</f>
        <v/>
      </c>
      <c r="K4066" s="26" t="str">
        <f>IFERROR(VLOOKUP(G4066,WholesaleExtract!B:K,10,FALSE),"")</f>
        <v/>
      </c>
      <c r="L4066" s="47" t="str">
        <f>IFERROR(VLOOKUP(G4066,WholesaleExtract!B:L,11,FALSE),"")</f>
        <v/>
      </c>
      <c r="M4066" s="47" t="str">
        <f>IFERROR(VLOOKUP(G4066,WholesaleExtract!B:M,12,FALSE),"")</f>
        <v/>
      </c>
      <c r="R4066" s="19"/>
      <c r="S4066" s="19"/>
    </row>
    <row r="4067" spans="1:19" x14ac:dyDescent="0.35">
      <c r="A4067" s="26" t="s">
        <v>543</v>
      </c>
      <c r="B4067" s="26" t="s">
        <v>543</v>
      </c>
      <c r="C4067" s="26"/>
      <c r="D4067" s="26" t="s">
        <v>543</v>
      </c>
      <c r="E4067" s="26" t="str">
        <f>IFERROR(VLOOKUP(G4067,WholesaleExtract!B:J,9,FALSE),"")</f>
        <v/>
      </c>
      <c r="F4067" s="26" t="str">
        <f>IFERROR(VLOOKUP(G4067,WholesaleExtract!B:J,6,FALSE),"")</f>
        <v/>
      </c>
      <c r="H4067" s="47" t="str">
        <f>IFERROR(VLOOKUP(G4067,WholesaleExtract!B:L,11,FALSE),"")</f>
        <v/>
      </c>
      <c r="I4067" s="26" t="str">
        <f>IFERROR(VLOOKUP(G4067,WholesaleExtract!B:O,8,FALSE),"")</f>
        <v/>
      </c>
      <c r="J4067" s="26" t="str">
        <f>IFERROR(VLOOKUP(G4067,WholesaleExtract!B:O,14,FALSE),"")</f>
        <v/>
      </c>
      <c r="K4067" s="26" t="str">
        <f>IFERROR(VLOOKUP(G4067,WholesaleExtract!B:K,10,FALSE),"")</f>
        <v/>
      </c>
      <c r="L4067" s="47" t="str">
        <f>IFERROR(VLOOKUP(G4067,WholesaleExtract!B:L,11,FALSE),"")</f>
        <v/>
      </c>
      <c r="M4067" s="47" t="str">
        <f>IFERROR(VLOOKUP(G4067,WholesaleExtract!B:M,12,FALSE),"")</f>
        <v/>
      </c>
      <c r="R4067" s="19"/>
      <c r="S4067" s="19"/>
    </row>
    <row r="4068" spans="1:19" x14ac:dyDescent="0.35">
      <c r="A4068" s="26" t="s">
        <v>543</v>
      </c>
      <c r="B4068" s="26" t="s">
        <v>543</v>
      </c>
      <c r="C4068" s="26"/>
      <c r="D4068" s="26" t="s">
        <v>543</v>
      </c>
      <c r="E4068" s="26" t="str">
        <f>IFERROR(VLOOKUP(G4068,WholesaleExtract!B:J,9,FALSE),"")</f>
        <v/>
      </c>
      <c r="F4068" s="26" t="str">
        <f>IFERROR(VLOOKUP(G4068,WholesaleExtract!B:J,6,FALSE),"")</f>
        <v/>
      </c>
      <c r="H4068" s="47" t="str">
        <f>IFERROR(VLOOKUP(G4068,WholesaleExtract!B:L,11,FALSE),"")</f>
        <v/>
      </c>
      <c r="I4068" s="26" t="str">
        <f>IFERROR(VLOOKUP(G4068,WholesaleExtract!B:O,8,FALSE),"")</f>
        <v/>
      </c>
      <c r="J4068" s="26" t="str">
        <f>IFERROR(VLOOKUP(G4068,WholesaleExtract!B:O,14,FALSE),"")</f>
        <v/>
      </c>
      <c r="K4068" s="26" t="str">
        <f>IFERROR(VLOOKUP(G4068,WholesaleExtract!B:K,10,FALSE),"")</f>
        <v/>
      </c>
      <c r="L4068" s="47" t="str">
        <f>IFERROR(VLOOKUP(G4068,WholesaleExtract!B:L,11,FALSE),"")</f>
        <v/>
      </c>
      <c r="M4068" s="47" t="str">
        <f>IFERROR(VLOOKUP(G4068,WholesaleExtract!B:M,12,FALSE),"")</f>
        <v/>
      </c>
      <c r="R4068" s="19"/>
      <c r="S4068" s="19"/>
    </row>
    <row r="4069" spans="1:19" x14ac:dyDescent="0.35">
      <c r="A4069" s="26" t="s">
        <v>543</v>
      </c>
      <c r="B4069" s="26" t="s">
        <v>543</v>
      </c>
      <c r="C4069" s="26"/>
      <c r="D4069" s="26" t="s">
        <v>543</v>
      </c>
      <c r="E4069" s="26" t="str">
        <f>IFERROR(VLOOKUP(G4069,WholesaleExtract!B:J,9,FALSE),"")</f>
        <v/>
      </c>
      <c r="F4069" s="26" t="str">
        <f>IFERROR(VLOOKUP(G4069,WholesaleExtract!B:J,6,FALSE),"")</f>
        <v/>
      </c>
      <c r="H4069" s="47" t="str">
        <f>IFERROR(VLOOKUP(G4069,WholesaleExtract!B:L,11,FALSE),"")</f>
        <v/>
      </c>
      <c r="I4069" s="26" t="str">
        <f>IFERROR(VLOOKUP(G4069,WholesaleExtract!B:O,8,FALSE),"")</f>
        <v/>
      </c>
      <c r="J4069" s="26" t="str">
        <f>IFERROR(VLOOKUP(G4069,WholesaleExtract!B:O,14,FALSE),"")</f>
        <v/>
      </c>
      <c r="K4069" s="26" t="str">
        <f>IFERROR(VLOOKUP(G4069,WholesaleExtract!B:K,10,FALSE),"")</f>
        <v/>
      </c>
      <c r="L4069" s="47" t="str">
        <f>IFERROR(VLOOKUP(G4069,WholesaleExtract!B:L,11,FALSE),"")</f>
        <v/>
      </c>
      <c r="M4069" s="47" t="str">
        <f>IFERROR(VLOOKUP(G4069,WholesaleExtract!B:M,12,FALSE),"")</f>
        <v/>
      </c>
      <c r="R4069" s="19"/>
      <c r="S4069" s="19"/>
    </row>
    <row r="4070" spans="1:19" x14ac:dyDescent="0.35">
      <c r="A4070" s="26" t="s">
        <v>543</v>
      </c>
      <c r="B4070" s="26" t="s">
        <v>543</v>
      </c>
      <c r="C4070" s="26"/>
      <c r="D4070" s="26" t="s">
        <v>543</v>
      </c>
      <c r="E4070" s="26" t="str">
        <f>IFERROR(VLOOKUP(G4070,WholesaleExtract!B:J,9,FALSE),"")</f>
        <v/>
      </c>
      <c r="F4070" s="26" t="str">
        <f>IFERROR(VLOOKUP(G4070,WholesaleExtract!B:J,6,FALSE),"")</f>
        <v/>
      </c>
      <c r="H4070" s="47" t="str">
        <f>IFERROR(VLOOKUP(G4070,WholesaleExtract!B:L,11,FALSE),"")</f>
        <v/>
      </c>
      <c r="I4070" s="26" t="str">
        <f>IFERROR(VLOOKUP(G4070,WholesaleExtract!B:O,8,FALSE),"")</f>
        <v/>
      </c>
      <c r="J4070" s="26" t="str">
        <f>IFERROR(VLOOKUP(G4070,WholesaleExtract!B:O,14,FALSE),"")</f>
        <v/>
      </c>
      <c r="K4070" s="26" t="str">
        <f>IFERROR(VLOOKUP(G4070,WholesaleExtract!B:K,10,FALSE),"")</f>
        <v/>
      </c>
      <c r="L4070" s="47" t="str">
        <f>IFERROR(VLOOKUP(G4070,WholesaleExtract!B:L,11,FALSE),"")</f>
        <v/>
      </c>
      <c r="M4070" s="47" t="str">
        <f>IFERROR(VLOOKUP(G4070,WholesaleExtract!B:M,12,FALSE),"")</f>
        <v/>
      </c>
      <c r="R4070" s="19"/>
      <c r="S4070" s="19"/>
    </row>
    <row r="4071" spans="1:19" x14ac:dyDescent="0.35">
      <c r="A4071" s="26" t="s">
        <v>543</v>
      </c>
      <c r="B4071" s="26" t="s">
        <v>543</v>
      </c>
      <c r="C4071" s="26"/>
      <c r="D4071" s="26" t="s">
        <v>543</v>
      </c>
      <c r="E4071" s="26" t="str">
        <f>IFERROR(VLOOKUP(G4071,WholesaleExtract!B:J,9,FALSE),"")</f>
        <v/>
      </c>
      <c r="F4071" s="26" t="str">
        <f>IFERROR(VLOOKUP(G4071,WholesaleExtract!B:J,6,FALSE),"")</f>
        <v/>
      </c>
      <c r="H4071" s="47" t="str">
        <f>IFERROR(VLOOKUP(G4071,WholesaleExtract!B:L,11,FALSE),"")</f>
        <v/>
      </c>
      <c r="I4071" s="26" t="str">
        <f>IFERROR(VLOOKUP(G4071,WholesaleExtract!B:O,8,FALSE),"")</f>
        <v/>
      </c>
      <c r="J4071" s="26" t="str">
        <f>IFERROR(VLOOKUP(G4071,WholesaleExtract!B:O,14,FALSE),"")</f>
        <v/>
      </c>
      <c r="K4071" s="26" t="str">
        <f>IFERROR(VLOOKUP(G4071,WholesaleExtract!B:K,10,FALSE),"")</f>
        <v/>
      </c>
      <c r="L4071" s="47" t="str">
        <f>IFERROR(VLOOKUP(G4071,WholesaleExtract!B:L,11,FALSE),"")</f>
        <v/>
      </c>
      <c r="M4071" s="47" t="str">
        <f>IFERROR(VLOOKUP(G4071,WholesaleExtract!B:M,12,FALSE),"")</f>
        <v/>
      </c>
      <c r="R4071" s="19"/>
      <c r="S4071" s="19"/>
    </row>
    <row r="4072" spans="1:19" x14ac:dyDescent="0.35">
      <c r="A4072" s="26" t="s">
        <v>543</v>
      </c>
      <c r="B4072" s="26" t="s">
        <v>543</v>
      </c>
      <c r="C4072" s="26"/>
      <c r="D4072" s="26" t="s">
        <v>543</v>
      </c>
      <c r="E4072" s="26" t="str">
        <f>IFERROR(VLOOKUP(G4072,WholesaleExtract!B:J,9,FALSE),"")</f>
        <v/>
      </c>
      <c r="F4072" s="26" t="str">
        <f>IFERROR(VLOOKUP(G4072,WholesaleExtract!B:J,6,FALSE),"")</f>
        <v/>
      </c>
      <c r="H4072" s="47" t="str">
        <f>IFERROR(VLOOKUP(G4072,WholesaleExtract!B:L,11,FALSE),"")</f>
        <v/>
      </c>
      <c r="I4072" s="26" t="str">
        <f>IFERROR(VLOOKUP(G4072,WholesaleExtract!B:O,8,FALSE),"")</f>
        <v/>
      </c>
      <c r="J4072" s="26" t="str">
        <f>IFERROR(VLOOKUP(G4072,WholesaleExtract!B:O,14,FALSE),"")</f>
        <v/>
      </c>
      <c r="K4072" s="26" t="str">
        <f>IFERROR(VLOOKUP(G4072,WholesaleExtract!B:K,10,FALSE),"")</f>
        <v/>
      </c>
      <c r="L4072" s="47" t="str">
        <f>IFERROR(VLOOKUP(G4072,WholesaleExtract!B:L,11,FALSE),"")</f>
        <v/>
      </c>
      <c r="M4072" s="47" t="str">
        <f>IFERROR(VLOOKUP(G4072,WholesaleExtract!B:M,12,FALSE),"")</f>
        <v/>
      </c>
      <c r="R4072" s="19"/>
      <c r="S4072" s="19"/>
    </row>
    <row r="4073" spans="1:19" x14ac:dyDescent="0.35">
      <c r="A4073" s="26" t="s">
        <v>543</v>
      </c>
      <c r="B4073" s="26" t="s">
        <v>543</v>
      </c>
      <c r="C4073" s="26"/>
      <c r="D4073" s="26" t="s">
        <v>543</v>
      </c>
      <c r="E4073" s="26" t="str">
        <f>IFERROR(VLOOKUP(G4073,WholesaleExtract!B:J,9,FALSE),"")</f>
        <v/>
      </c>
      <c r="F4073" s="26" t="str">
        <f>IFERROR(VLOOKUP(G4073,WholesaleExtract!B:J,6,FALSE),"")</f>
        <v/>
      </c>
      <c r="H4073" s="47" t="str">
        <f>IFERROR(VLOOKUP(G4073,WholesaleExtract!B:L,11,FALSE),"")</f>
        <v/>
      </c>
      <c r="I4073" s="26" t="str">
        <f>IFERROR(VLOOKUP(G4073,WholesaleExtract!B:O,8,FALSE),"")</f>
        <v/>
      </c>
      <c r="J4073" s="26" t="str">
        <f>IFERROR(VLOOKUP(G4073,WholesaleExtract!B:O,14,FALSE),"")</f>
        <v/>
      </c>
      <c r="K4073" s="26" t="str">
        <f>IFERROR(VLOOKUP(G4073,WholesaleExtract!B:K,10,FALSE),"")</f>
        <v/>
      </c>
      <c r="L4073" s="47" t="str">
        <f>IFERROR(VLOOKUP(G4073,WholesaleExtract!B:L,11,FALSE),"")</f>
        <v/>
      </c>
      <c r="M4073" s="47" t="str">
        <f>IFERROR(VLOOKUP(G4073,WholesaleExtract!B:M,12,FALSE),"")</f>
        <v/>
      </c>
      <c r="R4073" s="19"/>
      <c r="S4073" s="19"/>
    </row>
    <row r="4074" spans="1:19" x14ac:dyDescent="0.35">
      <c r="A4074" s="26" t="s">
        <v>543</v>
      </c>
      <c r="B4074" s="26" t="s">
        <v>543</v>
      </c>
      <c r="C4074" s="26"/>
      <c r="D4074" s="26" t="s">
        <v>543</v>
      </c>
      <c r="E4074" s="26" t="str">
        <f>IFERROR(VLOOKUP(G4074,WholesaleExtract!B:J,9,FALSE),"")</f>
        <v/>
      </c>
      <c r="F4074" s="26" t="str">
        <f>IFERROR(VLOOKUP(G4074,WholesaleExtract!B:J,6,FALSE),"")</f>
        <v/>
      </c>
      <c r="H4074" s="47" t="str">
        <f>IFERROR(VLOOKUP(G4074,WholesaleExtract!B:L,11,FALSE),"")</f>
        <v/>
      </c>
      <c r="I4074" s="26" t="str">
        <f>IFERROR(VLOOKUP(G4074,WholesaleExtract!B:O,8,FALSE),"")</f>
        <v/>
      </c>
      <c r="J4074" s="26" t="str">
        <f>IFERROR(VLOOKUP(G4074,WholesaleExtract!B:O,14,FALSE),"")</f>
        <v/>
      </c>
      <c r="K4074" s="26" t="str">
        <f>IFERROR(VLOOKUP(G4074,WholesaleExtract!B:K,10,FALSE),"")</f>
        <v/>
      </c>
      <c r="L4074" s="47" t="str">
        <f>IFERROR(VLOOKUP(G4074,WholesaleExtract!B:L,11,FALSE),"")</f>
        <v/>
      </c>
      <c r="M4074" s="47" t="str">
        <f>IFERROR(VLOOKUP(G4074,WholesaleExtract!B:M,12,FALSE),"")</f>
        <v/>
      </c>
      <c r="R4074" s="19"/>
      <c r="S4074" s="19"/>
    </row>
    <row r="4075" spans="1:19" x14ac:dyDescent="0.35">
      <c r="A4075" s="26" t="s">
        <v>543</v>
      </c>
      <c r="B4075" s="26" t="s">
        <v>543</v>
      </c>
      <c r="C4075" s="26"/>
      <c r="D4075" s="26" t="s">
        <v>543</v>
      </c>
      <c r="E4075" s="26" t="str">
        <f>IFERROR(VLOOKUP(G4075,WholesaleExtract!B:J,9,FALSE),"")</f>
        <v/>
      </c>
      <c r="F4075" s="26" t="str">
        <f>IFERROR(VLOOKUP(G4075,WholesaleExtract!B:J,6,FALSE),"")</f>
        <v/>
      </c>
      <c r="H4075" s="47" t="str">
        <f>IFERROR(VLOOKUP(G4075,WholesaleExtract!B:L,11,FALSE),"")</f>
        <v/>
      </c>
      <c r="I4075" s="26" t="str">
        <f>IFERROR(VLOOKUP(G4075,WholesaleExtract!B:O,8,FALSE),"")</f>
        <v/>
      </c>
      <c r="J4075" s="26" t="str">
        <f>IFERROR(VLOOKUP(G4075,WholesaleExtract!B:O,14,FALSE),"")</f>
        <v/>
      </c>
      <c r="K4075" s="26" t="str">
        <f>IFERROR(VLOOKUP(G4075,WholesaleExtract!B:K,10,FALSE),"")</f>
        <v/>
      </c>
      <c r="L4075" s="47" t="str">
        <f>IFERROR(VLOOKUP(G4075,WholesaleExtract!B:L,11,FALSE),"")</f>
        <v/>
      </c>
      <c r="M4075" s="47" t="str">
        <f>IFERROR(VLOOKUP(G4075,WholesaleExtract!B:M,12,FALSE),"")</f>
        <v/>
      </c>
      <c r="R4075" s="19"/>
      <c r="S4075" s="19"/>
    </row>
    <row r="4076" spans="1:19" x14ac:dyDescent="0.35">
      <c r="A4076" s="26" t="s">
        <v>543</v>
      </c>
      <c r="B4076" s="26" t="s">
        <v>543</v>
      </c>
      <c r="C4076" s="26"/>
      <c r="D4076" s="26" t="s">
        <v>543</v>
      </c>
      <c r="E4076" s="26" t="str">
        <f>IFERROR(VLOOKUP(G4076,WholesaleExtract!B:J,9,FALSE),"")</f>
        <v/>
      </c>
      <c r="F4076" s="26" t="str">
        <f>IFERROR(VLOOKUP(G4076,WholesaleExtract!B:J,6,FALSE),"")</f>
        <v/>
      </c>
      <c r="H4076" s="47" t="str">
        <f>IFERROR(VLOOKUP(G4076,WholesaleExtract!B:L,11,FALSE),"")</f>
        <v/>
      </c>
      <c r="I4076" s="26" t="str">
        <f>IFERROR(VLOOKUP(G4076,WholesaleExtract!B:O,8,FALSE),"")</f>
        <v/>
      </c>
      <c r="J4076" s="26" t="str">
        <f>IFERROR(VLOOKUP(G4076,WholesaleExtract!B:O,14,FALSE),"")</f>
        <v/>
      </c>
      <c r="K4076" s="26" t="str">
        <f>IFERROR(VLOOKUP(G4076,WholesaleExtract!B:K,10,FALSE),"")</f>
        <v/>
      </c>
      <c r="L4076" s="47" t="str">
        <f>IFERROR(VLOOKUP(G4076,WholesaleExtract!B:L,11,FALSE),"")</f>
        <v/>
      </c>
      <c r="M4076" s="47" t="str">
        <f>IFERROR(VLOOKUP(G4076,WholesaleExtract!B:M,12,FALSE),"")</f>
        <v/>
      </c>
      <c r="R4076" s="19"/>
      <c r="S4076" s="19"/>
    </row>
    <row r="4077" spans="1:19" x14ac:dyDescent="0.35">
      <c r="A4077" s="26" t="s">
        <v>543</v>
      </c>
      <c r="B4077" s="26" t="s">
        <v>543</v>
      </c>
      <c r="C4077" s="26"/>
      <c r="D4077" s="26" t="s">
        <v>543</v>
      </c>
      <c r="E4077" s="26" t="str">
        <f>IFERROR(VLOOKUP(G4077,WholesaleExtract!B:J,9,FALSE),"")</f>
        <v/>
      </c>
      <c r="F4077" s="26" t="str">
        <f>IFERROR(VLOOKUP(G4077,WholesaleExtract!B:J,6,FALSE),"")</f>
        <v/>
      </c>
      <c r="H4077" s="47" t="str">
        <f>IFERROR(VLOOKUP(G4077,WholesaleExtract!B:L,11,FALSE),"")</f>
        <v/>
      </c>
      <c r="I4077" s="26" t="str">
        <f>IFERROR(VLOOKUP(G4077,WholesaleExtract!B:O,8,FALSE),"")</f>
        <v/>
      </c>
      <c r="J4077" s="26" t="str">
        <f>IFERROR(VLOOKUP(G4077,WholesaleExtract!B:O,14,FALSE),"")</f>
        <v/>
      </c>
      <c r="K4077" s="26" t="str">
        <f>IFERROR(VLOOKUP(G4077,WholesaleExtract!B:K,10,FALSE),"")</f>
        <v/>
      </c>
      <c r="L4077" s="47" t="str">
        <f>IFERROR(VLOOKUP(G4077,WholesaleExtract!B:L,11,FALSE),"")</f>
        <v/>
      </c>
      <c r="M4077" s="47" t="str">
        <f>IFERROR(VLOOKUP(G4077,WholesaleExtract!B:M,12,FALSE),"")</f>
        <v/>
      </c>
      <c r="R4077" s="19"/>
      <c r="S4077" s="19"/>
    </row>
    <row r="4078" spans="1:19" x14ac:dyDescent="0.35">
      <c r="A4078" s="26" t="s">
        <v>543</v>
      </c>
      <c r="B4078" s="26" t="s">
        <v>543</v>
      </c>
      <c r="C4078" s="26"/>
      <c r="D4078" s="26" t="s">
        <v>543</v>
      </c>
      <c r="E4078" s="26" t="str">
        <f>IFERROR(VLOOKUP(G4078,WholesaleExtract!B:J,9,FALSE),"")</f>
        <v/>
      </c>
      <c r="F4078" s="26" t="str">
        <f>IFERROR(VLOOKUP(G4078,WholesaleExtract!B:J,6,FALSE),"")</f>
        <v/>
      </c>
      <c r="H4078" s="47" t="str">
        <f>IFERROR(VLOOKUP(G4078,WholesaleExtract!B:L,11,FALSE),"")</f>
        <v/>
      </c>
      <c r="I4078" s="26" t="str">
        <f>IFERROR(VLOOKUP(G4078,WholesaleExtract!B:O,8,FALSE),"")</f>
        <v/>
      </c>
      <c r="J4078" s="26" t="str">
        <f>IFERROR(VLOOKUP(G4078,WholesaleExtract!B:O,14,FALSE),"")</f>
        <v/>
      </c>
      <c r="K4078" s="26" t="str">
        <f>IFERROR(VLOOKUP(G4078,WholesaleExtract!B:K,10,FALSE),"")</f>
        <v/>
      </c>
      <c r="L4078" s="47" t="str">
        <f>IFERROR(VLOOKUP(G4078,WholesaleExtract!B:L,11,FALSE),"")</f>
        <v/>
      </c>
      <c r="M4078" s="47" t="str">
        <f>IFERROR(VLOOKUP(G4078,WholesaleExtract!B:M,12,FALSE),"")</f>
        <v/>
      </c>
      <c r="R4078" s="19"/>
      <c r="S4078" s="19"/>
    </row>
    <row r="4079" spans="1:19" x14ac:dyDescent="0.35">
      <c r="A4079" s="26" t="s">
        <v>543</v>
      </c>
      <c r="B4079" s="26" t="s">
        <v>543</v>
      </c>
      <c r="C4079" s="26"/>
      <c r="D4079" s="26" t="s">
        <v>543</v>
      </c>
      <c r="E4079" s="26" t="str">
        <f>IFERROR(VLOOKUP(G4079,WholesaleExtract!B:J,9,FALSE),"")</f>
        <v/>
      </c>
      <c r="F4079" s="26" t="str">
        <f>IFERROR(VLOOKUP(G4079,WholesaleExtract!B:J,6,FALSE),"")</f>
        <v/>
      </c>
      <c r="H4079" s="47" t="str">
        <f>IFERROR(VLOOKUP(G4079,WholesaleExtract!B:L,11,FALSE),"")</f>
        <v/>
      </c>
      <c r="I4079" s="26" t="str">
        <f>IFERROR(VLOOKUP(G4079,WholesaleExtract!B:O,8,FALSE),"")</f>
        <v/>
      </c>
      <c r="J4079" s="26" t="str">
        <f>IFERROR(VLOOKUP(G4079,WholesaleExtract!B:O,14,FALSE),"")</f>
        <v/>
      </c>
      <c r="K4079" s="26" t="str">
        <f>IFERROR(VLOOKUP(G4079,WholesaleExtract!B:K,10,FALSE),"")</f>
        <v/>
      </c>
      <c r="L4079" s="47" t="str">
        <f>IFERROR(VLOOKUP(G4079,WholesaleExtract!B:L,11,FALSE),"")</f>
        <v/>
      </c>
      <c r="M4079" s="47" t="str">
        <f>IFERROR(VLOOKUP(G4079,WholesaleExtract!B:M,12,FALSE),"")</f>
        <v/>
      </c>
      <c r="R4079" s="19"/>
      <c r="S4079" s="19"/>
    </row>
    <row r="4080" spans="1:19" x14ac:dyDescent="0.35">
      <c r="A4080" s="26" t="s">
        <v>543</v>
      </c>
      <c r="B4080" s="26" t="s">
        <v>543</v>
      </c>
      <c r="C4080" s="26"/>
      <c r="D4080" s="26" t="s">
        <v>543</v>
      </c>
      <c r="E4080" s="26" t="str">
        <f>IFERROR(VLOOKUP(G4080,WholesaleExtract!B:J,9,FALSE),"")</f>
        <v/>
      </c>
      <c r="F4080" s="26" t="str">
        <f>IFERROR(VLOOKUP(G4080,WholesaleExtract!B:J,6,FALSE),"")</f>
        <v/>
      </c>
      <c r="H4080" s="47" t="str">
        <f>IFERROR(VLOOKUP(G4080,WholesaleExtract!B:L,11,FALSE),"")</f>
        <v/>
      </c>
      <c r="I4080" s="26" t="str">
        <f>IFERROR(VLOOKUP(G4080,WholesaleExtract!B:O,8,FALSE),"")</f>
        <v/>
      </c>
      <c r="J4080" s="26" t="str">
        <f>IFERROR(VLOOKUP(G4080,WholesaleExtract!B:O,14,FALSE),"")</f>
        <v/>
      </c>
      <c r="K4080" s="26" t="str">
        <f>IFERROR(VLOOKUP(G4080,WholesaleExtract!B:K,10,FALSE),"")</f>
        <v/>
      </c>
      <c r="L4080" s="47" t="str">
        <f>IFERROR(VLOOKUP(G4080,WholesaleExtract!B:L,11,FALSE),"")</f>
        <v/>
      </c>
      <c r="M4080" s="47" t="str">
        <f>IFERROR(VLOOKUP(G4080,WholesaleExtract!B:M,12,FALSE),"")</f>
        <v/>
      </c>
      <c r="R4080" s="19"/>
      <c r="S4080" s="19"/>
    </row>
    <row r="4081" spans="1:19" x14ac:dyDescent="0.35">
      <c r="A4081" s="26" t="s">
        <v>543</v>
      </c>
      <c r="B4081" s="26" t="s">
        <v>543</v>
      </c>
      <c r="C4081" s="26"/>
      <c r="D4081" s="26" t="s">
        <v>543</v>
      </c>
      <c r="E4081" s="26" t="str">
        <f>IFERROR(VLOOKUP(G4081,WholesaleExtract!B:J,9,FALSE),"")</f>
        <v/>
      </c>
      <c r="F4081" s="26" t="str">
        <f>IFERROR(VLOOKUP(G4081,WholesaleExtract!B:J,6,FALSE),"")</f>
        <v/>
      </c>
      <c r="H4081" s="47" t="str">
        <f>IFERROR(VLOOKUP(G4081,WholesaleExtract!B:L,11,FALSE),"")</f>
        <v/>
      </c>
      <c r="I4081" s="26" t="str">
        <f>IFERROR(VLOOKUP(G4081,WholesaleExtract!B:O,8,FALSE),"")</f>
        <v/>
      </c>
      <c r="J4081" s="26" t="str">
        <f>IFERROR(VLOOKUP(G4081,WholesaleExtract!B:O,14,FALSE),"")</f>
        <v/>
      </c>
      <c r="K4081" s="26" t="str">
        <f>IFERROR(VLOOKUP(G4081,WholesaleExtract!B:K,10,FALSE),"")</f>
        <v/>
      </c>
      <c r="L4081" s="47" t="str">
        <f>IFERROR(VLOOKUP(G4081,WholesaleExtract!B:L,11,FALSE),"")</f>
        <v/>
      </c>
      <c r="M4081" s="47" t="str">
        <f>IFERROR(VLOOKUP(G4081,WholesaleExtract!B:M,12,FALSE),"")</f>
        <v/>
      </c>
      <c r="R4081" s="19"/>
      <c r="S4081" s="19"/>
    </row>
    <row r="4082" spans="1:19" x14ac:dyDescent="0.35">
      <c r="A4082" s="26" t="s">
        <v>543</v>
      </c>
      <c r="B4082" s="26" t="s">
        <v>543</v>
      </c>
      <c r="C4082" s="26"/>
      <c r="D4082" s="26" t="s">
        <v>543</v>
      </c>
      <c r="E4082" s="26" t="str">
        <f>IFERROR(VLOOKUP(G4082,WholesaleExtract!B:J,9,FALSE),"")</f>
        <v/>
      </c>
      <c r="F4082" s="26" t="str">
        <f>IFERROR(VLOOKUP(G4082,WholesaleExtract!B:J,6,FALSE),"")</f>
        <v/>
      </c>
      <c r="H4082" s="47" t="str">
        <f>IFERROR(VLOOKUP(G4082,WholesaleExtract!B:L,11,FALSE),"")</f>
        <v/>
      </c>
      <c r="I4082" s="26" t="str">
        <f>IFERROR(VLOOKUP(G4082,WholesaleExtract!B:O,8,FALSE),"")</f>
        <v/>
      </c>
      <c r="J4082" s="26" t="str">
        <f>IFERROR(VLOOKUP(G4082,WholesaleExtract!B:O,14,FALSE),"")</f>
        <v/>
      </c>
      <c r="K4082" s="26" t="str">
        <f>IFERROR(VLOOKUP(G4082,WholesaleExtract!B:K,10,FALSE),"")</f>
        <v/>
      </c>
      <c r="L4082" s="47" t="str">
        <f>IFERROR(VLOOKUP(G4082,WholesaleExtract!B:L,11,FALSE),"")</f>
        <v/>
      </c>
      <c r="M4082" s="47" t="str">
        <f>IFERROR(VLOOKUP(G4082,WholesaleExtract!B:M,12,FALSE),"")</f>
        <v/>
      </c>
      <c r="R4082" s="19"/>
      <c r="S4082" s="19"/>
    </row>
    <row r="4083" spans="1:19" x14ac:dyDescent="0.35">
      <c r="A4083" s="26" t="s">
        <v>543</v>
      </c>
      <c r="B4083" s="26" t="s">
        <v>543</v>
      </c>
      <c r="C4083" s="26"/>
      <c r="D4083" s="26" t="s">
        <v>543</v>
      </c>
      <c r="E4083" s="26" t="str">
        <f>IFERROR(VLOOKUP(G4083,WholesaleExtract!B:J,9,FALSE),"")</f>
        <v/>
      </c>
      <c r="F4083" s="26" t="str">
        <f>IFERROR(VLOOKUP(G4083,WholesaleExtract!B:J,6,FALSE),"")</f>
        <v/>
      </c>
      <c r="H4083" s="47" t="str">
        <f>IFERROR(VLOOKUP(G4083,WholesaleExtract!B:L,11,FALSE),"")</f>
        <v/>
      </c>
      <c r="I4083" s="26" t="str">
        <f>IFERROR(VLOOKUP(G4083,WholesaleExtract!B:O,8,FALSE),"")</f>
        <v/>
      </c>
      <c r="J4083" s="26" t="str">
        <f>IFERROR(VLOOKUP(G4083,WholesaleExtract!B:O,14,FALSE),"")</f>
        <v/>
      </c>
      <c r="K4083" s="26" t="str">
        <f>IFERROR(VLOOKUP(G4083,WholesaleExtract!B:K,10,FALSE),"")</f>
        <v/>
      </c>
      <c r="L4083" s="47" t="str">
        <f>IFERROR(VLOOKUP(G4083,WholesaleExtract!B:L,11,FALSE),"")</f>
        <v/>
      </c>
      <c r="M4083" s="47" t="str">
        <f>IFERROR(VLOOKUP(G4083,WholesaleExtract!B:M,12,FALSE),"")</f>
        <v/>
      </c>
      <c r="R4083" s="19"/>
      <c r="S4083" s="19"/>
    </row>
    <row r="4084" spans="1:19" x14ac:dyDescent="0.35">
      <c r="A4084" s="26" t="s">
        <v>543</v>
      </c>
      <c r="B4084" s="26" t="s">
        <v>543</v>
      </c>
      <c r="C4084" s="26"/>
      <c r="D4084" s="26" t="s">
        <v>543</v>
      </c>
      <c r="E4084" s="26" t="str">
        <f>IFERROR(VLOOKUP(G4084,WholesaleExtract!B:J,9,FALSE),"")</f>
        <v/>
      </c>
      <c r="F4084" s="26" t="str">
        <f>IFERROR(VLOOKUP(G4084,WholesaleExtract!B:J,6,FALSE),"")</f>
        <v/>
      </c>
      <c r="H4084" s="47" t="str">
        <f>IFERROR(VLOOKUP(G4084,WholesaleExtract!B:L,11,FALSE),"")</f>
        <v/>
      </c>
      <c r="I4084" s="26" t="str">
        <f>IFERROR(VLOOKUP(G4084,WholesaleExtract!B:O,8,FALSE),"")</f>
        <v/>
      </c>
      <c r="J4084" s="26" t="str">
        <f>IFERROR(VLOOKUP(G4084,WholesaleExtract!B:O,14,FALSE),"")</f>
        <v/>
      </c>
      <c r="K4084" s="26" t="str">
        <f>IFERROR(VLOOKUP(G4084,WholesaleExtract!B:K,10,FALSE),"")</f>
        <v/>
      </c>
      <c r="L4084" s="47" t="str">
        <f>IFERROR(VLOOKUP(G4084,WholesaleExtract!B:L,11,FALSE),"")</f>
        <v/>
      </c>
      <c r="M4084" s="47" t="str">
        <f>IFERROR(VLOOKUP(G4084,WholesaleExtract!B:M,12,FALSE),"")</f>
        <v/>
      </c>
      <c r="R4084" s="19"/>
      <c r="S4084" s="19"/>
    </row>
    <row r="4085" spans="1:19" x14ac:dyDescent="0.35">
      <c r="A4085" s="26" t="s">
        <v>543</v>
      </c>
      <c r="B4085" s="26" t="s">
        <v>543</v>
      </c>
      <c r="C4085" s="26"/>
      <c r="D4085" s="26" t="s">
        <v>543</v>
      </c>
      <c r="E4085" s="26" t="str">
        <f>IFERROR(VLOOKUP(G4085,WholesaleExtract!B:J,9,FALSE),"")</f>
        <v/>
      </c>
      <c r="F4085" s="26" t="str">
        <f>IFERROR(VLOOKUP(G4085,WholesaleExtract!B:J,6,FALSE),"")</f>
        <v/>
      </c>
      <c r="H4085" s="47" t="str">
        <f>IFERROR(VLOOKUP(G4085,WholesaleExtract!B:L,11,FALSE),"")</f>
        <v/>
      </c>
      <c r="I4085" s="26" t="str">
        <f>IFERROR(VLOOKUP(G4085,WholesaleExtract!B:O,8,FALSE),"")</f>
        <v/>
      </c>
      <c r="J4085" s="26" t="str">
        <f>IFERROR(VLOOKUP(G4085,WholesaleExtract!B:O,14,FALSE),"")</f>
        <v/>
      </c>
      <c r="K4085" s="26" t="str">
        <f>IFERROR(VLOOKUP(G4085,WholesaleExtract!B:K,10,FALSE),"")</f>
        <v/>
      </c>
      <c r="L4085" s="47" t="str">
        <f>IFERROR(VLOOKUP(G4085,WholesaleExtract!B:L,11,FALSE),"")</f>
        <v/>
      </c>
      <c r="M4085" s="47" t="str">
        <f>IFERROR(VLOOKUP(G4085,WholesaleExtract!B:M,12,FALSE),"")</f>
        <v/>
      </c>
      <c r="R4085" s="19"/>
      <c r="S4085" s="19"/>
    </row>
    <row r="4086" spans="1:19" x14ac:dyDescent="0.35">
      <c r="A4086" s="26" t="s">
        <v>543</v>
      </c>
      <c r="B4086" s="26" t="s">
        <v>543</v>
      </c>
      <c r="C4086" s="26"/>
      <c r="D4086" s="26" t="s">
        <v>543</v>
      </c>
      <c r="E4086" s="26" t="str">
        <f>IFERROR(VLOOKUP(G4086,WholesaleExtract!B:J,9,FALSE),"")</f>
        <v/>
      </c>
      <c r="F4086" s="26" t="str">
        <f>IFERROR(VLOOKUP(G4086,WholesaleExtract!B:J,6,FALSE),"")</f>
        <v/>
      </c>
      <c r="H4086" s="47" t="str">
        <f>IFERROR(VLOOKUP(G4086,WholesaleExtract!B:L,11,FALSE),"")</f>
        <v/>
      </c>
      <c r="I4086" s="26" t="str">
        <f>IFERROR(VLOOKUP(G4086,WholesaleExtract!B:O,8,FALSE),"")</f>
        <v/>
      </c>
      <c r="J4086" s="26" t="str">
        <f>IFERROR(VLOOKUP(G4086,WholesaleExtract!B:O,14,FALSE),"")</f>
        <v/>
      </c>
      <c r="K4086" s="26" t="str">
        <f>IFERROR(VLOOKUP(G4086,WholesaleExtract!B:K,10,FALSE),"")</f>
        <v/>
      </c>
      <c r="L4086" s="47" t="str">
        <f>IFERROR(VLOOKUP(G4086,WholesaleExtract!B:L,11,FALSE),"")</f>
        <v/>
      </c>
      <c r="M4086" s="47" t="str">
        <f>IFERROR(VLOOKUP(G4086,WholesaleExtract!B:M,12,FALSE),"")</f>
        <v/>
      </c>
      <c r="R4086" s="19"/>
      <c r="S4086" s="19"/>
    </row>
    <row r="4087" spans="1:19" x14ac:dyDescent="0.35">
      <c r="A4087" s="26" t="s">
        <v>543</v>
      </c>
      <c r="B4087" s="26" t="s">
        <v>543</v>
      </c>
      <c r="C4087" s="26"/>
      <c r="D4087" s="26" t="s">
        <v>543</v>
      </c>
      <c r="E4087" s="26" t="str">
        <f>IFERROR(VLOOKUP(G4087,WholesaleExtract!B:J,9,FALSE),"")</f>
        <v/>
      </c>
      <c r="F4087" s="26" t="str">
        <f>IFERROR(VLOOKUP(G4087,WholesaleExtract!B:J,6,FALSE),"")</f>
        <v/>
      </c>
      <c r="H4087" s="47" t="str">
        <f>IFERROR(VLOOKUP(G4087,WholesaleExtract!B:L,11,FALSE),"")</f>
        <v/>
      </c>
      <c r="I4087" s="26" t="str">
        <f>IFERROR(VLOOKUP(G4087,WholesaleExtract!B:O,8,FALSE),"")</f>
        <v/>
      </c>
      <c r="J4087" s="26" t="str">
        <f>IFERROR(VLOOKUP(G4087,WholesaleExtract!B:O,14,FALSE),"")</f>
        <v/>
      </c>
      <c r="K4087" s="26" t="str">
        <f>IFERROR(VLOOKUP(G4087,WholesaleExtract!B:K,10,FALSE),"")</f>
        <v/>
      </c>
      <c r="L4087" s="47" t="str">
        <f>IFERROR(VLOOKUP(G4087,WholesaleExtract!B:L,11,FALSE),"")</f>
        <v/>
      </c>
      <c r="M4087" s="47" t="str">
        <f>IFERROR(VLOOKUP(G4087,WholesaleExtract!B:M,12,FALSE),"")</f>
        <v/>
      </c>
      <c r="R4087" s="19"/>
      <c r="S4087" s="19"/>
    </row>
    <row r="4088" spans="1:19" x14ac:dyDescent="0.35">
      <c r="A4088" s="26" t="s">
        <v>543</v>
      </c>
      <c r="B4088" s="26" t="s">
        <v>543</v>
      </c>
      <c r="C4088" s="26"/>
      <c r="D4088" s="26" t="s">
        <v>543</v>
      </c>
      <c r="E4088" s="26" t="str">
        <f>IFERROR(VLOOKUP(G4088,WholesaleExtract!B:J,9,FALSE),"")</f>
        <v/>
      </c>
      <c r="F4088" s="26" t="str">
        <f>IFERROR(VLOOKUP(G4088,WholesaleExtract!B:J,6,FALSE),"")</f>
        <v/>
      </c>
      <c r="H4088" s="47" t="str">
        <f>IFERROR(VLOOKUP(G4088,WholesaleExtract!B:L,11,FALSE),"")</f>
        <v/>
      </c>
      <c r="I4088" s="26" t="str">
        <f>IFERROR(VLOOKUP(G4088,WholesaleExtract!B:O,8,FALSE),"")</f>
        <v/>
      </c>
      <c r="J4088" s="26" t="str">
        <f>IFERROR(VLOOKUP(G4088,WholesaleExtract!B:O,14,FALSE),"")</f>
        <v/>
      </c>
      <c r="K4088" s="26" t="str">
        <f>IFERROR(VLOOKUP(G4088,WholesaleExtract!B:K,10,FALSE),"")</f>
        <v/>
      </c>
      <c r="L4088" s="47" t="str">
        <f>IFERROR(VLOOKUP(G4088,WholesaleExtract!B:L,11,FALSE),"")</f>
        <v/>
      </c>
      <c r="M4088" s="47" t="str">
        <f>IFERROR(VLOOKUP(G4088,WholesaleExtract!B:M,12,FALSE),"")</f>
        <v/>
      </c>
      <c r="R4088" s="19"/>
      <c r="S4088" s="19"/>
    </row>
    <row r="4089" spans="1:19" x14ac:dyDescent="0.35">
      <c r="A4089" s="26" t="s">
        <v>543</v>
      </c>
      <c r="B4089" s="26" t="s">
        <v>543</v>
      </c>
      <c r="C4089" s="26"/>
      <c r="D4089" s="26" t="s">
        <v>543</v>
      </c>
      <c r="E4089" s="26" t="str">
        <f>IFERROR(VLOOKUP(G4089,WholesaleExtract!B:J,9,FALSE),"")</f>
        <v/>
      </c>
      <c r="F4089" s="26" t="str">
        <f>IFERROR(VLOOKUP(G4089,WholesaleExtract!B:J,6,FALSE),"")</f>
        <v/>
      </c>
      <c r="H4089" s="47" t="str">
        <f>IFERROR(VLOOKUP(G4089,WholesaleExtract!B:L,11,FALSE),"")</f>
        <v/>
      </c>
      <c r="I4089" s="26" t="str">
        <f>IFERROR(VLOOKUP(G4089,WholesaleExtract!B:O,8,FALSE),"")</f>
        <v/>
      </c>
      <c r="J4089" s="26" t="str">
        <f>IFERROR(VLOOKUP(G4089,WholesaleExtract!B:O,14,FALSE),"")</f>
        <v/>
      </c>
      <c r="K4089" s="26" t="str">
        <f>IFERROR(VLOOKUP(G4089,WholesaleExtract!B:K,10,FALSE),"")</f>
        <v/>
      </c>
      <c r="L4089" s="47" t="str">
        <f>IFERROR(VLOOKUP(G4089,WholesaleExtract!B:L,11,FALSE),"")</f>
        <v/>
      </c>
      <c r="M4089" s="47" t="str">
        <f>IFERROR(VLOOKUP(G4089,WholesaleExtract!B:M,12,FALSE),"")</f>
        <v/>
      </c>
      <c r="R4089" s="19"/>
      <c r="S4089" s="19"/>
    </row>
    <row r="4090" spans="1:19" x14ac:dyDescent="0.35">
      <c r="A4090" s="26" t="s">
        <v>543</v>
      </c>
      <c r="B4090" s="26" t="s">
        <v>543</v>
      </c>
      <c r="C4090" s="26"/>
      <c r="D4090" s="26" t="s">
        <v>543</v>
      </c>
      <c r="E4090" s="26" t="str">
        <f>IFERROR(VLOOKUP(G4090,WholesaleExtract!B:J,9,FALSE),"")</f>
        <v/>
      </c>
      <c r="F4090" s="26" t="str">
        <f>IFERROR(VLOOKUP(G4090,WholesaleExtract!B:J,6,FALSE),"")</f>
        <v/>
      </c>
      <c r="H4090" s="47" t="str">
        <f>IFERROR(VLOOKUP(G4090,WholesaleExtract!B:L,11,FALSE),"")</f>
        <v/>
      </c>
      <c r="I4090" s="26" t="str">
        <f>IFERROR(VLOOKUP(G4090,WholesaleExtract!B:O,8,FALSE),"")</f>
        <v/>
      </c>
      <c r="J4090" s="26" t="str">
        <f>IFERROR(VLOOKUP(G4090,WholesaleExtract!B:O,14,FALSE),"")</f>
        <v/>
      </c>
      <c r="K4090" s="26" t="str">
        <f>IFERROR(VLOOKUP(G4090,WholesaleExtract!B:K,10,FALSE),"")</f>
        <v/>
      </c>
      <c r="L4090" s="47" t="str">
        <f>IFERROR(VLOOKUP(G4090,WholesaleExtract!B:L,11,FALSE),"")</f>
        <v/>
      </c>
      <c r="M4090" s="47" t="str">
        <f>IFERROR(VLOOKUP(G4090,WholesaleExtract!B:M,12,FALSE),"")</f>
        <v/>
      </c>
      <c r="R4090" s="19"/>
      <c r="S4090" s="19"/>
    </row>
    <row r="4091" spans="1:19" x14ac:dyDescent="0.35">
      <c r="A4091" s="26" t="s">
        <v>543</v>
      </c>
      <c r="B4091" s="26" t="s">
        <v>543</v>
      </c>
      <c r="C4091" s="26"/>
      <c r="D4091" s="26" t="s">
        <v>543</v>
      </c>
      <c r="E4091" s="26" t="str">
        <f>IFERROR(VLOOKUP(G4091,WholesaleExtract!B:J,9,FALSE),"")</f>
        <v/>
      </c>
      <c r="F4091" s="26" t="str">
        <f>IFERROR(VLOOKUP(G4091,WholesaleExtract!B:J,6,FALSE),"")</f>
        <v/>
      </c>
      <c r="H4091" s="47" t="str">
        <f>IFERROR(VLOOKUP(G4091,WholesaleExtract!B:L,11,FALSE),"")</f>
        <v/>
      </c>
      <c r="I4091" s="26" t="str">
        <f>IFERROR(VLOOKUP(G4091,WholesaleExtract!B:O,8,FALSE),"")</f>
        <v/>
      </c>
      <c r="J4091" s="26" t="str">
        <f>IFERROR(VLOOKUP(G4091,WholesaleExtract!B:O,14,FALSE),"")</f>
        <v/>
      </c>
      <c r="K4091" s="26" t="str">
        <f>IFERROR(VLOOKUP(G4091,WholesaleExtract!B:K,10,FALSE),"")</f>
        <v/>
      </c>
      <c r="L4091" s="47" t="str">
        <f>IFERROR(VLOOKUP(G4091,WholesaleExtract!B:L,11,FALSE),"")</f>
        <v/>
      </c>
      <c r="M4091" s="47" t="str">
        <f>IFERROR(VLOOKUP(G4091,WholesaleExtract!B:M,12,FALSE),"")</f>
        <v/>
      </c>
      <c r="R4091" s="19"/>
      <c r="S4091" s="19"/>
    </row>
    <row r="4092" spans="1:19" x14ac:dyDescent="0.35">
      <c r="A4092" s="26" t="s">
        <v>543</v>
      </c>
      <c r="B4092" s="26" t="s">
        <v>543</v>
      </c>
      <c r="C4092" s="26"/>
      <c r="D4092" s="26" t="s">
        <v>543</v>
      </c>
      <c r="E4092" s="26" t="str">
        <f>IFERROR(VLOOKUP(G4092,WholesaleExtract!B:J,9,FALSE),"")</f>
        <v/>
      </c>
      <c r="F4092" s="26" t="str">
        <f>IFERROR(VLOOKUP(G4092,WholesaleExtract!B:J,6,FALSE),"")</f>
        <v/>
      </c>
      <c r="H4092" s="47" t="str">
        <f>IFERROR(VLOOKUP(G4092,WholesaleExtract!B:L,11,FALSE),"")</f>
        <v/>
      </c>
      <c r="I4092" s="26" t="str">
        <f>IFERROR(VLOOKUP(G4092,WholesaleExtract!B:O,8,FALSE),"")</f>
        <v/>
      </c>
      <c r="J4092" s="26" t="str">
        <f>IFERROR(VLOOKUP(G4092,WholesaleExtract!B:O,14,FALSE),"")</f>
        <v/>
      </c>
      <c r="K4092" s="26" t="str">
        <f>IFERROR(VLOOKUP(G4092,WholesaleExtract!B:K,10,FALSE),"")</f>
        <v/>
      </c>
      <c r="L4092" s="47" t="str">
        <f>IFERROR(VLOOKUP(G4092,WholesaleExtract!B:L,11,FALSE),"")</f>
        <v/>
      </c>
      <c r="M4092" s="47" t="str">
        <f>IFERROR(VLOOKUP(G4092,WholesaleExtract!B:M,12,FALSE),"")</f>
        <v/>
      </c>
      <c r="R4092" s="19"/>
      <c r="S4092" s="19"/>
    </row>
    <row r="4093" spans="1:19" x14ac:dyDescent="0.35">
      <c r="A4093" s="26" t="s">
        <v>543</v>
      </c>
      <c r="B4093" s="26" t="s">
        <v>543</v>
      </c>
      <c r="C4093" s="26"/>
      <c r="D4093" s="26" t="s">
        <v>543</v>
      </c>
      <c r="E4093" s="26" t="str">
        <f>IFERROR(VLOOKUP(G4093,WholesaleExtract!B:J,9,FALSE),"")</f>
        <v/>
      </c>
      <c r="F4093" s="26" t="str">
        <f>IFERROR(VLOOKUP(G4093,WholesaleExtract!B:J,6,FALSE),"")</f>
        <v/>
      </c>
      <c r="H4093" s="47" t="str">
        <f>IFERROR(VLOOKUP(G4093,WholesaleExtract!B:L,11,FALSE),"")</f>
        <v/>
      </c>
      <c r="I4093" s="26" t="str">
        <f>IFERROR(VLOOKUP(G4093,WholesaleExtract!B:O,8,FALSE),"")</f>
        <v/>
      </c>
      <c r="J4093" s="26" t="str">
        <f>IFERROR(VLOOKUP(G4093,WholesaleExtract!B:O,14,FALSE),"")</f>
        <v/>
      </c>
      <c r="K4093" s="26" t="str">
        <f>IFERROR(VLOOKUP(G4093,WholesaleExtract!B:K,10,FALSE),"")</f>
        <v/>
      </c>
      <c r="L4093" s="47" t="str">
        <f>IFERROR(VLOOKUP(G4093,WholesaleExtract!B:L,11,FALSE),"")</f>
        <v/>
      </c>
      <c r="M4093" s="47" t="str">
        <f>IFERROR(VLOOKUP(G4093,WholesaleExtract!B:M,12,FALSE),"")</f>
        <v/>
      </c>
      <c r="R4093" s="19"/>
      <c r="S4093" s="19"/>
    </row>
    <row r="4094" spans="1:19" x14ac:dyDescent="0.35">
      <c r="A4094" s="26" t="s">
        <v>543</v>
      </c>
      <c r="B4094" s="26" t="s">
        <v>543</v>
      </c>
      <c r="C4094" s="26"/>
      <c r="D4094" s="26" t="s">
        <v>543</v>
      </c>
      <c r="E4094" s="26" t="str">
        <f>IFERROR(VLOOKUP(G4094,WholesaleExtract!B:J,9,FALSE),"")</f>
        <v/>
      </c>
      <c r="F4094" s="26" t="str">
        <f>IFERROR(VLOOKUP(G4094,WholesaleExtract!B:J,6,FALSE),"")</f>
        <v/>
      </c>
      <c r="H4094" s="47" t="str">
        <f>IFERROR(VLOOKUP(G4094,WholesaleExtract!B:L,11,FALSE),"")</f>
        <v/>
      </c>
      <c r="I4094" s="26" t="str">
        <f>IFERROR(VLOOKUP(G4094,WholesaleExtract!B:O,8,FALSE),"")</f>
        <v/>
      </c>
      <c r="J4094" s="26" t="str">
        <f>IFERROR(VLOOKUP(G4094,WholesaleExtract!B:O,14,FALSE),"")</f>
        <v/>
      </c>
      <c r="K4094" s="26" t="str">
        <f>IFERROR(VLOOKUP(G4094,WholesaleExtract!B:K,10,FALSE),"")</f>
        <v/>
      </c>
      <c r="L4094" s="47" t="str">
        <f>IFERROR(VLOOKUP(G4094,WholesaleExtract!B:L,11,FALSE),"")</f>
        <v/>
      </c>
      <c r="M4094" s="47" t="str">
        <f>IFERROR(VLOOKUP(G4094,WholesaleExtract!B:M,12,FALSE),"")</f>
        <v/>
      </c>
      <c r="R4094" s="19"/>
      <c r="S4094" s="19"/>
    </row>
    <row r="4095" spans="1:19" x14ac:dyDescent="0.35">
      <c r="A4095" s="26" t="s">
        <v>543</v>
      </c>
      <c r="B4095" s="26" t="s">
        <v>543</v>
      </c>
      <c r="C4095" s="26"/>
      <c r="D4095" s="26" t="s">
        <v>543</v>
      </c>
      <c r="E4095" s="26" t="str">
        <f>IFERROR(VLOOKUP(G4095,WholesaleExtract!B:J,9,FALSE),"")</f>
        <v/>
      </c>
      <c r="F4095" s="26" t="str">
        <f>IFERROR(VLOOKUP(G4095,WholesaleExtract!B:J,6,FALSE),"")</f>
        <v/>
      </c>
      <c r="H4095" s="47" t="str">
        <f>IFERROR(VLOOKUP(G4095,WholesaleExtract!B:L,11,FALSE),"")</f>
        <v/>
      </c>
      <c r="I4095" s="26" t="str">
        <f>IFERROR(VLOOKUP(G4095,WholesaleExtract!B:O,8,FALSE),"")</f>
        <v/>
      </c>
      <c r="J4095" s="26" t="str">
        <f>IFERROR(VLOOKUP(G4095,WholesaleExtract!B:O,14,FALSE),"")</f>
        <v/>
      </c>
      <c r="K4095" s="26" t="str">
        <f>IFERROR(VLOOKUP(G4095,WholesaleExtract!B:K,10,FALSE),"")</f>
        <v/>
      </c>
      <c r="L4095" s="47" t="str">
        <f>IFERROR(VLOOKUP(G4095,WholesaleExtract!B:L,11,FALSE),"")</f>
        <v/>
      </c>
      <c r="M4095" s="47" t="str">
        <f>IFERROR(VLOOKUP(G4095,WholesaleExtract!B:M,12,FALSE),"")</f>
        <v/>
      </c>
      <c r="R4095" s="19"/>
      <c r="S4095" s="19"/>
    </row>
    <row r="4096" spans="1:19" x14ac:dyDescent="0.35">
      <c r="A4096" s="26" t="s">
        <v>543</v>
      </c>
      <c r="B4096" s="26" t="s">
        <v>543</v>
      </c>
      <c r="C4096" s="26"/>
      <c r="D4096" s="26" t="s">
        <v>543</v>
      </c>
      <c r="E4096" s="26" t="str">
        <f>IFERROR(VLOOKUP(G4096,WholesaleExtract!B:J,9,FALSE),"")</f>
        <v/>
      </c>
      <c r="F4096" s="26" t="str">
        <f>IFERROR(VLOOKUP(G4096,WholesaleExtract!B:J,6,FALSE),"")</f>
        <v/>
      </c>
      <c r="H4096" s="47" t="str">
        <f>IFERROR(VLOOKUP(G4096,WholesaleExtract!B:L,11,FALSE),"")</f>
        <v/>
      </c>
      <c r="I4096" s="26" t="str">
        <f>IFERROR(VLOOKUP(G4096,WholesaleExtract!B:O,8,FALSE),"")</f>
        <v/>
      </c>
      <c r="J4096" s="26" t="str">
        <f>IFERROR(VLOOKUP(G4096,WholesaleExtract!B:O,14,FALSE),"")</f>
        <v/>
      </c>
      <c r="K4096" s="26" t="str">
        <f>IFERROR(VLOOKUP(G4096,WholesaleExtract!B:K,10,FALSE),"")</f>
        <v/>
      </c>
      <c r="L4096" s="47" t="str">
        <f>IFERROR(VLOOKUP(G4096,WholesaleExtract!B:L,11,FALSE),"")</f>
        <v/>
      </c>
      <c r="M4096" s="47" t="str">
        <f>IFERROR(VLOOKUP(G4096,WholesaleExtract!B:M,12,FALSE),"")</f>
        <v/>
      </c>
      <c r="R4096" s="19"/>
      <c r="S4096" s="19"/>
    </row>
    <row r="4097" spans="1:19" x14ac:dyDescent="0.35">
      <c r="A4097" s="26" t="s">
        <v>543</v>
      </c>
      <c r="B4097" s="26" t="s">
        <v>543</v>
      </c>
      <c r="C4097" s="26"/>
      <c r="D4097" s="26" t="s">
        <v>543</v>
      </c>
      <c r="E4097" s="26" t="str">
        <f>IFERROR(VLOOKUP(G4097,WholesaleExtract!B:J,9,FALSE),"")</f>
        <v/>
      </c>
      <c r="F4097" s="26" t="str">
        <f>IFERROR(VLOOKUP(G4097,WholesaleExtract!B:J,6,FALSE),"")</f>
        <v/>
      </c>
      <c r="H4097" s="47" t="str">
        <f>IFERROR(VLOOKUP(G4097,WholesaleExtract!B:L,11,FALSE),"")</f>
        <v/>
      </c>
      <c r="I4097" s="26" t="str">
        <f>IFERROR(VLOOKUP(G4097,WholesaleExtract!B:O,8,FALSE),"")</f>
        <v/>
      </c>
      <c r="J4097" s="26" t="str">
        <f>IFERROR(VLOOKUP(G4097,WholesaleExtract!B:O,14,FALSE),"")</f>
        <v/>
      </c>
      <c r="K4097" s="26" t="str">
        <f>IFERROR(VLOOKUP(G4097,WholesaleExtract!B:K,10,FALSE),"")</f>
        <v/>
      </c>
      <c r="L4097" s="47" t="str">
        <f>IFERROR(VLOOKUP(G4097,WholesaleExtract!B:L,11,FALSE),"")</f>
        <v/>
      </c>
      <c r="M4097" s="47" t="str">
        <f>IFERROR(VLOOKUP(G4097,WholesaleExtract!B:M,12,FALSE),"")</f>
        <v/>
      </c>
      <c r="R4097" s="19"/>
      <c r="S4097" s="19"/>
    </row>
    <row r="4098" spans="1:19" x14ac:dyDescent="0.35">
      <c r="A4098" s="26" t="s">
        <v>543</v>
      </c>
      <c r="B4098" s="26" t="s">
        <v>543</v>
      </c>
      <c r="C4098" s="26"/>
      <c r="D4098" s="26" t="s">
        <v>543</v>
      </c>
      <c r="E4098" s="26" t="str">
        <f>IFERROR(VLOOKUP(G4098,WholesaleExtract!B:J,9,FALSE),"")</f>
        <v/>
      </c>
      <c r="F4098" s="26" t="str">
        <f>IFERROR(VLOOKUP(G4098,WholesaleExtract!B:J,6,FALSE),"")</f>
        <v/>
      </c>
      <c r="H4098" s="47" t="str">
        <f>IFERROR(VLOOKUP(G4098,WholesaleExtract!B:L,11,FALSE),"")</f>
        <v/>
      </c>
      <c r="I4098" s="26" t="str">
        <f>IFERROR(VLOOKUP(G4098,WholesaleExtract!B:O,8,FALSE),"")</f>
        <v/>
      </c>
      <c r="J4098" s="26" t="str">
        <f>IFERROR(VLOOKUP(G4098,WholesaleExtract!B:O,14,FALSE),"")</f>
        <v/>
      </c>
      <c r="K4098" s="26" t="str">
        <f>IFERROR(VLOOKUP(G4098,WholesaleExtract!B:K,10,FALSE),"")</f>
        <v/>
      </c>
      <c r="L4098" s="47" t="str">
        <f>IFERROR(VLOOKUP(G4098,WholesaleExtract!B:L,11,FALSE),"")</f>
        <v/>
      </c>
      <c r="M4098" s="47" t="str">
        <f>IFERROR(VLOOKUP(G4098,WholesaleExtract!B:M,12,FALSE),"")</f>
        <v/>
      </c>
      <c r="R4098" s="19"/>
      <c r="S4098" s="19"/>
    </row>
    <row r="4099" spans="1:19" x14ac:dyDescent="0.35">
      <c r="A4099" s="26" t="s">
        <v>543</v>
      </c>
      <c r="B4099" s="26" t="s">
        <v>543</v>
      </c>
      <c r="C4099" s="26"/>
      <c r="D4099" s="26" t="s">
        <v>543</v>
      </c>
      <c r="E4099" s="26" t="str">
        <f>IFERROR(VLOOKUP(G4099,WholesaleExtract!B:J,9,FALSE),"")</f>
        <v/>
      </c>
      <c r="F4099" s="26" t="str">
        <f>IFERROR(VLOOKUP(G4099,WholesaleExtract!B:J,6,FALSE),"")</f>
        <v/>
      </c>
      <c r="H4099" s="47" t="str">
        <f>IFERROR(VLOOKUP(G4099,WholesaleExtract!B:L,11,FALSE),"")</f>
        <v/>
      </c>
      <c r="I4099" s="26" t="str">
        <f>IFERROR(VLOOKUP(G4099,WholesaleExtract!B:O,8,FALSE),"")</f>
        <v/>
      </c>
      <c r="J4099" s="26" t="str">
        <f>IFERROR(VLOOKUP(G4099,WholesaleExtract!B:O,14,FALSE),"")</f>
        <v/>
      </c>
      <c r="K4099" s="26" t="str">
        <f>IFERROR(VLOOKUP(G4099,WholesaleExtract!B:K,10,FALSE),"")</f>
        <v/>
      </c>
      <c r="L4099" s="47" t="str">
        <f>IFERROR(VLOOKUP(G4099,WholesaleExtract!B:L,11,FALSE),"")</f>
        <v/>
      </c>
      <c r="M4099" s="47" t="str">
        <f>IFERROR(VLOOKUP(G4099,WholesaleExtract!B:M,12,FALSE),"")</f>
        <v/>
      </c>
      <c r="R4099" s="19"/>
      <c r="S4099" s="19"/>
    </row>
    <row r="4100" spans="1:19" x14ac:dyDescent="0.35">
      <c r="A4100" s="26" t="s">
        <v>543</v>
      </c>
      <c r="B4100" s="26" t="s">
        <v>543</v>
      </c>
      <c r="C4100" s="26"/>
      <c r="D4100" s="26" t="s">
        <v>543</v>
      </c>
      <c r="E4100" s="26" t="str">
        <f>IFERROR(VLOOKUP(G4100,WholesaleExtract!B:J,9,FALSE),"")</f>
        <v/>
      </c>
      <c r="F4100" s="26" t="str">
        <f>IFERROR(VLOOKUP(G4100,WholesaleExtract!B:J,6,FALSE),"")</f>
        <v/>
      </c>
      <c r="H4100" s="47" t="str">
        <f>IFERROR(VLOOKUP(G4100,WholesaleExtract!B:L,11,FALSE),"")</f>
        <v/>
      </c>
      <c r="I4100" s="26" t="str">
        <f>IFERROR(VLOOKUP(G4100,WholesaleExtract!B:O,8,FALSE),"")</f>
        <v/>
      </c>
      <c r="J4100" s="26" t="str">
        <f>IFERROR(VLOOKUP(G4100,WholesaleExtract!B:O,14,FALSE),"")</f>
        <v/>
      </c>
      <c r="K4100" s="26" t="str">
        <f>IFERROR(VLOOKUP(G4100,WholesaleExtract!B:K,10,FALSE),"")</f>
        <v/>
      </c>
      <c r="L4100" s="47" t="str">
        <f>IFERROR(VLOOKUP(G4100,WholesaleExtract!B:L,11,FALSE),"")</f>
        <v/>
      </c>
      <c r="M4100" s="47" t="str">
        <f>IFERROR(VLOOKUP(G4100,WholesaleExtract!B:M,12,FALSE),"")</f>
        <v/>
      </c>
      <c r="R4100" s="19"/>
      <c r="S4100" s="19"/>
    </row>
    <row r="4101" spans="1:19" x14ac:dyDescent="0.35">
      <c r="A4101" s="26" t="s">
        <v>543</v>
      </c>
      <c r="B4101" s="26" t="s">
        <v>543</v>
      </c>
      <c r="C4101" s="26"/>
      <c r="D4101" s="26" t="s">
        <v>543</v>
      </c>
      <c r="E4101" s="26" t="str">
        <f>IFERROR(VLOOKUP(G4101,WholesaleExtract!B:J,9,FALSE),"")</f>
        <v/>
      </c>
      <c r="F4101" s="26" t="str">
        <f>IFERROR(VLOOKUP(G4101,WholesaleExtract!B:J,6,FALSE),"")</f>
        <v/>
      </c>
      <c r="H4101" s="47" t="str">
        <f>IFERROR(VLOOKUP(G4101,WholesaleExtract!B:L,11,FALSE),"")</f>
        <v/>
      </c>
      <c r="I4101" s="26" t="str">
        <f>IFERROR(VLOOKUP(G4101,WholesaleExtract!B:O,8,FALSE),"")</f>
        <v/>
      </c>
      <c r="J4101" s="26" t="str">
        <f>IFERROR(VLOOKUP(G4101,WholesaleExtract!B:O,14,FALSE),"")</f>
        <v/>
      </c>
      <c r="K4101" s="26" t="str">
        <f>IFERROR(VLOOKUP(G4101,WholesaleExtract!B:K,10,FALSE),"")</f>
        <v/>
      </c>
      <c r="L4101" s="47" t="str">
        <f>IFERROR(VLOOKUP(G4101,WholesaleExtract!B:L,11,FALSE),"")</f>
        <v/>
      </c>
      <c r="M4101" s="47" t="str">
        <f>IFERROR(VLOOKUP(G4101,WholesaleExtract!B:M,12,FALSE),"")</f>
        <v/>
      </c>
      <c r="R4101" s="19"/>
      <c r="S4101" s="19"/>
    </row>
    <row r="4102" spans="1:19" x14ac:dyDescent="0.35">
      <c r="A4102" s="26" t="s">
        <v>543</v>
      </c>
      <c r="B4102" s="26" t="s">
        <v>543</v>
      </c>
      <c r="C4102" s="26"/>
      <c r="D4102" s="26" t="s">
        <v>543</v>
      </c>
      <c r="E4102" s="26" t="str">
        <f>IFERROR(VLOOKUP(G4102,WholesaleExtract!B:J,9,FALSE),"")</f>
        <v/>
      </c>
      <c r="F4102" s="26" t="str">
        <f>IFERROR(VLOOKUP(G4102,WholesaleExtract!B:J,6,FALSE),"")</f>
        <v/>
      </c>
      <c r="H4102" s="47" t="str">
        <f>IFERROR(VLOOKUP(G4102,WholesaleExtract!B:L,11,FALSE),"")</f>
        <v/>
      </c>
      <c r="I4102" s="26" t="str">
        <f>IFERROR(VLOOKUP(G4102,WholesaleExtract!B:O,8,FALSE),"")</f>
        <v/>
      </c>
      <c r="J4102" s="26" t="str">
        <f>IFERROR(VLOOKUP(G4102,WholesaleExtract!B:O,14,FALSE),"")</f>
        <v/>
      </c>
      <c r="K4102" s="26" t="str">
        <f>IFERROR(VLOOKUP(G4102,WholesaleExtract!B:K,10,FALSE),"")</f>
        <v/>
      </c>
      <c r="L4102" s="47" t="str">
        <f>IFERROR(VLOOKUP(G4102,WholesaleExtract!B:L,11,FALSE),"")</f>
        <v/>
      </c>
      <c r="M4102" s="47" t="str">
        <f>IFERROR(VLOOKUP(G4102,WholesaleExtract!B:M,12,FALSE),"")</f>
        <v/>
      </c>
      <c r="R4102" s="19"/>
      <c r="S4102" s="19"/>
    </row>
    <row r="4103" spans="1:19" x14ac:dyDescent="0.35">
      <c r="A4103" s="26" t="s">
        <v>543</v>
      </c>
      <c r="B4103" s="26" t="s">
        <v>543</v>
      </c>
      <c r="C4103" s="26"/>
      <c r="D4103" s="26" t="s">
        <v>543</v>
      </c>
      <c r="E4103" s="26" t="str">
        <f>IFERROR(VLOOKUP(G4103,WholesaleExtract!B:J,9,FALSE),"")</f>
        <v/>
      </c>
      <c r="F4103" s="26" t="str">
        <f>IFERROR(VLOOKUP(G4103,WholesaleExtract!B:J,6,FALSE),"")</f>
        <v/>
      </c>
      <c r="H4103" s="47" t="str">
        <f>IFERROR(VLOOKUP(G4103,WholesaleExtract!B:L,11,FALSE),"")</f>
        <v/>
      </c>
      <c r="I4103" s="26" t="str">
        <f>IFERROR(VLOOKUP(G4103,WholesaleExtract!B:O,8,FALSE),"")</f>
        <v/>
      </c>
      <c r="J4103" s="26" t="str">
        <f>IFERROR(VLOOKUP(G4103,WholesaleExtract!B:O,14,FALSE),"")</f>
        <v/>
      </c>
      <c r="K4103" s="26" t="str">
        <f>IFERROR(VLOOKUP(G4103,WholesaleExtract!B:K,10,FALSE),"")</f>
        <v/>
      </c>
      <c r="L4103" s="47" t="str">
        <f>IFERROR(VLOOKUP(G4103,WholesaleExtract!B:L,11,FALSE),"")</f>
        <v/>
      </c>
      <c r="M4103" s="47" t="str">
        <f>IFERROR(VLOOKUP(G4103,WholesaleExtract!B:M,12,FALSE),"")</f>
        <v/>
      </c>
      <c r="R4103" s="19"/>
      <c r="S4103" s="19"/>
    </row>
    <row r="4104" spans="1:19" x14ac:dyDescent="0.35">
      <c r="A4104" s="26" t="s">
        <v>543</v>
      </c>
      <c r="B4104" s="26" t="s">
        <v>543</v>
      </c>
      <c r="C4104" s="26"/>
      <c r="D4104" s="26" t="s">
        <v>543</v>
      </c>
      <c r="E4104" s="26" t="str">
        <f>IFERROR(VLOOKUP(G4104,WholesaleExtract!B:J,9,FALSE),"")</f>
        <v/>
      </c>
      <c r="F4104" s="26" t="str">
        <f>IFERROR(VLOOKUP(G4104,WholesaleExtract!B:J,6,FALSE),"")</f>
        <v/>
      </c>
      <c r="H4104" s="47" t="str">
        <f>IFERROR(VLOOKUP(G4104,WholesaleExtract!B:L,11,FALSE),"")</f>
        <v/>
      </c>
      <c r="I4104" s="26" t="str">
        <f>IFERROR(VLOOKUP(G4104,WholesaleExtract!B:O,8,FALSE),"")</f>
        <v/>
      </c>
      <c r="J4104" s="26" t="str">
        <f>IFERROR(VLOOKUP(G4104,WholesaleExtract!B:O,14,FALSE),"")</f>
        <v/>
      </c>
      <c r="K4104" s="26" t="str">
        <f>IFERROR(VLOOKUP(G4104,WholesaleExtract!B:K,10,FALSE),"")</f>
        <v/>
      </c>
      <c r="L4104" s="47" t="str">
        <f>IFERROR(VLOOKUP(G4104,WholesaleExtract!B:L,11,FALSE),"")</f>
        <v/>
      </c>
      <c r="M4104" s="47" t="str">
        <f>IFERROR(VLOOKUP(G4104,WholesaleExtract!B:M,12,FALSE),"")</f>
        <v/>
      </c>
      <c r="R4104" s="19"/>
      <c r="S4104" s="19"/>
    </row>
    <row r="4105" spans="1:19" x14ac:dyDescent="0.35">
      <c r="A4105" s="26" t="s">
        <v>543</v>
      </c>
      <c r="B4105" s="26" t="s">
        <v>543</v>
      </c>
      <c r="C4105" s="26"/>
      <c r="D4105" s="26" t="s">
        <v>543</v>
      </c>
      <c r="E4105" s="26" t="str">
        <f>IFERROR(VLOOKUP(G4105,WholesaleExtract!B:J,9,FALSE),"")</f>
        <v/>
      </c>
      <c r="F4105" s="26" t="str">
        <f>IFERROR(VLOOKUP(G4105,WholesaleExtract!B:J,6,FALSE),"")</f>
        <v/>
      </c>
      <c r="H4105" s="47" t="str">
        <f>IFERROR(VLOOKUP(G4105,WholesaleExtract!B:L,11,FALSE),"")</f>
        <v/>
      </c>
      <c r="I4105" s="26" t="str">
        <f>IFERROR(VLOOKUP(G4105,WholesaleExtract!B:O,8,FALSE),"")</f>
        <v/>
      </c>
      <c r="J4105" s="26" t="str">
        <f>IFERROR(VLOOKUP(G4105,WholesaleExtract!B:O,14,FALSE),"")</f>
        <v/>
      </c>
      <c r="K4105" s="26" t="str">
        <f>IFERROR(VLOOKUP(G4105,WholesaleExtract!B:K,10,FALSE),"")</f>
        <v/>
      </c>
      <c r="L4105" s="47" t="str">
        <f>IFERROR(VLOOKUP(G4105,WholesaleExtract!B:L,11,FALSE),"")</f>
        <v/>
      </c>
      <c r="M4105" s="47" t="str">
        <f>IFERROR(VLOOKUP(G4105,WholesaleExtract!B:M,12,FALSE),"")</f>
        <v/>
      </c>
      <c r="R4105" s="19"/>
      <c r="S4105" s="19"/>
    </row>
    <row r="4106" spans="1:19" x14ac:dyDescent="0.35">
      <c r="A4106" s="26" t="s">
        <v>543</v>
      </c>
      <c r="B4106" s="26" t="s">
        <v>543</v>
      </c>
      <c r="C4106" s="26"/>
      <c r="D4106" s="26" t="s">
        <v>543</v>
      </c>
      <c r="E4106" s="26" t="str">
        <f>IFERROR(VLOOKUP(G4106,WholesaleExtract!B:J,9,FALSE),"")</f>
        <v/>
      </c>
      <c r="F4106" s="26" t="str">
        <f>IFERROR(VLOOKUP(G4106,WholesaleExtract!B:J,6,FALSE),"")</f>
        <v/>
      </c>
      <c r="H4106" s="47" t="str">
        <f>IFERROR(VLOOKUP(G4106,WholesaleExtract!B:L,11,FALSE),"")</f>
        <v/>
      </c>
      <c r="I4106" s="26" t="str">
        <f>IFERROR(VLOOKUP(G4106,WholesaleExtract!B:O,8,FALSE),"")</f>
        <v/>
      </c>
      <c r="J4106" s="26" t="str">
        <f>IFERROR(VLOOKUP(G4106,WholesaleExtract!B:O,14,FALSE),"")</f>
        <v/>
      </c>
      <c r="K4106" s="26" t="str">
        <f>IFERROR(VLOOKUP(G4106,WholesaleExtract!B:K,10,FALSE),"")</f>
        <v/>
      </c>
      <c r="L4106" s="47" t="str">
        <f>IFERROR(VLOOKUP(G4106,WholesaleExtract!B:L,11,FALSE),"")</f>
        <v/>
      </c>
      <c r="M4106" s="47" t="str">
        <f>IFERROR(VLOOKUP(G4106,WholesaleExtract!B:M,12,FALSE),"")</f>
        <v/>
      </c>
      <c r="R4106" s="19"/>
      <c r="S4106" s="19"/>
    </row>
    <row r="4107" spans="1:19" x14ac:dyDescent="0.35">
      <c r="A4107" s="26" t="s">
        <v>543</v>
      </c>
      <c r="B4107" s="26" t="s">
        <v>543</v>
      </c>
      <c r="C4107" s="26"/>
      <c r="D4107" s="26" t="s">
        <v>543</v>
      </c>
      <c r="E4107" s="26" t="str">
        <f>IFERROR(VLOOKUP(G4107,WholesaleExtract!B:J,9,FALSE),"")</f>
        <v/>
      </c>
      <c r="F4107" s="26" t="str">
        <f>IFERROR(VLOOKUP(G4107,WholesaleExtract!B:J,6,FALSE),"")</f>
        <v/>
      </c>
      <c r="H4107" s="47" t="str">
        <f>IFERROR(VLOOKUP(G4107,WholesaleExtract!B:L,11,FALSE),"")</f>
        <v/>
      </c>
      <c r="I4107" s="26" t="str">
        <f>IFERROR(VLOOKUP(G4107,WholesaleExtract!B:O,8,FALSE),"")</f>
        <v/>
      </c>
      <c r="J4107" s="26" t="str">
        <f>IFERROR(VLOOKUP(G4107,WholesaleExtract!B:O,14,FALSE),"")</f>
        <v/>
      </c>
      <c r="K4107" s="26" t="str">
        <f>IFERROR(VLOOKUP(G4107,WholesaleExtract!B:K,10,FALSE),"")</f>
        <v/>
      </c>
      <c r="L4107" s="47" t="str">
        <f>IFERROR(VLOOKUP(G4107,WholesaleExtract!B:L,11,FALSE),"")</f>
        <v/>
      </c>
      <c r="M4107" s="47" t="str">
        <f>IFERROR(VLOOKUP(G4107,WholesaleExtract!B:M,12,FALSE),"")</f>
        <v/>
      </c>
      <c r="R4107" s="19"/>
      <c r="S4107" s="19"/>
    </row>
    <row r="4108" spans="1:19" x14ac:dyDescent="0.35">
      <c r="A4108" s="26" t="s">
        <v>543</v>
      </c>
      <c r="B4108" s="26" t="s">
        <v>543</v>
      </c>
      <c r="C4108" s="26"/>
      <c r="D4108" s="26" t="s">
        <v>543</v>
      </c>
      <c r="E4108" s="26" t="str">
        <f>IFERROR(VLOOKUP(G4108,WholesaleExtract!B:J,9,FALSE),"")</f>
        <v/>
      </c>
      <c r="F4108" s="26" t="str">
        <f>IFERROR(VLOOKUP(G4108,WholesaleExtract!B:J,6,FALSE),"")</f>
        <v/>
      </c>
      <c r="H4108" s="47" t="str">
        <f>IFERROR(VLOOKUP(G4108,WholesaleExtract!B:L,11,FALSE),"")</f>
        <v/>
      </c>
      <c r="I4108" s="26" t="str">
        <f>IFERROR(VLOOKUP(G4108,WholesaleExtract!B:O,8,FALSE),"")</f>
        <v/>
      </c>
      <c r="J4108" s="26" t="str">
        <f>IFERROR(VLOOKUP(G4108,WholesaleExtract!B:O,14,FALSE),"")</f>
        <v/>
      </c>
      <c r="K4108" s="26" t="str">
        <f>IFERROR(VLOOKUP(G4108,WholesaleExtract!B:K,10,FALSE),"")</f>
        <v/>
      </c>
      <c r="L4108" s="47" t="str">
        <f>IFERROR(VLOOKUP(G4108,WholesaleExtract!B:L,11,FALSE),"")</f>
        <v/>
      </c>
      <c r="M4108" s="47" t="str">
        <f>IFERROR(VLOOKUP(G4108,WholesaleExtract!B:M,12,FALSE),"")</f>
        <v/>
      </c>
      <c r="R4108" s="19"/>
      <c r="S4108" s="19"/>
    </row>
    <row r="4109" spans="1:19" x14ac:dyDescent="0.35">
      <c r="A4109" s="26" t="s">
        <v>543</v>
      </c>
      <c r="B4109" s="26" t="s">
        <v>543</v>
      </c>
      <c r="C4109" s="26"/>
      <c r="D4109" s="26" t="s">
        <v>543</v>
      </c>
      <c r="E4109" s="26" t="str">
        <f>IFERROR(VLOOKUP(G4109,WholesaleExtract!B:J,9,FALSE),"")</f>
        <v/>
      </c>
      <c r="F4109" s="26" t="str">
        <f>IFERROR(VLOOKUP(G4109,WholesaleExtract!B:J,6,FALSE),"")</f>
        <v/>
      </c>
      <c r="H4109" s="47" t="str">
        <f>IFERROR(VLOOKUP(G4109,WholesaleExtract!B:L,11,FALSE),"")</f>
        <v/>
      </c>
      <c r="I4109" s="26" t="str">
        <f>IFERROR(VLOOKUP(G4109,WholesaleExtract!B:O,8,FALSE),"")</f>
        <v/>
      </c>
      <c r="J4109" s="26" t="str">
        <f>IFERROR(VLOOKUP(G4109,WholesaleExtract!B:O,14,FALSE),"")</f>
        <v/>
      </c>
      <c r="K4109" s="26" t="str">
        <f>IFERROR(VLOOKUP(G4109,WholesaleExtract!B:K,10,FALSE),"")</f>
        <v/>
      </c>
      <c r="L4109" s="47" t="str">
        <f>IFERROR(VLOOKUP(G4109,WholesaleExtract!B:L,11,FALSE),"")</f>
        <v/>
      </c>
      <c r="M4109" s="47" t="str">
        <f>IFERROR(VLOOKUP(G4109,WholesaleExtract!B:M,12,FALSE),"")</f>
        <v/>
      </c>
      <c r="R4109" s="19"/>
      <c r="S4109" s="19"/>
    </row>
    <row r="4110" spans="1:19" x14ac:dyDescent="0.35">
      <c r="A4110" s="26" t="s">
        <v>543</v>
      </c>
      <c r="B4110" s="26" t="s">
        <v>543</v>
      </c>
      <c r="C4110" s="26"/>
      <c r="D4110" s="26" t="s">
        <v>543</v>
      </c>
      <c r="E4110" s="26" t="str">
        <f>IFERROR(VLOOKUP(G4110,WholesaleExtract!B:J,9,FALSE),"")</f>
        <v/>
      </c>
      <c r="F4110" s="26" t="str">
        <f>IFERROR(VLOOKUP(G4110,WholesaleExtract!B:J,6,FALSE),"")</f>
        <v/>
      </c>
      <c r="H4110" s="47" t="str">
        <f>IFERROR(VLOOKUP(G4110,WholesaleExtract!B:L,11,FALSE),"")</f>
        <v/>
      </c>
      <c r="I4110" s="26" t="str">
        <f>IFERROR(VLOOKUP(G4110,WholesaleExtract!B:O,8,FALSE),"")</f>
        <v/>
      </c>
      <c r="J4110" s="26" t="str">
        <f>IFERROR(VLOOKUP(G4110,WholesaleExtract!B:O,14,FALSE),"")</f>
        <v/>
      </c>
      <c r="K4110" s="26" t="str">
        <f>IFERROR(VLOOKUP(G4110,WholesaleExtract!B:K,10,FALSE),"")</f>
        <v/>
      </c>
      <c r="L4110" s="47" t="str">
        <f>IFERROR(VLOOKUP(G4110,WholesaleExtract!B:L,11,FALSE),"")</f>
        <v/>
      </c>
      <c r="M4110" s="47" t="str">
        <f>IFERROR(VLOOKUP(G4110,WholesaleExtract!B:M,12,FALSE),"")</f>
        <v/>
      </c>
      <c r="R4110" s="19"/>
      <c r="S4110" s="19"/>
    </row>
    <row r="4111" spans="1:19" x14ac:dyDescent="0.35">
      <c r="A4111" s="26" t="s">
        <v>543</v>
      </c>
      <c r="B4111" s="26" t="s">
        <v>543</v>
      </c>
      <c r="C4111" s="26"/>
      <c r="D4111" s="26" t="s">
        <v>543</v>
      </c>
      <c r="E4111" s="26" t="str">
        <f>IFERROR(VLOOKUP(G4111,WholesaleExtract!B:J,9,FALSE),"")</f>
        <v/>
      </c>
      <c r="F4111" s="26" t="str">
        <f>IFERROR(VLOOKUP(G4111,WholesaleExtract!B:J,6,FALSE),"")</f>
        <v/>
      </c>
      <c r="H4111" s="47" t="str">
        <f>IFERROR(VLOOKUP(G4111,WholesaleExtract!B:L,11,FALSE),"")</f>
        <v/>
      </c>
      <c r="I4111" s="26" t="str">
        <f>IFERROR(VLOOKUP(G4111,WholesaleExtract!B:O,8,FALSE),"")</f>
        <v/>
      </c>
      <c r="J4111" s="26" t="str">
        <f>IFERROR(VLOOKUP(G4111,WholesaleExtract!B:O,14,FALSE),"")</f>
        <v/>
      </c>
      <c r="K4111" s="26" t="str">
        <f>IFERROR(VLOOKUP(G4111,WholesaleExtract!B:K,10,FALSE),"")</f>
        <v/>
      </c>
      <c r="L4111" s="47" t="str">
        <f>IFERROR(VLOOKUP(G4111,WholesaleExtract!B:L,11,FALSE),"")</f>
        <v/>
      </c>
      <c r="M4111" s="47" t="str">
        <f>IFERROR(VLOOKUP(G4111,WholesaleExtract!B:M,12,FALSE),"")</f>
        <v/>
      </c>
      <c r="R4111" s="19"/>
      <c r="S4111" s="19"/>
    </row>
    <row r="4112" spans="1:19" x14ac:dyDescent="0.35">
      <c r="A4112" s="26" t="s">
        <v>543</v>
      </c>
      <c r="B4112" s="26" t="s">
        <v>543</v>
      </c>
      <c r="C4112" s="26"/>
      <c r="D4112" s="26" t="s">
        <v>543</v>
      </c>
      <c r="E4112" s="26" t="str">
        <f>IFERROR(VLOOKUP(G4112,WholesaleExtract!B:J,9,FALSE),"")</f>
        <v/>
      </c>
      <c r="F4112" s="26" t="str">
        <f>IFERROR(VLOOKUP(G4112,WholesaleExtract!B:J,6,FALSE),"")</f>
        <v/>
      </c>
      <c r="H4112" s="47" t="str">
        <f>IFERROR(VLOOKUP(G4112,WholesaleExtract!B:L,11,FALSE),"")</f>
        <v/>
      </c>
      <c r="I4112" s="26" t="str">
        <f>IFERROR(VLOOKUP(G4112,WholesaleExtract!B:O,8,FALSE),"")</f>
        <v/>
      </c>
      <c r="J4112" s="26" t="str">
        <f>IFERROR(VLOOKUP(G4112,WholesaleExtract!B:O,14,FALSE),"")</f>
        <v/>
      </c>
      <c r="K4112" s="26" t="str">
        <f>IFERROR(VLOOKUP(G4112,WholesaleExtract!B:K,10,FALSE),"")</f>
        <v/>
      </c>
      <c r="L4112" s="47" t="str">
        <f>IFERROR(VLOOKUP(G4112,WholesaleExtract!B:L,11,FALSE),"")</f>
        <v/>
      </c>
      <c r="M4112" s="47" t="str">
        <f>IFERROR(VLOOKUP(G4112,WholesaleExtract!B:M,12,FALSE),"")</f>
        <v/>
      </c>
      <c r="R4112" s="19"/>
      <c r="S4112" s="19"/>
    </row>
    <row r="4113" spans="1:19" x14ac:dyDescent="0.35">
      <c r="A4113" s="26" t="s">
        <v>543</v>
      </c>
      <c r="B4113" s="26" t="s">
        <v>543</v>
      </c>
      <c r="C4113" s="26"/>
      <c r="D4113" s="26" t="s">
        <v>543</v>
      </c>
      <c r="E4113" s="26" t="str">
        <f>IFERROR(VLOOKUP(G4113,WholesaleExtract!B:J,9,FALSE),"")</f>
        <v/>
      </c>
      <c r="F4113" s="26" t="str">
        <f>IFERROR(VLOOKUP(G4113,WholesaleExtract!B:J,6,FALSE),"")</f>
        <v/>
      </c>
      <c r="H4113" s="47" t="str">
        <f>IFERROR(VLOOKUP(G4113,WholesaleExtract!B:L,11,FALSE),"")</f>
        <v/>
      </c>
      <c r="I4113" s="26" t="str">
        <f>IFERROR(VLOOKUP(G4113,WholesaleExtract!B:O,8,FALSE),"")</f>
        <v/>
      </c>
      <c r="J4113" s="26" t="str">
        <f>IFERROR(VLOOKUP(G4113,WholesaleExtract!B:O,14,FALSE),"")</f>
        <v/>
      </c>
      <c r="K4113" s="26" t="str">
        <f>IFERROR(VLOOKUP(G4113,WholesaleExtract!B:K,10,FALSE),"")</f>
        <v/>
      </c>
      <c r="L4113" s="47" t="str">
        <f>IFERROR(VLOOKUP(G4113,WholesaleExtract!B:L,11,FALSE),"")</f>
        <v/>
      </c>
      <c r="M4113" s="47" t="str">
        <f>IFERROR(VLOOKUP(G4113,WholesaleExtract!B:M,12,FALSE),"")</f>
        <v/>
      </c>
      <c r="R4113" s="19"/>
      <c r="S4113" s="19"/>
    </row>
    <row r="4114" spans="1:19" x14ac:dyDescent="0.35">
      <c r="A4114" s="26" t="s">
        <v>543</v>
      </c>
      <c r="B4114" s="26" t="s">
        <v>543</v>
      </c>
      <c r="C4114" s="26"/>
      <c r="D4114" s="26" t="s">
        <v>543</v>
      </c>
      <c r="E4114" s="26" t="str">
        <f>IFERROR(VLOOKUP(G4114,WholesaleExtract!B:J,9,FALSE),"")</f>
        <v/>
      </c>
      <c r="F4114" s="26" t="str">
        <f>IFERROR(VLOOKUP(G4114,WholesaleExtract!B:J,6,FALSE),"")</f>
        <v/>
      </c>
      <c r="H4114" s="47" t="str">
        <f>IFERROR(VLOOKUP(G4114,WholesaleExtract!B:L,11,FALSE),"")</f>
        <v/>
      </c>
      <c r="I4114" s="26" t="str">
        <f>IFERROR(VLOOKUP(G4114,WholesaleExtract!B:O,8,FALSE),"")</f>
        <v/>
      </c>
      <c r="J4114" s="26" t="str">
        <f>IFERROR(VLOOKUP(G4114,WholesaleExtract!B:O,14,FALSE),"")</f>
        <v/>
      </c>
      <c r="K4114" s="26" t="str">
        <f>IFERROR(VLOOKUP(G4114,WholesaleExtract!B:K,10,FALSE),"")</f>
        <v/>
      </c>
      <c r="L4114" s="47" t="str">
        <f>IFERROR(VLOOKUP(G4114,WholesaleExtract!B:L,11,FALSE),"")</f>
        <v/>
      </c>
      <c r="M4114" s="47" t="str">
        <f>IFERROR(VLOOKUP(G4114,WholesaleExtract!B:M,12,FALSE),"")</f>
        <v/>
      </c>
      <c r="R4114" s="19"/>
      <c r="S4114" s="19"/>
    </row>
    <row r="4115" spans="1:19" x14ac:dyDescent="0.35">
      <c r="A4115" s="26" t="s">
        <v>543</v>
      </c>
      <c r="B4115" s="26" t="s">
        <v>543</v>
      </c>
      <c r="C4115" s="26"/>
      <c r="D4115" s="26" t="s">
        <v>543</v>
      </c>
      <c r="E4115" s="26" t="str">
        <f>IFERROR(VLOOKUP(G4115,WholesaleExtract!B:J,9,FALSE),"")</f>
        <v/>
      </c>
      <c r="F4115" s="26" t="str">
        <f>IFERROR(VLOOKUP(G4115,WholesaleExtract!B:J,6,FALSE),"")</f>
        <v/>
      </c>
      <c r="H4115" s="47" t="str">
        <f>IFERROR(VLOOKUP(G4115,WholesaleExtract!B:L,11,FALSE),"")</f>
        <v/>
      </c>
      <c r="I4115" s="26" t="str">
        <f>IFERROR(VLOOKUP(G4115,WholesaleExtract!B:O,8,FALSE),"")</f>
        <v/>
      </c>
      <c r="J4115" s="26" t="str">
        <f>IFERROR(VLOOKUP(G4115,WholesaleExtract!B:O,14,FALSE),"")</f>
        <v/>
      </c>
      <c r="K4115" s="26" t="str">
        <f>IFERROR(VLOOKUP(G4115,WholesaleExtract!B:K,10,FALSE),"")</f>
        <v/>
      </c>
      <c r="L4115" s="47" t="str">
        <f>IFERROR(VLOOKUP(G4115,WholesaleExtract!B:L,11,FALSE),"")</f>
        <v/>
      </c>
      <c r="M4115" s="47" t="str">
        <f>IFERROR(VLOOKUP(G4115,WholesaleExtract!B:M,12,FALSE),"")</f>
        <v/>
      </c>
      <c r="R4115" s="19"/>
      <c r="S4115" s="19"/>
    </row>
    <row r="4116" spans="1:19" x14ac:dyDescent="0.35">
      <c r="A4116" s="26" t="s">
        <v>543</v>
      </c>
      <c r="B4116" s="26" t="s">
        <v>543</v>
      </c>
      <c r="C4116" s="26"/>
      <c r="D4116" s="26" t="s">
        <v>543</v>
      </c>
      <c r="E4116" s="26" t="str">
        <f>IFERROR(VLOOKUP(G4116,WholesaleExtract!B:J,9,FALSE),"")</f>
        <v/>
      </c>
      <c r="F4116" s="26" t="str">
        <f>IFERROR(VLOOKUP(G4116,WholesaleExtract!B:J,6,FALSE),"")</f>
        <v/>
      </c>
      <c r="H4116" s="47" t="str">
        <f>IFERROR(VLOOKUP(G4116,WholesaleExtract!B:L,11,FALSE),"")</f>
        <v/>
      </c>
      <c r="I4116" s="26" t="str">
        <f>IFERROR(VLOOKUP(G4116,WholesaleExtract!B:O,8,FALSE),"")</f>
        <v/>
      </c>
      <c r="J4116" s="26" t="str">
        <f>IFERROR(VLOOKUP(G4116,WholesaleExtract!B:O,14,FALSE),"")</f>
        <v/>
      </c>
      <c r="K4116" s="26" t="str">
        <f>IFERROR(VLOOKUP(G4116,WholesaleExtract!B:K,10,FALSE),"")</f>
        <v/>
      </c>
      <c r="L4116" s="47" t="str">
        <f>IFERROR(VLOOKUP(G4116,WholesaleExtract!B:L,11,FALSE),"")</f>
        <v/>
      </c>
      <c r="M4116" s="47" t="str">
        <f>IFERROR(VLOOKUP(G4116,WholesaleExtract!B:M,12,FALSE),"")</f>
        <v/>
      </c>
      <c r="R4116" s="19"/>
      <c r="S4116" s="19"/>
    </row>
    <row r="4117" spans="1:19" x14ac:dyDescent="0.35">
      <c r="A4117" s="26" t="s">
        <v>543</v>
      </c>
      <c r="B4117" s="26" t="s">
        <v>543</v>
      </c>
      <c r="C4117" s="26"/>
      <c r="D4117" s="26" t="s">
        <v>543</v>
      </c>
      <c r="E4117" s="26" t="str">
        <f>IFERROR(VLOOKUP(G4117,WholesaleExtract!B:J,9,FALSE),"")</f>
        <v/>
      </c>
      <c r="F4117" s="26" t="str">
        <f>IFERROR(VLOOKUP(G4117,WholesaleExtract!B:J,6,FALSE),"")</f>
        <v/>
      </c>
      <c r="H4117" s="47" t="str">
        <f>IFERROR(VLOOKUP(G4117,WholesaleExtract!B:L,11,FALSE),"")</f>
        <v/>
      </c>
      <c r="I4117" s="26" t="str">
        <f>IFERROR(VLOOKUP(G4117,WholesaleExtract!B:O,8,FALSE),"")</f>
        <v/>
      </c>
      <c r="J4117" s="26" t="str">
        <f>IFERROR(VLOOKUP(G4117,WholesaleExtract!B:O,14,FALSE),"")</f>
        <v/>
      </c>
      <c r="K4117" s="26" t="str">
        <f>IFERROR(VLOOKUP(G4117,WholesaleExtract!B:K,10,FALSE),"")</f>
        <v/>
      </c>
      <c r="L4117" s="47" t="str">
        <f>IFERROR(VLOOKUP(G4117,WholesaleExtract!B:L,11,FALSE),"")</f>
        <v/>
      </c>
      <c r="M4117" s="47" t="str">
        <f>IFERROR(VLOOKUP(G4117,WholesaleExtract!B:M,12,FALSE),"")</f>
        <v/>
      </c>
      <c r="R4117" s="19"/>
      <c r="S4117" s="19"/>
    </row>
    <row r="4118" spans="1:19" x14ac:dyDescent="0.35">
      <c r="A4118" s="26" t="s">
        <v>543</v>
      </c>
      <c r="B4118" s="26" t="s">
        <v>543</v>
      </c>
      <c r="C4118" s="26"/>
      <c r="D4118" s="26" t="s">
        <v>543</v>
      </c>
      <c r="E4118" s="26" t="str">
        <f>IFERROR(VLOOKUP(G4118,WholesaleExtract!B:J,9,FALSE),"")</f>
        <v/>
      </c>
      <c r="F4118" s="26" t="str">
        <f>IFERROR(VLOOKUP(G4118,WholesaleExtract!B:J,6,FALSE),"")</f>
        <v/>
      </c>
      <c r="H4118" s="47" t="str">
        <f>IFERROR(VLOOKUP(G4118,WholesaleExtract!B:L,11,FALSE),"")</f>
        <v/>
      </c>
      <c r="I4118" s="26" t="str">
        <f>IFERROR(VLOOKUP(G4118,WholesaleExtract!B:O,8,FALSE),"")</f>
        <v/>
      </c>
      <c r="J4118" s="26" t="str">
        <f>IFERROR(VLOOKUP(G4118,WholesaleExtract!B:O,14,FALSE),"")</f>
        <v/>
      </c>
      <c r="K4118" s="26" t="str">
        <f>IFERROR(VLOOKUP(G4118,WholesaleExtract!B:K,10,FALSE),"")</f>
        <v/>
      </c>
      <c r="L4118" s="47" t="str">
        <f>IFERROR(VLOOKUP(G4118,WholesaleExtract!B:L,11,FALSE),"")</f>
        <v/>
      </c>
      <c r="M4118" s="47" t="str">
        <f>IFERROR(VLOOKUP(G4118,WholesaleExtract!B:M,12,FALSE),"")</f>
        <v/>
      </c>
      <c r="R4118" s="19"/>
      <c r="S4118" s="19"/>
    </row>
    <row r="4119" spans="1:19" x14ac:dyDescent="0.35">
      <c r="A4119" s="26" t="s">
        <v>543</v>
      </c>
      <c r="B4119" s="26" t="s">
        <v>543</v>
      </c>
      <c r="C4119" s="26"/>
      <c r="D4119" s="26" t="s">
        <v>543</v>
      </c>
      <c r="E4119" s="26" t="str">
        <f>IFERROR(VLOOKUP(G4119,WholesaleExtract!B:J,9,FALSE),"")</f>
        <v/>
      </c>
      <c r="F4119" s="26" t="str">
        <f>IFERROR(VLOOKUP(G4119,WholesaleExtract!B:J,6,FALSE),"")</f>
        <v/>
      </c>
      <c r="H4119" s="47" t="str">
        <f>IFERROR(VLOOKUP(G4119,WholesaleExtract!B:L,11,FALSE),"")</f>
        <v/>
      </c>
      <c r="I4119" s="26" t="str">
        <f>IFERROR(VLOOKUP(G4119,WholesaleExtract!B:O,8,FALSE),"")</f>
        <v/>
      </c>
      <c r="J4119" s="26" t="str">
        <f>IFERROR(VLOOKUP(G4119,WholesaleExtract!B:O,14,FALSE),"")</f>
        <v/>
      </c>
      <c r="K4119" s="26" t="str">
        <f>IFERROR(VLOOKUP(G4119,WholesaleExtract!B:K,10,FALSE),"")</f>
        <v/>
      </c>
      <c r="L4119" s="47" t="str">
        <f>IFERROR(VLOOKUP(G4119,WholesaleExtract!B:L,11,FALSE),"")</f>
        <v/>
      </c>
      <c r="M4119" s="47" t="str">
        <f>IFERROR(VLOOKUP(G4119,WholesaleExtract!B:M,12,FALSE),"")</f>
        <v/>
      </c>
      <c r="R4119" s="19"/>
      <c r="S4119" s="19"/>
    </row>
    <row r="4120" spans="1:19" x14ac:dyDescent="0.35">
      <c r="A4120" s="26" t="s">
        <v>543</v>
      </c>
      <c r="B4120" s="26" t="s">
        <v>543</v>
      </c>
      <c r="C4120" s="26"/>
      <c r="D4120" s="26" t="s">
        <v>543</v>
      </c>
      <c r="E4120" s="26" t="str">
        <f>IFERROR(VLOOKUP(G4120,WholesaleExtract!B:J,9,FALSE),"")</f>
        <v/>
      </c>
      <c r="F4120" s="26" t="str">
        <f>IFERROR(VLOOKUP(G4120,WholesaleExtract!B:J,6,FALSE),"")</f>
        <v/>
      </c>
      <c r="H4120" s="47" t="str">
        <f>IFERROR(VLOOKUP(G4120,WholesaleExtract!B:L,11,FALSE),"")</f>
        <v/>
      </c>
      <c r="I4120" s="26" t="str">
        <f>IFERROR(VLOOKUP(G4120,WholesaleExtract!B:O,8,FALSE),"")</f>
        <v/>
      </c>
      <c r="J4120" s="26" t="str">
        <f>IFERROR(VLOOKUP(G4120,WholesaleExtract!B:O,14,FALSE),"")</f>
        <v/>
      </c>
      <c r="K4120" s="26" t="str">
        <f>IFERROR(VLOOKUP(G4120,WholesaleExtract!B:K,10,FALSE),"")</f>
        <v/>
      </c>
      <c r="L4120" s="47" t="str">
        <f>IFERROR(VLOOKUP(G4120,WholesaleExtract!B:L,11,FALSE),"")</f>
        <v/>
      </c>
      <c r="M4120" s="47" t="str">
        <f>IFERROR(VLOOKUP(G4120,WholesaleExtract!B:M,12,FALSE),"")</f>
        <v/>
      </c>
      <c r="R4120" s="19"/>
      <c r="S4120" s="19"/>
    </row>
    <row r="4121" spans="1:19" x14ac:dyDescent="0.35">
      <c r="A4121" s="26" t="s">
        <v>543</v>
      </c>
      <c r="B4121" s="26" t="s">
        <v>543</v>
      </c>
      <c r="C4121" s="26"/>
      <c r="D4121" s="26" t="s">
        <v>543</v>
      </c>
      <c r="E4121" s="26" t="str">
        <f>IFERROR(VLOOKUP(G4121,WholesaleExtract!B:J,9,FALSE),"")</f>
        <v/>
      </c>
      <c r="F4121" s="26" t="str">
        <f>IFERROR(VLOOKUP(G4121,WholesaleExtract!B:J,6,FALSE),"")</f>
        <v/>
      </c>
      <c r="H4121" s="47" t="str">
        <f>IFERROR(VLOOKUP(G4121,WholesaleExtract!B:L,11,FALSE),"")</f>
        <v/>
      </c>
      <c r="I4121" s="26" t="str">
        <f>IFERROR(VLOOKUP(G4121,WholesaleExtract!B:O,8,FALSE),"")</f>
        <v/>
      </c>
      <c r="J4121" s="26" t="str">
        <f>IFERROR(VLOOKUP(G4121,WholesaleExtract!B:O,14,FALSE),"")</f>
        <v/>
      </c>
      <c r="K4121" s="26" t="str">
        <f>IFERROR(VLOOKUP(G4121,WholesaleExtract!B:K,10,FALSE),"")</f>
        <v/>
      </c>
      <c r="L4121" s="47" t="str">
        <f>IFERROR(VLOOKUP(G4121,WholesaleExtract!B:L,11,FALSE),"")</f>
        <v/>
      </c>
      <c r="M4121" s="47" t="str">
        <f>IFERROR(VLOOKUP(G4121,WholesaleExtract!B:M,12,FALSE),"")</f>
        <v/>
      </c>
      <c r="R4121" s="19"/>
      <c r="S4121" s="19"/>
    </row>
    <row r="4122" spans="1:19" x14ac:dyDescent="0.35">
      <c r="A4122" s="26" t="s">
        <v>543</v>
      </c>
      <c r="B4122" s="26" t="s">
        <v>543</v>
      </c>
      <c r="C4122" s="26"/>
      <c r="D4122" s="26" t="s">
        <v>543</v>
      </c>
      <c r="E4122" s="26" t="str">
        <f>IFERROR(VLOOKUP(G4122,WholesaleExtract!B:J,9,FALSE),"")</f>
        <v/>
      </c>
      <c r="F4122" s="26" t="str">
        <f>IFERROR(VLOOKUP(G4122,WholesaleExtract!B:J,6,FALSE),"")</f>
        <v/>
      </c>
      <c r="H4122" s="47" t="str">
        <f>IFERROR(VLOOKUP(G4122,WholesaleExtract!B:L,11,FALSE),"")</f>
        <v/>
      </c>
      <c r="I4122" s="26" t="str">
        <f>IFERROR(VLOOKUP(G4122,WholesaleExtract!B:O,8,FALSE),"")</f>
        <v/>
      </c>
      <c r="J4122" s="26" t="str">
        <f>IFERROR(VLOOKUP(G4122,WholesaleExtract!B:O,14,FALSE),"")</f>
        <v/>
      </c>
      <c r="K4122" s="26" t="str">
        <f>IFERROR(VLOOKUP(G4122,WholesaleExtract!B:K,10,FALSE),"")</f>
        <v/>
      </c>
      <c r="L4122" s="47" t="str">
        <f>IFERROR(VLOOKUP(G4122,WholesaleExtract!B:L,11,FALSE),"")</f>
        <v/>
      </c>
      <c r="M4122" s="47" t="str">
        <f>IFERROR(VLOOKUP(G4122,WholesaleExtract!B:M,12,FALSE),"")</f>
        <v/>
      </c>
      <c r="R4122" s="19"/>
      <c r="S4122" s="19"/>
    </row>
    <row r="4123" spans="1:19" x14ac:dyDescent="0.35">
      <c r="A4123" s="26" t="s">
        <v>543</v>
      </c>
      <c r="B4123" s="26" t="s">
        <v>543</v>
      </c>
      <c r="C4123" s="26"/>
      <c r="D4123" s="26" t="s">
        <v>543</v>
      </c>
      <c r="E4123" s="26" t="str">
        <f>IFERROR(VLOOKUP(G4123,WholesaleExtract!B:J,9,FALSE),"")</f>
        <v/>
      </c>
      <c r="F4123" s="26" t="str">
        <f>IFERROR(VLOOKUP(G4123,WholesaleExtract!B:J,6,FALSE),"")</f>
        <v/>
      </c>
      <c r="H4123" s="47" t="str">
        <f>IFERROR(VLOOKUP(G4123,WholesaleExtract!B:L,11,FALSE),"")</f>
        <v/>
      </c>
      <c r="I4123" s="26" t="str">
        <f>IFERROR(VLOOKUP(G4123,WholesaleExtract!B:O,8,FALSE),"")</f>
        <v/>
      </c>
      <c r="J4123" s="26" t="str">
        <f>IFERROR(VLOOKUP(G4123,WholesaleExtract!B:O,14,FALSE),"")</f>
        <v/>
      </c>
      <c r="K4123" s="26" t="str">
        <f>IFERROR(VLOOKUP(G4123,WholesaleExtract!B:K,10,FALSE),"")</f>
        <v/>
      </c>
      <c r="L4123" s="47" t="str">
        <f>IFERROR(VLOOKUP(G4123,WholesaleExtract!B:L,11,FALSE),"")</f>
        <v/>
      </c>
      <c r="M4123" s="47" t="str">
        <f>IFERROR(VLOOKUP(G4123,WholesaleExtract!B:M,12,FALSE),"")</f>
        <v/>
      </c>
      <c r="R4123" s="19"/>
      <c r="S4123" s="19"/>
    </row>
    <row r="4124" spans="1:19" x14ac:dyDescent="0.35">
      <c r="A4124" s="26" t="s">
        <v>543</v>
      </c>
      <c r="B4124" s="26" t="s">
        <v>543</v>
      </c>
      <c r="C4124" s="26"/>
      <c r="D4124" s="26" t="s">
        <v>543</v>
      </c>
      <c r="E4124" s="26" t="str">
        <f>IFERROR(VLOOKUP(G4124,WholesaleExtract!B:J,9,FALSE),"")</f>
        <v/>
      </c>
      <c r="F4124" s="26" t="str">
        <f>IFERROR(VLOOKUP(G4124,WholesaleExtract!B:J,6,FALSE),"")</f>
        <v/>
      </c>
      <c r="H4124" s="47" t="str">
        <f>IFERROR(VLOOKUP(G4124,WholesaleExtract!B:L,11,FALSE),"")</f>
        <v/>
      </c>
      <c r="I4124" s="26" t="str">
        <f>IFERROR(VLOOKUP(G4124,WholesaleExtract!B:O,8,FALSE),"")</f>
        <v/>
      </c>
      <c r="J4124" s="26" t="str">
        <f>IFERROR(VLOOKUP(G4124,WholesaleExtract!B:O,14,FALSE),"")</f>
        <v/>
      </c>
      <c r="K4124" s="26" t="str">
        <f>IFERROR(VLOOKUP(G4124,WholesaleExtract!B:K,10,FALSE),"")</f>
        <v/>
      </c>
      <c r="L4124" s="47" t="str">
        <f>IFERROR(VLOOKUP(G4124,WholesaleExtract!B:L,11,FALSE),"")</f>
        <v/>
      </c>
      <c r="M4124" s="47" t="str">
        <f>IFERROR(VLOOKUP(G4124,WholesaleExtract!B:M,12,FALSE),"")</f>
        <v/>
      </c>
      <c r="R4124" s="19"/>
      <c r="S4124" s="19"/>
    </row>
    <row r="4125" spans="1:19" x14ac:dyDescent="0.35">
      <c r="A4125" s="26" t="s">
        <v>543</v>
      </c>
      <c r="B4125" s="26" t="s">
        <v>543</v>
      </c>
      <c r="C4125" s="26"/>
      <c r="D4125" s="26" t="s">
        <v>543</v>
      </c>
      <c r="E4125" s="26" t="str">
        <f>IFERROR(VLOOKUP(G4125,WholesaleExtract!B:J,9,FALSE),"")</f>
        <v/>
      </c>
      <c r="F4125" s="26" t="str">
        <f>IFERROR(VLOOKUP(G4125,WholesaleExtract!B:J,6,FALSE),"")</f>
        <v/>
      </c>
      <c r="H4125" s="47" t="str">
        <f>IFERROR(VLOOKUP(G4125,WholesaleExtract!B:L,11,FALSE),"")</f>
        <v/>
      </c>
      <c r="I4125" s="26" t="str">
        <f>IFERROR(VLOOKUP(G4125,WholesaleExtract!B:O,8,FALSE),"")</f>
        <v/>
      </c>
      <c r="J4125" s="26" t="str">
        <f>IFERROR(VLOOKUP(G4125,WholesaleExtract!B:O,14,FALSE),"")</f>
        <v/>
      </c>
      <c r="K4125" s="26" t="str">
        <f>IFERROR(VLOOKUP(G4125,WholesaleExtract!B:K,10,FALSE),"")</f>
        <v/>
      </c>
      <c r="L4125" s="47" t="str">
        <f>IFERROR(VLOOKUP(G4125,WholesaleExtract!B:L,11,FALSE),"")</f>
        <v/>
      </c>
      <c r="M4125" s="47" t="str">
        <f>IFERROR(VLOOKUP(G4125,WholesaleExtract!B:M,12,FALSE),"")</f>
        <v/>
      </c>
      <c r="R4125" s="19"/>
      <c r="S4125" s="19"/>
    </row>
    <row r="4126" spans="1:19" x14ac:dyDescent="0.35">
      <c r="A4126" s="26" t="s">
        <v>543</v>
      </c>
      <c r="B4126" s="26" t="s">
        <v>543</v>
      </c>
      <c r="C4126" s="26"/>
      <c r="D4126" s="26" t="s">
        <v>543</v>
      </c>
      <c r="E4126" s="26" t="str">
        <f>IFERROR(VLOOKUP(G4126,WholesaleExtract!B:J,9,FALSE),"")</f>
        <v/>
      </c>
      <c r="F4126" s="26" t="str">
        <f>IFERROR(VLOOKUP(G4126,WholesaleExtract!B:J,6,FALSE),"")</f>
        <v/>
      </c>
      <c r="H4126" s="47" t="str">
        <f>IFERROR(VLOOKUP(G4126,WholesaleExtract!B:L,11,FALSE),"")</f>
        <v/>
      </c>
      <c r="I4126" s="26" t="str">
        <f>IFERROR(VLOOKUP(G4126,WholesaleExtract!B:O,8,FALSE),"")</f>
        <v/>
      </c>
      <c r="J4126" s="26" t="str">
        <f>IFERROR(VLOOKUP(G4126,WholesaleExtract!B:O,14,FALSE),"")</f>
        <v/>
      </c>
      <c r="K4126" s="26" t="str">
        <f>IFERROR(VLOOKUP(G4126,WholesaleExtract!B:K,10,FALSE),"")</f>
        <v/>
      </c>
      <c r="L4126" s="47" t="str">
        <f>IFERROR(VLOOKUP(G4126,WholesaleExtract!B:L,11,FALSE),"")</f>
        <v/>
      </c>
      <c r="M4126" s="47" t="str">
        <f>IFERROR(VLOOKUP(G4126,WholesaleExtract!B:M,12,FALSE),"")</f>
        <v/>
      </c>
      <c r="R4126" s="19"/>
      <c r="S4126" s="19"/>
    </row>
    <row r="4127" spans="1:19" x14ac:dyDescent="0.35">
      <c r="A4127" s="26" t="s">
        <v>543</v>
      </c>
      <c r="B4127" s="26" t="s">
        <v>543</v>
      </c>
      <c r="C4127" s="26"/>
      <c r="D4127" s="26" t="s">
        <v>543</v>
      </c>
      <c r="E4127" s="26" t="str">
        <f>IFERROR(VLOOKUP(G4127,WholesaleExtract!B:J,9,FALSE),"")</f>
        <v/>
      </c>
      <c r="F4127" s="26" t="str">
        <f>IFERROR(VLOOKUP(G4127,WholesaleExtract!B:J,6,FALSE),"")</f>
        <v/>
      </c>
      <c r="H4127" s="47" t="str">
        <f>IFERROR(VLOOKUP(G4127,WholesaleExtract!B:L,11,FALSE),"")</f>
        <v/>
      </c>
      <c r="I4127" s="26" t="str">
        <f>IFERROR(VLOOKUP(G4127,WholesaleExtract!B:O,8,FALSE),"")</f>
        <v/>
      </c>
      <c r="J4127" s="26" t="str">
        <f>IFERROR(VLOOKUP(G4127,WholesaleExtract!B:O,14,FALSE),"")</f>
        <v/>
      </c>
      <c r="K4127" s="26" t="str">
        <f>IFERROR(VLOOKUP(G4127,WholesaleExtract!B:K,10,FALSE),"")</f>
        <v/>
      </c>
      <c r="L4127" s="47" t="str">
        <f>IFERROR(VLOOKUP(G4127,WholesaleExtract!B:L,11,FALSE),"")</f>
        <v/>
      </c>
      <c r="M4127" s="47" t="str">
        <f>IFERROR(VLOOKUP(G4127,WholesaleExtract!B:M,12,FALSE),"")</f>
        <v/>
      </c>
      <c r="R4127" s="19"/>
      <c r="S4127" s="19"/>
    </row>
    <row r="4128" spans="1:19" x14ac:dyDescent="0.35">
      <c r="A4128" s="26" t="s">
        <v>543</v>
      </c>
      <c r="B4128" s="26" t="s">
        <v>543</v>
      </c>
      <c r="C4128" s="26"/>
      <c r="D4128" s="26" t="s">
        <v>543</v>
      </c>
      <c r="E4128" s="26" t="str">
        <f>IFERROR(VLOOKUP(G4128,WholesaleExtract!B:J,9,FALSE),"")</f>
        <v/>
      </c>
      <c r="F4128" s="26" t="str">
        <f>IFERROR(VLOOKUP(G4128,WholesaleExtract!B:J,6,FALSE),"")</f>
        <v/>
      </c>
      <c r="H4128" s="47" t="str">
        <f>IFERROR(VLOOKUP(G4128,WholesaleExtract!B:L,11,FALSE),"")</f>
        <v/>
      </c>
      <c r="I4128" s="26" t="str">
        <f>IFERROR(VLOOKUP(G4128,WholesaleExtract!B:O,8,FALSE),"")</f>
        <v/>
      </c>
      <c r="J4128" s="26" t="str">
        <f>IFERROR(VLOOKUP(G4128,WholesaleExtract!B:O,14,FALSE),"")</f>
        <v/>
      </c>
      <c r="K4128" s="26" t="str">
        <f>IFERROR(VLOOKUP(G4128,WholesaleExtract!B:K,10,FALSE),"")</f>
        <v/>
      </c>
      <c r="L4128" s="47" t="str">
        <f>IFERROR(VLOOKUP(G4128,WholesaleExtract!B:L,11,FALSE),"")</f>
        <v/>
      </c>
      <c r="M4128" s="47" t="str">
        <f>IFERROR(VLOOKUP(G4128,WholesaleExtract!B:M,12,FALSE),"")</f>
        <v/>
      </c>
      <c r="R4128" s="19"/>
      <c r="S4128" s="19"/>
    </row>
    <row r="4129" spans="1:19" x14ac:dyDescent="0.35">
      <c r="A4129" s="26" t="s">
        <v>543</v>
      </c>
      <c r="B4129" s="26" t="s">
        <v>543</v>
      </c>
      <c r="C4129" s="26"/>
      <c r="D4129" s="26" t="s">
        <v>543</v>
      </c>
      <c r="E4129" s="26" t="str">
        <f>IFERROR(VLOOKUP(G4129,WholesaleExtract!B:J,9,FALSE),"")</f>
        <v/>
      </c>
      <c r="F4129" s="26" t="str">
        <f>IFERROR(VLOOKUP(G4129,WholesaleExtract!B:J,6,FALSE),"")</f>
        <v/>
      </c>
      <c r="H4129" s="47" t="str">
        <f>IFERROR(VLOOKUP(G4129,WholesaleExtract!B:L,11,FALSE),"")</f>
        <v/>
      </c>
      <c r="I4129" s="26" t="str">
        <f>IFERROR(VLOOKUP(G4129,WholesaleExtract!B:O,8,FALSE),"")</f>
        <v/>
      </c>
      <c r="J4129" s="26" t="str">
        <f>IFERROR(VLOOKUP(G4129,WholesaleExtract!B:O,14,FALSE),"")</f>
        <v/>
      </c>
      <c r="K4129" s="26" t="str">
        <f>IFERROR(VLOOKUP(G4129,WholesaleExtract!B:K,10,FALSE),"")</f>
        <v/>
      </c>
      <c r="L4129" s="47" t="str">
        <f>IFERROR(VLOOKUP(G4129,WholesaleExtract!B:L,11,FALSE),"")</f>
        <v/>
      </c>
      <c r="M4129" s="47" t="str">
        <f>IFERROR(VLOOKUP(G4129,WholesaleExtract!B:M,12,FALSE),"")</f>
        <v/>
      </c>
      <c r="R4129" s="19"/>
      <c r="S4129" s="19"/>
    </row>
    <row r="4130" spans="1:19" x14ac:dyDescent="0.35">
      <c r="A4130" s="26" t="s">
        <v>543</v>
      </c>
      <c r="B4130" s="26" t="s">
        <v>543</v>
      </c>
      <c r="C4130" s="26"/>
      <c r="D4130" s="26" t="s">
        <v>543</v>
      </c>
      <c r="E4130" s="26" t="str">
        <f>IFERROR(VLOOKUP(G4130,WholesaleExtract!B:J,9,FALSE),"")</f>
        <v/>
      </c>
      <c r="F4130" s="26" t="str">
        <f>IFERROR(VLOOKUP(G4130,WholesaleExtract!B:J,6,FALSE),"")</f>
        <v/>
      </c>
      <c r="H4130" s="47" t="str">
        <f>IFERROR(VLOOKUP(G4130,WholesaleExtract!B:L,11,FALSE),"")</f>
        <v/>
      </c>
      <c r="I4130" s="26" t="str">
        <f>IFERROR(VLOOKUP(G4130,WholesaleExtract!B:O,8,FALSE),"")</f>
        <v/>
      </c>
      <c r="J4130" s="26" t="str">
        <f>IFERROR(VLOOKUP(G4130,WholesaleExtract!B:O,14,FALSE),"")</f>
        <v/>
      </c>
      <c r="K4130" s="26" t="str">
        <f>IFERROR(VLOOKUP(G4130,WholesaleExtract!B:K,10,FALSE),"")</f>
        <v/>
      </c>
      <c r="L4130" s="47" t="str">
        <f>IFERROR(VLOOKUP(G4130,WholesaleExtract!B:L,11,FALSE),"")</f>
        <v/>
      </c>
      <c r="M4130" s="47" t="str">
        <f>IFERROR(VLOOKUP(G4130,WholesaleExtract!B:M,12,FALSE),"")</f>
        <v/>
      </c>
      <c r="R4130" s="19"/>
      <c r="S4130" s="19"/>
    </row>
    <row r="4131" spans="1:19" x14ac:dyDescent="0.35">
      <c r="A4131" s="26" t="s">
        <v>543</v>
      </c>
      <c r="B4131" s="26" t="s">
        <v>543</v>
      </c>
      <c r="C4131" s="26"/>
      <c r="D4131" s="26" t="s">
        <v>543</v>
      </c>
      <c r="E4131" s="26" t="str">
        <f>IFERROR(VLOOKUP(G4131,WholesaleExtract!B:J,9,FALSE),"")</f>
        <v/>
      </c>
      <c r="F4131" s="26" t="str">
        <f>IFERROR(VLOOKUP(G4131,WholesaleExtract!B:J,6,FALSE),"")</f>
        <v/>
      </c>
      <c r="H4131" s="47" t="str">
        <f>IFERROR(VLOOKUP(G4131,WholesaleExtract!B:L,11,FALSE),"")</f>
        <v/>
      </c>
      <c r="I4131" s="26" t="str">
        <f>IFERROR(VLOOKUP(G4131,WholesaleExtract!B:O,8,FALSE),"")</f>
        <v/>
      </c>
      <c r="J4131" s="26" t="str">
        <f>IFERROR(VLOOKUP(G4131,WholesaleExtract!B:O,14,FALSE),"")</f>
        <v/>
      </c>
      <c r="K4131" s="26" t="str">
        <f>IFERROR(VLOOKUP(G4131,WholesaleExtract!B:K,10,FALSE),"")</f>
        <v/>
      </c>
      <c r="L4131" s="47" t="str">
        <f>IFERROR(VLOOKUP(G4131,WholesaleExtract!B:L,11,FALSE),"")</f>
        <v/>
      </c>
      <c r="M4131" s="47" t="str">
        <f>IFERROR(VLOOKUP(G4131,WholesaleExtract!B:M,12,FALSE),"")</f>
        <v/>
      </c>
      <c r="R4131" s="19"/>
      <c r="S4131" s="19"/>
    </row>
    <row r="4132" spans="1:19" x14ac:dyDescent="0.35">
      <c r="A4132" s="26" t="s">
        <v>543</v>
      </c>
      <c r="B4132" s="26" t="s">
        <v>543</v>
      </c>
      <c r="C4132" s="26"/>
      <c r="D4132" s="26" t="s">
        <v>543</v>
      </c>
      <c r="E4132" s="26" t="str">
        <f>IFERROR(VLOOKUP(G4132,WholesaleExtract!B:J,9,FALSE),"")</f>
        <v/>
      </c>
      <c r="F4132" s="26" t="str">
        <f>IFERROR(VLOOKUP(G4132,WholesaleExtract!B:J,6,FALSE),"")</f>
        <v/>
      </c>
      <c r="H4132" s="47" t="str">
        <f>IFERROR(VLOOKUP(G4132,WholesaleExtract!B:L,11,FALSE),"")</f>
        <v/>
      </c>
      <c r="I4132" s="26" t="str">
        <f>IFERROR(VLOOKUP(G4132,WholesaleExtract!B:O,8,FALSE),"")</f>
        <v/>
      </c>
      <c r="J4132" s="26" t="str">
        <f>IFERROR(VLOOKUP(G4132,WholesaleExtract!B:O,14,FALSE),"")</f>
        <v/>
      </c>
      <c r="K4132" s="26" t="str">
        <f>IFERROR(VLOOKUP(G4132,WholesaleExtract!B:K,10,FALSE),"")</f>
        <v/>
      </c>
      <c r="L4132" s="47" t="str">
        <f>IFERROR(VLOOKUP(G4132,WholesaleExtract!B:L,11,FALSE),"")</f>
        <v/>
      </c>
      <c r="M4132" s="47" t="str">
        <f>IFERROR(VLOOKUP(G4132,WholesaleExtract!B:M,12,FALSE),"")</f>
        <v/>
      </c>
      <c r="R4132" s="19"/>
      <c r="S4132" s="19"/>
    </row>
    <row r="4133" spans="1:19" x14ac:dyDescent="0.35">
      <c r="A4133" s="26" t="s">
        <v>543</v>
      </c>
      <c r="B4133" s="26" t="s">
        <v>543</v>
      </c>
      <c r="C4133" s="26"/>
      <c r="D4133" s="26" t="s">
        <v>543</v>
      </c>
      <c r="E4133" s="26" t="str">
        <f>IFERROR(VLOOKUP(G4133,WholesaleExtract!B:J,9,FALSE),"")</f>
        <v/>
      </c>
      <c r="F4133" s="26" t="str">
        <f>IFERROR(VLOOKUP(G4133,WholesaleExtract!B:J,6,FALSE),"")</f>
        <v/>
      </c>
      <c r="H4133" s="47" t="str">
        <f>IFERROR(VLOOKUP(G4133,WholesaleExtract!B:L,11,FALSE),"")</f>
        <v/>
      </c>
      <c r="I4133" s="26" t="str">
        <f>IFERROR(VLOOKUP(G4133,WholesaleExtract!B:O,8,FALSE),"")</f>
        <v/>
      </c>
      <c r="J4133" s="26" t="str">
        <f>IFERROR(VLOOKUP(G4133,WholesaleExtract!B:O,14,FALSE),"")</f>
        <v/>
      </c>
      <c r="K4133" s="26" t="str">
        <f>IFERROR(VLOOKUP(G4133,WholesaleExtract!B:K,10,FALSE),"")</f>
        <v/>
      </c>
      <c r="L4133" s="47" t="str">
        <f>IFERROR(VLOOKUP(G4133,WholesaleExtract!B:L,11,FALSE),"")</f>
        <v/>
      </c>
      <c r="M4133" s="47" t="str">
        <f>IFERROR(VLOOKUP(G4133,WholesaleExtract!B:M,12,FALSE),"")</f>
        <v/>
      </c>
      <c r="R4133" s="19"/>
      <c r="S4133" s="19"/>
    </row>
    <row r="4134" spans="1:19" x14ac:dyDescent="0.35">
      <c r="A4134" s="26" t="s">
        <v>543</v>
      </c>
      <c r="B4134" s="26" t="s">
        <v>543</v>
      </c>
      <c r="C4134" s="26"/>
      <c r="D4134" s="26" t="s">
        <v>543</v>
      </c>
      <c r="E4134" s="26" t="str">
        <f>IFERROR(VLOOKUP(G4134,WholesaleExtract!B:J,9,FALSE),"")</f>
        <v/>
      </c>
      <c r="F4134" s="26" t="str">
        <f>IFERROR(VLOOKUP(G4134,WholesaleExtract!B:J,6,FALSE),"")</f>
        <v/>
      </c>
      <c r="H4134" s="47" t="str">
        <f>IFERROR(VLOOKUP(G4134,WholesaleExtract!B:L,11,FALSE),"")</f>
        <v/>
      </c>
      <c r="I4134" s="26" t="str">
        <f>IFERROR(VLOOKUP(G4134,WholesaleExtract!B:O,8,FALSE),"")</f>
        <v/>
      </c>
      <c r="J4134" s="26" t="str">
        <f>IFERROR(VLOOKUP(G4134,WholesaleExtract!B:O,14,FALSE),"")</f>
        <v/>
      </c>
      <c r="K4134" s="26" t="str">
        <f>IFERROR(VLOOKUP(G4134,WholesaleExtract!B:K,10,FALSE),"")</f>
        <v/>
      </c>
      <c r="L4134" s="47" t="str">
        <f>IFERROR(VLOOKUP(G4134,WholesaleExtract!B:L,11,FALSE),"")</f>
        <v/>
      </c>
      <c r="M4134" s="47" t="str">
        <f>IFERROR(VLOOKUP(G4134,WholesaleExtract!B:M,12,FALSE),"")</f>
        <v/>
      </c>
      <c r="R4134" s="19"/>
      <c r="S4134" s="19"/>
    </row>
    <row r="4135" spans="1:19" x14ac:dyDescent="0.35">
      <c r="A4135" s="26" t="s">
        <v>543</v>
      </c>
      <c r="B4135" s="26" t="s">
        <v>543</v>
      </c>
      <c r="C4135" s="26"/>
      <c r="D4135" s="26" t="s">
        <v>543</v>
      </c>
      <c r="E4135" s="26" t="str">
        <f>IFERROR(VLOOKUP(G4135,WholesaleExtract!B:J,9,FALSE),"")</f>
        <v/>
      </c>
      <c r="F4135" s="26" t="str">
        <f>IFERROR(VLOOKUP(G4135,WholesaleExtract!B:J,6,FALSE),"")</f>
        <v/>
      </c>
      <c r="H4135" s="47" t="str">
        <f>IFERROR(VLOOKUP(G4135,WholesaleExtract!B:L,11,FALSE),"")</f>
        <v/>
      </c>
      <c r="I4135" s="26" t="str">
        <f>IFERROR(VLOOKUP(G4135,WholesaleExtract!B:O,8,FALSE),"")</f>
        <v/>
      </c>
      <c r="J4135" s="26" t="str">
        <f>IFERROR(VLOOKUP(G4135,WholesaleExtract!B:O,14,FALSE),"")</f>
        <v/>
      </c>
      <c r="K4135" s="26" t="str">
        <f>IFERROR(VLOOKUP(G4135,WholesaleExtract!B:K,10,FALSE),"")</f>
        <v/>
      </c>
      <c r="L4135" s="47" t="str">
        <f>IFERROR(VLOOKUP(G4135,WholesaleExtract!B:L,11,FALSE),"")</f>
        <v/>
      </c>
      <c r="M4135" s="47" t="str">
        <f>IFERROR(VLOOKUP(G4135,WholesaleExtract!B:M,12,FALSE),"")</f>
        <v/>
      </c>
      <c r="R4135" s="19"/>
      <c r="S4135" s="19"/>
    </row>
    <row r="4136" spans="1:19" x14ac:dyDescent="0.35">
      <c r="A4136" s="26" t="s">
        <v>543</v>
      </c>
      <c r="B4136" s="26" t="s">
        <v>543</v>
      </c>
      <c r="C4136" s="26"/>
      <c r="D4136" s="26" t="s">
        <v>543</v>
      </c>
      <c r="E4136" s="26" t="str">
        <f>IFERROR(VLOOKUP(G4136,WholesaleExtract!B:J,9,FALSE),"")</f>
        <v/>
      </c>
      <c r="F4136" s="26" t="str">
        <f>IFERROR(VLOOKUP(G4136,WholesaleExtract!B:J,6,FALSE),"")</f>
        <v/>
      </c>
      <c r="H4136" s="47" t="str">
        <f>IFERROR(VLOOKUP(G4136,WholesaleExtract!B:L,11,FALSE),"")</f>
        <v/>
      </c>
      <c r="I4136" s="26" t="str">
        <f>IFERROR(VLOOKUP(G4136,WholesaleExtract!B:O,8,FALSE),"")</f>
        <v/>
      </c>
      <c r="J4136" s="26" t="str">
        <f>IFERROR(VLOOKUP(G4136,WholesaleExtract!B:O,14,FALSE),"")</f>
        <v/>
      </c>
      <c r="K4136" s="26" t="str">
        <f>IFERROR(VLOOKUP(G4136,WholesaleExtract!B:K,10,FALSE),"")</f>
        <v/>
      </c>
      <c r="L4136" s="47" t="str">
        <f>IFERROR(VLOOKUP(G4136,WholesaleExtract!B:L,11,FALSE),"")</f>
        <v/>
      </c>
      <c r="M4136" s="47" t="str">
        <f>IFERROR(VLOOKUP(G4136,WholesaleExtract!B:M,12,FALSE),"")</f>
        <v/>
      </c>
      <c r="R4136" s="19"/>
      <c r="S4136" s="19"/>
    </row>
    <row r="4137" spans="1:19" x14ac:dyDescent="0.35">
      <c r="A4137" s="26" t="s">
        <v>543</v>
      </c>
      <c r="B4137" s="26" t="s">
        <v>543</v>
      </c>
      <c r="C4137" s="26"/>
      <c r="D4137" s="26" t="s">
        <v>543</v>
      </c>
      <c r="E4137" s="26" t="str">
        <f>IFERROR(VLOOKUP(G4137,WholesaleExtract!B:J,9,FALSE),"")</f>
        <v/>
      </c>
      <c r="F4137" s="26" t="str">
        <f>IFERROR(VLOOKUP(G4137,WholesaleExtract!B:J,6,FALSE),"")</f>
        <v/>
      </c>
      <c r="H4137" s="47" t="str">
        <f>IFERROR(VLOOKUP(G4137,WholesaleExtract!B:L,11,FALSE),"")</f>
        <v/>
      </c>
      <c r="I4137" s="26" t="str">
        <f>IFERROR(VLOOKUP(G4137,WholesaleExtract!B:O,8,FALSE),"")</f>
        <v/>
      </c>
      <c r="J4137" s="26" t="str">
        <f>IFERROR(VLOOKUP(G4137,WholesaleExtract!B:O,14,FALSE),"")</f>
        <v/>
      </c>
      <c r="K4137" s="26" t="str">
        <f>IFERROR(VLOOKUP(G4137,WholesaleExtract!B:K,10,FALSE),"")</f>
        <v/>
      </c>
      <c r="L4137" s="47" t="str">
        <f>IFERROR(VLOOKUP(G4137,WholesaleExtract!B:L,11,FALSE),"")</f>
        <v/>
      </c>
      <c r="M4137" s="47" t="str">
        <f>IFERROR(VLOOKUP(G4137,WholesaleExtract!B:M,12,FALSE),"")</f>
        <v/>
      </c>
      <c r="R4137" s="19"/>
      <c r="S4137" s="19"/>
    </row>
    <row r="4138" spans="1:19" x14ac:dyDescent="0.35">
      <c r="A4138" s="26" t="s">
        <v>543</v>
      </c>
      <c r="B4138" s="26" t="s">
        <v>543</v>
      </c>
      <c r="C4138" s="26"/>
      <c r="D4138" s="26" t="s">
        <v>543</v>
      </c>
      <c r="E4138" s="26" t="str">
        <f>IFERROR(VLOOKUP(G4138,WholesaleExtract!B:J,9,FALSE),"")</f>
        <v/>
      </c>
      <c r="F4138" s="26" t="str">
        <f>IFERROR(VLOOKUP(G4138,WholesaleExtract!B:J,6,FALSE),"")</f>
        <v/>
      </c>
      <c r="H4138" s="47" t="str">
        <f>IFERROR(VLOOKUP(G4138,WholesaleExtract!B:L,11,FALSE),"")</f>
        <v/>
      </c>
      <c r="I4138" s="26" t="str">
        <f>IFERROR(VLOOKUP(G4138,WholesaleExtract!B:O,8,FALSE),"")</f>
        <v/>
      </c>
      <c r="J4138" s="26" t="str">
        <f>IFERROR(VLOOKUP(G4138,WholesaleExtract!B:O,14,FALSE),"")</f>
        <v/>
      </c>
      <c r="K4138" s="26" t="str">
        <f>IFERROR(VLOOKUP(G4138,WholesaleExtract!B:K,10,FALSE),"")</f>
        <v/>
      </c>
      <c r="L4138" s="47" t="str">
        <f>IFERROR(VLOOKUP(G4138,WholesaleExtract!B:L,11,FALSE),"")</f>
        <v/>
      </c>
      <c r="M4138" s="47" t="str">
        <f>IFERROR(VLOOKUP(G4138,WholesaleExtract!B:M,12,FALSE),"")</f>
        <v/>
      </c>
      <c r="R4138" s="19"/>
      <c r="S4138" s="19"/>
    </row>
    <row r="4139" spans="1:19" x14ac:dyDescent="0.35">
      <c r="A4139" s="26" t="s">
        <v>543</v>
      </c>
      <c r="B4139" s="26" t="s">
        <v>543</v>
      </c>
      <c r="C4139" s="26"/>
      <c r="D4139" s="26" t="s">
        <v>543</v>
      </c>
      <c r="E4139" s="26" t="str">
        <f>IFERROR(VLOOKUP(G4139,WholesaleExtract!B:J,9,FALSE),"")</f>
        <v/>
      </c>
      <c r="F4139" s="26" t="str">
        <f>IFERROR(VLOOKUP(G4139,WholesaleExtract!B:J,6,FALSE),"")</f>
        <v/>
      </c>
      <c r="H4139" s="47" t="str">
        <f>IFERROR(VLOOKUP(G4139,WholesaleExtract!B:L,11,FALSE),"")</f>
        <v/>
      </c>
      <c r="I4139" s="26" t="str">
        <f>IFERROR(VLOOKUP(G4139,WholesaleExtract!B:O,8,FALSE),"")</f>
        <v/>
      </c>
      <c r="J4139" s="26" t="str">
        <f>IFERROR(VLOOKUP(G4139,WholesaleExtract!B:O,14,FALSE),"")</f>
        <v/>
      </c>
      <c r="K4139" s="26" t="str">
        <f>IFERROR(VLOOKUP(G4139,WholesaleExtract!B:K,10,FALSE),"")</f>
        <v/>
      </c>
      <c r="L4139" s="47" t="str">
        <f>IFERROR(VLOOKUP(G4139,WholesaleExtract!B:L,11,FALSE),"")</f>
        <v/>
      </c>
      <c r="M4139" s="47" t="str">
        <f>IFERROR(VLOOKUP(G4139,WholesaleExtract!B:M,12,FALSE),"")</f>
        <v/>
      </c>
      <c r="R4139" s="19"/>
      <c r="S4139" s="19"/>
    </row>
    <row r="4140" spans="1:19" x14ac:dyDescent="0.35">
      <c r="A4140" s="26" t="s">
        <v>543</v>
      </c>
      <c r="B4140" s="26" t="s">
        <v>543</v>
      </c>
      <c r="C4140" s="26"/>
      <c r="D4140" s="26" t="s">
        <v>543</v>
      </c>
      <c r="E4140" s="26" t="str">
        <f>IFERROR(VLOOKUP(G4140,WholesaleExtract!B:J,9,FALSE),"")</f>
        <v/>
      </c>
      <c r="F4140" s="26" t="str">
        <f>IFERROR(VLOOKUP(G4140,WholesaleExtract!B:J,6,FALSE),"")</f>
        <v/>
      </c>
      <c r="H4140" s="47" t="str">
        <f>IFERROR(VLOOKUP(G4140,WholesaleExtract!B:L,11,FALSE),"")</f>
        <v/>
      </c>
      <c r="I4140" s="26" t="str">
        <f>IFERROR(VLOOKUP(G4140,WholesaleExtract!B:O,8,FALSE),"")</f>
        <v/>
      </c>
      <c r="J4140" s="26" t="str">
        <f>IFERROR(VLOOKUP(G4140,WholesaleExtract!B:O,14,FALSE),"")</f>
        <v/>
      </c>
      <c r="K4140" s="26" t="str">
        <f>IFERROR(VLOOKUP(G4140,WholesaleExtract!B:K,10,FALSE),"")</f>
        <v/>
      </c>
      <c r="L4140" s="47" t="str">
        <f>IFERROR(VLOOKUP(G4140,WholesaleExtract!B:L,11,FALSE),"")</f>
        <v/>
      </c>
      <c r="M4140" s="47" t="str">
        <f>IFERROR(VLOOKUP(G4140,WholesaleExtract!B:M,12,FALSE),"")</f>
        <v/>
      </c>
      <c r="R4140" s="19"/>
      <c r="S4140" s="19"/>
    </row>
    <row r="4141" spans="1:19" x14ac:dyDescent="0.35">
      <c r="A4141" s="26" t="s">
        <v>543</v>
      </c>
      <c r="B4141" s="26" t="s">
        <v>543</v>
      </c>
      <c r="C4141" s="26"/>
      <c r="D4141" s="26" t="s">
        <v>543</v>
      </c>
      <c r="E4141" s="26" t="str">
        <f>IFERROR(VLOOKUP(G4141,WholesaleExtract!B:J,9,FALSE),"")</f>
        <v/>
      </c>
      <c r="F4141" s="26" t="str">
        <f>IFERROR(VLOOKUP(G4141,WholesaleExtract!B:J,6,FALSE),"")</f>
        <v/>
      </c>
      <c r="H4141" s="47" t="str">
        <f>IFERROR(VLOOKUP(G4141,WholesaleExtract!B:L,11,FALSE),"")</f>
        <v/>
      </c>
      <c r="I4141" s="26" t="str">
        <f>IFERROR(VLOOKUP(G4141,WholesaleExtract!B:O,8,FALSE),"")</f>
        <v/>
      </c>
      <c r="J4141" s="26" t="str">
        <f>IFERROR(VLOOKUP(G4141,WholesaleExtract!B:O,14,FALSE),"")</f>
        <v/>
      </c>
      <c r="K4141" s="26" t="str">
        <f>IFERROR(VLOOKUP(G4141,WholesaleExtract!B:K,10,FALSE),"")</f>
        <v/>
      </c>
      <c r="L4141" s="47" t="str">
        <f>IFERROR(VLOOKUP(G4141,WholesaleExtract!B:L,11,FALSE),"")</f>
        <v/>
      </c>
      <c r="M4141" s="47" t="str">
        <f>IFERROR(VLOOKUP(G4141,WholesaleExtract!B:M,12,FALSE),"")</f>
        <v/>
      </c>
      <c r="R4141" s="19"/>
      <c r="S4141" s="19"/>
    </row>
    <row r="4142" spans="1:19" x14ac:dyDescent="0.35">
      <c r="A4142" s="26" t="s">
        <v>543</v>
      </c>
      <c r="B4142" s="26" t="s">
        <v>543</v>
      </c>
      <c r="C4142" s="26"/>
      <c r="D4142" s="26" t="s">
        <v>543</v>
      </c>
      <c r="E4142" s="26" t="str">
        <f>IFERROR(VLOOKUP(G4142,WholesaleExtract!B:J,9,FALSE),"")</f>
        <v/>
      </c>
      <c r="F4142" s="26" t="str">
        <f>IFERROR(VLOOKUP(G4142,WholesaleExtract!B:J,6,FALSE),"")</f>
        <v/>
      </c>
      <c r="H4142" s="47" t="str">
        <f>IFERROR(VLOOKUP(G4142,WholesaleExtract!B:L,11,FALSE),"")</f>
        <v/>
      </c>
      <c r="I4142" s="26" t="str">
        <f>IFERROR(VLOOKUP(G4142,WholesaleExtract!B:O,8,FALSE),"")</f>
        <v/>
      </c>
      <c r="J4142" s="26" t="str">
        <f>IFERROR(VLOOKUP(G4142,WholesaleExtract!B:O,14,FALSE),"")</f>
        <v/>
      </c>
      <c r="K4142" s="26" t="str">
        <f>IFERROR(VLOOKUP(G4142,WholesaleExtract!B:K,10,FALSE),"")</f>
        <v/>
      </c>
      <c r="L4142" s="47" t="str">
        <f>IFERROR(VLOOKUP(G4142,WholesaleExtract!B:L,11,FALSE),"")</f>
        <v/>
      </c>
      <c r="M4142" s="47" t="str">
        <f>IFERROR(VLOOKUP(G4142,WholesaleExtract!B:M,12,FALSE),"")</f>
        <v/>
      </c>
      <c r="R4142" s="19"/>
      <c r="S4142" s="19"/>
    </row>
    <row r="4143" spans="1:19" x14ac:dyDescent="0.35">
      <c r="A4143" s="26" t="s">
        <v>543</v>
      </c>
      <c r="B4143" s="26" t="s">
        <v>543</v>
      </c>
      <c r="C4143" s="26"/>
      <c r="D4143" s="26" t="s">
        <v>543</v>
      </c>
      <c r="E4143" s="26" t="str">
        <f>IFERROR(VLOOKUP(G4143,WholesaleExtract!B:J,9,FALSE),"")</f>
        <v/>
      </c>
      <c r="F4143" s="26" t="str">
        <f>IFERROR(VLOOKUP(G4143,WholesaleExtract!B:J,6,FALSE),"")</f>
        <v/>
      </c>
      <c r="H4143" s="47" t="str">
        <f>IFERROR(VLOOKUP(G4143,WholesaleExtract!B:L,11,FALSE),"")</f>
        <v/>
      </c>
      <c r="I4143" s="26" t="str">
        <f>IFERROR(VLOOKUP(G4143,WholesaleExtract!B:O,8,FALSE),"")</f>
        <v/>
      </c>
      <c r="J4143" s="26" t="str">
        <f>IFERROR(VLOOKUP(G4143,WholesaleExtract!B:O,14,FALSE),"")</f>
        <v/>
      </c>
      <c r="K4143" s="26" t="str">
        <f>IFERROR(VLOOKUP(G4143,WholesaleExtract!B:K,10,FALSE),"")</f>
        <v/>
      </c>
      <c r="L4143" s="47" t="str">
        <f>IFERROR(VLOOKUP(G4143,WholesaleExtract!B:L,11,FALSE),"")</f>
        <v/>
      </c>
      <c r="M4143" s="47" t="str">
        <f>IFERROR(VLOOKUP(G4143,WholesaleExtract!B:M,12,FALSE),"")</f>
        <v/>
      </c>
      <c r="R4143" s="19"/>
      <c r="S4143" s="19"/>
    </row>
    <row r="4144" spans="1:19" x14ac:dyDescent="0.35">
      <c r="A4144" s="26" t="s">
        <v>543</v>
      </c>
      <c r="B4144" s="26" t="s">
        <v>543</v>
      </c>
      <c r="C4144" s="26"/>
      <c r="D4144" s="26" t="s">
        <v>543</v>
      </c>
      <c r="E4144" s="26" t="str">
        <f>IFERROR(VLOOKUP(G4144,WholesaleExtract!B:J,9,FALSE),"")</f>
        <v/>
      </c>
      <c r="F4144" s="26" t="str">
        <f>IFERROR(VLOOKUP(G4144,WholesaleExtract!B:J,6,FALSE),"")</f>
        <v/>
      </c>
      <c r="H4144" s="47" t="str">
        <f>IFERROR(VLOOKUP(G4144,WholesaleExtract!B:L,11,FALSE),"")</f>
        <v/>
      </c>
      <c r="I4144" s="26" t="str">
        <f>IFERROR(VLOOKUP(G4144,WholesaleExtract!B:O,8,FALSE),"")</f>
        <v/>
      </c>
      <c r="J4144" s="26" t="str">
        <f>IFERROR(VLOOKUP(G4144,WholesaleExtract!B:O,14,FALSE),"")</f>
        <v/>
      </c>
      <c r="K4144" s="26" t="str">
        <f>IFERROR(VLOOKUP(G4144,WholesaleExtract!B:K,10,FALSE),"")</f>
        <v/>
      </c>
      <c r="L4144" s="47" t="str">
        <f>IFERROR(VLOOKUP(G4144,WholesaleExtract!B:L,11,FALSE),"")</f>
        <v/>
      </c>
      <c r="M4144" s="47" t="str">
        <f>IFERROR(VLOOKUP(G4144,WholesaleExtract!B:M,12,FALSE),"")</f>
        <v/>
      </c>
      <c r="R4144" s="19"/>
      <c r="S4144" s="19"/>
    </row>
    <row r="4145" spans="1:19" x14ac:dyDescent="0.35">
      <c r="A4145" s="26" t="s">
        <v>543</v>
      </c>
      <c r="B4145" s="26" t="s">
        <v>543</v>
      </c>
      <c r="C4145" s="26"/>
      <c r="D4145" s="26" t="s">
        <v>543</v>
      </c>
      <c r="E4145" s="26" t="str">
        <f>IFERROR(VLOOKUP(G4145,WholesaleExtract!B:J,9,FALSE),"")</f>
        <v/>
      </c>
      <c r="F4145" s="26" t="str">
        <f>IFERROR(VLOOKUP(G4145,WholesaleExtract!B:J,6,FALSE),"")</f>
        <v/>
      </c>
      <c r="H4145" s="47" t="str">
        <f>IFERROR(VLOOKUP(G4145,WholesaleExtract!B:L,11,FALSE),"")</f>
        <v/>
      </c>
      <c r="I4145" s="26" t="str">
        <f>IFERROR(VLOOKUP(G4145,WholesaleExtract!B:O,8,FALSE),"")</f>
        <v/>
      </c>
      <c r="J4145" s="26" t="str">
        <f>IFERROR(VLOOKUP(G4145,WholesaleExtract!B:O,14,FALSE),"")</f>
        <v/>
      </c>
      <c r="K4145" s="26" t="str">
        <f>IFERROR(VLOOKUP(G4145,WholesaleExtract!B:K,10,FALSE),"")</f>
        <v/>
      </c>
      <c r="L4145" s="47" t="str">
        <f>IFERROR(VLOOKUP(G4145,WholesaleExtract!B:L,11,FALSE),"")</f>
        <v/>
      </c>
      <c r="M4145" s="47" t="str">
        <f>IFERROR(VLOOKUP(G4145,WholesaleExtract!B:M,12,FALSE),"")</f>
        <v/>
      </c>
      <c r="R4145" s="19"/>
      <c r="S4145" s="19"/>
    </row>
    <row r="4146" spans="1:19" x14ac:dyDescent="0.35">
      <c r="A4146" s="26" t="s">
        <v>543</v>
      </c>
      <c r="B4146" s="26" t="s">
        <v>543</v>
      </c>
      <c r="C4146" s="26"/>
      <c r="D4146" s="26" t="s">
        <v>543</v>
      </c>
      <c r="E4146" s="26" t="str">
        <f>IFERROR(VLOOKUP(G4146,WholesaleExtract!B:J,9,FALSE),"")</f>
        <v/>
      </c>
      <c r="F4146" s="26" t="str">
        <f>IFERROR(VLOOKUP(G4146,WholesaleExtract!B:J,6,FALSE),"")</f>
        <v/>
      </c>
      <c r="H4146" s="47" t="str">
        <f>IFERROR(VLOOKUP(G4146,WholesaleExtract!B:L,11,FALSE),"")</f>
        <v/>
      </c>
      <c r="I4146" s="26" t="str">
        <f>IFERROR(VLOOKUP(G4146,WholesaleExtract!B:O,8,FALSE),"")</f>
        <v/>
      </c>
      <c r="J4146" s="26" t="str">
        <f>IFERROR(VLOOKUP(G4146,WholesaleExtract!B:O,14,FALSE),"")</f>
        <v/>
      </c>
      <c r="K4146" s="26" t="str">
        <f>IFERROR(VLOOKUP(G4146,WholesaleExtract!B:K,10,FALSE),"")</f>
        <v/>
      </c>
      <c r="L4146" s="47" t="str">
        <f>IFERROR(VLOOKUP(G4146,WholesaleExtract!B:L,11,FALSE),"")</f>
        <v/>
      </c>
      <c r="M4146" s="47" t="str">
        <f>IFERROR(VLOOKUP(G4146,WholesaleExtract!B:M,12,FALSE),"")</f>
        <v/>
      </c>
      <c r="R4146" s="19"/>
      <c r="S4146" s="19"/>
    </row>
    <row r="4147" spans="1:19" x14ac:dyDescent="0.35">
      <c r="A4147" s="26" t="s">
        <v>543</v>
      </c>
      <c r="B4147" s="26" t="s">
        <v>543</v>
      </c>
      <c r="C4147" s="26"/>
      <c r="D4147" s="26" t="s">
        <v>543</v>
      </c>
      <c r="E4147" s="26" t="str">
        <f>IFERROR(VLOOKUP(G4147,WholesaleExtract!B:J,9,FALSE),"")</f>
        <v/>
      </c>
      <c r="F4147" s="26" t="str">
        <f>IFERROR(VLOOKUP(G4147,WholesaleExtract!B:J,6,FALSE),"")</f>
        <v/>
      </c>
      <c r="H4147" s="47" t="str">
        <f>IFERROR(VLOOKUP(G4147,WholesaleExtract!B:L,11,FALSE),"")</f>
        <v/>
      </c>
      <c r="I4147" s="26" t="str">
        <f>IFERROR(VLOOKUP(G4147,WholesaleExtract!B:O,8,FALSE),"")</f>
        <v/>
      </c>
      <c r="J4147" s="26" t="str">
        <f>IFERROR(VLOOKUP(G4147,WholesaleExtract!B:O,14,FALSE),"")</f>
        <v/>
      </c>
      <c r="K4147" s="26" t="str">
        <f>IFERROR(VLOOKUP(G4147,WholesaleExtract!B:K,10,FALSE),"")</f>
        <v/>
      </c>
      <c r="L4147" s="47" t="str">
        <f>IFERROR(VLOOKUP(G4147,WholesaleExtract!B:L,11,FALSE),"")</f>
        <v/>
      </c>
      <c r="M4147" s="47" t="str">
        <f>IFERROR(VLOOKUP(G4147,WholesaleExtract!B:M,12,FALSE),"")</f>
        <v/>
      </c>
      <c r="R4147" s="19"/>
      <c r="S4147" s="19"/>
    </row>
    <row r="4148" spans="1:19" x14ac:dyDescent="0.35">
      <c r="A4148" s="26" t="s">
        <v>543</v>
      </c>
      <c r="B4148" s="26" t="s">
        <v>543</v>
      </c>
      <c r="C4148" s="26"/>
      <c r="D4148" s="26" t="s">
        <v>543</v>
      </c>
      <c r="E4148" s="26" t="str">
        <f>IFERROR(VLOOKUP(G4148,WholesaleExtract!B:J,9,FALSE),"")</f>
        <v/>
      </c>
      <c r="F4148" s="26" t="str">
        <f>IFERROR(VLOOKUP(G4148,WholesaleExtract!B:J,6,FALSE),"")</f>
        <v/>
      </c>
      <c r="H4148" s="47" t="str">
        <f>IFERROR(VLOOKUP(G4148,WholesaleExtract!B:L,11,FALSE),"")</f>
        <v/>
      </c>
      <c r="I4148" s="26" t="str">
        <f>IFERROR(VLOOKUP(G4148,WholesaleExtract!B:O,8,FALSE),"")</f>
        <v/>
      </c>
      <c r="J4148" s="26" t="str">
        <f>IFERROR(VLOOKUP(G4148,WholesaleExtract!B:O,14,FALSE),"")</f>
        <v/>
      </c>
      <c r="K4148" s="26" t="str">
        <f>IFERROR(VLOOKUP(G4148,WholesaleExtract!B:K,10,FALSE),"")</f>
        <v/>
      </c>
      <c r="L4148" s="47" t="str">
        <f>IFERROR(VLOOKUP(G4148,WholesaleExtract!B:L,11,FALSE),"")</f>
        <v/>
      </c>
      <c r="M4148" s="47" t="str">
        <f>IFERROR(VLOOKUP(G4148,WholesaleExtract!B:M,12,FALSE),"")</f>
        <v/>
      </c>
      <c r="R4148" s="19"/>
      <c r="S4148" s="19"/>
    </row>
    <row r="4149" spans="1:19" x14ac:dyDescent="0.35">
      <c r="A4149" s="26" t="s">
        <v>543</v>
      </c>
      <c r="B4149" s="26" t="s">
        <v>543</v>
      </c>
      <c r="C4149" s="26"/>
      <c r="D4149" s="26" t="s">
        <v>543</v>
      </c>
      <c r="E4149" s="26" t="str">
        <f>IFERROR(VLOOKUP(G4149,WholesaleExtract!B:J,9,FALSE),"")</f>
        <v/>
      </c>
      <c r="F4149" s="26" t="str">
        <f>IFERROR(VLOOKUP(G4149,WholesaleExtract!B:J,6,FALSE),"")</f>
        <v/>
      </c>
      <c r="H4149" s="47" t="str">
        <f>IFERROR(VLOOKUP(G4149,WholesaleExtract!B:L,11,FALSE),"")</f>
        <v/>
      </c>
      <c r="I4149" s="26" t="str">
        <f>IFERROR(VLOOKUP(G4149,WholesaleExtract!B:O,8,FALSE),"")</f>
        <v/>
      </c>
      <c r="J4149" s="26" t="str">
        <f>IFERROR(VLOOKUP(G4149,WholesaleExtract!B:O,14,FALSE),"")</f>
        <v/>
      </c>
      <c r="K4149" s="26" t="str">
        <f>IFERROR(VLOOKUP(G4149,WholesaleExtract!B:K,10,FALSE),"")</f>
        <v/>
      </c>
      <c r="L4149" s="47" t="str">
        <f>IFERROR(VLOOKUP(G4149,WholesaleExtract!B:L,11,FALSE),"")</f>
        <v/>
      </c>
      <c r="M4149" s="47" t="str">
        <f>IFERROR(VLOOKUP(G4149,WholesaleExtract!B:M,12,FALSE),"")</f>
        <v/>
      </c>
      <c r="R4149" s="19"/>
      <c r="S4149" s="19"/>
    </row>
    <row r="4150" spans="1:19" x14ac:dyDescent="0.35">
      <c r="A4150" s="26" t="s">
        <v>543</v>
      </c>
      <c r="B4150" s="26" t="s">
        <v>543</v>
      </c>
      <c r="C4150" s="26"/>
      <c r="D4150" s="26" t="s">
        <v>543</v>
      </c>
      <c r="E4150" s="26" t="str">
        <f>IFERROR(VLOOKUP(G4150,WholesaleExtract!B:J,9,FALSE),"")</f>
        <v/>
      </c>
      <c r="F4150" s="26" t="str">
        <f>IFERROR(VLOOKUP(G4150,WholesaleExtract!B:J,6,FALSE),"")</f>
        <v/>
      </c>
      <c r="H4150" s="47" t="str">
        <f>IFERROR(VLOOKUP(G4150,WholesaleExtract!B:L,11,FALSE),"")</f>
        <v/>
      </c>
      <c r="I4150" s="26" t="str">
        <f>IFERROR(VLOOKUP(G4150,WholesaleExtract!B:O,8,FALSE),"")</f>
        <v/>
      </c>
      <c r="J4150" s="26" t="str">
        <f>IFERROR(VLOOKUP(G4150,WholesaleExtract!B:O,14,FALSE),"")</f>
        <v/>
      </c>
      <c r="K4150" s="26" t="str">
        <f>IFERROR(VLOOKUP(G4150,WholesaleExtract!B:K,10,FALSE),"")</f>
        <v/>
      </c>
      <c r="L4150" s="47" t="str">
        <f>IFERROR(VLOOKUP(G4150,WholesaleExtract!B:L,11,FALSE),"")</f>
        <v/>
      </c>
      <c r="M4150" s="47" t="str">
        <f>IFERROR(VLOOKUP(G4150,WholesaleExtract!B:M,12,FALSE),"")</f>
        <v/>
      </c>
      <c r="R4150" s="19"/>
      <c r="S4150" s="19"/>
    </row>
    <row r="4151" spans="1:19" x14ac:dyDescent="0.35">
      <c r="A4151" s="26" t="s">
        <v>543</v>
      </c>
      <c r="B4151" s="26" t="s">
        <v>543</v>
      </c>
      <c r="C4151" s="26"/>
      <c r="D4151" s="26" t="s">
        <v>543</v>
      </c>
      <c r="E4151" s="26" t="str">
        <f>IFERROR(VLOOKUP(G4151,WholesaleExtract!B:J,9,FALSE),"")</f>
        <v/>
      </c>
      <c r="F4151" s="26" t="str">
        <f>IFERROR(VLOOKUP(G4151,WholesaleExtract!B:J,6,FALSE),"")</f>
        <v/>
      </c>
      <c r="H4151" s="47" t="str">
        <f>IFERROR(VLOOKUP(G4151,WholesaleExtract!B:L,11,FALSE),"")</f>
        <v/>
      </c>
      <c r="I4151" s="26" t="str">
        <f>IFERROR(VLOOKUP(G4151,WholesaleExtract!B:O,8,FALSE),"")</f>
        <v/>
      </c>
      <c r="J4151" s="26" t="str">
        <f>IFERROR(VLOOKUP(G4151,WholesaleExtract!B:O,14,FALSE),"")</f>
        <v/>
      </c>
      <c r="K4151" s="26" t="str">
        <f>IFERROR(VLOOKUP(G4151,WholesaleExtract!B:K,10,FALSE),"")</f>
        <v/>
      </c>
      <c r="L4151" s="47" t="str">
        <f>IFERROR(VLOOKUP(G4151,WholesaleExtract!B:L,11,FALSE),"")</f>
        <v/>
      </c>
      <c r="M4151" s="47" t="str">
        <f>IFERROR(VLOOKUP(G4151,WholesaleExtract!B:M,12,FALSE),"")</f>
        <v/>
      </c>
      <c r="R4151" s="19"/>
      <c r="S4151" s="19"/>
    </row>
    <row r="4152" spans="1:19" x14ac:dyDescent="0.35">
      <c r="A4152" s="26" t="s">
        <v>543</v>
      </c>
      <c r="B4152" s="26" t="s">
        <v>543</v>
      </c>
      <c r="C4152" s="26"/>
      <c r="D4152" s="26" t="s">
        <v>543</v>
      </c>
      <c r="E4152" s="26" t="str">
        <f>IFERROR(VLOOKUP(G4152,WholesaleExtract!B:J,9,FALSE),"")</f>
        <v/>
      </c>
      <c r="F4152" s="26" t="str">
        <f>IFERROR(VLOOKUP(G4152,WholesaleExtract!B:J,6,FALSE),"")</f>
        <v/>
      </c>
      <c r="H4152" s="47" t="str">
        <f>IFERROR(VLOOKUP(G4152,WholesaleExtract!B:L,11,FALSE),"")</f>
        <v/>
      </c>
      <c r="I4152" s="26" t="str">
        <f>IFERROR(VLOOKUP(G4152,WholesaleExtract!B:O,8,FALSE),"")</f>
        <v/>
      </c>
      <c r="J4152" s="26" t="str">
        <f>IFERROR(VLOOKUP(G4152,WholesaleExtract!B:O,14,FALSE),"")</f>
        <v/>
      </c>
      <c r="K4152" s="26" t="str">
        <f>IFERROR(VLOOKUP(G4152,WholesaleExtract!B:K,10,FALSE),"")</f>
        <v/>
      </c>
      <c r="L4152" s="47" t="str">
        <f>IFERROR(VLOOKUP(G4152,WholesaleExtract!B:L,11,FALSE),"")</f>
        <v/>
      </c>
      <c r="M4152" s="47" t="str">
        <f>IFERROR(VLOOKUP(G4152,WholesaleExtract!B:M,12,FALSE),"")</f>
        <v/>
      </c>
      <c r="R4152" s="19"/>
      <c r="S4152" s="19"/>
    </row>
    <row r="4153" spans="1:19" x14ac:dyDescent="0.35">
      <c r="A4153" s="26" t="s">
        <v>543</v>
      </c>
      <c r="B4153" s="26" t="s">
        <v>543</v>
      </c>
      <c r="C4153" s="26"/>
      <c r="D4153" s="26" t="s">
        <v>543</v>
      </c>
      <c r="E4153" s="26" t="str">
        <f>IFERROR(VLOOKUP(G4153,WholesaleExtract!B:J,9,FALSE),"")</f>
        <v/>
      </c>
      <c r="F4153" s="26" t="str">
        <f>IFERROR(VLOOKUP(G4153,WholesaleExtract!B:J,6,FALSE),"")</f>
        <v/>
      </c>
      <c r="H4153" s="47" t="str">
        <f>IFERROR(VLOOKUP(G4153,WholesaleExtract!B:L,11,FALSE),"")</f>
        <v/>
      </c>
      <c r="I4153" s="26" t="str">
        <f>IFERROR(VLOOKUP(G4153,WholesaleExtract!B:O,8,FALSE),"")</f>
        <v/>
      </c>
      <c r="J4153" s="26" t="str">
        <f>IFERROR(VLOOKUP(G4153,WholesaleExtract!B:O,14,FALSE),"")</f>
        <v/>
      </c>
      <c r="K4153" s="26" t="str">
        <f>IFERROR(VLOOKUP(G4153,WholesaleExtract!B:K,10,FALSE),"")</f>
        <v/>
      </c>
      <c r="L4153" s="47" t="str">
        <f>IFERROR(VLOOKUP(G4153,WholesaleExtract!B:L,11,FALSE),"")</f>
        <v/>
      </c>
      <c r="M4153" s="47" t="str">
        <f>IFERROR(VLOOKUP(G4153,WholesaleExtract!B:M,12,FALSE),"")</f>
        <v/>
      </c>
      <c r="R4153" s="19"/>
      <c r="S4153" s="19"/>
    </row>
    <row r="4154" spans="1:19" x14ac:dyDescent="0.35">
      <c r="A4154" s="26" t="s">
        <v>543</v>
      </c>
      <c r="B4154" s="26" t="s">
        <v>543</v>
      </c>
      <c r="C4154" s="26"/>
      <c r="D4154" s="26" t="s">
        <v>543</v>
      </c>
      <c r="E4154" s="26" t="str">
        <f>IFERROR(VLOOKUP(G4154,WholesaleExtract!B:J,9,FALSE),"")</f>
        <v/>
      </c>
      <c r="F4154" s="26" t="str">
        <f>IFERROR(VLOOKUP(G4154,WholesaleExtract!B:J,6,FALSE),"")</f>
        <v/>
      </c>
      <c r="H4154" s="47" t="str">
        <f>IFERROR(VLOOKUP(G4154,WholesaleExtract!B:L,11,FALSE),"")</f>
        <v/>
      </c>
      <c r="I4154" s="26" t="str">
        <f>IFERROR(VLOOKUP(G4154,WholesaleExtract!B:O,8,FALSE),"")</f>
        <v/>
      </c>
      <c r="J4154" s="26" t="str">
        <f>IFERROR(VLOOKUP(G4154,WholesaleExtract!B:O,14,FALSE),"")</f>
        <v/>
      </c>
      <c r="K4154" s="26" t="str">
        <f>IFERROR(VLOOKUP(G4154,WholesaleExtract!B:K,10,FALSE),"")</f>
        <v/>
      </c>
      <c r="L4154" s="47" t="str">
        <f>IFERROR(VLOOKUP(G4154,WholesaleExtract!B:L,11,FALSE),"")</f>
        <v/>
      </c>
      <c r="M4154" s="47" t="str">
        <f>IFERROR(VLOOKUP(G4154,WholesaleExtract!B:M,12,FALSE),"")</f>
        <v/>
      </c>
      <c r="R4154" s="19"/>
      <c r="S4154" s="19"/>
    </row>
    <row r="4155" spans="1:19" x14ac:dyDescent="0.35">
      <c r="A4155" s="26" t="s">
        <v>543</v>
      </c>
      <c r="B4155" s="26" t="s">
        <v>543</v>
      </c>
      <c r="C4155" s="26"/>
      <c r="D4155" s="26" t="s">
        <v>543</v>
      </c>
      <c r="E4155" s="26" t="str">
        <f>IFERROR(VLOOKUP(G4155,WholesaleExtract!B:J,9,FALSE),"")</f>
        <v/>
      </c>
      <c r="F4155" s="26" t="str">
        <f>IFERROR(VLOOKUP(G4155,WholesaleExtract!B:J,6,FALSE),"")</f>
        <v/>
      </c>
      <c r="H4155" s="47" t="str">
        <f>IFERROR(VLOOKUP(G4155,WholesaleExtract!B:L,11,FALSE),"")</f>
        <v/>
      </c>
      <c r="I4155" s="26" t="str">
        <f>IFERROR(VLOOKUP(G4155,WholesaleExtract!B:O,8,FALSE),"")</f>
        <v/>
      </c>
      <c r="J4155" s="26" t="str">
        <f>IFERROR(VLOOKUP(G4155,WholesaleExtract!B:O,14,FALSE),"")</f>
        <v/>
      </c>
      <c r="K4155" s="26" t="str">
        <f>IFERROR(VLOOKUP(G4155,WholesaleExtract!B:K,10,FALSE),"")</f>
        <v/>
      </c>
      <c r="L4155" s="47" t="str">
        <f>IFERROR(VLOOKUP(G4155,WholesaleExtract!B:L,11,FALSE),"")</f>
        <v/>
      </c>
      <c r="M4155" s="47" t="str">
        <f>IFERROR(VLOOKUP(G4155,WholesaleExtract!B:M,12,FALSE),"")</f>
        <v/>
      </c>
      <c r="R4155" s="19"/>
      <c r="S4155" s="19"/>
    </row>
    <row r="4156" spans="1:19" x14ac:dyDescent="0.35">
      <c r="A4156" s="26" t="s">
        <v>543</v>
      </c>
      <c r="B4156" s="26" t="s">
        <v>543</v>
      </c>
      <c r="C4156" s="26"/>
      <c r="D4156" s="26" t="s">
        <v>543</v>
      </c>
      <c r="E4156" s="26" t="str">
        <f>IFERROR(VLOOKUP(G4156,WholesaleExtract!B:J,9,FALSE),"")</f>
        <v/>
      </c>
      <c r="F4156" s="26" t="str">
        <f>IFERROR(VLOOKUP(G4156,WholesaleExtract!B:J,6,FALSE),"")</f>
        <v/>
      </c>
      <c r="H4156" s="47" t="str">
        <f>IFERROR(VLOOKUP(G4156,WholesaleExtract!B:L,11,FALSE),"")</f>
        <v/>
      </c>
      <c r="I4156" s="26" t="str">
        <f>IFERROR(VLOOKUP(G4156,WholesaleExtract!B:O,8,FALSE),"")</f>
        <v/>
      </c>
      <c r="J4156" s="26" t="str">
        <f>IFERROR(VLOOKUP(G4156,WholesaleExtract!B:O,14,FALSE),"")</f>
        <v/>
      </c>
      <c r="K4156" s="26" t="str">
        <f>IFERROR(VLOOKUP(G4156,WholesaleExtract!B:K,10,FALSE),"")</f>
        <v/>
      </c>
      <c r="L4156" s="47" t="str">
        <f>IFERROR(VLOOKUP(G4156,WholesaleExtract!B:L,11,FALSE),"")</f>
        <v/>
      </c>
      <c r="M4156" s="47" t="str">
        <f>IFERROR(VLOOKUP(G4156,WholesaleExtract!B:M,12,FALSE),"")</f>
        <v/>
      </c>
      <c r="R4156" s="19"/>
      <c r="S4156" s="19"/>
    </row>
    <row r="4157" spans="1:19" x14ac:dyDescent="0.35">
      <c r="A4157" s="26" t="s">
        <v>543</v>
      </c>
      <c r="B4157" s="26" t="s">
        <v>543</v>
      </c>
      <c r="C4157" s="26"/>
      <c r="D4157" s="26" t="s">
        <v>543</v>
      </c>
      <c r="E4157" s="26" t="str">
        <f>IFERROR(VLOOKUP(G4157,WholesaleExtract!B:J,9,FALSE),"")</f>
        <v/>
      </c>
      <c r="F4157" s="26" t="str">
        <f>IFERROR(VLOOKUP(G4157,WholesaleExtract!B:J,6,FALSE),"")</f>
        <v/>
      </c>
      <c r="H4157" s="47" t="str">
        <f>IFERROR(VLOOKUP(G4157,WholesaleExtract!B:L,11,FALSE),"")</f>
        <v/>
      </c>
      <c r="I4157" s="26" t="str">
        <f>IFERROR(VLOOKUP(G4157,WholesaleExtract!B:O,8,FALSE),"")</f>
        <v/>
      </c>
      <c r="J4157" s="26" t="str">
        <f>IFERROR(VLOOKUP(G4157,WholesaleExtract!B:O,14,FALSE),"")</f>
        <v/>
      </c>
      <c r="K4157" s="26" t="str">
        <f>IFERROR(VLOOKUP(G4157,WholesaleExtract!B:K,10,FALSE),"")</f>
        <v/>
      </c>
      <c r="L4157" s="47" t="str">
        <f>IFERROR(VLOOKUP(G4157,WholesaleExtract!B:L,11,FALSE),"")</f>
        <v/>
      </c>
      <c r="M4157" s="47" t="str">
        <f>IFERROR(VLOOKUP(G4157,WholesaleExtract!B:M,12,FALSE),"")</f>
        <v/>
      </c>
      <c r="R4157" s="19"/>
      <c r="S4157" s="19"/>
    </row>
    <row r="4158" spans="1:19" x14ac:dyDescent="0.35">
      <c r="A4158" s="26" t="s">
        <v>543</v>
      </c>
      <c r="B4158" s="26" t="s">
        <v>543</v>
      </c>
      <c r="C4158" s="26"/>
      <c r="D4158" s="26" t="s">
        <v>543</v>
      </c>
      <c r="E4158" s="26" t="str">
        <f>IFERROR(VLOOKUP(G4158,WholesaleExtract!B:J,9,FALSE),"")</f>
        <v/>
      </c>
      <c r="F4158" s="26" t="str">
        <f>IFERROR(VLOOKUP(G4158,WholesaleExtract!B:J,6,FALSE),"")</f>
        <v/>
      </c>
      <c r="H4158" s="47" t="str">
        <f>IFERROR(VLOOKUP(G4158,WholesaleExtract!B:L,11,FALSE),"")</f>
        <v/>
      </c>
      <c r="I4158" s="26" t="str">
        <f>IFERROR(VLOOKUP(G4158,WholesaleExtract!B:O,8,FALSE),"")</f>
        <v/>
      </c>
      <c r="J4158" s="26" t="str">
        <f>IFERROR(VLOOKUP(G4158,WholesaleExtract!B:O,14,FALSE),"")</f>
        <v/>
      </c>
      <c r="K4158" s="26" t="str">
        <f>IFERROR(VLOOKUP(G4158,WholesaleExtract!B:K,10,FALSE),"")</f>
        <v/>
      </c>
      <c r="L4158" s="47" t="str">
        <f>IFERROR(VLOOKUP(G4158,WholesaleExtract!B:L,11,FALSE),"")</f>
        <v/>
      </c>
      <c r="M4158" s="47" t="str">
        <f>IFERROR(VLOOKUP(G4158,WholesaleExtract!B:M,12,FALSE),"")</f>
        <v/>
      </c>
      <c r="R4158" s="19"/>
      <c r="S4158" s="19"/>
    </row>
    <row r="4159" spans="1:19" x14ac:dyDescent="0.35">
      <c r="A4159" s="26" t="s">
        <v>543</v>
      </c>
      <c r="B4159" s="26" t="s">
        <v>543</v>
      </c>
      <c r="C4159" s="26"/>
      <c r="D4159" s="26" t="s">
        <v>543</v>
      </c>
      <c r="E4159" s="26" t="str">
        <f>IFERROR(VLOOKUP(G4159,WholesaleExtract!B:J,9,FALSE),"")</f>
        <v/>
      </c>
      <c r="F4159" s="26" t="str">
        <f>IFERROR(VLOOKUP(G4159,WholesaleExtract!B:J,6,FALSE),"")</f>
        <v/>
      </c>
      <c r="H4159" s="47" t="str">
        <f>IFERROR(VLOOKUP(G4159,WholesaleExtract!B:L,11,FALSE),"")</f>
        <v/>
      </c>
      <c r="I4159" s="26" t="str">
        <f>IFERROR(VLOOKUP(G4159,WholesaleExtract!B:O,8,FALSE),"")</f>
        <v/>
      </c>
      <c r="J4159" s="26" t="str">
        <f>IFERROR(VLOOKUP(G4159,WholesaleExtract!B:O,14,FALSE),"")</f>
        <v/>
      </c>
      <c r="K4159" s="26" t="str">
        <f>IFERROR(VLOOKUP(G4159,WholesaleExtract!B:K,10,FALSE),"")</f>
        <v/>
      </c>
      <c r="L4159" s="47" t="str">
        <f>IFERROR(VLOOKUP(G4159,WholesaleExtract!B:L,11,FALSE),"")</f>
        <v/>
      </c>
      <c r="M4159" s="47" t="str">
        <f>IFERROR(VLOOKUP(G4159,WholesaleExtract!B:M,12,FALSE),"")</f>
        <v/>
      </c>
      <c r="R4159" s="19"/>
      <c r="S4159" s="19"/>
    </row>
    <row r="4160" spans="1:19" x14ac:dyDescent="0.35">
      <c r="A4160" s="26" t="s">
        <v>543</v>
      </c>
      <c r="B4160" s="26" t="s">
        <v>543</v>
      </c>
      <c r="C4160" s="26"/>
      <c r="D4160" s="26" t="s">
        <v>543</v>
      </c>
      <c r="E4160" s="26" t="str">
        <f>IFERROR(VLOOKUP(G4160,WholesaleExtract!B:J,9,FALSE),"")</f>
        <v/>
      </c>
      <c r="F4160" s="26" t="str">
        <f>IFERROR(VLOOKUP(G4160,WholesaleExtract!B:J,6,FALSE),"")</f>
        <v/>
      </c>
      <c r="H4160" s="47" t="str">
        <f>IFERROR(VLOOKUP(G4160,WholesaleExtract!B:L,11,FALSE),"")</f>
        <v/>
      </c>
      <c r="I4160" s="26" t="str">
        <f>IFERROR(VLOOKUP(G4160,WholesaleExtract!B:O,8,FALSE),"")</f>
        <v/>
      </c>
      <c r="J4160" s="26" t="str">
        <f>IFERROR(VLOOKUP(G4160,WholesaleExtract!B:O,14,FALSE),"")</f>
        <v/>
      </c>
      <c r="K4160" s="26" t="str">
        <f>IFERROR(VLOOKUP(G4160,WholesaleExtract!B:K,10,FALSE),"")</f>
        <v/>
      </c>
      <c r="L4160" s="47" t="str">
        <f>IFERROR(VLOOKUP(G4160,WholesaleExtract!B:L,11,FALSE),"")</f>
        <v/>
      </c>
      <c r="M4160" s="47" t="str">
        <f>IFERROR(VLOOKUP(G4160,WholesaleExtract!B:M,12,FALSE),"")</f>
        <v/>
      </c>
      <c r="R4160" s="19"/>
      <c r="S4160" s="19"/>
    </row>
    <row r="4161" spans="1:19" x14ac:dyDescent="0.35">
      <c r="A4161" s="26" t="s">
        <v>543</v>
      </c>
      <c r="B4161" s="26" t="s">
        <v>543</v>
      </c>
      <c r="C4161" s="26"/>
      <c r="D4161" s="26" t="s">
        <v>543</v>
      </c>
      <c r="E4161" s="26" t="str">
        <f>IFERROR(VLOOKUP(G4161,WholesaleExtract!B:J,9,FALSE),"")</f>
        <v/>
      </c>
      <c r="F4161" s="26" t="str">
        <f>IFERROR(VLOOKUP(G4161,WholesaleExtract!B:J,6,FALSE),"")</f>
        <v/>
      </c>
      <c r="H4161" s="47" t="str">
        <f>IFERROR(VLOOKUP(G4161,WholesaleExtract!B:L,11,FALSE),"")</f>
        <v/>
      </c>
      <c r="I4161" s="26" t="str">
        <f>IFERROR(VLOOKUP(G4161,WholesaleExtract!B:O,8,FALSE),"")</f>
        <v/>
      </c>
      <c r="J4161" s="26" t="str">
        <f>IFERROR(VLOOKUP(G4161,WholesaleExtract!B:O,14,FALSE),"")</f>
        <v/>
      </c>
      <c r="K4161" s="26" t="str">
        <f>IFERROR(VLOOKUP(G4161,WholesaleExtract!B:K,10,FALSE),"")</f>
        <v/>
      </c>
      <c r="L4161" s="47" t="str">
        <f>IFERROR(VLOOKUP(G4161,WholesaleExtract!B:L,11,FALSE),"")</f>
        <v/>
      </c>
      <c r="M4161" s="47" t="str">
        <f>IFERROR(VLOOKUP(G4161,WholesaleExtract!B:M,12,FALSE),"")</f>
        <v/>
      </c>
      <c r="R4161" s="19"/>
      <c r="S4161" s="19"/>
    </row>
    <row r="4162" spans="1:19" x14ac:dyDescent="0.35">
      <c r="A4162" s="26" t="s">
        <v>543</v>
      </c>
      <c r="B4162" s="26" t="s">
        <v>543</v>
      </c>
      <c r="C4162" s="26"/>
      <c r="D4162" s="26" t="s">
        <v>543</v>
      </c>
      <c r="E4162" s="26" t="str">
        <f>IFERROR(VLOOKUP(G4162,WholesaleExtract!B:J,9,FALSE),"")</f>
        <v/>
      </c>
      <c r="F4162" s="26" t="str">
        <f>IFERROR(VLOOKUP(G4162,WholesaleExtract!B:J,6,FALSE),"")</f>
        <v/>
      </c>
      <c r="H4162" s="47" t="str">
        <f>IFERROR(VLOOKUP(G4162,WholesaleExtract!B:L,11,FALSE),"")</f>
        <v/>
      </c>
      <c r="I4162" s="26" t="str">
        <f>IFERROR(VLOOKUP(G4162,WholesaleExtract!B:O,8,FALSE),"")</f>
        <v/>
      </c>
      <c r="J4162" s="26" t="str">
        <f>IFERROR(VLOOKUP(G4162,WholesaleExtract!B:O,14,FALSE),"")</f>
        <v/>
      </c>
      <c r="K4162" s="26" t="str">
        <f>IFERROR(VLOOKUP(G4162,WholesaleExtract!B:K,10,FALSE),"")</f>
        <v/>
      </c>
      <c r="L4162" s="47" t="str">
        <f>IFERROR(VLOOKUP(G4162,WholesaleExtract!B:L,11,FALSE),"")</f>
        <v/>
      </c>
      <c r="M4162" s="47" t="str">
        <f>IFERROR(VLOOKUP(G4162,WholesaleExtract!B:M,12,FALSE),"")</f>
        <v/>
      </c>
      <c r="R4162" s="19"/>
      <c r="S4162" s="19"/>
    </row>
    <row r="4163" spans="1:19" x14ac:dyDescent="0.35">
      <c r="A4163" s="26" t="s">
        <v>543</v>
      </c>
      <c r="B4163" s="26" t="s">
        <v>543</v>
      </c>
      <c r="C4163" s="26"/>
      <c r="D4163" s="26" t="s">
        <v>543</v>
      </c>
      <c r="E4163" s="26" t="str">
        <f>IFERROR(VLOOKUP(G4163,WholesaleExtract!B:J,9,FALSE),"")</f>
        <v/>
      </c>
      <c r="F4163" s="26" t="str">
        <f>IFERROR(VLOOKUP(G4163,WholesaleExtract!B:J,6,FALSE),"")</f>
        <v/>
      </c>
      <c r="H4163" s="47" t="str">
        <f>IFERROR(VLOOKUP(G4163,WholesaleExtract!B:L,11,FALSE),"")</f>
        <v/>
      </c>
      <c r="I4163" s="26" t="str">
        <f>IFERROR(VLOOKUP(G4163,WholesaleExtract!B:O,8,FALSE),"")</f>
        <v/>
      </c>
      <c r="J4163" s="26" t="str">
        <f>IFERROR(VLOOKUP(G4163,WholesaleExtract!B:O,14,FALSE),"")</f>
        <v/>
      </c>
      <c r="K4163" s="26" t="str">
        <f>IFERROR(VLOOKUP(G4163,WholesaleExtract!B:K,10,FALSE),"")</f>
        <v/>
      </c>
      <c r="L4163" s="47" t="str">
        <f>IFERROR(VLOOKUP(G4163,WholesaleExtract!B:L,11,FALSE),"")</f>
        <v/>
      </c>
      <c r="M4163" s="47" t="str">
        <f>IFERROR(VLOOKUP(G4163,WholesaleExtract!B:M,12,FALSE),"")</f>
        <v/>
      </c>
      <c r="R4163" s="19"/>
      <c r="S4163" s="19"/>
    </row>
    <row r="4164" spans="1:19" x14ac:dyDescent="0.35">
      <c r="A4164" s="26" t="s">
        <v>543</v>
      </c>
      <c r="B4164" s="26" t="s">
        <v>543</v>
      </c>
      <c r="C4164" s="26"/>
      <c r="D4164" s="26" t="s">
        <v>543</v>
      </c>
      <c r="E4164" s="26" t="str">
        <f>IFERROR(VLOOKUP(G4164,WholesaleExtract!B:J,9,FALSE),"")</f>
        <v/>
      </c>
      <c r="F4164" s="26" t="str">
        <f>IFERROR(VLOOKUP(G4164,WholesaleExtract!B:J,6,FALSE),"")</f>
        <v/>
      </c>
      <c r="H4164" s="47" t="str">
        <f>IFERROR(VLOOKUP(G4164,WholesaleExtract!B:L,11,FALSE),"")</f>
        <v/>
      </c>
      <c r="I4164" s="26" t="str">
        <f>IFERROR(VLOOKUP(G4164,WholesaleExtract!B:O,8,FALSE),"")</f>
        <v/>
      </c>
      <c r="J4164" s="26" t="str">
        <f>IFERROR(VLOOKUP(G4164,WholesaleExtract!B:O,14,FALSE),"")</f>
        <v/>
      </c>
      <c r="K4164" s="26" t="str">
        <f>IFERROR(VLOOKUP(G4164,WholesaleExtract!B:K,10,FALSE),"")</f>
        <v/>
      </c>
      <c r="L4164" s="47" t="str">
        <f>IFERROR(VLOOKUP(G4164,WholesaleExtract!B:L,11,FALSE),"")</f>
        <v/>
      </c>
      <c r="M4164" s="47" t="str">
        <f>IFERROR(VLOOKUP(G4164,WholesaleExtract!B:M,12,FALSE),"")</f>
        <v/>
      </c>
      <c r="R4164" s="19"/>
      <c r="S4164" s="19"/>
    </row>
    <row r="4165" spans="1:19" x14ac:dyDescent="0.35">
      <c r="A4165" s="26" t="s">
        <v>543</v>
      </c>
      <c r="B4165" s="26" t="s">
        <v>543</v>
      </c>
      <c r="C4165" s="26"/>
      <c r="D4165" s="26" t="s">
        <v>543</v>
      </c>
      <c r="E4165" s="26" t="str">
        <f>IFERROR(VLOOKUP(G4165,WholesaleExtract!B:J,9,FALSE),"")</f>
        <v/>
      </c>
      <c r="F4165" s="26" t="str">
        <f>IFERROR(VLOOKUP(G4165,WholesaleExtract!B:J,6,FALSE),"")</f>
        <v/>
      </c>
      <c r="H4165" s="47" t="str">
        <f>IFERROR(VLOOKUP(G4165,WholesaleExtract!B:L,11,FALSE),"")</f>
        <v/>
      </c>
      <c r="I4165" s="26" t="str">
        <f>IFERROR(VLOOKUP(G4165,WholesaleExtract!B:O,8,FALSE),"")</f>
        <v/>
      </c>
      <c r="J4165" s="26" t="str">
        <f>IFERROR(VLOOKUP(G4165,WholesaleExtract!B:O,14,FALSE),"")</f>
        <v/>
      </c>
      <c r="K4165" s="26" t="str">
        <f>IFERROR(VLOOKUP(G4165,WholesaleExtract!B:K,10,FALSE),"")</f>
        <v/>
      </c>
      <c r="L4165" s="47" t="str">
        <f>IFERROR(VLOOKUP(G4165,WholesaleExtract!B:L,11,FALSE),"")</f>
        <v/>
      </c>
      <c r="M4165" s="47" t="str">
        <f>IFERROR(VLOOKUP(G4165,WholesaleExtract!B:M,12,FALSE),"")</f>
        <v/>
      </c>
      <c r="R4165" s="19"/>
      <c r="S4165" s="19"/>
    </row>
    <row r="4166" spans="1:19" x14ac:dyDescent="0.35">
      <c r="A4166" s="26" t="s">
        <v>543</v>
      </c>
      <c r="B4166" s="26" t="s">
        <v>543</v>
      </c>
      <c r="C4166" s="26"/>
      <c r="D4166" s="26" t="s">
        <v>543</v>
      </c>
      <c r="E4166" s="26" t="str">
        <f>IFERROR(VLOOKUP(G4166,WholesaleExtract!B:J,9,FALSE),"")</f>
        <v/>
      </c>
      <c r="F4166" s="26" t="str">
        <f>IFERROR(VLOOKUP(G4166,WholesaleExtract!B:J,6,FALSE),"")</f>
        <v/>
      </c>
      <c r="H4166" s="47" t="str">
        <f>IFERROR(VLOOKUP(G4166,WholesaleExtract!B:L,11,FALSE),"")</f>
        <v/>
      </c>
      <c r="I4166" s="26" t="str">
        <f>IFERROR(VLOOKUP(G4166,WholesaleExtract!B:O,8,FALSE),"")</f>
        <v/>
      </c>
      <c r="J4166" s="26" t="str">
        <f>IFERROR(VLOOKUP(G4166,WholesaleExtract!B:O,14,FALSE),"")</f>
        <v/>
      </c>
      <c r="K4166" s="26" t="str">
        <f>IFERROR(VLOOKUP(G4166,WholesaleExtract!B:K,10,FALSE),"")</f>
        <v/>
      </c>
      <c r="L4166" s="47" t="str">
        <f>IFERROR(VLOOKUP(G4166,WholesaleExtract!B:L,11,FALSE),"")</f>
        <v/>
      </c>
      <c r="M4166" s="47" t="str">
        <f>IFERROR(VLOOKUP(G4166,WholesaleExtract!B:M,12,FALSE),"")</f>
        <v/>
      </c>
      <c r="R4166" s="19"/>
      <c r="S4166" s="19"/>
    </row>
    <row r="4167" spans="1:19" x14ac:dyDescent="0.35">
      <c r="A4167" s="26" t="s">
        <v>543</v>
      </c>
      <c r="B4167" s="26" t="s">
        <v>543</v>
      </c>
      <c r="C4167" s="26"/>
      <c r="D4167" s="26" t="s">
        <v>543</v>
      </c>
      <c r="E4167" s="26" t="str">
        <f>IFERROR(VLOOKUP(G4167,WholesaleExtract!B:J,9,FALSE),"")</f>
        <v/>
      </c>
      <c r="F4167" s="26" t="str">
        <f>IFERROR(VLOOKUP(G4167,WholesaleExtract!B:J,6,FALSE),"")</f>
        <v/>
      </c>
      <c r="H4167" s="47" t="str">
        <f>IFERROR(VLOOKUP(G4167,WholesaleExtract!B:L,11,FALSE),"")</f>
        <v/>
      </c>
      <c r="I4167" s="26" t="str">
        <f>IFERROR(VLOOKUP(G4167,WholesaleExtract!B:O,8,FALSE),"")</f>
        <v/>
      </c>
      <c r="J4167" s="26" t="str">
        <f>IFERROR(VLOOKUP(G4167,WholesaleExtract!B:O,14,FALSE),"")</f>
        <v/>
      </c>
      <c r="K4167" s="26" t="str">
        <f>IFERROR(VLOOKUP(G4167,WholesaleExtract!B:K,10,FALSE),"")</f>
        <v/>
      </c>
      <c r="L4167" s="47" t="str">
        <f>IFERROR(VLOOKUP(G4167,WholesaleExtract!B:L,11,FALSE),"")</f>
        <v/>
      </c>
      <c r="M4167" s="47" t="str">
        <f>IFERROR(VLOOKUP(G4167,WholesaleExtract!B:M,12,FALSE),"")</f>
        <v/>
      </c>
      <c r="R4167" s="19"/>
      <c r="S4167" s="19"/>
    </row>
    <row r="4168" spans="1:19" x14ac:dyDescent="0.35">
      <c r="A4168" s="26" t="s">
        <v>543</v>
      </c>
      <c r="B4168" s="26" t="s">
        <v>543</v>
      </c>
      <c r="C4168" s="26"/>
      <c r="D4168" s="26" t="s">
        <v>543</v>
      </c>
      <c r="E4168" s="26" t="str">
        <f>IFERROR(VLOOKUP(G4168,WholesaleExtract!B:J,9,FALSE),"")</f>
        <v/>
      </c>
      <c r="F4168" s="26" t="str">
        <f>IFERROR(VLOOKUP(G4168,WholesaleExtract!B:J,6,FALSE),"")</f>
        <v/>
      </c>
      <c r="H4168" s="47" t="str">
        <f>IFERROR(VLOOKUP(G4168,WholesaleExtract!B:L,11,FALSE),"")</f>
        <v/>
      </c>
      <c r="I4168" s="26" t="str">
        <f>IFERROR(VLOOKUP(G4168,WholesaleExtract!B:O,8,FALSE),"")</f>
        <v/>
      </c>
      <c r="J4168" s="26" t="str">
        <f>IFERROR(VLOOKUP(G4168,WholesaleExtract!B:O,14,FALSE),"")</f>
        <v/>
      </c>
      <c r="K4168" s="26" t="str">
        <f>IFERROR(VLOOKUP(G4168,WholesaleExtract!B:K,10,FALSE),"")</f>
        <v/>
      </c>
      <c r="L4168" s="47" t="str">
        <f>IFERROR(VLOOKUP(G4168,WholesaleExtract!B:L,11,FALSE),"")</f>
        <v/>
      </c>
      <c r="M4168" s="47" t="str">
        <f>IFERROR(VLOOKUP(G4168,WholesaleExtract!B:M,12,FALSE),"")</f>
        <v/>
      </c>
      <c r="R4168" s="19"/>
      <c r="S4168" s="19"/>
    </row>
    <row r="4169" spans="1:19" x14ac:dyDescent="0.35">
      <c r="A4169" s="26" t="s">
        <v>543</v>
      </c>
      <c r="B4169" s="26" t="s">
        <v>543</v>
      </c>
      <c r="C4169" s="26"/>
      <c r="D4169" s="26" t="s">
        <v>543</v>
      </c>
      <c r="E4169" s="26" t="str">
        <f>IFERROR(VLOOKUP(G4169,WholesaleExtract!B:J,9,FALSE),"")</f>
        <v/>
      </c>
      <c r="F4169" s="26" t="str">
        <f>IFERROR(VLOOKUP(G4169,WholesaleExtract!B:J,6,FALSE),"")</f>
        <v/>
      </c>
      <c r="H4169" s="47" t="str">
        <f>IFERROR(VLOOKUP(G4169,WholesaleExtract!B:L,11,FALSE),"")</f>
        <v/>
      </c>
      <c r="I4169" s="26" t="str">
        <f>IFERROR(VLOOKUP(G4169,WholesaleExtract!B:O,8,FALSE),"")</f>
        <v/>
      </c>
      <c r="J4169" s="26" t="str">
        <f>IFERROR(VLOOKUP(G4169,WholesaleExtract!B:O,14,FALSE),"")</f>
        <v/>
      </c>
      <c r="K4169" s="26" t="str">
        <f>IFERROR(VLOOKUP(G4169,WholesaleExtract!B:K,10,FALSE),"")</f>
        <v/>
      </c>
      <c r="L4169" s="47" t="str">
        <f>IFERROR(VLOOKUP(G4169,WholesaleExtract!B:L,11,FALSE),"")</f>
        <v/>
      </c>
      <c r="M4169" s="47" t="str">
        <f>IFERROR(VLOOKUP(G4169,WholesaleExtract!B:M,12,FALSE),"")</f>
        <v/>
      </c>
      <c r="R4169" s="19"/>
      <c r="S4169" s="19"/>
    </row>
    <row r="4170" spans="1:19" x14ac:dyDescent="0.35">
      <c r="A4170" s="26" t="s">
        <v>543</v>
      </c>
      <c r="B4170" s="26" t="s">
        <v>543</v>
      </c>
      <c r="C4170" s="26"/>
      <c r="D4170" s="26" t="s">
        <v>543</v>
      </c>
      <c r="E4170" s="26" t="str">
        <f>IFERROR(VLOOKUP(G4170,WholesaleExtract!B:J,9,FALSE),"")</f>
        <v/>
      </c>
      <c r="F4170" s="26" t="str">
        <f>IFERROR(VLOOKUP(G4170,WholesaleExtract!B:J,6,FALSE),"")</f>
        <v/>
      </c>
      <c r="H4170" s="47" t="str">
        <f>IFERROR(VLOOKUP(G4170,WholesaleExtract!B:L,11,FALSE),"")</f>
        <v/>
      </c>
      <c r="I4170" s="26" t="str">
        <f>IFERROR(VLOOKUP(G4170,WholesaleExtract!B:O,8,FALSE),"")</f>
        <v/>
      </c>
      <c r="J4170" s="26" t="str">
        <f>IFERROR(VLOOKUP(G4170,WholesaleExtract!B:O,14,FALSE),"")</f>
        <v/>
      </c>
      <c r="K4170" s="26" t="str">
        <f>IFERROR(VLOOKUP(G4170,WholesaleExtract!B:K,10,FALSE),"")</f>
        <v/>
      </c>
      <c r="L4170" s="47" t="str">
        <f>IFERROR(VLOOKUP(G4170,WholesaleExtract!B:L,11,FALSE),"")</f>
        <v/>
      </c>
      <c r="M4170" s="47" t="str">
        <f>IFERROR(VLOOKUP(G4170,WholesaleExtract!B:M,12,FALSE),"")</f>
        <v/>
      </c>
      <c r="R4170" s="19"/>
      <c r="S4170" s="19"/>
    </row>
    <row r="4171" spans="1:19" x14ac:dyDescent="0.35">
      <c r="A4171" s="26" t="s">
        <v>543</v>
      </c>
      <c r="B4171" s="26" t="s">
        <v>543</v>
      </c>
      <c r="C4171" s="26"/>
      <c r="D4171" s="26" t="s">
        <v>543</v>
      </c>
      <c r="E4171" s="26" t="str">
        <f>IFERROR(VLOOKUP(G4171,WholesaleExtract!B:J,9,FALSE),"")</f>
        <v/>
      </c>
      <c r="F4171" s="26" t="str">
        <f>IFERROR(VLOOKUP(G4171,WholesaleExtract!B:J,6,FALSE),"")</f>
        <v/>
      </c>
      <c r="H4171" s="47" t="str">
        <f>IFERROR(VLOOKUP(G4171,WholesaleExtract!B:L,11,FALSE),"")</f>
        <v/>
      </c>
      <c r="I4171" s="26" t="str">
        <f>IFERROR(VLOOKUP(G4171,WholesaleExtract!B:O,8,FALSE),"")</f>
        <v/>
      </c>
      <c r="J4171" s="26" t="str">
        <f>IFERROR(VLOOKUP(G4171,WholesaleExtract!B:O,14,FALSE),"")</f>
        <v/>
      </c>
      <c r="K4171" s="26" t="str">
        <f>IFERROR(VLOOKUP(G4171,WholesaleExtract!B:K,10,FALSE),"")</f>
        <v/>
      </c>
      <c r="L4171" s="47" t="str">
        <f>IFERROR(VLOOKUP(G4171,WholesaleExtract!B:L,11,FALSE),"")</f>
        <v/>
      </c>
      <c r="M4171" s="47" t="str">
        <f>IFERROR(VLOOKUP(G4171,WholesaleExtract!B:M,12,FALSE),"")</f>
        <v/>
      </c>
      <c r="R4171" s="19"/>
      <c r="S4171" s="19"/>
    </row>
    <row r="4172" spans="1:19" x14ac:dyDescent="0.35">
      <c r="A4172" s="26" t="s">
        <v>543</v>
      </c>
      <c r="B4172" s="26" t="s">
        <v>543</v>
      </c>
      <c r="C4172" s="26"/>
      <c r="D4172" s="26" t="s">
        <v>543</v>
      </c>
      <c r="E4172" s="26" t="str">
        <f>IFERROR(VLOOKUP(G4172,WholesaleExtract!B:J,9,FALSE),"")</f>
        <v/>
      </c>
      <c r="F4172" s="26" t="str">
        <f>IFERROR(VLOOKUP(G4172,WholesaleExtract!B:J,6,FALSE),"")</f>
        <v/>
      </c>
      <c r="H4172" s="47" t="str">
        <f>IFERROR(VLOOKUP(G4172,WholesaleExtract!B:L,11,FALSE),"")</f>
        <v/>
      </c>
      <c r="I4172" s="26" t="str">
        <f>IFERROR(VLOOKUP(G4172,WholesaleExtract!B:O,8,FALSE),"")</f>
        <v/>
      </c>
      <c r="J4172" s="26" t="str">
        <f>IFERROR(VLOOKUP(G4172,WholesaleExtract!B:O,14,FALSE),"")</f>
        <v/>
      </c>
      <c r="K4172" s="26" t="str">
        <f>IFERROR(VLOOKUP(G4172,WholesaleExtract!B:K,10,FALSE),"")</f>
        <v/>
      </c>
      <c r="L4172" s="47" t="str">
        <f>IFERROR(VLOOKUP(G4172,WholesaleExtract!B:L,11,FALSE),"")</f>
        <v/>
      </c>
      <c r="M4172" s="47" t="str">
        <f>IFERROR(VLOOKUP(G4172,WholesaleExtract!B:M,12,FALSE),"")</f>
        <v/>
      </c>
      <c r="R4172" s="19"/>
      <c r="S4172" s="19"/>
    </row>
    <row r="4173" spans="1:19" x14ac:dyDescent="0.35">
      <c r="A4173" s="26" t="s">
        <v>543</v>
      </c>
      <c r="B4173" s="26" t="s">
        <v>543</v>
      </c>
      <c r="C4173" s="26"/>
      <c r="D4173" s="26" t="s">
        <v>543</v>
      </c>
      <c r="E4173" s="26" t="str">
        <f>IFERROR(VLOOKUP(G4173,WholesaleExtract!B:J,9,FALSE),"")</f>
        <v/>
      </c>
      <c r="F4173" s="26" t="str">
        <f>IFERROR(VLOOKUP(G4173,WholesaleExtract!B:J,6,FALSE),"")</f>
        <v/>
      </c>
      <c r="H4173" s="47" t="str">
        <f>IFERROR(VLOOKUP(G4173,WholesaleExtract!B:L,11,FALSE),"")</f>
        <v/>
      </c>
      <c r="I4173" s="26" t="str">
        <f>IFERROR(VLOOKUP(G4173,WholesaleExtract!B:O,8,FALSE),"")</f>
        <v/>
      </c>
      <c r="J4173" s="26" t="str">
        <f>IFERROR(VLOOKUP(G4173,WholesaleExtract!B:O,14,FALSE),"")</f>
        <v/>
      </c>
      <c r="K4173" s="26" t="str">
        <f>IFERROR(VLOOKUP(G4173,WholesaleExtract!B:K,10,FALSE),"")</f>
        <v/>
      </c>
      <c r="L4173" s="47" t="str">
        <f>IFERROR(VLOOKUP(G4173,WholesaleExtract!B:L,11,FALSE),"")</f>
        <v/>
      </c>
      <c r="M4173" s="47" t="str">
        <f>IFERROR(VLOOKUP(G4173,WholesaleExtract!B:M,12,FALSE),"")</f>
        <v/>
      </c>
      <c r="R4173" s="19"/>
      <c r="S4173" s="19"/>
    </row>
    <row r="4174" spans="1:19" x14ac:dyDescent="0.35">
      <c r="A4174" s="26" t="s">
        <v>543</v>
      </c>
      <c r="B4174" s="26" t="s">
        <v>543</v>
      </c>
      <c r="C4174" s="26"/>
      <c r="D4174" s="26" t="s">
        <v>543</v>
      </c>
      <c r="E4174" s="26" t="str">
        <f>IFERROR(VLOOKUP(G4174,WholesaleExtract!B:J,9,FALSE),"")</f>
        <v/>
      </c>
      <c r="F4174" s="26" t="str">
        <f>IFERROR(VLOOKUP(G4174,WholesaleExtract!B:J,6,FALSE),"")</f>
        <v/>
      </c>
      <c r="H4174" s="47" t="str">
        <f>IFERROR(VLOOKUP(G4174,WholesaleExtract!B:L,11,FALSE),"")</f>
        <v/>
      </c>
      <c r="I4174" s="26" t="str">
        <f>IFERROR(VLOOKUP(G4174,WholesaleExtract!B:O,8,FALSE),"")</f>
        <v/>
      </c>
      <c r="J4174" s="26" t="str">
        <f>IFERROR(VLOOKUP(G4174,WholesaleExtract!B:O,14,FALSE),"")</f>
        <v/>
      </c>
      <c r="K4174" s="26" t="str">
        <f>IFERROR(VLOOKUP(G4174,WholesaleExtract!B:K,10,FALSE),"")</f>
        <v/>
      </c>
      <c r="L4174" s="47" t="str">
        <f>IFERROR(VLOOKUP(G4174,WholesaleExtract!B:L,11,FALSE),"")</f>
        <v/>
      </c>
      <c r="M4174" s="47" t="str">
        <f>IFERROR(VLOOKUP(G4174,WholesaleExtract!B:M,12,FALSE),"")</f>
        <v/>
      </c>
      <c r="R4174" s="19"/>
      <c r="S4174" s="19"/>
    </row>
    <row r="4175" spans="1:19" x14ac:dyDescent="0.35">
      <c r="A4175" s="26" t="s">
        <v>543</v>
      </c>
      <c r="B4175" s="26" t="s">
        <v>543</v>
      </c>
      <c r="C4175" s="26"/>
      <c r="D4175" s="26" t="s">
        <v>543</v>
      </c>
      <c r="E4175" s="26" t="str">
        <f>IFERROR(VLOOKUP(G4175,WholesaleExtract!B:J,9,FALSE),"")</f>
        <v/>
      </c>
      <c r="F4175" s="26" t="str">
        <f>IFERROR(VLOOKUP(G4175,WholesaleExtract!B:J,6,FALSE),"")</f>
        <v/>
      </c>
      <c r="H4175" s="47" t="str">
        <f>IFERROR(VLOOKUP(G4175,WholesaleExtract!B:L,11,FALSE),"")</f>
        <v/>
      </c>
      <c r="I4175" s="26" t="str">
        <f>IFERROR(VLOOKUP(G4175,WholesaleExtract!B:O,8,FALSE),"")</f>
        <v/>
      </c>
      <c r="J4175" s="26" t="str">
        <f>IFERROR(VLOOKUP(G4175,WholesaleExtract!B:O,14,FALSE),"")</f>
        <v/>
      </c>
      <c r="K4175" s="26" t="str">
        <f>IFERROR(VLOOKUP(G4175,WholesaleExtract!B:K,10,FALSE),"")</f>
        <v/>
      </c>
      <c r="L4175" s="47" t="str">
        <f>IFERROR(VLOOKUP(G4175,WholesaleExtract!B:L,11,FALSE),"")</f>
        <v/>
      </c>
      <c r="M4175" s="47" t="str">
        <f>IFERROR(VLOOKUP(G4175,WholesaleExtract!B:M,12,FALSE),"")</f>
        <v/>
      </c>
      <c r="R4175" s="19"/>
      <c r="S4175" s="19"/>
    </row>
    <row r="4176" spans="1:19" x14ac:dyDescent="0.35">
      <c r="A4176" s="26" t="s">
        <v>543</v>
      </c>
      <c r="B4176" s="26" t="s">
        <v>543</v>
      </c>
      <c r="C4176" s="26"/>
      <c r="D4176" s="26" t="s">
        <v>543</v>
      </c>
      <c r="E4176" s="26" t="str">
        <f>IFERROR(VLOOKUP(G4176,WholesaleExtract!B:J,9,FALSE),"")</f>
        <v/>
      </c>
      <c r="F4176" s="26" t="str">
        <f>IFERROR(VLOOKUP(G4176,WholesaleExtract!B:J,6,FALSE),"")</f>
        <v/>
      </c>
      <c r="H4176" s="47" t="str">
        <f>IFERROR(VLOOKUP(G4176,WholesaleExtract!B:L,11,FALSE),"")</f>
        <v/>
      </c>
      <c r="I4176" s="26" t="str">
        <f>IFERROR(VLOOKUP(G4176,WholesaleExtract!B:O,8,FALSE),"")</f>
        <v/>
      </c>
      <c r="J4176" s="26" t="str">
        <f>IFERROR(VLOOKUP(G4176,WholesaleExtract!B:O,14,FALSE),"")</f>
        <v/>
      </c>
      <c r="K4176" s="26" t="str">
        <f>IFERROR(VLOOKUP(G4176,WholesaleExtract!B:K,10,FALSE),"")</f>
        <v/>
      </c>
      <c r="L4176" s="47" t="str">
        <f>IFERROR(VLOOKUP(G4176,WholesaleExtract!B:L,11,FALSE),"")</f>
        <v/>
      </c>
      <c r="M4176" s="47" t="str">
        <f>IFERROR(VLOOKUP(G4176,WholesaleExtract!B:M,12,FALSE),"")</f>
        <v/>
      </c>
      <c r="R4176" s="19"/>
      <c r="S4176" s="19"/>
    </row>
    <row r="4177" spans="1:19" x14ac:dyDescent="0.35">
      <c r="A4177" s="26" t="s">
        <v>543</v>
      </c>
      <c r="B4177" s="26" t="s">
        <v>543</v>
      </c>
      <c r="C4177" s="26"/>
      <c r="D4177" s="26" t="s">
        <v>543</v>
      </c>
      <c r="E4177" s="26" t="str">
        <f>IFERROR(VLOOKUP(G4177,WholesaleExtract!B:J,9,FALSE),"")</f>
        <v/>
      </c>
      <c r="F4177" s="26" t="str">
        <f>IFERROR(VLOOKUP(G4177,WholesaleExtract!B:J,6,FALSE),"")</f>
        <v/>
      </c>
      <c r="H4177" s="47" t="str">
        <f>IFERROR(VLOOKUP(G4177,WholesaleExtract!B:L,11,FALSE),"")</f>
        <v/>
      </c>
      <c r="I4177" s="26" t="str">
        <f>IFERROR(VLOOKUP(G4177,WholesaleExtract!B:O,8,FALSE),"")</f>
        <v/>
      </c>
      <c r="J4177" s="26" t="str">
        <f>IFERROR(VLOOKUP(G4177,WholesaleExtract!B:O,14,FALSE),"")</f>
        <v/>
      </c>
      <c r="K4177" s="26" t="str">
        <f>IFERROR(VLOOKUP(G4177,WholesaleExtract!B:K,10,FALSE),"")</f>
        <v/>
      </c>
      <c r="L4177" s="47" t="str">
        <f>IFERROR(VLOOKUP(G4177,WholesaleExtract!B:L,11,FALSE),"")</f>
        <v/>
      </c>
      <c r="M4177" s="47" t="str">
        <f>IFERROR(VLOOKUP(G4177,WholesaleExtract!B:M,12,FALSE),"")</f>
        <v/>
      </c>
      <c r="R4177" s="19"/>
      <c r="S4177" s="19"/>
    </row>
    <row r="4178" spans="1:19" x14ac:dyDescent="0.35">
      <c r="A4178" s="26" t="s">
        <v>543</v>
      </c>
      <c r="B4178" s="26" t="s">
        <v>543</v>
      </c>
      <c r="C4178" s="26"/>
      <c r="D4178" s="26" t="s">
        <v>543</v>
      </c>
      <c r="E4178" s="26" t="str">
        <f>IFERROR(VLOOKUP(G4178,WholesaleExtract!B:J,9,FALSE),"")</f>
        <v/>
      </c>
      <c r="F4178" s="26" t="str">
        <f>IFERROR(VLOOKUP(G4178,WholesaleExtract!B:J,6,FALSE),"")</f>
        <v/>
      </c>
      <c r="H4178" s="47" t="str">
        <f>IFERROR(VLOOKUP(G4178,WholesaleExtract!B:L,11,FALSE),"")</f>
        <v/>
      </c>
      <c r="I4178" s="26" t="str">
        <f>IFERROR(VLOOKUP(G4178,WholesaleExtract!B:O,8,FALSE),"")</f>
        <v/>
      </c>
      <c r="J4178" s="26" t="str">
        <f>IFERROR(VLOOKUP(G4178,WholesaleExtract!B:O,14,FALSE),"")</f>
        <v/>
      </c>
      <c r="K4178" s="26" t="str">
        <f>IFERROR(VLOOKUP(G4178,WholesaleExtract!B:K,10,FALSE),"")</f>
        <v/>
      </c>
      <c r="L4178" s="47" t="str">
        <f>IFERROR(VLOOKUP(G4178,WholesaleExtract!B:L,11,FALSE),"")</f>
        <v/>
      </c>
      <c r="M4178" s="47" t="str">
        <f>IFERROR(VLOOKUP(G4178,WholesaleExtract!B:M,12,FALSE),"")</f>
        <v/>
      </c>
      <c r="R4178" s="19"/>
      <c r="S4178" s="19"/>
    </row>
    <row r="4179" spans="1:19" x14ac:dyDescent="0.35">
      <c r="A4179" s="26" t="s">
        <v>543</v>
      </c>
      <c r="B4179" s="26" t="s">
        <v>543</v>
      </c>
      <c r="C4179" s="26"/>
      <c r="D4179" s="26" t="s">
        <v>543</v>
      </c>
      <c r="E4179" s="26" t="str">
        <f>IFERROR(VLOOKUP(G4179,WholesaleExtract!B:J,9,FALSE),"")</f>
        <v/>
      </c>
      <c r="F4179" s="26" t="str">
        <f>IFERROR(VLOOKUP(G4179,WholesaleExtract!B:J,6,FALSE),"")</f>
        <v/>
      </c>
      <c r="H4179" s="47" t="str">
        <f>IFERROR(VLOOKUP(G4179,WholesaleExtract!B:L,11,FALSE),"")</f>
        <v/>
      </c>
      <c r="I4179" s="26" t="str">
        <f>IFERROR(VLOOKUP(G4179,WholesaleExtract!B:O,8,FALSE),"")</f>
        <v/>
      </c>
      <c r="J4179" s="26" t="str">
        <f>IFERROR(VLOOKUP(G4179,WholesaleExtract!B:O,14,FALSE),"")</f>
        <v/>
      </c>
      <c r="K4179" s="26" t="str">
        <f>IFERROR(VLOOKUP(G4179,WholesaleExtract!B:K,10,FALSE),"")</f>
        <v/>
      </c>
      <c r="L4179" s="47" t="str">
        <f>IFERROR(VLOOKUP(G4179,WholesaleExtract!B:L,11,FALSE),"")</f>
        <v/>
      </c>
      <c r="M4179" s="47" t="str">
        <f>IFERROR(VLOOKUP(G4179,WholesaleExtract!B:M,12,FALSE),"")</f>
        <v/>
      </c>
      <c r="R4179" s="19"/>
      <c r="S4179" s="19"/>
    </row>
    <row r="4180" spans="1:19" x14ac:dyDescent="0.35">
      <c r="A4180" s="26" t="s">
        <v>543</v>
      </c>
      <c r="B4180" s="26" t="s">
        <v>543</v>
      </c>
      <c r="C4180" s="26"/>
      <c r="D4180" s="26" t="s">
        <v>543</v>
      </c>
      <c r="E4180" s="26" t="str">
        <f>IFERROR(VLOOKUP(G4180,WholesaleExtract!B:J,9,FALSE),"")</f>
        <v/>
      </c>
      <c r="F4180" s="26" t="str">
        <f>IFERROR(VLOOKUP(G4180,WholesaleExtract!B:J,6,FALSE),"")</f>
        <v/>
      </c>
      <c r="H4180" s="47" t="str">
        <f>IFERROR(VLOOKUP(G4180,WholesaleExtract!B:L,11,FALSE),"")</f>
        <v/>
      </c>
      <c r="I4180" s="26" t="str">
        <f>IFERROR(VLOOKUP(G4180,WholesaleExtract!B:O,8,FALSE),"")</f>
        <v/>
      </c>
      <c r="J4180" s="26" t="str">
        <f>IFERROR(VLOOKUP(G4180,WholesaleExtract!B:O,14,FALSE),"")</f>
        <v/>
      </c>
      <c r="K4180" s="26" t="str">
        <f>IFERROR(VLOOKUP(G4180,WholesaleExtract!B:K,10,FALSE),"")</f>
        <v/>
      </c>
      <c r="L4180" s="47" t="str">
        <f>IFERROR(VLOOKUP(G4180,WholesaleExtract!B:L,11,FALSE),"")</f>
        <v/>
      </c>
      <c r="M4180" s="47" t="str">
        <f>IFERROR(VLOOKUP(G4180,WholesaleExtract!B:M,12,FALSE),"")</f>
        <v/>
      </c>
      <c r="R4180" s="19"/>
      <c r="S4180" s="19"/>
    </row>
    <row r="4181" spans="1:19" x14ac:dyDescent="0.35">
      <c r="A4181" s="26" t="s">
        <v>543</v>
      </c>
      <c r="B4181" s="26" t="s">
        <v>543</v>
      </c>
      <c r="C4181" s="26"/>
      <c r="D4181" s="26" t="s">
        <v>543</v>
      </c>
      <c r="E4181" s="26" t="str">
        <f>IFERROR(VLOOKUP(G4181,WholesaleExtract!B:J,9,FALSE),"")</f>
        <v/>
      </c>
      <c r="F4181" s="26" t="str">
        <f>IFERROR(VLOOKUP(G4181,WholesaleExtract!B:J,6,FALSE),"")</f>
        <v/>
      </c>
      <c r="H4181" s="47" t="str">
        <f>IFERROR(VLOOKUP(G4181,WholesaleExtract!B:L,11,FALSE),"")</f>
        <v/>
      </c>
      <c r="I4181" s="26" t="str">
        <f>IFERROR(VLOOKUP(G4181,WholesaleExtract!B:O,8,FALSE),"")</f>
        <v/>
      </c>
      <c r="J4181" s="26" t="str">
        <f>IFERROR(VLOOKUP(G4181,WholesaleExtract!B:O,14,FALSE),"")</f>
        <v/>
      </c>
      <c r="K4181" s="26" t="str">
        <f>IFERROR(VLOOKUP(G4181,WholesaleExtract!B:K,10,FALSE),"")</f>
        <v/>
      </c>
      <c r="L4181" s="47" t="str">
        <f>IFERROR(VLOOKUP(G4181,WholesaleExtract!B:L,11,FALSE),"")</f>
        <v/>
      </c>
      <c r="M4181" s="47" t="str">
        <f>IFERROR(VLOOKUP(G4181,WholesaleExtract!B:M,12,FALSE),"")</f>
        <v/>
      </c>
      <c r="R4181" s="19"/>
      <c r="S4181" s="19"/>
    </row>
    <row r="4182" spans="1:19" x14ac:dyDescent="0.35">
      <c r="A4182" s="26" t="s">
        <v>543</v>
      </c>
      <c r="B4182" s="26" t="s">
        <v>543</v>
      </c>
      <c r="C4182" s="26"/>
      <c r="D4182" s="26" t="s">
        <v>543</v>
      </c>
      <c r="E4182" s="26" t="str">
        <f>IFERROR(VLOOKUP(G4182,WholesaleExtract!B:J,9,FALSE),"")</f>
        <v/>
      </c>
      <c r="F4182" s="26" t="str">
        <f>IFERROR(VLOOKUP(G4182,WholesaleExtract!B:J,6,FALSE),"")</f>
        <v/>
      </c>
      <c r="H4182" s="47" t="str">
        <f>IFERROR(VLOOKUP(G4182,WholesaleExtract!B:L,11,FALSE),"")</f>
        <v/>
      </c>
      <c r="I4182" s="26" t="str">
        <f>IFERROR(VLOOKUP(G4182,WholesaleExtract!B:O,8,FALSE),"")</f>
        <v/>
      </c>
      <c r="J4182" s="26" t="str">
        <f>IFERROR(VLOOKUP(G4182,WholesaleExtract!B:O,14,FALSE),"")</f>
        <v/>
      </c>
      <c r="K4182" s="26" t="str">
        <f>IFERROR(VLOOKUP(G4182,WholesaleExtract!B:K,10,FALSE),"")</f>
        <v/>
      </c>
      <c r="L4182" s="47" t="str">
        <f>IFERROR(VLOOKUP(G4182,WholesaleExtract!B:L,11,FALSE),"")</f>
        <v/>
      </c>
      <c r="M4182" s="47" t="str">
        <f>IFERROR(VLOOKUP(G4182,WholesaleExtract!B:M,12,FALSE),"")</f>
        <v/>
      </c>
      <c r="R4182" s="19"/>
      <c r="S4182" s="19"/>
    </row>
    <row r="4183" spans="1:19" x14ac:dyDescent="0.35">
      <c r="A4183" s="26" t="s">
        <v>543</v>
      </c>
      <c r="B4183" s="26" t="s">
        <v>543</v>
      </c>
      <c r="C4183" s="26"/>
      <c r="D4183" s="26" t="s">
        <v>543</v>
      </c>
      <c r="E4183" s="26" t="str">
        <f>IFERROR(VLOOKUP(G4183,WholesaleExtract!B:J,9,FALSE),"")</f>
        <v/>
      </c>
      <c r="F4183" s="26" t="str">
        <f>IFERROR(VLOOKUP(G4183,WholesaleExtract!B:J,6,FALSE),"")</f>
        <v/>
      </c>
      <c r="H4183" s="47" t="str">
        <f>IFERROR(VLOOKUP(G4183,WholesaleExtract!B:L,11,FALSE),"")</f>
        <v/>
      </c>
      <c r="I4183" s="26" t="str">
        <f>IFERROR(VLOOKUP(G4183,WholesaleExtract!B:O,8,FALSE),"")</f>
        <v/>
      </c>
      <c r="J4183" s="26" t="str">
        <f>IFERROR(VLOOKUP(G4183,WholesaleExtract!B:O,14,FALSE),"")</f>
        <v/>
      </c>
      <c r="K4183" s="26" t="str">
        <f>IFERROR(VLOOKUP(G4183,WholesaleExtract!B:K,10,FALSE),"")</f>
        <v/>
      </c>
      <c r="L4183" s="47" t="str">
        <f>IFERROR(VLOOKUP(G4183,WholesaleExtract!B:L,11,FALSE),"")</f>
        <v/>
      </c>
      <c r="M4183" s="47" t="str">
        <f>IFERROR(VLOOKUP(G4183,WholesaleExtract!B:M,12,FALSE),"")</f>
        <v/>
      </c>
      <c r="R4183" s="19"/>
      <c r="S4183" s="19"/>
    </row>
    <row r="4184" spans="1:19" x14ac:dyDescent="0.35">
      <c r="A4184" s="26" t="s">
        <v>543</v>
      </c>
      <c r="B4184" s="26" t="s">
        <v>543</v>
      </c>
      <c r="C4184" s="26"/>
      <c r="D4184" s="26" t="s">
        <v>543</v>
      </c>
      <c r="E4184" s="26" t="str">
        <f>IFERROR(VLOOKUP(G4184,WholesaleExtract!B:J,9,FALSE),"")</f>
        <v/>
      </c>
      <c r="F4184" s="26" t="str">
        <f>IFERROR(VLOOKUP(G4184,WholesaleExtract!B:J,6,FALSE),"")</f>
        <v/>
      </c>
      <c r="H4184" s="47" t="str">
        <f>IFERROR(VLOOKUP(G4184,WholesaleExtract!B:L,11,FALSE),"")</f>
        <v/>
      </c>
      <c r="I4184" s="26" t="str">
        <f>IFERROR(VLOOKUP(G4184,WholesaleExtract!B:O,8,FALSE),"")</f>
        <v/>
      </c>
      <c r="J4184" s="26" t="str">
        <f>IFERROR(VLOOKUP(G4184,WholesaleExtract!B:O,14,FALSE),"")</f>
        <v/>
      </c>
      <c r="K4184" s="26" t="str">
        <f>IFERROR(VLOOKUP(G4184,WholesaleExtract!B:K,10,FALSE),"")</f>
        <v/>
      </c>
      <c r="L4184" s="47" t="str">
        <f>IFERROR(VLOOKUP(G4184,WholesaleExtract!B:L,11,FALSE),"")</f>
        <v/>
      </c>
      <c r="M4184" s="47" t="str">
        <f>IFERROR(VLOOKUP(G4184,WholesaleExtract!B:M,12,FALSE),"")</f>
        <v/>
      </c>
      <c r="R4184" s="19"/>
      <c r="S4184" s="19"/>
    </row>
    <row r="4185" spans="1:19" x14ac:dyDescent="0.35">
      <c r="A4185" s="26" t="s">
        <v>543</v>
      </c>
      <c r="B4185" s="26" t="s">
        <v>543</v>
      </c>
      <c r="C4185" s="26"/>
      <c r="D4185" s="26" t="s">
        <v>543</v>
      </c>
      <c r="E4185" s="26" t="str">
        <f>IFERROR(VLOOKUP(G4185,WholesaleExtract!B:J,9,FALSE),"")</f>
        <v/>
      </c>
      <c r="F4185" s="26" t="str">
        <f>IFERROR(VLOOKUP(G4185,WholesaleExtract!B:J,6,FALSE),"")</f>
        <v/>
      </c>
      <c r="H4185" s="47" t="str">
        <f>IFERROR(VLOOKUP(G4185,WholesaleExtract!B:L,11,FALSE),"")</f>
        <v/>
      </c>
      <c r="I4185" s="26" t="str">
        <f>IFERROR(VLOOKUP(G4185,WholesaleExtract!B:O,8,FALSE),"")</f>
        <v/>
      </c>
      <c r="J4185" s="26" t="str">
        <f>IFERROR(VLOOKUP(G4185,WholesaleExtract!B:O,14,FALSE),"")</f>
        <v/>
      </c>
      <c r="K4185" s="26" t="str">
        <f>IFERROR(VLOOKUP(G4185,WholesaleExtract!B:K,10,FALSE),"")</f>
        <v/>
      </c>
      <c r="L4185" s="47" t="str">
        <f>IFERROR(VLOOKUP(G4185,WholesaleExtract!B:L,11,FALSE),"")</f>
        <v/>
      </c>
      <c r="M4185" s="47" t="str">
        <f>IFERROR(VLOOKUP(G4185,WholesaleExtract!B:M,12,FALSE),"")</f>
        <v/>
      </c>
      <c r="R4185" s="19"/>
      <c r="S4185" s="19"/>
    </row>
    <row r="4186" spans="1:19" x14ac:dyDescent="0.35">
      <c r="A4186" s="26" t="s">
        <v>543</v>
      </c>
      <c r="B4186" s="26" t="s">
        <v>543</v>
      </c>
      <c r="C4186" s="26"/>
      <c r="D4186" s="26" t="s">
        <v>543</v>
      </c>
      <c r="E4186" s="26" t="str">
        <f>IFERROR(VLOOKUP(G4186,WholesaleExtract!B:J,9,FALSE),"")</f>
        <v/>
      </c>
      <c r="F4186" s="26" t="str">
        <f>IFERROR(VLOOKUP(G4186,WholesaleExtract!B:J,6,FALSE),"")</f>
        <v/>
      </c>
      <c r="H4186" s="47" t="str">
        <f>IFERROR(VLOOKUP(G4186,WholesaleExtract!B:L,11,FALSE),"")</f>
        <v/>
      </c>
      <c r="I4186" s="26" t="str">
        <f>IFERROR(VLOOKUP(G4186,WholesaleExtract!B:O,8,FALSE),"")</f>
        <v/>
      </c>
      <c r="J4186" s="26" t="str">
        <f>IFERROR(VLOOKUP(G4186,WholesaleExtract!B:O,14,FALSE),"")</f>
        <v/>
      </c>
      <c r="K4186" s="26" t="str">
        <f>IFERROR(VLOOKUP(G4186,WholesaleExtract!B:K,10,FALSE),"")</f>
        <v/>
      </c>
      <c r="L4186" s="47" t="str">
        <f>IFERROR(VLOOKUP(G4186,WholesaleExtract!B:L,11,FALSE),"")</f>
        <v/>
      </c>
      <c r="M4186" s="47" t="str">
        <f>IFERROR(VLOOKUP(G4186,WholesaleExtract!B:M,12,FALSE),"")</f>
        <v/>
      </c>
      <c r="R4186" s="19"/>
      <c r="S4186" s="19"/>
    </row>
    <row r="4187" spans="1:19" x14ac:dyDescent="0.35">
      <c r="A4187" s="26" t="s">
        <v>543</v>
      </c>
      <c r="B4187" s="26" t="s">
        <v>543</v>
      </c>
      <c r="C4187" s="26"/>
      <c r="D4187" s="26" t="s">
        <v>543</v>
      </c>
      <c r="E4187" s="26" t="str">
        <f>IFERROR(VLOOKUP(G4187,WholesaleExtract!B:J,9,FALSE),"")</f>
        <v/>
      </c>
      <c r="F4187" s="26" t="str">
        <f>IFERROR(VLOOKUP(G4187,WholesaleExtract!B:J,6,FALSE),"")</f>
        <v/>
      </c>
      <c r="H4187" s="47" t="str">
        <f>IFERROR(VLOOKUP(G4187,WholesaleExtract!B:L,11,FALSE),"")</f>
        <v/>
      </c>
      <c r="I4187" s="26" t="str">
        <f>IFERROR(VLOOKUP(G4187,WholesaleExtract!B:O,8,FALSE),"")</f>
        <v/>
      </c>
      <c r="J4187" s="26" t="str">
        <f>IFERROR(VLOOKUP(G4187,WholesaleExtract!B:O,14,FALSE),"")</f>
        <v/>
      </c>
      <c r="K4187" s="26" t="str">
        <f>IFERROR(VLOOKUP(G4187,WholesaleExtract!B:K,10,FALSE),"")</f>
        <v/>
      </c>
      <c r="L4187" s="47" t="str">
        <f>IFERROR(VLOOKUP(G4187,WholesaleExtract!B:L,11,FALSE),"")</f>
        <v/>
      </c>
      <c r="M4187" s="47" t="str">
        <f>IFERROR(VLOOKUP(G4187,WholesaleExtract!B:M,12,FALSE),"")</f>
        <v/>
      </c>
      <c r="R4187" s="19"/>
      <c r="S4187" s="19"/>
    </row>
    <row r="4188" spans="1:19" x14ac:dyDescent="0.35">
      <c r="A4188" s="26" t="s">
        <v>543</v>
      </c>
      <c r="B4188" s="26" t="s">
        <v>543</v>
      </c>
      <c r="C4188" s="26"/>
      <c r="D4188" s="26" t="s">
        <v>543</v>
      </c>
      <c r="E4188" s="26" t="str">
        <f>IFERROR(VLOOKUP(G4188,WholesaleExtract!B:J,9,FALSE),"")</f>
        <v/>
      </c>
      <c r="F4188" s="26" t="str">
        <f>IFERROR(VLOOKUP(G4188,WholesaleExtract!B:J,6,FALSE),"")</f>
        <v/>
      </c>
      <c r="H4188" s="47" t="str">
        <f>IFERROR(VLOOKUP(G4188,WholesaleExtract!B:L,11,FALSE),"")</f>
        <v/>
      </c>
      <c r="I4188" s="26" t="str">
        <f>IFERROR(VLOOKUP(G4188,WholesaleExtract!B:O,8,FALSE),"")</f>
        <v/>
      </c>
      <c r="J4188" s="26" t="str">
        <f>IFERROR(VLOOKUP(G4188,WholesaleExtract!B:O,14,FALSE),"")</f>
        <v/>
      </c>
      <c r="K4188" s="26" t="str">
        <f>IFERROR(VLOOKUP(G4188,WholesaleExtract!B:K,10,FALSE),"")</f>
        <v/>
      </c>
      <c r="L4188" s="47" t="str">
        <f>IFERROR(VLOOKUP(G4188,WholesaleExtract!B:L,11,FALSE),"")</f>
        <v/>
      </c>
      <c r="M4188" s="47" t="str">
        <f>IFERROR(VLOOKUP(G4188,WholesaleExtract!B:M,12,FALSE),"")</f>
        <v/>
      </c>
      <c r="R4188" s="19"/>
      <c r="S4188" s="19"/>
    </row>
    <row r="4189" spans="1:19" x14ac:dyDescent="0.35">
      <c r="A4189" s="26" t="s">
        <v>543</v>
      </c>
      <c r="B4189" s="26" t="s">
        <v>543</v>
      </c>
      <c r="C4189" s="26"/>
      <c r="D4189" s="26" t="s">
        <v>543</v>
      </c>
      <c r="E4189" s="26" t="str">
        <f>IFERROR(VLOOKUP(G4189,WholesaleExtract!B:J,9,FALSE),"")</f>
        <v/>
      </c>
      <c r="F4189" s="26" t="str">
        <f>IFERROR(VLOOKUP(G4189,WholesaleExtract!B:J,6,FALSE),"")</f>
        <v/>
      </c>
      <c r="H4189" s="47" t="str">
        <f>IFERROR(VLOOKUP(G4189,WholesaleExtract!B:L,11,FALSE),"")</f>
        <v/>
      </c>
      <c r="I4189" s="26" t="str">
        <f>IFERROR(VLOOKUP(G4189,WholesaleExtract!B:O,8,FALSE),"")</f>
        <v/>
      </c>
      <c r="J4189" s="26" t="str">
        <f>IFERROR(VLOOKUP(G4189,WholesaleExtract!B:O,14,FALSE),"")</f>
        <v/>
      </c>
      <c r="K4189" s="26" t="str">
        <f>IFERROR(VLOOKUP(G4189,WholesaleExtract!B:K,10,FALSE),"")</f>
        <v/>
      </c>
      <c r="L4189" s="47" t="str">
        <f>IFERROR(VLOOKUP(G4189,WholesaleExtract!B:L,11,FALSE),"")</f>
        <v/>
      </c>
      <c r="M4189" s="47" t="str">
        <f>IFERROR(VLOOKUP(G4189,WholesaleExtract!B:M,12,FALSE),"")</f>
        <v/>
      </c>
      <c r="R4189" s="19"/>
      <c r="S4189" s="19"/>
    </row>
    <row r="4190" spans="1:19" x14ac:dyDescent="0.35">
      <c r="A4190" s="26" t="s">
        <v>543</v>
      </c>
      <c r="B4190" s="26" t="s">
        <v>543</v>
      </c>
      <c r="C4190" s="26"/>
      <c r="D4190" s="26" t="s">
        <v>543</v>
      </c>
      <c r="E4190" s="26" t="str">
        <f>IFERROR(VLOOKUP(G4190,WholesaleExtract!B:J,9,FALSE),"")</f>
        <v/>
      </c>
      <c r="F4190" s="26" t="str">
        <f>IFERROR(VLOOKUP(G4190,WholesaleExtract!B:J,6,FALSE),"")</f>
        <v/>
      </c>
      <c r="H4190" s="47" t="str">
        <f>IFERROR(VLOOKUP(G4190,WholesaleExtract!B:L,11,FALSE),"")</f>
        <v/>
      </c>
      <c r="I4190" s="26" t="str">
        <f>IFERROR(VLOOKUP(G4190,WholesaleExtract!B:O,8,FALSE),"")</f>
        <v/>
      </c>
      <c r="J4190" s="26" t="str">
        <f>IFERROR(VLOOKUP(G4190,WholesaleExtract!B:O,14,FALSE),"")</f>
        <v/>
      </c>
      <c r="K4190" s="26" t="str">
        <f>IFERROR(VLOOKUP(G4190,WholesaleExtract!B:K,10,FALSE),"")</f>
        <v/>
      </c>
      <c r="L4190" s="47" t="str">
        <f>IFERROR(VLOOKUP(G4190,WholesaleExtract!B:L,11,FALSE),"")</f>
        <v/>
      </c>
      <c r="M4190" s="47" t="str">
        <f>IFERROR(VLOOKUP(G4190,WholesaleExtract!B:M,12,FALSE),"")</f>
        <v/>
      </c>
      <c r="R4190" s="19"/>
      <c r="S4190" s="19"/>
    </row>
    <row r="4191" spans="1:19" x14ac:dyDescent="0.35">
      <c r="A4191" s="26" t="s">
        <v>543</v>
      </c>
      <c r="B4191" s="26" t="s">
        <v>543</v>
      </c>
      <c r="C4191" s="26"/>
      <c r="D4191" s="26" t="s">
        <v>543</v>
      </c>
      <c r="E4191" s="26" t="str">
        <f>IFERROR(VLOOKUP(G4191,WholesaleExtract!B:J,9,FALSE),"")</f>
        <v/>
      </c>
      <c r="F4191" s="26" t="str">
        <f>IFERROR(VLOOKUP(G4191,WholesaleExtract!B:J,6,FALSE),"")</f>
        <v/>
      </c>
      <c r="H4191" s="47" t="str">
        <f>IFERROR(VLOOKUP(G4191,WholesaleExtract!B:L,11,FALSE),"")</f>
        <v/>
      </c>
      <c r="I4191" s="26" t="str">
        <f>IFERROR(VLOOKUP(G4191,WholesaleExtract!B:O,8,FALSE),"")</f>
        <v/>
      </c>
      <c r="J4191" s="26" t="str">
        <f>IFERROR(VLOOKUP(G4191,WholesaleExtract!B:O,14,FALSE),"")</f>
        <v/>
      </c>
      <c r="K4191" s="26" t="str">
        <f>IFERROR(VLOOKUP(G4191,WholesaleExtract!B:K,10,FALSE),"")</f>
        <v/>
      </c>
      <c r="L4191" s="47" t="str">
        <f>IFERROR(VLOOKUP(G4191,WholesaleExtract!B:L,11,FALSE),"")</f>
        <v/>
      </c>
      <c r="M4191" s="47" t="str">
        <f>IFERROR(VLOOKUP(G4191,WholesaleExtract!B:M,12,FALSE),"")</f>
        <v/>
      </c>
      <c r="R4191" s="19"/>
      <c r="S4191" s="19"/>
    </row>
    <row r="4192" spans="1:19" x14ac:dyDescent="0.35">
      <c r="A4192" s="26" t="s">
        <v>543</v>
      </c>
      <c r="B4192" s="26" t="s">
        <v>543</v>
      </c>
      <c r="C4192" s="26"/>
      <c r="D4192" s="26" t="s">
        <v>543</v>
      </c>
      <c r="E4192" s="26" t="str">
        <f>IFERROR(VLOOKUP(G4192,WholesaleExtract!B:J,9,FALSE),"")</f>
        <v/>
      </c>
      <c r="F4192" s="26" t="str">
        <f>IFERROR(VLOOKUP(G4192,WholesaleExtract!B:J,6,FALSE),"")</f>
        <v/>
      </c>
      <c r="H4192" s="47" t="str">
        <f>IFERROR(VLOOKUP(G4192,WholesaleExtract!B:L,11,FALSE),"")</f>
        <v/>
      </c>
      <c r="I4192" s="26" t="str">
        <f>IFERROR(VLOOKUP(G4192,WholesaleExtract!B:O,8,FALSE),"")</f>
        <v/>
      </c>
      <c r="J4192" s="26" t="str">
        <f>IFERROR(VLOOKUP(G4192,WholesaleExtract!B:O,14,FALSE),"")</f>
        <v/>
      </c>
      <c r="K4192" s="26" t="str">
        <f>IFERROR(VLOOKUP(G4192,WholesaleExtract!B:K,10,FALSE),"")</f>
        <v/>
      </c>
      <c r="L4192" s="47" t="str">
        <f>IFERROR(VLOOKUP(G4192,WholesaleExtract!B:L,11,FALSE),"")</f>
        <v/>
      </c>
      <c r="M4192" s="47" t="str">
        <f>IFERROR(VLOOKUP(G4192,WholesaleExtract!B:M,12,FALSE),"")</f>
        <v/>
      </c>
      <c r="R4192" s="19"/>
      <c r="S4192" s="19"/>
    </row>
    <row r="4193" spans="1:19" x14ac:dyDescent="0.35">
      <c r="A4193" s="26" t="s">
        <v>543</v>
      </c>
      <c r="B4193" s="26" t="s">
        <v>543</v>
      </c>
      <c r="C4193" s="26"/>
      <c r="D4193" s="26" t="s">
        <v>543</v>
      </c>
      <c r="E4193" s="26" t="str">
        <f>IFERROR(VLOOKUP(G4193,WholesaleExtract!B:J,9,FALSE),"")</f>
        <v/>
      </c>
      <c r="F4193" s="26" t="str">
        <f>IFERROR(VLOOKUP(G4193,WholesaleExtract!B:J,6,FALSE),"")</f>
        <v/>
      </c>
      <c r="H4193" s="47" t="str">
        <f>IFERROR(VLOOKUP(G4193,WholesaleExtract!B:L,11,FALSE),"")</f>
        <v/>
      </c>
      <c r="I4193" s="26" t="str">
        <f>IFERROR(VLOOKUP(G4193,WholesaleExtract!B:O,8,FALSE),"")</f>
        <v/>
      </c>
      <c r="J4193" s="26" t="str">
        <f>IFERROR(VLOOKUP(G4193,WholesaleExtract!B:O,14,FALSE),"")</f>
        <v/>
      </c>
      <c r="K4193" s="26" t="str">
        <f>IFERROR(VLOOKUP(G4193,WholesaleExtract!B:K,10,FALSE),"")</f>
        <v/>
      </c>
      <c r="L4193" s="47" t="str">
        <f>IFERROR(VLOOKUP(G4193,WholesaleExtract!B:L,11,FALSE),"")</f>
        <v/>
      </c>
      <c r="M4193" s="47" t="str">
        <f>IFERROR(VLOOKUP(G4193,WholesaleExtract!B:M,12,FALSE),"")</f>
        <v/>
      </c>
      <c r="R4193" s="19"/>
      <c r="S4193" s="19"/>
    </row>
    <row r="4194" spans="1:19" x14ac:dyDescent="0.35">
      <c r="A4194" s="26" t="s">
        <v>543</v>
      </c>
      <c r="B4194" s="26" t="s">
        <v>543</v>
      </c>
      <c r="C4194" s="26"/>
      <c r="D4194" s="26" t="s">
        <v>543</v>
      </c>
      <c r="E4194" s="26" t="str">
        <f>IFERROR(VLOOKUP(G4194,WholesaleExtract!B:J,9,FALSE),"")</f>
        <v/>
      </c>
      <c r="F4194" s="26" t="str">
        <f>IFERROR(VLOOKUP(G4194,WholesaleExtract!B:J,6,FALSE),"")</f>
        <v/>
      </c>
      <c r="H4194" s="47" t="str">
        <f>IFERROR(VLOOKUP(G4194,WholesaleExtract!B:L,11,FALSE),"")</f>
        <v/>
      </c>
      <c r="I4194" s="26" t="str">
        <f>IFERROR(VLOOKUP(G4194,WholesaleExtract!B:O,8,FALSE),"")</f>
        <v/>
      </c>
      <c r="J4194" s="26" t="str">
        <f>IFERROR(VLOOKUP(G4194,WholesaleExtract!B:O,14,FALSE),"")</f>
        <v/>
      </c>
      <c r="K4194" s="26" t="str">
        <f>IFERROR(VLOOKUP(G4194,WholesaleExtract!B:K,10,FALSE),"")</f>
        <v/>
      </c>
      <c r="L4194" s="47" t="str">
        <f>IFERROR(VLOOKUP(G4194,WholesaleExtract!B:L,11,FALSE),"")</f>
        <v/>
      </c>
      <c r="M4194" s="47" t="str">
        <f>IFERROR(VLOOKUP(G4194,WholesaleExtract!B:M,12,FALSE),"")</f>
        <v/>
      </c>
      <c r="R4194" s="19"/>
      <c r="S4194" s="19"/>
    </row>
    <row r="4195" spans="1:19" x14ac:dyDescent="0.35">
      <c r="A4195" s="26" t="s">
        <v>543</v>
      </c>
      <c r="B4195" s="26" t="s">
        <v>543</v>
      </c>
      <c r="C4195" s="26"/>
      <c r="D4195" s="26" t="s">
        <v>543</v>
      </c>
      <c r="E4195" s="26" t="str">
        <f>IFERROR(VLOOKUP(G4195,WholesaleExtract!B:J,9,FALSE),"")</f>
        <v/>
      </c>
      <c r="F4195" s="26" t="str">
        <f>IFERROR(VLOOKUP(G4195,WholesaleExtract!B:J,6,FALSE),"")</f>
        <v/>
      </c>
      <c r="H4195" s="47" t="str">
        <f>IFERROR(VLOOKUP(G4195,WholesaleExtract!B:L,11,FALSE),"")</f>
        <v/>
      </c>
      <c r="I4195" s="26" t="str">
        <f>IFERROR(VLOOKUP(G4195,WholesaleExtract!B:O,8,FALSE),"")</f>
        <v/>
      </c>
      <c r="J4195" s="26" t="str">
        <f>IFERROR(VLOOKUP(G4195,WholesaleExtract!B:O,14,FALSE),"")</f>
        <v/>
      </c>
      <c r="K4195" s="26" t="str">
        <f>IFERROR(VLOOKUP(G4195,WholesaleExtract!B:K,10,FALSE),"")</f>
        <v/>
      </c>
      <c r="L4195" s="47" t="str">
        <f>IFERROR(VLOOKUP(G4195,WholesaleExtract!B:L,11,FALSE),"")</f>
        <v/>
      </c>
      <c r="M4195" s="47" t="str">
        <f>IFERROR(VLOOKUP(G4195,WholesaleExtract!B:M,12,FALSE),"")</f>
        <v/>
      </c>
      <c r="R4195" s="19"/>
      <c r="S4195" s="19"/>
    </row>
    <row r="4196" spans="1:19" x14ac:dyDescent="0.35">
      <c r="A4196" s="26" t="s">
        <v>543</v>
      </c>
      <c r="B4196" s="26" t="s">
        <v>543</v>
      </c>
      <c r="C4196" s="26"/>
      <c r="D4196" s="26" t="s">
        <v>543</v>
      </c>
      <c r="E4196" s="26" t="str">
        <f>IFERROR(VLOOKUP(G4196,WholesaleExtract!B:J,9,FALSE),"")</f>
        <v/>
      </c>
      <c r="F4196" s="26" t="str">
        <f>IFERROR(VLOOKUP(G4196,WholesaleExtract!B:J,6,FALSE),"")</f>
        <v/>
      </c>
      <c r="H4196" s="47" t="str">
        <f>IFERROR(VLOOKUP(G4196,WholesaleExtract!B:L,11,FALSE),"")</f>
        <v/>
      </c>
      <c r="I4196" s="26" t="str">
        <f>IFERROR(VLOOKUP(G4196,WholesaleExtract!B:O,8,FALSE),"")</f>
        <v/>
      </c>
      <c r="J4196" s="26" t="str">
        <f>IFERROR(VLOOKUP(G4196,WholesaleExtract!B:O,14,FALSE),"")</f>
        <v/>
      </c>
      <c r="K4196" s="26" t="str">
        <f>IFERROR(VLOOKUP(G4196,WholesaleExtract!B:K,10,FALSE),"")</f>
        <v/>
      </c>
      <c r="L4196" s="47" t="str">
        <f>IFERROR(VLOOKUP(G4196,WholesaleExtract!B:L,11,FALSE),"")</f>
        <v/>
      </c>
      <c r="M4196" s="47" t="str">
        <f>IFERROR(VLOOKUP(G4196,WholesaleExtract!B:M,12,FALSE),"")</f>
        <v/>
      </c>
      <c r="R4196" s="19"/>
      <c r="S4196" s="19"/>
    </row>
    <row r="4197" spans="1:19" x14ac:dyDescent="0.35">
      <c r="A4197" s="26" t="s">
        <v>543</v>
      </c>
      <c r="B4197" s="26" t="s">
        <v>543</v>
      </c>
      <c r="C4197" s="26"/>
      <c r="D4197" s="26" t="s">
        <v>543</v>
      </c>
      <c r="E4197" s="26" t="str">
        <f>IFERROR(VLOOKUP(G4197,WholesaleExtract!B:J,9,FALSE),"")</f>
        <v/>
      </c>
      <c r="F4197" s="26" t="str">
        <f>IFERROR(VLOOKUP(G4197,WholesaleExtract!B:J,6,FALSE),"")</f>
        <v/>
      </c>
      <c r="H4197" s="47" t="str">
        <f>IFERROR(VLOOKUP(G4197,WholesaleExtract!B:L,11,FALSE),"")</f>
        <v/>
      </c>
      <c r="I4197" s="26" t="str">
        <f>IFERROR(VLOOKUP(G4197,WholesaleExtract!B:O,8,FALSE),"")</f>
        <v/>
      </c>
      <c r="J4197" s="26" t="str">
        <f>IFERROR(VLOOKUP(G4197,WholesaleExtract!B:O,14,FALSE),"")</f>
        <v/>
      </c>
      <c r="K4197" s="26" t="str">
        <f>IFERROR(VLOOKUP(G4197,WholesaleExtract!B:K,10,FALSE),"")</f>
        <v/>
      </c>
      <c r="L4197" s="47" t="str">
        <f>IFERROR(VLOOKUP(G4197,WholesaleExtract!B:L,11,FALSE),"")</f>
        <v/>
      </c>
      <c r="M4197" s="47" t="str">
        <f>IFERROR(VLOOKUP(G4197,WholesaleExtract!B:M,12,FALSE),"")</f>
        <v/>
      </c>
      <c r="R4197" s="19"/>
      <c r="S4197" s="19"/>
    </row>
    <row r="4198" spans="1:19" x14ac:dyDescent="0.35">
      <c r="A4198" s="26" t="s">
        <v>543</v>
      </c>
      <c r="B4198" s="26" t="s">
        <v>543</v>
      </c>
      <c r="C4198" s="26"/>
      <c r="D4198" s="26" t="s">
        <v>543</v>
      </c>
      <c r="E4198" s="26" t="str">
        <f>IFERROR(VLOOKUP(G4198,WholesaleExtract!B:J,9,FALSE),"")</f>
        <v/>
      </c>
      <c r="F4198" s="26" t="str">
        <f>IFERROR(VLOOKUP(G4198,WholesaleExtract!B:J,6,FALSE),"")</f>
        <v/>
      </c>
      <c r="H4198" s="47" t="str">
        <f>IFERROR(VLOOKUP(G4198,WholesaleExtract!B:L,11,FALSE),"")</f>
        <v/>
      </c>
      <c r="I4198" s="26" t="str">
        <f>IFERROR(VLOOKUP(G4198,WholesaleExtract!B:O,8,FALSE),"")</f>
        <v/>
      </c>
      <c r="J4198" s="26" t="str">
        <f>IFERROR(VLOOKUP(G4198,WholesaleExtract!B:O,14,FALSE),"")</f>
        <v/>
      </c>
      <c r="K4198" s="26" t="str">
        <f>IFERROR(VLOOKUP(G4198,WholesaleExtract!B:K,10,FALSE),"")</f>
        <v/>
      </c>
      <c r="L4198" s="47" t="str">
        <f>IFERROR(VLOOKUP(G4198,WholesaleExtract!B:L,11,FALSE),"")</f>
        <v/>
      </c>
      <c r="M4198" s="47" t="str">
        <f>IFERROR(VLOOKUP(G4198,WholesaleExtract!B:M,12,FALSE),"")</f>
        <v/>
      </c>
      <c r="R4198" s="19"/>
      <c r="S4198" s="19"/>
    </row>
    <row r="4199" spans="1:19" x14ac:dyDescent="0.35">
      <c r="A4199" s="26" t="s">
        <v>543</v>
      </c>
      <c r="B4199" s="26" t="s">
        <v>543</v>
      </c>
      <c r="C4199" s="26"/>
      <c r="D4199" s="26" t="s">
        <v>543</v>
      </c>
      <c r="E4199" s="26" t="str">
        <f>IFERROR(VLOOKUP(G4199,WholesaleExtract!B:J,9,FALSE),"")</f>
        <v/>
      </c>
      <c r="F4199" s="26" t="str">
        <f>IFERROR(VLOOKUP(G4199,WholesaleExtract!B:J,6,FALSE),"")</f>
        <v/>
      </c>
      <c r="H4199" s="47" t="str">
        <f>IFERROR(VLOOKUP(G4199,WholesaleExtract!B:L,11,FALSE),"")</f>
        <v/>
      </c>
      <c r="I4199" s="26" t="str">
        <f>IFERROR(VLOOKUP(G4199,WholesaleExtract!B:O,8,FALSE),"")</f>
        <v/>
      </c>
      <c r="J4199" s="26" t="str">
        <f>IFERROR(VLOOKUP(G4199,WholesaleExtract!B:O,14,FALSE),"")</f>
        <v/>
      </c>
      <c r="K4199" s="26" t="str">
        <f>IFERROR(VLOOKUP(G4199,WholesaleExtract!B:K,10,FALSE),"")</f>
        <v/>
      </c>
      <c r="L4199" s="47" t="str">
        <f>IFERROR(VLOOKUP(G4199,WholesaleExtract!B:L,11,FALSE),"")</f>
        <v/>
      </c>
      <c r="M4199" s="47" t="str">
        <f>IFERROR(VLOOKUP(G4199,WholesaleExtract!B:M,12,FALSE),"")</f>
        <v/>
      </c>
      <c r="R4199" s="19"/>
      <c r="S4199" s="19"/>
    </row>
    <row r="4200" spans="1:19" x14ac:dyDescent="0.35">
      <c r="A4200" s="26" t="s">
        <v>543</v>
      </c>
      <c r="B4200" s="26" t="s">
        <v>543</v>
      </c>
      <c r="C4200" s="26"/>
      <c r="D4200" s="26" t="s">
        <v>543</v>
      </c>
      <c r="E4200" s="26" t="str">
        <f>IFERROR(VLOOKUP(G4200,WholesaleExtract!B:J,9,FALSE),"")</f>
        <v/>
      </c>
      <c r="F4200" s="26" t="str">
        <f>IFERROR(VLOOKUP(G4200,WholesaleExtract!B:J,6,FALSE),"")</f>
        <v/>
      </c>
      <c r="H4200" s="47" t="str">
        <f>IFERROR(VLOOKUP(G4200,WholesaleExtract!B:L,11,FALSE),"")</f>
        <v/>
      </c>
      <c r="I4200" s="26" t="str">
        <f>IFERROR(VLOOKUP(G4200,WholesaleExtract!B:O,8,FALSE),"")</f>
        <v/>
      </c>
      <c r="J4200" s="26" t="str">
        <f>IFERROR(VLOOKUP(G4200,WholesaleExtract!B:O,14,FALSE),"")</f>
        <v/>
      </c>
      <c r="K4200" s="26" t="str">
        <f>IFERROR(VLOOKUP(G4200,WholesaleExtract!B:K,10,FALSE),"")</f>
        <v/>
      </c>
      <c r="L4200" s="47" t="str">
        <f>IFERROR(VLOOKUP(G4200,WholesaleExtract!B:L,11,FALSE),"")</f>
        <v/>
      </c>
      <c r="M4200" s="47" t="str">
        <f>IFERROR(VLOOKUP(G4200,WholesaleExtract!B:M,12,FALSE),"")</f>
        <v/>
      </c>
      <c r="R4200" s="19"/>
      <c r="S4200" s="19"/>
    </row>
    <row r="4201" spans="1:19" x14ac:dyDescent="0.35">
      <c r="A4201" s="26" t="s">
        <v>543</v>
      </c>
      <c r="B4201" s="26" t="s">
        <v>543</v>
      </c>
      <c r="C4201" s="26"/>
      <c r="D4201" s="26" t="s">
        <v>543</v>
      </c>
      <c r="E4201" s="26" t="str">
        <f>IFERROR(VLOOKUP(G4201,WholesaleExtract!B:J,9,FALSE),"")</f>
        <v/>
      </c>
      <c r="F4201" s="26" t="str">
        <f>IFERROR(VLOOKUP(G4201,WholesaleExtract!B:J,6,FALSE),"")</f>
        <v/>
      </c>
      <c r="H4201" s="47" t="str">
        <f>IFERROR(VLOOKUP(G4201,WholesaleExtract!B:L,11,FALSE),"")</f>
        <v/>
      </c>
      <c r="I4201" s="26" t="str">
        <f>IFERROR(VLOOKUP(G4201,WholesaleExtract!B:O,8,FALSE),"")</f>
        <v/>
      </c>
      <c r="J4201" s="26" t="str">
        <f>IFERROR(VLOOKUP(G4201,WholesaleExtract!B:O,14,FALSE),"")</f>
        <v/>
      </c>
      <c r="K4201" s="26" t="str">
        <f>IFERROR(VLOOKUP(G4201,WholesaleExtract!B:K,10,FALSE),"")</f>
        <v/>
      </c>
      <c r="L4201" s="47" t="str">
        <f>IFERROR(VLOOKUP(G4201,WholesaleExtract!B:L,11,FALSE),"")</f>
        <v/>
      </c>
      <c r="M4201" s="47" t="str">
        <f>IFERROR(VLOOKUP(G4201,WholesaleExtract!B:M,12,FALSE),"")</f>
        <v/>
      </c>
      <c r="R4201" s="19"/>
      <c r="S4201" s="19"/>
    </row>
    <row r="4202" spans="1:19" x14ac:dyDescent="0.35">
      <c r="A4202" s="26" t="s">
        <v>543</v>
      </c>
      <c r="B4202" s="26" t="s">
        <v>543</v>
      </c>
      <c r="C4202" s="26"/>
      <c r="D4202" s="26" t="s">
        <v>543</v>
      </c>
      <c r="E4202" s="26" t="str">
        <f>IFERROR(VLOOKUP(G4202,WholesaleExtract!B:J,9,FALSE),"")</f>
        <v/>
      </c>
      <c r="F4202" s="26" t="str">
        <f>IFERROR(VLOOKUP(G4202,WholesaleExtract!B:J,6,FALSE),"")</f>
        <v/>
      </c>
      <c r="H4202" s="47" t="str">
        <f>IFERROR(VLOOKUP(G4202,WholesaleExtract!B:L,11,FALSE),"")</f>
        <v/>
      </c>
      <c r="I4202" s="26" t="str">
        <f>IFERROR(VLOOKUP(G4202,WholesaleExtract!B:O,8,FALSE),"")</f>
        <v/>
      </c>
      <c r="J4202" s="26" t="str">
        <f>IFERROR(VLOOKUP(G4202,WholesaleExtract!B:O,14,FALSE),"")</f>
        <v/>
      </c>
      <c r="K4202" s="26" t="str">
        <f>IFERROR(VLOOKUP(G4202,WholesaleExtract!B:K,10,FALSE),"")</f>
        <v/>
      </c>
      <c r="L4202" s="47" t="str">
        <f>IFERROR(VLOOKUP(G4202,WholesaleExtract!B:L,11,FALSE),"")</f>
        <v/>
      </c>
      <c r="M4202" s="47" t="str">
        <f>IFERROR(VLOOKUP(G4202,WholesaleExtract!B:M,12,FALSE),"")</f>
        <v/>
      </c>
      <c r="R4202" s="19"/>
      <c r="S4202" s="19"/>
    </row>
    <row r="4203" spans="1:19" x14ac:dyDescent="0.35">
      <c r="A4203" s="26" t="s">
        <v>543</v>
      </c>
      <c r="B4203" s="26" t="s">
        <v>543</v>
      </c>
      <c r="C4203" s="26"/>
      <c r="D4203" s="26" t="s">
        <v>543</v>
      </c>
      <c r="E4203" s="26" t="str">
        <f>IFERROR(VLOOKUP(G4203,WholesaleExtract!B:J,9,FALSE),"")</f>
        <v/>
      </c>
      <c r="F4203" s="26" t="str">
        <f>IFERROR(VLOOKUP(G4203,WholesaleExtract!B:J,6,FALSE),"")</f>
        <v/>
      </c>
      <c r="H4203" s="47" t="str">
        <f>IFERROR(VLOOKUP(G4203,WholesaleExtract!B:L,11,FALSE),"")</f>
        <v/>
      </c>
      <c r="I4203" s="26" t="str">
        <f>IFERROR(VLOOKUP(G4203,WholesaleExtract!B:O,8,FALSE),"")</f>
        <v/>
      </c>
      <c r="J4203" s="26" t="str">
        <f>IFERROR(VLOOKUP(G4203,WholesaleExtract!B:O,14,FALSE),"")</f>
        <v/>
      </c>
      <c r="K4203" s="26" t="str">
        <f>IFERROR(VLOOKUP(G4203,WholesaleExtract!B:K,10,FALSE),"")</f>
        <v/>
      </c>
      <c r="L4203" s="47" t="str">
        <f>IFERROR(VLOOKUP(G4203,WholesaleExtract!B:L,11,FALSE),"")</f>
        <v/>
      </c>
      <c r="M4203" s="47" t="str">
        <f>IFERROR(VLOOKUP(G4203,WholesaleExtract!B:M,12,FALSE),"")</f>
        <v/>
      </c>
      <c r="R4203" s="19"/>
      <c r="S4203" s="19"/>
    </row>
    <row r="4204" spans="1:19" x14ac:dyDescent="0.35">
      <c r="A4204" s="26" t="s">
        <v>543</v>
      </c>
      <c r="B4204" s="26" t="s">
        <v>543</v>
      </c>
      <c r="C4204" s="26"/>
      <c r="D4204" s="26" t="s">
        <v>543</v>
      </c>
      <c r="E4204" s="26" t="str">
        <f>IFERROR(VLOOKUP(G4204,WholesaleExtract!B:J,9,FALSE),"")</f>
        <v/>
      </c>
      <c r="F4204" s="26" t="str">
        <f>IFERROR(VLOOKUP(G4204,WholesaleExtract!B:J,6,FALSE),"")</f>
        <v/>
      </c>
      <c r="H4204" s="47" t="str">
        <f>IFERROR(VLOOKUP(G4204,WholesaleExtract!B:L,11,FALSE),"")</f>
        <v/>
      </c>
      <c r="I4204" s="26" t="str">
        <f>IFERROR(VLOOKUP(G4204,WholesaleExtract!B:O,8,FALSE),"")</f>
        <v/>
      </c>
      <c r="J4204" s="26" t="str">
        <f>IFERROR(VLOOKUP(G4204,WholesaleExtract!B:O,14,FALSE),"")</f>
        <v/>
      </c>
      <c r="K4204" s="26" t="str">
        <f>IFERROR(VLOOKUP(G4204,WholesaleExtract!B:K,10,FALSE),"")</f>
        <v/>
      </c>
      <c r="L4204" s="47" t="str">
        <f>IFERROR(VLOOKUP(G4204,WholesaleExtract!B:L,11,FALSE),"")</f>
        <v/>
      </c>
      <c r="M4204" s="47" t="str">
        <f>IFERROR(VLOOKUP(G4204,WholesaleExtract!B:M,12,FALSE),"")</f>
        <v/>
      </c>
      <c r="R4204" s="19"/>
      <c r="S4204" s="19"/>
    </row>
    <row r="4205" spans="1:19" x14ac:dyDescent="0.35">
      <c r="A4205" s="26" t="s">
        <v>543</v>
      </c>
      <c r="B4205" s="26" t="s">
        <v>543</v>
      </c>
      <c r="C4205" s="26"/>
      <c r="D4205" s="26" t="s">
        <v>543</v>
      </c>
      <c r="E4205" s="26" t="str">
        <f>IFERROR(VLOOKUP(G4205,WholesaleExtract!B:J,9,FALSE),"")</f>
        <v/>
      </c>
      <c r="F4205" s="26" t="str">
        <f>IFERROR(VLOOKUP(G4205,WholesaleExtract!B:J,6,FALSE),"")</f>
        <v/>
      </c>
      <c r="H4205" s="47" t="str">
        <f>IFERROR(VLOOKUP(G4205,WholesaleExtract!B:L,11,FALSE),"")</f>
        <v/>
      </c>
      <c r="I4205" s="26" t="str">
        <f>IFERROR(VLOOKUP(G4205,WholesaleExtract!B:O,8,FALSE),"")</f>
        <v/>
      </c>
      <c r="J4205" s="26" t="str">
        <f>IFERROR(VLOOKUP(G4205,WholesaleExtract!B:O,14,FALSE),"")</f>
        <v/>
      </c>
      <c r="K4205" s="26" t="str">
        <f>IFERROR(VLOOKUP(G4205,WholesaleExtract!B:K,10,FALSE),"")</f>
        <v/>
      </c>
      <c r="L4205" s="47" t="str">
        <f>IFERROR(VLOOKUP(G4205,WholesaleExtract!B:L,11,FALSE),"")</f>
        <v/>
      </c>
      <c r="M4205" s="47" t="str">
        <f>IFERROR(VLOOKUP(G4205,WholesaleExtract!B:M,12,FALSE),"")</f>
        <v/>
      </c>
      <c r="R4205" s="19"/>
      <c r="S4205" s="19"/>
    </row>
    <row r="4206" spans="1:19" x14ac:dyDescent="0.35">
      <c r="A4206" s="26" t="s">
        <v>543</v>
      </c>
      <c r="B4206" s="26" t="s">
        <v>543</v>
      </c>
      <c r="C4206" s="26"/>
      <c r="D4206" s="26" t="s">
        <v>543</v>
      </c>
      <c r="E4206" s="26" t="str">
        <f>IFERROR(VLOOKUP(G4206,WholesaleExtract!B:J,9,FALSE),"")</f>
        <v/>
      </c>
      <c r="F4206" s="26" t="str">
        <f>IFERROR(VLOOKUP(G4206,WholesaleExtract!B:J,6,FALSE),"")</f>
        <v/>
      </c>
      <c r="H4206" s="47" t="str">
        <f>IFERROR(VLOOKUP(G4206,WholesaleExtract!B:L,11,FALSE),"")</f>
        <v/>
      </c>
      <c r="I4206" s="26" t="str">
        <f>IFERROR(VLOOKUP(G4206,WholesaleExtract!B:O,8,FALSE),"")</f>
        <v/>
      </c>
      <c r="J4206" s="26" t="str">
        <f>IFERROR(VLOOKUP(G4206,WholesaleExtract!B:O,14,FALSE),"")</f>
        <v/>
      </c>
      <c r="K4206" s="26" t="str">
        <f>IFERROR(VLOOKUP(G4206,WholesaleExtract!B:K,10,FALSE),"")</f>
        <v/>
      </c>
      <c r="L4206" s="47" t="str">
        <f>IFERROR(VLOOKUP(G4206,WholesaleExtract!B:L,11,FALSE),"")</f>
        <v/>
      </c>
      <c r="M4206" s="47" t="str">
        <f>IFERROR(VLOOKUP(G4206,WholesaleExtract!B:M,12,FALSE),"")</f>
        <v/>
      </c>
      <c r="R4206" s="19"/>
      <c r="S4206" s="19"/>
    </row>
    <row r="4207" spans="1:19" x14ac:dyDescent="0.35">
      <c r="A4207" s="26" t="s">
        <v>543</v>
      </c>
      <c r="B4207" s="26" t="s">
        <v>543</v>
      </c>
      <c r="C4207" s="26"/>
      <c r="D4207" s="26" t="s">
        <v>543</v>
      </c>
      <c r="E4207" s="26" t="str">
        <f>IFERROR(VLOOKUP(G4207,WholesaleExtract!B:J,9,FALSE),"")</f>
        <v/>
      </c>
      <c r="F4207" s="26" t="str">
        <f>IFERROR(VLOOKUP(G4207,WholesaleExtract!B:J,6,FALSE),"")</f>
        <v/>
      </c>
      <c r="H4207" s="47" t="str">
        <f>IFERROR(VLOOKUP(G4207,WholesaleExtract!B:L,11,FALSE),"")</f>
        <v/>
      </c>
      <c r="I4207" s="26" t="str">
        <f>IFERROR(VLOOKUP(G4207,WholesaleExtract!B:O,8,FALSE),"")</f>
        <v/>
      </c>
      <c r="J4207" s="26" t="str">
        <f>IFERROR(VLOOKUP(G4207,WholesaleExtract!B:O,14,FALSE),"")</f>
        <v/>
      </c>
      <c r="K4207" s="26" t="str">
        <f>IFERROR(VLOOKUP(G4207,WholesaleExtract!B:K,10,FALSE),"")</f>
        <v/>
      </c>
      <c r="L4207" s="47" t="str">
        <f>IFERROR(VLOOKUP(G4207,WholesaleExtract!B:L,11,FALSE),"")</f>
        <v/>
      </c>
      <c r="M4207" s="47" t="str">
        <f>IFERROR(VLOOKUP(G4207,WholesaleExtract!B:M,12,FALSE),"")</f>
        <v/>
      </c>
      <c r="R4207" s="19"/>
      <c r="S4207" s="19"/>
    </row>
    <row r="4208" spans="1:19" x14ac:dyDescent="0.35">
      <c r="A4208" s="26" t="s">
        <v>543</v>
      </c>
      <c r="B4208" s="26" t="s">
        <v>543</v>
      </c>
      <c r="C4208" s="26"/>
      <c r="D4208" s="26" t="s">
        <v>543</v>
      </c>
      <c r="E4208" s="26" t="str">
        <f>IFERROR(VLOOKUP(G4208,WholesaleExtract!B:J,9,FALSE),"")</f>
        <v/>
      </c>
      <c r="F4208" s="26" t="str">
        <f>IFERROR(VLOOKUP(G4208,WholesaleExtract!B:J,6,FALSE),"")</f>
        <v/>
      </c>
      <c r="H4208" s="47" t="str">
        <f>IFERROR(VLOOKUP(G4208,WholesaleExtract!B:L,11,FALSE),"")</f>
        <v/>
      </c>
      <c r="I4208" s="26" t="str">
        <f>IFERROR(VLOOKUP(G4208,WholesaleExtract!B:O,8,FALSE),"")</f>
        <v/>
      </c>
      <c r="J4208" s="26" t="str">
        <f>IFERROR(VLOOKUP(G4208,WholesaleExtract!B:O,14,FALSE),"")</f>
        <v/>
      </c>
      <c r="K4208" s="26" t="str">
        <f>IFERROR(VLOOKUP(G4208,WholesaleExtract!B:K,10,FALSE),"")</f>
        <v/>
      </c>
      <c r="L4208" s="47" t="str">
        <f>IFERROR(VLOOKUP(G4208,WholesaleExtract!B:L,11,FALSE),"")</f>
        <v/>
      </c>
      <c r="M4208" s="47" t="str">
        <f>IFERROR(VLOOKUP(G4208,WholesaleExtract!B:M,12,FALSE),"")</f>
        <v/>
      </c>
      <c r="R4208" s="19"/>
      <c r="S4208" s="19"/>
    </row>
    <row r="4209" spans="1:19" x14ac:dyDescent="0.35">
      <c r="A4209" s="26" t="s">
        <v>543</v>
      </c>
      <c r="B4209" s="26" t="s">
        <v>543</v>
      </c>
      <c r="C4209" s="26"/>
      <c r="D4209" s="26" t="s">
        <v>543</v>
      </c>
      <c r="E4209" s="26" t="str">
        <f>IFERROR(VLOOKUP(G4209,WholesaleExtract!B:J,9,FALSE),"")</f>
        <v/>
      </c>
      <c r="F4209" s="26" t="str">
        <f>IFERROR(VLOOKUP(G4209,WholesaleExtract!B:J,6,FALSE),"")</f>
        <v/>
      </c>
      <c r="H4209" s="47" t="str">
        <f>IFERROR(VLOOKUP(G4209,WholesaleExtract!B:L,11,FALSE),"")</f>
        <v/>
      </c>
      <c r="I4209" s="26" t="str">
        <f>IFERROR(VLOOKUP(G4209,WholesaleExtract!B:O,8,FALSE),"")</f>
        <v/>
      </c>
      <c r="J4209" s="26" t="str">
        <f>IFERROR(VLOOKUP(G4209,WholesaleExtract!B:O,14,FALSE),"")</f>
        <v/>
      </c>
      <c r="K4209" s="26" t="str">
        <f>IFERROR(VLOOKUP(G4209,WholesaleExtract!B:K,10,FALSE),"")</f>
        <v/>
      </c>
      <c r="L4209" s="47" t="str">
        <f>IFERROR(VLOOKUP(G4209,WholesaleExtract!B:L,11,FALSE),"")</f>
        <v/>
      </c>
      <c r="M4209" s="47" t="str">
        <f>IFERROR(VLOOKUP(G4209,WholesaleExtract!B:M,12,FALSE),"")</f>
        <v/>
      </c>
      <c r="R4209" s="19"/>
      <c r="S4209" s="19"/>
    </row>
    <row r="4210" spans="1:19" x14ac:dyDescent="0.35">
      <c r="A4210" s="26" t="s">
        <v>543</v>
      </c>
      <c r="B4210" s="26" t="s">
        <v>543</v>
      </c>
      <c r="C4210" s="26"/>
      <c r="D4210" s="26" t="s">
        <v>543</v>
      </c>
      <c r="E4210" s="26" t="str">
        <f>IFERROR(VLOOKUP(G4210,WholesaleExtract!B:J,9,FALSE),"")</f>
        <v/>
      </c>
      <c r="F4210" s="26" t="str">
        <f>IFERROR(VLOOKUP(G4210,WholesaleExtract!B:J,6,FALSE),"")</f>
        <v/>
      </c>
      <c r="H4210" s="47" t="str">
        <f>IFERROR(VLOOKUP(G4210,WholesaleExtract!B:L,11,FALSE),"")</f>
        <v/>
      </c>
      <c r="I4210" s="26" t="str">
        <f>IFERROR(VLOOKUP(G4210,WholesaleExtract!B:O,8,FALSE),"")</f>
        <v/>
      </c>
      <c r="J4210" s="26" t="str">
        <f>IFERROR(VLOOKUP(G4210,WholesaleExtract!B:O,14,FALSE),"")</f>
        <v/>
      </c>
      <c r="K4210" s="26" t="str">
        <f>IFERROR(VLOOKUP(G4210,WholesaleExtract!B:K,10,FALSE),"")</f>
        <v/>
      </c>
      <c r="L4210" s="47" t="str">
        <f>IFERROR(VLOOKUP(G4210,WholesaleExtract!B:L,11,FALSE),"")</f>
        <v/>
      </c>
      <c r="M4210" s="47" t="str">
        <f>IFERROR(VLOOKUP(G4210,WholesaleExtract!B:M,12,FALSE),"")</f>
        <v/>
      </c>
      <c r="R4210" s="19"/>
      <c r="S4210" s="19"/>
    </row>
    <row r="4211" spans="1:19" x14ac:dyDescent="0.35">
      <c r="A4211" s="26" t="s">
        <v>543</v>
      </c>
      <c r="B4211" s="26" t="s">
        <v>543</v>
      </c>
      <c r="C4211" s="26"/>
      <c r="D4211" s="26" t="s">
        <v>543</v>
      </c>
      <c r="E4211" s="26" t="str">
        <f>IFERROR(VLOOKUP(G4211,WholesaleExtract!B:J,9,FALSE),"")</f>
        <v/>
      </c>
      <c r="F4211" s="26" t="str">
        <f>IFERROR(VLOOKUP(G4211,WholesaleExtract!B:J,6,FALSE),"")</f>
        <v/>
      </c>
      <c r="H4211" s="47" t="str">
        <f>IFERROR(VLOOKUP(G4211,WholesaleExtract!B:L,11,FALSE),"")</f>
        <v/>
      </c>
      <c r="I4211" s="26" t="str">
        <f>IFERROR(VLOOKUP(G4211,WholesaleExtract!B:O,8,FALSE),"")</f>
        <v/>
      </c>
      <c r="J4211" s="26" t="str">
        <f>IFERROR(VLOOKUP(G4211,WholesaleExtract!B:O,14,FALSE),"")</f>
        <v/>
      </c>
      <c r="K4211" s="26" t="str">
        <f>IFERROR(VLOOKUP(G4211,WholesaleExtract!B:K,10,FALSE),"")</f>
        <v/>
      </c>
      <c r="L4211" s="47" t="str">
        <f>IFERROR(VLOOKUP(G4211,WholesaleExtract!B:L,11,FALSE),"")</f>
        <v/>
      </c>
      <c r="M4211" s="47" t="str">
        <f>IFERROR(VLOOKUP(G4211,WholesaleExtract!B:M,12,FALSE),"")</f>
        <v/>
      </c>
      <c r="R4211" s="19"/>
      <c r="S4211" s="19"/>
    </row>
    <row r="4212" spans="1:19" x14ac:dyDescent="0.35">
      <c r="A4212" s="26" t="s">
        <v>543</v>
      </c>
      <c r="B4212" s="26" t="s">
        <v>543</v>
      </c>
      <c r="C4212" s="26"/>
      <c r="D4212" s="26" t="s">
        <v>543</v>
      </c>
      <c r="E4212" s="26" t="str">
        <f>IFERROR(VLOOKUP(G4212,WholesaleExtract!B:J,9,FALSE),"")</f>
        <v/>
      </c>
      <c r="F4212" s="26" t="str">
        <f>IFERROR(VLOOKUP(G4212,WholesaleExtract!B:J,6,FALSE),"")</f>
        <v/>
      </c>
      <c r="H4212" s="47" t="str">
        <f>IFERROR(VLOOKUP(G4212,WholesaleExtract!B:L,11,FALSE),"")</f>
        <v/>
      </c>
      <c r="I4212" s="26" t="str">
        <f>IFERROR(VLOOKUP(G4212,WholesaleExtract!B:O,8,FALSE),"")</f>
        <v/>
      </c>
      <c r="J4212" s="26" t="str">
        <f>IFERROR(VLOOKUP(G4212,WholesaleExtract!B:O,14,FALSE),"")</f>
        <v/>
      </c>
      <c r="K4212" s="26" t="str">
        <f>IFERROR(VLOOKUP(G4212,WholesaleExtract!B:K,10,FALSE),"")</f>
        <v/>
      </c>
      <c r="L4212" s="47" t="str">
        <f>IFERROR(VLOOKUP(G4212,WholesaleExtract!B:L,11,FALSE),"")</f>
        <v/>
      </c>
      <c r="M4212" s="47" t="str">
        <f>IFERROR(VLOOKUP(G4212,WholesaleExtract!B:M,12,FALSE),"")</f>
        <v/>
      </c>
      <c r="R4212" s="19"/>
      <c r="S4212" s="19"/>
    </row>
    <row r="4213" spans="1:19" x14ac:dyDescent="0.35">
      <c r="A4213" s="26" t="s">
        <v>543</v>
      </c>
      <c r="B4213" s="26" t="s">
        <v>543</v>
      </c>
      <c r="C4213" s="26"/>
      <c r="D4213" s="26" t="s">
        <v>543</v>
      </c>
      <c r="E4213" s="26" t="str">
        <f>IFERROR(VLOOKUP(G4213,WholesaleExtract!B:J,9,FALSE),"")</f>
        <v/>
      </c>
      <c r="F4213" s="26" t="str">
        <f>IFERROR(VLOOKUP(G4213,WholesaleExtract!B:J,6,FALSE),"")</f>
        <v/>
      </c>
      <c r="H4213" s="47" t="str">
        <f>IFERROR(VLOOKUP(G4213,WholesaleExtract!B:L,11,FALSE),"")</f>
        <v/>
      </c>
      <c r="I4213" s="26" t="str">
        <f>IFERROR(VLOOKUP(G4213,WholesaleExtract!B:O,8,FALSE),"")</f>
        <v/>
      </c>
      <c r="J4213" s="26" t="str">
        <f>IFERROR(VLOOKUP(G4213,WholesaleExtract!B:O,14,FALSE),"")</f>
        <v/>
      </c>
      <c r="K4213" s="26" t="str">
        <f>IFERROR(VLOOKUP(G4213,WholesaleExtract!B:K,10,FALSE),"")</f>
        <v/>
      </c>
      <c r="L4213" s="47" t="str">
        <f>IFERROR(VLOOKUP(G4213,WholesaleExtract!B:L,11,FALSE),"")</f>
        <v/>
      </c>
      <c r="M4213" s="47" t="str">
        <f>IFERROR(VLOOKUP(G4213,WholesaleExtract!B:M,12,FALSE),"")</f>
        <v/>
      </c>
      <c r="R4213" s="19"/>
      <c r="S4213" s="19"/>
    </row>
    <row r="4214" spans="1:19" x14ac:dyDescent="0.35">
      <c r="A4214" s="26" t="s">
        <v>543</v>
      </c>
      <c r="B4214" s="26" t="s">
        <v>543</v>
      </c>
      <c r="C4214" s="26"/>
      <c r="D4214" s="26" t="s">
        <v>543</v>
      </c>
      <c r="E4214" s="26" t="str">
        <f>IFERROR(VLOOKUP(G4214,WholesaleExtract!B:J,9,FALSE),"")</f>
        <v/>
      </c>
      <c r="F4214" s="26" t="str">
        <f>IFERROR(VLOOKUP(G4214,WholesaleExtract!B:J,6,FALSE),"")</f>
        <v/>
      </c>
      <c r="H4214" s="47" t="str">
        <f>IFERROR(VLOOKUP(G4214,WholesaleExtract!B:L,11,FALSE),"")</f>
        <v/>
      </c>
      <c r="I4214" s="26" t="str">
        <f>IFERROR(VLOOKUP(G4214,WholesaleExtract!B:O,8,FALSE),"")</f>
        <v/>
      </c>
      <c r="J4214" s="26" t="str">
        <f>IFERROR(VLOOKUP(G4214,WholesaleExtract!B:O,14,FALSE),"")</f>
        <v/>
      </c>
      <c r="K4214" s="26" t="str">
        <f>IFERROR(VLOOKUP(G4214,WholesaleExtract!B:K,10,FALSE),"")</f>
        <v/>
      </c>
      <c r="L4214" s="47" t="str">
        <f>IFERROR(VLOOKUP(G4214,WholesaleExtract!B:L,11,FALSE),"")</f>
        <v/>
      </c>
      <c r="M4214" s="47" t="str">
        <f>IFERROR(VLOOKUP(G4214,WholesaleExtract!B:M,12,FALSE),"")</f>
        <v/>
      </c>
      <c r="R4214" s="19"/>
      <c r="S4214" s="19"/>
    </row>
    <row r="4215" spans="1:19" x14ac:dyDescent="0.35">
      <c r="A4215" s="26" t="s">
        <v>543</v>
      </c>
      <c r="B4215" s="26" t="s">
        <v>543</v>
      </c>
      <c r="C4215" s="26"/>
      <c r="D4215" s="26" t="s">
        <v>543</v>
      </c>
      <c r="E4215" s="26" t="str">
        <f>IFERROR(VLOOKUP(G4215,WholesaleExtract!B:J,9,FALSE),"")</f>
        <v/>
      </c>
      <c r="F4215" s="26" t="str">
        <f>IFERROR(VLOOKUP(G4215,WholesaleExtract!B:J,6,FALSE),"")</f>
        <v/>
      </c>
      <c r="H4215" s="47" t="str">
        <f>IFERROR(VLOOKUP(G4215,WholesaleExtract!B:L,11,FALSE),"")</f>
        <v/>
      </c>
      <c r="I4215" s="26" t="str">
        <f>IFERROR(VLOOKUP(G4215,WholesaleExtract!B:O,8,FALSE),"")</f>
        <v/>
      </c>
      <c r="J4215" s="26" t="str">
        <f>IFERROR(VLOOKUP(G4215,WholesaleExtract!B:O,14,FALSE),"")</f>
        <v/>
      </c>
      <c r="K4215" s="26" t="str">
        <f>IFERROR(VLOOKUP(G4215,WholesaleExtract!B:K,10,FALSE),"")</f>
        <v/>
      </c>
      <c r="L4215" s="47" t="str">
        <f>IFERROR(VLOOKUP(G4215,WholesaleExtract!B:L,11,FALSE),"")</f>
        <v/>
      </c>
      <c r="M4215" s="47" t="str">
        <f>IFERROR(VLOOKUP(G4215,WholesaleExtract!B:M,12,FALSE),"")</f>
        <v/>
      </c>
      <c r="R4215" s="19"/>
      <c r="S4215" s="19"/>
    </row>
    <row r="4216" spans="1:19" x14ac:dyDescent="0.35">
      <c r="A4216" s="26" t="s">
        <v>543</v>
      </c>
      <c r="B4216" s="26" t="s">
        <v>543</v>
      </c>
      <c r="C4216" s="26"/>
      <c r="D4216" s="26" t="s">
        <v>543</v>
      </c>
      <c r="E4216" s="26" t="str">
        <f>IFERROR(VLOOKUP(G4216,WholesaleExtract!B:J,9,FALSE),"")</f>
        <v/>
      </c>
      <c r="F4216" s="26" t="str">
        <f>IFERROR(VLOOKUP(G4216,WholesaleExtract!B:J,6,FALSE),"")</f>
        <v/>
      </c>
      <c r="H4216" s="47" t="str">
        <f>IFERROR(VLOOKUP(G4216,WholesaleExtract!B:L,11,FALSE),"")</f>
        <v/>
      </c>
      <c r="I4216" s="26" t="str">
        <f>IFERROR(VLOOKUP(G4216,WholesaleExtract!B:O,8,FALSE),"")</f>
        <v/>
      </c>
      <c r="J4216" s="26" t="str">
        <f>IFERROR(VLOOKUP(G4216,WholesaleExtract!B:O,14,FALSE),"")</f>
        <v/>
      </c>
      <c r="K4216" s="26" t="str">
        <f>IFERROR(VLOOKUP(G4216,WholesaleExtract!B:K,10,FALSE),"")</f>
        <v/>
      </c>
      <c r="L4216" s="47" t="str">
        <f>IFERROR(VLOOKUP(G4216,WholesaleExtract!B:L,11,FALSE),"")</f>
        <v/>
      </c>
      <c r="M4216" s="47" t="str">
        <f>IFERROR(VLOOKUP(G4216,WholesaleExtract!B:M,12,FALSE),"")</f>
        <v/>
      </c>
      <c r="R4216" s="19"/>
      <c r="S4216" s="19"/>
    </row>
    <row r="4217" spans="1:19" x14ac:dyDescent="0.35">
      <c r="A4217" s="26" t="s">
        <v>543</v>
      </c>
      <c r="B4217" s="26" t="s">
        <v>543</v>
      </c>
      <c r="C4217" s="26"/>
      <c r="D4217" s="26" t="s">
        <v>543</v>
      </c>
      <c r="E4217" s="26" t="str">
        <f>IFERROR(VLOOKUP(G4217,WholesaleExtract!B:J,9,FALSE),"")</f>
        <v/>
      </c>
      <c r="F4217" s="26" t="str">
        <f>IFERROR(VLOOKUP(G4217,WholesaleExtract!B:J,6,FALSE),"")</f>
        <v/>
      </c>
      <c r="H4217" s="47" t="str">
        <f>IFERROR(VLOOKUP(G4217,WholesaleExtract!B:L,11,FALSE),"")</f>
        <v/>
      </c>
      <c r="I4217" s="26" t="str">
        <f>IFERROR(VLOOKUP(G4217,WholesaleExtract!B:O,8,FALSE),"")</f>
        <v/>
      </c>
      <c r="J4217" s="26" t="str">
        <f>IFERROR(VLOOKUP(G4217,WholesaleExtract!B:O,14,FALSE),"")</f>
        <v/>
      </c>
      <c r="K4217" s="26" t="str">
        <f>IFERROR(VLOOKUP(G4217,WholesaleExtract!B:K,10,FALSE),"")</f>
        <v/>
      </c>
      <c r="L4217" s="47" t="str">
        <f>IFERROR(VLOOKUP(G4217,WholesaleExtract!B:L,11,FALSE),"")</f>
        <v/>
      </c>
      <c r="M4217" s="47" t="str">
        <f>IFERROR(VLOOKUP(G4217,WholesaleExtract!B:M,12,FALSE),"")</f>
        <v/>
      </c>
      <c r="R4217" s="19"/>
      <c r="S4217" s="19"/>
    </row>
    <row r="4218" spans="1:19" x14ac:dyDescent="0.35">
      <c r="A4218" s="26" t="s">
        <v>543</v>
      </c>
      <c r="B4218" s="26" t="s">
        <v>543</v>
      </c>
      <c r="C4218" s="26"/>
      <c r="D4218" s="26" t="s">
        <v>543</v>
      </c>
      <c r="E4218" s="26" t="str">
        <f>IFERROR(VLOOKUP(G4218,WholesaleExtract!B:J,9,FALSE),"")</f>
        <v/>
      </c>
      <c r="F4218" s="26" t="str">
        <f>IFERROR(VLOOKUP(G4218,WholesaleExtract!B:J,6,FALSE),"")</f>
        <v/>
      </c>
      <c r="H4218" s="47" t="str">
        <f>IFERROR(VLOOKUP(G4218,WholesaleExtract!B:L,11,FALSE),"")</f>
        <v/>
      </c>
      <c r="I4218" s="26" t="str">
        <f>IFERROR(VLOOKUP(G4218,WholesaleExtract!B:O,8,FALSE),"")</f>
        <v/>
      </c>
      <c r="J4218" s="26" t="str">
        <f>IFERROR(VLOOKUP(G4218,WholesaleExtract!B:O,14,FALSE),"")</f>
        <v/>
      </c>
      <c r="K4218" s="26" t="str">
        <f>IFERROR(VLOOKUP(G4218,WholesaleExtract!B:K,10,FALSE),"")</f>
        <v/>
      </c>
      <c r="L4218" s="47" t="str">
        <f>IFERROR(VLOOKUP(G4218,WholesaleExtract!B:L,11,FALSE),"")</f>
        <v/>
      </c>
      <c r="M4218" s="47" t="str">
        <f>IFERROR(VLOOKUP(G4218,WholesaleExtract!B:M,12,FALSE),"")</f>
        <v/>
      </c>
      <c r="R4218" s="19"/>
      <c r="S4218" s="19"/>
    </row>
    <row r="4219" spans="1:19" x14ac:dyDescent="0.35">
      <c r="A4219" s="26" t="s">
        <v>543</v>
      </c>
      <c r="B4219" s="26" t="s">
        <v>543</v>
      </c>
      <c r="C4219" s="26"/>
      <c r="D4219" s="26" t="s">
        <v>543</v>
      </c>
      <c r="E4219" s="26" t="str">
        <f>IFERROR(VLOOKUP(G4219,WholesaleExtract!B:J,9,FALSE),"")</f>
        <v/>
      </c>
      <c r="F4219" s="26" t="str">
        <f>IFERROR(VLOOKUP(G4219,WholesaleExtract!B:J,6,FALSE),"")</f>
        <v/>
      </c>
      <c r="H4219" s="47" t="str">
        <f>IFERROR(VLOOKUP(G4219,WholesaleExtract!B:L,11,FALSE),"")</f>
        <v/>
      </c>
      <c r="I4219" s="26" t="str">
        <f>IFERROR(VLOOKUP(G4219,WholesaleExtract!B:O,8,FALSE),"")</f>
        <v/>
      </c>
      <c r="J4219" s="26" t="str">
        <f>IFERROR(VLOOKUP(G4219,WholesaleExtract!B:O,14,FALSE),"")</f>
        <v/>
      </c>
      <c r="K4219" s="26" t="str">
        <f>IFERROR(VLOOKUP(G4219,WholesaleExtract!B:K,10,FALSE),"")</f>
        <v/>
      </c>
      <c r="L4219" s="47" t="str">
        <f>IFERROR(VLOOKUP(G4219,WholesaleExtract!B:L,11,FALSE),"")</f>
        <v/>
      </c>
      <c r="M4219" s="47" t="str">
        <f>IFERROR(VLOOKUP(G4219,WholesaleExtract!B:M,12,FALSE),"")</f>
        <v/>
      </c>
      <c r="R4219" s="19"/>
      <c r="S4219" s="19"/>
    </row>
    <row r="4220" spans="1:19" x14ac:dyDescent="0.35">
      <c r="A4220" s="26" t="s">
        <v>543</v>
      </c>
      <c r="B4220" s="26" t="s">
        <v>543</v>
      </c>
      <c r="C4220" s="26"/>
      <c r="D4220" s="26" t="s">
        <v>543</v>
      </c>
      <c r="E4220" s="26" t="str">
        <f>IFERROR(VLOOKUP(G4220,WholesaleExtract!B:J,9,FALSE),"")</f>
        <v/>
      </c>
      <c r="F4220" s="26" t="str">
        <f>IFERROR(VLOOKUP(G4220,WholesaleExtract!B:J,6,FALSE),"")</f>
        <v/>
      </c>
      <c r="H4220" s="47" t="str">
        <f>IFERROR(VLOOKUP(G4220,WholesaleExtract!B:L,11,FALSE),"")</f>
        <v/>
      </c>
      <c r="I4220" s="26" t="str">
        <f>IFERROR(VLOOKUP(G4220,WholesaleExtract!B:O,8,FALSE),"")</f>
        <v/>
      </c>
      <c r="J4220" s="26" t="str">
        <f>IFERROR(VLOOKUP(G4220,WholesaleExtract!B:O,14,FALSE),"")</f>
        <v/>
      </c>
      <c r="K4220" s="26" t="str">
        <f>IFERROR(VLOOKUP(G4220,WholesaleExtract!B:K,10,FALSE),"")</f>
        <v/>
      </c>
      <c r="L4220" s="47" t="str">
        <f>IFERROR(VLOOKUP(G4220,WholesaleExtract!B:L,11,FALSE),"")</f>
        <v/>
      </c>
      <c r="M4220" s="47" t="str">
        <f>IFERROR(VLOOKUP(G4220,WholesaleExtract!B:M,12,FALSE),"")</f>
        <v/>
      </c>
      <c r="R4220" s="19"/>
      <c r="S4220" s="19"/>
    </row>
    <row r="4221" spans="1:19" x14ac:dyDescent="0.35">
      <c r="A4221" s="26" t="s">
        <v>543</v>
      </c>
      <c r="B4221" s="26" t="s">
        <v>543</v>
      </c>
      <c r="C4221" s="26"/>
      <c r="D4221" s="26" t="s">
        <v>543</v>
      </c>
      <c r="E4221" s="26" t="str">
        <f>IFERROR(VLOOKUP(G4221,WholesaleExtract!B:J,9,FALSE),"")</f>
        <v/>
      </c>
      <c r="F4221" s="26" t="str">
        <f>IFERROR(VLOOKUP(G4221,WholesaleExtract!B:J,6,FALSE),"")</f>
        <v/>
      </c>
      <c r="H4221" s="47" t="str">
        <f>IFERROR(VLOOKUP(G4221,WholesaleExtract!B:L,11,FALSE),"")</f>
        <v/>
      </c>
      <c r="I4221" s="26" t="str">
        <f>IFERROR(VLOOKUP(G4221,WholesaleExtract!B:O,8,FALSE),"")</f>
        <v/>
      </c>
      <c r="J4221" s="26" t="str">
        <f>IFERROR(VLOOKUP(G4221,WholesaleExtract!B:O,14,FALSE),"")</f>
        <v/>
      </c>
      <c r="K4221" s="26" t="str">
        <f>IFERROR(VLOOKUP(G4221,WholesaleExtract!B:K,10,FALSE),"")</f>
        <v/>
      </c>
      <c r="L4221" s="47" t="str">
        <f>IFERROR(VLOOKUP(G4221,WholesaleExtract!B:L,11,FALSE),"")</f>
        <v/>
      </c>
      <c r="M4221" s="47" t="str">
        <f>IFERROR(VLOOKUP(G4221,WholesaleExtract!B:M,12,FALSE),"")</f>
        <v/>
      </c>
      <c r="R4221" s="19"/>
      <c r="S4221" s="19"/>
    </row>
    <row r="4222" spans="1:19" x14ac:dyDescent="0.35">
      <c r="A4222" s="26" t="s">
        <v>543</v>
      </c>
      <c r="B4222" s="26" t="s">
        <v>543</v>
      </c>
      <c r="C4222" s="26"/>
      <c r="D4222" s="26" t="s">
        <v>543</v>
      </c>
      <c r="E4222" s="26" t="str">
        <f>IFERROR(VLOOKUP(G4222,WholesaleExtract!B:J,9,FALSE),"")</f>
        <v/>
      </c>
      <c r="F4222" s="26" t="str">
        <f>IFERROR(VLOOKUP(G4222,WholesaleExtract!B:J,6,FALSE),"")</f>
        <v/>
      </c>
      <c r="H4222" s="47" t="str">
        <f>IFERROR(VLOOKUP(G4222,WholesaleExtract!B:L,11,FALSE),"")</f>
        <v/>
      </c>
      <c r="I4222" s="26" t="str">
        <f>IFERROR(VLOOKUP(G4222,WholesaleExtract!B:O,8,FALSE),"")</f>
        <v/>
      </c>
      <c r="J4222" s="26" t="str">
        <f>IFERROR(VLOOKUP(G4222,WholesaleExtract!B:O,14,FALSE),"")</f>
        <v/>
      </c>
      <c r="K4222" s="26" t="str">
        <f>IFERROR(VLOOKUP(G4222,WholesaleExtract!B:K,10,FALSE),"")</f>
        <v/>
      </c>
      <c r="L4222" s="47" t="str">
        <f>IFERROR(VLOOKUP(G4222,WholesaleExtract!B:L,11,FALSE),"")</f>
        <v/>
      </c>
      <c r="M4222" s="47" t="str">
        <f>IFERROR(VLOOKUP(G4222,WholesaleExtract!B:M,12,FALSE),"")</f>
        <v/>
      </c>
      <c r="R4222" s="19"/>
      <c r="S4222" s="19"/>
    </row>
    <row r="4223" spans="1:19" x14ac:dyDescent="0.35">
      <c r="A4223" s="26" t="s">
        <v>543</v>
      </c>
      <c r="B4223" s="26" t="s">
        <v>543</v>
      </c>
      <c r="C4223" s="26"/>
      <c r="D4223" s="26" t="s">
        <v>543</v>
      </c>
      <c r="E4223" s="26" t="str">
        <f>IFERROR(VLOOKUP(G4223,WholesaleExtract!B:J,9,FALSE),"")</f>
        <v/>
      </c>
      <c r="F4223" s="26" t="str">
        <f>IFERROR(VLOOKUP(G4223,WholesaleExtract!B:J,6,FALSE),"")</f>
        <v/>
      </c>
      <c r="H4223" s="47" t="str">
        <f>IFERROR(VLOOKUP(G4223,WholesaleExtract!B:L,11,FALSE),"")</f>
        <v/>
      </c>
      <c r="I4223" s="26" t="str">
        <f>IFERROR(VLOOKUP(G4223,WholesaleExtract!B:O,8,FALSE),"")</f>
        <v/>
      </c>
      <c r="J4223" s="26" t="str">
        <f>IFERROR(VLOOKUP(G4223,WholesaleExtract!B:O,14,FALSE),"")</f>
        <v/>
      </c>
      <c r="K4223" s="26" t="str">
        <f>IFERROR(VLOOKUP(G4223,WholesaleExtract!B:K,10,FALSE),"")</f>
        <v/>
      </c>
      <c r="L4223" s="47" t="str">
        <f>IFERROR(VLOOKUP(G4223,WholesaleExtract!B:L,11,FALSE),"")</f>
        <v/>
      </c>
      <c r="M4223" s="47" t="str">
        <f>IFERROR(VLOOKUP(G4223,WholesaleExtract!B:M,12,FALSE),"")</f>
        <v/>
      </c>
      <c r="R4223" s="19"/>
      <c r="S4223" s="19"/>
    </row>
    <row r="4224" spans="1:19" x14ac:dyDescent="0.35">
      <c r="A4224" s="26" t="s">
        <v>543</v>
      </c>
      <c r="B4224" s="26" t="s">
        <v>543</v>
      </c>
      <c r="C4224" s="26"/>
      <c r="D4224" s="26" t="s">
        <v>543</v>
      </c>
      <c r="E4224" s="26" t="str">
        <f>IFERROR(VLOOKUP(G4224,WholesaleExtract!B:J,9,FALSE),"")</f>
        <v/>
      </c>
      <c r="F4224" s="26" t="str">
        <f>IFERROR(VLOOKUP(G4224,WholesaleExtract!B:J,6,FALSE),"")</f>
        <v/>
      </c>
      <c r="H4224" s="47" t="str">
        <f>IFERROR(VLOOKUP(G4224,WholesaleExtract!B:L,11,FALSE),"")</f>
        <v/>
      </c>
      <c r="I4224" s="26" t="str">
        <f>IFERROR(VLOOKUP(G4224,WholesaleExtract!B:O,8,FALSE),"")</f>
        <v/>
      </c>
      <c r="J4224" s="26" t="str">
        <f>IFERROR(VLOOKUP(G4224,WholesaleExtract!B:O,14,FALSE),"")</f>
        <v/>
      </c>
      <c r="K4224" s="26" t="str">
        <f>IFERROR(VLOOKUP(G4224,WholesaleExtract!B:K,10,FALSE),"")</f>
        <v/>
      </c>
      <c r="L4224" s="47" t="str">
        <f>IFERROR(VLOOKUP(G4224,WholesaleExtract!B:L,11,FALSE),"")</f>
        <v/>
      </c>
      <c r="M4224" s="47" t="str">
        <f>IFERROR(VLOOKUP(G4224,WholesaleExtract!B:M,12,FALSE),"")</f>
        <v/>
      </c>
      <c r="R4224" s="19"/>
      <c r="S4224" s="19"/>
    </row>
    <row r="4225" spans="1:19" x14ac:dyDescent="0.35">
      <c r="A4225" s="26" t="s">
        <v>543</v>
      </c>
      <c r="B4225" s="26" t="s">
        <v>543</v>
      </c>
      <c r="C4225" s="26"/>
      <c r="D4225" s="26" t="s">
        <v>543</v>
      </c>
      <c r="E4225" s="26" t="str">
        <f>IFERROR(VLOOKUP(G4225,WholesaleExtract!B:J,9,FALSE),"")</f>
        <v/>
      </c>
      <c r="F4225" s="26" t="str">
        <f>IFERROR(VLOOKUP(G4225,WholesaleExtract!B:J,6,FALSE),"")</f>
        <v/>
      </c>
      <c r="H4225" s="47" t="str">
        <f>IFERROR(VLOOKUP(G4225,WholesaleExtract!B:L,11,FALSE),"")</f>
        <v/>
      </c>
      <c r="I4225" s="26" t="str">
        <f>IFERROR(VLOOKUP(G4225,WholesaleExtract!B:O,8,FALSE),"")</f>
        <v/>
      </c>
      <c r="J4225" s="26" t="str">
        <f>IFERROR(VLOOKUP(G4225,WholesaleExtract!B:O,14,FALSE),"")</f>
        <v/>
      </c>
      <c r="K4225" s="26" t="str">
        <f>IFERROR(VLOOKUP(G4225,WholesaleExtract!B:K,10,FALSE),"")</f>
        <v/>
      </c>
      <c r="L4225" s="47" t="str">
        <f>IFERROR(VLOOKUP(G4225,WholesaleExtract!B:L,11,FALSE),"")</f>
        <v/>
      </c>
      <c r="M4225" s="47" t="str">
        <f>IFERROR(VLOOKUP(G4225,WholesaleExtract!B:M,12,FALSE),"")</f>
        <v/>
      </c>
      <c r="R4225" s="19"/>
      <c r="S4225" s="19"/>
    </row>
    <row r="4226" spans="1:19" x14ac:dyDescent="0.35">
      <c r="A4226" s="26" t="s">
        <v>543</v>
      </c>
      <c r="B4226" s="26" t="s">
        <v>543</v>
      </c>
      <c r="C4226" s="26"/>
      <c r="D4226" s="26" t="s">
        <v>543</v>
      </c>
      <c r="E4226" s="26" t="str">
        <f>IFERROR(VLOOKUP(G4226,WholesaleExtract!B:J,9,FALSE),"")</f>
        <v/>
      </c>
      <c r="F4226" s="26" t="str">
        <f>IFERROR(VLOOKUP(G4226,WholesaleExtract!B:J,6,FALSE),"")</f>
        <v/>
      </c>
      <c r="H4226" s="47" t="str">
        <f>IFERROR(VLOOKUP(G4226,WholesaleExtract!B:L,11,FALSE),"")</f>
        <v/>
      </c>
      <c r="I4226" s="26" t="str">
        <f>IFERROR(VLOOKUP(G4226,WholesaleExtract!B:O,8,FALSE),"")</f>
        <v/>
      </c>
      <c r="J4226" s="26" t="str">
        <f>IFERROR(VLOOKUP(G4226,WholesaleExtract!B:O,14,FALSE),"")</f>
        <v/>
      </c>
      <c r="K4226" s="26" t="str">
        <f>IFERROR(VLOOKUP(G4226,WholesaleExtract!B:K,10,FALSE),"")</f>
        <v/>
      </c>
      <c r="L4226" s="47" t="str">
        <f>IFERROR(VLOOKUP(G4226,WholesaleExtract!B:L,11,FALSE),"")</f>
        <v/>
      </c>
      <c r="M4226" s="47" t="str">
        <f>IFERROR(VLOOKUP(G4226,WholesaleExtract!B:M,12,FALSE),"")</f>
        <v/>
      </c>
      <c r="R4226" s="19"/>
      <c r="S4226" s="19"/>
    </row>
    <row r="4227" spans="1:19" x14ac:dyDescent="0.35">
      <c r="A4227" s="26" t="s">
        <v>543</v>
      </c>
      <c r="B4227" s="26" t="s">
        <v>543</v>
      </c>
      <c r="C4227" s="26"/>
      <c r="D4227" s="26" t="s">
        <v>543</v>
      </c>
      <c r="E4227" s="26" t="str">
        <f>IFERROR(VLOOKUP(G4227,WholesaleExtract!B:J,9,FALSE),"")</f>
        <v/>
      </c>
      <c r="F4227" s="26" t="str">
        <f>IFERROR(VLOOKUP(G4227,WholesaleExtract!B:J,6,FALSE),"")</f>
        <v/>
      </c>
      <c r="H4227" s="47" t="str">
        <f>IFERROR(VLOOKUP(G4227,WholesaleExtract!B:L,11,FALSE),"")</f>
        <v/>
      </c>
      <c r="I4227" s="26" t="str">
        <f>IFERROR(VLOOKUP(G4227,WholesaleExtract!B:O,8,FALSE),"")</f>
        <v/>
      </c>
      <c r="J4227" s="26" t="str">
        <f>IFERROR(VLOOKUP(G4227,WholesaleExtract!B:O,14,FALSE),"")</f>
        <v/>
      </c>
      <c r="K4227" s="26" t="str">
        <f>IFERROR(VLOOKUP(G4227,WholesaleExtract!B:K,10,FALSE),"")</f>
        <v/>
      </c>
      <c r="L4227" s="47" t="str">
        <f>IFERROR(VLOOKUP(G4227,WholesaleExtract!B:L,11,FALSE),"")</f>
        <v/>
      </c>
      <c r="M4227" s="47" t="str">
        <f>IFERROR(VLOOKUP(G4227,WholesaleExtract!B:M,12,FALSE),"")</f>
        <v/>
      </c>
      <c r="R4227" s="19"/>
      <c r="S4227" s="19"/>
    </row>
    <row r="4228" spans="1:19" x14ac:dyDescent="0.35">
      <c r="A4228" s="26" t="s">
        <v>543</v>
      </c>
      <c r="B4228" s="26" t="s">
        <v>543</v>
      </c>
      <c r="C4228" s="26"/>
      <c r="D4228" s="26" t="s">
        <v>543</v>
      </c>
      <c r="E4228" s="26" t="str">
        <f>IFERROR(VLOOKUP(G4228,WholesaleExtract!B:J,9,FALSE),"")</f>
        <v/>
      </c>
      <c r="F4228" s="26" t="str">
        <f>IFERROR(VLOOKUP(G4228,WholesaleExtract!B:J,6,FALSE),"")</f>
        <v/>
      </c>
      <c r="H4228" s="47" t="str">
        <f>IFERROR(VLOOKUP(G4228,WholesaleExtract!B:L,11,FALSE),"")</f>
        <v/>
      </c>
      <c r="I4228" s="26" t="str">
        <f>IFERROR(VLOOKUP(G4228,WholesaleExtract!B:O,8,FALSE),"")</f>
        <v/>
      </c>
      <c r="J4228" s="26" t="str">
        <f>IFERROR(VLOOKUP(G4228,WholesaleExtract!B:O,14,FALSE),"")</f>
        <v/>
      </c>
      <c r="K4228" s="26" t="str">
        <f>IFERROR(VLOOKUP(G4228,WholesaleExtract!B:K,10,FALSE),"")</f>
        <v/>
      </c>
      <c r="L4228" s="47" t="str">
        <f>IFERROR(VLOOKUP(G4228,WholesaleExtract!B:L,11,FALSE),"")</f>
        <v/>
      </c>
      <c r="M4228" s="47" t="str">
        <f>IFERROR(VLOOKUP(G4228,WholesaleExtract!B:M,12,FALSE),"")</f>
        <v/>
      </c>
      <c r="R4228" s="19"/>
      <c r="S4228" s="19"/>
    </row>
    <row r="4229" spans="1:19" x14ac:dyDescent="0.35">
      <c r="A4229" s="26" t="s">
        <v>543</v>
      </c>
      <c r="B4229" s="26" t="s">
        <v>543</v>
      </c>
      <c r="C4229" s="26"/>
      <c r="D4229" s="26" t="s">
        <v>543</v>
      </c>
      <c r="E4229" s="26" t="str">
        <f>IFERROR(VLOOKUP(G4229,WholesaleExtract!B:J,9,FALSE),"")</f>
        <v/>
      </c>
      <c r="F4229" s="26" t="str">
        <f>IFERROR(VLOOKUP(G4229,WholesaleExtract!B:J,6,FALSE),"")</f>
        <v/>
      </c>
      <c r="H4229" s="47" t="str">
        <f>IFERROR(VLOOKUP(G4229,WholesaleExtract!B:L,11,FALSE),"")</f>
        <v/>
      </c>
      <c r="I4229" s="26" t="str">
        <f>IFERROR(VLOOKUP(G4229,WholesaleExtract!B:O,8,FALSE),"")</f>
        <v/>
      </c>
      <c r="J4229" s="26" t="str">
        <f>IFERROR(VLOOKUP(G4229,WholesaleExtract!B:O,14,FALSE),"")</f>
        <v/>
      </c>
      <c r="K4229" s="26" t="str">
        <f>IFERROR(VLOOKUP(G4229,WholesaleExtract!B:K,10,FALSE),"")</f>
        <v/>
      </c>
      <c r="L4229" s="47" t="str">
        <f>IFERROR(VLOOKUP(G4229,WholesaleExtract!B:L,11,FALSE),"")</f>
        <v/>
      </c>
      <c r="M4229" s="47" t="str">
        <f>IFERROR(VLOOKUP(G4229,WholesaleExtract!B:M,12,FALSE),"")</f>
        <v/>
      </c>
      <c r="R4229" s="19"/>
      <c r="S4229" s="19"/>
    </row>
    <row r="4230" spans="1:19" x14ac:dyDescent="0.35">
      <c r="A4230" s="26" t="s">
        <v>543</v>
      </c>
      <c r="B4230" s="26" t="s">
        <v>543</v>
      </c>
      <c r="C4230" s="26"/>
      <c r="D4230" s="26" t="s">
        <v>543</v>
      </c>
      <c r="E4230" s="26" t="str">
        <f>IFERROR(VLOOKUP(G4230,WholesaleExtract!B:J,9,FALSE),"")</f>
        <v/>
      </c>
      <c r="F4230" s="26" t="str">
        <f>IFERROR(VLOOKUP(G4230,WholesaleExtract!B:J,6,FALSE),"")</f>
        <v/>
      </c>
      <c r="H4230" s="47" t="str">
        <f>IFERROR(VLOOKUP(G4230,WholesaleExtract!B:L,11,FALSE),"")</f>
        <v/>
      </c>
      <c r="I4230" s="26" t="str">
        <f>IFERROR(VLOOKUP(G4230,WholesaleExtract!B:O,8,FALSE),"")</f>
        <v/>
      </c>
      <c r="J4230" s="26" t="str">
        <f>IFERROR(VLOOKUP(G4230,WholesaleExtract!B:O,14,FALSE),"")</f>
        <v/>
      </c>
      <c r="K4230" s="26" t="str">
        <f>IFERROR(VLOOKUP(G4230,WholesaleExtract!B:K,10,FALSE),"")</f>
        <v/>
      </c>
      <c r="L4230" s="47" t="str">
        <f>IFERROR(VLOOKUP(G4230,WholesaleExtract!B:L,11,FALSE),"")</f>
        <v/>
      </c>
      <c r="M4230" s="47" t="str">
        <f>IFERROR(VLOOKUP(G4230,WholesaleExtract!B:M,12,FALSE),"")</f>
        <v/>
      </c>
      <c r="R4230" s="19"/>
      <c r="S4230" s="19"/>
    </row>
    <row r="4231" spans="1:19" x14ac:dyDescent="0.35">
      <c r="A4231" s="26" t="s">
        <v>543</v>
      </c>
      <c r="B4231" s="26" t="s">
        <v>543</v>
      </c>
      <c r="C4231" s="26"/>
      <c r="D4231" s="26" t="s">
        <v>543</v>
      </c>
      <c r="E4231" s="26" t="str">
        <f>IFERROR(VLOOKUP(G4231,WholesaleExtract!B:J,9,FALSE),"")</f>
        <v/>
      </c>
      <c r="F4231" s="26" t="str">
        <f>IFERROR(VLOOKUP(G4231,WholesaleExtract!B:J,6,FALSE),"")</f>
        <v/>
      </c>
      <c r="H4231" s="47" t="str">
        <f>IFERROR(VLOOKUP(G4231,WholesaleExtract!B:L,11,FALSE),"")</f>
        <v/>
      </c>
      <c r="I4231" s="26" t="str">
        <f>IFERROR(VLOOKUP(G4231,WholesaleExtract!B:O,8,FALSE),"")</f>
        <v/>
      </c>
      <c r="J4231" s="26" t="str">
        <f>IFERROR(VLOOKUP(G4231,WholesaleExtract!B:O,14,FALSE),"")</f>
        <v/>
      </c>
      <c r="K4231" s="26" t="str">
        <f>IFERROR(VLOOKUP(G4231,WholesaleExtract!B:K,10,FALSE),"")</f>
        <v/>
      </c>
      <c r="L4231" s="47" t="str">
        <f>IFERROR(VLOOKUP(G4231,WholesaleExtract!B:L,11,FALSE),"")</f>
        <v/>
      </c>
      <c r="M4231" s="47" t="str">
        <f>IFERROR(VLOOKUP(G4231,WholesaleExtract!B:M,12,FALSE),"")</f>
        <v/>
      </c>
      <c r="R4231" s="19"/>
      <c r="S4231" s="19"/>
    </row>
    <row r="4232" spans="1:19" x14ac:dyDescent="0.35">
      <c r="A4232" s="26" t="s">
        <v>543</v>
      </c>
      <c r="B4232" s="26" t="s">
        <v>543</v>
      </c>
      <c r="C4232" s="26"/>
      <c r="D4232" s="26" t="s">
        <v>543</v>
      </c>
      <c r="E4232" s="26" t="str">
        <f>IFERROR(VLOOKUP(G4232,WholesaleExtract!B:J,9,FALSE),"")</f>
        <v/>
      </c>
      <c r="F4232" s="26" t="str">
        <f>IFERROR(VLOOKUP(G4232,WholesaleExtract!B:J,6,FALSE),"")</f>
        <v/>
      </c>
      <c r="H4232" s="47" t="str">
        <f>IFERROR(VLOOKUP(G4232,WholesaleExtract!B:L,11,FALSE),"")</f>
        <v/>
      </c>
      <c r="I4232" s="26" t="str">
        <f>IFERROR(VLOOKUP(G4232,WholesaleExtract!B:O,8,FALSE),"")</f>
        <v/>
      </c>
      <c r="J4232" s="26" t="str">
        <f>IFERROR(VLOOKUP(G4232,WholesaleExtract!B:O,14,FALSE),"")</f>
        <v/>
      </c>
      <c r="K4232" s="26" t="str">
        <f>IFERROR(VLOOKUP(G4232,WholesaleExtract!B:K,10,FALSE),"")</f>
        <v/>
      </c>
      <c r="L4232" s="47" t="str">
        <f>IFERROR(VLOOKUP(G4232,WholesaleExtract!B:L,11,FALSE),"")</f>
        <v/>
      </c>
      <c r="M4232" s="47" t="str">
        <f>IFERROR(VLOOKUP(G4232,WholesaleExtract!B:M,12,FALSE),"")</f>
        <v/>
      </c>
      <c r="R4232" s="19"/>
      <c r="S4232" s="19"/>
    </row>
    <row r="4233" spans="1:19" x14ac:dyDescent="0.35">
      <c r="A4233" s="26" t="s">
        <v>543</v>
      </c>
      <c r="B4233" s="26" t="s">
        <v>543</v>
      </c>
      <c r="C4233" s="26"/>
      <c r="D4233" s="26" t="s">
        <v>543</v>
      </c>
      <c r="E4233" s="26" t="str">
        <f>IFERROR(VLOOKUP(G4233,WholesaleExtract!B:J,9,FALSE),"")</f>
        <v/>
      </c>
      <c r="F4233" s="26" t="str">
        <f>IFERROR(VLOOKUP(G4233,WholesaleExtract!B:J,6,FALSE),"")</f>
        <v/>
      </c>
      <c r="H4233" s="47" t="str">
        <f>IFERROR(VLOOKUP(G4233,WholesaleExtract!B:L,11,FALSE),"")</f>
        <v/>
      </c>
      <c r="I4233" s="26" t="str">
        <f>IFERROR(VLOOKUP(G4233,WholesaleExtract!B:O,8,FALSE),"")</f>
        <v/>
      </c>
      <c r="J4233" s="26" t="str">
        <f>IFERROR(VLOOKUP(G4233,WholesaleExtract!B:O,14,FALSE),"")</f>
        <v/>
      </c>
      <c r="K4233" s="26" t="str">
        <f>IFERROR(VLOOKUP(G4233,WholesaleExtract!B:K,10,FALSE),"")</f>
        <v/>
      </c>
      <c r="L4233" s="47" t="str">
        <f>IFERROR(VLOOKUP(G4233,WholesaleExtract!B:L,11,FALSE),"")</f>
        <v/>
      </c>
      <c r="M4233" s="47" t="str">
        <f>IFERROR(VLOOKUP(G4233,WholesaleExtract!B:M,12,FALSE),"")</f>
        <v/>
      </c>
      <c r="R4233" s="19"/>
      <c r="S4233" s="19"/>
    </row>
    <row r="4234" spans="1:19" x14ac:dyDescent="0.35">
      <c r="A4234" s="26" t="s">
        <v>543</v>
      </c>
      <c r="B4234" s="26" t="s">
        <v>543</v>
      </c>
      <c r="C4234" s="26"/>
      <c r="D4234" s="26" t="s">
        <v>543</v>
      </c>
      <c r="E4234" s="26" t="str">
        <f>IFERROR(VLOOKUP(G4234,WholesaleExtract!B:J,9,FALSE),"")</f>
        <v/>
      </c>
      <c r="F4234" s="26" t="str">
        <f>IFERROR(VLOOKUP(G4234,WholesaleExtract!B:J,6,FALSE),"")</f>
        <v/>
      </c>
      <c r="H4234" s="47" t="str">
        <f>IFERROR(VLOOKUP(G4234,WholesaleExtract!B:L,11,FALSE),"")</f>
        <v/>
      </c>
      <c r="I4234" s="26" t="str">
        <f>IFERROR(VLOOKUP(G4234,WholesaleExtract!B:O,8,FALSE),"")</f>
        <v/>
      </c>
      <c r="J4234" s="26" t="str">
        <f>IFERROR(VLOOKUP(G4234,WholesaleExtract!B:O,14,FALSE),"")</f>
        <v/>
      </c>
      <c r="K4234" s="26" t="str">
        <f>IFERROR(VLOOKUP(G4234,WholesaleExtract!B:K,10,FALSE),"")</f>
        <v/>
      </c>
      <c r="L4234" s="47" t="str">
        <f>IFERROR(VLOOKUP(G4234,WholesaleExtract!B:L,11,FALSE),"")</f>
        <v/>
      </c>
      <c r="M4234" s="47" t="str">
        <f>IFERROR(VLOOKUP(G4234,WholesaleExtract!B:M,12,FALSE),"")</f>
        <v/>
      </c>
      <c r="R4234" s="19"/>
      <c r="S4234" s="19"/>
    </row>
    <row r="4235" spans="1:19" x14ac:dyDescent="0.35">
      <c r="A4235" s="26" t="s">
        <v>543</v>
      </c>
      <c r="B4235" s="26" t="s">
        <v>543</v>
      </c>
      <c r="C4235" s="26"/>
      <c r="D4235" s="26" t="s">
        <v>543</v>
      </c>
      <c r="E4235" s="26" t="str">
        <f>IFERROR(VLOOKUP(G4235,WholesaleExtract!B:J,9,FALSE),"")</f>
        <v/>
      </c>
      <c r="F4235" s="26" t="str">
        <f>IFERROR(VLOOKUP(G4235,WholesaleExtract!B:J,6,FALSE),"")</f>
        <v/>
      </c>
      <c r="H4235" s="47" t="str">
        <f>IFERROR(VLOOKUP(G4235,WholesaleExtract!B:L,11,FALSE),"")</f>
        <v/>
      </c>
      <c r="I4235" s="26" t="str">
        <f>IFERROR(VLOOKUP(G4235,WholesaleExtract!B:O,8,FALSE),"")</f>
        <v/>
      </c>
      <c r="J4235" s="26" t="str">
        <f>IFERROR(VLOOKUP(G4235,WholesaleExtract!B:O,14,FALSE),"")</f>
        <v/>
      </c>
      <c r="K4235" s="26" t="str">
        <f>IFERROR(VLOOKUP(G4235,WholesaleExtract!B:K,10,FALSE),"")</f>
        <v/>
      </c>
      <c r="L4235" s="47" t="str">
        <f>IFERROR(VLOOKUP(G4235,WholesaleExtract!B:L,11,FALSE),"")</f>
        <v/>
      </c>
      <c r="M4235" s="47" t="str">
        <f>IFERROR(VLOOKUP(G4235,WholesaleExtract!B:M,12,FALSE),"")</f>
        <v/>
      </c>
      <c r="R4235" s="19"/>
      <c r="S4235" s="19"/>
    </row>
    <row r="4236" spans="1:19" x14ac:dyDescent="0.35">
      <c r="A4236" s="26" t="s">
        <v>543</v>
      </c>
      <c r="B4236" s="26" t="s">
        <v>543</v>
      </c>
      <c r="C4236" s="26"/>
      <c r="D4236" s="26" t="s">
        <v>543</v>
      </c>
      <c r="E4236" s="26" t="str">
        <f>IFERROR(VLOOKUP(G4236,WholesaleExtract!B:J,9,FALSE),"")</f>
        <v/>
      </c>
      <c r="F4236" s="26" t="str">
        <f>IFERROR(VLOOKUP(G4236,WholesaleExtract!B:J,6,FALSE),"")</f>
        <v/>
      </c>
      <c r="H4236" s="47" t="str">
        <f>IFERROR(VLOOKUP(G4236,WholesaleExtract!B:L,11,FALSE),"")</f>
        <v/>
      </c>
      <c r="I4236" s="26" t="str">
        <f>IFERROR(VLOOKUP(G4236,WholesaleExtract!B:O,8,FALSE),"")</f>
        <v/>
      </c>
      <c r="J4236" s="26" t="str">
        <f>IFERROR(VLOOKUP(G4236,WholesaleExtract!B:O,14,FALSE),"")</f>
        <v/>
      </c>
      <c r="K4236" s="26" t="str">
        <f>IFERROR(VLOOKUP(G4236,WholesaleExtract!B:K,10,FALSE),"")</f>
        <v/>
      </c>
      <c r="L4236" s="47" t="str">
        <f>IFERROR(VLOOKUP(G4236,WholesaleExtract!B:L,11,FALSE),"")</f>
        <v/>
      </c>
      <c r="M4236" s="47" t="str">
        <f>IFERROR(VLOOKUP(G4236,WholesaleExtract!B:M,12,FALSE),"")</f>
        <v/>
      </c>
      <c r="R4236" s="19"/>
      <c r="S4236" s="19"/>
    </row>
    <row r="4237" spans="1:19" x14ac:dyDescent="0.35">
      <c r="A4237" s="26" t="s">
        <v>543</v>
      </c>
      <c r="B4237" s="26" t="s">
        <v>543</v>
      </c>
      <c r="C4237" s="26"/>
      <c r="D4237" s="26" t="s">
        <v>543</v>
      </c>
      <c r="E4237" s="26" t="str">
        <f>IFERROR(VLOOKUP(G4237,WholesaleExtract!B:J,9,FALSE),"")</f>
        <v/>
      </c>
      <c r="F4237" s="26" t="str">
        <f>IFERROR(VLOOKUP(G4237,WholesaleExtract!B:J,6,FALSE),"")</f>
        <v/>
      </c>
      <c r="H4237" s="47" t="str">
        <f>IFERROR(VLOOKUP(G4237,WholesaleExtract!B:L,11,FALSE),"")</f>
        <v/>
      </c>
      <c r="I4237" s="26" t="str">
        <f>IFERROR(VLOOKUP(G4237,WholesaleExtract!B:O,8,FALSE),"")</f>
        <v/>
      </c>
      <c r="J4237" s="26" t="str">
        <f>IFERROR(VLOOKUP(G4237,WholesaleExtract!B:O,14,FALSE),"")</f>
        <v/>
      </c>
      <c r="K4237" s="26" t="str">
        <f>IFERROR(VLOOKUP(G4237,WholesaleExtract!B:K,10,FALSE),"")</f>
        <v/>
      </c>
      <c r="L4237" s="47" t="str">
        <f>IFERROR(VLOOKUP(G4237,WholesaleExtract!B:L,11,FALSE),"")</f>
        <v/>
      </c>
      <c r="M4237" s="47" t="str">
        <f>IFERROR(VLOOKUP(G4237,WholesaleExtract!B:M,12,FALSE),"")</f>
        <v/>
      </c>
      <c r="R4237" s="19"/>
      <c r="S4237" s="19"/>
    </row>
    <row r="4238" spans="1:19" x14ac:dyDescent="0.35">
      <c r="A4238" s="26" t="s">
        <v>543</v>
      </c>
      <c r="B4238" s="26" t="s">
        <v>543</v>
      </c>
      <c r="C4238" s="26"/>
      <c r="D4238" s="26" t="s">
        <v>543</v>
      </c>
      <c r="E4238" s="26" t="str">
        <f>IFERROR(VLOOKUP(G4238,WholesaleExtract!B:J,9,FALSE),"")</f>
        <v/>
      </c>
      <c r="F4238" s="26" t="str">
        <f>IFERROR(VLOOKUP(G4238,WholesaleExtract!B:J,6,FALSE),"")</f>
        <v/>
      </c>
      <c r="H4238" s="47" t="str">
        <f>IFERROR(VLOOKUP(G4238,WholesaleExtract!B:L,11,FALSE),"")</f>
        <v/>
      </c>
      <c r="I4238" s="26" t="str">
        <f>IFERROR(VLOOKUP(G4238,WholesaleExtract!B:O,8,FALSE),"")</f>
        <v/>
      </c>
      <c r="J4238" s="26" t="str">
        <f>IFERROR(VLOOKUP(G4238,WholesaleExtract!B:O,14,FALSE),"")</f>
        <v/>
      </c>
      <c r="K4238" s="26" t="str">
        <f>IFERROR(VLOOKUP(G4238,WholesaleExtract!B:K,10,FALSE),"")</f>
        <v/>
      </c>
      <c r="L4238" s="47" t="str">
        <f>IFERROR(VLOOKUP(G4238,WholesaleExtract!B:L,11,FALSE),"")</f>
        <v/>
      </c>
      <c r="M4238" s="47" t="str">
        <f>IFERROR(VLOOKUP(G4238,WholesaleExtract!B:M,12,FALSE),"")</f>
        <v/>
      </c>
      <c r="R4238" s="19"/>
      <c r="S4238" s="19"/>
    </row>
    <row r="4239" spans="1:19" x14ac:dyDescent="0.35">
      <c r="A4239" s="26" t="s">
        <v>543</v>
      </c>
      <c r="B4239" s="26" t="s">
        <v>543</v>
      </c>
      <c r="C4239" s="26"/>
      <c r="D4239" s="26" t="s">
        <v>543</v>
      </c>
      <c r="E4239" s="26" t="str">
        <f>IFERROR(VLOOKUP(G4239,WholesaleExtract!B:J,9,FALSE),"")</f>
        <v/>
      </c>
      <c r="F4239" s="26" t="str">
        <f>IFERROR(VLOOKUP(G4239,WholesaleExtract!B:J,6,FALSE),"")</f>
        <v/>
      </c>
      <c r="H4239" s="47" t="str">
        <f>IFERROR(VLOOKUP(G4239,WholesaleExtract!B:L,11,FALSE),"")</f>
        <v/>
      </c>
      <c r="I4239" s="26" t="str">
        <f>IFERROR(VLOOKUP(G4239,WholesaleExtract!B:O,8,FALSE),"")</f>
        <v/>
      </c>
      <c r="J4239" s="26" t="str">
        <f>IFERROR(VLOOKUP(G4239,WholesaleExtract!B:O,14,FALSE),"")</f>
        <v/>
      </c>
      <c r="K4239" s="26" t="str">
        <f>IFERROR(VLOOKUP(G4239,WholesaleExtract!B:K,10,FALSE),"")</f>
        <v/>
      </c>
      <c r="L4239" s="47" t="str">
        <f>IFERROR(VLOOKUP(G4239,WholesaleExtract!B:L,11,FALSE),"")</f>
        <v/>
      </c>
      <c r="M4239" s="47" t="str">
        <f>IFERROR(VLOOKUP(G4239,WholesaleExtract!B:M,12,FALSE),"")</f>
        <v/>
      </c>
      <c r="R4239" s="19"/>
      <c r="S4239" s="19"/>
    </row>
    <row r="4240" spans="1:19" x14ac:dyDescent="0.35">
      <c r="A4240" s="26" t="s">
        <v>543</v>
      </c>
      <c r="B4240" s="26" t="s">
        <v>543</v>
      </c>
      <c r="C4240" s="26"/>
      <c r="D4240" s="26" t="s">
        <v>543</v>
      </c>
      <c r="E4240" s="26" t="str">
        <f>IFERROR(VLOOKUP(G4240,WholesaleExtract!B:J,9,FALSE),"")</f>
        <v/>
      </c>
      <c r="F4240" s="26" t="str">
        <f>IFERROR(VLOOKUP(G4240,WholesaleExtract!B:J,6,FALSE),"")</f>
        <v/>
      </c>
      <c r="H4240" s="47" t="str">
        <f>IFERROR(VLOOKUP(G4240,WholesaleExtract!B:L,11,FALSE),"")</f>
        <v/>
      </c>
      <c r="I4240" s="26" t="str">
        <f>IFERROR(VLOOKUP(G4240,WholesaleExtract!B:O,8,FALSE),"")</f>
        <v/>
      </c>
      <c r="J4240" s="26" t="str">
        <f>IFERROR(VLOOKUP(G4240,WholesaleExtract!B:O,14,FALSE),"")</f>
        <v/>
      </c>
      <c r="K4240" s="26" t="str">
        <f>IFERROR(VLOOKUP(G4240,WholesaleExtract!B:K,10,FALSE),"")</f>
        <v/>
      </c>
      <c r="L4240" s="47" t="str">
        <f>IFERROR(VLOOKUP(G4240,WholesaleExtract!B:L,11,FALSE),"")</f>
        <v/>
      </c>
      <c r="M4240" s="47" t="str">
        <f>IFERROR(VLOOKUP(G4240,WholesaleExtract!B:M,12,FALSE),"")</f>
        <v/>
      </c>
      <c r="R4240" s="19"/>
      <c r="S4240" s="19"/>
    </row>
    <row r="4241" spans="1:19" x14ac:dyDescent="0.35">
      <c r="A4241" s="26" t="s">
        <v>543</v>
      </c>
      <c r="B4241" s="26" t="s">
        <v>543</v>
      </c>
      <c r="C4241" s="26"/>
      <c r="D4241" s="26" t="s">
        <v>543</v>
      </c>
      <c r="E4241" s="26" t="str">
        <f>IFERROR(VLOOKUP(G4241,WholesaleExtract!B:J,9,FALSE),"")</f>
        <v/>
      </c>
      <c r="F4241" s="26" t="str">
        <f>IFERROR(VLOOKUP(G4241,WholesaleExtract!B:J,6,FALSE),"")</f>
        <v/>
      </c>
      <c r="H4241" s="47" t="str">
        <f>IFERROR(VLOOKUP(G4241,WholesaleExtract!B:L,11,FALSE),"")</f>
        <v/>
      </c>
      <c r="I4241" s="26" t="str">
        <f>IFERROR(VLOOKUP(G4241,WholesaleExtract!B:O,8,FALSE),"")</f>
        <v/>
      </c>
      <c r="J4241" s="26" t="str">
        <f>IFERROR(VLOOKUP(G4241,WholesaleExtract!B:O,14,FALSE),"")</f>
        <v/>
      </c>
      <c r="K4241" s="26" t="str">
        <f>IFERROR(VLOOKUP(G4241,WholesaleExtract!B:K,10,FALSE),"")</f>
        <v/>
      </c>
      <c r="L4241" s="47" t="str">
        <f>IFERROR(VLOOKUP(G4241,WholesaleExtract!B:L,11,FALSE),"")</f>
        <v/>
      </c>
      <c r="M4241" s="47" t="str">
        <f>IFERROR(VLOOKUP(G4241,WholesaleExtract!B:M,12,FALSE),"")</f>
        <v/>
      </c>
      <c r="R4241" s="19"/>
      <c r="S4241" s="19"/>
    </row>
    <row r="4242" spans="1:19" x14ac:dyDescent="0.35">
      <c r="A4242" s="26" t="s">
        <v>543</v>
      </c>
      <c r="B4242" s="26" t="s">
        <v>543</v>
      </c>
      <c r="C4242" s="26"/>
      <c r="D4242" s="26" t="s">
        <v>543</v>
      </c>
      <c r="E4242" s="26" t="str">
        <f>IFERROR(VLOOKUP(G4242,WholesaleExtract!B:J,9,FALSE),"")</f>
        <v/>
      </c>
      <c r="F4242" s="26" t="str">
        <f>IFERROR(VLOOKUP(G4242,WholesaleExtract!B:J,6,FALSE),"")</f>
        <v/>
      </c>
      <c r="H4242" s="47" t="str">
        <f>IFERROR(VLOOKUP(G4242,WholesaleExtract!B:L,11,FALSE),"")</f>
        <v/>
      </c>
      <c r="I4242" s="26" t="str">
        <f>IFERROR(VLOOKUP(G4242,WholesaleExtract!B:O,8,FALSE),"")</f>
        <v/>
      </c>
      <c r="J4242" s="26" t="str">
        <f>IFERROR(VLOOKUP(G4242,WholesaleExtract!B:O,14,FALSE),"")</f>
        <v/>
      </c>
      <c r="K4242" s="26" t="str">
        <f>IFERROR(VLOOKUP(G4242,WholesaleExtract!B:K,10,FALSE),"")</f>
        <v/>
      </c>
      <c r="L4242" s="47" t="str">
        <f>IFERROR(VLOOKUP(G4242,WholesaleExtract!B:L,11,FALSE),"")</f>
        <v/>
      </c>
      <c r="M4242" s="47" t="str">
        <f>IFERROR(VLOOKUP(G4242,WholesaleExtract!B:M,12,FALSE),"")</f>
        <v/>
      </c>
      <c r="R4242" s="19"/>
      <c r="S4242" s="19"/>
    </row>
    <row r="4243" spans="1:19" x14ac:dyDescent="0.35">
      <c r="A4243" s="26" t="s">
        <v>543</v>
      </c>
      <c r="B4243" s="26" t="s">
        <v>543</v>
      </c>
      <c r="C4243" s="26"/>
      <c r="D4243" s="26" t="s">
        <v>543</v>
      </c>
      <c r="E4243" s="26" t="str">
        <f>IFERROR(VLOOKUP(G4243,WholesaleExtract!B:J,9,FALSE),"")</f>
        <v/>
      </c>
      <c r="F4243" s="26" t="str">
        <f>IFERROR(VLOOKUP(G4243,WholesaleExtract!B:J,6,FALSE),"")</f>
        <v/>
      </c>
      <c r="H4243" s="47" t="str">
        <f>IFERROR(VLOOKUP(G4243,WholesaleExtract!B:L,11,FALSE),"")</f>
        <v/>
      </c>
      <c r="I4243" s="26" t="str">
        <f>IFERROR(VLOOKUP(G4243,WholesaleExtract!B:O,8,FALSE),"")</f>
        <v/>
      </c>
      <c r="J4243" s="26" t="str">
        <f>IFERROR(VLOOKUP(G4243,WholesaleExtract!B:O,14,FALSE),"")</f>
        <v/>
      </c>
      <c r="K4243" s="26" t="str">
        <f>IFERROR(VLOOKUP(G4243,WholesaleExtract!B:K,10,FALSE),"")</f>
        <v/>
      </c>
      <c r="L4243" s="47" t="str">
        <f>IFERROR(VLOOKUP(G4243,WholesaleExtract!B:L,11,FALSE),"")</f>
        <v/>
      </c>
      <c r="M4243" s="47" t="str">
        <f>IFERROR(VLOOKUP(G4243,WholesaleExtract!B:M,12,FALSE),"")</f>
        <v/>
      </c>
      <c r="R4243" s="19"/>
      <c r="S4243" s="19"/>
    </row>
    <row r="4244" spans="1:19" x14ac:dyDescent="0.35">
      <c r="A4244" s="26" t="s">
        <v>543</v>
      </c>
      <c r="B4244" s="26" t="s">
        <v>543</v>
      </c>
      <c r="C4244" s="26"/>
      <c r="D4244" s="26" t="s">
        <v>543</v>
      </c>
      <c r="E4244" s="26" t="str">
        <f>IFERROR(VLOOKUP(G4244,WholesaleExtract!B:J,9,FALSE),"")</f>
        <v/>
      </c>
      <c r="F4244" s="26" t="str">
        <f>IFERROR(VLOOKUP(G4244,WholesaleExtract!B:J,6,FALSE),"")</f>
        <v/>
      </c>
      <c r="H4244" s="47" t="str">
        <f>IFERROR(VLOOKUP(G4244,WholesaleExtract!B:L,11,FALSE),"")</f>
        <v/>
      </c>
      <c r="I4244" s="26" t="str">
        <f>IFERROR(VLOOKUP(G4244,WholesaleExtract!B:O,8,FALSE),"")</f>
        <v/>
      </c>
      <c r="J4244" s="26" t="str">
        <f>IFERROR(VLOOKUP(G4244,WholesaleExtract!B:O,14,FALSE),"")</f>
        <v/>
      </c>
      <c r="K4244" s="26" t="str">
        <f>IFERROR(VLOOKUP(G4244,WholesaleExtract!B:K,10,FALSE),"")</f>
        <v/>
      </c>
      <c r="L4244" s="47" t="str">
        <f>IFERROR(VLOOKUP(G4244,WholesaleExtract!B:L,11,FALSE),"")</f>
        <v/>
      </c>
      <c r="M4244" s="47" t="str">
        <f>IFERROR(VLOOKUP(G4244,WholesaleExtract!B:M,12,FALSE),"")</f>
        <v/>
      </c>
      <c r="R4244" s="19"/>
      <c r="S4244" s="19"/>
    </row>
    <row r="4245" spans="1:19" x14ac:dyDescent="0.35">
      <c r="A4245" s="26" t="s">
        <v>543</v>
      </c>
      <c r="B4245" s="26" t="s">
        <v>543</v>
      </c>
      <c r="C4245" s="26"/>
      <c r="D4245" s="26" t="s">
        <v>543</v>
      </c>
      <c r="E4245" s="26" t="str">
        <f>IFERROR(VLOOKUP(G4245,WholesaleExtract!B:J,9,FALSE),"")</f>
        <v/>
      </c>
      <c r="F4245" s="26" t="str">
        <f>IFERROR(VLOOKUP(G4245,WholesaleExtract!B:J,6,FALSE),"")</f>
        <v/>
      </c>
      <c r="H4245" s="47" t="str">
        <f>IFERROR(VLOOKUP(G4245,WholesaleExtract!B:L,11,FALSE),"")</f>
        <v/>
      </c>
      <c r="I4245" s="26" t="str">
        <f>IFERROR(VLOOKUP(G4245,WholesaleExtract!B:O,8,FALSE),"")</f>
        <v/>
      </c>
      <c r="J4245" s="26" t="str">
        <f>IFERROR(VLOOKUP(G4245,WholesaleExtract!B:O,14,FALSE),"")</f>
        <v/>
      </c>
      <c r="K4245" s="26" t="str">
        <f>IFERROR(VLOOKUP(G4245,WholesaleExtract!B:K,10,FALSE),"")</f>
        <v/>
      </c>
      <c r="L4245" s="47" t="str">
        <f>IFERROR(VLOOKUP(G4245,WholesaleExtract!B:L,11,FALSE),"")</f>
        <v/>
      </c>
      <c r="M4245" s="47" t="str">
        <f>IFERROR(VLOOKUP(G4245,WholesaleExtract!B:M,12,FALSE),"")</f>
        <v/>
      </c>
      <c r="R4245" s="19"/>
      <c r="S4245" s="19"/>
    </row>
    <row r="4246" spans="1:19" x14ac:dyDescent="0.35">
      <c r="A4246" s="26" t="s">
        <v>543</v>
      </c>
      <c r="B4246" s="26" t="s">
        <v>543</v>
      </c>
      <c r="C4246" s="26"/>
      <c r="D4246" s="26" t="s">
        <v>543</v>
      </c>
      <c r="E4246" s="26" t="str">
        <f>IFERROR(VLOOKUP(G4246,WholesaleExtract!B:J,9,FALSE),"")</f>
        <v/>
      </c>
      <c r="F4246" s="26" t="str">
        <f>IFERROR(VLOOKUP(G4246,WholesaleExtract!B:J,6,FALSE),"")</f>
        <v/>
      </c>
      <c r="H4246" s="47" t="str">
        <f>IFERROR(VLOOKUP(G4246,WholesaleExtract!B:L,11,FALSE),"")</f>
        <v/>
      </c>
      <c r="I4246" s="26" t="str">
        <f>IFERROR(VLOOKUP(G4246,WholesaleExtract!B:O,8,FALSE),"")</f>
        <v/>
      </c>
      <c r="J4246" s="26" t="str">
        <f>IFERROR(VLOOKUP(G4246,WholesaleExtract!B:O,14,FALSE),"")</f>
        <v/>
      </c>
      <c r="K4246" s="26" t="str">
        <f>IFERROR(VLOOKUP(G4246,WholesaleExtract!B:K,10,FALSE),"")</f>
        <v/>
      </c>
      <c r="L4246" s="47" t="str">
        <f>IFERROR(VLOOKUP(G4246,WholesaleExtract!B:L,11,FALSE),"")</f>
        <v/>
      </c>
      <c r="M4246" s="47" t="str">
        <f>IFERROR(VLOOKUP(G4246,WholesaleExtract!B:M,12,FALSE),"")</f>
        <v/>
      </c>
      <c r="R4246" s="19"/>
      <c r="S4246" s="19"/>
    </row>
    <row r="4247" spans="1:19" x14ac:dyDescent="0.35">
      <c r="A4247" s="26" t="s">
        <v>543</v>
      </c>
      <c r="B4247" s="26" t="s">
        <v>543</v>
      </c>
      <c r="C4247" s="26"/>
      <c r="D4247" s="26" t="s">
        <v>543</v>
      </c>
      <c r="E4247" s="26" t="str">
        <f>IFERROR(VLOOKUP(G4247,WholesaleExtract!B:J,9,FALSE),"")</f>
        <v/>
      </c>
      <c r="F4247" s="26" t="str">
        <f>IFERROR(VLOOKUP(G4247,WholesaleExtract!B:J,6,FALSE),"")</f>
        <v/>
      </c>
      <c r="H4247" s="47" t="str">
        <f>IFERROR(VLOOKUP(G4247,WholesaleExtract!B:L,11,FALSE),"")</f>
        <v/>
      </c>
      <c r="I4247" s="26" t="str">
        <f>IFERROR(VLOOKUP(G4247,WholesaleExtract!B:O,8,FALSE),"")</f>
        <v/>
      </c>
      <c r="J4247" s="26" t="str">
        <f>IFERROR(VLOOKUP(G4247,WholesaleExtract!B:O,14,FALSE),"")</f>
        <v/>
      </c>
      <c r="K4247" s="26" t="str">
        <f>IFERROR(VLOOKUP(G4247,WholesaleExtract!B:K,10,FALSE),"")</f>
        <v/>
      </c>
      <c r="L4247" s="47" t="str">
        <f>IFERROR(VLOOKUP(G4247,WholesaleExtract!B:L,11,FALSE),"")</f>
        <v/>
      </c>
      <c r="M4247" s="47" t="str">
        <f>IFERROR(VLOOKUP(G4247,WholesaleExtract!B:M,12,FALSE),"")</f>
        <v/>
      </c>
      <c r="R4247" s="19"/>
      <c r="S4247" s="19"/>
    </row>
    <row r="4248" spans="1:19" x14ac:dyDescent="0.35">
      <c r="A4248" s="26" t="s">
        <v>543</v>
      </c>
      <c r="B4248" s="26" t="s">
        <v>543</v>
      </c>
      <c r="C4248" s="26"/>
      <c r="D4248" s="26" t="s">
        <v>543</v>
      </c>
      <c r="E4248" s="26" t="str">
        <f>IFERROR(VLOOKUP(G4248,WholesaleExtract!B:J,9,FALSE),"")</f>
        <v/>
      </c>
      <c r="F4248" s="26" t="str">
        <f>IFERROR(VLOOKUP(G4248,WholesaleExtract!B:J,6,FALSE),"")</f>
        <v/>
      </c>
      <c r="H4248" s="47" t="str">
        <f>IFERROR(VLOOKUP(G4248,WholesaleExtract!B:L,11,FALSE),"")</f>
        <v/>
      </c>
      <c r="I4248" s="26" t="str">
        <f>IFERROR(VLOOKUP(G4248,WholesaleExtract!B:O,8,FALSE),"")</f>
        <v/>
      </c>
      <c r="J4248" s="26" t="str">
        <f>IFERROR(VLOOKUP(G4248,WholesaleExtract!B:O,14,FALSE),"")</f>
        <v/>
      </c>
      <c r="K4248" s="26" t="str">
        <f>IFERROR(VLOOKUP(G4248,WholesaleExtract!B:K,10,FALSE),"")</f>
        <v/>
      </c>
      <c r="L4248" s="47" t="str">
        <f>IFERROR(VLOOKUP(G4248,WholesaleExtract!B:L,11,FALSE),"")</f>
        <v/>
      </c>
      <c r="M4248" s="47" t="str">
        <f>IFERROR(VLOOKUP(G4248,WholesaleExtract!B:M,12,FALSE),"")</f>
        <v/>
      </c>
      <c r="R4248" s="19"/>
      <c r="S4248" s="19"/>
    </row>
    <row r="4249" spans="1:19" x14ac:dyDescent="0.35">
      <c r="A4249" s="26" t="s">
        <v>543</v>
      </c>
      <c r="B4249" s="26" t="s">
        <v>543</v>
      </c>
      <c r="C4249" s="26"/>
      <c r="D4249" s="26" t="s">
        <v>543</v>
      </c>
      <c r="E4249" s="26" t="str">
        <f>IFERROR(VLOOKUP(G4249,WholesaleExtract!B:J,9,FALSE),"")</f>
        <v/>
      </c>
      <c r="F4249" s="26" t="str">
        <f>IFERROR(VLOOKUP(G4249,WholesaleExtract!B:J,6,FALSE),"")</f>
        <v/>
      </c>
      <c r="H4249" s="47" t="str">
        <f>IFERROR(VLOOKUP(G4249,WholesaleExtract!B:L,11,FALSE),"")</f>
        <v/>
      </c>
      <c r="I4249" s="26" t="str">
        <f>IFERROR(VLOOKUP(G4249,WholesaleExtract!B:O,8,FALSE),"")</f>
        <v/>
      </c>
      <c r="J4249" s="26" t="str">
        <f>IFERROR(VLOOKUP(G4249,WholesaleExtract!B:O,14,FALSE),"")</f>
        <v/>
      </c>
      <c r="K4249" s="26" t="str">
        <f>IFERROR(VLOOKUP(G4249,WholesaleExtract!B:K,10,FALSE),"")</f>
        <v/>
      </c>
      <c r="L4249" s="47" t="str">
        <f>IFERROR(VLOOKUP(G4249,WholesaleExtract!B:L,11,FALSE),"")</f>
        <v/>
      </c>
      <c r="M4249" s="47" t="str">
        <f>IFERROR(VLOOKUP(G4249,WholesaleExtract!B:M,12,FALSE),"")</f>
        <v/>
      </c>
      <c r="R4249" s="19"/>
      <c r="S4249" s="19"/>
    </row>
    <row r="4250" spans="1:19" x14ac:dyDescent="0.35">
      <c r="A4250" s="26" t="s">
        <v>543</v>
      </c>
      <c r="B4250" s="26" t="s">
        <v>543</v>
      </c>
      <c r="C4250" s="26"/>
      <c r="D4250" s="26" t="s">
        <v>543</v>
      </c>
      <c r="E4250" s="26" t="str">
        <f>IFERROR(VLOOKUP(G4250,WholesaleExtract!B:J,9,FALSE),"")</f>
        <v/>
      </c>
      <c r="F4250" s="26" t="str">
        <f>IFERROR(VLOOKUP(G4250,WholesaleExtract!B:J,6,FALSE),"")</f>
        <v/>
      </c>
      <c r="H4250" s="47" t="str">
        <f>IFERROR(VLOOKUP(G4250,WholesaleExtract!B:L,11,FALSE),"")</f>
        <v/>
      </c>
      <c r="I4250" s="26" t="str">
        <f>IFERROR(VLOOKUP(G4250,WholesaleExtract!B:O,8,FALSE),"")</f>
        <v/>
      </c>
      <c r="J4250" s="26" t="str">
        <f>IFERROR(VLOOKUP(G4250,WholesaleExtract!B:O,14,FALSE),"")</f>
        <v/>
      </c>
      <c r="K4250" s="26" t="str">
        <f>IFERROR(VLOOKUP(G4250,WholesaleExtract!B:K,10,FALSE),"")</f>
        <v/>
      </c>
      <c r="L4250" s="47" t="str">
        <f>IFERROR(VLOOKUP(G4250,WholesaleExtract!B:L,11,FALSE),"")</f>
        <v/>
      </c>
      <c r="M4250" s="47" t="str">
        <f>IFERROR(VLOOKUP(G4250,WholesaleExtract!B:M,12,FALSE),"")</f>
        <v/>
      </c>
      <c r="R4250" s="19"/>
      <c r="S4250" s="19"/>
    </row>
    <row r="4251" spans="1:19" x14ac:dyDescent="0.35">
      <c r="A4251" s="26" t="s">
        <v>543</v>
      </c>
      <c r="B4251" s="26" t="s">
        <v>543</v>
      </c>
      <c r="C4251" s="26"/>
      <c r="D4251" s="26" t="s">
        <v>543</v>
      </c>
      <c r="E4251" s="26" t="str">
        <f>IFERROR(VLOOKUP(G4251,WholesaleExtract!B:J,9,FALSE),"")</f>
        <v/>
      </c>
      <c r="F4251" s="26" t="str">
        <f>IFERROR(VLOOKUP(G4251,WholesaleExtract!B:J,6,FALSE),"")</f>
        <v/>
      </c>
      <c r="H4251" s="47" t="str">
        <f>IFERROR(VLOOKUP(G4251,WholesaleExtract!B:L,11,FALSE),"")</f>
        <v/>
      </c>
      <c r="I4251" s="26" t="str">
        <f>IFERROR(VLOOKUP(G4251,WholesaleExtract!B:O,8,FALSE),"")</f>
        <v/>
      </c>
      <c r="J4251" s="26" t="str">
        <f>IFERROR(VLOOKUP(G4251,WholesaleExtract!B:O,14,FALSE),"")</f>
        <v/>
      </c>
      <c r="K4251" s="26" t="str">
        <f>IFERROR(VLOOKUP(G4251,WholesaleExtract!B:K,10,FALSE),"")</f>
        <v/>
      </c>
      <c r="L4251" s="47" t="str">
        <f>IFERROR(VLOOKUP(G4251,WholesaleExtract!B:L,11,FALSE),"")</f>
        <v/>
      </c>
      <c r="M4251" s="47" t="str">
        <f>IFERROR(VLOOKUP(G4251,WholesaleExtract!B:M,12,FALSE),"")</f>
        <v/>
      </c>
      <c r="R4251" s="19"/>
      <c r="S4251" s="19"/>
    </row>
    <row r="4252" spans="1:19" x14ac:dyDescent="0.35">
      <c r="A4252" s="26" t="s">
        <v>543</v>
      </c>
      <c r="B4252" s="26" t="s">
        <v>543</v>
      </c>
      <c r="C4252" s="26"/>
      <c r="D4252" s="26" t="s">
        <v>543</v>
      </c>
      <c r="E4252" s="26" t="str">
        <f>IFERROR(VLOOKUP(G4252,WholesaleExtract!B:J,9,FALSE),"")</f>
        <v/>
      </c>
      <c r="F4252" s="26" t="str">
        <f>IFERROR(VLOOKUP(G4252,WholesaleExtract!B:J,6,FALSE),"")</f>
        <v/>
      </c>
      <c r="H4252" s="47" t="str">
        <f>IFERROR(VLOOKUP(G4252,WholesaleExtract!B:L,11,FALSE),"")</f>
        <v/>
      </c>
      <c r="I4252" s="26" t="str">
        <f>IFERROR(VLOOKUP(G4252,WholesaleExtract!B:O,8,FALSE),"")</f>
        <v/>
      </c>
      <c r="J4252" s="26" t="str">
        <f>IFERROR(VLOOKUP(G4252,WholesaleExtract!B:O,14,FALSE),"")</f>
        <v/>
      </c>
      <c r="K4252" s="26" t="str">
        <f>IFERROR(VLOOKUP(G4252,WholesaleExtract!B:K,10,FALSE),"")</f>
        <v/>
      </c>
      <c r="L4252" s="47" t="str">
        <f>IFERROR(VLOOKUP(G4252,WholesaleExtract!B:L,11,FALSE),"")</f>
        <v/>
      </c>
      <c r="M4252" s="47" t="str">
        <f>IFERROR(VLOOKUP(G4252,WholesaleExtract!B:M,12,FALSE),"")</f>
        <v/>
      </c>
      <c r="R4252" s="19"/>
      <c r="S4252" s="19"/>
    </row>
    <row r="4253" spans="1:19" x14ac:dyDescent="0.35">
      <c r="A4253" s="26" t="s">
        <v>543</v>
      </c>
      <c r="B4253" s="26" t="s">
        <v>543</v>
      </c>
      <c r="C4253" s="26"/>
      <c r="D4253" s="26" t="s">
        <v>543</v>
      </c>
      <c r="E4253" s="26" t="str">
        <f>IFERROR(VLOOKUP(G4253,WholesaleExtract!B:J,9,FALSE),"")</f>
        <v/>
      </c>
      <c r="F4253" s="26" t="str">
        <f>IFERROR(VLOOKUP(G4253,WholesaleExtract!B:J,6,FALSE),"")</f>
        <v/>
      </c>
      <c r="H4253" s="47" t="str">
        <f>IFERROR(VLOOKUP(G4253,WholesaleExtract!B:L,11,FALSE),"")</f>
        <v/>
      </c>
      <c r="I4253" s="26" t="str">
        <f>IFERROR(VLOOKUP(G4253,WholesaleExtract!B:O,8,FALSE),"")</f>
        <v/>
      </c>
      <c r="J4253" s="26" t="str">
        <f>IFERROR(VLOOKUP(G4253,WholesaleExtract!B:O,14,FALSE),"")</f>
        <v/>
      </c>
      <c r="K4253" s="26" t="str">
        <f>IFERROR(VLOOKUP(G4253,WholesaleExtract!B:K,10,FALSE),"")</f>
        <v/>
      </c>
      <c r="L4253" s="47" t="str">
        <f>IFERROR(VLOOKUP(G4253,WholesaleExtract!B:L,11,FALSE),"")</f>
        <v/>
      </c>
      <c r="M4253" s="47" t="str">
        <f>IFERROR(VLOOKUP(G4253,WholesaleExtract!B:M,12,FALSE),"")</f>
        <v/>
      </c>
      <c r="R4253" s="19"/>
      <c r="S4253" s="19"/>
    </row>
    <row r="4254" spans="1:19" x14ac:dyDescent="0.35">
      <c r="A4254" s="26" t="s">
        <v>543</v>
      </c>
      <c r="B4254" s="26" t="s">
        <v>543</v>
      </c>
      <c r="C4254" s="26"/>
      <c r="D4254" s="26" t="s">
        <v>543</v>
      </c>
      <c r="E4254" s="26" t="str">
        <f>IFERROR(VLOOKUP(G4254,WholesaleExtract!B:J,9,FALSE),"")</f>
        <v/>
      </c>
      <c r="F4254" s="26" t="str">
        <f>IFERROR(VLOOKUP(G4254,WholesaleExtract!B:J,6,FALSE),"")</f>
        <v/>
      </c>
      <c r="H4254" s="47" t="str">
        <f>IFERROR(VLOOKUP(G4254,WholesaleExtract!B:L,11,FALSE),"")</f>
        <v/>
      </c>
      <c r="I4254" s="26" t="str">
        <f>IFERROR(VLOOKUP(G4254,WholesaleExtract!B:O,8,FALSE),"")</f>
        <v/>
      </c>
      <c r="J4254" s="26" t="str">
        <f>IFERROR(VLOOKUP(G4254,WholesaleExtract!B:O,14,FALSE),"")</f>
        <v/>
      </c>
      <c r="K4254" s="26" t="str">
        <f>IFERROR(VLOOKUP(G4254,WholesaleExtract!B:K,10,FALSE),"")</f>
        <v/>
      </c>
      <c r="L4254" s="47" t="str">
        <f>IFERROR(VLOOKUP(G4254,WholesaleExtract!B:L,11,FALSE),"")</f>
        <v/>
      </c>
      <c r="M4254" s="47" t="str">
        <f>IFERROR(VLOOKUP(G4254,WholesaleExtract!B:M,12,FALSE),"")</f>
        <v/>
      </c>
      <c r="R4254" s="19"/>
      <c r="S4254" s="19"/>
    </row>
    <row r="4255" spans="1:19" x14ac:dyDescent="0.35">
      <c r="A4255" s="26" t="s">
        <v>543</v>
      </c>
      <c r="B4255" s="26" t="s">
        <v>543</v>
      </c>
      <c r="C4255" s="26"/>
      <c r="D4255" s="26" t="s">
        <v>543</v>
      </c>
      <c r="E4255" s="26" t="str">
        <f>IFERROR(VLOOKUP(G4255,WholesaleExtract!B:J,9,FALSE),"")</f>
        <v/>
      </c>
      <c r="F4255" s="26" t="str">
        <f>IFERROR(VLOOKUP(G4255,WholesaleExtract!B:J,6,FALSE),"")</f>
        <v/>
      </c>
      <c r="H4255" s="47" t="str">
        <f>IFERROR(VLOOKUP(G4255,WholesaleExtract!B:L,11,FALSE),"")</f>
        <v/>
      </c>
      <c r="I4255" s="26" t="str">
        <f>IFERROR(VLOOKUP(G4255,WholesaleExtract!B:O,8,FALSE),"")</f>
        <v/>
      </c>
      <c r="J4255" s="26" t="str">
        <f>IFERROR(VLOOKUP(G4255,WholesaleExtract!B:O,14,FALSE),"")</f>
        <v/>
      </c>
      <c r="K4255" s="26" t="str">
        <f>IFERROR(VLOOKUP(G4255,WholesaleExtract!B:K,10,FALSE),"")</f>
        <v/>
      </c>
      <c r="L4255" s="47" t="str">
        <f>IFERROR(VLOOKUP(G4255,WholesaleExtract!B:L,11,FALSE),"")</f>
        <v/>
      </c>
      <c r="M4255" s="47" t="str">
        <f>IFERROR(VLOOKUP(G4255,WholesaleExtract!B:M,12,FALSE),"")</f>
        <v/>
      </c>
      <c r="R4255" s="19"/>
      <c r="S4255" s="19"/>
    </row>
    <row r="4256" spans="1:19" x14ac:dyDescent="0.35">
      <c r="A4256" s="26" t="s">
        <v>543</v>
      </c>
      <c r="B4256" s="26" t="s">
        <v>543</v>
      </c>
      <c r="C4256" s="26"/>
      <c r="D4256" s="26" t="s">
        <v>543</v>
      </c>
      <c r="E4256" s="26" t="str">
        <f>IFERROR(VLOOKUP(G4256,WholesaleExtract!B:J,9,FALSE),"")</f>
        <v/>
      </c>
      <c r="F4256" s="26" t="str">
        <f>IFERROR(VLOOKUP(G4256,WholesaleExtract!B:J,6,FALSE),"")</f>
        <v/>
      </c>
      <c r="H4256" s="47" t="str">
        <f>IFERROR(VLOOKUP(G4256,WholesaleExtract!B:L,11,FALSE),"")</f>
        <v/>
      </c>
      <c r="I4256" s="26" t="str">
        <f>IFERROR(VLOOKUP(G4256,WholesaleExtract!B:O,8,FALSE),"")</f>
        <v/>
      </c>
      <c r="J4256" s="26" t="str">
        <f>IFERROR(VLOOKUP(G4256,WholesaleExtract!B:O,14,FALSE),"")</f>
        <v/>
      </c>
      <c r="K4256" s="26" t="str">
        <f>IFERROR(VLOOKUP(G4256,WholesaleExtract!B:K,10,FALSE),"")</f>
        <v/>
      </c>
      <c r="L4256" s="47" t="str">
        <f>IFERROR(VLOOKUP(G4256,WholesaleExtract!B:L,11,FALSE),"")</f>
        <v/>
      </c>
      <c r="M4256" s="47" t="str">
        <f>IFERROR(VLOOKUP(G4256,WholesaleExtract!B:M,12,FALSE),"")</f>
        <v/>
      </c>
      <c r="R4256" s="19"/>
      <c r="S4256" s="19"/>
    </row>
    <row r="4257" spans="1:19" x14ac:dyDescent="0.35">
      <c r="A4257" s="26" t="s">
        <v>543</v>
      </c>
      <c r="B4257" s="26" t="s">
        <v>543</v>
      </c>
      <c r="C4257" s="26"/>
      <c r="D4257" s="26" t="s">
        <v>543</v>
      </c>
      <c r="E4257" s="26" t="str">
        <f>IFERROR(VLOOKUP(G4257,WholesaleExtract!B:J,9,FALSE),"")</f>
        <v/>
      </c>
      <c r="F4257" s="26" t="str">
        <f>IFERROR(VLOOKUP(G4257,WholesaleExtract!B:J,6,FALSE),"")</f>
        <v/>
      </c>
      <c r="H4257" s="47" t="str">
        <f>IFERROR(VLOOKUP(G4257,WholesaleExtract!B:L,11,FALSE),"")</f>
        <v/>
      </c>
      <c r="I4257" s="26" t="str">
        <f>IFERROR(VLOOKUP(G4257,WholesaleExtract!B:O,8,FALSE),"")</f>
        <v/>
      </c>
      <c r="J4257" s="26" t="str">
        <f>IFERROR(VLOOKUP(G4257,WholesaleExtract!B:O,14,FALSE),"")</f>
        <v/>
      </c>
      <c r="K4257" s="26" t="str">
        <f>IFERROR(VLOOKUP(G4257,WholesaleExtract!B:K,10,FALSE),"")</f>
        <v/>
      </c>
      <c r="L4257" s="47" t="str">
        <f>IFERROR(VLOOKUP(G4257,WholesaleExtract!B:L,11,FALSE),"")</f>
        <v/>
      </c>
      <c r="M4257" s="47" t="str">
        <f>IFERROR(VLOOKUP(G4257,WholesaleExtract!B:M,12,FALSE),"")</f>
        <v/>
      </c>
      <c r="R4257" s="19"/>
      <c r="S4257" s="19"/>
    </row>
    <row r="4258" spans="1:19" x14ac:dyDescent="0.35">
      <c r="A4258" s="26" t="s">
        <v>543</v>
      </c>
      <c r="B4258" s="26" t="s">
        <v>543</v>
      </c>
      <c r="C4258" s="26"/>
      <c r="D4258" s="26" t="s">
        <v>543</v>
      </c>
      <c r="E4258" s="26" t="str">
        <f>IFERROR(VLOOKUP(G4258,WholesaleExtract!B:J,9,FALSE),"")</f>
        <v/>
      </c>
      <c r="F4258" s="26" t="str">
        <f>IFERROR(VLOOKUP(G4258,WholesaleExtract!B:J,6,FALSE),"")</f>
        <v/>
      </c>
      <c r="H4258" s="47" t="str">
        <f>IFERROR(VLOOKUP(G4258,WholesaleExtract!B:L,11,FALSE),"")</f>
        <v/>
      </c>
      <c r="I4258" s="26" t="str">
        <f>IFERROR(VLOOKUP(G4258,WholesaleExtract!B:O,8,FALSE),"")</f>
        <v/>
      </c>
      <c r="J4258" s="26" t="str">
        <f>IFERROR(VLOOKUP(G4258,WholesaleExtract!B:O,14,FALSE),"")</f>
        <v/>
      </c>
      <c r="K4258" s="26" t="str">
        <f>IFERROR(VLOOKUP(G4258,WholesaleExtract!B:K,10,FALSE),"")</f>
        <v/>
      </c>
      <c r="L4258" s="47" t="str">
        <f>IFERROR(VLOOKUP(G4258,WholesaleExtract!B:L,11,FALSE),"")</f>
        <v/>
      </c>
      <c r="M4258" s="47" t="str">
        <f>IFERROR(VLOOKUP(G4258,WholesaleExtract!B:M,12,FALSE),"")</f>
        <v/>
      </c>
      <c r="R4258" s="19"/>
      <c r="S4258" s="19"/>
    </row>
    <row r="4259" spans="1:19" x14ac:dyDescent="0.35">
      <c r="A4259" s="26" t="s">
        <v>543</v>
      </c>
      <c r="B4259" s="26" t="s">
        <v>543</v>
      </c>
      <c r="C4259" s="26"/>
      <c r="D4259" s="26" t="s">
        <v>543</v>
      </c>
      <c r="E4259" s="26" t="str">
        <f>IFERROR(VLOOKUP(G4259,WholesaleExtract!B:J,9,FALSE),"")</f>
        <v/>
      </c>
      <c r="F4259" s="26" t="str">
        <f>IFERROR(VLOOKUP(G4259,WholesaleExtract!B:J,6,FALSE),"")</f>
        <v/>
      </c>
      <c r="H4259" s="47" t="str">
        <f>IFERROR(VLOOKUP(G4259,WholesaleExtract!B:L,11,FALSE),"")</f>
        <v/>
      </c>
      <c r="I4259" s="26" t="str">
        <f>IFERROR(VLOOKUP(G4259,WholesaleExtract!B:O,8,FALSE),"")</f>
        <v/>
      </c>
      <c r="J4259" s="26" t="str">
        <f>IFERROR(VLOOKUP(G4259,WholesaleExtract!B:O,14,FALSE),"")</f>
        <v/>
      </c>
      <c r="K4259" s="26" t="str">
        <f>IFERROR(VLOOKUP(G4259,WholesaleExtract!B:K,10,FALSE),"")</f>
        <v/>
      </c>
      <c r="L4259" s="47" t="str">
        <f>IFERROR(VLOOKUP(G4259,WholesaleExtract!B:L,11,FALSE),"")</f>
        <v/>
      </c>
      <c r="M4259" s="47" t="str">
        <f>IFERROR(VLOOKUP(G4259,WholesaleExtract!B:M,12,FALSE),"")</f>
        <v/>
      </c>
      <c r="R4259" s="19"/>
      <c r="S4259" s="19"/>
    </row>
    <row r="4260" spans="1:19" x14ac:dyDescent="0.35">
      <c r="A4260" s="26" t="s">
        <v>543</v>
      </c>
      <c r="B4260" s="26" t="s">
        <v>543</v>
      </c>
      <c r="C4260" s="26"/>
      <c r="D4260" s="26" t="s">
        <v>543</v>
      </c>
      <c r="E4260" s="26" t="str">
        <f>IFERROR(VLOOKUP(G4260,WholesaleExtract!B:J,9,FALSE),"")</f>
        <v/>
      </c>
      <c r="F4260" s="26" t="str">
        <f>IFERROR(VLOOKUP(G4260,WholesaleExtract!B:J,6,FALSE),"")</f>
        <v/>
      </c>
      <c r="H4260" s="47" t="str">
        <f>IFERROR(VLOOKUP(G4260,WholesaleExtract!B:L,11,FALSE),"")</f>
        <v/>
      </c>
      <c r="I4260" s="26" t="str">
        <f>IFERROR(VLOOKUP(G4260,WholesaleExtract!B:O,8,FALSE),"")</f>
        <v/>
      </c>
      <c r="J4260" s="26" t="str">
        <f>IFERROR(VLOOKUP(G4260,WholesaleExtract!B:O,14,FALSE),"")</f>
        <v/>
      </c>
      <c r="K4260" s="26" t="str">
        <f>IFERROR(VLOOKUP(G4260,WholesaleExtract!B:K,10,FALSE),"")</f>
        <v/>
      </c>
      <c r="L4260" s="47" t="str">
        <f>IFERROR(VLOOKUP(G4260,WholesaleExtract!B:L,11,FALSE),"")</f>
        <v/>
      </c>
      <c r="M4260" s="47" t="str">
        <f>IFERROR(VLOOKUP(G4260,WholesaleExtract!B:M,12,FALSE),"")</f>
        <v/>
      </c>
      <c r="R4260" s="19"/>
      <c r="S4260" s="19"/>
    </row>
    <row r="4261" spans="1:19" x14ac:dyDescent="0.35">
      <c r="A4261" s="26" t="s">
        <v>543</v>
      </c>
      <c r="B4261" s="26" t="s">
        <v>543</v>
      </c>
      <c r="C4261" s="26"/>
      <c r="D4261" s="26" t="s">
        <v>543</v>
      </c>
      <c r="E4261" s="26" t="str">
        <f>IFERROR(VLOOKUP(G4261,WholesaleExtract!B:J,9,FALSE),"")</f>
        <v/>
      </c>
      <c r="F4261" s="26" t="str">
        <f>IFERROR(VLOOKUP(G4261,WholesaleExtract!B:J,6,FALSE),"")</f>
        <v/>
      </c>
      <c r="H4261" s="47" t="str">
        <f>IFERROR(VLOOKUP(G4261,WholesaleExtract!B:L,11,FALSE),"")</f>
        <v/>
      </c>
      <c r="I4261" s="26" t="str">
        <f>IFERROR(VLOOKUP(G4261,WholesaleExtract!B:O,8,FALSE),"")</f>
        <v/>
      </c>
      <c r="J4261" s="26" t="str">
        <f>IFERROR(VLOOKUP(G4261,WholesaleExtract!B:O,14,FALSE),"")</f>
        <v/>
      </c>
      <c r="K4261" s="26" t="str">
        <f>IFERROR(VLOOKUP(G4261,WholesaleExtract!B:K,10,FALSE),"")</f>
        <v/>
      </c>
      <c r="L4261" s="47" t="str">
        <f>IFERROR(VLOOKUP(G4261,WholesaleExtract!B:L,11,FALSE),"")</f>
        <v/>
      </c>
      <c r="M4261" s="47" t="str">
        <f>IFERROR(VLOOKUP(G4261,WholesaleExtract!B:M,12,FALSE),"")</f>
        <v/>
      </c>
      <c r="R4261" s="19"/>
      <c r="S4261" s="19"/>
    </row>
    <row r="4262" spans="1:19" x14ac:dyDescent="0.35">
      <c r="A4262" s="26" t="s">
        <v>543</v>
      </c>
      <c r="B4262" s="26" t="s">
        <v>543</v>
      </c>
      <c r="C4262" s="26"/>
      <c r="D4262" s="26" t="s">
        <v>543</v>
      </c>
      <c r="E4262" s="26" t="str">
        <f>IFERROR(VLOOKUP(G4262,WholesaleExtract!B:J,9,FALSE),"")</f>
        <v/>
      </c>
      <c r="F4262" s="26" t="str">
        <f>IFERROR(VLOOKUP(G4262,WholesaleExtract!B:J,6,FALSE),"")</f>
        <v/>
      </c>
      <c r="H4262" s="47" t="str">
        <f>IFERROR(VLOOKUP(G4262,WholesaleExtract!B:L,11,FALSE),"")</f>
        <v/>
      </c>
      <c r="I4262" s="26" t="str">
        <f>IFERROR(VLOOKUP(G4262,WholesaleExtract!B:O,8,FALSE),"")</f>
        <v/>
      </c>
      <c r="J4262" s="26" t="str">
        <f>IFERROR(VLOOKUP(G4262,WholesaleExtract!B:O,14,FALSE),"")</f>
        <v/>
      </c>
      <c r="K4262" s="26" t="str">
        <f>IFERROR(VLOOKUP(G4262,WholesaleExtract!B:K,10,FALSE),"")</f>
        <v/>
      </c>
      <c r="L4262" s="47" t="str">
        <f>IFERROR(VLOOKUP(G4262,WholesaleExtract!B:L,11,FALSE),"")</f>
        <v/>
      </c>
      <c r="M4262" s="47" t="str">
        <f>IFERROR(VLOOKUP(G4262,WholesaleExtract!B:M,12,FALSE),"")</f>
        <v/>
      </c>
      <c r="R4262" s="19"/>
      <c r="S4262" s="19"/>
    </row>
    <row r="4263" spans="1:19" x14ac:dyDescent="0.35">
      <c r="A4263" s="26" t="s">
        <v>543</v>
      </c>
      <c r="B4263" s="26" t="s">
        <v>543</v>
      </c>
      <c r="C4263" s="26"/>
      <c r="D4263" s="26" t="s">
        <v>543</v>
      </c>
      <c r="E4263" s="26" t="str">
        <f>IFERROR(VLOOKUP(G4263,WholesaleExtract!B:J,9,FALSE),"")</f>
        <v/>
      </c>
      <c r="F4263" s="26" t="str">
        <f>IFERROR(VLOOKUP(G4263,WholesaleExtract!B:J,6,FALSE),"")</f>
        <v/>
      </c>
      <c r="H4263" s="47" t="str">
        <f>IFERROR(VLOOKUP(G4263,WholesaleExtract!B:L,11,FALSE),"")</f>
        <v/>
      </c>
      <c r="I4263" s="26" t="str">
        <f>IFERROR(VLOOKUP(G4263,WholesaleExtract!B:O,8,FALSE),"")</f>
        <v/>
      </c>
      <c r="J4263" s="26" t="str">
        <f>IFERROR(VLOOKUP(G4263,WholesaleExtract!B:O,14,FALSE),"")</f>
        <v/>
      </c>
      <c r="K4263" s="26" t="str">
        <f>IFERROR(VLOOKUP(G4263,WholesaleExtract!B:K,10,FALSE),"")</f>
        <v/>
      </c>
      <c r="L4263" s="47" t="str">
        <f>IFERROR(VLOOKUP(G4263,WholesaleExtract!B:L,11,FALSE),"")</f>
        <v/>
      </c>
      <c r="M4263" s="47" t="str">
        <f>IFERROR(VLOOKUP(G4263,WholesaleExtract!B:M,12,FALSE),"")</f>
        <v/>
      </c>
      <c r="R4263" s="19"/>
      <c r="S4263" s="19"/>
    </row>
    <row r="4264" spans="1:19" x14ac:dyDescent="0.35">
      <c r="A4264" s="26" t="s">
        <v>543</v>
      </c>
      <c r="B4264" s="26" t="s">
        <v>543</v>
      </c>
      <c r="C4264" s="26"/>
      <c r="D4264" s="26" t="s">
        <v>543</v>
      </c>
      <c r="E4264" s="26" t="str">
        <f>IFERROR(VLOOKUP(G4264,WholesaleExtract!B:J,9,FALSE),"")</f>
        <v/>
      </c>
      <c r="F4264" s="26" t="str">
        <f>IFERROR(VLOOKUP(G4264,WholesaleExtract!B:J,6,FALSE),"")</f>
        <v/>
      </c>
      <c r="H4264" s="47" t="str">
        <f>IFERROR(VLOOKUP(G4264,WholesaleExtract!B:L,11,FALSE),"")</f>
        <v/>
      </c>
      <c r="I4264" s="26" t="str">
        <f>IFERROR(VLOOKUP(G4264,WholesaleExtract!B:O,8,FALSE),"")</f>
        <v/>
      </c>
      <c r="J4264" s="26" t="str">
        <f>IFERROR(VLOOKUP(G4264,WholesaleExtract!B:O,14,FALSE),"")</f>
        <v/>
      </c>
      <c r="K4264" s="26" t="str">
        <f>IFERROR(VLOOKUP(G4264,WholesaleExtract!B:K,10,FALSE),"")</f>
        <v/>
      </c>
      <c r="L4264" s="47" t="str">
        <f>IFERROR(VLOOKUP(G4264,WholesaleExtract!B:L,11,FALSE),"")</f>
        <v/>
      </c>
      <c r="M4264" s="47" t="str">
        <f>IFERROR(VLOOKUP(G4264,WholesaleExtract!B:M,12,FALSE),"")</f>
        <v/>
      </c>
      <c r="R4264" s="19"/>
      <c r="S4264" s="19"/>
    </row>
    <row r="4265" spans="1:19" x14ac:dyDescent="0.35">
      <c r="A4265" s="26" t="s">
        <v>543</v>
      </c>
      <c r="B4265" s="26" t="s">
        <v>543</v>
      </c>
      <c r="C4265" s="26"/>
      <c r="D4265" s="26" t="s">
        <v>543</v>
      </c>
      <c r="E4265" s="26" t="str">
        <f>IFERROR(VLOOKUP(G4265,WholesaleExtract!B:J,9,FALSE),"")</f>
        <v/>
      </c>
      <c r="F4265" s="26" t="str">
        <f>IFERROR(VLOOKUP(G4265,WholesaleExtract!B:J,6,FALSE),"")</f>
        <v/>
      </c>
      <c r="H4265" s="47" t="str">
        <f>IFERROR(VLOOKUP(G4265,WholesaleExtract!B:L,11,FALSE),"")</f>
        <v/>
      </c>
      <c r="I4265" s="26" t="str">
        <f>IFERROR(VLOOKUP(G4265,WholesaleExtract!B:O,8,FALSE),"")</f>
        <v/>
      </c>
      <c r="J4265" s="26" t="str">
        <f>IFERROR(VLOOKUP(G4265,WholesaleExtract!B:O,14,FALSE),"")</f>
        <v/>
      </c>
      <c r="K4265" s="26" t="str">
        <f>IFERROR(VLOOKUP(G4265,WholesaleExtract!B:K,10,FALSE),"")</f>
        <v/>
      </c>
      <c r="L4265" s="47" t="str">
        <f>IFERROR(VLOOKUP(G4265,WholesaleExtract!B:L,11,FALSE),"")</f>
        <v/>
      </c>
      <c r="M4265" s="47" t="str">
        <f>IFERROR(VLOOKUP(G4265,WholesaleExtract!B:M,12,FALSE),"")</f>
        <v/>
      </c>
      <c r="R4265" s="19"/>
      <c r="S4265" s="19"/>
    </row>
    <row r="4266" spans="1:19" x14ac:dyDescent="0.35">
      <c r="A4266" s="26" t="s">
        <v>543</v>
      </c>
      <c r="B4266" s="26" t="s">
        <v>543</v>
      </c>
      <c r="C4266" s="26"/>
      <c r="D4266" s="26" t="s">
        <v>543</v>
      </c>
      <c r="E4266" s="26" t="str">
        <f>IFERROR(VLOOKUP(G4266,WholesaleExtract!B:J,9,FALSE),"")</f>
        <v/>
      </c>
      <c r="F4266" s="26" t="str">
        <f>IFERROR(VLOOKUP(G4266,WholesaleExtract!B:J,6,FALSE),"")</f>
        <v/>
      </c>
      <c r="H4266" s="47" t="str">
        <f>IFERROR(VLOOKUP(G4266,WholesaleExtract!B:L,11,FALSE),"")</f>
        <v/>
      </c>
      <c r="I4266" s="26" t="str">
        <f>IFERROR(VLOOKUP(G4266,WholesaleExtract!B:O,8,FALSE),"")</f>
        <v/>
      </c>
      <c r="J4266" s="26" t="str">
        <f>IFERROR(VLOOKUP(G4266,WholesaleExtract!B:O,14,FALSE),"")</f>
        <v/>
      </c>
      <c r="K4266" s="26" t="str">
        <f>IFERROR(VLOOKUP(G4266,WholesaleExtract!B:K,10,FALSE),"")</f>
        <v/>
      </c>
      <c r="L4266" s="47" t="str">
        <f>IFERROR(VLOOKUP(G4266,WholesaleExtract!B:L,11,FALSE),"")</f>
        <v/>
      </c>
      <c r="M4266" s="47" t="str">
        <f>IFERROR(VLOOKUP(G4266,WholesaleExtract!B:M,12,FALSE),"")</f>
        <v/>
      </c>
      <c r="R4266" s="19"/>
      <c r="S4266" s="19"/>
    </row>
    <row r="4267" spans="1:19" x14ac:dyDescent="0.35">
      <c r="A4267" s="26" t="s">
        <v>543</v>
      </c>
      <c r="B4267" s="26" t="s">
        <v>543</v>
      </c>
      <c r="C4267" s="26"/>
      <c r="D4267" s="26" t="s">
        <v>543</v>
      </c>
      <c r="E4267" s="26" t="str">
        <f>IFERROR(VLOOKUP(G4267,WholesaleExtract!B:J,9,FALSE),"")</f>
        <v/>
      </c>
      <c r="F4267" s="26" t="str">
        <f>IFERROR(VLOOKUP(G4267,WholesaleExtract!B:J,6,FALSE),"")</f>
        <v/>
      </c>
      <c r="H4267" s="47" t="str">
        <f>IFERROR(VLOOKUP(G4267,WholesaleExtract!B:L,11,FALSE),"")</f>
        <v/>
      </c>
      <c r="I4267" s="26" t="str">
        <f>IFERROR(VLOOKUP(G4267,WholesaleExtract!B:O,8,FALSE),"")</f>
        <v/>
      </c>
      <c r="J4267" s="26" t="str">
        <f>IFERROR(VLOOKUP(G4267,WholesaleExtract!B:O,14,FALSE),"")</f>
        <v/>
      </c>
      <c r="K4267" s="26" t="str">
        <f>IFERROR(VLOOKUP(G4267,WholesaleExtract!B:K,10,FALSE),"")</f>
        <v/>
      </c>
      <c r="L4267" s="47" t="str">
        <f>IFERROR(VLOOKUP(G4267,WholesaleExtract!B:L,11,FALSE),"")</f>
        <v/>
      </c>
      <c r="M4267" s="47" t="str">
        <f>IFERROR(VLOOKUP(G4267,WholesaleExtract!B:M,12,FALSE),"")</f>
        <v/>
      </c>
      <c r="R4267" s="19"/>
      <c r="S4267" s="19"/>
    </row>
    <row r="4268" spans="1:19" x14ac:dyDescent="0.35">
      <c r="A4268" s="26" t="s">
        <v>543</v>
      </c>
      <c r="B4268" s="26" t="s">
        <v>543</v>
      </c>
      <c r="C4268" s="26"/>
      <c r="D4268" s="26" t="s">
        <v>543</v>
      </c>
      <c r="E4268" s="26" t="str">
        <f>IFERROR(VLOOKUP(G4268,WholesaleExtract!B:J,9,FALSE),"")</f>
        <v/>
      </c>
      <c r="F4268" s="26" t="str">
        <f>IFERROR(VLOOKUP(G4268,WholesaleExtract!B:J,6,FALSE),"")</f>
        <v/>
      </c>
      <c r="H4268" s="47" t="str">
        <f>IFERROR(VLOOKUP(G4268,WholesaleExtract!B:L,11,FALSE),"")</f>
        <v/>
      </c>
      <c r="I4268" s="26" t="str">
        <f>IFERROR(VLOOKUP(G4268,WholesaleExtract!B:O,8,FALSE),"")</f>
        <v/>
      </c>
      <c r="J4268" s="26" t="str">
        <f>IFERROR(VLOOKUP(G4268,WholesaleExtract!B:O,14,FALSE),"")</f>
        <v/>
      </c>
      <c r="K4268" s="26" t="str">
        <f>IFERROR(VLOOKUP(G4268,WholesaleExtract!B:K,10,FALSE),"")</f>
        <v/>
      </c>
      <c r="L4268" s="47" t="str">
        <f>IFERROR(VLOOKUP(G4268,WholesaleExtract!B:L,11,FALSE),"")</f>
        <v/>
      </c>
      <c r="M4268" s="47" t="str">
        <f>IFERROR(VLOOKUP(G4268,WholesaleExtract!B:M,12,FALSE),"")</f>
        <v/>
      </c>
      <c r="R4268" s="19"/>
      <c r="S4268" s="19"/>
    </row>
    <row r="4269" spans="1:19" x14ac:dyDescent="0.35">
      <c r="A4269" s="26" t="s">
        <v>543</v>
      </c>
      <c r="B4269" s="26" t="s">
        <v>543</v>
      </c>
      <c r="C4269" s="26"/>
      <c r="D4269" s="26" t="s">
        <v>543</v>
      </c>
      <c r="E4269" s="26" t="str">
        <f>IFERROR(VLOOKUP(G4269,WholesaleExtract!B:J,9,FALSE),"")</f>
        <v/>
      </c>
      <c r="F4269" s="26" t="str">
        <f>IFERROR(VLOOKUP(G4269,WholesaleExtract!B:J,6,FALSE),"")</f>
        <v/>
      </c>
      <c r="H4269" s="47" t="str">
        <f>IFERROR(VLOOKUP(G4269,WholesaleExtract!B:L,11,FALSE),"")</f>
        <v/>
      </c>
      <c r="I4269" s="26" t="str">
        <f>IFERROR(VLOOKUP(G4269,WholesaleExtract!B:O,8,FALSE),"")</f>
        <v/>
      </c>
      <c r="J4269" s="26" t="str">
        <f>IFERROR(VLOOKUP(G4269,WholesaleExtract!B:O,14,FALSE),"")</f>
        <v/>
      </c>
      <c r="K4269" s="26" t="str">
        <f>IFERROR(VLOOKUP(G4269,WholesaleExtract!B:K,10,FALSE),"")</f>
        <v/>
      </c>
      <c r="L4269" s="47" t="str">
        <f>IFERROR(VLOOKUP(G4269,WholesaleExtract!B:L,11,FALSE),"")</f>
        <v/>
      </c>
      <c r="M4269" s="47" t="str">
        <f>IFERROR(VLOOKUP(G4269,WholesaleExtract!B:M,12,FALSE),"")</f>
        <v/>
      </c>
      <c r="R4269" s="19"/>
      <c r="S4269" s="19"/>
    </row>
    <row r="4270" spans="1:19" x14ac:dyDescent="0.35">
      <c r="A4270" s="26" t="s">
        <v>543</v>
      </c>
      <c r="B4270" s="26" t="s">
        <v>543</v>
      </c>
      <c r="C4270" s="26"/>
      <c r="D4270" s="26" t="s">
        <v>543</v>
      </c>
      <c r="E4270" s="26" t="str">
        <f>IFERROR(VLOOKUP(G4270,WholesaleExtract!B:J,9,FALSE),"")</f>
        <v/>
      </c>
      <c r="F4270" s="26" t="str">
        <f>IFERROR(VLOOKUP(G4270,WholesaleExtract!B:J,6,FALSE),"")</f>
        <v/>
      </c>
      <c r="H4270" s="47" t="str">
        <f>IFERROR(VLOOKUP(G4270,WholesaleExtract!B:L,11,FALSE),"")</f>
        <v/>
      </c>
      <c r="I4270" s="26" t="str">
        <f>IFERROR(VLOOKUP(G4270,WholesaleExtract!B:O,8,FALSE),"")</f>
        <v/>
      </c>
      <c r="J4270" s="26" t="str">
        <f>IFERROR(VLOOKUP(G4270,WholesaleExtract!B:O,14,FALSE),"")</f>
        <v/>
      </c>
      <c r="K4270" s="26" t="str">
        <f>IFERROR(VLOOKUP(G4270,WholesaleExtract!B:K,10,FALSE),"")</f>
        <v/>
      </c>
      <c r="L4270" s="47" t="str">
        <f>IFERROR(VLOOKUP(G4270,WholesaleExtract!B:L,11,FALSE),"")</f>
        <v/>
      </c>
      <c r="M4270" s="47" t="str">
        <f>IFERROR(VLOOKUP(G4270,WholesaleExtract!B:M,12,FALSE),"")</f>
        <v/>
      </c>
      <c r="R4270" s="19"/>
      <c r="S4270" s="19"/>
    </row>
    <row r="4271" spans="1:19" x14ac:dyDescent="0.35">
      <c r="A4271" s="26" t="s">
        <v>543</v>
      </c>
      <c r="B4271" s="26" t="s">
        <v>543</v>
      </c>
      <c r="C4271" s="26"/>
      <c r="D4271" s="26" t="s">
        <v>543</v>
      </c>
      <c r="E4271" s="26" t="str">
        <f>IFERROR(VLOOKUP(G4271,WholesaleExtract!B:J,9,FALSE),"")</f>
        <v/>
      </c>
      <c r="F4271" s="26" t="str">
        <f>IFERROR(VLOOKUP(G4271,WholesaleExtract!B:J,6,FALSE),"")</f>
        <v/>
      </c>
      <c r="H4271" s="47" t="str">
        <f>IFERROR(VLOOKUP(G4271,WholesaleExtract!B:L,11,FALSE),"")</f>
        <v/>
      </c>
      <c r="I4271" s="26" t="str">
        <f>IFERROR(VLOOKUP(G4271,WholesaleExtract!B:O,8,FALSE),"")</f>
        <v/>
      </c>
      <c r="J4271" s="26" t="str">
        <f>IFERROR(VLOOKUP(G4271,WholesaleExtract!B:O,14,FALSE),"")</f>
        <v/>
      </c>
      <c r="K4271" s="26" t="str">
        <f>IFERROR(VLOOKUP(G4271,WholesaleExtract!B:K,10,FALSE),"")</f>
        <v/>
      </c>
      <c r="L4271" s="47" t="str">
        <f>IFERROR(VLOOKUP(G4271,WholesaleExtract!B:L,11,FALSE),"")</f>
        <v/>
      </c>
      <c r="M4271" s="47" t="str">
        <f>IFERROR(VLOOKUP(G4271,WholesaleExtract!B:M,12,FALSE),"")</f>
        <v/>
      </c>
      <c r="R4271" s="19"/>
      <c r="S4271" s="19"/>
    </row>
    <row r="4272" spans="1:19" x14ac:dyDescent="0.35">
      <c r="A4272" s="26" t="s">
        <v>543</v>
      </c>
      <c r="B4272" s="26" t="s">
        <v>543</v>
      </c>
      <c r="C4272" s="26"/>
      <c r="D4272" s="26" t="s">
        <v>543</v>
      </c>
      <c r="E4272" s="26" t="str">
        <f>IFERROR(VLOOKUP(G4272,WholesaleExtract!B:J,9,FALSE),"")</f>
        <v/>
      </c>
      <c r="F4272" s="26" t="str">
        <f>IFERROR(VLOOKUP(G4272,WholesaleExtract!B:J,6,FALSE),"")</f>
        <v/>
      </c>
      <c r="H4272" s="47" t="str">
        <f>IFERROR(VLOOKUP(G4272,WholesaleExtract!B:L,11,FALSE),"")</f>
        <v/>
      </c>
      <c r="I4272" s="26" t="str">
        <f>IFERROR(VLOOKUP(G4272,WholesaleExtract!B:O,8,FALSE),"")</f>
        <v/>
      </c>
      <c r="J4272" s="26" t="str">
        <f>IFERROR(VLOOKUP(G4272,WholesaleExtract!B:O,14,FALSE),"")</f>
        <v/>
      </c>
      <c r="K4272" s="26" t="str">
        <f>IFERROR(VLOOKUP(G4272,WholesaleExtract!B:K,10,FALSE),"")</f>
        <v/>
      </c>
      <c r="L4272" s="47" t="str">
        <f>IFERROR(VLOOKUP(G4272,WholesaleExtract!B:L,11,FALSE),"")</f>
        <v/>
      </c>
      <c r="M4272" s="47" t="str">
        <f>IFERROR(VLOOKUP(G4272,WholesaleExtract!B:M,12,FALSE),"")</f>
        <v/>
      </c>
      <c r="R4272" s="19"/>
      <c r="S4272" s="19"/>
    </row>
    <row r="4273" spans="1:19" x14ac:dyDescent="0.35">
      <c r="A4273" s="26" t="s">
        <v>543</v>
      </c>
      <c r="B4273" s="26" t="s">
        <v>543</v>
      </c>
      <c r="C4273" s="26"/>
      <c r="D4273" s="26" t="s">
        <v>543</v>
      </c>
      <c r="E4273" s="26" t="str">
        <f>IFERROR(VLOOKUP(G4273,WholesaleExtract!B:J,9,FALSE),"")</f>
        <v/>
      </c>
      <c r="F4273" s="26" t="str">
        <f>IFERROR(VLOOKUP(G4273,WholesaleExtract!B:J,6,FALSE),"")</f>
        <v/>
      </c>
      <c r="H4273" s="47" t="str">
        <f>IFERROR(VLOOKUP(G4273,WholesaleExtract!B:L,11,FALSE),"")</f>
        <v/>
      </c>
      <c r="I4273" s="26" t="str">
        <f>IFERROR(VLOOKUP(G4273,WholesaleExtract!B:O,8,FALSE),"")</f>
        <v/>
      </c>
      <c r="J4273" s="26" t="str">
        <f>IFERROR(VLOOKUP(G4273,WholesaleExtract!B:O,14,FALSE),"")</f>
        <v/>
      </c>
      <c r="K4273" s="26" t="str">
        <f>IFERROR(VLOOKUP(G4273,WholesaleExtract!B:K,10,FALSE),"")</f>
        <v/>
      </c>
      <c r="L4273" s="47" t="str">
        <f>IFERROR(VLOOKUP(G4273,WholesaleExtract!B:L,11,FALSE),"")</f>
        <v/>
      </c>
      <c r="M4273" s="47" t="str">
        <f>IFERROR(VLOOKUP(G4273,WholesaleExtract!B:M,12,FALSE),"")</f>
        <v/>
      </c>
      <c r="R4273" s="19"/>
      <c r="S4273" s="19"/>
    </row>
    <row r="4274" spans="1:19" x14ac:dyDescent="0.35">
      <c r="A4274" s="26" t="s">
        <v>543</v>
      </c>
      <c r="B4274" s="26" t="s">
        <v>543</v>
      </c>
      <c r="C4274" s="26"/>
      <c r="D4274" s="26" t="s">
        <v>543</v>
      </c>
      <c r="E4274" s="26" t="str">
        <f>IFERROR(VLOOKUP(G4274,WholesaleExtract!B:J,9,FALSE),"")</f>
        <v/>
      </c>
      <c r="F4274" s="26" t="str">
        <f>IFERROR(VLOOKUP(G4274,WholesaleExtract!B:J,6,FALSE),"")</f>
        <v/>
      </c>
      <c r="H4274" s="47" t="str">
        <f>IFERROR(VLOOKUP(G4274,WholesaleExtract!B:L,11,FALSE),"")</f>
        <v/>
      </c>
      <c r="I4274" s="26" t="str">
        <f>IFERROR(VLOOKUP(G4274,WholesaleExtract!B:O,8,FALSE),"")</f>
        <v/>
      </c>
      <c r="J4274" s="26" t="str">
        <f>IFERROR(VLOOKUP(G4274,WholesaleExtract!B:O,14,FALSE),"")</f>
        <v/>
      </c>
      <c r="K4274" s="26" t="str">
        <f>IFERROR(VLOOKUP(G4274,WholesaleExtract!B:K,10,FALSE),"")</f>
        <v/>
      </c>
      <c r="L4274" s="47" t="str">
        <f>IFERROR(VLOOKUP(G4274,WholesaleExtract!B:L,11,FALSE),"")</f>
        <v/>
      </c>
      <c r="M4274" s="47" t="str">
        <f>IFERROR(VLOOKUP(G4274,WholesaleExtract!B:M,12,FALSE),"")</f>
        <v/>
      </c>
      <c r="R4274" s="19"/>
      <c r="S4274" s="19"/>
    </row>
    <row r="4275" spans="1:19" x14ac:dyDescent="0.35">
      <c r="A4275" s="26" t="s">
        <v>543</v>
      </c>
      <c r="B4275" s="26" t="s">
        <v>543</v>
      </c>
      <c r="C4275" s="26"/>
      <c r="D4275" s="26" t="s">
        <v>543</v>
      </c>
      <c r="E4275" s="26" t="str">
        <f>IFERROR(VLOOKUP(G4275,WholesaleExtract!B:J,9,FALSE),"")</f>
        <v/>
      </c>
      <c r="F4275" s="26" t="str">
        <f>IFERROR(VLOOKUP(G4275,WholesaleExtract!B:J,6,FALSE),"")</f>
        <v/>
      </c>
      <c r="H4275" s="47" t="str">
        <f>IFERROR(VLOOKUP(G4275,WholesaleExtract!B:L,11,FALSE),"")</f>
        <v/>
      </c>
      <c r="I4275" s="26" t="str">
        <f>IFERROR(VLOOKUP(G4275,WholesaleExtract!B:O,8,FALSE),"")</f>
        <v/>
      </c>
      <c r="J4275" s="26" t="str">
        <f>IFERROR(VLOOKUP(G4275,WholesaleExtract!B:O,14,FALSE),"")</f>
        <v/>
      </c>
      <c r="K4275" s="26" t="str">
        <f>IFERROR(VLOOKUP(G4275,WholesaleExtract!B:K,10,FALSE),"")</f>
        <v/>
      </c>
      <c r="L4275" s="47" t="str">
        <f>IFERROR(VLOOKUP(G4275,WholesaleExtract!B:L,11,FALSE),"")</f>
        <v/>
      </c>
      <c r="M4275" s="47" t="str">
        <f>IFERROR(VLOOKUP(G4275,WholesaleExtract!B:M,12,FALSE),"")</f>
        <v/>
      </c>
      <c r="R4275" s="19"/>
      <c r="S4275" s="19"/>
    </row>
    <row r="4276" spans="1:19" x14ac:dyDescent="0.35">
      <c r="A4276" s="26" t="s">
        <v>543</v>
      </c>
      <c r="B4276" s="26" t="s">
        <v>543</v>
      </c>
      <c r="C4276" s="26"/>
      <c r="D4276" s="26" t="s">
        <v>543</v>
      </c>
      <c r="E4276" s="26" t="str">
        <f>IFERROR(VLOOKUP(G4276,WholesaleExtract!B:J,9,FALSE),"")</f>
        <v/>
      </c>
      <c r="F4276" s="26" t="str">
        <f>IFERROR(VLOOKUP(G4276,WholesaleExtract!B:J,6,FALSE),"")</f>
        <v/>
      </c>
      <c r="H4276" s="47" t="str">
        <f>IFERROR(VLOOKUP(G4276,WholesaleExtract!B:L,11,FALSE),"")</f>
        <v/>
      </c>
      <c r="I4276" s="26" t="str">
        <f>IFERROR(VLOOKUP(G4276,WholesaleExtract!B:O,8,FALSE),"")</f>
        <v/>
      </c>
      <c r="J4276" s="26" t="str">
        <f>IFERROR(VLOOKUP(G4276,WholesaleExtract!B:O,14,FALSE),"")</f>
        <v/>
      </c>
      <c r="K4276" s="26" t="str">
        <f>IFERROR(VLOOKUP(G4276,WholesaleExtract!B:K,10,FALSE),"")</f>
        <v/>
      </c>
      <c r="L4276" s="47" t="str">
        <f>IFERROR(VLOOKUP(G4276,WholesaleExtract!B:L,11,FALSE),"")</f>
        <v/>
      </c>
      <c r="M4276" s="47" t="str">
        <f>IFERROR(VLOOKUP(G4276,WholesaleExtract!B:M,12,FALSE),"")</f>
        <v/>
      </c>
      <c r="R4276" s="19"/>
      <c r="S4276" s="19"/>
    </row>
    <row r="4277" spans="1:19" x14ac:dyDescent="0.35">
      <c r="A4277" s="26" t="s">
        <v>543</v>
      </c>
      <c r="B4277" s="26" t="s">
        <v>543</v>
      </c>
      <c r="C4277" s="26"/>
      <c r="D4277" s="26" t="s">
        <v>543</v>
      </c>
      <c r="E4277" s="26" t="str">
        <f>IFERROR(VLOOKUP(G4277,WholesaleExtract!B:J,9,FALSE),"")</f>
        <v/>
      </c>
      <c r="F4277" s="26" t="str">
        <f>IFERROR(VLOOKUP(G4277,WholesaleExtract!B:J,6,FALSE),"")</f>
        <v/>
      </c>
      <c r="H4277" s="47" t="str">
        <f>IFERROR(VLOOKUP(G4277,WholesaleExtract!B:L,11,FALSE),"")</f>
        <v/>
      </c>
      <c r="I4277" s="26" t="str">
        <f>IFERROR(VLOOKUP(G4277,WholesaleExtract!B:O,8,FALSE),"")</f>
        <v/>
      </c>
      <c r="J4277" s="26" t="str">
        <f>IFERROR(VLOOKUP(G4277,WholesaleExtract!B:O,14,FALSE),"")</f>
        <v/>
      </c>
      <c r="K4277" s="26" t="str">
        <f>IFERROR(VLOOKUP(G4277,WholesaleExtract!B:K,10,FALSE),"")</f>
        <v/>
      </c>
      <c r="L4277" s="47" t="str">
        <f>IFERROR(VLOOKUP(G4277,WholesaleExtract!B:L,11,FALSE),"")</f>
        <v/>
      </c>
      <c r="M4277" s="47" t="str">
        <f>IFERROR(VLOOKUP(G4277,WholesaleExtract!B:M,12,FALSE),"")</f>
        <v/>
      </c>
      <c r="R4277" s="19"/>
      <c r="S4277" s="19"/>
    </row>
    <row r="4278" spans="1:19" x14ac:dyDescent="0.35">
      <c r="A4278" s="26" t="s">
        <v>543</v>
      </c>
      <c r="B4278" s="26" t="s">
        <v>543</v>
      </c>
      <c r="C4278" s="26"/>
      <c r="D4278" s="26" t="s">
        <v>543</v>
      </c>
      <c r="E4278" s="26" t="str">
        <f>IFERROR(VLOOKUP(G4278,WholesaleExtract!B:J,9,FALSE),"")</f>
        <v/>
      </c>
      <c r="F4278" s="26" t="str">
        <f>IFERROR(VLOOKUP(G4278,WholesaleExtract!B:J,6,FALSE),"")</f>
        <v/>
      </c>
      <c r="H4278" s="47" t="str">
        <f>IFERROR(VLOOKUP(G4278,WholesaleExtract!B:L,11,FALSE),"")</f>
        <v/>
      </c>
      <c r="I4278" s="26" t="str">
        <f>IFERROR(VLOOKUP(G4278,WholesaleExtract!B:O,8,FALSE),"")</f>
        <v/>
      </c>
      <c r="J4278" s="26" t="str">
        <f>IFERROR(VLOOKUP(G4278,WholesaleExtract!B:O,14,FALSE),"")</f>
        <v/>
      </c>
      <c r="K4278" s="26" t="str">
        <f>IFERROR(VLOOKUP(G4278,WholesaleExtract!B:K,10,FALSE),"")</f>
        <v/>
      </c>
      <c r="L4278" s="47" t="str">
        <f>IFERROR(VLOOKUP(G4278,WholesaleExtract!B:L,11,FALSE),"")</f>
        <v/>
      </c>
      <c r="M4278" s="47" t="str">
        <f>IFERROR(VLOOKUP(G4278,WholesaleExtract!B:M,12,FALSE),"")</f>
        <v/>
      </c>
      <c r="R4278" s="19"/>
      <c r="S4278" s="19"/>
    </row>
    <row r="4279" spans="1:19" x14ac:dyDescent="0.35">
      <c r="A4279" s="26" t="s">
        <v>543</v>
      </c>
      <c r="B4279" s="26" t="s">
        <v>543</v>
      </c>
      <c r="C4279" s="26"/>
      <c r="D4279" s="26" t="s">
        <v>543</v>
      </c>
      <c r="E4279" s="26" t="str">
        <f>IFERROR(VLOOKUP(G4279,WholesaleExtract!B:J,9,FALSE),"")</f>
        <v/>
      </c>
      <c r="F4279" s="26" t="str">
        <f>IFERROR(VLOOKUP(G4279,WholesaleExtract!B:J,6,FALSE),"")</f>
        <v/>
      </c>
      <c r="H4279" s="47" t="str">
        <f>IFERROR(VLOOKUP(G4279,WholesaleExtract!B:L,11,FALSE),"")</f>
        <v/>
      </c>
      <c r="I4279" s="26" t="str">
        <f>IFERROR(VLOOKUP(G4279,WholesaleExtract!B:O,8,FALSE),"")</f>
        <v/>
      </c>
      <c r="J4279" s="26" t="str">
        <f>IFERROR(VLOOKUP(G4279,WholesaleExtract!B:O,14,FALSE),"")</f>
        <v/>
      </c>
      <c r="K4279" s="26" t="str">
        <f>IFERROR(VLOOKUP(G4279,WholesaleExtract!B:K,10,FALSE),"")</f>
        <v/>
      </c>
      <c r="L4279" s="47" t="str">
        <f>IFERROR(VLOOKUP(G4279,WholesaleExtract!B:L,11,FALSE),"")</f>
        <v/>
      </c>
      <c r="M4279" s="47" t="str">
        <f>IFERROR(VLOOKUP(G4279,WholesaleExtract!B:M,12,FALSE),"")</f>
        <v/>
      </c>
      <c r="R4279" s="19"/>
      <c r="S4279" s="19"/>
    </row>
    <row r="4280" spans="1:19" x14ac:dyDescent="0.35">
      <c r="A4280" s="26" t="s">
        <v>543</v>
      </c>
      <c r="B4280" s="26" t="s">
        <v>543</v>
      </c>
      <c r="C4280" s="26"/>
      <c r="D4280" s="26" t="s">
        <v>543</v>
      </c>
      <c r="E4280" s="26" t="str">
        <f>IFERROR(VLOOKUP(G4280,WholesaleExtract!B:J,9,FALSE),"")</f>
        <v/>
      </c>
      <c r="F4280" s="26" t="str">
        <f>IFERROR(VLOOKUP(G4280,WholesaleExtract!B:J,6,FALSE),"")</f>
        <v/>
      </c>
      <c r="H4280" s="47" t="str">
        <f>IFERROR(VLOOKUP(G4280,WholesaleExtract!B:L,11,FALSE),"")</f>
        <v/>
      </c>
      <c r="I4280" s="26" t="str">
        <f>IFERROR(VLOOKUP(G4280,WholesaleExtract!B:O,8,FALSE),"")</f>
        <v/>
      </c>
      <c r="J4280" s="26" t="str">
        <f>IFERROR(VLOOKUP(G4280,WholesaleExtract!B:O,14,FALSE),"")</f>
        <v/>
      </c>
      <c r="K4280" s="26" t="str">
        <f>IFERROR(VLOOKUP(G4280,WholesaleExtract!B:K,10,FALSE),"")</f>
        <v/>
      </c>
      <c r="L4280" s="47" t="str">
        <f>IFERROR(VLOOKUP(G4280,WholesaleExtract!B:L,11,FALSE),"")</f>
        <v/>
      </c>
      <c r="M4280" s="47" t="str">
        <f>IFERROR(VLOOKUP(G4280,WholesaleExtract!B:M,12,FALSE),"")</f>
        <v/>
      </c>
      <c r="R4280" s="19"/>
      <c r="S4280" s="19"/>
    </row>
    <row r="4281" spans="1:19" x14ac:dyDescent="0.35">
      <c r="A4281" s="26" t="s">
        <v>543</v>
      </c>
      <c r="B4281" s="26" t="s">
        <v>543</v>
      </c>
      <c r="C4281" s="26"/>
      <c r="D4281" s="26" t="s">
        <v>543</v>
      </c>
      <c r="E4281" s="26" t="str">
        <f>IFERROR(VLOOKUP(G4281,WholesaleExtract!B:J,9,FALSE),"")</f>
        <v/>
      </c>
      <c r="F4281" s="26" t="str">
        <f>IFERROR(VLOOKUP(G4281,WholesaleExtract!B:J,6,FALSE),"")</f>
        <v/>
      </c>
      <c r="H4281" s="47" t="str">
        <f>IFERROR(VLOOKUP(G4281,WholesaleExtract!B:L,11,FALSE),"")</f>
        <v/>
      </c>
      <c r="I4281" s="26" t="str">
        <f>IFERROR(VLOOKUP(G4281,WholesaleExtract!B:O,8,FALSE),"")</f>
        <v/>
      </c>
      <c r="J4281" s="26" t="str">
        <f>IFERROR(VLOOKUP(G4281,WholesaleExtract!B:O,14,FALSE),"")</f>
        <v/>
      </c>
      <c r="K4281" s="26" t="str">
        <f>IFERROR(VLOOKUP(G4281,WholesaleExtract!B:K,10,FALSE),"")</f>
        <v/>
      </c>
      <c r="L4281" s="47" t="str">
        <f>IFERROR(VLOOKUP(G4281,WholesaleExtract!B:L,11,FALSE),"")</f>
        <v/>
      </c>
      <c r="M4281" s="47" t="str">
        <f>IFERROR(VLOOKUP(G4281,WholesaleExtract!B:M,12,FALSE),"")</f>
        <v/>
      </c>
      <c r="R4281" s="19"/>
      <c r="S4281" s="19"/>
    </row>
    <row r="4282" spans="1:19" x14ac:dyDescent="0.35">
      <c r="A4282" s="26" t="s">
        <v>543</v>
      </c>
      <c r="B4282" s="26" t="s">
        <v>543</v>
      </c>
      <c r="C4282" s="26"/>
      <c r="D4282" s="26" t="s">
        <v>543</v>
      </c>
      <c r="E4282" s="26" t="str">
        <f>IFERROR(VLOOKUP(G4282,WholesaleExtract!B:J,9,FALSE),"")</f>
        <v/>
      </c>
      <c r="F4282" s="26" t="str">
        <f>IFERROR(VLOOKUP(G4282,WholesaleExtract!B:J,6,FALSE),"")</f>
        <v/>
      </c>
      <c r="H4282" s="47" t="str">
        <f>IFERROR(VLOOKUP(G4282,WholesaleExtract!B:L,11,FALSE),"")</f>
        <v/>
      </c>
      <c r="I4282" s="26" t="str">
        <f>IFERROR(VLOOKUP(G4282,WholesaleExtract!B:O,8,FALSE),"")</f>
        <v/>
      </c>
      <c r="J4282" s="26" t="str">
        <f>IFERROR(VLOOKUP(G4282,WholesaleExtract!B:O,14,FALSE),"")</f>
        <v/>
      </c>
      <c r="K4282" s="26" t="str">
        <f>IFERROR(VLOOKUP(G4282,WholesaleExtract!B:K,10,FALSE),"")</f>
        <v/>
      </c>
      <c r="L4282" s="47" t="str">
        <f>IFERROR(VLOOKUP(G4282,WholesaleExtract!B:L,11,FALSE),"")</f>
        <v/>
      </c>
      <c r="M4282" s="47" t="str">
        <f>IFERROR(VLOOKUP(G4282,WholesaleExtract!B:M,12,FALSE),"")</f>
        <v/>
      </c>
      <c r="R4282" s="19"/>
      <c r="S4282" s="19"/>
    </row>
    <row r="4283" spans="1:19" x14ac:dyDescent="0.35">
      <c r="A4283" s="26" t="s">
        <v>543</v>
      </c>
      <c r="B4283" s="26" t="s">
        <v>543</v>
      </c>
      <c r="C4283" s="26"/>
      <c r="D4283" s="26" t="s">
        <v>543</v>
      </c>
      <c r="E4283" s="26" t="str">
        <f>IFERROR(VLOOKUP(G4283,WholesaleExtract!B:J,9,FALSE),"")</f>
        <v/>
      </c>
      <c r="F4283" s="26" t="str">
        <f>IFERROR(VLOOKUP(G4283,WholesaleExtract!B:J,6,FALSE),"")</f>
        <v/>
      </c>
      <c r="H4283" s="47" t="str">
        <f>IFERROR(VLOOKUP(G4283,WholesaleExtract!B:L,11,FALSE),"")</f>
        <v/>
      </c>
      <c r="I4283" s="26" t="str">
        <f>IFERROR(VLOOKUP(G4283,WholesaleExtract!B:O,8,FALSE),"")</f>
        <v/>
      </c>
      <c r="J4283" s="26" t="str">
        <f>IFERROR(VLOOKUP(G4283,WholesaleExtract!B:O,14,FALSE),"")</f>
        <v/>
      </c>
      <c r="K4283" s="26" t="str">
        <f>IFERROR(VLOOKUP(G4283,WholesaleExtract!B:K,10,FALSE),"")</f>
        <v/>
      </c>
      <c r="L4283" s="47" t="str">
        <f>IFERROR(VLOOKUP(G4283,WholesaleExtract!B:L,11,FALSE),"")</f>
        <v/>
      </c>
      <c r="M4283" s="47" t="str">
        <f>IFERROR(VLOOKUP(G4283,WholesaleExtract!B:M,12,FALSE),"")</f>
        <v/>
      </c>
      <c r="R4283" s="19"/>
      <c r="S4283" s="19"/>
    </row>
    <row r="4284" spans="1:19" x14ac:dyDescent="0.35">
      <c r="A4284" s="26" t="s">
        <v>543</v>
      </c>
      <c r="B4284" s="26" t="s">
        <v>543</v>
      </c>
      <c r="C4284" s="26"/>
      <c r="D4284" s="26" t="s">
        <v>543</v>
      </c>
      <c r="E4284" s="26" t="str">
        <f>IFERROR(VLOOKUP(G4284,WholesaleExtract!B:J,9,FALSE),"")</f>
        <v/>
      </c>
      <c r="F4284" s="26" t="str">
        <f>IFERROR(VLOOKUP(G4284,WholesaleExtract!B:J,6,FALSE),"")</f>
        <v/>
      </c>
      <c r="H4284" s="47" t="str">
        <f>IFERROR(VLOOKUP(G4284,WholesaleExtract!B:L,11,FALSE),"")</f>
        <v/>
      </c>
      <c r="I4284" s="26" t="str">
        <f>IFERROR(VLOOKUP(G4284,WholesaleExtract!B:O,8,FALSE),"")</f>
        <v/>
      </c>
      <c r="J4284" s="26" t="str">
        <f>IFERROR(VLOOKUP(G4284,WholesaleExtract!B:O,14,FALSE),"")</f>
        <v/>
      </c>
      <c r="K4284" s="26" t="str">
        <f>IFERROR(VLOOKUP(G4284,WholesaleExtract!B:K,10,FALSE),"")</f>
        <v/>
      </c>
      <c r="L4284" s="47" t="str">
        <f>IFERROR(VLOOKUP(G4284,WholesaleExtract!B:L,11,FALSE),"")</f>
        <v/>
      </c>
      <c r="M4284" s="47" t="str">
        <f>IFERROR(VLOOKUP(G4284,WholesaleExtract!B:M,12,FALSE),"")</f>
        <v/>
      </c>
      <c r="R4284" s="19"/>
      <c r="S4284" s="19"/>
    </row>
    <row r="4285" spans="1:19" x14ac:dyDescent="0.35">
      <c r="A4285" s="26" t="s">
        <v>543</v>
      </c>
      <c r="B4285" s="26" t="s">
        <v>543</v>
      </c>
      <c r="C4285" s="26"/>
      <c r="D4285" s="26" t="s">
        <v>543</v>
      </c>
      <c r="E4285" s="26" t="str">
        <f>IFERROR(VLOOKUP(G4285,WholesaleExtract!B:J,9,FALSE),"")</f>
        <v/>
      </c>
      <c r="F4285" s="26" t="str">
        <f>IFERROR(VLOOKUP(G4285,WholesaleExtract!B:J,6,FALSE),"")</f>
        <v/>
      </c>
      <c r="H4285" s="47" t="str">
        <f>IFERROR(VLOOKUP(G4285,WholesaleExtract!B:L,11,FALSE),"")</f>
        <v/>
      </c>
      <c r="I4285" s="26" t="str">
        <f>IFERROR(VLOOKUP(G4285,WholesaleExtract!B:O,8,FALSE),"")</f>
        <v/>
      </c>
      <c r="J4285" s="26" t="str">
        <f>IFERROR(VLOOKUP(G4285,WholesaleExtract!B:O,14,FALSE),"")</f>
        <v/>
      </c>
      <c r="K4285" s="26" t="str">
        <f>IFERROR(VLOOKUP(G4285,WholesaleExtract!B:K,10,FALSE),"")</f>
        <v/>
      </c>
      <c r="L4285" s="47" t="str">
        <f>IFERROR(VLOOKUP(G4285,WholesaleExtract!B:L,11,FALSE),"")</f>
        <v/>
      </c>
      <c r="M4285" s="47" t="str">
        <f>IFERROR(VLOOKUP(G4285,WholesaleExtract!B:M,12,FALSE),"")</f>
        <v/>
      </c>
      <c r="R4285" s="19"/>
      <c r="S4285" s="19"/>
    </row>
    <row r="4286" spans="1:19" x14ac:dyDescent="0.35">
      <c r="A4286" s="26" t="s">
        <v>543</v>
      </c>
      <c r="B4286" s="26" t="s">
        <v>543</v>
      </c>
      <c r="C4286" s="26"/>
      <c r="D4286" s="26" t="s">
        <v>543</v>
      </c>
      <c r="E4286" s="26" t="str">
        <f>IFERROR(VLOOKUP(G4286,WholesaleExtract!B:J,9,FALSE),"")</f>
        <v/>
      </c>
      <c r="F4286" s="26" t="str">
        <f>IFERROR(VLOOKUP(G4286,WholesaleExtract!B:J,6,FALSE),"")</f>
        <v/>
      </c>
      <c r="H4286" s="47" t="str">
        <f>IFERROR(VLOOKUP(G4286,WholesaleExtract!B:L,11,FALSE),"")</f>
        <v/>
      </c>
      <c r="I4286" s="26" t="str">
        <f>IFERROR(VLOOKUP(G4286,WholesaleExtract!B:O,8,FALSE),"")</f>
        <v/>
      </c>
      <c r="J4286" s="26" t="str">
        <f>IFERROR(VLOOKUP(G4286,WholesaleExtract!B:O,14,FALSE),"")</f>
        <v/>
      </c>
      <c r="K4286" s="26" t="str">
        <f>IFERROR(VLOOKUP(G4286,WholesaleExtract!B:K,10,FALSE),"")</f>
        <v/>
      </c>
      <c r="L4286" s="47" t="str">
        <f>IFERROR(VLOOKUP(G4286,WholesaleExtract!B:L,11,FALSE),"")</f>
        <v/>
      </c>
      <c r="M4286" s="47" t="str">
        <f>IFERROR(VLOOKUP(G4286,WholesaleExtract!B:M,12,FALSE),"")</f>
        <v/>
      </c>
      <c r="R4286" s="19"/>
      <c r="S4286" s="19"/>
    </row>
    <row r="4287" spans="1:19" x14ac:dyDescent="0.35">
      <c r="A4287" s="26" t="s">
        <v>543</v>
      </c>
      <c r="B4287" s="26" t="s">
        <v>543</v>
      </c>
      <c r="C4287" s="26"/>
      <c r="D4287" s="26" t="s">
        <v>543</v>
      </c>
      <c r="E4287" s="26" t="str">
        <f>IFERROR(VLOOKUP(G4287,WholesaleExtract!B:J,9,FALSE),"")</f>
        <v/>
      </c>
      <c r="F4287" s="26" t="str">
        <f>IFERROR(VLOOKUP(G4287,WholesaleExtract!B:J,6,FALSE),"")</f>
        <v/>
      </c>
      <c r="H4287" s="47" t="str">
        <f>IFERROR(VLOOKUP(G4287,WholesaleExtract!B:L,11,FALSE),"")</f>
        <v/>
      </c>
      <c r="I4287" s="26" t="str">
        <f>IFERROR(VLOOKUP(G4287,WholesaleExtract!B:O,8,FALSE),"")</f>
        <v/>
      </c>
      <c r="J4287" s="26" t="str">
        <f>IFERROR(VLOOKUP(G4287,WholesaleExtract!B:O,14,FALSE),"")</f>
        <v/>
      </c>
      <c r="K4287" s="26" t="str">
        <f>IFERROR(VLOOKUP(G4287,WholesaleExtract!B:K,10,FALSE),"")</f>
        <v/>
      </c>
      <c r="L4287" s="47" t="str">
        <f>IFERROR(VLOOKUP(G4287,WholesaleExtract!B:L,11,FALSE),"")</f>
        <v/>
      </c>
      <c r="M4287" s="47" t="str">
        <f>IFERROR(VLOOKUP(G4287,WholesaleExtract!B:M,12,FALSE),"")</f>
        <v/>
      </c>
      <c r="R4287" s="19"/>
      <c r="S4287" s="19"/>
    </row>
    <row r="4288" spans="1:19" x14ac:dyDescent="0.35">
      <c r="A4288" s="26" t="s">
        <v>543</v>
      </c>
      <c r="B4288" s="26" t="s">
        <v>543</v>
      </c>
      <c r="C4288" s="26"/>
      <c r="D4288" s="26" t="s">
        <v>543</v>
      </c>
      <c r="E4288" s="26" t="str">
        <f>IFERROR(VLOOKUP(G4288,WholesaleExtract!B:J,9,FALSE),"")</f>
        <v/>
      </c>
      <c r="F4288" s="26" t="str">
        <f>IFERROR(VLOOKUP(G4288,WholesaleExtract!B:J,6,FALSE),"")</f>
        <v/>
      </c>
      <c r="H4288" s="47" t="str">
        <f>IFERROR(VLOOKUP(G4288,WholesaleExtract!B:L,11,FALSE),"")</f>
        <v/>
      </c>
      <c r="I4288" s="26" t="str">
        <f>IFERROR(VLOOKUP(G4288,WholesaleExtract!B:O,8,FALSE),"")</f>
        <v/>
      </c>
      <c r="J4288" s="26" t="str">
        <f>IFERROR(VLOOKUP(G4288,WholesaleExtract!B:O,14,FALSE),"")</f>
        <v/>
      </c>
      <c r="K4288" s="26" t="str">
        <f>IFERROR(VLOOKUP(G4288,WholesaleExtract!B:K,10,FALSE),"")</f>
        <v/>
      </c>
      <c r="L4288" s="47" t="str">
        <f>IFERROR(VLOOKUP(G4288,WholesaleExtract!B:L,11,FALSE),"")</f>
        <v/>
      </c>
      <c r="M4288" s="47" t="str">
        <f>IFERROR(VLOOKUP(G4288,WholesaleExtract!B:M,12,FALSE),"")</f>
        <v/>
      </c>
      <c r="R4288" s="19"/>
      <c r="S4288" s="19"/>
    </row>
    <row r="4289" spans="1:19" x14ac:dyDescent="0.35">
      <c r="A4289" s="26" t="s">
        <v>543</v>
      </c>
      <c r="B4289" s="26" t="s">
        <v>543</v>
      </c>
      <c r="C4289" s="26"/>
      <c r="D4289" s="26" t="s">
        <v>543</v>
      </c>
      <c r="E4289" s="26" t="str">
        <f>IFERROR(VLOOKUP(G4289,WholesaleExtract!B:J,9,FALSE),"")</f>
        <v/>
      </c>
      <c r="F4289" s="26" t="str">
        <f>IFERROR(VLOOKUP(G4289,WholesaleExtract!B:J,6,FALSE),"")</f>
        <v/>
      </c>
      <c r="H4289" s="47" t="str">
        <f>IFERROR(VLOOKUP(G4289,WholesaleExtract!B:L,11,FALSE),"")</f>
        <v/>
      </c>
      <c r="I4289" s="26" t="str">
        <f>IFERROR(VLOOKUP(G4289,WholesaleExtract!B:O,8,FALSE),"")</f>
        <v/>
      </c>
      <c r="J4289" s="26" t="str">
        <f>IFERROR(VLOOKUP(G4289,WholesaleExtract!B:O,14,FALSE),"")</f>
        <v/>
      </c>
      <c r="K4289" s="26" t="str">
        <f>IFERROR(VLOOKUP(G4289,WholesaleExtract!B:K,10,FALSE),"")</f>
        <v/>
      </c>
      <c r="L4289" s="47" t="str">
        <f>IFERROR(VLOOKUP(G4289,WholesaleExtract!B:L,11,FALSE),"")</f>
        <v/>
      </c>
      <c r="M4289" s="47" t="str">
        <f>IFERROR(VLOOKUP(G4289,WholesaleExtract!B:M,12,FALSE),"")</f>
        <v/>
      </c>
      <c r="R4289" s="19"/>
      <c r="S4289" s="19"/>
    </row>
    <row r="4290" spans="1:19" x14ac:dyDescent="0.35">
      <c r="A4290" s="26" t="s">
        <v>543</v>
      </c>
      <c r="B4290" s="26" t="s">
        <v>543</v>
      </c>
      <c r="C4290" s="26"/>
      <c r="D4290" s="26" t="s">
        <v>543</v>
      </c>
      <c r="E4290" s="26" t="str">
        <f>IFERROR(VLOOKUP(G4290,WholesaleExtract!B:J,9,FALSE),"")</f>
        <v/>
      </c>
      <c r="F4290" s="26" t="str">
        <f>IFERROR(VLOOKUP(G4290,WholesaleExtract!B:J,6,FALSE),"")</f>
        <v/>
      </c>
      <c r="H4290" s="47" t="str">
        <f>IFERROR(VLOOKUP(G4290,WholesaleExtract!B:L,11,FALSE),"")</f>
        <v/>
      </c>
      <c r="I4290" s="26" t="str">
        <f>IFERROR(VLOOKUP(G4290,WholesaleExtract!B:O,8,FALSE),"")</f>
        <v/>
      </c>
      <c r="J4290" s="26" t="str">
        <f>IFERROR(VLOOKUP(G4290,WholesaleExtract!B:O,14,FALSE),"")</f>
        <v/>
      </c>
      <c r="K4290" s="26" t="str">
        <f>IFERROR(VLOOKUP(G4290,WholesaleExtract!B:K,10,FALSE),"")</f>
        <v/>
      </c>
      <c r="L4290" s="47" t="str">
        <f>IFERROR(VLOOKUP(G4290,WholesaleExtract!B:L,11,FALSE),"")</f>
        <v/>
      </c>
      <c r="M4290" s="47" t="str">
        <f>IFERROR(VLOOKUP(G4290,WholesaleExtract!B:M,12,FALSE),"")</f>
        <v/>
      </c>
      <c r="R4290" s="19"/>
      <c r="S4290" s="19"/>
    </row>
    <row r="4291" spans="1:19" x14ac:dyDescent="0.35">
      <c r="A4291" s="26" t="s">
        <v>543</v>
      </c>
      <c r="B4291" s="26" t="s">
        <v>543</v>
      </c>
      <c r="C4291" s="26"/>
      <c r="D4291" s="26" t="s">
        <v>543</v>
      </c>
      <c r="E4291" s="26" t="str">
        <f>IFERROR(VLOOKUP(G4291,WholesaleExtract!B:J,9,FALSE),"")</f>
        <v/>
      </c>
      <c r="F4291" s="26" t="str">
        <f>IFERROR(VLOOKUP(G4291,WholesaleExtract!B:J,6,FALSE),"")</f>
        <v/>
      </c>
      <c r="H4291" s="47" t="str">
        <f>IFERROR(VLOOKUP(G4291,WholesaleExtract!B:L,11,FALSE),"")</f>
        <v/>
      </c>
      <c r="I4291" s="26" t="str">
        <f>IFERROR(VLOOKUP(G4291,WholesaleExtract!B:O,8,FALSE),"")</f>
        <v/>
      </c>
      <c r="J4291" s="26" t="str">
        <f>IFERROR(VLOOKUP(G4291,WholesaleExtract!B:O,14,FALSE),"")</f>
        <v/>
      </c>
      <c r="K4291" s="26" t="str">
        <f>IFERROR(VLOOKUP(G4291,WholesaleExtract!B:K,10,FALSE),"")</f>
        <v/>
      </c>
      <c r="L4291" s="47" t="str">
        <f>IFERROR(VLOOKUP(G4291,WholesaleExtract!B:L,11,FALSE),"")</f>
        <v/>
      </c>
      <c r="M4291" s="47" t="str">
        <f>IFERROR(VLOOKUP(G4291,WholesaleExtract!B:M,12,FALSE),"")</f>
        <v/>
      </c>
      <c r="R4291" s="19"/>
      <c r="S4291" s="19"/>
    </row>
    <row r="4292" spans="1:19" x14ac:dyDescent="0.35">
      <c r="A4292" s="26" t="s">
        <v>543</v>
      </c>
      <c r="B4292" s="26" t="s">
        <v>543</v>
      </c>
      <c r="C4292" s="26"/>
      <c r="D4292" s="26" t="s">
        <v>543</v>
      </c>
      <c r="E4292" s="26" t="str">
        <f>IFERROR(VLOOKUP(G4292,WholesaleExtract!B:J,9,FALSE),"")</f>
        <v/>
      </c>
      <c r="F4292" s="26" t="str">
        <f>IFERROR(VLOOKUP(G4292,WholesaleExtract!B:J,6,FALSE),"")</f>
        <v/>
      </c>
      <c r="H4292" s="47" t="str">
        <f>IFERROR(VLOOKUP(G4292,WholesaleExtract!B:L,11,FALSE),"")</f>
        <v/>
      </c>
      <c r="I4292" s="26" t="str">
        <f>IFERROR(VLOOKUP(G4292,WholesaleExtract!B:O,8,FALSE),"")</f>
        <v/>
      </c>
      <c r="J4292" s="26" t="str">
        <f>IFERROR(VLOOKUP(G4292,WholesaleExtract!B:O,14,FALSE),"")</f>
        <v/>
      </c>
      <c r="K4292" s="26" t="str">
        <f>IFERROR(VLOOKUP(G4292,WholesaleExtract!B:K,10,FALSE),"")</f>
        <v/>
      </c>
      <c r="L4292" s="47" t="str">
        <f>IFERROR(VLOOKUP(G4292,WholesaleExtract!B:L,11,FALSE),"")</f>
        <v/>
      </c>
      <c r="M4292" s="47" t="str">
        <f>IFERROR(VLOOKUP(G4292,WholesaleExtract!B:M,12,FALSE),"")</f>
        <v/>
      </c>
      <c r="R4292" s="19"/>
      <c r="S4292" s="19"/>
    </row>
    <row r="4293" spans="1:19" x14ac:dyDescent="0.35">
      <c r="A4293" s="26" t="s">
        <v>543</v>
      </c>
      <c r="B4293" s="26" t="s">
        <v>543</v>
      </c>
      <c r="C4293" s="26"/>
      <c r="D4293" s="26" t="s">
        <v>543</v>
      </c>
      <c r="E4293" s="26" t="str">
        <f>IFERROR(VLOOKUP(G4293,WholesaleExtract!B:J,9,FALSE),"")</f>
        <v/>
      </c>
      <c r="F4293" s="26" t="str">
        <f>IFERROR(VLOOKUP(G4293,WholesaleExtract!B:J,6,FALSE),"")</f>
        <v/>
      </c>
      <c r="H4293" s="47" t="str">
        <f>IFERROR(VLOOKUP(G4293,WholesaleExtract!B:L,11,FALSE),"")</f>
        <v/>
      </c>
      <c r="I4293" s="26" t="str">
        <f>IFERROR(VLOOKUP(G4293,WholesaleExtract!B:O,8,FALSE),"")</f>
        <v/>
      </c>
      <c r="J4293" s="26" t="str">
        <f>IFERROR(VLOOKUP(G4293,WholesaleExtract!B:O,14,FALSE),"")</f>
        <v/>
      </c>
      <c r="K4293" s="26" t="str">
        <f>IFERROR(VLOOKUP(G4293,WholesaleExtract!B:K,10,FALSE),"")</f>
        <v/>
      </c>
      <c r="L4293" s="47" t="str">
        <f>IFERROR(VLOOKUP(G4293,WholesaleExtract!B:L,11,FALSE),"")</f>
        <v/>
      </c>
      <c r="M4293" s="47" t="str">
        <f>IFERROR(VLOOKUP(G4293,WholesaleExtract!B:M,12,FALSE),"")</f>
        <v/>
      </c>
      <c r="R4293" s="19"/>
      <c r="S4293" s="19"/>
    </row>
    <row r="4294" spans="1:19" x14ac:dyDescent="0.35">
      <c r="A4294" s="26" t="s">
        <v>543</v>
      </c>
      <c r="B4294" s="26" t="s">
        <v>543</v>
      </c>
      <c r="C4294" s="26"/>
      <c r="D4294" s="26" t="s">
        <v>543</v>
      </c>
      <c r="E4294" s="26" t="str">
        <f>IFERROR(VLOOKUP(G4294,WholesaleExtract!B:J,9,FALSE),"")</f>
        <v/>
      </c>
      <c r="F4294" s="26" t="str">
        <f>IFERROR(VLOOKUP(G4294,WholesaleExtract!B:J,6,FALSE),"")</f>
        <v/>
      </c>
      <c r="H4294" s="47" t="str">
        <f>IFERROR(VLOOKUP(G4294,WholesaleExtract!B:L,11,FALSE),"")</f>
        <v/>
      </c>
      <c r="I4294" s="26" t="str">
        <f>IFERROR(VLOOKUP(G4294,WholesaleExtract!B:O,8,FALSE),"")</f>
        <v/>
      </c>
      <c r="J4294" s="26" t="str">
        <f>IFERROR(VLOOKUP(G4294,WholesaleExtract!B:O,14,FALSE),"")</f>
        <v/>
      </c>
      <c r="K4294" s="26" t="str">
        <f>IFERROR(VLOOKUP(G4294,WholesaleExtract!B:K,10,FALSE),"")</f>
        <v/>
      </c>
      <c r="L4294" s="47" t="str">
        <f>IFERROR(VLOOKUP(G4294,WholesaleExtract!B:L,11,FALSE),"")</f>
        <v/>
      </c>
      <c r="M4294" s="47" t="str">
        <f>IFERROR(VLOOKUP(G4294,WholesaleExtract!B:M,12,FALSE),"")</f>
        <v/>
      </c>
      <c r="R4294" s="19"/>
      <c r="S4294" s="19"/>
    </row>
    <row r="4295" spans="1:19" x14ac:dyDescent="0.35">
      <c r="A4295" s="26" t="s">
        <v>543</v>
      </c>
      <c r="B4295" s="26" t="s">
        <v>543</v>
      </c>
      <c r="C4295" s="26"/>
      <c r="D4295" s="26" t="s">
        <v>543</v>
      </c>
      <c r="E4295" s="26" t="str">
        <f>IFERROR(VLOOKUP(G4295,WholesaleExtract!B:J,9,FALSE),"")</f>
        <v/>
      </c>
      <c r="F4295" s="26" t="str">
        <f>IFERROR(VLOOKUP(G4295,WholesaleExtract!B:J,6,FALSE),"")</f>
        <v/>
      </c>
      <c r="H4295" s="47" t="str">
        <f>IFERROR(VLOOKUP(G4295,WholesaleExtract!B:L,11,FALSE),"")</f>
        <v/>
      </c>
      <c r="I4295" s="26" t="str">
        <f>IFERROR(VLOOKUP(G4295,WholesaleExtract!B:O,8,FALSE),"")</f>
        <v/>
      </c>
      <c r="J4295" s="26" t="str">
        <f>IFERROR(VLOOKUP(G4295,WholesaleExtract!B:O,14,FALSE),"")</f>
        <v/>
      </c>
      <c r="K4295" s="26" t="str">
        <f>IFERROR(VLOOKUP(G4295,WholesaleExtract!B:K,10,FALSE),"")</f>
        <v/>
      </c>
      <c r="L4295" s="47" t="str">
        <f>IFERROR(VLOOKUP(G4295,WholesaleExtract!B:L,11,FALSE),"")</f>
        <v/>
      </c>
      <c r="M4295" s="47" t="str">
        <f>IFERROR(VLOOKUP(G4295,WholesaleExtract!B:M,12,FALSE),"")</f>
        <v/>
      </c>
      <c r="R4295" s="19"/>
      <c r="S4295" s="19"/>
    </row>
    <row r="4296" spans="1:19" x14ac:dyDescent="0.35">
      <c r="A4296" s="26" t="s">
        <v>543</v>
      </c>
      <c r="B4296" s="26" t="s">
        <v>543</v>
      </c>
      <c r="C4296" s="26"/>
      <c r="D4296" s="26" t="s">
        <v>543</v>
      </c>
      <c r="E4296" s="26" t="str">
        <f>IFERROR(VLOOKUP(G4296,WholesaleExtract!B:J,9,FALSE),"")</f>
        <v/>
      </c>
      <c r="F4296" s="26" t="str">
        <f>IFERROR(VLOOKUP(G4296,WholesaleExtract!B:J,6,FALSE),"")</f>
        <v/>
      </c>
      <c r="H4296" s="47" t="str">
        <f>IFERROR(VLOOKUP(G4296,WholesaleExtract!B:L,11,FALSE),"")</f>
        <v/>
      </c>
      <c r="I4296" s="26" t="str">
        <f>IFERROR(VLOOKUP(G4296,WholesaleExtract!B:O,8,FALSE),"")</f>
        <v/>
      </c>
      <c r="J4296" s="26" t="str">
        <f>IFERROR(VLOOKUP(G4296,WholesaleExtract!B:O,14,FALSE),"")</f>
        <v/>
      </c>
      <c r="K4296" s="26" t="str">
        <f>IFERROR(VLOOKUP(G4296,WholesaleExtract!B:K,10,FALSE),"")</f>
        <v/>
      </c>
      <c r="L4296" s="47" t="str">
        <f>IFERROR(VLOOKUP(G4296,WholesaleExtract!B:L,11,FALSE),"")</f>
        <v/>
      </c>
      <c r="M4296" s="47" t="str">
        <f>IFERROR(VLOOKUP(G4296,WholesaleExtract!B:M,12,FALSE),"")</f>
        <v/>
      </c>
      <c r="R4296" s="19"/>
      <c r="S4296" s="19"/>
    </row>
    <row r="4297" spans="1:19" x14ac:dyDescent="0.35">
      <c r="A4297" s="26" t="s">
        <v>543</v>
      </c>
      <c r="B4297" s="26" t="s">
        <v>543</v>
      </c>
      <c r="C4297" s="26"/>
      <c r="D4297" s="26" t="s">
        <v>543</v>
      </c>
      <c r="E4297" s="26" t="str">
        <f>IFERROR(VLOOKUP(G4297,WholesaleExtract!B:J,9,FALSE),"")</f>
        <v/>
      </c>
      <c r="F4297" s="26" t="str">
        <f>IFERROR(VLOOKUP(G4297,WholesaleExtract!B:J,6,FALSE),"")</f>
        <v/>
      </c>
      <c r="H4297" s="47" t="str">
        <f>IFERROR(VLOOKUP(G4297,WholesaleExtract!B:L,11,FALSE),"")</f>
        <v/>
      </c>
      <c r="I4297" s="26" t="str">
        <f>IFERROR(VLOOKUP(G4297,WholesaleExtract!B:O,8,FALSE),"")</f>
        <v/>
      </c>
      <c r="J4297" s="26" t="str">
        <f>IFERROR(VLOOKUP(G4297,WholesaleExtract!B:O,14,FALSE),"")</f>
        <v/>
      </c>
      <c r="K4297" s="26" t="str">
        <f>IFERROR(VLOOKUP(G4297,WholesaleExtract!B:K,10,FALSE),"")</f>
        <v/>
      </c>
      <c r="L4297" s="47" t="str">
        <f>IFERROR(VLOOKUP(G4297,WholesaleExtract!B:L,11,FALSE),"")</f>
        <v/>
      </c>
      <c r="M4297" s="47" t="str">
        <f>IFERROR(VLOOKUP(G4297,WholesaleExtract!B:M,12,FALSE),"")</f>
        <v/>
      </c>
      <c r="R4297" s="19"/>
      <c r="S4297" s="19"/>
    </row>
    <row r="4298" spans="1:19" x14ac:dyDescent="0.35">
      <c r="A4298" s="26" t="s">
        <v>543</v>
      </c>
      <c r="B4298" s="26" t="s">
        <v>543</v>
      </c>
      <c r="C4298" s="26"/>
      <c r="D4298" s="26" t="s">
        <v>543</v>
      </c>
      <c r="E4298" s="26" t="str">
        <f>IFERROR(VLOOKUP(G4298,WholesaleExtract!B:J,9,FALSE),"")</f>
        <v/>
      </c>
      <c r="F4298" s="26" t="str">
        <f>IFERROR(VLOOKUP(G4298,WholesaleExtract!B:J,6,FALSE),"")</f>
        <v/>
      </c>
      <c r="H4298" s="47" t="str">
        <f>IFERROR(VLOOKUP(G4298,WholesaleExtract!B:L,11,FALSE),"")</f>
        <v/>
      </c>
      <c r="I4298" s="26" t="str">
        <f>IFERROR(VLOOKUP(G4298,WholesaleExtract!B:O,8,FALSE),"")</f>
        <v/>
      </c>
      <c r="J4298" s="26" t="str">
        <f>IFERROR(VLOOKUP(G4298,WholesaleExtract!B:O,14,FALSE),"")</f>
        <v/>
      </c>
      <c r="K4298" s="26" t="str">
        <f>IFERROR(VLOOKUP(G4298,WholesaleExtract!B:K,10,FALSE),"")</f>
        <v/>
      </c>
      <c r="L4298" s="47" t="str">
        <f>IFERROR(VLOOKUP(G4298,WholesaleExtract!B:L,11,FALSE),"")</f>
        <v/>
      </c>
      <c r="M4298" s="47" t="str">
        <f>IFERROR(VLOOKUP(G4298,WholesaleExtract!B:M,12,FALSE),"")</f>
        <v/>
      </c>
      <c r="R4298" s="19"/>
      <c r="S4298" s="19"/>
    </row>
    <row r="4299" spans="1:19" x14ac:dyDescent="0.35">
      <c r="A4299" s="26" t="s">
        <v>543</v>
      </c>
      <c r="B4299" s="26" t="s">
        <v>543</v>
      </c>
      <c r="C4299" s="26"/>
      <c r="D4299" s="26" t="s">
        <v>543</v>
      </c>
      <c r="E4299" s="26" t="str">
        <f>IFERROR(VLOOKUP(G4299,WholesaleExtract!B:J,9,FALSE),"")</f>
        <v/>
      </c>
      <c r="F4299" s="26" t="str">
        <f>IFERROR(VLOOKUP(G4299,WholesaleExtract!B:J,6,FALSE),"")</f>
        <v/>
      </c>
      <c r="H4299" s="47" t="str">
        <f>IFERROR(VLOOKUP(G4299,WholesaleExtract!B:L,11,FALSE),"")</f>
        <v/>
      </c>
      <c r="I4299" s="26" t="str">
        <f>IFERROR(VLOOKUP(G4299,WholesaleExtract!B:O,8,FALSE),"")</f>
        <v/>
      </c>
      <c r="J4299" s="26" t="str">
        <f>IFERROR(VLOOKUP(G4299,WholesaleExtract!B:O,14,FALSE),"")</f>
        <v/>
      </c>
      <c r="K4299" s="26" t="str">
        <f>IFERROR(VLOOKUP(G4299,WholesaleExtract!B:K,10,FALSE),"")</f>
        <v/>
      </c>
      <c r="L4299" s="47" t="str">
        <f>IFERROR(VLOOKUP(G4299,WholesaleExtract!B:L,11,FALSE),"")</f>
        <v/>
      </c>
      <c r="M4299" s="47" t="str">
        <f>IFERROR(VLOOKUP(G4299,WholesaleExtract!B:M,12,FALSE),"")</f>
        <v/>
      </c>
      <c r="R4299" s="19"/>
      <c r="S4299" s="19"/>
    </row>
    <row r="4300" spans="1:19" x14ac:dyDescent="0.35">
      <c r="A4300" s="26" t="s">
        <v>543</v>
      </c>
      <c r="B4300" s="26" t="s">
        <v>543</v>
      </c>
      <c r="C4300" s="26"/>
      <c r="D4300" s="26" t="s">
        <v>543</v>
      </c>
      <c r="E4300" s="26" t="str">
        <f>IFERROR(VLOOKUP(G4300,WholesaleExtract!B:J,9,FALSE),"")</f>
        <v/>
      </c>
      <c r="F4300" s="26" t="str">
        <f>IFERROR(VLOOKUP(G4300,WholesaleExtract!B:J,6,FALSE),"")</f>
        <v/>
      </c>
      <c r="H4300" s="47" t="str">
        <f>IFERROR(VLOOKUP(G4300,WholesaleExtract!B:L,11,FALSE),"")</f>
        <v/>
      </c>
      <c r="I4300" s="26" t="str">
        <f>IFERROR(VLOOKUP(G4300,WholesaleExtract!B:O,8,FALSE),"")</f>
        <v/>
      </c>
      <c r="J4300" s="26" t="str">
        <f>IFERROR(VLOOKUP(G4300,WholesaleExtract!B:O,14,FALSE),"")</f>
        <v/>
      </c>
      <c r="K4300" s="26" t="str">
        <f>IFERROR(VLOOKUP(G4300,WholesaleExtract!B:K,10,FALSE),"")</f>
        <v/>
      </c>
      <c r="L4300" s="47" t="str">
        <f>IFERROR(VLOOKUP(G4300,WholesaleExtract!B:L,11,FALSE),"")</f>
        <v/>
      </c>
      <c r="M4300" s="47" t="str">
        <f>IFERROR(VLOOKUP(G4300,WholesaleExtract!B:M,12,FALSE),"")</f>
        <v/>
      </c>
      <c r="R4300" s="19"/>
      <c r="S4300" s="19"/>
    </row>
    <row r="4301" spans="1:19" x14ac:dyDescent="0.35">
      <c r="A4301" s="26" t="s">
        <v>543</v>
      </c>
      <c r="B4301" s="26" t="s">
        <v>543</v>
      </c>
      <c r="C4301" s="26"/>
      <c r="D4301" s="26" t="s">
        <v>543</v>
      </c>
      <c r="E4301" s="26" t="str">
        <f>IFERROR(VLOOKUP(G4301,WholesaleExtract!B:J,9,FALSE),"")</f>
        <v/>
      </c>
      <c r="F4301" s="26" t="str">
        <f>IFERROR(VLOOKUP(G4301,WholesaleExtract!B:J,6,FALSE),"")</f>
        <v/>
      </c>
      <c r="H4301" s="47" t="str">
        <f>IFERROR(VLOOKUP(G4301,WholesaleExtract!B:L,11,FALSE),"")</f>
        <v/>
      </c>
      <c r="I4301" s="26" t="str">
        <f>IFERROR(VLOOKUP(G4301,WholesaleExtract!B:O,8,FALSE),"")</f>
        <v/>
      </c>
      <c r="J4301" s="26" t="str">
        <f>IFERROR(VLOOKUP(G4301,WholesaleExtract!B:O,14,FALSE),"")</f>
        <v/>
      </c>
      <c r="K4301" s="26" t="str">
        <f>IFERROR(VLOOKUP(G4301,WholesaleExtract!B:K,10,FALSE),"")</f>
        <v/>
      </c>
      <c r="L4301" s="47" t="str">
        <f>IFERROR(VLOOKUP(G4301,WholesaleExtract!B:L,11,FALSE),"")</f>
        <v/>
      </c>
      <c r="M4301" s="47" t="str">
        <f>IFERROR(VLOOKUP(G4301,WholesaleExtract!B:M,12,FALSE),"")</f>
        <v/>
      </c>
      <c r="R4301" s="19"/>
      <c r="S4301" s="19"/>
    </row>
    <row r="4302" spans="1:19" x14ac:dyDescent="0.35">
      <c r="A4302" s="26" t="s">
        <v>543</v>
      </c>
      <c r="B4302" s="26" t="s">
        <v>543</v>
      </c>
      <c r="C4302" s="26"/>
      <c r="D4302" s="26" t="s">
        <v>543</v>
      </c>
      <c r="E4302" s="26" t="str">
        <f>IFERROR(VLOOKUP(G4302,WholesaleExtract!B:J,9,FALSE),"")</f>
        <v/>
      </c>
      <c r="F4302" s="26" t="str">
        <f>IFERROR(VLOOKUP(G4302,WholesaleExtract!B:J,6,FALSE),"")</f>
        <v/>
      </c>
      <c r="H4302" s="47" t="str">
        <f>IFERROR(VLOOKUP(G4302,WholesaleExtract!B:L,11,FALSE),"")</f>
        <v/>
      </c>
      <c r="I4302" s="26" t="str">
        <f>IFERROR(VLOOKUP(G4302,WholesaleExtract!B:O,8,FALSE),"")</f>
        <v/>
      </c>
      <c r="J4302" s="26" t="str">
        <f>IFERROR(VLOOKUP(G4302,WholesaleExtract!B:O,14,FALSE),"")</f>
        <v/>
      </c>
      <c r="K4302" s="26" t="str">
        <f>IFERROR(VLOOKUP(G4302,WholesaleExtract!B:K,10,FALSE),"")</f>
        <v/>
      </c>
      <c r="L4302" s="47" t="str">
        <f>IFERROR(VLOOKUP(G4302,WholesaleExtract!B:L,11,FALSE),"")</f>
        <v/>
      </c>
      <c r="M4302" s="47" t="str">
        <f>IFERROR(VLOOKUP(G4302,WholesaleExtract!B:M,12,FALSE),"")</f>
        <v/>
      </c>
      <c r="R4302" s="19"/>
      <c r="S4302" s="19"/>
    </row>
    <row r="4303" spans="1:19" x14ac:dyDescent="0.35">
      <c r="A4303" s="26" t="s">
        <v>543</v>
      </c>
      <c r="B4303" s="26" t="s">
        <v>543</v>
      </c>
      <c r="C4303" s="26"/>
      <c r="D4303" s="26" t="s">
        <v>543</v>
      </c>
      <c r="E4303" s="26" t="str">
        <f>IFERROR(VLOOKUP(G4303,WholesaleExtract!B:J,9,FALSE),"")</f>
        <v/>
      </c>
      <c r="F4303" s="26" t="str">
        <f>IFERROR(VLOOKUP(G4303,WholesaleExtract!B:J,6,FALSE),"")</f>
        <v/>
      </c>
      <c r="H4303" s="47" t="str">
        <f>IFERROR(VLOOKUP(G4303,WholesaleExtract!B:L,11,FALSE),"")</f>
        <v/>
      </c>
      <c r="I4303" s="26" t="str">
        <f>IFERROR(VLOOKUP(G4303,WholesaleExtract!B:O,8,FALSE),"")</f>
        <v/>
      </c>
      <c r="J4303" s="26" t="str">
        <f>IFERROR(VLOOKUP(G4303,WholesaleExtract!B:O,14,FALSE),"")</f>
        <v/>
      </c>
      <c r="K4303" s="26" t="str">
        <f>IFERROR(VLOOKUP(G4303,WholesaleExtract!B:K,10,FALSE),"")</f>
        <v/>
      </c>
      <c r="L4303" s="47" t="str">
        <f>IFERROR(VLOOKUP(G4303,WholesaleExtract!B:L,11,FALSE),"")</f>
        <v/>
      </c>
      <c r="M4303" s="47" t="str">
        <f>IFERROR(VLOOKUP(G4303,WholesaleExtract!B:M,12,FALSE),"")</f>
        <v/>
      </c>
      <c r="R4303" s="19"/>
      <c r="S4303" s="19"/>
    </row>
    <row r="4304" spans="1:19" x14ac:dyDescent="0.35">
      <c r="A4304" s="26" t="s">
        <v>543</v>
      </c>
      <c r="B4304" s="26" t="s">
        <v>543</v>
      </c>
      <c r="C4304" s="26"/>
      <c r="D4304" s="26" t="s">
        <v>543</v>
      </c>
      <c r="E4304" s="26" t="str">
        <f>IFERROR(VLOOKUP(G4304,WholesaleExtract!B:J,9,FALSE),"")</f>
        <v/>
      </c>
      <c r="F4304" s="26" t="str">
        <f>IFERROR(VLOOKUP(G4304,WholesaleExtract!B:J,6,FALSE),"")</f>
        <v/>
      </c>
      <c r="H4304" s="47" t="str">
        <f>IFERROR(VLOOKUP(G4304,WholesaleExtract!B:L,11,FALSE),"")</f>
        <v/>
      </c>
      <c r="I4304" s="26" t="str">
        <f>IFERROR(VLOOKUP(G4304,WholesaleExtract!B:O,8,FALSE),"")</f>
        <v/>
      </c>
      <c r="J4304" s="26" t="str">
        <f>IFERROR(VLOOKUP(G4304,WholesaleExtract!B:O,14,FALSE),"")</f>
        <v/>
      </c>
      <c r="K4304" s="26" t="str">
        <f>IFERROR(VLOOKUP(G4304,WholesaleExtract!B:K,10,FALSE),"")</f>
        <v/>
      </c>
      <c r="L4304" s="47" t="str">
        <f>IFERROR(VLOOKUP(G4304,WholesaleExtract!B:L,11,FALSE),"")</f>
        <v/>
      </c>
      <c r="M4304" s="47" t="str">
        <f>IFERROR(VLOOKUP(G4304,WholesaleExtract!B:M,12,FALSE),"")</f>
        <v/>
      </c>
      <c r="R4304" s="19"/>
      <c r="S4304" s="19"/>
    </row>
    <row r="4305" spans="1:19" x14ac:dyDescent="0.35">
      <c r="A4305" s="26" t="s">
        <v>543</v>
      </c>
      <c r="B4305" s="26" t="s">
        <v>543</v>
      </c>
      <c r="C4305" s="26"/>
      <c r="D4305" s="26" t="s">
        <v>543</v>
      </c>
      <c r="E4305" s="26" t="str">
        <f>IFERROR(VLOOKUP(G4305,WholesaleExtract!B:J,9,FALSE),"")</f>
        <v/>
      </c>
      <c r="F4305" s="26" t="str">
        <f>IFERROR(VLOOKUP(G4305,WholesaleExtract!B:J,6,FALSE),"")</f>
        <v/>
      </c>
      <c r="H4305" s="47" t="str">
        <f>IFERROR(VLOOKUP(G4305,WholesaleExtract!B:L,11,FALSE),"")</f>
        <v/>
      </c>
      <c r="I4305" s="26" t="str">
        <f>IFERROR(VLOOKUP(G4305,WholesaleExtract!B:O,8,FALSE),"")</f>
        <v/>
      </c>
      <c r="J4305" s="26" t="str">
        <f>IFERROR(VLOOKUP(G4305,WholesaleExtract!B:O,14,FALSE),"")</f>
        <v/>
      </c>
      <c r="K4305" s="26" t="str">
        <f>IFERROR(VLOOKUP(G4305,WholesaleExtract!B:K,10,FALSE),"")</f>
        <v/>
      </c>
      <c r="L4305" s="47" t="str">
        <f>IFERROR(VLOOKUP(G4305,WholesaleExtract!B:L,11,FALSE),"")</f>
        <v/>
      </c>
      <c r="M4305" s="47" t="str">
        <f>IFERROR(VLOOKUP(G4305,WholesaleExtract!B:M,12,FALSE),"")</f>
        <v/>
      </c>
      <c r="R4305" s="19"/>
      <c r="S4305" s="19"/>
    </row>
    <row r="4306" spans="1:19" x14ac:dyDescent="0.35">
      <c r="A4306" s="26" t="s">
        <v>543</v>
      </c>
      <c r="B4306" s="26" t="s">
        <v>543</v>
      </c>
      <c r="C4306" s="26"/>
      <c r="D4306" s="26" t="s">
        <v>543</v>
      </c>
      <c r="E4306" s="26" t="str">
        <f>IFERROR(VLOOKUP(G4306,WholesaleExtract!B:J,9,FALSE),"")</f>
        <v/>
      </c>
      <c r="F4306" s="26" t="str">
        <f>IFERROR(VLOOKUP(G4306,WholesaleExtract!B:J,6,FALSE),"")</f>
        <v/>
      </c>
      <c r="H4306" s="47" t="str">
        <f>IFERROR(VLOOKUP(G4306,WholesaleExtract!B:L,11,FALSE),"")</f>
        <v/>
      </c>
      <c r="I4306" s="26" t="str">
        <f>IFERROR(VLOOKUP(G4306,WholesaleExtract!B:O,8,FALSE),"")</f>
        <v/>
      </c>
      <c r="J4306" s="26" t="str">
        <f>IFERROR(VLOOKUP(G4306,WholesaleExtract!B:O,14,FALSE),"")</f>
        <v/>
      </c>
      <c r="K4306" s="26" t="str">
        <f>IFERROR(VLOOKUP(G4306,WholesaleExtract!B:K,10,FALSE),"")</f>
        <v/>
      </c>
      <c r="L4306" s="47" t="str">
        <f>IFERROR(VLOOKUP(G4306,WholesaleExtract!B:L,11,FALSE),"")</f>
        <v/>
      </c>
      <c r="M4306" s="47" t="str">
        <f>IFERROR(VLOOKUP(G4306,WholesaleExtract!B:M,12,FALSE),"")</f>
        <v/>
      </c>
      <c r="R4306" s="19"/>
      <c r="S4306" s="19"/>
    </row>
    <row r="4307" spans="1:19" x14ac:dyDescent="0.35">
      <c r="A4307" s="26" t="s">
        <v>543</v>
      </c>
      <c r="B4307" s="26" t="s">
        <v>543</v>
      </c>
      <c r="C4307" s="26"/>
      <c r="D4307" s="26" t="s">
        <v>543</v>
      </c>
      <c r="E4307" s="26" t="str">
        <f>IFERROR(VLOOKUP(G4307,WholesaleExtract!B:J,9,FALSE),"")</f>
        <v/>
      </c>
      <c r="F4307" s="26" t="str">
        <f>IFERROR(VLOOKUP(G4307,WholesaleExtract!B:J,6,FALSE),"")</f>
        <v/>
      </c>
      <c r="H4307" s="47" t="str">
        <f>IFERROR(VLOOKUP(G4307,WholesaleExtract!B:L,11,FALSE),"")</f>
        <v/>
      </c>
      <c r="I4307" s="26" t="str">
        <f>IFERROR(VLOOKUP(G4307,WholesaleExtract!B:O,8,FALSE),"")</f>
        <v/>
      </c>
      <c r="J4307" s="26" t="str">
        <f>IFERROR(VLOOKUP(G4307,WholesaleExtract!B:O,14,FALSE),"")</f>
        <v/>
      </c>
      <c r="K4307" s="26" t="str">
        <f>IFERROR(VLOOKUP(G4307,WholesaleExtract!B:K,10,FALSE),"")</f>
        <v/>
      </c>
      <c r="L4307" s="47" t="str">
        <f>IFERROR(VLOOKUP(G4307,WholesaleExtract!B:L,11,FALSE),"")</f>
        <v/>
      </c>
      <c r="M4307" s="47" t="str">
        <f>IFERROR(VLOOKUP(G4307,WholesaleExtract!B:M,12,FALSE),"")</f>
        <v/>
      </c>
      <c r="R4307" s="19"/>
      <c r="S4307" s="19"/>
    </row>
    <row r="4308" spans="1:19" x14ac:dyDescent="0.35">
      <c r="A4308" s="26" t="s">
        <v>543</v>
      </c>
      <c r="B4308" s="26" t="s">
        <v>543</v>
      </c>
      <c r="C4308" s="26"/>
      <c r="D4308" s="26" t="s">
        <v>543</v>
      </c>
      <c r="E4308" s="26" t="str">
        <f>IFERROR(VLOOKUP(G4308,WholesaleExtract!B:J,9,FALSE),"")</f>
        <v/>
      </c>
      <c r="F4308" s="26" t="str">
        <f>IFERROR(VLOOKUP(G4308,WholesaleExtract!B:J,6,FALSE),"")</f>
        <v/>
      </c>
      <c r="H4308" s="47" t="str">
        <f>IFERROR(VLOOKUP(G4308,WholesaleExtract!B:L,11,FALSE),"")</f>
        <v/>
      </c>
      <c r="I4308" s="26" t="str">
        <f>IFERROR(VLOOKUP(G4308,WholesaleExtract!B:O,8,FALSE),"")</f>
        <v/>
      </c>
      <c r="J4308" s="26" t="str">
        <f>IFERROR(VLOOKUP(G4308,WholesaleExtract!B:O,14,FALSE),"")</f>
        <v/>
      </c>
      <c r="K4308" s="26" t="str">
        <f>IFERROR(VLOOKUP(G4308,WholesaleExtract!B:K,10,FALSE),"")</f>
        <v/>
      </c>
      <c r="L4308" s="47" t="str">
        <f>IFERROR(VLOOKUP(G4308,WholesaleExtract!B:L,11,FALSE),"")</f>
        <v/>
      </c>
      <c r="M4308" s="47" t="str">
        <f>IFERROR(VLOOKUP(G4308,WholesaleExtract!B:M,12,FALSE),"")</f>
        <v/>
      </c>
      <c r="R4308" s="19"/>
      <c r="S4308" s="19"/>
    </row>
    <row r="4309" spans="1:19" x14ac:dyDescent="0.35">
      <c r="A4309" s="26" t="s">
        <v>543</v>
      </c>
      <c r="B4309" s="26" t="s">
        <v>543</v>
      </c>
      <c r="C4309" s="26"/>
      <c r="D4309" s="26" t="s">
        <v>543</v>
      </c>
      <c r="E4309" s="26" t="str">
        <f>IFERROR(VLOOKUP(G4309,WholesaleExtract!B:J,9,FALSE),"")</f>
        <v/>
      </c>
      <c r="F4309" s="26" t="str">
        <f>IFERROR(VLOOKUP(G4309,WholesaleExtract!B:J,6,FALSE),"")</f>
        <v/>
      </c>
      <c r="H4309" s="47" t="str">
        <f>IFERROR(VLOOKUP(G4309,WholesaleExtract!B:L,11,FALSE),"")</f>
        <v/>
      </c>
      <c r="I4309" s="26" t="str">
        <f>IFERROR(VLOOKUP(G4309,WholesaleExtract!B:O,8,FALSE),"")</f>
        <v/>
      </c>
      <c r="J4309" s="26" t="str">
        <f>IFERROR(VLOOKUP(G4309,WholesaleExtract!B:O,14,FALSE),"")</f>
        <v/>
      </c>
      <c r="K4309" s="26" t="str">
        <f>IFERROR(VLOOKUP(G4309,WholesaleExtract!B:K,10,FALSE),"")</f>
        <v/>
      </c>
      <c r="L4309" s="47" t="str">
        <f>IFERROR(VLOOKUP(G4309,WholesaleExtract!B:L,11,FALSE),"")</f>
        <v/>
      </c>
      <c r="M4309" s="47" t="str">
        <f>IFERROR(VLOOKUP(G4309,WholesaleExtract!B:M,12,FALSE),"")</f>
        <v/>
      </c>
      <c r="R4309" s="19"/>
      <c r="S4309" s="19"/>
    </row>
    <row r="4310" spans="1:19" x14ac:dyDescent="0.35">
      <c r="A4310" s="26" t="s">
        <v>543</v>
      </c>
      <c r="B4310" s="26" t="s">
        <v>543</v>
      </c>
      <c r="C4310" s="26"/>
      <c r="D4310" s="26" t="s">
        <v>543</v>
      </c>
      <c r="E4310" s="26" t="str">
        <f>IFERROR(VLOOKUP(G4310,WholesaleExtract!B:J,9,FALSE),"")</f>
        <v/>
      </c>
      <c r="F4310" s="26" t="str">
        <f>IFERROR(VLOOKUP(G4310,WholesaleExtract!B:J,6,FALSE),"")</f>
        <v/>
      </c>
      <c r="H4310" s="47" t="str">
        <f>IFERROR(VLOOKUP(G4310,WholesaleExtract!B:L,11,FALSE),"")</f>
        <v/>
      </c>
      <c r="I4310" s="26" t="str">
        <f>IFERROR(VLOOKUP(G4310,WholesaleExtract!B:O,8,FALSE),"")</f>
        <v/>
      </c>
      <c r="J4310" s="26" t="str">
        <f>IFERROR(VLOOKUP(G4310,WholesaleExtract!B:O,14,FALSE),"")</f>
        <v/>
      </c>
      <c r="K4310" s="26" t="str">
        <f>IFERROR(VLOOKUP(G4310,WholesaleExtract!B:K,10,FALSE),"")</f>
        <v/>
      </c>
      <c r="L4310" s="47" t="str">
        <f>IFERROR(VLOOKUP(G4310,WholesaleExtract!B:L,11,FALSE),"")</f>
        <v/>
      </c>
      <c r="M4310" s="47" t="str">
        <f>IFERROR(VLOOKUP(G4310,WholesaleExtract!B:M,12,FALSE),"")</f>
        <v/>
      </c>
      <c r="R4310" s="19"/>
      <c r="S4310" s="19"/>
    </row>
    <row r="4311" spans="1:19" x14ac:dyDescent="0.35">
      <c r="A4311" s="26" t="s">
        <v>543</v>
      </c>
      <c r="B4311" s="26" t="s">
        <v>543</v>
      </c>
      <c r="C4311" s="26"/>
      <c r="D4311" s="26" t="s">
        <v>543</v>
      </c>
      <c r="E4311" s="26" t="str">
        <f>IFERROR(VLOOKUP(G4311,WholesaleExtract!B:J,9,FALSE),"")</f>
        <v/>
      </c>
      <c r="F4311" s="26" t="str">
        <f>IFERROR(VLOOKUP(G4311,WholesaleExtract!B:J,6,FALSE),"")</f>
        <v/>
      </c>
      <c r="H4311" s="47" t="str">
        <f>IFERROR(VLOOKUP(G4311,WholesaleExtract!B:L,11,FALSE),"")</f>
        <v/>
      </c>
      <c r="I4311" s="26" t="str">
        <f>IFERROR(VLOOKUP(G4311,WholesaleExtract!B:O,8,FALSE),"")</f>
        <v/>
      </c>
      <c r="J4311" s="26" t="str">
        <f>IFERROR(VLOOKUP(G4311,WholesaleExtract!B:O,14,FALSE),"")</f>
        <v/>
      </c>
      <c r="K4311" s="26" t="str">
        <f>IFERROR(VLOOKUP(G4311,WholesaleExtract!B:K,10,FALSE),"")</f>
        <v/>
      </c>
      <c r="L4311" s="47" t="str">
        <f>IFERROR(VLOOKUP(G4311,WholesaleExtract!B:L,11,FALSE),"")</f>
        <v/>
      </c>
      <c r="M4311" s="47" t="str">
        <f>IFERROR(VLOOKUP(G4311,WholesaleExtract!B:M,12,FALSE),"")</f>
        <v/>
      </c>
      <c r="R4311" s="19"/>
      <c r="S4311" s="19"/>
    </row>
    <row r="4312" spans="1:19" x14ac:dyDescent="0.35">
      <c r="A4312" s="26" t="s">
        <v>543</v>
      </c>
      <c r="B4312" s="26" t="s">
        <v>543</v>
      </c>
      <c r="C4312" s="26"/>
      <c r="D4312" s="26" t="s">
        <v>543</v>
      </c>
      <c r="E4312" s="26" t="str">
        <f>IFERROR(VLOOKUP(G4312,WholesaleExtract!B:J,9,FALSE),"")</f>
        <v/>
      </c>
      <c r="F4312" s="26" t="str">
        <f>IFERROR(VLOOKUP(G4312,WholesaleExtract!B:J,6,FALSE),"")</f>
        <v/>
      </c>
      <c r="H4312" s="47" t="str">
        <f>IFERROR(VLOOKUP(G4312,WholesaleExtract!B:L,11,FALSE),"")</f>
        <v/>
      </c>
      <c r="I4312" s="26" t="str">
        <f>IFERROR(VLOOKUP(G4312,WholesaleExtract!B:O,8,FALSE),"")</f>
        <v/>
      </c>
      <c r="J4312" s="26" t="str">
        <f>IFERROR(VLOOKUP(G4312,WholesaleExtract!B:O,14,FALSE),"")</f>
        <v/>
      </c>
      <c r="K4312" s="26" t="str">
        <f>IFERROR(VLOOKUP(G4312,WholesaleExtract!B:K,10,FALSE),"")</f>
        <v/>
      </c>
      <c r="L4312" s="47" t="str">
        <f>IFERROR(VLOOKUP(G4312,WholesaleExtract!B:L,11,FALSE),"")</f>
        <v/>
      </c>
      <c r="M4312" s="47" t="str">
        <f>IFERROR(VLOOKUP(G4312,WholesaleExtract!B:M,12,FALSE),"")</f>
        <v/>
      </c>
      <c r="R4312" s="19"/>
      <c r="S4312" s="19"/>
    </row>
    <row r="4313" spans="1:19" x14ac:dyDescent="0.35">
      <c r="A4313" s="26" t="s">
        <v>543</v>
      </c>
      <c r="B4313" s="26" t="s">
        <v>543</v>
      </c>
      <c r="C4313" s="26"/>
      <c r="D4313" s="26" t="s">
        <v>543</v>
      </c>
      <c r="E4313" s="26" t="str">
        <f>IFERROR(VLOOKUP(G4313,WholesaleExtract!B:J,9,FALSE),"")</f>
        <v/>
      </c>
      <c r="F4313" s="26" t="str">
        <f>IFERROR(VLOOKUP(G4313,WholesaleExtract!B:J,6,FALSE),"")</f>
        <v/>
      </c>
      <c r="H4313" s="47" t="str">
        <f>IFERROR(VLOOKUP(G4313,WholesaleExtract!B:L,11,FALSE),"")</f>
        <v/>
      </c>
      <c r="I4313" s="26" t="str">
        <f>IFERROR(VLOOKUP(G4313,WholesaleExtract!B:O,8,FALSE),"")</f>
        <v/>
      </c>
      <c r="J4313" s="26" t="str">
        <f>IFERROR(VLOOKUP(G4313,WholesaleExtract!B:O,14,FALSE),"")</f>
        <v/>
      </c>
      <c r="K4313" s="26" t="str">
        <f>IFERROR(VLOOKUP(G4313,WholesaleExtract!B:K,10,FALSE),"")</f>
        <v/>
      </c>
      <c r="L4313" s="47" t="str">
        <f>IFERROR(VLOOKUP(G4313,WholesaleExtract!B:L,11,FALSE),"")</f>
        <v/>
      </c>
      <c r="M4313" s="47" t="str">
        <f>IFERROR(VLOOKUP(G4313,WholesaleExtract!B:M,12,FALSE),"")</f>
        <v/>
      </c>
      <c r="R4313" s="19"/>
      <c r="S4313" s="19"/>
    </row>
    <row r="4314" spans="1:19" x14ac:dyDescent="0.35">
      <c r="A4314" s="26" t="s">
        <v>543</v>
      </c>
      <c r="B4314" s="26" t="s">
        <v>543</v>
      </c>
      <c r="C4314" s="26"/>
      <c r="D4314" s="26" t="s">
        <v>543</v>
      </c>
      <c r="E4314" s="26" t="str">
        <f>IFERROR(VLOOKUP(G4314,WholesaleExtract!B:J,9,FALSE),"")</f>
        <v/>
      </c>
      <c r="F4314" s="26" t="str">
        <f>IFERROR(VLOOKUP(G4314,WholesaleExtract!B:J,6,FALSE),"")</f>
        <v/>
      </c>
      <c r="H4314" s="47" t="str">
        <f>IFERROR(VLOOKUP(G4314,WholesaleExtract!B:L,11,FALSE),"")</f>
        <v/>
      </c>
      <c r="I4314" s="26" t="str">
        <f>IFERROR(VLOOKUP(G4314,WholesaleExtract!B:O,8,FALSE),"")</f>
        <v/>
      </c>
      <c r="J4314" s="26" t="str">
        <f>IFERROR(VLOOKUP(G4314,WholesaleExtract!B:O,14,FALSE),"")</f>
        <v/>
      </c>
      <c r="K4314" s="26" t="str">
        <f>IFERROR(VLOOKUP(G4314,WholesaleExtract!B:K,10,FALSE),"")</f>
        <v/>
      </c>
      <c r="L4314" s="47" t="str">
        <f>IFERROR(VLOOKUP(G4314,WholesaleExtract!B:L,11,FALSE),"")</f>
        <v/>
      </c>
      <c r="M4314" s="47" t="str">
        <f>IFERROR(VLOOKUP(G4314,WholesaleExtract!B:M,12,FALSE),"")</f>
        <v/>
      </c>
      <c r="R4314" s="19"/>
      <c r="S4314" s="19"/>
    </row>
    <row r="4315" spans="1:19" x14ac:dyDescent="0.35">
      <c r="A4315" s="26" t="s">
        <v>543</v>
      </c>
      <c r="B4315" s="26" t="s">
        <v>543</v>
      </c>
      <c r="C4315" s="26"/>
      <c r="D4315" s="26" t="s">
        <v>543</v>
      </c>
      <c r="E4315" s="26" t="str">
        <f>IFERROR(VLOOKUP(G4315,WholesaleExtract!B:J,9,FALSE),"")</f>
        <v/>
      </c>
      <c r="F4315" s="26" t="str">
        <f>IFERROR(VLOOKUP(G4315,WholesaleExtract!B:J,6,FALSE),"")</f>
        <v/>
      </c>
      <c r="H4315" s="47" t="str">
        <f>IFERROR(VLOOKUP(G4315,WholesaleExtract!B:L,11,FALSE),"")</f>
        <v/>
      </c>
      <c r="I4315" s="26" t="str">
        <f>IFERROR(VLOOKUP(G4315,WholesaleExtract!B:O,8,FALSE),"")</f>
        <v/>
      </c>
      <c r="J4315" s="26" t="str">
        <f>IFERROR(VLOOKUP(G4315,WholesaleExtract!B:O,14,FALSE),"")</f>
        <v/>
      </c>
      <c r="K4315" s="26" t="str">
        <f>IFERROR(VLOOKUP(G4315,WholesaleExtract!B:K,10,FALSE),"")</f>
        <v/>
      </c>
      <c r="L4315" s="47" t="str">
        <f>IFERROR(VLOOKUP(G4315,WholesaleExtract!B:L,11,FALSE),"")</f>
        <v/>
      </c>
      <c r="M4315" s="47" t="str">
        <f>IFERROR(VLOOKUP(G4315,WholesaleExtract!B:M,12,FALSE),"")</f>
        <v/>
      </c>
      <c r="R4315" s="19"/>
      <c r="S4315" s="19"/>
    </row>
    <row r="4316" spans="1:19" x14ac:dyDescent="0.35">
      <c r="A4316" s="26" t="s">
        <v>543</v>
      </c>
      <c r="B4316" s="26" t="s">
        <v>543</v>
      </c>
      <c r="C4316" s="26"/>
      <c r="D4316" s="26" t="s">
        <v>543</v>
      </c>
      <c r="E4316" s="26" t="str">
        <f>IFERROR(VLOOKUP(G4316,WholesaleExtract!B:J,9,FALSE),"")</f>
        <v/>
      </c>
      <c r="F4316" s="26" t="str">
        <f>IFERROR(VLOOKUP(G4316,WholesaleExtract!B:J,6,FALSE),"")</f>
        <v/>
      </c>
      <c r="H4316" s="47" t="str">
        <f>IFERROR(VLOOKUP(G4316,WholesaleExtract!B:L,11,FALSE),"")</f>
        <v/>
      </c>
      <c r="I4316" s="26" t="str">
        <f>IFERROR(VLOOKUP(G4316,WholesaleExtract!B:O,8,FALSE),"")</f>
        <v/>
      </c>
      <c r="J4316" s="26" t="str">
        <f>IFERROR(VLOOKUP(G4316,WholesaleExtract!B:O,14,FALSE),"")</f>
        <v/>
      </c>
      <c r="K4316" s="26" t="str">
        <f>IFERROR(VLOOKUP(G4316,WholesaleExtract!B:K,10,FALSE),"")</f>
        <v/>
      </c>
      <c r="L4316" s="47" t="str">
        <f>IFERROR(VLOOKUP(G4316,WholesaleExtract!B:L,11,FALSE),"")</f>
        <v/>
      </c>
      <c r="M4316" s="47" t="str">
        <f>IFERROR(VLOOKUP(G4316,WholesaleExtract!B:M,12,FALSE),"")</f>
        <v/>
      </c>
      <c r="R4316" s="19"/>
      <c r="S4316" s="19"/>
    </row>
    <row r="4317" spans="1:19" x14ac:dyDescent="0.35">
      <c r="A4317" s="26" t="s">
        <v>543</v>
      </c>
      <c r="B4317" s="26" t="s">
        <v>543</v>
      </c>
      <c r="C4317" s="26"/>
      <c r="D4317" s="26" t="s">
        <v>543</v>
      </c>
      <c r="E4317" s="26" t="str">
        <f>IFERROR(VLOOKUP(G4317,WholesaleExtract!B:J,9,FALSE),"")</f>
        <v/>
      </c>
      <c r="F4317" s="26" t="str">
        <f>IFERROR(VLOOKUP(G4317,WholesaleExtract!B:J,6,FALSE),"")</f>
        <v/>
      </c>
      <c r="H4317" s="47" t="str">
        <f>IFERROR(VLOOKUP(G4317,WholesaleExtract!B:L,11,FALSE),"")</f>
        <v/>
      </c>
      <c r="I4317" s="26" t="str">
        <f>IFERROR(VLOOKUP(G4317,WholesaleExtract!B:O,8,FALSE),"")</f>
        <v/>
      </c>
      <c r="J4317" s="26" t="str">
        <f>IFERROR(VLOOKUP(G4317,WholesaleExtract!B:O,14,FALSE),"")</f>
        <v/>
      </c>
      <c r="K4317" s="26" t="str">
        <f>IFERROR(VLOOKUP(G4317,WholesaleExtract!B:K,10,FALSE),"")</f>
        <v/>
      </c>
      <c r="L4317" s="47" t="str">
        <f>IFERROR(VLOOKUP(G4317,WholesaleExtract!B:L,11,FALSE),"")</f>
        <v/>
      </c>
      <c r="M4317" s="47" t="str">
        <f>IFERROR(VLOOKUP(G4317,WholesaleExtract!B:M,12,FALSE),"")</f>
        <v/>
      </c>
      <c r="R4317" s="19"/>
      <c r="S4317" s="19"/>
    </row>
    <row r="4318" spans="1:19" x14ac:dyDescent="0.35">
      <c r="A4318" s="26" t="s">
        <v>543</v>
      </c>
      <c r="B4318" s="26" t="s">
        <v>543</v>
      </c>
      <c r="C4318" s="26"/>
      <c r="D4318" s="26" t="s">
        <v>543</v>
      </c>
      <c r="E4318" s="26" t="str">
        <f>IFERROR(VLOOKUP(G4318,WholesaleExtract!B:J,9,FALSE),"")</f>
        <v/>
      </c>
      <c r="F4318" s="26" t="str">
        <f>IFERROR(VLOOKUP(G4318,WholesaleExtract!B:J,6,FALSE),"")</f>
        <v/>
      </c>
      <c r="H4318" s="47" t="str">
        <f>IFERROR(VLOOKUP(G4318,WholesaleExtract!B:L,11,FALSE),"")</f>
        <v/>
      </c>
      <c r="I4318" s="26" t="str">
        <f>IFERROR(VLOOKUP(G4318,WholesaleExtract!B:O,8,FALSE),"")</f>
        <v/>
      </c>
      <c r="J4318" s="26" t="str">
        <f>IFERROR(VLOOKUP(G4318,WholesaleExtract!B:O,14,FALSE),"")</f>
        <v/>
      </c>
      <c r="K4318" s="26" t="str">
        <f>IFERROR(VLOOKUP(G4318,WholesaleExtract!B:K,10,FALSE),"")</f>
        <v/>
      </c>
      <c r="L4318" s="47" t="str">
        <f>IFERROR(VLOOKUP(G4318,WholesaleExtract!B:L,11,FALSE),"")</f>
        <v/>
      </c>
      <c r="M4318" s="47" t="str">
        <f>IFERROR(VLOOKUP(G4318,WholesaleExtract!B:M,12,FALSE),"")</f>
        <v/>
      </c>
      <c r="R4318" s="19"/>
      <c r="S4318" s="19"/>
    </row>
    <row r="4319" spans="1:19" x14ac:dyDescent="0.35">
      <c r="A4319" s="26" t="s">
        <v>543</v>
      </c>
      <c r="B4319" s="26" t="s">
        <v>543</v>
      </c>
      <c r="C4319" s="26"/>
      <c r="D4319" s="26" t="s">
        <v>543</v>
      </c>
      <c r="E4319" s="26" t="str">
        <f>IFERROR(VLOOKUP(G4319,WholesaleExtract!B:J,9,FALSE),"")</f>
        <v/>
      </c>
      <c r="F4319" s="26" t="str">
        <f>IFERROR(VLOOKUP(G4319,WholesaleExtract!B:J,6,FALSE),"")</f>
        <v/>
      </c>
      <c r="H4319" s="47" t="str">
        <f>IFERROR(VLOOKUP(G4319,WholesaleExtract!B:L,11,FALSE),"")</f>
        <v/>
      </c>
      <c r="I4319" s="26" t="str">
        <f>IFERROR(VLOOKUP(G4319,WholesaleExtract!B:O,8,FALSE),"")</f>
        <v/>
      </c>
      <c r="J4319" s="26" t="str">
        <f>IFERROR(VLOOKUP(G4319,WholesaleExtract!B:O,14,FALSE),"")</f>
        <v/>
      </c>
      <c r="K4319" s="26" t="str">
        <f>IFERROR(VLOOKUP(G4319,WholesaleExtract!B:K,10,FALSE),"")</f>
        <v/>
      </c>
      <c r="L4319" s="47" t="str">
        <f>IFERROR(VLOOKUP(G4319,WholesaleExtract!B:L,11,FALSE),"")</f>
        <v/>
      </c>
      <c r="M4319" s="47" t="str">
        <f>IFERROR(VLOOKUP(G4319,WholesaleExtract!B:M,12,FALSE),"")</f>
        <v/>
      </c>
      <c r="R4319" s="19"/>
      <c r="S4319" s="19"/>
    </row>
    <row r="4320" spans="1:19" x14ac:dyDescent="0.35">
      <c r="A4320" s="26" t="s">
        <v>543</v>
      </c>
      <c r="B4320" s="26" t="s">
        <v>543</v>
      </c>
      <c r="C4320" s="26"/>
      <c r="D4320" s="26" t="s">
        <v>543</v>
      </c>
      <c r="E4320" s="26" t="str">
        <f>IFERROR(VLOOKUP(G4320,WholesaleExtract!B:J,9,FALSE),"")</f>
        <v/>
      </c>
      <c r="F4320" s="26" t="str">
        <f>IFERROR(VLOOKUP(G4320,WholesaleExtract!B:J,6,FALSE),"")</f>
        <v/>
      </c>
      <c r="H4320" s="47" t="str">
        <f>IFERROR(VLOOKUP(G4320,WholesaleExtract!B:L,11,FALSE),"")</f>
        <v/>
      </c>
      <c r="I4320" s="26" t="str">
        <f>IFERROR(VLOOKUP(G4320,WholesaleExtract!B:O,8,FALSE),"")</f>
        <v/>
      </c>
      <c r="J4320" s="26" t="str">
        <f>IFERROR(VLOOKUP(G4320,WholesaleExtract!B:O,14,FALSE),"")</f>
        <v/>
      </c>
      <c r="K4320" s="26" t="str">
        <f>IFERROR(VLOOKUP(G4320,WholesaleExtract!B:K,10,FALSE),"")</f>
        <v/>
      </c>
      <c r="L4320" s="47" t="str">
        <f>IFERROR(VLOOKUP(G4320,WholesaleExtract!B:L,11,FALSE),"")</f>
        <v/>
      </c>
      <c r="M4320" s="47" t="str">
        <f>IFERROR(VLOOKUP(G4320,WholesaleExtract!B:M,12,FALSE),"")</f>
        <v/>
      </c>
      <c r="R4320" s="19"/>
      <c r="S4320" s="19"/>
    </row>
    <row r="4321" spans="1:19" x14ac:dyDescent="0.35">
      <c r="A4321" s="26" t="s">
        <v>543</v>
      </c>
      <c r="B4321" s="26" t="s">
        <v>543</v>
      </c>
      <c r="C4321" s="26"/>
      <c r="D4321" s="26" t="s">
        <v>543</v>
      </c>
      <c r="E4321" s="26" t="str">
        <f>IFERROR(VLOOKUP(G4321,WholesaleExtract!B:J,9,FALSE),"")</f>
        <v/>
      </c>
      <c r="F4321" s="26" t="str">
        <f>IFERROR(VLOOKUP(G4321,WholesaleExtract!B:J,6,FALSE),"")</f>
        <v/>
      </c>
      <c r="H4321" s="47" t="str">
        <f>IFERROR(VLOOKUP(G4321,WholesaleExtract!B:L,11,FALSE),"")</f>
        <v/>
      </c>
      <c r="I4321" s="26" t="str">
        <f>IFERROR(VLOOKUP(G4321,WholesaleExtract!B:O,8,FALSE),"")</f>
        <v/>
      </c>
      <c r="J4321" s="26" t="str">
        <f>IFERROR(VLOOKUP(G4321,WholesaleExtract!B:O,14,FALSE),"")</f>
        <v/>
      </c>
      <c r="K4321" s="26" t="str">
        <f>IFERROR(VLOOKUP(G4321,WholesaleExtract!B:K,10,FALSE),"")</f>
        <v/>
      </c>
      <c r="L4321" s="47" t="str">
        <f>IFERROR(VLOOKUP(G4321,WholesaleExtract!B:L,11,FALSE),"")</f>
        <v/>
      </c>
      <c r="M4321" s="47" t="str">
        <f>IFERROR(VLOOKUP(G4321,WholesaleExtract!B:M,12,FALSE),"")</f>
        <v/>
      </c>
      <c r="R4321" s="19"/>
      <c r="S4321" s="19"/>
    </row>
    <row r="4322" spans="1:19" x14ac:dyDescent="0.35">
      <c r="A4322" s="26" t="s">
        <v>543</v>
      </c>
      <c r="B4322" s="26" t="s">
        <v>543</v>
      </c>
      <c r="C4322" s="26"/>
      <c r="D4322" s="26" t="s">
        <v>543</v>
      </c>
      <c r="E4322" s="26" t="str">
        <f>IFERROR(VLOOKUP(G4322,WholesaleExtract!B:J,9,FALSE),"")</f>
        <v/>
      </c>
      <c r="F4322" s="26" t="str">
        <f>IFERROR(VLOOKUP(G4322,WholesaleExtract!B:J,6,FALSE),"")</f>
        <v/>
      </c>
      <c r="H4322" s="47" t="str">
        <f>IFERROR(VLOOKUP(G4322,WholesaleExtract!B:L,11,FALSE),"")</f>
        <v/>
      </c>
      <c r="I4322" s="26" t="str">
        <f>IFERROR(VLOOKUP(G4322,WholesaleExtract!B:O,8,FALSE),"")</f>
        <v/>
      </c>
      <c r="J4322" s="26" t="str">
        <f>IFERROR(VLOOKUP(G4322,WholesaleExtract!B:O,14,FALSE),"")</f>
        <v/>
      </c>
      <c r="K4322" s="26" t="str">
        <f>IFERROR(VLOOKUP(G4322,WholesaleExtract!B:K,10,FALSE),"")</f>
        <v/>
      </c>
      <c r="L4322" s="47" t="str">
        <f>IFERROR(VLOOKUP(G4322,WholesaleExtract!B:L,11,FALSE),"")</f>
        <v/>
      </c>
      <c r="M4322" s="47" t="str">
        <f>IFERROR(VLOOKUP(G4322,WholesaleExtract!B:M,12,FALSE),"")</f>
        <v/>
      </c>
      <c r="R4322" s="19"/>
      <c r="S4322" s="19"/>
    </row>
    <row r="4323" spans="1:19" x14ac:dyDescent="0.35">
      <c r="A4323" s="26" t="s">
        <v>543</v>
      </c>
      <c r="B4323" s="26" t="s">
        <v>543</v>
      </c>
      <c r="C4323" s="26"/>
      <c r="D4323" s="26" t="s">
        <v>543</v>
      </c>
      <c r="E4323" s="26" t="str">
        <f>IFERROR(VLOOKUP(G4323,WholesaleExtract!B:J,9,FALSE),"")</f>
        <v/>
      </c>
      <c r="F4323" s="26" t="str">
        <f>IFERROR(VLOOKUP(G4323,WholesaleExtract!B:J,6,FALSE),"")</f>
        <v/>
      </c>
      <c r="H4323" s="47" t="str">
        <f>IFERROR(VLOOKUP(G4323,WholesaleExtract!B:L,11,FALSE),"")</f>
        <v/>
      </c>
      <c r="I4323" s="26" t="str">
        <f>IFERROR(VLOOKUP(G4323,WholesaleExtract!B:O,8,FALSE),"")</f>
        <v/>
      </c>
      <c r="J4323" s="26" t="str">
        <f>IFERROR(VLOOKUP(G4323,WholesaleExtract!B:O,14,FALSE),"")</f>
        <v/>
      </c>
      <c r="K4323" s="26" t="str">
        <f>IFERROR(VLOOKUP(G4323,WholesaleExtract!B:K,10,FALSE),"")</f>
        <v/>
      </c>
      <c r="L4323" s="47" t="str">
        <f>IFERROR(VLOOKUP(G4323,WholesaleExtract!B:L,11,FALSE),"")</f>
        <v/>
      </c>
      <c r="M4323" s="47" t="str">
        <f>IFERROR(VLOOKUP(G4323,WholesaleExtract!B:M,12,FALSE),"")</f>
        <v/>
      </c>
      <c r="R4323" s="19"/>
      <c r="S4323" s="19"/>
    </row>
    <row r="4324" spans="1:19" x14ac:dyDescent="0.35">
      <c r="A4324" s="26" t="s">
        <v>543</v>
      </c>
      <c r="B4324" s="26" t="s">
        <v>543</v>
      </c>
      <c r="C4324" s="26"/>
      <c r="D4324" s="26" t="s">
        <v>543</v>
      </c>
      <c r="E4324" s="26" t="str">
        <f>IFERROR(VLOOKUP(G4324,WholesaleExtract!B:J,9,FALSE),"")</f>
        <v/>
      </c>
      <c r="F4324" s="26" t="str">
        <f>IFERROR(VLOOKUP(G4324,WholesaleExtract!B:J,6,FALSE),"")</f>
        <v/>
      </c>
      <c r="H4324" s="47" t="str">
        <f>IFERROR(VLOOKUP(G4324,WholesaleExtract!B:L,11,FALSE),"")</f>
        <v/>
      </c>
      <c r="I4324" s="26" t="str">
        <f>IFERROR(VLOOKUP(G4324,WholesaleExtract!B:O,8,FALSE),"")</f>
        <v/>
      </c>
      <c r="J4324" s="26" t="str">
        <f>IFERROR(VLOOKUP(G4324,WholesaleExtract!B:O,14,FALSE),"")</f>
        <v/>
      </c>
      <c r="K4324" s="26" t="str">
        <f>IFERROR(VLOOKUP(G4324,WholesaleExtract!B:K,10,FALSE),"")</f>
        <v/>
      </c>
      <c r="L4324" s="47" t="str">
        <f>IFERROR(VLOOKUP(G4324,WholesaleExtract!B:L,11,FALSE),"")</f>
        <v/>
      </c>
      <c r="M4324" s="47" t="str">
        <f>IFERROR(VLOOKUP(G4324,WholesaleExtract!B:M,12,FALSE),"")</f>
        <v/>
      </c>
      <c r="R4324" s="19"/>
      <c r="S4324" s="19"/>
    </row>
    <row r="4325" spans="1:19" x14ac:dyDescent="0.35">
      <c r="A4325" s="26" t="s">
        <v>543</v>
      </c>
      <c r="B4325" s="26" t="s">
        <v>543</v>
      </c>
      <c r="C4325" s="26"/>
      <c r="D4325" s="26" t="s">
        <v>543</v>
      </c>
      <c r="E4325" s="26" t="str">
        <f>IFERROR(VLOOKUP(G4325,WholesaleExtract!B:J,9,FALSE),"")</f>
        <v/>
      </c>
      <c r="F4325" s="26" t="str">
        <f>IFERROR(VLOOKUP(G4325,WholesaleExtract!B:J,6,FALSE),"")</f>
        <v/>
      </c>
      <c r="H4325" s="47" t="str">
        <f>IFERROR(VLOOKUP(G4325,WholesaleExtract!B:L,11,FALSE),"")</f>
        <v/>
      </c>
      <c r="I4325" s="26" t="str">
        <f>IFERROR(VLOOKUP(G4325,WholesaleExtract!B:O,8,FALSE),"")</f>
        <v/>
      </c>
      <c r="J4325" s="26" t="str">
        <f>IFERROR(VLOOKUP(G4325,WholesaleExtract!B:O,14,FALSE),"")</f>
        <v/>
      </c>
      <c r="K4325" s="26" t="str">
        <f>IFERROR(VLOOKUP(G4325,WholesaleExtract!B:K,10,FALSE),"")</f>
        <v/>
      </c>
      <c r="L4325" s="47" t="str">
        <f>IFERROR(VLOOKUP(G4325,WholesaleExtract!B:L,11,FALSE),"")</f>
        <v/>
      </c>
      <c r="M4325" s="47" t="str">
        <f>IFERROR(VLOOKUP(G4325,WholesaleExtract!B:M,12,FALSE),"")</f>
        <v/>
      </c>
      <c r="R4325" s="19"/>
      <c r="S4325" s="19"/>
    </row>
    <row r="4326" spans="1:19" x14ac:dyDescent="0.35">
      <c r="A4326" s="26" t="s">
        <v>543</v>
      </c>
      <c r="B4326" s="26" t="s">
        <v>543</v>
      </c>
      <c r="C4326" s="26"/>
      <c r="D4326" s="26" t="s">
        <v>543</v>
      </c>
      <c r="E4326" s="26" t="str">
        <f>IFERROR(VLOOKUP(G4326,WholesaleExtract!B:J,9,FALSE),"")</f>
        <v/>
      </c>
      <c r="F4326" s="26" t="str">
        <f>IFERROR(VLOOKUP(G4326,WholesaleExtract!B:J,6,FALSE),"")</f>
        <v/>
      </c>
      <c r="H4326" s="47" t="str">
        <f>IFERROR(VLOOKUP(G4326,WholesaleExtract!B:L,11,FALSE),"")</f>
        <v/>
      </c>
      <c r="I4326" s="26" t="str">
        <f>IFERROR(VLOOKUP(G4326,WholesaleExtract!B:O,8,FALSE),"")</f>
        <v/>
      </c>
      <c r="J4326" s="26" t="str">
        <f>IFERROR(VLOOKUP(G4326,WholesaleExtract!B:O,14,FALSE),"")</f>
        <v/>
      </c>
      <c r="K4326" s="26" t="str">
        <f>IFERROR(VLOOKUP(G4326,WholesaleExtract!B:K,10,FALSE),"")</f>
        <v/>
      </c>
      <c r="L4326" s="47" t="str">
        <f>IFERROR(VLOOKUP(G4326,WholesaleExtract!B:L,11,FALSE),"")</f>
        <v/>
      </c>
      <c r="M4326" s="47" t="str">
        <f>IFERROR(VLOOKUP(G4326,WholesaleExtract!B:M,12,FALSE),"")</f>
        <v/>
      </c>
      <c r="R4326" s="19"/>
      <c r="S4326" s="19"/>
    </row>
    <row r="4327" spans="1:19" x14ac:dyDescent="0.35">
      <c r="A4327" s="26" t="s">
        <v>543</v>
      </c>
      <c r="B4327" s="26" t="s">
        <v>543</v>
      </c>
      <c r="C4327" s="26"/>
      <c r="D4327" s="26" t="s">
        <v>543</v>
      </c>
      <c r="E4327" s="26" t="str">
        <f>IFERROR(VLOOKUP(G4327,WholesaleExtract!B:J,9,FALSE),"")</f>
        <v/>
      </c>
      <c r="F4327" s="26" t="str">
        <f>IFERROR(VLOOKUP(G4327,WholesaleExtract!B:J,6,FALSE),"")</f>
        <v/>
      </c>
      <c r="H4327" s="47" t="str">
        <f>IFERROR(VLOOKUP(G4327,WholesaleExtract!B:L,11,FALSE),"")</f>
        <v/>
      </c>
      <c r="I4327" s="26" t="str">
        <f>IFERROR(VLOOKUP(G4327,WholesaleExtract!B:O,8,FALSE),"")</f>
        <v/>
      </c>
      <c r="J4327" s="26" t="str">
        <f>IFERROR(VLOOKUP(G4327,WholesaleExtract!B:O,14,FALSE),"")</f>
        <v/>
      </c>
      <c r="K4327" s="26" t="str">
        <f>IFERROR(VLOOKUP(G4327,WholesaleExtract!B:K,10,FALSE),"")</f>
        <v/>
      </c>
      <c r="L4327" s="47" t="str">
        <f>IFERROR(VLOOKUP(G4327,WholesaleExtract!B:L,11,FALSE),"")</f>
        <v/>
      </c>
      <c r="M4327" s="47" t="str">
        <f>IFERROR(VLOOKUP(G4327,WholesaleExtract!B:M,12,FALSE),"")</f>
        <v/>
      </c>
      <c r="R4327" s="19"/>
      <c r="S4327" s="19"/>
    </row>
    <row r="4328" spans="1:19" x14ac:dyDescent="0.35">
      <c r="A4328" s="26" t="s">
        <v>543</v>
      </c>
      <c r="B4328" s="26" t="s">
        <v>543</v>
      </c>
      <c r="C4328" s="26"/>
      <c r="D4328" s="26" t="s">
        <v>543</v>
      </c>
      <c r="E4328" s="26" t="str">
        <f>IFERROR(VLOOKUP(G4328,WholesaleExtract!B:J,9,FALSE),"")</f>
        <v/>
      </c>
      <c r="F4328" s="26" t="str">
        <f>IFERROR(VLOOKUP(G4328,WholesaleExtract!B:J,6,FALSE),"")</f>
        <v/>
      </c>
      <c r="H4328" s="47" t="str">
        <f>IFERROR(VLOOKUP(G4328,WholesaleExtract!B:L,11,FALSE),"")</f>
        <v/>
      </c>
      <c r="I4328" s="26" t="str">
        <f>IFERROR(VLOOKUP(G4328,WholesaleExtract!B:O,8,FALSE),"")</f>
        <v/>
      </c>
      <c r="J4328" s="26" t="str">
        <f>IFERROR(VLOOKUP(G4328,WholesaleExtract!B:O,14,FALSE),"")</f>
        <v/>
      </c>
      <c r="K4328" s="26" t="str">
        <f>IFERROR(VLOOKUP(G4328,WholesaleExtract!B:K,10,FALSE),"")</f>
        <v/>
      </c>
      <c r="L4328" s="47" t="str">
        <f>IFERROR(VLOOKUP(G4328,WholesaleExtract!B:L,11,FALSE),"")</f>
        <v/>
      </c>
      <c r="M4328" s="47" t="str">
        <f>IFERROR(VLOOKUP(G4328,WholesaleExtract!B:M,12,FALSE),"")</f>
        <v/>
      </c>
      <c r="R4328" s="19"/>
      <c r="S4328" s="19"/>
    </row>
    <row r="4329" spans="1:19" x14ac:dyDescent="0.35">
      <c r="A4329" s="26" t="s">
        <v>543</v>
      </c>
      <c r="B4329" s="26" t="s">
        <v>543</v>
      </c>
      <c r="C4329" s="26"/>
      <c r="D4329" s="26" t="s">
        <v>543</v>
      </c>
      <c r="E4329" s="26" t="str">
        <f>IFERROR(VLOOKUP(G4329,WholesaleExtract!B:J,9,FALSE),"")</f>
        <v/>
      </c>
      <c r="F4329" s="26" t="str">
        <f>IFERROR(VLOOKUP(G4329,WholesaleExtract!B:J,6,FALSE),"")</f>
        <v/>
      </c>
      <c r="H4329" s="47" t="str">
        <f>IFERROR(VLOOKUP(G4329,WholesaleExtract!B:L,11,FALSE),"")</f>
        <v/>
      </c>
      <c r="I4329" s="26" t="str">
        <f>IFERROR(VLOOKUP(G4329,WholesaleExtract!B:O,8,FALSE),"")</f>
        <v/>
      </c>
      <c r="J4329" s="26" t="str">
        <f>IFERROR(VLOOKUP(G4329,WholesaleExtract!B:O,14,FALSE),"")</f>
        <v/>
      </c>
      <c r="K4329" s="26" t="str">
        <f>IFERROR(VLOOKUP(G4329,WholesaleExtract!B:K,10,FALSE),"")</f>
        <v/>
      </c>
      <c r="L4329" s="47" t="str">
        <f>IFERROR(VLOOKUP(G4329,WholesaleExtract!B:L,11,FALSE),"")</f>
        <v/>
      </c>
      <c r="M4329" s="47" t="str">
        <f>IFERROR(VLOOKUP(G4329,WholesaleExtract!B:M,12,FALSE),"")</f>
        <v/>
      </c>
      <c r="R4329" s="19"/>
      <c r="S4329" s="19"/>
    </row>
    <row r="4330" spans="1:19" x14ac:dyDescent="0.35">
      <c r="A4330" s="26" t="s">
        <v>543</v>
      </c>
      <c r="B4330" s="26" t="s">
        <v>543</v>
      </c>
      <c r="C4330" s="26"/>
      <c r="D4330" s="26" t="s">
        <v>543</v>
      </c>
      <c r="E4330" s="26" t="str">
        <f>IFERROR(VLOOKUP(G4330,WholesaleExtract!B:J,9,FALSE),"")</f>
        <v/>
      </c>
      <c r="F4330" s="26" t="str">
        <f>IFERROR(VLOOKUP(G4330,WholesaleExtract!B:J,6,FALSE),"")</f>
        <v/>
      </c>
      <c r="H4330" s="47" t="str">
        <f>IFERROR(VLOOKUP(G4330,WholesaleExtract!B:L,11,FALSE),"")</f>
        <v/>
      </c>
      <c r="I4330" s="26" t="str">
        <f>IFERROR(VLOOKUP(G4330,WholesaleExtract!B:O,8,FALSE),"")</f>
        <v/>
      </c>
      <c r="J4330" s="26" t="str">
        <f>IFERROR(VLOOKUP(G4330,WholesaleExtract!B:O,14,FALSE),"")</f>
        <v/>
      </c>
      <c r="K4330" s="26" t="str">
        <f>IFERROR(VLOOKUP(G4330,WholesaleExtract!B:K,10,FALSE),"")</f>
        <v/>
      </c>
      <c r="L4330" s="47" t="str">
        <f>IFERROR(VLOOKUP(G4330,WholesaleExtract!B:L,11,FALSE),"")</f>
        <v/>
      </c>
      <c r="M4330" s="47" t="str">
        <f>IFERROR(VLOOKUP(G4330,WholesaleExtract!B:M,12,FALSE),"")</f>
        <v/>
      </c>
      <c r="R4330" s="19"/>
      <c r="S4330" s="19"/>
    </row>
    <row r="4331" spans="1:19" x14ac:dyDescent="0.35">
      <c r="A4331" s="26" t="s">
        <v>543</v>
      </c>
      <c r="B4331" s="26" t="s">
        <v>543</v>
      </c>
      <c r="C4331" s="26"/>
      <c r="D4331" s="26" t="s">
        <v>543</v>
      </c>
      <c r="E4331" s="26" t="str">
        <f>IFERROR(VLOOKUP(G4331,WholesaleExtract!B:J,9,FALSE),"")</f>
        <v/>
      </c>
      <c r="F4331" s="26" t="str">
        <f>IFERROR(VLOOKUP(G4331,WholesaleExtract!B:J,6,FALSE),"")</f>
        <v/>
      </c>
      <c r="H4331" s="47" t="str">
        <f>IFERROR(VLOOKUP(G4331,WholesaleExtract!B:L,11,FALSE),"")</f>
        <v/>
      </c>
      <c r="I4331" s="26" t="str">
        <f>IFERROR(VLOOKUP(G4331,WholesaleExtract!B:O,8,FALSE),"")</f>
        <v/>
      </c>
      <c r="J4331" s="26" t="str">
        <f>IFERROR(VLOOKUP(G4331,WholesaleExtract!B:O,14,FALSE),"")</f>
        <v/>
      </c>
      <c r="K4331" s="26" t="str">
        <f>IFERROR(VLOOKUP(G4331,WholesaleExtract!B:K,10,FALSE),"")</f>
        <v/>
      </c>
      <c r="L4331" s="47" t="str">
        <f>IFERROR(VLOOKUP(G4331,WholesaleExtract!B:L,11,FALSE),"")</f>
        <v/>
      </c>
      <c r="M4331" s="47" t="str">
        <f>IFERROR(VLOOKUP(G4331,WholesaleExtract!B:M,12,FALSE),"")</f>
        <v/>
      </c>
      <c r="R4331" s="19"/>
      <c r="S4331" s="19"/>
    </row>
    <row r="4332" spans="1:19" x14ac:dyDescent="0.35">
      <c r="A4332" s="26" t="s">
        <v>543</v>
      </c>
      <c r="B4332" s="26" t="s">
        <v>543</v>
      </c>
      <c r="C4332" s="26"/>
      <c r="D4332" s="26" t="s">
        <v>543</v>
      </c>
      <c r="E4332" s="26" t="str">
        <f>IFERROR(VLOOKUP(G4332,WholesaleExtract!B:J,9,FALSE),"")</f>
        <v/>
      </c>
      <c r="F4332" s="26" t="str">
        <f>IFERROR(VLOOKUP(G4332,WholesaleExtract!B:J,6,FALSE),"")</f>
        <v/>
      </c>
      <c r="H4332" s="47" t="str">
        <f>IFERROR(VLOOKUP(G4332,WholesaleExtract!B:L,11,FALSE),"")</f>
        <v/>
      </c>
      <c r="I4332" s="26" t="str">
        <f>IFERROR(VLOOKUP(G4332,WholesaleExtract!B:O,8,FALSE),"")</f>
        <v/>
      </c>
      <c r="J4332" s="26" t="str">
        <f>IFERROR(VLOOKUP(G4332,WholesaleExtract!B:O,14,FALSE),"")</f>
        <v/>
      </c>
      <c r="K4332" s="26" t="str">
        <f>IFERROR(VLOOKUP(G4332,WholesaleExtract!B:K,10,FALSE),"")</f>
        <v/>
      </c>
      <c r="L4332" s="47" t="str">
        <f>IFERROR(VLOOKUP(G4332,WholesaleExtract!B:L,11,FALSE),"")</f>
        <v/>
      </c>
      <c r="M4332" s="47" t="str">
        <f>IFERROR(VLOOKUP(G4332,WholesaleExtract!B:M,12,FALSE),"")</f>
        <v/>
      </c>
      <c r="R4332" s="19"/>
      <c r="S4332" s="19"/>
    </row>
    <row r="4333" spans="1:19" x14ac:dyDescent="0.35">
      <c r="A4333" s="26" t="s">
        <v>543</v>
      </c>
      <c r="B4333" s="26" t="s">
        <v>543</v>
      </c>
      <c r="C4333" s="26"/>
      <c r="D4333" s="26" t="s">
        <v>543</v>
      </c>
      <c r="E4333" s="26" t="str">
        <f>IFERROR(VLOOKUP(G4333,WholesaleExtract!B:J,9,FALSE),"")</f>
        <v/>
      </c>
      <c r="F4333" s="26" t="str">
        <f>IFERROR(VLOOKUP(G4333,WholesaleExtract!B:J,6,FALSE),"")</f>
        <v/>
      </c>
      <c r="H4333" s="47" t="str">
        <f>IFERROR(VLOOKUP(G4333,WholesaleExtract!B:L,11,FALSE),"")</f>
        <v/>
      </c>
      <c r="I4333" s="26" t="str">
        <f>IFERROR(VLOOKUP(G4333,WholesaleExtract!B:O,8,FALSE),"")</f>
        <v/>
      </c>
      <c r="J4333" s="26" t="str">
        <f>IFERROR(VLOOKUP(G4333,WholesaleExtract!B:O,14,FALSE),"")</f>
        <v/>
      </c>
      <c r="K4333" s="26" t="str">
        <f>IFERROR(VLOOKUP(G4333,WholesaleExtract!B:K,10,FALSE),"")</f>
        <v/>
      </c>
      <c r="L4333" s="47" t="str">
        <f>IFERROR(VLOOKUP(G4333,WholesaleExtract!B:L,11,FALSE),"")</f>
        <v/>
      </c>
      <c r="M4333" s="47" t="str">
        <f>IFERROR(VLOOKUP(G4333,WholesaleExtract!B:M,12,FALSE),"")</f>
        <v/>
      </c>
      <c r="R4333" s="19"/>
      <c r="S4333" s="19"/>
    </row>
    <row r="4334" spans="1:19" x14ac:dyDescent="0.35">
      <c r="A4334" s="26" t="s">
        <v>543</v>
      </c>
      <c r="B4334" s="26" t="s">
        <v>543</v>
      </c>
      <c r="C4334" s="26"/>
      <c r="D4334" s="26" t="s">
        <v>543</v>
      </c>
      <c r="E4334" s="26" t="str">
        <f>IFERROR(VLOOKUP(G4334,WholesaleExtract!B:J,9,FALSE),"")</f>
        <v/>
      </c>
      <c r="F4334" s="26" t="str">
        <f>IFERROR(VLOOKUP(G4334,WholesaleExtract!B:J,6,FALSE),"")</f>
        <v/>
      </c>
      <c r="H4334" s="47" t="str">
        <f>IFERROR(VLOOKUP(G4334,WholesaleExtract!B:L,11,FALSE),"")</f>
        <v/>
      </c>
      <c r="I4334" s="26" t="str">
        <f>IFERROR(VLOOKUP(G4334,WholesaleExtract!B:O,8,FALSE),"")</f>
        <v/>
      </c>
      <c r="J4334" s="26" t="str">
        <f>IFERROR(VLOOKUP(G4334,WholesaleExtract!B:O,14,FALSE),"")</f>
        <v/>
      </c>
      <c r="K4334" s="26" t="str">
        <f>IFERROR(VLOOKUP(G4334,WholesaleExtract!B:K,10,FALSE),"")</f>
        <v/>
      </c>
      <c r="L4334" s="47" t="str">
        <f>IFERROR(VLOOKUP(G4334,WholesaleExtract!B:L,11,FALSE),"")</f>
        <v/>
      </c>
      <c r="M4334" s="47" t="str">
        <f>IFERROR(VLOOKUP(G4334,WholesaleExtract!B:M,12,FALSE),"")</f>
        <v/>
      </c>
      <c r="R4334" s="19"/>
      <c r="S4334" s="19"/>
    </row>
    <row r="4335" spans="1:19" x14ac:dyDescent="0.35">
      <c r="A4335" s="26" t="s">
        <v>543</v>
      </c>
      <c r="B4335" s="26" t="s">
        <v>543</v>
      </c>
      <c r="C4335" s="26"/>
      <c r="D4335" s="26" t="s">
        <v>543</v>
      </c>
      <c r="E4335" s="26" t="str">
        <f>IFERROR(VLOOKUP(G4335,WholesaleExtract!B:J,9,FALSE),"")</f>
        <v/>
      </c>
      <c r="F4335" s="26" t="str">
        <f>IFERROR(VLOOKUP(G4335,WholesaleExtract!B:J,6,FALSE),"")</f>
        <v/>
      </c>
      <c r="H4335" s="47" t="str">
        <f>IFERROR(VLOOKUP(G4335,WholesaleExtract!B:L,11,FALSE),"")</f>
        <v/>
      </c>
      <c r="I4335" s="26" t="str">
        <f>IFERROR(VLOOKUP(G4335,WholesaleExtract!B:O,8,FALSE),"")</f>
        <v/>
      </c>
      <c r="J4335" s="26" t="str">
        <f>IFERROR(VLOOKUP(G4335,WholesaleExtract!B:O,14,FALSE),"")</f>
        <v/>
      </c>
      <c r="K4335" s="26" t="str">
        <f>IFERROR(VLOOKUP(G4335,WholesaleExtract!B:K,10,FALSE),"")</f>
        <v/>
      </c>
      <c r="L4335" s="47" t="str">
        <f>IFERROR(VLOOKUP(G4335,WholesaleExtract!B:L,11,FALSE),"")</f>
        <v/>
      </c>
      <c r="M4335" s="47" t="str">
        <f>IFERROR(VLOOKUP(G4335,WholesaleExtract!B:M,12,FALSE),"")</f>
        <v/>
      </c>
      <c r="R4335" s="19"/>
      <c r="S4335" s="19"/>
    </row>
    <row r="4336" spans="1:19" x14ac:dyDescent="0.35">
      <c r="A4336" s="26" t="s">
        <v>543</v>
      </c>
      <c r="B4336" s="26" t="s">
        <v>543</v>
      </c>
      <c r="C4336" s="26"/>
      <c r="D4336" s="26" t="s">
        <v>543</v>
      </c>
      <c r="E4336" s="26" t="str">
        <f>IFERROR(VLOOKUP(G4336,WholesaleExtract!B:J,9,FALSE),"")</f>
        <v/>
      </c>
      <c r="F4336" s="26" t="str">
        <f>IFERROR(VLOOKUP(G4336,WholesaleExtract!B:J,6,FALSE),"")</f>
        <v/>
      </c>
      <c r="H4336" s="47" t="str">
        <f>IFERROR(VLOOKUP(G4336,WholesaleExtract!B:L,11,FALSE),"")</f>
        <v/>
      </c>
      <c r="I4336" s="26" t="str">
        <f>IFERROR(VLOOKUP(G4336,WholesaleExtract!B:O,8,FALSE),"")</f>
        <v/>
      </c>
      <c r="J4336" s="26" t="str">
        <f>IFERROR(VLOOKUP(G4336,WholesaleExtract!B:O,14,FALSE),"")</f>
        <v/>
      </c>
      <c r="K4336" s="26" t="str">
        <f>IFERROR(VLOOKUP(G4336,WholesaleExtract!B:K,10,FALSE),"")</f>
        <v/>
      </c>
      <c r="L4336" s="47" t="str">
        <f>IFERROR(VLOOKUP(G4336,WholesaleExtract!B:L,11,FALSE),"")</f>
        <v/>
      </c>
      <c r="M4336" s="47" t="str">
        <f>IFERROR(VLOOKUP(G4336,WholesaleExtract!B:M,12,FALSE),"")</f>
        <v/>
      </c>
      <c r="R4336" s="19"/>
      <c r="S4336" s="19"/>
    </row>
    <row r="4337" spans="1:19" x14ac:dyDescent="0.35">
      <c r="A4337" s="26" t="s">
        <v>543</v>
      </c>
      <c r="B4337" s="26" t="s">
        <v>543</v>
      </c>
      <c r="C4337" s="26"/>
      <c r="D4337" s="26" t="s">
        <v>543</v>
      </c>
      <c r="E4337" s="26" t="str">
        <f>IFERROR(VLOOKUP(G4337,WholesaleExtract!B:J,9,FALSE),"")</f>
        <v/>
      </c>
      <c r="F4337" s="26" t="str">
        <f>IFERROR(VLOOKUP(G4337,WholesaleExtract!B:J,6,FALSE),"")</f>
        <v/>
      </c>
      <c r="H4337" s="47" t="str">
        <f>IFERROR(VLOOKUP(G4337,WholesaleExtract!B:L,11,FALSE),"")</f>
        <v/>
      </c>
      <c r="I4337" s="26" t="str">
        <f>IFERROR(VLOOKUP(G4337,WholesaleExtract!B:O,8,FALSE),"")</f>
        <v/>
      </c>
      <c r="J4337" s="26" t="str">
        <f>IFERROR(VLOOKUP(G4337,WholesaleExtract!B:O,14,FALSE),"")</f>
        <v/>
      </c>
      <c r="K4337" s="26" t="str">
        <f>IFERROR(VLOOKUP(G4337,WholesaleExtract!B:K,10,FALSE),"")</f>
        <v/>
      </c>
      <c r="L4337" s="47" t="str">
        <f>IFERROR(VLOOKUP(G4337,WholesaleExtract!B:L,11,FALSE),"")</f>
        <v/>
      </c>
      <c r="M4337" s="47" t="str">
        <f>IFERROR(VLOOKUP(G4337,WholesaleExtract!B:M,12,FALSE),"")</f>
        <v/>
      </c>
      <c r="R4337" s="19"/>
      <c r="S4337" s="19"/>
    </row>
    <row r="4338" spans="1:19" x14ac:dyDescent="0.35">
      <c r="A4338" s="26" t="s">
        <v>543</v>
      </c>
      <c r="B4338" s="26" t="s">
        <v>543</v>
      </c>
      <c r="C4338" s="26"/>
      <c r="D4338" s="26" t="s">
        <v>543</v>
      </c>
      <c r="E4338" s="26" t="str">
        <f>IFERROR(VLOOKUP(G4338,WholesaleExtract!B:J,9,FALSE),"")</f>
        <v/>
      </c>
      <c r="F4338" s="26" t="str">
        <f>IFERROR(VLOOKUP(G4338,WholesaleExtract!B:J,6,FALSE),"")</f>
        <v/>
      </c>
      <c r="H4338" s="47" t="str">
        <f>IFERROR(VLOOKUP(G4338,WholesaleExtract!B:L,11,FALSE),"")</f>
        <v/>
      </c>
      <c r="I4338" s="26" t="str">
        <f>IFERROR(VLOOKUP(G4338,WholesaleExtract!B:O,8,FALSE),"")</f>
        <v/>
      </c>
      <c r="J4338" s="26" t="str">
        <f>IFERROR(VLOOKUP(G4338,WholesaleExtract!B:O,14,FALSE),"")</f>
        <v/>
      </c>
      <c r="K4338" s="26" t="str">
        <f>IFERROR(VLOOKUP(G4338,WholesaleExtract!B:K,10,FALSE),"")</f>
        <v/>
      </c>
      <c r="L4338" s="47" t="str">
        <f>IFERROR(VLOOKUP(G4338,WholesaleExtract!B:L,11,FALSE),"")</f>
        <v/>
      </c>
      <c r="M4338" s="47" t="str">
        <f>IFERROR(VLOOKUP(G4338,WholesaleExtract!B:M,12,FALSE),"")</f>
        <v/>
      </c>
      <c r="R4338" s="19"/>
      <c r="S4338" s="19"/>
    </row>
    <row r="4339" spans="1:19" x14ac:dyDescent="0.35">
      <c r="A4339" s="26" t="s">
        <v>543</v>
      </c>
      <c r="B4339" s="26" t="s">
        <v>543</v>
      </c>
      <c r="C4339" s="26"/>
      <c r="D4339" s="26" t="s">
        <v>543</v>
      </c>
      <c r="E4339" s="26" t="str">
        <f>IFERROR(VLOOKUP(G4339,WholesaleExtract!B:J,9,FALSE),"")</f>
        <v/>
      </c>
      <c r="F4339" s="26" t="str">
        <f>IFERROR(VLOOKUP(G4339,WholesaleExtract!B:J,6,FALSE),"")</f>
        <v/>
      </c>
      <c r="H4339" s="47" t="str">
        <f>IFERROR(VLOOKUP(G4339,WholesaleExtract!B:L,11,FALSE),"")</f>
        <v/>
      </c>
      <c r="I4339" s="26" t="str">
        <f>IFERROR(VLOOKUP(G4339,WholesaleExtract!B:O,8,FALSE),"")</f>
        <v/>
      </c>
      <c r="J4339" s="26" t="str">
        <f>IFERROR(VLOOKUP(G4339,WholesaleExtract!B:O,14,FALSE),"")</f>
        <v/>
      </c>
      <c r="K4339" s="26" t="str">
        <f>IFERROR(VLOOKUP(G4339,WholesaleExtract!B:K,10,FALSE),"")</f>
        <v/>
      </c>
      <c r="L4339" s="47" t="str">
        <f>IFERROR(VLOOKUP(G4339,WholesaleExtract!B:L,11,FALSE),"")</f>
        <v/>
      </c>
      <c r="M4339" s="47" t="str">
        <f>IFERROR(VLOOKUP(G4339,WholesaleExtract!B:M,12,FALSE),"")</f>
        <v/>
      </c>
      <c r="R4339" s="19"/>
      <c r="S4339" s="19"/>
    </row>
    <row r="4340" spans="1:19" x14ac:dyDescent="0.35">
      <c r="A4340" s="26" t="s">
        <v>543</v>
      </c>
      <c r="B4340" s="26" t="s">
        <v>543</v>
      </c>
      <c r="C4340" s="26"/>
      <c r="D4340" s="26" t="s">
        <v>543</v>
      </c>
      <c r="E4340" s="26" t="str">
        <f>IFERROR(VLOOKUP(G4340,WholesaleExtract!B:J,9,FALSE),"")</f>
        <v/>
      </c>
      <c r="F4340" s="26" t="str">
        <f>IFERROR(VLOOKUP(G4340,WholesaleExtract!B:J,6,FALSE),"")</f>
        <v/>
      </c>
      <c r="H4340" s="47" t="str">
        <f>IFERROR(VLOOKUP(G4340,WholesaleExtract!B:L,11,FALSE),"")</f>
        <v/>
      </c>
      <c r="I4340" s="26" t="str">
        <f>IFERROR(VLOOKUP(G4340,WholesaleExtract!B:O,8,FALSE),"")</f>
        <v/>
      </c>
      <c r="J4340" s="26" t="str">
        <f>IFERROR(VLOOKUP(G4340,WholesaleExtract!B:O,14,FALSE),"")</f>
        <v/>
      </c>
      <c r="K4340" s="26" t="str">
        <f>IFERROR(VLOOKUP(G4340,WholesaleExtract!B:K,10,FALSE),"")</f>
        <v/>
      </c>
      <c r="L4340" s="47" t="str">
        <f>IFERROR(VLOOKUP(G4340,WholesaleExtract!B:L,11,FALSE),"")</f>
        <v/>
      </c>
      <c r="M4340" s="47" t="str">
        <f>IFERROR(VLOOKUP(G4340,WholesaleExtract!B:M,12,FALSE),"")</f>
        <v/>
      </c>
      <c r="R4340" s="19"/>
      <c r="S4340" s="19"/>
    </row>
    <row r="4341" spans="1:19" x14ac:dyDescent="0.35">
      <c r="A4341" s="26" t="s">
        <v>543</v>
      </c>
      <c r="B4341" s="26" t="s">
        <v>543</v>
      </c>
      <c r="C4341" s="26"/>
      <c r="D4341" s="26" t="s">
        <v>543</v>
      </c>
      <c r="E4341" s="26" t="str">
        <f>IFERROR(VLOOKUP(G4341,WholesaleExtract!B:J,9,FALSE),"")</f>
        <v/>
      </c>
      <c r="F4341" s="26" t="str">
        <f>IFERROR(VLOOKUP(G4341,WholesaleExtract!B:J,6,FALSE),"")</f>
        <v/>
      </c>
      <c r="H4341" s="47" t="str">
        <f>IFERROR(VLOOKUP(G4341,WholesaleExtract!B:L,11,FALSE),"")</f>
        <v/>
      </c>
      <c r="I4341" s="26" t="str">
        <f>IFERROR(VLOOKUP(G4341,WholesaleExtract!B:O,8,FALSE),"")</f>
        <v/>
      </c>
      <c r="J4341" s="26" t="str">
        <f>IFERROR(VLOOKUP(G4341,WholesaleExtract!B:O,14,FALSE),"")</f>
        <v/>
      </c>
      <c r="K4341" s="26" t="str">
        <f>IFERROR(VLOOKUP(G4341,WholesaleExtract!B:K,10,FALSE),"")</f>
        <v/>
      </c>
      <c r="L4341" s="47" t="str">
        <f>IFERROR(VLOOKUP(G4341,WholesaleExtract!B:L,11,FALSE),"")</f>
        <v/>
      </c>
      <c r="M4341" s="47" t="str">
        <f>IFERROR(VLOOKUP(G4341,WholesaleExtract!B:M,12,FALSE),"")</f>
        <v/>
      </c>
      <c r="R4341" s="19"/>
      <c r="S4341" s="19"/>
    </row>
    <row r="4342" spans="1:19" x14ac:dyDescent="0.35">
      <c r="A4342" s="26" t="s">
        <v>543</v>
      </c>
      <c r="B4342" s="26" t="s">
        <v>543</v>
      </c>
      <c r="C4342" s="26"/>
      <c r="D4342" s="26" t="s">
        <v>543</v>
      </c>
      <c r="E4342" s="26" t="str">
        <f>IFERROR(VLOOKUP(G4342,WholesaleExtract!B:J,9,FALSE),"")</f>
        <v/>
      </c>
      <c r="F4342" s="26" t="str">
        <f>IFERROR(VLOOKUP(G4342,WholesaleExtract!B:J,6,FALSE),"")</f>
        <v/>
      </c>
      <c r="H4342" s="47" t="str">
        <f>IFERROR(VLOOKUP(G4342,WholesaleExtract!B:L,11,FALSE),"")</f>
        <v/>
      </c>
      <c r="I4342" s="26" t="str">
        <f>IFERROR(VLOOKUP(G4342,WholesaleExtract!B:O,8,FALSE),"")</f>
        <v/>
      </c>
      <c r="J4342" s="26" t="str">
        <f>IFERROR(VLOOKUP(G4342,WholesaleExtract!B:O,14,FALSE),"")</f>
        <v/>
      </c>
      <c r="K4342" s="26" t="str">
        <f>IFERROR(VLOOKUP(G4342,WholesaleExtract!B:K,10,FALSE),"")</f>
        <v/>
      </c>
      <c r="L4342" s="47" t="str">
        <f>IFERROR(VLOOKUP(G4342,WholesaleExtract!B:L,11,FALSE),"")</f>
        <v/>
      </c>
      <c r="M4342" s="47" t="str">
        <f>IFERROR(VLOOKUP(G4342,WholesaleExtract!B:M,12,FALSE),"")</f>
        <v/>
      </c>
      <c r="R4342" s="19"/>
      <c r="S4342" s="19"/>
    </row>
    <row r="4343" spans="1:19" x14ac:dyDescent="0.35">
      <c r="A4343" s="26" t="s">
        <v>543</v>
      </c>
      <c r="B4343" s="26" t="s">
        <v>543</v>
      </c>
      <c r="C4343" s="26"/>
      <c r="D4343" s="26" t="s">
        <v>543</v>
      </c>
      <c r="E4343" s="26" t="str">
        <f>IFERROR(VLOOKUP(G4343,WholesaleExtract!B:J,9,FALSE),"")</f>
        <v/>
      </c>
      <c r="F4343" s="26" t="str">
        <f>IFERROR(VLOOKUP(G4343,WholesaleExtract!B:J,6,FALSE),"")</f>
        <v/>
      </c>
      <c r="H4343" s="47" t="str">
        <f>IFERROR(VLOOKUP(G4343,WholesaleExtract!B:L,11,FALSE),"")</f>
        <v/>
      </c>
      <c r="I4343" s="26" t="str">
        <f>IFERROR(VLOOKUP(G4343,WholesaleExtract!B:O,8,FALSE),"")</f>
        <v/>
      </c>
      <c r="J4343" s="26" t="str">
        <f>IFERROR(VLOOKUP(G4343,WholesaleExtract!B:O,14,FALSE),"")</f>
        <v/>
      </c>
      <c r="K4343" s="26" t="str">
        <f>IFERROR(VLOOKUP(G4343,WholesaleExtract!B:K,10,FALSE),"")</f>
        <v/>
      </c>
      <c r="L4343" s="47" t="str">
        <f>IFERROR(VLOOKUP(G4343,WholesaleExtract!B:L,11,FALSE),"")</f>
        <v/>
      </c>
      <c r="M4343" s="47" t="str">
        <f>IFERROR(VLOOKUP(G4343,WholesaleExtract!B:M,12,FALSE),"")</f>
        <v/>
      </c>
      <c r="R4343" s="19"/>
      <c r="S4343" s="19"/>
    </row>
    <row r="4344" spans="1:19" x14ac:dyDescent="0.35">
      <c r="A4344" s="26" t="s">
        <v>543</v>
      </c>
      <c r="B4344" s="26" t="s">
        <v>543</v>
      </c>
      <c r="C4344" s="26"/>
      <c r="D4344" s="26" t="s">
        <v>543</v>
      </c>
      <c r="E4344" s="26" t="str">
        <f>IFERROR(VLOOKUP(G4344,WholesaleExtract!B:J,9,FALSE),"")</f>
        <v/>
      </c>
      <c r="F4344" s="26" t="str">
        <f>IFERROR(VLOOKUP(G4344,WholesaleExtract!B:J,6,FALSE),"")</f>
        <v/>
      </c>
      <c r="H4344" s="47" t="str">
        <f>IFERROR(VLOOKUP(G4344,WholesaleExtract!B:L,11,FALSE),"")</f>
        <v/>
      </c>
      <c r="I4344" s="26" t="str">
        <f>IFERROR(VLOOKUP(G4344,WholesaleExtract!B:O,8,FALSE),"")</f>
        <v/>
      </c>
      <c r="J4344" s="26" t="str">
        <f>IFERROR(VLOOKUP(G4344,WholesaleExtract!B:O,14,FALSE),"")</f>
        <v/>
      </c>
      <c r="K4344" s="26" t="str">
        <f>IFERROR(VLOOKUP(G4344,WholesaleExtract!B:K,10,FALSE),"")</f>
        <v/>
      </c>
      <c r="L4344" s="47" t="str">
        <f>IFERROR(VLOOKUP(G4344,WholesaleExtract!B:L,11,FALSE),"")</f>
        <v/>
      </c>
      <c r="M4344" s="47" t="str">
        <f>IFERROR(VLOOKUP(G4344,WholesaleExtract!B:M,12,FALSE),"")</f>
        <v/>
      </c>
      <c r="R4344" s="19"/>
      <c r="S4344" s="19"/>
    </row>
    <row r="4345" spans="1:19" x14ac:dyDescent="0.35">
      <c r="A4345" s="26" t="s">
        <v>543</v>
      </c>
      <c r="B4345" s="26" t="s">
        <v>543</v>
      </c>
      <c r="C4345" s="26"/>
      <c r="D4345" s="26" t="s">
        <v>543</v>
      </c>
      <c r="E4345" s="26" t="str">
        <f>IFERROR(VLOOKUP(G4345,WholesaleExtract!B:J,9,FALSE),"")</f>
        <v/>
      </c>
      <c r="F4345" s="26" t="str">
        <f>IFERROR(VLOOKUP(G4345,WholesaleExtract!B:J,6,FALSE),"")</f>
        <v/>
      </c>
      <c r="H4345" s="47" t="str">
        <f>IFERROR(VLOOKUP(G4345,WholesaleExtract!B:L,11,FALSE),"")</f>
        <v/>
      </c>
      <c r="I4345" s="26" t="str">
        <f>IFERROR(VLOOKUP(G4345,WholesaleExtract!B:O,8,FALSE),"")</f>
        <v/>
      </c>
      <c r="J4345" s="26" t="str">
        <f>IFERROR(VLOOKUP(G4345,WholesaleExtract!B:O,14,FALSE),"")</f>
        <v/>
      </c>
      <c r="K4345" s="26" t="str">
        <f>IFERROR(VLOOKUP(G4345,WholesaleExtract!B:K,10,FALSE),"")</f>
        <v/>
      </c>
      <c r="L4345" s="47" t="str">
        <f>IFERROR(VLOOKUP(G4345,WholesaleExtract!B:L,11,FALSE),"")</f>
        <v/>
      </c>
      <c r="M4345" s="47" t="str">
        <f>IFERROR(VLOOKUP(G4345,WholesaleExtract!B:M,12,FALSE),"")</f>
        <v/>
      </c>
      <c r="R4345" s="19"/>
      <c r="S4345" s="19"/>
    </row>
    <row r="4346" spans="1:19" x14ac:dyDescent="0.35">
      <c r="A4346" s="26" t="s">
        <v>543</v>
      </c>
      <c r="B4346" s="26" t="s">
        <v>543</v>
      </c>
      <c r="C4346" s="26"/>
      <c r="D4346" s="26" t="s">
        <v>543</v>
      </c>
      <c r="E4346" s="26" t="str">
        <f>IFERROR(VLOOKUP(G4346,WholesaleExtract!B:J,9,FALSE),"")</f>
        <v/>
      </c>
      <c r="F4346" s="26" t="str">
        <f>IFERROR(VLOOKUP(G4346,WholesaleExtract!B:J,6,FALSE),"")</f>
        <v/>
      </c>
      <c r="H4346" s="47" t="str">
        <f>IFERROR(VLOOKUP(G4346,WholesaleExtract!B:L,11,FALSE),"")</f>
        <v/>
      </c>
      <c r="I4346" s="26" t="str">
        <f>IFERROR(VLOOKUP(G4346,WholesaleExtract!B:O,8,FALSE),"")</f>
        <v/>
      </c>
      <c r="J4346" s="26" t="str">
        <f>IFERROR(VLOOKUP(G4346,WholesaleExtract!B:O,14,FALSE),"")</f>
        <v/>
      </c>
      <c r="K4346" s="26" t="str">
        <f>IFERROR(VLOOKUP(G4346,WholesaleExtract!B:K,10,FALSE),"")</f>
        <v/>
      </c>
      <c r="L4346" s="47" t="str">
        <f>IFERROR(VLOOKUP(G4346,WholesaleExtract!B:L,11,FALSE),"")</f>
        <v/>
      </c>
      <c r="M4346" s="47" t="str">
        <f>IFERROR(VLOOKUP(G4346,WholesaleExtract!B:M,12,FALSE),"")</f>
        <v/>
      </c>
      <c r="R4346" s="19"/>
      <c r="S4346" s="19"/>
    </row>
    <row r="4347" spans="1:19" x14ac:dyDescent="0.35">
      <c r="A4347" s="26" t="s">
        <v>543</v>
      </c>
      <c r="B4347" s="26" t="s">
        <v>543</v>
      </c>
      <c r="C4347" s="26"/>
      <c r="D4347" s="26" t="s">
        <v>543</v>
      </c>
      <c r="E4347" s="26" t="str">
        <f>IFERROR(VLOOKUP(G4347,WholesaleExtract!B:J,9,FALSE),"")</f>
        <v/>
      </c>
      <c r="F4347" s="26" t="str">
        <f>IFERROR(VLOOKUP(G4347,WholesaleExtract!B:J,6,FALSE),"")</f>
        <v/>
      </c>
      <c r="H4347" s="47" t="str">
        <f>IFERROR(VLOOKUP(G4347,WholesaleExtract!B:L,11,FALSE),"")</f>
        <v/>
      </c>
      <c r="I4347" s="26" t="str">
        <f>IFERROR(VLOOKUP(G4347,WholesaleExtract!B:O,8,FALSE),"")</f>
        <v/>
      </c>
      <c r="J4347" s="26" t="str">
        <f>IFERROR(VLOOKUP(G4347,WholesaleExtract!B:O,14,FALSE),"")</f>
        <v/>
      </c>
      <c r="K4347" s="26" t="str">
        <f>IFERROR(VLOOKUP(G4347,WholesaleExtract!B:K,10,FALSE),"")</f>
        <v/>
      </c>
      <c r="L4347" s="47" t="str">
        <f>IFERROR(VLOOKUP(G4347,WholesaleExtract!B:L,11,FALSE),"")</f>
        <v/>
      </c>
      <c r="M4347" s="47" t="str">
        <f>IFERROR(VLOOKUP(G4347,WholesaleExtract!B:M,12,FALSE),"")</f>
        <v/>
      </c>
      <c r="R4347" s="19"/>
      <c r="S4347" s="19"/>
    </row>
    <row r="4348" spans="1:19" x14ac:dyDescent="0.35">
      <c r="A4348" s="26" t="s">
        <v>543</v>
      </c>
      <c r="B4348" s="26" t="s">
        <v>543</v>
      </c>
      <c r="C4348" s="26"/>
      <c r="D4348" s="26" t="s">
        <v>543</v>
      </c>
      <c r="E4348" s="26" t="str">
        <f>IFERROR(VLOOKUP(G4348,WholesaleExtract!B:J,9,FALSE),"")</f>
        <v/>
      </c>
      <c r="F4348" s="26" t="str">
        <f>IFERROR(VLOOKUP(G4348,WholesaleExtract!B:J,6,FALSE),"")</f>
        <v/>
      </c>
      <c r="H4348" s="47" t="str">
        <f>IFERROR(VLOOKUP(G4348,WholesaleExtract!B:L,11,FALSE),"")</f>
        <v/>
      </c>
      <c r="I4348" s="26" t="str">
        <f>IFERROR(VLOOKUP(G4348,WholesaleExtract!B:O,8,FALSE),"")</f>
        <v/>
      </c>
      <c r="J4348" s="26" t="str">
        <f>IFERROR(VLOOKUP(G4348,WholesaleExtract!B:O,14,FALSE),"")</f>
        <v/>
      </c>
      <c r="K4348" s="26" t="str">
        <f>IFERROR(VLOOKUP(G4348,WholesaleExtract!B:K,10,FALSE),"")</f>
        <v/>
      </c>
      <c r="L4348" s="47" t="str">
        <f>IFERROR(VLOOKUP(G4348,WholesaleExtract!B:L,11,FALSE),"")</f>
        <v/>
      </c>
      <c r="M4348" s="47" t="str">
        <f>IFERROR(VLOOKUP(G4348,WholesaleExtract!B:M,12,FALSE),"")</f>
        <v/>
      </c>
      <c r="R4348" s="19"/>
      <c r="S4348" s="19"/>
    </row>
    <row r="4349" spans="1:19" x14ac:dyDescent="0.35">
      <c r="A4349" s="26" t="s">
        <v>543</v>
      </c>
      <c r="B4349" s="26" t="s">
        <v>543</v>
      </c>
      <c r="C4349" s="26"/>
      <c r="D4349" s="26" t="s">
        <v>543</v>
      </c>
      <c r="E4349" s="26" t="str">
        <f>IFERROR(VLOOKUP(G4349,WholesaleExtract!B:J,9,FALSE),"")</f>
        <v/>
      </c>
      <c r="F4349" s="26" t="str">
        <f>IFERROR(VLOOKUP(G4349,WholesaleExtract!B:J,6,FALSE),"")</f>
        <v/>
      </c>
      <c r="H4349" s="47" t="str">
        <f>IFERROR(VLOOKUP(G4349,WholesaleExtract!B:L,11,FALSE),"")</f>
        <v/>
      </c>
      <c r="I4349" s="26" t="str">
        <f>IFERROR(VLOOKUP(G4349,WholesaleExtract!B:O,8,FALSE),"")</f>
        <v/>
      </c>
      <c r="J4349" s="26" t="str">
        <f>IFERROR(VLOOKUP(G4349,WholesaleExtract!B:O,14,FALSE),"")</f>
        <v/>
      </c>
      <c r="K4349" s="26" t="str">
        <f>IFERROR(VLOOKUP(G4349,WholesaleExtract!B:K,10,FALSE),"")</f>
        <v/>
      </c>
      <c r="L4349" s="47" t="str">
        <f>IFERROR(VLOOKUP(G4349,WholesaleExtract!B:L,11,FALSE),"")</f>
        <v/>
      </c>
      <c r="M4349" s="47" t="str">
        <f>IFERROR(VLOOKUP(G4349,WholesaleExtract!B:M,12,FALSE),"")</f>
        <v/>
      </c>
      <c r="R4349" s="19"/>
      <c r="S4349" s="19"/>
    </row>
    <row r="4350" spans="1:19" x14ac:dyDescent="0.35">
      <c r="A4350" s="26" t="s">
        <v>543</v>
      </c>
      <c r="B4350" s="26" t="s">
        <v>543</v>
      </c>
      <c r="C4350" s="26"/>
      <c r="D4350" s="26" t="s">
        <v>543</v>
      </c>
      <c r="E4350" s="26" t="str">
        <f>IFERROR(VLOOKUP(G4350,WholesaleExtract!B:J,9,FALSE),"")</f>
        <v/>
      </c>
      <c r="F4350" s="26" t="str">
        <f>IFERROR(VLOOKUP(G4350,WholesaleExtract!B:J,6,FALSE),"")</f>
        <v/>
      </c>
      <c r="H4350" s="47" t="str">
        <f>IFERROR(VLOOKUP(G4350,WholesaleExtract!B:L,11,FALSE),"")</f>
        <v/>
      </c>
      <c r="I4350" s="26" t="str">
        <f>IFERROR(VLOOKUP(G4350,WholesaleExtract!B:O,8,FALSE),"")</f>
        <v/>
      </c>
      <c r="J4350" s="26" t="str">
        <f>IFERROR(VLOOKUP(G4350,WholesaleExtract!B:O,14,FALSE),"")</f>
        <v/>
      </c>
      <c r="K4350" s="26" t="str">
        <f>IFERROR(VLOOKUP(G4350,WholesaleExtract!B:K,10,FALSE),"")</f>
        <v/>
      </c>
      <c r="L4350" s="47" t="str">
        <f>IFERROR(VLOOKUP(G4350,WholesaleExtract!B:L,11,FALSE),"")</f>
        <v/>
      </c>
      <c r="M4350" s="47" t="str">
        <f>IFERROR(VLOOKUP(G4350,WholesaleExtract!B:M,12,FALSE),"")</f>
        <v/>
      </c>
      <c r="R4350" s="19"/>
      <c r="S4350" s="19"/>
    </row>
    <row r="4351" spans="1:19" x14ac:dyDescent="0.35">
      <c r="A4351" s="26" t="s">
        <v>543</v>
      </c>
      <c r="B4351" s="26" t="s">
        <v>543</v>
      </c>
      <c r="C4351" s="26"/>
      <c r="D4351" s="26" t="s">
        <v>543</v>
      </c>
      <c r="E4351" s="26" t="str">
        <f>IFERROR(VLOOKUP(G4351,WholesaleExtract!B:J,9,FALSE),"")</f>
        <v/>
      </c>
      <c r="F4351" s="26" t="str">
        <f>IFERROR(VLOOKUP(G4351,WholesaleExtract!B:J,6,FALSE),"")</f>
        <v/>
      </c>
      <c r="H4351" s="47" t="str">
        <f>IFERROR(VLOOKUP(G4351,WholesaleExtract!B:L,11,FALSE),"")</f>
        <v/>
      </c>
      <c r="I4351" s="26" t="str">
        <f>IFERROR(VLOOKUP(G4351,WholesaleExtract!B:O,8,FALSE),"")</f>
        <v/>
      </c>
      <c r="J4351" s="26" t="str">
        <f>IFERROR(VLOOKUP(G4351,WholesaleExtract!B:O,14,FALSE),"")</f>
        <v/>
      </c>
      <c r="K4351" s="26" t="str">
        <f>IFERROR(VLOOKUP(G4351,WholesaleExtract!B:K,10,FALSE),"")</f>
        <v/>
      </c>
      <c r="L4351" s="47" t="str">
        <f>IFERROR(VLOOKUP(G4351,WholesaleExtract!B:L,11,FALSE),"")</f>
        <v/>
      </c>
      <c r="M4351" s="47" t="str">
        <f>IFERROR(VLOOKUP(G4351,WholesaleExtract!B:M,12,FALSE),"")</f>
        <v/>
      </c>
      <c r="R4351" s="19"/>
      <c r="S4351" s="19"/>
    </row>
    <row r="4352" spans="1:19" x14ac:dyDescent="0.35">
      <c r="A4352" s="26" t="s">
        <v>543</v>
      </c>
      <c r="B4352" s="26" t="s">
        <v>543</v>
      </c>
      <c r="C4352" s="26"/>
      <c r="D4352" s="26" t="s">
        <v>543</v>
      </c>
      <c r="E4352" s="26" t="str">
        <f>IFERROR(VLOOKUP(G4352,WholesaleExtract!B:J,9,FALSE),"")</f>
        <v/>
      </c>
      <c r="F4352" s="26" t="str">
        <f>IFERROR(VLOOKUP(G4352,WholesaleExtract!B:J,6,FALSE),"")</f>
        <v/>
      </c>
      <c r="H4352" s="47" t="str">
        <f>IFERROR(VLOOKUP(G4352,WholesaleExtract!B:L,11,FALSE),"")</f>
        <v/>
      </c>
      <c r="I4352" s="26" t="str">
        <f>IFERROR(VLOOKUP(G4352,WholesaleExtract!B:O,8,FALSE),"")</f>
        <v/>
      </c>
      <c r="J4352" s="26" t="str">
        <f>IFERROR(VLOOKUP(G4352,WholesaleExtract!B:O,14,FALSE),"")</f>
        <v/>
      </c>
      <c r="K4352" s="26" t="str">
        <f>IFERROR(VLOOKUP(G4352,WholesaleExtract!B:K,10,FALSE),"")</f>
        <v/>
      </c>
      <c r="L4352" s="47" t="str">
        <f>IFERROR(VLOOKUP(G4352,WholesaleExtract!B:L,11,FALSE),"")</f>
        <v/>
      </c>
      <c r="M4352" s="47" t="str">
        <f>IFERROR(VLOOKUP(G4352,WholesaleExtract!B:M,12,FALSE),"")</f>
        <v/>
      </c>
      <c r="R4352" s="19"/>
      <c r="S4352" s="19"/>
    </row>
    <row r="4353" spans="1:19" x14ac:dyDescent="0.35">
      <c r="A4353" s="26" t="s">
        <v>543</v>
      </c>
      <c r="B4353" s="26" t="s">
        <v>543</v>
      </c>
      <c r="C4353" s="26"/>
      <c r="D4353" s="26" t="s">
        <v>543</v>
      </c>
      <c r="E4353" s="26" t="str">
        <f>IFERROR(VLOOKUP(G4353,WholesaleExtract!B:J,9,FALSE),"")</f>
        <v/>
      </c>
      <c r="F4353" s="26" t="str">
        <f>IFERROR(VLOOKUP(G4353,WholesaleExtract!B:J,6,FALSE),"")</f>
        <v/>
      </c>
      <c r="H4353" s="47" t="str">
        <f>IFERROR(VLOOKUP(G4353,WholesaleExtract!B:L,11,FALSE),"")</f>
        <v/>
      </c>
      <c r="I4353" s="26" t="str">
        <f>IFERROR(VLOOKUP(G4353,WholesaleExtract!B:O,8,FALSE),"")</f>
        <v/>
      </c>
      <c r="J4353" s="26" t="str">
        <f>IFERROR(VLOOKUP(G4353,WholesaleExtract!B:O,14,FALSE),"")</f>
        <v/>
      </c>
      <c r="K4353" s="26" t="str">
        <f>IFERROR(VLOOKUP(G4353,WholesaleExtract!B:K,10,FALSE),"")</f>
        <v/>
      </c>
      <c r="L4353" s="47" t="str">
        <f>IFERROR(VLOOKUP(G4353,WholesaleExtract!B:L,11,FALSE),"")</f>
        <v/>
      </c>
      <c r="M4353" s="47" t="str">
        <f>IFERROR(VLOOKUP(G4353,WholesaleExtract!B:M,12,FALSE),"")</f>
        <v/>
      </c>
      <c r="R4353" s="19"/>
      <c r="S4353" s="19"/>
    </row>
    <row r="4354" spans="1:19" x14ac:dyDescent="0.35">
      <c r="A4354" s="26" t="s">
        <v>543</v>
      </c>
      <c r="B4354" s="26" t="s">
        <v>543</v>
      </c>
      <c r="C4354" s="26"/>
      <c r="D4354" s="26" t="s">
        <v>543</v>
      </c>
      <c r="E4354" s="26" t="str">
        <f>IFERROR(VLOOKUP(G4354,WholesaleExtract!B:J,9,FALSE),"")</f>
        <v/>
      </c>
      <c r="F4354" s="26" t="str">
        <f>IFERROR(VLOOKUP(G4354,WholesaleExtract!B:J,6,FALSE),"")</f>
        <v/>
      </c>
      <c r="H4354" s="47" t="str">
        <f>IFERROR(VLOOKUP(G4354,WholesaleExtract!B:L,11,FALSE),"")</f>
        <v/>
      </c>
      <c r="I4354" s="26" t="str">
        <f>IFERROR(VLOOKUP(G4354,WholesaleExtract!B:O,8,FALSE),"")</f>
        <v/>
      </c>
      <c r="J4354" s="26" t="str">
        <f>IFERROR(VLOOKUP(G4354,WholesaleExtract!B:O,14,FALSE),"")</f>
        <v/>
      </c>
      <c r="K4354" s="26" t="str">
        <f>IFERROR(VLOOKUP(G4354,WholesaleExtract!B:K,10,FALSE),"")</f>
        <v/>
      </c>
      <c r="L4354" s="47" t="str">
        <f>IFERROR(VLOOKUP(G4354,WholesaleExtract!B:L,11,FALSE),"")</f>
        <v/>
      </c>
      <c r="M4354" s="47" t="str">
        <f>IFERROR(VLOOKUP(G4354,WholesaleExtract!B:M,12,FALSE),"")</f>
        <v/>
      </c>
      <c r="R4354" s="19"/>
      <c r="S4354" s="19"/>
    </row>
    <row r="4355" spans="1:19" x14ac:dyDescent="0.35">
      <c r="A4355" s="26" t="s">
        <v>543</v>
      </c>
      <c r="B4355" s="26" t="s">
        <v>543</v>
      </c>
      <c r="C4355" s="26"/>
      <c r="D4355" s="26" t="s">
        <v>543</v>
      </c>
      <c r="E4355" s="26" t="str">
        <f>IFERROR(VLOOKUP(G4355,WholesaleExtract!B:J,9,FALSE),"")</f>
        <v/>
      </c>
      <c r="F4355" s="26" t="str">
        <f>IFERROR(VLOOKUP(G4355,WholesaleExtract!B:J,6,FALSE),"")</f>
        <v/>
      </c>
      <c r="H4355" s="47" t="str">
        <f>IFERROR(VLOOKUP(G4355,WholesaleExtract!B:L,11,FALSE),"")</f>
        <v/>
      </c>
      <c r="I4355" s="26" t="str">
        <f>IFERROR(VLOOKUP(G4355,WholesaleExtract!B:O,8,FALSE),"")</f>
        <v/>
      </c>
      <c r="J4355" s="26" t="str">
        <f>IFERROR(VLOOKUP(G4355,WholesaleExtract!B:O,14,FALSE),"")</f>
        <v/>
      </c>
      <c r="K4355" s="26" t="str">
        <f>IFERROR(VLOOKUP(G4355,WholesaleExtract!B:K,10,FALSE),"")</f>
        <v/>
      </c>
      <c r="L4355" s="47" t="str">
        <f>IFERROR(VLOOKUP(G4355,WholesaleExtract!B:L,11,FALSE),"")</f>
        <v/>
      </c>
      <c r="M4355" s="47" t="str">
        <f>IFERROR(VLOOKUP(G4355,WholesaleExtract!B:M,12,FALSE),"")</f>
        <v/>
      </c>
      <c r="R4355" s="19"/>
      <c r="S4355" s="19"/>
    </row>
    <row r="4356" spans="1:19" x14ac:dyDescent="0.35">
      <c r="A4356" s="26" t="s">
        <v>543</v>
      </c>
      <c r="B4356" s="26" t="s">
        <v>543</v>
      </c>
      <c r="C4356" s="26"/>
      <c r="D4356" s="26" t="s">
        <v>543</v>
      </c>
      <c r="E4356" s="26" t="str">
        <f>IFERROR(VLOOKUP(G4356,WholesaleExtract!B:J,9,FALSE),"")</f>
        <v/>
      </c>
      <c r="F4356" s="26" t="str">
        <f>IFERROR(VLOOKUP(G4356,WholesaleExtract!B:J,6,FALSE),"")</f>
        <v/>
      </c>
      <c r="H4356" s="47" t="str">
        <f>IFERROR(VLOOKUP(G4356,WholesaleExtract!B:L,11,FALSE),"")</f>
        <v/>
      </c>
      <c r="I4356" s="26" t="str">
        <f>IFERROR(VLOOKUP(G4356,WholesaleExtract!B:O,8,FALSE),"")</f>
        <v/>
      </c>
      <c r="J4356" s="26" t="str">
        <f>IFERROR(VLOOKUP(G4356,WholesaleExtract!B:O,14,FALSE),"")</f>
        <v/>
      </c>
      <c r="K4356" s="26" t="str">
        <f>IFERROR(VLOOKUP(G4356,WholesaleExtract!B:K,10,FALSE),"")</f>
        <v/>
      </c>
      <c r="L4356" s="47" t="str">
        <f>IFERROR(VLOOKUP(G4356,WholesaleExtract!B:L,11,FALSE),"")</f>
        <v/>
      </c>
      <c r="M4356" s="47" t="str">
        <f>IFERROR(VLOOKUP(G4356,WholesaleExtract!B:M,12,FALSE),"")</f>
        <v/>
      </c>
      <c r="R4356" s="19"/>
      <c r="S4356" s="19"/>
    </row>
    <row r="4357" spans="1:19" x14ac:dyDescent="0.35">
      <c r="A4357" s="26" t="s">
        <v>543</v>
      </c>
      <c r="B4357" s="26" t="s">
        <v>543</v>
      </c>
      <c r="C4357" s="26"/>
      <c r="D4357" s="26" t="s">
        <v>543</v>
      </c>
      <c r="E4357" s="26" t="str">
        <f>IFERROR(VLOOKUP(G4357,WholesaleExtract!B:J,9,FALSE),"")</f>
        <v/>
      </c>
      <c r="F4357" s="26" t="str">
        <f>IFERROR(VLOOKUP(G4357,WholesaleExtract!B:J,6,FALSE),"")</f>
        <v/>
      </c>
      <c r="H4357" s="47" t="str">
        <f>IFERROR(VLOOKUP(G4357,WholesaleExtract!B:L,11,FALSE),"")</f>
        <v/>
      </c>
      <c r="I4357" s="26" t="str">
        <f>IFERROR(VLOOKUP(G4357,WholesaleExtract!B:O,8,FALSE),"")</f>
        <v/>
      </c>
      <c r="J4357" s="26" t="str">
        <f>IFERROR(VLOOKUP(G4357,WholesaleExtract!B:O,14,FALSE),"")</f>
        <v/>
      </c>
      <c r="K4357" s="26" t="str">
        <f>IFERROR(VLOOKUP(G4357,WholesaleExtract!B:K,10,FALSE),"")</f>
        <v/>
      </c>
      <c r="L4357" s="47" t="str">
        <f>IFERROR(VLOOKUP(G4357,WholesaleExtract!B:L,11,FALSE),"")</f>
        <v/>
      </c>
      <c r="M4357" s="47" t="str">
        <f>IFERROR(VLOOKUP(G4357,WholesaleExtract!B:M,12,FALSE),"")</f>
        <v/>
      </c>
      <c r="R4357" s="19"/>
      <c r="S4357" s="19"/>
    </row>
    <row r="4358" spans="1:19" x14ac:dyDescent="0.35">
      <c r="A4358" s="26" t="s">
        <v>543</v>
      </c>
      <c r="B4358" s="26" t="s">
        <v>543</v>
      </c>
      <c r="C4358" s="26"/>
      <c r="D4358" s="26" t="s">
        <v>543</v>
      </c>
      <c r="E4358" s="26" t="str">
        <f>IFERROR(VLOOKUP(G4358,WholesaleExtract!B:J,9,FALSE),"")</f>
        <v/>
      </c>
      <c r="F4358" s="26" t="str">
        <f>IFERROR(VLOOKUP(G4358,WholesaleExtract!B:J,6,FALSE),"")</f>
        <v/>
      </c>
      <c r="H4358" s="47" t="str">
        <f>IFERROR(VLOOKUP(G4358,WholesaleExtract!B:L,11,FALSE),"")</f>
        <v/>
      </c>
      <c r="I4358" s="26" t="str">
        <f>IFERROR(VLOOKUP(G4358,WholesaleExtract!B:O,8,FALSE),"")</f>
        <v/>
      </c>
      <c r="J4358" s="26" t="str">
        <f>IFERROR(VLOOKUP(G4358,WholesaleExtract!B:O,14,FALSE),"")</f>
        <v/>
      </c>
      <c r="K4358" s="26" t="str">
        <f>IFERROR(VLOOKUP(G4358,WholesaleExtract!B:K,10,FALSE),"")</f>
        <v/>
      </c>
      <c r="L4358" s="47" t="str">
        <f>IFERROR(VLOOKUP(G4358,WholesaleExtract!B:L,11,FALSE),"")</f>
        <v/>
      </c>
      <c r="M4358" s="47" t="str">
        <f>IFERROR(VLOOKUP(G4358,WholesaleExtract!B:M,12,FALSE),"")</f>
        <v/>
      </c>
      <c r="R4358" s="19"/>
      <c r="S4358" s="19"/>
    </row>
    <row r="4359" spans="1:19" x14ac:dyDescent="0.35">
      <c r="A4359" s="26" t="s">
        <v>543</v>
      </c>
      <c r="B4359" s="26" t="s">
        <v>543</v>
      </c>
      <c r="C4359" s="26"/>
      <c r="D4359" s="26" t="s">
        <v>543</v>
      </c>
      <c r="E4359" s="26" t="str">
        <f>IFERROR(VLOOKUP(G4359,WholesaleExtract!B:J,9,FALSE),"")</f>
        <v/>
      </c>
      <c r="F4359" s="26" t="str">
        <f>IFERROR(VLOOKUP(G4359,WholesaleExtract!B:J,6,FALSE),"")</f>
        <v/>
      </c>
      <c r="H4359" s="47" t="str">
        <f>IFERROR(VLOOKUP(G4359,WholesaleExtract!B:L,11,FALSE),"")</f>
        <v/>
      </c>
      <c r="I4359" s="26" t="str">
        <f>IFERROR(VLOOKUP(G4359,WholesaleExtract!B:O,8,FALSE),"")</f>
        <v/>
      </c>
      <c r="J4359" s="26" t="str">
        <f>IFERROR(VLOOKUP(G4359,WholesaleExtract!B:O,14,FALSE),"")</f>
        <v/>
      </c>
      <c r="K4359" s="26" t="str">
        <f>IFERROR(VLOOKUP(G4359,WholesaleExtract!B:K,10,FALSE),"")</f>
        <v/>
      </c>
      <c r="L4359" s="47" t="str">
        <f>IFERROR(VLOOKUP(G4359,WholesaleExtract!B:L,11,FALSE),"")</f>
        <v/>
      </c>
      <c r="M4359" s="47" t="str">
        <f>IFERROR(VLOOKUP(G4359,WholesaleExtract!B:M,12,FALSE),"")</f>
        <v/>
      </c>
      <c r="R4359" s="19"/>
      <c r="S4359" s="19"/>
    </row>
    <row r="4360" spans="1:19" x14ac:dyDescent="0.35">
      <c r="A4360" s="26" t="s">
        <v>543</v>
      </c>
      <c r="B4360" s="26" t="s">
        <v>543</v>
      </c>
      <c r="C4360" s="26"/>
      <c r="D4360" s="26" t="s">
        <v>543</v>
      </c>
      <c r="E4360" s="26" t="str">
        <f>IFERROR(VLOOKUP(G4360,WholesaleExtract!B:J,9,FALSE),"")</f>
        <v/>
      </c>
      <c r="F4360" s="26" t="str">
        <f>IFERROR(VLOOKUP(G4360,WholesaleExtract!B:J,6,FALSE),"")</f>
        <v/>
      </c>
      <c r="H4360" s="47" t="str">
        <f>IFERROR(VLOOKUP(G4360,WholesaleExtract!B:L,11,FALSE),"")</f>
        <v/>
      </c>
      <c r="I4360" s="26" t="str">
        <f>IFERROR(VLOOKUP(G4360,WholesaleExtract!B:O,8,FALSE),"")</f>
        <v/>
      </c>
      <c r="J4360" s="26" t="str">
        <f>IFERROR(VLOOKUP(G4360,WholesaleExtract!B:O,14,FALSE),"")</f>
        <v/>
      </c>
      <c r="K4360" s="26" t="str">
        <f>IFERROR(VLOOKUP(G4360,WholesaleExtract!B:K,10,FALSE),"")</f>
        <v/>
      </c>
      <c r="L4360" s="47" t="str">
        <f>IFERROR(VLOOKUP(G4360,WholesaleExtract!B:L,11,FALSE),"")</f>
        <v/>
      </c>
      <c r="M4360" s="47" t="str">
        <f>IFERROR(VLOOKUP(G4360,WholesaleExtract!B:M,12,FALSE),"")</f>
        <v/>
      </c>
      <c r="R4360" s="19"/>
      <c r="S4360" s="19"/>
    </row>
    <row r="4361" spans="1:19" x14ac:dyDescent="0.35">
      <c r="A4361" s="26" t="s">
        <v>543</v>
      </c>
      <c r="B4361" s="26" t="s">
        <v>543</v>
      </c>
      <c r="C4361" s="26"/>
      <c r="D4361" s="26" t="s">
        <v>543</v>
      </c>
      <c r="E4361" s="26" t="str">
        <f>IFERROR(VLOOKUP(G4361,WholesaleExtract!B:J,9,FALSE),"")</f>
        <v/>
      </c>
      <c r="F4361" s="26" t="str">
        <f>IFERROR(VLOOKUP(G4361,WholesaleExtract!B:J,6,FALSE),"")</f>
        <v/>
      </c>
      <c r="H4361" s="47" t="str">
        <f>IFERROR(VLOOKUP(G4361,WholesaleExtract!B:L,11,FALSE),"")</f>
        <v/>
      </c>
      <c r="I4361" s="26" t="str">
        <f>IFERROR(VLOOKUP(G4361,WholesaleExtract!B:O,8,FALSE),"")</f>
        <v/>
      </c>
      <c r="J4361" s="26" t="str">
        <f>IFERROR(VLOOKUP(G4361,WholesaleExtract!B:O,14,FALSE),"")</f>
        <v/>
      </c>
      <c r="K4361" s="26" t="str">
        <f>IFERROR(VLOOKUP(G4361,WholesaleExtract!B:K,10,FALSE),"")</f>
        <v/>
      </c>
      <c r="L4361" s="47" t="str">
        <f>IFERROR(VLOOKUP(G4361,WholesaleExtract!B:L,11,FALSE),"")</f>
        <v/>
      </c>
      <c r="M4361" s="47" t="str">
        <f>IFERROR(VLOOKUP(G4361,WholesaleExtract!B:M,12,FALSE),"")</f>
        <v/>
      </c>
      <c r="R4361" s="19"/>
      <c r="S4361" s="19"/>
    </row>
    <row r="4362" spans="1:19" x14ac:dyDescent="0.35">
      <c r="A4362" s="26" t="s">
        <v>543</v>
      </c>
      <c r="B4362" s="26" t="s">
        <v>543</v>
      </c>
      <c r="C4362" s="26"/>
      <c r="D4362" s="26" t="s">
        <v>543</v>
      </c>
      <c r="E4362" s="26" t="str">
        <f>IFERROR(VLOOKUP(G4362,WholesaleExtract!B:J,9,FALSE),"")</f>
        <v/>
      </c>
      <c r="F4362" s="26" t="str">
        <f>IFERROR(VLOOKUP(G4362,WholesaleExtract!B:J,6,FALSE),"")</f>
        <v/>
      </c>
      <c r="H4362" s="47" t="str">
        <f>IFERROR(VLOOKUP(G4362,WholesaleExtract!B:L,11,FALSE),"")</f>
        <v/>
      </c>
      <c r="I4362" s="26" t="str">
        <f>IFERROR(VLOOKUP(G4362,WholesaleExtract!B:O,8,FALSE),"")</f>
        <v/>
      </c>
      <c r="J4362" s="26" t="str">
        <f>IFERROR(VLOOKUP(G4362,WholesaleExtract!B:O,14,FALSE),"")</f>
        <v/>
      </c>
      <c r="K4362" s="26" t="str">
        <f>IFERROR(VLOOKUP(G4362,WholesaleExtract!B:K,10,FALSE),"")</f>
        <v/>
      </c>
      <c r="L4362" s="47" t="str">
        <f>IFERROR(VLOOKUP(G4362,WholesaleExtract!B:L,11,FALSE),"")</f>
        <v/>
      </c>
      <c r="M4362" s="47" t="str">
        <f>IFERROR(VLOOKUP(G4362,WholesaleExtract!B:M,12,FALSE),"")</f>
        <v/>
      </c>
      <c r="R4362" s="19"/>
      <c r="S4362" s="19"/>
    </row>
    <row r="4363" spans="1:19" x14ac:dyDescent="0.35">
      <c r="A4363" s="26" t="s">
        <v>543</v>
      </c>
      <c r="B4363" s="26" t="s">
        <v>543</v>
      </c>
      <c r="C4363" s="26"/>
      <c r="D4363" s="26" t="s">
        <v>543</v>
      </c>
      <c r="E4363" s="26" t="str">
        <f>IFERROR(VLOOKUP(G4363,WholesaleExtract!B:J,9,FALSE),"")</f>
        <v/>
      </c>
      <c r="F4363" s="26" t="str">
        <f>IFERROR(VLOOKUP(G4363,WholesaleExtract!B:J,6,FALSE),"")</f>
        <v/>
      </c>
      <c r="H4363" s="47" t="str">
        <f>IFERROR(VLOOKUP(G4363,WholesaleExtract!B:L,11,FALSE),"")</f>
        <v/>
      </c>
      <c r="I4363" s="26" t="str">
        <f>IFERROR(VLOOKUP(G4363,WholesaleExtract!B:O,8,FALSE),"")</f>
        <v/>
      </c>
      <c r="J4363" s="26" t="str">
        <f>IFERROR(VLOOKUP(G4363,WholesaleExtract!B:O,14,FALSE),"")</f>
        <v/>
      </c>
      <c r="K4363" s="26" t="str">
        <f>IFERROR(VLOOKUP(G4363,WholesaleExtract!B:K,10,FALSE),"")</f>
        <v/>
      </c>
      <c r="L4363" s="47" t="str">
        <f>IFERROR(VLOOKUP(G4363,WholesaleExtract!B:L,11,FALSE),"")</f>
        <v/>
      </c>
      <c r="M4363" s="47" t="str">
        <f>IFERROR(VLOOKUP(G4363,WholesaleExtract!B:M,12,FALSE),"")</f>
        <v/>
      </c>
      <c r="R4363" s="19"/>
      <c r="S4363" s="19"/>
    </row>
    <row r="4364" spans="1:19" x14ac:dyDescent="0.35">
      <c r="A4364" s="26" t="s">
        <v>543</v>
      </c>
      <c r="B4364" s="26" t="s">
        <v>543</v>
      </c>
      <c r="C4364" s="26"/>
      <c r="D4364" s="26" t="s">
        <v>543</v>
      </c>
      <c r="E4364" s="26" t="str">
        <f>IFERROR(VLOOKUP(G4364,WholesaleExtract!B:J,9,FALSE),"")</f>
        <v/>
      </c>
      <c r="F4364" s="26" t="str">
        <f>IFERROR(VLOOKUP(G4364,WholesaleExtract!B:J,6,FALSE),"")</f>
        <v/>
      </c>
      <c r="H4364" s="47" t="str">
        <f>IFERROR(VLOOKUP(G4364,WholesaleExtract!B:L,11,FALSE),"")</f>
        <v/>
      </c>
      <c r="I4364" s="26" t="str">
        <f>IFERROR(VLOOKUP(G4364,WholesaleExtract!B:O,8,FALSE),"")</f>
        <v/>
      </c>
      <c r="J4364" s="26" t="str">
        <f>IFERROR(VLOOKUP(G4364,WholesaleExtract!B:O,14,FALSE),"")</f>
        <v/>
      </c>
      <c r="K4364" s="26" t="str">
        <f>IFERROR(VLOOKUP(G4364,WholesaleExtract!B:K,10,FALSE),"")</f>
        <v/>
      </c>
      <c r="L4364" s="47" t="str">
        <f>IFERROR(VLOOKUP(G4364,WholesaleExtract!B:L,11,FALSE),"")</f>
        <v/>
      </c>
      <c r="M4364" s="47" t="str">
        <f>IFERROR(VLOOKUP(G4364,WholesaleExtract!B:M,12,FALSE),"")</f>
        <v/>
      </c>
      <c r="R4364" s="19"/>
      <c r="S4364" s="19"/>
    </row>
    <row r="4365" spans="1:19" x14ac:dyDescent="0.35">
      <c r="A4365" s="26" t="s">
        <v>543</v>
      </c>
      <c r="B4365" s="26" t="s">
        <v>543</v>
      </c>
      <c r="C4365" s="26"/>
      <c r="D4365" s="26" t="s">
        <v>543</v>
      </c>
      <c r="E4365" s="26" t="str">
        <f>IFERROR(VLOOKUP(G4365,WholesaleExtract!B:J,9,FALSE),"")</f>
        <v/>
      </c>
      <c r="F4365" s="26" t="str">
        <f>IFERROR(VLOOKUP(G4365,WholesaleExtract!B:J,6,FALSE),"")</f>
        <v/>
      </c>
      <c r="H4365" s="47" t="str">
        <f>IFERROR(VLOOKUP(G4365,WholesaleExtract!B:L,11,FALSE),"")</f>
        <v/>
      </c>
      <c r="I4365" s="26" t="str">
        <f>IFERROR(VLOOKUP(G4365,WholesaleExtract!B:O,8,FALSE),"")</f>
        <v/>
      </c>
      <c r="J4365" s="26" t="str">
        <f>IFERROR(VLOOKUP(G4365,WholesaleExtract!B:O,14,FALSE),"")</f>
        <v/>
      </c>
      <c r="K4365" s="26" t="str">
        <f>IFERROR(VLOOKUP(G4365,WholesaleExtract!B:K,10,FALSE),"")</f>
        <v/>
      </c>
      <c r="L4365" s="47" t="str">
        <f>IFERROR(VLOOKUP(G4365,WholesaleExtract!B:L,11,FALSE),"")</f>
        <v/>
      </c>
      <c r="M4365" s="47" t="str">
        <f>IFERROR(VLOOKUP(G4365,WholesaleExtract!B:M,12,FALSE),"")</f>
        <v/>
      </c>
      <c r="R4365" s="19"/>
      <c r="S4365" s="19"/>
    </row>
    <row r="4366" spans="1:19" x14ac:dyDescent="0.35">
      <c r="A4366" s="26" t="s">
        <v>543</v>
      </c>
      <c r="B4366" s="26" t="s">
        <v>543</v>
      </c>
      <c r="C4366" s="26"/>
      <c r="D4366" s="26" t="s">
        <v>543</v>
      </c>
      <c r="E4366" s="26" t="str">
        <f>IFERROR(VLOOKUP(G4366,WholesaleExtract!B:J,9,FALSE),"")</f>
        <v/>
      </c>
      <c r="F4366" s="26" t="str">
        <f>IFERROR(VLOOKUP(G4366,WholesaleExtract!B:J,6,FALSE),"")</f>
        <v/>
      </c>
      <c r="H4366" s="47" t="str">
        <f>IFERROR(VLOOKUP(G4366,WholesaleExtract!B:L,11,FALSE),"")</f>
        <v/>
      </c>
      <c r="I4366" s="26" t="str">
        <f>IFERROR(VLOOKUP(G4366,WholesaleExtract!B:O,8,FALSE),"")</f>
        <v/>
      </c>
      <c r="J4366" s="26" t="str">
        <f>IFERROR(VLOOKUP(G4366,WholesaleExtract!B:O,14,FALSE),"")</f>
        <v/>
      </c>
      <c r="K4366" s="26" t="str">
        <f>IFERROR(VLOOKUP(G4366,WholesaleExtract!B:K,10,FALSE),"")</f>
        <v/>
      </c>
      <c r="L4366" s="47" t="str">
        <f>IFERROR(VLOOKUP(G4366,WholesaleExtract!B:L,11,FALSE),"")</f>
        <v/>
      </c>
      <c r="M4366" s="47" t="str">
        <f>IFERROR(VLOOKUP(G4366,WholesaleExtract!B:M,12,FALSE),"")</f>
        <v/>
      </c>
      <c r="R4366" s="19"/>
      <c r="S4366" s="19"/>
    </row>
    <row r="4367" spans="1:19" x14ac:dyDescent="0.35">
      <c r="A4367" s="26" t="s">
        <v>543</v>
      </c>
      <c r="B4367" s="26" t="s">
        <v>543</v>
      </c>
      <c r="C4367" s="26"/>
      <c r="D4367" s="26" t="s">
        <v>543</v>
      </c>
      <c r="E4367" s="26" t="str">
        <f>IFERROR(VLOOKUP(G4367,WholesaleExtract!B:J,9,FALSE),"")</f>
        <v/>
      </c>
      <c r="F4367" s="26" t="str">
        <f>IFERROR(VLOOKUP(G4367,WholesaleExtract!B:J,6,FALSE),"")</f>
        <v/>
      </c>
      <c r="H4367" s="47" t="str">
        <f>IFERROR(VLOOKUP(G4367,WholesaleExtract!B:L,11,FALSE),"")</f>
        <v/>
      </c>
      <c r="I4367" s="26" t="str">
        <f>IFERROR(VLOOKUP(G4367,WholesaleExtract!B:O,8,FALSE),"")</f>
        <v/>
      </c>
      <c r="J4367" s="26" t="str">
        <f>IFERROR(VLOOKUP(G4367,WholesaleExtract!B:O,14,FALSE),"")</f>
        <v/>
      </c>
      <c r="K4367" s="26" t="str">
        <f>IFERROR(VLOOKUP(G4367,WholesaleExtract!B:K,10,FALSE),"")</f>
        <v/>
      </c>
      <c r="L4367" s="47" t="str">
        <f>IFERROR(VLOOKUP(G4367,WholesaleExtract!B:L,11,FALSE),"")</f>
        <v/>
      </c>
      <c r="M4367" s="47" t="str">
        <f>IFERROR(VLOOKUP(G4367,WholesaleExtract!B:M,12,FALSE),"")</f>
        <v/>
      </c>
      <c r="R4367" s="19"/>
      <c r="S4367" s="19"/>
    </row>
    <row r="4368" spans="1:19" x14ac:dyDescent="0.35">
      <c r="A4368" s="26" t="s">
        <v>543</v>
      </c>
      <c r="B4368" s="26" t="s">
        <v>543</v>
      </c>
      <c r="C4368" s="26"/>
      <c r="D4368" s="26" t="s">
        <v>543</v>
      </c>
      <c r="E4368" s="26" t="str">
        <f>IFERROR(VLOOKUP(G4368,WholesaleExtract!B:J,9,FALSE),"")</f>
        <v/>
      </c>
      <c r="F4368" s="26" t="str">
        <f>IFERROR(VLOOKUP(G4368,WholesaleExtract!B:J,6,FALSE),"")</f>
        <v/>
      </c>
      <c r="H4368" s="47" t="str">
        <f>IFERROR(VLOOKUP(G4368,WholesaleExtract!B:L,11,FALSE),"")</f>
        <v/>
      </c>
      <c r="I4368" s="26" t="str">
        <f>IFERROR(VLOOKUP(G4368,WholesaleExtract!B:O,8,FALSE),"")</f>
        <v/>
      </c>
      <c r="J4368" s="26" t="str">
        <f>IFERROR(VLOOKUP(G4368,WholesaleExtract!B:O,14,FALSE),"")</f>
        <v/>
      </c>
      <c r="K4368" s="26" t="str">
        <f>IFERROR(VLOOKUP(G4368,WholesaleExtract!B:K,10,FALSE),"")</f>
        <v/>
      </c>
      <c r="L4368" s="47" t="str">
        <f>IFERROR(VLOOKUP(G4368,WholesaleExtract!B:L,11,FALSE),"")</f>
        <v/>
      </c>
      <c r="M4368" s="47" t="str">
        <f>IFERROR(VLOOKUP(G4368,WholesaleExtract!B:M,12,FALSE),"")</f>
        <v/>
      </c>
      <c r="R4368" s="19"/>
      <c r="S4368" s="19"/>
    </row>
    <row r="4369" spans="1:19" x14ac:dyDescent="0.35">
      <c r="A4369" s="26" t="s">
        <v>543</v>
      </c>
      <c r="B4369" s="26" t="s">
        <v>543</v>
      </c>
      <c r="C4369" s="26"/>
      <c r="D4369" s="26" t="s">
        <v>543</v>
      </c>
      <c r="E4369" s="26" t="str">
        <f>IFERROR(VLOOKUP(G4369,WholesaleExtract!B:J,9,FALSE),"")</f>
        <v/>
      </c>
      <c r="F4369" s="26" t="str">
        <f>IFERROR(VLOOKUP(G4369,WholesaleExtract!B:J,6,FALSE),"")</f>
        <v/>
      </c>
      <c r="H4369" s="47" t="str">
        <f>IFERROR(VLOOKUP(G4369,WholesaleExtract!B:L,11,FALSE),"")</f>
        <v/>
      </c>
      <c r="I4369" s="26" t="str">
        <f>IFERROR(VLOOKUP(G4369,WholesaleExtract!B:O,8,FALSE),"")</f>
        <v/>
      </c>
      <c r="J4369" s="26" t="str">
        <f>IFERROR(VLOOKUP(G4369,WholesaleExtract!B:O,14,FALSE),"")</f>
        <v/>
      </c>
      <c r="K4369" s="26" t="str">
        <f>IFERROR(VLOOKUP(G4369,WholesaleExtract!B:K,10,FALSE),"")</f>
        <v/>
      </c>
      <c r="L4369" s="47" t="str">
        <f>IFERROR(VLOOKUP(G4369,WholesaleExtract!B:L,11,FALSE),"")</f>
        <v/>
      </c>
      <c r="M4369" s="47" t="str">
        <f>IFERROR(VLOOKUP(G4369,WholesaleExtract!B:M,12,FALSE),"")</f>
        <v/>
      </c>
      <c r="R4369" s="19"/>
      <c r="S4369" s="19"/>
    </row>
    <row r="4370" spans="1:19" x14ac:dyDescent="0.35">
      <c r="A4370" s="26" t="s">
        <v>543</v>
      </c>
      <c r="B4370" s="26" t="s">
        <v>543</v>
      </c>
      <c r="C4370" s="26"/>
      <c r="D4370" s="26" t="s">
        <v>543</v>
      </c>
      <c r="E4370" s="26" t="str">
        <f>IFERROR(VLOOKUP(G4370,WholesaleExtract!B:J,9,FALSE),"")</f>
        <v/>
      </c>
      <c r="F4370" s="26" t="str">
        <f>IFERROR(VLOOKUP(G4370,WholesaleExtract!B:J,6,FALSE),"")</f>
        <v/>
      </c>
      <c r="H4370" s="47" t="str">
        <f>IFERROR(VLOOKUP(G4370,WholesaleExtract!B:L,11,FALSE),"")</f>
        <v/>
      </c>
      <c r="I4370" s="26" t="str">
        <f>IFERROR(VLOOKUP(G4370,WholesaleExtract!B:O,8,FALSE),"")</f>
        <v/>
      </c>
      <c r="J4370" s="26" t="str">
        <f>IFERROR(VLOOKUP(G4370,WholesaleExtract!B:O,14,FALSE),"")</f>
        <v/>
      </c>
      <c r="K4370" s="26" t="str">
        <f>IFERROR(VLOOKUP(G4370,WholesaleExtract!B:K,10,FALSE),"")</f>
        <v/>
      </c>
      <c r="L4370" s="47" t="str">
        <f>IFERROR(VLOOKUP(G4370,WholesaleExtract!B:L,11,FALSE),"")</f>
        <v/>
      </c>
      <c r="M4370" s="47" t="str">
        <f>IFERROR(VLOOKUP(G4370,WholesaleExtract!B:M,12,FALSE),"")</f>
        <v/>
      </c>
      <c r="R4370" s="19"/>
      <c r="S4370" s="19"/>
    </row>
    <row r="4371" spans="1:19" x14ac:dyDescent="0.35">
      <c r="A4371" s="26" t="s">
        <v>543</v>
      </c>
      <c r="B4371" s="26" t="s">
        <v>543</v>
      </c>
      <c r="C4371" s="26"/>
      <c r="D4371" s="26" t="s">
        <v>543</v>
      </c>
      <c r="E4371" s="26" t="str">
        <f>IFERROR(VLOOKUP(G4371,WholesaleExtract!B:J,9,FALSE),"")</f>
        <v/>
      </c>
      <c r="F4371" s="26" t="str">
        <f>IFERROR(VLOOKUP(G4371,WholesaleExtract!B:J,6,FALSE),"")</f>
        <v/>
      </c>
      <c r="H4371" s="47" t="str">
        <f>IFERROR(VLOOKUP(G4371,WholesaleExtract!B:L,11,FALSE),"")</f>
        <v/>
      </c>
      <c r="I4371" s="26" t="str">
        <f>IFERROR(VLOOKUP(G4371,WholesaleExtract!B:O,8,FALSE),"")</f>
        <v/>
      </c>
      <c r="J4371" s="26" t="str">
        <f>IFERROR(VLOOKUP(G4371,WholesaleExtract!B:O,14,FALSE),"")</f>
        <v/>
      </c>
      <c r="K4371" s="26" t="str">
        <f>IFERROR(VLOOKUP(G4371,WholesaleExtract!B:K,10,FALSE),"")</f>
        <v/>
      </c>
      <c r="L4371" s="47" t="str">
        <f>IFERROR(VLOOKUP(G4371,WholesaleExtract!B:L,11,FALSE),"")</f>
        <v/>
      </c>
      <c r="M4371" s="47" t="str">
        <f>IFERROR(VLOOKUP(G4371,WholesaleExtract!B:M,12,FALSE),"")</f>
        <v/>
      </c>
      <c r="R4371" s="19"/>
      <c r="S4371" s="19"/>
    </row>
    <row r="4372" spans="1:19" x14ac:dyDescent="0.35">
      <c r="A4372" s="26" t="s">
        <v>543</v>
      </c>
      <c r="B4372" s="26" t="s">
        <v>543</v>
      </c>
      <c r="C4372" s="26"/>
      <c r="D4372" s="26" t="s">
        <v>543</v>
      </c>
      <c r="E4372" s="26" t="str">
        <f>IFERROR(VLOOKUP(G4372,WholesaleExtract!B:J,9,FALSE),"")</f>
        <v/>
      </c>
      <c r="F4372" s="26" t="str">
        <f>IFERROR(VLOOKUP(G4372,WholesaleExtract!B:J,6,FALSE),"")</f>
        <v/>
      </c>
      <c r="H4372" s="47" t="str">
        <f>IFERROR(VLOOKUP(G4372,WholesaleExtract!B:L,11,FALSE),"")</f>
        <v/>
      </c>
      <c r="I4372" s="26" t="str">
        <f>IFERROR(VLOOKUP(G4372,WholesaleExtract!B:O,8,FALSE),"")</f>
        <v/>
      </c>
      <c r="J4372" s="26" t="str">
        <f>IFERROR(VLOOKUP(G4372,WholesaleExtract!B:O,14,FALSE),"")</f>
        <v/>
      </c>
      <c r="K4372" s="26" t="str">
        <f>IFERROR(VLOOKUP(G4372,WholesaleExtract!B:K,10,FALSE),"")</f>
        <v/>
      </c>
      <c r="L4372" s="47" t="str">
        <f>IFERROR(VLOOKUP(G4372,WholesaleExtract!B:L,11,FALSE),"")</f>
        <v/>
      </c>
      <c r="M4372" s="47" t="str">
        <f>IFERROR(VLOOKUP(G4372,WholesaleExtract!B:M,12,FALSE),"")</f>
        <v/>
      </c>
      <c r="R4372" s="19"/>
      <c r="S4372" s="19"/>
    </row>
    <row r="4373" spans="1:19" x14ac:dyDescent="0.35">
      <c r="A4373" s="26" t="s">
        <v>543</v>
      </c>
      <c r="B4373" s="26" t="s">
        <v>543</v>
      </c>
      <c r="C4373" s="26"/>
      <c r="D4373" s="26" t="s">
        <v>543</v>
      </c>
      <c r="E4373" s="26" t="str">
        <f>IFERROR(VLOOKUP(G4373,WholesaleExtract!B:J,9,FALSE),"")</f>
        <v/>
      </c>
      <c r="F4373" s="26" t="str">
        <f>IFERROR(VLOOKUP(G4373,WholesaleExtract!B:J,6,FALSE),"")</f>
        <v/>
      </c>
      <c r="H4373" s="47" t="str">
        <f>IFERROR(VLOOKUP(G4373,WholesaleExtract!B:L,11,FALSE),"")</f>
        <v/>
      </c>
      <c r="I4373" s="26" t="str">
        <f>IFERROR(VLOOKUP(G4373,WholesaleExtract!B:O,8,FALSE),"")</f>
        <v/>
      </c>
      <c r="J4373" s="26" t="str">
        <f>IFERROR(VLOOKUP(G4373,WholesaleExtract!B:O,14,FALSE),"")</f>
        <v/>
      </c>
      <c r="K4373" s="26" t="str">
        <f>IFERROR(VLOOKUP(G4373,WholesaleExtract!B:K,10,FALSE),"")</f>
        <v/>
      </c>
      <c r="L4373" s="47" t="str">
        <f>IFERROR(VLOOKUP(G4373,WholesaleExtract!B:L,11,FALSE),"")</f>
        <v/>
      </c>
      <c r="M4373" s="47" t="str">
        <f>IFERROR(VLOOKUP(G4373,WholesaleExtract!B:M,12,FALSE),"")</f>
        <v/>
      </c>
      <c r="R4373" s="19"/>
      <c r="S4373" s="19"/>
    </row>
    <row r="4374" spans="1:19" x14ac:dyDescent="0.35">
      <c r="A4374" s="26" t="s">
        <v>543</v>
      </c>
      <c r="B4374" s="26" t="s">
        <v>543</v>
      </c>
      <c r="C4374" s="26"/>
      <c r="D4374" s="26" t="s">
        <v>543</v>
      </c>
      <c r="E4374" s="26" t="str">
        <f>IFERROR(VLOOKUP(G4374,WholesaleExtract!B:J,9,FALSE),"")</f>
        <v/>
      </c>
      <c r="F4374" s="26" t="str">
        <f>IFERROR(VLOOKUP(G4374,WholesaleExtract!B:J,6,FALSE),"")</f>
        <v/>
      </c>
      <c r="H4374" s="47" t="str">
        <f>IFERROR(VLOOKUP(G4374,WholesaleExtract!B:L,11,FALSE),"")</f>
        <v/>
      </c>
      <c r="I4374" s="26" t="str">
        <f>IFERROR(VLOOKUP(G4374,WholesaleExtract!B:O,8,FALSE),"")</f>
        <v/>
      </c>
      <c r="J4374" s="26" t="str">
        <f>IFERROR(VLOOKUP(G4374,WholesaleExtract!B:O,14,FALSE),"")</f>
        <v/>
      </c>
      <c r="K4374" s="26" t="str">
        <f>IFERROR(VLOOKUP(G4374,WholesaleExtract!B:K,10,FALSE),"")</f>
        <v/>
      </c>
      <c r="L4374" s="47" t="str">
        <f>IFERROR(VLOOKUP(G4374,WholesaleExtract!B:L,11,FALSE),"")</f>
        <v/>
      </c>
      <c r="M4374" s="47" t="str">
        <f>IFERROR(VLOOKUP(G4374,WholesaleExtract!B:M,12,FALSE),"")</f>
        <v/>
      </c>
      <c r="R4374" s="19"/>
      <c r="S4374" s="19"/>
    </row>
    <row r="4375" spans="1:19" x14ac:dyDescent="0.35">
      <c r="A4375" s="26" t="s">
        <v>543</v>
      </c>
      <c r="B4375" s="26" t="s">
        <v>543</v>
      </c>
      <c r="C4375" s="26"/>
      <c r="D4375" s="26" t="s">
        <v>543</v>
      </c>
      <c r="E4375" s="26" t="str">
        <f>IFERROR(VLOOKUP(G4375,WholesaleExtract!B:J,9,FALSE),"")</f>
        <v/>
      </c>
      <c r="F4375" s="26" t="str">
        <f>IFERROR(VLOOKUP(G4375,WholesaleExtract!B:J,6,FALSE),"")</f>
        <v/>
      </c>
      <c r="H4375" s="47" t="str">
        <f>IFERROR(VLOOKUP(G4375,WholesaleExtract!B:L,11,FALSE),"")</f>
        <v/>
      </c>
      <c r="I4375" s="26" t="str">
        <f>IFERROR(VLOOKUP(G4375,WholesaleExtract!B:O,8,FALSE),"")</f>
        <v/>
      </c>
      <c r="J4375" s="26" t="str">
        <f>IFERROR(VLOOKUP(G4375,WholesaleExtract!B:O,14,FALSE),"")</f>
        <v/>
      </c>
      <c r="K4375" s="26" t="str">
        <f>IFERROR(VLOOKUP(G4375,WholesaleExtract!B:K,10,FALSE),"")</f>
        <v/>
      </c>
      <c r="L4375" s="47" t="str">
        <f>IFERROR(VLOOKUP(G4375,WholesaleExtract!B:L,11,FALSE),"")</f>
        <v/>
      </c>
      <c r="M4375" s="47" t="str">
        <f>IFERROR(VLOOKUP(G4375,WholesaleExtract!B:M,12,FALSE),"")</f>
        <v/>
      </c>
      <c r="R4375" s="19"/>
      <c r="S4375" s="19"/>
    </row>
    <row r="4376" spans="1:19" x14ac:dyDescent="0.35">
      <c r="A4376" s="26" t="s">
        <v>543</v>
      </c>
      <c r="B4376" s="26" t="s">
        <v>543</v>
      </c>
      <c r="C4376" s="26"/>
      <c r="D4376" s="26" t="s">
        <v>543</v>
      </c>
      <c r="E4376" s="26" t="str">
        <f>IFERROR(VLOOKUP(G4376,WholesaleExtract!B:J,9,FALSE),"")</f>
        <v/>
      </c>
      <c r="F4376" s="26" t="str">
        <f>IFERROR(VLOOKUP(G4376,WholesaleExtract!B:J,6,FALSE),"")</f>
        <v/>
      </c>
      <c r="H4376" s="47" t="str">
        <f>IFERROR(VLOOKUP(G4376,WholesaleExtract!B:L,11,FALSE),"")</f>
        <v/>
      </c>
      <c r="I4376" s="26" t="str">
        <f>IFERROR(VLOOKUP(G4376,WholesaleExtract!B:O,8,FALSE),"")</f>
        <v/>
      </c>
      <c r="J4376" s="26" t="str">
        <f>IFERROR(VLOOKUP(G4376,WholesaleExtract!B:O,14,FALSE),"")</f>
        <v/>
      </c>
      <c r="K4376" s="26" t="str">
        <f>IFERROR(VLOOKUP(G4376,WholesaleExtract!B:K,10,FALSE),"")</f>
        <v/>
      </c>
      <c r="L4376" s="47" t="str">
        <f>IFERROR(VLOOKUP(G4376,WholesaleExtract!B:L,11,FALSE),"")</f>
        <v/>
      </c>
      <c r="M4376" s="47" t="str">
        <f>IFERROR(VLOOKUP(G4376,WholesaleExtract!B:M,12,FALSE),"")</f>
        <v/>
      </c>
      <c r="R4376" s="19"/>
      <c r="S4376" s="19"/>
    </row>
    <row r="4377" spans="1:19" x14ac:dyDescent="0.35">
      <c r="A4377" s="26" t="s">
        <v>543</v>
      </c>
      <c r="B4377" s="26" t="s">
        <v>543</v>
      </c>
      <c r="C4377" s="26"/>
      <c r="D4377" s="26" t="s">
        <v>543</v>
      </c>
      <c r="E4377" s="26" t="str">
        <f>IFERROR(VLOOKUP(G4377,WholesaleExtract!B:J,9,FALSE),"")</f>
        <v/>
      </c>
      <c r="F4377" s="26" t="str">
        <f>IFERROR(VLOOKUP(G4377,WholesaleExtract!B:J,6,FALSE),"")</f>
        <v/>
      </c>
      <c r="H4377" s="47" t="str">
        <f>IFERROR(VLOOKUP(G4377,WholesaleExtract!B:L,11,FALSE),"")</f>
        <v/>
      </c>
      <c r="I4377" s="26" t="str">
        <f>IFERROR(VLOOKUP(G4377,WholesaleExtract!B:O,8,FALSE),"")</f>
        <v/>
      </c>
      <c r="J4377" s="26" t="str">
        <f>IFERROR(VLOOKUP(G4377,WholesaleExtract!B:O,14,FALSE),"")</f>
        <v/>
      </c>
      <c r="K4377" s="26" t="str">
        <f>IFERROR(VLOOKUP(G4377,WholesaleExtract!B:K,10,FALSE),"")</f>
        <v/>
      </c>
      <c r="L4377" s="47" t="str">
        <f>IFERROR(VLOOKUP(G4377,WholesaleExtract!B:L,11,FALSE),"")</f>
        <v/>
      </c>
      <c r="M4377" s="47" t="str">
        <f>IFERROR(VLOOKUP(G4377,WholesaleExtract!B:M,12,FALSE),"")</f>
        <v/>
      </c>
      <c r="R4377" s="19"/>
      <c r="S4377" s="19"/>
    </row>
    <row r="4378" spans="1:19" x14ac:dyDescent="0.35">
      <c r="A4378" s="26" t="s">
        <v>543</v>
      </c>
      <c r="B4378" s="26" t="s">
        <v>543</v>
      </c>
      <c r="C4378" s="26"/>
      <c r="D4378" s="26" t="s">
        <v>543</v>
      </c>
      <c r="E4378" s="26" t="str">
        <f>IFERROR(VLOOKUP(G4378,WholesaleExtract!B:J,9,FALSE),"")</f>
        <v/>
      </c>
      <c r="F4378" s="26" t="str">
        <f>IFERROR(VLOOKUP(G4378,WholesaleExtract!B:J,6,FALSE),"")</f>
        <v/>
      </c>
      <c r="H4378" s="47" t="str">
        <f>IFERROR(VLOOKUP(G4378,WholesaleExtract!B:L,11,FALSE),"")</f>
        <v/>
      </c>
      <c r="I4378" s="26" t="str">
        <f>IFERROR(VLOOKUP(G4378,WholesaleExtract!B:O,8,FALSE),"")</f>
        <v/>
      </c>
      <c r="J4378" s="26" t="str">
        <f>IFERROR(VLOOKUP(G4378,WholesaleExtract!B:O,14,FALSE),"")</f>
        <v/>
      </c>
      <c r="K4378" s="26" t="str">
        <f>IFERROR(VLOOKUP(G4378,WholesaleExtract!B:K,10,FALSE),"")</f>
        <v/>
      </c>
      <c r="L4378" s="47" t="str">
        <f>IFERROR(VLOOKUP(G4378,WholesaleExtract!B:L,11,FALSE),"")</f>
        <v/>
      </c>
      <c r="M4378" s="47" t="str">
        <f>IFERROR(VLOOKUP(G4378,WholesaleExtract!B:M,12,FALSE),"")</f>
        <v/>
      </c>
      <c r="R4378" s="19"/>
      <c r="S4378" s="19"/>
    </row>
    <row r="4379" spans="1:19" x14ac:dyDescent="0.35">
      <c r="A4379" s="26" t="s">
        <v>543</v>
      </c>
      <c r="B4379" s="26" t="s">
        <v>543</v>
      </c>
      <c r="C4379" s="26"/>
      <c r="D4379" s="26" t="s">
        <v>543</v>
      </c>
      <c r="E4379" s="26" t="str">
        <f>IFERROR(VLOOKUP(G4379,WholesaleExtract!B:J,9,FALSE),"")</f>
        <v/>
      </c>
      <c r="F4379" s="26" t="str">
        <f>IFERROR(VLOOKUP(G4379,WholesaleExtract!B:J,6,FALSE),"")</f>
        <v/>
      </c>
      <c r="H4379" s="47" t="str">
        <f>IFERROR(VLOOKUP(G4379,WholesaleExtract!B:L,11,FALSE),"")</f>
        <v/>
      </c>
      <c r="I4379" s="26" t="str">
        <f>IFERROR(VLOOKUP(G4379,WholesaleExtract!B:O,8,FALSE),"")</f>
        <v/>
      </c>
      <c r="J4379" s="26" t="str">
        <f>IFERROR(VLOOKUP(G4379,WholesaleExtract!B:O,14,FALSE),"")</f>
        <v/>
      </c>
      <c r="K4379" s="26" t="str">
        <f>IFERROR(VLOOKUP(G4379,WholesaleExtract!B:K,10,FALSE),"")</f>
        <v/>
      </c>
      <c r="L4379" s="47" t="str">
        <f>IFERROR(VLOOKUP(G4379,WholesaleExtract!B:L,11,FALSE),"")</f>
        <v/>
      </c>
      <c r="M4379" s="47" t="str">
        <f>IFERROR(VLOOKUP(G4379,WholesaleExtract!B:M,12,FALSE),"")</f>
        <v/>
      </c>
      <c r="R4379" s="19"/>
      <c r="S4379" s="19"/>
    </row>
    <row r="4380" spans="1:19" x14ac:dyDescent="0.35">
      <c r="A4380" s="26" t="s">
        <v>543</v>
      </c>
      <c r="B4380" s="26" t="s">
        <v>543</v>
      </c>
      <c r="C4380" s="26"/>
      <c r="D4380" s="26" t="s">
        <v>543</v>
      </c>
      <c r="E4380" s="26" t="str">
        <f>IFERROR(VLOOKUP(G4380,WholesaleExtract!B:J,9,FALSE),"")</f>
        <v/>
      </c>
      <c r="F4380" s="26" t="str">
        <f>IFERROR(VLOOKUP(G4380,WholesaleExtract!B:J,6,FALSE),"")</f>
        <v/>
      </c>
      <c r="H4380" s="47" t="str">
        <f>IFERROR(VLOOKUP(G4380,WholesaleExtract!B:L,11,FALSE),"")</f>
        <v/>
      </c>
      <c r="I4380" s="26" t="str">
        <f>IFERROR(VLOOKUP(G4380,WholesaleExtract!B:O,8,FALSE),"")</f>
        <v/>
      </c>
      <c r="J4380" s="26" t="str">
        <f>IFERROR(VLOOKUP(G4380,WholesaleExtract!B:O,14,FALSE),"")</f>
        <v/>
      </c>
      <c r="K4380" s="26" t="str">
        <f>IFERROR(VLOOKUP(G4380,WholesaleExtract!B:K,10,FALSE),"")</f>
        <v/>
      </c>
      <c r="L4380" s="47" t="str">
        <f>IFERROR(VLOOKUP(G4380,WholesaleExtract!B:L,11,FALSE),"")</f>
        <v/>
      </c>
      <c r="M4380" s="47" t="str">
        <f>IFERROR(VLOOKUP(G4380,WholesaleExtract!B:M,12,FALSE),"")</f>
        <v/>
      </c>
      <c r="R4380" s="19"/>
      <c r="S4380" s="19"/>
    </row>
    <row r="4381" spans="1:19" x14ac:dyDescent="0.35">
      <c r="A4381" s="26" t="s">
        <v>543</v>
      </c>
      <c r="B4381" s="26" t="s">
        <v>543</v>
      </c>
      <c r="C4381" s="26"/>
      <c r="D4381" s="26" t="s">
        <v>543</v>
      </c>
      <c r="E4381" s="26" t="str">
        <f>IFERROR(VLOOKUP(G4381,WholesaleExtract!B:J,9,FALSE),"")</f>
        <v/>
      </c>
      <c r="F4381" s="26" t="str">
        <f>IFERROR(VLOOKUP(G4381,WholesaleExtract!B:J,6,FALSE),"")</f>
        <v/>
      </c>
      <c r="H4381" s="47" t="str">
        <f>IFERROR(VLOOKUP(G4381,WholesaleExtract!B:L,11,FALSE),"")</f>
        <v/>
      </c>
      <c r="I4381" s="26" t="str">
        <f>IFERROR(VLOOKUP(G4381,WholesaleExtract!B:O,8,FALSE),"")</f>
        <v/>
      </c>
      <c r="J4381" s="26" t="str">
        <f>IFERROR(VLOOKUP(G4381,WholesaleExtract!B:O,14,FALSE),"")</f>
        <v/>
      </c>
      <c r="K4381" s="26" t="str">
        <f>IFERROR(VLOOKUP(G4381,WholesaleExtract!B:K,10,FALSE),"")</f>
        <v/>
      </c>
      <c r="L4381" s="47" t="str">
        <f>IFERROR(VLOOKUP(G4381,WholesaleExtract!B:L,11,FALSE),"")</f>
        <v/>
      </c>
      <c r="M4381" s="47" t="str">
        <f>IFERROR(VLOOKUP(G4381,WholesaleExtract!B:M,12,FALSE),"")</f>
        <v/>
      </c>
      <c r="R4381" s="19"/>
      <c r="S4381" s="19"/>
    </row>
    <row r="4382" spans="1:19" x14ac:dyDescent="0.35">
      <c r="A4382" s="26" t="s">
        <v>543</v>
      </c>
      <c r="B4382" s="26" t="s">
        <v>543</v>
      </c>
      <c r="C4382" s="26"/>
      <c r="D4382" s="26" t="s">
        <v>543</v>
      </c>
      <c r="E4382" s="26" t="str">
        <f>IFERROR(VLOOKUP(G4382,WholesaleExtract!B:J,9,FALSE),"")</f>
        <v/>
      </c>
      <c r="F4382" s="26" t="str">
        <f>IFERROR(VLOOKUP(G4382,WholesaleExtract!B:J,6,FALSE),"")</f>
        <v/>
      </c>
      <c r="H4382" s="47" t="str">
        <f>IFERROR(VLOOKUP(G4382,WholesaleExtract!B:L,11,FALSE),"")</f>
        <v/>
      </c>
      <c r="I4382" s="26" t="str">
        <f>IFERROR(VLOOKUP(G4382,WholesaleExtract!B:O,8,FALSE),"")</f>
        <v/>
      </c>
      <c r="J4382" s="26" t="str">
        <f>IFERROR(VLOOKUP(G4382,WholesaleExtract!B:O,14,FALSE),"")</f>
        <v/>
      </c>
      <c r="K4382" s="26" t="str">
        <f>IFERROR(VLOOKUP(G4382,WholesaleExtract!B:K,10,FALSE),"")</f>
        <v/>
      </c>
      <c r="L4382" s="47" t="str">
        <f>IFERROR(VLOOKUP(G4382,WholesaleExtract!B:L,11,FALSE),"")</f>
        <v/>
      </c>
      <c r="M4382" s="47" t="str">
        <f>IFERROR(VLOOKUP(G4382,WholesaleExtract!B:M,12,FALSE),"")</f>
        <v/>
      </c>
      <c r="R4382" s="19"/>
      <c r="S4382" s="19"/>
    </row>
    <row r="4383" spans="1:19" x14ac:dyDescent="0.35">
      <c r="A4383" s="26" t="s">
        <v>543</v>
      </c>
      <c r="B4383" s="26" t="s">
        <v>543</v>
      </c>
      <c r="C4383" s="26"/>
      <c r="D4383" s="26" t="s">
        <v>543</v>
      </c>
      <c r="E4383" s="26" t="str">
        <f>IFERROR(VLOOKUP(G4383,WholesaleExtract!B:J,9,FALSE),"")</f>
        <v/>
      </c>
      <c r="F4383" s="26" t="str">
        <f>IFERROR(VLOOKUP(G4383,WholesaleExtract!B:J,6,FALSE),"")</f>
        <v/>
      </c>
      <c r="H4383" s="47" t="str">
        <f>IFERROR(VLOOKUP(G4383,WholesaleExtract!B:L,11,FALSE),"")</f>
        <v/>
      </c>
      <c r="I4383" s="26" t="str">
        <f>IFERROR(VLOOKUP(G4383,WholesaleExtract!B:O,8,FALSE),"")</f>
        <v/>
      </c>
      <c r="J4383" s="26" t="str">
        <f>IFERROR(VLOOKUP(G4383,WholesaleExtract!B:O,14,FALSE),"")</f>
        <v/>
      </c>
      <c r="K4383" s="26" t="str">
        <f>IFERROR(VLOOKUP(G4383,WholesaleExtract!B:K,10,FALSE),"")</f>
        <v/>
      </c>
      <c r="L4383" s="47" t="str">
        <f>IFERROR(VLOOKUP(G4383,WholesaleExtract!B:L,11,FALSE),"")</f>
        <v/>
      </c>
      <c r="M4383" s="47" t="str">
        <f>IFERROR(VLOOKUP(G4383,WholesaleExtract!B:M,12,FALSE),"")</f>
        <v/>
      </c>
      <c r="R4383" s="19"/>
      <c r="S4383" s="19"/>
    </row>
    <row r="4384" spans="1:19" x14ac:dyDescent="0.35">
      <c r="A4384" s="26" t="s">
        <v>543</v>
      </c>
      <c r="B4384" s="26" t="s">
        <v>543</v>
      </c>
      <c r="C4384" s="26"/>
      <c r="D4384" s="26" t="s">
        <v>543</v>
      </c>
      <c r="E4384" s="26" t="str">
        <f>IFERROR(VLOOKUP(G4384,WholesaleExtract!B:J,9,FALSE),"")</f>
        <v/>
      </c>
      <c r="F4384" s="26" t="str">
        <f>IFERROR(VLOOKUP(G4384,WholesaleExtract!B:J,6,FALSE),"")</f>
        <v/>
      </c>
      <c r="H4384" s="47" t="str">
        <f>IFERROR(VLOOKUP(G4384,WholesaleExtract!B:L,11,FALSE),"")</f>
        <v/>
      </c>
      <c r="I4384" s="26" t="str">
        <f>IFERROR(VLOOKUP(G4384,WholesaleExtract!B:O,8,FALSE),"")</f>
        <v/>
      </c>
      <c r="J4384" s="26" t="str">
        <f>IFERROR(VLOOKUP(G4384,WholesaleExtract!B:O,14,FALSE),"")</f>
        <v/>
      </c>
      <c r="K4384" s="26" t="str">
        <f>IFERROR(VLOOKUP(G4384,WholesaleExtract!B:K,10,FALSE),"")</f>
        <v/>
      </c>
      <c r="L4384" s="47" t="str">
        <f>IFERROR(VLOOKUP(G4384,WholesaleExtract!B:L,11,FALSE),"")</f>
        <v/>
      </c>
      <c r="M4384" s="47" t="str">
        <f>IFERROR(VLOOKUP(G4384,WholesaleExtract!B:M,12,FALSE),"")</f>
        <v/>
      </c>
      <c r="R4384" s="19"/>
      <c r="S4384" s="19"/>
    </row>
    <row r="4385" spans="1:19" x14ac:dyDescent="0.35">
      <c r="A4385" s="26" t="s">
        <v>543</v>
      </c>
      <c r="B4385" s="26" t="s">
        <v>543</v>
      </c>
      <c r="C4385" s="26"/>
      <c r="D4385" s="26" t="s">
        <v>543</v>
      </c>
      <c r="E4385" s="26" t="str">
        <f>IFERROR(VLOOKUP(G4385,WholesaleExtract!B:J,9,FALSE),"")</f>
        <v/>
      </c>
      <c r="F4385" s="26" t="str">
        <f>IFERROR(VLOOKUP(G4385,WholesaleExtract!B:J,6,FALSE),"")</f>
        <v/>
      </c>
      <c r="H4385" s="47" t="str">
        <f>IFERROR(VLOOKUP(G4385,WholesaleExtract!B:L,11,FALSE),"")</f>
        <v/>
      </c>
      <c r="I4385" s="26" t="str">
        <f>IFERROR(VLOOKUP(G4385,WholesaleExtract!B:O,8,FALSE),"")</f>
        <v/>
      </c>
      <c r="J4385" s="26" t="str">
        <f>IFERROR(VLOOKUP(G4385,WholesaleExtract!B:O,14,FALSE),"")</f>
        <v/>
      </c>
      <c r="K4385" s="26" t="str">
        <f>IFERROR(VLOOKUP(G4385,WholesaleExtract!B:K,10,FALSE),"")</f>
        <v/>
      </c>
      <c r="L4385" s="47" t="str">
        <f>IFERROR(VLOOKUP(G4385,WholesaleExtract!B:L,11,FALSE),"")</f>
        <v/>
      </c>
      <c r="M4385" s="47" t="str">
        <f>IFERROR(VLOOKUP(G4385,WholesaleExtract!B:M,12,FALSE),"")</f>
        <v/>
      </c>
      <c r="R4385" s="19"/>
      <c r="S4385" s="19"/>
    </row>
    <row r="4386" spans="1:19" x14ac:dyDescent="0.35">
      <c r="A4386" s="26" t="s">
        <v>543</v>
      </c>
      <c r="B4386" s="26" t="s">
        <v>543</v>
      </c>
      <c r="C4386" s="26"/>
      <c r="D4386" s="26" t="s">
        <v>543</v>
      </c>
      <c r="E4386" s="26" t="str">
        <f>IFERROR(VLOOKUP(G4386,WholesaleExtract!B:J,9,FALSE),"")</f>
        <v/>
      </c>
      <c r="F4386" s="26" t="str">
        <f>IFERROR(VLOOKUP(G4386,WholesaleExtract!B:J,6,FALSE),"")</f>
        <v/>
      </c>
      <c r="H4386" s="47" t="str">
        <f>IFERROR(VLOOKUP(G4386,WholesaleExtract!B:L,11,FALSE),"")</f>
        <v/>
      </c>
      <c r="I4386" s="26" t="str">
        <f>IFERROR(VLOOKUP(G4386,WholesaleExtract!B:O,8,FALSE),"")</f>
        <v/>
      </c>
      <c r="J4386" s="26" t="str">
        <f>IFERROR(VLOOKUP(G4386,WholesaleExtract!B:O,14,FALSE),"")</f>
        <v/>
      </c>
      <c r="K4386" s="26" t="str">
        <f>IFERROR(VLOOKUP(G4386,WholesaleExtract!B:K,10,FALSE),"")</f>
        <v/>
      </c>
      <c r="L4386" s="47" t="str">
        <f>IFERROR(VLOOKUP(G4386,WholesaleExtract!B:L,11,FALSE),"")</f>
        <v/>
      </c>
      <c r="M4386" s="47" t="str">
        <f>IFERROR(VLOOKUP(G4386,WholesaleExtract!B:M,12,FALSE),"")</f>
        <v/>
      </c>
      <c r="R4386" s="19"/>
      <c r="S4386" s="19"/>
    </row>
    <row r="4387" spans="1:19" x14ac:dyDescent="0.35">
      <c r="A4387" s="26" t="s">
        <v>543</v>
      </c>
      <c r="B4387" s="26" t="s">
        <v>543</v>
      </c>
      <c r="C4387" s="26"/>
      <c r="D4387" s="26" t="s">
        <v>543</v>
      </c>
      <c r="E4387" s="26" t="str">
        <f>IFERROR(VLOOKUP(G4387,WholesaleExtract!B:J,9,FALSE),"")</f>
        <v/>
      </c>
      <c r="F4387" s="26" t="str">
        <f>IFERROR(VLOOKUP(G4387,WholesaleExtract!B:J,6,FALSE),"")</f>
        <v/>
      </c>
      <c r="H4387" s="47" t="str">
        <f>IFERROR(VLOOKUP(G4387,WholesaleExtract!B:L,11,FALSE),"")</f>
        <v/>
      </c>
      <c r="I4387" s="26" t="str">
        <f>IFERROR(VLOOKUP(G4387,WholesaleExtract!B:O,8,FALSE),"")</f>
        <v/>
      </c>
      <c r="J4387" s="26" t="str">
        <f>IFERROR(VLOOKUP(G4387,WholesaleExtract!B:O,14,FALSE),"")</f>
        <v/>
      </c>
      <c r="K4387" s="26" t="str">
        <f>IFERROR(VLOOKUP(G4387,WholesaleExtract!B:K,10,FALSE),"")</f>
        <v/>
      </c>
      <c r="L4387" s="47" t="str">
        <f>IFERROR(VLOOKUP(G4387,WholesaleExtract!B:L,11,FALSE),"")</f>
        <v/>
      </c>
      <c r="M4387" s="47" t="str">
        <f>IFERROR(VLOOKUP(G4387,WholesaleExtract!B:M,12,FALSE),"")</f>
        <v/>
      </c>
      <c r="R4387" s="19"/>
      <c r="S4387" s="19"/>
    </row>
    <row r="4388" spans="1:19" x14ac:dyDescent="0.35">
      <c r="A4388" s="26" t="s">
        <v>543</v>
      </c>
      <c r="B4388" s="26" t="s">
        <v>543</v>
      </c>
      <c r="C4388" s="26"/>
      <c r="D4388" s="26" t="s">
        <v>543</v>
      </c>
      <c r="E4388" s="26" t="str">
        <f>IFERROR(VLOOKUP(G4388,WholesaleExtract!B:J,9,FALSE),"")</f>
        <v/>
      </c>
      <c r="F4388" s="26" t="str">
        <f>IFERROR(VLOOKUP(G4388,WholesaleExtract!B:J,6,FALSE),"")</f>
        <v/>
      </c>
      <c r="H4388" s="47" t="str">
        <f>IFERROR(VLOOKUP(G4388,WholesaleExtract!B:L,11,FALSE),"")</f>
        <v/>
      </c>
      <c r="I4388" s="26" t="str">
        <f>IFERROR(VLOOKUP(G4388,WholesaleExtract!B:O,8,FALSE),"")</f>
        <v/>
      </c>
      <c r="J4388" s="26" t="str">
        <f>IFERROR(VLOOKUP(G4388,WholesaleExtract!B:O,14,FALSE),"")</f>
        <v/>
      </c>
      <c r="K4388" s="26" t="str">
        <f>IFERROR(VLOOKUP(G4388,WholesaleExtract!B:K,10,FALSE),"")</f>
        <v/>
      </c>
      <c r="L4388" s="47" t="str">
        <f>IFERROR(VLOOKUP(G4388,WholesaleExtract!B:L,11,FALSE),"")</f>
        <v/>
      </c>
      <c r="M4388" s="47" t="str">
        <f>IFERROR(VLOOKUP(G4388,WholesaleExtract!B:M,12,FALSE),"")</f>
        <v/>
      </c>
      <c r="R4388" s="19"/>
      <c r="S4388" s="19"/>
    </row>
    <row r="4389" spans="1:19" x14ac:dyDescent="0.35">
      <c r="A4389" s="26" t="s">
        <v>543</v>
      </c>
      <c r="B4389" s="26" t="s">
        <v>543</v>
      </c>
      <c r="C4389" s="26"/>
      <c r="D4389" s="26" t="s">
        <v>543</v>
      </c>
      <c r="E4389" s="26" t="str">
        <f>IFERROR(VLOOKUP(G4389,WholesaleExtract!B:J,9,FALSE),"")</f>
        <v/>
      </c>
      <c r="F4389" s="26" t="str">
        <f>IFERROR(VLOOKUP(G4389,WholesaleExtract!B:J,6,FALSE),"")</f>
        <v/>
      </c>
      <c r="H4389" s="47" t="str">
        <f>IFERROR(VLOOKUP(G4389,WholesaleExtract!B:L,11,FALSE),"")</f>
        <v/>
      </c>
      <c r="I4389" s="26" t="str">
        <f>IFERROR(VLOOKUP(G4389,WholesaleExtract!B:O,8,FALSE),"")</f>
        <v/>
      </c>
      <c r="J4389" s="26" t="str">
        <f>IFERROR(VLOOKUP(G4389,WholesaleExtract!B:O,14,FALSE),"")</f>
        <v/>
      </c>
      <c r="K4389" s="26" t="str">
        <f>IFERROR(VLOOKUP(G4389,WholesaleExtract!B:K,10,FALSE),"")</f>
        <v/>
      </c>
      <c r="L4389" s="47" t="str">
        <f>IFERROR(VLOOKUP(G4389,WholesaleExtract!B:L,11,FALSE),"")</f>
        <v/>
      </c>
      <c r="M4389" s="47" t="str">
        <f>IFERROR(VLOOKUP(G4389,WholesaleExtract!B:M,12,FALSE),"")</f>
        <v/>
      </c>
      <c r="R4389" s="19"/>
      <c r="S4389" s="19"/>
    </row>
    <row r="4390" spans="1:19" x14ac:dyDescent="0.35">
      <c r="A4390" s="26" t="s">
        <v>543</v>
      </c>
      <c r="B4390" s="26" t="s">
        <v>543</v>
      </c>
      <c r="C4390" s="26"/>
      <c r="D4390" s="26" t="s">
        <v>543</v>
      </c>
      <c r="E4390" s="26" t="str">
        <f>IFERROR(VLOOKUP(G4390,WholesaleExtract!B:J,9,FALSE),"")</f>
        <v/>
      </c>
      <c r="F4390" s="26" t="str">
        <f>IFERROR(VLOOKUP(G4390,WholesaleExtract!B:J,6,FALSE),"")</f>
        <v/>
      </c>
      <c r="H4390" s="47" t="str">
        <f>IFERROR(VLOOKUP(G4390,WholesaleExtract!B:L,11,FALSE),"")</f>
        <v/>
      </c>
      <c r="I4390" s="26" t="str">
        <f>IFERROR(VLOOKUP(G4390,WholesaleExtract!B:O,8,FALSE),"")</f>
        <v/>
      </c>
      <c r="J4390" s="26" t="str">
        <f>IFERROR(VLOOKUP(G4390,WholesaleExtract!B:O,14,FALSE),"")</f>
        <v/>
      </c>
      <c r="K4390" s="26" t="str">
        <f>IFERROR(VLOOKUP(G4390,WholesaleExtract!B:K,10,FALSE),"")</f>
        <v/>
      </c>
      <c r="L4390" s="47" t="str">
        <f>IFERROR(VLOOKUP(G4390,WholesaleExtract!B:L,11,FALSE),"")</f>
        <v/>
      </c>
      <c r="M4390" s="47" t="str">
        <f>IFERROR(VLOOKUP(G4390,WholesaleExtract!B:M,12,FALSE),"")</f>
        <v/>
      </c>
      <c r="R4390" s="19"/>
      <c r="S4390" s="19"/>
    </row>
    <row r="4391" spans="1:19" x14ac:dyDescent="0.35">
      <c r="A4391" s="26" t="s">
        <v>543</v>
      </c>
      <c r="B4391" s="26" t="s">
        <v>543</v>
      </c>
      <c r="C4391" s="26"/>
      <c r="D4391" s="26" t="s">
        <v>543</v>
      </c>
      <c r="E4391" s="26" t="str">
        <f>IFERROR(VLOOKUP(G4391,WholesaleExtract!B:J,9,FALSE),"")</f>
        <v/>
      </c>
      <c r="F4391" s="26" t="str">
        <f>IFERROR(VLOOKUP(G4391,WholesaleExtract!B:J,6,FALSE),"")</f>
        <v/>
      </c>
      <c r="H4391" s="47" t="str">
        <f>IFERROR(VLOOKUP(G4391,WholesaleExtract!B:L,11,FALSE),"")</f>
        <v/>
      </c>
      <c r="I4391" s="26" t="str">
        <f>IFERROR(VLOOKUP(G4391,WholesaleExtract!B:O,8,FALSE),"")</f>
        <v/>
      </c>
      <c r="J4391" s="26" t="str">
        <f>IFERROR(VLOOKUP(G4391,WholesaleExtract!B:O,14,FALSE),"")</f>
        <v/>
      </c>
      <c r="K4391" s="26" t="str">
        <f>IFERROR(VLOOKUP(G4391,WholesaleExtract!B:K,10,FALSE),"")</f>
        <v/>
      </c>
      <c r="L4391" s="47" t="str">
        <f>IFERROR(VLOOKUP(G4391,WholesaleExtract!B:L,11,FALSE),"")</f>
        <v/>
      </c>
      <c r="M4391" s="47" t="str">
        <f>IFERROR(VLOOKUP(G4391,WholesaleExtract!B:M,12,FALSE),"")</f>
        <v/>
      </c>
      <c r="R4391" s="19"/>
      <c r="S4391" s="19"/>
    </row>
    <row r="4392" spans="1:19" x14ac:dyDescent="0.35">
      <c r="A4392" s="26" t="s">
        <v>543</v>
      </c>
      <c r="B4392" s="26" t="s">
        <v>543</v>
      </c>
      <c r="C4392" s="26"/>
      <c r="D4392" s="26" t="s">
        <v>543</v>
      </c>
      <c r="E4392" s="26" t="str">
        <f>IFERROR(VLOOKUP(G4392,WholesaleExtract!B:J,9,FALSE),"")</f>
        <v/>
      </c>
      <c r="F4392" s="26" t="str">
        <f>IFERROR(VLOOKUP(G4392,WholesaleExtract!B:J,6,FALSE),"")</f>
        <v/>
      </c>
      <c r="H4392" s="47" t="str">
        <f>IFERROR(VLOOKUP(G4392,WholesaleExtract!B:L,11,FALSE),"")</f>
        <v/>
      </c>
      <c r="I4392" s="26" t="str">
        <f>IFERROR(VLOOKUP(G4392,WholesaleExtract!B:O,8,FALSE),"")</f>
        <v/>
      </c>
      <c r="J4392" s="26" t="str">
        <f>IFERROR(VLOOKUP(G4392,WholesaleExtract!B:O,14,FALSE),"")</f>
        <v/>
      </c>
      <c r="K4392" s="26" t="str">
        <f>IFERROR(VLOOKUP(G4392,WholesaleExtract!B:K,10,FALSE),"")</f>
        <v/>
      </c>
      <c r="L4392" s="47" t="str">
        <f>IFERROR(VLOOKUP(G4392,WholesaleExtract!B:L,11,FALSE),"")</f>
        <v/>
      </c>
      <c r="M4392" s="47" t="str">
        <f>IFERROR(VLOOKUP(G4392,WholesaleExtract!B:M,12,FALSE),"")</f>
        <v/>
      </c>
      <c r="R4392" s="19"/>
      <c r="S4392" s="19"/>
    </row>
    <row r="4393" spans="1:19" x14ac:dyDescent="0.35">
      <c r="A4393" s="26" t="s">
        <v>543</v>
      </c>
      <c r="B4393" s="26" t="s">
        <v>543</v>
      </c>
      <c r="C4393" s="26"/>
      <c r="D4393" s="26" t="s">
        <v>543</v>
      </c>
      <c r="E4393" s="26" t="str">
        <f>IFERROR(VLOOKUP(G4393,WholesaleExtract!B:J,9,FALSE),"")</f>
        <v/>
      </c>
      <c r="F4393" s="26" t="str">
        <f>IFERROR(VLOOKUP(G4393,WholesaleExtract!B:J,6,FALSE),"")</f>
        <v/>
      </c>
      <c r="H4393" s="47" t="str">
        <f>IFERROR(VLOOKUP(G4393,WholesaleExtract!B:L,11,FALSE),"")</f>
        <v/>
      </c>
      <c r="I4393" s="26" t="str">
        <f>IFERROR(VLOOKUP(G4393,WholesaleExtract!B:O,8,FALSE),"")</f>
        <v/>
      </c>
      <c r="J4393" s="26" t="str">
        <f>IFERROR(VLOOKUP(G4393,WholesaleExtract!B:O,14,FALSE),"")</f>
        <v/>
      </c>
      <c r="K4393" s="26" t="str">
        <f>IFERROR(VLOOKUP(G4393,WholesaleExtract!B:K,10,FALSE),"")</f>
        <v/>
      </c>
      <c r="L4393" s="47" t="str">
        <f>IFERROR(VLOOKUP(G4393,WholesaleExtract!B:L,11,FALSE),"")</f>
        <v/>
      </c>
      <c r="M4393" s="47" t="str">
        <f>IFERROR(VLOOKUP(G4393,WholesaleExtract!B:M,12,FALSE),"")</f>
        <v/>
      </c>
      <c r="R4393" s="19"/>
      <c r="S4393" s="19"/>
    </row>
    <row r="4394" spans="1:19" x14ac:dyDescent="0.35">
      <c r="A4394" s="26" t="s">
        <v>543</v>
      </c>
      <c r="B4394" s="26" t="s">
        <v>543</v>
      </c>
      <c r="C4394" s="26"/>
      <c r="D4394" s="26" t="s">
        <v>543</v>
      </c>
      <c r="E4394" s="26" t="str">
        <f>IFERROR(VLOOKUP(G4394,WholesaleExtract!B:J,9,FALSE),"")</f>
        <v/>
      </c>
      <c r="F4394" s="26" t="str">
        <f>IFERROR(VLOOKUP(G4394,WholesaleExtract!B:J,6,FALSE),"")</f>
        <v/>
      </c>
      <c r="H4394" s="47" t="str">
        <f>IFERROR(VLOOKUP(G4394,WholesaleExtract!B:L,11,FALSE),"")</f>
        <v/>
      </c>
      <c r="I4394" s="26" t="str">
        <f>IFERROR(VLOOKUP(G4394,WholesaleExtract!B:O,8,FALSE),"")</f>
        <v/>
      </c>
      <c r="J4394" s="26" t="str">
        <f>IFERROR(VLOOKUP(G4394,WholesaleExtract!B:O,14,FALSE),"")</f>
        <v/>
      </c>
      <c r="K4394" s="26" t="str">
        <f>IFERROR(VLOOKUP(G4394,WholesaleExtract!B:K,10,FALSE),"")</f>
        <v/>
      </c>
      <c r="L4394" s="47" t="str">
        <f>IFERROR(VLOOKUP(G4394,WholesaleExtract!B:L,11,FALSE),"")</f>
        <v/>
      </c>
      <c r="M4394" s="47" t="str">
        <f>IFERROR(VLOOKUP(G4394,WholesaleExtract!B:M,12,FALSE),"")</f>
        <v/>
      </c>
      <c r="R4394" s="19"/>
      <c r="S4394" s="19"/>
    </row>
    <row r="4395" spans="1:19" x14ac:dyDescent="0.35">
      <c r="A4395" s="26" t="s">
        <v>543</v>
      </c>
      <c r="B4395" s="26" t="s">
        <v>543</v>
      </c>
      <c r="C4395" s="26"/>
      <c r="D4395" s="26" t="s">
        <v>543</v>
      </c>
      <c r="E4395" s="26" t="str">
        <f>IFERROR(VLOOKUP(G4395,WholesaleExtract!B:J,9,FALSE),"")</f>
        <v/>
      </c>
      <c r="F4395" s="26" t="str">
        <f>IFERROR(VLOOKUP(G4395,WholesaleExtract!B:J,6,FALSE),"")</f>
        <v/>
      </c>
      <c r="H4395" s="47" t="str">
        <f>IFERROR(VLOOKUP(G4395,WholesaleExtract!B:L,11,FALSE),"")</f>
        <v/>
      </c>
      <c r="I4395" s="26" t="str">
        <f>IFERROR(VLOOKUP(G4395,WholesaleExtract!B:O,8,FALSE),"")</f>
        <v/>
      </c>
      <c r="J4395" s="26" t="str">
        <f>IFERROR(VLOOKUP(G4395,WholesaleExtract!B:O,14,FALSE),"")</f>
        <v/>
      </c>
      <c r="K4395" s="26" t="str">
        <f>IFERROR(VLOOKUP(G4395,WholesaleExtract!B:K,10,FALSE),"")</f>
        <v/>
      </c>
      <c r="L4395" s="47" t="str">
        <f>IFERROR(VLOOKUP(G4395,WholesaleExtract!B:L,11,FALSE),"")</f>
        <v/>
      </c>
      <c r="M4395" s="47" t="str">
        <f>IFERROR(VLOOKUP(G4395,WholesaleExtract!B:M,12,FALSE),"")</f>
        <v/>
      </c>
      <c r="R4395" s="19"/>
      <c r="S4395" s="19"/>
    </row>
    <row r="4396" spans="1:19" x14ac:dyDescent="0.35">
      <c r="A4396" s="26" t="s">
        <v>543</v>
      </c>
      <c r="B4396" s="26" t="s">
        <v>543</v>
      </c>
      <c r="C4396" s="26"/>
      <c r="D4396" s="26" t="s">
        <v>543</v>
      </c>
      <c r="E4396" s="26" t="str">
        <f>IFERROR(VLOOKUP(G4396,WholesaleExtract!B:J,9,FALSE),"")</f>
        <v/>
      </c>
      <c r="F4396" s="26" t="str">
        <f>IFERROR(VLOOKUP(G4396,WholesaleExtract!B:J,6,FALSE),"")</f>
        <v/>
      </c>
      <c r="H4396" s="47" t="str">
        <f>IFERROR(VLOOKUP(G4396,WholesaleExtract!B:L,11,FALSE),"")</f>
        <v/>
      </c>
      <c r="I4396" s="26" t="str">
        <f>IFERROR(VLOOKUP(G4396,WholesaleExtract!B:O,8,FALSE),"")</f>
        <v/>
      </c>
      <c r="J4396" s="26" t="str">
        <f>IFERROR(VLOOKUP(G4396,WholesaleExtract!B:O,14,FALSE),"")</f>
        <v/>
      </c>
      <c r="K4396" s="26" t="str">
        <f>IFERROR(VLOOKUP(G4396,WholesaleExtract!B:K,10,FALSE),"")</f>
        <v/>
      </c>
      <c r="L4396" s="47" t="str">
        <f>IFERROR(VLOOKUP(G4396,WholesaleExtract!B:L,11,FALSE),"")</f>
        <v/>
      </c>
      <c r="M4396" s="47" t="str">
        <f>IFERROR(VLOOKUP(G4396,WholesaleExtract!B:M,12,FALSE),"")</f>
        <v/>
      </c>
      <c r="R4396" s="19"/>
      <c r="S4396" s="19"/>
    </row>
    <row r="4397" spans="1:19" x14ac:dyDescent="0.35">
      <c r="A4397" s="26" t="s">
        <v>543</v>
      </c>
      <c r="B4397" s="26" t="s">
        <v>543</v>
      </c>
      <c r="C4397" s="26"/>
      <c r="D4397" s="26" t="s">
        <v>543</v>
      </c>
      <c r="E4397" s="26" t="str">
        <f>IFERROR(VLOOKUP(G4397,WholesaleExtract!B:J,9,FALSE),"")</f>
        <v/>
      </c>
      <c r="F4397" s="26" t="str">
        <f>IFERROR(VLOOKUP(G4397,WholesaleExtract!B:J,6,FALSE),"")</f>
        <v/>
      </c>
      <c r="H4397" s="47" t="str">
        <f>IFERROR(VLOOKUP(G4397,WholesaleExtract!B:L,11,FALSE),"")</f>
        <v/>
      </c>
      <c r="I4397" s="26" t="str">
        <f>IFERROR(VLOOKUP(G4397,WholesaleExtract!B:O,8,FALSE),"")</f>
        <v/>
      </c>
      <c r="J4397" s="26" t="str">
        <f>IFERROR(VLOOKUP(G4397,WholesaleExtract!B:O,14,FALSE),"")</f>
        <v/>
      </c>
      <c r="K4397" s="26" t="str">
        <f>IFERROR(VLOOKUP(G4397,WholesaleExtract!B:K,10,FALSE),"")</f>
        <v/>
      </c>
      <c r="L4397" s="47" t="str">
        <f>IFERROR(VLOOKUP(G4397,WholesaleExtract!B:L,11,FALSE),"")</f>
        <v/>
      </c>
      <c r="M4397" s="47" t="str">
        <f>IFERROR(VLOOKUP(G4397,WholesaleExtract!B:M,12,FALSE),"")</f>
        <v/>
      </c>
      <c r="R4397" s="19"/>
      <c r="S4397" s="19"/>
    </row>
    <row r="4398" spans="1:19" x14ac:dyDescent="0.35">
      <c r="A4398" s="26" t="s">
        <v>543</v>
      </c>
      <c r="B4398" s="26" t="s">
        <v>543</v>
      </c>
      <c r="C4398" s="26"/>
      <c r="D4398" s="26" t="s">
        <v>543</v>
      </c>
      <c r="E4398" s="26" t="str">
        <f>IFERROR(VLOOKUP(G4398,WholesaleExtract!B:J,9,FALSE),"")</f>
        <v/>
      </c>
      <c r="F4398" s="26" t="str">
        <f>IFERROR(VLOOKUP(G4398,WholesaleExtract!B:J,6,FALSE),"")</f>
        <v/>
      </c>
      <c r="H4398" s="47" t="str">
        <f>IFERROR(VLOOKUP(G4398,WholesaleExtract!B:L,11,FALSE),"")</f>
        <v/>
      </c>
      <c r="I4398" s="26" t="str">
        <f>IFERROR(VLOOKUP(G4398,WholesaleExtract!B:O,8,FALSE),"")</f>
        <v/>
      </c>
      <c r="J4398" s="26" t="str">
        <f>IFERROR(VLOOKUP(G4398,WholesaleExtract!B:O,14,FALSE),"")</f>
        <v/>
      </c>
      <c r="K4398" s="26" t="str">
        <f>IFERROR(VLOOKUP(G4398,WholesaleExtract!B:K,10,FALSE),"")</f>
        <v/>
      </c>
      <c r="L4398" s="47" t="str">
        <f>IFERROR(VLOOKUP(G4398,WholesaleExtract!B:L,11,FALSE),"")</f>
        <v/>
      </c>
      <c r="M4398" s="47" t="str">
        <f>IFERROR(VLOOKUP(G4398,WholesaleExtract!B:M,12,FALSE),"")</f>
        <v/>
      </c>
      <c r="R4398" s="19"/>
      <c r="S4398" s="19"/>
    </row>
    <row r="4399" spans="1:19" x14ac:dyDescent="0.35">
      <c r="A4399" s="26" t="s">
        <v>543</v>
      </c>
      <c r="B4399" s="26" t="s">
        <v>543</v>
      </c>
      <c r="C4399" s="26"/>
      <c r="D4399" s="26" t="s">
        <v>543</v>
      </c>
      <c r="E4399" s="26" t="str">
        <f>IFERROR(VLOOKUP(G4399,WholesaleExtract!B:J,9,FALSE),"")</f>
        <v/>
      </c>
      <c r="F4399" s="26" t="str">
        <f>IFERROR(VLOOKUP(G4399,WholesaleExtract!B:J,6,FALSE),"")</f>
        <v/>
      </c>
      <c r="H4399" s="47" t="str">
        <f>IFERROR(VLOOKUP(G4399,WholesaleExtract!B:L,11,FALSE),"")</f>
        <v/>
      </c>
      <c r="I4399" s="26" t="str">
        <f>IFERROR(VLOOKUP(G4399,WholesaleExtract!B:O,8,FALSE),"")</f>
        <v/>
      </c>
      <c r="J4399" s="26" t="str">
        <f>IFERROR(VLOOKUP(G4399,WholesaleExtract!B:O,14,FALSE),"")</f>
        <v/>
      </c>
      <c r="K4399" s="26" t="str">
        <f>IFERROR(VLOOKUP(G4399,WholesaleExtract!B:K,10,FALSE),"")</f>
        <v/>
      </c>
      <c r="L4399" s="47" t="str">
        <f>IFERROR(VLOOKUP(G4399,WholesaleExtract!B:L,11,FALSE),"")</f>
        <v/>
      </c>
      <c r="M4399" s="47" t="str">
        <f>IFERROR(VLOOKUP(G4399,WholesaleExtract!B:M,12,FALSE),"")</f>
        <v/>
      </c>
      <c r="R4399" s="19"/>
      <c r="S4399" s="19"/>
    </row>
    <row r="4400" spans="1:19" x14ac:dyDescent="0.35">
      <c r="A4400" s="26" t="s">
        <v>543</v>
      </c>
      <c r="B4400" s="26" t="s">
        <v>543</v>
      </c>
      <c r="C4400" s="26"/>
      <c r="D4400" s="26" t="s">
        <v>543</v>
      </c>
      <c r="E4400" s="26" t="str">
        <f>IFERROR(VLOOKUP(G4400,WholesaleExtract!B:J,9,FALSE),"")</f>
        <v/>
      </c>
      <c r="F4400" s="26" t="str">
        <f>IFERROR(VLOOKUP(G4400,WholesaleExtract!B:J,6,FALSE),"")</f>
        <v/>
      </c>
      <c r="H4400" s="47" t="str">
        <f>IFERROR(VLOOKUP(G4400,WholesaleExtract!B:L,11,FALSE),"")</f>
        <v/>
      </c>
      <c r="I4400" s="26" t="str">
        <f>IFERROR(VLOOKUP(G4400,WholesaleExtract!B:O,8,FALSE),"")</f>
        <v/>
      </c>
      <c r="J4400" s="26" t="str">
        <f>IFERROR(VLOOKUP(G4400,WholesaleExtract!B:O,14,FALSE),"")</f>
        <v/>
      </c>
      <c r="K4400" s="26" t="str">
        <f>IFERROR(VLOOKUP(G4400,WholesaleExtract!B:K,10,FALSE),"")</f>
        <v/>
      </c>
      <c r="L4400" s="47" t="str">
        <f>IFERROR(VLOOKUP(G4400,WholesaleExtract!B:L,11,FALSE),"")</f>
        <v/>
      </c>
      <c r="M4400" s="47" t="str">
        <f>IFERROR(VLOOKUP(G4400,WholesaleExtract!B:M,12,FALSE),"")</f>
        <v/>
      </c>
      <c r="R4400" s="19"/>
      <c r="S4400" s="19"/>
    </row>
    <row r="4401" spans="1:19" x14ac:dyDescent="0.35">
      <c r="A4401" s="26" t="s">
        <v>543</v>
      </c>
      <c r="B4401" s="26" t="s">
        <v>543</v>
      </c>
      <c r="C4401" s="26"/>
      <c r="D4401" s="26" t="s">
        <v>543</v>
      </c>
      <c r="E4401" s="26" t="str">
        <f>IFERROR(VLOOKUP(G4401,WholesaleExtract!B:J,9,FALSE),"")</f>
        <v/>
      </c>
      <c r="F4401" s="26" t="str">
        <f>IFERROR(VLOOKUP(G4401,WholesaleExtract!B:J,6,FALSE),"")</f>
        <v/>
      </c>
      <c r="H4401" s="47" t="str">
        <f>IFERROR(VLOOKUP(G4401,WholesaleExtract!B:L,11,FALSE),"")</f>
        <v/>
      </c>
      <c r="I4401" s="26" t="str">
        <f>IFERROR(VLOOKUP(G4401,WholesaleExtract!B:O,8,FALSE),"")</f>
        <v/>
      </c>
      <c r="J4401" s="26" t="str">
        <f>IFERROR(VLOOKUP(G4401,WholesaleExtract!B:O,14,FALSE),"")</f>
        <v/>
      </c>
      <c r="K4401" s="26" t="str">
        <f>IFERROR(VLOOKUP(G4401,WholesaleExtract!B:K,10,FALSE),"")</f>
        <v/>
      </c>
      <c r="L4401" s="47" t="str">
        <f>IFERROR(VLOOKUP(G4401,WholesaleExtract!B:L,11,FALSE),"")</f>
        <v/>
      </c>
      <c r="M4401" s="47" t="str">
        <f>IFERROR(VLOOKUP(G4401,WholesaleExtract!B:M,12,FALSE),"")</f>
        <v/>
      </c>
      <c r="R4401" s="19"/>
      <c r="S4401" s="19"/>
    </row>
    <row r="4402" spans="1:19" x14ac:dyDescent="0.35">
      <c r="A4402" s="26" t="s">
        <v>543</v>
      </c>
      <c r="B4402" s="26" t="s">
        <v>543</v>
      </c>
      <c r="C4402" s="26"/>
      <c r="D4402" s="26" t="s">
        <v>543</v>
      </c>
      <c r="E4402" s="26" t="str">
        <f>IFERROR(VLOOKUP(G4402,WholesaleExtract!B:J,9,FALSE),"")</f>
        <v/>
      </c>
      <c r="F4402" s="26" t="str">
        <f>IFERROR(VLOOKUP(G4402,WholesaleExtract!B:J,6,FALSE),"")</f>
        <v/>
      </c>
      <c r="H4402" s="47" t="str">
        <f>IFERROR(VLOOKUP(G4402,WholesaleExtract!B:L,11,FALSE),"")</f>
        <v/>
      </c>
      <c r="I4402" s="26" t="str">
        <f>IFERROR(VLOOKUP(G4402,WholesaleExtract!B:O,8,FALSE),"")</f>
        <v/>
      </c>
      <c r="J4402" s="26" t="str">
        <f>IFERROR(VLOOKUP(G4402,WholesaleExtract!B:O,14,FALSE),"")</f>
        <v/>
      </c>
      <c r="K4402" s="26" t="str">
        <f>IFERROR(VLOOKUP(G4402,WholesaleExtract!B:K,10,FALSE),"")</f>
        <v/>
      </c>
      <c r="L4402" s="47" t="str">
        <f>IFERROR(VLOOKUP(G4402,WholesaleExtract!B:L,11,FALSE),"")</f>
        <v/>
      </c>
      <c r="M4402" s="47" t="str">
        <f>IFERROR(VLOOKUP(G4402,WholesaleExtract!B:M,12,FALSE),"")</f>
        <v/>
      </c>
      <c r="R4402" s="19"/>
      <c r="S4402" s="19"/>
    </row>
    <row r="4403" spans="1:19" x14ac:dyDescent="0.35">
      <c r="A4403" s="26" t="s">
        <v>543</v>
      </c>
      <c r="B4403" s="26" t="s">
        <v>543</v>
      </c>
      <c r="C4403" s="26"/>
      <c r="D4403" s="26" t="s">
        <v>543</v>
      </c>
      <c r="E4403" s="26" t="str">
        <f>IFERROR(VLOOKUP(G4403,WholesaleExtract!B:J,9,FALSE),"")</f>
        <v/>
      </c>
      <c r="F4403" s="26" t="str">
        <f>IFERROR(VLOOKUP(G4403,WholesaleExtract!B:J,6,FALSE),"")</f>
        <v/>
      </c>
      <c r="H4403" s="47" t="str">
        <f>IFERROR(VLOOKUP(G4403,WholesaleExtract!B:L,11,FALSE),"")</f>
        <v/>
      </c>
      <c r="I4403" s="26" t="str">
        <f>IFERROR(VLOOKUP(G4403,WholesaleExtract!B:O,8,FALSE),"")</f>
        <v/>
      </c>
      <c r="J4403" s="26" t="str">
        <f>IFERROR(VLOOKUP(G4403,WholesaleExtract!B:O,14,FALSE),"")</f>
        <v/>
      </c>
      <c r="K4403" s="26" t="str">
        <f>IFERROR(VLOOKUP(G4403,WholesaleExtract!B:K,10,FALSE),"")</f>
        <v/>
      </c>
      <c r="L4403" s="47" t="str">
        <f>IFERROR(VLOOKUP(G4403,WholesaleExtract!B:L,11,FALSE),"")</f>
        <v/>
      </c>
      <c r="M4403" s="47" t="str">
        <f>IFERROR(VLOOKUP(G4403,WholesaleExtract!B:M,12,FALSE),"")</f>
        <v/>
      </c>
      <c r="R4403" s="19"/>
      <c r="S4403" s="19"/>
    </row>
    <row r="4404" spans="1:19" x14ac:dyDescent="0.35">
      <c r="A4404" s="26" t="s">
        <v>543</v>
      </c>
      <c r="B4404" s="26" t="s">
        <v>543</v>
      </c>
      <c r="C4404" s="26"/>
      <c r="D4404" s="26" t="s">
        <v>543</v>
      </c>
      <c r="E4404" s="26" t="str">
        <f>IFERROR(VLOOKUP(G4404,WholesaleExtract!B:J,9,FALSE),"")</f>
        <v/>
      </c>
      <c r="F4404" s="26" t="str">
        <f>IFERROR(VLOOKUP(G4404,WholesaleExtract!B:J,6,FALSE),"")</f>
        <v/>
      </c>
      <c r="H4404" s="47" t="str">
        <f>IFERROR(VLOOKUP(G4404,WholesaleExtract!B:L,11,FALSE),"")</f>
        <v/>
      </c>
      <c r="I4404" s="26" t="str">
        <f>IFERROR(VLOOKUP(G4404,WholesaleExtract!B:O,8,FALSE),"")</f>
        <v/>
      </c>
      <c r="J4404" s="26" t="str">
        <f>IFERROR(VLOOKUP(G4404,WholesaleExtract!B:O,14,FALSE),"")</f>
        <v/>
      </c>
      <c r="K4404" s="26" t="str">
        <f>IFERROR(VLOOKUP(G4404,WholesaleExtract!B:K,10,FALSE),"")</f>
        <v/>
      </c>
      <c r="L4404" s="47" t="str">
        <f>IFERROR(VLOOKUP(G4404,WholesaleExtract!B:L,11,FALSE),"")</f>
        <v/>
      </c>
      <c r="M4404" s="47" t="str">
        <f>IFERROR(VLOOKUP(G4404,WholesaleExtract!B:M,12,FALSE),"")</f>
        <v/>
      </c>
      <c r="R4404" s="19"/>
      <c r="S4404" s="19"/>
    </row>
    <row r="4405" spans="1:19" x14ac:dyDescent="0.35">
      <c r="A4405" s="26" t="s">
        <v>543</v>
      </c>
      <c r="B4405" s="26" t="s">
        <v>543</v>
      </c>
      <c r="C4405" s="26"/>
      <c r="D4405" s="26" t="s">
        <v>543</v>
      </c>
      <c r="E4405" s="26" t="str">
        <f>IFERROR(VLOOKUP(G4405,WholesaleExtract!B:J,9,FALSE),"")</f>
        <v/>
      </c>
      <c r="F4405" s="26" t="str">
        <f>IFERROR(VLOOKUP(G4405,WholesaleExtract!B:J,6,FALSE),"")</f>
        <v/>
      </c>
      <c r="H4405" s="47" t="str">
        <f>IFERROR(VLOOKUP(G4405,WholesaleExtract!B:L,11,FALSE),"")</f>
        <v/>
      </c>
      <c r="I4405" s="26" t="str">
        <f>IFERROR(VLOOKUP(G4405,WholesaleExtract!B:O,8,FALSE),"")</f>
        <v/>
      </c>
      <c r="J4405" s="26" t="str">
        <f>IFERROR(VLOOKUP(G4405,WholesaleExtract!B:O,14,FALSE),"")</f>
        <v/>
      </c>
      <c r="K4405" s="26" t="str">
        <f>IFERROR(VLOOKUP(G4405,WholesaleExtract!B:K,10,FALSE),"")</f>
        <v/>
      </c>
      <c r="L4405" s="47" t="str">
        <f>IFERROR(VLOOKUP(G4405,WholesaleExtract!B:L,11,FALSE),"")</f>
        <v/>
      </c>
      <c r="M4405" s="47" t="str">
        <f>IFERROR(VLOOKUP(G4405,WholesaleExtract!B:M,12,FALSE),"")</f>
        <v/>
      </c>
      <c r="R4405" s="19"/>
      <c r="S4405" s="19"/>
    </row>
    <row r="4406" spans="1:19" x14ac:dyDescent="0.35">
      <c r="A4406" s="26" t="s">
        <v>543</v>
      </c>
      <c r="B4406" s="26" t="s">
        <v>543</v>
      </c>
      <c r="C4406" s="26"/>
      <c r="D4406" s="26" t="s">
        <v>543</v>
      </c>
      <c r="E4406" s="26" t="str">
        <f>IFERROR(VLOOKUP(G4406,WholesaleExtract!B:J,9,FALSE),"")</f>
        <v/>
      </c>
      <c r="F4406" s="26" t="str">
        <f>IFERROR(VLOOKUP(G4406,WholesaleExtract!B:J,6,FALSE),"")</f>
        <v/>
      </c>
      <c r="H4406" s="47" t="str">
        <f>IFERROR(VLOOKUP(G4406,WholesaleExtract!B:L,11,FALSE),"")</f>
        <v/>
      </c>
      <c r="I4406" s="26" t="str">
        <f>IFERROR(VLOOKUP(G4406,WholesaleExtract!B:O,8,FALSE),"")</f>
        <v/>
      </c>
      <c r="J4406" s="26" t="str">
        <f>IFERROR(VLOOKUP(G4406,WholesaleExtract!B:O,14,FALSE),"")</f>
        <v/>
      </c>
      <c r="K4406" s="26" t="str">
        <f>IFERROR(VLOOKUP(G4406,WholesaleExtract!B:K,10,FALSE),"")</f>
        <v/>
      </c>
      <c r="L4406" s="47" t="str">
        <f>IFERROR(VLOOKUP(G4406,WholesaleExtract!B:L,11,FALSE),"")</f>
        <v/>
      </c>
      <c r="M4406" s="47" t="str">
        <f>IFERROR(VLOOKUP(G4406,WholesaleExtract!B:M,12,FALSE),"")</f>
        <v/>
      </c>
      <c r="R4406" s="19"/>
      <c r="S4406" s="19"/>
    </row>
    <row r="4407" spans="1:19" x14ac:dyDescent="0.35">
      <c r="A4407" s="26" t="s">
        <v>543</v>
      </c>
      <c r="B4407" s="26" t="s">
        <v>543</v>
      </c>
      <c r="C4407" s="26"/>
      <c r="D4407" s="26" t="s">
        <v>543</v>
      </c>
      <c r="E4407" s="26" t="str">
        <f>IFERROR(VLOOKUP(G4407,WholesaleExtract!B:J,9,FALSE),"")</f>
        <v/>
      </c>
      <c r="F4407" s="26" t="str">
        <f>IFERROR(VLOOKUP(G4407,WholesaleExtract!B:J,6,FALSE),"")</f>
        <v/>
      </c>
      <c r="H4407" s="47" t="str">
        <f>IFERROR(VLOOKUP(G4407,WholesaleExtract!B:L,11,FALSE),"")</f>
        <v/>
      </c>
      <c r="I4407" s="26" t="str">
        <f>IFERROR(VLOOKUP(G4407,WholesaleExtract!B:O,8,FALSE),"")</f>
        <v/>
      </c>
      <c r="J4407" s="26" t="str">
        <f>IFERROR(VLOOKUP(G4407,WholesaleExtract!B:O,14,FALSE),"")</f>
        <v/>
      </c>
      <c r="K4407" s="26" t="str">
        <f>IFERROR(VLOOKUP(G4407,WholesaleExtract!B:K,10,FALSE),"")</f>
        <v/>
      </c>
      <c r="L4407" s="47" t="str">
        <f>IFERROR(VLOOKUP(G4407,WholesaleExtract!B:L,11,FALSE),"")</f>
        <v/>
      </c>
      <c r="M4407" s="47" t="str">
        <f>IFERROR(VLOOKUP(G4407,WholesaleExtract!B:M,12,FALSE),"")</f>
        <v/>
      </c>
      <c r="R4407" s="19"/>
      <c r="S4407" s="19"/>
    </row>
    <row r="4408" spans="1:19" x14ac:dyDescent="0.35">
      <c r="A4408" s="26" t="s">
        <v>543</v>
      </c>
      <c r="B4408" s="26" t="s">
        <v>543</v>
      </c>
      <c r="C4408" s="26"/>
      <c r="D4408" s="26" t="s">
        <v>543</v>
      </c>
      <c r="E4408" s="26" t="str">
        <f>IFERROR(VLOOKUP(G4408,WholesaleExtract!B:J,9,FALSE),"")</f>
        <v/>
      </c>
      <c r="F4408" s="26" t="str">
        <f>IFERROR(VLOOKUP(G4408,WholesaleExtract!B:J,6,FALSE),"")</f>
        <v/>
      </c>
      <c r="H4408" s="47" t="str">
        <f>IFERROR(VLOOKUP(G4408,WholesaleExtract!B:L,11,FALSE),"")</f>
        <v/>
      </c>
      <c r="I4408" s="26" t="str">
        <f>IFERROR(VLOOKUP(G4408,WholesaleExtract!B:O,8,FALSE),"")</f>
        <v/>
      </c>
      <c r="J4408" s="26" t="str">
        <f>IFERROR(VLOOKUP(G4408,WholesaleExtract!B:O,14,FALSE),"")</f>
        <v/>
      </c>
      <c r="K4408" s="26" t="str">
        <f>IFERROR(VLOOKUP(G4408,WholesaleExtract!B:K,10,FALSE),"")</f>
        <v/>
      </c>
      <c r="L4408" s="47" t="str">
        <f>IFERROR(VLOOKUP(G4408,WholesaleExtract!B:L,11,FALSE),"")</f>
        <v/>
      </c>
      <c r="M4408" s="47" t="str">
        <f>IFERROR(VLOOKUP(G4408,WholesaleExtract!B:M,12,FALSE),"")</f>
        <v/>
      </c>
      <c r="R4408" s="19"/>
      <c r="S4408" s="19"/>
    </row>
    <row r="4409" spans="1:19" x14ac:dyDescent="0.35">
      <c r="A4409" s="26" t="s">
        <v>543</v>
      </c>
      <c r="B4409" s="26" t="s">
        <v>543</v>
      </c>
      <c r="C4409" s="26"/>
      <c r="D4409" s="26" t="s">
        <v>543</v>
      </c>
      <c r="E4409" s="26" t="str">
        <f>IFERROR(VLOOKUP(G4409,WholesaleExtract!B:J,9,FALSE),"")</f>
        <v/>
      </c>
      <c r="F4409" s="26" t="str">
        <f>IFERROR(VLOOKUP(G4409,WholesaleExtract!B:J,6,FALSE),"")</f>
        <v/>
      </c>
      <c r="H4409" s="47" t="str">
        <f>IFERROR(VLOOKUP(G4409,WholesaleExtract!B:L,11,FALSE),"")</f>
        <v/>
      </c>
      <c r="I4409" s="26" t="str">
        <f>IFERROR(VLOOKUP(G4409,WholesaleExtract!B:O,8,FALSE),"")</f>
        <v/>
      </c>
      <c r="J4409" s="26" t="str">
        <f>IFERROR(VLOOKUP(G4409,WholesaleExtract!B:O,14,FALSE),"")</f>
        <v/>
      </c>
      <c r="K4409" s="26" t="str">
        <f>IFERROR(VLOOKUP(G4409,WholesaleExtract!B:K,10,FALSE),"")</f>
        <v/>
      </c>
      <c r="L4409" s="47" t="str">
        <f>IFERROR(VLOOKUP(G4409,WholesaleExtract!B:L,11,FALSE),"")</f>
        <v/>
      </c>
      <c r="M4409" s="47" t="str">
        <f>IFERROR(VLOOKUP(G4409,WholesaleExtract!B:M,12,FALSE),"")</f>
        <v/>
      </c>
      <c r="R4409" s="19"/>
      <c r="S4409" s="19"/>
    </row>
    <row r="4410" spans="1:19" x14ac:dyDescent="0.35">
      <c r="A4410" s="26" t="s">
        <v>543</v>
      </c>
      <c r="B4410" s="26" t="s">
        <v>543</v>
      </c>
      <c r="C4410" s="26"/>
      <c r="D4410" s="26" t="s">
        <v>543</v>
      </c>
      <c r="E4410" s="26" t="str">
        <f>IFERROR(VLOOKUP(G4410,WholesaleExtract!B:J,9,FALSE),"")</f>
        <v/>
      </c>
      <c r="F4410" s="26" t="str">
        <f>IFERROR(VLOOKUP(G4410,WholesaleExtract!B:J,6,FALSE),"")</f>
        <v/>
      </c>
      <c r="H4410" s="47" t="str">
        <f>IFERROR(VLOOKUP(G4410,WholesaleExtract!B:L,11,FALSE),"")</f>
        <v/>
      </c>
      <c r="I4410" s="26" t="str">
        <f>IFERROR(VLOOKUP(G4410,WholesaleExtract!B:O,8,FALSE),"")</f>
        <v/>
      </c>
      <c r="J4410" s="26" t="str">
        <f>IFERROR(VLOOKUP(G4410,WholesaleExtract!B:O,14,FALSE),"")</f>
        <v/>
      </c>
      <c r="K4410" s="26" t="str">
        <f>IFERROR(VLOOKUP(G4410,WholesaleExtract!B:K,10,FALSE),"")</f>
        <v/>
      </c>
      <c r="L4410" s="47" t="str">
        <f>IFERROR(VLOOKUP(G4410,WholesaleExtract!B:L,11,FALSE),"")</f>
        <v/>
      </c>
      <c r="M4410" s="47" t="str">
        <f>IFERROR(VLOOKUP(G4410,WholesaleExtract!B:M,12,FALSE),"")</f>
        <v/>
      </c>
      <c r="R4410" s="19"/>
      <c r="S4410" s="19"/>
    </row>
    <row r="4411" spans="1:19" x14ac:dyDescent="0.35">
      <c r="A4411" s="26" t="s">
        <v>543</v>
      </c>
      <c r="B4411" s="26" t="s">
        <v>543</v>
      </c>
      <c r="C4411" s="26"/>
      <c r="D4411" s="26" t="s">
        <v>543</v>
      </c>
      <c r="E4411" s="26" t="str">
        <f>IFERROR(VLOOKUP(G4411,WholesaleExtract!B:J,9,FALSE),"")</f>
        <v/>
      </c>
      <c r="F4411" s="26" t="str">
        <f>IFERROR(VLOOKUP(G4411,WholesaleExtract!B:J,6,FALSE),"")</f>
        <v/>
      </c>
      <c r="H4411" s="47" t="str">
        <f>IFERROR(VLOOKUP(G4411,WholesaleExtract!B:L,11,FALSE),"")</f>
        <v/>
      </c>
      <c r="I4411" s="26" t="str">
        <f>IFERROR(VLOOKUP(G4411,WholesaleExtract!B:O,8,FALSE),"")</f>
        <v/>
      </c>
      <c r="J4411" s="26" t="str">
        <f>IFERROR(VLOOKUP(G4411,WholesaleExtract!B:O,14,FALSE),"")</f>
        <v/>
      </c>
      <c r="K4411" s="26" t="str">
        <f>IFERROR(VLOOKUP(G4411,WholesaleExtract!B:K,10,FALSE),"")</f>
        <v/>
      </c>
      <c r="L4411" s="47" t="str">
        <f>IFERROR(VLOOKUP(G4411,WholesaleExtract!B:L,11,FALSE),"")</f>
        <v/>
      </c>
      <c r="M4411" s="47" t="str">
        <f>IFERROR(VLOOKUP(G4411,WholesaleExtract!B:M,12,FALSE),"")</f>
        <v/>
      </c>
      <c r="R4411" s="19"/>
      <c r="S4411" s="19"/>
    </row>
    <row r="4412" spans="1:19" x14ac:dyDescent="0.35">
      <c r="A4412" s="26" t="s">
        <v>543</v>
      </c>
      <c r="B4412" s="26" t="s">
        <v>543</v>
      </c>
      <c r="C4412" s="26"/>
      <c r="D4412" s="26" t="s">
        <v>543</v>
      </c>
      <c r="E4412" s="26" t="str">
        <f>IFERROR(VLOOKUP(G4412,WholesaleExtract!B:J,9,FALSE),"")</f>
        <v/>
      </c>
      <c r="F4412" s="26" t="str">
        <f>IFERROR(VLOOKUP(G4412,WholesaleExtract!B:J,6,FALSE),"")</f>
        <v/>
      </c>
      <c r="H4412" s="47" t="str">
        <f>IFERROR(VLOOKUP(G4412,WholesaleExtract!B:L,11,FALSE),"")</f>
        <v/>
      </c>
      <c r="I4412" s="26" t="str">
        <f>IFERROR(VLOOKUP(G4412,WholesaleExtract!B:O,8,FALSE),"")</f>
        <v/>
      </c>
      <c r="J4412" s="26" t="str">
        <f>IFERROR(VLOOKUP(G4412,WholesaleExtract!B:O,14,FALSE),"")</f>
        <v/>
      </c>
      <c r="K4412" s="26" t="str">
        <f>IFERROR(VLOOKUP(G4412,WholesaleExtract!B:K,10,FALSE),"")</f>
        <v/>
      </c>
      <c r="L4412" s="47" t="str">
        <f>IFERROR(VLOOKUP(G4412,WholesaleExtract!B:L,11,FALSE),"")</f>
        <v/>
      </c>
      <c r="M4412" s="47" t="str">
        <f>IFERROR(VLOOKUP(G4412,WholesaleExtract!B:M,12,FALSE),"")</f>
        <v/>
      </c>
      <c r="R4412" s="19"/>
      <c r="S4412" s="19"/>
    </row>
    <row r="4413" spans="1:19" x14ac:dyDescent="0.35">
      <c r="A4413" s="26" t="s">
        <v>543</v>
      </c>
      <c r="B4413" s="26" t="s">
        <v>543</v>
      </c>
      <c r="C4413" s="26"/>
      <c r="D4413" s="26" t="s">
        <v>543</v>
      </c>
      <c r="E4413" s="26" t="str">
        <f>IFERROR(VLOOKUP(G4413,WholesaleExtract!B:J,9,FALSE),"")</f>
        <v/>
      </c>
      <c r="F4413" s="26" t="str">
        <f>IFERROR(VLOOKUP(G4413,WholesaleExtract!B:J,6,FALSE),"")</f>
        <v/>
      </c>
      <c r="H4413" s="47" t="str">
        <f>IFERROR(VLOOKUP(G4413,WholesaleExtract!B:L,11,FALSE),"")</f>
        <v/>
      </c>
      <c r="I4413" s="26" t="str">
        <f>IFERROR(VLOOKUP(G4413,WholesaleExtract!B:O,8,FALSE),"")</f>
        <v/>
      </c>
      <c r="J4413" s="26" t="str">
        <f>IFERROR(VLOOKUP(G4413,WholesaleExtract!B:O,14,FALSE),"")</f>
        <v/>
      </c>
      <c r="K4413" s="26" t="str">
        <f>IFERROR(VLOOKUP(G4413,WholesaleExtract!B:K,10,FALSE),"")</f>
        <v/>
      </c>
      <c r="L4413" s="47" t="str">
        <f>IFERROR(VLOOKUP(G4413,WholesaleExtract!B:L,11,FALSE),"")</f>
        <v/>
      </c>
      <c r="M4413" s="47" t="str">
        <f>IFERROR(VLOOKUP(G4413,WholesaleExtract!B:M,12,FALSE),"")</f>
        <v/>
      </c>
      <c r="R4413" s="19"/>
      <c r="S4413" s="19"/>
    </row>
    <row r="4414" spans="1:19" x14ac:dyDescent="0.35">
      <c r="A4414" s="26" t="s">
        <v>543</v>
      </c>
      <c r="B4414" s="26" t="s">
        <v>543</v>
      </c>
      <c r="C4414" s="26"/>
      <c r="D4414" s="26" t="s">
        <v>543</v>
      </c>
      <c r="E4414" s="26" t="str">
        <f>IFERROR(VLOOKUP(G4414,WholesaleExtract!B:J,9,FALSE),"")</f>
        <v/>
      </c>
      <c r="F4414" s="26" t="str">
        <f>IFERROR(VLOOKUP(G4414,WholesaleExtract!B:J,6,FALSE),"")</f>
        <v/>
      </c>
      <c r="H4414" s="47" t="str">
        <f>IFERROR(VLOOKUP(G4414,WholesaleExtract!B:L,11,FALSE),"")</f>
        <v/>
      </c>
      <c r="I4414" s="26" t="str">
        <f>IFERROR(VLOOKUP(G4414,WholesaleExtract!B:O,8,FALSE),"")</f>
        <v/>
      </c>
      <c r="J4414" s="26" t="str">
        <f>IFERROR(VLOOKUP(G4414,WholesaleExtract!B:O,14,FALSE),"")</f>
        <v/>
      </c>
      <c r="K4414" s="26" t="str">
        <f>IFERROR(VLOOKUP(G4414,WholesaleExtract!B:K,10,FALSE),"")</f>
        <v/>
      </c>
      <c r="L4414" s="47" t="str">
        <f>IFERROR(VLOOKUP(G4414,WholesaleExtract!B:L,11,FALSE),"")</f>
        <v/>
      </c>
      <c r="M4414" s="47" t="str">
        <f>IFERROR(VLOOKUP(G4414,WholesaleExtract!B:M,12,FALSE),"")</f>
        <v/>
      </c>
      <c r="R4414" s="19"/>
      <c r="S4414" s="19"/>
    </row>
    <row r="4415" spans="1:19" x14ac:dyDescent="0.35">
      <c r="A4415" s="26" t="s">
        <v>543</v>
      </c>
      <c r="B4415" s="26" t="s">
        <v>543</v>
      </c>
      <c r="C4415" s="26"/>
      <c r="D4415" s="26" t="s">
        <v>543</v>
      </c>
      <c r="E4415" s="26" t="str">
        <f>IFERROR(VLOOKUP(G4415,WholesaleExtract!B:J,9,FALSE),"")</f>
        <v/>
      </c>
      <c r="F4415" s="26" t="str">
        <f>IFERROR(VLOOKUP(G4415,WholesaleExtract!B:J,6,FALSE),"")</f>
        <v/>
      </c>
      <c r="H4415" s="47" t="str">
        <f>IFERROR(VLOOKUP(G4415,WholesaleExtract!B:L,11,FALSE),"")</f>
        <v/>
      </c>
      <c r="I4415" s="26" t="str">
        <f>IFERROR(VLOOKUP(G4415,WholesaleExtract!B:O,8,FALSE),"")</f>
        <v/>
      </c>
      <c r="J4415" s="26" t="str">
        <f>IFERROR(VLOOKUP(G4415,WholesaleExtract!B:O,14,FALSE),"")</f>
        <v/>
      </c>
      <c r="K4415" s="26" t="str">
        <f>IFERROR(VLOOKUP(G4415,WholesaleExtract!B:K,10,FALSE),"")</f>
        <v/>
      </c>
      <c r="L4415" s="47" t="str">
        <f>IFERROR(VLOOKUP(G4415,WholesaleExtract!B:L,11,FALSE),"")</f>
        <v/>
      </c>
      <c r="M4415" s="47" t="str">
        <f>IFERROR(VLOOKUP(G4415,WholesaleExtract!B:M,12,FALSE),"")</f>
        <v/>
      </c>
      <c r="R4415" s="19"/>
      <c r="S4415" s="19"/>
    </row>
    <row r="4416" spans="1:19" x14ac:dyDescent="0.35">
      <c r="A4416" s="26" t="s">
        <v>543</v>
      </c>
      <c r="B4416" s="26" t="s">
        <v>543</v>
      </c>
      <c r="C4416" s="26"/>
      <c r="D4416" s="26" t="s">
        <v>543</v>
      </c>
      <c r="E4416" s="26" t="str">
        <f>IFERROR(VLOOKUP(G4416,WholesaleExtract!B:J,9,FALSE),"")</f>
        <v/>
      </c>
      <c r="F4416" s="26" t="str">
        <f>IFERROR(VLOOKUP(G4416,WholesaleExtract!B:J,6,FALSE),"")</f>
        <v/>
      </c>
      <c r="H4416" s="47" t="str">
        <f>IFERROR(VLOOKUP(G4416,WholesaleExtract!B:L,11,FALSE),"")</f>
        <v/>
      </c>
      <c r="I4416" s="26" t="str">
        <f>IFERROR(VLOOKUP(G4416,WholesaleExtract!B:O,8,FALSE),"")</f>
        <v/>
      </c>
      <c r="J4416" s="26" t="str">
        <f>IFERROR(VLOOKUP(G4416,WholesaleExtract!B:O,14,FALSE),"")</f>
        <v/>
      </c>
      <c r="K4416" s="26" t="str">
        <f>IFERROR(VLOOKUP(G4416,WholesaleExtract!B:K,10,FALSE),"")</f>
        <v/>
      </c>
      <c r="L4416" s="47" t="str">
        <f>IFERROR(VLOOKUP(G4416,WholesaleExtract!B:L,11,FALSE),"")</f>
        <v/>
      </c>
      <c r="M4416" s="47" t="str">
        <f>IFERROR(VLOOKUP(G4416,WholesaleExtract!B:M,12,FALSE),"")</f>
        <v/>
      </c>
      <c r="R4416" s="19"/>
      <c r="S4416" s="19"/>
    </row>
    <row r="4417" spans="1:19" x14ac:dyDescent="0.35">
      <c r="A4417" s="26" t="s">
        <v>543</v>
      </c>
      <c r="B4417" s="26" t="s">
        <v>543</v>
      </c>
      <c r="C4417" s="26"/>
      <c r="D4417" s="26" t="s">
        <v>543</v>
      </c>
      <c r="E4417" s="26" t="str">
        <f>IFERROR(VLOOKUP(G4417,WholesaleExtract!B:J,9,FALSE),"")</f>
        <v/>
      </c>
      <c r="F4417" s="26" t="str">
        <f>IFERROR(VLOOKUP(G4417,WholesaleExtract!B:J,6,FALSE),"")</f>
        <v/>
      </c>
      <c r="H4417" s="47" t="str">
        <f>IFERROR(VLOOKUP(G4417,WholesaleExtract!B:L,11,FALSE),"")</f>
        <v/>
      </c>
      <c r="I4417" s="26" t="str">
        <f>IFERROR(VLOOKUP(G4417,WholesaleExtract!B:O,8,FALSE),"")</f>
        <v/>
      </c>
      <c r="J4417" s="26" t="str">
        <f>IFERROR(VLOOKUP(G4417,WholesaleExtract!B:O,14,FALSE),"")</f>
        <v/>
      </c>
      <c r="K4417" s="26" t="str">
        <f>IFERROR(VLOOKUP(G4417,WholesaleExtract!B:K,10,FALSE),"")</f>
        <v/>
      </c>
      <c r="L4417" s="47" t="str">
        <f>IFERROR(VLOOKUP(G4417,WholesaleExtract!B:L,11,FALSE),"")</f>
        <v/>
      </c>
      <c r="M4417" s="47" t="str">
        <f>IFERROR(VLOOKUP(G4417,WholesaleExtract!B:M,12,FALSE),"")</f>
        <v/>
      </c>
      <c r="R4417" s="19"/>
      <c r="S4417" s="19"/>
    </row>
    <row r="4418" spans="1:19" x14ac:dyDescent="0.35">
      <c r="A4418" s="26" t="s">
        <v>543</v>
      </c>
      <c r="B4418" s="26" t="s">
        <v>543</v>
      </c>
      <c r="C4418" s="26"/>
      <c r="D4418" s="26" t="s">
        <v>543</v>
      </c>
      <c r="E4418" s="26" t="str">
        <f>IFERROR(VLOOKUP(G4418,WholesaleExtract!B:J,9,FALSE),"")</f>
        <v/>
      </c>
      <c r="F4418" s="26" t="str">
        <f>IFERROR(VLOOKUP(G4418,WholesaleExtract!B:J,6,FALSE),"")</f>
        <v/>
      </c>
      <c r="H4418" s="47" t="str">
        <f>IFERROR(VLOOKUP(G4418,WholesaleExtract!B:L,11,FALSE),"")</f>
        <v/>
      </c>
      <c r="I4418" s="26" t="str">
        <f>IFERROR(VLOOKUP(G4418,WholesaleExtract!B:O,8,FALSE),"")</f>
        <v/>
      </c>
      <c r="J4418" s="26" t="str">
        <f>IFERROR(VLOOKUP(G4418,WholesaleExtract!B:O,14,FALSE),"")</f>
        <v/>
      </c>
      <c r="K4418" s="26" t="str">
        <f>IFERROR(VLOOKUP(G4418,WholesaleExtract!B:K,10,FALSE),"")</f>
        <v/>
      </c>
      <c r="L4418" s="47" t="str">
        <f>IFERROR(VLOOKUP(G4418,WholesaleExtract!B:L,11,FALSE),"")</f>
        <v/>
      </c>
      <c r="M4418" s="47" t="str">
        <f>IFERROR(VLOOKUP(G4418,WholesaleExtract!B:M,12,FALSE),"")</f>
        <v/>
      </c>
      <c r="R4418" s="19"/>
      <c r="S4418" s="19"/>
    </row>
    <row r="4419" spans="1:19" x14ac:dyDescent="0.35">
      <c r="A4419" s="26" t="s">
        <v>543</v>
      </c>
      <c r="B4419" s="26" t="s">
        <v>543</v>
      </c>
      <c r="C4419" s="26"/>
      <c r="D4419" s="26" t="s">
        <v>543</v>
      </c>
      <c r="E4419" s="26" t="str">
        <f>IFERROR(VLOOKUP(G4419,WholesaleExtract!B:J,9,FALSE),"")</f>
        <v/>
      </c>
      <c r="F4419" s="26" t="str">
        <f>IFERROR(VLOOKUP(G4419,WholesaleExtract!B:J,6,FALSE),"")</f>
        <v/>
      </c>
      <c r="H4419" s="47" t="str">
        <f>IFERROR(VLOOKUP(G4419,WholesaleExtract!B:L,11,FALSE),"")</f>
        <v/>
      </c>
      <c r="I4419" s="26" t="str">
        <f>IFERROR(VLOOKUP(G4419,WholesaleExtract!B:O,8,FALSE),"")</f>
        <v/>
      </c>
      <c r="J4419" s="26" t="str">
        <f>IFERROR(VLOOKUP(G4419,WholesaleExtract!B:O,14,FALSE),"")</f>
        <v/>
      </c>
      <c r="K4419" s="26" t="str">
        <f>IFERROR(VLOOKUP(G4419,WholesaleExtract!B:K,10,FALSE),"")</f>
        <v/>
      </c>
      <c r="L4419" s="47" t="str">
        <f>IFERROR(VLOOKUP(G4419,WholesaleExtract!B:L,11,FALSE),"")</f>
        <v/>
      </c>
      <c r="M4419" s="47" t="str">
        <f>IFERROR(VLOOKUP(G4419,WholesaleExtract!B:M,12,FALSE),"")</f>
        <v/>
      </c>
      <c r="R4419" s="19"/>
      <c r="S4419" s="19"/>
    </row>
    <row r="4420" spans="1:19" x14ac:dyDescent="0.35">
      <c r="A4420" s="26" t="s">
        <v>543</v>
      </c>
      <c r="B4420" s="26" t="s">
        <v>543</v>
      </c>
      <c r="C4420" s="26"/>
      <c r="D4420" s="26" t="s">
        <v>543</v>
      </c>
      <c r="E4420" s="26" t="str">
        <f>IFERROR(VLOOKUP(G4420,WholesaleExtract!B:J,9,FALSE),"")</f>
        <v/>
      </c>
      <c r="F4420" s="26" t="str">
        <f>IFERROR(VLOOKUP(G4420,WholesaleExtract!B:J,6,FALSE),"")</f>
        <v/>
      </c>
      <c r="H4420" s="47" t="str">
        <f>IFERROR(VLOOKUP(G4420,WholesaleExtract!B:L,11,FALSE),"")</f>
        <v/>
      </c>
      <c r="I4420" s="26" t="str">
        <f>IFERROR(VLOOKUP(G4420,WholesaleExtract!B:O,8,FALSE),"")</f>
        <v/>
      </c>
      <c r="J4420" s="26" t="str">
        <f>IFERROR(VLOOKUP(G4420,WholesaleExtract!B:O,14,FALSE),"")</f>
        <v/>
      </c>
      <c r="K4420" s="26" t="str">
        <f>IFERROR(VLOOKUP(G4420,WholesaleExtract!B:K,10,FALSE),"")</f>
        <v/>
      </c>
      <c r="L4420" s="47" t="str">
        <f>IFERROR(VLOOKUP(G4420,WholesaleExtract!B:L,11,FALSE),"")</f>
        <v/>
      </c>
      <c r="M4420" s="47" t="str">
        <f>IFERROR(VLOOKUP(G4420,WholesaleExtract!B:M,12,FALSE),"")</f>
        <v/>
      </c>
      <c r="R4420" s="19"/>
      <c r="S4420" s="19"/>
    </row>
    <row r="4421" spans="1:19" x14ac:dyDescent="0.35">
      <c r="A4421" s="26" t="s">
        <v>543</v>
      </c>
      <c r="B4421" s="26" t="s">
        <v>543</v>
      </c>
      <c r="C4421" s="26"/>
      <c r="D4421" s="26" t="s">
        <v>543</v>
      </c>
      <c r="E4421" s="26" t="str">
        <f>IFERROR(VLOOKUP(G4421,WholesaleExtract!B:J,9,FALSE),"")</f>
        <v/>
      </c>
      <c r="F4421" s="26" t="str">
        <f>IFERROR(VLOOKUP(G4421,WholesaleExtract!B:J,6,FALSE),"")</f>
        <v/>
      </c>
      <c r="H4421" s="47" t="str">
        <f>IFERROR(VLOOKUP(G4421,WholesaleExtract!B:L,11,FALSE),"")</f>
        <v/>
      </c>
      <c r="I4421" s="26" t="str">
        <f>IFERROR(VLOOKUP(G4421,WholesaleExtract!B:O,8,FALSE),"")</f>
        <v/>
      </c>
      <c r="J4421" s="26" t="str">
        <f>IFERROR(VLOOKUP(G4421,WholesaleExtract!B:O,14,FALSE),"")</f>
        <v/>
      </c>
      <c r="K4421" s="26" t="str">
        <f>IFERROR(VLOOKUP(G4421,WholesaleExtract!B:K,10,FALSE),"")</f>
        <v/>
      </c>
      <c r="L4421" s="47" t="str">
        <f>IFERROR(VLOOKUP(G4421,WholesaleExtract!B:L,11,FALSE),"")</f>
        <v/>
      </c>
      <c r="M4421" s="47" t="str">
        <f>IFERROR(VLOOKUP(G4421,WholesaleExtract!B:M,12,FALSE),"")</f>
        <v/>
      </c>
      <c r="R4421" s="19"/>
      <c r="S4421" s="19"/>
    </row>
    <row r="4422" spans="1:19" x14ac:dyDescent="0.35">
      <c r="A4422" s="26" t="s">
        <v>543</v>
      </c>
      <c r="B4422" s="26" t="s">
        <v>543</v>
      </c>
      <c r="C4422" s="26"/>
      <c r="D4422" s="26" t="s">
        <v>543</v>
      </c>
      <c r="E4422" s="26" t="str">
        <f>IFERROR(VLOOKUP(G4422,WholesaleExtract!B:J,9,FALSE),"")</f>
        <v/>
      </c>
      <c r="F4422" s="26" t="str">
        <f>IFERROR(VLOOKUP(G4422,WholesaleExtract!B:J,6,FALSE),"")</f>
        <v/>
      </c>
      <c r="H4422" s="47" t="str">
        <f>IFERROR(VLOOKUP(G4422,WholesaleExtract!B:L,11,FALSE),"")</f>
        <v/>
      </c>
      <c r="I4422" s="26" t="str">
        <f>IFERROR(VLOOKUP(G4422,WholesaleExtract!B:O,8,FALSE),"")</f>
        <v/>
      </c>
      <c r="J4422" s="26" t="str">
        <f>IFERROR(VLOOKUP(G4422,WholesaleExtract!B:O,14,FALSE),"")</f>
        <v/>
      </c>
      <c r="K4422" s="26" t="str">
        <f>IFERROR(VLOOKUP(G4422,WholesaleExtract!B:K,10,FALSE),"")</f>
        <v/>
      </c>
      <c r="L4422" s="47" t="str">
        <f>IFERROR(VLOOKUP(G4422,WholesaleExtract!B:L,11,FALSE),"")</f>
        <v/>
      </c>
      <c r="M4422" s="47" t="str">
        <f>IFERROR(VLOOKUP(G4422,WholesaleExtract!B:M,12,FALSE),"")</f>
        <v/>
      </c>
      <c r="R4422" s="19"/>
      <c r="S4422" s="19"/>
    </row>
    <row r="4423" spans="1:19" x14ac:dyDescent="0.35">
      <c r="A4423" s="26" t="s">
        <v>543</v>
      </c>
      <c r="B4423" s="26" t="s">
        <v>543</v>
      </c>
      <c r="C4423" s="26"/>
      <c r="D4423" s="26" t="s">
        <v>543</v>
      </c>
      <c r="E4423" s="26" t="str">
        <f>IFERROR(VLOOKUP(G4423,WholesaleExtract!B:J,9,FALSE),"")</f>
        <v/>
      </c>
      <c r="F4423" s="26" t="str">
        <f>IFERROR(VLOOKUP(G4423,WholesaleExtract!B:J,6,FALSE),"")</f>
        <v/>
      </c>
      <c r="H4423" s="47" t="str">
        <f>IFERROR(VLOOKUP(G4423,WholesaleExtract!B:L,11,FALSE),"")</f>
        <v/>
      </c>
      <c r="I4423" s="26" t="str">
        <f>IFERROR(VLOOKUP(G4423,WholesaleExtract!B:O,8,FALSE),"")</f>
        <v/>
      </c>
      <c r="J4423" s="26" t="str">
        <f>IFERROR(VLOOKUP(G4423,WholesaleExtract!B:O,14,FALSE),"")</f>
        <v/>
      </c>
      <c r="K4423" s="26" t="str">
        <f>IFERROR(VLOOKUP(G4423,WholesaleExtract!B:K,10,FALSE),"")</f>
        <v/>
      </c>
      <c r="L4423" s="47" t="str">
        <f>IFERROR(VLOOKUP(G4423,WholesaleExtract!B:L,11,FALSE),"")</f>
        <v/>
      </c>
      <c r="M4423" s="47" t="str">
        <f>IFERROR(VLOOKUP(G4423,WholesaleExtract!B:M,12,FALSE),"")</f>
        <v/>
      </c>
      <c r="R4423" s="19"/>
      <c r="S4423" s="19"/>
    </row>
    <row r="4424" spans="1:19" x14ac:dyDescent="0.35">
      <c r="A4424" s="26" t="s">
        <v>543</v>
      </c>
      <c r="B4424" s="26" t="s">
        <v>543</v>
      </c>
      <c r="C4424" s="26"/>
      <c r="D4424" s="26" t="s">
        <v>543</v>
      </c>
      <c r="E4424" s="26" t="str">
        <f>IFERROR(VLOOKUP(G4424,WholesaleExtract!B:J,9,FALSE),"")</f>
        <v/>
      </c>
      <c r="F4424" s="26" t="str">
        <f>IFERROR(VLOOKUP(G4424,WholesaleExtract!B:J,6,FALSE),"")</f>
        <v/>
      </c>
      <c r="H4424" s="47" t="str">
        <f>IFERROR(VLOOKUP(G4424,WholesaleExtract!B:L,11,FALSE),"")</f>
        <v/>
      </c>
      <c r="I4424" s="26" t="str">
        <f>IFERROR(VLOOKUP(G4424,WholesaleExtract!B:O,8,FALSE),"")</f>
        <v/>
      </c>
      <c r="J4424" s="26" t="str">
        <f>IFERROR(VLOOKUP(G4424,WholesaleExtract!B:O,14,FALSE),"")</f>
        <v/>
      </c>
      <c r="K4424" s="26" t="str">
        <f>IFERROR(VLOOKUP(G4424,WholesaleExtract!B:K,10,FALSE),"")</f>
        <v/>
      </c>
      <c r="L4424" s="47" t="str">
        <f>IFERROR(VLOOKUP(G4424,WholesaleExtract!B:L,11,FALSE),"")</f>
        <v/>
      </c>
      <c r="M4424" s="47" t="str">
        <f>IFERROR(VLOOKUP(G4424,WholesaleExtract!B:M,12,FALSE),"")</f>
        <v/>
      </c>
      <c r="R4424" s="19"/>
      <c r="S4424" s="19"/>
    </row>
    <row r="4425" spans="1:19" x14ac:dyDescent="0.35">
      <c r="A4425" s="26" t="s">
        <v>543</v>
      </c>
      <c r="B4425" s="26" t="s">
        <v>543</v>
      </c>
      <c r="C4425" s="26"/>
      <c r="D4425" s="26" t="s">
        <v>543</v>
      </c>
      <c r="E4425" s="26" t="str">
        <f>IFERROR(VLOOKUP(G4425,WholesaleExtract!B:J,9,FALSE),"")</f>
        <v/>
      </c>
      <c r="F4425" s="26" t="str">
        <f>IFERROR(VLOOKUP(G4425,WholesaleExtract!B:J,6,FALSE),"")</f>
        <v/>
      </c>
      <c r="H4425" s="47" t="str">
        <f>IFERROR(VLOOKUP(G4425,WholesaleExtract!B:L,11,FALSE),"")</f>
        <v/>
      </c>
      <c r="I4425" s="26" t="str">
        <f>IFERROR(VLOOKUP(G4425,WholesaleExtract!B:O,8,FALSE),"")</f>
        <v/>
      </c>
      <c r="J4425" s="26" t="str">
        <f>IFERROR(VLOOKUP(G4425,WholesaleExtract!B:O,14,FALSE),"")</f>
        <v/>
      </c>
      <c r="K4425" s="26" t="str">
        <f>IFERROR(VLOOKUP(G4425,WholesaleExtract!B:K,10,FALSE),"")</f>
        <v/>
      </c>
      <c r="L4425" s="47" t="str">
        <f>IFERROR(VLOOKUP(G4425,WholesaleExtract!B:L,11,FALSE),"")</f>
        <v/>
      </c>
      <c r="M4425" s="47" t="str">
        <f>IFERROR(VLOOKUP(G4425,WholesaleExtract!B:M,12,FALSE),"")</f>
        <v/>
      </c>
      <c r="R4425" s="19"/>
      <c r="S4425" s="19"/>
    </row>
    <row r="4426" spans="1:19" x14ac:dyDescent="0.35">
      <c r="A4426" s="26" t="s">
        <v>543</v>
      </c>
      <c r="B4426" s="26" t="s">
        <v>543</v>
      </c>
      <c r="C4426" s="26"/>
      <c r="D4426" s="26" t="s">
        <v>543</v>
      </c>
      <c r="E4426" s="26" t="str">
        <f>IFERROR(VLOOKUP(G4426,WholesaleExtract!B:J,9,FALSE),"")</f>
        <v/>
      </c>
      <c r="F4426" s="26" t="str">
        <f>IFERROR(VLOOKUP(G4426,WholesaleExtract!B:J,6,FALSE),"")</f>
        <v/>
      </c>
      <c r="H4426" s="47" t="str">
        <f>IFERROR(VLOOKUP(G4426,WholesaleExtract!B:L,11,FALSE),"")</f>
        <v/>
      </c>
      <c r="I4426" s="26" t="str">
        <f>IFERROR(VLOOKUP(G4426,WholesaleExtract!B:O,8,FALSE),"")</f>
        <v/>
      </c>
      <c r="J4426" s="26" t="str">
        <f>IFERROR(VLOOKUP(G4426,WholesaleExtract!B:O,14,FALSE),"")</f>
        <v/>
      </c>
      <c r="K4426" s="26" t="str">
        <f>IFERROR(VLOOKUP(G4426,WholesaleExtract!B:K,10,FALSE),"")</f>
        <v/>
      </c>
      <c r="L4426" s="47" t="str">
        <f>IFERROR(VLOOKUP(G4426,WholesaleExtract!B:L,11,FALSE),"")</f>
        <v/>
      </c>
      <c r="M4426" s="47" t="str">
        <f>IFERROR(VLOOKUP(G4426,WholesaleExtract!B:M,12,FALSE),"")</f>
        <v/>
      </c>
      <c r="R4426" s="19"/>
      <c r="S4426" s="19"/>
    </row>
    <row r="4427" spans="1:19" x14ac:dyDescent="0.35">
      <c r="A4427" s="26" t="s">
        <v>543</v>
      </c>
      <c r="B4427" s="26" t="s">
        <v>543</v>
      </c>
      <c r="C4427" s="26"/>
      <c r="D4427" s="26" t="s">
        <v>543</v>
      </c>
      <c r="E4427" s="26" t="str">
        <f>IFERROR(VLOOKUP(G4427,WholesaleExtract!B:J,9,FALSE),"")</f>
        <v/>
      </c>
      <c r="F4427" s="26" t="str">
        <f>IFERROR(VLOOKUP(G4427,WholesaleExtract!B:J,6,FALSE),"")</f>
        <v/>
      </c>
      <c r="H4427" s="47" t="str">
        <f>IFERROR(VLOOKUP(G4427,WholesaleExtract!B:L,11,FALSE),"")</f>
        <v/>
      </c>
      <c r="I4427" s="26" t="str">
        <f>IFERROR(VLOOKUP(G4427,WholesaleExtract!B:O,8,FALSE),"")</f>
        <v/>
      </c>
      <c r="J4427" s="26" t="str">
        <f>IFERROR(VLOOKUP(G4427,WholesaleExtract!B:O,14,FALSE),"")</f>
        <v/>
      </c>
      <c r="K4427" s="26" t="str">
        <f>IFERROR(VLOOKUP(G4427,WholesaleExtract!B:K,10,FALSE),"")</f>
        <v/>
      </c>
      <c r="L4427" s="47" t="str">
        <f>IFERROR(VLOOKUP(G4427,WholesaleExtract!B:L,11,FALSE),"")</f>
        <v/>
      </c>
      <c r="M4427" s="47" t="str">
        <f>IFERROR(VLOOKUP(G4427,WholesaleExtract!B:M,12,FALSE),"")</f>
        <v/>
      </c>
      <c r="R4427" s="19"/>
      <c r="S4427" s="19"/>
    </row>
    <row r="4428" spans="1:19" x14ac:dyDescent="0.35">
      <c r="A4428" s="26" t="s">
        <v>543</v>
      </c>
      <c r="B4428" s="26" t="s">
        <v>543</v>
      </c>
      <c r="C4428" s="26"/>
      <c r="D4428" s="26" t="s">
        <v>543</v>
      </c>
      <c r="E4428" s="26" t="str">
        <f>IFERROR(VLOOKUP(G4428,WholesaleExtract!B:J,9,FALSE),"")</f>
        <v/>
      </c>
      <c r="F4428" s="26" t="str">
        <f>IFERROR(VLOOKUP(G4428,WholesaleExtract!B:J,6,FALSE),"")</f>
        <v/>
      </c>
      <c r="H4428" s="47" t="str">
        <f>IFERROR(VLOOKUP(G4428,WholesaleExtract!B:L,11,FALSE),"")</f>
        <v/>
      </c>
      <c r="I4428" s="26" t="str">
        <f>IFERROR(VLOOKUP(G4428,WholesaleExtract!B:O,8,FALSE),"")</f>
        <v/>
      </c>
      <c r="J4428" s="26" t="str">
        <f>IFERROR(VLOOKUP(G4428,WholesaleExtract!B:O,14,FALSE),"")</f>
        <v/>
      </c>
      <c r="K4428" s="26" t="str">
        <f>IFERROR(VLOOKUP(G4428,WholesaleExtract!B:K,10,FALSE),"")</f>
        <v/>
      </c>
      <c r="L4428" s="47" t="str">
        <f>IFERROR(VLOOKUP(G4428,WholesaleExtract!B:L,11,FALSE),"")</f>
        <v/>
      </c>
      <c r="M4428" s="47" t="str">
        <f>IFERROR(VLOOKUP(G4428,WholesaleExtract!B:M,12,FALSE),"")</f>
        <v/>
      </c>
      <c r="R4428" s="19"/>
      <c r="S4428" s="19"/>
    </row>
    <row r="4429" spans="1:19" x14ac:dyDescent="0.35">
      <c r="A4429" s="26" t="s">
        <v>543</v>
      </c>
      <c r="B4429" s="26" t="s">
        <v>543</v>
      </c>
      <c r="C4429" s="26"/>
      <c r="D4429" s="26" t="s">
        <v>543</v>
      </c>
      <c r="E4429" s="26" t="str">
        <f>IFERROR(VLOOKUP(G4429,WholesaleExtract!B:J,9,FALSE),"")</f>
        <v/>
      </c>
      <c r="F4429" s="26" t="str">
        <f>IFERROR(VLOOKUP(G4429,WholesaleExtract!B:J,6,FALSE),"")</f>
        <v/>
      </c>
      <c r="H4429" s="47" t="str">
        <f>IFERROR(VLOOKUP(G4429,WholesaleExtract!B:L,11,FALSE),"")</f>
        <v/>
      </c>
      <c r="I4429" s="26" t="str">
        <f>IFERROR(VLOOKUP(G4429,WholesaleExtract!B:O,8,FALSE),"")</f>
        <v/>
      </c>
      <c r="J4429" s="26" t="str">
        <f>IFERROR(VLOOKUP(G4429,WholesaleExtract!B:O,14,FALSE),"")</f>
        <v/>
      </c>
      <c r="K4429" s="26" t="str">
        <f>IFERROR(VLOOKUP(G4429,WholesaleExtract!B:K,10,FALSE),"")</f>
        <v/>
      </c>
      <c r="L4429" s="47" t="str">
        <f>IFERROR(VLOOKUP(G4429,WholesaleExtract!B:L,11,FALSE),"")</f>
        <v/>
      </c>
      <c r="M4429" s="47" t="str">
        <f>IFERROR(VLOOKUP(G4429,WholesaleExtract!B:M,12,FALSE),"")</f>
        <v/>
      </c>
      <c r="R4429" s="19"/>
      <c r="S4429" s="19"/>
    </row>
    <row r="4430" spans="1:19" x14ac:dyDescent="0.35">
      <c r="A4430" s="26" t="s">
        <v>543</v>
      </c>
      <c r="B4430" s="26" t="s">
        <v>543</v>
      </c>
      <c r="C4430" s="26"/>
      <c r="D4430" s="26" t="s">
        <v>543</v>
      </c>
      <c r="E4430" s="26" t="str">
        <f>IFERROR(VLOOKUP(G4430,WholesaleExtract!B:J,9,FALSE),"")</f>
        <v/>
      </c>
      <c r="F4430" s="26" t="str">
        <f>IFERROR(VLOOKUP(G4430,WholesaleExtract!B:J,6,FALSE),"")</f>
        <v/>
      </c>
      <c r="H4430" s="47" t="str">
        <f>IFERROR(VLOOKUP(G4430,WholesaleExtract!B:L,11,FALSE),"")</f>
        <v/>
      </c>
      <c r="I4430" s="26" t="str">
        <f>IFERROR(VLOOKUP(G4430,WholesaleExtract!B:O,8,FALSE),"")</f>
        <v/>
      </c>
      <c r="J4430" s="26" t="str">
        <f>IFERROR(VLOOKUP(G4430,WholesaleExtract!B:O,14,FALSE),"")</f>
        <v/>
      </c>
      <c r="K4430" s="26" t="str">
        <f>IFERROR(VLOOKUP(G4430,WholesaleExtract!B:K,10,FALSE),"")</f>
        <v/>
      </c>
      <c r="L4430" s="47" t="str">
        <f>IFERROR(VLOOKUP(G4430,WholesaleExtract!B:L,11,FALSE),"")</f>
        <v/>
      </c>
      <c r="M4430" s="47" t="str">
        <f>IFERROR(VLOOKUP(G4430,WholesaleExtract!B:M,12,FALSE),"")</f>
        <v/>
      </c>
      <c r="R4430" s="19"/>
      <c r="S4430" s="19"/>
    </row>
    <row r="4431" spans="1:19" x14ac:dyDescent="0.35">
      <c r="A4431" s="26" t="s">
        <v>543</v>
      </c>
      <c r="B4431" s="26" t="s">
        <v>543</v>
      </c>
      <c r="C4431" s="26"/>
      <c r="D4431" s="26" t="s">
        <v>543</v>
      </c>
      <c r="E4431" s="26" t="str">
        <f>IFERROR(VLOOKUP(G4431,WholesaleExtract!B:J,9,FALSE),"")</f>
        <v/>
      </c>
      <c r="F4431" s="26" t="str">
        <f>IFERROR(VLOOKUP(G4431,WholesaleExtract!B:J,6,FALSE),"")</f>
        <v/>
      </c>
      <c r="H4431" s="47" t="str">
        <f>IFERROR(VLOOKUP(G4431,WholesaleExtract!B:L,11,FALSE),"")</f>
        <v/>
      </c>
      <c r="I4431" s="26" t="str">
        <f>IFERROR(VLOOKUP(G4431,WholesaleExtract!B:O,8,FALSE),"")</f>
        <v/>
      </c>
      <c r="J4431" s="26" t="str">
        <f>IFERROR(VLOOKUP(G4431,WholesaleExtract!B:O,14,FALSE),"")</f>
        <v/>
      </c>
      <c r="K4431" s="26" t="str">
        <f>IFERROR(VLOOKUP(G4431,WholesaleExtract!B:K,10,FALSE),"")</f>
        <v/>
      </c>
      <c r="L4431" s="47" t="str">
        <f>IFERROR(VLOOKUP(G4431,WholesaleExtract!B:L,11,FALSE),"")</f>
        <v/>
      </c>
      <c r="M4431" s="47" t="str">
        <f>IFERROR(VLOOKUP(G4431,WholesaleExtract!B:M,12,FALSE),"")</f>
        <v/>
      </c>
      <c r="R4431" s="19"/>
      <c r="S4431" s="19"/>
    </row>
    <row r="4432" spans="1:19" x14ac:dyDescent="0.35">
      <c r="A4432" s="26" t="s">
        <v>543</v>
      </c>
      <c r="B4432" s="26" t="s">
        <v>543</v>
      </c>
      <c r="C4432" s="26"/>
      <c r="D4432" s="26" t="s">
        <v>543</v>
      </c>
      <c r="E4432" s="26" t="str">
        <f>IFERROR(VLOOKUP(G4432,WholesaleExtract!B:J,9,FALSE),"")</f>
        <v/>
      </c>
      <c r="F4432" s="26" t="str">
        <f>IFERROR(VLOOKUP(G4432,WholesaleExtract!B:J,6,FALSE),"")</f>
        <v/>
      </c>
      <c r="H4432" s="47" t="str">
        <f>IFERROR(VLOOKUP(G4432,WholesaleExtract!B:L,11,FALSE),"")</f>
        <v/>
      </c>
      <c r="I4432" s="26" t="str">
        <f>IFERROR(VLOOKUP(G4432,WholesaleExtract!B:O,8,FALSE),"")</f>
        <v/>
      </c>
      <c r="J4432" s="26" t="str">
        <f>IFERROR(VLOOKUP(G4432,WholesaleExtract!B:O,14,FALSE),"")</f>
        <v/>
      </c>
      <c r="K4432" s="26" t="str">
        <f>IFERROR(VLOOKUP(G4432,WholesaleExtract!B:K,10,FALSE),"")</f>
        <v/>
      </c>
      <c r="L4432" s="47" t="str">
        <f>IFERROR(VLOOKUP(G4432,WholesaleExtract!B:L,11,FALSE),"")</f>
        <v/>
      </c>
      <c r="M4432" s="47" t="str">
        <f>IFERROR(VLOOKUP(G4432,WholesaleExtract!B:M,12,FALSE),"")</f>
        <v/>
      </c>
      <c r="R4432" s="19"/>
      <c r="S4432" s="19"/>
    </row>
    <row r="4433" spans="1:19" x14ac:dyDescent="0.35">
      <c r="A4433" s="26" t="s">
        <v>543</v>
      </c>
      <c r="B4433" s="26" t="s">
        <v>543</v>
      </c>
      <c r="C4433" s="26"/>
      <c r="D4433" s="26" t="s">
        <v>543</v>
      </c>
      <c r="E4433" s="26" t="str">
        <f>IFERROR(VLOOKUP(G4433,WholesaleExtract!B:J,9,FALSE),"")</f>
        <v/>
      </c>
      <c r="F4433" s="26" t="str">
        <f>IFERROR(VLOOKUP(G4433,WholesaleExtract!B:J,6,FALSE),"")</f>
        <v/>
      </c>
      <c r="H4433" s="47" t="str">
        <f>IFERROR(VLOOKUP(G4433,WholesaleExtract!B:L,11,FALSE),"")</f>
        <v/>
      </c>
      <c r="I4433" s="26" t="str">
        <f>IFERROR(VLOOKUP(G4433,WholesaleExtract!B:O,8,FALSE),"")</f>
        <v/>
      </c>
      <c r="J4433" s="26" t="str">
        <f>IFERROR(VLOOKUP(G4433,WholesaleExtract!B:O,14,FALSE),"")</f>
        <v/>
      </c>
      <c r="K4433" s="26" t="str">
        <f>IFERROR(VLOOKUP(G4433,WholesaleExtract!B:K,10,FALSE),"")</f>
        <v/>
      </c>
      <c r="L4433" s="47" t="str">
        <f>IFERROR(VLOOKUP(G4433,WholesaleExtract!B:L,11,FALSE),"")</f>
        <v/>
      </c>
      <c r="M4433" s="47" t="str">
        <f>IFERROR(VLOOKUP(G4433,WholesaleExtract!B:M,12,FALSE),"")</f>
        <v/>
      </c>
      <c r="R4433" s="19"/>
      <c r="S4433" s="19"/>
    </row>
    <row r="4434" spans="1:19" x14ac:dyDescent="0.35">
      <c r="A4434" s="26" t="s">
        <v>543</v>
      </c>
      <c r="B4434" s="26" t="s">
        <v>543</v>
      </c>
      <c r="C4434" s="26"/>
      <c r="D4434" s="26" t="s">
        <v>543</v>
      </c>
      <c r="E4434" s="26" t="str">
        <f>IFERROR(VLOOKUP(G4434,WholesaleExtract!B:J,9,FALSE),"")</f>
        <v/>
      </c>
      <c r="F4434" s="26" t="str">
        <f>IFERROR(VLOOKUP(G4434,WholesaleExtract!B:J,6,FALSE),"")</f>
        <v/>
      </c>
      <c r="H4434" s="47" t="str">
        <f>IFERROR(VLOOKUP(G4434,WholesaleExtract!B:L,11,FALSE),"")</f>
        <v/>
      </c>
      <c r="I4434" s="26" t="str">
        <f>IFERROR(VLOOKUP(G4434,WholesaleExtract!B:O,8,FALSE),"")</f>
        <v/>
      </c>
      <c r="J4434" s="26" t="str">
        <f>IFERROR(VLOOKUP(G4434,WholesaleExtract!B:O,14,FALSE),"")</f>
        <v/>
      </c>
      <c r="K4434" s="26" t="str">
        <f>IFERROR(VLOOKUP(G4434,WholesaleExtract!B:K,10,FALSE),"")</f>
        <v/>
      </c>
      <c r="L4434" s="47" t="str">
        <f>IFERROR(VLOOKUP(G4434,WholesaleExtract!B:L,11,FALSE),"")</f>
        <v/>
      </c>
      <c r="M4434" s="47" t="str">
        <f>IFERROR(VLOOKUP(G4434,WholesaleExtract!B:M,12,FALSE),"")</f>
        <v/>
      </c>
      <c r="R4434" s="19"/>
      <c r="S4434" s="19"/>
    </row>
    <row r="4435" spans="1:19" x14ac:dyDescent="0.35">
      <c r="A4435" s="26" t="s">
        <v>543</v>
      </c>
      <c r="B4435" s="26" t="s">
        <v>543</v>
      </c>
      <c r="C4435" s="26"/>
      <c r="D4435" s="26" t="s">
        <v>543</v>
      </c>
      <c r="E4435" s="26" t="str">
        <f>IFERROR(VLOOKUP(G4435,WholesaleExtract!B:J,9,FALSE),"")</f>
        <v/>
      </c>
      <c r="F4435" s="26" t="str">
        <f>IFERROR(VLOOKUP(G4435,WholesaleExtract!B:J,6,FALSE),"")</f>
        <v/>
      </c>
      <c r="H4435" s="47" t="str">
        <f>IFERROR(VLOOKUP(G4435,WholesaleExtract!B:L,11,FALSE),"")</f>
        <v/>
      </c>
      <c r="I4435" s="26" t="str">
        <f>IFERROR(VLOOKUP(G4435,WholesaleExtract!B:O,8,FALSE),"")</f>
        <v/>
      </c>
      <c r="J4435" s="26" t="str">
        <f>IFERROR(VLOOKUP(G4435,WholesaleExtract!B:O,14,FALSE),"")</f>
        <v/>
      </c>
      <c r="K4435" s="26" t="str">
        <f>IFERROR(VLOOKUP(G4435,WholesaleExtract!B:K,10,FALSE),"")</f>
        <v/>
      </c>
      <c r="L4435" s="47" t="str">
        <f>IFERROR(VLOOKUP(G4435,WholesaleExtract!B:L,11,FALSE),"")</f>
        <v/>
      </c>
      <c r="M4435" s="47" t="str">
        <f>IFERROR(VLOOKUP(G4435,WholesaleExtract!B:M,12,FALSE),"")</f>
        <v/>
      </c>
      <c r="R4435" s="19"/>
      <c r="S4435" s="19"/>
    </row>
    <row r="4436" spans="1:19" x14ac:dyDescent="0.35">
      <c r="A4436" s="26" t="s">
        <v>543</v>
      </c>
      <c r="B4436" s="26" t="s">
        <v>543</v>
      </c>
      <c r="C4436" s="26"/>
      <c r="D4436" s="26" t="s">
        <v>543</v>
      </c>
      <c r="E4436" s="26" t="str">
        <f>IFERROR(VLOOKUP(G4436,WholesaleExtract!B:J,9,FALSE),"")</f>
        <v/>
      </c>
      <c r="F4436" s="26" t="str">
        <f>IFERROR(VLOOKUP(G4436,WholesaleExtract!B:J,6,FALSE),"")</f>
        <v/>
      </c>
      <c r="H4436" s="47" t="str">
        <f>IFERROR(VLOOKUP(G4436,WholesaleExtract!B:L,11,FALSE),"")</f>
        <v/>
      </c>
      <c r="I4436" s="26" t="str">
        <f>IFERROR(VLOOKUP(G4436,WholesaleExtract!B:O,8,FALSE),"")</f>
        <v/>
      </c>
      <c r="J4436" s="26" t="str">
        <f>IFERROR(VLOOKUP(G4436,WholesaleExtract!B:O,14,FALSE),"")</f>
        <v/>
      </c>
      <c r="K4436" s="26" t="str">
        <f>IFERROR(VLOOKUP(G4436,WholesaleExtract!B:K,10,FALSE),"")</f>
        <v/>
      </c>
      <c r="L4436" s="47" t="str">
        <f>IFERROR(VLOOKUP(G4436,WholesaleExtract!B:L,11,FALSE),"")</f>
        <v/>
      </c>
      <c r="M4436" s="47" t="str">
        <f>IFERROR(VLOOKUP(G4436,WholesaleExtract!B:M,12,FALSE),"")</f>
        <v/>
      </c>
      <c r="R4436" s="19"/>
      <c r="S4436" s="19"/>
    </row>
    <row r="4437" spans="1:19" x14ac:dyDescent="0.35">
      <c r="A4437" s="26" t="s">
        <v>543</v>
      </c>
      <c r="B4437" s="26" t="s">
        <v>543</v>
      </c>
      <c r="C4437" s="26"/>
      <c r="D4437" s="26" t="s">
        <v>543</v>
      </c>
      <c r="E4437" s="26" t="str">
        <f>IFERROR(VLOOKUP(G4437,WholesaleExtract!B:J,9,FALSE),"")</f>
        <v/>
      </c>
      <c r="F4437" s="26" t="str">
        <f>IFERROR(VLOOKUP(G4437,WholesaleExtract!B:J,6,FALSE),"")</f>
        <v/>
      </c>
      <c r="H4437" s="47" t="str">
        <f>IFERROR(VLOOKUP(G4437,WholesaleExtract!B:L,11,FALSE),"")</f>
        <v/>
      </c>
      <c r="I4437" s="26" t="str">
        <f>IFERROR(VLOOKUP(G4437,WholesaleExtract!B:O,8,FALSE),"")</f>
        <v/>
      </c>
      <c r="J4437" s="26" t="str">
        <f>IFERROR(VLOOKUP(G4437,WholesaleExtract!B:O,14,FALSE),"")</f>
        <v/>
      </c>
      <c r="K4437" s="26" t="str">
        <f>IFERROR(VLOOKUP(G4437,WholesaleExtract!B:K,10,FALSE),"")</f>
        <v/>
      </c>
      <c r="L4437" s="47" t="str">
        <f>IFERROR(VLOOKUP(G4437,WholesaleExtract!B:L,11,FALSE),"")</f>
        <v/>
      </c>
      <c r="M4437" s="47" t="str">
        <f>IFERROR(VLOOKUP(G4437,WholesaleExtract!B:M,12,FALSE),"")</f>
        <v/>
      </c>
      <c r="R4437" s="19"/>
      <c r="S4437" s="19"/>
    </row>
    <row r="4438" spans="1:19" x14ac:dyDescent="0.35">
      <c r="A4438" s="26" t="s">
        <v>543</v>
      </c>
      <c r="B4438" s="26" t="s">
        <v>543</v>
      </c>
      <c r="C4438" s="26"/>
      <c r="D4438" s="26" t="s">
        <v>543</v>
      </c>
      <c r="E4438" s="26" t="str">
        <f>IFERROR(VLOOKUP(G4438,WholesaleExtract!B:J,9,FALSE),"")</f>
        <v/>
      </c>
      <c r="F4438" s="26" t="str">
        <f>IFERROR(VLOOKUP(G4438,WholesaleExtract!B:J,6,FALSE),"")</f>
        <v/>
      </c>
      <c r="H4438" s="47" t="str">
        <f>IFERROR(VLOOKUP(G4438,WholesaleExtract!B:L,11,FALSE),"")</f>
        <v/>
      </c>
      <c r="I4438" s="26" t="str">
        <f>IFERROR(VLOOKUP(G4438,WholesaleExtract!B:O,8,FALSE),"")</f>
        <v/>
      </c>
      <c r="J4438" s="26" t="str">
        <f>IFERROR(VLOOKUP(G4438,WholesaleExtract!B:O,14,FALSE),"")</f>
        <v/>
      </c>
      <c r="K4438" s="26" t="str">
        <f>IFERROR(VLOOKUP(G4438,WholesaleExtract!B:K,10,FALSE),"")</f>
        <v/>
      </c>
      <c r="L4438" s="47" t="str">
        <f>IFERROR(VLOOKUP(G4438,WholesaleExtract!B:L,11,FALSE),"")</f>
        <v/>
      </c>
      <c r="M4438" s="47" t="str">
        <f>IFERROR(VLOOKUP(G4438,WholesaleExtract!B:M,12,FALSE),"")</f>
        <v/>
      </c>
      <c r="R4438" s="19"/>
      <c r="S4438" s="19"/>
    </row>
    <row r="4439" spans="1:19" x14ac:dyDescent="0.35">
      <c r="A4439" s="26" t="s">
        <v>543</v>
      </c>
      <c r="B4439" s="26" t="s">
        <v>543</v>
      </c>
      <c r="C4439" s="26"/>
      <c r="D4439" s="26" t="s">
        <v>543</v>
      </c>
      <c r="E4439" s="26" t="str">
        <f>IFERROR(VLOOKUP(G4439,WholesaleExtract!B:J,9,FALSE),"")</f>
        <v/>
      </c>
      <c r="F4439" s="26" t="str">
        <f>IFERROR(VLOOKUP(G4439,WholesaleExtract!B:J,6,FALSE),"")</f>
        <v/>
      </c>
      <c r="H4439" s="47" t="str">
        <f>IFERROR(VLOOKUP(G4439,WholesaleExtract!B:L,11,FALSE),"")</f>
        <v/>
      </c>
      <c r="I4439" s="26" t="str">
        <f>IFERROR(VLOOKUP(G4439,WholesaleExtract!B:O,8,FALSE),"")</f>
        <v/>
      </c>
      <c r="J4439" s="26" t="str">
        <f>IFERROR(VLOOKUP(G4439,WholesaleExtract!B:O,14,FALSE),"")</f>
        <v/>
      </c>
      <c r="K4439" s="26" t="str">
        <f>IFERROR(VLOOKUP(G4439,WholesaleExtract!B:K,10,FALSE),"")</f>
        <v/>
      </c>
      <c r="L4439" s="47" t="str">
        <f>IFERROR(VLOOKUP(G4439,WholesaleExtract!B:L,11,FALSE),"")</f>
        <v/>
      </c>
      <c r="M4439" s="47" t="str">
        <f>IFERROR(VLOOKUP(G4439,WholesaleExtract!B:M,12,FALSE),"")</f>
        <v/>
      </c>
      <c r="R4439" s="19"/>
      <c r="S4439" s="19"/>
    </row>
    <row r="4440" spans="1:19" x14ac:dyDescent="0.35">
      <c r="A4440" s="26" t="s">
        <v>543</v>
      </c>
      <c r="B4440" s="26" t="s">
        <v>543</v>
      </c>
      <c r="C4440" s="26"/>
      <c r="D4440" s="26" t="s">
        <v>543</v>
      </c>
      <c r="E4440" s="26" t="str">
        <f>IFERROR(VLOOKUP(G4440,WholesaleExtract!B:J,9,FALSE),"")</f>
        <v/>
      </c>
      <c r="F4440" s="26" t="str">
        <f>IFERROR(VLOOKUP(G4440,WholesaleExtract!B:J,6,FALSE),"")</f>
        <v/>
      </c>
      <c r="H4440" s="47" t="str">
        <f>IFERROR(VLOOKUP(G4440,WholesaleExtract!B:L,11,FALSE),"")</f>
        <v/>
      </c>
      <c r="I4440" s="26" t="str">
        <f>IFERROR(VLOOKUP(G4440,WholesaleExtract!B:O,8,FALSE),"")</f>
        <v/>
      </c>
      <c r="J4440" s="26" t="str">
        <f>IFERROR(VLOOKUP(G4440,WholesaleExtract!B:O,14,FALSE),"")</f>
        <v/>
      </c>
      <c r="K4440" s="26" t="str">
        <f>IFERROR(VLOOKUP(G4440,WholesaleExtract!B:K,10,FALSE),"")</f>
        <v/>
      </c>
      <c r="L4440" s="47" t="str">
        <f>IFERROR(VLOOKUP(G4440,WholesaleExtract!B:L,11,FALSE),"")</f>
        <v/>
      </c>
      <c r="M4440" s="47" t="str">
        <f>IFERROR(VLOOKUP(G4440,WholesaleExtract!B:M,12,FALSE),"")</f>
        <v/>
      </c>
      <c r="R4440" s="19"/>
      <c r="S4440" s="19"/>
    </row>
    <row r="4441" spans="1:19" x14ac:dyDescent="0.35">
      <c r="A4441" s="26" t="s">
        <v>543</v>
      </c>
      <c r="B4441" s="26" t="s">
        <v>543</v>
      </c>
      <c r="C4441" s="26"/>
      <c r="D4441" s="26" t="s">
        <v>543</v>
      </c>
      <c r="E4441" s="26" t="str">
        <f>IFERROR(VLOOKUP(G4441,WholesaleExtract!B:J,9,FALSE),"")</f>
        <v/>
      </c>
      <c r="F4441" s="26" t="str">
        <f>IFERROR(VLOOKUP(G4441,WholesaleExtract!B:J,6,FALSE),"")</f>
        <v/>
      </c>
      <c r="H4441" s="47" t="str">
        <f>IFERROR(VLOOKUP(G4441,WholesaleExtract!B:L,11,FALSE),"")</f>
        <v/>
      </c>
      <c r="I4441" s="26" t="str">
        <f>IFERROR(VLOOKUP(G4441,WholesaleExtract!B:O,8,FALSE),"")</f>
        <v/>
      </c>
      <c r="J4441" s="26" t="str">
        <f>IFERROR(VLOOKUP(G4441,WholesaleExtract!B:O,14,FALSE),"")</f>
        <v/>
      </c>
      <c r="K4441" s="26" t="str">
        <f>IFERROR(VLOOKUP(G4441,WholesaleExtract!B:K,10,FALSE),"")</f>
        <v/>
      </c>
      <c r="L4441" s="47" t="str">
        <f>IFERROR(VLOOKUP(G4441,WholesaleExtract!B:L,11,FALSE),"")</f>
        <v/>
      </c>
      <c r="M4441" s="47" t="str">
        <f>IFERROR(VLOOKUP(G4441,WholesaleExtract!B:M,12,FALSE),"")</f>
        <v/>
      </c>
      <c r="R4441" s="19"/>
      <c r="S4441" s="19"/>
    </row>
    <row r="4442" spans="1:19" x14ac:dyDescent="0.35">
      <c r="A4442" s="26" t="s">
        <v>543</v>
      </c>
      <c r="B4442" s="26" t="s">
        <v>543</v>
      </c>
      <c r="C4442" s="26"/>
      <c r="D4442" s="26" t="s">
        <v>543</v>
      </c>
      <c r="E4442" s="26" t="str">
        <f>IFERROR(VLOOKUP(G4442,WholesaleExtract!B:J,9,FALSE),"")</f>
        <v/>
      </c>
      <c r="F4442" s="26" t="str">
        <f>IFERROR(VLOOKUP(G4442,WholesaleExtract!B:J,6,FALSE),"")</f>
        <v/>
      </c>
      <c r="H4442" s="47" t="str">
        <f>IFERROR(VLOOKUP(G4442,WholesaleExtract!B:L,11,FALSE),"")</f>
        <v/>
      </c>
      <c r="I4442" s="26" t="str">
        <f>IFERROR(VLOOKUP(G4442,WholesaleExtract!B:O,8,FALSE),"")</f>
        <v/>
      </c>
      <c r="J4442" s="26" t="str">
        <f>IFERROR(VLOOKUP(G4442,WholesaleExtract!B:O,14,FALSE),"")</f>
        <v/>
      </c>
      <c r="K4442" s="26" t="str">
        <f>IFERROR(VLOOKUP(G4442,WholesaleExtract!B:K,10,FALSE),"")</f>
        <v/>
      </c>
      <c r="L4442" s="47" t="str">
        <f>IFERROR(VLOOKUP(G4442,WholesaleExtract!B:L,11,FALSE),"")</f>
        <v/>
      </c>
      <c r="M4442" s="47" t="str">
        <f>IFERROR(VLOOKUP(G4442,WholesaleExtract!B:M,12,FALSE),"")</f>
        <v/>
      </c>
      <c r="R4442" s="19"/>
      <c r="S4442" s="19"/>
    </row>
    <row r="4443" spans="1:19" x14ac:dyDescent="0.35">
      <c r="A4443" s="26" t="s">
        <v>543</v>
      </c>
      <c r="B4443" s="26" t="s">
        <v>543</v>
      </c>
      <c r="C4443" s="26"/>
      <c r="D4443" s="26" t="s">
        <v>543</v>
      </c>
      <c r="E4443" s="26" t="str">
        <f>IFERROR(VLOOKUP(G4443,WholesaleExtract!B:J,9,FALSE),"")</f>
        <v/>
      </c>
      <c r="F4443" s="26" t="str">
        <f>IFERROR(VLOOKUP(G4443,WholesaleExtract!B:J,6,FALSE),"")</f>
        <v/>
      </c>
      <c r="H4443" s="47" t="str">
        <f>IFERROR(VLOOKUP(G4443,WholesaleExtract!B:L,11,FALSE),"")</f>
        <v/>
      </c>
      <c r="I4443" s="26" t="str">
        <f>IFERROR(VLOOKUP(G4443,WholesaleExtract!B:O,8,FALSE),"")</f>
        <v/>
      </c>
      <c r="J4443" s="26" t="str">
        <f>IFERROR(VLOOKUP(G4443,WholesaleExtract!B:O,14,FALSE),"")</f>
        <v/>
      </c>
      <c r="K4443" s="26" t="str">
        <f>IFERROR(VLOOKUP(G4443,WholesaleExtract!B:K,10,FALSE),"")</f>
        <v/>
      </c>
      <c r="L4443" s="47" t="str">
        <f>IFERROR(VLOOKUP(G4443,WholesaleExtract!B:L,11,FALSE),"")</f>
        <v/>
      </c>
      <c r="M4443" s="47" t="str">
        <f>IFERROR(VLOOKUP(G4443,WholesaleExtract!B:M,12,FALSE),"")</f>
        <v/>
      </c>
      <c r="R4443" s="19"/>
      <c r="S4443" s="19"/>
    </row>
    <row r="4444" spans="1:19" x14ac:dyDescent="0.35">
      <c r="A4444" s="26" t="s">
        <v>543</v>
      </c>
      <c r="B4444" s="26" t="s">
        <v>543</v>
      </c>
      <c r="C4444" s="26"/>
      <c r="D4444" s="26" t="s">
        <v>543</v>
      </c>
      <c r="E4444" s="26" t="str">
        <f>IFERROR(VLOOKUP(G4444,WholesaleExtract!B:J,9,FALSE),"")</f>
        <v/>
      </c>
      <c r="F4444" s="26" t="str">
        <f>IFERROR(VLOOKUP(G4444,WholesaleExtract!B:J,6,FALSE),"")</f>
        <v/>
      </c>
      <c r="H4444" s="47" t="str">
        <f>IFERROR(VLOOKUP(G4444,WholesaleExtract!B:L,11,FALSE),"")</f>
        <v/>
      </c>
      <c r="I4444" s="26" t="str">
        <f>IFERROR(VLOOKUP(G4444,WholesaleExtract!B:O,8,FALSE),"")</f>
        <v/>
      </c>
      <c r="J4444" s="26" t="str">
        <f>IFERROR(VLOOKUP(G4444,WholesaleExtract!B:O,14,FALSE),"")</f>
        <v/>
      </c>
      <c r="K4444" s="26" t="str">
        <f>IFERROR(VLOOKUP(G4444,WholesaleExtract!B:K,10,FALSE),"")</f>
        <v/>
      </c>
      <c r="L4444" s="47" t="str">
        <f>IFERROR(VLOOKUP(G4444,WholesaleExtract!B:L,11,FALSE),"")</f>
        <v/>
      </c>
      <c r="M4444" s="47" t="str">
        <f>IFERROR(VLOOKUP(G4444,WholesaleExtract!B:M,12,FALSE),"")</f>
        <v/>
      </c>
      <c r="R4444" s="19"/>
      <c r="S4444" s="19"/>
    </row>
    <row r="4445" spans="1:19" x14ac:dyDescent="0.35">
      <c r="A4445" s="26" t="s">
        <v>543</v>
      </c>
      <c r="B4445" s="26" t="s">
        <v>543</v>
      </c>
      <c r="C4445" s="26"/>
      <c r="D4445" s="26" t="s">
        <v>543</v>
      </c>
      <c r="E4445" s="26" t="str">
        <f>IFERROR(VLOOKUP(G4445,WholesaleExtract!B:J,9,FALSE),"")</f>
        <v/>
      </c>
      <c r="F4445" s="26" t="str">
        <f>IFERROR(VLOOKUP(G4445,WholesaleExtract!B:J,6,FALSE),"")</f>
        <v/>
      </c>
      <c r="H4445" s="47" t="str">
        <f>IFERROR(VLOOKUP(G4445,WholesaleExtract!B:L,11,FALSE),"")</f>
        <v/>
      </c>
      <c r="I4445" s="26" t="str">
        <f>IFERROR(VLOOKUP(G4445,WholesaleExtract!B:O,8,FALSE),"")</f>
        <v/>
      </c>
      <c r="J4445" s="26" t="str">
        <f>IFERROR(VLOOKUP(G4445,WholesaleExtract!B:O,14,FALSE),"")</f>
        <v/>
      </c>
      <c r="K4445" s="26" t="str">
        <f>IFERROR(VLOOKUP(G4445,WholesaleExtract!B:K,10,FALSE),"")</f>
        <v/>
      </c>
      <c r="L4445" s="47" t="str">
        <f>IFERROR(VLOOKUP(G4445,WholesaleExtract!B:L,11,FALSE),"")</f>
        <v/>
      </c>
      <c r="M4445" s="47" t="str">
        <f>IFERROR(VLOOKUP(G4445,WholesaleExtract!B:M,12,FALSE),"")</f>
        <v/>
      </c>
      <c r="R4445" s="19"/>
      <c r="S4445" s="19"/>
    </row>
    <row r="4446" spans="1:19" x14ac:dyDescent="0.35">
      <c r="A4446" s="26" t="s">
        <v>543</v>
      </c>
      <c r="B4446" s="26" t="s">
        <v>543</v>
      </c>
      <c r="C4446" s="26"/>
      <c r="D4446" s="26" t="s">
        <v>543</v>
      </c>
      <c r="E4446" s="26" t="str">
        <f>IFERROR(VLOOKUP(G4446,WholesaleExtract!B:J,9,FALSE),"")</f>
        <v/>
      </c>
      <c r="F4446" s="26" t="str">
        <f>IFERROR(VLOOKUP(G4446,WholesaleExtract!B:J,6,FALSE),"")</f>
        <v/>
      </c>
      <c r="H4446" s="47" t="str">
        <f>IFERROR(VLOOKUP(G4446,WholesaleExtract!B:L,11,FALSE),"")</f>
        <v/>
      </c>
      <c r="I4446" s="26" t="str">
        <f>IFERROR(VLOOKUP(G4446,WholesaleExtract!B:O,8,FALSE),"")</f>
        <v/>
      </c>
      <c r="J4446" s="26" t="str">
        <f>IFERROR(VLOOKUP(G4446,WholesaleExtract!B:O,14,FALSE),"")</f>
        <v/>
      </c>
      <c r="K4446" s="26" t="str">
        <f>IFERROR(VLOOKUP(G4446,WholesaleExtract!B:K,10,FALSE),"")</f>
        <v/>
      </c>
      <c r="L4446" s="47" t="str">
        <f>IFERROR(VLOOKUP(G4446,WholesaleExtract!B:L,11,FALSE),"")</f>
        <v/>
      </c>
      <c r="M4446" s="47" t="str">
        <f>IFERROR(VLOOKUP(G4446,WholesaleExtract!B:M,12,FALSE),"")</f>
        <v/>
      </c>
      <c r="R4446" s="19"/>
      <c r="S4446" s="19"/>
    </row>
    <row r="4447" spans="1:19" x14ac:dyDescent="0.35">
      <c r="A4447" s="26" t="s">
        <v>543</v>
      </c>
      <c r="B4447" s="26" t="s">
        <v>543</v>
      </c>
      <c r="C4447" s="26"/>
      <c r="D4447" s="26" t="s">
        <v>543</v>
      </c>
      <c r="E4447" s="26" t="str">
        <f>IFERROR(VLOOKUP(G4447,WholesaleExtract!B:J,9,FALSE),"")</f>
        <v/>
      </c>
      <c r="F4447" s="26" t="str">
        <f>IFERROR(VLOOKUP(G4447,WholesaleExtract!B:J,6,FALSE),"")</f>
        <v/>
      </c>
      <c r="H4447" s="47" t="str">
        <f>IFERROR(VLOOKUP(G4447,WholesaleExtract!B:L,11,FALSE),"")</f>
        <v/>
      </c>
      <c r="I4447" s="26" t="str">
        <f>IFERROR(VLOOKUP(G4447,WholesaleExtract!B:O,8,FALSE),"")</f>
        <v/>
      </c>
      <c r="J4447" s="26" t="str">
        <f>IFERROR(VLOOKUP(G4447,WholesaleExtract!B:O,14,FALSE),"")</f>
        <v/>
      </c>
      <c r="K4447" s="26" t="str">
        <f>IFERROR(VLOOKUP(G4447,WholesaleExtract!B:K,10,FALSE),"")</f>
        <v/>
      </c>
      <c r="L4447" s="47" t="str">
        <f>IFERROR(VLOOKUP(G4447,WholesaleExtract!B:L,11,FALSE),"")</f>
        <v/>
      </c>
      <c r="M4447" s="47" t="str">
        <f>IFERROR(VLOOKUP(G4447,WholesaleExtract!B:M,12,FALSE),"")</f>
        <v/>
      </c>
      <c r="R4447" s="19"/>
      <c r="S4447" s="19"/>
    </row>
    <row r="4448" spans="1:19" x14ac:dyDescent="0.35">
      <c r="A4448" s="26" t="s">
        <v>543</v>
      </c>
      <c r="B4448" s="26" t="s">
        <v>543</v>
      </c>
      <c r="C4448" s="26"/>
      <c r="D4448" s="26" t="s">
        <v>543</v>
      </c>
      <c r="E4448" s="26" t="str">
        <f>IFERROR(VLOOKUP(G4448,WholesaleExtract!B:J,9,FALSE),"")</f>
        <v/>
      </c>
      <c r="F4448" s="26" t="str">
        <f>IFERROR(VLOOKUP(G4448,WholesaleExtract!B:J,6,FALSE),"")</f>
        <v/>
      </c>
      <c r="H4448" s="47" t="str">
        <f>IFERROR(VLOOKUP(G4448,WholesaleExtract!B:L,11,FALSE),"")</f>
        <v/>
      </c>
      <c r="I4448" s="26" t="str">
        <f>IFERROR(VLOOKUP(G4448,WholesaleExtract!B:O,8,FALSE),"")</f>
        <v/>
      </c>
      <c r="J4448" s="26" t="str">
        <f>IFERROR(VLOOKUP(G4448,WholesaleExtract!B:O,14,FALSE),"")</f>
        <v/>
      </c>
      <c r="K4448" s="26" t="str">
        <f>IFERROR(VLOOKUP(G4448,WholesaleExtract!B:K,10,FALSE),"")</f>
        <v/>
      </c>
      <c r="L4448" s="47" t="str">
        <f>IFERROR(VLOOKUP(G4448,WholesaleExtract!B:L,11,FALSE),"")</f>
        <v/>
      </c>
      <c r="M4448" s="47" t="str">
        <f>IFERROR(VLOOKUP(G4448,WholesaleExtract!B:M,12,FALSE),"")</f>
        <v/>
      </c>
      <c r="R4448" s="19"/>
      <c r="S4448" s="19"/>
    </row>
    <row r="4449" spans="1:19" x14ac:dyDescent="0.35">
      <c r="A4449" s="26" t="s">
        <v>543</v>
      </c>
      <c r="B4449" s="26" t="s">
        <v>543</v>
      </c>
      <c r="C4449" s="26"/>
      <c r="D4449" s="26" t="s">
        <v>543</v>
      </c>
      <c r="E4449" s="26" t="str">
        <f>IFERROR(VLOOKUP(G4449,WholesaleExtract!B:J,9,FALSE),"")</f>
        <v/>
      </c>
      <c r="F4449" s="26" t="str">
        <f>IFERROR(VLOOKUP(G4449,WholesaleExtract!B:J,6,FALSE),"")</f>
        <v/>
      </c>
      <c r="H4449" s="47" t="str">
        <f>IFERROR(VLOOKUP(G4449,WholesaleExtract!B:L,11,FALSE),"")</f>
        <v/>
      </c>
      <c r="I4449" s="26" t="str">
        <f>IFERROR(VLOOKUP(G4449,WholesaleExtract!B:O,8,FALSE),"")</f>
        <v/>
      </c>
      <c r="J4449" s="26" t="str">
        <f>IFERROR(VLOOKUP(G4449,WholesaleExtract!B:O,14,FALSE),"")</f>
        <v/>
      </c>
      <c r="K4449" s="26" t="str">
        <f>IFERROR(VLOOKUP(G4449,WholesaleExtract!B:K,10,FALSE),"")</f>
        <v/>
      </c>
      <c r="L4449" s="47" t="str">
        <f>IFERROR(VLOOKUP(G4449,WholesaleExtract!B:L,11,FALSE),"")</f>
        <v/>
      </c>
      <c r="M4449" s="47" t="str">
        <f>IFERROR(VLOOKUP(G4449,WholesaleExtract!B:M,12,FALSE),"")</f>
        <v/>
      </c>
      <c r="R4449" s="19"/>
      <c r="S4449" s="19"/>
    </row>
    <row r="4450" spans="1:19" x14ac:dyDescent="0.35">
      <c r="A4450" s="26" t="s">
        <v>543</v>
      </c>
      <c r="B4450" s="26" t="s">
        <v>543</v>
      </c>
      <c r="C4450" s="26"/>
      <c r="D4450" s="26" t="s">
        <v>543</v>
      </c>
      <c r="E4450" s="26" t="str">
        <f>IFERROR(VLOOKUP(G4450,WholesaleExtract!B:J,9,FALSE),"")</f>
        <v/>
      </c>
      <c r="F4450" s="26" t="str">
        <f>IFERROR(VLOOKUP(G4450,WholesaleExtract!B:J,6,FALSE),"")</f>
        <v/>
      </c>
      <c r="H4450" s="47" t="str">
        <f>IFERROR(VLOOKUP(G4450,WholesaleExtract!B:L,11,FALSE),"")</f>
        <v/>
      </c>
      <c r="I4450" s="26" t="str">
        <f>IFERROR(VLOOKUP(G4450,WholesaleExtract!B:O,8,FALSE),"")</f>
        <v/>
      </c>
      <c r="J4450" s="26" t="str">
        <f>IFERROR(VLOOKUP(G4450,WholesaleExtract!B:O,14,FALSE),"")</f>
        <v/>
      </c>
      <c r="K4450" s="26" t="str">
        <f>IFERROR(VLOOKUP(G4450,WholesaleExtract!B:K,10,FALSE),"")</f>
        <v/>
      </c>
      <c r="L4450" s="47" t="str">
        <f>IFERROR(VLOOKUP(G4450,WholesaleExtract!B:L,11,FALSE),"")</f>
        <v/>
      </c>
      <c r="M4450" s="47" t="str">
        <f>IFERROR(VLOOKUP(G4450,WholesaleExtract!B:M,12,FALSE),"")</f>
        <v/>
      </c>
      <c r="R4450" s="19"/>
      <c r="S4450" s="19"/>
    </row>
    <row r="4451" spans="1:19" x14ac:dyDescent="0.35">
      <c r="A4451" s="26" t="s">
        <v>543</v>
      </c>
      <c r="B4451" s="26" t="s">
        <v>543</v>
      </c>
      <c r="C4451" s="26"/>
      <c r="D4451" s="26" t="s">
        <v>543</v>
      </c>
      <c r="E4451" s="26" t="str">
        <f>IFERROR(VLOOKUP(G4451,WholesaleExtract!B:J,9,FALSE),"")</f>
        <v/>
      </c>
      <c r="F4451" s="26" t="str">
        <f>IFERROR(VLOOKUP(G4451,WholesaleExtract!B:J,6,FALSE),"")</f>
        <v/>
      </c>
      <c r="H4451" s="47" t="str">
        <f>IFERROR(VLOOKUP(G4451,WholesaleExtract!B:L,11,FALSE),"")</f>
        <v/>
      </c>
      <c r="I4451" s="26" t="str">
        <f>IFERROR(VLOOKUP(G4451,WholesaleExtract!B:O,8,FALSE),"")</f>
        <v/>
      </c>
      <c r="J4451" s="26" t="str">
        <f>IFERROR(VLOOKUP(G4451,WholesaleExtract!B:O,14,FALSE),"")</f>
        <v/>
      </c>
      <c r="K4451" s="26" t="str">
        <f>IFERROR(VLOOKUP(G4451,WholesaleExtract!B:K,10,FALSE),"")</f>
        <v/>
      </c>
      <c r="L4451" s="47" t="str">
        <f>IFERROR(VLOOKUP(G4451,WholesaleExtract!B:L,11,FALSE),"")</f>
        <v/>
      </c>
      <c r="M4451" s="47" t="str">
        <f>IFERROR(VLOOKUP(G4451,WholesaleExtract!B:M,12,FALSE),"")</f>
        <v/>
      </c>
      <c r="R4451" s="19"/>
      <c r="S4451" s="19"/>
    </row>
    <row r="4452" spans="1:19" x14ac:dyDescent="0.35">
      <c r="A4452" s="26" t="s">
        <v>543</v>
      </c>
      <c r="B4452" s="26" t="s">
        <v>543</v>
      </c>
      <c r="C4452" s="26"/>
      <c r="D4452" s="26" t="s">
        <v>543</v>
      </c>
      <c r="E4452" s="26" t="str">
        <f>IFERROR(VLOOKUP(G4452,WholesaleExtract!B:J,9,FALSE),"")</f>
        <v/>
      </c>
      <c r="F4452" s="26" t="str">
        <f>IFERROR(VLOOKUP(G4452,WholesaleExtract!B:J,6,FALSE),"")</f>
        <v/>
      </c>
      <c r="H4452" s="47" t="str">
        <f>IFERROR(VLOOKUP(G4452,WholesaleExtract!B:L,11,FALSE),"")</f>
        <v/>
      </c>
      <c r="I4452" s="26" t="str">
        <f>IFERROR(VLOOKUP(G4452,WholesaleExtract!B:O,8,FALSE),"")</f>
        <v/>
      </c>
      <c r="J4452" s="26" t="str">
        <f>IFERROR(VLOOKUP(G4452,WholesaleExtract!B:O,14,FALSE),"")</f>
        <v/>
      </c>
      <c r="K4452" s="26" t="str">
        <f>IFERROR(VLOOKUP(G4452,WholesaleExtract!B:K,10,FALSE),"")</f>
        <v/>
      </c>
      <c r="L4452" s="47" t="str">
        <f>IFERROR(VLOOKUP(G4452,WholesaleExtract!B:L,11,FALSE),"")</f>
        <v/>
      </c>
      <c r="M4452" s="47" t="str">
        <f>IFERROR(VLOOKUP(G4452,WholesaleExtract!B:M,12,FALSE),"")</f>
        <v/>
      </c>
      <c r="R4452" s="19"/>
      <c r="S4452" s="19"/>
    </row>
    <row r="4453" spans="1:19" x14ac:dyDescent="0.35">
      <c r="A4453" s="26" t="s">
        <v>543</v>
      </c>
      <c r="B4453" s="26" t="s">
        <v>543</v>
      </c>
      <c r="C4453" s="26"/>
      <c r="D4453" s="26" t="s">
        <v>543</v>
      </c>
      <c r="E4453" s="26" t="str">
        <f>IFERROR(VLOOKUP(G4453,WholesaleExtract!B:J,9,FALSE),"")</f>
        <v/>
      </c>
      <c r="F4453" s="26" t="str">
        <f>IFERROR(VLOOKUP(G4453,WholesaleExtract!B:J,6,FALSE),"")</f>
        <v/>
      </c>
      <c r="H4453" s="47" t="str">
        <f>IFERROR(VLOOKUP(G4453,WholesaleExtract!B:L,11,FALSE),"")</f>
        <v/>
      </c>
      <c r="I4453" s="26" t="str">
        <f>IFERROR(VLOOKUP(G4453,WholesaleExtract!B:O,8,FALSE),"")</f>
        <v/>
      </c>
      <c r="J4453" s="26" t="str">
        <f>IFERROR(VLOOKUP(G4453,WholesaleExtract!B:O,14,FALSE),"")</f>
        <v/>
      </c>
      <c r="K4453" s="26" t="str">
        <f>IFERROR(VLOOKUP(G4453,WholesaleExtract!B:K,10,FALSE),"")</f>
        <v/>
      </c>
      <c r="L4453" s="47" t="str">
        <f>IFERROR(VLOOKUP(G4453,WholesaleExtract!B:L,11,FALSE),"")</f>
        <v/>
      </c>
      <c r="M4453" s="47" t="str">
        <f>IFERROR(VLOOKUP(G4453,WholesaleExtract!B:M,12,FALSE),"")</f>
        <v/>
      </c>
      <c r="R4453" s="19"/>
      <c r="S4453" s="19"/>
    </row>
    <row r="4454" spans="1:19" x14ac:dyDescent="0.35">
      <c r="A4454" s="26" t="s">
        <v>543</v>
      </c>
      <c r="B4454" s="26" t="s">
        <v>543</v>
      </c>
      <c r="C4454" s="26"/>
      <c r="D4454" s="26" t="s">
        <v>543</v>
      </c>
      <c r="E4454" s="26" t="str">
        <f>IFERROR(VLOOKUP(G4454,WholesaleExtract!B:J,9,FALSE),"")</f>
        <v/>
      </c>
      <c r="F4454" s="26" t="str">
        <f>IFERROR(VLOOKUP(G4454,WholesaleExtract!B:J,6,FALSE),"")</f>
        <v/>
      </c>
      <c r="H4454" s="47" t="str">
        <f>IFERROR(VLOOKUP(G4454,WholesaleExtract!B:L,11,FALSE),"")</f>
        <v/>
      </c>
      <c r="I4454" s="26" t="str">
        <f>IFERROR(VLOOKUP(G4454,WholesaleExtract!B:O,8,FALSE),"")</f>
        <v/>
      </c>
      <c r="J4454" s="26" t="str">
        <f>IFERROR(VLOOKUP(G4454,WholesaleExtract!B:O,14,FALSE),"")</f>
        <v/>
      </c>
      <c r="K4454" s="26" t="str">
        <f>IFERROR(VLOOKUP(G4454,WholesaleExtract!B:K,10,FALSE),"")</f>
        <v/>
      </c>
      <c r="L4454" s="47" t="str">
        <f>IFERROR(VLOOKUP(G4454,WholesaleExtract!B:L,11,FALSE),"")</f>
        <v/>
      </c>
      <c r="M4454" s="47" t="str">
        <f>IFERROR(VLOOKUP(G4454,WholesaleExtract!B:M,12,FALSE),"")</f>
        <v/>
      </c>
      <c r="R4454" s="19"/>
      <c r="S4454" s="19"/>
    </row>
    <row r="4455" spans="1:19" x14ac:dyDescent="0.35">
      <c r="A4455" s="26" t="s">
        <v>543</v>
      </c>
      <c r="B4455" s="26" t="s">
        <v>543</v>
      </c>
      <c r="C4455" s="26"/>
      <c r="D4455" s="26" t="s">
        <v>543</v>
      </c>
      <c r="E4455" s="26" t="str">
        <f>IFERROR(VLOOKUP(G4455,WholesaleExtract!B:J,9,FALSE),"")</f>
        <v/>
      </c>
      <c r="F4455" s="26" t="str">
        <f>IFERROR(VLOOKUP(G4455,WholesaleExtract!B:J,6,FALSE),"")</f>
        <v/>
      </c>
      <c r="H4455" s="47" t="str">
        <f>IFERROR(VLOOKUP(G4455,WholesaleExtract!B:L,11,FALSE),"")</f>
        <v/>
      </c>
      <c r="I4455" s="26" t="str">
        <f>IFERROR(VLOOKUP(G4455,WholesaleExtract!B:O,8,FALSE),"")</f>
        <v/>
      </c>
      <c r="J4455" s="26" t="str">
        <f>IFERROR(VLOOKUP(G4455,WholesaleExtract!B:O,14,FALSE),"")</f>
        <v/>
      </c>
      <c r="K4455" s="26" t="str">
        <f>IFERROR(VLOOKUP(G4455,WholesaleExtract!B:K,10,FALSE),"")</f>
        <v/>
      </c>
      <c r="L4455" s="47" t="str">
        <f>IFERROR(VLOOKUP(G4455,WholesaleExtract!B:L,11,FALSE),"")</f>
        <v/>
      </c>
      <c r="M4455" s="47" t="str">
        <f>IFERROR(VLOOKUP(G4455,WholesaleExtract!B:M,12,FALSE),"")</f>
        <v/>
      </c>
      <c r="R4455" s="19"/>
      <c r="S4455" s="19"/>
    </row>
    <row r="4456" spans="1:19" x14ac:dyDescent="0.35">
      <c r="A4456" s="26" t="s">
        <v>543</v>
      </c>
      <c r="B4456" s="26" t="s">
        <v>543</v>
      </c>
      <c r="C4456" s="26"/>
      <c r="D4456" s="26" t="s">
        <v>543</v>
      </c>
      <c r="E4456" s="26" t="str">
        <f>IFERROR(VLOOKUP(G4456,WholesaleExtract!B:J,9,FALSE),"")</f>
        <v/>
      </c>
      <c r="F4456" s="26" t="str">
        <f>IFERROR(VLOOKUP(G4456,WholesaleExtract!B:J,6,FALSE),"")</f>
        <v/>
      </c>
      <c r="H4456" s="47" t="str">
        <f>IFERROR(VLOOKUP(G4456,WholesaleExtract!B:L,11,FALSE),"")</f>
        <v/>
      </c>
      <c r="I4456" s="26" t="str">
        <f>IFERROR(VLOOKUP(G4456,WholesaleExtract!B:O,8,FALSE),"")</f>
        <v/>
      </c>
      <c r="J4456" s="26" t="str">
        <f>IFERROR(VLOOKUP(G4456,WholesaleExtract!B:O,14,FALSE),"")</f>
        <v/>
      </c>
      <c r="K4456" s="26" t="str">
        <f>IFERROR(VLOOKUP(G4456,WholesaleExtract!B:K,10,FALSE),"")</f>
        <v/>
      </c>
      <c r="L4456" s="47" t="str">
        <f>IFERROR(VLOOKUP(G4456,WholesaleExtract!B:L,11,FALSE),"")</f>
        <v/>
      </c>
      <c r="M4456" s="47" t="str">
        <f>IFERROR(VLOOKUP(G4456,WholesaleExtract!B:M,12,FALSE),"")</f>
        <v/>
      </c>
      <c r="R4456" s="19"/>
      <c r="S4456" s="19"/>
    </row>
    <row r="4457" spans="1:19" x14ac:dyDescent="0.35">
      <c r="A4457" s="26" t="s">
        <v>543</v>
      </c>
      <c r="B4457" s="26" t="s">
        <v>543</v>
      </c>
      <c r="C4457" s="26"/>
      <c r="D4457" s="26" t="s">
        <v>543</v>
      </c>
      <c r="E4457" s="26" t="str">
        <f>IFERROR(VLOOKUP(G4457,WholesaleExtract!B:J,9,FALSE),"")</f>
        <v/>
      </c>
      <c r="F4457" s="26" t="str">
        <f>IFERROR(VLOOKUP(G4457,WholesaleExtract!B:J,6,FALSE),"")</f>
        <v/>
      </c>
      <c r="H4457" s="47" t="str">
        <f>IFERROR(VLOOKUP(G4457,WholesaleExtract!B:L,11,FALSE),"")</f>
        <v/>
      </c>
      <c r="I4457" s="26" t="str">
        <f>IFERROR(VLOOKUP(G4457,WholesaleExtract!B:O,8,FALSE),"")</f>
        <v/>
      </c>
      <c r="J4457" s="26" t="str">
        <f>IFERROR(VLOOKUP(G4457,WholesaleExtract!B:O,14,FALSE),"")</f>
        <v/>
      </c>
      <c r="K4457" s="26" t="str">
        <f>IFERROR(VLOOKUP(G4457,WholesaleExtract!B:K,10,FALSE),"")</f>
        <v/>
      </c>
      <c r="L4457" s="47" t="str">
        <f>IFERROR(VLOOKUP(G4457,WholesaleExtract!B:L,11,FALSE),"")</f>
        <v/>
      </c>
      <c r="M4457" s="47" t="str">
        <f>IFERROR(VLOOKUP(G4457,WholesaleExtract!B:M,12,FALSE),"")</f>
        <v/>
      </c>
      <c r="R4457" s="19"/>
      <c r="S4457" s="19"/>
    </row>
    <row r="4458" spans="1:19" x14ac:dyDescent="0.35">
      <c r="A4458" s="26" t="s">
        <v>543</v>
      </c>
      <c r="B4458" s="26" t="s">
        <v>543</v>
      </c>
      <c r="C4458" s="26"/>
      <c r="D4458" s="26" t="s">
        <v>543</v>
      </c>
      <c r="E4458" s="26" t="str">
        <f>IFERROR(VLOOKUP(G4458,WholesaleExtract!B:J,9,FALSE),"")</f>
        <v/>
      </c>
      <c r="F4458" s="26" t="str">
        <f>IFERROR(VLOOKUP(G4458,WholesaleExtract!B:J,6,FALSE),"")</f>
        <v/>
      </c>
      <c r="H4458" s="47" t="str">
        <f>IFERROR(VLOOKUP(G4458,WholesaleExtract!B:L,11,FALSE),"")</f>
        <v/>
      </c>
      <c r="I4458" s="26" t="str">
        <f>IFERROR(VLOOKUP(G4458,WholesaleExtract!B:O,8,FALSE),"")</f>
        <v/>
      </c>
      <c r="J4458" s="26" t="str">
        <f>IFERROR(VLOOKUP(G4458,WholesaleExtract!B:O,14,FALSE),"")</f>
        <v/>
      </c>
      <c r="K4458" s="26" t="str">
        <f>IFERROR(VLOOKUP(G4458,WholesaleExtract!B:K,10,FALSE),"")</f>
        <v/>
      </c>
      <c r="L4458" s="47" t="str">
        <f>IFERROR(VLOOKUP(G4458,WholesaleExtract!B:L,11,FALSE),"")</f>
        <v/>
      </c>
      <c r="M4458" s="47" t="str">
        <f>IFERROR(VLOOKUP(G4458,WholesaleExtract!B:M,12,FALSE),"")</f>
        <v/>
      </c>
      <c r="R4458" s="19"/>
      <c r="S4458" s="19"/>
    </row>
    <row r="4459" spans="1:19" x14ac:dyDescent="0.35">
      <c r="A4459" s="26" t="s">
        <v>543</v>
      </c>
      <c r="B4459" s="26" t="s">
        <v>543</v>
      </c>
      <c r="C4459" s="26"/>
      <c r="D4459" s="26" t="s">
        <v>543</v>
      </c>
      <c r="E4459" s="26" t="str">
        <f>IFERROR(VLOOKUP(G4459,WholesaleExtract!B:J,9,FALSE),"")</f>
        <v/>
      </c>
      <c r="F4459" s="26" t="str">
        <f>IFERROR(VLOOKUP(G4459,WholesaleExtract!B:J,6,FALSE),"")</f>
        <v/>
      </c>
      <c r="H4459" s="47" t="str">
        <f>IFERROR(VLOOKUP(G4459,WholesaleExtract!B:L,11,FALSE),"")</f>
        <v/>
      </c>
      <c r="I4459" s="26" t="str">
        <f>IFERROR(VLOOKUP(G4459,WholesaleExtract!B:O,8,FALSE),"")</f>
        <v/>
      </c>
      <c r="J4459" s="26" t="str">
        <f>IFERROR(VLOOKUP(G4459,WholesaleExtract!B:O,14,FALSE),"")</f>
        <v/>
      </c>
      <c r="K4459" s="26" t="str">
        <f>IFERROR(VLOOKUP(G4459,WholesaleExtract!B:K,10,FALSE),"")</f>
        <v/>
      </c>
      <c r="L4459" s="47" t="str">
        <f>IFERROR(VLOOKUP(G4459,WholesaleExtract!B:L,11,FALSE),"")</f>
        <v/>
      </c>
      <c r="M4459" s="47" t="str">
        <f>IFERROR(VLOOKUP(G4459,WholesaleExtract!B:M,12,FALSE),"")</f>
        <v/>
      </c>
      <c r="R4459" s="19"/>
      <c r="S4459" s="19"/>
    </row>
    <row r="4460" spans="1:19" x14ac:dyDescent="0.35">
      <c r="A4460" s="26" t="s">
        <v>543</v>
      </c>
      <c r="B4460" s="26" t="s">
        <v>543</v>
      </c>
      <c r="C4460" s="26"/>
      <c r="D4460" s="26" t="s">
        <v>543</v>
      </c>
      <c r="E4460" s="26" t="str">
        <f>IFERROR(VLOOKUP(G4460,WholesaleExtract!B:J,9,FALSE),"")</f>
        <v/>
      </c>
      <c r="F4460" s="26" t="str">
        <f>IFERROR(VLOOKUP(G4460,WholesaleExtract!B:J,6,FALSE),"")</f>
        <v/>
      </c>
      <c r="H4460" s="47" t="str">
        <f>IFERROR(VLOOKUP(G4460,WholesaleExtract!B:L,11,FALSE),"")</f>
        <v/>
      </c>
      <c r="I4460" s="26" t="str">
        <f>IFERROR(VLOOKUP(G4460,WholesaleExtract!B:O,8,FALSE),"")</f>
        <v/>
      </c>
      <c r="J4460" s="26" t="str">
        <f>IFERROR(VLOOKUP(G4460,WholesaleExtract!B:O,14,FALSE),"")</f>
        <v/>
      </c>
      <c r="K4460" s="26" t="str">
        <f>IFERROR(VLOOKUP(G4460,WholesaleExtract!B:K,10,FALSE),"")</f>
        <v/>
      </c>
      <c r="L4460" s="47" t="str">
        <f>IFERROR(VLOOKUP(G4460,WholesaleExtract!B:L,11,FALSE),"")</f>
        <v/>
      </c>
      <c r="M4460" s="47" t="str">
        <f>IFERROR(VLOOKUP(G4460,WholesaleExtract!B:M,12,FALSE),"")</f>
        <v/>
      </c>
      <c r="R4460" s="19"/>
      <c r="S4460" s="19"/>
    </row>
    <row r="4461" spans="1:19" x14ac:dyDescent="0.35">
      <c r="A4461" s="26" t="s">
        <v>543</v>
      </c>
      <c r="B4461" s="26" t="s">
        <v>543</v>
      </c>
      <c r="C4461" s="26"/>
      <c r="D4461" s="26" t="s">
        <v>543</v>
      </c>
      <c r="E4461" s="26" t="str">
        <f>IFERROR(VLOOKUP(G4461,WholesaleExtract!B:J,9,FALSE),"")</f>
        <v/>
      </c>
      <c r="F4461" s="26" t="str">
        <f>IFERROR(VLOOKUP(G4461,WholesaleExtract!B:J,6,FALSE),"")</f>
        <v/>
      </c>
      <c r="H4461" s="47" t="str">
        <f>IFERROR(VLOOKUP(G4461,WholesaleExtract!B:L,11,FALSE),"")</f>
        <v/>
      </c>
      <c r="I4461" s="26" t="str">
        <f>IFERROR(VLOOKUP(G4461,WholesaleExtract!B:O,8,FALSE),"")</f>
        <v/>
      </c>
      <c r="J4461" s="26" t="str">
        <f>IFERROR(VLOOKUP(G4461,WholesaleExtract!B:O,14,FALSE),"")</f>
        <v/>
      </c>
      <c r="K4461" s="26" t="str">
        <f>IFERROR(VLOOKUP(G4461,WholesaleExtract!B:K,10,FALSE),"")</f>
        <v/>
      </c>
      <c r="L4461" s="47" t="str">
        <f>IFERROR(VLOOKUP(G4461,WholesaleExtract!B:L,11,FALSE),"")</f>
        <v/>
      </c>
      <c r="M4461" s="47" t="str">
        <f>IFERROR(VLOOKUP(G4461,WholesaleExtract!B:M,12,FALSE),"")</f>
        <v/>
      </c>
      <c r="R4461" s="19"/>
      <c r="S4461" s="19"/>
    </row>
    <row r="4462" spans="1:19" x14ac:dyDescent="0.35">
      <c r="A4462" s="26" t="s">
        <v>543</v>
      </c>
      <c r="B4462" s="26" t="s">
        <v>543</v>
      </c>
      <c r="C4462" s="26"/>
      <c r="D4462" s="26" t="s">
        <v>543</v>
      </c>
      <c r="E4462" s="26" t="str">
        <f>IFERROR(VLOOKUP(G4462,WholesaleExtract!B:J,9,FALSE),"")</f>
        <v/>
      </c>
      <c r="F4462" s="26" t="str">
        <f>IFERROR(VLOOKUP(G4462,WholesaleExtract!B:J,6,FALSE),"")</f>
        <v/>
      </c>
      <c r="H4462" s="47" t="str">
        <f>IFERROR(VLOOKUP(G4462,WholesaleExtract!B:L,11,FALSE),"")</f>
        <v/>
      </c>
      <c r="I4462" s="26" t="str">
        <f>IFERROR(VLOOKUP(G4462,WholesaleExtract!B:O,8,FALSE),"")</f>
        <v/>
      </c>
      <c r="J4462" s="26" t="str">
        <f>IFERROR(VLOOKUP(G4462,WholesaleExtract!B:O,14,FALSE),"")</f>
        <v/>
      </c>
      <c r="K4462" s="26" t="str">
        <f>IFERROR(VLOOKUP(G4462,WholesaleExtract!B:K,10,FALSE),"")</f>
        <v/>
      </c>
      <c r="L4462" s="47" t="str">
        <f>IFERROR(VLOOKUP(G4462,WholesaleExtract!B:L,11,FALSE),"")</f>
        <v/>
      </c>
      <c r="M4462" s="47" t="str">
        <f>IFERROR(VLOOKUP(G4462,WholesaleExtract!B:M,12,FALSE),"")</f>
        <v/>
      </c>
      <c r="R4462" s="19"/>
      <c r="S4462" s="19"/>
    </row>
    <row r="4463" spans="1:19" x14ac:dyDescent="0.35">
      <c r="A4463" s="26" t="s">
        <v>543</v>
      </c>
      <c r="B4463" s="26" t="s">
        <v>543</v>
      </c>
      <c r="C4463" s="26"/>
      <c r="D4463" s="26" t="s">
        <v>543</v>
      </c>
      <c r="E4463" s="26" t="str">
        <f>IFERROR(VLOOKUP(G4463,WholesaleExtract!B:J,9,FALSE),"")</f>
        <v/>
      </c>
      <c r="F4463" s="26" t="str">
        <f>IFERROR(VLOOKUP(G4463,WholesaleExtract!B:J,6,FALSE),"")</f>
        <v/>
      </c>
      <c r="H4463" s="47" t="str">
        <f>IFERROR(VLOOKUP(G4463,WholesaleExtract!B:L,11,FALSE),"")</f>
        <v/>
      </c>
      <c r="I4463" s="26" t="str">
        <f>IFERROR(VLOOKUP(G4463,WholesaleExtract!B:O,8,FALSE),"")</f>
        <v/>
      </c>
      <c r="J4463" s="26" t="str">
        <f>IFERROR(VLOOKUP(G4463,WholesaleExtract!B:O,14,FALSE),"")</f>
        <v/>
      </c>
      <c r="K4463" s="26" t="str">
        <f>IFERROR(VLOOKUP(G4463,WholesaleExtract!B:K,10,FALSE),"")</f>
        <v/>
      </c>
      <c r="L4463" s="47" t="str">
        <f>IFERROR(VLOOKUP(G4463,WholesaleExtract!B:L,11,FALSE),"")</f>
        <v/>
      </c>
      <c r="M4463" s="47" t="str">
        <f>IFERROR(VLOOKUP(G4463,WholesaleExtract!B:M,12,FALSE),"")</f>
        <v/>
      </c>
      <c r="R4463" s="19"/>
      <c r="S4463" s="19"/>
    </row>
    <row r="4464" spans="1:19" x14ac:dyDescent="0.35">
      <c r="A4464" s="26" t="s">
        <v>543</v>
      </c>
      <c r="B4464" s="26" t="s">
        <v>543</v>
      </c>
      <c r="C4464" s="26"/>
      <c r="D4464" s="26" t="s">
        <v>543</v>
      </c>
      <c r="E4464" s="26" t="str">
        <f>IFERROR(VLOOKUP(G4464,WholesaleExtract!B:J,9,FALSE),"")</f>
        <v/>
      </c>
      <c r="F4464" s="26" t="str">
        <f>IFERROR(VLOOKUP(G4464,WholesaleExtract!B:J,6,FALSE),"")</f>
        <v/>
      </c>
      <c r="H4464" s="47" t="str">
        <f>IFERROR(VLOOKUP(G4464,WholesaleExtract!B:L,11,FALSE),"")</f>
        <v/>
      </c>
      <c r="I4464" s="26" t="str">
        <f>IFERROR(VLOOKUP(G4464,WholesaleExtract!B:O,8,FALSE),"")</f>
        <v/>
      </c>
      <c r="J4464" s="26" t="str">
        <f>IFERROR(VLOOKUP(G4464,WholesaleExtract!B:O,14,FALSE),"")</f>
        <v/>
      </c>
      <c r="K4464" s="26" t="str">
        <f>IFERROR(VLOOKUP(G4464,WholesaleExtract!B:K,10,FALSE),"")</f>
        <v/>
      </c>
      <c r="L4464" s="47" t="str">
        <f>IFERROR(VLOOKUP(G4464,WholesaleExtract!B:L,11,FALSE),"")</f>
        <v/>
      </c>
      <c r="M4464" s="47" t="str">
        <f>IFERROR(VLOOKUP(G4464,WholesaleExtract!B:M,12,FALSE),"")</f>
        <v/>
      </c>
      <c r="R4464" s="19"/>
      <c r="S4464" s="19"/>
    </row>
    <row r="4465" spans="1:19" x14ac:dyDescent="0.35">
      <c r="A4465" s="26" t="s">
        <v>543</v>
      </c>
      <c r="B4465" s="26" t="s">
        <v>543</v>
      </c>
      <c r="C4465" s="26"/>
      <c r="D4465" s="26" t="s">
        <v>543</v>
      </c>
      <c r="E4465" s="26" t="str">
        <f>IFERROR(VLOOKUP(G4465,WholesaleExtract!B:J,9,FALSE),"")</f>
        <v/>
      </c>
      <c r="F4465" s="26" t="str">
        <f>IFERROR(VLOOKUP(G4465,WholesaleExtract!B:J,6,FALSE),"")</f>
        <v/>
      </c>
      <c r="H4465" s="47" t="str">
        <f>IFERROR(VLOOKUP(G4465,WholesaleExtract!B:L,11,FALSE),"")</f>
        <v/>
      </c>
      <c r="I4465" s="26" t="str">
        <f>IFERROR(VLOOKUP(G4465,WholesaleExtract!B:O,8,FALSE),"")</f>
        <v/>
      </c>
      <c r="J4465" s="26" t="str">
        <f>IFERROR(VLOOKUP(G4465,WholesaleExtract!B:O,14,FALSE),"")</f>
        <v/>
      </c>
      <c r="K4465" s="26" t="str">
        <f>IFERROR(VLOOKUP(G4465,WholesaleExtract!B:K,10,FALSE),"")</f>
        <v/>
      </c>
      <c r="L4465" s="47" t="str">
        <f>IFERROR(VLOOKUP(G4465,WholesaleExtract!B:L,11,FALSE),"")</f>
        <v/>
      </c>
      <c r="M4465" s="47" t="str">
        <f>IFERROR(VLOOKUP(G4465,WholesaleExtract!B:M,12,FALSE),"")</f>
        <v/>
      </c>
      <c r="R4465" s="19"/>
      <c r="S4465" s="19"/>
    </row>
    <row r="4466" spans="1:19" x14ac:dyDescent="0.35">
      <c r="A4466" s="26" t="s">
        <v>543</v>
      </c>
      <c r="B4466" s="26" t="s">
        <v>543</v>
      </c>
      <c r="C4466" s="26"/>
      <c r="D4466" s="26" t="s">
        <v>543</v>
      </c>
      <c r="E4466" s="26" t="str">
        <f>IFERROR(VLOOKUP(G4466,WholesaleExtract!B:J,9,FALSE),"")</f>
        <v/>
      </c>
      <c r="F4466" s="26" t="str">
        <f>IFERROR(VLOOKUP(G4466,WholesaleExtract!B:J,6,FALSE),"")</f>
        <v/>
      </c>
      <c r="H4466" s="47" t="str">
        <f>IFERROR(VLOOKUP(G4466,WholesaleExtract!B:L,11,FALSE),"")</f>
        <v/>
      </c>
      <c r="I4466" s="26" t="str">
        <f>IFERROR(VLOOKUP(G4466,WholesaleExtract!B:O,8,FALSE),"")</f>
        <v/>
      </c>
      <c r="J4466" s="26" t="str">
        <f>IFERROR(VLOOKUP(G4466,WholesaleExtract!B:O,14,FALSE),"")</f>
        <v/>
      </c>
      <c r="K4466" s="26" t="str">
        <f>IFERROR(VLOOKUP(G4466,WholesaleExtract!B:K,10,FALSE),"")</f>
        <v/>
      </c>
      <c r="L4466" s="47" t="str">
        <f>IFERROR(VLOOKUP(G4466,WholesaleExtract!B:L,11,FALSE),"")</f>
        <v/>
      </c>
      <c r="M4466" s="47" t="str">
        <f>IFERROR(VLOOKUP(G4466,WholesaleExtract!B:M,12,FALSE),"")</f>
        <v/>
      </c>
      <c r="R4466" s="19"/>
      <c r="S4466" s="19"/>
    </row>
    <row r="4467" spans="1:19" x14ac:dyDescent="0.35">
      <c r="A4467" s="26" t="s">
        <v>543</v>
      </c>
      <c r="B4467" s="26" t="s">
        <v>543</v>
      </c>
      <c r="C4467" s="26"/>
      <c r="D4467" s="26" t="s">
        <v>543</v>
      </c>
      <c r="E4467" s="26" t="str">
        <f>IFERROR(VLOOKUP(G4467,WholesaleExtract!B:J,9,FALSE),"")</f>
        <v/>
      </c>
      <c r="F4467" s="26" t="str">
        <f>IFERROR(VLOOKUP(G4467,WholesaleExtract!B:J,6,FALSE),"")</f>
        <v/>
      </c>
      <c r="H4467" s="47" t="str">
        <f>IFERROR(VLOOKUP(G4467,WholesaleExtract!B:L,11,FALSE),"")</f>
        <v/>
      </c>
      <c r="I4467" s="26" t="str">
        <f>IFERROR(VLOOKUP(G4467,WholesaleExtract!B:O,8,FALSE),"")</f>
        <v/>
      </c>
      <c r="J4467" s="26" t="str">
        <f>IFERROR(VLOOKUP(G4467,WholesaleExtract!B:O,14,FALSE),"")</f>
        <v/>
      </c>
      <c r="K4467" s="26" t="str">
        <f>IFERROR(VLOOKUP(G4467,WholesaleExtract!B:K,10,FALSE),"")</f>
        <v/>
      </c>
      <c r="L4467" s="47" t="str">
        <f>IFERROR(VLOOKUP(G4467,WholesaleExtract!B:L,11,FALSE),"")</f>
        <v/>
      </c>
      <c r="M4467" s="47" t="str">
        <f>IFERROR(VLOOKUP(G4467,WholesaleExtract!B:M,12,FALSE),"")</f>
        <v/>
      </c>
      <c r="R4467" s="19"/>
      <c r="S4467" s="19"/>
    </row>
    <row r="4468" spans="1:19" x14ac:dyDescent="0.35">
      <c r="A4468" s="26" t="s">
        <v>543</v>
      </c>
      <c r="B4468" s="26" t="s">
        <v>543</v>
      </c>
      <c r="C4468" s="26"/>
      <c r="D4468" s="26" t="s">
        <v>543</v>
      </c>
      <c r="E4468" s="26" t="str">
        <f>IFERROR(VLOOKUP(G4468,WholesaleExtract!B:J,9,FALSE),"")</f>
        <v/>
      </c>
      <c r="F4468" s="26" t="str">
        <f>IFERROR(VLOOKUP(G4468,WholesaleExtract!B:J,6,FALSE),"")</f>
        <v/>
      </c>
      <c r="H4468" s="47" t="str">
        <f>IFERROR(VLOOKUP(G4468,WholesaleExtract!B:L,11,FALSE),"")</f>
        <v/>
      </c>
      <c r="I4468" s="26" t="str">
        <f>IFERROR(VLOOKUP(G4468,WholesaleExtract!B:O,8,FALSE),"")</f>
        <v/>
      </c>
      <c r="J4468" s="26" t="str">
        <f>IFERROR(VLOOKUP(G4468,WholesaleExtract!B:O,14,FALSE),"")</f>
        <v/>
      </c>
      <c r="K4468" s="26" t="str">
        <f>IFERROR(VLOOKUP(G4468,WholesaleExtract!B:K,10,FALSE),"")</f>
        <v/>
      </c>
      <c r="L4468" s="47" t="str">
        <f>IFERROR(VLOOKUP(G4468,WholesaleExtract!B:L,11,FALSE),"")</f>
        <v/>
      </c>
      <c r="M4468" s="47" t="str">
        <f>IFERROR(VLOOKUP(G4468,WholesaleExtract!B:M,12,FALSE),"")</f>
        <v/>
      </c>
      <c r="R4468" s="19"/>
      <c r="S4468" s="19"/>
    </row>
    <row r="4469" spans="1:19" x14ac:dyDescent="0.35">
      <c r="A4469" s="26" t="s">
        <v>543</v>
      </c>
      <c r="B4469" s="26" t="s">
        <v>543</v>
      </c>
      <c r="C4469" s="26"/>
      <c r="D4469" s="26" t="s">
        <v>543</v>
      </c>
      <c r="E4469" s="26" t="str">
        <f>IFERROR(VLOOKUP(G4469,WholesaleExtract!B:J,9,FALSE),"")</f>
        <v/>
      </c>
      <c r="F4469" s="26" t="str">
        <f>IFERROR(VLOOKUP(G4469,WholesaleExtract!B:J,6,FALSE),"")</f>
        <v/>
      </c>
      <c r="H4469" s="47" t="str">
        <f>IFERROR(VLOOKUP(G4469,WholesaleExtract!B:L,11,FALSE),"")</f>
        <v/>
      </c>
      <c r="I4469" s="26" t="str">
        <f>IFERROR(VLOOKUP(G4469,WholesaleExtract!B:O,8,FALSE),"")</f>
        <v/>
      </c>
      <c r="J4469" s="26" t="str">
        <f>IFERROR(VLOOKUP(G4469,WholesaleExtract!B:O,14,FALSE),"")</f>
        <v/>
      </c>
      <c r="K4469" s="26" t="str">
        <f>IFERROR(VLOOKUP(G4469,WholesaleExtract!B:K,10,FALSE),"")</f>
        <v/>
      </c>
      <c r="L4469" s="47" t="str">
        <f>IFERROR(VLOOKUP(G4469,WholesaleExtract!B:L,11,FALSE),"")</f>
        <v/>
      </c>
      <c r="M4469" s="47" t="str">
        <f>IFERROR(VLOOKUP(G4469,WholesaleExtract!B:M,12,FALSE),"")</f>
        <v/>
      </c>
      <c r="R4469" s="19"/>
      <c r="S4469" s="19"/>
    </row>
    <row r="4470" spans="1:19" x14ac:dyDescent="0.35">
      <c r="A4470" s="26" t="s">
        <v>543</v>
      </c>
      <c r="B4470" s="26" t="s">
        <v>543</v>
      </c>
      <c r="C4470" s="26"/>
      <c r="D4470" s="26" t="s">
        <v>543</v>
      </c>
      <c r="E4470" s="26" t="str">
        <f>IFERROR(VLOOKUP(G4470,WholesaleExtract!B:J,9,FALSE),"")</f>
        <v/>
      </c>
      <c r="F4470" s="26" t="str">
        <f>IFERROR(VLOOKUP(G4470,WholesaleExtract!B:J,6,FALSE),"")</f>
        <v/>
      </c>
      <c r="H4470" s="47" t="str">
        <f>IFERROR(VLOOKUP(G4470,WholesaleExtract!B:L,11,FALSE),"")</f>
        <v/>
      </c>
      <c r="I4470" s="26" t="str">
        <f>IFERROR(VLOOKUP(G4470,WholesaleExtract!B:O,8,FALSE),"")</f>
        <v/>
      </c>
      <c r="J4470" s="26" t="str">
        <f>IFERROR(VLOOKUP(G4470,WholesaleExtract!B:O,14,FALSE),"")</f>
        <v/>
      </c>
      <c r="K4470" s="26" t="str">
        <f>IFERROR(VLOOKUP(G4470,WholesaleExtract!B:K,10,FALSE),"")</f>
        <v/>
      </c>
      <c r="L4470" s="47" t="str">
        <f>IFERROR(VLOOKUP(G4470,WholesaleExtract!B:L,11,FALSE),"")</f>
        <v/>
      </c>
      <c r="M4470" s="47" t="str">
        <f>IFERROR(VLOOKUP(G4470,WholesaleExtract!B:M,12,FALSE),"")</f>
        <v/>
      </c>
      <c r="R4470" s="19"/>
      <c r="S4470" s="19"/>
    </row>
    <row r="4471" spans="1:19" x14ac:dyDescent="0.35">
      <c r="A4471" s="26" t="s">
        <v>543</v>
      </c>
      <c r="B4471" s="26" t="s">
        <v>543</v>
      </c>
      <c r="C4471" s="26"/>
      <c r="D4471" s="26" t="s">
        <v>543</v>
      </c>
      <c r="E4471" s="26" t="str">
        <f>IFERROR(VLOOKUP(G4471,WholesaleExtract!B:J,9,FALSE),"")</f>
        <v/>
      </c>
      <c r="F4471" s="26" t="str">
        <f>IFERROR(VLOOKUP(G4471,WholesaleExtract!B:J,6,FALSE),"")</f>
        <v/>
      </c>
      <c r="H4471" s="47" t="str">
        <f>IFERROR(VLOOKUP(G4471,WholesaleExtract!B:L,11,FALSE),"")</f>
        <v/>
      </c>
      <c r="I4471" s="26" t="str">
        <f>IFERROR(VLOOKUP(G4471,WholesaleExtract!B:O,8,FALSE),"")</f>
        <v/>
      </c>
      <c r="J4471" s="26" t="str">
        <f>IFERROR(VLOOKUP(G4471,WholesaleExtract!B:O,14,FALSE),"")</f>
        <v/>
      </c>
      <c r="K4471" s="26" t="str">
        <f>IFERROR(VLOOKUP(G4471,WholesaleExtract!B:K,10,FALSE),"")</f>
        <v/>
      </c>
      <c r="L4471" s="47" t="str">
        <f>IFERROR(VLOOKUP(G4471,WholesaleExtract!B:L,11,FALSE),"")</f>
        <v/>
      </c>
      <c r="M4471" s="47" t="str">
        <f>IFERROR(VLOOKUP(G4471,WholesaleExtract!B:M,12,FALSE),"")</f>
        <v/>
      </c>
      <c r="R4471" s="19"/>
      <c r="S4471" s="19"/>
    </row>
    <row r="4472" spans="1:19" x14ac:dyDescent="0.35">
      <c r="A4472" s="26" t="s">
        <v>543</v>
      </c>
      <c r="B4472" s="26" t="s">
        <v>543</v>
      </c>
      <c r="C4472" s="26"/>
      <c r="D4472" s="26" t="s">
        <v>543</v>
      </c>
      <c r="E4472" s="26" t="str">
        <f>IFERROR(VLOOKUP(G4472,WholesaleExtract!B:J,9,FALSE),"")</f>
        <v/>
      </c>
      <c r="F4472" s="26" t="str">
        <f>IFERROR(VLOOKUP(G4472,WholesaleExtract!B:J,6,FALSE),"")</f>
        <v/>
      </c>
      <c r="H4472" s="47" t="str">
        <f>IFERROR(VLOOKUP(G4472,WholesaleExtract!B:L,11,FALSE),"")</f>
        <v/>
      </c>
      <c r="I4472" s="26" t="str">
        <f>IFERROR(VLOOKUP(G4472,WholesaleExtract!B:O,8,FALSE),"")</f>
        <v/>
      </c>
      <c r="J4472" s="26" t="str">
        <f>IFERROR(VLOOKUP(G4472,WholesaleExtract!B:O,14,FALSE),"")</f>
        <v/>
      </c>
      <c r="K4472" s="26" t="str">
        <f>IFERROR(VLOOKUP(G4472,WholesaleExtract!B:K,10,FALSE),"")</f>
        <v/>
      </c>
      <c r="L4472" s="47" t="str">
        <f>IFERROR(VLOOKUP(G4472,WholesaleExtract!B:L,11,FALSE),"")</f>
        <v/>
      </c>
      <c r="M4472" s="47" t="str">
        <f>IFERROR(VLOOKUP(G4472,WholesaleExtract!B:M,12,FALSE),"")</f>
        <v/>
      </c>
      <c r="R4472" s="19"/>
      <c r="S4472" s="19"/>
    </row>
    <row r="4473" spans="1:19" x14ac:dyDescent="0.35">
      <c r="A4473" s="26" t="s">
        <v>543</v>
      </c>
      <c r="B4473" s="26" t="s">
        <v>543</v>
      </c>
      <c r="C4473" s="26"/>
      <c r="D4473" s="26" t="s">
        <v>543</v>
      </c>
      <c r="E4473" s="26" t="str">
        <f>IFERROR(VLOOKUP(G4473,WholesaleExtract!B:J,9,FALSE),"")</f>
        <v/>
      </c>
      <c r="F4473" s="26" t="str">
        <f>IFERROR(VLOOKUP(G4473,WholesaleExtract!B:J,6,FALSE),"")</f>
        <v/>
      </c>
      <c r="H4473" s="47" t="str">
        <f>IFERROR(VLOOKUP(G4473,WholesaleExtract!B:L,11,FALSE),"")</f>
        <v/>
      </c>
      <c r="I4473" s="26" t="str">
        <f>IFERROR(VLOOKUP(G4473,WholesaleExtract!B:O,8,FALSE),"")</f>
        <v/>
      </c>
      <c r="J4473" s="26" t="str">
        <f>IFERROR(VLOOKUP(G4473,WholesaleExtract!B:O,14,FALSE),"")</f>
        <v/>
      </c>
      <c r="K4473" s="26" t="str">
        <f>IFERROR(VLOOKUP(G4473,WholesaleExtract!B:K,10,FALSE),"")</f>
        <v/>
      </c>
      <c r="L4473" s="47" t="str">
        <f>IFERROR(VLOOKUP(G4473,WholesaleExtract!B:L,11,FALSE),"")</f>
        <v/>
      </c>
      <c r="M4473" s="47" t="str">
        <f>IFERROR(VLOOKUP(G4473,WholesaleExtract!B:M,12,FALSE),"")</f>
        <v/>
      </c>
      <c r="R4473" s="19"/>
      <c r="S4473" s="19"/>
    </row>
    <row r="4474" spans="1:19" x14ac:dyDescent="0.35">
      <c r="A4474" s="26" t="s">
        <v>543</v>
      </c>
      <c r="B4474" s="26" t="s">
        <v>543</v>
      </c>
      <c r="C4474" s="26"/>
      <c r="D4474" s="26" t="s">
        <v>543</v>
      </c>
      <c r="E4474" s="26" t="str">
        <f>IFERROR(VLOOKUP(G4474,WholesaleExtract!B:J,9,FALSE),"")</f>
        <v/>
      </c>
      <c r="F4474" s="26" t="str">
        <f>IFERROR(VLOOKUP(G4474,WholesaleExtract!B:J,6,FALSE),"")</f>
        <v/>
      </c>
      <c r="H4474" s="47" t="str">
        <f>IFERROR(VLOOKUP(G4474,WholesaleExtract!B:L,11,FALSE),"")</f>
        <v/>
      </c>
      <c r="I4474" s="26" t="str">
        <f>IFERROR(VLOOKUP(G4474,WholesaleExtract!B:O,8,FALSE),"")</f>
        <v/>
      </c>
      <c r="J4474" s="26" t="str">
        <f>IFERROR(VLOOKUP(G4474,WholesaleExtract!B:O,14,FALSE),"")</f>
        <v/>
      </c>
      <c r="K4474" s="26" t="str">
        <f>IFERROR(VLOOKUP(G4474,WholesaleExtract!B:K,10,FALSE),"")</f>
        <v/>
      </c>
      <c r="L4474" s="47" t="str">
        <f>IFERROR(VLOOKUP(G4474,WholesaleExtract!B:L,11,FALSE),"")</f>
        <v/>
      </c>
      <c r="M4474" s="47" t="str">
        <f>IFERROR(VLOOKUP(G4474,WholesaleExtract!B:M,12,FALSE),"")</f>
        <v/>
      </c>
      <c r="R4474" s="19"/>
      <c r="S4474" s="19"/>
    </row>
    <row r="4475" spans="1:19" x14ac:dyDescent="0.35">
      <c r="A4475" s="26" t="s">
        <v>543</v>
      </c>
      <c r="B4475" s="26" t="s">
        <v>543</v>
      </c>
      <c r="C4475" s="26"/>
      <c r="D4475" s="26" t="s">
        <v>543</v>
      </c>
      <c r="E4475" s="26" t="str">
        <f>IFERROR(VLOOKUP(G4475,WholesaleExtract!B:J,9,FALSE),"")</f>
        <v/>
      </c>
      <c r="F4475" s="26" t="str">
        <f>IFERROR(VLOOKUP(G4475,WholesaleExtract!B:J,6,FALSE),"")</f>
        <v/>
      </c>
      <c r="H4475" s="47" t="str">
        <f>IFERROR(VLOOKUP(G4475,WholesaleExtract!B:L,11,FALSE),"")</f>
        <v/>
      </c>
      <c r="I4475" s="26" t="str">
        <f>IFERROR(VLOOKUP(G4475,WholesaleExtract!B:O,8,FALSE),"")</f>
        <v/>
      </c>
      <c r="J4475" s="26" t="str">
        <f>IFERROR(VLOOKUP(G4475,WholesaleExtract!B:O,14,FALSE),"")</f>
        <v/>
      </c>
      <c r="K4475" s="26" t="str">
        <f>IFERROR(VLOOKUP(G4475,WholesaleExtract!B:K,10,FALSE),"")</f>
        <v/>
      </c>
      <c r="L4475" s="47" t="str">
        <f>IFERROR(VLOOKUP(G4475,WholesaleExtract!B:L,11,FALSE),"")</f>
        <v/>
      </c>
      <c r="M4475" s="47" t="str">
        <f>IFERROR(VLOOKUP(G4475,WholesaleExtract!B:M,12,FALSE),"")</f>
        <v/>
      </c>
      <c r="R4475" s="19"/>
      <c r="S4475" s="19"/>
    </row>
    <row r="4476" spans="1:19" x14ac:dyDescent="0.35">
      <c r="A4476" s="26" t="s">
        <v>543</v>
      </c>
      <c r="B4476" s="26" t="s">
        <v>543</v>
      </c>
      <c r="C4476" s="26"/>
      <c r="D4476" s="26" t="s">
        <v>543</v>
      </c>
      <c r="E4476" s="26" t="str">
        <f>IFERROR(VLOOKUP(G4476,WholesaleExtract!B:J,9,FALSE),"")</f>
        <v/>
      </c>
      <c r="F4476" s="26" t="str">
        <f>IFERROR(VLOOKUP(G4476,WholesaleExtract!B:J,6,FALSE),"")</f>
        <v/>
      </c>
      <c r="H4476" s="47" t="str">
        <f>IFERROR(VLOOKUP(G4476,WholesaleExtract!B:L,11,FALSE),"")</f>
        <v/>
      </c>
      <c r="I4476" s="26" t="str">
        <f>IFERROR(VLOOKUP(G4476,WholesaleExtract!B:O,8,FALSE),"")</f>
        <v/>
      </c>
      <c r="J4476" s="26" t="str">
        <f>IFERROR(VLOOKUP(G4476,WholesaleExtract!B:O,14,FALSE),"")</f>
        <v/>
      </c>
      <c r="K4476" s="26" t="str">
        <f>IFERROR(VLOOKUP(G4476,WholesaleExtract!B:K,10,FALSE),"")</f>
        <v/>
      </c>
      <c r="L4476" s="47" t="str">
        <f>IFERROR(VLOOKUP(G4476,WholesaleExtract!B:L,11,FALSE),"")</f>
        <v/>
      </c>
      <c r="M4476" s="47" t="str">
        <f>IFERROR(VLOOKUP(G4476,WholesaleExtract!B:M,12,FALSE),"")</f>
        <v/>
      </c>
      <c r="R4476" s="19"/>
      <c r="S4476" s="19"/>
    </row>
    <row r="4477" spans="1:19" x14ac:dyDescent="0.35">
      <c r="A4477" s="26" t="s">
        <v>543</v>
      </c>
      <c r="B4477" s="26" t="s">
        <v>543</v>
      </c>
      <c r="C4477" s="26"/>
      <c r="D4477" s="26" t="s">
        <v>543</v>
      </c>
      <c r="E4477" s="26" t="str">
        <f>IFERROR(VLOOKUP(G4477,WholesaleExtract!B:J,9,FALSE),"")</f>
        <v/>
      </c>
      <c r="F4477" s="26" t="str">
        <f>IFERROR(VLOOKUP(G4477,WholesaleExtract!B:J,6,FALSE),"")</f>
        <v/>
      </c>
      <c r="H4477" s="47" t="str">
        <f>IFERROR(VLOOKUP(G4477,WholesaleExtract!B:L,11,FALSE),"")</f>
        <v/>
      </c>
      <c r="I4477" s="26" t="str">
        <f>IFERROR(VLOOKUP(G4477,WholesaleExtract!B:O,8,FALSE),"")</f>
        <v/>
      </c>
      <c r="J4477" s="26" t="str">
        <f>IFERROR(VLOOKUP(G4477,WholesaleExtract!B:O,14,FALSE),"")</f>
        <v/>
      </c>
      <c r="K4477" s="26" t="str">
        <f>IFERROR(VLOOKUP(G4477,WholesaleExtract!B:K,10,FALSE),"")</f>
        <v/>
      </c>
      <c r="L4477" s="47" t="str">
        <f>IFERROR(VLOOKUP(G4477,WholesaleExtract!B:L,11,FALSE),"")</f>
        <v/>
      </c>
      <c r="M4477" s="47" t="str">
        <f>IFERROR(VLOOKUP(G4477,WholesaleExtract!B:M,12,FALSE),"")</f>
        <v/>
      </c>
      <c r="R4477" s="19"/>
      <c r="S4477" s="19"/>
    </row>
    <row r="4478" spans="1:19" x14ac:dyDescent="0.35">
      <c r="A4478" s="26" t="s">
        <v>543</v>
      </c>
      <c r="B4478" s="26" t="s">
        <v>543</v>
      </c>
      <c r="C4478" s="26"/>
      <c r="D4478" s="26" t="s">
        <v>543</v>
      </c>
      <c r="E4478" s="26" t="str">
        <f>IFERROR(VLOOKUP(G4478,WholesaleExtract!B:J,9,FALSE),"")</f>
        <v/>
      </c>
      <c r="F4478" s="26" t="str">
        <f>IFERROR(VLOOKUP(G4478,WholesaleExtract!B:J,6,FALSE),"")</f>
        <v/>
      </c>
      <c r="H4478" s="47" t="str">
        <f>IFERROR(VLOOKUP(G4478,WholesaleExtract!B:L,11,FALSE),"")</f>
        <v/>
      </c>
      <c r="I4478" s="26" t="str">
        <f>IFERROR(VLOOKUP(G4478,WholesaleExtract!B:O,8,FALSE),"")</f>
        <v/>
      </c>
      <c r="J4478" s="26" t="str">
        <f>IFERROR(VLOOKUP(G4478,WholesaleExtract!B:O,14,FALSE),"")</f>
        <v/>
      </c>
      <c r="K4478" s="26" t="str">
        <f>IFERROR(VLOOKUP(G4478,WholesaleExtract!B:K,10,FALSE),"")</f>
        <v/>
      </c>
      <c r="L4478" s="47" t="str">
        <f>IFERROR(VLOOKUP(G4478,WholesaleExtract!B:L,11,FALSE),"")</f>
        <v/>
      </c>
      <c r="M4478" s="47" t="str">
        <f>IFERROR(VLOOKUP(G4478,WholesaleExtract!B:M,12,FALSE),"")</f>
        <v/>
      </c>
      <c r="R4478" s="19"/>
      <c r="S4478" s="19"/>
    </row>
    <row r="4479" spans="1:19" x14ac:dyDescent="0.35">
      <c r="A4479" s="26" t="s">
        <v>543</v>
      </c>
      <c r="B4479" s="26" t="s">
        <v>543</v>
      </c>
      <c r="C4479" s="26"/>
      <c r="D4479" s="26" t="s">
        <v>543</v>
      </c>
      <c r="E4479" s="26" t="str">
        <f>IFERROR(VLOOKUP(G4479,WholesaleExtract!B:J,9,FALSE),"")</f>
        <v/>
      </c>
      <c r="F4479" s="26" t="str">
        <f>IFERROR(VLOOKUP(G4479,WholesaleExtract!B:J,6,FALSE),"")</f>
        <v/>
      </c>
      <c r="H4479" s="47" t="str">
        <f>IFERROR(VLOOKUP(G4479,WholesaleExtract!B:L,11,FALSE),"")</f>
        <v/>
      </c>
      <c r="I4479" s="26" t="str">
        <f>IFERROR(VLOOKUP(G4479,WholesaleExtract!B:O,8,FALSE),"")</f>
        <v/>
      </c>
      <c r="J4479" s="26" t="str">
        <f>IFERROR(VLOOKUP(G4479,WholesaleExtract!B:O,14,FALSE),"")</f>
        <v/>
      </c>
      <c r="K4479" s="26" t="str">
        <f>IFERROR(VLOOKUP(G4479,WholesaleExtract!B:K,10,FALSE),"")</f>
        <v/>
      </c>
      <c r="L4479" s="47" t="str">
        <f>IFERROR(VLOOKUP(G4479,WholesaleExtract!B:L,11,FALSE),"")</f>
        <v/>
      </c>
      <c r="M4479" s="47" t="str">
        <f>IFERROR(VLOOKUP(G4479,WholesaleExtract!B:M,12,FALSE),"")</f>
        <v/>
      </c>
      <c r="R4479" s="19"/>
      <c r="S4479" s="19"/>
    </row>
    <row r="4480" spans="1:19" x14ac:dyDescent="0.35">
      <c r="A4480" s="26" t="s">
        <v>543</v>
      </c>
      <c r="B4480" s="26" t="s">
        <v>543</v>
      </c>
      <c r="C4480" s="26"/>
      <c r="D4480" s="26" t="s">
        <v>543</v>
      </c>
      <c r="E4480" s="26" t="str">
        <f>IFERROR(VLOOKUP(G4480,WholesaleExtract!B:J,9,FALSE),"")</f>
        <v/>
      </c>
      <c r="F4480" s="26" t="str">
        <f>IFERROR(VLOOKUP(G4480,WholesaleExtract!B:J,6,FALSE),"")</f>
        <v/>
      </c>
      <c r="H4480" s="47" t="str">
        <f>IFERROR(VLOOKUP(G4480,WholesaleExtract!B:L,11,FALSE),"")</f>
        <v/>
      </c>
      <c r="I4480" s="26" t="str">
        <f>IFERROR(VLOOKUP(G4480,WholesaleExtract!B:O,8,FALSE),"")</f>
        <v/>
      </c>
      <c r="J4480" s="26" t="str">
        <f>IFERROR(VLOOKUP(G4480,WholesaleExtract!B:O,14,FALSE),"")</f>
        <v/>
      </c>
      <c r="K4480" s="26" t="str">
        <f>IFERROR(VLOOKUP(G4480,WholesaleExtract!B:K,10,FALSE),"")</f>
        <v/>
      </c>
      <c r="L4480" s="47" t="str">
        <f>IFERROR(VLOOKUP(G4480,WholesaleExtract!B:L,11,FALSE),"")</f>
        <v/>
      </c>
      <c r="M4480" s="47" t="str">
        <f>IFERROR(VLOOKUP(G4480,WholesaleExtract!B:M,12,FALSE),"")</f>
        <v/>
      </c>
      <c r="R4480" s="19"/>
      <c r="S4480" s="19"/>
    </row>
    <row r="4481" spans="1:19" x14ac:dyDescent="0.35">
      <c r="A4481" s="26" t="s">
        <v>543</v>
      </c>
      <c r="B4481" s="26" t="s">
        <v>543</v>
      </c>
      <c r="C4481" s="26"/>
      <c r="D4481" s="26" t="s">
        <v>543</v>
      </c>
      <c r="E4481" s="26" t="str">
        <f>IFERROR(VLOOKUP(G4481,WholesaleExtract!B:J,9,FALSE),"")</f>
        <v/>
      </c>
      <c r="F4481" s="26" t="str">
        <f>IFERROR(VLOOKUP(G4481,WholesaleExtract!B:J,6,FALSE),"")</f>
        <v/>
      </c>
      <c r="H4481" s="47" t="str">
        <f>IFERROR(VLOOKUP(G4481,WholesaleExtract!B:L,11,FALSE),"")</f>
        <v/>
      </c>
      <c r="I4481" s="26" t="str">
        <f>IFERROR(VLOOKUP(G4481,WholesaleExtract!B:O,8,FALSE),"")</f>
        <v/>
      </c>
      <c r="J4481" s="26" t="str">
        <f>IFERROR(VLOOKUP(G4481,WholesaleExtract!B:O,14,FALSE),"")</f>
        <v/>
      </c>
      <c r="K4481" s="26" t="str">
        <f>IFERROR(VLOOKUP(G4481,WholesaleExtract!B:K,10,FALSE),"")</f>
        <v/>
      </c>
      <c r="L4481" s="47" t="str">
        <f>IFERROR(VLOOKUP(G4481,WholesaleExtract!B:L,11,FALSE),"")</f>
        <v/>
      </c>
      <c r="M4481" s="47" t="str">
        <f>IFERROR(VLOOKUP(G4481,WholesaleExtract!B:M,12,FALSE),"")</f>
        <v/>
      </c>
      <c r="R4481" s="19"/>
      <c r="S4481" s="19"/>
    </row>
    <row r="4482" spans="1:19" x14ac:dyDescent="0.35">
      <c r="A4482" s="26" t="s">
        <v>543</v>
      </c>
      <c r="B4482" s="26" t="s">
        <v>543</v>
      </c>
      <c r="C4482" s="26"/>
      <c r="D4482" s="26" t="s">
        <v>543</v>
      </c>
      <c r="E4482" s="26" t="str">
        <f>IFERROR(VLOOKUP(G4482,WholesaleExtract!B:J,9,FALSE),"")</f>
        <v/>
      </c>
      <c r="F4482" s="26" t="str">
        <f>IFERROR(VLOOKUP(G4482,WholesaleExtract!B:J,6,FALSE),"")</f>
        <v/>
      </c>
      <c r="H4482" s="47" t="str">
        <f>IFERROR(VLOOKUP(G4482,WholesaleExtract!B:L,11,FALSE),"")</f>
        <v/>
      </c>
      <c r="I4482" s="26" t="str">
        <f>IFERROR(VLOOKUP(G4482,WholesaleExtract!B:O,8,FALSE),"")</f>
        <v/>
      </c>
      <c r="J4482" s="26" t="str">
        <f>IFERROR(VLOOKUP(G4482,WholesaleExtract!B:O,14,FALSE),"")</f>
        <v/>
      </c>
      <c r="K4482" s="26" t="str">
        <f>IFERROR(VLOOKUP(G4482,WholesaleExtract!B:K,10,FALSE),"")</f>
        <v/>
      </c>
      <c r="L4482" s="47" t="str">
        <f>IFERROR(VLOOKUP(G4482,WholesaleExtract!B:L,11,FALSE),"")</f>
        <v/>
      </c>
      <c r="M4482" s="47" t="str">
        <f>IFERROR(VLOOKUP(G4482,WholesaleExtract!B:M,12,FALSE),"")</f>
        <v/>
      </c>
      <c r="R4482" s="19"/>
      <c r="S4482" s="19"/>
    </row>
    <row r="4483" spans="1:19" x14ac:dyDescent="0.35">
      <c r="A4483" s="26" t="s">
        <v>543</v>
      </c>
      <c r="B4483" s="26" t="s">
        <v>543</v>
      </c>
      <c r="C4483" s="26"/>
      <c r="D4483" s="26" t="s">
        <v>543</v>
      </c>
      <c r="E4483" s="26" t="str">
        <f>IFERROR(VLOOKUP(G4483,WholesaleExtract!B:J,9,FALSE),"")</f>
        <v/>
      </c>
      <c r="F4483" s="26" t="str">
        <f>IFERROR(VLOOKUP(G4483,WholesaleExtract!B:J,6,FALSE),"")</f>
        <v/>
      </c>
      <c r="H4483" s="47" t="str">
        <f>IFERROR(VLOOKUP(G4483,WholesaleExtract!B:L,11,FALSE),"")</f>
        <v/>
      </c>
      <c r="I4483" s="26" t="str">
        <f>IFERROR(VLOOKUP(G4483,WholesaleExtract!B:O,8,FALSE),"")</f>
        <v/>
      </c>
      <c r="J4483" s="26" t="str">
        <f>IFERROR(VLOOKUP(G4483,WholesaleExtract!B:O,14,FALSE),"")</f>
        <v/>
      </c>
      <c r="K4483" s="26" t="str">
        <f>IFERROR(VLOOKUP(G4483,WholesaleExtract!B:K,10,FALSE),"")</f>
        <v/>
      </c>
      <c r="L4483" s="47" t="str">
        <f>IFERROR(VLOOKUP(G4483,WholesaleExtract!B:L,11,FALSE),"")</f>
        <v/>
      </c>
      <c r="M4483" s="47" t="str">
        <f>IFERROR(VLOOKUP(G4483,WholesaleExtract!B:M,12,FALSE),"")</f>
        <v/>
      </c>
      <c r="R4483" s="19"/>
      <c r="S4483" s="19"/>
    </row>
    <row r="4484" spans="1:19" x14ac:dyDescent="0.35">
      <c r="A4484" s="26" t="s">
        <v>543</v>
      </c>
      <c r="B4484" s="26" t="s">
        <v>543</v>
      </c>
      <c r="C4484" s="26"/>
      <c r="D4484" s="26" t="s">
        <v>543</v>
      </c>
      <c r="E4484" s="26" t="str">
        <f>IFERROR(VLOOKUP(G4484,WholesaleExtract!B:J,9,FALSE),"")</f>
        <v/>
      </c>
      <c r="F4484" s="26" t="str">
        <f>IFERROR(VLOOKUP(G4484,WholesaleExtract!B:J,6,FALSE),"")</f>
        <v/>
      </c>
      <c r="H4484" s="47" t="str">
        <f>IFERROR(VLOOKUP(G4484,WholesaleExtract!B:L,11,FALSE),"")</f>
        <v/>
      </c>
      <c r="I4484" s="26" t="str">
        <f>IFERROR(VLOOKUP(G4484,WholesaleExtract!B:O,8,FALSE),"")</f>
        <v/>
      </c>
      <c r="J4484" s="26" t="str">
        <f>IFERROR(VLOOKUP(G4484,WholesaleExtract!B:O,14,FALSE),"")</f>
        <v/>
      </c>
      <c r="K4484" s="26" t="str">
        <f>IFERROR(VLOOKUP(G4484,WholesaleExtract!B:K,10,FALSE),"")</f>
        <v/>
      </c>
      <c r="L4484" s="47" t="str">
        <f>IFERROR(VLOOKUP(G4484,WholesaleExtract!B:L,11,FALSE),"")</f>
        <v/>
      </c>
      <c r="M4484" s="47" t="str">
        <f>IFERROR(VLOOKUP(G4484,WholesaleExtract!B:M,12,FALSE),"")</f>
        <v/>
      </c>
      <c r="R4484" s="19"/>
      <c r="S4484" s="19"/>
    </row>
    <row r="4485" spans="1:19" x14ac:dyDescent="0.35">
      <c r="A4485" s="26" t="s">
        <v>543</v>
      </c>
      <c r="B4485" s="26" t="s">
        <v>543</v>
      </c>
      <c r="C4485" s="26"/>
      <c r="D4485" s="26" t="s">
        <v>543</v>
      </c>
      <c r="E4485" s="26" t="str">
        <f>IFERROR(VLOOKUP(G4485,WholesaleExtract!B:J,9,FALSE),"")</f>
        <v/>
      </c>
      <c r="F4485" s="26" t="str">
        <f>IFERROR(VLOOKUP(G4485,WholesaleExtract!B:J,6,FALSE),"")</f>
        <v/>
      </c>
      <c r="H4485" s="47" t="str">
        <f>IFERROR(VLOOKUP(G4485,WholesaleExtract!B:L,11,FALSE),"")</f>
        <v/>
      </c>
      <c r="I4485" s="26" t="str">
        <f>IFERROR(VLOOKUP(G4485,WholesaleExtract!B:O,8,FALSE),"")</f>
        <v/>
      </c>
      <c r="J4485" s="26" t="str">
        <f>IFERROR(VLOOKUP(G4485,WholesaleExtract!B:O,14,FALSE),"")</f>
        <v/>
      </c>
      <c r="K4485" s="26" t="str">
        <f>IFERROR(VLOOKUP(G4485,WholesaleExtract!B:K,10,FALSE),"")</f>
        <v/>
      </c>
      <c r="L4485" s="47" t="str">
        <f>IFERROR(VLOOKUP(G4485,WholesaleExtract!B:L,11,FALSE),"")</f>
        <v/>
      </c>
      <c r="M4485" s="47" t="str">
        <f>IFERROR(VLOOKUP(G4485,WholesaleExtract!B:M,12,FALSE),"")</f>
        <v/>
      </c>
      <c r="R4485" s="19"/>
      <c r="S4485" s="19"/>
    </row>
    <row r="4486" spans="1:19" x14ac:dyDescent="0.35">
      <c r="A4486" s="26" t="s">
        <v>543</v>
      </c>
      <c r="B4486" s="26" t="s">
        <v>543</v>
      </c>
      <c r="C4486" s="26"/>
      <c r="D4486" s="26" t="s">
        <v>543</v>
      </c>
      <c r="E4486" s="26" t="str">
        <f>IFERROR(VLOOKUP(G4486,WholesaleExtract!B:J,9,FALSE),"")</f>
        <v/>
      </c>
      <c r="F4486" s="26" t="str">
        <f>IFERROR(VLOOKUP(G4486,WholesaleExtract!B:J,6,FALSE),"")</f>
        <v/>
      </c>
      <c r="H4486" s="47" t="str">
        <f>IFERROR(VLOOKUP(G4486,WholesaleExtract!B:L,11,FALSE),"")</f>
        <v/>
      </c>
      <c r="I4486" s="26" t="str">
        <f>IFERROR(VLOOKUP(G4486,WholesaleExtract!B:O,8,FALSE),"")</f>
        <v/>
      </c>
      <c r="J4486" s="26" t="str">
        <f>IFERROR(VLOOKUP(G4486,WholesaleExtract!B:O,14,FALSE),"")</f>
        <v/>
      </c>
      <c r="K4486" s="26" t="str">
        <f>IFERROR(VLOOKUP(G4486,WholesaleExtract!B:K,10,FALSE),"")</f>
        <v/>
      </c>
      <c r="L4486" s="47" t="str">
        <f>IFERROR(VLOOKUP(G4486,WholesaleExtract!B:L,11,FALSE),"")</f>
        <v/>
      </c>
      <c r="M4486" s="47" t="str">
        <f>IFERROR(VLOOKUP(G4486,WholesaleExtract!B:M,12,FALSE),"")</f>
        <v/>
      </c>
      <c r="R4486" s="19"/>
      <c r="S4486" s="19"/>
    </row>
    <row r="4487" spans="1:19" x14ac:dyDescent="0.35">
      <c r="A4487" s="26" t="s">
        <v>543</v>
      </c>
      <c r="B4487" s="26" t="s">
        <v>543</v>
      </c>
      <c r="C4487" s="26"/>
      <c r="D4487" s="26" t="s">
        <v>543</v>
      </c>
      <c r="E4487" s="26" t="str">
        <f>IFERROR(VLOOKUP(G4487,WholesaleExtract!B:J,9,FALSE),"")</f>
        <v/>
      </c>
      <c r="F4487" s="26" t="str">
        <f>IFERROR(VLOOKUP(G4487,WholesaleExtract!B:J,6,FALSE),"")</f>
        <v/>
      </c>
      <c r="H4487" s="47" t="str">
        <f>IFERROR(VLOOKUP(G4487,WholesaleExtract!B:L,11,FALSE),"")</f>
        <v/>
      </c>
      <c r="I4487" s="26" t="str">
        <f>IFERROR(VLOOKUP(G4487,WholesaleExtract!B:O,8,FALSE),"")</f>
        <v/>
      </c>
      <c r="J4487" s="26" t="str">
        <f>IFERROR(VLOOKUP(G4487,WholesaleExtract!B:O,14,FALSE),"")</f>
        <v/>
      </c>
      <c r="K4487" s="26" t="str">
        <f>IFERROR(VLOOKUP(G4487,WholesaleExtract!B:K,10,FALSE),"")</f>
        <v/>
      </c>
      <c r="L4487" s="47" t="str">
        <f>IFERROR(VLOOKUP(G4487,WholesaleExtract!B:L,11,FALSE),"")</f>
        <v/>
      </c>
      <c r="M4487" s="47" t="str">
        <f>IFERROR(VLOOKUP(G4487,WholesaleExtract!B:M,12,FALSE),"")</f>
        <v/>
      </c>
      <c r="R4487" s="19"/>
      <c r="S4487" s="19"/>
    </row>
    <row r="4488" spans="1:19" x14ac:dyDescent="0.35">
      <c r="A4488" s="26" t="s">
        <v>543</v>
      </c>
      <c r="B4488" s="26" t="s">
        <v>543</v>
      </c>
      <c r="C4488" s="26"/>
      <c r="D4488" s="26" t="s">
        <v>543</v>
      </c>
      <c r="E4488" s="26" t="str">
        <f>IFERROR(VLOOKUP(G4488,WholesaleExtract!B:J,9,FALSE),"")</f>
        <v/>
      </c>
      <c r="F4488" s="26" t="str">
        <f>IFERROR(VLOOKUP(G4488,WholesaleExtract!B:J,6,FALSE),"")</f>
        <v/>
      </c>
      <c r="H4488" s="47" t="str">
        <f>IFERROR(VLOOKUP(G4488,WholesaleExtract!B:L,11,FALSE),"")</f>
        <v/>
      </c>
      <c r="I4488" s="26" t="str">
        <f>IFERROR(VLOOKUP(G4488,WholesaleExtract!B:O,8,FALSE),"")</f>
        <v/>
      </c>
      <c r="J4488" s="26" t="str">
        <f>IFERROR(VLOOKUP(G4488,WholesaleExtract!B:O,14,FALSE),"")</f>
        <v/>
      </c>
      <c r="K4488" s="26" t="str">
        <f>IFERROR(VLOOKUP(G4488,WholesaleExtract!B:K,10,FALSE),"")</f>
        <v/>
      </c>
      <c r="L4488" s="47" t="str">
        <f>IFERROR(VLOOKUP(G4488,WholesaleExtract!B:L,11,FALSE),"")</f>
        <v/>
      </c>
      <c r="M4488" s="47" t="str">
        <f>IFERROR(VLOOKUP(G4488,WholesaleExtract!B:M,12,FALSE),"")</f>
        <v/>
      </c>
      <c r="R4488" s="19"/>
      <c r="S4488" s="19"/>
    </row>
    <row r="4489" spans="1:19" x14ac:dyDescent="0.35">
      <c r="A4489" s="26" t="s">
        <v>543</v>
      </c>
      <c r="B4489" s="26" t="s">
        <v>543</v>
      </c>
      <c r="C4489" s="26"/>
      <c r="D4489" s="26" t="s">
        <v>543</v>
      </c>
      <c r="E4489" s="26" t="str">
        <f>IFERROR(VLOOKUP(G4489,WholesaleExtract!B:J,9,FALSE),"")</f>
        <v/>
      </c>
      <c r="F4489" s="26" t="str">
        <f>IFERROR(VLOOKUP(G4489,WholesaleExtract!B:J,6,FALSE),"")</f>
        <v/>
      </c>
      <c r="H4489" s="47" t="str">
        <f>IFERROR(VLOOKUP(G4489,WholesaleExtract!B:L,11,FALSE),"")</f>
        <v/>
      </c>
      <c r="I4489" s="26" t="str">
        <f>IFERROR(VLOOKUP(G4489,WholesaleExtract!B:O,8,FALSE),"")</f>
        <v/>
      </c>
      <c r="J4489" s="26" t="str">
        <f>IFERROR(VLOOKUP(G4489,WholesaleExtract!B:O,14,FALSE),"")</f>
        <v/>
      </c>
      <c r="K4489" s="26" t="str">
        <f>IFERROR(VLOOKUP(G4489,WholesaleExtract!B:K,10,FALSE),"")</f>
        <v/>
      </c>
      <c r="L4489" s="47" t="str">
        <f>IFERROR(VLOOKUP(G4489,WholesaleExtract!B:L,11,FALSE),"")</f>
        <v/>
      </c>
      <c r="M4489" s="47" t="str">
        <f>IFERROR(VLOOKUP(G4489,WholesaleExtract!B:M,12,FALSE),"")</f>
        <v/>
      </c>
      <c r="R4489" s="19"/>
      <c r="S4489" s="19"/>
    </row>
    <row r="4490" spans="1:19" x14ac:dyDescent="0.35">
      <c r="A4490" s="26" t="s">
        <v>543</v>
      </c>
      <c r="B4490" s="26" t="s">
        <v>543</v>
      </c>
      <c r="C4490" s="26"/>
      <c r="D4490" s="26" t="s">
        <v>543</v>
      </c>
      <c r="E4490" s="26" t="str">
        <f>IFERROR(VLOOKUP(G4490,WholesaleExtract!B:J,9,FALSE),"")</f>
        <v/>
      </c>
      <c r="F4490" s="26" t="str">
        <f>IFERROR(VLOOKUP(G4490,WholesaleExtract!B:J,6,FALSE),"")</f>
        <v/>
      </c>
      <c r="H4490" s="47" t="str">
        <f>IFERROR(VLOOKUP(G4490,WholesaleExtract!B:L,11,FALSE),"")</f>
        <v/>
      </c>
      <c r="I4490" s="26" t="str">
        <f>IFERROR(VLOOKUP(G4490,WholesaleExtract!B:O,8,FALSE),"")</f>
        <v/>
      </c>
      <c r="J4490" s="26" t="str">
        <f>IFERROR(VLOOKUP(G4490,WholesaleExtract!B:O,14,FALSE),"")</f>
        <v/>
      </c>
      <c r="K4490" s="26" t="str">
        <f>IFERROR(VLOOKUP(G4490,WholesaleExtract!B:K,10,FALSE),"")</f>
        <v/>
      </c>
      <c r="L4490" s="47" t="str">
        <f>IFERROR(VLOOKUP(G4490,WholesaleExtract!B:L,11,FALSE),"")</f>
        <v/>
      </c>
      <c r="M4490" s="47" t="str">
        <f>IFERROR(VLOOKUP(G4490,WholesaleExtract!B:M,12,FALSE),"")</f>
        <v/>
      </c>
      <c r="R4490" s="19"/>
      <c r="S4490" s="19"/>
    </row>
    <row r="4491" spans="1:19" x14ac:dyDescent="0.35">
      <c r="A4491" s="26" t="s">
        <v>543</v>
      </c>
      <c r="B4491" s="26" t="s">
        <v>543</v>
      </c>
      <c r="C4491" s="26"/>
      <c r="D4491" s="26" t="s">
        <v>543</v>
      </c>
      <c r="E4491" s="26" t="str">
        <f>IFERROR(VLOOKUP(G4491,WholesaleExtract!B:J,9,FALSE),"")</f>
        <v/>
      </c>
      <c r="F4491" s="26" t="str">
        <f>IFERROR(VLOOKUP(G4491,WholesaleExtract!B:J,6,FALSE),"")</f>
        <v/>
      </c>
      <c r="H4491" s="47" t="str">
        <f>IFERROR(VLOOKUP(G4491,WholesaleExtract!B:L,11,FALSE),"")</f>
        <v/>
      </c>
      <c r="I4491" s="26" t="str">
        <f>IFERROR(VLOOKUP(G4491,WholesaleExtract!B:O,8,FALSE),"")</f>
        <v/>
      </c>
      <c r="J4491" s="26" t="str">
        <f>IFERROR(VLOOKUP(G4491,WholesaleExtract!B:O,14,FALSE),"")</f>
        <v/>
      </c>
      <c r="K4491" s="26" t="str">
        <f>IFERROR(VLOOKUP(G4491,WholesaleExtract!B:K,10,FALSE),"")</f>
        <v/>
      </c>
      <c r="L4491" s="47" t="str">
        <f>IFERROR(VLOOKUP(G4491,WholesaleExtract!B:L,11,FALSE),"")</f>
        <v/>
      </c>
      <c r="M4491" s="47" t="str">
        <f>IFERROR(VLOOKUP(G4491,WholesaleExtract!B:M,12,FALSE),"")</f>
        <v/>
      </c>
      <c r="R4491" s="19"/>
      <c r="S4491" s="19"/>
    </row>
    <row r="4492" spans="1:19" x14ac:dyDescent="0.35">
      <c r="A4492" s="26" t="s">
        <v>543</v>
      </c>
      <c r="B4492" s="26" t="s">
        <v>543</v>
      </c>
      <c r="C4492" s="26"/>
      <c r="D4492" s="26" t="s">
        <v>543</v>
      </c>
      <c r="E4492" s="26" t="str">
        <f>IFERROR(VLOOKUP(G4492,WholesaleExtract!B:J,9,FALSE),"")</f>
        <v/>
      </c>
      <c r="F4492" s="26" t="str">
        <f>IFERROR(VLOOKUP(G4492,WholesaleExtract!B:J,6,FALSE),"")</f>
        <v/>
      </c>
      <c r="H4492" s="47" t="str">
        <f>IFERROR(VLOOKUP(G4492,WholesaleExtract!B:L,11,FALSE),"")</f>
        <v/>
      </c>
      <c r="I4492" s="26" t="str">
        <f>IFERROR(VLOOKUP(G4492,WholesaleExtract!B:O,8,FALSE),"")</f>
        <v/>
      </c>
      <c r="J4492" s="26" t="str">
        <f>IFERROR(VLOOKUP(G4492,WholesaleExtract!B:O,14,FALSE),"")</f>
        <v/>
      </c>
      <c r="K4492" s="26" t="str">
        <f>IFERROR(VLOOKUP(G4492,WholesaleExtract!B:K,10,FALSE),"")</f>
        <v/>
      </c>
      <c r="L4492" s="47" t="str">
        <f>IFERROR(VLOOKUP(G4492,WholesaleExtract!B:L,11,FALSE),"")</f>
        <v/>
      </c>
      <c r="M4492" s="47" t="str">
        <f>IFERROR(VLOOKUP(G4492,WholesaleExtract!B:M,12,FALSE),"")</f>
        <v/>
      </c>
      <c r="R4492" s="19"/>
      <c r="S4492" s="19"/>
    </row>
    <row r="4493" spans="1:19" x14ac:dyDescent="0.35">
      <c r="A4493" s="26" t="s">
        <v>543</v>
      </c>
      <c r="B4493" s="26" t="s">
        <v>543</v>
      </c>
      <c r="C4493" s="26"/>
      <c r="D4493" s="26" t="s">
        <v>543</v>
      </c>
      <c r="E4493" s="26" t="str">
        <f>IFERROR(VLOOKUP(G4493,WholesaleExtract!B:J,9,FALSE),"")</f>
        <v/>
      </c>
      <c r="F4493" s="26" t="str">
        <f>IFERROR(VLOOKUP(G4493,WholesaleExtract!B:J,6,FALSE),"")</f>
        <v/>
      </c>
      <c r="H4493" s="47" t="str">
        <f>IFERROR(VLOOKUP(G4493,WholesaleExtract!B:L,11,FALSE),"")</f>
        <v/>
      </c>
      <c r="I4493" s="26" t="str">
        <f>IFERROR(VLOOKUP(G4493,WholesaleExtract!B:O,8,FALSE),"")</f>
        <v/>
      </c>
      <c r="J4493" s="26" t="str">
        <f>IFERROR(VLOOKUP(G4493,WholesaleExtract!B:O,14,FALSE),"")</f>
        <v/>
      </c>
      <c r="K4493" s="26" t="str">
        <f>IFERROR(VLOOKUP(G4493,WholesaleExtract!B:K,10,FALSE),"")</f>
        <v/>
      </c>
      <c r="L4493" s="47" t="str">
        <f>IFERROR(VLOOKUP(G4493,WholesaleExtract!B:L,11,FALSE),"")</f>
        <v/>
      </c>
      <c r="M4493" s="47" t="str">
        <f>IFERROR(VLOOKUP(G4493,WholesaleExtract!B:M,12,FALSE),"")</f>
        <v/>
      </c>
      <c r="R4493" s="19"/>
      <c r="S4493" s="19"/>
    </row>
    <row r="4494" spans="1:19" x14ac:dyDescent="0.35">
      <c r="A4494" s="26" t="s">
        <v>543</v>
      </c>
      <c r="B4494" s="26" t="s">
        <v>543</v>
      </c>
      <c r="C4494" s="26"/>
      <c r="D4494" s="26" t="s">
        <v>543</v>
      </c>
      <c r="E4494" s="26" t="str">
        <f>IFERROR(VLOOKUP(G4494,WholesaleExtract!B:J,9,FALSE),"")</f>
        <v/>
      </c>
      <c r="F4494" s="26" t="str">
        <f>IFERROR(VLOOKUP(G4494,WholesaleExtract!B:J,6,FALSE),"")</f>
        <v/>
      </c>
      <c r="H4494" s="47" t="str">
        <f>IFERROR(VLOOKUP(G4494,WholesaleExtract!B:L,11,FALSE),"")</f>
        <v/>
      </c>
      <c r="I4494" s="26" t="str">
        <f>IFERROR(VLOOKUP(G4494,WholesaleExtract!B:O,8,FALSE),"")</f>
        <v/>
      </c>
      <c r="J4494" s="26" t="str">
        <f>IFERROR(VLOOKUP(G4494,WholesaleExtract!B:O,14,FALSE),"")</f>
        <v/>
      </c>
      <c r="K4494" s="26" t="str">
        <f>IFERROR(VLOOKUP(G4494,WholesaleExtract!B:K,10,FALSE),"")</f>
        <v/>
      </c>
      <c r="L4494" s="47" t="str">
        <f>IFERROR(VLOOKUP(G4494,WholesaleExtract!B:L,11,FALSE),"")</f>
        <v/>
      </c>
      <c r="M4494" s="47" t="str">
        <f>IFERROR(VLOOKUP(G4494,WholesaleExtract!B:M,12,FALSE),"")</f>
        <v/>
      </c>
      <c r="R4494" s="19"/>
      <c r="S4494" s="19"/>
    </row>
    <row r="4495" spans="1:19" x14ac:dyDescent="0.35">
      <c r="A4495" s="26" t="s">
        <v>543</v>
      </c>
      <c r="B4495" s="26" t="s">
        <v>543</v>
      </c>
      <c r="C4495" s="26"/>
      <c r="D4495" s="26" t="s">
        <v>543</v>
      </c>
      <c r="E4495" s="26" t="str">
        <f>IFERROR(VLOOKUP(G4495,WholesaleExtract!B:J,9,FALSE),"")</f>
        <v/>
      </c>
      <c r="F4495" s="26" t="str">
        <f>IFERROR(VLOOKUP(G4495,WholesaleExtract!B:J,6,FALSE),"")</f>
        <v/>
      </c>
      <c r="H4495" s="47" t="str">
        <f>IFERROR(VLOOKUP(G4495,WholesaleExtract!B:L,11,FALSE),"")</f>
        <v/>
      </c>
      <c r="I4495" s="26" t="str">
        <f>IFERROR(VLOOKUP(G4495,WholesaleExtract!B:O,8,FALSE),"")</f>
        <v/>
      </c>
      <c r="J4495" s="26" t="str">
        <f>IFERROR(VLOOKUP(G4495,WholesaleExtract!B:O,14,FALSE),"")</f>
        <v/>
      </c>
      <c r="K4495" s="26" t="str">
        <f>IFERROR(VLOOKUP(G4495,WholesaleExtract!B:K,10,FALSE),"")</f>
        <v/>
      </c>
      <c r="L4495" s="47" t="str">
        <f>IFERROR(VLOOKUP(G4495,WholesaleExtract!B:L,11,FALSE),"")</f>
        <v/>
      </c>
      <c r="M4495" s="47" t="str">
        <f>IFERROR(VLOOKUP(G4495,WholesaleExtract!B:M,12,FALSE),"")</f>
        <v/>
      </c>
      <c r="R4495" s="19"/>
      <c r="S4495" s="19"/>
    </row>
    <row r="4496" spans="1:19" x14ac:dyDescent="0.35">
      <c r="A4496" s="26" t="s">
        <v>543</v>
      </c>
      <c r="B4496" s="26" t="s">
        <v>543</v>
      </c>
      <c r="C4496" s="26"/>
      <c r="D4496" s="26" t="s">
        <v>543</v>
      </c>
      <c r="E4496" s="26" t="str">
        <f>IFERROR(VLOOKUP(G4496,WholesaleExtract!B:J,9,FALSE),"")</f>
        <v/>
      </c>
      <c r="F4496" s="26" t="str">
        <f>IFERROR(VLOOKUP(G4496,WholesaleExtract!B:J,6,FALSE),"")</f>
        <v/>
      </c>
      <c r="H4496" s="47" t="str">
        <f>IFERROR(VLOOKUP(G4496,WholesaleExtract!B:L,11,FALSE),"")</f>
        <v/>
      </c>
      <c r="I4496" s="26" t="str">
        <f>IFERROR(VLOOKUP(G4496,WholesaleExtract!B:O,8,FALSE),"")</f>
        <v/>
      </c>
      <c r="J4496" s="26" t="str">
        <f>IFERROR(VLOOKUP(G4496,WholesaleExtract!B:O,14,FALSE),"")</f>
        <v/>
      </c>
      <c r="K4496" s="26" t="str">
        <f>IFERROR(VLOOKUP(G4496,WholesaleExtract!B:K,10,FALSE),"")</f>
        <v/>
      </c>
      <c r="L4496" s="47" t="str">
        <f>IFERROR(VLOOKUP(G4496,WholesaleExtract!B:L,11,FALSE),"")</f>
        <v/>
      </c>
      <c r="M4496" s="47" t="str">
        <f>IFERROR(VLOOKUP(G4496,WholesaleExtract!B:M,12,FALSE),"")</f>
        <v/>
      </c>
      <c r="R4496" s="19"/>
      <c r="S4496" s="19"/>
    </row>
    <row r="4497" spans="1:19" x14ac:dyDescent="0.35">
      <c r="A4497" s="26" t="s">
        <v>543</v>
      </c>
      <c r="B4497" s="26" t="s">
        <v>543</v>
      </c>
      <c r="C4497" s="26"/>
      <c r="D4497" s="26" t="s">
        <v>543</v>
      </c>
      <c r="E4497" s="26" t="str">
        <f>IFERROR(VLOOKUP(G4497,WholesaleExtract!B:J,9,FALSE),"")</f>
        <v/>
      </c>
      <c r="F4497" s="26" t="str">
        <f>IFERROR(VLOOKUP(G4497,WholesaleExtract!B:J,6,FALSE),"")</f>
        <v/>
      </c>
      <c r="H4497" s="47" t="str">
        <f>IFERROR(VLOOKUP(G4497,WholesaleExtract!B:L,11,FALSE),"")</f>
        <v/>
      </c>
      <c r="I4497" s="26" t="str">
        <f>IFERROR(VLOOKUP(G4497,WholesaleExtract!B:O,8,FALSE),"")</f>
        <v/>
      </c>
      <c r="J4497" s="26" t="str">
        <f>IFERROR(VLOOKUP(G4497,WholesaleExtract!B:O,14,FALSE),"")</f>
        <v/>
      </c>
      <c r="K4497" s="26" t="str">
        <f>IFERROR(VLOOKUP(G4497,WholesaleExtract!B:K,10,FALSE),"")</f>
        <v/>
      </c>
      <c r="L4497" s="47" t="str">
        <f>IFERROR(VLOOKUP(G4497,WholesaleExtract!B:L,11,FALSE),"")</f>
        <v/>
      </c>
      <c r="M4497" s="47" t="str">
        <f>IFERROR(VLOOKUP(G4497,WholesaleExtract!B:M,12,FALSE),"")</f>
        <v/>
      </c>
      <c r="R4497" s="19"/>
      <c r="S4497" s="19"/>
    </row>
    <row r="4498" spans="1:19" x14ac:dyDescent="0.35">
      <c r="A4498" s="26" t="s">
        <v>543</v>
      </c>
      <c r="B4498" s="26" t="s">
        <v>543</v>
      </c>
      <c r="C4498" s="26"/>
      <c r="D4498" s="26" t="s">
        <v>543</v>
      </c>
      <c r="E4498" s="26" t="str">
        <f>IFERROR(VLOOKUP(G4498,WholesaleExtract!B:J,9,FALSE),"")</f>
        <v/>
      </c>
      <c r="F4498" s="26" t="str">
        <f>IFERROR(VLOOKUP(G4498,WholesaleExtract!B:J,6,FALSE),"")</f>
        <v/>
      </c>
      <c r="H4498" s="47" t="str">
        <f>IFERROR(VLOOKUP(G4498,WholesaleExtract!B:L,11,FALSE),"")</f>
        <v/>
      </c>
      <c r="I4498" s="26" t="str">
        <f>IFERROR(VLOOKUP(G4498,WholesaleExtract!B:O,8,FALSE),"")</f>
        <v/>
      </c>
      <c r="J4498" s="26" t="str">
        <f>IFERROR(VLOOKUP(G4498,WholesaleExtract!B:O,14,FALSE),"")</f>
        <v/>
      </c>
      <c r="K4498" s="26" t="str">
        <f>IFERROR(VLOOKUP(G4498,WholesaleExtract!B:K,10,FALSE),"")</f>
        <v/>
      </c>
      <c r="L4498" s="47" t="str">
        <f>IFERROR(VLOOKUP(G4498,WholesaleExtract!B:L,11,FALSE),"")</f>
        <v/>
      </c>
      <c r="M4498" s="47" t="str">
        <f>IFERROR(VLOOKUP(G4498,WholesaleExtract!B:M,12,FALSE),"")</f>
        <v/>
      </c>
      <c r="R4498" s="19"/>
      <c r="S4498" s="19"/>
    </row>
    <row r="4499" spans="1:19" x14ac:dyDescent="0.35">
      <c r="A4499" s="26" t="s">
        <v>543</v>
      </c>
      <c r="B4499" s="26" t="s">
        <v>543</v>
      </c>
      <c r="C4499" s="26"/>
      <c r="D4499" s="26" t="s">
        <v>543</v>
      </c>
      <c r="E4499" s="26" t="str">
        <f>IFERROR(VLOOKUP(G4499,WholesaleExtract!B:J,9,FALSE),"")</f>
        <v/>
      </c>
      <c r="F4499" s="26" t="str">
        <f>IFERROR(VLOOKUP(G4499,WholesaleExtract!B:J,6,FALSE),"")</f>
        <v/>
      </c>
      <c r="H4499" s="47" t="str">
        <f>IFERROR(VLOOKUP(G4499,WholesaleExtract!B:L,11,FALSE),"")</f>
        <v/>
      </c>
      <c r="I4499" s="26" t="str">
        <f>IFERROR(VLOOKUP(G4499,WholesaleExtract!B:O,8,FALSE),"")</f>
        <v/>
      </c>
      <c r="J4499" s="26" t="str">
        <f>IFERROR(VLOOKUP(G4499,WholesaleExtract!B:O,14,FALSE),"")</f>
        <v/>
      </c>
      <c r="K4499" s="26" t="str">
        <f>IFERROR(VLOOKUP(G4499,WholesaleExtract!B:K,10,FALSE),"")</f>
        <v/>
      </c>
      <c r="L4499" s="47" t="str">
        <f>IFERROR(VLOOKUP(G4499,WholesaleExtract!B:L,11,FALSE),"")</f>
        <v/>
      </c>
      <c r="M4499" s="47" t="str">
        <f>IFERROR(VLOOKUP(G4499,WholesaleExtract!B:M,12,FALSE),"")</f>
        <v/>
      </c>
      <c r="R4499" s="19"/>
      <c r="S4499" s="19"/>
    </row>
    <row r="4500" spans="1:19" x14ac:dyDescent="0.35">
      <c r="A4500" s="26" t="s">
        <v>543</v>
      </c>
      <c r="B4500" s="26" t="s">
        <v>543</v>
      </c>
      <c r="C4500" s="26"/>
      <c r="D4500" s="26" t="s">
        <v>543</v>
      </c>
      <c r="E4500" s="26" t="str">
        <f>IFERROR(VLOOKUP(G4500,WholesaleExtract!B:J,9,FALSE),"")</f>
        <v/>
      </c>
      <c r="F4500" s="26" t="str">
        <f>IFERROR(VLOOKUP(G4500,WholesaleExtract!B:J,6,FALSE),"")</f>
        <v/>
      </c>
      <c r="H4500" s="47" t="str">
        <f>IFERROR(VLOOKUP(G4500,WholesaleExtract!B:L,11,FALSE),"")</f>
        <v/>
      </c>
      <c r="I4500" s="26" t="str">
        <f>IFERROR(VLOOKUP(G4500,WholesaleExtract!B:O,8,FALSE),"")</f>
        <v/>
      </c>
      <c r="J4500" s="26" t="str">
        <f>IFERROR(VLOOKUP(G4500,WholesaleExtract!B:O,14,FALSE),"")</f>
        <v/>
      </c>
      <c r="K4500" s="26" t="str">
        <f>IFERROR(VLOOKUP(G4500,WholesaleExtract!B:K,10,FALSE),"")</f>
        <v/>
      </c>
      <c r="L4500" s="47" t="str">
        <f>IFERROR(VLOOKUP(G4500,WholesaleExtract!B:L,11,FALSE),"")</f>
        <v/>
      </c>
      <c r="M4500" s="47" t="str">
        <f>IFERROR(VLOOKUP(G4500,WholesaleExtract!B:M,12,FALSE),"")</f>
        <v/>
      </c>
      <c r="R4500" s="19"/>
      <c r="S4500" s="19"/>
    </row>
    <row r="4501" spans="1:19" x14ac:dyDescent="0.35">
      <c r="A4501" s="26" t="s">
        <v>543</v>
      </c>
      <c r="B4501" s="26" t="s">
        <v>543</v>
      </c>
      <c r="C4501" s="26"/>
      <c r="D4501" s="26" t="s">
        <v>543</v>
      </c>
      <c r="E4501" s="26" t="str">
        <f>IFERROR(VLOOKUP(G4501,WholesaleExtract!B:J,9,FALSE),"")</f>
        <v/>
      </c>
      <c r="F4501" s="26" t="str">
        <f>IFERROR(VLOOKUP(G4501,WholesaleExtract!B:J,6,FALSE),"")</f>
        <v/>
      </c>
      <c r="H4501" s="47" t="str">
        <f>IFERROR(VLOOKUP(G4501,WholesaleExtract!B:L,11,FALSE),"")</f>
        <v/>
      </c>
      <c r="I4501" s="26" t="str">
        <f>IFERROR(VLOOKUP(G4501,WholesaleExtract!B:O,8,FALSE),"")</f>
        <v/>
      </c>
      <c r="J4501" s="26" t="str">
        <f>IFERROR(VLOOKUP(G4501,WholesaleExtract!B:O,14,FALSE),"")</f>
        <v/>
      </c>
      <c r="K4501" s="26" t="str">
        <f>IFERROR(VLOOKUP(G4501,WholesaleExtract!B:K,10,FALSE),"")</f>
        <v/>
      </c>
      <c r="L4501" s="47" t="str">
        <f>IFERROR(VLOOKUP(G4501,WholesaleExtract!B:L,11,FALSE),"")</f>
        <v/>
      </c>
      <c r="M4501" s="47" t="str">
        <f>IFERROR(VLOOKUP(G4501,WholesaleExtract!B:M,12,FALSE),"")</f>
        <v/>
      </c>
      <c r="R4501" s="19"/>
      <c r="S4501" s="19"/>
    </row>
    <row r="4502" spans="1:19" x14ac:dyDescent="0.35">
      <c r="A4502" s="26" t="s">
        <v>543</v>
      </c>
      <c r="B4502" s="26" t="s">
        <v>543</v>
      </c>
      <c r="C4502" s="26"/>
      <c r="D4502" s="26" t="s">
        <v>543</v>
      </c>
      <c r="E4502" s="26" t="str">
        <f>IFERROR(VLOOKUP(G4502,WholesaleExtract!B:J,9,FALSE),"")</f>
        <v/>
      </c>
      <c r="F4502" s="26" t="str">
        <f>IFERROR(VLOOKUP(G4502,WholesaleExtract!B:J,6,FALSE),"")</f>
        <v/>
      </c>
      <c r="H4502" s="47" t="str">
        <f>IFERROR(VLOOKUP(G4502,WholesaleExtract!B:L,11,FALSE),"")</f>
        <v/>
      </c>
      <c r="I4502" s="26" t="str">
        <f>IFERROR(VLOOKUP(G4502,WholesaleExtract!B:O,8,FALSE),"")</f>
        <v/>
      </c>
      <c r="J4502" s="26" t="str">
        <f>IFERROR(VLOOKUP(G4502,WholesaleExtract!B:O,14,FALSE),"")</f>
        <v/>
      </c>
      <c r="K4502" s="26" t="str">
        <f>IFERROR(VLOOKUP(G4502,WholesaleExtract!B:K,10,FALSE),"")</f>
        <v/>
      </c>
      <c r="L4502" s="47" t="str">
        <f>IFERROR(VLOOKUP(G4502,WholesaleExtract!B:L,11,FALSE),"")</f>
        <v/>
      </c>
      <c r="M4502" s="47" t="str">
        <f>IFERROR(VLOOKUP(G4502,WholesaleExtract!B:M,12,FALSE),"")</f>
        <v/>
      </c>
      <c r="R4502" s="19"/>
      <c r="S4502" s="19"/>
    </row>
    <row r="4503" spans="1:19" x14ac:dyDescent="0.35">
      <c r="A4503" s="26" t="s">
        <v>543</v>
      </c>
      <c r="B4503" s="26" t="s">
        <v>543</v>
      </c>
      <c r="C4503" s="26"/>
      <c r="D4503" s="26" t="s">
        <v>543</v>
      </c>
      <c r="E4503" s="26" t="str">
        <f>IFERROR(VLOOKUP(G4503,WholesaleExtract!B:J,9,FALSE),"")</f>
        <v/>
      </c>
      <c r="F4503" s="26" t="str">
        <f>IFERROR(VLOOKUP(G4503,WholesaleExtract!B:J,6,FALSE),"")</f>
        <v/>
      </c>
      <c r="H4503" s="47" t="str">
        <f>IFERROR(VLOOKUP(G4503,WholesaleExtract!B:L,11,FALSE),"")</f>
        <v/>
      </c>
      <c r="I4503" s="26" t="str">
        <f>IFERROR(VLOOKUP(G4503,WholesaleExtract!B:O,8,FALSE),"")</f>
        <v/>
      </c>
      <c r="J4503" s="26" t="str">
        <f>IFERROR(VLOOKUP(G4503,WholesaleExtract!B:O,14,FALSE),"")</f>
        <v/>
      </c>
      <c r="K4503" s="26" t="str">
        <f>IFERROR(VLOOKUP(G4503,WholesaleExtract!B:K,10,FALSE),"")</f>
        <v/>
      </c>
      <c r="L4503" s="47" t="str">
        <f>IFERROR(VLOOKUP(G4503,WholesaleExtract!B:L,11,FALSE),"")</f>
        <v/>
      </c>
      <c r="M4503" s="47" t="str">
        <f>IFERROR(VLOOKUP(G4503,WholesaleExtract!B:M,12,FALSE),"")</f>
        <v/>
      </c>
      <c r="R4503" s="19"/>
      <c r="S4503" s="19"/>
    </row>
    <row r="4504" spans="1:19" x14ac:dyDescent="0.35">
      <c r="A4504" s="26" t="s">
        <v>543</v>
      </c>
      <c r="B4504" s="26" t="s">
        <v>543</v>
      </c>
      <c r="C4504" s="26"/>
      <c r="D4504" s="26" t="s">
        <v>543</v>
      </c>
      <c r="E4504" s="26" t="str">
        <f>IFERROR(VLOOKUP(G4504,WholesaleExtract!B:J,9,FALSE),"")</f>
        <v/>
      </c>
      <c r="F4504" s="26" t="str">
        <f>IFERROR(VLOOKUP(G4504,WholesaleExtract!B:J,6,FALSE),"")</f>
        <v/>
      </c>
      <c r="H4504" s="47" t="str">
        <f>IFERROR(VLOOKUP(G4504,WholesaleExtract!B:L,11,FALSE),"")</f>
        <v/>
      </c>
      <c r="I4504" s="26" t="str">
        <f>IFERROR(VLOOKUP(G4504,WholesaleExtract!B:O,8,FALSE),"")</f>
        <v/>
      </c>
      <c r="J4504" s="26" t="str">
        <f>IFERROR(VLOOKUP(G4504,WholesaleExtract!B:O,14,FALSE),"")</f>
        <v/>
      </c>
      <c r="K4504" s="26" t="str">
        <f>IFERROR(VLOOKUP(G4504,WholesaleExtract!B:K,10,FALSE),"")</f>
        <v/>
      </c>
      <c r="L4504" s="47" t="str">
        <f>IFERROR(VLOOKUP(G4504,WholesaleExtract!B:L,11,FALSE),"")</f>
        <v/>
      </c>
      <c r="M4504" s="47" t="str">
        <f>IFERROR(VLOOKUP(G4504,WholesaleExtract!B:M,12,FALSE),"")</f>
        <v/>
      </c>
      <c r="R4504" s="19"/>
      <c r="S4504" s="19"/>
    </row>
    <row r="4505" spans="1:19" x14ac:dyDescent="0.35">
      <c r="A4505" s="26" t="s">
        <v>543</v>
      </c>
      <c r="B4505" s="26" t="s">
        <v>543</v>
      </c>
      <c r="C4505" s="26"/>
      <c r="D4505" s="26" t="s">
        <v>543</v>
      </c>
      <c r="E4505" s="26" t="str">
        <f>IFERROR(VLOOKUP(G4505,WholesaleExtract!B:J,9,FALSE),"")</f>
        <v/>
      </c>
      <c r="F4505" s="26" t="str">
        <f>IFERROR(VLOOKUP(G4505,WholesaleExtract!B:J,6,FALSE),"")</f>
        <v/>
      </c>
      <c r="H4505" s="47" t="str">
        <f>IFERROR(VLOOKUP(G4505,WholesaleExtract!B:L,11,FALSE),"")</f>
        <v/>
      </c>
      <c r="I4505" s="26" t="str">
        <f>IFERROR(VLOOKUP(G4505,WholesaleExtract!B:O,8,FALSE),"")</f>
        <v/>
      </c>
      <c r="J4505" s="26" t="str">
        <f>IFERROR(VLOOKUP(G4505,WholesaleExtract!B:O,14,FALSE),"")</f>
        <v/>
      </c>
      <c r="K4505" s="26" t="str">
        <f>IFERROR(VLOOKUP(G4505,WholesaleExtract!B:K,10,FALSE),"")</f>
        <v/>
      </c>
      <c r="L4505" s="47" t="str">
        <f>IFERROR(VLOOKUP(G4505,WholesaleExtract!B:L,11,FALSE),"")</f>
        <v/>
      </c>
      <c r="M4505" s="47" t="str">
        <f>IFERROR(VLOOKUP(G4505,WholesaleExtract!B:M,12,FALSE),"")</f>
        <v/>
      </c>
      <c r="R4505" s="19"/>
      <c r="S4505" s="19"/>
    </row>
    <row r="4506" spans="1:19" x14ac:dyDescent="0.35">
      <c r="A4506" s="26" t="s">
        <v>543</v>
      </c>
      <c r="B4506" s="26" t="s">
        <v>543</v>
      </c>
      <c r="C4506" s="26"/>
      <c r="D4506" s="26" t="s">
        <v>543</v>
      </c>
      <c r="E4506" s="26" t="str">
        <f>IFERROR(VLOOKUP(G4506,WholesaleExtract!B:J,9,FALSE),"")</f>
        <v/>
      </c>
      <c r="F4506" s="26" t="str">
        <f>IFERROR(VLOOKUP(G4506,WholesaleExtract!B:J,6,FALSE),"")</f>
        <v/>
      </c>
      <c r="H4506" s="47" t="str">
        <f>IFERROR(VLOOKUP(G4506,WholesaleExtract!B:L,11,FALSE),"")</f>
        <v/>
      </c>
      <c r="I4506" s="26" t="str">
        <f>IFERROR(VLOOKUP(G4506,WholesaleExtract!B:O,8,FALSE),"")</f>
        <v/>
      </c>
      <c r="J4506" s="26" t="str">
        <f>IFERROR(VLOOKUP(G4506,WholesaleExtract!B:O,14,FALSE),"")</f>
        <v/>
      </c>
      <c r="K4506" s="26" t="str">
        <f>IFERROR(VLOOKUP(G4506,WholesaleExtract!B:K,10,FALSE),"")</f>
        <v/>
      </c>
      <c r="L4506" s="47" t="str">
        <f>IFERROR(VLOOKUP(G4506,WholesaleExtract!B:L,11,FALSE),"")</f>
        <v/>
      </c>
      <c r="M4506" s="47" t="str">
        <f>IFERROR(VLOOKUP(G4506,WholesaleExtract!B:M,12,FALSE),"")</f>
        <v/>
      </c>
      <c r="R4506" s="19"/>
      <c r="S4506" s="19"/>
    </row>
    <row r="4507" spans="1:19" x14ac:dyDescent="0.35">
      <c r="A4507" s="26" t="s">
        <v>543</v>
      </c>
      <c r="B4507" s="26" t="s">
        <v>543</v>
      </c>
      <c r="C4507" s="26"/>
      <c r="D4507" s="26" t="s">
        <v>543</v>
      </c>
      <c r="E4507" s="26" t="str">
        <f>IFERROR(VLOOKUP(G4507,WholesaleExtract!B:J,9,FALSE),"")</f>
        <v/>
      </c>
      <c r="F4507" s="26" t="str">
        <f>IFERROR(VLOOKUP(G4507,WholesaleExtract!B:J,6,FALSE),"")</f>
        <v/>
      </c>
      <c r="H4507" s="47" t="str">
        <f>IFERROR(VLOOKUP(G4507,WholesaleExtract!B:L,11,FALSE),"")</f>
        <v/>
      </c>
      <c r="I4507" s="26" t="str">
        <f>IFERROR(VLOOKUP(G4507,WholesaleExtract!B:O,8,FALSE),"")</f>
        <v/>
      </c>
      <c r="J4507" s="26" t="str">
        <f>IFERROR(VLOOKUP(G4507,WholesaleExtract!B:O,14,FALSE),"")</f>
        <v/>
      </c>
      <c r="K4507" s="26" t="str">
        <f>IFERROR(VLOOKUP(G4507,WholesaleExtract!B:K,10,FALSE),"")</f>
        <v/>
      </c>
      <c r="L4507" s="47" t="str">
        <f>IFERROR(VLOOKUP(G4507,WholesaleExtract!B:L,11,FALSE),"")</f>
        <v/>
      </c>
      <c r="M4507" s="47" t="str">
        <f>IFERROR(VLOOKUP(G4507,WholesaleExtract!B:M,12,FALSE),"")</f>
        <v/>
      </c>
      <c r="R4507" s="19"/>
      <c r="S4507" s="19"/>
    </row>
    <row r="4508" spans="1:19" x14ac:dyDescent="0.35">
      <c r="A4508" s="26" t="s">
        <v>543</v>
      </c>
      <c r="B4508" s="26" t="s">
        <v>543</v>
      </c>
      <c r="C4508" s="26"/>
      <c r="D4508" s="26" t="s">
        <v>543</v>
      </c>
      <c r="E4508" s="26" t="str">
        <f>IFERROR(VLOOKUP(G4508,WholesaleExtract!B:J,9,FALSE),"")</f>
        <v/>
      </c>
      <c r="F4508" s="26" t="str">
        <f>IFERROR(VLOOKUP(G4508,WholesaleExtract!B:J,6,FALSE),"")</f>
        <v/>
      </c>
      <c r="H4508" s="47" t="str">
        <f>IFERROR(VLOOKUP(G4508,WholesaleExtract!B:L,11,FALSE),"")</f>
        <v/>
      </c>
      <c r="I4508" s="26" t="str">
        <f>IFERROR(VLOOKUP(G4508,WholesaleExtract!B:O,8,FALSE),"")</f>
        <v/>
      </c>
      <c r="J4508" s="26" t="str">
        <f>IFERROR(VLOOKUP(G4508,WholesaleExtract!B:O,14,FALSE),"")</f>
        <v/>
      </c>
      <c r="K4508" s="26" t="str">
        <f>IFERROR(VLOOKUP(G4508,WholesaleExtract!B:K,10,FALSE),"")</f>
        <v/>
      </c>
      <c r="L4508" s="47" t="str">
        <f>IFERROR(VLOOKUP(G4508,WholesaleExtract!B:L,11,FALSE),"")</f>
        <v/>
      </c>
      <c r="M4508" s="47" t="str">
        <f>IFERROR(VLOOKUP(G4508,WholesaleExtract!B:M,12,FALSE),"")</f>
        <v/>
      </c>
      <c r="R4508" s="19"/>
      <c r="S4508" s="19"/>
    </row>
    <row r="4509" spans="1:19" x14ac:dyDescent="0.35">
      <c r="A4509" s="26" t="s">
        <v>543</v>
      </c>
      <c r="B4509" s="26" t="s">
        <v>543</v>
      </c>
      <c r="C4509" s="26"/>
      <c r="D4509" s="26" t="s">
        <v>543</v>
      </c>
      <c r="E4509" s="26" t="str">
        <f>IFERROR(VLOOKUP(G4509,WholesaleExtract!B:J,9,FALSE),"")</f>
        <v/>
      </c>
      <c r="F4509" s="26" t="str">
        <f>IFERROR(VLOOKUP(G4509,WholesaleExtract!B:J,6,FALSE),"")</f>
        <v/>
      </c>
      <c r="H4509" s="47" t="str">
        <f>IFERROR(VLOOKUP(G4509,WholesaleExtract!B:L,11,FALSE),"")</f>
        <v/>
      </c>
      <c r="I4509" s="26" t="str">
        <f>IFERROR(VLOOKUP(G4509,WholesaleExtract!B:O,8,FALSE),"")</f>
        <v/>
      </c>
      <c r="J4509" s="26" t="str">
        <f>IFERROR(VLOOKUP(G4509,WholesaleExtract!B:O,14,FALSE),"")</f>
        <v/>
      </c>
      <c r="K4509" s="26" t="str">
        <f>IFERROR(VLOOKUP(G4509,WholesaleExtract!B:K,10,FALSE),"")</f>
        <v/>
      </c>
      <c r="L4509" s="47" t="str">
        <f>IFERROR(VLOOKUP(G4509,WholesaleExtract!B:L,11,FALSE),"")</f>
        <v/>
      </c>
      <c r="M4509" s="47" t="str">
        <f>IFERROR(VLOOKUP(G4509,WholesaleExtract!B:M,12,FALSE),"")</f>
        <v/>
      </c>
      <c r="R4509" s="19"/>
      <c r="S4509" s="19"/>
    </row>
    <row r="4510" spans="1:19" x14ac:dyDescent="0.35">
      <c r="A4510" s="26" t="s">
        <v>543</v>
      </c>
      <c r="B4510" s="26" t="s">
        <v>543</v>
      </c>
      <c r="C4510" s="26"/>
      <c r="D4510" s="26" t="s">
        <v>543</v>
      </c>
      <c r="E4510" s="26" t="str">
        <f>IFERROR(VLOOKUP(G4510,WholesaleExtract!B:J,9,FALSE),"")</f>
        <v/>
      </c>
      <c r="F4510" s="26" t="str">
        <f>IFERROR(VLOOKUP(G4510,WholesaleExtract!B:J,6,FALSE),"")</f>
        <v/>
      </c>
      <c r="H4510" s="47" t="str">
        <f>IFERROR(VLOOKUP(G4510,WholesaleExtract!B:L,11,FALSE),"")</f>
        <v/>
      </c>
      <c r="I4510" s="26" t="str">
        <f>IFERROR(VLOOKUP(G4510,WholesaleExtract!B:O,8,FALSE),"")</f>
        <v/>
      </c>
      <c r="J4510" s="26" t="str">
        <f>IFERROR(VLOOKUP(G4510,WholesaleExtract!B:O,14,FALSE),"")</f>
        <v/>
      </c>
      <c r="K4510" s="26" t="str">
        <f>IFERROR(VLOOKUP(G4510,WholesaleExtract!B:K,10,FALSE),"")</f>
        <v/>
      </c>
      <c r="L4510" s="47" t="str">
        <f>IFERROR(VLOOKUP(G4510,WholesaleExtract!B:L,11,FALSE),"")</f>
        <v/>
      </c>
      <c r="M4510" s="47" t="str">
        <f>IFERROR(VLOOKUP(G4510,WholesaleExtract!B:M,12,FALSE),"")</f>
        <v/>
      </c>
      <c r="R4510" s="19"/>
      <c r="S4510" s="19"/>
    </row>
    <row r="4511" spans="1:19" x14ac:dyDescent="0.35">
      <c r="A4511" s="26" t="s">
        <v>543</v>
      </c>
      <c r="B4511" s="26" t="s">
        <v>543</v>
      </c>
      <c r="C4511" s="26"/>
      <c r="D4511" s="26" t="s">
        <v>543</v>
      </c>
      <c r="E4511" s="26" t="str">
        <f>IFERROR(VLOOKUP(G4511,WholesaleExtract!B:J,9,FALSE),"")</f>
        <v/>
      </c>
      <c r="F4511" s="26" t="str">
        <f>IFERROR(VLOOKUP(G4511,WholesaleExtract!B:J,6,FALSE),"")</f>
        <v/>
      </c>
      <c r="H4511" s="47" t="str">
        <f>IFERROR(VLOOKUP(G4511,WholesaleExtract!B:L,11,FALSE),"")</f>
        <v/>
      </c>
      <c r="I4511" s="26" t="str">
        <f>IFERROR(VLOOKUP(G4511,WholesaleExtract!B:O,8,FALSE),"")</f>
        <v/>
      </c>
      <c r="J4511" s="26" t="str">
        <f>IFERROR(VLOOKUP(G4511,WholesaleExtract!B:O,14,FALSE),"")</f>
        <v/>
      </c>
      <c r="K4511" s="26" t="str">
        <f>IFERROR(VLOOKUP(G4511,WholesaleExtract!B:K,10,FALSE),"")</f>
        <v/>
      </c>
      <c r="L4511" s="47" t="str">
        <f>IFERROR(VLOOKUP(G4511,WholesaleExtract!B:L,11,FALSE),"")</f>
        <v/>
      </c>
      <c r="M4511" s="47" t="str">
        <f>IFERROR(VLOOKUP(G4511,WholesaleExtract!B:M,12,FALSE),"")</f>
        <v/>
      </c>
      <c r="R4511" s="19"/>
      <c r="S4511" s="19"/>
    </row>
    <row r="4512" spans="1:19" x14ac:dyDescent="0.35">
      <c r="A4512" s="26" t="s">
        <v>543</v>
      </c>
      <c r="B4512" s="26" t="s">
        <v>543</v>
      </c>
      <c r="C4512" s="26"/>
      <c r="D4512" s="26" t="s">
        <v>543</v>
      </c>
      <c r="E4512" s="26" t="str">
        <f>IFERROR(VLOOKUP(G4512,WholesaleExtract!B:J,9,FALSE),"")</f>
        <v/>
      </c>
      <c r="F4512" s="26" t="str">
        <f>IFERROR(VLOOKUP(G4512,WholesaleExtract!B:J,6,FALSE),"")</f>
        <v/>
      </c>
      <c r="H4512" s="47" t="str">
        <f>IFERROR(VLOOKUP(G4512,WholesaleExtract!B:L,11,FALSE),"")</f>
        <v/>
      </c>
      <c r="I4512" s="26" t="str">
        <f>IFERROR(VLOOKUP(G4512,WholesaleExtract!B:O,8,FALSE),"")</f>
        <v/>
      </c>
      <c r="J4512" s="26" t="str">
        <f>IFERROR(VLOOKUP(G4512,WholesaleExtract!B:O,14,FALSE),"")</f>
        <v/>
      </c>
      <c r="K4512" s="26" t="str">
        <f>IFERROR(VLOOKUP(G4512,WholesaleExtract!B:K,10,FALSE),"")</f>
        <v/>
      </c>
      <c r="L4512" s="47" t="str">
        <f>IFERROR(VLOOKUP(G4512,WholesaleExtract!B:L,11,FALSE),"")</f>
        <v/>
      </c>
      <c r="M4512" s="47" t="str">
        <f>IFERROR(VLOOKUP(G4512,WholesaleExtract!B:M,12,FALSE),"")</f>
        <v/>
      </c>
      <c r="R4512" s="19"/>
      <c r="S4512" s="19"/>
    </row>
    <row r="4513" spans="1:19" x14ac:dyDescent="0.35">
      <c r="A4513" s="26" t="s">
        <v>543</v>
      </c>
      <c r="B4513" s="26" t="s">
        <v>543</v>
      </c>
      <c r="C4513" s="26"/>
      <c r="D4513" s="26" t="s">
        <v>543</v>
      </c>
      <c r="E4513" s="26" t="str">
        <f>IFERROR(VLOOKUP(G4513,WholesaleExtract!B:J,9,FALSE),"")</f>
        <v/>
      </c>
      <c r="F4513" s="26" t="str">
        <f>IFERROR(VLOOKUP(G4513,WholesaleExtract!B:J,6,FALSE),"")</f>
        <v/>
      </c>
      <c r="H4513" s="47" t="str">
        <f>IFERROR(VLOOKUP(G4513,WholesaleExtract!B:L,11,FALSE),"")</f>
        <v/>
      </c>
      <c r="I4513" s="26" t="str">
        <f>IFERROR(VLOOKUP(G4513,WholesaleExtract!B:O,8,FALSE),"")</f>
        <v/>
      </c>
      <c r="J4513" s="26" t="str">
        <f>IFERROR(VLOOKUP(G4513,WholesaleExtract!B:O,14,FALSE),"")</f>
        <v/>
      </c>
      <c r="K4513" s="26" t="str">
        <f>IFERROR(VLOOKUP(G4513,WholesaleExtract!B:K,10,FALSE),"")</f>
        <v/>
      </c>
      <c r="L4513" s="47" t="str">
        <f>IFERROR(VLOOKUP(G4513,WholesaleExtract!B:L,11,FALSE),"")</f>
        <v/>
      </c>
      <c r="M4513" s="47" t="str">
        <f>IFERROR(VLOOKUP(G4513,WholesaleExtract!B:M,12,FALSE),"")</f>
        <v/>
      </c>
      <c r="R4513" s="19"/>
      <c r="S4513" s="19"/>
    </row>
    <row r="4514" spans="1:19" x14ac:dyDescent="0.35">
      <c r="A4514" s="26" t="s">
        <v>543</v>
      </c>
      <c r="B4514" s="26" t="s">
        <v>543</v>
      </c>
      <c r="C4514" s="26"/>
      <c r="D4514" s="26" t="s">
        <v>543</v>
      </c>
      <c r="E4514" s="26" t="str">
        <f>IFERROR(VLOOKUP(G4514,WholesaleExtract!B:J,9,FALSE),"")</f>
        <v/>
      </c>
      <c r="F4514" s="26" t="str">
        <f>IFERROR(VLOOKUP(G4514,WholesaleExtract!B:J,6,FALSE),"")</f>
        <v/>
      </c>
      <c r="H4514" s="47" t="str">
        <f>IFERROR(VLOOKUP(G4514,WholesaleExtract!B:L,11,FALSE),"")</f>
        <v/>
      </c>
      <c r="I4514" s="26" t="str">
        <f>IFERROR(VLOOKUP(G4514,WholesaleExtract!B:O,8,FALSE),"")</f>
        <v/>
      </c>
      <c r="J4514" s="26" t="str">
        <f>IFERROR(VLOOKUP(G4514,WholesaleExtract!B:O,14,FALSE),"")</f>
        <v/>
      </c>
      <c r="K4514" s="26" t="str">
        <f>IFERROR(VLOOKUP(G4514,WholesaleExtract!B:K,10,FALSE),"")</f>
        <v/>
      </c>
      <c r="L4514" s="47" t="str">
        <f>IFERROR(VLOOKUP(G4514,WholesaleExtract!B:L,11,FALSE),"")</f>
        <v/>
      </c>
      <c r="M4514" s="47" t="str">
        <f>IFERROR(VLOOKUP(G4514,WholesaleExtract!B:M,12,FALSE),"")</f>
        <v/>
      </c>
      <c r="R4514" s="19"/>
      <c r="S4514" s="19"/>
    </row>
    <row r="4515" spans="1:19" x14ac:dyDescent="0.35">
      <c r="A4515" s="26" t="s">
        <v>543</v>
      </c>
      <c r="B4515" s="26" t="s">
        <v>543</v>
      </c>
      <c r="C4515" s="26"/>
      <c r="D4515" s="26" t="s">
        <v>543</v>
      </c>
      <c r="E4515" s="26" t="str">
        <f>IFERROR(VLOOKUP(G4515,WholesaleExtract!B:J,9,FALSE),"")</f>
        <v/>
      </c>
      <c r="F4515" s="26" t="str">
        <f>IFERROR(VLOOKUP(G4515,WholesaleExtract!B:J,6,FALSE),"")</f>
        <v/>
      </c>
      <c r="H4515" s="47" t="str">
        <f>IFERROR(VLOOKUP(G4515,WholesaleExtract!B:L,11,FALSE),"")</f>
        <v/>
      </c>
      <c r="I4515" s="26" t="str">
        <f>IFERROR(VLOOKUP(G4515,WholesaleExtract!B:O,8,FALSE),"")</f>
        <v/>
      </c>
      <c r="J4515" s="26" t="str">
        <f>IFERROR(VLOOKUP(G4515,WholesaleExtract!B:O,14,FALSE),"")</f>
        <v/>
      </c>
      <c r="K4515" s="26" t="str">
        <f>IFERROR(VLOOKUP(G4515,WholesaleExtract!B:K,10,FALSE),"")</f>
        <v/>
      </c>
      <c r="L4515" s="47" t="str">
        <f>IFERROR(VLOOKUP(G4515,WholesaleExtract!B:L,11,FALSE),"")</f>
        <v/>
      </c>
      <c r="M4515" s="47" t="str">
        <f>IFERROR(VLOOKUP(G4515,WholesaleExtract!B:M,12,FALSE),"")</f>
        <v/>
      </c>
      <c r="R4515" s="19"/>
      <c r="S4515" s="19"/>
    </row>
    <row r="4516" spans="1:19" x14ac:dyDescent="0.35">
      <c r="A4516" s="26" t="s">
        <v>543</v>
      </c>
      <c r="B4516" s="26" t="s">
        <v>543</v>
      </c>
      <c r="C4516" s="26"/>
      <c r="D4516" s="26" t="s">
        <v>543</v>
      </c>
      <c r="E4516" s="26" t="str">
        <f>IFERROR(VLOOKUP(G4516,WholesaleExtract!B:J,9,FALSE),"")</f>
        <v/>
      </c>
      <c r="F4516" s="26" t="str">
        <f>IFERROR(VLOOKUP(G4516,WholesaleExtract!B:J,6,FALSE),"")</f>
        <v/>
      </c>
      <c r="H4516" s="47" t="str">
        <f>IFERROR(VLOOKUP(G4516,WholesaleExtract!B:L,11,FALSE),"")</f>
        <v/>
      </c>
      <c r="I4516" s="26" t="str">
        <f>IFERROR(VLOOKUP(G4516,WholesaleExtract!B:O,8,FALSE),"")</f>
        <v/>
      </c>
      <c r="J4516" s="26" t="str">
        <f>IFERROR(VLOOKUP(G4516,WholesaleExtract!B:O,14,FALSE),"")</f>
        <v/>
      </c>
      <c r="K4516" s="26" t="str">
        <f>IFERROR(VLOOKUP(G4516,WholesaleExtract!B:K,10,FALSE),"")</f>
        <v/>
      </c>
      <c r="L4516" s="47" t="str">
        <f>IFERROR(VLOOKUP(G4516,WholesaleExtract!B:L,11,FALSE),"")</f>
        <v/>
      </c>
      <c r="M4516" s="47" t="str">
        <f>IFERROR(VLOOKUP(G4516,WholesaleExtract!B:M,12,FALSE),"")</f>
        <v/>
      </c>
      <c r="R4516" s="19"/>
      <c r="S4516" s="19"/>
    </row>
    <row r="4517" spans="1:19" x14ac:dyDescent="0.35">
      <c r="A4517" s="26" t="s">
        <v>543</v>
      </c>
      <c r="B4517" s="26" t="s">
        <v>543</v>
      </c>
      <c r="C4517" s="26"/>
      <c r="D4517" s="26" t="s">
        <v>543</v>
      </c>
      <c r="E4517" s="26" t="str">
        <f>IFERROR(VLOOKUP(G4517,WholesaleExtract!B:J,9,FALSE),"")</f>
        <v/>
      </c>
      <c r="F4517" s="26" t="str">
        <f>IFERROR(VLOOKUP(G4517,WholesaleExtract!B:J,6,FALSE),"")</f>
        <v/>
      </c>
      <c r="H4517" s="47" t="str">
        <f>IFERROR(VLOOKUP(G4517,WholesaleExtract!B:L,11,FALSE),"")</f>
        <v/>
      </c>
      <c r="I4517" s="26" t="str">
        <f>IFERROR(VLOOKUP(G4517,WholesaleExtract!B:O,8,FALSE),"")</f>
        <v/>
      </c>
      <c r="J4517" s="26" t="str">
        <f>IFERROR(VLOOKUP(G4517,WholesaleExtract!B:O,14,FALSE),"")</f>
        <v/>
      </c>
      <c r="K4517" s="26" t="str">
        <f>IFERROR(VLOOKUP(G4517,WholesaleExtract!B:K,10,FALSE),"")</f>
        <v/>
      </c>
      <c r="L4517" s="47" t="str">
        <f>IFERROR(VLOOKUP(G4517,WholesaleExtract!B:L,11,FALSE),"")</f>
        <v/>
      </c>
      <c r="M4517" s="47" t="str">
        <f>IFERROR(VLOOKUP(G4517,WholesaleExtract!B:M,12,FALSE),"")</f>
        <v/>
      </c>
      <c r="R4517" s="19"/>
      <c r="S4517" s="19"/>
    </row>
    <row r="4518" spans="1:19" x14ac:dyDescent="0.35">
      <c r="A4518" s="26" t="s">
        <v>543</v>
      </c>
      <c r="B4518" s="26" t="s">
        <v>543</v>
      </c>
      <c r="C4518" s="26"/>
      <c r="D4518" s="26" t="s">
        <v>543</v>
      </c>
      <c r="E4518" s="26" t="str">
        <f>IFERROR(VLOOKUP(G4518,WholesaleExtract!B:J,9,FALSE),"")</f>
        <v/>
      </c>
      <c r="F4518" s="26" t="str">
        <f>IFERROR(VLOOKUP(G4518,WholesaleExtract!B:J,6,FALSE),"")</f>
        <v/>
      </c>
      <c r="H4518" s="47" t="str">
        <f>IFERROR(VLOOKUP(G4518,WholesaleExtract!B:L,11,FALSE),"")</f>
        <v/>
      </c>
      <c r="I4518" s="26" t="str">
        <f>IFERROR(VLOOKUP(G4518,WholesaleExtract!B:O,8,FALSE),"")</f>
        <v/>
      </c>
      <c r="J4518" s="26" t="str">
        <f>IFERROR(VLOOKUP(G4518,WholesaleExtract!B:O,14,FALSE),"")</f>
        <v/>
      </c>
      <c r="K4518" s="26" t="str">
        <f>IFERROR(VLOOKUP(G4518,WholesaleExtract!B:K,10,FALSE),"")</f>
        <v/>
      </c>
      <c r="L4518" s="47" t="str">
        <f>IFERROR(VLOOKUP(G4518,WholesaleExtract!B:L,11,FALSE),"")</f>
        <v/>
      </c>
      <c r="M4518" s="47" t="str">
        <f>IFERROR(VLOOKUP(G4518,WholesaleExtract!B:M,12,FALSE),"")</f>
        <v/>
      </c>
      <c r="R4518" s="19"/>
      <c r="S4518" s="19"/>
    </row>
    <row r="4519" spans="1:19" x14ac:dyDescent="0.35">
      <c r="A4519" s="26" t="s">
        <v>543</v>
      </c>
      <c r="B4519" s="26" t="s">
        <v>543</v>
      </c>
      <c r="C4519" s="26"/>
      <c r="D4519" s="26" t="s">
        <v>543</v>
      </c>
      <c r="E4519" s="26" t="str">
        <f>IFERROR(VLOOKUP(G4519,WholesaleExtract!B:J,9,FALSE),"")</f>
        <v/>
      </c>
      <c r="F4519" s="26" t="str">
        <f>IFERROR(VLOOKUP(G4519,WholesaleExtract!B:J,6,FALSE),"")</f>
        <v/>
      </c>
      <c r="H4519" s="47" t="str">
        <f>IFERROR(VLOOKUP(G4519,WholesaleExtract!B:L,11,FALSE),"")</f>
        <v/>
      </c>
      <c r="I4519" s="26" t="str">
        <f>IFERROR(VLOOKUP(G4519,WholesaleExtract!B:O,8,FALSE),"")</f>
        <v/>
      </c>
      <c r="J4519" s="26" t="str">
        <f>IFERROR(VLOOKUP(G4519,WholesaleExtract!B:O,14,FALSE),"")</f>
        <v/>
      </c>
      <c r="K4519" s="26" t="str">
        <f>IFERROR(VLOOKUP(G4519,WholesaleExtract!B:K,10,FALSE),"")</f>
        <v/>
      </c>
      <c r="L4519" s="47" t="str">
        <f>IFERROR(VLOOKUP(G4519,WholesaleExtract!B:L,11,FALSE),"")</f>
        <v/>
      </c>
      <c r="M4519" s="47" t="str">
        <f>IFERROR(VLOOKUP(G4519,WholesaleExtract!B:M,12,FALSE),"")</f>
        <v/>
      </c>
      <c r="R4519" s="19"/>
      <c r="S4519" s="19"/>
    </row>
    <row r="4520" spans="1:19" x14ac:dyDescent="0.35">
      <c r="A4520" s="26" t="s">
        <v>543</v>
      </c>
      <c r="B4520" s="26" t="s">
        <v>543</v>
      </c>
      <c r="C4520" s="26"/>
      <c r="D4520" s="26" t="s">
        <v>543</v>
      </c>
      <c r="E4520" s="26" t="str">
        <f>IFERROR(VLOOKUP(G4520,WholesaleExtract!B:J,9,FALSE),"")</f>
        <v/>
      </c>
      <c r="F4520" s="26" t="str">
        <f>IFERROR(VLOOKUP(G4520,WholesaleExtract!B:J,6,FALSE),"")</f>
        <v/>
      </c>
      <c r="H4520" s="47" t="str">
        <f>IFERROR(VLOOKUP(G4520,WholesaleExtract!B:L,11,FALSE),"")</f>
        <v/>
      </c>
      <c r="I4520" s="26" t="str">
        <f>IFERROR(VLOOKUP(G4520,WholesaleExtract!B:O,8,FALSE),"")</f>
        <v/>
      </c>
      <c r="J4520" s="26" t="str">
        <f>IFERROR(VLOOKUP(G4520,WholesaleExtract!B:O,14,FALSE),"")</f>
        <v/>
      </c>
      <c r="K4520" s="26" t="str">
        <f>IFERROR(VLOOKUP(G4520,WholesaleExtract!B:K,10,FALSE),"")</f>
        <v/>
      </c>
      <c r="L4520" s="47" t="str">
        <f>IFERROR(VLOOKUP(G4520,WholesaleExtract!B:L,11,FALSE),"")</f>
        <v/>
      </c>
      <c r="M4520" s="47" t="str">
        <f>IFERROR(VLOOKUP(G4520,WholesaleExtract!B:M,12,FALSE),"")</f>
        <v/>
      </c>
      <c r="R4520" s="19"/>
      <c r="S4520" s="19"/>
    </row>
    <row r="4521" spans="1:19" x14ac:dyDescent="0.35">
      <c r="A4521" s="26" t="s">
        <v>543</v>
      </c>
      <c r="B4521" s="26" t="s">
        <v>543</v>
      </c>
      <c r="C4521" s="26"/>
      <c r="D4521" s="26" t="s">
        <v>543</v>
      </c>
      <c r="E4521" s="26" t="str">
        <f>IFERROR(VLOOKUP(G4521,WholesaleExtract!B:J,9,FALSE),"")</f>
        <v/>
      </c>
      <c r="F4521" s="26" t="str">
        <f>IFERROR(VLOOKUP(G4521,WholesaleExtract!B:J,6,FALSE),"")</f>
        <v/>
      </c>
      <c r="H4521" s="47" t="str">
        <f>IFERROR(VLOOKUP(G4521,WholesaleExtract!B:L,11,FALSE),"")</f>
        <v/>
      </c>
      <c r="I4521" s="26" t="str">
        <f>IFERROR(VLOOKUP(G4521,WholesaleExtract!B:O,8,FALSE),"")</f>
        <v/>
      </c>
      <c r="J4521" s="26" t="str">
        <f>IFERROR(VLOOKUP(G4521,WholesaleExtract!B:O,14,FALSE),"")</f>
        <v/>
      </c>
      <c r="K4521" s="26" t="str">
        <f>IFERROR(VLOOKUP(G4521,WholesaleExtract!B:K,10,FALSE),"")</f>
        <v/>
      </c>
      <c r="L4521" s="47" t="str">
        <f>IFERROR(VLOOKUP(G4521,WholesaleExtract!B:L,11,FALSE),"")</f>
        <v/>
      </c>
      <c r="M4521" s="47" t="str">
        <f>IFERROR(VLOOKUP(G4521,WholesaleExtract!B:M,12,FALSE),"")</f>
        <v/>
      </c>
      <c r="R4521" s="19"/>
      <c r="S4521" s="19"/>
    </row>
    <row r="4522" spans="1:19" x14ac:dyDescent="0.35">
      <c r="A4522" s="26" t="s">
        <v>543</v>
      </c>
      <c r="B4522" s="26" t="s">
        <v>543</v>
      </c>
      <c r="C4522" s="26"/>
      <c r="D4522" s="26" t="s">
        <v>543</v>
      </c>
      <c r="E4522" s="26" t="str">
        <f>IFERROR(VLOOKUP(G4522,WholesaleExtract!B:J,9,FALSE),"")</f>
        <v/>
      </c>
      <c r="F4522" s="26" t="str">
        <f>IFERROR(VLOOKUP(G4522,WholesaleExtract!B:J,6,FALSE),"")</f>
        <v/>
      </c>
      <c r="H4522" s="47" t="str">
        <f>IFERROR(VLOOKUP(G4522,WholesaleExtract!B:L,11,FALSE),"")</f>
        <v/>
      </c>
      <c r="I4522" s="26" t="str">
        <f>IFERROR(VLOOKUP(G4522,WholesaleExtract!B:O,8,FALSE),"")</f>
        <v/>
      </c>
      <c r="J4522" s="26" t="str">
        <f>IFERROR(VLOOKUP(G4522,WholesaleExtract!B:O,14,FALSE),"")</f>
        <v/>
      </c>
      <c r="K4522" s="26" t="str">
        <f>IFERROR(VLOOKUP(G4522,WholesaleExtract!B:K,10,FALSE),"")</f>
        <v/>
      </c>
      <c r="L4522" s="47" t="str">
        <f>IFERROR(VLOOKUP(G4522,WholesaleExtract!B:L,11,FALSE),"")</f>
        <v/>
      </c>
      <c r="M4522" s="47" t="str">
        <f>IFERROR(VLOOKUP(G4522,WholesaleExtract!B:M,12,FALSE),"")</f>
        <v/>
      </c>
      <c r="R4522" s="19"/>
      <c r="S4522" s="19"/>
    </row>
    <row r="4523" spans="1:19" x14ac:dyDescent="0.35">
      <c r="A4523" s="26" t="s">
        <v>543</v>
      </c>
      <c r="B4523" s="26" t="s">
        <v>543</v>
      </c>
      <c r="C4523" s="26"/>
      <c r="D4523" s="26" t="s">
        <v>543</v>
      </c>
      <c r="E4523" s="26" t="str">
        <f>IFERROR(VLOOKUP(G4523,WholesaleExtract!B:J,9,FALSE),"")</f>
        <v/>
      </c>
      <c r="F4523" s="26" t="str">
        <f>IFERROR(VLOOKUP(G4523,WholesaleExtract!B:J,6,FALSE),"")</f>
        <v/>
      </c>
      <c r="H4523" s="47" t="str">
        <f>IFERROR(VLOOKUP(G4523,WholesaleExtract!B:L,11,FALSE),"")</f>
        <v/>
      </c>
      <c r="I4523" s="26" t="str">
        <f>IFERROR(VLOOKUP(G4523,WholesaleExtract!B:O,8,FALSE),"")</f>
        <v/>
      </c>
      <c r="J4523" s="26" t="str">
        <f>IFERROR(VLOOKUP(G4523,WholesaleExtract!B:O,14,FALSE),"")</f>
        <v/>
      </c>
      <c r="K4523" s="26" t="str">
        <f>IFERROR(VLOOKUP(G4523,WholesaleExtract!B:K,10,FALSE),"")</f>
        <v/>
      </c>
      <c r="L4523" s="47" t="str">
        <f>IFERROR(VLOOKUP(G4523,WholesaleExtract!B:L,11,FALSE),"")</f>
        <v/>
      </c>
      <c r="M4523" s="47" t="str">
        <f>IFERROR(VLOOKUP(G4523,WholesaleExtract!B:M,12,FALSE),"")</f>
        <v/>
      </c>
      <c r="R4523" s="19"/>
      <c r="S4523" s="19"/>
    </row>
    <row r="4524" spans="1:19" x14ac:dyDescent="0.35">
      <c r="A4524" s="26" t="s">
        <v>543</v>
      </c>
      <c r="B4524" s="26" t="s">
        <v>543</v>
      </c>
      <c r="C4524" s="26"/>
      <c r="D4524" s="26" t="s">
        <v>543</v>
      </c>
      <c r="E4524" s="26" t="str">
        <f>IFERROR(VLOOKUP(G4524,WholesaleExtract!B:J,9,FALSE),"")</f>
        <v/>
      </c>
      <c r="F4524" s="26" t="str">
        <f>IFERROR(VLOOKUP(G4524,WholesaleExtract!B:J,6,FALSE),"")</f>
        <v/>
      </c>
      <c r="H4524" s="47" t="str">
        <f>IFERROR(VLOOKUP(G4524,WholesaleExtract!B:L,11,FALSE),"")</f>
        <v/>
      </c>
      <c r="I4524" s="26" t="str">
        <f>IFERROR(VLOOKUP(G4524,WholesaleExtract!B:O,8,FALSE),"")</f>
        <v/>
      </c>
      <c r="J4524" s="26" t="str">
        <f>IFERROR(VLOOKUP(G4524,WholesaleExtract!B:O,14,FALSE),"")</f>
        <v/>
      </c>
      <c r="K4524" s="26" t="str">
        <f>IFERROR(VLOOKUP(G4524,WholesaleExtract!B:K,10,FALSE),"")</f>
        <v/>
      </c>
      <c r="L4524" s="47" t="str">
        <f>IFERROR(VLOOKUP(G4524,WholesaleExtract!B:L,11,FALSE),"")</f>
        <v/>
      </c>
      <c r="M4524" s="47" t="str">
        <f>IFERROR(VLOOKUP(G4524,WholesaleExtract!B:M,12,FALSE),"")</f>
        <v/>
      </c>
      <c r="R4524" s="19"/>
      <c r="S4524" s="19"/>
    </row>
    <row r="4525" spans="1:19" x14ac:dyDescent="0.35">
      <c r="A4525" s="26" t="s">
        <v>543</v>
      </c>
      <c r="B4525" s="26" t="s">
        <v>543</v>
      </c>
      <c r="C4525" s="26"/>
      <c r="D4525" s="26" t="s">
        <v>543</v>
      </c>
      <c r="E4525" s="26" t="str">
        <f>IFERROR(VLOOKUP(G4525,WholesaleExtract!B:J,9,FALSE),"")</f>
        <v/>
      </c>
      <c r="F4525" s="26" t="str">
        <f>IFERROR(VLOOKUP(G4525,WholesaleExtract!B:J,6,FALSE),"")</f>
        <v/>
      </c>
      <c r="H4525" s="47" t="str">
        <f>IFERROR(VLOOKUP(G4525,WholesaleExtract!B:L,11,FALSE),"")</f>
        <v/>
      </c>
      <c r="I4525" s="26" t="str">
        <f>IFERROR(VLOOKUP(G4525,WholesaleExtract!B:O,8,FALSE),"")</f>
        <v/>
      </c>
      <c r="J4525" s="26" t="str">
        <f>IFERROR(VLOOKUP(G4525,WholesaleExtract!B:O,14,FALSE),"")</f>
        <v/>
      </c>
      <c r="K4525" s="26" t="str">
        <f>IFERROR(VLOOKUP(G4525,WholesaleExtract!B:K,10,FALSE),"")</f>
        <v/>
      </c>
      <c r="L4525" s="47" t="str">
        <f>IFERROR(VLOOKUP(G4525,WholesaleExtract!B:L,11,FALSE),"")</f>
        <v/>
      </c>
      <c r="M4525" s="47" t="str">
        <f>IFERROR(VLOOKUP(G4525,WholesaleExtract!B:M,12,FALSE),"")</f>
        <v/>
      </c>
      <c r="R4525" s="19"/>
      <c r="S4525" s="19"/>
    </row>
    <row r="4526" spans="1:19" x14ac:dyDescent="0.35">
      <c r="A4526" s="26" t="s">
        <v>543</v>
      </c>
      <c r="B4526" s="26" t="s">
        <v>543</v>
      </c>
      <c r="C4526" s="26"/>
      <c r="D4526" s="26" t="s">
        <v>543</v>
      </c>
      <c r="E4526" s="26" t="str">
        <f>IFERROR(VLOOKUP(G4526,WholesaleExtract!B:J,9,FALSE),"")</f>
        <v/>
      </c>
      <c r="F4526" s="26" t="str">
        <f>IFERROR(VLOOKUP(G4526,WholesaleExtract!B:J,6,FALSE),"")</f>
        <v/>
      </c>
      <c r="H4526" s="47" t="str">
        <f>IFERROR(VLOOKUP(G4526,WholesaleExtract!B:L,11,FALSE),"")</f>
        <v/>
      </c>
      <c r="I4526" s="26" t="str">
        <f>IFERROR(VLOOKUP(G4526,WholesaleExtract!B:O,8,FALSE),"")</f>
        <v/>
      </c>
      <c r="J4526" s="26" t="str">
        <f>IFERROR(VLOOKUP(G4526,WholesaleExtract!B:O,14,FALSE),"")</f>
        <v/>
      </c>
      <c r="K4526" s="26" t="str">
        <f>IFERROR(VLOOKUP(G4526,WholesaleExtract!B:K,10,FALSE),"")</f>
        <v/>
      </c>
      <c r="L4526" s="47" t="str">
        <f>IFERROR(VLOOKUP(G4526,WholesaleExtract!B:L,11,FALSE),"")</f>
        <v/>
      </c>
      <c r="M4526" s="47" t="str">
        <f>IFERROR(VLOOKUP(G4526,WholesaleExtract!B:M,12,FALSE),"")</f>
        <v/>
      </c>
      <c r="R4526" s="19"/>
      <c r="S4526" s="19"/>
    </row>
    <row r="4527" spans="1:19" x14ac:dyDescent="0.35">
      <c r="A4527" s="26" t="s">
        <v>543</v>
      </c>
      <c r="B4527" s="26" t="s">
        <v>543</v>
      </c>
      <c r="C4527" s="26"/>
      <c r="D4527" s="26" t="s">
        <v>543</v>
      </c>
      <c r="E4527" s="26" t="str">
        <f>IFERROR(VLOOKUP(G4527,WholesaleExtract!B:J,9,FALSE),"")</f>
        <v/>
      </c>
      <c r="F4527" s="26" t="str">
        <f>IFERROR(VLOOKUP(G4527,WholesaleExtract!B:J,6,FALSE),"")</f>
        <v/>
      </c>
      <c r="H4527" s="47" t="str">
        <f>IFERROR(VLOOKUP(G4527,WholesaleExtract!B:L,11,FALSE),"")</f>
        <v/>
      </c>
      <c r="I4527" s="26" t="str">
        <f>IFERROR(VLOOKUP(G4527,WholesaleExtract!B:O,8,FALSE),"")</f>
        <v/>
      </c>
      <c r="J4527" s="26" t="str">
        <f>IFERROR(VLOOKUP(G4527,WholesaleExtract!B:O,14,FALSE),"")</f>
        <v/>
      </c>
      <c r="K4527" s="26" t="str">
        <f>IFERROR(VLOOKUP(G4527,WholesaleExtract!B:K,10,FALSE),"")</f>
        <v/>
      </c>
      <c r="L4527" s="47" t="str">
        <f>IFERROR(VLOOKUP(G4527,WholesaleExtract!B:L,11,FALSE),"")</f>
        <v/>
      </c>
      <c r="M4527" s="47" t="str">
        <f>IFERROR(VLOOKUP(G4527,WholesaleExtract!B:M,12,FALSE),"")</f>
        <v/>
      </c>
      <c r="R4527" s="19"/>
      <c r="S4527" s="19"/>
    </row>
    <row r="4528" spans="1:19" x14ac:dyDescent="0.35">
      <c r="A4528" s="26" t="s">
        <v>543</v>
      </c>
      <c r="B4528" s="26" t="s">
        <v>543</v>
      </c>
      <c r="C4528" s="26"/>
      <c r="D4528" s="26" t="s">
        <v>543</v>
      </c>
      <c r="E4528" s="26" t="str">
        <f>IFERROR(VLOOKUP(G4528,WholesaleExtract!B:J,9,FALSE),"")</f>
        <v/>
      </c>
      <c r="F4528" s="26" t="str">
        <f>IFERROR(VLOOKUP(G4528,WholesaleExtract!B:J,6,FALSE),"")</f>
        <v/>
      </c>
      <c r="H4528" s="47" t="str">
        <f>IFERROR(VLOOKUP(G4528,WholesaleExtract!B:L,11,FALSE),"")</f>
        <v/>
      </c>
      <c r="I4528" s="26" t="str">
        <f>IFERROR(VLOOKUP(G4528,WholesaleExtract!B:O,8,FALSE),"")</f>
        <v/>
      </c>
      <c r="J4528" s="26" t="str">
        <f>IFERROR(VLOOKUP(G4528,WholesaleExtract!B:O,14,FALSE),"")</f>
        <v/>
      </c>
      <c r="K4528" s="26" t="str">
        <f>IFERROR(VLOOKUP(G4528,WholesaleExtract!B:K,10,FALSE),"")</f>
        <v/>
      </c>
      <c r="L4528" s="47" t="str">
        <f>IFERROR(VLOOKUP(G4528,WholesaleExtract!B:L,11,FALSE),"")</f>
        <v/>
      </c>
      <c r="M4528" s="47" t="str">
        <f>IFERROR(VLOOKUP(G4528,WholesaleExtract!B:M,12,FALSE),"")</f>
        <v/>
      </c>
      <c r="R4528" s="19"/>
      <c r="S4528" s="19"/>
    </row>
    <row r="4529" spans="1:19" x14ac:dyDescent="0.35">
      <c r="A4529" s="26" t="s">
        <v>543</v>
      </c>
      <c r="B4529" s="26" t="s">
        <v>543</v>
      </c>
      <c r="C4529" s="26"/>
      <c r="D4529" s="26" t="s">
        <v>543</v>
      </c>
      <c r="E4529" s="26" t="str">
        <f>IFERROR(VLOOKUP(G4529,WholesaleExtract!B:J,9,FALSE),"")</f>
        <v/>
      </c>
      <c r="F4529" s="26" t="str">
        <f>IFERROR(VLOOKUP(G4529,WholesaleExtract!B:J,6,FALSE),"")</f>
        <v/>
      </c>
      <c r="H4529" s="47" t="str">
        <f>IFERROR(VLOOKUP(G4529,WholesaleExtract!B:L,11,FALSE),"")</f>
        <v/>
      </c>
      <c r="I4529" s="26" t="str">
        <f>IFERROR(VLOOKUP(G4529,WholesaleExtract!B:O,8,FALSE),"")</f>
        <v/>
      </c>
      <c r="J4529" s="26" t="str">
        <f>IFERROR(VLOOKUP(G4529,WholesaleExtract!B:O,14,FALSE),"")</f>
        <v/>
      </c>
      <c r="K4529" s="26" t="str">
        <f>IFERROR(VLOOKUP(G4529,WholesaleExtract!B:K,10,FALSE),"")</f>
        <v/>
      </c>
      <c r="L4529" s="47" t="str">
        <f>IFERROR(VLOOKUP(G4529,WholesaleExtract!B:L,11,FALSE),"")</f>
        <v/>
      </c>
      <c r="M4529" s="47" t="str">
        <f>IFERROR(VLOOKUP(G4529,WholesaleExtract!B:M,12,FALSE),"")</f>
        <v/>
      </c>
      <c r="R4529" s="19"/>
      <c r="S4529" s="19"/>
    </row>
    <row r="4530" spans="1:19" x14ac:dyDescent="0.35">
      <c r="A4530" s="26" t="s">
        <v>543</v>
      </c>
      <c r="B4530" s="26" t="s">
        <v>543</v>
      </c>
      <c r="C4530" s="26"/>
      <c r="D4530" s="26" t="s">
        <v>543</v>
      </c>
      <c r="E4530" s="26" t="str">
        <f>IFERROR(VLOOKUP(G4530,WholesaleExtract!B:J,9,FALSE),"")</f>
        <v/>
      </c>
      <c r="F4530" s="26" t="str">
        <f>IFERROR(VLOOKUP(G4530,WholesaleExtract!B:J,6,FALSE),"")</f>
        <v/>
      </c>
      <c r="H4530" s="47" t="str">
        <f>IFERROR(VLOOKUP(G4530,WholesaleExtract!B:L,11,FALSE),"")</f>
        <v/>
      </c>
      <c r="I4530" s="26" t="str">
        <f>IFERROR(VLOOKUP(G4530,WholesaleExtract!B:O,8,FALSE),"")</f>
        <v/>
      </c>
      <c r="J4530" s="26" t="str">
        <f>IFERROR(VLOOKUP(G4530,WholesaleExtract!B:O,14,FALSE),"")</f>
        <v/>
      </c>
      <c r="K4530" s="26" t="str">
        <f>IFERROR(VLOOKUP(G4530,WholesaleExtract!B:K,10,FALSE),"")</f>
        <v/>
      </c>
      <c r="L4530" s="47" t="str">
        <f>IFERROR(VLOOKUP(G4530,WholesaleExtract!B:L,11,FALSE),"")</f>
        <v/>
      </c>
      <c r="M4530" s="47" t="str">
        <f>IFERROR(VLOOKUP(G4530,WholesaleExtract!B:M,12,FALSE),"")</f>
        <v/>
      </c>
      <c r="R4530" s="19"/>
      <c r="S4530" s="19"/>
    </row>
    <row r="4531" spans="1:19" x14ac:dyDescent="0.35">
      <c r="A4531" s="26" t="s">
        <v>543</v>
      </c>
      <c r="B4531" s="26" t="s">
        <v>543</v>
      </c>
      <c r="C4531" s="26"/>
      <c r="D4531" s="26" t="s">
        <v>543</v>
      </c>
      <c r="E4531" s="26" t="str">
        <f>IFERROR(VLOOKUP(G4531,WholesaleExtract!B:J,9,FALSE),"")</f>
        <v/>
      </c>
      <c r="F4531" s="26" t="str">
        <f>IFERROR(VLOOKUP(G4531,WholesaleExtract!B:J,6,FALSE),"")</f>
        <v/>
      </c>
      <c r="H4531" s="47" t="str">
        <f>IFERROR(VLOOKUP(G4531,WholesaleExtract!B:L,11,FALSE),"")</f>
        <v/>
      </c>
      <c r="I4531" s="26" t="str">
        <f>IFERROR(VLOOKUP(G4531,WholesaleExtract!B:O,8,FALSE),"")</f>
        <v/>
      </c>
      <c r="J4531" s="26" t="str">
        <f>IFERROR(VLOOKUP(G4531,WholesaleExtract!B:O,14,FALSE),"")</f>
        <v/>
      </c>
      <c r="K4531" s="26" t="str">
        <f>IFERROR(VLOOKUP(G4531,WholesaleExtract!B:K,10,FALSE),"")</f>
        <v/>
      </c>
      <c r="L4531" s="47" t="str">
        <f>IFERROR(VLOOKUP(G4531,WholesaleExtract!B:L,11,FALSE),"")</f>
        <v/>
      </c>
      <c r="M4531" s="47" t="str">
        <f>IFERROR(VLOOKUP(G4531,WholesaleExtract!B:M,12,FALSE),"")</f>
        <v/>
      </c>
      <c r="R4531" s="19"/>
      <c r="S4531" s="19"/>
    </row>
    <row r="4532" spans="1:19" x14ac:dyDescent="0.35">
      <c r="A4532" s="26" t="s">
        <v>543</v>
      </c>
      <c r="B4532" s="26" t="s">
        <v>543</v>
      </c>
      <c r="C4532" s="26"/>
      <c r="D4532" s="26" t="s">
        <v>543</v>
      </c>
      <c r="E4532" s="26" t="str">
        <f>IFERROR(VLOOKUP(G4532,WholesaleExtract!B:J,9,FALSE),"")</f>
        <v/>
      </c>
      <c r="F4532" s="26" t="str">
        <f>IFERROR(VLOOKUP(G4532,WholesaleExtract!B:J,6,FALSE),"")</f>
        <v/>
      </c>
      <c r="H4532" s="47" t="str">
        <f>IFERROR(VLOOKUP(G4532,WholesaleExtract!B:L,11,FALSE),"")</f>
        <v/>
      </c>
      <c r="I4532" s="26" t="str">
        <f>IFERROR(VLOOKUP(G4532,WholesaleExtract!B:O,8,FALSE),"")</f>
        <v/>
      </c>
      <c r="J4532" s="26" t="str">
        <f>IFERROR(VLOOKUP(G4532,WholesaleExtract!B:O,14,FALSE),"")</f>
        <v/>
      </c>
      <c r="K4532" s="26" t="str">
        <f>IFERROR(VLOOKUP(G4532,WholesaleExtract!B:K,10,FALSE),"")</f>
        <v/>
      </c>
      <c r="L4532" s="47" t="str">
        <f>IFERROR(VLOOKUP(G4532,WholesaleExtract!B:L,11,FALSE),"")</f>
        <v/>
      </c>
      <c r="M4532" s="47" t="str">
        <f>IFERROR(VLOOKUP(G4532,WholesaleExtract!B:M,12,FALSE),"")</f>
        <v/>
      </c>
      <c r="R4532" s="19"/>
      <c r="S4532" s="19"/>
    </row>
    <row r="4533" spans="1:19" x14ac:dyDescent="0.35">
      <c r="A4533" s="26" t="s">
        <v>543</v>
      </c>
      <c r="B4533" s="26" t="s">
        <v>543</v>
      </c>
      <c r="C4533" s="26"/>
      <c r="D4533" s="26" t="s">
        <v>543</v>
      </c>
      <c r="E4533" s="26" t="str">
        <f>IFERROR(VLOOKUP(G4533,WholesaleExtract!B:J,9,FALSE),"")</f>
        <v/>
      </c>
      <c r="F4533" s="26" t="str">
        <f>IFERROR(VLOOKUP(G4533,WholesaleExtract!B:J,6,FALSE),"")</f>
        <v/>
      </c>
      <c r="H4533" s="47" t="str">
        <f>IFERROR(VLOOKUP(G4533,WholesaleExtract!B:L,11,FALSE),"")</f>
        <v/>
      </c>
      <c r="I4533" s="26" t="str">
        <f>IFERROR(VLOOKUP(G4533,WholesaleExtract!B:O,8,FALSE),"")</f>
        <v/>
      </c>
      <c r="J4533" s="26" t="str">
        <f>IFERROR(VLOOKUP(G4533,WholesaleExtract!B:O,14,FALSE),"")</f>
        <v/>
      </c>
      <c r="K4533" s="26" t="str">
        <f>IFERROR(VLOOKUP(G4533,WholesaleExtract!B:K,10,FALSE),"")</f>
        <v/>
      </c>
      <c r="L4533" s="47" t="str">
        <f>IFERROR(VLOOKUP(G4533,WholesaleExtract!B:L,11,FALSE),"")</f>
        <v/>
      </c>
      <c r="M4533" s="47" t="str">
        <f>IFERROR(VLOOKUP(G4533,WholesaleExtract!B:M,12,FALSE),"")</f>
        <v/>
      </c>
      <c r="R4533" s="19"/>
      <c r="S4533" s="19"/>
    </row>
    <row r="4534" spans="1:19" x14ac:dyDescent="0.35">
      <c r="A4534" s="26" t="s">
        <v>543</v>
      </c>
      <c r="B4534" s="26" t="s">
        <v>543</v>
      </c>
      <c r="C4534" s="26"/>
      <c r="D4534" s="26" t="s">
        <v>543</v>
      </c>
      <c r="E4534" s="26" t="str">
        <f>IFERROR(VLOOKUP(G4534,WholesaleExtract!B:J,9,FALSE),"")</f>
        <v/>
      </c>
      <c r="F4534" s="26" t="str">
        <f>IFERROR(VLOOKUP(G4534,WholesaleExtract!B:J,6,FALSE),"")</f>
        <v/>
      </c>
      <c r="H4534" s="47" t="str">
        <f>IFERROR(VLOOKUP(G4534,WholesaleExtract!B:L,11,FALSE),"")</f>
        <v/>
      </c>
      <c r="I4534" s="26" t="str">
        <f>IFERROR(VLOOKUP(G4534,WholesaleExtract!B:O,8,FALSE),"")</f>
        <v/>
      </c>
      <c r="J4534" s="26" t="str">
        <f>IFERROR(VLOOKUP(G4534,WholesaleExtract!B:O,14,FALSE),"")</f>
        <v/>
      </c>
      <c r="K4534" s="26" t="str">
        <f>IFERROR(VLOOKUP(G4534,WholesaleExtract!B:K,10,FALSE),"")</f>
        <v/>
      </c>
      <c r="L4534" s="47" t="str">
        <f>IFERROR(VLOOKUP(G4534,WholesaleExtract!B:L,11,FALSE),"")</f>
        <v/>
      </c>
      <c r="M4534" s="47" t="str">
        <f>IFERROR(VLOOKUP(G4534,WholesaleExtract!B:M,12,FALSE),"")</f>
        <v/>
      </c>
      <c r="R4534" s="19"/>
      <c r="S4534" s="19"/>
    </row>
    <row r="4535" spans="1:19" x14ac:dyDescent="0.35">
      <c r="A4535" s="26" t="s">
        <v>543</v>
      </c>
      <c r="B4535" s="26" t="s">
        <v>543</v>
      </c>
      <c r="C4535" s="26"/>
      <c r="D4535" s="26" t="s">
        <v>543</v>
      </c>
      <c r="E4535" s="26" t="str">
        <f>IFERROR(VLOOKUP(G4535,WholesaleExtract!B:J,9,FALSE),"")</f>
        <v/>
      </c>
      <c r="F4535" s="26" t="str">
        <f>IFERROR(VLOOKUP(G4535,WholesaleExtract!B:J,6,FALSE),"")</f>
        <v/>
      </c>
      <c r="H4535" s="47" t="str">
        <f>IFERROR(VLOOKUP(G4535,WholesaleExtract!B:L,11,FALSE),"")</f>
        <v/>
      </c>
      <c r="I4535" s="26" t="str">
        <f>IFERROR(VLOOKUP(G4535,WholesaleExtract!B:O,8,FALSE),"")</f>
        <v/>
      </c>
      <c r="J4535" s="26" t="str">
        <f>IFERROR(VLOOKUP(G4535,WholesaleExtract!B:O,14,FALSE),"")</f>
        <v/>
      </c>
      <c r="K4535" s="26" t="str">
        <f>IFERROR(VLOOKUP(G4535,WholesaleExtract!B:K,10,FALSE),"")</f>
        <v/>
      </c>
      <c r="L4535" s="47" t="str">
        <f>IFERROR(VLOOKUP(G4535,WholesaleExtract!B:L,11,FALSE),"")</f>
        <v/>
      </c>
      <c r="M4535" s="47" t="str">
        <f>IFERROR(VLOOKUP(G4535,WholesaleExtract!B:M,12,FALSE),"")</f>
        <v/>
      </c>
      <c r="R4535" s="19"/>
      <c r="S4535" s="19"/>
    </row>
    <row r="4536" spans="1:19" x14ac:dyDescent="0.35">
      <c r="A4536" s="26" t="s">
        <v>543</v>
      </c>
      <c r="B4536" s="26" t="s">
        <v>543</v>
      </c>
      <c r="C4536" s="26"/>
      <c r="D4536" s="26" t="s">
        <v>543</v>
      </c>
      <c r="E4536" s="26" t="str">
        <f>IFERROR(VLOOKUP(G4536,WholesaleExtract!B:J,9,FALSE),"")</f>
        <v/>
      </c>
      <c r="F4536" s="26" t="str">
        <f>IFERROR(VLOOKUP(G4536,WholesaleExtract!B:J,6,FALSE),"")</f>
        <v/>
      </c>
      <c r="H4536" s="47" t="str">
        <f>IFERROR(VLOOKUP(G4536,WholesaleExtract!B:L,11,FALSE),"")</f>
        <v/>
      </c>
      <c r="I4536" s="26" t="str">
        <f>IFERROR(VLOOKUP(G4536,WholesaleExtract!B:O,8,FALSE),"")</f>
        <v/>
      </c>
      <c r="J4536" s="26" t="str">
        <f>IFERROR(VLOOKUP(G4536,WholesaleExtract!B:O,14,FALSE),"")</f>
        <v/>
      </c>
      <c r="K4536" s="26" t="str">
        <f>IFERROR(VLOOKUP(G4536,WholesaleExtract!B:K,10,FALSE),"")</f>
        <v/>
      </c>
      <c r="L4536" s="47" t="str">
        <f>IFERROR(VLOOKUP(G4536,WholesaleExtract!B:L,11,FALSE),"")</f>
        <v/>
      </c>
      <c r="M4536" s="47" t="str">
        <f>IFERROR(VLOOKUP(G4536,WholesaleExtract!B:M,12,FALSE),"")</f>
        <v/>
      </c>
      <c r="R4536" s="19"/>
      <c r="S4536" s="19"/>
    </row>
    <row r="4537" spans="1:19" x14ac:dyDescent="0.35">
      <c r="A4537" s="26" t="s">
        <v>543</v>
      </c>
      <c r="B4537" s="26" t="s">
        <v>543</v>
      </c>
      <c r="C4537" s="26"/>
      <c r="D4537" s="26" t="s">
        <v>543</v>
      </c>
      <c r="E4537" s="26" t="str">
        <f>IFERROR(VLOOKUP(G4537,WholesaleExtract!B:J,9,FALSE),"")</f>
        <v/>
      </c>
      <c r="F4537" s="26" t="str">
        <f>IFERROR(VLOOKUP(G4537,WholesaleExtract!B:J,6,FALSE),"")</f>
        <v/>
      </c>
      <c r="H4537" s="47" t="str">
        <f>IFERROR(VLOOKUP(G4537,WholesaleExtract!B:L,11,FALSE),"")</f>
        <v/>
      </c>
      <c r="I4537" s="26" t="str">
        <f>IFERROR(VLOOKUP(G4537,WholesaleExtract!B:O,8,FALSE),"")</f>
        <v/>
      </c>
      <c r="J4537" s="26" t="str">
        <f>IFERROR(VLOOKUP(G4537,WholesaleExtract!B:O,14,FALSE),"")</f>
        <v/>
      </c>
      <c r="K4537" s="26" t="str">
        <f>IFERROR(VLOOKUP(G4537,WholesaleExtract!B:K,10,FALSE),"")</f>
        <v/>
      </c>
      <c r="L4537" s="47" t="str">
        <f>IFERROR(VLOOKUP(G4537,WholesaleExtract!B:L,11,FALSE),"")</f>
        <v/>
      </c>
      <c r="M4537" s="47" t="str">
        <f>IFERROR(VLOOKUP(G4537,WholesaleExtract!B:M,12,FALSE),"")</f>
        <v/>
      </c>
      <c r="R4537" s="19"/>
      <c r="S4537" s="19"/>
    </row>
    <row r="4538" spans="1:19" x14ac:dyDescent="0.35">
      <c r="A4538" s="26" t="s">
        <v>543</v>
      </c>
      <c r="B4538" s="26" t="s">
        <v>543</v>
      </c>
      <c r="C4538" s="26"/>
      <c r="D4538" s="26" t="s">
        <v>543</v>
      </c>
      <c r="E4538" s="26" t="str">
        <f>IFERROR(VLOOKUP(G4538,WholesaleExtract!B:J,9,FALSE),"")</f>
        <v/>
      </c>
      <c r="F4538" s="26" t="str">
        <f>IFERROR(VLOOKUP(G4538,WholesaleExtract!B:J,6,FALSE),"")</f>
        <v/>
      </c>
      <c r="H4538" s="47" t="str">
        <f>IFERROR(VLOOKUP(G4538,WholesaleExtract!B:L,11,FALSE),"")</f>
        <v/>
      </c>
      <c r="I4538" s="26" t="str">
        <f>IFERROR(VLOOKUP(G4538,WholesaleExtract!B:O,8,FALSE),"")</f>
        <v/>
      </c>
      <c r="J4538" s="26" t="str">
        <f>IFERROR(VLOOKUP(G4538,WholesaleExtract!B:O,14,FALSE),"")</f>
        <v/>
      </c>
      <c r="K4538" s="26" t="str">
        <f>IFERROR(VLOOKUP(G4538,WholesaleExtract!B:K,10,FALSE),"")</f>
        <v/>
      </c>
      <c r="L4538" s="47" t="str">
        <f>IFERROR(VLOOKUP(G4538,WholesaleExtract!B:L,11,FALSE),"")</f>
        <v/>
      </c>
      <c r="M4538" s="47" t="str">
        <f>IFERROR(VLOOKUP(G4538,WholesaleExtract!B:M,12,FALSE),"")</f>
        <v/>
      </c>
      <c r="R4538" s="19"/>
      <c r="S4538" s="19"/>
    </row>
    <row r="4539" spans="1:19" x14ac:dyDescent="0.35">
      <c r="A4539" s="26" t="s">
        <v>543</v>
      </c>
      <c r="B4539" s="26" t="s">
        <v>543</v>
      </c>
      <c r="C4539" s="26"/>
      <c r="D4539" s="26" t="s">
        <v>543</v>
      </c>
      <c r="E4539" s="26" t="str">
        <f>IFERROR(VLOOKUP(G4539,WholesaleExtract!B:J,9,FALSE),"")</f>
        <v/>
      </c>
      <c r="F4539" s="26" t="str">
        <f>IFERROR(VLOOKUP(G4539,WholesaleExtract!B:J,6,FALSE),"")</f>
        <v/>
      </c>
      <c r="H4539" s="47" t="str">
        <f>IFERROR(VLOOKUP(G4539,WholesaleExtract!B:L,11,FALSE),"")</f>
        <v/>
      </c>
      <c r="I4539" s="26" t="str">
        <f>IFERROR(VLOOKUP(G4539,WholesaleExtract!B:O,8,FALSE),"")</f>
        <v/>
      </c>
      <c r="J4539" s="26" t="str">
        <f>IFERROR(VLOOKUP(G4539,WholesaleExtract!B:O,14,FALSE),"")</f>
        <v/>
      </c>
      <c r="K4539" s="26" t="str">
        <f>IFERROR(VLOOKUP(G4539,WholesaleExtract!B:K,10,FALSE),"")</f>
        <v/>
      </c>
      <c r="L4539" s="47" t="str">
        <f>IFERROR(VLOOKUP(G4539,WholesaleExtract!B:L,11,FALSE),"")</f>
        <v/>
      </c>
      <c r="M4539" s="47" t="str">
        <f>IFERROR(VLOOKUP(G4539,WholesaleExtract!B:M,12,FALSE),"")</f>
        <v/>
      </c>
      <c r="R4539" s="19"/>
      <c r="S4539" s="19"/>
    </row>
    <row r="4540" spans="1:19" x14ac:dyDescent="0.35">
      <c r="A4540" s="26" t="s">
        <v>543</v>
      </c>
      <c r="B4540" s="26" t="s">
        <v>543</v>
      </c>
      <c r="C4540" s="26"/>
      <c r="D4540" s="26" t="s">
        <v>543</v>
      </c>
      <c r="E4540" s="26" t="str">
        <f>IFERROR(VLOOKUP(G4540,WholesaleExtract!B:J,9,FALSE),"")</f>
        <v/>
      </c>
      <c r="F4540" s="26" t="str">
        <f>IFERROR(VLOOKUP(G4540,WholesaleExtract!B:J,6,FALSE),"")</f>
        <v/>
      </c>
      <c r="H4540" s="47" t="str">
        <f>IFERROR(VLOOKUP(G4540,WholesaleExtract!B:L,11,FALSE),"")</f>
        <v/>
      </c>
      <c r="I4540" s="26" t="str">
        <f>IFERROR(VLOOKUP(G4540,WholesaleExtract!B:O,8,FALSE),"")</f>
        <v/>
      </c>
      <c r="J4540" s="26" t="str">
        <f>IFERROR(VLOOKUP(G4540,WholesaleExtract!B:O,14,FALSE),"")</f>
        <v/>
      </c>
      <c r="K4540" s="26" t="str">
        <f>IFERROR(VLOOKUP(G4540,WholesaleExtract!B:K,10,FALSE),"")</f>
        <v/>
      </c>
      <c r="L4540" s="47" t="str">
        <f>IFERROR(VLOOKUP(G4540,WholesaleExtract!B:L,11,FALSE),"")</f>
        <v/>
      </c>
      <c r="M4540" s="47" t="str">
        <f>IFERROR(VLOOKUP(G4540,WholesaleExtract!B:M,12,FALSE),"")</f>
        <v/>
      </c>
      <c r="R4540" s="19"/>
      <c r="S4540" s="19"/>
    </row>
    <row r="4541" spans="1:19" x14ac:dyDescent="0.35">
      <c r="A4541" s="26" t="s">
        <v>543</v>
      </c>
      <c r="B4541" s="26" t="s">
        <v>543</v>
      </c>
      <c r="C4541" s="26"/>
      <c r="D4541" s="26" t="s">
        <v>543</v>
      </c>
      <c r="E4541" s="26" t="str">
        <f>IFERROR(VLOOKUP(G4541,WholesaleExtract!B:J,9,FALSE),"")</f>
        <v/>
      </c>
      <c r="F4541" s="26" t="str">
        <f>IFERROR(VLOOKUP(G4541,WholesaleExtract!B:J,6,FALSE),"")</f>
        <v/>
      </c>
      <c r="H4541" s="47" t="str">
        <f>IFERROR(VLOOKUP(G4541,WholesaleExtract!B:L,11,FALSE),"")</f>
        <v/>
      </c>
      <c r="I4541" s="26" t="str">
        <f>IFERROR(VLOOKUP(G4541,WholesaleExtract!B:O,8,FALSE),"")</f>
        <v/>
      </c>
      <c r="J4541" s="26" t="str">
        <f>IFERROR(VLOOKUP(G4541,WholesaleExtract!B:O,14,FALSE),"")</f>
        <v/>
      </c>
      <c r="K4541" s="26" t="str">
        <f>IFERROR(VLOOKUP(G4541,WholesaleExtract!B:K,10,FALSE),"")</f>
        <v/>
      </c>
      <c r="L4541" s="47" t="str">
        <f>IFERROR(VLOOKUP(G4541,WholesaleExtract!B:L,11,FALSE),"")</f>
        <v/>
      </c>
      <c r="M4541" s="47" t="str">
        <f>IFERROR(VLOOKUP(G4541,WholesaleExtract!B:M,12,FALSE),"")</f>
        <v/>
      </c>
      <c r="R4541" s="19"/>
      <c r="S4541" s="19"/>
    </row>
    <row r="4542" spans="1:19" x14ac:dyDescent="0.35">
      <c r="A4542" s="26" t="s">
        <v>543</v>
      </c>
      <c r="B4542" s="26" t="s">
        <v>543</v>
      </c>
      <c r="C4542" s="26"/>
      <c r="D4542" s="26" t="s">
        <v>543</v>
      </c>
      <c r="E4542" s="26" t="str">
        <f>IFERROR(VLOOKUP(G4542,WholesaleExtract!B:J,9,FALSE),"")</f>
        <v/>
      </c>
      <c r="F4542" s="26" t="str">
        <f>IFERROR(VLOOKUP(G4542,WholesaleExtract!B:J,6,FALSE),"")</f>
        <v/>
      </c>
      <c r="H4542" s="47" t="str">
        <f>IFERROR(VLOOKUP(G4542,WholesaleExtract!B:L,11,FALSE),"")</f>
        <v/>
      </c>
      <c r="I4542" s="26" t="str">
        <f>IFERROR(VLOOKUP(G4542,WholesaleExtract!B:O,8,FALSE),"")</f>
        <v/>
      </c>
      <c r="J4542" s="26" t="str">
        <f>IFERROR(VLOOKUP(G4542,WholesaleExtract!B:O,14,FALSE),"")</f>
        <v/>
      </c>
      <c r="K4542" s="26" t="str">
        <f>IFERROR(VLOOKUP(G4542,WholesaleExtract!B:K,10,FALSE),"")</f>
        <v/>
      </c>
      <c r="L4542" s="47" t="str">
        <f>IFERROR(VLOOKUP(G4542,WholesaleExtract!B:L,11,FALSE),"")</f>
        <v/>
      </c>
      <c r="M4542" s="47" t="str">
        <f>IFERROR(VLOOKUP(G4542,WholesaleExtract!B:M,12,FALSE),"")</f>
        <v/>
      </c>
      <c r="R4542" s="19"/>
      <c r="S4542" s="19"/>
    </row>
    <row r="4543" spans="1:19" x14ac:dyDescent="0.35">
      <c r="A4543" s="26" t="s">
        <v>543</v>
      </c>
      <c r="B4543" s="26" t="s">
        <v>543</v>
      </c>
      <c r="C4543" s="26"/>
      <c r="D4543" s="26" t="s">
        <v>543</v>
      </c>
      <c r="E4543" s="26" t="str">
        <f>IFERROR(VLOOKUP(G4543,WholesaleExtract!B:J,9,FALSE),"")</f>
        <v/>
      </c>
      <c r="F4543" s="26" t="str">
        <f>IFERROR(VLOOKUP(G4543,WholesaleExtract!B:J,6,FALSE),"")</f>
        <v/>
      </c>
      <c r="H4543" s="47" t="str">
        <f>IFERROR(VLOOKUP(G4543,WholesaleExtract!B:L,11,FALSE),"")</f>
        <v/>
      </c>
      <c r="I4543" s="26" t="str">
        <f>IFERROR(VLOOKUP(G4543,WholesaleExtract!B:O,8,FALSE),"")</f>
        <v/>
      </c>
      <c r="J4543" s="26" t="str">
        <f>IFERROR(VLOOKUP(G4543,WholesaleExtract!B:O,14,FALSE),"")</f>
        <v/>
      </c>
      <c r="K4543" s="26" t="str">
        <f>IFERROR(VLOOKUP(G4543,WholesaleExtract!B:K,10,FALSE),"")</f>
        <v/>
      </c>
      <c r="L4543" s="47" t="str">
        <f>IFERROR(VLOOKUP(G4543,WholesaleExtract!B:L,11,FALSE),"")</f>
        <v/>
      </c>
      <c r="M4543" s="47" t="str">
        <f>IFERROR(VLOOKUP(G4543,WholesaleExtract!B:M,12,FALSE),"")</f>
        <v/>
      </c>
      <c r="R4543" s="19"/>
      <c r="S4543" s="19"/>
    </row>
    <row r="4544" spans="1:19" x14ac:dyDescent="0.35">
      <c r="A4544" s="26" t="s">
        <v>543</v>
      </c>
      <c r="B4544" s="26" t="s">
        <v>543</v>
      </c>
      <c r="C4544" s="26"/>
      <c r="D4544" s="26" t="s">
        <v>543</v>
      </c>
      <c r="E4544" s="26" t="str">
        <f>IFERROR(VLOOKUP(G4544,WholesaleExtract!B:J,9,FALSE),"")</f>
        <v/>
      </c>
      <c r="F4544" s="26" t="str">
        <f>IFERROR(VLOOKUP(G4544,WholesaleExtract!B:J,6,FALSE),"")</f>
        <v/>
      </c>
      <c r="H4544" s="47" t="str">
        <f>IFERROR(VLOOKUP(G4544,WholesaleExtract!B:L,11,FALSE),"")</f>
        <v/>
      </c>
      <c r="I4544" s="26" t="str">
        <f>IFERROR(VLOOKUP(G4544,WholesaleExtract!B:O,8,FALSE),"")</f>
        <v/>
      </c>
      <c r="J4544" s="26" t="str">
        <f>IFERROR(VLOOKUP(G4544,WholesaleExtract!B:O,14,FALSE),"")</f>
        <v/>
      </c>
      <c r="K4544" s="26" t="str">
        <f>IFERROR(VLOOKUP(G4544,WholesaleExtract!B:K,10,FALSE),"")</f>
        <v/>
      </c>
      <c r="L4544" s="47" t="str">
        <f>IFERROR(VLOOKUP(G4544,WholesaleExtract!B:L,11,FALSE),"")</f>
        <v/>
      </c>
      <c r="M4544" s="47" t="str">
        <f>IFERROR(VLOOKUP(G4544,WholesaleExtract!B:M,12,FALSE),"")</f>
        <v/>
      </c>
      <c r="R4544" s="19"/>
      <c r="S4544" s="19"/>
    </row>
    <row r="4545" spans="1:19" x14ac:dyDescent="0.35">
      <c r="A4545" s="26" t="s">
        <v>543</v>
      </c>
      <c r="B4545" s="26" t="s">
        <v>543</v>
      </c>
      <c r="C4545" s="26"/>
      <c r="D4545" s="26" t="s">
        <v>543</v>
      </c>
      <c r="E4545" s="26" t="str">
        <f>IFERROR(VLOOKUP(G4545,WholesaleExtract!B:J,9,FALSE),"")</f>
        <v/>
      </c>
      <c r="F4545" s="26" t="str">
        <f>IFERROR(VLOOKUP(G4545,WholesaleExtract!B:J,6,FALSE),"")</f>
        <v/>
      </c>
      <c r="H4545" s="47" t="str">
        <f>IFERROR(VLOOKUP(G4545,WholesaleExtract!B:L,11,FALSE),"")</f>
        <v/>
      </c>
      <c r="I4545" s="26" t="str">
        <f>IFERROR(VLOOKUP(G4545,WholesaleExtract!B:O,8,FALSE),"")</f>
        <v/>
      </c>
      <c r="J4545" s="26" t="str">
        <f>IFERROR(VLOOKUP(G4545,WholesaleExtract!B:O,14,FALSE),"")</f>
        <v/>
      </c>
      <c r="K4545" s="26" t="str">
        <f>IFERROR(VLOOKUP(G4545,WholesaleExtract!B:K,10,FALSE),"")</f>
        <v/>
      </c>
      <c r="L4545" s="47" t="str">
        <f>IFERROR(VLOOKUP(G4545,WholesaleExtract!B:L,11,FALSE),"")</f>
        <v/>
      </c>
      <c r="M4545" s="47" t="str">
        <f>IFERROR(VLOOKUP(G4545,WholesaleExtract!B:M,12,FALSE),"")</f>
        <v/>
      </c>
      <c r="R4545" s="19"/>
      <c r="S4545" s="19"/>
    </row>
    <row r="4546" spans="1:19" x14ac:dyDescent="0.35">
      <c r="A4546" s="26" t="s">
        <v>543</v>
      </c>
      <c r="B4546" s="26" t="s">
        <v>543</v>
      </c>
      <c r="C4546" s="26"/>
      <c r="D4546" s="26" t="s">
        <v>543</v>
      </c>
      <c r="E4546" s="26" t="str">
        <f>IFERROR(VLOOKUP(G4546,WholesaleExtract!B:J,9,FALSE),"")</f>
        <v/>
      </c>
      <c r="F4546" s="26" t="str">
        <f>IFERROR(VLOOKUP(G4546,WholesaleExtract!B:J,6,FALSE),"")</f>
        <v/>
      </c>
      <c r="H4546" s="47" t="str">
        <f>IFERROR(VLOOKUP(G4546,WholesaleExtract!B:L,11,FALSE),"")</f>
        <v/>
      </c>
      <c r="I4546" s="26" t="str">
        <f>IFERROR(VLOOKUP(G4546,WholesaleExtract!B:O,8,FALSE),"")</f>
        <v/>
      </c>
      <c r="J4546" s="26" t="str">
        <f>IFERROR(VLOOKUP(G4546,WholesaleExtract!B:O,14,FALSE),"")</f>
        <v/>
      </c>
      <c r="K4546" s="26" t="str">
        <f>IFERROR(VLOOKUP(G4546,WholesaleExtract!B:K,10,FALSE),"")</f>
        <v/>
      </c>
      <c r="L4546" s="47" t="str">
        <f>IFERROR(VLOOKUP(G4546,WholesaleExtract!B:L,11,FALSE),"")</f>
        <v/>
      </c>
      <c r="M4546" s="47" t="str">
        <f>IFERROR(VLOOKUP(G4546,WholesaleExtract!B:M,12,FALSE),"")</f>
        <v/>
      </c>
      <c r="R4546" s="19"/>
      <c r="S4546" s="19"/>
    </row>
    <row r="4547" spans="1:19" x14ac:dyDescent="0.35">
      <c r="A4547" s="26" t="s">
        <v>543</v>
      </c>
      <c r="B4547" s="26" t="s">
        <v>543</v>
      </c>
      <c r="C4547" s="26"/>
      <c r="D4547" s="26" t="s">
        <v>543</v>
      </c>
      <c r="E4547" s="26" t="str">
        <f>IFERROR(VLOOKUP(G4547,WholesaleExtract!B:J,9,FALSE),"")</f>
        <v/>
      </c>
      <c r="F4547" s="26" t="str">
        <f>IFERROR(VLOOKUP(G4547,WholesaleExtract!B:J,6,FALSE),"")</f>
        <v/>
      </c>
      <c r="H4547" s="47" t="str">
        <f>IFERROR(VLOOKUP(G4547,WholesaleExtract!B:L,11,FALSE),"")</f>
        <v/>
      </c>
      <c r="I4547" s="26" t="str">
        <f>IFERROR(VLOOKUP(G4547,WholesaleExtract!B:O,8,FALSE),"")</f>
        <v/>
      </c>
      <c r="J4547" s="26" t="str">
        <f>IFERROR(VLOOKUP(G4547,WholesaleExtract!B:O,14,FALSE),"")</f>
        <v/>
      </c>
      <c r="K4547" s="26" t="str">
        <f>IFERROR(VLOOKUP(G4547,WholesaleExtract!B:K,10,FALSE),"")</f>
        <v/>
      </c>
      <c r="L4547" s="47" t="str">
        <f>IFERROR(VLOOKUP(G4547,WholesaleExtract!B:L,11,FALSE),"")</f>
        <v/>
      </c>
      <c r="M4547" s="47" t="str">
        <f>IFERROR(VLOOKUP(G4547,WholesaleExtract!B:M,12,FALSE),"")</f>
        <v/>
      </c>
      <c r="R4547" s="19"/>
      <c r="S4547" s="19"/>
    </row>
    <row r="4548" spans="1:19" x14ac:dyDescent="0.35">
      <c r="A4548" s="26" t="s">
        <v>543</v>
      </c>
      <c r="B4548" s="26" t="s">
        <v>543</v>
      </c>
      <c r="C4548" s="26"/>
      <c r="D4548" s="26" t="s">
        <v>543</v>
      </c>
      <c r="E4548" s="26" t="str">
        <f>IFERROR(VLOOKUP(G4548,WholesaleExtract!B:J,9,FALSE),"")</f>
        <v/>
      </c>
      <c r="F4548" s="26" t="str">
        <f>IFERROR(VLOOKUP(G4548,WholesaleExtract!B:J,6,FALSE),"")</f>
        <v/>
      </c>
      <c r="H4548" s="47" t="str">
        <f>IFERROR(VLOOKUP(G4548,WholesaleExtract!B:L,11,FALSE),"")</f>
        <v/>
      </c>
      <c r="I4548" s="26" t="str">
        <f>IFERROR(VLOOKUP(G4548,WholesaleExtract!B:O,8,FALSE),"")</f>
        <v/>
      </c>
      <c r="J4548" s="26" t="str">
        <f>IFERROR(VLOOKUP(G4548,WholesaleExtract!B:O,14,FALSE),"")</f>
        <v/>
      </c>
      <c r="K4548" s="26" t="str">
        <f>IFERROR(VLOOKUP(G4548,WholesaleExtract!B:K,10,FALSE),"")</f>
        <v/>
      </c>
      <c r="L4548" s="47" t="str">
        <f>IFERROR(VLOOKUP(G4548,WholesaleExtract!B:L,11,FALSE),"")</f>
        <v/>
      </c>
      <c r="M4548" s="47" t="str">
        <f>IFERROR(VLOOKUP(G4548,WholesaleExtract!B:M,12,FALSE),"")</f>
        <v/>
      </c>
      <c r="R4548" s="19"/>
      <c r="S4548" s="19"/>
    </row>
    <row r="4549" spans="1:19" x14ac:dyDescent="0.35">
      <c r="A4549" s="26" t="s">
        <v>543</v>
      </c>
      <c r="B4549" s="26" t="s">
        <v>543</v>
      </c>
      <c r="C4549" s="26"/>
      <c r="D4549" s="26" t="s">
        <v>543</v>
      </c>
      <c r="E4549" s="26" t="str">
        <f>IFERROR(VLOOKUP(G4549,WholesaleExtract!B:J,9,FALSE),"")</f>
        <v/>
      </c>
      <c r="F4549" s="26" t="str">
        <f>IFERROR(VLOOKUP(G4549,WholesaleExtract!B:J,6,FALSE),"")</f>
        <v/>
      </c>
      <c r="H4549" s="47" t="str">
        <f>IFERROR(VLOOKUP(G4549,WholesaleExtract!B:L,11,FALSE),"")</f>
        <v/>
      </c>
      <c r="I4549" s="26" t="str">
        <f>IFERROR(VLOOKUP(G4549,WholesaleExtract!B:O,8,FALSE),"")</f>
        <v/>
      </c>
      <c r="J4549" s="26" t="str">
        <f>IFERROR(VLOOKUP(G4549,WholesaleExtract!B:O,14,FALSE),"")</f>
        <v/>
      </c>
      <c r="K4549" s="26" t="str">
        <f>IFERROR(VLOOKUP(G4549,WholesaleExtract!B:K,10,FALSE),"")</f>
        <v/>
      </c>
      <c r="L4549" s="47" t="str">
        <f>IFERROR(VLOOKUP(G4549,WholesaleExtract!B:L,11,FALSE),"")</f>
        <v/>
      </c>
      <c r="M4549" s="47" t="str">
        <f>IFERROR(VLOOKUP(G4549,WholesaleExtract!B:M,12,FALSE),"")</f>
        <v/>
      </c>
      <c r="R4549" s="19"/>
      <c r="S4549" s="19"/>
    </row>
    <row r="4550" spans="1:19" x14ac:dyDescent="0.35">
      <c r="A4550" s="26" t="s">
        <v>543</v>
      </c>
      <c r="B4550" s="26" t="s">
        <v>543</v>
      </c>
      <c r="C4550" s="26"/>
      <c r="D4550" s="26" t="s">
        <v>543</v>
      </c>
      <c r="E4550" s="26" t="str">
        <f>IFERROR(VLOOKUP(G4550,WholesaleExtract!B:J,9,FALSE),"")</f>
        <v/>
      </c>
      <c r="F4550" s="26" t="str">
        <f>IFERROR(VLOOKUP(G4550,WholesaleExtract!B:J,6,FALSE),"")</f>
        <v/>
      </c>
      <c r="H4550" s="47" t="str">
        <f>IFERROR(VLOOKUP(G4550,WholesaleExtract!B:L,11,FALSE),"")</f>
        <v/>
      </c>
      <c r="I4550" s="26" t="str">
        <f>IFERROR(VLOOKUP(G4550,WholesaleExtract!B:O,8,FALSE),"")</f>
        <v/>
      </c>
      <c r="J4550" s="26" t="str">
        <f>IFERROR(VLOOKUP(G4550,WholesaleExtract!B:O,14,FALSE),"")</f>
        <v/>
      </c>
      <c r="K4550" s="26" t="str">
        <f>IFERROR(VLOOKUP(G4550,WholesaleExtract!B:K,10,FALSE),"")</f>
        <v/>
      </c>
      <c r="L4550" s="47" t="str">
        <f>IFERROR(VLOOKUP(G4550,WholesaleExtract!B:L,11,FALSE),"")</f>
        <v/>
      </c>
      <c r="M4550" s="47" t="str">
        <f>IFERROR(VLOOKUP(G4550,WholesaleExtract!B:M,12,FALSE),"")</f>
        <v/>
      </c>
      <c r="R4550" s="19"/>
      <c r="S4550" s="19"/>
    </row>
    <row r="4551" spans="1:19" x14ac:dyDescent="0.35">
      <c r="A4551" s="26" t="s">
        <v>543</v>
      </c>
      <c r="B4551" s="26" t="s">
        <v>543</v>
      </c>
      <c r="C4551" s="26"/>
      <c r="D4551" s="26" t="s">
        <v>543</v>
      </c>
      <c r="E4551" s="26" t="str">
        <f>IFERROR(VLOOKUP(G4551,WholesaleExtract!B:J,9,FALSE),"")</f>
        <v/>
      </c>
      <c r="F4551" s="26" t="str">
        <f>IFERROR(VLOOKUP(G4551,WholesaleExtract!B:J,6,FALSE),"")</f>
        <v/>
      </c>
      <c r="H4551" s="47" t="str">
        <f>IFERROR(VLOOKUP(G4551,WholesaleExtract!B:L,11,FALSE),"")</f>
        <v/>
      </c>
      <c r="I4551" s="26" t="str">
        <f>IFERROR(VLOOKUP(G4551,WholesaleExtract!B:O,8,FALSE),"")</f>
        <v/>
      </c>
      <c r="J4551" s="26" t="str">
        <f>IFERROR(VLOOKUP(G4551,WholesaleExtract!B:O,14,FALSE),"")</f>
        <v/>
      </c>
      <c r="K4551" s="26" t="str">
        <f>IFERROR(VLOOKUP(G4551,WholesaleExtract!B:K,10,FALSE),"")</f>
        <v/>
      </c>
      <c r="L4551" s="47" t="str">
        <f>IFERROR(VLOOKUP(G4551,WholesaleExtract!B:L,11,FALSE),"")</f>
        <v/>
      </c>
      <c r="M4551" s="47" t="str">
        <f>IFERROR(VLOOKUP(G4551,WholesaleExtract!B:M,12,FALSE),"")</f>
        <v/>
      </c>
      <c r="R4551" s="19"/>
      <c r="S4551" s="19"/>
    </row>
    <row r="4552" spans="1:19" x14ac:dyDescent="0.35">
      <c r="A4552" s="26" t="s">
        <v>543</v>
      </c>
      <c r="B4552" s="26" t="s">
        <v>543</v>
      </c>
      <c r="C4552" s="26"/>
      <c r="D4552" s="26" t="s">
        <v>543</v>
      </c>
      <c r="E4552" s="26" t="str">
        <f>IFERROR(VLOOKUP(G4552,WholesaleExtract!B:J,9,FALSE),"")</f>
        <v/>
      </c>
      <c r="F4552" s="26" t="str">
        <f>IFERROR(VLOOKUP(G4552,WholesaleExtract!B:J,6,FALSE),"")</f>
        <v/>
      </c>
      <c r="H4552" s="47" t="str">
        <f>IFERROR(VLOOKUP(G4552,WholesaleExtract!B:L,11,FALSE),"")</f>
        <v/>
      </c>
      <c r="I4552" s="26" t="str">
        <f>IFERROR(VLOOKUP(G4552,WholesaleExtract!B:O,8,FALSE),"")</f>
        <v/>
      </c>
      <c r="J4552" s="26" t="str">
        <f>IFERROR(VLOOKUP(G4552,WholesaleExtract!B:O,14,FALSE),"")</f>
        <v/>
      </c>
      <c r="K4552" s="26" t="str">
        <f>IFERROR(VLOOKUP(G4552,WholesaleExtract!B:K,10,FALSE),"")</f>
        <v/>
      </c>
      <c r="L4552" s="47" t="str">
        <f>IFERROR(VLOOKUP(G4552,WholesaleExtract!B:L,11,FALSE),"")</f>
        <v/>
      </c>
      <c r="M4552" s="47" t="str">
        <f>IFERROR(VLOOKUP(G4552,WholesaleExtract!B:M,12,FALSE),"")</f>
        <v/>
      </c>
      <c r="R4552" s="19"/>
      <c r="S4552" s="19"/>
    </row>
    <row r="4553" spans="1:19" x14ac:dyDescent="0.35">
      <c r="A4553" s="26" t="s">
        <v>543</v>
      </c>
      <c r="B4553" s="26" t="s">
        <v>543</v>
      </c>
      <c r="C4553" s="26"/>
      <c r="D4553" s="26" t="s">
        <v>543</v>
      </c>
      <c r="E4553" s="26" t="str">
        <f>IFERROR(VLOOKUP(G4553,WholesaleExtract!B:J,9,FALSE),"")</f>
        <v/>
      </c>
      <c r="F4553" s="26" t="str">
        <f>IFERROR(VLOOKUP(G4553,WholesaleExtract!B:J,6,FALSE),"")</f>
        <v/>
      </c>
      <c r="H4553" s="47" t="str">
        <f>IFERROR(VLOOKUP(G4553,WholesaleExtract!B:L,11,FALSE),"")</f>
        <v/>
      </c>
      <c r="I4553" s="26" t="str">
        <f>IFERROR(VLOOKUP(G4553,WholesaleExtract!B:O,8,FALSE),"")</f>
        <v/>
      </c>
      <c r="J4553" s="26" t="str">
        <f>IFERROR(VLOOKUP(G4553,WholesaleExtract!B:O,14,FALSE),"")</f>
        <v/>
      </c>
      <c r="K4553" s="26" t="str">
        <f>IFERROR(VLOOKUP(G4553,WholesaleExtract!B:K,10,FALSE),"")</f>
        <v/>
      </c>
      <c r="L4553" s="47" t="str">
        <f>IFERROR(VLOOKUP(G4553,WholesaleExtract!B:L,11,FALSE),"")</f>
        <v/>
      </c>
      <c r="M4553" s="47" t="str">
        <f>IFERROR(VLOOKUP(G4553,WholesaleExtract!B:M,12,FALSE),"")</f>
        <v/>
      </c>
      <c r="R4553" s="19"/>
      <c r="S4553" s="19"/>
    </row>
    <row r="4554" spans="1:19" x14ac:dyDescent="0.35">
      <c r="A4554" s="26" t="s">
        <v>543</v>
      </c>
      <c r="B4554" s="26" t="s">
        <v>543</v>
      </c>
      <c r="C4554" s="26"/>
      <c r="D4554" s="26" t="s">
        <v>543</v>
      </c>
      <c r="E4554" s="26" t="str">
        <f>IFERROR(VLOOKUP(G4554,WholesaleExtract!B:J,9,FALSE),"")</f>
        <v/>
      </c>
      <c r="F4554" s="26" t="str">
        <f>IFERROR(VLOOKUP(G4554,WholesaleExtract!B:J,6,FALSE),"")</f>
        <v/>
      </c>
      <c r="H4554" s="47" t="str">
        <f>IFERROR(VLOOKUP(G4554,WholesaleExtract!B:L,11,FALSE),"")</f>
        <v/>
      </c>
      <c r="I4554" s="26" t="str">
        <f>IFERROR(VLOOKUP(G4554,WholesaleExtract!B:O,8,FALSE),"")</f>
        <v/>
      </c>
      <c r="J4554" s="26" t="str">
        <f>IFERROR(VLOOKUP(G4554,WholesaleExtract!B:O,14,FALSE),"")</f>
        <v/>
      </c>
      <c r="K4554" s="26" t="str">
        <f>IFERROR(VLOOKUP(G4554,WholesaleExtract!B:K,10,FALSE),"")</f>
        <v/>
      </c>
      <c r="L4554" s="47" t="str">
        <f>IFERROR(VLOOKUP(G4554,WholesaleExtract!B:L,11,FALSE),"")</f>
        <v/>
      </c>
      <c r="M4554" s="47" t="str">
        <f>IFERROR(VLOOKUP(G4554,WholesaleExtract!B:M,12,FALSE),"")</f>
        <v/>
      </c>
      <c r="R4554" s="19"/>
      <c r="S4554" s="19"/>
    </row>
    <row r="4555" spans="1:19" x14ac:dyDescent="0.35">
      <c r="A4555" s="26" t="s">
        <v>543</v>
      </c>
      <c r="B4555" s="26" t="s">
        <v>543</v>
      </c>
      <c r="C4555" s="26"/>
      <c r="D4555" s="26" t="s">
        <v>543</v>
      </c>
      <c r="E4555" s="26" t="str">
        <f>IFERROR(VLOOKUP(G4555,WholesaleExtract!B:J,9,FALSE),"")</f>
        <v/>
      </c>
      <c r="F4555" s="26" t="str">
        <f>IFERROR(VLOOKUP(G4555,WholesaleExtract!B:J,6,FALSE),"")</f>
        <v/>
      </c>
      <c r="H4555" s="47" t="str">
        <f>IFERROR(VLOOKUP(G4555,WholesaleExtract!B:L,11,FALSE),"")</f>
        <v/>
      </c>
      <c r="I4555" s="26" t="str">
        <f>IFERROR(VLOOKUP(G4555,WholesaleExtract!B:O,8,FALSE),"")</f>
        <v/>
      </c>
      <c r="J4555" s="26" t="str">
        <f>IFERROR(VLOOKUP(G4555,WholesaleExtract!B:O,14,FALSE),"")</f>
        <v/>
      </c>
      <c r="K4555" s="26" t="str">
        <f>IFERROR(VLOOKUP(G4555,WholesaleExtract!B:K,10,FALSE),"")</f>
        <v/>
      </c>
      <c r="L4555" s="47" t="str">
        <f>IFERROR(VLOOKUP(G4555,WholesaleExtract!B:L,11,FALSE),"")</f>
        <v/>
      </c>
      <c r="M4555" s="47" t="str">
        <f>IFERROR(VLOOKUP(G4555,WholesaleExtract!B:M,12,FALSE),"")</f>
        <v/>
      </c>
      <c r="R4555" s="19"/>
      <c r="S4555" s="19"/>
    </row>
    <row r="4556" spans="1:19" x14ac:dyDescent="0.35">
      <c r="A4556" s="26" t="s">
        <v>543</v>
      </c>
      <c r="B4556" s="26" t="s">
        <v>543</v>
      </c>
      <c r="C4556" s="26"/>
      <c r="D4556" s="26" t="s">
        <v>543</v>
      </c>
      <c r="E4556" s="26" t="str">
        <f>IFERROR(VLOOKUP(G4556,WholesaleExtract!B:J,9,FALSE),"")</f>
        <v/>
      </c>
      <c r="F4556" s="26" t="str">
        <f>IFERROR(VLOOKUP(G4556,WholesaleExtract!B:J,6,FALSE),"")</f>
        <v/>
      </c>
      <c r="H4556" s="47" t="str">
        <f>IFERROR(VLOOKUP(G4556,WholesaleExtract!B:L,11,FALSE),"")</f>
        <v/>
      </c>
      <c r="I4556" s="26" t="str">
        <f>IFERROR(VLOOKUP(G4556,WholesaleExtract!B:O,8,FALSE),"")</f>
        <v/>
      </c>
      <c r="J4556" s="26" t="str">
        <f>IFERROR(VLOOKUP(G4556,WholesaleExtract!B:O,14,FALSE),"")</f>
        <v/>
      </c>
      <c r="K4556" s="26" t="str">
        <f>IFERROR(VLOOKUP(G4556,WholesaleExtract!B:K,10,FALSE),"")</f>
        <v/>
      </c>
      <c r="L4556" s="47" t="str">
        <f>IFERROR(VLOOKUP(G4556,WholesaleExtract!B:L,11,FALSE),"")</f>
        <v/>
      </c>
      <c r="M4556" s="47" t="str">
        <f>IFERROR(VLOOKUP(G4556,WholesaleExtract!B:M,12,FALSE),"")</f>
        <v/>
      </c>
      <c r="R4556" s="19"/>
      <c r="S4556" s="19"/>
    </row>
    <row r="4557" spans="1:19" x14ac:dyDescent="0.35">
      <c r="A4557" s="26" t="s">
        <v>543</v>
      </c>
      <c r="B4557" s="26" t="s">
        <v>543</v>
      </c>
      <c r="C4557" s="26"/>
      <c r="D4557" s="26" t="s">
        <v>543</v>
      </c>
      <c r="E4557" s="26" t="str">
        <f>IFERROR(VLOOKUP(G4557,WholesaleExtract!B:J,9,FALSE),"")</f>
        <v/>
      </c>
      <c r="F4557" s="26" t="str">
        <f>IFERROR(VLOOKUP(G4557,WholesaleExtract!B:J,6,FALSE),"")</f>
        <v/>
      </c>
      <c r="H4557" s="47" t="str">
        <f>IFERROR(VLOOKUP(G4557,WholesaleExtract!B:L,11,FALSE),"")</f>
        <v/>
      </c>
      <c r="I4557" s="26" t="str">
        <f>IFERROR(VLOOKUP(G4557,WholesaleExtract!B:O,8,FALSE),"")</f>
        <v/>
      </c>
      <c r="J4557" s="26" t="str">
        <f>IFERROR(VLOOKUP(G4557,WholesaleExtract!B:O,14,FALSE),"")</f>
        <v/>
      </c>
      <c r="K4557" s="26" t="str">
        <f>IFERROR(VLOOKUP(G4557,WholesaleExtract!B:K,10,FALSE),"")</f>
        <v/>
      </c>
      <c r="L4557" s="47" t="str">
        <f>IFERROR(VLOOKUP(G4557,WholesaleExtract!B:L,11,FALSE),"")</f>
        <v/>
      </c>
      <c r="M4557" s="47" t="str">
        <f>IFERROR(VLOOKUP(G4557,WholesaleExtract!B:M,12,FALSE),"")</f>
        <v/>
      </c>
      <c r="R4557" s="19"/>
      <c r="S4557" s="19"/>
    </row>
    <row r="4558" spans="1:19" x14ac:dyDescent="0.35">
      <c r="A4558" s="26" t="s">
        <v>543</v>
      </c>
      <c r="B4558" s="26" t="s">
        <v>543</v>
      </c>
      <c r="C4558" s="26"/>
      <c r="D4558" s="26" t="s">
        <v>543</v>
      </c>
      <c r="E4558" s="26" t="str">
        <f>IFERROR(VLOOKUP(G4558,WholesaleExtract!B:J,9,FALSE),"")</f>
        <v/>
      </c>
      <c r="F4558" s="26" t="str">
        <f>IFERROR(VLOOKUP(G4558,WholesaleExtract!B:J,6,FALSE),"")</f>
        <v/>
      </c>
      <c r="H4558" s="47" t="str">
        <f>IFERROR(VLOOKUP(G4558,WholesaleExtract!B:L,11,FALSE),"")</f>
        <v/>
      </c>
      <c r="I4558" s="26" t="str">
        <f>IFERROR(VLOOKUP(G4558,WholesaleExtract!B:O,8,FALSE),"")</f>
        <v/>
      </c>
      <c r="J4558" s="26" t="str">
        <f>IFERROR(VLOOKUP(G4558,WholesaleExtract!B:O,14,FALSE),"")</f>
        <v/>
      </c>
      <c r="K4558" s="26" t="str">
        <f>IFERROR(VLOOKUP(G4558,WholesaleExtract!B:K,10,FALSE),"")</f>
        <v/>
      </c>
      <c r="L4558" s="47" t="str">
        <f>IFERROR(VLOOKUP(G4558,WholesaleExtract!B:L,11,FALSE),"")</f>
        <v/>
      </c>
      <c r="M4558" s="47" t="str">
        <f>IFERROR(VLOOKUP(G4558,WholesaleExtract!B:M,12,FALSE),"")</f>
        <v/>
      </c>
      <c r="R4558" s="19"/>
      <c r="S4558" s="19"/>
    </row>
    <row r="4559" spans="1:19" x14ac:dyDescent="0.35">
      <c r="A4559" s="26" t="s">
        <v>543</v>
      </c>
      <c r="B4559" s="26" t="s">
        <v>543</v>
      </c>
      <c r="C4559" s="26"/>
      <c r="D4559" s="26" t="s">
        <v>543</v>
      </c>
      <c r="E4559" s="26" t="str">
        <f>IFERROR(VLOOKUP(G4559,WholesaleExtract!B:J,9,FALSE),"")</f>
        <v/>
      </c>
      <c r="F4559" s="26" t="str">
        <f>IFERROR(VLOOKUP(G4559,WholesaleExtract!B:J,6,FALSE),"")</f>
        <v/>
      </c>
      <c r="H4559" s="47" t="str">
        <f>IFERROR(VLOOKUP(G4559,WholesaleExtract!B:L,11,FALSE),"")</f>
        <v/>
      </c>
      <c r="I4559" s="26" t="str">
        <f>IFERROR(VLOOKUP(G4559,WholesaleExtract!B:O,8,FALSE),"")</f>
        <v/>
      </c>
      <c r="J4559" s="26" t="str">
        <f>IFERROR(VLOOKUP(G4559,WholesaleExtract!B:O,14,FALSE),"")</f>
        <v/>
      </c>
      <c r="K4559" s="26" t="str">
        <f>IFERROR(VLOOKUP(G4559,WholesaleExtract!B:K,10,FALSE),"")</f>
        <v/>
      </c>
      <c r="L4559" s="47" t="str">
        <f>IFERROR(VLOOKUP(G4559,WholesaleExtract!B:L,11,FALSE),"")</f>
        <v/>
      </c>
      <c r="M4559" s="47" t="str">
        <f>IFERROR(VLOOKUP(G4559,WholesaleExtract!B:M,12,FALSE),"")</f>
        <v/>
      </c>
      <c r="R4559" s="19"/>
      <c r="S4559" s="19"/>
    </row>
    <row r="4560" spans="1:19" x14ac:dyDescent="0.35">
      <c r="A4560" s="26" t="s">
        <v>543</v>
      </c>
      <c r="B4560" s="26" t="s">
        <v>543</v>
      </c>
      <c r="C4560" s="26"/>
      <c r="D4560" s="26" t="s">
        <v>543</v>
      </c>
      <c r="E4560" s="26" t="str">
        <f>IFERROR(VLOOKUP(G4560,WholesaleExtract!B:J,9,FALSE),"")</f>
        <v/>
      </c>
      <c r="F4560" s="26" t="str">
        <f>IFERROR(VLOOKUP(G4560,WholesaleExtract!B:J,6,FALSE),"")</f>
        <v/>
      </c>
      <c r="H4560" s="47" t="str">
        <f>IFERROR(VLOOKUP(G4560,WholesaleExtract!B:L,11,FALSE),"")</f>
        <v/>
      </c>
      <c r="I4560" s="26" t="str">
        <f>IFERROR(VLOOKUP(G4560,WholesaleExtract!B:O,8,FALSE),"")</f>
        <v/>
      </c>
      <c r="J4560" s="26" t="str">
        <f>IFERROR(VLOOKUP(G4560,WholesaleExtract!B:O,14,FALSE),"")</f>
        <v/>
      </c>
      <c r="K4560" s="26" t="str">
        <f>IFERROR(VLOOKUP(G4560,WholesaleExtract!B:K,10,FALSE),"")</f>
        <v/>
      </c>
      <c r="L4560" s="47" t="str">
        <f>IFERROR(VLOOKUP(G4560,WholesaleExtract!B:L,11,FALSE),"")</f>
        <v/>
      </c>
      <c r="M4560" s="47" t="str">
        <f>IFERROR(VLOOKUP(G4560,WholesaleExtract!B:M,12,FALSE),"")</f>
        <v/>
      </c>
      <c r="R4560" s="19"/>
      <c r="S4560" s="19"/>
    </row>
    <row r="4561" spans="1:19" x14ac:dyDescent="0.35">
      <c r="A4561" s="26" t="s">
        <v>543</v>
      </c>
      <c r="B4561" s="26" t="s">
        <v>543</v>
      </c>
      <c r="C4561" s="26"/>
      <c r="D4561" s="26" t="s">
        <v>543</v>
      </c>
      <c r="E4561" s="26" t="str">
        <f>IFERROR(VLOOKUP(G4561,WholesaleExtract!B:J,9,FALSE),"")</f>
        <v/>
      </c>
      <c r="F4561" s="26" t="str">
        <f>IFERROR(VLOOKUP(G4561,WholesaleExtract!B:J,6,FALSE),"")</f>
        <v/>
      </c>
      <c r="H4561" s="47" t="str">
        <f>IFERROR(VLOOKUP(G4561,WholesaleExtract!B:L,11,FALSE),"")</f>
        <v/>
      </c>
      <c r="I4561" s="26" t="str">
        <f>IFERROR(VLOOKUP(G4561,WholesaleExtract!B:O,8,FALSE),"")</f>
        <v/>
      </c>
      <c r="J4561" s="26" t="str">
        <f>IFERROR(VLOOKUP(G4561,WholesaleExtract!B:O,14,FALSE),"")</f>
        <v/>
      </c>
      <c r="K4561" s="26" t="str">
        <f>IFERROR(VLOOKUP(G4561,WholesaleExtract!B:K,10,FALSE),"")</f>
        <v/>
      </c>
      <c r="L4561" s="47" t="str">
        <f>IFERROR(VLOOKUP(G4561,WholesaleExtract!B:L,11,FALSE),"")</f>
        <v/>
      </c>
      <c r="M4561" s="47" t="str">
        <f>IFERROR(VLOOKUP(G4561,WholesaleExtract!B:M,12,FALSE),"")</f>
        <v/>
      </c>
      <c r="R4561" s="19"/>
      <c r="S4561" s="19"/>
    </row>
    <row r="4562" spans="1:19" x14ac:dyDescent="0.35">
      <c r="A4562" s="26" t="s">
        <v>543</v>
      </c>
      <c r="B4562" s="26" t="s">
        <v>543</v>
      </c>
      <c r="C4562" s="26"/>
      <c r="D4562" s="26" t="s">
        <v>543</v>
      </c>
      <c r="E4562" s="26" t="str">
        <f>IFERROR(VLOOKUP(G4562,WholesaleExtract!B:J,9,FALSE),"")</f>
        <v/>
      </c>
      <c r="F4562" s="26" t="str">
        <f>IFERROR(VLOOKUP(G4562,WholesaleExtract!B:J,6,FALSE),"")</f>
        <v/>
      </c>
      <c r="H4562" s="47" t="str">
        <f>IFERROR(VLOOKUP(G4562,WholesaleExtract!B:L,11,FALSE),"")</f>
        <v/>
      </c>
      <c r="I4562" s="26" t="str">
        <f>IFERROR(VLOOKUP(G4562,WholesaleExtract!B:O,8,FALSE),"")</f>
        <v/>
      </c>
      <c r="J4562" s="26" t="str">
        <f>IFERROR(VLOOKUP(G4562,WholesaleExtract!B:O,14,FALSE),"")</f>
        <v/>
      </c>
      <c r="K4562" s="26" t="str">
        <f>IFERROR(VLOOKUP(G4562,WholesaleExtract!B:K,10,FALSE),"")</f>
        <v/>
      </c>
      <c r="L4562" s="47" t="str">
        <f>IFERROR(VLOOKUP(G4562,WholesaleExtract!B:L,11,FALSE),"")</f>
        <v/>
      </c>
      <c r="M4562" s="47" t="str">
        <f>IFERROR(VLOOKUP(G4562,WholesaleExtract!B:M,12,FALSE),"")</f>
        <v/>
      </c>
      <c r="R4562" s="19"/>
      <c r="S4562" s="19"/>
    </row>
    <row r="4563" spans="1:19" x14ac:dyDescent="0.35">
      <c r="A4563" s="26" t="s">
        <v>543</v>
      </c>
      <c r="B4563" s="26" t="s">
        <v>543</v>
      </c>
      <c r="C4563" s="26"/>
      <c r="D4563" s="26" t="s">
        <v>543</v>
      </c>
      <c r="E4563" s="26" t="str">
        <f>IFERROR(VLOOKUP(G4563,WholesaleExtract!B:J,9,FALSE),"")</f>
        <v/>
      </c>
      <c r="F4563" s="26" t="str">
        <f>IFERROR(VLOOKUP(G4563,WholesaleExtract!B:J,6,FALSE),"")</f>
        <v/>
      </c>
      <c r="H4563" s="47" t="str">
        <f>IFERROR(VLOOKUP(G4563,WholesaleExtract!B:L,11,FALSE),"")</f>
        <v/>
      </c>
      <c r="I4563" s="26" t="str">
        <f>IFERROR(VLOOKUP(G4563,WholesaleExtract!B:O,8,FALSE),"")</f>
        <v/>
      </c>
      <c r="J4563" s="26" t="str">
        <f>IFERROR(VLOOKUP(G4563,WholesaleExtract!B:O,14,FALSE),"")</f>
        <v/>
      </c>
      <c r="K4563" s="26" t="str">
        <f>IFERROR(VLOOKUP(G4563,WholesaleExtract!B:K,10,FALSE),"")</f>
        <v/>
      </c>
      <c r="L4563" s="47" t="str">
        <f>IFERROR(VLOOKUP(G4563,WholesaleExtract!B:L,11,FALSE),"")</f>
        <v/>
      </c>
      <c r="M4563" s="47" t="str">
        <f>IFERROR(VLOOKUP(G4563,WholesaleExtract!B:M,12,FALSE),"")</f>
        <v/>
      </c>
      <c r="R4563" s="19"/>
      <c r="S4563" s="19"/>
    </row>
    <row r="4564" spans="1:19" x14ac:dyDescent="0.35">
      <c r="A4564" s="26" t="s">
        <v>543</v>
      </c>
      <c r="B4564" s="26" t="s">
        <v>543</v>
      </c>
      <c r="C4564" s="26"/>
      <c r="D4564" s="26" t="s">
        <v>543</v>
      </c>
      <c r="E4564" s="26" t="str">
        <f>IFERROR(VLOOKUP(G4564,WholesaleExtract!B:J,9,FALSE),"")</f>
        <v/>
      </c>
      <c r="F4564" s="26" t="str">
        <f>IFERROR(VLOOKUP(G4564,WholesaleExtract!B:J,6,FALSE),"")</f>
        <v/>
      </c>
      <c r="H4564" s="47" t="str">
        <f>IFERROR(VLOOKUP(G4564,WholesaleExtract!B:L,11,FALSE),"")</f>
        <v/>
      </c>
      <c r="I4564" s="26" t="str">
        <f>IFERROR(VLOOKUP(G4564,WholesaleExtract!B:O,8,FALSE),"")</f>
        <v/>
      </c>
      <c r="J4564" s="26" t="str">
        <f>IFERROR(VLOOKUP(G4564,WholesaleExtract!B:O,14,FALSE),"")</f>
        <v/>
      </c>
      <c r="K4564" s="26" t="str">
        <f>IFERROR(VLOOKUP(G4564,WholesaleExtract!B:K,10,FALSE),"")</f>
        <v/>
      </c>
      <c r="L4564" s="47" t="str">
        <f>IFERROR(VLOOKUP(G4564,WholesaleExtract!B:L,11,FALSE),"")</f>
        <v/>
      </c>
      <c r="M4564" s="47" t="str">
        <f>IFERROR(VLOOKUP(G4564,WholesaleExtract!B:M,12,FALSE),"")</f>
        <v/>
      </c>
      <c r="R4564" s="19"/>
      <c r="S4564" s="19"/>
    </row>
    <row r="4565" spans="1:19" x14ac:dyDescent="0.35">
      <c r="A4565" s="26" t="s">
        <v>543</v>
      </c>
      <c r="B4565" s="26" t="s">
        <v>543</v>
      </c>
      <c r="C4565" s="26"/>
      <c r="D4565" s="26" t="s">
        <v>543</v>
      </c>
      <c r="E4565" s="26" t="str">
        <f>IFERROR(VLOOKUP(G4565,WholesaleExtract!B:J,9,FALSE),"")</f>
        <v/>
      </c>
      <c r="F4565" s="26" t="str">
        <f>IFERROR(VLOOKUP(G4565,WholesaleExtract!B:J,6,FALSE),"")</f>
        <v/>
      </c>
      <c r="H4565" s="47" t="str">
        <f>IFERROR(VLOOKUP(G4565,WholesaleExtract!B:L,11,FALSE),"")</f>
        <v/>
      </c>
      <c r="I4565" s="26" t="str">
        <f>IFERROR(VLOOKUP(G4565,WholesaleExtract!B:O,8,FALSE),"")</f>
        <v/>
      </c>
      <c r="J4565" s="26" t="str">
        <f>IFERROR(VLOOKUP(G4565,WholesaleExtract!B:O,14,FALSE),"")</f>
        <v/>
      </c>
      <c r="K4565" s="26" t="str">
        <f>IFERROR(VLOOKUP(G4565,WholesaleExtract!B:K,10,FALSE),"")</f>
        <v/>
      </c>
      <c r="L4565" s="47" t="str">
        <f>IFERROR(VLOOKUP(G4565,WholesaleExtract!B:L,11,FALSE),"")</f>
        <v/>
      </c>
      <c r="M4565" s="47" t="str">
        <f>IFERROR(VLOOKUP(G4565,WholesaleExtract!B:M,12,FALSE),"")</f>
        <v/>
      </c>
      <c r="R4565" s="19"/>
      <c r="S4565" s="19"/>
    </row>
    <row r="4566" spans="1:19" x14ac:dyDescent="0.35">
      <c r="A4566" s="26" t="s">
        <v>543</v>
      </c>
      <c r="B4566" s="26" t="s">
        <v>543</v>
      </c>
      <c r="C4566" s="26"/>
      <c r="D4566" s="26" t="s">
        <v>543</v>
      </c>
      <c r="E4566" s="26" t="str">
        <f>IFERROR(VLOOKUP(G4566,WholesaleExtract!B:J,9,FALSE),"")</f>
        <v/>
      </c>
      <c r="F4566" s="26" t="str">
        <f>IFERROR(VLOOKUP(G4566,WholesaleExtract!B:J,6,FALSE),"")</f>
        <v/>
      </c>
      <c r="H4566" s="47" t="str">
        <f>IFERROR(VLOOKUP(G4566,WholesaleExtract!B:L,11,FALSE),"")</f>
        <v/>
      </c>
      <c r="I4566" s="26" t="str">
        <f>IFERROR(VLOOKUP(G4566,WholesaleExtract!B:O,8,FALSE),"")</f>
        <v/>
      </c>
      <c r="J4566" s="26" t="str">
        <f>IFERROR(VLOOKUP(G4566,WholesaleExtract!B:O,14,FALSE),"")</f>
        <v/>
      </c>
      <c r="K4566" s="26" t="str">
        <f>IFERROR(VLOOKUP(G4566,WholesaleExtract!B:K,10,FALSE),"")</f>
        <v/>
      </c>
      <c r="L4566" s="47" t="str">
        <f>IFERROR(VLOOKUP(G4566,WholesaleExtract!B:L,11,FALSE),"")</f>
        <v/>
      </c>
      <c r="M4566" s="47" t="str">
        <f>IFERROR(VLOOKUP(G4566,WholesaleExtract!B:M,12,FALSE),"")</f>
        <v/>
      </c>
      <c r="R4566" s="19"/>
      <c r="S4566" s="19"/>
    </row>
    <row r="4567" spans="1:19" x14ac:dyDescent="0.35">
      <c r="A4567" s="26" t="s">
        <v>543</v>
      </c>
      <c r="B4567" s="26" t="s">
        <v>543</v>
      </c>
      <c r="C4567" s="26"/>
      <c r="D4567" s="26" t="s">
        <v>543</v>
      </c>
      <c r="E4567" s="26" t="str">
        <f>IFERROR(VLOOKUP(G4567,WholesaleExtract!B:J,9,FALSE),"")</f>
        <v/>
      </c>
      <c r="F4567" s="26" t="str">
        <f>IFERROR(VLOOKUP(G4567,WholesaleExtract!B:J,6,FALSE),"")</f>
        <v/>
      </c>
      <c r="H4567" s="47" t="str">
        <f>IFERROR(VLOOKUP(G4567,WholesaleExtract!B:L,11,FALSE),"")</f>
        <v/>
      </c>
      <c r="I4567" s="26" t="str">
        <f>IFERROR(VLOOKUP(G4567,WholesaleExtract!B:O,8,FALSE),"")</f>
        <v/>
      </c>
      <c r="J4567" s="26" t="str">
        <f>IFERROR(VLOOKUP(G4567,WholesaleExtract!B:O,14,FALSE),"")</f>
        <v/>
      </c>
      <c r="K4567" s="26" t="str">
        <f>IFERROR(VLOOKUP(G4567,WholesaleExtract!B:K,10,FALSE),"")</f>
        <v/>
      </c>
      <c r="L4567" s="47" t="str">
        <f>IFERROR(VLOOKUP(G4567,WholesaleExtract!B:L,11,FALSE),"")</f>
        <v/>
      </c>
      <c r="M4567" s="47" t="str">
        <f>IFERROR(VLOOKUP(G4567,WholesaleExtract!B:M,12,FALSE),"")</f>
        <v/>
      </c>
      <c r="R4567" s="19"/>
      <c r="S4567" s="19"/>
    </row>
    <row r="4568" spans="1:19" x14ac:dyDescent="0.35">
      <c r="A4568" s="26" t="s">
        <v>543</v>
      </c>
      <c r="B4568" s="26" t="s">
        <v>543</v>
      </c>
      <c r="C4568" s="26"/>
      <c r="D4568" s="26" t="s">
        <v>543</v>
      </c>
      <c r="E4568" s="26" t="str">
        <f>IFERROR(VLOOKUP(G4568,WholesaleExtract!B:J,9,FALSE),"")</f>
        <v/>
      </c>
      <c r="F4568" s="26" t="str">
        <f>IFERROR(VLOOKUP(G4568,WholesaleExtract!B:J,6,FALSE),"")</f>
        <v/>
      </c>
      <c r="H4568" s="47" t="str">
        <f>IFERROR(VLOOKUP(G4568,WholesaleExtract!B:L,11,FALSE),"")</f>
        <v/>
      </c>
      <c r="I4568" s="26" t="str">
        <f>IFERROR(VLOOKUP(G4568,WholesaleExtract!B:O,8,FALSE),"")</f>
        <v/>
      </c>
      <c r="J4568" s="26" t="str">
        <f>IFERROR(VLOOKUP(G4568,WholesaleExtract!B:O,14,FALSE),"")</f>
        <v/>
      </c>
      <c r="K4568" s="26" t="str">
        <f>IFERROR(VLOOKUP(G4568,WholesaleExtract!B:K,10,FALSE),"")</f>
        <v/>
      </c>
      <c r="L4568" s="47" t="str">
        <f>IFERROR(VLOOKUP(G4568,WholesaleExtract!B:L,11,FALSE),"")</f>
        <v/>
      </c>
      <c r="M4568" s="47" t="str">
        <f>IFERROR(VLOOKUP(G4568,WholesaleExtract!B:M,12,FALSE),"")</f>
        <v/>
      </c>
      <c r="R4568" s="19"/>
      <c r="S4568" s="19"/>
    </row>
    <row r="4569" spans="1:19" x14ac:dyDescent="0.35">
      <c r="A4569" s="26" t="s">
        <v>543</v>
      </c>
      <c r="B4569" s="26" t="s">
        <v>543</v>
      </c>
      <c r="C4569" s="26"/>
      <c r="D4569" s="26" t="s">
        <v>543</v>
      </c>
      <c r="E4569" s="26" t="str">
        <f>IFERROR(VLOOKUP(G4569,WholesaleExtract!B:J,9,FALSE),"")</f>
        <v/>
      </c>
      <c r="F4569" s="26" t="str">
        <f>IFERROR(VLOOKUP(G4569,WholesaleExtract!B:J,6,FALSE),"")</f>
        <v/>
      </c>
      <c r="H4569" s="47" t="str">
        <f>IFERROR(VLOOKUP(G4569,WholesaleExtract!B:L,11,FALSE),"")</f>
        <v/>
      </c>
      <c r="I4569" s="26" t="str">
        <f>IFERROR(VLOOKUP(G4569,WholesaleExtract!B:O,8,FALSE),"")</f>
        <v/>
      </c>
      <c r="J4569" s="26" t="str">
        <f>IFERROR(VLOOKUP(G4569,WholesaleExtract!B:O,14,FALSE),"")</f>
        <v/>
      </c>
      <c r="K4569" s="26" t="str">
        <f>IFERROR(VLOOKUP(G4569,WholesaleExtract!B:K,10,FALSE),"")</f>
        <v/>
      </c>
      <c r="L4569" s="47" t="str">
        <f>IFERROR(VLOOKUP(G4569,WholesaleExtract!B:L,11,FALSE),"")</f>
        <v/>
      </c>
      <c r="M4569" s="47" t="str">
        <f>IFERROR(VLOOKUP(G4569,WholesaleExtract!B:M,12,FALSE),"")</f>
        <v/>
      </c>
      <c r="R4569" s="19"/>
      <c r="S4569" s="19"/>
    </row>
    <row r="4570" spans="1:19" x14ac:dyDescent="0.35">
      <c r="A4570" s="26" t="s">
        <v>543</v>
      </c>
      <c r="B4570" s="26" t="s">
        <v>543</v>
      </c>
      <c r="C4570" s="26"/>
      <c r="D4570" s="26" t="s">
        <v>543</v>
      </c>
      <c r="E4570" s="26" t="str">
        <f>IFERROR(VLOOKUP(G4570,WholesaleExtract!B:J,9,FALSE),"")</f>
        <v/>
      </c>
      <c r="F4570" s="26" t="str">
        <f>IFERROR(VLOOKUP(G4570,WholesaleExtract!B:J,6,FALSE),"")</f>
        <v/>
      </c>
      <c r="H4570" s="47" t="str">
        <f>IFERROR(VLOOKUP(G4570,WholesaleExtract!B:L,11,FALSE),"")</f>
        <v/>
      </c>
      <c r="I4570" s="26" t="str">
        <f>IFERROR(VLOOKUP(G4570,WholesaleExtract!B:O,8,FALSE),"")</f>
        <v/>
      </c>
      <c r="J4570" s="26" t="str">
        <f>IFERROR(VLOOKUP(G4570,WholesaleExtract!B:O,14,FALSE),"")</f>
        <v/>
      </c>
      <c r="K4570" s="26" t="str">
        <f>IFERROR(VLOOKUP(G4570,WholesaleExtract!B:K,10,FALSE),"")</f>
        <v/>
      </c>
      <c r="L4570" s="47" t="str">
        <f>IFERROR(VLOOKUP(G4570,WholesaleExtract!B:L,11,FALSE),"")</f>
        <v/>
      </c>
      <c r="M4570" s="47" t="str">
        <f>IFERROR(VLOOKUP(G4570,WholesaleExtract!B:M,12,FALSE),"")</f>
        <v/>
      </c>
      <c r="R4570" s="19"/>
      <c r="S4570" s="19"/>
    </row>
    <row r="4571" spans="1:19" x14ac:dyDescent="0.35">
      <c r="A4571" s="26" t="s">
        <v>543</v>
      </c>
      <c r="B4571" s="26" t="s">
        <v>543</v>
      </c>
      <c r="C4571" s="26"/>
      <c r="D4571" s="26" t="s">
        <v>543</v>
      </c>
      <c r="E4571" s="26" t="str">
        <f>IFERROR(VLOOKUP(G4571,WholesaleExtract!B:J,9,FALSE),"")</f>
        <v/>
      </c>
      <c r="F4571" s="26" t="str">
        <f>IFERROR(VLOOKUP(G4571,WholesaleExtract!B:J,6,FALSE),"")</f>
        <v/>
      </c>
      <c r="H4571" s="47" t="str">
        <f>IFERROR(VLOOKUP(G4571,WholesaleExtract!B:L,11,FALSE),"")</f>
        <v/>
      </c>
      <c r="I4571" s="26" t="str">
        <f>IFERROR(VLOOKUP(G4571,WholesaleExtract!B:O,8,FALSE),"")</f>
        <v/>
      </c>
      <c r="J4571" s="26" t="str">
        <f>IFERROR(VLOOKUP(G4571,WholesaleExtract!B:O,14,FALSE),"")</f>
        <v/>
      </c>
      <c r="K4571" s="26" t="str">
        <f>IFERROR(VLOOKUP(G4571,WholesaleExtract!B:K,10,FALSE),"")</f>
        <v/>
      </c>
      <c r="L4571" s="47" t="str">
        <f>IFERROR(VLOOKUP(G4571,WholesaleExtract!B:L,11,FALSE),"")</f>
        <v/>
      </c>
      <c r="M4571" s="47" t="str">
        <f>IFERROR(VLOOKUP(G4571,WholesaleExtract!B:M,12,FALSE),"")</f>
        <v/>
      </c>
      <c r="R4571" s="19"/>
      <c r="S4571" s="19"/>
    </row>
    <row r="4572" spans="1:19" x14ac:dyDescent="0.35">
      <c r="A4572" s="26" t="s">
        <v>543</v>
      </c>
      <c r="B4572" s="26" t="s">
        <v>543</v>
      </c>
      <c r="C4572" s="26"/>
      <c r="D4572" s="26" t="s">
        <v>543</v>
      </c>
      <c r="E4572" s="26" t="str">
        <f>IFERROR(VLOOKUP(G4572,WholesaleExtract!B:J,9,FALSE),"")</f>
        <v/>
      </c>
      <c r="F4572" s="26" t="str">
        <f>IFERROR(VLOOKUP(G4572,WholesaleExtract!B:J,6,FALSE),"")</f>
        <v/>
      </c>
      <c r="H4572" s="47" t="str">
        <f>IFERROR(VLOOKUP(G4572,WholesaleExtract!B:L,11,FALSE),"")</f>
        <v/>
      </c>
      <c r="I4572" s="26" t="str">
        <f>IFERROR(VLOOKUP(G4572,WholesaleExtract!B:O,8,FALSE),"")</f>
        <v/>
      </c>
      <c r="J4572" s="26" t="str">
        <f>IFERROR(VLOOKUP(G4572,WholesaleExtract!B:O,14,FALSE),"")</f>
        <v/>
      </c>
      <c r="K4572" s="26" t="str">
        <f>IFERROR(VLOOKUP(G4572,WholesaleExtract!B:K,10,FALSE),"")</f>
        <v/>
      </c>
      <c r="L4572" s="47" t="str">
        <f>IFERROR(VLOOKUP(G4572,WholesaleExtract!B:L,11,FALSE),"")</f>
        <v/>
      </c>
      <c r="M4572" s="47" t="str">
        <f>IFERROR(VLOOKUP(G4572,WholesaleExtract!B:M,12,FALSE),"")</f>
        <v/>
      </c>
      <c r="R4572" s="19"/>
      <c r="S4572" s="19"/>
    </row>
    <row r="4573" spans="1:19" x14ac:dyDescent="0.35">
      <c r="A4573" s="26" t="s">
        <v>543</v>
      </c>
      <c r="B4573" s="26" t="s">
        <v>543</v>
      </c>
      <c r="C4573" s="26"/>
      <c r="D4573" s="26" t="s">
        <v>543</v>
      </c>
      <c r="E4573" s="26" t="str">
        <f>IFERROR(VLOOKUP(G4573,WholesaleExtract!B:J,9,FALSE),"")</f>
        <v/>
      </c>
      <c r="F4573" s="26" t="str">
        <f>IFERROR(VLOOKUP(G4573,WholesaleExtract!B:J,6,FALSE),"")</f>
        <v/>
      </c>
      <c r="H4573" s="47" t="str">
        <f>IFERROR(VLOOKUP(G4573,WholesaleExtract!B:L,11,FALSE),"")</f>
        <v/>
      </c>
      <c r="I4573" s="26" t="str">
        <f>IFERROR(VLOOKUP(G4573,WholesaleExtract!B:O,8,FALSE),"")</f>
        <v/>
      </c>
      <c r="J4573" s="26" t="str">
        <f>IFERROR(VLOOKUP(G4573,WholesaleExtract!B:O,14,FALSE),"")</f>
        <v/>
      </c>
      <c r="K4573" s="26" t="str">
        <f>IFERROR(VLOOKUP(G4573,WholesaleExtract!B:K,10,FALSE),"")</f>
        <v/>
      </c>
      <c r="L4573" s="47" t="str">
        <f>IFERROR(VLOOKUP(G4573,WholesaleExtract!B:L,11,FALSE),"")</f>
        <v/>
      </c>
      <c r="M4573" s="47" t="str">
        <f>IFERROR(VLOOKUP(G4573,WholesaleExtract!B:M,12,FALSE),"")</f>
        <v/>
      </c>
      <c r="R4573" s="19"/>
      <c r="S4573" s="19"/>
    </row>
    <row r="4574" spans="1:19" x14ac:dyDescent="0.35">
      <c r="A4574" s="26" t="s">
        <v>543</v>
      </c>
      <c r="B4574" s="26" t="s">
        <v>543</v>
      </c>
      <c r="C4574" s="26"/>
      <c r="D4574" s="26" t="s">
        <v>543</v>
      </c>
      <c r="E4574" s="26" t="str">
        <f>IFERROR(VLOOKUP(G4574,WholesaleExtract!B:J,9,FALSE),"")</f>
        <v/>
      </c>
      <c r="F4574" s="26" t="str">
        <f>IFERROR(VLOOKUP(G4574,WholesaleExtract!B:J,6,FALSE),"")</f>
        <v/>
      </c>
      <c r="H4574" s="47" t="str">
        <f>IFERROR(VLOOKUP(G4574,WholesaleExtract!B:L,11,FALSE),"")</f>
        <v/>
      </c>
      <c r="I4574" s="26" t="str">
        <f>IFERROR(VLOOKUP(G4574,WholesaleExtract!B:O,8,FALSE),"")</f>
        <v/>
      </c>
      <c r="J4574" s="26" t="str">
        <f>IFERROR(VLOOKUP(G4574,WholesaleExtract!B:O,14,FALSE),"")</f>
        <v/>
      </c>
      <c r="K4574" s="26" t="str">
        <f>IFERROR(VLOOKUP(G4574,WholesaleExtract!B:K,10,FALSE),"")</f>
        <v/>
      </c>
      <c r="L4574" s="47" t="str">
        <f>IFERROR(VLOOKUP(G4574,WholesaleExtract!B:L,11,FALSE),"")</f>
        <v/>
      </c>
      <c r="M4574" s="47" t="str">
        <f>IFERROR(VLOOKUP(G4574,WholesaleExtract!B:M,12,FALSE),"")</f>
        <v/>
      </c>
      <c r="R4574" s="19"/>
      <c r="S4574" s="19"/>
    </row>
    <row r="4575" spans="1:19" x14ac:dyDescent="0.35">
      <c r="A4575" s="26" t="s">
        <v>543</v>
      </c>
      <c r="B4575" s="26" t="s">
        <v>543</v>
      </c>
      <c r="C4575" s="26"/>
      <c r="D4575" s="26" t="s">
        <v>543</v>
      </c>
      <c r="E4575" s="26" t="str">
        <f>IFERROR(VLOOKUP(G4575,WholesaleExtract!B:J,9,FALSE),"")</f>
        <v/>
      </c>
      <c r="F4575" s="26" t="str">
        <f>IFERROR(VLOOKUP(G4575,WholesaleExtract!B:J,6,FALSE),"")</f>
        <v/>
      </c>
      <c r="H4575" s="47" t="str">
        <f>IFERROR(VLOOKUP(G4575,WholesaleExtract!B:L,11,FALSE),"")</f>
        <v/>
      </c>
      <c r="I4575" s="26" t="str">
        <f>IFERROR(VLOOKUP(G4575,WholesaleExtract!B:O,8,FALSE),"")</f>
        <v/>
      </c>
      <c r="J4575" s="26" t="str">
        <f>IFERROR(VLOOKUP(G4575,WholesaleExtract!B:O,14,FALSE),"")</f>
        <v/>
      </c>
      <c r="K4575" s="26" t="str">
        <f>IFERROR(VLOOKUP(G4575,WholesaleExtract!B:K,10,FALSE),"")</f>
        <v/>
      </c>
      <c r="L4575" s="47" t="str">
        <f>IFERROR(VLOOKUP(G4575,WholesaleExtract!B:L,11,FALSE),"")</f>
        <v/>
      </c>
      <c r="M4575" s="47" t="str">
        <f>IFERROR(VLOOKUP(G4575,WholesaleExtract!B:M,12,FALSE),"")</f>
        <v/>
      </c>
      <c r="R4575" s="19"/>
      <c r="S4575" s="19"/>
    </row>
    <row r="4576" spans="1:19" x14ac:dyDescent="0.35">
      <c r="A4576" s="26" t="s">
        <v>543</v>
      </c>
      <c r="B4576" s="26" t="s">
        <v>543</v>
      </c>
      <c r="C4576" s="26"/>
      <c r="D4576" s="26" t="s">
        <v>543</v>
      </c>
      <c r="E4576" s="26" t="str">
        <f>IFERROR(VLOOKUP(G4576,WholesaleExtract!B:J,9,FALSE),"")</f>
        <v/>
      </c>
      <c r="F4576" s="26" t="str">
        <f>IFERROR(VLOOKUP(G4576,WholesaleExtract!B:J,6,FALSE),"")</f>
        <v/>
      </c>
      <c r="H4576" s="47" t="str">
        <f>IFERROR(VLOOKUP(G4576,WholesaleExtract!B:L,11,FALSE),"")</f>
        <v/>
      </c>
      <c r="I4576" s="26" t="str">
        <f>IFERROR(VLOOKUP(G4576,WholesaleExtract!B:O,8,FALSE),"")</f>
        <v/>
      </c>
      <c r="J4576" s="26" t="str">
        <f>IFERROR(VLOOKUP(G4576,WholesaleExtract!B:O,14,FALSE),"")</f>
        <v/>
      </c>
      <c r="K4576" s="26" t="str">
        <f>IFERROR(VLOOKUP(G4576,WholesaleExtract!B:K,10,FALSE),"")</f>
        <v/>
      </c>
      <c r="L4576" s="47" t="str">
        <f>IFERROR(VLOOKUP(G4576,WholesaleExtract!B:L,11,FALSE),"")</f>
        <v/>
      </c>
      <c r="M4576" s="47" t="str">
        <f>IFERROR(VLOOKUP(G4576,WholesaleExtract!B:M,12,FALSE),"")</f>
        <v/>
      </c>
      <c r="R4576" s="19"/>
      <c r="S4576" s="19"/>
    </row>
    <row r="4577" spans="1:19" x14ac:dyDescent="0.35">
      <c r="A4577" s="26" t="s">
        <v>543</v>
      </c>
      <c r="B4577" s="26" t="s">
        <v>543</v>
      </c>
      <c r="C4577" s="26"/>
      <c r="D4577" s="26" t="s">
        <v>543</v>
      </c>
      <c r="E4577" s="26" t="str">
        <f>IFERROR(VLOOKUP(G4577,WholesaleExtract!B:J,9,FALSE),"")</f>
        <v/>
      </c>
      <c r="F4577" s="26" t="str">
        <f>IFERROR(VLOOKUP(G4577,WholesaleExtract!B:J,6,FALSE),"")</f>
        <v/>
      </c>
      <c r="H4577" s="47" t="str">
        <f>IFERROR(VLOOKUP(G4577,WholesaleExtract!B:L,11,FALSE),"")</f>
        <v/>
      </c>
      <c r="I4577" s="26" t="str">
        <f>IFERROR(VLOOKUP(G4577,WholesaleExtract!B:O,8,FALSE),"")</f>
        <v/>
      </c>
      <c r="J4577" s="26" t="str">
        <f>IFERROR(VLOOKUP(G4577,WholesaleExtract!B:O,14,FALSE),"")</f>
        <v/>
      </c>
      <c r="K4577" s="26" t="str">
        <f>IFERROR(VLOOKUP(G4577,WholesaleExtract!B:K,10,FALSE),"")</f>
        <v/>
      </c>
      <c r="L4577" s="47" t="str">
        <f>IFERROR(VLOOKUP(G4577,WholesaleExtract!B:L,11,FALSE),"")</f>
        <v/>
      </c>
      <c r="M4577" s="47" t="str">
        <f>IFERROR(VLOOKUP(G4577,WholesaleExtract!B:M,12,FALSE),"")</f>
        <v/>
      </c>
      <c r="R4577" s="19"/>
      <c r="S4577" s="19"/>
    </row>
    <row r="4578" spans="1:19" x14ac:dyDescent="0.35">
      <c r="A4578" s="26" t="s">
        <v>543</v>
      </c>
      <c r="B4578" s="26" t="s">
        <v>543</v>
      </c>
      <c r="C4578" s="26"/>
      <c r="D4578" s="26" t="s">
        <v>543</v>
      </c>
      <c r="E4578" s="26" t="str">
        <f>IFERROR(VLOOKUP(G4578,WholesaleExtract!B:J,9,FALSE),"")</f>
        <v/>
      </c>
      <c r="F4578" s="26" t="str">
        <f>IFERROR(VLOOKUP(G4578,WholesaleExtract!B:J,6,FALSE),"")</f>
        <v/>
      </c>
      <c r="H4578" s="47" t="str">
        <f>IFERROR(VLOOKUP(G4578,WholesaleExtract!B:L,11,FALSE),"")</f>
        <v/>
      </c>
      <c r="I4578" s="26" t="str">
        <f>IFERROR(VLOOKUP(G4578,WholesaleExtract!B:O,8,FALSE),"")</f>
        <v/>
      </c>
      <c r="J4578" s="26" t="str">
        <f>IFERROR(VLOOKUP(G4578,WholesaleExtract!B:O,14,FALSE),"")</f>
        <v/>
      </c>
      <c r="K4578" s="26" t="str">
        <f>IFERROR(VLOOKUP(G4578,WholesaleExtract!B:K,10,FALSE),"")</f>
        <v/>
      </c>
      <c r="L4578" s="47" t="str">
        <f>IFERROR(VLOOKUP(G4578,WholesaleExtract!B:L,11,FALSE),"")</f>
        <v/>
      </c>
      <c r="M4578" s="47" t="str">
        <f>IFERROR(VLOOKUP(G4578,WholesaleExtract!B:M,12,FALSE),"")</f>
        <v/>
      </c>
      <c r="R4578" s="19"/>
      <c r="S4578" s="19"/>
    </row>
    <row r="4579" spans="1:19" x14ac:dyDescent="0.35">
      <c r="A4579" s="26" t="s">
        <v>543</v>
      </c>
      <c r="B4579" s="26" t="s">
        <v>543</v>
      </c>
      <c r="C4579" s="26"/>
      <c r="D4579" s="26" t="s">
        <v>543</v>
      </c>
      <c r="E4579" s="26" t="str">
        <f>IFERROR(VLOOKUP(G4579,WholesaleExtract!B:J,9,FALSE),"")</f>
        <v/>
      </c>
      <c r="F4579" s="26" t="str">
        <f>IFERROR(VLOOKUP(G4579,WholesaleExtract!B:J,6,FALSE),"")</f>
        <v/>
      </c>
      <c r="H4579" s="47" t="str">
        <f>IFERROR(VLOOKUP(G4579,WholesaleExtract!B:L,11,FALSE),"")</f>
        <v/>
      </c>
      <c r="I4579" s="26" t="str">
        <f>IFERROR(VLOOKUP(G4579,WholesaleExtract!B:O,8,FALSE),"")</f>
        <v/>
      </c>
      <c r="J4579" s="26" t="str">
        <f>IFERROR(VLOOKUP(G4579,WholesaleExtract!B:O,14,FALSE),"")</f>
        <v/>
      </c>
      <c r="K4579" s="26" t="str">
        <f>IFERROR(VLOOKUP(G4579,WholesaleExtract!B:K,10,FALSE),"")</f>
        <v/>
      </c>
      <c r="L4579" s="47" t="str">
        <f>IFERROR(VLOOKUP(G4579,WholesaleExtract!B:L,11,FALSE),"")</f>
        <v/>
      </c>
      <c r="M4579" s="47" t="str">
        <f>IFERROR(VLOOKUP(G4579,WholesaleExtract!B:M,12,FALSE),"")</f>
        <v/>
      </c>
      <c r="R4579" s="19"/>
      <c r="S4579" s="19"/>
    </row>
    <row r="4580" spans="1:19" x14ac:dyDescent="0.35">
      <c r="A4580" s="26" t="s">
        <v>543</v>
      </c>
      <c r="B4580" s="26" t="s">
        <v>543</v>
      </c>
      <c r="C4580" s="26"/>
      <c r="D4580" s="26" t="s">
        <v>543</v>
      </c>
      <c r="E4580" s="26" t="str">
        <f>IFERROR(VLOOKUP(G4580,WholesaleExtract!B:J,9,FALSE),"")</f>
        <v/>
      </c>
      <c r="F4580" s="26" t="str">
        <f>IFERROR(VLOOKUP(G4580,WholesaleExtract!B:J,6,FALSE),"")</f>
        <v/>
      </c>
      <c r="H4580" s="47" t="str">
        <f>IFERROR(VLOOKUP(G4580,WholesaleExtract!B:L,11,FALSE),"")</f>
        <v/>
      </c>
      <c r="I4580" s="26" t="str">
        <f>IFERROR(VLOOKUP(G4580,WholesaleExtract!B:O,8,FALSE),"")</f>
        <v/>
      </c>
      <c r="J4580" s="26" t="str">
        <f>IFERROR(VLOOKUP(G4580,WholesaleExtract!B:O,14,FALSE),"")</f>
        <v/>
      </c>
      <c r="K4580" s="26" t="str">
        <f>IFERROR(VLOOKUP(G4580,WholesaleExtract!B:K,10,FALSE),"")</f>
        <v/>
      </c>
      <c r="L4580" s="47" t="str">
        <f>IFERROR(VLOOKUP(G4580,WholesaleExtract!B:L,11,FALSE),"")</f>
        <v/>
      </c>
      <c r="M4580" s="47" t="str">
        <f>IFERROR(VLOOKUP(G4580,WholesaleExtract!B:M,12,FALSE),"")</f>
        <v/>
      </c>
      <c r="R4580" s="19"/>
      <c r="S4580" s="19"/>
    </row>
    <row r="4581" spans="1:19" x14ac:dyDescent="0.35">
      <c r="A4581" s="26" t="s">
        <v>543</v>
      </c>
      <c r="B4581" s="26" t="s">
        <v>543</v>
      </c>
      <c r="C4581" s="26"/>
      <c r="D4581" s="26" t="s">
        <v>543</v>
      </c>
      <c r="E4581" s="26" t="str">
        <f>IFERROR(VLOOKUP(G4581,WholesaleExtract!B:J,9,FALSE),"")</f>
        <v/>
      </c>
      <c r="F4581" s="26" t="str">
        <f>IFERROR(VLOOKUP(G4581,WholesaleExtract!B:J,6,FALSE),"")</f>
        <v/>
      </c>
      <c r="H4581" s="47" t="str">
        <f>IFERROR(VLOOKUP(G4581,WholesaleExtract!B:L,11,FALSE),"")</f>
        <v/>
      </c>
      <c r="I4581" s="26" t="str">
        <f>IFERROR(VLOOKUP(G4581,WholesaleExtract!B:O,8,FALSE),"")</f>
        <v/>
      </c>
      <c r="J4581" s="26" t="str">
        <f>IFERROR(VLOOKUP(G4581,WholesaleExtract!B:O,14,FALSE),"")</f>
        <v/>
      </c>
      <c r="K4581" s="26" t="str">
        <f>IFERROR(VLOOKUP(G4581,WholesaleExtract!B:K,10,FALSE),"")</f>
        <v/>
      </c>
      <c r="L4581" s="47" t="str">
        <f>IFERROR(VLOOKUP(G4581,WholesaleExtract!B:L,11,FALSE),"")</f>
        <v/>
      </c>
      <c r="M4581" s="47" t="str">
        <f>IFERROR(VLOOKUP(G4581,WholesaleExtract!B:M,12,FALSE),"")</f>
        <v/>
      </c>
      <c r="R4581" s="19"/>
      <c r="S4581" s="19"/>
    </row>
    <row r="4582" spans="1:19" x14ac:dyDescent="0.35">
      <c r="A4582" s="26" t="s">
        <v>543</v>
      </c>
      <c r="B4582" s="26" t="s">
        <v>543</v>
      </c>
      <c r="C4582" s="26"/>
      <c r="D4582" s="26" t="s">
        <v>543</v>
      </c>
      <c r="E4582" s="26" t="str">
        <f>IFERROR(VLOOKUP(G4582,WholesaleExtract!B:J,9,FALSE),"")</f>
        <v/>
      </c>
      <c r="F4582" s="26" t="str">
        <f>IFERROR(VLOOKUP(G4582,WholesaleExtract!B:J,6,FALSE),"")</f>
        <v/>
      </c>
      <c r="H4582" s="47" t="str">
        <f>IFERROR(VLOOKUP(G4582,WholesaleExtract!B:L,11,FALSE),"")</f>
        <v/>
      </c>
      <c r="I4582" s="26" t="str">
        <f>IFERROR(VLOOKUP(G4582,WholesaleExtract!B:O,8,FALSE),"")</f>
        <v/>
      </c>
      <c r="J4582" s="26" t="str">
        <f>IFERROR(VLOOKUP(G4582,WholesaleExtract!B:O,14,FALSE),"")</f>
        <v/>
      </c>
      <c r="K4582" s="26" t="str">
        <f>IFERROR(VLOOKUP(G4582,WholesaleExtract!B:K,10,FALSE),"")</f>
        <v/>
      </c>
      <c r="L4582" s="47" t="str">
        <f>IFERROR(VLOOKUP(G4582,WholesaleExtract!B:L,11,FALSE),"")</f>
        <v/>
      </c>
      <c r="M4582" s="47" t="str">
        <f>IFERROR(VLOOKUP(G4582,WholesaleExtract!B:M,12,FALSE),"")</f>
        <v/>
      </c>
      <c r="R4582" s="19"/>
      <c r="S4582" s="19"/>
    </row>
    <row r="4583" spans="1:19" x14ac:dyDescent="0.35">
      <c r="A4583" s="26" t="s">
        <v>543</v>
      </c>
      <c r="B4583" s="26" t="s">
        <v>543</v>
      </c>
      <c r="C4583" s="26"/>
      <c r="D4583" s="26" t="s">
        <v>543</v>
      </c>
      <c r="E4583" s="26" t="str">
        <f>IFERROR(VLOOKUP(G4583,WholesaleExtract!B:J,9,FALSE),"")</f>
        <v/>
      </c>
      <c r="F4583" s="26" t="str">
        <f>IFERROR(VLOOKUP(G4583,WholesaleExtract!B:J,6,FALSE),"")</f>
        <v/>
      </c>
      <c r="H4583" s="47" t="str">
        <f>IFERROR(VLOOKUP(G4583,WholesaleExtract!B:L,11,FALSE),"")</f>
        <v/>
      </c>
      <c r="I4583" s="26" t="str">
        <f>IFERROR(VLOOKUP(G4583,WholesaleExtract!B:O,8,FALSE),"")</f>
        <v/>
      </c>
      <c r="J4583" s="26" t="str">
        <f>IFERROR(VLOOKUP(G4583,WholesaleExtract!B:O,14,FALSE),"")</f>
        <v/>
      </c>
      <c r="K4583" s="26" t="str">
        <f>IFERROR(VLOOKUP(G4583,WholesaleExtract!B:K,10,FALSE),"")</f>
        <v/>
      </c>
      <c r="L4583" s="47" t="str">
        <f>IFERROR(VLOOKUP(G4583,WholesaleExtract!B:L,11,FALSE),"")</f>
        <v/>
      </c>
      <c r="M4583" s="47" t="str">
        <f>IFERROR(VLOOKUP(G4583,WholesaleExtract!B:M,12,FALSE),"")</f>
        <v/>
      </c>
      <c r="R4583" s="19"/>
      <c r="S4583" s="19"/>
    </row>
    <row r="4584" spans="1:19" x14ac:dyDescent="0.35">
      <c r="A4584" s="26" t="s">
        <v>543</v>
      </c>
      <c r="B4584" s="26" t="s">
        <v>543</v>
      </c>
      <c r="C4584" s="26"/>
      <c r="D4584" s="26" t="s">
        <v>543</v>
      </c>
      <c r="E4584" s="26" t="str">
        <f>IFERROR(VLOOKUP(G4584,WholesaleExtract!B:J,9,FALSE),"")</f>
        <v/>
      </c>
      <c r="F4584" s="26" t="str">
        <f>IFERROR(VLOOKUP(G4584,WholesaleExtract!B:J,6,FALSE),"")</f>
        <v/>
      </c>
      <c r="H4584" s="47" t="str">
        <f>IFERROR(VLOOKUP(G4584,WholesaleExtract!B:L,11,FALSE),"")</f>
        <v/>
      </c>
      <c r="I4584" s="26" t="str">
        <f>IFERROR(VLOOKUP(G4584,WholesaleExtract!B:O,8,FALSE),"")</f>
        <v/>
      </c>
      <c r="J4584" s="26" t="str">
        <f>IFERROR(VLOOKUP(G4584,WholesaleExtract!B:O,14,FALSE),"")</f>
        <v/>
      </c>
      <c r="K4584" s="26" t="str">
        <f>IFERROR(VLOOKUP(G4584,WholesaleExtract!B:K,10,FALSE),"")</f>
        <v/>
      </c>
      <c r="L4584" s="47" t="str">
        <f>IFERROR(VLOOKUP(G4584,WholesaleExtract!B:L,11,FALSE),"")</f>
        <v/>
      </c>
      <c r="M4584" s="47" t="str">
        <f>IFERROR(VLOOKUP(G4584,WholesaleExtract!B:M,12,FALSE),"")</f>
        <v/>
      </c>
      <c r="R4584" s="19"/>
      <c r="S4584" s="19"/>
    </row>
    <row r="4585" spans="1:19" x14ac:dyDescent="0.35">
      <c r="A4585" s="26" t="s">
        <v>543</v>
      </c>
      <c r="B4585" s="26" t="s">
        <v>543</v>
      </c>
      <c r="C4585" s="26"/>
      <c r="D4585" s="26" t="s">
        <v>543</v>
      </c>
      <c r="E4585" s="26" t="str">
        <f>IFERROR(VLOOKUP(G4585,WholesaleExtract!B:J,9,FALSE),"")</f>
        <v/>
      </c>
      <c r="F4585" s="26" t="str">
        <f>IFERROR(VLOOKUP(G4585,WholesaleExtract!B:J,6,FALSE),"")</f>
        <v/>
      </c>
      <c r="H4585" s="47" t="str">
        <f>IFERROR(VLOOKUP(G4585,WholesaleExtract!B:L,11,FALSE),"")</f>
        <v/>
      </c>
      <c r="I4585" s="26" t="str">
        <f>IFERROR(VLOOKUP(G4585,WholesaleExtract!B:O,8,FALSE),"")</f>
        <v/>
      </c>
      <c r="J4585" s="26" t="str">
        <f>IFERROR(VLOOKUP(G4585,WholesaleExtract!B:O,14,FALSE),"")</f>
        <v/>
      </c>
      <c r="K4585" s="26" t="str">
        <f>IFERROR(VLOOKUP(G4585,WholesaleExtract!B:K,10,FALSE),"")</f>
        <v/>
      </c>
      <c r="L4585" s="47" t="str">
        <f>IFERROR(VLOOKUP(G4585,WholesaleExtract!B:L,11,FALSE),"")</f>
        <v/>
      </c>
      <c r="M4585" s="47" t="str">
        <f>IFERROR(VLOOKUP(G4585,WholesaleExtract!B:M,12,FALSE),"")</f>
        <v/>
      </c>
      <c r="R4585" s="19"/>
      <c r="S4585" s="19"/>
    </row>
    <row r="4586" spans="1:19" x14ac:dyDescent="0.35">
      <c r="A4586" s="26" t="s">
        <v>543</v>
      </c>
      <c r="B4586" s="26" t="s">
        <v>543</v>
      </c>
      <c r="C4586" s="26"/>
      <c r="D4586" s="26" t="s">
        <v>543</v>
      </c>
      <c r="E4586" s="26" t="str">
        <f>IFERROR(VLOOKUP(G4586,WholesaleExtract!B:J,9,FALSE),"")</f>
        <v/>
      </c>
      <c r="F4586" s="26" t="str">
        <f>IFERROR(VLOOKUP(G4586,WholesaleExtract!B:J,6,FALSE),"")</f>
        <v/>
      </c>
      <c r="H4586" s="47" t="str">
        <f>IFERROR(VLOOKUP(G4586,WholesaleExtract!B:L,11,FALSE),"")</f>
        <v/>
      </c>
      <c r="I4586" s="26" t="str">
        <f>IFERROR(VLOOKUP(G4586,WholesaleExtract!B:O,8,FALSE),"")</f>
        <v/>
      </c>
      <c r="J4586" s="26" t="str">
        <f>IFERROR(VLOOKUP(G4586,WholesaleExtract!B:O,14,FALSE),"")</f>
        <v/>
      </c>
      <c r="K4586" s="26" t="str">
        <f>IFERROR(VLOOKUP(G4586,WholesaleExtract!B:K,10,FALSE),"")</f>
        <v/>
      </c>
      <c r="L4586" s="47" t="str">
        <f>IFERROR(VLOOKUP(G4586,WholesaleExtract!B:L,11,FALSE),"")</f>
        <v/>
      </c>
      <c r="M4586" s="47" t="str">
        <f>IFERROR(VLOOKUP(G4586,WholesaleExtract!B:M,12,FALSE),"")</f>
        <v/>
      </c>
      <c r="R4586" s="19"/>
      <c r="S4586" s="19"/>
    </row>
    <row r="4587" spans="1:19" x14ac:dyDescent="0.35">
      <c r="A4587" s="26" t="s">
        <v>543</v>
      </c>
      <c r="B4587" s="26" t="s">
        <v>543</v>
      </c>
      <c r="C4587" s="26"/>
      <c r="D4587" s="26" t="s">
        <v>543</v>
      </c>
      <c r="E4587" s="26" t="str">
        <f>IFERROR(VLOOKUP(G4587,WholesaleExtract!B:J,9,FALSE),"")</f>
        <v/>
      </c>
      <c r="F4587" s="26" t="str">
        <f>IFERROR(VLOOKUP(G4587,WholesaleExtract!B:J,6,FALSE),"")</f>
        <v/>
      </c>
      <c r="H4587" s="47" t="str">
        <f>IFERROR(VLOOKUP(G4587,WholesaleExtract!B:L,11,FALSE),"")</f>
        <v/>
      </c>
      <c r="I4587" s="26" t="str">
        <f>IFERROR(VLOOKUP(G4587,WholesaleExtract!B:O,8,FALSE),"")</f>
        <v/>
      </c>
      <c r="J4587" s="26" t="str">
        <f>IFERROR(VLOOKUP(G4587,WholesaleExtract!B:O,14,FALSE),"")</f>
        <v/>
      </c>
      <c r="K4587" s="26" t="str">
        <f>IFERROR(VLOOKUP(G4587,WholesaleExtract!B:K,10,FALSE),"")</f>
        <v/>
      </c>
      <c r="L4587" s="47" t="str">
        <f>IFERROR(VLOOKUP(G4587,WholesaleExtract!B:L,11,FALSE),"")</f>
        <v/>
      </c>
      <c r="M4587" s="47" t="str">
        <f>IFERROR(VLOOKUP(G4587,WholesaleExtract!B:M,12,FALSE),"")</f>
        <v/>
      </c>
      <c r="R4587" s="19"/>
      <c r="S4587" s="19"/>
    </row>
    <row r="4588" spans="1:19" x14ac:dyDescent="0.35">
      <c r="A4588" s="26" t="s">
        <v>543</v>
      </c>
      <c r="B4588" s="26" t="s">
        <v>543</v>
      </c>
      <c r="C4588" s="26"/>
      <c r="D4588" s="26" t="s">
        <v>543</v>
      </c>
      <c r="E4588" s="26" t="str">
        <f>IFERROR(VLOOKUP(G4588,WholesaleExtract!B:J,9,FALSE),"")</f>
        <v/>
      </c>
      <c r="F4588" s="26" t="str">
        <f>IFERROR(VLOOKUP(G4588,WholesaleExtract!B:J,6,FALSE),"")</f>
        <v/>
      </c>
      <c r="H4588" s="47" t="str">
        <f>IFERROR(VLOOKUP(G4588,WholesaleExtract!B:L,11,FALSE),"")</f>
        <v/>
      </c>
      <c r="I4588" s="26" t="str">
        <f>IFERROR(VLOOKUP(G4588,WholesaleExtract!B:O,8,FALSE),"")</f>
        <v/>
      </c>
      <c r="J4588" s="26" t="str">
        <f>IFERROR(VLOOKUP(G4588,WholesaleExtract!B:O,14,FALSE),"")</f>
        <v/>
      </c>
      <c r="K4588" s="26" t="str">
        <f>IFERROR(VLOOKUP(G4588,WholesaleExtract!B:K,10,FALSE),"")</f>
        <v/>
      </c>
      <c r="L4588" s="47" t="str">
        <f>IFERROR(VLOOKUP(G4588,WholesaleExtract!B:L,11,FALSE),"")</f>
        <v/>
      </c>
      <c r="M4588" s="47" t="str">
        <f>IFERROR(VLOOKUP(G4588,WholesaleExtract!B:M,12,FALSE),"")</f>
        <v/>
      </c>
      <c r="R4588" s="19"/>
      <c r="S4588" s="19"/>
    </row>
    <row r="4589" spans="1:19" x14ac:dyDescent="0.35">
      <c r="A4589" s="26" t="s">
        <v>543</v>
      </c>
      <c r="B4589" s="26" t="s">
        <v>543</v>
      </c>
      <c r="C4589" s="26"/>
      <c r="D4589" s="26" t="s">
        <v>543</v>
      </c>
      <c r="E4589" s="26" t="str">
        <f>IFERROR(VLOOKUP(G4589,WholesaleExtract!B:J,9,FALSE),"")</f>
        <v/>
      </c>
      <c r="F4589" s="26" t="str">
        <f>IFERROR(VLOOKUP(G4589,WholesaleExtract!B:J,6,FALSE),"")</f>
        <v/>
      </c>
      <c r="H4589" s="47" t="str">
        <f>IFERROR(VLOOKUP(G4589,WholesaleExtract!B:L,11,FALSE),"")</f>
        <v/>
      </c>
      <c r="I4589" s="26" t="str">
        <f>IFERROR(VLOOKUP(G4589,WholesaleExtract!B:O,8,FALSE),"")</f>
        <v/>
      </c>
      <c r="J4589" s="26" t="str">
        <f>IFERROR(VLOOKUP(G4589,WholesaleExtract!B:O,14,FALSE),"")</f>
        <v/>
      </c>
      <c r="K4589" s="26" t="str">
        <f>IFERROR(VLOOKUP(G4589,WholesaleExtract!B:K,10,FALSE),"")</f>
        <v/>
      </c>
      <c r="L4589" s="47" t="str">
        <f>IFERROR(VLOOKUP(G4589,WholesaleExtract!B:L,11,FALSE),"")</f>
        <v/>
      </c>
      <c r="M4589" s="47" t="str">
        <f>IFERROR(VLOOKUP(G4589,WholesaleExtract!B:M,12,FALSE),"")</f>
        <v/>
      </c>
      <c r="R4589" s="19"/>
      <c r="S4589" s="19"/>
    </row>
    <row r="4590" spans="1:19" x14ac:dyDescent="0.35">
      <c r="A4590" s="26" t="s">
        <v>543</v>
      </c>
      <c r="B4590" s="26" t="s">
        <v>543</v>
      </c>
      <c r="C4590" s="26"/>
      <c r="D4590" s="26" t="s">
        <v>543</v>
      </c>
      <c r="E4590" s="26" t="str">
        <f>IFERROR(VLOOKUP(G4590,WholesaleExtract!B:J,9,FALSE),"")</f>
        <v/>
      </c>
      <c r="F4590" s="26" t="str">
        <f>IFERROR(VLOOKUP(G4590,WholesaleExtract!B:J,6,FALSE),"")</f>
        <v/>
      </c>
      <c r="H4590" s="47" t="str">
        <f>IFERROR(VLOOKUP(G4590,WholesaleExtract!B:L,11,FALSE),"")</f>
        <v/>
      </c>
      <c r="I4590" s="26" t="str">
        <f>IFERROR(VLOOKUP(G4590,WholesaleExtract!B:O,8,FALSE),"")</f>
        <v/>
      </c>
      <c r="J4590" s="26" t="str">
        <f>IFERROR(VLOOKUP(G4590,WholesaleExtract!B:O,14,FALSE),"")</f>
        <v/>
      </c>
      <c r="K4590" s="26" t="str">
        <f>IFERROR(VLOOKUP(G4590,WholesaleExtract!B:K,10,FALSE),"")</f>
        <v/>
      </c>
      <c r="L4590" s="47" t="str">
        <f>IFERROR(VLOOKUP(G4590,WholesaleExtract!B:L,11,FALSE),"")</f>
        <v/>
      </c>
      <c r="M4590" s="47" t="str">
        <f>IFERROR(VLOOKUP(G4590,WholesaleExtract!B:M,12,FALSE),"")</f>
        <v/>
      </c>
      <c r="R4590" s="19"/>
      <c r="S4590" s="19"/>
    </row>
    <row r="4591" spans="1:19" x14ac:dyDescent="0.35">
      <c r="A4591" s="26" t="s">
        <v>543</v>
      </c>
      <c r="B4591" s="26" t="s">
        <v>543</v>
      </c>
      <c r="C4591" s="26"/>
      <c r="D4591" s="26" t="s">
        <v>543</v>
      </c>
      <c r="E4591" s="26" t="str">
        <f>IFERROR(VLOOKUP(G4591,WholesaleExtract!B:J,9,FALSE),"")</f>
        <v/>
      </c>
      <c r="F4591" s="26" t="str">
        <f>IFERROR(VLOOKUP(G4591,WholesaleExtract!B:J,6,FALSE),"")</f>
        <v/>
      </c>
      <c r="H4591" s="47" t="str">
        <f>IFERROR(VLOOKUP(G4591,WholesaleExtract!B:L,11,FALSE),"")</f>
        <v/>
      </c>
      <c r="I4591" s="26" t="str">
        <f>IFERROR(VLOOKUP(G4591,WholesaleExtract!B:O,8,FALSE),"")</f>
        <v/>
      </c>
      <c r="J4591" s="26" t="str">
        <f>IFERROR(VLOOKUP(G4591,WholesaleExtract!B:O,14,FALSE),"")</f>
        <v/>
      </c>
      <c r="K4591" s="26" t="str">
        <f>IFERROR(VLOOKUP(G4591,WholesaleExtract!B:K,10,FALSE),"")</f>
        <v/>
      </c>
      <c r="L4591" s="47" t="str">
        <f>IFERROR(VLOOKUP(G4591,WholesaleExtract!B:L,11,FALSE),"")</f>
        <v/>
      </c>
      <c r="M4591" s="47" t="str">
        <f>IFERROR(VLOOKUP(G4591,WholesaleExtract!B:M,12,FALSE),"")</f>
        <v/>
      </c>
      <c r="R4591" s="19"/>
      <c r="S4591" s="19"/>
    </row>
    <row r="4592" spans="1:19" x14ac:dyDescent="0.35">
      <c r="A4592" s="26" t="s">
        <v>543</v>
      </c>
      <c r="B4592" s="26" t="s">
        <v>543</v>
      </c>
      <c r="C4592" s="26"/>
      <c r="D4592" s="26" t="s">
        <v>543</v>
      </c>
      <c r="E4592" s="26" t="str">
        <f>IFERROR(VLOOKUP(G4592,WholesaleExtract!B:J,9,FALSE),"")</f>
        <v/>
      </c>
      <c r="F4592" s="26" t="str">
        <f>IFERROR(VLOOKUP(G4592,WholesaleExtract!B:J,6,FALSE),"")</f>
        <v/>
      </c>
      <c r="H4592" s="47" t="str">
        <f>IFERROR(VLOOKUP(G4592,WholesaleExtract!B:L,11,FALSE),"")</f>
        <v/>
      </c>
      <c r="I4592" s="26" t="str">
        <f>IFERROR(VLOOKUP(G4592,WholesaleExtract!B:O,8,FALSE),"")</f>
        <v/>
      </c>
      <c r="J4592" s="26" t="str">
        <f>IFERROR(VLOOKUP(G4592,WholesaleExtract!B:O,14,FALSE),"")</f>
        <v/>
      </c>
      <c r="K4592" s="26" t="str">
        <f>IFERROR(VLOOKUP(G4592,WholesaleExtract!B:K,10,FALSE),"")</f>
        <v/>
      </c>
      <c r="L4592" s="47" t="str">
        <f>IFERROR(VLOOKUP(G4592,WholesaleExtract!B:L,11,FALSE),"")</f>
        <v/>
      </c>
      <c r="M4592" s="47" t="str">
        <f>IFERROR(VLOOKUP(G4592,WholesaleExtract!B:M,12,FALSE),"")</f>
        <v/>
      </c>
      <c r="R4592" s="19"/>
      <c r="S4592" s="19"/>
    </row>
    <row r="4593" spans="1:19" x14ac:dyDescent="0.35">
      <c r="A4593" s="26" t="s">
        <v>543</v>
      </c>
      <c r="B4593" s="26" t="s">
        <v>543</v>
      </c>
      <c r="C4593" s="26"/>
      <c r="D4593" s="26" t="s">
        <v>543</v>
      </c>
      <c r="E4593" s="26" t="str">
        <f>IFERROR(VLOOKUP(G4593,WholesaleExtract!B:J,9,FALSE),"")</f>
        <v/>
      </c>
      <c r="F4593" s="26" t="str">
        <f>IFERROR(VLOOKUP(G4593,WholesaleExtract!B:J,6,FALSE),"")</f>
        <v/>
      </c>
      <c r="H4593" s="47" t="str">
        <f>IFERROR(VLOOKUP(G4593,WholesaleExtract!B:L,11,FALSE),"")</f>
        <v/>
      </c>
      <c r="I4593" s="26" t="str">
        <f>IFERROR(VLOOKUP(G4593,WholesaleExtract!B:O,8,FALSE),"")</f>
        <v/>
      </c>
      <c r="J4593" s="26" t="str">
        <f>IFERROR(VLOOKUP(G4593,WholesaleExtract!B:O,14,FALSE),"")</f>
        <v/>
      </c>
      <c r="K4593" s="26" t="str">
        <f>IFERROR(VLOOKUP(G4593,WholesaleExtract!B:K,10,FALSE),"")</f>
        <v/>
      </c>
      <c r="L4593" s="47" t="str">
        <f>IFERROR(VLOOKUP(G4593,WholesaleExtract!B:L,11,FALSE),"")</f>
        <v/>
      </c>
      <c r="M4593" s="47" t="str">
        <f>IFERROR(VLOOKUP(G4593,WholesaleExtract!B:M,12,FALSE),"")</f>
        <v/>
      </c>
      <c r="R4593" s="19"/>
      <c r="S4593" s="19"/>
    </row>
    <row r="4594" spans="1:19" x14ac:dyDescent="0.35">
      <c r="A4594" s="26" t="s">
        <v>543</v>
      </c>
      <c r="B4594" s="26" t="s">
        <v>543</v>
      </c>
      <c r="C4594" s="26"/>
      <c r="D4594" s="26" t="s">
        <v>543</v>
      </c>
      <c r="E4594" s="26" t="str">
        <f>IFERROR(VLOOKUP(G4594,WholesaleExtract!B:J,9,FALSE),"")</f>
        <v/>
      </c>
      <c r="F4594" s="26" t="str">
        <f>IFERROR(VLOOKUP(G4594,WholesaleExtract!B:J,6,FALSE),"")</f>
        <v/>
      </c>
      <c r="H4594" s="47" t="str">
        <f>IFERROR(VLOOKUP(G4594,WholesaleExtract!B:L,11,FALSE),"")</f>
        <v/>
      </c>
      <c r="I4594" s="26" t="str">
        <f>IFERROR(VLOOKUP(G4594,WholesaleExtract!B:O,8,FALSE),"")</f>
        <v/>
      </c>
      <c r="J4594" s="26" t="str">
        <f>IFERROR(VLOOKUP(G4594,WholesaleExtract!B:O,14,FALSE),"")</f>
        <v/>
      </c>
      <c r="K4594" s="26" t="str">
        <f>IFERROR(VLOOKUP(G4594,WholesaleExtract!B:K,10,FALSE),"")</f>
        <v/>
      </c>
      <c r="L4594" s="47" t="str">
        <f>IFERROR(VLOOKUP(G4594,WholesaleExtract!B:L,11,FALSE),"")</f>
        <v/>
      </c>
      <c r="M4594" s="47" t="str">
        <f>IFERROR(VLOOKUP(G4594,WholesaleExtract!B:M,12,FALSE),"")</f>
        <v/>
      </c>
      <c r="R4594" s="19"/>
      <c r="S4594" s="19"/>
    </row>
    <row r="4595" spans="1:19" x14ac:dyDescent="0.35">
      <c r="A4595" s="26" t="s">
        <v>543</v>
      </c>
      <c r="B4595" s="26" t="s">
        <v>543</v>
      </c>
      <c r="C4595" s="26"/>
      <c r="D4595" s="26" t="s">
        <v>543</v>
      </c>
      <c r="E4595" s="26" t="str">
        <f>IFERROR(VLOOKUP(G4595,WholesaleExtract!B:J,9,FALSE),"")</f>
        <v/>
      </c>
      <c r="F4595" s="26" t="str">
        <f>IFERROR(VLOOKUP(G4595,WholesaleExtract!B:J,6,FALSE),"")</f>
        <v/>
      </c>
      <c r="H4595" s="47" t="str">
        <f>IFERROR(VLOOKUP(G4595,WholesaleExtract!B:L,11,FALSE),"")</f>
        <v/>
      </c>
      <c r="I4595" s="26" t="str">
        <f>IFERROR(VLOOKUP(G4595,WholesaleExtract!B:O,8,FALSE),"")</f>
        <v/>
      </c>
      <c r="J4595" s="26" t="str">
        <f>IFERROR(VLOOKUP(G4595,WholesaleExtract!B:O,14,FALSE),"")</f>
        <v/>
      </c>
      <c r="K4595" s="26" t="str">
        <f>IFERROR(VLOOKUP(G4595,WholesaleExtract!B:K,10,FALSE),"")</f>
        <v/>
      </c>
      <c r="L4595" s="47" t="str">
        <f>IFERROR(VLOOKUP(G4595,WholesaleExtract!B:L,11,FALSE),"")</f>
        <v/>
      </c>
      <c r="M4595" s="47" t="str">
        <f>IFERROR(VLOOKUP(G4595,WholesaleExtract!B:M,12,FALSE),"")</f>
        <v/>
      </c>
      <c r="R4595" s="19"/>
      <c r="S4595" s="19"/>
    </row>
    <row r="4596" spans="1:19" x14ac:dyDescent="0.35">
      <c r="A4596" s="26" t="s">
        <v>543</v>
      </c>
      <c r="B4596" s="26" t="s">
        <v>543</v>
      </c>
      <c r="C4596" s="26"/>
      <c r="D4596" s="26" t="s">
        <v>543</v>
      </c>
      <c r="E4596" s="26" t="str">
        <f>IFERROR(VLOOKUP(G4596,WholesaleExtract!B:J,9,FALSE),"")</f>
        <v/>
      </c>
      <c r="F4596" s="26" t="str">
        <f>IFERROR(VLOOKUP(G4596,WholesaleExtract!B:J,6,FALSE),"")</f>
        <v/>
      </c>
      <c r="H4596" s="47" t="str">
        <f>IFERROR(VLOOKUP(G4596,WholesaleExtract!B:L,11,FALSE),"")</f>
        <v/>
      </c>
      <c r="I4596" s="26" t="str">
        <f>IFERROR(VLOOKUP(G4596,WholesaleExtract!B:O,8,FALSE),"")</f>
        <v/>
      </c>
      <c r="J4596" s="26" t="str">
        <f>IFERROR(VLOOKUP(G4596,WholesaleExtract!B:O,14,FALSE),"")</f>
        <v/>
      </c>
      <c r="K4596" s="26" t="str">
        <f>IFERROR(VLOOKUP(G4596,WholesaleExtract!B:K,10,FALSE),"")</f>
        <v/>
      </c>
      <c r="L4596" s="47" t="str">
        <f>IFERROR(VLOOKUP(G4596,WholesaleExtract!B:L,11,FALSE),"")</f>
        <v/>
      </c>
      <c r="M4596" s="47" t="str">
        <f>IFERROR(VLOOKUP(G4596,WholesaleExtract!B:M,12,FALSE),"")</f>
        <v/>
      </c>
      <c r="R4596" s="19"/>
      <c r="S4596" s="19"/>
    </row>
    <row r="4597" spans="1:19" x14ac:dyDescent="0.35">
      <c r="A4597" s="26" t="s">
        <v>543</v>
      </c>
      <c r="B4597" s="26" t="s">
        <v>543</v>
      </c>
      <c r="C4597" s="26"/>
      <c r="D4597" s="26" t="s">
        <v>543</v>
      </c>
      <c r="E4597" s="26" t="str">
        <f>IFERROR(VLOOKUP(G4597,WholesaleExtract!B:J,9,FALSE),"")</f>
        <v/>
      </c>
      <c r="F4597" s="26" t="str">
        <f>IFERROR(VLOOKUP(G4597,WholesaleExtract!B:J,6,FALSE),"")</f>
        <v/>
      </c>
      <c r="H4597" s="47" t="str">
        <f>IFERROR(VLOOKUP(G4597,WholesaleExtract!B:L,11,FALSE),"")</f>
        <v/>
      </c>
      <c r="I4597" s="26" t="str">
        <f>IFERROR(VLOOKUP(G4597,WholesaleExtract!B:O,8,FALSE),"")</f>
        <v/>
      </c>
      <c r="J4597" s="26" t="str">
        <f>IFERROR(VLOOKUP(G4597,WholesaleExtract!B:O,14,FALSE),"")</f>
        <v/>
      </c>
      <c r="K4597" s="26" t="str">
        <f>IFERROR(VLOOKUP(G4597,WholesaleExtract!B:K,10,FALSE),"")</f>
        <v/>
      </c>
      <c r="L4597" s="47" t="str">
        <f>IFERROR(VLOOKUP(G4597,WholesaleExtract!B:L,11,FALSE),"")</f>
        <v/>
      </c>
      <c r="M4597" s="47" t="str">
        <f>IFERROR(VLOOKUP(G4597,WholesaleExtract!B:M,12,FALSE),"")</f>
        <v/>
      </c>
      <c r="R4597" s="19"/>
      <c r="S4597" s="19"/>
    </row>
    <row r="4598" spans="1:19" x14ac:dyDescent="0.35">
      <c r="A4598" s="26" t="s">
        <v>543</v>
      </c>
      <c r="B4598" s="26" t="s">
        <v>543</v>
      </c>
      <c r="C4598" s="26"/>
      <c r="D4598" s="26" t="s">
        <v>543</v>
      </c>
      <c r="E4598" s="26" t="str">
        <f>IFERROR(VLOOKUP(G4598,WholesaleExtract!B:J,9,FALSE),"")</f>
        <v/>
      </c>
      <c r="F4598" s="26" t="str">
        <f>IFERROR(VLOOKUP(G4598,WholesaleExtract!B:J,6,FALSE),"")</f>
        <v/>
      </c>
      <c r="H4598" s="47" t="str">
        <f>IFERROR(VLOOKUP(G4598,WholesaleExtract!B:L,11,FALSE),"")</f>
        <v/>
      </c>
      <c r="I4598" s="26" t="str">
        <f>IFERROR(VLOOKUP(G4598,WholesaleExtract!B:O,8,FALSE),"")</f>
        <v/>
      </c>
      <c r="J4598" s="26" t="str">
        <f>IFERROR(VLOOKUP(G4598,WholesaleExtract!B:O,14,FALSE),"")</f>
        <v/>
      </c>
      <c r="K4598" s="26" t="str">
        <f>IFERROR(VLOOKUP(G4598,WholesaleExtract!B:K,10,FALSE),"")</f>
        <v/>
      </c>
      <c r="L4598" s="47" t="str">
        <f>IFERROR(VLOOKUP(G4598,WholesaleExtract!B:L,11,FALSE),"")</f>
        <v/>
      </c>
      <c r="M4598" s="47" t="str">
        <f>IFERROR(VLOOKUP(G4598,WholesaleExtract!B:M,12,FALSE),"")</f>
        <v/>
      </c>
      <c r="R4598" s="19"/>
      <c r="S4598" s="19"/>
    </row>
    <row r="4599" spans="1:19" x14ac:dyDescent="0.35">
      <c r="A4599" s="26" t="s">
        <v>543</v>
      </c>
      <c r="B4599" s="26" t="s">
        <v>543</v>
      </c>
      <c r="C4599" s="26"/>
      <c r="D4599" s="26" t="s">
        <v>543</v>
      </c>
      <c r="E4599" s="26" t="str">
        <f>IFERROR(VLOOKUP(G4599,WholesaleExtract!B:J,9,FALSE),"")</f>
        <v/>
      </c>
      <c r="F4599" s="26" t="str">
        <f>IFERROR(VLOOKUP(G4599,WholesaleExtract!B:J,6,FALSE),"")</f>
        <v/>
      </c>
      <c r="H4599" s="47" t="str">
        <f>IFERROR(VLOOKUP(G4599,WholesaleExtract!B:L,11,FALSE),"")</f>
        <v/>
      </c>
      <c r="I4599" s="26" t="str">
        <f>IFERROR(VLOOKUP(G4599,WholesaleExtract!B:O,8,FALSE),"")</f>
        <v/>
      </c>
      <c r="J4599" s="26" t="str">
        <f>IFERROR(VLOOKUP(G4599,WholesaleExtract!B:O,14,FALSE),"")</f>
        <v/>
      </c>
      <c r="K4599" s="26" t="str">
        <f>IFERROR(VLOOKUP(G4599,WholesaleExtract!B:K,10,FALSE),"")</f>
        <v/>
      </c>
      <c r="L4599" s="47" t="str">
        <f>IFERROR(VLOOKUP(G4599,WholesaleExtract!B:L,11,FALSE),"")</f>
        <v/>
      </c>
      <c r="M4599" s="47" t="str">
        <f>IFERROR(VLOOKUP(G4599,WholesaleExtract!B:M,12,FALSE),"")</f>
        <v/>
      </c>
      <c r="R4599" s="19"/>
      <c r="S4599" s="19"/>
    </row>
    <row r="4600" spans="1:19" x14ac:dyDescent="0.35">
      <c r="A4600" s="26" t="s">
        <v>543</v>
      </c>
      <c r="B4600" s="26" t="s">
        <v>543</v>
      </c>
      <c r="C4600" s="26"/>
      <c r="D4600" s="26" t="s">
        <v>543</v>
      </c>
      <c r="E4600" s="26" t="str">
        <f>IFERROR(VLOOKUP(G4600,WholesaleExtract!B:J,9,FALSE),"")</f>
        <v/>
      </c>
      <c r="F4600" s="26" t="str">
        <f>IFERROR(VLOOKUP(G4600,WholesaleExtract!B:J,6,FALSE),"")</f>
        <v/>
      </c>
      <c r="H4600" s="47" t="str">
        <f>IFERROR(VLOOKUP(G4600,WholesaleExtract!B:L,11,FALSE),"")</f>
        <v/>
      </c>
      <c r="I4600" s="26" t="str">
        <f>IFERROR(VLOOKUP(G4600,WholesaleExtract!B:O,8,FALSE),"")</f>
        <v/>
      </c>
      <c r="J4600" s="26" t="str">
        <f>IFERROR(VLOOKUP(G4600,WholesaleExtract!B:O,14,FALSE),"")</f>
        <v/>
      </c>
      <c r="K4600" s="26" t="str">
        <f>IFERROR(VLOOKUP(G4600,WholesaleExtract!B:K,10,FALSE),"")</f>
        <v/>
      </c>
      <c r="L4600" s="47" t="str">
        <f>IFERROR(VLOOKUP(G4600,WholesaleExtract!B:L,11,FALSE),"")</f>
        <v/>
      </c>
      <c r="M4600" s="47" t="str">
        <f>IFERROR(VLOOKUP(G4600,WholesaleExtract!B:M,12,FALSE),"")</f>
        <v/>
      </c>
      <c r="R4600" s="19"/>
      <c r="S4600" s="19"/>
    </row>
    <row r="4601" spans="1:19" x14ac:dyDescent="0.35">
      <c r="A4601" s="26" t="s">
        <v>543</v>
      </c>
      <c r="B4601" s="26" t="s">
        <v>543</v>
      </c>
      <c r="C4601" s="26"/>
      <c r="D4601" s="26" t="s">
        <v>543</v>
      </c>
      <c r="E4601" s="26" t="str">
        <f>IFERROR(VLOOKUP(G4601,WholesaleExtract!B:J,9,FALSE),"")</f>
        <v/>
      </c>
      <c r="F4601" s="26" t="str">
        <f>IFERROR(VLOOKUP(G4601,WholesaleExtract!B:J,6,FALSE),"")</f>
        <v/>
      </c>
      <c r="H4601" s="47" t="str">
        <f>IFERROR(VLOOKUP(G4601,WholesaleExtract!B:L,11,FALSE),"")</f>
        <v/>
      </c>
      <c r="I4601" s="26" t="str">
        <f>IFERROR(VLOOKUP(G4601,WholesaleExtract!B:O,8,FALSE),"")</f>
        <v/>
      </c>
      <c r="J4601" s="26" t="str">
        <f>IFERROR(VLOOKUP(G4601,WholesaleExtract!B:O,14,FALSE),"")</f>
        <v/>
      </c>
      <c r="K4601" s="26" t="str">
        <f>IFERROR(VLOOKUP(G4601,WholesaleExtract!B:K,10,FALSE),"")</f>
        <v/>
      </c>
      <c r="L4601" s="47" t="str">
        <f>IFERROR(VLOOKUP(G4601,WholesaleExtract!B:L,11,FALSE),"")</f>
        <v/>
      </c>
      <c r="M4601" s="47" t="str">
        <f>IFERROR(VLOOKUP(G4601,WholesaleExtract!B:M,12,FALSE),"")</f>
        <v/>
      </c>
      <c r="R4601" s="19"/>
      <c r="S4601" s="19"/>
    </row>
    <row r="4602" spans="1:19" x14ac:dyDescent="0.35">
      <c r="A4602" s="26" t="s">
        <v>543</v>
      </c>
      <c r="B4602" s="26" t="s">
        <v>543</v>
      </c>
      <c r="C4602" s="26"/>
      <c r="D4602" s="26" t="s">
        <v>543</v>
      </c>
      <c r="E4602" s="26" t="str">
        <f>IFERROR(VLOOKUP(G4602,WholesaleExtract!B:J,9,FALSE),"")</f>
        <v/>
      </c>
      <c r="F4602" s="26" t="str">
        <f>IFERROR(VLOOKUP(G4602,WholesaleExtract!B:J,6,FALSE),"")</f>
        <v/>
      </c>
      <c r="H4602" s="47" t="str">
        <f>IFERROR(VLOOKUP(G4602,WholesaleExtract!B:L,11,FALSE),"")</f>
        <v/>
      </c>
      <c r="I4602" s="26" t="str">
        <f>IFERROR(VLOOKUP(G4602,WholesaleExtract!B:O,8,FALSE),"")</f>
        <v/>
      </c>
      <c r="J4602" s="26" t="str">
        <f>IFERROR(VLOOKUP(G4602,WholesaleExtract!B:O,14,FALSE),"")</f>
        <v/>
      </c>
      <c r="K4602" s="26" t="str">
        <f>IFERROR(VLOOKUP(G4602,WholesaleExtract!B:K,10,FALSE),"")</f>
        <v/>
      </c>
      <c r="L4602" s="47" t="str">
        <f>IFERROR(VLOOKUP(G4602,WholesaleExtract!B:L,11,FALSE),"")</f>
        <v/>
      </c>
      <c r="M4602" s="47" t="str">
        <f>IFERROR(VLOOKUP(G4602,WholesaleExtract!B:M,12,FALSE),"")</f>
        <v/>
      </c>
      <c r="R4602" s="19"/>
      <c r="S4602" s="19"/>
    </row>
    <row r="4603" spans="1:19" x14ac:dyDescent="0.35">
      <c r="A4603" s="26" t="s">
        <v>543</v>
      </c>
      <c r="B4603" s="26" t="s">
        <v>543</v>
      </c>
      <c r="C4603" s="26"/>
      <c r="D4603" s="26" t="s">
        <v>543</v>
      </c>
      <c r="E4603" s="26" t="str">
        <f>IFERROR(VLOOKUP(G4603,WholesaleExtract!B:J,9,FALSE),"")</f>
        <v/>
      </c>
      <c r="F4603" s="26" t="str">
        <f>IFERROR(VLOOKUP(G4603,WholesaleExtract!B:J,6,FALSE),"")</f>
        <v/>
      </c>
      <c r="H4603" s="47" t="str">
        <f>IFERROR(VLOOKUP(G4603,WholesaleExtract!B:L,11,FALSE),"")</f>
        <v/>
      </c>
      <c r="I4603" s="26" t="str">
        <f>IFERROR(VLOOKUP(G4603,WholesaleExtract!B:O,8,FALSE),"")</f>
        <v/>
      </c>
      <c r="J4603" s="26" t="str">
        <f>IFERROR(VLOOKUP(G4603,WholesaleExtract!B:O,14,FALSE),"")</f>
        <v/>
      </c>
      <c r="K4603" s="26" t="str">
        <f>IFERROR(VLOOKUP(G4603,WholesaleExtract!B:K,10,FALSE),"")</f>
        <v/>
      </c>
      <c r="L4603" s="47" t="str">
        <f>IFERROR(VLOOKUP(G4603,WholesaleExtract!B:L,11,FALSE),"")</f>
        <v/>
      </c>
      <c r="M4603" s="47" t="str">
        <f>IFERROR(VLOOKUP(G4603,WholesaleExtract!B:M,12,FALSE),"")</f>
        <v/>
      </c>
      <c r="R4603" s="19"/>
      <c r="S4603" s="19"/>
    </row>
    <row r="4604" spans="1:19" x14ac:dyDescent="0.35">
      <c r="A4604" s="26" t="s">
        <v>543</v>
      </c>
      <c r="B4604" s="26" t="s">
        <v>543</v>
      </c>
      <c r="C4604" s="26"/>
      <c r="D4604" s="26" t="s">
        <v>543</v>
      </c>
      <c r="E4604" s="26" t="str">
        <f>IFERROR(VLOOKUP(G4604,WholesaleExtract!B:J,9,FALSE),"")</f>
        <v/>
      </c>
      <c r="F4604" s="26" t="str">
        <f>IFERROR(VLOOKUP(G4604,WholesaleExtract!B:J,6,FALSE),"")</f>
        <v/>
      </c>
      <c r="H4604" s="47" t="str">
        <f>IFERROR(VLOOKUP(G4604,WholesaleExtract!B:L,11,FALSE),"")</f>
        <v/>
      </c>
      <c r="I4604" s="26" t="str">
        <f>IFERROR(VLOOKUP(G4604,WholesaleExtract!B:O,8,FALSE),"")</f>
        <v/>
      </c>
      <c r="J4604" s="26" t="str">
        <f>IFERROR(VLOOKUP(G4604,WholesaleExtract!B:O,14,FALSE),"")</f>
        <v/>
      </c>
      <c r="K4604" s="26" t="str">
        <f>IFERROR(VLOOKUP(G4604,WholesaleExtract!B:K,10,FALSE),"")</f>
        <v/>
      </c>
      <c r="L4604" s="47" t="str">
        <f>IFERROR(VLOOKUP(G4604,WholesaleExtract!B:L,11,FALSE),"")</f>
        <v/>
      </c>
      <c r="M4604" s="47" t="str">
        <f>IFERROR(VLOOKUP(G4604,WholesaleExtract!B:M,12,FALSE),"")</f>
        <v/>
      </c>
      <c r="R4604" s="19"/>
      <c r="S4604" s="19"/>
    </row>
    <row r="4605" spans="1:19" x14ac:dyDescent="0.35">
      <c r="A4605" s="26" t="s">
        <v>543</v>
      </c>
      <c r="B4605" s="26" t="s">
        <v>543</v>
      </c>
      <c r="C4605" s="26"/>
      <c r="D4605" s="26" t="s">
        <v>543</v>
      </c>
      <c r="E4605" s="26" t="str">
        <f>IFERROR(VLOOKUP(G4605,WholesaleExtract!B:J,9,FALSE),"")</f>
        <v/>
      </c>
      <c r="F4605" s="26" t="str">
        <f>IFERROR(VLOOKUP(G4605,WholesaleExtract!B:J,6,FALSE),"")</f>
        <v/>
      </c>
      <c r="H4605" s="47" t="str">
        <f>IFERROR(VLOOKUP(G4605,WholesaleExtract!B:L,11,FALSE),"")</f>
        <v/>
      </c>
      <c r="I4605" s="26" t="str">
        <f>IFERROR(VLOOKUP(G4605,WholesaleExtract!B:O,8,FALSE),"")</f>
        <v/>
      </c>
      <c r="J4605" s="26" t="str">
        <f>IFERROR(VLOOKUP(G4605,WholesaleExtract!B:O,14,FALSE),"")</f>
        <v/>
      </c>
      <c r="K4605" s="26" t="str">
        <f>IFERROR(VLOOKUP(G4605,WholesaleExtract!B:K,10,FALSE),"")</f>
        <v/>
      </c>
      <c r="L4605" s="47" t="str">
        <f>IFERROR(VLOOKUP(G4605,WholesaleExtract!B:L,11,FALSE),"")</f>
        <v/>
      </c>
      <c r="M4605" s="47" t="str">
        <f>IFERROR(VLOOKUP(G4605,WholesaleExtract!B:M,12,FALSE),"")</f>
        <v/>
      </c>
      <c r="R4605" s="19"/>
      <c r="S4605" s="19"/>
    </row>
    <row r="4606" spans="1:19" x14ac:dyDescent="0.35">
      <c r="A4606" s="26" t="s">
        <v>543</v>
      </c>
      <c r="B4606" s="26" t="s">
        <v>543</v>
      </c>
      <c r="C4606" s="26"/>
      <c r="D4606" s="26" t="s">
        <v>543</v>
      </c>
      <c r="E4606" s="26" t="str">
        <f>IFERROR(VLOOKUP(G4606,WholesaleExtract!B:J,9,FALSE),"")</f>
        <v/>
      </c>
      <c r="F4606" s="26" t="str">
        <f>IFERROR(VLOOKUP(G4606,WholesaleExtract!B:J,6,FALSE),"")</f>
        <v/>
      </c>
      <c r="H4606" s="47" t="str">
        <f>IFERROR(VLOOKUP(G4606,WholesaleExtract!B:L,11,FALSE),"")</f>
        <v/>
      </c>
      <c r="I4606" s="26" t="str">
        <f>IFERROR(VLOOKUP(G4606,WholesaleExtract!B:O,8,FALSE),"")</f>
        <v/>
      </c>
      <c r="J4606" s="26" t="str">
        <f>IFERROR(VLOOKUP(G4606,WholesaleExtract!B:O,14,FALSE),"")</f>
        <v/>
      </c>
      <c r="K4606" s="26" t="str">
        <f>IFERROR(VLOOKUP(G4606,WholesaleExtract!B:K,10,FALSE),"")</f>
        <v/>
      </c>
      <c r="L4606" s="47" t="str">
        <f>IFERROR(VLOOKUP(G4606,WholesaleExtract!B:L,11,FALSE),"")</f>
        <v/>
      </c>
      <c r="M4606" s="47" t="str">
        <f>IFERROR(VLOOKUP(G4606,WholesaleExtract!B:M,12,FALSE),"")</f>
        <v/>
      </c>
      <c r="R4606" s="19"/>
      <c r="S4606" s="19"/>
    </row>
    <row r="4607" spans="1:19" x14ac:dyDescent="0.35">
      <c r="A4607" s="26" t="s">
        <v>543</v>
      </c>
      <c r="B4607" s="26" t="s">
        <v>543</v>
      </c>
      <c r="C4607" s="26"/>
      <c r="D4607" s="26" t="s">
        <v>543</v>
      </c>
      <c r="E4607" s="26" t="str">
        <f>IFERROR(VLOOKUP(G4607,WholesaleExtract!B:J,9,FALSE),"")</f>
        <v/>
      </c>
      <c r="F4607" s="26" t="str">
        <f>IFERROR(VLOOKUP(G4607,WholesaleExtract!B:J,6,FALSE),"")</f>
        <v/>
      </c>
      <c r="H4607" s="47" t="str">
        <f>IFERROR(VLOOKUP(G4607,WholesaleExtract!B:L,11,FALSE),"")</f>
        <v/>
      </c>
      <c r="I4607" s="26" t="str">
        <f>IFERROR(VLOOKUP(G4607,WholesaleExtract!B:O,8,FALSE),"")</f>
        <v/>
      </c>
      <c r="J4607" s="26" t="str">
        <f>IFERROR(VLOOKUP(G4607,WholesaleExtract!B:O,14,FALSE),"")</f>
        <v/>
      </c>
      <c r="K4607" s="26" t="str">
        <f>IFERROR(VLOOKUP(G4607,WholesaleExtract!B:K,10,FALSE),"")</f>
        <v/>
      </c>
      <c r="L4607" s="47" t="str">
        <f>IFERROR(VLOOKUP(G4607,WholesaleExtract!B:L,11,FALSE),"")</f>
        <v/>
      </c>
      <c r="M4607" s="47" t="str">
        <f>IFERROR(VLOOKUP(G4607,WholesaleExtract!B:M,12,FALSE),"")</f>
        <v/>
      </c>
      <c r="R4607" s="19"/>
      <c r="S4607" s="19"/>
    </row>
    <row r="4608" spans="1:19" x14ac:dyDescent="0.35">
      <c r="A4608" s="26" t="s">
        <v>543</v>
      </c>
      <c r="B4608" s="26" t="s">
        <v>543</v>
      </c>
      <c r="C4608" s="26"/>
      <c r="D4608" s="26" t="s">
        <v>543</v>
      </c>
      <c r="E4608" s="26" t="str">
        <f>IFERROR(VLOOKUP(G4608,WholesaleExtract!B:J,9,FALSE),"")</f>
        <v/>
      </c>
      <c r="F4608" s="26" t="str">
        <f>IFERROR(VLOOKUP(G4608,WholesaleExtract!B:J,6,FALSE),"")</f>
        <v/>
      </c>
      <c r="H4608" s="47" t="str">
        <f>IFERROR(VLOOKUP(G4608,WholesaleExtract!B:L,11,FALSE),"")</f>
        <v/>
      </c>
      <c r="I4608" s="26" t="str">
        <f>IFERROR(VLOOKUP(G4608,WholesaleExtract!B:O,8,FALSE),"")</f>
        <v/>
      </c>
      <c r="J4608" s="26" t="str">
        <f>IFERROR(VLOOKUP(G4608,WholesaleExtract!B:O,14,FALSE),"")</f>
        <v/>
      </c>
      <c r="K4608" s="26" t="str">
        <f>IFERROR(VLOOKUP(G4608,WholesaleExtract!B:K,10,FALSE),"")</f>
        <v/>
      </c>
      <c r="L4608" s="47" t="str">
        <f>IFERROR(VLOOKUP(G4608,WholesaleExtract!B:L,11,FALSE),"")</f>
        <v/>
      </c>
      <c r="M4608" s="47" t="str">
        <f>IFERROR(VLOOKUP(G4608,WholesaleExtract!B:M,12,FALSE),"")</f>
        <v/>
      </c>
      <c r="R4608" s="19"/>
      <c r="S4608" s="19"/>
    </row>
    <row r="4609" spans="1:19" x14ac:dyDescent="0.35">
      <c r="A4609" s="26" t="s">
        <v>543</v>
      </c>
      <c r="B4609" s="26" t="s">
        <v>543</v>
      </c>
      <c r="C4609" s="26"/>
      <c r="D4609" s="26" t="s">
        <v>543</v>
      </c>
      <c r="E4609" s="26" t="str">
        <f>IFERROR(VLOOKUP(G4609,WholesaleExtract!B:J,9,FALSE),"")</f>
        <v/>
      </c>
      <c r="F4609" s="26" t="str">
        <f>IFERROR(VLOOKUP(G4609,WholesaleExtract!B:J,6,FALSE),"")</f>
        <v/>
      </c>
      <c r="H4609" s="47" t="str">
        <f>IFERROR(VLOOKUP(G4609,WholesaleExtract!B:L,11,FALSE),"")</f>
        <v/>
      </c>
      <c r="I4609" s="26" t="str">
        <f>IFERROR(VLOOKUP(G4609,WholesaleExtract!B:O,8,FALSE),"")</f>
        <v/>
      </c>
      <c r="J4609" s="26" t="str">
        <f>IFERROR(VLOOKUP(G4609,WholesaleExtract!B:O,14,FALSE),"")</f>
        <v/>
      </c>
      <c r="K4609" s="26" t="str">
        <f>IFERROR(VLOOKUP(G4609,WholesaleExtract!B:K,10,FALSE),"")</f>
        <v/>
      </c>
      <c r="L4609" s="47" t="str">
        <f>IFERROR(VLOOKUP(G4609,WholesaleExtract!B:L,11,FALSE),"")</f>
        <v/>
      </c>
      <c r="M4609" s="47" t="str">
        <f>IFERROR(VLOOKUP(G4609,WholesaleExtract!B:M,12,FALSE),"")</f>
        <v/>
      </c>
      <c r="R4609" s="19"/>
      <c r="S4609" s="19"/>
    </row>
    <row r="4610" spans="1:19" x14ac:dyDescent="0.35">
      <c r="A4610" s="26" t="s">
        <v>543</v>
      </c>
      <c r="B4610" s="26" t="s">
        <v>543</v>
      </c>
      <c r="C4610" s="26"/>
      <c r="D4610" s="26" t="s">
        <v>543</v>
      </c>
      <c r="E4610" s="26" t="str">
        <f>IFERROR(VLOOKUP(G4610,WholesaleExtract!B:J,9,FALSE),"")</f>
        <v/>
      </c>
      <c r="F4610" s="26" t="str">
        <f>IFERROR(VLOOKUP(G4610,WholesaleExtract!B:J,6,FALSE),"")</f>
        <v/>
      </c>
      <c r="H4610" s="47" t="str">
        <f>IFERROR(VLOOKUP(G4610,WholesaleExtract!B:L,11,FALSE),"")</f>
        <v/>
      </c>
      <c r="I4610" s="26" t="str">
        <f>IFERROR(VLOOKUP(G4610,WholesaleExtract!B:O,8,FALSE),"")</f>
        <v/>
      </c>
      <c r="J4610" s="26" t="str">
        <f>IFERROR(VLOOKUP(G4610,WholesaleExtract!B:O,14,FALSE),"")</f>
        <v/>
      </c>
      <c r="K4610" s="26" t="str">
        <f>IFERROR(VLOOKUP(G4610,WholesaleExtract!B:K,10,FALSE),"")</f>
        <v/>
      </c>
      <c r="L4610" s="47" t="str">
        <f>IFERROR(VLOOKUP(G4610,WholesaleExtract!B:L,11,FALSE),"")</f>
        <v/>
      </c>
      <c r="M4610" s="47" t="str">
        <f>IFERROR(VLOOKUP(G4610,WholesaleExtract!B:M,12,FALSE),"")</f>
        <v/>
      </c>
      <c r="R4610" s="19"/>
      <c r="S4610" s="19"/>
    </row>
    <row r="4611" spans="1:19" x14ac:dyDescent="0.35">
      <c r="A4611" s="26" t="s">
        <v>543</v>
      </c>
      <c r="B4611" s="26" t="s">
        <v>543</v>
      </c>
      <c r="C4611" s="26"/>
      <c r="D4611" s="26" t="s">
        <v>543</v>
      </c>
      <c r="E4611" s="26" t="str">
        <f>IFERROR(VLOOKUP(G4611,WholesaleExtract!B:J,9,FALSE),"")</f>
        <v/>
      </c>
      <c r="F4611" s="26" t="str">
        <f>IFERROR(VLOOKUP(G4611,WholesaleExtract!B:J,6,FALSE),"")</f>
        <v/>
      </c>
      <c r="H4611" s="47" t="str">
        <f>IFERROR(VLOOKUP(G4611,WholesaleExtract!B:L,11,FALSE),"")</f>
        <v/>
      </c>
      <c r="I4611" s="26" t="str">
        <f>IFERROR(VLOOKUP(G4611,WholesaleExtract!B:O,8,FALSE),"")</f>
        <v/>
      </c>
      <c r="J4611" s="26" t="str">
        <f>IFERROR(VLOOKUP(G4611,WholesaleExtract!B:O,14,FALSE),"")</f>
        <v/>
      </c>
      <c r="K4611" s="26" t="str">
        <f>IFERROR(VLOOKUP(G4611,WholesaleExtract!B:K,10,FALSE),"")</f>
        <v/>
      </c>
      <c r="L4611" s="47" t="str">
        <f>IFERROR(VLOOKUP(G4611,WholesaleExtract!B:L,11,FALSE),"")</f>
        <v/>
      </c>
      <c r="M4611" s="47" t="str">
        <f>IFERROR(VLOOKUP(G4611,WholesaleExtract!B:M,12,FALSE),"")</f>
        <v/>
      </c>
      <c r="R4611" s="19"/>
      <c r="S4611" s="19"/>
    </row>
    <row r="4612" spans="1:19" x14ac:dyDescent="0.35">
      <c r="A4612" s="26" t="s">
        <v>543</v>
      </c>
      <c r="B4612" s="26" t="s">
        <v>543</v>
      </c>
      <c r="C4612" s="26"/>
      <c r="D4612" s="26" t="s">
        <v>543</v>
      </c>
      <c r="E4612" s="26" t="str">
        <f>IFERROR(VLOOKUP(G4612,WholesaleExtract!B:J,9,FALSE),"")</f>
        <v/>
      </c>
      <c r="F4612" s="26" t="str">
        <f>IFERROR(VLOOKUP(G4612,WholesaleExtract!B:J,6,FALSE),"")</f>
        <v/>
      </c>
      <c r="H4612" s="47" t="str">
        <f>IFERROR(VLOOKUP(G4612,WholesaleExtract!B:L,11,FALSE),"")</f>
        <v/>
      </c>
      <c r="I4612" s="26" t="str">
        <f>IFERROR(VLOOKUP(G4612,WholesaleExtract!B:O,8,FALSE),"")</f>
        <v/>
      </c>
      <c r="J4612" s="26" t="str">
        <f>IFERROR(VLOOKUP(G4612,WholesaleExtract!B:O,14,FALSE),"")</f>
        <v/>
      </c>
      <c r="K4612" s="26" t="str">
        <f>IFERROR(VLOOKUP(G4612,WholesaleExtract!B:K,10,FALSE),"")</f>
        <v/>
      </c>
      <c r="L4612" s="47" t="str">
        <f>IFERROR(VLOOKUP(G4612,WholesaleExtract!B:L,11,FALSE),"")</f>
        <v/>
      </c>
      <c r="M4612" s="47" t="str">
        <f>IFERROR(VLOOKUP(G4612,WholesaleExtract!B:M,12,FALSE),"")</f>
        <v/>
      </c>
      <c r="R4612" s="19"/>
      <c r="S4612" s="19"/>
    </row>
    <row r="4613" spans="1:19" x14ac:dyDescent="0.35">
      <c r="A4613" s="26" t="s">
        <v>543</v>
      </c>
      <c r="B4613" s="26" t="s">
        <v>543</v>
      </c>
      <c r="C4613" s="26"/>
      <c r="D4613" s="26" t="s">
        <v>543</v>
      </c>
      <c r="E4613" s="26" t="str">
        <f>IFERROR(VLOOKUP(G4613,WholesaleExtract!B:J,9,FALSE),"")</f>
        <v/>
      </c>
      <c r="F4613" s="26" t="str">
        <f>IFERROR(VLOOKUP(G4613,WholesaleExtract!B:J,6,FALSE),"")</f>
        <v/>
      </c>
      <c r="H4613" s="47" t="str">
        <f>IFERROR(VLOOKUP(G4613,WholesaleExtract!B:L,11,FALSE),"")</f>
        <v/>
      </c>
      <c r="I4613" s="26" t="str">
        <f>IFERROR(VLOOKUP(G4613,WholesaleExtract!B:O,8,FALSE),"")</f>
        <v/>
      </c>
      <c r="J4613" s="26" t="str">
        <f>IFERROR(VLOOKUP(G4613,WholesaleExtract!B:O,14,FALSE),"")</f>
        <v/>
      </c>
      <c r="K4613" s="26" t="str">
        <f>IFERROR(VLOOKUP(G4613,WholesaleExtract!B:K,10,FALSE),"")</f>
        <v/>
      </c>
      <c r="L4613" s="47" t="str">
        <f>IFERROR(VLOOKUP(G4613,WholesaleExtract!B:L,11,FALSE),"")</f>
        <v/>
      </c>
      <c r="M4613" s="47" t="str">
        <f>IFERROR(VLOOKUP(G4613,WholesaleExtract!B:M,12,FALSE),"")</f>
        <v/>
      </c>
      <c r="R4613" s="19"/>
      <c r="S4613" s="19"/>
    </row>
    <row r="4614" spans="1:19" x14ac:dyDescent="0.35">
      <c r="A4614" s="26" t="s">
        <v>543</v>
      </c>
      <c r="B4614" s="26" t="s">
        <v>543</v>
      </c>
      <c r="C4614" s="26"/>
      <c r="D4614" s="26" t="s">
        <v>543</v>
      </c>
      <c r="E4614" s="26" t="str">
        <f>IFERROR(VLOOKUP(G4614,WholesaleExtract!B:J,9,FALSE),"")</f>
        <v/>
      </c>
      <c r="F4614" s="26" t="str">
        <f>IFERROR(VLOOKUP(G4614,WholesaleExtract!B:J,6,FALSE),"")</f>
        <v/>
      </c>
      <c r="H4614" s="47" t="str">
        <f>IFERROR(VLOOKUP(G4614,WholesaleExtract!B:L,11,FALSE),"")</f>
        <v/>
      </c>
      <c r="I4614" s="26" t="str">
        <f>IFERROR(VLOOKUP(G4614,WholesaleExtract!B:O,8,FALSE),"")</f>
        <v/>
      </c>
      <c r="J4614" s="26" t="str">
        <f>IFERROR(VLOOKUP(G4614,WholesaleExtract!B:O,14,FALSE),"")</f>
        <v/>
      </c>
      <c r="K4614" s="26" t="str">
        <f>IFERROR(VLOOKUP(G4614,WholesaleExtract!B:K,10,FALSE),"")</f>
        <v/>
      </c>
      <c r="L4614" s="47" t="str">
        <f>IFERROR(VLOOKUP(G4614,WholesaleExtract!B:L,11,FALSE),"")</f>
        <v/>
      </c>
      <c r="M4614" s="47" t="str">
        <f>IFERROR(VLOOKUP(G4614,WholesaleExtract!B:M,12,FALSE),"")</f>
        <v/>
      </c>
      <c r="R4614" s="19"/>
      <c r="S4614" s="19"/>
    </row>
    <row r="4615" spans="1:19" x14ac:dyDescent="0.35">
      <c r="A4615" s="26" t="s">
        <v>543</v>
      </c>
      <c r="B4615" s="26" t="s">
        <v>543</v>
      </c>
      <c r="C4615" s="26"/>
      <c r="D4615" s="26" t="s">
        <v>543</v>
      </c>
      <c r="E4615" s="26" t="str">
        <f>IFERROR(VLOOKUP(G4615,WholesaleExtract!B:J,9,FALSE),"")</f>
        <v/>
      </c>
      <c r="F4615" s="26" t="str">
        <f>IFERROR(VLOOKUP(G4615,WholesaleExtract!B:J,6,FALSE),"")</f>
        <v/>
      </c>
      <c r="H4615" s="47" t="str">
        <f>IFERROR(VLOOKUP(G4615,WholesaleExtract!B:L,11,FALSE),"")</f>
        <v/>
      </c>
      <c r="I4615" s="26" t="str">
        <f>IFERROR(VLOOKUP(G4615,WholesaleExtract!B:O,8,FALSE),"")</f>
        <v/>
      </c>
      <c r="J4615" s="26" t="str">
        <f>IFERROR(VLOOKUP(G4615,WholesaleExtract!B:O,14,FALSE),"")</f>
        <v/>
      </c>
      <c r="K4615" s="26" t="str">
        <f>IFERROR(VLOOKUP(G4615,WholesaleExtract!B:K,10,FALSE),"")</f>
        <v/>
      </c>
      <c r="L4615" s="47" t="str">
        <f>IFERROR(VLOOKUP(G4615,WholesaleExtract!B:L,11,FALSE),"")</f>
        <v/>
      </c>
      <c r="M4615" s="47" t="str">
        <f>IFERROR(VLOOKUP(G4615,WholesaleExtract!B:M,12,FALSE),"")</f>
        <v/>
      </c>
      <c r="R4615" s="19"/>
      <c r="S4615" s="19"/>
    </row>
    <row r="4616" spans="1:19" x14ac:dyDescent="0.35">
      <c r="A4616" s="26" t="s">
        <v>543</v>
      </c>
      <c r="B4616" s="26" t="s">
        <v>543</v>
      </c>
      <c r="C4616" s="26"/>
      <c r="D4616" s="26" t="s">
        <v>543</v>
      </c>
      <c r="E4616" s="26" t="str">
        <f>IFERROR(VLOOKUP(G4616,WholesaleExtract!B:J,9,FALSE),"")</f>
        <v/>
      </c>
      <c r="F4616" s="26" t="str">
        <f>IFERROR(VLOOKUP(G4616,WholesaleExtract!B:J,6,FALSE),"")</f>
        <v/>
      </c>
      <c r="H4616" s="47" t="str">
        <f>IFERROR(VLOOKUP(G4616,WholesaleExtract!B:L,11,FALSE),"")</f>
        <v/>
      </c>
      <c r="I4616" s="26" t="str">
        <f>IFERROR(VLOOKUP(G4616,WholesaleExtract!B:O,8,FALSE),"")</f>
        <v/>
      </c>
      <c r="J4616" s="26" t="str">
        <f>IFERROR(VLOOKUP(G4616,WholesaleExtract!B:O,14,FALSE),"")</f>
        <v/>
      </c>
      <c r="K4616" s="26" t="str">
        <f>IFERROR(VLOOKUP(G4616,WholesaleExtract!B:K,10,FALSE),"")</f>
        <v/>
      </c>
      <c r="L4616" s="47" t="str">
        <f>IFERROR(VLOOKUP(G4616,WholesaleExtract!B:L,11,FALSE),"")</f>
        <v/>
      </c>
      <c r="M4616" s="47" t="str">
        <f>IFERROR(VLOOKUP(G4616,WholesaleExtract!B:M,12,FALSE),"")</f>
        <v/>
      </c>
      <c r="R4616" s="19"/>
      <c r="S4616" s="19"/>
    </row>
    <row r="4617" spans="1:19" x14ac:dyDescent="0.35">
      <c r="A4617" s="26" t="s">
        <v>543</v>
      </c>
      <c r="B4617" s="26" t="s">
        <v>543</v>
      </c>
      <c r="C4617" s="26"/>
      <c r="D4617" s="26" t="s">
        <v>543</v>
      </c>
      <c r="E4617" s="26" t="str">
        <f>IFERROR(VLOOKUP(G4617,WholesaleExtract!B:J,9,FALSE),"")</f>
        <v/>
      </c>
      <c r="F4617" s="26" t="str">
        <f>IFERROR(VLOOKUP(G4617,WholesaleExtract!B:J,6,FALSE),"")</f>
        <v/>
      </c>
      <c r="H4617" s="47" t="str">
        <f>IFERROR(VLOOKUP(G4617,WholesaleExtract!B:L,11,FALSE),"")</f>
        <v/>
      </c>
      <c r="I4617" s="26" t="str">
        <f>IFERROR(VLOOKUP(G4617,WholesaleExtract!B:O,8,FALSE),"")</f>
        <v/>
      </c>
      <c r="J4617" s="26" t="str">
        <f>IFERROR(VLOOKUP(G4617,WholesaleExtract!B:O,14,FALSE),"")</f>
        <v/>
      </c>
      <c r="K4617" s="26" t="str">
        <f>IFERROR(VLOOKUP(G4617,WholesaleExtract!B:K,10,FALSE),"")</f>
        <v/>
      </c>
      <c r="L4617" s="47" t="str">
        <f>IFERROR(VLOOKUP(G4617,WholesaleExtract!B:L,11,FALSE),"")</f>
        <v/>
      </c>
      <c r="M4617" s="47" t="str">
        <f>IFERROR(VLOOKUP(G4617,WholesaleExtract!B:M,12,FALSE),"")</f>
        <v/>
      </c>
      <c r="R4617" s="19"/>
      <c r="S4617" s="19"/>
    </row>
    <row r="4618" spans="1:19" x14ac:dyDescent="0.35">
      <c r="A4618" s="26" t="s">
        <v>543</v>
      </c>
      <c r="B4618" s="26" t="s">
        <v>543</v>
      </c>
      <c r="C4618" s="26"/>
      <c r="D4618" s="26" t="s">
        <v>543</v>
      </c>
      <c r="E4618" s="26" t="str">
        <f>IFERROR(VLOOKUP(G4618,WholesaleExtract!B:J,9,FALSE),"")</f>
        <v/>
      </c>
      <c r="F4618" s="26" t="str">
        <f>IFERROR(VLOOKUP(G4618,WholesaleExtract!B:J,6,FALSE),"")</f>
        <v/>
      </c>
      <c r="H4618" s="47" t="str">
        <f>IFERROR(VLOOKUP(G4618,WholesaleExtract!B:L,11,FALSE),"")</f>
        <v/>
      </c>
      <c r="I4618" s="26" t="str">
        <f>IFERROR(VLOOKUP(G4618,WholesaleExtract!B:O,8,FALSE),"")</f>
        <v/>
      </c>
      <c r="J4618" s="26" t="str">
        <f>IFERROR(VLOOKUP(G4618,WholesaleExtract!B:O,14,FALSE),"")</f>
        <v/>
      </c>
      <c r="K4618" s="26" t="str">
        <f>IFERROR(VLOOKUP(G4618,WholesaleExtract!B:K,10,FALSE),"")</f>
        <v/>
      </c>
      <c r="L4618" s="47" t="str">
        <f>IFERROR(VLOOKUP(G4618,WholesaleExtract!B:L,11,FALSE),"")</f>
        <v/>
      </c>
      <c r="M4618" s="47" t="str">
        <f>IFERROR(VLOOKUP(G4618,WholesaleExtract!B:M,12,FALSE),"")</f>
        <v/>
      </c>
      <c r="R4618" s="19"/>
      <c r="S4618" s="19"/>
    </row>
    <row r="4619" spans="1:19" x14ac:dyDescent="0.35">
      <c r="A4619" s="26" t="s">
        <v>543</v>
      </c>
      <c r="B4619" s="26" t="s">
        <v>543</v>
      </c>
      <c r="C4619" s="26"/>
      <c r="D4619" s="26" t="s">
        <v>543</v>
      </c>
      <c r="E4619" s="26" t="str">
        <f>IFERROR(VLOOKUP(G4619,WholesaleExtract!B:J,9,FALSE),"")</f>
        <v/>
      </c>
      <c r="F4619" s="26" t="str">
        <f>IFERROR(VLOOKUP(G4619,WholesaleExtract!B:J,6,FALSE),"")</f>
        <v/>
      </c>
      <c r="H4619" s="47" t="str">
        <f>IFERROR(VLOOKUP(G4619,WholesaleExtract!B:L,11,FALSE),"")</f>
        <v/>
      </c>
      <c r="I4619" s="26" t="str">
        <f>IFERROR(VLOOKUP(G4619,WholesaleExtract!B:O,8,FALSE),"")</f>
        <v/>
      </c>
      <c r="J4619" s="26" t="str">
        <f>IFERROR(VLOOKUP(G4619,WholesaleExtract!B:O,14,FALSE),"")</f>
        <v/>
      </c>
      <c r="K4619" s="26" t="str">
        <f>IFERROR(VLOOKUP(G4619,WholesaleExtract!B:K,10,FALSE),"")</f>
        <v/>
      </c>
      <c r="L4619" s="47" t="str">
        <f>IFERROR(VLOOKUP(G4619,WholesaleExtract!B:L,11,FALSE),"")</f>
        <v/>
      </c>
      <c r="M4619" s="47" t="str">
        <f>IFERROR(VLOOKUP(G4619,WholesaleExtract!B:M,12,FALSE),"")</f>
        <v/>
      </c>
      <c r="R4619" s="19"/>
      <c r="S4619" s="19"/>
    </row>
    <row r="4620" spans="1:19" x14ac:dyDescent="0.35">
      <c r="A4620" s="26" t="s">
        <v>543</v>
      </c>
      <c r="B4620" s="26" t="s">
        <v>543</v>
      </c>
      <c r="C4620" s="26"/>
      <c r="D4620" s="26" t="s">
        <v>543</v>
      </c>
      <c r="E4620" s="26" t="str">
        <f>IFERROR(VLOOKUP(G4620,WholesaleExtract!B:J,9,FALSE),"")</f>
        <v/>
      </c>
      <c r="F4620" s="26" t="str">
        <f>IFERROR(VLOOKUP(G4620,WholesaleExtract!B:J,6,FALSE),"")</f>
        <v/>
      </c>
      <c r="H4620" s="47" t="str">
        <f>IFERROR(VLOOKUP(G4620,WholesaleExtract!B:L,11,FALSE),"")</f>
        <v/>
      </c>
      <c r="I4620" s="26" t="str">
        <f>IFERROR(VLOOKUP(G4620,WholesaleExtract!B:O,8,FALSE),"")</f>
        <v/>
      </c>
      <c r="J4620" s="26" t="str">
        <f>IFERROR(VLOOKUP(G4620,WholesaleExtract!B:O,14,FALSE),"")</f>
        <v/>
      </c>
      <c r="K4620" s="26" t="str">
        <f>IFERROR(VLOOKUP(G4620,WholesaleExtract!B:K,10,FALSE),"")</f>
        <v/>
      </c>
      <c r="L4620" s="47" t="str">
        <f>IFERROR(VLOOKUP(G4620,WholesaleExtract!B:L,11,FALSE),"")</f>
        <v/>
      </c>
      <c r="M4620" s="47" t="str">
        <f>IFERROR(VLOOKUP(G4620,WholesaleExtract!B:M,12,FALSE),"")</f>
        <v/>
      </c>
      <c r="R4620" s="19"/>
      <c r="S4620" s="19"/>
    </row>
    <row r="4621" spans="1:19" x14ac:dyDescent="0.35">
      <c r="A4621" s="26" t="s">
        <v>543</v>
      </c>
      <c r="B4621" s="26" t="s">
        <v>543</v>
      </c>
      <c r="C4621" s="26"/>
      <c r="D4621" s="26" t="s">
        <v>543</v>
      </c>
      <c r="E4621" s="26" t="str">
        <f>IFERROR(VLOOKUP(G4621,WholesaleExtract!B:J,9,FALSE),"")</f>
        <v/>
      </c>
      <c r="F4621" s="26" t="str">
        <f>IFERROR(VLOOKUP(G4621,WholesaleExtract!B:J,6,FALSE),"")</f>
        <v/>
      </c>
      <c r="H4621" s="47" t="str">
        <f>IFERROR(VLOOKUP(G4621,WholesaleExtract!B:L,11,FALSE),"")</f>
        <v/>
      </c>
      <c r="I4621" s="26" t="str">
        <f>IFERROR(VLOOKUP(G4621,WholesaleExtract!B:O,8,FALSE),"")</f>
        <v/>
      </c>
      <c r="J4621" s="26" t="str">
        <f>IFERROR(VLOOKUP(G4621,WholesaleExtract!B:O,14,FALSE),"")</f>
        <v/>
      </c>
      <c r="K4621" s="26" t="str">
        <f>IFERROR(VLOOKUP(G4621,WholesaleExtract!B:K,10,FALSE),"")</f>
        <v/>
      </c>
      <c r="L4621" s="47" t="str">
        <f>IFERROR(VLOOKUP(G4621,WholesaleExtract!B:L,11,FALSE),"")</f>
        <v/>
      </c>
      <c r="M4621" s="47" t="str">
        <f>IFERROR(VLOOKUP(G4621,WholesaleExtract!B:M,12,FALSE),"")</f>
        <v/>
      </c>
      <c r="R4621" s="19"/>
      <c r="S4621" s="19"/>
    </row>
    <row r="4622" spans="1:19" x14ac:dyDescent="0.35">
      <c r="A4622" s="26" t="s">
        <v>543</v>
      </c>
      <c r="B4622" s="26" t="s">
        <v>543</v>
      </c>
      <c r="C4622" s="26"/>
      <c r="D4622" s="26" t="s">
        <v>543</v>
      </c>
      <c r="E4622" s="26" t="str">
        <f>IFERROR(VLOOKUP(G4622,WholesaleExtract!B:J,9,FALSE),"")</f>
        <v/>
      </c>
      <c r="F4622" s="26" t="str">
        <f>IFERROR(VLOOKUP(G4622,WholesaleExtract!B:J,6,FALSE),"")</f>
        <v/>
      </c>
      <c r="H4622" s="47" t="str">
        <f>IFERROR(VLOOKUP(G4622,WholesaleExtract!B:L,11,FALSE),"")</f>
        <v/>
      </c>
      <c r="I4622" s="26" t="str">
        <f>IFERROR(VLOOKUP(G4622,WholesaleExtract!B:O,8,FALSE),"")</f>
        <v/>
      </c>
      <c r="J4622" s="26" t="str">
        <f>IFERROR(VLOOKUP(G4622,WholesaleExtract!B:O,14,FALSE),"")</f>
        <v/>
      </c>
      <c r="K4622" s="26" t="str">
        <f>IFERROR(VLOOKUP(G4622,WholesaleExtract!B:K,10,FALSE),"")</f>
        <v/>
      </c>
      <c r="L4622" s="47" t="str">
        <f>IFERROR(VLOOKUP(G4622,WholesaleExtract!B:L,11,FALSE),"")</f>
        <v/>
      </c>
      <c r="M4622" s="47" t="str">
        <f>IFERROR(VLOOKUP(G4622,WholesaleExtract!B:M,12,FALSE),"")</f>
        <v/>
      </c>
      <c r="R4622" s="19"/>
      <c r="S4622" s="19"/>
    </row>
    <row r="4623" spans="1:19" x14ac:dyDescent="0.35">
      <c r="A4623" s="26" t="s">
        <v>543</v>
      </c>
      <c r="B4623" s="26" t="s">
        <v>543</v>
      </c>
      <c r="C4623" s="26"/>
      <c r="D4623" s="26" t="s">
        <v>543</v>
      </c>
      <c r="E4623" s="26" t="str">
        <f>IFERROR(VLOOKUP(G4623,WholesaleExtract!B:J,9,FALSE),"")</f>
        <v/>
      </c>
      <c r="F4623" s="26" t="str">
        <f>IFERROR(VLOOKUP(G4623,WholesaleExtract!B:J,6,FALSE),"")</f>
        <v/>
      </c>
      <c r="H4623" s="47" t="str">
        <f>IFERROR(VLOOKUP(G4623,WholesaleExtract!B:L,11,FALSE),"")</f>
        <v/>
      </c>
      <c r="I4623" s="26" t="str">
        <f>IFERROR(VLOOKUP(G4623,WholesaleExtract!B:O,8,FALSE),"")</f>
        <v/>
      </c>
      <c r="J4623" s="26" t="str">
        <f>IFERROR(VLOOKUP(G4623,WholesaleExtract!B:O,14,FALSE),"")</f>
        <v/>
      </c>
      <c r="K4623" s="26" t="str">
        <f>IFERROR(VLOOKUP(G4623,WholesaleExtract!B:K,10,FALSE),"")</f>
        <v/>
      </c>
      <c r="L4623" s="47" t="str">
        <f>IFERROR(VLOOKUP(G4623,WholesaleExtract!B:L,11,FALSE),"")</f>
        <v/>
      </c>
      <c r="M4623" s="47" t="str">
        <f>IFERROR(VLOOKUP(G4623,WholesaleExtract!B:M,12,FALSE),"")</f>
        <v/>
      </c>
      <c r="R4623" s="19"/>
      <c r="S4623" s="19"/>
    </row>
    <row r="4624" spans="1:19" x14ac:dyDescent="0.35">
      <c r="A4624" s="26" t="s">
        <v>543</v>
      </c>
      <c r="B4624" s="26" t="s">
        <v>543</v>
      </c>
      <c r="C4624" s="26"/>
      <c r="D4624" s="26" t="s">
        <v>543</v>
      </c>
      <c r="E4624" s="26" t="str">
        <f>IFERROR(VLOOKUP(G4624,WholesaleExtract!B:J,9,FALSE),"")</f>
        <v/>
      </c>
      <c r="F4624" s="26" t="str">
        <f>IFERROR(VLOOKUP(G4624,WholesaleExtract!B:J,6,FALSE),"")</f>
        <v/>
      </c>
      <c r="H4624" s="47" t="str">
        <f>IFERROR(VLOOKUP(G4624,WholesaleExtract!B:L,11,FALSE),"")</f>
        <v/>
      </c>
      <c r="I4624" s="26" t="str">
        <f>IFERROR(VLOOKUP(G4624,WholesaleExtract!B:O,8,FALSE),"")</f>
        <v/>
      </c>
      <c r="J4624" s="26" t="str">
        <f>IFERROR(VLOOKUP(G4624,WholesaleExtract!B:O,14,FALSE),"")</f>
        <v/>
      </c>
      <c r="K4624" s="26" t="str">
        <f>IFERROR(VLOOKUP(G4624,WholesaleExtract!B:K,10,FALSE),"")</f>
        <v/>
      </c>
      <c r="L4624" s="47" t="str">
        <f>IFERROR(VLOOKUP(G4624,WholesaleExtract!B:L,11,FALSE),"")</f>
        <v/>
      </c>
      <c r="M4624" s="47" t="str">
        <f>IFERROR(VLOOKUP(G4624,WholesaleExtract!B:M,12,FALSE),"")</f>
        <v/>
      </c>
      <c r="R4624" s="19"/>
      <c r="S4624" s="19"/>
    </row>
    <row r="4625" spans="1:19" x14ac:dyDescent="0.35">
      <c r="A4625" s="26" t="s">
        <v>543</v>
      </c>
      <c r="B4625" s="26" t="s">
        <v>543</v>
      </c>
      <c r="C4625" s="26"/>
      <c r="D4625" s="26" t="s">
        <v>543</v>
      </c>
      <c r="E4625" s="26" t="str">
        <f>IFERROR(VLOOKUP(G4625,WholesaleExtract!B:J,9,FALSE),"")</f>
        <v/>
      </c>
      <c r="F4625" s="26" t="str">
        <f>IFERROR(VLOOKUP(G4625,WholesaleExtract!B:J,6,FALSE),"")</f>
        <v/>
      </c>
      <c r="H4625" s="47" t="str">
        <f>IFERROR(VLOOKUP(G4625,WholesaleExtract!B:L,11,FALSE),"")</f>
        <v/>
      </c>
      <c r="I4625" s="26" t="str">
        <f>IFERROR(VLOOKUP(G4625,WholesaleExtract!B:O,8,FALSE),"")</f>
        <v/>
      </c>
      <c r="J4625" s="26" t="str">
        <f>IFERROR(VLOOKUP(G4625,WholesaleExtract!B:O,14,FALSE),"")</f>
        <v/>
      </c>
      <c r="K4625" s="26" t="str">
        <f>IFERROR(VLOOKUP(G4625,WholesaleExtract!B:K,10,FALSE),"")</f>
        <v/>
      </c>
      <c r="L4625" s="47" t="str">
        <f>IFERROR(VLOOKUP(G4625,WholesaleExtract!B:L,11,FALSE),"")</f>
        <v/>
      </c>
      <c r="M4625" s="47" t="str">
        <f>IFERROR(VLOOKUP(G4625,WholesaleExtract!B:M,12,FALSE),"")</f>
        <v/>
      </c>
      <c r="R4625" s="19"/>
      <c r="S4625" s="19"/>
    </row>
    <row r="4626" spans="1:19" x14ac:dyDescent="0.35">
      <c r="A4626" s="26" t="s">
        <v>543</v>
      </c>
      <c r="B4626" s="26" t="s">
        <v>543</v>
      </c>
      <c r="C4626" s="26"/>
      <c r="D4626" s="26" t="s">
        <v>543</v>
      </c>
      <c r="E4626" s="26" t="str">
        <f>IFERROR(VLOOKUP(G4626,WholesaleExtract!B:J,9,FALSE),"")</f>
        <v/>
      </c>
      <c r="F4626" s="26" t="str">
        <f>IFERROR(VLOOKUP(G4626,WholesaleExtract!B:J,6,FALSE),"")</f>
        <v/>
      </c>
      <c r="H4626" s="47" t="str">
        <f>IFERROR(VLOOKUP(G4626,WholesaleExtract!B:L,11,FALSE),"")</f>
        <v/>
      </c>
      <c r="I4626" s="26" t="str">
        <f>IFERROR(VLOOKUP(G4626,WholesaleExtract!B:O,8,FALSE),"")</f>
        <v/>
      </c>
      <c r="J4626" s="26" t="str">
        <f>IFERROR(VLOOKUP(G4626,WholesaleExtract!B:O,14,FALSE),"")</f>
        <v/>
      </c>
      <c r="K4626" s="26" t="str">
        <f>IFERROR(VLOOKUP(G4626,WholesaleExtract!B:K,10,FALSE),"")</f>
        <v/>
      </c>
      <c r="L4626" s="47" t="str">
        <f>IFERROR(VLOOKUP(G4626,WholesaleExtract!B:L,11,FALSE),"")</f>
        <v/>
      </c>
      <c r="M4626" s="47" t="str">
        <f>IFERROR(VLOOKUP(G4626,WholesaleExtract!B:M,12,FALSE),"")</f>
        <v/>
      </c>
      <c r="R4626" s="19"/>
      <c r="S4626" s="19"/>
    </row>
    <row r="4627" spans="1:19" x14ac:dyDescent="0.35">
      <c r="A4627" s="26" t="s">
        <v>543</v>
      </c>
      <c r="B4627" s="26" t="s">
        <v>543</v>
      </c>
      <c r="C4627" s="26"/>
      <c r="D4627" s="26" t="s">
        <v>543</v>
      </c>
      <c r="E4627" s="26" t="str">
        <f>IFERROR(VLOOKUP(G4627,WholesaleExtract!B:J,9,FALSE),"")</f>
        <v/>
      </c>
      <c r="F4627" s="26" t="str">
        <f>IFERROR(VLOOKUP(G4627,WholesaleExtract!B:J,6,FALSE),"")</f>
        <v/>
      </c>
      <c r="H4627" s="47" t="str">
        <f>IFERROR(VLOOKUP(G4627,WholesaleExtract!B:L,11,FALSE),"")</f>
        <v/>
      </c>
      <c r="I4627" s="26" t="str">
        <f>IFERROR(VLOOKUP(G4627,WholesaleExtract!B:O,8,FALSE),"")</f>
        <v/>
      </c>
      <c r="J4627" s="26" t="str">
        <f>IFERROR(VLOOKUP(G4627,WholesaleExtract!B:O,14,FALSE),"")</f>
        <v/>
      </c>
      <c r="K4627" s="26" t="str">
        <f>IFERROR(VLOOKUP(G4627,WholesaleExtract!B:K,10,FALSE),"")</f>
        <v/>
      </c>
      <c r="L4627" s="47" t="str">
        <f>IFERROR(VLOOKUP(G4627,WholesaleExtract!B:L,11,FALSE),"")</f>
        <v/>
      </c>
      <c r="M4627" s="47" t="str">
        <f>IFERROR(VLOOKUP(G4627,WholesaleExtract!B:M,12,FALSE),"")</f>
        <v/>
      </c>
      <c r="R4627" s="19"/>
      <c r="S4627" s="19"/>
    </row>
    <row r="4628" spans="1:19" x14ac:dyDescent="0.35">
      <c r="A4628" s="26" t="s">
        <v>543</v>
      </c>
      <c r="B4628" s="26" t="s">
        <v>543</v>
      </c>
      <c r="C4628" s="26"/>
      <c r="D4628" s="26" t="s">
        <v>543</v>
      </c>
      <c r="E4628" s="26" t="str">
        <f>IFERROR(VLOOKUP(G4628,WholesaleExtract!B:J,9,FALSE),"")</f>
        <v/>
      </c>
      <c r="F4628" s="26" t="str">
        <f>IFERROR(VLOOKUP(G4628,WholesaleExtract!B:J,6,FALSE),"")</f>
        <v/>
      </c>
      <c r="H4628" s="47" t="str">
        <f>IFERROR(VLOOKUP(G4628,WholesaleExtract!B:L,11,FALSE),"")</f>
        <v/>
      </c>
      <c r="I4628" s="26" t="str">
        <f>IFERROR(VLOOKUP(G4628,WholesaleExtract!B:O,8,FALSE),"")</f>
        <v/>
      </c>
      <c r="J4628" s="26" t="str">
        <f>IFERROR(VLOOKUP(G4628,WholesaleExtract!B:O,14,FALSE),"")</f>
        <v/>
      </c>
      <c r="K4628" s="26" t="str">
        <f>IFERROR(VLOOKUP(G4628,WholesaleExtract!B:K,10,FALSE),"")</f>
        <v/>
      </c>
      <c r="L4628" s="47" t="str">
        <f>IFERROR(VLOOKUP(G4628,WholesaleExtract!B:L,11,FALSE),"")</f>
        <v/>
      </c>
      <c r="M4628" s="47" t="str">
        <f>IFERROR(VLOOKUP(G4628,WholesaleExtract!B:M,12,FALSE),"")</f>
        <v/>
      </c>
      <c r="R4628" s="19"/>
      <c r="S4628" s="19"/>
    </row>
    <row r="4629" spans="1:19" x14ac:dyDescent="0.35">
      <c r="A4629" s="26" t="s">
        <v>543</v>
      </c>
      <c r="B4629" s="26" t="s">
        <v>543</v>
      </c>
      <c r="C4629" s="26"/>
      <c r="D4629" s="26" t="s">
        <v>543</v>
      </c>
      <c r="E4629" s="26" t="str">
        <f>IFERROR(VLOOKUP(G4629,WholesaleExtract!B:J,9,FALSE),"")</f>
        <v/>
      </c>
      <c r="F4629" s="26" t="str">
        <f>IFERROR(VLOOKUP(G4629,WholesaleExtract!B:J,6,FALSE),"")</f>
        <v/>
      </c>
      <c r="H4629" s="47" t="str">
        <f>IFERROR(VLOOKUP(G4629,WholesaleExtract!B:L,11,FALSE),"")</f>
        <v/>
      </c>
      <c r="I4629" s="26" t="str">
        <f>IFERROR(VLOOKUP(G4629,WholesaleExtract!B:O,8,FALSE),"")</f>
        <v/>
      </c>
      <c r="J4629" s="26" t="str">
        <f>IFERROR(VLOOKUP(G4629,WholesaleExtract!B:O,14,FALSE),"")</f>
        <v/>
      </c>
      <c r="K4629" s="26" t="str">
        <f>IFERROR(VLOOKUP(G4629,WholesaleExtract!B:K,10,FALSE),"")</f>
        <v/>
      </c>
      <c r="L4629" s="47" t="str">
        <f>IFERROR(VLOOKUP(G4629,WholesaleExtract!B:L,11,FALSE),"")</f>
        <v/>
      </c>
      <c r="M4629" s="47" t="str">
        <f>IFERROR(VLOOKUP(G4629,WholesaleExtract!B:M,12,FALSE),"")</f>
        <v/>
      </c>
      <c r="R4629" s="19"/>
      <c r="S4629" s="19"/>
    </row>
    <row r="4630" spans="1:19" x14ac:dyDescent="0.35">
      <c r="A4630" s="26" t="s">
        <v>543</v>
      </c>
      <c r="B4630" s="26" t="s">
        <v>543</v>
      </c>
      <c r="C4630" s="26"/>
      <c r="D4630" s="26" t="s">
        <v>543</v>
      </c>
      <c r="E4630" s="26" t="str">
        <f>IFERROR(VLOOKUP(G4630,WholesaleExtract!B:J,9,FALSE),"")</f>
        <v/>
      </c>
      <c r="F4630" s="26" t="str">
        <f>IFERROR(VLOOKUP(G4630,WholesaleExtract!B:J,6,FALSE),"")</f>
        <v/>
      </c>
      <c r="H4630" s="47" t="str">
        <f>IFERROR(VLOOKUP(G4630,WholesaleExtract!B:L,11,FALSE),"")</f>
        <v/>
      </c>
      <c r="I4630" s="26" t="str">
        <f>IFERROR(VLOOKUP(G4630,WholesaleExtract!B:O,8,FALSE),"")</f>
        <v/>
      </c>
      <c r="J4630" s="26" t="str">
        <f>IFERROR(VLOOKUP(G4630,WholesaleExtract!B:O,14,FALSE),"")</f>
        <v/>
      </c>
      <c r="K4630" s="26" t="str">
        <f>IFERROR(VLOOKUP(G4630,WholesaleExtract!B:K,10,FALSE),"")</f>
        <v/>
      </c>
      <c r="L4630" s="47" t="str">
        <f>IFERROR(VLOOKUP(G4630,WholesaleExtract!B:L,11,FALSE),"")</f>
        <v/>
      </c>
      <c r="M4630" s="47" t="str">
        <f>IFERROR(VLOOKUP(G4630,WholesaleExtract!B:M,12,FALSE),"")</f>
        <v/>
      </c>
      <c r="R4630" s="19"/>
      <c r="S4630" s="19"/>
    </row>
    <row r="4631" spans="1:19" x14ac:dyDescent="0.35">
      <c r="A4631" s="26" t="s">
        <v>543</v>
      </c>
      <c r="B4631" s="26" t="s">
        <v>543</v>
      </c>
      <c r="C4631" s="26"/>
      <c r="D4631" s="26" t="s">
        <v>543</v>
      </c>
      <c r="E4631" s="26" t="str">
        <f>IFERROR(VLOOKUP(G4631,WholesaleExtract!B:J,9,FALSE),"")</f>
        <v/>
      </c>
      <c r="F4631" s="26" t="str">
        <f>IFERROR(VLOOKUP(G4631,WholesaleExtract!B:J,6,FALSE),"")</f>
        <v/>
      </c>
      <c r="H4631" s="47" t="str">
        <f>IFERROR(VLOOKUP(G4631,WholesaleExtract!B:L,11,FALSE),"")</f>
        <v/>
      </c>
      <c r="I4631" s="26" t="str">
        <f>IFERROR(VLOOKUP(G4631,WholesaleExtract!B:O,8,FALSE),"")</f>
        <v/>
      </c>
      <c r="J4631" s="26" t="str">
        <f>IFERROR(VLOOKUP(G4631,WholesaleExtract!B:O,14,FALSE),"")</f>
        <v/>
      </c>
      <c r="K4631" s="26" t="str">
        <f>IFERROR(VLOOKUP(G4631,WholesaleExtract!B:K,10,FALSE),"")</f>
        <v/>
      </c>
      <c r="L4631" s="47" t="str">
        <f>IFERROR(VLOOKUP(G4631,WholesaleExtract!B:L,11,FALSE),"")</f>
        <v/>
      </c>
      <c r="M4631" s="47" t="str">
        <f>IFERROR(VLOOKUP(G4631,WholesaleExtract!B:M,12,FALSE),"")</f>
        <v/>
      </c>
      <c r="R4631" s="19"/>
      <c r="S4631" s="19"/>
    </row>
    <row r="4632" spans="1:19" x14ac:dyDescent="0.35">
      <c r="A4632" s="26" t="s">
        <v>543</v>
      </c>
      <c r="B4632" s="26" t="s">
        <v>543</v>
      </c>
      <c r="C4632" s="26"/>
      <c r="D4632" s="26" t="s">
        <v>543</v>
      </c>
      <c r="E4632" s="26" t="str">
        <f>IFERROR(VLOOKUP(G4632,WholesaleExtract!B:J,9,FALSE),"")</f>
        <v/>
      </c>
      <c r="F4632" s="26" t="str">
        <f>IFERROR(VLOOKUP(G4632,WholesaleExtract!B:J,6,FALSE),"")</f>
        <v/>
      </c>
      <c r="H4632" s="47" t="str">
        <f>IFERROR(VLOOKUP(G4632,WholesaleExtract!B:L,11,FALSE),"")</f>
        <v/>
      </c>
      <c r="I4632" s="26" t="str">
        <f>IFERROR(VLOOKUP(G4632,WholesaleExtract!B:O,8,FALSE),"")</f>
        <v/>
      </c>
      <c r="J4632" s="26" t="str">
        <f>IFERROR(VLOOKUP(G4632,WholesaleExtract!B:O,14,FALSE),"")</f>
        <v/>
      </c>
      <c r="K4632" s="26" t="str">
        <f>IFERROR(VLOOKUP(G4632,WholesaleExtract!B:K,10,FALSE),"")</f>
        <v/>
      </c>
      <c r="L4632" s="47" t="str">
        <f>IFERROR(VLOOKUP(G4632,WholesaleExtract!B:L,11,FALSE),"")</f>
        <v/>
      </c>
      <c r="M4632" s="47" t="str">
        <f>IFERROR(VLOOKUP(G4632,WholesaleExtract!B:M,12,FALSE),"")</f>
        <v/>
      </c>
      <c r="R4632" s="19"/>
      <c r="S4632" s="19"/>
    </row>
    <row r="4633" spans="1:19" x14ac:dyDescent="0.35">
      <c r="A4633" s="26" t="s">
        <v>543</v>
      </c>
      <c r="B4633" s="26" t="s">
        <v>543</v>
      </c>
      <c r="C4633" s="26"/>
      <c r="D4633" s="26" t="s">
        <v>543</v>
      </c>
      <c r="E4633" s="26" t="str">
        <f>IFERROR(VLOOKUP(G4633,WholesaleExtract!B:J,9,FALSE),"")</f>
        <v/>
      </c>
      <c r="F4633" s="26" t="str">
        <f>IFERROR(VLOOKUP(G4633,WholesaleExtract!B:J,6,FALSE),"")</f>
        <v/>
      </c>
      <c r="H4633" s="47" t="str">
        <f>IFERROR(VLOOKUP(G4633,WholesaleExtract!B:L,11,FALSE),"")</f>
        <v/>
      </c>
      <c r="I4633" s="26" t="str">
        <f>IFERROR(VLOOKUP(G4633,WholesaleExtract!B:O,8,FALSE),"")</f>
        <v/>
      </c>
      <c r="J4633" s="26" t="str">
        <f>IFERROR(VLOOKUP(G4633,WholesaleExtract!B:O,14,FALSE),"")</f>
        <v/>
      </c>
      <c r="K4633" s="26" t="str">
        <f>IFERROR(VLOOKUP(G4633,WholesaleExtract!B:K,10,FALSE),"")</f>
        <v/>
      </c>
      <c r="L4633" s="47" t="str">
        <f>IFERROR(VLOOKUP(G4633,WholesaleExtract!B:L,11,FALSE),"")</f>
        <v/>
      </c>
      <c r="M4633" s="47" t="str">
        <f>IFERROR(VLOOKUP(G4633,WholesaleExtract!B:M,12,FALSE),"")</f>
        <v/>
      </c>
      <c r="R4633" s="19"/>
      <c r="S4633" s="19"/>
    </row>
    <row r="4634" spans="1:19" x14ac:dyDescent="0.35">
      <c r="A4634" s="26" t="s">
        <v>543</v>
      </c>
      <c r="B4634" s="26" t="s">
        <v>543</v>
      </c>
      <c r="C4634" s="26"/>
      <c r="D4634" s="26" t="s">
        <v>543</v>
      </c>
      <c r="E4634" s="26" t="str">
        <f>IFERROR(VLOOKUP(G4634,WholesaleExtract!B:J,9,FALSE),"")</f>
        <v/>
      </c>
      <c r="F4634" s="26" t="str">
        <f>IFERROR(VLOOKUP(G4634,WholesaleExtract!B:J,6,FALSE),"")</f>
        <v/>
      </c>
      <c r="H4634" s="47" t="str">
        <f>IFERROR(VLOOKUP(G4634,WholesaleExtract!B:L,11,FALSE),"")</f>
        <v/>
      </c>
      <c r="I4634" s="26" t="str">
        <f>IFERROR(VLOOKUP(G4634,WholesaleExtract!B:O,8,FALSE),"")</f>
        <v/>
      </c>
      <c r="J4634" s="26" t="str">
        <f>IFERROR(VLOOKUP(G4634,WholesaleExtract!B:O,14,FALSE),"")</f>
        <v/>
      </c>
      <c r="K4634" s="26" t="str">
        <f>IFERROR(VLOOKUP(G4634,WholesaleExtract!B:K,10,FALSE),"")</f>
        <v/>
      </c>
      <c r="L4634" s="47" t="str">
        <f>IFERROR(VLOOKUP(G4634,WholesaleExtract!B:L,11,FALSE),"")</f>
        <v/>
      </c>
      <c r="M4634" s="47" t="str">
        <f>IFERROR(VLOOKUP(G4634,WholesaleExtract!B:M,12,FALSE),"")</f>
        <v/>
      </c>
      <c r="R4634" s="19"/>
      <c r="S4634" s="19"/>
    </row>
    <row r="4635" spans="1:19" x14ac:dyDescent="0.35">
      <c r="A4635" s="26" t="s">
        <v>543</v>
      </c>
      <c r="B4635" s="26" t="s">
        <v>543</v>
      </c>
      <c r="C4635" s="26"/>
      <c r="D4635" s="26" t="s">
        <v>543</v>
      </c>
      <c r="E4635" s="26" t="str">
        <f>IFERROR(VLOOKUP(G4635,WholesaleExtract!B:J,9,FALSE),"")</f>
        <v/>
      </c>
      <c r="F4635" s="26" t="str">
        <f>IFERROR(VLOOKUP(G4635,WholesaleExtract!B:J,6,FALSE),"")</f>
        <v/>
      </c>
      <c r="H4635" s="47" t="str">
        <f>IFERROR(VLOOKUP(G4635,WholesaleExtract!B:L,11,FALSE),"")</f>
        <v/>
      </c>
      <c r="I4635" s="26" t="str">
        <f>IFERROR(VLOOKUP(G4635,WholesaleExtract!B:O,8,FALSE),"")</f>
        <v/>
      </c>
      <c r="J4635" s="26" t="str">
        <f>IFERROR(VLOOKUP(G4635,WholesaleExtract!B:O,14,FALSE),"")</f>
        <v/>
      </c>
      <c r="K4635" s="26" t="str">
        <f>IFERROR(VLOOKUP(G4635,WholesaleExtract!B:K,10,FALSE),"")</f>
        <v/>
      </c>
      <c r="L4635" s="47" t="str">
        <f>IFERROR(VLOOKUP(G4635,WholesaleExtract!B:L,11,FALSE),"")</f>
        <v/>
      </c>
      <c r="M4635" s="47" t="str">
        <f>IFERROR(VLOOKUP(G4635,WholesaleExtract!B:M,12,FALSE),"")</f>
        <v/>
      </c>
      <c r="R4635" s="19"/>
      <c r="S4635" s="19"/>
    </row>
    <row r="4636" spans="1:19" x14ac:dyDescent="0.35">
      <c r="A4636" s="26" t="s">
        <v>543</v>
      </c>
      <c r="B4636" s="26" t="s">
        <v>543</v>
      </c>
      <c r="C4636" s="26"/>
      <c r="D4636" s="26" t="s">
        <v>543</v>
      </c>
      <c r="E4636" s="26" t="str">
        <f>IFERROR(VLOOKUP(G4636,WholesaleExtract!B:J,9,FALSE),"")</f>
        <v/>
      </c>
      <c r="F4636" s="26" t="str">
        <f>IFERROR(VLOOKUP(G4636,WholesaleExtract!B:J,6,FALSE),"")</f>
        <v/>
      </c>
      <c r="H4636" s="47" t="str">
        <f>IFERROR(VLOOKUP(G4636,WholesaleExtract!B:L,11,FALSE),"")</f>
        <v/>
      </c>
      <c r="I4636" s="26" t="str">
        <f>IFERROR(VLOOKUP(G4636,WholesaleExtract!B:O,8,FALSE),"")</f>
        <v/>
      </c>
      <c r="J4636" s="26" t="str">
        <f>IFERROR(VLOOKUP(G4636,WholesaleExtract!B:O,14,FALSE),"")</f>
        <v/>
      </c>
      <c r="K4636" s="26" t="str">
        <f>IFERROR(VLOOKUP(G4636,WholesaleExtract!B:K,10,FALSE),"")</f>
        <v/>
      </c>
      <c r="L4636" s="47" t="str">
        <f>IFERROR(VLOOKUP(G4636,WholesaleExtract!B:L,11,FALSE),"")</f>
        <v/>
      </c>
      <c r="M4636" s="47" t="str">
        <f>IFERROR(VLOOKUP(G4636,WholesaleExtract!B:M,12,FALSE),"")</f>
        <v/>
      </c>
      <c r="R4636" s="19"/>
      <c r="S4636" s="19"/>
    </row>
    <row r="4637" spans="1:19" x14ac:dyDescent="0.35">
      <c r="A4637" s="26" t="s">
        <v>543</v>
      </c>
      <c r="B4637" s="26" t="s">
        <v>543</v>
      </c>
      <c r="C4637" s="26"/>
      <c r="D4637" s="26" t="s">
        <v>543</v>
      </c>
      <c r="E4637" s="26" t="str">
        <f>IFERROR(VLOOKUP(G4637,WholesaleExtract!B:J,9,FALSE),"")</f>
        <v/>
      </c>
      <c r="F4637" s="26" t="str">
        <f>IFERROR(VLOOKUP(G4637,WholesaleExtract!B:J,6,FALSE),"")</f>
        <v/>
      </c>
      <c r="H4637" s="47" t="str">
        <f>IFERROR(VLOOKUP(G4637,WholesaleExtract!B:L,11,FALSE),"")</f>
        <v/>
      </c>
      <c r="I4637" s="26" t="str">
        <f>IFERROR(VLOOKUP(G4637,WholesaleExtract!B:O,8,FALSE),"")</f>
        <v/>
      </c>
      <c r="J4637" s="26" t="str">
        <f>IFERROR(VLOOKUP(G4637,WholesaleExtract!B:O,14,FALSE),"")</f>
        <v/>
      </c>
      <c r="K4637" s="26" t="str">
        <f>IFERROR(VLOOKUP(G4637,WholesaleExtract!B:K,10,FALSE),"")</f>
        <v/>
      </c>
      <c r="L4637" s="47" t="str">
        <f>IFERROR(VLOOKUP(G4637,WholesaleExtract!B:L,11,FALSE),"")</f>
        <v/>
      </c>
      <c r="M4637" s="47" t="str">
        <f>IFERROR(VLOOKUP(G4637,WholesaleExtract!B:M,12,FALSE),"")</f>
        <v/>
      </c>
      <c r="R4637" s="19"/>
      <c r="S4637" s="19"/>
    </row>
    <row r="4638" spans="1:19" x14ac:dyDescent="0.35">
      <c r="A4638" s="26" t="s">
        <v>543</v>
      </c>
      <c r="B4638" s="26" t="s">
        <v>543</v>
      </c>
      <c r="C4638" s="26"/>
      <c r="D4638" s="26" t="s">
        <v>543</v>
      </c>
      <c r="E4638" s="26" t="str">
        <f>IFERROR(VLOOKUP(G4638,WholesaleExtract!B:J,9,FALSE),"")</f>
        <v/>
      </c>
      <c r="F4638" s="26" t="str">
        <f>IFERROR(VLOOKUP(G4638,WholesaleExtract!B:J,6,FALSE),"")</f>
        <v/>
      </c>
      <c r="H4638" s="47" t="str">
        <f>IFERROR(VLOOKUP(G4638,WholesaleExtract!B:L,11,FALSE),"")</f>
        <v/>
      </c>
      <c r="I4638" s="26" t="str">
        <f>IFERROR(VLOOKUP(G4638,WholesaleExtract!B:O,8,FALSE),"")</f>
        <v/>
      </c>
      <c r="J4638" s="26" t="str">
        <f>IFERROR(VLOOKUP(G4638,WholesaleExtract!B:O,14,FALSE),"")</f>
        <v/>
      </c>
      <c r="K4638" s="26" t="str">
        <f>IFERROR(VLOOKUP(G4638,WholesaleExtract!B:K,10,FALSE),"")</f>
        <v/>
      </c>
      <c r="L4638" s="47" t="str">
        <f>IFERROR(VLOOKUP(G4638,WholesaleExtract!B:L,11,FALSE),"")</f>
        <v/>
      </c>
      <c r="M4638" s="47" t="str">
        <f>IFERROR(VLOOKUP(G4638,WholesaleExtract!B:M,12,FALSE),"")</f>
        <v/>
      </c>
      <c r="R4638" s="19"/>
      <c r="S4638" s="19"/>
    </row>
    <row r="4639" spans="1:19" x14ac:dyDescent="0.35">
      <c r="A4639" s="26" t="s">
        <v>543</v>
      </c>
      <c r="B4639" s="26" t="s">
        <v>543</v>
      </c>
      <c r="C4639" s="26"/>
      <c r="D4639" s="26" t="s">
        <v>543</v>
      </c>
      <c r="E4639" s="26" t="str">
        <f>IFERROR(VLOOKUP(G4639,WholesaleExtract!B:J,9,FALSE),"")</f>
        <v/>
      </c>
      <c r="F4639" s="26" t="str">
        <f>IFERROR(VLOOKUP(G4639,WholesaleExtract!B:J,6,FALSE),"")</f>
        <v/>
      </c>
      <c r="H4639" s="47" t="str">
        <f>IFERROR(VLOOKUP(G4639,WholesaleExtract!B:L,11,FALSE),"")</f>
        <v/>
      </c>
      <c r="I4639" s="26" t="str">
        <f>IFERROR(VLOOKUP(G4639,WholesaleExtract!B:O,8,FALSE),"")</f>
        <v/>
      </c>
      <c r="J4639" s="26" t="str">
        <f>IFERROR(VLOOKUP(G4639,WholesaleExtract!B:O,14,FALSE),"")</f>
        <v/>
      </c>
      <c r="K4639" s="26" t="str">
        <f>IFERROR(VLOOKUP(G4639,WholesaleExtract!B:K,10,FALSE),"")</f>
        <v/>
      </c>
      <c r="L4639" s="47" t="str">
        <f>IFERROR(VLOOKUP(G4639,WholesaleExtract!B:L,11,FALSE),"")</f>
        <v/>
      </c>
      <c r="M4639" s="47" t="str">
        <f>IFERROR(VLOOKUP(G4639,WholesaleExtract!B:M,12,FALSE),"")</f>
        <v/>
      </c>
      <c r="R4639" s="19"/>
      <c r="S4639" s="19"/>
    </row>
    <row r="4640" spans="1:19" x14ac:dyDescent="0.35">
      <c r="A4640" s="26" t="s">
        <v>543</v>
      </c>
      <c r="B4640" s="26" t="s">
        <v>543</v>
      </c>
      <c r="C4640" s="26"/>
      <c r="D4640" s="26" t="s">
        <v>543</v>
      </c>
      <c r="E4640" s="26" t="str">
        <f>IFERROR(VLOOKUP(G4640,WholesaleExtract!B:J,9,FALSE),"")</f>
        <v/>
      </c>
      <c r="F4640" s="26" t="str">
        <f>IFERROR(VLOOKUP(G4640,WholesaleExtract!B:J,6,FALSE),"")</f>
        <v/>
      </c>
      <c r="H4640" s="47" t="str">
        <f>IFERROR(VLOOKUP(G4640,WholesaleExtract!B:L,11,FALSE),"")</f>
        <v/>
      </c>
      <c r="I4640" s="26" t="str">
        <f>IFERROR(VLOOKUP(G4640,WholesaleExtract!B:O,8,FALSE),"")</f>
        <v/>
      </c>
      <c r="J4640" s="26" t="str">
        <f>IFERROR(VLOOKUP(G4640,WholesaleExtract!B:O,14,FALSE),"")</f>
        <v/>
      </c>
      <c r="K4640" s="26" t="str">
        <f>IFERROR(VLOOKUP(G4640,WholesaleExtract!B:K,10,FALSE),"")</f>
        <v/>
      </c>
      <c r="L4640" s="47" t="str">
        <f>IFERROR(VLOOKUP(G4640,WholesaleExtract!B:L,11,FALSE),"")</f>
        <v/>
      </c>
      <c r="M4640" s="47" t="str">
        <f>IFERROR(VLOOKUP(G4640,WholesaleExtract!B:M,12,FALSE),"")</f>
        <v/>
      </c>
      <c r="R4640" s="19"/>
      <c r="S4640" s="19"/>
    </row>
    <row r="4641" spans="1:19" x14ac:dyDescent="0.35">
      <c r="A4641" s="26" t="s">
        <v>543</v>
      </c>
      <c r="B4641" s="26" t="s">
        <v>543</v>
      </c>
      <c r="C4641" s="26"/>
      <c r="D4641" s="26" t="s">
        <v>543</v>
      </c>
      <c r="E4641" s="26" t="str">
        <f>IFERROR(VLOOKUP(G4641,WholesaleExtract!B:J,9,FALSE),"")</f>
        <v/>
      </c>
      <c r="F4641" s="26" t="str">
        <f>IFERROR(VLOOKUP(G4641,WholesaleExtract!B:J,6,FALSE),"")</f>
        <v/>
      </c>
      <c r="H4641" s="47" t="str">
        <f>IFERROR(VLOOKUP(G4641,WholesaleExtract!B:L,11,FALSE),"")</f>
        <v/>
      </c>
      <c r="I4641" s="26" t="str">
        <f>IFERROR(VLOOKUP(G4641,WholesaleExtract!B:O,8,FALSE),"")</f>
        <v/>
      </c>
      <c r="J4641" s="26" t="str">
        <f>IFERROR(VLOOKUP(G4641,WholesaleExtract!B:O,14,FALSE),"")</f>
        <v/>
      </c>
      <c r="K4641" s="26" t="str">
        <f>IFERROR(VLOOKUP(G4641,WholesaleExtract!B:K,10,FALSE),"")</f>
        <v/>
      </c>
      <c r="L4641" s="47" t="str">
        <f>IFERROR(VLOOKUP(G4641,WholesaleExtract!B:L,11,FALSE),"")</f>
        <v/>
      </c>
      <c r="M4641" s="47" t="str">
        <f>IFERROR(VLOOKUP(G4641,WholesaleExtract!B:M,12,FALSE),"")</f>
        <v/>
      </c>
      <c r="R4641" s="19"/>
      <c r="S4641" s="19"/>
    </row>
    <row r="4642" spans="1:19" x14ac:dyDescent="0.35">
      <c r="A4642" s="26" t="s">
        <v>543</v>
      </c>
      <c r="B4642" s="26" t="s">
        <v>543</v>
      </c>
      <c r="C4642" s="26"/>
      <c r="D4642" s="26" t="s">
        <v>543</v>
      </c>
      <c r="E4642" s="26" t="str">
        <f>IFERROR(VLOOKUP(G4642,WholesaleExtract!B:J,9,FALSE),"")</f>
        <v/>
      </c>
      <c r="F4642" s="26" t="str">
        <f>IFERROR(VLOOKUP(G4642,WholesaleExtract!B:J,6,FALSE),"")</f>
        <v/>
      </c>
      <c r="H4642" s="47" t="str">
        <f>IFERROR(VLOOKUP(G4642,WholesaleExtract!B:L,11,FALSE),"")</f>
        <v/>
      </c>
      <c r="I4642" s="26" t="str">
        <f>IFERROR(VLOOKUP(G4642,WholesaleExtract!B:O,8,FALSE),"")</f>
        <v/>
      </c>
      <c r="J4642" s="26" t="str">
        <f>IFERROR(VLOOKUP(G4642,WholesaleExtract!B:O,14,FALSE),"")</f>
        <v/>
      </c>
      <c r="K4642" s="26" t="str">
        <f>IFERROR(VLOOKUP(G4642,WholesaleExtract!B:K,10,FALSE),"")</f>
        <v/>
      </c>
      <c r="L4642" s="47" t="str">
        <f>IFERROR(VLOOKUP(G4642,WholesaleExtract!B:L,11,FALSE),"")</f>
        <v/>
      </c>
      <c r="M4642" s="47" t="str">
        <f>IFERROR(VLOOKUP(G4642,WholesaleExtract!B:M,12,FALSE),"")</f>
        <v/>
      </c>
      <c r="R4642" s="19"/>
      <c r="S4642" s="19"/>
    </row>
    <row r="4643" spans="1:19" x14ac:dyDescent="0.35">
      <c r="A4643" s="26" t="s">
        <v>543</v>
      </c>
      <c r="B4643" s="26" t="s">
        <v>543</v>
      </c>
      <c r="C4643" s="26"/>
      <c r="D4643" s="26" t="s">
        <v>543</v>
      </c>
      <c r="E4643" s="26" t="str">
        <f>IFERROR(VLOOKUP(G4643,WholesaleExtract!B:J,9,FALSE),"")</f>
        <v/>
      </c>
      <c r="F4643" s="26" t="str">
        <f>IFERROR(VLOOKUP(G4643,WholesaleExtract!B:J,6,FALSE),"")</f>
        <v/>
      </c>
      <c r="H4643" s="47" t="str">
        <f>IFERROR(VLOOKUP(G4643,WholesaleExtract!B:L,11,FALSE),"")</f>
        <v/>
      </c>
      <c r="I4643" s="26" t="str">
        <f>IFERROR(VLOOKUP(G4643,WholesaleExtract!B:O,8,FALSE),"")</f>
        <v/>
      </c>
      <c r="J4643" s="26" t="str">
        <f>IFERROR(VLOOKUP(G4643,WholesaleExtract!B:O,14,FALSE),"")</f>
        <v/>
      </c>
      <c r="K4643" s="26" t="str">
        <f>IFERROR(VLOOKUP(G4643,WholesaleExtract!B:K,10,FALSE),"")</f>
        <v/>
      </c>
      <c r="L4643" s="47" t="str">
        <f>IFERROR(VLOOKUP(G4643,WholesaleExtract!B:L,11,FALSE),"")</f>
        <v/>
      </c>
      <c r="M4643" s="47" t="str">
        <f>IFERROR(VLOOKUP(G4643,WholesaleExtract!B:M,12,FALSE),"")</f>
        <v/>
      </c>
      <c r="R4643" s="19"/>
      <c r="S4643" s="19"/>
    </row>
    <row r="4644" spans="1:19" x14ac:dyDescent="0.35">
      <c r="A4644" s="26" t="s">
        <v>543</v>
      </c>
      <c r="B4644" s="26" t="s">
        <v>543</v>
      </c>
      <c r="C4644" s="26"/>
      <c r="D4644" s="26" t="s">
        <v>543</v>
      </c>
      <c r="E4644" s="26" t="str">
        <f>IFERROR(VLOOKUP(G4644,WholesaleExtract!B:J,9,FALSE),"")</f>
        <v/>
      </c>
      <c r="F4644" s="26" t="str">
        <f>IFERROR(VLOOKUP(G4644,WholesaleExtract!B:J,6,FALSE),"")</f>
        <v/>
      </c>
      <c r="H4644" s="47" t="str">
        <f>IFERROR(VLOOKUP(G4644,WholesaleExtract!B:L,11,FALSE),"")</f>
        <v/>
      </c>
      <c r="I4644" s="26" t="str">
        <f>IFERROR(VLOOKUP(G4644,WholesaleExtract!B:O,8,FALSE),"")</f>
        <v/>
      </c>
      <c r="J4644" s="26" t="str">
        <f>IFERROR(VLOOKUP(G4644,WholesaleExtract!B:O,14,FALSE),"")</f>
        <v/>
      </c>
      <c r="K4644" s="26" t="str">
        <f>IFERROR(VLOOKUP(G4644,WholesaleExtract!B:K,10,FALSE),"")</f>
        <v/>
      </c>
      <c r="L4644" s="47" t="str">
        <f>IFERROR(VLOOKUP(G4644,WholesaleExtract!B:L,11,FALSE),"")</f>
        <v/>
      </c>
      <c r="M4644" s="47" t="str">
        <f>IFERROR(VLOOKUP(G4644,WholesaleExtract!B:M,12,FALSE),"")</f>
        <v/>
      </c>
      <c r="R4644" s="19"/>
      <c r="S4644" s="19"/>
    </row>
    <row r="4645" spans="1:19" x14ac:dyDescent="0.35">
      <c r="A4645" s="26" t="s">
        <v>543</v>
      </c>
      <c r="B4645" s="26" t="s">
        <v>543</v>
      </c>
      <c r="C4645" s="26"/>
      <c r="D4645" s="26" t="s">
        <v>543</v>
      </c>
      <c r="E4645" s="26" t="str">
        <f>IFERROR(VLOOKUP(G4645,WholesaleExtract!B:J,9,FALSE),"")</f>
        <v/>
      </c>
      <c r="F4645" s="26" t="str">
        <f>IFERROR(VLOOKUP(G4645,WholesaleExtract!B:J,6,FALSE),"")</f>
        <v/>
      </c>
      <c r="H4645" s="47" t="str">
        <f>IFERROR(VLOOKUP(G4645,WholesaleExtract!B:L,11,FALSE),"")</f>
        <v/>
      </c>
      <c r="I4645" s="26" t="str">
        <f>IFERROR(VLOOKUP(G4645,WholesaleExtract!B:O,8,FALSE),"")</f>
        <v/>
      </c>
      <c r="J4645" s="26" t="str">
        <f>IFERROR(VLOOKUP(G4645,WholesaleExtract!B:O,14,FALSE),"")</f>
        <v/>
      </c>
      <c r="K4645" s="26" t="str">
        <f>IFERROR(VLOOKUP(G4645,WholesaleExtract!B:K,10,FALSE),"")</f>
        <v/>
      </c>
      <c r="L4645" s="47" t="str">
        <f>IFERROR(VLOOKUP(G4645,WholesaleExtract!B:L,11,FALSE),"")</f>
        <v/>
      </c>
      <c r="M4645" s="47" t="str">
        <f>IFERROR(VLOOKUP(G4645,WholesaleExtract!B:M,12,FALSE),"")</f>
        <v/>
      </c>
      <c r="R4645" s="19"/>
      <c r="S4645" s="19"/>
    </row>
    <row r="4646" spans="1:19" x14ac:dyDescent="0.35">
      <c r="A4646" s="26" t="s">
        <v>543</v>
      </c>
      <c r="B4646" s="26" t="s">
        <v>543</v>
      </c>
      <c r="C4646" s="26"/>
      <c r="D4646" s="26" t="s">
        <v>543</v>
      </c>
      <c r="E4646" s="26" t="str">
        <f>IFERROR(VLOOKUP(G4646,WholesaleExtract!B:J,9,FALSE),"")</f>
        <v/>
      </c>
      <c r="F4646" s="26" t="str">
        <f>IFERROR(VLOOKUP(G4646,WholesaleExtract!B:J,6,FALSE),"")</f>
        <v/>
      </c>
      <c r="H4646" s="47" t="str">
        <f>IFERROR(VLOOKUP(G4646,WholesaleExtract!B:L,11,FALSE),"")</f>
        <v/>
      </c>
      <c r="I4646" s="26" t="str">
        <f>IFERROR(VLOOKUP(G4646,WholesaleExtract!B:O,8,FALSE),"")</f>
        <v/>
      </c>
      <c r="J4646" s="26" t="str">
        <f>IFERROR(VLOOKUP(G4646,WholesaleExtract!B:O,14,FALSE),"")</f>
        <v/>
      </c>
      <c r="K4646" s="26" t="str">
        <f>IFERROR(VLOOKUP(G4646,WholesaleExtract!B:K,10,FALSE),"")</f>
        <v/>
      </c>
      <c r="L4646" s="47" t="str">
        <f>IFERROR(VLOOKUP(G4646,WholesaleExtract!B:L,11,FALSE),"")</f>
        <v/>
      </c>
      <c r="M4646" s="47" t="str">
        <f>IFERROR(VLOOKUP(G4646,WholesaleExtract!B:M,12,FALSE),"")</f>
        <v/>
      </c>
      <c r="R4646" s="19"/>
      <c r="S4646" s="19"/>
    </row>
    <row r="4647" spans="1:19" x14ac:dyDescent="0.35">
      <c r="A4647" s="26" t="s">
        <v>543</v>
      </c>
      <c r="B4647" s="26" t="s">
        <v>543</v>
      </c>
      <c r="C4647" s="26"/>
      <c r="D4647" s="26" t="s">
        <v>543</v>
      </c>
      <c r="E4647" s="26" t="str">
        <f>IFERROR(VLOOKUP(G4647,WholesaleExtract!B:J,9,FALSE),"")</f>
        <v/>
      </c>
      <c r="F4647" s="26" t="str">
        <f>IFERROR(VLOOKUP(G4647,WholesaleExtract!B:J,6,FALSE),"")</f>
        <v/>
      </c>
      <c r="H4647" s="47" t="str">
        <f>IFERROR(VLOOKUP(G4647,WholesaleExtract!B:L,11,FALSE),"")</f>
        <v/>
      </c>
      <c r="I4647" s="26" t="str">
        <f>IFERROR(VLOOKUP(G4647,WholesaleExtract!B:O,8,FALSE),"")</f>
        <v/>
      </c>
      <c r="J4647" s="26" t="str">
        <f>IFERROR(VLOOKUP(G4647,WholesaleExtract!B:O,14,FALSE),"")</f>
        <v/>
      </c>
      <c r="K4647" s="26" t="str">
        <f>IFERROR(VLOOKUP(G4647,WholesaleExtract!B:K,10,FALSE),"")</f>
        <v/>
      </c>
      <c r="L4647" s="47" t="str">
        <f>IFERROR(VLOOKUP(G4647,WholesaleExtract!B:L,11,FALSE),"")</f>
        <v/>
      </c>
      <c r="M4647" s="47" t="str">
        <f>IFERROR(VLOOKUP(G4647,WholesaleExtract!B:M,12,FALSE),"")</f>
        <v/>
      </c>
      <c r="R4647" s="19"/>
      <c r="S4647" s="19"/>
    </row>
    <row r="4648" spans="1:19" x14ac:dyDescent="0.35">
      <c r="A4648" s="26" t="s">
        <v>543</v>
      </c>
      <c r="B4648" s="26" t="s">
        <v>543</v>
      </c>
      <c r="C4648" s="26"/>
      <c r="D4648" s="26" t="s">
        <v>543</v>
      </c>
      <c r="E4648" s="26" t="str">
        <f>IFERROR(VLOOKUP(G4648,WholesaleExtract!B:J,9,FALSE),"")</f>
        <v/>
      </c>
      <c r="F4648" s="26" t="str">
        <f>IFERROR(VLOOKUP(G4648,WholesaleExtract!B:J,6,FALSE),"")</f>
        <v/>
      </c>
      <c r="H4648" s="47" t="str">
        <f>IFERROR(VLOOKUP(G4648,WholesaleExtract!B:L,11,FALSE),"")</f>
        <v/>
      </c>
      <c r="I4648" s="26" t="str">
        <f>IFERROR(VLOOKUP(G4648,WholesaleExtract!B:O,8,FALSE),"")</f>
        <v/>
      </c>
      <c r="J4648" s="26" t="str">
        <f>IFERROR(VLOOKUP(G4648,WholesaleExtract!B:O,14,FALSE),"")</f>
        <v/>
      </c>
      <c r="K4648" s="26" t="str">
        <f>IFERROR(VLOOKUP(G4648,WholesaleExtract!B:K,10,FALSE),"")</f>
        <v/>
      </c>
      <c r="L4648" s="47" t="str">
        <f>IFERROR(VLOOKUP(G4648,WholesaleExtract!B:L,11,FALSE),"")</f>
        <v/>
      </c>
      <c r="M4648" s="47" t="str">
        <f>IFERROR(VLOOKUP(G4648,WholesaleExtract!B:M,12,FALSE),"")</f>
        <v/>
      </c>
      <c r="R4648" s="19"/>
      <c r="S4648" s="19"/>
    </row>
    <row r="4649" spans="1:19" x14ac:dyDescent="0.35">
      <c r="A4649" s="26" t="s">
        <v>543</v>
      </c>
      <c r="B4649" s="26" t="s">
        <v>543</v>
      </c>
      <c r="C4649" s="26"/>
      <c r="D4649" s="26" t="s">
        <v>543</v>
      </c>
      <c r="E4649" s="26" t="str">
        <f>IFERROR(VLOOKUP(G4649,WholesaleExtract!B:J,9,FALSE),"")</f>
        <v/>
      </c>
      <c r="F4649" s="26" t="str">
        <f>IFERROR(VLOOKUP(G4649,WholesaleExtract!B:J,6,FALSE),"")</f>
        <v/>
      </c>
      <c r="H4649" s="47" t="str">
        <f>IFERROR(VLOOKUP(G4649,WholesaleExtract!B:L,11,FALSE),"")</f>
        <v/>
      </c>
      <c r="I4649" s="26" t="str">
        <f>IFERROR(VLOOKUP(G4649,WholesaleExtract!B:O,8,FALSE),"")</f>
        <v/>
      </c>
      <c r="J4649" s="26" t="str">
        <f>IFERROR(VLOOKUP(G4649,WholesaleExtract!B:O,14,FALSE),"")</f>
        <v/>
      </c>
      <c r="K4649" s="26" t="str">
        <f>IFERROR(VLOOKUP(G4649,WholesaleExtract!B:K,10,FALSE),"")</f>
        <v/>
      </c>
      <c r="L4649" s="47" t="str">
        <f>IFERROR(VLOOKUP(G4649,WholesaleExtract!B:L,11,FALSE),"")</f>
        <v/>
      </c>
      <c r="M4649" s="47" t="str">
        <f>IFERROR(VLOOKUP(G4649,WholesaleExtract!B:M,12,FALSE),"")</f>
        <v/>
      </c>
      <c r="R4649" s="19"/>
      <c r="S4649" s="19"/>
    </row>
    <row r="4650" spans="1:19" x14ac:dyDescent="0.35">
      <c r="A4650" s="26" t="s">
        <v>543</v>
      </c>
      <c r="B4650" s="26" t="s">
        <v>543</v>
      </c>
      <c r="C4650" s="26"/>
      <c r="D4650" s="26" t="s">
        <v>543</v>
      </c>
      <c r="E4650" s="26" t="str">
        <f>IFERROR(VLOOKUP(G4650,WholesaleExtract!B:J,9,FALSE),"")</f>
        <v/>
      </c>
      <c r="F4650" s="26" t="str">
        <f>IFERROR(VLOOKUP(G4650,WholesaleExtract!B:J,6,FALSE),"")</f>
        <v/>
      </c>
      <c r="H4650" s="47" t="str">
        <f>IFERROR(VLOOKUP(G4650,WholesaleExtract!B:L,11,FALSE),"")</f>
        <v/>
      </c>
      <c r="I4650" s="26" t="str">
        <f>IFERROR(VLOOKUP(G4650,WholesaleExtract!B:O,8,FALSE),"")</f>
        <v/>
      </c>
      <c r="J4650" s="26" t="str">
        <f>IFERROR(VLOOKUP(G4650,WholesaleExtract!B:O,14,FALSE),"")</f>
        <v/>
      </c>
      <c r="K4650" s="26" t="str">
        <f>IFERROR(VLOOKUP(G4650,WholesaleExtract!B:K,10,FALSE),"")</f>
        <v/>
      </c>
      <c r="L4650" s="47" t="str">
        <f>IFERROR(VLOOKUP(G4650,WholesaleExtract!B:L,11,FALSE),"")</f>
        <v/>
      </c>
      <c r="M4650" s="47" t="str">
        <f>IFERROR(VLOOKUP(G4650,WholesaleExtract!B:M,12,FALSE),"")</f>
        <v/>
      </c>
      <c r="R4650" s="19"/>
      <c r="S4650" s="19"/>
    </row>
    <row r="4651" spans="1:19" x14ac:dyDescent="0.35">
      <c r="A4651" s="26" t="s">
        <v>543</v>
      </c>
      <c r="B4651" s="26" t="s">
        <v>543</v>
      </c>
      <c r="C4651" s="26"/>
      <c r="D4651" s="26" t="s">
        <v>543</v>
      </c>
      <c r="E4651" s="26" t="str">
        <f>IFERROR(VLOOKUP(G4651,WholesaleExtract!B:J,9,FALSE),"")</f>
        <v/>
      </c>
      <c r="F4651" s="26" t="str">
        <f>IFERROR(VLOOKUP(G4651,WholesaleExtract!B:J,6,FALSE),"")</f>
        <v/>
      </c>
      <c r="H4651" s="47" t="str">
        <f>IFERROR(VLOOKUP(G4651,WholesaleExtract!B:L,11,FALSE),"")</f>
        <v/>
      </c>
      <c r="I4651" s="26" t="str">
        <f>IFERROR(VLOOKUP(G4651,WholesaleExtract!B:O,8,FALSE),"")</f>
        <v/>
      </c>
      <c r="J4651" s="26" t="str">
        <f>IFERROR(VLOOKUP(G4651,WholesaleExtract!B:O,14,FALSE),"")</f>
        <v/>
      </c>
      <c r="K4651" s="26" t="str">
        <f>IFERROR(VLOOKUP(G4651,WholesaleExtract!B:K,10,FALSE),"")</f>
        <v/>
      </c>
      <c r="L4651" s="47" t="str">
        <f>IFERROR(VLOOKUP(G4651,WholesaleExtract!B:L,11,FALSE),"")</f>
        <v/>
      </c>
      <c r="M4651" s="47" t="str">
        <f>IFERROR(VLOOKUP(G4651,WholesaleExtract!B:M,12,FALSE),"")</f>
        <v/>
      </c>
      <c r="R4651" s="19"/>
      <c r="S4651" s="19"/>
    </row>
    <row r="4652" spans="1:19" x14ac:dyDescent="0.35">
      <c r="A4652" s="26" t="s">
        <v>543</v>
      </c>
      <c r="B4652" s="26" t="s">
        <v>543</v>
      </c>
      <c r="C4652" s="26"/>
      <c r="D4652" s="26" t="s">
        <v>543</v>
      </c>
      <c r="E4652" s="26" t="str">
        <f>IFERROR(VLOOKUP(G4652,WholesaleExtract!B:J,9,FALSE),"")</f>
        <v/>
      </c>
      <c r="F4652" s="26" t="str">
        <f>IFERROR(VLOOKUP(G4652,WholesaleExtract!B:J,6,FALSE),"")</f>
        <v/>
      </c>
      <c r="H4652" s="47" t="str">
        <f>IFERROR(VLOOKUP(G4652,WholesaleExtract!B:L,11,FALSE),"")</f>
        <v/>
      </c>
      <c r="I4652" s="26" t="str">
        <f>IFERROR(VLOOKUP(G4652,WholesaleExtract!B:O,8,FALSE),"")</f>
        <v/>
      </c>
      <c r="J4652" s="26" t="str">
        <f>IFERROR(VLOOKUP(G4652,WholesaleExtract!B:O,14,FALSE),"")</f>
        <v/>
      </c>
      <c r="K4652" s="26" t="str">
        <f>IFERROR(VLOOKUP(G4652,WholesaleExtract!B:K,10,FALSE),"")</f>
        <v/>
      </c>
      <c r="L4652" s="47" t="str">
        <f>IFERROR(VLOOKUP(G4652,WholesaleExtract!B:L,11,FALSE),"")</f>
        <v/>
      </c>
      <c r="M4652" s="47" t="str">
        <f>IFERROR(VLOOKUP(G4652,WholesaleExtract!B:M,12,FALSE),"")</f>
        <v/>
      </c>
      <c r="R4652" s="19"/>
      <c r="S4652" s="19"/>
    </row>
    <row r="4653" spans="1:19" x14ac:dyDescent="0.35">
      <c r="A4653" s="26" t="s">
        <v>543</v>
      </c>
      <c r="B4653" s="26" t="s">
        <v>543</v>
      </c>
      <c r="C4653" s="26"/>
      <c r="D4653" s="26" t="s">
        <v>543</v>
      </c>
      <c r="E4653" s="26" t="str">
        <f>IFERROR(VLOOKUP(G4653,WholesaleExtract!B:J,9,FALSE),"")</f>
        <v/>
      </c>
      <c r="F4653" s="26" t="str">
        <f>IFERROR(VLOOKUP(G4653,WholesaleExtract!B:J,6,FALSE),"")</f>
        <v/>
      </c>
      <c r="H4653" s="47" t="str">
        <f>IFERROR(VLOOKUP(G4653,WholesaleExtract!B:L,11,FALSE),"")</f>
        <v/>
      </c>
      <c r="I4653" s="26" t="str">
        <f>IFERROR(VLOOKUP(G4653,WholesaleExtract!B:O,8,FALSE),"")</f>
        <v/>
      </c>
      <c r="J4653" s="26" t="str">
        <f>IFERROR(VLOOKUP(G4653,WholesaleExtract!B:O,14,FALSE),"")</f>
        <v/>
      </c>
      <c r="K4653" s="26" t="str">
        <f>IFERROR(VLOOKUP(G4653,WholesaleExtract!B:K,10,FALSE),"")</f>
        <v/>
      </c>
      <c r="L4653" s="47" t="str">
        <f>IFERROR(VLOOKUP(G4653,WholesaleExtract!B:L,11,FALSE),"")</f>
        <v/>
      </c>
      <c r="M4653" s="47" t="str">
        <f>IFERROR(VLOOKUP(G4653,WholesaleExtract!B:M,12,FALSE),"")</f>
        <v/>
      </c>
      <c r="R4653" s="19"/>
      <c r="S4653" s="19"/>
    </row>
    <row r="4654" spans="1:19" x14ac:dyDescent="0.35">
      <c r="A4654" s="26" t="s">
        <v>543</v>
      </c>
      <c r="B4654" s="26" t="s">
        <v>543</v>
      </c>
      <c r="C4654" s="26"/>
      <c r="D4654" s="26" t="s">
        <v>543</v>
      </c>
      <c r="E4654" s="26" t="str">
        <f>IFERROR(VLOOKUP(G4654,WholesaleExtract!B:J,9,FALSE),"")</f>
        <v/>
      </c>
      <c r="F4654" s="26" t="str">
        <f>IFERROR(VLOOKUP(G4654,WholesaleExtract!B:J,6,FALSE),"")</f>
        <v/>
      </c>
      <c r="H4654" s="47" t="str">
        <f>IFERROR(VLOOKUP(G4654,WholesaleExtract!B:L,11,FALSE),"")</f>
        <v/>
      </c>
      <c r="I4654" s="26" t="str">
        <f>IFERROR(VLOOKUP(G4654,WholesaleExtract!B:O,8,FALSE),"")</f>
        <v/>
      </c>
      <c r="J4654" s="26" t="str">
        <f>IFERROR(VLOOKUP(G4654,WholesaleExtract!B:O,14,FALSE),"")</f>
        <v/>
      </c>
      <c r="K4654" s="26" t="str">
        <f>IFERROR(VLOOKUP(G4654,WholesaleExtract!B:K,10,FALSE),"")</f>
        <v/>
      </c>
      <c r="L4654" s="47" t="str">
        <f>IFERROR(VLOOKUP(G4654,WholesaleExtract!B:L,11,FALSE),"")</f>
        <v/>
      </c>
      <c r="M4654" s="47" t="str">
        <f>IFERROR(VLOOKUP(G4654,WholesaleExtract!B:M,12,FALSE),"")</f>
        <v/>
      </c>
      <c r="R4654" s="19"/>
      <c r="S4654" s="19"/>
    </row>
    <row r="4655" spans="1:19" x14ac:dyDescent="0.35">
      <c r="A4655" s="26" t="s">
        <v>543</v>
      </c>
      <c r="B4655" s="26" t="s">
        <v>543</v>
      </c>
      <c r="C4655" s="26"/>
      <c r="D4655" s="26" t="s">
        <v>543</v>
      </c>
      <c r="E4655" s="26" t="str">
        <f>IFERROR(VLOOKUP(G4655,WholesaleExtract!B:J,9,FALSE),"")</f>
        <v/>
      </c>
      <c r="F4655" s="26" t="str">
        <f>IFERROR(VLOOKUP(G4655,WholesaleExtract!B:J,6,FALSE),"")</f>
        <v/>
      </c>
      <c r="H4655" s="47" t="str">
        <f>IFERROR(VLOOKUP(G4655,WholesaleExtract!B:L,11,FALSE),"")</f>
        <v/>
      </c>
      <c r="I4655" s="26" t="str">
        <f>IFERROR(VLOOKUP(G4655,WholesaleExtract!B:O,8,FALSE),"")</f>
        <v/>
      </c>
      <c r="J4655" s="26" t="str">
        <f>IFERROR(VLOOKUP(G4655,WholesaleExtract!B:O,14,FALSE),"")</f>
        <v/>
      </c>
      <c r="K4655" s="26" t="str">
        <f>IFERROR(VLOOKUP(G4655,WholesaleExtract!B:K,10,FALSE),"")</f>
        <v/>
      </c>
      <c r="L4655" s="47" t="str">
        <f>IFERROR(VLOOKUP(G4655,WholesaleExtract!B:L,11,FALSE),"")</f>
        <v/>
      </c>
      <c r="M4655" s="47" t="str">
        <f>IFERROR(VLOOKUP(G4655,WholesaleExtract!B:M,12,FALSE),"")</f>
        <v/>
      </c>
      <c r="R4655" s="19"/>
      <c r="S4655" s="19"/>
    </row>
    <row r="4656" spans="1:19" x14ac:dyDescent="0.35">
      <c r="A4656" s="26" t="s">
        <v>543</v>
      </c>
      <c r="B4656" s="26" t="s">
        <v>543</v>
      </c>
      <c r="C4656" s="26"/>
      <c r="D4656" s="26" t="s">
        <v>543</v>
      </c>
      <c r="E4656" s="26" t="str">
        <f>IFERROR(VLOOKUP(G4656,WholesaleExtract!B:J,9,FALSE),"")</f>
        <v/>
      </c>
      <c r="F4656" s="26" t="str">
        <f>IFERROR(VLOOKUP(G4656,WholesaleExtract!B:J,6,FALSE),"")</f>
        <v/>
      </c>
      <c r="H4656" s="47" t="str">
        <f>IFERROR(VLOOKUP(G4656,WholesaleExtract!B:L,11,FALSE),"")</f>
        <v/>
      </c>
      <c r="I4656" s="26" t="str">
        <f>IFERROR(VLOOKUP(G4656,WholesaleExtract!B:O,8,FALSE),"")</f>
        <v/>
      </c>
      <c r="J4656" s="26" t="str">
        <f>IFERROR(VLOOKUP(G4656,WholesaleExtract!B:O,14,FALSE),"")</f>
        <v/>
      </c>
      <c r="K4656" s="26" t="str">
        <f>IFERROR(VLOOKUP(G4656,WholesaleExtract!B:K,10,FALSE),"")</f>
        <v/>
      </c>
      <c r="L4656" s="47" t="str">
        <f>IFERROR(VLOOKUP(G4656,WholesaleExtract!B:L,11,FALSE),"")</f>
        <v/>
      </c>
      <c r="M4656" s="47" t="str">
        <f>IFERROR(VLOOKUP(G4656,WholesaleExtract!B:M,12,FALSE),"")</f>
        <v/>
      </c>
      <c r="R4656" s="19"/>
      <c r="S4656" s="19"/>
    </row>
    <row r="4657" spans="1:19" x14ac:dyDescent="0.35">
      <c r="A4657" s="26" t="s">
        <v>543</v>
      </c>
      <c r="B4657" s="26" t="s">
        <v>543</v>
      </c>
      <c r="C4657" s="26"/>
      <c r="D4657" s="26" t="s">
        <v>543</v>
      </c>
      <c r="E4657" s="26" t="str">
        <f>IFERROR(VLOOKUP(G4657,WholesaleExtract!B:J,9,FALSE),"")</f>
        <v/>
      </c>
      <c r="F4657" s="26" t="str">
        <f>IFERROR(VLOOKUP(G4657,WholesaleExtract!B:J,6,FALSE),"")</f>
        <v/>
      </c>
      <c r="H4657" s="47" t="str">
        <f>IFERROR(VLOOKUP(G4657,WholesaleExtract!B:L,11,FALSE),"")</f>
        <v/>
      </c>
      <c r="I4657" s="26" t="str">
        <f>IFERROR(VLOOKUP(G4657,WholesaleExtract!B:O,8,FALSE),"")</f>
        <v/>
      </c>
      <c r="J4657" s="26" t="str">
        <f>IFERROR(VLOOKUP(G4657,WholesaleExtract!B:O,14,FALSE),"")</f>
        <v/>
      </c>
      <c r="K4657" s="26" t="str">
        <f>IFERROR(VLOOKUP(G4657,WholesaleExtract!B:K,10,FALSE),"")</f>
        <v/>
      </c>
      <c r="L4657" s="47" t="str">
        <f>IFERROR(VLOOKUP(G4657,WholesaleExtract!B:L,11,FALSE),"")</f>
        <v/>
      </c>
      <c r="M4657" s="47" t="str">
        <f>IFERROR(VLOOKUP(G4657,WholesaleExtract!B:M,12,FALSE),"")</f>
        <v/>
      </c>
      <c r="R4657" s="19"/>
      <c r="S4657" s="19"/>
    </row>
    <row r="4658" spans="1:19" x14ac:dyDescent="0.35">
      <c r="A4658" s="26" t="s">
        <v>543</v>
      </c>
      <c r="B4658" s="26" t="s">
        <v>543</v>
      </c>
      <c r="C4658" s="26"/>
      <c r="D4658" s="26" t="s">
        <v>543</v>
      </c>
      <c r="E4658" s="26" t="str">
        <f>IFERROR(VLOOKUP(G4658,WholesaleExtract!B:J,9,FALSE),"")</f>
        <v/>
      </c>
      <c r="F4658" s="26" t="str">
        <f>IFERROR(VLOOKUP(G4658,WholesaleExtract!B:J,6,FALSE),"")</f>
        <v/>
      </c>
      <c r="H4658" s="47" t="str">
        <f>IFERROR(VLOOKUP(G4658,WholesaleExtract!B:L,11,FALSE),"")</f>
        <v/>
      </c>
      <c r="I4658" s="26" t="str">
        <f>IFERROR(VLOOKUP(G4658,WholesaleExtract!B:O,8,FALSE),"")</f>
        <v/>
      </c>
      <c r="J4658" s="26" t="str">
        <f>IFERROR(VLOOKUP(G4658,WholesaleExtract!B:O,14,FALSE),"")</f>
        <v/>
      </c>
      <c r="K4658" s="26" t="str">
        <f>IFERROR(VLOOKUP(G4658,WholesaleExtract!B:K,10,FALSE),"")</f>
        <v/>
      </c>
      <c r="L4658" s="47" t="str">
        <f>IFERROR(VLOOKUP(G4658,WholesaleExtract!B:L,11,FALSE),"")</f>
        <v/>
      </c>
      <c r="M4658" s="47" t="str">
        <f>IFERROR(VLOOKUP(G4658,WholesaleExtract!B:M,12,FALSE),"")</f>
        <v/>
      </c>
      <c r="R4658" s="19"/>
      <c r="S4658" s="19"/>
    </row>
    <row r="4659" spans="1:19" x14ac:dyDescent="0.35">
      <c r="A4659" s="26" t="s">
        <v>543</v>
      </c>
      <c r="B4659" s="26" t="s">
        <v>543</v>
      </c>
      <c r="C4659" s="26"/>
      <c r="D4659" s="26" t="s">
        <v>543</v>
      </c>
      <c r="E4659" s="26" t="str">
        <f>IFERROR(VLOOKUP(G4659,WholesaleExtract!B:J,9,FALSE),"")</f>
        <v/>
      </c>
      <c r="F4659" s="26" t="str">
        <f>IFERROR(VLOOKUP(G4659,WholesaleExtract!B:J,6,FALSE),"")</f>
        <v/>
      </c>
      <c r="H4659" s="47" t="str">
        <f>IFERROR(VLOOKUP(G4659,WholesaleExtract!B:L,11,FALSE),"")</f>
        <v/>
      </c>
      <c r="I4659" s="26" t="str">
        <f>IFERROR(VLOOKUP(G4659,WholesaleExtract!B:O,8,FALSE),"")</f>
        <v/>
      </c>
      <c r="J4659" s="26" t="str">
        <f>IFERROR(VLOOKUP(G4659,WholesaleExtract!B:O,14,FALSE),"")</f>
        <v/>
      </c>
      <c r="K4659" s="26" t="str">
        <f>IFERROR(VLOOKUP(G4659,WholesaleExtract!B:K,10,FALSE),"")</f>
        <v/>
      </c>
      <c r="L4659" s="47" t="str">
        <f>IFERROR(VLOOKUP(G4659,WholesaleExtract!B:L,11,FALSE),"")</f>
        <v/>
      </c>
      <c r="M4659" s="47" t="str">
        <f>IFERROR(VLOOKUP(G4659,WholesaleExtract!B:M,12,FALSE),"")</f>
        <v/>
      </c>
      <c r="R4659" s="19"/>
      <c r="S4659" s="19"/>
    </row>
    <row r="4660" spans="1:19" x14ac:dyDescent="0.35">
      <c r="A4660" s="26" t="s">
        <v>543</v>
      </c>
      <c r="B4660" s="26" t="s">
        <v>543</v>
      </c>
      <c r="C4660" s="26"/>
      <c r="D4660" s="26" t="s">
        <v>543</v>
      </c>
      <c r="E4660" s="26" t="str">
        <f>IFERROR(VLOOKUP(G4660,WholesaleExtract!B:J,9,FALSE),"")</f>
        <v/>
      </c>
      <c r="F4660" s="26" t="str">
        <f>IFERROR(VLOOKUP(G4660,WholesaleExtract!B:J,6,FALSE),"")</f>
        <v/>
      </c>
      <c r="H4660" s="47" t="str">
        <f>IFERROR(VLOOKUP(G4660,WholesaleExtract!B:L,11,FALSE),"")</f>
        <v/>
      </c>
      <c r="I4660" s="26" t="str">
        <f>IFERROR(VLOOKUP(G4660,WholesaleExtract!B:O,8,FALSE),"")</f>
        <v/>
      </c>
      <c r="J4660" s="26" t="str">
        <f>IFERROR(VLOOKUP(G4660,WholesaleExtract!B:O,14,FALSE),"")</f>
        <v/>
      </c>
      <c r="K4660" s="26" t="str">
        <f>IFERROR(VLOOKUP(G4660,WholesaleExtract!B:K,10,FALSE),"")</f>
        <v/>
      </c>
      <c r="L4660" s="47" t="str">
        <f>IFERROR(VLOOKUP(G4660,WholesaleExtract!B:L,11,FALSE),"")</f>
        <v/>
      </c>
      <c r="M4660" s="47" t="str">
        <f>IFERROR(VLOOKUP(G4660,WholesaleExtract!B:M,12,FALSE),"")</f>
        <v/>
      </c>
      <c r="R4660" s="19"/>
      <c r="S4660" s="19"/>
    </row>
    <row r="4661" spans="1:19" x14ac:dyDescent="0.35">
      <c r="A4661" s="26" t="s">
        <v>543</v>
      </c>
      <c r="B4661" s="26" t="s">
        <v>543</v>
      </c>
      <c r="C4661" s="26"/>
      <c r="D4661" s="26" t="s">
        <v>543</v>
      </c>
      <c r="E4661" s="26" t="str">
        <f>IFERROR(VLOOKUP(G4661,WholesaleExtract!B:J,9,FALSE),"")</f>
        <v/>
      </c>
      <c r="F4661" s="26" t="str">
        <f>IFERROR(VLOOKUP(G4661,WholesaleExtract!B:J,6,FALSE),"")</f>
        <v/>
      </c>
      <c r="H4661" s="47" t="str">
        <f>IFERROR(VLOOKUP(G4661,WholesaleExtract!B:L,11,FALSE),"")</f>
        <v/>
      </c>
      <c r="I4661" s="26" t="str">
        <f>IFERROR(VLOOKUP(G4661,WholesaleExtract!B:O,8,FALSE),"")</f>
        <v/>
      </c>
      <c r="J4661" s="26" t="str">
        <f>IFERROR(VLOOKUP(G4661,WholesaleExtract!B:O,14,FALSE),"")</f>
        <v/>
      </c>
      <c r="K4661" s="26" t="str">
        <f>IFERROR(VLOOKUP(G4661,WholesaleExtract!B:K,10,FALSE),"")</f>
        <v/>
      </c>
      <c r="L4661" s="47" t="str">
        <f>IFERROR(VLOOKUP(G4661,WholesaleExtract!B:L,11,FALSE),"")</f>
        <v/>
      </c>
      <c r="M4661" s="47" t="str">
        <f>IFERROR(VLOOKUP(G4661,WholesaleExtract!B:M,12,FALSE),"")</f>
        <v/>
      </c>
      <c r="R4661" s="19"/>
      <c r="S4661" s="19"/>
    </row>
    <row r="4662" spans="1:19" x14ac:dyDescent="0.35">
      <c r="A4662" s="26" t="s">
        <v>543</v>
      </c>
      <c r="B4662" s="26" t="s">
        <v>543</v>
      </c>
      <c r="C4662" s="26"/>
      <c r="D4662" s="26" t="s">
        <v>543</v>
      </c>
      <c r="E4662" s="26" t="str">
        <f>IFERROR(VLOOKUP(G4662,WholesaleExtract!B:J,9,FALSE),"")</f>
        <v/>
      </c>
      <c r="F4662" s="26" t="str">
        <f>IFERROR(VLOOKUP(G4662,WholesaleExtract!B:J,6,FALSE),"")</f>
        <v/>
      </c>
      <c r="H4662" s="47" t="str">
        <f>IFERROR(VLOOKUP(G4662,WholesaleExtract!B:L,11,FALSE),"")</f>
        <v/>
      </c>
      <c r="I4662" s="26" t="str">
        <f>IFERROR(VLOOKUP(G4662,WholesaleExtract!B:O,8,FALSE),"")</f>
        <v/>
      </c>
      <c r="J4662" s="26" t="str">
        <f>IFERROR(VLOOKUP(G4662,WholesaleExtract!B:O,14,FALSE),"")</f>
        <v/>
      </c>
      <c r="K4662" s="26" t="str">
        <f>IFERROR(VLOOKUP(G4662,WholesaleExtract!B:K,10,FALSE),"")</f>
        <v/>
      </c>
      <c r="L4662" s="47" t="str">
        <f>IFERROR(VLOOKUP(G4662,WholesaleExtract!B:L,11,FALSE),"")</f>
        <v/>
      </c>
      <c r="M4662" s="47" t="str">
        <f>IFERROR(VLOOKUP(G4662,WholesaleExtract!B:M,12,FALSE),"")</f>
        <v/>
      </c>
      <c r="R4662" s="19"/>
      <c r="S4662" s="19"/>
    </row>
    <row r="4663" spans="1:19" x14ac:dyDescent="0.35">
      <c r="A4663" s="26" t="s">
        <v>543</v>
      </c>
      <c r="B4663" s="26" t="s">
        <v>543</v>
      </c>
      <c r="C4663" s="26"/>
      <c r="D4663" s="26" t="s">
        <v>543</v>
      </c>
      <c r="E4663" s="26" t="str">
        <f>IFERROR(VLOOKUP(G4663,WholesaleExtract!B:J,9,FALSE),"")</f>
        <v/>
      </c>
      <c r="F4663" s="26" t="str">
        <f>IFERROR(VLOOKUP(G4663,WholesaleExtract!B:J,6,FALSE),"")</f>
        <v/>
      </c>
      <c r="H4663" s="47" t="str">
        <f>IFERROR(VLOOKUP(G4663,WholesaleExtract!B:L,11,FALSE),"")</f>
        <v/>
      </c>
      <c r="I4663" s="26" t="str">
        <f>IFERROR(VLOOKUP(G4663,WholesaleExtract!B:O,8,FALSE),"")</f>
        <v/>
      </c>
      <c r="J4663" s="26" t="str">
        <f>IFERROR(VLOOKUP(G4663,WholesaleExtract!B:O,14,FALSE),"")</f>
        <v/>
      </c>
      <c r="K4663" s="26" t="str">
        <f>IFERROR(VLOOKUP(G4663,WholesaleExtract!B:K,10,FALSE),"")</f>
        <v/>
      </c>
      <c r="L4663" s="47" t="str">
        <f>IFERROR(VLOOKUP(G4663,WholesaleExtract!B:L,11,FALSE),"")</f>
        <v/>
      </c>
      <c r="M4663" s="47" t="str">
        <f>IFERROR(VLOOKUP(G4663,WholesaleExtract!B:M,12,FALSE),"")</f>
        <v/>
      </c>
      <c r="R4663" s="19"/>
      <c r="S4663" s="19"/>
    </row>
    <row r="4664" spans="1:19" x14ac:dyDescent="0.35">
      <c r="A4664" s="26" t="s">
        <v>543</v>
      </c>
      <c r="B4664" s="26" t="s">
        <v>543</v>
      </c>
      <c r="C4664" s="26"/>
      <c r="D4664" s="26" t="s">
        <v>543</v>
      </c>
      <c r="E4664" s="26" t="str">
        <f>IFERROR(VLOOKUP(G4664,WholesaleExtract!B:J,9,FALSE),"")</f>
        <v/>
      </c>
      <c r="F4664" s="26" t="str">
        <f>IFERROR(VLOOKUP(G4664,WholesaleExtract!B:J,6,FALSE),"")</f>
        <v/>
      </c>
      <c r="H4664" s="47" t="str">
        <f>IFERROR(VLOOKUP(G4664,WholesaleExtract!B:L,11,FALSE),"")</f>
        <v/>
      </c>
      <c r="I4664" s="26" t="str">
        <f>IFERROR(VLOOKUP(G4664,WholesaleExtract!B:O,8,FALSE),"")</f>
        <v/>
      </c>
      <c r="J4664" s="26" t="str">
        <f>IFERROR(VLOOKUP(G4664,WholesaleExtract!B:O,14,FALSE),"")</f>
        <v/>
      </c>
      <c r="K4664" s="26" t="str">
        <f>IFERROR(VLOOKUP(G4664,WholesaleExtract!B:K,10,FALSE),"")</f>
        <v/>
      </c>
      <c r="L4664" s="47" t="str">
        <f>IFERROR(VLOOKUP(G4664,WholesaleExtract!B:L,11,FALSE),"")</f>
        <v/>
      </c>
      <c r="M4664" s="47" t="str">
        <f>IFERROR(VLOOKUP(G4664,WholesaleExtract!B:M,12,FALSE),"")</f>
        <v/>
      </c>
      <c r="R4664" s="19"/>
      <c r="S4664" s="19"/>
    </row>
    <row r="4665" spans="1:19" x14ac:dyDescent="0.35">
      <c r="A4665" s="26" t="s">
        <v>543</v>
      </c>
      <c r="B4665" s="26" t="s">
        <v>543</v>
      </c>
      <c r="C4665" s="26"/>
      <c r="D4665" s="26" t="s">
        <v>543</v>
      </c>
      <c r="E4665" s="26" t="str">
        <f>IFERROR(VLOOKUP(G4665,WholesaleExtract!B:J,9,FALSE),"")</f>
        <v/>
      </c>
      <c r="F4665" s="26" t="str">
        <f>IFERROR(VLOOKUP(G4665,WholesaleExtract!B:J,6,FALSE),"")</f>
        <v/>
      </c>
      <c r="H4665" s="47" t="str">
        <f>IFERROR(VLOOKUP(G4665,WholesaleExtract!B:L,11,FALSE),"")</f>
        <v/>
      </c>
      <c r="I4665" s="26" t="str">
        <f>IFERROR(VLOOKUP(G4665,WholesaleExtract!B:O,8,FALSE),"")</f>
        <v/>
      </c>
      <c r="J4665" s="26" t="str">
        <f>IFERROR(VLOOKUP(G4665,WholesaleExtract!B:O,14,FALSE),"")</f>
        <v/>
      </c>
      <c r="K4665" s="26" t="str">
        <f>IFERROR(VLOOKUP(G4665,WholesaleExtract!B:K,10,FALSE),"")</f>
        <v/>
      </c>
      <c r="L4665" s="47" t="str">
        <f>IFERROR(VLOOKUP(G4665,WholesaleExtract!B:L,11,FALSE),"")</f>
        <v/>
      </c>
      <c r="M4665" s="47" t="str">
        <f>IFERROR(VLOOKUP(G4665,WholesaleExtract!B:M,12,FALSE),"")</f>
        <v/>
      </c>
      <c r="R4665" s="19"/>
      <c r="S4665" s="19"/>
    </row>
    <row r="4666" spans="1:19" x14ac:dyDescent="0.35">
      <c r="A4666" s="26" t="s">
        <v>543</v>
      </c>
      <c r="B4666" s="26" t="s">
        <v>543</v>
      </c>
      <c r="C4666" s="26"/>
      <c r="D4666" s="26" t="s">
        <v>543</v>
      </c>
      <c r="E4666" s="26" t="str">
        <f>IFERROR(VLOOKUP(G4666,WholesaleExtract!B:J,9,FALSE),"")</f>
        <v/>
      </c>
      <c r="F4666" s="26" t="str">
        <f>IFERROR(VLOOKUP(G4666,WholesaleExtract!B:J,6,FALSE),"")</f>
        <v/>
      </c>
      <c r="H4666" s="47" t="str">
        <f>IFERROR(VLOOKUP(G4666,WholesaleExtract!B:L,11,FALSE),"")</f>
        <v/>
      </c>
      <c r="I4666" s="26" t="str">
        <f>IFERROR(VLOOKUP(G4666,WholesaleExtract!B:O,8,FALSE),"")</f>
        <v/>
      </c>
      <c r="J4666" s="26" t="str">
        <f>IFERROR(VLOOKUP(G4666,WholesaleExtract!B:O,14,FALSE),"")</f>
        <v/>
      </c>
      <c r="K4666" s="26" t="str">
        <f>IFERROR(VLOOKUP(G4666,WholesaleExtract!B:K,10,FALSE),"")</f>
        <v/>
      </c>
      <c r="L4666" s="47" t="str">
        <f>IFERROR(VLOOKUP(G4666,WholesaleExtract!B:L,11,FALSE),"")</f>
        <v/>
      </c>
      <c r="M4666" s="47" t="str">
        <f>IFERROR(VLOOKUP(G4666,WholesaleExtract!B:M,12,FALSE),"")</f>
        <v/>
      </c>
      <c r="R4666" s="19"/>
      <c r="S4666" s="19"/>
    </row>
    <row r="4667" spans="1:19" x14ac:dyDescent="0.35">
      <c r="A4667" s="26" t="s">
        <v>543</v>
      </c>
      <c r="B4667" s="26" t="s">
        <v>543</v>
      </c>
      <c r="C4667" s="26"/>
      <c r="D4667" s="26" t="s">
        <v>543</v>
      </c>
      <c r="E4667" s="26" t="str">
        <f>IFERROR(VLOOKUP(G4667,WholesaleExtract!B:J,9,FALSE),"")</f>
        <v/>
      </c>
      <c r="F4667" s="26" t="str">
        <f>IFERROR(VLOOKUP(G4667,WholesaleExtract!B:J,6,FALSE),"")</f>
        <v/>
      </c>
      <c r="H4667" s="47" t="str">
        <f>IFERROR(VLOOKUP(G4667,WholesaleExtract!B:L,11,FALSE),"")</f>
        <v/>
      </c>
      <c r="I4667" s="26" t="str">
        <f>IFERROR(VLOOKUP(G4667,WholesaleExtract!B:O,8,FALSE),"")</f>
        <v/>
      </c>
      <c r="J4667" s="26" t="str">
        <f>IFERROR(VLOOKUP(G4667,WholesaleExtract!B:O,14,FALSE),"")</f>
        <v/>
      </c>
      <c r="K4667" s="26" t="str">
        <f>IFERROR(VLOOKUP(G4667,WholesaleExtract!B:K,10,FALSE),"")</f>
        <v/>
      </c>
      <c r="L4667" s="47" t="str">
        <f>IFERROR(VLOOKUP(G4667,WholesaleExtract!B:L,11,FALSE),"")</f>
        <v/>
      </c>
      <c r="M4667" s="47" t="str">
        <f>IFERROR(VLOOKUP(G4667,WholesaleExtract!B:M,12,FALSE),"")</f>
        <v/>
      </c>
      <c r="R4667" s="19"/>
      <c r="S4667" s="19"/>
    </row>
    <row r="4668" spans="1:19" x14ac:dyDescent="0.35">
      <c r="A4668" s="26" t="s">
        <v>543</v>
      </c>
      <c r="B4668" s="26" t="s">
        <v>543</v>
      </c>
      <c r="C4668" s="26"/>
      <c r="D4668" s="26" t="s">
        <v>543</v>
      </c>
      <c r="E4668" s="26" t="str">
        <f>IFERROR(VLOOKUP(G4668,WholesaleExtract!B:J,9,FALSE),"")</f>
        <v/>
      </c>
      <c r="F4668" s="26" t="str">
        <f>IFERROR(VLOOKUP(G4668,WholesaleExtract!B:J,6,FALSE),"")</f>
        <v/>
      </c>
      <c r="H4668" s="47" t="str">
        <f>IFERROR(VLOOKUP(G4668,WholesaleExtract!B:L,11,FALSE),"")</f>
        <v/>
      </c>
      <c r="I4668" s="26" t="str">
        <f>IFERROR(VLOOKUP(G4668,WholesaleExtract!B:O,8,FALSE),"")</f>
        <v/>
      </c>
      <c r="J4668" s="26" t="str">
        <f>IFERROR(VLOOKUP(G4668,WholesaleExtract!B:O,14,FALSE),"")</f>
        <v/>
      </c>
      <c r="K4668" s="26" t="str">
        <f>IFERROR(VLOOKUP(G4668,WholesaleExtract!B:K,10,FALSE),"")</f>
        <v/>
      </c>
      <c r="L4668" s="47" t="str">
        <f>IFERROR(VLOOKUP(G4668,WholesaleExtract!B:L,11,FALSE),"")</f>
        <v/>
      </c>
      <c r="M4668" s="47" t="str">
        <f>IFERROR(VLOOKUP(G4668,WholesaleExtract!B:M,12,FALSE),"")</f>
        <v/>
      </c>
      <c r="R4668" s="19"/>
      <c r="S4668" s="19"/>
    </row>
    <row r="4669" spans="1:19" x14ac:dyDescent="0.35">
      <c r="A4669" s="26" t="s">
        <v>543</v>
      </c>
      <c r="B4669" s="26" t="s">
        <v>543</v>
      </c>
      <c r="C4669" s="26"/>
      <c r="D4669" s="26" t="s">
        <v>543</v>
      </c>
      <c r="E4669" s="26" t="str">
        <f>IFERROR(VLOOKUP(G4669,WholesaleExtract!B:J,9,FALSE),"")</f>
        <v/>
      </c>
      <c r="F4669" s="26" t="str">
        <f>IFERROR(VLOOKUP(G4669,WholesaleExtract!B:J,6,FALSE),"")</f>
        <v/>
      </c>
      <c r="H4669" s="47" t="str">
        <f>IFERROR(VLOOKUP(G4669,WholesaleExtract!B:L,11,FALSE),"")</f>
        <v/>
      </c>
      <c r="I4669" s="26" t="str">
        <f>IFERROR(VLOOKUP(G4669,WholesaleExtract!B:O,8,FALSE),"")</f>
        <v/>
      </c>
      <c r="J4669" s="26" t="str">
        <f>IFERROR(VLOOKUP(G4669,WholesaleExtract!B:O,14,FALSE),"")</f>
        <v/>
      </c>
      <c r="K4669" s="26" t="str">
        <f>IFERROR(VLOOKUP(G4669,WholesaleExtract!B:K,10,FALSE),"")</f>
        <v/>
      </c>
      <c r="L4669" s="47" t="str">
        <f>IFERROR(VLOOKUP(G4669,WholesaleExtract!B:L,11,FALSE),"")</f>
        <v/>
      </c>
      <c r="M4669" s="47" t="str">
        <f>IFERROR(VLOOKUP(G4669,WholesaleExtract!B:M,12,FALSE),"")</f>
        <v/>
      </c>
      <c r="R4669" s="19"/>
      <c r="S4669" s="19"/>
    </row>
    <row r="4670" spans="1:19" x14ac:dyDescent="0.35">
      <c r="A4670" s="26" t="s">
        <v>543</v>
      </c>
      <c r="B4670" s="26" t="s">
        <v>543</v>
      </c>
      <c r="C4670" s="26"/>
      <c r="D4670" s="26" t="s">
        <v>543</v>
      </c>
      <c r="E4670" s="26" t="str">
        <f>IFERROR(VLOOKUP(G4670,WholesaleExtract!B:J,9,FALSE),"")</f>
        <v/>
      </c>
      <c r="F4670" s="26" t="str">
        <f>IFERROR(VLOOKUP(G4670,WholesaleExtract!B:J,6,FALSE),"")</f>
        <v/>
      </c>
      <c r="H4670" s="47" t="str">
        <f>IFERROR(VLOOKUP(G4670,WholesaleExtract!B:L,11,FALSE),"")</f>
        <v/>
      </c>
      <c r="I4670" s="26" t="str">
        <f>IFERROR(VLOOKUP(G4670,WholesaleExtract!B:O,8,FALSE),"")</f>
        <v/>
      </c>
      <c r="J4670" s="26" t="str">
        <f>IFERROR(VLOOKUP(G4670,WholesaleExtract!B:O,14,FALSE),"")</f>
        <v/>
      </c>
      <c r="K4670" s="26" t="str">
        <f>IFERROR(VLOOKUP(G4670,WholesaleExtract!B:K,10,FALSE),"")</f>
        <v/>
      </c>
      <c r="L4670" s="47" t="str">
        <f>IFERROR(VLOOKUP(G4670,WholesaleExtract!B:L,11,FALSE),"")</f>
        <v/>
      </c>
      <c r="M4670" s="47" t="str">
        <f>IFERROR(VLOOKUP(G4670,WholesaleExtract!B:M,12,FALSE),"")</f>
        <v/>
      </c>
      <c r="R4670" s="19"/>
      <c r="S4670" s="19"/>
    </row>
    <row r="4671" spans="1:19" x14ac:dyDescent="0.35">
      <c r="A4671" s="26" t="s">
        <v>543</v>
      </c>
      <c r="B4671" s="26" t="s">
        <v>543</v>
      </c>
      <c r="C4671" s="26"/>
      <c r="D4671" s="26" t="s">
        <v>543</v>
      </c>
      <c r="E4671" s="26" t="str">
        <f>IFERROR(VLOOKUP(G4671,WholesaleExtract!B:J,9,FALSE),"")</f>
        <v/>
      </c>
      <c r="F4671" s="26" t="str">
        <f>IFERROR(VLOOKUP(G4671,WholesaleExtract!B:J,6,FALSE),"")</f>
        <v/>
      </c>
      <c r="H4671" s="47" t="str">
        <f>IFERROR(VLOOKUP(G4671,WholesaleExtract!B:L,11,FALSE),"")</f>
        <v/>
      </c>
      <c r="I4671" s="26" t="str">
        <f>IFERROR(VLOOKUP(G4671,WholesaleExtract!B:O,8,FALSE),"")</f>
        <v/>
      </c>
      <c r="J4671" s="26" t="str">
        <f>IFERROR(VLOOKUP(G4671,WholesaleExtract!B:O,14,FALSE),"")</f>
        <v/>
      </c>
      <c r="K4671" s="26" t="str">
        <f>IFERROR(VLOOKUP(G4671,WholesaleExtract!B:K,10,FALSE),"")</f>
        <v/>
      </c>
      <c r="L4671" s="47" t="str">
        <f>IFERROR(VLOOKUP(G4671,WholesaleExtract!B:L,11,FALSE),"")</f>
        <v/>
      </c>
      <c r="M4671" s="47" t="str">
        <f>IFERROR(VLOOKUP(G4671,WholesaleExtract!B:M,12,FALSE),"")</f>
        <v/>
      </c>
      <c r="R4671" s="19"/>
      <c r="S4671" s="19"/>
    </row>
    <row r="4672" spans="1:19" x14ac:dyDescent="0.35">
      <c r="A4672" s="26" t="s">
        <v>543</v>
      </c>
      <c r="B4672" s="26" t="s">
        <v>543</v>
      </c>
      <c r="C4672" s="26"/>
      <c r="D4672" s="26" t="s">
        <v>543</v>
      </c>
      <c r="E4672" s="26" t="str">
        <f>IFERROR(VLOOKUP(G4672,WholesaleExtract!B:J,9,FALSE),"")</f>
        <v/>
      </c>
      <c r="F4672" s="26" t="str">
        <f>IFERROR(VLOOKUP(G4672,WholesaleExtract!B:J,6,FALSE),"")</f>
        <v/>
      </c>
      <c r="H4672" s="47" t="str">
        <f>IFERROR(VLOOKUP(G4672,WholesaleExtract!B:L,11,FALSE),"")</f>
        <v/>
      </c>
      <c r="I4672" s="26" t="str">
        <f>IFERROR(VLOOKUP(G4672,WholesaleExtract!B:O,8,FALSE),"")</f>
        <v/>
      </c>
      <c r="J4672" s="26" t="str">
        <f>IFERROR(VLOOKUP(G4672,WholesaleExtract!B:O,14,FALSE),"")</f>
        <v/>
      </c>
      <c r="K4672" s="26" t="str">
        <f>IFERROR(VLOOKUP(G4672,WholesaleExtract!B:K,10,FALSE),"")</f>
        <v/>
      </c>
      <c r="L4672" s="47" t="str">
        <f>IFERROR(VLOOKUP(G4672,WholesaleExtract!B:L,11,FALSE),"")</f>
        <v/>
      </c>
      <c r="M4672" s="47" t="str">
        <f>IFERROR(VLOOKUP(G4672,WholesaleExtract!B:M,12,FALSE),"")</f>
        <v/>
      </c>
      <c r="R4672" s="19"/>
      <c r="S4672" s="19"/>
    </row>
    <row r="4673" spans="1:19" x14ac:dyDescent="0.35">
      <c r="A4673" s="26" t="s">
        <v>543</v>
      </c>
      <c r="B4673" s="26" t="s">
        <v>543</v>
      </c>
      <c r="C4673" s="26"/>
      <c r="D4673" s="26" t="s">
        <v>543</v>
      </c>
      <c r="E4673" s="26" t="str">
        <f>IFERROR(VLOOKUP(G4673,WholesaleExtract!B:J,9,FALSE),"")</f>
        <v/>
      </c>
      <c r="F4673" s="26" t="str">
        <f>IFERROR(VLOOKUP(G4673,WholesaleExtract!B:J,6,FALSE),"")</f>
        <v/>
      </c>
      <c r="H4673" s="47" t="str">
        <f>IFERROR(VLOOKUP(G4673,WholesaleExtract!B:L,11,FALSE),"")</f>
        <v/>
      </c>
      <c r="I4673" s="26" t="str">
        <f>IFERROR(VLOOKUP(G4673,WholesaleExtract!B:O,8,FALSE),"")</f>
        <v/>
      </c>
      <c r="J4673" s="26" t="str">
        <f>IFERROR(VLOOKUP(G4673,WholesaleExtract!B:O,14,FALSE),"")</f>
        <v/>
      </c>
      <c r="K4673" s="26" t="str">
        <f>IFERROR(VLOOKUP(G4673,WholesaleExtract!B:K,10,FALSE),"")</f>
        <v/>
      </c>
      <c r="L4673" s="47" t="str">
        <f>IFERROR(VLOOKUP(G4673,WholesaleExtract!B:L,11,FALSE),"")</f>
        <v/>
      </c>
      <c r="M4673" s="47" t="str">
        <f>IFERROR(VLOOKUP(G4673,WholesaleExtract!B:M,12,FALSE),"")</f>
        <v/>
      </c>
      <c r="R4673" s="19"/>
      <c r="S4673" s="19"/>
    </row>
    <row r="4674" spans="1:19" x14ac:dyDescent="0.35">
      <c r="A4674" s="26" t="s">
        <v>543</v>
      </c>
      <c r="B4674" s="26" t="s">
        <v>543</v>
      </c>
      <c r="C4674" s="26"/>
      <c r="D4674" s="26" t="s">
        <v>543</v>
      </c>
      <c r="E4674" s="26" t="str">
        <f>IFERROR(VLOOKUP(G4674,WholesaleExtract!B:J,9,FALSE),"")</f>
        <v/>
      </c>
      <c r="F4674" s="26" t="str">
        <f>IFERROR(VLOOKUP(G4674,WholesaleExtract!B:J,6,FALSE),"")</f>
        <v/>
      </c>
      <c r="H4674" s="47" t="str">
        <f>IFERROR(VLOOKUP(G4674,WholesaleExtract!B:L,11,FALSE),"")</f>
        <v/>
      </c>
      <c r="I4674" s="26" t="str">
        <f>IFERROR(VLOOKUP(G4674,WholesaleExtract!B:O,8,FALSE),"")</f>
        <v/>
      </c>
      <c r="J4674" s="26" t="str">
        <f>IFERROR(VLOOKUP(G4674,WholesaleExtract!B:O,14,FALSE),"")</f>
        <v/>
      </c>
      <c r="K4674" s="26" t="str">
        <f>IFERROR(VLOOKUP(G4674,WholesaleExtract!B:K,10,FALSE),"")</f>
        <v/>
      </c>
      <c r="L4674" s="47" t="str">
        <f>IFERROR(VLOOKUP(G4674,WholesaleExtract!B:L,11,FALSE),"")</f>
        <v/>
      </c>
      <c r="M4674" s="47" t="str">
        <f>IFERROR(VLOOKUP(G4674,WholesaleExtract!B:M,12,FALSE),"")</f>
        <v/>
      </c>
      <c r="R4674" s="19"/>
      <c r="S4674" s="19"/>
    </row>
    <row r="4675" spans="1:19" x14ac:dyDescent="0.35">
      <c r="A4675" s="26" t="s">
        <v>543</v>
      </c>
      <c r="B4675" s="26" t="s">
        <v>543</v>
      </c>
      <c r="C4675" s="26"/>
      <c r="D4675" s="26" t="s">
        <v>543</v>
      </c>
      <c r="E4675" s="26" t="str">
        <f>IFERROR(VLOOKUP(G4675,WholesaleExtract!B:J,9,FALSE),"")</f>
        <v/>
      </c>
      <c r="F4675" s="26" t="str">
        <f>IFERROR(VLOOKUP(G4675,WholesaleExtract!B:J,6,FALSE),"")</f>
        <v/>
      </c>
      <c r="H4675" s="47" t="str">
        <f>IFERROR(VLOOKUP(G4675,WholesaleExtract!B:L,11,FALSE),"")</f>
        <v/>
      </c>
      <c r="I4675" s="26" t="str">
        <f>IFERROR(VLOOKUP(G4675,WholesaleExtract!B:O,8,FALSE),"")</f>
        <v/>
      </c>
      <c r="J4675" s="26" t="str">
        <f>IFERROR(VLOOKUP(G4675,WholesaleExtract!B:O,14,FALSE),"")</f>
        <v/>
      </c>
      <c r="K4675" s="26" t="str">
        <f>IFERROR(VLOOKUP(G4675,WholesaleExtract!B:K,10,FALSE),"")</f>
        <v/>
      </c>
      <c r="L4675" s="47" t="str">
        <f>IFERROR(VLOOKUP(G4675,WholesaleExtract!B:L,11,FALSE),"")</f>
        <v/>
      </c>
      <c r="M4675" s="47" t="str">
        <f>IFERROR(VLOOKUP(G4675,WholesaleExtract!B:M,12,FALSE),"")</f>
        <v/>
      </c>
      <c r="R4675" s="19"/>
      <c r="S4675" s="19"/>
    </row>
    <row r="4676" spans="1:19" x14ac:dyDescent="0.35">
      <c r="A4676" s="26" t="s">
        <v>543</v>
      </c>
      <c r="B4676" s="26" t="s">
        <v>543</v>
      </c>
      <c r="C4676" s="26"/>
      <c r="D4676" s="26" t="s">
        <v>543</v>
      </c>
      <c r="E4676" s="26" t="str">
        <f>IFERROR(VLOOKUP(G4676,WholesaleExtract!B:J,9,FALSE),"")</f>
        <v/>
      </c>
      <c r="F4676" s="26" t="str">
        <f>IFERROR(VLOOKUP(G4676,WholesaleExtract!B:J,6,FALSE),"")</f>
        <v/>
      </c>
      <c r="H4676" s="47" t="str">
        <f>IFERROR(VLOOKUP(G4676,WholesaleExtract!B:L,11,FALSE),"")</f>
        <v/>
      </c>
      <c r="I4676" s="26" t="str">
        <f>IFERROR(VLOOKUP(G4676,WholesaleExtract!B:O,8,FALSE),"")</f>
        <v/>
      </c>
      <c r="J4676" s="26" t="str">
        <f>IFERROR(VLOOKUP(G4676,WholesaleExtract!B:O,14,FALSE),"")</f>
        <v/>
      </c>
      <c r="K4676" s="26" t="str">
        <f>IFERROR(VLOOKUP(G4676,WholesaleExtract!B:K,10,FALSE),"")</f>
        <v/>
      </c>
      <c r="L4676" s="47" t="str">
        <f>IFERROR(VLOOKUP(G4676,WholesaleExtract!B:L,11,FALSE),"")</f>
        <v/>
      </c>
      <c r="M4676" s="47" t="str">
        <f>IFERROR(VLOOKUP(G4676,WholesaleExtract!B:M,12,FALSE),"")</f>
        <v/>
      </c>
      <c r="R4676" s="19"/>
      <c r="S4676" s="19"/>
    </row>
    <row r="4677" spans="1:19" x14ac:dyDescent="0.35">
      <c r="A4677" s="26" t="s">
        <v>543</v>
      </c>
      <c r="B4677" s="26" t="s">
        <v>543</v>
      </c>
      <c r="C4677" s="26"/>
      <c r="D4677" s="26" t="s">
        <v>543</v>
      </c>
      <c r="E4677" s="26" t="str">
        <f>IFERROR(VLOOKUP(G4677,WholesaleExtract!B:J,9,FALSE),"")</f>
        <v/>
      </c>
      <c r="F4677" s="26" t="str">
        <f>IFERROR(VLOOKUP(G4677,WholesaleExtract!B:J,6,FALSE),"")</f>
        <v/>
      </c>
      <c r="H4677" s="47" t="str">
        <f>IFERROR(VLOOKUP(G4677,WholesaleExtract!B:L,11,FALSE),"")</f>
        <v/>
      </c>
      <c r="I4677" s="26" t="str">
        <f>IFERROR(VLOOKUP(G4677,WholesaleExtract!B:O,8,FALSE),"")</f>
        <v/>
      </c>
      <c r="J4677" s="26" t="str">
        <f>IFERROR(VLOOKUP(G4677,WholesaleExtract!B:O,14,FALSE),"")</f>
        <v/>
      </c>
      <c r="K4677" s="26" t="str">
        <f>IFERROR(VLOOKUP(G4677,WholesaleExtract!B:K,10,FALSE),"")</f>
        <v/>
      </c>
      <c r="L4677" s="47" t="str">
        <f>IFERROR(VLOOKUP(G4677,WholesaleExtract!B:L,11,FALSE),"")</f>
        <v/>
      </c>
      <c r="M4677" s="47" t="str">
        <f>IFERROR(VLOOKUP(G4677,WholesaleExtract!B:M,12,FALSE),"")</f>
        <v/>
      </c>
      <c r="R4677" s="19"/>
      <c r="S4677" s="19"/>
    </row>
    <row r="4678" spans="1:19" x14ac:dyDescent="0.35">
      <c r="A4678" s="26" t="s">
        <v>543</v>
      </c>
      <c r="B4678" s="26" t="s">
        <v>543</v>
      </c>
      <c r="C4678" s="26"/>
      <c r="D4678" s="26" t="s">
        <v>543</v>
      </c>
      <c r="E4678" s="26" t="str">
        <f>IFERROR(VLOOKUP(G4678,WholesaleExtract!B:J,9,FALSE),"")</f>
        <v/>
      </c>
      <c r="F4678" s="26" t="str">
        <f>IFERROR(VLOOKUP(G4678,WholesaleExtract!B:J,6,FALSE),"")</f>
        <v/>
      </c>
      <c r="H4678" s="47" t="str">
        <f>IFERROR(VLOOKUP(G4678,WholesaleExtract!B:L,11,FALSE),"")</f>
        <v/>
      </c>
      <c r="I4678" s="26" t="str">
        <f>IFERROR(VLOOKUP(G4678,WholesaleExtract!B:O,8,FALSE),"")</f>
        <v/>
      </c>
      <c r="J4678" s="26" t="str">
        <f>IFERROR(VLOOKUP(G4678,WholesaleExtract!B:O,14,FALSE),"")</f>
        <v/>
      </c>
      <c r="K4678" s="26" t="str">
        <f>IFERROR(VLOOKUP(G4678,WholesaleExtract!B:K,10,FALSE),"")</f>
        <v/>
      </c>
      <c r="L4678" s="47" t="str">
        <f>IFERROR(VLOOKUP(G4678,WholesaleExtract!B:L,11,FALSE),"")</f>
        <v/>
      </c>
      <c r="M4678" s="47" t="str">
        <f>IFERROR(VLOOKUP(G4678,WholesaleExtract!B:M,12,FALSE),"")</f>
        <v/>
      </c>
      <c r="R4678" s="19"/>
      <c r="S4678" s="19"/>
    </row>
    <row r="4679" spans="1:19" x14ac:dyDescent="0.35">
      <c r="A4679" s="26" t="s">
        <v>543</v>
      </c>
      <c r="B4679" s="26" t="s">
        <v>543</v>
      </c>
      <c r="C4679" s="26"/>
      <c r="D4679" s="26" t="s">
        <v>543</v>
      </c>
      <c r="E4679" s="26" t="str">
        <f>IFERROR(VLOOKUP(G4679,WholesaleExtract!B:J,9,FALSE),"")</f>
        <v/>
      </c>
      <c r="F4679" s="26" t="str">
        <f>IFERROR(VLOOKUP(G4679,WholesaleExtract!B:J,6,FALSE),"")</f>
        <v/>
      </c>
      <c r="H4679" s="47" t="str">
        <f>IFERROR(VLOOKUP(G4679,WholesaleExtract!B:L,11,FALSE),"")</f>
        <v/>
      </c>
      <c r="I4679" s="26" t="str">
        <f>IFERROR(VLOOKUP(G4679,WholesaleExtract!B:O,8,FALSE),"")</f>
        <v/>
      </c>
      <c r="J4679" s="26" t="str">
        <f>IFERROR(VLOOKUP(G4679,WholesaleExtract!B:O,14,FALSE),"")</f>
        <v/>
      </c>
      <c r="K4679" s="26" t="str">
        <f>IFERROR(VLOOKUP(G4679,WholesaleExtract!B:K,10,FALSE),"")</f>
        <v/>
      </c>
      <c r="L4679" s="47" t="str">
        <f>IFERROR(VLOOKUP(G4679,WholesaleExtract!B:L,11,FALSE),"")</f>
        <v/>
      </c>
      <c r="M4679" s="47" t="str">
        <f>IFERROR(VLOOKUP(G4679,WholesaleExtract!B:M,12,FALSE),"")</f>
        <v/>
      </c>
      <c r="R4679" s="19"/>
      <c r="S4679" s="19"/>
    </row>
    <row r="4680" spans="1:19" x14ac:dyDescent="0.35">
      <c r="A4680" s="26" t="s">
        <v>543</v>
      </c>
      <c r="B4680" s="26" t="s">
        <v>543</v>
      </c>
      <c r="C4680" s="26"/>
      <c r="D4680" s="26" t="s">
        <v>543</v>
      </c>
      <c r="E4680" s="26" t="str">
        <f>IFERROR(VLOOKUP(G4680,WholesaleExtract!B:J,9,FALSE),"")</f>
        <v/>
      </c>
      <c r="F4680" s="26" t="str">
        <f>IFERROR(VLOOKUP(G4680,WholesaleExtract!B:J,6,FALSE),"")</f>
        <v/>
      </c>
      <c r="H4680" s="47" t="str">
        <f>IFERROR(VLOOKUP(G4680,WholesaleExtract!B:L,11,FALSE),"")</f>
        <v/>
      </c>
      <c r="I4680" s="26" t="str">
        <f>IFERROR(VLOOKUP(G4680,WholesaleExtract!B:O,8,FALSE),"")</f>
        <v/>
      </c>
      <c r="J4680" s="26" t="str">
        <f>IFERROR(VLOOKUP(G4680,WholesaleExtract!B:O,14,FALSE),"")</f>
        <v/>
      </c>
      <c r="K4680" s="26" t="str">
        <f>IFERROR(VLOOKUP(G4680,WholesaleExtract!B:K,10,FALSE),"")</f>
        <v/>
      </c>
      <c r="L4680" s="47" t="str">
        <f>IFERROR(VLOOKUP(G4680,WholesaleExtract!B:L,11,FALSE),"")</f>
        <v/>
      </c>
      <c r="M4680" s="47" t="str">
        <f>IFERROR(VLOOKUP(G4680,WholesaleExtract!B:M,12,FALSE),"")</f>
        <v/>
      </c>
      <c r="R4680" s="19"/>
      <c r="S4680" s="19"/>
    </row>
    <row r="4681" spans="1:19" x14ac:dyDescent="0.35">
      <c r="A4681" s="26" t="s">
        <v>543</v>
      </c>
      <c r="B4681" s="26" t="s">
        <v>543</v>
      </c>
      <c r="C4681" s="26"/>
      <c r="D4681" s="26" t="s">
        <v>543</v>
      </c>
      <c r="E4681" s="26" t="str">
        <f>IFERROR(VLOOKUP(G4681,WholesaleExtract!B:J,9,FALSE),"")</f>
        <v/>
      </c>
      <c r="F4681" s="26" t="str">
        <f>IFERROR(VLOOKUP(G4681,WholesaleExtract!B:J,6,FALSE),"")</f>
        <v/>
      </c>
      <c r="H4681" s="47" t="str">
        <f>IFERROR(VLOOKUP(G4681,WholesaleExtract!B:L,11,FALSE),"")</f>
        <v/>
      </c>
      <c r="I4681" s="26" t="str">
        <f>IFERROR(VLOOKUP(G4681,WholesaleExtract!B:O,8,FALSE),"")</f>
        <v/>
      </c>
      <c r="J4681" s="26" t="str">
        <f>IFERROR(VLOOKUP(G4681,WholesaleExtract!B:O,14,FALSE),"")</f>
        <v/>
      </c>
      <c r="K4681" s="26" t="str">
        <f>IFERROR(VLOOKUP(G4681,WholesaleExtract!B:K,10,FALSE),"")</f>
        <v/>
      </c>
      <c r="L4681" s="47" t="str">
        <f>IFERROR(VLOOKUP(G4681,WholesaleExtract!B:L,11,FALSE),"")</f>
        <v/>
      </c>
      <c r="M4681" s="47" t="str">
        <f>IFERROR(VLOOKUP(G4681,WholesaleExtract!B:M,12,FALSE),"")</f>
        <v/>
      </c>
      <c r="R4681" s="19"/>
      <c r="S4681" s="19"/>
    </row>
    <row r="4682" spans="1:19" x14ac:dyDescent="0.35">
      <c r="A4682" s="26" t="s">
        <v>543</v>
      </c>
      <c r="B4682" s="26" t="s">
        <v>543</v>
      </c>
      <c r="C4682" s="26"/>
      <c r="D4682" s="26" t="s">
        <v>543</v>
      </c>
      <c r="E4682" s="26" t="str">
        <f>IFERROR(VLOOKUP(G4682,WholesaleExtract!B:J,9,FALSE),"")</f>
        <v/>
      </c>
      <c r="F4682" s="26" t="str">
        <f>IFERROR(VLOOKUP(G4682,WholesaleExtract!B:J,6,FALSE),"")</f>
        <v/>
      </c>
      <c r="H4682" s="47" t="str">
        <f>IFERROR(VLOOKUP(G4682,WholesaleExtract!B:L,11,FALSE),"")</f>
        <v/>
      </c>
      <c r="I4682" s="26" t="str">
        <f>IFERROR(VLOOKUP(G4682,WholesaleExtract!B:O,8,FALSE),"")</f>
        <v/>
      </c>
      <c r="J4682" s="26" t="str">
        <f>IFERROR(VLOOKUP(G4682,WholesaleExtract!B:O,14,FALSE),"")</f>
        <v/>
      </c>
      <c r="K4682" s="26" t="str">
        <f>IFERROR(VLOOKUP(G4682,WholesaleExtract!B:K,10,FALSE),"")</f>
        <v/>
      </c>
      <c r="L4682" s="47" t="str">
        <f>IFERROR(VLOOKUP(G4682,WholesaleExtract!B:L,11,FALSE),"")</f>
        <v/>
      </c>
      <c r="M4682" s="47" t="str">
        <f>IFERROR(VLOOKUP(G4682,WholesaleExtract!B:M,12,FALSE),"")</f>
        <v/>
      </c>
      <c r="R4682" s="19"/>
      <c r="S4682" s="19"/>
    </row>
    <row r="4683" spans="1:19" x14ac:dyDescent="0.35">
      <c r="A4683" s="26" t="s">
        <v>543</v>
      </c>
      <c r="B4683" s="26" t="s">
        <v>543</v>
      </c>
      <c r="C4683" s="26"/>
      <c r="D4683" s="26" t="s">
        <v>543</v>
      </c>
      <c r="E4683" s="26" t="str">
        <f>IFERROR(VLOOKUP(G4683,WholesaleExtract!B:J,9,FALSE),"")</f>
        <v/>
      </c>
      <c r="F4683" s="26" t="str">
        <f>IFERROR(VLOOKUP(G4683,WholesaleExtract!B:J,6,FALSE),"")</f>
        <v/>
      </c>
      <c r="H4683" s="47" t="str">
        <f>IFERROR(VLOOKUP(G4683,WholesaleExtract!B:L,11,FALSE),"")</f>
        <v/>
      </c>
      <c r="I4683" s="26" t="str">
        <f>IFERROR(VLOOKUP(G4683,WholesaleExtract!B:O,8,FALSE),"")</f>
        <v/>
      </c>
      <c r="J4683" s="26" t="str">
        <f>IFERROR(VLOOKUP(G4683,WholesaleExtract!B:O,14,FALSE),"")</f>
        <v/>
      </c>
      <c r="K4683" s="26" t="str">
        <f>IFERROR(VLOOKUP(G4683,WholesaleExtract!B:K,10,FALSE),"")</f>
        <v/>
      </c>
      <c r="L4683" s="47" t="str">
        <f>IFERROR(VLOOKUP(G4683,WholesaleExtract!B:L,11,FALSE),"")</f>
        <v/>
      </c>
      <c r="M4683" s="47" t="str">
        <f>IFERROR(VLOOKUP(G4683,WholesaleExtract!B:M,12,FALSE),"")</f>
        <v/>
      </c>
      <c r="R4683" s="19"/>
      <c r="S4683" s="19"/>
    </row>
    <row r="4684" spans="1:19" x14ac:dyDescent="0.35">
      <c r="A4684" s="26" t="s">
        <v>543</v>
      </c>
      <c r="B4684" s="26" t="s">
        <v>543</v>
      </c>
      <c r="C4684" s="26"/>
      <c r="D4684" s="26" t="s">
        <v>543</v>
      </c>
      <c r="E4684" s="26" t="str">
        <f>IFERROR(VLOOKUP(G4684,WholesaleExtract!B:J,9,FALSE),"")</f>
        <v/>
      </c>
      <c r="F4684" s="26" t="str">
        <f>IFERROR(VLOOKUP(G4684,WholesaleExtract!B:J,6,FALSE),"")</f>
        <v/>
      </c>
      <c r="H4684" s="47" t="str">
        <f>IFERROR(VLOOKUP(G4684,WholesaleExtract!B:L,11,FALSE),"")</f>
        <v/>
      </c>
      <c r="I4684" s="26" t="str">
        <f>IFERROR(VLOOKUP(G4684,WholesaleExtract!B:O,8,FALSE),"")</f>
        <v/>
      </c>
      <c r="J4684" s="26" t="str">
        <f>IFERROR(VLOOKUP(G4684,WholesaleExtract!B:O,14,FALSE),"")</f>
        <v/>
      </c>
      <c r="K4684" s="26" t="str">
        <f>IFERROR(VLOOKUP(G4684,WholesaleExtract!B:K,10,FALSE),"")</f>
        <v/>
      </c>
      <c r="L4684" s="47" t="str">
        <f>IFERROR(VLOOKUP(G4684,WholesaleExtract!B:L,11,FALSE),"")</f>
        <v/>
      </c>
      <c r="M4684" s="47" t="str">
        <f>IFERROR(VLOOKUP(G4684,WholesaleExtract!B:M,12,FALSE),"")</f>
        <v/>
      </c>
      <c r="R4684" s="19"/>
      <c r="S4684" s="19"/>
    </row>
    <row r="4685" spans="1:19" x14ac:dyDescent="0.35">
      <c r="A4685" s="26" t="s">
        <v>543</v>
      </c>
      <c r="B4685" s="26" t="s">
        <v>543</v>
      </c>
      <c r="C4685" s="26"/>
      <c r="D4685" s="26" t="s">
        <v>543</v>
      </c>
      <c r="E4685" s="26" t="str">
        <f>IFERROR(VLOOKUP(G4685,WholesaleExtract!B:J,9,FALSE),"")</f>
        <v/>
      </c>
      <c r="F4685" s="26" t="str">
        <f>IFERROR(VLOOKUP(G4685,WholesaleExtract!B:J,6,FALSE),"")</f>
        <v/>
      </c>
      <c r="H4685" s="47" t="str">
        <f>IFERROR(VLOOKUP(G4685,WholesaleExtract!B:L,11,FALSE),"")</f>
        <v/>
      </c>
      <c r="I4685" s="26" t="str">
        <f>IFERROR(VLOOKUP(G4685,WholesaleExtract!B:O,8,FALSE),"")</f>
        <v/>
      </c>
      <c r="J4685" s="26" t="str">
        <f>IFERROR(VLOOKUP(G4685,WholesaleExtract!B:O,14,FALSE),"")</f>
        <v/>
      </c>
      <c r="K4685" s="26" t="str">
        <f>IFERROR(VLOOKUP(G4685,WholesaleExtract!B:K,10,FALSE),"")</f>
        <v/>
      </c>
      <c r="L4685" s="47" t="str">
        <f>IFERROR(VLOOKUP(G4685,WholesaleExtract!B:L,11,FALSE),"")</f>
        <v/>
      </c>
      <c r="M4685" s="47" t="str">
        <f>IFERROR(VLOOKUP(G4685,WholesaleExtract!B:M,12,FALSE),"")</f>
        <v/>
      </c>
      <c r="R4685" s="19"/>
      <c r="S4685" s="19"/>
    </row>
    <row r="4686" spans="1:19" x14ac:dyDescent="0.35">
      <c r="A4686" s="26" t="s">
        <v>543</v>
      </c>
      <c r="B4686" s="26" t="s">
        <v>543</v>
      </c>
      <c r="C4686" s="26"/>
      <c r="D4686" s="26" t="s">
        <v>543</v>
      </c>
      <c r="E4686" s="26" t="str">
        <f>IFERROR(VLOOKUP(G4686,WholesaleExtract!B:J,9,FALSE),"")</f>
        <v/>
      </c>
      <c r="F4686" s="26" t="str">
        <f>IFERROR(VLOOKUP(G4686,WholesaleExtract!B:J,6,FALSE),"")</f>
        <v/>
      </c>
      <c r="H4686" s="47" t="str">
        <f>IFERROR(VLOOKUP(G4686,WholesaleExtract!B:L,11,FALSE),"")</f>
        <v/>
      </c>
      <c r="I4686" s="26" t="str">
        <f>IFERROR(VLOOKUP(G4686,WholesaleExtract!B:O,8,FALSE),"")</f>
        <v/>
      </c>
      <c r="J4686" s="26" t="str">
        <f>IFERROR(VLOOKUP(G4686,WholesaleExtract!B:O,14,FALSE),"")</f>
        <v/>
      </c>
      <c r="K4686" s="26" t="str">
        <f>IFERROR(VLOOKUP(G4686,WholesaleExtract!B:K,10,FALSE),"")</f>
        <v/>
      </c>
      <c r="L4686" s="47" t="str">
        <f>IFERROR(VLOOKUP(G4686,WholesaleExtract!B:L,11,FALSE),"")</f>
        <v/>
      </c>
      <c r="M4686" s="47" t="str">
        <f>IFERROR(VLOOKUP(G4686,WholesaleExtract!B:M,12,FALSE),"")</f>
        <v/>
      </c>
      <c r="R4686" s="19"/>
      <c r="S4686" s="19"/>
    </row>
    <row r="4687" spans="1:19" x14ac:dyDescent="0.35">
      <c r="A4687" s="26" t="s">
        <v>543</v>
      </c>
      <c r="B4687" s="26" t="s">
        <v>543</v>
      </c>
      <c r="C4687" s="26"/>
      <c r="D4687" s="26" t="s">
        <v>543</v>
      </c>
      <c r="E4687" s="26" t="str">
        <f>IFERROR(VLOOKUP(G4687,WholesaleExtract!B:J,9,FALSE),"")</f>
        <v/>
      </c>
      <c r="F4687" s="26" t="str">
        <f>IFERROR(VLOOKUP(G4687,WholesaleExtract!B:J,6,FALSE),"")</f>
        <v/>
      </c>
      <c r="H4687" s="47" t="str">
        <f>IFERROR(VLOOKUP(G4687,WholesaleExtract!B:L,11,FALSE),"")</f>
        <v/>
      </c>
      <c r="I4687" s="26" t="str">
        <f>IFERROR(VLOOKUP(G4687,WholesaleExtract!B:O,8,FALSE),"")</f>
        <v/>
      </c>
      <c r="J4687" s="26" t="str">
        <f>IFERROR(VLOOKUP(G4687,WholesaleExtract!B:O,14,FALSE),"")</f>
        <v/>
      </c>
      <c r="K4687" s="26" t="str">
        <f>IFERROR(VLOOKUP(G4687,WholesaleExtract!B:K,10,FALSE),"")</f>
        <v/>
      </c>
      <c r="L4687" s="47" t="str">
        <f>IFERROR(VLOOKUP(G4687,WholesaleExtract!B:L,11,FALSE),"")</f>
        <v/>
      </c>
      <c r="M4687" s="47" t="str">
        <f>IFERROR(VLOOKUP(G4687,WholesaleExtract!B:M,12,FALSE),"")</f>
        <v/>
      </c>
      <c r="R4687" s="19"/>
      <c r="S4687" s="19"/>
    </row>
    <row r="4688" spans="1:19" x14ac:dyDescent="0.35">
      <c r="A4688" s="26" t="s">
        <v>543</v>
      </c>
      <c r="B4688" s="26" t="s">
        <v>543</v>
      </c>
      <c r="C4688" s="26"/>
      <c r="D4688" s="26" t="s">
        <v>543</v>
      </c>
      <c r="E4688" s="26" t="str">
        <f>IFERROR(VLOOKUP(G4688,WholesaleExtract!B:J,9,FALSE),"")</f>
        <v/>
      </c>
      <c r="F4688" s="26" t="str">
        <f>IFERROR(VLOOKUP(G4688,WholesaleExtract!B:J,6,FALSE),"")</f>
        <v/>
      </c>
      <c r="H4688" s="47" t="str">
        <f>IFERROR(VLOOKUP(G4688,WholesaleExtract!B:L,11,FALSE),"")</f>
        <v/>
      </c>
      <c r="I4688" s="26" t="str">
        <f>IFERROR(VLOOKUP(G4688,WholesaleExtract!B:O,8,FALSE),"")</f>
        <v/>
      </c>
      <c r="J4688" s="26" t="str">
        <f>IFERROR(VLOOKUP(G4688,WholesaleExtract!B:O,14,FALSE),"")</f>
        <v/>
      </c>
      <c r="K4688" s="26" t="str">
        <f>IFERROR(VLOOKUP(G4688,WholesaleExtract!B:K,10,FALSE),"")</f>
        <v/>
      </c>
      <c r="L4688" s="47" t="str">
        <f>IFERROR(VLOOKUP(G4688,WholesaleExtract!B:L,11,FALSE),"")</f>
        <v/>
      </c>
      <c r="M4688" s="47" t="str">
        <f>IFERROR(VLOOKUP(G4688,WholesaleExtract!B:M,12,FALSE),"")</f>
        <v/>
      </c>
      <c r="R4688" s="19"/>
      <c r="S4688" s="19"/>
    </row>
    <row r="4689" spans="1:19" x14ac:dyDescent="0.35">
      <c r="A4689" s="26" t="s">
        <v>543</v>
      </c>
      <c r="B4689" s="26" t="s">
        <v>543</v>
      </c>
      <c r="C4689" s="26"/>
      <c r="D4689" s="26" t="s">
        <v>543</v>
      </c>
      <c r="E4689" s="26" t="str">
        <f>IFERROR(VLOOKUP(G4689,WholesaleExtract!B:J,9,FALSE),"")</f>
        <v/>
      </c>
      <c r="F4689" s="26" t="str">
        <f>IFERROR(VLOOKUP(G4689,WholesaleExtract!B:J,6,FALSE),"")</f>
        <v/>
      </c>
      <c r="H4689" s="47" t="str">
        <f>IFERROR(VLOOKUP(G4689,WholesaleExtract!B:L,11,FALSE),"")</f>
        <v/>
      </c>
      <c r="I4689" s="26" t="str">
        <f>IFERROR(VLOOKUP(G4689,WholesaleExtract!B:O,8,FALSE),"")</f>
        <v/>
      </c>
      <c r="J4689" s="26" t="str">
        <f>IFERROR(VLOOKUP(G4689,WholesaleExtract!B:O,14,FALSE),"")</f>
        <v/>
      </c>
      <c r="K4689" s="26" t="str">
        <f>IFERROR(VLOOKUP(G4689,WholesaleExtract!B:K,10,FALSE),"")</f>
        <v/>
      </c>
      <c r="L4689" s="47" t="str">
        <f>IFERROR(VLOOKUP(G4689,WholesaleExtract!B:L,11,FALSE),"")</f>
        <v/>
      </c>
      <c r="M4689" s="47" t="str">
        <f>IFERROR(VLOOKUP(G4689,WholesaleExtract!B:M,12,FALSE),"")</f>
        <v/>
      </c>
      <c r="R4689" s="19"/>
      <c r="S4689" s="19"/>
    </row>
    <row r="4690" spans="1:19" x14ac:dyDescent="0.35">
      <c r="A4690" s="26" t="s">
        <v>543</v>
      </c>
      <c r="B4690" s="26" t="s">
        <v>543</v>
      </c>
      <c r="C4690" s="26"/>
      <c r="D4690" s="26" t="s">
        <v>543</v>
      </c>
      <c r="E4690" s="26" t="str">
        <f>IFERROR(VLOOKUP(G4690,WholesaleExtract!B:J,9,FALSE),"")</f>
        <v/>
      </c>
      <c r="F4690" s="26" t="str">
        <f>IFERROR(VLOOKUP(G4690,WholesaleExtract!B:J,6,FALSE),"")</f>
        <v/>
      </c>
      <c r="H4690" s="47" t="str">
        <f>IFERROR(VLOOKUP(G4690,WholesaleExtract!B:L,11,FALSE),"")</f>
        <v/>
      </c>
      <c r="I4690" s="26" t="str">
        <f>IFERROR(VLOOKUP(G4690,WholesaleExtract!B:O,8,FALSE),"")</f>
        <v/>
      </c>
      <c r="J4690" s="26" t="str">
        <f>IFERROR(VLOOKUP(G4690,WholesaleExtract!B:O,14,FALSE),"")</f>
        <v/>
      </c>
      <c r="K4690" s="26" t="str">
        <f>IFERROR(VLOOKUP(G4690,WholesaleExtract!B:K,10,FALSE),"")</f>
        <v/>
      </c>
      <c r="L4690" s="47" t="str">
        <f>IFERROR(VLOOKUP(G4690,WholesaleExtract!B:L,11,FALSE),"")</f>
        <v/>
      </c>
      <c r="M4690" s="47" t="str">
        <f>IFERROR(VLOOKUP(G4690,WholesaleExtract!B:M,12,FALSE),"")</f>
        <v/>
      </c>
      <c r="R4690" s="19"/>
      <c r="S4690" s="19"/>
    </row>
    <row r="4691" spans="1:19" x14ac:dyDescent="0.35">
      <c r="A4691" s="26" t="s">
        <v>543</v>
      </c>
      <c r="B4691" s="26" t="s">
        <v>543</v>
      </c>
      <c r="C4691" s="26"/>
      <c r="D4691" s="26" t="s">
        <v>543</v>
      </c>
      <c r="E4691" s="26" t="str">
        <f>IFERROR(VLOOKUP(G4691,WholesaleExtract!B:J,9,FALSE),"")</f>
        <v/>
      </c>
      <c r="F4691" s="26" t="str">
        <f>IFERROR(VLOOKUP(G4691,WholesaleExtract!B:J,6,FALSE),"")</f>
        <v/>
      </c>
      <c r="H4691" s="47" t="str">
        <f>IFERROR(VLOOKUP(G4691,WholesaleExtract!B:L,11,FALSE),"")</f>
        <v/>
      </c>
      <c r="I4691" s="26" t="str">
        <f>IFERROR(VLOOKUP(G4691,WholesaleExtract!B:O,8,FALSE),"")</f>
        <v/>
      </c>
      <c r="J4691" s="26" t="str">
        <f>IFERROR(VLOOKUP(G4691,WholesaleExtract!B:O,14,FALSE),"")</f>
        <v/>
      </c>
      <c r="K4691" s="26" t="str">
        <f>IFERROR(VLOOKUP(G4691,WholesaleExtract!B:K,10,FALSE),"")</f>
        <v/>
      </c>
      <c r="L4691" s="47" t="str">
        <f>IFERROR(VLOOKUP(G4691,WholesaleExtract!B:L,11,FALSE),"")</f>
        <v/>
      </c>
      <c r="M4691" s="47" t="str">
        <f>IFERROR(VLOOKUP(G4691,WholesaleExtract!B:M,12,FALSE),"")</f>
        <v/>
      </c>
      <c r="R4691" s="19"/>
      <c r="S4691" s="19"/>
    </row>
    <row r="4692" spans="1:19" x14ac:dyDescent="0.35">
      <c r="A4692" s="26" t="s">
        <v>543</v>
      </c>
      <c r="B4692" s="26" t="s">
        <v>543</v>
      </c>
      <c r="C4692" s="26"/>
      <c r="D4692" s="26" t="s">
        <v>543</v>
      </c>
      <c r="E4692" s="26" t="str">
        <f>IFERROR(VLOOKUP(G4692,WholesaleExtract!B:J,9,FALSE),"")</f>
        <v/>
      </c>
      <c r="F4692" s="26" t="str">
        <f>IFERROR(VLOOKUP(G4692,WholesaleExtract!B:J,6,FALSE),"")</f>
        <v/>
      </c>
      <c r="H4692" s="47" t="str">
        <f>IFERROR(VLOOKUP(G4692,WholesaleExtract!B:L,11,FALSE),"")</f>
        <v/>
      </c>
      <c r="I4692" s="26" t="str">
        <f>IFERROR(VLOOKUP(G4692,WholesaleExtract!B:O,8,FALSE),"")</f>
        <v/>
      </c>
      <c r="J4692" s="26" t="str">
        <f>IFERROR(VLOOKUP(G4692,WholesaleExtract!B:O,14,FALSE),"")</f>
        <v/>
      </c>
      <c r="K4692" s="26" t="str">
        <f>IFERROR(VLOOKUP(G4692,WholesaleExtract!B:K,10,FALSE),"")</f>
        <v/>
      </c>
      <c r="L4692" s="47" t="str">
        <f>IFERROR(VLOOKUP(G4692,WholesaleExtract!B:L,11,FALSE),"")</f>
        <v/>
      </c>
      <c r="M4692" s="47" t="str">
        <f>IFERROR(VLOOKUP(G4692,WholesaleExtract!B:M,12,FALSE),"")</f>
        <v/>
      </c>
      <c r="R4692" s="19"/>
      <c r="S4692" s="19"/>
    </row>
    <row r="4693" spans="1:19" x14ac:dyDescent="0.35">
      <c r="A4693" s="26" t="s">
        <v>543</v>
      </c>
      <c r="B4693" s="26" t="s">
        <v>543</v>
      </c>
      <c r="C4693" s="26"/>
      <c r="D4693" s="26" t="s">
        <v>543</v>
      </c>
      <c r="E4693" s="26" t="str">
        <f>IFERROR(VLOOKUP(G4693,WholesaleExtract!B:J,9,FALSE),"")</f>
        <v/>
      </c>
      <c r="F4693" s="26" t="str">
        <f>IFERROR(VLOOKUP(G4693,WholesaleExtract!B:J,6,FALSE),"")</f>
        <v/>
      </c>
      <c r="H4693" s="47" t="str">
        <f>IFERROR(VLOOKUP(G4693,WholesaleExtract!B:L,11,FALSE),"")</f>
        <v/>
      </c>
      <c r="I4693" s="26" t="str">
        <f>IFERROR(VLOOKUP(G4693,WholesaleExtract!B:O,8,FALSE),"")</f>
        <v/>
      </c>
      <c r="J4693" s="26" t="str">
        <f>IFERROR(VLOOKUP(G4693,WholesaleExtract!B:O,14,FALSE),"")</f>
        <v/>
      </c>
      <c r="K4693" s="26" t="str">
        <f>IFERROR(VLOOKUP(G4693,WholesaleExtract!B:K,10,FALSE),"")</f>
        <v/>
      </c>
      <c r="L4693" s="47" t="str">
        <f>IFERROR(VLOOKUP(G4693,WholesaleExtract!B:L,11,FALSE),"")</f>
        <v/>
      </c>
      <c r="M4693" s="47" t="str">
        <f>IFERROR(VLOOKUP(G4693,WholesaleExtract!B:M,12,FALSE),"")</f>
        <v/>
      </c>
      <c r="R4693" s="19"/>
      <c r="S4693" s="19"/>
    </row>
    <row r="4694" spans="1:19" x14ac:dyDescent="0.35">
      <c r="A4694" s="26" t="s">
        <v>543</v>
      </c>
      <c r="B4694" s="26" t="s">
        <v>543</v>
      </c>
      <c r="C4694" s="26"/>
      <c r="D4694" s="26" t="s">
        <v>543</v>
      </c>
      <c r="E4694" s="26" t="str">
        <f>IFERROR(VLOOKUP(G4694,WholesaleExtract!B:J,9,FALSE),"")</f>
        <v/>
      </c>
      <c r="F4694" s="26" t="str">
        <f>IFERROR(VLOOKUP(G4694,WholesaleExtract!B:J,6,FALSE),"")</f>
        <v/>
      </c>
      <c r="H4694" s="47" t="str">
        <f>IFERROR(VLOOKUP(G4694,WholesaleExtract!B:L,11,FALSE),"")</f>
        <v/>
      </c>
      <c r="I4694" s="26" t="str">
        <f>IFERROR(VLOOKUP(G4694,WholesaleExtract!B:O,8,FALSE),"")</f>
        <v/>
      </c>
      <c r="J4694" s="26" t="str">
        <f>IFERROR(VLOOKUP(G4694,WholesaleExtract!B:O,14,FALSE),"")</f>
        <v/>
      </c>
      <c r="K4694" s="26" t="str">
        <f>IFERROR(VLOOKUP(G4694,WholesaleExtract!B:K,10,FALSE),"")</f>
        <v/>
      </c>
      <c r="L4694" s="47" t="str">
        <f>IFERROR(VLOOKUP(G4694,WholesaleExtract!B:L,11,FALSE),"")</f>
        <v/>
      </c>
      <c r="M4694" s="47" t="str">
        <f>IFERROR(VLOOKUP(G4694,WholesaleExtract!B:M,12,FALSE),"")</f>
        <v/>
      </c>
      <c r="R4694" s="19"/>
      <c r="S4694" s="19"/>
    </row>
    <row r="4695" spans="1:19" x14ac:dyDescent="0.35">
      <c r="A4695" s="26" t="s">
        <v>543</v>
      </c>
      <c r="B4695" s="26" t="s">
        <v>543</v>
      </c>
      <c r="C4695" s="26"/>
      <c r="D4695" s="26" t="s">
        <v>543</v>
      </c>
      <c r="E4695" s="26" t="str">
        <f>IFERROR(VLOOKUP(G4695,WholesaleExtract!B:J,9,FALSE),"")</f>
        <v/>
      </c>
      <c r="F4695" s="26" t="str">
        <f>IFERROR(VLOOKUP(G4695,WholesaleExtract!B:J,6,FALSE),"")</f>
        <v/>
      </c>
      <c r="H4695" s="47" t="str">
        <f>IFERROR(VLOOKUP(G4695,WholesaleExtract!B:L,11,FALSE),"")</f>
        <v/>
      </c>
      <c r="I4695" s="26" t="str">
        <f>IFERROR(VLOOKUP(G4695,WholesaleExtract!B:O,8,FALSE),"")</f>
        <v/>
      </c>
      <c r="J4695" s="26" t="str">
        <f>IFERROR(VLOOKUP(G4695,WholesaleExtract!B:O,14,FALSE),"")</f>
        <v/>
      </c>
      <c r="K4695" s="26" t="str">
        <f>IFERROR(VLOOKUP(G4695,WholesaleExtract!B:K,10,FALSE),"")</f>
        <v/>
      </c>
      <c r="L4695" s="47" t="str">
        <f>IFERROR(VLOOKUP(G4695,WholesaleExtract!B:L,11,FALSE),"")</f>
        <v/>
      </c>
      <c r="M4695" s="47" t="str">
        <f>IFERROR(VLOOKUP(G4695,WholesaleExtract!B:M,12,FALSE),"")</f>
        <v/>
      </c>
      <c r="R4695" s="19"/>
      <c r="S4695" s="19"/>
    </row>
    <row r="4696" spans="1:19" x14ac:dyDescent="0.35">
      <c r="A4696" s="26" t="s">
        <v>543</v>
      </c>
      <c r="B4696" s="26" t="s">
        <v>543</v>
      </c>
      <c r="C4696" s="26"/>
      <c r="D4696" s="26" t="s">
        <v>543</v>
      </c>
      <c r="E4696" s="26" t="str">
        <f>IFERROR(VLOOKUP(G4696,WholesaleExtract!B:J,9,FALSE),"")</f>
        <v/>
      </c>
      <c r="F4696" s="26" t="str">
        <f>IFERROR(VLOOKUP(G4696,WholesaleExtract!B:J,6,FALSE),"")</f>
        <v/>
      </c>
      <c r="H4696" s="47" t="str">
        <f>IFERROR(VLOOKUP(G4696,WholesaleExtract!B:L,11,FALSE),"")</f>
        <v/>
      </c>
      <c r="I4696" s="26" t="str">
        <f>IFERROR(VLOOKUP(G4696,WholesaleExtract!B:O,8,FALSE),"")</f>
        <v/>
      </c>
      <c r="J4696" s="26" t="str">
        <f>IFERROR(VLOOKUP(G4696,WholesaleExtract!B:O,14,FALSE),"")</f>
        <v/>
      </c>
      <c r="K4696" s="26" t="str">
        <f>IFERROR(VLOOKUP(G4696,WholesaleExtract!B:K,10,FALSE),"")</f>
        <v/>
      </c>
      <c r="L4696" s="47" t="str">
        <f>IFERROR(VLOOKUP(G4696,WholesaleExtract!B:L,11,FALSE),"")</f>
        <v/>
      </c>
      <c r="M4696" s="47" t="str">
        <f>IFERROR(VLOOKUP(G4696,WholesaleExtract!B:M,12,FALSE),"")</f>
        <v/>
      </c>
      <c r="R4696" s="19"/>
      <c r="S4696" s="19"/>
    </row>
    <row r="4697" spans="1:19" x14ac:dyDescent="0.35">
      <c r="A4697" s="26" t="s">
        <v>543</v>
      </c>
      <c r="B4697" s="26" t="s">
        <v>543</v>
      </c>
      <c r="C4697" s="26"/>
      <c r="D4697" s="26" t="s">
        <v>543</v>
      </c>
      <c r="E4697" s="26" t="str">
        <f>IFERROR(VLOOKUP(G4697,WholesaleExtract!B:J,9,FALSE),"")</f>
        <v/>
      </c>
      <c r="F4697" s="26" t="str">
        <f>IFERROR(VLOOKUP(G4697,WholesaleExtract!B:J,6,FALSE),"")</f>
        <v/>
      </c>
      <c r="H4697" s="47" t="str">
        <f>IFERROR(VLOOKUP(G4697,WholesaleExtract!B:L,11,FALSE),"")</f>
        <v/>
      </c>
      <c r="I4697" s="26" t="str">
        <f>IFERROR(VLOOKUP(G4697,WholesaleExtract!B:O,8,FALSE),"")</f>
        <v/>
      </c>
      <c r="J4697" s="26" t="str">
        <f>IFERROR(VLOOKUP(G4697,WholesaleExtract!B:O,14,FALSE),"")</f>
        <v/>
      </c>
      <c r="K4697" s="26" t="str">
        <f>IFERROR(VLOOKUP(G4697,WholesaleExtract!B:K,10,FALSE),"")</f>
        <v/>
      </c>
      <c r="L4697" s="47" t="str">
        <f>IFERROR(VLOOKUP(G4697,WholesaleExtract!B:L,11,FALSE),"")</f>
        <v/>
      </c>
      <c r="M4697" s="47" t="str">
        <f>IFERROR(VLOOKUP(G4697,WholesaleExtract!B:M,12,FALSE),"")</f>
        <v/>
      </c>
      <c r="R4697" s="19"/>
      <c r="S4697" s="19"/>
    </row>
    <row r="4698" spans="1:19" x14ac:dyDescent="0.35">
      <c r="A4698" s="26" t="s">
        <v>543</v>
      </c>
      <c r="B4698" s="26" t="s">
        <v>543</v>
      </c>
      <c r="C4698" s="26"/>
      <c r="D4698" s="26" t="s">
        <v>543</v>
      </c>
      <c r="E4698" s="26" t="str">
        <f>IFERROR(VLOOKUP(G4698,WholesaleExtract!B:J,9,FALSE),"")</f>
        <v/>
      </c>
      <c r="F4698" s="26" t="str">
        <f>IFERROR(VLOOKUP(G4698,WholesaleExtract!B:J,6,FALSE),"")</f>
        <v/>
      </c>
      <c r="H4698" s="47" t="str">
        <f>IFERROR(VLOOKUP(G4698,WholesaleExtract!B:L,11,FALSE),"")</f>
        <v/>
      </c>
      <c r="I4698" s="26" t="str">
        <f>IFERROR(VLOOKUP(G4698,WholesaleExtract!B:O,8,FALSE),"")</f>
        <v/>
      </c>
      <c r="J4698" s="26" t="str">
        <f>IFERROR(VLOOKUP(G4698,WholesaleExtract!B:O,14,FALSE),"")</f>
        <v/>
      </c>
      <c r="K4698" s="26" t="str">
        <f>IFERROR(VLOOKUP(G4698,WholesaleExtract!B:K,10,FALSE),"")</f>
        <v/>
      </c>
      <c r="L4698" s="47" t="str">
        <f>IFERROR(VLOOKUP(G4698,WholesaleExtract!B:L,11,FALSE),"")</f>
        <v/>
      </c>
      <c r="M4698" s="47" t="str">
        <f>IFERROR(VLOOKUP(G4698,WholesaleExtract!B:M,12,FALSE),"")</f>
        <v/>
      </c>
      <c r="R4698" s="19"/>
      <c r="S4698" s="19"/>
    </row>
    <row r="4699" spans="1:19" x14ac:dyDescent="0.35">
      <c r="A4699" s="26" t="s">
        <v>543</v>
      </c>
      <c r="B4699" s="26" t="s">
        <v>543</v>
      </c>
      <c r="C4699" s="26"/>
      <c r="D4699" s="26" t="s">
        <v>543</v>
      </c>
      <c r="E4699" s="26" t="str">
        <f>IFERROR(VLOOKUP(G4699,WholesaleExtract!B:J,9,FALSE),"")</f>
        <v/>
      </c>
      <c r="F4699" s="26" t="str">
        <f>IFERROR(VLOOKUP(G4699,WholesaleExtract!B:J,6,FALSE),"")</f>
        <v/>
      </c>
      <c r="H4699" s="47" t="str">
        <f>IFERROR(VLOOKUP(G4699,WholesaleExtract!B:L,11,FALSE),"")</f>
        <v/>
      </c>
      <c r="I4699" s="26" t="str">
        <f>IFERROR(VLOOKUP(G4699,WholesaleExtract!B:O,8,FALSE),"")</f>
        <v/>
      </c>
      <c r="J4699" s="26" t="str">
        <f>IFERROR(VLOOKUP(G4699,WholesaleExtract!B:O,14,FALSE),"")</f>
        <v/>
      </c>
      <c r="K4699" s="26" t="str">
        <f>IFERROR(VLOOKUP(G4699,WholesaleExtract!B:K,10,FALSE),"")</f>
        <v/>
      </c>
      <c r="L4699" s="47" t="str">
        <f>IFERROR(VLOOKUP(G4699,WholesaleExtract!B:L,11,FALSE),"")</f>
        <v/>
      </c>
      <c r="M4699" s="47" t="str">
        <f>IFERROR(VLOOKUP(G4699,WholesaleExtract!B:M,12,FALSE),"")</f>
        <v/>
      </c>
      <c r="R4699" s="19"/>
      <c r="S4699" s="19"/>
    </row>
    <row r="4700" spans="1:19" x14ac:dyDescent="0.35">
      <c r="A4700" s="26" t="s">
        <v>543</v>
      </c>
      <c r="B4700" s="26" t="s">
        <v>543</v>
      </c>
      <c r="C4700" s="26"/>
      <c r="D4700" s="26" t="s">
        <v>543</v>
      </c>
      <c r="E4700" s="26" t="str">
        <f>IFERROR(VLOOKUP(G4700,WholesaleExtract!B:J,9,FALSE),"")</f>
        <v/>
      </c>
      <c r="F4700" s="26" t="str">
        <f>IFERROR(VLOOKUP(G4700,WholesaleExtract!B:J,6,FALSE),"")</f>
        <v/>
      </c>
      <c r="H4700" s="47" t="str">
        <f>IFERROR(VLOOKUP(G4700,WholesaleExtract!B:L,11,FALSE),"")</f>
        <v/>
      </c>
      <c r="I4700" s="26" t="str">
        <f>IFERROR(VLOOKUP(G4700,WholesaleExtract!B:O,8,FALSE),"")</f>
        <v/>
      </c>
      <c r="J4700" s="26" t="str">
        <f>IFERROR(VLOOKUP(G4700,WholesaleExtract!B:O,14,FALSE),"")</f>
        <v/>
      </c>
      <c r="K4700" s="26" t="str">
        <f>IFERROR(VLOOKUP(G4700,WholesaleExtract!B:K,10,FALSE),"")</f>
        <v/>
      </c>
      <c r="L4700" s="47" t="str">
        <f>IFERROR(VLOOKUP(G4700,WholesaleExtract!B:L,11,FALSE),"")</f>
        <v/>
      </c>
      <c r="M4700" s="47" t="str">
        <f>IFERROR(VLOOKUP(G4700,WholesaleExtract!B:M,12,FALSE),"")</f>
        <v/>
      </c>
      <c r="R4700" s="19"/>
      <c r="S4700" s="19"/>
    </row>
    <row r="4701" spans="1:19" x14ac:dyDescent="0.35">
      <c r="A4701" s="26" t="s">
        <v>543</v>
      </c>
      <c r="B4701" s="26" t="s">
        <v>543</v>
      </c>
      <c r="C4701" s="26"/>
      <c r="D4701" s="26" t="s">
        <v>543</v>
      </c>
      <c r="E4701" s="26" t="str">
        <f>IFERROR(VLOOKUP(G4701,WholesaleExtract!B:J,9,FALSE),"")</f>
        <v/>
      </c>
      <c r="F4701" s="26" t="str">
        <f>IFERROR(VLOOKUP(G4701,WholesaleExtract!B:J,6,FALSE),"")</f>
        <v/>
      </c>
      <c r="H4701" s="47" t="str">
        <f>IFERROR(VLOOKUP(G4701,WholesaleExtract!B:L,11,FALSE),"")</f>
        <v/>
      </c>
      <c r="I4701" s="26" t="str">
        <f>IFERROR(VLOOKUP(G4701,WholesaleExtract!B:O,8,FALSE),"")</f>
        <v/>
      </c>
      <c r="J4701" s="26" t="str">
        <f>IFERROR(VLOOKUP(G4701,WholesaleExtract!B:O,14,FALSE),"")</f>
        <v/>
      </c>
      <c r="K4701" s="26" t="str">
        <f>IFERROR(VLOOKUP(G4701,WholesaleExtract!B:K,10,FALSE),"")</f>
        <v/>
      </c>
      <c r="L4701" s="47" t="str">
        <f>IFERROR(VLOOKUP(G4701,WholesaleExtract!B:L,11,FALSE),"")</f>
        <v/>
      </c>
      <c r="M4701" s="47" t="str">
        <f>IFERROR(VLOOKUP(G4701,WholesaleExtract!B:M,12,FALSE),"")</f>
        <v/>
      </c>
      <c r="R4701" s="19"/>
      <c r="S4701" s="19"/>
    </row>
    <row r="4702" spans="1:19" x14ac:dyDescent="0.35">
      <c r="A4702" s="26" t="s">
        <v>543</v>
      </c>
      <c r="B4702" s="26" t="s">
        <v>543</v>
      </c>
      <c r="C4702" s="26"/>
      <c r="D4702" s="26" t="s">
        <v>543</v>
      </c>
      <c r="E4702" s="26" t="str">
        <f>IFERROR(VLOOKUP(G4702,WholesaleExtract!B:J,9,FALSE),"")</f>
        <v/>
      </c>
      <c r="F4702" s="26" t="str">
        <f>IFERROR(VLOOKUP(G4702,WholesaleExtract!B:J,6,FALSE),"")</f>
        <v/>
      </c>
      <c r="H4702" s="47" t="str">
        <f>IFERROR(VLOOKUP(G4702,WholesaleExtract!B:L,11,FALSE),"")</f>
        <v/>
      </c>
      <c r="I4702" s="26" t="str">
        <f>IFERROR(VLOOKUP(G4702,WholesaleExtract!B:O,8,FALSE),"")</f>
        <v/>
      </c>
      <c r="J4702" s="26" t="str">
        <f>IFERROR(VLOOKUP(G4702,WholesaleExtract!B:O,14,FALSE),"")</f>
        <v/>
      </c>
      <c r="K4702" s="26" t="str">
        <f>IFERROR(VLOOKUP(G4702,WholesaleExtract!B:K,10,FALSE),"")</f>
        <v/>
      </c>
      <c r="L4702" s="47" t="str">
        <f>IFERROR(VLOOKUP(G4702,WholesaleExtract!B:L,11,FALSE),"")</f>
        <v/>
      </c>
      <c r="M4702" s="47" t="str">
        <f>IFERROR(VLOOKUP(G4702,WholesaleExtract!B:M,12,FALSE),"")</f>
        <v/>
      </c>
      <c r="R4702" s="19"/>
      <c r="S4702" s="19"/>
    </row>
    <row r="4703" spans="1:19" x14ac:dyDescent="0.35">
      <c r="A4703" s="26" t="s">
        <v>543</v>
      </c>
      <c r="B4703" s="26" t="s">
        <v>543</v>
      </c>
      <c r="C4703" s="26"/>
      <c r="D4703" s="26" t="s">
        <v>543</v>
      </c>
      <c r="E4703" s="26" t="str">
        <f>IFERROR(VLOOKUP(G4703,WholesaleExtract!B:J,9,FALSE),"")</f>
        <v/>
      </c>
      <c r="F4703" s="26" t="str">
        <f>IFERROR(VLOOKUP(G4703,WholesaleExtract!B:J,6,FALSE),"")</f>
        <v/>
      </c>
      <c r="H4703" s="47" t="str">
        <f>IFERROR(VLOOKUP(G4703,WholesaleExtract!B:L,11,FALSE),"")</f>
        <v/>
      </c>
      <c r="I4703" s="26" t="str">
        <f>IFERROR(VLOOKUP(G4703,WholesaleExtract!B:O,8,FALSE),"")</f>
        <v/>
      </c>
      <c r="J4703" s="26" t="str">
        <f>IFERROR(VLOOKUP(G4703,WholesaleExtract!B:O,14,FALSE),"")</f>
        <v/>
      </c>
      <c r="K4703" s="26" t="str">
        <f>IFERROR(VLOOKUP(G4703,WholesaleExtract!B:K,10,FALSE),"")</f>
        <v/>
      </c>
      <c r="L4703" s="47" t="str">
        <f>IFERROR(VLOOKUP(G4703,WholesaleExtract!B:L,11,FALSE),"")</f>
        <v/>
      </c>
      <c r="M4703" s="47" t="str">
        <f>IFERROR(VLOOKUP(G4703,WholesaleExtract!B:M,12,FALSE),"")</f>
        <v/>
      </c>
      <c r="R4703" s="19"/>
      <c r="S4703" s="19"/>
    </row>
    <row r="4704" spans="1:19" x14ac:dyDescent="0.35">
      <c r="A4704" s="26" t="s">
        <v>543</v>
      </c>
      <c r="B4704" s="26" t="s">
        <v>543</v>
      </c>
      <c r="C4704" s="26"/>
      <c r="D4704" s="26" t="s">
        <v>543</v>
      </c>
      <c r="E4704" s="26" t="str">
        <f>IFERROR(VLOOKUP(G4704,WholesaleExtract!B:J,9,FALSE),"")</f>
        <v/>
      </c>
      <c r="F4704" s="26" t="str">
        <f>IFERROR(VLOOKUP(G4704,WholesaleExtract!B:J,6,FALSE),"")</f>
        <v/>
      </c>
      <c r="H4704" s="47" t="str">
        <f>IFERROR(VLOOKUP(G4704,WholesaleExtract!B:L,11,FALSE),"")</f>
        <v/>
      </c>
      <c r="I4704" s="26" t="str">
        <f>IFERROR(VLOOKUP(G4704,WholesaleExtract!B:O,8,FALSE),"")</f>
        <v/>
      </c>
      <c r="J4704" s="26" t="str">
        <f>IFERROR(VLOOKUP(G4704,WholesaleExtract!B:O,14,FALSE),"")</f>
        <v/>
      </c>
      <c r="K4704" s="26" t="str">
        <f>IFERROR(VLOOKUP(G4704,WholesaleExtract!B:K,10,FALSE),"")</f>
        <v/>
      </c>
      <c r="L4704" s="47" t="str">
        <f>IFERROR(VLOOKUP(G4704,WholesaleExtract!B:L,11,FALSE),"")</f>
        <v/>
      </c>
      <c r="M4704" s="47" t="str">
        <f>IFERROR(VLOOKUP(G4704,WholesaleExtract!B:M,12,FALSE),"")</f>
        <v/>
      </c>
      <c r="R4704" s="19"/>
      <c r="S4704" s="19"/>
    </row>
    <row r="4705" spans="1:19" x14ac:dyDescent="0.35">
      <c r="A4705" s="26" t="s">
        <v>543</v>
      </c>
      <c r="B4705" s="26" t="s">
        <v>543</v>
      </c>
      <c r="C4705" s="26"/>
      <c r="D4705" s="26" t="s">
        <v>543</v>
      </c>
      <c r="E4705" s="26" t="str">
        <f>IFERROR(VLOOKUP(G4705,WholesaleExtract!B:J,9,FALSE),"")</f>
        <v/>
      </c>
      <c r="F4705" s="26" t="str">
        <f>IFERROR(VLOOKUP(G4705,WholesaleExtract!B:J,6,FALSE),"")</f>
        <v/>
      </c>
      <c r="H4705" s="47" t="str">
        <f>IFERROR(VLOOKUP(G4705,WholesaleExtract!B:L,11,FALSE),"")</f>
        <v/>
      </c>
      <c r="I4705" s="26" t="str">
        <f>IFERROR(VLOOKUP(G4705,WholesaleExtract!B:O,8,FALSE),"")</f>
        <v/>
      </c>
      <c r="J4705" s="26" t="str">
        <f>IFERROR(VLOOKUP(G4705,WholesaleExtract!B:O,14,FALSE),"")</f>
        <v/>
      </c>
      <c r="K4705" s="26" t="str">
        <f>IFERROR(VLOOKUP(G4705,WholesaleExtract!B:K,10,FALSE),"")</f>
        <v/>
      </c>
      <c r="L4705" s="47" t="str">
        <f>IFERROR(VLOOKUP(G4705,WholesaleExtract!B:L,11,FALSE),"")</f>
        <v/>
      </c>
      <c r="M4705" s="47" t="str">
        <f>IFERROR(VLOOKUP(G4705,WholesaleExtract!B:M,12,FALSE),"")</f>
        <v/>
      </c>
      <c r="R4705" s="19"/>
      <c r="S4705" s="19"/>
    </row>
    <row r="4706" spans="1:19" x14ac:dyDescent="0.35">
      <c r="A4706" s="26" t="s">
        <v>543</v>
      </c>
      <c r="B4706" s="26" t="s">
        <v>543</v>
      </c>
      <c r="C4706" s="26"/>
      <c r="D4706" s="26" t="s">
        <v>543</v>
      </c>
      <c r="E4706" s="26" t="str">
        <f>IFERROR(VLOOKUP(G4706,WholesaleExtract!B:J,9,FALSE),"")</f>
        <v/>
      </c>
      <c r="F4706" s="26" t="str">
        <f>IFERROR(VLOOKUP(G4706,WholesaleExtract!B:J,6,FALSE),"")</f>
        <v/>
      </c>
      <c r="H4706" s="47" t="str">
        <f>IFERROR(VLOOKUP(G4706,WholesaleExtract!B:L,11,FALSE),"")</f>
        <v/>
      </c>
      <c r="I4706" s="26" t="str">
        <f>IFERROR(VLOOKUP(G4706,WholesaleExtract!B:O,8,FALSE),"")</f>
        <v/>
      </c>
      <c r="J4706" s="26" t="str">
        <f>IFERROR(VLOOKUP(G4706,WholesaleExtract!B:O,14,FALSE),"")</f>
        <v/>
      </c>
      <c r="K4706" s="26" t="str">
        <f>IFERROR(VLOOKUP(G4706,WholesaleExtract!B:K,10,FALSE),"")</f>
        <v/>
      </c>
      <c r="L4706" s="47" t="str">
        <f>IFERROR(VLOOKUP(G4706,WholesaleExtract!B:L,11,FALSE),"")</f>
        <v/>
      </c>
      <c r="M4706" s="47" t="str">
        <f>IFERROR(VLOOKUP(G4706,WholesaleExtract!B:M,12,FALSE),"")</f>
        <v/>
      </c>
      <c r="R4706" s="19"/>
      <c r="S4706" s="19"/>
    </row>
    <row r="4707" spans="1:19" x14ac:dyDescent="0.35">
      <c r="A4707" s="26" t="s">
        <v>543</v>
      </c>
      <c r="B4707" s="26" t="s">
        <v>543</v>
      </c>
      <c r="C4707" s="26"/>
      <c r="D4707" s="26" t="s">
        <v>543</v>
      </c>
      <c r="E4707" s="26" t="str">
        <f>IFERROR(VLOOKUP(G4707,WholesaleExtract!B:J,9,FALSE),"")</f>
        <v/>
      </c>
      <c r="F4707" s="26" t="str">
        <f>IFERROR(VLOOKUP(G4707,WholesaleExtract!B:J,6,FALSE),"")</f>
        <v/>
      </c>
      <c r="H4707" s="47" t="str">
        <f>IFERROR(VLOOKUP(G4707,WholesaleExtract!B:L,11,FALSE),"")</f>
        <v/>
      </c>
      <c r="I4707" s="26" t="str">
        <f>IFERROR(VLOOKUP(G4707,WholesaleExtract!B:O,8,FALSE),"")</f>
        <v/>
      </c>
      <c r="J4707" s="26" t="str">
        <f>IFERROR(VLOOKUP(G4707,WholesaleExtract!B:O,14,FALSE),"")</f>
        <v/>
      </c>
      <c r="K4707" s="26" t="str">
        <f>IFERROR(VLOOKUP(G4707,WholesaleExtract!B:K,10,FALSE),"")</f>
        <v/>
      </c>
      <c r="L4707" s="47" t="str">
        <f>IFERROR(VLOOKUP(G4707,WholesaleExtract!B:L,11,FALSE),"")</f>
        <v/>
      </c>
      <c r="M4707" s="47" t="str">
        <f>IFERROR(VLOOKUP(G4707,WholesaleExtract!B:M,12,FALSE),"")</f>
        <v/>
      </c>
      <c r="R4707" s="19"/>
      <c r="S4707" s="19"/>
    </row>
    <row r="4708" spans="1:19" x14ac:dyDescent="0.35">
      <c r="A4708" s="26" t="s">
        <v>543</v>
      </c>
      <c r="B4708" s="26" t="s">
        <v>543</v>
      </c>
      <c r="C4708" s="26"/>
      <c r="D4708" s="26" t="s">
        <v>543</v>
      </c>
      <c r="E4708" s="26" t="str">
        <f>IFERROR(VLOOKUP(G4708,WholesaleExtract!B:J,9,FALSE),"")</f>
        <v/>
      </c>
      <c r="F4708" s="26" t="str">
        <f>IFERROR(VLOOKUP(G4708,WholesaleExtract!B:J,6,FALSE),"")</f>
        <v/>
      </c>
      <c r="H4708" s="47" t="str">
        <f>IFERROR(VLOOKUP(G4708,WholesaleExtract!B:L,11,FALSE),"")</f>
        <v/>
      </c>
      <c r="I4708" s="26" t="str">
        <f>IFERROR(VLOOKUP(G4708,WholesaleExtract!B:O,8,FALSE),"")</f>
        <v/>
      </c>
      <c r="J4708" s="26" t="str">
        <f>IFERROR(VLOOKUP(G4708,WholesaleExtract!B:O,14,FALSE),"")</f>
        <v/>
      </c>
      <c r="K4708" s="26" t="str">
        <f>IFERROR(VLOOKUP(G4708,WholesaleExtract!B:K,10,FALSE),"")</f>
        <v/>
      </c>
      <c r="L4708" s="47" t="str">
        <f>IFERROR(VLOOKUP(G4708,WholesaleExtract!B:L,11,FALSE),"")</f>
        <v/>
      </c>
      <c r="M4708" s="47" t="str">
        <f>IFERROR(VLOOKUP(G4708,WholesaleExtract!B:M,12,FALSE),"")</f>
        <v/>
      </c>
      <c r="R4708" s="19"/>
      <c r="S4708" s="19"/>
    </row>
    <row r="4709" spans="1:19" x14ac:dyDescent="0.35">
      <c r="A4709" s="26" t="s">
        <v>543</v>
      </c>
      <c r="B4709" s="26" t="s">
        <v>543</v>
      </c>
      <c r="C4709" s="26"/>
      <c r="D4709" s="26" t="s">
        <v>543</v>
      </c>
      <c r="E4709" s="26" t="str">
        <f>IFERROR(VLOOKUP(G4709,WholesaleExtract!B:J,9,FALSE),"")</f>
        <v/>
      </c>
      <c r="F4709" s="26" t="str">
        <f>IFERROR(VLOOKUP(G4709,WholesaleExtract!B:J,6,FALSE),"")</f>
        <v/>
      </c>
      <c r="H4709" s="47" t="str">
        <f>IFERROR(VLOOKUP(G4709,WholesaleExtract!B:L,11,FALSE),"")</f>
        <v/>
      </c>
      <c r="I4709" s="26" t="str">
        <f>IFERROR(VLOOKUP(G4709,WholesaleExtract!B:O,8,FALSE),"")</f>
        <v/>
      </c>
      <c r="J4709" s="26" t="str">
        <f>IFERROR(VLOOKUP(G4709,WholesaleExtract!B:O,14,FALSE),"")</f>
        <v/>
      </c>
      <c r="K4709" s="26" t="str">
        <f>IFERROR(VLOOKUP(G4709,WholesaleExtract!B:K,10,FALSE),"")</f>
        <v/>
      </c>
      <c r="L4709" s="47" t="str">
        <f>IFERROR(VLOOKUP(G4709,WholesaleExtract!B:L,11,FALSE),"")</f>
        <v/>
      </c>
      <c r="M4709" s="47" t="str">
        <f>IFERROR(VLOOKUP(G4709,WholesaleExtract!B:M,12,FALSE),"")</f>
        <v/>
      </c>
      <c r="R4709" s="19"/>
      <c r="S4709" s="19"/>
    </row>
    <row r="4710" spans="1:19" x14ac:dyDescent="0.35">
      <c r="A4710" s="26" t="s">
        <v>543</v>
      </c>
      <c r="B4710" s="26" t="s">
        <v>543</v>
      </c>
      <c r="C4710" s="26"/>
      <c r="D4710" s="26" t="s">
        <v>543</v>
      </c>
      <c r="E4710" s="26" t="str">
        <f>IFERROR(VLOOKUP(G4710,WholesaleExtract!B:J,9,FALSE),"")</f>
        <v/>
      </c>
      <c r="F4710" s="26" t="str">
        <f>IFERROR(VLOOKUP(G4710,WholesaleExtract!B:J,6,FALSE),"")</f>
        <v/>
      </c>
      <c r="H4710" s="47" t="str">
        <f>IFERROR(VLOOKUP(G4710,WholesaleExtract!B:L,11,FALSE),"")</f>
        <v/>
      </c>
      <c r="I4710" s="26" t="str">
        <f>IFERROR(VLOOKUP(G4710,WholesaleExtract!B:O,8,FALSE),"")</f>
        <v/>
      </c>
      <c r="J4710" s="26" t="str">
        <f>IFERROR(VLOOKUP(G4710,WholesaleExtract!B:O,14,FALSE),"")</f>
        <v/>
      </c>
      <c r="K4710" s="26" t="str">
        <f>IFERROR(VLOOKUP(G4710,WholesaleExtract!B:K,10,FALSE),"")</f>
        <v/>
      </c>
      <c r="L4710" s="47" t="str">
        <f>IFERROR(VLOOKUP(G4710,WholesaleExtract!B:L,11,FALSE),"")</f>
        <v/>
      </c>
      <c r="M4710" s="47" t="str">
        <f>IFERROR(VLOOKUP(G4710,WholesaleExtract!B:M,12,FALSE),"")</f>
        <v/>
      </c>
      <c r="R4710" s="19"/>
      <c r="S4710" s="19"/>
    </row>
    <row r="4711" spans="1:19" x14ac:dyDescent="0.35">
      <c r="A4711" s="26" t="s">
        <v>543</v>
      </c>
      <c r="B4711" s="26" t="s">
        <v>543</v>
      </c>
      <c r="C4711" s="26"/>
      <c r="D4711" s="26" t="s">
        <v>543</v>
      </c>
      <c r="E4711" s="26" t="str">
        <f>IFERROR(VLOOKUP(G4711,WholesaleExtract!B:J,9,FALSE),"")</f>
        <v/>
      </c>
      <c r="F4711" s="26" t="str">
        <f>IFERROR(VLOOKUP(G4711,WholesaleExtract!B:J,6,FALSE),"")</f>
        <v/>
      </c>
      <c r="H4711" s="47" t="str">
        <f>IFERROR(VLOOKUP(G4711,WholesaleExtract!B:L,11,FALSE),"")</f>
        <v/>
      </c>
      <c r="I4711" s="26" t="str">
        <f>IFERROR(VLOOKUP(G4711,WholesaleExtract!B:O,8,FALSE),"")</f>
        <v/>
      </c>
      <c r="J4711" s="26" t="str">
        <f>IFERROR(VLOOKUP(G4711,WholesaleExtract!B:O,14,FALSE),"")</f>
        <v/>
      </c>
      <c r="K4711" s="26" t="str">
        <f>IFERROR(VLOOKUP(G4711,WholesaleExtract!B:K,10,FALSE),"")</f>
        <v/>
      </c>
      <c r="L4711" s="47" t="str">
        <f>IFERROR(VLOOKUP(G4711,WholesaleExtract!B:L,11,FALSE),"")</f>
        <v/>
      </c>
      <c r="M4711" s="47" t="str">
        <f>IFERROR(VLOOKUP(G4711,WholesaleExtract!B:M,12,FALSE),"")</f>
        <v/>
      </c>
      <c r="R4711" s="19"/>
      <c r="S4711" s="19"/>
    </row>
    <row r="4712" spans="1:19" x14ac:dyDescent="0.35">
      <c r="A4712" s="26" t="s">
        <v>543</v>
      </c>
      <c r="B4712" s="26" t="s">
        <v>543</v>
      </c>
      <c r="C4712" s="26"/>
      <c r="D4712" s="26" t="s">
        <v>543</v>
      </c>
      <c r="E4712" s="26" t="str">
        <f>IFERROR(VLOOKUP(G4712,WholesaleExtract!B:J,9,FALSE),"")</f>
        <v/>
      </c>
      <c r="F4712" s="26" t="str">
        <f>IFERROR(VLOOKUP(G4712,WholesaleExtract!B:J,6,FALSE),"")</f>
        <v/>
      </c>
      <c r="H4712" s="47" t="str">
        <f>IFERROR(VLOOKUP(G4712,WholesaleExtract!B:L,11,FALSE),"")</f>
        <v/>
      </c>
      <c r="I4712" s="26" t="str">
        <f>IFERROR(VLOOKUP(G4712,WholesaleExtract!B:O,8,FALSE),"")</f>
        <v/>
      </c>
      <c r="J4712" s="26" t="str">
        <f>IFERROR(VLOOKUP(G4712,WholesaleExtract!B:O,14,FALSE),"")</f>
        <v/>
      </c>
      <c r="K4712" s="26" t="str">
        <f>IFERROR(VLOOKUP(G4712,WholesaleExtract!B:K,10,FALSE),"")</f>
        <v/>
      </c>
      <c r="L4712" s="47" t="str">
        <f>IFERROR(VLOOKUP(G4712,WholesaleExtract!B:L,11,FALSE),"")</f>
        <v/>
      </c>
      <c r="M4712" s="47" t="str">
        <f>IFERROR(VLOOKUP(G4712,WholesaleExtract!B:M,12,FALSE),"")</f>
        <v/>
      </c>
      <c r="R4712" s="19"/>
      <c r="S4712" s="19"/>
    </row>
    <row r="4713" spans="1:19" x14ac:dyDescent="0.35">
      <c r="A4713" s="26" t="s">
        <v>543</v>
      </c>
      <c r="B4713" s="26" t="s">
        <v>543</v>
      </c>
      <c r="C4713" s="26"/>
      <c r="D4713" s="26" t="s">
        <v>543</v>
      </c>
      <c r="E4713" s="26" t="str">
        <f>IFERROR(VLOOKUP(G4713,WholesaleExtract!B:J,9,FALSE),"")</f>
        <v/>
      </c>
      <c r="F4713" s="26" t="str">
        <f>IFERROR(VLOOKUP(G4713,WholesaleExtract!B:J,6,FALSE),"")</f>
        <v/>
      </c>
      <c r="H4713" s="47" t="str">
        <f>IFERROR(VLOOKUP(G4713,WholesaleExtract!B:L,11,FALSE),"")</f>
        <v/>
      </c>
      <c r="I4713" s="26" t="str">
        <f>IFERROR(VLOOKUP(G4713,WholesaleExtract!B:O,8,FALSE),"")</f>
        <v/>
      </c>
      <c r="J4713" s="26" t="str">
        <f>IFERROR(VLOOKUP(G4713,WholesaleExtract!B:O,14,FALSE),"")</f>
        <v/>
      </c>
      <c r="K4713" s="26" t="str">
        <f>IFERROR(VLOOKUP(G4713,WholesaleExtract!B:K,10,FALSE),"")</f>
        <v/>
      </c>
      <c r="L4713" s="47" t="str">
        <f>IFERROR(VLOOKUP(G4713,WholesaleExtract!B:L,11,FALSE),"")</f>
        <v/>
      </c>
      <c r="M4713" s="47" t="str">
        <f>IFERROR(VLOOKUP(G4713,WholesaleExtract!B:M,12,FALSE),"")</f>
        <v/>
      </c>
      <c r="R4713" s="19"/>
      <c r="S4713" s="19"/>
    </row>
    <row r="4714" spans="1:19" x14ac:dyDescent="0.35">
      <c r="A4714" s="26" t="s">
        <v>543</v>
      </c>
      <c r="B4714" s="26" t="s">
        <v>543</v>
      </c>
      <c r="C4714" s="26"/>
      <c r="D4714" s="26" t="s">
        <v>543</v>
      </c>
      <c r="E4714" s="26" t="str">
        <f>IFERROR(VLOOKUP(G4714,WholesaleExtract!B:J,9,FALSE),"")</f>
        <v/>
      </c>
      <c r="F4714" s="26" t="str">
        <f>IFERROR(VLOOKUP(G4714,WholesaleExtract!B:J,6,FALSE),"")</f>
        <v/>
      </c>
      <c r="H4714" s="47" t="str">
        <f>IFERROR(VLOOKUP(G4714,WholesaleExtract!B:L,11,FALSE),"")</f>
        <v/>
      </c>
      <c r="I4714" s="26" t="str">
        <f>IFERROR(VLOOKUP(G4714,WholesaleExtract!B:O,8,FALSE),"")</f>
        <v/>
      </c>
      <c r="J4714" s="26" t="str">
        <f>IFERROR(VLOOKUP(G4714,WholesaleExtract!B:O,14,FALSE),"")</f>
        <v/>
      </c>
      <c r="K4714" s="26" t="str">
        <f>IFERROR(VLOOKUP(G4714,WholesaleExtract!B:K,10,FALSE),"")</f>
        <v/>
      </c>
      <c r="L4714" s="47" t="str">
        <f>IFERROR(VLOOKUP(G4714,WholesaleExtract!B:L,11,FALSE),"")</f>
        <v/>
      </c>
      <c r="M4714" s="47" t="str">
        <f>IFERROR(VLOOKUP(G4714,WholesaleExtract!B:M,12,FALSE),"")</f>
        <v/>
      </c>
      <c r="R4714" s="19"/>
      <c r="S4714" s="19"/>
    </row>
    <row r="4715" spans="1:19" x14ac:dyDescent="0.35">
      <c r="A4715" s="26" t="s">
        <v>543</v>
      </c>
      <c r="B4715" s="26" t="s">
        <v>543</v>
      </c>
      <c r="C4715" s="26"/>
      <c r="D4715" s="26" t="s">
        <v>543</v>
      </c>
      <c r="E4715" s="26" t="str">
        <f>IFERROR(VLOOKUP(G4715,WholesaleExtract!B:J,9,FALSE),"")</f>
        <v/>
      </c>
      <c r="F4715" s="26" t="str">
        <f>IFERROR(VLOOKUP(G4715,WholesaleExtract!B:J,6,FALSE),"")</f>
        <v/>
      </c>
      <c r="H4715" s="47" t="str">
        <f>IFERROR(VLOOKUP(G4715,WholesaleExtract!B:L,11,FALSE),"")</f>
        <v/>
      </c>
      <c r="I4715" s="26" t="str">
        <f>IFERROR(VLOOKUP(G4715,WholesaleExtract!B:O,8,FALSE),"")</f>
        <v/>
      </c>
      <c r="J4715" s="26" t="str">
        <f>IFERROR(VLOOKUP(G4715,WholesaleExtract!B:O,14,FALSE),"")</f>
        <v/>
      </c>
      <c r="K4715" s="26" t="str">
        <f>IFERROR(VLOOKUP(G4715,WholesaleExtract!B:K,10,FALSE),"")</f>
        <v/>
      </c>
      <c r="L4715" s="47" t="str">
        <f>IFERROR(VLOOKUP(G4715,WholesaleExtract!B:L,11,FALSE),"")</f>
        <v/>
      </c>
      <c r="M4715" s="47" t="str">
        <f>IFERROR(VLOOKUP(G4715,WholesaleExtract!B:M,12,FALSE),"")</f>
        <v/>
      </c>
      <c r="R4715" s="19"/>
      <c r="S4715" s="19"/>
    </row>
    <row r="4716" spans="1:19" x14ac:dyDescent="0.35">
      <c r="A4716" s="26" t="s">
        <v>543</v>
      </c>
      <c r="B4716" s="26" t="s">
        <v>543</v>
      </c>
      <c r="C4716" s="26"/>
      <c r="D4716" s="26" t="s">
        <v>543</v>
      </c>
      <c r="E4716" s="26" t="str">
        <f>IFERROR(VLOOKUP(G4716,WholesaleExtract!B:J,9,FALSE),"")</f>
        <v/>
      </c>
      <c r="F4716" s="26" t="str">
        <f>IFERROR(VLOOKUP(G4716,WholesaleExtract!B:J,6,FALSE),"")</f>
        <v/>
      </c>
      <c r="H4716" s="47" t="str">
        <f>IFERROR(VLOOKUP(G4716,WholesaleExtract!B:L,11,FALSE),"")</f>
        <v/>
      </c>
      <c r="I4716" s="26" t="str">
        <f>IFERROR(VLOOKUP(G4716,WholesaleExtract!B:O,8,FALSE),"")</f>
        <v/>
      </c>
      <c r="J4716" s="26" t="str">
        <f>IFERROR(VLOOKUP(G4716,WholesaleExtract!B:O,14,FALSE),"")</f>
        <v/>
      </c>
      <c r="K4716" s="26" t="str">
        <f>IFERROR(VLOOKUP(G4716,WholesaleExtract!B:K,10,FALSE),"")</f>
        <v/>
      </c>
      <c r="L4716" s="47" t="str">
        <f>IFERROR(VLOOKUP(G4716,WholesaleExtract!B:L,11,FALSE),"")</f>
        <v/>
      </c>
      <c r="M4716" s="47" t="str">
        <f>IFERROR(VLOOKUP(G4716,WholesaleExtract!B:M,12,FALSE),"")</f>
        <v/>
      </c>
      <c r="R4716" s="19"/>
      <c r="S4716" s="19"/>
    </row>
    <row r="4717" spans="1:19" x14ac:dyDescent="0.35">
      <c r="A4717" s="26" t="s">
        <v>543</v>
      </c>
      <c r="B4717" s="26" t="s">
        <v>543</v>
      </c>
      <c r="C4717" s="26"/>
      <c r="D4717" s="26" t="s">
        <v>543</v>
      </c>
      <c r="E4717" s="26" t="str">
        <f>IFERROR(VLOOKUP(G4717,WholesaleExtract!B:J,9,FALSE),"")</f>
        <v/>
      </c>
      <c r="F4717" s="26" t="str">
        <f>IFERROR(VLOOKUP(G4717,WholesaleExtract!B:J,6,FALSE),"")</f>
        <v/>
      </c>
      <c r="H4717" s="47" t="str">
        <f>IFERROR(VLOOKUP(G4717,WholesaleExtract!B:L,11,FALSE),"")</f>
        <v/>
      </c>
      <c r="I4717" s="26" t="str">
        <f>IFERROR(VLOOKUP(G4717,WholesaleExtract!B:O,8,FALSE),"")</f>
        <v/>
      </c>
      <c r="J4717" s="26" t="str">
        <f>IFERROR(VLOOKUP(G4717,WholesaleExtract!B:O,14,FALSE),"")</f>
        <v/>
      </c>
      <c r="K4717" s="26" t="str">
        <f>IFERROR(VLOOKUP(G4717,WholesaleExtract!B:K,10,FALSE),"")</f>
        <v/>
      </c>
      <c r="L4717" s="47" t="str">
        <f>IFERROR(VLOOKUP(G4717,WholesaleExtract!B:L,11,FALSE),"")</f>
        <v/>
      </c>
      <c r="M4717" s="47" t="str">
        <f>IFERROR(VLOOKUP(G4717,WholesaleExtract!B:M,12,FALSE),"")</f>
        <v/>
      </c>
      <c r="R4717" s="19"/>
      <c r="S4717" s="19"/>
    </row>
    <row r="4718" spans="1:19" x14ac:dyDescent="0.35">
      <c r="A4718" s="26" t="s">
        <v>543</v>
      </c>
      <c r="B4718" s="26" t="s">
        <v>543</v>
      </c>
      <c r="C4718" s="26"/>
      <c r="D4718" s="26" t="s">
        <v>543</v>
      </c>
      <c r="E4718" s="26" t="str">
        <f>IFERROR(VLOOKUP(G4718,WholesaleExtract!B:J,9,FALSE),"")</f>
        <v/>
      </c>
      <c r="F4718" s="26" t="str">
        <f>IFERROR(VLOOKUP(G4718,WholesaleExtract!B:J,6,FALSE),"")</f>
        <v/>
      </c>
      <c r="H4718" s="47" t="str">
        <f>IFERROR(VLOOKUP(G4718,WholesaleExtract!B:L,11,FALSE),"")</f>
        <v/>
      </c>
      <c r="I4718" s="26" t="str">
        <f>IFERROR(VLOOKUP(G4718,WholesaleExtract!B:O,8,FALSE),"")</f>
        <v/>
      </c>
      <c r="J4718" s="26" t="str">
        <f>IFERROR(VLOOKUP(G4718,WholesaleExtract!B:O,14,FALSE),"")</f>
        <v/>
      </c>
      <c r="K4718" s="26" t="str">
        <f>IFERROR(VLOOKUP(G4718,WholesaleExtract!B:K,10,FALSE),"")</f>
        <v/>
      </c>
      <c r="L4718" s="47" t="str">
        <f>IFERROR(VLOOKUP(G4718,WholesaleExtract!B:L,11,FALSE),"")</f>
        <v/>
      </c>
      <c r="M4718" s="47" t="str">
        <f>IFERROR(VLOOKUP(G4718,WholesaleExtract!B:M,12,FALSE),"")</f>
        <v/>
      </c>
      <c r="R4718" s="19"/>
      <c r="S4718" s="19"/>
    </row>
    <row r="4719" spans="1:19" x14ac:dyDescent="0.35">
      <c r="A4719" s="26" t="s">
        <v>543</v>
      </c>
      <c r="B4719" s="26" t="s">
        <v>543</v>
      </c>
      <c r="C4719" s="26"/>
      <c r="D4719" s="26" t="s">
        <v>543</v>
      </c>
      <c r="E4719" s="26" t="str">
        <f>IFERROR(VLOOKUP(G4719,WholesaleExtract!B:J,9,FALSE),"")</f>
        <v/>
      </c>
      <c r="F4719" s="26" t="str">
        <f>IFERROR(VLOOKUP(G4719,WholesaleExtract!B:J,6,FALSE),"")</f>
        <v/>
      </c>
      <c r="H4719" s="47" t="str">
        <f>IFERROR(VLOOKUP(G4719,WholesaleExtract!B:L,11,FALSE),"")</f>
        <v/>
      </c>
      <c r="I4719" s="26" t="str">
        <f>IFERROR(VLOOKUP(G4719,WholesaleExtract!B:O,8,FALSE),"")</f>
        <v/>
      </c>
      <c r="J4719" s="26" t="str">
        <f>IFERROR(VLOOKUP(G4719,WholesaleExtract!B:O,14,FALSE),"")</f>
        <v/>
      </c>
      <c r="K4719" s="26" t="str">
        <f>IFERROR(VLOOKUP(G4719,WholesaleExtract!B:K,10,FALSE),"")</f>
        <v/>
      </c>
      <c r="L4719" s="47" t="str">
        <f>IFERROR(VLOOKUP(G4719,WholesaleExtract!B:L,11,FALSE),"")</f>
        <v/>
      </c>
      <c r="M4719" s="47" t="str">
        <f>IFERROR(VLOOKUP(G4719,WholesaleExtract!B:M,12,FALSE),"")</f>
        <v/>
      </c>
      <c r="R4719" s="19"/>
      <c r="S4719" s="19"/>
    </row>
    <row r="4720" spans="1:19" x14ac:dyDescent="0.35">
      <c r="A4720" s="26" t="s">
        <v>543</v>
      </c>
      <c r="B4720" s="26" t="s">
        <v>543</v>
      </c>
      <c r="C4720" s="26"/>
      <c r="D4720" s="26" t="s">
        <v>543</v>
      </c>
      <c r="E4720" s="26" t="str">
        <f>IFERROR(VLOOKUP(G4720,WholesaleExtract!B:J,9,FALSE),"")</f>
        <v/>
      </c>
      <c r="F4720" s="26" t="str">
        <f>IFERROR(VLOOKUP(G4720,WholesaleExtract!B:J,6,FALSE),"")</f>
        <v/>
      </c>
      <c r="H4720" s="47" t="str">
        <f>IFERROR(VLOOKUP(G4720,WholesaleExtract!B:L,11,FALSE),"")</f>
        <v/>
      </c>
      <c r="I4720" s="26" t="str">
        <f>IFERROR(VLOOKUP(G4720,WholesaleExtract!B:O,8,FALSE),"")</f>
        <v/>
      </c>
      <c r="J4720" s="26" t="str">
        <f>IFERROR(VLOOKUP(G4720,WholesaleExtract!B:O,14,FALSE),"")</f>
        <v/>
      </c>
      <c r="K4720" s="26" t="str">
        <f>IFERROR(VLOOKUP(G4720,WholesaleExtract!B:K,10,FALSE),"")</f>
        <v/>
      </c>
      <c r="L4720" s="47" t="str">
        <f>IFERROR(VLOOKUP(G4720,WholesaleExtract!B:L,11,FALSE),"")</f>
        <v/>
      </c>
      <c r="M4720" s="47" t="str">
        <f>IFERROR(VLOOKUP(G4720,WholesaleExtract!B:M,12,FALSE),"")</f>
        <v/>
      </c>
      <c r="R4720" s="19"/>
      <c r="S4720" s="19"/>
    </row>
    <row r="4721" spans="1:19" x14ac:dyDescent="0.35">
      <c r="A4721" s="26" t="s">
        <v>543</v>
      </c>
      <c r="B4721" s="26" t="s">
        <v>543</v>
      </c>
      <c r="C4721" s="26"/>
      <c r="D4721" s="26" t="s">
        <v>543</v>
      </c>
      <c r="E4721" s="26" t="str">
        <f>IFERROR(VLOOKUP(G4721,WholesaleExtract!B:J,9,FALSE),"")</f>
        <v/>
      </c>
      <c r="F4721" s="26" t="str">
        <f>IFERROR(VLOOKUP(G4721,WholesaleExtract!B:J,6,FALSE),"")</f>
        <v/>
      </c>
      <c r="H4721" s="47" t="str">
        <f>IFERROR(VLOOKUP(G4721,WholesaleExtract!B:L,11,FALSE),"")</f>
        <v/>
      </c>
      <c r="I4721" s="26" t="str">
        <f>IFERROR(VLOOKUP(G4721,WholesaleExtract!B:O,8,FALSE),"")</f>
        <v/>
      </c>
      <c r="J4721" s="26" t="str">
        <f>IFERROR(VLOOKUP(G4721,WholesaleExtract!B:O,14,FALSE),"")</f>
        <v/>
      </c>
      <c r="K4721" s="26" t="str">
        <f>IFERROR(VLOOKUP(G4721,WholesaleExtract!B:K,10,FALSE),"")</f>
        <v/>
      </c>
      <c r="L4721" s="47" t="str">
        <f>IFERROR(VLOOKUP(G4721,WholesaleExtract!B:L,11,FALSE),"")</f>
        <v/>
      </c>
      <c r="M4721" s="47" t="str">
        <f>IFERROR(VLOOKUP(G4721,WholesaleExtract!B:M,12,FALSE),"")</f>
        <v/>
      </c>
      <c r="R4721" s="19"/>
      <c r="S4721" s="19"/>
    </row>
    <row r="4722" spans="1:19" x14ac:dyDescent="0.35">
      <c r="A4722" s="26" t="s">
        <v>543</v>
      </c>
      <c r="B4722" s="26" t="s">
        <v>543</v>
      </c>
      <c r="C4722" s="26"/>
      <c r="D4722" s="26" t="s">
        <v>543</v>
      </c>
      <c r="E4722" s="26" t="str">
        <f>IFERROR(VLOOKUP(G4722,WholesaleExtract!B:J,9,FALSE),"")</f>
        <v/>
      </c>
      <c r="F4722" s="26" t="str">
        <f>IFERROR(VLOOKUP(G4722,WholesaleExtract!B:J,6,FALSE),"")</f>
        <v/>
      </c>
      <c r="H4722" s="47" t="str">
        <f>IFERROR(VLOOKUP(G4722,WholesaleExtract!B:L,11,FALSE),"")</f>
        <v/>
      </c>
      <c r="I4722" s="26" t="str">
        <f>IFERROR(VLOOKUP(G4722,WholesaleExtract!B:O,8,FALSE),"")</f>
        <v/>
      </c>
      <c r="J4722" s="26" t="str">
        <f>IFERROR(VLOOKUP(G4722,WholesaleExtract!B:O,14,FALSE),"")</f>
        <v/>
      </c>
      <c r="K4722" s="26" t="str">
        <f>IFERROR(VLOOKUP(G4722,WholesaleExtract!B:K,10,FALSE),"")</f>
        <v/>
      </c>
      <c r="L4722" s="47" t="str">
        <f>IFERROR(VLOOKUP(G4722,WholesaleExtract!B:L,11,FALSE),"")</f>
        <v/>
      </c>
      <c r="M4722" s="47" t="str">
        <f>IFERROR(VLOOKUP(G4722,WholesaleExtract!B:M,12,FALSE),"")</f>
        <v/>
      </c>
      <c r="R4722" s="19"/>
      <c r="S4722" s="19"/>
    </row>
    <row r="4723" spans="1:19" x14ac:dyDescent="0.35">
      <c r="A4723" s="26" t="s">
        <v>543</v>
      </c>
      <c r="B4723" s="26" t="s">
        <v>543</v>
      </c>
      <c r="C4723" s="26"/>
      <c r="D4723" s="26" t="s">
        <v>543</v>
      </c>
      <c r="E4723" s="26" t="str">
        <f>IFERROR(VLOOKUP(G4723,WholesaleExtract!B:J,9,FALSE),"")</f>
        <v/>
      </c>
      <c r="F4723" s="26" t="str">
        <f>IFERROR(VLOOKUP(G4723,WholesaleExtract!B:J,6,FALSE),"")</f>
        <v/>
      </c>
      <c r="H4723" s="47" t="str">
        <f>IFERROR(VLOOKUP(G4723,WholesaleExtract!B:L,11,FALSE),"")</f>
        <v/>
      </c>
      <c r="I4723" s="26" t="str">
        <f>IFERROR(VLOOKUP(G4723,WholesaleExtract!B:O,8,FALSE),"")</f>
        <v/>
      </c>
      <c r="J4723" s="26" t="str">
        <f>IFERROR(VLOOKUP(G4723,WholesaleExtract!B:O,14,FALSE),"")</f>
        <v/>
      </c>
      <c r="K4723" s="26" t="str">
        <f>IFERROR(VLOOKUP(G4723,WholesaleExtract!B:K,10,FALSE),"")</f>
        <v/>
      </c>
      <c r="L4723" s="47" t="str">
        <f>IFERROR(VLOOKUP(G4723,WholesaleExtract!B:L,11,FALSE),"")</f>
        <v/>
      </c>
      <c r="M4723" s="47" t="str">
        <f>IFERROR(VLOOKUP(G4723,WholesaleExtract!B:M,12,FALSE),"")</f>
        <v/>
      </c>
      <c r="R4723" s="19"/>
      <c r="S4723" s="19"/>
    </row>
    <row r="4724" spans="1:19" x14ac:dyDescent="0.35">
      <c r="A4724" s="26" t="s">
        <v>543</v>
      </c>
      <c r="B4724" s="26" t="s">
        <v>543</v>
      </c>
      <c r="C4724" s="26"/>
      <c r="D4724" s="26" t="s">
        <v>543</v>
      </c>
      <c r="E4724" s="26" t="str">
        <f>IFERROR(VLOOKUP(G4724,WholesaleExtract!B:J,9,FALSE),"")</f>
        <v/>
      </c>
      <c r="F4724" s="26" t="str">
        <f>IFERROR(VLOOKUP(G4724,WholesaleExtract!B:J,6,FALSE),"")</f>
        <v/>
      </c>
      <c r="H4724" s="47" t="str">
        <f>IFERROR(VLOOKUP(G4724,WholesaleExtract!B:L,11,FALSE),"")</f>
        <v/>
      </c>
      <c r="I4724" s="26" t="str">
        <f>IFERROR(VLOOKUP(G4724,WholesaleExtract!B:O,8,FALSE),"")</f>
        <v/>
      </c>
      <c r="J4724" s="26" t="str">
        <f>IFERROR(VLOOKUP(G4724,WholesaleExtract!B:O,14,FALSE),"")</f>
        <v/>
      </c>
      <c r="K4724" s="26" t="str">
        <f>IFERROR(VLOOKUP(G4724,WholesaleExtract!B:K,10,FALSE),"")</f>
        <v/>
      </c>
      <c r="L4724" s="47" t="str">
        <f>IFERROR(VLOOKUP(G4724,WholesaleExtract!B:L,11,FALSE),"")</f>
        <v/>
      </c>
      <c r="M4724" s="47" t="str">
        <f>IFERROR(VLOOKUP(G4724,WholesaleExtract!B:M,12,FALSE),"")</f>
        <v/>
      </c>
      <c r="R4724" s="19"/>
      <c r="S4724" s="19"/>
    </row>
    <row r="4725" spans="1:19" x14ac:dyDescent="0.35">
      <c r="A4725" s="26" t="s">
        <v>543</v>
      </c>
      <c r="B4725" s="26" t="s">
        <v>543</v>
      </c>
      <c r="C4725" s="26"/>
      <c r="D4725" s="26" t="s">
        <v>543</v>
      </c>
      <c r="E4725" s="26" t="str">
        <f>IFERROR(VLOOKUP(G4725,WholesaleExtract!B:J,9,FALSE),"")</f>
        <v/>
      </c>
      <c r="F4725" s="26" t="str">
        <f>IFERROR(VLOOKUP(G4725,WholesaleExtract!B:J,6,FALSE),"")</f>
        <v/>
      </c>
      <c r="H4725" s="47" t="str">
        <f>IFERROR(VLOOKUP(G4725,WholesaleExtract!B:L,11,FALSE),"")</f>
        <v/>
      </c>
      <c r="I4725" s="26" t="str">
        <f>IFERROR(VLOOKUP(G4725,WholesaleExtract!B:O,8,FALSE),"")</f>
        <v/>
      </c>
      <c r="J4725" s="26" t="str">
        <f>IFERROR(VLOOKUP(G4725,WholesaleExtract!B:O,14,FALSE),"")</f>
        <v/>
      </c>
      <c r="K4725" s="26" t="str">
        <f>IFERROR(VLOOKUP(G4725,WholesaleExtract!B:K,10,FALSE),"")</f>
        <v/>
      </c>
      <c r="L4725" s="47" t="str">
        <f>IFERROR(VLOOKUP(G4725,WholesaleExtract!B:L,11,FALSE),"")</f>
        <v/>
      </c>
      <c r="M4725" s="47" t="str">
        <f>IFERROR(VLOOKUP(G4725,WholesaleExtract!B:M,12,FALSE),"")</f>
        <v/>
      </c>
      <c r="R4725" s="19"/>
      <c r="S4725" s="19"/>
    </row>
    <row r="4726" spans="1:19" x14ac:dyDescent="0.35">
      <c r="A4726" s="26" t="s">
        <v>543</v>
      </c>
      <c r="B4726" s="26" t="s">
        <v>543</v>
      </c>
      <c r="C4726" s="26"/>
      <c r="D4726" s="26" t="s">
        <v>543</v>
      </c>
      <c r="E4726" s="26" t="str">
        <f>IFERROR(VLOOKUP(G4726,WholesaleExtract!B:J,9,FALSE),"")</f>
        <v/>
      </c>
      <c r="F4726" s="26" t="str">
        <f>IFERROR(VLOOKUP(G4726,WholesaleExtract!B:J,6,FALSE),"")</f>
        <v/>
      </c>
      <c r="H4726" s="47" t="str">
        <f>IFERROR(VLOOKUP(G4726,WholesaleExtract!B:L,11,FALSE),"")</f>
        <v/>
      </c>
      <c r="I4726" s="26" t="str">
        <f>IFERROR(VLOOKUP(G4726,WholesaleExtract!B:O,8,FALSE),"")</f>
        <v/>
      </c>
      <c r="J4726" s="26" t="str">
        <f>IFERROR(VLOOKUP(G4726,WholesaleExtract!B:O,14,FALSE),"")</f>
        <v/>
      </c>
      <c r="K4726" s="26" t="str">
        <f>IFERROR(VLOOKUP(G4726,WholesaleExtract!B:K,10,FALSE),"")</f>
        <v/>
      </c>
      <c r="L4726" s="47" t="str">
        <f>IFERROR(VLOOKUP(G4726,WholesaleExtract!B:L,11,FALSE),"")</f>
        <v/>
      </c>
      <c r="M4726" s="47" t="str">
        <f>IFERROR(VLOOKUP(G4726,WholesaleExtract!B:M,12,FALSE),"")</f>
        <v/>
      </c>
      <c r="R4726" s="19"/>
      <c r="S4726" s="19"/>
    </row>
    <row r="4727" spans="1:19" x14ac:dyDescent="0.35">
      <c r="A4727" s="26" t="s">
        <v>543</v>
      </c>
      <c r="B4727" s="26" t="s">
        <v>543</v>
      </c>
      <c r="C4727" s="26"/>
      <c r="D4727" s="26" t="s">
        <v>543</v>
      </c>
      <c r="E4727" s="26" t="str">
        <f>IFERROR(VLOOKUP(G4727,WholesaleExtract!B:J,9,FALSE),"")</f>
        <v/>
      </c>
      <c r="F4727" s="26" t="str">
        <f>IFERROR(VLOOKUP(G4727,WholesaleExtract!B:J,6,FALSE),"")</f>
        <v/>
      </c>
      <c r="H4727" s="47" t="str">
        <f>IFERROR(VLOOKUP(G4727,WholesaleExtract!B:L,11,FALSE),"")</f>
        <v/>
      </c>
      <c r="I4727" s="26" t="str">
        <f>IFERROR(VLOOKUP(G4727,WholesaleExtract!B:O,8,FALSE),"")</f>
        <v/>
      </c>
      <c r="J4727" s="26" t="str">
        <f>IFERROR(VLOOKUP(G4727,WholesaleExtract!B:O,14,FALSE),"")</f>
        <v/>
      </c>
      <c r="K4727" s="26" t="str">
        <f>IFERROR(VLOOKUP(G4727,WholesaleExtract!B:K,10,FALSE),"")</f>
        <v/>
      </c>
      <c r="L4727" s="47" t="str">
        <f>IFERROR(VLOOKUP(G4727,WholesaleExtract!B:L,11,FALSE),"")</f>
        <v/>
      </c>
      <c r="M4727" s="47" t="str">
        <f>IFERROR(VLOOKUP(G4727,WholesaleExtract!B:M,12,FALSE),"")</f>
        <v/>
      </c>
      <c r="R4727" s="19"/>
      <c r="S4727" s="19"/>
    </row>
    <row r="4728" spans="1:19" x14ac:dyDescent="0.35">
      <c r="A4728" s="26" t="s">
        <v>543</v>
      </c>
      <c r="B4728" s="26" t="s">
        <v>543</v>
      </c>
      <c r="C4728" s="26"/>
      <c r="D4728" s="26" t="s">
        <v>543</v>
      </c>
      <c r="E4728" s="26" t="str">
        <f>IFERROR(VLOOKUP(G4728,WholesaleExtract!B:J,9,FALSE),"")</f>
        <v/>
      </c>
      <c r="F4728" s="26" t="str">
        <f>IFERROR(VLOOKUP(G4728,WholesaleExtract!B:J,6,FALSE),"")</f>
        <v/>
      </c>
      <c r="H4728" s="47" t="str">
        <f>IFERROR(VLOOKUP(G4728,WholesaleExtract!B:L,11,FALSE),"")</f>
        <v/>
      </c>
      <c r="I4728" s="26" t="str">
        <f>IFERROR(VLOOKUP(G4728,WholesaleExtract!B:O,8,FALSE),"")</f>
        <v/>
      </c>
      <c r="J4728" s="26" t="str">
        <f>IFERROR(VLOOKUP(G4728,WholesaleExtract!B:O,14,FALSE),"")</f>
        <v/>
      </c>
      <c r="K4728" s="26" t="str">
        <f>IFERROR(VLOOKUP(G4728,WholesaleExtract!B:K,10,FALSE),"")</f>
        <v/>
      </c>
      <c r="L4728" s="47" t="str">
        <f>IFERROR(VLOOKUP(G4728,WholesaleExtract!B:L,11,FALSE),"")</f>
        <v/>
      </c>
      <c r="M4728" s="47" t="str">
        <f>IFERROR(VLOOKUP(G4728,WholesaleExtract!B:M,12,FALSE),"")</f>
        <v/>
      </c>
      <c r="R4728" s="19"/>
      <c r="S4728" s="19"/>
    </row>
    <row r="4729" spans="1:19" x14ac:dyDescent="0.35">
      <c r="A4729" s="26" t="s">
        <v>543</v>
      </c>
      <c r="B4729" s="26" t="s">
        <v>543</v>
      </c>
      <c r="C4729" s="26"/>
      <c r="D4729" s="26" t="s">
        <v>543</v>
      </c>
      <c r="E4729" s="26" t="str">
        <f>IFERROR(VLOOKUP(G4729,WholesaleExtract!B:J,9,FALSE),"")</f>
        <v/>
      </c>
      <c r="F4729" s="26" t="str">
        <f>IFERROR(VLOOKUP(G4729,WholesaleExtract!B:J,6,FALSE),"")</f>
        <v/>
      </c>
      <c r="H4729" s="47" t="str">
        <f>IFERROR(VLOOKUP(G4729,WholesaleExtract!B:L,11,FALSE),"")</f>
        <v/>
      </c>
      <c r="I4729" s="26" t="str">
        <f>IFERROR(VLOOKUP(G4729,WholesaleExtract!B:O,8,FALSE),"")</f>
        <v/>
      </c>
      <c r="J4729" s="26" t="str">
        <f>IFERROR(VLOOKUP(G4729,WholesaleExtract!B:O,14,FALSE),"")</f>
        <v/>
      </c>
      <c r="K4729" s="26" t="str">
        <f>IFERROR(VLOOKUP(G4729,WholesaleExtract!B:K,10,FALSE),"")</f>
        <v/>
      </c>
      <c r="L4729" s="47" t="str">
        <f>IFERROR(VLOOKUP(G4729,WholesaleExtract!B:L,11,FALSE),"")</f>
        <v/>
      </c>
      <c r="M4729" s="47" t="str">
        <f>IFERROR(VLOOKUP(G4729,WholesaleExtract!B:M,12,FALSE),"")</f>
        <v/>
      </c>
      <c r="R4729" s="19"/>
      <c r="S4729" s="19"/>
    </row>
    <row r="4730" spans="1:19" x14ac:dyDescent="0.35">
      <c r="A4730" s="26" t="s">
        <v>543</v>
      </c>
      <c r="B4730" s="26" t="s">
        <v>543</v>
      </c>
      <c r="C4730" s="26"/>
      <c r="D4730" s="26" t="s">
        <v>543</v>
      </c>
      <c r="E4730" s="26" t="str">
        <f>IFERROR(VLOOKUP(G4730,WholesaleExtract!B:J,9,FALSE),"")</f>
        <v/>
      </c>
      <c r="F4730" s="26" t="str">
        <f>IFERROR(VLOOKUP(G4730,WholesaleExtract!B:J,6,FALSE),"")</f>
        <v/>
      </c>
      <c r="H4730" s="47" t="str">
        <f>IFERROR(VLOOKUP(G4730,WholesaleExtract!B:L,11,FALSE),"")</f>
        <v/>
      </c>
      <c r="I4730" s="26" t="str">
        <f>IFERROR(VLOOKUP(G4730,WholesaleExtract!B:O,8,FALSE),"")</f>
        <v/>
      </c>
      <c r="J4730" s="26" t="str">
        <f>IFERROR(VLOOKUP(G4730,WholesaleExtract!B:O,14,FALSE),"")</f>
        <v/>
      </c>
      <c r="K4730" s="26" t="str">
        <f>IFERROR(VLOOKUP(G4730,WholesaleExtract!B:K,10,FALSE),"")</f>
        <v/>
      </c>
      <c r="L4730" s="47" t="str">
        <f>IFERROR(VLOOKUP(G4730,WholesaleExtract!B:L,11,FALSE),"")</f>
        <v/>
      </c>
      <c r="M4730" s="47" t="str">
        <f>IFERROR(VLOOKUP(G4730,WholesaleExtract!B:M,12,FALSE),"")</f>
        <v/>
      </c>
      <c r="R4730" s="19"/>
      <c r="S4730" s="19"/>
    </row>
    <row r="4731" spans="1:19" x14ac:dyDescent="0.35">
      <c r="A4731" s="26" t="s">
        <v>543</v>
      </c>
      <c r="B4731" s="26" t="s">
        <v>543</v>
      </c>
      <c r="C4731" s="26"/>
      <c r="D4731" s="26" t="s">
        <v>543</v>
      </c>
      <c r="E4731" s="26" t="str">
        <f>IFERROR(VLOOKUP(G4731,WholesaleExtract!B:J,9,FALSE),"")</f>
        <v/>
      </c>
      <c r="F4731" s="26" t="str">
        <f>IFERROR(VLOOKUP(G4731,WholesaleExtract!B:J,6,FALSE),"")</f>
        <v/>
      </c>
      <c r="H4731" s="47" t="str">
        <f>IFERROR(VLOOKUP(G4731,WholesaleExtract!B:L,11,FALSE),"")</f>
        <v/>
      </c>
      <c r="I4731" s="26" t="str">
        <f>IFERROR(VLOOKUP(G4731,WholesaleExtract!B:O,8,FALSE),"")</f>
        <v/>
      </c>
      <c r="J4731" s="26" t="str">
        <f>IFERROR(VLOOKUP(G4731,WholesaleExtract!B:O,14,FALSE),"")</f>
        <v/>
      </c>
      <c r="K4731" s="26" t="str">
        <f>IFERROR(VLOOKUP(G4731,WholesaleExtract!B:K,10,FALSE),"")</f>
        <v/>
      </c>
      <c r="L4731" s="47" t="str">
        <f>IFERROR(VLOOKUP(G4731,WholesaleExtract!B:L,11,FALSE),"")</f>
        <v/>
      </c>
      <c r="M4731" s="47" t="str">
        <f>IFERROR(VLOOKUP(G4731,WholesaleExtract!B:M,12,FALSE),"")</f>
        <v/>
      </c>
      <c r="R4731" s="19"/>
      <c r="S4731" s="19"/>
    </row>
    <row r="4732" spans="1:19" x14ac:dyDescent="0.35">
      <c r="A4732" s="26" t="s">
        <v>543</v>
      </c>
      <c r="B4732" s="26" t="s">
        <v>543</v>
      </c>
      <c r="C4732" s="26"/>
      <c r="D4732" s="26" t="s">
        <v>543</v>
      </c>
      <c r="E4732" s="26" t="str">
        <f>IFERROR(VLOOKUP(G4732,WholesaleExtract!B:J,9,FALSE),"")</f>
        <v/>
      </c>
      <c r="F4732" s="26" t="str">
        <f>IFERROR(VLOOKUP(G4732,WholesaleExtract!B:J,6,FALSE),"")</f>
        <v/>
      </c>
      <c r="H4732" s="47" t="str">
        <f>IFERROR(VLOOKUP(G4732,WholesaleExtract!B:L,11,FALSE),"")</f>
        <v/>
      </c>
      <c r="I4732" s="26" t="str">
        <f>IFERROR(VLOOKUP(G4732,WholesaleExtract!B:O,8,FALSE),"")</f>
        <v/>
      </c>
      <c r="J4732" s="26" t="str">
        <f>IFERROR(VLOOKUP(G4732,WholesaleExtract!B:O,14,FALSE),"")</f>
        <v/>
      </c>
      <c r="K4732" s="26" t="str">
        <f>IFERROR(VLOOKUP(G4732,WholesaleExtract!B:K,10,FALSE),"")</f>
        <v/>
      </c>
      <c r="L4732" s="47" t="str">
        <f>IFERROR(VLOOKUP(G4732,WholesaleExtract!B:L,11,FALSE),"")</f>
        <v/>
      </c>
      <c r="M4732" s="47" t="str">
        <f>IFERROR(VLOOKUP(G4732,WholesaleExtract!B:M,12,FALSE),"")</f>
        <v/>
      </c>
      <c r="R4732" s="19"/>
      <c r="S4732" s="19"/>
    </row>
    <row r="4733" spans="1:19" x14ac:dyDescent="0.35">
      <c r="A4733" s="26" t="s">
        <v>543</v>
      </c>
      <c r="B4733" s="26" t="s">
        <v>543</v>
      </c>
      <c r="C4733" s="26"/>
      <c r="D4733" s="26" t="s">
        <v>543</v>
      </c>
      <c r="E4733" s="26" t="str">
        <f>IFERROR(VLOOKUP(G4733,WholesaleExtract!B:J,9,FALSE),"")</f>
        <v/>
      </c>
      <c r="F4733" s="26" t="str">
        <f>IFERROR(VLOOKUP(G4733,WholesaleExtract!B:J,6,FALSE),"")</f>
        <v/>
      </c>
      <c r="H4733" s="47" t="str">
        <f>IFERROR(VLOOKUP(G4733,WholesaleExtract!B:L,11,FALSE),"")</f>
        <v/>
      </c>
      <c r="I4733" s="26" t="str">
        <f>IFERROR(VLOOKUP(G4733,WholesaleExtract!B:O,8,FALSE),"")</f>
        <v/>
      </c>
      <c r="J4733" s="26" t="str">
        <f>IFERROR(VLOOKUP(G4733,WholesaleExtract!B:O,14,FALSE),"")</f>
        <v/>
      </c>
      <c r="K4733" s="26" t="str">
        <f>IFERROR(VLOOKUP(G4733,WholesaleExtract!B:K,10,FALSE),"")</f>
        <v/>
      </c>
      <c r="L4733" s="47" t="str">
        <f>IFERROR(VLOOKUP(G4733,WholesaleExtract!B:L,11,FALSE),"")</f>
        <v/>
      </c>
      <c r="M4733" s="47" t="str">
        <f>IFERROR(VLOOKUP(G4733,WholesaleExtract!B:M,12,FALSE),"")</f>
        <v/>
      </c>
      <c r="R4733" s="19"/>
      <c r="S4733" s="19"/>
    </row>
    <row r="4734" spans="1:19" x14ac:dyDescent="0.35">
      <c r="A4734" s="26" t="s">
        <v>543</v>
      </c>
      <c r="B4734" s="26" t="s">
        <v>543</v>
      </c>
      <c r="C4734" s="26"/>
      <c r="D4734" s="26" t="s">
        <v>543</v>
      </c>
      <c r="E4734" s="26" t="str">
        <f>IFERROR(VLOOKUP(G4734,WholesaleExtract!B:J,9,FALSE),"")</f>
        <v/>
      </c>
      <c r="F4734" s="26" t="str">
        <f>IFERROR(VLOOKUP(G4734,WholesaleExtract!B:J,6,FALSE),"")</f>
        <v/>
      </c>
      <c r="H4734" s="47" t="str">
        <f>IFERROR(VLOOKUP(G4734,WholesaleExtract!B:L,11,FALSE),"")</f>
        <v/>
      </c>
      <c r="I4734" s="26" t="str">
        <f>IFERROR(VLOOKUP(G4734,WholesaleExtract!B:O,8,FALSE),"")</f>
        <v/>
      </c>
      <c r="J4734" s="26" t="str">
        <f>IFERROR(VLOOKUP(G4734,WholesaleExtract!B:O,14,FALSE),"")</f>
        <v/>
      </c>
      <c r="K4734" s="26" t="str">
        <f>IFERROR(VLOOKUP(G4734,WholesaleExtract!B:K,10,FALSE),"")</f>
        <v/>
      </c>
      <c r="L4734" s="47" t="str">
        <f>IFERROR(VLOOKUP(G4734,WholesaleExtract!B:L,11,FALSE),"")</f>
        <v/>
      </c>
      <c r="M4734" s="47" t="str">
        <f>IFERROR(VLOOKUP(G4734,WholesaleExtract!B:M,12,FALSE),"")</f>
        <v/>
      </c>
      <c r="R4734" s="19"/>
      <c r="S4734" s="19"/>
    </row>
    <row r="4735" spans="1:19" x14ac:dyDescent="0.35">
      <c r="A4735" s="26" t="s">
        <v>543</v>
      </c>
      <c r="B4735" s="26" t="s">
        <v>543</v>
      </c>
      <c r="C4735" s="26"/>
      <c r="D4735" s="26" t="s">
        <v>543</v>
      </c>
      <c r="E4735" s="26" t="str">
        <f>IFERROR(VLOOKUP(G4735,WholesaleExtract!B:J,9,FALSE),"")</f>
        <v/>
      </c>
      <c r="F4735" s="26" t="str">
        <f>IFERROR(VLOOKUP(G4735,WholesaleExtract!B:J,6,FALSE),"")</f>
        <v/>
      </c>
      <c r="H4735" s="47" t="str">
        <f>IFERROR(VLOOKUP(G4735,WholesaleExtract!B:L,11,FALSE),"")</f>
        <v/>
      </c>
      <c r="I4735" s="26" t="str">
        <f>IFERROR(VLOOKUP(G4735,WholesaleExtract!B:O,8,FALSE),"")</f>
        <v/>
      </c>
      <c r="J4735" s="26" t="str">
        <f>IFERROR(VLOOKUP(G4735,WholesaleExtract!B:O,14,FALSE),"")</f>
        <v/>
      </c>
      <c r="K4735" s="26" t="str">
        <f>IFERROR(VLOOKUP(G4735,WholesaleExtract!B:K,10,FALSE),"")</f>
        <v/>
      </c>
      <c r="L4735" s="47" t="str">
        <f>IFERROR(VLOOKUP(G4735,WholesaleExtract!B:L,11,FALSE),"")</f>
        <v/>
      </c>
      <c r="M4735" s="47" t="str">
        <f>IFERROR(VLOOKUP(G4735,WholesaleExtract!B:M,12,FALSE),"")</f>
        <v/>
      </c>
      <c r="R4735" s="19"/>
      <c r="S4735" s="19"/>
    </row>
    <row r="4736" spans="1:19" x14ac:dyDescent="0.35">
      <c r="A4736" s="26" t="s">
        <v>543</v>
      </c>
      <c r="B4736" s="26" t="s">
        <v>543</v>
      </c>
      <c r="C4736" s="26"/>
      <c r="D4736" s="26" t="s">
        <v>543</v>
      </c>
      <c r="E4736" s="26" t="str">
        <f>IFERROR(VLOOKUP(G4736,WholesaleExtract!B:J,9,FALSE),"")</f>
        <v/>
      </c>
      <c r="F4736" s="26" t="str">
        <f>IFERROR(VLOOKUP(G4736,WholesaleExtract!B:J,6,FALSE),"")</f>
        <v/>
      </c>
      <c r="H4736" s="47" t="str">
        <f>IFERROR(VLOOKUP(G4736,WholesaleExtract!B:L,11,FALSE),"")</f>
        <v/>
      </c>
      <c r="I4736" s="26" t="str">
        <f>IFERROR(VLOOKUP(G4736,WholesaleExtract!B:O,8,FALSE),"")</f>
        <v/>
      </c>
      <c r="J4736" s="26" t="str">
        <f>IFERROR(VLOOKUP(G4736,WholesaleExtract!B:O,14,FALSE),"")</f>
        <v/>
      </c>
      <c r="K4736" s="26" t="str">
        <f>IFERROR(VLOOKUP(G4736,WholesaleExtract!B:K,10,FALSE),"")</f>
        <v/>
      </c>
      <c r="L4736" s="47" t="str">
        <f>IFERROR(VLOOKUP(G4736,WholesaleExtract!B:L,11,FALSE),"")</f>
        <v/>
      </c>
      <c r="M4736" s="47" t="str">
        <f>IFERROR(VLOOKUP(G4736,WholesaleExtract!B:M,12,FALSE),"")</f>
        <v/>
      </c>
      <c r="R4736" s="19"/>
      <c r="S4736" s="19"/>
    </row>
    <row r="4737" spans="1:19" x14ac:dyDescent="0.35">
      <c r="A4737" s="26" t="s">
        <v>543</v>
      </c>
      <c r="B4737" s="26" t="s">
        <v>543</v>
      </c>
      <c r="C4737" s="26"/>
      <c r="D4737" s="26" t="s">
        <v>543</v>
      </c>
      <c r="E4737" s="26" t="str">
        <f>IFERROR(VLOOKUP(G4737,WholesaleExtract!B:J,9,FALSE),"")</f>
        <v/>
      </c>
      <c r="F4737" s="26" t="str">
        <f>IFERROR(VLOOKUP(G4737,WholesaleExtract!B:J,6,FALSE),"")</f>
        <v/>
      </c>
      <c r="H4737" s="47" t="str">
        <f>IFERROR(VLOOKUP(G4737,WholesaleExtract!B:L,11,FALSE),"")</f>
        <v/>
      </c>
      <c r="I4737" s="26" t="str">
        <f>IFERROR(VLOOKUP(G4737,WholesaleExtract!B:O,8,FALSE),"")</f>
        <v/>
      </c>
      <c r="J4737" s="26" t="str">
        <f>IFERROR(VLOOKUP(G4737,WholesaleExtract!B:O,14,FALSE),"")</f>
        <v/>
      </c>
      <c r="K4737" s="26" t="str">
        <f>IFERROR(VLOOKUP(G4737,WholesaleExtract!B:K,10,FALSE),"")</f>
        <v/>
      </c>
      <c r="L4737" s="47" t="str">
        <f>IFERROR(VLOOKUP(G4737,WholesaleExtract!B:L,11,FALSE),"")</f>
        <v/>
      </c>
      <c r="M4737" s="47" t="str">
        <f>IFERROR(VLOOKUP(G4737,WholesaleExtract!B:M,12,FALSE),"")</f>
        <v/>
      </c>
      <c r="R4737" s="19"/>
      <c r="S4737" s="19"/>
    </row>
    <row r="4738" spans="1:19" x14ac:dyDescent="0.35">
      <c r="A4738" s="26" t="s">
        <v>543</v>
      </c>
      <c r="B4738" s="26" t="s">
        <v>543</v>
      </c>
      <c r="C4738" s="26"/>
      <c r="D4738" s="26" t="s">
        <v>543</v>
      </c>
      <c r="E4738" s="26" t="str">
        <f>IFERROR(VLOOKUP(G4738,WholesaleExtract!B:J,9,FALSE),"")</f>
        <v/>
      </c>
      <c r="F4738" s="26" t="str">
        <f>IFERROR(VLOOKUP(G4738,WholesaleExtract!B:J,6,FALSE),"")</f>
        <v/>
      </c>
      <c r="H4738" s="47" t="str">
        <f>IFERROR(VLOOKUP(G4738,WholesaleExtract!B:L,11,FALSE),"")</f>
        <v/>
      </c>
      <c r="I4738" s="26" t="str">
        <f>IFERROR(VLOOKUP(G4738,WholesaleExtract!B:O,8,FALSE),"")</f>
        <v/>
      </c>
      <c r="J4738" s="26" t="str">
        <f>IFERROR(VLOOKUP(G4738,WholesaleExtract!B:O,14,FALSE),"")</f>
        <v/>
      </c>
      <c r="K4738" s="26" t="str">
        <f>IFERROR(VLOOKUP(G4738,WholesaleExtract!B:K,10,FALSE),"")</f>
        <v/>
      </c>
      <c r="L4738" s="47" t="str">
        <f>IFERROR(VLOOKUP(G4738,WholesaleExtract!B:L,11,FALSE),"")</f>
        <v/>
      </c>
      <c r="M4738" s="47" t="str">
        <f>IFERROR(VLOOKUP(G4738,WholesaleExtract!B:M,12,FALSE),"")</f>
        <v/>
      </c>
      <c r="R4738" s="19"/>
      <c r="S4738" s="19"/>
    </row>
    <row r="4739" spans="1:19" x14ac:dyDescent="0.35">
      <c r="A4739" s="26" t="s">
        <v>543</v>
      </c>
      <c r="B4739" s="26" t="s">
        <v>543</v>
      </c>
      <c r="C4739" s="26"/>
      <c r="D4739" s="26" t="s">
        <v>543</v>
      </c>
      <c r="E4739" s="26" t="str">
        <f>IFERROR(VLOOKUP(G4739,WholesaleExtract!B:J,9,FALSE),"")</f>
        <v/>
      </c>
      <c r="F4739" s="26" t="str">
        <f>IFERROR(VLOOKUP(G4739,WholesaleExtract!B:J,6,FALSE),"")</f>
        <v/>
      </c>
      <c r="H4739" s="47" t="str">
        <f>IFERROR(VLOOKUP(G4739,WholesaleExtract!B:L,11,FALSE),"")</f>
        <v/>
      </c>
      <c r="I4739" s="26" t="str">
        <f>IFERROR(VLOOKUP(G4739,WholesaleExtract!B:O,8,FALSE),"")</f>
        <v/>
      </c>
      <c r="J4739" s="26" t="str">
        <f>IFERROR(VLOOKUP(G4739,WholesaleExtract!B:O,14,FALSE),"")</f>
        <v/>
      </c>
      <c r="K4739" s="26" t="str">
        <f>IFERROR(VLOOKUP(G4739,WholesaleExtract!B:K,10,FALSE),"")</f>
        <v/>
      </c>
      <c r="L4739" s="47" t="str">
        <f>IFERROR(VLOOKUP(G4739,WholesaleExtract!B:L,11,FALSE),"")</f>
        <v/>
      </c>
      <c r="M4739" s="47" t="str">
        <f>IFERROR(VLOOKUP(G4739,WholesaleExtract!B:M,12,FALSE),"")</f>
        <v/>
      </c>
      <c r="R4739" s="19"/>
      <c r="S4739" s="19"/>
    </row>
    <row r="4740" spans="1:19" x14ac:dyDescent="0.35">
      <c r="A4740" s="26" t="s">
        <v>543</v>
      </c>
      <c r="B4740" s="26" t="s">
        <v>543</v>
      </c>
      <c r="C4740" s="26"/>
      <c r="D4740" s="26" t="s">
        <v>543</v>
      </c>
      <c r="E4740" s="26" t="str">
        <f>IFERROR(VLOOKUP(G4740,WholesaleExtract!B:J,9,FALSE),"")</f>
        <v/>
      </c>
      <c r="F4740" s="26" t="str">
        <f>IFERROR(VLOOKUP(G4740,WholesaleExtract!B:J,6,FALSE),"")</f>
        <v/>
      </c>
      <c r="H4740" s="47" t="str">
        <f>IFERROR(VLOOKUP(G4740,WholesaleExtract!B:L,11,FALSE),"")</f>
        <v/>
      </c>
      <c r="I4740" s="26" t="str">
        <f>IFERROR(VLOOKUP(G4740,WholesaleExtract!B:O,8,FALSE),"")</f>
        <v/>
      </c>
      <c r="J4740" s="26" t="str">
        <f>IFERROR(VLOOKUP(G4740,WholesaleExtract!B:O,14,FALSE),"")</f>
        <v/>
      </c>
      <c r="K4740" s="26" t="str">
        <f>IFERROR(VLOOKUP(G4740,WholesaleExtract!B:K,10,FALSE),"")</f>
        <v/>
      </c>
      <c r="L4740" s="47" t="str">
        <f>IFERROR(VLOOKUP(G4740,WholesaleExtract!B:L,11,FALSE),"")</f>
        <v/>
      </c>
      <c r="M4740" s="47" t="str">
        <f>IFERROR(VLOOKUP(G4740,WholesaleExtract!B:M,12,FALSE),"")</f>
        <v/>
      </c>
      <c r="R4740" s="19"/>
      <c r="S4740" s="19"/>
    </row>
    <row r="4741" spans="1:19" x14ac:dyDescent="0.35">
      <c r="A4741" s="26" t="s">
        <v>543</v>
      </c>
      <c r="B4741" s="26" t="s">
        <v>543</v>
      </c>
      <c r="C4741" s="26"/>
      <c r="D4741" s="26" t="s">
        <v>543</v>
      </c>
      <c r="E4741" s="26" t="str">
        <f>IFERROR(VLOOKUP(G4741,WholesaleExtract!B:J,9,FALSE),"")</f>
        <v/>
      </c>
      <c r="F4741" s="26" t="str">
        <f>IFERROR(VLOOKUP(G4741,WholesaleExtract!B:J,6,FALSE),"")</f>
        <v/>
      </c>
      <c r="H4741" s="47" t="str">
        <f>IFERROR(VLOOKUP(G4741,WholesaleExtract!B:L,11,FALSE),"")</f>
        <v/>
      </c>
      <c r="I4741" s="26" t="str">
        <f>IFERROR(VLOOKUP(G4741,WholesaleExtract!B:O,8,FALSE),"")</f>
        <v/>
      </c>
      <c r="J4741" s="26" t="str">
        <f>IFERROR(VLOOKUP(G4741,WholesaleExtract!B:O,14,FALSE),"")</f>
        <v/>
      </c>
      <c r="K4741" s="26" t="str">
        <f>IFERROR(VLOOKUP(G4741,WholesaleExtract!B:K,10,FALSE),"")</f>
        <v/>
      </c>
      <c r="L4741" s="47" t="str">
        <f>IFERROR(VLOOKUP(G4741,WholesaleExtract!B:L,11,FALSE),"")</f>
        <v/>
      </c>
      <c r="M4741" s="47" t="str">
        <f>IFERROR(VLOOKUP(G4741,WholesaleExtract!B:M,12,FALSE),"")</f>
        <v/>
      </c>
      <c r="R4741" s="19"/>
      <c r="S4741" s="19"/>
    </row>
    <row r="4742" spans="1:19" x14ac:dyDescent="0.35">
      <c r="A4742" s="26" t="s">
        <v>543</v>
      </c>
      <c r="B4742" s="26" t="s">
        <v>543</v>
      </c>
      <c r="C4742" s="26"/>
      <c r="D4742" s="26" t="s">
        <v>543</v>
      </c>
      <c r="E4742" s="26" t="str">
        <f>IFERROR(VLOOKUP(G4742,WholesaleExtract!B:J,9,FALSE),"")</f>
        <v/>
      </c>
      <c r="F4742" s="26" t="str">
        <f>IFERROR(VLOOKUP(G4742,WholesaleExtract!B:J,6,FALSE),"")</f>
        <v/>
      </c>
      <c r="H4742" s="47" t="str">
        <f>IFERROR(VLOOKUP(G4742,WholesaleExtract!B:L,11,FALSE),"")</f>
        <v/>
      </c>
      <c r="I4742" s="26" t="str">
        <f>IFERROR(VLOOKUP(G4742,WholesaleExtract!B:O,8,FALSE),"")</f>
        <v/>
      </c>
      <c r="J4742" s="26" t="str">
        <f>IFERROR(VLOOKUP(G4742,WholesaleExtract!B:O,14,FALSE),"")</f>
        <v/>
      </c>
      <c r="K4742" s="26" t="str">
        <f>IFERROR(VLOOKUP(G4742,WholesaleExtract!B:K,10,FALSE),"")</f>
        <v/>
      </c>
      <c r="L4742" s="47" t="str">
        <f>IFERROR(VLOOKUP(G4742,WholesaleExtract!B:L,11,FALSE),"")</f>
        <v/>
      </c>
      <c r="M4742" s="47" t="str">
        <f>IFERROR(VLOOKUP(G4742,WholesaleExtract!B:M,12,FALSE),"")</f>
        <v/>
      </c>
      <c r="R4742" s="19"/>
      <c r="S4742" s="19"/>
    </row>
    <row r="4743" spans="1:19" x14ac:dyDescent="0.35">
      <c r="A4743" s="26" t="s">
        <v>543</v>
      </c>
      <c r="B4743" s="26" t="s">
        <v>543</v>
      </c>
      <c r="C4743" s="26"/>
      <c r="D4743" s="26" t="s">
        <v>543</v>
      </c>
      <c r="E4743" s="26" t="str">
        <f>IFERROR(VLOOKUP(G4743,WholesaleExtract!B:J,9,FALSE),"")</f>
        <v/>
      </c>
      <c r="F4743" s="26" t="str">
        <f>IFERROR(VLOOKUP(G4743,WholesaleExtract!B:J,6,FALSE),"")</f>
        <v/>
      </c>
      <c r="H4743" s="47" t="str">
        <f>IFERROR(VLOOKUP(G4743,WholesaleExtract!B:L,11,FALSE),"")</f>
        <v/>
      </c>
      <c r="I4743" s="26" t="str">
        <f>IFERROR(VLOOKUP(G4743,WholesaleExtract!B:O,8,FALSE),"")</f>
        <v/>
      </c>
      <c r="J4743" s="26" t="str">
        <f>IFERROR(VLOOKUP(G4743,WholesaleExtract!B:O,14,FALSE),"")</f>
        <v/>
      </c>
      <c r="K4743" s="26" t="str">
        <f>IFERROR(VLOOKUP(G4743,WholesaleExtract!B:K,10,FALSE),"")</f>
        <v/>
      </c>
      <c r="L4743" s="47" t="str">
        <f>IFERROR(VLOOKUP(G4743,WholesaleExtract!B:L,11,FALSE),"")</f>
        <v/>
      </c>
      <c r="M4743" s="47" t="str">
        <f>IFERROR(VLOOKUP(G4743,WholesaleExtract!B:M,12,FALSE),"")</f>
        <v/>
      </c>
      <c r="R4743" s="19"/>
      <c r="S4743" s="19"/>
    </row>
    <row r="4744" spans="1:19" x14ac:dyDescent="0.35">
      <c r="A4744" s="26" t="s">
        <v>543</v>
      </c>
      <c r="B4744" s="26" t="s">
        <v>543</v>
      </c>
      <c r="C4744" s="26"/>
      <c r="D4744" s="26" t="s">
        <v>543</v>
      </c>
      <c r="E4744" s="26" t="str">
        <f>IFERROR(VLOOKUP(G4744,WholesaleExtract!B:J,9,FALSE),"")</f>
        <v/>
      </c>
      <c r="F4744" s="26" t="str">
        <f>IFERROR(VLOOKUP(G4744,WholesaleExtract!B:J,6,FALSE),"")</f>
        <v/>
      </c>
      <c r="H4744" s="47" t="str">
        <f>IFERROR(VLOOKUP(G4744,WholesaleExtract!B:L,11,FALSE),"")</f>
        <v/>
      </c>
      <c r="I4744" s="26" t="str">
        <f>IFERROR(VLOOKUP(G4744,WholesaleExtract!B:O,8,FALSE),"")</f>
        <v/>
      </c>
      <c r="J4744" s="26" t="str">
        <f>IFERROR(VLOOKUP(G4744,WholesaleExtract!B:O,14,FALSE),"")</f>
        <v/>
      </c>
      <c r="K4744" s="26" t="str">
        <f>IFERROR(VLOOKUP(G4744,WholesaleExtract!B:K,10,FALSE),"")</f>
        <v/>
      </c>
      <c r="L4744" s="47" t="str">
        <f>IFERROR(VLOOKUP(G4744,WholesaleExtract!B:L,11,FALSE),"")</f>
        <v/>
      </c>
      <c r="M4744" s="47" t="str">
        <f>IFERROR(VLOOKUP(G4744,WholesaleExtract!B:M,12,FALSE),"")</f>
        <v/>
      </c>
      <c r="R4744" s="19"/>
      <c r="S4744" s="19"/>
    </row>
    <row r="4745" spans="1:19" x14ac:dyDescent="0.35">
      <c r="A4745" s="26" t="s">
        <v>543</v>
      </c>
      <c r="B4745" s="26" t="s">
        <v>543</v>
      </c>
      <c r="C4745" s="26"/>
      <c r="D4745" s="26" t="s">
        <v>543</v>
      </c>
      <c r="E4745" s="26" t="str">
        <f>IFERROR(VLOOKUP(G4745,WholesaleExtract!B:J,9,FALSE),"")</f>
        <v/>
      </c>
      <c r="F4745" s="26" t="str">
        <f>IFERROR(VLOOKUP(G4745,WholesaleExtract!B:J,6,FALSE),"")</f>
        <v/>
      </c>
      <c r="H4745" s="47" t="str">
        <f>IFERROR(VLOOKUP(G4745,WholesaleExtract!B:L,11,FALSE),"")</f>
        <v/>
      </c>
      <c r="I4745" s="26" t="str">
        <f>IFERROR(VLOOKUP(G4745,WholesaleExtract!B:O,8,FALSE),"")</f>
        <v/>
      </c>
      <c r="J4745" s="26" t="str">
        <f>IFERROR(VLOOKUP(G4745,WholesaleExtract!B:O,14,FALSE),"")</f>
        <v/>
      </c>
      <c r="K4745" s="26" t="str">
        <f>IFERROR(VLOOKUP(G4745,WholesaleExtract!B:K,10,FALSE),"")</f>
        <v/>
      </c>
      <c r="L4745" s="47" t="str">
        <f>IFERROR(VLOOKUP(G4745,WholesaleExtract!B:L,11,FALSE),"")</f>
        <v/>
      </c>
      <c r="M4745" s="47" t="str">
        <f>IFERROR(VLOOKUP(G4745,WholesaleExtract!B:M,12,FALSE),"")</f>
        <v/>
      </c>
      <c r="R4745" s="19"/>
      <c r="S4745" s="19"/>
    </row>
    <row r="4746" spans="1:19" x14ac:dyDescent="0.35">
      <c r="A4746" s="26" t="s">
        <v>543</v>
      </c>
      <c r="B4746" s="26" t="s">
        <v>543</v>
      </c>
      <c r="C4746" s="26"/>
      <c r="D4746" s="26" t="s">
        <v>543</v>
      </c>
      <c r="E4746" s="26" t="str">
        <f>IFERROR(VLOOKUP(G4746,WholesaleExtract!B:J,9,FALSE),"")</f>
        <v/>
      </c>
      <c r="F4746" s="26" t="str">
        <f>IFERROR(VLOOKUP(G4746,WholesaleExtract!B:J,6,FALSE),"")</f>
        <v/>
      </c>
      <c r="H4746" s="47" t="str">
        <f>IFERROR(VLOOKUP(G4746,WholesaleExtract!B:L,11,FALSE),"")</f>
        <v/>
      </c>
      <c r="I4746" s="26" t="str">
        <f>IFERROR(VLOOKUP(G4746,WholesaleExtract!B:O,8,FALSE),"")</f>
        <v/>
      </c>
      <c r="J4746" s="26" t="str">
        <f>IFERROR(VLOOKUP(G4746,WholesaleExtract!B:O,14,FALSE),"")</f>
        <v/>
      </c>
      <c r="K4746" s="26" t="str">
        <f>IFERROR(VLOOKUP(G4746,WholesaleExtract!B:K,10,FALSE),"")</f>
        <v/>
      </c>
      <c r="L4746" s="47" t="str">
        <f>IFERROR(VLOOKUP(G4746,WholesaleExtract!B:L,11,FALSE),"")</f>
        <v/>
      </c>
      <c r="M4746" s="47" t="str">
        <f>IFERROR(VLOOKUP(G4746,WholesaleExtract!B:M,12,FALSE),"")</f>
        <v/>
      </c>
      <c r="R4746" s="19"/>
      <c r="S4746" s="19"/>
    </row>
    <row r="4747" spans="1:19" x14ac:dyDescent="0.35">
      <c r="A4747" s="26" t="s">
        <v>543</v>
      </c>
      <c r="B4747" s="26" t="s">
        <v>543</v>
      </c>
      <c r="C4747" s="26"/>
      <c r="D4747" s="26" t="s">
        <v>543</v>
      </c>
      <c r="E4747" s="26" t="str">
        <f>IFERROR(VLOOKUP(G4747,WholesaleExtract!B:J,9,FALSE),"")</f>
        <v/>
      </c>
      <c r="F4747" s="26" t="str">
        <f>IFERROR(VLOOKUP(G4747,WholesaleExtract!B:J,6,FALSE),"")</f>
        <v/>
      </c>
      <c r="H4747" s="47" t="str">
        <f>IFERROR(VLOOKUP(G4747,WholesaleExtract!B:L,11,FALSE),"")</f>
        <v/>
      </c>
      <c r="I4747" s="26" t="str">
        <f>IFERROR(VLOOKUP(G4747,WholesaleExtract!B:O,8,FALSE),"")</f>
        <v/>
      </c>
      <c r="J4747" s="26" t="str">
        <f>IFERROR(VLOOKUP(G4747,WholesaleExtract!B:O,14,FALSE),"")</f>
        <v/>
      </c>
      <c r="K4747" s="26" t="str">
        <f>IFERROR(VLOOKUP(G4747,WholesaleExtract!B:K,10,FALSE),"")</f>
        <v/>
      </c>
      <c r="L4747" s="47" t="str">
        <f>IFERROR(VLOOKUP(G4747,WholesaleExtract!B:L,11,FALSE),"")</f>
        <v/>
      </c>
      <c r="M4747" s="47" t="str">
        <f>IFERROR(VLOOKUP(G4747,WholesaleExtract!B:M,12,FALSE),"")</f>
        <v/>
      </c>
      <c r="R4747" s="19"/>
      <c r="S4747" s="19"/>
    </row>
    <row r="4748" spans="1:19" x14ac:dyDescent="0.35">
      <c r="A4748" s="26" t="s">
        <v>543</v>
      </c>
      <c r="B4748" s="26" t="s">
        <v>543</v>
      </c>
      <c r="C4748" s="26"/>
      <c r="D4748" s="26" t="s">
        <v>543</v>
      </c>
      <c r="E4748" s="26" t="str">
        <f>IFERROR(VLOOKUP(G4748,WholesaleExtract!B:J,9,FALSE),"")</f>
        <v/>
      </c>
      <c r="F4748" s="26" t="str">
        <f>IFERROR(VLOOKUP(G4748,WholesaleExtract!B:J,6,FALSE),"")</f>
        <v/>
      </c>
      <c r="H4748" s="47" t="str">
        <f>IFERROR(VLOOKUP(G4748,WholesaleExtract!B:L,11,FALSE),"")</f>
        <v/>
      </c>
      <c r="I4748" s="26" t="str">
        <f>IFERROR(VLOOKUP(G4748,WholesaleExtract!B:O,8,FALSE),"")</f>
        <v/>
      </c>
      <c r="J4748" s="26" t="str">
        <f>IFERROR(VLOOKUP(G4748,WholesaleExtract!B:O,14,FALSE),"")</f>
        <v/>
      </c>
      <c r="K4748" s="26" t="str">
        <f>IFERROR(VLOOKUP(G4748,WholesaleExtract!B:K,10,FALSE),"")</f>
        <v/>
      </c>
      <c r="L4748" s="47" t="str">
        <f>IFERROR(VLOOKUP(G4748,WholesaleExtract!B:L,11,FALSE),"")</f>
        <v/>
      </c>
      <c r="M4748" s="47" t="str">
        <f>IFERROR(VLOOKUP(G4748,WholesaleExtract!B:M,12,FALSE),"")</f>
        <v/>
      </c>
      <c r="R4748" s="19"/>
      <c r="S4748" s="19"/>
    </row>
    <row r="4749" spans="1:19" x14ac:dyDescent="0.35">
      <c r="A4749" s="26" t="s">
        <v>543</v>
      </c>
      <c r="B4749" s="26" t="s">
        <v>543</v>
      </c>
      <c r="C4749" s="26"/>
      <c r="D4749" s="26" t="s">
        <v>543</v>
      </c>
      <c r="E4749" s="26" t="str">
        <f>IFERROR(VLOOKUP(G4749,WholesaleExtract!B:J,9,FALSE),"")</f>
        <v/>
      </c>
      <c r="F4749" s="26" t="str">
        <f>IFERROR(VLOOKUP(G4749,WholesaleExtract!B:J,6,FALSE),"")</f>
        <v/>
      </c>
      <c r="H4749" s="47" t="str">
        <f>IFERROR(VLOOKUP(G4749,WholesaleExtract!B:L,11,FALSE),"")</f>
        <v/>
      </c>
      <c r="I4749" s="26" t="str">
        <f>IFERROR(VLOOKUP(G4749,WholesaleExtract!B:O,8,FALSE),"")</f>
        <v/>
      </c>
      <c r="J4749" s="26" t="str">
        <f>IFERROR(VLOOKUP(G4749,WholesaleExtract!B:O,14,FALSE),"")</f>
        <v/>
      </c>
      <c r="K4749" s="26" t="str">
        <f>IFERROR(VLOOKUP(G4749,WholesaleExtract!B:K,10,FALSE),"")</f>
        <v/>
      </c>
      <c r="L4749" s="47" t="str">
        <f>IFERROR(VLOOKUP(G4749,WholesaleExtract!B:L,11,FALSE),"")</f>
        <v/>
      </c>
      <c r="M4749" s="47" t="str">
        <f>IFERROR(VLOOKUP(G4749,WholesaleExtract!B:M,12,FALSE),"")</f>
        <v/>
      </c>
      <c r="R4749" s="19"/>
      <c r="S4749" s="19"/>
    </row>
    <row r="4750" spans="1:19" x14ac:dyDescent="0.35">
      <c r="A4750" s="26" t="s">
        <v>543</v>
      </c>
      <c r="B4750" s="26" t="s">
        <v>543</v>
      </c>
      <c r="C4750" s="26"/>
      <c r="D4750" s="26" t="s">
        <v>543</v>
      </c>
      <c r="E4750" s="26" t="str">
        <f>IFERROR(VLOOKUP(G4750,WholesaleExtract!B:J,9,FALSE),"")</f>
        <v/>
      </c>
      <c r="F4750" s="26" t="str">
        <f>IFERROR(VLOOKUP(G4750,WholesaleExtract!B:J,6,FALSE),"")</f>
        <v/>
      </c>
      <c r="H4750" s="47" t="str">
        <f>IFERROR(VLOOKUP(G4750,WholesaleExtract!B:L,11,FALSE),"")</f>
        <v/>
      </c>
      <c r="I4750" s="26" t="str">
        <f>IFERROR(VLOOKUP(G4750,WholesaleExtract!B:O,8,FALSE),"")</f>
        <v/>
      </c>
      <c r="J4750" s="26" t="str">
        <f>IFERROR(VLOOKUP(G4750,WholesaleExtract!B:O,14,FALSE),"")</f>
        <v/>
      </c>
      <c r="K4750" s="26" t="str">
        <f>IFERROR(VLOOKUP(G4750,WholesaleExtract!B:K,10,FALSE),"")</f>
        <v/>
      </c>
      <c r="L4750" s="47" t="str">
        <f>IFERROR(VLOOKUP(G4750,WholesaleExtract!B:L,11,FALSE),"")</f>
        <v/>
      </c>
      <c r="M4750" s="47" t="str">
        <f>IFERROR(VLOOKUP(G4750,WholesaleExtract!B:M,12,FALSE),"")</f>
        <v/>
      </c>
      <c r="R4750" s="19"/>
      <c r="S4750" s="19"/>
    </row>
    <row r="4751" spans="1:19" x14ac:dyDescent="0.35">
      <c r="A4751" s="26" t="s">
        <v>543</v>
      </c>
      <c r="B4751" s="26" t="s">
        <v>543</v>
      </c>
      <c r="C4751" s="26"/>
      <c r="D4751" s="26" t="s">
        <v>543</v>
      </c>
      <c r="E4751" s="26" t="str">
        <f>IFERROR(VLOOKUP(G4751,WholesaleExtract!B:J,9,FALSE),"")</f>
        <v/>
      </c>
      <c r="F4751" s="26" t="str">
        <f>IFERROR(VLOOKUP(G4751,WholesaleExtract!B:J,6,FALSE),"")</f>
        <v/>
      </c>
      <c r="H4751" s="47" t="str">
        <f>IFERROR(VLOOKUP(G4751,WholesaleExtract!B:L,11,FALSE),"")</f>
        <v/>
      </c>
      <c r="I4751" s="26" t="str">
        <f>IFERROR(VLOOKUP(G4751,WholesaleExtract!B:O,8,FALSE),"")</f>
        <v/>
      </c>
      <c r="J4751" s="26" t="str">
        <f>IFERROR(VLOOKUP(G4751,WholesaleExtract!B:O,14,FALSE),"")</f>
        <v/>
      </c>
      <c r="K4751" s="26" t="str">
        <f>IFERROR(VLOOKUP(G4751,WholesaleExtract!B:K,10,FALSE),"")</f>
        <v/>
      </c>
      <c r="L4751" s="47" t="str">
        <f>IFERROR(VLOOKUP(G4751,WholesaleExtract!B:L,11,FALSE),"")</f>
        <v/>
      </c>
      <c r="M4751" s="47" t="str">
        <f>IFERROR(VLOOKUP(G4751,WholesaleExtract!B:M,12,FALSE),"")</f>
        <v/>
      </c>
      <c r="R4751" s="19"/>
      <c r="S4751" s="19"/>
    </row>
    <row r="4752" spans="1:19" x14ac:dyDescent="0.35">
      <c r="A4752" s="26" t="s">
        <v>543</v>
      </c>
      <c r="B4752" s="26" t="s">
        <v>543</v>
      </c>
      <c r="C4752" s="26"/>
      <c r="D4752" s="26" t="s">
        <v>543</v>
      </c>
      <c r="E4752" s="26" t="str">
        <f>IFERROR(VLOOKUP(G4752,WholesaleExtract!B:J,9,FALSE),"")</f>
        <v/>
      </c>
      <c r="F4752" s="26" t="str">
        <f>IFERROR(VLOOKUP(G4752,WholesaleExtract!B:J,6,FALSE),"")</f>
        <v/>
      </c>
      <c r="H4752" s="47" t="str">
        <f>IFERROR(VLOOKUP(G4752,WholesaleExtract!B:L,11,FALSE),"")</f>
        <v/>
      </c>
      <c r="I4752" s="26" t="str">
        <f>IFERROR(VLOOKUP(G4752,WholesaleExtract!B:O,8,FALSE),"")</f>
        <v/>
      </c>
      <c r="J4752" s="26" t="str">
        <f>IFERROR(VLOOKUP(G4752,WholesaleExtract!B:O,14,FALSE),"")</f>
        <v/>
      </c>
      <c r="K4752" s="26" t="str">
        <f>IFERROR(VLOOKUP(G4752,WholesaleExtract!B:K,10,FALSE),"")</f>
        <v/>
      </c>
      <c r="L4752" s="47" t="str">
        <f>IFERROR(VLOOKUP(G4752,WholesaleExtract!B:L,11,FALSE),"")</f>
        <v/>
      </c>
      <c r="M4752" s="47" t="str">
        <f>IFERROR(VLOOKUP(G4752,WholesaleExtract!B:M,12,FALSE),"")</f>
        <v/>
      </c>
      <c r="R4752" s="19"/>
      <c r="S4752" s="19"/>
    </row>
    <row r="4753" spans="1:19" x14ac:dyDescent="0.35">
      <c r="A4753" s="26" t="s">
        <v>543</v>
      </c>
      <c r="B4753" s="26" t="s">
        <v>543</v>
      </c>
      <c r="C4753" s="26"/>
      <c r="D4753" s="26" t="s">
        <v>543</v>
      </c>
      <c r="E4753" s="26" t="str">
        <f>IFERROR(VLOOKUP(G4753,WholesaleExtract!B:J,9,FALSE),"")</f>
        <v/>
      </c>
      <c r="F4753" s="26" t="str">
        <f>IFERROR(VLOOKUP(G4753,WholesaleExtract!B:J,6,FALSE),"")</f>
        <v/>
      </c>
      <c r="H4753" s="47" t="str">
        <f>IFERROR(VLOOKUP(G4753,WholesaleExtract!B:L,11,FALSE),"")</f>
        <v/>
      </c>
      <c r="I4753" s="26" t="str">
        <f>IFERROR(VLOOKUP(G4753,WholesaleExtract!B:O,8,FALSE),"")</f>
        <v/>
      </c>
      <c r="J4753" s="26" t="str">
        <f>IFERROR(VLOOKUP(G4753,WholesaleExtract!B:O,14,FALSE),"")</f>
        <v/>
      </c>
      <c r="K4753" s="26" t="str">
        <f>IFERROR(VLOOKUP(G4753,WholesaleExtract!B:K,10,FALSE),"")</f>
        <v/>
      </c>
      <c r="L4753" s="47" t="str">
        <f>IFERROR(VLOOKUP(G4753,WholesaleExtract!B:L,11,FALSE),"")</f>
        <v/>
      </c>
      <c r="M4753" s="47" t="str">
        <f>IFERROR(VLOOKUP(G4753,WholesaleExtract!B:M,12,FALSE),"")</f>
        <v/>
      </c>
      <c r="R4753" s="19"/>
      <c r="S4753" s="19"/>
    </row>
    <row r="4754" spans="1:19" x14ac:dyDescent="0.35">
      <c r="A4754" s="26" t="s">
        <v>543</v>
      </c>
      <c r="B4754" s="26" t="s">
        <v>543</v>
      </c>
      <c r="C4754" s="26"/>
      <c r="D4754" s="26" t="s">
        <v>543</v>
      </c>
      <c r="E4754" s="26" t="str">
        <f>IFERROR(VLOOKUP(G4754,WholesaleExtract!B:J,9,FALSE),"")</f>
        <v/>
      </c>
      <c r="F4754" s="26" t="str">
        <f>IFERROR(VLOOKUP(G4754,WholesaleExtract!B:J,6,FALSE),"")</f>
        <v/>
      </c>
      <c r="H4754" s="47" t="str">
        <f>IFERROR(VLOOKUP(G4754,WholesaleExtract!B:L,11,FALSE),"")</f>
        <v/>
      </c>
      <c r="I4754" s="26" t="str">
        <f>IFERROR(VLOOKUP(G4754,WholesaleExtract!B:O,8,FALSE),"")</f>
        <v/>
      </c>
      <c r="J4754" s="26" t="str">
        <f>IFERROR(VLOOKUP(G4754,WholesaleExtract!B:O,14,FALSE),"")</f>
        <v/>
      </c>
      <c r="K4754" s="26" t="str">
        <f>IFERROR(VLOOKUP(G4754,WholesaleExtract!B:K,10,FALSE),"")</f>
        <v/>
      </c>
      <c r="L4754" s="47" t="str">
        <f>IFERROR(VLOOKUP(G4754,WholesaleExtract!B:L,11,FALSE),"")</f>
        <v/>
      </c>
      <c r="M4754" s="47" t="str">
        <f>IFERROR(VLOOKUP(G4754,WholesaleExtract!B:M,12,FALSE),"")</f>
        <v/>
      </c>
      <c r="R4754" s="19"/>
      <c r="S4754" s="19"/>
    </row>
    <row r="4755" spans="1:19" x14ac:dyDescent="0.35">
      <c r="A4755" s="26" t="s">
        <v>543</v>
      </c>
      <c r="B4755" s="26" t="s">
        <v>543</v>
      </c>
      <c r="C4755" s="26"/>
      <c r="D4755" s="26" t="s">
        <v>543</v>
      </c>
      <c r="E4755" s="26" t="str">
        <f>IFERROR(VLOOKUP(G4755,WholesaleExtract!B:J,9,FALSE),"")</f>
        <v/>
      </c>
      <c r="F4755" s="26" t="str">
        <f>IFERROR(VLOOKUP(G4755,WholesaleExtract!B:J,6,FALSE),"")</f>
        <v/>
      </c>
      <c r="H4755" s="47" t="str">
        <f>IFERROR(VLOOKUP(G4755,WholesaleExtract!B:L,11,FALSE),"")</f>
        <v/>
      </c>
      <c r="I4755" s="26" t="str">
        <f>IFERROR(VLOOKUP(G4755,WholesaleExtract!B:O,8,FALSE),"")</f>
        <v/>
      </c>
      <c r="J4755" s="26" t="str">
        <f>IFERROR(VLOOKUP(G4755,WholesaleExtract!B:O,14,FALSE),"")</f>
        <v/>
      </c>
      <c r="K4755" s="26" t="str">
        <f>IFERROR(VLOOKUP(G4755,WholesaleExtract!B:K,10,FALSE),"")</f>
        <v/>
      </c>
      <c r="L4755" s="47" t="str">
        <f>IFERROR(VLOOKUP(G4755,WholesaleExtract!B:L,11,FALSE),"")</f>
        <v/>
      </c>
      <c r="M4755" s="47" t="str">
        <f>IFERROR(VLOOKUP(G4755,WholesaleExtract!B:M,12,FALSE),"")</f>
        <v/>
      </c>
      <c r="R4755" s="19"/>
      <c r="S4755" s="19"/>
    </row>
    <row r="4756" spans="1:19" x14ac:dyDescent="0.35">
      <c r="A4756" s="26" t="s">
        <v>543</v>
      </c>
      <c r="B4756" s="26" t="s">
        <v>543</v>
      </c>
      <c r="C4756" s="26"/>
      <c r="D4756" s="26" t="s">
        <v>543</v>
      </c>
      <c r="E4756" s="26" t="str">
        <f>IFERROR(VLOOKUP(G4756,WholesaleExtract!B:J,9,FALSE),"")</f>
        <v/>
      </c>
      <c r="F4756" s="26" t="str">
        <f>IFERROR(VLOOKUP(G4756,WholesaleExtract!B:J,6,FALSE),"")</f>
        <v/>
      </c>
      <c r="H4756" s="47" t="str">
        <f>IFERROR(VLOOKUP(G4756,WholesaleExtract!B:L,11,FALSE),"")</f>
        <v/>
      </c>
      <c r="I4756" s="26" t="str">
        <f>IFERROR(VLOOKUP(G4756,WholesaleExtract!B:O,8,FALSE),"")</f>
        <v/>
      </c>
      <c r="J4756" s="26" t="str">
        <f>IFERROR(VLOOKUP(G4756,WholesaleExtract!B:O,14,FALSE),"")</f>
        <v/>
      </c>
      <c r="K4756" s="26" t="str">
        <f>IFERROR(VLOOKUP(G4756,WholesaleExtract!B:K,10,FALSE),"")</f>
        <v/>
      </c>
      <c r="L4756" s="47" t="str">
        <f>IFERROR(VLOOKUP(G4756,WholesaleExtract!B:L,11,FALSE),"")</f>
        <v/>
      </c>
      <c r="M4756" s="47" t="str">
        <f>IFERROR(VLOOKUP(G4756,WholesaleExtract!B:M,12,FALSE),"")</f>
        <v/>
      </c>
      <c r="R4756" s="19"/>
      <c r="S4756" s="19"/>
    </row>
    <row r="4757" spans="1:19" x14ac:dyDescent="0.35">
      <c r="A4757" s="26" t="s">
        <v>543</v>
      </c>
      <c r="B4757" s="26" t="s">
        <v>543</v>
      </c>
      <c r="C4757" s="26"/>
      <c r="D4757" s="26" t="s">
        <v>543</v>
      </c>
      <c r="E4757" s="26" t="str">
        <f>IFERROR(VLOOKUP(G4757,WholesaleExtract!B:J,9,FALSE),"")</f>
        <v/>
      </c>
      <c r="F4757" s="26" t="str">
        <f>IFERROR(VLOOKUP(G4757,WholesaleExtract!B:J,6,FALSE),"")</f>
        <v/>
      </c>
      <c r="H4757" s="47" t="str">
        <f>IFERROR(VLOOKUP(G4757,WholesaleExtract!B:L,11,FALSE),"")</f>
        <v/>
      </c>
      <c r="I4757" s="26" t="str">
        <f>IFERROR(VLOOKUP(G4757,WholesaleExtract!B:O,8,FALSE),"")</f>
        <v/>
      </c>
      <c r="J4757" s="26" t="str">
        <f>IFERROR(VLOOKUP(G4757,WholesaleExtract!B:O,14,FALSE),"")</f>
        <v/>
      </c>
      <c r="K4757" s="26" t="str">
        <f>IFERROR(VLOOKUP(G4757,WholesaleExtract!B:K,10,FALSE),"")</f>
        <v/>
      </c>
      <c r="L4757" s="47" t="str">
        <f>IFERROR(VLOOKUP(G4757,WholesaleExtract!B:L,11,FALSE),"")</f>
        <v/>
      </c>
      <c r="M4757" s="47" t="str">
        <f>IFERROR(VLOOKUP(G4757,WholesaleExtract!B:M,12,FALSE),"")</f>
        <v/>
      </c>
      <c r="R4757" s="19"/>
      <c r="S4757" s="19"/>
    </row>
    <row r="4758" spans="1:19" x14ac:dyDescent="0.35">
      <c r="A4758" s="26" t="s">
        <v>543</v>
      </c>
      <c r="B4758" s="26" t="s">
        <v>543</v>
      </c>
      <c r="C4758" s="26"/>
      <c r="D4758" s="26" t="s">
        <v>543</v>
      </c>
      <c r="E4758" s="26" t="str">
        <f>IFERROR(VLOOKUP(G4758,WholesaleExtract!B:J,9,FALSE),"")</f>
        <v/>
      </c>
      <c r="F4758" s="26" t="str">
        <f>IFERROR(VLOOKUP(G4758,WholesaleExtract!B:J,6,FALSE),"")</f>
        <v/>
      </c>
      <c r="H4758" s="47" t="str">
        <f>IFERROR(VLOOKUP(G4758,WholesaleExtract!B:L,11,FALSE),"")</f>
        <v/>
      </c>
      <c r="I4758" s="26" t="str">
        <f>IFERROR(VLOOKUP(G4758,WholesaleExtract!B:O,8,FALSE),"")</f>
        <v/>
      </c>
      <c r="J4758" s="26" t="str">
        <f>IFERROR(VLOOKUP(G4758,WholesaleExtract!B:O,14,FALSE),"")</f>
        <v/>
      </c>
      <c r="K4758" s="26" t="str">
        <f>IFERROR(VLOOKUP(G4758,WholesaleExtract!B:K,10,FALSE),"")</f>
        <v/>
      </c>
      <c r="L4758" s="47" t="str">
        <f>IFERROR(VLOOKUP(G4758,WholesaleExtract!B:L,11,FALSE),"")</f>
        <v/>
      </c>
      <c r="M4758" s="47" t="str">
        <f>IFERROR(VLOOKUP(G4758,WholesaleExtract!B:M,12,FALSE),"")</f>
        <v/>
      </c>
      <c r="R4758" s="19"/>
      <c r="S4758" s="19"/>
    </row>
    <row r="4759" spans="1:19" x14ac:dyDescent="0.35">
      <c r="A4759" s="26" t="s">
        <v>543</v>
      </c>
      <c r="B4759" s="26" t="s">
        <v>543</v>
      </c>
      <c r="C4759" s="26"/>
      <c r="D4759" s="26" t="s">
        <v>543</v>
      </c>
      <c r="E4759" s="26" t="str">
        <f>IFERROR(VLOOKUP(G4759,WholesaleExtract!B:J,9,FALSE),"")</f>
        <v/>
      </c>
      <c r="F4759" s="26" t="str">
        <f>IFERROR(VLOOKUP(G4759,WholesaleExtract!B:J,6,FALSE),"")</f>
        <v/>
      </c>
      <c r="H4759" s="47" t="str">
        <f>IFERROR(VLOOKUP(G4759,WholesaleExtract!B:L,11,FALSE),"")</f>
        <v/>
      </c>
      <c r="I4759" s="26" t="str">
        <f>IFERROR(VLOOKUP(G4759,WholesaleExtract!B:O,8,FALSE),"")</f>
        <v/>
      </c>
      <c r="J4759" s="26" t="str">
        <f>IFERROR(VLOOKUP(G4759,WholesaleExtract!B:O,14,FALSE),"")</f>
        <v/>
      </c>
      <c r="K4759" s="26" t="str">
        <f>IFERROR(VLOOKUP(G4759,WholesaleExtract!B:K,10,FALSE),"")</f>
        <v/>
      </c>
      <c r="L4759" s="47" t="str">
        <f>IFERROR(VLOOKUP(G4759,WholesaleExtract!B:L,11,FALSE),"")</f>
        <v/>
      </c>
      <c r="M4759" s="47" t="str">
        <f>IFERROR(VLOOKUP(G4759,WholesaleExtract!B:M,12,FALSE),"")</f>
        <v/>
      </c>
      <c r="R4759" s="19"/>
      <c r="S4759" s="19"/>
    </row>
    <row r="4760" spans="1:19" x14ac:dyDescent="0.35">
      <c r="A4760" s="26" t="s">
        <v>543</v>
      </c>
      <c r="B4760" s="26" t="s">
        <v>543</v>
      </c>
      <c r="C4760" s="26"/>
      <c r="D4760" s="26" t="s">
        <v>543</v>
      </c>
      <c r="E4760" s="26" t="str">
        <f>IFERROR(VLOOKUP(G4760,WholesaleExtract!B:J,9,FALSE),"")</f>
        <v/>
      </c>
      <c r="F4760" s="26" t="str">
        <f>IFERROR(VLOOKUP(G4760,WholesaleExtract!B:J,6,FALSE),"")</f>
        <v/>
      </c>
      <c r="H4760" s="47" t="str">
        <f>IFERROR(VLOOKUP(G4760,WholesaleExtract!B:L,11,FALSE),"")</f>
        <v/>
      </c>
      <c r="I4760" s="26" t="str">
        <f>IFERROR(VLOOKUP(G4760,WholesaleExtract!B:O,8,FALSE),"")</f>
        <v/>
      </c>
      <c r="J4760" s="26" t="str">
        <f>IFERROR(VLOOKUP(G4760,WholesaleExtract!B:O,14,FALSE),"")</f>
        <v/>
      </c>
      <c r="K4760" s="26" t="str">
        <f>IFERROR(VLOOKUP(G4760,WholesaleExtract!B:K,10,FALSE),"")</f>
        <v/>
      </c>
      <c r="L4760" s="47" t="str">
        <f>IFERROR(VLOOKUP(G4760,WholesaleExtract!B:L,11,FALSE),"")</f>
        <v/>
      </c>
      <c r="M4760" s="47" t="str">
        <f>IFERROR(VLOOKUP(G4760,WholesaleExtract!B:M,12,FALSE),"")</f>
        <v/>
      </c>
      <c r="R4760" s="19"/>
      <c r="S4760" s="19"/>
    </row>
    <row r="4761" spans="1:19" x14ac:dyDescent="0.35">
      <c r="A4761" s="26" t="s">
        <v>543</v>
      </c>
      <c r="B4761" s="26" t="s">
        <v>543</v>
      </c>
      <c r="C4761" s="26"/>
      <c r="D4761" s="26" t="s">
        <v>543</v>
      </c>
      <c r="E4761" s="26" t="str">
        <f>IFERROR(VLOOKUP(G4761,WholesaleExtract!B:J,9,FALSE),"")</f>
        <v/>
      </c>
      <c r="F4761" s="26" t="str">
        <f>IFERROR(VLOOKUP(G4761,WholesaleExtract!B:J,6,FALSE),"")</f>
        <v/>
      </c>
      <c r="H4761" s="47" t="str">
        <f>IFERROR(VLOOKUP(G4761,WholesaleExtract!B:L,11,FALSE),"")</f>
        <v/>
      </c>
      <c r="I4761" s="26" t="str">
        <f>IFERROR(VLOOKUP(G4761,WholesaleExtract!B:O,8,FALSE),"")</f>
        <v/>
      </c>
      <c r="J4761" s="26" t="str">
        <f>IFERROR(VLOOKUP(G4761,WholesaleExtract!B:O,14,FALSE),"")</f>
        <v/>
      </c>
      <c r="K4761" s="26" t="str">
        <f>IFERROR(VLOOKUP(G4761,WholesaleExtract!B:K,10,FALSE),"")</f>
        <v/>
      </c>
      <c r="L4761" s="47" t="str">
        <f>IFERROR(VLOOKUP(G4761,WholesaleExtract!B:L,11,FALSE),"")</f>
        <v/>
      </c>
      <c r="M4761" s="47" t="str">
        <f>IFERROR(VLOOKUP(G4761,WholesaleExtract!B:M,12,FALSE),"")</f>
        <v/>
      </c>
      <c r="R4761" s="19"/>
      <c r="S4761" s="19"/>
    </row>
    <row r="4762" spans="1:19" x14ac:dyDescent="0.35">
      <c r="A4762" s="26" t="s">
        <v>543</v>
      </c>
      <c r="B4762" s="26" t="s">
        <v>543</v>
      </c>
      <c r="C4762" s="26"/>
      <c r="D4762" s="26" t="s">
        <v>543</v>
      </c>
      <c r="E4762" s="26" t="str">
        <f>IFERROR(VLOOKUP(G4762,WholesaleExtract!B:J,9,FALSE),"")</f>
        <v/>
      </c>
      <c r="F4762" s="26" t="str">
        <f>IFERROR(VLOOKUP(G4762,WholesaleExtract!B:J,6,FALSE),"")</f>
        <v/>
      </c>
      <c r="H4762" s="47" t="str">
        <f>IFERROR(VLOOKUP(G4762,WholesaleExtract!B:L,11,FALSE),"")</f>
        <v/>
      </c>
      <c r="I4762" s="26" t="str">
        <f>IFERROR(VLOOKUP(G4762,WholesaleExtract!B:O,8,FALSE),"")</f>
        <v/>
      </c>
      <c r="J4762" s="26" t="str">
        <f>IFERROR(VLOOKUP(G4762,WholesaleExtract!B:O,14,FALSE),"")</f>
        <v/>
      </c>
      <c r="K4762" s="26" t="str">
        <f>IFERROR(VLOOKUP(G4762,WholesaleExtract!B:K,10,FALSE),"")</f>
        <v/>
      </c>
      <c r="L4762" s="47" t="str">
        <f>IFERROR(VLOOKUP(G4762,WholesaleExtract!B:L,11,FALSE),"")</f>
        <v/>
      </c>
      <c r="M4762" s="47" t="str">
        <f>IFERROR(VLOOKUP(G4762,WholesaleExtract!B:M,12,FALSE),"")</f>
        <v/>
      </c>
      <c r="R4762" s="19"/>
      <c r="S4762" s="19"/>
    </row>
    <row r="4763" spans="1:19" x14ac:dyDescent="0.35">
      <c r="A4763" s="26" t="s">
        <v>543</v>
      </c>
      <c r="B4763" s="26" t="s">
        <v>543</v>
      </c>
      <c r="C4763" s="26"/>
      <c r="D4763" s="26" t="s">
        <v>543</v>
      </c>
      <c r="E4763" s="26" t="str">
        <f>IFERROR(VLOOKUP(G4763,WholesaleExtract!B:J,9,FALSE),"")</f>
        <v/>
      </c>
      <c r="F4763" s="26" t="str">
        <f>IFERROR(VLOOKUP(G4763,WholesaleExtract!B:J,6,FALSE),"")</f>
        <v/>
      </c>
      <c r="H4763" s="47" t="str">
        <f>IFERROR(VLOOKUP(G4763,WholesaleExtract!B:L,11,FALSE),"")</f>
        <v/>
      </c>
      <c r="I4763" s="26" t="str">
        <f>IFERROR(VLOOKUP(G4763,WholesaleExtract!B:O,8,FALSE),"")</f>
        <v/>
      </c>
      <c r="J4763" s="26" t="str">
        <f>IFERROR(VLOOKUP(G4763,WholesaleExtract!B:O,14,FALSE),"")</f>
        <v/>
      </c>
      <c r="K4763" s="26" t="str">
        <f>IFERROR(VLOOKUP(G4763,WholesaleExtract!B:K,10,FALSE),"")</f>
        <v/>
      </c>
      <c r="L4763" s="47" t="str">
        <f>IFERROR(VLOOKUP(G4763,WholesaleExtract!B:L,11,FALSE),"")</f>
        <v/>
      </c>
      <c r="M4763" s="47" t="str">
        <f>IFERROR(VLOOKUP(G4763,WholesaleExtract!B:M,12,FALSE),"")</f>
        <v/>
      </c>
      <c r="R4763" s="19"/>
      <c r="S4763" s="19"/>
    </row>
    <row r="4764" spans="1:19" x14ac:dyDescent="0.35">
      <c r="A4764" s="26" t="s">
        <v>543</v>
      </c>
      <c r="B4764" s="26" t="s">
        <v>543</v>
      </c>
      <c r="C4764" s="26"/>
      <c r="D4764" s="26" t="s">
        <v>543</v>
      </c>
      <c r="E4764" s="26" t="str">
        <f>IFERROR(VLOOKUP(G4764,WholesaleExtract!B:J,9,FALSE),"")</f>
        <v/>
      </c>
      <c r="F4764" s="26" t="str">
        <f>IFERROR(VLOOKUP(G4764,WholesaleExtract!B:J,6,FALSE),"")</f>
        <v/>
      </c>
      <c r="H4764" s="47" t="str">
        <f>IFERROR(VLOOKUP(G4764,WholesaleExtract!B:L,11,FALSE),"")</f>
        <v/>
      </c>
      <c r="I4764" s="26" t="str">
        <f>IFERROR(VLOOKUP(G4764,WholesaleExtract!B:O,8,FALSE),"")</f>
        <v/>
      </c>
      <c r="J4764" s="26" t="str">
        <f>IFERROR(VLOOKUP(G4764,WholesaleExtract!B:O,14,FALSE),"")</f>
        <v/>
      </c>
      <c r="K4764" s="26" t="str">
        <f>IFERROR(VLOOKUP(G4764,WholesaleExtract!B:K,10,FALSE),"")</f>
        <v/>
      </c>
      <c r="L4764" s="47" t="str">
        <f>IFERROR(VLOOKUP(G4764,WholesaleExtract!B:L,11,FALSE),"")</f>
        <v/>
      </c>
      <c r="M4764" s="47" t="str">
        <f>IFERROR(VLOOKUP(G4764,WholesaleExtract!B:M,12,FALSE),"")</f>
        <v/>
      </c>
      <c r="R4764" s="19"/>
      <c r="S4764" s="19"/>
    </row>
    <row r="4765" spans="1:19" x14ac:dyDescent="0.35">
      <c r="A4765" s="26" t="s">
        <v>543</v>
      </c>
      <c r="B4765" s="26" t="s">
        <v>543</v>
      </c>
      <c r="C4765" s="26"/>
      <c r="D4765" s="26" t="s">
        <v>543</v>
      </c>
      <c r="E4765" s="26" t="str">
        <f>IFERROR(VLOOKUP(G4765,WholesaleExtract!B:J,9,FALSE),"")</f>
        <v/>
      </c>
      <c r="F4765" s="26" t="str">
        <f>IFERROR(VLOOKUP(G4765,WholesaleExtract!B:J,6,FALSE),"")</f>
        <v/>
      </c>
      <c r="H4765" s="47" t="str">
        <f>IFERROR(VLOOKUP(G4765,WholesaleExtract!B:L,11,FALSE),"")</f>
        <v/>
      </c>
      <c r="I4765" s="26" t="str">
        <f>IFERROR(VLOOKUP(G4765,WholesaleExtract!B:O,8,FALSE),"")</f>
        <v/>
      </c>
      <c r="J4765" s="26" t="str">
        <f>IFERROR(VLOOKUP(G4765,WholesaleExtract!B:O,14,FALSE),"")</f>
        <v/>
      </c>
      <c r="K4765" s="26" t="str">
        <f>IFERROR(VLOOKUP(G4765,WholesaleExtract!B:K,10,FALSE),"")</f>
        <v/>
      </c>
      <c r="L4765" s="47" t="str">
        <f>IFERROR(VLOOKUP(G4765,WholesaleExtract!B:L,11,FALSE),"")</f>
        <v/>
      </c>
      <c r="M4765" s="47" t="str">
        <f>IFERROR(VLOOKUP(G4765,WholesaleExtract!B:M,12,FALSE),"")</f>
        <v/>
      </c>
      <c r="R4765" s="19"/>
      <c r="S4765" s="19"/>
    </row>
    <row r="4766" spans="1:19" x14ac:dyDescent="0.35">
      <c r="A4766" s="26" t="s">
        <v>543</v>
      </c>
      <c r="B4766" s="26" t="s">
        <v>543</v>
      </c>
      <c r="C4766" s="26"/>
      <c r="D4766" s="26" t="s">
        <v>543</v>
      </c>
      <c r="E4766" s="26" t="str">
        <f>IFERROR(VLOOKUP(G4766,WholesaleExtract!B:J,9,FALSE),"")</f>
        <v/>
      </c>
      <c r="F4766" s="26" t="str">
        <f>IFERROR(VLOOKUP(G4766,WholesaleExtract!B:J,6,FALSE),"")</f>
        <v/>
      </c>
      <c r="H4766" s="47" t="str">
        <f>IFERROR(VLOOKUP(G4766,WholesaleExtract!B:L,11,FALSE),"")</f>
        <v/>
      </c>
      <c r="I4766" s="26" t="str">
        <f>IFERROR(VLOOKUP(G4766,WholesaleExtract!B:O,8,FALSE),"")</f>
        <v/>
      </c>
      <c r="J4766" s="26" t="str">
        <f>IFERROR(VLOOKUP(G4766,WholesaleExtract!B:O,14,FALSE),"")</f>
        <v/>
      </c>
      <c r="K4766" s="26" t="str">
        <f>IFERROR(VLOOKUP(G4766,WholesaleExtract!B:K,10,FALSE),"")</f>
        <v/>
      </c>
      <c r="L4766" s="47" t="str">
        <f>IFERROR(VLOOKUP(G4766,WholesaleExtract!B:L,11,FALSE),"")</f>
        <v/>
      </c>
      <c r="M4766" s="47" t="str">
        <f>IFERROR(VLOOKUP(G4766,WholesaleExtract!B:M,12,FALSE),"")</f>
        <v/>
      </c>
      <c r="R4766" s="19"/>
      <c r="S4766" s="19"/>
    </row>
    <row r="4767" spans="1:19" x14ac:dyDescent="0.35">
      <c r="A4767" s="26" t="s">
        <v>543</v>
      </c>
      <c r="B4767" s="26" t="s">
        <v>543</v>
      </c>
      <c r="C4767" s="26"/>
      <c r="D4767" s="26" t="s">
        <v>543</v>
      </c>
      <c r="E4767" s="26" t="str">
        <f>IFERROR(VLOOKUP(G4767,WholesaleExtract!B:J,9,FALSE),"")</f>
        <v/>
      </c>
      <c r="F4767" s="26" t="str">
        <f>IFERROR(VLOOKUP(G4767,WholesaleExtract!B:J,6,FALSE),"")</f>
        <v/>
      </c>
      <c r="H4767" s="47" t="str">
        <f>IFERROR(VLOOKUP(G4767,WholesaleExtract!B:L,11,FALSE),"")</f>
        <v/>
      </c>
      <c r="I4767" s="26" t="str">
        <f>IFERROR(VLOOKUP(G4767,WholesaleExtract!B:O,8,FALSE),"")</f>
        <v/>
      </c>
      <c r="J4767" s="26" t="str">
        <f>IFERROR(VLOOKUP(G4767,WholesaleExtract!B:O,14,FALSE),"")</f>
        <v/>
      </c>
      <c r="K4767" s="26" t="str">
        <f>IFERROR(VLOOKUP(G4767,WholesaleExtract!B:K,10,FALSE),"")</f>
        <v/>
      </c>
      <c r="L4767" s="47" t="str">
        <f>IFERROR(VLOOKUP(G4767,WholesaleExtract!B:L,11,FALSE),"")</f>
        <v/>
      </c>
      <c r="M4767" s="47" t="str">
        <f>IFERROR(VLOOKUP(G4767,WholesaleExtract!B:M,12,FALSE),"")</f>
        <v/>
      </c>
      <c r="R4767" s="19"/>
      <c r="S4767" s="19"/>
    </row>
    <row r="4768" spans="1:19" x14ac:dyDescent="0.35">
      <c r="A4768" s="26" t="s">
        <v>543</v>
      </c>
      <c r="B4768" s="26" t="s">
        <v>543</v>
      </c>
      <c r="C4768" s="26"/>
      <c r="D4768" s="26" t="s">
        <v>543</v>
      </c>
      <c r="E4768" s="26" t="str">
        <f>IFERROR(VLOOKUP(G4768,WholesaleExtract!B:J,9,FALSE),"")</f>
        <v/>
      </c>
      <c r="F4768" s="26" t="str">
        <f>IFERROR(VLOOKUP(G4768,WholesaleExtract!B:J,6,FALSE),"")</f>
        <v/>
      </c>
      <c r="H4768" s="47" t="str">
        <f>IFERROR(VLOOKUP(G4768,WholesaleExtract!B:L,11,FALSE),"")</f>
        <v/>
      </c>
      <c r="I4768" s="26" t="str">
        <f>IFERROR(VLOOKUP(G4768,WholesaleExtract!B:O,8,FALSE),"")</f>
        <v/>
      </c>
      <c r="J4768" s="26" t="str">
        <f>IFERROR(VLOOKUP(G4768,WholesaleExtract!B:O,14,FALSE),"")</f>
        <v/>
      </c>
      <c r="K4768" s="26" t="str">
        <f>IFERROR(VLOOKUP(G4768,WholesaleExtract!B:K,10,FALSE),"")</f>
        <v/>
      </c>
      <c r="L4768" s="47" t="str">
        <f>IFERROR(VLOOKUP(G4768,WholesaleExtract!B:L,11,FALSE),"")</f>
        <v/>
      </c>
      <c r="M4768" s="47" t="str">
        <f>IFERROR(VLOOKUP(G4768,WholesaleExtract!B:M,12,FALSE),"")</f>
        <v/>
      </c>
      <c r="R4768" s="19"/>
      <c r="S4768" s="19"/>
    </row>
    <row r="4769" spans="1:19" x14ac:dyDescent="0.35">
      <c r="A4769" s="26" t="s">
        <v>543</v>
      </c>
      <c r="B4769" s="26" t="s">
        <v>543</v>
      </c>
      <c r="C4769" s="26"/>
      <c r="D4769" s="26" t="s">
        <v>543</v>
      </c>
      <c r="E4769" s="26" t="str">
        <f>IFERROR(VLOOKUP(G4769,WholesaleExtract!B:J,9,FALSE),"")</f>
        <v/>
      </c>
      <c r="F4769" s="26" t="str">
        <f>IFERROR(VLOOKUP(G4769,WholesaleExtract!B:J,6,FALSE),"")</f>
        <v/>
      </c>
      <c r="H4769" s="47" t="str">
        <f>IFERROR(VLOOKUP(G4769,WholesaleExtract!B:L,11,FALSE),"")</f>
        <v/>
      </c>
      <c r="I4769" s="26" t="str">
        <f>IFERROR(VLOOKUP(G4769,WholesaleExtract!B:O,8,FALSE),"")</f>
        <v/>
      </c>
      <c r="J4769" s="26" t="str">
        <f>IFERROR(VLOOKUP(G4769,WholesaleExtract!B:O,14,FALSE),"")</f>
        <v/>
      </c>
      <c r="K4769" s="26" t="str">
        <f>IFERROR(VLOOKUP(G4769,WholesaleExtract!B:K,10,FALSE),"")</f>
        <v/>
      </c>
      <c r="L4769" s="47" t="str">
        <f>IFERROR(VLOOKUP(G4769,WholesaleExtract!B:L,11,FALSE),"")</f>
        <v/>
      </c>
      <c r="M4769" s="47" t="str">
        <f>IFERROR(VLOOKUP(G4769,WholesaleExtract!B:M,12,FALSE),"")</f>
        <v/>
      </c>
      <c r="R4769" s="19"/>
      <c r="S4769" s="19"/>
    </row>
    <row r="4770" spans="1:19" x14ac:dyDescent="0.35">
      <c r="A4770" s="26" t="s">
        <v>543</v>
      </c>
      <c r="B4770" s="26" t="s">
        <v>543</v>
      </c>
      <c r="C4770" s="26"/>
      <c r="D4770" s="26" t="s">
        <v>543</v>
      </c>
      <c r="E4770" s="26" t="str">
        <f>IFERROR(VLOOKUP(G4770,WholesaleExtract!B:J,9,FALSE),"")</f>
        <v/>
      </c>
      <c r="F4770" s="26" t="str">
        <f>IFERROR(VLOOKUP(G4770,WholesaleExtract!B:J,6,FALSE),"")</f>
        <v/>
      </c>
      <c r="H4770" s="47" t="str">
        <f>IFERROR(VLOOKUP(G4770,WholesaleExtract!B:L,11,FALSE),"")</f>
        <v/>
      </c>
      <c r="I4770" s="26" t="str">
        <f>IFERROR(VLOOKUP(G4770,WholesaleExtract!B:O,8,FALSE),"")</f>
        <v/>
      </c>
      <c r="J4770" s="26" t="str">
        <f>IFERROR(VLOOKUP(G4770,WholesaleExtract!B:O,14,FALSE),"")</f>
        <v/>
      </c>
      <c r="K4770" s="26" t="str">
        <f>IFERROR(VLOOKUP(G4770,WholesaleExtract!B:K,10,FALSE),"")</f>
        <v/>
      </c>
      <c r="L4770" s="47" t="str">
        <f>IFERROR(VLOOKUP(G4770,WholesaleExtract!B:L,11,FALSE),"")</f>
        <v/>
      </c>
      <c r="M4770" s="47" t="str">
        <f>IFERROR(VLOOKUP(G4770,WholesaleExtract!B:M,12,FALSE),"")</f>
        <v/>
      </c>
      <c r="R4770" s="19"/>
      <c r="S4770" s="19"/>
    </row>
    <row r="4771" spans="1:19" x14ac:dyDescent="0.35">
      <c r="A4771" s="26" t="s">
        <v>543</v>
      </c>
      <c r="B4771" s="26" t="s">
        <v>543</v>
      </c>
      <c r="C4771" s="26"/>
      <c r="D4771" s="26" t="s">
        <v>543</v>
      </c>
      <c r="E4771" s="26" t="str">
        <f>IFERROR(VLOOKUP(G4771,WholesaleExtract!B:J,9,FALSE),"")</f>
        <v/>
      </c>
      <c r="F4771" s="26" t="str">
        <f>IFERROR(VLOOKUP(G4771,WholesaleExtract!B:J,6,FALSE),"")</f>
        <v/>
      </c>
      <c r="H4771" s="47" t="str">
        <f>IFERROR(VLOOKUP(G4771,WholesaleExtract!B:L,11,FALSE),"")</f>
        <v/>
      </c>
      <c r="I4771" s="26" t="str">
        <f>IFERROR(VLOOKUP(G4771,WholesaleExtract!B:O,8,FALSE),"")</f>
        <v/>
      </c>
      <c r="J4771" s="26" t="str">
        <f>IFERROR(VLOOKUP(G4771,WholesaleExtract!B:O,14,FALSE),"")</f>
        <v/>
      </c>
      <c r="K4771" s="26" t="str">
        <f>IFERROR(VLOOKUP(G4771,WholesaleExtract!B:K,10,FALSE),"")</f>
        <v/>
      </c>
      <c r="L4771" s="47" t="str">
        <f>IFERROR(VLOOKUP(G4771,WholesaleExtract!B:L,11,FALSE),"")</f>
        <v/>
      </c>
      <c r="M4771" s="47" t="str">
        <f>IFERROR(VLOOKUP(G4771,WholesaleExtract!B:M,12,FALSE),"")</f>
        <v/>
      </c>
      <c r="R4771" s="19"/>
      <c r="S4771" s="19"/>
    </row>
    <row r="4772" spans="1:19" x14ac:dyDescent="0.35">
      <c r="A4772" s="26" t="s">
        <v>543</v>
      </c>
      <c r="B4772" s="26" t="s">
        <v>543</v>
      </c>
      <c r="C4772" s="26"/>
      <c r="D4772" s="26" t="s">
        <v>543</v>
      </c>
      <c r="E4772" s="26" t="str">
        <f>IFERROR(VLOOKUP(G4772,WholesaleExtract!B:J,9,FALSE),"")</f>
        <v/>
      </c>
      <c r="F4772" s="26" t="str">
        <f>IFERROR(VLOOKUP(G4772,WholesaleExtract!B:J,6,FALSE),"")</f>
        <v/>
      </c>
      <c r="H4772" s="47" t="str">
        <f>IFERROR(VLOOKUP(G4772,WholesaleExtract!B:L,11,FALSE),"")</f>
        <v/>
      </c>
      <c r="I4772" s="26" t="str">
        <f>IFERROR(VLOOKUP(G4772,WholesaleExtract!B:O,8,FALSE),"")</f>
        <v/>
      </c>
      <c r="J4772" s="26" t="str">
        <f>IFERROR(VLOOKUP(G4772,WholesaleExtract!B:O,14,FALSE),"")</f>
        <v/>
      </c>
      <c r="K4772" s="26" t="str">
        <f>IFERROR(VLOOKUP(G4772,WholesaleExtract!B:K,10,FALSE),"")</f>
        <v/>
      </c>
      <c r="L4772" s="47" t="str">
        <f>IFERROR(VLOOKUP(G4772,WholesaleExtract!B:L,11,FALSE),"")</f>
        <v/>
      </c>
      <c r="M4772" s="47" t="str">
        <f>IFERROR(VLOOKUP(G4772,WholesaleExtract!B:M,12,FALSE),"")</f>
        <v/>
      </c>
      <c r="R4772" s="19"/>
      <c r="S4772" s="19"/>
    </row>
    <row r="4773" spans="1:19" x14ac:dyDescent="0.35">
      <c r="A4773" s="26" t="s">
        <v>543</v>
      </c>
      <c r="B4773" s="26" t="s">
        <v>543</v>
      </c>
      <c r="C4773" s="26"/>
      <c r="D4773" s="26" t="s">
        <v>543</v>
      </c>
      <c r="E4773" s="26" t="str">
        <f>IFERROR(VLOOKUP(G4773,WholesaleExtract!B:J,9,FALSE),"")</f>
        <v/>
      </c>
      <c r="F4773" s="26" t="str">
        <f>IFERROR(VLOOKUP(G4773,WholesaleExtract!B:J,6,FALSE),"")</f>
        <v/>
      </c>
      <c r="H4773" s="47" t="str">
        <f>IFERROR(VLOOKUP(G4773,WholesaleExtract!B:L,11,FALSE),"")</f>
        <v/>
      </c>
      <c r="I4773" s="26" t="str">
        <f>IFERROR(VLOOKUP(G4773,WholesaleExtract!B:O,8,FALSE),"")</f>
        <v/>
      </c>
      <c r="J4773" s="26" t="str">
        <f>IFERROR(VLOOKUP(G4773,WholesaleExtract!B:O,14,FALSE),"")</f>
        <v/>
      </c>
      <c r="K4773" s="26" t="str">
        <f>IFERROR(VLOOKUP(G4773,WholesaleExtract!B:K,10,FALSE),"")</f>
        <v/>
      </c>
      <c r="L4773" s="47" t="str">
        <f>IFERROR(VLOOKUP(G4773,WholesaleExtract!B:L,11,FALSE),"")</f>
        <v/>
      </c>
      <c r="M4773" s="47" t="str">
        <f>IFERROR(VLOOKUP(G4773,WholesaleExtract!B:M,12,FALSE),"")</f>
        <v/>
      </c>
      <c r="R4773" s="19"/>
      <c r="S4773" s="19"/>
    </row>
    <row r="4774" spans="1:19" x14ac:dyDescent="0.35">
      <c r="A4774" s="26" t="s">
        <v>543</v>
      </c>
      <c r="B4774" s="26" t="s">
        <v>543</v>
      </c>
      <c r="C4774" s="26"/>
      <c r="D4774" s="26" t="s">
        <v>543</v>
      </c>
      <c r="E4774" s="26" t="str">
        <f>IFERROR(VLOOKUP(G4774,WholesaleExtract!B:J,9,FALSE),"")</f>
        <v/>
      </c>
      <c r="F4774" s="26" t="str">
        <f>IFERROR(VLOOKUP(G4774,WholesaleExtract!B:J,6,FALSE),"")</f>
        <v/>
      </c>
      <c r="H4774" s="47" t="str">
        <f>IFERROR(VLOOKUP(G4774,WholesaleExtract!B:L,11,FALSE),"")</f>
        <v/>
      </c>
      <c r="I4774" s="26" t="str">
        <f>IFERROR(VLOOKUP(G4774,WholesaleExtract!B:O,8,FALSE),"")</f>
        <v/>
      </c>
      <c r="J4774" s="26" t="str">
        <f>IFERROR(VLOOKUP(G4774,WholesaleExtract!B:O,14,FALSE),"")</f>
        <v/>
      </c>
      <c r="K4774" s="26" t="str">
        <f>IFERROR(VLOOKUP(G4774,WholesaleExtract!B:K,10,FALSE),"")</f>
        <v/>
      </c>
      <c r="L4774" s="47" t="str">
        <f>IFERROR(VLOOKUP(G4774,WholesaleExtract!B:L,11,FALSE),"")</f>
        <v/>
      </c>
      <c r="M4774" s="47" t="str">
        <f>IFERROR(VLOOKUP(G4774,WholesaleExtract!B:M,12,FALSE),"")</f>
        <v/>
      </c>
      <c r="R4774" s="19"/>
      <c r="S4774" s="19"/>
    </row>
    <row r="4775" spans="1:19" x14ac:dyDescent="0.35">
      <c r="A4775" s="26" t="s">
        <v>543</v>
      </c>
      <c r="B4775" s="26" t="s">
        <v>543</v>
      </c>
      <c r="C4775" s="26"/>
      <c r="D4775" s="26" t="s">
        <v>543</v>
      </c>
      <c r="E4775" s="26" t="str">
        <f>IFERROR(VLOOKUP(G4775,WholesaleExtract!B:J,9,FALSE),"")</f>
        <v/>
      </c>
      <c r="F4775" s="26" t="str">
        <f>IFERROR(VLOOKUP(G4775,WholesaleExtract!B:J,6,FALSE),"")</f>
        <v/>
      </c>
      <c r="H4775" s="47" t="str">
        <f>IFERROR(VLOOKUP(G4775,WholesaleExtract!B:L,11,FALSE),"")</f>
        <v/>
      </c>
      <c r="I4775" s="26" t="str">
        <f>IFERROR(VLOOKUP(G4775,WholesaleExtract!B:O,8,FALSE),"")</f>
        <v/>
      </c>
      <c r="J4775" s="26" t="str">
        <f>IFERROR(VLOOKUP(G4775,WholesaleExtract!B:O,14,FALSE),"")</f>
        <v/>
      </c>
      <c r="K4775" s="26" t="str">
        <f>IFERROR(VLOOKUP(G4775,WholesaleExtract!B:K,10,FALSE),"")</f>
        <v/>
      </c>
      <c r="L4775" s="47" t="str">
        <f>IFERROR(VLOOKUP(G4775,WholesaleExtract!B:L,11,FALSE),"")</f>
        <v/>
      </c>
      <c r="M4775" s="47" t="str">
        <f>IFERROR(VLOOKUP(G4775,WholesaleExtract!B:M,12,FALSE),"")</f>
        <v/>
      </c>
      <c r="R4775" s="19"/>
      <c r="S4775" s="19"/>
    </row>
    <row r="4776" spans="1:19" x14ac:dyDescent="0.35">
      <c r="A4776" s="26" t="s">
        <v>543</v>
      </c>
      <c r="B4776" s="26" t="s">
        <v>543</v>
      </c>
      <c r="C4776" s="26"/>
      <c r="D4776" s="26" t="s">
        <v>543</v>
      </c>
      <c r="E4776" s="26" t="str">
        <f>IFERROR(VLOOKUP(G4776,WholesaleExtract!B:J,9,FALSE),"")</f>
        <v/>
      </c>
      <c r="F4776" s="26" t="str">
        <f>IFERROR(VLOOKUP(G4776,WholesaleExtract!B:J,6,FALSE),"")</f>
        <v/>
      </c>
      <c r="H4776" s="47" t="str">
        <f>IFERROR(VLOOKUP(G4776,WholesaleExtract!B:L,11,FALSE),"")</f>
        <v/>
      </c>
      <c r="I4776" s="26" t="str">
        <f>IFERROR(VLOOKUP(G4776,WholesaleExtract!B:O,8,FALSE),"")</f>
        <v/>
      </c>
      <c r="J4776" s="26" t="str">
        <f>IFERROR(VLOOKUP(G4776,WholesaleExtract!B:O,14,FALSE),"")</f>
        <v/>
      </c>
      <c r="K4776" s="26" t="str">
        <f>IFERROR(VLOOKUP(G4776,WholesaleExtract!B:K,10,FALSE),"")</f>
        <v/>
      </c>
      <c r="L4776" s="47" t="str">
        <f>IFERROR(VLOOKUP(G4776,WholesaleExtract!B:L,11,FALSE),"")</f>
        <v/>
      </c>
      <c r="M4776" s="47" t="str">
        <f>IFERROR(VLOOKUP(G4776,WholesaleExtract!B:M,12,FALSE),"")</f>
        <v/>
      </c>
      <c r="R4776" s="19"/>
      <c r="S4776" s="19"/>
    </row>
    <row r="4777" spans="1:19" x14ac:dyDescent="0.35">
      <c r="A4777" s="26" t="s">
        <v>543</v>
      </c>
      <c r="B4777" s="26" t="s">
        <v>543</v>
      </c>
      <c r="C4777" s="26"/>
      <c r="D4777" s="26" t="s">
        <v>543</v>
      </c>
      <c r="E4777" s="26" t="str">
        <f>IFERROR(VLOOKUP(G4777,WholesaleExtract!B:J,9,FALSE),"")</f>
        <v/>
      </c>
      <c r="F4777" s="26" t="str">
        <f>IFERROR(VLOOKUP(G4777,WholesaleExtract!B:J,6,FALSE),"")</f>
        <v/>
      </c>
      <c r="H4777" s="47" t="str">
        <f>IFERROR(VLOOKUP(G4777,WholesaleExtract!B:L,11,FALSE),"")</f>
        <v/>
      </c>
      <c r="I4777" s="26" t="str">
        <f>IFERROR(VLOOKUP(G4777,WholesaleExtract!B:O,8,FALSE),"")</f>
        <v/>
      </c>
      <c r="J4777" s="26" t="str">
        <f>IFERROR(VLOOKUP(G4777,WholesaleExtract!B:O,14,FALSE),"")</f>
        <v/>
      </c>
      <c r="K4777" s="26" t="str">
        <f>IFERROR(VLOOKUP(G4777,WholesaleExtract!B:K,10,FALSE),"")</f>
        <v/>
      </c>
      <c r="L4777" s="47" t="str">
        <f>IFERROR(VLOOKUP(G4777,WholesaleExtract!B:L,11,FALSE),"")</f>
        <v/>
      </c>
      <c r="M4777" s="47" t="str">
        <f>IFERROR(VLOOKUP(G4777,WholesaleExtract!B:M,12,FALSE),"")</f>
        <v/>
      </c>
      <c r="R4777" s="19"/>
      <c r="S4777" s="19"/>
    </row>
    <row r="4778" spans="1:19" x14ac:dyDescent="0.35">
      <c r="A4778" s="26" t="s">
        <v>543</v>
      </c>
      <c r="B4778" s="26" t="s">
        <v>543</v>
      </c>
      <c r="C4778" s="26"/>
      <c r="D4778" s="26" t="s">
        <v>543</v>
      </c>
      <c r="E4778" s="26" t="str">
        <f>IFERROR(VLOOKUP(G4778,WholesaleExtract!B:J,9,FALSE),"")</f>
        <v/>
      </c>
      <c r="F4778" s="26" t="str">
        <f>IFERROR(VLOOKUP(G4778,WholesaleExtract!B:J,6,FALSE),"")</f>
        <v/>
      </c>
      <c r="H4778" s="47" t="str">
        <f>IFERROR(VLOOKUP(G4778,WholesaleExtract!B:L,11,FALSE),"")</f>
        <v/>
      </c>
      <c r="I4778" s="26" t="str">
        <f>IFERROR(VLOOKUP(G4778,WholesaleExtract!B:O,8,FALSE),"")</f>
        <v/>
      </c>
      <c r="J4778" s="26" t="str">
        <f>IFERROR(VLOOKUP(G4778,WholesaleExtract!B:O,14,FALSE),"")</f>
        <v/>
      </c>
      <c r="K4778" s="26" t="str">
        <f>IFERROR(VLOOKUP(G4778,WholesaleExtract!B:K,10,FALSE),"")</f>
        <v/>
      </c>
      <c r="L4778" s="47" t="str">
        <f>IFERROR(VLOOKUP(G4778,WholesaleExtract!B:L,11,FALSE),"")</f>
        <v/>
      </c>
      <c r="M4778" s="47" t="str">
        <f>IFERROR(VLOOKUP(G4778,WholesaleExtract!B:M,12,FALSE),"")</f>
        <v/>
      </c>
      <c r="R4778" s="19"/>
      <c r="S4778" s="19"/>
    </row>
    <row r="4779" spans="1:19" x14ac:dyDescent="0.35">
      <c r="A4779" s="26" t="s">
        <v>543</v>
      </c>
      <c r="B4779" s="26" t="s">
        <v>543</v>
      </c>
      <c r="C4779" s="26"/>
      <c r="D4779" s="26" t="s">
        <v>543</v>
      </c>
      <c r="E4779" s="26" t="str">
        <f>IFERROR(VLOOKUP(G4779,WholesaleExtract!B:J,9,FALSE),"")</f>
        <v/>
      </c>
      <c r="F4779" s="26" t="str">
        <f>IFERROR(VLOOKUP(G4779,WholesaleExtract!B:J,6,FALSE),"")</f>
        <v/>
      </c>
      <c r="H4779" s="47" t="str">
        <f>IFERROR(VLOOKUP(G4779,WholesaleExtract!B:L,11,FALSE),"")</f>
        <v/>
      </c>
      <c r="I4779" s="26" t="str">
        <f>IFERROR(VLOOKUP(G4779,WholesaleExtract!B:O,8,FALSE),"")</f>
        <v/>
      </c>
      <c r="J4779" s="26" t="str">
        <f>IFERROR(VLOOKUP(G4779,WholesaleExtract!B:O,14,FALSE),"")</f>
        <v/>
      </c>
      <c r="K4779" s="26" t="str">
        <f>IFERROR(VLOOKUP(G4779,WholesaleExtract!B:K,10,FALSE),"")</f>
        <v/>
      </c>
      <c r="L4779" s="47" t="str">
        <f>IFERROR(VLOOKUP(G4779,WholesaleExtract!B:L,11,FALSE),"")</f>
        <v/>
      </c>
      <c r="M4779" s="47" t="str">
        <f>IFERROR(VLOOKUP(G4779,WholesaleExtract!B:M,12,FALSE),"")</f>
        <v/>
      </c>
      <c r="R4779" s="19"/>
      <c r="S4779" s="19"/>
    </row>
    <row r="4780" spans="1:19" x14ac:dyDescent="0.35">
      <c r="A4780" s="26" t="s">
        <v>543</v>
      </c>
      <c r="B4780" s="26" t="s">
        <v>543</v>
      </c>
      <c r="C4780" s="26"/>
      <c r="D4780" s="26" t="s">
        <v>543</v>
      </c>
      <c r="E4780" s="26" t="str">
        <f>IFERROR(VLOOKUP(G4780,WholesaleExtract!B:J,9,FALSE),"")</f>
        <v/>
      </c>
      <c r="F4780" s="26" t="str">
        <f>IFERROR(VLOOKUP(G4780,WholesaleExtract!B:J,6,FALSE),"")</f>
        <v/>
      </c>
      <c r="H4780" s="47" t="str">
        <f>IFERROR(VLOOKUP(G4780,WholesaleExtract!B:L,11,FALSE),"")</f>
        <v/>
      </c>
      <c r="I4780" s="26" t="str">
        <f>IFERROR(VLOOKUP(G4780,WholesaleExtract!B:O,8,FALSE),"")</f>
        <v/>
      </c>
      <c r="J4780" s="26" t="str">
        <f>IFERROR(VLOOKUP(G4780,WholesaleExtract!B:O,14,FALSE),"")</f>
        <v/>
      </c>
      <c r="K4780" s="26" t="str">
        <f>IFERROR(VLOOKUP(G4780,WholesaleExtract!B:K,10,FALSE),"")</f>
        <v/>
      </c>
      <c r="L4780" s="47" t="str">
        <f>IFERROR(VLOOKUP(G4780,WholesaleExtract!B:L,11,FALSE),"")</f>
        <v/>
      </c>
      <c r="M4780" s="47" t="str">
        <f>IFERROR(VLOOKUP(G4780,WholesaleExtract!B:M,12,FALSE),"")</f>
        <v/>
      </c>
      <c r="R4780" s="19"/>
      <c r="S4780" s="19"/>
    </row>
    <row r="4781" spans="1:19" x14ac:dyDescent="0.35">
      <c r="A4781" s="26" t="s">
        <v>543</v>
      </c>
      <c r="B4781" s="26" t="s">
        <v>543</v>
      </c>
      <c r="C4781" s="26"/>
      <c r="D4781" s="26" t="s">
        <v>543</v>
      </c>
      <c r="E4781" s="26" t="str">
        <f>IFERROR(VLOOKUP(G4781,WholesaleExtract!B:J,9,FALSE),"")</f>
        <v/>
      </c>
      <c r="F4781" s="26" t="str">
        <f>IFERROR(VLOOKUP(G4781,WholesaleExtract!B:J,6,FALSE),"")</f>
        <v/>
      </c>
      <c r="H4781" s="47" t="str">
        <f>IFERROR(VLOOKUP(G4781,WholesaleExtract!B:L,11,FALSE),"")</f>
        <v/>
      </c>
      <c r="I4781" s="26" t="str">
        <f>IFERROR(VLOOKUP(G4781,WholesaleExtract!B:O,8,FALSE),"")</f>
        <v/>
      </c>
      <c r="J4781" s="26" t="str">
        <f>IFERROR(VLOOKUP(G4781,WholesaleExtract!B:O,14,FALSE),"")</f>
        <v/>
      </c>
      <c r="K4781" s="26" t="str">
        <f>IFERROR(VLOOKUP(G4781,WholesaleExtract!B:K,10,FALSE),"")</f>
        <v/>
      </c>
      <c r="L4781" s="47" t="str">
        <f>IFERROR(VLOOKUP(G4781,WholesaleExtract!B:L,11,FALSE),"")</f>
        <v/>
      </c>
      <c r="M4781" s="47" t="str">
        <f>IFERROR(VLOOKUP(G4781,WholesaleExtract!B:M,12,FALSE),"")</f>
        <v/>
      </c>
      <c r="R4781" s="19"/>
      <c r="S4781" s="19"/>
    </row>
    <row r="4782" spans="1:19" x14ac:dyDescent="0.35">
      <c r="A4782" s="26" t="s">
        <v>543</v>
      </c>
      <c r="B4782" s="26" t="s">
        <v>543</v>
      </c>
      <c r="C4782" s="26"/>
      <c r="D4782" s="26" t="s">
        <v>543</v>
      </c>
      <c r="E4782" s="26" t="str">
        <f>IFERROR(VLOOKUP(G4782,WholesaleExtract!B:J,9,FALSE),"")</f>
        <v/>
      </c>
      <c r="F4782" s="26" t="str">
        <f>IFERROR(VLOOKUP(G4782,WholesaleExtract!B:J,6,FALSE),"")</f>
        <v/>
      </c>
      <c r="H4782" s="47" t="str">
        <f>IFERROR(VLOOKUP(G4782,WholesaleExtract!B:L,11,FALSE),"")</f>
        <v/>
      </c>
      <c r="I4782" s="26" t="str">
        <f>IFERROR(VLOOKUP(G4782,WholesaleExtract!B:O,8,FALSE),"")</f>
        <v/>
      </c>
      <c r="J4782" s="26" t="str">
        <f>IFERROR(VLOOKUP(G4782,WholesaleExtract!B:O,14,FALSE),"")</f>
        <v/>
      </c>
      <c r="K4782" s="26" t="str">
        <f>IFERROR(VLOOKUP(G4782,WholesaleExtract!B:K,10,FALSE),"")</f>
        <v/>
      </c>
      <c r="L4782" s="47" t="str">
        <f>IFERROR(VLOOKUP(G4782,WholesaleExtract!B:L,11,FALSE),"")</f>
        <v/>
      </c>
      <c r="M4782" s="47" t="str">
        <f>IFERROR(VLOOKUP(G4782,WholesaleExtract!B:M,12,FALSE),"")</f>
        <v/>
      </c>
      <c r="R4782" s="19"/>
      <c r="S4782" s="19"/>
    </row>
    <row r="4783" spans="1:19" x14ac:dyDescent="0.35">
      <c r="A4783" s="26" t="s">
        <v>543</v>
      </c>
      <c r="B4783" s="26" t="s">
        <v>543</v>
      </c>
      <c r="C4783" s="26"/>
      <c r="D4783" s="26" t="s">
        <v>543</v>
      </c>
      <c r="E4783" s="26" t="str">
        <f>IFERROR(VLOOKUP(G4783,WholesaleExtract!B:J,9,FALSE),"")</f>
        <v/>
      </c>
      <c r="F4783" s="26" t="str">
        <f>IFERROR(VLOOKUP(G4783,WholesaleExtract!B:J,6,FALSE),"")</f>
        <v/>
      </c>
      <c r="H4783" s="47" t="str">
        <f>IFERROR(VLOOKUP(G4783,WholesaleExtract!B:L,11,FALSE),"")</f>
        <v/>
      </c>
      <c r="I4783" s="26" t="str">
        <f>IFERROR(VLOOKUP(G4783,WholesaleExtract!B:O,8,FALSE),"")</f>
        <v/>
      </c>
      <c r="J4783" s="26" t="str">
        <f>IFERROR(VLOOKUP(G4783,WholesaleExtract!B:O,14,FALSE),"")</f>
        <v/>
      </c>
      <c r="K4783" s="26" t="str">
        <f>IFERROR(VLOOKUP(G4783,WholesaleExtract!B:K,10,FALSE),"")</f>
        <v/>
      </c>
      <c r="L4783" s="47" t="str">
        <f>IFERROR(VLOOKUP(G4783,WholesaleExtract!B:L,11,FALSE),"")</f>
        <v/>
      </c>
      <c r="M4783" s="47" t="str">
        <f>IFERROR(VLOOKUP(G4783,WholesaleExtract!B:M,12,FALSE),"")</f>
        <v/>
      </c>
      <c r="R4783" s="19"/>
      <c r="S4783" s="19"/>
    </row>
    <row r="4784" spans="1:19" x14ac:dyDescent="0.35">
      <c r="A4784" s="26" t="s">
        <v>543</v>
      </c>
      <c r="B4784" s="26" t="s">
        <v>543</v>
      </c>
      <c r="C4784" s="26"/>
      <c r="D4784" s="26" t="s">
        <v>543</v>
      </c>
      <c r="E4784" s="26" t="str">
        <f>IFERROR(VLOOKUP(G4784,WholesaleExtract!B:J,9,FALSE),"")</f>
        <v/>
      </c>
      <c r="F4784" s="26" t="str">
        <f>IFERROR(VLOOKUP(G4784,WholesaleExtract!B:J,6,FALSE),"")</f>
        <v/>
      </c>
      <c r="H4784" s="47" t="str">
        <f>IFERROR(VLOOKUP(G4784,WholesaleExtract!B:L,11,FALSE),"")</f>
        <v/>
      </c>
      <c r="I4784" s="26" t="str">
        <f>IFERROR(VLOOKUP(G4784,WholesaleExtract!B:O,8,FALSE),"")</f>
        <v/>
      </c>
      <c r="J4784" s="26" t="str">
        <f>IFERROR(VLOOKUP(G4784,WholesaleExtract!B:O,14,FALSE),"")</f>
        <v/>
      </c>
      <c r="K4784" s="26" t="str">
        <f>IFERROR(VLOOKUP(G4784,WholesaleExtract!B:K,10,FALSE),"")</f>
        <v/>
      </c>
      <c r="L4784" s="47" t="str">
        <f>IFERROR(VLOOKUP(G4784,WholesaleExtract!B:L,11,FALSE),"")</f>
        <v/>
      </c>
      <c r="M4784" s="47" t="str">
        <f>IFERROR(VLOOKUP(G4784,WholesaleExtract!B:M,12,FALSE),"")</f>
        <v/>
      </c>
      <c r="R4784" s="19"/>
      <c r="S4784" s="19"/>
    </row>
    <row r="4785" spans="1:19" x14ac:dyDescent="0.35">
      <c r="A4785" s="26" t="s">
        <v>543</v>
      </c>
      <c r="B4785" s="26" t="s">
        <v>543</v>
      </c>
      <c r="C4785" s="26"/>
      <c r="D4785" s="26" t="s">
        <v>543</v>
      </c>
      <c r="E4785" s="26" t="str">
        <f>IFERROR(VLOOKUP(G4785,WholesaleExtract!B:J,9,FALSE),"")</f>
        <v/>
      </c>
      <c r="F4785" s="26" t="str">
        <f>IFERROR(VLOOKUP(G4785,WholesaleExtract!B:J,6,FALSE),"")</f>
        <v/>
      </c>
      <c r="H4785" s="47" t="str">
        <f>IFERROR(VLOOKUP(G4785,WholesaleExtract!B:L,11,FALSE),"")</f>
        <v/>
      </c>
      <c r="I4785" s="26" t="str">
        <f>IFERROR(VLOOKUP(G4785,WholesaleExtract!B:O,8,FALSE),"")</f>
        <v/>
      </c>
      <c r="J4785" s="26" t="str">
        <f>IFERROR(VLOOKUP(G4785,WholesaleExtract!B:O,14,FALSE),"")</f>
        <v/>
      </c>
      <c r="K4785" s="26" t="str">
        <f>IFERROR(VLOOKUP(G4785,WholesaleExtract!B:K,10,FALSE),"")</f>
        <v/>
      </c>
      <c r="L4785" s="47" t="str">
        <f>IFERROR(VLOOKUP(G4785,WholesaleExtract!B:L,11,FALSE),"")</f>
        <v/>
      </c>
      <c r="M4785" s="47" t="str">
        <f>IFERROR(VLOOKUP(G4785,WholesaleExtract!B:M,12,FALSE),"")</f>
        <v/>
      </c>
      <c r="R4785" s="19"/>
      <c r="S4785" s="19"/>
    </row>
    <row r="4786" spans="1:19" x14ac:dyDescent="0.35">
      <c r="A4786" s="26" t="s">
        <v>543</v>
      </c>
      <c r="B4786" s="26" t="s">
        <v>543</v>
      </c>
      <c r="C4786" s="26"/>
      <c r="D4786" s="26" t="s">
        <v>543</v>
      </c>
      <c r="E4786" s="26" t="str">
        <f>IFERROR(VLOOKUP(G4786,WholesaleExtract!B:J,9,FALSE),"")</f>
        <v/>
      </c>
      <c r="F4786" s="26" t="str">
        <f>IFERROR(VLOOKUP(G4786,WholesaleExtract!B:J,6,FALSE),"")</f>
        <v/>
      </c>
      <c r="H4786" s="47" t="str">
        <f>IFERROR(VLOOKUP(G4786,WholesaleExtract!B:L,11,FALSE),"")</f>
        <v/>
      </c>
      <c r="I4786" s="26" t="str">
        <f>IFERROR(VLOOKUP(G4786,WholesaleExtract!B:O,8,FALSE),"")</f>
        <v/>
      </c>
      <c r="J4786" s="26" t="str">
        <f>IFERROR(VLOOKUP(G4786,WholesaleExtract!B:O,14,FALSE),"")</f>
        <v/>
      </c>
      <c r="K4786" s="26" t="str">
        <f>IFERROR(VLOOKUP(G4786,WholesaleExtract!B:K,10,FALSE),"")</f>
        <v/>
      </c>
      <c r="L4786" s="47" t="str">
        <f>IFERROR(VLOOKUP(G4786,WholesaleExtract!B:L,11,FALSE),"")</f>
        <v/>
      </c>
      <c r="M4786" s="47" t="str">
        <f>IFERROR(VLOOKUP(G4786,WholesaleExtract!B:M,12,FALSE),"")</f>
        <v/>
      </c>
      <c r="R4786" s="19"/>
      <c r="S4786" s="19"/>
    </row>
    <row r="4787" spans="1:19" x14ac:dyDescent="0.35">
      <c r="A4787" s="26" t="s">
        <v>543</v>
      </c>
      <c r="B4787" s="26" t="s">
        <v>543</v>
      </c>
      <c r="C4787" s="26"/>
      <c r="D4787" s="26" t="s">
        <v>543</v>
      </c>
      <c r="E4787" s="26" t="str">
        <f>IFERROR(VLOOKUP(G4787,WholesaleExtract!B:J,9,FALSE),"")</f>
        <v/>
      </c>
      <c r="F4787" s="26" t="str">
        <f>IFERROR(VLOOKUP(G4787,WholesaleExtract!B:J,6,FALSE),"")</f>
        <v/>
      </c>
      <c r="H4787" s="47" t="str">
        <f>IFERROR(VLOOKUP(G4787,WholesaleExtract!B:L,11,FALSE),"")</f>
        <v/>
      </c>
      <c r="I4787" s="26" t="str">
        <f>IFERROR(VLOOKUP(G4787,WholesaleExtract!B:O,8,FALSE),"")</f>
        <v/>
      </c>
      <c r="J4787" s="26" t="str">
        <f>IFERROR(VLOOKUP(G4787,WholesaleExtract!B:O,14,FALSE),"")</f>
        <v/>
      </c>
      <c r="K4787" s="26" t="str">
        <f>IFERROR(VLOOKUP(G4787,WholesaleExtract!B:K,10,FALSE),"")</f>
        <v/>
      </c>
      <c r="L4787" s="47" t="str">
        <f>IFERROR(VLOOKUP(G4787,WholesaleExtract!B:L,11,FALSE),"")</f>
        <v/>
      </c>
      <c r="M4787" s="47" t="str">
        <f>IFERROR(VLOOKUP(G4787,WholesaleExtract!B:M,12,FALSE),"")</f>
        <v/>
      </c>
      <c r="R4787" s="19"/>
      <c r="S4787" s="19"/>
    </row>
    <row r="4788" spans="1:19" x14ac:dyDescent="0.35">
      <c r="A4788" s="26" t="s">
        <v>543</v>
      </c>
      <c r="B4788" s="26" t="s">
        <v>543</v>
      </c>
      <c r="C4788" s="26"/>
      <c r="D4788" s="26" t="s">
        <v>543</v>
      </c>
      <c r="E4788" s="26" t="str">
        <f>IFERROR(VLOOKUP(G4788,WholesaleExtract!B:J,9,FALSE),"")</f>
        <v/>
      </c>
      <c r="F4788" s="26" t="str">
        <f>IFERROR(VLOOKUP(G4788,WholesaleExtract!B:J,6,FALSE),"")</f>
        <v/>
      </c>
      <c r="H4788" s="47" t="str">
        <f>IFERROR(VLOOKUP(G4788,WholesaleExtract!B:L,11,FALSE),"")</f>
        <v/>
      </c>
      <c r="I4788" s="26" t="str">
        <f>IFERROR(VLOOKUP(G4788,WholesaleExtract!B:O,8,FALSE),"")</f>
        <v/>
      </c>
      <c r="J4788" s="26" t="str">
        <f>IFERROR(VLOOKUP(G4788,WholesaleExtract!B:O,14,FALSE),"")</f>
        <v/>
      </c>
      <c r="K4788" s="26" t="str">
        <f>IFERROR(VLOOKUP(G4788,WholesaleExtract!B:K,10,FALSE),"")</f>
        <v/>
      </c>
      <c r="L4788" s="47" t="str">
        <f>IFERROR(VLOOKUP(G4788,WholesaleExtract!B:L,11,FALSE),"")</f>
        <v/>
      </c>
      <c r="M4788" s="47" t="str">
        <f>IFERROR(VLOOKUP(G4788,WholesaleExtract!B:M,12,FALSE),"")</f>
        <v/>
      </c>
      <c r="R4788" s="19"/>
      <c r="S4788" s="19"/>
    </row>
    <row r="4789" spans="1:19" x14ac:dyDescent="0.35">
      <c r="A4789" s="26" t="s">
        <v>543</v>
      </c>
      <c r="B4789" s="26" t="s">
        <v>543</v>
      </c>
      <c r="C4789" s="26"/>
      <c r="D4789" s="26" t="s">
        <v>543</v>
      </c>
      <c r="E4789" s="26" t="str">
        <f>IFERROR(VLOOKUP(G4789,WholesaleExtract!B:J,9,FALSE),"")</f>
        <v/>
      </c>
      <c r="F4789" s="26" t="str">
        <f>IFERROR(VLOOKUP(G4789,WholesaleExtract!B:J,6,FALSE),"")</f>
        <v/>
      </c>
      <c r="H4789" s="47" t="str">
        <f>IFERROR(VLOOKUP(G4789,WholesaleExtract!B:L,11,FALSE),"")</f>
        <v/>
      </c>
      <c r="I4789" s="26" t="str">
        <f>IFERROR(VLOOKUP(G4789,WholesaleExtract!B:O,8,FALSE),"")</f>
        <v/>
      </c>
      <c r="J4789" s="26" t="str">
        <f>IFERROR(VLOOKUP(G4789,WholesaleExtract!B:O,14,FALSE),"")</f>
        <v/>
      </c>
      <c r="K4789" s="26" t="str">
        <f>IFERROR(VLOOKUP(G4789,WholesaleExtract!B:K,10,FALSE),"")</f>
        <v/>
      </c>
      <c r="L4789" s="47" t="str">
        <f>IFERROR(VLOOKUP(G4789,WholesaleExtract!B:L,11,FALSE),"")</f>
        <v/>
      </c>
      <c r="M4789" s="47" t="str">
        <f>IFERROR(VLOOKUP(G4789,WholesaleExtract!B:M,12,FALSE),"")</f>
        <v/>
      </c>
      <c r="R4789" s="19"/>
      <c r="S4789" s="19"/>
    </row>
    <row r="4790" spans="1:19" x14ac:dyDescent="0.35">
      <c r="A4790" s="26" t="s">
        <v>543</v>
      </c>
      <c r="B4790" s="26" t="s">
        <v>543</v>
      </c>
      <c r="C4790" s="26"/>
      <c r="D4790" s="26" t="s">
        <v>543</v>
      </c>
      <c r="E4790" s="26" t="str">
        <f>IFERROR(VLOOKUP(G4790,WholesaleExtract!B:J,9,FALSE),"")</f>
        <v/>
      </c>
      <c r="F4790" s="26" t="str">
        <f>IFERROR(VLOOKUP(G4790,WholesaleExtract!B:J,6,FALSE),"")</f>
        <v/>
      </c>
      <c r="H4790" s="47" t="str">
        <f>IFERROR(VLOOKUP(G4790,WholesaleExtract!B:L,11,FALSE),"")</f>
        <v/>
      </c>
      <c r="I4790" s="26" t="str">
        <f>IFERROR(VLOOKUP(G4790,WholesaleExtract!B:O,8,FALSE),"")</f>
        <v/>
      </c>
      <c r="J4790" s="26" t="str">
        <f>IFERROR(VLOOKUP(G4790,WholesaleExtract!B:O,14,FALSE),"")</f>
        <v/>
      </c>
      <c r="K4790" s="26" t="str">
        <f>IFERROR(VLOOKUP(G4790,WholesaleExtract!B:K,10,FALSE),"")</f>
        <v/>
      </c>
      <c r="L4790" s="47" t="str">
        <f>IFERROR(VLOOKUP(G4790,WholesaleExtract!B:L,11,FALSE),"")</f>
        <v/>
      </c>
      <c r="M4790" s="47" t="str">
        <f>IFERROR(VLOOKUP(G4790,WholesaleExtract!B:M,12,FALSE),"")</f>
        <v/>
      </c>
      <c r="R4790" s="19"/>
      <c r="S4790" s="19"/>
    </row>
    <row r="4791" spans="1:19" x14ac:dyDescent="0.35">
      <c r="A4791" s="26" t="s">
        <v>543</v>
      </c>
      <c r="B4791" s="26" t="s">
        <v>543</v>
      </c>
      <c r="C4791" s="26"/>
      <c r="D4791" s="26" t="s">
        <v>543</v>
      </c>
      <c r="E4791" s="26" t="str">
        <f>IFERROR(VLOOKUP(G4791,WholesaleExtract!B:J,9,FALSE),"")</f>
        <v/>
      </c>
      <c r="F4791" s="26" t="str">
        <f>IFERROR(VLOOKUP(G4791,WholesaleExtract!B:J,6,FALSE),"")</f>
        <v/>
      </c>
      <c r="H4791" s="47" t="str">
        <f>IFERROR(VLOOKUP(G4791,WholesaleExtract!B:L,11,FALSE),"")</f>
        <v/>
      </c>
      <c r="I4791" s="26" t="str">
        <f>IFERROR(VLOOKUP(G4791,WholesaleExtract!B:O,8,FALSE),"")</f>
        <v/>
      </c>
      <c r="J4791" s="26" t="str">
        <f>IFERROR(VLOOKUP(G4791,WholesaleExtract!B:O,14,FALSE),"")</f>
        <v/>
      </c>
      <c r="K4791" s="26" t="str">
        <f>IFERROR(VLOOKUP(G4791,WholesaleExtract!B:K,10,FALSE),"")</f>
        <v/>
      </c>
      <c r="L4791" s="47" t="str">
        <f>IFERROR(VLOOKUP(G4791,WholesaleExtract!B:L,11,FALSE),"")</f>
        <v/>
      </c>
      <c r="M4791" s="47" t="str">
        <f>IFERROR(VLOOKUP(G4791,WholesaleExtract!B:M,12,FALSE),"")</f>
        <v/>
      </c>
      <c r="R4791" s="19"/>
      <c r="S4791" s="19"/>
    </row>
    <row r="4792" spans="1:19" x14ac:dyDescent="0.35">
      <c r="A4792" s="26" t="s">
        <v>543</v>
      </c>
      <c r="B4792" s="26" t="s">
        <v>543</v>
      </c>
      <c r="C4792" s="26"/>
      <c r="D4792" s="26" t="s">
        <v>543</v>
      </c>
      <c r="E4792" s="26" t="str">
        <f>IFERROR(VLOOKUP(G4792,WholesaleExtract!B:J,9,FALSE),"")</f>
        <v/>
      </c>
      <c r="F4792" s="26" t="str">
        <f>IFERROR(VLOOKUP(G4792,WholesaleExtract!B:J,6,FALSE),"")</f>
        <v/>
      </c>
      <c r="H4792" s="47" t="str">
        <f>IFERROR(VLOOKUP(G4792,WholesaleExtract!B:L,11,FALSE),"")</f>
        <v/>
      </c>
      <c r="I4792" s="26" t="str">
        <f>IFERROR(VLOOKUP(G4792,WholesaleExtract!B:O,8,FALSE),"")</f>
        <v/>
      </c>
      <c r="J4792" s="26" t="str">
        <f>IFERROR(VLOOKUP(G4792,WholesaleExtract!B:O,14,FALSE),"")</f>
        <v/>
      </c>
      <c r="K4792" s="26" t="str">
        <f>IFERROR(VLOOKUP(G4792,WholesaleExtract!B:K,10,FALSE),"")</f>
        <v/>
      </c>
      <c r="L4792" s="47" t="str">
        <f>IFERROR(VLOOKUP(G4792,WholesaleExtract!B:L,11,FALSE),"")</f>
        <v/>
      </c>
      <c r="M4792" s="47" t="str">
        <f>IFERROR(VLOOKUP(G4792,WholesaleExtract!B:M,12,FALSE),"")</f>
        <v/>
      </c>
      <c r="R4792" s="19"/>
      <c r="S4792" s="19"/>
    </row>
    <row r="4793" spans="1:19" x14ac:dyDescent="0.35">
      <c r="A4793" s="26" t="s">
        <v>543</v>
      </c>
      <c r="B4793" s="26" t="s">
        <v>543</v>
      </c>
      <c r="C4793" s="26"/>
      <c r="D4793" s="26" t="s">
        <v>543</v>
      </c>
      <c r="E4793" s="26" t="str">
        <f>IFERROR(VLOOKUP(G4793,WholesaleExtract!B:J,9,FALSE),"")</f>
        <v/>
      </c>
      <c r="F4793" s="26" t="str">
        <f>IFERROR(VLOOKUP(G4793,WholesaleExtract!B:J,6,FALSE),"")</f>
        <v/>
      </c>
      <c r="H4793" s="47" t="str">
        <f>IFERROR(VLOOKUP(G4793,WholesaleExtract!B:L,11,FALSE),"")</f>
        <v/>
      </c>
      <c r="I4793" s="26" t="str">
        <f>IFERROR(VLOOKUP(G4793,WholesaleExtract!B:O,8,FALSE),"")</f>
        <v/>
      </c>
      <c r="J4793" s="26" t="str">
        <f>IFERROR(VLOOKUP(G4793,WholesaleExtract!B:O,14,FALSE),"")</f>
        <v/>
      </c>
      <c r="K4793" s="26" t="str">
        <f>IFERROR(VLOOKUP(G4793,WholesaleExtract!B:K,10,FALSE),"")</f>
        <v/>
      </c>
      <c r="L4793" s="47" t="str">
        <f>IFERROR(VLOOKUP(G4793,WholesaleExtract!B:L,11,FALSE),"")</f>
        <v/>
      </c>
      <c r="M4793" s="47" t="str">
        <f>IFERROR(VLOOKUP(G4793,WholesaleExtract!B:M,12,FALSE),"")</f>
        <v/>
      </c>
      <c r="R4793" s="19"/>
      <c r="S4793" s="19"/>
    </row>
    <row r="4794" spans="1:19" x14ac:dyDescent="0.35">
      <c r="A4794" s="26" t="s">
        <v>543</v>
      </c>
      <c r="B4794" s="26" t="s">
        <v>543</v>
      </c>
      <c r="C4794" s="26"/>
      <c r="D4794" s="26" t="s">
        <v>543</v>
      </c>
      <c r="E4794" s="26" t="str">
        <f>IFERROR(VLOOKUP(G4794,WholesaleExtract!B:J,9,FALSE),"")</f>
        <v/>
      </c>
      <c r="F4794" s="26" t="str">
        <f>IFERROR(VLOOKUP(G4794,WholesaleExtract!B:J,6,FALSE),"")</f>
        <v/>
      </c>
      <c r="H4794" s="47" t="str">
        <f>IFERROR(VLOOKUP(G4794,WholesaleExtract!B:L,11,FALSE),"")</f>
        <v/>
      </c>
      <c r="I4794" s="26" t="str">
        <f>IFERROR(VLOOKUP(G4794,WholesaleExtract!B:O,8,FALSE),"")</f>
        <v/>
      </c>
      <c r="J4794" s="26" t="str">
        <f>IFERROR(VLOOKUP(G4794,WholesaleExtract!B:O,14,FALSE),"")</f>
        <v/>
      </c>
      <c r="K4794" s="26" t="str">
        <f>IFERROR(VLOOKUP(G4794,WholesaleExtract!B:K,10,FALSE),"")</f>
        <v/>
      </c>
      <c r="L4794" s="47" t="str">
        <f>IFERROR(VLOOKUP(G4794,WholesaleExtract!B:L,11,FALSE),"")</f>
        <v/>
      </c>
      <c r="M4794" s="47" t="str">
        <f>IFERROR(VLOOKUP(G4794,WholesaleExtract!B:M,12,FALSE),"")</f>
        <v/>
      </c>
      <c r="R4794" s="19"/>
      <c r="S4794" s="19"/>
    </row>
    <row r="4795" spans="1:19" x14ac:dyDescent="0.35">
      <c r="A4795" s="26" t="s">
        <v>543</v>
      </c>
      <c r="B4795" s="26" t="s">
        <v>543</v>
      </c>
      <c r="C4795" s="26"/>
      <c r="D4795" s="26" t="s">
        <v>543</v>
      </c>
      <c r="E4795" s="26" t="str">
        <f>IFERROR(VLOOKUP(G4795,WholesaleExtract!B:J,9,FALSE),"")</f>
        <v/>
      </c>
      <c r="F4795" s="26" t="str">
        <f>IFERROR(VLOOKUP(G4795,WholesaleExtract!B:J,6,FALSE),"")</f>
        <v/>
      </c>
      <c r="H4795" s="47" t="str">
        <f>IFERROR(VLOOKUP(G4795,WholesaleExtract!B:L,11,FALSE),"")</f>
        <v/>
      </c>
      <c r="I4795" s="26" t="str">
        <f>IFERROR(VLOOKUP(G4795,WholesaleExtract!B:O,8,FALSE),"")</f>
        <v/>
      </c>
      <c r="J4795" s="26" t="str">
        <f>IFERROR(VLOOKUP(G4795,WholesaleExtract!B:O,14,FALSE),"")</f>
        <v/>
      </c>
      <c r="K4795" s="26" t="str">
        <f>IFERROR(VLOOKUP(G4795,WholesaleExtract!B:K,10,FALSE),"")</f>
        <v/>
      </c>
      <c r="L4795" s="47" t="str">
        <f>IFERROR(VLOOKUP(G4795,WholesaleExtract!B:L,11,FALSE),"")</f>
        <v/>
      </c>
      <c r="M4795" s="47" t="str">
        <f>IFERROR(VLOOKUP(G4795,WholesaleExtract!B:M,12,FALSE),"")</f>
        <v/>
      </c>
      <c r="R4795" s="19"/>
      <c r="S4795" s="19"/>
    </row>
    <row r="4796" spans="1:19" x14ac:dyDescent="0.35">
      <c r="A4796" s="26" t="s">
        <v>543</v>
      </c>
      <c r="B4796" s="26" t="s">
        <v>543</v>
      </c>
      <c r="C4796" s="26"/>
      <c r="D4796" s="26" t="s">
        <v>543</v>
      </c>
      <c r="E4796" s="26" t="str">
        <f>IFERROR(VLOOKUP(G4796,WholesaleExtract!B:J,9,FALSE),"")</f>
        <v/>
      </c>
      <c r="F4796" s="26" t="str">
        <f>IFERROR(VLOOKUP(G4796,WholesaleExtract!B:J,6,FALSE),"")</f>
        <v/>
      </c>
      <c r="H4796" s="47" t="str">
        <f>IFERROR(VLOOKUP(G4796,WholesaleExtract!B:L,11,FALSE),"")</f>
        <v/>
      </c>
      <c r="I4796" s="26" t="str">
        <f>IFERROR(VLOOKUP(G4796,WholesaleExtract!B:O,8,FALSE),"")</f>
        <v/>
      </c>
      <c r="J4796" s="26" t="str">
        <f>IFERROR(VLOOKUP(G4796,WholesaleExtract!B:O,14,FALSE),"")</f>
        <v/>
      </c>
      <c r="K4796" s="26" t="str">
        <f>IFERROR(VLOOKUP(G4796,WholesaleExtract!B:K,10,FALSE),"")</f>
        <v/>
      </c>
      <c r="L4796" s="47" t="str">
        <f>IFERROR(VLOOKUP(G4796,WholesaleExtract!B:L,11,FALSE),"")</f>
        <v/>
      </c>
      <c r="M4796" s="47" t="str">
        <f>IFERROR(VLOOKUP(G4796,WholesaleExtract!B:M,12,FALSE),"")</f>
        <v/>
      </c>
      <c r="R4796" s="19"/>
      <c r="S4796" s="19"/>
    </row>
    <row r="4797" spans="1:19" x14ac:dyDescent="0.35">
      <c r="A4797" s="26" t="s">
        <v>543</v>
      </c>
      <c r="B4797" s="26" t="s">
        <v>543</v>
      </c>
      <c r="C4797" s="26"/>
      <c r="D4797" s="26" t="s">
        <v>543</v>
      </c>
      <c r="E4797" s="26" t="str">
        <f>IFERROR(VLOOKUP(G4797,WholesaleExtract!B:J,9,FALSE),"")</f>
        <v/>
      </c>
      <c r="F4797" s="26" t="str">
        <f>IFERROR(VLOOKUP(G4797,WholesaleExtract!B:J,6,FALSE),"")</f>
        <v/>
      </c>
      <c r="H4797" s="47" t="str">
        <f>IFERROR(VLOOKUP(G4797,WholesaleExtract!B:L,11,FALSE),"")</f>
        <v/>
      </c>
      <c r="I4797" s="26" t="str">
        <f>IFERROR(VLOOKUP(G4797,WholesaleExtract!B:O,8,FALSE),"")</f>
        <v/>
      </c>
      <c r="J4797" s="26" t="str">
        <f>IFERROR(VLOOKUP(G4797,WholesaleExtract!B:O,14,FALSE),"")</f>
        <v/>
      </c>
      <c r="K4797" s="26" t="str">
        <f>IFERROR(VLOOKUP(G4797,WholesaleExtract!B:K,10,FALSE),"")</f>
        <v/>
      </c>
      <c r="L4797" s="47" t="str">
        <f>IFERROR(VLOOKUP(G4797,WholesaleExtract!B:L,11,FALSE),"")</f>
        <v/>
      </c>
      <c r="M4797" s="47" t="str">
        <f>IFERROR(VLOOKUP(G4797,WholesaleExtract!B:M,12,FALSE),"")</f>
        <v/>
      </c>
      <c r="R4797" s="19"/>
      <c r="S4797" s="19"/>
    </row>
    <row r="4798" spans="1:19" x14ac:dyDescent="0.35">
      <c r="A4798" s="26" t="s">
        <v>543</v>
      </c>
      <c r="B4798" s="26" t="s">
        <v>543</v>
      </c>
      <c r="C4798" s="26"/>
      <c r="D4798" s="26" t="s">
        <v>543</v>
      </c>
      <c r="E4798" s="26" t="str">
        <f>IFERROR(VLOOKUP(G4798,WholesaleExtract!B:J,9,FALSE),"")</f>
        <v/>
      </c>
      <c r="F4798" s="26" t="str">
        <f>IFERROR(VLOOKUP(G4798,WholesaleExtract!B:J,6,FALSE),"")</f>
        <v/>
      </c>
      <c r="H4798" s="47" t="str">
        <f>IFERROR(VLOOKUP(G4798,WholesaleExtract!B:L,11,FALSE),"")</f>
        <v/>
      </c>
      <c r="I4798" s="26" t="str">
        <f>IFERROR(VLOOKUP(G4798,WholesaleExtract!B:O,8,FALSE),"")</f>
        <v/>
      </c>
      <c r="J4798" s="26" t="str">
        <f>IFERROR(VLOOKUP(G4798,WholesaleExtract!B:O,14,FALSE),"")</f>
        <v/>
      </c>
      <c r="K4798" s="26" t="str">
        <f>IFERROR(VLOOKUP(G4798,WholesaleExtract!B:K,10,FALSE),"")</f>
        <v/>
      </c>
      <c r="L4798" s="47" t="str">
        <f>IFERROR(VLOOKUP(G4798,WholesaleExtract!B:L,11,FALSE),"")</f>
        <v/>
      </c>
      <c r="M4798" s="47" t="str">
        <f>IFERROR(VLOOKUP(G4798,WholesaleExtract!B:M,12,FALSE),"")</f>
        <v/>
      </c>
      <c r="R4798" s="19"/>
      <c r="S4798" s="19"/>
    </row>
    <row r="4799" spans="1:19" x14ac:dyDescent="0.35">
      <c r="A4799" s="26" t="s">
        <v>543</v>
      </c>
      <c r="B4799" s="26" t="s">
        <v>543</v>
      </c>
      <c r="C4799" s="26"/>
      <c r="D4799" s="26" t="s">
        <v>543</v>
      </c>
      <c r="E4799" s="26" t="str">
        <f>IFERROR(VLOOKUP(G4799,WholesaleExtract!B:J,9,FALSE),"")</f>
        <v/>
      </c>
      <c r="F4799" s="26" t="str">
        <f>IFERROR(VLOOKUP(G4799,WholesaleExtract!B:J,6,FALSE),"")</f>
        <v/>
      </c>
      <c r="H4799" s="47" t="str">
        <f>IFERROR(VLOOKUP(G4799,WholesaleExtract!B:L,11,FALSE),"")</f>
        <v/>
      </c>
      <c r="I4799" s="26" t="str">
        <f>IFERROR(VLOOKUP(G4799,WholesaleExtract!B:O,8,FALSE),"")</f>
        <v/>
      </c>
      <c r="J4799" s="26" t="str">
        <f>IFERROR(VLOOKUP(G4799,WholesaleExtract!B:O,14,FALSE),"")</f>
        <v/>
      </c>
      <c r="K4799" s="26" t="str">
        <f>IFERROR(VLOOKUP(G4799,WholesaleExtract!B:K,10,FALSE),"")</f>
        <v/>
      </c>
      <c r="L4799" s="47" t="str">
        <f>IFERROR(VLOOKUP(G4799,WholesaleExtract!B:L,11,FALSE),"")</f>
        <v/>
      </c>
      <c r="M4799" s="47" t="str">
        <f>IFERROR(VLOOKUP(G4799,WholesaleExtract!B:M,12,FALSE),"")</f>
        <v/>
      </c>
      <c r="R4799" s="19"/>
      <c r="S4799" s="19"/>
    </row>
    <row r="4800" spans="1:19" x14ac:dyDescent="0.35">
      <c r="A4800" s="26" t="s">
        <v>543</v>
      </c>
      <c r="B4800" s="26" t="s">
        <v>543</v>
      </c>
      <c r="C4800" s="26"/>
      <c r="D4800" s="26" t="s">
        <v>543</v>
      </c>
      <c r="E4800" s="26" t="str">
        <f>IFERROR(VLOOKUP(G4800,WholesaleExtract!B:J,9,FALSE),"")</f>
        <v/>
      </c>
      <c r="F4800" s="26" t="str">
        <f>IFERROR(VLOOKUP(G4800,WholesaleExtract!B:J,6,FALSE),"")</f>
        <v/>
      </c>
      <c r="H4800" s="47" t="str">
        <f>IFERROR(VLOOKUP(G4800,WholesaleExtract!B:L,11,FALSE),"")</f>
        <v/>
      </c>
      <c r="I4800" s="26" t="str">
        <f>IFERROR(VLOOKUP(G4800,WholesaleExtract!B:O,8,FALSE),"")</f>
        <v/>
      </c>
      <c r="J4800" s="26" t="str">
        <f>IFERROR(VLOOKUP(G4800,WholesaleExtract!B:O,14,FALSE),"")</f>
        <v/>
      </c>
      <c r="K4800" s="26" t="str">
        <f>IFERROR(VLOOKUP(G4800,WholesaleExtract!B:K,10,FALSE),"")</f>
        <v/>
      </c>
      <c r="L4800" s="47" t="str">
        <f>IFERROR(VLOOKUP(G4800,WholesaleExtract!B:L,11,FALSE),"")</f>
        <v/>
      </c>
      <c r="M4800" s="47" t="str">
        <f>IFERROR(VLOOKUP(G4800,WholesaleExtract!B:M,12,FALSE),"")</f>
        <v/>
      </c>
      <c r="R4800" s="19"/>
      <c r="S4800" s="19"/>
    </row>
    <row r="4801" spans="1:19" x14ac:dyDescent="0.35">
      <c r="A4801" s="26" t="s">
        <v>543</v>
      </c>
      <c r="B4801" s="26" t="s">
        <v>543</v>
      </c>
      <c r="C4801" s="26"/>
      <c r="D4801" s="26" t="s">
        <v>543</v>
      </c>
      <c r="E4801" s="26" t="str">
        <f>IFERROR(VLOOKUP(G4801,WholesaleExtract!B:J,9,FALSE),"")</f>
        <v/>
      </c>
      <c r="F4801" s="26" t="str">
        <f>IFERROR(VLOOKUP(G4801,WholesaleExtract!B:J,6,FALSE),"")</f>
        <v/>
      </c>
      <c r="H4801" s="47" t="str">
        <f>IFERROR(VLOOKUP(G4801,WholesaleExtract!B:L,11,FALSE),"")</f>
        <v/>
      </c>
      <c r="I4801" s="26" t="str">
        <f>IFERROR(VLOOKUP(G4801,WholesaleExtract!B:O,8,FALSE),"")</f>
        <v/>
      </c>
      <c r="J4801" s="26" t="str">
        <f>IFERROR(VLOOKUP(G4801,WholesaleExtract!B:O,14,FALSE),"")</f>
        <v/>
      </c>
      <c r="K4801" s="26" t="str">
        <f>IFERROR(VLOOKUP(G4801,WholesaleExtract!B:K,10,FALSE),"")</f>
        <v/>
      </c>
      <c r="L4801" s="47" t="str">
        <f>IFERROR(VLOOKUP(G4801,WholesaleExtract!B:L,11,FALSE),"")</f>
        <v/>
      </c>
      <c r="M4801" s="47" t="str">
        <f>IFERROR(VLOOKUP(G4801,WholesaleExtract!B:M,12,FALSE),"")</f>
        <v/>
      </c>
      <c r="R4801" s="19"/>
      <c r="S4801" s="19"/>
    </row>
    <row r="4802" spans="1:19" x14ac:dyDescent="0.35">
      <c r="A4802" s="26" t="s">
        <v>543</v>
      </c>
      <c r="B4802" s="26" t="s">
        <v>543</v>
      </c>
      <c r="C4802" s="26"/>
      <c r="D4802" s="26" t="s">
        <v>543</v>
      </c>
      <c r="E4802" s="26" t="str">
        <f>IFERROR(VLOOKUP(G4802,WholesaleExtract!B:J,9,FALSE),"")</f>
        <v/>
      </c>
      <c r="F4802" s="26" t="str">
        <f>IFERROR(VLOOKUP(G4802,WholesaleExtract!B:J,6,FALSE),"")</f>
        <v/>
      </c>
      <c r="H4802" s="47" t="str">
        <f>IFERROR(VLOOKUP(G4802,WholesaleExtract!B:L,11,FALSE),"")</f>
        <v/>
      </c>
      <c r="I4802" s="26" t="str">
        <f>IFERROR(VLOOKUP(G4802,WholesaleExtract!B:O,8,FALSE),"")</f>
        <v/>
      </c>
      <c r="J4802" s="26" t="str">
        <f>IFERROR(VLOOKUP(G4802,WholesaleExtract!B:O,14,FALSE),"")</f>
        <v/>
      </c>
      <c r="K4802" s="26" t="str">
        <f>IFERROR(VLOOKUP(G4802,WholesaleExtract!B:K,10,FALSE),"")</f>
        <v/>
      </c>
      <c r="L4802" s="47" t="str">
        <f>IFERROR(VLOOKUP(G4802,WholesaleExtract!B:L,11,FALSE),"")</f>
        <v/>
      </c>
      <c r="M4802" s="47" t="str">
        <f>IFERROR(VLOOKUP(G4802,WholesaleExtract!B:M,12,FALSE),"")</f>
        <v/>
      </c>
      <c r="R4802" s="19"/>
      <c r="S4802" s="19"/>
    </row>
    <row r="4803" spans="1:19" x14ac:dyDescent="0.35">
      <c r="A4803" s="26" t="s">
        <v>543</v>
      </c>
      <c r="B4803" s="26" t="s">
        <v>543</v>
      </c>
      <c r="C4803" s="26"/>
      <c r="D4803" s="26" t="s">
        <v>543</v>
      </c>
      <c r="E4803" s="26" t="str">
        <f>IFERROR(VLOOKUP(G4803,WholesaleExtract!B:J,9,FALSE),"")</f>
        <v/>
      </c>
      <c r="F4803" s="26" t="str">
        <f>IFERROR(VLOOKUP(G4803,WholesaleExtract!B:J,6,FALSE),"")</f>
        <v/>
      </c>
      <c r="H4803" s="47" t="str">
        <f>IFERROR(VLOOKUP(G4803,WholesaleExtract!B:L,11,FALSE),"")</f>
        <v/>
      </c>
      <c r="I4803" s="26" t="str">
        <f>IFERROR(VLOOKUP(G4803,WholesaleExtract!B:O,8,FALSE),"")</f>
        <v/>
      </c>
      <c r="J4803" s="26" t="str">
        <f>IFERROR(VLOOKUP(G4803,WholesaleExtract!B:O,14,FALSE),"")</f>
        <v/>
      </c>
      <c r="K4803" s="26" t="str">
        <f>IFERROR(VLOOKUP(G4803,WholesaleExtract!B:K,10,FALSE),"")</f>
        <v/>
      </c>
      <c r="L4803" s="47" t="str">
        <f>IFERROR(VLOOKUP(G4803,WholesaleExtract!B:L,11,FALSE),"")</f>
        <v/>
      </c>
      <c r="M4803" s="47" t="str">
        <f>IFERROR(VLOOKUP(G4803,WholesaleExtract!B:M,12,FALSE),"")</f>
        <v/>
      </c>
      <c r="R4803" s="19"/>
      <c r="S4803" s="19"/>
    </row>
    <row r="4804" spans="1:19" x14ac:dyDescent="0.35">
      <c r="A4804" s="26" t="s">
        <v>543</v>
      </c>
      <c r="B4804" s="26" t="s">
        <v>543</v>
      </c>
      <c r="C4804" s="26"/>
      <c r="D4804" s="26" t="s">
        <v>543</v>
      </c>
      <c r="E4804" s="26" t="str">
        <f>IFERROR(VLOOKUP(G4804,WholesaleExtract!B:J,9,FALSE),"")</f>
        <v/>
      </c>
      <c r="F4804" s="26" t="str">
        <f>IFERROR(VLOOKUP(G4804,WholesaleExtract!B:J,6,FALSE),"")</f>
        <v/>
      </c>
      <c r="H4804" s="47" t="str">
        <f>IFERROR(VLOOKUP(G4804,WholesaleExtract!B:L,11,FALSE),"")</f>
        <v/>
      </c>
      <c r="I4804" s="26" t="str">
        <f>IFERROR(VLOOKUP(G4804,WholesaleExtract!B:O,8,FALSE),"")</f>
        <v/>
      </c>
      <c r="J4804" s="26" t="str">
        <f>IFERROR(VLOOKUP(G4804,WholesaleExtract!B:O,14,FALSE),"")</f>
        <v/>
      </c>
      <c r="K4804" s="26" t="str">
        <f>IFERROR(VLOOKUP(G4804,WholesaleExtract!B:K,10,FALSE),"")</f>
        <v/>
      </c>
      <c r="L4804" s="47" t="str">
        <f>IFERROR(VLOOKUP(G4804,WholesaleExtract!B:L,11,FALSE),"")</f>
        <v/>
      </c>
      <c r="M4804" s="47" t="str">
        <f>IFERROR(VLOOKUP(G4804,WholesaleExtract!B:M,12,FALSE),"")</f>
        <v/>
      </c>
      <c r="R4804" s="19"/>
      <c r="S4804" s="19"/>
    </row>
    <row r="4805" spans="1:19" x14ac:dyDescent="0.35">
      <c r="A4805" s="26" t="s">
        <v>543</v>
      </c>
      <c r="B4805" s="26" t="s">
        <v>543</v>
      </c>
      <c r="C4805" s="26"/>
      <c r="D4805" s="26" t="s">
        <v>543</v>
      </c>
      <c r="E4805" s="26" t="str">
        <f>IFERROR(VLOOKUP(G4805,WholesaleExtract!B:J,9,FALSE),"")</f>
        <v/>
      </c>
      <c r="F4805" s="26" t="str">
        <f>IFERROR(VLOOKUP(G4805,WholesaleExtract!B:J,6,FALSE),"")</f>
        <v/>
      </c>
      <c r="H4805" s="47" t="str">
        <f>IFERROR(VLOOKUP(G4805,WholesaleExtract!B:L,11,FALSE),"")</f>
        <v/>
      </c>
      <c r="I4805" s="26" t="str">
        <f>IFERROR(VLOOKUP(G4805,WholesaleExtract!B:O,8,FALSE),"")</f>
        <v/>
      </c>
      <c r="J4805" s="26" t="str">
        <f>IFERROR(VLOOKUP(G4805,WholesaleExtract!B:O,14,FALSE),"")</f>
        <v/>
      </c>
      <c r="K4805" s="26" t="str">
        <f>IFERROR(VLOOKUP(G4805,WholesaleExtract!B:K,10,FALSE),"")</f>
        <v/>
      </c>
      <c r="L4805" s="47" t="str">
        <f>IFERROR(VLOOKUP(G4805,WholesaleExtract!B:L,11,FALSE),"")</f>
        <v/>
      </c>
      <c r="M4805" s="47" t="str">
        <f>IFERROR(VLOOKUP(G4805,WholesaleExtract!B:M,12,FALSE),"")</f>
        <v/>
      </c>
      <c r="R4805" s="19"/>
      <c r="S4805" s="19"/>
    </row>
    <row r="4806" spans="1:19" x14ac:dyDescent="0.35">
      <c r="A4806" s="26" t="s">
        <v>543</v>
      </c>
      <c r="B4806" s="26" t="s">
        <v>543</v>
      </c>
      <c r="C4806" s="26"/>
      <c r="D4806" s="26" t="s">
        <v>543</v>
      </c>
      <c r="E4806" s="26" t="str">
        <f>IFERROR(VLOOKUP(G4806,WholesaleExtract!B:J,9,FALSE),"")</f>
        <v/>
      </c>
      <c r="F4806" s="26" t="str">
        <f>IFERROR(VLOOKUP(G4806,WholesaleExtract!B:J,6,FALSE),"")</f>
        <v/>
      </c>
      <c r="H4806" s="47" t="str">
        <f>IFERROR(VLOOKUP(G4806,WholesaleExtract!B:L,11,FALSE),"")</f>
        <v/>
      </c>
      <c r="I4806" s="26" t="str">
        <f>IFERROR(VLOOKUP(G4806,WholesaleExtract!B:O,8,FALSE),"")</f>
        <v/>
      </c>
      <c r="J4806" s="26" t="str">
        <f>IFERROR(VLOOKUP(G4806,WholesaleExtract!B:O,14,FALSE),"")</f>
        <v/>
      </c>
      <c r="K4806" s="26" t="str">
        <f>IFERROR(VLOOKUP(G4806,WholesaleExtract!B:K,10,FALSE),"")</f>
        <v/>
      </c>
      <c r="L4806" s="47" t="str">
        <f>IFERROR(VLOOKUP(G4806,WholesaleExtract!B:L,11,FALSE),"")</f>
        <v/>
      </c>
      <c r="M4806" s="47" t="str">
        <f>IFERROR(VLOOKUP(G4806,WholesaleExtract!B:M,12,FALSE),"")</f>
        <v/>
      </c>
      <c r="R4806" s="19"/>
      <c r="S4806" s="19"/>
    </row>
    <row r="4807" spans="1:19" x14ac:dyDescent="0.35">
      <c r="A4807" s="26" t="s">
        <v>543</v>
      </c>
      <c r="B4807" s="26" t="s">
        <v>543</v>
      </c>
      <c r="C4807" s="26"/>
      <c r="D4807" s="26" t="s">
        <v>543</v>
      </c>
      <c r="E4807" s="26" t="str">
        <f>IFERROR(VLOOKUP(G4807,WholesaleExtract!B:J,9,FALSE),"")</f>
        <v/>
      </c>
      <c r="F4807" s="26" t="str">
        <f>IFERROR(VLOOKUP(G4807,WholesaleExtract!B:J,6,FALSE),"")</f>
        <v/>
      </c>
      <c r="H4807" s="47" t="str">
        <f>IFERROR(VLOOKUP(G4807,WholesaleExtract!B:L,11,FALSE),"")</f>
        <v/>
      </c>
      <c r="I4807" s="26" t="str">
        <f>IFERROR(VLOOKUP(G4807,WholesaleExtract!B:O,8,FALSE),"")</f>
        <v/>
      </c>
      <c r="J4807" s="26" t="str">
        <f>IFERROR(VLOOKUP(G4807,WholesaleExtract!B:O,14,FALSE),"")</f>
        <v/>
      </c>
      <c r="K4807" s="26" t="str">
        <f>IFERROR(VLOOKUP(G4807,WholesaleExtract!B:K,10,FALSE),"")</f>
        <v/>
      </c>
      <c r="L4807" s="47" t="str">
        <f>IFERROR(VLOOKUP(G4807,WholesaleExtract!B:L,11,FALSE),"")</f>
        <v/>
      </c>
      <c r="M4807" s="47" t="str">
        <f>IFERROR(VLOOKUP(G4807,WholesaleExtract!B:M,12,FALSE),"")</f>
        <v/>
      </c>
      <c r="R4807" s="19"/>
      <c r="S4807" s="19"/>
    </row>
    <row r="4808" spans="1:19" x14ac:dyDescent="0.35">
      <c r="A4808" s="26" t="s">
        <v>543</v>
      </c>
      <c r="B4808" s="26" t="s">
        <v>543</v>
      </c>
      <c r="C4808" s="26"/>
      <c r="D4808" s="26" t="s">
        <v>543</v>
      </c>
      <c r="E4808" s="26" t="str">
        <f>IFERROR(VLOOKUP(G4808,WholesaleExtract!B:J,9,FALSE),"")</f>
        <v/>
      </c>
      <c r="F4808" s="26" t="str">
        <f>IFERROR(VLOOKUP(G4808,WholesaleExtract!B:J,6,FALSE),"")</f>
        <v/>
      </c>
      <c r="H4808" s="47" t="str">
        <f>IFERROR(VLOOKUP(G4808,WholesaleExtract!B:L,11,FALSE),"")</f>
        <v/>
      </c>
      <c r="I4808" s="26" t="str">
        <f>IFERROR(VLOOKUP(G4808,WholesaleExtract!B:O,8,FALSE),"")</f>
        <v/>
      </c>
      <c r="J4808" s="26" t="str">
        <f>IFERROR(VLOOKUP(G4808,WholesaleExtract!B:O,14,FALSE),"")</f>
        <v/>
      </c>
      <c r="K4808" s="26" t="str">
        <f>IFERROR(VLOOKUP(G4808,WholesaleExtract!B:K,10,FALSE),"")</f>
        <v/>
      </c>
      <c r="L4808" s="47" t="str">
        <f>IFERROR(VLOOKUP(G4808,WholesaleExtract!B:L,11,FALSE),"")</f>
        <v/>
      </c>
      <c r="M4808" s="47" t="str">
        <f>IFERROR(VLOOKUP(G4808,WholesaleExtract!B:M,12,FALSE),"")</f>
        <v/>
      </c>
      <c r="R4808" s="19"/>
      <c r="S4808" s="19"/>
    </row>
    <row r="4809" spans="1:19" x14ac:dyDescent="0.35">
      <c r="A4809" s="26" t="s">
        <v>543</v>
      </c>
      <c r="B4809" s="26" t="s">
        <v>543</v>
      </c>
      <c r="C4809" s="26"/>
      <c r="D4809" s="26" t="s">
        <v>543</v>
      </c>
      <c r="E4809" s="26" t="str">
        <f>IFERROR(VLOOKUP(G4809,WholesaleExtract!B:J,9,FALSE),"")</f>
        <v/>
      </c>
      <c r="F4809" s="26" t="str">
        <f>IFERROR(VLOOKUP(G4809,WholesaleExtract!B:J,6,FALSE),"")</f>
        <v/>
      </c>
      <c r="H4809" s="47" t="str">
        <f>IFERROR(VLOOKUP(G4809,WholesaleExtract!B:L,11,FALSE),"")</f>
        <v/>
      </c>
      <c r="I4809" s="26" t="str">
        <f>IFERROR(VLOOKUP(G4809,WholesaleExtract!B:O,8,FALSE),"")</f>
        <v/>
      </c>
      <c r="J4809" s="26" t="str">
        <f>IFERROR(VLOOKUP(G4809,WholesaleExtract!B:O,14,FALSE),"")</f>
        <v/>
      </c>
      <c r="K4809" s="26" t="str">
        <f>IFERROR(VLOOKUP(G4809,WholesaleExtract!B:K,10,FALSE),"")</f>
        <v/>
      </c>
      <c r="L4809" s="47" t="str">
        <f>IFERROR(VLOOKUP(G4809,WholesaleExtract!B:L,11,FALSE),"")</f>
        <v/>
      </c>
      <c r="M4809" s="47" t="str">
        <f>IFERROR(VLOOKUP(G4809,WholesaleExtract!B:M,12,FALSE),"")</f>
        <v/>
      </c>
      <c r="R4809" s="19"/>
      <c r="S4809" s="19"/>
    </row>
    <row r="4810" spans="1:19" x14ac:dyDescent="0.35">
      <c r="A4810" s="26" t="s">
        <v>543</v>
      </c>
      <c r="B4810" s="26" t="s">
        <v>543</v>
      </c>
      <c r="C4810" s="26"/>
      <c r="D4810" s="26" t="s">
        <v>543</v>
      </c>
      <c r="E4810" s="26" t="str">
        <f>IFERROR(VLOOKUP(G4810,WholesaleExtract!B:J,9,FALSE),"")</f>
        <v/>
      </c>
      <c r="F4810" s="26" t="str">
        <f>IFERROR(VLOOKUP(G4810,WholesaleExtract!B:J,6,FALSE),"")</f>
        <v/>
      </c>
      <c r="H4810" s="47" t="str">
        <f>IFERROR(VLOOKUP(G4810,WholesaleExtract!B:L,11,FALSE),"")</f>
        <v/>
      </c>
      <c r="I4810" s="26" t="str">
        <f>IFERROR(VLOOKUP(G4810,WholesaleExtract!B:O,8,FALSE),"")</f>
        <v/>
      </c>
      <c r="J4810" s="26" t="str">
        <f>IFERROR(VLOOKUP(G4810,WholesaleExtract!B:O,14,FALSE),"")</f>
        <v/>
      </c>
      <c r="K4810" s="26" t="str">
        <f>IFERROR(VLOOKUP(G4810,WholesaleExtract!B:K,10,FALSE),"")</f>
        <v/>
      </c>
      <c r="L4810" s="47" t="str">
        <f>IFERROR(VLOOKUP(G4810,WholesaleExtract!B:L,11,FALSE),"")</f>
        <v/>
      </c>
      <c r="M4810" s="47" t="str">
        <f>IFERROR(VLOOKUP(G4810,WholesaleExtract!B:M,12,FALSE),"")</f>
        <v/>
      </c>
      <c r="R4810" s="19"/>
      <c r="S4810" s="19"/>
    </row>
    <row r="4811" spans="1:19" x14ac:dyDescent="0.35">
      <c r="A4811" s="26" t="s">
        <v>543</v>
      </c>
      <c r="B4811" s="26" t="s">
        <v>543</v>
      </c>
      <c r="C4811" s="26"/>
      <c r="D4811" s="26" t="s">
        <v>543</v>
      </c>
      <c r="E4811" s="26" t="str">
        <f>IFERROR(VLOOKUP(G4811,WholesaleExtract!B:J,9,FALSE),"")</f>
        <v/>
      </c>
      <c r="F4811" s="26" t="str">
        <f>IFERROR(VLOOKUP(G4811,WholesaleExtract!B:J,6,FALSE),"")</f>
        <v/>
      </c>
      <c r="H4811" s="47" t="str">
        <f>IFERROR(VLOOKUP(G4811,WholesaleExtract!B:L,11,FALSE),"")</f>
        <v/>
      </c>
      <c r="I4811" s="26" t="str">
        <f>IFERROR(VLOOKUP(G4811,WholesaleExtract!B:O,8,FALSE),"")</f>
        <v/>
      </c>
      <c r="J4811" s="26" t="str">
        <f>IFERROR(VLOOKUP(G4811,WholesaleExtract!B:O,14,FALSE),"")</f>
        <v/>
      </c>
      <c r="K4811" s="26" t="str">
        <f>IFERROR(VLOOKUP(G4811,WholesaleExtract!B:K,10,FALSE),"")</f>
        <v/>
      </c>
      <c r="L4811" s="47" t="str">
        <f>IFERROR(VLOOKUP(G4811,WholesaleExtract!B:L,11,FALSE),"")</f>
        <v/>
      </c>
      <c r="M4811" s="47" t="str">
        <f>IFERROR(VLOOKUP(G4811,WholesaleExtract!B:M,12,FALSE),"")</f>
        <v/>
      </c>
      <c r="R4811" s="19"/>
      <c r="S4811" s="19"/>
    </row>
    <row r="4812" spans="1:19" x14ac:dyDescent="0.35">
      <c r="A4812" s="26" t="s">
        <v>543</v>
      </c>
      <c r="B4812" s="26" t="s">
        <v>543</v>
      </c>
      <c r="C4812" s="26"/>
      <c r="D4812" s="26" t="s">
        <v>543</v>
      </c>
      <c r="E4812" s="26" t="str">
        <f>IFERROR(VLOOKUP(G4812,WholesaleExtract!B:J,9,FALSE),"")</f>
        <v/>
      </c>
      <c r="F4812" s="26" t="str">
        <f>IFERROR(VLOOKUP(G4812,WholesaleExtract!B:J,6,FALSE),"")</f>
        <v/>
      </c>
      <c r="H4812" s="47" t="str">
        <f>IFERROR(VLOOKUP(G4812,WholesaleExtract!B:L,11,FALSE),"")</f>
        <v/>
      </c>
      <c r="I4812" s="26" t="str">
        <f>IFERROR(VLOOKUP(G4812,WholesaleExtract!B:O,8,FALSE),"")</f>
        <v/>
      </c>
      <c r="J4812" s="26" t="str">
        <f>IFERROR(VLOOKUP(G4812,WholesaleExtract!B:O,14,FALSE),"")</f>
        <v/>
      </c>
      <c r="K4812" s="26" t="str">
        <f>IFERROR(VLOOKUP(G4812,WholesaleExtract!B:K,10,FALSE),"")</f>
        <v/>
      </c>
      <c r="L4812" s="47" t="str">
        <f>IFERROR(VLOOKUP(G4812,WholesaleExtract!B:L,11,FALSE),"")</f>
        <v/>
      </c>
      <c r="M4812" s="47" t="str">
        <f>IFERROR(VLOOKUP(G4812,WholesaleExtract!B:M,12,FALSE),"")</f>
        <v/>
      </c>
      <c r="R4812" s="19"/>
      <c r="S4812" s="19"/>
    </row>
    <row r="4813" spans="1:19" x14ac:dyDescent="0.35">
      <c r="A4813" s="26" t="s">
        <v>543</v>
      </c>
      <c r="B4813" s="26" t="s">
        <v>543</v>
      </c>
      <c r="C4813" s="26"/>
      <c r="D4813" s="26" t="s">
        <v>543</v>
      </c>
      <c r="E4813" s="26" t="str">
        <f>IFERROR(VLOOKUP(G4813,WholesaleExtract!B:J,9,FALSE),"")</f>
        <v/>
      </c>
      <c r="F4813" s="26" t="str">
        <f>IFERROR(VLOOKUP(G4813,WholesaleExtract!B:J,6,FALSE),"")</f>
        <v/>
      </c>
      <c r="H4813" s="47" t="str">
        <f>IFERROR(VLOOKUP(G4813,WholesaleExtract!B:L,11,FALSE),"")</f>
        <v/>
      </c>
      <c r="I4813" s="26" t="str">
        <f>IFERROR(VLOOKUP(G4813,WholesaleExtract!B:O,8,FALSE),"")</f>
        <v/>
      </c>
      <c r="J4813" s="26" t="str">
        <f>IFERROR(VLOOKUP(G4813,WholesaleExtract!B:O,14,FALSE),"")</f>
        <v/>
      </c>
      <c r="K4813" s="26" t="str">
        <f>IFERROR(VLOOKUP(G4813,WholesaleExtract!B:K,10,FALSE),"")</f>
        <v/>
      </c>
      <c r="L4813" s="47" t="str">
        <f>IFERROR(VLOOKUP(G4813,WholesaleExtract!B:L,11,FALSE),"")</f>
        <v/>
      </c>
      <c r="M4813" s="47" t="str">
        <f>IFERROR(VLOOKUP(G4813,WholesaleExtract!B:M,12,FALSE),"")</f>
        <v/>
      </c>
      <c r="R4813" s="19"/>
      <c r="S4813" s="19"/>
    </row>
    <row r="4814" spans="1:19" x14ac:dyDescent="0.35">
      <c r="A4814" s="26" t="s">
        <v>543</v>
      </c>
      <c r="B4814" s="26" t="s">
        <v>543</v>
      </c>
      <c r="C4814" s="26"/>
      <c r="D4814" s="26" t="s">
        <v>543</v>
      </c>
      <c r="E4814" s="26" t="str">
        <f>IFERROR(VLOOKUP(G4814,WholesaleExtract!B:J,9,FALSE),"")</f>
        <v/>
      </c>
      <c r="F4814" s="26" t="str">
        <f>IFERROR(VLOOKUP(G4814,WholesaleExtract!B:J,6,FALSE),"")</f>
        <v/>
      </c>
      <c r="H4814" s="47" t="str">
        <f>IFERROR(VLOOKUP(G4814,WholesaleExtract!B:L,11,FALSE),"")</f>
        <v/>
      </c>
      <c r="I4814" s="26" t="str">
        <f>IFERROR(VLOOKUP(G4814,WholesaleExtract!B:O,8,FALSE),"")</f>
        <v/>
      </c>
      <c r="J4814" s="26" t="str">
        <f>IFERROR(VLOOKUP(G4814,WholesaleExtract!B:O,14,FALSE),"")</f>
        <v/>
      </c>
      <c r="K4814" s="26" t="str">
        <f>IFERROR(VLOOKUP(G4814,WholesaleExtract!B:K,10,FALSE),"")</f>
        <v/>
      </c>
      <c r="L4814" s="47" t="str">
        <f>IFERROR(VLOOKUP(G4814,WholesaleExtract!B:L,11,FALSE),"")</f>
        <v/>
      </c>
      <c r="M4814" s="47" t="str">
        <f>IFERROR(VLOOKUP(G4814,WholesaleExtract!B:M,12,FALSE),"")</f>
        <v/>
      </c>
      <c r="R4814" s="19"/>
      <c r="S4814" s="19"/>
    </row>
    <row r="4815" spans="1:19" x14ac:dyDescent="0.35">
      <c r="A4815" s="26" t="s">
        <v>543</v>
      </c>
      <c r="B4815" s="26" t="s">
        <v>543</v>
      </c>
      <c r="C4815" s="26"/>
      <c r="D4815" s="26" t="s">
        <v>543</v>
      </c>
      <c r="E4815" s="26" t="str">
        <f>IFERROR(VLOOKUP(G4815,WholesaleExtract!B:J,9,FALSE),"")</f>
        <v/>
      </c>
      <c r="F4815" s="26" t="str">
        <f>IFERROR(VLOOKUP(G4815,WholesaleExtract!B:J,6,FALSE),"")</f>
        <v/>
      </c>
      <c r="H4815" s="47" t="str">
        <f>IFERROR(VLOOKUP(G4815,WholesaleExtract!B:L,11,FALSE),"")</f>
        <v/>
      </c>
      <c r="I4815" s="26" t="str">
        <f>IFERROR(VLOOKUP(G4815,WholesaleExtract!B:O,8,FALSE),"")</f>
        <v/>
      </c>
      <c r="J4815" s="26" t="str">
        <f>IFERROR(VLOOKUP(G4815,WholesaleExtract!B:O,14,FALSE),"")</f>
        <v/>
      </c>
      <c r="K4815" s="26" t="str">
        <f>IFERROR(VLOOKUP(G4815,WholesaleExtract!B:K,10,FALSE),"")</f>
        <v/>
      </c>
      <c r="L4815" s="47" t="str">
        <f>IFERROR(VLOOKUP(G4815,WholesaleExtract!B:L,11,FALSE),"")</f>
        <v/>
      </c>
      <c r="M4815" s="47" t="str">
        <f>IFERROR(VLOOKUP(G4815,WholesaleExtract!B:M,12,FALSE),"")</f>
        <v/>
      </c>
      <c r="R4815" s="19"/>
      <c r="S4815" s="19"/>
    </row>
    <row r="4816" spans="1:19" x14ac:dyDescent="0.35">
      <c r="A4816" s="26" t="s">
        <v>543</v>
      </c>
      <c r="B4816" s="26" t="s">
        <v>543</v>
      </c>
      <c r="C4816" s="26"/>
      <c r="D4816" s="26" t="s">
        <v>543</v>
      </c>
      <c r="E4816" s="26" t="str">
        <f>IFERROR(VLOOKUP(G4816,WholesaleExtract!B:J,9,FALSE),"")</f>
        <v/>
      </c>
      <c r="F4816" s="26" t="str">
        <f>IFERROR(VLOOKUP(G4816,WholesaleExtract!B:J,6,FALSE),"")</f>
        <v/>
      </c>
      <c r="H4816" s="47" t="str">
        <f>IFERROR(VLOOKUP(G4816,WholesaleExtract!B:L,11,FALSE),"")</f>
        <v/>
      </c>
      <c r="I4816" s="26" t="str">
        <f>IFERROR(VLOOKUP(G4816,WholesaleExtract!B:O,8,FALSE),"")</f>
        <v/>
      </c>
      <c r="J4816" s="26" t="str">
        <f>IFERROR(VLOOKUP(G4816,WholesaleExtract!B:O,14,FALSE),"")</f>
        <v/>
      </c>
      <c r="K4816" s="26" t="str">
        <f>IFERROR(VLOOKUP(G4816,WholesaleExtract!B:K,10,FALSE),"")</f>
        <v/>
      </c>
      <c r="L4816" s="47" t="str">
        <f>IFERROR(VLOOKUP(G4816,WholesaleExtract!B:L,11,FALSE),"")</f>
        <v/>
      </c>
      <c r="M4816" s="47" t="str">
        <f>IFERROR(VLOOKUP(G4816,WholesaleExtract!B:M,12,FALSE),"")</f>
        <v/>
      </c>
      <c r="R4816" s="19"/>
      <c r="S4816" s="19"/>
    </row>
    <row r="4817" spans="1:19" x14ac:dyDescent="0.35">
      <c r="A4817" s="26" t="s">
        <v>543</v>
      </c>
      <c r="B4817" s="26" t="s">
        <v>543</v>
      </c>
      <c r="C4817" s="26"/>
      <c r="D4817" s="26" t="s">
        <v>543</v>
      </c>
      <c r="E4817" s="26" t="str">
        <f>IFERROR(VLOOKUP(G4817,WholesaleExtract!B:J,9,FALSE),"")</f>
        <v/>
      </c>
      <c r="F4817" s="26" t="str">
        <f>IFERROR(VLOOKUP(G4817,WholesaleExtract!B:J,6,FALSE),"")</f>
        <v/>
      </c>
      <c r="H4817" s="47" t="str">
        <f>IFERROR(VLOOKUP(G4817,WholesaleExtract!B:L,11,FALSE),"")</f>
        <v/>
      </c>
      <c r="I4817" s="26" t="str">
        <f>IFERROR(VLOOKUP(G4817,WholesaleExtract!B:O,8,FALSE),"")</f>
        <v/>
      </c>
      <c r="J4817" s="26" t="str">
        <f>IFERROR(VLOOKUP(G4817,WholesaleExtract!B:O,14,FALSE),"")</f>
        <v/>
      </c>
      <c r="K4817" s="26" t="str">
        <f>IFERROR(VLOOKUP(G4817,WholesaleExtract!B:K,10,FALSE),"")</f>
        <v/>
      </c>
      <c r="L4817" s="47" t="str">
        <f>IFERROR(VLOOKUP(G4817,WholesaleExtract!B:L,11,FALSE),"")</f>
        <v/>
      </c>
      <c r="M4817" s="47" t="str">
        <f>IFERROR(VLOOKUP(G4817,WholesaleExtract!B:M,12,FALSE),"")</f>
        <v/>
      </c>
      <c r="R4817" s="19"/>
      <c r="S4817" s="19"/>
    </row>
    <row r="4818" spans="1:19" x14ac:dyDescent="0.35">
      <c r="A4818" s="26" t="s">
        <v>543</v>
      </c>
      <c r="B4818" s="26" t="s">
        <v>543</v>
      </c>
      <c r="C4818" s="26"/>
      <c r="D4818" s="26" t="s">
        <v>543</v>
      </c>
      <c r="E4818" s="26" t="str">
        <f>IFERROR(VLOOKUP(G4818,WholesaleExtract!B:J,9,FALSE),"")</f>
        <v/>
      </c>
      <c r="F4818" s="26" t="str">
        <f>IFERROR(VLOOKUP(G4818,WholesaleExtract!B:J,6,FALSE),"")</f>
        <v/>
      </c>
      <c r="H4818" s="47" t="str">
        <f>IFERROR(VLOOKUP(G4818,WholesaleExtract!B:L,11,FALSE),"")</f>
        <v/>
      </c>
      <c r="I4818" s="26" t="str">
        <f>IFERROR(VLOOKUP(G4818,WholesaleExtract!B:O,8,FALSE),"")</f>
        <v/>
      </c>
      <c r="J4818" s="26" t="str">
        <f>IFERROR(VLOOKUP(G4818,WholesaleExtract!B:O,14,FALSE),"")</f>
        <v/>
      </c>
      <c r="K4818" s="26" t="str">
        <f>IFERROR(VLOOKUP(G4818,WholesaleExtract!B:K,10,FALSE),"")</f>
        <v/>
      </c>
      <c r="L4818" s="47" t="str">
        <f>IFERROR(VLOOKUP(G4818,WholesaleExtract!B:L,11,FALSE),"")</f>
        <v/>
      </c>
      <c r="M4818" s="47" t="str">
        <f>IFERROR(VLOOKUP(G4818,WholesaleExtract!B:M,12,FALSE),"")</f>
        <v/>
      </c>
      <c r="R4818" s="19"/>
      <c r="S4818" s="19"/>
    </row>
    <row r="4819" spans="1:19" x14ac:dyDescent="0.35">
      <c r="A4819" s="26" t="s">
        <v>543</v>
      </c>
      <c r="B4819" s="26" t="s">
        <v>543</v>
      </c>
      <c r="C4819" s="26"/>
      <c r="D4819" s="26" t="s">
        <v>543</v>
      </c>
      <c r="E4819" s="26" t="str">
        <f>IFERROR(VLOOKUP(G4819,WholesaleExtract!B:J,9,FALSE),"")</f>
        <v/>
      </c>
      <c r="F4819" s="26" t="str">
        <f>IFERROR(VLOOKUP(G4819,WholesaleExtract!B:J,6,FALSE),"")</f>
        <v/>
      </c>
      <c r="H4819" s="47" t="str">
        <f>IFERROR(VLOOKUP(G4819,WholesaleExtract!B:L,11,FALSE),"")</f>
        <v/>
      </c>
      <c r="I4819" s="26" t="str">
        <f>IFERROR(VLOOKUP(G4819,WholesaleExtract!B:O,8,FALSE),"")</f>
        <v/>
      </c>
      <c r="J4819" s="26" t="str">
        <f>IFERROR(VLOOKUP(G4819,WholesaleExtract!B:O,14,FALSE),"")</f>
        <v/>
      </c>
      <c r="K4819" s="26" t="str">
        <f>IFERROR(VLOOKUP(G4819,WholesaleExtract!B:K,10,FALSE),"")</f>
        <v/>
      </c>
      <c r="L4819" s="47" t="str">
        <f>IFERROR(VLOOKUP(G4819,WholesaleExtract!B:L,11,FALSE),"")</f>
        <v/>
      </c>
      <c r="M4819" s="47" t="str">
        <f>IFERROR(VLOOKUP(G4819,WholesaleExtract!B:M,12,FALSE),"")</f>
        <v/>
      </c>
      <c r="R4819" s="19"/>
      <c r="S4819" s="19"/>
    </row>
    <row r="4820" spans="1:19" x14ac:dyDescent="0.35">
      <c r="A4820" s="26" t="s">
        <v>543</v>
      </c>
      <c r="B4820" s="26" t="s">
        <v>543</v>
      </c>
      <c r="C4820" s="26"/>
      <c r="D4820" s="26" t="s">
        <v>543</v>
      </c>
      <c r="E4820" s="26" t="str">
        <f>IFERROR(VLOOKUP(G4820,WholesaleExtract!B:J,9,FALSE),"")</f>
        <v/>
      </c>
      <c r="F4820" s="26" t="str">
        <f>IFERROR(VLOOKUP(G4820,WholesaleExtract!B:J,6,FALSE),"")</f>
        <v/>
      </c>
      <c r="H4820" s="47" t="str">
        <f>IFERROR(VLOOKUP(G4820,WholesaleExtract!B:L,11,FALSE),"")</f>
        <v/>
      </c>
      <c r="I4820" s="26" t="str">
        <f>IFERROR(VLOOKUP(G4820,WholesaleExtract!B:O,8,FALSE),"")</f>
        <v/>
      </c>
      <c r="J4820" s="26" t="str">
        <f>IFERROR(VLOOKUP(G4820,WholesaleExtract!B:O,14,FALSE),"")</f>
        <v/>
      </c>
      <c r="K4820" s="26" t="str">
        <f>IFERROR(VLOOKUP(G4820,WholesaleExtract!B:K,10,FALSE),"")</f>
        <v/>
      </c>
      <c r="L4820" s="47" t="str">
        <f>IFERROR(VLOOKUP(G4820,WholesaleExtract!B:L,11,FALSE),"")</f>
        <v/>
      </c>
      <c r="M4820" s="47" t="str">
        <f>IFERROR(VLOOKUP(G4820,WholesaleExtract!B:M,12,FALSE),"")</f>
        <v/>
      </c>
      <c r="R4820" s="19"/>
      <c r="S4820" s="19"/>
    </row>
    <row r="4821" spans="1:19" x14ac:dyDescent="0.35">
      <c r="A4821" s="26" t="s">
        <v>543</v>
      </c>
      <c r="B4821" s="26" t="s">
        <v>543</v>
      </c>
      <c r="C4821" s="26"/>
      <c r="D4821" s="26" t="s">
        <v>543</v>
      </c>
      <c r="E4821" s="26" t="str">
        <f>IFERROR(VLOOKUP(G4821,WholesaleExtract!B:J,9,FALSE),"")</f>
        <v/>
      </c>
      <c r="F4821" s="26" t="str">
        <f>IFERROR(VLOOKUP(G4821,WholesaleExtract!B:J,6,FALSE),"")</f>
        <v/>
      </c>
      <c r="H4821" s="47" t="str">
        <f>IFERROR(VLOOKUP(G4821,WholesaleExtract!B:L,11,FALSE),"")</f>
        <v/>
      </c>
      <c r="I4821" s="26" t="str">
        <f>IFERROR(VLOOKUP(G4821,WholesaleExtract!B:O,8,FALSE),"")</f>
        <v/>
      </c>
      <c r="J4821" s="26" t="str">
        <f>IFERROR(VLOOKUP(G4821,WholesaleExtract!B:O,14,FALSE),"")</f>
        <v/>
      </c>
      <c r="K4821" s="26" t="str">
        <f>IFERROR(VLOOKUP(G4821,WholesaleExtract!B:K,10,FALSE),"")</f>
        <v/>
      </c>
      <c r="L4821" s="47" t="str">
        <f>IFERROR(VLOOKUP(G4821,WholesaleExtract!B:L,11,FALSE),"")</f>
        <v/>
      </c>
      <c r="M4821" s="47" t="str">
        <f>IFERROR(VLOOKUP(G4821,WholesaleExtract!B:M,12,FALSE),"")</f>
        <v/>
      </c>
      <c r="R4821" s="19"/>
      <c r="S4821" s="19"/>
    </row>
    <row r="4822" spans="1:19" x14ac:dyDescent="0.35">
      <c r="A4822" s="26" t="s">
        <v>543</v>
      </c>
      <c r="B4822" s="26" t="s">
        <v>543</v>
      </c>
      <c r="C4822" s="26"/>
      <c r="D4822" s="26" t="s">
        <v>543</v>
      </c>
      <c r="E4822" s="26" t="str">
        <f>IFERROR(VLOOKUP(G4822,WholesaleExtract!B:J,9,FALSE),"")</f>
        <v/>
      </c>
      <c r="F4822" s="26" t="str">
        <f>IFERROR(VLOOKUP(G4822,WholesaleExtract!B:J,6,FALSE),"")</f>
        <v/>
      </c>
      <c r="H4822" s="47" t="str">
        <f>IFERROR(VLOOKUP(G4822,WholesaleExtract!B:L,11,FALSE),"")</f>
        <v/>
      </c>
      <c r="I4822" s="26" t="str">
        <f>IFERROR(VLOOKUP(G4822,WholesaleExtract!B:O,8,FALSE),"")</f>
        <v/>
      </c>
      <c r="J4822" s="26" t="str">
        <f>IFERROR(VLOOKUP(G4822,WholesaleExtract!B:O,14,FALSE),"")</f>
        <v/>
      </c>
      <c r="K4822" s="26" t="str">
        <f>IFERROR(VLOOKUP(G4822,WholesaleExtract!B:K,10,FALSE),"")</f>
        <v/>
      </c>
      <c r="L4822" s="47" t="str">
        <f>IFERROR(VLOOKUP(G4822,WholesaleExtract!B:L,11,FALSE),"")</f>
        <v/>
      </c>
      <c r="M4822" s="47" t="str">
        <f>IFERROR(VLOOKUP(G4822,WholesaleExtract!B:M,12,FALSE),"")</f>
        <v/>
      </c>
      <c r="R4822" s="19"/>
      <c r="S4822" s="19"/>
    </row>
    <row r="4823" spans="1:19" x14ac:dyDescent="0.35">
      <c r="A4823" s="26" t="s">
        <v>543</v>
      </c>
      <c r="B4823" s="26" t="s">
        <v>543</v>
      </c>
      <c r="C4823" s="26"/>
      <c r="D4823" s="26" t="s">
        <v>543</v>
      </c>
      <c r="E4823" s="26" t="str">
        <f>IFERROR(VLOOKUP(G4823,WholesaleExtract!B:J,9,FALSE),"")</f>
        <v/>
      </c>
      <c r="F4823" s="26" t="str">
        <f>IFERROR(VLOOKUP(G4823,WholesaleExtract!B:J,6,FALSE),"")</f>
        <v/>
      </c>
      <c r="H4823" s="47" t="str">
        <f>IFERROR(VLOOKUP(G4823,WholesaleExtract!B:L,11,FALSE),"")</f>
        <v/>
      </c>
      <c r="I4823" s="26" t="str">
        <f>IFERROR(VLOOKUP(G4823,WholesaleExtract!B:O,8,FALSE),"")</f>
        <v/>
      </c>
      <c r="J4823" s="26" t="str">
        <f>IFERROR(VLOOKUP(G4823,WholesaleExtract!B:O,14,FALSE),"")</f>
        <v/>
      </c>
      <c r="K4823" s="26" t="str">
        <f>IFERROR(VLOOKUP(G4823,WholesaleExtract!B:K,10,FALSE),"")</f>
        <v/>
      </c>
      <c r="L4823" s="47" t="str">
        <f>IFERROR(VLOOKUP(G4823,WholesaleExtract!B:L,11,FALSE),"")</f>
        <v/>
      </c>
      <c r="M4823" s="47" t="str">
        <f>IFERROR(VLOOKUP(G4823,WholesaleExtract!B:M,12,FALSE),"")</f>
        <v/>
      </c>
      <c r="R4823" s="19"/>
      <c r="S4823" s="19"/>
    </row>
    <row r="4824" spans="1:19" x14ac:dyDescent="0.35">
      <c r="A4824" s="26" t="s">
        <v>543</v>
      </c>
      <c r="B4824" s="26" t="s">
        <v>543</v>
      </c>
      <c r="C4824" s="26"/>
      <c r="D4824" s="26" t="s">
        <v>543</v>
      </c>
      <c r="E4824" s="26" t="str">
        <f>IFERROR(VLOOKUP(G4824,WholesaleExtract!B:J,9,FALSE),"")</f>
        <v/>
      </c>
      <c r="F4824" s="26" t="str">
        <f>IFERROR(VLOOKUP(G4824,WholesaleExtract!B:J,6,FALSE),"")</f>
        <v/>
      </c>
      <c r="H4824" s="47" t="str">
        <f>IFERROR(VLOOKUP(G4824,WholesaleExtract!B:L,11,FALSE),"")</f>
        <v/>
      </c>
      <c r="I4824" s="26" t="str">
        <f>IFERROR(VLOOKUP(G4824,WholesaleExtract!B:O,8,FALSE),"")</f>
        <v/>
      </c>
      <c r="J4824" s="26" t="str">
        <f>IFERROR(VLOOKUP(G4824,WholesaleExtract!B:O,14,FALSE),"")</f>
        <v/>
      </c>
      <c r="K4824" s="26" t="str">
        <f>IFERROR(VLOOKUP(G4824,WholesaleExtract!B:K,10,FALSE),"")</f>
        <v/>
      </c>
      <c r="L4824" s="47" t="str">
        <f>IFERROR(VLOOKUP(G4824,WholesaleExtract!B:L,11,FALSE),"")</f>
        <v/>
      </c>
      <c r="M4824" s="47" t="str">
        <f>IFERROR(VLOOKUP(G4824,WholesaleExtract!B:M,12,FALSE),"")</f>
        <v/>
      </c>
      <c r="R4824" s="19"/>
      <c r="S4824" s="19"/>
    </row>
    <row r="4825" spans="1:19" x14ac:dyDescent="0.35">
      <c r="A4825" s="26" t="s">
        <v>543</v>
      </c>
      <c r="B4825" s="26" t="s">
        <v>543</v>
      </c>
      <c r="C4825" s="26"/>
      <c r="D4825" s="26" t="s">
        <v>543</v>
      </c>
      <c r="E4825" s="26" t="str">
        <f>IFERROR(VLOOKUP(G4825,WholesaleExtract!B:J,9,FALSE),"")</f>
        <v/>
      </c>
      <c r="F4825" s="26" t="str">
        <f>IFERROR(VLOOKUP(G4825,WholesaleExtract!B:J,6,FALSE),"")</f>
        <v/>
      </c>
      <c r="H4825" s="47" t="str">
        <f>IFERROR(VLOOKUP(G4825,WholesaleExtract!B:L,11,FALSE),"")</f>
        <v/>
      </c>
      <c r="I4825" s="26" t="str">
        <f>IFERROR(VLOOKUP(G4825,WholesaleExtract!B:O,8,FALSE),"")</f>
        <v/>
      </c>
      <c r="J4825" s="26" t="str">
        <f>IFERROR(VLOOKUP(G4825,WholesaleExtract!B:O,14,FALSE),"")</f>
        <v/>
      </c>
      <c r="K4825" s="26" t="str">
        <f>IFERROR(VLOOKUP(G4825,WholesaleExtract!B:K,10,FALSE),"")</f>
        <v/>
      </c>
      <c r="L4825" s="47" t="str">
        <f>IFERROR(VLOOKUP(G4825,WholesaleExtract!B:L,11,FALSE),"")</f>
        <v/>
      </c>
      <c r="M4825" s="47" t="str">
        <f>IFERROR(VLOOKUP(G4825,WholesaleExtract!B:M,12,FALSE),"")</f>
        <v/>
      </c>
      <c r="R4825" s="19"/>
      <c r="S4825" s="19"/>
    </row>
    <row r="4826" spans="1:19" x14ac:dyDescent="0.35">
      <c r="A4826" s="26" t="s">
        <v>543</v>
      </c>
      <c r="B4826" s="26" t="s">
        <v>543</v>
      </c>
      <c r="C4826" s="26"/>
      <c r="D4826" s="26" t="s">
        <v>543</v>
      </c>
      <c r="E4826" s="26" t="str">
        <f>IFERROR(VLOOKUP(G4826,WholesaleExtract!B:J,9,FALSE),"")</f>
        <v/>
      </c>
      <c r="F4826" s="26" t="str">
        <f>IFERROR(VLOOKUP(G4826,WholesaleExtract!B:J,6,FALSE),"")</f>
        <v/>
      </c>
      <c r="H4826" s="47" t="str">
        <f>IFERROR(VLOOKUP(G4826,WholesaleExtract!B:L,11,FALSE),"")</f>
        <v/>
      </c>
      <c r="I4826" s="26" t="str">
        <f>IFERROR(VLOOKUP(G4826,WholesaleExtract!B:O,8,FALSE),"")</f>
        <v/>
      </c>
      <c r="J4826" s="26" t="str">
        <f>IFERROR(VLOOKUP(G4826,WholesaleExtract!B:O,14,FALSE),"")</f>
        <v/>
      </c>
      <c r="K4826" s="26" t="str">
        <f>IFERROR(VLOOKUP(G4826,WholesaleExtract!B:K,10,FALSE),"")</f>
        <v/>
      </c>
      <c r="L4826" s="47" t="str">
        <f>IFERROR(VLOOKUP(G4826,WholesaleExtract!B:L,11,FALSE),"")</f>
        <v/>
      </c>
      <c r="M4826" s="47" t="str">
        <f>IFERROR(VLOOKUP(G4826,WholesaleExtract!B:M,12,FALSE),"")</f>
        <v/>
      </c>
      <c r="R4826" s="19"/>
      <c r="S4826" s="19"/>
    </row>
    <row r="4827" spans="1:19" x14ac:dyDescent="0.35">
      <c r="A4827" s="26" t="s">
        <v>543</v>
      </c>
      <c r="B4827" s="26" t="s">
        <v>543</v>
      </c>
      <c r="C4827" s="26"/>
      <c r="D4827" s="26" t="s">
        <v>543</v>
      </c>
      <c r="E4827" s="26" t="str">
        <f>IFERROR(VLOOKUP(G4827,WholesaleExtract!B:J,9,FALSE),"")</f>
        <v/>
      </c>
      <c r="F4827" s="26" t="str">
        <f>IFERROR(VLOOKUP(G4827,WholesaleExtract!B:J,6,FALSE),"")</f>
        <v/>
      </c>
      <c r="H4827" s="47" t="str">
        <f>IFERROR(VLOOKUP(G4827,WholesaleExtract!B:L,11,FALSE),"")</f>
        <v/>
      </c>
      <c r="I4827" s="26" t="str">
        <f>IFERROR(VLOOKUP(G4827,WholesaleExtract!B:O,8,FALSE),"")</f>
        <v/>
      </c>
      <c r="J4827" s="26" t="str">
        <f>IFERROR(VLOOKUP(G4827,WholesaleExtract!B:O,14,FALSE),"")</f>
        <v/>
      </c>
      <c r="K4827" s="26" t="str">
        <f>IFERROR(VLOOKUP(G4827,WholesaleExtract!B:K,10,FALSE),"")</f>
        <v/>
      </c>
      <c r="L4827" s="47" t="str">
        <f>IFERROR(VLOOKUP(G4827,WholesaleExtract!B:L,11,FALSE),"")</f>
        <v/>
      </c>
      <c r="M4827" s="47" t="str">
        <f>IFERROR(VLOOKUP(G4827,WholesaleExtract!B:M,12,FALSE),"")</f>
        <v/>
      </c>
      <c r="R4827" s="19"/>
      <c r="S4827" s="19"/>
    </row>
    <row r="4828" spans="1:19" x14ac:dyDescent="0.35">
      <c r="A4828" s="26" t="s">
        <v>543</v>
      </c>
      <c r="B4828" s="26" t="s">
        <v>543</v>
      </c>
      <c r="C4828" s="26"/>
      <c r="D4828" s="26" t="s">
        <v>543</v>
      </c>
      <c r="E4828" s="26" t="str">
        <f>IFERROR(VLOOKUP(G4828,WholesaleExtract!B:J,9,FALSE),"")</f>
        <v/>
      </c>
      <c r="F4828" s="26" t="str">
        <f>IFERROR(VLOOKUP(G4828,WholesaleExtract!B:J,6,FALSE),"")</f>
        <v/>
      </c>
      <c r="H4828" s="47" t="str">
        <f>IFERROR(VLOOKUP(G4828,WholesaleExtract!B:L,11,FALSE),"")</f>
        <v/>
      </c>
      <c r="I4828" s="26" t="str">
        <f>IFERROR(VLOOKUP(G4828,WholesaleExtract!B:O,8,FALSE),"")</f>
        <v/>
      </c>
      <c r="J4828" s="26" t="str">
        <f>IFERROR(VLOOKUP(G4828,WholesaleExtract!B:O,14,FALSE),"")</f>
        <v/>
      </c>
      <c r="K4828" s="26" t="str">
        <f>IFERROR(VLOOKUP(G4828,WholesaleExtract!B:K,10,FALSE),"")</f>
        <v/>
      </c>
      <c r="L4828" s="47" t="str">
        <f>IFERROR(VLOOKUP(G4828,WholesaleExtract!B:L,11,FALSE),"")</f>
        <v/>
      </c>
      <c r="M4828" s="47" t="str">
        <f>IFERROR(VLOOKUP(G4828,WholesaleExtract!B:M,12,FALSE),"")</f>
        <v/>
      </c>
      <c r="R4828" s="19"/>
      <c r="S4828" s="19"/>
    </row>
    <row r="4829" spans="1:19" x14ac:dyDescent="0.35">
      <c r="A4829" s="26" t="s">
        <v>543</v>
      </c>
      <c r="B4829" s="26" t="s">
        <v>543</v>
      </c>
      <c r="C4829" s="26"/>
      <c r="D4829" s="26" t="s">
        <v>543</v>
      </c>
      <c r="E4829" s="26" t="str">
        <f>IFERROR(VLOOKUP(G4829,WholesaleExtract!B:J,9,FALSE),"")</f>
        <v/>
      </c>
      <c r="F4829" s="26" t="str">
        <f>IFERROR(VLOOKUP(G4829,WholesaleExtract!B:J,6,FALSE),"")</f>
        <v/>
      </c>
      <c r="H4829" s="47" t="str">
        <f>IFERROR(VLOOKUP(G4829,WholesaleExtract!B:L,11,FALSE),"")</f>
        <v/>
      </c>
      <c r="I4829" s="26" t="str">
        <f>IFERROR(VLOOKUP(G4829,WholesaleExtract!B:O,8,FALSE),"")</f>
        <v/>
      </c>
      <c r="J4829" s="26" t="str">
        <f>IFERROR(VLOOKUP(G4829,WholesaleExtract!B:O,14,FALSE),"")</f>
        <v/>
      </c>
      <c r="K4829" s="26" t="str">
        <f>IFERROR(VLOOKUP(G4829,WholesaleExtract!B:K,10,FALSE),"")</f>
        <v/>
      </c>
      <c r="L4829" s="47" t="str">
        <f>IFERROR(VLOOKUP(G4829,WholesaleExtract!B:L,11,FALSE),"")</f>
        <v/>
      </c>
      <c r="M4829" s="47" t="str">
        <f>IFERROR(VLOOKUP(G4829,WholesaleExtract!B:M,12,FALSE),"")</f>
        <v/>
      </c>
      <c r="R4829" s="19"/>
      <c r="S4829" s="19"/>
    </row>
    <row r="4830" spans="1:19" x14ac:dyDescent="0.35">
      <c r="A4830" s="26" t="s">
        <v>543</v>
      </c>
      <c r="B4830" s="26" t="s">
        <v>543</v>
      </c>
      <c r="C4830" s="26"/>
      <c r="D4830" s="26" t="s">
        <v>543</v>
      </c>
      <c r="E4830" s="26" t="str">
        <f>IFERROR(VLOOKUP(G4830,WholesaleExtract!B:J,9,FALSE),"")</f>
        <v/>
      </c>
      <c r="F4830" s="26" t="str">
        <f>IFERROR(VLOOKUP(G4830,WholesaleExtract!B:J,6,FALSE),"")</f>
        <v/>
      </c>
      <c r="H4830" s="47" t="str">
        <f>IFERROR(VLOOKUP(G4830,WholesaleExtract!B:L,11,FALSE),"")</f>
        <v/>
      </c>
      <c r="I4830" s="26" t="str">
        <f>IFERROR(VLOOKUP(G4830,WholesaleExtract!B:O,8,FALSE),"")</f>
        <v/>
      </c>
      <c r="J4830" s="26" t="str">
        <f>IFERROR(VLOOKUP(G4830,WholesaleExtract!B:O,14,FALSE),"")</f>
        <v/>
      </c>
      <c r="K4830" s="26" t="str">
        <f>IFERROR(VLOOKUP(G4830,WholesaleExtract!B:K,10,FALSE),"")</f>
        <v/>
      </c>
      <c r="L4830" s="47" t="str">
        <f>IFERROR(VLOOKUP(G4830,WholesaleExtract!B:L,11,FALSE),"")</f>
        <v/>
      </c>
      <c r="M4830" s="47" t="str">
        <f>IFERROR(VLOOKUP(G4830,WholesaleExtract!B:M,12,FALSE),"")</f>
        <v/>
      </c>
      <c r="R4830" s="19"/>
      <c r="S4830" s="19"/>
    </row>
    <row r="4831" spans="1:19" x14ac:dyDescent="0.35">
      <c r="A4831" s="26" t="s">
        <v>543</v>
      </c>
      <c r="B4831" s="26" t="s">
        <v>543</v>
      </c>
      <c r="C4831" s="26"/>
      <c r="D4831" s="26" t="s">
        <v>543</v>
      </c>
      <c r="E4831" s="26" t="str">
        <f>IFERROR(VLOOKUP(G4831,WholesaleExtract!B:J,9,FALSE),"")</f>
        <v/>
      </c>
      <c r="F4831" s="26" t="str">
        <f>IFERROR(VLOOKUP(G4831,WholesaleExtract!B:J,6,FALSE),"")</f>
        <v/>
      </c>
      <c r="H4831" s="47" t="str">
        <f>IFERROR(VLOOKUP(G4831,WholesaleExtract!B:L,11,FALSE),"")</f>
        <v/>
      </c>
      <c r="I4831" s="26" t="str">
        <f>IFERROR(VLOOKUP(G4831,WholesaleExtract!B:O,8,FALSE),"")</f>
        <v/>
      </c>
      <c r="J4831" s="26" t="str">
        <f>IFERROR(VLOOKUP(G4831,WholesaleExtract!B:O,14,FALSE),"")</f>
        <v/>
      </c>
      <c r="K4831" s="26" t="str">
        <f>IFERROR(VLOOKUP(G4831,WholesaleExtract!B:K,10,FALSE),"")</f>
        <v/>
      </c>
      <c r="L4831" s="47" t="str">
        <f>IFERROR(VLOOKUP(G4831,WholesaleExtract!B:L,11,FALSE),"")</f>
        <v/>
      </c>
      <c r="M4831" s="47" t="str">
        <f>IFERROR(VLOOKUP(G4831,WholesaleExtract!B:M,12,FALSE),"")</f>
        <v/>
      </c>
      <c r="R4831" s="19"/>
      <c r="S4831" s="19"/>
    </row>
    <row r="4832" spans="1:19" x14ac:dyDescent="0.35">
      <c r="A4832" s="26" t="s">
        <v>543</v>
      </c>
      <c r="B4832" s="26" t="s">
        <v>543</v>
      </c>
      <c r="C4832" s="26"/>
      <c r="D4832" s="26" t="s">
        <v>543</v>
      </c>
      <c r="E4832" s="26" t="str">
        <f>IFERROR(VLOOKUP(G4832,WholesaleExtract!B:J,9,FALSE),"")</f>
        <v/>
      </c>
      <c r="F4832" s="26" t="str">
        <f>IFERROR(VLOOKUP(G4832,WholesaleExtract!B:J,6,FALSE),"")</f>
        <v/>
      </c>
      <c r="H4832" s="47" t="str">
        <f>IFERROR(VLOOKUP(G4832,WholesaleExtract!B:L,11,FALSE),"")</f>
        <v/>
      </c>
      <c r="I4832" s="26" t="str">
        <f>IFERROR(VLOOKUP(G4832,WholesaleExtract!B:O,8,FALSE),"")</f>
        <v/>
      </c>
      <c r="J4832" s="26" t="str">
        <f>IFERROR(VLOOKUP(G4832,WholesaleExtract!B:O,14,FALSE),"")</f>
        <v/>
      </c>
      <c r="K4832" s="26" t="str">
        <f>IFERROR(VLOOKUP(G4832,WholesaleExtract!B:K,10,FALSE),"")</f>
        <v/>
      </c>
      <c r="L4832" s="47" t="str">
        <f>IFERROR(VLOOKUP(G4832,WholesaleExtract!B:L,11,FALSE),"")</f>
        <v/>
      </c>
      <c r="M4832" s="47" t="str">
        <f>IFERROR(VLOOKUP(G4832,WholesaleExtract!B:M,12,FALSE),"")</f>
        <v/>
      </c>
      <c r="R4832" s="19"/>
      <c r="S4832" s="19"/>
    </row>
    <row r="4833" spans="1:19" x14ac:dyDescent="0.35">
      <c r="A4833" s="26" t="s">
        <v>543</v>
      </c>
      <c r="B4833" s="26" t="s">
        <v>543</v>
      </c>
      <c r="C4833" s="26"/>
      <c r="D4833" s="26" t="s">
        <v>543</v>
      </c>
      <c r="E4833" s="26" t="str">
        <f>IFERROR(VLOOKUP(G4833,WholesaleExtract!B:J,9,FALSE),"")</f>
        <v/>
      </c>
      <c r="F4833" s="26" t="str">
        <f>IFERROR(VLOOKUP(G4833,WholesaleExtract!B:J,6,FALSE),"")</f>
        <v/>
      </c>
      <c r="H4833" s="47" t="str">
        <f>IFERROR(VLOOKUP(G4833,WholesaleExtract!B:L,11,FALSE),"")</f>
        <v/>
      </c>
      <c r="I4833" s="26" t="str">
        <f>IFERROR(VLOOKUP(G4833,WholesaleExtract!B:O,8,FALSE),"")</f>
        <v/>
      </c>
      <c r="J4833" s="26" t="str">
        <f>IFERROR(VLOOKUP(G4833,WholesaleExtract!B:O,14,FALSE),"")</f>
        <v/>
      </c>
      <c r="K4833" s="26" t="str">
        <f>IFERROR(VLOOKUP(G4833,WholesaleExtract!B:K,10,FALSE),"")</f>
        <v/>
      </c>
      <c r="L4833" s="47" t="str">
        <f>IFERROR(VLOOKUP(G4833,WholesaleExtract!B:L,11,FALSE),"")</f>
        <v/>
      </c>
      <c r="M4833" s="47" t="str">
        <f>IFERROR(VLOOKUP(G4833,WholesaleExtract!B:M,12,FALSE),"")</f>
        <v/>
      </c>
      <c r="R4833" s="19"/>
      <c r="S4833" s="19"/>
    </row>
    <row r="4834" spans="1:19" x14ac:dyDescent="0.35">
      <c r="A4834" s="26" t="s">
        <v>543</v>
      </c>
      <c r="B4834" s="26" t="s">
        <v>543</v>
      </c>
      <c r="C4834" s="26"/>
      <c r="D4834" s="26" t="s">
        <v>543</v>
      </c>
      <c r="E4834" s="26" t="str">
        <f>IFERROR(VLOOKUP(G4834,WholesaleExtract!B:J,9,FALSE),"")</f>
        <v/>
      </c>
      <c r="F4834" s="26" t="str">
        <f>IFERROR(VLOOKUP(G4834,WholesaleExtract!B:J,6,FALSE),"")</f>
        <v/>
      </c>
      <c r="H4834" s="47" t="str">
        <f>IFERROR(VLOOKUP(G4834,WholesaleExtract!B:L,11,FALSE),"")</f>
        <v/>
      </c>
      <c r="I4834" s="26" t="str">
        <f>IFERROR(VLOOKUP(G4834,WholesaleExtract!B:O,8,FALSE),"")</f>
        <v/>
      </c>
      <c r="J4834" s="26" t="str">
        <f>IFERROR(VLOOKUP(G4834,WholesaleExtract!B:O,14,FALSE),"")</f>
        <v/>
      </c>
      <c r="K4834" s="26" t="str">
        <f>IFERROR(VLOOKUP(G4834,WholesaleExtract!B:K,10,FALSE),"")</f>
        <v/>
      </c>
      <c r="L4834" s="47" t="str">
        <f>IFERROR(VLOOKUP(G4834,WholesaleExtract!B:L,11,FALSE),"")</f>
        <v/>
      </c>
      <c r="M4834" s="47" t="str">
        <f>IFERROR(VLOOKUP(G4834,WholesaleExtract!B:M,12,FALSE),"")</f>
        <v/>
      </c>
      <c r="R4834" s="19"/>
      <c r="S4834" s="19"/>
    </row>
    <row r="4835" spans="1:19" x14ac:dyDescent="0.35">
      <c r="A4835" s="26" t="s">
        <v>543</v>
      </c>
      <c r="B4835" s="26" t="s">
        <v>543</v>
      </c>
      <c r="C4835" s="26"/>
      <c r="D4835" s="26" t="s">
        <v>543</v>
      </c>
      <c r="E4835" s="26" t="str">
        <f>IFERROR(VLOOKUP(G4835,WholesaleExtract!B:J,9,FALSE),"")</f>
        <v/>
      </c>
      <c r="F4835" s="26" t="str">
        <f>IFERROR(VLOOKUP(G4835,WholesaleExtract!B:J,6,FALSE),"")</f>
        <v/>
      </c>
      <c r="H4835" s="47" t="str">
        <f>IFERROR(VLOOKUP(G4835,WholesaleExtract!B:L,11,FALSE),"")</f>
        <v/>
      </c>
      <c r="I4835" s="26" t="str">
        <f>IFERROR(VLOOKUP(G4835,WholesaleExtract!B:O,8,FALSE),"")</f>
        <v/>
      </c>
      <c r="J4835" s="26" t="str">
        <f>IFERROR(VLOOKUP(G4835,WholesaleExtract!B:O,14,FALSE),"")</f>
        <v/>
      </c>
      <c r="K4835" s="26" t="str">
        <f>IFERROR(VLOOKUP(G4835,WholesaleExtract!B:K,10,FALSE),"")</f>
        <v/>
      </c>
      <c r="L4835" s="47" t="str">
        <f>IFERROR(VLOOKUP(G4835,WholesaleExtract!B:L,11,FALSE),"")</f>
        <v/>
      </c>
      <c r="M4835" s="47" t="str">
        <f>IFERROR(VLOOKUP(G4835,WholesaleExtract!B:M,12,FALSE),"")</f>
        <v/>
      </c>
      <c r="R4835" s="19"/>
      <c r="S4835" s="19"/>
    </row>
    <row r="4836" spans="1:19" x14ac:dyDescent="0.35">
      <c r="A4836" s="26" t="s">
        <v>543</v>
      </c>
      <c r="B4836" s="26" t="s">
        <v>543</v>
      </c>
      <c r="C4836" s="26"/>
      <c r="D4836" s="26" t="s">
        <v>543</v>
      </c>
      <c r="E4836" s="26" t="str">
        <f>IFERROR(VLOOKUP(G4836,WholesaleExtract!B:J,9,FALSE),"")</f>
        <v/>
      </c>
      <c r="F4836" s="26" t="str">
        <f>IFERROR(VLOOKUP(G4836,WholesaleExtract!B:J,6,FALSE),"")</f>
        <v/>
      </c>
      <c r="H4836" s="47" t="str">
        <f>IFERROR(VLOOKUP(G4836,WholesaleExtract!B:L,11,FALSE),"")</f>
        <v/>
      </c>
      <c r="I4836" s="26" t="str">
        <f>IFERROR(VLOOKUP(G4836,WholesaleExtract!B:O,8,FALSE),"")</f>
        <v/>
      </c>
      <c r="J4836" s="26" t="str">
        <f>IFERROR(VLOOKUP(G4836,WholesaleExtract!B:O,14,FALSE),"")</f>
        <v/>
      </c>
      <c r="K4836" s="26" t="str">
        <f>IFERROR(VLOOKUP(G4836,WholesaleExtract!B:K,10,FALSE),"")</f>
        <v/>
      </c>
      <c r="L4836" s="47" t="str">
        <f>IFERROR(VLOOKUP(G4836,WholesaleExtract!B:L,11,FALSE),"")</f>
        <v/>
      </c>
      <c r="M4836" s="47" t="str">
        <f>IFERROR(VLOOKUP(G4836,WholesaleExtract!B:M,12,FALSE),"")</f>
        <v/>
      </c>
      <c r="R4836" s="19"/>
      <c r="S4836" s="19"/>
    </row>
    <row r="4837" spans="1:19" x14ac:dyDescent="0.35">
      <c r="A4837" s="26" t="s">
        <v>543</v>
      </c>
      <c r="B4837" s="26" t="s">
        <v>543</v>
      </c>
      <c r="C4837" s="26"/>
      <c r="D4837" s="26" t="s">
        <v>543</v>
      </c>
      <c r="E4837" s="26" t="str">
        <f>IFERROR(VLOOKUP(G4837,WholesaleExtract!B:J,9,FALSE),"")</f>
        <v/>
      </c>
      <c r="F4837" s="26" t="str">
        <f>IFERROR(VLOOKUP(G4837,WholesaleExtract!B:J,6,FALSE),"")</f>
        <v/>
      </c>
      <c r="H4837" s="47" t="str">
        <f>IFERROR(VLOOKUP(G4837,WholesaleExtract!B:L,11,FALSE),"")</f>
        <v/>
      </c>
      <c r="I4837" s="26" t="str">
        <f>IFERROR(VLOOKUP(G4837,WholesaleExtract!B:O,8,FALSE),"")</f>
        <v/>
      </c>
      <c r="J4837" s="26" t="str">
        <f>IFERROR(VLOOKUP(G4837,WholesaleExtract!B:O,14,FALSE),"")</f>
        <v/>
      </c>
      <c r="K4837" s="26" t="str">
        <f>IFERROR(VLOOKUP(G4837,WholesaleExtract!B:K,10,FALSE),"")</f>
        <v/>
      </c>
      <c r="L4837" s="47" t="str">
        <f>IFERROR(VLOOKUP(G4837,WholesaleExtract!B:L,11,FALSE),"")</f>
        <v/>
      </c>
      <c r="M4837" s="47" t="str">
        <f>IFERROR(VLOOKUP(G4837,WholesaleExtract!B:M,12,FALSE),"")</f>
        <v/>
      </c>
      <c r="R4837" s="19"/>
      <c r="S4837" s="19"/>
    </row>
    <row r="4838" spans="1:19" x14ac:dyDescent="0.35">
      <c r="A4838" s="26" t="s">
        <v>543</v>
      </c>
      <c r="B4838" s="26" t="s">
        <v>543</v>
      </c>
      <c r="C4838" s="26"/>
      <c r="D4838" s="26" t="s">
        <v>543</v>
      </c>
      <c r="E4838" s="26" t="str">
        <f>IFERROR(VLOOKUP(G4838,WholesaleExtract!B:J,9,FALSE),"")</f>
        <v/>
      </c>
      <c r="F4838" s="26" t="str">
        <f>IFERROR(VLOOKUP(G4838,WholesaleExtract!B:J,6,FALSE),"")</f>
        <v/>
      </c>
      <c r="H4838" s="47" t="str">
        <f>IFERROR(VLOOKUP(G4838,WholesaleExtract!B:L,11,FALSE),"")</f>
        <v/>
      </c>
      <c r="I4838" s="26" t="str">
        <f>IFERROR(VLOOKUP(G4838,WholesaleExtract!B:O,8,FALSE),"")</f>
        <v/>
      </c>
      <c r="J4838" s="26" t="str">
        <f>IFERROR(VLOOKUP(G4838,WholesaleExtract!B:O,14,FALSE),"")</f>
        <v/>
      </c>
      <c r="K4838" s="26" t="str">
        <f>IFERROR(VLOOKUP(G4838,WholesaleExtract!B:K,10,FALSE),"")</f>
        <v/>
      </c>
      <c r="L4838" s="47" t="str">
        <f>IFERROR(VLOOKUP(G4838,WholesaleExtract!B:L,11,FALSE),"")</f>
        <v/>
      </c>
      <c r="M4838" s="47" t="str">
        <f>IFERROR(VLOOKUP(G4838,WholesaleExtract!B:M,12,FALSE),"")</f>
        <v/>
      </c>
      <c r="R4838" s="19"/>
      <c r="S4838" s="19"/>
    </row>
    <row r="4839" spans="1:19" x14ac:dyDescent="0.35">
      <c r="A4839" s="26" t="s">
        <v>543</v>
      </c>
      <c r="B4839" s="26" t="s">
        <v>543</v>
      </c>
      <c r="C4839" s="26"/>
      <c r="D4839" s="26" t="s">
        <v>543</v>
      </c>
      <c r="E4839" s="26" t="str">
        <f>IFERROR(VLOOKUP(G4839,WholesaleExtract!B:J,9,FALSE),"")</f>
        <v/>
      </c>
      <c r="F4839" s="26" t="str">
        <f>IFERROR(VLOOKUP(G4839,WholesaleExtract!B:J,6,FALSE),"")</f>
        <v/>
      </c>
      <c r="H4839" s="47" t="str">
        <f>IFERROR(VLOOKUP(G4839,WholesaleExtract!B:L,11,FALSE),"")</f>
        <v/>
      </c>
      <c r="I4839" s="26" t="str">
        <f>IFERROR(VLOOKUP(G4839,WholesaleExtract!B:O,8,FALSE),"")</f>
        <v/>
      </c>
      <c r="J4839" s="26" t="str">
        <f>IFERROR(VLOOKUP(G4839,WholesaleExtract!B:O,14,FALSE),"")</f>
        <v/>
      </c>
      <c r="K4839" s="26" t="str">
        <f>IFERROR(VLOOKUP(G4839,WholesaleExtract!B:K,10,FALSE),"")</f>
        <v/>
      </c>
      <c r="L4839" s="47" t="str">
        <f>IFERROR(VLOOKUP(G4839,WholesaleExtract!B:L,11,FALSE),"")</f>
        <v/>
      </c>
      <c r="M4839" s="47" t="str">
        <f>IFERROR(VLOOKUP(G4839,WholesaleExtract!B:M,12,FALSE),"")</f>
        <v/>
      </c>
      <c r="R4839" s="19"/>
      <c r="S4839" s="19"/>
    </row>
    <row r="4840" spans="1:19" x14ac:dyDescent="0.35">
      <c r="A4840" s="26" t="s">
        <v>543</v>
      </c>
      <c r="B4840" s="26" t="s">
        <v>543</v>
      </c>
      <c r="C4840" s="26"/>
      <c r="D4840" s="26" t="s">
        <v>543</v>
      </c>
      <c r="E4840" s="26" t="str">
        <f>IFERROR(VLOOKUP(G4840,WholesaleExtract!B:J,9,FALSE),"")</f>
        <v/>
      </c>
      <c r="F4840" s="26" t="str">
        <f>IFERROR(VLOOKUP(G4840,WholesaleExtract!B:J,6,FALSE),"")</f>
        <v/>
      </c>
      <c r="H4840" s="47" t="str">
        <f>IFERROR(VLOOKUP(G4840,WholesaleExtract!B:L,11,FALSE),"")</f>
        <v/>
      </c>
      <c r="I4840" s="26" t="str">
        <f>IFERROR(VLOOKUP(G4840,WholesaleExtract!B:O,8,FALSE),"")</f>
        <v/>
      </c>
      <c r="J4840" s="26" t="str">
        <f>IFERROR(VLOOKUP(G4840,WholesaleExtract!B:O,14,FALSE),"")</f>
        <v/>
      </c>
      <c r="K4840" s="26" t="str">
        <f>IFERROR(VLOOKUP(G4840,WholesaleExtract!B:K,10,FALSE),"")</f>
        <v/>
      </c>
      <c r="L4840" s="47" t="str">
        <f>IFERROR(VLOOKUP(G4840,WholesaleExtract!B:L,11,FALSE),"")</f>
        <v/>
      </c>
      <c r="M4840" s="47" t="str">
        <f>IFERROR(VLOOKUP(G4840,WholesaleExtract!B:M,12,FALSE),"")</f>
        <v/>
      </c>
      <c r="R4840" s="19"/>
      <c r="S4840" s="19"/>
    </row>
    <row r="4841" spans="1:19" x14ac:dyDescent="0.35">
      <c r="A4841" s="26" t="s">
        <v>543</v>
      </c>
      <c r="B4841" s="26" t="s">
        <v>543</v>
      </c>
      <c r="C4841" s="26"/>
      <c r="D4841" s="26" t="s">
        <v>543</v>
      </c>
      <c r="E4841" s="26" t="str">
        <f>IFERROR(VLOOKUP(G4841,WholesaleExtract!B:J,9,FALSE),"")</f>
        <v/>
      </c>
      <c r="F4841" s="26" t="str">
        <f>IFERROR(VLOOKUP(G4841,WholesaleExtract!B:J,6,FALSE),"")</f>
        <v/>
      </c>
      <c r="H4841" s="47" t="str">
        <f>IFERROR(VLOOKUP(G4841,WholesaleExtract!B:L,11,FALSE),"")</f>
        <v/>
      </c>
      <c r="I4841" s="26" t="str">
        <f>IFERROR(VLOOKUP(G4841,WholesaleExtract!B:O,8,FALSE),"")</f>
        <v/>
      </c>
      <c r="J4841" s="26" t="str">
        <f>IFERROR(VLOOKUP(G4841,WholesaleExtract!B:O,14,FALSE),"")</f>
        <v/>
      </c>
      <c r="K4841" s="26" t="str">
        <f>IFERROR(VLOOKUP(G4841,WholesaleExtract!B:K,10,FALSE),"")</f>
        <v/>
      </c>
      <c r="L4841" s="47" t="str">
        <f>IFERROR(VLOOKUP(G4841,WholesaleExtract!B:L,11,FALSE),"")</f>
        <v/>
      </c>
      <c r="M4841" s="47" t="str">
        <f>IFERROR(VLOOKUP(G4841,WholesaleExtract!B:M,12,FALSE),"")</f>
        <v/>
      </c>
      <c r="R4841" s="19"/>
      <c r="S4841" s="19"/>
    </row>
    <row r="4842" spans="1:19" x14ac:dyDescent="0.35">
      <c r="A4842" s="26" t="s">
        <v>543</v>
      </c>
      <c r="B4842" s="26" t="s">
        <v>543</v>
      </c>
      <c r="C4842" s="26"/>
      <c r="D4842" s="26" t="s">
        <v>543</v>
      </c>
      <c r="E4842" s="26" t="str">
        <f>IFERROR(VLOOKUP(G4842,WholesaleExtract!B:J,9,FALSE),"")</f>
        <v/>
      </c>
      <c r="F4842" s="26" t="str">
        <f>IFERROR(VLOOKUP(G4842,WholesaleExtract!B:J,6,FALSE),"")</f>
        <v/>
      </c>
      <c r="H4842" s="47" t="str">
        <f>IFERROR(VLOOKUP(G4842,WholesaleExtract!B:L,11,FALSE),"")</f>
        <v/>
      </c>
      <c r="I4842" s="26" t="str">
        <f>IFERROR(VLOOKUP(G4842,WholesaleExtract!B:O,8,FALSE),"")</f>
        <v/>
      </c>
      <c r="J4842" s="26" t="str">
        <f>IFERROR(VLOOKUP(G4842,WholesaleExtract!B:O,14,FALSE),"")</f>
        <v/>
      </c>
      <c r="K4842" s="26" t="str">
        <f>IFERROR(VLOOKUP(G4842,WholesaleExtract!B:K,10,FALSE),"")</f>
        <v/>
      </c>
      <c r="L4842" s="47" t="str">
        <f>IFERROR(VLOOKUP(G4842,WholesaleExtract!B:L,11,FALSE),"")</f>
        <v/>
      </c>
      <c r="M4842" s="47" t="str">
        <f>IFERROR(VLOOKUP(G4842,WholesaleExtract!B:M,12,FALSE),"")</f>
        <v/>
      </c>
      <c r="R4842" s="19"/>
      <c r="S4842" s="19"/>
    </row>
    <row r="4843" spans="1:19" x14ac:dyDescent="0.35">
      <c r="A4843" s="26" t="s">
        <v>543</v>
      </c>
      <c r="B4843" s="26" t="s">
        <v>543</v>
      </c>
      <c r="C4843" s="26"/>
      <c r="D4843" s="26" t="s">
        <v>543</v>
      </c>
      <c r="E4843" s="26" t="str">
        <f>IFERROR(VLOOKUP(G4843,WholesaleExtract!B:J,9,FALSE),"")</f>
        <v/>
      </c>
      <c r="F4843" s="26" t="str">
        <f>IFERROR(VLOOKUP(G4843,WholesaleExtract!B:J,6,FALSE),"")</f>
        <v/>
      </c>
      <c r="H4843" s="47" t="str">
        <f>IFERROR(VLOOKUP(G4843,WholesaleExtract!B:L,11,FALSE),"")</f>
        <v/>
      </c>
      <c r="I4843" s="26" t="str">
        <f>IFERROR(VLOOKUP(G4843,WholesaleExtract!B:O,8,FALSE),"")</f>
        <v/>
      </c>
      <c r="J4843" s="26" t="str">
        <f>IFERROR(VLOOKUP(G4843,WholesaleExtract!B:O,14,FALSE),"")</f>
        <v/>
      </c>
      <c r="K4843" s="26" t="str">
        <f>IFERROR(VLOOKUP(G4843,WholesaleExtract!B:K,10,FALSE),"")</f>
        <v/>
      </c>
      <c r="L4843" s="47" t="str">
        <f>IFERROR(VLOOKUP(G4843,WholesaleExtract!B:L,11,FALSE),"")</f>
        <v/>
      </c>
      <c r="M4843" s="47" t="str">
        <f>IFERROR(VLOOKUP(G4843,WholesaleExtract!B:M,12,FALSE),"")</f>
        <v/>
      </c>
      <c r="R4843" s="19"/>
      <c r="S4843" s="19"/>
    </row>
    <row r="4844" spans="1:19" x14ac:dyDescent="0.35">
      <c r="A4844" s="26" t="s">
        <v>543</v>
      </c>
      <c r="B4844" s="26" t="s">
        <v>543</v>
      </c>
      <c r="C4844" s="26"/>
      <c r="D4844" s="26" t="s">
        <v>543</v>
      </c>
      <c r="E4844" s="26" t="str">
        <f>IFERROR(VLOOKUP(G4844,WholesaleExtract!B:J,9,FALSE),"")</f>
        <v/>
      </c>
      <c r="F4844" s="26" t="str">
        <f>IFERROR(VLOOKUP(G4844,WholesaleExtract!B:J,6,FALSE),"")</f>
        <v/>
      </c>
      <c r="H4844" s="47" t="str">
        <f>IFERROR(VLOOKUP(G4844,WholesaleExtract!B:L,11,FALSE),"")</f>
        <v/>
      </c>
      <c r="I4844" s="26" t="str">
        <f>IFERROR(VLOOKUP(G4844,WholesaleExtract!B:O,8,FALSE),"")</f>
        <v/>
      </c>
      <c r="J4844" s="26" t="str">
        <f>IFERROR(VLOOKUP(G4844,WholesaleExtract!B:O,14,FALSE),"")</f>
        <v/>
      </c>
      <c r="K4844" s="26" t="str">
        <f>IFERROR(VLOOKUP(G4844,WholesaleExtract!B:K,10,FALSE),"")</f>
        <v/>
      </c>
      <c r="L4844" s="47" t="str">
        <f>IFERROR(VLOOKUP(G4844,WholesaleExtract!B:L,11,FALSE),"")</f>
        <v/>
      </c>
      <c r="M4844" s="47" t="str">
        <f>IFERROR(VLOOKUP(G4844,WholesaleExtract!B:M,12,FALSE),"")</f>
        <v/>
      </c>
      <c r="R4844" s="19"/>
      <c r="S4844" s="19"/>
    </row>
    <row r="4845" spans="1:19" x14ac:dyDescent="0.35">
      <c r="A4845" s="26" t="s">
        <v>543</v>
      </c>
      <c r="B4845" s="26" t="s">
        <v>543</v>
      </c>
      <c r="C4845" s="26"/>
      <c r="D4845" s="26" t="s">
        <v>543</v>
      </c>
      <c r="E4845" s="26" t="str">
        <f>IFERROR(VLOOKUP(G4845,WholesaleExtract!B:J,9,FALSE),"")</f>
        <v/>
      </c>
      <c r="F4845" s="26" t="str">
        <f>IFERROR(VLOOKUP(G4845,WholesaleExtract!B:J,6,FALSE),"")</f>
        <v/>
      </c>
      <c r="H4845" s="47" t="str">
        <f>IFERROR(VLOOKUP(G4845,WholesaleExtract!B:L,11,FALSE),"")</f>
        <v/>
      </c>
      <c r="I4845" s="26" t="str">
        <f>IFERROR(VLOOKUP(G4845,WholesaleExtract!B:O,8,FALSE),"")</f>
        <v/>
      </c>
      <c r="J4845" s="26" t="str">
        <f>IFERROR(VLOOKUP(G4845,WholesaleExtract!B:O,14,FALSE),"")</f>
        <v/>
      </c>
      <c r="K4845" s="26" t="str">
        <f>IFERROR(VLOOKUP(G4845,WholesaleExtract!B:K,10,FALSE),"")</f>
        <v/>
      </c>
      <c r="L4845" s="47" t="str">
        <f>IFERROR(VLOOKUP(G4845,WholesaleExtract!B:L,11,FALSE),"")</f>
        <v/>
      </c>
      <c r="M4845" s="47" t="str">
        <f>IFERROR(VLOOKUP(G4845,WholesaleExtract!B:M,12,FALSE),"")</f>
        <v/>
      </c>
      <c r="R4845" s="19"/>
      <c r="S4845" s="19"/>
    </row>
    <row r="4846" spans="1:19" x14ac:dyDescent="0.35">
      <c r="A4846" s="26" t="s">
        <v>543</v>
      </c>
      <c r="B4846" s="26" t="s">
        <v>543</v>
      </c>
      <c r="C4846" s="26"/>
      <c r="D4846" s="26" t="s">
        <v>543</v>
      </c>
      <c r="E4846" s="26" t="str">
        <f>IFERROR(VLOOKUP(G4846,WholesaleExtract!B:J,9,FALSE),"")</f>
        <v/>
      </c>
      <c r="F4846" s="26" t="str">
        <f>IFERROR(VLOOKUP(G4846,WholesaleExtract!B:J,6,FALSE),"")</f>
        <v/>
      </c>
      <c r="H4846" s="47" t="str">
        <f>IFERROR(VLOOKUP(G4846,WholesaleExtract!B:L,11,FALSE),"")</f>
        <v/>
      </c>
      <c r="I4846" s="26" t="str">
        <f>IFERROR(VLOOKUP(G4846,WholesaleExtract!B:O,8,FALSE),"")</f>
        <v/>
      </c>
      <c r="J4846" s="26" t="str">
        <f>IFERROR(VLOOKUP(G4846,WholesaleExtract!B:O,14,FALSE),"")</f>
        <v/>
      </c>
      <c r="K4846" s="26" t="str">
        <f>IFERROR(VLOOKUP(G4846,WholesaleExtract!B:K,10,FALSE),"")</f>
        <v/>
      </c>
      <c r="L4846" s="47" t="str">
        <f>IFERROR(VLOOKUP(G4846,WholesaleExtract!B:L,11,FALSE),"")</f>
        <v/>
      </c>
      <c r="M4846" s="47" t="str">
        <f>IFERROR(VLOOKUP(G4846,WholesaleExtract!B:M,12,FALSE),"")</f>
        <v/>
      </c>
      <c r="R4846" s="19"/>
      <c r="S4846" s="19"/>
    </row>
    <row r="4847" spans="1:19" x14ac:dyDescent="0.35">
      <c r="A4847" s="26" t="s">
        <v>543</v>
      </c>
      <c r="B4847" s="26" t="s">
        <v>543</v>
      </c>
      <c r="C4847" s="26"/>
      <c r="D4847" s="26" t="s">
        <v>543</v>
      </c>
      <c r="E4847" s="26" t="str">
        <f>IFERROR(VLOOKUP(G4847,WholesaleExtract!B:J,9,FALSE),"")</f>
        <v/>
      </c>
      <c r="F4847" s="26" t="str">
        <f>IFERROR(VLOOKUP(G4847,WholesaleExtract!B:J,6,FALSE),"")</f>
        <v/>
      </c>
      <c r="H4847" s="47" t="str">
        <f>IFERROR(VLOOKUP(G4847,WholesaleExtract!B:L,11,FALSE),"")</f>
        <v/>
      </c>
      <c r="I4847" s="26" t="str">
        <f>IFERROR(VLOOKUP(G4847,WholesaleExtract!B:O,8,FALSE),"")</f>
        <v/>
      </c>
      <c r="J4847" s="26" t="str">
        <f>IFERROR(VLOOKUP(G4847,WholesaleExtract!B:O,14,FALSE),"")</f>
        <v/>
      </c>
      <c r="K4847" s="26" t="str">
        <f>IFERROR(VLOOKUP(G4847,WholesaleExtract!B:K,10,FALSE),"")</f>
        <v/>
      </c>
      <c r="L4847" s="47" t="str">
        <f>IFERROR(VLOOKUP(G4847,WholesaleExtract!B:L,11,FALSE),"")</f>
        <v/>
      </c>
      <c r="M4847" s="47" t="str">
        <f>IFERROR(VLOOKUP(G4847,WholesaleExtract!B:M,12,FALSE),"")</f>
        <v/>
      </c>
      <c r="R4847" s="19"/>
      <c r="S4847" s="19"/>
    </row>
    <row r="4848" spans="1:19" x14ac:dyDescent="0.35">
      <c r="A4848" s="26" t="s">
        <v>543</v>
      </c>
      <c r="B4848" s="26" t="s">
        <v>543</v>
      </c>
      <c r="C4848" s="26"/>
      <c r="D4848" s="26" t="s">
        <v>543</v>
      </c>
      <c r="E4848" s="26" t="str">
        <f>IFERROR(VLOOKUP(G4848,WholesaleExtract!B:J,9,FALSE),"")</f>
        <v/>
      </c>
      <c r="F4848" s="26" t="str">
        <f>IFERROR(VLOOKUP(G4848,WholesaleExtract!B:J,6,FALSE),"")</f>
        <v/>
      </c>
      <c r="H4848" s="47" t="str">
        <f>IFERROR(VLOOKUP(G4848,WholesaleExtract!B:L,11,FALSE),"")</f>
        <v/>
      </c>
      <c r="I4848" s="26" t="str">
        <f>IFERROR(VLOOKUP(G4848,WholesaleExtract!B:O,8,FALSE),"")</f>
        <v/>
      </c>
      <c r="J4848" s="26" t="str">
        <f>IFERROR(VLOOKUP(G4848,WholesaleExtract!B:O,14,FALSE),"")</f>
        <v/>
      </c>
      <c r="K4848" s="26" t="str">
        <f>IFERROR(VLOOKUP(G4848,WholesaleExtract!B:K,10,FALSE),"")</f>
        <v/>
      </c>
      <c r="L4848" s="47" t="str">
        <f>IFERROR(VLOOKUP(G4848,WholesaleExtract!B:L,11,FALSE),"")</f>
        <v/>
      </c>
      <c r="M4848" s="47" t="str">
        <f>IFERROR(VLOOKUP(G4848,WholesaleExtract!B:M,12,FALSE),"")</f>
        <v/>
      </c>
      <c r="R4848" s="19"/>
      <c r="S4848" s="19"/>
    </row>
    <row r="4849" spans="1:19" x14ac:dyDescent="0.35">
      <c r="A4849" s="26" t="s">
        <v>543</v>
      </c>
      <c r="B4849" s="26" t="s">
        <v>543</v>
      </c>
      <c r="C4849" s="26"/>
      <c r="D4849" s="26" t="s">
        <v>543</v>
      </c>
      <c r="E4849" s="26" t="str">
        <f>IFERROR(VLOOKUP(G4849,WholesaleExtract!B:J,9,FALSE),"")</f>
        <v/>
      </c>
      <c r="F4849" s="26" t="str">
        <f>IFERROR(VLOOKUP(G4849,WholesaleExtract!B:J,6,FALSE),"")</f>
        <v/>
      </c>
      <c r="H4849" s="47" t="str">
        <f>IFERROR(VLOOKUP(G4849,WholesaleExtract!B:L,11,FALSE),"")</f>
        <v/>
      </c>
      <c r="I4849" s="26" t="str">
        <f>IFERROR(VLOOKUP(G4849,WholesaleExtract!B:O,8,FALSE),"")</f>
        <v/>
      </c>
      <c r="J4849" s="26" t="str">
        <f>IFERROR(VLOOKUP(G4849,WholesaleExtract!B:O,14,FALSE),"")</f>
        <v/>
      </c>
      <c r="K4849" s="26" t="str">
        <f>IFERROR(VLOOKUP(G4849,WholesaleExtract!B:K,10,FALSE),"")</f>
        <v/>
      </c>
      <c r="L4849" s="47" t="str">
        <f>IFERROR(VLOOKUP(G4849,WholesaleExtract!B:L,11,FALSE),"")</f>
        <v/>
      </c>
      <c r="M4849" s="47" t="str">
        <f>IFERROR(VLOOKUP(G4849,WholesaleExtract!B:M,12,FALSE),"")</f>
        <v/>
      </c>
      <c r="R4849" s="19"/>
      <c r="S4849" s="19"/>
    </row>
    <row r="4850" spans="1:19" x14ac:dyDescent="0.35">
      <c r="A4850" s="26" t="s">
        <v>543</v>
      </c>
      <c r="B4850" s="26" t="s">
        <v>543</v>
      </c>
      <c r="C4850" s="26"/>
      <c r="D4850" s="26" t="s">
        <v>543</v>
      </c>
      <c r="E4850" s="26" t="str">
        <f>IFERROR(VLOOKUP(G4850,WholesaleExtract!B:J,9,FALSE),"")</f>
        <v/>
      </c>
      <c r="F4850" s="26" t="str">
        <f>IFERROR(VLOOKUP(G4850,WholesaleExtract!B:J,6,FALSE),"")</f>
        <v/>
      </c>
      <c r="H4850" s="47" t="str">
        <f>IFERROR(VLOOKUP(G4850,WholesaleExtract!B:L,11,FALSE),"")</f>
        <v/>
      </c>
      <c r="I4850" s="26" t="str">
        <f>IFERROR(VLOOKUP(G4850,WholesaleExtract!B:O,8,FALSE),"")</f>
        <v/>
      </c>
      <c r="J4850" s="26" t="str">
        <f>IFERROR(VLOOKUP(G4850,WholesaleExtract!B:O,14,FALSE),"")</f>
        <v/>
      </c>
      <c r="K4850" s="26" t="str">
        <f>IFERROR(VLOOKUP(G4850,WholesaleExtract!B:K,10,FALSE),"")</f>
        <v/>
      </c>
      <c r="L4850" s="47" t="str">
        <f>IFERROR(VLOOKUP(G4850,WholesaleExtract!B:L,11,FALSE),"")</f>
        <v/>
      </c>
      <c r="M4850" s="47" t="str">
        <f>IFERROR(VLOOKUP(G4850,WholesaleExtract!B:M,12,FALSE),"")</f>
        <v/>
      </c>
      <c r="R4850" s="19"/>
      <c r="S4850" s="19"/>
    </row>
    <row r="4851" spans="1:19" x14ac:dyDescent="0.35">
      <c r="A4851" s="26" t="s">
        <v>543</v>
      </c>
      <c r="B4851" s="26" t="s">
        <v>543</v>
      </c>
      <c r="C4851" s="26"/>
      <c r="D4851" s="26" t="s">
        <v>543</v>
      </c>
      <c r="E4851" s="26" t="str">
        <f>IFERROR(VLOOKUP(G4851,WholesaleExtract!B:J,9,FALSE),"")</f>
        <v/>
      </c>
      <c r="F4851" s="26" t="str">
        <f>IFERROR(VLOOKUP(G4851,WholesaleExtract!B:J,6,FALSE),"")</f>
        <v/>
      </c>
      <c r="H4851" s="47" t="str">
        <f>IFERROR(VLOOKUP(G4851,WholesaleExtract!B:L,11,FALSE),"")</f>
        <v/>
      </c>
      <c r="I4851" s="26" t="str">
        <f>IFERROR(VLOOKUP(G4851,WholesaleExtract!B:O,8,FALSE),"")</f>
        <v/>
      </c>
      <c r="J4851" s="26" t="str">
        <f>IFERROR(VLOOKUP(G4851,WholesaleExtract!B:O,14,FALSE),"")</f>
        <v/>
      </c>
      <c r="K4851" s="26" t="str">
        <f>IFERROR(VLOOKUP(G4851,WholesaleExtract!B:K,10,FALSE),"")</f>
        <v/>
      </c>
      <c r="L4851" s="47" t="str">
        <f>IFERROR(VLOOKUP(G4851,WholesaleExtract!B:L,11,FALSE),"")</f>
        <v/>
      </c>
      <c r="M4851" s="47" t="str">
        <f>IFERROR(VLOOKUP(G4851,WholesaleExtract!B:M,12,FALSE),"")</f>
        <v/>
      </c>
      <c r="R4851" s="19"/>
      <c r="S4851" s="19"/>
    </row>
    <row r="4852" spans="1:19" x14ac:dyDescent="0.35">
      <c r="A4852" s="26" t="s">
        <v>543</v>
      </c>
      <c r="B4852" s="26" t="s">
        <v>543</v>
      </c>
      <c r="C4852" s="26"/>
      <c r="D4852" s="26" t="s">
        <v>543</v>
      </c>
      <c r="E4852" s="26" t="str">
        <f>IFERROR(VLOOKUP(G4852,WholesaleExtract!B:J,9,FALSE),"")</f>
        <v/>
      </c>
      <c r="F4852" s="26" t="str">
        <f>IFERROR(VLOOKUP(G4852,WholesaleExtract!B:J,6,FALSE),"")</f>
        <v/>
      </c>
      <c r="H4852" s="47" t="str">
        <f>IFERROR(VLOOKUP(G4852,WholesaleExtract!B:L,11,FALSE),"")</f>
        <v/>
      </c>
      <c r="I4852" s="26" t="str">
        <f>IFERROR(VLOOKUP(G4852,WholesaleExtract!B:O,8,FALSE),"")</f>
        <v/>
      </c>
      <c r="J4852" s="26" t="str">
        <f>IFERROR(VLOOKUP(G4852,WholesaleExtract!B:O,14,FALSE),"")</f>
        <v/>
      </c>
      <c r="K4852" s="26" t="str">
        <f>IFERROR(VLOOKUP(G4852,WholesaleExtract!B:K,10,FALSE),"")</f>
        <v/>
      </c>
      <c r="L4852" s="47" t="str">
        <f>IFERROR(VLOOKUP(G4852,WholesaleExtract!B:L,11,FALSE),"")</f>
        <v/>
      </c>
      <c r="M4852" s="47" t="str">
        <f>IFERROR(VLOOKUP(G4852,WholesaleExtract!B:M,12,FALSE),"")</f>
        <v/>
      </c>
      <c r="R4852" s="19"/>
      <c r="S4852" s="19"/>
    </row>
    <row r="4853" spans="1:19" x14ac:dyDescent="0.35">
      <c r="A4853" s="26" t="s">
        <v>543</v>
      </c>
      <c r="B4853" s="26" t="s">
        <v>543</v>
      </c>
      <c r="C4853" s="26"/>
      <c r="D4853" s="26" t="s">
        <v>543</v>
      </c>
      <c r="E4853" s="26" t="str">
        <f>IFERROR(VLOOKUP(G4853,WholesaleExtract!B:J,9,FALSE),"")</f>
        <v/>
      </c>
      <c r="F4853" s="26" t="str">
        <f>IFERROR(VLOOKUP(G4853,WholesaleExtract!B:J,6,FALSE),"")</f>
        <v/>
      </c>
      <c r="H4853" s="47" t="str">
        <f>IFERROR(VLOOKUP(G4853,WholesaleExtract!B:L,11,FALSE),"")</f>
        <v/>
      </c>
      <c r="I4853" s="26" t="str">
        <f>IFERROR(VLOOKUP(G4853,WholesaleExtract!B:O,8,FALSE),"")</f>
        <v/>
      </c>
      <c r="J4853" s="26" t="str">
        <f>IFERROR(VLOOKUP(G4853,WholesaleExtract!B:O,14,FALSE),"")</f>
        <v/>
      </c>
      <c r="K4853" s="26" t="str">
        <f>IFERROR(VLOOKUP(G4853,WholesaleExtract!B:K,10,FALSE),"")</f>
        <v/>
      </c>
      <c r="L4853" s="47" t="str">
        <f>IFERROR(VLOOKUP(G4853,WholesaleExtract!B:L,11,FALSE),"")</f>
        <v/>
      </c>
      <c r="M4853" s="47" t="str">
        <f>IFERROR(VLOOKUP(G4853,WholesaleExtract!B:M,12,FALSE),"")</f>
        <v/>
      </c>
      <c r="R4853" s="19"/>
      <c r="S4853" s="19"/>
    </row>
    <row r="4854" spans="1:19" x14ac:dyDescent="0.35">
      <c r="A4854" s="26" t="s">
        <v>543</v>
      </c>
      <c r="B4854" s="26" t="s">
        <v>543</v>
      </c>
      <c r="C4854" s="26"/>
      <c r="D4854" s="26" t="s">
        <v>543</v>
      </c>
      <c r="E4854" s="26" t="str">
        <f>IFERROR(VLOOKUP(G4854,WholesaleExtract!B:J,9,FALSE),"")</f>
        <v/>
      </c>
      <c r="F4854" s="26" t="str">
        <f>IFERROR(VLOOKUP(G4854,WholesaleExtract!B:J,6,FALSE),"")</f>
        <v/>
      </c>
      <c r="H4854" s="47" t="str">
        <f>IFERROR(VLOOKUP(G4854,WholesaleExtract!B:L,11,FALSE),"")</f>
        <v/>
      </c>
      <c r="I4854" s="26" t="str">
        <f>IFERROR(VLOOKUP(G4854,WholesaleExtract!B:O,8,FALSE),"")</f>
        <v/>
      </c>
      <c r="J4854" s="26" t="str">
        <f>IFERROR(VLOOKUP(G4854,WholesaleExtract!B:O,14,FALSE),"")</f>
        <v/>
      </c>
      <c r="K4854" s="26" t="str">
        <f>IFERROR(VLOOKUP(G4854,WholesaleExtract!B:K,10,FALSE),"")</f>
        <v/>
      </c>
      <c r="L4854" s="47" t="str">
        <f>IFERROR(VLOOKUP(G4854,WholesaleExtract!B:L,11,FALSE),"")</f>
        <v/>
      </c>
      <c r="M4854" s="47" t="str">
        <f>IFERROR(VLOOKUP(G4854,WholesaleExtract!B:M,12,FALSE),"")</f>
        <v/>
      </c>
      <c r="R4854" s="19"/>
      <c r="S4854" s="19"/>
    </row>
    <row r="4855" spans="1:19" x14ac:dyDescent="0.35">
      <c r="A4855" s="26" t="s">
        <v>543</v>
      </c>
      <c r="B4855" s="26" t="s">
        <v>543</v>
      </c>
      <c r="C4855" s="26"/>
      <c r="D4855" s="26" t="s">
        <v>543</v>
      </c>
      <c r="E4855" s="26" t="str">
        <f>IFERROR(VLOOKUP(G4855,WholesaleExtract!B:J,9,FALSE),"")</f>
        <v/>
      </c>
      <c r="F4855" s="26" t="str">
        <f>IFERROR(VLOOKUP(G4855,WholesaleExtract!B:J,6,FALSE),"")</f>
        <v/>
      </c>
      <c r="H4855" s="47" t="str">
        <f>IFERROR(VLOOKUP(G4855,WholesaleExtract!B:L,11,FALSE),"")</f>
        <v/>
      </c>
      <c r="I4855" s="26" t="str">
        <f>IFERROR(VLOOKUP(G4855,WholesaleExtract!B:O,8,FALSE),"")</f>
        <v/>
      </c>
      <c r="J4855" s="26" t="str">
        <f>IFERROR(VLOOKUP(G4855,WholesaleExtract!B:O,14,FALSE),"")</f>
        <v/>
      </c>
      <c r="K4855" s="26" t="str">
        <f>IFERROR(VLOOKUP(G4855,WholesaleExtract!B:K,10,FALSE),"")</f>
        <v/>
      </c>
      <c r="L4855" s="47" t="str">
        <f>IFERROR(VLOOKUP(G4855,WholesaleExtract!B:L,11,FALSE),"")</f>
        <v/>
      </c>
      <c r="M4855" s="47" t="str">
        <f>IFERROR(VLOOKUP(G4855,WholesaleExtract!B:M,12,FALSE),"")</f>
        <v/>
      </c>
      <c r="R4855" s="19"/>
      <c r="S4855" s="19"/>
    </row>
    <row r="4856" spans="1:19" x14ac:dyDescent="0.35">
      <c r="A4856" s="26" t="s">
        <v>543</v>
      </c>
      <c r="B4856" s="26" t="s">
        <v>543</v>
      </c>
      <c r="C4856" s="26"/>
      <c r="D4856" s="26" t="s">
        <v>543</v>
      </c>
      <c r="E4856" s="26" t="str">
        <f>IFERROR(VLOOKUP(G4856,WholesaleExtract!B:J,9,FALSE),"")</f>
        <v/>
      </c>
      <c r="F4856" s="26" t="str">
        <f>IFERROR(VLOOKUP(G4856,WholesaleExtract!B:J,6,FALSE),"")</f>
        <v/>
      </c>
      <c r="H4856" s="47" t="str">
        <f>IFERROR(VLOOKUP(G4856,WholesaleExtract!B:L,11,FALSE),"")</f>
        <v/>
      </c>
      <c r="I4856" s="26" t="str">
        <f>IFERROR(VLOOKUP(G4856,WholesaleExtract!B:O,8,FALSE),"")</f>
        <v/>
      </c>
      <c r="J4856" s="26" t="str">
        <f>IFERROR(VLOOKUP(G4856,WholesaleExtract!B:O,14,FALSE),"")</f>
        <v/>
      </c>
      <c r="K4856" s="26" t="str">
        <f>IFERROR(VLOOKUP(G4856,WholesaleExtract!B:K,10,FALSE),"")</f>
        <v/>
      </c>
      <c r="L4856" s="47" t="str">
        <f>IFERROR(VLOOKUP(G4856,WholesaleExtract!B:L,11,FALSE),"")</f>
        <v/>
      </c>
      <c r="M4856" s="47" t="str">
        <f>IFERROR(VLOOKUP(G4856,WholesaleExtract!B:M,12,FALSE),"")</f>
        <v/>
      </c>
      <c r="R4856" s="19"/>
      <c r="S4856" s="19"/>
    </row>
    <row r="4857" spans="1:19" x14ac:dyDescent="0.35">
      <c r="A4857" s="26" t="s">
        <v>543</v>
      </c>
      <c r="B4857" s="26" t="s">
        <v>543</v>
      </c>
      <c r="C4857" s="26"/>
      <c r="D4857" s="26" t="s">
        <v>543</v>
      </c>
      <c r="E4857" s="26" t="str">
        <f>IFERROR(VLOOKUP(G4857,WholesaleExtract!B:J,9,FALSE),"")</f>
        <v/>
      </c>
      <c r="F4857" s="26" t="str">
        <f>IFERROR(VLOOKUP(G4857,WholesaleExtract!B:J,6,FALSE),"")</f>
        <v/>
      </c>
      <c r="H4857" s="47" t="str">
        <f>IFERROR(VLOOKUP(G4857,WholesaleExtract!B:L,11,FALSE),"")</f>
        <v/>
      </c>
      <c r="I4857" s="26" t="str">
        <f>IFERROR(VLOOKUP(G4857,WholesaleExtract!B:O,8,FALSE),"")</f>
        <v/>
      </c>
      <c r="J4857" s="26" t="str">
        <f>IFERROR(VLOOKUP(G4857,WholesaleExtract!B:O,14,FALSE),"")</f>
        <v/>
      </c>
      <c r="K4857" s="26" t="str">
        <f>IFERROR(VLOOKUP(G4857,WholesaleExtract!B:K,10,FALSE),"")</f>
        <v/>
      </c>
      <c r="L4857" s="47" t="str">
        <f>IFERROR(VLOOKUP(G4857,WholesaleExtract!B:L,11,FALSE),"")</f>
        <v/>
      </c>
      <c r="M4857" s="47" t="str">
        <f>IFERROR(VLOOKUP(G4857,WholesaleExtract!B:M,12,FALSE),"")</f>
        <v/>
      </c>
      <c r="R4857" s="19"/>
      <c r="S4857" s="19"/>
    </row>
    <row r="4858" spans="1:19" x14ac:dyDescent="0.35">
      <c r="A4858" s="26" t="s">
        <v>543</v>
      </c>
      <c r="B4858" s="26" t="s">
        <v>543</v>
      </c>
      <c r="C4858" s="26"/>
      <c r="D4858" s="26" t="s">
        <v>543</v>
      </c>
      <c r="E4858" s="26" t="str">
        <f>IFERROR(VLOOKUP(G4858,WholesaleExtract!B:J,9,FALSE),"")</f>
        <v/>
      </c>
      <c r="F4858" s="26" t="str">
        <f>IFERROR(VLOOKUP(G4858,WholesaleExtract!B:J,6,FALSE),"")</f>
        <v/>
      </c>
      <c r="H4858" s="47" t="str">
        <f>IFERROR(VLOOKUP(G4858,WholesaleExtract!B:L,11,FALSE),"")</f>
        <v/>
      </c>
      <c r="I4858" s="26" t="str">
        <f>IFERROR(VLOOKUP(G4858,WholesaleExtract!B:O,8,FALSE),"")</f>
        <v/>
      </c>
      <c r="J4858" s="26" t="str">
        <f>IFERROR(VLOOKUP(G4858,WholesaleExtract!B:O,14,FALSE),"")</f>
        <v/>
      </c>
      <c r="K4858" s="26" t="str">
        <f>IFERROR(VLOOKUP(G4858,WholesaleExtract!B:K,10,FALSE),"")</f>
        <v/>
      </c>
      <c r="L4858" s="47" t="str">
        <f>IFERROR(VLOOKUP(G4858,WholesaleExtract!B:L,11,FALSE),"")</f>
        <v/>
      </c>
      <c r="M4858" s="47" t="str">
        <f>IFERROR(VLOOKUP(G4858,WholesaleExtract!B:M,12,FALSE),"")</f>
        <v/>
      </c>
      <c r="R4858" s="19"/>
      <c r="S4858" s="19"/>
    </row>
    <row r="4859" spans="1:19" x14ac:dyDescent="0.35">
      <c r="A4859" s="26" t="s">
        <v>543</v>
      </c>
      <c r="B4859" s="26" t="s">
        <v>543</v>
      </c>
      <c r="C4859" s="26"/>
      <c r="D4859" s="26" t="s">
        <v>543</v>
      </c>
      <c r="E4859" s="26" t="str">
        <f>IFERROR(VLOOKUP(G4859,WholesaleExtract!B:J,9,FALSE),"")</f>
        <v/>
      </c>
      <c r="F4859" s="26" t="str">
        <f>IFERROR(VLOOKUP(G4859,WholesaleExtract!B:J,6,FALSE),"")</f>
        <v/>
      </c>
      <c r="H4859" s="47" t="str">
        <f>IFERROR(VLOOKUP(G4859,WholesaleExtract!B:L,11,FALSE),"")</f>
        <v/>
      </c>
      <c r="I4859" s="26" t="str">
        <f>IFERROR(VLOOKUP(G4859,WholesaleExtract!B:O,8,FALSE),"")</f>
        <v/>
      </c>
      <c r="J4859" s="26" t="str">
        <f>IFERROR(VLOOKUP(G4859,WholesaleExtract!B:O,14,FALSE),"")</f>
        <v/>
      </c>
      <c r="K4859" s="26" t="str">
        <f>IFERROR(VLOOKUP(G4859,WholesaleExtract!B:K,10,FALSE),"")</f>
        <v/>
      </c>
      <c r="L4859" s="47" t="str">
        <f>IFERROR(VLOOKUP(G4859,WholesaleExtract!B:L,11,FALSE),"")</f>
        <v/>
      </c>
      <c r="M4859" s="47" t="str">
        <f>IFERROR(VLOOKUP(G4859,WholesaleExtract!B:M,12,FALSE),"")</f>
        <v/>
      </c>
      <c r="R4859" s="19"/>
      <c r="S4859" s="19"/>
    </row>
    <row r="4860" spans="1:19" x14ac:dyDescent="0.35">
      <c r="A4860" s="26" t="s">
        <v>543</v>
      </c>
      <c r="B4860" s="26" t="s">
        <v>543</v>
      </c>
      <c r="C4860" s="26"/>
      <c r="D4860" s="26" t="s">
        <v>543</v>
      </c>
      <c r="E4860" s="26" t="str">
        <f>IFERROR(VLOOKUP(G4860,WholesaleExtract!B:J,9,FALSE),"")</f>
        <v/>
      </c>
      <c r="F4860" s="26" t="str">
        <f>IFERROR(VLOOKUP(G4860,WholesaleExtract!B:J,6,FALSE),"")</f>
        <v/>
      </c>
      <c r="H4860" s="47" t="str">
        <f>IFERROR(VLOOKUP(G4860,WholesaleExtract!B:L,11,FALSE),"")</f>
        <v/>
      </c>
      <c r="I4860" s="26" t="str">
        <f>IFERROR(VLOOKUP(G4860,WholesaleExtract!B:O,8,FALSE),"")</f>
        <v/>
      </c>
      <c r="J4860" s="26" t="str">
        <f>IFERROR(VLOOKUP(G4860,WholesaleExtract!B:O,14,FALSE),"")</f>
        <v/>
      </c>
      <c r="K4860" s="26" t="str">
        <f>IFERROR(VLOOKUP(G4860,WholesaleExtract!B:K,10,FALSE),"")</f>
        <v/>
      </c>
      <c r="L4860" s="47" t="str">
        <f>IFERROR(VLOOKUP(G4860,WholesaleExtract!B:L,11,FALSE),"")</f>
        <v/>
      </c>
      <c r="M4860" s="47" t="str">
        <f>IFERROR(VLOOKUP(G4860,WholesaleExtract!B:M,12,FALSE),"")</f>
        <v/>
      </c>
      <c r="R4860" s="19"/>
      <c r="S4860" s="19"/>
    </row>
    <row r="4861" spans="1:19" x14ac:dyDescent="0.35">
      <c r="A4861" s="26" t="s">
        <v>543</v>
      </c>
      <c r="B4861" s="26" t="s">
        <v>543</v>
      </c>
      <c r="C4861" s="26"/>
      <c r="D4861" s="26" t="s">
        <v>543</v>
      </c>
      <c r="E4861" s="26" t="str">
        <f>IFERROR(VLOOKUP(G4861,WholesaleExtract!B:J,9,FALSE),"")</f>
        <v/>
      </c>
      <c r="F4861" s="26" t="str">
        <f>IFERROR(VLOOKUP(G4861,WholesaleExtract!B:J,6,FALSE),"")</f>
        <v/>
      </c>
      <c r="H4861" s="47" t="str">
        <f>IFERROR(VLOOKUP(G4861,WholesaleExtract!B:L,11,FALSE),"")</f>
        <v/>
      </c>
      <c r="I4861" s="26" t="str">
        <f>IFERROR(VLOOKUP(G4861,WholesaleExtract!B:O,8,FALSE),"")</f>
        <v/>
      </c>
      <c r="J4861" s="26" t="str">
        <f>IFERROR(VLOOKUP(G4861,WholesaleExtract!B:O,14,FALSE),"")</f>
        <v/>
      </c>
      <c r="K4861" s="26" t="str">
        <f>IFERROR(VLOOKUP(G4861,WholesaleExtract!B:K,10,FALSE),"")</f>
        <v/>
      </c>
      <c r="L4861" s="47" t="str">
        <f>IFERROR(VLOOKUP(G4861,WholesaleExtract!B:L,11,FALSE),"")</f>
        <v/>
      </c>
      <c r="M4861" s="47" t="str">
        <f>IFERROR(VLOOKUP(G4861,WholesaleExtract!B:M,12,FALSE),"")</f>
        <v/>
      </c>
      <c r="R4861" s="19"/>
      <c r="S4861" s="19"/>
    </row>
    <row r="4862" spans="1:19" x14ac:dyDescent="0.35">
      <c r="A4862" s="26" t="s">
        <v>543</v>
      </c>
      <c r="B4862" s="26" t="s">
        <v>543</v>
      </c>
      <c r="C4862" s="26"/>
      <c r="D4862" s="26" t="s">
        <v>543</v>
      </c>
      <c r="E4862" s="26" t="str">
        <f>IFERROR(VLOOKUP(G4862,WholesaleExtract!B:J,9,FALSE),"")</f>
        <v/>
      </c>
      <c r="F4862" s="26" t="str">
        <f>IFERROR(VLOOKUP(G4862,WholesaleExtract!B:J,6,FALSE),"")</f>
        <v/>
      </c>
      <c r="H4862" s="47" t="str">
        <f>IFERROR(VLOOKUP(G4862,WholesaleExtract!B:L,11,FALSE),"")</f>
        <v/>
      </c>
      <c r="I4862" s="26" t="str">
        <f>IFERROR(VLOOKUP(G4862,WholesaleExtract!B:O,8,FALSE),"")</f>
        <v/>
      </c>
      <c r="J4862" s="26" t="str">
        <f>IFERROR(VLOOKUP(G4862,WholesaleExtract!B:O,14,FALSE),"")</f>
        <v/>
      </c>
      <c r="K4862" s="26" t="str">
        <f>IFERROR(VLOOKUP(G4862,WholesaleExtract!B:K,10,FALSE),"")</f>
        <v/>
      </c>
      <c r="L4862" s="47" t="str">
        <f>IFERROR(VLOOKUP(G4862,WholesaleExtract!B:L,11,FALSE),"")</f>
        <v/>
      </c>
      <c r="M4862" s="47" t="str">
        <f>IFERROR(VLOOKUP(G4862,WholesaleExtract!B:M,12,FALSE),"")</f>
        <v/>
      </c>
      <c r="R4862" s="19"/>
      <c r="S4862" s="19"/>
    </row>
    <row r="4863" spans="1:19" x14ac:dyDescent="0.35">
      <c r="A4863" s="26" t="s">
        <v>543</v>
      </c>
      <c r="B4863" s="26" t="s">
        <v>543</v>
      </c>
      <c r="C4863" s="26"/>
      <c r="D4863" s="26" t="s">
        <v>543</v>
      </c>
      <c r="E4863" s="26" t="str">
        <f>IFERROR(VLOOKUP(G4863,WholesaleExtract!B:J,9,FALSE),"")</f>
        <v/>
      </c>
      <c r="F4863" s="26" t="str">
        <f>IFERROR(VLOOKUP(G4863,WholesaleExtract!B:J,6,FALSE),"")</f>
        <v/>
      </c>
      <c r="H4863" s="47" t="str">
        <f>IFERROR(VLOOKUP(G4863,WholesaleExtract!B:L,11,FALSE),"")</f>
        <v/>
      </c>
      <c r="I4863" s="26" t="str">
        <f>IFERROR(VLOOKUP(G4863,WholesaleExtract!B:O,8,FALSE),"")</f>
        <v/>
      </c>
      <c r="J4863" s="26" t="str">
        <f>IFERROR(VLOOKUP(G4863,WholesaleExtract!B:O,14,FALSE),"")</f>
        <v/>
      </c>
      <c r="K4863" s="26" t="str">
        <f>IFERROR(VLOOKUP(G4863,WholesaleExtract!B:K,10,FALSE),"")</f>
        <v/>
      </c>
      <c r="L4863" s="47" t="str">
        <f>IFERROR(VLOOKUP(G4863,WholesaleExtract!B:L,11,FALSE),"")</f>
        <v/>
      </c>
      <c r="M4863" s="47" t="str">
        <f>IFERROR(VLOOKUP(G4863,WholesaleExtract!B:M,12,FALSE),"")</f>
        <v/>
      </c>
      <c r="R4863" s="19"/>
      <c r="S4863" s="19"/>
    </row>
    <row r="4864" spans="1:19" x14ac:dyDescent="0.35">
      <c r="A4864" s="26" t="s">
        <v>543</v>
      </c>
      <c r="B4864" s="26" t="s">
        <v>543</v>
      </c>
      <c r="C4864" s="26"/>
      <c r="D4864" s="26" t="s">
        <v>543</v>
      </c>
      <c r="E4864" s="26" t="str">
        <f>IFERROR(VLOOKUP(G4864,WholesaleExtract!B:J,9,FALSE),"")</f>
        <v/>
      </c>
      <c r="F4864" s="26" t="str">
        <f>IFERROR(VLOOKUP(G4864,WholesaleExtract!B:J,6,FALSE),"")</f>
        <v/>
      </c>
      <c r="H4864" s="47" t="str">
        <f>IFERROR(VLOOKUP(G4864,WholesaleExtract!B:L,11,FALSE),"")</f>
        <v/>
      </c>
      <c r="I4864" s="26" t="str">
        <f>IFERROR(VLOOKUP(G4864,WholesaleExtract!B:O,8,FALSE),"")</f>
        <v/>
      </c>
      <c r="J4864" s="26" t="str">
        <f>IFERROR(VLOOKUP(G4864,WholesaleExtract!B:O,14,FALSE),"")</f>
        <v/>
      </c>
      <c r="K4864" s="26" t="str">
        <f>IFERROR(VLOOKUP(G4864,WholesaleExtract!B:K,10,FALSE),"")</f>
        <v/>
      </c>
      <c r="L4864" s="47" t="str">
        <f>IFERROR(VLOOKUP(G4864,WholesaleExtract!B:L,11,FALSE),"")</f>
        <v/>
      </c>
      <c r="M4864" s="47" t="str">
        <f>IFERROR(VLOOKUP(G4864,WholesaleExtract!B:M,12,FALSE),"")</f>
        <v/>
      </c>
      <c r="R4864" s="19"/>
      <c r="S4864" s="19"/>
    </row>
    <row r="4865" spans="1:19" x14ac:dyDescent="0.35">
      <c r="A4865" s="26" t="s">
        <v>543</v>
      </c>
      <c r="B4865" s="26" t="s">
        <v>543</v>
      </c>
      <c r="C4865" s="26"/>
      <c r="D4865" s="26" t="s">
        <v>543</v>
      </c>
      <c r="E4865" s="26" t="str">
        <f>IFERROR(VLOOKUP(G4865,WholesaleExtract!B:J,9,FALSE),"")</f>
        <v/>
      </c>
      <c r="F4865" s="26" t="str">
        <f>IFERROR(VLOOKUP(G4865,WholesaleExtract!B:J,6,FALSE),"")</f>
        <v/>
      </c>
      <c r="H4865" s="47" t="str">
        <f>IFERROR(VLOOKUP(G4865,WholesaleExtract!B:L,11,FALSE),"")</f>
        <v/>
      </c>
      <c r="I4865" s="26" t="str">
        <f>IFERROR(VLOOKUP(G4865,WholesaleExtract!B:O,8,FALSE),"")</f>
        <v/>
      </c>
      <c r="J4865" s="26" t="str">
        <f>IFERROR(VLOOKUP(G4865,WholesaleExtract!B:O,14,FALSE),"")</f>
        <v/>
      </c>
      <c r="K4865" s="26" t="str">
        <f>IFERROR(VLOOKUP(G4865,WholesaleExtract!B:K,10,FALSE),"")</f>
        <v/>
      </c>
      <c r="L4865" s="47" t="str">
        <f>IFERROR(VLOOKUP(G4865,WholesaleExtract!B:L,11,FALSE),"")</f>
        <v/>
      </c>
      <c r="M4865" s="47" t="str">
        <f>IFERROR(VLOOKUP(G4865,WholesaleExtract!B:M,12,FALSE),"")</f>
        <v/>
      </c>
      <c r="R4865" s="19"/>
      <c r="S4865" s="19"/>
    </row>
    <row r="4866" spans="1:19" x14ac:dyDescent="0.35">
      <c r="A4866" s="26" t="s">
        <v>543</v>
      </c>
      <c r="B4866" s="26" t="s">
        <v>543</v>
      </c>
      <c r="C4866" s="26"/>
      <c r="D4866" s="26" t="s">
        <v>543</v>
      </c>
      <c r="E4866" s="26" t="str">
        <f>IFERROR(VLOOKUP(G4866,WholesaleExtract!B:J,9,FALSE),"")</f>
        <v/>
      </c>
      <c r="F4866" s="26" t="str">
        <f>IFERROR(VLOOKUP(G4866,WholesaleExtract!B:J,6,FALSE),"")</f>
        <v/>
      </c>
      <c r="H4866" s="47" t="str">
        <f>IFERROR(VLOOKUP(G4866,WholesaleExtract!B:L,11,FALSE),"")</f>
        <v/>
      </c>
      <c r="I4866" s="26" t="str">
        <f>IFERROR(VLOOKUP(G4866,WholesaleExtract!B:O,8,FALSE),"")</f>
        <v/>
      </c>
      <c r="J4866" s="26" t="str">
        <f>IFERROR(VLOOKUP(G4866,WholesaleExtract!B:O,14,FALSE),"")</f>
        <v/>
      </c>
      <c r="K4866" s="26" t="str">
        <f>IFERROR(VLOOKUP(G4866,WholesaleExtract!B:K,10,FALSE),"")</f>
        <v/>
      </c>
      <c r="L4866" s="47" t="str">
        <f>IFERROR(VLOOKUP(G4866,WholesaleExtract!B:L,11,FALSE),"")</f>
        <v/>
      </c>
      <c r="M4866" s="47" t="str">
        <f>IFERROR(VLOOKUP(G4866,WholesaleExtract!B:M,12,FALSE),"")</f>
        <v/>
      </c>
      <c r="R4866" s="19"/>
      <c r="S4866" s="19"/>
    </row>
    <row r="4867" spans="1:19" x14ac:dyDescent="0.35">
      <c r="A4867" s="26" t="s">
        <v>543</v>
      </c>
      <c r="B4867" s="26" t="s">
        <v>543</v>
      </c>
      <c r="C4867" s="26"/>
      <c r="D4867" s="26" t="s">
        <v>543</v>
      </c>
      <c r="E4867" s="26" t="str">
        <f>IFERROR(VLOOKUP(G4867,WholesaleExtract!B:J,9,FALSE),"")</f>
        <v/>
      </c>
      <c r="F4867" s="26" t="str">
        <f>IFERROR(VLOOKUP(G4867,WholesaleExtract!B:J,6,FALSE),"")</f>
        <v/>
      </c>
      <c r="H4867" s="47" t="str">
        <f>IFERROR(VLOOKUP(G4867,WholesaleExtract!B:L,11,FALSE),"")</f>
        <v/>
      </c>
      <c r="I4867" s="26" t="str">
        <f>IFERROR(VLOOKUP(G4867,WholesaleExtract!B:O,8,FALSE),"")</f>
        <v/>
      </c>
      <c r="J4867" s="26" t="str">
        <f>IFERROR(VLOOKUP(G4867,WholesaleExtract!B:O,14,FALSE),"")</f>
        <v/>
      </c>
      <c r="K4867" s="26" t="str">
        <f>IFERROR(VLOOKUP(G4867,WholesaleExtract!B:K,10,FALSE),"")</f>
        <v/>
      </c>
      <c r="L4867" s="47" t="str">
        <f>IFERROR(VLOOKUP(G4867,WholesaleExtract!B:L,11,FALSE),"")</f>
        <v/>
      </c>
      <c r="M4867" s="47" t="str">
        <f>IFERROR(VLOOKUP(G4867,WholesaleExtract!B:M,12,FALSE),"")</f>
        <v/>
      </c>
      <c r="R4867" s="19"/>
      <c r="S4867" s="19"/>
    </row>
    <row r="4868" spans="1:19" x14ac:dyDescent="0.35">
      <c r="A4868" s="26" t="s">
        <v>543</v>
      </c>
      <c r="B4868" s="26" t="s">
        <v>543</v>
      </c>
      <c r="C4868" s="26"/>
      <c r="D4868" s="26" t="s">
        <v>543</v>
      </c>
      <c r="E4868" s="26" t="str">
        <f>IFERROR(VLOOKUP(G4868,WholesaleExtract!B:J,9,FALSE),"")</f>
        <v/>
      </c>
      <c r="F4868" s="26" t="str">
        <f>IFERROR(VLOOKUP(G4868,WholesaleExtract!B:J,6,FALSE),"")</f>
        <v/>
      </c>
      <c r="H4868" s="47" t="str">
        <f>IFERROR(VLOOKUP(G4868,WholesaleExtract!B:L,11,FALSE),"")</f>
        <v/>
      </c>
      <c r="I4868" s="26" t="str">
        <f>IFERROR(VLOOKUP(G4868,WholesaleExtract!B:O,8,FALSE),"")</f>
        <v/>
      </c>
      <c r="J4868" s="26" t="str">
        <f>IFERROR(VLOOKUP(G4868,WholesaleExtract!B:O,14,FALSE),"")</f>
        <v/>
      </c>
      <c r="K4868" s="26" t="str">
        <f>IFERROR(VLOOKUP(G4868,WholesaleExtract!B:K,10,FALSE),"")</f>
        <v/>
      </c>
      <c r="L4868" s="47" t="str">
        <f>IFERROR(VLOOKUP(G4868,WholesaleExtract!B:L,11,FALSE),"")</f>
        <v/>
      </c>
      <c r="M4868" s="47" t="str">
        <f>IFERROR(VLOOKUP(G4868,WholesaleExtract!B:M,12,FALSE),"")</f>
        <v/>
      </c>
      <c r="R4868" s="19"/>
      <c r="S4868" s="19"/>
    </row>
    <row r="4869" spans="1:19" x14ac:dyDescent="0.35">
      <c r="A4869" s="26" t="s">
        <v>543</v>
      </c>
      <c r="B4869" s="26" t="s">
        <v>543</v>
      </c>
      <c r="C4869" s="26"/>
      <c r="D4869" s="26" t="s">
        <v>543</v>
      </c>
      <c r="E4869" s="26" t="str">
        <f>IFERROR(VLOOKUP(G4869,WholesaleExtract!B:J,9,FALSE),"")</f>
        <v/>
      </c>
      <c r="F4869" s="26" t="str">
        <f>IFERROR(VLOOKUP(G4869,WholesaleExtract!B:J,6,FALSE),"")</f>
        <v/>
      </c>
      <c r="H4869" s="47" t="str">
        <f>IFERROR(VLOOKUP(G4869,WholesaleExtract!B:L,11,FALSE),"")</f>
        <v/>
      </c>
      <c r="I4869" s="26" t="str">
        <f>IFERROR(VLOOKUP(G4869,WholesaleExtract!B:O,8,FALSE),"")</f>
        <v/>
      </c>
      <c r="J4869" s="26" t="str">
        <f>IFERROR(VLOOKUP(G4869,WholesaleExtract!B:O,14,FALSE),"")</f>
        <v/>
      </c>
      <c r="K4869" s="26" t="str">
        <f>IFERROR(VLOOKUP(G4869,WholesaleExtract!B:K,10,FALSE),"")</f>
        <v/>
      </c>
      <c r="L4869" s="47" t="str">
        <f>IFERROR(VLOOKUP(G4869,WholesaleExtract!B:L,11,FALSE),"")</f>
        <v/>
      </c>
      <c r="M4869" s="47" t="str">
        <f>IFERROR(VLOOKUP(G4869,WholesaleExtract!B:M,12,FALSE),"")</f>
        <v/>
      </c>
      <c r="R4869" s="19"/>
      <c r="S4869" s="19"/>
    </row>
    <row r="4870" spans="1:19" x14ac:dyDescent="0.35">
      <c r="A4870" s="26" t="s">
        <v>543</v>
      </c>
      <c r="B4870" s="26" t="s">
        <v>543</v>
      </c>
      <c r="C4870" s="26"/>
      <c r="D4870" s="26" t="s">
        <v>543</v>
      </c>
      <c r="E4870" s="26" t="str">
        <f>IFERROR(VLOOKUP(G4870,WholesaleExtract!B:J,9,FALSE),"")</f>
        <v/>
      </c>
      <c r="F4870" s="26" t="str">
        <f>IFERROR(VLOOKUP(G4870,WholesaleExtract!B:J,6,FALSE),"")</f>
        <v/>
      </c>
      <c r="H4870" s="47" t="str">
        <f>IFERROR(VLOOKUP(G4870,WholesaleExtract!B:L,11,FALSE),"")</f>
        <v/>
      </c>
      <c r="I4870" s="26" t="str">
        <f>IFERROR(VLOOKUP(G4870,WholesaleExtract!B:O,8,FALSE),"")</f>
        <v/>
      </c>
      <c r="J4870" s="26" t="str">
        <f>IFERROR(VLOOKUP(G4870,WholesaleExtract!B:O,14,FALSE),"")</f>
        <v/>
      </c>
      <c r="K4870" s="26" t="str">
        <f>IFERROR(VLOOKUP(G4870,WholesaleExtract!B:K,10,FALSE),"")</f>
        <v/>
      </c>
      <c r="L4870" s="47" t="str">
        <f>IFERROR(VLOOKUP(G4870,WholesaleExtract!B:L,11,FALSE),"")</f>
        <v/>
      </c>
      <c r="M4870" s="47" t="str">
        <f>IFERROR(VLOOKUP(G4870,WholesaleExtract!B:M,12,FALSE),"")</f>
        <v/>
      </c>
      <c r="R4870" s="19"/>
      <c r="S4870" s="19"/>
    </row>
    <row r="4871" spans="1:19" x14ac:dyDescent="0.35">
      <c r="A4871" s="26" t="s">
        <v>543</v>
      </c>
      <c r="B4871" s="26" t="s">
        <v>543</v>
      </c>
      <c r="C4871" s="26"/>
      <c r="D4871" s="26" t="s">
        <v>543</v>
      </c>
      <c r="E4871" s="26" t="str">
        <f>IFERROR(VLOOKUP(G4871,WholesaleExtract!B:J,9,FALSE),"")</f>
        <v/>
      </c>
      <c r="F4871" s="26" t="str">
        <f>IFERROR(VLOOKUP(G4871,WholesaleExtract!B:J,6,FALSE),"")</f>
        <v/>
      </c>
      <c r="H4871" s="47" t="str">
        <f>IFERROR(VLOOKUP(G4871,WholesaleExtract!B:L,11,FALSE),"")</f>
        <v/>
      </c>
      <c r="I4871" s="26" t="str">
        <f>IFERROR(VLOOKUP(G4871,WholesaleExtract!B:O,8,FALSE),"")</f>
        <v/>
      </c>
      <c r="J4871" s="26" t="str">
        <f>IFERROR(VLOOKUP(G4871,WholesaleExtract!B:O,14,FALSE),"")</f>
        <v/>
      </c>
      <c r="K4871" s="26" t="str">
        <f>IFERROR(VLOOKUP(G4871,WholesaleExtract!B:K,10,FALSE),"")</f>
        <v/>
      </c>
      <c r="L4871" s="47" t="str">
        <f>IFERROR(VLOOKUP(G4871,WholesaleExtract!B:L,11,FALSE),"")</f>
        <v/>
      </c>
      <c r="M4871" s="47" t="str">
        <f>IFERROR(VLOOKUP(G4871,WholesaleExtract!B:M,12,FALSE),"")</f>
        <v/>
      </c>
      <c r="R4871" s="19"/>
      <c r="S4871" s="19"/>
    </row>
    <row r="4872" spans="1:19" x14ac:dyDescent="0.35">
      <c r="A4872" s="26" t="s">
        <v>543</v>
      </c>
      <c r="B4872" s="26" t="s">
        <v>543</v>
      </c>
      <c r="C4872" s="26"/>
      <c r="D4872" s="26" t="s">
        <v>543</v>
      </c>
      <c r="E4872" s="26" t="str">
        <f>IFERROR(VLOOKUP(G4872,WholesaleExtract!B:J,9,FALSE),"")</f>
        <v/>
      </c>
      <c r="F4872" s="26" t="str">
        <f>IFERROR(VLOOKUP(G4872,WholesaleExtract!B:J,6,FALSE),"")</f>
        <v/>
      </c>
      <c r="H4872" s="47" t="str">
        <f>IFERROR(VLOOKUP(G4872,WholesaleExtract!B:L,11,FALSE),"")</f>
        <v/>
      </c>
      <c r="I4872" s="26" t="str">
        <f>IFERROR(VLOOKUP(G4872,WholesaleExtract!B:O,8,FALSE),"")</f>
        <v/>
      </c>
      <c r="J4872" s="26" t="str">
        <f>IFERROR(VLOOKUP(G4872,WholesaleExtract!B:O,14,FALSE),"")</f>
        <v/>
      </c>
      <c r="K4872" s="26" t="str">
        <f>IFERROR(VLOOKUP(G4872,WholesaleExtract!B:K,10,FALSE),"")</f>
        <v/>
      </c>
      <c r="L4872" s="47" t="str">
        <f>IFERROR(VLOOKUP(G4872,WholesaleExtract!B:L,11,FALSE),"")</f>
        <v/>
      </c>
      <c r="M4872" s="47" t="str">
        <f>IFERROR(VLOOKUP(G4872,WholesaleExtract!B:M,12,FALSE),"")</f>
        <v/>
      </c>
      <c r="R4872" s="19"/>
      <c r="S4872" s="19"/>
    </row>
    <row r="4873" spans="1:19" x14ac:dyDescent="0.35">
      <c r="A4873" s="26" t="s">
        <v>543</v>
      </c>
      <c r="B4873" s="26" t="s">
        <v>543</v>
      </c>
      <c r="C4873" s="26"/>
      <c r="D4873" s="26" t="s">
        <v>543</v>
      </c>
      <c r="E4873" s="26" t="str">
        <f>IFERROR(VLOOKUP(G4873,WholesaleExtract!B:J,9,FALSE),"")</f>
        <v/>
      </c>
      <c r="F4873" s="26" t="str">
        <f>IFERROR(VLOOKUP(G4873,WholesaleExtract!B:J,6,FALSE),"")</f>
        <v/>
      </c>
      <c r="H4873" s="47" t="str">
        <f>IFERROR(VLOOKUP(G4873,WholesaleExtract!B:L,11,FALSE),"")</f>
        <v/>
      </c>
      <c r="I4873" s="26" t="str">
        <f>IFERROR(VLOOKUP(G4873,WholesaleExtract!B:O,8,FALSE),"")</f>
        <v/>
      </c>
      <c r="J4873" s="26" t="str">
        <f>IFERROR(VLOOKUP(G4873,WholesaleExtract!B:O,14,FALSE),"")</f>
        <v/>
      </c>
      <c r="K4873" s="26" t="str">
        <f>IFERROR(VLOOKUP(G4873,WholesaleExtract!B:K,10,FALSE),"")</f>
        <v/>
      </c>
      <c r="L4873" s="47" t="str">
        <f>IFERROR(VLOOKUP(G4873,WholesaleExtract!B:L,11,FALSE),"")</f>
        <v/>
      </c>
      <c r="M4873" s="47" t="str">
        <f>IFERROR(VLOOKUP(G4873,WholesaleExtract!B:M,12,FALSE),"")</f>
        <v/>
      </c>
      <c r="R4873" s="19"/>
      <c r="S4873" s="19"/>
    </row>
    <row r="4874" spans="1:19" x14ac:dyDescent="0.35">
      <c r="A4874" s="26" t="s">
        <v>543</v>
      </c>
      <c r="B4874" s="26" t="s">
        <v>543</v>
      </c>
      <c r="C4874" s="26"/>
      <c r="D4874" s="26" t="s">
        <v>543</v>
      </c>
      <c r="E4874" s="26" t="str">
        <f>IFERROR(VLOOKUP(G4874,WholesaleExtract!B:J,9,FALSE),"")</f>
        <v/>
      </c>
      <c r="F4874" s="26" t="str">
        <f>IFERROR(VLOOKUP(G4874,WholesaleExtract!B:J,6,FALSE),"")</f>
        <v/>
      </c>
      <c r="H4874" s="47" t="str">
        <f>IFERROR(VLOOKUP(G4874,WholesaleExtract!B:L,11,FALSE),"")</f>
        <v/>
      </c>
      <c r="I4874" s="26" t="str">
        <f>IFERROR(VLOOKUP(G4874,WholesaleExtract!B:O,8,FALSE),"")</f>
        <v/>
      </c>
      <c r="J4874" s="26" t="str">
        <f>IFERROR(VLOOKUP(G4874,WholesaleExtract!B:O,14,FALSE),"")</f>
        <v/>
      </c>
      <c r="K4874" s="26" t="str">
        <f>IFERROR(VLOOKUP(G4874,WholesaleExtract!B:K,10,FALSE),"")</f>
        <v/>
      </c>
      <c r="L4874" s="47" t="str">
        <f>IFERROR(VLOOKUP(G4874,WholesaleExtract!B:L,11,FALSE),"")</f>
        <v/>
      </c>
      <c r="M4874" s="47" t="str">
        <f>IFERROR(VLOOKUP(G4874,WholesaleExtract!B:M,12,FALSE),"")</f>
        <v/>
      </c>
      <c r="R4874" s="19"/>
      <c r="S4874" s="19"/>
    </row>
    <row r="4875" spans="1:19" x14ac:dyDescent="0.35">
      <c r="A4875" s="26" t="s">
        <v>543</v>
      </c>
      <c r="B4875" s="26" t="s">
        <v>543</v>
      </c>
      <c r="C4875" s="26"/>
      <c r="D4875" s="26" t="s">
        <v>543</v>
      </c>
      <c r="E4875" s="26" t="str">
        <f>IFERROR(VLOOKUP(G4875,WholesaleExtract!B:J,9,FALSE),"")</f>
        <v/>
      </c>
      <c r="F4875" s="26" t="str">
        <f>IFERROR(VLOOKUP(G4875,WholesaleExtract!B:J,6,FALSE),"")</f>
        <v/>
      </c>
      <c r="H4875" s="47" t="str">
        <f>IFERROR(VLOOKUP(G4875,WholesaleExtract!B:L,11,FALSE),"")</f>
        <v/>
      </c>
      <c r="I4875" s="26" t="str">
        <f>IFERROR(VLOOKUP(G4875,WholesaleExtract!B:O,8,FALSE),"")</f>
        <v/>
      </c>
      <c r="J4875" s="26" t="str">
        <f>IFERROR(VLOOKUP(G4875,WholesaleExtract!B:O,14,FALSE),"")</f>
        <v/>
      </c>
      <c r="K4875" s="26" t="str">
        <f>IFERROR(VLOOKUP(G4875,WholesaleExtract!B:K,10,FALSE),"")</f>
        <v/>
      </c>
      <c r="L4875" s="47" t="str">
        <f>IFERROR(VLOOKUP(G4875,WholesaleExtract!B:L,11,FALSE),"")</f>
        <v/>
      </c>
      <c r="M4875" s="47" t="str">
        <f>IFERROR(VLOOKUP(G4875,WholesaleExtract!B:M,12,FALSE),"")</f>
        <v/>
      </c>
      <c r="R4875" s="19"/>
      <c r="S4875" s="19"/>
    </row>
    <row r="4876" spans="1:19" x14ac:dyDescent="0.35">
      <c r="A4876" s="26" t="s">
        <v>543</v>
      </c>
      <c r="B4876" s="26" t="s">
        <v>543</v>
      </c>
      <c r="C4876" s="26"/>
      <c r="D4876" s="26" t="s">
        <v>543</v>
      </c>
      <c r="E4876" s="26" t="str">
        <f>IFERROR(VLOOKUP(G4876,WholesaleExtract!B:J,9,FALSE),"")</f>
        <v/>
      </c>
      <c r="F4876" s="26" t="str">
        <f>IFERROR(VLOOKUP(G4876,WholesaleExtract!B:J,6,FALSE),"")</f>
        <v/>
      </c>
      <c r="H4876" s="47" t="str">
        <f>IFERROR(VLOOKUP(G4876,WholesaleExtract!B:L,11,FALSE),"")</f>
        <v/>
      </c>
      <c r="I4876" s="26" t="str">
        <f>IFERROR(VLOOKUP(G4876,WholesaleExtract!B:O,8,FALSE),"")</f>
        <v/>
      </c>
      <c r="J4876" s="26" t="str">
        <f>IFERROR(VLOOKUP(G4876,WholesaleExtract!B:O,14,FALSE),"")</f>
        <v/>
      </c>
      <c r="K4876" s="26" t="str">
        <f>IFERROR(VLOOKUP(G4876,WholesaleExtract!B:K,10,FALSE),"")</f>
        <v/>
      </c>
      <c r="L4876" s="47" t="str">
        <f>IFERROR(VLOOKUP(G4876,WholesaleExtract!B:L,11,FALSE),"")</f>
        <v/>
      </c>
      <c r="M4876" s="47" t="str">
        <f>IFERROR(VLOOKUP(G4876,WholesaleExtract!B:M,12,FALSE),"")</f>
        <v/>
      </c>
      <c r="R4876" s="19"/>
      <c r="S4876" s="19"/>
    </row>
    <row r="4877" spans="1:19" x14ac:dyDescent="0.35">
      <c r="A4877" s="26" t="s">
        <v>543</v>
      </c>
      <c r="B4877" s="26" t="s">
        <v>543</v>
      </c>
      <c r="C4877" s="26"/>
      <c r="D4877" s="26" t="s">
        <v>543</v>
      </c>
      <c r="E4877" s="26" t="str">
        <f>IFERROR(VLOOKUP(G4877,WholesaleExtract!B:J,9,FALSE),"")</f>
        <v/>
      </c>
      <c r="F4877" s="26" t="str">
        <f>IFERROR(VLOOKUP(G4877,WholesaleExtract!B:J,6,FALSE),"")</f>
        <v/>
      </c>
      <c r="H4877" s="47" t="str">
        <f>IFERROR(VLOOKUP(G4877,WholesaleExtract!B:L,11,FALSE),"")</f>
        <v/>
      </c>
      <c r="I4877" s="26" t="str">
        <f>IFERROR(VLOOKUP(G4877,WholesaleExtract!B:O,8,FALSE),"")</f>
        <v/>
      </c>
      <c r="J4877" s="26" t="str">
        <f>IFERROR(VLOOKUP(G4877,WholesaleExtract!B:O,14,FALSE),"")</f>
        <v/>
      </c>
      <c r="K4877" s="26" t="str">
        <f>IFERROR(VLOOKUP(G4877,WholesaleExtract!B:K,10,FALSE),"")</f>
        <v/>
      </c>
      <c r="L4877" s="47" t="str">
        <f>IFERROR(VLOOKUP(G4877,WholesaleExtract!B:L,11,FALSE),"")</f>
        <v/>
      </c>
      <c r="M4877" s="47" t="str">
        <f>IFERROR(VLOOKUP(G4877,WholesaleExtract!B:M,12,FALSE),"")</f>
        <v/>
      </c>
      <c r="R4877" s="19"/>
      <c r="S4877" s="19"/>
    </row>
    <row r="4878" spans="1:19" x14ac:dyDescent="0.35">
      <c r="A4878" s="26" t="s">
        <v>543</v>
      </c>
      <c r="B4878" s="26" t="s">
        <v>543</v>
      </c>
      <c r="C4878" s="26"/>
      <c r="D4878" s="26" t="s">
        <v>543</v>
      </c>
      <c r="E4878" s="26" t="str">
        <f>IFERROR(VLOOKUP(G4878,WholesaleExtract!B:J,9,FALSE),"")</f>
        <v/>
      </c>
      <c r="F4878" s="26" t="str">
        <f>IFERROR(VLOOKUP(G4878,WholesaleExtract!B:J,6,FALSE),"")</f>
        <v/>
      </c>
      <c r="H4878" s="47" t="str">
        <f>IFERROR(VLOOKUP(G4878,WholesaleExtract!B:L,11,FALSE),"")</f>
        <v/>
      </c>
      <c r="I4878" s="26" t="str">
        <f>IFERROR(VLOOKUP(G4878,WholesaleExtract!B:O,8,FALSE),"")</f>
        <v/>
      </c>
      <c r="J4878" s="26" t="str">
        <f>IFERROR(VLOOKUP(G4878,WholesaleExtract!B:O,14,FALSE),"")</f>
        <v/>
      </c>
      <c r="K4878" s="26" t="str">
        <f>IFERROR(VLOOKUP(G4878,WholesaleExtract!B:K,10,FALSE),"")</f>
        <v/>
      </c>
      <c r="L4878" s="47" t="str">
        <f>IFERROR(VLOOKUP(G4878,WholesaleExtract!B:L,11,FALSE),"")</f>
        <v/>
      </c>
      <c r="M4878" s="47" t="str">
        <f>IFERROR(VLOOKUP(G4878,WholesaleExtract!B:M,12,FALSE),"")</f>
        <v/>
      </c>
      <c r="R4878" s="19"/>
      <c r="S4878" s="19"/>
    </row>
    <row r="4879" spans="1:19" x14ac:dyDescent="0.35">
      <c r="A4879" s="26" t="s">
        <v>543</v>
      </c>
      <c r="B4879" s="26" t="s">
        <v>543</v>
      </c>
      <c r="C4879" s="26"/>
      <c r="D4879" s="26" t="s">
        <v>543</v>
      </c>
      <c r="E4879" s="26" t="str">
        <f>IFERROR(VLOOKUP(G4879,WholesaleExtract!B:J,9,FALSE),"")</f>
        <v/>
      </c>
      <c r="F4879" s="26" t="str">
        <f>IFERROR(VLOOKUP(G4879,WholesaleExtract!B:J,6,FALSE),"")</f>
        <v/>
      </c>
      <c r="H4879" s="47" t="str">
        <f>IFERROR(VLOOKUP(G4879,WholesaleExtract!B:L,11,FALSE),"")</f>
        <v/>
      </c>
      <c r="I4879" s="26" t="str">
        <f>IFERROR(VLOOKUP(G4879,WholesaleExtract!B:O,8,FALSE),"")</f>
        <v/>
      </c>
      <c r="J4879" s="26" t="str">
        <f>IFERROR(VLOOKUP(G4879,WholesaleExtract!B:O,14,FALSE),"")</f>
        <v/>
      </c>
      <c r="K4879" s="26" t="str">
        <f>IFERROR(VLOOKUP(G4879,WholesaleExtract!B:K,10,FALSE),"")</f>
        <v/>
      </c>
      <c r="L4879" s="47" t="str">
        <f>IFERROR(VLOOKUP(G4879,WholesaleExtract!B:L,11,FALSE),"")</f>
        <v/>
      </c>
      <c r="M4879" s="47" t="str">
        <f>IFERROR(VLOOKUP(G4879,WholesaleExtract!B:M,12,FALSE),"")</f>
        <v/>
      </c>
      <c r="R4879" s="19"/>
      <c r="S4879" s="19"/>
    </row>
    <row r="4880" spans="1:19" x14ac:dyDescent="0.35">
      <c r="A4880" s="26" t="s">
        <v>543</v>
      </c>
      <c r="B4880" s="26" t="s">
        <v>543</v>
      </c>
      <c r="C4880" s="26"/>
      <c r="D4880" s="26" t="s">
        <v>543</v>
      </c>
      <c r="E4880" s="26" t="str">
        <f>IFERROR(VLOOKUP(G4880,WholesaleExtract!B:J,9,FALSE),"")</f>
        <v/>
      </c>
      <c r="F4880" s="26" t="str">
        <f>IFERROR(VLOOKUP(G4880,WholesaleExtract!B:J,6,FALSE),"")</f>
        <v/>
      </c>
      <c r="H4880" s="47" t="str">
        <f>IFERROR(VLOOKUP(G4880,WholesaleExtract!B:L,11,FALSE),"")</f>
        <v/>
      </c>
      <c r="I4880" s="26" t="str">
        <f>IFERROR(VLOOKUP(G4880,WholesaleExtract!B:O,8,FALSE),"")</f>
        <v/>
      </c>
      <c r="J4880" s="26" t="str">
        <f>IFERROR(VLOOKUP(G4880,WholesaleExtract!B:O,14,FALSE),"")</f>
        <v/>
      </c>
      <c r="K4880" s="26" t="str">
        <f>IFERROR(VLOOKUP(G4880,WholesaleExtract!B:K,10,FALSE),"")</f>
        <v/>
      </c>
      <c r="L4880" s="47" t="str">
        <f>IFERROR(VLOOKUP(G4880,WholesaleExtract!B:L,11,FALSE),"")</f>
        <v/>
      </c>
      <c r="M4880" s="47" t="str">
        <f>IFERROR(VLOOKUP(G4880,WholesaleExtract!B:M,12,FALSE),"")</f>
        <v/>
      </c>
      <c r="R4880" s="19"/>
      <c r="S4880" s="19"/>
    </row>
    <row r="4881" spans="1:19" x14ac:dyDescent="0.35">
      <c r="A4881" s="26" t="s">
        <v>543</v>
      </c>
      <c r="B4881" s="26" t="s">
        <v>543</v>
      </c>
      <c r="C4881" s="26"/>
      <c r="D4881" s="26" t="s">
        <v>543</v>
      </c>
      <c r="E4881" s="26" t="str">
        <f>IFERROR(VLOOKUP(G4881,WholesaleExtract!B:J,9,FALSE),"")</f>
        <v/>
      </c>
      <c r="F4881" s="26" t="str">
        <f>IFERROR(VLOOKUP(G4881,WholesaleExtract!B:J,6,FALSE),"")</f>
        <v/>
      </c>
      <c r="H4881" s="47" t="str">
        <f>IFERROR(VLOOKUP(G4881,WholesaleExtract!B:L,11,FALSE),"")</f>
        <v/>
      </c>
      <c r="I4881" s="26" t="str">
        <f>IFERROR(VLOOKUP(G4881,WholesaleExtract!B:O,8,FALSE),"")</f>
        <v/>
      </c>
      <c r="J4881" s="26" t="str">
        <f>IFERROR(VLOOKUP(G4881,WholesaleExtract!B:O,14,FALSE),"")</f>
        <v/>
      </c>
      <c r="K4881" s="26" t="str">
        <f>IFERROR(VLOOKUP(G4881,WholesaleExtract!B:K,10,FALSE),"")</f>
        <v/>
      </c>
      <c r="L4881" s="47" t="str">
        <f>IFERROR(VLOOKUP(G4881,WholesaleExtract!B:L,11,FALSE),"")</f>
        <v/>
      </c>
      <c r="M4881" s="47" t="str">
        <f>IFERROR(VLOOKUP(G4881,WholesaleExtract!B:M,12,FALSE),"")</f>
        <v/>
      </c>
      <c r="R4881" s="19"/>
      <c r="S4881" s="19"/>
    </row>
    <row r="4882" spans="1:19" x14ac:dyDescent="0.35">
      <c r="A4882" s="26" t="s">
        <v>543</v>
      </c>
      <c r="B4882" s="26" t="s">
        <v>543</v>
      </c>
      <c r="C4882" s="26"/>
      <c r="D4882" s="26" t="s">
        <v>543</v>
      </c>
      <c r="E4882" s="26" t="str">
        <f>IFERROR(VLOOKUP(G4882,WholesaleExtract!B:J,9,FALSE),"")</f>
        <v/>
      </c>
      <c r="F4882" s="26" t="str">
        <f>IFERROR(VLOOKUP(G4882,WholesaleExtract!B:J,6,FALSE),"")</f>
        <v/>
      </c>
      <c r="H4882" s="47" t="str">
        <f>IFERROR(VLOOKUP(G4882,WholesaleExtract!B:L,11,FALSE),"")</f>
        <v/>
      </c>
      <c r="I4882" s="26" t="str">
        <f>IFERROR(VLOOKUP(G4882,WholesaleExtract!B:O,8,FALSE),"")</f>
        <v/>
      </c>
      <c r="J4882" s="26" t="str">
        <f>IFERROR(VLOOKUP(G4882,WholesaleExtract!B:O,14,FALSE),"")</f>
        <v/>
      </c>
      <c r="K4882" s="26" t="str">
        <f>IFERROR(VLOOKUP(G4882,WholesaleExtract!B:K,10,FALSE),"")</f>
        <v/>
      </c>
      <c r="L4882" s="47" t="str">
        <f>IFERROR(VLOOKUP(G4882,WholesaleExtract!B:L,11,FALSE),"")</f>
        <v/>
      </c>
      <c r="M4882" s="47" t="str">
        <f>IFERROR(VLOOKUP(G4882,WholesaleExtract!B:M,12,FALSE),"")</f>
        <v/>
      </c>
      <c r="R4882" s="19"/>
      <c r="S4882" s="19"/>
    </row>
    <row r="4883" spans="1:19" x14ac:dyDescent="0.35">
      <c r="A4883" s="26" t="s">
        <v>543</v>
      </c>
      <c r="B4883" s="26" t="s">
        <v>543</v>
      </c>
      <c r="C4883" s="26"/>
      <c r="D4883" s="26" t="s">
        <v>543</v>
      </c>
      <c r="E4883" s="26" t="str">
        <f>IFERROR(VLOOKUP(G4883,WholesaleExtract!B:J,9,FALSE),"")</f>
        <v/>
      </c>
      <c r="F4883" s="26" t="str">
        <f>IFERROR(VLOOKUP(G4883,WholesaleExtract!B:J,6,FALSE),"")</f>
        <v/>
      </c>
      <c r="H4883" s="47" t="str">
        <f>IFERROR(VLOOKUP(G4883,WholesaleExtract!B:L,11,FALSE),"")</f>
        <v/>
      </c>
      <c r="I4883" s="26" t="str">
        <f>IFERROR(VLOOKUP(G4883,WholesaleExtract!B:O,8,FALSE),"")</f>
        <v/>
      </c>
      <c r="J4883" s="26" t="str">
        <f>IFERROR(VLOOKUP(G4883,WholesaleExtract!B:O,14,FALSE),"")</f>
        <v/>
      </c>
      <c r="K4883" s="26" t="str">
        <f>IFERROR(VLOOKUP(G4883,WholesaleExtract!B:K,10,FALSE),"")</f>
        <v/>
      </c>
      <c r="L4883" s="47" t="str">
        <f>IFERROR(VLOOKUP(G4883,WholesaleExtract!B:L,11,FALSE),"")</f>
        <v/>
      </c>
      <c r="M4883" s="47" t="str">
        <f>IFERROR(VLOOKUP(G4883,WholesaleExtract!B:M,12,FALSE),"")</f>
        <v/>
      </c>
      <c r="R4883" s="19"/>
      <c r="S4883" s="19"/>
    </row>
    <row r="4884" spans="1:19" x14ac:dyDescent="0.35">
      <c r="A4884" s="26" t="s">
        <v>543</v>
      </c>
      <c r="B4884" s="26" t="s">
        <v>543</v>
      </c>
      <c r="C4884" s="26"/>
      <c r="D4884" s="26" t="s">
        <v>543</v>
      </c>
      <c r="E4884" s="26" t="str">
        <f>IFERROR(VLOOKUP(G4884,WholesaleExtract!B:J,9,FALSE),"")</f>
        <v/>
      </c>
      <c r="F4884" s="26" t="str">
        <f>IFERROR(VLOOKUP(G4884,WholesaleExtract!B:J,6,FALSE),"")</f>
        <v/>
      </c>
      <c r="H4884" s="47" t="str">
        <f>IFERROR(VLOOKUP(G4884,WholesaleExtract!B:L,11,FALSE),"")</f>
        <v/>
      </c>
      <c r="I4884" s="26" t="str">
        <f>IFERROR(VLOOKUP(G4884,WholesaleExtract!B:O,8,FALSE),"")</f>
        <v/>
      </c>
      <c r="J4884" s="26" t="str">
        <f>IFERROR(VLOOKUP(G4884,WholesaleExtract!B:O,14,FALSE),"")</f>
        <v/>
      </c>
      <c r="K4884" s="26" t="str">
        <f>IFERROR(VLOOKUP(G4884,WholesaleExtract!B:K,10,FALSE),"")</f>
        <v/>
      </c>
      <c r="L4884" s="47" t="str">
        <f>IFERROR(VLOOKUP(G4884,WholesaleExtract!B:L,11,FALSE),"")</f>
        <v/>
      </c>
      <c r="M4884" s="47" t="str">
        <f>IFERROR(VLOOKUP(G4884,WholesaleExtract!B:M,12,FALSE),"")</f>
        <v/>
      </c>
      <c r="R4884" s="19"/>
      <c r="S4884" s="19"/>
    </row>
    <row r="4885" spans="1:19" x14ac:dyDescent="0.35">
      <c r="A4885" s="26" t="s">
        <v>543</v>
      </c>
      <c r="B4885" s="26" t="s">
        <v>543</v>
      </c>
      <c r="C4885" s="26"/>
      <c r="D4885" s="26" t="s">
        <v>543</v>
      </c>
      <c r="E4885" s="26" t="str">
        <f>IFERROR(VLOOKUP(G4885,WholesaleExtract!B:J,9,FALSE),"")</f>
        <v/>
      </c>
      <c r="F4885" s="26" t="str">
        <f>IFERROR(VLOOKUP(G4885,WholesaleExtract!B:J,6,FALSE),"")</f>
        <v/>
      </c>
      <c r="H4885" s="47" t="str">
        <f>IFERROR(VLOOKUP(G4885,WholesaleExtract!B:L,11,FALSE),"")</f>
        <v/>
      </c>
      <c r="I4885" s="26" t="str">
        <f>IFERROR(VLOOKUP(G4885,WholesaleExtract!B:O,8,FALSE),"")</f>
        <v/>
      </c>
      <c r="J4885" s="26" t="str">
        <f>IFERROR(VLOOKUP(G4885,WholesaleExtract!B:O,14,FALSE),"")</f>
        <v/>
      </c>
      <c r="K4885" s="26" t="str">
        <f>IFERROR(VLOOKUP(G4885,WholesaleExtract!B:K,10,FALSE),"")</f>
        <v/>
      </c>
      <c r="L4885" s="47" t="str">
        <f>IFERROR(VLOOKUP(G4885,WholesaleExtract!B:L,11,FALSE),"")</f>
        <v/>
      </c>
      <c r="M4885" s="47" t="str">
        <f>IFERROR(VLOOKUP(G4885,WholesaleExtract!B:M,12,FALSE),"")</f>
        <v/>
      </c>
      <c r="R4885" s="19"/>
      <c r="S4885" s="19"/>
    </row>
    <row r="4886" spans="1:19" x14ac:dyDescent="0.35">
      <c r="A4886" s="26" t="s">
        <v>543</v>
      </c>
      <c r="B4886" s="26" t="s">
        <v>543</v>
      </c>
      <c r="C4886" s="26"/>
      <c r="D4886" s="26" t="s">
        <v>543</v>
      </c>
      <c r="E4886" s="26" t="str">
        <f>IFERROR(VLOOKUP(G4886,WholesaleExtract!B:J,9,FALSE),"")</f>
        <v/>
      </c>
      <c r="F4886" s="26" t="str">
        <f>IFERROR(VLOOKUP(G4886,WholesaleExtract!B:J,6,FALSE),"")</f>
        <v/>
      </c>
      <c r="H4886" s="47" t="str">
        <f>IFERROR(VLOOKUP(G4886,WholesaleExtract!B:L,11,FALSE),"")</f>
        <v/>
      </c>
      <c r="I4886" s="26" t="str">
        <f>IFERROR(VLOOKUP(G4886,WholesaleExtract!B:O,8,FALSE),"")</f>
        <v/>
      </c>
      <c r="J4886" s="26" t="str">
        <f>IFERROR(VLOOKUP(G4886,WholesaleExtract!B:O,14,FALSE),"")</f>
        <v/>
      </c>
      <c r="K4886" s="26" t="str">
        <f>IFERROR(VLOOKUP(G4886,WholesaleExtract!B:K,10,FALSE),"")</f>
        <v/>
      </c>
      <c r="L4886" s="47" t="str">
        <f>IFERROR(VLOOKUP(G4886,WholesaleExtract!B:L,11,FALSE),"")</f>
        <v/>
      </c>
      <c r="M4886" s="47" t="str">
        <f>IFERROR(VLOOKUP(G4886,WholesaleExtract!B:M,12,FALSE),"")</f>
        <v/>
      </c>
      <c r="R4886" s="19"/>
      <c r="S4886" s="19"/>
    </row>
    <row r="4887" spans="1:19" x14ac:dyDescent="0.35">
      <c r="A4887" s="26" t="s">
        <v>543</v>
      </c>
      <c r="B4887" s="26" t="s">
        <v>543</v>
      </c>
      <c r="C4887" s="26"/>
      <c r="D4887" s="26" t="s">
        <v>543</v>
      </c>
      <c r="E4887" s="26" t="str">
        <f>IFERROR(VLOOKUP(G4887,WholesaleExtract!B:J,9,FALSE),"")</f>
        <v/>
      </c>
      <c r="F4887" s="26" t="str">
        <f>IFERROR(VLOOKUP(G4887,WholesaleExtract!B:J,6,FALSE),"")</f>
        <v/>
      </c>
      <c r="H4887" s="47" t="str">
        <f>IFERROR(VLOOKUP(G4887,WholesaleExtract!B:L,11,FALSE),"")</f>
        <v/>
      </c>
      <c r="I4887" s="26" t="str">
        <f>IFERROR(VLOOKUP(G4887,WholesaleExtract!B:O,8,FALSE),"")</f>
        <v/>
      </c>
      <c r="J4887" s="26" t="str">
        <f>IFERROR(VLOOKUP(G4887,WholesaleExtract!B:O,14,FALSE),"")</f>
        <v/>
      </c>
      <c r="K4887" s="26" t="str">
        <f>IFERROR(VLOOKUP(G4887,WholesaleExtract!B:K,10,FALSE),"")</f>
        <v/>
      </c>
      <c r="L4887" s="47" t="str">
        <f>IFERROR(VLOOKUP(G4887,WholesaleExtract!B:L,11,FALSE),"")</f>
        <v/>
      </c>
      <c r="M4887" s="47" t="str">
        <f>IFERROR(VLOOKUP(G4887,WholesaleExtract!B:M,12,FALSE),"")</f>
        <v/>
      </c>
      <c r="R4887" s="19"/>
      <c r="S4887" s="19"/>
    </row>
    <row r="4888" spans="1:19" x14ac:dyDescent="0.35">
      <c r="A4888" s="26" t="s">
        <v>543</v>
      </c>
      <c r="B4888" s="26" t="s">
        <v>543</v>
      </c>
      <c r="C4888" s="26"/>
      <c r="D4888" s="26" t="s">
        <v>543</v>
      </c>
      <c r="E4888" s="26" t="str">
        <f>IFERROR(VLOOKUP(G4888,WholesaleExtract!B:J,9,FALSE),"")</f>
        <v/>
      </c>
      <c r="F4888" s="26" t="str">
        <f>IFERROR(VLOOKUP(G4888,WholesaleExtract!B:J,6,FALSE),"")</f>
        <v/>
      </c>
      <c r="H4888" s="47" t="str">
        <f>IFERROR(VLOOKUP(G4888,WholesaleExtract!B:L,11,FALSE),"")</f>
        <v/>
      </c>
      <c r="I4888" s="26" t="str">
        <f>IFERROR(VLOOKUP(G4888,WholesaleExtract!B:O,8,FALSE),"")</f>
        <v/>
      </c>
      <c r="J4888" s="26" t="str">
        <f>IFERROR(VLOOKUP(G4888,WholesaleExtract!B:O,14,FALSE),"")</f>
        <v/>
      </c>
      <c r="K4888" s="26" t="str">
        <f>IFERROR(VLOOKUP(G4888,WholesaleExtract!B:K,10,FALSE),"")</f>
        <v/>
      </c>
      <c r="L4888" s="47" t="str">
        <f>IFERROR(VLOOKUP(G4888,WholesaleExtract!B:L,11,FALSE),"")</f>
        <v/>
      </c>
      <c r="M4888" s="47" t="str">
        <f>IFERROR(VLOOKUP(G4888,WholesaleExtract!B:M,12,FALSE),"")</f>
        <v/>
      </c>
      <c r="R4888" s="19"/>
      <c r="S4888" s="19"/>
    </row>
    <row r="4889" spans="1:19" x14ac:dyDescent="0.35">
      <c r="A4889" s="26" t="s">
        <v>543</v>
      </c>
      <c r="B4889" s="26" t="s">
        <v>543</v>
      </c>
      <c r="C4889" s="26"/>
      <c r="D4889" s="26" t="s">
        <v>543</v>
      </c>
      <c r="E4889" s="26" t="str">
        <f>IFERROR(VLOOKUP(G4889,WholesaleExtract!B:J,9,FALSE),"")</f>
        <v/>
      </c>
      <c r="F4889" s="26" t="str">
        <f>IFERROR(VLOOKUP(G4889,WholesaleExtract!B:J,6,FALSE),"")</f>
        <v/>
      </c>
      <c r="H4889" s="47" t="str">
        <f>IFERROR(VLOOKUP(G4889,WholesaleExtract!B:L,11,FALSE),"")</f>
        <v/>
      </c>
      <c r="I4889" s="26" t="str">
        <f>IFERROR(VLOOKUP(G4889,WholesaleExtract!B:O,8,FALSE),"")</f>
        <v/>
      </c>
      <c r="J4889" s="26" t="str">
        <f>IFERROR(VLOOKUP(G4889,WholesaleExtract!B:O,14,FALSE),"")</f>
        <v/>
      </c>
      <c r="K4889" s="26" t="str">
        <f>IFERROR(VLOOKUP(G4889,WholesaleExtract!B:K,10,FALSE),"")</f>
        <v/>
      </c>
      <c r="L4889" s="47" t="str">
        <f>IFERROR(VLOOKUP(G4889,WholesaleExtract!B:L,11,FALSE),"")</f>
        <v/>
      </c>
      <c r="M4889" s="47" t="str">
        <f>IFERROR(VLOOKUP(G4889,WholesaleExtract!B:M,12,FALSE),"")</f>
        <v/>
      </c>
      <c r="R4889" s="19"/>
      <c r="S4889" s="19"/>
    </row>
    <row r="4890" spans="1:19" x14ac:dyDescent="0.35">
      <c r="A4890" s="26" t="s">
        <v>543</v>
      </c>
      <c r="B4890" s="26" t="s">
        <v>543</v>
      </c>
      <c r="C4890" s="26"/>
      <c r="D4890" s="26" t="s">
        <v>543</v>
      </c>
      <c r="E4890" s="26" t="str">
        <f>IFERROR(VLOOKUP(G4890,WholesaleExtract!B:J,9,FALSE),"")</f>
        <v/>
      </c>
      <c r="F4890" s="26" t="str">
        <f>IFERROR(VLOOKUP(G4890,WholesaleExtract!B:J,6,FALSE),"")</f>
        <v/>
      </c>
      <c r="H4890" s="47" t="str">
        <f>IFERROR(VLOOKUP(G4890,WholesaleExtract!B:L,11,FALSE),"")</f>
        <v/>
      </c>
      <c r="I4890" s="26" t="str">
        <f>IFERROR(VLOOKUP(G4890,WholesaleExtract!B:O,8,FALSE),"")</f>
        <v/>
      </c>
      <c r="J4890" s="26" t="str">
        <f>IFERROR(VLOOKUP(G4890,WholesaleExtract!B:O,14,FALSE),"")</f>
        <v/>
      </c>
      <c r="K4890" s="26" t="str">
        <f>IFERROR(VLOOKUP(G4890,WholesaleExtract!B:K,10,FALSE),"")</f>
        <v/>
      </c>
      <c r="L4890" s="47" t="str">
        <f>IFERROR(VLOOKUP(G4890,WholesaleExtract!B:L,11,FALSE),"")</f>
        <v/>
      </c>
      <c r="M4890" s="47" t="str">
        <f>IFERROR(VLOOKUP(G4890,WholesaleExtract!B:M,12,FALSE),"")</f>
        <v/>
      </c>
      <c r="R4890" s="19"/>
      <c r="S4890" s="19"/>
    </row>
    <row r="4891" spans="1:19" x14ac:dyDescent="0.35">
      <c r="A4891" s="26" t="s">
        <v>543</v>
      </c>
      <c r="B4891" s="26" t="s">
        <v>543</v>
      </c>
      <c r="C4891" s="26"/>
      <c r="D4891" s="26" t="s">
        <v>543</v>
      </c>
      <c r="E4891" s="26" t="str">
        <f>IFERROR(VLOOKUP(G4891,WholesaleExtract!B:J,9,FALSE),"")</f>
        <v/>
      </c>
      <c r="F4891" s="26" t="str">
        <f>IFERROR(VLOOKUP(G4891,WholesaleExtract!B:J,6,FALSE),"")</f>
        <v/>
      </c>
      <c r="H4891" s="47" t="str">
        <f>IFERROR(VLOOKUP(G4891,WholesaleExtract!B:L,11,FALSE),"")</f>
        <v/>
      </c>
      <c r="I4891" s="26" t="str">
        <f>IFERROR(VLOOKUP(G4891,WholesaleExtract!B:O,8,FALSE),"")</f>
        <v/>
      </c>
      <c r="J4891" s="26" t="str">
        <f>IFERROR(VLOOKUP(G4891,WholesaleExtract!B:O,14,FALSE),"")</f>
        <v/>
      </c>
      <c r="K4891" s="26" t="str">
        <f>IFERROR(VLOOKUP(G4891,WholesaleExtract!B:K,10,FALSE),"")</f>
        <v/>
      </c>
      <c r="L4891" s="47" t="str">
        <f>IFERROR(VLOOKUP(G4891,WholesaleExtract!B:L,11,FALSE),"")</f>
        <v/>
      </c>
      <c r="M4891" s="47" t="str">
        <f>IFERROR(VLOOKUP(G4891,WholesaleExtract!B:M,12,FALSE),"")</f>
        <v/>
      </c>
      <c r="R4891" s="19"/>
      <c r="S4891" s="19"/>
    </row>
    <row r="4892" spans="1:19" x14ac:dyDescent="0.35">
      <c r="A4892" s="26" t="s">
        <v>543</v>
      </c>
      <c r="B4892" s="26" t="s">
        <v>543</v>
      </c>
      <c r="C4892" s="26"/>
      <c r="D4892" s="26" t="s">
        <v>543</v>
      </c>
      <c r="E4892" s="26" t="str">
        <f>IFERROR(VLOOKUP(G4892,WholesaleExtract!B:J,9,FALSE),"")</f>
        <v/>
      </c>
      <c r="F4892" s="26" t="str">
        <f>IFERROR(VLOOKUP(G4892,WholesaleExtract!B:J,6,FALSE),"")</f>
        <v/>
      </c>
      <c r="H4892" s="47" t="str">
        <f>IFERROR(VLOOKUP(G4892,WholesaleExtract!B:L,11,FALSE),"")</f>
        <v/>
      </c>
      <c r="I4892" s="26" t="str">
        <f>IFERROR(VLOOKUP(G4892,WholesaleExtract!B:O,8,FALSE),"")</f>
        <v/>
      </c>
      <c r="J4892" s="26" t="str">
        <f>IFERROR(VLOOKUP(G4892,WholesaleExtract!B:O,14,FALSE),"")</f>
        <v/>
      </c>
      <c r="K4892" s="26" t="str">
        <f>IFERROR(VLOOKUP(G4892,WholesaleExtract!B:K,10,FALSE),"")</f>
        <v/>
      </c>
      <c r="L4892" s="47" t="str">
        <f>IFERROR(VLOOKUP(G4892,WholesaleExtract!B:L,11,FALSE),"")</f>
        <v/>
      </c>
      <c r="M4892" s="47" t="str">
        <f>IFERROR(VLOOKUP(G4892,WholesaleExtract!B:M,12,FALSE),"")</f>
        <v/>
      </c>
      <c r="R4892" s="19"/>
      <c r="S4892" s="19"/>
    </row>
    <row r="4893" spans="1:19" x14ac:dyDescent="0.35">
      <c r="A4893" s="26" t="s">
        <v>543</v>
      </c>
      <c r="B4893" s="26" t="s">
        <v>543</v>
      </c>
      <c r="C4893" s="26"/>
      <c r="D4893" s="26" t="s">
        <v>543</v>
      </c>
      <c r="E4893" s="26" t="str">
        <f>IFERROR(VLOOKUP(G4893,WholesaleExtract!B:J,9,FALSE),"")</f>
        <v/>
      </c>
      <c r="F4893" s="26" t="str">
        <f>IFERROR(VLOOKUP(G4893,WholesaleExtract!B:J,6,FALSE),"")</f>
        <v/>
      </c>
      <c r="H4893" s="47" t="str">
        <f>IFERROR(VLOOKUP(G4893,WholesaleExtract!B:L,11,FALSE),"")</f>
        <v/>
      </c>
      <c r="I4893" s="26" t="str">
        <f>IFERROR(VLOOKUP(G4893,WholesaleExtract!B:O,8,FALSE),"")</f>
        <v/>
      </c>
      <c r="J4893" s="26" t="str">
        <f>IFERROR(VLOOKUP(G4893,WholesaleExtract!B:O,14,FALSE),"")</f>
        <v/>
      </c>
      <c r="K4893" s="26" t="str">
        <f>IFERROR(VLOOKUP(G4893,WholesaleExtract!B:K,10,FALSE),"")</f>
        <v/>
      </c>
      <c r="L4893" s="47" t="str">
        <f>IFERROR(VLOOKUP(G4893,WholesaleExtract!B:L,11,FALSE),"")</f>
        <v/>
      </c>
      <c r="M4893" s="47" t="str">
        <f>IFERROR(VLOOKUP(G4893,WholesaleExtract!B:M,12,FALSE),"")</f>
        <v/>
      </c>
      <c r="R4893" s="19"/>
      <c r="S4893" s="19"/>
    </row>
    <row r="4894" spans="1:19" x14ac:dyDescent="0.35">
      <c r="A4894" s="26" t="s">
        <v>543</v>
      </c>
      <c r="B4894" s="26" t="s">
        <v>543</v>
      </c>
      <c r="C4894" s="26"/>
      <c r="D4894" s="26" t="s">
        <v>543</v>
      </c>
      <c r="E4894" s="26" t="str">
        <f>IFERROR(VLOOKUP(G4894,WholesaleExtract!B:J,9,FALSE),"")</f>
        <v/>
      </c>
      <c r="F4894" s="26" t="str">
        <f>IFERROR(VLOOKUP(G4894,WholesaleExtract!B:J,6,FALSE),"")</f>
        <v/>
      </c>
      <c r="H4894" s="47" t="str">
        <f>IFERROR(VLOOKUP(G4894,WholesaleExtract!B:L,11,FALSE),"")</f>
        <v/>
      </c>
      <c r="I4894" s="26" t="str">
        <f>IFERROR(VLOOKUP(G4894,WholesaleExtract!B:O,8,FALSE),"")</f>
        <v/>
      </c>
      <c r="J4894" s="26" t="str">
        <f>IFERROR(VLOOKUP(G4894,WholesaleExtract!B:O,14,FALSE),"")</f>
        <v/>
      </c>
      <c r="K4894" s="26" t="str">
        <f>IFERROR(VLOOKUP(G4894,WholesaleExtract!B:K,10,FALSE),"")</f>
        <v/>
      </c>
      <c r="L4894" s="47" t="str">
        <f>IFERROR(VLOOKUP(G4894,WholesaleExtract!B:L,11,FALSE),"")</f>
        <v/>
      </c>
      <c r="M4894" s="47" t="str">
        <f>IFERROR(VLOOKUP(G4894,WholesaleExtract!B:M,12,FALSE),"")</f>
        <v/>
      </c>
      <c r="R4894" s="19"/>
      <c r="S4894" s="19"/>
    </row>
    <row r="4895" spans="1:19" x14ac:dyDescent="0.35">
      <c r="A4895" s="26" t="s">
        <v>543</v>
      </c>
      <c r="B4895" s="26" t="s">
        <v>543</v>
      </c>
      <c r="C4895" s="26"/>
      <c r="D4895" s="26" t="s">
        <v>543</v>
      </c>
      <c r="E4895" s="26" t="str">
        <f>IFERROR(VLOOKUP(G4895,WholesaleExtract!B:J,9,FALSE),"")</f>
        <v/>
      </c>
      <c r="F4895" s="26" t="str">
        <f>IFERROR(VLOOKUP(G4895,WholesaleExtract!B:J,6,FALSE),"")</f>
        <v/>
      </c>
      <c r="H4895" s="47" t="str">
        <f>IFERROR(VLOOKUP(G4895,WholesaleExtract!B:L,11,FALSE),"")</f>
        <v/>
      </c>
      <c r="I4895" s="26" t="str">
        <f>IFERROR(VLOOKUP(G4895,WholesaleExtract!B:O,8,FALSE),"")</f>
        <v/>
      </c>
      <c r="J4895" s="26" t="str">
        <f>IFERROR(VLOOKUP(G4895,WholesaleExtract!B:O,14,FALSE),"")</f>
        <v/>
      </c>
      <c r="K4895" s="26" t="str">
        <f>IFERROR(VLOOKUP(G4895,WholesaleExtract!B:K,10,FALSE),"")</f>
        <v/>
      </c>
      <c r="L4895" s="47" t="str">
        <f>IFERROR(VLOOKUP(G4895,WholesaleExtract!B:L,11,FALSE),"")</f>
        <v/>
      </c>
      <c r="M4895" s="47" t="str">
        <f>IFERROR(VLOOKUP(G4895,WholesaleExtract!B:M,12,FALSE),"")</f>
        <v/>
      </c>
      <c r="R4895" s="19"/>
      <c r="S4895" s="19"/>
    </row>
    <row r="4896" spans="1:19" x14ac:dyDescent="0.35">
      <c r="A4896" s="26" t="s">
        <v>543</v>
      </c>
      <c r="B4896" s="26" t="s">
        <v>543</v>
      </c>
      <c r="C4896" s="26"/>
      <c r="D4896" s="26" t="s">
        <v>543</v>
      </c>
      <c r="E4896" s="26" t="str">
        <f>IFERROR(VLOOKUP(G4896,WholesaleExtract!B:J,9,FALSE),"")</f>
        <v/>
      </c>
      <c r="F4896" s="26" t="str">
        <f>IFERROR(VLOOKUP(G4896,WholesaleExtract!B:J,6,FALSE),"")</f>
        <v/>
      </c>
      <c r="H4896" s="47" t="str">
        <f>IFERROR(VLOOKUP(G4896,WholesaleExtract!B:L,11,FALSE),"")</f>
        <v/>
      </c>
      <c r="I4896" s="26" t="str">
        <f>IFERROR(VLOOKUP(G4896,WholesaleExtract!B:O,8,FALSE),"")</f>
        <v/>
      </c>
      <c r="J4896" s="26" t="str">
        <f>IFERROR(VLOOKUP(G4896,WholesaleExtract!B:O,14,FALSE),"")</f>
        <v/>
      </c>
      <c r="K4896" s="26" t="str">
        <f>IFERROR(VLOOKUP(G4896,WholesaleExtract!B:K,10,FALSE),"")</f>
        <v/>
      </c>
      <c r="L4896" s="47" t="str">
        <f>IFERROR(VLOOKUP(G4896,WholesaleExtract!B:L,11,FALSE),"")</f>
        <v/>
      </c>
      <c r="M4896" s="47" t="str">
        <f>IFERROR(VLOOKUP(G4896,WholesaleExtract!B:M,12,FALSE),"")</f>
        <v/>
      </c>
      <c r="R4896" s="19"/>
      <c r="S4896" s="19"/>
    </row>
    <row r="4897" spans="1:19" x14ac:dyDescent="0.35">
      <c r="A4897" s="26" t="s">
        <v>543</v>
      </c>
      <c r="B4897" s="26" t="s">
        <v>543</v>
      </c>
      <c r="C4897" s="26"/>
      <c r="D4897" s="26" t="s">
        <v>543</v>
      </c>
      <c r="E4897" s="26" t="str">
        <f>IFERROR(VLOOKUP(G4897,WholesaleExtract!B:J,9,FALSE),"")</f>
        <v/>
      </c>
      <c r="F4897" s="26" t="str">
        <f>IFERROR(VLOOKUP(G4897,WholesaleExtract!B:J,6,FALSE),"")</f>
        <v/>
      </c>
      <c r="H4897" s="47" t="str">
        <f>IFERROR(VLOOKUP(G4897,WholesaleExtract!B:L,11,FALSE),"")</f>
        <v/>
      </c>
      <c r="I4897" s="26" t="str">
        <f>IFERROR(VLOOKUP(G4897,WholesaleExtract!B:O,8,FALSE),"")</f>
        <v/>
      </c>
      <c r="J4897" s="26" t="str">
        <f>IFERROR(VLOOKUP(G4897,WholesaleExtract!B:O,14,FALSE),"")</f>
        <v/>
      </c>
      <c r="K4897" s="26" t="str">
        <f>IFERROR(VLOOKUP(G4897,WholesaleExtract!B:K,10,FALSE),"")</f>
        <v/>
      </c>
      <c r="L4897" s="47" t="str">
        <f>IFERROR(VLOOKUP(G4897,WholesaleExtract!B:L,11,FALSE),"")</f>
        <v/>
      </c>
      <c r="M4897" s="47" t="str">
        <f>IFERROR(VLOOKUP(G4897,WholesaleExtract!B:M,12,FALSE),"")</f>
        <v/>
      </c>
      <c r="R4897" s="19"/>
      <c r="S4897" s="19"/>
    </row>
    <row r="4898" spans="1:19" x14ac:dyDescent="0.35">
      <c r="A4898" s="26" t="s">
        <v>543</v>
      </c>
      <c r="B4898" s="26" t="s">
        <v>543</v>
      </c>
      <c r="C4898" s="26"/>
      <c r="D4898" s="26" t="s">
        <v>543</v>
      </c>
      <c r="E4898" s="26" t="str">
        <f>IFERROR(VLOOKUP(G4898,WholesaleExtract!B:J,9,FALSE),"")</f>
        <v/>
      </c>
      <c r="F4898" s="26" t="str">
        <f>IFERROR(VLOOKUP(G4898,WholesaleExtract!B:J,6,FALSE),"")</f>
        <v/>
      </c>
      <c r="H4898" s="47" t="str">
        <f>IFERROR(VLOOKUP(G4898,WholesaleExtract!B:L,11,FALSE),"")</f>
        <v/>
      </c>
      <c r="I4898" s="26" t="str">
        <f>IFERROR(VLOOKUP(G4898,WholesaleExtract!B:O,8,FALSE),"")</f>
        <v/>
      </c>
      <c r="J4898" s="26" t="str">
        <f>IFERROR(VLOOKUP(G4898,WholesaleExtract!B:O,14,FALSE),"")</f>
        <v/>
      </c>
      <c r="K4898" s="26" t="str">
        <f>IFERROR(VLOOKUP(G4898,WholesaleExtract!B:K,10,FALSE),"")</f>
        <v/>
      </c>
      <c r="L4898" s="47" t="str">
        <f>IFERROR(VLOOKUP(G4898,WholesaleExtract!B:L,11,FALSE),"")</f>
        <v/>
      </c>
      <c r="M4898" s="47" t="str">
        <f>IFERROR(VLOOKUP(G4898,WholesaleExtract!B:M,12,FALSE),"")</f>
        <v/>
      </c>
      <c r="R4898" s="19"/>
      <c r="S4898" s="19"/>
    </row>
    <row r="4899" spans="1:19" x14ac:dyDescent="0.35">
      <c r="A4899" s="26" t="s">
        <v>543</v>
      </c>
      <c r="B4899" s="26" t="s">
        <v>543</v>
      </c>
      <c r="C4899" s="26"/>
      <c r="D4899" s="26" t="s">
        <v>543</v>
      </c>
      <c r="E4899" s="26" t="str">
        <f>IFERROR(VLOOKUP(G4899,WholesaleExtract!B:J,9,FALSE),"")</f>
        <v/>
      </c>
      <c r="F4899" s="26" t="str">
        <f>IFERROR(VLOOKUP(G4899,WholesaleExtract!B:J,6,FALSE),"")</f>
        <v/>
      </c>
      <c r="H4899" s="47" t="str">
        <f>IFERROR(VLOOKUP(G4899,WholesaleExtract!B:L,11,FALSE),"")</f>
        <v/>
      </c>
      <c r="I4899" s="26" t="str">
        <f>IFERROR(VLOOKUP(G4899,WholesaleExtract!B:O,8,FALSE),"")</f>
        <v/>
      </c>
      <c r="J4899" s="26" t="str">
        <f>IFERROR(VLOOKUP(G4899,WholesaleExtract!B:O,14,FALSE),"")</f>
        <v/>
      </c>
      <c r="K4899" s="26" t="str">
        <f>IFERROR(VLOOKUP(G4899,WholesaleExtract!B:K,10,FALSE),"")</f>
        <v/>
      </c>
      <c r="L4899" s="47" t="str">
        <f>IFERROR(VLOOKUP(G4899,WholesaleExtract!B:L,11,FALSE),"")</f>
        <v/>
      </c>
      <c r="M4899" s="47" t="str">
        <f>IFERROR(VLOOKUP(G4899,WholesaleExtract!B:M,12,FALSE),"")</f>
        <v/>
      </c>
      <c r="R4899" s="19"/>
      <c r="S4899" s="19"/>
    </row>
    <row r="4900" spans="1:19" x14ac:dyDescent="0.35">
      <c r="A4900" s="26" t="s">
        <v>543</v>
      </c>
      <c r="B4900" s="26" t="s">
        <v>543</v>
      </c>
      <c r="C4900" s="26"/>
      <c r="D4900" s="26" t="s">
        <v>543</v>
      </c>
      <c r="E4900" s="26" t="str">
        <f>IFERROR(VLOOKUP(G4900,WholesaleExtract!B:J,9,FALSE),"")</f>
        <v/>
      </c>
      <c r="F4900" s="26" t="str">
        <f>IFERROR(VLOOKUP(G4900,WholesaleExtract!B:J,6,FALSE),"")</f>
        <v/>
      </c>
      <c r="H4900" s="47" t="str">
        <f>IFERROR(VLOOKUP(G4900,WholesaleExtract!B:L,11,FALSE),"")</f>
        <v/>
      </c>
      <c r="I4900" s="26" t="str">
        <f>IFERROR(VLOOKUP(G4900,WholesaleExtract!B:O,8,FALSE),"")</f>
        <v/>
      </c>
      <c r="J4900" s="26" t="str">
        <f>IFERROR(VLOOKUP(G4900,WholesaleExtract!B:O,14,FALSE),"")</f>
        <v/>
      </c>
      <c r="K4900" s="26" t="str">
        <f>IFERROR(VLOOKUP(G4900,WholesaleExtract!B:K,10,FALSE),"")</f>
        <v/>
      </c>
      <c r="L4900" s="47" t="str">
        <f>IFERROR(VLOOKUP(G4900,WholesaleExtract!B:L,11,FALSE),"")</f>
        <v/>
      </c>
      <c r="M4900" s="47" t="str">
        <f>IFERROR(VLOOKUP(G4900,WholesaleExtract!B:M,12,FALSE),"")</f>
        <v/>
      </c>
      <c r="R4900" s="19"/>
      <c r="S4900" s="19"/>
    </row>
    <row r="4901" spans="1:19" x14ac:dyDescent="0.35">
      <c r="A4901" s="26" t="s">
        <v>543</v>
      </c>
      <c r="B4901" s="26" t="s">
        <v>543</v>
      </c>
      <c r="C4901" s="26"/>
      <c r="D4901" s="26" t="s">
        <v>543</v>
      </c>
      <c r="E4901" s="26" t="str">
        <f>IFERROR(VLOOKUP(G4901,WholesaleExtract!B:J,9,FALSE),"")</f>
        <v/>
      </c>
      <c r="F4901" s="26" t="str">
        <f>IFERROR(VLOOKUP(G4901,WholesaleExtract!B:J,6,FALSE),"")</f>
        <v/>
      </c>
      <c r="H4901" s="47" t="str">
        <f>IFERROR(VLOOKUP(G4901,WholesaleExtract!B:L,11,FALSE),"")</f>
        <v/>
      </c>
      <c r="I4901" s="26" t="str">
        <f>IFERROR(VLOOKUP(G4901,WholesaleExtract!B:O,8,FALSE),"")</f>
        <v/>
      </c>
      <c r="J4901" s="26" t="str">
        <f>IFERROR(VLOOKUP(G4901,WholesaleExtract!B:O,14,FALSE),"")</f>
        <v/>
      </c>
      <c r="K4901" s="26" t="str">
        <f>IFERROR(VLOOKUP(G4901,WholesaleExtract!B:K,10,FALSE),"")</f>
        <v/>
      </c>
      <c r="L4901" s="47" t="str">
        <f>IFERROR(VLOOKUP(G4901,WholesaleExtract!B:L,11,FALSE),"")</f>
        <v/>
      </c>
      <c r="M4901" s="47" t="str">
        <f>IFERROR(VLOOKUP(G4901,WholesaleExtract!B:M,12,FALSE),"")</f>
        <v/>
      </c>
      <c r="R4901" s="19"/>
      <c r="S4901" s="19"/>
    </row>
    <row r="4902" spans="1:19" x14ac:dyDescent="0.35">
      <c r="A4902" s="26" t="s">
        <v>543</v>
      </c>
      <c r="B4902" s="26" t="s">
        <v>543</v>
      </c>
      <c r="C4902" s="26"/>
      <c r="D4902" s="26" t="s">
        <v>543</v>
      </c>
      <c r="E4902" s="26" t="str">
        <f>IFERROR(VLOOKUP(G4902,WholesaleExtract!B:J,9,FALSE),"")</f>
        <v/>
      </c>
      <c r="F4902" s="26" t="str">
        <f>IFERROR(VLOOKUP(G4902,WholesaleExtract!B:J,6,FALSE),"")</f>
        <v/>
      </c>
      <c r="H4902" s="47" t="str">
        <f>IFERROR(VLOOKUP(G4902,WholesaleExtract!B:L,11,FALSE),"")</f>
        <v/>
      </c>
      <c r="I4902" s="26" t="str">
        <f>IFERROR(VLOOKUP(G4902,WholesaleExtract!B:O,8,FALSE),"")</f>
        <v/>
      </c>
      <c r="J4902" s="26" t="str">
        <f>IFERROR(VLOOKUP(G4902,WholesaleExtract!B:O,14,FALSE),"")</f>
        <v/>
      </c>
      <c r="K4902" s="26" t="str">
        <f>IFERROR(VLOOKUP(G4902,WholesaleExtract!B:K,10,FALSE),"")</f>
        <v/>
      </c>
      <c r="L4902" s="47" t="str">
        <f>IFERROR(VLOOKUP(G4902,WholesaleExtract!B:L,11,FALSE),"")</f>
        <v/>
      </c>
      <c r="M4902" s="47" t="str">
        <f>IFERROR(VLOOKUP(G4902,WholesaleExtract!B:M,12,FALSE),"")</f>
        <v/>
      </c>
      <c r="R4902" s="19"/>
      <c r="S4902" s="19"/>
    </row>
    <row r="4903" spans="1:19" x14ac:dyDescent="0.35">
      <c r="A4903" s="26" t="s">
        <v>543</v>
      </c>
      <c r="B4903" s="26" t="s">
        <v>543</v>
      </c>
      <c r="C4903" s="26"/>
      <c r="D4903" s="26" t="s">
        <v>543</v>
      </c>
      <c r="E4903" s="26" t="str">
        <f>IFERROR(VLOOKUP(G4903,WholesaleExtract!B:J,9,FALSE),"")</f>
        <v/>
      </c>
      <c r="F4903" s="26" t="str">
        <f>IFERROR(VLOOKUP(G4903,WholesaleExtract!B:J,6,FALSE),"")</f>
        <v/>
      </c>
      <c r="H4903" s="47" t="str">
        <f>IFERROR(VLOOKUP(G4903,WholesaleExtract!B:L,11,FALSE),"")</f>
        <v/>
      </c>
      <c r="I4903" s="26" t="str">
        <f>IFERROR(VLOOKUP(G4903,WholesaleExtract!B:O,8,FALSE),"")</f>
        <v/>
      </c>
      <c r="J4903" s="26" t="str">
        <f>IFERROR(VLOOKUP(G4903,WholesaleExtract!B:O,14,FALSE),"")</f>
        <v/>
      </c>
      <c r="K4903" s="26" t="str">
        <f>IFERROR(VLOOKUP(G4903,WholesaleExtract!B:K,10,FALSE),"")</f>
        <v/>
      </c>
      <c r="L4903" s="47" t="str">
        <f>IFERROR(VLOOKUP(G4903,WholesaleExtract!B:L,11,FALSE),"")</f>
        <v/>
      </c>
      <c r="M4903" s="47" t="str">
        <f>IFERROR(VLOOKUP(G4903,WholesaleExtract!B:M,12,FALSE),"")</f>
        <v/>
      </c>
      <c r="R4903" s="19"/>
      <c r="S4903" s="19"/>
    </row>
    <row r="4904" spans="1:19" x14ac:dyDescent="0.35">
      <c r="A4904" s="26" t="s">
        <v>543</v>
      </c>
      <c r="B4904" s="26" t="s">
        <v>543</v>
      </c>
      <c r="C4904" s="26"/>
      <c r="D4904" s="26" t="s">
        <v>543</v>
      </c>
      <c r="E4904" s="26" t="str">
        <f>IFERROR(VLOOKUP(G4904,WholesaleExtract!B:J,9,FALSE),"")</f>
        <v/>
      </c>
      <c r="F4904" s="26" t="str">
        <f>IFERROR(VLOOKUP(G4904,WholesaleExtract!B:J,6,FALSE),"")</f>
        <v/>
      </c>
      <c r="H4904" s="47" t="str">
        <f>IFERROR(VLOOKUP(G4904,WholesaleExtract!B:L,11,FALSE),"")</f>
        <v/>
      </c>
      <c r="I4904" s="26" t="str">
        <f>IFERROR(VLOOKUP(G4904,WholesaleExtract!B:O,8,FALSE),"")</f>
        <v/>
      </c>
      <c r="J4904" s="26" t="str">
        <f>IFERROR(VLOOKUP(G4904,WholesaleExtract!B:O,14,FALSE),"")</f>
        <v/>
      </c>
      <c r="K4904" s="26" t="str">
        <f>IFERROR(VLOOKUP(G4904,WholesaleExtract!B:K,10,FALSE),"")</f>
        <v/>
      </c>
      <c r="L4904" s="47" t="str">
        <f>IFERROR(VLOOKUP(G4904,WholesaleExtract!B:L,11,FALSE),"")</f>
        <v/>
      </c>
      <c r="M4904" s="47" t="str">
        <f>IFERROR(VLOOKUP(G4904,WholesaleExtract!B:M,12,FALSE),"")</f>
        <v/>
      </c>
      <c r="R4904" s="19"/>
      <c r="S4904" s="19"/>
    </row>
    <row r="4905" spans="1:19" x14ac:dyDescent="0.35">
      <c r="A4905" s="26" t="s">
        <v>543</v>
      </c>
      <c r="B4905" s="26" t="s">
        <v>543</v>
      </c>
      <c r="C4905" s="26"/>
      <c r="D4905" s="26" t="s">
        <v>543</v>
      </c>
      <c r="E4905" s="26" t="str">
        <f>IFERROR(VLOOKUP(G4905,WholesaleExtract!B:J,9,FALSE),"")</f>
        <v/>
      </c>
      <c r="F4905" s="26" t="str">
        <f>IFERROR(VLOOKUP(G4905,WholesaleExtract!B:J,6,FALSE),"")</f>
        <v/>
      </c>
      <c r="H4905" s="47" t="str">
        <f>IFERROR(VLOOKUP(G4905,WholesaleExtract!B:L,11,FALSE),"")</f>
        <v/>
      </c>
      <c r="I4905" s="26" t="str">
        <f>IFERROR(VLOOKUP(G4905,WholesaleExtract!B:O,8,FALSE),"")</f>
        <v/>
      </c>
      <c r="J4905" s="26" t="str">
        <f>IFERROR(VLOOKUP(G4905,WholesaleExtract!B:O,14,FALSE),"")</f>
        <v/>
      </c>
      <c r="K4905" s="26" t="str">
        <f>IFERROR(VLOOKUP(G4905,WholesaleExtract!B:K,10,FALSE),"")</f>
        <v/>
      </c>
      <c r="L4905" s="47" t="str">
        <f>IFERROR(VLOOKUP(G4905,WholesaleExtract!B:L,11,FALSE),"")</f>
        <v/>
      </c>
      <c r="M4905" s="47" t="str">
        <f>IFERROR(VLOOKUP(G4905,WholesaleExtract!B:M,12,FALSE),"")</f>
        <v/>
      </c>
      <c r="R4905" s="19"/>
      <c r="S4905" s="19"/>
    </row>
    <row r="4906" spans="1:19" x14ac:dyDescent="0.35">
      <c r="A4906" s="26" t="s">
        <v>543</v>
      </c>
      <c r="B4906" s="26" t="s">
        <v>543</v>
      </c>
      <c r="C4906" s="26"/>
      <c r="D4906" s="26" t="s">
        <v>543</v>
      </c>
      <c r="E4906" s="26" t="str">
        <f>IFERROR(VLOOKUP(G4906,WholesaleExtract!B:J,9,FALSE),"")</f>
        <v/>
      </c>
      <c r="F4906" s="26" t="str">
        <f>IFERROR(VLOOKUP(G4906,WholesaleExtract!B:J,6,FALSE),"")</f>
        <v/>
      </c>
      <c r="H4906" s="47" t="str">
        <f>IFERROR(VLOOKUP(G4906,WholesaleExtract!B:L,11,FALSE),"")</f>
        <v/>
      </c>
      <c r="I4906" s="26" t="str">
        <f>IFERROR(VLOOKUP(G4906,WholesaleExtract!B:O,8,FALSE),"")</f>
        <v/>
      </c>
      <c r="J4906" s="26" t="str">
        <f>IFERROR(VLOOKUP(G4906,WholesaleExtract!B:O,14,FALSE),"")</f>
        <v/>
      </c>
      <c r="K4906" s="26" t="str">
        <f>IFERROR(VLOOKUP(G4906,WholesaleExtract!B:K,10,FALSE),"")</f>
        <v/>
      </c>
      <c r="L4906" s="47" t="str">
        <f>IFERROR(VLOOKUP(G4906,WholesaleExtract!B:L,11,FALSE),"")</f>
        <v/>
      </c>
      <c r="M4906" s="47" t="str">
        <f>IFERROR(VLOOKUP(G4906,WholesaleExtract!B:M,12,FALSE),"")</f>
        <v/>
      </c>
      <c r="R4906" s="19"/>
      <c r="S4906" s="19"/>
    </row>
    <row r="4907" spans="1:19" x14ac:dyDescent="0.35">
      <c r="A4907" s="26" t="s">
        <v>543</v>
      </c>
      <c r="B4907" s="26" t="s">
        <v>543</v>
      </c>
      <c r="C4907" s="26"/>
      <c r="D4907" s="26" t="s">
        <v>543</v>
      </c>
      <c r="E4907" s="26" t="str">
        <f>IFERROR(VLOOKUP(G4907,WholesaleExtract!B:J,9,FALSE),"")</f>
        <v/>
      </c>
      <c r="F4907" s="26" t="str">
        <f>IFERROR(VLOOKUP(G4907,WholesaleExtract!B:J,6,FALSE),"")</f>
        <v/>
      </c>
      <c r="H4907" s="47" t="str">
        <f>IFERROR(VLOOKUP(G4907,WholesaleExtract!B:L,11,FALSE),"")</f>
        <v/>
      </c>
      <c r="I4907" s="26" t="str">
        <f>IFERROR(VLOOKUP(G4907,WholesaleExtract!B:O,8,FALSE),"")</f>
        <v/>
      </c>
      <c r="J4907" s="26" t="str">
        <f>IFERROR(VLOOKUP(G4907,WholesaleExtract!B:O,14,FALSE),"")</f>
        <v/>
      </c>
      <c r="K4907" s="26" t="str">
        <f>IFERROR(VLOOKUP(G4907,WholesaleExtract!B:K,10,FALSE),"")</f>
        <v/>
      </c>
      <c r="L4907" s="47" t="str">
        <f>IFERROR(VLOOKUP(G4907,WholesaleExtract!B:L,11,FALSE),"")</f>
        <v/>
      </c>
      <c r="M4907" s="47" t="str">
        <f>IFERROR(VLOOKUP(G4907,WholesaleExtract!B:M,12,FALSE),"")</f>
        <v/>
      </c>
      <c r="R4907" s="19"/>
      <c r="S4907" s="19"/>
    </row>
    <row r="4908" spans="1:19" x14ac:dyDescent="0.35">
      <c r="A4908" s="26" t="s">
        <v>543</v>
      </c>
      <c r="B4908" s="26" t="s">
        <v>543</v>
      </c>
      <c r="C4908" s="26"/>
      <c r="D4908" s="26" t="s">
        <v>543</v>
      </c>
      <c r="E4908" s="26" t="str">
        <f>IFERROR(VLOOKUP(G4908,WholesaleExtract!B:J,9,FALSE),"")</f>
        <v/>
      </c>
      <c r="F4908" s="26" t="str">
        <f>IFERROR(VLOOKUP(G4908,WholesaleExtract!B:J,6,FALSE),"")</f>
        <v/>
      </c>
      <c r="H4908" s="47" t="str">
        <f>IFERROR(VLOOKUP(G4908,WholesaleExtract!B:L,11,FALSE),"")</f>
        <v/>
      </c>
      <c r="I4908" s="26" t="str">
        <f>IFERROR(VLOOKUP(G4908,WholesaleExtract!B:O,8,FALSE),"")</f>
        <v/>
      </c>
      <c r="J4908" s="26" t="str">
        <f>IFERROR(VLOOKUP(G4908,WholesaleExtract!B:O,14,FALSE),"")</f>
        <v/>
      </c>
      <c r="K4908" s="26" t="str">
        <f>IFERROR(VLOOKUP(G4908,WholesaleExtract!B:K,10,FALSE),"")</f>
        <v/>
      </c>
      <c r="L4908" s="47" t="str">
        <f>IFERROR(VLOOKUP(G4908,WholesaleExtract!B:L,11,FALSE),"")</f>
        <v/>
      </c>
      <c r="M4908" s="47" t="str">
        <f>IFERROR(VLOOKUP(G4908,WholesaleExtract!B:M,12,FALSE),"")</f>
        <v/>
      </c>
      <c r="R4908" s="19"/>
      <c r="S4908" s="19"/>
    </row>
    <row r="4909" spans="1:19" x14ac:dyDescent="0.35">
      <c r="A4909" s="26" t="s">
        <v>543</v>
      </c>
      <c r="B4909" s="26" t="s">
        <v>543</v>
      </c>
      <c r="C4909" s="26"/>
      <c r="D4909" s="26" t="s">
        <v>543</v>
      </c>
      <c r="E4909" s="26" t="str">
        <f>IFERROR(VLOOKUP(G4909,WholesaleExtract!B:J,9,FALSE),"")</f>
        <v/>
      </c>
      <c r="F4909" s="26" t="str">
        <f>IFERROR(VLOOKUP(G4909,WholesaleExtract!B:J,6,FALSE),"")</f>
        <v/>
      </c>
      <c r="H4909" s="47" t="str">
        <f>IFERROR(VLOOKUP(G4909,WholesaleExtract!B:L,11,FALSE),"")</f>
        <v/>
      </c>
      <c r="I4909" s="26" t="str">
        <f>IFERROR(VLOOKUP(G4909,WholesaleExtract!B:O,8,FALSE),"")</f>
        <v/>
      </c>
      <c r="J4909" s="26" t="str">
        <f>IFERROR(VLOOKUP(G4909,WholesaleExtract!B:O,14,FALSE),"")</f>
        <v/>
      </c>
      <c r="K4909" s="26" t="str">
        <f>IFERROR(VLOOKUP(G4909,WholesaleExtract!B:K,10,FALSE),"")</f>
        <v/>
      </c>
      <c r="L4909" s="47" t="str">
        <f>IFERROR(VLOOKUP(G4909,WholesaleExtract!B:L,11,FALSE),"")</f>
        <v/>
      </c>
      <c r="M4909" s="47" t="str">
        <f>IFERROR(VLOOKUP(G4909,WholesaleExtract!B:M,12,FALSE),"")</f>
        <v/>
      </c>
      <c r="R4909" s="19"/>
      <c r="S4909" s="19"/>
    </row>
    <row r="4910" spans="1:19" x14ac:dyDescent="0.35">
      <c r="A4910" s="26" t="s">
        <v>543</v>
      </c>
      <c r="B4910" s="26" t="s">
        <v>543</v>
      </c>
      <c r="C4910" s="26"/>
      <c r="D4910" s="26" t="s">
        <v>543</v>
      </c>
      <c r="E4910" s="26" t="str">
        <f>IFERROR(VLOOKUP(G4910,WholesaleExtract!B:J,9,FALSE),"")</f>
        <v/>
      </c>
      <c r="F4910" s="26" t="str">
        <f>IFERROR(VLOOKUP(G4910,WholesaleExtract!B:J,6,FALSE),"")</f>
        <v/>
      </c>
      <c r="H4910" s="47" t="str">
        <f>IFERROR(VLOOKUP(G4910,WholesaleExtract!B:L,11,FALSE),"")</f>
        <v/>
      </c>
      <c r="I4910" s="26" t="str">
        <f>IFERROR(VLOOKUP(G4910,WholesaleExtract!B:O,8,FALSE),"")</f>
        <v/>
      </c>
      <c r="J4910" s="26" t="str">
        <f>IFERROR(VLOOKUP(G4910,WholesaleExtract!B:O,14,FALSE),"")</f>
        <v/>
      </c>
      <c r="K4910" s="26" t="str">
        <f>IFERROR(VLOOKUP(G4910,WholesaleExtract!B:K,10,FALSE),"")</f>
        <v/>
      </c>
      <c r="L4910" s="47" t="str">
        <f>IFERROR(VLOOKUP(G4910,WholesaleExtract!B:L,11,FALSE),"")</f>
        <v/>
      </c>
      <c r="M4910" s="47" t="str">
        <f>IFERROR(VLOOKUP(G4910,WholesaleExtract!B:M,12,FALSE),"")</f>
        <v/>
      </c>
      <c r="R4910" s="19"/>
      <c r="S4910" s="19"/>
    </row>
    <row r="4911" spans="1:19" x14ac:dyDescent="0.35">
      <c r="A4911" s="26" t="s">
        <v>543</v>
      </c>
      <c r="B4911" s="26" t="s">
        <v>543</v>
      </c>
      <c r="C4911" s="26"/>
      <c r="D4911" s="26" t="s">
        <v>543</v>
      </c>
      <c r="E4911" s="26" t="str">
        <f>IFERROR(VLOOKUP(G4911,WholesaleExtract!B:J,9,FALSE),"")</f>
        <v/>
      </c>
      <c r="F4911" s="26" t="str">
        <f>IFERROR(VLOOKUP(G4911,WholesaleExtract!B:J,6,FALSE),"")</f>
        <v/>
      </c>
      <c r="H4911" s="47" t="str">
        <f>IFERROR(VLOOKUP(G4911,WholesaleExtract!B:L,11,FALSE),"")</f>
        <v/>
      </c>
      <c r="I4911" s="26" t="str">
        <f>IFERROR(VLOOKUP(G4911,WholesaleExtract!B:O,8,FALSE),"")</f>
        <v/>
      </c>
      <c r="J4911" s="26" t="str">
        <f>IFERROR(VLOOKUP(G4911,WholesaleExtract!B:O,14,FALSE),"")</f>
        <v/>
      </c>
      <c r="K4911" s="26" t="str">
        <f>IFERROR(VLOOKUP(G4911,WholesaleExtract!B:K,10,FALSE),"")</f>
        <v/>
      </c>
      <c r="L4911" s="47" t="str">
        <f>IFERROR(VLOOKUP(G4911,WholesaleExtract!B:L,11,FALSE),"")</f>
        <v/>
      </c>
      <c r="M4911" s="47" t="str">
        <f>IFERROR(VLOOKUP(G4911,WholesaleExtract!B:M,12,FALSE),"")</f>
        <v/>
      </c>
      <c r="R4911" s="19"/>
      <c r="S4911" s="19"/>
    </row>
    <row r="4912" spans="1:19" x14ac:dyDescent="0.35">
      <c r="A4912" s="26" t="s">
        <v>543</v>
      </c>
      <c r="B4912" s="26" t="s">
        <v>543</v>
      </c>
      <c r="C4912" s="26"/>
      <c r="D4912" s="26" t="s">
        <v>543</v>
      </c>
      <c r="E4912" s="26" t="str">
        <f>IFERROR(VLOOKUP(G4912,WholesaleExtract!B:J,9,FALSE),"")</f>
        <v/>
      </c>
      <c r="F4912" s="26" t="str">
        <f>IFERROR(VLOOKUP(G4912,WholesaleExtract!B:J,6,FALSE),"")</f>
        <v/>
      </c>
      <c r="H4912" s="47" t="str">
        <f>IFERROR(VLOOKUP(G4912,WholesaleExtract!B:L,11,FALSE),"")</f>
        <v/>
      </c>
      <c r="I4912" s="26" t="str">
        <f>IFERROR(VLOOKUP(G4912,WholesaleExtract!B:O,8,FALSE),"")</f>
        <v/>
      </c>
      <c r="J4912" s="26" t="str">
        <f>IFERROR(VLOOKUP(G4912,WholesaleExtract!B:O,14,FALSE),"")</f>
        <v/>
      </c>
      <c r="K4912" s="26" t="str">
        <f>IFERROR(VLOOKUP(G4912,WholesaleExtract!B:K,10,FALSE),"")</f>
        <v/>
      </c>
      <c r="L4912" s="47" t="str">
        <f>IFERROR(VLOOKUP(G4912,WholesaleExtract!B:L,11,FALSE),"")</f>
        <v/>
      </c>
      <c r="M4912" s="47" t="str">
        <f>IFERROR(VLOOKUP(G4912,WholesaleExtract!B:M,12,FALSE),"")</f>
        <v/>
      </c>
      <c r="R4912" s="19"/>
      <c r="S4912" s="19"/>
    </row>
    <row r="4913" spans="1:19" x14ac:dyDescent="0.35">
      <c r="A4913" s="26" t="s">
        <v>543</v>
      </c>
      <c r="B4913" s="26" t="s">
        <v>543</v>
      </c>
      <c r="C4913" s="26"/>
      <c r="D4913" s="26" t="s">
        <v>543</v>
      </c>
      <c r="E4913" s="26" t="str">
        <f>IFERROR(VLOOKUP(G4913,WholesaleExtract!B:J,9,FALSE),"")</f>
        <v/>
      </c>
      <c r="F4913" s="26" t="str">
        <f>IFERROR(VLOOKUP(G4913,WholesaleExtract!B:J,6,FALSE),"")</f>
        <v/>
      </c>
      <c r="H4913" s="47" t="str">
        <f>IFERROR(VLOOKUP(G4913,WholesaleExtract!B:L,11,FALSE),"")</f>
        <v/>
      </c>
      <c r="I4913" s="26" t="str">
        <f>IFERROR(VLOOKUP(G4913,WholesaleExtract!B:O,8,FALSE),"")</f>
        <v/>
      </c>
      <c r="J4913" s="26" t="str">
        <f>IFERROR(VLOOKUP(G4913,WholesaleExtract!B:O,14,FALSE),"")</f>
        <v/>
      </c>
      <c r="K4913" s="26" t="str">
        <f>IFERROR(VLOOKUP(G4913,WholesaleExtract!B:K,10,FALSE),"")</f>
        <v/>
      </c>
      <c r="L4913" s="47" t="str">
        <f>IFERROR(VLOOKUP(G4913,WholesaleExtract!B:L,11,FALSE),"")</f>
        <v/>
      </c>
      <c r="M4913" s="47" t="str">
        <f>IFERROR(VLOOKUP(G4913,WholesaleExtract!B:M,12,FALSE),"")</f>
        <v/>
      </c>
      <c r="R4913" s="19"/>
      <c r="S4913" s="19"/>
    </row>
    <row r="4914" spans="1:19" x14ac:dyDescent="0.35">
      <c r="A4914" s="26" t="s">
        <v>543</v>
      </c>
      <c r="B4914" s="26" t="s">
        <v>543</v>
      </c>
      <c r="C4914" s="26"/>
      <c r="D4914" s="26" t="s">
        <v>543</v>
      </c>
      <c r="E4914" s="26" t="str">
        <f>IFERROR(VLOOKUP(G4914,WholesaleExtract!B:J,9,FALSE),"")</f>
        <v/>
      </c>
      <c r="F4914" s="26" t="str">
        <f>IFERROR(VLOOKUP(G4914,WholesaleExtract!B:J,6,FALSE),"")</f>
        <v/>
      </c>
      <c r="H4914" s="47" t="str">
        <f>IFERROR(VLOOKUP(G4914,WholesaleExtract!B:L,11,FALSE),"")</f>
        <v/>
      </c>
      <c r="I4914" s="26" t="str">
        <f>IFERROR(VLOOKUP(G4914,WholesaleExtract!B:O,8,FALSE),"")</f>
        <v/>
      </c>
      <c r="J4914" s="26" t="str">
        <f>IFERROR(VLOOKUP(G4914,WholesaleExtract!B:O,14,FALSE),"")</f>
        <v/>
      </c>
      <c r="K4914" s="26" t="str">
        <f>IFERROR(VLOOKUP(G4914,WholesaleExtract!B:K,10,FALSE),"")</f>
        <v/>
      </c>
      <c r="L4914" s="47" t="str">
        <f>IFERROR(VLOOKUP(G4914,WholesaleExtract!B:L,11,FALSE),"")</f>
        <v/>
      </c>
      <c r="M4914" s="47" t="str">
        <f>IFERROR(VLOOKUP(G4914,WholesaleExtract!B:M,12,FALSE),"")</f>
        <v/>
      </c>
      <c r="R4914" s="19"/>
      <c r="S4914" s="19"/>
    </row>
    <row r="4915" spans="1:19" x14ac:dyDescent="0.35">
      <c r="A4915" s="26" t="s">
        <v>543</v>
      </c>
      <c r="B4915" s="26" t="s">
        <v>543</v>
      </c>
      <c r="C4915" s="26"/>
      <c r="D4915" s="26" t="s">
        <v>543</v>
      </c>
      <c r="E4915" s="26" t="str">
        <f>IFERROR(VLOOKUP(G4915,WholesaleExtract!B:J,9,FALSE),"")</f>
        <v/>
      </c>
      <c r="F4915" s="26" t="str">
        <f>IFERROR(VLOOKUP(G4915,WholesaleExtract!B:J,6,FALSE),"")</f>
        <v/>
      </c>
      <c r="H4915" s="47" t="str">
        <f>IFERROR(VLOOKUP(G4915,WholesaleExtract!B:L,11,FALSE),"")</f>
        <v/>
      </c>
      <c r="I4915" s="26" t="str">
        <f>IFERROR(VLOOKUP(G4915,WholesaleExtract!B:O,8,FALSE),"")</f>
        <v/>
      </c>
      <c r="J4915" s="26" t="str">
        <f>IFERROR(VLOOKUP(G4915,WholesaleExtract!B:O,14,FALSE),"")</f>
        <v/>
      </c>
      <c r="K4915" s="26" t="str">
        <f>IFERROR(VLOOKUP(G4915,WholesaleExtract!B:K,10,FALSE),"")</f>
        <v/>
      </c>
      <c r="L4915" s="47" t="str">
        <f>IFERROR(VLOOKUP(G4915,WholesaleExtract!B:L,11,FALSE),"")</f>
        <v/>
      </c>
      <c r="M4915" s="47" t="str">
        <f>IFERROR(VLOOKUP(G4915,WholesaleExtract!B:M,12,FALSE),"")</f>
        <v/>
      </c>
      <c r="R4915" s="19"/>
      <c r="S4915" s="19"/>
    </row>
    <row r="4916" spans="1:19" x14ac:dyDescent="0.35">
      <c r="A4916" s="26" t="s">
        <v>543</v>
      </c>
      <c r="B4916" s="26" t="s">
        <v>543</v>
      </c>
      <c r="C4916" s="26"/>
      <c r="D4916" s="26" t="s">
        <v>543</v>
      </c>
      <c r="E4916" s="26" t="str">
        <f>IFERROR(VLOOKUP(G4916,WholesaleExtract!B:J,9,FALSE),"")</f>
        <v/>
      </c>
      <c r="F4916" s="26" t="str">
        <f>IFERROR(VLOOKUP(G4916,WholesaleExtract!B:J,6,FALSE),"")</f>
        <v/>
      </c>
      <c r="H4916" s="47" t="str">
        <f>IFERROR(VLOOKUP(G4916,WholesaleExtract!B:L,11,FALSE),"")</f>
        <v/>
      </c>
      <c r="I4916" s="26" t="str">
        <f>IFERROR(VLOOKUP(G4916,WholesaleExtract!B:O,8,FALSE),"")</f>
        <v/>
      </c>
      <c r="J4916" s="26" t="str">
        <f>IFERROR(VLOOKUP(G4916,WholesaleExtract!B:O,14,FALSE),"")</f>
        <v/>
      </c>
      <c r="K4916" s="26" t="str">
        <f>IFERROR(VLOOKUP(G4916,WholesaleExtract!B:K,10,FALSE),"")</f>
        <v/>
      </c>
      <c r="L4916" s="47" t="str">
        <f>IFERROR(VLOOKUP(G4916,WholesaleExtract!B:L,11,FALSE),"")</f>
        <v/>
      </c>
      <c r="M4916" s="47" t="str">
        <f>IFERROR(VLOOKUP(G4916,WholesaleExtract!B:M,12,FALSE),"")</f>
        <v/>
      </c>
      <c r="R4916" s="19"/>
      <c r="S4916" s="19"/>
    </row>
    <row r="4917" spans="1:19" x14ac:dyDescent="0.35">
      <c r="A4917" s="26" t="s">
        <v>543</v>
      </c>
      <c r="B4917" s="26" t="s">
        <v>543</v>
      </c>
      <c r="C4917" s="26"/>
      <c r="D4917" s="26" t="s">
        <v>543</v>
      </c>
      <c r="E4917" s="26" t="str">
        <f>IFERROR(VLOOKUP(G4917,WholesaleExtract!B:J,9,FALSE),"")</f>
        <v/>
      </c>
      <c r="F4917" s="26" t="str">
        <f>IFERROR(VLOOKUP(G4917,WholesaleExtract!B:J,6,FALSE),"")</f>
        <v/>
      </c>
      <c r="H4917" s="47" t="str">
        <f>IFERROR(VLOOKUP(G4917,WholesaleExtract!B:L,11,FALSE),"")</f>
        <v/>
      </c>
      <c r="I4917" s="26" t="str">
        <f>IFERROR(VLOOKUP(G4917,WholesaleExtract!B:O,8,FALSE),"")</f>
        <v/>
      </c>
      <c r="J4917" s="26" t="str">
        <f>IFERROR(VLOOKUP(G4917,WholesaleExtract!B:O,14,FALSE),"")</f>
        <v/>
      </c>
      <c r="K4917" s="26" t="str">
        <f>IFERROR(VLOOKUP(G4917,WholesaleExtract!B:K,10,FALSE),"")</f>
        <v/>
      </c>
      <c r="L4917" s="47" t="str">
        <f>IFERROR(VLOOKUP(G4917,WholesaleExtract!B:L,11,FALSE),"")</f>
        <v/>
      </c>
      <c r="M4917" s="47" t="str">
        <f>IFERROR(VLOOKUP(G4917,WholesaleExtract!B:M,12,FALSE),"")</f>
        <v/>
      </c>
      <c r="R4917" s="19"/>
      <c r="S4917" s="19"/>
    </row>
    <row r="4918" spans="1:19" x14ac:dyDescent="0.35">
      <c r="A4918" s="26" t="s">
        <v>543</v>
      </c>
      <c r="B4918" s="26" t="s">
        <v>543</v>
      </c>
      <c r="C4918" s="26"/>
      <c r="D4918" s="26" t="s">
        <v>543</v>
      </c>
      <c r="E4918" s="26" t="str">
        <f>IFERROR(VLOOKUP(G4918,WholesaleExtract!B:J,9,FALSE),"")</f>
        <v/>
      </c>
      <c r="F4918" s="26" t="str">
        <f>IFERROR(VLOOKUP(G4918,WholesaleExtract!B:J,6,FALSE),"")</f>
        <v/>
      </c>
      <c r="H4918" s="47" t="str">
        <f>IFERROR(VLOOKUP(G4918,WholesaleExtract!B:L,11,FALSE),"")</f>
        <v/>
      </c>
      <c r="I4918" s="26" t="str">
        <f>IFERROR(VLOOKUP(G4918,WholesaleExtract!B:O,8,FALSE),"")</f>
        <v/>
      </c>
      <c r="J4918" s="26" t="str">
        <f>IFERROR(VLOOKUP(G4918,WholesaleExtract!B:O,14,FALSE),"")</f>
        <v/>
      </c>
      <c r="K4918" s="26" t="str">
        <f>IFERROR(VLOOKUP(G4918,WholesaleExtract!B:K,10,FALSE),"")</f>
        <v/>
      </c>
      <c r="L4918" s="47" t="str">
        <f>IFERROR(VLOOKUP(G4918,WholesaleExtract!B:L,11,FALSE),"")</f>
        <v/>
      </c>
      <c r="M4918" s="47" t="str">
        <f>IFERROR(VLOOKUP(G4918,WholesaleExtract!B:M,12,FALSE),"")</f>
        <v/>
      </c>
      <c r="R4918" s="19"/>
      <c r="S4918" s="19"/>
    </row>
    <row r="4919" spans="1:19" x14ac:dyDescent="0.35">
      <c r="A4919" s="26" t="s">
        <v>543</v>
      </c>
      <c r="B4919" s="26" t="s">
        <v>543</v>
      </c>
      <c r="C4919" s="26"/>
      <c r="D4919" s="26" t="s">
        <v>543</v>
      </c>
      <c r="E4919" s="26" t="str">
        <f>IFERROR(VLOOKUP(G4919,WholesaleExtract!B:J,9,FALSE),"")</f>
        <v/>
      </c>
      <c r="F4919" s="26" t="str">
        <f>IFERROR(VLOOKUP(G4919,WholesaleExtract!B:J,6,FALSE),"")</f>
        <v/>
      </c>
      <c r="H4919" s="47" t="str">
        <f>IFERROR(VLOOKUP(G4919,WholesaleExtract!B:L,11,FALSE),"")</f>
        <v/>
      </c>
      <c r="I4919" s="26" t="str">
        <f>IFERROR(VLOOKUP(G4919,WholesaleExtract!B:O,8,FALSE),"")</f>
        <v/>
      </c>
      <c r="J4919" s="26" t="str">
        <f>IFERROR(VLOOKUP(G4919,WholesaleExtract!B:O,14,FALSE),"")</f>
        <v/>
      </c>
      <c r="K4919" s="26" t="str">
        <f>IFERROR(VLOOKUP(G4919,WholesaleExtract!B:K,10,FALSE),"")</f>
        <v/>
      </c>
      <c r="L4919" s="47" t="str">
        <f>IFERROR(VLOOKUP(G4919,WholesaleExtract!B:L,11,FALSE),"")</f>
        <v/>
      </c>
      <c r="M4919" s="47" t="str">
        <f>IFERROR(VLOOKUP(G4919,WholesaleExtract!B:M,12,FALSE),"")</f>
        <v/>
      </c>
      <c r="R4919" s="19"/>
      <c r="S4919" s="19"/>
    </row>
    <row r="4920" spans="1:19" x14ac:dyDescent="0.35">
      <c r="A4920" s="26" t="s">
        <v>543</v>
      </c>
      <c r="B4920" s="26" t="s">
        <v>543</v>
      </c>
      <c r="C4920" s="26"/>
      <c r="D4920" s="26" t="s">
        <v>543</v>
      </c>
      <c r="E4920" s="26" t="str">
        <f>IFERROR(VLOOKUP(G4920,WholesaleExtract!B:J,9,FALSE),"")</f>
        <v/>
      </c>
      <c r="F4920" s="26" t="str">
        <f>IFERROR(VLOOKUP(G4920,WholesaleExtract!B:J,6,FALSE),"")</f>
        <v/>
      </c>
      <c r="H4920" s="47" t="str">
        <f>IFERROR(VLOOKUP(G4920,WholesaleExtract!B:L,11,FALSE),"")</f>
        <v/>
      </c>
      <c r="I4920" s="26" t="str">
        <f>IFERROR(VLOOKUP(G4920,WholesaleExtract!B:O,8,FALSE),"")</f>
        <v/>
      </c>
      <c r="J4920" s="26" t="str">
        <f>IFERROR(VLOOKUP(G4920,WholesaleExtract!B:O,14,FALSE),"")</f>
        <v/>
      </c>
      <c r="K4920" s="26" t="str">
        <f>IFERROR(VLOOKUP(G4920,WholesaleExtract!B:K,10,FALSE),"")</f>
        <v/>
      </c>
      <c r="L4920" s="47" t="str">
        <f>IFERROR(VLOOKUP(G4920,WholesaleExtract!B:L,11,FALSE),"")</f>
        <v/>
      </c>
      <c r="M4920" s="47" t="str">
        <f>IFERROR(VLOOKUP(G4920,WholesaleExtract!B:M,12,FALSE),"")</f>
        <v/>
      </c>
      <c r="R4920" s="19"/>
      <c r="S4920" s="19"/>
    </row>
    <row r="4921" spans="1:19" x14ac:dyDescent="0.35">
      <c r="A4921" s="26" t="s">
        <v>543</v>
      </c>
      <c r="B4921" s="26" t="s">
        <v>543</v>
      </c>
      <c r="C4921" s="26"/>
      <c r="D4921" s="26" t="s">
        <v>543</v>
      </c>
      <c r="E4921" s="26" t="str">
        <f>IFERROR(VLOOKUP(G4921,WholesaleExtract!B:J,9,FALSE),"")</f>
        <v/>
      </c>
      <c r="F4921" s="26" t="str">
        <f>IFERROR(VLOOKUP(G4921,WholesaleExtract!B:J,6,FALSE),"")</f>
        <v/>
      </c>
      <c r="H4921" s="47" t="str">
        <f>IFERROR(VLOOKUP(G4921,WholesaleExtract!B:L,11,FALSE),"")</f>
        <v/>
      </c>
      <c r="I4921" s="26" t="str">
        <f>IFERROR(VLOOKUP(G4921,WholesaleExtract!B:O,8,FALSE),"")</f>
        <v/>
      </c>
      <c r="J4921" s="26" t="str">
        <f>IFERROR(VLOOKUP(G4921,WholesaleExtract!B:O,14,FALSE),"")</f>
        <v/>
      </c>
      <c r="K4921" s="26" t="str">
        <f>IFERROR(VLOOKUP(G4921,WholesaleExtract!B:K,10,FALSE),"")</f>
        <v/>
      </c>
      <c r="L4921" s="47" t="str">
        <f>IFERROR(VLOOKUP(G4921,WholesaleExtract!B:L,11,FALSE),"")</f>
        <v/>
      </c>
      <c r="M4921" s="47" t="str">
        <f>IFERROR(VLOOKUP(G4921,WholesaleExtract!B:M,12,FALSE),"")</f>
        <v/>
      </c>
      <c r="R4921" s="19"/>
      <c r="S4921" s="19"/>
    </row>
    <row r="4922" spans="1:19" x14ac:dyDescent="0.35">
      <c r="A4922" s="26" t="s">
        <v>543</v>
      </c>
      <c r="B4922" s="26" t="s">
        <v>543</v>
      </c>
      <c r="C4922" s="26"/>
      <c r="D4922" s="26" t="s">
        <v>543</v>
      </c>
      <c r="E4922" s="26" t="str">
        <f>IFERROR(VLOOKUP(G4922,WholesaleExtract!B:J,9,FALSE),"")</f>
        <v/>
      </c>
      <c r="F4922" s="26" t="str">
        <f>IFERROR(VLOOKUP(G4922,WholesaleExtract!B:J,6,FALSE),"")</f>
        <v/>
      </c>
      <c r="H4922" s="47" t="str">
        <f>IFERROR(VLOOKUP(G4922,WholesaleExtract!B:L,11,FALSE),"")</f>
        <v/>
      </c>
      <c r="I4922" s="26" t="str">
        <f>IFERROR(VLOOKUP(G4922,WholesaleExtract!B:O,8,FALSE),"")</f>
        <v/>
      </c>
      <c r="J4922" s="26" t="str">
        <f>IFERROR(VLOOKUP(G4922,WholesaleExtract!B:O,14,FALSE),"")</f>
        <v/>
      </c>
      <c r="K4922" s="26" t="str">
        <f>IFERROR(VLOOKUP(G4922,WholesaleExtract!B:K,10,FALSE),"")</f>
        <v/>
      </c>
      <c r="L4922" s="47" t="str">
        <f>IFERROR(VLOOKUP(G4922,WholesaleExtract!B:L,11,FALSE),"")</f>
        <v/>
      </c>
      <c r="M4922" s="47" t="str">
        <f>IFERROR(VLOOKUP(G4922,WholesaleExtract!B:M,12,FALSE),"")</f>
        <v/>
      </c>
      <c r="R4922" s="19"/>
      <c r="S4922" s="19"/>
    </row>
    <row r="4923" spans="1:19" x14ac:dyDescent="0.35">
      <c r="A4923" s="26" t="s">
        <v>543</v>
      </c>
      <c r="B4923" s="26" t="s">
        <v>543</v>
      </c>
      <c r="C4923" s="26"/>
      <c r="D4923" s="26" t="s">
        <v>543</v>
      </c>
      <c r="E4923" s="26" t="str">
        <f>IFERROR(VLOOKUP(G4923,WholesaleExtract!B:J,9,FALSE),"")</f>
        <v/>
      </c>
      <c r="F4923" s="26" t="str">
        <f>IFERROR(VLOOKUP(G4923,WholesaleExtract!B:J,6,FALSE),"")</f>
        <v/>
      </c>
      <c r="H4923" s="47" t="str">
        <f>IFERROR(VLOOKUP(G4923,WholesaleExtract!B:L,11,FALSE),"")</f>
        <v/>
      </c>
      <c r="I4923" s="26" t="str">
        <f>IFERROR(VLOOKUP(G4923,WholesaleExtract!B:O,8,FALSE),"")</f>
        <v/>
      </c>
      <c r="J4923" s="26" t="str">
        <f>IFERROR(VLOOKUP(G4923,WholesaleExtract!B:O,14,FALSE),"")</f>
        <v/>
      </c>
      <c r="K4923" s="26" t="str">
        <f>IFERROR(VLOOKUP(G4923,WholesaleExtract!B:K,10,FALSE),"")</f>
        <v/>
      </c>
      <c r="L4923" s="47" t="str">
        <f>IFERROR(VLOOKUP(G4923,WholesaleExtract!B:L,11,FALSE),"")</f>
        <v/>
      </c>
      <c r="M4923" s="47" t="str">
        <f>IFERROR(VLOOKUP(G4923,WholesaleExtract!B:M,12,FALSE),"")</f>
        <v/>
      </c>
      <c r="R4923" s="19"/>
      <c r="S4923" s="19"/>
    </row>
    <row r="4924" spans="1:19" x14ac:dyDescent="0.35">
      <c r="A4924" s="26" t="s">
        <v>543</v>
      </c>
      <c r="B4924" s="26" t="s">
        <v>543</v>
      </c>
      <c r="C4924" s="26"/>
      <c r="D4924" s="26" t="s">
        <v>543</v>
      </c>
      <c r="E4924" s="26" t="str">
        <f>IFERROR(VLOOKUP(G4924,WholesaleExtract!B:J,9,FALSE),"")</f>
        <v/>
      </c>
      <c r="F4924" s="26" t="str">
        <f>IFERROR(VLOOKUP(G4924,WholesaleExtract!B:J,6,FALSE),"")</f>
        <v/>
      </c>
      <c r="H4924" s="47" t="str">
        <f>IFERROR(VLOOKUP(G4924,WholesaleExtract!B:L,11,FALSE),"")</f>
        <v/>
      </c>
      <c r="I4924" s="26" t="str">
        <f>IFERROR(VLOOKUP(G4924,WholesaleExtract!B:O,8,FALSE),"")</f>
        <v/>
      </c>
      <c r="J4924" s="26" t="str">
        <f>IFERROR(VLOOKUP(G4924,WholesaleExtract!B:O,14,FALSE),"")</f>
        <v/>
      </c>
      <c r="K4924" s="26" t="str">
        <f>IFERROR(VLOOKUP(G4924,WholesaleExtract!B:K,10,FALSE),"")</f>
        <v/>
      </c>
      <c r="L4924" s="47" t="str">
        <f>IFERROR(VLOOKUP(G4924,WholesaleExtract!B:L,11,FALSE),"")</f>
        <v/>
      </c>
      <c r="M4924" s="47" t="str">
        <f>IFERROR(VLOOKUP(G4924,WholesaleExtract!B:M,12,FALSE),"")</f>
        <v/>
      </c>
      <c r="R4924" s="19"/>
      <c r="S4924" s="19"/>
    </row>
    <row r="4925" spans="1:19" x14ac:dyDescent="0.35">
      <c r="A4925" s="26" t="s">
        <v>543</v>
      </c>
      <c r="B4925" s="26" t="s">
        <v>543</v>
      </c>
      <c r="C4925" s="26"/>
      <c r="D4925" s="26" t="s">
        <v>543</v>
      </c>
      <c r="E4925" s="26" t="str">
        <f>IFERROR(VLOOKUP(G4925,WholesaleExtract!B:J,9,FALSE),"")</f>
        <v/>
      </c>
      <c r="F4925" s="26" t="str">
        <f>IFERROR(VLOOKUP(G4925,WholesaleExtract!B:J,6,FALSE),"")</f>
        <v/>
      </c>
      <c r="H4925" s="47" t="str">
        <f>IFERROR(VLOOKUP(G4925,WholesaleExtract!B:L,11,FALSE),"")</f>
        <v/>
      </c>
      <c r="I4925" s="26" t="str">
        <f>IFERROR(VLOOKUP(G4925,WholesaleExtract!B:O,8,FALSE),"")</f>
        <v/>
      </c>
      <c r="J4925" s="26" t="str">
        <f>IFERROR(VLOOKUP(G4925,WholesaleExtract!B:O,14,FALSE),"")</f>
        <v/>
      </c>
      <c r="K4925" s="26" t="str">
        <f>IFERROR(VLOOKUP(G4925,WholesaleExtract!B:K,10,FALSE),"")</f>
        <v/>
      </c>
      <c r="L4925" s="47" t="str">
        <f>IFERROR(VLOOKUP(G4925,WholesaleExtract!B:L,11,FALSE),"")</f>
        <v/>
      </c>
      <c r="M4925" s="47" t="str">
        <f>IFERROR(VLOOKUP(G4925,WholesaleExtract!B:M,12,FALSE),"")</f>
        <v/>
      </c>
      <c r="R4925" s="19"/>
      <c r="S4925" s="19"/>
    </row>
    <row r="4926" spans="1:19" x14ac:dyDescent="0.35">
      <c r="A4926" s="26" t="s">
        <v>543</v>
      </c>
      <c r="B4926" s="26" t="s">
        <v>543</v>
      </c>
      <c r="C4926" s="26"/>
      <c r="D4926" s="26" t="s">
        <v>543</v>
      </c>
      <c r="E4926" s="26" t="str">
        <f>IFERROR(VLOOKUP(G4926,WholesaleExtract!B:J,9,FALSE),"")</f>
        <v/>
      </c>
      <c r="F4926" s="26" t="str">
        <f>IFERROR(VLOOKUP(G4926,WholesaleExtract!B:J,6,FALSE),"")</f>
        <v/>
      </c>
      <c r="H4926" s="47" t="str">
        <f>IFERROR(VLOOKUP(G4926,WholesaleExtract!B:L,11,FALSE),"")</f>
        <v/>
      </c>
      <c r="I4926" s="26" t="str">
        <f>IFERROR(VLOOKUP(G4926,WholesaleExtract!B:O,8,FALSE),"")</f>
        <v/>
      </c>
      <c r="J4926" s="26" t="str">
        <f>IFERROR(VLOOKUP(G4926,WholesaleExtract!B:O,14,FALSE),"")</f>
        <v/>
      </c>
      <c r="K4926" s="26" t="str">
        <f>IFERROR(VLOOKUP(G4926,WholesaleExtract!B:K,10,FALSE),"")</f>
        <v/>
      </c>
      <c r="L4926" s="47" t="str">
        <f>IFERROR(VLOOKUP(G4926,WholesaleExtract!B:L,11,FALSE),"")</f>
        <v/>
      </c>
      <c r="M4926" s="47" t="str">
        <f>IFERROR(VLOOKUP(G4926,WholesaleExtract!B:M,12,FALSE),"")</f>
        <v/>
      </c>
      <c r="R4926" s="19"/>
      <c r="S4926" s="19"/>
    </row>
    <row r="4927" spans="1:19" x14ac:dyDescent="0.35">
      <c r="A4927" s="26" t="s">
        <v>543</v>
      </c>
      <c r="B4927" s="26" t="s">
        <v>543</v>
      </c>
      <c r="C4927" s="26"/>
      <c r="D4927" s="26" t="s">
        <v>543</v>
      </c>
      <c r="E4927" s="26" t="str">
        <f>IFERROR(VLOOKUP(G4927,WholesaleExtract!B:J,9,FALSE),"")</f>
        <v/>
      </c>
      <c r="F4927" s="26" t="str">
        <f>IFERROR(VLOOKUP(G4927,WholesaleExtract!B:J,6,FALSE),"")</f>
        <v/>
      </c>
      <c r="H4927" s="47" t="str">
        <f>IFERROR(VLOOKUP(G4927,WholesaleExtract!B:L,11,FALSE),"")</f>
        <v/>
      </c>
      <c r="I4927" s="26" t="str">
        <f>IFERROR(VLOOKUP(G4927,WholesaleExtract!B:O,8,FALSE),"")</f>
        <v/>
      </c>
      <c r="J4927" s="26" t="str">
        <f>IFERROR(VLOOKUP(G4927,WholesaleExtract!B:O,14,FALSE),"")</f>
        <v/>
      </c>
      <c r="K4927" s="26" t="str">
        <f>IFERROR(VLOOKUP(G4927,WholesaleExtract!B:K,10,FALSE),"")</f>
        <v/>
      </c>
      <c r="L4927" s="47" t="str">
        <f>IFERROR(VLOOKUP(G4927,WholesaleExtract!B:L,11,FALSE),"")</f>
        <v/>
      </c>
      <c r="M4927" s="47" t="str">
        <f>IFERROR(VLOOKUP(G4927,WholesaleExtract!B:M,12,FALSE),"")</f>
        <v/>
      </c>
      <c r="R4927" s="19"/>
      <c r="S4927" s="19"/>
    </row>
    <row r="4928" spans="1:19" x14ac:dyDescent="0.35">
      <c r="A4928" s="26" t="s">
        <v>543</v>
      </c>
      <c r="B4928" s="26" t="s">
        <v>543</v>
      </c>
      <c r="C4928" s="26"/>
      <c r="D4928" s="26" t="s">
        <v>543</v>
      </c>
      <c r="E4928" s="26" t="str">
        <f>IFERROR(VLOOKUP(G4928,WholesaleExtract!B:J,9,FALSE),"")</f>
        <v/>
      </c>
      <c r="F4928" s="26" t="str">
        <f>IFERROR(VLOOKUP(G4928,WholesaleExtract!B:J,6,FALSE),"")</f>
        <v/>
      </c>
      <c r="H4928" s="47" t="str">
        <f>IFERROR(VLOOKUP(G4928,WholesaleExtract!B:L,11,FALSE),"")</f>
        <v/>
      </c>
      <c r="I4928" s="26" t="str">
        <f>IFERROR(VLOOKUP(G4928,WholesaleExtract!B:O,8,FALSE),"")</f>
        <v/>
      </c>
      <c r="J4928" s="26" t="str">
        <f>IFERROR(VLOOKUP(G4928,WholesaleExtract!B:O,14,FALSE),"")</f>
        <v/>
      </c>
      <c r="K4928" s="26" t="str">
        <f>IFERROR(VLOOKUP(G4928,WholesaleExtract!B:K,10,FALSE),"")</f>
        <v/>
      </c>
      <c r="L4928" s="47" t="str">
        <f>IFERROR(VLOOKUP(G4928,WholesaleExtract!B:L,11,FALSE),"")</f>
        <v/>
      </c>
      <c r="M4928" s="47" t="str">
        <f>IFERROR(VLOOKUP(G4928,WholesaleExtract!B:M,12,FALSE),"")</f>
        <v/>
      </c>
      <c r="R4928" s="19"/>
      <c r="S4928" s="19"/>
    </row>
    <row r="4929" spans="1:19" x14ac:dyDescent="0.35">
      <c r="A4929" s="26" t="s">
        <v>543</v>
      </c>
      <c r="B4929" s="26" t="s">
        <v>543</v>
      </c>
      <c r="C4929" s="26"/>
      <c r="D4929" s="26" t="s">
        <v>543</v>
      </c>
      <c r="E4929" s="26" t="str">
        <f>IFERROR(VLOOKUP(G4929,WholesaleExtract!B:J,9,FALSE),"")</f>
        <v/>
      </c>
      <c r="F4929" s="26" t="str">
        <f>IFERROR(VLOOKUP(G4929,WholesaleExtract!B:J,6,FALSE),"")</f>
        <v/>
      </c>
      <c r="H4929" s="47" t="str">
        <f>IFERROR(VLOOKUP(G4929,WholesaleExtract!B:L,11,FALSE),"")</f>
        <v/>
      </c>
      <c r="I4929" s="26" t="str">
        <f>IFERROR(VLOOKUP(G4929,WholesaleExtract!B:O,8,FALSE),"")</f>
        <v/>
      </c>
      <c r="J4929" s="26" t="str">
        <f>IFERROR(VLOOKUP(G4929,WholesaleExtract!B:O,14,FALSE),"")</f>
        <v/>
      </c>
      <c r="K4929" s="26" t="str">
        <f>IFERROR(VLOOKUP(G4929,WholesaleExtract!B:K,10,FALSE),"")</f>
        <v/>
      </c>
      <c r="L4929" s="47" t="str">
        <f>IFERROR(VLOOKUP(G4929,WholesaleExtract!B:L,11,FALSE),"")</f>
        <v/>
      </c>
      <c r="M4929" s="47" t="str">
        <f>IFERROR(VLOOKUP(G4929,WholesaleExtract!B:M,12,FALSE),"")</f>
        <v/>
      </c>
      <c r="R4929" s="19"/>
      <c r="S4929" s="19"/>
    </row>
    <row r="4930" spans="1:19" x14ac:dyDescent="0.35">
      <c r="A4930" s="26" t="s">
        <v>543</v>
      </c>
      <c r="B4930" s="26" t="s">
        <v>543</v>
      </c>
      <c r="C4930" s="26"/>
      <c r="D4930" s="26" t="s">
        <v>543</v>
      </c>
      <c r="E4930" s="26" t="str">
        <f>IFERROR(VLOOKUP(G4930,WholesaleExtract!B:J,9,FALSE),"")</f>
        <v/>
      </c>
      <c r="F4930" s="26" t="str">
        <f>IFERROR(VLOOKUP(G4930,WholesaleExtract!B:J,6,FALSE),"")</f>
        <v/>
      </c>
      <c r="H4930" s="47" t="str">
        <f>IFERROR(VLOOKUP(G4930,WholesaleExtract!B:L,11,FALSE),"")</f>
        <v/>
      </c>
      <c r="I4930" s="26" t="str">
        <f>IFERROR(VLOOKUP(G4930,WholesaleExtract!B:O,8,FALSE),"")</f>
        <v/>
      </c>
      <c r="J4930" s="26" t="str">
        <f>IFERROR(VLOOKUP(G4930,WholesaleExtract!B:O,14,FALSE),"")</f>
        <v/>
      </c>
      <c r="K4930" s="26" t="str">
        <f>IFERROR(VLOOKUP(G4930,WholesaleExtract!B:K,10,FALSE),"")</f>
        <v/>
      </c>
      <c r="L4930" s="47" t="str">
        <f>IFERROR(VLOOKUP(G4930,WholesaleExtract!B:L,11,FALSE),"")</f>
        <v/>
      </c>
      <c r="M4930" s="47" t="str">
        <f>IFERROR(VLOOKUP(G4930,WholesaleExtract!B:M,12,FALSE),"")</f>
        <v/>
      </c>
      <c r="R4930" s="19"/>
      <c r="S4930" s="19"/>
    </row>
    <row r="4931" spans="1:19" x14ac:dyDescent="0.35">
      <c r="A4931" s="26" t="s">
        <v>543</v>
      </c>
      <c r="B4931" s="26" t="s">
        <v>543</v>
      </c>
      <c r="C4931" s="26"/>
      <c r="D4931" s="26" t="s">
        <v>543</v>
      </c>
      <c r="E4931" s="26" t="str">
        <f>IFERROR(VLOOKUP(G4931,WholesaleExtract!B:J,9,FALSE),"")</f>
        <v/>
      </c>
      <c r="F4931" s="26" t="str">
        <f>IFERROR(VLOOKUP(G4931,WholesaleExtract!B:J,6,FALSE),"")</f>
        <v/>
      </c>
      <c r="H4931" s="47" t="str">
        <f>IFERROR(VLOOKUP(G4931,WholesaleExtract!B:L,11,FALSE),"")</f>
        <v/>
      </c>
      <c r="I4931" s="26" t="str">
        <f>IFERROR(VLOOKUP(G4931,WholesaleExtract!B:O,8,FALSE),"")</f>
        <v/>
      </c>
      <c r="J4931" s="26" t="str">
        <f>IFERROR(VLOOKUP(G4931,WholesaleExtract!B:O,14,FALSE),"")</f>
        <v/>
      </c>
      <c r="K4931" s="26" t="str">
        <f>IFERROR(VLOOKUP(G4931,WholesaleExtract!B:K,10,FALSE),"")</f>
        <v/>
      </c>
      <c r="L4931" s="47" t="str">
        <f>IFERROR(VLOOKUP(G4931,WholesaleExtract!B:L,11,FALSE),"")</f>
        <v/>
      </c>
      <c r="M4931" s="47" t="str">
        <f>IFERROR(VLOOKUP(G4931,WholesaleExtract!B:M,12,FALSE),"")</f>
        <v/>
      </c>
      <c r="R4931" s="19"/>
      <c r="S4931" s="19"/>
    </row>
    <row r="4932" spans="1:19" x14ac:dyDescent="0.35">
      <c r="A4932" s="26" t="s">
        <v>543</v>
      </c>
      <c r="B4932" s="26" t="s">
        <v>543</v>
      </c>
      <c r="C4932" s="26"/>
      <c r="D4932" s="26" t="s">
        <v>543</v>
      </c>
      <c r="E4932" s="26" t="str">
        <f>IFERROR(VLOOKUP(G4932,WholesaleExtract!B:J,9,FALSE),"")</f>
        <v/>
      </c>
      <c r="F4932" s="26" t="str">
        <f>IFERROR(VLOOKUP(G4932,WholesaleExtract!B:J,6,FALSE),"")</f>
        <v/>
      </c>
      <c r="H4932" s="47" t="str">
        <f>IFERROR(VLOOKUP(G4932,WholesaleExtract!B:L,11,FALSE),"")</f>
        <v/>
      </c>
      <c r="I4932" s="26" t="str">
        <f>IFERROR(VLOOKUP(G4932,WholesaleExtract!B:O,8,FALSE),"")</f>
        <v/>
      </c>
      <c r="J4932" s="26" t="str">
        <f>IFERROR(VLOOKUP(G4932,WholesaleExtract!B:O,14,FALSE),"")</f>
        <v/>
      </c>
      <c r="K4932" s="26" t="str">
        <f>IFERROR(VLOOKUP(G4932,WholesaleExtract!B:K,10,FALSE),"")</f>
        <v/>
      </c>
      <c r="L4932" s="47" t="str">
        <f>IFERROR(VLOOKUP(G4932,WholesaleExtract!B:L,11,FALSE),"")</f>
        <v/>
      </c>
      <c r="M4932" s="47" t="str">
        <f>IFERROR(VLOOKUP(G4932,WholesaleExtract!B:M,12,FALSE),"")</f>
        <v/>
      </c>
      <c r="R4932" s="19"/>
      <c r="S4932" s="19"/>
    </row>
    <row r="4933" spans="1:19" x14ac:dyDescent="0.35">
      <c r="A4933" s="26" t="s">
        <v>543</v>
      </c>
      <c r="B4933" s="26" t="s">
        <v>543</v>
      </c>
      <c r="C4933" s="26"/>
      <c r="D4933" s="26" t="s">
        <v>543</v>
      </c>
      <c r="E4933" s="26" t="str">
        <f>IFERROR(VLOOKUP(G4933,WholesaleExtract!B:J,9,FALSE),"")</f>
        <v/>
      </c>
      <c r="F4933" s="26" t="str">
        <f>IFERROR(VLOOKUP(G4933,WholesaleExtract!B:J,6,FALSE),"")</f>
        <v/>
      </c>
      <c r="H4933" s="47" t="str">
        <f>IFERROR(VLOOKUP(G4933,WholesaleExtract!B:L,11,FALSE),"")</f>
        <v/>
      </c>
      <c r="I4933" s="26" t="str">
        <f>IFERROR(VLOOKUP(G4933,WholesaleExtract!B:O,8,FALSE),"")</f>
        <v/>
      </c>
      <c r="J4933" s="26" t="str">
        <f>IFERROR(VLOOKUP(G4933,WholesaleExtract!B:O,14,FALSE),"")</f>
        <v/>
      </c>
      <c r="K4933" s="26" t="str">
        <f>IFERROR(VLOOKUP(G4933,WholesaleExtract!B:K,10,FALSE),"")</f>
        <v/>
      </c>
      <c r="L4933" s="47" t="str">
        <f>IFERROR(VLOOKUP(G4933,WholesaleExtract!B:L,11,FALSE),"")</f>
        <v/>
      </c>
      <c r="M4933" s="47" t="str">
        <f>IFERROR(VLOOKUP(G4933,WholesaleExtract!B:M,12,FALSE),"")</f>
        <v/>
      </c>
      <c r="R4933" s="19"/>
      <c r="S4933" s="19"/>
    </row>
    <row r="4934" spans="1:19" x14ac:dyDescent="0.35">
      <c r="A4934" s="26" t="s">
        <v>543</v>
      </c>
      <c r="B4934" s="26" t="s">
        <v>543</v>
      </c>
      <c r="C4934" s="26"/>
      <c r="D4934" s="26" t="s">
        <v>543</v>
      </c>
      <c r="E4934" s="26" t="str">
        <f>IFERROR(VLOOKUP(G4934,WholesaleExtract!B:J,9,FALSE),"")</f>
        <v/>
      </c>
      <c r="F4934" s="26" t="str">
        <f>IFERROR(VLOOKUP(G4934,WholesaleExtract!B:J,6,FALSE),"")</f>
        <v/>
      </c>
      <c r="H4934" s="47" t="str">
        <f>IFERROR(VLOOKUP(G4934,WholesaleExtract!B:L,11,FALSE),"")</f>
        <v/>
      </c>
      <c r="I4934" s="26" t="str">
        <f>IFERROR(VLOOKUP(G4934,WholesaleExtract!B:O,8,FALSE),"")</f>
        <v/>
      </c>
      <c r="J4934" s="26" t="str">
        <f>IFERROR(VLOOKUP(G4934,WholesaleExtract!B:O,14,FALSE),"")</f>
        <v/>
      </c>
      <c r="K4934" s="26" t="str">
        <f>IFERROR(VLOOKUP(G4934,WholesaleExtract!B:K,10,FALSE),"")</f>
        <v/>
      </c>
      <c r="L4934" s="47" t="str">
        <f>IFERROR(VLOOKUP(G4934,WholesaleExtract!B:L,11,FALSE),"")</f>
        <v/>
      </c>
      <c r="M4934" s="47" t="str">
        <f>IFERROR(VLOOKUP(G4934,WholesaleExtract!B:M,12,FALSE),"")</f>
        <v/>
      </c>
      <c r="R4934" s="19"/>
      <c r="S4934" s="19"/>
    </row>
    <row r="4935" spans="1:19" x14ac:dyDescent="0.35">
      <c r="A4935" s="26" t="s">
        <v>543</v>
      </c>
      <c r="B4935" s="26" t="s">
        <v>543</v>
      </c>
      <c r="C4935" s="26"/>
      <c r="D4935" s="26" t="s">
        <v>543</v>
      </c>
      <c r="E4935" s="26" t="str">
        <f>IFERROR(VLOOKUP(G4935,WholesaleExtract!B:J,9,FALSE),"")</f>
        <v/>
      </c>
      <c r="F4935" s="26" t="str">
        <f>IFERROR(VLOOKUP(G4935,WholesaleExtract!B:J,6,FALSE),"")</f>
        <v/>
      </c>
      <c r="H4935" s="47" t="str">
        <f>IFERROR(VLOOKUP(G4935,WholesaleExtract!B:L,11,FALSE),"")</f>
        <v/>
      </c>
      <c r="I4935" s="26" t="str">
        <f>IFERROR(VLOOKUP(G4935,WholesaleExtract!B:O,8,FALSE),"")</f>
        <v/>
      </c>
      <c r="J4935" s="26" t="str">
        <f>IFERROR(VLOOKUP(G4935,WholesaleExtract!B:O,14,FALSE),"")</f>
        <v/>
      </c>
      <c r="K4935" s="26" t="str">
        <f>IFERROR(VLOOKUP(G4935,WholesaleExtract!B:K,10,FALSE),"")</f>
        <v/>
      </c>
      <c r="L4935" s="47" t="str">
        <f>IFERROR(VLOOKUP(G4935,WholesaleExtract!B:L,11,FALSE),"")</f>
        <v/>
      </c>
      <c r="M4935" s="47" t="str">
        <f>IFERROR(VLOOKUP(G4935,WholesaleExtract!B:M,12,FALSE),"")</f>
        <v/>
      </c>
      <c r="R4935" s="19"/>
      <c r="S4935" s="19"/>
    </row>
    <row r="4936" spans="1:19" x14ac:dyDescent="0.35">
      <c r="A4936" s="26" t="s">
        <v>543</v>
      </c>
      <c r="B4936" s="26" t="s">
        <v>543</v>
      </c>
      <c r="C4936" s="26"/>
      <c r="D4936" s="26" t="s">
        <v>543</v>
      </c>
      <c r="E4936" s="26" t="str">
        <f>IFERROR(VLOOKUP(G4936,WholesaleExtract!B:J,9,FALSE),"")</f>
        <v/>
      </c>
      <c r="F4936" s="26" t="str">
        <f>IFERROR(VLOOKUP(G4936,WholesaleExtract!B:J,6,FALSE),"")</f>
        <v/>
      </c>
      <c r="H4936" s="47" t="str">
        <f>IFERROR(VLOOKUP(G4936,WholesaleExtract!B:L,11,FALSE),"")</f>
        <v/>
      </c>
      <c r="I4936" s="26" t="str">
        <f>IFERROR(VLOOKUP(G4936,WholesaleExtract!B:O,8,FALSE),"")</f>
        <v/>
      </c>
      <c r="J4936" s="26" t="str">
        <f>IFERROR(VLOOKUP(G4936,WholesaleExtract!B:O,14,FALSE),"")</f>
        <v/>
      </c>
      <c r="K4936" s="26" t="str">
        <f>IFERROR(VLOOKUP(G4936,WholesaleExtract!B:K,10,FALSE),"")</f>
        <v/>
      </c>
      <c r="L4936" s="47" t="str">
        <f>IFERROR(VLOOKUP(G4936,WholesaleExtract!B:L,11,FALSE),"")</f>
        <v/>
      </c>
      <c r="M4936" s="47" t="str">
        <f>IFERROR(VLOOKUP(G4936,WholesaleExtract!B:M,12,FALSE),"")</f>
        <v/>
      </c>
      <c r="R4936" s="19"/>
      <c r="S4936" s="19"/>
    </row>
    <row r="4937" spans="1:19" x14ac:dyDescent="0.35">
      <c r="A4937" s="26" t="s">
        <v>543</v>
      </c>
      <c r="B4937" s="26" t="s">
        <v>543</v>
      </c>
      <c r="C4937" s="26"/>
      <c r="D4937" s="26" t="s">
        <v>543</v>
      </c>
      <c r="E4937" s="26" t="str">
        <f>IFERROR(VLOOKUP(G4937,WholesaleExtract!B:J,9,FALSE),"")</f>
        <v/>
      </c>
      <c r="F4937" s="26" t="str">
        <f>IFERROR(VLOOKUP(G4937,WholesaleExtract!B:J,6,FALSE),"")</f>
        <v/>
      </c>
      <c r="H4937" s="47" t="str">
        <f>IFERROR(VLOOKUP(G4937,WholesaleExtract!B:L,11,FALSE),"")</f>
        <v/>
      </c>
      <c r="I4937" s="26" t="str">
        <f>IFERROR(VLOOKUP(G4937,WholesaleExtract!B:O,8,FALSE),"")</f>
        <v/>
      </c>
      <c r="J4937" s="26" t="str">
        <f>IFERROR(VLOOKUP(G4937,WholesaleExtract!B:O,14,FALSE),"")</f>
        <v/>
      </c>
      <c r="K4937" s="26" t="str">
        <f>IFERROR(VLOOKUP(G4937,WholesaleExtract!B:K,10,FALSE),"")</f>
        <v/>
      </c>
      <c r="L4937" s="47" t="str">
        <f>IFERROR(VLOOKUP(G4937,WholesaleExtract!B:L,11,FALSE),"")</f>
        <v/>
      </c>
      <c r="M4937" s="47" t="str">
        <f>IFERROR(VLOOKUP(G4937,WholesaleExtract!B:M,12,FALSE),"")</f>
        <v/>
      </c>
      <c r="R4937" s="19"/>
      <c r="S4937" s="19"/>
    </row>
    <row r="4938" spans="1:19" x14ac:dyDescent="0.35">
      <c r="A4938" s="26" t="s">
        <v>543</v>
      </c>
      <c r="B4938" s="26" t="s">
        <v>543</v>
      </c>
      <c r="C4938" s="26"/>
      <c r="D4938" s="26" t="s">
        <v>543</v>
      </c>
      <c r="E4938" s="26" t="str">
        <f>IFERROR(VLOOKUP(G4938,WholesaleExtract!B:J,9,FALSE),"")</f>
        <v/>
      </c>
      <c r="F4938" s="26" t="str">
        <f>IFERROR(VLOOKUP(G4938,WholesaleExtract!B:J,6,FALSE),"")</f>
        <v/>
      </c>
      <c r="H4938" s="47" t="str">
        <f>IFERROR(VLOOKUP(G4938,WholesaleExtract!B:L,11,FALSE),"")</f>
        <v/>
      </c>
      <c r="I4938" s="26" t="str">
        <f>IFERROR(VLOOKUP(G4938,WholesaleExtract!B:O,8,FALSE),"")</f>
        <v/>
      </c>
      <c r="J4938" s="26" t="str">
        <f>IFERROR(VLOOKUP(G4938,WholesaleExtract!B:O,14,FALSE),"")</f>
        <v/>
      </c>
      <c r="K4938" s="26" t="str">
        <f>IFERROR(VLOOKUP(G4938,WholesaleExtract!B:K,10,FALSE),"")</f>
        <v/>
      </c>
      <c r="L4938" s="47" t="str">
        <f>IFERROR(VLOOKUP(G4938,WholesaleExtract!B:L,11,FALSE),"")</f>
        <v/>
      </c>
      <c r="M4938" s="47" t="str">
        <f>IFERROR(VLOOKUP(G4938,WholesaleExtract!B:M,12,FALSE),"")</f>
        <v/>
      </c>
      <c r="R4938" s="19"/>
      <c r="S4938" s="19"/>
    </row>
    <row r="4939" spans="1:19" x14ac:dyDescent="0.35">
      <c r="A4939" s="26" t="s">
        <v>543</v>
      </c>
      <c r="B4939" s="26" t="s">
        <v>543</v>
      </c>
      <c r="C4939" s="26"/>
      <c r="D4939" s="26" t="s">
        <v>543</v>
      </c>
      <c r="E4939" s="26" t="str">
        <f>IFERROR(VLOOKUP(G4939,WholesaleExtract!B:J,9,FALSE),"")</f>
        <v/>
      </c>
      <c r="F4939" s="26" t="str">
        <f>IFERROR(VLOOKUP(G4939,WholesaleExtract!B:J,6,FALSE),"")</f>
        <v/>
      </c>
      <c r="H4939" s="47" t="str">
        <f>IFERROR(VLOOKUP(G4939,WholesaleExtract!B:L,11,FALSE),"")</f>
        <v/>
      </c>
      <c r="I4939" s="26" t="str">
        <f>IFERROR(VLOOKUP(G4939,WholesaleExtract!B:O,8,FALSE),"")</f>
        <v/>
      </c>
      <c r="J4939" s="26" t="str">
        <f>IFERROR(VLOOKUP(G4939,WholesaleExtract!B:O,14,FALSE),"")</f>
        <v/>
      </c>
      <c r="K4939" s="26" t="str">
        <f>IFERROR(VLOOKUP(G4939,WholesaleExtract!B:K,10,FALSE),"")</f>
        <v/>
      </c>
      <c r="L4939" s="47" t="str">
        <f>IFERROR(VLOOKUP(G4939,WholesaleExtract!B:L,11,FALSE),"")</f>
        <v/>
      </c>
      <c r="M4939" s="47" t="str">
        <f>IFERROR(VLOOKUP(G4939,WholesaleExtract!B:M,12,FALSE),"")</f>
        <v/>
      </c>
      <c r="R4939" s="19"/>
      <c r="S4939" s="19"/>
    </row>
    <row r="4940" spans="1:19" x14ac:dyDescent="0.35">
      <c r="A4940" s="26" t="s">
        <v>543</v>
      </c>
      <c r="B4940" s="26" t="s">
        <v>543</v>
      </c>
      <c r="C4940" s="26"/>
      <c r="D4940" s="26" t="s">
        <v>543</v>
      </c>
      <c r="E4940" s="26" t="str">
        <f>IFERROR(VLOOKUP(G4940,WholesaleExtract!B:J,9,FALSE),"")</f>
        <v/>
      </c>
      <c r="F4940" s="26" t="str">
        <f>IFERROR(VLOOKUP(G4940,WholesaleExtract!B:J,6,FALSE),"")</f>
        <v/>
      </c>
      <c r="H4940" s="47" t="str">
        <f>IFERROR(VLOOKUP(G4940,WholesaleExtract!B:L,11,FALSE),"")</f>
        <v/>
      </c>
      <c r="I4940" s="26" t="str">
        <f>IFERROR(VLOOKUP(G4940,WholesaleExtract!B:O,8,FALSE),"")</f>
        <v/>
      </c>
      <c r="J4940" s="26" t="str">
        <f>IFERROR(VLOOKUP(G4940,WholesaleExtract!B:O,14,FALSE),"")</f>
        <v/>
      </c>
      <c r="K4940" s="26" t="str">
        <f>IFERROR(VLOOKUP(G4940,WholesaleExtract!B:K,10,FALSE),"")</f>
        <v/>
      </c>
      <c r="L4940" s="47" t="str">
        <f>IFERROR(VLOOKUP(G4940,WholesaleExtract!B:L,11,FALSE),"")</f>
        <v/>
      </c>
      <c r="M4940" s="47" t="str">
        <f>IFERROR(VLOOKUP(G4940,WholesaleExtract!B:M,12,FALSE),"")</f>
        <v/>
      </c>
      <c r="R4940" s="19"/>
      <c r="S4940" s="19"/>
    </row>
    <row r="4941" spans="1:19" x14ac:dyDescent="0.35">
      <c r="A4941" s="26" t="s">
        <v>543</v>
      </c>
      <c r="B4941" s="26" t="s">
        <v>543</v>
      </c>
      <c r="C4941" s="26"/>
      <c r="D4941" s="26" t="s">
        <v>543</v>
      </c>
      <c r="E4941" s="26" t="str">
        <f>IFERROR(VLOOKUP(G4941,WholesaleExtract!B:J,9,FALSE),"")</f>
        <v/>
      </c>
      <c r="F4941" s="26" t="str">
        <f>IFERROR(VLOOKUP(G4941,WholesaleExtract!B:J,6,FALSE),"")</f>
        <v/>
      </c>
      <c r="H4941" s="47" t="str">
        <f>IFERROR(VLOOKUP(G4941,WholesaleExtract!B:L,11,FALSE),"")</f>
        <v/>
      </c>
      <c r="I4941" s="26" t="str">
        <f>IFERROR(VLOOKUP(G4941,WholesaleExtract!B:O,8,FALSE),"")</f>
        <v/>
      </c>
      <c r="J4941" s="26" t="str">
        <f>IFERROR(VLOOKUP(G4941,WholesaleExtract!B:O,14,FALSE),"")</f>
        <v/>
      </c>
      <c r="K4941" s="26" t="str">
        <f>IFERROR(VLOOKUP(G4941,WholesaleExtract!B:K,10,FALSE),"")</f>
        <v/>
      </c>
      <c r="L4941" s="47" t="str">
        <f>IFERROR(VLOOKUP(G4941,WholesaleExtract!B:L,11,FALSE),"")</f>
        <v/>
      </c>
      <c r="M4941" s="47" t="str">
        <f>IFERROR(VLOOKUP(G4941,WholesaleExtract!B:M,12,FALSE),"")</f>
        <v/>
      </c>
      <c r="R4941" s="19"/>
      <c r="S4941" s="19"/>
    </row>
    <row r="4942" spans="1:19" x14ac:dyDescent="0.35">
      <c r="A4942" s="26" t="s">
        <v>543</v>
      </c>
      <c r="B4942" s="26" t="s">
        <v>543</v>
      </c>
      <c r="C4942" s="26"/>
      <c r="D4942" s="26" t="s">
        <v>543</v>
      </c>
      <c r="E4942" s="26" t="str">
        <f>IFERROR(VLOOKUP(G4942,WholesaleExtract!B:J,9,FALSE),"")</f>
        <v/>
      </c>
      <c r="F4942" s="26" t="str">
        <f>IFERROR(VLOOKUP(G4942,WholesaleExtract!B:J,6,FALSE),"")</f>
        <v/>
      </c>
      <c r="H4942" s="47" t="str">
        <f>IFERROR(VLOOKUP(G4942,WholesaleExtract!B:L,11,FALSE),"")</f>
        <v/>
      </c>
      <c r="I4942" s="26" t="str">
        <f>IFERROR(VLOOKUP(G4942,WholesaleExtract!B:O,8,FALSE),"")</f>
        <v/>
      </c>
      <c r="J4942" s="26" t="str">
        <f>IFERROR(VLOOKUP(G4942,WholesaleExtract!B:O,14,FALSE),"")</f>
        <v/>
      </c>
      <c r="K4942" s="26" t="str">
        <f>IFERROR(VLOOKUP(G4942,WholesaleExtract!B:K,10,FALSE),"")</f>
        <v/>
      </c>
      <c r="L4942" s="47" t="str">
        <f>IFERROR(VLOOKUP(G4942,WholesaleExtract!B:L,11,FALSE),"")</f>
        <v/>
      </c>
      <c r="M4942" s="47" t="str">
        <f>IFERROR(VLOOKUP(G4942,WholesaleExtract!B:M,12,FALSE),"")</f>
        <v/>
      </c>
      <c r="R4942" s="19"/>
      <c r="S4942" s="19"/>
    </row>
    <row r="4943" spans="1:19" x14ac:dyDescent="0.35">
      <c r="A4943" s="26" t="s">
        <v>543</v>
      </c>
      <c r="B4943" s="26" t="s">
        <v>543</v>
      </c>
      <c r="C4943" s="26"/>
      <c r="D4943" s="26" t="s">
        <v>543</v>
      </c>
      <c r="E4943" s="26" t="str">
        <f>IFERROR(VLOOKUP(G4943,WholesaleExtract!B:J,9,FALSE),"")</f>
        <v/>
      </c>
      <c r="F4943" s="26" t="str">
        <f>IFERROR(VLOOKUP(G4943,WholesaleExtract!B:J,6,FALSE),"")</f>
        <v/>
      </c>
      <c r="H4943" s="47" t="str">
        <f>IFERROR(VLOOKUP(G4943,WholesaleExtract!B:L,11,FALSE),"")</f>
        <v/>
      </c>
      <c r="I4943" s="26" t="str">
        <f>IFERROR(VLOOKUP(G4943,WholesaleExtract!B:O,8,FALSE),"")</f>
        <v/>
      </c>
      <c r="J4943" s="26" t="str">
        <f>IFERROR(VLOOKUP(G4943,WholesaleExtract!B:O,14,FALSE),"")</f>
        <v/>
      </c>
      <c r="K4943" s="26" t="str">
        <f>IFERROR(VLOOKUP(G4943,WholesaleExtract!B:K,10,FALSE),"")</f>
        <v/>
      </c>
      <c r="L4943" s="47" t="str">
        <f>IFERROR(VLOOKUP(G4943,WholesaleExtract!B:L,11,FALSE),"")</f>
        <v/>
      </c>
      <c r="M4943" s="47" t="str">
        <f>IFERROR(VLOOKUP(G4943,WholesaleExtract!B:M,12,FALSE),"")</f>
        <v/>
      </c>
      <c r="R4943" s="19"/>
      <c r="S4943" s="19"/>
    </row>
    <row r="4944" spans="1:19" x14ac:dyDescent="0.35">
      <c r="A4944" s="26" t="s">
        <v>543</v>
      </c>
      <c r="B4944" s="26" t="s">
        <v>543</v>
      </c>
      <c r="C4944" s="26"/>
      <c r="D4944" s="26" t="s">
        <v>543</v>
      </c>
      <c r="E4944" s="26" t="str">
        <f>IFERROR(VLOOKUP(G4944,WholesaleExtract!B:J,9,FALSE),"")</f>
        <v/>
      </c>
      <c r="F4944" s="26" t="str">
        <f>IFERROR(VLOOKUP(G4944,WholesaleExtract!B:J,6,FALSE),"")</f>
        <v/>
      </c>
      <c r="H4944" s="47" t="str">
        <f>IFERROR(VLOOKUP(G4944,WholesaleExtract!B:L,11,FALSE),"")</f>
        <v/>
      </c>
      <c r="I4944" s="26" t="str">
        <f>IFERROR(VLOOKUP(G4944,WholesaleExtract!B:O,8,FALSE),"")</f>
        <v/>
      </c>
      <c r="J4944" s="26" t="str">
        <f>IFERROR(VLOOKUP(G4944,WholesaleExtract!B:O,14,FALSE),"")</f>
        <v/>
      </c>
      <c r="K4944" s="26" t="str">
        <f>IFERROR(VLOOKUP(G4944,WholesaleExtract!B:K,10,FALSE),"")</f>
        <v/>
      </c>
      <c r="L4944" s="47" t="str">
        <f>IFERROR(VLOOKUP(G4944,WholesaleExtract!B:L,11,FALSE),"")</f>
        <v/>
      </c>
      <c r="M4944" s="47" t="str">
        <f>IFERROR(VLOOKUP(G4944,WholesaleExtract!B:M,12,FALSE),"")</f>
        <v/>
      </c>
      <c r="R4944" s="19"/>
      <c r="S4944" s="19"/>
    </row>
    <row r="4945" spans="1:19" x14ac:dyDescent="0.35">
      <c r="A4945" s="26" t="s">
        <v>543</v>
      </c>
      <c r="B4945" s="26" t="s">
        <v>543</v>
      </c>
      <c r="C4945" s="26"/>
      <c r="D4945" s="26" t="s">
        <v>543</v>
      </c>
      <c r="E4945" s="26" t="str">
        <f>IFERROR(VLOOKUP(G4945,WholesaleExtract!B:J,9,FALSE),"")</f>
        <v/>
      </c>
      <c r="F4945" s="26" t="str">
        <f>IFERROR(VLOOKUP(G4945,WholesaleExtract!B:J,6,FALSE),"")</f>
        <v/>
      </c>
      <c r="H4945" s="47" t="str">
        <f>IFERROR(VLOOKUP(G4945,WholesaleExtract!B:L,11,FALSE),"")</f>
        <v/>
      </c>
      <c r="I4945" s="26" t="str">
        <f>IFERROR(VLOOKUP(G4945,WholesaleExtract!B:O,8,FALSE),"")</f>
        <v/>
      </c>
      <c r="J4945" s="26" t="str">
        <f>IFERROR(VLOOKUP(G4945,WholesaleExtract!B:O,14,FALSE),"")</f>
        <v/>
      </c>
      <c r="K4945" s="26" t="str">
        <f>IFERROR(VLOOKUP(G4945,WholesaleExtract!B:K,10,FALSE),"")</f>
        <v/>
      </c>
      <c r="L4945" s="47" t="str">
        <f>IFERROR(VLOOKUP(G4945,WholesaleExtract!B:L,11,FALSE),"")</f>
        <v/>
      </c>
      <c r="M4945" s="47" t="str">
        <f>IFERROR(VLOOKUP(G4945,WholesaleExtract!B:M,12,FALSE),"")</f>
        <v/>
      </c>
      <c r="R4945" s="19"/>
      <c r="S4945" s="19"/>
    </row>
    <row r="4946" spans="1:19" x14ac:dyDescent="0.35">
      <c r="A4946" s="26" t="s">
        <v>543</v>
      </c>
      <c r="B4946" s="26" t="s">
        <v>543</v>
      </c>
      <c r="C4946" s="26"/>
      <c r="D4946" s="26" t="s">
        <v>543</v>
      </c>
      <c r="E4946" s="26" t="str">
        <f>IFERROR(VLOOKUP(G4946,WholesaleExtract!B:J,9,FALSE),"")</f>
        <v/>
      </c>
      <c r="F4946" s="26" t="str">
        <f>IFERROR(VLOOKUP(G4946,WholesaleExtract!B:J,6,FALSE),"")</f>
        <v/>
      </c>
      <c r="H4946" s="47" t="str">
        <f>IFERROR(VLOOKUP(G4946,WholesaleExtract!B:L,11,FALSE),"")</f>
        <v/>
      </c>
      <c r="I4946" s="26" t="str">
        <f>IFERROR(VLOOKUP(G4946,WholesaleExtract!B:O,8,FALSE),"")</f>
        <v/>
      </c>
      <c r="J4946" s="26" t="str">
        <f>IFERROR(VLOOKUP(G4946,WholesaleExtract!B:O,14,FALSE),"")</f>
        <v/>
      </c>
      <c r="K4946" s="26" t="str">
        <f>IFERROR(VLOOKUP(G4946,WholesaleExtract!B:K,10,FALSE),"")</f>
        <v/>
      </c>
      <c r="L4946" s="47" t="str">
        <f>IFERROR(VLOOKUP(G4946,WholesaleExtract!B:L,11,FALSE),"")</f>
        <v/>
      </c>
      <c r="M4946" s="47" t="str">
        <f>IFERROR(VLOOKUP(G4946,WholesaleExtract!B:M,12,FALSE),"")</f>
        <v/>
      </c>
      <c r="R4946" s="19"/>
      <c r="S4946" s="19"/>
    </row>
    <row r="4947" spans="1:19" x14ac:dyDescent="0.35">
      <c r="A4947" s="26" t="s">
        <v>543</v>
      </c>
      <c r="B4947" s="26" t="s">
        <v>543</v>
      </c>
      <c r="C4947" s="26"/>
      <c r="D4947" s="26" t="s">
        <v>543</v>
      </c>
      <c r="E4947" s="26" t="str">
        <f>IFERROR(VLOOKUP(G4947,WholesaleExtract!B:J,9,FALSE),"")</f>
        <v/>
      </c>
      <c r="F4947" s="26" t="str">
        <f>IFERROR(VLOOKUP(G4947,WholesaleExtract!B:J,6,FALSE),"")</f>
        <v/>
      </c>
      <c r="H4947" s="47" t="str">
        <f>IFERROR(VLOOKUP(G4947,WholesaleExtract!B:L,11,FALSE),"")</f>
        <v/>
      </c>
      <c r="I4947" s="26" t="str">
        <f>IFERROR(VLOOKUP(G4947,WholesaleExtract!B:O,8,FALSE),"")</f>
        <v/>
      </c>
      <c r="J4947" s="26" t="str">
        <f>IFERROR(VLOOKUP(G4947,WholesaleExtract!B:O,14,FALSE),"")</f>
        <v/>
      </c>
      <c r="K4947" s="26" t="str">
        <f>IFERROR(VLOOKUP(G4947,WholesaleExtract!B:K,10,FALSE),"")</f>
        <v/>
      </c>
      <c r="L4947" s="47" t="str">
        <f>IFERROR(VLOOKUP(G4947,WholesaleExtract!B:L,11,FALSE),"")</f>
        <v/>
      </c>
      <c r="M4947" s="47" t="str">
        <f>IFERROR(VLOOKUP(G4947,WholesaleExtract!B:M,12,FALSE),"")</f>
        <v/>
      </c>
      <c r="R4947" s="19"/>
      <c r="S4947" s="19"/>
    </row>
    <row r="4948" spans="1:19" x14ac:dyDescent="0.35">
      <c r="A4948" s="26" t="s">
        <v>543</v>
      </c>
      <c r="B4948" s="26" t="s">
        <v>543</v>
      </c>
      <c r="C4948" s="26"/>
      <c r="D4948" s="26" t="s">
        <v>543</v>
      </c>
      <c r="E4948" s="26" t="str">
        <f>IFERROR(VLOOKUP(G4948,WholesaleExtract!B:J,9,FALSE),"")</f>
        <v/>
      </c>
      <c r="F4948" s="26" t="str">
        <f>IFERROR(VLOOKUP(G4948,WholesaleExtract!B:J,6,FALSE),"")</f>
        <v/>
      </c>
      <c r="H4948" s="47" t="str">
        <f>IFERROR(VLOOKUP(G4948,WholesaleExtract!B:L,11,FALSE),"")</f>
        <v/>
      </c>
      <c r="I4948" s="26" t="str">
        <f>IFERROR(VLOOKUP(G4948,WholesaleExtract!B:O,8,FALSE),"")</f>
        <v/>
      </c>
      <c r="J4948" s="26" t="str">
        <f>IFERROR(VLOOKUP(G4948,WholesaleExtract!B:O,14,FALSE),"")</f>
        <v/>
      </c>
      <c r="K4948" s="26" t="str">
        <f>IFERROR(VLOOKUP(G4948,WholesaleExtract!B:K,10,FALSE),"")</f>
        <v/>
      </c>
      <c r="L4948" s="47" t="str">
        <f>IFERROR(VLOOKUP(G4948,WholesaleExtract!B:L,11,FALSE),"")</f>
        <v/>
      </c>
      <c r="M4948" s="47" t="str">
        <f>IFERROR(VLOOKUP(G4948,WholesaleExtract!B:M,12,FALSE),"")</f>
        <v/>
      </c>
      <c r="R4948" s="19"/>
      <c r="S4948" s="19"/>
    </row>
    <row r="4949" spans="1:19" x14ac:dyDescent="0.35">
      <c r="A4949" s="26" t="s">
        <v>543</v>
      </c>
      <c r="B4949" s="26" t="s">
        <v>543</v>
      </c>
      <c r="C4949" s="26"/>
      <c r="D4949" s="26" t="s">
        <v>543</v>
      </c>
      <c r="E4949" s="26" t="str">
        <f>IFERROR(VLOOKUP(G4949,WholesaleExtract!B:J,9,FALSE),"")</f>
        <v/>
      </c>
      <c r="F4949" s="26" t="str">
        <f>IFERROR(VLOOKUP(G4949,WholesaleExtract!B:J,6,FALSE),"")</f>
        <v/>
      </c>
      <c r="H4949" s="47" t="str">
        <f>IFERROR(VLOOKUP(G4949,WholesaleExtract!B:L,11,FALSE),"")</f>
        <v/>
      </c>
      <c r="I4949" s="26" t="str">
        <f>IFERROR(VLOOKUP(G4949,WholesaleExtract!B:O,8,FALSE),"")</f>
        <v/>
      </c>
      <c r="J4949" s="26" t="str">
        <f>IFERROR(VLOOKUP(G4949,WholesaleExtract!B:O,14,FALSE),"")</f>
        <v/>
      </c>
      <c r="K4949" s="26" t="str">
        <f>IFERROR(VLOOKUP(G4949,WholesaleExtract!B:K,10,FALSE),"")</f>
        <v/>
      </c>
      <c r="L4949" s="47" t="str">
        <f>IFERROR(VLOOKUP(G4949,WholesaleExtract!B:L,11,FALSE),"")</f>
        <v/>
      </c>
      <c r="M4949" s="47" t="str">
        <f>IFERROR(VLOOKUP(G4949,WholesaleExtract!B:M,12,FALSE),"")</f>
        <v/>
      </c>
      <c r="R4949" s="19"/>
      <c r="S4949" s="19"/>
    </row>
    <row r="4950" spans="1:19" x14ac:dyDescent="0.35">
      <c r="A4950" s="26" t="s">
        <v>543</v>
      </c>
      <c r="B4950" s="26" t="s">
        <v>543</v>
      </c>
      <c r="C4950" s="26"/>
      <c r="D4950" s="26" t="s">
        <v>543</v>
      </c>
      <c r="E4950" s="26" t="str">
        <f>IFERROR(VLOOKUP(G4950,WholesaleExtract!B:J,9,FALSE),"")</f>
        <v/>
      </c>
      <c r="F4950" s="26" t="str">
        <f>IFERROR(VLOOKUP(G4950,WholesaleExtract!B:J,6,FALSE),"")</f>
        <v/>
      </c>
      <c r="H4950" s="47" t="str">
        <f>IFERROR(VLOOKUP(G4950,WholesaleExtract!B:L,11,FALSE),"")</f>
        <v/>
      </c>
      <c r="I4950" s="26" t="str">
        <f>IFERROR(VLOOKUP(G4950,WholesaleExtract!B:O,8,FALSE),"")</f>
        <v/>
      </c>
      <c r="J4950" s="26" t="str">
        <f>IFERROR(VLOOKUP(G4950,WholesaleExtract!B:O,14,FALSE),"")</f>
        <v/>
      </c>
      <c r="K4950" s="26" t="str">
        <f>IFERROR(VLOOKUP(G4950,WholesaleExtract!B:K,10,FALSE),"")</f>
        <v/>
      </c>
      <c r="L4950" s="47" t="str">
        <f>IFERROR(VLOOKUP(G4950,WholesaleExtract!B:L,11,FALSE),"")</f>
        <v/>
      </c>
      <c r="M4950" s="47" t="str">
        <f>IFERROR(VLOOKUP(G4950,WholesaleExtract!B:M,12,FALSE),"")</f>
        <v/>
      </c>
      <c r="R4950" s="19"/>
      <c r="S4950" s="19"/>
    </row>
    <row r="4951" spans="1:19" x14ac:dyDescent="0.35">
      <c r="A4951" s="26" t="s">
        <v>543</v>
      </c>
      <c r="B4951" s="26" t="s">
        <v>543</v>
      </c>
      <c r="C4951" s="26"/>
      <c r="D4951" s="26" t="s">
        <v>543</v>
      </c>
      <c r="E4951" s="26" t="str">
        <f>IFERROR(VLOOKUP(G4951,WholesaleExtract!B:J,9,FALSE),"")</f>
        <v/>
      </c>
      <c r="F4951" s="26" t="str">
        <f>IFERROR(VLOOKUP(G4951,WholesaleExtract!B:J,6,FALSE),"")</f>
        <v/>
      </c>
      <c r="H4951" s="47" t="str">
        <f>IFERROR(VLOOKUP(G4951,WholesaleExtract!B:L,11,FALSE),"")</f>
        <v/>
      </c>
      <c r="I4951" s="26" t="str">
        <f>IFERROR(VLOOKUP(G4951,WholesaleExtract!B:O,8,FALSE),"")</f>
        <v/>
      </c>
      <c r="J4951" s="26" t="str">
        <f>IFERROR(VLOOKUP(G4951,WholesaleExtract!B:O,14,FALSE),"")</f>
        <v/>
      </c>
      <c r="K4951" s="26" t="str">
        <f>IFERROR(VLOOKUP(G4951,WholesaleExtract!B:K,10,FALSE),"")</f>
        <v/>
      </c>
      <c r="L4951" s="47" t="str">
        <f>IFERROR(VLOOKUP(G4951,WholesaleExtract!B:L,11,FALSE),"")</f>
        <v/>
      </c>
      <c r="M4951" s="47" t="str">
        <f>IFERROR(VLOOKUP(G4951,WholesaleExtract!B:M,12,FALSE),"")</f>
        <v/>
      </c>
      <c r="R4951" s="19"/>
      <c r="S4951" s="19"/>
    </row>
    <row r="4952" spans="1:19" x14ac:dyDescent="0.35">
      <c r="A4952" s="26" t="s">
        <v>543</v>
      </c>
      <c r="B4952" s="26" t="s">
        <v>543</v>
      </c>
      <c r="C4952" s="26"/>
      <c r="D4952" s="26" t="s">
        <v>543</v>
      </c>
      <c r="E4952" s="26" t="str">
        <f>IFERROR(VLOOKUP(G4952,WholesaleExtract!B:J,9,FALSE),"")</f>
        <v/>
      </c>
      <c r="F4952" s="26" t="str">
        <f>IFERROR(VLOOKUP(G4952,WholesaleExtract!B:J,6,FALSE),"")</f>
        <v/>
      </c>
      <c r="H4952" s="47" t="str">
        <f>IFERROR(VLOOKUP(G4952,WholesaleExtract!B:L,11,FALSE),"")</f>
        <v/>
      </c>
      <c r="I4952" s="26" t="str">
        <f>IFERROR(VLOOKUP(G4952,WholesaleExtract!B:O,8,FALSE),"")</f>
        <v/>
      </c>
      <c r="J4952" s="26" t="str">
        <f>IFERROR(VLOOKUP(G4952,WholesaleExtract!B:O,14,FALSE),"")</f>
        <v/>
      </c>
      <c r="K4952" s="26" t="str">
        <f>IFERROR(VLOOKUP(G4952,WholesaleExtract!B:K,10,FALSE),"")</f>
        <v/>
      </c>
      <c r="L4952" s="47" t="str">
        <f>IFERROR(VLOOKUP(G4952,WholesaleExtract!B:L,11,FALSE),"")</f>
        <v/>
      </c>
      <c r="M4952" s="47" t="str">
        <f>IFERROR(VLOOKUP(G4952,WholesaleExtract!B:M,12,FALSE),"")</f>
        <v/>
      </c>
      <c r="R4952" s="19"/>
      <c r="S4952" s="19"/>
    </row>
    <row r="4953" spans="1:19" x14ac:dyDescent="0.35">
      <c r="A4953" s="26" t="s">
        <v>543</v>
      </c>
      <c r="B4953" s="26" t="s">
        <v>543</v>
      </c>
      <c r="C4953" s="26"/>
      <c r="D4953" s="26" t="s">
        <v>543</v>
      </c>
      <c r="E4953" s="26" t="str">
        <f>IFERROR(VLOOKUP(G4953,WholesaleExtract!B:J,9,FALSE),"")</f>
        <v/>
      </c>
      <c r="F4953" s="26" t="str">
        <f>IFERROR(VLOOKUP(G4953,WholesaleExtract!B:J,6,FALSE),"")</f>
        <v/>
      </c>
      <c r="H4953" s="47" t="str">
        <f>IFERROR(VLOOKUP(G4953,WholesaleExtract!B:L,11,FALSE),"")</f>
        <v/>
      </c>
      <c r="I4953" s="26" t="str">
        <f>IFERROR(VLOOKUP(G4953,WholesaleExtract!B:O,8,FALSE),"")</f>
        <v/>
      </c>
      <c r="J4953" s="26" t="str">
        <f>IFERROR(VLOOKUP(G4953,WholesaleExtract!B:O,14,FALSE),"")</f>
        <v/>
      </c>
      <c r="K4953" s="26" t="str">
        <f>IFERROR(VLOOKUP(G4953,WholesaleExtract!B:K,10,FALSE),"")</f>
        <v/>
      </c>
      <c r="L4953" s="47" t="str">
        <f>IFERROR(VLOOKUP(G4953,WholesaleExtract!B:L,11,FALSE),"")</f>
        <v/>
      </c>
      <c r="M4953" s="47" t="str">
        <f>IFERROR(VLOOKUP(G4953,WholesaleExtract!B:M,12,FALSE),"")</f>
        <v/>
      </c>
      <c r="R4953" s="19"/>
      <c r="S4953" s="19"/>
    </row>
    <row r="4954" spans="1:19" x14ac:dyDescent="0.35">
      <c r="A4954" s="26" t="s">
        <v>543</v>
      </c>
      <c r="B4954" s="26" t="s">
        <v>543</v>
      </c>
      <c r="C4954" s="26"/>
      <c r="D4954" s="26" t="s">
        <v>543</v>
      </c>
      <c r="E4954" s="26" t="str">
        <f>IFERROR(VLOOKUP(G4954,WholesaleExtract!B:J,9,FALSE),"")</f>
        <v/>
      </c>
      <c r="F4954" s="26" t="str">
        <f>IFERROR(VLOOKUP(G4954,WholesaleExtract!B:J,6,FALSE),"")</f>
        <v/>
      </c>
      <c r="H4954" s="47" t="str">
        <f>IFERROR(VLOOKUP(G4954,WholesaleExtract!B:L,11,FALSE),"")</f>
        <v/>
      </c>
      <c r="I4954" s="26" t="str">
        <f>IFERROR(VLOOKUP(G4954,WholesaleExtract!B:O,8,FALSE),"")</f>
        <v/>
      </c>
      <c r="J4954" s="26" t="str">
        <f>IFERROR(VLOOKUP(G4954,WholesaleExtract!B:O,14,FALSE),"")</f>
        <v/>
      </c>
      <c r="K4954" s="26" t="str">
        <f>IFERROR(VLOOKUP(G4954,WholesaleExtract!B:K,10,FALSE),"")</f>
        <v/>
      </c>
      <c r="L4954" s="47" t="str">
        <f>IFERROR(VLOOKUP(G4954,WholesaleExtract!B:L,11,FALSE),"")</f>
        <v/>
      </c>
      <c r="M4954" s="47" t="str">
        <f>IFERROR(VLOOKUP(G4954,WholesaleExtract!B:M,12,FALSE),"")</f>
        <v/>
      </c>
      <c r="R4954" s="19"/>
      <c r="S4954" s="19"/>
    </row>
    <row r="4955" spans="1:19" x14ac:dyDescent="0.35">
      <c r="A4955" s="26" t="s">
        <v>543</v>
      </c>
      <c r="B4955" s="26" t="s">
        <v>543</v>
      </c>
      <c r="C4955" s="26"/>
      <c r="D4955" s="26" t="s">
        <v>543</v>
      </c>
      <c r="E4955" s="26" t="str">
        <f>IFERROR(VLOOKUP(G4955,WholesaleExtract!B:J,9,FALSE),"")</f>
        <v/>
      </c>
      <c r="F4955" s="26" t="str">
        <f>IFERROR(VLOOKUP(G4955,WholesaleExtract!B:J,6,FALSE),"")</f>
        <v/>
      </c>
      <c r="H4955" s="47" t="str">
        <f>IFERROR(VLOOKUP(G4955,WholesaleExtract!B:L,11,FALSE),"")</f>
        <v/>
      </c>
      <c r="I4955" s="26" t="str">
        <f>IFERROR(VLOOKUP(G4955,WholesaleExtract!B:O,8,FALSE),"")</f>
        <v/>
      </c>
      <c r="J4955" s="26" t="str">
        <f>IFERROR(VLOOKUP(G4955,WholesaleExtract!B:O,14,FALSE),"")</f>
        <v/>
      </c>
      <c r="K4955" s="26" t="str">
        <f>IFERROR(VLOOKUP(G4955,WholesaleExtract!B:K,10,FALSE),"")</f>
        <v/>
      </c>
      <c r="L4955" s="47" t="str">
        <f>IFERROR(VLOOKUP(G4955,WholesaleExtract!B:L,11,FALSE),"")</f>
        <v/>
      </c>
      <c r="M4955" s="47" t="str">
        <f>IFERROR(VLOOKUP(G4955,WholesaleExtract!B:M,12,FALSE),"")</f>
        <v/>
      </c>
      <c r="R4955" s="19"/>
      <c r="S4955" s="19"/>
    </row>
    <row r="4956" spans="1:19" x14ac:dyDescent="0.35">
      <c r="A4956" s="26" t="s">
        <v>543</v>
      </c>
      <c r="B4956" s="26" t="s">
        <v>543</v>
      </c>
      <c r="C4956" s="26"/>
      <c r="D4956" s="26" t="s">
        <v>543</v>
      </c>
      <c r="E4956" s="26" t="str">
        <f>IFERROR(VLOOKUP(G4956,WholesaleExtract!B:J,9,FALSE),"")</f>
        <v/>
      </c>
      <c r="F4956" s="26" t="str">
        <f>IFERROR(VLOOKUP(G4956,WholesaleExtract!B:J,6,FALSE),"")</f>
        <v/>
      </c>
      <c r="H4956" s="47" t="str">
        <f>IFERROR(VLOOKUP(G4956,WholesaleExtract!B:L,11,FALSE),"")</f>
        <v/>
      </c>
      <c r="I4956" s="26" t="str">
        <f>IFERROR(VLOOKUP(G4956,WholesaleExtract!B:O,8,FALSE),"")</f>
        <v/>
      </c>
      <c r="J4956" s="26" t="str">
        <f>IFERROR(VLOOKUP(G4956,WholesaleExtract!B:O,14,FALSE),"")</f>
        <v/>
      </c>
      <c r="K4956" s="26" t="str">
        <f>IFERROR(VLOOKUP(G4956,WholesaleExtract!B:K,10,FALSE),"")</f>
        <v/>
      </c>
      <c r="L4956" s="47" t="str">
        <f>IFERROR(VLOOKUP(G4956,WholesaleExtract!B:L,11,FALSE),"")</f>
        <v/>
      </c>
      <c r="M4956" s="47" t="str">
        <f>IFERROR(VLOOKUP(G4956,WholesaleExtract!B:M,12,FALSE),"")</f>
        <v/>
      </c>
      <c r="R4956" s="19"/>
      <c r="S4956" s="19"/>
    </row>
    <row r="4957" spans="1:19" x14ac:dyDescent="0.35">
      <c r="A4957" s="26" t="s">
        <v>543</v>
      </c>
      <c r="B4957" s="26" t="s">
        <v>543</v>
      </c>
      <c r="C4957" s="26"/>
      <c r="D4957" s="26" t="s">
        <v>543</v>
      </c>
      <c r="E4957" s="26" t="str">
        <f>IFERROR(VLOOKUP(G4957,WholesaleExtract!B:J,9,FALSE),"")</f>
        <v/>
      </c>
      <c r="F4957" s="26" t="str">
        <f>IFERROR(VLOOKUP(G4957,WholesaleExtract!B:J,6,FALSE),"")</f>
        <v/>
      </c>
      <c r="H4957" s="47" t="str">
        <f>IFERROR(VLOOKUP(G4957,WholesaleExtract!B:L,11,FALSE),"")</f>
        <v/>
      </c>
      <c r="I4957" s="26" t="str">
        <f>IFERROR(VLOOKUP(G4957,WholesaleExtract!B:O,8,FALSE),"")</f>
        <v/>
      </c>
      <c r="J4957" s="26" t="str">
        <f>IFERROR(VLOOKUP(G4957,WholesaleExtract!B:O,14,FALSE),"")</f>
        <v/>
      </c>
      <c r="K4957" s="26" t="str">
        <f>IFERROR(VLOOKUP(G4957,WholesaleExtract!B:K,10,FALSE),"")</f>
        <v/>
      </c>
      <c r="L4957" s="47" t="str">
        <f>IFERROR(VLOOKUP(G4957,WholesaleExtract!B:L,11,FALSE),"")</f>
        <v/>
      </c>
      <c r="M4957" s="47" t="str">
        <f>IFERROR(VLOOKUP(G4957,WholesaleExtract!B:M,12,FALSE),"")</f>
        <v/>
      </c>
      <c r="R4957" s="19"/>
      <c r="S4957" s="19"/>
    </row>
    <row r="4958" spans="1:19" x14ac:dyDescent="0.35">
      <c r="A4958" s="26" t="s">
        <v>543</v>
      </c>
      <c r="B4958" s="26" t="s">
        <v>543</v>
      </c>
      <c r="C4958" s="26"/>
      <c r="D4958" s="26" t="s">
        <v>543</v>
      </c>
      <c r="E4958" s="26" t="str">
        <f>IFERROR(VLOOKUP(G4958,WholesaleExtract!B:J,9,FALSE),"")</f>
        <v/>
      </c>
      <c r="F4958" s="26" t="str">
        <f>IFERROR(VLOOKUP(G4958,WholesaleExtract!B:J,6,FALSE),"")</f>
        <v/>
      </c>
      <c r="H4958" s="47" t="str">
        <f>IFERROR(VLOOKUP(G4958,WholesaleExtract!B:L,11,FALSE),"")</f>
        <v/>
      </c>
      <c r="I4958" s="26" t="str">
        <f>IFERROR(VLOOKUP(G4958,WholesaleExtract!B:O,8,FALSE),"")</f>
        <v/>
      </c>
      <c r="J4958" s="26" t="str">
        <f>IFERROR(VLOOKUP(G4958,WholesaleExtract!B:O,14,FALSE),"")</f>
        <v/>
      </c>
      <c r="K4958" s="26" t="str">
        <f>IFERROR(VLOOKUP(G4958,WholesaleExtract!B:K,10,FALSE),"")</f>
        <v/>
      </c>
      <c r="L4958" s="47" t="str">
        <f>IFERROR(VLOOKUP(G4958,WholesaleExtract!B:L,11,FALSE),"")</f>
        <v/>
      </c>
      <c r="M4958" s="47" t="str">
        <f>IFERROR(VLOOKUP(G4958,WholesaleExtract!B:M,12,FALSE),"")</f>
        <v/>
      </c>
      <c r="R4958" s="19"/>
      <c r="S4958" s="19"/>
    </row>
    <row r="4959" spans="1:19" x14ac:dyDescent="0.35">
      <c r="A4959" s="26" t="s">
        <v>543</v>
      </c>
      <c r="B4959" s="26" t="s">
        <v>543</v>
      </c>
      <c r="C4959" s="26"/>
      <c r="D4959" s="26" t="s">
        <v>543</v>
      </c>
      <c r="E4959" s="26" t="str">
        <f>IFERROR(VLOOKUP(G4959,WholesaleExtract!B:J,9,FALSE),"")</f>
        <v/>
      </c>
      <c r="F4959" s="26" t="str">
        <f>IFERROR(VLOOKUP(G4959,WholesaleExtract!B:J,6,FALSE),"")</f>
        <v/>
      </c>
      <c r="H4959" s="47" t="str">
        <f>IFERROR(VLOOKUP(G4959,WholesaleExtract!B:L,11,FALSE),"")</f>
        <v/>
      </c>
      <c r="I4959" s="26" t="str">
        <f>IFERROR(VLOOKUP(G4959,WholesaleExtract!B:O,8,FALSE),"")</f>
        <v/>
      </c>
      <c r="J4959" s="26" t="str">
        <f>IFERROR(VLOOKUP(G4959,WholesaleExtract!B:O,14,FALSE),"")</f>
        <v/>
      </c>
      <c r="K4959" s="26" t="str">
        <f>IFERROR(VLOOKUP(G4959,WholesaleExtract!B:K,10,FALSE),"")</f>
        <v/>
      </c>
      <c r="L4959" s="47" t="str">
        <f>IFERROR(VLOOKUP(G4959,WholesaleExtract!B:L,11,FALSE),"")</f>
        <v/>
      </c>
      <c r="M4959" s="47" t="str">
        <f>IFERROR(VLOOKUP(G4959,WholesaleExtract!B:M,12,FALSE),"")</f>
        <v/>
      </c>
      <c r="R4959" s="19"/>
      <c r="S4959" s="19"/>
    </row>
    <row r="4960" spans="1:19" x14ac:dyDescent="0.35">
      <c r="A4960" s="26" t="s">
        <v>543</v>
      </c>
      <c r="B4960" s="26" t="s">
        <v>543</v>
      </c>
      <c r="C4960" s="26"/>
      <c r="D4960" s="26" t="s">
        <v>543</v>
      </c>
      <c r="E4960" s="26" t="str">
        <f>IFERROR(VLOOKUP(G4960,WholesaleExtract!B:J,9,FALSE),"")</f>
        <v/>
      </c>
      <c r="F4960" s="26" t="str">
        <f>IFERROR(VLOOKUP(G4960,WholesaleExtract!B:J,6,FALSE),"")</f>
        <v/>
      </c>
      <c r="H4960" s="47" t="str">
        <f>IFERROR(VLOOKUP(G4960,WholesaleExtract!B:L,11,FALSE),"")</f>
        <v/>
      </c>
      <c r="I4960" s="26" t="str">
        <f>IFERROR(VLOOKUP(G4960,WholesaleExtract!B:O,8,FALSE),"")</f>
        <v/>
      </c>
      <c r="J4960" s="26" t="str">
        <f>IFERROR(VLOOKUP(G4960,WholesaleExtract!B:O,14,FALSE),"")</f>
        <v/>
      </c>
      <c r="K4960" s="26" t="str">
        <f>IFERROR(VLOOKUP(G4960,WholesaleExtract!B:K,10,FALSE),"")</f>
        <v/>
      </c>
      <c r="L4960" s="47" t="str">
        <f>IFERROR(VLOOKUP(G4960,WholesaleExtract!B:L,11,FALSE),"")</f>
        <v/>
      </c>
      <c r="M4960" s="47" t="str">
        <f>IFERROR(VLOOKUP(G4960,WholesaleExtract!B:M,12,FALSE),"")</f>
        <v/>
      </c>
      <c r="R4960" s="19"/>
      <c r="S4960" s="19"/>
    </row>
    <row r="4961" spans="1:19" x14ac:dyDescent="0.35">
      <c r="A4961" s="26" t="s">
        <v>543</v>
      </c>
      <c r="B4961" s="26" t="s">
        <v>543</v>
      </c>
      <c r="C4961" s="26"/>
      <c r="D4961" s="26" t="s">
        <v>543</v>
      </c>
      <c r="E4961" s="26" t="str">
        <f>IFERROR(VLOOKUP(G4961,WholesaleExtract!B:J,9,FALSE),"")</f>
        <v/>
      </c>
      <c r="F4961" s="26" t="str">
        <f>IFERROR(VLOOKUP(G4961,WholesaleExtract!B:J,6,FALSE),"")</f>
        <v/>
      </c>
      <c r="H4961" s="47" t="str">
        <f>IFERROR(VLOOKUP(G4961,WholesaleExtract!B:L,11,FALSE),"")</f>
        <v/>
      </c>
      <c r="I4961" s="26" t="str">
        <f>IFERROR(VLOOKUP(G4961,WholesaleExtract!B:O,8,FALSE),"")</f>
        <v/>
      </c>
      <c r="J4961" s="26" t="str">
        <f>IFERROR(VLOOKUP(G4961,WholesaleExtract!B:O,14,FALSE),"")</f>
        <v/>
      </c>
      <c r="K4961" s="26" t="str">
        <f>IFERROR(VLOOKUP(G4961,WholesaleExtract!B:K,10,FALSE),"")</f>
        <v/>
      </c>
      <c r="L4961" s="47" t="str">
        <f>IFERROR(VLOOKUP(G4961,WholesaleExtract!B:L,11,FALSE),"")</f>
        <v/>
      </c>
      <c r="M4961" s="47" t="str">
        <f>IFERROR(VLOOKUP(G4961,WholesaleExtract!B:M,12,FALSE),"")</f>
        <v/>
      </c>
      <c r="R4961" s="19"/>
      <c r="S4961" s="19"/>
    </row>
    <row r="4962" spans="1:19" x14ac:dyDescent="0.35">
      <c r="A4962" s="26" t="s">
        <v>543</v>
      </c>
      <c r="B4962" s="26" t="s">
        <v>543</v>
      </c>
      <c r="C4962" s="26"/>
      <c r="D4962" s="26" t="s">
        <v>543</v>
      </c>
      <c r="E4962" s="26" t="str">
        <f>IFERROR(VLOOKUP(G4962,WholesaleExtract!B:J,9,FALSE),"")</f>
        <v/>
      </c>
      <c r="F4962" s="26" t="str">
        <f>IFERROR(VLOOKUP(G4962,WholesaleExtract!B:J,6,FALSE),"")</f>
        <v/>
      </c>
      <c r="H4962" s="47" t="str">
        <f>IFERROR(VLOOKUP(G4962,WholesaleExtract!B:L,11,FALSE),"")</f>
        <v/>
      </c>
      <c r="I4962" s="26" t="str">
        <f>IFERROR(VLOOKUP(G4962,WholesaleExtract!B:O,8,FALSE),"")</f>
        <v/>
      </c>
      <c r="J4962" s="26" t="str">
        <f>IFERROR(VLOOKUP(G4962,WholesaleExtract!B:O,14,FALSE),"")</f>
        <v/>
      </c>
      <c r="K4962" s="26" t="str">
        <f>IFERROR(VLOOKUP(G4962,WholesaleExtract!B:K,10,FALSE),"")</f>
        <v/>
      </c>
      <c r="L4962" s="47" t="str">
        <f>IFERROR(VLOOKUP(G4962,WholesaleExtract!B:L,11,FALSE),"")</f>
        <v/>
      </c>
      <c r="M4962" s="47" t="str">
        <f>IFERROR(VLOOKUP(G4962,WholesaleExtract!B:M,12,FALSE),"")</f>
        <v/>
      </c>
      <c r="R4962" s="19"/>
      <c r="S4962" s="19"/>
    </row>
    <row r="4963" spans="1:19" x14ac:dyDescent="0.35">
      <c r="A4963" s="26" t="s">
        <v>543</v>
      </c>
      <c r="B4963" s="26" t="s">
        <v>543</v>
      </c>
      <c r="C4963" s="26"/>
      <c r="D4963" s="26" t="s">
        <v>543</v>
      </c>
      <c r="E4963" s="26" t="str">
        <f>IFERROR(VLOOKUP(G4963,WholesaleExtract!B:J,9,FALSE),"")</f>
        <v/>
      </c>
      <c r="F4963" s="26" t="str">
        <f>IFERROR(VLOOKUP(G4963,WholesaleExtract!B:J,6,FALSE),"")</f>
        <v/>
      </c>
      <c r="H4963" s="47" t="str">
        <f>IFERROR(VLOOKUP(G4963,WholesaleExtract!B:L,11,FALSE),"")</f>
        <v/>
      </c>
      <c r="I4963" s="26" t="str">
        <f>IFERROR(VLOOKUP(G4963,WholesaleExtract!B:O,8,FALSE),"")</f>
        <v/>
      </c>
      <c r="J4963" s="26" t="str">
        <f>IFERROR(VLOOKUP(G4963,WholesaleExtract!B:O,14,FALSE),"")</f>
        <v/>
      </c>
      <c r="K4963" s="26" t="str">
        <f>IFERROR(VLOOKUP(G4963,WholesaleExtract!B:K,10,FALSE),"")</f>
        <v/>
      </c>
      <c r="L4963" s="47" t="str">
        <f>IFERROR(VLOOKUP(G4963,WholesaleExtract!B:L,11,FALSE),"")</f>
        <v/>
      </c>
      <c r="M4963" s="47" t="str">
        <f>IFERROR(VLOOKUP(G4963,WholesaleExtract!B:M,12,FALSE),"")</f>
        <v/>
      </c>
      <c r="R4963" s="19"/>
      <c r="S4963" s="19"/>
    </row>
    <row r="4964" spans="1:19" x14ac:dyDescent="0.35">
      <c r="A4964" s="26" t="s">
        <v>543</v>
      </c>
      <c r="B4964" s="26" t="s">
        <v>543</v>
      </c>
      <c r="C4964" s="26"/>
      <c r="D4964" s="26" t="s">
        <v>543</v>
      </c>
      <c r="E4964" s="26" t="str">
        <f>IFERROR(VLOOKUP(G4964,WholesaleExtract!B:J,9,FALSE),"")</f>
        <v/>
      </c>
      <c r="F4964" s="26" t="str">
        <f>IFERROR(VLOOKUP(G4964,WholesaleExtract!B:J,6,FALSE),"")</f>
        <v/>
      </c>
      <c r="H4964" s="47" t="str">
        <f>IFERROR(VLOOKUP(G4964,WholesaleExtract!B:L,11,FALSE),"")</f>
        <v/>
      </c>
      <c r="I4964" s="26" t="str">
        <f>IFERROR(VLOOKUP(G4964,WholesaleExtract!B:O,8,FALSE),"")</f>
        <v/>
      </c>
      <c r="J4964" s="26" t="str">
        <f>IFERROR(VLOOKUP(G4964,WholesaleExtract!B:O,14,FALSE),"")</f>
        <v/>
      </c>
      <c r="K4964" s="26" t="str">
        <f>IFERROR(VLOOKUP(G4964,WholesaleExtract!B:K,10,FALSE),"")</f>
        <v/>
      </c>
      <c r="L4964" s="47" t="str">
        <f>IFERROR(VLOOKUP(G4964,WholesaleExtract!B:L,11,FALSE),"")</f>
        <v/>
      </c>
      <c r="M4964" s="47" t="str">
        <f>IFERROR(VLOOKUP(G4964,WholesaleExtract!B:M,12,FALSE),"")</f>
        <v/>
      </c>
      <c r="R4964" s="19"/>
      <c r="S4964" s="19"/>
    </row>
    <row r="4965" spans="1:19" x14ac:dyDescent="0.35">
      <c r="A4965" s="26" t="s">
        <v>543</v>
      </c>
      <c r="B4965" s="26" t="s">
        <v>543</v>
      </c>
      <c r="C4965" s="26"/>
      <c r="D4965" s="26" t="s">
        <v>543</v>
      </c>
      <c r="E4965" s="26" t="str">
        <f>IFERROR(VLOOKUP(G4965,WholesaleExtract!B:J,9,FALSE),"")</f>
        <v/>
      </c>
      <c r="F4965" s="26" t="str">
        <f>IFERROR(VLOOKUP(G4965,WholesaleExtract!B:J,6,FALSE),"")</f>
        <v/>
      </c>
      <c r="H4965" s="47" t="str">
        <f>IFERROR(VLOOKUP(G4965,WholesaleExtract!B:L,11,FALSE),"")</f>
        <v/>
      </c>
      <c r="I4965" s="26" t="str">
        <f>IFERROR(VLOOKUP(G4965,WholesaleExtract!B:O,8,FALSE),"")</f>
        <v/>
      </c>
      <c r="J4965" s="26" t="str">
        <f>IFERROR(VLOOKUP(G4965,WholesaleExtract!B:O,14,FALSE),"")</f>
        <v/>
      </c>
      <c r="K4965" s="26" t="str">
        <f>IFERROR(VLOOKUP(G4965,WholesaleExtract!B:K,10,FALSE),"")</f>
        <v/>
      </c>
      <c r="L4965" s="47" t="str">
        <f>IFERROR(VLOOKUP(G4965,WholesaleExtract!B:L,11,FALSE),"")</f>
        <v/>
      </c>
      <c r="M4965" s="47" t="str">
        <f>IFERROR(VLOOKUP(G4965,WholesaleExtract!B:M,12,FALSE),"")</f>
        <v/>
      </c>
      <c r="R4965" s="19"/>
      <c r="S4965" s="19"/>
    </row>
    <row r="4966" spans="1:19" x14ac:dyDescent="0.35">
      <c r="A4966" s="26" t="s">
        <v>543</v>
      </c>
      <c r="B4966" s="26" t="s">
        <v>543</v>
      </c>
      <c r="C4966" s="26"/>
      <c r="D4966" s="26" t="s">
        <v>543</v>
      </c>
      <c r="E4966" s="26" t="str">
        <f>IFERROR(VLOOKUP(G4966,WholesaleExtract!B:J,9,FALSE),"")</f>
        <v/>
      </c>
      <c r="F4966" s="26" t="str">
        <f>IFERROR(VLOOKUP(G4966,WholesaleExtract!B:J,6,FALSE),"")</f>
        <v/>
      </c>
      <c r="H4966" s="47" t="str">
        <f>IFERROR(VLOOKUP(G4966,WholesaleExtract!B:L,11,FALSE),"")</f>
        <v/>
      </c>
      <c r="I4966" s="26" t="str">
        <f>IFERROR(VLOOKUP(G4966,WholesaleExtract!B:O,8,FALSE),"")</f>
        <v/>
      </c>
      <c r="J4966" s="26" t="str">
        <f>IFERROR(VLOOKUP(G4966,WholesaleExtract!B:O,14,FALSE),"")</f>
        <v/>
      </c>
      <c r="K4966" s="26" t="str">
        <f>IFERROR(VLOOKUP(G4966,WholesaleExtract!B:K,10,FALSE),"")</f>
        <v/>
      </c>
      <c r="L4966" s="47" t="str">
        <f>IFERROR(VLOOKUP(G4966,WholesaleExtract!B:L,11,FALSE),"")</f>
        <v/>
      </c>
      <c r="M4966" s="47" t="str">
        <f>IFERROR(VLOOKUP(G4966,WholesaleExtract!B:M,12,FALSE),"")</f>
        <v/>
      </c>
      <c r="R4966" s="19"/>
      <c r="S4966" s="19"/>
    </row>
    <row r="4967" spans="1:19" x14ac:dyDescent="0.35">
      <c r="A4967" s="26" t="s">
        <v>543</v>
      </c>
      <c r="B4967" s="26" t="s">
        <v>543</v>
      </c>
      <c r="C4967" s="26"/>
      <c r="D4967" s="26" t="s">
        <v>543</v>
      </c>
      <c r="E4967" s="26" t="str">
        <f>IFERROR(VLOOKUP(G4967,WholesaleExtract!B:J,9,FALSE),"")</f>
        <v/>
      </c>
      <c r="F4967" s="26" t="str">
        <f>IFERROR(VLOOKUP(G4967,WholesaleExtract!B:J,6,FALSE),"")</f>
        <v/>
      </c>
      <c r="H4967" s="47" t="str">
        <f>IFERROR(VLOOKUP(G4967,WholesaleExtract!B:L,11,FALSE),"")</f>
        <v/>
      </c>
      <c r="I4967" s="26" t="str">
        <f>IFERROR(VLOOKUP(G4967,WholesaleExtract!B:O,8,FALSE),"")</f>
        <v/>
      </c>
      <c r="J4967" s="26" t="str">
        <f>IFERROR(VLOOKUP(G4967,WholesaleExtract!B:O,14,FALSE),"")</f>
        <v/>
      </c>
      <c r="K4967" s="26" t="str">
        <f>IFERROR(VLOOKUP(G4967,WholesaleExtract!B:K,10,FALSE),"")</f>
        <v/>
      </c>
      <c r="L4967" s="47" t="str">
        <f>IFERROR(VLOOKUP(G4967,WholesaleExtract!B:L,11,FALSE),"")</f>
        <v/>
      </c>
      <c r="M4967" s="47" t="str">
        <f>IFERROR(VLOOKUP(G4967,WholesaleExtract!B:M,12,FALSE),"")</f>
        <v/>
      </c>
      <c r="R4967" s="19"/>
      <c r="S4967" s="19"/>
    </row>
    <row r="4968" spans="1:19" x14ac:dyDescent="0.35">
      <c r="A4968" s="26" t="s">
        <v>543</v>
      </c>
      <c r="B4968" s="26" t="s">
        <v>543</v>
      </c>
      <c r="C4968" s="26"/>
      <c r="D4968" s="26" t="s">
        <v>543</v>
      </c>
      <c r="E4968" s="26" t="str">
        <f>IFERROR(VLOOKUP(G4968,WholesaleExtract!B:J,9,FALSE),"")</f>
        <v/>
      </c>
      <c r="F4968" s="26" t="str">
        <f>IFERROR(VLOOKUP(G4968,WholesaleExtract!B:J,6,FALSE),"")</f>
        <v/>
      </c>
      <c r="H4968" s="47" t="str">
        <f>IFERROR(VLOOKUP(G4968,WholesaleExtract!B:L,11,FALSE),"")</f>
        <v/>
      </c>
      <c r="I4968" s="26" t="str">
        <f>IFERROR(VLOOKUP(G4968,WholesaleExtract!B:O,8,FALSE),"")</f>
        <v/>
      </c>
      <c r="J4968" s="26" t="str">
        <f>IFERROR(VLOOKUP(G4968,WholesaleExtract!B:O,14,FALSE),"")</f>
        <v/>
      </c>
      <c r="K4968" s="26" t="str">
        <f>IFERROR(VLOOKUP(G4968,WholesaleExtract!B:K,10,FALSE),"")</f>
        <v/>
      </c>
      <c r="L4968" s="47" t="str">
        <f>IFERROR(VLOOKUP(G4968,WholesaleExtract!B:L,11,FALSE),"")</f>
        <v/>
      </c>
      <c r="M4968" s="47" t="str">
        <f>IFERROR(VLOOKUP(G4968,WholesaleExtract!B:M,12,FALSE),"")</f>
        <v/>
      </c>
      <c r="R4968" s="19"/>
      <c r="S4968" s="19"/>
    </row>
    <row r="4969" spans="1:19" x14ac:dyDescent="0.35">
      <c r="A4969" s="26" t="s">
        <v>543</v>
      </c>
      <c r="B4969" s="26" t="s">
        <v>543</v>
      </c>
      <c r="C4969" s="26"/>
      <c r="D4969" s="26" t="s">
        <v>543</v>
      </c>
      <c r="E4969" s="26" t="str">
        <f>IFERROR(VLOOKUP(G4969,WholesaleExtract!B:J,9,FALSE),"")</f>
        <v/>
      </c>
      <c r="F4969" s="26" t="str">
        <f>IFERROR(VLOOKUP(G4969,WholesaleExtract!B:J,6,FALSE),"")</f>
        <v/>
      </c>
      <c r="H4969" s="47" t="str">
        <f>IFERROR(VLOOKUP(G4969,WholesaleExtract!B:L,11,FALSE),"")</f>
        <v/>
      </c>
      <c r="I4969" s="26" t="str">
        <f>IFERROR(VLOOKUP(G4969,WholesaleExtract!B:O,8,FALSE),"")</f>
        <v/>
      </c>
      <c r="J4969" s="26" t="str">
        <f>IFERROR(VLOOKUP(G4969,WholesaleExtract!B:O,14,FALSE),"")</f>
        <v/>
      </c>
      <c r="K4969" s="26" t="str">
        <f>IFERROR(VLOOKUP(G4969,WholesaleExtract!B:K,10,FALSE),"")</f>
        <v/>
      </c>
      <c r="L4969" s="47" t="str">
        <f>IFERROR(VLOOKUP(G4969,WholesaleExtract!B:L,11,FALSE),"")</f>
        <v/>
      </c>
      <c r="M4969" s="47" t="str">
        <f>IFERROR(VLOOKUP(G4969,WholesaleExtract!B:M,12,FALSE),"")</f>
        <v/>
      </c>
      <c r="R4969" s="19"/>
      <c r="S4969" s="19"/>
    </row>
    <row r="4970" spans="1:19" x14ac:dyDescent="0.35">
      <c r="A4970" s="26" t="s">
        <v>543</v>
      </c>
      <c r="B4970" s="26" t="s">
        <v>543</v>
      </c>
      <c r="C4970" s="26"/>
      <c r="D4970" s="26" t="s">
        <v>543</v>
      </c>
      <c r="E4970" s="26" t="str">
        <f>IFERROR(VLOOKUP(G4970,WholesaleExtract!B:J,9,FALSE),"")</f>
        <v/>
      </c>
      <c r="F4970" s="26" t="str">
        <f>IFERROR(VLOOKUP(G4970,WholesaleExtract!B:J,6,FALSE),"")</f>
        <v/>
      </c>
      <c r="H4970" s="47" t="str">
        <f>IFERROR(VLOOKUP(G4970,WholesaleExtract!B:L,11,FALSE),"")</f>
        <v/>
      </c>
      <c r="I4970" s="26" t="str">
        <f>IFERROR(VLOOKUP(G4970,WholesaleExtract!B:O,8,FALSE),"")</f>
        <v/>
      </c>
      <c r="J4970" s="26" t="str">
        <f>IFERROR(VLOOKUP(G4970,WholesaleExtract!B:O,14,FALSE),"")</f>
        <v/>
      </c>
      <c r="K4970" s="26" t="str">
        <f>IFERROR(VLOOKUP(G4970,WholesaleExtract!B:K,10,FALSE),"")</f>
        <v/>
      </c>
      <c r="L4970" s="47" t="str">
        <f>IFERROR(VLOOKUP(G4970,WholesaleExtract!B:L,11,FALSE),"")</f>
        <v/>
      </c>
      <c r="M4970" s="47" t="str">
        <f>IFERROR(VLOOKUP(G4970,WholesaleExtract!B:M,12,FALSE),"")</f>
        <v/>
      </c>
      <c r="R4970" s="19"/>
      <c r="S4970" s="19"/>
    </row>
    <row r="4971" spans="1:19" x14ac:dyDescent="0.35">
      <c r="A4971" s="26" t="s">
        <v>543</v>
      </c>
      <c r="B4971" s="26" t="s">
        <v>543</v>
      </c>
      <c r="C4971" s="26"/>
      <c r="D4971" s="26" t="s">
        <v>543</v>
      </c>
      <c r="E4971" s="26" t="str">
        <f>IFERROR(VLOOKUP(G4971,WholesaleExtract!B:J,9,FALSE),"")</f>
        <v/>
      </c>
      <c r="F4971" s="26" t="str">
        <f>IFERROR(VLOOKUP(G4971,WholesaleExtract!B:J,6,FALSE),"")</f>
        <v/>
      </c>
      <c r="H4971" s="47" t="str">
        <f>IFERROR(VLOOKUP(G4971,WholesaleExtract!B:L,11,FALSE),"")</f>
        <v/>
      </c>
      <c r="I4971" s="26" t="str">
        <f>IFERROR(VLOOKUP(G4971,WholesaleExtract!B:O,8,FALSE),"")</f>
        <v/>
      </c>
      <c r="J4971" s="26" t="str">
        <f>IFERROR(VLOOKUP(G4971,WholesaleExtract!B:O,14,FALSE),"")</f>
        <v/>
      </c>
      <c r="K4971" s="26" t="str">
        <f>IFERROR(VLOOKUP(G4971,WholesaleExtract!B:K,10,FALSE),"")</f>
        <v/>
      </c>
      <c r="L4971" s="47" t="str">
        <f>IFERROR(VLOOKUP(G4971,WholesaleExtract!B:L,11,FALSE),"")</f>
        <v/>
      </c>
      <c r="M4971" s="47" t="str">
        <f>IFERROR(VLOOKUP(G4971,WholesaleExtract!B:M,12,FALSE),"")</f>
        <v/>
      </c>
      <c r="R4971" s="19"/>
      <c r="S4971" s="19"/>
    </row>
    <row r="4972" spans="1:19" x14ac:dyDescent="0.35">
      <c r="A4972" s="26" t="s">
        <v>543</v>
      </c>
      <c r="B4972" s="26" t="s">
        <v>543</v>
      </c>
      <c r="C4972" s="26"/>
      <c r="D4972" s="26" t="s">
        <v>543</v>
      </c>
      <c r="E4972" s="26" t="str">
        <f>IFERROR(VLOOKUP(G4972,WholesaleExtract!B:J,9,FALSE),"")</f>
        <v/>
      </c>
      <c r="F4972" s="26" t="str">
        <f>IFERROR(VLOOKUP(G4972,WholesaleExtract!B:J,6,FALSE),"")</f>
        <v/>
      </c>
      <c r="H4972" s="47" t="str">
        <f>IFERROR(VLOOKUP(G4972,WholesaleExtract!B:L,11,FALSE),"")</f>
        <v/>
      </c>
      <c r="I4972" s="26" t="str">
        <f>IFERROR(VLOOKUP(G4972,WholesaleExtract!B:O,8,FALSE),"")</f>
        <v/>
      </c>
      <c r="J4972" s="26" t="str">
        <f>IFERROR(VLOOKUP(G4972,WholesaleExtract!B:O,14,FALSE),"")</f>
        <v/>
      </c>
      <c r="K4972" s="26" t="str">
        <f>IFERROR(VLOOKUP(G4972,WholesaleExtract!B:K,10,FALSE),"")</f>
        <v/>
      </c>
      <c r="L4972" s="47" t="str">
        <f>IFERROR(VLOOKUP(G4972,WholesaleExtract!B:L,11,FALSE),"")</f>
        <v/>
      </c>
      <c r="M4972" s="47" t="str">
        <f>IFERROR(VLOOKUP(G4972,WholesaleExtract!B:M,12,FALSE),"")</f>
        <v/>
      </c>
      <c r="R4972" s="19"/>
      <c r="S4972" s="19"/>
    </row>
    <row r="4973" spans="1:19" x14ac:dyDescent="0.35">
      <c r="A4973" s="26" t="s">
        <v>543</v>
      </c>
      <c r="B4973" s="26" t="s">
        <v>543</v>
      </c>
      <c r="C4973" s="26"/>
      <c r="D4973" s="26" t="s">
        <v>543</v>
      </c>
      <c r="E4973" s="26" t="str">
        <f>IFERROR(VLOOKUP(G4973,WholesaleExtract!B:J,9,FALSE),"")</f>
        <v/>
      </c>
      <c r="F4973" s="26" t="str">
        <f>IFERROR(VLOOKUP(G4973,WholesaleExtract!B:J,6,FALSE),"")</f>
        <v/>
      </c>
      <c r="H4973" s="47" t="str">
        <f>IFERROR(VLOOKUP(G4973,WholesaleExtract!B:L,11,FALSE),"")</f>
        <v/>
      </c>
      <c r="I4973" s="26" t="str">
        <f>IFERROR(VLOOKUP(G4973,WholesaleExtract!B:O,8,FALSE),"")</f>
        <v/>
      </c>
      <c r="J4973" s="26" t="str">
        <f>IFERROR(VLOOKUP(G4973,WholesaleExtract!B:O,14,FALSE),"")</f>
        <v/>
      </c>
      <c r="K4973" s="26" t="str">
        <f>IFERROR(VLOOKUP(G4973,WholesaleExtract!B:K,10,FALSE),"")</f>
        <v/>
      </c>
      <c r="L4973" s="47" t="str">
        <f>IFERROR(VLOOKUP(G4973,WholesaleExtract!B:L,11,FALSE),"")</f>
        <v/>
      </c>
      <c r="M4973" s="47" t="str">
        <f>IFERROR(VLOOKUP(G4973,WholesaleExtract!B:M,12,FALSE),"")</f>
        <v/>
      </c>
      <c r="R4973" s="19"/>
      <c r="S4973" s="19"/>
    </row>
    <row r="4974" spans="1:19" x14ac:dyDescent="0.35">
      <c r="A4974" s="26" t="s">
        <v>543</v>
      </c>
      <c r="B4974" s="26" t="s">
        <v>543</v>
      </c>
      <c r="C4974" s="26"/>
      <c r="D4974" s="26" t="s">
        <v>543</v>
      </c>
      <c r="E4974" s="26" t="str">
        <f>IFERROR(VLOOKUP(G4974,WholesaleExtract!B:J,9,FALSE),"")</f>
        <v/>
      </c>
      <c r="F4974" s="26" t="str">
        <f>IFERROR(VLOOKUP(G4974,WholesaleExtract!B:J,6,FALSE),"")</f>
        <v/>
      </c>
      <c r="H4974" s="47" t="str">
        <f>IFERROR(VLOOKUP(G4974,WholesaleExtract!B:L,11,FALSE),"")</f>
        <v/>
      </c>
      <c r="I4974" s="26" t="str">
        <f>IFERROR(VLOOKUP(G4974,WholesaleExtract!B:O,8,FALSE),"")</f>
        <v/>
      </c>
      <c r="J4974" s="26" t="str">
        <f>IFERROR(VLOOKUP(G4974,WholesaleExtract!B:O,14,FALSE),"")</f>
        <v/>
      </c>
      <c r="K4974" s="26" t="str">
        <f>IFERROR(VLOOKUP(G4974,WholesaleExtract!B:K,10,FALSE),"")</f>
        <v/>
      </c>
      <c r="L4974" s="47" t="str">
        <f>IFERROR(VLOOKUP(G4974,WholesaleExtract!B:L,11,FALSE),"")</f>
        <v/>
      </c>
      <c r="M4974" s="47" t="str">
        <f>IFERROR(VLOOKUP(G4974,WholesaleExtract!B:M,12,FALSE),"")</f>
        <v/>
      </c>
      <c r="R4974" s="19"/>
      <c r="S4974" s="19"/>
    </row>
    <row r="4975" spans="1:19" x14ac:dyDescent="0.35">
      <c r="A4975" s="26" t="s">
        <v>543</v>
      </c>
      <c r="B4975" s="26" t="s">
        <v>543</v>
      </c>
      <c r="C4975" s="26"/>
      <c r="D4975" s="26" t="s">
        <v>543</v>
      </c>
      <c r="E4975" s="26" t="str">
        <f>IFERROR(VLOOKUP(G4975,WholesaleExtract!B:J,9,FALSE),"")</f>
        <v/>
      </c>
      <c r="F4975" s="26" t="str">
        <f>IFERROR(VLOOKUP(G4975,WholesaleExtract!B:J,6,FALSE),"")</f>
        <v/>
      </c>
      <c r="H4975" s="47" t="str">
        <f>IFERROR(VLOOKUP(G4975,WholesaleExtract!B:L,11,FALSE),"")</f>
        <v/>
      </c>
      <c r="I4975" s="26" t="str">
        <f>IFERROR(VLOOKUP(G4975,WholesaleExtract!B:O,8,FALSE),"")</f>
        <v/>
      </c>
      <c r="J4975" s="26" t="str">
        <f>IFERROR(VLOOKUP(G4975,WholesaleExtract!B:O,14,FALSE),"")</f>
        <v/>
      </c>
      <c r="K4975" s="26" t="str">
        <f>IFERROR(VLOOKUP(G4975,WholesaleExtract!B:K,10,FALSE),"")</f>
        <v/>
      </c>
      <c r="L4975" s="47" t="str">
        <f>IFERROR(VLOOKUP(G4975,WholesaleExtract!B:L,11,FALSE),"")</f>
        <v/>
      </c>
      <c r="M4975" s="47" t="str">
        <f>IFERROR(VLOOKUP(G4975,WholesaleExtract!B:M,12,FALSE),"")</f>
        <v/>
      </c>
      <c r="R4975" s="19"/>
      <c r="S4975" s="19"/>
    </row>
    <row r="4976" spans="1:19" x14ac:dyDescent="0.35">
      <c r="A4976" s="26" t="s">
        <v>543</v>
      </c>
      <c r="B4976" s="26" t="s">
        <v>543</v>
      </c>
      <c r="C4976" s="26"/>
      <c r="D4976" s="26" t="s">
        <v>543</v>
      </c>
      <c r="E4976" s="26" t="str">
        <f>IFERROR(VLOOKUP(G4976,WholesaleExtract!B:J,9,FALSE),"")</f>
        <v/>
      </c>
      <c r="F4976" s="26" t="str">
        <f>IFERROR(VLOOKUP(G4976,WholesaleExtract!B:J,6,FALSE),"")</f>
        <v/>
      </c>
      <c r="H4976" s="47" t="str">
        <f>IFERROR(VLOOKUP(G4976,WholesaleExtract!B:L,11,FALSE),"")</f>
        <v/>
      </c>
      <c r="I4976" s="26" t="str">
        <f>IFERROR(VLOOKUP(G4976,WholesaleExtract!B:O,8,FALSE),"")</f>
        <v/>
      </c>
      <c r="J4976" s="26" t="str">
        <f>IFERROR(VLOOKUP(G4976,WholesaleExtract!B:O,14,FALSE),"")</f>
        <v/>
      </c>
      <c r="K4976" s="26" t="str">
        <f>IFERROR(VLOOKUP(G4976,WholesaleExtract!B:K,10,FALSE),"")</f>
        <v/>
      </c>
      <c r="L4976" s="47" t="str">
        <f>IFERROR(VLOOKUP(G4976,WholesaleExtract!B:L,11,FALSE),"")</f>
        <v/>
      </c>
      <c r="M4976" s="47" t="str">
        <f>IFERROR(VLOOKUP(G4976,WholesaleExtract!B:M,12,FALSE),"")</f>
        <v/>
      </c>
      <c r="R4976" s="19"/>
      <c r="S4976" s="19"/>
    </row>
    <row r="4977" spans="1:19" x14ac:dyDescent="0.35">
      <c r="A4977" s="26" t="s">
        <v>543</v>
      </c>
      <c r="B4977" s="26" t="s">
        <v>543</v>
      </c>
      <c r="C4977" s="26"/>
      <c r="D4977" s="26" t="s">
        <v>543</v>
      </c>
      <c r="E4977" s="26" t="str">
        <f>IFERROR(VLOOKUP(G4977,WholesaleExtract!B:J,9,FALSE),"")</f>
        <v/>
      </c>
      <c r="F4977" s="26" t="str">
        <f>IFERROR(VLOOKUP(G4977,WholesaleExtract!B:J,6,FALSE),"")</f>
        <v/>
      </c>
      <c r="H4977" s="47" t="str">
        <f>IFERROR(VLOOKUP(G4977,WholesaleExtract!B:L,11,FALSE),"")</f>
        <v/>
      </c>
      <c r="I4977" s="26" t="str">
        <f>IFERROR(VLOOKUP(G4977,WholesaleExtract!B:O,8,FALSE),"")</f>
        <v/>
      </c>
      <c r="J4977" s="26" t="str">
        <f>IFERROR(VLOOKUP(G4977,WholesaleExtract!B:O,14,FALSE),"")</f>
        <v/>
      </c>
      <c r="K4977" s="26" t="str">
        <f>IFERROR(VLOOKUP(G4977,WholesaleExtract!B:K,10,FALSE),"")</f>
        <v/>
      </c>
      <c r="L4977" s="47" t="str">
        <f>IFERROR(VLOOKUP(G4977,WholesaleExtract!B:L,11,FALSE),"")</f>
        <v/>
      </c>
      <c r="M4977" s="47" t="str">
        <f>IFERROR(VLOOKUP(G4977,WholesaleExtract!B:M,12,FALSE),"")</f>
        <v/>
      </c>
      <c r="R4977" s="19"/>
      <c r="S4977" s="19"/>
    </row>
    <row r="4978" spans="1:19" x14ac:dyDescent="0.35">
      <c r="A4978" s="26" t="s">
        <v>543</v>
      </c>
      <c r="B4978" s="26" t="s">
        <v>543</v>
      </c>
      <c r="C4978" s="26"/>
      <c r="D4978" s="26" t="s">
        <v>543</v>
      </c>
      <c r="E4978" s="26" t="str">
        <f>IFERROR(VLOOKUP(G4978,WholesaleExtract!B:J,9,FALSE),"")</f>
        <v/>
      </c>
      <c r="F4978" s="26" t="str">
        <f>IFERROR(VLOOKUP(G4978,WholesaleExtract!B:J,6,FALSE),"")</f>
        <v/>
      </c>
      <c r="H4978" s="47" t="str">
        <f>IFERROR(VLOOKUP(G4978,WholesaleExtract!B:L,11,FALSE),"")</f>
        <v/>
      </c>
      <c r="I4978" s="26" t="str">
        <f>IFERROR(VLOOKUP(G4978,WholesaleExtract!B:O,8,FALSE),"")</f>
        <v/>
      </c>
      <c r="J4978" s="26" t="str">
        <f>IFERROR(VLOOKUP(G4978,WholesaleExtract!B:O,14,FALSE),"")</f>
        <v/>
      </c>
      <c r="K4978" s="26" t="str">
        <f>IFERROR(VLOOKUP(G4978,WholesaleExtract!B:K,10,FALSE),"")</f>
        <v/>
      </c>
      <c r="L4978" s="47" t="str">
        <f>IFERROR(VLOOKUP(G4978,WholesaleExtract!B:L,11,FALSE),"")</f>
        <v/>
      </c>
      <c r="M4978" s="47" t="str">
        <f>IFERROR(VLOOKUP(G4978,WholesaleExtract!B:M,12,FALSE),"")</f>
        <v/>
      </c>
      <c r="R4978" s="19"/>
      <c r="S4978" s="19"/>
    </row>
    <row r="4979" spans="1:19" x14ac:dyDescent="0.35">
      <c r="A4979" s="26" t="s">
        <v>543</v>
      </c>
      <c r="B4979" s="26" t="s">
        <v>543</v>
      </c>
      <c r="C4979" s="26"/>
      <c r="D4979" s="26" t="s">
        <v>543</v>
      </c>
      <c r="E4979" s="26" t="str">
        <f>IFERROR(VLOOKUP(G4979,WholesaleExtract!B:J,9,FALSE),"")</f>
        <v/>
      </c>
      <c r="F4979" s="26" t="str">
        <f>IFERROR(VLOOKUP(G4979,WholesaleExtract!B:J,6,FALSE),"")</f>
        <v/>
      </c>
      <c r="H4979" s="47" t="str">
        <f>IFERROR(VLOOKUP(G4979,WholesaleExtract!B:L,11,FALSE),"")</f>
        <v/>
      </c>
      <c r="I4979" s="26" t="str">
        <f>IFERROR(VLOOKUP(G4979,WholesaleExtract!B:O,8,FALSE),"")</f>
        <v/>
      </c>
      <c r="J4979" s="26" t="str">
        <f>IFERROR(VLOOKUP(G4979,WholesaleExtract!B:O,14,FALSE),"")</f>
        <v/>
      </c>
      <c r="K4979" s="26" t="str">
        <f>IFERROR(VLOOKUP(G4979,WholesaleExtract!B:K,10,FALSE),"")</f>
        <v/>
      </c>
      <c r="L4979" s="47" t="str">
        <f>IFERROR(VLOOKUP(G4979,WholesaleExtract!B:L,11,FALSE),"")</f>
        <v/>
      </c>
      <c r="M4979" s="47" t="str">
        <f>IFERROR(VLOOKUP(G4979,WholesaleExtract!B:M,12,FALSE),"")</f>
        <v/>
      </c>
      <c r="R4979" s="19"/>
      <c r="S4979" s="19"/>
    </row>
    <row r="4980" spans="1:19" x14ac:dyDescent="0.35">
      <c r="A4980" s="26" t="s">
        <v>543</v>
      </c>
      <c r="B4980" s="26" t="s">
        <v>543</v>
      </c>
      <c r="C4980" s="26"/>
      <c r="D4980" s="26" t="s">
        <v>543</v>
      </c>
      <c r="E4980" s="26" t="str">
        <f>IFERROR(VLOOKUP(G4980,WholesaleExtract!B:J,9,FALSE),"")</f>
        <v/>
      </c>
      <c r="F4980" s="26" t="str">
        <f>IFERROR(VLOOKUP(G4980,WholesaleExtract!B:J,6,FALSE),"")</f>
        <v/>
      </c>
      <c r="H4980" s="47" t="str">
        <f>IFERROR(VLOOKUP(G4980,WholesaleExtract!B:L,11,FALSE),"")</f>
        <v/>
      </c>
      <c r="I4980" s="26" t="str">
        <f>IFERROR(VLOOKUP(G4980,WholesaleExtract!B:O,8,FALSE),"")</f>
        <v/>
      </c>
      <c r="J4980" s="26" t="str">
        <f>IFERROR(VLOOKUP(G4980,WholesaleExtract!B:O,14,FALSE),"")</f>
        <v/>
      </c>
      <c r="K4980" s="26" t="str">
        <f>IFERROR(VLOOKUP(G4980,WholesaleExtract!B:K,10,FALSE),"")</f>
        <v/>
      </c>
      <c r="L4980" s="47" t="str">
        <f>IFERROR(VLOOKUP(G4980,WholesaleExtract!B:L,11,FALSE),"")</f>
        <v/>
      </c>
      <c r="M4980" s="47" t="str">
        <f>IFERROR(VLOOKUP(G4980,WholesaleExtract!B:M,12,FALSE),"")</f>
        <v/>
      </c>
      <c r="R4980" s="19"/>
      <c r="S4980" s="19"/>
    </row>
    <row r="4981" spans="1:19" x14ac:dyDescent="0.35">
      <c r="A4981" s="26" t="s">
        <v>543</v>
      </c>
      <c r="B4981" s="26" t="s">
        <v>543</v>
      </c>
      <c r="C4981" s="26"/>
      <c r="D4981" s="26" t="s">
        <v>543</v>
      </c>
      <c r="E4981" s="26" t="str">
        <f>IFERROR(VLOOKUP(G4981,WholesaleExtract!B:J,9,FALSE),"")</f>
        <v/>
      </c>
      <c r="F4981" s="26" t="str">
        <f>IFERROR(VLOOKUP(G4981,WholesaleExtract!B:J,6,FALSE),"")</f>
        <v/>
      </c>
      <c r="H4981" s="47" t="str">
        <f>IFERROR(VLOOKUP(G4981,WholesaleExtract!B:L,11,FALSE),"")</f>
        <v/>
      </c>
      <c r="I4981" s="26" t="str">
        <f>IFERROR(VLOOKUP(G4981,WholesaleExtract!B:O,8,FALSE),"")</f>
        <v/>
      </c>
      <c r="J4981" s="26" t="str">
        <f>IFERROR(VLOOKUP(G4981,WholesaleExtract!B:O,14,FALSE),"")</f>
        <v/>
      </c>
      <c r="K4981" s="26" t="str">
        <f>IFERROR(VLOOKUP(G4981,WholesaleExtract!B:K,10,FALSE),"")</f>
        <v/>
      </c>
      <c r="L4981" s="47" t="str">
        <f>IFERROR(VLOOKUP(G4981,WholesaleExtract!B:L,11,FALSE),"")</f>
        <v/>
      </c>
      <c r="M4981" s="47" t="str">
        <f>IFERROR(VLOOKUP(G4981,WholesaleExtract!B:M,12,FALSE),"")</f>
        <v/>
      </c>
      <c r="R4981" s="19"/>
      <c r="S4981" s="19"/>
    </row>
    <row r="4982" spans="1:19" x14ac:dyDescent="0.35">
      <c r="A4982" s="26" t="s">
        <v>543</v>
      </c>
      <c r="B4982" s="26" t="s">
        <v>543</v>
      </c>
      <c r="C4982" s="26"/>
      <c r="D4982" s="26" t="s">
        <v>543</v>
      </c>
      <c r="E4982" s="26" t="str">
        <f>IFERROR(VLOOKUP(G4982,WholesaleExtract!B:J,9,FALSE),"")</f>
        <v/>
      </c>
      <c r="F4982" s="26" t="str">
        <f>IFERROR(VLOOKUP(G4982,WholesaleExtract!B:J,6,FALSE),"")</f>
        <v/>
      </c>
      <c r="H4982" s="47" t="str">
        <f>IFERROR(VLOOKUP(G4982,WholesaleExtract!B:L,11,FALSE),"")</f>
        <v/>
      </c>
      <c r="I4982" s="26" t="str">
        <f>IFERROR(VLOOKUP(G4982,WholesaleExtract!B:O,8,FALSE),"")</f>
        <v/>
      </c>
      <c r="J4982" s="26" t="str">
        <f>IFERROR(VLOOKUP(G4982,WholesaleExtract!B:O,14,FALSE),"")</f>
        <v/>
      </c>
      <c r="K4982" s="26" t="str">
        <f>IFERROR(VLOOKUP(G4982,WholesaleExtract!B:K,10,FALSE),"")</f>
        <v/>
      </c>
      <c r="L4982" s="47" t="str">
        <f>IFERROR(VLOOKUP(G4982,WholesaleExtract!B:L,11,FALSE),"")</f>
        <v/>
      </c>
      <c r="M4982" s="47" t="str">
        <f>IFERROR(VLOOKUP(G4982,WholesaleExtract!B:M,12,FALSE),"")</f>
        <v/>
      </c>
      <c r="R4982" s="19"/>
      <c r="S4982" s="19"/>
    </row>
    <row r="4983" spans="1:19" x14ac:dyDescent="0.35">
      <c r="A4983" s="26" t="s">
        <v>543</v>
      </c>
      <c r="B4983" s="26" t="s">
        <v>543</v>
      </c>
      <c r="C4983" s="26"/>
      <c r="D4983" s="26" t="s">
        <v>543</v>
      </c>
      <c r="E4983" s="26" t="str">
        <f>IFERROR(VLOOKUP(G4983,WholesaleExtract!B:J,9,FALSE),"")</f>
        <v/>
      </c>
      <c r="F4983" s="26" t="str">
        <f>IFERROR(VLOOKUP(G4983,WholesaleExtract!B:J,6,FALSE),"")</f>
        <v/>
      </c>
      <c r="H4983" s="47" t="str">
        <f>IFERROR(VLOOKUP(G4983,WholesaleExtract!B:L,11,FALSE),"")</f>
        <v/>
      </c>
      <c r="I4983" s="26" t="str">
        <f>IFERROR(VLOOKUP(G4983,WholesaleExtract!B:O,8,FALSE),"")</f>
        <v/>
      </c>
      <c r="J4983" s="26" t="str">
        <f>IFERROR(VLOOKUP(G4983,WholesaleExtract!B:O,14,FALSE),"")</f>
        <v/>
      </c>
      <c r="K4983" s="26" t="str">
        <f>IFERROR(VLOOKUP(G4983,WholesaleExtract!B:K,10,FALSE),"")</f>
        <v/>
      </c>
      <c r="L4983" s="47" t="str">
        <f>IFERROR(VLOOKUP(G4983,WholesaleExtract!B:L,11,FALSE),"")</f>
        <v/>
      </c>
      <c r="M4983" s="47" t="str">
        <f>IFERROR(VLOOKUP(G4983,WholesaleExtract!B:M,12,FALSE),"")</f>
        <v/>
      </c>
      <c r="R4983" s="19"/>
      <c r="S4983" s="19"/>
    </row>
    <row r="4984" spans="1:19" x14ac:dyDescent="0.35">
      <c r="A4984" s="26" t="s">
        <v>543</v>
      </c>
      <c r="B4984" s="26" t="s">
        <v>543</v>
      </c>
      <c r="C4984" s="26"/>
      <c r="D4984" s="26" t="s">
        <v>543</v>
      </c>
      <c r="E4984" s="26" t="str">
        <f>IFERROR(VLOOKUP(G4984,WholesaleExtract!B:J,9,FALSE),"")</f>
        <v/>
      </c>
      <c r="F4984" s="26" t="str">
        <f>IFERROR(VLOOKUP(G4984,WholesaleExtract!B:J,6,FALSE),"")</f>
        <v/>
      </c>
      <c r="H4984" s="47" t="str">
        <f>IFERROR(VLOOKUP(G4984,WholesaleExtract!B:L,11,FALSE),"")</f>
        <v/>
      </c>
      <c r="I4984" s="26" t="str">
        <f>IFERROR(VLOOKUP(G4984,WholesaleExtract!B:O,8,FALSE),"")</f>
        <v/>
      </c>
      <c r="J4984" s="26" t="str">
        <f>IFERROR(VLOOKUP(G4984,WholesaleExtract!B:O,14,FALSE),"")</f>
        <v/>
      </c>
      <c r="K4984" s="26" t="str">
        <f>IFERROR(VLOOKUP(G4984,WholesaleExtract!B:K,10,FALSE),"")</f>
        <v/>
      </c>
      <c r="L4984" s="47" t="str">
        <f>IFERROR(VLOOKUP(G4984,WholesaleExtract!B:L,11,FALSE),"")</f>
        <v/>
      </c>
      <c r="M4984" s="47" t="str">
        <f>IFERROR(VLOOKUP(G4984,WholesaleExtract!B:M,12,FALSE),"")</f>
        <v/>
      </c>
      <c r="R4984" s="19"/>
      <c r="S4984" s="19"/>
    </row>
    <row r="4985" spans="1:19" x14ac:dyDescent="0.35">
      <c r="A4985" s="26" t="s">
        <v>543</v>
      </c>
      <c r="B4985" s="26" t="s">
        <v>543</v>
      </c>
      <c r="C4985" s="26"/>
      <c r="D4985" s="26" t="s">
        <v>543</v>
      </c>
      <c r="E4985" s="26" t="str">
        <f>IFERROR(VLOOKUP(G4985,WholesaleExtract!B:J,9,FALSE),"")</f>
        <v/>
      </c>
      <c r="F4985" s="26" t="str">
        <f>IFERROR(VLOOKUP(G4985,WholesaleExtract!B:J,6,FALSE),"")</f>
        <v/>
      </c>
      <c r="H4985" s="47" t="str">
        <f>IFERROR(VLOOKUP(G4985,WholesaleExtract!B:L,11,FALSE),"")</f>
        <v/>
      </c>
      <c r="I4985" s="26" t="str">
        <f>IFERROR(VLOOKUP(G4985,WholesaleExtract!B:O,8,FALSE),"")</f>
        <v/>
      </c>
      <c r="J4985" s="26" t="str">
        <f>IFERROR(VLOOKUP(G4985,WholesaleExtract!B:O,14,FALSE),"")</f>
        <v/>
      </c>
      <c r="K4985" s="26" t="str">
        <f>IFERROR(VLOOKUP(G4985,WholesaleExtract!B:K,10,FALSE),"")</f>
        <v/>
      </c>
      <c r="L4985" s="47" t="str">
        <f>IFERROR(VLOOKUP(G4985,WholesaleExtract!B:L,11,FALSE),"")</f>
        <v/>
      </c>
      <c r="M4985" s="47" t="str">
        <f>IFERROR(VLOOKUP(G4985,WholesaleExtract!B:M,12,FALSE),"")</f>
        <v/>
      </c>
      <c r="R4985" s="19"/>
      <c r="S4985" s="19"/>
    </row>
    <row r="4986" spans="1:19" x14ac:dyDescent="0.35">
      <c r="A4986" s="26" t="s">
        <v>543</v>
      </c>
      <c r="B4986" s="26" t="s">
        <v>543</v>
      </c>
      <c r="C4986" s="26"/>
      <c r="D4986" s="26" t="s">
        <v>543</v>
      </c>
      <c r="E4986" s="26" t="str">
        <f>IFERROR(VLOOKUP(G4986,WholesaleExtract!B:J,9,FALSE),"")</f>
        <v/>
      </c>
      <c r="F4986" s="26" t="str">
        <f>IFERROR(VLOOKUP(G4986,WholesaleExtract!B:J,6,FALSE),"")</f>
        <v/>
      </c>
      <c r="H4986" s="47" t="str">
        <f>IFERROR(VLOOKUP(G4986,WholesaleExtract!B:L,11,FALSE),"")</f>
        <v/>
      </c>
      <c r="I4986" s="26" t="str">
        <f>IFERROR(VLOOKUP(G4986,WholesaleExtract!B:O,8,FALSE),"")</f>
        <v/>
      </c>
      <c r="J4986" s="26" t="str">
        <f>IFERROR(VLOOKUP(G4986,WholesaleExtract!B:O,14,FALSE),"")</f>
        <v/>
      </c>
      <c r="K4986" s="26" t="str">
        <f>IFERROR(VLOOKUP(G4986,WholesaleExtract!B:K,10,FALSE),"")</f>
        <v/>
      </c>
      <c r="L4986" s="47" t="str">
        <f>IFERROR(VLOOKUP(G4986,WholesaleExtract!B:L,11,FALSE),"")</f>
        <v/>
      </c>
      <c r="M4986" s="47" t="str">
        <f>IFERROR(VLOOKUP(G4986,WholesaleExtract!B:M,12,FALSE),"")</f>
        <v/>
      </c>
      <c r="R4986" s="19"/>
      <c r="S4986" s="19"/>
    </row>
    <row r="4987" spans="1:19" x14ac:dyDescent="0.35">
      <c r="A4987" s="26" t="s">
        <v>543</v>
      </c>
      <c r="B4987" s="26" t="s">
        <v>543</v>
      </c>
      <c r="C4987" s="26"/>
      <c r="D4987" s="26" t="s">
        <v>543</v>
      </c>
      <c r="E4987" s="26" t="str">
        <f>IFERROR(VLOOKUP(G4987,WholesaleExtract!B:J,9,FALSE),"")</f>
        <v/>
      </c>
      <c r="F4987" s="26" t="str">
        <f>IFERROR(VLOOKUP(G4987,WholesaleExtract!B:J,6,FALSE),"")</f>
        <v/>
      </c>
      <c r="H4987" s="47" t="str">
        <f>IFERROR(VLOOKUP(G4987,WholesaleExtract!B:L,11,FALSE),"")</f>
        <v/>
      </c>
      <c r="I4987" s="26" t="str">
        <f>IFERROR(VLOOKUP(G4987,WholesaleExtract!B:O,8,FALSE),"")</f>
        <v/>
      </c>
      <c r="J4987" s="26" t="str">
        <f>IFERROR(VLOOKUP(G4987,WholesaleExtract!B:O,14,FALSE),"")</f>
        <v/>
      </c>
      <c r="K4987" s="26" t="str">
        <f>IFERROR(VLOOKUP(G4987,WholesaleExtract!B:K,10,FALSE),"")</f>
        <v/>
      </c>
      <c r="L4987" s="47" t="str">
        <f>IFERROR(VLOOKUP(G4987,WholesaleExtract!B:L,11,FALSE),"")</f>
        <v/>
      </c>
      <c r="M4987" s="47" t="str">
        <f>IFERROR(VLOOKUP(G4987,WholesaleExtract!B:M,12,FALSE),"")</f>
        <v/>
      </c>
      <c r="R4987" s="19"/>
      <c r="S4987" s="19"/>
    </row>
    <row r="4988" spans="1:19" x14ac:dyDescent="0.35">
      <c r="A4988" s="26" t="s">
        <v>543</v>
      </c>
      <c r="B4988" s="26" t="s">
        <v>543</v>
      </c>
      <c r="C4988" s="26"/>
      <c r="D4988" s="26" t="s">
        <v>543</v>
      </c>
      <c r="E4988" s="26" t="str">
        <f>IFERROR(VLOOKUP(G4988,WholesaleExtract!B:J,9,FALSE),"")</f>
        <v/>
      </c>
      <c r="F4988" s="26" t="str">
        <f>IFERROR(VLOOKUP(G4988,WholesaleExtract!B:J,6,FALSE),"")</f>
        <v/>
      </c>
      <c r="H4988" s="47" t="str">
        <f>IFERROR(VLOOKUP(G4988,WholesaleExtract!B:L,11,FALSE),"")</f>
        <v/>
      </c>
      <c r="I4988" s="26" t="str">
        <f>IFERROR(VLOOKUP(G4988,WholesaleExtract!B:O,8,FALSE),"")</f>
        <v/>
      </c>
      <c r="J4988" s="26" t="str">
        <f>IFERROR(VLOOKUP(G4988,WholesaleExtract!B:O,14,FALSE),"")</f>
        <v/>
      </c>
      <c r="K4988" s="26" t="str">
        <f>IFERROR(VLOOKUP(G4988,WholesaleExtract!B:K,10,FALSE),"")</f>
        <v/>
      </c>
      <c r="L4988" s="47" t="str">
        <f>IFERROR(VLOOKUP(G4988,WholesaleExtract!B:L,11,FALSE),"")</f>
        <v/>
      </c>
      <c r="M4988" s="47" t="str">
        <f>IFERROR(VLOOKUP(G4988,WholesaleExtract!B:M,12,FALSE),"")</f>
        <v/>
      </c>
      <c r="R4988" s="19"/>
      <c r="S4988" s="19"/>
    </row>
    <row r="4989" spans="1:19" x14ac:dyDescent="0.35">
      <c r="A4989" s="26" t="s">
        <v>543</v>
      </c>
      <c r="B4989" s="26" t="s">
        <v>543</v>
      </c>
      <c r="C4989" s="26"/>
      <c r="D4989" s="26" t="s">
        <v>543</v>
      </c>
      <c r="E4989" s="26" t="str">
        <f>IFERROR(VLOOKUP(G4989,WholesaleExtract!B:J,9,FALSE),"")</f>
        <v/>
      </c>
      <c r="F4989" s="26" t="str">
        <f>IFERROR(VLOOKUP(G4989,WholesaleExtract!B:J,6,FALSE),"")</f>
        <v/>
      </c>
      <c r="H4989" s="47" t="str">
        <f>IFERROR(VLOOKUP(G4989,WholesaleExtract!B:L,11,FALSE),"")</f>
        <v/>
      </c>
      <c r="I4989" s="26" t="str">
        <f>IFERROR(VLOOKUP(G4989,WholesaleExtract!B:O,8,FALSE),"")</f>
        <v/>
      </c>
      <c r="J4989" s="26" t="str">
        <f>IFERROR(VLOOKUP(G4989,WholesaleExtract!B:O,14,FALSE),"")</f>
        <v/>
      </c>
      <c r="K4989" s="26" t="str">
        <f>IFERROR(VLOOKUP(G4989,WholesaleExtract!B:K,10,FALSE),"")</f>
        <v/>
      </c>
      <c r="L4989" s="47" t="str">
        <f>IFERROR(VLOOKUP(G4989,WholesaleExtract!B:L,11,FALSE),"")</f>
        <v/>
      </c>
      <c r="M4989" s="47" t="str">
        <f>IFERROR(VLOOKUP(G4989,WholesaleExtract!B:M,12,FALSE),"")</f>
        <v/>
      </c>
      <c r="R4989" s="19"/>
      <c r="S4989" s="19"/>
    </row>
    <row r="4990" spans="1:19" x14ac:dyDescent="0.35">
      <c r="A4990" s="26" t="s">
        <v>543</v>
      </c>
      <c r="B4990" s="26" t="s">
        <v>543</v>
      </c>
      <c r="C4990" s="26"/>
      <c r="D4990" s="26" t="s">
        <v>543</v>
      </c>
      <c r="E4990" s="26" t="str">
        <f>IFERROR(VLOOKUP(G4990,WholesaleExtract!B:J,9,FALSE),"")</f>
        <v/>
      </c>
      <c r="F4990" s="26" t="str">
        <f>IFERROR(VLOOKUP(G4990,WholesaleExtract!B:J,6,FALSE),"")</f>
        <v/>
      </c>
      <c r="H4990" s="47" t="str">
        <f>IFERROR(VLOOKUP(G4990,WholesaleExtract!B:L,11,FALSE),"")</f>
        <v/>
      </c>
      <c r="I4990" s="26" t="str">
        <f>IFERROR(VLOOKUP(G4990,WholesaleExtract!B:O,8,FALSE),"")</f>
        <v/>
      </c>
      <c r="J4990" s="26" t="str">
        <f>IFERROR(VLOOKUP(G4990,WholesaleExtract!B:O,14,FALSE),"")</f>
        <v/>
      </c>
      <c r="K4990" s="26" t="str">
        <f>IFERROR(VLOOKUP(G4990,WholesaleExtract!B:K,10,FALSE),"")</f>
        <v/>
      </c>
      <c r="L4990" s="47" t="str">
        <f>IFERROR(VLOOKUP(G4990,WholesaleExtract!B:L,11,FALSE),"")</f>
        <v/>
      </c>
      <c r="M4990" s="47" t="str">
        <f>IFERROR(VLOOKUP(G4990,WholesaleExtract!B:M,12,FALSE),"")</f>
        <v/>
      </c>
      <c r="R4990" s="19"/>
      <c r="S4990" s="19"/>
    </row>
    <row r="4991" spans="1:19" x14ac:dyDescent="0.35">
      <c r="A4991" s="26" t="s">
        <v>543</v>
      </c>
      <c r="B4991" s="26" t="s">
        <v>543</v>
      </c>
      <c r="C4991" s="26"/>
      <c r="D4991" s="26" t="s">
        <v>543</v>
      </c>
      <c r="E4991" s="26" t="str">
        <f>IFERROR(VLOOKUP(G4991,WholesaleExtract!B:J,9,FALSE),"")</f>
        <v/>
      </c>
      <c r="F4991" s="26" t="str">
        <f>IFERROR(VLOOKUP(G4991,WholesaleExtract!B:J,6,FALSE),"")</f>
        <v/>
      </c>
      <c r="H4991" s="47" t="str">
        <f>IFERROR(VLOOKUP(G4991,WholesaleExtract!B:L,11,FALSE),"")</f>
        <v/>
      </c>
      <c r="I4991" s="26" t="str">
        <f>IFERROR(VLOOKUP(G4991,WholesaleExtract!B:O,8,FALSE),"")</f>
        <v/>
      </c>
      <c r="J4991" s="26" t="str">
        <f>IFERROR(VLOOKUP(G4991,WholesaleExtract!B:O,14,FALSE),"")</f>
        <v/>
      </c>
      <c r="K4991" s="26" t="str">
        <f>IFERROR(VLOOKUP(G4991,WholesaleExtract!B:K,10,FALSE),"")</f>
        <v/>
      </c>
      <c r="L4991" s="47" t="str">
        <f>IFERROR(VLOOKUP(G4991,WholesaleExtract!B:L,11,FALSE),"")</f>
        <v/>
      </c>
      <c r="M4991" s="47" t="str">
        <f>IFERROR(VLOOKUP(G4991,WholesaleExtract!B:M,12,FALSE),"")</f>
        <v/>
      </c>
      <c r="R4991" s="19"/>
      <c r="S4991" s="19"/>
    </row>
    <row r="4992" spans="1:19" x14ac:dyDescent="0.35">
      <c r="A4992" s="26" t="s">
        <v>543</v>
      </c>
      <c r="B4992" s="26" t="s">
        <v>543</v>
      </c>
      <c r="C4992" s="26"/>
      <c r="D4992" s="26" t="s">
        <v>543</v>
      </c>
      <c r="E4992" s="26" t="str">
        <f>IFERROR(VLOOKUP(G4992,WholesaleExtract!B:J,9,FALSE),"")</f>
        <v/>
      </c>
      <c r="F4992" s="26" t="str">
        <f>IFERROR(VLOOKUP(G4992,WholesaleExtract!B:J,6,FALSE),"")</f>
        <v/>
      </c>
      <c r="H4992" s="47" t="str">
        <f>IFERROR(VLOOKUP(G4992,WholesaleExtract!B:L,11,FALSE),"")</f>
        <v/>
      </c>
      <c r="I4992" s="26" t="str">
        <f>IFERROR(VLOOKUP(G4992,WholesaleExtract!B:O,8,FALSE),"")</f>
        <v/>
      </c>
      <c r="J4992" s="26" t="str">
        <f>IFERROR(VLOOKUP(G4992,WholesaleExtract!B:O,14,FALSE),"")</f>
        <v/>
      </c>
      <c r="K4992" s="26" t="str">
        <f>IFERROR(VLOOKUP(G4992,WholesaleExtract!B:K,10,FALSE),"")</f>
        <v/>
      </c>
      <c r="L4992" s="47" t="str">
        <f>IFERROR(VLOOKUP(G4992,WholesaleExtract!B:L,11,FALSE),"")</f>
        <v/>
      </c>
      <c r="M4992" s="47" t="str">
        <f>IFERROR(VLOOKUP(G4992,WholesaleExtract!B:M,12,FALSE),"")</f>
        <v/>
      </c>
      <c r="R4992" s="19"/>
      <c r="S4992" s="19"/>
    </row>
    <row r="4993" spans="1:19" x14ac:dyDescent="0.35">
      <c r="A4993" s="26" t="s">
        <v>543</v>
      </c>
      <c r="B4993" s="26" t="s">
        <v>543</v>
      </c>
      <c r="C4993" s="26"/>
      <c r="D4993" s="26" t="s">
        <v>543</v>
      </c>
      <c r="E4993" s="26" t="str">
        <f>IFERROR(VLOOKUP(G4993,WholesaleExtract!B:J,9,FALSE),"")</f>
        <v/>
      </c>
      <c r="F4993" s="26" t="str">
        <f>IFERROR(VLOOKUP(G4993,WholesaleExtract!B:J,6,FALSE),"")</f>
        <v/>
      </c>
      <c r="H4993" s="47" t="str">
        <f>IFERROR(VLOOKUP(G4993,WholesaleExtract!B:L,11,FALSE),"")</f>
        <v/>
      </c>
      <c r="I4993" s="26" t="str">
        <f>IFERROR(VLOOKUP(G4993,WholesaleExtract!B:O,8,FALSE),"")</f>
        <v/>
      </c>
      <c r="J4993" s="26" t="str">
        <f>IFERROR(VLOOKUP(G4993,WholesaleExtract!B:O,14,FALSE),"")</f>
        <v/>
      </c>
      <c r="K4993" s="26" t="str">
        <f>IFERROR(VLOOKUP(G4993,WholesaleExtract!B:K,10,FALSE),"")</f>
        <v/>
      </c>
      <c r="L4993" s="47" t="str">
        <f>IFERROR(VLOOKUP(G4993,WholesaleExtract!B:L,11,FALSE),"")</f>
        <v/>
      </c>
      <c r="M4993" s="47" t="str">
        <f>IFERROR(VLOOKUP(G4993,WholesaleExtract!B:M,12,FALSE),"")</f>
        <v/>
      </c>
      <c r="R4993" s="19"/>
      <c r="S4993" s="19"/>
    </row>
    <row r="4994" spans="1:19" x14ac:dyDescent="0.35">
      <c r="A4994" s="26" t="s">
        <v>543</v>
      </c>
      <c r="B4994" s="26" t="s">
        <v>543</v>
      </c>
      <c r="C4994" s="26"/>
      <c r="D4994" s="26" t="s">
        <v>543</v>
      </c>
      <c r="E4994" s="26" t="str">
        <f>IFERROR(VLOOKUP(G4994,WholesaleExtract!B:J,9,FALSE),"")</f>
        <v/>
      </c>
      <c r="F4994" s="26" t="str">
        <f>IFERROR(VLOOKUP(G4994,WholesaleExtract!B:J,6,FALSE),"")</f>
        <v/>
      </c>
      <c r="H4994" s="47" t="str">
        <f>IFERROR(VLOOKUP(G4994,WholesaleExtract!B:L,11,FALSE),"")</f>
        <v/>
      </c>
      <c r="I4994" s="26" t="str">
        <f>IFERROR(VLOOKUP(G4994,WholesaleExtract!B:O,8,FALSE),"")</f>
        <v/>
      </c>
      <c r="J4994" s="26" t="str">
        <f>IFERROR(VLOOKUP(G4994,WholesaleExtract!B:O,14,FALSE),"")</f>
        <v/>
      </c>
      <c r="K4994" s="26" t="str">
        <f>IFERROR(VLOOKUP(G4994,WholesaleExtract!B:K,10,FALSE),"")</f>
        <v/>
      </c>
      <c r="L4994" s="47" t="str">
        <f>IFERROR(VLOOKUP(G4994,WholesaleExtract!B:L,11,FALSE),"")</f>
        <v/>
      </c>
      <c r="M4994" s="47" t="str">
        <f>IFERROR(VLOOKUP(G4994,WholesaleExtract!B:M,12,FALSE),"")</f>
        <v/>
      </c>
      <c r="R4994" s="19"/>
      <c r="S4994" s="19"/>
    </row>
    <row r="4995" spans="1:19" x14ac:dyDescent="0.35">
      <c r="A4995" s="26" t="s">
        <v>543</v>
      </c>
      <c r="B4995" s="26" t="s">
        <v>543</v>
      </c>
      <c r="C4995" s="26"/>
      <c r="D4995" s="26" t="s">
        <v>543</v>
      </c>
      <c r="E4995" s="26" t="str">
        <f>IFERROR(VLOOKUP(G4995,WholesaleExtract!B:J,9,FALSE),"")</f>
        <v/>
      </c>
      <c r="F4995" s="26" t="str">
        <f>IFERROR(VLOOKUP(G4995,WholesaleExtract!B:J,6,FALSE),"")</f>
        <v/>
      </c>
      <c r="H4995" s="47" t="str">
        <f>IFERROR(VLOOKUP(G4995,WholesaleExtract!B:L,11,FALSE),"")</f>
        <v/>
      </c>
      <c r="I4995" s="26" t="str">
        <f>IFERROR(VLOOKUP(G4995,WholesaleExtract!B:O,8,FALSE),"")</f>
        <v/>
      </c>
      <c r="J4995" s="26" t="str">
        <f>IFERROR(VLOOKUP(G4995,WholesaleExtract!B:O,14,FALSE),"")</f>
        <v/>
      </c>
      <c r="K4995" s="26" t="str">
        <f>IFERROR(VLOOKUP(G4995,WholesaleExtract!B:K,10,FALSE),"")</f>
        <v/>
      </c>
      <c r="L4995" s="47" t="str">
        <f>IFERROR(VLOOKUP(G4995,WholesaleExtract!B:L,11,FALSE),"")</f>
        <v/>
      </c>
      <c r="M4995" s="47" t="str">
        <f>IFERROR(VLOOKUP(G4995,WholesaleExtract!B:M,12,FALSE),"")</f>
        <v/>
      </c>
      <c r="R4995" s="19"/>
      <c r="S4995" s="19"/>
    </row>
    <row r="4996" spans="1:19" x14ac:dyDescent="0.35">
      <c r="A4996" s="26" t="s">
        <v>543</v>
      </c>
      <c r="B4996" s="26" t="s">
        <v>543</v>
      </c>
      <c r="C4996" s="26"/>
      <c r="D4996" s="26" t="s">
        <v>543</v>
      </c>
      <c r="E4996" s="26" t="str">
        <f>IFERROR(VLOOKUP(G4996,WholesaleExtract!B:J,9,FALSE),"")</f>
        <v/>
      </c>
      <c r="F4996" s="26" t="str">
        <f>IFERROR(VLOOKUP(G4996,WholesaleExtract!B:J,6,FALSE),"")</f>
        <v/>
      </c>
      <c r="H4996" s="47" t="str">
        <f>IFERROR(VLOOKUP(G4996,WholesaleExtract!B:L,11,FALSE),"")</f>
        <v/>
      </c>
      <c r="I4996" s="26" t="str">
        <f>IFERROR(VLOOKUP(G4996,WholesaleExtract!B:O,8,FALSE),"")</f>
        <v/>
      </c>
      <c r="J4996" s="26" t="str">
        <f>IFERROR(VLOOKUP(G4996,WholesaleExtract!B:O,14,FALSE),"")</f>
        <v/>
      </c>
      <c r="K4996" s="26" t="str">
        <f>IFERROR(VLOOKUP(G4996,WholesaleExtract!B:K,10,FALSE),"")</f>
        <v/>
      </c>
      <c r="L4996" s="47" t="str">
        <f>IFERROR(VLOOKUP(G4996,WholesaleExtract!B:L,11,FALSE),"")</f>
        <v/>
      </c>
      <c r="M4996" s="47" t="str">
        <f>IFERROR(VLOOKUP(G4996,WholesaleExtract!B:M,12,FALSE),"")</f>
        <v/>
      </c>
      <c r="R4996" s="19"/>
      <c r="S4996" s="19"/>
    </row>
    <row r="4997" spans="1:19" x14ac:dyDescent="0.35">
      <c r="A4997" s="26" t="s">
        <v>543</v>
      </c>
      <c r="B4997" s="26" t="s">
        <v>543</v>
      </c>
      <c r="C4997" s="26"/>
      <c r="D4997" s="26" t="s">
        <v>543</v>
      </c>
      <c r="E4997" s="26" t="str">
        <f>IFERROR(VLOOKUP(G4997,WholesaleExtract!B:J,9,FALSE),"")</f>
        <v/>
      </c>
      <c r="F4997" s="26" t="str">
        <f>IFERROR(VLOOKUP(G4997,WholesaleExtract!B:J,6,FALSE),"")</f>
        <v/>
      </c>
      <c r="H4997" s="47" t="str">
        <f>IFERROR(VLOOKUP(G4997,WholesaleExtract!B:L,11,FALSE),"")</f>
        <v/>
      </c>
      <c r="I4997" s="26" t="str">
        <f>IFERROR(VLOOKUP(G4997,WholesaleExtract!B:O,8,FALSE),"")</f>
        <v/>
      </c>
      <c r="J4997" s="26" t="str">
        <f>IFERROR(VLOOKUP(G4997,WholesaleExtract!B:O,14,FALSE),"")</f>
        <v/>
      </c>
      <c r="K4997" s="26" t="str">
        <f>IFERROR(VLOOKUP(G4997,WholesaleExtract!B:K,10,FALSE),"")</f>
        <v/>
      </c>
      <c r="L4997" s="47" t="str">
        <f>IFERROR(VLOOKUP(G4997,WholesaleExtract!B:L,11,FALSE),"")</f>
        <v/>
      </c>
      <c r="M4997" s="47" t="str">
        <f>IFERROR(VLOOKUP(G4997,WholesaleExtract!B:M,12,FALSE),"")</f>
        <v/>
      </c>
      <c r="R4997" s="19"/>
      <c r="S4997" s="19"/>
    </row>
    <row r="4998" spans="1:19" x14ac:dyDescent="0.35">
      <c r="A4998" s="26" t="s">
        <v>543</v>
      </c>
      <c r="B4998" s="26" t="s">
        <v>543</v>
      </c>
      <c r="C4998" s="26"/>
      <c r="D4998" s="26" t="s">
        <v>543</v>
      </c>
      <c r="E4998" s="26" t="str">
        <f>IFERROR(VLOOKUP(G4998,WholesaleExtract!B:J,9,FALSE),"")</f>
        <v/>
      </c>
      <c r="F4998" s="26" t="str">
        <f>IFERROR(VLOOKUP(G4998,WholesaleExtract!B:J,6,FALSE),"")</f>
        <v/>
      </c>
      <c r="H4998" s="47" t="str">
        <f>IFERROR(VLOOKUP(G4998,WholesaleExtract!B:L,11,FALSE),"")</f>
        <v/>
      </c>
      <c r="I4998" s="26" t="str">
        <f>IFERROR(VLOOKUP(G4998,WholesaleExtract!B:O,8,FALSE),"")</f>
        <v/>
      </c>
      <c r="J4998" s="26" t="str">
        <f>IFERROR(VLOOKUP(G4998,WholesaleExtract!B:O,14,FALSE),"")</f>
        <v/>
      </c>
      <c r="K4998" s="26" t="str">
        <f>IFERROR(VLOOKUP(G4998,WholesaleExtract!B:K,10,FALSE),"")</f>
        <v/>
      </c>
      <c r="L4998" s="47" t="str">
        <f>IFERROR(VLOOKUP(G4998,WholesaleExtract!B:L,11,FALSE),"")</f>
        <v/>
      </c>
      <c r="M4998" s="47" t="str">
        <f>IFERROR(VLOOKUP(G4998,WholesaleExtract!B:M,12,FALSE),"")</f>
        <v/>
      </c>
      <c r="R4998" s="19"/>
      <c r="S4998" s="19"/>
    </row>
    <row r="4999" spans="1:19" x14ac:dyDescent="0.35">
      <c r="A4999" s="26" t="s">
        <v>543</v>
      </c>
      <c r="B4999" s="26" t="s">
        <v>543</v>
      </c>
      <c r="C4999" s="26"/>
      <c r="D4999" s="26" t="s">
        <v>543</v>
      </c>
      <c r="E4999" s="26" t="str">
        <f>IFERROR(VLOOKUP(G4999,WholesaleExtract!B:J,9,FALSE),"")</f>
        <v/>
      </c>
      <c r="F4999" s="26" t="str">
        <f>IFERROR(VLOOKUP(G4999,WholesaleExtract!B:J,6,FALSE),"")</f>
        <v/>
      </c>
      <c r="H4999" s="47" t="str">
        <f>IFERROR(VLOOKUP(G4999,WholesaleExtract!B:L,11,FALSE),"")</f>
        <v/>
      </c>
      <c r="I4999" s="26" t="str">
        <f>IFERROR(VLOOKUP(G4999,WholesaleExtract!B:O,8,FALSE),"")</f>
        <v/>
      </c>
      <c r="J4999" s="26" t="str">
        <f>IFERROR(VLOOKUP(G4999,WholesaleExtract!B:O,14,FALSE),"")</f>
        <v/>
      </c>
      <c r="K4999" s="26" t="str">
        <f>IFERROR(VLOOKUP(G4999,WholesaleExtract!B:K,10,FALSE),"")</f>
        <v/>
      </c>
      <c r="L4999" s="47" t="str">
        <f>IFERROR(VLOOKUP(G4999,WholesaleExtract!B:L,11,FALSE),"")</f>
        <v/>
      </c>
      <c r="M4999" s="47" t="str">
        <f>IFERROR(VLOOKUP(G4999,WholesaleExtract!B:M,12,FALSE),"")</f>
        <v/>
      </c>
      <c r="R4999" s="19"/>
      <c r="S4999" s="19"/>
    </row>
    <row r="5000" spans="1:19" x14ac:dyDescent="0.35">
      <c r="A5000" s="26" t="s">
        <v>543</v>
      </c>
      <c r="B5000" s="26" t="s">
        <v>543</v>
      </c>
      <c r="C5000" s="26"/>
      <c r="D5000" s="26" t="s">
        <v>543</v>
      </c>
      <c r="E5000" s="26" t="str">
        <f>IFERROR(VLOOKUP(G5000,WholesaleExtract!B:J,9,FALSE),"")</f>
        <v/>
      </c>
      <c r="F5000" s="26" t="str">
        <f>IFERROR(VLOOKUP(G5000,WholesaleExtract!B:J,6,FALSE),"")</f>
        <v/>
      </c>
      <c r="H5000" s="47" t="str">
        <f>IFERROR(VLOOKUP(G5000,WholesaleExtract!B:L,11,FALSE),"")</f>
        <v/>
      </c>
      <c r="I5000" s="26" t="str">
        <f>IFERROR(VLOOKUP(G5000,WholesaleExtract!B:O,8,FALSE),"")</f>
        <v/>
      </c>
      <c r="J5000" s="26" t="str">
        <f>IFERROR(VLOOKUP(G5000,WholesaleExtract!B:O,14,FALSE),"")</f>
        <v/>
      </c>
      <c r="K5000" s="26" t="str">
        <f>IFERROR(VLOOKUP(G5000,WholesaleExtract!B:K,10,FALSE),"")</f>
        <v/>
      </c>
      <c r="L5000" s="47" t="str">
        <f>IFERROR(VLOOKUP(G5000,WholesaleExtract!B:L,11,FALSE),"")</f>
        <v/>
      </c>
      <c r="M5000" s="47" t="str">
        <f>IFERROR(VLOOKUP(G5000,WholesaleExtract!B:M,12,FALSE),"")</f>
        <v/>
      </c>
      <c r="R5000" s="19"/>
      <c r="S5000" s="19"/>
    </row>
    <row r="5001" spans="1:19" x14ac:dyDescent="0.35">
      <c r="A5001" s="26" t="s">
        <v>543</v>
      </c>
      <c r="B5001" s="26" t="s">
        <v>543</v>
      </c>
      <c r="C5001" s="26"/>
      <c r="D5001" s="26" t="s">
        <v>543</v>
      </c>
      <c r="E5001" s="26" t="str">
        <f>IFERROR(VLOOKUP(G5001,WholesaleExtract!B:J,9,FALSE),"")</f>
        <v/>
      </c>
      <c r="F5001" s="26" t="str">
        <f>IFERROR(VLOOKUP(G5001,WholesaleExtract!B:J,6,FALSE),"")</f>
        <v/>
      </c>
      <c r="H5001" s="47" t="str">
        <f>IFERROR(VLOOKUP(G5001,WholesaleExtract!B:L,11,FALSE),"")</f>
        <v/>
      </c>
      <c r="I5001" s="26" t="str">
        <f>IFERROR(VLOOKUP(G5001,WholesaleExtract!B:O,8,FALSE),"")</f>
        <v/>
      </c>
      <c r="J5001" s="26" t="str">
        <f>IFERROR(VLOOKUP(G5001,WholesaleExtract!B:O,14,FALSE),"")</f>
        <v/>
      </c>
      <c r="K5001" s="26" t="str">
        <f>IFERROR(VLOOKUP(G5001,WholesaleExtract!B:K,10,FALSE),"")</f>
        <v/>
      </c>
      <c r="L5001" s="47" t="str">
        <f>IFERROR(VLOOKUP(G5001,WholesaleExtract!B:L,11,FALSE),"")</f>
        <v/>
      </c>
      <c r="M5001" s="47" t="str">
        <f>IFERROR(VLOOKUP(G5001,WholesaleExtract!B:M,12,FALSE),"")</f>
        <v/>
      </c>
      <c r="R5001" s="19"/>
      <c r="S5001" s="19"/>
    </row>
    <row r="5002" spans="1:19" x14ac:dyDescent="0.35">
      <c r="A5002" s="26" t="s">
        <v>543</v>
      </c>
      <c r="B5002" s="26" t="s">
        <v>543</v>
      </c>
      <c r="C5002" s="26"/>
      <c r="D5002" s="26" t="s">
        <v>543</v>
      </c>
      <c r="E5002" s="26" t="str">
        <f>IFERROR(VLOOKUP(G5002,WholesaleExtract!B:J,9,FALSE),"")</f>
        <v/>
      </c>
      <c r="F5002" s="26" t="str">
        <f>IFERROR(VLOOKUP(G5002,WholesaleExtract!B:J,6,FALSE),"")</f>
        <v/>
      </c>
      <c r="H5002" s="47" t="str">
        <f>IFERROR(VLOOKUP(G5002,WholesaleExtract!B:L,11,FALSE),"")</f>
        <v/>
      </c>
      <c r="I5002" s="26" t="str">
        <f>IFERROR(VLOOKUP(G5002,WholesaleExtract!B:O,8,FALSE),"")</f>
        <v/>
      </c>
      <c r="J5002" s="26" t="str">
        <f>IFERROR(VLOOKUP(G5002,WholesaleExtract!B:O,14,FALSE),"")</f>
        <v/>
      </c>
      <c r="K5002" s="26" t="str">
        <f>IFERROR(VLOOKUP(G5002,WholesaleExtract!B:K,10,FALSE),"")</f>
        <v/>
      </c>
      <c r="L5002" s="47" t="str">
        <f>IFERROR(VLOOKUP(G5002,WholesaleExtract!B:L,11,FALSE),"")</f>
        <v/>
      </c>
      <c r="M5002" s="47" t="str">
        <f>IFERROR(VLOOKUP(G5002,WholesaleExtract!B:M,12,FALSE),"")</f>
        <v/>
      </c>
      <c r="R5002" s="19"/>
      <c r="S5002" s="19"/>
    </row>
    <row r="5003" spans="1:19" x14ac:dyDescent="0.35">
      <c r="A5003" s="26" t="s">
        <v>543</v>
      </c>
      <c r="B5003" s="26" t="s">
        <v>543</v>
      </c>
      <c r="C5003" s="26"/>
      <c r="D5003" s="26" t="s">
        <v>543</v>
      </c>
      <c r="E5003" s="26" t="str">
        <f>IFERROR(VLOOKUP(G5003,WholesaleExtract!B:J,9,FALSE),"")</f>
        <v/>
      </c>
      <c r="F5003" s="26" t="str">
        <f>IFERROR(VLOOKUP(G5003,WholesaleExtract!B:J,6,FALSE),"")</f>
        <v/>
      </c>
      <c r="H5003" s="47" t="str">
        <f>IFERROR(VLOOKUP(G5003,WholesaleExtract!B:L,11,FALSE),"")</f>
        <v/>
      </c>
      <c r="I5003" s="26" t="str">
        <f>IFERROR(VLOOKUP(G5003,WholesaleExtract!B:O,8,FALSE),"")</f>
        <v/>
      </c>
      <c r="J5003" s="26" t="str">
        <f>IFERROR(VLOOKUP(G5003,WholesaleExtract!B:O,14,FALSE),"")</f>
        <v/>
      </c>
      <c r="K5003" s="26" t="str">
        <f>IFERROR(VLOOKUP(G5003,WholesaleExtract!B:K,10,FALSE),"")</f>
        <v/>
      </c>
      <c r="L5003" s="47" t="str">
        <f>IFERROR(VLOOKUP(G5003,WholesaleExtract!B:L,11,FALSE),"")</f>
        <v/>
      </c>
      <c r="M5003" s="47" t="str">
        <f>IFERROR(VLOOKUP(G5003,WholesaleExtract!B:M,12,FALSE),"")</f>
        <v/>
      </c>
      <c r="R5003" s="19"/>
      <c r="S5003" s="19"/>
    </row>
    <row r="5004" spans="1:19" x14ac:dyDescent="0.35">
      <c r="A5004" s="26" t="s">
        <v>543</v>
      </c>
      <c r="B5004" s="26" t="s">
        <v>543</v>
      </c>
      <c r="C5004" s="26"/>
      <c r="D5004" s="26" t="s">
        <v>543</v>
      </c>
      <c r="E5004" s="26" t="str">
        <f>IFERROR(VLOOKUP(G5004,WholesaleExtract!B:J,9,FALSE),"")</f>
        <v/>
      </c>
      <c r="F5004" s="26" t="str">
        <f>IFERROR(VLOOKUP(G5004,WholesaleExtract!B:J,6,FALSE),"")</f>
        <v/>
      </c>
      <c r="H5004" s="47" t="str">
        <f>IFERROR(VLOOKUP(G5004,WholesaleExtract!B:L,11,FALSE),"")</f>
        <v/>
      </c>
      <c r="I5004" s="26" t="str">
        <f>IFERROR(VLOOKUP(G5004,WholesaleExtract!B:O,8,FALSE),"")</f>
        <v/>
      </c>
      <c r="J5004" s="26" t="str">
        <f>IFERROR(VLOOKUP(G5004,WholesaleExtract!B:O,14,FALSE),"")</f>
        <v/>
      </c>
      <c r="K5004" s="26" t="str">
        <f>IFERROR(VLOOKUP(G5004,WholesaleExtract!B:K,10,FALSE),"")</f>
        <v/>
      </c>
      <c r="L5004" s="47" t="str">
        <f>IFERROR(VLOOKUP(G5004,WholesaleExtract!B:L,11,FALSE),"")</f>
        <v/>
      </c>
      <c r="M5004" s="47" t="str">
        <f>IFERROR(VLOOKUP(G5004,WholesaleExtract!B:M,12,FALSE),"")</f>
        <v/>
      </c>
      <c r="R5004" s="19"/>
      <c r="S5004" s="19"/>
    </row>
    <row r="5005" spans="1:19" x14ac:dyDescent="0.35">
      <c r="A5005" s="26" t="s">
        <v>543</v>
      </c>
      <c r="B5005" s="26" t="s">
        <v>543</v>
      </c>
      <c r="C5005" s="26"/>
      <c r="D5005" s="26" t="s">
        <v>543</v>
      </c>
      <c r="E5005" s="26" t="str">
        <f>IFERROR(VLOOKUP(G5005,WholesaleExtract!B:J,9,FALSE),"")</f>
        <v/>
      </c>
      <c r="F5005" s="26" t="str">
        <f>IFERROR(VLOOKUP(G5005,WholesaleExtract!B:J,6,FALSE),"")</f>
        <v/>
      </c>
      <c r="H5005" s="47" t="str">
        <f>IFERROR(VLOOKUP(G5005,WholesaleExtract!B:L,11,FALSE),"")</f>
        <v/>
      </c>
      <c r="I5005" s="26" t="str">
        <f>IFERROR(VLOOKUP(G5005,WholesaleExtract!B:O,8,FALSE),"")</f>
        <v/>
      </c>
      <c r="J5005" s="26" t="str">
        <f>IFERROR(VLOOKUP(G5005,WholesaleExtract!B:O,14,FALSE),"")</f>
        <v/>
      </c>
      <c r="K5005" s="26" t="str">
        <f>IFERROR(VLOOKUP(G5005,WholesaleExtract!B:K,10,FALSE),"")</f>
        <v/>
      </c>
      <c r="L5005" s="47" t="str">
        <f>IFERROR(VLOOKUP(G5005,WholesaleExtract!B:L,11,FALSE),"")</f>
        <v/>
      </c>
      <c r="M5005" s="47" t="str">
        <f>IFERROR(VLOOKUP(G5005,WholesaleExtract!B:M,12,FALSE),"")</f>
        <v/>
      </c>
      <c r="R5005" s="19"/>
      <c r="S5005" s="19"/>
    </row>
    <row r="5006" spans="1:19" x14ac:dyDescent="0.35">
      <c r="A5006" s="26" t="s">
        <v>543</v>
      </c>
      <c r="B5006" s="26" t="s">
        <v>543</v>
      </c>
      <c r="C5006" s="26"/>
      <c r="D5006" s="26" t="s">
        <v>543</v>
      </c>
      <c r="E5006" s="26" t="str">
        <f>IFERROR(VLOOKUP(G5006,WholesaleExtract!B:J,9,FALSE),"")</f>
        <v/>
      </c>
      <c r="F5006" s="26" t="str">
        <f>IFERROR(VLOOKUP(G5006,WholesaleExtract!B:J,6,FALSE),"")</f>
        <v/>
      </c>
      <c r="H5006" s="47" t="str">
        <f>IFERROR(VLOOKUP(G5006,WholesaleExtract!B:L,11,FALSE),"")</f>
        <v/>
      </c>
      <c r="I5006" s="26" t="str">
        <f>IFERROR(VLOOKUP(G5006,WholesaleExtract!B:O,8,FALSE),"")</f>
        <v/>
      </c>
      <c r="J5006" s="26" t="str">
        <f>IFERROR(VLOOKUP(G5006,WholesaleExtract!B:O,14,FALSE),"")</f>
        <v/>
      </c>
      <c r="K5006" s="26" t="str">
        <f>IFERROR(VLOOKUP(G5006,WholesaleExtract!B:K,10,FALSE),"")</f>
        <v/>
      </c>
      <c r="L5006" s="47" t="str">
        <f>IFERROR(VLOOKUP(G5006,WholesaleExtract!B:L,11,FALSE),"")</f>
        <v/>
      </c>
      <c r="M5006" s="47" t="str">
        <f>IFERROR(VLOOKUP(G5006,WholesaleExtract!B:M,12,FALSE),"")</f>
        <v/>
      </c>
      <c r="R5006" s="19"/>
      <c r="S5006" s="19"/>
    </row>
    <row r="5007" spans="1:19" x14ac:dyDescent="0.35">
      <c r="A5007" s="26" t="s">
        <v>543</v>
      </c>
      <c r="B5007" s="26" t="s">
        <v>543</v>
      </c>
      <c r="C5007" s="26"/>
      <c r="D5007" s="26" t="s">
        <v>543</v>
      </c>
      <c r="E5007" s="26" t="str">
        <f>IFERROR(VLOOKUP(G5007,WholesaleExtract!B:J,9,FALSE),"")</f>
        <v/>
      </c>
      <c r="F5007" s="26" t="str">
        <f>IFERROR(VLOOKUP(G5007,WholesaleExtract!B:J,6,FALSE),"")</f>
        <v/>
      </c>
      <c r="H5007" s="47" t="str">
        <f>IFERROR(VLOOKUP(G5007,WholesaleExtract!B:L,11,FALSE),"")</f>
        <v/>
      </c>
      <c r="I5007" s="26" t="str">
        <f>IFERROR(VLOOKUP(G5007,WholesaleExtract!B:O,8,FALSE),"")</f>
        <v/>
      </c>
      <c r="J5007" s="26" t="str">
        <f>IFERROR(VLOOKUP(G5007,WholesaleExtract!B:O,14,FALSE),"")</f>
        <v/>
      </c>
      <c r="K5007" s="26" t="str">
        <f>IFERROR(VLOOKUP(G5007,WholesaleExtract!B:K,10,FALSE),"")</f>
        <v/>
      </c>
      <c r="L5007" s="47" t="str">
        <f>IFERROR(VLOOKUP(G5007,WholesaleExtract!B:L,11,FALSE),"")</f>
        <v/>
      </c>
      <c r="M5007" s="47" t="str">
        <f>IFERROR(VLOOKUP(G5007,WholesaleExtract!B:M,12,FALSE),"")</f>
        <v/>
      </c>
      <c r="R5007" s="19"/>
      <c r="S5007" s="19"/>
    </row>
    <row r="5008" spans="1:19" x14ac:dyDescent="0.35">
      <c r="A5008" s="26" t="s">
        <v>543</v>
      </c>
      <c r="B5008" s="26" t="s">
        <v>543</v>
      </c>
      <c r="C5008" s="26"/>
      <c r="D5008" s="26" t="s">
        <v>543</v>
      </c>
      <c r="E5008" s="26" t="str">
        <f>IFERROR(VLOOKUP(G5008,WholesaleExtract!B:J,9,FALSE),"")</f>
        <v/>
      </c>
      <c r="F5008" s="26" t="str">
        <f>IFERROR(VLOOKUP(G5008,WholesaleExtract!B:J,6,FALSE),"")</f>
        <v/>
      </c>
      <c r="H5008" s="47" t="str">
        <f>IFERROR(VLOOKUP(G5008,WholesaleExtract!B:L,11,FALSE),"")</f>
        <v/>
      </c>
      <c r="I5008" s="26" t="str">
        <f>IFERROR(VLOOKUP(G5008,WholesaleExtract!B:O,8,FALSE),"")</f>
        <v/>
      </c>
      <c r="J5008" s="26" t="str">
        <f>IFERROR(VLOOKUP(G5008,WholesaleExtract!B:O,14,FALSE),"")</f>
        <v/>
      </c>
      <c r="K5008" s="26" t="str">
        <f>IFERROR(VLOOKUP(G5008,WholesaleExtract!B:K,10,FALSE),"")</f>
        <v/>
      </c>
      <c r="L5008" s="47" t="str">
        <f>IFERROR(VLOOKUP(G5008,WholesaleExtract!B:L,11,FALSE),"")</f>
        <v/>
      </c>
      <c r="M5008" s="47" t="str">
        <f>IFERROR(VLOOKUP(G5008,WholesaleExtract!B:M,12,FALSE),"")</f>
        <v/>
      </c>
      <c r="R5008" s="19"/>
      <c r="S5008" s="19"/>
    </row>
    <row r="5009" spans="1:19" x14ac:dyDescent="0.35">
      <c r="A5009" s="26" t="s">
        <v>543</v>
      </c>
      <c r="B5009" s="26" t="s">
        <v>543</v>
      </c>
      <c r="C5009" s="26"/>
      <c r="D5009" s="26" t="s">
        <v>543</v>
      </c>
      <c r="E5009" s="26" t="str">
        <f>IFERROR(VLOOKUP(G5009,WholesaleExtract!B:J,9,FALSE),"")</f>
        <v/>
      </c>
      <c r="F5009" s="26" t="str">
        <f>IFERROR(VLOOKUP(G5009,WholesaleExtract!B:J,6,FALSE),"")</f>
        <v/>
      </c>
      <c r="H5009" s="47" t="str">
        <f>IFERROR(VLOOKUP(G5009,WholesaleExtract!B:L,11,FALSE),"")</f>
        <v/>
      </c>
      <c r="I5009" s="26" t="str">
        <f>IFERROR(VLOOKUP(G5009,WholesaleExtract!B:O,8,FALSE),"")</f>
        <v/>
      </c>
      <c r="J5009" s="26" t="str">
        <f>IFERROR(VLOOKUP(G5009,WholesaleExtract!B:O,14,FALSE),"")</f>
        <v/>
      </c>
      <c r="K5009" s="26" t="str">
        <f>IFERROR(VLOOKUP(G5009,WholesaleExtract!B:K,10,FALSE),"")</f>
        <v/>
      </c>
      <c r="L5009" s="47" t="str">
        <f>IFERROR(VLOOKUP(G5009,WholesaleExtract!B:L,11,FALSE),"")</f>
        <v/>
      </c>
      <c r="M5009" s="47" t="str">
        <f>IFERROR(VLOOKUP(G5009,WholesaleExtract!B:M,12,FALSE),"")</f>
        <v/>
      </c>
      <c r="R5009" s="19"/>
      <c r="S5009" s="19"/>
    </row>
    <row r="5010" spans="1:19" x14ac:dyDescent="0.35">
      <c r="A5010" s="26" t="s">
        <v>543</v>
      </c>
      <c r="B5010" s="26" t="s">
        <v>543</v>
      </c>
      <c r="C5010" s="26"/>
      <c r="D5010" s="26" t="s">
        <v>543</v>
      </c>
      <c r="E5010" s="26" t="str">
        <f>IFERROR(VLOOKUP(G5010,WholesaleExtract!B:J,9,FALSE),"")</f>
        <v/>
      </c>
      <c r="F5010" s="26" t="str">
        <f>IFERROR(VLOOKUP(G5010,WholesaleExtract!B:J,6,FALSE),"")</f>
        <v/>
      </c>
      <c r="H5010" s="47" t="str">
        <f>IFERROR(VLOOKUP(G5010,WholesaleExtract!B:L,11,FALSE),"")</f>
        <v/>
      </c>
      <c r="I5010" s="26" t="str">
        <f>IFERROR(VLOOKUP(G5010,WholesaleExtract!B:O,8,FALSE),"")</f>
        <v/>
      </c>
      <c r="J5010" s="26" t="str">
        <f>IFERROR(VLOOKUP(G5010,WholesaleExtract!B:O,14,FALSE),"")</f>
        <v/>
      </c>
      <c r="K5010" s="26" t="str">
        <f>IFERROR(VLOOKUP(G5010,WholesaleExtract!B:K,10,FALSE),"")</f>
        <v/>
      </c>
      <c r="L5010" s="47" t="str">
        <f>IFERROR(VLOOKUP(G5010,WholesaleExtract!B:L,11,FALSE),"")</f>
        <v/>
      </c>
      <c r="M5010" s="47" t="str">
        <f>IFERROR(VLOOKUP(G5010,WholesaleExtract!B:M,12,FALSE),"")</f>
        <v/>
      </c>
      <c r="R5010" s="19"/>
      <c r="S5010" s="19"/>
    </row>
    <row r="5011" spans="1:19" x14ac:dyDescent="0.35">
      <c r="A5011" s="26" t="s">
        <v>543</v>
      </c>
      <c r="B5011" s="26" t="s">
        <v>543</v>
      </c>
      <c r="C5011" s="26"/>
      <c r="D5011" s="26" t="s">
        <v>543</v>
      </c>
      <c r="E5011" s="26" t="str">
        <f>IFERROR(VLOOKUP(G5011,WholesaleExtract!B:J,9,FALSE),"")</f>
        <v/>
      </c>
      <c r="F5011" s="26" t="str">
        <f>IFERROR(VLOOKUP(G5011,WholesaleExtract!B:J,6,FALSE),"")</f>
        <v/>
      </c>
      <c r="H5011" s="47" t="str">
        <f>IFERROR(VLOOKUP(G5011,WholesaleExtract!B:L,11,FALSE),"")</f>
        <v/>
      </c>
      <c r="I5011" s="26" t="str">
        <f>IFERROR(VLOOKUP(G5011,WholesaleExtract!B:O,8,FALSE),"")</f>
        <v/>
      </c>
      <c r="J5011" s="26" t="str">
        <f>IFERROR(VLOOKUP(G5011,WholesaleExtract!B:O,14,FALSE),"")</f>
        <v/>
      </c>
      <c r="K5011" s="26" t="str">
        <f>IFERROR(VLOOKUP(G5011,WholesaleExtract!B:K,10,FALSE),"")</f>
        <v/>
      </c>
      <c r="L5011" s="47" t="str">
        <f>IFERROR(VLOOKUP(G5011,WholesaleExtract!B:L,11,FALSE),"")</f>
        <v/>
      </c>
      <c r="M5011" s="47" t="str">
        <f>IFERROR(VLOOKUP(G5011,WholesaleExtract!B:M,12,FALSE),"")</f>
        <v/>
      </c>
      <c r="R5011" s="19"/>
      <c r="S5011" s="19"/>
    </row>
    <row r="5012" spans="1:19" x14ac:dyDescent="0.35">
      <c r="A5012" s="26" t="s">
        <v>543</v>
      </c>
      <c r="B5012" s="26" t="s">
        <v>543</v>
      </c>
      <c r="C5012" s="26"/>
      <c r="D5012" s="26" t="s">
        <v>543</v>
      </c>
      <c r="E5012" s="26" t="str">
        <f>IFERROR(VLOOKUP(G5012,WholesaleExtract!B:J,9,FALSE),"")</f>
        <v/>
      </c>
      <c r="F5012" s="26" t="str">
        <f>IFERROR(VLOOKUP(G5012,WholesaleExtract!B:J,6,FALSE),"")</f>
        <v/>
      </c>
      <c r="H5012" s="47" t="str">
        <f>IFERROR(VLOOKUP(G5012,WholesaleExtract!B:L,11,FALSE),"")</f>
        <v/>
      </c>
      <c r="I5012" s="26" t="str">
        <f>IFERROR(VLOOKUP(G5012,WholesaleExtract!B:O,8,FALSE),"")</f>
        <v/>
      </c>
      <c r="J5012" s="26" t="str">
        <f>IFERROR(VLOOKUP(G5012,WholesaleExtract!B:O,14,FALSE),"")</f>
        <v/>
      </c>
      <c r="K5012" s="26" t="str">
        <f>IFERROR(VLOOKUP(G5012,WholesaleExtract!B:K,10,FALSE),"")</f>
        <v/>
      </c>
      <c r="L5012" s="47" t="str">
        <f>IFERROR(VLOOKUP(G5012,WholesaleExtract!B:L,11,FALSE),"")</f>
        <v/>
      </c>
      <c r="M5012" s="47" t="str">
        <f>IFERROR(VLOOKUP(G5012,WholesaleExtract!B:M,12,FALSE),"")</f>
        <v/>
      </c>
      <c r="R5012" s="19"/>
      <c r="S5012" s="19"/>
    </row>
    <row r="5013" spans="1:19" x14ac:dyDescent="0.35">
      <c r="A5013" s="26" t="s">
        <v>543</v>
      </c>
      <c r="B5013" s="26" t="s">
        <v>543</v>
      </c>
      <c r="C5013" s="26"/>
      <c r="D5013" s="26" t="s">
        <v>543</v>
      </c>
      <c r="E5013" s="26" t="str">
        <f>IFERROR(VLOOKUP(G5013,WholesaleExtract!B:J,9,FALSE),"")</f>
        <v/>
      </c>
      <c r="F5013" s="26" t="str">
        <f>IFERROR(VLOOKUP(G5013,WholesaleExtract!B:J,6,FALSE),"")</f>
        <v/>
      </c>
      <c r="H5013" s="47" t="str">
        <f>IFERROR(VLOOKUP(G5013,WholesaleExtract!B:L,11,FALSE),"")</f>
        <v/>
      </c>
      <c r="I5013" s="26" t="str">
        <f>IFERROR(VLOOKUP(G5013,WholesaleExtract!B:O,8,FALSE),"")</f>
        <v/>
      </c>
      <c r="J5013" s="26" t="str">
        <f>IFERROR(VLOOKUP(G5013,WholesaleExtract!B:O,14,FALSE),"")</f>
        <v/>
      </c>
      <c r="K5013" s="26" t="str">
        <f>IFERROR(VLOOKUP(G5013,WholesaleExtract!B:K,10,FALSE),"")</f>
        <v/>
      </c>
      <c r="L5013" s="47" t="str">
        <f>IFERROR(VLOOKUP(G5013,WholesaleExtract!B:L,11,FALSE),"")</f>
        <v/>
      </c>
      <c r="M5013" s="47" t="str">
        <f>IFERROR(VLOOKUP(G5013,WholesaleExtract!B:M,12,FALSE),"")</f>
        <v/>
      </c>
      <c r="R5013" s="19"/>
      <c r="S5013" s="19"/>
    </row>
    <row r="5014" spans="1:19" x14ac:dyDescent="0.35">
      <c r="A5014" s="26" t="s">
        <v>543</v>
      </c>
      <c r="B5014" s="26" t="s">
        <v>543</v>
      </c>
      <c r="C5014" s="26"/>
      <c r="D5014" s="26" t="s">
        <v>543</v>
      </c>
      <c r="E5014" s="26" t="str">
        <f>IFERROR(VLOOKUP(G5014,WholesaleExtract!B:J,9,FALSE),"")</f>
        <v/>
      </c>
      <c r="F5014" s="26" t="str">
        <f>IFERROR(VLOOKUP(G5014,WholesaleExtract!B:J,6,FALSE),"")</f>
        <v/>
      </c>
      <c r="H5014" s="47" t="str">
        <f>IFERROR(VLOOKUP(G5014,WholesaleExtract!B:L,11,FALSE),"")</f>
        <v/>
      </c>
      <c r="I5014" s="26" t="str">
        <f>IFERROR(VLOOKUP(G5014,WholesaleExtract!B:O,8,FALSE),"")</f>
        <v/>
      </c>
      <c r="J5014" s="26" t="str">
        <f>IFERROR(VLOOKUP(G5014,WholesaleExtract!B:O,14,FALSE),"")</f>
        <v/>
      </c>
      <c r="K5014" s="26" t="str">
        <f>IFERROR(VLOOKUP(G5014,WholesaleExtract!B:K,10,FALSE),"")</f>
        <v/>
      </c>
      <c r="L5014" s="47" t="str">
        <f>IFERROR(VLOOKUP(G5014,WholesaleExtract!B:L,11,FALSE),"")</f>
        <v/>
      </c>
      <c r="M5014" s="47" t="str">
        <f>IFERROR(VLOOKUP(G5014,WholesaleExtract!B:M,12,FALSE),"")</f>
        <v/>
      </c>
      <c r="R5014" s="19"/>
      <c r="S5014" s="19"/>
    </row>
    <row r="5015" spans="1:19" x14ac:dyDescent="0.35">
      <c r="A5015" s="26" t="s">
        <v>543</v>
      </c>
      <c r="B5015" s="26" t="s">
        <v>543</v>
      </c>
      <c r="C5015" s="26"/>
      <c r="D5015" s="26" t="s">
        <v>543</v>
      </c>
      <c r="E5015" s="26" t="str">
        <f>IFERROR(VLOOKUP(G5015,WholesaleExtract!B:J,9,FALSE),"")</f>
        <v/>
      </c>
      <c r="F5015" s="26" t="str">
        <f>IFERROR(VLOOKUP(G5015,WholesaleExtract!B:J,6,FALSE),"")</f>
        <v/>
      </c>
      <c r="H5015" s="47" t="str">
        <f>IFERROR(VLOOKUP(G5015,WholesaleExtract!B:L,11,FALSE),"")</f>
        <v/>
      </c>
      <c r="I5015" s="26" t="str">
        <f>IFERROR(VLOOKUP(G5015,WholesaleExtract!B:O,8,FALSE),"")</f>
        <v/>
      </c>
      <c r="J5015" s="26" t="str">
        <f>IFERROR(VLOOKUP(G5015,WholesaleExtract!B:O,14,FALSE),"")</f>
        <v/>
      </c>
      <c r="K5015" s="26" t="str">
        <f>IFERROR(VLOOKUP(G5015,WholesaleExtract!B:K,10,FALSE),"")</f>
        <v/>
      </c>
      <c r="L5015" s="47" t="str">
        <f>IFERROR(VLOOKUP(G5015,WholesaleExtract!B:L,11,FALSE),"")</f>
        <v/>
      </c>
      <c r="M5015" s="47" t="str">
        <f>IFERROR(VLOOKUP(G5015,WholesaleExtract!B:M,12,FALSE),"")</f>
        <v/>
      </c>
      <c r="R5015" s="19"/>
      <c r="S5015" s="19"/>
    </row>
    <row r="5016" spans="1:19" x14ac:dyDescent="0.35">
      <c r="A5016" s="26" t="s">
        <v>543</v>
      </c>
      <c r="B5016" s="26" t="s">
        <v>543</v>
      </c>
      <c r="C5016" s="26"/>
      <c r="D5016" s="26" t="s">
        <v>543</v>
      </c>
      <c r="E5016" s="26" t="str">
        <f>IFERROR(VLOOKUP(G5016,WholesaleExtract!B:J,9,FALSE),"")</f>
        <v/>
      </c>
      <c r="F5016" s="26" t="str">
        <f>IFERROR(VLOOKUP(G5016,WholesaleExtract!B:J,6,FALSE),"")</f>
        <v/>
      </c>
      <c r="H5016" s="47" t="str">
        <f>IFERROR(VLOOKUP(G5016,WholesaleExtract!B:L,11,FALSE),"")</f>
        <v/>
      </c>
      <c r="I5016" s="26" t="str">
        <f>IFERROR(VLOOKUP(G5016,WholesaleExtract!B:O,8,FALSE),"")</f>
        <v/>
      </c>
      <c r="J5016" s="26" t="str">
        <f>IFERROR(VLOOKUP(G5016,WholesaleExtract!B:O,14,FALSE),"")</f>
        <v/>
      </c>
      <c r="K5016" s="26" t="str">
        <f>IFERROR(VLOOKUP(G5016,WholesaleExtract!B:K,10,FALSE),"")</f>
        <v/>
      </c>
      <c r="L5016" s="47" t="str">
        <f>IFERROR(VLOOKUP(G5016,WholesaleExtract!B:L,11,FALSE),"")</f>
        <v/>
      </c>
      <c r="M5016" s="47" t="str">
        <f>IFERROR(VLOOKUP(G5016,WholesaleExtract!B:M,12,FALSE),"")</f>
        <v/>
      </c>
      <c r="R5016" s="19"/>
      <c r="S5016" s="19"/>
    </row>
    <row r="5017" spans="1:19" x14ac:dyDescent="0.35">
      <c r="A5017" s="26" t="s">
        <v>543</v>
      </c>
      <c r="B5017" s="26" t="s">
        <v>543</v>
      </c>
      <c r="C5017" s="26"/>
      <c r="D5017" s="26" t="s">
        <v>543</v>
      </c>
      <c r="E5017" s="26" t="str">
        <f>IFERROR(VLOOKUP(G5017,WholesaleExtract!B:J,9,FALSE),"")</f>
        <v/>
      </c>
      <c r="F5017" s="26" t="str">
        <f>IFERROR(VLOOKUP(G5017,WholesaleExtract!B:J,6,FALSE),"")</f>
        <v/>
      </c>
      <c r="H5017" s="47" t="str">
        <f>IFERROR(VLOOKUP(G5017,WholesaleExtract!B:L,11,FALSE),"")</f>
        <v/>
      </c>
      <c r="I5017" s="26" t="str">
        <f>IFERROR(VLOOKUP(G5017,WholesaleExtract!B:O,8,FALSE),"")</f>
        <v/>
      </c>
      <c r="J5017" s="26" t="str">
        <f>IFERROR(VLOOKUP(G5017,WholesaleExtract!B:O,14,FALSE),"")</f>
        <v/>
      </c>
      <c r="K5017" s="26" t="str">
        <f>IFERROR(VLOOKUP(G5017,WholesaleExtract!B:K,10,FALSE),"")</f>
        <v/>
      </c>
      <c r="L5017" s="47" t="str">
        <f>IFERROR(VLOOKUP(G5017,WholesaleExtract!B:L,11,FALSE),"")</f>
        <v/>
      </c>
      <c r="M5017" s="47" t="str">
        <f>IFERROR(VLOOKUP(G5017,WholesaleExtract!B:M,12,FALSE),"")</f>
        <v/>
      </c>
      <c r="R5017" s="19"/>
      <c r="S5017" s="19"/>
    </row>
    <row r="5018" spans="1:19" x14ac:dyDescent="0.35">
      <c r="A5018" s="26" t="s">
        <v>543</v>
      </c>
      <c r="B5018" s="26" t="s">
        <v>543</v>
      </c>
      <c r="C5018" s="26"/>
      <c r="D5018" s="26" t="s">
        <v>543</v>
      </c>
      <c r="E5018" s="26" t="str">
        <f>IFERROR(VLOOKUP(G5018,WholesaleExtract!B:J,9,FALSE),"")</f>
        <v/>
      </c>
      <c r="F5018" s="26" t="str">
        <f>IFERROR(VLOOKUP(G5018,WholesaleExtract!B:J,6,FALSE),"")</f>
        <v/>
      </c>
      <c r="H5018" s="47" t="str">
        <f>IFERROR(VLOOKUP(G5018,WholesaleExtract!B:L,11,FALSE),"")</f>
        <v/>
      </c>
      <c r="I5018" s="26" t="str">
        <f>IFERROR(VLOOKUP(G5018,WholesaleExtract!B:O,8,FALSE),"")</f>
        <v/>
      </c>
      <c r="J5018" s="26" t="str">
        <f>IFERROR(VLOOKUP(G5018,WholesaleExtract!B:O,14,FALSE),"")</f>
        <v/>
      </c>
      <c r="K5018" s="26" t="str">
        <f>IFERROR(VLOOKUP(G5018,WholesaleExtract!B:K,10,FALSE),"")</f>
        <v/>
      </c>
      <c r="L5018" s="47" t="str">
        <f>IFERROR(VLOOKUP(G5018,WholesaleExtract!B:L,11,FALSE),"")</f>
        <v/>
      </c>
      <c r="M5018" s="47" t="str">
        <f>IFERROR(VLOOKUP(G5018,WholesaleExtract!B:M,12,FALSE),"")</f>
        <v/>
      </c>
      <c r="R5018" s="19"/>
      <c r="S5018" s="19"/>
    </row>
    <row r="5019" spans="1:19" x14ac:dyDescent="0.35">
      <c r="A5019" s="26" t="s">
        <v>543</v>
      </c>
      <c r="B5019" s="26" t="s">
        <v>543</v>
      </c>
      <c r="C5019" s="26"/>
      <c r="D5019" s="26" t="s">
        <v>543</v>
      </c>
      <c r="E5019" s="26" t="str">
        <f>IFERROR(VLOOKUP(G5019,WholesaleExtract!B:J,9,FALSE),"")</f>
        <v/>
      </c>
      <c r="F5019" s="26" t="str">
        <f>IFERROR(VLOOKUP(G5019,WholesaleExtract!B:J,6,FALSE),"")</f>
        <v/>
      </c>
      <c r="H5019" s="47" t="str">
        <f>IFERROR(VLOOKUP(G5019,WholesaleExtract!B:L,11,FALSE),"")</f>
        <v/>
      </c>
      <c r="I5019" s="26" t="str">
        <f>IFERROR(VLOOKUP(G5019,WholesaleExtract!B:O,8,FALSE),"")</f>
        <v/>
      </c>
      <c r="J5019" s="26" t="str">
        <f>IFERROR(VLOOKUP(G5019,WholesaleExtract!B:O,14,FALSE),"")</f>
        <v/>
      </c>
      <c r="K5019" s="26" t="str">
        <f>IFERROR(VLOOKUP(G5019,WholesaleExtract!B:K,10,FALSE),"")</f>
        <v/>
      </c>
      <c r="L5019" s="47" t="str">
        <f>IFERROR(VLOOKUP(G5019,WholesaleExtract!B:L,11,FALSE),"")</f>
        <v/>
      </c>
      <c r="M5019" s="47" t="str">
        <f>IFERROR(VLOOKUP(G5019,WholesaleExtract!B:M,12,FALSE),"")</f>
        <v/>
      </c>
      <c r="R5019" s="19"/>
      <c r="S5019" s="19"/>
    </row>
    <row r="5020" spans="1:19" x14ac:dyDescent="0.35">
      <c r="A5020" s="26" t="s">
        <v>543</v>
      </c>
      <c r="B5020" s="26" t="s">
        <v>543</v>
      </c>
      <c r="C5020" s="26"/>
      <c r="D5020" s="26" t="s">
        <v>543</v>
      </c>
      <c r="E5020" s="26" t="str">
        <f>IFERROR(VLOOKUP(G5020,WholesaleExtract!B:J,9,FALSE),"")</f>
        <v/>
      </c>
      <c r="F5020" s="26" t="str">
        <f>IFERROR(VLOOKUP(G5020,WholesaleExtract!B:J,6,FALSE),"")</f>
        <v/>
      </c>
      <c r="H5020" s="47" t="str">
        <f>IFERROR(VLOOKUP(G5020,WholesaleExtract!B:L,11,FALSE),"")</f>
        <v/>
      </c>
      <c r="I5020" s="26" t="str">
        <f>IFERROR(VLOOKUP(G5020,WholesaleExtract!B:O,8,FALSE),"")</f>
        <v/>
      </c>
      <c r="J5020" s="26" t="str">
        <f>IFERROR(VLOOKUP(G5020,WholesaleExtract!B:O,14,FALSE),"")</f>
        <v/>
      </c>
      <c r="K5020" s="26" t="str">
        <f>IFERROR(VLOOKUP(G5020,WholesaleExtract!B:K,10,FALSE),"")</f>
        <v/>
      </c>
      <c r="L5020" s="47" t="str">
        <f>IFERROR(VLOOKUP(G5020,WholesaleExtract!B:L,11,FALSE),"")</f>
        <v/>
      </c>
      <c r="M5020" s="47" t="str">
        <f>IFERROR(VLOOKUP(G5020,WholesaleExtract!B:M,12,FALSE),"")</f>
        <v/>
      </c>
      <c r="R5020" s="19"/>
      <c r="S5020" s="19"/>
    </row>
    <row r="5021" spans="1:19" x14ac:dyDescent="0.35">
      <c r="A5021" s="26" t="s">
        <v>543</v>
      </c>
      <c r="B5021" s="26" t="s">
        <v>543</v>
      </c>
      <c r="C5021" s="26"/>
      <c r="D5021" s="26" t="s">
        <v>543</v>
      </c>
      <c r="E5021" s="26" t="str">
        <f>IFERROR(VLOOKUP(G5021,WholesaleExtract!B:J,9,FALSE),"")</f>
        <v/>
      </c>
      <c r="F5021" s="26" t="str">
        <f>IFERROR(VLOOKUP(G5021,WholesaleExtract!B:J,6,FALSE),"")</f>
        <v/>
      </c>
      <c r="H5021" s="47" t="str">
        <f>IFERROR(VLOOKUP(G5021,WholesaleExtract!B:L,11,FALSE),"")</f>
        <v/>
      </c>
      <c r="I5021" s="26" t="str">
        <f>IFERROR(VLOOKUP(G5021,WholesaleExtract!B:O,8,FALSE),"")</f>
        <v/>
      </c>
      <c r="J5021" s="26" t="str">
        <f>IFERROR(VLOOKUP(G5021,WholesaleExtract!B:O,14,FALSE),"")</f>
        <v/>
      </c>
      <c r="K5021" s="26" t="str">
        <f>IFERROR(VLOOKUP(G5021,WholesaleExtract!B:K,10,FALSE),"")</f>
        <v/>
      </c>
      <c r="L5021" s="47" t="str">
        <f>IFERROR(VLOOKUP(G5021,WholesaleExtract!B:L,11,FALSE),"")</f>
        <v/>
      </c>
      <c r="M5021" s="47" t="str">
        <f>IFERROR(VLOOKUP(G5021,WholesaleExtract!B:M,12,FALSE),"")</f>
        <v/>
      </c>
      <c r="R5021" s="19"/>
      <c r="S5021" s="19"/>
    </row>
    <row r="5022" spans="1:19" x14ac:dyDescent="0.35">
      <c r="A5022" s="26" t="s">
        <v>543</v>
      </c>
      <c r="B5022" s="26" t="s">
        <v>543</v>
      </c>
      <c r="C5022" s="26"/>
      <c r="D5022" s="26" t="s">
        <v>543</v>
      </c>
      <c r="E5022" s="26" t="str">
        <f>IFERROR(VLOOKUP(G5022,WholesaleExtract!B:J,9,FALSE),"")</f>
        <v/>
      </c>
      <c r="F5022" s="26" t="str">
        <f>IFERROR(VLOOKUP(G5022,WholesaleExtract!B:J,6,FALSE),"")</f>
        <v/>
      </c>
      <c r="H5022" s="47" t="str">
        <f>IFERROR(VLOOKUP(G5022,WholesaleExtract!B:L,11,FALSE),"")</f>
        <v/>
      </c>
      <c r="I5022" s="26" t="str">
        <f>IFERROR(VLOOKUP(G5022,WholesaleExtract!B:O,8,FALSE),"")</f>
        <v/>
      </c>
      <c r="J5022" s="26" t="str">
        <f>IFERROR(VLOOKUP(G5022,WholesaleExtract!B:O,14,FALSE),"")</f>
        <v/>
      </c>
      <c r="K5022" s="26" t="str">
        <f>IFERROR(VLOOKUP(G5022,WholesaleExtract!B:K,10,FALSE),"")</f>
        <v/>
      </c>
      <c r="L5022" s="47" t="str">
        <f>IFERROR(VLOOKUP(G5022,WholesaleExtract!B:L,11,FALSE),"")</f>
        <v/>
      </c>
      <c r="M5022" s="47" t="str">
        <f>IFERROR(VLOOKUP(G5022,WholesaleExtract!B:M,12,FALSE),"")</f>
        <v/>
      </c>
      <c r="R5022" s="19"/>
      <c r="S5022" s="19"/>
    </row>
    <row r="5023" spans="1:19" x14ac:dyDescent="0.35">
      <c r="A5023" s="26" t="s">
        <v>543</v>
      </c>
      <c r="B5023" s="26" t="s">
        <v>543</v>
      </c>
      <c r="C5023" s="26"/>
      <c r="D5023" s="26" t="s">
        <v>543</v>
      </c>
      <c r="E5023" s="26" t="str">
        <f>IFERROR(VLOOKUP(G5023,WholesaleExtract!B:J,9,FALSE),"")</f>
        <v/>
      </c>
      <c r="F5023" s="26" t="str">
        <f>IFERROR(VLOOKUP(G5023,WholesaleExtract!B:J,6,FALSE),"")</f>
        <v/>
      </c>
      <c r="H5023" s="47" t="str">
        <f>IFERROR(VLOOKUP(G5023,WholesaleExtract!B:L,11,FALSE),"")</f>
        <v/>
      </c>
      <c r="I5023" s="26" t="str">
        <f>IFERROR(VLOOKUP(G5023,WholesaleExtract!B:O,8,FALSE),"")</f>
        <v/>
      </c>
      <c r="J5023" s="26" t="str">
        <f>IFERROR(VLOOKUP(G5023,WholesaleExtract!B:O,14,FALSE),"")</f>
        <v/>
      </c>
      <c r="K5023" s="26" t="str">
        <f>IFERROR(VLOOKUP(G5023,WholesaleExtract!B:K,10,FALSE),"")</f>
        <v/>
      </c>
      <c r="L5023" s="47" t="str">
        <f>IFERROR(VLOOKUP(G5023,WholesaleExtract!B:L,11,FALSE),"")</f>
        <v/>
      </c>
      <c r="M5023" s="47" t="str">
        <f>IFERROR(VLOOKUP(G5023,WholesaleExtract!B:M,12,FALSE),"")</f>
        <v/>
      </c>
      <c r="R5023" s="19"/>
      <c r="S5023" s="19"/>
    </row>
    <row r="5024" spans="1:19" x14ac:dyDescent="0.35">
      <c r="A5024" s="26" t="s">
        <v>543</v>
      </c>
      <c r="B5024" s="26" t="s">
        <v>543</v>
      </c>
      <c r="C5024" s="26"/>
      <c r="D5024" s="26" t="s">
        <v>543</v>
      </c>
      <c r="E5024" s="26" t="str">
        <f>IFERROR(VLOOKUP(G5024,WholesaleExtract!B:J,9,FALSE),"")</f>
        <v/>
      </c>
      <c r="F5024" s="26" t="str">
        <f>IFERROR(VLOOKUP(G5024,WholesaleExtract!B:J,6,FALSE),"")</f>
        <v/>
      </c>
      <c r="H5024" s="47" t="str">
        <f>IFERROR(VLOOKUP(G5024,WholesaleExtract!B:L,11,FALSE),"")</f>
        <v/>
      </c>
      <c r="I5024" s="26" t="str">
        <f>IFERROR(VLOOKUP(G5024,WholesaleExtract!B:O,8,FALSE),"")</f>
        <v/>
      </c>
      <c r="J5024" s="26" t="str">
        <f>IFERROR(VLOOKUP(G5024,WholesaleExtract!B:O,14,FALSE),"")</f>
        <v/>
      </c>
      <c r="K5024" s="26" t="str">
        <f>IFERROR(VLOOKUP(G5024,WholesaleExtract!B:K,10,FALSE),"")</f>
        <v/>
      </c>
      <c r="L5024" s="47" t="str">
        <f>IFERROR(VLOOKUP(G5024,WholesaleExtract!B:L,11,FALSE),"")</f>
        <v/>
      </c>
      <c r="M5024" s="47" t="str">
        <f>IFERROR(VLOOKUP(G5024,WholesaleExtract!B:M,12,FALSE),"")</f>
        <v/>
      </c>
      <c r="R5024" s="19"/>
      <c r="S5024" s="19"/>
    </row>
    <row r="5025" spans="1:19" x14ac:dyDescent="0.35">
      <c r="A5025" s="26" t="s">
        <v>543</v>
      </c>
      <c r="B5025" s="26" t="s">
        <v>543</v>
      </c>
      <c r="C5025" s="26"/>
      <c r="D5025" s="26" t="s">
        <v>543</v>
      </c>
      <c r="E5025" s="26" t="str">
        <f>IFERROR(VLOOKUP(G5025,WholesaleExtract!B:J,9,FALSE),"")</f>
        <v/>
      </c>
      <c r="F5025" s="26" t="str">
        <f>IFERROR(VLOOKUP(G5025,WholesaleExtract!B:J,6,FALSE),"")</f>
        <v/>
      </c>
      <c r="H5025" s="47" t="str">
        <f>IFERROR(VLOOKUP(G5025,WholesaleExtract!B:L,11,FALSE),"")</f>
        <v/>
      </c>
      <c r="I5025" s="26" t="str">
        <f>IFERROR(VLOOKUP(G5025,WholesaleExtract!B:O,8,FALSE),"")</f>
        <v/>
      </c>
      <c r="J5025" s="26" t="str">
        <f>IFERROR(VLOOKUP(G5025,WholesaleExtract!B:O,14,FALSE),"")</f>
        <v/>
      </c>
      <c r="K5025" s="26" t="str">
        <f>IFERROR(VLOOKUP(G5025,WholesaleExtract!B:K,10,FALSE),"")</f>
        <v/>
      </c>
      <c r="L5025" s="47" t="str">
        <f>IFERROR(VLOOKUP(G5025,WholesaleExtract!B:L,11,FALSE),"")</f>
        <v/>
      </c>
      <c r="M5025" s="47" t="str">
        <f>IFERROR(VLOOKUP(G5025,WholesaleExtract!B:M,12,FALSE),"")</f>
        <v/>
      </c>
      <c r="R5025" s="19"/>
      <c r="S5025" s="19"/>
    </row>
    <row r="5026" spans="1:19" x14ac:dyDescent="0.35">
      <c r="A5026" s="26" t="s">
        <v>543</v>
      </c>
      <c r="B5026" s="26" t="s">
        <v>543</v>
      </c>
      <c r="C5026" s="26"/>
      <c r="D5026" s="26" t="s">
        <v>543</v>
      </c>
      <c r="E5026" s="26" t="str">
        <f>IFERROR(VLOOKUP(G5026,WholesaleExtract!B:J,9,FALSE),"")</f>
        <v/>
      </c>
      <c r="F5026" s="26" t="str">
        <f>IFERROR(VLOOKUP(G5026,WholesaleExtract!B:J,6,FALSE),"")</f>
        <v/>
      </c>
      <c r="H5026" s="47" t="str">
        <f>IFERROR(VLOOKUP(G5026,WholesaleExtract!B:L,11,FALSE),"")</f>
        <v/>
      </c>
      <c r="I5026" s="26" t="str">
        <f>IFERROR(VLOOKUP(G5026,WholesaleExtract!B:O,8,FALSE),"")</f>
        <v/>
      </c>
      <c r="J5026" s="26" t="str">
        <f>IFERROR(VLOOKUP(G5026,WholesaleExtract!B:O,14,FALSE),"")</f>
        <v/>
      </c>
      <c r="K5026" s="26" t="str">
        <f>IFERROR(VLOOKUP(G5026,WholesaleExtract!B:K,10,FALSE),"")</f>
        <v/>
      </c>
      <c r="L5026" s="47" t="str">
        <f>IFERROR(VLOOKUP(G5026,WholesaleExtract!B:L,11,FALSE),"")</f>
        <v/>
      </c>
      <c r="M5026" s="47" t="str">
        <f>IFERROR(VLOOKUP(G5026,WholesaleExtract!B:M,12,FALSE),"")</f>
        <v/>
      </c>
      <c r="R5026" s="19"/>
      <c r="S5026" s="19"/>
    </row>
    <row r="5027" spans="1:19" x14ac:dyDescent="0.35">
      <c r="A5027" s="26" t="s">
        <v>543</v>
      </c>
      <c r="B5027" s="26" t="s">
        <v>543</v>
      </c>
      <c r="C5027" s="26"/>
      <c r="D5027" s="26" t="s">
        <v>543</v>
      </c>
      <c r="E5027" s="26" t="str">
        <f>IFERROR(VLOOKUP(G5027,WholesaleExtract!B:J,9,FALSE),"")</f>
        <v/>
      </c>
      <c r="F5027" s="26" t="str">
        <f>IFERROR(VLOOKUP(G5027,WholesaleExtract!B:J,6,FALSE),"")</f>
        <v/>
      </c>
      <c r="H5027" s="47" t="str">
        <f>IFERROR(VLOOKUP(G5027,WholesaleExtract!B:L,11,FALSE),"")</f>
        <v/>
      </c>
      <c r="I5027" s="26" t="str">
        <f>IFERROR(VLOOKUP(G5027,WholesaleExtract!B:O,8,FALSE),"")</f>
        <v/>
      </c>
      <c r="J5027" s="26" t="str">
        <f>IFERROR(VLOOKUP(G5027,WholesaleExtract!B:O,14,FALSE),"")</f>
        <v/>
      </c>
      <c r="K5027" s="26" t="str">
        <f>IFERROR(VLOOKUP(G5027,WholesaleExtract!B:K,10,FALSE),"")</f>
        <v/>
      </c>
      <c r="L5027" s="47" t="str">
        <f>IFERROR(VLOOKUP(G5027,WholesaleExtract!B:L,11,FALSE),"")</f>
        <v/>
      </c>
      <c r="M5027" s="47" t="str">
        <f>IFERROR(VLOOKUP(G5027,WholesaleExtract!B:M,12,FALSE),"")</f>
        <v/>
      </c>
      <c r="R5027" s="19"/>
      <c r="S5027" s="19"/>
    </row>
    <row r="5028" spans="1:19" x14ac:dyDescent="0.35">
      <c r="A5028" s="26" t="s">
        <v>543</v>
      </c>
      <c r="B5028" s="26" t="s">
        <v>543</v>
      </c>
      <c r="C5028" s="26"/>
      <c r="D5028" s="26" t="s">
        <v>543</v>
      </c>
      <c r="E5028" s="26" t="str">
        <f>IFERROR(VLOOKUP(G5028,WholesaleExtract!B:J,9,FALSE),"")</f>
        <v/>
      </c>
      <c r="F5028" s="26" t="str">
        <f>IFERROR(VLOOKUP(G5028,WholesaleExtract!B:J,6,FALSE),"")</f>
        <v/>
      </c>
      <c r="H5028" s="47" t="str">
        <f>IFERROR(VLOOKUP(G5028,WholesaleExtract!B:L,11,FALSE),"")</f>
        <v/>
      </c>
      <c r="I5028" s="26" t="str">
        <f>IFERROR(VLOOKUP(G5028,WholesaleExtract!B:O,8,FALSE),"")</f>
        <v/>
      </c>
      <c r="J5028" s="26" t="str">
        <f>IFERROR(VLOOKUP(G5028,WholesaleExtract!B:O,14,FALSE),"")</f>
        <v/>
      </c>
      <c r="K5028" s="26" t="str">
        <f>IFERROR(VLOOKUP(G5028,WholesaleExtract!B:K,10,FALSE),"")</f>
        <v/>
      </c>
      <c r="L5028" s="47" t="str">
        <f>IFERROR(VLOOKUP(G5028,WholesaleExtract!B:L,11,FALSE),"")</f>
        <v/>
      </c>
      <c r="M5028" s="47" t="str">
        <f>IFERROR(VLOOKUP(G5028,WholesaleExtract!B:M,12,FALSE),"")</f>
        <v/>
      </c>
      <c r="R5028" s="19"/>
      <c r="S5028" s="19"/>
    </row>
    <row r="5029" spans="1:19" x14ac:dyDescent="0.35">
      <c r="A5029" s="26" t="s">
        <v>543</v>
      </c>
      <c r="B5029" s="26" t="s">
        <v>543</v>
      </c>
      <c r="C5029" s="26"/>
      <c r="D5029" s="26" t="s">
        <v>543</v>
      </c>
      <c r="E5029" s="26" t="str">
        <f>IFERROR(VLOOKUP(G5029,WholesaleExtract!B:J,9,FALSE),"")</f>
        <v/>
      </c>
      <c r="F5029" s="26" t="str">
        <f>IFERROR(VLOOKUP(G5029,WholesaleExtract!B:J,6,FALSE),"")</f>
        <v/>
      </c>
      <c r="H5029" s="47" t="str">
        <f>IFERROR(VLOOKUP(G5029,WholesaleExtract!B:L,11,FALSE),"")</f>
        <v/>
      </c>
      <c r="I5029" s="26" t="str">
        <f>IFERROR(VLOOKUP(G5029,WholesaleExtract!B:O,8,FALSE),"")</f>
        <v/>
      </c>
      <c r="J5029" s="26" t="str">
        <f>IFERROR(VLOOKUP(G5029,WholesaleExtract!B:O,14,FALSE),"")</f>
        <v/>
      </c>
      <c r="K5029" s="26" t="str">
        <f>IFERROR(VLOOKUP(G5029,WholesaleExtract!B:K,10,FALSE),"")</f>
        <v/>
      </c>
      <c r="L5029" s="47" t="str">
        <f>IFERROR(VLOOKUP(G5029,WholesaleExtract!B:L,11,FALSE),"")</f>
        <v/>
      </c>
      <c r="M5029" s="47" t="str">
        <f>IFERROR(VLOOKUP(G5029,WholesaleExtract!B:M,12,FALSE),"")</f>
        <v/>
      </c>
      <c r="R5029" s="19"/>
      <c r="S5029" s="19"/>
    </row>
    <row r="5030" spans="1:19" x14ac:dyDescent="0.35">
      <c r="A5030" s="26" t="s">
        <v>543</v>
      </c>
      <c r="B5030" s="26" t="s">
        <v>543</v>
      </c>
      <c r="C5030" s="26"/>
      <c r="D5030" s="26" t="s">
        <v>543</v>
      </c>
      <c r="E5030" s="26" t="str">
        <f>IFERROR(VLOOKUP(G5030,WholesaleExtract!B:J,9,FALSE),"")</f>
        <v/>
      </c>
      <c r="F5030" s="26" t="str">
        <f>IFERROR(VLOOKUP(G5030,WholesaleExtract!B:J,6,FALSE),"")</f>
        <v/>
      </c>
      <c r="H5030" s="47" t="str">
        <f>IFERROR(VLOOKUP(G5030,WholesaleExtract!B:L,11,FALSE),"")</f>
        <v/>
      </c>
      <c r="I5030" s="26" t="str">
        <f>IFERROR(VLOOKUP(G5030,WholesaleExtract!B:O,8,FALSE),"")</f>
        <v/>
      </c>
      <c r="J5030" s="26" t="str">
        <f>IFERROR(VLOOKUP(G5030,WholesaleExtract!B:O,14,FALSE),"")</f>
        <v/>
      </c>
      <c r="K5030" s="26" t="str">
        <f>IFERROR(VLOOKUP(G5030,WholesaleExtract!B:K,10,FALSE),"")</f>
        <v/>
      </c>
      <c r="L5030" s="47" t="str">
        <f>IFERROR(VLOOKUP(G5030,WholesaleExtract!B:L,11,FALSE),"")</f>
        <v/>
      </c>
      <c r="M5030" s="47" t="str">
        <f>IFERROR(VLOOKUP(G5030,WholesaleExtract!B:M,12,FALSE),"")</f>
        <v/>
      </c>
      <c r="R5030" s="19"/>
      <c r="S5030" s="19"/>
    </row>
    <row r="5031" spans="1:19" x14ac:dyDescent="0.35">
      <c r="A5031" s="26" t="s">
        <v>543</v>
      </c>
      <c r="B5031" s="26" t="s">
        <v>543</v>
      </c>
      <c r="C5031" s="26"/>
      <c r="D5031" s="26" t="s">
        <v>543</v>
      </c>
      <c r="E5031" s="26" t="str">
        <f>IFERROR(VLOOKUP(G5031,WholesaleExtract!B:J,9,FALSE),"")</f>
        <v/>
      </c>
      <c r="F5031" s="26" t="str">
        <f>IFERROR(VLOOKUP(G5031,WholesaleExtract!B:J,6,FALSE),"")</f>
        <v/>
      </c>
      <c r="H5031" s="47" t="str">
        <f>IFERROR(VLOOKUP(G5031,WholesaleExtract!B:L,11,FALSE),"")</f>
        <v/>
      </c>
      <c r="I5031" s="26" t="str">
        <f>IFERROR(VLOOKUP(G5031,WholesaleExtract!B:O,8,FALSE),"")</f>
        <v/>
      </c>
      <c r="J5031" s="26" t="str">
        <f>IFERROR(VLOOKUP(G5031,WholesaleExtract!B:O,14,FALSE),"")</f>
        <v/>
      </c>
      <c r="K5031" s="26" t="str">
        <f>IFERROR(VLOOKUP(G5031,WholesaleExtract!B:K,10,FALSE),"")</f>
        <v/>
      </c>
      <c r="L5031" s="47" t="str">
        <f>IFERROR(VLOOKUP(G5031,WholesaleExtract!B:L,11,FALSE),"")</f>
        <v/>
      </c>
      <c r="M5031" s="47" t="str">
        <f>IFERROR(VLOOKUP(G5031,WholesaleExtract!B:M,12,FALSE),"")</f>
        <v/>
      </c>
      <c r="R5031" s="19"/>
      <c r="S5031" s="19"/>
    </row>
    <row r="5032" spans="1:19" x14ac:dyDescent="0.35">
      <c r="A5032" s="26" t="s">
        <v>543</v>
      </c>
      <c r="B5032" s="26" t="s">
        <v>543</v>
      </c>
      <c r="C5032" s="26"/>
      <c r="D5032" s="26" t="s">
        <v>543</v>
      </c>
      <c r="E5032" s="26" t="str">
        <f>IFERROR(VLOOKUP(G5032,WholesaleExtract!B:J,9,FALSE),"")</f>
        <v/>
      </c>
      <c r="F5032" s="26" t="str">
        <f>IFERROR(VLOOKUP(G5032,WholesaleExtract!B:J,6,FALSE),"")</f>
        <v/>
      </c>
      <c r="H5032" s="47" t="str">
        <f>IFERROR(VLOOKUP(G5032,WholesaleExtract!B:L,11,FALSE),"")</f>
        <v/>
      </c>
      <c r="I5032" s="26" t="str">
        <f>IFERROR(VLOOKUP(G5032,WholesaleExtract!B:O,8,FALSE),"")</f>
        <v/>
      </c>
      <c r="J5032" s="26" t="str">
        <f>IFERROR(VLOOKUP(G5032,WholesaleExtract!B:O,14,FALSE),"")</f>
        <v/>
      </c>
      <c r="K5032" s="26" t="str">
        <f>IFERROR(VLOOKUP(G5032,WholesaleExtract!B:K,10,FALSE),"")</f>
        <v/>
      </c>
      <c r="L5032" s="47" t="str">
        <f>IFERROR(VLOOKUP(G5032,WholesaleExtract!B:L,11,FALSE),"")</f>
        <v/>
      </c>
      <c r="M5032" s="47" t="str">
        <f>IFERROR(VLOOKUP(G5032,WholesaleExtract!B:M,12,FALSE),"")</f>
        <v/>
      </c>
      <c r="R5032" s="19"/>
      <c r="S5032" s="19"/>
    </row>
    <row r="5033" spans="1:19" x14ac:dyDescent="0.35">
      <c r="A5033" s="26" t="s">
        <v>543</v>
      </c>
      <c r="B5033" s="26" t="s">
        <v>543</v>
      </c>
      <c r="C5033" s="26"/>
      <c r="D5033" s="26" t="s">
        <v>543</v>
      </c>
      <c r="E5033" s="26" t="str">
        <f>IFERROR(VLOOKUP(G5033,WholesaleExtract!B:J,9,FALSE),"")</f>
        <v/>
      </c>
      <c r="F5033" s="26" t="str">
        <f>IFERROR(VLOOKUP(G5033,WholesaleExtract!B:J,6,FALSE),"")</f>
        <v/>
      </c>
      <c r="H5033" s="47" t="str">
        <f>IFERROR(VLOOKUP(G5033,WholesaleExtract!B:L,11,FALSE),"")</f>
        <v/>
      </c>
      <c r="I5033" s="26" t="str">
        <f>IFERROR(VLOOKUP(G5033,WholesaleExtract!B:O,8,FALSE),"")</f>
        <v/>
      </c>
      <c r="J5033" s="26" t="str">
        <f>IFERROR(VLOOKUP(G5033,WholesaleExtract!B:O,14,FALSE),"")</f>
        <v/>
      </c>
      <c r="K5033" s="26" t="str">
        <f>IFERROR(VLOOKUP(G5033,WholesaleExtract!B:K,10,FALSE),"")</f>
        <v/>
      </c>
      <c r="L5033" s="47" t="str">
        <f>IFERROR(VLOOKUP(G5033,WholesaleExtract!B:L,11,FALSE),"")</f>
        <v/>
      </c>
      <c r="M5033" s="47" t="str">
        <f>IFERROR(VLOOKUP(G5033,WholesaleExtract!B:M,12,FALSE),"")</f>
        <v/>
      </c>
      <c r="R5033" s="19"/>
      <c r="S5033" s="19"/>
    </row>
    <row r="5034" spans="1:19" x14ac:dyDescent="0.35">
      <c r="A5034" s="26" t="s">
        <v>543</v>
      </c>
      <c r="B5034" s="26" t="s">
        <v>543</v>
      </c>
      <c r="C5034" s="26"/>
      <c r="D5034" s="26" t="s">
        <v>543</v>
      </c>
      <c r="E5034" s="26" t="str">
        <f>IFERROR(VLOOKUP(G5034,WholesaleExtract!B:J,9,FALSE),"")</f>
        <v/>
      </c>
      <c r="F5034" s="26" t="str">
        <f>IFERROR(VLOOKUP(G5034,WholesaleExtract!B:J,6,FALSE),"")</f>
        <v/>
      </c>
      <c r="H5034" s="47" t="str">
        <f>IFERROR(VLOOKUP(G5034,WholesaleExtract!B:L,11,FALSE),"")</f>
        <v/>
      </c>
      <c r="I5034" s="26" t="str">
        <f>IFERROR(VLOOKUP(G5034,WholesaleExtract!B:O,8,FALSE),"")</f>
        <v/>
      </c>
      <c r="J5034" s="26" t="str">
        <f>IFERROR(VLOOKUP(G5034,WholesaleExtract!B:O,14,FALSE),"")</f>
        <v/>
      </c>
      <c r="K5034" s="26" t="str">
        <f>IFERROR(VLOOKUP(G5034,WholesaleExtract!B:K,10,FALSE),"")</f>
        <v/>
      </c>
      <c r="L5034" s="47" t="str">
        <f>IFERROR(VLOOKUP(G5034,WholesaleExtract!B:L,11,FALSE),"")</f>
        <v/>
      </c>
      <c r="M5034" s="47" t="str">
        <f>IFERROR(VLOOKUP(G5034,WholesaleExtract!B:M,12,FALSE),"")</f>
        <v/>
      </c>
      <c r="R5034" s="19"/>
      <c r="S5034" s="19"/>
    </row>
    <row r="5035" spans="1:19" x14ac:dyDescent="0.35">
      <c r="A5035" s="26" t="s">
        <v>543</v>
      </c>
      <c r="B5035" s="26" t="s">
        <v>543</v>
      </c>
      <c r="C5035" s="26"/>
      <c r="D5035" s="26" t="s">
        <v>543</v>
      </c>
      <c r="E5035" s="26" t="str">
        <f>IFERROR(VLOOKUP(G5035,WholesaleExtract!B:J,9,FALSE),"")</f>
        <v/>
      </c>
      <c r="F5035" s="26" t="str">
        <f>IFERROR(VLOOKUP(G5035,WholesaleExtract!B:J,6,FALSE),"")</f>
        <v/>
      </c>
      <c r="H5035" s="47" t="str">
        <f>IFERROR(VLOOKUP(G5035,WholesaleExtract!B:L,11,FALSE),"")</f>
        <v/>
      </c>
      <c r="I5035" s="26" t="str">
        <f>IFERROR(VLOOKUP(G5035,WholesaleExtract!B:O,8,FALSE),"")</f>
        <v/>
      </c>
      <c r="J5035" s="26" t="str">
        <f>IFERROR(VLOOKUP(G5035,WholesaleExtract!B:O,14,FALSE),"")</f>
        <v/>
      </c>
      <c r="K5035" s="26" t="str">
        <f>IFERROR(VLOOKUP(G5035,WholesaleExtract!B:K,10,FALSE),"")</f>
        <v/>
      </c>
      <c r="L5035" s="47" t="str">
        <f>IFERROR(VLOOKUP(G5035,WholesaleExtract!B:L,11,FALSE),"")</f>
        <v/>
      </c>
      <c r="M5035" s="47" t="str">
        <f>IFERROR(VLOOKUP(G5035,WholesaleExtract!B:M,12,FALSE),"")</f>
        <v/>
      </c>
      <c r="R5035" s="19"/>
      <c r="S5035" s="19"/>
    </row>
    <row r="5036" spans="1:19" x14ac:dyDescent="0.35">
      <c r="A5036" s="26" t="s">
        <v>543</v>
      </c>
      <c r="B5036" s="26" t="s">
        <v>543</v>
      </c>
      <c r="C5036" s="26"/>
      <c r="D5036" s="26" t="s">
        <v>543</v>
      </c>
      <c r="E5036" s="26" t="str">
        <f>IFERROR(VLOOKUP(G5036,WholesaleExtract!B:J,9,FALSE),"")</f>
        <v/>
      </c>
      <c r="F5036" s="26" t="str">
        <f>IFERROR(VLOOKUP(G5036,WholesaleExtract!B:J,6,FALSE),"")</f>
        <v/>
      </c>
      <c r="H5036" s="47" t="str">
        <f>IFERROR(VLOOKUP(G5036,WholesaleExtract!B:L,11,FALSE),"")</f>
        <v/>
      </c>
      <c r="I5036" s="26" t="str">
        <f>IFERROR(VLOOKUP(G5036,WholesaleExtract!B:O,8,FALSE),"")</f>
        <v/>
      </c>
      <c r="J5036" s="26" t="str">
        <f>IFERROR(VLOOKUP(G5036,WholesaleExtract!B:O,14,FALSE),"")</f>
        <v/>
      </c>
      <c r="K5036" s="26" t="str">
        <f>IFERROR(VLOOKUP(G5036,WholesaleExtract!B:K,10,FALSE),"")</f>
        <v/>
      </c>
      <c r="L5036" s="47" t="str">
        <f>IFERROR(VLOOKUP(G5036,WholesaleExtract!B:L,11,FALSE),"")</f>
        <v/>
      </c>
      <c r="M5036" s="47" t="str">
        <f>IFERROR(VLOOKUP(G5036,WholesaleExtract!B:M,12,FALSE),"")</f>
        <v/>
      </c>
      <c r="R5036" s="19"/>
      <c r="S5036" s="19"/>
    </row>
    <row r="5037" spans="1:19" x14ac:dyDescent="0.35">
      <c r="A5037" s="26" t="s">
        <v>543</v>
      </c>
      <c r="B5037" s="26" t="s">
        <v>543</v>
      </c>
      <c r="C5037" s="26"/>
      <c r="D5037" s="26" t="s">
        <v>543</v>
      </c>
      <c r="E5037" s="26" t="str">
        <f>IFERROR(VLOOKUP(G5037,WholesaleExtract!B:J,9,FALSE),"")</f>
        <v/>
      </c>
      <c r="F5037" s="26" t="str">
        <f>IFERROR(VLOOKUP(G5037,WholesaleExtract!B:J,6,FALSE),"")</f>
        <v/>
      </c>
      <c r="H5037" s="47" t="str">
        <f>IFERROR(VLOOKUP(G5037,WholesaleExtract!B:L,11,FALSE),"")</f>
        <v/>
      </c>
      <c r="I5037" s="26" t="str">
        <f>IFERROR(VLOOKUP(G5037,WholesaleExtract!B:O,8,FALSE),"")</f>
        <v/>
      </c>
      <c r="J5037" s="26" t="str">
        <f>IFERROR(VLOOKUP(G5037,WholesaleExtract!B:O,14,FALSE),"")</f>
        <v/>
      </c>
      <c r="K5037" s="26" t="str">
        <f>IFERROR(VLOOKUP(G5037,WholesaleExtract!B:K,10,FALSE),"")</f>
        <v/>
      </c>
      <c r="L5037" s="47" t="str">
        <f>IFERROR(VLOOKUP(G5037,WholesaleExtract!B:L,11,FALSE),"")</f>
        <v/>
      </c>
      <c r="M5037" s="47" t="str">
        <f>IFERROR(VLOOKUP(G5037,WholesaleExtract!B:M,12,FALSE),"")</f>
        <v/>
      </c>
      <c r="R5037" s="19"/>
      <c r="S5037" s="19"/>
    </row>
    <row r="5038" spans="1:19" x14ac:dyDescent="0.35">
      <c r="A5038" s="26" t="s">
        <v>543</v>
      </c>
      <c r="B5038" s="26" t="s">
        <v>543</v>
      </c>
      <c r="C5038" s="26"/>
      <c r="D5038" s="26" t="s">
        <v>543</v>
      </c>
      <c r="E5038" s="26" t="str">
        <f>IFERROR(VLOOKUP(G5038,WholesaleExtract!B:J,9,FALSE),"")</f>
        <v/>
      </c>
      <c r="F5038" s="26" t="str">
        <f>IFERROR(VLOOKUP(G5038,WholesaleExtract!B:J,6,FALSE),"")</f>
        <v/>
      </c>
      <c r="H5038" s="47" t="str">
        <f>IFERROR(VLOOKUP(G5038,WholesaleExtract!B:L,11,FALSE),"")</f>
        <v/>
      </c>
      <c r="I5038" s="26" t="str">
        <f>IFERROR(VLOOKUP(G5038,WholesaleExtract!B:O,8,FALSE),"")</f>
        <v/>
      </c>
      <c r="J5038" s="26" t="str">
        <f>IFERROR(VLOOKUP(G5038,WholesaleExtract!B:O,14,FALSE),"")</f>
        <v/>
      </c>
      <c r="K5038" s="26" t="str">
        <f>IFERROR(VLOOKUP(G5038,WholesaleExtract!B:K,10,FALSE),"")</f>
        <v/>
      </c>
      <c r="L5038" s="47" t="str">
        <f>IFERROR(VLOOKUP(G5038,WholesaleExtract!B:L,11,FALSE),"")</f>
        <v/>
      </c>
      <c r="M5038" s="47" t="str">
        <f>IFERROR(VLOOKUP(G5038,WholesaleExtract!B:M,12,FALSE),"")</f>
        <v/>
      </c>
      <c r="R5038" s="19"/>
      <c r="S5038" s="19"/>
    </row>
    <row r="5039" spans="1:19" x14ac:dyDescent="0.35">
      <c r="A5039" s="26" t="s">
        <v>543</v>
      </c>
      <c r="B5039" s="26" t="s">
        <v>543</v>
      </c>
      <c r="C5039" s="26"/>
      <c r="D5039" s="26" t="s">
        <v>543</v>
      </c>
      <c r="E5039" s="26" t="str">
        <f>IFERROR(VLOOKUP(G5039,WholesaleExtract!B:J,9,FALSE),"")</f>
        <v/>
      </c>
      <c r="F5039" s="26" t="str">
        <f>IFERROR(VLOOKUP(G5039,WholesaleExtract!B:J,6,FALSE),"")</f>
        <v/>
      </c>
      <c r="H5039" s="47" t="str">
        <f>IFERROR(VLOOKUP(G5039,WholesaleExtract!B:L,11,FALSE),"")</f>
        <v/>
      </c>
      <c r="I5039" s="26" t="str">
        <f>IFERROR(VLOOKUP(G5039,WholesaleExtract!B:O,8,FALSE),"")</f>
        <v/>
      </c>
      <c r="J5039" s="26" t="str">
        <f>IFERROR(VLOOKUP(G5039,WholesaleExtract!B:O,14,FALSE),"")</f>
        <v/>
      </c>
      <c r="K5039" s="26" t="str">
        <f>IFERROR(VLOOKUP(G5039,WholesaleExtract!B:K,10,FALSE),"")</f>
        <v/>
      </c>
      <c r="L5039" s="47" t="str">
        <f>IFERROR(VLOOKUP(G5039,WholesaleExtract!B:L,11,FALSE),"")</f>
        <v/>
      </c>
      <c r="M5039" s="47" t="str">
        <f>IFERROR(VLOOKUP(G5039,WholesaleExtract!B:M,12,FALSE),"")</f>
        <v/>
      </c>
      <c r="R5039" s="19"/>
      <c r="S5039" s="19"/>
    </row>
    <row r="5040" spans="1:19" x14ac:dyDescent="0.35">
      <c r="A5040" s="26" t="s">
        <v>543</v>
      </c>
      <c r="B5040" s="26" t="s">
        <v>543</v>
      </c>
      <c r="C5040" s="26"/>
      <c r="D5040" s="26" t="s">
        <v>543</v>
      </c>
      <c r="E5040" s="26" t="str">
        <f>IFERROR(VLOOKUP(G5040,WholesaleExtract!B:J,9,FALSE),"")</f>
        <v/>
      </c>
      <c r="F5040" s="26" t="str">
        <f>IFERROR(VLOOKUP(G5040,WholesaleExtract!B:J,6,FALSE),"")</f>
        <v/>
      </c>
      <c r="H5040" s="47" t="str">
        <f>IFERROR(VLOOKUP(G5040,WholesaleExtract!B:L,11,FALSE),"")</f>
        <v/>
      </c>
      <c r="I5040" s="26" t="str">
        <f>IFERROR(VLOOKUP(G5040,WholesaleExtract!B:O,8,FALSE),"")</f>
        <v/>
      </c>
      <c r="J5040" s="26" t="str">
        <f>IFERROR(VLOOKUP(G5040,WholesaleExtract!B:O,14,FALSE),"")</f>
        <v/>
      </c>
      <c r="K5040" s="26" t="str">
        <f>IFERROR(VLOOKUP(G5040,WholesaleExtract!B:K,10,FALSE),"")</f>
        <v/>
      </c>
      <c r="L5040" s="47" t="str">
        <f>IFERROR(VLOOKUP(G5040,WholesaleExtract!B:L,11,FALSE),"")</f>
        <v/>
      </c>
      <c r="M5040" s="47" t="str">
        <f>IFERROR(VLOOKUP(G5040,WholesaleExtract!B:M,12,FALSE),"")</f>
        <v/>
      </c>
      <c r="R5040" s="19"/>
      <c r="S5040" s="19"/>
    </row>
    <row r="5041" spans="1:19" x14ac:dyDescent="0.35">
      <c r="A5041" s="26" t="s">
        <v>543</v>
      </c>
      <c r="B5041" s="26" t="s">
        <v>543</v>
      </c>
      <c r="C5041" s="26"/>
      <c r="D5041" s="26" t="s">
        <v>543</v>
      </c>
      <c r="E5041" s="26" t="str">
        <f>IFERROR(VLOOKUP(G5041,WholesaleExtract!B:J,9,FALSE),"")</f>
        <v/>
      </c>
      <c r="F5041" s="26" t="str">
        <f>IFERROR(VLOOKUP(G5041,WholesaleExtract!B:J,6,FALSE),"")</f>
        <v/>
      </c>
      <c r="H5041" s="47" t="str">
        <f>IFERROR(VLOOKUP(G5041,WholesaleExtract!B:L,11,FALSE),"")</f>
        <v/>
      </c>
      <c r="I5041" s="26" t="str">
        <f>IFERROR(VLOOKUP(G5041,WholesaleExtract!B:O,8,FALSE),"")</f>
        <v/>
      </c>
      <c r="J5041" s="26" t="str">
        <f>IFERROR(VLOOKUP(G5041,WholesaleExtract!B:O,14,FALSE),"")</f>
        <v/>
      </c>
      <c r="K5041" s="26" t="str">
        <f>IFERROR(VLOOKUP(G5041,WholesaleExtract!B:K,10,FALSE),"")</f>
        <v/>
      </c>
      <c r="L5041" s="47" t="str">
        <f>IFERROR(VLOOKUP(G5041,WholesaleExtract!B:L,11,FALSE),"")</f>
        <v/>
      </c>
      <c r="M5041" s="47" t="str">
        <f>IFERROR(VLOOKUP(G5041,WholesaleExtract!B:M,12,FALSE),"")</f>
        <v/>
      </c>
      <c r="R5041" s="19"/>
      <c r="S5041" s="19"/>
    </row>
    <row r="5042" spans="1:19" x14ac:dyDescent="0.35">
      <c r="A5042" s="26" t="s">
        <v>543</v>
      </c>
      <c r="B5042" s="26" t="s">
        <v>543</v>
      </c>
      <c r="C5042" s="26"/>
      <c r="D5042" s="26" t="s">
        <v>543</v>
      </c>
      <c r="E5042" s="26" t="str">
        <f>IFERROR(VLOOKUP(G5042,WholesaleExtract!B:J,9,FALSE),"")</f>
        <v/>
      </c>
      <c r="F5042" s="26" t="str">
        <f>IFERROR(VLOOKUP(G5042,WholesaleExtract!B:J,6,FALSE),"")</f>
        <v/>
      </c>
      <c r="H5042" s="47" t="str">
        <f>IFERROR(VLOOKUP(G5042,WholesaleExtract!B:L,11,FALSE),"")</f>
        <v/>
      </c>
      <c r="I5042" s="26" t="str">
        <f>IFERROR(VLOOKUP(G5042,WholesaleExtract!B:O,8,FALSE),"")</f>
        <v/>
      </c>
      <c r="J5042" s="26" t="str">
        <f>IFERROR(VLOOKUP(G5042,WholesaleExtract!B:O,14,FALSE),"")</f>
        <v/>
      </c>
      <c r="K5042" s="26" t="str">
        <f>IFERROR(VLOOKUP(G5042,WholesaleExtract!B:K,10,FALSE),"")</f>
        <v/>
      </c>
      <c r="L5042" s="47" t="str">
        <f>IFERROR(VLOOKUP(G5042,WholesaleExtract!B:L,11,FALSE),"")</f>
        <v/>
      </c>
      <c r="M5042" s="47" t="str">
        <f>IFERROR(VLOOKUP(G5042,WholesaleExtract!B:M,12,FALSE),"")</f>
        <v/>
      </c>
      <c r="R5042" s="19"/>
      <c r="S5042" s="19"/>
    </row>
    <row r="5043" spans="1:19" x14ac:dyDescent="0.35">
      <c r="A5043" s="26" t="s">
        <v>543</v>
      </c>
      <c r="B5043" s="26" t="s">
        <v>543</v>
      </c>
      <c r="C5043" s="26"/>
      <c r="D5043" s="26" t="s">
        <v>543</v>
      </c>
      <c r="E5043" s="26" t="str">
        <f>IFERROR(VLOOKUP(G5043,WholesaleExtract!B:J,9,FALSE),"")</f>
        <v/>
      </c>
      <c r="F5043" s="26" t="str">
        <f>IFERROR(VLOOKUP(G5043,WholesaleExtract!B:J,6,FALSE),"")</f>
        <v/>
      </c>
      <c r="H5043" s="47" t="str">
        <f>IFERROR(VLOOKUP(G5043,WholesaleExtract!B:L,11,FALSE),"")</f>
        <v/>
      </c>
      <c r="I5043" s="26" t="str">
        <f>IFERROR(VLOOKUP(G5043,WholesaleExtract!B:O,8,FALSE),"")</f>
        <v/>
      </c>
      <c r="J5043" s="26" t="str">
        <f>IFERROR(VLOOKUP(G5043,WholesaleExtract!B:O,14,FALSE),"")</f>
        <v/>
      </c>
      <c r="K5043" s="26" t="str">
        <f>IFERROR(VLOOKUP(G5043,WholesaleExtract!B:K,10,FALSE),"")</f>
        <v/>
      </c>
      <c r="L5043" s="47" t="str">
        <f>IFERROR(VLOOKUP(G5043,WholesaleExtract!B:L,11,FALSE),"")</f>
        <v/>
      </c>
      <c r="M5043" s="47" t="str">
        <f>IFERROR(VLOOKUP(G5043,WholesaleExtract!B:M,12,FALSE),"")</f>
        <v/>
      </c>
      <c r="R5043" s="19"/>
      <c r="S5043" s="19"/>
    </row>
    <row r="5044" spans="1:19" x14ac:dyDescent="0.35">
      <c r="A5044" s="26" t="s">
        <v>543</v>
      </c>
      <c r="B5044" s="26" t="s">
        <v>543</v>
      </c>
      <c r="C5044" s="26"/>
      <c r="D5044" s="26" t="s">
        <v>543</v>
      </c>
      <c r="E5044" s="26" t="str">
        <f>IFERROR(VLOOKUP(G5044,WholesaleExtract!B:J,9,FALSE),"")</f>
        <v/>
      </c>
      <c r="F5044" s="26" t="str">
        <f>IFERROR(VLOOKUP(G5044,WholesaleExtract!B:J,6,FALSE),"")</f>
        <v/>
      </c>
      <c r="H5044" s="47" t="str">
        <f>IFERROR(VLOOKUP(G5044,WholesaleExtract!B:L,11,FALSE),"")</f>
        <v/>
      </c>
      <c r="I5044" s="26" t="str">
        <f>IFERROR(VLOOKUP(G5044,WholesaleExtract!B:O,8,FALSE),"")</f>
        <v/>
      </c>
      <c r="J5044" s="26" t="str">
        <f>IFERROR(VLOOKUP(G5044,WholesaleExtract!B:O,14,FALSE),"")</f>
        <v/>
      </c>
      <c r="K5044" s="26" t="str">
        <f>IFERROR(VLOOKUP(G5044,WholesaleExtract!B:K,10,FALSE),"")</f>
        <v/>
      </c>
      <c r="L5044" s="47" t="str">
        <f>IFERROR(VLOOKUP(G5044,WholesaleExtract!B:L,11,FALSE),"")</f>
        <v/>
      </c>
      <c r="M5044" s="47" t="str">
        <f>IFERROR(VLOOKUP(G5044,WholesaleExtract!B:M,12,FALSE),"")</f>
        <v/>
      </c>
      <c r="R5044" s="19"/>
      <c r="S5044" s="19"/>
    </row>
    <row r="5045" spans="1:19" x14ac:dyDescent="0.35">
      <c r="A5045" s="26" t="s">
        <v>543</v>
      </c>
      <c r="B5045" s="26" t="s">
        <v>543</v>
      </c>
      <c r="C5045" s="26"/>
      <c r="D5045" s="26" t="s">
        <v>543</v>
      </c>
      <c r="E5045" s="26" t="str">
        <f>IFERROR(VLOOKUP(G5045,WholesaleExtract!B:J,9,FALSE),"")</f>
        <v/>
      </c>
      <c r="F5045" s="26" t="str">
        <f>IFERROR(VLOOKUP(G5045,WholesaleExtract!B:J,6,FALSE),"")</f>
        <v/>
      </c>
      <c r="H5045" s="47" t="str">
        <f>IFERROR(VLOOKUP(G5045,WholesaleExtract!B:L,11,FALSE),"")</f>
        <v/>
      </c>
      <c r="I5045" s="26" t="str">
        <f>IFERROR(VLOOKUP(G5045,WholesaleExtract!B:O,8,FALSE),"")</f>
        <v/>
      </c>
      <c r="J5045" s="26" t="str">
        <f>IFERROR(VLOOKUP(G5045,WholesaleExtract!B:O,14,FALSE),"")</f>
        <v/>
      </c>
      <c r="K5045" s="26" t="str">
        <f>IFERROR(VLOOKUP(G5045,WholesaleExtract!B:K,10,FALSE),"")</f>
        <v/>
      </c>
      <c r="L5045" s="47" t="str">
        <f>IFERROR(VLOOKUP(G5045,WholesaleExtract!B:L,11,FALSE),"")</f>
        <v/>
      </c>
      <c r="M5045" s="47" t="str">
        <f>IFERROR(VLOOKUP(G5045,WholesaleExtract!B:M,12,FALSE),"")</f>
        <v/>
      </c>
      <c r="R5045" s="19"/>
      <c r="S5045" s="19"/>
    </row>
    <row r="5046" spans="1:19" x14ac:dyDescent="0.35">
      <c r="A5046" s="26" t="s">
        <v>543</v>
      </c>
      <c r="B5046" s="26" t="s">
        <v>543</v>
      </c>
      <c r="C5046" s="26"/>
      <c r="D5046" s="26" t="s">
        <v>543</v>
      </c>
      <c r="E5046" s="26" t="str">
        <f>IFERROR(VLOOKUP(G5046,WholesaleExtract!B:J,9,FALSE),"")</f>
        <v/>
      </c>
      <c r="F5046" s="26" t="str">
        <f>IFERROR(VLOOKUP(G5046,WholesaleExtract!B:J,6,FALSE),"")</f>
        <v/>
      </c>
      <c r="H5046" s="47" t="str">
        <f>IFERROR(VLOOKUP(G5046,WholesaleExtract!B:L,11,FALSE),"")</f>
        <v/>
      </c>
      <c r="I5046" s="26" t="str">
        <f>IFERROR(VLOOKUP(G5046,WholesaleExtract!B:O,8,FALSE),"")</f>
        <v/>
      </c>
      <c r="J5046" s="26" t="str">
        <f>IFERROR(VLOOKUP(G5046,WholesaleExtract!B:O,14,FALSE),"")</f>
        <v/>
      </c>
      <c r="K5046" s="26" t="str">
        <f>IFERROR(VLOOKUP(G5046,WholesaleExtract!B:K,10,FALSE),"")</f>
        <v/>
      </c>
      <c r="L5046" s="47" t="str">
        <f>IFERROR(VLOOKUP(G5046,WholesaleExtract!B:L,11,FALSE),"")</f>
        <v/>
      </c>
      <c r="M5046" s="47" t="str">
        <f>IFERROR(VLOOKUP(G5046,WholesaleExtract!B:M,12,FALSE),"")</f>
        <v/>
      </c>
      <c r="R5046" s="19"/>
      <c r="S5046" s="19"/>
    </row>
    <row r="5047" spans="1:19" x14ac:dyDescent="0.35">
      <c r="A5047" s="26" t="s">
        <v>543</v>
      </c>
      <c r="B5047" s="26" t="s">
        <v>543</v>
      </c>
      <c r="C5047" s="26"/>
      <c r="D5047" s="26" t="s">
        <v>543</v>
      </c>
      <c r="E5047" s="26" t="str">
        <f>IFERROR(VLOOKUP(G5047,WholesaleExtract!B:J,9,FALSE),"")</f>
        <v/>
      </c>
      <c r="F5047" s="26" t="str">
        <f>IFERROR(VLOOKUP(G5047,WholesaleExtract!B:J,6,FALSE),"")</f>
        <v/>
      </c>
      <c r="H5047" s="47" t="str">
        <f>IFERROR(VLOOKUP(G5047,WholesaleExtract!B:L,11,FALSE),"")</f>
        <v/>
      </c>
      <c r="I5047" s="26" t="str">
        <f>IFERROR(VLOOKUP(G5047,WholesaleExtract!B:O,8,FALSE),"")</f>
        <v/>
      </c>
      <c r="J5047" s="26" t="str">
        <f>IFERROR(VLOOKUP(G5047,WholesaleExtract!B:O,14,FALSE),"")</f>
        <v/>
      </c>
      <c r="K5047" s="26" t="str">
        <f>IFERROR(VLOOKUP(G5047,WholesaleExtract!B:K,10,FALSE),"")</f>
        <v/>
      </c>
      <c r="L5047" s="47" t="str">
        <f>IFERROR(VLOOKUP(G5047,WholesaleExtract!B:L,11,FALSE),"")</f>
        <v/>
      </c>
      <c r="M5047" s="47" t="str">
        <f>IFERROR(VLOOKUP(G5047,WholesaleExtract!B:M,12,FALSE),"")</f>
        <v/>
      </c>
      <c r="R5047" s="19"/>
      <c r="S5047" s="19"/>
    </row>
    <row r="5048" spans="1:19" x14ac:dyDescent="0.35">
      <c r="A5048" s="26" t="s">
        <v>543</v>
      </c>
      <c r="B5048" s="26" t="s">
        <v>543</v>
      </c>
      <c r="C5048" s="26"/>
      <c r="D5048" s="26" t="s">
        <v>543</v>
      </c>
      <c r="E5048" s="26" t="str">
        <f>IFERROR(VLOOKUP(G5048,WholesaleExtract!B:J,9,FALSE),"")</f>
        <v/>
      </c>
      <c r="F5048" s="26" t="str">
        <f>IFERROR(VLOOKUP(G5048,WholesaleExtract!B:J,6,FALSE),"")</f>
        <v/>
      </c>
      <c r="H5048" s="47" t="str">
        <f>IFERROR(VLOOKUP(G5048,WholesaleExtract!B:L,11,FALSE),"")</f>
        <v/>
      </c>
      <c r="I5048" s="26" t="str">
        <f>IFERROR(VLOOKUP(G5048,WholesaleExtract!B:O,8,FALSE),"")</f>
        <v/>
      </c>
      <c r="J5048" s="26" t="str">
        <f>IFERROR(VLOOKUP(G5048,WholesaleExtract!B:O,14,FALSE),"")</f>
        <v/>
      </c>
      <c r="K5048" s="26" t="str">
        <f>IFERROR(VLOOKUP(G5048,WholesaleExtract!B:K,10,FALSE),"")</f>
        <v/>
      </c>
      <c r="L5048" s="47" t="str">
        <f>IFERROR(VLOOKUP(G5048,WholesaleExtract!B:L,11,FALSE),"")</f>
        <v/>
      </c>
      <c r="M5048" s="47" t="str">
        <f>IFERROR(VLOOKUP(G5048,WholesaleExtract!B:M,12,FALSE),"")</f>
        <v/>
      </c>
      <c r="R5048" s="19"/>
      <c r="S5048" s="19"/>
    </row>
    <row r="5049" spans="1:19" x14ac:dyDescent="0.35">
      <c r="A5049" s="26" t="s">
        <v>543</v>
      </c>
      <c r="B5049" s="26" t="s">
        <v>543</v>
      </c>
      <c r="C5049" s="26"/>
      <c r="D5049" s="26" t="s">
        <v>543</v>
      </c>
      <c r="E5049" s="26" t="str">
        <f>IFERROR(VLOOKUP(G5049,WholesaleExtract!B:J,9,FALSE),"")</f>
        <v/>
      </c>
      <c r="F5049" s="26" t="str">
        <f>IFERROR(VLOOKUP(G5049,WholesaleExtract!B:J,6,FALSE),"")</f>
        <v/>
      </c>
      <c r="H5049" s="47" t="str">
        <f>IFERROR(VLOOKUP(G5049,WholesaleExtract!B:L,11,FALSE),"")</f>
        <v/>
      </c>
      <c r="I5049" s="26" t="str">
        <f>IFERROR(VLOOKUP(G5049,WholesaleExtract!B:O,8,FALSE),"")</f>
        <v/>
      </c>
      <c r="J5049" s="26" t="str">
        <f>IFERROR(VLOOKUP(G5049,WholesaleExtract!B:O,14,FALSE),"")</f>
        <v/>
      </c>
      <c r="K5049" s="26" t="str">
        <f>IFERROR(VLOOKUP(G5049,WholesaleExtract!B:K,10,FALSE),"")</f>
        <v/>
      </c>
      <c r="L5049" s="47" t="str">
        <f>IFERROR(VLOOKUP(G5049,WholesaleExtract!B:L,11,FALSE),"")</f>
        <v/>
      </c>
      <c r="M5049" s="47" t="str">
        <f>IFERROR(VLOOKUP(G5049,WholesaleExtract!B:M,12,FALSE),"")</f>
        <v/>
      </c>
      <c r="R5049" s="19"/>
      <c r="S5049" s="19"/>
    </row>
    <row r="5050" spans="1:19" x14ac:dyDescent="0.35">
      <c r="A5050" s="26" t="s">
        <v>543</v>
      </c>
      <c r="B5050" s="26" t="s">
        <v>543</v>
      </c>
      <c r="C5050" s="26"/>
      <c r="D5050" s="26" t="s">
        <v>543</v>
      </c>
      <c r="E5050" s="26" t="str">
        <f>IFERROR(VLOOKUP(G5050,WholesaleExtract!B:J,9,FALSE),"")</f>
        <v/>
      </c>
      <c r="F5050" s="26" t="str">
        <f>IFERROR(VLOOKUP(G5050,WholesaleExtract!B:J,6,FALSE),"")</f>
        <v/>
      </c>
      <c r="H5050" s="47" t="str">
        <f>IFERROR(VLOOKUP(G5050,WholesaleExtract!B:L,11,FALSE),"")</f>
        <v/>
      </c>
      <c r="I5050" s="26" t="str">
        <f>IFERROR(VLOOKUP(G5050,WholesaleExtract!B:O,8,FALSE),"")</f>
        <v/>
      </c>
      <c r="J5050" s="26" t="str">
        <f>IFERROR(VLOOKUP(G5050,WholesaleExtract!B:O,14,FALSE),"")</f>
        <v/>
      </c>
      <c r="K5050" s="26" t="str">
        <f>IFERROR(VLOOKUP(G5050,WholesaleExtract!B:K,10,FALSE),"")</f>
        <v/>
      </c>
      <c r="L5050" s="47" t="str">
        <f>IFERROR(VLOOKUP(G5050,WholesaleExtract!B:L,11,FALSE),"")</f>
        <v/>
      </c>
      <c r="M5050" s="47" t="str">
        <f>IFERROR(VLOOKUP(G5050,WholesaleExtract!B:M,12,FALSE),"")</f>
        <v/>
      </c>
      <c r="R5050" s="19"/>
      <c r="S5050" s="19"/>
    </row>
    <row r="5051" spans="1:19" x14ac:dyDescent="0.35">
      <c r="A5051" s="26" t="s">
        <v>543</v>
      </c>
      <c r="B5051" s="26" t="s">
        <v>543</v>
      </c>
      <c r="C5051" s="26"/>
      <c r="D5051" s="26" t="s">
        <v>543</v>
      </c>
      <c r="E5051" s="26" t="str">
        <f>IFERROR(VLOOKUP(G5051,WholesaleExtract!B:J,9,FALSE),"")</f>
        <v/>
      </c>
      <c r="F5051" s="26" t="str">
        <f>IFERROR(VLOOKUP(G5051,WholesaleExtract!B:J,6,FALSE),"")</f>
        <v/>
      </c>
      <c r="H5051" s="47" t="str">
        <f>IFERROR(VLOOKUP(G5051,WholesaleExtract!B:L,11,FALSE),"")</f>
        <v/>
      </c>
      <c r="I5051" s="26" t="str">
        <f>IFERROR(VLOOKUP(G5051,WholesaleExtract!B:O,8,FALSE),"")</f>
        <v/>
      </c>
      <c r="J5051" s="26" t="str">
        <f>IFERROR(VLOOKUP(G5051,WholesaleExtract!B:O,14,FALSE),"")</f>
        <v/>
      </c>
      <c r="K5051" s="26" t="str">
        <f>IFERROR(VLOOKUP(G5051,WholesaleExtract!B:K,10,FALSE),"")</f>
        <v/>
      </c>
      <c r="L5051" s="47" t="str">
        <f>IFERROR(VLOOKUP(G5051,WholesaleExtract!B:L,11,FALSE),"")</f>
        <v/>
      </c>
      <c r="M5051" s="47" t="str">
        <f>IFERROR(VLOOKUP(G5051,WholesaleExtract!B:M,12,FALSE),"")</f>
        <v/>
      </c>
      <c r="R5051" s="19"/>
      <c r="S5051" s="19"/>
    </row>
    <row r="5052" spans="1:19" x14ac:dyDescent="0.35">
      <c r="A5052" s="26" t="s">
        <v>543</v>
      </c>
      <c r="B5052" s="26" t="s">
        <v>543</v>
      </c>
      <c r="C5052" s="26"/>
      <c r="D5052" s="26" t="s">
        <v>543</v>
      </c>
      <c r="E5052" s="26" t="str">
        <f>IFERROR(VLOOKUP(G5052,WholesaleExtract!B:J,9,FALSE),"")</f>
        <v/>
      </c>
      <c r="F5052" s="26" t="str">
        <f>IFERROR(VLOOKUP(G5052,WholesaleExtract!B:J,6,FALSE),"")</f>
        <v/>
      </c>
      <c r="H5052" s="47" t="str">
        <f>IFERROR(VLOOKUP(G5052,WholesaleExtract!B:L,11,FALSE),"")</f>
        <v/>
      </c>
      <c r="I5052" s="26" t="str">
        <f>IFERROR(VLOOKUP(G5052,WholesaleExtract!B:O,8,FALSE),"")</f>
        <v/>
      </c>
      <c r="J5052" s="26" t="str">
        <f>IFERROR(VLOOKUP(G5052,WholesaleExtract!B:O,14,FALSE),"")</f>
        <v/>
      </c>
      <c r="K5052" s="26" t="str">
        <f>IFERROR(VLOOKUP(G5052,WholesaleExtract!B:K,10,FALSE),"")</f>
        <v/>
      </c>
      <c r="L5052" s="47" t="str">
        <f>IFERROR(VLOOKUP(G5052,WholesaleExtract!B:L,11,FALSE),"")</f>
        <v/>
      </c>
      <c r="M5052" s="47" t="str">
        <f>IFERROR(VLOOKUP(G5052,WholesaleExtract!B:M,12,FALSE),"")</f>
        <v/>
      </c>
      <c r="R5052" s="19"/>
      <c r="S5052" s="19"/>
    </row>
    <row r="5053" spans="1:19" x14ac:dyDescent="0.35">
      <c r="A5053" s="26" t="s">
        <v>543</v>
      </c>
      <c r="B5053" s="26" t="s">
        <v>543</v>
      </c>
      <c r="C5053" s="26"/>
      <c r="D5053" s="26" t="s">
        <v>543</v>
      </c>
      <c r="E5053" s="26" t="str">
        <f>IFERROR(VLOOKUP(G5053,WholesaleExtract!B:J,9,FALSE),"")</f>
        <v/>
      </c>
      <c r="F5053" s="26" t="str">
        <f>IFERROR(VLOOKUP(G5053,WholesaleExtract!B:J,6,FALSE),"")</f>
        <v/>
      </c>
      <c r="H5053" s="47" t="str">
        <f>IFERROR(VLOOKUP(G5053,WholesaleExtract!B:L,11,FALSE),"")</f>
        <v/>
      </c>
      <c r="I5053" s="26" t="str">
        <f>IFERROR(VLOOKUP(G5053,WholesaleExtract!B:O,8,FALSE),"")</f>
        <v/>
      </c>
      <c r="J5053" s="26" t="str">
        <f>IFERROR(VLOOKUP(G5053,WholesaleExtract!B:O,14,FALSE),"")</f>
        <v/>
      </c>
      <c r="K5053" s="26" t="str">
        <f>IFERROR(VLOOKUP(G5053,WholesaleExtract!B:K,10,FALSE),"")</f>
        <v/>
      </c>
      <c r="L5053" s="47" t="str">
        <f>IFERROR(VLOOKUP(G5053,WholesaleExtract!B:L,11,FALSE),"")</f>
        <v/>
      </c>
      <c r="M5053" s="47" t="str">
        <f>IFERROR(VLOOKUP(G5053,WholesaleExtract!B:M,12,FALSE),"")</f>
        <v/>
      </c>
      <c r="R5053" s="19"/>
      <c r="S5053" s="19"/>
    </row>
    <row r="5054" spans="1:19" x14ac:dyDescent="0.35">
      <c r="A5054" s="26" t="s">
        <v>543</v>
      </c>
      <c r="B5054" s="26" t="s">
        <v>543</v>
      </c>
      <c r="C5054" s="26"/>
      <c r="D5054" s="26" t="s">
        <v>543</v>
      </c>
      <c r="E5054" s="26" t="str">
        <f>IFERROR(VLOOKUP(G5054,WholesaleExtract!B:J,9,FALSE),"")</f>
        <v/>
      </c>
      <c r="F5054" s="26" t="str">
        <f>IFERROR(VLOOKUP(G5054,WholesaleExtract!B:J,6,FALSE),"")</f>
        <v/>
      </c>
      <c r="H5054" s="47" t="str">
        <f>IFERROR(VLOOKUP(G5054,WholesaleExtract!B:L,11,FALSE),"")</f>
        <v/>
      </c>
      <c r="I5054" s="26" t="str">
        <f>IFERROR(VLOOKUP(G5054,WholesaleExtract!B:O,8,FALSE),"")</f>
        <v/>
      </c>
      <c r="J5054" s="26" t="str">
        <f>IFERROR(VLOOKUP(G5054,WholesaleExtract!B:O,14,FALSE),"")</f>
        <v/>
      </c>
      <c r="K5054" s="26" t="str">
        <f>IFERROR(VLOOKUP(G5054,WholesaleExtract!B:K,10,FALSE),"")</f>
        <v/>
      </c>
      <c r="L5054" s="47" t="str">
        <f>IFERROR(VLOOKUP(G5054,WholesaleExtract!B:L,11,FALSE),"")</f>
        <v/>
      </c>
      <c r="M5054" s="47" t="str">
        <f>IFERROR(VLOOKUP(G5054,WholesaleExtract!B:M,12,FALSE),"")</f>
        <v/>
      </c>
      <c r="R5054" s="19"/>
      <c r="S5054" s="19"/>
    </row>
    <row r="5055" spans="1:19" x14ac:dyDescent="0.35">
      <c r="A5055" s="26" t="s">
        <v>543</v>
      </c>
      <c r="B5055" s="26" t="s">
        <v>543</v>
      </c>
      <c r="C5055" s="26"/>
      <c r="D5055" s="26" t="s">
        <v>543</v>
      </c>
      <c r="E5055" s="26" t="str">
        <f>IFERROR(VLOOKUP(G5055,WholesaleExtract!B:J,9,FALSE),"")</f>
        <v/>
      </c>
      <c r="F5055" s="26" t="str">
        <f>IFERROR(VLOOKUP(G5055,WholesaleExtract!B:J,6,FALSE),"")</f>
        <v/>
      </c>
      <c r="H5055" s="47" t="str">
        <f>IFERROR(VLOOKUP(G5055,WholesaleExtract!B:L,11,FALSE),"")</f>
        <v/>
      </c>
      <c r="I5055" s="26" t="str">
        <f>IFERROR(VLOOKUP(G5055,WholesaleExtract!B:O,8,FALSE),"")</f>
        <v/>
      </c>
      <c r="J5055" s="26" t="str">
        <f>IFERROR(VLOOKUP(G5055,WholesaleExtract!B:O,14,FALSE),"")</f>
        <v/>
      </c>
      <c r="K5055" s="26" t="str">
        <f>IFERROR(VLOOKUP(G5055,WholesaleExtract!B:K,10,FALSE),"")</f>
        <v/>
      </c>
      <c r="L5055" s="47" t="str">
        <f>IFERROR(VLOOKUP(G5055,WholesaleExtract!B:L,11,FALSE),"")</f>
        <v/>
      </c>
      <c r="M5055" s="47" t="str">
        <f>IFERROR(VLOOKUP(G5055,WholesaleExtract!B:M,12,FALSE),"")</f>
        <v/>
      </c>
      <c r="R5055" s="19"/>
      <c r="S5055" s="19"/>
    </row>
    <row r="5056" spans="1:19" x14ac:dyDescent="0.35">
      <c r="A5056" s="26" t="s">
        <v>543</v>
      </c>
      <c r="B5056" s="26" t="s">
        <v>543</v>
      </c>
      <c r="C5056" s="26"/>
      <c r="D5056" s="26" t="s">
        <v>543</v>
      </c>
      <c r="E5056" s="26" t="str">
        <f>IFERROR(VLOOKUP(G5056,WholesaleExtract!B:J,9,FALSE),"")</f>
        <v/>
      </c>
      <c r="F5056" s="26" t="str">
        <f>IFERROR(VLOOKUP(G5056,WholesaleExtract!B:J,6,FALSE),"")</f>
        <v/>
      </c>
      <c r="H5056" s="47" t="str">
        <f>IFERROR(VLOOKUP(G5056,WholesaleExtract!B:L,11,FALSE),"")</f>
        <v/>
      </c>
      <c r="I5056" s="26" t="str">
        <f>IFERROR(VLOOKUP(G5056,WholesaleExtract!B:O,8,FALSE),"")</f>
        <v/>
      </c>
      <c r="J5056" s="26" t="str">
        <f>IFERROR(VLOOKUP(G5056,WholesaleExtract!B:O,14,FALSE),"")</f>
        <v/>
      </c>
      <c r="K5056" s="26" t="str">
        <f>IFERROR(VLOOKUP(G5056,WholesaleExtract!B:K,10,FALSE),"")</f>
        <v/>
      </c>
      <c r="L5056" s="47" t="str">
        <f>IFERROR(VLOOKUP(G5056,WholesaleExtract!B:L,11,FALSE),"")</f>
        <v/>
      </c>
      <c r="M5056" s="47" t="str">
        <f>IFERROR(VLOOKUP(G5056,WholesaleExtract!B:M,12,FALSE),"")</f>
        <v/>
      </c>
      <c r="R5056" s="19"/>
      <c r="S5056" s="19"/>
    </row>
    <row r="5057" spans="1:19" x14ac:dyDescent="0.35">
      <c r="A5057" s="26" t="s">
        <v>543</v>
      </c>
      <c r="B5057" s="26" t="s">
        <v>543</v>
      </c>
      <c r="C5057" s="26"/>
      <c r="D5057" s="26" t="s">
        <v>543</v>
      </c>
      <c r="E5057" s="26" t="str">
        <f>IFERROR(VLOOKUP(G5057,WholesaleExtract!B:J,9,FALSE),"")</f>
        <v/>
      </c>
      <c r="F5057" s="26" t="str">
        <f>IFERROR(VLOOKUP(G5057,WholesaleExtract!B:J,6,FALSE),"")</f>
        <v/>
      </c>
      <c r="H5057" s="47" t="str">
        <f>IFERROR(VLOOKUP(G5057,WholesaleExtract!B:L,11,FALSE),"")</f>
        <v/>
      </c>
      <c r="I5057" s="26" t="str">
        <f>IFERROR(VLOOKUP(G5057,WholesaleExtract!B:O,8,FALSE),"")</f>
        <v/>
      </c>
      <c r="J5057" s="26" t="str">
        <f>IFERROR(VLOOKUP(G5057,WholesaleExtract!B:O,14,FALSE),"")</f>
        <v/>
      </c>
      <c r="K5057" s="26" t="str">
        <f>IFERROR(VLOOKUP(G5057,WholesaleExtract!B:K,10,FALSE),"")</f>
        <v/>
      </c>
      <c r="L5057" s="47" t="str">
        <f>IFERROR(VLOOKUP(G5057,WholesaleExtract!B:L,11,FALSE),"")</f>
        <v/>
      </c>
      <c r="M5057" s="47" t="str">
        <f>IFERROR(VLOOKUP(G5057,WholesaleExtract!B:M,12,FALSE),"")</f>
        <v/>
      </c>
      <c r="R5057" s="19"/>
      <c r="S5057" s="19"/>
    </row>
    <row r="5058" spans="1:19" x14ac:dyDescent="0.35">
      <c r="A5058" s="26" t="s">
        <v>543</v>
      </c>
      <c r="B5058" s="26" t="s">
        <v>543</v>
      </c>
      <c r="C5058" s="26"/>
      <c r="D5058" s="26" t="s">
        <v>543</v>
      </c>
      <c r="E5058" s="26" t="str">
        <f>IFERROR(VLOOKUP(G5058,WholesaleExtract!B:J,9,FALSE),"")</f>
        <v/>
      </c>
      <c r="F5058" s="26" t="str">
        <f>IFERROR(VLOOKUP(G5058,WholesaleExtract!B:J,6,FALSE),"")</f>
        <v/>
      </c>
      <c r="H5058" s="47" t="str">
        <f>IFERROR(VLOOKUP(G5058,WholesaleExtract!B:L,11,FALSE),"")</f>
        <v/>
      </c>
      <c r="I5058" s="26" t="str">
        <f>IFERROR(VLOOKUP(G5058,WholesaleExtract!B:O,8,FALSE),"")</f>
        <v/>
      </c>
      <c r="J5058" s="26" t="str">
        <f>IFERROR(VLOOKUP(G5058,WholesaleExtract!B:O,14,FALSE),"")</f>
        <v/>
      </c>
      <c r="K5058" s="26" t="str">
        <f>IFERROR(VLOOKUP(G5058,WholesaleExtract!B:K,10,FALSE),"")</f>
        <v/>
      </c>
      <c r="L5058" s="47" t="str">
        <f>IFERROR(VLOOKUP(G5058,WholesaleExtract!B:L,11,FALSE),"")</f>
        <v/>
      </c>
      <c r="M5058" s="47" t="str">
        <f>IFERROR(VLOOKUP(G5058,WholesaleExtract!B:M,12,FALSE),"")</f>
        <v/>
      </c>
      <c r="R5058" s="19"/>
      <c r="S5058" s="19"/>
    </row>
    <row r="5059" spans="1:19" x14ac:dyDescent="0.35">
      <c r="A5059" s="26" t="s">
        <v>543</v>
      </c>
      <c r="B5059" s="26" t="s">
        <v>543</v>
      </c>
      <c r="C5059" s="26"/>
      <c r="D5059" s="26" t="s">
        <v>543</v>
      </c>
      <c r="E5059" s="26" t="str">
        <f>IFERROR(VLOOKUP(G5059,WholesaleExtract!B:J,9,FALSE),"")</f>
        <v/>
      </c>
      <c r="F5059" s="26" t="str">
        <f>IFERROR(VLOOKUP(G5059,WholesaleExtract!B:J,6,FALSE),"")</f>
        <v/>
      </c>
      <c r="H5059" s="47" t="str">
        <f>IFERROR(VLOOKUP(G5059,WholesaleExtract!B:L,11,FALSE),"")</f>
        <v/>
      </c>
      <c r="I5059" s="26" t="str">
        <f>IFERROR(VLOOKUP(G5059,WholesaleExtract!B:O,8,FALSE),"")</f>
        <v/>
      </c>
      <c r="J5059" s="26" t="str">
        <f>IFERROR(VLOOKUP(G5059,WholesaleExtract!B:O,14,FALSE),"")</f>
        <v/>
      </c>
      <c r="K5059" s="26" t="str">
        <f>IFERROR(VLOOKUP(G5059,WholesaleExtract!B:K,10,FALSE),"")</f>
        <v/>
      </c>
      <c r="L5059" s="47" t="str">
        <f>IFERROR(VLOOKUP(G5059,WholesaleExtract!B:L,11,FALSE),"")</f>
        <v/>
      </c>
      <c r="M5059" s="47" t="str">
        <f>IFERROR(VLOOKUP(G5059,WholesaleExtract!B:M,12,FALSE),"")</f>
        <v/>
      </c>
      <c r="R5059" s="19"/>
      <c r="S5059" s="19"/>
    </row>
    <row r="5060" spans="1:19" x14ac:dyDescent="0.35">
      <c r="A5060" s="26" t="s">
        <v>543</v>
      </c>
      <c r="B5060" s="26" t="s">
        <v>543</v>
      </c>
      <c r="C5060" s="26"/>
      <c r="D5060" s="26" t="s">
        <v>543</v>
      </c>
      <c r="E5060" s="26" t="str">
        <f>IFERROR(VLOOKUP(G5060,WholesaleExtract!B:J,9,FALSE),"")</f>
        <v/>
      </c>
      <c r="F5060" s="26" t="str">
        <f>IFERROR(VLOOKUP(G5060,WholesaleExtract!B:J,6,FALSE),"")</f>
        <v/>
      </c>
      <c r="H5060" s="47" t="str">
        <f>IFERROR(VLOOKUP(G5060,WholesaleExtract!B:L,11,FALSE),"")</f>
        <v/>
      </c>
      <c r="I5060" s="26" t="str">
        <f>IFERROR(VLOOKUP(G5060,WholesaleExtract!B:O,8,FALSE),"")</f>
        <v/>
      </c>
      <c r="J5060" s="26" t="str">
        <f>IFERROR(VLOOKUP(G5060,WholesaleExtract!B:O,14,FALSE),"")</f>
        <v/>
      </c>
      <c r="K5060" s="26" t="str">
        <f>IFERROR(VLOOKUP(G5060,WholesaleExtract!B:K,10,FALSE),"")</f>
        <v/>
      </c>
      <c r="L5060" s="47" t="str">
        <f>IFERROR(VLOOKUP(G5060,WholesaleExtract!B:L,11,FALSE),"")</f>
        <v/>
      </c>
      <c r="M5060" s="47" t="str">
        <f>IFERROR(VLOOKUP(G5060,WholesaleExtract!B:M,12,FALSE),"")</f>
        <v/>
      </c>
      <c r="R5060" s="19"/>
      <c r="S5060" s="19"/>
    </row>
    <row r="5061" spans="1:19" x14ac:dyDescent="0.35">
      <c r="A5061" s="26" t="s">
        <v>543</v>
      </c>
      <c r="B5061" s="26" t="s">
        <v>543</v>
      </c>
      <c r="C5061" s="26"/>
      <c r="D5061" s="26" t="s">
        <v>543</v>
      </c>
      <c r="E5061" s="26" t="str">
        <f>IFERROR(VLOOKUP(G5061,WholesaleExtract!B:J,9,FALSE),"")</f>
        <v/>
      </c>
      <c r="F5061" s="26" t="str">
        <f>IFERROR(VLOOKUP(G5061,WholesaleExtract!B:J,6,FALSE),"")</f>
        <v/>
      </c>
      <c r="H5061" s="47" t="str">
        <f>IFERROR(VLOOKUP(G5061,WholesaleExtract!B:L,11,FALSE),"")</f>
        <v/>
      </c>
      <c r="I5061" s="26" t="str">
        <f>IFERROR(VLOOKUP(G5061,WholesaleExtract!B:O,8,FALSE),"")</f>
        <v/>
      </c>
      <c r="J5061" s="26" t="str">
        <f>IFERROR(VLOOKUP(G5061,WholesaleExtract!B:O,14,FALSE),"")</f>
        <v/>
      </c>
      <c r="K5061" s="26" t="str">
        <f>IFERROR(VLOOKUP(G5061,WholesaleExtract!B:K,10,FALSE),"")</f>
        <v/>
      </c>
      <c r="L5061" s="47" t="str">
        <f>IFERROR(VLOOKUP(G5061,WholesaleExtract!B:L,11,FALSE),"")</f>
        <v/>
      </c>
      <c r="M5061" s="47" t="str">
        <f>IFERROR(VLOOKUP(G5061,WholesaleExtract!B:M,12,FALSE),"")</f>
        <v/>
      </c>
      <c r="R5061" s="19"/>
      <c r="S5061" s="19"/>
    </row>
    <row r="5062" spans="1:19" x14ac:dyDescent="0.35">
      <c r="A5062" s="26" t="s">
        <v>543</v>
      </c>
      <c r="B5062" s="26" t="s">
        <v>543</v>
      </c>
      <c r="C5062" s="26"/>
      <c r="D5062" s="26" t="s">
        <v>543</v>
      </c>
      <c r="E5062" s="26" t="str">
        <f>IFERROR(VLOOKUP(G5062,WholesaleExtract!B:J,9,FALSE),"")</f>
        <v/>
      </c>
      <c r="F5062" s="26" t="str">
        <f>IFERROR(VLOOKUP(G5062,WholesaleExtract!B:J,6,FALSE),"")</f>
        <v/>
      </c>
      <c r="H5062" s="47" t="str">
        <f>IFERROR(VLOOKUP(G5062,WholesaleExtract!B:L,11,FALSE),"")</f>
        <v/>
      </c>
      <c r="I5062" s="26" t="str">
        <f>IFERROR(VLOOKUP(G5062,WholesaleExtract!B:O,8,FALSE),"")</f>
        <v/>
      </c>
      <c r="J5062" s="26" t="str">
        <f>IFERROR(VLOOKUP(G5062,WholesaleExtract!B:O,14,FALSE),"")</f>
        <v/>
      </c>
      <c r="K5062" s="26" t="str">
        <f>IFERROR(VLOOKUP(G5062,WholesaleExtract!B:K,10,FALSE),"")</f>
        <v/>
      </c>
      <c r="L5062" s="47" t="str">
        <f>IFERROR(VLOOKUP(G5062,WholesaleExtract!B:L,11,FALSE),"")</f>
        <v/>
      </c>
      <c r="M5062" s="47" t="str">
        <f>IFERROR(VLOOKUP(G5062,WholesaleExtract!B:M,12,FALSE),"")</f>
        <v/>
      </c>
      <c r="R5062" s="19"/>
      <c r="S5062" s="19"/>
    </row>
    <row r="5063" spans="1:19" x14ac:dyDescent="0.35">
      <c r="A5063" s="26" t="s">
        <v>543</v>
      </c>
      <c r="B5063" s="26" t="s">
        <v>543</v>
      </c>
      <c r="C5063" s="26"/>
      <c r="D5063" s="26" t="s">
        <v>543</v>
      </c>
      <c r="E5063" s="26" t="str">
        <f>IFERROR(VLOOKUP(G5063,WholesaleExtract!B:J,9,FALSE),"")</f>
        <v/>
      </c>
      <c r="F5063" s="26" t="str">
        <f>IFERROR(VLOOKUP(G5063,WholesaleExtract!B:J,6,FALSE),"")</f>
        <v/>
      </c>
      <c r="H5063" s="47" t="str">
        <f>IFERROR(VLOOKUP(G5063,WholesaleExtract!B:L,11,FALSE),"")</f>
        <v/>
      </c>
      <c r="I5063" s="26" t="str">
        <f>IFERROR(VLOOKUP(G5063,WholesaleExtract!B:O,8,FALSE),"")</f>
        <v/>
      </c>
      <c r="J5063" s="26" t="str">
        <f>IFERROR(VLOOKUP(G5063,WholesaleExtract!B:O,14,FALSE),"")</f>
        <v/>
      </c>
      <c r="K5063" s="26" t="str">
        <f>IFERROR(VLOOKUP(G5063,WholesaleExtract!B:K,10,FALSE),"")</f>
        <v/>
      </c>
      <c r="L5063" s="47" t="str">
        <f>IFERROR(VLOOKUP(G5063,WholesaleExtract!B:L,11,FALSE),"")</f>
        <v/>
      </c>
      <c r="M5063" s="47" t="str">
        <f>IFERROR(VLOOKUP(G5063,WholesaleExtract!B:M,12,FALSE),"")</f>
        <v/>
      </c>
      <c r="R5063" s="19"/>
      <c r="S5063" s="19"/>
    </row>
    <row r="5064" spans="1:19" x14ac:dyDescent="0.35">
      <c r="A5064" s="26" t="s">
        <v>543</v>
      </c>
      <c r="B5064" s="26" t="s">
        <v>543</v>
      </c>
      <c r="C5064" s="26"/>
      <c r="D5064" s="26" t="s">
        <v>543</v>
      </c>
      <c r="E5064" s="26" t="str">
        <f>IFERROR(VLOOKUP(G5064,WholesaleExtract!B:J,9,FALSE),"")</f>
        <v/>
      </c>
      <c r="F5064" s="26" t="str">
        <f>IFERROR(VLOOKUP(G5064,WholesaleExtract!B:J,6,FALSE),"")</f>
        <v/>
      </c>
      <c r="H5064" s="47" t="str">
        <f>IFERROR(VLOOKUP(G5064,WholesaleExtract!B:L,11,FALSE),"")</f>
        <v/>
      </c>
      <c r="I5064" s="26" t="str">
        <f>IFERROR(VLOOKUP(G5064,WholesaleExtract!B:O,8,FALSE),"")</f>
        <v/>
      </c>
      <c r="J5064" s="26" t="str">
        <f>IFERROR(VLOOKUP(G5064,WholesaleExtract!B:O,14,FALSE),"")</f>
        <v/>
      </c>
      <c r="K5064" s="26" t="str">
        <f>IFERROR(VLOOKUP(G5064,WholesaleExtract!B:K,10,FALSE),"")</f>
        <v/>
      </c>
      <c r="L5064" s="47" t="str">
        <f>IFERROR(VLOOKUP(G5064,WholesaleExtract!B:L,11,FALSE),"")</f>
        <v/>
      </c>
      <c r="M5064" s="47" t="str">
        <f>IFERROR(VLOOKUP(G5064,WholesaleExtract!B:M,12,FALSE),"")</f>
        <v/>
      </c>
      <c r="R5064" s="19"/>
      <c r="S5064" s="19"/>
    </row>
    <row r="5065" spans="1:19" x14ac:dyDescent="0.35">
      <c r="A5065" s="26" t="s">
        <v>543</v>
      </c>
      <c r="B5065" s="26" t="s">
        <v>543</v>
      </c>
      <c r="C5065" s="26"/>
      <c r="D5065" s="26" t="s">
        <v>543</v>
      </c>
      <c r="E5065" s="26" t="str">
        <f>IFERROR(VLOOKUP(G5065,WholesaleExtract!B:J,9,FALSE),"")</f>
        <v/>
      </c>
      <c r="F5065" s="26" t="str">
        <f>IFERROR(VLOOKUP(G5065,WholesaleExtract!B:J,6,FALSE),"")</f>
        <v/>
      </c>
      <c r="H5065" s="47" t="str">
        <f>IFERROR(VLOOKUP(G5065,WholesaleExtract!B:L,11,FALSE),"")</f>
        <v/>
      </c>
      <c r="I5065" s="26" t="str">
        <f>IFERROR(VLOOKUP(G5065,WholesaleExtract!B:O,8,FALSE),"")</f>
        <v/>
      </c>
      <c r="J5065" s="26" t="str">
        <f>IFERROR(VLOOKUP(G5065,WholesaleExtract!B:O,14,FALSE),"")</f>
        <v/>
      </c>
      <c r="K5065" s="26" t="str">
        <f>IFERROR(VLOOKUP(G5065,WholesaleExtract!B:K,10,FALSE),"")</f>
        <v/>
      </c>
      <c r="L5065" s="47" t="str">
        <f>IFERROR(VLOOKUP(G5065,WholesaleExtract!B:L,11,FALSE),"")</f>
        <v/>
      </c>
      <c r="M5065" s="47" t="str">
        <f>IFERROR(VLOOKUP(G5065,WholesaleExtract!B:M,12,FALSE),"")</f>
        <v/>
      </c>
      <c r="R5065" s="19"/>
      <c r="S5065" s="19"/>
    </row>
    <row r="5066" spans="1:19" x14ac:dyDescent="0.35">
      <c r="A5066" s="26" t="s">
        <v>543</v>
      </c>
      <c r="B5066" s="26" t="s">
        <v>543</v>
      </c>
      <c r="C5066" s="26"/>
      <c r="D5066" s="26" t="s">
        <v>543</v>
      </c>
      <c r="E5066" s="26" t="str">
        <f>IFERROR(VLOOKUP(G5066,WholesaleExtract!B:J,9,FALSE),"")</f>
        <v/>
      </c>
      <c r="F5066" s="26" t="str">
        <f>IFERROR(VLOOKUP(G5066,WholesaleExtract!B:J,6,FALSE),"")</f>
        <v/>
      </c>
      <c r="H5066" s="47" t="str">
        <f>IFERROR(VLOOKUP(G5066,WholesaleExtract!B:L,11,FALSE),"")</f>
        <v/>
      </c>
      <c r="I5066" s="26" t="str">
        <f>IFERROR(VLOOKUP(G5066,WholesaleExtract!B:O,8,FALSE),"")</f>
        <v/>
      </c>
      <c r="J5066" s="26" t="str">
        <f>IFERROR(VLOOKUP(G5066,WholesaleExtract!B:O,14,FALSE),"")</f>
        <v/>
      </c>
      <c r="K5066" s="26" t="str">
        <f>IFERROR(VLOOKUP(G5066,WholesaleExtract!B:K,10,FALSE),"")</f>
        <v/>
      </c>
      <c r="L5066" s="47" t="str">
        <f>IFERROR(VLOOKUP(G5066,WholesaleExtract!B:L,11,FALSE),"")</f>
        <v/>
      </c>
      <c r="M5066" s="47" t="str">
        <f>IFERROR(VLOOKUP(G5066,WholesaleExtract!B:M,12,FALSE),"")</f>
        <v/>
      </c>
      <c r="R5066" s="19"/>
      <c r="S5066" s="19"/>
    </row>
    <row r="5067" spans="1:19" x14ac:dyDescent="0.35">
      <c r="A5067" s="26" t="s">
        <v>543</v>
      </c>
      <c r="B5067" s="26" t="s">
        <v>543</v>
      </c>
      <c r="C5067" s="26"/>
      <c r="D5067" s="26" t="s">
        <v>543</v>
      </c>
      <c r="E5067" s="26" t="str">
        <f>IFERROR(VLOOKUP(G5067,WholesaleExtract!B:J,9,FALSE),"")</f>
        <v/>
      </c>
      <c r="F5067" s="26" t="str">
        <f>IFERROR(VLOOKUP(G5067,WholesaleExtract!B:J,6,FALSE),"")</f>
        <v/>
      </c>
      <c r="H5067" s="47" t="str">
        <f>IFERROR(VLOOKUP(G5067,WholesaleExtract!B:L,11,FALSE),"")</f>
        <v/>
      </c>
      <c r="I5067" s="26" t="str">
        <f>IFERROR(VLOOKUP(G5067,WholesaleExtract!B:O,8,FALSE),"")</f>
        <v/>
      </c>
      <c r="J5067" s="26" t="str">
        <f>IFERROR(VLOOKUP(G5067,WholesaleExtract!B:O,14,FALSE),"")</f>
        <v/>
      </c>
      <c r="K5067" s="26" t="str">
        <f>IFERROR(VLOOKUP(G5067,WholesaleExtract!B:K,10,FALSE),"")</f>
        <v/>
      </c>
      <c r="L5067" s="47" t="str">
        <f>IFERROR(VLOOKUP(G5067,WholesaleExtract!B:L,11,FALSE),"")</f>
        <v/>
      </c>
      <c r="M5067" s="47" t="str">
        <f>IFERROR(VLOOKUP(G5067,WholesaleExtract!B:M,12,FALSE),"")</f>
        <v/>
      </c>
      <c r="R5067" s="19"/>
      <c r="S5067" s="19"/>
    </row>
    <row r="5068" spans="1:19" x14ac:dyDescent="0.35">
      <c r="A5068" s="26" t="s">
        <v>543</v>
      </c>
      <c r="B5068" s="26" t="s">
        <v>543</v>
      </c>
      <c r="C5068" s="26"/>
      <c r="D5068" s="26" t="s">
        <v>543</v>
      </c>
      <c r="E5068" s="26" t="str">
        <f>IFERROR(VLOOKUP(G5068,WholesaleExtract!B:J,9,FALSE),"")</f>
        <v/>
      </c>
      <c r="F5068" s="26" t="str">
        <f>IFERROR(VLOOKUP(G5068,WholesaleExtract!B:J,6,FALSE),"")</f>
        <v/>
      </c>
      <c r="H5068" s="47" t="str">
        <f>IFERROR(VLOOKUP(G5068,WholesaleExtract!B:L,11,FALSE),"")</f>
        <v/>
      </c>
      <c r="I5068" s="26" t="str">
        <f>IFERROR(VLOOKUP(G5068,WholesaleExtract!B:O,8,FALSE),"")</f>
        <v/>
      </c>
      <c r="J5068" s="26" t="str">
        <f>IFERROR(VLOOKUP(G5068,WholesaleExtract!B:O,14,FALSE),"")</f>
        <v/>
      </c>
      <c r="K5068" s="26" t="str">
        <f>IFERROR(VLOOKUP(G5068,WholesaleExtract!B:K,10,FALSE),"")</f>
        <v/>
      </c>
      <c r="L5068" s="47" t="str">
        <f>IFERROR(VLOOKUP(G5068,WholesaleExtract!B:L,11,FALSE),"")</f>
        <v/>
      </c>
      <c r="M5068" s="47" t="str">
        <f>IFERROR(VLOOKUP(G5068,WholesaleExtract!B:M,12,FALSE),"")</f>
        <v/>
      </c>
      <c r="R5068" s="19"/>
      <c r="S5068" s="19"/>
    </row>
    <row r="5069" spans="1:19" x14ac:dyDescent="0.35">
      <c r="A5069" s="26" t="s">
        <v>543</v>
      </c>
      <c r="B5069" s="26" t="s">
        <v>543</v>
      </c>
      <c r="C5069" s="26"/>
      <c r="D5069" s="26" t="s">
        <v>543</v>
      </c>
      <c r="E5069" s="26" t="str">
        <f>IFERROR(VLOOKUP(G5069,WholesaleExtract!B:J,9,FALSE),"")</f>
        <v/>
      </c>
      <c r="F5069" s="26" t="str">
        <f>IFERROR(VLOOKUP(G5069,WholesaleExtract!B:J,6,FALSE),"")</f>
        <v/>
      </c>
      <c r="H5069" s="47" t="str">
        <f>IFERROR(VLOOKUP(G5069,WholesaleExtract!B:L,11,FALSE),"")</f>
        <v/>
      </c>
      <c r="I5069" s="26" t="str">
        <f>IFERROR(VLOOKUP(G5069,WholesaleExtract!B:O,8,FALSE),"")</f>
        <v/>
      </c>
      <c r="J5069" s="26" t="str">
        <f>IFERROR(VLOOKUP(G5069,WholesaleExtract!B:O,14,FALSE),"")</f>
        <v/>
      </c>
      <c r="K5069" s="26" t="str">
        <f>IFERROR(VLOOKUP(G5069,WholesaleExtract!B:K,10,FALSE),"")</f>
        <v/>
      </c>
      <c r="L5069" s="47" t="str">
        <f>IFERROR(VLOOKUP(G5069,WholesaleExtract!B:L,11,FALSE),"")</f>
        <v/>
      </c>
      <c r="M5069" s="47" t="str">
        <f>IFERROR(VLOOKUP(G5069,WholesaleExtract!B:M,12,FALSE),"")</f>
        <v/>
      </c>
      <c r="R5069" s="19"/>
      <c r="S5069" s="19"/>
    </row>
    <row r="5070" spans="1:19" x14ac:dyDescent="0.35">
      <c r="A5070" s="26" t="s">
        <v>543</v>
      </c>
      <c r="B5070" s="26" t="s">
        <v>543</v>
      </c>
      <c r="C5070" s="26"/>
      <c r="D5070" s="26" t="s">
        <v>543</v>
      </c>
      <c r="E5070" s="26" t="str">
        <f>IFERROR(VLOOKUP(G5070,WholesaleExtract!B:J,9,FALSE),"")</f>
        <v/>
      </c>
      <c r="F5070" s="26" t="str">
        <f>IFERROR(VLOOKUP(G5070,WholesaleExtract!B:J,6,FALSE),"")</f>
        <v/>
      </c>
      <c r="H5070" s="47" t="str">
        <f>IFERROR(VLOOKUP(G5070,WholesaleExtract!B:L,11,FALSE),"")</f>
        <v/>
      </c>
      <c r="I5070" s="26" t="str">
        <f>IFERROR(VLOOKUP(G5070,WholesaleExtract!B:O,8,FALSE),"")</f>
        <v/>
      </c>
      <c r="J5070" s="26" t="str">
        <f>IFERROR(VLOOKUP(G5070,WholesaleExtract!B:O,14,FALSE),"")</f>
        <v/>
      </c>
      <c r="K5070" s="26" t="str">
        <f>IFERROR(VLOOKUP(G5070,WholesaleExtract!B:K,10,FALSE),"")</f>
        <v/>
      </c>
      <c r="L5070" s="47" t="str">
        <f>IFERROR(VLOOKUP(G5070,WholesaleExtract!B:L,11,FALSE),"")</f>
        <v/>
      </c>
      <c r="M5070" s="47" t="str">
        <f>IFERROR(VLOOKUP(G5070,WholesaleExtract!B:M,12,FALSE),"")</f>
        <v/>
      </c>
      <c r="R5070" s="19"/>
      <c r="S5070" s="19"/>
    </row>
    <row r="5071" spans="1:19" x14ac:dyDescent="0.35">
      <c r="A5071" s="26" t="s">
        <v>543</v>
      </c>
      <c r="B5071" s="26" t="s">
        <v>543</v>
      </c>
      <c r="C5071" s="26"/>
      <c r="D5071" s="26" t="s">
        <v>543</v>
      </c>
      <c r="E5071" s="26" t="str">
        <f>IFERROR(VLOOKUP(G5071,WholesaleExtract!B:J,9,FALSE),"")</f>
        <v/>
      </c>
      <c r="F5071" s="26" t="str">
        <f>IFERROR(VLOOKUP(G5071,WholesaleExtract!B:J,6,FALSE),"")</f>
        <v/>
      </c>
      <c r="H5071" s="47" t="str">
        <f>IFERROR(VLOOKUP(G5071,WholesaleExtract!B:L,11,FALSE),"")</f>
        <v/>
      </c>
      <c r="I5071" s="26" t="str">
        <f>IFERROR(VLOOKUP(G5071,WholesaleExtract!B:O,8,FALSE),"")</f>
        <v/>
      </c>
      <c r="J5071" s="26" t="str">
        <f>IFERROR(VLOOKUP(G5071,WholesaleExtract!B:O,14,FALSE),"")</f>
        <v/>
      </c>
      <c r="K5071" s="26" t="str">
        <f>IFERROR(VLOOKUP(G5071,WholesaleExtract!B:K,10,FALSE),"")</f>
        <v/>
      </c>
      <c r="L5071" s="47" t="str">
        <f>IFERROR(VLOOKUP(G5071,WholesaleExtract!B:L,11,FALSE),"")</f>
        <v/>
      </c>
      <c r="M5071" s="47" t="str">
        <f>IFERROR(VLOOKUP(G5071,WholesaleExtract!B:M,12,FALSE),"")</f>
        <v/>
      </c>
      <c r="R5071" s="19"/>
      <c r="S5071" s="19"/>
    </row>
    <row r="5072" spans="1:19" x14ac:dyDescent="0.35">
      <c r="A5072" s="26" t="s">
        <v>543</v>
      </c>
      <c r="B5072" s="26" t="s">
        <v>543</v>
      </c>
      <c r="C5072" s="26"/>
      <c r="D5072" s="26" t="s">
        <v>543</v>
      </c>
      <c r="E5072" s="26" t="str">
        <f>IFERROR(VLOOKUP(G5072,WholesaleExtract!B:J,9,FALSE),"")</f>
        <v/>
      </c>
      <c r="F5072" s="26" t="str">
        <f>IFERROR(VLOOKUP(G5072,WholesaleExtract!B:J,6,FALSE),"")</f>
        <v/>
      </c>
      <c r="H5072" s="47" t="str">
        <f>IFERROR(VLOOKUP(G5072,WholesaleExtract!B:L,11,FALSE),"")</f>
        <v/>
      </c>
      <c r="I5072" s="26" t="str">
        <f>IFERROR(VLOOKUP(G5072,WholesaleExtract!B:O,8,FALSE),"")</f>
        <v/>
      </c>
      <c r="J5072" s="26" t="str">
        <f>IFERROR(VLOOKUP(G5072,WholesaleExtract!B:O,14,FALSE),"")</f>
        <v/>
      </c>
      <c r="K5072" s="26" t="str">
        <f>IFERROR(VLOOKUP(G5072,WholesaleExtract!B:K,10,FALSE),"")</f>
        <v/>
      </c>
      <c r="L5072" s="47" t="str">
        <f>IFERROR(VLOOKUP(G5072,WholesaleExtract!B:L,11,FALSE),"")</f>
        <v/>
      </c>
      <c r="M5072" s="47" t="str">
        <f>IFERROR(VLOOKUP(G5072,WholesaleExtract!B:M,12,FALSE),"")</f>
        <v/>
      </c>
      <c r="R5072" s="19"/>
      <c r="S5072" s="19"/>
    </row>
    <row r="5073" spans="1:19" x14ac:dyDescent="0.35">
      <c r="A5073" s="26" t="s">
        <v>543</v>
      </c>
      <c r="B5073" s="26" t="s">
        <v>543</v>
      </c>
      <c r="C5073" s="26"/>
      <c r="D5073" s="26" t="s">
        <v>543</v>
      </c>
      <c r="E5073" s="26" t="str">
        <f>IFERROR(VLOOKUP(G5073,WholesaleExtract!B:J,9,FALSE),"")</f>
        <v/>
      </c>
      <c r="F5073" s="26" t="str">
        <f>IFERROR(VLOOKUP(G5073,WholesaleExtract!B:J,6,FALSE),"")</f>
        <v/>
      </c>
      <c r="H5073" s="47" t="str">
        <f>IFERROR(VLOOKUP(G5073,WholesaleExtract!B:L,11,FALSE),"")</f>
        <v/>
      </c>
      <c r="I5073" s="26" t="str">
        <f>IFERROR(VLOOKUP(G5073,WholesaleExtract!B:O,8,FALSE),"")</f>
        <v/>
      </c>
      <c r="J5073" s="26" t="str">
        <f>IFERROR(VLOOKUP(G5073,WholesaleExtract!B:O,14,FALSE),"")</f>
        <v/>
      </c>
      <c r="K5073" s="26" t="str">
        <f>IFERROR(VLOOKUP(G5073,WholesaleExtract!B:K,10,FALSE),"")</f>
        <v/>
      </c>
      <c r="L5073" s="47" t="str">
        <f>IFERROR(VLOOKUP(G5073,WholesaleExtract!B:L,11,FALSE),"")</f>
        <v/>
      </c>
      <c r="M5073" s="47" t="str">
        <f>IFERROR(VLOOKUP(G5073,WholesaleExtract!B:M,12,FALSE),"")</f>
        <v/>
      </c>
      <c r="R5073" s="19"/>
      <c r="S5073" s="19"/>
    </row>
    <row r="5074" spans="1:19" x14ac:dyDescent="0.35">
      <c r="A5074" s="26" t="s">
        <v>543</v>
      </c>
      <c r="B5074" s="26" t="s">
        <v>543</v>
      </c>
      <c r="C5074" s="26"/>
      <c r="D5074" s="26" t="s">
        <v>543</v>
      </c>
      <c r="E5074" s="26" t="str">
        <f>IFERROR(VLOOKUP(G5074,WholesaleExtract!B:J,9,FALSE),"")</f>
        <v/>
      </c>
      <c r="F5074" s="26" t="str">
        <f>IFERROR(VLOOKUP(G5074,WholesaleExtract!B:J,6,FALSE),"")</f>
        <v/>
      </c>
      <c r="H5074" s="47" t="str">
        <f>IFERROR(VLOOKUP(G5074,WholesaleExtract!B:L,11,FALSE),"")</f>
        <v/>
      </c>
      <c r="I5074" s="26" t="str">
        <f>IFERROR(VLOOKUP(G5074,WholesaleExtract!B:O,8,FALSE),"")</f>
        <v/>
      </c>
      <c r="J5074" s="26" t="str">
        <f>IFERROR(VLOOKUP(G5074,WholesaleExtract!B:O,14,FALSE),"")</f>
        <v/>
      </c>
      <c r="K5074" s="26" t="str">
        <f>IFERROR(VLOOKUP(G5074,WholesaleExtract!B:K,10,FALSE),"")</f>
        <v/>
      </c>
      <c r="L5074" s="47" t="str">
        <f>IFERROR(VLOOKUP(G5074,WholesaleExtract!B:L,11,FALSE),"")</f>
        <v/>
      </c>
      <c r="M5074" s="47" t="str">
        <f>IFERROR(VLOOKUP(G5074,WholesaleExtract!B:M,12,FALSE),"")</f>
        <v/>
      </c>
      <c r="R5074" s="19"/>
      <c r="S5074" s="19"/>
    </row>
    <row r="5075" spans="1:19" x14ac:dyDescent="0.35">
      <c r="A5075" s="26" t="s">
        <v>543</v>
      </c>
      <c r="B5075" s="26" t="s">
        <v>543</v>
      </c>
      <c r="C5075" s="26"/>
      <c r="D5075" s="26" t="s">
        <v>543</v>
      </c>
      <c r="E5075" s="26" t="str">
        <f>IFERROR(VLOOKUP(G5075,WholesaleExtract!B:J,9,FALSE),"")</f>
        <v/>
      </c>
      <c r="F5075" s="26" t="str">
        <f>IFERROR(VLOOKUP(G5075,WholesaleExtract!B:J,6,FALSE),"")</f>
        <v/>
      </c>
      <c r="H5075" s="47" t="str">
        <f>IFERROR(VLOOKUP(G5075,WholesaleExtract!B:L,11,FALSE),"")</f>
        <v/>
      </c>
      <c r="I5075" s="26" t="str">
        <f>IFERROR(VLOOKUP(G5075,WholesaleExtract!B:O,8,FALSE),"")</f>
        <v/>
      </c>
      <c r="J5075" s="26" t="str">
        <f>IFERROR(VLOOKUP(G5075,WholesaleExtract!B:O,14,FALSE),"")</f>
        <v/>
      </c>
      <c r="K5075" s="26" t="str">
        <f>IFERROR(VLOOKUP(G5075,WholesaleExtract!B:K,10,FALSE),"")</f>
        <v/>
      </c>
      <c r="L5075" s="47" t="str">
        <f>IFERROR(VLOOKUP(G5075,WholesaleExtract!B:L,11,FALSE),"")</f>
        <v/>
      </c>
      <c r="M5075" s="47" t="str">
        <f>IFERROR(VLOOKUP(G5075,WholesaleExtract!B:M,12,FALSE),"")</f>
        <v/>
      </c>
      <c r="R5075" s="19"/>
      <c r="S5075" s="19"/>
    </row>
    <row r="5076" spans="1:19" x14ac:dyDescent="0.35">
      <c r="A5076" s="26" t="s">
        <v>543</v>
      </c>
      <c r="B5076" s="26" t="s">
        <v>543</v>
      </c>
      <c r="C5076" s="26"/>
      <c r="D5076" s="26" t="s">
        <v>543</v>
      </c>
      <c r="E5076" s="26" t="str">
        <f>IFERROR(VLOOKUP(G5076,WholesaleExtract!B:J,9,FALSE),"")</f>
        <v/>
      </c>
      <c r="F5076" s="26" t="str">
        <f>IFERROR(VLOOKUP(G5076,WholesaleExtract!B:J,6,FALSE),"")</f>
        <v/>
      </c>
      <c r="H5076" s="47" t="str">
        <f>IFERROR(VLOOKUP(G5076,WholesaleExtract!B:L,11,FALSE),"")</f>
        <v/>
      </c>
      <c r="I5076" s="26" t="str">
        <f>IFERROR(VLOOKUP(G5076,WholesaleExtract!B:O,8,FALSE),"")</f>
        <v/>
      </c>
      <c r="J5076" s="26" t="str">
        <f>IFERROR(VLOOKUP(G5076,WholesaleExtract!B:O,14,FALSE),"")</f>
        <v/>
      </c>
      <c r="K5076" s="26" t="str">
        <f>IFERROR(VLOOKUP(G5076,WholesaleExtract!B:K,10,FALSE),"")</f>
        <v/>
      </c>
      <c r="L5076" s="47" t="str">
        <f>IFERROR(VLOOKUP(G5076,WholesaleExtract!B:L,11,FALSE),"")</f>
        <v/>
      </c>
      <c r="M5076" s="47" t="str">
        <f>IFERROR(VLOOKUP(G5076,WholesaleExtract!B:M,12,FALSE),"")</f>
        <v/>
      </c>
      <c r="R5076" s="19"/>
      <c r="S5076" s="19"/>
    </row>
    <row r="5077" spans="1:19" x14ac:dyDescent="0.35">
      <c r="A5077" s="26" t="s">
        <v>543</v>
      </c>
      <c r="B5077" s="26" t="s">
        <v>543</v>
      </c>
      <c r="C5077" s="26"/>
      <c r="D5077" s="26" t="s">
        <v>543</v>
      </c>
      <c r="E5077" s="26" t="str">
        <f>IFERROR(VLOOKUP(G5077,WholesaleExtract!B:J,9,FALSE),"")</f>
        <v/>
      </c>
      <c r="F5077" s="26" t="str">
        <f>IFERROR(VLOOKUP(G5077,WholesaleExtract!B:J,6,FALSE),"")</f>
        <v/>
      </c>
      <c r="H5077" s="47" t="str">
        <f>IFERROR(VLOOKUP(G5077,WholesaleExtract!B:L,11,FALSE),"")</f>
        <v/>
      </c>
      <c r="I5077" s="26" t="str">
        <f>IFERROR(VLOOKUP(G5077,WholesaleExtract!B:O,8,FALSE),"")</f>
        <v/>
      </c>
      <c r="J5077" s="26" t="str">
        <f>IFERROR(VLOOKUP(G5077,WholesaleExtract!B:O,14,FALSE),"")</f>
        <v/>
      </c>
      <c r="K5077" s="26" t="str">
        <f>IFERROR(VLOOKUP(G5077,WholesaleExtract!B:K,10,FALSE),"")</f>
        <v/>
      </c>
      <c r="L5077" s="47" t="str">
        <f>IFERROR(VLOOKUP(G5077,WholesaleExtract!B:L,11,FALSE),"")</f>
        <v/>
      </c>
      <c r="M5077" s="47" t="str">
        <f>IFERROR(VLOOKUP(G5077,WholesaleExtract!B:M,12,FALSE),"")</f>
        <v/>
      </c>
      <c r="R5077" s="19"/>
      <c r="S5077" s="19"/>
    </row>
    <row r="5078" spans="1:19" x14ac:dyDescent="0.35">
      <c r="A5078" s="26" t="s">
        <v>543</v>
      </c>
      <c r="B5078" s="26" t="s">
        <v>543</v>
      </c>
      <c r="C5078" s="26"/>
      <c r="D5078" s="26" t="s">
        <v>543</v>
      </c>
      <c r="E5078" s="26" t="str">
        <f>IFERROR(VLOOKUP(G5078,WholesaleExtract!B:J,9,FALSE),"")</f>
        <v/>
      </c>
      <c r="F5078" s="26" t="str">
        <f>IFERROR(VLOOKUP(G5078,WholesaleExtract!B:J,6,FALSE),"")</f>
        <v/>
      </c>
      <c r="H5078" s="47" t="str">
        <f>IFERROR(VLOOKUP(G5078,WholesaleExtract!B:L,11,FALSE),"")</f>
        <v/>
      </c>
      <c r="I5078" s="26" t="str">
        <f>IFERROR(VLOOKUP(G5078,WholesaleExtract!B:O,8,FALSE),"")</f>
        <v/>
      </c>
      <c r="J5078" s="26" t="str">
        <f>IFERROR(VLOOKUP(G5078,WholesaleExtract!B:O,14,FALSE),"")</f>
        <v/>
      </c>
      <c r="K5078" s="26" t="str">
        <f>IFERROR(VLOOKUP(G5078,WholesaleExtract!B:K,10,FALSE),"")</f>
        <v/>
      </c>
      <c r="L5078" s="47" t="str">
        <f>IFERROR(VLOOKUP(G5078,WholesaleExtract!B:L,11,FALSE),"")</f>
        <v/>
      </c>
      <c r="M5078" s="47" t="str">
        <f>IFERROR(VLOOKUP(G5078,WholesaleExtract!B:M,12,FALSE),"")</f>
        <v/>
      </c>
      <c r="R5078" s="19"/>
      <c r="S5078" s="19"/>
    </row>
    <row r="5079" spans="1:19" x14ac:dyDescent="0.35">
      <c r="A5079" s="26" t="s">
        <v>543</v>
      </c>
      <c r="B5079" s="26" t="s">
        <v>543</v>
      </c>
      <c r="C5079" s="26"/>
      <c r="D5079" s="26" t="s">
        <v>543</v>
      </c>
      <c r="E5079" s="26" t="str">
        <f>IFERROR(VLOOKUP(G5079,WholesaleExtract!B:J,9,FALSE),"")</f>
        <v/>
      </c>
      <c r="F5079" s="26" t="str">
        <f>IFERROR(VLOOKUP(G5079,WholesaleExtract!B:J,6,FALSE),"")</f>
        <v/>
      </c>
      <c r="H5079" s="47" t="str">
        <f>IFERROR(VLOOKUP(G5079,WholesaleExtract!B:L,11,FALSE),"")</f>
        <v/>
      </c>
      <c r="I5079" s="26" t="str">
        <f>IFERROR(VLOOKUP(G5079,WholesaleExtract!B:O,8,FALSE),"")</f>
        <v/>
      </c>
      <c r="J5079" s="26" t="str">
        <f>IFERROR(VLOOKUP(G5079,WholesaleExtract!B:O,14,FALSE),"")</f>
        <v/>
      </c>
      <c r="K5079" s="26" t="str">
        <f>IFERROR(VLOOKUP(G5079,WholesaleExtract!B:K,10,FALSE),"")</f>
        <v/>
      </c>
      <c r="L5079" s="47" t="str">
        <f>IFERROR(VLOOKUP(G5079,WholesaleExtract!B:L,11,FALSE),"")</f>
        <v/>
      </c>
      <c r="M5079" s="47" t="str">
        <f>IFERROR(VLOOKUP(G5079,WholesaleExtract!B:M,12,FALSE),"")</f>
        <v/>
      </c>
      <c r="R5079" s="19"/>
      <c r="S5079" s="19"/>
    </row>
    <row r="5080" spans="1:19" x14ac:dyDescent="0.35">
      <c r="A5080" s="26" t="s">
        <v>543</v>
      </c>
      <c r="B5080" s="26" t="s">
        <v>543</v>
      </c>
      <c r="C5080" s="26"/>
      <c r="D5080" s="26" t="s">
        <v>543</v>
      </c>
      <c r="E5080" s="26" t="str">
        <f>IFERROR(VLOOKUP(G5080,WholesaleExtract!B:J,9,FALSE),"")</f>
        <v/>
      </c>
      <c r="F5080" s="26" t="str">
        <f>IFERROR(VLOOKUP(G5080,WholesaleExtract!B:J,6,FALSE),"")</f>
        <v/>
      </c>
      <c r="H5080" s="47" t="str">
        <f>IFERROR(VLOOKUP(G5080,WholesaleExtract!B:L,11,FALSE),"")</f>
        <v/>
      </c>
      <c r="I5080" s="26" t="str">
        <f>IFERROR(VLOOKUP(G5080,WholesaleExtract!B:O,8,FALSE),"")</f>
        <v/>
      </c>
      <c r="J5080" s="26" t="str">
        <f>IFERROR(VLOOKUP(G5080,WholesaleExtract!B:O,14,FALSE),"")</f>
        <v/>
      </c>
      <c r="K5080" s="26" t="str">
        <f>IFERROR(VLOOKUP(G5080,WholesaleExtract!B:K,10,FALSE),"")</f>
        <v/>
      </c>
      <c r="L5080" s="47" t="str">
        <f>IFERROR(VLOOKUP(G5080,WholesaleExtract!B:L,11,FALSE),"")</f>
        <v/>
      </c>
      <c r="M5080" s="47" t="str">
        <f>IFERROR(VLOOKUP(G5080,WholesaleExtract!B:M,12,FALSE),"")</f>
        <v/>
      </c>
      <c r="R5080" s="19"/>
      <c r="S5080" s="19"/>
    </row>
    <row r="5081" spans="1:19" x14ac:dyDescent="0.35">
      <c r="A5081" s="26" t="s">
        <v>543</v>
      </c>
      <c r="B5081" s="26" t="s">
        <v>543</v>
      </c>
      <c r="C5081" s="26"/>
      <c r="D5081" s="26" t="s">
        <v>543</v>
      </c>
      <c r="E5081" s="26" t="str">
        <f>IFERROR(VLOOKUP(G5081,WholesaleExtract!B:J,9,FALSE),"")</f>
        <v/>
      </c>
      <c r="F5081" s="26" t="str">
        <f>IFERROR(VLOOKUP(G5081,WholesaleExtract!B:J,6,FALSE),"")</f>
        <v/>
      </c>
      <c r="H5081" s="47" t="str">
        <f>IFERROR(VLOOKUP(G5081,WholesaleExtract!B:L,11,FALSE),"")</f>
        <v/>
      </c>
      <c r="I5081" s="26" t="str">
        <f>IFERROR(VLOOKUP(G5081,WholesaleExtract!B:O,8,FALSE),"")</f>
        <v/>
      </c>
      <c r="J5081" s="26" t="str">
        <f>IFERROR(VLOOKUP(G5081,WholesaleExtract!B:O,14,FALSE),"")</f>
        <v/>
      </c>
      <c r="K5081" s="26" t="str">
        <f>IFERROR(VLOOKUP(G5081,WholesaleExtract!B:K,10,FALSE),"")</f>
        <v/>
      </c>
      <c r="L5081" s="47" t="str">
        <f>IFERROR(VLOOKUP(G5081,WholesaleExtract!B:L,11,FALSE),"")</f>
        <v/>
      </c>
      <c r="M5081" s="47" t="str">
        <f>IFERROR(VLOOKUP(G5081,WholesaleExtract!B:M,12,FALSE),"")</f>
        <v/>
      </c>
      <c r="R5081" s="19"/>
      <c r="S5081" s="19"/>
    </row>
    <row r="5082" spans="1:19" x14ac:dyDescent="0.35">
      <c r="A5082" s="26" t="s">
        <v>543</v>
      </c>
      <c r="B5082" s="26" t="s">
        <v>543</v>
      </c>
      <c r="C5082" s="26"/>
      <c r="D5082" s="26" t="s">
        <v>543</v>
      </c>
      <c r="E5082" s="26" t="str">
        <f>IFERROR(VLOOKUP(G5082,WholesaleExtract!B:J,9,FALSE),"")</f>
        <v/>
      </c>
      <c r="F5082" s="26" t="str">
        <f>IFERROR(VLOOKUP(G5082,WholesaleExtract!B:J,6,FALSE),"")</f>
        <v/>
      </c>
      <c r="H5082" s="47" t="str">
        <f>IFERROR(VLOOKUP(G5082,WholesaleExtract!B:L,11,FALSE),"")</f>
        <v/>
      </c>
      <c r="I5082" s="26" t="str">
        <f>IFERROR(VLOOKUP(G5082,WholesaleExtract!B:O,8,FALSE),"")</f>
        <v/>
      </c>
      <c r="J5082" s="26" t="str">
        <f>IFERROR(VLOOKUP(G5082,WholesaleExtract!B:O,14,FALSE),"")</f>
        <v/>
      </c>
      <c r="K5082" s="26" t="str">
        <f>IFERROR(VLOOKUP(G5082,WholesaleExtract!B:K,10,FALSE),"")</f>
        <v/>
      </c>
      <c r="L5082" s="47" t="str">
        <f>IFERROR(VLOOKUP(G5082,WholesaleExtract!B:L,11,FALSE),"")</f>
        <v/>
      </c>
      <c r="M5082" s="47" t="str">
        <f>IFERROR(VLOOKUP(G5082,WholesaleExtract!B:M,12,FALSE),"")</f>
        <v/>
      </c>
      <c r="R5082" s="19"/>
      <c r="S5082" s="19"/>
    </row>
    <row r="5083" spans="1:19" x14ac:dyDescent="0.35">
      <c r="A5083" s="26" t="s">
        <v>543</v>
      </c>
      <c r="B5083" s="26" t="s">
        <v>543</v>
      </c>
      <c r="C5083" s="26"/>
      <c r="D5083" s="26" t="s">
        <v>543</v>
      </c>
      <c r="E5083" s="26" t="str">
        <f>IFERROR(VLOOKUP(G5083,WholesaleExtract!B:J,9,FALSE),"")</f>
        <v/>
      </c>
      <c r="F5083" s="26" t="str">
        <f>IFERROR(VLOOKUP(G5083,WholesaleExtract!B:J,6,FALSE),"")</f>
        <v/>
      </c>
      <c r="H5083" s="47" t="str">
        <f>IFERROR(VLOOKUP(G5083,WholesaleExtract!B:L,11,FALSE),"")</f>
        <v/>
      </c>
      <c r="I5083" s="26" t="str">
        <f>IFERROR(VLOOKUP(G5083,WholesaleExtract!B:O,8,FALSE),"")</f>
        <v/>
      </c>
      <c r="J5083" s="26" t="str">
        <f>IFERROR(VLOOKUP(G5083,WholesaleExtract!B:O,14,FALSE),"")</f>
        <v/>
      </c>
      <c r="K5083" s="26" t="str">
        <f>IFERROR(VLOOKUP(G5083,WholesaleExtract!B:K,10,FALSE),"")</f>
        <v/>
      </c>
      <c r="L5083" s="47" t="str">
        <f>IFERROR(VLOOKUP(G5083,WholesaleExtract!B:L,11,FALSE),"")</f>
        <v/>
      </c>
      <c r="M5083" s="47" t="str">
        <f>IFERROR(VLOOKUP(G5083,WholesaleExtract!B:M,12,FALSE),"")</f>
        <v/>
      </c>
      <c r="R5083" s="19"/>
      <c r="S5083" s="19"/>
    </row>
    <row r="5084" spans="1:19" x14ac:dyDescent="0.35">
      <c r="A5084" s="26" t="s">
        <v>543</v>
      </c>
      <c r="B5084" s="26" t="s">
        <v>543</v>
      </c>
      <c r="C5084" s="26"/>
      <c r="D5084" s="26" t="s">
        <v>543</v>
      </c>
      <c r="E5084" s="26" t="str">
        <f>IFERROR(VLOOKUP(G5084,WholesaleExtract!B:J,9,FALSE),"")</f>
        <v/>
      </c>
      <c r="F5084" s="26" t="str">
        <f>IFERROR(VLOOKUP(G5084,WholesaleExtract!B:J,6,FALSE),"")</f>
        <v/>
      </c>
      <c r="H5084" s="47" t="str">
        <f>IFERROR(VLOOKUP(G5084,WholesaleExtract!B:L,11,FALSE),"")</f>
        <v/>
      </c>
      <c r="I5084" s="26" t="str">
        <f>IFERROR(VLOOKUP(G5084,WholesaleExtract!B:O,8,FALSE),"")</f>
        <v/>
      </c>
      <c r="J5084" s="26" t="str">
        <f>IFERROR(VLOOKUP(G5084,WholesaleExtract!B:O,14,FALSE),"")</f>
        <v/>
      </c>
      <c r="K5084" s="26" t="str">
        <f>IFERROR(VLOOKUP(G5084,WholesaleExtract!B:K,10,FALSE),"")</f>
        <v/>
      </c>
      <c r="L5084" s="47" t="str">
        <f>IFERROR(VLOOKUP(G5084,WholesaleExtract!B:L,11,FALSE),"")</f>
        <v/>
      </c>
      <c r="M5084" s="47" t="str">
        <f>IFERROR(VLOOKUP(G5084,WholesaleExtract!B:M,12,FALSE),"")</f>
        <v/>
      </c>
      <c r="R5084" s="19"/>
      <c r="S5084" s="19"/>
    </row>
    <row r="5085" spans="1:19" x14ac:dyDescent="0.35">
      <c r="A5085" s="26" t="s">
        <v>543</v>
      </c>
      <c r="B5085" s="26" t="s">
        <v>543</v>
      </c>
      <c r="C5085" s="26"/>
      <c r="D5085" s="26" t="s">
        <v>543</v>
      </c>
      <c r="E5085" s="26" t="str">
        <f>IFERROR(VLOOKUP(G5085,WholesaleExtract!B:J,9,FALSE),"")</f>
        <v/>
      </c>
      <c r="F5085" s="26" t="str">
        <f>IFERROR(VLOOKUP(G5085,WholesaleExtract!B:J,6,FALSE),"")</f>
        <v/>
      </c>
      <c r="H5085" s="47" t="str">
        <f>IFERROR(VLOOKUP(G5085,WholesaleExtract!B:L,11,FALSE),"")</f>
        <v/>
      </c>
      <c r="I5085" s="26" t="str">
        <f>IFERROR(VLOOKUP(G5085,WholesaleExtract!B:O,8,FALSE),"")</f>
        <v/>
      </c>
      <c r="J5085" s="26" t="str">
        <f>IFERROR(VLOOKUP(G5085,WholesaleExtract!B:O,14,FALSE),"")</f>
        <v/>
      </c>
      <c r="K5085" s="26" t="str">
        <f>IFERROR(VLOOKUP(G5085,WholesaleExtract!B:K,10,FALSE),"")</f>
        <v/>
      </c>
      <c r="L5085" s="47" t="str">
        <f>IFERROR(VLOOKUP(G5085,WholesaleExtract!B:L,11,FALSE),"")</f>
        <v/>
      </c>
      <c r="M5085" s="47" t="str">
        <f>IFERROR(VLOOKUP(G5085,WholesaleExtract!B:M,12,FALSE),"")</f>
        <v/>
      </c>
      <c r="R5085" s="19"/>
      <c r="S5085" s="19"/>
    </row>
    <row r="5086" spans="1:19" x14ac:dyDescent="0.35">
      <c r="A5086" s="26" t="s">
        <v>543</v>
      </c>
      <c r="B5086" s="26" t="s">
        <v>543</v>
      </c>
      <c r="C5086" s="26"/>
      <c r="D5086" s="26" t="s">
        <v>543</v>
      </c>
      <c r="E5086" s="26" t="str">
        <f>IFERROR(VLOOKUP(G5086,WholesaleExtract!B:J,9,FALSE),"")</f>
        <v/>
      </c>
      <c r="F5086" s="26" t="str">
        <f>IFERROR(VLOOKUP(G5086,WholesaleExtract!B:J,6,FALSE),"")</f>
        <v/>
      </c>
      <c r="H5086" s="47" t="str">
        <f>IFERROR(VLOOKUP(G5086,WholesaleExtract!B:L,11,FALSE),"")</f>
        <v/>
      </c>
      <c r="I5086" s="26" t="str">
        <f>IFERROR(VLOOKUP(G5086,WholesaleExtract!B:O,8,FALSE),"")</f>
        <v/>
      </c>
      <c r="J5086" s="26" t="str">
        <f>IFERROR(VLOOKUP(G5086,WholesaleExtract!B:O,14,FALSE),"")</f>
        <v/>
      </c>
      <c r="K5086" s="26" t="str">
        <f>IFERROR(VLOOKUP(G5086,WholesaleExtract!B:K,10,FALSE),"")</f>
        <v/>
      </c>
      <c r="L5086" s="47" t="str">
        <f>IFERROR(VLOOKUP(G5086,WholesaleExtract!B:L,11,FALSE),"")</f>
        <v/>
      </c>
      <c r="M5086" s="47" t="str">
        <f>IFERROR(VLOOKUP(G5086,WholesaleExtract!B:M,12,FALSE),"")</f>
        <v/>
      </c>
      <c r="R5086" s="19"/>
      <c r="S5086" s="19"/>
    </row>
    <row r="5087" spans="1:19" x14ac:dyDescent="0.35">
      <c r="A5087" s="26" t="s">
        <v>543</v>
      </c>
      <c r="B5087" s="26" t="s">
        <v>543</v>
      </c>
      <c r="C5087" s="26"/>
      <c r="D5087" s="26" t="s">
        <v>543</v>
      </c>
      <c r="E5087" s="26" t="str">
        <f>IFERROR(VLOOKUP(G5087,WholesaleExtract!B:J,9,FALSE),"")</f>
        <v/>
      </c>
      <c r="F5087" s="26" t="str">
        <f>IFERROR(VLOOKUP(G5087,WholesaleExtract!B:J,6,FALSE),"")</f>
        <v/>
      </c>
      <c r="H5087" s="47" t="str">
        <f>IFERROR(VLOOKUP(G5087,WholesaleExtract!B:L,11,FALSE),"")</f>
        <v/>
      </c>
      <c r="I5087" s="26" t="str">
        <f>IFERROR(VLOOKUP(G5087,WholesaleExtract!B:O,8,FALSE),"")</f>
        <v/>
      </c>
      <c r="J5087" s="26" t="str">
        <f>IFERROR(VLOOKUP(G5087,WholesaleExtract!B:O,14,FALSE),"")</f>
        <v/>
      </c>
      <c r="K5087" s="26" t="str">
        <f>IFERROR(VLOOKUP(G5087,WholesaleExtract!B:K,10,FALSE),"")</f>
        <v/>
      </c>
      <c r="L5087" s="47" t="str">
        <f>IFERROR(VLOOKUP(G5087,WholesaleExtract!B:L,11,FALSE),"")</f>
        <v/>
      </c>
      <c r="M5087" s="47" t="str">
        <f>IFERROR(VLOOKUP(G5087,WholesaleExtract!B:M,12,FALSE),"")</f>
        <v/>
      </c>
      <c r="R5087" s="19"/>
      <c r="S5087" s="19"/>
    </row>
    <row r="5088" spans="1:19" x14ac:dyDescent="0.35">
      <c r="A5088" s="26" t="s">
        <v>543</v>
      </c>
      <c r="B5088" s="26" t="s">
        <v>543</v>
      </c>
      <c r="C5088" s="26"/>
      <c r="D5088" s="26" t="s">
        <v>543</v>
      </c>
      <c r="E5088" s="26" t="str">
        <f>IFERROR(VLOOKUP(G5088,WholesaleExtract!B:J,9,FALSE),"")</f>
        <v/>
      </c>
      <c r="F5088" s="26" t="str">
        <f>IFERROR(VLOOKUP(G5088,WholesaleExtract!B:J,6,FALSE),"")</f>
        <v/>
      </c>
      <c r="H5088" s="47" t="str">
        <f>IFERROR(VLOOKUP(G5088,WholesaleExtract!B:L,11,FALSE),"")</f>
        <v/>
      </c>
      <c r="I5088" s="26" t="str">
        <f>IFERROR(VLOOKUP(G5088,WholesaleExtract!B:O,8,FALSE),"")</f>
        <v/>
      </c>
      <c r="J5088" s="26" t="str">
        <f>IFERROR(VLOOKUP(G5088,WholesaleExtract!B:O,14,FALSE),"")</f>
        <v/>
      </c>
      <c r="K5088" s="26" t="str">
        <f>IFERROR(VLOOKUP(G5088,WholesaleExtract!B:K,10,FALSE),"")</f>
        <v/>
      </c>
      <c r="L5088" s="47" t="str">
        <f>IFERROR(VLOOKUP(G5088,WholesaleExtract!B:L,11,FALSE),"")</f>
        <v/>
      </c>
      <c r="M5088" s="47" t="str">
        <f>IFERROR(VLOOKUP(G5088,WholesaleExtract!B:M,12,FALSE),"")</f>
        <v/>
      </c>
      <c r="R5088" s="19"/>
      <c r="S5088" s="19"/>
    </row>
    <row r="5089" spans="1:19" x14ac:dyDescent="0.35">
      <c r="A5089" s="26" t="s">
        <v>543</v>
      </c>
      <c r="B5089" s="26" t="s">
        <v>543</v>
      </c>
      <c r="C5089" s="26"/>
      <c r="D5089" s="26" t="s">
        <v>543</v>
      </c>
      <c r="E5089" s="26" t="str">
        <f>IFERROR(VLOOKUP(G5089,WholesaleExtract!B:J,9,FALSE),"")</f>
        <v/>
      </c>
      <c r="F5089" s="26" t="str">
        <f>IFERROR(VLOOKUP(G5089,WholesaleExtract!B:J,6,FALSE),"")</f>
        <v/>
      </c>
      <c r="H5089" s="47" t="str">
        <f>IFERROR(VLOOKUP(G5089,WholesaleExtract!B:L,11,FALSE),"")</f>
        <v/>
      </c>
      <c r="I5089" s="26" t="str">
        <f>IFERROR(VLOOKUP(G5089,WholesaleExtract!B:O,8,FALSE),"")</f>
        <v/>
      </c>
      <c r="J5089" s="26" t="str">
        <f>IFERROR(VLOOKUP(G5089,WholesaleExtract!B:O,14,FALSE),"")</f>
        <v/>
      </c>
      <c r="K5089" s="26" t="str">
        <f>IFERROR(VLOOKUP(G5089,WholesaleExtract!B:K,10,FALSE),"")</f>
        <v/>
      </c>
      <c r="L5089" s="47" t="str">
        <f>IFERROR(VLOOKUP(G5089,WholesaleExtract!B:L,11,FALSE),"")</f>
        <v/>
      </c>
      <c r="M5089" s="47" t="str">
        <f>IFERROR(VLOOKUP(G5089,WholesaleExtract!B:M,12,FALSE),"")</f>
        <v/>
      </c>
      <c r="R5089" s="19"/>
      <c r="S5089" s="19"/>
    </row>
    <row r="5090" spans="1:19" x14ac:dyDescent="0.35">
      <c r="A5090" s="26" t="s">
        <v>543</v>
      </c>
      <c r="B5090" s="26" t="s">
        <v>543</v>
      </c>
      <c r="C5090" s="26"/>
      <c r="D5090" s="26" t="s">
        <v>543</v>
      </c>
      <c r="E5090" s="26" t="str">
        <f>IFERROR(VLOOKUP(G5090,WholesaleExtract!B:J,9,FALSE),"")</f>
        <v/>
      </c>
      <c r="F5090" s="26" t="str">
        <f>IFERROR(VLOOKUP(G5090,WholesaleExtract!B:J,6,FALSE),"")</f>
        <v/>
      </c>
      <c r="H5090" s="47" t="str">
        <f>IFERROR(VLOOKUP(G5090,WholesaleExtract!B:L,11,FALSE),"")</f>
        <v/>
      </c>
      <c r="I5090" s="26" t="str">
        <f>IFERROR(VLOOKUP(G5090,WholesaleExtract!B:O,8,FALSE),"")</f>
        <v/>
      </c>
      <c r="J5090" s="26" t="str">
        <f>IFERROR(VLOOKUP(G5090,WholesaleExtract!B:O,14,FALSE),"")</f>
        <v/>
      </c>
      <c r="K5090" s="26" t="str">
        <f>IFERROR(VLOOKUP(G5090,WholesaleExtract!B:K,10,FALSE),"")</f>
        <v/>
      </c>
      <c r="L5090" s="47" t="str">
        <f>IFERROR(VLOOKUP(G5090,WholesaleExtract!B:L,11,FALSE),"")</f>
        <v/>
      </c>
      <c r="M5090" s="47" t="str">
        <f>IFERROR(VLOOKUP(G5090,WholesaleExtract!B:M,12,FALSE),"")</f>
        <v/>
      </c>
      <c r="R5090" s="19"/>
      <c r="S5090" s="19"/>
    </row>
    <row r="5091" spans="1:19" x14ac:dyDescent="0.35">
      <c r="A5091" s="26" t="s">
        <v>543</v>
      </c>
      <c r="B5091" s="26" t="s">
        <v>543</v>
      </c>
      <c r="C5091" s="26"/>
      <c r="D5091" s="26" t="s">
        <v>543</v>
      </c>
      <c r="E5091" s="26" t="str">
        <f>IFERROR(VLOOKUP(G5091,WholesaleExtract!B:J,9,FALSE),"")</f>
        <v/>
      </c>
      <c r="F5091" s="26" t="str">
        <f>IFERROR(VLOOKUP(G5091,WholesaleExtract!B:J,6,FALSE),"")</f>
        <v/>
      </c>
      <c r="H5091" s="47" t="str">
        <f>IFERROR(VLOOKUP(G5091,WholesaleExtract!B:L,11,FALSE),"")</f>
        <v/>
      </c>
      <c r="I5091" s="26" t="str">
        <f>IFERROR(VLOOKUP(G5091,WholesaleExtract!B:O,8,FALSE),"")</f>
        <v/>
      </c>
      <c r="J5091" s="26" t="str">
        <f>IFERROR(VLOOKUP(G5091,WholesaleExtract!B:O,14,FALSE),"")</f>
        <v/>
      </c>
      <c r="K5091" s="26" t="str">
        <f>IFERROR(VLOOKUP(G5091,WholesaleExtract!B:K,10,FALSE),"")</f>
        <v/>
      </c>
      <c r="L5091" s="47" t="str">
        <f>IFERROR(VLOOKUP(G5091,WholesaleExtract!B:L,11,FALSE),"")</f>
        <v/>
      </c>
      <c r="M5091" s="47" t="str">
        <f>IFERROR(VLOOKUP(G5091,WholesaleExtract!B:M,12,FALSE),"")</f>
        <v/>
      </c>
      <c r="R5091" s="19"/>
      <c r="S5091" s="19"/>
    </row>
    <row r="5092" spans="1:19" x14ac:dyDescent="0.35">
      <c r="A5092" s="26" t="s">
        <v>543</v>
      </c>
      <c r="B5092" s="26" t="s">
        <v>543</v>
      </c>
      <c r="C5092" s="26"/>
      <c r="D5092" s="26" t="s">
        <v>543</v>
      </c>
      <c r="E5092" s="26" t="str">
        <f>IFERROR(VLOOKUP(G5092,WholesaleExtract!B:J,9,FALSE),"")</f>
        <v/>
      </c>
      <c r="F5092" s="26" t="str">
        <f>IFERROR(VLOOKUP(G5092,WholesaleExtract!B:J,6,FALSE),"")</f>
        <v/>
      </c>
      <c r="H5092" s="47" t="str">
        <f>IFERROR(VLOOKUP(G5092,WholesaleExtract!B:L,11,FALSE),"")</f>
        <v/>
      </c>
      <c r="I5092" s="26" t="str">
        <f>IFERROR(VLOOKUP(G5092,WholesaleExtract!B:O,8,FALSE),"")</f>
        <v/>
      </c>
      <c r="J5092" s="26" t="str">
        <f>IFERROR(VLOOKUP(G5092,WholesaleExtract!B:O,14,FALSE),"")</f>
        <v/>
      </c>
      <c r="K5092" s="26" t="str">
        <f>IFERROR(VLOOKUP(G5092,WholesaleExtract!B:K,10,FALSE),"")</f>
        <v/>
      </c>
      <c r="L5092" s="47" t="str">
        <f>IFERROR(VLOOKUP(G5092,WholesaleExtract!B:L,11,FALSE),"")</f>
        <v/>
      </c>
      <c r="M5092" s="47" t="str">
        <f>IFERROR(VLOOKUP(G5092,WholesaleExtract!B:M,12,FALSE),"")</f>
        <v/>
      </c>
      <c r="R5092" s="19"/>
      <c r="S5092" s="19"/>
    </row>
    <row r="5093" spans="1:19" x14ac:dyDescent="0.35">
      <c r="A5093" s="26" t="s">
        <v>543</v>
      </c>
      <c r="B5093" s="26" t="s">
        <v>543</v>
      </c>
      <c r="C5093" s="26"/>
      <c r="D5093" s="26" t="s">
        <v>543</v>
      </c>
      <c r="E5093" s="26" t="str">
        <f>IFERROR(VLOOKUP(G5093,WholesaleExtract!B:J,9,FALSE),"")</f>
        <v/>
      </c>
      <c r="F5093" s="26" t="str">
        <f>IFERROR(VLOOKUP(G5093,WholesaleExtract!B:J,6,FALSE),"")</f>
        <v/>
      </c>
      <c r="H5093" s="47" t="str">
        <f>IFERROR(VLOOKUP(G5093,WholesaleExtract!B:L,11,FALSE),"")</f>
        <v/>
      </c>
      <c r="I5093" s="26" t="str">
        <f>IFERROR(VLOOKUP(G5093,WholesaleExtract!B:O,8,FALSE),"")</f>
        <v/>
      </c>
      <c r="J5093" s="26" t="str">
        <f>IFERROR(VLOOKUP(G5093,WholesaleExtract!B:O,14,FALSE),"")</f>
        <v/>
      </c>
      <c r="K5093" s="26" t="str">
        <f>IFERROR(VLOOKUP(G5093,WholesaleExtract!B:K,10,FALSE),"")</f>
        <v/>
      </c>
      <c r="L5093" s="47" t="str">
        <f>IFERROR(VLOOKUP(G5093,WholesaleExtract!B:L,11,FALSE),"")</f>
        <v/>
      </c>
      <c r="M5093" s="47" t="str">
        <f>IFERROR(VLOOKUP(G5093,WholesaleExtract!B:M,12,FALSE),"")</f>
        <v/>
      </c>
      <c r="R5093" s="19"/>
      <c r="S5093" s="19"/>
    </row>
    <row r="5094" spans="1:19" x14ac:dyDescent="0.35">
      <c r="A5094" s="26" t="s">
        <v>543</v>
      </c>
      <c r="B5094" s="26" t="s">
        <v>543</v>
      </c>
      <c r="C5094" s="26"/>
      <c r="D5094" s="26" t="s">
        <v>543</v>
      </c>
      <c r="E5094" s="26" t="str">
        <f>IFERROR(VLOOKUP(G5094,WholesaleExtract!B:J,9,FALSE),"")</f>
        <v/>
      </c>
      <c r="F5094" s="26" t="str">
        <f>IFERROR(VLOOKUP(G5094,WholesaleExtract!B:J,6,FALSE),"")</f>
        <v/>
      </c>
      <c r="H5094" s="47" t="str">
        <f>IFERROR(VLOOKUP(G5094,WholesaleExtract!B:L,11,FALSE),"")</f>
        <v/>
      </c>
      <c r="I5094" s="26" t="str">
        <f>IFERROR(VLOOKUP(G5094,WholesaleExtract!B:O,8,FALSE),"")</f>
        <v/>
      </c>
      <c r="J5094" s="26" t="str">
        <f>IFERROR(VLOOKUP(G5094,WholesaleExtract!B:O,14,FALSE),"")</f>
        <v/>
      </c>
      <c r="K5094" s="26" t="str">
        <f>IFERROR(VLOOKUP(G5094,WholesaleExtract!B:K,10,FALSE),"")</f>
        <v/>
      </c>
      <c r="L5094" s="47" t="str">
        <f>IFERROR(VLOOKUP(G5094,WholesaleExtract!B:L,11,FALSE),"")</f>
        <v/>
      </c>
      <c r="M5094" s="47" t="str">
        <f>IFERROR(VLOOKUP(G5094,WholesaleExtract!B:M,12,FALSE),"")</f>
        <v/>
      </c>
      <c r="R5094" s="19"/>
      <c r="S5094" s="19"/>
    </row>
    <row r="5095" spans="1:19" x14ac:dyDescent="0.35">
      <c r="A5095" s="26" t="s">
        <v>543</v>
      </c>
      <c r="B5095" s="26" t="s">
        <v>543</v>
      </c>
      <c r="C5095" s="26"/>
      <c r="D5095" s="26" t="s">
        <v>543</v>
      </c>
      <c r="E5095" s="26" t="str">
        <f>IFERROR(VLOOKUP(G5095,WholesaleExtract!B:J,9,FALSE),"")</f>
        <v/>
      </c>
      <c r="F5095" s="26" t="str">
        <f>IFERROR(VLOOKUP(G5095,WholesaleExtract!B:J,6,FALSE),"")</f>
        <v/>
      </c>
      <c r="H5095" s="47" t="str">
        <f>IFERROR(VLOOKUP(G5095,WholesaleExtract!B:L,11,FALSE),"")</f>
        <v/>
      </c>
      <c r="I5095" s="26" t="str">
        <f>IFERROR(VLOOKUP(G5095,WholesaleExtract!B:O,8,FALSE),"")</f>
        <v/>
      </c>
      <c r="J5095" s="26" t="str">
        <f>IFERROR(VLOOKUP(G5095,WholesaleExtract!B:O,14,FALSE),"")</f>
        <v/>
      </c>
      <c r="K5095" s="26" t="str">
        <f>IFERROR(VLOOKUP(G5095,WholesaleExtract!B:K,10,FALSE),"")</f>
        <v/>
      </c>
      <c r="L5095" s="47" t="str">
        <f>IFERROR(VLOOKUP(G5095,WholesaleExtract!B:L,11,FALSE),"")</f>
        <v/>
      </c>
      <c r="M5095" s="47" t="str">
        <f>IFERROR(VLOOKUP(G5095,WholesaleExtract!B:M,12,FALSE),"")</f>
        <v/>
      </c>
      <c r="R5095" s="19"/>
      <c r="S5095" s="19"/>
    </row>
    <row r="5096" spans="1:19" x14ac:dyDescent="0.35">
      <c r="A5096" s="26" t="s">
        <v>543</v>
      </c>
      <c r="B5096" s="26" t="s">
        <v>543</v>
      </c>
      <c r="C5096" s="26"/>
      <c r="D5096" s="26" t="s">
        <v>543</v>
      </c>
      <c r="E5096" s="26" t="str">
        <f>IFERROR(VLOOKUP(G5096,WholesaleExtract!B:J,9,FALSE),"")</f>
        <v/>
      </c>
      <c r="F5096" s="26" t="str">
        <f>IFERROR(VLOOKUP(G5096,WholesaleExtract!B:J,6,FALSE),"")</f>
        <v/>
      </c>
      <c r="H5096" s="47" t="str">
        <f>IFERROR(VLOOKUP(G5096,WholesaleExtract!B:L,11,FALSE),"")</f>
        <v/>
      </c>
      <c r="I5096" s="26" t="str">
        <f>IFERROR(VLOOKUP(G5096,WholesaleExtract!B:O,8,FALSE),"")</f>
        <v/>
      </c>
      <c r="J5096" s="26" t="str">
        <f>IFERROR(VLOOKUP(G5096,WholesaleExtract!B:O,14,FALSE),"")</f>
        <v/>
      </c>
      <c r="K5096" s="26" t="str">
        <f>IFERROR(VLOOKUP(G5096,WholesaleExtract!B:K,10,FALSE),"")</f>
        <v/>
      </c>
      <c r="L5096" s="47" t="str">
        <f>IFERROR(VLOOKUP(G5096,WholesaleExtract!B:L,11,FALSE),"")</f>
        <v/>
      </c>
      <c r="M5096" s="47" t="str">
        <f>IFERROR(VLOOKUP(G5096,WholesaleExtract!B:M,12,FALSE),"")</f>
        <v/>
      </c>
      <c r="R5096" s="19"/>
      <c r="S5096" s="19"/>
    </row>
    <row r="5097" spans="1:19" x14ac:dyDescent="0.35">
      <c r="A5097" s="26" t="s">
        <v>543</v>
      </c>
      <c r="B5097" s="26" t="s">
        <v>543</v>
      </c>
      <c r="C5097" s="26"/>
      <c r="D5097" s="26" t="s">
        <v>543</v>
      </c>
      <c r="E5097" s="26" t="str">
        <f>IFERROR(VLOOKUP(G5097,WholesaleExtract!B:J,9,FALSE),"")</f>
        <v/>
      </c>
      <c r="F5097" s="26" t="str">
        <f>IFERROR(VLOOKUP(G5097,WholesaleExtract!B:J,6,FALSE),"")</f>
        <v/>
      </c>
      <c r="H5097" s="47" t="str">
        <f>IFERROR(VLOOKUP(G5097,WholesaleExtract!B:L,11,FALSE),"")</f>
        <v/>
      </c>
      <c r="I5097" s="26" t="str">
        <f>IFERROR(VLOOKUP(G5097,WholesaleExtract!B:O,8,FALSE),"")</f>
        <v/>
      </c>
      <c r="J5097" s="26" t="str">
        <f>IFERROR(VLOOKUP(G5097,WholesaleExtract!B:O,14,FALSE),"")</f>
        <v/>
      </c>
      <c r="K5097" s="26" t="str">
        <f>IFERROR(VLOOKUP(G5097,WholesaleExtract!B:K,10,FALSE),"")</f>
        <v/>
      </c>
      <c r="L5097" s="47" t="str">
        <f>IFERROR(VLOOKUP(G5097,WholesaleExtract!B:L,11,FALSE),"")</f>
        <v/>
      </c>
      <c r="M5097" s="47" t="str">
        <f>IFERROR(VLOOKUP(G5097,WholesaleExtract!B:M,12,FALSE),"")</f>
        <v/>
      </c>
      <c r="R5097" s="19"/>
      <c r="S5097" s="19"/>
    </row>
    <row r="5098" spans="1:19" x14ac:dyDescent="0.35">
      <c r="A5098" s="26" t="s">
        <v>543</v>
      </c>
      <c r="B5098" s="26" t="s">
        <v>543</v>
      </c>
      <c r="C5098" s="26"/>
      <c r="D5098" s="26" t="s">
        <v>543</v>
      </c>
      <c r="E5098" s="26" t="str">
        <f>IFERROR(VLOOKUP(G5098,WholesaleExtract!B:J,9,FALSE),"")</f>
        <v/>
      </c>
      <c r="F5098" s="26" t="str">
        <f>IFERROR(VLOOKUP(G5098,WholesaleExtract!B:J,6,FALSE),"")</f>
        <v/>
      </c>
      <c r="H5098" s="47" t="str">
        <f>IFERROR(VLOOKUP(G5098,WholesaleExtract!B:L,11,FALSE),"")</f>
        <v/>
      </c>
      <c r="I5098" s="26" t="str">
        <f>IFERROR(VLOOKUP(G5098,WholesaleExtract!B:O,8,FALSE),"")</f>
        <v/>
      </c>
      <c r="J5098" s="26" t="str">
        <f>IFERROR(VLOOKUP(G5098,WholesaleExtract!B:O,14,FALSE),"")</f>
        <v/>
      </c>
      <c r="K5098" s="26" t="str">
        <f>IFERROR(VLOOKUP(G5098,WholesaleExtract!B:K,10,FALSE),"")</f>
        <v/>
      </c>
      <c r="L5098" s="47" t="str">
        <f>IFERROR(VLOOKUP(G5098,WholesaleExtract!B:L,11,FALSE),"")</f>
        <v/>
      </c>
      <c r="M5098" s="47" t="str">
        <f>IFERROR(VLOOKUP(G5098,WholesaleExtract!B:M,12,FALSE),"")</f>
        <v/>
      </c>
      <c r="R5098" s="19"/>
      <c r="S5098" s="19"/>
    </row>
    <row r="5099" spans="1:19" x14ac:dyDescent="0.35">
      <c r="A5099" s="26" t="s">
        <v>543</v>
      </c>
      <c r="B5099" s="26" t="s">
        <v>543</v>
      </c>
      <c r="C5099" s="26"/>
      <c r="D5099" s="26" t="s">
        <v>543</v>
      </c>
      <c r="E5099" s="26" t="str">
        <f>IFERROR(VLOOKUP(G5099,WholesaleExtract!B:J,9,FALSE),"")</f>
        <v/>
      </c>
      <c r="F5099" s="26" t="str">
        <f>IFERROR(VLOOKUP(G5099,WholesaleExtract!B:J,6,FALSE),"")</f>
        <v/>
      </c>
      <c r="H5099" s="47" t="str">
        <f>IFERROR(VLOOKUP(G5099,WholesaleExtract!B:L,11,FALSE),"")</f>
        <v/>
      </c>
      <c r="I5099" s="26" t="str">
        <f>IFERROR(VLOOKUP(G5099,WholesaleExtract!B:O,8,FALSE),"")</f>
        <v/>
      </c>
      <c r="J5099" s="26" t="str">
        <f>IFERROR(VLOOKUP(G5099,WholesaleExtract!B:O,14,FALSE),"")</f>
        <v/>
      </c>
      <c r="K5099" s="26" t="str">
        <f>IFERROR(VLOOKUP(G5099,WholesaleExtract!B:K,10,FALSE),"")</f>
        <v/>
      </c>
      <c r="L5099" s="47" t="str">
        <f>IFERROR(VLOOKUP(G5099,WholesaleExtract!B:L,11,FALSE),"")</f>
        <v/>
      </c>
      <c r="M5099" s="47" t="str">
        <f>IFERROR(VLOOKUP(G5099,WholesaleExtract!B:M,12,FALSE),"")</f>
        <v/>
      </c>
      <c r="R5099" s="19"/>
      <c r="S5099" s="19"/>
    </row>
    <row r="5100" spans="1:19" x14ac:dyDescent="0.35">
      <c r="A5100" s="26" t="s">
        <v>543</v>
      </c>
      <c r="B5100" s="26" t="s">
        <v>543</v>
      </c>
      <c r="C5100" s="26"/>
      <c r="D5100" s="26" t="s">
        <v>543</v>
      </c>
      <c r="E5100" s="26" t="str">
        <f>IFERROR(VLOOKUP(G5100,WholesaleExtract!B:J,9,FALSE),"")</f>
        <v/>
      </c>
      <c r="F5100" s="26" t="str">
        <f>IFERROR(VLOOKUP(G5100,WholesaleExtract!B:J,6,FALSE),"")</f>
        <v/>
      </c>
      <c r="H5100" s="47" t="str">
        <f>IFERROR(VLOOKUP(G5100,WholesaleExtract!B:L,11,FALSE),"")</f>
        <v/>
      </c>
      <c r="I5100" s="26" t="str">
        <f>IFERROR(VLOOKUP(G5100,WholesaleExtract!B:O,8,FALSE),"")</f>
        <v/>
      </c>
      <c r="J5100" s="26" t="str">
        <f>IFERROR(VLOOKUP(G5100,WholesaleExtract!B:O,14,FALSE),"")</f>
        <v/>
      </c>
      <c r="K5100" s="26" t="str">
        <f>IFERROR(VLOOKUP(G5100,WholesaleExtract!B:K,10,FALSE),"")</f>
        <v/>
      </c>
      <c r="L5100" s="47" t="str">
        <f>IFERROR(VLOOKUP(G5100,WholesaleExtract!B:L,11,FALSE),"")</f>
        <v/>
      </c>
      <c r="M5100" s="47" t="str">
        <f>IFERROR(VLOOKUP(G5100,WholesaleExtract!B:M,12,FALSE),"")</f>
        <v/>
      </c>
      <c r="R5100" s="19"/>
      <c r="S5100" s="19"/>
    </row>
    <row r="5101" spans="1:19" x14ac:dyDescent="0.35">
      <c r="A5101" s="26" t="s">
        <v>543</v>
      </c>
      <c r="B5101" s="26" t="s">
        <v>543</v>
      </c>
      <c r="C5101" s="26"/>
      <c r="D5101" s="26" t="s">
        <v>543</v>
      </c>
      <c r="E5101" s="26" t="str">
        <f>IFERROR(VLOOKUP(G5101,WholesaleExtract!B:J,9,FALSE),"")</f>
        <v/>
      </c>
      <c r="F5101" s="26" t="str">
        <f>IFERROR(VLOOKUP(G5101,WholesaleExtract!B:J,6,FALSE),"")</f>
        <v/>
      </c>
      <c r="H5101" s="47" t="str">
        <f>IFERROR(VLOOKUP(G5101,WholesaleExtract!B:L,11,FALSE),"")</f>
        <v/>
      </c>
      <c r="I5101" s="26" t="str">
        <f>IFERROR(VLOOKUP(G5101,WholesaleExtract!B:O,8,FALSE),"")</f>
        <v/>
      </c>
      <c r="J5101" s="26" t="str">
        <f>IFERROR(VLOOKUP(G5101,WholesaleExtract!B:O,14,FALSE),"")</f>
        <v/>
      </c>
      <c r="K5101" s="26" t="str">
        <f>IFERROR(VLOOKUP(G5101,WholesaleExtract!B:K,10,FALSE),"")</f>
        <v/>
      </c>
      <c r="L5101" s="47" t="str">
        <f>IFERROR(VLOOKUP(G5101,WholesaleExtract!B:L,11,FALSE),"")</f>
        <v/>
      </c>
      <c r="M5101" s="47" t="str">
        <f>IFERROR(VLOOKUP(G5101,WholesaleExtract!B:M,12,FALSE),"")</f>
        <v/>
      </c>
      <c r="R5101" s="19"/>
      <c r="S5101" s="19"/>
    </row>
    <row r="5102" spans="1:19" x14ac:dyDescent="0.35">
      <c r="A5102" s="26" t="s">
        <v>543</v>
      </c>
      <c r="B5102" s="26" t="s">
        <v>543</v>
      </c>
      <c r="C5102" s="26"/>
      <c r="D5102" s="26" t="s">
        <v>543</v>
      </c>
      <c r="E5102" s="26" t="str">
        <f>IFERROR(VLOOKUP(G5102,WholesaleExtract!B:J,9,FALSE),"")</f>
        <v/>
      </c>
      <c r="F5102" s="26" t="str">
        <f>IFERROR(VLOOKUP(G5102,WholesaleExtract!B:J,6,FALSE),"")</f>
        <v/>
      </c>
      <c r="H5102" s="47" t="str">
        <f>IFERROR(VLOOKUP(G5102,WholesaleExtract!B:L,11,FALSE),"")</f>
        <v/>
      </c>
      <c r="I5102" s="26" t="str">
        <f>IFERROR(VLOOKUP(G5102,WholesaleExtract!B:O,8,FALSE),"")</f>
        <v/>
      </c>
      <c r="J5102" s="26" t="str">
        <f>IFERROR(VLOOKUP(G5102,WholesaleExtract!B:O,14,FALSE),"")</f>
        <v/>
      </c>
      <c r="K5102" s="26" t="str">
        <f>IFERROR(VLOOKUP(G5102,WholesaleExtract!B:K,10,FALSE),"")</f>
        <v/>
      </c>
      <c r="L5102" s="47" t="str">
        <f>IFERROR(VLOOKUP(G5102,WholesaleExtract!B:L,11,FALSE),"")</f>
        <v/>
      </c>
      <c r="M5102" s="47" t="str">
        <f>IFERROR(VLOOKUP(G5102,WholesaleExtract!B:M,12,FALSE),"")</f>
        <v/>
      </c>
      <c r="R5102" s="19"/>
      <c r="S5102" s="19"/>
    </row>
    <row r="5103" spans="1:19" x14ac:dyDescent="0.35">
      <c r="A5103" s="26" t="s">
        <v>543</v>
      </c>
      <c r="B5103" s="26" t="s">
        <v>543</v>
      </c>
      <c r="C5103" s="26"/>
      <c r="D5103" s="26" t="s">
        <v>543</v>
      </c>
      <c r="E5103" s="26" t="str">
        <f>IFERROR(VLOOKUP(G5103,WholesaleExtract!B:J,9,FALSE),"")</f>
        <v/>
      </c>
      <c r="F5103" s="26" t="str">
        <f>IFERROR(VLOOKUP(G5103,WholesaleExtract!B:J,6,FALSE),"")</f>
        <v/>
      </c>
      <c r="H5103" s="47" t="str">
        <f>IFERROR(VLOOKUP(G5103,WholesaleExtract!B:L,11,FALSE),"")</f>
        <v/>
      </c>
      <c r="I5103" s="26" t="str">
        <f>IFERROR(VLOOKUP(G5103,WholesaleExtract!B:O,8,FALSE),"")</f>
        <v/>
      </c>
      <c r="J5103" s="26" t="str">
        <f>IFERROR(VLOOKUP(G5103,WholesaleExtract!B:O,14,FALSE),"")</f>
        <v/>
      </c>
      <c r="K5103" s="26" t="str">
        <f>IFERROR(VLOOKUP(G5103,WholesaleExtract!B:K,10,FALSE),"")</f>
        <v/>
      </c>
      <c r="L5103" s="47" t="str">
        <f>IFERROR(VLOOKUP(G5103,WholesaleExtract!B:L,11,FALSE),"")</f>
        <v/>
      </c>
      <c r="M5103" s="47" t="str">
        <f>IFERROR(VLOOKUP(G5103,WholesaleExtract!B:M,12,FALSE),"")</f>
        <v/>
      </c>
      <c r="R5103" s="19"/>
      <c r="S5103" s="19"/>
    </row>
    <row r="5104" spans="1:19" x14ac:dyDescent="0.35">
      <c r="A5104" s="26" t="s">
        <v>543</v>
      </c>
      <c r="B5104" s="26" t="s">
        <v>543</v>
      </c>
      <c r="C5104" s="26"/>
      <c r="D5104" s="26" t="s">
        <v>543</v>
      </c>
      <c r="E5104" s="26" t="str">
        <f>IFERROR(VLOOKUP(G5104,WholesaleExtract!B:J,9,FALSE),"")</f>
        <v/>
      </c>
      <c r="F5104" s="26" t="str">
        <f>IFERROR(VLOOKUP(G5104,WholesaleExtract!B:J,6,FALSE),"")</f>
        <v/>
      </c>
      <c r="H5104" s="47" t="str">
        <f>IFERROR(VLOOKUP(G5104,WholesaleExtract!B:L,11,FALSE),"")</f>
        <v/>
      </c>
      <c r="I5104" s="26" t="str">
        <f>IFERROR(VLOOKUP(G5104,WholesaleExtract!B:O,8,FALSE),"")</f>
        <v/>
      </c>
      <c r="J5104" s="26" t="str">
        <f>IFERROR(VLOOKUP(G5104,WholesaleExtract!B:O,14,FALSE),"")</f>
        <v/>
      </c>
      <c r="K5104" s="26" t="str">
        <f>IFERROR(VLOOKUP(G5104,WholesaleExtract!B:K,10,FALSE),"")</f>
        <v/>
      </c>
      <c r="L5104" s="47" t="str">
        <f>IFERROR(VLOOKUP(G5104,WholesaleExtract!B:L,11,FALSE),"")</f>
        <v/>
      </c>
      <c r="M5104" s="47" t="str">
        <f>IFERROR(VLOOKUP(G5104,WholesaleExtract!B:M,12,FALSE),"")</f>
        <v/>
      </c>
      <c r="R5104" s="19"/>
      <c r="S5104" s="19"/>
    </row>
    <row r="5105" spans="1:19" x14ac:dyDescent="0.35">
      <c r="A5105" s="26" t="s">
        <v>543</v>
      </c>
      <c r="B5105" s="26" t="s">
        <v>543</v>
      </c>
      <c r="C5105" s="26"/>
      <c r="D5105" s="26" t="s">
        <v>543</v>
      </c>
      <c r="E5105" s="26" t="str">
        <f>IFERROR(VLOOKUP(G5105,WholesaleExtract!B:J,9,FALSE),"")</f>
        <v/>
      </c>
      <c r="F5105" s="26" t="str">
        <f>IFERROR(VLOOKUP(G5105,WholesaleExtract!B:J,6,FALSE),"")</f>
        <v/>
      </c>
      <c r="H5105" s="47" t="str">
        <f>IFERROR(VLOOKUP(G5105,WholesaleExtract!B:L,11,FALSE),"")</f>
        <v/>
      </c>
      <c r="I5105" s="26" t="str">
        <f>IFERROR(VLOOKUP(G5105,WholesaleExtract!B:O,8,FALSE),"")</f>
        <v/>
      </c>
      <c r="J5105" s="26" t="str">
        <f>IFERROR(VLOOKUP(G5105,WholesaleExtract!B:O,14,FALSE),"")</f>
        <v/>
      </c>
      <c r="K5105" s="26" t="str">
        <f>IFERROR(VLOOKUP(G5105,WholesaleExtract!B:K,10,FALSE),"")</f>
        <v/>
      </c>
      <c r="L5105" s="47" t="str">
        <f>IFERROR(VLOOKUP(G5105,WholesaleExtract!B:L,11,FALSE),"")</f>
        <v/>
      </c>
      <c r="M5105" s="47" t="str">
        <f>IFERROR(VLOOKUP(G5105,WholesaleExtract!B:M,12,FALSE),"")</f>
        <v/>
      </c>
      <c r="R5105" s="19"/>
      <c r="S5105" s="19"/>
    </row>
    <row r="5106" spans="1:19" x14ac:dyDescent="0.35">
      <c r="A5106" s="26" t="s">
        <v>543</v>
      </c>
      <c r="B5106" s="26" t="s">
        <v>543</v>
      </c>
      <c r="C5106" s="26"/>
      <c r="D5106" s="26" t="s">
        <v>543</v>
      </c>
      <c r="E5106" s="26" t="str">
        <f>IFERROR(VLOOKUP(G5106,WholesaleExtract!B:J,9,FALSE),"")</f>
        <v/>
      </c>
      <c r="F5106" s="26" t="str">
        <f>IFERROR(VLOOKUP(G5106,WholesaleExtract!B:J,6,FALSE),"")</f>
        <v/>
      </c>
      <c r="H5106" s="47" t="str">
        <f>IFERROR(VLOOKUP(G5106,WholesaleExtract!B:L,11,FALSE),"")</f>
        <v/>
      </c>
      <c r="I5106" s="26" t="str">
        <f>IFERROR(VLOOKUP(G5106,WholesaleExtract!B:O,8,FALSE),"")</f>
        <v/>
      </c>
      <c r="J5106" s="26" t="str">
        <f>IFERROR(VLOOKUP(G5106,WholesaleExtract!B:O,14,FALSE),"")</f>
        <v/>
      </c>
      <c r="K5106" s="26" t="str">
        <f>IFERROR(VLOOKUP(G5106,WholesaleExtract!B:K,10,FALSE),"")</f>
        <v/>
      </c>
      <c r="L5106" s="47" t="str">
        <f>IFERROR(VLOOKUP(G5106,WholesaleExtract!B:L,11,FALSE),"")</f>
        <v/>
      </c>
      <c r="M5106" s="47" t="str">
        <f>IFERROR(VLOOKUP(G5106,WholesaleExtract!B:M,12,FALSE),"")</f>
        <v/>
      </c>
      <c r="R5106" s="19"/>
      <c r="S5106" s="19"/>
    </row>
    <row r="5107" spans="1:19" x14ac:dyDescent="0.35">
      <c r="A5107" s="26" t="s">
        <v>543</v>
      </c>
      <c r="B5107" s="26" t="s">
        <v>543</v>
      </c>
      <c r="C5107" s="26"/>
      <c r="D5107" s="26" t="s">
        <v>543</v>
      </c>
      <c r="E5107" s="26" t="str">
        <f>IFERROR(VLOOKUP(G5107,WholesaleExtract!B:J,9,FALSE),"")</f>
        <v/>
      </c>
      <c r="F5107" s="26" t="str">
        <f>IFERROR(VLOOKUP(G5107,WholesaleExtract!B:J,6,FALSE),"")</f>
        <v/>
      </c>
      <c r="H5107" s="47" t="str">
        <f>IFERROR(VLOOKUP(G5107,WholesaleExtract!B:L,11,FALSE),"")</f>
        <v/>
      </c>
      <c r="I5107" s="26" t="str">
        <f>IFERROR(VLOOKUP(G5107,WholesaleExtract!B:O,8,FALSE),"")</f>
        <v/>
      </c>
      <c r="J5107" s="26" t="str">
        <f>IFERROR(VLOOKUP(G5107,WholesaleExtract!B:O,14,FALSE),"")</f>
        <v/>
      </c>
      <c r="K5107" s="26" t="str">
        <f>IFERROR(VLOOKUP(G5107,WholesaleExtract!B:K,10,FALSE),"")</f>
        <v/>
      </c>
      <c r="L5107" s="47" t="str">
        <f>IFERROR(VLOOKUP(G5107,WholesaleExtract!B:L,11,FALSE),"")</f>
        <v/>
      </c>
      <c r="M5107" s="47" t="str">
        <f>IFERROR(VLOOKUP(G5107,WholesaleExtract!B:M,12,FALSE),"")</f>
        <v/>
      </c>
      <c r="R5107" s="19"/>
      <c r="S5107" s="19"/>
    </row>
    <row r="5108" spans="1:19" x14ac:dyDescent="0.35">
      <c r="A5108" s="26" t="s">
        <v>543</v>
      </c>
      <c r="B5108" s="26" t="s">
        <v>543</v>
      </c>
      <c r="C5108" s="26"/>
      <c r="D5108" s="26" t="s">
        <v>543</v>
      </c>
      <c r="E5108" s="26" t="str">
        <f>IFERROR(VLOOKUP(G5108,WholesaleExtract!B:J,9,FALSE),"")</f>
        <v/>
      </c>
      <c r="F5108" s="26" t="str">
        <f>IFERROR(VLOOKUP(G5108,WholesaleExtract!B:J,6,FALSE),"")</f>
        <v/>
      </c>
      <c r="H5108" s="47" t="str">
        <f>IFERROR(VLOOKUP(G5108,WholesaleExtract!B:L,11,FALSE),"")</f>
        <v/>
      </c>
      <c r="I5108" s="26" t="str">
        <f>IFERROR(VLOOKUP(G5108,WholesaleExtract!B:O,8,FALSE),"")</f>
        <v/>
      </c>
      <c r="J5108" s="26" t="str">
        <f>IFERROR(VLOOKUP(G5108,WholesaleExtract!B:O,14,FALSE),"")</f>
        <v/>
      </c>
      <c r="K5108" s="26" t="str">
        <f>IFERROR(VLOOKUP(G5108,WholesaleExtract!B:K,10,FALSE),"")</f>
        <v/>
      </c>
      <c r="L5108" s="47" t="str">
        <f>IFERROR(VLOOKUP(G5108,WholesaleExtract!B:L,11,FALSE),"")</f>
        <v/>
      </c>
      <c r="M5108" s="47" t="str">
        <f>IFERROR(VLOOKUP(G5108,WholesaleExtract!B:M,12,FALSE),"")</f>
        <v/>
      </c>
      <c r="R5108" s="19"/>
      <c r="S5108" s="19"/>
    </row>
    <row r="5109" spans="1:19" x14ac:dyDescent="0.35">
      <c r="A5109" s="26" t="s">
        <v>543</v>
      </c>
      <c r="B5109" s="26" t="s">
        <v>543</v>
      </c>
      <c r="C5109" s="26"/>
      <c r="D5109" s="26" t="s">
        <v>543</v>
      </c>
      <c r="E5109" s="26" t="str">
        <f>IFERROR(VLOOKUP(G5109,WholesaleExtract!B:J,9,FALSE),"")</f>
        <v/>
      </c>
      <c r="F5109" s="26" t="str">
        <f>IFERROR(VLOOKUP(G5109,WholesaleExtract!B:J,6,FALSE),"")</f>
        <v/>
      </c>
      <c r="H5109" s="47" t="str">
        <f>IFERROR(VLOOKUP(G5109,WholesaleExtract!B:L,11,FALSE),"")</f>
        <v/>
      </c>
      <c r="I5109" s="26" t="str">
        <f>IFERROR(VLOOKUP(G5109,WholesaleExtract!B:O,8,FALSE),"")</f>
        <v/>
      </c>
      <c r="J5109" s="26" t="str">
        <f>IFERROR(VLOOKUP(G5109,WholesaleExtract!B:O,14,FALSE),"")</f>
        <v/>
      </c>
      <c r="K5109" s="26" t="str">
        <f>IFERROR(VLOOKUP(G5109,WholesaleExtract!B:K,10,FALSE),"")</f>
        <v/>
      </c>
      <c r="L5109" s="47" t="str">
        <f>IFERROR(VLOOKUP(G5109,WholesaleExtract!B:L,11,FALSE),"")</f>
        <v/>
      </c>
      <c r="M5109" s="47" t="str">
        <f>IFERROR(VLOOKUP(G5109,WholesaleExtract!B:M,12,FALSE),"")</f>
        <v/>
      </c>
      <c r="R5109" s="19"/>
      <c r="S5109" s="19"/>
    </row>
    <row r="5110" spans="1:19" x14ac:dyDescent="0.35">
      <c r="A5110" s="26" t="s">
        <v>543</v>
      </c>
      <c r="B5110" s="26" t="s">
        <v>543</v>
      </c>
      <c r="C5110" s="26"/>
      <c r="D5110" s="26" t="s">
        <v>543</v>
      </c>
      <c r="E5110" s="26" t="str">
        <f>IFERROR(VLOOKUP(G5110,WholesaleExtract!B:J,9,FALSE),"")</f>
        <v/>
      </c>
      <c r="F5110" s="26" t="str">
        <f>IFERROR(VLOOKUP(G5110,WholesaleExtract!B:J,6,FALSE),"")</f>
        <v/>
      </c>
      <c r="H5110" s="47" t="str">
        <f>IFERROR(VLOOKUP(G5110,WholesaleExtract!B:L,11,FALSE),"")</f>
        <v/>
      </c>
      <c r="I5110" s="26" t="str">
        <f>IFERROR(VLOOKUP(G5110,WholesaleExtract!B:O,8,FALSE),"")</f>
        <v/>
      </c>
      <c r="J5110" s="26" t="str">
        <f>IFERROR(VLOOKUP(G5110,WholesaleExtract!B:O,14,FALSE),"")</f>
        <v/>
      </c>
      <c r="K5110" s="26" t="str">
        <f>IFERROR(VLOOKUP(G5110,WholesaleExtract!B:K,10,FALSE),"")</f>
        <v/>
      </c>
      <c r="L5110" s="47" t="str">
        <f>IFERROR(VLOOKUP(G5110,WholesaleExtract!B:L,11,FALSE),"")</f>
        <v/>
      </c>
      <c r="M5110" s="47" t="str">
        <f>IFERROR(VLOOKUP(G5110,WholesaleExtract!B:M,12,FALSE),"")</f>
        <v/>
      </c>
      <c r="R5110" s="19"/>
      <c r="S5110" s="19"/>
    </row>
    <row r="5111" spans="1:19" x14ac:dyDescent="0.35">
      <c r="A5111" s="26" t="s">
        <v>543</v>
      </c>
      <c r="B5111" s="26" t="s">
        <v>543</v>
      </c>
      <c r="C5111" s="26"/>
      <c r="D5111" s="26" t="s">
        <v>543</v>
      </c>
      <c r="E5111" s="26" t="str">
        <f>IFERROR(VLOOKUP(G5111,WholesaleExtract!B:J,9,FALSE),"")</f>
        <v/>
      </c>
      <c r="F5111" s="26" t="str">
        <f>IFERROR(VLOOKUP(G5111,WholesaleExtract!B:J,6,FALSE),"")</f>
        <v/>
      </c>
      <c r="H5111" s="47" t="str">
        <f>IFERROR(VLOOKUP(G5111,WholesaleExtract!B:L,11,FALSE),"")</f>
        <v/>
      </c>
      <c r="I5111" s="26" t="str">
        <f>IFERROR(VLOOKUP(G5111,WholesaleExtract!B:O,8,FALSE),"")</f>
        <v/>
      </c>
      <c r="J5111" s="26" t="str">
        <f>IFERROR(VLOOKUP(G5111,WholesaleExtract!B:O,14,FALSE),"")</f>
        <v/>
      </c>
      <c r="K5111" s="26" t="str">
        <f>IFERROR(VLOOKUP(G5111,WholesaleExtract!B:K,10,FALSE),"")</f>
        <v/>
      </c>
      <c r="L5111" s="47" t="str">
        <f>IFERROR(VLOOKUP(G5111,WholesaleExtract!B:L,11,FALSE),"")</f>
        <v/>
      </c>
      <c r="M5111" s="47" t="str">
        <f>IFERROR(VLOOKUP(G5111,WholesaleExtract!B:M,12,FALSE),"")</f>
        <v/>
      </c>
      <c r="R5111" s="19"/>
      <c r="S5111" s="19"/>
    </row>
    <row r="5112" spans="1:19" x14ac:dyDescent="0.35">
      <c r="A5112" s="26" t="s">
        <v>543</v>
      </c>
      <c r="B5112" s="26" t="s">
        <v>543</v>
      </c>
      <c r="C5112" s="26"/>
      <c r="D5112" s="26" t="s">
        <v>543</v>
      </c>
      <c r="E5112" s="26" t="str">
        <f>IFERROR(VLOOKUP(G5112,WholesaleExtract!B:J,9,FALSE),"")</f>
        <v/>
      </c>
      <c r="F5112" s="26" t="str">
        <f>IFERROR(VLOOKUP(G5112,WholesaleExtract!B:J,6,FALSE),"")</f>
        <v/>
      </c>
      <c r="H5112" s="47" t="str">
        <f>IFERROR(VLOOKUP(G5112,WholesaleExtract!B:L,11,FALSE),"")</f>
        <v/>
      </c>
      <c r="I5112" s="26" t="str">
        <f>IFERROR(VLOOKUP(G5112,WholesaleExtract!B:O,8,FALSE),"")</f>
        <v/>
      </c>
      <c r="J5112" s="26" t="str">
        <f>IFERROR(VLOOKUP(G5112,WholesaleExtract!B:O,14,FALSE),"")</f>
        <v/>
      </c>
      <c r="K5112" s="26" t="str">
        <f>IFERROR(VLOOKUP(G5112,WholesaleExtract!B:K,10,FALSE),"")</f>
        <v/>
      </c>
      <c r="L5112" s="47" t="str">
        <f>IFERROR(VLOOKUP(G5112,WholesaleExtract!B:L,11,FALSE),"")</f>
        <v/>
      </c>
      <c r="M5112" s="47" t="str">
        <f>IFERROR(VLOOKUP(G5112,WholesaleExtract!B:M,12,FALSE),"")</f>
        <v/>
      </c>
      <c r="R5112" s="19"/>
      <c r="S5112" s="19"/>
    </row>
    <row r="5113" spans="1:19" x14ac:dyDescent="0.35">
      <c r="A5113" s="26" t="s">
        <v>543</v>
      </c>
      <c r="B5113" s="26" t="s">
        <v>543</v>
      </c>
      <c r="C5113" s="26"/>
      <c r="D5113" s="26" t="s">
        <v>543</v>
      </c>
      <c r="E5113" s="26" t="str">
        <f>IFERROR(VLOOKUP(G5113,WholesaleExtract!B:J,9,FALSE),"")</f>
        <v/>
      </c>
      <c r="F5113" s="26" t="str">
        <f>IFERROR(VLOOKUP(G5113,WholesaleExtract!B:J,6,FALSE),"")</f>
        <v/>
      </c>
      <c r="H5113" s="47" t="str">
        <f>IFERROR(VLOOKUP(G5113,WholesaleExtract!B:L,11,FALSE),"")</f>
        <v/>
      </c>
      <c r="I5113" s="26" t="str">
        <f>IFERROR(VLOOKUP(G5113,WholesaleExtract!B:O,8,FALSE),"")</f>
        <v/>
      </c>
      <c r="J5113" s="26" t="str">
        <f>IFERROR(VLOOKUP(G5113,WholesaleExtract!B:O,14,FALSE),"")</f>
        <v/>
      </c>
      <c r="K5113" s="26" t="str">
        <f>IFERROR(VLOOKUP(G5113,WholesaleExtract!B:K,10,FALSE),"")</f>
        <v/>
      </c>
      <c r="L5113" s="47" t="str">
        <f>IFERROR(VLOOKUP(G5113,WholesaleExtract!B:L,11,FALSE),"")</f>
        <v/>
      </c>
      <c r="M5113" s="47" t="str">
        <f>IFERROR(VLOOKUP(G5113,WholesaleExtract!B:M,12,FALSE),"")</f>
        <v/>
      </c>
      <c r="R5113" s="19"/>
      <c r="S5113" s="19"/>
    </row>
    <row r="5114" spans="1:19" x14ac:dyDescent="0.35">
      <c r="A5114" s="26" t="s">
        <v>543</v>
      </c>
      <c r="B5114" s="26" t="s">
        <v>543</v>
      </c>
      <c r="C5114" s="26"/>
      <c r="D5114" s="26" t="s">
        <v>543</v>
      </c>
      <c r="E5114" s="26" t="str">
        <f>IFERROR(VLOOKUP(G5114,WholesaleExtract!B:J,9,FALSE),"")</f>
        <v/>
      </c>
      <c r="F5114" s="26" t="str">
        <f>IFERROR(VLOOKUP(G5114,WholesaleExtract!B:J,6,FALSE),"")</f>
        <v/>
      </c>
      <c r="H5114" s="47" t="str">
        <f>IFERROR(VLOOKUP(G5114,WholesaleExtract!B:L,11,FALSE),"")</f>
        <v/>
      </c>
      <c r="I5114" s="26" t="str">
        <f>IFERROR(VLOOKUP(G5114,WholesaleExtract!B:O,8,FALSE),"")</f>
        <v/>
      </c>
      <c r="J5114" s="26" t="str">
        <f>IFERROR(VLOOKUP(G5114,WholesaleExtract!B:O,14,FALSE),"")</f>
        <v/>
      </c>
      <c r="K5114" s="26" t="str">
        <f>IFERROR(VLOOKUP(G5114,WholesaleExtract!B:K,10,FALSE),"")</f>
        <v/>
      </c>
      <c r="L5114" s="47" t="str">
        <f>IFERROR(VLOOKUP(G5114,WholesaleExtract!B:L,11,FALSE),"")</f>
        <v/>
      </c>
      <c r="M5114" s="47" t="str">
        <f>IFERROR(VLOOKUP(G5114,WholesaleExtract!B:M,12,FALSE),"")</f>
        <v/>
      </c>
      <c r="R5114" s="19"/>
      <c r="S5114" s="19"/>
    </row>
    <row r="5115" spans="1:19" x14ac:dyDescent="0.35">
      <c r="A5115" s="26" t="s">
        <v>543</v>
      </c>
      <c r="B5115" s="26" t="s">
        <v>543</v>
      </c>
      <c r="C5115" s="26"/>
      <c r="D5115" s="26" t="s">
        <v>543</v>
      </c>
      <c r="E5115" s="26" t="str">
        <f>IFERROR(VLOOKUP(G5115,WholesaleExtract!B:J,9,FALSE),"")</f>
        <v/>
      </c>
      <c r="F5115" s="26" t="str">
        <f>IFERROR(VLOOKUP(G5115,WholesaleExtract!B:J,6,FALSE),"")</f>
        <v/>
      </c>
      <c r="H5115" s="47" t="str">
        <f>IFERROR(VLOOKUP(G5115,WholesaleExtract!B:L,11,FALSE),"")</f>
        <v/>
      </c>
      <c r="I5115" s="26" t="str">
        <f>IFERROR(VLOOKUP(G5115,WholesaleExtract!B:O,8,FALSE),"")</f>
        <v/>
      </c>
      <c r="J5115" s="26" t="str">
        <f>IFERROR(VLOOKUP(G5115,WholesaleExtract!B:O,14,FALSE),"")</f>
        <v/>
      </c>
      <c r="K5115" s="26" t="str">
        <f>IFERROR(VLOOKUP(G5115,WholesaleExtract!B:K,10,FALSE),"")</f>
        <v/>
      </c>
      <c r="L5115" s="47" t="str">
        <f>IFERROR(VLOOKUP(G5115,WholesaleExtract!B:L,11,FALSE),"")</f>
        <v/>
      </c>
      <c r="M5115" s="47" t="str">
        <f>IFERROR(VLOOKUP(G5115,WholesaleExtract!B:M,12,FALSE),"")</f>
        <v/>
      </c>
      <c r="R5115" s="19"/>
      <c r="S5115" s="19"/>
    </row>
    <row r="5116" spans="1:19" x14ac:dyDescent="0.35">
      <c r="A5116" s="26" t="s">
        <v>543</v>
      </c>
      <c r="B5116" s="26" t="s">
        <v>543</v>
      </c>
      <c r="C5116" s="26"/>
      <c r="D5116" s="26" t="s">
        <v>543</v>
      </c>
      <c r="E5116" s="26" t="str">
        <f>IFERROR(VLOOKUP(G5116,WholesaleExtract!B:J,9,FALSE),"")</f>
        <v/>
      </c>
      <c r="F5116" s="26" t="str">
        <f>IFERROR(VLOOKUP(G5116,WholesaleExtract!B:J,6,FALSE),"")</f>
        <v/>
      </c>
      <c r="H5116" s="47" t="str">
        <f>IFERROR(VLOOKUP(G5116,WholesaleExtract!B:L,11,FALSE),"")</f>
        <v/>
      </c>
      <c r="I5116" s="26" t="str">
        <f>IFERROR(VLOOKUP(G5116,WholesaleExtract!B:O,8,FALSE),"")</f>
        <v/>
      </c>
      <c r="J5116" s="26" t="str">
        <f>IFERROR(VLOOKUP(G5116,WholesaleExtract!B:O,14,FALSE),"")</f>
        <v/>
      </c>
      <c r="K5116" s="26" t="str">
        <f>IFERROR(VLOOKUP(G5116,WholesaleExtract!B:K,10,FALSE),"")</f>
        <v/>
      </c>
      <c r="L5116" s="47" t="str">
        <f>IFERROR(VLOOKUP(G5116,WholesaleExtract!B:L,11,FALSE),"")</f>
        <v/>
      </c>
      <c r="M5116" s="47" t="str">
        <f>IFERROR(VLOOKUP(G5116,WholesaleExtract!B:M,12,FALSE),"")</f>
        <v/>
      </c>
      <c r="R5116" s="19"/>
      <c r="S5116" s="19"/>
    </row>
    <row r="5117" spans="1:19" x14ac:dyDescent="0.35">
      <c r="A5117" s="26" t="s">
        <v>543</v>
      </c>
      <c r="B5117" s="26" t="s">
        <v>543</v>
      </c>
      <c r="C5117" s="26"/>
      <c r="D5117" s="26" t="s">
        <v>543</v>
      </c>
      <c r="E5117" s="26" t="str">
        <f>IFERROR(VLOOKUP(G5117,WholesaleExtract!B:J,9,FALSE),"")</f>
        <v/>
      </c>
      <c r="F5117" s="26" t="str">
        <f>IFERROR(VLOOKUP(G5117,WholesaleExtract!B:J,6,FALSE),"")</f>
        <v/>
      </c>
      <c r="H5117" s="47" t="str">
        <f>IFERROR(VLOOKUP(G5117,WholesaleExtract!B:L,11,FALSE),"")</f>
        <v/>
      </c>
      <c r="I5117" s="26" t="str">
        <f>IFERROR(VLOOKUP(G5117,WholesaleExtract!B:O,8,FALSE),"")</f>
        <v/>
      </c>
      <c r="J5117" s="26" t="str">
        <f>IFERROR(VLOOKUP(G5117,WholesaleExtract!B:O,14,FALSE),"")</f>
        <v/>
      </c>
      <c r="K5117" s="26" t="str">
        <f>IFERROR(VLOOKUP(G5117,WholesaleExtract!B:K,10,FALSE),"")</f>
        <v/>
      </c>
      <c r="L5117" s="47" t="str">
        <f>IFERROR(VLOOKUP(G5117,WholesaleExtract!B:L,11,FALSE),"")</f>
        <v/>
      </c>
      <c r="M5117" s="47" t="str">
        <f>IFERROR(VLOOKUP(G5117,WholesaleExtract!B:M,12,FALSE),"")</f>
        <v/>
      </c>
      <c r="R5117" s="19"/>
      <c r="S5117" s="19"/>
    </row>
    <row r="5118" spans="1:19" x14ac:dyDescent="0.35">
      <c r="A5118" s="26" t="s">
        <v>543</v>
      </c>
      <c r="B5118" s="26" t="s">
        <v>543</v>
      </c>
      <c r="C5118" s="26"/>
      <c r="D5118" s="26" t="s">
        <v>543</v>
      </c>
      <c r="E5118" s="26" t="str">
        <f>IFERROR(VLOOKUP(G5118,WholesaleExtract!B:J,9,FALSE),"")</f>
        <v/>
      </c>
      <c r="F5118" s="26" t="str">
        <f>IFERROR(VLOOKUP(G5118,WholesaleExtract!B:J,6,FALSE),"")</f>
        <v/>
      </c>
      <c r="H5118" s="47" t="str">
        <f>IFERROR(VLOOKUP(G5118,WholesaleExtract!B:L,11,FALSE),"")</f>
        <v/>
      </c>
      <c r="I5118" s="26" t="str">
        <f>IFERROR(VLOOKUP(G5118,WholesaleExtract!B:O,8,FALSE),"")</f>
        <v/>
      </c>
      <c r="J5118" s="26" t="str">
        <f>IFERROR(VLOOKUP(G5118,WholesaleExtract!B:O,14,FALSE),"")</f>
        <v/>
      </c>
      <c r="K5118" s="26" t="str">
        <f>IFERROR(VLOOKUP(G5118,WholesaleExtract!B:K,10,FALSE),"")</f>
        <v/>
      </c>
      <c r="L5118" s="47" t="str">
        <f>IFERROR(VLOOKUP(G5118,WholesaleExtract!B:L,11,FALSE),"")</f>
        <v/>
      </c>
      <c r="M5118" s="47" t="str">
        <f>IFERROR(VLOOKUP(G5118,WholesaleExtract!B:M,12,FALSE),"")</f>
        <v/>
      </c>
      <c r="R5118" s="19"/>
      <c r="S5118" s="19"/>
    </row>
    <row r="5119" spans="1:19" x14ac:dyDescent="0.35">
      <c r="A5119" s="26" t="s">
        <v>543</v>
      </c>
      <c r="B5119" s="26" t="s">
        <v>543</v>
      </c>
      <c r="C5119" s="26"/>
      <c r="D5119" s="26" t="s">
        <v>543</v>
      </c>
      <c r="E5119" s="26" t="str">
        <f>IFERROR(VLOOKUP(G5119,WholesaleExtract!B:J,9,FALSE),"")</f>
        <v/>
      </c>
      <c r="F5119" s="26" t="str">
        <f>IFERROR(VLOOKUP(G5119,WholesaleExtract!B:J,6,FALSE),"")</f>
        <v/>
      </c>
      <c r="H5119" s="47" t="str">
        <f>IFERROR(VLOOKUP(G5119,WholesaleExtract!B:L,11,FALSE),"")</f>
        <v/>
      </c>
      <c r="I5119" s="26" t="str">
        <f>IFERROR(VLOOKUP(G5119,WholesaleExtract!B:O,8,FALSE),"")</f>
        <v/>
      </c>
      <c r="J5119" s="26" t="str">
        <f>IFERROR(VLOOKUP(G5119,WholesaleExtract!B:O,14,FALSE),"")</f>
        <v/>
      </c>
      <c r="K5119" s="26" t="str">
        <f>IFERROR(VLOOKUP(G5119,WholesaleExtract!B:K,10,FALSE),"")</f>
        <v/>
      </c>
      <c r="L5119" s="47" t="str">
        <f>IFERROR(VLOOKUP(G5119,WholesaleExtract!B:L,11,FALSE),"")</f>
        <v/>
      </c>
      <c r="M5119" s="47" t="str">
        <f>IFERROR(VLOOKUP(G5119,WholesaleExtract!B:M,12,FALSE),"")</f>
        <v/>
      </c>
      <c r="R5119" s="19"/>
      <c r="S5119" s="19"/>
    </row>
    <row r="5120" spans="1:19" x14ac:dyDescent="0.35">
      <c r="A5120" s="26" t="s">
        <v>543</v>
      </c>
      <c r="B5120" s="26" t="s">
        <v>543</v>
      </c>
      <c r="C5120" s="26"/>
      <c r="D5120" s="26" t="s">
        <v>543</v>
      </c>
      <c r="E5120" s="26" t="str">
        <f>IFERROR(VLOOKUP(G5120,WholesaleExtract!B:J,9,FALSE),"")</f>
        <v/>
      </c>
      <c r="F5120" s="26" t="str">
        <f>IFERROR(VLOOKUP(G5120,WholesaleExtract!B:J,6,FALSE),"")</f>
        <v/>
      </c>
      <c r="H5120" s="47" t="str">
        <f>IFERROR(VLOOKUP(G5120,WholesaleExtract!B:L,11,FALSE),"")</f>
        <v/>
      </c>
      <c r="I5120" s="26" t="str">
        <f>IFERROR(VLOOKUP(G5120,WholesaleExtract!B:O,8,FALSE),"")</f>
        <v/>
      </c>
      <c r="J5120" s="26" t="str">
        <f>IFERROR(VLOOKUP(G5120,WholesaleExtract!B:O,14,FALSE),"")</f>
        <v/>
      </c>
      <c r="K5120" s="26" t="str">
        <f>IFERROR(VLOOKUP(G5120,WholesaleExtract!B:K,10,FALSE),"")</f>
        <v/>
      </c>
      <c r="L5120" s="47" t="str">
        <f>IFERROR(VLOOKUP(G5120,WholesaleExtract!B:L,11,FALSE),"")</f>
        <v/>
      </c>
      <c r="M5120" s="47" t="str">
        <f>IFERROR(VLOOKUP(G5120,WholesaleExtract!B:M,12,FALSE),"")</f>
        <v/>
      </c>
      <c r="R5120" s="19"/>
      <c r="S5120" s="19"/>
    </row>
    <row r="5121" spans="1:19" x14ac:dyDescent="0.35">
      <c r="A5121" s="26" t="s">
        <v>543</v>
      </c>
      <c r="B5121" s="26" t="s">
        <v>543</v>
      </c>
      <c r="C5121" s="26"/>
      <c r="D5121" s="26" t="s">
        <v>543</v>
      </c>
      <c r="E5121" s="26" t="str">
        <f>IFERROR(VLOOKUP(G5121,WholesaleExtract!B:J,9,FALSE),"")</f>
        <v/>
      </c>
      <c r="F5121" s="26" t="str">
        <f>IFERROR(VLOOKUP(G5121,WholesaleExtract!B:J,6,FALSE),"")</f>
        <v/>
      </c>
      <c r="H5121" s="47" t="str">
        <f>IFERROR(VLOOKUP(G5121,WholesaleExtract!B:L,11,FALSE),"")</f>
        <v/>
      </c>
      <c r="I5121" s="26" t="str">
        <f>IFERROR(VLOOKUP(G5121,WholesaleExtract!B:O,8,FALSE),"")</f>
        <v/>
      </c>
      <c r="J5121" s="26" t="str">
        <f>IFERROR(VLOOKUP(G5121,WholesaleExtract!B:O,14,FALSE),"")</f>
        <v/>
      </c>
      <c r="K5121" s="26" t="str">
        <f>IFERROR(VLOOKUP(G5121,WholesaleExtract!B:K,10,FALSE),"")</f>
        <v/>
      </c>
      <c r="L5121" s="47" t="str">
        <f>IFERROR(VLOOKUP(G5121,WholesaleExtract!B:L,11,FALSE),"")</f>
        <v/>
      </c>
      <c r="M5121" s="47" t="str">
        <f>IFERROR(VLOOKUP(G5121,WholesaleExtract!B:M,12,FALSE),"")</f>
        <v/>
      </c>
      <c r="R5121" s="19"/>
      <c r="S5121" s="19"/>
    </row>
    <row r="5122" spans="1:19" x14ac:dyDescent="0.35">
      <c r="A5122" s="26" t="s">
        <v>543</v>
      </c>
      <c r="B5122" s="26" t="s">
        <v>543</v>
      </c>
      <c r="C5122" s="26"/>
      <c r="D5122" s="26" t="s">
        <v>543</v>
      </c>
      <c r="E5122" s="26" t="str">
        <f>IFERROR(VLOOKUP(G5122,WholesaleExtract!B:J,9,FALSE),"")</f>
        <v/>
      </c>
      <c r="F5122" s="26" t="str">
        <f>IFERROR(VLOOKUP(G5122,WholesaleExtract!B:J,6,FALSE),"")</f>
        <v/>
      </c>
      <c r="H5122" s="47" t="str">
        <f>IFERROR(VLOOKUP(G5122,WholesaleExtract!B:L,11,FALSE),"")</f>
        <v/>
      </c>
      <c r="I5122" s="26" t="str">
        <f>IFERROR(VLOOKUP(G5122,WholesaleExtract!B:O,8,FALSE),"")</f>
        <v/>
      </c>
      <c r="J5122" s="26" t="str">
        <f>IFERROR(VLOOKUP(G5122,WholesaleExtract!B:O,14,FALSE),"")</f>
        <v/>
      </c>
      <c r="K5122" s="26" t="str">
        <f>IFERROR(VLOOKUP(G5122,WholesaleExtract!B:K,10,FALSE),"")</f>
        <v/>
      </c>
      <c r="L5122" s="47" t="str">
        <f>IFERROR(VLOOKUP(G5122,WholesaleExtract!B:L,11,FALSE),"")</f>
        <v/>
      </c>
      <c r="M5122" s="47" t="str">
        <f>IFERROR(VLOOKUP(G5122,WholesaleExtract!B:M,12,FALSE),"")</f>
        <v/>
      </c>
      <c r="R5122" s="19"/>
      <c r="S5122" s="19"/>
    </row>
    <row r="5123" spans="1:19" x14ac:dyDescent="0.35">
      <c r="A5123" s="26" t="s">
        <v>543</v>
      </c>
      <c r="B5123" s="26" t="s">
        <v>543</v>
      </c>
      <c r="C5123" s="26"/>
      <c r="D5123" s="26" t="s">
        <v>543</v>
      </c>
      <c r="E5123" s="26" t="str">
        <f>IFERROR(VLOOKUP(G5123,WholesaleExtract!B:J,9,FALSE),"")</f>
        <v/>
      </c>
      <c r="F5123" s="26" t="str">
        <f>IFERROR(VLOOKUP(G5123,WholesaleExtract!B:J,6,FALSE),"")</f>
        <v/>
      </c>
      <c r="H5123" s="47" t="str">
        <f>IFERROR(VLOOKUP(G5123,WholesaleExtract!B:L,11,FALSE),"")</f>
        <v/>
      </c>
      <c r="I5123" s="26" t="str">
        <f>IFERROR(VLOOKUP(G5123,WholesaleExtract!B:O,8,FALSE),"")</f>
        <v/>
      </c>
      <c r="J5123" s="26" t="str">
        <f>IFERROR(VLOOKUP(G5123,WholesaleExtract!B:O,14,FALSE),"")</f>
        <v/>
      </c>
      <c r="K5123" s="26" t="str">
        <f>IFERROR(VLOOKUP(G5123,WholesaleExtract!B:K,10,FALSE),"")</f>
        <v/>
      </c>
      <c r="L5123" s="47" t="str">
        <f>IFERROR(VLOOKUP(G5123,WholesaleExtract!B:L,11,FALSE),"")</f>
        <v/>
      </c>
      <c r="M5123" s="47" t="str">
        <f>IFERROR(VLOOKUP(G5123,WholesaleExtract!B:M,12,FALSE),"")</f>
        <v/>
      </c>
      <c r="R5123" s="19"/>
      <c r="S5123" s="19"/>
    </row>
    <row r="5124" spans="1:19" x14ac:dyDescent="0.35">
      <c r="A5124" s="26" t="s">
        <v>543</v>
      </c>
      <c r="B5124" s="26" t="s">
        <v>543</v>
      </c>
      <c r="C5124" s="26"/>
      <c r="D5124" s="26" t="s">
        <v>543</v>
      </c>
      <c r="E5124" s="26" t="str">
        <f>IFERROR(VLOOKUP(G5124,WholesaleExtract!B:J,9,FALSE),"")</f>
        <v/>
      </c>
      <c r="F5124" s="26" t="str">
        <f>IFERROR(VLOOKUP(G5124,WholesaleExtract!B:J,6,FALSE),"")</f>
        <v/>
      </c>
      <c r="H5124" s="47" t="str">
        <f>IFERROR(VLOOKUP(G5124,WholesaleExtract!B:L,11,FALSE),"")</f>
        <v/>
      </c>
      <c r="I5124" s="26" t="str">
        <f>IFERROR(VLOOKUP(G5124,WholesaleExtract!B:O,8,FALSE),"")</f>
        <v/>
      </c>
      <c r="J5124" s="26" t="str">
        <f>IFERROR(VLOOKUP(G5124,WholesaleExtract!B:O,14,FALSE),"")</f>
        <v/>
      </c>
      <c r="K5124" s="26" t="str">
        <f>IFERROR(VLOOKUP(G5124,WholesaleExtract!B:K,10,FALSE),"")</f>
        <v/>
      </c>
      <c r="L5124" s="47" t="str">
        <f>IFERROR(VLOOKUP(G5124,WholesaleExtract!B:L,11,FALSE),"")</f>
        <v/>
      </c>
      <c r="M5124" s="47" t="str">
        <f>IFERROR(VLOOKUP(G5124,WholesaleExtract!B:M,12,FALSE),"")</f>
        <v/>
      </c>
      <c r="R5124" s="19"/>
      <c r="S5124" s="19"/>
    </row>
    <row r="5125" spans="1:19" x14ac:dyDescent="0.35">
      <c r="A5125" s="26" t="s">
        <v>543</v>
      </c>
      <c r="B5125" s="26" t="s">
        <v>543</v>
      </c>
      <c r="C5125" s="26"/>
      <c r="D5125" s="26" t="s">
        <v>543</v>
      </c>
      <c r="E5125" s="26" t="str">
        <f>IFERROR(VLOOKUP(G5125,WholesaleExtract!B:J,9,FALSE),"")</f>
        <v/>
      </c>
      <c r="F5125" s="26" t="str">
        <f>IFERROR(VLOOKUP(G5125,WholesaleExtract!B:J,6,FALSE),"")</f>
        <v/>
      </c>
      <c r="H5125" s="47" t="str">
        <f>IFERROR(VLOOKUP(G5125,WholesaleExtract!B:L,11,FALSE),"")</f>
        <v/>
      </c>
      <c r="I5125" s="26" t="str">
        <f>IFERROR(VLOOKUP(G5125,WholesaleExtract!B:O,8,FALSE),"")</f>
        <v/>
      </c>
      <c r="J5125" s="26" t="str">
        <f>IFERROR(VLOOKUP(G5125,WholesaleExtract!B:O,14,FALSE),"")</f>
        <v/>
      </c>
      <c r="K5125" s="26" t="str">
        <f>IFERROR(VLOOKUP(G5125,WholesaleExtract!B:K,10,FALSE),"")</f>
        <v/>
      </c>
      <c r="L5125" s="47" t="str">
        <f>IFERROR(VLOOKUP(G5125,WholesaleExtract!B:L,11,FALSE),"")</f>
        <v/>
      </c>
      <c r="M5125" s="47" t="str">
        <f>IFERROR(VLOOKUP(G5125,WholesaleExtract!B:M,12,FALSE),"")</f>
        <v/>
      </c>
      <c r="R5125" s="19"/>
      <c r="S5125" s="19"/>
    </row>
    <row r="5126" spans="1:19" x14ac:dyDescent="0.35">
      <c r="A5126" s="26" t="s">
        <v>543</v>
      </c>
      <c r="B5126" s="26" t="s">
        <v>543</v>
      </c>
      <c r="C5126" s="26"/>
      <c r="D5126" s="26" t="s">
        <v>543</v>
      </c>
      <c r="E5126" s="26" t="str">
        <f>IFERROR(VLOOKUP(G5126,WholesaleExtract!B:J,9,FALSE),"")</f>
        <v/>
      </c>
      <c r="F5126" s="26" t="str">
        <f>IFERROR(VLOOKUP(G5126,WholesaleExtract!B:J,6,FALSE),"")</f>
        <v/>
      </c>
      <c r="H5126" s="47" t="str">
        <f>IFERROR(VLOOKUP(G5126,WholesaleExtract!B:L,11,FALSE),"")</f>
        <v/>
      </c>
      <c r="I5126" s="26" t="str">
        <f>IFERROR(VLOOKUP(G5126,WholesaleExtract!B:O,8,FALSE),"")</f>
        <v/>
      </c>
      <c r="J5126" s="26" t="str">
        <f>IFERROR(VLOOKUP(G5126,WholesaleExtract!B:O,14,FALSE),"")</f>
        <v/>
      </c>
      <c r="K5126" s="26" t="str">
        <f>IFERROR(VLOOKUP(G5126,WholesaleExtract!B:K,10,FALSE),"")</f>
        <v/>
      </c>
      <c r="L5126" s="47" t="str">
        <f>IFERROR(VLOOKUP(G5126,WholesaleExtract!B:L,11,FALSE),"")</f>
        <v/>
      </c>
      <c r="M5126" s="47" t="str">
        <f>IFERROR(VLOOKUP(G5126,WholesaleExtract!B:M,12,FALSE),"")</f>
        <v/>
      </c>
      <c r="R5126" s="19"/>
      <c r="S5126" s="19"/>
    </row>
    <row r="5127" spans="1:19" x14ac:dyDescent="0.35">
      <c r="A5127" s="26" t="s">
        <v>543</v>
      </c>
      <c r="B5127" s="26" t="s">
        <v>543</v>
      </c>
      <c r="C5127" s="26"/>
      <c r="D5127" s="26" t="s">
        <v>543</v>
      </c>
      <c r="E5127" s="26" t="str">
        <f>IFERROR(VLOOKUP(G5127,WholesaleExtract!B:J,9,FALSE),"")</f>
        <v/>
      </c>
      <c r="F5127" s="26" t="str">
        <f>IFERROR(VLOOKUP(G5127,WholesaleExtract!B:J,6,FALSE),"")</f>
        <v/>
      </c>
      <c r="H5127" s="47" t="str">
        <f>IFERROR(VLOOKUP(G5127,WholesaleExtract!B:L,11,FALSE),"")</f>
        <v/>
      </c>
      <c r="I5127" s="26" t="str">
        <f>IFERROR(VLOOKUP(G5127,WholesaleExtract!B:O,8,FALSE),"")</f>
        <v/>
      </c>
      <c r="J5127" s="26" t="str">
        <f>IFERROR(VLOOKUP(G5127,WholesaleExtract!B:O,14,FALSE),"")</f>
        <v/>
      </c>
      <c r="K5127" s="26" t="str">
        <f>IFERROR(VLOOKUP(G5127,WholesaleExtract!B:K,10,FALSE),"")</f>
        <v/>
      </c>
      <c r="L5127" s="47" t="str">
        <f>IFERROR(VLOOKUP(G5127,WholesaleExtract!B:L,11,FALSE),"")</f>
        <v/>
      </c>
      <c r="M5127" s="47" t="str">
        <f>IFERROR(VLOOKUP(G5127,WholesaleExtract!B:M,12,FALSE),"")</f>
        <v/>
      </c>
      <c r="R5127" s="19"/>
      <c r="S5127" s="19"/>
    </row>
    <row r="5128" spans="1:19" x14ac:dyDescent="0.35">
      <c r="A5128" s="26" t="s">
        <v>543</v>
      </c>
      <c r="B5128" s="26" t="s">
        <v>543</v>
      </c>
      <c r="C5128" s="26"/>
      <c r="D5128" s="26" t="s">
        <v>543</v>
      </c>
      <c r="E5128" s="26" t="str">
        <f>IFERROR(VLOOKUP(G5128,WholesaleExtract!B:J,9,FALSE),"")</f>
        <v/>
      </c>
      <c r="F5128" s="26" t="str">
        <f>IFERROR(VLOOKUP(G5128,WholesaleExtract!B:J,6,FALSE),"")</f>
        <v/>
      </c>
      <c r="H5128" s="47" t="str">
        <f>IFERROR(VLOOKUP(G5128,WholesaleExtract!B:L,11,FALSE),"")</f>
        <v/>
      </c>
      <c r="I5128" s="26" t="str">
        <f>IFERROR(VLOOKUP(G5128,WholesaleExtract!B:O,8,FALSE),"")</f>
        <v/>
      </c>
      <c r="J5128" s="26" t="str">
        <f>IFERROR(VLOOKUP(G5128,WholesaleExtract!B:O,14,FALSE),"")</f>
        <v/>
      </c>
      <c r="K5128" s="26" t="str">
        <f>IFERROR(VLOOKUP(G5128,WholesaleExtract!B:K,10,FALSE),"")</f>
        <v/>
      </c>
      <c r="L5128" s="47" t="str">
        <f>IFERROR(VLOOKUP(G5128,WholesaleExtract!B:L,11,FALSE),"")</f>
        <v/>
      </c>
      <c r="M5128" s="47" t="str">
        <f>IFERROR(VLOOKUP(G5128,WholesaleExtract!B:M,12,FALSE),"")</f>
        <v/>
      </c>
      <c r="R5128" s="19"/>
      <c r="S5128" s="19"/>
    </row>
    <row r="5129" spans="1:19" x14ac:dyDescent="0.35">
      <c r="A5129" s="26" t="s">
        <v>543</v>
      </c>
      <c r="B5129" s="26" t="s">
        <v>543</v>
      </c>
      <c r="C5129" s="26"/>
      <c r="D5129" s="26" t="s">
        <v>543</v>
      </c>
      <c r="E5129" s="26" t="str">
        <f>IFERROR(VLOOKUP(G5129,WholesaleExtract!B:J,9,FALSE),"")</f>
        <v/>
      </c>
      <c r="F5129" s="26" t="str">
        <f>IFERROR(VLOOKUP(G5129,WholesaleExtract!B:J,6,FALSE),"")</f>
        <v/>
      </c>
      <c r="H5129" s="47" t="str">
        <f>IFERROR(VLOOKUP(G5129,WholesaleExtract!B:L,11,FALSE),"")</f>
        <v/>
      </c>
      <c r="I5129" s="26" t="str">
        <f>IFERROR(VLOOKUP(G5129,WholesaleExtract!B:O,8,FALSE),"")</f>
        <v/>
      </c>
      <c r="J5129" s="26" t="str">
        <f>IFERROR(VLOOKUP(G5129,WholesaleExtract!B:O,14,FALSE),"")</f>
        <v/>
      </c>
      <c r="K5129" s="26" t="str">
        <f>IFERROR(VLOOKUP(G5129,WholesaleExtract!B:K,10,FALSE),"")</f>
        <v/>
      </c>
      <c r="L5129" s="47" t="str">
        <f>IFERROR(VLOOKUP(G5129,WholesaleExtract!B:L,11,FALSE),"")</f>
        <v/>
      </c>
      <c r="M5129" s="47" t="str">
        <f>IFERROR(VLOOKUP(G5129,WholesaleExtract!B:M,12,FALSE),"")</f>
        <v/>
      </c>
      <c r="R5129" s="19"/>
      <c r="S5129" s="19"/>
    </row>
    <row r="5130" spans="1:19" x14ac:dyDescent="0.35">
      <c r="A5130" s="26" t="s">
        <v>543</v>
      </c>
      <c r="B5130" s="26" t="s">
        <v>543</v>
      </c>
      <c r="C5130" s="26"/>
      <c r="D5130" s="26" t="s">
        <v>543</v>
      </c>
      <c r="E5130" s="26" t="str">
        <f>IFERROR(VLOOKUP(G5130,WholesaleExtract!B:J,9,FALSE),"")</f>
        <v/>
      </c>
      <c r="F5130" s="26" t="str">
        <f>IFERROR(VLOOKUP(G5130,WholesaleExtract!B:J,6,FALSE),"")</f>
        <v/>
      </c>
      <c r="H5130" s="47" t="str">
        <f>IFERROR(VLOOKUP(G5130,WholesaleExtract!B:L,11,FALSE),"")</f>
        <v/>
      </c>
      <c r="I5130" s="26" t="str">
        <f>IFERROR(VLOOKUP(G5130,WholesaleExtract!B:O,8,FALSE),"")</f>
        <v/>
      </c>
      <c r="J5130" s="26" t="str">
        <f>IFERROR(VLOOKUP(G5130,WholesaleExtract!B:O,14,FALSE),"")</f>
        <v/>
      </c>
      <c r="K5130" s="26" t="str">
        <f>IFERROR(VLOOKUP(G5130,WholesaleExtract!B:K,10,FALSE),"")</f>
        <v/>
      </c>
      <c r="L5130" s="47" t="str">
        <f>IFERROR(VLOOKUP(G5130,WholesaleExtract!B:L,11,FALSE),"")</f>
        <v/>
      </c>
      <c r="M5130" s="47" t="str">
        <f>IFERROR(VLOOKUP(G5130,WholesaleExtract!B:M,12,FALSE),"")</f>
        <v/>
      </c>
      <c r="R5130" s="19"/>
      <c r="S5130" s="19"/>
    </row>
    <row r="5131" spans="1:19" x14ac:dyDescent="0.35">
      <c r="A5131" s="26" t="s">
        <v>543</v>
      </c>
      <c r="B5131" s="26" t="s">
        <v>543</v>
      </c>
      <c r="C5131" s="26"/>
      <c r="D5131" s="26" t="s">
        <v>543</v>
      </c>
      <c r="E5131" s="26" t="str">
        <f>IFERROR(VLOOKUP(G5131,WholesaleExtract!B:J,9,FALSE),"")</f>
        <v/>
      </c>
      <c r="F5131" s="26" t="str">
        <f>IFERROR(VLOOKUP(G5131,WholesaleExtract!B:J,6,FALSE),"")</f>
        <v/>
      </c>
      <c r="H5131" s="47" t="str">
        <f>IFERROR(VLOOKUP(G5131,WholesaleExtract!B:L,11,FALSE),"")</f>
        <v/>
      </c>
      <c r="I5131" s="26" t="str">
        <f>IFERROR(VLOOKUP(G5131,WholesaleExtract!B:O,8,FALSE),"")</f>
        <v/>
      </c>
      <c r="J5131" s="26" t="str">
        <f>IFERROR(VLOOKUP(G5131,WholesaleExtract!B:O,14,FALSE),"")</f>
        <v/>
      </c>
      <c r="K5131" s="26" t="str">
        <f>IFERROR(VLOOKUP(G5131,WholesaleExtract!B:K,10,FALSE),"")</f>
        <v/>
      </c>
      <c r="L5131" s="47" t="str">
        <f>IFERROR(VLOOKUP(G5131,WholesaleExtract!B:L,11,FALSE),"")</f>
        <v/>
      </c>
      <c r="M5131" s="47" t="str">
        <f>IFERROR(VLOOKUP(G5131,WholesaleExtract!B:M,12,FALSE),"")</f>
        <v/>
      </c>
      <c r="R5131" s="19"/>
      <c r="S5131" s="19"/>
    </row>
    <row r="5132" spans="1:19" x14ac:dyDescent="0.35">
      <c r="A5132" s="26" t="s">
        <v>543</v>
      </c>
      <c r="B5132" s="26" t="s">
        <v>543</v>
      </c>
      <c r="C5132" s="26"/>
      <c r="D5132" s="26" t="s">
        <v>543</v>
      </c>
      <c r="E5132" s="26" t="str">
        <f>IFERROR(VLOOKUP(G5132,WholesaleExtract!B:J,9,FALSE),"")</f>
        <v/>
      </c>
      <c r="F5132" s="26" t="str">
        <f>IFERROR(VLOOKUP(G5132,WholesaleExtract!B:J,6,FALSE),"")</f>
        <v/>
      </c>
      <c r="H5132" s="47" t="str">
        <f>IFERROR(VLOOKUP(G5132,WholesaleExtract!B:L,11,FALSE),"")</f>
        <v/>
      </c>
      <c r="I5132" s="26" t="str">
        <f>IFERROR(VLOOKUP(G5132,WholesaleExtract!B:O,8,FALSE),"")</f>
        <v/>
      </c>
      <c r="J5132" s="26" t="str">
        <f>IFERROR(VLOOKUP(G5132,WholesaleExtract!B:O,14,FALSE),"")</f>
        <v/>
      </c>
      <c r="K5132" s="26" t="str">
        <f>IFERROR(VLOOKUP(G5132,WholesaleExtract!B:K,10,FALSE),"")</f>
        <v/>
      </c>
      <c r="L5132" s="47" t="str">
        <f>IFERROR(VLOOKUP(G5132,WholesaleExtract!B:L,11,FALSE),"")</f>
        <v/>
      </c>
      <c r="M5132" s="47" t="str">
        <f>IFERROR(VLOOKUP(G5132,WholesaleExtract!B:M,12,FALSE),"")</f>
        <v/>
      </c>
      <c r="R5132" s="19"/>
      <c r="S5132" s="19"/>
    </row>
    <row r="5133" spans="1:19" x14ac:dyDescent="0.35">
      <c r="A5133" s="26" t="s">
        <v>543</v>
      </c>
      <c r="B5133" s="26" t="s">
        <v>543</v>
      </c>
      <c r="C5133" s="26"/>
      <c r="D5133" s="26" t="s">
        <v>543</v>
      </c>
      <c r="E5133" s="26" t="str">
        <f>IFERROR(VLOOKUP(G5133,WholesaleExtract!B:J,9,FALSE),"")</f>
        <v/>
      </c>
      <c r="F5133" s="26" t="str">
        <f>IFERROR(VLOOKUP(G5133,WholesaleExtract!B:J,6,FALSE),"")</f>
        <v/>
      </c>
      <c r="H5133" s="47" t="str">
        <f>IFERROR(VLOOKUP(G5133,WholesaleExtract!B:L,11,FALSE),"")</f>
        <v/>
      </c>
      <c r="I5133" s="26" t="str">
        <f>IFERROR(VLOOKUP(G5133,WholesaleExtract!B:O,8,FALSE),"")</f>
        <v/>
      </c>
      <c r="J5133" s="26" t="str">
        <f>IFERROR(VLOOKUP(G5133,WholesaleExtract!B:O,14,FALSE),"")</f>
        <v/>
      </c>
      <c r="K5133" s="26" t="str">
        <f>IFERROR(VLOOKUP(G5133,WholesaleExtract!B:K,10,FALSE),"")</f>
        <v/>
      </c>
      <c r="L5133" s="47" t="str">
        <f>IFERROR(VLOOKUP(G5133,WholesaleExtract!B:L,11,FALSE),"")</f>
        <v/>
      </c>
      <c r="M5133" s="47" t="str">
        <f>IFERROR(VLOOKUP(G5133,WholesaleExtract!B:M,12,FALSE),"")</f>
        <v/>
      </c>
      <c r="R5133" s="19"/>
      <c r="S5133" s="19"/>
    </row>
    <row r="5134" spans="1:19" x14ac:dyDescent="0.35">
      <c r="A5134" s="26" t="s">
        <v>543</v>
      </c>
      <c r="B5134" s="26" t="s">
        <v>543</v>
      </c>
      <c r="C5134" s="26"/>
      <c r="D5134" s="26" t="s">
        <v>543</v>
      </c>
      <c r="E5134" s="26" t="str">
        <f>IFERROR(VLOOKUP(G5134,WholesaleExtract!B:J,9,FALSE),"")</f>
        <v/>
      </c>
      <c r="F5134" s="26" t="str">
        <f>IFERROR(VLOOKUP(G5134,WholesaleExtract!B:J,6,FALSE),"")</f>
        <v/>
      </c>
      <c r="H5134" s="47" t="str">
        <f>IFERROR(VLOOKUP(G5134,WholesaleExtract!B:L,11,FALSE),"")</f>
        <v/>
      </c>
      <c r="I5134" s="26" t="str">
        <f>IFERROR(VLOOKUP(G5134,WholesaleExtract!B:O,8,FALSE),"")</f>
        <v/>
      </c>
      <c r="J5134" s="26" t="str">
        <f>IFERROR(VLOOKUP(G5134,WholesaleExtract!B:O,14,FALSE),"")</f>
        <v/>
      </c>
      <c r="K5134" s="26" t="str">
        <f>IFERROR(VLOOKUP(G5134,WholesaleExtract!B:K,10,FALSE),"")</f>
        <v/>
      </c>
      <c r="L5134" s="47" t="str">
        <f>IFERROR(VLOOKUP(G5134,WholesaleExtract!B:L,11,FALSE),"")</f>
        <v/>
      </c>
      <c r="M5134" s="47" t="str">
        <f>IFERROR(VLOOKUP(G5134,WholesaleExtract!B:M,12,FALSE),"")</f>
        <v/>
      </c>
      <c r="R5134" s="19"/>
      <c r="S5134" s="19"/>
    </row>
    <row r="5135" spans="1:19" x14ac:dyDescent="0.35">
      <c r="A5135" s="26" t="s">
        <v>543</v>
      </c>
      <c r="B5135" s="26" t="s">
        <v>543</v>
      </c>
      <c r="C5135" s="26"/>
      <c r="D5135" s="26" t="s">
        <v>543</v>
      </c>
      <c r="E5135" s="26" t="str">
        <f>IFERROR(VLOOKUP(G5135,WholesaleExtract!B:J,9,FALSE),"")</f>
        <v/>
      </c>
      <c r="F5135" s="26" t="str">
        <f>IFERROR(VLOOKUP(G5135,WholesaleExtract!B:J,6,FALSE),"")</f>
        <v/>
      </c>
      <c r="H5135" s="47" t="str">
        <f>IFERROR(VLOOKUP(G5135,WholesaleExtract!B:L,11,FALSE),"")</f>
        <v/>
      </c>
      <c r="I5135" s="26" t="str">
        <f>IFERROR(VLOOKUP(G5135,WholesaleExtract!B:O,8,FALSE),"")</f>
        <v/>
      </c>
      <c r="J5135" s="26" t="str">
        <f>IFERROR(VLOOKUP(G5135,WholesaleExtract!B:O,14,FALSE),"")</f>
        <v/>
      </c>
      <c r="K5135" s="26" t="str">
        <f>IFERROR(VLOOKUP(G5135,WholesaleExtract!B:K,10,FALSE),"")</f>
        <v/>
      </c>
      <c r="L5135" s="47" t="str">
        <f>IFERROR(VLOOKUP(G5135,WholesaleExtract!B:L,11,FALSE),"")</f>
        <v/>
      </c>
      <c r="M5135" s="47" t="str">
        <f>IFERROR(VLOOKUP(G5135,WholesaleExtract!B:M,12,FALSE),"")</f>
        <v/>
      </c>
      <c r="R5135" s="19"/>
      <c r="S5135" s="19"/>
    </row>
    <row r="5136" spans="1:19" x14ac:dyDescent="0.35">
      <c r="A5136" s="26" t="s">
        <v>543</v>
      </c>
      <c r="B5136" s="26" t="s">
        <v>543</v>
      </c>
      <c r="C5136" s="26"/>
      <c r="D5136" s="26" t="s">
        <v>543</v>
      </c>
      <c r="E5136" s="26" t="str">
        <f>IFERROR(VLOOKUP(G5136,WholesaleExtract!B:J,9,FALSE),"")</f>
        <v/>
      </c>
      <c r="F5136" s="26" t="str">
        <f>IFERROR(VLOOKUP(G5136,WholesaleExtract!B:J,6,FALSE),"")</f>
        <v/>
      </c>
      <c r="H5136" s="47" t="str">
        <f>IFERROR(VLOOKUP(G5136,WholesaleExtract!B:L,11,FALSE),"")</f>
        <v/>
      </c>
      <c r="I5136" s="26" t="str">
        <f>IFERROR(VLOOKUP(G5136,WholesaleExtract!B:O,8,FALSE),"")</f>
        <v/>
      </c>
      <c r="J5136" s="26" t="str">
        <f>IFERROR(VLOOKUP(G5136,WholesaleExtract!B:O,14,FALSE),"")</f>
        <v/>
      </c>
      <c r="K5136" s="26" t="str">
        <f>IFERROR(VLOOKUP(G5136,WholesaleExtract!B:K,10,FALSE),"")</f>
        <v/>
      </c>
      <c r="L5136" s="47" t="str">
        <f>IFERROR(VLOOKUP(G5136,WholesaleExtract!B:L,11,FALSE),"")</f>
        <v/>
      </c>
      <c r="M5136" s="47" t="str">
        <f>IFERROR(VLOOKUP(G5136,WholesaleExtract!B:M,12,FALSE),"")</f>
        <v/>
      </c>
      <c r="R5136" s="19"/>
      <c r="S5136" s="19"/>
    </row>
    <row r="5137" spans="1:19" x14ac:dyDescent="0.35">
      <c r="A5137" s="26" t="s">
        <v>543</v>
      </c>
      <c r="B5137" s="26" t="s">
        <v>543</v>
      </c>
      <c r="C5137" s="26"/>
      <c r="D5137" s="26" t="s">
        <v>543</v>
      </c>
      <c r="E5137" s="26" t="str">
        <f>IFERROR(VLOOKUP(G5137,WholesaleExtract!B:J,9,FALSE),"")</f>
        <v/>
      </c>
      <c r="F5137" s="26" t="str">
        <f>IFERROR(VLOOKUP(G5137,WholesaleExtract!B:J,6,FALSE),"")</f>
        <v/>
      </c>
      <c r="H5137" s="47" t="str">
        <f>IFERROR(VLOOKUP(G5137,WholesaleExtract!B:L,11,FALSE),"")</f>
        <v/>
      </c>
      <c r="I5137" s="26" t="str">
        <f>IFERROR(VLOOKUP(G5137,WholesaleExtract!B:O,8,FALSE),"")</f>
        <v/>
      </c>
      <c r="J5137" s="26" t="str">
        <f>IFERROR(VLOOKUP(G5137,WholesaleExtract!B:O,14,FALSE),"")</f>
        <v/>
      </c>
      <c r="K5137" s="26" t="str">
        <f>IFERROR(VLOOKUP(G5137,WholesaleExtract!B:K,10,FALSE),"")</f>
        <v/>
      </c>
      <c r="L5137" s="47" t="str">
        <f>IFERROR(VLOOKUP(G5137,WholesaleExtract!B:L,11,FALSE),"")</f>
        <v/>
      </c>
      <c r="M5137" s="47" t="str">
        <f>IFERROR(VLOOKUP(G5137,WholesaleExtract!B:M,12,FALSE),"")</f>
        <v/>
      </c>
      <c r="R5137" s="19"/>
      <c r="S5137" s="19"/>
    </row>
    <row r="5138" spans="1:19" x14ac:dyDescent="0.35">
      <c r="A5138" s="26" t="s">
        <v>543</v>
      </c>
      <c r="B5138" s="26" t="s">
        <v>543</v>
      </c>
      <c r="C5138" s="26"/>
      <c r="D5138" s="26" t="s">
        <v>543</v>
      </c>
      <c r="E5138" s="26" t="str">
        <f>IFERROR(VLOOKUP(G5138,WholesaleExtract!B:J,9,FALSE),"")</f>
        <v/>
      </c>
      <c r="F5138" s="26" t="str">
        <f>IFERROR(VLOOKUP(G5138,WholesaleExtract!B:J,6,FALSE),"")</f>
        <v/>
      </c>
      <c r="H5138" s="47" t="str">
        <f>IFERROR(VLOOKUP(G5138,WholesaleExtract!B:L,11,FALSE),"")</f>
        <v/>
      </c>
      <c r="I5138" s="26" t="str">
        <f>IFERROR(VLOOKUP(G5138,WholesaleExtract!B:O,8,FALSE),"")</f>
        <v/>
      </c>
      <c r="J5138" s="26" t="str">
        <f>IFERROR(VLOOKUP(G5138,WholesaleExtract!B:O,14,FALSE),"")</f>
        <v/>
      </c>
      <c r="K5138" s="26" t="str">
        <f>IFERROR(VLOOKUP(G5138,WholesaleExtract!B:K,10,FALSE),"")</f>
        <v/>
      </c>
      <c r="L5138" s="47" t="str">
        <f>IFERROR(VLOOKUP(G5138,WholesaleExtract!B:L,11,FALSE),"")</f>
        <v/>
      </c>
      <c r="M5138" s="47" t="str">
        <f>IFERROR(VLOOKUP(G5138,WholesaleExtract!B:M,12,FALSE),"")</f>
        <v/>
      </c>
      <c r="R5138" s="19"/>
      <c r="S5138" s="19"/>
    </row>
    <row r="5139" spans="1:19" x14ac:dyDescent="0.35">
      <c r="A5139" s="26" t="s">
        <v>543</v>
      </c>
      <c r="B5139" s="26" t="s">
        <v>543</v>
      </c>
      <c r="C5139" s="26"/>
      <c r="D5139" s="26" t="s">
        <v>543</v>
      </c>
      <c r="E5139" s="26" t="str">
        <f>IFERROR(VLOOKUP(G5139,WholesaleExtract!B:J,9,FALSE),"")</f>
        <v/>
      </c>
      <c r="F5139" s="26" t="str">
        <f>IFERROR(VLOOKUP(G5139,WholesaleExtract!B:J,6,FALSE),"")</f>
        <v/>
      </c>
      <c r="H5139" s="47" t="str">
        <f>IFERROR(VLOOKUP(G5139,WholesaleExtract!B:L,11,FALSE),"")</f>
        <v/>
      </c>
      <c r="I5139" s="26" t="str">
        <f>IFERROR(VLOOKUP(G5139,WholesaleExtract!B:O,8,FALSE),"")</f>
        <v/>
      </c>
      <c r="J5139" s="26" t="str">
        <f>IFERROR(VLOOKUP(G5139,WholesaleExtract!B:O,14,FALSE),"")</f>
        <v/>
      </c>
      <c r="K5139" s="26" t="str">
        <f>IFERROR(VLOOKUP(G5139,WholesaleExtract!B:K,10,FALSE),"")</f>
        <v/>
      </c>
      <c r="L5139" s="47" t="str">
        <f>IFERROR(VLOOKUP(G5139,WholesaleExtract!B:L,11,FALSE),"")</f>
        <v/>
      </c>
      <c r="M5139" s="47" t="str">
        <f>IFERROR(VLOOKUP(G5139,WholesaleExtract!B:M,12,FALSE),"")</f>
        <v/>
      </c>
      <c r="R5139" s="19"/>
      <c r="S5139" s="19"/>
    </row>
    <row r="5140" spans="1:19" x14ac:dyDescent="0.35">
      <c r="A5140" s="26" t="s">
        <v>543</v>
      </c>
      <c r="B5140" s="26" t="s">
        <v>543</v>
      </c>
      <c r="C5140" s="26"/>
      <c r="D5140" s="26" t="s">
        <v>543</v>
      </c>
      <c r="E5140" s="26" t="str">
        <f>IFERROR(VLOOKUP(G5140,WholesaleExtract!B:J,9,FALSE),"")</f>
        <v/>
      </c>
      <c r="F5140" s="26" t="str">
        <f>IFERROR(VLOOKUP(G5140,WholesaleExtract!B:J,6,FALSE),"")</f>
        <v/>
      </c>
      <c r="H5140" s="47" t="str">
        <f>IFERROR(VLOOKUP(G5140,WholesaleExtract!B:L,11,FALSE),"")</f>
        <v/>
      </c>
      <c r="I5140" s="26" t="str">
        <f>IFERROR(VLOOKUP(G5140,WholesaleExtract!B:O,8,FALSE),"")</f>
        <v/>
      </c>
      <c r="J5140" s="26" t="str">
        <f>IFERROR(VLOOKUP(G5140,WholesaleExtract!B:O,14,FALSE),"")</f>
        <v/>
      </c>
      <c r="K5140" s="26" t="str">
        <f>IFERROR(VLOOKUP(G5140,WholesaleExtract!B:K,10,FALSE),"")</f>
        <v/>
      </c>
      <c r="L5140" s="47" t="str">
        <f>IFERROR(VLOOKUP(G5140,WholesaleExtract!B:L,11,FALSE),"")</f>
        <v/>
      </c>
      <c r="M5140" s="47" t="str">
        <f>IFERROR(VLOOKUP(G5140,WholesaleExtract!B:M,12,FALSE),"")</f>
        <v/>
      </c>
      <c r="R5140" s="19"/>
      <c r="S5140" s="19"/>
    </row>
    <row r="5141" spans="1:19" x14ac:dyDescent="0.35">
      <c r="A5141" s="26" t="s">
        <v>543</v>
      </c>
      <c r="B5141" s="26" t="s">
        <v>543</v>
      </c>
      <c r="C5141" s="26"/>
      <c r="D5141" s="26" t="s">
        <v>543</v>
      </c>
      <c r="E5141" s="26" t="str">
        <f>IFERROR(VLOOKUP(G5141,WholesaleExtract!B:J,9,FALSE),"")</f>
        <v/>
      </c>
      <c r="F5141" s="26" t="str">
        <f>IFERROR(VLOOKUP(G5141,WholesaleExtract!B:J,6,FALSE),"")</f>
        <v/>
      </c>
      <c r="H5141" s="47" t="str">
        <f>IFERROR(VLOOKUP(G5141,WholesaleExtract!B:L,11,FALSE),"")</f>
        <v/>
      </c>
      <c r="I5141" s="26" t="str">
        <f>IFERROR(VLOOKUP(G5141,WholesaleExtract!B:O,8,FALSE),"")</f>
        <v/>
      </c>
      <c r="J5141" s="26" t="str">
        <f>IFERROR(VLOOKUP(G5141,WholesaleExtract!B:O,14,FALSE),"")</f>
        <v/>
      </c>
      <c r="K5141" s="26" t="str">
        <f>IFERROR(VLOOKUP(G5141,WholesaleExtract!B:K,10,FALSE),"")</f>
        <v/>
      </c>
      <c r="L5141" s="47" t="str">
        <f>IFERROR(VLOOKUP(G5141,WholesaleExtract!B:L,11,FALSE),"")</f>
        <v/>
      </c>
      <c r="M5141" s="47" t="str">
        <f>IFERROR(VLOOKUP(G5141,WholesaleExtract!B:M,12,FALSE),"")</f>
        <v/>
      </c>
      <c r="R5141" s="19"/>
      <c r="S5141" s="19"/>
    </row>
    <row r="5142" spans="1:19" x14ac:dyDescent="0.35">
      <c r="A5142" s="26" t="s">
        <v>543</v>
      </c>
      <c r="B5142" s="26" t="s">
        <v>543</v>
      </c>
      <c r="C5142" s="26"/>
      <c r="D5142" s="26" t="s">
        <v>543</v>
      </c>
      <c r="E5142" s="26" t="str">
        <f>IFERROR(VLOOKUP(G5142,WholesaleExtract!B:J,9,FALSE),"")</f>
        <v/>
      </c>
      <c r="F5142" s="26" t="str">
        <f>IFERROR(VLOOKUP(G5142,WholesaleExtract!B:J,6,FALSE),"")</f>
        <v/>
      </c>
      <c r="H5142" s="47" t="str">
        <f>IFERROR(VLOOKUP(G5142,WholesaleExtract!B:L,11,FALSE),"")</f>
        <v/>
      </c>
      <c r="I5142" s="26" t="str">
        <f>IFERROR(VLOOKUP(G5142,WholesaleExtract!B:O,8,FALSE),"")</f>
        <v/>
      </c>
      <c r="J5142" s="26" t="str">
        <f>IFERROR(VLOOKUP(G5142,WholesaleExtract!B:O,14,FALSE),"")</f>
        <v/>
      </c>
      <c r="K5142" s="26" t="str">
        <f>IFERROR(VLOOKUP(G5142,WholesaleExtract!B:K,10,FALSE),"")</f>
        <v/>
      </c>
      <c r="L5142" s="47" t="str">
        <f>IFERROR(VLOOKUP(G5142,WholesaleExtract!B:L,11,FALSE),"")</f>
        <v/>
      </c>
      <c r="M5142" s="47" t="str">
        <f>IFERROR(VLOOKUP(G5142,WholesaleExtract!B:M,12,FALSE),"")</f>
        <v/>
      </c>
      <c r="R5142" s="19"/>
      <c r="S5142" s="19"/>
    </row>
    <row r="5143" spans="1:19" x14ac:dyDescent="0.35">
      <c r="A5143" s="26" t="s">
        <v>543</v>
      </c>
      <c r="B5143" s="26" t="s">
        <v>543</v>
      </c>
      <c r="C5143" s="26"/>
      <c r="D5143" s="26" t="s">
        <v>543</v>
      </c>
      <c r="E5143" s="26" t="str">
        <f>IFERROR(VLOOKUP(G5143,WholesaleExtract!B:J,9,FALSE),"")</f>
        <v/>
      </c>
      <c r="F5143" s="26" t="str">
        <f>IFERROR(VLOOKUP(G5143,WholesaleExtract!B:J,6,FALSE),"")</f>
        <v/>
      </c>
      <c r="H5143" s="47" t="str">
        <f>IFERROR(VLOOKUP(G5143,WholesaleExtract!B:L,11,FALSE),"")</f>
        <v/>
      </c>
      <c r="I5143" s="26" t="str">
        <f>IFERROR(VLOOKUP(G5143,WholesaleExtract!B:O,8,FALSE),"")</f>
        <v/>
      </c>
      <c r="J5143" s="26" t="str">
        <f>IFERROR(VLOOKUP(G5143,WholesaleExtract!B:O,14,FALSE),"")</f>
        <v/>
      </c>
      <c r="K5143" s="26" t="str">
        <f>IFERROR(VLOOKUP(G5143,WholesaleExtract!B:K,10,FALSE),"")</f>
        <v/>
      </c>
      <c r="L5143" s="47" t="str">
        <f>IFERROR(VLOOKUP(G5143,WholesaleExtract!B:L,11,FALSE),"")</f>
        <v/>
      </c>
      <c r="M5143" s="47" t="str">
        <f>IFERROR(VLOOKUP(G5143,WholesaleExtract!B:M,12,FALSE),"")</f>
        <v/>
      </c>
      <c r="R5143" s="19"/>
      <c r="S5143" s="19"/>
    </row>
    <row r="5144" spans="1:19" x14ac:dyDescent="0.35">
      <c r="A5144" s="26" t="s">
        <v>543</v>
      </c>
      <c r="B5144" s="26" t="s">
        <v>543</v>
      </c>
      <c r="C5144" s="26"/>
      <c r="D5144" s="26" t="s">
        <v>543</v>
      </c>
      <c r="E5144" s="26" t="str">
        <f>IFERROR(VLOOKUP(G5144,WholesaleExtract!B:J,9,FALSE),"")</f>
        <v/>
      </c>
      <c r="F5144" s="26" t="str">
        <f>IFERROR(VLOOKUP(G5144,WholesaleExtract!B:J,6,FALSE),"")</f>
        <v/>
      </c>
      <c r="H5144" s="47" t="str">
        <f>IFERROR(VLOOKUP(G5144,WholesaleExtract!B:L,11,FALSE),"")</f>
        <v/>
      </c>
      <c r="I5144" s="26" t="str">
        <f>IFERROR(VLOOKUP(G5144,WholesaleExtract!B:O,8,FALSE),"")</f>
        <v/>
      </c>
      <c r="J5144" s="26" t="str">
        <f>IFERROR(VLOOKUP(G5144,WholesaleExtract!B:O,14,FALSE),"")</f>
        <v/>
      </c>
      <c r="K5144" s="26" t="str">
        <f>IFERROR(VLOOKUP(G5144,WholesaleExtract!B:K,10,FALSE),"")</f>
        <v/>
      </c>
      <c r="L5144" s="47" t="str">
        <f>IFERROR(VLOOKUP(G5144,WholesaleExtract!B:L,11,FALSE),"")</f>
        <v/>
      </c>
      <c r="M5144" s="47" t="str">
        <f>IFERROR(VLOOKUP(G5144,WholesaleExtract!B:M,12,FALSE),"")</f>
        <v/>
      </c>
      <c r="R5144" s="19"/>
      <c r="S5144" s="19"/>
    </row>
    <row r="5145" spans="1:19" x14ac:dyDescent="0.35">
      <c r="A5145" s="26" t="s">
        <v>543</v>
      </c>
      <c r="B5145" s="26" t="s">
        <v>543</v>
      </c>
      <c r="C5145" s="26"/>
      <c r="D5145" s="26" t="s">
        <v>543</v>
      </c>
      <c r="E5145" s="26" t="str">
        <f>IFERROR(VLOOKUP(G5145,WholesaleExtract!B:J,9,FALSE),"")</f>
        <v/>
      </c>
      <c r="F5145" s="26" t="str">
        <f>IFERROR(VLOOKUP(G5145,WholesaleExtract!B:J,6,FALSE),"")</f>
        <v/>
      </c>
      <c r="H5145" s="47" t="str">
        <f>IFERROR(VLOOKUP(G5145,WholesaleExtract!B:L,11,FALSE),"")</f>
        <v/>
      </c>
      <c r="I5145" s="26" t="str">
        <f>IFERROR(VLOOKUP(G5145,WholesaleExtract!B:O,8,FALSE),"")</f>
        <v/>
      </c>
      <c r="J5145" s="26" t="str">
        <f>IFERROR(VLOOKUP(G5145,WholesaleExtract!B:O,14,FALSE),"")</f>
        <v/>
      </c>
      <c r="K5145" s="26" t="str">
        <f>IFERROR(VLOOKUP(G5145,WholesaleExtract!B:K,10,FALSE),"")</f>
        <v/>
      </c>
      <c r="L5145" s="47" t="str">
        <f>IFERROR(VLOOKUP(G5145,WholesaleExtract!B:L,11,FALSE),"")</f>
        <v/>
      </c>
      <c r="M5145" s="47" t="str">
        <f>IFERROR(VLOOKUP(G5145,WholesaleExtract!B:M,12,FALSE),"")</f>
        <v/>
      </c>
      <c r="R5145" s="19"/>
      <c r="S5145" s="19"/>
    </row>
    <row r="5146" spans="1:19" x14ac:dyDescent="0.35">
      <c r="A5146" s="26" t="s">
        <v>543</v>
      </c>
      <c r="B5146" s="26" t="s">
        <v>543</v>
      </c>
      <c r="C5146" s="26"/>
      <c r="D5146" s="26" t="s">
        <v>543</v>
      </c>
      <c r="E5146" s="26" t="str">
        <f>IFERROR(VLOOKUP(G5146,WholesaleExtract!B:J,9,FALSE),"")</f>
        <v/>
      </c>
      <c r="F5146" s="26" t="str">
        <f>IFERROR(VLOOKUP(G5146,WholesaleExtract!B:J,6,FALSE),"")</f>
        <v/>
      </c>
      <c r="H5146" s="47" t="str">
        <f>IFERROR(VLOOKUP(G5146,WholesaleExtract!B:L,11,FALSE),"")</f>
        <v/>
      </c>
      <c r="I5146" s="26" t="str">
        <f>IFERROR(VLOOKUP(G5146,WholesaleExtract!B:O,8,FALSE),"")</f>
        <v/>
      </c>
      <c r="J5146" s="26" t="str">
        <f>IFERROR(VLOOKUP(G5146,WholesaleExtract!B:O,14,FALSE),"")</f>
        <v/>
      </c>
      <c r="K5146" s="26" t="str">
        <f>IFERROR(VLOOKUP(G5146,WholesaleExtract!B:K,10,FALSE),"")</f>
        <v/>
      </c>
      <c r="L5146" s="47" t="str">
        <f>IFERROR(VLOOKUP(G5146,WholesaleExtract!B:L,11,FALSE),"")</f>
        <v/>
      </c>
      <c r="M5146" s="47" t="str">
        <f>IFERROR(VLOOKUP(G5146,WholesaleExtract!B:M,12,FALSE),"")</f>
        <v/>
      </c>
      <c r="R5146" s="19"/>
      <c r="S5146" s="19"/>
    </row>
    <row r="5147" spans="1:19" x14ac:dyDescent="0.35">
      <c r="A5147" s="26" t="s">
        <v>543</v>
      </c>
      <c r="B5147" s="26" t="s">
        <v>543</v>
      </c>
      <c r="C5147" s="26"/>
      <c r="D5147" s="26" t="s">
        <v>543</v>
      </c>
      <c r="E5147" s="26" t="str">
        <f>IFERROR(VLOOKUP(G5147,WholesaleExtract!B:J,9,FALSE),"")</f>
        <v/>
      </c>
      <c r="F5147" s="26" t="str">
        <f>IFERROR(VLOOKUP(G5147,WholesaleExtract!B:J,6,FALSE),"")</f>
        <v/>
      </c>
      <c r="H5147" s="47" t="str">
        <f>IFERROR(VLOOKUP(G5147,WholesaleExtract!B:L,11,FALSE),"")</f>
        <v/>
      </c>
      <c r="I5147" s="26" t="str">
        <f>IFERROR(VLOOKUP(G5147,WholesaleExtract!B:O,8,FALSE),"")</f>
        <v/>
      </c>
      <c r="J5147" s="26" t="str">
        <f>IFERROR(VLOOKUP(G5147,WholesaleExtract!B:O,14,FALSE),"")</f>
        <v/>
      </c>
      <c r="K5147" s="26" t="str">
        <f>IFERROR(VLOOKUP(G5147,WholesaleExtract!B:K,10,FALSE),"")</f>
        <v/>
      </c>
      <c r="L5147" s="47" t="str">
        <f>IFERROR(VLOOKUP(G5147,WholesaleExtract!B:L,11,FALSE),"")</f>
        <v/>
      </c>
      <c r="M5147" s="47" t="str">
        <f>IFERROR(VLOOKUP(G5147,WholesaleExtract!B:M,12,FALSE),"")</f>
        <v/>
      </c>
      <c r="R5147" s="19"/>
      <c r="S5147" s="19"/>
    </row>
    <row r="5148" spans="1:19" x14ac:dyDescent="0.35">
      <c r="A5148" s="26" t="s">
        <v>543</v>
      </c>
      <c r="B5148" s="26" t="s">
        <v>543</v>
      </c>
      <c r="C5148" s="26"/>
      <c r="D5148" s="26" t="s">
        <v>543</v>
      </c>
      <c r="E5148" s="26" t="str">
        <f>IFERROR(VLOOKUP(G5148,WholesaleExtract!B:J,9,FALSE),"")</f>
        <v/>
      </c>
      <c r="F5148" s="26" t="str">
        <f>IFERROR(VLOOKUP(G5148,WholesaleExtract!B:J,6,FALSE),"")</f>
        <v/>
      </c>
      <c r="H5148" s="47" t="str">
        <f>IFERROR(VLOOKUP(G5148,WholesaleExtract!B:L,11,FALSE),"")</f>
        <v/>
      </c>
      <c r="I5148" s="26" t="str">
        <f>IFERROR(VLOOKUP(G5148,WholesaleExtract!B:O,8,FALSE),"")</f>
        <v/>
      </c>
      <c r="J5148" s="26" t="str">
        <f>IFERROR(VLOOKUP(G5148,WholesaleExtract!B:O,14,FALSE),"")</f>
        <v/>
      </c>
      <c r="K5148" s="26" t="str">
        <f>IFERROR(VLOOKUP(G5148,WholesaleExtract!B:K,10,FALSE),"")</f>
        <v/>
      </c>
      <c r="L5148" s="47" t="str">
        <f>IFERROR(VLOOKUP(G5148,WholesaleExtract!B:L,11,FALSE),"")</f>
        <v/>
      </c>
      <c r="M5148" s="47" t="str">
        <f>IFERROR(VLOOKUP(G5148,WholesaleExtract!B:M,12,FALSE),"")</f>
        <v/>
      </c>
      <c r="R5148" s="19"/>
      <c r="S5148" s="19"/>
    </row>
    <row r="5149" spans="1:19" x14ac:dyDescent="0.35">
      <c r="A5149" s="26" t="s">
        <v>543</v>
      </c>
      <c r="B5149" s="26" t="s">
        <v>543</v>
      </c>
      <c r="C5149" s="26"/>
      <c r="D5149" s="26" t="s">
        <v>543</v>
      </c>
      <c r="E5149" s="26" t="str">
        <f>IFERROR(VLOOKUP(G5149,WholesaleExtract!B:J,9,FALSE),"")</f>
        <v/>
      </c>
      <c r="F5149" s="26" t="str">
        <f>IFERROR(VLOOKUP(G5149,WholesaleExtract!B:J,6,FALSE),"")</f>
        <v/>
      </c>
      <c r="H5149" s="47" t="str">
        <f>IFERROR(VLOOKUP(G5149,WholesaleExtract!B:L,11,FALSE),"")</f>
        <v/>
      </c>
      <c r="I5149" s="26" t="str">
        <f>IFERROR(VLOOKUP(G5149,WholesaleExtract!B:O,8,FALSE),"")</f>
        <v/>
      </c>
      <c r="J5149" s="26" t="str">
        <f>IFERROR(VLOOKUP(G5149,WholesaleExtract!B:O,14,FALSE),"")</f>
        <v/>
      </c>
      <c r="K5149" s="26" t="str">
        <f>IFERROR(VLOOKUP(G5149,WholesaleExtract!B:K,10,FALSE),"")</f>
        <v/>
      </c>
      <c r="L5149" s="47" t="str">
        <f>IFERROR(VLOOKUP(G5149,WholesaleExtract!B:L,11,FALSE),"")</f>
        <v/>
      </c>
      <c r="M5149" s="47" t="str">
        <f>IFERROR(VLOOKUP(G5149,WholesaleExtract!B:M,12,FALSE),"")</f>
        <v/>
      </c>
      <c r="R5149" s="19"/>
      <c r="S5149" s="19"/>
    </row>
    <row r="5150" spans="1:19" x14ac:dyDescent="0.35">
      <c r="A5150" s="26" t="s">
        <v>543</v>
      </c>
      <c r="B5150" s="26" t="s">
        <v>543</v>
      </c>
      <c r="C5150" s="26"/>
      <c r="D5150" s="26" t="s">
        <v>543</v>
      </c>
      <c r="E5150" s="26" t="str">
        <f>IFERROR(VLOOKUP(G5150,WholesaleExtract!B:J,9,FALSE),"")</f>
        <v/>
      </c>
      <c r="F5150" s="26" t="str">
        <f>IFERROR(VLOOKUP(G5150,WholesaleExtract!B:J,6,FALSE),"")</f>
        <v/>
      </c>
      <c r="H5150" s="47" t="str">
        <f>IFERROR(VLOOKUP(G5150,WholesaleExtract!B:L,11,FALSE),"")</f>
        <v/>
      </c>
      <c r="I5150" s="26" t="str">
        <f>IFERROR(VLOOKUP(G5150,WholesaleExtract!B:O,8,FALSE),"")</f>
        <v/>
      </c>
      <c r="J5150" s="26" t="str">
        <f>IFERROR(VLOOKUP(G5150,WholesaleExtract!B:O,14,FALSE),"")</f>
        <v/>
      </c>
      <c r="K5150" s="26" t="str">
        <f>IFERROR(VLOOKUP(G5150,WholesaleExtract!B:K,10,FALSE),"")</f>
        <v/>
      </c>
      <c r="L5150" s="47" t="str">
        <f>IFERROR(VLOOKUP(G5150,WholesaleExtract!B:L,11,FALSE),"")</f>
        <v/>
      </c>
      <c r="M5150" s="47" t="str">
        <f>IFERROR(VLOOKUP(G5150,WholesaleExtract!B:M,12,FALSE),"")</f>
        <v/>
      </c>
      <c r="R5150" s="19"/>
      <c r="S5150" s="19"/>
    </row>
    <row r="5151" spans="1:19" x14ac:dyDescent="0.35">
      <c r="A5151" s="26" t="s">
        <v>543</v>
      </c>
      <c r="B5151" s="26" t="s">
        <v>543</v>
      </c>
      <c r="C5151" s="26"/>
      <c r="D5151" s="26" t="s">
        <v>543</v>
      </c>
      <c r="E5151" s="26" t="str">
        <f>IFERROR(VLOOKUP(G5151,WholesaleExtract!B:J,9,FALSE),"")</f>
        <v/>
      </c>
      <c r="F5151" s="26" t="str">
        <f>IFERROR(VLOOKUP(G5151,WholesaleExtract!B:J,6,FALSE),"")</f>
        <v/>
      </c>
      <c r="H5151" s="47" t="str">
        <f>IFERROR(VLOOKUP(G5151,WholesaleExtract!B:L,11,FALSE),"")</f>
        <v/>
      </c>
      <c r="I5151" s="26" t="str">
        <f>IFERROR(VLOOKUP(G5151,WholesaleExtract!B:O,8,FALSE),"")</f>
        <v/>
      </c>
      <c r="J5151" s="26" t="str">
        <f>IFERROR(VLOOKUP(G5151,WholesaleExtract!B:O,14,FALSE),"")</f>
        <v/>
      </c>
      <c r="K5151" s="26" t="str">
        <f>IFERROR(VLOOKUP(G5151,WholesaleExtract!B:K,10,FALSE),"")</f>
        <v/>
      </c>
      <c r="L5151" s="47" t="str">
        <f>IFERROR(VLOOKUP(G5151,WholesaleExtract!B:L,11,FALSE),"")</f>
        <v/>
      </c>
      <c r="M5151" s="47" t="str">
        <f>IFERROR(VLOOKUP(G5151,WholesaleExtract!B:M,12,FALSE),"")</f>
        <v/>
      </c>
      <c r="R5151" s="19"/>
      <c r="S5151" s="19"/>
    </row>
    <row r="5152" spans="1:19" x14ac:dyDescent="0.35">
      <c r="A5152" s="26" t="s">
        <v>543</v>
      </c>
      <c r="B5152" s="26" t="s">
        <v>543</v>
      </c>
      <c r="C5152" s="26"/>
      <c r="D5152" s="26" t="s">
        <v>543</v>
      </c>
      <c r="E5152" s="26" t="str">
        <f>IFERROR(VLOOKUP(G5152,WholesaleExtract!B:J,9,FALSE),"")</f>
        <v/>
      </c>
      <c r="F5152" s="26" t="str">
        <f>IFERROR(VLOOKUP(G5152,WholesaleExtract!B:J,6,FALSE),"")</f>
        <v/>
      </c>
      <c r="H5152" s="47" t="str">
        <f>IFERROR(VLOOKUP(G5152,WholesaleExtract!B:L,11,FALSE),"")</f>
        <v/>
      </c>
      <c r="I5152" s="26" t="str">
        <f>IFERROR(VLOOKUP(G5152,WholesaleExtract!B:O,8,FALSE),"")</f>
        <v/>
      </c>
      <c r="J5152" s="26" t="str">
        <f>IFERROR(VLOOKUP(G5152,WholesaleExtract!B:O,14,FALSE),"")</f>
        <v/>
      </c>
      <c r="K5152" s="26" t="str">
        <f>IFERROR(VLOOKUP(G5152,WholesaleExtract!B:K,10,FALSE),"")</f>
        <v/>
      </c>
      <c r="L5152" s="47" t="str">
        <f>IFERROR(VLOOKUP(G5152,WholesaleExtract!B:L,11,FALSE),"")</f>
        <v/>
      </c>
      <c r="M5152" s="47" t="str">
        <f>IFERROR(VLOOKUP(G5152,WholesaleExtract!B:M,12,FALSE),"")</f>
        <v/>
      </c>
      <c r="R5152" s="19"/>
      <c r="S5152" s="19"/>
    </row>
    <row r="5153" spans="1:19" x14ac:dyDescent="0.35">
      <c r="A5153" s="26" t="s">
        <v>543</v>
      </c>
      <c r="B5153" s="26" t="s">
        <v>543</v>
      </c>
      <c r="C5153" s="26"/>
      <c r="D5153" s="26" t="s">
        <v>543</v>
      </c>
      <c r="E5153" s="26" t="str">
        <f>IFERROR(VLOOKUP(G5153,WholesaleExtract!B:J,9,FALSE),"")</f>
        <v/>
      </c>
      <c r="F5153" s="26" t="str">
        <f>IFERROR(VLOOKUP(G5153,WholesaleExtract!B:J,6,FALSE),"")</f>
        <v/>
      </c>
      <c r="H5153" s="47" t="str">
        <f>IFERROR(VLOOKUP(G5153,WholesaleExtract!B:L,11,FALSE),"")</f>
        <v/>
      </c>
      <c r="I5153" s="26" t="str">
        <f>IFERROR(VLOOKUP(G5153,WholesaleExtract!B:O,8,FALSE),"")</f>
        <v/>
      </c>
      <c r="J5153" s="26" t="str">
        <f>IFERROR(VLOOKUP(G5153,WholesaleExtract!B:O,14,FALSE),"")</f>
        <v/>
      </c>
      <c r="K5153" s="26" t="str">
        <f>IFERROR(VLOOKUP(G5153,WholesaleExtract!B:K,10,FALSE),"")</f>
        <v/>
      </c>
      <c r="L5153" s="47" t="str">
        <f>IFERROR(VLOOKUP(G5153,WholesaleExtract!B:L,11,FALSE),"")</f>
        <v/>
      </c>
      <c r="M5153" s="47" t="str">
        <f>IFERROR(VLOOKUP(G5153,WholesaleExtract!B:M,12,FALSE),"")</f>
        <v/>
      </c>
      <c r="R5153" s="19"/>
      <c r="S5153" s="19"/>
    </row>
    <row r="5154" spans="1:19" x14ac:dyDescent="0.35">
      <c r="A5154" s="26" t="s">
        <v>543</v>
      </c>
      <c r="B5154" s="26" t="s">
        <v>543</v>
      </c>
      <c r="C5154" s="26"/>
      <c r="D5154" s="26" t="s">
        <v>543</v>
      </c>
      <c r="E5154" s="26" t="str">
        <f>IFERROR(VLOOKUP(G5154,WholesaleExtract!B:J,9,FALSE),"")</f>
        <v/>
      </c>
      <c r="F5154" s="26" t="str">
        <f>IFERROR(VLOOKUP(G5154,WholesaleExtract!B:J,6,FALSE),"")</f>
        <v/>
      </c>
      <c r="H5154" s="47" t="str">
        <f>IFERROR(VLOOKUP(G5154,WholesaleExtract!B:L,11,FALSE),"")</f>
        <v/>
      </c>
      <c r="I5154" s="26" t="str">
        <f>IFERROR(VLOOKUP(G5154,WholesaleExtract!B:O,8,FALSE),"")</f>
        <v/>
      </c>
      <c r="J5154" s="26" t="str">
        <f>IFERROR(VLOOKUP(G5154,WholesaleExtract!B:O,14,FALSE),"")</f>
        <v/>
      </c>
      <c r="K5154" s="26" t="str">
        <f>IFERROR(VLOOKUP(G5154,WholesaleExtract!B:K,10,FALSE),"")</f>
        <v/>
      </c>
      <c r="L5154" s="47" t="str">
        <f>IFERROR(VLOOKUP(G5154,WholesaleExtract!B:L,11,FALSE),"")</f>
        <v/>
      </c>
      <c r="M5154" s="47" t="str">
        <f>IFERROR(VLOOKUP(G5154,WholesaleExtract!B:M,12,FALSE),"")</f>
        <v/>
      </c>
      <c r="R5154" s="19"/>
      <c r="S5154" s="19"/>
    </row>
    <row r="5155" spans="1:19" x14ac:dyDescent="0.35">
      <c r="A5155" s="26" t="s">
        <v>543</v>
      </c>
      <c r="B5155" s="26" t="s">
        <v>543</v>
      </c>
      <c r="C5155" s="26"/>
      <c r="D5155" s="26" t="s">
        <v>543</v>
      </c>
      <c r="E5155" s="26" t="str">
        <f>IFERROR(VLOOKUP(G5155,WholesaleExtract!B:J,9,FALSE),"")</f>
        <v/>
      </c>
      <c r="F5155" s="26" t="str">
        <f>IFERROR(VLOOKUP(G5155,WholesaleExtract!B:J,6,FALSE),"")</f>
        <v/>
      </c>
      <c r="H5155" s="47" t="str">
        <f>IFERROR(VLOOKUP(G5155,WholesaleExtract!B:L,11,FALSE),"")</f>
        <v/>
      </c>
      <c r="I5155" s="26" t="str">
        <f>IFERROR(VLOOKUP(G5155,WholesaleExtract!B:O,8,FALSE),"")</f>
        <v/>
      </c>
      <c r="J5155" s="26" t="str">
        <f>IFERROR(VLOOKUP(G5155,WholesaleExtract!B:O,14,FALSE),"")</f>
        <v/>
      </c>
      <c r="K5155" s="26" t="str">
        <f>IFERROR(VLOOKUP(G5155,WholesaleExtract!B:K,10,FALSE),"")</f>
        <v/>
      </c>
      <c r="L5155" s="47" t="str">
        <f>IFERROR(VLOOKUP(G5155,WholesaleExtract!B:L,11,FALSE),"")</f>
        <v/>
      </c>
      <c r="M5155" s="47" t="str">
        <f>IFERROR(VLOOKUP(G5155,WholesaleExtract!B:M,12,FALSE),"")</f>
        <v/>
      </c>
      <c r="R5155" s="19"/>
      <c r="S5155" s="19"/>
    </row>
    <row r="5156" spans="1:19" x14ac:dyDescent="0.35">
      <c r="A5156" s="26" t="s">
        <v>543</v>
      </c>
      <c r="B5156" s="26" t="s">
        <v>543</v>
      </c>
      <c r="C5156" s="26"/>
      <c r="D5156" s="26" t="s">
        <v>543</v>
      </c>
      <c r="E5156" s="26" t="str">
        <f>IFERROR(VLOOKUP(G5156,WholesaleExtract!B:J,9,FALSE),"")</f>
        <v/>
      </c>
      <c r="F5156" s="26" t="str">
        <f>IFERROR(VLOOKUP(G5156,WholesaleExtract!B:J,6,FALSE),"")</f>
        <v/>
      </c>
      <c r="H5156" s="47" t="str">
        <f>IFERROR(VLOOKUP(G5156,WholesaleExtract!B:L,11,FALSE),"")</f>
        <v/>
      </c>
      <c r="I5156" s="26" t="str">
        <f>IFERROR(VLOOKUP(G5156,WholesaleExtract!B:O,8,FALSE),"")</f>
        <v/>
      </c>
      <c r="J5156" s="26" t="str">
        <f>IFERROR(VLOOKUP(G5156,WholesaleExtract!B:O,14,FALSE),"")</f>
        <v/>
      </c>
      <c r="K5156" s="26" t="str">
        <f>IFERROR(VLOOKUP(G5156,WholesaleExtract!B:K,10,FALSE),"")</f>
        <v/>
      </c>
      <c r="L5156" s="47" t="str">
        <f>IFERROR(VLOOKUP(G5156,WholesaleExtract!B:L,11,FALSE),"")</f>
        <v/>
      </c>
      <c r="M5156" s="47" t="str">
        <f>IFERROR(VLOOKUP(G5156,WholesaleExtract!B:M,12,FALSE),"")</f>
        <v/>
      </c>
      <c r="R5156" s="19"/>
      <c r="S5156" s="19"/>
    </row>
    <row r="5157" spans="1:19" x14ac:dyDescent="0.35">
      <c r="A5157" s="26" t="s">
        <v>543</v>
      </c>
      <c r="B5157" s="26" t="s">
        <v>543</v>
      </c>
      <c r="C5157" s="26"/>
      <c r="D5157" s="26" t="s">
        <v>543</v>
      </c>
      <c r="E5157" s="26" t="str">
        <f>IFERROR(VLOOKUP(G5157,WholesaleExtract!B:J,9,FALSE),"")</f>
        <v/>
      </c>
      <c r="F5157" s="26" t="str">
        <f>IFERROR(VLOOKUP(G5157,WholesaleExtract!B:J,6,FALSE),"")</f>
        <v/>
      </c>
      <c r="H5157" s="47" t="str">
        <f>IFERROR(VLOOKUP(G5157,WholesaleExtract!B:L,11,FALSE),"")</f>
        <v/>
      </c>
      <c r="I5157" s="26" t="str">
        <f>IFERROR(VLOOKUP(G5157,WholesaleExtract!B:O,8,FALSE),"")</f>
        <v/>
      </c>
      <c r="J5157" s="26" t="str">
        <f>IFERROR(VLOOKUP(G5157,WholesaleExtract!B:O,14,FALSE),"")</f>
        <v/>
      </c>
      <c r="K5157" s="26" t="str">
        <f>IFERROR(VLOOKUP(G5157,WholesaleExtract!B:K,10,FALSE),"")</f>
        <v/>
      </c>
      <c r="L5157" s="47" t="str">
        <f>IFERROR(VLOOKUP(G5157,WholesaleExtract!B:L,11,FALSE),"")</f>
        <v/>
      </c>
      <c r="M5157" s="47" t="str">
        <f>IFERROR(VLOOKUP(G5157,WholesaleExtract!B:M,12,FALSE),"")</f>
        <v/>
      </c>
      <c r="R5157" s="19"/>
      <c r="S5157" s="19"/>
    </row>
    <row r="5158" spans="1:19" x14ac:dyDescent="0.35">
      <c r="A5158" s="26" t="s">
        <v>543</v>
      </c>
      <c r="B5158" s="26" t="s">
        <v>543</v>
      </c>
      <c r="C5158" s="26"/>
      <c r="D5158" s="26" t="s">
        <v>543</v>
      </c>
      <c r="E5158" s="26" t="str">
        <f>IFERROR(VLOOKUP(G5158,WholesaleExtract!B:J,9,FALSE),"")</f>
        <v/>
      </c>
      <c r="F5158" s="26" t="str">
        <f>IFERROR(VLOOKUP(G5158,WholesaleExtract!B:J,6,FALSE),"")</f>
        <v/>
      </c>
      <c r="H5158" s="47" t="str">
        <f>IFERROR(VLOOKUP(G5158,WholesaleExtract!B:L,11,FALSE),"")</f>
        <v/>
      </c>
      <c r="I5158" s="26" t="str">
        <f>IFERROR(VLOOKUP(G5158,WholesaleExtract!B:O,8,FALSE),"")</f>
        <v/>
      </c>
      <c r="J5158" s="26" t="str">
        <f>IFERROR(VLOOKUP(G5158,WholesaleExtract!B:O,14,FALSE),"")</f>
        <v/>
      </c>
      <c r="K5158" s="26" t="str">
        <f>IFERROR(VLOOKUP(G5158,WholesaleExtract!B:K,10,FALSE),"")</f>
        <v/>
      </c>
      <c r="L5158" s="47" t="str">
        <f>IFERROR(VLOOKUP(G5158,WholesaleExtract!B:L,11,FALSE),"")</f>
        <v/>
      </c>
      <c r="M5158" s="47" t="str">
        <f>IFERROR(VLOOKUP(G5158,WholesaleExtract!B:M,12,FALSE),"")</f>
        <v/>
      </c>
      <c r="R5158" s="19"/>
      <c r="S5158" s="19"/>
    </row>
    <row r="5159" spans="1:19" x14ac:dyDescent="0.35">
      <c r="A5159" s="26" t="s">
        <v>543</v>
      </c>
      <c r="B5159" s="26" t="s">
        <v>543</v>
      </c>
      <c r="C5159" s="26"/>
      <c r="D5159" s="26" t="s">
        <v>543</v>
      </c>
      <c r="E5159" s="26" t="str">
        <f>IFERROR(VLOOKUP(G5159,WholesaleExtract!B:J,9,FALSE),"")</f>
        <v/>
      </c>
      <c r="F5159" s="26" t="str">
        <f>IFERROR(VLOOKUP(G5159,WholesaleExtract!B:J,6,FALSE),"")</f>
        <v/>
      </c>
      <c r="H5159" s="47" t="str">
        <f>IFERROR(VLOOKUP(G5159,WholesaleExtract!B:L,11,FALSE),"")</f>
        <v/>
      </c>
      <c r="I5159" s="26" t="str">
        <f>IFERROR(VLOOKUP(G5159,WholesaleExtract!B:O,8,FALSE),"")</f>
        <v/>
      </c>
      <c r="J5159" s="26" t="str">
        <f>IFERROR(VLOOKUP(G5159,WholesaleExtract!B:O,14,FALSE),"")</f>
        <v/>
      </c>
      <c r="K5159" s="26" t="str">
        <f>IFERROR(VLOOKUP(G5159,WholesaleExtract!B:K,10,FALSE),"")</f>
        <v/>
      </c>
      <c r="L5159" s="47" t="str">
        <f>IFERROR(VLOOKUP(G5159,WholesaleExtract!B:L,11,FALSE),"")</f>
        <v/>
      </c>
      <c r="M5159" s="47" t="str">
        <f>IFERROR(VLOOKUP(G5159,WholesaleExtract!B:M,12,FALSE),"")</f>
        <v/>
      </c>
      <c r="R5159" s="19"/>
      <c r="S5159" s="19"/>
    </row>
    <row r="5160" spans="1:19" x14ac:dyDescent="0.35">
      <c r="A5160" s="26" t="s">
        <v>543</v>
      </c>
      <c r="B5160" s="26" t="s">
        <v>543</v>
      </c>
      <c r="C5160" s="26"/>
      <c r="D5160" s="26" t="s">
        <v>543</v>
      </c>
      <c r="E5160" s="26" t="str">
        <f>IFERROR(VLOOKUP(G5160,WholesaleExtract!B:J,9,FALSE),"")</f>
        <v/>
      </c>
      <c r="F5160" s="26" t="str">
        <f>IFERROR(VLOOKUP(G5160,WholesaleExtract!B:J,6,FALSE),"")</f>
        <v/>
      </c>
      <c r="H5160" s="47" t="str">
        <f>IFERROR(VLOOKUP(G5160,WholesaleExtract!B:L,11,FALSE),"")</f>
        <v/>
      </c>
      <c r="I5160" s="26" t="str">
        <f>IFERROR(VLOOKUP(G5160,WholesaleExtract!B:O,8,FALSE),"")</f>
        <v/>
      </c>
      <c r="J5160" s="26" t="str">
        <f>IFERROR(VLOOKUP(G5160,WholesaleExtract!B:O,14,FALSE),"")</f>
        <v/>
      </c>
      <c r="K5160" s="26" t="str">
        <f>IFERROR(VLOOKUP(G5160,WholesaleExtract!B:K,10,FALSE),"")</f>
        <v/>
      </c>
      <c r="L5160" s="47" t="str">
        <f>IFERROR(VLOOKUP(G5160,WholesaleExtract!B:L,11,FALSE),"")</f>
        <v/>
      </c>
      <c r="M5160" s="47" t="str">
        <f>IFERROR(VLOOKUP(G5160,WholesaleExtract!B:M,12,FALSE),"")</f>
        <v/>
      </c>
      <c r="R5160" s="19"/>
      <c r="S5160" s="19"/>
    </row>
    <row r="5161" spans="1:19" x14ac:dyDescent="0.35">
      <c r="A5161" s="26" t="s">
        <v>543</v>
      </c>
      <c r="B5161" s="26" t="s">
        <v>543</v>
      </c>
      <c r="C5161" s="26"/>
      <c r="D5161" s="26" t="s">
        <v>543</v>
      </c>
      <c r="E5161" s="26" t="str">
        <f>IFERROR(VLOOKUP(G5161,WholesaleExtract!B:J,9,FALSE),"")</f>
        <v/>
      </c>
      <c r="F5161" s="26" t="str">
        <f>IFERROR(VLOOKUP(G5161,WholesaleExtract!B:J,6,FALSE),"")</f>
        <v/>
      </c>
      <c r="H5161" s="47" t="str">
        <f>IFERROR(VLOOKUP(G5161,WholesaleExtract!B:L,11,FALSE),"")</f>
        <v/>
      </c>
      <c r="I5161" s="26" t="str">
        <f>IFERROR(VLOOKUP(G5161,WholesaleExtract!B:O,8,FALSE),"")</f>
        <v/>
      </c>
      <c r="J5161" s="26" t="str">
        <f>IFERROR(VLOOKUP(G5161,WholesaleExtract!B:O,14,FALSE),"")</f>
        <v/>
      </c>
      <c r="K5161" s="26" t="str">
        <f>IFERROR(VLOOKUP(G5161,WholesaleExtract!B:K,10,FALSE),"")</f>
        <v/>
      </c>
      <c r="L5161" s="47" t="str">
        <f>IFERROR(VLOOKUP(G5161,WholesaleExtract!B:L,11,FALSE),"")</f>
        <v/>
      </c>
      <c r="M5161" s="47" t="str">
        <f>IFERROR(VLOOKUP(G5161,WholesaleExtract!B:M,12,FALSE),"")</f>
        <v/>
      </c>
      <c r="R5161" s="19"/>
      <c r="S5161" s="19"/>
    </row>
    <row r="5162" spans="1:19" x14ac:dyDescent="0.35">
      <c r="A5162" s="26" t="s">
        <v>543</v>
      </c>
      <c r="B5162" s="26" t="s">
        <v>543</v>
      </c>
      <c r="C5162" s="26"/>
      <c r="D5162" s="26" t="s">
        <v>543</v>
      </c>
      <c r="E5162" s="26" t="str">
        <f>IFERROR(VLOOKUP(G5162,WholesaleExtract!B:J,9,FALSE),"")</f>
        <v/>
      </c>
      <c r="F5162" s="26" t="str">
        <f>IFERROR(VLOOKUP(G5162,WholesaleExtract!B:J,6,FALSE),"")</f>
        <v/>
      </c>
      <c r="H5162" s="47" t="str">
        <f>IFERROR(VLOOKUP(G5162,WholesaleExtract!B:L,11,FALSE),"")</f>
        <v/>
      </c>
      <c r="I5162" s="26" t="str">
        <f>IFERROR(VLOOKUP(G5162,WholesaleExtract!B:O,8,FALSE),"")</f>
        <v/>
      </c>
      <c r="J5162" s="26" t="str">
        <f>IFERROR(VLOOKUP(G5162,WholesaleExtract!B:O,14,FALSE),"")</f>
        <v/>
      </c>
      <c r="K5162" s="26" t="str">
        <f>IFERROR(VLOOKUP(G5162,WholesaleExtract!B:K,10,FALSE),"")</f>
        <v/>
      </c>
      <c r="L5162" s="47" t="str">
        <f>IFERROR(VLOOKUP(G5162,WholesaleExtract!B:L,11,FALSE),"")</f>
        <v/>
      </c>
      <c r="M5162" s="47" t="str">
        <f>IFERROR(VLOOKUP(G5162,WholesaleExtract!B:M,12,FALSE),"")</f>
        <v/>
      </c>
      <c r="R5162" s="19"/>
      <c r="S5162" s="19"/>
    </row>
    <row r="5163" spans="1:19" x14ac:dyDescent="0.35">
      <c r="A5163" s="26" t="s">
        <v>543</v>
      </c>
      <c r="B5163" s="26" t="s">
        <v>543</v>
      </c>
      <c r="C5163" s="26"/>
      <c r="D5163" s="26" t="s">
        <v>543</v>
      </c>
      <c r="E5163" s="26" t="str">
        <f>IFERROR(VLOOKUP(G5163,WholesaleExtract!B:J,9,FALSE),"")</f>
        <v/>
      </c>
      <c r="F5163" s="26" t="str">
        <f>IFERROR(VLOOKUP(G5163,WholesaleExtract!B:J,6,FALSE),"")</f>
        <v/>
      </c>
      <c r="H5163" s="47" t="str">
        <f>IFERROR(VLOOKUP(G5163,WholesaleExtract!B:L,11,FALSE),"")</f>
        <v/>
      </c>
      <c r="I5163" s="26" t="str">
        <f>IFERROR(VLOOKUP(G5163,WholesaleExtract!B:O,8,FALSE),"")</f>
        <v/>
      </c>
      <c r="J5163" s="26" t="str">
        <f>IFERROR(VLOOKUP(G5163,WholesaleExtract!B:O,14,FALSE),"")</f>
        <v/>
      </c>
      <c r="K5163" s="26" t="str">
        <f>IFERROR(VLOOKUP(G5163,WholesaleExtract!B:K,10,FALSE),"")</f>
        <v/>
      </c>
      <c r="L5163" s="47" t="str">
        <f>IFERROR(VLOOKUP(G5163,WholesaleExtract!B:L,11,FALSE),"")</f>
        <v/>
      </c>
      <c r="M5163" s="47" t="str">
        <f>IFERROR(VLOOKUP(G5163,WholesaleExtract!B:M,12,FALSE),"")</f>
        <v/>
      </c>
      <c r="R5163" s="19"/>
      <c r="S5163" s="19"/>
    </row>
    <row r="5164" spans="1:19" x14ac:dyDescent="0.35">
      <c r="A5164" s="26" t="s">
        <v>543</v>
      </c>
      <c r="B5164" s="26" t="s">
        <v>543</v>
      </c>
      <c r="C5164" s="26"/>
      <c r="D5164" s="26" t="s">
        <v>543</v>
      </c>
      <c r="E5164" s="26" t="str">
        <f>IFERROR(VLOOKUP(G5164,WholesaleExtract!B:J,9,FALSE),"")</f>
        <v/>
      </c>
      <c r="F5164" s="26" t="str">
        <f>IFERROR(VLOOKUP(G5164,WholesaleExtract!B:J,6,FALSE),"")</f>
        <v/>
      </c>
      <c r="H5164" s="47" t="str">
        <f>IFERROR(VLOOKUP(G5164,WholesaleExtract!B:L,11,FALSE),"")</f>
        <v/>
      </c>
      <c r="I5164" s="26" t="str">
        <f>IFERROR(VLOOKUP(G5164,WholesaleExtract!B:O,8,FALSE),"")</f>
        <v/>
      </c>
      <c r="J5164" s="26" t="str">
        <f>IFERROR(VLOOKUP(G5164,WholesaleExtract!B:O,14,FALSE),"")</f>
        <v/>
      </c>
      <c r="K5164" s="26" t="str">
        <f>IFERROR(VLOOKUP(G5164,WholesaleExtract!B:K,10,FALSE),"")</f>
        <v/>
      </c>
      <c r="L5164" s="47" t="str">
        <f>IFERROR(VLOOKUP(G5164,WholesaleExtract!B:L,11,FALSE),"")</f>
        <v/>
      </c>
      <c r="M5164" s="47" t="str">
        <f>IFERROR(VLOOKUP(G5164,WholesaleExtract!B:M,12,FALSE),"")</f>
        <v/>
      </c>
      <c r="R5164" s="19"/>
      <c r="S5164" s="19"/>
    </row>
    <row r="5165" spans="1:19" x14ac:dyDescent="0.35">
      <c r="A5165" s="26" t="s">
        <v>543</v>
      </c>
      <c r="B5165" s="26" t="s">
        <v>543</v>
      </c>
      <c r="C5165" s="26"/>
      <c r="D5165" s="26" t="s">
        <v>543</v>
      </c>
      <c r="E5165" s="26" t="str">
        <f>IFERROR(VLOOKUP(G5165,WholesaleExtract!B:J,9,FALSE),"")</f>
        <v/>
      </c>
      <c r="F5165" s="26" t="str">
        <f>IFERROR(VLOOKUP(G5165,WholesaleExtract!B:J,6,FALSE),"")</f>
        <v/>
      </c>
      <c r="H5165" s="47" t="str">
        <f>IFERROR(VLOOKUP(G5165,WholesaleExtract!B:L,11,FALSE),"")</f>
        <v/>
      </c>
      <c r="I5165" s="26" t="str">
        <f>IFERROR(VLOOKUP(G5165,WholesaleExtract!B:O,8,FALSE),"")</f>
        <v/>
      </c>
      <c r="J5165" s="26" t="str">
        <f>IFERROR(VLOOKUP(G5165,WholesaleExtract!B:O,14,FALSE),"")</f>
        <v/>
      </c>
      <c r="K5165" s="26" t="str">
        <f>IFERROR(VLOOKUP(G5165,WholesaleExtract!B:K,10,FALSE),"")</f>
        <v/>
      </c>
      <c r="L5165" s="47" t="str">
        <f>IFERROR(VLOOKUP(G5165,WholesaleExtract!B:L,11,FALSE),"")</f>
        <v/>
      </c>
      <c r="M5165" s="47" t="str">
        <f>IFERROR(VLOOKUP(G5165,WholesaleExtract!B:M,12,FALSE),"")</f>
        <v/>
      </c>
      <c r="R5165" s="19"/>
      <c r="S5165" s="19"/>
    </row>
    <row r="5166" spans="1:19" x14ac:dyDescent="0.35">
      <c r="A5166" s="26" t="s">
        <v>543</v>
      </c>
      <c r="B5166" s="26" t="s">
        <v>543</v>
      </c>
      <c r="C5166" s="26"/>
      <c r="D5166" s="26" t="s">
        <v>543</v>
      </c>
      <c r="E5166" s="26" t="str">
        <f>IFERROR(VLOOKUP(G5166,WholesaleExtract!B:J,9,FALSE),"")</f>
        <v/>
      </c>
      <c r="F5166" s="26" t="str">
        <f>IFERROR(VLOOKUP(G5166,WholesaleExtract!B:J,6,FALSE),"")</f>
        <v/>
      </c>
      <c r="H5166" s="47" t="str">
        <f>IFERROR(VLOOKUP(G5166,WholesaleExtract!B:L,11,FALSE),"")</f>
        <v/>
      </c>
      <c r="I5166" s="26" t="str">
        <f>IFERROR(VLOOKUP(G5166,WholesaleExtract!B:O,8,FALSE),"")</f>
        <v/>
      </c>
      <c r="J5166" s="26" t="str">
        <f>IFERROR(VLOOKUP(G5166,WholesaleExtract!B:O,14,FALSE),"")</f>
        <v/>
      </c>
      <c r="K5166" s="26" t="str">
        <f>IFERROR(VLOOKUP(G5166,WholesaleExtract!B:K,10,FALSE),"")</f>
        <v/>
      </c>
      <c r="L5166" s="47" t="str">
        <f>IFERROR(VLOOKUP(G5166,WholesaleExtract!B:L,11,FALSE),"")</f>
        <v/>
      </c>
      <c r="M5166" s="47" t="str">
        <f>IFERROR(VLOOKUP(G5166,WholesaleExtract!B:M,12,FALSE),"")</f>
        <v/>
      </c>
      <c r="R5166" s="19"/>
      <c r="S5166" s="19"/>
    </row>
    <row r="5167" spans="1:19" x14ac:dyDescent="0.35">
      <c r="A5167" s="26" t="s">
        <v>543</v>
      </c>
      <c r="B5167" s="26" t="s">
        <v>543</v>
      </c>
      <c r="C5167" s="26"/>
      <c r="D5167" s="26" t="s">
        <v>543</v>
      </c>
      <c r="E5167" s="26" t="str">
        <f>IFERROR(VLOOKUP(G5167,WholesaleExtract!B:J,9,FALSE),"")</f>
        <v/>
      </c>
      <c r="F5167" s="26" t="str">
        <f>IFERROR(VLOOKUP(G5167,WholesaleExtract!B:J,6,FALSE),"")</f>
        <v/>
      </c>
      <c r="H5167" s="47" t="str">
        <f>IFERROR(VLOOKUP(G5167,WholesaleExtract!B:L,11,FALSE),"")</f>
        <v/>
      </c>
      <c r="I5167" s="26" t="str">
        <f>IFERROR(VLOOKUP(G5167,WholesaleExtract!B:O,8,FALSE),"")</f>
        <v/>
      </c>
      <c r="J5167" s="26" t="str">
        <f>IFERROR(VLOOKUP(G5167,WholesaleExtract!B:O,14,FALSE),"")</f>
        <v/>
      </c>
      <c r="K5167" s="26" t="str">
        <f>IFERROR(VLOOKUP(G5167,WholesaleExtract!B:K,10,FALSE),"")</f>
        <v/>
      </c>
      <c r="L5167" s="47" t="str">
        <f>IFERROR(VLOOKUP(G5167,WholesaleExtract!B:L,11,FALSE),"")</f>
        <v/>
      </c>
      <c r="M5167" s="47" t="str">
        <f>IFERROR(VLOOKUP(G5167,WholesaleExtract!B:M,12,FALSE),"")</f>
        <v/>
      </c>
      <c r="R5167" s="19"/>
      <c r="S5167" s="19"/>
    </row>
    <row r="5168" spans="1:19" x14ac:dyDescent="0.35">
      <c r="A5168" s="26" t="s">
        <v>543</v>
      </c>
      <c r="B5168" s="26" t="s">
        <v>543</v>
      </c>
      <c r="C5168" s="26"/>
      <c r="D5168" s="26" t="s">
        <v>543</v>
      </c>
      <c r="E5168" s="26" t="str">
        <f>IFERROR(VLOOKUP(G5168,WholesaleExtract!B:J,9,FALSE),"")</f>
        <v/>
      </c>
      <c r="F5168" s="26" t="str">
        <f>IFERROR(VLOOKUP(G5168,WholesaleExtract!B:J,6,FALSE),"")</f>
        <v/>
      </c>
      <c r="H5168" s="47" t="str">
        <f>IFERROR(VLOOKUP(G5168,WholesaleExtract!B:L,11,FALSE),"")</f>
        <v/>
      </c>
      <c r="I5168" s="26" t="str">
        <f>IFERROR(VLOOKUP(G5168,WholesaleExtract!B:O,8,FALSE),"")</f>
        <v/>
      </c>
      <c r="J5168" s="26" t="str">
        <f>IFERROR(VLOOKUP(G5168,WholesaleExtract!B:O,14,FALSE),"")</f>
        <v/>
      </c>
      <c r="K5168" s="26" t="str">
        <f>IFERROR(VLOOKUP(G5168,WholesaleExtract!B:K,10,FALSE),"")</f>
        <v/>
      </c>
      <c r="L5168" s="47" t="str">
        <f>IFERROR(VLOOKUP(G5168,WholesaleExtract!B:L,11,FALSE),"")</f>
        <v/>
      </c>
      <c r="M5168" s="47" t="str">
        <f>IFERROR(VLOOKUP(G5168,WholesaleExtract!B:M,12,FALSE),"")</f>
        <v/>
      </c>
      <c r="R5168" s="19"/>
      <c r="S5168" s="19"/>
    </row>
    <row r="5169" spans="1:19" x14ac:dyDescent="0.35">
      <c r="A5169" s="26" t="s">
        <v>543</v>
      </c>
      <c r="B5169" s="26" t="s">
        <v>543</v>
      </c>
      <c r="C5169" s="26"/>
      <c r="D5169" s="26" t="s">
        <v>543</v>
      </c>
      <c r="E5169" s="26" t="str">
        <f>IFERROR(VLOOKUP(G5169,WholesaleExtract!B:J,9,FALSE),"")</f>
        <v/>
      </c>
      <c r="F5169" s="26" t="str">
        <f>IFERROR(VLOOKUP(G5169,WholesaleExtract!B:J,6,FALSE),"")</f>
        <v/>
      </c>
      <c r="H5169" s="47" t="str">
        <f>IFERROR(VLOOKUP(G5169,WholesaleExtract!B:L,11,FALSE),"")</f>
        <v/>
      </c>
      <c r="I5169" s="26" t="str">
        <f>IFERROR(VLOOKUP(G5169,WholesaleExtract!B:O,8,FALSE),"")</f>
        <v/>
      </c>
      <c r="J5169" s="26" t="str">
        <f>IFERROR(VLOOKUP(G5169,WholesaleExtract!B:O,14,FALSE),"")</f>
        <v/>
      </c>
      <c r="K5169" s="26" t="str">
        <f>IFERROR(VLOOKUP(G5169,WholesaleExtract!B:K,10,FALSE),"")</f>
        <v/>
      </c>
      <c r="L5169" s="47" t="str">
        <f>IFERROR(VLOOKUP(G5169,WholesaleExtract!B:L,11,FALSE),"")</f>
        <v/>
      </c>
      <c r="M5169" s="47" t="str">
        <f>IFERROR(VLOOKUP(G5169,WholesaleExtract!B:M,12,FALSE),"")</f>
        <v/>
      </c>
      <c r="R5169" s="19"/>
      <c r="S5169" s="19"/>
    </row>
    <row r="5170" spans="1:19" x14ac:dyDescent="0.35">
      <c r="A5170" s="26" t="s">
        <v>543</v>
      </c>
      <c r="B5170" s="26" t="s">
        <v>543</v>
      </c>
      <c r="C5170" s="26"/>
      <c r="D5170" s="26" t="s">
        <v>543</v>
      </c>
      <c r="E5170" s="26" t="str">
        <f>IFERROR(VLOOKUP(G5170,WholesaleExtract!B:J,9,FALSE),"")</f>
        <v/>
      </c>
      <c r="F5170" s="26" t="str">
        <f>IFERROR(VLOOKUP(G5170,WholesaleExtract!B:J,6,FALSE),"")</f>
        <v/>
      </c>
      <c r="H5170" s="47" t="str">
        <f>IFERROR(VLOOKUP(G5170,WholesaleExtract!B:L,11,FALSE),"")</f>
        <v/>
      </c>
      <c r="I5170" s="26" t="str">
        <f>IFERROR(VLOOKUP(G5170,WholesaleExtract!B:O,8,FALSE),"")</f>
        <v/>
      </c>
      <c r="J5170" s="26" t="str">
        <f>IFERROR(VLOOKUP(G5170,WholesaleExtract!B:O,14,FALSE),"")</f>
        <v/>
      </c>
      <c r="K5170" s="26" t="str">
        <f>IFERROR(VLOOKUP(G5170,WholesaleExtract!B:K,10,FALSE),"")</f>
        <v/>
      </c>
      <c r="L5170" s="47" t="str">
        <f>IFERROR(VLOOKUP(G5170,WholesaleExtract!B:L,11,FALSE),"")</f>
        <v/>
      </c>
      <c r="M5170" s="47" t="str">
        <f>IFERROR(VLOOKUP(G5170,WholesaleExtract!B:M,12,FALSE),"")</f>
        <v/>
      </c>
      <c r="R5170" s="19"/>
      <c r="S5170" s="19"/>
    </row>
    <row r="5171" spans="1:19" x14ac:dyDescent="0.35">
      <c r="A5171" s="26" t="s">
        <v>543</v>
      </c>
      <c r="B5171" s="26" t="s">
        <v>543</v>
      </c>
      <c r="C5171" s="26"/>
      <c r="D5171" s="26" t="s">
        <v>543</v>
      </c>
      <c r="E5171" s="26" t="str">
        <f>IFERROR(VLOOKUP(G5171,WholesaleExtract!B:J,9,FALSE),"")</f>
        <v/>
      </c>
      <c r="F5171" s="26" t="str">
        <f>IFERROR(VLOOKUP(G5171,WholesaleExtract!B:J,6,FALSE),"")</f>
        <v/>
      </c>
      <c r="H5171" s="47" t="str">
        <f>IFERROR(VLOOKUP(G5171,WholesaleExtract!B:L,11,FALSE),"")</f>
        <v/>
      </c>
      <c r="I5171" s="26" t="str">
        <f>IFERROR(VLOOKUP(G5171,WholesaleExtract!B:O,8,FALSE),"")</f>
        <v/>
      </c>
      <c r="J5171" s="26" t="str">
        <f>IFERROR(VLOOKUP(G5171,WholesaleExtract!B:O,14,FALSE),"")</f>
        <v/>
      </c>
      <c r="K5171" s="26" t="str">
        <f>IFERROR(VLOOKUP(G5171,WholesaleExtract!B:K,10,FALSE),"")</f>
        <v/>
      </c>
      <c r="L5171" s="47" t="str">
        <f>IFERROR(VLOOKUP(G5171,WholesaleExtract!B:L,11,FALSE),"")</f>
        <v/>
      </c>
      <c r="M5171" s="47" t="str">
        <f>IFERROR(VLOOKUP(G5171,WholesaleExtract!B:M,12,FALSE),"")</f>
        <v/>
      </c>
      <c r="R5171" s="19"/>
      <c r="S5171" s="19"/>
    </row>
    <row r="5172" spans="1:19" x14ac:dyDescent="0.35">
      <c r="A5172" s="26" t="s">
        <v>543</v>
      </c>
      <c r="B5172" s="26" t="s">
        <v>543</v>
      </c>
      <c r="C5172" s="26"/>
      <c r="D5172" s="26" t="s">
        <v>543</v>
      </c>
      <c r="E5172" s="26" t="str">
        <f>IFERROR(VLOOKUP(G5172,WholesaleExtract!B:J,9,FALSE),"")</f>
        <v/>
      </c>
      <c r="F5172" s="26" t="str">
        <f>IFERROR(VLOOKUP(G5172,WholesaleExtract!B:J,6,FALSE),"")</f>
        <v/>
      </c>
      <c r="H5172" s="47" t="str">
        <f>IFERROR(VLOOKUP(G5172,WholesaleExtract!B:L,11,FALSE),"")</f>
        <v/>
      </c>
      <c r="I5172" s="26" t="str">
        <f>IFERROR(VLOOKUP(G5172,WholesaleExtract!B:O,8,FALSE),"")</f>
        <v/>
      </c>
      <c r="J5172" s="26" t="str">
        <f>IFERROR(VLOOKUP(G5172,WholesaleExtract!B:O,14,FALSE),"")</f>
        <v/>
      </c>
      <c r="K5172" s="26" t="str">
        <f>IFERROR(VLOOKUP(G5172,WholesaleExtract!B:K,10,FALSE),"")</f>
        <v/>
      </c>
      <c r="L5172" s="47" t="str">
        <f>IFERROR(VLOOKUP(G5172,WholesaleExtract!B:L,11,FALSE),"")</f>
        <v/>
      </c>
      <c r="M5172" s="47" t="str">
        <f>IFERROR(VLOOKUP(G5172,WholesaleExtract!B:M,12,FALSE),"")</f>
        <v/>
      </c>
      <c r="R5172" s="19"/>
      <c r="S5172" s="19"/>
    </row>
    <row r="5173" spans="1:19" x14ac:dyDescent="0.35">
      <c r="A5173" s="26" t="s">
        <v>543</v>
      </c>
      <c r="B5173" s="26" t="s">
        <v>543</v>
      </c>
      <c r="C5173" s="26"/>
      <c r="D5173" s="26" t="s">
        <v>543</v>
      </c>
      <c r="E5173" s="26" t="str">
        <f>IFERROR(VLOOKUP(G5173,WholesaleExtract!B:J,9,FALSE),"")</f>
        <v/>
      </c>
      <c r="F5173" s="26" t="str">
        <f>IFERROR(VLOOKUP(G5173,WholesaleExtract!B:J,6,FALSE),"")</f>
        <v/>
      </c>
      <c r="H5173" s="47" t="str">
        <f>IFERROR(VLOOKUP(G5173,WholesaleExtract!B:L,11,FALSE),"")</f>
        <v/>
      </c>
      <c r="I5173" s="26" t="str">
        <f>IFERROR(VLOOKUP(G5173,WholesaleExtract!B:O,8,FALSE),"")</f>
        <v/>
      </c>
      <c r="J5173" s="26" t="str">
        <f>IFERROR(VLOOKUP(G5173,WholesaleExtract!B:O,14,FALSE),"")</f>
        <v/>
      </c>
      <c r="K5173" s="26" t="str">
        <f>IFERROR(VLOOKUP(G5173,WholesaleExtract!B:K,10,FALSE),"")</f>
        <v/>
      </c>
      <c r="L5173" s="47" t="str">
        <f>IFERROR(VLOOKUP(G5173,WholesaleExtract!B:L,11,FALSE),"")</f>
        <v/>
      </c>
      <c r="M5173" s="47" t="str">
        <f>IFERROR(VLOOKUP(G5173,WholesaleExtract!B:M,12,FALSE),"")</f>
        <v/>
      </c>
      <c r="R5173" s="19"/>
      <c r="S5173" s="19"/>
    </row>
    <row r="5174" spans="1:19" x14ac:dyDescent="0.35">
      <c r="A5174" s="26" t="s">
        <v>543</v>
      </c>
      <c r="B5174" s="26" t="s">
        <v>543</v>
      </c>
      <c r="C5174" s="26"/>
      <c r="D5174" s="26" t="s">
        <v>543</v>
      </c>
      <c r="E5174" s="26" t="str">
        <f>IFERROR(VLOOKUP(G5174,WholesaleExtract!B:J,9,FALSE),"")</f>
        <v/>
      </c>
      <c r="F5174" s="26" t="str">
        <f>IFERROR(VLOOKUP(G5174,WholesaleExtract!B:J,6,FALSE),"")</f>
        <v/>
      </c>
      <c r="H5174" s="47" t="str">
        <f>IFERROR(VLOOKUP(G5174,WholesaleExtract!B:L,11,FALSE),"")</f>
        <v/>
      </c>
      <c r="I5174" s="26" t="str">
        <f>IFERROR(VLOOKUP(G5174,WholesaleExtract!B:O,8,FALSE),"")</f>
        <v/>
      </c>
      <c r="J5174" s="26" t="str">
        <f>IFERROR(VLOOKUP(G5174,WholesaleExtract!B:O,14,FALSE),"")</f>
        <v/>
      </c>
      <c r="K5174" s="26" t="str">
        <f>IFERROR(VLOOKUP(G5174,WholesaleExtract!B:K,10,FALSE),"")</f>
        <v/>
      </c>
      <c r="L5174" s="47" t="str">
        <f>IFERROR(VLOOKUP(G5174,WholesaleExtract!B:L,11,FALSE),"")</f>
        <v/>
      </c>
      <c r="M5174" s="47" t="str">
        <f>IFERROR(VLOOKUP(G5174,WholesaleExtract!B:M,12,FALSE),"")</f>
        <v/>
      </c>
      <c r="R5174" s="19"/>
      <c r="S5174" s="19"/>
    </row>
    <row r="5175" spans="1:19" x14ac:dyDescent="0.35">
      <c r="A5175" s="26" t="s">
        <v>543</v>
      </c>
      <c r="B5175" s="26" t="s">
        <v>543</v>
      </c>
      <c r="C5175" s="26"/>
      <c r="D5175" s="26" t="s">
        <v>543</v>
      </c>
      <c r="E5175" s="26" t="str">
        <f>IFERROR(VLOOKUP(G5175,WholesaleExtract!B:J,9,FALSE),"")</f>
        <v/>
      </c>
      <c r="F5175" s="26" t="str">
        <f>IFERROR(VLOOKUP(G5175,WholesaleExtract!B:J,6,FALSE),"")</f>
        <v/>
      </c>
      <c r="H5175" s="47" t="str">
        <f>IFERROR(VLOOKUP(G5175,WholesaleExtract!B:L,11,FALSE),"")</f>
        <v/>
      </c>
      <c r="I5175" s="26" t="str">
        <f>IFERROR(VLOOKUP(G5175,WholesaleExtract!B:O,8,FALSE),"")</f>
        <v/>
      </c>
      <c r="J5175" s="26" t="str">
        <f>IFERROR(VLOOKUP(G5175,WholesaleExtract!B:O,14,FALSE),"")</f>
        <v/>
      </c>
      <c r="K5175" s="26" t="str">
        <f>IFERROR(VLOOKUP(G5175,WholesaleExtract!B:K,10,FALSE),"")</f>
        <v/>
      </c>
      <c r="L5175" s="47" t="str">
        <f>IFERROR(VLOOKUP(G5175,WholesaleExtract!B:L,11,FALSE),"")</f>
        <v/>
      </c>
      <c r="M5175" s="47" t="str">
        <f>IFERROR(VLOOKUP(G5175,WholesaleExtract!B:M,12,FALSE),"")</f>
        <v/>
      </c>
      <c r="R5175" s="19"/>
      <c r="S5175" s="19"/>
    </row>
    <row r="5176" spans="1:19" x14ac:dyDescent="0.35">
      <c r="A5176" s="26" t="s">
        <v>543</v>
      </c>
      <c r="B5176" s="26" t="s">
        <v>543</v>
      </c>
      <c r="C5176" s="26"/>
      <c r="D5176" s="26" t="s">
        <v>543</v>
      </c>
      <c r="E5176" s="26" t="str">
        <f>IFERROR(VLOOKUP(G5176,WholesaleExtract!B:J,9,FALSE),"")</f>
        <v/>
      </c>
      <c r="F5176" s="26" t="str">
        <f>IFERROR(VLOOKUP(G5176,WholesaleExtract!B:J,6,FALSE),"")</f>
        <v/>
      </c>
      <c r="H5176" s="47" t="str">
        <f>IFERROR(VLOOKUP(G5176,WholesaleExtract!B:L,11,FALSE),"")</f>
        <v/>
      </c>
      <c r="I5176" s="26" t="str">
        <f>IFERROR(VLOOKUP(G5176,WholesaleExtract!B:O,8,FALSE),"")</f>
        <v/>
      </c>
      <c r="J5176" s="26" t="str">
        <f>IFERROR(VLOOKUP(G5176,WholesaleExtract!B:O,14,FALSE),"")</f>
        <v/>
      </c>
      <c r="K5176" s="26" t="str">
        <f>IFERROR(VLOOKUP(G5176,WholesaleExtract!B:K,10,FALSE),"")</f>
        <v/>
      </c>
      <c r="L5176" s="47" t="str">
        <f>IFERROR(VLOOKUP(G5176,WholesaleExtract!B:L,11,FALSE),"")</f>
        <v/>
      </c>
      <c r="M5176" s="47" t="str">
        <f>IFERROR(VLOOKUP(G5176,WholesaleExtract!B:M,12,FALSE),"")</f>
        <v/>
      </c>
      <c r="R5176" s="19"/>
      <c r="S5176" s="19"/>
    </row>
    <row r="5177" spans="1:19" x14ac:dyDescent="0.35">
      <c r="A5177" s="26" t="s">
        <v>543</v>
      </c>
      <c r="B5177" s="26" t="s">
        <v>543</v>
      </c>
      <c r="C5177" s="26"/>
      <c r="D5177" s="26" t="s">
        <v>543</v>
      </c>
      <c r="E5177" s="26" t="str">
        <f>IFERROR(VLOOKUP(G5177,WholesaleExtract!B:J,9,FALSE),"")</f>
        <v/>
      </c>
      <c r="F5177" s="26" t="str">
        <f>IFERROR(VLOOKUP(G5177,WholesaleExtract!B:J,6,FALSE),"")</f>
        <v/>
      </c>
      <c r="H5177" s="47" t="str">
        <f>IFERROR(VLOOKUP(G5177,WholesaleExtract!B:L,11,FALSE),"")</f>
        <v/>
      </c>
      <c r="I5177" s="26" t="str">
        <f>IFERROR(VLOOKUP(G5177,WholesaleExtract!B:O,8,FALSE),"")</f>
        <v/>
      </c>
      <c r="J5177" s="26" t="str">
        <f>IFERROR(VLOOKUP(G5177,WholesaleExtract!B:O,14,FALSE),"")</f>
        <v/>
      </c>
      <c r="K5177" s="26" t="str">
        <f>IFERROR(VLOOKUP(G5177,WholesaleExtract!B:K,10,FALSE),"")</f>
        <v/>
      </c>
      <c r="L5177" s="47" t="str">
        <f>IFERROR(VLOOKUP(G5177,WholesaleExtract!B:L,11,FALSE),"")</f>
        <v/>
      </c>
      <c r="M5177" s="47" t="str">
        <f>IFERROR(VLOOKUP(G5177,WholesaleExtract!B:M,12,FALSE),"")</f>
        <v/>
      </c>
      <c r="R5177" s="19"/>
      <c r="S5177" s="19"/>
    </row>
    <row r="5178" spans="1:19" x14ac:dyDescent="0.35">
      <c r="A5178" s="26" t="s">
        <v>543</v>
      </c>
      <c r="B5178" s="26" t="s">
        <v>543</v>
      </c>
      <c r="C5178" s="26"/>
      <c r="D5178" s="26" t="s">
        <v>543</v>
      </c>
      <c r="E5178" s="26" t="str">
        <f>IFERROR(VLOOKUP(G5178,WholesaleExtract!B:J,9,FALSE),"")</f>
        <v/>
      </c>
      <c r="F5178" s="26" t="str">
        <f>IFERROR(VLOOKUP(G5178,WholesaleExtract!B:J,6,FALSE),"")</f>
        <v/>
      </c>
      <c r="H5178" s="47" t="str">
        <f>IFERROR(VLOOKUP(G5178,WholesaleExtract!B:L,11,FALSE),"")</f>
        <v/>
      </c>
      <c r="I5178" s="26" t="str">
        <f>IFERROR(VLOOKUP(G5178,WholesaleExtract!B:O,8,FALSE),"")</f>
        <v/>
      </c>
      <c r="J5178" s="26" t="str">
        <f>IFERROR(VLOOKUP(G5178,WholesaleExtract!B:O,14,FALSE),"")</f>
        <v/>
      </c>
      <c r="K5178" s="26" t="str">
        <f>IFERROR(VLOOKUP(G5178,WholesaleExtract!B:K,10,FALSE),"")</f>
        <v/>
      </c>
      <c r="L5178" s="47" t="str">
        <f>IFERROR(VLOOKUP(G5178,WholesaleExtract!B:L,11,FALSE),"")</f>
        <v/>
      </c>
      <c r="M5178" s="47" t="str">
        <f>IFERROR(VLOOKUP(G5178,WholesaleExtract!B:M,12,FALSE),"")</f>
        <v/>
      </c>
      <c r="R5178" s="19"/>
      <c r="S5178" s="19"/>
    </row>
    <row r="5179" spans="1:19" x14ac:dyDescent="0.35">
      <c r="A5179" s="26" t="s">
        <v>543</v>
      </c>
      <c r="B5179" s="26" t="s">
        <v>543</v>
      </c>
      <c r="C5179" s="26"/>
      <c r="D5179" s="26" t="s">
        <v>543</v>
      </c>
      <c r="E5179" s="26" t="str">
        <f>IFERROR(VLOOKUP(G5179,WholesaleExtract!B:J,9,FALSE),"")</f>
        <v/>
      </c>
      <c r="F5179" s="26" t="str">
        <f>IFERROR(VLOOKUP(G5179,WholesaleExtract!B:J,6,FALSE),"")</f>
        <v/>
      </c>
      <c r="H5179" s="47" t="str">
        <f>IFERROR(VLOOKUP(G5179,WholesaleExtract!B:L,11,FALSE),"")</f>
        <v/>
      </c>
      <c r="I5179" s="26" t="str">
        <f>IFERROR(VLOOKUP(G5179,WholesaleExtract!B:O,8,FALSE),"")</f>
        <v/>
      </c>
      <c r="J5179" s="26" t="str">
        <f>IFERROR(VLOOKUP(G5179,WholesaleExtract!B:O,14,FALSE),"")</f>
        <v/>
      </c>
      <c r="K5179" s="26" t="str">
        <f>IFERROR(VLOOKUP(G5179,WholesaleExtract!B:K,10,FALSE),"")</f>
        <v/>
      </c>
      <c r="L5179" s="47" t="str">
        <f>IFERROR(VLOOKUP(G5179,WholesaleExtract!B:L,11,FALSE),"")</f>
        <v/>
      </c>
      <c r="M5179" s="47" t="str">
        <f>IFERROR(VLOOKUP(G5179,WholesaleExtract!B:M,12,FALSE),"")</f>
        <v/>
      </c>
      <c r="R5179" s="19"/>
      <c r="S5179" s="19"/>
    </row>
    <row r="5180" spans="1:19" x14ac:dyDescent="0.35">
      <c r="A5180" s="26" t="s">
        <v>543</v>
      </c>
      <c r="B5180" s="26" t="s">
        <v>543</v>
      </c>
      <c r="C5180" s="26"/>
      <c r="D5180" s="26" t="s">
        <v>543</v>
      </c>
      <c r="E5180" s="26" t="str">
        <f>IFERROR(VLOOKUP(G5180,WholesaleExtract!B:J,9,FALSE),"")</f>
        <v/>
      </c>
      <c r="F5180" s="26" t="str">
        <f>IFERROR(VLOOKUP(G5180,WholesaleExtract!B:J,6,FALSE),"")</f>
        <v/>
      </c>
      <c r="H5180" s="47" t="str">
        <f>IFERROR(VLOOKUP(G5180,WholesaleExtract!B:L,11,FALSE),"")</f>
        <v/>
      </c>
      <c r="I5180" s="26" t="str">
        <f>IFERROR(VLOOKUP(G5180,WholesaleExtract!B:O,8,FALSE),"")</f>
        <v/>
      </c>
      <c r="J5180" s="26" t="str">
        <f>IFERROR(VLOOKUP(G5180,WholesaleExtract!B:O,14,FALSE),"")</f>
        <v/>
      </c>
      <c r="K5180" s="26" t="str">
        <f>IFERROR(VLOOKUP(G5180,WholesaleExtract!B:K,10,FALSE),"")</f>
        <v/>
      </c>
      <c r="L5180" s="47" t="str">
        <f>IFERROR(VLOOKUP(G5180,WholesaleExtract!B:L,11,FALSE),"")</f>
        <v/>
      </c>
      <c r="M5180" s="47" t="str">
        <f>IFERROR(VLOOKUP(G5180,WholesaleExtract!B:M,12,FALSE),"")</f>
        <v/>
      </c>
      <c r="R5180" s="19"/>
      <c r="S5180" s="19"/>
    </row>
    <row r="5181" spans="1:19" x14ac:dyDescent="0.35">
      <c r="A5181" s="26" t="s">
        <v>543</v>
      </c>
      <c r="B5181" s="26" t="s">
        <v>543</v>
      </c>
      <c r="C5181" s="26"/>
      <c r="D5181" s="26" t="s">
        <v>543</v>
      </c>
      <c r="E5181" s="26" t="str">
        <f>IFERROR(VLOOKUP(G5181,WholesaleExtract!B:J,9,FALSE),"")</f>
        <v/>
      </c>
      <c r="F5181" s="26" t="str">
        <f>IFERROR(VLOOKUP(G5181,WholesaleExtract!B:J,6,FALSE),"")</f>
        <v/>
      </c>
      <c r="H5181" s="47" t="str">
        <f>IFERROR(VLOOKUP(G5181,WholesaleExtract!B:L,11,FALSE),"")</f>
        <v/>
      </c>
      <c r="I5181" s="26" t="str">
        <f>IFERROR(VLOOKUP(G5181,WholesaleExtract!B:O,8,FALSE),"")</f>
        <v/>
      </c>
      <c r="J5181" s="26" t="str">
        <f>IFERROR(VLOOKUP(G5181,WholesaleExtract!B:O,14,FALSE),"")</f>
        <v/>
      </c>
      <c r="K5181" s="26" t="str">
        <f>IFERROR(VLOOKUP(G5181,WholesaleExtract!B:K,10,FALSE),"")</f>
        <v/>
      </c>
      <c r="L5181" s="47" t="str">
        <f>IFERROR(VLOOKUP(G5181,WholesaleExtract!B:L,11,FALSE),"")</f>
        <v/>
      </c>
      <c r="M5181" s="47" t="str">
        <f>IFERROR(VLOOKUP(G5181,WholesaleExtract!B:M,12,FALSE),"")</f>
        <v/>
      </c>
      <c r="R5181" s="19"/>
      <c r="S5181" s="19"/>
    </row>
    <row r="5182" spans="1:19" x14ac:dyDescent="0.35">
      <c r="A5182" s="26" t="s">
        <v>543</v>
      </c>
      <c r="B5182" s="26" t="s">
        <v>543</v>
      </c>
      <c r="C5182" s="26"/>
      <c r="D5182" s="26" t="s">
        <v>543</v>
      </c>
      <c r="E5182" s="26" t="str">
        <f>IFERROR(VLOOKUP(G5182,WholesaleExtract!B:J,9,FALSE),"")</f>
        <v/>
      </c>
      <c r="F5182" s="26" t="str">
        <f>IFERROR(VLOOKUP(G5182,WholesaleExtract!B:J,6,FALSE),"")</f>
        <v/>
      </c>
      <c r="H5182" s="47" t="str">
        <f>IFERROR(VLOOKUP(G5182,WholesaleExtract!B:L,11,FALSE),"")</f>
        <v/>
      </c>
      <c r="I5182" s="26" t="str">
        <f>IFERROR(VLOOKUP(G5182,WholesaleExtract!B:O,8,FALSE),"")</f>
        <v/>
      </c>
      <c r="J5182" s="26" t="str">
        <f>IFERROR(VLOOKUP(G5182,WholesaleExtract!B:O,14,FALSE),"")</f>
        <v/>
      </c>
      <c r="K5182" s="26" t="str">
        <f>IFERROR(VLOOKUP(G5182,WholesaleExtract!B:K,10,FALSE),"")</f>
        <v/>
      </c>
      <c r="L5182" s="47" t="str">
        <f>IFERROR(VLOOKUP(G5182,WholesaleExtract!B:L,11,FALSE),"")</f>
        <v/>
      </c>
      <c r="M5182" s="47" t="str">
        <f>IFERROR(VLOOKUP(G5182,WholesaleExtract!B:M,12,FALSE),"")</f>
        <v/>
      </c>
      <c r="R5182" s="19"/>
      <c r="S5182" s="19"/>
    </row>
    <row r="5183" spans="1:19" x14ac:dyDescent="0.35">
      <c r="A5183" s="26" t="s">
        <v>543</v>
      </c>
      <c r="B5183" s="26" t="s">
        <v>543</v>
      </c>
      <c r="C5183" s="26"/>
      <c r="D5183" s="26" t="s">
        <v>543</v>
      </c>
      <c r="E5183" s="26" t="str">
        <f>IFERROR(VLOOKUP(G5183,WholesaleExtract!B:J,9,FALSE),"")</f>
        <v/>
      </c>
      <c r="F5183" s="26" t="str">
        <f>IFERROR(VLOOKUP(G5183,WholesaleExtract!B:J,6,FALSE),"")</f>
        <v/>
      </c>
      <c r="H5183" s="47" t="str">
        <f>IFERROR(VLOOKUP(G5183,WholesaleExtract!B:L,11,FALSE),"")</f>
        <v/>
      </c>
      <c r="I5183" s="26" t="str">
        <f>IFERROR(VLOOKUP(G5183,WholesaleExtract!B:O,8,FALSE),"")</f>
        <v/>
      </c>
      <c r="J5183" s="26" t="str">
        <f>IFERROR(VLOOKUP(G5183,WholesaleExtract!B:O,14,FALSE),"")</f>
        <v/>
      </c>
      <c r="K5183" s="26" t="str">
        <f>IFERROR(VLOOKUP(G5183,WholesaleExtract!B:K,10,FALSE),"")</f>
        <v/>
      </c>
      <c r="L5183" s="47" t="str">
        <f>IFERROR(VLOOKUP(G5183,WholesaleExtract!B:L,11,FALSE),"")</f>
        <v/>
      </c>
      <c r="M5183" s="47" t="str">
        <f>IFERROR(VLOOKUP(G5183,WholesaleExtract!B:M,12,FALSE),"")</f>
        <v/>
      </c>
      <c r="R5183" s="19"/>
      <c r="S5183" s="19"/>
    </row>
    <row r="5184" spans="1:19" x14ac:dyDescent="0.35">
      <c r="A5184" s="26" t="s">
        <v>543</v>
      </c>
      <c r="B5184" s="26" t="s">
        <v>543</v>
      </c>
      <c r="C5184" s="26"/>
      <c r="D5184" s="26" t="s">
        <v>543</v>
      </c>
      <c r="E5184" s="26" t="str">
        <f>IFERROR(VLOOKUP(G5184,WholesaleExtract!B:J,9,FALSE),"")</f>
        <v/>
      </c>
      <c r="F5184" s="26" t="str">
        <f>IFERROR(VLOOKUP(G5184,WholesaleExtract!B:J,6,FALSE),"")</f>
        <v/>
      </c>
      <c r="H5184" s="47" t="str">
        <f>IFERROR(VLOOKUP(G5184,WholesaleExtract!B:L,11,FALSE),"")</f>
        <v/>
      </c>
      <c r="I5184" s="26" t="str">
        <f>IFERROR(VLOOKUP(G5184,WholesaleExtract!B:O,8,FALSE),"")</f>
        <v/>
      </c>
      <c r="J5184" s="26" t="str">
        <f>IFERROR(VLOOKUP(G5184,WholesaleExtract!B:O,14,FALSE),"")</f>
        <v/>
      </c>
      <c r="K5184" s="26" t="str">
        <f>IFERROR(VLOOKUP(G5184,WholesaleExtract!B:K,10,FALSE),"")</f>
        <v/>
      </c>
      <c r="L5184" s="47" t="str">
        <f>IFERROR(VLOOKUP(G5184,WholesaleExtract!B:L,11,FALSE),"")</f>
        <v/>
      </c>
      <c r="M5184" s="47" t="str">
        <f>IFERROR(VLOOKUP(G5184,WholesaleExtract!B:M,12,FALSE),"")</f>
        <v/>
      </c>
      <c r="R5184" s="19"/>
      <c r="S5184" s="19"/>
    </row>
    <row r="5185" spans="1:19" x14ac:dyDescent="0.35">
      <c r="A5185" s="26" t="s">
        <v>543</v>
      </c>
      <c r="B5185" s="26" t="s">
        <v>543</v>
      </c>
      <c r="C5185" s="26"/>
      <c r="D5185" s="26" t="s">
        <v>543</v>
      </c>
      <c r="E5185" s="26" t="str">
        <f>IFERROR(VLOOKUP(G5185,WholesaleExtract!B:J,9,FALSE),"")</f>
        <v/>
      </c>
      <c r="F5185" s="26" t="str">
        <f>IFERROR(VLOOKUP(G5185,WholesaleExtract!B:J,6,FALSE),"")</f>
        <v/>
      </c>
      <c r="H5185" s="47" t="str">
        <f>IFERROR(VLOOKUP(G5185,WholesaleExtract!B:L,11,FALSE),"")</f>
        <v/>
      </c>
      <c r="I5185" s="26" t="str">
        <f>IFERROR(VLOOKUP(G5185,WholesaleExtract!B:O,8,FALSE),"")</f>
        <v/>
      </c>
      <c r="J5185" s="26" t="str">
        <f>IFERROR(VLOOKUP(G5185,WholesaleExtract!B:O,14,FALSE),"")</f>
        <v/>
      </c>
      <c r="K5185" s="26" t="str">
        <f>IFERROR(VLOOKUP(G5185,WholesaleExtract!B:K,10,FALSE),"")</f>
        <v/>
      </c>
      <c r="L5185" s="47" t="str">
        <f>IFERROR(VLOOKUP(G5185,WholesaleExtract!B:L,11,FALSE),"")</f>
        <v/>
      </c>
      <c r="M5185" s="47" t="str">
        <f>IFERROR(VLOOKUP(G5185,WholesaleExtract!B:M,12,FALSE),"")</f>
        <v/>
      </c>
      <c r="R5185" s="19"/>
      <c r="S5185" s="19"/>
    </row>
    <row r="5186" spans="1:19" x14ac:dyDescent="0.35">
      <c r="A5186" s="26" t="s">
        <v>543</v>
      </c>
      <c r="B5186" s="26" t="s">
        <v>543</v>
      </c>
      <c r="C5186" s="26"/>
      <c r="D5186" s="26" t="s">
        <v>543</v>
      </c>
      <c r="E5186" s="26" t="str">
        <f>IFERROR(VLOOKUP(G5186,WholesaleExtract!B:J,9,FALSE),"")</f>
        <v/>
      </c>
      <c r="F5186" s="26" t="str">
        <f>IFERROR(VLOOKUP(G5186,WholesaleExtract!B:J,6,FALSE),"")</f>
        <v/>
      </c>
      <c r="H5186" s="47" t="str">
        <f>IFERROR(VLOOKUP(G5186,WholesaleExtract!B:L,11,FALSE),"")</f>
        <v/>
      </c>
      <c r="I5186" s="26" t="str">
        <f>IFERROR(VLOOKUP(G5186,WholesaleExtract!B:O,8,FALSE),"")</f>
        <v/>
      </c>
      <c r="J5186" s="26" t="str">
        <f>IFERROR(VLOOKUP(G5186,WholesaleExtract!B:O,14,FALSE),"")</f>
        <v/>
      </c>
      <c r="K5186" s="26" t="str">
        <f>IFERROR(VLOOKUP(G5186,WholesaleExtract!B:K,10,FALSE),"")</f>
        <v/>
      </c>
      <c r="L5186" s="47" t="str">
        <f>IFERROR(VLOOKUP(G5186,WholesaleExtract!B:L,11,FALSE),"")</f>
        <v/>
      </c>
      <c r="M5186" s="47" t="str">
        <f>IFERROR(VLOOKUP(G5186,WholesaleExtract!B:M,12,FALSE),"")</f>
        <v/>
      </c>
      <c r="R5186" s="19"/>
      <c r="S5186" s="19"/>
    </row>
    <row r="5187" spans="1:19" x14ac:dyDescent="0.35">
      <c r="A5187" s="26" t="s">
        <v>543</v>
      </c>
      <c r="B5187" s="26" t="s">
        <v>543</v>
      </c>
      <c r="C5187" s="26"/>
      <c r="D5187" s="26" t="s">
        <v>543</v>
      </c>
      <c r="E5187" s="26" t="str">
        <f>IFERROR(VLOOKUP(G5187,WholesaleExtract!B:J,9,FALSE),"")</f>
        <v/>
      </c>
      <c r="F5187" s="26" t="str">
        <f>IFERROR(VLOOKUP(G5187,WholesaleExtract!B:J,6,FALSE),"")</f>
        <v/>
      </c>
      <c r="H5187" s="47" t="str">
        <f>IFERROR(VLOOKUP(G5187,WholesaleExtract!B:L,11,FALSE),"")</f>
        <v/>
      </c>
      <c r="I5187" s="26" t="str">
        <f>IFERROR(VLOOKUP(G5187,WholesaleExtract!B:O,8,FALSE),"")</f>
        <v/>
      </c>
      <c r="J5187" s="26" t="str">
        <f>IFERROR(VLOOKUP(G5187,WholesaleExtract!B:O,14,FALSE),"")</f>
        <v/>
      </c>
      <c r="K5187" s="26" t="str">
        <f>IFERROR(VLOOKUP(G5187,WholesaleExtract!B:K,10,FALSE),"")</f>
        <v/>
      </c>
      <c r="L5187" s="47" t="str">
        <f>IFERROR(VLOOKUP(G5187,WholesaleExtract!B:L,11,FALSE),"")</f>
        <v/>
      </c>
      <c r="M5187" s="47" t="str">
        <f>IFERROR(VLOOKUP(G5187,WholesaleExtract!B:M,12,FALSE),"")</f>
        <v/>
      </c>
      <c r="R5187" s="19"/>
      <c r="S5187" s="19"/>
    </row>
    <row r="5188" spans="1:19" x14ac:dyDescent="0.35">
      <c r="A5188" s="26" t="s">
        <v>543</v>
      </c>
      <c r="B5188" s="26" t="s">
        <v>543</v>
      </c>
      <c r="C5188" s="26"/>
      <c r="D5188" s="26" t="s">
        <v>543</v>
      </c>
      <c r="E5188" s="26" t="str">
        <f>IFERROR(VLOOKUP(G5188,WholesaleExtract!B:J,9,FALSE),"")</f>
        <v/>
      </c>
      <c r="F5188" s="26" t="str">
        <f>IFERROR(VLOOKUP(G5188,WholesaleExtract!B:J,6,FALSE),"")</f>
        <v/>
      </c>
      <c r="H5188" s="47" t="str">
        <f>IFERROR(VLOOKUP(G5188,WholesaleExtract!B:L,11,FALSE),"")</f>
        <v/>
      </c>
      <c r="I5188" s="26" t="str">
        <f>IFERROR(VLOOKUP(G5188,WholesaleExtract!B:O,8,FALSE),"")</f>
        <v/>
      </c>
      <c r="J5188" s="26" t="str">
        <f>IFERROR(VLOOKUP(G5188,WholesaleExtract!B:O,14,FALSE),"")</f>
        <v/>
      </c>
      <c r="K5188" s="26" t="str">
        <f>IFERROR(VLOOKUP(G5188,WholesaleExtract!B:K,10,FALSE),"")</f>
        <v/>
      </c>
      <c r="L5188" s="47" t="str">
        <f>IFERROR(VLOOKUP(G5188,WholesaleExtract!B:L,11,FALSE),"")</f>
        <v/>
      </c>
      <c r="M5188" s="47" t="str">
        <f>IFERROR(VLOOKUP(G5188,WholesaleExtract!B:M,12,FALSE),"")</f>
        <v/>
      </c>
      <c r="R5188" s="19"/>
      <c r="S5188" s="19"/>
    </row>
    <row r="5189" spans="1:19" x14ac:dyDescent="0.35">
      <c r="A5189" s="26" t="s">
        <v>543</v>
      </c>
      <c r="B5189" s="26" t="s">
        <v>543</v>
      </c>
      <c r="C5189" s="26"/>
      <c r="D5189" s="26" t="s">
        <v>543</v>
      </c>
      <c r="E5189" s="26" t="str">
        <f>IFERROR(VLOOKUP(G5189,WholesaleExtract!B:J,9,FALSE),"")</f>
        <v/>
      </c>
      <c r="F5189" s="26" t="str">
        <f>IFERROR(VLOOKUP(G5189,WholesaleExtract!B:J,6,FALSE),"")</f>
        <v/>
      </c>
      <c r="H5189" s="47" t="str">
        <f>IFERROR(VLOOKUP(G5189,WholesaleExtract!B:L,11,FALSE),"")</f>
        <v/>
      </c>
      <c r="I5189" s="26" t="str">
        <f>IFERROR(VLOOKUP(G5189,WholesaleExtract!B:O,8,FALSE),"")</f>
        <v/>
      </c>
      <c r="J5189" s="26" t="str">
        <f>IFERROR(VLOOKUP(G5189,WholesaleExtract!B:O,14,FALSE),"")</f>
        <v/>
      </c>
      <c r="K5189" s="26" t="str">
        <f>IFERROR(VLOOKUP(G5189,WholesaleExtract!B:K,10,FALSE),"")</f>
        <v/>
      </c>
      <c r="L5189" s="47" t="str">
        <f>IFERROR(VLOOKUP(G5189,WholesaleExtract!B:L,11,FALSE),"")</f>
        <v/>
      </c>
      <c r="M5189" s="47" t="str">
        <f>IFERROR(VLOOKUP(G5189,WholesaleExtract!B:M,12,FALSE),"")</f>
        <v/>
      </c>
      <c r="R5189" s="19"/>
      <c r="S5189" s="19"/>
    </row>
    <row r="5190" spans="1:19" x14ac:dyDescent="0.35">
      <c r="A5190" s="26" t="s">
        <v>543</v>
      </c>
      <c r="B5190" s="26" t="s">
        <v>543</v>
      </c>
      <c r="C5190" s="26"/>
      <c r="D5190" s="26" t="s">
        <v>543</v>
      </c>
      <c r="E5190" s="26" t="str">
        <f>IFERROR(VLOOKUP(G5190,WholesaleExtract!B:J,9,FALSE),"")</f>
        <v/>
      </c>
      <c r="F5190" s="26" t="str">
        <f>IFERROR(VLOOKUP(G5190,WholesaleExtract!B:J,6,FALSE),"")</f>
        <v/>
      </c>
      <c r="H5190" s="47" t="str">
        <f>IFERROR(VLOOKUP(G5190,WholesaleExtract!B:L,11,FALSE),"")</f>
        <v/>
      </c>
      <c r="I5190" s="26" t="str">
        <f>IFERROR(VLOOKUP(G5190,WholesaleExtract!B:O,8,FALSE),"")</f>
        <v/>
      </c>
      <c r="J5190" s="26" t="str">
        <f>IFERROR(VLOOKUP(G5190,WholesaleExtract!B:O,14,FALSE),"")</f>
        <v/>
      </c>
      <c r="K5190" s="26" t="str">
        <f>IFERROR(VLOOKUP(G5190,WholesaleExtract!B:K,10,FALSE),"")</f>
        <v/>
      </c>
      <c r="L5190" s="47" t="str">
        <f>IFERROR(VLOOKUP(G5190,WholesaleExtract!B:L,11,FALSE),"")</f>
        <v/>
      </c>
      <c r="M5190" s="47" t="str">
        <f>IFERROR(VLOOKUP(G5190,WholesaleExtract!B:M,12,FALSE),"")</f>
        <v/>
      </c>
      <c r="R5190" s="19"/>
      <c r="S5190" s="19"/>
    </row>
    <row r="5191" spans="1:19" x14ac:dyDescent="0.35">
      <c r="A5191" s="26" t="s">
        <v>543</v>
      </c>
      <c r="B5191" s="26" t="s">
        <v>543</v>
      </c>
      <c r="C5191" s="26"/>
      <c r="D5191" s="26" t="s">
        <v>543</v>
      </c>
      <c r="E5191" s="26" t="str">
        <f>IFERROR(VLOOKUP(G5191,WholesaleExtract!B:J,9,FALSE),"")</f>
        <v/>
      </c>
      <c r="F5191" s="26" t="str">
        <f>IFERROR(VLOOKUP(G5191,WholesaleExtract!B:J,6,FALSE),"")</f>
        <v/>
      </c>
      <c r="H5191" s="47" t="str">
        <f>IFERROR(VLOOKUP(G5191,WholesaleExtract!B:L,11,FALSE),"")</f>
        <v/>
      </c>
      <c r="I5191" s="26" t="str">
        <f>IFERROR(VLOOKUP(G5191,WholesaleExtract!B:O,8,FALSE),"")</f>
        <v/>
      </c>
      <c r="J5191" s="26" t="str">
        <f>IFERROR(VLOOKUP(G5191,WholesaleExtract!B:O,14,FALSE),"")</f>
        <v/>
      </c>
      <c r="K5191" s="26" t="str">
        <f>IFERROR(VLOOKUP(G5191,WholesaleExtract!B:K,10,FALSE),"")</f>
        <v/>
      </c>
      <c r="L5191" s="47" t="str">
        <f>IFERROR(VLOOKUP(G5191,WholesaleExtract!B:L,11,FALSE),"")</f>
        <v/>
      </c>
      <c r="M5191" s="47" t="str">
        <f>IFERROR(VLOOKUP(G5191,WholesaleExtract!B:M,12,FALSE),"")</f>
        <v/>
      </c>
      <c r="R5191" s="19"/>
      <c r="S5191" s="19"/>
    </row>
    <row r="5192" spans="1:19" x14ac:dyDescent="0.35">
      <c r="A5192" s="26" t="s">
        <v>543</v>
      </c>
      <c r="B5192" s="26" t="s">
        <v>543</v>
      </c>
      <c r="C5192" s="26"/>
      <c r="D5192" s="26" t="s">
        <v>543</v>
      </c>
      <c r="E5192" s="26" t="str">
        <f>IFERROR(VLOOKUP(G5192,WholesaleExtract!B:J,9,FALSE),"")</f>
        <v/>
      </c>
      <c r="F5192" s="26" t="str">
        <f>IFERROR(VLOOKUP(G5192,WholesaleExtract!B:J,6,FALSE),"")</f>
        <v/>
      </c>
      <c r="H5192" s="47" t="str">
        <f>IFERROR(VLOOKUP(G5192,WholesaleExtract!B:L,11,FALSE),"")</f>
        <v/>
      </c>
      <c r="I5192" s="26" t="str">
        <f>IFERROR(VLOOKUP(G5192,WholesaleExtract!B:O,8,FALSE),"")</f>
        <v/>
      </c>
      <c r="J5192" s="26" t="str">
        <f>IFERROR(VLOOKUP(G5192,WholesaleExtract!B:O,14,FALSE),"")</f>
        <v/>
      </c>
      <c r="K5192" s="26" t="str">
        <f>IFERROR(VLOOKUP(G5192,WholesaleExtract!B:K,10,FALSE),"")</f>
        <v/>
      </c>
      <c r="L5192" s="47" t="str">
        <f>IFERROR(VLOOKUP(G5192,WholesaleExtract!B:L,11,FALSE),"")</f>
        <v/>
      </c>
      <c r="M5192" s="47" t="str">
        <f>IFERROR(VLOOKUP(G5192,WholesaleExtract!B:M,12,FALSE),"")</f>
        <v/>
      </c>
      <c r="R5192" s="19"/>
      <c r="S5192" s="19"/>
    </row>
    <row r="5193" spans="1:19" x14ac:dyDescent="0.35">
      <c r="A5193" s="26" t="s">
        <v>543</v>
      </c>
      <c r="B5193" s="26" t="s">
        <v>543</v>
      </c>
      <c r="C5193" s="26"/>
      <c r="D5193" s="26" t="s">
        <v>543</v>
      </c>
      <c r="E5193" s="26" t="str">
        <f>IFERROR(VLOOKUP(G5193,WholesaleExtract!B:J,9,FALSE),"")</f>
        <v/>
      </c>
      <c r="F5193" s="26" t="str">
        <f>IFERROR(VLOOKUP(G5193,WholesaleExtract!B:J,6,FALSE),"")</f>
        <v/>
      </c>
      <c r="H5193" s="47" t="str">
        <f>IFERROR(VLOOKUP(G5193,WholesaleExtract!B:L,11,FALSE),"")</f>
        <v/>
      </c>
      <c r="I5193" s="26" t="str">
        <f>IFERROR(VLOOKUP(G5193,WholesaleExtract!B:O,8,FALSE),"")</f>
        <v/>
      </c>
      <c r="J5193" s="26" t="str">
        <f>IFERROR(VLOOKUP(G5193,WholesaleExtract!B:O,14,FALSE),"")</f>
        <v/>
      </c>
      <c r="K5193" s="26" t="str">
        <f>IFERROR(VLOOKUP(G5193,WholesaleExtract!B:K,10,FALSE),"")</f>
        <v/>
      </c>
      <c r="L5193" s="47" t="str">
        <f>IFERROR(VLOOKUP(G5193,WholesaleExtract!B:L,11,FALSE),"")</f>
        <v/>
      </c>
      <c r="M5193" s="47" t="str">
        <f>IFERROR(VLOOKUP(G5193,WholesaleExtract!B:M,12,FALSE),"")</f>
        <v/>
      </c>
      <c r="R5193" s="19"/>
      <c r="S5193" s="19"/>
    </row>
    <row r="5194" spans="1:19" x14ac:dyDescent="0.35">
      <c r="A5194" s="26" t="s">
        <v>543</v>
      </c>
      <c r="B5194" s="26" t="s">
        <v>543</v>
      </c>
      <c r="C5194" s="26"/>
      <c r="D5194" s="26" t="s">
        <v>543</v>
      </c>
      <c r="E5194" s="26" t="str">
        <f>IFERROR(VLOOKUP(G5194,WholesaleExtract!B:J,9,FALSE),"")</f>
        <v/>
      </c>
      <c r="F5194" s="26" t="str">
        <f>IFERROR(VLOOKUP(G5194,WholesaleExtract!B:J,6,FALSE),"")</f>
        <v/>
      </c>
      <c r="H5194" s="47" t="str">
        <f>IFERROR(VLOOKUP(G5194,WholesaleExtract!B:L,11,FALSE),"")</f>
        <v/>
      </c>
      <c r="I5194" s="26" t="str">
        <f>IFERROR(VLOOKUP(G5194,WholesaleExtract!B:O,8,FALSE),"")</f>
        <v/>
      </c>
      <c r="J5194" s="26" t="str">
        <f>IFERROR(VLOOKUP(G5194,WholesaleExtract!B:O,14,FALSE),"")</f>
        <v/>
      </c>
      <c r="K5194" s="26" t="str">
        <f>IFERROR(VLOOKUP(G5194,WholesaleExtract!B:K,10,FALSE),"")</f>
        <v/>
      </c>
      <c r="L5194" s="47" t="str">
        <f>IFERROR(VLOOKUP(G5194,WholesaleExtract!B:L,11,FALSE),"")</f>
        <v/>
      </c>
      <c r="M5194" s="47" t="str">
        <f>IFERROR(VLOOKUP(G5194,WholesaleExtract!B:M,12,FALSE),"")</f>
        <v/>
      </c>
      <c r="R5194" s="19"/>
      <c r="S5194" s="19"/>
    </row>
    <row r="5195" spans="1:19" x14ac:dyDescent="0.35">
      <c r="A5195" s="26" t="s">
        <v>543</v>
      </c>
      <c r="B5195" s="26" t="s">
        <v>543</v>
      </c>
      <c r="C5195" s="26"/>
      <c r="D5195" s="26" t="s">
        <v>543</v>
      </c>
      <c r="E5195" s="26" t="str">
        <f>IFERROR(VLOOKUP(G5195,WholesaleExtract!B:J,9,FALSE),"")</f>
        <v/>
      </c>
      <c r="F5195" s="26" t="str">
        <f>IFERROR(VLOOKUP(G5195,WholesaleExtract!B:J,6,FALSE),"")</f>
        <v/>
      </c>
      <c r="H5195" s="47" t="str">
        <f>IFERROR(VLOOKUP(G5195,WholesaleExtract!B:L,11,FALSE),"")</f>
        <v/>
      </c>
      <c r="I5195" s="26" t="str">
        <f>IFERROR(VLOOKUP(G5195,WholesaleExtract!B:O,8,FALSE),"")</f>
        <v/>
      </c>
      <c r="J5195" s="26" t="str">
        <f>IFERROR(VLOOKUP(G5195,WholesaleExtract!B:O,14,FALSE),"")</f>
        <v/>
      </c>
      <c r="K5195" s="26" t="str">
        <f>IFERROR(VLOOKUP(G5195,WholesaleExtract!B:K,10,FALSE),"")</f>
        <v/>
      </c>
      <c r="L5195" s="47" t="str">
        <f>IFERROR(VLOOKUP(G5195,WholesaleExtract!B:L,11,FALSE),"")</f>
        <v/>
      </c>
      <c r="M5195" s="47" t="str">
        <f>IFERROR(VLOOKUP(G5195,WholesaleExtract!B:M,12,FALSE),"")</f>
        <v/>
      </c>
      <c r="R5195" s="19"/>
      <c r="S5195" s="19"/>
    </row>
    <row r="5196" spans="1:19" x14ac:dyDescent="0.35">
      <c r="A5196" s="26" t="s">
        <v>543</v>
      </c>
      <c r="B5196" s="26" t="s">
        <v>543</v>
      </c>
      <c r="C5196" s="26"/>
      <c r="D5196" s="26" t="s">
        <v>543</v>
      </c>
      <c r="E5196" s="26" t="str">
        <f>IFERROR(VLOOKUP(G5196,WholesaleExtract!B:J,9,FALSE),"")</f>
        <v/>
      </c>
      <c r="F5196" s="26" t="str">
        <f>IFERROR(VLOOKUP(G5196,WholesaleExtract!B:J,6,FALSE),"")</f>
        <v/>
      </c>
      <c r="H5196" s="47" t="str">
        <f>IFERROR(VLOOKUP(G5196,WholesaleExtract!B:L,11,FALSE),"")</f>
        <v/>
      </c>
      <c r="I5196" s="26" t="str">
        <f>IFERROR(VLOOKUP(G5196,WholesaleExtract!B:O,8,FALSE),"")</f>
        <v/>
      </c>
      <c r="J5196" s="26" t="str">
        <f>IFERROR(VLOOKUP(G5196,WholesaleExtract!B:O,14,FALSE),"")</f>
        <v/>
      </c>
      <c r="K5196" s="26" t="str">
        <f>IFERROR(VLOOKUP(G5196,WholesaleExtract!B:K,10,FALSE),"")</f>
        <v/>
      </c>
      <c r="L5196" s="47" t="str">
        <f>IFERROR(VLOOKUP(G5196,WholesaleExtract!B:L,11,FALSE),"")</f>
        <v/>
      </c>
      <c r="M5196" s="47" t="str">
        <f>IFERROR(VLOOKUP(G5196,WholesaleExtract!B:M,12,FALSE),"")</f>
        <v/>
      </c>
      <c r="R5196" s="19"/>
      <c r="S5196" s="19"/>
    </row>
    <row r="5197" spans="1:19" x14ac:dyDescent="0.35">
      <c r="A5197" s="26" t="s">
        <v>543</v>
      </c>
      <c r="B5197" s="26" t="s">
        <v>543</v>
      </c>
      <c r="C5197" s="26"/>
      <c r="D5197" s="26" t="s">
        <v>543</v>
      </c>
      <c r="E5197" s="26" t="str">
        <f>IFERROR(VLOOKUP(G5197,WholesaleExtract!B:J,9,FALSE),"")</f>
        <v/>
      </c>
      <c r="F5197" s="26" t="str">
        <f>IFERROR(VLOOKUP(G5197,WholesaleExtract!B:J,6,FALSE),"")</f>
        <v/>
      </c>
      <c r="H5197" s="47" t="str">
        <f>IFERROR(VLOOKUP(G5197,WholesaleExtract!B:L,11,FALSE),"")</f>
        <v/>
      </c>
      <c r="I5197" s="26" t="str">
        <f>IFERROR(VLOOKUP(G5197,WholesaleExtract!B:O,8,FALSE),"")</f>
        <v/>
      </c>
      <c r="J5197" s="26" t="str">
        <f>IFERROR(VLOOKUP(G5197,WholesaleExtract!B:O,14,FALSE),"")</f>
        <v/>
      </c>
      <c r="K5197" s="26" t="str">
        <f>IFERROR(VLOOKUP(G5197,WholesaleExtract!B:K,10,FALSE),"")</f>
        <v/>
      </c>
      <c r="L5197" s="47" t="str">
        <f>IFERROR(VLOOKUP(G5197,WholesaleExtract!B:L,11,FALSE),"")</f>
        <v/>
      </c>
      <c r="M5197" s="47" t="str">
        <f>IFERROR(VLOOKUP(G5197,WholesaleExtract!B:M,12,FALSE),"")</f>
        <v/>
      </c>
      <c r="R5197" s="19"/>
      <c r="S5197" s="19"/>
    </row>
    <row r="5198" spans="1:19" x14ac:dyDescent="0.35">
      <c r="A5198" s="26" t="s">
        <v>543</v>
      </c>
      <c r="B5198" s="26" t="s">
        <v>543</v>
      </c>
      <c r="C5198" s="26"/>
      <c r="D5198" s="26" t="s">
        <v>543</v>
      </c>
      <c r="E5198" s="26" t="str">
        <f>IFERROR(VLOOKUP(G5198,WholesaleExtract!B:J,9,FALSE),"")</f>
        <v/>
      </c>
      <c r="F5198" s="26" t="str">
        <f>IFERROR(VLOOKUP(G5198,WholesaleExtract!B:J,6,FALSE),"")</f>
        <v/>
      </c>
      <c r="H5198" s="47" t="str">
        <f>IFERROR(VLOOKUP(G5198,WholesaleExtract!B:L,11,FALSE),"")</f>
        <v/>
      </c>
      <c r="I5198" s="26" t="str">
        <f>IFERROR(VLOOKUP(G5198,WholesaleExtract!B:O,8,FALSE),"")</f>
        <v/>
      </c>
      <c r="J5198" s="26" t="str">
        <f>IFERROR(VLOOKUP(G5198,WholesaleExtract!B:O,14,FALSE),"")</f>
        <v/>
      </c>
      <c r="K5198" s="26" t="str">
        <f>IFERROR(VLOOKUP(G5198,WholesaleExtract!B:K,10,FALSE),"")</f>
        <v/>
      </c>
      <c r="L5198" s="47" t="str">
        <f>IFERROR(VLOOKUP(G5198,WholesaleExtract!B:L,11,FALSE),"")</f>
        <v/>
      </c>
      <c r="M5198" s="47" t="str">
        <f>IFERROR(VLOOKUP(G5198,WholesaleExtract!B:M,12,FALSE),"")</f>
        <v/>
      </c>
      <c r="R5198" s="19"/>
      <c r="S5198" s="19"/>
    </row>
    <row r="5199" spans="1:19" x14ac:dyDescent="0.35">
      <c r="A5199" s="26" t="s">
        <v>543</v>
      </c>
      <c r="B5199" s="26" t="s">
        <v>543</v>
      </c>
      <c r="C5199" s="26"/>
      <c r="D5199" s="26" t="s">
        <v>543</v>
      </c>
      <c r="E5199" s="26" t="str">
        <f>IFERROR(VLOOKUP(G5199,WholesaleExtract!B:J,9,FALSE),"")</f>
        <v/>
      </c>
      <c r="F5199" s="26" t="str">
        <f>IFERROR(VLOOKUP(G5199,WholesaleExtract!B:J,6,FALSE),"")</f>
        <v/>
      </c>
      <c r="H5199" s="47" t="str">
        <f>IFERROR(VLOOKUP(G5199,WholesaleExtract!B:L,11,FALSE),"")</f>
        <v/>
      </c>
      <c r="I5199" s="26" t="str">
        <f>IFERROR(VLOOKUP(G5199,WholesaleExtract!B:O,8,FALSE),"")</f>
        <v/>
      </c>
      <c r="J5199" s="26" t="str">
        <f>IFERROR(VLOOKUP(G5199,WholesaleExtract!B:O,14,FALSE),"")</f>
        <v/>
      </c>
      <c r="K5199" s="26" t="str">
        <f>IFERROR(VLOOKUP(G5199,WholesaleExtract!B:K,10,FALSE),"")</f>
        <v/>
      </c>
      <c r="L5199" s="47" t="str">
        <f>IFERROR(VLOOKUP(G5199,WholesaleExtract!B:L,11,FALSE),"")</f>
        <v/>
      </c>
      <c r="M5199" s="47" t="str">
        <f>IFERROR(VLOOKUP(G5199,WholesaleExtract!B:M,12,FALSE),"")</f>
        <v/>
      </c>
      <c r="R5199" s="19"/>
      <c r="S5199" s="19"/>
    </row>
    <row r="5200" spans="1:19" x14ac:dyDescent="0.35">
      <c r="A5200" s="26" t="s">
        <v>543</v>
      </c>
      <c r="B5200" s="26" t="s">
        <v>543</v>
      </c>
      <c r="C5200" s="26"/>
      <c r="D5200" s="26" t="s">
        <v>543</v>
      </c>
      <c r="E5200" s="26" t="str">
        <f>IFERROR(VLOOKUP(G5200,WholesaleExtract!B:J,9,FALSE),"")</f>
        <v/>
      </c>
      <c r="F5200" s="26" t="str">
        <f>IFERROR(VLOOKUP(G5200,WholesaleExtract!B:J,6,FALSE),"")</f>
        <v/>
      </c>
      <c r="H5200" s="47" t="str">
        <f>IFERROR(VLOOKUP(G5200,WholesaleExtract!B:L,11,FALSE),"")</f>
        <v/>
      </c>
      <c r="I5200" s="26" t="str">
        <f>IFERROR(VLOOKUP(G5200,WholesaleExtract!B:O,8,FALSE),"")</f>
        <v/>
      </c>
      <c r="J5200" s="26" t="str">
        <f>IFERROR(VLOOKUP(G5200,WholesaleExtract!B:O,14,FALSE),"")</f>
        <v/>
      </c>
      <c r="K5200" s="26" t="str">
        <f>IFERROR(VLOOKUP(G5200,WholesaleExtract!B:K,10,FALSE),"")</f>
        <v/>
      </c>
      <c r="L5200" s="47" t="str">
        <f>IFERROR(VLOOKUP(G5200,WholesaleExtract!B:L,11,FALSE),"")</f>
        <v/>
      </c>
      <c r="M5200" s="47" t="str">
        <f>IFERROR(VLOOKUP(G5200,WholesaleExtract!B:M,12,FALSE),"")</f>
        <v/>
      </c>
      <c r="R5200" s="19"/>
      <c r="S5200" s="19"/>
    </row>
    <row r="5201" spans="1:19" x14ac:dyDescent="0.35">
      <c r="A5201" s="26" t="s">
        <v>543</v>
      </c>
      <c r="B5201" s="26" t="s">
        <v>543</v>
      </c>
      <c r="C5201" s="26"/>
      <c r="D5201" s="26" t="s">
        <v>543</v>
      </c>
      <c r="E5201" s="26" t="str">
        <f>IFERROR(VLOOKUP(G5201,WholesaleExtract!B:J,9,FALSE),"")</f>
        <v/>
      </c>
      <c r="F5201" s="26" t="str">
        <f>IFERROR(VLOOKUP(G5201,WholesaleExtract!B:J,6,FALSE),"")</f>
        <v/>
      </c>
      <c r="H5201" s="47" t="str">
        <f>IFERROR(VLOOKUP(G5201,WholesaleExtract!B:L,11,FALSE),"")</f>
        <v/>
      </c>
      <c r="I5201" s="26" t="str">
        <f>IFERROR(VLOOKUP(G5201,WholesaleExtract!B:O,8,FALSE),"")</f>
        <v/>
      </c>
      <c r="J5201" s="26" t="str">
        <f>IFERROR(VLOOKUP(G5201,WholesaleExtract!B:O,14,FALSE),"")</f>
        <v/>
      </c>
      <c r="K5201" s="26" t="str">
        <f>IFERROR(VLOOKUP(G5201,WholesaleExtract!B:K,10,FALSE),"")</f>
        <v/>
      </c>
      <c r="L5201" s="47" t="str">
        <f>IFERROR(VLOOKUP(G5201,WholesaleExtract!B:L,11,FALSE),"")</f>
        <v/>
      </c>
      <c r="M5201" s="47" t="str">
        <f>IFERROR(VLOOKUP(G5201,WholesaleExtract!B:M,12,FALSE),"")</f>
        <v/>
      </c>
      <c r="R5201" s="19"/>
      <c r="S5201" s="19"/>
    </row>
    <row r="5202" spans="1:19" x14ac:dyDescent="0.35">
      <c r="A5202" s="26" t="s">
        <v>543</v>
      </c>
      <c r="B5202" s="26" t="s">
        <v>543</v>
      </c>
      <c r="C5202" s="26"/>
      <c r="D5202" s="26" t="s">
        <v>543</v>
      </c>
      <c r="E5202" s="26" t="str">
        <f>IFERROR(VLOOKUP(G5202,WholesaleExtract!B:J,9,FALSE),"")</f>
        <v/>
      </c>
      <c r="F5202" s="26" t="str">
        <f>IFERROR(VLOOKUP(G5202,WholesaleExtract!B:J,6,FALSE),"")</f>
        <v/>
      </c>
      <c r="H5202" s="47" t="str">
        <f>IFERROR(VLOOKUP(G5202,WholesaleExtract!B:L,11,FALSE),"")</f>
        <v/>
      </c>
      <c r="I5202" s="26" t="str">
        <f>IFERROR(VLOOKUP(G5202,WholesaleExtract!B:O,8,FALSE),"")</f>
        <v/>
      </c>
      <c r="J5202" s="26" t="str">
        <f>IFERROR(VLOOKUP(G5202,WholesaleExtract!B:O,14,FALSE),"")</f>
        <v/>
      </c>
      <c r="K5202" s="26" t="str">
        <f>IFERROR(VLOOKUP(G5202,WholesaleExtract!B:K,10,FALSE),"")</f>
        <v/>
      </c>
      <c r="L5202" s="47" t="str">
        <f>IFERROR(VLOOKUP(G5202,WholesaleExtract!B:L,11,FALSE),"")</f>
        <v/>
      </c>
      <c r="M5202" s="47" t="str">
        <f>IFERROR(VLOOKUP(G5202,WholesaleExtract!B:M,12,FALSE),"")</f>
        <v/>
      </c>
      <c r="R5202" s="19"/>
      <c r="S5202" s="19"/>
    </row>
    <row r="5203" spans="1:19" x14ac:dyDescent="0.35">
      <c r="A5203" s="26" t="s">
        <v>543</v>
      </c>
      <c r="B5203" s="26" t="s">
        <v>543</v>
      </c>
      <c r="C5203" s="26"/>
      <c r="D5203" s="26" t="s">
        <v>543</v>
      </c>
      <c r="E5203" s="26" t="str">
        <f>IFERROR(VLOOKUP(G5203,WholesaleExtract!B:J,9,FALSE),"")</f>
        <v/>
      </c>
      <c r="F5203" s="26" t="str">
        <f>IFERROR(VLOOKUP(G5203,WholesaleExtract!B:J,6,FALSE),"")</f>
        <v/>
      </c>
      <c r="H5203" s="47" t="str">
        <f>IFERROR(VLOOKUP(G5203,WholesaleExtract!B:L,11,FALSE),"")</f>
        <v/>
      </c>
      <c r="I5203" s="26" t="str">
        <f>IFERROR(VLOOKUP(G5203,WholesaleExtract!B:O,8,FALSE),"")</f>
        <v/>
      </c>
      <c r="J5203" s="26" t="str">
        <f>IFERROR(VLOOKUP(G5203,WholesaleExtract!B:O,14,FALSE),"")</f>
        <v/>
      </c>
      <c r="K5203" s="26" t="str">
        <f>IFERROR(VLOOKUP(G5203,WholesaleExtract!B:K,10,FALSE),"")</f>
        <v/>
      </c>
      <c r="L5203" s="47" t="str">
        <f>IFERROR(VLOOKUP(G5203,WholesaleExtract!B:L,11,FALSE),"")</f>
        <v/>
      </c>
      <c r="M5203" s="47" t="str">
        <f>IFERROR(VLOOKUP(G5203,WholesaleExtract!B:M,12,FALSE),"")</f>
        <v/>
      </c>
      <c r="R5203" s="19"/>
      <c r="S5203" s="19"/>
    </row>
    <row r="5204" spans="1:19" x14ac:dyDescent="0.35">
      <c r="A5204" s="26" t="s">
        <v>543</v>
      </c>
      <c r="B5204" s="26" t="s">
        <v>543</v>
      </c>
      <c r="C5204" s="26"/>
      <c r="D5204" s="26" t="s">
        <v>543</v>
      </c>
      <c r="E5204" s="26" t="str">
        <f>IFERROR(VLOOKUP(G5204,WholesaleExtract!B:J,9,FALSE),"")</f>
        <v/>
      </c>
      <c r="F5204" s="26" t="str">
        <f>IFERROR(VLOOKUP(G5204,WholesaleExtract!B:J,6,FALSE),"")</f>
        <v/>
      </c>
      <c r="H5204" s="47" t="str">
        <f>IFERROR(VLOOKUP(G5204,WholesaleExtract!B:L,11,FALSE),"")</f>
        <v/>
      </c>
      <c r="I5204" s="26" t="str">
        <f>IFERROR(VLOOKUP(G5204,WholesaleExtract!B:O,8,FALSE),"")</f>
        <v/>
      </c>
      <c r="J5204" s="26" t="str">
        <f>IFERROR(VLOOKUP(G5204,WholesaleExtract!B:O,14,FALSE),"")</f>
        <v/>
      </c>
      <c r="K5204" s="26" t="str">
        <f>IFERROR(VLOOKUP(G5204,WholesaleExtract!B:K,10,FALSE),"")</f>
        <v/>
      </c>
      <c r="L5204" s="47" t="str">
        <f>IFERROR(VLOOKUP(G5204,WholesaleExtract!B:L,11,FALSE),"")</f>
        <v/>
      </c>
      <c r="M5204" s="47" t="str">
        <f>IFERROR(VLOOKUP(G5204,WholesaleExtract!B:M,12,FALSE),"")</f>
        <v/>
      </c>
      <c r="R5204" s="19"/>
      <c r="S5204" s="19"/>
    </row>
    <row r="5205" spans="1:19" x14ac:dyDescent="0.35">
      <c r="A5205" s="26" t="s">
        <v>543</v>
      </c>
      <c r="B5205" s="26" t="s">
        <v>543</v>
      </c>
      <c r="C5205" s="26"/>
      <c r="D5205" s="26" t="s">
        <v>543</v>
      </c>
      <c r="E5205" s="26" t="str">
        <f>IFERROR(VLOOKUP(G5205,WholesaleExtract!B:J,9,FALSE),"")</f>
        <v/>
      </c>
      <c r="F5205" s="26" t="str">
        <f>IFERROR(VLOOKUP(G5205,WholesaleExtract!B:J,6,FALSE),"")</f>
        <v/>
      </c>
      <c r="H5205" s="47" t="str">
        <f>IFERROR(VLOOKUP(G5205,WholesaleExtract!B:L,11,FALSE),"")</f>
        <v/>
      </c>
      <c r="I5205" s="26" t="str">
        <f>IFERROR(VLOOKUP(G5205,WholesaleExtract!B:O,8,FALSE),"")</f>
        <v/>
      </c>
      <c r="J5205" s="26" t="str">
        <f>IFERROR(VLOOKUP(G5205,WholesaleExtract!B:O,14,FALSE),"")</f>
        <v/>
      </c>
      <c r="K5205" s="26" t="str">
        <f>IFERROR(VLOOKUP(G5205,WholesaleExtract!B:K,10,FALSE),"")</f>
        <v/>
      </c>
      <c r="L5205" s="47" t="str">
        <f>IFERROR(VLOOKUP(G5205,WholesaleExtract!B:L,11,FALSE),"")</f>
        <v/>
      </c>
      <c r="M5205" s="47" t="str">
        <f>IFERROR(VLOOKUP(G5205,WholesaleExtract!B:M,12,FALSE),"")</f>
        <v/>
      </c>
      <c r="R5205" s="19"/>
      <c r="S5205" s="19"/>
    </row>
    <row r="5206" spans="1:19" x14ac:dyDescent="0.35">
      <c r="A5206" s="26" t="s">
        <v>543</v>
      </c>
      <c r="B5206" s="26" t="s">
        <v>543</v>
      </c>
      <c r="C5206" s="26"/>
      <c r="D5206" s="26" t="s">
        <v>543</v>
      </c>
      <c r="E5206" s="26" t="str">
        <f>IFERROR(VLOOKUP(G5206,WholesaleExtract!B:J,9,FALSE),"")</f>
        <v/>
      </c>
      <c r="F5206" s="26" t="str">
        <f>IFERROR(VLOOKUP(G5206,WholesaleExtract!B:J,6,FALSE),"")</f>
        <v/>
      </c>
      <c r="H5206" s="47" t="str">
        <f>IFERROR(VLOOKUP(G5206,WholesaleExtract!B:L,11,FALSE),"")</f>
        <v/>
      </c>
      <c r="I5206" s="26" t="str">
        <f>IFERROR(VLOOKUP(G5206,WholesaleExtract!B:O,8,FALSE),"")</f>
        <v/>
      </c>
      <c r="J5206" s="26" t="str">
        <f>IFERROR(VLOOKUP(G5206,WholesaleExtract!B:O,14,FALSE),"")</f>
        <v/>
      </c>
      <c r="K5206" s="26" t="str">
        <f>IFERROR(VLOOKUP(G5206,WholesaleExtract!B:K,10,FALSE),"")</f>
        <v/>
      </c>
      <c r="L5206" s="47" t="str">
        <f>IFERROR(VLOOKUP(G5206,WholesaleExtract!B:L,11,FALSE),"")</f>
        <v/>
      </c>
      <c r="M5206" s="47" t="str">
        <f>IFERROR(VLOOKUP(G5206,WholesaleExtract!B:M,12,FALSE),"")</f>
        <v/>
      </c>
      <c r="R5206" s="19"/>
      <c r="S5206" s="19"/>
    </row>
    <row r="5207" spans="1:19" x14ac:dyDescent="0.35">
      <c r="A5207" s="26" t="s">
        <v>543</v>
      </c>
      <c r="B5207" s="26" t="s">
        <v>543</v>
      </c>
      <c r="C5207" s="26"/>
      <c r="D5207" s="26" t="s">
        <v>543</v>
      </c>
      <c r="E5207" s="26" t="str">
        <f>IFERROR(VLOOKUP(G5207,WholesaleExtract!B:J,9,FALSE),"")</f>
        <v/>
      </c>
      <c r="F5207" s="26" t="str">
        <f>IFERROR(VLOOKUP(G5207,WholesaleExtract!B:J,6,FALSE),"")</f>
        <v/>
      </c>
      <c r="H5207" s="47" t="str">
        <f>IFERROR(VLOOKUP(G5207,WholesaleExtract!B:L,11,FALSE),"")</f>
        <v/>
      </c>
      <c r="I5207" s="26" t="str">
        <f>IFERROR(VLOOKUP(G5207,WholesaleExtract!B:O,8,FALSE),"")</f>
        <v/>
      </c>
      <c r="J5207" s="26" t="str">
        <f>IFERROR(VLOOKUP(G5207,WholesaleExtract!B:O,14,FALSE),"")</f>
        <v/>
      </c>
      <c r="K5207" s="26" t="str">
        <f>IFERROR(VLOOKUP(G5207,WholesaleExtract!B:K,10,FALSE),"")</f>
        <v/>
      </c>
      <c r="L5207" s="47" t="str">
        <f>IFERROR(VLOOKUP(G5207,WholesaleExtract!B:L,11,FALSE),"")</f>
        <v/>
      </c>
      <c r="M5207" s="47" t="str">
        <f>IFERROR(VLOOKUP(G5207,WholesaleExtract!B:M,12,FALSE),"")</f>
        <v/>
      </c>
      <c r="R5207" s="19"/>
      <c r="S5207" s="19"/>
    </row>
    <row r="5208" spans="1:19" x14ac:dyDescent="0.35">
      <c r="A5208" s="26" t="s">
        <v>543</v>
      </c>
      <c r="B5208" s="26" t="s">
        <v>543</v>
      </c>
      <c r="C5208" s="26"/>
      <c r="D5208" s="26" t="s">
        <v>543</v>
      </c>
      <c r="E5208" s="26" t="str">
        <f>IFERROR(VLOOKUP(G5208,WholesaleExtract!B:J,9,FALSE),"")</f>
        <v/>
      </c>
      <c r="F5208" s="26" t="str">
        <f>IFERROR(VLOOKUP(G5208,WholesaleExtract!B:J,6,FALSE),"")</f>
        <v/>
      </c>
      <c r="H5208" s="47" t="str">
        <f>IFERROR(VLOOKUP(G5208,WholesaleExtract!B:L,11,FALSE),"")</f>
        <v/>
      </c>
      <c r="I5208" s="26" t="str">
        <f>IFERROR(VLOOKUP(G5208,WholesaleExtract!B:O,8,FALSE),"")</f>
        <v/>
      </c>
      <c r="J5208" s="26" t="str">
        <f>IFERROR(VLOOKUP(G5208,WholesaleExtract!B:O,14,FALSE),"")</f>
        <v/>
      </c>
      <c r="K5208" s="26" t="str">
        <f>IFERROR(VLOOKUP(G5208,WholesaleExtract!B:K,10,FALSE),"")</f>
        <v/>
      </c>
      <c r="L5208" s="47" t="str">
        <f>IFERROR(VLOOKUP(G5208,WholesaleExtract!B:L,11,FALSE),"")</f>
        <v/>
      </c>
      <c r="M5208" s="47" t="str">
        <f>IFERROR(VLOOKUP(G5208,WholesaleExtract!B:M,12,FALSE),"")</f>
        <v/>
      </c>
      <c r="R5208" s="19"/>
      <c r="S5208" s="19"/>
    </row>
    <row r="5209" spans="1:19" x14ac:dyDescent="0.35">
      <c r="A5209" s="26" t="s">
        <v>543</v>
      </c>
      <c r="B5209" s="26" t="s">
        <v>543</v>
      </c>
      <c r="C5209" s="26"/>
      <c r="D5209" s="26" t="s">
        <v>543</v>
      </c>
      <c r="E5209" s="26" t="str">
        <f>IFERROR(VLOOKUP(G5209,WholesaleExtract!B:J,9,FALSE),"")</f>
        <v/>
      </c>
      <c r="F5209" s="26" t="str">
        <f>IFERROR(VLOOKUP(G5209,WholesaleExtract!B:J,6,FALSE),"")</f>
        <v/>
      </c>
      <c r="H5209" s="47" t="str">
        <f>IFERROR(VLOOKUP(G5209,WholesaleExtract!B:L,11,FALSE),"")</f>
        <v/>
      </c>
      <c r="I5209" s="26" t="str">
        <f>IFERROR(VLOOKUP(G5209,WholesaleExtract!B:O,8,FALSE),"")</f>
        <v/>
      </c>
      <c r="J5209" s="26" t="str">
        <f>IFERROR(VLOOKUP(G5209,WholesaleExtract!B:O,14,FALSE),"")</f>
        <v/>
      </c>
      <c r="K5209" s="26" t="str">
        <f>IFERROR(VLOOKUP(G5209,WholesaleExtract!B:K,10,FALSE),"")</f>
        <v/>
      </c>
      <c r="L5209" s="47" t="str">
        <f>IFERROR(VLOOKUP(G5209,WholesaleExtract!B:L,11,FALSE),"")</f>
        <v/>
      </c>
      <c r="M5209" s="47" t="str">
        <f>IFERROR(VLOOKUP(G5209,WholesaleExtract!B:M,12,FALSE),"")</f>
        <v/>
      </c>
      <c r="R5209" s="19"/>
      <c r="S5209" s="19"/>
    </row>
    <row r="5210" spans="1:19" x14ac:dyDescent="0.35">
      <c r="A5210" s="26" t="s">
        <v>543</v>
      </c>
      <c r="B5210" s="26" t="s">
        <v>543</v>
      </c>
      <c r="C5210" s="26"/>
      <c r="D5210" s="26" t="s">
        <v>543</v>
      </c>
      <c r="E5210" s="26" t="str">
        <f>IFERROR(VLOOKUP(G5210,WholesaleExtract!B:J,9,FALSE),"")</f>
        <v/>
      </c>
      <c r="F5210" s="26" t="str">
        <f>IFERROR(VLOOKUP(G5210,WholesaleExtract!B:J,6,FALSE),"")</f>
        <v/>
      </c>
      <c r="H5210" s="47" t="str">
        <f>IFERROR(VLOOKUP(G5210,WholesaleExtract!B:L,11,FALSE),"")</f>
        <v/>
      </c>
      <c r="I5210" s="26" t="str">
        <f>IFERROR(VLOOKUP(G5210,WholesaleExtract!B:O,8,FALSE),"")</f>
        <v/>
      </c>
      <c r="J5210" s="26" t="str">
        <f>IFERROR(VLOOKUP(G5210,WholesaleExtract!B:O,14,FALSE),"")</f>
        <v/>
      </c>
      <c r="K5210" s="26" t="str">
        <f>IFERROR(VLOOKUP(G5210,WholesaleExtract!B:K,10,FALSE),"")</f>
        <v/>
      </c>
      <c r="L5210" s="47" t="str">
        <f>IFERROR(VLOOKUP(G5210,WholesaleExtract!B:L,11,FALSE),"")</f>
        <v/>
      </c>
      <c r="M5210" s="47" t="str">
        <f>IFERROR(VLOOKUP(G5210,WholesaleExtract!B:M,12,FALSE),"")</f>
        <v/>
      </c>
      <c r="R5210" s="19"/>
      <c r="S5210" s="19"/>
    </row>
    <row r="5211" spans="1:19" x14ac:dyDescent="0.35">
      <c r="A5211" s="26" t="s">
        <v>543</v>
      </c>
      <c r="B5211" s="26" t="s">
        <v>543</v>
      </c>
      <c r="C5211" s="26"/>
      <c r="D5211" s="26" t="s">
        <v>543</v>
      </c>
      <c r="E5211" s="26" t="str">
        <f>IFERROR(VLOOKUP(G5211,WholesaleExtract!B:J,9,FALSE),"")</f>
        <v/>
      </c>
      <c r="F5211" s="26" t="str">
        <f>IFERROR(VLOOKUP(G5211,WholesaleExtract!B:J,6,FALSE),"")</f>
        <v/>
      </c>
      <c r="H5211" s="47" t="str">
        <f>IFERROR(VLOOKUP(G5211,WholesaleExtract!B:L,11,FALSE),"")</f>
        <v/>
      </c>
      <c r="I5211" s="26" t="str">
        <f>IFERROR(VLOOKUP(G5211,WholesaleExtract!B:O,8,FALSE),"")</f>
        <v/>
      </c>
      <c r="J5211" s="26" t="str">
        <f>IFERROR(VLOOKUP(G5211,WholesaleExtract!B:O,14,FALSE),"")</f>
        <v/>
      </c>
      <c r="K5211" s="26" t="str">
        <f>IFERROR(VLOOKUP(G5211,WholesaleExtract!B:K,10,FALSE),"")</f>
        <v/>
      </c>
      <c r="L5211" s="47" t="str">
        <f>IFERROR(VLOOKUP(G5211,WholesaleExtract!B:L,11,FALSE),"")</f>
        <v/>
      </c>
      <c r="M5211" s="47" t="str">
        <f>IFERROR(VLOOKUP(G5211,WholesaleExtract!B:M,12,FALSE),"")</f>
        <v/>
      </c>
      <c r="R5211" s="19"/>
      <c r="S5211" s="19"/>
    </row>
    <row r="5212" spans="1:19" x14ac:dyDescent="0.35">
      <c r="A5212" s="26" t="s">
        <v>543</v>
      </c>
      <c r="B5212" s="26" t="s">
        <v>543</v>
      </c>
      <c r="C5212" s="26"/>
      <c r="D5212" s="26" t="s">
        <v>543</v>
      </c>
      <c r="E5212" s="26" t="str">
        <f>IFERROR(VLOOKUP(G5212,WholesaleExtract!B:J,9,FALSE),"")</f>
        <v/>
      </c>
      <c r="F5212" s="26" t="str">
        <f>IFERROR(VLOOKUP(G5212,WholesaleExtract!B:J,6,FALSE),"")</f>
        <v/>
      </c>
      <c r="H5212" s="47" t="str">
        <f>IFERROR(VLOOKUP(G5212,WholesaleExtract!B:L,11,FALSE),"")</f>
        <v/>
      </c>
      <c r="I5212" s="26" t="str">
        <f>IFERROR(VLOOKUP(G5212,WholesaleExtract!B:O,8,FALSE),"")</f>
        <v/>
      </c>
      <c r="J5212" s="26" t="str">
        <f>IFERROR(VLOOKUP(G5212,WholesaleExtract!B:O,14,FALSE),"")</f>
        <v/>
      </c>
      <c r="K5212" s="26" t="str">
        <f>IFERROR(VLOOKUP(G5212,WholesaleExtract!B:K,10,FALSE),"")</f>
        <v/>
      </c>
      <c r="L5212" s="47" t="str">
        <f>IFERROR(VLOOKUP(G5212,WholesaleExtract!B:L,11,FALSE),"")</f>
        <v/>
      </c>
      <c r="M5212" s="47" t="str">
        <f>IFERROR(VLOOKUP(G5212,WholesaleExtract!B:M,12,FALSE),"")</f>
        <v/>
      </c>
      <c r="R5212" s="19"/>
      <c r="S5212" s="19"/>
    </row>
    <row r="5213" spans="1:19" x14ac:dyDescent="0.35">
      <c r="A5213" s="26" t="s">
        <v>543</v>
      </c>
      <c r="B5213" s="26" t="s">
        <v>543</v>
      </c>
      <c r="C5213" s="26"/>
      <c r="D5213" s="26" t="s">
        <v>543</v>
      </c>
      <c r="E5213" s="26" t="str">
        <f>IFERROR(VLOOKUP(G5213,WholesaleExtract!B:J,9,FALSE),"")</f>
        <v/>
      </c>
      <c r="F5213" s="26" t="str">
        <f>IFERROR(VLOOKUP(G5213,WholesaleExtract!B:J,6,FALSE),"")</f>
        <v/>
      </c>
      <c r="H5213" s="47" t="str">
        <f>IFERROR(VLOOKUP(G5213,WholesaleExtract!B:L,11,FALSE),"")</f>
        <v/>
      </c>
      <c r="I5213" s="26" t="str">
        <f>IFERROR(VLOOKUP(G5213,WholesaleExtract!B:O,8,FALSE),"")</f>
        <v/>
      </c>
      <c r="J5213" s="26" t="str">
        <f>IFERROR(VLOOKUP(G5213,WholesaleExtract!B:O,14,FALSE),"")</f>
        <v/>
      </c>
      <c r="K5213" s="26" t="str">
        <f>IFERROR(VLOOKUP(G5213,WholesaleExtract!B:K,10,FALSE),"")</f>
        <v/>
      </c>
      <c r="L5213" s="47" t="str">
        <f>IFERROR(VLOOKUP(G5213,WholesaleExtract!B:L,11,FALSE),"")</f>
        <v/>
      </c>
      <c r="M5213" s="47" t="str">
        <f>IFERROR(VLOOKUP(G5213,WholesaleExtract!B:M,12,FALSE),"")</f>
        <v/>
      </c>
      <c r="R5213" s="19"/>
      <c r="S5213" s="19"/>
    </row>
    <row r="5214" spans="1:19" x14ac:dyDescent="0.35">
      <c r="A5214" s="26" t="s">
        <v>543</v>
      </c>
      <c r="B5214" s="26" t="s">
        <v>543</v>
      </c>
      <c r="C5214" s="26"/>
      <c r="D5214" s="26" t="s">
        <v>543</v>
      </c>
      <c r="E5214" s="26" t="str">
        <f>IFERROR(VLOOKUP(G5214,WholesaleExtract!B:J,9,FALSE),"")</f>
        <v/>
      </c>
      <c r="F5214" s="26" t="str">
        <f>IFERROR(VLOOKUP(G5214,WholesaleExtract!B:J,6,FALSE),"")</f>
        <v/>
      </c>
      <c r="H5214" s="47" t="str">
        <f>IFERROR(VLOOKUP(G5214,WholesaleExtract!B:L,11,FALSE),"")</f>
        <v/>
      </c>
      <c r="I5214" s="26" t="str">
        <f>IFERROR(VLOOKUP(G5214,WholesaleExtract!B:O,8,FALSE),"")</f>
        <v/>
      </c>
      <c r="J5214" s="26" t="str">
        <f>IFERROR(VLOOKUP(G5214,WholesaleExtract!B:O,14,FALSE),"")</f>
        <v/>
      </c>
      <c r="K5214" s="26" t="str">
        <f>IFERROR(VLOOKUP(G5214,WholesaleExtract!B:K,10,FALSE),"")</f>
        <v/>
      </c>
      <c r="L5214" s="47" t="str">
        <f>IFERROR(VLOOKUP(G5214,WholesaleExtract!B:L,11,FALSE),"")</f>
        <v/>
      </c>
      <c r="M5214" s="47" t="str">
        <f>IFERROR(VLOOKUP(G5214,WholesaleExtract!B:M,12,FALSE),"")</f>
        <v/>
      </c>
      <c r="R5214" s="19"/>
      <c r="S5214" s="19"/>
    </row>
    <row r="5215" spans="1:19" x14ac:dyDescent="0.35">
      <c r="A5215" s="26" t="s">
        <v>543</v>
      </c>
      <c r="B5215" s="26" t="s">
        <v>543</v>
      </c>
      <c r="C5215" s="26"/>
      <c r="D5215" s="26" t="s">
        <v>543</v>
      </c>
      <c r="E5215" s="26" t="str">
        <f>IFERROR(VLOOKUP(G5215,WholesaleExtract!B:J,9,FALSE),"")</f>
        <v/>
      </c>
      <c r="F5215" s="26" t="str">
        <f>IFERROR(VLOOKUP(G5215,WholesaleExtract!B:J,6,FALSE),"")</f>
        <v/>
      </c>
      <c r="H5215" s="47" t="str">
        <f>IFERROR(VLOOKUP(G5215,WholesaleExtract!B:L,11,FALSE),"")</f>
        <v/>
      </c>
      <c r="I5215" s="26" t="str">
        <f>IFERROR(VLOOKUP(G5215,WholesaleExtract!B:O,8,FALSE),"")</f>
        <v/>
      </c>
      <c r="J5215" s="26" t="str">
        <f>IFERROR(VLOOKUP(G5215,WholesaleExtract!B:O,14,FALSE),"")</f>
        <v/>
      </c>
      <c r="K5215" s="26" t="str">
        <f>IFERROR(VLOOKUP(G5215,WholesaleExtract!B:K,10,FALSE),"")</f>
        <v/>
      </c>
      <c r="L5215" s="47" t="str">
        <f>IFERROR(VLOOKUP(G5215,WholesaleExtract!B:L,11,FALSE),"")</f>
        <v/>
      </c>
      <c r="M5215" s="47" t="str">
        <f>IFERROR(VLOOKUP(G5215,WholesaleExtract!B:M,12,FALSE),"")</f>
        <v/>
      </c>
      <c r="R5215" s="19"/>
      <c r="S5215" s="19"/>
    </row>
    <row r="5216" spans="1:19" x14ac:dyDescent="0.35">
      <c r="A5216" s="26" t="s">
        <v>543</v>
      </c>
      <c r="B5216" s="26" t="s">
        <v>543</v>
      </c>
      <c r="C5216" s="26"/>
      <c r="D5216" s="26" t="s">
        <v>543</v>
      </c>
      <c r="E5216" s="26" t="str">
        <f>IFERROR(VLOOKUP(G5216,WholesaleExtract!B:J,9,FALSE),"")</f>
        <v/>
      </c>
      <c r="F5216" s="26" t="str">
        <f>IFERROR(VLOOKUP(G5216,WholesaleExtract!B:J,6,FALSE),"")</f>
        <v/>
      </c>
      <c r="H5216" s="47" t="str">
        <f>IFERROR(VLOOKUP(G5216,WholesaleExtract!B:L,11,FALSE),"")</f>
        <v/>
      </c>
      <c r="I5216" s="26" t="str">
        <f>IFERROR(VLOOKUP(G5216,WholesaleExtract!B:O,8,FALSE),"")</f>
        <v/>
      </c>
      <c r="J5216" s="26" t="str">
        <f>IFERROR(VLOOKUP(G5216,WholesaleExtract!B:O,14,FALSE),"")</f>
        <v/>
      </c>
      <c r="K5216" s="26" t="str">
        <f>IFERROR(VLOOKUP(G5216,WholesaleExtract!B:K,10,FALSE),"")</f>
        <v/>
      </c>
      <c r="L5216" s="47" t="str">
        <f>IFERROR(VLOOKUP(G5216,WholesaleExtract!B:L,11,FALSE),"")</f>
        <v/>
      </c>
      <c r="M5216" s="47" t="str">
        <f>IFERROR(VLOOKUP(G5216,WholesaleExtract!B:M,12,FALSE),"")</f>
        <v/>
      </c>
      <c r="R5216" s="19"/>
      <c r="S5216" s="19"/>
    </row>
    <row r="5217" spans="1:19" x14ac:dyDescent="0.35">
      <c r="A5217" s="26" t="s">
        <v>543</v>
      </c>
      <c r="B5217" s="26" t="s">
        <v>543</v>
      </c>
      <c r="C5217" s="26"/>
      <c r="D5217" s="26" t="s">
        <v>543</v>
      </c>
      <c r="E5217" s="26" t="str">
        <f>IFERROR(VLOOKUP(G5217,WholesaleExtract!B:J,9,FALSE),"")</f>
        <v/>
      </c>
      <c r="F5217" s="26" t="str">
        <f>IFERROR(VLOOKUP(G5217,WholesaleExtract!B:J,6,FALSE),"")</f>
        <v/>
      </c>
      <c r="H5217" s="47" t="str">
        <f>IFERROR(VLOOKUP(G5217,WholesaleExtract!B:L,11,FALSE),"")</f>
        <v/>
      </c>
      <c r="I5217" s="26" t="str">
        <f>IFERROR(VLOOKUP(G5217,WholesaleExtract!B:O,8,FALSE),"")</f>
        <v/>
      </c>
      <c r="J5217" s="26" t="str">
        <f>IFERROR(VLOOKUP(G5217,WholesaleExtract!B:O,14,FALSE),"")</f>
        <v/>
      </c>
      <c r="K5217" s="26" t="str">
        <f>IFERROR(VLOOKUP(G5217,WholesaleExtract!B:K,10,FALSE),"")</f>
        <v/>
      </c>
      <c r="L5217" s="47" t="str">
        <f>IFERROR(VLOOKUP(G5217,WholesaleExtract!B:L,11,FALSE),"")</f>
        <v/>
      </c>
      <c r="M5217" s="47" t="str">
        <f>IFERROR(VLOOKUP(G5217,WholesaleExtract!B:M,12,FALSE),"")</f>
        <v/>
      </c>
      <c r="R5217" s="19"/>
      <c r="S5217" s="19"/>
    </row>
    <row r="5218" spans="1:19" x14ac:dyDescent="0.35">
      <c r="A5218" s="26" t="s">
        <v>543</v>
      </c>
      <c r="B5218" s="26" t="s">
        <v>543</v>
      </c>
      <c r="C5218" s="26"/>
      <c r="D5218" s="26" t="s">
        <v>543</v>
      </c>
      <c r="E5218" s="26" t="str">
        <f>IFERROR(VLOOKUP(G5218,WholesaleExtract!B:J,9,FALSE),"")</f>
        <v/>
      </c>
      <c r="F5218" s="26" t="str">
        <f>IFERROR(VLOOKUP(G5218,WholesaleExtract!B:J,6,FALSE),"")</f>
        <v/>
      </c>
      <c r="H5218" s="47" t="str">
        <f>IFERROR(VLOOKUP(G5218,WholesaleExtract!B:L,11,FALSE),"")</f>
        <v/>
      </c>
      <c r="I5218" s="26" t="str">
        <f>IFERROR(VLOOKUP(G5218,WholesaleExtract!B:O,8,FALSE),"")</f>
        <v/>
      </c>
      <c r="J5218" s="26" t="str">
        <f>IFERROR(VLOOKUP(G5218,WholesaleExtract!B:O,14,FALSE),"")</f>
        <v/>
      </c>
      <c r="K5218" s="26" t="str">
        <f>IFERROR(VLOOKUP(G5218,WholesaleExtract!B:K,10,FALSE),"")</f>
        <v/>
      </c>
      <c r="L5218" s="47" t="str">
        <f>IFERROR(VLOOKUP(G5218,WholesaleExtract!B:L,11,FALSE),"")</f>
        <v/>
      </c>
      <c r="M5218" s="47" t="str">
        <f>IFERROR(VLOOKUP(G5218,WholesaleExtract!B:M,12,FALSE),"")</f>
        <v/>
      </c>
      <c r="R5218" s="19"/>
      <c r="S5218" s="19"/>
    </row>
    <row r="5219" spans="1:19" x14ac:dyDescent="0.35">
      <c r="A5219" s="26" t="s">
        <v>543</v>
      </c>
      <c r="B5219" s="26" t="s">
        <v>543</v>
      </c>
      <c r="C5219" s="26"/>
      <c r="D5219" s="26" t="s">
        <v>543</v>
      </c>
      <c r="E5219" s="26" t="str">
        <f>IFERROR(VLOOKUP(G5219,WholesaleExtract!B:J,9,FALSE),"")</f>
        <v/>
      </c>
      <c r="F5219" s="26" t="str">
        <f>IFERROR(VLOOKUP(G5219,WholesaleExtract!B:J,6,FALSE),"")</f>
        <v/>
      </c>
      <c r="H5219" s="47" t="str">
        <f>IFERROR(VLOOKUP(G5219,WholesaleExtract!B:L,11,FALSE),"")</f>
        <v/>
      </c>
      <c r="I5219" s="26" t="str">
        <f>IFERROR(VLOOKUP(G5219,WholesaleExtract!B:O,8,FALSE),"")</f>
        <v/>
      </c>
      <c r="J5219" s="26" t="str">
        <f>IFERROR(VLOOKUP(G5219,WholesaleExtract!B:O,14,FALSE),"")</f>
        <v/>
      </c>
      <c r="K5219" s="26" t="str">
        <f>IFERROR(VLOOKUP(G5219,WholesaleExtract!B:K,10,FALSE),"")</f>
        <v/>
      </c>
      <c r="L5219" s="47" t="str">
        <f>IFERROR(VLOOKUP(G5219,WholesaleExtract!B:L,11,FALSE),"")</f>
        <v/>
      </c>
      <c r="M5219" s="47" t="str">
        <f>IFERROR(VLOOKUP(G5219,WholesaleExtract!B:M,12,FALSE),"")</f>
        <v/>
      </c>
      <c r="R5219" s="19"/>
      <c r="S5219" s="19"/>
    </row>
    <row r="5220" spans="1:19" x14ac:dyDescent="0.35">
      <c r="A5220" s="26" t="s">
        <v>543</v>
      </c>
      <c r="B5220" s="26" t="s">
        <v>543</v>
      </c>
      <c r="C5220" s="26"/>
      <c r="D5220" s="26" t="s">
        <v>543</v>
      </c>
      <c r="E5220" s="26" t="str">
        <f>IFERROR(VLOOKUP(G5220,WholesaleExtract!B:J,9,FALSE),"")</f>
        <v/>
      </c>
      <c r="F5220" s="26" t="str">
        <f>IFERROR(VLOOKUP(G5220,WholesaleExtract!B:J,6,FALSE),"")</f>
        <v/>
      </c>
      <c r="H5220" s="47" t="str">
        <f>IFERROR(VLOOKUP(G5220,WholesaleExtract!B:L,11,FALSE),"")</f>
        <v/>
      </c>
      <c r="I5220" s="26" t="str">
        <f>IFERROR(VLOOKUP(G5220,WholesaleExtract!B:O,8,FALSE),"")</f>
        <v/>
      </c>
      <c r="J5220" s="26" t="str">
        <f>IFERROR(VLOOKUP(G5220,WholesaleExtract!B:O,14,FALSE),"")</f>
        <v/>
      </c>
      <c r="K5220" s="26" t="str">
        <f>IFERROR(VLOOKUP(G5220,WholesaleExtract!B:K,10,FALSE),"")</f>
        <v/>
      </c>
      <c r="L5220" s="47" t="str">
        <f>IFERROR(VLOOKUP(G5220,WholesaleExtract!B:L,11,FALSE),"")</f>
        <v/>
      </c>
      <c r="M5220" s="47" t="str">
        <f>IFERROR(VLOOKUP(G5220,WholesaleExtract!B:M,12,FALSE),"")</f>
        <v/>
      </c>
      <c r="R5220" s="19"/>
      <c r="S5220" s="19"/>
    </row>
    <row r="5221" spans="1:19" x14ac:dyDescent="0.35">
      <c r="A5221" s="26" t="s">
        <v>543</v>
      </c>
      <c r="B5221" s="26" t="s">
        <v>543</v>
      </c>
      <c r="C5221" s="26"/>
      <c r="D5221" s="26" t="s">
        <v>543</v>
      </c>
      <c r="E5221" s="26" t="str">
        <f>IFERROR(VLOOKUP(G5221,WholesaleExtract!B:J,9,FALSE),"")</f>
        <v/>
      </c>
      <c r="F5221" s="26" t="str">
        <f>IFERROR(VLOOKUP(G5221,WholesaleExtract!B:J,6,FALSE),"")</f>
        <v/>
      </c>
      <c r="H5221" s="47" t="str">
        <f>IFERROR(VLOOKUP(G5221,WholesaleExtract!B:L,11,FALSE),"")</f>
        <v/>
      </c>
      <c r="I5221" s="26" t="str">
        <f>IFERROR(VLOOKUP(G5221,WholesaleExtract!B:O,8,FALSE),"")</f>
        <v/>
      </c>
      <c r="J5221" s="26" t="str">
        <f>IFERROR(VLOOKUP(G5221,WholesaleExtract!B:O,14,FALSE),"")</f>
        <v/>
      </c>
      <c r="K5221" s="26" t="str">
        <f>IFERROR(VLOOKUP(G5221,WholesaleExtract!B:K,10,FALSE),"")</f>
        <v/>
      </c>
      <c r="L5221" s="47" t="str">
        <f>IFERROR(VLOOKUP(G5221,WholesaleExtract!B:L,11,FALSE),"")</f>
        <v/>
      </c>
      <c r="M5221" s="47" t="str">
        <f>IFERROR(VLOOKUP(G5221,WholesaleExtract!B:M,12,FALSE),"")</f>
        <v/>
      </c>
      <c r="R5221" s="19"/>
      <c r="S5221" s="19"/>
    </row>
    <row r="5222" spans="1:19" x14ac:dyDescent="0.35">
      <c r="A5222" s="26" t="s">
        <v>543</v>
      </c>
      <c r="B5222" s="26" t="s">
        <v>543</v>
      </c>
      <c r="C5222" s="26"/>
      <c r="D5222" s="26" t="s">
        <v>543</v>
      </c>
      <c r="E5222" s="26" t="str">
        <f>IFERROR(VLOOKUP(G5222,WholesaleExtract!B:J,9,FALSE),"")</f>
        <v/>
      </c>
      <c r="F5222" s="26" t="str">
        <f>IFERROR(VLOOKUP(G5222,WholesaleExtract!B:J,6,FALSE),"")</f>
        <v/>
      </c>
      <c r="H5222" s="47" t="str">
        <f>IFERROR(VLOOKUP(G5222,WholesaleExtract!B:L,11,FALSE),"")</f>
        <v/>
      </c>
      <c r="I5222" s="26" t="str">
        <f>IFERROR(VLOOKUP(G5222,WholesaleExtract!B:O,8,FALSE),"")</f>
        <v/>
      </c>
      <c r="J5222" s="26" t="str">
        <f>IFERROR(VLOOKUP(G5222,WholesaleExtract!B:O,14,FALSE),"")</f>
        <v/>
      </c>
      <c r="K5222" s="26" t="str">
        <f>IFERROR(VLOOKUP(G5222,WholesaleExtract!B:K,10,FALSE),"")</f>
        <v/>
      </c>
      <c r="L5222" s="47" t="str">
        <f>IFERROR(VLOOKUP(G5222,WholesaleExtract!B:L,11,FALSE),"")</f>
        <v/>
      </c>
      <c r="M5222" s="47" t="str">
        <f>IFERROR(VLOOKUP(G5222,WholesaleExtract!B:M,12,FALSE),"")</f>
        <v/>
      </c>
      <c r="R5222" s="19"/>
      <c r="S5222" s="19"/>
    </row>
    <row r="5223" spans="1:19" x14ac:dyDescent="0.35">
      <c r="A5223" s="26" t="s">
        <v>543</v>
      </c>
      <c r="B5223" s="26" t="s">
        <v>543</v>
      </c>
      <c r="C5223" s="26"/>
      <c r="D5223" s="26" t="s">
        <v>543</v>
      </c>
      <c r="E5223" s="26" t="str">
        <f>IFERROR(VLOOKUP(G5223,WholesaleExtract!B:J,9,FALSE),"")</f>
        <v/>
      </c>
      <c r="F5223" s="26" t="str">
        <f>IFERROR(VLOOKUP(G5223,WholesaleExtract!B:J,6,FALSE),"")</f>
        <v/>
      </c>
      <c r="H5223" s="47" t="str">
        <f>IFERROR(VLOOKUP(G5223,WholesaleExtract!B:L,11,FALSE),"")</f>
        <v/>
      </c>
      <c r="I5223" s="26" t="str">
        <f>IFERROR(VLOOKUP(G5223,WholesaleExtract!B:O,8,FALSE),"")</f>
        <v/>
      </c>
      <c r="J5223" s="26" t="str">
        <f>IFERROR(VLOOKUP(G5223,WholesaleExtract!B:O,14,FALSE),"")</f>
        <v/>
      </c>
      <c r="K5223" s="26" t="str">
        <f>IFERROR(VLOOKUP(G5223,WholesaleExtract!B:K,10,FALSE),"")</f>
        <v/>
      </c>
      <c r="L5223" s="47" t="str">
        <f>IFERROR(VLOOKUP(G5223,WholesaleExtract!B:L,11,FALSE),"")</f>
        <v/>
      </c>
      <c r="M5223" s="47" t="str">
        <f>IFERROR(VLOOKUP(G5223,WholesaleExtract!B:M,12,FALSE),"")</f>
        <v/>
      </c>
      <c r="R5223" s="19"/>
      <c r="S5223" s="19"/>
    </row>
    <row r="5224" spans="1:19" x14ac:dyDescent="0.35">
      <c r="A5224" s="26" t="s">
        <v>543</v>
      </c>
      <c r="B5224" s="26" t="s">
        <v>543</v>
      </c>
      <c r="C5224" s="26"/>
      <c r="D5224" s="26" t="s">
        <v>543</v>
      </c>
      <c r="E5224" s="26" t="str">
        <f>IFERROR(VLOOKUP(G5224,WholesaleExtract!B:J,9,FALSE),"")</f>
        <v/>
      </c>
      <c r="F5224" s="26" t="str">
        <f>IFERROR(VLOOKUP(G5224,WholesaleExtract!B:J,6,FALSE),"")</f>
        <v/>
      </c>
      <c r="H5224" s="47" t="str">
        <f>IFERROR(VLOOKUP(G5224,WholesaleExtract!B:L,11,FALSE),"")</f>
        <v/>
      </c>
      <c r="I5224" s="26" t="str">
        <f>IFERROR(VLOOKUP(G5224,WholesaleExtract!B:O,8,FALSE),"")</f>
        <v/>
      </c>
      <c r="J5224" s="26" t="str">
        <f>IFERROR(VLOOKUP(G5224,WholesaleExtract!B:O,14,FALSE),"")</f>
        <v/>
      </c>
      <c r="K5224" s="26" t="str">
        <f>IFERROR(VLOOKUP(G5224,WholesaleExtract!B:K,10,FALSE),"")</f>
        <v/>
      </c>
      <c r="L5224" s="47" t="str">
        <f>IFERROR(VLOOKUP(G5224,WholesaleExtract!B:L,11,FALSE),"")</f>
        <v/>
      </c>
      <c r="M5224" s="47" t="str">
        <f>IFERROR(VLOOKUP(G5224,WholesaleExtract!B:M,12,FALSE),"")</f>
        <v/>
      </c>
      <c r="R5224" s="19"/>
      <c r="S5224" s="19"/>
    </row>
    <row r="5225" spans="1:19" x14ac:dyDescent="0.35">
      <c r="A5225" s="26" t="s">
        <v>543</v>
      </c>
      <c r="B5225" s="26" t="s">
        <v>543</v>
      </c>
      <c r="C5225" s="26"/>
      <c r="D5225" s="26" t="s">
        <v>543</v>
      </c>
      <c r="E5225" s="26" t="str">
        <f>IFERROR(VLOOKUP(G5225,WholesaleExtract!B:J,9,FALSE),"")</f>
        <v/>
      </c>
      <c r="F5225" s="26" t="str">
        <f>IFERROR(VLOOKUP(G5225,WholesaleExtract!B:J,6,FALSE),"")</f>
        <v/>
      </c>
      <c r="H5225" s="47" t="str">
        <f>IFERROR(VLOOKUP(G5225,WholesaleExtract!B:L,11,FALSE),"")</f>
        <v/>
      </c>
      <c r="I5225" s="26" t="str">
        <f>IFERROR(VLOOKUP(G5225,WholesaleExtract!B:O,8,FALSE),"")</f>
        <v/>
      </c>
      <c r="J5225" s="26" t="str">
        <f>IFERROR(VLOOKUP(G5225,WholesaleExtract!B:O,14,FALSE),"")</f>
        <v/>
      </c>
      <c r="K5225" s="26" t="str">
        <f>IFERROR(VLOOKUP(G5225,WholesaleExtract!B:K,10,FALSE),"")</f>
        <v/>
      </c>
      <c r="L5225" s="47" t="str">
        <f>IFERROR(VLOOKUP(G5225,WholesaleExtract!B:L,11,FALSE),"")</f>
        <v/>
      </c>
      <c r="M5225" s="47" t="str">
        <f>IFERROR(VLOOKUP(G5225,WholesaleExtract!B:M,12,FALSE),"")</f>
        <v/>
      </c>
      <c r="R5225" s="19"/>
      <c r="S5225" s="19"/>
    </row>
    <row r="5226" spans="1:19" x14ac:dyDescent="0.35">
      <c r="A5226" s="26" t="s">
        <v>543</v>
      </c>
      <c r="B5226" s="26" t="s">
        <v>543</v>
      </c>
      <c r="C5226" s="26"/>
      <c r="D5226" s="26" t="s">
        <v>543</v>
      </c>
      <c r="E5226" s="26" t="str">
        <f>IFERROR(VLOOKUP(G5226,WholesaleExtract!B:J,9,FALSE),"")</f>
        <v/>
      </c>
      <c r="F5226" s="26" t="str">
        <f>IFERROR(VLOOKUP(G5226,WholesaleExtract!B:J,6,FALSE),"")</f>
        <v/>
      </c>
      <c r="H5226" s="47" t="str">
        <f>IFERROR(VLOOKUP(G5226,WholesaleExtract!B:L,11,FALSE),"")</f>
        <v/>
      </c>
      <c r="I5226" s="26" t="str">
        <f>IFERROR(VLOOKUP(G5226,WholesaleExtract!B:O,8,FALSE),"")</f>
        <v/>
      </c>
      <c r="J5226" s="26" t="str">
        <f>IFERROR(VLOOKUP(G5226,WholesaleExtract!B:O,14,FALSE),"")</f>
        <v/>
      </c>
      <c r="K5226" s="26" t="str">
        <f>IFERROR(VLOOKUP(G5226,WholesaleExtract!B:K,10,FALSE),"")</f>
        <v/>
      </c>
      <c r="L5226" s="47" t="str">
        <f>IFERROR(VLOOKUP(G5226,WholesaleExtract!B:L,11,FALSE),"")</f>
        <v/>
      </c>
      <c r="M5226" s="47" t="str">
        <f>IFERROR(VLOOKUP(G5226,WholesaleExtract!B:M,12,FALSE),"")</f>
        <v/>
      </c>
      <c r="R5226" s="19"/>
      <c r="S5226" s="19"/>
    </row>
    <row r="5227" spans="1:19" x14ac:dyDescent="0.35">
      <c r="A5227" s="26" t="s">
        <v>543</v>
      </c>
      <c r="B5227" s="26" t="s">
        <v>543</v>
      </c>
      <c r="C5227" s="26"/>
      <c r="D5227" s="26" t="s">
        <v>543</v>
      </c>
      <c r="E5227" s="26" t="str">
        <f>IFERROR(VLOOKUP(G5227,WholesaleExtract!B:J,9,FALSE),"")</f>
        <v/>
      </c>
      <c r="F5227" s="26" t="str">
        <f>IFERROR(VLOOKUP(G5227,WholesaleExtract!B:J,6,FALSE),"")</f>
        <v/>
      </c>
      <c r="H5227" s="47" t="str">
        <f>IFERROR(VLOOKUP(G5227,WholesaleExtract!B:L,11,FALSE),"")</f>
        <v/>
      </c>
      <c r="I5227" s="26" t="str">
        <f>IFERROR(VLOOKUP(G5227,WholesaleExtract!B:O,8,FALSE),"")</f>
        <v/>
      </c>
      <c r="J5227" s="26" t="str">
        <f>IFERROR(VLOOKUP(G5227,WholesaleExtract!B:O,14,FALSE),"")</f>
        <v/>
      </c>
      <c r="K5227" s="26" t="str">
        <f>IFERROR(VLOOKUP(G5227,WholesaleExtract!B:K,10,FALSE),"")</f>
        <v/>
      </c>
      <c r="L5227" s="47" t="str">
        <f>IFERROR(VLOOKUP(G5227,WholesaleExtract!B:L,11,FALSE),"")</f>
        <v/>
      </c>
      <c r="M5227" s="47" t="str">
        <f>IFERROR(VLOOKUP(G5227,WholesaleExtract!B:M,12,FALSE),"")</f>
        <v/>
      </c>
      <c r="R5227" s="19"/>
      <c r="S5227" s="19"/>
    </row>
    <row r="5228" spans="1:19" x14ac:dyDescent="0.35">
      <c r="A5228" s="26" t="s">
        <v>543</v>
      </c>
      <c r="B5228" s="26" t="s">
        <v>543</v>
      </c>
      <c r="C5228" s="26"/>
      <c r="D5228" s="26" t="s">
        <v>543</v>
      </c>
      <c r="E5228" s="26" t="str">
        <f>IFERROR(VLOOKUP(G5228,WholesaleExtract!B:J,9,FALSE),"")</f>
        <v/>
      </c>
      <c r="F5228" s="26" t="str">
        <f>IFERROR(VLOOKUP(G5228,WholesaleExtract!B:J,6,FALSE),"")</f>
        <v/>
      </c>
      <c r="H5228" s="47" t="str">
        <f>IFERROR(VLOOKUP(G5228,WholesaleExtract!B:L,11,FALSE),"")</f>
        <v/>
      </c>
      <c r="I5228" s="26" t="str">
        <f>IFERROR(VLOOKUP(G5228,WholesaleExtract!B:O,8,FALSE),"")</f>
        <v/>
      </c>
      <c r="J5228" s="26" t="str">
        <f>IFERROR(VLOOKUP(G5228,WholesaleExtract!B:O,14,FALSE),"")</f>
        <v/>
      </c>
      <c r="K5228" s="26" t="str">
        <f>IFERROR(VLOOKUP(G5228,WholesaleExtract!B:K,10,FALSE),"")</f>
        <v/>
      </c>
      <c r="L5228" s="47" t="str">
        <f>IFERROR(VLOOKUP(G5228,WholesaleExtract!B:L,11,FALSE),"")</f>
        <v/>
      </c>
      <c r="M5228" s="47" t="str">
        <f>IFERROR(VLOOKUP(G5228,WholesaleExtract!B:M,12,FALSE),"")</f>
        <v/>
      </c>
      <c r="R5228" s="19"/>
      <c r="S5228" s="19"/>
    </row>
    <row r="5229" spans="1:19" x14ac:dyDescent="0.35">
      <c r="A5229" s="26" t="s">
        <v>543</v>
      </c>
      <c r="B5229" s="26" t="s">
        <v>543</v>
      </c>
      <c r="C5229" s="26"/>
      <c r="D5229" s="26" t="s">
        <v>543</v>
      </c>
      <c r="E5229" s="26" t="str">
        <f>IFERROR(VLOOKUP(G5229,WholesaleExtract!B:J,9,FALSE),"")</f>
        <v/>
      </c>
      <c r="F5229" s="26" t="str">
        <f>IFERROR(VLOOKUP(G5229,WholesaleExtract!B:J,6,FALSE),"")</f>
        <v/>
      </c>
      <c r="H5229" s="47" t="str">
        <f>IFERROR(VLOOKUP(G5229,WholesaleExtract!B:L,11,FALSE),"")</f>
        <v/>
      </c>
      <c r="I5229" s="26" t="str">
        <f>IFERROR(VLOOKUP(G5229,WholesaleExtract!B:O,8,FALSE),"")</f>
        <v/>
      </c>
      <c r="J5229" s="26" t="str">
        <f>IFERROR(VLOOKUP(G5229,WholesaleExtract!B:O,14,FALSE),"")</f>
        <v/>
      </c>
      <c r="K5229" s="26" t="str">
        <f>IFERROR(VLOOKUP(G5229,WholesaleExtract!B:K,10,FALSE),"")</f>
        <v/>
      </c>
      <c r="L5229" s="47" t="str">
        <f>IFERROR(VLOOKUP(G5229,WholesaleExtract!B:L,11,FALSE),"")</f>
        <v/>
      </c>
      <c r="M5229" s="47" t="str">
        <f>IFERROR(VLOOKUP(G5229,WholesaleExtract!B:M,12,FALSE),"")</f>
        <v/>
      </c>
      <c r="R5229" s="19"/>
      <c r="S5229" s="19"/>
    </row>
    <row r="5230" spans="1:19" x14ac:dyDescent="0.35">
      <c r="A5230" s="26" t="s">
        <v>543</v>
      </c>
      <c r="B5230" s="26" t="s">
        <v>543</v>
      </c>
      <c r="C5230" s="26"/>
      <c r="D5230" s="26" t="s">
        <v>543</v>
      </c>
      <c r="E5230" s="26" t="str">
        <f>IFERROR(VLOOKUP(G5230,WholesaleExtract!B:J,9,FALSE),"")</f>
        <v/>
      </c>
      <c r="F5230" s="26" t="str">
        <f>IFERROR(VLOOKUP(G5230,WholesaleExtract!B:J,6,FALSE),"")</f>
        <v/>
      </c>
      <c r="H5230" s="47" t="str">
        <f>IFERROR(VLOOKUP(G5230,WholesaleExtract!B:L,11,FALSE),"")</f>
        <v/>
      </c>
      <c r="I5230" s="26" t="str">
        <f>IFERROR(VLOOKUP(G5230,WholesaleExtract!B:O,8,FALSE),"")</f>
        <v/>
      </c>
      <c r="J5230" s="26" t="str">
        <f>IFERROR(VLOOKUP(G5230,WholesaleExtract!B:O,14,FALSE),"")</f>
        <v/>
      </c>
      <c r="K5230" s="26" t="str">
        <f>IFERROR(VLOOKUP(G5230,WholesaleExtract!B:K,10,FALSE),"")</f>
        <v/>
      </c>
      <c r="L5230" s="47" t="str">
        <f>IFERROR(VLOOKUP(G5230,WholesaleExtract!B:L,11,FALSE),"")</f>
        <v/>
      </c>
      <c r="M5230" s="47" t="str">
        <f>IFERROR(VLOOKUP(G5230,WholesaleExtract!B:M,12,FALSE),"")</f>
        <v/>
      </c>
      <c r="R5230" s="19"/>
      <c r="S5230" s="19"/>
    </row>
    <row r="5231" spans="1:19" x14ac:dyDescent="0.35">
      <c r="A5231" s="26" t="s">
        <v>543</v>
      </c>
      <c r="B5231" s="26" t="s">
        <v>543</v>
      </c>
      <c r="C5231" s="26"/>
      <c r="D5231" s="26" t="s">
        <v>543</v>
      </c>
      <c r="E5231" s="26" t="str">
        <f>IFERROR(VLOOKUP(G5231,WholesaleExtract!B:J,9,FALSE),"")</f>
        <v/>
      </c>
      <c r="F5231" s="26" t="str">
        <f>IFERROR(VLOOKUP(G5231,WholesaleExtract!B:J,6,FALSE),"")</f>
        <v/>
      </c>
      <c r="H5231" s="47" t="str">
        <f>IFERROR(VLOOKUP(G5231,WholesaleExtract!B:L,11,FALSE),"")</f>
        <v/>
      </c>
      <c r="I5231" s="26" t="str">
        <f>IFERROR(VLOOKUP(G5231,WholesaleExtract!B:O,8,FALSE),"")</f>
        <v/>
      </c>
      <c r="J5231" s="26" t="str">
        <f>IFERROR(VLOOKUP(G5231,WholesaleExtract!B:O,14,FALSE),"")</f>
        <v/>
      </c>
      <c r="K5231" s="26" t="str">
        <f>IFERROR(VLOOKUP(G5231,WholesaleExtract!B:K,10,FALSE),"")</f>
        <v/>
      </c>
      <c r="L5231" s="47" t="str">
        <f>IFERROR(VLOOKUP(G5231,WholesaleExtract!B:L,11,FALSE),"")</f>
        <v/>
      </c>
      <c r="M5231" s="47" t="str">
        <f>IFERROR(VLOOKUP(G5231,WholesaleExtract!B:M,12,FALSE),"")</f>
        <v/>
      </c>
      <c r="R5231" s="19"/>
      <c r="S5231" s="19"/>
    </row>
    <row r="5232" spans="1:19" x14ac:dyDescent="0.35">
      <c r="A5232" s="26" t="s">
        <v>543</v>
      </c>
      <c r="B5232" s="26" t="s">
        <v>543</v>
      </c>
      <c r="C5232" s="26"/>
      <c r="D5232" s="26" t="s">
        <v>543</v>
      </c>
      <c r="E5232" s="26" t="str">
        <f>IFERROR(VLOOKUP(G5232,WholesaleExtract!B:J,9,FALSE),"")</f>
        <v/>
      </c>
      <c r="F5232" s="26" t="str">
        <f>IFERROR(VLOOKUP(G5232,WholesaleExtract!B:J,6,FALSE),"")</f>
        <v/>
      </c>
      <c r="H5232" s="47" t="str">
        <f>IFERROR(VLOOKUP(G5232,WholesaleExtract!B:L,11,FALSE),"")</f>
        <v/>
      </c>
      <c r="I5232" s="26" t="str">
        <f>IFERROR(VLOOKUP(G5232,WholesaleExtract!B:O,8,FALSE),"")</f>
        <v/>
      </c>
      <c r="J5232" s="26" t="str">
        <f>IFERROR(VLOOKUP(G5232,WholesaleExtract!B:O,14,FALSE),"")</f>
        <v/>
      </c>
      <c r="K5232" s="26" t="str">
        <f>IFERROR(VLOOKUP(G5232,WholesaleExtract!B:K,10,FALSE),"")</f>
        <v/>
      </c>
      <c r="L5232" s="47" t="str">
        <f>IFERROR(VLOOKUP(G5232,WholesaleExtract!B:L,11,FALSE),"")</f>
        <v/>
      </c>
      <c r="M5232" s="47" t="str">
        <f>IFERROR(VLOOKUP(G5232,WholesaleExtract!B:M,12,FALSE),"")</f>
        <v/>
      </c>
      <c r="R5232" s="19"/>
      <c r="S5232" s="19"/>
    </row>
    <row r="5233" spans="1:19" x14ac:dyDescent="0.35">
      <c r="A5233" s="26" t="s">
        <v>543</v>
      </c>
      <c r="B5233" s="26" t="s">
        <v>543</v>
      </c>
      <c r="C5233" s="26"/>
      <c r="D5233" s="26" t="s">
        <v>543</v>
      </c>
      <c r="E5233" s="26" t="str">
        <f>IFERROR(VLOOKUP(G5233,WholesaleExtract!B:J,9,FALSE),"")</f>
        <v/>
      </c>
      <c r="F5233" s="26" t="str">
        <f>IFERROR(VLOOKUP(G5233,WholesaleExtract!B:J,6,FALSE),"")</f>
        <v/>
      </c>
      <c r="H5233" s="47" t="str">
        <f>IFERROR(VLOOKUP(G5233,WholesaleExtract!B:L,11,FALSE),"")</f>
        <v/>
      </c>
      <c r="I5233" s="26" t="str">
        <f>IFERROR(VLOOKUP(G5233,WholesaleExtract!B:O,8,FALSE),"")</f>
        <v/>
      </c>
      <c r="J5233" s="26" t="str">
        <f>IFERROR(VLOOKUP(G5233,WholesaleExtract!B:O,14,FALSE),"")</f>
        <v/>
      </c>
      <c r="K5233" s="26" t="str">
        <f>IFERROR(VLOOKUP(G5233,WholesaleExtract!B:K,10,FALSE),"")</f>
        <v/>
      </c>
      <c r="L5233" s="47" t="str">
        <f>IFERROR(VLOOKUP(G5233,WholesaleExtract!B:L,11,FALSE),"")</f>
        <v/>
      </c>
      <c r="M5233" s="47" t="str">
        <f>IFERROR(VLOOKUP(G5233,WholesaleExtract!B:M,12,FALSE),"")</f>
        <v/>
      </c>
      <c r="R5233" s="19"/>
      <c r="S5233" s="19"/>
    </row>
    <row r="5234" spans="1:19" x14ac:dyDescent="0.35">
      <c r="A5234" s="26" t="s">
        <v>543</v>
      </c>
      <c r="B5234" s="26" t="s">
        <v>543</v>
      </c>
      <c r="C5234" s="26"/>
      <c r="D5234" s="26" t="s">
        <v>543</v>
      </c>
      <c r="E5234" s="26" t="str">
        <f>IFERROR(VLOOKUP(G5234,WholesaleExtract!B:J,9,FALSE),"")</f>
        <v/>
      </c>
      <c r="F5234" s="26" t="str">
        <f>IFERROR(VLOOKUP(G5234,WholesaleExtract!B:J,6,FALSE),"")</f>
        <v/>
      </c>
      <c r="H5234" s="47" t="str">
        <f>IFERROR(VLOOKUP(G5234,WholesaleExtract!B:L,11,FALSE),"")</f>
        <v/>
      </c>
      <c r="I5234" s="26" t="str">
        <f>IFERROR(VLOOKUP(G5234,WholesaleExtract!B:O,8,FALSE),"")</f>
        <v/>
      </c>
      <c r="J5234" s="26" t="str">
        <f>IFERROR(VLOOKUP(G5234,WholesaleExtract!B:O,14,FALSE),"")</f>
        <v/>
      </c>
      <c r="K5234" s="26" t="str">
        <f>IFERROR(VLOOKUP(G5234,WholesaleExtract!B:K,10,FALSE),"")</f>
        <v/>
      </c>
      <c r="L5234" s="47" t="str">
        <f>IFERROR(VLOOKUP(G5234,WholesaleExtract!B:L,11,FALSE),"")</f>
        <v/>
      </c>
      <c r="M5234" s="47" t="str">
        <f>IFERROR(VLOOKUP(G5234,WholesaleExtract!B:M,12,FALSE),"")</f>
        <v/>
      </c>
      <c r="R5234" s="19"/>
      <c r="S5234" s="19"/>
    </row>
    <row r="5235" spans="1:19" x14ac:dyDescent="0.35">
      <c r="A5235" s="26" t="s">
        <v>543</v>
      </c>
      <c r="B5235" s="26" t="s">
        <v>543</v>
      </c>
      <c r="C5235" s="26"/>
      <c r="D5235" s="26" t="s">
        <v>543</v>
      </c>
      <c r="E5235" s="26" t="str">
        <f>IFERROR(VLOOKUP(G5235,WholesaleExtract!B:J,9,FALSE),"")</f>
        <v/>
      </c>
      <c r="F5235" s="26" t="str">
        <f>IFERROR(VLOOKUP(G5235,WholesaleExtract!B:J,6,FALSE),"")</f>
        <v/>
      </c>
      <c r="H5235" s="47" t="str">
        <f>IFERROR(VLOOKUP(G5235,WholesaleExtract!B:L,11,FALSE),"")</f>
        <v/>
      </c>
      <c r="I5235" s="26" t="str">
        <f>IFERROR(VLOOKUP(G5235,WholesaleExtract!B:O,8,FALSE),"")</f>
        <v/>
      </c>
      <c r="J5235" s="26" t="str">
        <f>IFERROR(VLOOKUP(G5235,WholesaleExtract!B:O,14,FALSE),"")</f>
        <v/>
      </c>
      <c r="K5235" s="26" t="str">
        <f>IFERROR(VLOOKUP(G5235,WholesaleExtract!B:K,10,FALSE),"")</f>
        <v/>
      </c>
      <c r="L5235" s="47" t="str">
        <f>IFERROR(VLOOKUP(G5235,WholesaleExtract!B:L,11,FALSE),"")</f>
        <v/>
      </c>
      <c r="M5235" s="47" t="str">
        <f>IFERROR(VLOOKUP(G5235,WholesaleExtract!B:M,12,FALSE),"")</f>
        <v/>
      </c>
      <c r="R5235" s="19"/>
      <c r="S5235" s="19"/>
    </row>
    <row r="5236" spans="1:19" x14ac:dyDescent="0.35">
      <c r="A5236" s="26" t="s">
        <v>543</v>
      </c>
      <c r="B5236" s="26" t="s">
        <v>543</v>
      </c>
      <c r="C5236" s="26"/>
      <c r="D5236" s="26" t="s">
        <v>543</v>
      </c>
      <c r="E5236" s="26" t="str">
        <f>IFERROR(VLOOKUP(G5236,WholesaleExtract!B:J,9,FALSE),"")</f>
        <v/>
      </c>
      <c r="F5236" s="26" t="str">
        <f>IFERROR(VLOOKUP(G5236,WholesaleExtract!B:J,6,FALSE),"")</f>
        <v/>
      </c>
      <c r="H5236" s="47" t="str">
        <f>IFERROR(VLOOKUP(G5236,WholesaleExtract!B:L,11,FALSE),"")</f>
        <v/>
      </c>
      <c r="I5236" s="26" t="str">
        <f>IFERROR(VLOOKUP(G5236,WholesaleExtract!B:O,8,FALSE),"")</f>
        <v/>
      </c>
      <c r="J5236" s="26" t="str">
        <f>IFERROR(VLOOKUP(G5236,WholesaleExtract!B:O,14,FALSE),"")</f>
        <v/>
      </c>
      <c r="K5236" s="26" t="str">
        <f>IFERROR(VLOOKUP(G5236,WholesaleExtract!B:K,10,FALSE),"")</f>
        <v/>
      </c>
      <c r="L5236" s="47" t="str">
        <f>IFERROR(VLOOKUP(G5236,WholesaleExtract!B:L,11,FALSE),"")</f>
        <v/>
      </c>
      <c r="M5236" s="47" t="str">
        <f>IFERROR(VLOOKUP(G5236,WholesaleExtract!B:M,12,FALSE),"")</f>
        <v/>
      </c>
      <c r="R5236" s="19"/>
      <c r="S5236" s="19"/>
    </row>
    <row r="5237" spans="1:19" x14ac:dyDescent="0.35">
      <c r="A5237" s="26" t="s">
        <v>543</v>
      </c>
      <c r="B5237" s="26" t="s">
        <v>543</v>
      </c>
      <c r="C5237" s="26"/>
      <c r="D5237" s="26" t="s">
        <v>543</v>
      </c>
      <c r="E5237" s="26" t="str">
        <f>IFERROR(VLOOKUP(G5237,WholesaleExtract!B:J,9,FALSE),"")</f>
        <v/>
      </c>
      <c r="F5237" s="26" t="str">
        <f>IFERROR(VLOOKUP(G5237,WholesaleExtract!B:J,6,FALSE),"")</f>
        <v/>
      </c>
      <c r="H5237" s="47" t="str">
        <f>IFERROR(VLOOKUP(G5237,WholesaleExtract!B:L,11,FALSE),"")</f>
        <v/>
      </c>
      <c r="I5237" s="26" t="str">
        <f>IFERROR(VLOOKUP(G5237,WholesaleExtract!B:O,8,FALSE),"")</f>
        <v/>
      </c>
      <c r="J5237" s="26" t="str">
        <f>IFERROR(VLOOKUP(G5237,WholesaleExtract!B:O,14,FALSE),"")</f>
        <v/>
      </c>
      <c r="K5237" s="26" t="str">
        <f>IFERROR(VLOOKUP(G5237,WholesaleExtract!B:K,10,FALSE),"")</f>
        <v/>
      </c>
      <c r="L5237" s="47" t="str">
        <f>IFERROR(VLOOKUP(G5237,WholesaleExtract!B:L,11,FALSE),"")</f>
        <v/>
      </c>
      <c r="M5237" s="47" t="str">
        <f>IFERROR(VLOOKUP(G5237,WholesaleExtract!B:M,12,FALSE),"")</f>
        <v/>
      </c>
      <c r="R5237" s="19"/>
      <c r="S5237" s="19"/>
    </row>
    <row r="5238" spans="1:19" x14ac:dyDescent="0.35">
      <c r="A5238" s="26" t="s">
        <v>543</v>
      </c>
      <c r="B5238" s="26" t="s">
        <v>543</v>
      </c>
      <c r="C5238" s="26"/>
      <c r="D5238" s="26" t="s">
        <v>543</v>
      </c>
      <c r="E5238" s="26" t="str">
        <f>IFERROR(VLOOKUP(G5238,WholesaleExtract!B:J,9,FALSE),"")</f>
        <v/>
      </c>
      <c r="F5238" s="26" t="str">
        <f>IFERROR(VLOOKUP(G5238,WholesaleExtract!B:J,6,FALSE),"")</f>
        <v/>
      </c>
      <c r="H5238" s="47" t="str">
        <f>IFERROR(VLOOKUP(G5238,WholesaleExtract!B:L,11,FALSE),"")</f>
        <v/>
      </c>
      <c r="I5238" s="26" t="str">
        <f>IFERROR(VLOOKUP(G5238,WholesaleExtract!B:O,8,FALSE),"")</f>
        <v/>
      </c>
      <c r="J5238" s="26" t="str">
        <f>IFERROR(VLOOKUP(G5238,WholesaleExtract!B:O,14,FALSE),"")</f>
        <v/>
      </c>
      <c r="K5238" s="26" t="str">
        <f>IFERROR(VLOOKUP(G5238,WholesaleExtract!B:K,10,FALSE),"")</f>
        <v/>
      </c>
      <c r="L5238" s="47" t="str">
        <f>IFERROR(VLOOKUP(G5238,WholesaleExtract!B:L,11,FALSE),"")</f>
        <v/>
      </c>
      <c r="M5238" s="47" t="str">
        <f>IFERROR(VLOOKUP(G5238,WholesaleExtract!B:M,12,FALSE),"")</f>
        <v/>
      </c>
      <c r="R5238" s="19"/>
      <c r="S5238" s="19"/>
    </row>
    <row r="5239" spans="1:19" x14ac:dyDescent="0.35">
      <c r="A5239" s="26" t="s">
        <v>543</v>
      </c>
      <c r="B5239" s="26" t="s">
        <v>543</v>
      </c>
      <c r="C5239" s="26"/>
      <c r="D5239" s="26" t="s">
        <v>543</v>
      </c>
      <c r="E5239" s="26" t="str">
        <f>IFERROR(VLOOKUP(G5239,WholesaleExtract!B:J,9,FALSE),"")</f>
        <v/>
      </c>
      <c r="F5239" s="26" t="str">
        <f>IFERROR(VLOOKUP(G5239,WholesaleExtract!B:J,6,FALSE),"")</f>
        <v/>
      </c>
      <c r="H5239" s="47" t="str">
        <f>IFERROR(VLOOKUP(G5239,WholesaleExtract!B:L,11,FALSE),"")</f>
        <v/>
      </c>
      <c r="I5239" s="26" t="str">
        <f>IFERROR(VLOOKUP(G5239,WholesaleExtract!B:O,8,FALSE),"")</f>
        <v/>
      </c>
      <c r="J5239" s="26" t="str">
        <f>IFERROR(VLOOKUP(G5239,WholesaleExtract!B:O,14,FALSE),"")</f>
        <v/>
      </c>
      <c r="K5239" s="26" t="str">
        <f>IFERROR(VLOOKUP(G5239,WholesaleExtract!B:K,10,FALSE),"")</f>
        <v/>
      </c>
      <c r="L5239" s="47" t="str">
        <f>IFERROR(VLOOKUP(G5239,WholesaleExtract!B:L,11,FALSE),"")</f>
        <v/>
      </c>
      <c r="M5239" s="47" t="str">
        <f>IFERROR(VLOOKUP(G5239,WholesaleExtract!B:M,12,FALSE),"")</f>
        <v/>
      </c>
      <c r="R5239" s="19"/>
      <c r="S5239" s="19"/>
    </row>
    <row r="5240" spans="1:19" x14ac:dyDescent="0.35">
      <c r="A5240" s="26" t="s">
        <v>543</v>
      </c>
      <c r="B5240" s="26" t="s">
        <v>543</v>
      </c>
      <c r="C5240" s="26"/>
      <c r="D5240" s="26" t="s">
        <v>543</v>
      </c>
      <c r="E5240" s="26" t="str">
        <f>IFERROR(VLOOKUP(G5240,WholesaleExtract!B:J,9,FALSE),"")</f>
        <v/>
      </c>
      <c r="F5240" s="26" t="str">
        <f>IFERROR(VLOOKUP(G5240,WholesaleExtract!B:J,6,FALSE),"")</f>
        <v/>
      </c>
      <c r="H5240" s="47" t="str">
        <f>IFERROR(VLOOKUP(G5240,WholesaleExtract!B:L,11,FALSE),"")</f>
        <v/>
      </c>
      <c r="I5240" s="26" t="str">
        <f>IFERROR(VLOOKUP(G5240,WholesaleExtract!B:O,8,FALSE),"")</f>
        <v/>
      </c>
      <c r="J5240" s="26" t="str">
        <f>IFERROR(VLOOKUP(G5240,WholesaleExtract!B:O,14,FALSE),"")</f>
        <v/>
      </c>
      <c r="K5240" s="26" t="str">
        <f>IFERROR(VLOOKUP(G5240,WholesaleExtract!B:K,10,FALSE),"")</f>
        <v/>
      </c>
      <c r="L5240" s="47" t="str">
        <f>IFERROR(VLOOKUP(G5240,WholesaleExtract!B:L,11,FALSE),"")</f>
        <v/>
      </c>
      <c r="M5240" s="47" t="str">
        <f>IFERROR(VLOOKUP(G5240,WholesaleExtract!B:M,12,FALSE),"")</f>
        <v/>
      </c>
      <c r="R5240" s="19"/>
      <c r="S5240" s="19"/>
    </row>
    <row r="5241" spans="1:19" x14ac:dyDescent="0.35">
      <c r="A5241" s="26" t="s">
        <v>543</v>
      </c>
      <c r="B5241" s="26" t="s">
        <v>543</v>
      </c>
      <c r="C5241" s="26"/>
      <c r="D5241" s="26" t="s">
        <v>543</v>
      </c>
      <c r="E5241" s="26" t="str">
        <f>IFERROR(VLOOKUP(G5241,WholesaleExtract!B:J,9,FALSE),"")</f>
        <v/>
      </c>
      <c r="F5241" s="26" t="str">
        <f>IFERROR(VLOOKUP(G5241,WholesaleExtract!B:J,6,FALSE),"")</f>
        <v/>
      </c>
      <c r="H5241" s="47" t="str">
        <f>IFERROR(VLOOKUP(G5241,WholesaleExtract!B:L,11,FALSE),"")</f>
        <v/>
      </c>
      <c r="I5241" s="26" t="str">
        <f>IFERROR(VLOOKUP(G5241,WholesaleExtract!B:O,8,FALSE),"")</f>
        <v/>
      </c>
      <c r="J5241" s="26" t="str">
        <f>IFERROR(VLOOKUP(G5241,WholesaleExtract!B:O,14,FALSE),"")</f>
        <v/>
      </c>
      <c r="K5241" s="26" t="str">
        <f>IFERROR(VLOOKUP(G5241,WholesaleExtract!B:K,10,FALSE),"")</f>
        <v/>
      </c>
      <c r="L5241" s="47" t="str">
        <f>IFERROR(VLOOKUP(G5241,WholesaleExtract!B:L,11,FALSE),"")</f>
        <v/>
      </c>
      <c r="M5241" s="47" t="str">
        <f>IFERROR(VLOOKUP(G5241,WholesaleExtract!B:M,12,FALSE),"")</f>
        <v/>
      </c>
      <c r="R5241" s="19"/>
      <c r="S5241" s="19"/>
    </row>
    <row r="5242" spans="1:19" x14ac:dyDescent="0.35">
      <c r="A5242" s="26" t="s">
        <v>543</v>
      </c>
      <c r="B5242" s="26" t="s">
        <v>543</v>
      </c>
      <c r="C5242" s="26"/>
      <c r="D5242" s="26" t="s">
        <v>543</v>
      </c>
      <c r="E5242" s="26" t="str">
        <f>IFERROR(VLOOKUP(G5242,WholesaleExtract!B:J,9,FALSE),"")</f>
        <v/>
      </c>
      <c r="F5242" s="26" t="str">
        <f>IFERROR(VLOOKUP(G5242,WholesaleExtract!B:J,6,FALSE),"")</f>
        <v/>
      </c>
      <c r="H5242" s="47" t="str">
        <f>IFERROR(VLOOKUP(G5242,WholesaleExtract!B:L,11,FALSE),"")</f>
        <v/>
      </c>
      <c r="I5242" s="26" t="str">
        <f>IFERROR(VLOOKUP(G5242,WholesaleExtract!B:O,8,FALSE),"")</f>
        <v/>
      </c>
      <c r="J5242" s="26" t="str">
        <f>IFERROR(VLOOKUP(G5242,WholesaleExtract!B:O,14,FALSE),"")</f>
        <v/>
      </c>
      <c r="K5242" s="26" t="str">
        <f>IFERROR(VLOOKUP(G5242,WholesaleExtract!B:K,10,FALSE),"")</f>
        <v/>
      </c>
      <c r="L5242" s="47" t="str">
        <f>IFERROR(VLOOKUP(G5242,WholesaleExtract!B:L,11,FALSE),"")</f>
        <v/>
      </c>
      <c r="M5242" s="47" t="str">
        <f>IFERROR(VLOOKUP(G5242,WholesaleExtract!B:M,12,FALSE),"")</f>
        <v/>
      </c>
      <c r="R5242" s="19"/>
      <c r="S5242" s="19"/>
    </row>
    <row r="5243" spans="1:19" x14ac:dyDescent="0.35">
      <c r="A5243" s="26" t="s">
        <v>543</v>
      </c>
      <c r="B5243" s="26" t="s">
        <v>543</v>
      </c>
      <c r="C5243" s="26"/>
      <c r="D5243" s="26" t="s">
        <v>543</v>
      </c>
      <c r="E5243" s="26" t="str">
        <f>IFERROR(VLOOKUP(G5243,WholesaleExtract!B:J,9,FALSE),"")</f>
        <v/>
      </c>
      <c r="F5243" s="26" t="str">
        <f>IFERROR(VLOOKUP(G5243,WholesaleExtract!B:J,6,FALSE),"")</f>
        <v/>
      </c>
      <c r="H5243" s="47" t="str">
        <f>IFERROR(VLOOKUP(G5243,WholesaleExtract!B:L,11,FALSE),"")</f>
        <v/>
      </c>
      <c r="I5243" s="26" t="str">
        <f>IFERROR(VLOOKUP(G5243,WholesaleExtract!B:O,8,FALSE),"")</f>
        <v/>
      </c>
      <c r="J5243" s="26" t="str">
        <f>IFERROR(VLOOKUP(G5243,WholesaleExtract!B:O,14,FALSE),"")</f>
        <v/>
      </c>
      <c r="K5243" s="26" t="str">
        <f>IFERROR(VLOOKUP(G5243,WholesaleExtract!B:K,10,FALSE),"")</f>
        <v/>
      </c>
      <c r="L5243" s="47" t="str">
        <f>IFERROR(VLOOKUP(G5243,WholesaleExtract!B:L,11,FALSE),"")</f>
        <v/>
      </c>
      <c r="M5243" s="47" t="str">
        <f>IFERROR(VLOOKUP(G5243,WholesaleExtract!B:M,12,FALSE),"")</f>
        <v/>
      </c>
      <c r="R5243" s="19"/>
      <c r="S5243" s="19"/>
    </row>
    <row r="5244" spans="1:19" x14ac:dyDescent="0.35">
      <c r="A5244" s="26" t="s">
        <v>543</v>
      </c>
      <c r="B5244" s="26" t="s">
        <v>543</v>
      </c>
      <c r="C5244" s="26"/>
      <c r="D5244" s="26" t="s">
        <v>543</v>
      </c>
      <c r="E5244" s="26" t="str">
        <f>IFERROR(VLOOKUP(G5244,WholesaleExtract!B:J,9,FALSE),"")</f>
        <v/>
      </c>
      <c r="F5244" s="26" t="str">
        <f>IFERROR(VLOOKUP(G5244,WholesaleExtract!B:J,6,FALSE),"")</f>
        <v/>
      </c>
      <c r="H5244" s="47" t="str">
        <f>IFERROR(VLOOKUP(G5244,WholesaleExtract!B:L,11,FALSE),"")</f>
        <v/>
      </c>
      <c r="I5244" s="26" t="str">
        <f>IFERROR(VLOOKUP(G5244,WholesaleExtract!B:O,8,FALSE),"")</f>
        <v/>
      </c>
      <c r="J5244" s="26" t="str">
        <f>IFERROR(VLOOKUP(G5244,WholesaleExtract!B:O,14,FALSE),"")</f>
        <v/>
      </c>
      <c r="K5244" s="26" t="str">
        <f>IFERROR(VLOOKUP(G5244,WholesaleExtract!B:K,10,FALSE),"")</f>
        <v/>
      </c>
      <c r="L5244" s="47" t="str">
        <f>IFERROR(VLOOKUP(G5244,WholesaleExtract!B:L,11,FALSE),"")</f>
        <v/>
      </c>
      <c r="M5244" s="47" t="str">
        <f>IFERROR(VLOOKUP(G5244,WholesaleExtract!B:M,12,FALSE),"")</f>
        <v/>
      </c>
      <c r="R5244" s="19"/>
      <c r="S5244" s="19"/>
    </row>
    <row r="5245" spans="1:19" x14ac:dyDescent="0.35">
      <c r="A5245" s="26" t="s">
        <v>543</v>
      </c>
      <c r="B5245" s="26" t="s">
        <v>543</v>
      </c>
      <c r="C5245" s="26"/>
      <c r="D5245" s="26" t="s">
        <v>543</v>
      </c>
      <c r="E5245" s="26" t="str">
        <f>IFERROR(VLOOKUP(G5245,WholesaleExtract!B:J,9,FALSE),"")</f>
        <v/>
      </c>
      <c r="F5245" s="26" t="str">
        <f>IFERROR(VLOOKUP(G5245,WholesaleExtract!B:J,6,FALSE),"")</f>
        <v/>
      </c>
      <c r="H5245" s="47" t="str">
        <f>IFERROR(VLOOKUP(G5245,WholesaleExtract!B:L,11,FALSE),"")</f>
        <v/>
      </c>
      <c r="I5245" s="26" t="str">
        <f>IFERROR(VLOOKUP(G5245,WholesaleExtract!B:O,8,FALSE),"")</f>
        <v/>
      </c>
      <c r="J5245" s="26" t="str">
        <f>IFERROR(VLOOKUP(G5245,WholesaleExtract!B:O,14,FALSE),"")</f>
        <v/>
      </c>
      <c r="K5245" s="26" t="str">
        <f>IFERROR(VLOOKUP(G5245,WholesaleExtract!B:K,10,FALSE),"")</f>
        <v/>
      </c>
      <c r="L5245" s="47" t="str">
        <f>IFERROR(VLOOKUP(G5245,WholesaleExtract!B:L,11,FALSE),"")</f>
        <v/>
      </c>
      <c r="M5245" s="47" t="str">
        <f>IFERROR(VLOOKUP(G5245,WholesaleExtract!B:M,12,FALSE),"")</f>
        <v/>
      </c>
      <c r="R5245" s="19"/>
      <c r="S5245" s="19"/>
    </row>
    <row r="5246" spans="1:19" x14ac:dyDescent="0.35">
      <c r="A5246" s="26" t="s">
        <v>543</v>
      </c>
      <c r="B5246" s="26" t="s">
        <v>543</v>
      </c>
      <c r="C5246" s="26"/>
      <c r="D5246" s="26" t="s">
        <v>543</v>
      </c>
      <c r="E5246" s="26" t="str">
        <f>IFERROR(VLOOKUP(G5246,WholesaleExtract!B:J,9,FALSE),"")</f>
        <v/>
      </c>
      <c r="F5246" s="26" t="str">
        <f>IFERROR(VLOOKUP(G5246,WholesaleExtract!B:J,6,FALSE),"")</f>
        <v/>
      </c>
      <c r="H5246" s="47" t="str">
        <f>IFERROR(VLOOKUP(G5246,WholesaleExtract!B:L,11,FALSE),"")</f>
        <v/>
      </c>
      <c r="I5246" s="26" t="str">
        <f>IFERROR(VLOOKUP(G5246,WholesaleExtract!B:O,8,FALSE),"")</f>
        <v/>
      </c>
      <c r="J5246" s="26" t="str">
        <f>IFERROR(VLOOKUP(G5246,WholesaleExtract!B:O,14,FALSE),"")</f>
        <v/>
      </c>
      <c r="K5246" s="26" t="str">
        <f>IFERROR(VLOOKUP(G5246,WholesaleExtract!B:K,10,FALSE),"")</f>
        <v/>
      </c>
      <c r="L5246" s="47" t="str">
        <f>IFERROR(VLOOKUP(G5246,WholesaleExtract!B:L,11,FALSE),"")</f>
        <v/>
      </c>
      <c r="M5246" s="47" t="str">
        <f>IFERROR(VLOOKUP(G5246,WholesaleExtract!B:M,12,FALSE),"")</f>
        <v/>
      </c>
      <c r="R5246" s="19"/>
      <c r="S5246" s="19"/>
    </row>
    <row r="5247" spans="1:19" x14ac:dyDescent="0.35">
      <c r="A5247" s="26" t="s">
        <v>543</v>
      </c>
      <c r="B5247" s="26" t="s">
        <v>543</v>
      </c>
      <c r="C5247" s="26"/>
      <c r="D5247" s="26" t="s">
        <v>543</v>
      </c>
      <c r="E5247" s="26" t="str">
        <f>IFERROR(VLOOKUP(G5247,WholesaleExtract!B:J,9,FALSE),"")</f>
        <v/>
      </c>
      <c r="F5247" s="26" t="str">
        <f>IFERROR(VLOOKUP(G5247,WholesaleExtract!B:J,6,FALSE),"")</f>
        <v/>
      </c>
      <c r="H5247" s="47" t="str">
        <f>IFERROR(VLOOKUP(G5247,WholesaleExtract!B:L,11,FALSE),"")</f>
        <v/>
      </c>
      <c r="I5247" s="26" t="str">
        <f>IFERROR(VLOOKUP(G5247,WholesaleExtract!B:O,8,FALSE),"")</f>
        <v/>
      </c>
      <c r="J5247" s="26" t="str">
        <f>IFERROR(VLOOKUP(G5247,WholesaleExtract!B:O,14,FALSE),"")</f>
        <v/>
      </c>
      <c r="K5247" s="26" t="str">
        <f>IFERROR(VLOOKUP(G5247,WholesaleExtract!B:K,10,FALSE),"")</f>
        <v/>
      </c>
      <c r="L5247" s="47" t="str">
        <f>IFERROR(VLOOKUP(G5247,WholesaleExtract!B:L,11,FALSE),"")</f>
        <v/>
      </c>
      <c r="M5247" s="47" t="str">
        <f>IFERROR(VLOOKUP(G5247,WholesaleExtract!B:M,12,FALSE),"")</f>
        <v/>
      </c>
      <c r="R5247" s="19"/>
      <c r="S5247" s="19"/>
    </row>
    <row r="5248" spans="1:19" x14ac:dyDescent="0.35">
      <c r="A5248" s="26" t="s">
        <v>543</v>
      </c>
      <c r="B5248" s="26" t="s">
        <v>543</v>
      </c>
      <c r="C5248" s="26"/>
      <c r="D5248" s="26" t="s">
        <v>543</v>
      </c>
      <c r="E5248" s="26" t="str">
        <f>IFERROR(VLOOKUP(G5248,WholesaleExtract!B:J,9,FALSE),"")</f>
        <v/>
      </c>
      <c r="F5248" s="26" t="str">
        <f>IFERROR(VLOOKUP(G5248,WholesaleExtract!B:J,6,FALSE),"")</f>
        <v/>
      </c>
      <c r="H5248" s="47" t="str">
        <f>IFERROR(VLOOKUP(G5248,WholesaleExtract!B:L,11,FALSE),"")</f>
        <v/>
      </c>
      <c r="I5248" s="26" t="str">
        <f>IFERROR(VLOOKUP(G5248,WholesaleExtract!B:O,8,FALSE),"")</f>
        <v/>
      </c>
      <c r="J5248" s="26" t="str">
        <f>IFERROR(VLOOKUP(G5248,WholesaleExtract!B:O,14,FALSE),"")</f>
        <v/>
      </c>
      <c r="K5248" s="26" t="str">
        <f>IFERROR(VLOOKUP(G5248,WholesaleExtract!B:K,10,FALSE),"")</f>
        <v/>
      </c>
      <c r="L5248" s="47" t="str">
        <f>IFERROR(VLOOKUP(G5248,WholesaleExtract!B:L,11,FALSE),"")</f>
        <v/>
      </c>
      <c r="M5248" s="47" t="str">
        <f>IFERROR(VLOOKUP(G5248,WholesaleExtract!B:M,12,FALSE),"")</f>
        <v/>
      </c>
      <c r="R5248" s="19"/>
      <c r="S5248" s="19"/>
    </row>
    <row r="5249" spans="1:19" x14ac:dyDescent="0.35">
      <c r="A5249" s="26" t="s">
        <v>543</v>
      </c>
      <c r="B5249" s="26" t="s">
        <v>543</v>
      </c>
      <c r="C5249" s="26"/>
      <c r="D5249" s="26" t="s">
        <v>543</v>
      </c>
      <c r="E5249" s="26" t="str">
        <f>IFERROR(VLOOKUP(G5249,WholesaleExtract!B:J,9,FALSE),"")</f>
        <v/>
      </c>
      <c r="F5249" s="26" t="str">
        <f>IFERROR(VLOOKUP(G5249,WholesaleExtract!B:J,6,FALSE),"")</f>
        <v/>
      </c>
      <c r="H5249" s="47" t="str">
        <f>IFERROR(VLOOKUP(G5249,WholesaleExtract!B:L,11,FALSE),"")</f>
        <v/>
      </c>
      <c r="I5249" s="26" t="str">
        <f>IFERROR(VLOOKUP(G5249,WholesaleExtract!B:O,8,FALSE),"")</f>
        <v/>
      </c>
      <c r="J5249" s="26" t="str">
        <f>IFERROR(VLOOKUP(G5249,WholesaleExtract!B:O,14,FALSE),"")</f>
        <v/>
      </c>
      <c r="K5249" s="26" t="str">
        <f>IFERROR(VLOOKUP(G5249,WholesaleExtract!B:K,10,FALSE),"")</f>
        <v/>
      </c>
      <c r="L5249" s="47" t="str">
        <f>IFERROR(VLOOKUP(G5249,WholesaleExtract!B:L,11,FALSE),"")</f>
        <v/>
      </c>
      <c r="M5249" s="47" t="str">
        <f>IFERROR(VLOOKUP(G5249,WholesaleExtract!B:M,12,FALSE),"")</f>
        <v/>
      </c>
      <c r="R5249" s="19"/>
      <c r="S5249" s="19"/>
    </row>
    <row r="5250" spans="1:19" x14ac:dyDescent="0.35">
      <c r="A5250" s="26" t="s">
        <v>543</v>
      </c>
      <c r="B5250" s="26" t="s">
        <v>543</v>
      </c>
      <c r="C5250" s="26"/>
      <c r="D5250" s="26" t="s">
        <v>543</v>
      </c>
      <c r="E5250" s="26" t="str">
        <f>IFERROR(VLOOKUP(G5250,WholesaleExtract!B:J,9,FALSE),"")</f>
        <v/>
      </c>
      <c r="F5250" s="26" t="str">
        <f>IFERROR(VLOOKUP(G5250,WholesaleExtract!B:J,6,FALSE),"")</f>
        <v/>
      </c>
      <c r="H5250" s="47" t="str">
        <f>IFERROR(VLOOKUP(G5250,WholesaleExtract!B:L,11,FALSE),"")</f>
        <v/>
      </c>
      <c r="I5250" s="26" t="str">
        <f>IFERROR(VLOOKUP(G5250,WholesaleExtract!B:O,8,FALSE),"")</f>
        <v/>
      </c>
      <c r="J5250" s="26" t="str">
        <f>IFERROR(VLOOKUP(G5250,WholesaleExtract!B:O,14,FALSE),"")</f>
        <v/>
      </c>
      <c r="K5250" s="26" t="str">
        <f>IFERROR(VLOOKUP(G5250,WholesaleExtract!B:K,10,FALSE),"")</f>
        <v/>
      </c>
      <c r="L5250" s="47" t="str">
        <f>IFERROR(VLOOKUP(G5250,WholesaleExtract!B:L,11,FALSE),"")</f>
        <v/>
      </c>
      <c r="M5250" s="47" t="str">
        <f>IFERROR(VLOOKUP(G5250,WholesaleExtract!B:M,12,FALSE),"")</f>
        <v/>
      </c>
      <c r="R5250" s="19"/>
      <c r="S5250" s="19"/>
    </row>
    <row r="5251" spans="1:19" x14ac:dyDescent="0.35">
      <c r="A5251" s="26" t="s">
        <v>543</v>
      </c>
      <c r="B5251" s="26" t="s">
        <v>543</v>
      </c>
      <c r="C5251" s="26"/>
      <c r="D5251" s="26" t="s">
        <v>543</v>
      </c>
      <c r="E5251" s="26" t="str">
        <f>IFERROR(VLOOKUP(G5251,WholesaleExtract!B:J,9,FALSE),"")</f>
        <v/>
      </c>
      <c r="F5251" s="26" t="str">
        <f>IFERROR(VLOOKUP(G5251,WholesaleExtract!B:J,6,FALSE),"")</f>
        <v/>
      </c>
      <c r="H5251" s="47" t="str">
        <f>IFERROR(VLOOKUP(G5251,WholesaleExtract!B:L,11,FALSE),"")</f>
        <v/>
      </c>
      <c r="I5251" s="26" t="str">
        <f>IFERROR(VLOOKUP(G5251,WholesaleExtract!B:O,8,FALSE),"")</f>
        <v/>
      </c>
      <c r="J5251" s="26" t="str">
        <f>IFERROR(VLOOKUP(G5251,WholesaleExtract!B:O,14,FALSE),"")</f>
        <v/>
      </c>
      <c r="K5251" s="26" t="str">
        <f>IFERROR(VLOOKUP(G5251,WholesaleExtract!B:K,10,FALSE),"")</f>
        <v/>
      </c>
      <c r="L5251" s="47" t="str">
        <f>IFERROR(VLOOKUP(G5251,WholesaleExtract!B:L,11,FALSE),"")</f>
        <v/>
      </c>
      <c r="M5251" s="47" t="str">
        <f>IFERROR(VLOOKUP(G5251,WholesaleExtract!B:M,12,FALSE),"")</f>
        <v/>
      </c>
      <c r="R5251" s="19"/>
      <c r="S5251" s="19"/>
    </row>
    <row r="5252" spans="1:19" x14ac:dyDescent="0.35">
      <c r="A5252" s="26" t="s">
        <v>543</v>
      </c>
      <c r="B5252" s="26" t="s">
        <v>543</v>
      </c>
      <c r="C5252" s="26"/>
      <c r="D5252" s="26" t="s">
        <v>543</v>
      </c>
      <c r="E5252" s="26" t="str">
        <f>IFERROR(VLOOKUP(G5252,WholesaleExtract!B:J,9,FALSE),"")</f>
        <v/>
      </c>
      <c r="F5252" s="26" t="str">
        <f>IFERROR(VLOOKUP(G5252,WholesaleExtract!B:J,6,FALSE),"")</f>
        <v/>
      </c>
      <c r="H5252" s="47" t="str">
        <f>IFERROR(VLOOKUP(G5252,WholesaleExtract!B:L,11,FALSE),"")</f>
        <v/>
      </c>
      <c r="I5252" s="26" t="str">
        <f>IFERROR(VLOOKUP(G5252,WholesaleExtract!B:O,8,FALSE),"")</f>
        <v/>
      </c>
      <c r="J5252" s="26" t="str">
        <f>IFERROR(VLOOKUP(G5252,WholesaleExtract!B:O,14,FALSE),"")</f>
        <v/>
      </c>
      <c r="K5252" s="26" t="str">
        <f>IFERROR(VLOOKUP(G5252,WholesaleExtract!B:K,10,FALSE),"")</f>
        <v/>
      </c>
      <c r="L5252" s="47" t="str">
        <f>IFERROR(VLOOKUP(G5252,WholesaleExtract!B:L,11,FALSE),"")</f>
        <v/>
      </c>
      <c r="M5252" s="47" t="str">
        <f>IFERROR(VLOOKUP(G5252,WholesaleExtract!B:M,12,FALSE),"")</f>
        <v/>
      </c>
      <c r="R5252" s="19"/>
      <c r="S5252" s="19"/>
    </row>
    <row r="5253" spans="1:19" x14ac:dyDescent="0.35">
      <c r="A5253" s="26" t="s">
        <v>543</v>
      </c>
      <c r="B5253" s="26" t="s">
        <v>543</v>
      </c>
      <c r="C5253" s="26"/>
      <c r="D5253" s="26" t="s">
        <v>543</v>
      </c>
      <c r="E5253" s="26" t="str">
        <f>IFERROR(VLOOKUP(G5253,WholesaleExtract!B:J,9,FALSE),"")</f>
        <v/>
      </c>
      <c r="F5253" s="26" t="str">
        <f>IFERROR(VLOOKUP(G5253,WholesaleExtract!B:J,6,FALSE),"")</f>
        <v/>
      </c>
      <c r="H5253" s="47" t="str">
        <f>IFERROR(VLOOKUP(G5253,WholesaleExtract!B:L,11,FALSE),"")</f>
        <v/>
      </c>
      <c r="I5253" s="26" t="str">
        <f>IFERROR(VLOOKUP(G5253,WholesaleExtract!B:O,8,FALSE),"")</f>
        <v/>
      </c>
      <c r="J5253" s="26" t="str">
        <f>IFERROR(VLOOKUP(G5253,WholesaleExtract!B:O,14,FALSE),"")</f>
        <v/>
      </c>
      <c r="K5253" s="26" t="str">
        <f>IFERROR(VLOOKUP(G5253,WholesaleExtract!B:K,10,FALSE),"")</f>
        <v/>
      </c>
      <c r="L5253" s="47" t="str">
        <f>IFERROR(VLOOKUP(G5253,WholesaleExtract!B:L,11,FALSE),"")</f>
        <v/>
      </c>
      <c r="M5253" s="47" t="str">
        <f>IFERROR(VLOOKUP(G5253,WholesaleExtract!B:M,12,FALSE),"")</f>
        <v/>
      </c>
      <c r="R5253" s="19"/>
      <c r="S5253" s="19"/>
    </row>
    <row r="5254" spans="1:19" x14ac:dyDescent="0.35">
      <c r="A5254" s="26" t="s">
        <v>543</v>
      </c>
      <c r="B5254" s="26" t="s">
        <v>543</v>
      </c>
      <c r="C5254" s="26"/>
      <c r="D5254" s="26" t="s">
        <v>543</v>
      </c>
      <c r="E5254" s="26" t="str">
        <f>IFERROR(VLOOKUP(G5254,WholesaleExtract!B:J,9,FALSE),"")</f>
        <v/>
      </c>
      <c r="F5254" s="26" t="str">
        <f>IFERROR(VLOOKUP(G5254,WholesaleExtract!B:J,6,FALSE),"")</f>
        <v/>
      </c>
      <c r="H5254" s="47" t="str">
        <f>IFERROR(VLOOKUP(G5254,WholesaleExtract!B:L,11,FALSE),"")</f>
        <v/>
      </c>
      <c r="I5254" s="26" t="str">
        <f>IFERROR(VLOOKUP(G5254,WholesaleExtract!B:O,8,FALSE),"")</f>
        <v/>
      </c>
      <c r="J5254" s="26" t="str">
        <f>IFERROR(VLOOKUP(G5254,WholesaleExtract!B:O,14,FALSE),"")</f>
        <v/>
      </c>
      <c r="K5254" s="26" t="str">
        <f>IFERROR(VLOOKUP(G5254,WholesaleExtract!B:K,10,FALSE),"")</f>
        <v/>
      </c>
      <c r="L5254" s="47" t="str">
        <f>IFERROR(VLOOKUP(G5254,WholesaleExtract!B:L,11,FALSE),"")</f>
        <v/>
      </c>
      <c r="M5254" s="47" t="str">
        <f>IFERROR(VLOOKUP(G5254,WholesaleExtract!B:M,12,FALSE),"")</f>
        <v/>
      </c>
      <c r="R5254" s="19"/>
      <c r="S5254" s="19"/>
    </row>
    <row r="5255" spans="1:19" x14ac:dyDescent="0.35">
      <c r="A5255" s="26" t="s">
        <v>543</v>
      </c>
      <c r="B5255" s="26" t="s">
        <v>543</v>
      </c>
      <c r="C5255" s="26"/>
      <c r="D5255" s="26" t="s">
        <v>543</v>
      </c>
      <c r="E5255" s="26" t="str">
        <f>IFERROR(VLOOKUP(G5255,WholesaleExtract!B:J,9,FALSE),"")</f>
        <v/>
      </c>
      <c r="F5255" s="26" t="str">
        <f>IFERROR(VLOOKUP(G5255,WholesaleExtract!B:J,6,FALSE),"")</f>
        <v/>
      </c>
      <c r="H5255" s="47" t="str">
        <f>IFERROR(VLOOKUP(G5255,WholesaleExtract!B:L,11,FALSE),"")</f>
        <v/>
      </c>
      <c r="I5255" s="26" t="str">
        <f>IFERROR(VLOOKUP(G5255,WholesaleExtract!B:O,8,FALSE),"")</f>
        <v/>
      </c>
      <c r="J5255" s="26" t="str">
        <f>IFERROR(VLOOKUP(G5255,WholesaleExtract!B:O,14,FALSE),"")</f>
        <v/>
      </c>
      <c r="K5255" s="26" t="str">
        <f>IFERROR(VLOOKUP(G5255,WholesaleExtract!B:K,10,FALSE),"")</f>
        <v/>
      </c>
      <c r="L5255" s="47" t="str">
        <f>IFERROR(VLOOKUP(G5255,WholesaleExtract!B:L,11,FALSE),"")</f>
        <v/>
      </c>
      <c r="M5255" s="47" t="str">
        <f>IFERROR(VLOOKUP(G5255,WholesaleExtract!B:M,12,FALSE),"")</f>
        <v/>
      </c>
      <c r="R5255" s="19"/>
      <c r="S5255" s="19"/>
    </row>
    <row r="5256" spans="1:19" x14ac:dyDescent="0.35">
      <c r="A5256" s="26" t="s">
        <v>543</v>
      </c>
      <c r="B5256" s="26" t="s">
        <v>543</v>
      </c>
      <c r="C5256" s="26"/>
      <c r="D5256" s="26" t="s">
        <v>543</v>
      </c>
      <c r="E5256" s="26" t="str">
        <f>IFERROR(VLOOKUP(G5256,WholesaleExtract!B:J,9,FALSE),"")</f>
        <v/>
      </c>
      <c r="F5256" s="26" t="str">
        <f>IFERROR(VLOOKUP(G5256,WholesaleExtract!B:J,6,FALSE),"")</f>
        <v/>
      </c>
      <c r="H5256" s="47" t="str">
        <f>IFERROR(VLOOKUP(G5256,WholesaleExtract!B:L,11,FALSE),"")</f>
        <v/>
      </c>
      <c r="I5256" s="26" t="str">
        <f>IFERROR(VLOOKUP(G5256,WholesaleExtract!B:O,8,FALSE),"")</f>
        <v/>
      </c>
      <c r="J5256" s="26" t="str">
        <f>IFERROR(VLOOKUP(G5256,WholesaleExtract!B:O,14,FALSE),"")</f>
        <v/>
      </c>
      <c r="K5256" s="26" t="str">
        <f>IFERROR(VLOOKUP(G5256,WholesaleExtract!B:K,10,FALSE),"")</f>
        <v/>
      </c>
      <c r="L5256" s="47" t="str">
        <f>IFERROR(VLOOKUP(G5256,WholesaleExtract!B:L,11,FALSE),"")</f>
        <v/>
      </c>
      <c r="M5256" s="47" t="str">
        <f>IFERROR(VLOOKUP(G5256,WholesaleExtract!B:M,12,FALSE),"")</f>
        <v/>
      </c>
      <c r="R5256" s="19"/>
      <c r="S5256" s="19"/>
    </row>
    <row r="5257" spans="1:19" x14ac:dyDescent="0.35">
      <c r="A5257" s="26" t="s">
        <v>543</v>
      </c>
      <c r="B5257" s="26" t="s">
        <v>543</v>
      </c>
      <c r="C5257" s="26"/>
      <c r="D5257" s="26" t="s">
        <v>543</v>
      </c>
      <c r="E5257" s="26" t="str">
        <f>IFERROR(VLOOKUP(G5257,WholesaleExtract!B:J,9,FALSE),"")</f>
        <v/>
      </c>
      <c r="F5257" s="26" t="str">
        <f>IFERROR(VLOOKUP(G5257,WholesaleExtract!B:J,6,FALSE),"")</f>
        <v/>
      </c>
      <c r="H5257" s="47" t="str">
        <f>IFERROR(VLOOKUP(G5257,WholesaleExtract!B:L,11,FALSE),"")</f>
        <v/>
      </c>
      <c r="I5257" s="26" t="str">
        <f>IFERROR(VLOOKUP(G5257,WholesaleExtract!B:O,8,FALSE),"")</f>
        <v/>
      </c>
      <c r="J5257" s="26" t="str">
        <f>IFERROR(VLOOKUP(G5257,WholesaleExtract!B:O,14,FALSE),"")</f>
        <v/>
      </c>
      <c r="K5257" s="26" t="str">
        <f>IFERROR(VLOOKUP(G5257,WholesaleExtract!B:K,10,FALSE),"")</f>
        <v/>
      </c>
      <c r="L5257" s="47" t="str">
        <f>IFERROR(VLOOKUP(G5257,WholesaleExtract!B:L,11,FALSE),"")</f>
        <v/>
      </c>
      <c r="M5257" s="47" t="str">
        <f>IFERROR(VLOOKUP(G5257,WholesaleExtract!B:M,12,FALSE),"")</f>
        <v/>
      </c>
      <c r="R5257" s="19"/>
      <c r="S5257" s="19"/>
    </row>
    <row r="5258" spans="1:19" x14ac:dyDescent="0.35">
      <c r="A5258" s="26" t="s">
        <v>543</v>
      </c>
      <c r="B5258" s="26" t="s">
        <v>543</v>
      </c>
      <c r="C5258" s="26"/>
      <c r="D5258" s="26" t="s">
        <v>543</v>
      </c>
      <c r="E5258" s="26" t="str">
        <f>IFERROR(VLOOKUP(G5258,WholesaleExtract!B:J,9,FALSE),"")</f>
        <v/>
      </c>
      <c r="F5258" s="26" t="str">
        <f>IFERROR(VLOOKUP(G5258,WholesaleExtract!B:J,6,FALSE),"")</f>
        <v/>
      </c>
      <c r="H5258" s="47" t="str">
        <f>IFERROR(VLOOKUP(G5258,WholesaleExtract!B:L,11,FALSE),"")</f>
        <v/>
      </c>
      <c r="I5258" s="26" t="str">
        <f>IFERROR(VLOOKUP(G5258,WholesaleExtract!B:O,8,FALSE),"")</f>
        <v/>
      </c>
      <c r="J5258" s="26" t="str">
        <f>IFERROR(VLOOKUP(G5258,WholesaleExtract!B:O,14,FALSE),"")</f>
        <v/>
      </c>
      <c r="K5258" s="26" t="str">
        <f>IFERROR(VLOOKUP(G5258,WholesaleExtract!B:K,10,FALSE),"")</f>
        <v/>
      </c>
      <c r="L5258" s="47" t="str">
        <f>IFERROR(VLOOKUP(G5258,WholesaleExtract!B:L,11,FALSE),"")</f>
        <v/>
      </c>
      <c r="M5258" s="47" t="str">
        <f>IFERROR(VLOOKUP(G5258,WholesaleExtract!B:M,12,FALSE),"")</f>
        <v/>
      </c>
      <c r="R5258" s="19"/>
      <c r="S5258" s="19"/>
    </row>
    <row r="5259" spans="1:19" x14ac:dyDescent="0.35">
      <c r="A5259" s="26" t="s">
        <v>543</v>
      </c>
      <c r="B5259" s="26" t="s">
        <v>543</v>
      </c>
      <c r="C5259" s="26"/>
      <c r="D5259" s="26" t="s">
        <v>543</v>
      </c>
      <c r="E5259" s="26" t="str">
        <f>IFERROR(VLOOKUP(G5259,WholesaleExtract!B:J,9,FALSE),"")</f>
        <v/>
      </c>
      <c r="F5259" s="26" t="str">
        <f>IFERROR(VLOOKUP(G5259,WholesaleExtract!B:J,6,FALSE),"")</f>
        <v/>
      </c>
      <c r="H5259" s="47" t="str">
        <f>IFERROR(VLOOKUP(G5259,WholesaleExtract!B:L,11,FALSE),"")</f>
        <v/>
      </c>
      <c r="I5259" s="26" t="str">
        <f>IFERROR(VLOOKUP(G5259,WholesaleExtract!B:O,8,FALSE),"")</f>
        <v/>
      </c>
      <c r="J5259" s="26" t="str">
        <f>IFERROR(VLOOKUP(G5259,WholesaleExtract!B:O,14,FALSE),"")</f>
        <v/>
      </c>
      <c r="K5259" s="26" t="str">
        <f>IFERROR(VLOOKUP(G5259,WholesaleExtract!B:K,10,FALSE),"")</f>
        <v/>
      </c>
      <c r="L5259" s="47" t="str">
        <f>IFERROR(VLOOKUP(G5259,WholesaleExtract!B:L,11,FALSE),"")</f>
        <v/>
      </c>
      <c r="M5259" s="47" t="str">
        <f>IFERROR(VLOOKUP(G5259,WholesaleExtract!B:M,12,FALSE),"")</f>
        <v/>
      </c>
      <c r="R5259" s="19"/>
      <c r="S5259" s="19"/>
    </row>
    <row r="5260" spans="1:19" x14ac:dyDescent="0.35">
      <c r="A5260" s="26" t="s">
        <v>543</v>
      </c>
      <c r="B5260" s="26" t="s">
        <v>543</v>
      </c>
      <c r="C5260" s="26"/>
      <c r="D5260" s="26" t="s">
        <v>543</v>
      </c>
      <c r="E5260" s="26" t="str">
        <f>IFERROR(VLOOKUP(G5260,WholesaleExtract!B:J,9,FALSE),"")</f>
        <v/>
      </c>
      <c r="F5260" s="26" t="str">
        <f>IFERROR(VLOOKUP(G5260,WholesaleExtract!B:J,6,FALSE),"")</f>
        <v/>
      </c>
      <c r="H5260" s="47" t="str">
        <f>IFERROR(VLOOKUP(G5260,WholesaleExtract!B:L,11,FALSE),"")</f>
        <v/>
      </c>
      <c r="I5260" s="26" t="str">
        <f>IFERROR(VLOOKUP(G5260,WholesaleExtract!B:O,8,FALSE),"")</f>
        <v/>
      </c>
      <c r="J5260" s="26" t="str">
        <f>IFERROR(VLOOKUP(G5260,WholesaleExtract!B:O,14,FALSE),"")</f>
        <v/>
      </c>
      <c r="K5260" s="26" t="str">
        <f>IFERROR(VLOOKUP(G5260,WholesaleExtract!B:K,10,FALSE),"")</f>
        <v/>
      </c>
      <c r="L5260" s="47" t="str">
        <f>IFERROR(VLOOKUP(G5260,WholesaleExtract!B:L,11,FALSE),"")</f>
        <v/>
      </c>
      <c r="M5260" s="47" t="str">
        <f>IFERROR(VLOOKUP(G5260,WholesaleExtract!B:M,12,FALSE),"")</f>
        <v/>
      </c>
      <c r="R5260" s="19"/>
      <c r="S5260" s="19"/>
    </row>
    <row r="5261" spans="1:19" x14ac:dyDescent="0.35">
      <c r="A5261" s="26" t="s">
        <v>543</v>
      </c>
      <c r="B5261" s="26" t="s">
        <v>543</v>
      </c>
      <c r="C5261" s="26"/>
      <c r="D5261" s="26" t="s">
        <v>543</v>
      </c>
      <c r="E5261" s="26" t="str">
        <f>IFERROR(VLOOKUP(G5261,WholesaleExtract!B:J,9,FALSE),"")</f>
        <v/>
      </c>
      <c r="F5261" s="26" t="str">
        <f>IFERROR(VLOOKUP(G5261,WholesaleExtract!B:J,6,FALSE),"")</f>
        <v/>
      </c>
      <c r="H5261" s="47" t="str">
        <f>IFERROR(VLOOKUP(G5261,WholesaleExtract!B:L,11,FALSE),"")</f>
        <v/>
      </c>
      <c r="I5261" s="26" t="str">
        <f>IFERROR(VLOOKUP(G5261,WholesaleExtract!B:O,8,FALSE),"")</f>
        <v/>
      </c>
      <c r="J5261" s="26" t="str">
        <f>IFERROR(VLOOKUP(G5261,WholesaleExtract!B:O,14,FALSE),"")</f>
        <v/>
      </c>
      <c r="K5261" s="26" t="str">
        <f>IFERROR(VLOOKUP(G5261,WholesaleExtract!B:K,10,FALSE),"")</f>
        <v/>
      </c>
      <c r="L5261" s="47" t="str">
        <f>IFERROR(VLOOKUP(G5261,WholesaleExtract!B:L,11,FALSE),"")</f>
        <v/>
      </c>
      <c r="M5261" s="47" t="str">
        <f>IFERROR(VLOOKUP(G5261,WholesaleExtract!B:M,12,FALSE),"")</f>
        <v/>
      </c>
      <c r="R5261" s="19"/>
      <c r="S5261" s="19"/>
    </row>
    <row r="5262" spans="1:19" x14ac:dyDescent="0.35">
      <c r="A5262" s="26" t="s">
        <v>543</v>
      </c>
      <c r="B5262" s="26" t="s">
        <v>543</v>
      </c>
      <c r="C5262" s="26"/>
      <c r="D5262" s="26" t="s">
        <v>543</v>
      </c>
      <c r="E5262" s="26" t="str">
        <f>IFERROR(VLOOKUP(G5262,WholesaleExtract!B:J,9,FALSE),"")</f>
        <v/>
      </c>
      <c r="F5262" s="26" t="str">
        <f>IFERROR(VLOOKUP(G5262,WholesaleExtract!B:J,6,FALSE),"")</f>
        <v/>
      </c>
      <c r="H5262" s="47" t="str">
        <f>IFERROR(VLOOKUP(G5262,WholesaleExtract!B:L,11,FALSE),"")</f>
        <v/>
      </c>
      <c r="I5262" s="26" t="str">
        <f>IFERROR(VLOOKUP(G5262,WholesaleExtract!B:O,8,FALSE),"")</f>
        <v/>
      </c>
      <c r="J5262" s="26" t="str">
        <f>IFERROR(VLOOKUP(G5262,WholesaleExtract!B:O,14,FALSE),"")</f>
        <v/>
      </c>
      <c r="K5262" s="26" t="str">
        <f>IFERROR(VLOOKUP(G5262,WholesaleExtract!B:K,10,FALSE),"")</f>
        <v/>
      </c>
      <c r="L5262" s="47" t="str">
        <f>IFERROR(VLOOKUP(G5262,WholesaleExtract!B:L,11,FALSE),"")</f>
        <v/>
      </c>
      <c r="M5262" s="47" t="str">
        <f>IFERROR(VLOOKUP(G5262,WholesaleExtract!B:M,12,FALSE),"")</f>
        <v/>
      </c>
      <c r="R5262" s="19"/>
      <c r="S5262" s="19"/>
    </row>
    <row r="5263" spans="1:19" x14ac:dyDescent="0.35">
      <c r="A5263" s="26" t="s">
        <v>543</v>
      </c>
      <c r="B5263" s="26" t="s">
        <v>543</v>
      </c>
      <c r="C5263" s="26"/>
      <c r="D5263" s="26" t="s">
        <v>543</v>
      </c>
      <c r="E5263" s="26" t="str">
        <f>IFERROR(VLOOKUP(G5263,WholesaleExtract!B:J,9,FALSE),"")</f>
        <v/>
      </c>
      <c r="F5263" s="26" t="str">
        <f>IFERROR(VLOOKUP(G5263,WholesaleExtract!B:J,6,FALSE),"")</f>
        <v/>
      </c>
      <c r="H5263" s="47" t="str">
        <f>IFERROR(VLOOKUP(G5263,WholesaleExtract!B:L,11,FALSE),"")</f>
        <v/>
      </c>
      <c r="I5263" s="26" t="str">
        <f>IFERROR(VLOOKUP(G5263,WholesaleExtract!B:O,8,FALSE),"")</f>
        <v/>
      </c>
      <c r="J5263" s="26" t="str">
        <f>IFERROR(VLOOKUP(G5263,WholesaleExtract!B:O,14,FALSE),"")</f>
        <v/>
      </c>
      <c r="K5263" s="26" t="str">
        <f>IFERROR(VLOOKUP(G5263,WholesaleExtract!B:K,10,FALSE),"")</f>
        <v/>
      </c>
      <c r="L5263" s="47" t="str">
        <f>IFERROR(VLOOKUP(G5263,WholesaleExtract!B:L,11,FALSE),"")</f>
        <v/>
      </c>
      <c r="M5263" s="47" t="str">
        <f>IFERROR(VLOOKUP(G5263,WholesaleExtract!B:M,12,FALSE),"")</f>
        <v/>
      </c>
      <c r="R5263" s="19"/>
      <c r="S5263" s="19"/>
    </row>
    <row r="5264" spans="1:19" x14ac:dyDescent="0.35">
      <c r="A5264" s="26" t="s">
        <v>543</v>
      </c>
      <c r="B5264" s="26" t="s">
        <v>543</v>
      </c>
      <c r="C5264" s="26"/>
      <c r="D5264" s="26" t="s">
        <v>543</v>
      </c>
      <c r="E5264" s="26" t="str">
        <f>IFERROR(VLOOKUP(G5264,WholesaleExtract!B:J,9,FALSE),"")</f>
        <v/>
      </c>
      <c r="F5264" s="26" t="str">
        <f>IFERROR(VLOOKUP(G5264,WholesaleExtract!B:J,6,FALSE),"")</f>
        <v/>
      </c>
      <c r="H5264" s="47" t="str">
        <f>IFERROR(VLOOKUP(G5264,WholesaleExtract!B:L,11,FALSE),"")</f>
        <v/>
      </c>
      <c r="I5264" s="26" t="str">
        <f>IFERROR(VLOOKUP(G5264,WholesaleExtract!B:O,8,FALSE),"")</f>
        <v/>
      </c>
      <c r="J5264" s="26" t="str">
        <f>IFERROR(VLOOKUP(G5264,WholesaleExtract!B:O,14,FALSE),"")</f>
        <v/>
      </c>
      <c r="K5264" s="26" t="str">
        <f>IFERROR(VLOOKUP(G5264,WholesaleExtract!B:K,10,FALSE),"")</f>
        <v/>
      </c>
      <c r="L5264" s="47" t="str">
        <f>IFERROR(VLOOKUP(G5264,WholesaleExtract!B:L,11,FALSE),"")</f>
        <v/>
      </c>
      <c r="M5264" s="47" t="str">
        <f>IFERROR(VLOOKUP(G5264,WholesaleExtract!B:M,12,FALSE),"")</f>
        <v/>
      </c>
      <c r="R5264" s="19"/>
      <c r="S5264" s="19"/>
    </row>
    <row r="5265" spans="1:19" x14ac:dyDescent="0.35">
      <c r="A5265" s="26" t="s">
        <v>543</v>
      </c>
      <c r="B5265" s="26" t="s">
        <v>543</v>
      </c>
      <c r="C5265" s="26"/>
      <c r="D5265" s="26" t="s">
        <v>543</v>
      </c>
      <c r="E5265" s="26" t="str">
        <f>IFERROR(VLOOKUP(G5265,WholesaleExtract!B:J,9,FALSE),"")</f>
        <v/>
      </c>
      <c r="F5265" s="26" t="str">
        <f>IFERROR(VLOOKUP(G5265,WholesaleExtract!B:J,6,FALSE),"")</f>
        <v/>
      </c>
      <c r="H5265" s="47" t="str">
        <f>IFERROR(VLOOKUP(G5265,WholesaleExtract!B:L,11,FALSE),"")</f>
        <v/>
      </c>
      <c r="I5265" s="26" t="str">
        <f>IFERROR(VLOOKUP(G5265,WholesaleExtract!B:O,8,FALSE),"")</f>
        <v/>
      </c>
      <c r="J5265" s="26" t="str">
        <f>IFERROR(VLOOKUP(G5265,WholesaleExtract!B:O,14,FALSE),"")</f>
        <v/>
      </c>
      <c r="K5265" s="26" t="str">
        <f>IFERROR(VLOOKUP(G5265,WholesaleExtract!B:K,10,FALSE),"")</f>
        <v/>
      </c>
      <c r="L5265" s="47" t="str">
        <f>IFERROR(VLOOKUP(G5265,WholesaleExtract!B:L,11,FALSE),"")</f>
        <v/>
      </c>
      <c r="M5265" s="47" t="str">
        <f>IFERROR(VLOOKUP(G5265,WholesaleExtract!B:M,12,FALSE),"")</f>
        <v/>
      </c>
      <c r="R5265" s="19"/>
      <c r="S5265" s="19"/>
    </row>
    <row r="5266" spans="1:19" x14ac:dyDescent="0.35">
      <c r="A5266" s="26" t="s">
        <v>543</v>
      </c>
      <c r="B5266" s="26" t="s">
        <v>543</v>
      </c>
      <c r="C5266" s="26"/>
      <c r="D5266" s="26" t="s">
        <v>543</v>
      </c>
      <c r="E5266" s="26" t="str">
        <f>IFERROR(VLOOKUP(G5266,WholesaleExtract!B:J,9,FALSE),"")</f>
        <v/>
      </c>
      <c r="F5266" s="26" t="str">
        <f>IFERROR(VLOOKUP(G5266,WholesaleExtract!B:J,6,FALSE),"")</f>
        <v/>
      </c>
      <c r="H5266" s="47" t="str">
        <f>IFERROR(VLOOKUP(G5266,WholesaleExtract!B:L,11,FALSE),"")</f>
        <v/>
      </c>
      <c r="I5266" s="26" t="str">
        <f>IFERROR(VLOOKUP(G5266,WholesaleExtract!B:O,8,FALSE),"")</f>
        <v/>
      </c>
      <c r="J5266" s="26" t="str">
        <f>IFERROR(VLOOKUP(G5266,WholesaleExtract!B:O,14,FALSE),"")</f>
        <v/>
      </c>
      <c r="K5266" s="26" t="str">
        <f>IFERROR(VLOOKUP(G5266,WholesaleExtract!B:K,10,FALSE),"")</f>
        <v/>
      </c>
      <c r="L5266" s="47" t="str">
        <f>IFERROR(VLOOKUP(G5266,WholesaleExtract!B:L,11,FALSE),"")</f>
        <v/>
      </c>
      <c r="M5266" s="47" t="str">
        <f>IFERROR(VLOOKUP(G5266,WholesaleExtract!B:M,12,FALSE),"")</f>
        <v/>
      </c>
      <c r="R5266" s="19"/>
      <c r="S5266" s="19"/>
    </row>
    <row r="5267" spans="1:19" x14ac:dyDescent="0.35">
      <c r="A5267" s="26" t="s">
        <v>543</v>
      </c>
      <c r="B5267" s="26" t="s">
        <v>543</v>
      </c>
      <c r="C5267" s="26"/>
      <c r="D5267" s="26" t="s">
        <v>543</v>
      </c>
      <c r="E5267" s="26" t="str">
        <f>IFERROR(VLOOKUP(G5267,WholesaleExtract!B:J,9,FALSE),"")</f>
        <v/>
      </c>
      <c r="F5267" s="26" t="str">
        <f>IFERROR(VLOOKUP(G5267,WholesaleExtract!B:J,6,FALSE),"")</f>
        <v/>
      </c>
      <c r="H5267" s="47" t="str">
        <f>IFERROR(VLOOKUP(G5267,WholesaleExtract!B:L,11,FALSE),"")</f>
        <v/>
      </c>
      <c r="I5267" s="26" t="str">
        <f>IFERROR(VLOOKUP(G5267,WholesaleExtract!B:O,8,FALSE),"")</f>
        <v/>
      </c>
      <c r="J5267" s="26" t="str">
        <f>IFERROR(VLOOKUP(G5267,WholesaleExtract!B:O,14,FALSE),"")</f>
        <v/>
      </c>
      <c r="K5267" s="26" t="str">
        <f>IFERROR(VLOOKUP(G5267,WholesaleExtract!B:K,10,FALSE),"")</f>
        <v/>
      </c>
      <c r="L5267" s="47" t="str">
        <f>IFERROR(VLOOKUP(G5267,WholesaleExtract!B:L,11,FALSE),"")</f>
        <v/>
      </c>
      <c r="M5267" s="47" t="str">
        <f>IFERROR(VLOOKUP(G5267,WholesaleExtract!B:M,12,FALSE),"")</f>
        <v/>
      </c>
      <c r="R5267" s="19"/>
      <c r="S5267" s="19"/>
    </row>
    <row r="5268" spans="1:19" x14ac:dyDescent="0.35">
      <c r="A5268" s="26" t="s">
        <v>543</v>
      </c>
      <c r="B5268" s="26" t="s">
        <v>543</v>
      </c>
      <c r="C5268" s="26"/>
      <c r="D5268" s="26" t="s">
        <v>543</v>
      </c>
      <c r="E5268" s="26" t="str">
        <f>IFERROR(VLOOKUP(G5268,WholesaleExtract!B:J,9,FALSE),"")</f>
        <v/>
      </c>
      <c r="F5268" s="26" t="str">
        <f>IFERROR(VLOOKUP(G5268,WholesaleExtract!B:J,6,FALSE),"")</f>
        <v/>
      </c>
      <c r="H5268" s="47" t="str">
        <f>IFERROR(VLOOKUP(G5268,WholesaleExtract!B:L,11,FALSE),"")</f>
        <v/>
      </c>
      <c r="I5268" s="26" t="str">
        <f>IFERROR(VLOOKUP(G5268,WholesaleExtract!B:O,8,FALSE),"")</f>
        <v/>
      </c>
      <c r="J5268" s="26" t="str">
        <f>IFERROR(VLOOKUP(G5268,WholesaleExtract!B:O,14,FALSE),"")</f>
        <v/>
      </c>
      <c r="K5268" s="26" t="str">
        <f>IFERROR(VLOOKUP(G5268,WholesaleExtract!B:K,10,FALSE),"")</f>
        <v/>
      </c>
      <c r="L5268" s="47" t="str">
        <f>IFERROR(VLOOKUP(G5268,WholesaleExtract!B:L,11,FALSE),"")</f>
        <v/>
      </c>
      <c r="M5268" s="47" t="str">
        <f>IFERROR(VLOOKUP(G5268,WholesaleExtract!B:M,12,FALSE),"")</f>
        <v/>
      </c>
      <c r="R5268" s="19"/>
      <c r="S5268" s="19"/>
    </row>
    <row r="5269" spans="1:19" x14ac:dyDescent="0.35">
      <c r="A5269" s="26" t="s">
        <v>543</v>
      </c>
      <c r="B5269" s="26" t="s">
        <v>543</v>
      </c>
      <c r="C5269" s="26"/>
      <c r="D5269" s="26" t="s">
        <v>543</v>
      </c>
      <c r="E5269" s="26" t="str">
        <f>IFERROR(VLOOKUP(G5269,WholesaleExtract!B:J,9,FALSE),"")</f>
        <v/>
      </c>
      <c r="F5269" s="26" t="str">
        <f>IFERROR(VLOOKUP(G5269,WholesaleExtract!B:J,6,FALSE),"")</f>
        <v/>
      </c>
      <c r="H5269" s="47" t="str">
        <f>IFERROR(VLOOKUP(G5269,WholesaleExtract!B:L,11,FALSE),"")</f>
        <v/>
      </c>
      <c r="I5269" s="26" t="str">
        <f>IFERROR(VLOOKUP(G5269,WholesaleExtract!B:O,8,FALSE),"")</f>
        <v/>
      </c>
      <c r="J5269" s="26" t="str">
        <f>IFERROR(VLOOKUP(G5269,WholesaleExtract!B:O,14,FALSE),"")</f>
        <v/>
      </c>
      <c r="K5269" s="26" t="str">
        <f>IFERROR(VLOOKUP(G5269,WholesaleExtract!B:K,10,FALSE),"")</f>
        <v/>
      </c>
      <c r="L5269" s="47" t="str">
        <f>IFERROR(VLOOKUP(G5269,WholesaleExtract!B:L,11,FALSE),"")</f>
        <v/>
      </c>
      <c r="M5269" s="47" t="str">
        <f>IFERROR(VLOOKUP(G5269,WholesaleExtract!B:M,12,FALSE),"")</f>
        <v/>
      </c>
      <c r="R5269" s="19"/>
      <c r="S5269" s="19"/>
    </row>
    <row r="5270" spans="1:19" x14ac:dyDescent="0.35">
      <c r="A5270" s="26" t="s">
        <v>543</v>
      </c>
      <c r="B5270" s="26" t="s">
        <v>543</v>
      </c>
      <c r="C5270" s="26"/>
      <c r="D5270" s="26" t="s">
        <v>543</v>
      </c>
      <c r="E5270" s="26" t="str">
        <f>IFERROR(VLOOKUP(G5270,WholesaleExtract!B:J,9,FALSE),"")</f>
        <v/>
      </c>
      <c r="F5270" s="26" t="str">
        <f>IFERROR(VLOOKUP(G5270,WholesaleExtract!B:J,6,FALSE),"")</f>
        <v/>
      </c>
      <c r="H5270" s="47" t="str">
        <f>IFERROR(VLOOKUP(G5270,WholesaleExtract!B:L,11,FALSE),"")</f>
        <v/>
      </c>
      <c r="I5270" s="26" t="str">
        <f>IFERROR(VLOOKUP(G5270,WholesaleExtract!B:O,8,FALSE),"")</f>
        <v/>
      </c>
      <c r="J5270" s="26" t="str">
        <f>IFERROR(VLOOKUP(G5270,WholesaleExtract!B:O,14,FALSE),"")</f>
        <v/>
      </c>
      <c r="K5270" s="26" t="str">
        <f>IFERROR(VLOOKUP(G5270,WholesaleExtract!B:K,10,FALSE),"")</f>
        <v/>
      </c>
      <c r="L5270" s="47" t="str">
        <f>IFERROR(VLOOKUP(G5270,WholesaleExtract!B:L,11,FALSE),"")</f>
        <v/>
      </c>
      <c r="M5270" s="47" t="str">
        <f>IFERROR(VLOOKUP(G5270,WholesaleExtract!B:M,12,FALSE),"")</f>
        <v/>
      </c>
      <c r="R5270" s="19"/>
      <c r="S5270" s="19"/>
    </row>
    <row r="5271" spans="1:19" x14ac:dyDescent="0.35">
      <c r="A5271" s="26" t="s">
        <v>543</v>
      </c>
      <c r="B5271" s="26" t="s">
        <v>543</v>
      </c>
      <c r="C5271" s="26"/>
      <c r="D5271" s="26" t="s">
        <v>543</v>
      </c>
      <c r="E5271" s="26" t="str">
        <f>IFERROR(VLOOKUP(G5271,WholesaleExtract!B:J,9,FALSE),"")</f>
        <v/>
      </c>
      <c r="F5271" s="26" t="str">
        <f>IFERROR(VLOOKUP(G5271,WholesaleExtract!B:J,6,FALSE),"")</f>
        <v/>
      </c>
      <c r="H5271" s="47" t="str">
        <f>IFERROR(VLOOKUP(G5271,WholesaleExtract!B:L,11,FALSE),"")</f>
        <v/>
      </c>
      <c r="I5271" s="26" t="str">
        <f>IFERROR(VLOOKUP(G5271,WholesaleExtract!B:O,8,FALSE),"")</f>
        <v/>
      </c>
      <c r="J5271" s="26" t="str">
        <f>IFERROR(VLOOKUP(G5271,WholesaleExtract!B:O,14,FALSE),"")</f>
        <v/>
      </c>
      <c r="K5271" s="26" t="str">
        <f>IFERROR(VLOOKUP(G5271,WholesaleExtract!B:K,10,FALSE),"")</f>
        <v/>
      </c>
      <c r="L5271" s="47" t="str">
        <f>IFERROR(VLOOKUP(G5271,WholesaleExtract!B:L,11,FALSE),"")</f>
        <v/>
      </c>
      <c r="M5271" s="47" t="str">
        <f>IFERROR(VLOOKUP(G5271,WholesaleExtract!B:M,12,FALSE),"")</f>
        <v/>
      </c>
      <c r="R5271" s="19"/>
      <c r="S5271" s="19"/>
    </row>
    <row r="5272" spans="1:19" x14ac:dyDescent="0.35">
      <c r="A5272" s="26" t="s">
        <v>543</v>
      </c>
      <c r="B5272" s="26" t="s">
        <v>543</v>
      </c>
      <c r="C5272" s="26"/>
      <c r="D5272" s="26" t="s">
        <v>543</v>
      </c>
      <c r="E5272" s="26" t="str">
        <f>IFERROR(VLOOKUP(G5272,WholesaleExtract!B:J,9,FALSE),"")</f>
        <v/>
      </c>
      <c r="F5272" s="26" t="str">
        <f>IFERROR(VLOOKUP(G5272,WholesaleExtract!B:J,6,FALSE),"")</f>
        <v/>
      </c>
      <c r="H5272" s="47" t="str">
        <f>IFERROR(VLOOKUP(G5272,WholesaleExtract!B:L,11,FALSE),"")</f>
        <v/>
      </c>
      <c r="I5272" s="26" t="str">
        <f>IFERROR(VLOOKUP(G5272,WholesaleExtract!B:O,8,FALSE),"")</f>
        <v/>
      </c>
      <c r="J5272" s="26" t="str">
        <f>IFERROR(VLOOKUP(G5272,WholesaleExtract!B:O,14,FALSE),"")</f>
        <v/>
      </c>
      <c r="K5272" s="26" t="str">
        <f>IFERROR(VLOOKUP(G5272,WholesaleExtract!B:K,10,FALSE),"")</f>
        <v/>
      </c>
      <c r="L5272" s="47" t="str">
        <f>IFERROR(VLOOKUP(G5272,WholesaleExtract!B:L,11,FALSE),"")</f>
        <v/>
      </c>
      <c r="M5272" s="47" t="str">
        <f>IFERROR(VLOOKUP(G5272,WholesaleExtract!B:M,12,FALSE),"")</f>
        <v/>
      </c>
      <c r="R5272" s="19"/>
      <c r="S5272" s="19"/>
    </row>
    <row r="5273" spans="1:19" x14ac:dyDescent="0.35">
      <c r="A5273" s="26" t="s">
        <v>543</v>
      </c>
      <c r="B5273" s="26" t="s">
        <v>543</v>
      </c>
      <c r="C5273" s="26"/>
      <c r="D5273" s="26" t="s">
        <v>543</v>
      </c>
      <c r="E5273" s="26" t="str">
        <f>IFERROR(VLOOKUP(G5273,WholesaleExtract!B:J,9,FALSE),"")</f>
        <v/>
      </c>
      <c r="F5273" s="26" t="str">
        <f>IFERROR(VLOOKUP(G5273,WholesaleExtract!B:J,6,FALSE),"")</f>
        <v/>
      </c>
      <c r="H5273" s="47" t="str">
        <f>IFERROR(VLOOKUP(G5273,WholesaleExtract!B:L,11,FALSE),"")</f>
        <v/>
      </c>
      <c r="I5273" s="26" t="str">
        <f>IFERROR(VLOOKUP(G5273,WholesaleExtract!B:O,8,FALSE),"")</f>
        <v/>
      </c>
      <c r="J5273" s="26" t="str">
        <f>IFERROR(VLOOKUP(G5273,WholesaleExtract!B:O,14,FALSE),"")</f>
        <v/>
      </c>
      <c r="K5273" s="26" t="str">
        <f>IFERROR(VLOOKUP(G5273,WholesaleExtract!B:K,10,FALSE),"")</f>
        <v/>
      </c>
      <c r="L5273" s="47" t="str">
        <f>IFERROR(VLOOKUP(G5273,WholesaleExtract!B:L,11,FALSE),"")</f>
        <v/>
      </c>
      <c r="M5273" s="47" t="str">
        <f>IFERROR(VLOOKUP(G5273,WholesaleExtract!B:M,12,FALSE),"")</f>
        <v/>
      </c>
      <c r="R5273" s="19"/>
      <c r="S5273" s="19"/>
    </row>
    <row r="5274" spans="1:19" x14ac:dyDescent="0.35">
      <c r="A5274" s="26" t="s">
        <v>543</v>
      </c>
      <c r="B5274" s="26" t="s">
        <v>543</v>
      </c>
      <c r="C5274" s="26"/>
      <c r="D5274" s="26" t="s">
        <v>543</v>
      </c>
      <c r="E5274" s="26" t="str">
        <f>IFERROR(VLOOKUP(G5274,WholesaleExtract!B:J,9,FALSE),"")</f>
        <v/>
      </c>
      <c r="F5274" s="26" t="str">
        <f>IFERROR(VLOOKUP(G5274,WholesaleExtract!B:J,6,FALSE),"")</f>
        <v/>
      </c>
      <c r="H5274" s="47" t="str">
        <f>IFERROR(VLOOKUP(G5274,WholesaleExtract!B:L,11,FALSE),"")</f>
        <v/>
      </c>
      <c r="I5274" s="26" t="str">
        <f>IFERROR(VLOOKUP(G5274,WholesaleExtract!B:O,8,FALSE),"")</f>
        <v/>
      </c>
      <c r="J5274" s="26" t="str">
        <f>IFERROR(VLOOKUP(G5274,WholesaleExtract!B:O,14,FALSE),"")</f>
        <v/>
      </c>
      <c r="K5274" s="26" t="str">
        <f>IFERROR(VLOOKUP(G5274,WholesaleExtract!B:K,10,FALSE),"")</f>
        <v/>
      </c>
      <c r="L5274" s="47" t="str">
        <f>IFERROR(VLOOKUP(G5274,WholesaleExtract!B:L,11,FALSE),"")</f>
        <v/>
      </c>
      <c r="M5274" s="47" t="str">
        <f>IFERROR(VLOOKUP(G5274,WholesaleExtract!B:M,12,FALSE),"")</f>
        <v/>
      </c>
      <c r="R5274" s="19"/>
      <c r="S5274" s="19"/>
    </row>
    <row r="5275" spans="1:19" x14ac:dyDescent="0.35">
      <c r="A5275" s="26" t="s">
        <v>543</v>
      </c>
      <c r="B5275" s="26" t="s">
        <v>543</v>
      </c>
      <c r="C5275" s="26"/>
      <c r="D5275" s="26" t="s">
        <v>543</v>
      </c>
      <c r="E5275" s="26" t="str">
        <f>IFERROR(VLOOKUP(G5275,WholesaleExtract!B:J,9,FALSE),"")</f>
        <v/>
      </c>
      <c r="F5275" s="26" t="str">
        <f>IFERROR(VLOOKUP(G5275,WholesaleExtract!B:J,6,FALSE),"")</f>
        <v/>
      </c>
      <c r="H5275" s="47" t="str">
        <f>IFERROR(VLOOKUP(G5275,WholesaleExtract!B:L,11,FALSE),"")</f>
        <v/>
      </c>
      <c r="I5275" s="26" t="str">
        <f>IFERROR(VLOOKUP(G5275,WholesaleExtract!B:O,8,FALSE),"")</f>
        <v/>
      </c>
      <c r="J5275" s="26" t="str">
        <f>IFERROR(VLOOKUP(G5275,WholesaleExtract!B:O,14,FALSE),"")</f>
        <v/>
      </c>
      <c r="K5275" s="26" t="str">
        <f>IFERROR(VLOOKUP(G5275,WholesaleExtract!B:K,10,FALSE),"")</f>
        <v/>
      </c>
      <c r="L5275" s="47" t="str">
        <f>IFERROR(VLOOKUP(G5275,WholesaleExtract!B:L,11,FALSE),"")</f>
        <v/>
      </c>
      <c r="M5275" s="47" t="str">
        <f>IFERROR(VLOOKUP(G5275,WholesaleExtract!B:M,12,FALSE),"")</f>
        <v/>
      </c>
      <c r="R5275" s="19"/>
      <c r="S5275" s="19"/>
    </row>
    <row r="5276" spans="1:19" x14ac:dyDescent="0.35">
      <c r="A5276" s="26" t="s">
        <v>543</v>
      </c>
      <c r="B5276" s="26" t="s">
        <v>543</v>
      </c>
      <c r="C5276" s="26"/>
      <c r="D5276" s="26" t="s">
        <v>543</v>
      </c>
      <c r="E5276" s="26" t="str">
        <f>IFERROR(VLOOKUP(G5276,WholesaleExtract!B:J,9,FALSE),"")</f>
        <v/>
      </c>
      <c r="F5276" s="26" t="str">
        <f>IFERROR(VLOOKUP(G5276,WholesaleExtract!B:J,6,FALSE),"")</f>
        <v/>
      </c>
      <c r="H5276" s="47" t="str">
        <f>IFERROR(VLOOKUP(G5276,WholesaleExtract!B:L,11,FALSE),"")</f>
        <v/>
      </c>
      <c r="I5276" s="26" t="str">
        <f>IFERROR(VLOOKUP(G5276,WholesaleExtract!B:O,8,FALSE),"")</f>
        <v/>
      </c>
      <c r="J5276" s="26" t="str">
        <f>IFERROR(VLOOKUP(G5276,WholesaleExtract!B:O,14,FALSE),"")</f>
        <v/>
      </c>
      <c r="K5276" s="26" t="str">
        <f>IFERROR(VLOOKUP(G5276,WholesaleExtract!B:K,10,FALSE),"")</f>
        <v/>
      </c>
      <c r="L5276" s="47" t="str">
        <f>IFERROR(VLOOKUP(G5276,WholesaleExtract!B:L,11,FALSE),"")</f>
        <v/>
      </c>
      <c r="M5276" s="47" t="str">
        <f>IFERROR(VLOOKUP(G5276,WholesaleExtract!B:M,12,FALSE),"")</f>
        <v/>
      </c>
      <c r="R5276" s="19"/>
      <c r="S5276" s="19"/>
    </row>
    <row r="5277" spans="1:19" x14ac:dyDescent="0.35">
      <c r="A5277" s="26" t="s">
        <v>543</v>
      </c>
      <c r="B5277" s="26" t="s">
        <v>543</v>
      </c>
      <c r="C5277" s="26"/>
      <c r="D5277" s="26" t="s">
        <v>543</v>
      </c>
      <c r="E5277" s="26" t="str">
        <f>IFERROR(VLOOKUP(G5277,WholesaleExtract!B:J,9,FALSE),"")</f>
        <v/>
      </c>
      <c r="F5277" s="26" t="str">
        <f>IFERROR(VLOOKUP(G5277,WholesaleExtract!B:J,6,FALSE),"")</f>
        <v/>
      </c>
      <c r="H5277" s="47" t="str">
        <f>IFERROR(VLOOKUP(G5277,WholesaleExtract!B:L,11,FALSE),"")</f>
        <v/>
      </c>
      <c r="I5277" s="26" t="str">
        <f>IFERROR(VLOOKUP(G5277,WholesaleExtract!B:O,8,FALSE),"")</f>
        <v/>
      </c>
      <c r="J5277" s="26" t="str">
        <f>IFERROR(VLOOKUP(G5277,WholesaleExtract!B:O,14,FALSE),"")</f>
        <v/>
      </c>
      <c r="K5277" s="26" t="str">
        <f>IFERROR(VLOOKUP(G5277,WholesaleExtract!B:K,10,FALSE),"")</f>
        <v/>
      </c>
      <c r="L5277" s="47" t="str">
        <f>IFERROR(VLOOKUP(G5277,WholesaleExtract!B:L,11,FALSE),"")</f>
        <v/>
      </c>
      <c r="M5277" s="47" t="str">
        <f>IFERROR(VLOOKUP(G5277,WholesaleExtract!B:M,12,FALSE),"")</f>
        <v/>
      </c>
      <c r="R5277" s="19"/>
      <c r="S5277" s="19"/>
    </row>
    <row r="5278" spans="1:19" x14ac:dyDescent="0.35">
      <c r="A5278" s="26" t="s">
        <v>543</v>
      </c>
      <c r="B5278" s="26" t="s">
        <v>543</v>
      </c>
      <c r="C5278" s="26"/>
      <c r="D5278" s="26" t="s">
        <v>543</v>
      </c>
      <c r="E5278" s="26" t="str">
        <f>IFERROR(VLOOKUP(G5278,WholesaleExtract!B:J,9,FALSE),"")</f>
        <v/>
      </c>
      <c r="F5278" s="26" t="str">
        <f>IFERROR(VLOOKUP(G5278,WholesaleExtract!B:J,6,FALSE),"")</f>
        <v/>
      </c>
      <c r="H5278" s="47" t="str">
        <f>IFERROR(VLOOKUP(G5278,WholesaleExtract!B:L,11,FALSE),"")</f>
        <v/>
      </c>
      <c r="I5278" s="26" t="str">
        <f>IFERROR(VLOOKUP(G5278,WholesaleExtract!B:O,8,FALSE),"")</f>
        <v/>
      </c>
      <c r="J5278" s="26" t="str">
        <f>IFERROR(VLOOKUP(G5278,WholesaleExtract!B:O,14,FALSE),"")</f>
        <v/>
      </c>
      <c r="K5278" s="26" t="str">
        <f>IFERROR(VLOOKUP(G5278,WholesaleExtract!B:K,10,FALSE),"")</f>
        <v/>
      </c>
      <c r="L5278" s="47" t="str">
        <f>IFERROR(VLOOKUP(G5278,WholesaleExtract!B:L,11,FALSE),"")</f>
        <v/>
      </c>
      <c r="M5278" s="47" t="str">
        <f>IFERROR(VLOOKUP(G5278,WholesaleExtract!B:M,12,FALSE),"")</f>
        <v/>
      </c>
      <c r="R5278" s="19"/>
      <c r="S5278" s="19"/>
    </row>
    <row r="5279" spans="1:19" x14ac:dyDescent="0.35">
      <c r="A5279" s="26" t="s">
        <v>543</v>
      </c>
      <c r="B5279" s="26" t="s">
        <v>543</v>
      </c>
      <c r="C5279" s="26"/>
      <c r="D5279" s="26" t="s">
        <v>543</v>
      </c>
      <c r="E5279" s="26" t="str">
        <f>IFERROR(VLOOKUP(G5279,WholesaleExtract!B:J,9,FALSE),"")</f>
        <v/>
      </c>
      <c r="F5279" s="26" t="str">
        <f>IFERROR(VLOOKUP(G5279,WholesaleExtract!B:J,6,FALSE),"")</f>
        <v/>
      </c>
      <c r="H5279" s="47" t="str">
        <f>IFERROR(VLOOKUP(G5279,WholesaleExtract!B:L,11,FALSE),"")</f>
        <v/>
      </c>
      <c r="I5279" s="26" t="str">
        <f>IFERROR(VLOOKUP(G5279,WholesaleExtract!B:O,8,FALSE),"")</f>
        <v/>
      </c>
      <c r="J5279" s="26" t="str">
        <f>IFERROR(VLOOKUP(G5279,WholesaleExtract!B:O,14,FALSE),"")</f>
        <v/>
      </c>
      <c r="K5279" s="26" t="str">
        <f>IFERROR(VLOOKUP(G5279,WholesaleExtract!B:K,10,FALSE),"")</f>
        <v/>
      </c>
      <c r="L5279" s="47" t="str">
        <f>IFERROR(VLOOKUP(G5279,WholesaleExtract!B:L,11,FALSE),"")</f>
        <v/>
      </c>
      <c r="M5279" s="47" t="str">
        <f>IFERROR(VLOOKUP(G5279,WholesaleExtract!B:M,12,FALSE),"")</f>
        <v/>
      </c>
      <c r="R5279" s="19"/>
      <c r="S5279" s="19"/>
    </row>
    <row r="5280" spans="1:19" x14ac:dyDescent="0.35">
      <c r="A5280" s="26" t="s">
        <v>543</v>
      </c>
      <c r="B5280" s="26" t="s">
        <v>543</v>
      </c>
      <c r="C5280" s="26"/>
      <c r="D5280" s="26" t="s">
        <v>543</v>
      </c>
      <c r="E5280" s="26" t="str">
        <f>IFERROR(VLOOKUP(G5280,WholesaleExtract!B:J,9,FALSE),"")</f>
        <v/>
      </c>
      <c r="F5280" s="26" t="str">
        <f>IFERROR(VLOOKUP(G5280,WholesaleExtract!B:J,6,FALSE),"")</f>
        <v/>
      </c>
      <c r="H5280" s="47" t="str">
        <f>IFERROR(VLOOKUP(G5280,WholesaleExtract!B:L,11,FALSE),"")</f>
        <v/>
      </c>
      <c r="I5280" s="26" t="str">
        <f>IFERROR(VLOOKUP(G5280,WholesaleExtract!B:O,8,FALSE),"")</f>
        <v/>
      </c>
      <c r="J5280" s="26" t="str">
        <f>IFERROR(VLOOKUP(G5280,WholesaleExtract!B:O,14,FALSE),"")</f>
        <v/>
      </c>
      <c r="K5280" s="26" t="str">
        <f>IFERROR(VLOOKUP(G5280,WholesaleExtract!B:K,10,FALSE),"")</f>
        <v/>
      </c>
      <c r="L5280" s="47" t="str">
        <f>IFERROR(VLOOKUP(G5280,WholesaleExtract!B:L,11,FALSE),"")</f>
        <v/>
      </c>
      <c r="M5280" s="47" t="str">
        <f>IFERROR(VLOOKUP(G5280,WholesaleExtract!B:M,12,FALSE),"")</f>
        <v/>
      </c>
      <c r="R5280" s="19"/>
      <c r="S5280" s="19"/>
    </row>
    <row r="5281" spans="1:19" x14ac:dyDescent="0.35">
      <c r="A5281" s="26" t="s">
        <v>543</v>
      </c>
      <c r="B5281" s="26" t="s">
        <v>543</v>
      </c>
      <c r="C5281" s="26"/>
      <c r="D5281" s="26" t="s">
        <v>543</v>
      </c>
      <c r="E5281" s="26" t="str">
        <f>IFERROR(VLOOKUP(G5281,WholesaleExtract!B:J,9,FALSE),"")</f>
        <v/>
      </c>
      <c r="F5281" s="26" t="str">
        <f>IFERROR(VLOOKUP(G5281,WholesaleExtract!B:J,6,FALSE),"")</f>
        <v/>
      </c>
      <c r="H5281" s="47" t="str">
        <f>IFERROR(VLOOKUP(G5281,WholesaleExtract!B:L,11,FALSE),"")</f>
        <v/>
      </c>
      <c r="I5281" s="26" t="str">
        <f>IFERROR(VLOOKUP(G5281,WholesaleExtract!B:O,8,FALSE),"")</f>
        <v/>
      </c>
      <c r="J5281" s="26" t="str">
        <f>IFERROR(VLOOKUP(G5281,WholesaleExtract!B:O,14,FALSE),"")</f>
        <v/>
      </c>
      <c r="K5281" s="26" t="str">
        <f>IFERROR(VLOOKUP(G5281,WholesaleExtract!B:K,10,FALSE),"")</f>
        <v/>
      </c>
      <c r="L5281" s="47" t="str">
        <f>IFERROR(VLOOKUP(G5281,WholesaleExtract!B:L,11,FALSE),"")</f>
        <v/>
      </c>
      <c r="M5281" s="47" t="str">
        <f>IFERROR(VLOOKUP(G5281,WholesaleExtract!B:M,12,FALSE),"")</f>
        <v/>
      </c>
      <c r="R5281" s="19"/>
      <c r="S5281" s="19"/>
    </row>
    <row r="5282" spans="1:19" x14ac:dyDescent="0.35">
      <c r="A5282" s="26" t="s">
        <v>543</v>
      </c>
      <c r="B5282" s="26" t="s">
        <v>543</v>
      </c>
      <c r="C5282" s="26"/>
      <c r="D5282" s="26" t="s">
        <v>543</v>
      </c>
      <c r="E5282" s="26" t="str">
        <f>IFERROR(VLOOKUP(G5282,WholesaleExtract!B:J,9,FALSE),"")</f>
        <v/>
      </c>
      <c r="F5282" s="26" t="str">
        <f>IFERROR(VLOOKUP(G5282,WholesaleExtract!B:J,6,FALSE),"")</f>
        <v/>
      </c>
      <c r="H5282" s="47" t="str">
        <f>IFERROR(VLOOKUP(G5282,WholesaleExtract!B:L,11,FALSE),"")</f>
        <v/>
      </c>
      <c r="I5282" s="26" t="str">
        <f>IFERROR(VLOOKUP(G5282,WholesaleExtract!B:O,8,FALSE),"")</f>
        <v/>
      </c>
      <c r="J5282" s="26" t="str">
        <f>IFERROR(VLOOKUP(G5282,WholesaleExtract!B:O,14,FALSE),"")</f>
        <v/>
      </c>
      <c r="K5282" s="26" t="str">
        <f>IFERROR(VLOOKUP(G5282,WholesaleExtract!B:K,10,FALSE),"")</f>
        <v/>
      </c>
      <c r="L5282" s="47" t="str">
        <f>IFERROR(VLOOKUP(G5282,WholesaleExtract!B:L,11,FALSE),"")</f>
        <v/>
      </c>
      <c r="M5282" s="47" t="str">
        <f>IFERROR(VLOOKUP(G5282,WholesaleExtract!B:M,12,FALSE),"")</f>
        <v/>
      </c>
      <c r="R5282" s="19"/>
      <c r="S5282" s="19"/>
    </row>
    <row r="5283" spans="1:19" x14ac:dyDescent="0.35">
      <c r="A5283" s="26" t="s">
        <v>543</v>
      </c>
      <c r="B5283" s="26" t="s">
        <v>543</v>
      </c>
      <c r="C5283" s="26"/>
      <c r="D5283" s="26" t="s">
        <v>543</v>
      </c>
      <c r="E5283" s="26" t="str">
        <f>IFERROR(VLOOKUP(G5283,WholesaleExtract!B:J,9,FALSE),"")</f>
        <v/>
      </c>
      <c r="F5283" s="26" t="str">
        <f>IFERROR(VLOOKUP(G5283,WholesaleExtract!B:J,6,FALSE),"")</f>
        <v/>
      </c>
      <c r="H5283" s="47" t="str">
        <f>IFERROR(VLOOKUP(G5283,WholesaleExtract!B:L,11,FALSE),"")</f>
        <v/>
      </c>
      <c r="I5283" s="26" t="str">
        <f>IFERROR(VLOOKUP(G5283,WholesaleExtract!B:O,8,FALSE),"")</f>
        <v/>
      </c>
      <c r="J5283" s="26" t="str">
        <f>IFERROR(VLOOKUP(G5283,WholesaleExtract!B:O,14,FALSE),"")</f>
        <v/>
      </c>
      <c r="K5283" s="26" t="str">
        <f>IFERROR(VLOOKUP(G5283,WholesaleExtract!B:K,10,FALSE),"")</f>
        <v/>
      </c>
      <c r="L5283" s="47" t="str">
        <f>IFERROR(VLOOKUP(G5283,WholesaleExtract!B:L,11,FALSE),"")</f>
        <v/>
      </c>
      <c r="M5283" s="47" t="str">
        <f>IFERROR(VLOOKUP(G5283,WholesaleExtract!B:M,12,FALSE),"")</f>
        <v/>
      </c>
      <c r="R5283" s="19"/>
      <c r="S5283" s="19"/>
    </row>
    <row r="5284" spans="1:19" x14ac:dyDescent="0.35">
      <c r="A5284" s="26" t="s">
        <v>543</v>
      </c>
      <c r="B5284" s="26" t="s">
        <v>543</v>
      </c>
      <c r="C5284" s="26"/>
      <c r="D5284" s="26" t="s">
        <v>543</v>
      </c>
      <c r="E5284" s="26" t="str">
        <f>IFERROR(VLOOKUP(G5284,WholesaleExtract!B:J,9,FALSE),"")</f>
        <v/>
      </c>
      <c r="F5284" s="26" t="str">
        <f>IFERROR(VLOOKUP(G5284,WholesaleExtract!B:J,6,FALSE),"")</f>
        <v/>
      </c>
      <c r="H5284" s="47" t="str">
        <f>IFERROR(VLOOKUP(G5284,WholesaleExtract!B:L,11,FALSE),"")</f>
        <v/>
      </c>
      <c r="I5284" s="26" t="str">
        <f>IFERROR(VLOOKUP(G5284,WholesaleExtract!B:O,8,FALSE),"")</f>
        <v/>
      </c>
      <c r="J5284" s="26" t="str">
        <f>IFERROR(VLOOKUP(G5284,WholesaleExtract!B:O,14,FALSE),"")</f>
        <v/>
      </c>
      <c r="K5284" s="26" t="str">
        <f>IFERROR(VLOOKUP(G5284,WholesaleExtract!B:K,10,FALSE),"")</f>
        <v/>
      </c>
      <c r="L5284" s="47" t="str">
        <f>IFERROR(VLOOKUP(G5284,WholesaleExtract!B:L,11,FALSE),"")</f>
        <v/>
      </c>
      <c r="M5284" s="47" t="str">
        <f>IFERROR(VLOOKUP(G5284,WholesaleExtract!B:M,12,FALSE),"")</f>
        <v/>
      </c>
      <c r="R5284" s="19"/>
      <c r="S5284" s="19"/>
    </row>
    <row r="5285" spans="1:19" x14ac:dyDescent="0.35">
      <c r="A5285" s="26" t="s">
        <v>543</v>
      </c>
      <c r="B5285" s="26" t="s">
        <v>543</v>
      </c>
      <c r="C5285" s="26"/>
      <c r="D5285" s="26" t="s">
        <v>543</v>
      </c>
      <c r="E5285" s="26" t="str">
        <f>IFERROR(VLOOKUP(G5285,WholesaleExtract!B:J,9,FALSE),"")</f>
        <v/>
      </c>
      <c r="F5285" s="26" t="str">
        <f>IFERROR(VLOOKUP(G5285,WholesaleExtract!B:J,6,FALSE),"")</f>
        <v/>
      </c>
      <c r="H5285" s="47" t="str">
        <f>IFERROR(VLOOKUP(G5285,WholesaleExtract!B:L,11,FALSE),"")</f>
        <v/>
      </c>
      <c r="I5285" s="26" t="str">
        <f>IFERROR(VLOOKUP(G5285,WholesaleExtract!B:O,8,FALSE),"")</f>
        <v/>
      </c>
      <c r="J5285" s="26" t="str">
        <f>IFERROR(VLOOKUP(G5285,WholesaleExtract!B:O,14,FALSE),"")</f>
        <v/>
      </c>
      <c r="K5285" s="26" t="str">
        <f>IFERROR(VLOOKUP(G5285,WholesaleExtract!B:K,10,FALSE),"")</f>
        <v/>
      </c>
      <c r="L5285" s="47" t="str">
        <f>IFERROR(VLOOKUP(G5285,WholesaleExtract!B:L,11,FALSE),"")</f>
        <v/>
      </c>
      <c r="M5285" s="47" t="str">
        <f>IFERROR(VLOOKUP(G5285,WholesaleExtract!B:M,12,FALSE),"")</f>
        <v/>
      </c>
      <c r="R5285" s="19"/>
      <c r="S5285" s="19"/>
    </row>
    <row r="5286" spans="1:19" x14ac:dyDescent="0.35">
      <c r="A5286" s="26" t="s">
        <v>543</v>
      </c>
      <c r="B5286" s="26" t="s">
        <v>543</v>
      </c>
      <c r="C5286" s="26"/>
      <c r="D5286" s="26" t="s">
        <v>543</v>
      </c>
      <c r="E5286" s="26" t="str">
        <f>IFERROR(VLOOKUP(G5286,WholesaleExtract!B:J,9,FALSE),"")</f>
        <v/>
      </c>
      <c r="F5286" s="26" t="str">
        <f>IFERROR(VLOOKUP(G5286,WholesaleExtract!B:J,6,FALSE),"")</f>
        <v/>
      </c>
      <c r="H5286" s="47" t="str">
        <f>IFERROR(VLOOKUP(G5286,WholesaleExtract!B:L,11,FALSE),"")</f>
        <v/>
      </c>
      <c r="I5286" s="26" t="str">
        <f>IFERROR(VLOOKUP(G5286,WholesaleExtract!B:O,8,FALSE),"")</f>
        <v/>
      </c>
      <c r="J5286" s="26" t="str">
        <f>IFERROR(VLOOKUP(G5286,WholesaleExtract!B:O,14,FALSE),"")</f>
        <v/>
      </c>
      <c r="K5286" s="26" t="str">
        <f>IFERROR(VLOOKUP(G5286,WholesaleExtract!B:K,10,FALSE),"")</f>
        <v/>
      </c>
      <c r="L5286" s="47" t="str">
        <f>IFERROR(VLOOKUP(G5286,WholesaleExtract!B:L,11,FALSE),"")</f>
        <v/>
      </c>
      <c r="M5286" s="47" t="str">
        <f>IFERROR(VLOOKUP(G5286,WholesaleExtract!B:M,12,FALSE),"")</f>
        <v/>
      </c>
      <c r="R5286" s="19"/>
      <c r="S5286" s="19"/>
    </row>
    <row r="5287" spans="1:19" x14ac:dyDescent="0.35">
      <c r="A5287" s="26" t="s">
        <v>543</v>
      </c>
      <c r="B5287" s="26" t="s">
        <v>543</v>
      </c>
      <c r="C5287" s="26"/>
      <c r="D5287" s="26" t="s">
        <v>543</v>
      </c>
      <c r="E5287" s="26" t="str">
        <f>IFERROR(VLOOKUP(G5287,WholesaleExtract!B:J,9,FALSE),"")</f>
        <v/>
      </c>
      <c r="F5287" s="26" t="str">
        <f>IFERROR(VLOOKUP(G5287,WholesaleExtract!B:J,6,FALSE),"")</f>
        <v/>
      </c>
      <c r="H5287" s="47" t="str">
        <f>IFERROR(VLOOKUP(G5287,WholesaleExtract!B:L,11,FALSE),"")</f>
        <v/>
      </c>
      <c r="I5287" s="26" t="str">
        <f>IFERROR(VLOOKUP(G5287,WholesaleExtract!B:O,8,FALSE),"")</f>
        <v/>
      </c>
      <c r="J5287" s="26" t="str">
        <f>IFERROR(VLOOKUP(G5287,WholesaleExtract!B:O,14,FALSE),"")</f>
        <v/>
      </c>
      <c r="K5287" s="26" t="str">
        <f>IFERROR(VLOOKUP(G5287,WholesaleExtract!B:K,10,FALSE),"")</f>
        <v/>
      </c>
      <c r="L5287" s="47" t="str">
        <f>IFERROR(VLOOKUP(G5287,WholesaleExtract!B:L,11,FALSE),"")</f>
        <v/>
      </c>
      <c r="M5287" s="47" t="str">
        <f>IFERROR(VLOOKUP(G5287,WholesaleExtract!B:M,12,FALSE),"")</f>
        <v/>
      </c>
      <c r="R5287" s="19"/>
      <c r="S5287" s="19"/>
    </row>
    <row r="5288" spans="1:19" x14ac:dyDescent="0.35">
      <c r="A5288" s="26" t="s">
        <v>543</v>
      </c>
      <c r="B5288" s="26" t="s">
        <v>543</v>
      </c>
      <c r="C5288" s="26"/>
      <c r="D5288" s="26" t="s">
        <v>543</v>
      </c>
      <c r="E5288" s="26" t="str">
        <f>IFERROR(VLOOKUP(G5288,WholesaleExtract!B:J,9,FALSE),"")</f>
        <v/>
      </c>
      <c r="F5288" s="26" t="str">
        <f>IFERROR(VLOOKUP(G5288,WholesaleExtract!B:J,6,FALSE),"")</f>
        <v/>
      </c>
      <c r="H5288" s="47" t="str">
        <f>IFERROR(VLOOKUP(G5288,WholesaleExtract!B:L,11,FALSE),"")</f>
        <v/>
      </c>
      <c r="I5288" s="26" t="str">
        <f>IFERROR(VLOOKUP(G5288,WholesaleExtract!B:O,8,FALSE),"")</f>
        <v/>
      </c>
      <c r="J5288" s="26" t="str">
        <f>IFERROR(VLOOKUP(G5288,WholesaleExtract!B:O,14,FALSE),"")</f>
        <v/>
      </c>
      <c r="K5288" s="26" t="str">
        <f>IFERROR(VLOOKUP(G5288,WholesaleExtract!B:K,10,FALSE),"")</f>
        <v/>
      </c>
      <c r="L5288" s="47" t="str">
        <f>IFERROR(VLOOKUP(G5288,WholesaleExtract!B:L,11,FALSE),"")</f>
        <v/>
      </c>
      <c r="M5288" s="47" t="str">
        <f>IFERROR(VLOOKUP(G5288,WholesaleExtract!B:M,12,FALSE),"")</f>
        <v/>
      </c>
      <c r="R5288" s="19"/>
      <c r="S5288" s="19"/>
    </row>
    <row r="5289" spans="1:19" x14ac:dyDescent="0.35">
      <c r="A5289" s="26" t="s">
        <v>543</v>
      </c>
      <c r="B5289" s="26" t="s">
        <v>543</v>
      </c>
      <c r="C5289" s="26"/>
      <c r="D5289" s="26" t="s">
        <v>543</v>
      </c>
      <c r="E5289" s="26" t="str">
        <f>IFERROR(VLOOKUP(G5289,WholesaleExtract!B:J,9,FALSE),"")</f>
        <v/>
      </c>
      <c r="F5289" s="26" t="str">
        <f>IFERROR(VLOOKUP(G5289,WholesaleExtract!B:J,6,FALSE),"")</f>
        <v/>
      </c>
      <c r="H5289" s="47" t="str">
        <f>IFERROR(VLOOKUP(G5289,WholesaleExtract!B:L,11,FALSE),"")</f>
        <v/>
      </c>
      <c r="I5289" s="26" t="str">
        <f>IFERROR(VLOOKUP(G5289,WholesaleExtract!B:O,8,FALSE),"")</f>
        <v/>
      </c>
      <c r="J5289" s="26" t="str">
        <f>IFERROR(VLOOKUP(G5289,WholesaleExtract!B:O,14,FALSE),"")</f>
        <v/>
      </c>
      <c r="K5289" s="26" t="str">
        <f>IFERROR(VLOOKUP(G5289,WholesaleExtract!B:K,10,FALSE),"")</f>
        <v/>
      </c>
      <c r="L5289" s="47" t="str">
        <f>IFERROR(VLOOKUP(G5289,WholesaleExtract!B:L,11,FALSE),"")</f>
        <v/>
      </c>
      <c r="M5289" s="47" t="str">
        <f>IFERROR(VLOOKUP(G5289,WholesaleExtract!B:M,12,FALSE),"")</f>
        <v/>
      </c>
      <c r="R5289" s="19"/>
      <c r="S5289" s="19"/>
    </row>
    <row r="5290" spans="1:19" x14ac:dyDescent="0.35">
      <c r="A5290" s="26" t="s">
        <v>543</v>
      </c>
      <c r="B5290" s="26" t="s">
        <v>543</v>
      </c>
      <c r="C5290" s="26"/>
      <c r="D5290" s="26" t="s">
        <v>543</v>
      </c>
      <c r="E5290" s="26" t="str">
        <f>IFERROR(VLOOKUP(G5290,WholesaleExtract!B:J,9,FALSE),"")</f>
        <v/>
      </c>
      <c r="F5290" s="26" t="str">
        <f>IFERROR(VLOOKUP(G5290,WholesaleExtract!B:J,6,FALSE),"")</f>
        <v/>
      </c>
      <c r="H5290" s="47" t="str">
        <f>IFERROR(VLOOKUP(G5290,WholesaleExtract!B:L,11,FALSE),"")</f>
        <v/>
      </c>
      <c r="I5290" s="26" t="str">
        <f>IFERROR(VLOOKUP(G5290,WholesaleExtract!B:O,8,FALSE),"")</f>
        <v/>
      </c>
      <c r="J5290" s="26" t="str">
        <f>IFERROR(VLOOKUP(G5290,WholesaleExtract!B:O,14,FALSE),"")</f>
        <v/>
      </c>
      <c r="K5290" s="26" t="str">
        <f>IFERROR(VLOOKUP(G5290,WholesaleExtract!B:K,10,FALSE),"")</f>
        <v/>
      </c>
      <c r="L5290" s="47" t="str">
        <f>IFERROR(VLOOKUP(G5290,WholesaleExtract!B:L,11,FALSE),"")</f>
        <v/>
      </c>
      <c r="M5290" s="47" t="str">
        <f>IFERROR(VLOOKUP(G5290,WholesaleExtract!B:M,12,FALSE),"")</f>
        <v/>
      </c>
      <c r="R5290" s="19"/>
      <c r="S5290" s="19"/>
    </row>
    <row r="5291" spans="1:19" x14ac:dyDescent="0.35">
      <c r="A5291" s="26" t="s">
        <v>543</v>
      </c>
      <c r="B5291" s="26" t="s">
        <v>543</v>
      </c>
      <c r="C5291" s="26"/>
      <c r="D5291" s="26" t="s">
        <v>543</v>
      </c>
      <c r="E5291" s="26" t="str">
        <f>IFERROR(VLOOKUP(G5291,WholesaleExtract!B:J,9,FALSE),"")</f>
        <v/>
      </c>
      <c r="F5291" s="26" t="str">
        <f>IFERROR(VLOOKUP(G5291,WholesaleExtract!B:J,6,FALSE),"")</f>
        <v/>
      </c>
      <c r="H5291" s="47" t="str">
        <f>IFERROR(VLOOKUP(G5291,WholesaleExtract!B:L,11,FALSE),"")</f>
        <v/>
      </c>
      <c r="I5291" s="26" t="str">
        <f>IFERROR(VLOOKUP(G5291,WholesaleExtract!B:O,8,FALSE),"")</f>
        <v/>
      </c>
      <c r="J5291" s="26" t="str">
        <f>IFERROR(VLOOKUP(G5291,WholesaleExtract!B:O,14,FALSE),"")</f>
        <v/>
      </c>
      <c r="K5291" s="26" t="str">
        <f>IFERROR(VLOOKUP(G5291,WholesaleExtract!B:K,10,FALSE),"")</f>
        <v/>
      </c>
      <c r="L5291" s="47" t="str">
        <f>IFERROR(VLOOKUP(G5291,WholesaleExtract!B:L,11,FALSE),"")</f>
        <v/>
      </c>
      <c r="M5291" s="47" t="str">
        <f>IFERROR(VLOOKUP(G5291,WholesaleExtract!B:M,12,FALSE),"")</f>
        <v/>
      </c>
      <c r="R5291" s="19"/>
      <c r="S5291" s="19"/>
    </row>
    <row r="5292" spans="1:19" x14ac:dyDescent="0.35">
      <c r="A5292" s="26" t="s">
        <v>543</v>
      </c>
      <c r="B5292" s="26" t="s">
        <v>543</v>
      </c>
      <c r="C5292" s="26"/>
      <c r="D5292" s="26" t="s">
        <v>543</v>
      </c>
      <c r="E5292" s="26" t="str">
        <f>IFERROR(VLOOKUP(G5292,WholesaleExtract!B:J,9,FALSE),"")</f>
        <v/>
      </c>
      <c r="F5292" s="26" t="str">
        <f>IFERROR(VLOOKUP(G5292,WholesaleExtract!B:J,6,FALSE),"")</f>
        <v/>
      </c>
      <c r="H5292" s="47" t="str">
        <f>IFERROR(VLOOKUP(G5292,WholesaleExtract!B:L,11,FALSE),"")</f>
        <v/>
      </c>
      <c r="I5292" s="26" t="str">
        <f>IFERROR(VLOOKUP(G5292,WholesaleExtract!B:O,8,FALSE),"")</f>
        <v/>
      </c>
      <c r="J5292" s="26" t="str">
        <f>IFERROR(VLOOKUP(G5292,WholesaleExtract!B:O,14,FALSE),"")</f>
        <v/>
      </c>
      <c r="K5292" s="26" t="str">
        <f>IFERROR(VLOOKUP(G5292,WholesaleExtract!B:K,10,FALSE),"")</f>
        <v/>
      </c>
      <c r="L5292" s="47" t="str">
        <f>IFERROR(VLOOKUP(G5292,WholesaleExtract!B:L,11,FALSE),"")</f>
        <v/>
      </c>
      <c r="M5292" s="47" t="str">
        <f>IFERROR(VLOOKUP(G5292,WholesaleExtract!B:M,12,FALSE),"")</f>
        <v/>
      </c>
      <c r="R5292" s="19"/>
      <c r="S5292" s="19"/>
    </row>
    <row r="5293" spans="1:19" x14ac:dyDescent="0.35">
      <c r="A5293" s="26" t="s">
        <v>543</v>
      </c>
      <c r="B5293" s="26" t="s">
        <v>543</v>
      </c>
      <c r="C5293" s="26"/>
      <c r="D5293" s="26" t="s">
        <v>543</v>
      </c>
      <c r="E5293" s="26" t="str">
        <f>IFERROR(VLOOKUP(G5293,WholesaleExtract!B:J,9,FALSE),"")</f>
        <v/>
      </c>
      <c r="F5293" s="26" t="str">
        <f>IFERROR(VLOOKUP(G5293,WholesaleExtract!B:J,6,FALSE),"")</f>
        <v/>
      </c>
      <c r="H5293" s="47" t="str">
        <f>IFERROR(VLOOKUP(G5293,WholesaleExtract!B:L,11,FALSE),"")</f>
        <v/>
      </c>
      <c r="I5293" s="26" t="str">
        <f>IFERROR(VLOOKUP(G5293,WholesaleExtract!B:O,8,FALSE),"")</f>
        <v/>
      </c>
      <c r="J5293" s="26" t="str">
        <f>IFERROR(VLOOKUP(G5293,WholesaleExtract!B:O,14,FALSE),"")</f>
        <v/>
      </c>
      <c r="K5293" s="26" t="str">
        <f>IFERROR(VLOOKUP(G5293,WholesaleExtract!B:K,10,FALSE),"")</f>
        <v/>
      </c>
      <c r="L5293" s="47" t="str">
        <f>IFERROR(VLOOKUP(G5293,WholesaleExtract!B:L,11,FALSE),"")</f>
        <v/>
      </c>
      <c r="M5293" s="47" t="str">
        <f>IFERROR(VLOOKUP(G5293,WholesaleExtract!B:M,12,FALSE),"")</f>
        <v/>
      </c>
      <c r="R5293" s="19"/>
      <c r="S5293" s="19"/>
    </row>
    <row r="5294" spans="1:19" x14ac:dyDescent="0.35">
      <c r="A5294" s="26" t="s">
        <v>543</v>
      </c>
      <c r="B5294" s="26" t="s">
        <v>543</v>
      </c>
      <c r="C5294" s="26"/>
      <c r="D5294" s="26" t="s">
        <v>543</v>
      </c>
      <c r="E5294" s="26" t="str">
        <f>IFERROR(VLOOKUP(G5294,WholesaleExtract!B:J,9,FALSE),"")</f>
        <v/>
      </c>
      <c r="F5294" s="26" t="str">
        <f>IFERROR(VLOOKUP(G5294,WholesaleExtract!B:J,6,FALSE),"")</f>
        <v/>
      </c>
      <c r="H5294" s="47" t="str">
        <f>IFERROR(VLOOKUP(G5294,WholesaleExtract!B:L,11,FALSE),"")</f>
        <v/>
      </c>
      <c r="I5294" s="26" t="str">
        <f>IFERROR(VLOOKUP(G5294,WholesaleExtract!B:O,8,FALSE),"")</f>
        <v/>
      </c>
      <c r="J5294" s="26" t="str">
        <f>IFERROR(VLOOKUP(G5294,WholesaleExtract!B:O,14,FALSE),"")</f>
        <v/>
      </c>
      <c r="K5294" s="26" t="str">
        <f>IFERROR(VLOOKUP(G5294,WholesaleExtract!B:K,10,FALSE),"")</f>
        <v/>
      </c>
      <c r="L5294" s="47" t="str">
        <f>IFERROR(VLOOKUP(G5294,WholesaleExtract!B:L,11,FALSE),"")</f>
        <v/>
      </c>
      <c r="M5294" s="47" t="str">
        <f>IFERROR(VLOOKUP(G5294,WholesaleExtract!B:M,12,FALSE),"")</f>
        <v/>
      </c>
      <c r="R5294" s="19"/>
      <c r="S5294" s="19"/>
    </row>
    <row r="5295" spans="1:19" x14ac:dyDescent="0.35">
      <c r="A5295" s="26" t="s">
        <v>543</v>
      </c>
      <c r="B5295" s="26" t="s">
        <v>543</v>
      </c>
      <c r="C5295" s="26"/>
      <c r="D5295" s="26" t="s">
        <v>543</v>
      </c>
      <c r="E5295" s="26" t="str">
        <f>IFERROR(VLOOKUP(G5295,WholesaleExtract!B:J,9,FALSE),"")</f>
        <v/>
      </c>
      <c r="F5295" s="26" t="str">
        <f>IFERROR(VLOOKUP(G5295,WholesaleExtract!B:J,6,FALSE),"")</f>
        <v/>
      </c>
      <c r="H5295" s="47" t="str">
        <f>IFERROR(VLOOKUP(G5295,WholesaleExtract!B:L,11,FALSE),"")</f>
        <v/>
      </c>
      <c r="I5295" s="26" t="str">
        <f>IFERROR(VLOOKUP(G5295,WholesaleExtract!B:O,8,FALSE),"")</f>
        <v/>
      </c>
      <c r="J5295" s="26" t="str">
        <f>IFERROR(VLOOKUP(G5295,WholesaleExtract!B:O,14,FALSE),"")</f>
        <v/>
      </c>
      <c r="K5295" s="26" t="str">
        <f>IFERROR(VLOOKUP(G5295,WholesaleExtract!B:K,10,FALSE),"")</f>
        <v/>
      </c>
      <c r="L5295" s="47" t="str">
        <f>IFERROR(VLOOKUP(G5295,WholesaleExtract!B:L,11,FALSE),"")</f>
        <v/>
      </c>
      <c r="M5295" s="47" t="str">
        <f>IFERROR(VLOOKUP(G5295,WholesaleExtract!B:M,12,FALSE),"")</f>
        <v/>
      </c>
      <c r="R5295" s="19"/>
      <c r="S5295" s="19"/>
    </row>
    <row r="5296" spans="1:19" x14ac:dyDescent="0.35">
      <c r="A5296" s="26" t="s">
        <v>543</v>
      </c>
      <c r="B5296" s="26" t="s">
        <v>543</v>
      </c>
      <c r="C5296" s="26"/>
      <c r="D5296" s="26" t="s">
        <v>543</v>
      </c>
      <c r="E5296" s="26" t="str">
        <f>IFERROR(VLOOKUP(G5296,WholesaleExtract!B:J,9,FALSE),"")</f>
        <v/>
      </c>
      <c r="F5296" s="26" t="str">
        <f>IFERROR(VLOOKUP(G5296,WholesaleExtract!B:J,6,FALSE),"")</f>
        <v/>
      </c>
      <c r="H5296" s="47" t="str">
        <f>IFERROR(VLOOKUP(G5296,WholesaleExtract!B:L,11,FALSE),"")</f>
        <v/>
      </c>
      <c r="I5296" s="26" t="str">
        <f>IFERROR(VLOOKUP(G5296,WholesaleExtract!B:O,8,FALSE),"")</f>
        <v/>
      </c>
      <c r="J5296" s="26" t="str">
        <f>IFERROR(VLOOKUP(G5296,WholesaleExtract!B:O,14,FALSE),"")</f>
        <v/>
      </c>
      <c r="K5296" s="26" t="str">
        <f>IFERROR(VLOOKUP(G5296,WholesaleExtract!B:K,10,FALSE),"")</f>
        <v/>
      </c>
      <c r="L5296" s="47" t="str">
        <f>IFERROR(VLOOKUP(G5296,WholesaleExtract!B:L,11,FALSE),"")</f>
        <v/>
      </c>
      <c r="M5296" s="47" t="str">
        <f>IFERROR(VLOOKUP(G5296,WholesaleExtract!B:M,12,FALSE),"")</f>
        <v/>
      </c>
      <c r="R5296" s="19"/>
      <c r="S5296" s="19"/>
    </row>
    <row r="5297" spans="1:19" x14ac:dyDescent="0.35">
      <c r="A5297" s="26" t="s">
        <v>543</v>
      </c>
      <c r="B5297" s="26" t="s">
        <v>543</v>
      </c>
      <c r="C5297" s="26"/>
      <c r="D5297" s="26" t="s">
        <v>543</v>
      </c>
      <c r="E5297" s="26" t="str">
        <f>IFERROR(VLOOKUP(G5297,WholesaleExtract!B:J,9,FALSE),"")</f>
        <v/>
      </c>
      <c r="F5297" s="26" t="str">
        <f>IFERROR(VLOOKUP(G5297,WholesaleExtract!B:J,6,FALSE),"")</f>
        <v/>
      </c>
      <c r="H5297" s="47" t="str">
        <f>IFERROR(VLOOKUP(G5297,WholesaleExtract!B:L,11,FALSE),"")</f>
        <v/>
      </c>
      <c r="I5297" s="26" t="str">
        <f>IFERROR(VLOOKUP(G5297,WholesaleExtract!B:O,8,FALSE),"")</f>
        <v/>
      </c>
      <c r="J5297" s="26" t="str">
        <f>IFERROR(VLOOKUP(G5297,WholesaleExtract!B:O,14,FALSE),"")</f>
        <v/>
      </c>
      <c r="K5297" s="26" t="str">
        <f>IFERROR(VLOOKUP(G5297,WholesaleExtract!B:K,10,FALSE),"")</f>
        <v/>
      </c>
      <c r="L5297" s="47" t="str">
        <f>IFERROR(VLOOKUP(G5297,WholesaleExtract!B:L,11,FALSE),"")</f>
        <v/>
      </c>
      <c r="M5297" s="47" t="str">
        <f>IFERROR(VLOOKUP(G5297,WholesaleExtract!B:M,12,FALSE),"")</f>
        <v/>
      </c>
      <c r="R5297" s="19"/>
      <c r="S5297" s="19"/>
    </row>
    <row r="5298" spans="1:19" x14ac:dyDescent="0.35">
      <c r="A5298" s="26" t="s">
        <v>543</v>
      </c>
      <c r="B5298" s="26" t="s">
        <v>543</v>
      </c>
      <c r="C5298" s="26"/>
      <c r="D5298" s="26" t="s">
        <v>543</v>
      </c>
      <c r="E5298" s="26" t="str">
        <f>IFERROR(VLOOKUP(G5298,WholesaleExtract!B:J,9,FALSE),"")</f>
        <v/>
      </c>
      <c r="F5298" s="26" t="str">
        <f>IFERROR(VLOOKUP(G5298,WholesaleExtract!B:J,6,FALSE),"")</f>
        <v/>
      </c>
      <c r="H5298" s="47" t="str">
        <f>IFERROR(VLOOKUP(G5298,WholesaleExtract!B:L,11,FALSE),"")</f>
        <v/>
      </c>
      <c r="I5298" s="26" t="str">
        <f>IFERROR(VLOOKUP(G5298,WholesaleExtract!B:O,8,FALSE),"")</f>
        <v/>
      </c>
      <c r="J5298" s="26" t="str">
        <f>IFERROR(VLOOKUP(G5298,WholesaleExtract!B:O,14,FALSE),"")</f>
        <v/>
      </c>
      <c r="K5298" s="26" t="str">
        <f>IFERROR(VLOOKUP(G5298,WholesaleExtract!B:K,10,FALSE),"")</f>
        <v/>
      </c>
      <c r="L5298" s="47" t="str">
        <f>IFERROR(VLOOKUP(G5298,WholesaleExtract!B:L,11,FALSE),"")</f>
        <v/>
      </c>
      <c r="M5298" s="47" t="str">
        <f>IFERROR(VLOOKUP(G5298,WholesaleExtract!B:M,12,FALSE),"")</f>
        <v/>
      </c>
      <c r="R5298" s="19"/>
      <c r="S5298" s="19"/>
    </row>
    <row r="5299" spans="1:19" x14ac:dyDescent="0.35">
      <c r="A5299" s="26" t="s">
        <v>543</v>
      </c>
      <c r="B5299" s="26" t="s">
        <v>543</v>
      </c>
      <c r="C5299" s="26"/>
      <c r="D5299" s="26" t="s">
        <v>543</v>
      </c>
      <c r="E5299" s="26" t="str">
        <f>IFERROR(VLOOKUP(G5299,WholesaleExtract!B:J,9,FALSE),"")</f>
        <v/>
      </c>
      <c r="F5299" s="26" t="str">
        <f>IFERROR(VLOOKUP(G5299,WholesaleExtract!B:J,6,FALSE),"")</f>
        <v/>
      </c>
      <c r="H5299" s="47" t="str">
        <f>IFERROR(VLOOKUP(G5299,WholesaleExtract!B:L,11,FALSE),"")</f>
        <v/>
      </c>
      <c r="I5299" s="26" t="str">
        <f>IFERROR(VLOOKUP(G5299,WholesaleExtract!B:O,8,FALSE),"")</f>
        <v/>
      </c>
      <c r="J5299" s="26" t="str">
        <f>IFERROR(VLOOKUP(G5299,WholesaleExtract!B:O,14,FALSE),"")</f>
        <v/>
      </c>
      <c r="K5299" s="26" t="str">
        <f>IFERROR(VLOOKUP(G5299,WholesaleExtract!B:K,10,FALSE),"")</f>
        <v/>
      </c>
      <c r="L5299" s="47" t="str">
        <f>IFERROR(VLOOKUP(G5299,WholesaleExtract!B:L,11,FALSE),"")</f>
        <v/>
      </c>
      <c r="M5299" s="47" t="str">
        <f>IFERROR(VLOOKUP(G5299,WholesaleExtract!B:M,12,FALSE),"")</f>
        <v/>
      </c>
      <c r="R5299" s="19"/>
      <c r="S5299" s="19"/>
    </row>
    <row r="5300" spans="1:19" x14ac:dyDescent="0.35">
      <c r="A5300" s="26" t="s">
        <v>543</v>
      </c>
      <c r="B5300" s="26" t="s">
        <v>543</v>
      </c>
      <c r="C5300" s="26"/>
      <c r="D5300" s="26" t="s">
        <v>543</v>
      </c>
      <c r="E5300" s="26" t="str">
        <f>IFERROR(VLOOKUP(G5300,WholesaleExtract!B:J,9,FALSE),"")</f>
        <v/>
      </c>
      <c r="F5300" s="26" t="str">
        <f>IFERROR(VLOOKUP(G5300,WholesaleExtract!B:J,6,FALSE),"")</f>
        <v/>
      </c>
      <c r="H5300" s="47" t="str">
        <f>IFERROR(VLOOKUP(G5300,WholesaleExtract!B:L,11,FALSE),"")</f>
        <v/>
      </c>
      <c r="I5300" s="26" t="str">
        <f>IFERROR(VLOOKUP(G5300,WholesaleExtract!B:O,8,FALSE),"")</f>
        <v/>
      </c>
      <c r="J5300" s="26" t="str">
        <f>IFERROR(VLOOKUP(G5300,WholesaleExtract!B:O,14,FALSE),"")</f>
        <v/>
      </c>
      <c r="K5300" s="26" t="str">
        <f>IFERROR(VLOOKUP(G5300,WholesaleExtract!B:K,10,FALSE),"")</f>
        <v/>
      </c>
      <c r="L5300" s="47" t="str">
        <f>IFERROR(VLOOKUP(G5300,WholesaleExtract!B:L,11,FALSE),"")</f>
        <v/>
      </c>
      <c r="M5300" s="47" t="str">
        <f>IFERROR(VLOOKUP(G5300,WholesaleExtract!B:M,12,FALSE),"")</f>
        <v/>
      </c>
      <c r="R5300" s="19"/>
      <c r="S5300" s="19"/>
    </row>
    <row r="5301" spans="1:19" x14ac:dyDescent="0.35">
      <c r="A5301" s="26" t="s">
        <v>543</v>
      </c>
      <c r="B5301" s="26" t="s">
        <v>543</v>
      </c>
      <c r="C5301" s="26"/>
      <c r="D5301" s="26" t="s">
        <v>543</v>
      </c>
      <c r="E5301" s="26" t="str">
        <f>IFERROR(VLOOKUP(G5301,WholesaleExtract!B:J,9,FALSE),"")</f>
        <v/>
      </c>
      <c r="F5301" s="26" t="str">
        <f>IFERROR(VLOOKUP(G5301,WholesaleExtract!B:J,6,FALSE),"")</f>
        <v/>
      </c>
      <c r="H5301" s="47" t="str">
        <f>IFERROR(VLOOKUP(G5301,WholesaleExtract!B:L,11,FALSE),"")</f>
        <v/>
      </c>
      <c r="I5301" s="26" t="str">
        <f>IFERROR(VLOOKUP(G5301,WholesaleExtract!B:O,8,FALSE),"")</f>
        <v/>
      </c>
      <c r="J5301" s="26" t="str">
        <f>IFERROR(VLOOKUP(G5301,WholesaleExtract!B:O,14,FALSE),"")</f>
        <v/>
      </c>
      <c r="K5301" s="26" t="str">
        <f>IFERROR(VLOOKUP(G5301,WholesaleExtract!B:K,10,FALSE),"")</f>
        <v/>
      </c>
      <c r="L5301" s="47" t="str">
        <f>IFERROR(VLOOKUP(G5301,WholesaleExtract!B:L,11,FALSE),"")</f>
        <v/>
      </c>
      <c r="M5301" s="47" t="str">
        <f>IFERROR(VLOOKUP(G5301,WholesaleExtract!B:M,12,FALSE),"")</f>
        <v/>
      </c>
      <c r="R5301" s="19"/>
      <c r="S5301" s="19"/>
    </row>
    <row r="5302" spans="1:19" x14ac:dyDescent="0.35">
      <c r="A5302" s="26" t="s">
        <v>543</v>
      </c>
      <c r="B5302" s="26" t="s">
        <v>543</v>
      </c>
      <c r="C5302" s="26"/>
      <c r="D5302" s="26" t="s">
        <v>543</v>
      </c>
      <c r="E5302" s="26" t="str">
        <f>IFERROR(VLOOKUP(G5302,WholesaleExtract!B:J,9,FALSE),"")</f>
        <v/>
      </c>
      <c r="F5302" s="26" t="str">
        <f>IFERROR(VLOOKUP(G5302,WholesaleExtract!B:J,6,FALSE),"")</f>
        <v/>
      </c>
      <c r="H5302" s="47" t="str">
        <f>IFERROR(VLOOKUP(G5302,WholesaleExtract!B:L,11,FALSE),"")</f>
        <v/>
      </c>
      <c r="I5302" s="26" t="str">
        <f>IFERROR(VLOOKUP(G5302,WholesaleExtract!B:O,8,FALSE),"")</f>
        <v/>
      </c>
      <c r="J5302" s="26" t="str">
        <f>IFERROR(VLOOKUP(G5302,WholesaleExtract!B:O,14,FALSE),"")</f>
        <v/>
      </c>
      <c r="K5302" s="26" t="str">
        <f>IFERROR(VLOOKUP(G5302,WholesaleExtract!B:K,10,FALSE),"")</f>
        <v/>
      </c>
      <c r="L5302" s="47" t="str">
        <f>IFERROR(VLOOKUP(G5302,WholesaleExtract!B:L,11,FALSE),"")</f>
        <v/>
      </c>
      <c r="M5302" s="47" t="str">
        <f>IFERROR(VLOOKUP(G5302,WholesaleExtract!B:M,12,FALSE),"")</f>
        <v/>
      </c>
      <c r="R5302" s="19"/>
      <c r="S5302" s="19"/>
    </row>
    <row r="5303" spans="1:19" x14ac:dyDescent="0.35">
      <c r="A5303" s="26" t="s">
        <v>543</v>
      </c>
      <c r="B5303" s="26" t="s">
        <v>543</v>
      </c>
      <c r="C5303" s="26"/>
      <c r="D5303" s="26" t="s">
        <v>543</v>
      </c>
      <c r="E5303" s="26" t="str">
        <f>IFERROR(VLOOKUP(G5303,WholesaleExtract!B:J,9,FALSE),"")</f>
        <v/>
      </c>
      <c r="F5303" s="26" t="str">
        <f>IFERROR(VLOOKUP(G5303,WholesaleExtract!B:J,6,FALSE),"")</f>
        <v/>
      </c>
      <c r="H5303" s="47" t="str">
        <f>IFERROR(VLOOKUP(G5303,WholesaleExtract!B:L,11,FALSE),"")</f>
        <v/>
      </c>
      <c r="I5303" s="26" t="str">
        <f>IFERROR(VLOOKUP(G5303,WholesaleExtract!B:O,8,FALSE),"")</f>
        <v/>
      </c>
      <c r="J5303" s="26" t="str">
        <f>IFERROR(VLOOKUP(G5303,WholesaleExtract!B:O,14,FALSE),"")</f>
        <v/>
      </c>
      <c r="K5303" s="26" t="str">
        <f>IFERROR(VLOOKUP(G5303,WholesaleExtract!B:K,10,FALSE),"")</f>
        <v/>
      </c>
      <c r="L5303" s="47" t="str">
        <f>IFERROR(VLOOKUP(G5303,WholesaleExtract!B:L,11,FALSE),"")</f>
        <v/>
      </c>
      <c r="M5303" s="47" t="str">
        <f>IFERROR(VLOOKUP(G5303,WholesaleExtract!B:M,12,FALSE),"")</f>
        <v/>
      </c>
      <c r="R5303" s="19"/>
      <c r="S5303" s="19"/>
    </row>
    <row r="5304" spans="1:19" x14ac:dyDescent="0.35">
      <c r="A5304" s="26" t="s">
        <v>543</v>
      </c>
      <c r="B5304" s="26" t="s">
        <v>543</v>
      </c>
      <c r="C5304" s="26"/>
      <c r="D5304" s="26" t="s">
        <v>543</v>
      </c>
      <c r="E5304" s="26" t="str">
        <f>IFERROR(VLOOKUP(G5304,WholesaleExtract!B:J,9,FALSE),"")</f>
        <v/>
      </c>
      <c r="F5304" s="26" t="str">
        <f>IFERROR(VLOOKUP(G5304,WholesaleExtract!B:J,6,FALSE),"")</f>
        <v/>
      </c>
      <c r="H5304" s="47" t="str">
        <f>IFERROR(VLOOKUP(G5304,WholesaleExtract!B:L,11,FALSE),"")</f>
        <v/>
      </c>
      <c r="I5304" s="26" t="str">
        <f>IFERROR(VLOOKUP(G5304,WholesaleExtract!B:O,8,FALSE),"")</f>
        <v/>
      </c>
      <c r="J5304" s="26" t="str">
        <f>IFERROR(VLOOKUP(G5304,WholesaleExtract!B:O,14,FALSE),"")</f>
        <v/>
      </c>
      <c r="K5304" s="26" t="str">
        <f>IFERROR(VLOOKUP(G5304,WholesaleExtract!B:K,10,FALSE),"")</f>
        <v/>
      </c>
      <c r="L5304" s="47" t="str">
        <f>IFERROR(VLOOKUP(G5304,WholesaleExtract!B:L,11,FALSE),"")</f>
        <v/>
      </c>
      <c r="M5304" s="47" t="str">
        <f>IFERROR(VLOOKUP(G5304,WholesaleExtract!B:M,12,FALSE),"")</f>
        <v/>
      </c>
      <c r="R5304" s="19"/>
      <c r="S5304" s="19"/>
    </row>
    <row r="5305" spans="1:19" x14ac:dyDescent="0.35">
      <c r="A5305" s="26" t="s">
        <v>543</v>
      </c>
      <c r="B5305" s="26" t="s">
        <v>543</v>
      </c>
      <c r="C5305" s="26"/>
      <c r="D5305" s="26" t="s">
        <v>543</v>
      </c>
      <c r="E5305" s="26" t="str">
        <f>IFERROR(VLOOKUP(G5305,WholesaleExtract!B:J,9,FALSE),"")</f>
        <v/>
      </c>
      <c r="F5305" s="26" t="str">
        <f>IFERROR(VLOOKUP(G5305,WholesaleExtract!B:J,6,FALSE),"")</f>
        <v/>
      </c>
      <c r="H5305" s="47" t="str">
        <f>IFERROR(VLOOKUP(G5305,WholesaleExtract!B:L,11,FALSE),"")</f>
        <v/>
      </c>
      <c r="I5305" s="26" t="str">
        <f>IFERROR(VLOOKUP(G5305,WholesaleExtract!B:O,8,FALSE),"")</f>
        <v/>
      </c>
      <c r="J5305" s="26" t="str">
        <f>IFERROR(VLOOKUP(G5305,WholesaleExtract!B:O,14,FALSE),"")</f>
        <v/>
      </c>
      <c r="K5305" s="26" t="str">
        <f>IFERROR(VLOOKUP(G5305,WholesaleExtract!B:K,10,FALSE),"")</f>
        <v/>
      </c>
      <c r="L5305" s="47" t="str">
        <f>IFERROR(VLOOKUP(G5305,WholesaleExtract!B:L,11,FALSE),"")</f>
        <v/>
      </c>
      <c r="M5305" s="47" t="str">
        <f>IFERROR(VLOOKUP(G5305,WholesaleExtract!B:M,12,FALSE),"")</f>
        <v/>
      </c>
      <c r="R5305" s="19"/>
      <c r="S5305" s="19"/>
    </row>
    <row r="5306" spans="1:19" x14ac:dyDescent="0.35">
      <c r="A5306" s="26" t="s">
        <v>543</v>
      </c>
      <c r="B5306" s="26" t="s">
        <v>543</v>
      </c>
      <c r="C5306" s="26"/>
      <c r="D5306" s="26" t="s">
        <v>543</v>
      </c>
      <c r="E5306" s="26" t="str">
        <f>IFERROR(VLOOKUP(G5306,WholesaleExtract!B:J,9,FALSE),"")</f>
        <v/>
      </c>
      <c r="F5306" s="26" t="str">
        <f>IFERROR(VLOOKUP(G5306,WholesaleExtract!B:J,6,FALSE),"")</f>
        <v/>
      </c>
      <c r="H5306" s="47" t="str">
        <f>IFERROR(VLOOKUP(G5306,WholesaleExtract!B:L,11,FALSE),"")</f>
        <v/>
      </c>
      <c r="I5306" s="26" t="str">
        <f>IFERROR(VLOOKUP(G5306,WholesaleExtract!B:O,8,FALSE),"")</f>
        <v/>
      </c>
      <c r="J5306" s="26" t="str">
        <f>IFERROR(VLOOKUP(G5306,WholesaleExtract!B:O,14,FALSE),"")</f>
        <v/>
      </c>
      <c r="K5306" s="26" t="str">
        <f>IFERROR(VLOOKUP(G5306,WholesaleExtract!B:K,10,FALSE),"")</f>
        <v/>
      </c>
      <c r="L5306" s="47" t="str">
        <f>IFERROR(VLOOKUP(G5306,WholesaleExtract!B:L,11,FALSE),"")</f>
        <v/>
      </c>
      <c r="M5306" s="47" t="str">
        <f>IFERROR(VLOOKUP(G5306,WholesaleExtract!B:M,12,FALSE),"")</f>
        <v/>
      </c>
      <c r="R5306" s="19"/>
      <c r="S5306" s="19"/>
    </row>
    <row r="5307" spans="1:19" x14ac:dyDescent="0.35">
      <c r="A5307" s="26" t="s">
        <v>543</v>
      </c>
      <c r="B5307" s="26" t="s">
        <v>543</v>
      </c>
      <c r="C5307" s="26"/>
      <c r="D5307" s="26" t="s">
        <v>543</v>
      </c>
      <c r="E5307" s="26" t="str">
        <f>IFERROR(VLOOKUP(G5307,WholesaleExtract!B:J,9,FALSE),"")</f>
        <v/>
      </c>
      <c r="F5307" s="26" t="str">
        <f>IFERROR(VLOOKUP(G5307,WholesaleExtract!B:J,6,FALSE),"")</f>
        <v/>
      </c>
      <c r="H5307" s="47" t="str">
        <f>IFERROR(VLOOKUP(G5307,WholesaleExtract!B:L,11,FALSE),"")</f>
        <v/>
      </c>
      <c r="I5307" s="26" t="str">
        <f>IFERROR(VLOOKUP(G5307,WholesaleExtract!B:O,8,FALSE),"")</f>
        <v/>
      </c>
      <c r="J5307" s="26" t="str">
        <f>IFERROR(VLOOKUP(G5307,WholesaleExtract!B:O,14,FALSE),"")</f>
        <v/>
      </c>
      <c r="K5307" s="26" t="str">
        <f>IFERROR(VLOOKUP(G5307,WholesaleExtract!B:K,10,FALSE),"")</f>
        <v/>
      </c>
      <c r="L5307" s="47" t="str">
        <f>IFERROR(VLOOKUP(G5307,WholesaleExtract!B:L,11,FALSE),"")</f>
        <v/>
      </c>
      <c r="M5307" s="47" t="str">
        <f>IFERROR(VLOOKUP(G5307,WholesaleExtract!B:M,12,FALSE),"")</f>
        <v/>
      </c>
      <c r="R5307" s="19"/>
      <c r="S5307" s="19"/>
    </row>
    <row r="5308" spans="1:19" x14ac:dyDescent="0.35">
      <c r="A5308" s="26" t="s">
        <v>543</v>
      </c>
      <c r="B5308" s="26" t="s">
        <v>543</v>
      </c>
      <c r="C5308" s="26"/>
      <c r="D5308" s="26" t="s">
        <v>543</v>
      </c>
      <c r="E5308" s="26" t="str">
        <f>IFERROR(VLOOKUP(G5308,WholesaleExtract!B:J,9,FALSE),"")</f>
        <v/>
      </c>
      <c r="F5308" s="26" t="str">
        <f>IFERROR(VLOOKUP(G5308,WholesaleExtract!B:J,6,FALSE),"")</f>
        <v/>
      </c>
      <c r="H5308" s="47" t="str">
        <f>IFERROR(VLOOKUP(G5308,WholesaleExtract!B:L,11,FALSE),"")</f>
        <v/>
      </c>
      <c r="I5308" s="26" t="str">
        <f>IFERROR(VLOOKUP(G5308,WholesaleExtract!B:O,8,FALSE),"")</f>
        <v/>
      </c>
      <c r="J5308" s="26" t="str">
        <f>IFERROR(VLOOKUP(G5308,WholesaleExtract!B:O,14,FALSE),"")</f>
        <v/>
      </c>
      <c r="K5308" s="26" t="str">
        <f>IFERROR(VLOOKUP(G5308,WholesaleExtract!B:K,10,FALSE),"")</f>
        <v/>
      </c>
      <c r="L5308" s="47" t="str">
        <f>IFERROR(VLOOKUP(G5308,WholesaleExtract!B:L,11,FALSE),"")</f>
        <v/>
      </c>
      <c r="M5308" s="47" t="str">
        <f>IFERROR(VLOOKUP(G5308,WholesaleExtract!B:M,12,FALSE),"")</f>
        <v/>
      </c>
      <c r="R5308" s="19"/>
      <c r="S5308" s="19"/>
    </row>
    <row r="5309" spans="1:19" x14ac:dyDescent="0.35">
      <c r="A5309" s="26" t="s">
        <v>543</v>
      </c>
      <c r="B5309" s="26" t="s">
        <v>543</v>
      </c>
      <c r="C5309" s="26"/>
      <c r="D5309" s="26" t="s">
        <v>543</v>
      </c>
      <c r="E5309" s="26" t="str">
        <f>IFERROR(VLOOKUP(G5309,WholesaleExtract!B:J,9,FALSE),"")</f>
        <v/>
      </c>
      <c r="F5309" s="26" t="str">
        <f>IFERROR(VLOOKUP(G5309,WholesaleExtract!B:J,6,FALSE),"")</f>
        <v/>
      </c>
      <c r="H5309" s="47" t="str">
        <f>IFERROR(VLOOKUP(G5309,WholesaleExtract!B:L,11,FALSE),"")</f>
        <v/>
      </c>
      <c r="I5309" s="26" t="str">
        <f>IFERROR(VLOOKUP(G5309,WholesaleExtract!B:O,8,FALSE),"")</f>
        <v/>
      </c>
      <c r="J5309" s="26" t="str">
        <f>IFERROR(VLOOKUP(G5309,WholesaleExtract!B:O,14,FALSE),"")</f>
        <v/>
      </c>
      <c r="K5309" s="26" t="str">
        <f>IFERROR(VLOOKUP(G5309,WholesaleExtract!B:K,10,FALSE),"")</f>
        <v/>
      </c>
      <c r="L5309" s="47" t="str">
        <f>IFERROR(VLOOKUP(G5309,WholesaleExtract!B:L,11,FALSE),"")</f>
        <v/>
      </c>
      <c r="M5309" s="47" t="str">
        <f>IFERROR(VLOOKUP(G5309,WholesaleExtract!B:M,12,FALSE),"")</f>
        <v/>
      </c>
      <c r="R5309" s="19"/>
      <c r="S5309" s="19"/>
    </row>
    <row r="5310" spans="1:19" x14ac:dyDescent="0.35">
      <c r="A5310" s="26" t="s">
        <v>543</v>
      </c>
      <c r="B5310" s="26" t="s">
        <v>543</v>
      </c>
      <c r="C5310" s="26"/>
      <c r="D5310" s="26" t="s">
        <v>543</v>
      </c>
      <c r="E5310" s="26" t="str">
        <f>IFERROR(VLOOKUP(G5310,WholesaleExtract!B:J,9,FALSE),"")</f>
        <v/>
      </c>
      <c r="F5310" s="26" t="str">
        <f>IFERROR(VLOOKUP(G5310,WholesaleExtract!B:J,6,FALSE),"")</f>
        <v/>
      </c>
      <c r="H5310" s="47" t="str">
        <f>IFERROR(VLOOKUP(G5310,WholesaleExtract!B:L,11,FALSE),"")</f>
        <v/>
      </c>
      <c r="I5310" s="26" t="str">
        <f>IFERROR(VLOOKUP(G5310,WholesaleExtract!B:O,8,FALSE),"")</f>
        <v/>
      </c>
      <c r="J5310" s="26" t="str">
        <f>IFERROR(VLOOKUP(G5310,WholesaleExtract!B:O,14,FALSE),"")</f>
        <v/>
      </c>
      <c r="K5310" s="26" t="str">
        <f>IFERROR(VLOOKUP(G5310,WholesaleExtract!B:K,10,FALSE),"")</f>
        <v/>
      </c>
      <c r="L5310" s="47" t="str">
        <f>IFERROR(VLOOKUP(G5310,WholesaleExtract!B:L,11,FALSE),"")</f>
        <v/>
      </c>
      <c r="M5310" s="47" t="str">
        <f>IFERROR(VLOOKUP(G5310,WholesaleExtract!B:M,12,FALSE),"")</f>
        <v/>
      </c>
      <c r="R5310" s="19"/>
      <c r="S5310" s="19"/>
    </row>
    <row r="5311" spans="1:19" x14ac:dyDescent="0.35">
      <c r="A5311" s="26" t="s">
        <v>543</v>
      </c>
      <c r="B5311" s="26" t="s">
        <v>543</v>
      </c>
      <c r="C5311" s="26"/>
      <c r="D5311" s="26" t="s">
        <v>543</v>
      </c>
      <c r="E5311" s="26" t="str">
        <f>IFERROR(VLOOKUP(G5311,WholesaleExtract!B:J,9,FALSE),"")</f>
        <v/>
      </c>
      <c r="F5311" s="26" t="str">
        <f>IFERROR(VLOOKUP(G5311,WholesaleExtract!B:J,6,FALSE),"")</f>
        <v/>
      </c>
      <c r="H5311" s="47" t="str">
        <f>IFERROR(VLOOKUP(G5311,WholesaleExtract!B:L,11,FALSE),"")</f>
        <v/>
      </c>
      <c r="I5311" s="26" t="str">
        <f>IFERROR(VLOOKUP(G5311,WholesaleExtract!B:O,8,FALSE),"")</f>
        <v/>
      </c>
      <c r="J5311" s="26" t="str">
        <f>IFERROR(VLOOKUP(G5311,WholesaleExtract!B:O,14,FALSE),"")</f>
        <v/>
      </c>
      <c r="K5311" s="26" t="str">
        <f>IFERROR(VLOOKUP(G5311,WholesaleExtract!B:K,10,FALSE),"")</f>
        <v/>
      </c>
      <c r="L5311" s="47" t="str">
        <f>IFERROR(VLOOKUP(G5311,WholesaleExtract!B:L,11,FALSE),"")</f>
        <v/>
      </c>
      <c r="M5311" s="47" t="str">
        <f>IFERROR(VLOOKUP(G5311,WholesaleExtract!B:M,12,FALSE),"")</f>
        <v/>
      </c>
      <c r="R5311" s="19"/>
      <c r="S5311" s="19"/>
    </row>
    <row r="5312" spans="1:19" x14ac:dyDescent="0.35">
      <c r="A5312" s="26" t="s">
        <v>543</v>
      </c>
      <c r="B5312" s="26" t="s">
        <v>543</v>
      </c>
      <c r="C5312" s="26"/>
      <c r="D5312" s="26" t="s">
        <v>543</v>
      </c>
      <c r="E5312" s="26" t="str">
        <f>IFERROR(VLOOKUP(G5312,WholesaleExtract!B:J,9,FALSE),"")</f>
        <v/>
      </c>
      <c r="F5312" s="26" t="str">
        <f>IFERROR(VLOOKUP(G5312,WholesaleExtract!B:J,6,FALSE),"")</f>
        <v/>
      </c>
      <c r="H5312" s="47" t="str">
        <f>IFERROR(VLOOKUP(G5312,WholesaleExtract!B:L,11,FALSE),"")</f>
        <v/>
      </c>
      <c r="I5312" s="26" t="str">
        <f>IFERROR(VLOOKUP(G5312,WholesaleExtract!B:O,8,FALSE),"")</f>
        <v/>
      </c>
      <c r="J5312" s="26" t="str">
        <f>IFERROR(VLOOKUP(G5312,WholesaleExtract!B:O,14,FALSE),"")</f>
        <v/>
      </c>
      <c r="K5312" s="26" t="str">
        <f>IFERROR(VLOOKUP(G5312,WholesaleExtract!B:K,10,FALSE),"")</f>
        <v/>
      </c>
      <c r="L5312" s="47" t="str">
        <f>IFERROR(VLOOKUP(G5312,WholesaleExtract!B:L,11,FALSE),"")</f>
        <v/>
      </c>
      <c r="M5312" s="47" t="str">
        <f>IFERROR(VLOOKUP(G5312,WholesaleExtract!B:M,12,FALSE),"")</f>
        <v/>
      </c>
      <c r="R5312" s="19"/>
      <c r="S5312" s="19"/>
    </row>
    <row r="5313" spans="1:19" x14ac:dyDescent="0.35">
      <c r="A5313" s="26" t="s">
        <v>543</v>
      </c>
      <c r="B5313" s="26" t="s">
        <v>543</v>
      </c>
      <c r="C5313" s="26"/>
      <c r="D5313" s="26" t="s">
        <v>543</v>
      </c>
      <c r="E5313" s="26" t="str">
        <f>IFERROR(VLOOKUP(G5313,WholesaleExtract!B:J,9,FALSE),"")</f>
        <v/>
      </c>
      <c r="F5313" s="26" t="str">
        <f>IFERROR(VLOOKUP(G5313,WholesaleExtract!B:J,6,FALSE),"")</f>
        <v/>
      </c>
      <c r="H5313" s="47" t="str">
        <f>IFERROR(VLOOKUP(G5313,WholesaleExtract!B:L,11,FALSE),"")</f>
        <v/>
      </c>
      <c r="I5313" s="26" t="str">
        <f>IFERROR(VLOOKUP(G5313,WholesaleExtract!B:O,8,FALSE),"")</f>
        <v/>
      </c>
      <c r="J5313" s="26" t="str">
        <f>IFERROR(VLOOKUP(G5313,WholesaleExtract!B:O,14,FALSE),"")</f>
        <v/>
      </c>
      <c r="K5313" s="26" t="str">
        <f>IFERROR(VLOOKUP(G5313,WholesaleExtract!B:K,10,FALSE),"")</f>
        <v/>
      </c>
      <c r="L5313" s="47" t="str">
        <f>IFERROR(VLOOKUP(G5313,WholesaleExtract!B:L,11,FALSE),"")</f>
        <v/>
      </c>
      <c r="M5313" s="47" t="str">
        <f>IFERROR(VLOOKUP(G5313,WholesaleExtract!B:M,12,FALSE),"")</f>
        <v/>
      </c>
      <c r="R5313" s="19"/>
      <c r="S5313" s="19"/>
    </row>
    <row r="5314" spans="1:19" x14ac:dyDescent="0.35">
      <c r="A5314" s="26" t="s">
        <v>543</v>
      </c>
      <c r="B5314" s="26" t="s">
        <v>543</v>
      </c>
      <c r="C5314" s="26"/>
      <c r="D5314" s="26" t="s">
        <v>543</v>
      </c>
      <c r="E5314" s="26" t="str">
        <f>IFERROR(VLOOKUP(G5314,WholesaleExtract!B:J,9,FALSE),"")</f>
        <v/>
      </c>
      <c r="F5314" s="26" t="str">
        <f>IFERROR(VLOOKUP(G5314,WholesaleExtract!B:J,6,FALSE),"")</f>
        <v/>
      </c>
      <c r="H5314" s="47" t="str">
        <f>IFERROR(VLOOKUP(G5314,WholesaleExtract!B:L,11,FALSE),"")</f>
        <v/>
      </c>
      <c r="I5314" s="26" t="str">
        <f>IFERROR(VLOOKUP(G5314,WholesaleExtract!B:O,8,FALSE),"")</f>
        <v/>
      </c>
      <c r="J5314" s="26" t="str">
        <f>IFERROR(VLOOKUP(G5314,WholesaleExtract!B:O,14,FALSE),"")</f>
        <v/>
      </c>
      <c r="K5314" s="26" t="str">
        <f>IFERROR(VLOOKUP(G5314,WholesaleExtract!B:K,10,FALSE),"")</f>
        <v/>
      </c>
      <c r="L5314" s="47" t="str">
        <f>IFERROR(VLOOKUP(G5314,WholesaleExtract!B:L,11,FALSE),"")</f>
        <v/>
      </c>
      <c r="M5314" s="47" t="str">
        <f>IFERROR(VLOOKUP(G5314,WholesaleExtract!B:M,12,FALSE),"")</f>
        <v/>
      </c>
      <c r="R5314" s="19"/>
      <c r="S5314" s="19"/>
    </row>
    <row r="5315" spans="1:19" x14ac:dyDescent="0.35">
      <c r="A5315" s="26" t="s">
        <v>543</v>
      </c>
      <c r="B5315" s="26" t="s">
        <v>543</v>
      </c>
      <c r="C5315" s="26"/>
      <c r="D5315" s="26" t="s">
        <v>543</v>
      </c>
      <c r="E5315" s="26" t="str">
        <f>IFERROR(VLOOKUP(G5315,WholesaleExtract!B:J,9,FALSE),"")</f>
        <v/>
      </c>
      <c r="F5315" s="26" t="str">
        <f>IFERROR(VLOOKUP(G5315,WholesaleExtract!B:J,6,FALSE),"")</f>
        <v/>
      </c>
      <c r="H5315" s="47" t="str">
        <f>IFERROR(VLOOKUP(G5315,WholesaleExtract!B:L,11,FALSE),"")</f>
        <v/>
      </c>
      <c r="I5315" s="26" t="str">
        <f>IFERROR(VLOOKUP(G5315,WholesaleExtract!B:O,8,FALSE),"")</f>
        <v/>
      </c>
      <c r="J5315" s="26" t="str">
        <f>IFERROR(VLOOKUP(G5315,WholesaleExtract!B:O,14,FALSE),"")</f>
        <v/>
      </c>
      <c r="K5315" s="26" t="str">
        <f>IFERROR(VLOOKUP(G5315,WholesaleExtract!B:K,10,FALSE),"")</f>
        <v/>
      </c>
      <c r="L5315" s="47" t="str">
        <f>IFERROR(VLOOKUP(G5315,WholesaleExtract!B:L,11,FALSE),"")</f>
        <v/>
      </c>
      <c r="M5315" s="47" t="str">
        <f>IFERROR(VLOOKUP(G5315,WholesaleExtract!B:M,12,FALSE),"")</f>
        <v/>
      </c>
      <c r="R5315" s="19"/>
      <c r="S5315" s="19"/>
    </row>
    <row r="5316" spans="1:19" x14ac:dyDescent="0.35">
      <c r="A5316" s="26" t="s">
        <v>543</v>
      </c>
      <c r="B5316" s="26" t="s">
        <v>543</v>
      </c>
      <c r="C5316" s="26"/>
      <c r="D5316" s="26" t="s">
        <v>543</v>
      </c>
      <c r="E5316" s="26" t="str">
        <f>IFERROR(VLOOKUP(G5316,WholesaleExtract!B:J,9,FALSE),"")</f>
        <v/>
      </c>
      <c r="F5316" s="26" t="str">
        <f>IFERROR(VLOOKUP(G5316,WholesaleExtract!B:J,6,FALSE),"")</f>
        <v/>
      </c>
      <c r="H5316" s="47" t="str">
        <f>IFERROR(VLOOKUP(G5316,WholesaleExtract!B:L,11,FALSE),"")</f>
        <v/>
      </c>
      <c r="I5316" s="26" t="str">
        <f>IFERROR(VLOOKUP(G5316,WholesaleExtract!B:O,8,FALSE),"")</f>
        <v/>
      </c>
      <c r="J5316" s="26" t="str">
        <f>IFERROR(VLOOKUP(G5316,WholesaleExtract!B:O,14,FALSE),"")</f>
        <v/>
      </c>
      <c r="K5316" s="26" t="str">
        <f>IFERROR(VLOOKUP(G5316,WholesaleExtract!B:K,10,FALSE),"")</f>
        <v/>
      </c>
      <c r="L5316" s="47" t="str">
        <f>IFERROR(VLOOKUP(G5316,WholesaleExtract!B:L,11,FALSE),"")</f>
        <v/>
      </c>
      <c r="M5316" s="47" t="str">
        <f>IFERROR(VLOOKUP(G5316,WholesaleExtract!B:M,12,FALSE),"")</f>
        <v/>
      </c>
      <c r="R5316" s="19"/>
      <c r="S5316" s="19"/>
    </row>
    <row r="5317" spans="1:19" x14ac:dyDescent="0.35">
      <c r="A5317" s="26" t="s">
        <v>543</v>
      </c>
      <c r="B5317" s="26" t="s">
        <v>543</v>
      </c>
      <c r="C5317" s="26"/>
      <c r="D5317" s="26" t="s">
        <v>543</v>
      </c>
      <c r="E5317" s="26" t="str">
        <f>IFERROR(VLOOKUP(G5317,WholesaleExtract!B:J,9,FALSE),"")</f>
        <v/>
      </c>
      <c r="F5317" s="26" t="str">
        <f>IFERROR(VLOOKUP(G5317,WholesaleExtract!B:J,6,FALSE),"")</f>
        <v/>
      </c>
      <c r="H5317" s="47" t="str">
        <f>IFERROR(VLOOKUP(G5317,WholesaleExtract!B:L,11,FALSE),"")</f>
        <v/>
      </c>
      <c r="I5317" s="26" t="str">
        <f>IFERROR(VLOOKUP(G5317,WholesaleExtract!B:O,8,FALSE),"")</f>
        <v/>
      </c>
      <c r="J5317" s="26" t="str">
        <f>IFERROR(VLOOKUP(G5317,WholesaleExtract!B:O,14,FALSE),"")</f>
        <v/>
      </c>
      <c r="K5317" s="26" t="str">
        <f>IFERROR(VLOOKUP(G5317,WholesaleExtract!B:K,10,FALSE),"")</f>
        <v/>
      </c>
      <c r="L5317" s="47" t="str">
        <f>IFERROR(VLOOKUP(G5317,WholesaleExtract!B:L,11,FALSE),"")</f>
        <v/>
      </c>
      <c r="M5317" s="47" t="str">
        <f>IFERROR(VLOOKUP(G5317,WholesaleExtract!B:M,12,FALSE),"")</f>
        <v/>
      </c>
      <c r="R5317" s="19"/>
      <c r="S5317" s="19"/>
    </row>
    <row r="5318" spans="1:19" x14ac:dyDescent="0.35">
      <c r="A5318" s="26" t="s">
        <v>543</v>
      </c>
      <c r="B5318" s="26" t="s">
        <v>543</v>
      </c>
      <c r="C5318" s="26"/>
      <c r="D5318" s="26" t="s">
        <v>543</v>
      </c>
      <c r="E5318" s="26" t="str">
        <f>IFERROR(VLOOKUP(G5318,WholesaleExtract!B:J,9,FALSE),"")</f>
        <v/>
      </c>
      <c r="F5318" s="26" t="str">
        <f>IFERROR(VLOOKUP(G5318,WholesaleExtract!B:J,6,FALSE),"")</f>
        <v/>
      </c>
      <c r="H5318" s="47" t="str">
        <f>IFERROR(VLOOKUP(G5318,WholesaleExtract!B:L,11,FALSE),"")</f>
        <v/>
      </c>
      <c r="I5318" s="26" t="str">
        <f>IFERROR(VLOOKUP(G5318,WholesaleExtract!B:O,8,FALSE),"")</f>
        <v/>
      </c>
      <c r="J5318" s="26" t="str">
        <f>IFERROR(VLOOKUP(G5318,WholesaleExtract!B:O,14,FALSE),"")</f>
        <v/>
      </c>
      <c r="K5318" s="26" t="str">
        <f>IFERROR(VLOOKUP(G5318,WholesaleExtract!B:K,10,FALSE),"")</f>
        <v/>
      </c>
      <c r="L5318" s="47" t="str">
        <f>IFERROR(VLOOKUP(G5318,WholesaleExtract!B:L,11,FALSE),"")</f>
        <v/>
      </c>
      <c r="M5318" s="47" t="str">
        <f>IFERROR(VLOOKUP(G5318,WholesaleExtract!B:M,12,FALSE),"")</f>
        <v/>
      </c>
      <c r="R5318" s="19"/>
      <c r="S5318" s="19"/>
    </row>
    <row r="5319" spans="1:19" x14ac:dyDescent="0.35">
      <c r="A5319" s="26" t="s">
        <v>543</v>
      </c>
      <c r="B5319" s="26" t="s">
        <v>543</v>
      </c>
      <c r="C5319" s="26"/>
      <c r="D5319" s="26" t="s">
        <v>543</v>
      </c>
      <c r="E5319" s="26" t="str">
        <f>IFERROR(VLOOKUP(G5319,WholesaleExtract!B:J,9,FALSE),"")</f>
        <v/>
      </c>
      <c r="F5319" s="26" t="str">
        <f>IFERROR(VLOOKUP(G5319,WholesaleExtract!B:J,6,FALSE),"")</f>
        <v/>
      </c>
      <c r="H5319" s="47" t="str">
        <f>IFERROR(VLOOKUP(G5319,WholesaleExtract!B:L,11,FALSE),"")</f>
        <v/>
      </c>
      <c r="I5319" s="26" t="str">
        <f>IFERROR(VLOOKUP(G5319,WholesaleExtract!B:O,8,FALSE),"")</f>
        <v/>
      </c>
      <c r="J5319" s="26" t="str">
        <f>IFERROR(VLOOKUP(G5319,WholesaleExtract!B:O,14,FALSE),"")</f>
        <v/>
      </c>
      <c r="K5319" s="26" t="str">
        <f>IFERROR(VLOOKUP(G5319,WholesaleExtract!B:K,10,FALSE),"")</f>
        <v/>
      </c>
      <c r="L5319" s="47" t="str">
        <f>IFERROR(VLOOKUP(G5319,WholesaleExtract!B:L,11,FALSE),"")</f>
        <v/>
      </c>
      <c r="M5319" s="47" t="str">
        <f>IFERROR(VLOOKUP(G5319,WholesaleExtract!B:M,12,FALSE),"")</f>
        <v/>
      </c>
      <c r="R5319" s="19"/>
      <c r="S5319" s="19"/>
    </row>
    <row r="5320" spans="1:19" x14ac:dyDescent="0.35">
      <c r="A5320" s="26" t="s">
        <v>543</v>
      </c>
      <c r="B5320" s="26" t="s">
        <v>543</v>
      </c>
      <c r="C5320" s="26"/>
      <c r="D5320" s="26" t="s">
        <v>543</v>
      </c>
      <c r="E5320" s="26" t="str">
        <f>IFERROR(VLOOKUP(G5320,WholesaleExtract!B:J,9,FALSE),"")</f>
        <v/>
      </c>
      <c r="F5320" s="26" t="str">
        <f>IFERROR(VLOOKUP(G5320,WholesaleExtract!B:J,6,FALSE),"")</f>
        <v/>
      </c>
      <c r="H5320" s="47" t="str">
        <f>IFERROR(VLOOKUP(G5320,WholesaleExtract!B:L,11,FALSE),"")</f>
        <v/>
      </c>
      <c r="I5320" s="26" t="str">
        <f>IFERROR(VLOOKUP(G5320,WholesaleExtract!B:O,8,FALSE),"")</f>
        <v/>
      </c>
      <c r="J5320" s="26" t="str">
        <f>IFERROR(VLOOKUP(G5320,WholesaleExtract!B:O,14,FALSE),"")</f>
        <v/>
      </c>
      <c r="K5320" s="26" t="str">
        <f>IFERROR(VLOOKUP(G5320,WholesaleExtract!B:K,10,FALSE),"")</f>
        <v/>
      </c>
      <c r="L5320" s="47" t="str">
        <f>IFERROR(VLOOKUP(G5320,WholesaleExtract!B:L,11,FALSE),"")</f>
        <v/>
      </c>
      <c r="M5320" s="47" t="str">
        <f>IFERROR(VLOOKUP(G5320,WholesaleExtract!B:M,12,FALSE),"")</f>
        <v/>
      </c>
      <c r="R5320" s="19"/>
      <c r="S5320" s="19"/>
    </row>
    <row r="5321" spans="1:19" x14ac:dyDescent="0.35">
      <c r="A5321" s="26" t="s">
        <v>543</v>
      </c>
      <c r="B5321" s="26" t="s">
        <v>543</v>
      </c>
      <c r="C5321" s="26"/>
      <c r="D5321" s="26" t="s">
        <v>543</v>
      </c>
      <c r="E5321" s="26" t="str">
        <f>IFERROR(VLOOKUP(G5321,WholesaleExtract!B:J,9,FALSE),"")</f>
        <v/>
      </c>
      <c r="F5321" s="26" t="str">
        <f>IFERROR(VLOOKUP(G5321,WholesaleExtract!B:J,6,FALSE),"")</f>
        <v/>
      </c>
      <c r="H5321" s="47" t="str">
        <f>IFERROR(VLOOKUP(G5321,WholesaleExtract!B:L,11,FALSE),"")</f>
        <v/>
      </c>
      <c r="I5321" s="26" t="str">
        <f>IFERROR(VLOOKUP(G5321,WholesaleExtract!B:O,8,FALSE),"")</f>
        <v/>
      </c>
      <c r="J5321" s="26" t="str">
        <f>IFERROR(VLOOKUP(G5321,WholesaleExtract!B:O,14,FALSE),"")</f>
        <v/>
      </c>
      <c r="K5321" s="26" t="str">
        <f>IFERROR(VLOOKUP(G5321,WholesaleExtract!B:K,10,FALSE),"")</f>
        <v/>
      </c>
      <c r="L5321" s="47" t="str">
        <f>IFERROR(VLOOKUP(G5321,WholesaleExtract!B:L,11,FALSE),"")</f>
        <v/>
      </c>
      <c r="M5321" s="47" t="str">
        <f>IFERROR(VLOOKUP(G5321,WholesaleExtract!B:M,12,FALSE),"")</f>
        <v/>
      </c>
      <c r="R5321" s="19"/>
      <c r="S5321" s="19"/>
    </row>
    <row r="5322" spans="1:19" x14ac:dyDescent="0.35">
      <c r="A5322" s="26" t="s">
        <v>543</v>
      </c>
      <c r="B5322" s="26" t="s">
        <v>543</v>
      </c>
      <c r="C5322" s="26"/>
      <c r="D5322" s="26" t="s">
        <v>543</v>
      </c>
      <c r="E5322" s="26" t="str">
        <f>IFERROR(VLOOKUP(G5322,WholesaleExtract!B:J,9,FALSE),"")</f>
        <v/>
      </c>
      <c r="F5322" s="26" t="str">
        <f>IFERROR(VLOOKUP(G5322,WholesaleExtract!B:J,6,FALSE),"")</f>
        <v/>
      </c>
      <c r="H5322" s="47" t="str">
        <f>IFERROR(VLOOKUP(G5322,WholesaleExtract!B:L,11,FALSE),"")</f>
        <v/>
      </c>
      <c r="I5322" s="26" t="str">
        <f>IFERROR(VLOOKUP(G5322,WholesaleExtract!B:O,8,FALSE),"")</f>
        <v/>
      </c>
      <c r="J5322" s="26" t="str">
        <f>IFERROR(VLOOKUP(G5322,WholesaleExtract!B:O,14,FALSE),"")</f>
        <v/>
      </c>
      <c r="K5322" s="26" t="str">
        <f>IFERROR(VLOOKUP(G5322,WholesaleExtract!B:K,10,FALSE),"")</f>
        <v/>
      </c>
      <c r="L5322" s="47" t="str">
        <f>IFERROR(VLOOKUP(G5322,WholesaleExtract!B:L,11,FALSE),"")</f>
        <v/>
      </c>
      <c r="M5322" s="47" t="str">
        <f>IFERROR(VLOOKUP(G5322,WholesaleExtract!B:M,12,FALSE),"")</f>
        <v/>
      </c>
      <c r="R5322" s="19"/>
      <c r="S5322" s="19"/>
    </row>
    <row r="5323" spans="1:19" x14ac:dyDescent="0.35">
      <c r="A5323" s="26" t="s">
        <v>543</v>
      </c>
      <c r="B5323" s="26" t="s">
        <v>543</v>
      </c>
      <c r="C5323" s="26"/>
      <c r="D5323" s="26" t="s">
        <v>543</v>
      </c>
      <c r="E5323" s="26" t="str">
        <f>IFERROR(VLOOKUP(G5323,WholesaleExtract!B:J,9,FALSE),"")</f>
        <v/>
      </c>
      <c r="F5323" s="26" t="str">
        <f>IFERROR(VLOOKUP(G5323,WholesaleExtract!B:J,6,FALSE),"")</f>
        <v/>
      </c>
      <c r="H5323" s="47" t="str">
        <f>IFERROR(VLOOKUP(G5323,WholesaleExtract!B:L,11,FALSE),"")</f>
        <v/>
      </c>
      <c r="I5323" s="26" t="str">
        <f>IFERROR(VLOOKUP(G5323,WholesaleExtract!B:O,8,FALSE),"")</f>
        <v/>
      </c>
      <c r="J5323" s="26" t="str">
        <f>IFERROR(VLOOKUP(G5323,WholesaleExtract!B:O,14,FALSE),"")</f>
        <v/>
      </c>
      <c r="K5323" s="26" t="str">
        <f>IFERROR(VLOOKUP(G5323,WholesaleExtract!B:K,10,FALSE),"")</f>
        <v/>
      </c>
      <c r="L5323" s="47" t="str">
        <f>IFERROR(VLOOKUP(G5323,WholesaleExtract!B:L,11,FALSE),"")</f>
        <v/>
      </c>
      <c r="M5323" s="47" t="str">
        <f>IFERROR(VLOOKUP(G5323,WholesaleExtract!B:M,12,FALSE),"")</f>
        <v/>
      </c>
      <c r="R5323" s="19"/>
      <c r="S5323" s="19"/>
    </row>
    <row r="5324" spans="1:19" x14ac:dyDescent="0.35">
      <c r="A5324" s="26" t="s">
        <v>543</v>
      </c>
      <c r="B5324" s="26" t="s">
        <v>543</v>
      </c>
      <c r="C5324" s="26"/>
      <c r="D5324" s="26" t="s">
        <v>543</v>
      </c>
      <c r="E5324" s="26" t="str">
        <f>IFERROR(VLOOKUP(G5324,WholesaleExtract!B:J,9,FALSE),"")</f>
        <v/>
      </c>
      <c r="F5324" s="26" t="str">
        <f>IFERROR(VLOOKUP(G5324,WholesaleExtract!B:J,6,FALSE),"")</f>
        <v/>
      </c>
      <c r="H5324" s="47" t="str">
        <f>IFERROR(VLOOKUP(G5324,WholesaleExtract!B:L,11,FALSE),"")</f>
        <v/>
      </c>
      <c r="I5324" s="26" t="str">
        <f>IFERROR(VLOOKUP(G5324,WholesaleExtract!B:O,8,FALSE),"")</f>
        <v/>
      </c>
      <c r="J5324" s="26" t="str">
        <f>IFERROR(VLOOKUP(G5324,WholesaleExtract!B:O,14,FALSE),"")</f>
        <v/>
      </c>
      <c r="K5324" s="26" t="str">
        <f>IFERROR(VLOOKUP(G5324,WholesaleExtract!B:K,10,FALSE),"")</f>
        <v/>
      </c>
      <c r="L5324" s="47" t="str">
        <f>IFERROR(VLOOKUP(G5324,WholesaleExtract!B:L,11,FALSE),"")</f>
        <v/>
      </c>
      <c r="M5324" s="47" t="str">
        <f>IFERROR(VLOOKUP(G5324,WholesaleExtract!B:M,12,FALSE),"")</f>
        <v/>
      </c>
      <c r="R5324" s="19"/>
      <c r="S5324" s="19"/>
    </row>
    <row r="5325" spans="1:19" x14ac:dyDescent="0.35">
      <c r="A5325" s="26" t="s">
        <v>543</v>
      </c>
      <c r="B5325" s="26" t="s">
        <v>543</v>
      </c>
      <c r="C5325" s="26"/>
      <c r="D5325" s="26" t="s">
        <v>543</v>
      </c>
      <c r="E5325" s="26" t="str">
        <f>IFERROR(VLOOKUP(G5325,WholesaleExtract!B:J,9,FALSE),"")</f>
        <v/>
      </c>
      <c r="F5325" s="26" t="str">
        <f>IFERROR(VLOOKUP(G5325,WholesaleExtract!B:J,6,FALSE),"")</f>
        <v/>
      </c>
      <c r="H5325" s="47" t="str">
        <f>IFERROR(VLOOKUP(G5325,WholesaleExtract!B:L,11,FALSE),"")</f>
        <v/>
      </c>
      <c r="I5325" s="26" t="str">
        <f>IFERROR(VLOOKUP(G5325,WholesaleExtract!B:O,8,FALSE),"")</f>
        <v/>
      </c>
      <c r="J5325" s="26" t="str">
        <f>IFERROR(VLOOKUP(G5325,WholesaleExtract!B:O,14,FALSE),"")</f>
        <v/>
      </c>
      <c r="K5325" s="26" t="str">
        <f>IFERROR(VLOOKUP(G5325,WholesaleExtract!B:K,10,FALSE),"")</f>
        <v/>
      </c>
      <c r="L5325" s="47" t="str">
        <f>IFERROR(VLOOKUP(G5325,WholesaleExtract!B:L,11,FALSE),"")</f>
        <v/>
      </c>
      <c r="M5325" s="47" t="str">
        <f>IFERROR(VLOOKUP(G5325,WholesaleExtract!B:M,12,FALSE),"")</f>
        <v/>
      </c>
      <c r="R5325" s="19"/>
      <c r="S5325" s="19"/>
    </row>
    <row r="5326" spans="1:19" x14ac:dyDescent="0.35">
      <c r="A5326" s="26" t="s">
        <v>543</v>
      </c>
      <c r="B5326" s="26" t="s">
        <v>543</v>
      </c>
      <c r="C5326" s="26"/>
      <c r="D5326" s="26" t="s">
        <v>543</v>
      </c>
      <c r="E5326" s="26" t="str">
        <f>IFERROR(VLOOKUP(G5326,WholesaleExtract!B:J,9,FALSE),"")</f>
        <v/>
      </c>
      <c r="F5326" s="26" t="str">
        <f>IFERROR(VLOOKUP(G5326,WholesaleExtract!B:J,6,FALSE),"")</f>
        <v/>
      </c>
      <c r="H5326" s="47" t="str">
        <f>IFERROR(VLOOKUP(G5326,WholesaleExtract!B:L,11,FALSE),"")</f>
        <v/>
      </c>
      <c r="I5326" s="26" t="str">
        <f>IFERROR(VLOOKUP(G5326,WholesaleExtract!B:O,8,FALSE),"")</f>
        <v/>
      </c>
      <c r="J5326" s="26" t="str">
        <f>IFERROR(VLOOKUP(G5326,WholesaleExtract!B:O,14,FALSE),"")</f>
        <v/>
      </c>
      <c r="K5326" s="26" t="str">
        <f>IFERROR(VLOOKUP(G5326,WholesaleExtract!B:K,10,FALSE),"")</f>
        <v/>
      </c>
      <c r="L5326" s="47" t="str">
        <f>IFERROR(VLOOKUP(G5326,WholesaleExtract!B:L,11,FALSE),"")</f>
        <v/>
      </c>
      <c r="M5326" s="47" t="str">
        <f>IFERROR(VLOOKUP(G5326,WholesaleExtract!B:M,12,FALSE),"")</f>
        <v/>
      </c>
      <c r="R5326" s="19"/>
      <c r="S5326" s="19"/>
    </row>
    <row r="5327" spans="1:19" x14ac:dyDescent="0.35">
      <c r="A5327" s="26" t="s">
        <v>543</v>
      </c>
      <c r="B5327" s="26" t="s">
        <v>543</v>
      </c>
      <c r="C5327" s="26"/>
      <c r="D5327" s="26" t="s">
        <v>543</v>
      </c>
      <c r="E5327" s="26" t="str">
        <f>IFERROR(VLOOKUP(G5327,WholesaleExtract!B:J,9,FALSE),"")</f>
        <v/>
      </c>
      <c r="F5327" s="26" t="str">
        <f>IFERROR(VLOOKUP(G5327,WholesaleExtract!B:J,6,FALSE),"")</f>
        <v/>
      </c>
      <c r="H5327" s="47" t="str">
        <f>IFERROR(VLOOKUP(G5327,WholesaleExtract!B:L,11,FALSE),"")</f>
        <v/>
      </c>
      <c r="I5327" s="26" t="str">
        <f>IFERROR(VLOOKUP(G5327,WholesaleExtract!B:O,8,FALSE),"")</f>
        <v/>
      </c>
      <c r="J5327" s="26" t="str">
        <f>IFERROR(VLOOKUP(G5327,WholesaleExtract!B:O,14,FALSE),"")</f>
        <v/>
      </c>
      <c r="K5327" s="26" t="str">
        <f>IFERROR(VLOOKUP(G5327,WholesaleExtract!B:K,10,FALSE),"")</f>
        <v/>
      </c>
      <c r="L5327" s="47" t="str">
        <f>IFERROR(VLOOKUP(G5327,WholesaleExtract!B:L,11,FALSE),"")</f>
        <v/>
      </c>
      <c r="M5327" s="47" t="str">
        <f>IFERROR(VLOOKUP(G5327,WholesaleExtract!B:M,12,FALSE),"")</f>
        <v/>
      </c>
      <c r="R5327" s="19"/>
      <c r="S5327" s="19"/>
    </row>
    <row r="5328" spans="1:19" x14ac:dyDescent="0.35">
      <c r="A5328" s="26" t="s">
        <v>543</v>
      </c>
      <c r="B5328" s="26" t="s">
        <v>543</v>
      </c>
      <c r="C5328" s="26"/>
      <c r="D5328" s="26" t="s">
        <v>543</v>
      </c>
      <c r="E5328" s="26" t="str">
        <f>IFERROR(VLOOKUP(G5328,WholesaleExtract!B:J,9,FALSE),"")</f>
        <v/>
      </c>
      <c r="F5328" s="26" t="str">
        <f>IFERROR(VLOOKUP(G5328,WholesaleExtract!B:J,6,FALSE),"")</f>
        <v/>
      </c>
      <c r="H5328" s="47" t="str">
        <f>IFERROR(VLOOKUP(G5328,WholesaleExtract!B:L,11,FALSE),"")</f>
        <v/>
      </c>
      <c r="I5328" s="26" t="str">
        <f>IFERROR(VLOOKUP(G5328,WholesaleExtract!B:O,8,FALSE),"")</f>
        <v/>
      </c>
      <c r="J5328" s="26" t="str">
        <f>IFERROR(VLOOKUP(G5328,WholesaleExtract!B:O,14,FALSE),"")</f>
        <v/>
      </c>
      <c r="K5328" s="26" t="str">
        <f>IFERROR(VLOOKUP(G5328,WholesaleExtract!B:K,10,FALSE),"")</f>
        <v/>
      </c>
      <c r="L5328" s="47" t="str">
        <f>IFERROR(VLOOKUP(G5328,WholesaleExtract!B:L,11,FALSE),"")</f>
        <v/>
      </c>
      <c r="M5328" s="47" t="str">
        <f>IFERROR(VLOOKUP(G5328,WholesaleExtract!B:M,12,FALSE),"")</f>
        <v/>
      </c>
      <c r="R5328" s="19"/>
      <c r="S5328" s="19"/>
    </row>
    <row r="5329" spans="1:19" x14ac:dyDescent="0.35">
      <c r="A5329" s="26" t="s">
        <v>543</v>
      </c>
      <c r="B5329" s="26" t="s">
        <v>543</v>
      </c>
      <c r="C5329" s="26"/>
      <c r="D5329" s="26" t="s">
        <v>543</v>
      </c>
      <c r="E5329" s="26" t="str">
        <f>IFERROR(VLOOKUP(G5329,WholesaleExtract!B:J,9,FALSE),"")</f>
        <v/>
      </c>
      <c r="F5329" s="26" t="str">
        <f>IFERROR(VLOOKUP(G5329,WholesaleExtract!B:J,6,FALSE),"")</f>
        <v/>
      </c>
      <c r="H5329" s="47" t="str">
        <f>IFERROR(VLOOKUP(G5329,WholesaleExtract!B:L,11,FALSE),"")</f>
        <v/>
      </c>
      <c r="I5329" s="26" t="str">
        <f>IFERROR(VLOOKUP(G5329,WholesaleExtract!B:O,8,FALSE),"")</f>
        <v/>
      </c>
      <c r="J5329" s="26" t="str">
        <f>IFERROR(VLOOKUP(G5329,WholesaleExtract!B:O,14,FALSE),"")</f>
        <v/>
      </c>
      <c r="K5329" s="26" t="str">
        <f>IFERROR(VLOOKUP(G5329,WholesaleExtract!B:K,10,FALSE),"")</f>
        <v/>
      </c>
      <c r="L5329" s="47" t="str">
        <f>IFERROR(VLOOKUP(G5329,WholesaleExtract!B:L,11,FALSE),"")</f>
        <v/>
      </c>
      <c r="M5329" s="47" t="str">
        <f>IFERROR(VLOOKUP(G5329,WholesaleExtract!B:M,12,FALSE),"")</f>
        <v/>
      </c>
      <c r="R5329" s="19"/>
      <c r="S5329" s="19"/>
    </row>
    <row r="5330" spans="1:19" x14ac:dyDescent="0.35">
      <c r="A5330" s="26" t="s">
        <v>543</v>
      </c>
      <c r="B5330" s="26" t="s">
        <v>543</v>
      </c>
      <c r="C5330" s="26"/>
      <c r="D5330" s="26" t="s">
        <v>543</v>
      </c>
      <c r="E5330" s="26" t="str">
        <f>IFERROR(VLOOKUP(G5330,WholesaleExtract!B:J,9,FALSE),"")</f>
        <v/>
      </c>
      <c r="F5330" s="26" t="str">
        <f>IFERROR(VLOOKUP(G5330,WholesaleExtract!B:J,6,FALSE),"")</f>
        <v/>
      </c>
      <c r="H5330" s="47" t="str">
        <f>IFERROR(VLOOKUP(G5330,WholesaleExtract!B:L,11,FALSE),"")</f>
        <v/>
      </c>
      <c r="I5330" s="26" t="str">
        <f>IFERROR(VLOOKUP(G5330,WholesaleExtract!B:O,8,FALSE),"")</f>
        <v/>
      </c>
      <c r="J5330" s="26" t="str">
        <f>IFERROR(VLOOKUP(G5330,WholesaleExtract!B:O,14,FALSE),"")</f>
        <v/>
      </c>
      <c r="K5330" s="26" t="str">
        <f>IFERROR(VLOOKUP(G5330,WholesaleExtract!B:K,10,FALSE),"")</f>
        <v/>
      </c>
      <c r="L5330" s="47" t="str">
        <f>IFERROR(VLOOKUP(G5330,WholesaleExtract!B:L,11,FALSE),"")</f>
        <v/>
      </c>
      <c r="M5330" s="47" t="str">
        <f>IFERROR(VLOOKUP(G5330,WholesaleExtract!B:M,12,FALSE),"")</f>
        <v/>
      </c>
      <c r="R5330" s="19"/>
      <c r="S5330" s="19"/>
    </row>
    <row r="5331" spans="1:19" x14ac:dyDescent="0.35">
      <c r="A5331" s="26" t="s">
        <v>543</v>
      </c>
      <c r="B5331" s="26" t="s">
        <v>543</v>
      </c>
      <c r="C5331" s="26"/>
      <c r="D5331" s="26" t="s">
        <v>543</v>
      </c>
      <c r="E5331" s="26" t="str">
        <f>IFERROR(VLOOKUP(G5331,WholesaleExtract!B:J,9,FALSE),"")</f>
        <v/>
      </c>
      <c r="F5331" s="26" t="str">
        <f>IFERROR(VLOOKUP(G5331,WholesaleExtract!B:J,6,FALSE),"")</f>
        <v/>
      </c>
      <c r="H5331" s="47" t="str">
        <f>IFERROR(VLOOKUP(G5331,WholesaleExtract!B:L,11,FALSE),"")</f>
        <v/>
      </c>
      <c r="I5331" s="26" t="str">
        <f>IFERROR(VLOOKUP(G5331,WholesaleExtract!B:O,8,FALSE),"")</f>
        <v/>
      </c>
      <c r="J5331" s="26" t="str">
        <f>IFERROR(VLOOKUP(G5331,WholesaleExtract!B:O,14,FALSE),"")</f>
        <v/>
      </c>
      <c r="K5331" s="26" t="str">
        <f>IFERROR(VLOOKUP(G5331,WholesaleExtract!B:K,10,FALSE),"")</f>
        <v/>
      </c>
      <c r="L5331" s="47" t="str">
        <f>IFERROR(VLOOKUP(G5331,WholesaleExtract!B:L,11,FALSE),"")</f>
        <v/>
      </c>
      <c r="M5331" s="47" t="str">
        <f>IFERROR(VLOOKUP(G5331,WholesaleExtract!B:M,12,FALSE),"")</f>
        <v/>
      </c>
      <c r="R5331" s="19"/>
      <c r="S5331" s="19"/>
    </row>
    <row r="5332" spans="1:19" x14ac:dyDescent="0.35">
      <c r="A5332" s="26" t="s">
        <v>543</v>
      </c>
      <c r="B5332" s="26" t="s">
        <v>543</v>
      </c>
      <c r="C5332" s="26"/>
      <c r="D5332" s="26" t="s">
        <v>543</v>
      </c>
      <c r="E5332" s="26" t="str">
        <f>IFERROR(VLOOKUP(G5332,WholesaleExtract!B:J,9,FALSE),"")</f>
        <v/>
      </c>
      <c r="F5332" s="26" t="str">
        <f>IFERROR(VLOOKUP(G5332,WholesaleExtract!B:J,6,FALSE),"")</f>
        <v/>
      </c>
      <c r="H5332" s="47" t="str">
        <f>IFERROR(VLOOKUP(G5332,WholesaleExtract!B:L,11,FALSE),"")</f>
        <v/>
      </c>
      <c r="I5332" s="26" t="str">
        <f>IFERROR(VLOOKUP(G5332,WholesaleExtract!B:O,8,FALSE),"")</f>
        <v/>
      </c>
      <c r="J5332" s="26" t="str">
        <f>IFERROR(VLOOKUP(G5332,WholesaleExtract!B:O,14,FALSE),"")</f>
        <v/>
      </c>
      <c r="K5332" s="26" t="str">
        <f>IFERROR(VLOOKUP(G5332,WholesaleExtract!B:K,10,FALSE),"")</f>
        <v/>
      </c>
      <c r="L5332" s="47" t="str">
        <f>IFERROR(VLOOKUP(G5332,WholesaleExtract!B:L,11,FALSE),"")</f>
        <v/>
      </c>
      <c r="M5332" s="47" t="str">
        <f>IFERROR(VLOOKUP(G5332,WholesaleExtract!B:M,12,FALSE),"")</f>
        <v/>
      </c>
      <c r="R5332" s="19"/>
      <c r="S5332" s="19"/>
    </row>
    <row r="5333" spans="1:19" x14ac:dyDescent="0.35">
      <c r="A5333" s="26" t="s">
        <v>543</v>
      </c>
      <c r="B5333" s="26" t="s">
        <v>543</v>
      </c>
      <c r="C5333" s="26"/>
      <c r="D5333" s="26" t="s">
        <v>543</v>
      </c>
      <c r="E5333" s="26" t="str">
        <f>IFERROR(VLOOKUP(G5333,WholesaleExtract!B:J,9,FALSE),"")</f>
        <v/>
      </c>
      <c r="F5333" s="26" t="str">
        <f>IFERROR(VLOOKUP(G5333,WholesaleExtract!B:J,6,FALSE),"")</f>
        <v/>
      </c>
      <c r="H5333" s="47" t="str">
        <f>IFERROR(VLOOKUP(G5333,WholesaleExtract!B:L,11,FALSE),"")</f>
        <v/>
      </c>
      <c r="I5333" s="26" t="str">
        <f>IFERROR(VLOOKUP(G5333,WholesaleExtract!B:O,8,FALSE),"")</f>
        <v/>
      </c>
      <c r="J5333" s="26" t="str">
        <f>IFERROR(VLOOKUP(G5333,WholesaleExtract!B:O,14,FALSE),"")</f>
        <v/>
      </c>
      <c r="K5333" s="26" t="str">
        <f>IFERROR(VLOOKUP(G5333,WholesaleExtract!B:K,10,FALSE),"")</f>
        <v/>
      </c>
      <c r="L5333" s="47" t="str">
        <f>IFERROR(VLOOKUP(G5333,WholesaleExtract!B:L,11,FALSE),"")</f>
        <v/>
      </c>
      <c r="M5333" s="47" t="str">
        <f>IFERROR(VLOOKUP(G5333,WholesaleExtract!B:M,12,FALSE),"")</f>
        <v/>
      </c>
      <c r="R5333" s="19"/>
      <c r="S5333" s="19"/>
    </row>
    <row r="5334" spans="1:19" x14ac:dyDescent="0.35">
      <c r="A5334" s="26" t="s">
        <v>543</v>
      </c>
      <c r="B5334" s="26" t="s">
        <v>543</v>
      </c>
      <c r="C5334" s="26"/>
      <c r="D5334" s="26" t="s">
        <v>543</v>
      </c>
      <c r="E5334" s="26" t="str">
        <f>IFERROR(VLOOKUP(G5334,WholesaleExtract!B:J,9,FALSE),"")</f>
        <v/>
      </c>
      <c r="F5334" s="26" t="str">
        <f>IFERROR(VLOOKUP(G5334,WholesaleExtract!B:J,6,FALSE),"")</f>
        <v/>
      </c>
      <c r="H5334" s="47" t="str">
        <f>IFERROR(VLOOKUP(G5334,WholesaleExtract!B:L,11,FALSE),"")</f>
        <v/>
      </c>
      <c r="I5334" s="26" t="str">
        <f>IFERROR(VLOOKUP(G5334,WholesaleExtract!B:O,8,FALSE),"")</f>
        <v/>
      </c>
      <c r="J5334" s="26" t="str">
        <f>IFERROR(VLOOKUP(G5334,WholesaleExtract!B:O,14,FALSE),"")</f>
        <v/>
      </c>
      <c r="K5334" s="26" t="str">
        <f>IFERROR(VLOOKUP(G5334,WholesaleExtract!B:K,10,FALSE),"")</f>
        <v/>
      </c>
      <c r="L5334" s="47" t="str">
        <f>IFERROR(VLOOKUP(G5334,WholesaleExtract!B:L,11,FALSE),"")</f>
        <v/>
      </c>
      <c r="M5334" s="47" t="str">
        <f>IFERROR(VLOOKUP(G5334,WholesaleExtract!B:M,12,FALSE),"")</f>
        <v/>
      </c>
      <c r="R5334" s="19"/>
      <c r="S5334" s="19"/>
    </row>
    <row r="5335" spans="1:19" x14ac:dyDescent="0.35">
      <c r="A5335" s="26" t="s">
        <v>543</v>
      </c>
      <c r="B5335" s="26" t="s">
        <v>543</v>
      </c>
      <c r="C5335" s="26"/>
      <c r="D5335" s="26" t="s">
        <v>543</v>
      </c>
      <c r="E5335" s="26" t="str">
        <f>IFERROR(VLOOKUP(G5335,WholesaleExtract!B:J,9,FALSE),"")</f>
        <v/>
      </c>
      <c r="F5335" s="26" t="str">
        <f>IFERROR(VLOOKUP(G5335,WholesaleExtract!B:J,6,FALSE),"")</f>
        <v/>
      </c>
      <c r="H5335" s="47" t="str">
        <f>IFERROR(VLOOKUP(G5335,WholesaleExtract!B:L,11,FALSE),"")</f>
        <v/>
      </c>
      <c r="I5335" s="26" t="str">
        <f>IFERROR(VLOOKUP(G5335,WholesaleExtract!B:O,8,FALSE),"")</f>
        <v/>
      </c>
      <c r="J5335" s="26" t="str">
        <f>IFERROR(VLOOKUP(G5335,WholesaleExtract!B:O,14,FALSE),"")</f>
        <v/>
      </c>
      <c r="K5335" s="26" t="str">
        <f>IFERROR(VLOOKUP(G5335,WholesaleExtract!B:K,10,FALSE),"")</f>
        <v/>
      </c>
      <c r="L5335" s="47" t="str">
        <f>IFERROR(VLOOKUP(G5335,WholesaleExtract!B:L,11,FALSE),"")</f>
        <v/>
      </c>
      <c r="M5335" s="47" t="str">
        <f>IFERROR(VLOOKUP(G5335,WholesaleExtract!B:M,12,FALSE),"")</f>
        <v/>
      </c>
      <c r="R5335" s="19"/>
      <c r="S5335" s="19"/>
    </row>
    <row r="5336" spans="1:19" x14ac:dyDescent="0.35">
      <c r="A5336" s="26" t="s">
        <v>543</v>
      </c>
      <c r="B5336" s="26" t="s">
        <v>543</v>
      </c>
      <c r="C5336" s="26"/>
      <c r="D5336" s="26" t="s">
        <v>543</v>
      </c>
      <c r="E5336" s="26" t="str">
        <f>IFERROR(VLOOKUP(G5336,WholesaleExtract!B:J,9,FALSE),"")</f>
        <v/>
      </c>
      <c r="F5336" s="26" t="str">
        <f>IFERROR(VLOOKUP(G5336,WholesaleExtract!B:J,6,FALSE),"")</f>
        <v/>
      </c>
      <c r="H5336" s="47" t="str">
        <f>IFERROR(VLOOKUP(G5336,WholesaleExtract!B:L,11,FALSE),"")</f>
        <v/>
      </c>
      <c r="I5336" s="26" t="str">
        <f>IFERROR(VLOOKUP(G5336,WholesaleExtract!B:O,8,FALSE),"")</f>
        <v/>
      </c>
      <c r="J5336" s="26" t="str">
        <f>IFERROR(VLOOKUP(G5336,WholesaleExtract!B:O,14,FALSE),"")</f>
        <v/>
      </c>
      <c r="K5336" s="26" t="str">
        <f>IFERROR(VLOOKUP(G5336,WholesaleExtract!B:K,10,FALSE),"")</f>
        <v/>
      </c>
      <c r="L5336" s="47" t="str">
        <f>IFERROR(VLOOKUP(G5336,WholesaleExtract!B:L,11,FALSE),"")</f>
        <v/>
      </c>
      <c r="M5336" s="47" t="str">
        <f>IFERROR(VLOOKUP(G5336,WholesaleExtract!B:M,12,FALSE),"")</f>
        <v/>
      </c>
      <c r="R5336" s="19"/>
      <c r="S5336" s="19"/>
    </row>
    <row r="5337" spans="1:19" x14ac:dyDescent="0.35">
      <c r="A5337" s="26" t="s">
        <v>543</v>
      </c>
      <c r="B5337" s="26" t="s">
        <v>543</v>
      </c>
      <c r="C5337" s="26"/>
      <c r="D5337" s="26" t="s">
        <v>543</v>
      </c>
      <c r="E5337" s="26" t="str">
        <f>IFERROR(VLOOKUP(G5337,WholesaleExtract!B:J,9,FALSE),"")</f>
        <v/>
      </c>
      <c r="F5337" s="26" t="str">
        <f>IFERROR(VLOOKUP(G5337,WholesaleExtract!B:J,6,FALSE),"")</f>
        <v/>
      </c>
      <c r="H5337" s="47" t="str">
        <f>IFERROR(VLOOKUP(G5337,WholesaleExtract!B:L,11,FALSE),"")</f>
        <v/>
      </c>
      <c r="I5337" s="26" t="str">
        <f>IFERROR(VLOOKUP(G5337,WholesaleExtract!B:O,8,FALSE),"")</f>
        <v/>
      </c>
      <c r="J5337" s="26" t="str">
        <f>IFERROR(VLOOKUP(G5337,WholesaleExtract!B:O,14,FALSE),"")</f>
        <v/>
      </c>
      <c r="K5337" s="26" t="str">
        <f>IFERROR(VLOOKUP(G5337,WholesaleExtract!B:K,10,FALSE),"")</f>
        <v/>
      </c>
      <c r="L5337" s="47" t="str">
        <f>IFERROR(VLOOKUP(G5337,WholesaleExtract!B:L,11,FALSE),"")</f>
        <v/>
      </c>
      <c r="M5337" s="47" t="str">
        <f>IFERROR(VLOOKUP(G5337,WholesaleExtract!B:M,12,FALSE),"")</f>
        <v/>
      </c>
      <c r="R5337" s="19"/>
      <c r="S5337" s="19"/>
    </row>
    <row r="5338" spans="1:19" x14ac:dyDescent="0.35">
      <c r="A5338" s="26" t="s">
        <v>543</v>
      </c>
      <c r="B5338" s="26" t="s">
        <v>543</v>
      </c>
      <c r="C5338" s="26"/>
      <c r="D5338" s="26" t="s">
        <v>543</v>
      </c>
      <c r="E5338" s="26" t="str">
        <f>IFERROR(VLOOKUP(G5338,WholesaleExtract!B:J,9,FALSE),"")</f>
        <v/>
      </c>
      <c r="F5338" s="26" t="str">
        <f>IFERROR(VLOOKUP(G5338,WholesaleExtract!B:J,6,FALSE),"")</f>
        <v/>
      </c>
      <c r="H5338" s="47" t="str">
        <f>IFERROR(VLOOKUP(G5338,WholesaleExtract!B:L,11,FALSE),"")</f>
        <v/>
      </c>
      <c r="I5338" s="26" t="str">
        <f>IFERROR(VLOOKUP(G5338,WholesaleExtract!B:O,8,FALSE),"")</f>
        <v/>
      </c>
      <c r="J5338" s="26" t="str">
        <f>IFERROR(VLOOKUP(G5338,WholesaleExtract!B:O,14,FALSE),"")</f>
        <v/>
      </c>
      <c r="K5338" s="26" t="str">
        <f>IFERROR(VLOOKUP(G5338,WholesaleExtract!B:K,10,FALSE),"")</f>
        <v/>
      </c>
      <c r="L5338" s="47" t="str">
        <f>IFERROR(VLOOKUP(G5338,WholesaleExtract!B:L,11,FALSE),"")</f>
        <v/>
      </c>
      <c r="M5338" s="47" t="str">
        <f>IFERROR(VLOOKUP(G5338,WholesaleExtract!B:M,12,FALSE),"")</f>
        <v/>
      </c>
      <c r="R5338" s="19"/>
      <c r="S5338" s="19"/>
    </row>
    <row r="5339" spans="1:19" x14ac:dyDescent="0.35">
      <c r="A5339" s="26" t="s">
        <v>543</v>
      </c>
      <c r="B5339" s="26" t="s">
        <v>543</v>
      </c>
      <c r="C5339" s="26"/>
      <c r="D5339" s="26" t="s">
        <v>543</v>
      </c>
      <c r="E5339" s="26" t="str">
        <f>IFERROR(VLOOKUP(G5339,WholesaleExtract!B:J,9,FALSE),"")</f>
        <v/>
      </c>
      <c r="F5339" s="26" t="str">
        <f>IFERROR(VLOOKUP(G5339,WholesaleExtract!B:J,6,FALSE),"")</f>
        <v/>
      </c>
      <c r="H5339" s="47" t="str">
        <f>IFERROR(VLOOKUP(G5339,WholesaleExtract!B:L,11,FALSE),"")</f>
        <v/>
      </c>
      <c r="I5339" s="26" t="str">
        <f>IFERROR(VLOOKUP(G5339,WholesaleExtract!B:O,8,FALSE),"")</f>
        <v/>
      </c>
      <c r="J5339" s="26" t="str">
        <f>IFERROR(VLOOKUP(G5339,WholesaleExtract!B:O,14,FALSE),"")</f>
        <v/>
      </c>
      <c r="K5339" s="26" t="str">
        <f>IFERROR(VLOOKUP(G5339,WholesaleExtract!B:K,10,FALSE),"")</f>
        <v/>
      </c>
      <c r="L5339" s="47" t="str">
        <f>IFERROR(VLOOKUP(G5339,WholesaleExtract!B:L,11,FALSE),"")</f>
        <v/>
      </c>
      <c r="M5339" s="47" t="str">
        <f>IFERROR(VLOOKUP(G5339,WholesaleExtract!B:M,12,FALSE),"")</f>
        <v/>
      </c>
      <c r="R5339" s="19"/>
      <c r="S5339" s="19"/>
    </row>
    <row r="5340" spans="1:19" x14ac:dyDescent="0.35">
      <c r="A5340" s="26" t="s">
        <v>543</v>
      </c>
      <c r="B5340" s="26" t="s">
        <v>543</v>
      </c>
      <c r="C5340" s="26"/>
      <c r="D5340" s="26" t="s">
        <v>543</v>
      </c>
      <c r="E5340" s="26" t="str">
        <f>IFERROR(VLOOKUP(G5340,WholesaleExtract!B:J,9,FALSE),"")</f>
        <v/>
      </c>
      <c r="F5340" s="26" t="str">
        <f>IFERROR(VLOOKUP(G5340,WholesaleExtract!B:J,6,FALSE),"")</f>
        <v/>
      </c>
      <c r="H5340" s="47" t="str">
        <f>IFERROR(VLOOKUP(G5340,WholesaleExtract!B:L,11,FALSE),"")</f>
        <v/>
      </c>
      <c r="I5340" s="26" t="str">
        <f>IFERROR(VLOOKUP(G5340,WholesaleExtract!B:O,8,FALSE),"")</f>
        <v/>
      </c>
      <c r="J5340" s="26" t="str">
        <f>IFERROR(VLOOKUP(G5340,WholesaleExtract!B:O,14,FALSE),"")</f>
        <v/>
      </c>
      <c r="K5340" s="26" t="str">
        <f>IFERROR(VLOOKUP(G5340,WholesaleExtract!B:K,10,FALSE),"")</f>
        <v/>
      </c>
      <c r="L5340" s="47" t="str">
        <f>IFERROR(VLOOKUP(G5340,WholesaleExtract!B:L,11,FALSE),"")</f>
        <v/>
      </c>
      <c r="M5340" s="47" t="str">
        <f>IFERROR(VLOOKUP(G5340,WholesaleExtract!B:M,12,FALSE),"")</f>
        <v/>
      </c>
      <c r="R5340" s="19"/>
      <c r="S5340" s="19"/>
    </row>
    <row r="5341" spans="1:19" x14ac:dyDescent="0.35">
      <c r="A5341" s="26" t="s">
        <v>543</v>
      </c>
      <c r="B5341" s="26" t="s">
        <v>543</v>
      </c>
      <c r="C5341" s="26"/>
      <c r="D5341" s="26" t="s">
        <v>543</v>
      </c>
      <c r="E5341" s="26" t="str">
        <f>IFERROR(VLOOKUP(G5341,WholesaleExtract!B:J,9,FALSE),"")</f>
        <v/>
      </c>
      <c r="F5341" s="26" t="str">
        <f>IFERROR(VLOOKUP(G5341,WholesaleExtract!B:J,6,FALSE),"")</f>
        <v/>
      </c>
      <c r="H5341" s="47" t="str">
        <f>IFERROR(VLOOKUP(G5341,WholesaleExtract!B:L,11,FALSE),"")</f>
        <v/>
      </c>
      <c r="I5341" s="26" t="str">
        <f>IFERROR(VLOOKUP(G5341,WholesaleExtract!B:O,8,FALSE),"")</f>
        <v/>
      </c>
      <c r="J5341" s="26" t="str">
        <f>IFERROR(VLOOKUP(G5341,WholesaleExtract!B:O,14,FALSE),"")</f>
        <v/>
      </c>
      <c r="K5341" s="26" t="str">
        <f>IFERROR(VLOOKUP(G5341,WholesaleExtract!B:K,10,FALSE),"")</f>
        <v/>
      </c>
      <c r="L5341" s="47" t="str">
        <f>IFERROR(VLOOKUP(G5341,WholesaleExtract!B:L,11,FALSE),"")</f>
        <v/>
      </c>
      <c r="M5341" s="47" t="str">
        <f>IFERROR(VLOOKUP(G5341,WholesaleExtract!B:M,12,FALSE),"")</f>
        <v/>
      </c>
      <c r="R5341" s="19"/>
      <c r="S5341" s="19"/>
    </row>
    <row r="5342" spans="1:19" x14ac:dyDescent="0.35">
      <c r="A5342" s="26" t="s">
        <v>543</v>
      </c>
      <c r="B5342" s="26" t="s">
        <v>543</v>
      </c>
      <c r="C5342" s="26"/>
      <c r="D5342" s="26" t="s">
        <v>543</v>
      </c>
      <c r="E5342" s="26" t="str">
        <f>IFERROR(VLOOKUP(G5342,WholesaleExtract!B:J,9,FALSE),"")</f>
        <v/>
      </c>
      <c r="F5342" s="26" t="str">
        <f>IFERROR(VLOOKUP(G5342,WholesaleExtract!B:J,6,FALSE),"")</f>
        <v/>
      </c>
      <c r="H5342" s="47" t="str">
        <f>IFERROR(VLOOKUP(G5342,WholesaleExtract!B:L,11,FALSE),"")</f>
        <v/>
      </c>
      <c r="I5342" s="26" t="str">
        <f>IFERROR(VLOOKUP(G5342,WholesaleExtract!B:O,8,FALSE),"")</f>
        <v/>
      </c>
      <c r="J5342" s="26" t="str">
        <f>IFERROR(VLOOKUP(G5342,WholesaleExtract!B:O,14,FALSE),"")</f>
        <v/>
      </c>
      <c r="K5342" s="26" t="str">
        <f>IFERROR(VLOOKUP(G5342,WholesaleExtract!B:K,10,FALSE),"")</f>
        <v/>
      </c>
      <c r="L5342" s="47" t="str">
        <f>IFERROR(VLOOKUP(G5342,WholesaleExtract!B:L,11,FALSE),"")</f>
        <v/>
      </c>
      <c r="M5342" s="47" t="str">
        <f>IFERROR(VLOOKUP(G5342,WholesaleExtract!B:M,12,FALSE),"")</f>
        <v/>
      </c>
      <c r="R5342" s="19"/>
      <c r="S5342" s="19"/>
    </row>
    <row r="5343" spans="1:19" x14ac:dyDescent="0.35">
      <c r="A5343" s="26" t="s">
        <v>543</v>
      </c>
      <c r="B5343" s="26" t="s">
        <v>543</v>
      </c>
      <c r="C5343" s="26"/>
      <c r="D5343" s="26" t="s">
        <v>543</v>
      </c>
      <c r="E5343" s="26" t="str">
        <f>IFERROR(VLOOKUP(G5343,WholesaleExtract!B:J,9,FALSE),"")</f>
        <v/>
      </c>
      <c r="F5343" s="26" t="str">
        <f>IFERROR(VLOOKUP(G5343,WholesaleExtract!B:J,6,FALSE),"")</f>
        <v/>
      </c>
      <c r="H5343" s="47" t="str">
        <f>IFERROR(VLOOKUP(G5343,WholesaleExtract!B:L,11,FALSE),"")</f>
        <v/>
      </c>
      <c r="I5343" s="26" t="str">
        <f>IFERROR(VLOOKUP(G5343,WholesaleExtract!B:O,8,FALSE),"")</f>
        <v/>
      </c>
      <c r="J5343" s="26" t="str">
        <f>IFERROR(VLOOKUP(G5343,WholesaleExtract!B:O,14,FALSE),"")</f>
        <v/>
      </c>
      <c r="K5343" s="26" t="str">
        <f>IFERROR(VLOOKUP(G5343,WholesaleExtract!B:K,10,FALSE),"")</f>
        <v/>
      </c>
      <c r="L5343" s="47" t="str">
        <f>IFERROR(VLOOKUP(G5343,WholesaleExtract!B:L,11,FALSE),"")</f>
        <v/>
      </c>
      <c r="M5343" s="47" t="str">
        <f>IFERROR(VLOOKUP(G5343,WholesaleExtract!B:M,12,FALSE),"")</f>
        <v/>
      </c>
      <c r="R5343" s="19"/>
      <c r="S5343" s="19"/>
    </row>
    <row r="5344" spans="1:19" x14ac:dyDescent="0.35">
      <c r="A5344" s="26" t="s">
        <v>543</v>
      </c>
      <c r="B5344" s="26" t="s">
        <v>543</v>
      </c>
      <c r="C5344" s="26"/>
      <c r="D5344" s="26" t="s">
        <v>543</v>
      </c>
      <c r="E5344" s="26" t="str">
        <f>IFERROR(VLOOKUP(G5344,WholesaleExtract!B:J,9,FALSE),"")</f>
        <v/>
      </c>
      <c r="F5344" s="26" t="str">
        <f>IFERROR(VLOOKUP(G5344,WholesaleExtract!B:J,6,FALSE),"")</f>
        <v/>
      </c>
      <c r="H5344" s="47" t="str">
        <f>IFERROR(VLOOKUP(G5344,WholesaleExtract!B:L,11,FALSE),"")</f>
        <v/>
      </c>
      <c r="I5344" s="26" t="str">
        <f>IFERROR(VLOOKUP(G5344,WholesaleExtract!B:O,8,FALSE),"")</f>
        <v/>
      </c>
      <c r="J5344" s="26" t="str">
        <f>IFERROR(VLOOKUP(G5344,WholesaleExtract!B:O,14,FALSE),"")</f>
        <v/>
      </c>
      <c r="K5344" s="26" t="str">
        <f>IFERROR(VLOOKUP(G5344,WholesaleExtract!B:K,10,FALSE),"")</f>
        <v/>
      </c>
      <c r="L5344" s="47" t="str">
        <f>IFERROR(VLOOKUP(G5344,WholesaleExtract!B:L,11,FALSE),"")</f>
        <v/>
      </c>
      <c r="M5344" s="47" t="str">
        <f>IFERROR(VLOOKUP(G5344,WholesaleExtract!B:M,12,FALSE),"")</f>
        <v/>
      </c>
      <c r="R5344" s="19"/>
      <c r="S5344" s="19"/>
    </row>
    <row r="5345" spans="1:19" x14ac:dyDescent="0.35">
      <c r="A5345" s="26" t="s">
        <v>543</v>
      </c>
      <c r="B5345" s="26" t="s">
        <v>543</v>
      </c>
      <c r="C5345" s="26"/>
      <c r="D5345" s="26" t="s">
        <v>543</v>
      </c>
      <c r="E5345" s="26" t="str">
        <f>IFERROR(VLOOKUP(G5345,WholesaleExtract!B:J,9,FALSE),"")</f>
        <v/>
      </c>
      <c r="F5345" s="26" t="str">
        <f>IFERROR(VLOOKUP(G5345,WholesaleExtract!B:J,6,FALSE),"")</f>
        <v/>
      </c>
      <c r="H5345" s="47" t="str">
        <f>IFERROR(VLOOKUP(G5345,WholesaleExtract!B:L,11,FALSE),"")</f>
        <v/>
      </c>
      <c r="I5345" s="26" t="str">
        <f>IFERROR(VLOOKUP(G5345,WholesaleExtract!B:O,8,FALSE),"")</f>
        <v/>
      </c>
      <c r="J5345" s="26" t="str">
        <f>IFERROR(VLOOKUP(G5345,WholesaleExtract!B:O,14,FALSE),"")</f>
        <v/>
      </c>
      <c r="K5345" s="26" t="str">
        <f>IFERROR(VLOOKUP(G5345,WholesaleExtract!B:K,10,FALSE),"")</f>
        <v/>
      </c>
      <c r="L5345" s="47" t="str">
        <f>IFERROR(VLOOKUP(G5345,WholesaleExtract!B:L,11,FALSE),"")</f>
        <v/>
      </c>
      <c r="M5345" s="47" t="str">
        <f>IFERROR(VLOOKUP(G5345,WholesaleExtract!B:M,12,FALSE),"")</f>
        <v/>
      </c>
      <c r="R5345" s="19"/>
      <c r="S5345" s="19"/>
    </row>
    <row r="5346" spans="1:19" x14ac:dyDescent="0.35">
      <c r="A5346" s="26" t="s">
        <v>543</v>
      </c>
      <c r="B5346" s="26" t="s">
        <v>543</v>
      </c>
      <c r="C5346" s="26"/>
      <c r="D5346" s="26" t="s">
        <v>543</v>
      </c>
      <c r="E5346" s="26" t="str">
        <f>IFERROR(VLOOKUP(G5346,WholesaleExtract!B:J,9,FALSE),"")</f>
        <v/>
      </c>
      <c r="F5346" s="26" t="str">
        <f>IFERROR(VLOOKUP(G5346,WholesaleExtract!B:J,6,FALSE),"")</f>
        <v/>
      </c>
      <c r="H5346" s="47" t="str">
        <f>IFERROR(VLOOKUP(G5346,WholesaleExtract!B:L,11,FALSE),"")</f>
        <v/>
      </c>
      <c r="I5346" s="26" t="str">
        <f>IFERROR(VLOOKUP(G5346,WholesaleExtract!B:O,8,FALSE),"")</f>
        <v/>
      </c>
      <c r="J5346" s="26" t="str">
        <f>IFERROR(VLOOKUP(G5346,WholesaleExtract!B:O,14,FALSE),"")</f>
        <v/>
      </c>
      <c r="K5346" s="26" t="str">
        <f>IFERROR(VLOOKUP(G5346,WholesaleExtract!B:K,10,FALSE),"")</f>
        <v/>
      </c>
      <c r="L5346" s="47" t="str">
        <f>IFERROR(VLOOKUP(G5346,WholesaleExtract!B:L,11,FALSE),"")</f>
        <v/>
      </c>
      <c r="M5346" s="47" t="str">
        <f>IFERROR(VLOOKUP(G5346,WholesaleExtract!B:M,12,FALSE),"")</f>
        <v/>
      </c>
      <c r="R5346" s="19"/>
      <c r="S5346" s="19"/>
    </row>
    <row r="5347" spans="1:19" x14ac:dyDescent="0.35">
      <c r="A5347" s="26" t="s">
        <v>543</v>
      </c>
      <c r="B5347" s="26" t="s">
        <v>543</v>
      </c>
      <c r="C5347" s="26"/>
      <c r="D5347" s="26" t="s">
        <v>543</v>
      </c>
      <c r="E5347" s="26" t="str">
        <f>IFERROR(VLOOKUP(G5347,WholesaleExtract!B:J,9,FALSE),"")</f>
        <v/>
      </c>
      <c r="F5347" s="26" t="str">
        <f>IFERROR(VLOOKUP(G5347,WholesaleExtract!B:J,6,FALSE),"")</f>
        <v/>
      </c>
      <c r="H5347" s="47" t="str">
        <f>IFERROR(VLOOKUP(G5347,WholesaleExtract!B:L,11,FALSE),"")</f>
        <v/>
      </c>
      <c r="I5347" s="26" t="str">
        <f>IFERROR(VLOOKUP(G5347,WholesaleExtract!B:O,8,FALSE),"")</f>
        <v/>
      </c>
      <c r="J5347" s="26" t="str">
        <f>IFERROR(VLOOKUP(G5347,WholesaleExtract!B:O,14,FALSE),"")</f>
        <v/>
      </c>
      <c r="K5347" s="26" t="str">
        <f>IFERROR(VLOOKUP(G5347,WholesaleExtract!B:K,10,FALSE),"")</f>
        <v/>
      </c>
      <c r="L5347" s="47" t="str">
        <f>IFERROR(VLOOKUP(G5347,WholesaleExtract!B:L,11,FALSE),"")</f>
        <v/>
      </c>
      <c r="M5347" s="47" t="str">
        <f>IFERROR(VLOOKUP(G5347,WholesaleExtract!B:M,12,FALSE),"")</f>
        <v/>
      </c>
      <c r="R5347" s="19"/>
      <c r="S5347" s="19"/>
    </row>
    <row r="5348" spans="1:19" x14ac:dyDescent="0.35">
      <c r="A5348" s="26" t="s">
        <v>543</v>
      </c>
      <c r="B5348" s="26" t="s">
        <v>543</v>
      </c>
      <c r="C5348" s="26"/>
      <c r="D5348" s="26" t="s">
        <v>543</v>
      </c>
      <c r="E5348" s="26" t="str">
        <f>IFERROR(VLOOKUP(G5348,WholesaleExtract!B:J,9,FALSE),"")</f>
        <v/>
      </c>
      <c r="F5348" s="26" t="str">
        <f>IFERROR(VLOOKUP(G5348,WholesaleExtract!B:J,6,FALSE),"")</f>
        <v/>
      </c>
      <c r="H5348" s="47" t="str">
        <f>IFERROR(VLOOKUP(G5348,WholesaleExtract!B:L,11,FALSE),"")</f>
        <v/>
      </c>
      <c r="I5348" s="26" t="str">
        <f>IFERROR(VLOOKUP(G5348,WholesaleExtract!B:O,8,FALSE),"")</f>
        <v/>
      </c>
      <c r="J5348" s="26" t="str">
        <f>IFERROR(VLOOKUP(G5348,WholesaleExtract!B:O,14,FALSE),"")</f>
        <v/>
      </c>
      <c r="K5348" s="26" t="str">
        <f>IFERROR(VLOOKUP(G5348,WholesaleExtract!B:K,10,FALSE),"")</f>
        <v/>
      </c>
      <c r="L5348" s="47" t="str">
        <f>IFERROR(VLOOKUP(G5348,WholesaleExtract!B:L,11,FALSE),"")</f>
        <v/>
      </c>
      <c r="M5348" s="47" t="str">
        <f>IFERROR(VLOOKUP(G5348,WholesaleExtract!B:M,12,FALSE),"")</f>
        <v/>
      </c>
      <c r="R5348" s="19"/>
      <c r="S5348" s="19"/>
    </row>
    <row r="5349" spans="1:19" x14ac:dyDescent="0.35">
      <c r="A5349" s="26" t="s">
        <v>543</v>
      </c>
      <c r="B5349" s="26" t="s">
        <v>543</v>
      </c>
      <c r="C5349" s="26"/>
      <c r="D5349" s="26" t="s">
        <v>543</v>
      </c>
      <c r="E5349" s="26" t="str">
        <f>IFERROR(VLOOKUP(G5349,WholesaleExtract!B:J,9,FALSE),"")</f>
        <v/>
      </c>
      <c r="F5349" s="26" t="str">
        <f>IFERROR(VLOOKUP(G5349,WholesaleExtract!B:J,6,FALSE),"")</f>
        <v/>
      </c>
      <c r="H5349" s="47" t="str">
        <f>IFERROR(VLOOKUP(G5349,WholesaleExtract!B:L,11,FALSE),"")</f>
        <v/>
      </c>
      <c r="I5349" s="26" t="str">
        <f>IFERROR(VLOOKUP(G5349,WholesaleExtract!B:O,8,FALSE),"")</f>
        <v/>
      </c>
      <c r="J5349" s="26" t="str">
        <f>IFERROR(VLOOKUP(G5349,WholesaleExtract!B:O,14,FALSE),"")</f>
        <v/>
      </c>
      <c r="K5349" s="26" t="str">
        <f>IFERROR(VLOOKUP(G5349,WholesaleExtract!B:K,10,FALSE),"")</f>
        <v/>
      </c>
      <c r="L5349" s="47" t="str">
        <f>IFERROR(VLOOKUP(G5349,WholesaleExtract!B:L,11,FALSE),"")</f>
        <v/>
      </c>
      <c r="M5349" s="47" t="str">
        <f>IFERROR(VLOOKUP(G5349,WholesaleExtract!B:M,12,FALSE),"")</f>
        <v/>
      </c>
      <c r="R5349" s="19"/>
      <c r="S5349" s="19"/>
    </row>
    <row r="5350" spans="1:19" x14ac:dyDescent="0.35">
      <c r="A5350" s="26" t="s">
        <v>543</v>
      </c>
      <c r="B5350" s="26" t="s">
        <v>543</v>
      </c>
      <c r="C5350" s="26"/>
      <c r="D5350" s="26" t="s">
        <v>543</v>
      </c>
      <c r="E5350" s="26" t="str">
        <f>IFERROR(VLOOKUP(G5350,WholesaleExtract!B:J,9,FALSE),"")</f>
        <v/>
      </c>
      <c r="F5350" s="26" t="str">
        <f>IFERROR(VLOOKUP(G5350,WholesaleExtract!B:J,6,FALSE),"")</f>
        <v/>
      </c>
      <c r="H5350" s="47" t="str">
        <f>IFERROR(VLOOKUP(G5350,WholesaleExtract!B:L,11,FALSE),"")</f>
        <v/>
      </c>
      <c r="I5350" s="26" t="str">
        <f>IFERROR(VLOOKUP(G5350,WholesaleExtract!B:O,8,FALSE),"")</f>
        <v/>
      </c>
      <c r="J5350" s="26" t="str">
        <f>IFERROR(VLOOKUP(G5350,WholesaleExtract!B:O,14,FALSE),"")</f>
        <v/>
      </c>
      <c r="K5350" s="26" t="str">
        <f>IFERROR(VLOOKUP(G5350,WholesaleExtract!B:K,10,FALSE),"")</f>
        <v/>
      </c>
      <c r="L5350" s="47" t="str">
        <f>IFERROR(VLOOKUP(G5350,WholesaleExtract!B:L,11,FALSE),"")</f>
        <v/>
      </c>
      <c r="M5350" s="47" t="str">
        <f>IFERROR(VLOOKUP(G5350,WholesaleExtract!B:M,12,FALSE),"")</f>
        <v/>
      </c>
      <c r="R5350" s="19"/>
      <c r="S5350" s="19"/>
    </row>
    <row r="5351" spans="1:19" x14ac:dyDescent="0.35">
      <c r="A5351" s="26" t="s">
        <v>543</v>
      </c>
      <c r="B5351" s="26" t="s">
        <v>543</v>
      </c>
      <c r="C5351" s="26"/>
      <c r="D5351" s="26" t="s">
        <v>543</v>
      </c>
      <c r="E5351" s="26" t="str">
        <f>IFERROR(VLOOKUP(G5351,WholesaleExtract!B:J,9,FALSE),"")</f>
        <v/>
      </c>
      <c r="F5351" s="26" t="str">
        <f>IFERROR(VLOOKUP(G5351,WholesaleExtract!B:J,6,FALSE),"")</f>
        <v/>
      </c>
      <c r="H5351" s="47" t="str">
        <f>IFERROR(VLOOKUP(G5351,WholesaleExtract!B:L,11,FALSE),"")</f>
        <v/>
      </c>
      <c r="I5351" s="26" t="str">
        <f>IFERROR(VLOOKUP(G5351,WholesaleExtract!B:O,8,FALSE),"")</f>
        <v/>
      </c>
      <c r="J5351" s="26" t="str">
        <f>IFERROR(VLOOKUP(G5351,WholesaleExtract!B:O,14,FALSE),"")</f>
        <v/>
      </c>
      <c r="K5351" s="26" t="str">
        <f>IFERROR(VLOOKUP(G5351,WholesaleExtract!B:K,10,FALSE),"")</f>
        <v/>
      </c>
      <c r="L5351" s="47" t="str">
        <f>IFERROR(VLOOKUP(G5351,WholesaleExtract!B:L,11,FALSE),"")</f>
        <v/>
      </c>
      <c r="M5351" s="47" t="str">
        <f>IFERROR(VLOOKUP(G5351,WholesaleExtract!B:M,12,FALSE),"")</f>
        <v/>
      </c>
      <c r="R5351" s="19"/>
      <c r="S5351" s="19"/>
    </row>
    <row r="5352" spans="1:19" x14ac:dyDescent="0.35">
      <c r="A5352" s="26" t="s">
        <v>543</v>
      </c>
      <c r="B5352" s="26" t="s">
        <v>543</v>
      </c>
      <c r="C5352" s="26"/>
      <c r="D5352" s="26" t="s">
        <v>543</v>
      </c>
      <c r="E5352" s="26" t="str">
        <f>IFERROR(VLOOKUP(G5352,WholesaleExtract!B:J,9,FALSE),"")</f>
        <v/>
      </c>
      <c r="F5352" s="26" t="str">
        <f>IFERROR(VLOOKUP(G5352,WholesaleExtract!B:J,6,FALSE),"")</f>
        <v/>
      </c>
      <c r="H5352" s="47" t="str">
        <f>IFERROR(VLOOKUP(G5352,WholesaleExtract!B:L,11,FALSE),"")</f>
        <v/>
      </c>
      <c r="I5352" s="26" t="str">
        <f>IFERROR(VLOOKUP(G5352,WholesaleExtract!B:O,8,FALSE),"")</f>
        <v/>
      </c>
      <c r="J5352" s="26" t="str">
        <f>IFERROR(VLOOKUP(G5352,WholesaleExtract!B:O,14,FALSE),"")</f>
        <v/>
      </c>
      <c r="K5352" s="26" t="str">
        <f>IFERROR(VLOOKUP(G5352,WholesaleExtract!B:K,10,FALSE),"")</f>
        <v/>
      </c>
      <c r="L5352" s="47" t="str">
        <f>IFERROR(VLOOKUP(G5352,WholesaleExtract!B:L,11,FALSE),"")</f>
        <v/>
      </c>
      <c r="M5352" s="47" t="str">
        <f>IFERROR(VLOOKUP(G5352,WholesaleExtract!B:M,12,FALSE),"")</f>
        <v/>
      </c>
      <c r="R5352" s="19"/>
      <c r="S5352" s="19"/>
    </row>
    <row r="5353" spans="1:19" x14ac:dyDescent="0.35">
      <c r="A5353" s="26" t="s">
        <v>543</v>
      </c>
      <c r="B5353" s="26" t="s">
        <v>543</v>
      </c>
      <c r="C5353" s="26"/>
      <c r="D5353" s="26" t="s">
        <v>543</v>
      </c>
      <c r="E5353" s="26" t="str">
        <f>IFERROR(VLOOKUP(G5353,WholesaleExtract!B:J,9,FALSE),"")</f>
        <v/>
      </c>
      <c r="F5353" s="26" t="str">
        <f>IFERROR(VLOOKUP(G5353,WholesaleExtract!B:J,6,FALSE),"")</f>
        <v/>
      </c>
      <c r="H5353" s="47" t="str">
        <f>IFERROR(VLOOKUP(G5353,WholesaleExtract!B:L,11,FALSE),"")</f>
        <v/>
      </c>
      <c r="I5353" s="26" t="str">
        <f>IFERROR(VLOOKUP(G5353,WholesaleExtract!B:O,8,FALSE),"")</f>
        <v/>
      </c>
      <c r="J5353" s="26" t="str">
        <f>IFERROR(VLOOKUP(G5353,WholesaleExtract!B:O,14,FALSE),"")</f>
        <v/>
      </c>
      <c r="K5353" s="26" t="str">
        <f>IFERROR(VLOOKUP(G5353,WholesaleExtract!B:K,10,FALSE),"")</f>
        <v/>
      </c>
      <c r="L5353" s="47" t="str">
        <f>IFERROR(VLOOKUP(G5353,WholesaleExtract!B:L,11,FALSE),"")</f>
        <v/>
      </c>
      <c r="M5353" s="47" t="str">
        <f>IFERROR(VLOOKUP(G5353,WholesaleExtract!B:M,12,FALSE),"")</f>
        <v/>
      </c>
      <c r="R5353" s="19"/>
      <c r="S5353" s="19"/>
    </row>
    <row r="5354" spans="1:19" x14ac:dyDescent="0.35">
      <c r="A5354" s="26" t="s">
        <v>543</v>
      </c>
      <c r="B5354" s="26" t="s">
        <v>543</v>
      </c>
      <c r="C5354" s="26"/>
      <c r="D5354" s="26" t="s">
        <v>543</v>
      </c>
      <c r="E5354" s="26" t="str">
        <f>IFERROR(VLOOKUP(G5354,WholesaleExtract!B:J,9,FALSE),"")</f>
        <v/>
      </c>
      <c r="F5354" s="26" t="str">
        <f>IFERROR(VLOOKUP(G5354,WholesaleExtract!B:J,6,FALSE),"")</f>
        <v/>
      </c>
      <c r="H5354" s="47" t="str">
        <f>IFERROR(VLOOKUP(G5354,WholesaleExtract!B:L,11,FALSE),"")</f>
        <v/>
      </c>
      <c r="I5354" s="26" t="str">
        <f>IFERROR(VLOOKUP(G5354,WholesaleExtract!B:O,8,FALSE),"")</f>
        <v/>
      </c>
      <c r="J5354" s="26" t="str">
        <f>IFERROR(VLOOKUP(G5354,WholesaleExtract!B:O,14,FALSE),"")</f>
        <v/>
      </c>
      <c r="K5354" s="26" t="str">
        <f>IFERROR(VLOOKUP(G5354,WholesaleExtract!B:K,10,FALSE),"")</f>
        <v/>
      </c>
      <c r="L5354" s="47" t="str">
        <f>IFERROR(VLOOKUP(G5354,WholesaleExtract!B:L,11,FALSE),"")</f>
        <v/>
      </c>
      <c r="M5354" s="47" t="str">
        <f>IFERROR(VLOOKUP(G5354,WholesaleExtract!B:M,12,FALSE),"")</f>
        <v/>
      </c>
      <c r="R5354" s="19"/>
      <c r="S5354" s="19"/>
    </row>
    <row r="5355" spans="1:19" x14ac:dyDescent="0.35">
      <c r="A5355" s="26" t="s">
        <v>543</v>
      </c>
      <c r="B5355" s="26" t="s">
        <v>543</v>
      </c>
      <c r="C5355" s="26"/>
      <c r="D5355" s="26" t="s">
        <v>543</v>
      </c>
      <c r="E5355" s="26" t="str">
        <f>IFERROR(VLOOKUP(G5355,WholesaleExtract!B:J,9,FALSE),"")</f>
        <v/>
      </c>
      <c r="F5355" s="26" t="str">
        <f>IFERROR(VLOOKUP(G5355,WholesaleExtract!B:J,6,FALSE),"")</f>
        <v/>
      </c>
      <c r="H5355" s="47" t="str">
        <f>IFERROR(VLOOKUP(G5355,WholesaleExtract!B:L,11,FALSE),"")</f>
        <v/>
      </c>
      <c r="I5355" s="26" t="str">
        <f>IFERROR(VLOOKUP(G5355,WholesaleExtract!B:O,8,FALSE),"")</f>
        <v/>
      </c>
      <c r="J5355" s="26" t="str">
        <f>IFERROR(VLOOKUP(G5355,WholesaleExtract!B:O,14,FALSE),"")</f>
        <v/>
      </c>
      <c r="K5355" s="26" t="str">
        <f>IFERROR(VLOOKUP(G5355,WholesaleExtract!B:K,10,FALSE),"")</f>
        <v/>
      </c>
      <c r="L5355" s="47" t="str">
        <f>IFERROR(VLOOKUP(G5355,WholesaleExtract!B:L,11,FALSE),"")</f>
        <v/>
      </c>
      <c r="M5355" s="47" t="str">
        <f>IFERROR(VLOOKUP(G5355,WholesaleExtract!B:M,12,FALSE),"")</f>
        <v/>
      </c>
      <c r="R5355" s="19"/>
      <c r="S5355" s="19"/>
    </row>
    <row r="5356" spans="1:19" x14ac:dyDescent="0.35">
      <c r="A5356" s="26" t="s">
        <v>543</v>
      </c>
      <c r="B5356" s="26" t="s">
        <v>543</v>
      </c>
      <c r="C5356" s="26"/>
      <c r="D5356" s="26" t="s">
        <v>543</v>
      </c>
      <c r="E5356" s="26" t="str">
        <f>IFERROR(VLOOKUP(G5356,WholesaleExtract!B:J,9,FALSE),"")</f>
        <v/>
      </c>
      <c r="F5356" s="26" t="str">
        <f>IFERROR(VLOOKUP(G5356,WholesaleExtract!B:J,6,FALSE),"")</f>
        <v/>
      </c>
      <c r="H5356" s="47" t="str">
        <f>IFERROR(VLOOKUP(G5356,WholesaleExtract!B:L,11,FALSE),"")</f>
        <v/>
      </c>
      <c r="I5356" s="26" t="str">
        <f>IFERROR(VLOOKUP(G5356,WholesaleExtract!B:O,8,FALSE),"")</f>
        <v/>
      </c>
      <c r="J5356" s="26" t="str">
        <f>IFERROR(VLOOKUP(G5356,WholesaleExtract!B:O,14,FALSE),"")</f>
        <v/>
      </c>
      <c r="K5356" s="26" t="str">
        <f>IFERROR(VLOOKUP(G5356,WholesaleExtract!B:K,10,FALSE),"")</f>
        <v/>
      </c>
      <c r="L5356" s="47" t="str">
        <f>IFERROR(VLOOKUP(G5356,WholesaleExtract!B:L,11,FALSE),"")</f>
        <v/>
      </c>
      <c r="M5356" s="47" t="str">
        <f>IFERROR(VLOOKUP(G5356,WholesaleExtract!B:M,12,FALSE),"")</f>
        <v/>
      </c>
      <c r="R5356" s="19"/>
      <c r="S5356" s="19"/>
    </row>
    <row r="5357" spans="1:19" x14ac:dyDescent="0.35">
      <c r="A5357" s="26" t="s">
        <v>543</v>
      </c>
      <c r="B5357" s="26" t="s">
        <v>543</v>
      </c>
      <c r="C5357" s="26"/>
      <c r="D5357" s="26" t="s">
        <v>543</v>
      </c>
      <c r="E5357" s="26" t="str">
        <f>IFERROR(VLOOKUP(G5357,WholesaleExtract!B:J,9,FALSE),"")</f>
        <v/>
      </c>
      <c r="F5357" s="26" t="str">
        <f>IFERROR(VLOOKUP(G5357,WholesaleExtract!B:J,6,FALSE),"")</f>
        <v/>
      </c>
      <c r="H5357" s="47" t="str">
        <f>IFERROR(VLOOKUP(G5357,WholesaleExtract!B:L,11,FALSE),"")</f>
        <v/>
      </c>
      <c r="I5357" s="26" t="str">
        <f>IFERROR(VLOOKUP(G5357,WholesaleExtract!B:O,8,FALSE),"")</f>
        <v/>
      </c>
      <c r="J5357" s="26" t="str">
        <f>IFERROR(VLOOKUP(G5357,WholesaleExtract!B:O,14,FALSE),"")</f>
        <v/>
      </c>
      <c r="K5357" s="26" t="str">
        <f>IFERROR(VLOOKUP(G5357,WholesaleExtract!B:K,10,FALSE),"")</f>
        <v/>
      </c>
      <c r="L5357" s="47" t="str">
        <f>IFERROR(VLOOKUP(G5357,WholesaleExtract!B:L,11,FALSE),"")</f>
        <v/>
      </c>
      <c r="M5357" s="47" t="str">
        <f>IFERROR(VLOOKUP(G5357,WholesaleExtract!B:M,12,FALSE),"")</f>
        <v/>
      </c>
      <c r="R5357" s="19"/>
      <c r="S5357" s="19"/>
    </row>
    <row r="5358" spans="1:19" x14ac:dyDescent="0.35">
      <c r="A5358" s="26" t="s">
        <v>543</v>
      </c>
      <c r="B5358" s="26" t="s">
        <v>543</v>
      </c>
      <c r="C5358" s="26"/>
      <c r="D5358" s="26" t="s">
        <v>543</v>
      </c>
      <c r="E5358" s="26" t="str">
        <f>IFERROR(VLOOKUP(G5358,WholesaleExtract!B:J,9,FALSE),"")</f>
        <v/>
      </c>
      <c r="F5358" s="26" t="str">
        <f>IFERROR(VLOOKUP(G5358,WholesaleExtract!B:J,6,FALSE),"")</f>
        <v/>
      </c>
      <c r="H5358" s="47" t="str">
        <f>IFERROR(VLOOKUP(G5358,WholesaleExtract!B:L,11,FALSE),"")</f>
        <v/>
      </c>
      <c r="I5358" s="26" t="str">
        <f>IFERROR(VLOOKUP(G5358,WholesaleExtract!B:O,8,FALSE),"")</f>
        <v/>
      </c>
      <c r="J5358" s="26" t="str">
        <f>IFERROR(VLOOKUP(G5358,WholesaleExtract!B:O,14,FALSE),"")</f>
        <v/>
      </c>
      <c r="K5358" s="26" t="str">
        <f>IFERROR(VLOOKUP(G5358,WholesaleExtract!B:K,10,FALSE),"")</f>
        <v/>
      </c>
      <c r="L5358" s="47" t="str">
        <f>IFERROR(VLOOKUP(G5358,WholesaleExtract!B:L,11,FALSE),"")</f>
        <v/>
      </c>
      <c r="M5358" s="47" t="str">
        <f>IFERROR(VLOOKUP(G5358,WholesaleExtract!B:M,12,FALSE),"")</f>
        <v/>
      </c>
      <c r="R5358" s="19"/>
      <c r="S5358" s="19"/>
    </row>
    <row r="5359" spans="1:19" x14ac:dyDescent="0.35">
      <c r="A5359" s="26" t="s">
        <v>543</v>
      </c>
      <c r="B5359" s="26" t="s">
        <v>543</v>
      </c>
      <c r="C5359" s="26"/>
      <c r="D5359" s="26" t="s">
        <v>543</v>
      </c>
      <c r="E5359" s="26" t="str">
        <f>IFERROR(VLOOKUP(G5359,WholesaleExtract!B:J,9,FALSE),"")</f>
        <v/>
      </c>
      <c r="F5359" s="26" t="str">
        <f>IFERROR(VLOOKUP(G5359,WholesaleExtract!B:J,6,FALSE),"")</f>
        <v/>
      </c>
      <c r="H5359" s="47" t="str">
        <f>IFERROR(VLOOKUP(G5359,WholesaleExtract!B:L,11,FALSE),"")</f>
        <v/>
      </c>
      <c r="I5359" s="26" t="str">
        <f>IFERROR(VLOOKUP(G5359,WholesaleExtract!B:O,8,FALSE),"")</f>
        <v/>
      </c>
      <c r="J5359" s="26" t="str">
        <f>IFERROR(VLOOKUP(G5359,WholesaleExtract!B:O,14,FALSE),"")</f>
        <v/>
      </c>
      <c r="K5359" s="26" t="str">
        <f>IFERROR(VLOOKUP(G5359,WholesaleExtract!B:K,10,FALSE),"")</f>
        <v/>
      </c>
      <c r="L5359" s="47" t="str">
        <f>IFERROR(VLOOKUP(G5359,WholesaleExtract!B:L,11,FALSE),"")</f>
        <v/>
      </c>
      <c r="M5359" s="47" t="str">
        <f>IFERROR(VLOOKUP(G5359,WholesaleExtract!B:M,12,FALSE),"")</f>
        <v/>
      </c>
      <c r="R5359" s="19"/>
      <c r="S5359" s="19"/>
    </row>
    <row r="5360" spans="1:19" x14ac:dyDescent="0.35">
      <c r="A5360" s="26" t="s">
        <v>543</v>
      </c>
      <c r="B5360" s="26" t="s">
        <v>543</v>
      </c>
      <c r="C5360" s="26"/>
      <c r="D5360" s="26" t="s">
        <v>543</v>
      </c>
      <c r="E5360" s="26" t="str">
        <f>IFERROR(VLOOKUP(G5360,WholesaleExtract!B:J,9,FALSE),"")</f>
        <v/>
      </c>
      <c r="F5360" s="26" t="str">
        <f>IFERROR(VLOOKUP(G5360,WholesaleExtract!B:J,6,FALSE),"")</f>
        <v/>
      </c>
      <c r="H5360" s="47" t="str">
        <f>IFERROR(VLOOKUP(G5360,WholesaleExtract!B:L,11,FALSE),"")</f>
        <v/>
      </c>
      <c r="I5360" s="26" t="str">
        <f>IFERROR(VLOOKUP(G5360,WholesaleExtract!B:O,8,FALSE),"")</f>
        <v/>
      </c>
      <c r="J5360" s="26" t="str">
        <f>IFERROR(VLOOKUP(G5360,WholesaleExtract!B:O,14,FALSE),"")</f>
        <v/>
      </c>
      <c r="K5360" s="26" t="str">
        <f>IFERROR(VLOOKUP(G5360,WholesaleExtract!B:K,10,FALSE),"")</f>
        <v/>
      </c>
      <c r="L5360" s="47" t="str">
        <f>IFERROR(VLOOKUP(G5360,WholesaleExtract!B:L,11,FALSE),"")</f>
        <v/>
      </c>
      <c r="M5360" s="47" t="str">
        <f>IFERROR(VLOOKUP(G5360,WholesaleExtract!B:M,12,FALSE),"")</f>
        <v/>
      </c>
      <c r="R5360" s="19"/>
      <c r="S5360" s="19"/>
    </row>
    <row r="5361" spans="1:19" x14ac:dyDescent="0.35">
      <c r="A5361" s="26" t="s">
        <v>543</v>
      </c>
      <c r="B5361" s="26" t="s">
        <v>543</v>
      </c>
      <c r="C5361" s="26"/>
      <c r="D5361" s="26" t="s">
        <v>543</v>
      </c>
      <c r="E5361" s="26" t="str">
        <f>IFERROR(VLOOKUP(G5361,WholesaleExtract!B:J,9,FALSE),"")</f>
        <v/>
      </c>
      <c r="F5361" s="26" t="str">
        <f>IFERROR(VLOOKUP(G5361,WholesaleExtract!B:J,6,FALSE),"")</f>
        <v/>
      </c>
      <c r="H5361" s="47" t="str">
        <f>IFERROR(VLOOKUP(G5361,WholesaleExtract!B:L,11,FALSE),"")</f>
        <v/>
      </c>
      <c r="I5361" s="26" t="str">
        <f>IFERROR(VLOOKUP(G5361,WholesaleExtract!B:O,8,FALSE),"")</f>
        <v/>
      </c>
      <c r="J5361" s="26" t="str">
        <f>IFERROR(VLOOKUP(G5361,WholesaleExtract!B:O,14,FALSE),"")</f>
        <v/>
      </c>
      <c r="K5361" s="26" t="str">
        <f>IFERROR(VLOOKUP(G5361,WholesaleExtract!B:K,10,FALSE),"")</f>
        <v/>
      </c>
      <c r="L5361" s="47" t="str">
        <f>IFERROR(VLOOKUP(G5361,WholesaleExtract!B:L,11,FALSE),"")</f>
        <v/>
      </c>
      <c r="M5361" s="47" t="str">
        <f>IFERROR(VLOOKUP(G5361,WholesaleExtract!B:M,12,FALSE),"")</f>
        <v/>
      </c>
      <c r="R5361" s="19"/>
      <c r="S5361" s="19"/>
    </row>
    <row r="5362" spans="1:19" x14ac:dyDescent="0.35">
      <c r="A5362" s="26" t="s">
        <v>543</v>
      </c>
      <c r="B5362" s="26" t="s">
        <v>543</v>
      </c>
      <c r="C5362" s="26"/>
      <c r="D5362" s="26" t="s">
        <v>543</v>
      </c>
      <c r="E5362" s="26" t="str">
        <f>IFERROR(VLOOKUP(G5362,WholesaleExtract!B:J,9,FALSE),"")</f>
        <v/>
      </c>
      <c r="F5362" s="26" t="str">
        <f>IFERROR(VLOOKUP(G5362,WholesaleExtract!B:J,6,FALSE),"")</f>
        <v/>
      </c>
      <c r="H5362" s="47" t="str">
        <f>IFERROR(VLOOKUP(G5362,WholesaleExtract!B:L,11,FALSE),"")</f>
        <v/>
      </c>
      <c r="I5362" s="26" t="str">
        <f>IFERROR(VLOOKUP(G5362,WholesaleExtract!B:O,8,FALSE),"")</f>
        <v/>
      </c>
      <c r="J5362" s="26" t="str">
        <f>IFERROR(VLOOKUP(G5362,WholesaleExtract!B:O,14,FALSE),"")</f>
        <v/>
      </c>
      <c r="K5362" s="26" t="str">
        <f>IFERROR(VLOOKUP(G5362,WholesaleExtract!B:K,10,FALSE),"")</f>
        <v/>
      </c>
      <c r="L5362" s="47" t="str">
        <f>IFERROR(VLOOKUP(G5362,WholesaleExtract!B:L,11,FALSE),"")</f>
        <v/>
      </c>
      <c r="M5362" s="47" t="str">
        <f>IFERROR(VLOOKUP(G5362,WholesaleExtract!B:M,12,FALSE),"")</f>
        <v/>
      </c>
      <c r="R5362" s="19"/>
      <c r="S5362" s="19"/>
    </row>
    <row r="5363" spans="1:19" x14ac:dyDescent="0.35">
      <c r="A5363" s="26" t="s">
        <v>543</v>
      </c>
      <c r="B5363" s="26" t="s">
        <v>543</v>
      </c>
      <c r="C5363" s="26"/>
      <c r="D5363" s="26" t="s">
        <v>543</v>
      </c>
      <c r="E5363" s="26" t="str">
        <f>IFERROR(VLOOKUP(G5363,WholesaleExtract!B:J,9,FALSE),"")</f>
        <v/>
      </c>
      <c r="F5363" s="26" t="str">
        <f>IFERROR(VLOOKUP(G5363,WholesaleExtract!B:J,6,FALSE),"")</f>
        <v/>
      </c>
      <c r="H5363" s="47" t="str">
        <f>IFERROR(VLOOKUP(G5363,WholesaleExtract!B:L,11,FALSE),"")</f>
        <v/>
      </c>
      <c r="I5363" s="26" t="str">
        <f>IFERROR(VLOOKUP(G5363,WholesaleExtract!B:O,8,FALSE),"")</f>
        <v/>
      </c>
      <c r="J5363" s="26" t="str">
        <f>IFERROR(VLOOKUP(G5363,WholesaleExtract!B:O,14,FALSE),"")</f>
        <v/>
      </c>
      <c r="K5363" s="26" t="str">
        <f>IFERROR(VLOOKUP(G5363,WholesaleExtract!B:K,10,FALSE),"")</f>
        <v/>
      </c>
      <c r="L5363" s="47" t="str">
        <f>IFERROR(VLOOKUP(G5363,WholesaleExtract!B:L,11,FALSE),"")</f>
        <v/>
      </c>
      <c r="M5363" s="47" t="str">
        <f>IFERROR(VLOOKUP(G5363,WholesaleExtract!B:M,12,FALSE),"")</f>
        <v/>
      </c>
      <c r="R5363" s="19"/>
      <c r="S5363" s="19"/>
    </row>
    <row r="5364" spans="1:19" x14ac:dyDescent="0.35">
      <c r="A5364" s="26" t="s">
        <v>543</v>
      </c>
      <c r="B5364" s="26" t="s">
        <v>543</v>
      </c>
      <c r="C5364" s="26"/>
      <c r="D5364" s="26" t="s">
        <v>543</v>
      </c>
      <c r="E5364" s="26" t="str">
        <f>IFERROR(VLOOKUP(G5364,WholesaleExtract!B:J,9,FALSE),"")</f>
        <v/>
      </c>
      <c r="F5364" s="26" t="str">
        <f>IFERROR(VLOOKUP(G5364,WholesaleExtract!B:J,6,FALSE),"")</f>
        <v/>
      </c>
      <c r="H5364" s="47" t="str">
        <f>IFERROR(VLOOKUP(G5364,WholesaleExtract!B:L,11,FALSE),"")</f>
        <v/>
      </c>
      <c r="I5364" s="26" t="str">
        <f>IFERROR(VLOOKUP(G5364,WholesaleExtract!B:O,8,FALSE),"")</f>
        <v/>
      </c>
      <c r="J5364" s="26" t="str">
        <f>IFERROR(VLOOKUP(G5364,WholesaleExtract!B:O,14,FALSE),"")</f>
        <v/>
      </c>
      <c r="K5364" s="26" t="str">
        <f>IFERROR(VLOOKUP(G5364,WholesaleExtract!B:K,10,FALSE),"")</f>
        <v/>
      </c>
      <c r="L5364" s="47" t="str">
        <f>IFERROR(VLOOKUP(G5364,WholesaleExtract!B:L,11,FALSE),"")</f>
        <v/>
      </c>
      <c r="M5364" s="47" t="str">
        <f>IFERROR(VLOOKUP(G5364,WholesaleExtract!B:M,12,FALSE),"")</f>
        <v/>
      </c>
      <c r="R5364" s="19"/>
      <c r="S5364" s="19"/>
    </row>
    <row r="5365" spans="1:19" x14ac:dyDescent="0.35">
      <c r="A5365" s="26" t="s">
        <v>543</v>
      </c>
      <c r="B5365" s="26" t="s">
        <v>543</v>
      </c>
      <c r="C5365" s="26"/>
      <c r="D5365" s="26" t="s">
        <v>543</v>
      </c>
      <c r="E5365" s="26" t="str">
        <f>IFERROR(VLOOKUP(G5365,WholesaleExtract!B:J,9,FALSE),"")</f>
        <v/>
      </c>
      <c r="F5365" s="26" t="str">
        <f>IFERROR(VLOOKUP(G5365,WholesaleExtract!B:J,6,FALSE),"")</f>
        <v/>
      </c>
      <c r="H5365" s="47" t="str">
        <f>IFERROR(VLOOKUP(G5365,WholesaleExtract!B:L,11,FALSE),"")</f>
        <v/>
      </c>
      <c r="I5365" s="26" t="str">
        <f>IFERROR(VLOOKUP(G5365,WholesaleExtract!B:O,8,FALSE),"")</f>
        <v/>
      </c>
      <c r="J5365" s="26" t="str">
        <f>IFERROR(VLOOKUP(G5365,WholesaleExtract!B:O,14,FALSE),"")</f>
        <v/>
      </c>
      <c r="K5365" s="26" t="str">
        <f>IFERROR(VLOOKUP(G5365,WholesaleExtract!B:K,10,FALSE),"")</f>
        <v/>
      </c>
      <c r="L5365" s="47" t="str">
        <f>IFERROR(VLOOKUP(G5365,WholesaleExtract!B:L,11,FALSE),"")</f>
        <v/>
      </c>
      <c r="M5365" s="47" t="str">
        <f>IFERROR(VLOOKUP(G5365,WholesaleExtract!B:M,12,FALSE),"")</f>
        <v/>
      </c>
      <c r="R5365" s="19"/>
      <c r="S5365" s="19"/>
    </row>
    <row r="5366" spans="1:19" x14ac:dyDescent="0.35">
      <c r="A5366" s="26" t="s">
        <v>543</v>
      </c>
      <c r="B5366" s="26" t="s">
        <v>543</v>
      </c>
      <c r="C5366" s="26"/>
      <c r="D5366" s="26" t="s">
        <v>543</v>
      </c>
      <c r="E5366" s="26" t="str">
        <f>IFERROR(VLOOKUP(G5366,WholesaleExtract!B:J,9,FALSE),"")</f>
        <v/>
      </c>
      <c r="F5366" s="26" t="str">
        <f>IFERROR(VLOOKUP(G5366,WholesaleExtract!B:J,6,FALSE),"")</f>
        <v/>
      </c>
      <c r="H5366" s="47" t="str">
        <f>IFERROR(VLOOKUP(G5366,WholesaleExtract!B:L,11,FALSE),"")</f>
        <v/>
      </c>
      <c r="I5366" s="26" t="str">
        <f>IFERROR(VLOOKUP(G5366,WholesaleExtract!B:O,8,FALSE),"")</f>
        <v/>
      </c>
      <c r="J5366" s="26" t="str">
        <f>IFERROR(VLOOKUP(G5366,WholesaleExtract!B:O,14,FALSE),"")</f>
        <v/>
      </c>
      <c r="K5366" s="26" t="str">
        <f>IFERROR(VLOOKUP(G5366,WholesaleExtract!B:K,10,FALSE),"")</f>
        <v/>
      </c>
      <c r="L5366" s="47" t="str">
        <f>IFERROR(VLOOKUP(G5366,WholesaleExtract!B:L,11,FALSE),"")</f>
        <v/>
      </c>
      <c r="M5366" s="47" t="str">
        <f>IFERROR(VLOOKUP(G5366,WholesaleExtract!B:M,12,FALSE),"")</f>
        <v/>
      </c>
      <c r="R5366" s="19"/>
      <c r="S5366" s="19"/>
    </row>
    <row r="5367" spans="1:19" x14ac:dyDescent="0.35">
      <c r="A5367" s="26" t="s">
        <v>543</v>
      </c>
      <c r="B5367" s="26" t="s">
        <v>543</v>
      </c>
      <c r="C5367" s="26"/>
      <c r="D5367" s="26" t="s">
        <v>543</v>
      </c>
      <c r="E5367" s="26" t="str">
        <f>IFERROR(VLOOKUP(G5367,WholesaleExtract!B:J,9,FALSE),"")</f>
        <v/>
      </c>
      <c r="F5367" s="26" t="str">
        <f>IFERROR(VLOOKUP(G5367,WholesaleExtract!B:J,6,FALSE),"")</f>
        <v/>
      </c>
      <c r="H5367" s="47" t="str">
        <f>IFERROR(VLOOKUP(G5367,WholesaleExtract!B:L,11,FALSE),"")</f>
        <v/>
      </c>
      <c r="I5367" s="26" t="str">
        <f>IFERROR(VLOOKUP(G5367,WholesaleExtract!B:O,8,FALSE),"")</f>
        <v/>
      </c>
      <c r="J5367" s="26" t="str">
        <f>IFERROR(VLOOKUP(G5367,WholesaleExtract!B:O,14,FALSE),"")</f>
        <v/>
      </c>
      <c r="K5367" s="26" t="str">
        <f>IFERROR(VLOOKUP(G5367,WholesaleExtract!B:K,10,FALSE),"")</f>
        <v/>
      </c>
      <c r="L5367" s="47" t="str">
        <f>IFERROR(VLOOKUP(G5367,WholesaleExtract!B:L,11,FALSE),"")</f>
        <v/>
      </c>
      <c r="M5367" s="47" t="str">
        <f>IFERROR(VLOOKUP(G5367,WholesaleExtract!B:M,12,FALSE),"")</f>
        <v/>
      </c>
      <c r="R5367" s="19"/>
      <c r="S5367" s="19"/>
    </row>
    <row r="5368" spans="1:19" x14ac:dyDescent="0.35">
      <c r="A5368" s="26" t="s">
        <v>543</v>
      </c>
      <c r="B5368" s="26" t="s">
        <v>543</v>
      </c>
      <c r="C5368" s="26"/>
      <c r="D5368" s="26" t="s">
        <v>543</v>
      </c>
      <c r="E5368" s="26" t="str">
        <f>IFERROR(VLOOKUP(G5368,WholesaleExtract!B:J,9,FALSE),"")</f>
        <v/>
      </c>
      <c r="F5368" s="26" t="str">
        <f>IFERROR(VLOOKUP(G5368,WholesaleExtract!B:J,6,FALSE),"")</f>
        <v/>
      </c>
      <c r="H5368" s="47" t="str">
        <f>IFERROR(VLOOKUP(G5368,WholesaleExtract!B:L,11,FALSE),"")</f>
        <v/>
      </c>
      <c r="I5368" s="26" t="str">
        <f>IFERROR(VLOOKUP(G5368,WholesaleExtract!B:O,8,FALSE),"")</f>
        <v/>
      </c>
      <c r="J5368" s="26" t="str">
        <f>IFERROR(VLOOKUP(G5368,WholesaleExtract!B:O,14,FALSE),"")</f>
        <v/>
      </c>
      <c r="K5368" s="26" t="str">
        <f>IFERROR(VLOOKUP(G5368,WholesaleExtract!B:K,10,FALSE),"")</f>
        <v/>
      </c>
      <c r="L5368" s="47" t="str">
        <f>IFERROR(VLOOKUP(G5368,WholesaleExtract!B:L,11,FALSE),"")</f>
        <v/>
      </c>
      <c r="M5368" s="47" t="str">
        <f>IFERROR(VLOOKUP(G5368,WholesaleExtract!B:M,12,FALSE),"")</f>
        <v/>
      </c>
      <c r="R5368" s="19"/>
      <c r="S5368" s="19"/>
    </row>
    <row r="5369" spans="1:19" x14ac:dyDescent="0.35">
      <c r="A5369" s="26" t="s">
        <v>543</v>
      </c>
      <c r="B5369" s="26" t="s">
        <v>543</v>
      </c>
      <c r="C5369" s="26"/>
      <c r="D5369" s="26" t="s">
        <v>543</v>
      </c>
      <c r="E5369" s="26" t="str">
        <f>IFERROR(VLOOKUP(G5369,WholesaleExtract!B:J,9,FALSE),"")</f>
        <v/>
      </c>
      <c r="F5369" s="26" t="str">
        <f>IFERROR(VLOOKUP(G5369,WholesaleExtract!B:J,6,FALSE),"")</f>
        <v/>
      </c>
      <c r="H5369" s="47" t="str">
        <f>IFERROR(VLOOKUP(G5369,WholesaleExtract!B:L,11,FALSE),"")</f>
        <v/>
      </c>
      <c r="I5369" s="26" t="str">
        <f>IFERROR(VLOOKUP(G5369,WholesaleExtract!B:O,8,FALSE),"")</f>
        <v/>
      </c>
      <c r="J5369" s="26" t="str">
        <f>IFERROR(VLOOKUP(G5369,WholesaleExtract!B:O,14,FALSE),"")</f>
        <v/>
      </c>
      <c r="K5369" s="26" t="str">
        <f>IFERROR(VLOOKUP(G5369,WholesaleExtract!B:K,10,FALSE),"")</f>
        <v/>
      </c>
      <c r="L5369" s="47" t="str">
        <f>IFERROR(VLOOKUP(G5369,WholesaleExtract!B:L,11,FALSE),"")</f>
        <v/>
      </c>
      <c r="M5369" s="47" t="str">
        <f>IFERROR(VLOOKUP(G5369,WholesaleExtract!B:M,12,FALSE),"")</f>
        <v/>
      </c>
      <c r="R5369" s="19"/>
      <c r="S5369" s="19"/>
    </row>
    <row r="5370" spans="1:19" x14ac:dyDescent="0.35">
      <c r="A5370" s="26" t="s">
        <v>543</v>
      </c>
      <c r="B5370" s="26" t="s">
        <v>543</v>
      </c>
      <c r="C5370" s="26"/>
      <c r="D5370" s="26" t="s">
        <v>543</v>
      </c>
      <c r="E5370" s="26" t="str">
        <f>IFERROR(VLOOKUP(G5370,WholesaleExtract!B:J,9,FALSE),"")</f>
        <v/>
      </c>
      <c r="F5370" s="26" t="str">
        <f>IFERROR(VLOOKUP(G5370,WholesaleExtract!B:J,6,FALSE),"")</f>
        <v/>
      </c>
      <c r="H5370" s="47" t="str">
        <f>IFERROR(VLOOKUP(G5370,WholesaleExtract!B:L,11,FALSE),"")</f>
        <v/>
      </c>
      <c r="I5370" s="26" t="str">
        <f>IFERROR(VLOOKUP(G5370,WholesaleExtract!B:O,8,FALSE),"")</f>
        <v/>
      </c>
      <c r="J5370" s="26" t="str">
        <f>IFERROR(VLOOKUP(G5370,WholesaleExtract!B:O,14,FALSE),"")</f>
        <v/>
      </c>
      <c r="K5370" s="26" t="str">
        <f>IFERROR(VLOOKUP(G5370,WholesaleExtract!B:K,10,FALSE),"")</f>
        <v/>
      </c>
      <c r="L5370" s="47" t="str">
        <f>IFERROR(VLOOKUP(G5370,WholesaleExtract!B:L,11,FALSE),"")</f>
        <v/>
      </c>
      <c r="M5370" s="47" t="str">
        <f>IFERROR(VLOOKUP(G5370,WholesaleExtract!B:M,12,FALSE),"")</f>
        <v/>
      </c>
      <c r="R5370" s="19"/>
      <c r="S5370" s="19"/>
    </row>
    <row r="5371" spans="1:19" x14ac:dyDescent="0.35">
      <c r="A5371" s="26" t="s">
        <v>543</v>
      </c>
      <c r="B5371" s="26" t="s">
        <v>543</v>
      </c>
      <c r="C5371" s="26"/>
      <c r="D5371" s="26" t="s">
        <v>543</v>
      </c>
      <c r="E5371" s="26" t="str">
        <f>IFERROR(VLOOKUP(G5371,WholesaleExtract!B:J,9,FALSE),"")</f>
        <v/>
      </c>
      <c r="F5371" s="26" t="str">
        <f>IFERROR(VLOOKUP(G5371,WholesaleExtract!B:J,6,FALSE),"")</f>
        <v/>
      </c>
      <c r="H5371" s="47" t="str">
        <f>IFERROR(VLOOKUP(G5371,WholesaleExtract!B:L,11,FALSE),"")</f>
        <v/>
      </c>
      <c r="I5371" s="26" t="str">
        <f>IFERROR(VLOOKUP(G5371,WholesaleExtract!B:O,8,FALSE),"")</f>
        <v/>
      </c>
      <c r="J5371" s="26" t="str">
        <f>IFERROR(VLOOKUP(G5371,WholesaleExtract!B:O,14,FALSE),"")</f>
        <v/>
      </c>
      <c r="K5371" s="26" t="str">
        <f>IFERROR(VLOOKUP(G5371,WholesaleExtract!B:K,10,FALSE),"")</f>
        <v/>
      </c>
      <c r="L5371" s="47" t="str">
        <f>IFERROR(VLOOKUP(G5371,WholesaleExtract!B:L,11,FALSE),"")</f>
        <v/>
      </c>
      <c r="M5371" s="47" t="str">
        <f>IFERROR(VLOOKUP(G5371,WholesaleExtract!B:M,12,FALSE),"")</f>
        <v/>
      </c>
      <c r="R5371" s="19"/>
      <c r="S5371" s="19"/>
    </row>
    <row r="5372" spans="1:19" x14ac:dyDescent="0.35">
      <c r="A5372" s="26" t="s">
        <v>543</v>
      </c>
      <c r="B5372" s="26" t="s">
        <v>543</v>
      </c>
      <c r="C5372" s="26"/>
      <c r="D5372" s="26" t="s">
        <v>543</v>
      </c>
      <c r="E5372" s="26" t="str">
        <f>IFERROR(VLOOKUP(G5372,WholesaleExtract!B:J,9,FALSE),"")</f>
        <v/>
      </c>
      <c r="F5372" s="26" t="str">
        <f>IFERROR(VLOOKUP(G5372,WholesaleExtract!B:J,6,FALSE),"")</f>
        <v/>
      </c>
      <c r="H5372" s="47" t="str">
        <f>IFERROR(VLOOKUP(G5372,WholesaleExtract!B:L,11,FALSE),"")</f>
        <v/>
      </c>
      <c r="I5372" s="26" t="str">
        <f>IFERROR(VLOOKUP(G5372,WholesaleExtract!B:O,8,FALSE),"")</f>
        <v/>
      </c>
      <c r="J5372" s="26" t="str">
        <f>IFERROR(VLOOKUP(G5372,WholesaleExtract!B:O,14,FALSE),"")</f>
        <v/>
      </c>
      <c r="K5372" s="26" t="str">
        <f>IFERROR(VLOOKUP(G5372,WholesaleExtract!B:K,10,FALSE),"")</f>
        <v/>
      </c>
      <c r="L5372" s="47" t="str">
        <f>IFERROR(VLOOKUP(G5372,WholesaleExtract!B:L,11,FALSE),"")</f>
        <v/>
      </c>
      <c r="M5372" s="47" t="str">
        <f>IFERROR(VLOOKUP(G5372,WholesaleExtract!B:M,12,FALSE),"")</f>
        <v/>
      </c>
      <c r="R5372" s="19"/>
      <c r="S5372" s="19"/>
    </row>
    <row r="5373" spans="1:19" x14ac:dyDescent="0.35">
      <c r="A5373" s="26" t="s">
        <v>543</v>
      </c>
      <c r="B5373" s="26" t="s">
        <v>543</v>
      </c>
      <c r="C5373" s="26"/>
      <c r="D5373" s="26" t="s">
        <v>543</v>
      </c>
      <c r="E5373" s="26" t="str">
        <f>IFERROR(VLOOKUP(G5373,WholesaleExtract!B:J,9,FALSE),"")</f>
        <v/>
      </c>
      <c r="F5373" s="26" t="str">
        <f>IFERROR(VLOOKUP(G5373,WholesaleExtract!B:J,6,FALSE),"")</f>
        <v/>
      </c>
      <c r="H5373" s="47" t="str">
        <f>IFERROR(VLOOKUP(G5373,WholesaleExtract!B:L,11,FALSE),"")</f>
        <v/>
      </c>
      <c r="I5373" s="26" t="str">
        <f>IFERROR(VLOOKUP(G5373,WholesaleExtract!B:O,8,FALSE),"")</f>
        <v/>
      </c>
      <c r="J5373" s="26" t="str">
        <f>IFERROR(VLOOKUP(G5373,WholesaleExtract!B:O,14,FALSE),"")</f>
        <v/>
      </c>
      <c r="K5373" s="26" t="str">
        <f>IFERROR(VLOOKUP(G5373,WholesaleExtract!B:K,10,FALSE),"")</f>
        <v/>
      </c>
      <c r="L5373" s="47" t="str">
        <f>IFERROR(VLOOKUP(G5373,WholesaleExtract!B:L,11,FALSE),"")</f>
        <v/>
      </c>
      <c r="M5373" s="47" t="str">
        <f>IFERROR(VLOOKUP(G5373,WholesaleExtract!B:M,12,FALSE),"")</f>
        <v/>
      </c>
      <c r="R5373" s="19"/>
      <c r="S5373" s="19"/>
    </row>
    <row r="5374" spans="1:19" x14ac:dyDescent="0.35">
      <c r="A5374" s="26" t="s">
        <v>543</v>
      </c>
      <c r="B5374" s="26" t="s">
        <v>543</v>
      </c>
      <c r="C5374" s="26"/>
      <c r="D5374" s="26" t="s">
        <v>543</v>
      </c>
      <c r="E5374" s="26" t="str">
        <f>IFERROR(VLOOKUP(G5374,WholesaleExtract!B:J,9,FALSE),"")</f>
        <v/>
      </c>
      <c r="F5374" s="26" t="str">
        <f>IFERROR(VLOOKUP(G5374,WholesaleExtract!B:J,6,FALSE),"")</f>
        <v/>
      </c>
      <c r="H5374" s="47" t="str">
        <f>IFERROR(VLOOKUP(G5374,WholesaleExtract!B:L,11,FALSE),"")</f>
        <v/>
      </c>
      <c r="I5374" s="26" t="str">
        <f>IFERROR(VLOOKUP(G5374,WholesaleExtract!B:O,8,FALSE),"")</f>
        <v/>
      </c>
      <c r="J5374" s="26" t="str">
        <f>IFERROR(VLOOKUP(G5374,WholesaleExtract!B:O,14,FALSE),"")</f>
        <v/>
      </c>
      <c r="K5374" s="26" t="str">
        <f>IFERROR(VLOOKUP(G5374,WholesaleExtract!B:K,10,FALSE),"")</f>
        <v/>
      </c>
      <c r="L5374" s="47" t="str">
        <f>IFERROR(VLOOKUP(G5374,WholesaleExtract!B:L,11,FALSE),"")</f>
        <v/>
      </c>
      <c r="M5374" s="47" t="str">
        <f>IFERROR(VLOOKUP(G5374,WholesaleExtract!B:M,12,FALSE),"")</f>
        <v/>
      </c>
      <c r="R5374" s="19"/>
      <c r="S5374" s="19"/>
    </row>
    <row r="5375" spans="1:19" x14ac:dyDescent="0.35">
      <c r="A5375" s="26" t="s">
        <v>543</v>
      </c>
      <c r="B5375" s="26" t="s">
        <v>543</v>
      </c>
      <c r="C5375" s="26"/>
      <c r="D5375" s="26" t="s">
        <v>543</v>
      </c>
      <c r="E5375" s="26" t="str">
        <f>IFERROR(VLOOKUP(G5375,WholesaleExtract!B:J,9,FALSE),"")</f>
        <v/>
      </c>
      <c r="F5375" s="26" t="str">
        <f>IFERROR(VLOOKUP(G5375,WholesaleExtract!B:J,6,FALSE),"")</f>
        <v/>
      </c>
      <c r="H5375" s="47" t="str">
        <f>IFERROR(VLOOKUP(G5375,WholesaleExtract!B:L,11,FALSE),"")</f>
        <v/>
      </c>
      <c r="I5375" s="26" t="str">
        <f>IFERROR(VLOOKUP(G5375,WholesaleExtract!B:O,8,FALSE),"")</f>
        <v/>
      </c>
      <c r="J5375" s="26" t="str">
        <f>IFERROR(VLOOKUP(G5375,WholesaleExtract!B:O,14,FALSE),"")</f>
        <v/>
      </c>
      <c r="K5375" s="26" t="str">
        <f>IFERROR(VLOOKUP(G5375,WholesaleExtract!B:K,10,FALSE),"")</f>
        <v/>
      </c>
      <c r="L5375" s="47" t="str">
        <f>IFERROR(VLOOKUP(G5375,WholesaleExtract!B:L,11,FALSE),"")</f>
        <v/>
      </c>
      <c r="M5375" s="47" t="str">
        <f>IFERROR(VLOOKUP(G5375,WholesaleExtract!B:M,12,FALSE),"")</f>
        <v/>
      </c>
      <c r="R5375" s="19"/>
      <c r="S5375" s="19"/>
    </row>
    <row r="5376" spans="1:19" x14ac:dyDescent="0.35">
      <c r="A5376" s="26" t="s">
        <v>543</v>
      </c>
      <c r="B5376" s="26" t="s">
        <v>543</v>
      </c>
      <c r="C5376" s="26"/>
      <c r="D5376" s="26" t="s">
        <v>543</v>
      </c>
      <c r="E5376" s="26" t="str">
        <f>IFERROR(VLOOKUP(G5376,WholesaleExtract!B:J,9,FALSE),"")</f>
        <v/>
      </c>
      <c r="F5376" s="26" t="str">
        <f>IFERROR(VLOOKUP(G5376,WholesaleExtract!B:J,6,FALSE),"")</f>
        <v/>
      </c>
      <c r="H5376" s="47" t="str">
        <f>IFERROR(VLOOKUP(G5376,WholesaleExtract!B:L,11,FALSE),"")</f>
        <v/>
      </c>
      <c r="I5376" s="26" t="str">
        <f>IFERROR(VLOOKUP(G5376,WholesaleExtract!B:O,8,FALSE),"")</f>
        <v/>
      </c>
      <c r="J5376" s="26" t="str">
        <f>IFERROR(VLOOKUP(G5376,WholesaleExtract!B:O,14,FALSE),"")</f>
        <v/>
      </c>
      <c r="K5376" s="26" t="str">
        <f>IFERROR(VLOOKUP(G5376,WholesaleExtract!B:K,10,FALSE),"")</f>
        <v/>
      </c>
      <c r="L5376" s="47" t="str">
        <f>IFERROR(VLOOKUP(G5376,WholesaleExtract!B:L,11,FALSE),"")</f>
        <v/>
      </c>
      <c r="M5376" s="47" t="str">
        <f>IFERROR(VLOOKUP(G5376,WholesaleExtract!B:M,12,FALSE),"")</f>
        <v/>
      </c>
      <c r="R5376" s="19"/>
      <c r="S5376" s="19"/>
    </row>
    <row r="5377" spans="1:19" x14ac:dyDescent="0.35">
      <c r="A5377" s="26" t="s">
        <v>543</v>
      </c>
      <c r="B5377" s="26" t="s">
        <v>543</v>
      </c>
      <c r="C5377" s="26"/>
      <c r="D5377" s="26" t="s">
        <v>543</v>
      </c>
      <c r="E5377" s="26" t="str">
        <f>IFERROR(VLOOKUP(G5377,WholesaleExtract!B:J,9,FALSE),"")</f>
        <v/>
      </c>
      <c r="F5377" s="26" t="str">
        <f>IFERROR(VLOOKUP(G5377,WholesaleExtract!B:J,6,FALSE),"")</f>
        <v/>
      </c>
      <c r="H5377" s="47" t="str">
        <f>IFERROR(VLOOKUP(G5377,WholesaleExtract!B:L,11,FALSE),"")</f>
        <v/>
      </c>
      <c r="I5377" s="26" t="str">
        <f>IFERROR(VLOOKUP(G5377,WholesaleExtract!B:O,8,FALSE),"")</f>
        <v/>
      </c>
      <c r="J5377" s="26" t="str">
        <f>IFERROR(VLOOKUP(G5377,WholesaleExtract!B:O,14,FALSE),"")</f>
        <v/>
      </c>
      <c r="K5377" s="26" t="str">
        <f>IFERROR(VLOOKUP(G5377,WholesaleExtract!B:K,10,FALSE),"")</f>
        <v/>
      </c>
      <c r="L5377" s="47" t="str">
        <f>IFERROR(VLOOKUP(G5377,WholesaleExtract!B:L,11,FALSE),"")</f>
        <v/>
      </c>
      <c r="M5377" s="47" t="str">
        <f>IFERROR(VLOOKUP(G5377,WholesaleExtract!B:M,12,FALSE),"")</f>
        <v/>
      </c>
      <c r="R5377" s="19"/>
      <c r="S5377" s="19"/>
    </row>
    <row r="5378" spans="1:19" x14ac:dyDescent="0.35">
      <c r="A5378" s="26" t="s">
        <v>543</v>
      </c>
      <c r="B5378" s="26" t="s">
        <v>543</v>
      </c>
      <c r="C5378" s="26"/>
      <c r="D5378" s="26" t="s">
        <v>543</v>
      </c>
      <c r="E5378" s="26" t="str">
        <f>IFERROR(VLOOKUP(G5378,WholesaleExtract!B:J,9,FALSE),"")</f>
        <v/>
      </c>
      <c r="F5378" s="26" t="str">
        <f>IFERROR(VLOOKUP(G5378,WholesaleExtract!B:J,6,FALSE),"")</f>
        <v/>
      </c>
      <c r="H5378" s="47" t="str">
        <f>IFERROR(VLOOKUP(G5378,WholesaleExtract!B:L,11,FALSE),"")</f>
        <v/>
      </c>
      <c r="I5378" s="26" t="str">
        <f>IFERROR(VLOOKUP(G5378,WholesaleExtract!B:O,8,FALSE),"")</f>
        <v/>
      </c>
      <c r="J5378" s="26" t="str">
        <f>IFERROR(VLOOKUP(G5378,WholesaleExtract!B:O,14,FALSE),"")</f>
        <v/>
      </c>
      <c r="K5378" s="26" t="str">
        <f>IFERROR(VLOOKUP(G5378,WholesaleExtract!B:K,10,FALSE),"")</f>
        <v/>
      </c>
      <c r="L5378" s="47" t="str">
        <f>IFERROR(VLOOKUP(G5378,WholesaleExtract!B:L,11,FALSE),"")</f>
        <v/>
      </c>
      <c r="M5378" s="47" t="str">
        <f>IFERROR(VLOOKUP(G5378,WholesaleExtract!B:M,12,FALSE),"")</f>
        <v/>
      </c>
      <c r="R5378" s="19"/>
      <c r="S5378" s="19"/>
    </row>
    <row r="5379" spans="1:19" x14ac:dyDescent="0.35">
      <c r="A5379" s="26" t="s">
        <v>543</v>
      </c>
      <c r="B5379" s="26" t="s">
        <v>543</v>
      </c>
      <c r="C5379" s="26"/>
      <c r="D5379" s="26" t="s">
        <v>543</v>
      </c>
      <c r="E5379" s="26" t="str">
        <f>IFERROR(VLOOKUP(G5379,WholesaleExtract!B:J,9,FALSE),"")</f>
        <v/>
      </c>
      <c r="F5379" s="26" t="str">
        <f>IFERROR(VLOOKUP(G5379,WholesaleExtract!B:J,6,FALSE),"")</f>
        <v/>
      </c>
      <c r="H5379" s="47" t="str">
        <f>IFERROR(VLOOKUP(G5379,WholesaleExtract!B:L,11,FALSE),"")</f>
        <v/>
      </c>
      <c r="I5379" s="26" t="str">
        <f>IFERROR(VLOOKUP(G5379,WholesaleExtract!B:O,8,FALSE),"")</f>
        <v/>
      </c>
      <c r="J5379" s="26" t="str">
        <f>IFERROR(VLOOKUP(G5379,WholesaleExtract!B:O,14,FALSE),"")</f>
        <v/>
      </c>
      <c r="K5379" s="26" t="str">
        <f>IFERROR(VLOOKUP(G5379,WholesaleExtract!B:K,10,FALSE),"")</f>
        <v/>
      </c>
      <c r="L5379" s="47" t="str">
        <f>IFERROR(VLOOKUP(G5379,WholesaleExtract!B:L,11,FALSE),"")</f>
        <v/>
      </c>
      <c r="M5379" s="47" t="str">
        <f>IFERROR(VLOOKUP(G5379,WholesaleExtract!B:M,12,FALSE),"")</f>
        <v/>
      </c>
      <c r="R5379" s="19"/>
      <c r="S5379" s="19"/>
    </row>
    <row r="5380" spans="1:19" x14ac:dyDescent="0.35">
      <c r="A5380" s="26" t="s">
        <v>543</v>
      </c>
      <c r="B5380" s="26" t="s">
        <v>543</v>
      </c>
      <c r="C5380" s="26"/>
      <c r="D5380" s="26" t="s">
        <v>543</v>
      </c>
      <c r="E5380" s="26" t="str">
        <f>IFERROR(VLOOKUP(G5380,WholesaleExtract!B:J,9,FALSE),"")</f>
        <v/>
      </c>
      <c r="F5380" s="26" t="str">
        <f>IFERROR(VLOOKUP(G5380,WholesaleExtract!B:J,6,FALSE),"")</f>
        <v/>
      </c>
      <c r="H5380" s="47" t="str">
        <f>IFERROR(VLOOKUP(G5380,WholesaleExtract!B:L,11,FALSE),"")</f>
        <v/>
      </c>
      <c r="I5380" s="26" t="str">
        <f>IFERROR(VLOOKUP(G5380,WholesaleExtract!B:O,8,FALSE),"")</f>
        <v/>
      </c>
      <c r="J5380" s="26" t="str">
        <f>IFERROR(VLOOKUP(G5380,WholesaleExtract!B:O,14,FALSE),"")</f>
        <v/>
      </c>
      <c r="K5380" s="26" t="str">
        <f>IFERROR(VLOOKUP(G5380,WholesaleExtract!B:K,10,FALSE),"")</f>
        <v/>
      </c>
      <c r="L5380" s="47" t="str">
        <f>IFERROR(VLOOKUP(G5380,WholesaleExtract!B:L,11,FALSE),"")</f>
        <v/>
      </c>
      <c r="M5380" s="47" t="str">
        <f>IFERROR(VLOOKUP(G5380,WholesaleExtract!B:M,12,FALSE),"")</f>
        <v/>
      </c>
      <c r="R5380" s="19"/>
      <c r="S5380" s="19"/>
    </row>
    <row r="5381" spans="1:19" x14ac:dyDescent="0.35">
      <c r="A5381" s="26" t="s">
        <v>543</v>
      </c>
      <c r="B5381" s="26" t="s">
        <v>543</v>
      </c>
      <c r="C5381" s="26"/>
      <c r="D5381" s="26" t="s">
        <v>543</v>
      </c>
      <c r="E5381" s="26" t="str">
        <f>IFERROR(VLOOKUP(G5381,WholesaleExtract!B:J,9,FALSE),"")</f>
        <v/>
      </c>
      <c r="F5381" s="26" t="str">
        <f>IFERROR(VLOOKUP(G5381,WholesaleExtract!B:J,6,FALSE),"")</f>
        <v/>
      </c>
      <c r="H5381" s="47" t="str">
        <f>IFERROR(VLOOKUP(G5381,WholesaleExtract!B:L,11,FALSE),"")</f>
        <v/>
      </c>
      <c r="I5381" s="26" t="str">
        <f>IFERROR(VLOOKUP(G5381,WholesaleExtract!B:O,8,FALSE),"")</f>
        <v/>
      </c>
      <c r="J5381" s="26" t="str">
        <f>IFERROR(VLOOKUP(G5381,WholesaleExtract!B:O,14,FALSE),"")</f>
        <v/>
      </c>
      <c r="K5381" s="26" t="str">
        <f>IFERROR(VLOOKUP(G5381,WholesaleExtract!B:K,10,FALSE),"")</f>
        <v/>
      </c>
      <c r="L5381" s="47" t="str">
        <f>IFERROR(VLOOKUP(G5381,WholesaleExtract!B:L,11,FALSE),"")</f>
        <v/>
      </c>
      <c r="M5381" s="47" t="str">
        <f>IFERROR(VLOOKUP(G5381,WholesaleExtract!B:M,12,FALSE),"")</f>
        <v/>
      </c>
      <c r="R5381" s="19"/>
      <c r="S5381" s="19"/>
    </row>
    <row r="5382" spans="1:19" x14ac:dyDescent="0.35">
      <c r="A5382" s="26" t="s">
        <v>543</v>
      </c>
      <c r="B5382" s="26" t="s">
        <v>543</v>
      </c>
      <c r="C5382" s="26"/>
      <c r="D5382" s="26" t="s">
        <v>543</v>
      </c>
      <c r="E5382" s="26" t="str">
        <f>IFERROR(VLOOKUP(G5382,WholesaleExtract!B:J,9,FALSE),"")</f>
        <v/>
      </c>
      <c r="F5382" s="26" t="str">
        <f>IFERROR(VLOOKUP(G5382,WholesaleExtract!B:J,6,FALSE),"")</f>
        <v/>
      </c>
      <c r="H5382" s="47" t="str">
        <f>IFERROR(VLOOKUP(G5382,WholesaleExtract!B:L,11,FALSE),"")</f>
        <v/>
      </c>
      <c r="I5382" s="26" t="str">
        <f>IFERROR(VLOOKUP(G5382,WholesaleExtract!B:O,8,FALSE),"")</f>
        <v/>
      </c>
      <c r="J5382" s="26" t="str">
        <f>IFERROR(VLOOKUP(G5382,WholesaleExtract!B:O,14,FALSE),"")</f>
        <v/>
      </c>
      <c r="K5382" s="26" t="str">
        <f>IFERROR(VLOOKUP(G5382,WholesaleExtract!B:K,10,FALSE),"")</f>
        <v/>
      </c>
      <c r="L5382" s="47" t="str">
        <f>IFERROR(VLOOKUP(G5382,WholesaleExtract!B:L,11,FALSE),"")</f>
        <v/>
      </c>
      <c r="M5382" s="47" t="str">
        <f>IFERROR(VLOOKUP(G5382,WholesaleExtract!B:M,12,FALSE),"")</f>
        <v/>
      </c>
      <c r="R5382" s="19"/>
      <c r="S5382" s="19"/>
    </row>
    <row r="5383" spans="1:19" x14ac:dyDescent="0.35">
      <c r="A5383" s="26" t="s">
        <v>543</v>
      </c>
      <c r="B5383" s="26" t="s">
        <v>543</v>
      </c>
      <c r="C5383" s="26"/>
      <c r="D5383" s="26" t="s">
        <v>543</v>
      </c>
      <c r="E5383" s="26" t="str">
        <f>IFERROR(VLOOKUP(G5383,WholesaleExtract!B:J,9,FALSE),"")</f>
        <v/>
      </c>
      <c r="F5383" s="26" t="str">
        <f>IFERROR(VLOOKUP(G5383,WholesaleExtract!B:J,6,FALSE),"")</f>
        <v/>
      </c>
      <c r="H5383" s="47" t="str">
        <f>IFERROR(VLOOKUP(G5383,WholesaleExtract!B:L,11,FALSE),"")</f>
        <v/>
      </c>
      <c r="I5383" s="26" t="str">
        <f>IFERROR(VLOOKUP(G5383,WholesaleExtract!B:O,8,FALSE),"")</f>
        <v/>
      </c>
      <c r="J5383" s="26" t="str">
        <f>IFERROR(VLOOKUP(G5383,WholesaleExtract!B:O,14,FALSE),"")</f>
        <v/>
      </c>
      <c r="K5383" s="26" t="str">
        <f>IFERROR(VLOOKUP(G5383,WholesaleExtract!B:K,10,FALSE),"")</f>
        <v/>
      </c>
      <c r="L5383" s="47" t="str">
        <f>IFERROR(VLOOKUP(G5383,WholesaleExtract!B:L,11,FALSE),"")</f>
        <v/>
      </c>
      <c r="M5383" s="47" t="str">
        <f>IFERROR(VLOOKUP(G5383,WholesaleExtract!B:M,12,FALSE),"")</f>
        <v/>
      </c>
      <c r="R5383" s="19"/>
      <c r="S5383" s="19"/>
    </row>
    <row r="5384" spans="1:19" x14ac:dyDescent="0.35">
      <c r="A5384" s="26" t="s">
        <v>543</v>
      </c>
      <c r="B5384" s="26" t="s">
        <v>543</v>
      </c>
      <c r="C5384" s="26"/>
      <c r="D5384" s="26" t="s">
        <v>543</v>
      </c>
      <c r="E5384" s="26" t="str">
        <f>IFERROR(VLOOKUP(G5384,WholesaleExtract!B:J,9,FALSE),"")</f>
        <v/>
      </c>
      <c r="F5384" s="26" t="str">
        <f>IFERROR(VLOOKUP(G5384,WholesaleExtract!B:J,6,FALSE),"")</f>
        <v/>
      </c>
      <c r="H5384" s="47" t="str">
        <f>IFERROR(VLOOKUP(G5384,WholesaleExtract!B:L,11,FALSE),"")</f>
        <v/>
      </c>
      <c r="I5384" s="26" t="str">
        <f>IFERROR(VLOOKUP(G5384,WholesaleExtract!B:O,8,FALSE),"")</f>
        <v/>
      </c>
      <c r="J5384" s="26" t="str">
        <f>IFERROR(VLOOKUP(G5384,WholesaleExtract!B:O,14,FALSE),"")</f>
        <v/>
      </c>
      <c r="K5384" s="26" t="str">
        <f>IFERROR(VLOOKUP(G5384,WholesaleExtract!B:K,10,FALSE),"")</f>
        <v/>
      </c>
      <c r="L5384" s="47" t="str">
        <f>IFERROR(VLOOKUP(G5384,WholesaleExtract!B:L,11,FALSE),"")</f>
        <v/>
      </c>
      <c r="M5384" s="47" t="str">
        <f>IFERROR(VLOOKUP(G5384,WholesaleExtract!B:M,12,FALSE),"")</f>
        <v/>
      </c>
      <c r="R5384" s="19"/>
      <c r="S5384" s="19"/>
    </row>
    <row r="5385" spans="1:19" x14ac:dyDescent="0.35">
      <c r="A5385" s="26" t="s">
        <v>543</v>
      </c>
      <c r="B5385" s="26" t="s">
        <v>543</v>
      </c>
      <c r="C5385" s="26"/>
      <c r="D5385" s="26" t="s">
        <v>543</v>
      </c>
      <c r="E5385" s="26" t="str">
        <f>IFERROR(VLOOKUP(G5385,WholesaleExtract!B:J,9,FALSE),"")</f>
        <v/>
      </c>
      <c r="F5385" s="26" t="str">
        <f>IFERROR(VLOOKUP(G5385,WholesaleExtract!B:J,6,FALSE),"")</f>
        <v/>
      </c>
      <c r="H5385" s="47" t="str">
        <f>IFERROR(VLOOKUP(G5385,WholesaleExtract!B:L,11,FALSE),"")</f>
        <v/>
      </c>
      <c r="I5385" s="26" t="str">
        <f>IFERROR(VLOOKUP(G5385,WholesaleExtract!B:O,8,FALSE),"")</f>
        <v/>
      </c>
      <c r="J5385" s="26" t="str">
        <f>IFERROR(VLOOKUP(G5385,WholesaleExtract!B:O,14,FALSE),"")</f>
        <v/>
      </c>
      <c r="K5385" s="26" t="str">
        <f>IFERROR(VLOOKUP(G5385,WholesaleExtract!B:K,10,FALSE),"")</f>
        <v/>
      </c>
      <c r="L5385" s="47" t="str">
        <f>IFERROR(VLOOKUP(G5385,WholesaleExtract!B:L,11,FALSE),"")</f>
        <v/>
      </c>
      <c r="M5385" s="47" t="str">
        <f>IFERROR(VLOOKUP(G5385,WholesaleExtract!B:M,12,FALSE),"")</f>
        <v/>
      </c>
      <c r="R5385" s="19"/>
      <c r="S5385" s="19"/>
    </row>
    <row r="5386" spans="1:19" x14ac:dyDescent="0.35">
      <c r="A5386" s="26" t="s">
        <v>543</v>
      </c>
      <c r="B5386" s="26" t="s">
        <v>543</v>
      </c>
      <c r="C5386" s="26"/>
      <c r="D5386" s="26" t="s">
        <v>543</v>
      </c>
      <c r="E5386" s="26" t="str">
        <f>IFERROR(VLOOKUP(G5386,WholesaleExtract!B:J,9,FALSE),"")</f>
        <v/>
      </c>
      <c r="F5386" s="26" t="str">
        <f>IFERROR(VLOOKUP(G5386,WholesaleExtract!B:J,6,FALSE),"")</f>
        <v/>
      </c>
      <c r="H5386" s="47" t="str">
        <f>IFERROR(VLOOKUP(G5386,WholesaleExtract!B:L,11,FALSE),"")</f>
        <v/>
      </c>
      <c r="I5386" s="26" t="str">
        <f>IFERROR(VLOOKUP(G5386,WholesaleExtract!B:O,8,FALSE),"")</f>
        <v/>
      </c>
      <c r="J5386" s="26" t="str">
        <f>IFERROR(VLOOKUP(G5386,WholesaleExtract!B:O,14,FALSE),"")</f>
        <v/>
      </c>
      <c r="K5386" s="26" t="str">
        <f>IFERROR(VLOOKUP(G5386,WholesaleExtract!B:K,10,FALSE),"")</f>
        <v/>
      </c>
      <c r="L5386" s="47" t="str">
        <f>IFERROR(VLOOKUP(G5386,WholesaleExtract!B:L,11,FALSE),"")</f>
        <v/>
      </c>
      <c r="M5386" s="47" t="str">
        <f>IFERROR(VLOOKUP(G5386,WholesaleExtract!B:M,12,FALSE),"")</f>
        <v/>
      </c>
      <c r="R5386" s="19"/>
      <c r="S5386" s="19"/>
    </row>
    <row r="5387" spans="1:19" x14ac:dyDescent="0.35">
      <c r="A5387" s="26" t="s">
        <v>543</v>
      </c>
      <c r="B5387" s="26" t="s">
        <v>543</v>
      </c>
      <c r="C5387" s="26"/>
      <c r="D5387" s="26" t="s">
        <v>543</v>
      </c>
      <c r="E5387" s="26" t="str">
        <f>IFERROR(VLOOKUP(G5387,WholesaleExtract!B:J,9,FALSE),"")</f>
        <v/>
      </c>
      <c r="F5387" s="26" t="str">
        <f>IFERROR(VLOOKUP(G5387,WholesaleExtract!B:J,6,FALSE),"")</f>
        <v/>
      </c>
      <c r="H5387" s="47" t="str">
        <f>IFERROR(VLOOKUP(G5387,WholesaleExtract!B:L,11,FALSE),"")</f>
        <v/>
      </c>
      <c r="I5387" s="26" t="str">
        <f>IFERROR(VLOOKUP(G5387,WholesaleExtract!B:O,8,FALSE),"")</f>
        <v/>
      </c>
      <c r="J5387" s="26" t="str">
        <f>IFERROR(VLOOKUP(G5387,WholesaleExtract!B:O,14,FALSE),"")</f>
        <v/>
      </c>
      <c r="K5387" s="26" t="str">
        <f>IFERROR(VLOOKUP(G5387,WholesaleExtract!B:K,10,FALSE),"")</f>
        <v/>
      </c>
      <c r="L5387" s="47" t="str">
        <f>IFERROR(VLOOKUP(G5387,WholesaleExtract!B:L,11,FALSE),"")</f>
        <v/>
      </c>
      <c r="M5387" s="47" t="str">
        <f>IFERROR(VLOOKUP(G5387,WholesaleExtract!B:M,12,FALSE),"")</f>
        <v/>
      </c>
      <c r="R5387" s="19"/>
      <c r="S5387" s="19"/>
    </row>
    <row r="5388" spans="1:19" x14ac:dyDescent="0.35">
      <c r="A5388" s="26" t="s">
        <v>543</v>
      </c>
      <c r="B5388" s="26" t="s">
        <v>543</v>
      </c>
      <c r="C5388" s="26"/>
      <c r="D5388" s="26" t="s">
        <v>543</v>
      </c>
      <c r="E5388" s="26" t="str">
        <f>IFERROR(VLOOKUP(G5388,WholesaleExtract!B:J,9,FALSE),"")</f>
        <v/>
      </c>
      <c r="F5388" s="26" t="str">
        <f>IFERROR(VLOOKUP(G5388,WholesaleExtract!B:J,6,FALSE),"")</f>
        <v/>
      </c>
      <c r="H5388" s="47" t="str">
        <f>IFERROR(VLOOKUP(G5388,WholesaleExtract!B:L,11,FALSE),"")</f>
        <v/>
      </c>
      <c r="I5388" s="26" t="str">
        <f>IFERROR(VLOOKUP(G5388,WholesaleExtract!B:O,8,FALSE),"")</f>
        <v/>
      </c>
      <c r="J5388" s="26" t="str">
        <f>IFERROR(VLOOKUP(G5388,WholesaleExtract!B:O,14,FALSE),"")</f>
        <v/>
      </c>
      <c r="K5388" s="26" t="str">
        <f>IFERROR(VLOOKUP(G5388,WholesaleExtract!B:K,10,FALSE),"")</f>
        <v/>
      </c>
      <c r="L5388" s="47" t="str">
        <f>IFERROR(VLOOKUP(G5388,WholesaleExtract!B:L,11,FALSE),"")</f>
        <v/>
      </c>
      <c r="M5388" s="47" t="str">
        <f>IFERROR(VLOOKUP(G5388,WholesaleExtract!B:M,12,FALSE),"")</f>
        <v/>
      </c>
      <c r="R5388" s="19"/>
      <c r="S5388" s="19"/>
    </row>
    <row r="5389" spans="1:19" x14ac:dyDescent="0.35">
      <c r="A5389" s="26" t="s">
        <v>543</v>
      </c>
      <c r="B5389" s="26" t="s">
        <v>543</v>
      </c>
      <c r="C5389" s="26"/>
      <c r="D5389" s="26" t="s">
        <v>543</v>
      </c>
      <c r="E5389" s="26" t="str">
        <f>IFERROR(VLOOKUP(G5389,WholesaleExtract!B:J,9,FALSE),"")</f>
        <v/>
      </c>
      <c r="F5389" s="26" t="str">
        <f>IFERROR(VLOOKUP(G5389,WholesaleExtract!B:J,6,FALSE),"")</f>
        <v/>
      </c>
      <c r="H5389" s="47" t="str">
        <f>IFERROR(VLOOKUP(G5389,WholesaleExtract!B:L,11,FALSE),"")</f>
        <v/>
      </c>
      <c r="I5389" s="26" t="str">
        <f>IFERROR(VLOOKUP(G5389,WholesaleExtract!B:O,8,FALSE),"")</f>
        <v/>
      </c>
      <c r="J5389" s="26" t="str">
        <f>IFERROR(VLOOKUP(G5389,WholesaleExtract!B:O,14,FALSE),"")</f>
        <v/>
      </c>
      <c r="K5389" s="26" t="str">
        <f>IFERROR(VLOOKUP(G5389,WholesaleExtract!B:K,10,FALSE),"")</f>
        <v/>
      </c>
      <c r="L5389" s="47" t="str">
        <f>IFERROR(VLOOKUP(G5389,WholesaleExtract!B:L,11,FALSE),"")</f>
        <v/>
      </c>
      <c r="M5389" s="47" t="str">
        <f>IFERROR(VLOOKUP(G5389,WholesaleExtract!B:M,12,FALSE),"")</f>
        <v/>
      </c>
      <c r="R5389" s="19"/>
      <c r="S5389" s="19"/>
    </row>
    <row r="5390" spans="1:19" x14ac:dyDescent="0.35">
      <c r="A5390" s="26" t="s">
        <v>543</v>
      </c>
      <c r="B5390" s="26" t="s">
        <v>543</v>
      </c>
      <c r="C5390" s="26"/>
      <c r="D5390" s="26" t="s">
        <v>543</v>
      </c>
      <c r="E5390" s="26" t="str">
        <f>IFERROR(VLOOKUP(G5390,WholesaleExtract!B:J,9,FALSE),"")</f>
        <v/>
      </c>
      <c r="F5390" s="26" t="str">
        <f>IFERROR(VLOOKUP(G5390,WholesaleExtract!B:J,6,FALSE),"")</f>
        <v/>
      </c>
      <c r="H5390" s="47" t="str">
        <f>IFERROR(VLOOKUP(G5390,WholesaleExtract!B:L,11,FALSE),"")</f>
        <v/>
      </c>
      <c r="I5390" s="26" t="str">
        <f>IFERROR(VLOOKUP(G5390,WholesaleExtract!B:O,8,FALSE),"")</f>
        <v/>
      </c>
      <c r="J5390" s="26" t="str">
        <f>IFERROR(VLOOKUP(G5390,WholesaleExtract!B:O,14,FALSE),"")</f>
        <v/>
      </c>
      <c r="K5390" s="26" t="str">
        <f>IFERROR(VLOOKUP(G5390,WholesaleExtract!B:K,10,FALSE),"")</f>
        <v/>
      </c>
      <c r="L5390" s="47" t="str">
        <f>IFERROR(VLOOKUP(G5390,WholesaleExtract!B:L,11,FALSE),"")</f>
        <v/>
      </c>
      <c r="M5390" s="47" t="str">
        <f>IFERROR(VLOOKUP(G5390,WholesaleExtract!B:M,12,FALSE),"")</f>
        <v/>
      </c>
      <c r="R5390" s="19"/>
      <c r="S5390" s="19"/>
    </row>
    <row r="5391" spans="1:19" x14ac:dyDescent="0.35">
      <c r="A5391" s="26" t="s">
        <v>543</v>
      </c>
      <c r="B5391" s="26" t="s">
        <v>543</v>
      </c>
      <c r="C5391" s="26"/>
      <c r="D5391" s="26" t="s">
        <v>543</v>
      </c>
      <c r="E5391" s="26" t="str">
        <f>IFERROR(VLOOKUP(G5391,WholesaleExtract!B:J,9,FALSE),"")</f>
        <v/>
      </c>
      <c r="F5391" s="26" t="str">
        <f>IFERROR(VLOOKUP(G5391,WholesaleExtract!B:J,6,FALSE),"")</f>
        <v/>
      </c>
      <c r="H5391" s="47" t="str">
        <f>IFERROR(VLOOKUP(G5391,WholesaleExtract!B:L,11,FALSE),"")</f>
        <v/>
      </c>
      <c r="I5391" s="26" t="str">
        <f>IFERROR(VLOOKUP(G5391,WholesaleExtract!B:O,8,FALSE),"")</f>
        <v/>
      </c>
      <c r="J5391" s="26" t="str">
        <f>IFERROR(VLOOKUP(G5391,WholesaleExtract!B:O,14,FALSE),"")</f>
        <v/>
      </c>
      <c r="K5391" s="26" t="str">
        <f>IFERROR(VLOOKUP(G5391,WholesaleExtract!B:K,10,FALSE),"")</f>
        <v/>
      </c>
      <c r="L5391" s="47" t="str">
        <f>IFERROR(VLOOKUP(G5391,WholesaleExtract!B:L,11,FALSE),"")</f>
        <v/>
      </c>
      <c r="M5391" s="47" t="str">
        <f>IFERROR(VLOOKUP(G5391,WholesaleExtract!B:M,12,FALSE),"")</f>
        <v/>
      </c>
      <c r="R5391" s="19"/>
      <c r="S5391" s="19"/>
    </row>
    <row r="5392" spans="1:19" x14ac:dyDescent="0.35">
      <c r="A5392" s="26" t="s">
        <v>543</v>
      </c>
      <c r="B5392" s="26" t="s">
        <v>543</v>
      </c>
      <c r="C5392" s="26"/>
      <c r="D5392" s="26" t="s">
        <v>543</v>
      </c>
      <c r="E5392" s="26" t="str">
        <f>IFERROR(VLOOKUP(G5392,WholesaleExtract!B:J,9,FALSE),"")</f>
        <v/>
      </c>
      <c r="F5392" s="26" t="str">
        <f>IFERROR(VLOOKUP(G5392,WholesaleExtract!B:J,6,FALSE),"")</f>
        <v/>
      </c>
      <c r="H5392" s="47" t="str">
        <f>IFERROR(VLOOKUP(G5392,WholesaleExtract!B:L,11,FALSE),"")</f>
        <v/>
      </c>
      <c r="I5392" s="26" t="str">
        <f>IFERROR(VLOOKUP(G5392,WholesaleExtract!B:O,8,FALSE),"")</f>
        <v/>
      </c>
      <c r="J5392" s="26" t="str">
        <f>IFERROR(VLOOKUP(G5392,WholesaleExtract!B:O,14,FALSE),"")</f>
        <v/>
      </c>
      <c r="K5392" s="26" t="str">
        <f>IFERROR(VLOOKUP(G5392,WholesaleExtract!B:K,10,FALSE),"")</f>
        <v/>
      </c>
      <c r="L5392" s="47" t="str">
        <f>IFERROR(VLOOKUP(G5392,WholesaleExtract!B:L,11,FALSE),"")</f>
        <v/>
      </c>
      <c r="M5392" s="47" t="str">
        <f>IFERROR(VLOOKUP(G5392,WholesaleExtract!B:M,12,FALSE),"")</f>
        <v/>
      </c>
      <c r="R5392" s="19"/>
      <c r="S5392" s="19"/>
    </row>
    <row r="5393" spans="1:19" x14ac:dyDescent="0.35">
      <c r="A5393" s="26" t="s">
        <v>543</v>
      </c>
      <c r="B5393" s="26" t="s">
        <v>543</v>
      </c>
      <c r="C5393" s="26"/>
      <c r="D5393" s="26" t="s">
        <v>543</v>
      </c>
      <c r="E5393" s="26" t="str">
        <f>IFERROR(VLOOKUP(G5393,WholesaleExtract!B:J,9,FALSE),"")</f>
        <v/>
      </c>
      <c r="F5393" s="26" t="str">
        <f>IFERROR(VLOOKUP(G5393,WholesaleExtract!B:J,6,FALSE),"")</f>
        <v/>
      </c>
      <c r="H5393" s="47" t="str">
        <f>IFERROR(VLOOKUP(G5393,WholesaleExtract!B:L,11,FALSE),"")</f>
        <v/>
      </c>
      <c r="I5393" s="26" t="str">
        <f>IFERROR(VLOOKUP(G5393,WholesaleExtract!B:O,8,FALSE),"")</f>
        <v/>
      </c>
      <c r="J5393" s="26" t="str">
        <f>IFERROR(VLOOKUP(G5393,WholesaleExtract!B:O,14,FALSE),"")</f>
        <v/>
      </c>
      <c r="K5393" s="26" t="str">
        <f>IFERROR(VLOOKUP(G5393,WholesaleExtract!B:K,10,FALSE),"")</f>
        <v/>
      </c>
      <c r="L5393" s="47" t="str">
        <f>IFERROR(VLOOKUP(G5393,WholesaleExtract!B:L,11,FALSE),"")</f>
        <v/>
      </c>
      <c r="M5393" s="47" t="str">
        <f>IFERROR(VLOOKUP(G5393,WholesaleExtract!B:M,12,FALSE),"")</f>
        <v/>
      </c>
      <c r="R5393" s="19"/>
      <c r="S5393" s="19"/>
    </row>
    <row r="5394" spans="1:19" x14ac:dyDescent="0.35">
      <c r="A5394" s="26" t="s">
        <v>543</v>
      </c>
      <c r="B5394" s="26" t="s">
        <v>543</v>
      </c>
      <c r="C5394" s="26"/>
      <c r="D5394" s="26" t="s">
        <v>543</v>
      </c>
      <c r="E5394" s="26" t="str">
        <f>IFERROR(VLOOKUP(G5394,WholesaleExtract!B:J,9,FALSE),"")</f>
        <v/>
      </c>
      <c r="F5394" s="26" t="str">
        <f>IFERROR(VLOOKUP(G5394,WholesaleExtract!B:J,6,FALSE),"")</f>
        <v/>
      </c>
      <c r="H5394" s="47" t="str">
        <f>IFERROR(VLOOKUP(G5394,WholesaleExtract!B:L,11,FALSE),"")</f>
        <v/>
      </c>
      <c r="I5394" s="26" t="str">
        <f>IFERROR(VLOOKUP(G5394,WholesaleExtract!B:O,8,FALSE),"")</f>
        <v/>
      </c>
      <c r="J5394" s="26" t="str">
        <f>IFERROR(VLOOKUP(G5394,WholesaleExtract!B:O,14,FALSE),"")</f>
        <v/>
      </c>
      <c r="K5394" s="26" t="str">
        <f>IFERROR(VLOOKUP(G5394,WholesaleExtract!B:K,10,FALSE),"")</f>
        <v/>
      </c>
      <c r="L5394" s="47" t="str">
        <f>IFERROR(VLOOKUP(G5394,WholesaleExtract!B:L,11,FALSE),"")</f>
        <v/>
      </c>
      <c r="M5394" s="47" t="str">
        <f>IFERROR(VLOOKUP(G5394,WholesaleExtract!B:M,12,FALSE),"")</f>
        <v/>
      </c>
      <c r="R5394" s="19"/>
      <c r="S5394" s="19"/>
    </row>
    <row r="5395" spans="1:19" x14ac:dyDescent="0.35">
      <c r="A5395" s="26" t="s">
        <v>543</v>
      </c>
      <c r="B5395" s="26" t="s">
        <v>543</v>
      </c>
      <c r="C5395" s="26"/>
      <c r="D5395" s="26" t="s">
        <v>543</v>
      </c>
      <c r="E5395" s="26" t="str">
        <f>IFERROR(VLOOKUP(G5395,WholesaleExtract!B:J,9,FALSE),"")</f>
        <v/>
      </c>
      <c r="F5395" s="26" t="str">
        <f>IFERROR(VLOOKUP(G5395,WholesaleExtract!B:J,6,FALSE),"")</f>
        <v/>
      </c>
      <c r="H5395" s="47" t="str">
        <f>IFERROR(VLOOKUP(G5395,WholesaleExtract!B:L,11,FALSE),"")</f>
        <v/>
      </c>
      <c r="I5395" s="26" t="str">
        <f>IFERROR(VLOOKUP(G5395,WholesaleExtract!B:O,8,FALSE),"")</f>
        <v/>
      </c>
      <c r="J5395" s="26" t="str">
        <f>IFERROR(VLOOKUP(G5395,WholesaleExtract!B:O,14,FALSE),"")</f>
        <v/>
      </c>
      <c r="K5395" s="26" t="str">
        <f>IFERROR(VLOOKUP(G5395,WholesaleExtract!B:K,10,FALSE),"")</f>
        <v/>
      </c>
      <c r="L5395" s="47" t="str">
        <f>IFERROR(VLOOKUP(G5395,WholesaleExtract!B:L,11,FALSE),"")</f>
        <v/>
      </c>
      <c r="M5395" s="47" t="str">
        <f>IFERROR(VLOOKUP(G5395,WholesaleExtract!B:M,12,FALSE),"")</f>
        <v/>
      </c>
      <c r="R5395" s="19"/>
      <c r="S5395" s="19"/>
    </row>
    <row r="5396" spans="1:19" x14ac:dyDescent="0.35">
      <c r="A5396" s="26" t="s">
        <v>543</v>
      </c>
      <c r="B5396" s="26" t="s">
        <v>543</v>
      </c>
      <c r="C5396" s="26"/>
      <c r="D5396" s="26" t="s">
        <v>543</v>
      </c>
      <c r="E5396" s="26" t="str">
        <f>IFERROR(VLOOKUP(G5396,WholesaleExtract!B:J,9,FALSE),"")</f>
        <v/>
      </c>
      <c r="F5396" s="26" t="str">
        <f>IFERROR(VLOOKUP(G5396,WholesaleExtract!B:J,6,FALSE),"")</f>
        <v/>
      </c>
      <c r="H5396" s="47" t="str">
        <f>IFERROR(VLOOKUP(G5396,WholesaleExtract!B:L,11,FALSE),"")</f>
        <v/>
      </c>
      <c r="I5396" s="26" t="str">
        <f>IFERROR(VLOOKUP(G5396,WholesaleExtract!B:O,8,FALSE),"")</f>
        <v/>
      </c>
      <c r="J5396" s="26" t="str">
        <f>IFERROR(VLOOKUP(G5396,WholesaleExtract!B:O,14,FALSE),"")</f>
        <v/>
      </c>
      <c r="K5396" s="26" t="str">
        <f>IFERROR(VLOOKUP(G5396,WholesaleExtract!B:K,10,FALSE),"")</f>
        <v/>
      </c>
      <c r="L5396" s="47" t="str">
        <f>IFERROR(VLOOKUP(G5396,WholesaleExtract!B:L,11,FALSE),"")</f>
        <v/>
      </c>
      <c r="M5396" s="47" t="str">
        <f>IFERROR(VLOOKUP(G5396,WholesaleExtract!B:M,12,FALSE),"")</f>
        <v/>
      </c>
      <c r="R5396" s="19"/>
      <c r="S5396" s="19"/>
    </row>
    <row r="5397" spans="1:19" x14ac:dyDescent="0.35">
      <c r="A5397" s="26" t="s">
        <v>543</v>
      </c>
      <c r="B5397" s="26" t="s">
        <v>543</v>
      </c>
      <c r="C5397" s="26"/>
      <c r="D5397" s="26" t="s">
        <v>543</v>
      </c>
      <c r="E5397" s="26" t="str">
        <f>IFERROR(VLOOKUP(G5397,WholesaleExtract!B:J,9,FALSE),"")</f>
        <v/>
      </c>
      <c r="F5397" s="26" t="str">
        <f>IFERROR(VLOOKUP(G5397,WholesaleExtract!B:J,6,FALSE),"")</f>
        <v/>
      </c>
      <c r="H5397" s="47" t="str">
        <f>IFERROR(VLOOKUP(G5397,WholesaleExtract!B:L,11,FALSE),"")</f>
        <v/>
      </c>
      <c r="I5397" s="26" t="str">
        <f>IFERROR(VLOOKUP(G5397,WholesaleExtract!B:O,8,FALSE),"")</f>
        <v/>
      </c>
      <c r="J5397" s="26" t="str">
        <f>IFERROR(VLOOKUP(G5397,WholesaleExtract!B:O,14,FALSE),"")</f>
        <v/>
      </c>
      <c r="K5397" s="26" t="str">
        <f>IFERROR(VLOOKUP(G5397,WholesaleExtract!B:K,10,FALSE),"")</f>
        <v/>
      </c>
      <c r="L5397" s="47" t="str">
        <f>IFERROR(VLOOKUP(G5397,WholesaleExtract!B:L,11,FALSE),"")</f>
        <v/>
      </c>
      <c r="M5397" s="47" t="str">
        <f>IFERROR(VLOOKUP(G5397,WholesaleExtract!B:M,12,FALSE),"")</f>
        <v/>
      </c>
      <c r="R5397" s="19"/>
      <c r="S5397" s="19"/>
    </row>
    <row r="5398" spans="1:19" x14ac:dyDescent="0.35">
      <c r="A5398" s="26" t="s">
        <v>543</v>
      </c>
      <c r="B5398" s="26" t="s">
        <v>543</v>
      </c>
      <c r="C5398" s="26"/>
      <c r="D5398" s="26" t="s">
        <v>543</v>
      </c>
      <c r="E5398" s="26" t="str">
        <f>IFERROR(VLOOKUP(G5398,WholesaleExtract!B:J,9,FALSE),"")</f>
        <v/>
      </c>
      <c r="F5398" s="26" t="str">
        <f>IFERROR(VLOOKUP(G5398,WholesaleExtract!B:J,6,FALSE),"")</f>
        <v/>
      </c>
      <c r="H5398" s="47" t="str">
        <f>IFERROR(VLOOKUP(G5398,WholesaleExtract!B:L,11,FALSE),"")</f>
        <v/>
      </c>
      <c r="I5398" s="26" t="str">
        <f>IFERROR(VLOOKUP(G5398,WholesaleExtract!B:O,8,FALSE),"")</f>
        <v/>
      </c>
      <c r="J5398" s="26" t="str">
        <f>IFERROR(VLOOKUP(G5398,WholesaleExtract!B:O,14,FALSE),"")</f>
        <v/>
      </c>
      <c r="K5398" s="26" t="str">
        <f>IFERROR(VLOOKUP(G5398,WholesaleExtract!B:K,10,FALSE),"")</f>
        <v/>
      </c>
      <c r="L5398" s="47" t="str">
        <f>IFERROR(VLOOKUP(G5398,WholesaleExtract!B:L,11,FALSE),"")</f>
        <v/>
      </c>
      <c r="M5398" s="47" t="str">
        <f>IFERROR(VLOOKUP(G5398,WholesaleExtract!B:M,12,FALSE),"")</f>
        <v/>
      </c>
      <c r="R5398" s="19"/>
      <c r="S5398" s="19"/>
    </row>
    <row r="5399" spans="1:19" x14ac:dyDescent="0.35">
      <c r="A5399" s="26" t="s">
        <v>543</v>
      </c>
      <c r="B5399" s="26" t="s">
        <v>543</v>
      </c>
      <c r="C5399" s="26"/>
      <c r="D5399" s="26" t="s">
        <v>543</v>
      </c>
      <c r="E5399" s="26" t="str">
        <f>IFERROR(VLOOKUP(G5399,WholesaleExtract!B:J,9,FALSE),"")</f>
        <v/>
      </c>
      <c r="F5399" s="26" t="str">
        <f>IFERROR(VLOOKUP(G5399,WholesaleExtract!B:J,6,FALSE),"")</f>
        <v/>
      </c>
      <c r="H5399" s="47" t="str">
        <f>IFERROR(VLOOKUP(G5399,WholesaleExtract!B:L,11,FALSE),"")</f>
        <v/>
      </c>
      <c r="I5399" s="26" t="str">
        <f>IFERROR(VLOOKUP(G5399,WholesaleExtract!B:O,8,FALSE),"")</f>
        <v/>
      </c>
      <c r="J5399" s="26" t="str">
        <f>IFERROR(VLOOKUP(G5399,WholesaleExtract!B:O,14,FALSE),"")</f>
        <v/>
      </c>
      <c r="K5399" s="26" t="str">
        <f>IFERROR(VLOOKUP(G5399,WholesaleExtract!B:K,10,FALSE),"")</f>
        <v/>
      </c>
      <c r="L5399" s="47" t="str">
        <f>IFERROR(VLOOKUP(G5399,WholesaleExtract!B:L,11,FALSE),"")</f>
        <v/>
      </c>
      <c r="M5399" s="47" t="str">
        <f>IFERROR(VLOOKUP(G5399,WholesaleExtract!B:M,12,FALSE),"")</f>
        <v/>
      </c>
      <c r="R5399" s="19"/>
      <c r="S5399" s="19"/>
    </row>
    <row r="5400" spans="1:19" x14ac:dyDescent="0.35">
      <c r="A5400" s="26" t="s">
        <v>543</v>
      </c>
      <c r="B5400" s="26" t="s">
        <v>543</v>
      </c>
      <c r="C5400" s="26"/>
      <c r="D5400" s="26" t="s">
        <v>543</v>
      </c>
      <c r="E5400" s="26" t="str">
        <f>IFERROR(VLOOKUP(G5400,WholesaleExtract!B:J,9,FALSE),"")</f>
        <v/>
      </c>
      <c r="F5400" s="26" t="str">
        <f>IFERROR(VLOOKUP(G5400,WholesaleExtract!B:J,6,FALSE),"")</f>
        <v/>
      </c>
      <c r="H5400" s="47" t="str">
        <f>IFERROR(VLOOKUP(G5400,WholesaleExtract!B:L,11,FALSE),"")</f>
        <v/>
      </c>
      <c r="I5400" s="26" t="str">
        <f>IFERROR(VLOOKUP(G5400,WholesaleExtract!B:O,8,FALSE),"")</f>
        <v/>
      </c>
      <c r="J5400" s="26" t="str">
        <f>IFERROR(VLOOKUP(G5400,WholesaleExtract!B:O,14,FALSE),"")</f>
        <v/>
      </c>
      <c r="K5400" s="26" t="str">
        <f>IFERROR(VLOOKUP(G5400,WholesaleExtract!B:K,10,FALSE),"")</f>
        <v/>
      </c>
      <c r="L5400" s="47" t="str">
        <f>IFERROR(VLOOKUP(G5400,WholesaleExtract!B:L,11,FALSE),"")</f>
        <v/>
      </c>
      <c r="M5400" s="47" t="str">
        <f>IFERROR(VLOOKUP(G5400,WholesaleExtract!B:M,12,FALSE),"")</f>
        <v/>
      </c>
      <c r="R5400" s="19"/>
      <c r="S5400" s="19"/>
    </row>
    <row r="5401" spans="1:19" x14ac:dyDescent="0.35">
      <c r="A5401" s="26" t="s">
        <v>543</v>
      </c>
      <c r="B5401" s="26" t="s">
        <v>543</v>
      </c>
      <c r="C5401" s="26"/>
      <c r="D5401" s="26" t="s">
        <v>543</v>
      </c>
      <c r="E5401" s="26" t="str">
        <f>IFERROR(VLOOKUP(G5401,WholesaleExtract!B:J,9,FALSE),"")</f>
        <v/>
      </c>
      <c r="F5401" s="26" t="str">
        <f>IFERROR(VLOOKUP(G5401,WholesaleExtract!B:J,6,FALSE),"")</f>
        <v/>
      </c>
      <c r="H5401" s="47" t="str">
        <f>IFERROR(VLOOKUP(G5401,WholesaleExtract!B:L,11,FALSE),"")</f>
        <v/>
      </c>
      <c r="I5401" s="26" t="str">
        <f>IFERROR(VLOOKUP(G5401,WholesaleExtract!B:O,8,FALSE),"")</f>
        <v/>
      </c>
      <c r="J5401" s="26" t="str">
        <f>IFERROR(VLOOKUP(G5401,WholesaleExtract!B:O,14,FALSE),"")</f>
        <v/>
      </c>
      <c r="K5401" s="26" t="str">
        <f>IFERROR(VLOOKUP(G5401,WholesaleExtract!B:K,10,FALSE),"")</f>
        <v/>
      </c>
      <c r="L5401" s="47" t="str">
        <f>IFERROR(VLOOKUP(G5401,WholesaleExtract!B:L,11,FALSE),"")</f>
        <v/>
      </c>
      <c r="M5401" s="47" t="str">
        <f>IFERROR(VLOOKUP(G5401,WholesaleExtract!B:M,12,FALSE),"")</f>
        <v/>
      </c>
      <c r="R5401" s="19"/>
      <c r="S5401" s="19"/>
    </row>
    <row r="5402" spans="1:19" x14ac:dyDescent="0.35">
      <c r="A5402" s="26" t="s">
        <v>543</v>
      </c>
      <c r="B5402" s="26" t="s">
        <v>543</v>
      </c>
      <c r="C5402" s="26"/>
      <c r="D5402" s="26" t="s">
        <v>543</v>
      </c>
      <c r="E5402" s="26" t="str">
        <f>IFERROR(VLOOKUP(G5402,WholesaleExtract!B:J,9,FALSE),"")</f>
        <v/>
      </c>
      <c r="F5402" s="26" t="str">
        <f>IFERROR(VLOOKUP(G5402,WholesaleExtract!B:J,6,FALSE),"")</f>
        <v/>
      </c>
      <c r="H5402" s="47" t="str">
        <f>IFERROR(VLOOKUP(G5402,WholesaleExtract!B:L,11,FALSE),"")</f>
        <v/>
      </c>
      <c r="I5402" s="26" t="str">
        <f>IFERROR(VLOOKUP(G5402,WholesaleExtract!B:O,8,FALSE),"")</f>
        <v/>
      </c>
      <c r="J5402" s="26" t="str">
        <f>IFERROR(VLOOKUP(G5402,WholesaleExtract!B:O,14,FALSE),"")</f>
        <v/>
      </c>
      <c r="K5402" s="26" t="str">
        <f>IFERROR(VLOOKUP(G5402,WholesaleExtract!B:K,10,FALSE),"")</f>
        <v/>
      </c>
      <c r="L5402" s="47" t="str">
        <f>IFERROR(VLOOKUP(G5402,WholesaleExtract!B:L,11,FALSE),"")</f>
        <v/>
      </c>
      <c r="M5402" s="47" t="str">
        <f>IFERROR(VLOOKUP(G5402,WholesaleExtract!B:M,12,FALSE),"")</f>
        <v/>
      </c>
      <c r="R5402" s="19"/>
      <c r="S5402" s="19"/>
    </row>
    <row r="5403" spans="1:19" x14ac:dyDescent="0.35">
      <c r="A5403" s="26" t="s">
        <v>543</v>
      </c>
      <c r="B5403" s="26" t="s">
        <v>543</v>
      </c>
      <c r="C5403" s="26"/>
      <c r="D5403" s="26" t="s">
        <v>543</v>
      </c>
      <c r="E5403" s="26" t="str">
        <f>IFERROR(VLOOKUP(G5403,WholesaleExtract!B:J,9,FALSE),"")</f>
        <v/>
      </c>
      <c r="F5403" s="26" t="str">
        <f>IFERROR(VLOOKUP(G5403,WholesaleExtract!B:J,6,FALSE),"")</f>
        <v/>
      </c>
      <c r="H5403" s="47" t="str">
        <f>IFERROR(VLOOKUP(G5403,WholesaleExtract!B:L,11,FALSE),"")</f>
        <v/>
      </c>
      <c r="I5403" s="26" t="str">
        <f>IFERROR(VLOOKUP(G5403,WholesaleExtract!B:O,8,FALSE),"")</f>
        <v/>
      </c>
      <c r="J5403" s="26" t="str">
        <f>IFERROR(VLOOKUP(G5403,WholesaleExtract!B:O,14,FALSE),"")</f>
        <v/>
      </c>
      <c r="K5403" s="26" t="str">
        <f>IFERROR(VLOOKUP(G5403,WholesaleExtract!B:K,10,FALSE),"")</f>
        <v/>
      </c>
      <c r="L5403" s="47" t="str">
        <f>IFERROR(VLOOKUP(G5403,WholesaleExtract!B:L,11,FALSE),"")</f>
        <v/>
      </c>
      <c r="M5403" s="47" t="str">
        <f>IFERROR(VLOOKUP(G5403,WholesaleExtract!B:M,12,FALSE),"")</f>
        <v/>
      </c>
      <c r="R5403" s="19"/>
      <c r="S5403" s="19"/>
    </row>
    <row r="5404" spans="1:19" x14ac:dyDescent="0.35">
      <c r="A5404" s="26" t="s">
        <v>543</v>
      </c>
      <c r="B5404" s="26" t="s">
        <v>543</v>
      </c>
      <c r="C5404" s="26"/>
      <c r="D5404" s="26" t="s">
        <v>543</v>
      </c>
      <c r="E5404" s="26" t="str">
        <f>IFERROR(VLOOKUP(G5404,WholesaleExtract!B:J,9,FALSE),"")</f>
        <v/>
      </c>
      <c r="F5404" s="26" t="str">
        <f>IFERROR(VLOOKUP(G5404,WholesaleExtract!B:J,6,FALSE),"")</f>
        <v/>
      </c>
      <c r="H5404" s="47" t="str">
        <f>IFERROR(VLOOKUP(G5404,WholesaleExtract!B:L,11,FALSE),"")</f>
        <v/>
      </c>
      <c r="I5404" s="26" t="str">
        <f>IFERROR(VLOOKUP(G5404,WholesaleExtract!B:O,8,FALSE),"")</f>
        <v/>
      </c>
      <c r="J5404" s="26" t="str">
        <f>IFERROR(VLOOKUP(G5404,WholesaleExtract!B:O,14,FALSE),"")</f>
        <v/>
      </c>
      <c r="K5404" s="26" t="str">
        <f>IFERROR(VLOOKUP(G5404,WholesaleExtract!B:K,10,FALSE),"")</f>
        <v/>
      </c>
      <c r="L5404" s="47" t="str">
        <f>IFERROR(VLOOKUP(G5404,WholesaleExtract!B:L,11,FALSE),"")</f>
        <v/>
      </c>
      <c r="M5404" s="47" t="str">
        <f>IFERROR(VLOOKUP(G5404,WholesaleExtract!B:M,12,FALSE),"")</f>
        <v/>
      </c>
      <c r="R5404" s="19"/>
      <c r="S5404" s="19"/>
    </row>
    <row r="5405" spans="1:19" x14ac:dyDescent="0.35">
      <c r="A5405" s="26" t="s">
        <v>543</v>
      </c>
      <c r="B5405" s="26" t="s">
        <v>543</v>
      </c>
      <c r="C5405" s="26"/>
      <c r="D5405" s="26" t="s">
        <v>543</v>
      </c>
      <c r="E5405" s="26" t="str">
        <f>IFERROR(VLOOKUP(G5405,WholesaleExtract!B:J,9,FALSE),"")</f>
        <v/>
      </c>
      <c r="F5405" s="26" t="str">
        <f>IFERROR(VLOOKUP(G5405,WholesaleExtract!B:J,6,FALSE),"")</f>
        <v/>
      </c>
      <c r="H5405" s="47" t="str">
        <f>IFERROR(VLOOKUP(G5405,WholesaleExtract!B:L,11,FALSE),"")</f>
        <v/>
      </c>
      <c r="I5405" s="26" t="str">
        <f>IFERROR(VLOOKUP(G5405,WholesaleExtract!B:O,8,FALSE),"")</f>
        <v/>
      </c>
      <c r="J5405" s="26" t="str">
        <f>IFERROR(VLOOKUP(G5405,WholesaleExtract!B:O,14,FALSE),"")</f>
        <v/>
      </c>
      <c r="K5405" s="26" t="str">
        <f>IFERROR(VLOOKUP(G5405,WholesaleExtract!B:K,10,FALSE),"")</f>
        <v/>
      </c>
      <c r="L5405" s="47" t="str">
        <f>IFERROR(VLOOKUP(G5405,WholesaleExtract!B:L,11,FALSE),"")</f>
        <v/>
      </c>
      <c r="M5405" s="47" t="str">
        <f>IFERROR(VLOOKUP(G5405,WholesaleExtract!B:M,12,FALSE),"")</f>
        <v/>
      </c>
      <c r="R5405" s="19"/>
      <c r="S5405" s="19"/>
    </row>
    <row r="5406" spans="1:19" x14ac:dyDescent="0.35">
      <c r="A5406" s="26" t="s">
        <v>543</v>
      </c>
      <c r="B5406" s="26" t="s">
        <v>543</v>
      </c>
      <c r="C5406" s="26"/>
      <c r="D5406" s="26" t="s">
        <v>543</v>
      </c>
      <c r="E5406" s="26" t="str">
        <f>IFERROR(VLOOKUP(G5406,WholesaleExtract!B:J,9,FALSE),"")</f>
        <v/>
      </c>
      <c r="F5406" s="26" t="str">
        <f>IFERROR(VLOOKUP(G5406,WholesaleExtract!B:J,6,FALSE),"")</f>
        <v/>
      </c>
      <c r="H5406" s="47" t="str">
        <f>IFERROR(VLOOKUP(G5406,WholesaleExtract!B:L,11,FALSE),"")</f>
        <v/>
      </c>
      <c r="I5406" s="26" t="str">
        <f>IFERROR(VLOOKUP(G5406,WholesaleExtract!B:O,8,FALSE),"")</f>
        <v/>
      </c>
      <c r="J5406" s="26" t="str">
        <f>IFERROR(VLOOKUP(G5406,WholesaleExtract!B:O,14,FALSE),"")</f>
        <v/>
      </c>
      <c r="K5406" s="26" t="str">
        <f>IFERROR(VLOOKUP(G5406,WholesaleExtract!B:K,10,FALSE),"")</f>
        <v/>
      </c>
      <c r="L5406" s="47" t="str">
        <f>IFERROR(VLOOKUP(G5406,WholesaleExtract!B:L,11,FALSE),"")</f>
        <v/>
      </c>
      <c r="M5406" s="47" t="str">
        <f>IFERROR(VLOOKUP(G5406,WholesaleExtract!B:M,12,FALSE),"")</f>
        <v/>
      </c>
      <c r="R5406" s="19"/>
      <c r="S5406" s="19"/>
    </row>
    <row r="5407" spans="1:19" x14ac:dyDescent="0.35">
      <c r="A5407" s="26" t="s">
        <v>543</v>
      </c>
      <c r="B5407" s="26" t="s">
        <v>543</v>
      </c>
      <c r="C5407" s="26"/>
      <c r="D5407" s="26" t="s">
        <v>543</v>
      </c>
      <c r="E5407" s="26" t="str">
        <f>IFERROR(VLOOKUP(G5407,WholesaleExtract!B:J,9,FALSE),"")</f>
        <v/>
      </c>
      <c r="F5407" s="26" t="str">
        <f>IFERROR(VLOOKUP(G5407,WholesaleExtract!B:J,6,FALSE),"")</f>
        <v/>
      </c>
      <c r="H5407" s="47" t="str">
        <f>IFERROR(VLOOKUP(G5407,WholesaleExtract!B:L,11,FALSE),"")</f>
        <v/>
      </c>
      <c r="I5407" s="26" t="str">
        <f>IFERROR(VLOOKUP(G5407,WholesaleExtract!B:O,8,FALSE),"")</f>
        <v/>
      </c>
      <c r="J5407" s="26" t="str">
        <f>IFERROR(VLOOKUP(G5407,WholesaleExtract!B:O,14,FALSE),"")</f>
        <v/>
      </c>
      <c r="K5407" s="26" t="str">
        <f>IFERROR(VLOOKUP(G5407,WholesaleExtract!B:K,10,FALSE),"")</f>
        <v/>
      </c>
      <c r="L5407" s="47" t="str">
        <f>IFERROR(VLOOKUP(G5407,WholesaleExtract!B:L,11,FALSE),"")</f>
        <v/>
      </c>
      <c r="M5407" s="47" t="str">
        <f>IFERROR(VLOOKUP(G5407,WholesaleExtract!B:M,12,FALSE),"")</f>
        <v/>
      </c>
      <c r="R5407" s="19"/>
      <c r="S5407" s="19"/>
    </row>
    <row r="5408" spans="1:19" x14ac:dyDescent="0.35">
      <c r="A5408" s="26" t="s">
        <v>543</v>
      </c>
      <c r="B5408" s="26" t="s">
        <v>543</v>
      </c>
      <c r="C5408" s="26"/>
      <c r="D5408" s="26" t="s">
        <v>543</v>
      </c>
      <c r="E5408" s="26" t="str">
        <f>IFERROR(VLOOKUP(G5408,WholesaleExtract!B:J,9,FALSE),"")</f>
        <v/>
      </c>
      <c r="F5408" s="26" t="str">
        <f>IFERROR(VLOOKUP(G5408,WholesaleExtract!B:J,6,FALSE),"")</f>
        <v/>
      </c>
      <c r="H5408" s="47" t="str">
        <f>IFERROR(VLOOKUP(G5408,WholesaleExtract!B:L,11,FALSE),"")</f>
        <v/>
      </c>
      <c r="I5408" s="26" t="str">
        <f>IFERROR(VLOOKUP(G5408,WholesaleExtract!B:O,8,FALSE),"")</f>
        <v/>
      </c>
      <c r="J5408" s="26" t="str">
        <f>IFERROR(VLOOKUP(G5408,WholesaleExtract!B:O,14,FALSE),"")</f>
        <v/>
      </c>
      <c r="K5408" s="26" t="str">
        <f>IFERROR(VLOOKUP(G5408,WholesaleExtract!B:K,10,FALSE),"")</f>
        <v/>
      </c>
      <c r="L5408" s="47" t="str">
        <f>IFERROR(VLOOKUP(G5408,WholesaleExtract!B:L,11,FALSE),"")</f>
        <v/>
      </c>
      <c r="M5408" s="47" t="str">
        <f>IFERROR(VLOOKUP(G5408,WholesaleExtract!B:M,12,FALSE),"")</f>
        <v/>
      </c>
      <c r="R5408" s="19"/>
      <c r="S5408" s="19"/>
    </row>
    <row r="5409" spans="1:19" x14ac:dyDescent="0.35">
      <c r="A5409" s="26" t="s">
        <v>543</v>
      </c>
      <c r="B5409" s="26" t="s">
        <v>543</v>
      </c>
      <c r="C5409" s="26"/>
      <c r="D5409" s="26" t="s">
        <v>543</v>
      </c>
      <c r="E5409" s="26" t="str">
        <f>IFERROR(VLOOKUP(G5409,WholesaleExtract!B:J,9,FALSE),"")</f>
        <v/>
      </c>
      <c r="F5409" s="26" t="str">
        <f>IFERROR(VLOOKUP(G5409,WholesaleExtract!B:J,6,FALSE),"")</f>
        <v/>
      </c>
      <c r="H5409" s="47" t="str">
        <f>IFERROR(VLOOKUP(G5409,WholesaleExtract!B:L,11,FALSE),"")</f>
        <v/>
      </c>
      <c r="I5409" s="26" t="str">
        <f>IFERROR(VLOOKUP(G5409,WholesaleExtract!B:O,8,FALSE),"")</f>
        <v/>
      </c>
      <c r="J5409" s="26" t="str">
        <f>IFERROR(VLOOKUP(G5409,WholesaleExtract!B:O,14,FALSE),"")</f>
        <v/>
      </c>
      <c r="K5409" s="26" t="str">
        <f>IFERROR(VLOOKUP(G5409,WholesaleExtract!B:K,10,FALSE),"")</f>
        <v/>
      </c>
      <c r="L5409" s="47" t="str">
        <f>IFERROR(VLOOKUP(G5409,WholesaleExtract!B:L,11,FALSE),"")</f>
        <v/>
      </c>
      <c r="M5409" s="47" t="str">
        <f>IFERROR(VLOOKUP(G5409,WholesaleExtract!B:M,12,FALSE),"")</f>
        <v/>
      </c>
      <c r="R5409" s="19"/>
      <c r="S5409" s="19"/>
    </row>
    <row r="5410" spans="1:19" x14ac:dyDescent="0.35">
      <c r="A5410" s="26" t="s">
        <v>543</v>
      </c>
      <c r="B5410" s="26" t="s">
        <v>543</v>
      </c>
      <c r="C5410" s="26"/>
      <c r="D5410" s="26" t="s">
        <v>543</v>
      </c>
      <c r="E5410" s="26" t="str">
        <f>IFERROR(VLOOKUP(G5410,WholesaleExtract!B:J,9,FALSE),"")</f>
        <v/>
      </c>
      <c r="F5410" s="26" t="str">
        <f>IFERROR(VLOOKUP(G5410,WholesaleExtract!B:J,6,FALSE),"")</f>
        <v/>
      </c>
      <c r="H5410" s="47" t="str">
        <f>IFERROR(VLOOKUP(G5410,WholesaleExtract!B:L,11,FALSE),"")</f>
        <v/>
      </c>
      <c r="I5410" s="26" t="str">
        <f>IFERROR(VLOOKUP(G5410,WholesaleExtract!B:O,8,FALSE),"")</f>
        <v/>
      </c>
      <c r="J5410" s="26" t="str">
        <f>IFERROR(VLOOKUP(G5410,WholesaleExtract!B:O,14,FALSE),"")</f>
        <v/>
      </c>
      <c r="K5410" s="26" t="str">
        <f>IFERROR(VLOOKUP(G5410,WholesaleExtract!B:K,10,FALSE),"")</f>
        <v/>
      </c>
      <c r="L5410" s="47" t="str">
        <f>IFERROR(VLOOKUP(G5410,WholesaleExtract!B:L,11,FALSE),"")</f>
        <v/>
      </c>
      <c r="M5410" s="47" t="str">
        <f>IFERROR(VLOOKUP(G5410,WholesaleExtract!B:M,12,FALSE),"")</f>
        <v/>
      </c>
      <c r="R5410" s="19"/>
      <c r="S5410" s="19"/>
    </row>
    <row r="5411" spans="1:19" x14ac:dyDescent="0.35">
      <c r="A5411" s="26" t="s">
        <v>543</v>
      </c>
      <c r="B5411" s="26" t="s">
        <v>543</v>
      </c>
      <c r="C5411" s="26"/>
      <c r="D5411" s="26" t="s">
        <v>543</v>
      </c>
      <c r="E5411" s="26" t="str">
        <f>IFERROR(VLOOKUP(G5411,WholesaleExtract!B:J,9,FALSE),"")</f>
        <v/>
      </c>
      <c r="F5411" s="26" t="str">
        <f>IFERROR(VLOOKUP(G5411,WholesaleExtract!B:J,6,FALSE),"")</f>
        <v/>
      </c>
      <c r="H5411" s="47" t="str">
        <f>IFERROR(VLOOKUP(G5411,WholesaleExtract!B:L,11,FALSE),"")</f>
        <v/>
      </c>
      <c r="I5411" s="26" t="str">
        <f>IFERROR(VLOOKUP(G5411,WholesaleExtract!B:O,8,FALSE),"")</f>
        <v/>
      </c>
      <c r="J5411" s="26" t="str">
        <f>IFERROR(VLOOKUP(G5411,WholesaleExtract!B:O,14,FALSE),"")</f>
        <v/>
      </c>
      <c r="K5411" s="26" t="str">
        <f>IFERROR(VLOOKUP(G5411,WholesaleExtract!B:K,10,FALSE),"")</f>
        <v/>
      </c>
      <c r="L5411" s="47" t="str">
        <f>IFERROR(VLOOKUP(G5411,WholesaleExtract!B:L,11,FALSE),"")</f>
        <v/>
      </c>
      <c r="M5411" s="47" t="str">
        <f>IFERROR(VLOOKUP(G5411,WholesaleExtract!B:M,12,FALSE),"")</f>
        <v/>
      </c>
      <c r="R5411" s="19"/>
      <c r="S5411" s="19"/>
    </row>
    <row r="5412" spans="1:19" x14ac:dyDescent="0.35">
      <c r="A5412" s="26" t="s">
        <v>543</v>
      </c>
      <c r="B5412" s="26" t="s">
        <v>543</v>
      </c>
      <c r="C5412" s="26"/>
      <c r="D5412" s="26" t="s">
        <v>543</v>
      </c>
      <c r="E5412" s="26" t="str">
        <f>IFERROR(VLOOKUP(G5412,WholesaleExtract!B:J,9,FALSE),"")</f>
        <v/>
      </c>
      <c r="F5412" s="26" t="str">
        <f>IFERROR(VLOOKUP(G5412,WholesaleExtract!B:J,6,FALSE),"")</f>
        <v/>
      </c>
      <c r="H5412" s="47" t="str">
        <f>IFERROR(VLOOKUP(G5412,WholesaleExtract!B:L,11,FALSE),"")</f>
        <v/>
      </c>
      <c r="I5412" s="26" t="str">
        <f>IFERROR(VLOOKUP(G5412,WholesaleExtract!B:O,8,FALSE),"")</f>
        <v/>
      </c>
      <c r="J5412" s="26" t="str">
        <f>IFERROR(VLOOKUP(G5412,WholesaleExtract!B:O,14,FALSE),"")</f>
        <v/>
      </c>
      <c r="K5412" s="26" t="str">
        <f>IFERROR(VLOOKUP(G5412,WholesaleExtract!B:K,10,FALSE),"")</f>
        <v/>
      </c>
      <c r="L5412" s="47" t="str">
        <f>IFERROR(VLOOKUP(G5412,WholesaleExtract!B:L,11,FALSE),"")</f>
        <v/>
      </c>
      <c r="M5412" s="47" t="str">
        <f>IFERROR(VLOOKUP(G5412,WholesaleExtract!B:M,12,FALSE),"")</f>
        <v/>
      </c>
      <c r="R5412" s="19"/>
      <c r="S5412" s="19"/>
    </row>
    <row r="5413" spans="1:19" x14ac:dyDescent="0.35">
      <c r="A5413" s="26" t="s">
        <v>543</v>
      </c>
      <c r="B5413" s="26" t="s">
        <v>543</v>
      </c>
      <c r="C5413" s="26"/>
      <c r="D5413" s="26" t="s">
        <v>543</v>
      </c>
      <c r="E5413" s="26" t="str">
        <f>IFERROR(VLOOKUP(G5413,WholesaleExtract!B:J,9,FALSE),"")</f>
        <v/>
      </c>
      <c r="F5413" s="26" t="str">
        <f>IFERROR(VLOOKUP(G5413,WholesaleExtract!B:J,6,FALSE),"")</f>
        <v/>
      </c>
      <c r="H5413" s="47" t="str">
        <f>IFERROR(VLOOKUP(G5413,WholesaleExtract!B:L,11,FALSE),"")</f>
        <v/>
      </c>
      <c r="I5413" s="26" t="str">
        <f>IFERROR(VLOOKUP(G5413,WholesaleExtract!B:O,8,FALSE),"")</f>
        <v/>
      </c>
      <c r="J5413" s="26" t="str">
        <f>IFERROR(VLOOKUP(G5413,WholesaleExtract!B:O,14,FALSE),"")</f>
        <v/>
      </c>
      <c r="K5413" s="26" t="str">
        <f>IFERROR(VLOOKUP(G5413,WholesaleExtract!B:K,10,FALSE),"")</f>
        <v/>
      </c>
      <c r="L5413" s="47" t="str">
        <f>IFERROR(VLOOKUP(G5413,WholesaleExtract!B:L,11,FALSE),"")</f>
        <v/>
      </c>
      <c r="M5413" s="47" t="str">
        <f>IFERROR(VLOOKUP(G5413,WholesaleExtract!B:M,12,FALSE),"")</f>
        <v/>
      </c>
      <c r="R5413" s="19"/>
      <c r="S5413" s="19"/>
    </row>
    <row r="5414" spans="1:19" x14ac:dyDescent="0.35">
      <c r="A5414" s="26" t="s">
        <v>543</v>
      </c>
      <c r="B5414" s="26" t="s">
        <v>543</v>
      </c>
      <c r="C5414" s="26"/>
      <c r="D5414" s="26" t="s">
        <v>543</v>
      </c>
      <c r="E5414" s="26" t="str">
        <f>IFERROR(VLOOKUP(G5414,WholesaleExtract!B:J,9,FALSE),"")</f>
        <v/>
      </c>
      <c r="F5414" s="26" t="str">
        <f>IFERROR(VLOOKUP(G5414,WholesaleExtract!B:J,6,FALSE),"")</f>
        <v/>
      </c>
      <c r="H5414" s="47" t="str">
        <f>IFERROR(VLOOKUP(G5414,WholesaleExtract!B:L,11,FALSE),"")</f>
        <v/>
      </c>
      <c r="I5414" s="26" t="str">
        <f>IFERROR(VLOOKUP(G5414,WholesaleExtract!B:O,8,FALSE),"")</f>
        <v/>
      </c>
      <c r="J5414" s="26" t="str">
        <f>IFERROR(VLOOKUP(G5414,WholesaleExtract!B:O,14,FALSE),"")</f>
        <v/>
      </c>
      <c r="K5414" s="26" t="str">
        <f>IFERROR(VLOOKUP(G5414,WholesaleExtract!B:K,10,FALSE),"")</f>
        <v/>
      </c>
      <c r="L5414" s="47" t="str">
        <f>IFERROR(VLOOKUP(G5414,WholesaleExtract!B:L,11,FALSE),"")</f>
        <v/>
      </c>
      <c r="M5414" s="47" t="str">
        <f>IFERROR(VLOOKUP(G5414,WholesaleExtract!B:M,12,FALSE),"")</f>
        <v/>
      </c>
      <c r="R5414" s="19"/>
      <c r="S5414" s="19"/>
    </row>
    <row r="5415" spans="1:19" x14ac:dyDescent="0.35">
      <c r="A5415" s="26" t="s">
        <v>543</v>
      </c>
      <c r="B5415" s="26" t="s">
        <v>543</v>
      </c>
      <c r="C5415" s="26"/>
      <c r="D5415" s="26" t="s">
        <v>543</v>
      </c>
      <c r="E5415" s="26" t="str">
        <f>IFERROR(VLOOKUP(G5415,WholesaleExtract!B:J,9,FALSE),"")</f>
        <v/>
      </c>
      <c r="F5415" s="26" t="str">
        <f>IFERROR(VLOOKUP(G5415,WholesaleExtract!B:J,6,FALSE),"")</f>
        <v/>
      </c>
      <c r="H5415" s="47" t="str">
        <f>IFERROR(VLOOKUP(G5415,WholesaleExtract!B:L,11,FALSE),"")</f>
        <v/>
      </c>
      <c r="I5415" s="26" t="str">
        <f>IFERROR(VLOOKUP(G5415,WholesaleExtract!B:O,8,FALSE),"")</f>
        <v/>
      </c>
      <c r="J5415" s="26" t="str">
        <f>IFERROR(VLOOKUP(G5415,WholesaleExtract!B:O,14,FALSE),"")</f>
        <v/>
      </c>
      <c r="K5415" s="26" t="str">
        <f>IFERROR(VLOOKUP(G5415,WholesaleExtract!B:K,10,FALSE),"")</f>
        <v/>
      </c>
      <c r="L5415" s="47" t="str">
        <f>IFERROR(VLOOKUP(G5415,WholesaleExtract!B:L,11,FALSE),"")</f>
        <v/>
      </c>
      <c r="M5415" s="47" t="str">
        <f>IFERROR(VLOOKUP(G5415,WholesaleExtract!B:M,12,FALSE),"")</f>
        <v/>
      </c>
      <c r="R5415" s="19"/>
      <c r="S5415" s="19"/>
    </row>
    <row r="5416" spans="1:19" x14ac:dyDescent="0.35">
      <c r="A5416" s="26" t="s">
        <v>543</v>
      </c>
      <c r="B5416" s="26" t="s">
        <v>543</v>
      </c>
      <c r="C5416" s="26"/>
      <c r="D5416" s="26" t="s">
        <v>543</v>
      </c>
      <c r="E5416" s="26" t="str">
        <f>IFERROR(VLOOKUP(G5416,WholesaleExtract!B:J,9,FALSE),"")</f>
        <v/>
      </c>
      <c r="F5416" s="26" t="str">
        <f>IFERROR(VLOOKUP(G5416,WholesaleExtract!B:J,6,FALSE),"")</f>
        <v/>
      </c>
      <c r="H5416" s="47" t="str">
        <f>IFERROR(VLOOKUP(G5416,WholesaleExtract!B:L,11,FALSE),"")</f>
        <v/>
      </c>
      <c r="I5416" s="26" t="str">
        <f>IFERROR(VLOOKUP(G5416,WholesaleExtract!B:O,8,FALSE),"")</f>
        <v/>
      </c>
      <c r="J5416" s="26" t="str">
        <f>IFERROR(VLOOKUP(G5416,WholesaleExtract!B:O,14,FALSE),"")</f>
        <v/>
      </c>
      <c r="K5416" s="26" t="str">
        <f>IFERROR(VLOOKUP(G5416,WholesaleExtract!B:K,10,FALSE),"")</f>
        <v/>
      </c>
      <c r="L5416" s="47" t="str">
        <f>IFERROR(VLOOKUP(G5416,WholesaleExtract!B:L,11,FALSE),"")</f>
        <v/>
      </c>
      <c r="M5416" s="47" t="str">
        <f>IFERROR(VLOOKUP(G5416,WholesaleExtract!B:M,12,FALSE),"")</f>
        <v/>
      </c>
      <c r="R5416" s="19"/>
      <c r="S5416" s="19"/>
    </row>
    <row r="5417" spans="1:19" x14ac:dyDescent="0.35">
      <c r="A5417" s="26" t="s">
        <v>543</v>
      </c>
      <c r="B5417" s="26" t="s">
        <v>543</v>
      </c>
      <c r="C5417" s="26"/>
      <c r="D5417" s="26" t="s">
        <v>543</v>
      </c>
      <c r="E5417" s="26" t="str">
        <f>IFERROR(VLOOKUP(G5417,WholesaleExtract!B:J,9,FALSE),"")</f>
        <v/>
      </c>
      <c r="F5417" s="26" t="str">
        <f>IFERROR(VLOOKUP(G5417,WholesaleExtract!B:J,6,FALSE),"")</f>
        <v/>
      </c>
      <c r="H5417" s="47" t="str">
        <f>IFERROR(VLOOKUP(G5417,WholesaleExtract!B:L,11,FALSE),"")</f>
        <v/>
      </c>
      <c r="I5417" s="26" t="str">
        <f>IFERROR(VLOOKUP(G5417,WholesaleExtract!B:O,8,FALSE),"")</f>
        <v/>
      </c>
      <c r="J5417" s="26" t="str">
        <f>IFERROR(VLOOKUP(G5417,WholesaleExtract!B:O,14,FALSE),"")</f>
        <v/>
      </c>
      <c r="K5417" s="26" t="str">
        <f>IFERROR(VLOOKUP(G5417,WholesaleExtract!B:K,10,FALSE),"")</f>
        <v/>
      </c>
      <c r="L5417" s="47" t="str">
        <f>IFERROR(VLOOKUP(G5417,WholesaleExtract!B:L,11,FALSE),"")</f>
        <v/>
      </c>
      <c r="M5417" s="47" t="str">
        <f>IFERROR(VLOOKUP(G5417,WholesaleExtract!B:M,12,FALSE),"")</f>
        <v/>
      </c>
      <c r="R5417" s="19"/>
      <c r="S5417" s="19"/>
    </row>
    <row r="5418" spans="1:19" x14ac:dyDescent="0.35">
      <c r="A5418" s="26" t="s">
        <v>543</v>
      </c>
      <c r="B5418" s="26" t="s">
        <v>543</v>
      </c>
      <c r="C5418" s="26"/>
      <c r="D5418" s="26" t="s">
        <v>543</v>
      </c>
      <c r="E5418" s="26" t="str">
        <f>IFERROR(VLOOKUP(G5418,WholesaleExtract!B:J,9,FALSE),"")</f>
        <v/>
      </c>
      <c r="F5418" s="26" t="str">
        <f>IFERROR(VLOOKUP(G5418,WholesaleExtract!B:J,6,FALSE),"")</f>
        <v/>
      </c>
      <c r="H5418" s="47" t="str">
        <f>IFERROR(VLOOKUP(G5418,WholesaleExtract!B:L,11,FALSE),"")</f>
        <v/>
      </c>
      <c r="I5418" s="26" t="str">
        <f>IFERROR(VLOOKUP(G5418,WholesaleExtract!B:O,8,FALSE),"")</f>
        <v/>
      </c>
      <c r="J5418" s="26" t="str">
        <f>IFERROR(VLOOKUP(G5418,WholesaleExtract!B:O,14,FALSE),"")</f>
        <v/>
      </c>
      <c r="K5418" s="26" t="str">
        <f>IFERROR(VLOOKUP(G5418,WholesaleExtract!B:K,10,FALSE),"")</f>
        <v/>
      </c>
      <c r="L5418" s="47" t="str">
        <f>IFERROR(VLOOKUP(G5418,WholesaleExtract!B:L,11,FALSE),"")</f>
        <v/>
      </c>
      <c r="M5418" s="47" t="str">
        <f>IFERROR(VLOOKUP(G5418,WholesaleExtract!B:M,12,FALSE),"")</f>
        <v/>
      </c>
      <c r="R5418" s="19"/>
      <c r="S5418" s="19"/>
    </row>
    <row r="5419" spans="1:19" x14ac:dyDescent="0.35">
      <c r="A5419" s="26" t="s">
        <v>543</v>
      </c>
      <c r="B5419" s="26" t="s">
        <v>543</v>
      </c>
      <c r="C5419" s="26"/>
      <c r="D5419" s="26" t="s">
        <v>543</v>
      </c>
      <c r="E5419" s="26" t="str">
        <f>IFERROR(VLOOKUP(G5419,WholesaleExtract!B:J,9,FALSE),"")</f>
        <v/>
      </c>
      <c r="F5419" s="26" t="str">
        <f>IFERROR(VLOOKUP(G5419,WholesaleExtract!B:J,6,FALSE),"")</f>
        <v/>
      </c>
      <c r="H5419" s="47" t="str">
        <f>IFERROR(VLOOKUP(G5419,WholesaleExtract!B:L,11,FALSE),"")</f>
        <v/>
      </c>
      <c r="I5419" s="26" t="str">
        <f>IFERROR(VLOOKUP(G5419,WholesaleExtract!B:O,8,FALSE),"")</f>
        <v/>
      </c>
      <c r="J5419" s="26" t="str">
        <f>IFERROR(VLOOKUP(G5419,WholesaleExtract!B:O,14,FALSE),"")</f>
        <v/>
      </c>
      <c r="K5419" s="26" t="str">
        <f>IFERROR(VLOOKUP(G5419,WholesaleExtract!B:K,10,FALSE),"")</f>
        <v/>
      </c>
      <c r="L5419" s="47" t="str">
        <f>IFERROR(VLOOKUP(G5419,WholesaleExtract!B:L,11,FALSE),"")</f>
        <v/>
      </c>
      <c r="M5419" s="47" t="str">
        <f>IFERROR(VLOOKUP(G5419,WholesaleExtract!B:M,12,FALSE),"")</f>
        <v/>
      </c>
      <c r="R5419" s="19"/>
      <c r="S5419" s="19"/>
    </row>
    <row r="5420" spans="1:19" x14ac:dyDescent="0.35">
      <c r="A5420" s="26" t="s">
        <v>543</v>
      </c>
      <c r="B5420" s="26" t="s">
        <v>543</v>
      </c>
      <c r="C5420" s="26"/>
      <c r="D5420" s="26" t="s">
        <v>543</v>
      </c>
      <c r="E5420" s="26" t="str">
        <f>IFERROR(VLOOKUP(G5420,WholesaleExtract!B:J,9,FALSE),"")</f>
        <v/>
      </c>
      <c r="F5420" s="26" t="str">
        <f>IFERROR(VLOOKUP(G5420,WholesaleExtract!B:J,6,FALSE),"")</f>
        <v/>
      </c>
      <c r="H5420" s="47" t="str">
        <f>IFERROR(VLOOKUP(G5420,WholesaleExtract!B:L,11,FALSE),"")</f>
        <v/>
      </c>
      <c r="I5420" s="26" t="str">
        <f>IFERROR(VLOOKUP(G5420,WholesaleExtract!B:O,8,FALSE),"")</f>
        <v/>
      </c>
      <c r="J5420" s="26" t="str">
        <f>IFERROR(VLOOKUP(G5420,WholesaleExtract!B:O,14,FALSE),"")</f>
        <v/>
      </c>
      <c r="K5420" s="26" t="str">
        <f>IFERROR(VLOOKUP(G5420,WholesaleExtract!B:K,10,FALSE),"")</f>
        <v/>
      </c>
      <c r="L5420" s="47" t="str">
        <f>IFERROR(VLOOKUP(G5420,WholesaleExtract!B:L,11,FALSE),"")</f>
        <v/>
      </c>
      <c r="M5420" s="47" t="str">
        <f>IFERROR(VLOOKUP(G5420,WholesaleExtract!B:M,12,FALSE),"")</f>
        <v/>
      </c>
      <c r="R5420" s="19"/>
      <c r="S5420" s="19"/>
    </row>
    <row r="5421" spans="1:19" x14ac:dyDescent="0.35">
      <c r="A5421" s="26" t="s">
        <v>543</v>
      </c>
      <c r="B5421" s="26" t="s">
        <v>543</v>
      </c>
      <c r="C5421" s="26"/>
      <c r="D5421" s="26" t="s">
        <v>543</v>
      </c>
      <c r="E5421" s="26" t="str">
        <f>IFERROR(VLOOKUP(G5421,WholesaleExtract!B:J,9,FALSE),"")</f>
        <v/>
      </c>
      <c r="F5421" s="26" t="str">
        <f>IFERROR(VLOOKUP(G5421,WholesaleExtract!B:J,6,FALSE),"")</f>
        <v/>
      </c>
      <c r="H5421" s="47" t="str">
        <f>IFERROR(VLOOKUP(G5421,WholesaleExtract!B:L,11,FALSE),"")</f>
        <v/>
      </c>
      <c r="I5421" s="26" t="str">
        <f>IFERROR(VLOOKUP(G5421,WholesaleExtract!B:O,8,FALSE),"")</f>
        <v/>
      </c>
      <c r="J5421" s="26" t="str">
        <f>IFERROR(VLOOKUP(G5421,WholesaleExtract!B:O,14,FALSE),"")</f>
        <v/>
      </c>
      <c r="K5421" s="26" t="str">
        <f>IFERROR(VLOOKUP(G5421,WholesaleExtract!B:K,10,FALSE),"")</f>
        <v/>
      </c>
      <c r="L5421" s="47" t="str">
        <f>IFERROR(VLOOKUP(G5421,WholesaleExtract!B:L,11,FALSE),"")</f>
        <v/>
      </c>
      <c r="M5421" s="47" t="str">
        <f>IFERROR(VLOOKUP(G5421,WholesaleExtract!B:M,12,FALSE),"")</f>
        <v/>
      </c>
      <c r="R5421" s="19"/>
      <c r="S5421" s="19"/>
    </row>
    <row r="5422" spans="1:19" x14ac:dyDescent="0.35">
      <c r="A5422" s="26" t="s">
        <v>543</v>
      </c>
      <c r="B5422" s="26" t="s">
        <v>543</v>
      </c>
      <c r="C5422" s="26"/>
      <c r="D5422" s="26" t="s">
        <v>543</v>
      </c>
      <c r="E5422" s="26" t="str">
        <f>IFERROR(VLOOKUP(G5422,WholesaleExtract!B:J,9,FALSE),"")</f>
        <v/>
      </c>
      <c r="F5422" s="26" t="str">
        <f>IFERROR(VLOOKUP(G5422,WholesaleExtract!B:J,6,FALSE),"")</f>
        <v/>
      </c>
      <c r="H5422" s="47" t="str">
        <f>IFERROR(VLOOKUP(G5422,WholesaleExtract!B:L,11,FALSE),"")</f>
        <v/>
      </c>
      <c r="I5422" s="26" t="str">
        <f>IFERROR(VLOOKUP(G5422,WholesaleExtract!B:O,8,FALSE),"")</f>
        <v/>
      </c>
      <c r="J5422" s="26" t="str">
        <f>IFERROR(VLOOKUP(G5422,WholesaleExtract!B:O,14,FALSE),"")</f>
        <v/>
      </c>
      <c r="K5422" s="26" t="str">
        <f>IFERROR(VLOOKUP(G5422,WholesaleExtract!B:K,10,FALSE),"")</f>
        <v/>
      </c>
      <c r="L5422" s="47" t="str">
        <f>IFERROR(VLOOKUP(G5422,WholesaleExtract!B:L,11,FALSE),"")</f>
        <v/>
      </c>
      <c r="M5422" s="47" t="str">
        <f>IFERROR(VLOOKUP(G5422,WholesaleExtract!B:M,12,FALSE),"")</f>
        <v/>
      </c>
      <c r="R5422" s="19"/>
      <c r="S5422" s="19"/>
    </row>
    <row r="5423" spans="1:19" x14ac:dyDescent="0.35">
      <c r="A5423" s="26" t="s">
        <v>543</v>
      </c>
      <c r="B5423" s="26" t="s">
        <v>543</v>
      </c>
      <c r="C5423" s="26"/>
      <c r="D5423" s="26" t="s">
        <v>543</v>
      </c>
      <c r="E5423" s="26" t="str">
        <f>IFERROR(VLOOKUP(G5423,WholesaleExtract!B:J,9,FALSE),"")</f>
        <v/>
      </c>
      <c r="F5423" s="26" t="str">
        <f>IFERROR(VLOOKUP(G5423,WholesaleExtract!B:J,6,FALSE),"")</f>
        <v/>
      </c>
      <c r="H5423" s="47" t="str">
        <f>IFERROR(VLOOKUP(G5423,WholesaleExtract!B:L,11,FALSE),"")</f>
        <v/>
      </c>
      <c r="I5423" s="26" t="str">
        <f>IFERROR(VLOOKUP(G5423,WholesaleExtract!B:O,8,FALSE),"")</f>
        <v/>
      </c>
      <c r="J5423" s="26" t="str">
        <f>IFERROR(VLOOKUP(G5423,WholesaleExtract!B:O,14,FALSE),"")</f>
        <v/>
      </c>
      <c r="K5423" s="26" t="str">
        <f>IFERROR(VLOOKUP(G5423,WholesaleExtract!B:K,10,FALSE),"")</f>
        <v/>
      </c>
      <c r="L5423" s="47" t="str">
        <f>IFERROR(VLOOKUP(G5423,WholesaleExtract!B:L,11,FALSE),"")</f>
        <v/>
      </c>
      <c r="M5423" s="47" t="str">
        <f>IFERROR(VLOOKUP(G5423,WholesaleExtract!B:M,12,FALSE),"")</f>
        <v/>
      </c>
      <c r="R5423" s="19"/>
      <c r="S5423" s="19"/>
    </row>
    <row r="5424" spans="1:19" x14ac:dyDescent="0.35">
      <c r="A5424" s="26" t="s">
        <v>543</v>
      </c>
      <c r="B5424" s="26" t="s">
        <v>543</v>
      </c>
      <c r="C5424" s="26"/>
      <c r="D5424" s="26" t="s">
        <v>543</v>
      </c>
      <c r="E5424" s="26" t="str">
        <f>IFERROR(VLOOKUP(G5424,WholesaleExtract!B:J,9,FALSE),"")</f>
        <v/>
      </c>
      <c r="F5424" s="26" t="str">
        <f>IFERROR(VLOOKUP(G5424,WholesaleExtract!B:J,6,FALSE),"")</f>
        <v/>
      </c>
      <c r="H5424" s="47" t="str">
        <f>IFERROR(VLOOKUP(G5424,WholesaleExtract!B:L,11,FALSE),"")</f>
        <v/>
      </c>
      <c r="I5424" s="26" t="str">
        <f>IFERROR(VLOOKUP(G5424,WholesaleExtract!B:O,8,FALSE),"")</f>
        <v/>
      </c>
      <c r="J5424" s="26" t="str">
        <f>IFERROR(VLOOKUP(G5424,WholesaleExtract!B:O,14,FALSE),"")</f>
        <v/>
      </c>
      <c r="K5424" s="26" t="str">
        <f>IFERROR(VLOOKUP(G5424,WholesaleExtract!B:K,10,FALSE),"")</f>
        <v/>
      </c>
      <c r="L5424" s="47" t="str">
        <f>IFERROR(VLOOKUP(G5424,WholesaleExtract!B:L,11,FALSE),"")</f>
        <v/>
      </c>
      <c r="M5424" s="47" t="str">
        <f>IFERROR(VLOOKUP(G5424,WholesaleExtract!B:M,12,FALSE),"")</f>
        <v/>
      </c>
      <c r="R5424" s="19"/>
      <c r="S5424" s="19"/>
    </row>
    <row r="5425" spans="1:19" x14ac:dyDescent="0.35">
      <c r="A5425" s="26" t="s">
        <v>543</v>
      </c>
      <c r="B5425" s="26" t="s">
        <v>543</v>
      </c>
      <c r="C5425" s="26"/>
      <c r="D5425" s="26" t="s">
        <v>543</v>
      </c>
      <c r="E5425" s="26" t="str">
        <f>IFERROR(VLOOKUP(G5425,WholesaleExtract!B:J,9,FALSE),"")</f>
        <v/>
      </c>
      <c r="F5425" s="26" t="str">
        <f>IFERROR(VLOOKUP(G5425,WholesaleExtract!B:J,6,FALSE),"")</f>
        <v/>
      </c>
      <c r="H5425" s="47" t="str">
        <f>IFERROR(VLOOKUP(G5425,WholesaleExtract!B:L,11,FALSE),"")</f>
        <v/>
      </c>
      <c r="I5425" s="26" t="str">
        <f>IFERROR(VLOOKUP(G5425,WholesaleExtract!B:O,8,FALSE),"")</f>
        <v/>
      </c>
      <c r="J5425" s="26" t="str">
        <f>IFERROR(VLOOKUP(G5425,WholesaleExtract!B:O,14,FALSE),"")</f>
        <v/>
      </c>
      <c r="K5425" s="26" t="str">
        <f>IFERROR(VLOOKUP(G5425,WholesaleExtract!B:K,10,FALSE),"")</f>
        <v/>
      </c>
      <c r="L5425" s="47" t="str">
        <f>IFERROR(VLOOKUP(G5425,WholesaleExtract!B:L,11,FALSE),"")</f>
        <v/>
      </c>
      <c r="M5425" s="47" t="str">
        <f>IFERROR(VLOOKUP(G5425,WholesaleExtract!B:M,12,FALSE),"")</f>
        <v/>
      </c>
      <c r="R5425" s="19"/>
      <c r="S5425" s="19"/>
    </row>
    <row r="5426" spans="1:19" x14ac:dyDescent="0.35">
      <c r="A5426" s="26" t="s">
        <v>543</v>
      </c>
      <c r="B5426" s="26" t="s">
        <v>543</v>
      </c>
      <c r="C5426" s="26"/>
      <c r="D5426" s="26" t="s">
        <v>543</v>
      </c>
      <c r="E5426" s="26" t="str">
        <f>IFERROR(VLOOKUP(G5426,WholesaleExtract!B:J,9,FALSE),"")</f>
        <v/>
      </c>
      <c r="F5426" s="26" t="str">
        <f>IFERROR(VLOOKUP(G5426,WholesaleExtract!B:J,6,FALSE),"")</f>
        <v/>
      </c>
      <c r="H5426" s="47" t="str">
        <f>IFERROR(VLOOKUP(G5426,WholesaleExtract!B:L,11,FALSE),"")</f>
        <v/>
      </c>
      <c r="I5426" s="26" t="str">
        <f>IFERROR(VLOOKUP(G5426,WholesaleExtract!B:O,8,FALSE),"")</f>
        <v/>
      </c>
      <c r="J5426" s="26" t="str">
        <f>IFERROR(VLOOKUP(G5426,WholesaleExtract!B:O,14,FALSE),"")</f>
        <v/>
      </c>
      <c r="K5426" s="26" t="str">
        <f>IFERROR(VLOOKUP(G5426,WholesaleExtract!B:K,10,FALSE),"")</f>
        <v/>
      </c>
      <c r="L5426" s="47" t="str">
        <f>IFERROR(VLOOKUP(G5426,WholesaleExtract!B:L,11,FALSE),"")</f>
        <v/>
      </c>
      <c r="M5426" s="47" t="str">
        <f>IFERROR(VLOOKUP(G5426,WholesaleExtract!B:M,12,FALSE),"")</f>
        <v/>
      </c>
      <c r="R5426" s="19"/>
      <c r="S5426" s="19"/>
    </row>
    <row r="5427" spans="1:19" x14ac:dyDescent="0.35">
      <c r="A5427" s="26" t="s">
        <v>543</v>
      </c>
      <c r="B5427" s="26" t="s">
        <v>543</v>
      </c>
      <c r="C5427" s="26"/>
      <c r="D5427" s="26" t="s">
        <v>543</v>
      </c>
      <c r="E5427" s="26" t="str">
        <f>IFERROR(VLOOKUP(G5427,WholesaleExtract!B:J,9,FALSE),"")</f>
        <v/>
      </c>
      <c r="F5427" s="26" t="str">
        <f>IFERROR(VLOOKUP(G5427,WholesaleExtract!B:J,6,FALSE),"")</f>
        <v/>
      </c>
      <c r="H5427" s="47" t="str">
        <f>IFERROR(VLOOKUP(G5427,WholesaleExtract!B:L,11,FALSE),"")</f>
        <v/>
      </c>
      <c r="I5427" s="26" t="str">
        <f>IFERROR(VLOOKUP(G5427,WholesaleExtract!B:O,8,FALSE),"")</f>
        <v/>
      </c>
      <c r="J5427" s="26" t="str">
        <f>IFERROR(VLOOKUP(G5427,WholesaleExtract!B:O,14,FALSE),"")</f>
        <v/>
      </c>
      <c r="K5427" s="26" t="str">
        <f>IFERROR(VLOOKUP(G5427,WholesaleExtract!B:K,10,FALSE),"")</f>
        <v/>
      </c>
      <c r="L5427" s="47" t="str">
        <f>IFERROR(VLOOKUP(G5427,WholesaleExtract!B:L,11,FALSE),"")</f>
        <v/>
      </c>
      <c r="M5427" s="47" t="str">
        <f>IFERROR(VLOOKUP(G5427,WholesaleExtract!B:M,12,FALSE),"")</f>
        <v/>
      </c>
      <c r="R5427" s="19"/>
      <c r="S5427" s="19"/>
    </row>
    <row r="5428" spans="1:19" x14ac:dyDescent="0.35">
      <c r="A5428" s="26" t="s">
        <v>543</v>
      </c>
      <c r="B5428" s="26" t="s">
        <v>543</v>
      </c>
      <c r="C5428" s="26"/>
      <c r="D5428" s="26" t="s">
        <v>543</v>
      </c>
      <c r="E5428" s="26" t="str">
        <f>IFERROR(VLOOKUP(G5428,WholesaleExtract!B:J,9,FALSE),"")</f>
        <v/>
      </c>
      <c r="F5428" s="26" t="str">
        <f>IFERROR(VLOOKUP(G5428,WholesaleExtract!B:J,6,FALSE),"")</f>
        <v/>
      </c>
      <c r="H5428" s="47" t="str">
        <f>IFERROR(VLOOKUP(G5428,WholesaleExtract!B:L,11,FALSE),"")</f>
        <v/>
      </c>
      <c r="I5428" s="26" t="str">
        <f>IFERROR(VLOOKUP(G5428,WholesaleExtract!B:O,8,FALSE),"")</f>
        <v/>
      </c>
      <c r="J5428" s="26" t="str">
        <f>IFERROR(VLOOKUP(G5428,WholesaleExtract!B:O,14,FALSE),"")</f>
        <v/>
      </c>
      <c r="K5428" s="26" t="str">
        <f>IFERROR(VLOOKUP(G5428,WholesaleExtract!B:K,10,FALSE),"")</f>
        <v/>
      </c>
      <c r="L5428" s="47" t="str">
        <f>IFERROR(VLOOKUP(G5428,WholesaleExtract!B:L,11,FALSE),"")</f>
        <v/>
      </c>
      <c r="M5428" s="47" t="str">
        <f>IFERROR(VLOOKUP(G5428,WholesaleExtract!B:M,12,FALSE),"")</f>
        <v/>
      </c>
      <c r="R5428" s="19"/>
      <c r="S5428" s="19"/>
    </row>
    <row r="5429" spans="1:19" x14ac:dyDescent="0.35">
      <c r="A5429" s="26" t="s">
        <v>543</v>
      </c>
      <c r="B5429" s="26" t="s">
        <v>543</v>
      </c>
      <c r="C5429" s="26"/>
      <c r="D5429" s="26" t="s">
        <v>543</v>
      </c>
      <c r="E5429" s="26" t="str">
        <f>IFERROR(VLOOKUP(G5429,WholesaleExtract!B:J,9,FALSE),"")</f>
        <v/>
      </c>
      <c r="F5429" s="26" t="str">
        <f>IFERROR(VLOOKUP(G5429,WholesaleExtract!B:J,6,FALSE),"")</f>
        <v/>
      </c>
      <c r="H5429" s="47" t="str">
        <f>IFERROR(VLOOKUP(G5429,WholesaleExtract!B:L,11,FALSE),"")</f>
        <v/>
      </c>
      <c r="I5429" s="26" t="str">
        <f>IFERROR(VLOOKUP(G5429,WholesaleExtract!B:O,8,FALSE),"")</f>
        <v/>
      </c>
      <c r="J5429" s="26" t="str">
        <f>IFERROR(VLOOKUP(G5429,WholesaleExtract!B:O,14,FALSE),"")</f>
        <v/>
      </c>
      <c r="K5429" s="26" t="str">
        <f>IFERROR(VLOOKUP(G5429,WholesaleExtract!B:K,10,FALSE),"")</f>
        <v/>
      </c>
      <c r="L5429" s="47" t="str">
        <f>IFERROR(VLOOKUP(G5429,WholesaleExtract!B:L,11,FALSE),"")</f>
        <v/>
      </c>
      <c r="M5429" s="47" t="str">
        <f>IFERROR(VLOOKUP(G5429,WholesaleExtract!B:M,12,FALSE),"")</f>
        <v/>
      </c>
      <c r="R5429" s="19"/>
      <c r="S5429" s="19"/>
    </row>
    <row r="5430" spans="1:19" x14ac:dyDescent="0.35">
      <c r="A5430" s="26" t="s">
        <v>543</v>
      </c>
      <c r="B5430" s="26" t="s">
        <v>543</v>
      </c>
      <c r="C5430" s="26"/>
      <c r="D5430" s="26" t="s">
        <v>543</v>
      </c>
      <c r="E5430" s="26" t="str">
        <f>IFERROR(VLOOKUP(G5430,WholesaleExtract!B:J,9,FALSE),"")</f>
        <v/>
      </c>
      <c r="F5430" s="26" t="str">
        <f>IFERROR(VLOOKUP(G5430,WholesaleExtract!B:J,6,FALSE),"")</f>
        <v/>
      </c>
      <c r="H5430" s="47" t="str">
        <f>IFERROR(VLOOKUP(G5430,WholesaleExtract!B:L,11,FALSE),"")</f>
        <v/>
      </c>
      <c r="I5430" s="26" t="str">
        <f>IFERROR(VLOOKUP(G5430,WholesaleExtract!B:O,8,FALSE),"")</f>
        <v/>
      </c>
      <c r="J5430" s="26" t="str">
        <f>IFERROR(VLOOKUP(G5430,WholesaleExtract!B:O,14,FALSE),"")</f>
        <v/>
      </c>
      <c r="K5430" s="26" t="str">
        <f>IFERROR(VLOOKUP(G5430,WholesaleExtract!B:K,10,FALSE),"")</f>
        <v/>
      </c>
      <c r="L5430" s="47" t="str">
        <f>IFERROR(VLOOKUP(G5430,WholesaleExtract!B:L,11,FALSE),"")</f>
        <v/>
      </c>
      <c r="M5430" s="47" t="str">
        <f>IFERROR(VLOOKUP(G5430,WholesaleExtract!B:M,12,FALSE),"")</f>
        <v/>
      </c>
      <c r="R5430" s="19"/>
      <c r="S5430" s="19"/>
    </row>
    <row r="5431" spans="1:19" x14ac:dyDescent="0.35">
      <c r="A5431" s="26" t="s">
        <v>543</v>
      </c>
      <c r="B5431" s="26" t="s">
        <v>543</v>
      </c>
      <c r="C5431" s="26"/>
      <c r="D5431" s="26" t="s">
        <v>543</v>
      </c>
      <c r="E5431" s="26" t="str">
        <f>IFERROR(VLOOKUP(G5431,WholesaleExtract!B:J,9,FALSE),"")</f>
        <v/>
      </c>
      <c r="F5431" s="26" t="str">
        <f>IFERROR(VLOOKUP(G5431,WholesaleExtract!B:J,6,FALSE),"")</f>
        <v/>
      </c>
      <c r="H5431" s="47" t="str">
        <f>IFERROR(VLOOKUP(G5431,WholesaleExtract!B:L,11,FALSE),"")</f>
        <v/>
      </c>
      <c r="I5431" s="26" t="str">
        <f>IFERROR(VLOOKUP(G5431,WholesaleExtract!B:O,8,FALSE),"")</f>
        <v/>
      </c>
      <c r="J5431" s="26" t="str">
        <f>IFERROR(VLOOKUP(G5431,WholesaleExtract!B:O,14,FALSE),"")</f>
        <v/>
      </c>
      <c r="K5431" s="26" t="str">
        <f>IFERROR(VLOOKUP(G5431,WholesaleExtract!B:K,10,FALSE),"")</f>
        <v/>
      </c>
      <c r="L5431" s="47" t="str">
        <f>IFERROR(VLOOKUP(G5431,WholesaleExtract!B:L,11,FALSE),"")</f>
        <v/>
      </c>
      <c r="M5431" s="47" t="str">
        <f>IFERROR(VLOOKUP(G5431,WholesaleExtract!B:M,12,FALSE),"")</f>
        <v/>
      </c>
      <c r="R5431" s="19"/>
      <c r="S5431" s="19"/>
    </row>
    <row r="5432" spans="1:19" x14ac:dyDescent="0.35">
      <c r="A5432" s="26" t="s">
        <v>543</v>
      </c>
      <c r="B5432" s="26" t="s">
        <v>543</v>
      </c>
      <c r="C5432" s="26"/>
      <c r="D5432" s="26" t="s">
        <v>543</v>
      </c>
      <c r="E5432" s="26" t="str">
        <f>IFERROR(VLOOKUP(G5432,WholesaleExtract!B:J,9,FALSE),"")</f>
        <v/>
      </c>
      <c r="F5432" s="26" t="str">
        <f>IFERROR(VLOOKUP(G5432,WholesaleExtract!B:J,6,FALSE),"")</f>
        <v/>
      </c>
      <c r="H5432" s="47" t="str">
        <f>IFERROR(VLOOKUP(G5432,WholesaleExtract!B:L,11,FALSE),"")</f>
        <v/>
      </c>
      <c r="I5432" s="26" t="str">
        <f>IFERROR(VLOOKUP(G5432,WholesaleExtract!B:O,8,FALSE),"")</f>
        <v/>
      </c>
      <c r="J5432" s="26" t="str">
        <f>IFERROR(VLOOKUP(G5432,WholesaleExtract!B:O,14,FALSE),"")</f>
        <v/>
      </c>
      <c r="K5432" s="26" t="str">
        <f>IFERROR(VLOOKUP(G5432,WholesaleExtract!B:K,10,FALSE),"")</f>
        <v/>
      </c>
      <c r="L5432" s="47" t="str">
        <f>IFERROR(VLOOKUP(G5432,WholesaleExtract!B:L,11,FALSE),"")</f>
        <v/>
      </c>
      <c r="M5432" s="47" t="str">
        <f>IFERROR(VLOOKUP(G5432,WholesaleExtract!B:M,12,FALSE),"")</f>
        <v/>
      </c>
      <c r="R5432" s="19"/>
      <c r="S5432" s="19"/>
    </row>
    <row r="5433" spans="1:19" x14ac:dyDescent="0.35">
      <c r="A5433" s="26" t="s">
        <v>543</v>
      </c>
      <c r="B5433" s="26" t="s">
        <v>543</v>
      </c>
      <c r="C5433" s="26"/>
      <c r="D5433" s="26" t="s">
        <v>543</v>
      </c>
      <c r="E5433" s="26" t="str">
        <f>IFERROR(VLOOKUP(G5433,WholesaleExtract!B:J,9,FALSE),"")</f>
        <v/>
      </c>
      <c r="F5433" s="26" t="str">
        <f>IFERROR(VLOOKUP(G5433,WholesaleExtract!B:J,6,FALSE),"")</f>
        <v/>
      </c>
      <c r="H5433" s="47" t="str">
        <f>IFERROR(VLOOKUP(G5433,WholesaleExtract!B:L,11,FALSE),"")</f>
        <v/>
      </c>
      <c r="I5433" s="26" t="str">
        <f>IFERROR(VLOOKUP(G5433,WholesaleExtract!B:O,8,FALSE),"")</f>
        <v/>
      </c>
      <c r="J5433" s="26" t="str">
        <f>IFERROR(VLOOKUP(G5433,WholesaleExtract!B:O,14,FALSE),"")</f>
        <v/>
      </c>
      <c r="K5433" s="26" t="str">
        <f>IFERROR(VLOOKUP(G5433,WholesaleExtract!B:K,10,FALSE),"")</f>
        <v/>
      </c>
      <c r="L5433" s="47" t="str">
        <f>IFERROR(VLOOKUP(G5433,WholesaleExtract!B:L,11,FALSE),"")</f>
        <v/>
      </c>
      <c r="M5433" s="47" t="str">
        <f>IFERROR(VLOOKUP(G5433,WholesaleExtract!B:M,12,FALSE),"")</f>
        <v/>
      </c>
      <c r="R5433" s="19"/>
      <c r="S5433" s="19"/>
    </row>
    <row r="5434" spans="1:19" x14ac:dyDescent="0.35">
      <c r="A5434" s="26" t="s">
        <v>543</v>
      </c>
      <c r="B5434" s="26" t="s">
        <v>543</v>
      </c>
      <c r="C5434" s="26"/>
      <c r="D5434" s="26" t="s">
        <v>543</v>
      </c>
      <c r="E5434" s="26" t="str">
        <f>IFERROR(VLOOKUP(G5434,WholesaleExtract!B:J,9,FALSE),"")</f>
        <v/>
      </c>
      <c r="F5434" s="26" t="str">
        <f>IFERROR(VLOOKUP(G5434,WholesaleExtract!B:J,6,FALSE),"")</f>
        <v/>
      </c>
      <c r="H5434" s="47" t="str">
        <f>IFERROR(VLOOKUP(G5434,WholesaleExtract!B:L,11,FALSE),"")</f>
        <v/>
      </c>
      <c r="I5434" s="26" t="str">
        <f>IFERROR(VLOOKUP(G5434,WholesaleExtract!B:O,8,FALSE),"")</f>
        <v/>
      </c>
      <c r="J5434" s="26" t="str">
        <f>IFERROR(VLOOKUP(G5434,WholesaleExtract!B:O,14,FALSE),"")</f>
        <v/>
      </c>
      <c r="K5434" s="26" t="str">
        <f>IFERROR(VLOOKUP(G5434,WholesaleExtract!B:K,10,FALSE),"")</f>
        <v/>
      </c>
      <c r="L5434" s="47" t="str">
        <f>IFERROR(VLOOKUP(G5434,WholesaleExtract!B:L,11,FALSE),"")</f>
        <v/>
      </c>
      <c r="M5434" s="47" t="str">
        <f>IFERROR(VLOOKUP(G5434,WholesaleExtract!B:M,12,FALSE),"")</f>
        <v/>
      </c>
      <c r="R5434" s="19"/>
      <c r="S5434" s="19"/>
    </row>
    <row r="5435" spans="1:19" x14ac:dyDescent="0.35">
      <c r="A5435" s="26" t="s">
        <v>543</v>
      </c>
      <c r="B5435" s="26" t="s">
        <v>543</v>
      </c>
      <c r="C5435" s="26"/>
      <c r="D5435" s="26" t="s">
        <v>543</v>
      </c>
      <c r="E5435" s="26" t="str">
        <f>IFERROR(VLOOKUP(G5435,WholesaleExtract!B:J,9,FALSE),"")</f>
        <v/>
      </c>
      <c r="F5435" s="26" t="str">
        <f>IFERROR(VLOOKUP(G5435,WholesaleExtract!B:J,6,FALSE),"")</f>
        <v/>
      </c>
      <c r="H5435" s="47" t="str">
        <f>IFERROR(VLOOKUP(G5435,WholesaleExtract!B:L,11,FALSE),"")</f>
        <v/>
      </c>
      <c r="I5435" s="26" t="str">
        <f>IFERROR(VLOOKUP(G5435,WholesaleExtract!B:O,8,FALSE),"")</f>
        <v/>
      </c>
      <c r="J5435" s="26" t="str">
        <f>IFERROR(VLOOKUP(G5435,WholesaleExtract!B:O,14,FALSE),"")</f>
        <v/>
      </c>
      <c r="K5435" s="26" t="str">
        <f>IFERROR(VLOOKUP(G5435,WholesaleExtract!B:K,10,FALSE),"")</f>
        <v/>
      </c>
      <c r="L5435" s="47" t="str">
        <f>IFERROR(VLOOKUP(G5435,WholesaleExtract!B:L,11,FALSE),"")</f>
        <v/>
      </c>
      <c r="M5435" s="47" t="str">
        <f>IFERROR(VLOOKUP(G5435,WholesaleExtract!B:M,12,FALSE),"")</f>
        <v/>
      </c>
      <c r="R5435" s="19"/>
      <c r="S5435" s="19"/>
    </row>
    <row r="5436" spans="1:19" x14ac:dyDescent="0.35">
      <c r="A5436" s="26" t="s">
        <v>543</v>
      </c>
      <c r="B5436" s="26" t="s">
        <v>543</v>
      </c>
      <c r="C5436" s="26"/>
      <c r="D5436" s="26" t="s">
        <v>543</v>
      </c>
      <c r="E5436" s="26" t="str">
        <f>IFERROR(VLOOKUP(G5436,WholesaleExtract!B:J,9,FALSE),"")</f>
        <v/>
      </c>
      <c r="F5436" s="26" t="str">
        <f>IFERROR(VLOOKUP(G5436,WholesaleExtract!B:J,6,FALSE),"")</f>
        <v/>
      </c>
      <c r="H5436" s="47" t="str">
        <f>IFERROR(VLOOKUP(G5436,WholesaleExtract!B:L,11,FALSE),"")</f>
        <v/>
      </c>
      <c r="I5436" s="26" t="str">
        <f>IFERROR(VLOOKUP(G5436,WholesaleExtract!B:O,8,FALSE),"")</f>
        <v/>
      </c>
      <c r="J5436" s="26" t="str">
        <f>IFERROR(VLOOKUP(G5436,WholesaleExtract!B:O,14,FALSE),"")</f>
        <v/>
      </c>
      <c r="K5436" s="26" t="str">
        <f>IFERROR(VLOOKUP(G5436,WholesaleExtract!B:K,10,FALSE),"")</f>
        <v/>
      </c>
      <c r="L5436" s="47" t="str">
        <f>IFERROR(VLOOKUP(G5436,WholesaleExtract!B:L,11,FALSE),"")</f>
        <v/>
      </c>
      <c r="M5436" s="47" t="str">
        <f>IFERROR(VLOOKUP(G5436,WholesaleExtract!B:M,12,FALSE),"")</f>
        <v/>
      </c>
      <c r="R5436" s="19"/>
      <c r="S5436" s="19"/>
    </row>
    <row r="5437" spans="1:19" x14ac:dyDescent="0.35">
      <c r="A5437" s="26" t="s">
        <v>543</v>
      </c>
      <c r="B5437" s="26" t="s">
        <v>543</v>
      </c>
      <c r="C5437" s="26"/>
      <c r="D5437" s="26" t="s">
        <v>543</v>
      </c>
      <c r="E5437" s="26" t="str">
        <f>IFERROR(VLOOKUP(G5437,WholesaleExtract!B:J,9,FALSE),"")</f>
        <v/>
      </c>
      <c r="F5437" s="26" t="str">
        <f>IFERROR(VLOOKUP(G5437,WholesaleExtract!B:J,6,FALSE),"")</f>
        <v/>
      </c>
      <c r="H5437" s="47" t="str">
        <f>IFERROR(VLOOKUP(G5437,WholesaleExtract!B:L,11,FALSE),"")</f>
        <v/>
      </c>
      <c r="I5437" s="26" t="str">
        <f>IFERROR(VLOOKUP(G5437,WholesaleExtract!B:O,8,FALSE),"")</f>
        <v/>
      </c>
      <c r="J5437" s="26" t="str">
        <f>IFERROR(VLOOKUP(G5437,WholesaleExtract!B:O,14,FALSE),"")</f>
        <v/>
      </c>
      <c r="K5437" s="26" t="str">
        <f>IFERROR(VLOOKUP(G5437,WholesaleExtract!B:K,10,FALSE),"")</f>
        <v/>
      </c>
      <c r="L5437" s="47" t="str">
        <f>IFERROR(VLOOKUP(G5437,WholesaleExtract!B:L,11,FALSE),"")</f>
        <v/>
      </c>
      <c r="M5437" s="47" t="str">
        <f>IFERROR(VLOOKUP(G5437,WholesaleExtract!B:M,12,FALSE),"")</f>
        <v/>
      </c>
      <c r="R5437" s="19"/>
      <c r="S5437" s="19"/>
    </row>
    <row r="5438" spans="1:19" x14ac:dyDescent="0.35">
      <c r="A5438" s="26" t="s">
        <v>543</v>
      </c>
      <c r="B5438" s="26" t="s">
        <v>543</v>
      </c>
      <c r="C5438" s="26"/>
      <c r="D5438" s="26" t="s">
        <v>543</v>
      </c>
      <c r="E5438" s="26" t="str">
        <f>IFERROR(VLOOKUP(G5438,WholesaleExtract!B:J,9,FALSE),"")</f>
        <v/>
      </c>
      <c r="F5438" s="26" t="str">
        <f>IFERROR(VLOOKUP(G5438,WholesaleExtract!B:J,6,FALSE),"")</f>
        <v/>
      </c>
      <c r="H5438" s="47" t="str">
        <f>IFERROR(VLOOKUP(G5438,WholesaleExtract!B:L,11,FALSE),"")</f>
        <v/>
      </c>
      <c r="I5438" s="26" t="str">
        <f>IFERROR(VLOOKUP(G5438,WholesaleExtract!B:O,8,FALSE),"")</f>
        <v/>
      </c>
      <c r="J5438" s="26" t="str">
        <f>IFERROR(VLOOKUP(G5438,WholesaleExtract!B:O,14,FALSE),"")</f>
        <v/>
      </c>
      <c r="K5438" s="26" t="str">
        <f>IFERROR(VLOOKUP(G5438,WholesaleExtract!B:K,10,FALSE),"")</f>
        <v/>
      </c>
      <c r="L5438" s="47" t="str">
        <f>IFERROR(VLOOKUP(G5438,WholesaleExtract!B:L,11,FALSE),"")</f>
        <v/>
      </c>
      <c r="M5438" s="47" t="str">
        <f>IFERROR(VLOOKUP(G5438,WholesaleExtract!B:M,12,FALSE),"")</f>
        <v/>
      </c>
      <c r="R5438" s="19"/>
      <c r="S5438" s="19"/>
    </row>
    <row r="5439" spans="1:19" x14ac:dyDescent="0.35">
      <c r="A5439" s="26" t="s">
        <v>543</v>
      </c>
      <c r="B5439" s="26" t="s">
        <v>543</v>
      </c>
      <c r="C5439" s="26"/>
      <c r="D5439" s="26" t="s">
        <v>543</v>
      </c>
      <c r="E5439" s="26" t="str">
        <f>IFERROR(VLOOKUP(G5439,WholesaleExtract!B:J,9,FALSE),"")</f>
        <v/>
      </c>
      <c r="F5439" s="26" t="str">
        <f>IFERROR(VLOOKUP(G5439,WholesaleExtract!B:J,6,FALSE),"")</f>
        <v/>
      </c>
      <c r="H5439" s="47" t="str">
        <f>IFERROR(VLOOKUP(G5439,WholesaleExtract!B:L,11,FALSE),"")</f>
        <v/>
      </c>
      <c r="I5439" s="26" t="str">
        <f>IFERROR(VLOOKUP(G5439,WholesaleExtract!B:O,8,FALSE),"")</f>
        <v/>
      </c>
      <c r="J5439" s="26" t="str">
        <f>IFERROR(VLOOKUP(G5439,WholesaleExtract!B:O,14,FALSE),"")</f>
        <v/>
      </c>
      <c r="K5439" s="26" t="str">
        <f>IFERROR(VLOOKUP(G5439,WholesaleExtract!B:K,10,FALSE),"")</f>
        <v/>
      </c>
      <c r="L5439" s="47" t="str">
        <f>IFERROR(VLOOKUP(G5439,WholesaleExtract!B:L,11,FALSE),"")</f>
        <v/>
      </c>
      <c r="M5439" s="47" t="str">
        <f>IFERROR(VLOOKUP(G5439,WholesaleExtract!B:M,12,FALSE),"")</f>
        <v/>
      </c>
      <c r="R5439" s="19"/>
      <c r="S5439" s="19"/>
    </row>
    <row r="5440" spans="1:19" x14ac:dyDescent="0.35">
      <c r="A5440" s="26" t="s">
        <v>543</v>
      </c>
      <c r="B5440" s="26" t="s">
        <v>543</v>
      </c>
      <c r="C5440" s="26"/>
      <c r="D5440" s="26" t="s">
        <v>543</v>
      </c>
      <c r="E5440" s="26" t="str">
        <f>IFERROR(VLOOKUP(G5440,WholesaleExtract!B:J,9,FALSE),"")</f>
        <v/>
      </c>
      <c r="F5440" s="26" t="str">
        <f>IFERROR(VLOOKUP(G5440,WholesaleExtract!B:J,6,FALSE),"")</f>
        <v/>
      </c>
      <c r="H5440" s="47" t="str">
        <f>IFERROR(VLOOKUP(G5440,WholesaleExtract!B:L,11,FALSE),"")</f>
        <v/>
      </c>
      <c r="I5440" s="26" t="str">
        <f>IFERROR(VLOOKUP(G5440,WholesaleExtract!B:O,8,FALSE),"")</f>
        <v/>
      </c>
      <c r="J5440" s="26" t="str">
        <f>IFERROR(VLOOKUP(G5440,WholesaleExtract!B:O,14,FALSE),"")</f>
        <v/>
      </c>
      <c r="K5440" s="26" t="str">
        <f>IFERROR(VLOOKUP(G5440,WholesaleExtract!B:K,10,FALSE),"")</f>
        <v/>
      </c>
      <c r="L5440" s="47" t="str">
        <f>IFERROR(VLOOKUP(G5440,WholesaleExtract!B:L,11,FALSE),"")</f>
        <v/>
      </c>
      <c r="M5440" s="47" t="str">
        <f>IFERROR(VLOOKUP(G5440,WholesaleExtract!B:M,12,FALSE),"")</f>
        <v/>
      </c>
      <c r="R5440" s="19"/>
      <c r="S5440" s="19"/>
    </row>
    <row r="5441" spans="1:19" x14ac:dyDescent="0.35">
      <c r="A5441" s="26" t="s">
        <v>543</v>
      </c>
      <c r="B5441" s="26" t="s">
        <v>543</v>
      </c>
      <c r="C5441" s="26"/>
      <c r="D5441" s="26" t="s">
        <v>543</v>
      </c>
      <c r="E5441" s="26" t="str">
        <f>IFERROR(VLOOKUP(G5441,WholesaleExtract!B:J,9,FALSE),"")</f>
        <v/>
      </c>
      <c r="F5441" s="26" t="str">
        <f>IFERROR(VLOOKUP(G5441,WholesaleExtract!B:J,6,FALSE),"")</f>
        <v/>
      </c>
      <c r="H5441" s="47" t="str">
        <f>IFERROR(VLOOKUP(G5441,WholesaleExtract!B:L,11,FALSE),"")</f>
        <v/>
      </c>
      <c r="I5441" s="26" t="str">
        <f>IFERROR(VLOOKUP(G5441,WholesaleExtract!B:O,8,FALSE),"")</f>
        <v/>
      </c>
      <c r="J5441" s="26" t="str">
        <f>IFERROR(VLOOKUP(G5441,WholesaleExtract!B:O,14,FALSE),"")</f>
        <v/>
      </c>
      <c r="K5441" s="26" t="str">
        <f>IFERROR(VLOOKUP(G5441,WholesaleExtract!B:K,10,FALSE),"")</f>
        <v/>
      </c>
      <c r="L5441" s="47" t="str">
        <f>IFERROR(VLOOKUP(G5441,WholesaleExtract!B:L,11,FALSE),"")</f>
        <v/>
      </c>
      <c r="M5441" s="47" t="str">
        <f>IFERROR(VLOOKUP(G5441,WholesaleExtract!B:M,12,FALSE),"")</f>
        <v/>
      </c>
      <c r="R5441" s="19"/>
      <c r="S5441" s="19"/>
    </row>
    <row r="5442" spans="1:19" x14ac:dyDescent="0.35">
      <c r="A5442" s="26" t="s">
        <v>543</v>
      </c>
      <c r="B5442" s="26" t="s">
        <v>543</v>
      </c>
      <c r="C5442" s="26"/>
      <c r="D5442" s="26" t="s">
        <v>543</v>
      </c>
      <c r="E5442" s="26" t="str">
        <f>IFERROR(VLOOKUP(G5442,WholesaleExtract!B:J,9,FALSE),"")</f>
        <v/>
      </c>
      <c r="F5442" s="26" t="str">
        <f>IFERROR(VLOOKUP(G5442,WholesaleExtract!B:J,6,FALSE),"")</f>
        <v/>
      </c>
      <c r="H5442" s="47" t="str">
        <f>IFERROR(VLOOKUP(G5442,WholesaleExtract!B:L,11,FALSE),"")</f>
        <v/>
      </c>
      <c r="I5442" s="26" t="str">
        <f>IFERROR(VLOOKUP(G5442,WholesaleExtract!B:O,8,FALSE),"")</f>
        <v/>
      </c>
      <c r="J5442" s="26" t="str">
        <f>IFERROR(VLOOKUP(G5442,WholesaleExtract!B:O,14,FALSE),"")</f>
        <v/>
      </c>
      <c r="K5442" s="26" t="str">
        <f>IFERROR(VLOOKUP(G5442,WholesaleExtract!B:K,10,FALSE),"")</f>
        <v/>
      </c>
      <c r="L5442" s="47" t="str">
        <f>IFERROR(VLOOKUP(G5442,WholesaleExtract!B:L,11,FALSE),"")</f>
        <v/>
      </c>
      <c r="M5442" s="47" t="str">
        <f>IFERROR(VLOOKUP(G5442,WholesaleExtract!B:M,12,FALSE),"")</f>
        <v/>
      </c>
      <c r="R5442" s="19"/>
      <c r="S5442" s="19"/>
    </row>
    <row r="5443" spans="1:19" x14ac:dyDescent="0.35">
      <c r="A5443" s="26" t="s">
        <v>543</v>
      </c>
      <c r="B5443" s="26" t="s">
        <v>543</v>
      </c>
      <c r="C5443" s="26"/>
      <c r="D5443" s="26" t="s">
        <v>543</v>
      </c>
      <c r="E5443" s="26" t="str">
        <f>IFERROR(VLOOKUP(G5443,WholesaleExtract!B:J,9,FALSE),"")</f>
        <v/>
      </c>
      <c r="F5443" s="26" t="str">
        <f>IFERROR(VLOOKUP(G5443,WholesaleExtract!B:J,6,FALSE),"")</f>
        <v/>
      </c>
      <c r="H5443" s="47" t="str">
        <f>IFERROR(VLOOKUP(G5443,WholesaleExtract!B:L,11,FALSE),"")</f>
        <v/>
      </c>
      <c r="I5443" s="26" t="str">
        <f>IFERROR(VLOOKUP(G5443,WholesaleExtract!B:O,8,FALSE),"")</f>
        <v/>
      </c>
      <c r="J5443" s="26" t="str">
        <f>IFERROR(VLOOKUP(G5443,WholesaleExtract!B:O,14,FALSE),"")</f>
        <v/>
      </c>
      <c r="K5443" s="26" t="str">
        <f>IFERROR(VLOOKUP(G5443,WholesaleExtract!B:K,10,FALSE),"")</f>
        <v/>
      </c>
      <c r="L5443" s="47" t="str">
        <f>IFERROR(VLOOKUP(G5443,WholesaleExtract!B:L,11,FALSE),"")</f>
        <v/>
      </c>
      <c r="M5443" s="47" t="str">
        <f>IFERROR(VLOOKUP(G5443,WholesaleExtract!B:M,12,FALSE),"")</f>
        <v/>
      </c>
      <c r="R5443" s="19"/>
      <c r="S5443" s="19"/>
    </row>
    <row r="5444" spans="1:19" x14ac:dyDescent="0.35">
      <c r="A5444" s="26" t="s">
        <v>543</v>
      </c>
      <c r="B5444" s="26" t="s">
        <v>543</v>
      </c>
      <c r="C5444" s="26"/>
      <c r="D5444" s="26" t="s">
        <v>543</v>
      </c>
      <c r="E5444" s="26" t="str">
        <f>IFERROR(VLOOKUP(G5444,WholesaleExtract!B:J,9,FALSE),"")</f>
        <v/>
      </c>
      <c r="F5444" s="26" t="str">
        <f>IFERROR(VLOOKUP(G5444,WholesaleExtract!B:J,6,FALSE),"")</f>
        <v/>
      </c>
      <c r="H5444" s="47" t="str">
        <f>IFERROR(VLOOKUP(G5444,WholesaleExtract!B:L,11,FALSE),"")</f>
        <v/>
      </c>
      <c r="I5444" s="26" t="str">
        <f>IFERROR(VLOOKUP(G5444,WholesaleExtract!B:O,8,FALSE),"")</f>
        <v/>
      </c>
      <c r="J5444" s="26" t="str">
        <f>IFERROR(VLOOKUP(G5444,WholesaleExtract!B:O,14,FALSE),"")</f>
        <v/>
      </c>
      <c r="K5444" s="26" t="str">
        <f>IFERROR(VLOOKUP(G5444,WholesaleExtract!B:K,10,FALSE),"")</f>
        <v/>
      </c>
      <c r="L5444" s="47" t="str">
        <f>IFERROR(VLOOKUP(G5444,WholesaleExtract!B:L,11,FALSE),"")</f>
        <v/>
      </c>
      <c r="M5444" s="47" t="str">
        <f>IFERROR(VLOOKUP(G5444,WholesaleExtract!B:M,12,FALSE),"")</f>
        <v/>
      </c>
      <c r="R5444" s="19"/>
      <c r="S5444" s="19"/>
    </row>
    <row r="5445" spans="1:19" x14ac:dyDescent="0.35">
      <c r="A5445" s="26" t="s">
        <v>543</v>
      </c>
      <c r="B5445" s="26" t="s">
        <v>543</v>
      </c>
      <c r="C5445" s="26"/>
      <c r="D5445" s="26" t="s">
        <v>543</v>
      </c>
      <c r="E5445" s="26" t="str">
        <f>IFERROR(VLOOKUP(G5445,WholesaleExtract!B:J,9,FALSE),"")</f>
        <v/>
      </c>
      <c r="F5445" s="26" t="str">
        <f>IFERROR(VLOOKUP(G5445,WholesaleExtract!B:J,6,FALSE),"")</f>
        <v/>
      </c>
      <c r="H5445" s="47" t="str">
        <f>IFERROR(VLOOKUP(G5445,WholesaleExtract!B:L,11,FALSE),"")</f>
        <v/>
      </c>
      <c r="I5445" s="26" t="str">
        <f>IFERROR(VLOOKUP(G5445,WholesaleExtract!B:O,8,FALSE),"")</f>
        <v/>
      </c>
      <c r="J5445" s="26" t="str">
        <f>IFERROR(VLOOKUP(G5445,WholesaleExtract!B:O,14,FALSE),"")</f>
        <v/>
      </c>
      <c r="K5445" s="26" t="str">
        <f>IFERROR(VLOOKUP(G5445,WholesaleExtract!B:K,10,FALSE),"")</f>
        <v/>
      </c>
      <c r="L5445" s="47" t="str">
        <f>IFERROR(VLOOKUP(G5445,WholesaleExtract!B:L,11,FALSE),"")</f>
        <v/>
      </c>
      <c r="M5445" s="47" t="str">
        <f>IFERROR(VLOOKUP(G5445,WholesaleExtract!B:M,12,FALSE),"")</f>
        <v/>
      </c>
      <c r="R5445" s="19"/>
      <c r="S5445" s="19"/>
    </row>
    <row r="5446" spans="1:19" x14ac:dyDescent="0.35">
      <c r="A5446" s="26" t="s">
        <v>543</v>
      </c>
      <c r="B5446" s="26" t="s">
        <v>543</v>
      </c>
      <c r="C5446" s="26"/>
      <c r="D5446" s="26" t="s">
        <v>543</v>
      </c>
      <c r="E5446" s="26" t="str">
        <f>IFERROR(VLOOKUP(G5446,WholesaleExtract!B:J,9,FALSE),"")</f>
        <v/>
      </c>
      <c r="F5446" s="26" t="str">
        <f>IFERROR(VLOOKUP(G5446,WholesaleExtract!B:J,6,FALSE),"")</f>
        <v/>
      </c>
      <c r="H5446" s="47" t="str">
        <f>IFERROR(VLOOKUP(G5446,WholesaleExtract!B:L,11,FALSE),"")</f>
        <v/>
      </c>
      <c r="I5446" s="26" t="str">
        <f>IFERROR(VLOOKUP(G5446,WholesaleExtract!B:O,8,FALSE),"")</f>
        <v/>
      </c>
      <c r="J5446" s="26" t="str">
        <f>IFERROR(VLOOKUP(G5446,WholesaleExtract!B:O,14,FALSE),"")</f>
        <v/>
      </c>
      <c r="K5446" s="26" t="str">
        <f>IFERROR(VLOOKUP(G5446,WholesaleExtract!B:K,10,FALSE),"")</f>
        <v/>
      </c>
      <c r="L5446" s="47" t="str">
        <f>IFERROR(VLOOKUP(G5446,WholesaleExtract!B:L,11,FALSE),"")</f>
        <v/>
      </c>
      <c r="M5446" s="47" t="str">
        <f>IFERROR(VLOOKUP(G5446,WholesaleExtract!B:M,12,FALSE),"")</f>
        <v/>
      </c>
      <c r="R5446" s="19"/>
      <c r="S5446" s="19"/>
    </row>
    <row r="5447" spans="1:19" x14ac:dyDescent="0.35">
      <c r="A5447" s="26" t="s">
        <v>543</v>
      </c>
      <c r="B5447" s="26" t="s">
        <v>543</v>
      </c>
      <c r="C5447" s="26"/>
      <c r="D5447" s="26" t="s">
        <v>543</v>
      </c>
      <c r="E5447" s="26" t="str">
        <f>IFERROR(VLOOKUP(G5447,WholesaleExtract!B:J,9,FALSE),"")</f>
        <v/>
      </c>
      <c r="F5447" s="26" t="str">
        <f>IFERROR(VLOOKUP(G5447,WholesaleExtract!B:J,6,FALSE),"")</f>
        <v/>
      </c>
      <c r="H5447" s="47" t="str">
        <f>IFERROR(VLOOKUP(G5447,WholesaleExtract!B:L,11,FALSE),"")</f>
        <v/>
      </c>
      <c r="I5447" s="26" t="str">
        <f>IFERROR(VLOOKUP(G5447,WholesaleExtract!B:O,8,FALSE),"")</f>
        <v/>
      </c>
      <c r="J5447" s="26" t="str">
        <f>IFERROR(VLOOKUP(G5447,WholesaleExtract!B:O,14,FALSE),"")</f>
        <v/>
      </c>
      <c r="K5447" s="26" t="str">
        <f>IFERROR(VLOOKUP(G5447,WholesaleExtract!B:K,10,FALSE),"")</f>
        <v/>
      </c>
      <c r="L5447" s="47" t="str">
        <f>IFERROR(VLOOKUP(G5447,WholesaleExtract!B:L,11,FALSE),"")</f>
        <v/>
      </c>
      <c r="M5447" s="47" t="str">
        <f>IFERROR(VLOOKUP(G5447,WholesaleExtract!B:M,12,FALSE),"")</f>
        <v/>
      </c>
      <c r="R5447" s="19"/>
      <c r="S5447" s="19"/>
    </row>
    <row r="5448" spans="1:19" x14ac:dyDescent="0.35">
      <c r="A5448" s="26" t="s">
        <v>543</v>
      </c>
      <c r="B5448" s="26" t="s">
        <v>543</v>
      </c>
      <c r="C5448" s="26"/>
      <c r="D5448" s="26" t="s">
        <v>543</v>
      </c>
      <c r="E5448" s="26" t="str">
        <f>IFERROR(VLOOKUP(G5448,WholesaleExtract!B:J,9,FALSE),"")</f>
        <v/>
      </c>
      <c r="F5448" s="26" t="str">
        <f>IFERROR(VLOOKUP(G5448,WholesaleExtract!B:J,6,FALSE),"")</f>
        <v/>
      </c>
      <c r="H5448" s="47" t="str">
        <f>IFERROR(VLOOKUP(G5448,WholesaleExtract!B:L,11,FALSE),"")</f>
        <v/>
      </c>
      <c r="I5448" s="26" t="str">
        <f>IFERROR(VLOOKUP(G5448,WholesaleExtract!B:O,8,FALSE),"")</f>
        <v/>
      </c>
      <c r="J5448" s="26" t="str">
        <f>IFERROR(VLOOKUP(G5448,WholesaleExtract!B:O,14,FALSE),"")</f>
        <v/>
      </c>
      <c r="K5448" s="26" t="str">
        <f>IFERROR(VLOOKUP(G5448,WholesaleExtract!B:K,10,FALSE),"")</f>
        <v/>
      </c>
      <c r="L5448" s="47" t="str">
        <f>IFERROR(VLOOKUP(G5448,WholesaleExtract!B:L,11,FALSE),"")</f>
        <v/>
      </c>
      <c r="M5448" s="47" t="str">
        <f>IFERROR(VLOOKUP(G5448,WholesaleExtract!B:M,12,FALSE),"")</f>
        <v/>
      </c>
      <c r="R5448" s="19"/>
      <c r="S5448" s="19"/>
    </row>
    <row r="5449" spans="1:19" x14ac:dyDescent="0.35">
      <c r="A5449" s="26" t="s">
        <v>543</v>
      </c>
      <c r="B5449" s="26" t="s">
        <v>543</v>
      </c>
      <c r="C5449" s="26"/>
      <c r="D5449" s="26" t="s">
        <v>543</v>
      </c>
      <c r="E5449" s="26" t="str">
        <f>IFERROR(VLOOKUP(G5449,WholesaleExtract!B:J,9,FALSE),"")</f>
        <v/>
      </c>
      <c r="F5449" s="26" t="str">
        <f>IFERROR(VLOOKUP(G5449,WholesaleExtract!B:J,6,FALSE),"")</f>
        <v/>
      </c>
      <c r="H5449" s="47" t="str">
        <f>IFERROR(VLOOKUP(G5449,WholesaleExtract!B:L,11,FALSE),"")</f>
        <v/>
      </c>
      <c r="I5449" s="26" t="str">
        <f>IFERROR(VLOOKUP(G5449,WholesaleExtract!B:O,8,FALSE),"")</f>
        <v/>
      </c>
      <c r="J5449" s="26" t="str">
        <f>IFERROR(VLOOKUP(G5449,WholesaleExtract!B:O,14,FALSE),"")</f>
        <v/>
      </c>
      <c r="K5449" s="26" t="str">
        <f>IFERROR(VLOOKUP(G5449,WholesaleExtract!B:K,10,FALSE),"")</f>
        <v/>
      </c>
      <c r="L5449" s="47" t="str">
        <f>IFERROR(VLOOKUP(G5449,WholesaleExtract!B:L,11,FALSE),"")</f>
        <v/>
      </c>
      <c r="M5449" s="47" t="str">
        <f>IFERROR(VLOOKUP(G5449,WholesaleExtract!B:M,12,FALSE),"")</f>
        <v/>
      </c>
      <c r="R5449" s="19"/>
      <c r="S5449" s="19"/>
    </row>
    <row r="5450" spans="1:19" x14ac:dyDescent="0.35">
      <c r="A5450" s="26" t="s">
        <v>543</v>
      </c>
      <c r="B5450" s="26" t="s">
        <v>543</v>
      </c>
      <c r="C5450" s="26"/>
      <c r="D5450" s="26" t="s">
        <v>543</v>
      </c>
      <c r="E5450" s="26" t="str">
        <f>IFERROR(VLOOKUP(G5450,WholesaleExtract!B:J,9,FALSE),"")</f>
        <v/>
      </c>
      <c r="F5450" s="26" t="str">
        <f>IFERROR(VLOOKUP(G5450,WholesaleExtract!B:J,6,FALSE),"")</f>
        <v/>
      </c>
      <c r="H5450" s="47" t="str">
        <f>IFERROR(VLOOKUP(G5450,WholesaleExtract!B:L,11,FALSE),"")</f>
        <v/>
      </c>
      <c r="I5450" s="26" t="str">
        <f>IFERROR(VLOOKUP(G5450,WholesaleExtract!B:O,8,FALSE),"")</f>
        <v/>
      </c>
      <c r="J5450" s="26" t="str">
        <f>IFERROR(VLOOKUP(G5450,WholesaleExtract!B:O,14,FALSE),"")</f>
        <v/>
      </c>
      <c r="K5450" s="26" t="str">
        <f>IFERROR(VLOOKUP(G5450,WholesaleExtract!B:K,10,FALSE),"")</f>
        <v/>
      </c>
      <c r="L5450" s="47" t="str">
        <f>IFERROR(VLOOKUP(G5450,WholesaleExtract!B:L,11,FALSE),"")</f>
        <v/>
      </c>
      <c r="M5450" s="47" t="str">
        <f>IFERROR(VLOOKUP(G5450,WholesaleExtract!B:M,12,FALSE),"")</f>
        <v/>
      </c>
      <c r="R5450" s="19"/>
      <c r="S5450" s="19"/>
    </row>
    <row r="5451" spans="1:19" x14ac:dyDescent="0.35">
      <c r="A5451" s="26" t="s">
        <v>543</v>
      </c>
      <c r="B5451" s="26" t="s">
        <v>543</v>
      </c>
      <c r="C5451" s="26"/>
      <c r="D5451" s="26" t="s">
        <v>543</v>
      </c>
      <c r="E5451" s="26" t="str">
        <f>IFERROR(VLOOKUP(G5451,WholesaleExtract!B:J,9,FALSE),"")</f>
        <v/>
      </c>
      <c r="F5451" s="26" t="str">
        <f>IFERROR(VLOOKUP(G5451,WholesaleExtract!B:J,6,FALSE),"")</f>
        <v/>
      </c>
      <c r="H5451" s="47" t="str">
        <f>IFERROR(VLOOKUP(G5451,WholesaleExtract!B:L,11,FALSE),"")</f>
        <v/>
      </c>
      <c r="I5451" s="26" t="str">
        <f>IFERROR(VLOOKUP(G5451,WholesaleExtract!B:O,8,FALSE),"")</f>
        <v/>
      </c>
      <c r="J5451" s="26" t="str">
        <f>IFERROR(VLOOKUP(G5451,WholesaleExtract!B:O,14,FALSE),"")</f>
        <v/>
      </c>
      <c r="K5451" s="26" t="str">
        <f>IFERROR(VLOOKUP(G5451,WholesaleExtract!B:K,10,FALSE),"")</f>
        <v/>
      </c>
      <c r="L5451" s="47" t="str">
        <f>IFERROR(VLOOKUP(G5451,WholesaleExtract!B:L,11,FALSE),"")</f>
        <v/>
      </c>
      <c r="M5451" s="47" t="str">
        <f>IFERROR(VLOOKUP(G5451,WholesaleExtract!B:M,12,FALSE),"")</f>
        <v/>
      </c>
      <c r="R5451" s="19"/>
      <c r="S5451" s="19"/>
    </row>
    <row r="5452" spans="1:19" x14ac:dyDescent="0.35">
      <c r="A5452" s="26" t="s">
        <v>543</v>
      </c>
      <c r="B5452" s="26" t="s">
        <v>543</v>
      </c>
      <c r="C5452" s="26"/>
      <c r="D5452" s="26" t="s">
        <v>543</v>
      </c>
      <c r="E5452" s="26" t="str">
        <f>IFERROR(VLOOKUP(G5452,WholesaleExtract!B:J,9,FALSE),"")</f>
        <v/>
      </c>
      <c r="F5452" s="26" t="str">
        <f>IFERROR(VLOOKUP(G5452,WholesaleExtract!B:J,6,FALSE),"")</f>
        <v/>
      </c>
      <c r="H5452" s="47" t="str">
        <f>IFERROR(VLOOKUP(G5452,WholesaleExtract!B:L,11,FALSE),"")</f>
        <v/>
      </c>
      <c r="I5452" s="26" t="str">
        <f>IFERROR(VLOOKUP(G5452,WholesaleExtract!B:O,8,FALSE),"")</f>
        <v/>
      </c>
      <c r="J5452" s="26" t="str">
        <f>IFERROR(VLOOKUP(G5452,WholesaleExtract!B:O,14,FALSE),"")</f>
        <v/>
      </c>
      <c r="K5452" s="26" t="str">
        <f>IFERROR(VLOOKUP(G5452,WholesaleExtract!B:K,10,FALSE),"")</f>
        <v/>
      </c>
      <c r="L5452" s="47" t="str">
        <f>IFERROR(VLOOKUP(G5452,WholesaleExtract!B:L,11,FALSE),"")</f>
        <v/>
      </c>
      <c r="M5452" s="47" t="str">
        <f>IFERROR(VLOOKUP(G5452,WholesaleExtract!B:M,12,FALSE),"")</f>
        <v/>
      </c>
      <c r="R5452" s="19"/>
      <c r="S5452" s="19"/>
    </row>
    <row r="5453" spans="1:19" x14ac:dyDescent="0.35">
      <c r="A5453" s="26" t="s">
        <v>543</v>
      </c>
      <c r="B5453" s="26" t="s">
        <v>543</v>
      </c>
      <c r="C5453" s="26"/>
      <c r="D5453" s="26" t="s">
        <v>543</v>
      </c>
      <c r="E5453" s="26" t="str">
        <f>IFERROR(VLOOKUP(G5453,WholesaleExtract!B:J,9,FALSE),"")</f>
        <v/>
      </c>
      <c r="F5453" s="26" t="str">
        <f>IFERROR(VLOOKUP(G5453,WholesaleExtract!B:J,6,FALSE),"")</f>
        <v/>
      </c>
      <c r="H5453" s="47" t="str">
        <f>IFERROR(VLOOKUP(G5453,WholesaleExtract!B:L,11,FALSE),"")</f>
        <v/>
      </c>
      <c r="I5453" s="26" t="str">
        <f>IFERROR(VLOOKUP(G5453,WholesaleExtract!B:O,8,FALSE),"")</f>
        <v/>
      </c>
      <c r="J5453" s="26" t="str">
        <f>IFERROR(VLOOKUP(G5453,WholesaleExtract!B:O,14,FALSE),"")</f>
        <v/>
      </c>
      <c r="K5453" s="26" t="str">
        <f>IFERROR(VLOOKUP(G5453,WholesaleExtract!B:K,10,FALSE),"")</f>
        <v/>
      </c>
      <c r="L5453" s="47" t="str">
        <f>IFERROR(VLOOKUP(G5453,WholesaleExtract!B:L,11,FALSE),"")</f>
        <v/>
      </c>
      <c r="M5453" s="47" t="str">
        <f>IFERROR(VLOOKUP(G5453,WholesaleExtract!B:M,12,FALSE),"")</f>
        <v/>
      </c>
      <c r="R5453" s="19"/>
      <c r="S5453" s="19"/>
    </row>
    <row r="5454" spans="1:19" x14ac:dyDescent="0.35">
      <c r="A5454" s="26" t="s">
        <v>543</v>
      </c>
      <c r="B5454" s="26" t="s">
        <v>543</v>
      </c>
      <c r="C5454" s="26"/>
      <c r="D5454" s="26" t="s">
        <v>543</v>
      </c>
      <c r="E5454" s="26" t="str">
        <f>IFERROR(VLOOKUP(G5454,WholesaleExtract!B:J,9,FALSE),"")</f>
        <v/>
      </c>
      <c r="F5454" s="26" t="str">
        <f>IFERROR(VLOOKUP(G5454,WholesaleExtract!B:J,6,FALSE),"")</f>
        <v/>
      </c>
      <c r="H5454" s="47" t="str">
        <f>IFERROR(VLOOKUP(G5454,WholesaleExtract!B:L,11,FALSE),"")</f>
        <v/>
      </c>
      <c r="I5454" s="26" t="str">
        <f>IFERROR(VLOOKUP(G5454,WholesaleExtract!B:O,8,FALSE),"")</f>
        <v/>
      </c>
      <c r="J5454" s="26" t="str">
        <f>IFERROR(VLOOKUP(G5454,WholesaleExtract!B:O,14,FALSE),"")</f>
        <v/>
      </c>
      <c r="K5454" s="26" t="str">
        <f>IFERROR(VLOOKUP(G5454,WholesaleExtract!B:K,10,FALSE),"")</f>
        <v/>
      </c>
      <c r="L5454" s="47" t="str">
        <f>IFERROR(VLOOKUP(G5454,WholesaleExtract!B:L,11,FALSE),"")</f>
        <v/>
      </c>
      <c r="M5454" s="47" t="str">
        <f>IFERROR(VLOOKUP(G5454,WholesaleExtract!B:M,12,FALSE),"")</f>
        <v/>
      </c>
      <c r="R5454" s="19"/>
      <c r="S5454" s="19"/>
    </row>
    <row r="5455" spans="1:19" x14ac:dyDescent="0.35">
      <c r="A5455" s="26" t="s">
        <v>543</v>
      </c>
      <c r="B5455" s="26" t="s">
        <v>543</v>
      </c>
      <c r="C5455" s="26"/>
      <c r="D5455" s="26" t="s">
        <v>543</v>
      </c>
      <c r="E5455" s="26" t="str">
        <f>IFERROR(VLOOKUP(G5455,WholesaleExtract!B:J,9,FALSE),"")</f>
        <v/>
      </c>
      <c r="F5455" s="26" t="str">
        <f>IFERROR(VLOOKUP(G5455,WholesaleExtract!B:J,6,FALSE),"")</f>
        <v/>
      </c>
      <c r="H5455" s="47" t="str">
        <f>IFERROR(VLOOKUP(G5455,WholesaleExtract!B:L,11,FALSE),"")</f>
        <v/>
      </c>
      <c r="I5455" s="26" t="str">
        <f>IFERROR(VLOOKUP(G5455,WholesaleExtract!B:O,8,FALSE),"")</f>
        <v/>
      </c>
      <c r="J5455" s="26" t="str">
        <f>IFERROR(VLOOKUP(G5455,WholesaleExtract!B:O,14,FALSE),"")</f>
        <v/>
      </c>
      <c r="K5455" s="26" t="str">
        <f>IFERROR(VLOOKUP(G5455,WholesaleExtract!B:K,10,FALSE),"")</f>
        <v/>
      </c>
      <c r="L5455" s="47" t="str">
        <f>IFERROR(VLOOKUP(G5455,WholesaleExtract!B:L,11,FALSE),"")</f>
        <v/>
      </c>
      <c r="M5455" s="47" t="str">
        <f>IFERROR(VLOOKUP(G5455,WholesaleExtract!B:M,12,FALSE),"")</f>
        <v/>
      </c>
      <c r="R5455" s="19"/>
      <c r="S5455" s="19"/>
    </row>
    <row r="5456" spans="1:19" x14ac:dyDescent="0.35">
      <c r="A5456" s="26" t="s">
        <v>543</v>
      </c>
      <c r="B5456" s="26" t="s">
        <v>543</v>
      </c>
      <c r="C5456" s="26"/>
      <c r="D5456" s="26" t="s">
        <v>543</v>
      </c>
      <c r="E5456" s="26" t="str">
        <f>IFERROR(VLOOKUP(G5456,WholesaleExtract!B:J,9,FALSE),"")</f>
        <v/>
      </c>
      <c r="F5456" s="26" t="str">
        <f>IFERROR(VLOOKUP(G5456,WholesaleExtract!B:J,6,FALSE),"")</f>
        <v/>
      </c>
      <c r="H5456" s="47" t="str">
        <f>IFERROR(VLOOKUP(G5456,WholesaleExtract!B:L,11,FALSE),"")</f>
        <v/>
      </c>
      <c r="I5456" s="26" t="str">
        <f>IFERROR(VLOOKUP(G5456,WholesaleExtract!B:O,8,FALSE),"")</f>
        <v/>
      </c>
      <c r="J5456" s="26" t="str">
        <f>IFERROR(VLOOKUP(G5456,WholesaleExtract!B:O,14,FALSE),"")</f>
        <v/>
      </c>
      <c r="K5456" s="26" t="str">
        <f>IFERROR(VLOOKUP(G5456,WholesaleExtract!B:K,10,FALSE),"")</f>
        <v/>
      </c>
      <c r="L5456" s="47" t="str">
        <f>IFERROR(VLOOKUP(G5456,WholesaleExtract!B:L,11,FALSE),"")</f>
        <v/>
      </c>
      <c r="M5456" s="47" t="str">
        <f>IFERROR(VLOOKUP(G5456,WholesaleExtract!B:M,12,FALSE),"")</f>
        <v/>
      </c>
      <c r="R5456" s="19"/>
      <c r="S5456" s="19"/>
    </row>
    <row r="5457" spans="1:19" x14ac:dyDescent="0.35">
      <c r="A5457" s="26" t="s">
        <v>543</v>
      </c>
      <c r="B5457" s="26" t="s">
        <v>543</v>
      </c>
      <c r="C5457" s="26"/>
      <c r="D5457" s="26" t="s">
        <v>543</v>
      </c>
      <c r="E5457" s="26" t="str">
        <f>IFERROR(VLOOKUP(G5457,WholesaleExtract!B:J,9,FALSE),"")</f>
        <v/>
      </c>
      <c r="F5457" s="26" t="str">
        <f>IFERROR(VLOOKUP(G5457,WholesaleExtract!B:J,6,FALSE),"")</f>
        <v/>
      </c>
      <c r="H5457" s="47" t="str">
        <f>IFERROR(VLOOKUP(G5457,WholesaleExtract!B:L,11,FALSE),"")</f>
        <v/>
      </c>
      <c r="I5457" s="26" t="str">
        <f>IFERROR(VLOOKUP(G5457,WholesaleExtract!B:O,8,FALSE),"")</f>
        <v/>
      </c>
      <c r="J5457" s="26" t="str">
        <f>IFERROR(VLOOKUP(G5457,WholesaleExtract!B:O,14,FALSE),"")</f>
        <v/>
      </c>
      <c r="K5457" s="26" t="str">
        <f>IFERROR(VLOOKUP(G5457,WholesaleExtract!B:K,10,FALSE),"")</f>
        <v/>
      </c>
      <c r="L5457" s="47" t="str">
        <f>IFERROR(VLOOKUP(G5457,WholesaleExtract!B:L,11,FALSE),"")</f>
        <v/>
      </c>
      <c r="M5457" s="47" t="str">
        <f>IFERROR(VLOOKUP(G5457,WholesaleExtract!B:M,12,FALSE),"")</f>
        <v/>
      </c>
      <c r="R5457" s="19"/>
      <c r="S5457" s="19"/>
    </row>
    <row r="5458" spans="1:19" x14ac:dyDescent="0.35">
      <c r="A5458" s="26" t="s">
        <v>543</v>
      </c>
      <c r="B5458" s="26" t="s">
        <v>543</v>
      </c>
      <c r="C5458" s="26"/>
      <c r="D5458" s="26" t="s">
        <v>543</v>
      </c>
      <c r="E5458" s="26" t="str">
        <f>IFERROR(VLOOKUP(G5458,WholesaleExtract!B:J,9,FALSE),"")</f>
        <v/>
      </c>
      <c r="F5458" s="26" t="str">
        <f>IFERROR(VLOOKUP(G5458,WholesaleExtract!B:J,6,FALSE),"")</f>
        <v/>
      </c>
      <c r="H5458" s="47" t="str">
        <f>IFERROR(VLOOKUP(G5458,WholesaleExtract!B:L,11,FALSE),"")</f>
        <v/>
      </c>
      <c r="I5458" s="26" t="str">
        <f>IFERROR(VLOOKUP(G5458,WholesaleExtract!B:O,8,FALSE),"")</f>
        <v/>
      </c>
      <c r="J5458" s="26" t="str">
        <f>IFERROR(VLOOKUP(G5458,WholesaleExtract!B:O,14,FALSE),"")</f>
        <v/>
      </c>
      <c r="K5458" s="26" t="str">
        <f>IFERROR(VLOOKUP(G5458,WholesaleExtract!B:K,10,FALSE),"")</f>
        <v/>
      </c>
      <c r="L5458" s="47" t="str">
        <f>IFERROR(VLOOKUP(G5458,WholesaleExtract!B:L,11,FALSE),"")</f>
        <v/>
      </c>
      <c r="M5458" s="47" t="str">
        <f>IFERROR(VLOOKUP(G5458,WholesaleExtract!B:M,12,FALSE),"")</f>
        <v/>
      </c>
      <c r="R5458" s="19"/>
      <c r="S5458" s="19"/>
    </row>
    <row r="5459" spans="1:19" x14ac:dyDescent="0.35">
      <c r="A5459" s="26" t="s">
        <v>543</v>
      </c>
      <c r="B5459" s="26" t="s">
        <v>543</v>
      </c>
      <c r="C5459" s="26"/>
      <c r="D5459" s="26" t="s">
        <v>543</v>
      </c>
      <c r="E5459" s="26" t="str">
        <f>IFERROR(VLOOKUP(G5459,WholesaleExtract!B:J,9,FALSE),"")</f>
        <v/>
      </c>
      <c r="F5459" s="26" t="str">
        <f>IFERROR(VLOOKUP(G5459,WholesaleExtract!B:J,6,FALSE),"")</f>
        <v/>
      </c>
      <c r="H5459" s="47" t="str">
        <f>IFERROR(VLOOKUP(G5459,WholesaleExtract!B:L,11,FALSE),"")</f>
        <v/>
      </c>
      <c r="I5459" s="26" t="str">
        <f>IFERROR(VLOOKUP(G5459,WholesaleExtract!B:O,8,FALSE),"")</f>
        <v/>
      </c>
      <c r="J5459" s="26" t="str">
        <f>IFERROR(VLOOKUP(G5459,WholesaleExtract!B:O,14,FALSE),"")</f>
        <v/>
      </c>
      <c r="K5459" s="26" t="str">
        <f>IFERROR(VLOOKUP(G5459,WholesaleExtract!B:K,10,FALSE),"")</f>
        <v/>
      </c>
      <c r="L5459" s="47" t="str">
        <f>IFERROR(VLOOKUP(G5459,WholesaleExtract!B:L,11,FALSE),"")</f>
        <v/>
      </c>
      <c r="M5459" s="47" t="str">
        <f>IFERROR(VLOOKUP(G5459,WholesaleExtract!B:M,12,FALSE),"")</f>
        <v/>
      </c>
      <c r="R5459" s="19"/>
      <c r="S5459" s="19"/>
    </row>
    <row r="5460" spans="1:19" x14ac:dyDescent="0.35">
      <c r="A5460" s="26" t="s">
        <v>543</v>
      </c>
      <c r="B5460" s="26" t="s">
        <v>543</v>
      </c>
      <c r="C5460" s="26"/>
      <c r="D5460" s="26" t="s">
        <v>543</v>
      </c>
      <c r="E5460" s="26" t="str">
        <f>IFERROR(VLOOKUP(G5460,WholesaleExtract!B:J,9,FALSE),"")</f>
        <v/>
      </c>
      <c r="F5460" s="26" t="str">
        <f>IFERROR(VLOOKUP(G5460,WholesaleExtract!B:J,6,FALSE),"")</f>
        <v/>
      </c>
      <c r="H5460" s="47" t="str">
        <f>IFERROR(VLOOKUP(G5460,WholesaleExtract!B:L,11,FALSE),"")</f>
        <v/>
      </c>
      <c r="I5460" s="26" t="str">
        <f>IFERROR(VLOOKUP(G5460,WholesaleExtract!B:O,8,FALSE),"")</f>
        <v/>
      </c>
      <c r="J5460" s="26" t="str">
        <f>IFERROR(VLOOKUP(G5460,WholesaleExtract!B:O,14,FALSE),"")</f>
        <v/>
      </c>
      <c r="K5460" s="26" t="str">
        <f>IFERROR(VLOOKUP(G5460,WholesaleExtract!B:K,10,FALSE),"")</f>
        <v/>
      </c>
      <c r="L5460" s="47" t="str">
        <f>IFERROR(VLOOKUP(G5460,WholesaleExtract!B:L,11,FALSE),"")</f>
        <v/>
      </c>
      <c r="M5460" s="47" t="str">
        <f>IFERROR(VLOOKUP(G5460,WholesaleExtract!B:M,12,FALSE),"")</f>
        <v/>
      </c>
      <c r="R5460" s="19"/>
      <c r="S5460" s="19"/>
    </row>
    <row r="5461" spans="1:19" x14ac:dyDescent="0.35">
      <c r="A5461" s="26" t="s">
        <v>543</v>
      </c>
      <c r="B5461" s="26" t="s">
        <v>543</v>
      </c>
      <c r="C5461" s="26"/>
      <c r="D5461" s="26" t="s">
        <v>543</v>
      </c>
      <c r="E5461" s="26" t="str">
        <f>IFERROR(VLOOKUP(G5461,WholesaleExtract!B:J,9,FALSE),"")</f>
        <v/>
      </c>
      <c r="F5461" s="26" t="str">
        <f>IFERROR(VLOOKUP(G5461,WholesaleExtract!B:J,6,FALSE),"")</f>
        <v/>
      </c>
      <c r="H5461" s="47" t="str">
        <f>IFERROR(VLOOKUP(G5461,WholesaleExtract!B:L,11,FALSE),"")</f>
        <v/>
      </c>
      <c r="I5461" s="26" t="str">
        <f>IFERROR(VLOOKUP(G5461,WholesaleExtract!B:O,8,FALSE),"")</f>
        <v/>
      </c>
      <c r="J5461" s="26" t="str">
        <f>IFERROR(VLOOKUP(G5461,WholesaleExtract!B:O,14,FALSE),"")</f>
        <v/>
      </c>
      <c r="K5461" s="26" t="str">
        <f>IFERROR(VLOOKUP(G5461,WholesaleExtract!B:K,10,FALSE),"")</f>
        <v/>
      </c>
      <c r="L5461" s="47" t="str">
        <f>IFERROR(VLOOKUP(G5461,WholesaleExtract!B:L,11,FALSE),"")</f>
        <v/>
      </c>
      <c r="M5461" s="47" t="str">
        <f>IFERROR(VLOOKUP(G5461,WholesaleExtract!B:M,12,FALSE),"")</f>
        <v/>
      </c>
      <c r="R5461" s="19"/>
      <c r="S5461" s="19"/>
    </row>
    <row r="5462" spans="1:19" x14ac:dyDescent="0.35">
      <c r="A5462" s="26" t="s">
        <v>543</v>
      </c>
      <c r="B5462" s="26" t="s">
        <v>543</v>
      </c>
      <c r="C5462" s="26"/>
      <c r="D5462" s="26" t="s">
        <v>543</v>
      </c>
      <c r="E5462" s="26" t="str">
        <f>IFERROR(VLOOKUP(G5462,WholesaleExtract!B:J,9,FALSE),"")</f>
        <v/>
      </c>
      <c r="F5462" s="26" t="str">
        <f>IFERROR(VLOOKUP(G5462,WholesaleExtract!B:J,6,FALSE),"")</f>
        <v/>
      </c>
      <c r="H5462" s="47" t="str">
        <f>IFERROR(VLOOKUP(G5462,WholesaleExtract!B:L,11,FALSE),"")</f>
        <v/>
      </c>
      <c r="I5462" s="26" t="str">
        <f>IFERROR(VLOOKUP(G5462,WholesaleExtract!B:O,8,FALSE),"")</f>
        <v/>
      </c>
      <c r="J5462" s="26" t="str">
        <f>IFERROR(VLOOKUP(G5462,WholesaleExtract!B:O,14,FALSE),"")</f>
        <v/>
      </c>
      <c r="K5462" s="26" t="str">
        <f>IFERROR(VLOOKUP(G5462,WholesaleExtract!B:K,10,FALSE),"")</f>
        <v/>
      </c>
      <c r="L5462" s="47" t="str">
        <f>IFERROR(VLOOKUP(G5462,WholesaleExtract!B:L,11,FALSE),"")</f>
        <v/>
      </c>
      <c r="M5462" s="47" t="str">
        <f>IFERROR(VLOOKUP(G5462,WholesaleExtract!B:M,12,FALSE),"")</f>
        <v/>
      </c>
      <c r="R5462" s="19"/>
      <c r="S5462" s="19"/>
    </row>
    <row r="5463" spans="1:19" x14ac:dyDescent="0.35">
      <c r="A5463" s="26" t="s">
        <v>543</v>
      </c>
      <c r="B5463" s="26" t="s">
        <v>543</v>
      </c>
      <c r="C5463" s="26"/>
      <c r="D5463" s="26" t="s">
        <v>543</v>
      </c>
      <c r="E5463" s="26" t="str">
        <f>IFERROR(VLOOKUP(G5463,WholesaleExtract!B:J,9,FALSE),"")</f>
        <v/>
      </c>
      <c r="F5463" s="26" t="str">
        <f>IFERROR(VLOOKUP(G5463,WholesaleExtract!B:J,6,FALSE),"")</f>
        <v/>
      </c>
      <c r="H5463" s="47" t="str">
        <f>IFERROR(VLOOKUP(G5463,WholesaleExtract!B:L,11,FALSE),"")</f>
        <v/>
      </c>
      <c r="I5463" s="26" t="str">
        <f>IFERROR(VLOOKUP(G5463,WholesaleExtract!B:O,8,FALSE),"")</f>
        <v/>
      </c>
      <c r="J5463" s="26" t="str">
        <f>IFERROR(VLOOKUP(G5463,WholesaleExtract!B:O,14,FALSE),"")</f>
        <v/>
      </c>
      <c r="K5463" s="26" t="str">
        <f>IFERROR(VLOOKUP(G5463,WholesaleExtract!B:K,10,FALSE),"")</f>
        <v/>
      </c>
      <c r="L5463" s="47" t="str">
        <f>IFERROR(VLOOKUP(G5463,WholesaleExtract!B:L,11,FALSE),"")</f>
        <v/>
      </c>
      <c r="M5463" s="47" t="str">
        <f>IFERROR(VLOOKUP(G5463,WholesaleExtract!B:M,12,FALSE),"")</f>
        <v/>
      </c>
      <c r="R5463" s="19"/>
      <c r="S5463" s="19"/>
    </row>
    <row r="5464" spans="1:19" x14ac:dyDescent="0.35">
      <c r="A5464" s="26" t="s">
        <v>543</v>
      </c>
      <c r="B5464" s="26" t="s">
        <v>543</v>
      </c>
      <c r="C5464" s="26"/>
      <c r="D5464" s="26" t="s">
        <v>543</v>
      </c>
      <c r="E5464" s="26" t="str">
        <f>IFERROR(VLOOKUP(G5464,WholesaleExtract!B:J,9,FALSE),"")</f>
        <v/>
      </c>
      <c r="F5464" s="26" t="str">
        <f>IFERROR(VLOOKUP(G5464,WholesaleExtract!B:J,6,FALSE),"")</f>
        <v/>
      </c>
      <c r="H5464" s="47" t="str">
        <f>IFERROR(VLOOKUP(G5464,WholesaleExtract!B:L,11,FALSE),"")</f>
        <v/>
      </c>
      <c r="I5464" s="26" t="str">
        <f>IFERROR(VLOOKUP(G5464,WholesaleExtract!B:O,8,FALSE),"")</f>
        <v/>
      </c>
      <c r="J5464" s="26" t="str">
        <f>IFERROR(VLOOKUP(G5464,WholesaleExtract!B:O,14,FALSE),"")</f>
        <v/>
      </c>
      <c r="K5464" s="26" t="str">
        <f>IFERROR(VLOOKUP(G5464,WholesaleExtract!B:K,10,FALSE),"")</f>
        <v/>
      </c>
      <c r="L5464" s="47" t="str">
        <f>IFERROR(VLOOKUP(G5464,WholesaleExtract!B:L,11,FALSE),"")</f>
        <v/>
      </c>
      <c r="M5464" s="47" t="str">
        <f>IFERROR(VLOOKUP(G5464,WholesaleExtract!B:M,12,FALSE),"")</f>
        <v/>
      </c>
      <c r="R5464" s="19"/>
      <c r="S5464" s="19"/>
    </row>
    <row r="5465" spans="1:19" x14ac:dyDescent="0.35">
      <c r="A5465" s="26" t="s">
        <v>543</v>
      </c>
      <c r="B5465" s="26" t="s">
        <v>543</v>
      </c>
      <c r="C5465" s="26"/>
      <c r="D5465" s="26" t="s">
        <v>543</v>
      </c>
      <c r="E5465" s="26" t="str">
        <f>IFERROR(VLOOKUP(G5465,WholesaleExtract!B:J,9,FALSE),"")</f>
        <v/>
      </c>
      <c r="F5465" s="26" t="str">
        <f>IFERROR(VLOOKUP(G5465,WholesaleExtract!B:J,6,FALSE),"")</f>
        <v/>
      </c>
      <c r="H5465" s="47" t="str">
        <f>IFERROR(VLOOKUP(G5465,WholesaleExtract!B:L,11,FALSE),"")</f>
        <v/>
      </c>
      <c r="I5465" s="26" t="str">
        <f>IFERROR(VLOOKUP(G5465,WholesaleExtract!B:O,8,FALSE),"")</f>
        <v/>
      </c>
      <c r="J5465" s="26" t="str">
        <f>IFERROR(VLOOKUP(G5465,WholesaleExtract!B:O,14,FALSE),"")</f>
        <v/>
      </c>
      <c r="K5465" s="26" t="str">
        <f>IFERROR(VLOOKUP(G5465,WholesaleExtract!B:K,10,FALSE),"")</f>
        <v/>
      </c>
      <c r="L5465" s="47" t="str">
        <f>IFERROR(VLOOKUP(G5465,WholesaleExtract!B:L,11,FALSE),"")</f>
        <v/>
      </c>
      <c r="M5465" s="47" t="str">
        <f>IFERROR(VLOOKUP(G5465,WholesaleExtract!B:M,12,FALSE),"")</f>
        <v/>
      </c>
      <c r="R5465" s="19"/>
      <c r="S5465" s="19"/>
    </row>
    <row r="5466" spans="1:19" x14ac:dyDescent="0.35">
      <c r="A5466" s="26" t="s">
        <v>543</v>
      </c>
      <c r="B5466" s="26" t="s">
        <v>543</v>
      </c>
      <c r="C5466" s="26"/>
      <c r="D5466" s="26" t="s">
        <v>543</v>
      </c>
      <c r="E5466" s="26" t="str">
        <f>IFERROR(VLOOKUP(G5466,WholesaleExtract!B:J,9,FALSE),"")</f>
        <v/>
      </c>
      <c r="F5466" s="26" t="str">
        <f>IFERROR(VLOOKUP(G5466,WholesaleExtract!B:J,6,FALSE),"")</f>
        <v/>
      </c>
      <c r="H5466" s="47" t="str">
        <f>IFERROR(VLOOKUP(G5466,WholesaleExtract!B:L,11,FALSE),"")</f>
        <v/>
      </c>
      <c r="I5466" s="26" t="str">
        <f>IFERROR(VLOOKUP(G5466,WholesaleExtract!B:O,8,FALSE),"")</f>
        <v/>
      </c>
      <c r="J5466" s="26" t="str">
        <f>IFERROR(VLOOKUP(G5466,WholesaleExtract!B:O,14,FALSE),"")</f>
        <v/>
      </c>
      <c r="K5466" s="26" t="str">
        <f>IFERROR(VLOOKUP(G5466,WholesaleExtract!B:K,10,FALSE),"")</f>
        <v/>
      </c>
      <c r="L5466" s="47" t="str">
        <f>IFERROR(VLOOKUP(G5466,WholesaleExtract!B:L,11,FALSE),"")</f>
        <v/>
      </c>
      <c r="M5466" s="47" t="str">
        <f>IFERROR(VLOOKUP(G5466,WholesaleExtract!B:M,12,FALSE),"")</f>
        <v/>
      </c>
      <c r="R5466" s="19"/>
      <c r="S5466" s="19"/>
    </row>
    <row r="5467" spans="1:19" x14ac:dyDescent="0.35">
      <c r="A5467" s="26" t="s">
        <v>543</v>
      </c>
      <c r="B5467" s="26" t="s">
        <v>543</v>
      </c>
      <c r="C5467" s="26"/>
      <c r="D5467" s="26" t="s">
        <v>543</v>
      </c>
      <c r="E5467" s="26" t="str">
        <f>IFERROR(VLOOKUP(G5467,WholesaleExtract!B:J,9,FALSE),"")</f>
        <v/>
      </c>
      <c r="F5467" s="26" t="str">
        <f>IFERROR(VLOOKUP(G5467,WholesaleExtract!B:J,6,FALSE),"")</f>
        <v/>
      </c>
      <c r="H5467" s="47" t="str">
        <f>IFERROR(VLOOKUP(G5467,WholesaleExtract!B:L,11,FALSE),"")</f>
        <v/>
      </c>
      <c r="I5467" s="26" t="str">
        <f>IFERROR(VLOOKUP(G5467,WholesaleExtract!B:O,8,FALSE),"")</f>
        <v/>
      </c>
      <c r="J5467" s="26" t="str">
        <f>IFERROR(VLOOKUP(G5467,WholesaleExtract!B:O,14,FALSE),"")</f>
        <v/>
      </c>
      <c r="K5467" s="26" t="str">
        <f>IFERROR(VLOOKUP(G5467,WholesaleExtract!B:K,10,FALSE),"")</f>
        <v/>
      </c>
      <c r="L5467" s="47" t="str">
        <f>IFERROR(VLOOKUP(G5467,WholesaleExtract!B:L,11,FALSE),"")</f>
        <v/>
      </c>
      <c r="M5467" s="47" t="str">
        <f>IFERROR(VLOOKUP(G5467,WholesaleExtract!B:M,12,FALSE),"")</f>
        <v/>
      </c>
      <c r="R5467" s="19"/>
      <c r="S5467" s="19"/>
    </row>
    <row r="5468" spans="1:19" x14ac:dyDescent="0.35">
      <c r="A5468" s="26" t="s">
        <v>543</v>
      </c>
      <c r="B5468" s="26" t="s">
        <v>543</v>
      </c>
      <c r="C5468" s="26"/>
      <c r="D5468" s="26" t="s">
        <v>543</v>
      </c>
      <c r="E5468" s="26" t="str">
        <f>IFERROR(VLOOKUP(G5468,WholesaleExtract!B:J,9,FALSE),"")</f>
        <v/>
      </c>
      <c r="F5468" s="26" t="str">
        <f>IFERROR(VLOOKUP(G5468,WholesaleExtract!B:J,6,FALSE),"")</f>
        <v/>
      </c>
      <c r="H5468" s="47" t="str">
        <f>IFERROR(VLOOKUP(G5468,WholesaleExtract!B:L,11,FALSE),"")</f>
        <v/>
      </c>
      <c r="I5468" s="26" t="str">
        <f>IFERROR(VLOOKUP(G5468,WholesaleExtract!B:O,8,FALSE),"")</f>
        <v/>
      </c>
      <c r="J5468" s="26" t="str">
        <f>IFERROR(VLOOKUP(G5468,WholesaleExtract!B:O,14,FALSE),"")</f>
        <v/>
      </c>
      <c r="K5468" s="26" t="str">
        <f>IFERROR(VLOOKUP(G5468,WholesaleExtract!B:K,10,FALSE),"")</f>
        <v/>
      </c>
      <c r="L5468" s="47" t="str">
        <f>IFERROR(VLOOKUP(G5468,WholesaleExtract!B:L,11,FALSE),"")</f>
        <v/>
      </c>
      <c r="M5468" s="47" t="str">
        <f>IFERROR(VLOOKUP(G5468,WholesaleExtract!B:M,12,FALSE),"")</f>
        <v/>
      </c>
      <c r="R5468" s="19"/>
      <c r="S5468" s="19"/>
    </row>
    <row r="5469" spans="1:19" x14ac:dyDescent="0.35">
      <c r="A5469" s="26" t="s">
        <v>543</v>
      </c>
      <c r="B5469" s="26" t="s">
        <v>543</v>
      </c>
      <c r="C5469" s="26"/>
      <c r="D5469" s="26" t="s">
        <v>543</v>
      </c>
      <c r="E5469" s="26" t="str">
        <f>IFERROR(VLOOKUP(G5469,WholesaleExtract!B:J,9,FALSE),"")</f>
        <v/>
      </c>
      <c r="F5469" s="26" t="str">
        <f>IFERROR(VLOOKUP(G5469,WholesaleExtract!B:J,6,FALSE),"")</f>
        <v/>
      </c>
      <c r="H5469" s="47" t="str">
        <f>IFERROR(VLOOKUP(G5469,WholesaleExtract!B:L,11,FALSE),"")</f>
        <v/>
      </c>
      <c r="I5469" s="26" t="str">
        <f>IFERROR(VLOOKUP(G5469,WholesaleExtract!B:O,8,FALSE),"")</f>
        <v/>
      </c>
      <c r="J5469" s="26" t="str">
        <f>IFERROR(VLOOKUP(G5469,WholesaleExtract!B:O,14,FALSE),"")</f>
        <v/>
      </c>
      <c r="K5469" s="26" t="str">
        <f>IFERROR(VLOOKUP(G5469,WholesaleExtract!B:K,10,FALSE),"")</f>
        <v/>
      </c>
      <c r="L5469" s="47" t="str">
        <f>IFERROR(VLOOKUP(G5469,WholesaleExtract!B:L,11,FALSE),"")</f>
        <v/>
      </c>
      <c r="M5469" s="47" t="str">
        <f>IFERROR(VLOOKUP(G5469,WholesaleExtract!B:M,12,FALSE),"")</f>
        <v/>
      </c>
      <c r="R5469" s="19"/>
      <c r="S5469" s="19"/>
    </row>
    <row r="5470" spans="1:19" x14ac:dyDescent="0.35">
      <c r="A5470" s="26" t="s">
        <v>543</v>
      </c>
      <c r="B5470" s="26" t="s">
        <v>543</v>
      </c>
      <c r="C5470" s="26"/>
      <c r="D5470" s="26" t="s">
        <v>543</v>
      </c>
      <c r="E5470" s="26" t="str">
        <f>IFERROR(VLOOKUP(G5470,WholesaleExtract!B:J,9,FALSE),"")</f>
        <v/>
      </c>
      <c r="F5470" s="26" t="str">
        <f>IFERROR(VLOOKUP(G5470,WholesaleExtract!B:J,6,FALSE),"")</f>
        <v/>
      </c>
      <c r="H5470" s="47" t="str">
        <f>IFERROR(VLOOKUP(G5470,WholesaleExtract!B:L,11,FALSE),"")</f>
        <v/>
      </c>
      <c r="I5470" s="26" t="str">
        <f>IFERROR(VLOOKUP(G5470,WholesaleExtract!B:O,8,FALSE),"")</f>
        <v/>
      </c>
      <c r="J5470" s="26" t="str">
        <f>IFERROR(VLOOKUP(G5470,WholesaleExtract!B:O,14,FALSE),"")</f>
        <v/>
      </c>
      <c r="K5470" s="26" t="str">
        <f>IFERROR(VLOOKUP(G5470,WholesaleExtract!B:K,10,FALSE),"")</f>
        <v/>
      </c>
      <c r="L5470" s="47" t="str">
        <f>IFERROR(VLOOKUP(G5470,WholesaleExtract!B:L,11,FALSE),"")</f>
        <v/>
      </c>
      <c r="M5470" s="47" t="str">
        <f>IFERROR(VLOOKUP(G5470,WholesaleExtract!B:M,12,FALSE),"")</f>
        <v/>
      </c>
      <c r="R5470" s="19"/>
      <c r="S5470" s="19"/>
    </row>
    <row r="5471" spans="1:19" x14ac:dyDescent="0.35">
      <c r="A5471" s="26" t="s">
        <v>543</v>
      </c>
      <c r="B5471" s="26" t="s">
        <v>543</v>
      </c>
      <c r="C5471" s="26"/>
      <c r="D5471" s="26" t="s">
        <v>543</v>
      </c>
      <c r="E5471" s="26" t="str">
        <f>IFERROR(VLOOKUP(G5471,WholesaleExtract!B:J,9,FALSE),"")</f>
        <v/>
      </c>
      <c r="F5471" s="26" t="str">
        <f>IFERROR(VLOOKUP(G5471,WholesaleExtract!B:J,6,FALSE),"")</f>
        <v/>
      </c>
      <c r="H5471" s="47" t="str">
        <f>IFERROR(VLOOKUP(G5471,WholesaleExtract!B:L,11,FALSE),"")</f>
        <v/>
      </c>
      <c r="I5471" s="26" t="str">
        <f>IFERROR(VLOOKUP(G5471,WholesaleExtract!B:O,8,FALSE),"")</f>
        <v/>
      </c>
      <c r="J5471" s="26" t="str">
        <f>IFERROR(VLOOKUP(G5471,WholesaleExtract!B:O,14,FALSE),"")</f>
        <v/>
      </c>
      <c r="K5471" s="26" t="str">
        <f>IFERROR(VLOOKUP(G5471,WholesaleExtract!B:K,10,FALSE),"")</f>
        <v/>
      </c>
      <c r="L5471" s="47" t="str">
        <f>IFERROR(VLOOKUP(G5471,WholesaleExtract!B:L,11,FALSE),"")</f>
        <v/>
      </c>
      <c r="M5471" s="47" t="str">
        <f>IFERROR(VLOOKUP(G5471,WholesaleExtract!B:M,12,FALSE),"")</f>
        <v/>
      </c>
      <c r="R5471" s="19"/>
      <c r="S5471" s="19"/>
    </row>
    <row r="5472" spans="1:19" x14ac:dyDescent="0.35">
      <c r="A5472" s="26" t="s">
        <v>543</v>
      </c>
      <c r="B5472" s="26" t="s">
        <v>543</v>
      </c>
      <c r="C5472" s="26"/>
      <c r="D5472" s="26" t="s">
        <v>543</v>
      </c>
      <c r="E5472" s="26" t="str">
        <f>IFERROR(VLOOKUP(G5472,WholesaleExtract!B:J,9,FALSE),"")</f>
        <v/>
      </c>
      <c r="F5472" s="26" t="str">
        <f>IFERROR(VLOOKUP(G5472,WholesaleExtract!B:J,6,FALSE),"")</f>
        <v/>
      </c>
      <c r="H5472" s="47" t="str">
        <f>IFERROR(VLOOKUP(G5472,WholesaleExtract!B:L,11,FALSE),"")</f>
        <v/>
      </c>
      <c r="I5472" s="26" t="str">
        <f>IFERROR(VLOOKUP(G5472,WholesaleExtract!B:O,8,FALSE),"")</f>
        <v/>
      </c>
      <c r="J5472" s="26" t="str">
        <f>IFERROR(VLOOKUP(G5472,WholesaleExtract!B:O,14,FALSE),"")</f>
        <v/>
      </c>
      <c r="K5472" s="26" t="str">
        <f>IFERROR(VLOOKUP(G5472,WholesaleExtract!B:K,10,FALSE),"")</f>
        <v/>
      </c>
      <c r="L5472" s="47" t="str">
        <f>IFERROR(VLOOKUP(G5472,WholesaleExtract!B:L,11,FALSE),"")</f>
        <v/>
      </c>
      <c r="M5472" s="47" t="str">
        <f>IFERROR(VLOOKUP(G5472,WholesaleExtract!B:M,12,FALSE),"")</f>
        <v/>
      </c>
      <c r="R5472" s="19"/>
      <c r="S5472" s="19"/>
    </row>
    <row r="5473" spans="1:19" x14ac:dyDescent="0.35">
      <c r="A5473" s="26" t="s">
        <v>543</v>
      </c>
      <c r="B5473" s="26" t="s">
        <v>543</v>
      </c>
      <c r="C5473" s="26"/>
      <c r="D5473" s="26" t="s">
        <v>543</v>
      </c>
      <c r="E5473" s="26" t="str">
        <f>IFERROR(VLOOKUP(G5473,WholesaleExtract!B:J,9,FALSE),"")</f>
        <v/>
      </c>
      <c r="F5473" s="26" t="str">
        <f>IFERROR(VLOOKUP(G5473,WholesaleExtract!B:J,6,FALSE),"")</f>
        <v/>
      </c>
      <c r="H5473" s="47" t="str">
        <f>IFERROR(VLOOKUP(G5473,WholesaleExtract!B:L,11,FALSE),"")</f>
        <v/>
      </c>
      <c r="I5473" s="26" t="str">
        <f>IFERROR(VLOOKUP(G5473,WholesaleExtract!B:O,8,FALSE),"")</f>
        <v/>
      </c>
      <c r="J5473" s="26" t="str">
        <f>IFERROR(VLOOKUP(G5473,WholesaleExtract!B:O,14,FALSE),"")</f>
        <v/>
      </c>
      <c r="K5473" s="26" t="str">
        <f>IFERROR(VLOOKUP(G5473,WholesaleExtract!B:K,10,FALSE),"")</f>
        <v/>
      </c>
      <c r="L5473" s="47" t="str">
        <f>IFERROR(VLOOKUP(G5473,WholesaleExtract!B:L,11,FALSE),"")</f>
        <v/>
      </c>
      <c r="M5473" s="47" t="str">
        <f>IFERROR(VLOOKUP(G5473,WholesaleExtract!B:M,12,FALSE),"")</f>
        <v/>
      </c>
      <c r="R5473" s="19"/>
      <c r="S5473" s="19"/>
    </row>
    <row r="5474" spans="1:19" x14ac:dyDescent="0.35">
      <c r="A5474" s="26" t="s">
        <v>543</v>
      </c>
      <c r="B5474" s="26" t="s">
        <v>543</v>
      </c>
      <c r="C5474" s="26"/>
      <c r="D5474" s="26" t="s">
        <v>543</v>
      </c>
      <c r="E5474" s="26" t="str">
        <f>IFERROR(VLOOKUP(G5474,WholesaleExtract!B:J,9,FALSE),"")</f>
        <v/>
      </c>
      <c r="F5474" s="26" t="str">
        <f>IFERROR(VLOOKUP(G5474,WholesaleExtract!B:J,6,FALSE),"")</f>
        <v/>
      </c>
      <c r="H5474" s="47" t="str">
        <f>IFERROR(VLOOKUP(G5474,WholesaleExtract!B:L,11,FALSE),"")</f>
        <v/>
      </c>
      <c r="I5474" s="26" t="str">
        <f>IFERROR(VLOOKUP(G5474,WholesaleExtract!B:O,8,FALSE),"")</f>
        <v/>
      </c>
      <c r="J5474" s="26" t="str">
        <f>IFERROR(VLOOKUP(G5474,WholesaleExtract!B:O,14,FALSE),"")</f>
        <v/>
      </c>
      <c r="K5474" s="26" t="str">
        <f>IFERROR(VLOOKUP(G5474,WholesaleExtract!B:K,10,FALSE),"")</f>
        <v/>
      </c>
      <c r="L5474" s="47" t="str">
        <f>IFERROR(VLOOKUP(G5474,WholesaleExtract!B:L,11,FALSE),"")</f>
        <v/>
      </c>
      <c r="M5474" s="47" t="str">
        <f>IFERROR(VLOOKUP(G5474,WholesaleExtract!B:M,12,FALSE),"")</f>
        <v/>
      </c>
      <c r="R5474" s="19"/>
      <c r="S5474" s="19"/>
    </row>
    <row r="5475" spans="1:19" x14ac:dyDescent="0.35">
      <c r="A5475" s="26" t="s">
        <v>543</v>
      </c>
      <c r="B5475" s="26" t="s">
        <v>543</v>
      </c>
      <c r="C5475" s="26"/>
      <c r="D5475" s="26" t="s">
        <v>543</v>
      </c>
      <c r="E5475" s="26" t="str">
        <f>IFERROR(VLOOKUP(G5475,WholesaleExtract!B:J,9,FALSE),"")</f>
        <v/>
      </c>
      <c r="F5475" s="26" t="str">
        <f>IFERROR(VLOOKUP(G5475,WholesaleExtract!B:J,6,FALSE),"")</f>
        <v/>
      </c>
      <c r="H5475" s="47" t="str">
        <f>IFERROR(VLOOKUP(G5475,WholesaleExtract!B:L,11,FALSE),"")</f>
        <v/>
      </c>
      <c r="I5475" s="26" t="str">
        <f>IFERROR(VLOOKUP(G5475,WholesaleExtract!B:O,8,FALSE),"")</f>
        <v/>
      </c>
      <c r="J5475" s="26" t="str">
        <f>IFERROR(VLOOKUP(G5475,WholesaleExtract!B:O,14,FALSE),"")</f>
        <v/>
      </c>
      <c r="K5475" s="26" t="str">
        <f>IFERROR(VLOOKUP(G5475,WholesaleExtract!B:K,10,FALSE),"")</f>
        <v/>
      </c>
      <c r="L5475" s="47" t="str">
        <f>IFERROR(VLOOKUP(G5475,WholesaleExtract!B:L,11,FALSE),"")</f>
        <v/>
      </c>
      <c r="M5475" s="47" t="str">
        <f>IFERROR(VLOOKUP(G5475,WholesaleExtract!B:M,12,FALSE),"")</f>
        <v/>
      </c>
      <c r="R5475" s="19"/>
      <c r="S5475" s="19"/>
    </row>
    <row r="5476" spans="1:19" x14ac:dyDescent="0.35">
      <c r="A5476" s="26" t="s">
        <v>543</v>
      </c>
      <c r="B5476" s="26" t="s">
        <v>543</v>
      </c>
      <c r="C5476" s="26"/>
      <c r="D5476" s="26" t="s">
        <v>543</v>
      </c>
      <c r="E5476" s="26" t="str">
        <f>IFERROR(VLOOKUP(G5476,WholesaleExtract!B:J,9,FALSE),"")</f>
        <v/>
      </c>
      <c r="F5476" s="26" t="str">
        <f>IFERROR(VLOOKUP(G5476,WholesaleExtract!B:J,6,FALSE),"")</f>
        <v/>
      </c>
      <c r="H5476" s="47" t="str">
        <f>IFERROR(VLOOKUP(G5476,WholesaleExtract!B:L,11,FALSE),"")</f>
        <v/>
      </c>
      <c r="I5476" s="26" t="str">
        <f>IFERROR(VLOOKUP(G5476,WholesaleExtract!B:O,8,FALSE),"")</f>
        <v/>
      </c>
      <c r="J5476" s="26" t="str">
        <f>IFERROR(VLOOKUP(G5476,WholesaleExtract!B:O,14,FALSE),"")</f>
        <v/>
      </c>
      <c r="K5476" s="26" t="str">
        <f>IFERROR(VLOOKUP(G5476,WholesaleExtract!B:K,10,FALSE),"")</f>
        <v/>
      </c>
      <c r="L5476" s="47" t="str">
        <f>IFERROR(VLOOKUP(G5476,WholesaleExtract!B:L,11,FALSE),"")</f>
        <v/>
      </c>
      <c r="M5476" s="47" t="str">
        <f>IFERROR(VLOOKUP(G5476,WholesaleExtract!B:M,12,FALSE),"")</f>
        <v/>
      </c>
      <c r="R5476" s="19"/>
      <c r="S5476" s="19"/>
    </row>
    <row r="5477" spans="1:19" x14ac:dyDescent="0.35">
      <c r="A5477" s="26" t="s">
        <v>543</v>
      </c>
      <c r="B5477" s="26" t="s">
        <v>543</v>
      </c>
      <c r="C5477" s="26"/>
      <c r="D5477" s="26" t="s">
        <v>543</v>
      </c>
      <c r="E5477" s="26" t="str">
        <f>IFERROR(VLOOKUP(G5477,WholesaleExtract!B:J,9,FALSE),"")</f>
        <v/>
      </c>
      <c r="F5477" s="26" t="str">
        <f>IFERROR(VLOOKUP(G5477,WholesaleExtract!B:J,6,FALSE),"")</f>
        <v/>
      </c>
      <c r="H5477" s="47" t="str">
        <f>IFERROR(VLOOKUP(G5477,WholesaleExtract!B:L,11,FALSE),"")</f>
        <v/>
      </c>
      <c r="I5477" s="26" t="str">
        <f>IFERROR(VLOOKUP(G5477,WholesaleExtract!B:O,8,FALSE),"")</f>
        <v/>
      </c>
      <c r="J5477" s="26" t="str">
        <f>IFERROR(VLOOKUP(G5477,WholesaleExtract!B:O,14,FALSE),"")</f>
        <v/>
      </c>
      <c r="K5477" s="26" t="str">
        <f>IFERROR(VLOOKUP(G5477,WholesaleExtract!B:K,10,FALSE),"")</f>
        <v/>
      </c>
      <c r="L5477" s="47" t="str">
        <f>IFERROR(VLOOKUP(G5477,WholesaleExtract!B:L,11,FALSE),"")</f>
        <v/>
      </c>
      <c r="M5477" s="47" t="str">
        <f>IFERROR(VLOOKUP(G5477,WholesaleExtract!B:M,12,FALSE),"")</f>
        <v/>
      </c>
      <c r="R5477" s="19"/>
      <c r="S5477" s="19"/>
    </row>
    <row r="5478" spans="1:19" x14ac:dyDescent="0.35">
      <c r="A5478" s="26" t="s">
        <v>543</v>
      </c>
      <c r="B5478" s="26" t="s">
        <v>543</v>
      </c>
      <c r="C5478" s="26"/>
      <c r="D5478" s="26" t="s">
        <v>543</v>
      </c>
      <c r="E5478" s="26" t="str">
        <f>IFERROR(VLOOKUP(G5478,WholesaleExtract!B:J,9,FALSE),"")</f>
        <v/>
      </c>
      <c r="F5478" s="26" t="str">
        <f>IFERROR(VLOOKUP(G5478,WholesaleExtract!B:J,6,FALSE),"")</f>
        <v/>
      </c>
      <c r="H5478" s="47" t="str">
        <f>IFERROR(VLOOKUP(G5478,WholesaleExtract!B:L,11,FALSE),"")</f>
        <v/>
      </c>
      <c r="I5478" s="26" t="str">
        <f>IFERROR(VLOOKUP(G5478,WholesaleExtract!B:O,8,FALSE),"")</f>
        <v/>
      </c>
      <c r="J5478" s="26" t="str">
        <f>IFERROR(VLOOKUP(G5478,WholesaleExtract!B:O,14,FALSE),"")</f>
        <v/>
      </c>
      <c r="K5478" s="26" t="str">
        <f>IFERROR(VLOOKUP(G5478,WholesaleExtract!B:K,10,FALSE),"")</f>
        <v/>
      </c>
      <c r="L5478" s="47" t="str">
        <f>IFERROR(VLOOKUP(G5478,WholesaleExtract!B:L,11,FALSE),"")</f>
        <v/>
      </c>
      <c r="M5478" s="47" t="str">
        <f>IFERROR(VLOOKUP(G5478,WholesaleExtract!B:M,12,FALSE),"")</f>
        <v/>
      </c>
      <c r="R5478" s="19"/>
      <c r="S5478" s="19"/>
    </row>
    <row r="5479" spans="1:19" x14ac:dyDescent="0.35">
      <c r="A5479" s="26" t="s">
        <v>543</v>
      </c>
      <c r="B5479" s="26" t="s">
        <v>543</v>
      </c>
      <c r="C5479" s="26"/>
      <c r="D5479" s="26" t="s">
        <v>543</v>
      </c>
      <c r="E5479" s="26" t="str">
        <f>IFERROR(VLOOKUP(G5479,WholesaleExtract!B:J,9,FALSE),"")</f>
        <v/>
      </c>
      <c r="F5479" s="26" t="str">
        <f>IFERROR(VLOOKUP(G5479,WholesaleExtract!B:J,6,FALSE),"")</f>
        <v/>
      </c>
      <c r="H5479" s="47" t="str">
        <f>IFERROR(VLOOKUP(G5479,WholesaleExtract!B:L,11,FALSE),"")</f>
        <v/>
      </c>
      <c r="I5479" s="26" t="str">
        <f>IFERROR(VLOOKUP(G5479,WholesaleExtract!B:O,8,FALSE),"")</f>
        <v/>
      </c>
      <c r="J5479" s="26" t="str">
        <f>IFERROR(VLOOKUP(G5479,WholesaleExtract!B:O,14,FALSE),"")</f>
        <v/>
      </c>
      <c r="K5479" s="26" t="str">
        <f>IFERROR(VLOOKUP(G5479,WholesaleExtract!B:K,10,FALSE),"")</f>
        <v/>
      </c>
      <c r="L5479" s="47" t="str">
        <f>IFERROR(VLOOKUP(G5479,WholesaleExtract!B:L,11,FALSE),"")</f>
        <v/>
      </c>
      <c r="M5479" s="47" t="str">
        <f>IFERROR(VLOOKUP(G5479,WholesaleExtract!B:M,12,FALSE),"")</f>
        <v/>
      </c>
      <c r="R5479" s="19"/>
      <c r="S5479" s="19"/>
    </row>
    <row r="5480" spans="1:19" x14ac:dyDescent="0.35">
      <c r="A5480" s="26" t="s">
        <v>543</v>
      </c>
      <c r="B5480" s="26" t="s">
        <v>543</v>
      </c>
      <c r="C5480" s="26"/>
      <c r="D5480" s="26" t="s">
        <v>543</v>
      </c>
      <c r="E5480" s="26" t="str">
        <f>IFERROR(VLOOKUP(G5480,WholesaleExtract!B:J,9,FALSE),"")</f>
        <v/>
      </c>
      <c r="F5480" s="26" t="str">
        <f>IFERROR(VLOOKUP(G5480,WholesaleExtract!B:J,6,FALSE),"")</f>
        <v/>
      </c>
      <c r="H5480" s="47" t="str">
        <f>IFERROR(VLOOKUP(G5480,WholesaleExtract!B:L,11,FALSE),"")</f>
        <v/>
      </c>
      <c r="I5480" s="26" t="str">
        <f>IFERROR(VLOOKUP(G5480,WholesaleExtract!B:O,8,FALSE),"")</f>
        <v/>
      </c>
      <c r="J5480" s="26" t="str">
        <f>IFERROR(VLOOKUP(G5480,WholesaleExtract!B:O,14,FALSE),"")</f>
        <v/>
      </c>
      <c r="K5480" s="26" t="str">
        <f>IFERROR(VLOOKUP(G5480,WholesaleExtract!B:K,10,FALSE),"")</f>
        <v/>
      </c>
      <c r="L5480" s="47" t="str">
        <f>IFERROR(VLOOKUP(G5480,WholesaleExtract!B:L,11,FALSE),"")</f>
        <v/>
      </c>
      <c r="M5480" s="47" t="str">
        <f>IFERROR(VLOOKUP(G5480,WholesaleExtract!B:M,12,FALSE),"")</f>
        <v/>
      </c>
      <c r="R5480" s="19"/>
      <c r="S5480" s="19"/>
    </row>
    <row r="5481" spans="1:19" x14ac:dyDescent="0.35">
      <c r="A5481" s="26" t="s">
        <v>543</v>
      </c>
      <c r="B5481" s="26" t="s">
        <v>543</v>
      </c>
      <c r="C5481" s="26"/>
      <c r="D5481" s="26" t="s">
        <v>543</v>
      </c>
      <c r="E5481" s="26" t="str">
        <f>IFERROR(VLOOKUP(G5481,WholesaleExtract!B:J,9,FALSE),"")</f>
        <v/>
      </c>
      <c r="F5481" s="26" t="str">
        <f>IFERROR(VLOOKUP(G5481,WholesaleExtract!B:J,6,FALSE),"")</f>
        <v/>
      </c>
      <c r="H5481" s="47" t="str">
        <f>IFERROR(VLOOKUP(G5481,WholesaleExtract!B:L,11,FALSE),"")</f>
        <v/>
      </c>
      <c r="I5481" s="26" t="str">
        <f>IFERROR(VLOOKUP(G5481,WholesaleExtract!B:O,8,FALSE),"")</f>
        <v/>
      </c>
      <c r="J5481" s="26" t="str">
        <f>IFERROR(VLOOKUP(G5481,WholesaleExtract!B:O,14,FALSE),"")</f>
        <v/>
      </c>
      <c r="K5481" s="26" t="str">
        <f>IFERROR(VLOOKUP(G5481,WholesaleExtract!B:K,10,FALSE),"")</f>
        <v/>
      </c>
      <c r="L5481" s="47" t="str">
        <f>IFERROR(VLOOKUP(G5481,WholesaleExtract!B:L,11,FALSE),"")</f>
        <v/>
      </c>
      <c r="M5481" s="47" t="str">
        <f>IFERROR(VLOOKUP(G5481,WholesaleExtract!B:M,12,FALSE),"")</f>
        <v/>
      </c>
      <c r="R5481" s="19"/>
      <c r="S5481" s="19"/>
    </row>
    <row r="5482" spans="1:19" x14ac:dyDescent="0.35">
      <c r="A5482" s="26" t="s">
        <v>543</v>
      </c>
      <c r="B5482" s="26" t="s">
        <v>543</v>
      </c>
      <c r="C5482" s="26"/>
      <c r="D5482" s="26" t="s">
        <v>543</v>
      </c>
      <c r="E5482" s="26" t="str">
        <f>IFERROR(VLOOKUP(G5482,WholesaleExtract!B:J,9,FALSE),"")</f>
        <v/>
      </c>
      <c r="F5482" s="26" t="str">
        <f>IFERROR(VLOOKUP(G5482,WholesaleExtract!B:J,6,FALSE),"")</f>
        <v/>
      </c>
      <c r="H5482" s="47" t="str">
        <f>IFERROR(VLOOKUP(G5482,WholesaleExtract!B:L,11,FALSE),"")</f>
        <v/>
      </c>
      <c r="I5482" s="26" t="str">
        <f>IFERROR(VLOOKUP(G5482,WholesaleExtract!B:O,8,FALSE),"")</f>
        <v/>
      </c>
      <c r="J5482" s="26" t="str">
        <f>IFERROR(VLOOKUP(G5482,WholesaleExtract!B:O,14,FALSE),"")</f>
        <v/>
      </c>
      <c r="K5482" s="26" t="str">
        <f>IFERROR(VLOOKUP(G5482,WholesaleExtract!B:K,10,FALSE),"")</f>
        <v/>
      </c>
      <c r="L5482" s="47" t="str">
        <f>IFERROR(VLOOKUP(G5482,WholesaleExtract!B:L,11,FALSE),"")</f>
        <v/>
      </c>
      <c r="M5482" s="47" t="str">
        <f>IFERROR(VLOOKUP(G5482,WholesaleExtract!B:M,12,FALSE),"")</f>
        <v/>
      </c>
      <c r="R5482" s="19"/>
      <c r="S5482" s="19"/>
    </row>
    <row r="5483" spans="1:19" x14ac:dyDescent="0.35">
      <c r="A5483" s="26" t="s">
        <v>543</v>
      </c>
      <c r="B5483" s="26" t="s">
        <v>543</v>
      </c>
      <c r="C5483" s="26"/>
      <c r="D5483" s="26" t="s">
        <v>543</v>
      </c>
      <c r="E5483" s="26" t="str">
        <f>IFERROR(VLOOKUP(G5483,WholesaleExtract!B:J,9,FALSE),"")</f>
        <v/>
      </c>
      <c r="F5483" s="26" t="str">
        <f>IFERROR(VLOOKUP(G5483,WholesaleExtract!B:J,6,FALSE),"")</f>
        <v/>
      </c>
      <c r="H5483" s="47" t="str">
        <f>IFERROR(VLOOKUP(G5483,WholesaleExtract!B:L,11,FALSE),"")</f>
        <v/>
      </c>
      <c r="I5483" s="26" t="str">
        <f>IFERROR(VLOOKUP(G5483,WholesaleExtract!B:O,8,FALSE),"")</f>
        <v/>
      </c>
      <c r="J5483" s="26" t="str">
        <f>IFERROR(VLOOKUP(G5483,WholesaleExtract!B:O,14,FALSE),"")</f>
        <v/>
      </c>
      <c r="K5483" s="26" t="str">
        <f>IFERROR(VLOOKUP(G5483,WholesaleExtract!B:K,10,FALSE),"")</f>
        <v/>
      </c>
      <c r="L5483" s="47" t="str">
        <f>IFERROR(VLOOKUP(G5483,WholesaleExtract!B:L,11,FALSE),"")</f>
        <v/>
      </c>
      <c r="M5483" s="47" t="str">
        <f>IFERROR(VLOOKUP(G5483,WholesaleExtract!B:M,12,FALSE),"")</f>
        <v/>
      </c>
      <c r="R5483" s="19"/>
      <c r="S5483" s="19"/>
    </row>
    <row r="5484" spans="1:19" x14ac:dyDescent="0.35">
      <c r="A5484" s="26" t="s">
        <v>543</v>
      </c>
      <c r="B5484" s="26" t="s">
        <v>543</v>
      </c>
      <c r="C5484" s="26"/>
      <c r="D5484" s="26" t="s">
        <v>543</v>
      </c>
      <c r="E5484" s="26" t="str">
        <f>IFERROR(VLOOKUP(G5484,WholesaleExtract!B:J,9,FALSE),"")</f>
        <v/>
      </c>
      <c r="F5484" s="26" t="str">
        <f>IFERROR(VLOOKUP(G5484,WholesaleExtract!B:J,6,FALSE),"")</f>
        <v/>
      </c>
      <c r="H5484" s="47" t="str">
        <f>IFERROR(VLOOKUP(G5484,WholesaleExtract!B:L,11,FALSE),"")</f>
        <v/>
      </c>
      <c r="I5484" s="26" t="str">
        <f>IFERROR(VLOOKUP(G5484,WholesaleExtract!B:O,8,FALSE),"")</f>
        <v/>
      </c>
      <c r="J5484" s="26" t="str">
        <f>IFERROR(VLOOKUP(G5484,WholesaleExtract!B:O,14,FALSE),"")</f>
        <v/>
      </c>
      <c r="K5484" s="26" t="str">
        <f>IFERROR(VLOOKUP(G5484,WholesaleExtract!B:K,10,FALSE),"")</f>
        <v/>
      </c>
      <c r="L5484" s="47" t="str">
        <f>IFERROR(VLOOKUP(G5484,WholesaleExtract!B:L,11,FALSE),"")</f>
        <v/>
      </c>
      <c r="M5484" s="47" t="str">
        <f>IFERROR(VLOOKUP(G5484,WholesaleExtract!B:M,12,FALSE),"")</f>
        <v/>
      </c>
      <c r="R5484" s="19"/>
      <c r="S5484" s="19"/>
    </row>
    <row r="5485" spans="1:19" x14ac:dyDescent="0.35">
      <c r="A5485" s="26" t="s">
        <v>543</v>
      </c>
      <c r="B5485" s="26" t="s">
        <v>543</v>
      </c>
      <c r="C5485" s="26"/>
      <c r="D5485" s="26" t="s">
        <v>543</v>
      </c>
      <c r="E5485" s="26" t="str">
        <f>IFERROR(VLOOKUP(G5485,WholesaleExtract!B:J,9,FALSE),"")</f>
        <v/>
      </c>
      <c r="F5485" s="26" t="str">
        <f>IFERROR(VLOOKUP(G5485,WholesaleExtract!B:J,6,FALSE),"")</f>
        <v/>
      </c>
      <c r="H5485" s="47" t="str">
        <f>IFERROR(VLOOKUP(G5485,WholesaleExtract!B:L,11,FALSE),"")</f>
        <v/>
      </c>
      <c r="I5485" s="26" t="str">
        <f>IFERROR(VLOOKUP(G5485,WholesaleExtract!B:O,8,FALSE),"")</f>
        <v/>
      </c>
      <c r="J5485" s="26" t="str">
        <f>IFERROR(VLOOKUP(G5485,WholesaleExtract!B:O,14,FALSE),"")</f>
        <v/>
      </c>
      <c r="K5485" s="26" t="str">
        <f>IFERROR(VLOOKUP(G5485,WholesaleExtract!B:K,10,FALSE),"")</f>
        <v/>
      </c>
      <c r="L5485" s="47" t="str">
        <f>IFERROR(VLOOKUP(G5485,WholesaleExtract!B:L,11,FALSE),"")</f>
        <v/>
      </c>
      <c r="M5485" s="47" t="str">
        <f>IFERROR(VLOOKUP(G5485,WholesaleExtract!B:M,12,FALSE),"")</f>
        <v/>
      </c>
      <c r="R5485" s="19"/>
      <c r="S5485" s="19"/>
    </row>
    <row r="5486" spans="1:19" x14ac:dyDescent="0.35">
      <c r="A5486" s="26" t="s">
        <v>543</v>
      </c>
      <c r="B5486" s="26" t="s">
        <v>543</v>
      </c>
      <c r="C5486" s="26"/>
      <c r="D5486" s="26" t="s">
        <v>543</v>
      </c>
      <c r="E5486" s="26" t="str">
        <f>IFERROR(VLOOKUP(G5486,WholesaleExtract!B:J,9,FALSE),"")</f>
        <v/>
      </c>
      <c r="F5486" s="26" t="str">
        <f>IFERROR(VLOOKUP(G5486,WholesaleExtract!B:J,6,FALSE),"")</f>
        <v/>
      </c>
      <c r="H5486" s="47" t="str">
        <f>IFERROR(VLOOKUP(G5486,WholesaleExtract!B:L,11,FALSE),"")</f>
        <v/>
      </c>
      <c r="I5486" s="26" t="str">
        <f>IFERROR(VLOOKUP(G5486,WholesaleExtract!B:O,8,FALSE),"")</f>
        <v/>
      </c>
      <c r="J5486" s="26" t="str">
        <f>IFERROR(VLOOKUP(G5486,WholesaleExtract!B:O,14,FALSE),"")</f>
        <v/>
      </c>
      <c r="K5486" s="26" t="str">
        <f>IFERROR(VLOOKUP(G5486,WholesaleExtract!B:K,10,FALSE),"")</f>
        <v/>
      </c>
      <c r="L5486" s="47" t="str">
        <f>IFERROR(VLOOKUP(G5486,WholesaleExtract!B:L,11,FALSE),"")</f>
        <v/>
      </c>
      <c r="M5486" s="47" t="str">
        <f>IFERROR(VLOOKUP(G5486,WholesaleExtract!B:M,12,FALSE),"")</f>
        <v/>
      </c>
      <c r="R5486" s="19"/>
      <c r="S5486" s="19"/>
    </row>
    <row r="5487" spans="1:19" x14ac:dyDescent="0.35">
      <c r="A5487" s="26" t="s">
        <v>543</v>
      </c>
      <c r="B5487" s="26" t="s">
        <v>543</v>
      </c>
      <c r="C5487" s="26"/>
      <c r="D5487" s="26" t="s">
        <v>543</v>
      </c>
      <c r="E5487" s="26" t="str">
        <f>IFERROR(VLOOKUP(G5487,WholesaleExtract!B:J,9,FALSE),"")</f>
        <v/>
      </c>
      <c r="F5487" s="26" t="str">
        <f>IFERROR(VLOOKUP(G5487,WholesaleExtract!B:J,6,FALSE),"")</f>
        <v/>
      </c>
      <c r="H5487" s="47" t="str">
        <f>IFERROR(VLOOKUP(G5487,WholesaleExtract!B:L,11,FALSE),"")</f>
        <v/>
      </c>
      <c r="I5487" s="26" t="str">
        <f>IFERROR(VLOOKUP(G5487,WholesaleExtract!B:O,8,FALSE),"")</f>
        <v/>
      </c>
      <c r="J5487" s="26" t="str">
        <f>IFERROR(VLOOKUP(G5487,WholesaleExtract!B:O,14,FALSE),"")</f>
        <v/>
      </c>
      <c r="K5487" s="26" t="str">
        <f>IFERROR(VLOOKUP(G5487,WholesaleExtract!B:K,10,FALSE),"")</f>
        <v/>
      </c>
      <c r="L5487" s="47" t="str">
        <f>IFERROR(VLOOKUP(G5487,WholesaleExtract!B:L,11,FALSE),"")</f>
        <v/>
      </c>
      <c r="M5487" s="47" t="str">
        <f>IFERROR(VLOOKUP(G5487,WholesaleExtract!B:M,12,FALSE),"")</f>
        <v/>
      </c>
      <c r="R5487" s="19"/>
      <c r="S5487" s="19"/>
    </row>
    <row r="5488" spans="1:19" x14ac:dyDescent="0.35">
      <c r="A5488" s="26" t="s">
        <v>543</v>
      </c>
      <c r="B5488" s="26" t="s">
        <v>543</v>
      </c>
      <c r="C5488" s="26"/>
      <c r="D5488" s="26" t="s">
        <v>543</v>
      </c>
      <c r="E5488" s="26" t="str">
        <f>IFERROR(VLOOKUP(G5488,WholesaleExtract!B:J,9,FALSE),"")</f>
        <v/>
      </c>
      <c r="F5488" s="26" t="str">
        <f>IFERROR(VLOOKUP(G5488,WholesaleExtract!B:J,6,FALSE),"")</f>
        <v/>
      </c>
      <c r="H5488" s="47" t="str">
        <f>IFERROR(VLOOKUP(G5488,WholesaleExtract!B:L,11,FALSE),"")</f>
        <v/>
      </c>
      <c r="I5488" s="26" t="str">
        <f>IFERROR(VLOOKUP(G5488,WholesaleExtract!B:O,8,FALSE),"")</f>
        <v/>
      </c>
      <c r="J5488" s="26" t="str">
        <f>IFERROR(VLOOKUP(G5488,WholesaleExtract!B:O,14,FALSE),"")</f>
        <v/>
      </c>
      <c r="K5488" s="26" t="str">
        <f>IFERROR(VLOOKUP(G5488,WholesaleExtract!B:K,10,FALSE),"")</f>
        <v/>
      </c>
      <c r="L5488" s="47" t="str">
        <f>IFERROR(VLOOKUP(G5488,WholesaleExtract!B:L,11,FALSE),"")</f>
        <v/>
      </c>
      <c r="M5488" s="47" t="str">
        <f>IFERROR(VLOOKUP(G5488,WholesaleExtract!B:M,12,FALSE),"")</f>
        <v/>
      </c>
      <c r="R5488" s="19"/>
      <c r="S5488" s="19"/>
    </row>
    <row r="5489" spans="1:19" x14ac:dyDescent="0.35">
      <c r="A5489" s="26" t="s">
        <v>543</v>
      </c>
      <c r="B5489" s="26" t="s">
        <v>543</v>
      </c>
      <c r="C5489" s="26"/>
      <c r="D5489" s="26" t="s">
        <v>543</v>
      </c>
      <c r="E5489" s="26" t="str">
        <f>IFERROR(VLOOKUP(G5489,WholesaleExtract!B:J,9,FALSE),"")</f>
        <v/>
      </c>
      <c r="F5489" s="26" t="str">
        <f>IFERROR(VLOOKUP(G5489,WholesaleExtract!B:J,6,FALSE),"")</f>
        <v/>
      </c>
      <c r="H5489" s="47" t="str">
        <f>IFERROR(VLOOKUP(G5489,WholesaleExtract!B:L,11,FALSE),"")</f>
        <v/>
      </c>
      <c r="I5489" s="26" t="str">
        <f>IFERROR(VLOOKUP(G5489,WholesaleExtract!B:O,8,FALSE),"")</f>
        <v/>
      </c>
      <c r="J5489" s="26" t="str">
        <f>IFERROR(VLOOKUP(G5489,WholesaleExtract!B:O,14,FALSE),"")</f>
        <v/>
      </c>
      <c r="K5489" s="26" t="str">
        <f>IFERROR(VLOOKUP(G5489,WholesaleExtract!B:K,10,FALSE),"")</f>
        <v/>
      </c>
      <c r="L5489" s="47" t="str">
        <f>IFERROR(VLOOKUP(G5489,WholesaleExtract!B:L,11,FALSE),"")</f>
        <v/>
      </c>
      <c r="M5489" s="47" t="str">
        <f>IFERROR(VLOOKUP(G5489,WholesaleExtract!B:M,12,FALSE),"")</f>
        <v/>
      </c>
      <c r="R5489" s="19"/>
      <c r="S5489" s="19"/>
    </row>
    <row r="5490" spans="1:19" x14ac:dyDescent="0.35">
      <c r="A5490" s="26" t="s">
        <v>543</v>
      </c>
      <c r="B5490" s="26" t="s">
        <v>543</v>
      </c>
      <c r="C5490" s="26"/>
      <c r="D5490" s="26" t="s">
        <v>543</v>
      </c>
      <c r="E5490" s="26" t="str">
        <f>IFERROR(VLOOKUP(G5490,WholesaleExtract!B:J,9,FALSE),"")</f>
        <v/>
      </c>
      <c r="F5490" s="26" t="str">
        <f>IFERROR(VLOOKUP(G5490,WholesaleExtract!B:J,6,FALSE),"")</f>
        <v/>
      </c>
      <c r="H5490" s="47" t="str">
        <f>IFERROR(VLOOKUP(G5490,WholesaleExtract!B:L,11,FALSE),"")</f>
        <v/>
      </c>
      <c r="I5490" s="26" t="str">
        <f>IFERROR(VLOOKUP(G5490,WholesaleExtract!B:O,8,FALSE),"")</f>
        <v/>
      </c>
      <c r="J5490" s="26" t="str">
        <f>IFERROR(VLOOKUP(G5490,WholesaleExtract!B:O,14,FALSE),"")</f>
        <v/>
      </c>
      <c r="K5490" s="26" t="str">
        <f>IFERROR(VLOOKUP(G5490,WholesaleExtract!B:K,10,FALSE),"")</f>
        <v/>
      </c>
      <c r="L5490" s="47" t="str">
        <f>IFERROR(VLOOKUP(G5490,WholesaleExtract!B:L,11,FALSE),"")</f>
        <v/>
      </c>
      <c r="M5490" s="47" t="str">
        <f>IFERROR(VLOOKUP(G5490,WholesaleExtract!B:M,12,FALSE),"")</f>
        <v/>
      </c>
      <c r="R5490" s="19"/>
      <c r="S5490" s="19"/>
    </row>
    <row r="5491" spans="1:19" x14ac:dyDescent="0.35">
      <c r="A5491" s="26" t="s">
        <v>543</v>
      </c>
      <c r="B5491" s="26" t="s">
        <v>543</v>
      </c>
      <c r="C5491" s="26"/>
      <c r="D5491" s="26" t="s">
        <v>543</v>
      </c>
      <c r="E5491" s="26" t="str">
        <f>IFERROR(VLOOKUP(G5491,WholesaleExtract!B:J,9,FALSE),"")</f>
        <v/>
      </c>
      <c r="F5491" s="26" t="str">
        <f>IFERROR(VLOOKUP(G5491,WholesaleExtract!B:J,6,FALSE),"")</f>
        <v/>
      </c>
      <c r="H5491" s="47" t="str">
        <f>IFERROR(VLOOKUP(G5491,WholesaleExtract!B:L,11,FALSE),"")</f>
        <v/>
      </c>
      <c r="I5491" s="26" t="str">
        <f>IFERROR(VLOOKUP(G5491,WholesaleExtract!B:O,8,FALSE),"")</f>
        <v/>
      </c>
      <c r="J5491" s="26" t="str">
        <f>IFERROR(VLOOKUP(G5491,WholesaleExtract!B:O,14,FALSE),"")</f>
        <v/>
      </c>
      <c r="K5491" s="26" t="str">
        <f>IFERROR(VLOOKUP(G5491,WholesaleExtract!B:K,10,FALSE),"")</f>
        <v/>
      </c>
      <c r="L5491" s="47" t="str">
        <f>IFERROR(VLOOKUP(G5491,WholesaleExtract!B:L,11,FALSE),"")</f>
        <v/>
      </c>
      <c r="M5491" s="47" t="str">
        <f>IFERROR(VLOOKUP(G5491,WholesaleExtract!B:M,12,FALSE),"")</f>
        <v/>
      </c>
      <c r="R5491" s="19"/>
      <c r="S5491" s="19"/>
    </row>
    <row r="5492" spans="1:19" x14ac:dyDescent="0.35">
      <c r="A5492" s="26" t="s">
        <v>543</v>
      </c>
      <c r="B5492" s="26" t="s">
        <v>543</v>
      </c>
      <c r="C5492" s="26"/>
      <c r="D5492" s="26" t="s">
        <v>543</v>
      </c>
      <c r="E5492" s="26" t="str">
        <f>IFERROR(VLOOKUP(G5492,WholesaleExtract!B:J,9,FALSE),"")</f>
        <v/>
      </c>
      <c r="F5492" s="26" t="str">
        <f>IFERROR(VLOOKUP(G5492,WholesaleExtract!B:J,6,FALSE),"")</f>
        <v/>
      </c>
      <c r="H5492" s="47" t="str">
        <f>IFERROR(VLOOKUP(G5492,WholesaleExtract!B:L,11,FALSE),"")</f>
        <v/>
      </c>
      <c r="I5492" s="26" t="str">
        <f>IFERROR(VLOOKUP(G5492,WholesaleExtract!B:O,8,FALSE),"")</f>
        <v/>
      </c>
      <c r="J5492" s="26" t="str">
        <f>IFERROR(VLOOKUP(G5492,WholesaleExtract!B:O,14,FALSE),"")</f>
        <v/>
      </c>
      <c r="K5492" s="26" t="str">
        <f>IFERROR(VLOOKUP(G5492,WholesaleExtract!B:K,10,FALSE),"")</f>
        <v/>
      </c>
      <c r="L5492" s="47" t="str">
        <f>IFERROR(VLOOKUP(G5492,WholesaleExtract!B:L,11,FALSE),"")</f>
        <v/>
      </c>
      <c r="M5492" s="47" t="str">
        <f>IFERROR(VLOOKUP(G5492,WholesaleExtract!B:M,12,FALSE),"")</f>
        <v/>
      </c>
      <c r="R5492" s="19"/>
      <c r="S5492" s="19"/>
    </row>
    <row r="5493" spans="1:19" x14ac:dyDescent="0.35">
      <c r="A5493" s="26" t="s">
        <v>543</v>
      </c>
      <c r="B5493" s="26" t="s">
        <v>543</v>
      </c>
      <c r="C5493" s="26"/>
      <c r="D5493" s="26" t="s">
        <v>543</v>
      </c>
      <c r="E5493" s="26" t="str">
        <f>IFERROR(VLOOKUP(G5493,WholesaleExtract!B:J,9,FALSE),"")</f>
        <v/>
      </c>
      <c r="F5493" s="26" t="str">
        <f>IFERROR(VLOOKUP(G5493,WholesaleExtract!B:J,6,FALSE),"")</f>
        <v/>
      </c>
      <c r="H5493" s="47" t="str">
        <f>IFERROR(VLOOKUP(G5493,WholesaleExtract!B:L,11,FALSE),"")</f>
        <v/>
      </c>
      <c r="I5493" s="26" t="str">
        <f>IFERROR(VLOOKUP(G5493,WholesaleExtract!B:O,8,FALSE),"")</f>
        <v/>
      </c>
      <c r="J5493" s="26" t="str">
        <f>IFERROR(VLOOKUP(G5493,WholesaleExtract!B:O,14,FALSE),"")</f>
        <v/>
      </c>
      <c r="K5493" s="26" t="str">
        <f>IFERROR(VLOOKUP(G5493,WholesaleExtract!B:K,10,FALSE),"")</f>
        <v/>
      </c>
      <c r="L5493" s="47" t="str">
        <f>IFERROR(VLOOKUP(G5493,WholesaleExtract!B:L,11,FALSE),"")</f>
        <v/>
      </c>
      <c r="M5493" s="47" t="str">
        <f>IFERROR(VLOOKUP(G5493,WholesaleExtract!B:M,12,FALSE),"")</f>
        <v/>
      </c>
      <c r="R5493" s="19"/>
      <c r="S5493" s="19"/>
    </row>
    <row r="5494" spans="1:19" x14ac:dyDescent="0.35">
      <c r="A5494" s="26" t="s">
        <v>543</v>
      </c>
      <c r="B5494" s="26" t="s">
        <v>543</v>
      </c>
      <c r="C5494" s="26"/>
      <c r="D5494" s="26" t="s">
        <v>543</v>
      </c>
      <c r="E5494" s="26" t="str">
        <f>IFERROR(VLOOKUP(G5494,WholesaleExtract!B:J,9,FALSE),"")</f>
        <v/>
      </c>
      <c r="F5494" s="26" t="str">
        <f>IFERROR(VLOOKUP(G5494,WholesaleExtract!B:J,6,FALSE),"")</f>
        <v/>
      </c>
      <c r="H5494" s="47" t="str">
        <f>IFERROR(VLOOKUP(G5494,WholesaleExtract!B:L,11,FALSE),"")</f>
        <v/>
      </c>
      <c r="I5494" s="26" t="str">
        <f>IFERROR(VLOOKUP(G5494,WholesaleExtract!B:O,8,FALSE),"")</f>
        <v/>
      </c>
      <c r="J5494" s="26" t="str">
        <f>IFERROR(VLOOKUP(G5494,WholesaleExtract!B:O,14,FALSE),"")</f>
        <v/>
      </c>
      <c r="K5494" s="26" t="str">
        <f>IFERROR(VLOOKUP(G5494,WholesaleExtract!B:K,10,FALSE),"")</f>
        <v/>
      </c>
      <c r="L5494" s="47" t="str">
        <f>IFERROR(VLOOKUP(G5494,WholesaleExtract!B:L,11,FALSE),"")</f>
        <v/>
      </c>
      <c r="M5494" s="47" t="str">
        <f>IFERROR(VLOOKUP(G5494,WholesaleExtract!B:M,12,FALSE),"")</f>
        <v/>
      </c>
      <c r="R5494" s="19"/>
      <c r="S5494" s="19"/>
    </row>
    <row r="5495" spans="1:19" x14ac:dyDescent="0.35">
      <c r="A5495" s="26" t="s">
        <v>543</v>
      </c>
      <c r="B5495" s="26" t="s">
        <v>543</v>
      </c>
      <c r="C5495" s="26"/>
      <c r="D5495" s="26" t="s">
        <v>543</v>
      </c>
      <c r="E5495" s="26" t="str">
        <f>IFERROR(VLOOKUP(G5495,WholesaleExtract!B:J,9,FALSE),"")</f>
        <v/>
      </c>
      <c r="F5495" s="26" t="str">
        <f>IFERROR(VLOOKUP(G5495,WholesaleExtract!B:J,6,FALSE),"")</f>
        <v/>
      </c>
      <c r="H5495" s="47" t="str">
        <f>IFERROR(VLOOKUP(G5495,WholesaleExtract!B:L,11,FALSE),"")</f>
        <v/>
      </c>
      <c r="I5495" s="26" t="str">
        <f>IFERROR(VLOOKUP(G5495,WholesaleExtract!B:O,8,FALSE),"")</f>
        <v/>
      </c>
      <c r="J5495" s="26" t="str">
        <f>IFERROR(VLOOKUP(G5495,WholesaleExtract!B:O,14,FALSE),"")</f>
        <v/>
      </c>
      <c r="K5495" s="26" t="str">
        <f>IFERROR(VLOOKUP(G5495,WholesaleExtract!B:K,10,FALSE),"")</f>
        <v/>
      </c>
      <c r="L5495" s="47" t="str">
        <f>IFERROR(VLOOKUP(G5495,WholesaleExtract!B:L,11,FALSE),"")</f>
        <v/>
      </c>
      <c r="M5495" s="47" t="str">
        <f>IFERROR(VLOOKUP(G5495,WholesaleExtract!B:M,12,FALSE),"")</f>
        <v/>
      </c>
      <c r="R5495" s="19"/>
      <c r="S5495" s="19"/>
    </row>
    <row r="5496" spans="1:19" x14ac:dyDescent="0.35">
      <c r="A5496" s="26" t="s">
        <v>543</v>
      </c>
      <c r="B5496" s="26" t="s">
        <v>543</v>
      </c>
      <c r="C5496" s="26"/>
      <c r="D5496" s="26" t="s">
        <v>543</v>
      </c>
      <c r="E5496" s="26" t="str">
        <f>IFERROR(VLOOKUP(G5496,WholesaleExtract!B:J,9,FALSE),"")</f>
        <v/>
      </c>
      <c r="F5496" s="26" t="str">
        <f>IFERROR(VLOOKUP(G5496,WholesaleExtract!B:J,6,FALSE),"")</f>
        <v/>
      </c>
      <c r="H5496" s="47" t="str">
        <f>IFERROR(VLOOKUP(G5496,WholesaleExtract!B:L,11,FALSE),"")</f>
        <v/>
      </c>
      <c r="I5496" s="26" t="str">
        <f>IFERROR(VLOOKUP(G5496,WholesaleExtract!B:O,8,FALSE),"")</f>
        <v/>
      </c>
      <c r="J5496" s="26" t="str">
        <f>IFERROR(VLOOKUP(G5496,WholesaleExtract!B:O,14,FALSE),"")</f>
        <v/>
      </c>
      <c r="K5496" s="26" t="str">
        <f>IFERROR(VLOOKUP(G5496,WholesaleExtract!B:K,10,FALSE),"")</f>
        <v/>
      </c>
      <c r="L5496" s="47" t="str">
        <f>IFERROR(VLOOKUP(G5496,WholesaleExtract!B:L,11,FALSE),"")</f>
        <v/>
      </c>
      <c r="M5496" s="47" t="str">
        <f>IFERROR(VLOOKUP(G5496,WholesaleExtract!B:M,12,FALSE),"")</f>
        <v/>
      </c>
      <c r="R5496" s="19"/>
      <c r="S5496" s="19"/>
    </row>
    <row r="5497" spans="1:19" x14ac:dyDescent="0.35">
      <c r="A5497" s="26" t="s">
        <v>543</v>
      </c>
      <c r="B5497" s="26" t="s">
        <v>543</v>
      </c>
      <c r="C5497" s="26"/>
      <c r="D5497" s="26" t="s">
        <v>543</v>
      </c>
      <c r="E5497" s="26" t="str">
        <f>IFERROR(VLOOKUP(G5497,WholesaleExtract!B:J,9,FALSE),"")</f>
        <v/>
      </c>
      <c r="F5497" s="26" t="str">
        <f>IFERROR(VLOOKUP(G5497,WholesaleExtract!B:J,6,FALSE),"")</f>
        <v/>
      </c>
      <c r="H5497" s="47" t="str">
        <f>IFERROR(VLOOKUP(G5497,WholesaleExtract!B:L,11,FALSE),"")</f>
        <v/>
      </c>
      <c r="I5497" s="26" t="str">
        <f>IFERROR(VLOOKUP(G5497,WholesaleExtract!B:O,8,FALSE),"")</f>
        <v/>
      </c>
      <c r="J5497" s="26" t="str">
        <f>IFERROR(VLOOKUP(G5497,WholesaleExtract!B:O,14,FALSE),"")</f>
        <v/>
      </c>
      <c r="K5497" s="26" t="str">
        <f>IFERROR(VLOOKUP(G5497,WholesaleExtract!B:K,10,FALSE),"")</f>
        <v/>
      </c>
      <c r="L5497" s="47" t="str">
        <f>IFERROR(VLOOKUP(G5497,WholesaleExtract!B:L,11,FALSE),"")</f>
        <v/>
      </c>
      <c r="M5497" s="47" t="str">
        <f>IFERROR(VLOOKUP(G5497,WholesaleExtract!B:M,12,FALSE),"")</f>
        <v/>
      </c>
      <c r="R5497" s="19"/>
      <c r="S5497" s="19"/>
    </row>
    <row r="5498" spans="1:19" x14ac:dyDescent="0.35">
      <c r="A5498" s="26" t="s">
        <v>543</v>
      </c>
      <c r="B5498" s="26" t="s">
        <v>543</v>
      </c>
      <c r="C5498" s="26"/>
      <c r="D5498" s="26" t="s">
        <v>543</v>
      </c>
      <c r="E5498" s="26" t="str">
        <f>IFERROR(VLOOKUP(G5498,WholesaleExtract!B:J,9,FALSE),"")</f>
        <v/>
      </c>
      <c r="F5498" s="26" t="str">
        <f>IFERROR(VLOOKUP(G5498,WholesaleExtract!B:J,6,FALSE),"")</f>
        <v/>
      </c>
      <c r="H5498" s="47" t="str">
        <f>IFERROR(VLOOKUP(G5498,WholesaleExtract!B:L,11,FALSE),"")</f>
        <v/>
      </c>
      <c r="I5498" s="26" t="str">
        <f>IFERROR(VLOOKUP(G5498,WholesaleExtract!B:O,8,FALSE),"")</f>
        <v/>
      </c>
      <c r="J5498" s="26" t="str">
        <f>IFERROR(VLOOKUP(G5498,WholesaleExtract!B:O,14,FALSE),"")</f>
        <v/>
      </c>
      <c r="K5498" s="26" t="str">
        <f>IFERROR(VLOOKUP(G5498,WholesaleExtract!B:K,10,FALSE),"")</f>
        <v/>
      </c>
      <c r="L5498" s="47" t="str">
        <f>IFERROR(VLOOKUP(G5498,WholesaleExtract!B:L,11,FALSE),"")</f>
        <v/>
      </c>
      <c r="M5498" s="47" t="str">
        <f>IFERROR(VLOOKUP(G5498,WholesaleExtract!B:M,12,FALSE),"")</f>
        <v/>
      </c>
      <c r="R5498" s="19"/>
      <c r="S5498" s="19"/>
    </row>
    <row r="5499" spans="1:19" x14ac:dyDescent="0.35">
      <c r="A5499" s="26" t="s">
        <v>543</v>
      </c>
      <c r="B5499" s="26" t="s">
        <v>543</v>
      </c>
      <c r="C5499" s="26"/>
      <c r="D5499" s="26" t="s">
        <v>543</v>
      </c>
      <c r="E5499" s="26" t="str">
        <f>IFERROR(VLOOKUP(G5499,WholesaleExtract!B:J,9,FALSE),"")</f>
        <v/>
      </c>
      <c r="F5499" s="26" t="str">
        <f>IFERROR(VLOOKUP(G5499,WholesaleExtract!B:J,6,FALSE),"")</f>
        <v/>
      </c>
      <c r="H5499" s="47" t="str">
        <f>IFERROR(VLOOKUP(G5499,WholesaleExtract!B:L,11,FALSE),"")</f>
        <v/>
      </c>
      <c r="I5499" s="26" t="str">
        <f>IFERROR(VLOOKUP(G5499,WholesaleExtract!B:O,8,FALSE),"")</f>
        <v/>
      </c>
      <c r="J5499" s="26" t="str">
        <f>IFERROR(VLOOKUP(G5499,WholesaleExtract!B:O,14,FALSE),"")</f>
        <v/>
      </c>
      <c r="K5499" s="26" t="str">
        <f>IFERROR(VLOOKUP(G5499,WholesaleExtract!B:K,10,FALSE),"")</f>
        <v/>
      </c>
      <c r="L5499" s="47" t="str">
        <f>IFERROR(VLOOKUP(G5499,WholesaleExtract!B:L,11,FALSE),"")</f>
        <v/>
      </c>
      <c r="M5499" s="47" t="str">
        <f>IFERROR(VLOOKUP(G5499,WholesaleExtract!B:M,12,FALSE),"")</f>
        <v/>
      </c>
      <c r="R5499" s="19"/>
      <c r="S5499" s="19"/>
    </row>
    <row r="5500" spans="1:19" x14ac:dyDescent="0.35">
      <c r="A5500" s="26" t="s">
        <v>543</v>
      </c>
      <c r="B5500" s="26" t="s">
        <v>543</v>
      </c>
      <c r="C5500" s="26"/>
      <c r="D5500" s="26" t="s">
        <v>543</v>
      </c>
      <c r="E5500" s="26" t="str">
        <f>IFERROR(VLOOKUP(G5500,WholesaleExtract!B:J,9,FALSE),"")</f>
        <v/>
      </c>
      <c r="F5500" s="26" t="str">
        <f>IFERROR(VLOOKUP(G5500,WholesaleExtract!B:J,6,FALSE),"")</f>
        <v/>
      </c>
      <c r="H5500" s="47" t="str">
        <f>IFERROR(VLOOKUP(G5500,WholesaleExtract!B:L,11,FALSE),"")</f>
        <v/>
      </c>
      <c r="I5500" s="26" t="str">
        <f>IFERROR(VLOOKUP(G5500,WholesaleExtract!B:O,8,FALSE),"")</f>
        <v/>
      </c>
      <c r="J5500" s="26" t="str">
        <f>IFERROR(VLOOKUP(G5500,WholesaleExtract!B:O,14,FALSE),"")</f>
        <v/>
      </c>
      <c r="K5500" s="26" t="str">
        <f>IFERROR(VLOOKUP(G5500,WholesaleExtract!B:K,10,FALSE),"")</f>
        <v/>
      </c>
      <c r="L5500" s="47" t="str">
        <f>IFERROR(VLOOKUP(G5500,WholesaleExtract!B:L,11,FALSE),"")</f>
        <v/>
      </c>
      <c r="M5500" s="47" t="str">
        <f>IFERROR(VLOOKUP(G5500,WholesaleExtract!B:M,12,FALSE),"")</f>
        <v/>
      </c>
      <c r="R5500" s="19"/>
      <c r="S5500" s="19"/>
    </row>
    <row r="5501" spans="1:19" x14ac:dyDescent="0.35">
      <c r="A5501" s="26" t="s">
        <v>543</v>
      </c>
      <c r="B5501" s="26" t="s">
        <v>543</v>
      </c>
      <c r="C5501" s="26"/>
      <c r="D5501" s="26" t="s">
        <v>543</v>
      </c>
      <c r="E5501" s="26" t="str">
        <f>IFERROR(VLOOKUP(G5501,WholesaleExtract!B:J,9,FALSE),"")</f>
        <v/>
      </c>
      <c r="F5501" s="26" t="str">
        <f>IFERROR(VLOOKUP(G5501,WholesaleExtract!B:J,6,FALSE),"")</f>
        <v/>
      </c>
      <c r="H5501" s="47" t="str">
        <f>IFERROR(VLOOKUP(G5501,WholesaleExtract!B:L,11,FALSE),"")</f>
        <v/>
      </c>
      <c r="I5501" s="26" t="str">
        <f>IFERROR(VLOOKUP(G5501,WholesaleExtract!B:O,8,FALSE),"")</f>
        <v/>
      </c>
      <c r="J5501" s="26" t="str">
        <f>IFERROR(VLOOKUP(G5501,WholesaleExtract!B:O,14,FALSE),"")</f>
        <v/>
      </c>
      <c r="K5501" s="26" t="str">
        <f>IFERROR(VLOOKUP(G5501,WholesaleExtract!B:K,10,FALSE),"")</f>
        <v/>
      </c>
      <c r="L5501" s="47" t="str">
        <f>IFERROR(VLOOKUP(G5501,WholesaleExtract!B:L,11,FALSE),"")</f>
        <v/>
      </c>
      <c r="M5501" s="47" t="str">
        <f>IFERROR(VLOOKUP(G5501,WholesaleExtract!B:M,12,FALSE),"")</f>
        <v/>
      </c>
      <c r="R5501" s="19"/>
      <c r="S5501" s="19"/>
    </row>
    <row r="5502" spans="1:19" x14ac:dyDescent="0.35">
      <c r="A5502" s="26" t="s">
        <v>543</v>
      </c>
      <c r="B5502" s="26" t="s">
        <v>543</v>
      </c>
      <c r="C5502" s="26"/>
      <c r="D5502" s="26" t="s">
        <v>543</v>
      </c>
      <c r="E5502" s="26" t="str">
        <f>IFERROR(VLOOKUP(G5502,WholesaleExtract!B:J,9,FALSE),"")</f>
        <v/>
      </c>
      <c r="F5502" s="26" t="str">
        <f>IFERROR(VLOOKUP(G5502,WholesaleExtract!B:J,6,FALSE),"")</f>
        <v/>
      </c>
      <c r="H5502" s="47" t="str">
        <f>IFERROR(VLOOKUP(G5502,WholesaleExtract!B:L,11,FALSE),"")</f>
        <v/>
      </c>
      <c r="I5502" s="26" t="str">
        <f>IFERROR(VLOOKUP(G5502,WholesaleExtract!B:O,8,FALSE),"")</f>
        <v/>
      </c>
      <c r="J5502" s="26" t="str">
        <f>IFERROR(VLOOKUP(G5502,WholesaleExtract!B:O,14,FALSE),"")</f>
        <v/>
      </c>
      <c r="K5502" s="26" t="str">
        <f>IFERROR(VLOOKUP(G5502,WholesaleExtract!B:K,10,FALSE),"")</f>
        <v/>
      </c>
      <c r="L5502" s="47" t="str">
        <f>IFERROR(VLOOKUP(G5502,WholesaleExtract!B:L,11,FALSE),"")</f>
        <v/>
      </c>
      <c r="M5502" s="47" t="str">
        <f>IFERROR(VLOOKUP(G5502,WholesaleExtract!B:M,12,FALSE),"")</f>
        <v/>
      </c>
      <c r="R5502" s="19"/>
      <c r="S5502" s="19"/>
    </row>
    <row r="5503" spans="1:19" x14ac:dyDescent="0.35">
      <c r="A5503" s="26" t="s">
        <v>543</v>
      </c>
      <c r="B5503" s="26" t="s">
        <v>543</v>
      </c>
      <c r="C5503" s="26"/>
      <c r="D5503" s="26" t="s">
        <v>543</v>
      </c>
      <c r="E5503" s="26" t="str">
        <f>IFERROR(VLOOKUP(G5503,WholesaleExtract!B:J,9,FALSE),"")</f>
        <v/>
      </c>
      <c r="F5503" s="26" t="str">
        <f>IFERROR(VLOOKUP(G5503,WholesaleExtract!B:J,6,FALSE),"")</f>
        <v/>
      </c>
      <c r="H5503" s="47" t="str">
        <f>IFERROR(VLOOKUP(G5503,WholesaleExtract!B:L,11,FALSE),"")</f>
        <v/>
      </c>
      <c r="I5503" s="26" t="str">
        <f>IFERROR(VLOOKUP(G5503,WholesaleExtract!B:O,8,FALSE),"")</f>
        <v/>
      </c>
      <c r="J5503" s="26" t="str">
        <f>IFERROR(VLOOKUP(G5503,WholesaleExtract!B:O,14,FALSE),"")</f>
        <v/>
      </c>
      <c r="K5503" s="26" t="str">
        <f>IFERROR(VLOOKUP(G5503,WholesaleExtract!B:K,10,FALSE),"")</f>
        <v/>
      </c>
      <c r="L5503" s="47" t="str">
        <f>IFERROR(VLOOKUP(G5503,WholesaleExtract!B:L,11,FALSE),"")</f>
        <v/>
      </c>
      <c r="M5503" s="47" t="str">
        <f>IFERROR(VLOOKUP(G5503,WholesaleExtract!B:M,12,FALSE),"")</f>
        <v/>
      </c>
      <c r="R5503" s="19"/>
      <c r="S5503" s="19"/>
    </row>
    <row r="5504" spans="1:19" x14ac:dyDescent="0.35">
      <c r="A5504" s="26" t="s">
        <v>543</v>
      </c>
      <c r="B5504" s="26" t="s">
        <v>543</v>
      </c>
      <c r="C5504" s="26"/>
      <c r="D5504" s="26" t="s">
        <v>543</v>
      </c>
      <c r="E5504" s="26" t="str">
        <f>IFERROR(VLOOKUP(G5504,WholesaleExtract!B:J,9,FALSE),"")</f>
        <v/>
      </c>
      <c r="F5504" s="26" t="str">
        <f>IFERROR(VLOOKUP(G5504,WholesaleExtract!B:J,6,FALSE),"")</f>
        <v/>
      </c>
      <c r="H5504" s="47" t="str">
        <f>IFERROR(VLOOKUP(G5504,WholesaleExtract!B:L,11,FALSE),"")</f>
        <v/>
      </c>
      <c r="I5504" s="26" t="str">
        <f>IFERROR(VLOOKUP(G5504,WholesaleExtract!B:O,8,FALSE),"")</f>
        <v/>
      </c>
      <c r="J5504" s="26" t="str">
        <f>IFERROR(VLOOKUP(G5504,WholesaleExtract!B:O,14,FALSE),"")</f>
        <v/>
      </c>
      <c r="K5504" s="26" t="str">
        <f>IFERROR(VLOOKUP(G5504,WholesaleExtract!B:K,10,FALSE),"")</f>
        <v/>
      </c>
      <c r="L5504" s="47" t="str">
        <f>IFERROR(VLOOKUP(G5504,WholesaleExtract!B:L,11,FALSE),"")</f>
        <v/>
      </c>
      <c r="M5504" s="47" t="str">
        <f>IFERROR(VLOOKUP(G5504,WholesaleExtract!B:M,12,FALSE),"")</f>
        <v/>
      </c>
      <c r="R5504" s="19"/>
      <c r="S5504" s="19"/>
    </row>
    <row r="5505" spans="1:19" x14ac:dyDescent="0.35">
      <c r="A5505" s="26" t="s">
        <v>543</v>
      </c>
      <c r="B5505" s="26" t="s">
        <v>543</v>
      </c>
      <c r="C5505" s="26"/>
      <c r="D5505" s="26" t="s">
        <v>543</v>
      </c>
      <c r="E5505" s="26" t="str">
        <f>IFERROR(VLOOKUP(G5505,WholesaleExtract!B:J,9,FALSE),"")</f>
        <v/>
      </c>
      <c r="F5505" s="26" t="str">
        <f>IFERROR(VLOOKUP(G5505,WholesaleExtract!B:J,6,FALSE),"")</f>
        <v/>
      </c>
      <c r="H5505" s="47" t="str">
        <f>IFERROR(VLOOKUP(G5505,WholesaleExtract!B:L,11,FALSE),"")</f>
        <v/>
      </c>
      <c r="I5505" s="26" t="str">
        <f>IFERROR(VLOOKUP(G5505,WholesaleExtract!B:O,8,FALSE),"")</f>
        <v/>
      </c>
      <c r="J5505" s="26" t="str">
        <f>IFERROR(VLOOKUP(G5505,WholesaleExtract!B:O,14,FALSE),"")</f>
        <v/>
      </c>
      <c r="K5505" s="26" t="str">
        <f>IFERROR(VLOOKUP(G5505,WholesaleExtract!B:K,10,FALSE),"")</f>
        <v/>
      </c>
      <c r="L5505" s="47" t="str">
        <f>IFERROR(VLOOKUP(G5505,WholesaleExtract!B:L,11,FALSE),"")</f>
        <v/>
      </c>
      <c r="M5505" s="47" t="str">
        <f>IFERROR(VLOOKUP(G5505,WholesaleExtract!B:M,12,FALSE),"")</f>
        <v/>
      </c>
      <c r="R5505" s="19"/>
      <c r="S5505" s="19"/>
    </row>
    <row r="5506" spans="1:19" x14ac:dyDescent="0.35">
      <c r="A5506" s="26" t="s">
        <v>543</v>
      </c>
      <c r="B5506" s="26" t="s">
        <v>543</v>
      </c>
      <c r="C5506" s="26"/>
      <c r="D5506" s="26" t="s">
        <v>543</v>
      </c>
      <c r="E5506" s="26" t="str">
        <f>IFERROR(VLOOKUP(G5506,WholesaleExtract!B:J,9,FALSE),"")</f>
        <v/>
      </c>
      <c r="F5506" s="26" t="str">
        <f>IFERROR(VLOOKUP(G5506,WholesaleExtract!B:J,6,FALSE),"")</f>
        <v/>
      </c>
      <c r="H5506" s="47" t="str">
        <f>IFERROR(VLOOKUP(G5506,WholesaleExtract!B:L,11,FALSE),"")</f>
        <v/>
      </c>
      <c r="I5506" s="26" t="str">
        <f>IFERROR(VLOOKUP(G5506,WholesaleExtract!B:O,8,FALSE),"")</f>
        <v/>
      </c>
      <c r="J5506" s="26" t="str">
        <f>IFERROR(VLOOKUP(G5506,WholesaleExtract!B:O,14,FALSE),"")</f>
        <v/>
      </c>
      <c r="K5506" s="26" t="str">
        <f>IFERROR(VLOOKUP(G5506,WholesaleExtract!B:K,10,FALSE),"")</f>
        <v/>
      </c>
      <c r="L5506" s="47" t="str">
        <f>IFERROR(VLOOKUP(G5506,WholesaleExtract!B:L,11,FALSE),"")</f>
        <v/>
      </c>
      <c r="M5506" s="47" t="str">
        <f>IFERROR(VLOOKUP(G5506,WholesaleExtract!B:M,12,FALSE),"")</f>
        <v/>
      </c>
      <c r="R5506" s="19"/>
      <c r="S5506" s="19"/>
    </row>
    <row r="5507" spans="1:19" x14ac:dyDescent="0.35">
      <c r="A5507" s="26" t="s">
        <v>543</v>
      </c>
      <c r="B5507" s="26" t="s">
        <v>543</v>
      </c>
      <c r="C5507" s="26"/>
      <c r="D5507" s="26" t="s">
        <v>543</v>
      </c>
      <c r="E5507" s="26" t="str">
        <f>IFERROR(VLOOKUP(G5507,WholesaleExtract!B:J,9,FALSE),"")</f>
        <v/>
      </c>
      <c r="F5507" s="26" t="str">
        <f>IFERROR(VLOOKUP(G5507,WholesaleExtract!B:J,6,FALSE),"")</f>
        <v/>
      </c>
      <c r="H5507" s="47" t="str">
        <f>IFERROR(VLOOKUP(G5507,WholesaleExtract!B:L,11,FALSE),"")</f>
        <v/>
      </c>
      <c r="I5507" s="26" t="str">
        <f>IFERROR(VLOOKUP(G5507,WholesaleExtract!B:O,8,FALSE),"")</f>
        <v/>
      </c>
      <c r="J5507" s="26" t="str">
        <f>IFERROR(VLOOKUP(G5507,WholesaleExtract!B:O,14,FALSE),"")</f>
        <v/>
      </c>
      <c r="K5507" s="26" t="str">
        <f>IFERROR(VLOOKUP(G5507,WholesaleExtract!B:K,10,FALSE),"")</f>
        <v/>
      </c>
      <c r="L5507" s="47" t="str">
        <f>IFERROR(VLOOKUP(G5507,WholesaleExtract!B:L,11,FALSE),"")</f>
        <v/>
      </c>
      <c r="M5507" s="47" t="str">
        <f>IFERROR(VLOOKUP(G5507,WholesaleExtract!B:M,12,FALSE),"")</f>
        <v/>
      </c>
      <c r="R5507" s="19"/>
      <c r="S5507" s="19"/>
    </row>
    <row r="5508" spans="1:19" x14ac:dyDescent="0.35">
      <c r="A5508" s="26" t="s">
        <v>543</v>
      </c>
      <c r="B5508" s="26" t="s">
        <v>543</v>
      </c>
      <c r="C5508" s="26"/>
      <c r="D5508" s="26" t="s">
        <v>543</v>
      </c>
      <c r="E5508" s="26" t="str">
        <f>IFERROR(VLOOKUP(G5508,WholesaleExtract!B:J,9,FALSE),"")</f>
        <v/>
      </c>
      <c r="F5508" s="26" t="str">
        <f>IFERROR(VLOOKUP(G5508,WholesaleExtract!B:J,6,FALSE),"")</f>
        <v/>
      </c>
      <c r="H5508" s="47" t="str">
        <f>IFERROR(VLOOKUP(G5508,WholesaleExtract!B:L,11,FALSE),"")</f>
        <v/>
      </c>
      <c r="I5508" s="26" t="str">
        <f>IFERROR(VLOOKUP(G5508,WholesaleExtract!B:O,8,FALSE),"")</f>
        <v/>
      </c>
      <c r="J5508" s="26" t="str">
        <f>IFERROR(VLOOKUP(G5508,WholesaleExtract!B:O,14,FALSE),"")</f>
        <v/>
      </c>
      <c r="K5508" s="26" t="str">
        <f>IFERROR(VLOOKUP(G5508,WholesaleExtract!B:K,10,FALSE),"")</f>
        <v/>
      </c>
      <c r="L5508" s="47" t="str">
        <f>IFERROR(VLOOKUP(G5508,WholesaleExtract!B:L,11,FALSE),"")</f>
        <v/>
      </c>
      <c r="M5508" s="47" t="str">
        <f>IFERROR(VLOOKUP(G5508,WholesaleExtract!B:M,12,FALSE),"")</f>
        <v/>
      </c>
      <c r="R5508" s="19"/>
      <c r="S5508" s="19"/>
    </row>
    <row r="5509" spans="1:19" x14ac:dyDescent="0.35">
      <c r="A5509" s="26" t="s">
        <v>543</v>
      </c>
      <c r="B5509" s="26" t="s">
        <v>543</v>
      </c>
      <c r="C5509" s="26"/>
      <c r="D5509" s="26" t="s">
        <v>543</v>
      </c>
      <c r="E5509" s="26" t="str">
        <f>IFERROR(VLOOKUP(G5509,WholesaleExtract!B:J,9,FALSE),"")</f>
        <v/>
      </c>
      <c r="F5509" s="26" t="str">
        <f>IFERROR(VLOOKUP(G5509,WholesaleExtract!B:J,6,FALSE),"")</f>
        <v/>
      </c>
      <c r="H5509" s="47" t="str">
        <f>IFERROR(VLOOKUP(G5509,WholesaleExtract!B:L,11,FALSE),"")</f>
        <v/>
      </c>
      <c r="I5509" s="26" t="str">
        <f>IFERROR(VLOOKUP(G5509,WholesaleExtract!B:O,8,FALSE),"")</f>
        <v/>
      </c>
      <c r="J5509" s="26" t="str">
        <f>IFERROR(VLOOKUP(G5509,WholesaleExtract!B:O,14,FALSE),"")</f>
        <v/>
      </c>
      <c r="K5509" s="26" t="str">
        <f>IFERROR(VLOOKUP(G5509,WholesaleExtract!B:K,10,FALSE),"")</f>
        <v/>
      </c>
      <c r="L5509" s="47" t="str">
        <f>IFERROR(VLOOKUP(G5509,WholesaleExtract!B:L,11,FALSE),"")</f>
        <v/>
      </c>
      <c r="M5509" s="47" t="str">
        <f>IFERROR(VLOOKUP(G5509,WholesaleExtract!B:M,12,FALSE),"")</f>
        <v/>
      </c>
      <c r="R5509" s="19"/>
      <c r="S5509" s="19"/>
    </row>
    <row r="5510" spans="1:19" x14ac:dyDescent="0.35">
      <c r="A5510" s="26" t="s">
        <v>543</v>
      </c>
      <c r="B5510" s="26" t="s">
        <v>543</v>
      </c>
      <c r="C5510" s="26"/>
      <c r="D5510" s="26" t="s">
        <v>543</v>
      </c>
      <c r="E5510" s="26" t="str">
        <f>IFERROR(VLOOKUP(G5510,WholesaleExtract!B:J,9,FALSE),"")</f>
        <v/>
      </c>
      <c r="F5510" s="26" t="str">
        <f>IFERROR(VLOOKUP(G5510,WholesaleExtract!B:J,6,FALSE),"")</f>
        <v/>
      </c>
      <c r="H5510" s="47" t="str">
        <f>IFERROR(VLOOKUP(G5510,WholesaleExtract!B:L,11,FALSE),"")</f>
        <v/>
      </c>
      <c r="I5510" s="26" t="str">
        <f>IFERROR(VLOOKUP(G5510,WholesaleExtract!B:O,8,FALSE),"")</f>
        <v/>
      </c>
      <c r="J5510" s="26" t="str">
        <f>IFERROR(VLOOKUP(G5510,WholesaleExtract!B:O,14,FALSE),"")</f>
        <v/>
      </c>
      <c r="K5510" s="26" t="str">
        <f>IFERROR(VLOOKUP(G5510,WholesaleExtract!B:K,10,FALSE),"")</f>
        <v/>
      </c>
      <c r="L5510" s="47" t="str">
        <f>IFERROR(VLOOKUP(G5510,WholesaleExtract!B:L,11,FALSE),"")</f>
        <v/>
      </c>
      <c r="M5510" s="47" t="str">
        <f>IFERROR(VLOOKUP(G5510,WholesaleExtract!B:M,12,FALSE),"")</f>
        <v/>
      </c>
      <c r="R5510" s="19"/>
      <c r="S5510" s="19"/>
    </row>
    <row r="5511" spans="1:19" x14ac:dyDescent="0.35">
      <c r="A5511" s="26" t="s">
        <v>543</v>
      </c>
      <c r="B5511" s="26" t="s">
        <v>543</v>
      </c>
      <c r="C5511" s="26"/>
      <c r="D5511" s="26" t="s">
        <v>543</v>
      </c>
      <c r="E5511" s="26" t="str">
        <f>IFERROR(VLOOKUP(G5511,WholesaleExtract!B:J,9,FALSE),"")</f>
        <v/>
      </c>
      <c r="F5511" s="26" t="str">
        <f>IFERROR(VLOOKUP(G5511,WholesaleExtract!B:J,6,FALSE),"")</f>
        <v/>
      </c>
      <c r="H5511" s="47" t="str">
        <f>IFERROR(VLOOKUP(G5511,WholesaleExtract!B:L,11,FALSE),"")</f>
        <v/>
      </c>
      <c r="I5511" s="26" t="str">
        <f>IFERROR(VLOOKUP(G5511,WholesaleExtract!B:O,8,FALSE),"")</f>
        <v/>
      </c>
      <c r="J5511" s="26" t="str">
        <f>IFERROR(VLOOKUP(G5511,WholesaleExtract!B:O,14,FALSE),"")</f>
        <v/>
      </c>
      <c r="K5511" s="26" t="str">
        <f>IFERROR(VLOOKUP(G5511,WholesaleExtract!B:K,10,FALSE),"")</f>
        <v/>
      </c>
      <c r="L5511" s="47" t="str">
        <f>IFERROR(VLOOKUP(G5511,WholesaleExtract!B:L,11,FALSE),"")</f>
        <v/>
      </c>
      <c r="M5511" s="47" t="str">
        <f>IFERROR(VLOOKUP(G5511,WholesaleExtract!B:M,12,FALSE),"")</f>
        <v/>
      </c>
      <c r="R5511" s="19"/>
      <c r="S5511" s="19"/>
    </row>
    <row r="5512" spans="1:19" x14ac:dyDescent="0.35">
      <c r="A5512" s="26" t="s">
        <v>543</v>
      </c>
      <c r="B5512" s="26" t="s">
        <v>543</v>
      </c>
      <c r="C5512" s="26"/>
      <c r="D5512" s="26" t="s">
        <v>543</v>
      </c>
      <c r="E5512" s="26" t="str">
        <f>IFERROR(VLOOKUP(G5512,WholesaleExtract!B:J,9,FALSE),"")</f>
        <v/>
      </c>
      <c r="F5512" s="26" t="str">
        <f>IFERROR(VLOOKUP(G5512,WholesaleExtract!B:J,6,FALSE),"")</f>
        <v/>
      </c>
      <c r="H5512" s="47" t="str">
        <f>IFERROR(VLOOKUP(G5512,WholesaleExtract!B:L,11,FALSE),"")</f>
        <v/>
      </c>
      <c r="I5512" s="26" t="str">
        <f>IFERROR(VLOOKUP(G5512,WholesaleExtract!B:O,8,FALSE),"")</f>
        <v/>
      </c>
      <c r="J5512" s="26" t="str">
        <f>IFERROR(VLOOKUP(G5512,WholesaleExtract!B:O,14,FALSE),"")</f>
        <v/>
      </c>
      <c r="K5512" s="26" t="str">
        <f>IFERROR(VLOOKUP(G5512,WholesaleExtract!B:K,10,FALSE),"")</f>
        <v/>
      </c>
      <c r="L5512" s="47" t="str">
        <f>IFERROR(VLOOKUP(G5512,WholesaleExtract!B:L,11,FALSE),"")</f>
        <v/>
      </c>
      <c r="M5512" s="47" t="str">
        <f>IFERROR(VLOOKUP(G5512,WholesaleExtract!B:M,12,FALSE),"")</f>
        <v/>
      </c>
      <c r="R5512" s="19"/>
      <c r="S5512" s="19"/>
    </row>
    <row r="5513" spans="1:19" x14ac:dyDescent="0.35">
      <c r="A5513" s="26" t="s">
        <v>543</v>
      </c>
      <c r="B5513" s="26" t="s">
        <v>543</v>
      </c>
      <c r="C5513" s="26"/>
      <c r="D5513" s="26" t="s">
        <v>543</v>
      </c>
      <c r="E5513" s="26" t="str">
        <f>IFERROR(VLOOKUP(G5513,WholesaleExtract!B:J,9,FALSE),"")</f>
        <v/>
      </c>
      <c r="F5513" s="26" t="str">
        <f>IFERROR(VLOOKUP(G5513,WholesaleExtract!B:J,6,FALSE),"")</f>
        <v/>
      </c>
      <c r="H5513" s="47" t="str">
        <f>IFERROR(VLOOKUP(G5513,WholesaleExtract!B:L,11,FALSE),"")</f>
        <v/>
      </c>
      <c r="I5513" s="26" t="str">
        <f>IFERROR(VLOOKUP(G5513,WholesaleExtract!B:O,8,FALSE),"")</f>
        <v/>
      </c>
      <c r="J5513" s="26" t="str">
        <f>IFERROR(VLOOKUP(G5513,WholesaleExtract!B:O,14,FALSE),"")</f>
        <v/>
      </c>
      <c r="K5513" s="26" t="str">
        <f>IFERROR(VLOOKUP(G5513,WholesaleExtract!B:K,10,FALSE),"")</f>
        <v/>
      </c>
      <c r="L5513" s="47" t="str">
        <f>IFERROR(VLOOKUP(G5513,WholesaleExtract!B:L,11,FALSE),"")</f>
        <v/>
      </c>
      <c r="M5513" s="47" t="str">
        <f>IFERROR(VLOOKUP(G5513,WholesaleExtract!B:M,12,FALSE),"")</f>
        <v/>
      </c>
      <c r="R5513" s="19"/>
      <c r="S5513" s="19"/>
    </row>
    <row r="5514" spans="1:19" x14ac:dyDescent="0.35">
      <c r="A5514" s="26" t="s">
        <v>543</v>
      </c>
      <c r="B5514" s="26" t="s">
        <v>543</v>
      </c>
      <c r="C5514" s="26"/>
      <c r="D5514" s="26" t="s">
        <v>543</v>
      </c>
      <c r="E5514" s="26" t="str">
        <f>IFERROR(VLOOKUP(G5514,WholesaleExtract!B:J,9,FALSE),"")</f>
        <v/>
      </c>
      <c r="F5514" s="26" t="str">
        <f>IFERROR(VLOOKUP(G5514,WholesaleExtract!B:J,6,FALSE),"")</f>
        <v/>
      </c>
      <c r="H5514" s="47" t="str">
        <f>IFERROR(VLOOKUP(G5514,WholesaleExtract!B:L,11,FALSE),"")</f>
        <v/>
      </c>
      <c r="I5514" s="26" t="str">
        <f>IFERROR(VLOOKUP(G5514,WholesaleExtract!B:O,8,FALSE),"")</f>
        <v/>
      </c>
      <c r="J5514" s="26" t="str">
        <f>IFERROR(VLOOKUP(G5514,WholesaleExtract!B:O,14,FALSE),"")</f>
        <v/>
      </c>
      <c r="K5514" s="26" t="str">
        <f>IFERROR(VLOOKUP(G5514,WholesaleExtract!B:K,10,FALSE),"")</f>
        <v/>
      </c>
      <c r="L5514" s="47" t="str">
        <f>IFERROR(VLOOKUP(G5514,WholesaleExtract!B:L,11,FALSE),"")</f>
        <v/>
      </c>
      <c r="M5514" s="47" t="str">
        <f>IFERROR(VLOOKUP(G5514,WholesaleExtract!B:M,12,FALSE),"")</f>
        <v/>
      </c>
      <c r="R5514" s="19"/>
      <c r="S5514" s="19"/>
    </row>
    <row r="5515" spans="1:19" x14ac:dyDescent="0.35">
      <c r="A5515" s="26" t="s">
        <v>543</v>
      </c>
      <c r="B5515" s="26" t="s">
        <v>543</v>
      </c>
      <c r="C5515" s="26"/>
      <c r="D5515" s="26" t="s">
        <v>543</v>
      </c>
      <c r="E5515" s="26" t="str">
        <f>IFERROR(VLOOKUP(G5515,WholesaleExtract!B:J,9,FALSE),"")</f>
        <v/>
      </c>
      <c r="F5515" s="26" t="str">
        <f>IFERROR(VLOOKUP(G5515,WholesaleExtract!B:J,6,FALSE),"")</f>
        <v/>
      </c>
      <c r="H5515" s="47" t="str">
        <f>IFERROR(VLOOKUP(G5515,WholesaleExtract!B:L,11,FALSE),"")</f>
        <v/>
      </c>
      <c r="I5515" s="26" t="str">
        <f>IFERROR(VLOOKUP(G5515,WholesaleExtract!B:O,8,FALSE),"")</f>
        <v/>
      </c>
      <c r="J5515" s="26" t="str">
        <f>IFERROR(VLOOKUP(G5515,WholesaleExtract!B:O,14,FALSE),"")</f>
        <v/>
      </c>
      <c r="K5515" s="26" t="str">
        <f>IFERROR(VLOOKUP(G5515,WholesaleExtract!B:K,10,FALSE),"")</f>
        <v/>
      </c>
      <c r="L5515" s="47" t="str">
        <f>IFERROR(VLOOKUP(G5515,WholesaleExtract!B:L,11,FALSE),"")</f>
        <v/>
      </c>
      <c r="M5515" s="47" t="str">
        <f>IFERROR(VLOOKUP(G5515,WholesaleExtract!B:M,12,FALSE),"")</f>
        <v/>
      </c>
      <c r="R5515" s="19"/>
      <c r="S5515" s="19"/>
    </row>
    <row r="5516" spans="1:19" x14ac:dyDescent="0.35">
      <c r="A5516" s="26" t="s">
        <v>543</v>
      </c>
      <c r="B5516" s="26" t="s">
        <v>543</v>
      </c>
      <c r="C5516" s="26"/>
      <c r="D5516" s="26" t="s">
        <v>543</v>
      </c>
      <c r="E5516" s="26" t="str">
        <f>IFERROR(VLOOKUP(G5516,WholesaleExtract!B:J,9,FALSE),"")</f>
        <v/>
      </c>
      <c r="F5516" s="26" t="str">
        <f>IFERROR(VLOOKUP(G5516,WholesaleExtract!B:J,6,FALSE),"")</f>
        <v/>
      </c>
      <c r="H5516" s="47" t="str">
        <f>IFERROR(VLOOKUP(G5516,WholesaleExtract!B:L,11,FALSE),"")</f>
        <v/>
      </c>
      <c r="I5516" s="26" t="str">
        <f>IFERROR(VLOOKUP(G5516,WholesaleExtract!B:O,8,FALSE),"")</f>
        <v/>
      </c>
      <c r="J5516" s="26" t="str">
        <f>IFERROR(VLOOKUP(G5516,WholesaleExtract!B:O,14,FALSE),"")</f>
        <v/>
      </c>
      <c r="K5516" s="26" t="str">
        <f>IFERROR(VLOOKUP(G5516,WholesaleExtract!B:K,10,FALSE),"")</f>
        <v/>
      </c>
      <c r="L5516" s="47" t="str">
        <f>IFERROR(VLOOKUP(G5516,WholesaleExtract!B:L,11,FALSE),"")</f>
        <v/>
      </c>
      <c r="M5516" s="47" t="str">
        <f>IFERROR(VLOOKUP(G5516,WholesaleExtract!B:M,12,FALSE),"")</f>
        <v/>
      </c>
      <c r="R5516" s="19"/>
      <c r="S5516" s="19"/>
    </row>
    <row r="5517" spans="1:19" x14ac:dyDescent="0.35">
      <c r="A5517" s="26" t="s">
        <v>543</v>
      </c>
      <c r="B5517" s="26" t="s">
        <v>543</v>
      </c>
      <c r="C5517" s="26"/>
      <c r="D5517" s="26" t="s">
        <v>543</v>
      </c>
      <c r="E5517" s="26" t="str">
        <f>IFERROR(VLOOKUP(G5517,WholesaleExtract!B:J,9,FALSE),"")</f>
        <v/>
      </c>
      <c r="F5517" s="26" t="str">
        <f>IFERROR(VLOOKUP(G5517,WholesaleExtract!B:J,6,FALSE),"")</f>
        <v/>
      </c>
      <c r="H5517" s="47" t="str">
        <f>IFERROR(VLOOKUP(G5517,WholesaleExtract!B:L,11,FALSE),"")</f>
        <v/>
      </c>
      <c r="I5517" s="26" t="str">
        <f>IFERROR(VLOOKUP(G5517,WholesaleExtract!B:O,8,FALSE),"")</f>
        <v/>
      </c>
      <c r="J5517" s="26" t="str">
        <f>IFERROR(VLOOKUP(G5517,WholesaleExtract!B:O,14,FALSE),"")</f>
        <v/>
      </c>
      <c r="K5517" s="26" t="str">
        <f>IFERROR(VLOOKUP(G5517,WholesaleExtract!B:K,10,FALSE),"")</f>
        <v/>
      </c>
      <c r="L5517" s="47" t="str">
        <f>IFERROR(VLOOKUP(G5517,WholesaleExtract!B:L,11,FALSE),"")</f>
        <v/>
      </c>
      <c r="M5517" s="47" t="str">
        <f>IFERROR(VLOOKUP(G5517,WholesaleExtract!B:M,12,FALSE),"")</f>
        <v/>
      </c>
      <c r="R5517" s="19"/>
      <c r="S5517" s="19"/>
    </row>
    <row r="5518" spans="1:19" x14ac:dyDescent="0.35">
      <c r="A5518" s="26" t="s">
        <v>543</v>
      </c>
      <c r="B5518" s="26" t="s">
        <v>543</v>
      </c>
      <c r="C5518" s="26"/>
      <c r="D5518" s="26" t="s">
        <v>543</v>
      </c>
      <c r="E5518" s="26" t="str">
        <f>IFERROR(VLOOKUP(G5518,WholesaleExtract!B:J,9,FALSE),"")</f>
        <v/>
      </c>
      <c r="F5518" s="26" t="str">
        <f>IFERROR(VLOOKUP(G5518,WholesaleExtract!B:J,6,FALSE),"")</f>
        <v/>
      </c>
      <c r="H5518" s="47" t="str">
        <f>IFERROR(VLOOKUP(G5518,WholesaleExtract!B:L,11,FALSE),"")</f>
        <v/>
      </c>
      <c r="I5518" s="26" t="str">
        <f>IFERROR(VLOOKUP(G5518,WholesaleExtract!B:O,8,FALSE),"")</f>
        <v/>
      </c>
      <c r="J5518" s="26" t="str">
        <f>IFERROR(VLOOKUP(G5518,WholesaleExtract!B:O,14,FALSE),"")</f>
        <v/>
      </c>
      <c r="K5518" s="26" t="str">
        <f>IFERROR(VLOOKUP(G5518,WholesaleExtract!B:K,10,FALSE),"")</f>
        <v/>
      </c>
      <c r="L5518" s="47" t="str">
        <f>IFERROR(VLOOKUP(G5518,WholesaleExtract!B:L,11,FALSE),"")</f>
        <v/>
      </c>
      <c r="M5518" s="47" t="str">
        <f>IFERROR(VLOOKUP(G5518,WholesaleExtract!B:M,12,FALSE),"")</f>
        <v/>
      </c>
      <c r="R5518" s="19"/>
      <c r="S5518" s="19"/>
    </row>
    <row r="5519" spans="1:19" x14ac:dyDescent="0.35">
      <c r="A5519" s="26" t="s">
        <v>543</v>
      </c>
      <c r="B5519" s="26" t="s">
        <v>543</v>
      </c>
      <c r="C5519" s="26"/>
      <c r="D5519" s="26" t="s">
        <v>543</v>
      </c>
      <c r="E5519" s="26" t="str">
        <f>IFERROR(VLOOKUP(G5519,WholesaleExtract!B:J,9,FALSE),"")</f>
        <v/>
      </c>
      <c r="F5519" s="26" t="str">
        <f>IFERROR(VLOOKUP(G5519,WholesaleExtract!B:J,6,FALSE),"")</f>
        <v/>
      </c>
      <c r="H5519" s="47" t="str">
        <f>IFERROR(VLOOKUP(G5519,WholesaleExtract!B:L,11,FALSE),"")</f>
        <v/>
      </c>
      <c r="I5519" s="26" t="str">
        <f>IFERROR(VLOOKUP(G5519,WholesaleExtract!B:O,8,FALSE),"")</f>
        <v/>
      </c>
      <c r="J5519" s="26" t="str">
        <f>IFERROR(VLOOKUP(G5519,WholesaleExtract!B:O,14,FALSE),"")</f>
        <v/>
      </c>
      <c r="K5519" s="26" t="str">
        <f>IFERROR(VLOOKUP(G5519,WholesaleExtract!B:K,10,FALSE),"")</f>
        <v/>
      </c>
      <c r="L5519" s="47" t="str">
        <f>IFERROR(VLOOKUP(G5519,WholesaleExtract!B:L,11,FALSE),"")</f>
        <v/>
      </c>
      <c r="M5519" s="47" t="str">
        <f>IFERROR(VLOOKUP(G5519,WholesaleExtract!B:M,12,FALSE),"")</f>
        <v/>
      </c>
      <c r="R5519" s="19"/>
      <c r="S5519" s="19"/>
    </row>
    <row r="5520" spans="1:19" x14ac:dyDescent="0.35">
      <c r="A5520" s="26" t="s">
        <v>543</v>
      </c>
      <c r="B5520" s="26" t="s">
        <v>543</v>
      </c>
      <c r="C5520" s="26"/>
      <c r="D5520" s="26" t="s">
        <v>543</v>
      </c>
      <c r="E5520" s="26" t="str">
        <f>IFERROR(VLOOKUP(G5520,WholesaleExtract!B:J,9,FALSE),"")</f>
        <v/>
      </c>
      <c r="F5520" s="26" t="str">
        <f>IFERROR(VLOOKUP(G5520,WholesaleExtract!B:J,6,FALSE),"")</f>
        <v/>
      </c>
      <c r="H5520" s="47" t="str">
        <f>IFERROR(VLOOKUP(G5520,WholesaleExtract!B:L,11,FALSE),"")</f>
        <v/>
      </c>
      <c r="I5520" s="26" t="str">
        <f>IFERROR(VLOOKUP(G5520,WholesaleExtract!B:O,8,FALSE),"")</f>
        <v/>
      </c>
      <c r="J5520" s="26" t="str">
        <f>IFERROR(VLOOKUP(G5520,WholesaleExtract!B:O,14,FALSE),"")</f>
        <v/>
      </c>
      <c r="K5520" s="26" t="str">
        <f>IFERROR(VLOOKUP(G5520,WholesaleExtract!B:K,10,FALSE),"")</f>
        <v/>
      </c>
      <c r="L5520" s="47" t="str">
        <f>IFERROR(VLOOKUP(G5520,WholesaleExtract!B:L,11,FALSE),"")</f>
        <v/>
      </c>
      <c r="M5520" s="47" t="str">
        <f>IFERROR(VLOOKUP(G5520,WholesaleExtract!B:M,12,FALSE),"")</f>
        <v/>
      </c>
      <c r="R5520" s="19"/>
      <c r="S5520" s="19"/>
    </row>
    <row r="5521" spans="1:19" x14ac:dyDescent="0.35">
      <c r="A5521" s="26" t="s">
        <v>543</v>
      </c>
      <c r="B5521" s="26" t="s">
        <v>543</v>
      </c>
      <c r="C5521" s="26"/>
      <c r="D5521" s="26" t="s">
        <v>543</v>
      </c>
      <c r="E5521" s="26" t="str">
        <f>IFERROR(VLOOKUP(G5521,WholesaleExtract!B:J,9,FALSE),"")</f>
        <v/>
      </c>
      <c r="F5521" s="26" t="str">
        <f>IFERROR(VLOOKUP(G5521,WholesaleExtract!B:J,6,FALSE),"")</f>
        <v/>
      </c>
      <c r="H5521" s="47" t="str">
        <f>IFERROR(VLOOKUP(G5521,WholesaleExtract!B:L,11,FALSE),"")</f>
        <v/>
      </c>
      <c r="I5521" s="26" t="str">
        <f>IFERROR(VLOOKUP(G5521,WholesaleExtract!B:O,8,FALSE),"")</f>
        <v/>
      </c>
      <c r="J5521" s="26" t="str">
        <f>IFERROR(VLOOKUP(G5521,WholesaleExtract!B:O,14,FALSE),"")</f>
        <v/>
      </c>
      <c r="K5521" s="26" t="str">
        <f>IFERROR(VLOOKUP(G5521,WholesaleExtract!B:K,10,FALSE),"")</f>
        <v/>
      </c>
      <c r="L5521" s="47" t="str">
        <f>IFERROR(VLOOKUP(G5521,WholesaleExtract!B:L,11,FALSE),"")</f>
        <v/>
      </c>
      <c r="M5521" s="47" t="str">
        <f>IFERROR(VLOOKUP(G5521,WholesaleExtract!B:M,12,FALSE),"")</f>
        <v/>
      </c>
      <c r="R5521" s="19"/>
      <c r="S5521" s="19"/>
    </row>
    <row r="5522" spans="1:19" x14ac:dyDescent="0.35">
      <c r="A5522" s="26" t="s">
        <v>543</v>
      </c>
      <c r="B5522" s="26" t="s">
        <v>543</v>
      </c>
      <c r="C5522" s="26"/>
      <c r="D5522" s="26" t="s">
        <v>543</v>
      </c>
      <c r="E5522" s="26" t="str">
        <f>IFERROR(VLOOKUP(G5522,WholesaleExtract!B:J,9,FALSE),"")</f>
        <v/>
      </c>
      <c r="F5522" s="26" t="str">
        <f>IFERROR(VLOOKUP(G5522,WholesaleExtract!B:J,6,FALSE),"")</f>
        <v/>
      </c>
      <c r="H5522" s="47" t="str">
        <f>IFERROR(VLOOKUP(G5522,WholesaleExtract!B:L,11,FALSE),"")</f>
        <v/>
      </c>
      <c r="I5522" s="26" t="str">
        <f>IFERROR(VLOOKUP(G5522,WholesaleExtract!B:O,8,FALSE),"")</f>
        <v/>
      </c>
      <c r="J5522" s="26" t="str">
        <f>IFERROR(VLOOKUP(G5522,WholesaleExtract!B:O,14,FALSE),"")</f>
        <v/>
      </c>
      <c r="K5522" s="26" t="str">
        <f>IFERROR(VLOOKUP(G5522,WholesaleExtract!B:K,10,FALSE),"")</f>
        <v/>
      </c>
      <c r="L5522" s="47" t="str">
        <f>IFERROR(VLOOKUP(G5522,WholesaleExtract!B:L,11,FALSE),"")</f>
        <v/>
      </c>
      <c r="M5522" s="47" t="str">
        <f>IFERROR(VLOOKUP(G5522,WholesaleExtract!B:M,12,FALSE),"")</f>
        <v/>
      </c>
      <c r="R5522" s="19"/>
      <c r="S5522" s="19"/>
    </row>
    <row r="5523" spans="1:19" x14ac:dyDescent="0.35">
      <c r="A5523" s="26" t="s">
        <v>543</v>
      </c>
      <c r="B5523" s="26" t="s">
        <v>543</v>
      </c>
      <c r="C5523" s="26"/>
      <c r="D5523" s="26" t="s">
        <v>543</v>
      </c>
      <c r="E5523" s="26" t="str">
        <f>IFERROR(VLOOKUP(G5523,WholesaleExtract!B:J,9,FALSE),"")</f>
        <v/>
      </c>
      <c r="F5523" s="26" t="str">
        <f>IFERROR(VLOOKUP(G5523,WholesaleExtract!B:J,6,FALSE),"")</f>
        <v/>
      </c>
      <c r="H5523" s="47" t="str">
        <f>IFERROR(VLOOKUP(G5523,WholesaleExtract!B:L,11,FALSE),"")</f>
        <v/>
      </c>
      <c r="I5523" s="26" t="str">
        <f>IFERROR(VLOOKUP(G5523,WholesaleExtract!B:O,8,FALSE),"")</f>
        <v/>
      </c>
      <c r="J5523" s="26" t="str">
        <f>IFERROR(VLOOKUP(G5523,WholesaleExtract!B:O,14,FALSE),"")</f>
        <v/>
      </c>
      <c r="K5523" s="26" t="str">
        <f>IFERROR(VLOOKUP(G5523,WholesaleExtract!B:K,10,FALSE),"")</f>
        <v/>
      </c>
      <c r="L5523" s="47" t="str">
        <f>IFERROR(VLOOKUP(G5523,WholesaleExtract!B:L,11,FALSE),"")</f>
        <v/>
      </c>
      <c r="M5523" s="47" t="str">
        <f>IFERROR(VLOOKUP(G5523,WholesaleExtract!B:M,12,FALSE),"")</f>
        <v/>
      </c>
      <c r="R5523" s="19"/>
      <c r="S5523" s="19"/>
    </row>
    <row r="5524" spans="1:19" x14ac:dyDescent="0.35">
      <c r="A5524" s="26" t="s">
        <v>543</v>
      </c>
      <c r="B5524" s="26" t="s">
        <v>543</v>
      </c>
      <c r="C5524" s="26"/>
      <c r="D5524" s="26" t="s">
        <v>543</v>
      </c>
      <c r="E5524" s="26" t="str">
        <f>IFERROR(VLOOKUP(G5524,WholesaleExtract!B:J,9,FALSE),"")</f>
        <v/>
      </c>
      <c r="F5524" s="26" t="str">
        <f>IFERROR(VLOOKUP(G5524,WholesaleExtract!B:J,6,FALSE),"")</f>
        <v/>
      </c>
      <c r="H5524" s="47" t="str">
        <f>IFERROR(VLOOKUP(G5524,WholesaleExtract!B:L,11,FALSE),"")</f>
        <v/>
      </c>
      <c r="I5524" s="26" t="str">
        <f>IFERROR(VLOOKUP(G5524,WholesaleExtract!B:O,8,FALSE),"")</f>
        <v/>
      </c>
      <c r="J5524" s="26" t="str">
        <f>IFERROR(VLOOKUP(G5524,WholesaleExtract!B:O,14,FALSE),"")</f>
        <v/>
      </c>
      <c r="K5524" s="26" t="str">
        <f>IFERROR(VLOOKUP(G5524,WholesaleExtract!B:K,10,FALSE),"")</f>
        <v/>
      </c>
      <c r="L5524" s="47" t="str">
        <f>IFERROR(VLOOKUP(G5524,WholesaleExtract!B:L,11,FALSE),"")</f>
        <v/>
      </c>
      <c r="M5524" s="47" t="str">
        <f>IFERROR(VLOOKUP(G5524,WholesaleExtract!B:M,12,FALSE),"")</f>
        <v/>
      </c>
      <c r="R5524" s="19"/>
      <c r="S5524" s="19"/>
    </row>
    <row r="5525" spans="1:19" x14ac:dyDescent="0.35">
      <c r="A5525" s="26" t="s">
        <v>543</v>
      </c>
      <c r="B5525" s="26" t="s">
        <v>543</v>
      </c>
      <c r="C5525" s="26"/>
      <c r="D5525" s="26" t="s">
        <v>543</v>
      </c>
      <c r="E5525" s="26" t="str">
        <f>IFERROR(VLOOKUP(G5525,WholesaleExtract!B:J,9,FALSE),"")</f>
        <v/>
      </c>
      <c r="F5525" s="26" t="str">
        <f>IFERROR(VLOOKUP(G5525,WholesaleExtract!B:J,6,FALSE),"")</f>
        <v/>
      </c>
      <c r="H5525" s="47" t="str">
        <f>IFERROR(VLOOKUP(G5525,WholesaleExtract!B:L,11,FALSE),"")</f>
        <v/>
      </c>
      <c r="I5525" s="26" t="str">
        <f>IFERROR(VLOOKUP(G5525,WholesaleExtract!B:O,8,FALSE),"")</f>
        <v/>
      </c>
      <c r="J5525" s="26" t="str">
        <f>IFERROR(VLOOKUP(G5525,WholesaleExtract!B:O,14,FALSE),"")</f>
        <v/>
      </c>
      <c r="K5525" s="26" t="str">
        <f>IFERROR(VLOOKUP(G5525,WholesaleExtract!B:K,10,FALSE),"")</f>
        <v/>
      </c>
      <c r="L5525" s="47" t="str">
        <f>IFERROR(VLOOKUP(G5525,WholesaleExtract!B:L,11,FALSE),"")</f>
        <v/>
      </c>
      <c r="M5525" s="47" t="str">
        <f>IFERROR(VLOOKUP(G5525,WholesaleExtract!B:M,12,FALSE),"")</f>
        <v/>
      </c>
      <c r="R5525" s="19"/>
      <c r="S5525" s="19"/>
    </row>
    <row r="5526" spans="1:19" x14ac:dyDescent="0.35">
      <c r="A5526" s="26" t="s">
        <v>543</v>
      </c>
      <c r="B5526" s="26" t="s">
        <v>543</v>
      </c>
      <c r="C5526" s="26"/>
      <c r="D5526" s="26" t="s">
        <v>543</v>
      </c>
      <c r="E5526" s="26" t="str">
        <f>IFERROR(VLOOKUP(G5526,WholesaleExtract!B:J,9,FALSE),"")</f>
        <v/>
      </c>
      <c r="F5526" s="26" t="str">
        <f>IFERROR(VLOOKUP(G5526,WholesaleExtract!B:J,6,FALSE),"")</f>
        <v/>
      </c>
      <c r="H5526" s="47" t="str">
        <f>IFERROR(VLOOKUP(G5526,WholesaleExtract!B:L,11,FALSE),"")</f>
        <v/>
      </c>
      <c r="I5526" s="26" t="str">
        <f>IFERROR(VLOOKUP(G5526,WholesaleExtract!B:O,8,FALSE),"")</f>
        <v/>
      </c>
      <c r="J5526" s="26" t="str">
        <f>IFERROR(VLOOKUP(G5526,WholesaleExtract!B:O,14,FALSE),"")</f>
        <v/>
      </c>
      <c r="K5526" s="26" t="str">
        <f>IFERROR(VLOOKUP(G5526,WholesaleExtract!B:K,10,FALSE),"")</f>
        <v/>
      </c>
      <c r="L5526" s="47" t="str">
        <f>IFERROR(VLOOKUP(G5526,WholesaleExtract!B:L,11,FALSE),"")</f>
        <v/>
      </c>
      <c r="M5526" s="47" t="str">
        <f>IFERROR(VLOOKUP(G5526,WholesaleExtract!B:M,12,FALSE),"")</f>
        <v/>
      </c>
      <c r="R5526" s="19"/>
      <c r="S5526" s="19"/>
    </row>
    <row r="5527" spans="1:19" x14ac:dyDescent="0.35">
      <c r="A5527" s="26" t="s">
        <v>543</v>
      </c>
      <c r="B5527" s="26" t="s">
        <v>543</v>
      </c>
      <c r="C5527" s="26"/>
      <c r="D5527" s="26" t="s">
        <v>543</v>
      </c>
      <c r="E5527" s="26" t="str">
        <f>IFERROR(VLOOKUP(G5527,WholesaleExtract!B:J,9,FALSE),"")</f>
        <v/>
      </c>
      <c r="F5527" s="26" t="str">
        <f>IFERROR(VLOOKUP(G5527,WholesaleExtract!B:J,6,FALSE),"")</f>
        <v/>
      </c>
      <c r="H5527" s="47" t="str">
        <f>IFERROR(VLOOKUP(G5527,WholesaleExtract!B:L,11,FALSE),"")</f>
        <v/>
      </c>
      <c r="I5527" s="26" t="str">
        <f>IFERROR(VLOOKUP(G5527,WholesaleExtract!B:O,8,FALSE),"")</f>
        <v/>
      </c>
      <c r="J5527" s="26" t="str">
        <f>IFERROR(VLOOKUP(G5527,WholesaleExtract!B:O,14,FALSE),"")</f>
        <v/>
      </c>
      <c r="K5527" s="26" t="str">
        <f>IFERROR(VLOOKUP(G5527,WholesaleExtract!B:K,10,FALSE),"")</f>
        <v/>
      </c>
      <c r="L5527" s="47" t="str">
        <f>IFERROR(VLOOKUP(G5527,WholesaleExtract!B:L,11,FALSE),"")</f>
        <v/>
      </c>
      <c r="M5527" s="47" t="str">
        <f>IFERROR(VLOOKUP(G5527,WholesaleExtract!B:M,12,FALSE),"")</f>
        <v/>
      </c>
      <c r="R5527" s="19"/>
      <c r="S5527" s="19"/>
    </row>
    <row r="5528" spans="1:19" x14ac:dyDescent="0.35">
      <c r="A5528" s="26" t="s">
        <v>543</v>
      </c>
      <c r="B5528" s="26" t="s">
        <v>543</v>
      </c>
      <c r="C5528" s="26"/>
      <c r="D5528" s="26" t="s">
        <v>543</v>
      </c>
      <c r="E5528" s="26" t="str">
        <f>IFERROR(VLOOKUP(G5528,WholesaleExtract!B:J,9,FALSE),"")</f>
        <v/>
      </c>
      <c r="F5528" s="26" t="str">
        <f>IFERROR(VLOOKUP(G5528,WholesaleExtract!B:J,6,FALSE),"")</f>
        <v/>
      </c>
      <c r="H5528" s="47" t="str">
        <f>IFERROR(VLOOKUP(G5528,WholesaleExtract!B:L,11,FALSE),"")</f>
        <v/>
      </c>
      <c r="I5528" s="26" t="str">
        <f>IFERROR(VLOOKUP(G5528,WholesaleExtract!B:O,8,FALSE),"")</f>
        <v/>
      </c>
      <c r="J5528" s="26" t="str">
        <f>IFERROR(VLOOKUP(G5528,WholesaleExtract!B:O,14,FALSE),"")</f>
        <v/>
      </c>
      <c r="K5528" s="26" t="str">
        <f>IFERROR(VLOOKUP(G5528,WholesaleExtract!B:K,10,FALSE),"")</f>
        <v/>
      </c>
      <c r="L5528" s="47" t="str">
        <f>IFERROR(VLOOKUP(G5528,WholesaleExtract!B:L,11,FALSE),"")</f>
        <v/>
      </c>
      <c r="M5528" s="47" t="str">
        <f>IFERROR(VLOOKUP(G5528,WholesaleExtract!B:M,12,FALSE),"")</f>
        <v/>
      </c>
      <c r="R5528" s="19"/>
      <c r="S5528" s="19"/>
    </row>
    <row r="5529" spans="1:19" x14ac:dyDescent="0.35">
      <c r="A5529" s="26" t="s">
        <v>543</v>
      </c>
      <c r="B5529" s="26" t="s">
        <v>543</v>
      </c>
      <c r="C5529" s="26"/>
      <c r="D5529" s="26" t="s">
        <v>543</v>
      </c>
      <c r="E5529" s="26" t="str">
        <f>IFERROR(VLOOKUP(G5529,WholesaleExtract!B:J,9,FALSE),"")</f>
        <v/>
      </c>
      <c r="F5529" s="26" t="str">
        <f>IFERROR(VLOOKUP(G5529,WholesaleExtract!B:J,6,FALSE),"")</f>
        <v/>
      </c>
      <c r="H5529" s="47" t="str">
        <f>IFERROR(VLOOKUP(G5529,WholesaleExtract!B:L,11,FALSE),"")</f>
        <v/>
      </c>
      <c r="I5529" s="26" t="str">
        <f>IFERROR(VLOOKUP(G5529,WholesaleExtract!B:O,8,FALSE),"")</f>
        <v/>
      </c>
      <c r="J5529" s="26" t="str">
        <f>IFERROR(VLOOKUP(G5529,WholesaleExtract!B:O,14,FALSE),"")</f>
        <v/>
      </c>
      <c r="K5529" s="26" t="str">
        <f>IFERROR(VLOOKUP(G5529,WholesaleExtract!B:K,10,FALSE),"")</f>
        <v/>
      </c>
      <c r="L5529" s="47" t="str">
        <f>IFERROR(VLOOKUP(G5529,WholesaleExtract!B:L,11,FALSE),"")</f>
        <v/>
      </c>
      <c r="M5529" s="47" t="str">
        <f>IFERROR(VLOOKUP(G5529,WholesaleExtract!B:M,12,FALSE),"")</f>
        <v/>
      </c>
      <c r="R5529" s="19"/>
      <c r="S5529" s="19"/>
    </row>
    <row r="5530" spans="1:19" x14ac:dyDescent="0.35">
      <c r="A5530" s="26" t="s">
        <v>543</v>
      </c>
      <c r="B5530" s="26" t="s">
        <v>543</v>
      </c>
      <c r="C5530" s="26"/>
      <c r="D5530" s="26" t="s">
        <v>543</v>
      </c>
      <c r="E5530" s="26" t="str">
        <f>IFERROR(VLOOKUP(G5530,WholesaleExtract!B:J,9,FALSE),"")</f>
        <v/>
      </c>
      <c r="F5530" s="26" t="str">
        <f>IFERROR(VLOOKUP(G5530,WholesaleExtract!B:J,6,FALSE),"")</f>
        <v/>
      </c>
      <c r="H5530" s="47" t="str">
        <f>IFERROR(VLOOKUP(G5530,WholesaleExtract!B:L,11,FALSE),"")</f>
        <v/>
      </c>
      <c r="I5530" s="26" t="str">
        <f>IFERROR(VLOOKUP(G5530,WholesaleExtract!B:O,8,FALSE),"")</f>
        <v/>
      </c>
      <c r="J5530" s="26" t="str">
        <f>IFERROR(VLOOKUP(G5530,WholesaleExtract!B:O,14,FALSE),"")</f>
        <v/>
      </c>
      <c r="K5530" s="26" t="str">
        <f>IFERROR(VLOOKUP(G5530,WholesaleExtract!B:K,10,FALSE),"")</f>
        <v/>
      </c>
      <c r="L5530" s="47" t="str">
        <f>IFERROR(VLOOKUP(G5530,WholesaleExtract!B:L,11,FALSE),"")</f>
        <v/>
      </c>
      <c r="M5530" s="47" t="str">
        <f>IFERROR(VLOOKUP(G5530,WholesaleExtract!B:M,12,FALSE),"")</f>
        <v/>
      </c>
      <c r="R5530" s="19"/>
      <c r="S5530" s="19"/>
    </row>
    <row r="5531" spans="1:19" x14ac:dyDescent="0.35">
      <c r="A5531" s="26" t="s">
        <v>543</v>
      </c>
      <c r="B5531" s="26" t="s">
        <v>543</v>
      </c>
      <c r="C5531" s="26"/>
      <c r="D5531" s="26" t="s">
        <v>543</v>
      </c>
      <c r="E5531" s="26" t="str">
        <f>IFERROR(VLOOKUP(G5531,WholesaleExtract!B:J,9,FALSE),"")</f>
        <v/>
      </c>
      <c r="F5531" s="26" t="str">
        <f>IFERROR(VLOOKUP(G5531,WholesaleExtract!B:J,6,FALSE),"")</f>
        <v/>
      </c>
      <c r="H5531" s="47" t="str">
        <f>IFERROR(VLOOKUP(G5531,WholesaleExtract!B:L,11,FALSE),"")</f>
        <v/>
      </c>
      <c r="I5531" s="26" t="str">
        <f>IFERROR(VLOOKUP(G5531,WholesaleExtract!B:O,8,FALSE),"")</f>
        <v/>
      </c>
      <c r="J5531" s="26" t="str">
        <f>IFERROR(VLOOKUP(G5531,WholesaleExtract!B:O,14,FALSE),"")</f>
        <v/>
      </c>
      <c r="K5531" s="26" t="str">
        <f>IFERROR(VLOOKUP(G5531,WholesaleExtract!B:K,10,FALSE),"")</f>
        <v/>
      </c>
      <c r="L5531" s="47" t="str">
        <f>IFERROR(VLOOKUP(G5531,WholesaleExtract!B:L,11,FALSE),"")</f>
        <v/>
      </c>
      <c r="M5531" s="47" t="str">
        <f>IFERROR(VLOOKUP(G5531,WholesaleExtract!B:M,12,FALSE),"")</f>
        <v/>
      </c>
      <c r="R5531" s="19"/>
      <c r="S5531" s="19"/>
    </row>
    <row r="5532" spans="1:19" x14ac:dyDescent="0.35">
      <c r="A5532" s="26" t="s">
        <v>543</v>
      </c>
      <c r="B5532" s="26" t="s">
        <v>543</v>
      </c>
      <c r="C5532" s="26"/>
      <c r="D5532" s="26" t="s">
        <v>543</v>
      </c>
      <c r="E5532" s="26" t="str">
        <f>IFERROR(VLOOKUP(G5532,WholesaleExtract!B:J,9,FALSE),"")</f>
        <v/>
      </c>
      <c r="F5532" s="26" t="str">
        <f>IFERROR(VLOOKUP(G5532,WholesaleExtract!B:J,6,FALSE),"")</f>
        <v/>
      </c>
      <c r="H5532" s="47" t="str">
        <f>IFERROR(VLOOKUP(G5532,WholesaleExtract!B:L,11,FALSE),"")</f>
        <v/>
      </c>
      <c r="I5532" s="26" t="str">
        <f>IFERROR(VLOOKUP(G5532,WholesaleExtract!B:O,8,FALSE),"")</f>
        <v/>
      </c>
      <c r="J5532" s="26" t="str">
        <f>IFERROR(VLOOKUP(G5532,WholesaleExtract!B:O,14,FALSE),"")</f>
        <v/>
      </c>
      <c r="K5532" s="26" t="str">
        <f>IFERROR(VLOOKUP(G5532,WholesaleExtract!B:K,10,FALSE),"")</f>
        <v/>
      </c>
      <c r="L5532" s="47" t="str">
        <f>IFERROR(VLOOKUP(G5532,WholesaleExtract!B:L,11,FALSE),"")</f>
        <v/>
      </c>
      <c r="M5532" s="47" t="str">
        <f>IFERROR(VLOOKUP(G5532,WholesaleExtract!B:M,12,FALSE),"")</f>
        <v/>
      </c>
      <c r="R5532" s="19"/>
      <c r="S5532" s="19"/>
    </row>
    <row r="5533" spans="1:19" x14ac:dyDescent="0.35">
      <c r="A5533" s="26" t="s">
        <v>543</v>
      </c>
      <c r="B5533" s="26" t="s">
        <v>543</v>
      </c>
      <c r="C5533" s="26"/>
      <c r="D5533" s="26" t="s">
        <v>543</v>
      </c>
      <c r="E5533" s="26" t="str">
        <f>IFERROR(VLOOKUP(G5533,WholesaleExtract!B:J,9,FALSE),"")</f>
        <v/>
      </c>
      <c r="F5533" s="26" t="str">
        <f>IFERROR(VLOOKUP(G5533,WholesaleExtract!B:J,6,FALSE),"")</f>
        <v/>
      </c>
      <c r="H5533" s="47" t="str">
        <f>IFERROR(VLOOKUP(G5533,WholesaleExtract!B:L,11,FALSE),"")</f>
        <v/>
      </c>
      <c r="I5533" s="26" t="str">
        <f>IFERROR(VLOOKUP(G5533,WholesaleExtract!B:O,8,FALSE),"")</f>
        <v/>
      </c>
      <c r="J5533" s="26" t="str">
        <f>IFERROR(VLOOKUP(G5533,WholesaleExtract!B:O,14,FALSE),"")</f>
        <v/>
      </c>
      <c r="K5533" s="26" t="str">
        <f>IFERROR(VLOOKUP(G5533,WholesaleExtract!B:K,10,FALSE),"")</f>
        <v/>
      </c>
      <c r="L5533" s="47" t="str">
        <f>IFERROR(VLOOKUP(G5533,WholesaleExtract!B:L,11,FALSE),"")</f>
        <v/>
      </c>
      <c r="M5533" s="47" t="str">
        <f>IFERROR(VLOOKUP(G5533,WholesaleExtract!B:M,12,FALSE),"")</f>
        <v/>
      </c>
      <c r="R5533" s="19"/>
      <c r="S5533" s="19"/>
    </row>
    <row r="5534" spans="1:19" x14ac:dyDescent="0.35">
      <c r="A5534" s="26" t="s">
        <v>543</v>
      </c>
      <c r="B5534" s="26" t="s">
        <v>543</v>
      </c>
      <c r="C5534" s="26"/>
      <c r="D5534" s="26" t="s">
        <v>543</v>
      </c>
      <c r="E5534" s="26" t="str">
        <f>IFERROR(VLOOKUP(G5534,WholesaleExtract!B:J,9,FALSE),"")</f>
        <v/>
      </c>
      <c r="F5534" s="26" t="str">
        <f>IFERROR(VLOOKUP(G5534,WholesaleExtract!B:J,6,FALSE),"")</f>
        <v/>
      </c>
      <c r="H5534" s="47" t="str">
        <f>IFERROR(VLOOKUP(G5534,WholesaleExtract!B:L,11,FALSE),"")</f>
        <v/>
      </c>
      <c r="I5534" s="26" t="str">
        <f>IFERROR(VLOOKUP(G5534,WholesaleExtract!B:O,8,FALSE),"")</f>
        <v/>
      </c>
      <c r="J5534" s="26" t="str">
        <f>IFERROR(VLOOKUP(G5534,WholesaleExtract!B:O,14,FALSE),"")</f>
        <v/>
      </c>
      <c r="K5534" s="26" t="str">
        <f>IFERROR(VLOOKUP(G5534,WholesaleExtract!B:K,10,FALSE),"")</f>
        <v/>
      </c>
      <c r="L5534" s="47" t="str">
        <f>IFERROR(VLOOKUP(G5534,WholesaleExtract!B:L,11,FALSE),"")</f>
        <v/>
      </c>
      <c r="M5534" s="47" t="str">
        <f>IFERROR(VLOOKUP(G5534,WholesaleExtract!B:M,12,FALSE),"")</f>
        <v/>
      </c>
      <c r="R5534" s="19"/>
      <c r="S5534" s="19"/>
    </row>
    <row r="5535" spans="1:19" x14ac:dyDescent="0.35">
      <c r="A5535" s="26" t="s">
        <v>543</v>
      </c>
      <c r="B5535" s="26" t="s">
        <v>543</v>
      </c>
      <c r="C5535" s="26"/>
      <c r="D5535" s="26" t="s">
        <v>543</v>
      </c>
      <c r="E5535" s="26" t="str">
        <f>IFERROR(VLOOKUP(G5535,WholesaleExtract!B:J,9,FALSE),"")</f>
        <v/>
      </c>
      <c r="F5535" s="26" t="str">
        <f>IFERROR(VLOOKUP(G5535,WholesaleExtract!B:J,6,FALSE),"")</f>
        <v/>
      </c>
      <c r="H5535" s="47" t="str">
        <f>IFERROR(VLOOKUP(G5535,WholesaleExtract!B:L,11,FALSE),"")</f>
        <v/>
      </c>
      <c r="I5535" s="26" t="str">
        <f>IFERROR(VLOOKUP(G5535,WholesaleExtract!B:O,8,FALSE),"")</f>
        <v/>
      </c>
      <c r="J5535" s="26" t="str">
        <f>IFERROR(VLOOKUP(G5535,WholesaleExtract!B:O,14,FALSE),"")</f>
        <v/>
      </c>
      <c r="K5535" s="26" t="str">
        <f>IFERROR(VLOOKUP(G5535,WholesaleExtract!B:K,10,FALSE),"")</f>
        <v/>
      </c>
      <c r="L5535" s="47" t="str">
        <f>IFERROR(VLOOKUP(G5535,WholesaleExtract!B:L,11,FALSE),"")</f>
        <v/>
      </c>
      <c r="M5535" s="47" t="str">
        <f>IFERROR(VLOOKUP(G5535,WholesaleExtract!B:M,12,FALSE),"")</f>
        <v/>
      </c>
      <c r="R5535" s="19"/>
      <c r="S5535" s="19"/>
    </row>
    <row r="5536" spans="1:19" x14ac:dyDescent="0.35">
      <c r="A5536" s="26" t="s">
        <v>543</v>
      </c>
      <c r="B5536" s="26" t="s">
        <v>543</v>
      </c>
      <c r="C5536" s="26"/>
      <c r="D5536" s="26" t="s">
        <v>543</v>
      </c>
      <c r="E5536" s="26" t="str">
        <f>IFERROR(VLOOKUP(G5536,WholesaleExtract!B:J,9,FALSE),"")</f>
        <v/>
      </c>
      <c r="F5536" s="26" t="str">
        <f>IFERROR(VLOOKUP(G5536,WholesaleExtract!B:J,6,FALSE),"")</f>
        <v/>
      </c>
      <c r="H5536" s="47" t="str">
        <f>IFERROR(VLOOKUP(G5536,WholesaleExtract!B:L,11,FALSE),"")</f>
        <v/>
      </c>
      <c r="I5536" s="26" t="str">
        <f>IFERROR(VLOOKUP(G5536,WholesaleExtract!B:O,8,FALSE),"")</f>
        <v/>
      </c>
      <c r="J5536" s="26" t="str">
        <f>IFERROR(VLOOKUP(G5536,WholesaleExtract!B:O,14,FALSE),"")</f>
        <v/>
      </c>
      <c r="K5536" s="26" t="str">
        <f>IFERROR(VLOOKUP(G5536,WholesaleExtract!B:K,10,FALSE),"")</f>
        <v/>
      </c>
      <c r="L5536" s="47" t="str">
        <f>IFERROR(VLOOKUP(G5536,WholesaleExtract!B:L,11,FALSE),"")</f>
        <v/>
      </c>
      <c r="M5536" s="47" t="str">
        <f>IFERROR(VLOOKUP(G5536,WholesaleExtract!B:M,12,FALSE),"")</f>
        <v/>
      </c>
      <c r="R5536" s="19"/>
      <c r="S5536" s="19"/>
    </row>
    <row r="5537" spans="1:19" x14ac:dyDescent="0.35">
      <c r="A5537" s="26" t="s">
        <v>543</v>
      </c>
      <c r="B5537" s="26" t="s">
        <v>543</v>
      </c>
      <c r="C5537" s="26"/>
      <c r="D5537" s="26" t="s">
        <v>543</v>
      </c>
      <c r="E5537" s="26" t="str">
        <f>IFERROR(VLOOKUP(G5537,WholesaleExtract!B:J,9,FALSE),"")</f>
        <v/>
      </c>
      <c r="F5537" s="26" t="str">
        <f>IFERROR(VLOOKUP(G5537,WholesaleExtract!B:J,6,FALSE),"")</f>
        <v/>
      </c>
      <c r="H5537" s="47" t="str">
        <f>IFERROR(VLOOKUP(G5537,WholesaleExtract!B:L,11,FALSE),"")</f>
        <v/>
      </c>
      <c r="I5537" s="26" t="str">
        <f>IFERROR(VLOOKUP(G5537,WholesaleExtract!B:O,8,FALSE),"")</f>
        <v/>
      </c>
      <c r="J5537" s="26" t="str">
        <f>IFERROR(VLOOKUP(G5537,WholesaleExtract!B:O,14,FALSE),"")</f>
        <v/>
      </c>
      <c r="K5537" s="26" t="str">
        <f>IFERROR(VLOOKUP(G5537,WholesaleExtract!B:K,10,FALSE),"")</f>
        <v/>
      </c>
      <c r="L5537" s="47" t="str">
        <f>IFERROR(VLOOKUP(G5537,WholesaleExtract!B:L,11,FALSE),"")</f>
        <v/>
      </c>
      <c r="M5537" s="47" t="str">
        <f>IFERROR(VLOOKUP(G5537,WholesaleExtract!B:M,12,FALSE),"")</f>
        <v/>
      </c>
      <c r="R5537" s="19"/>
      <c r="S5537" s="19"/>
    </row>
    <row r="5538" spans="1:19" x14ac:dyDescent="0.35">
      <c r="A5538" s="26" t="s">
        <v>543</v>
      </c>
      <c r="B5538" s="26" t="s">
        <v>543</v>
      </c>
      <c r="C5538" s="26"/>
      <c r="D5538" s="26" t="s">
        <v>543</v>
      </c>
      <c r="E5538" s="26" t="str">
        <f>IFERROR(VLOOKUP(G5538,WholesaleExtract!B:J,9,FALSE),"")</f>
        <v/>
      </c>
      <c r="F5538" s="26" t="str">
        <f>IFERROR(VLOOKUP(G5538,WholesaleExtract!B:J,6,FALSE),"")</f>
        <v/>
      </c>
      <c r="H5538" s="47" t="str">
        <f>IFERROR(VLOOKUP(G5538,WholesaleExtract!B:L,11,FALSE),"")</f>
        <v/>
      </c>
      <c r="I5538" s="26" t="str">
        <f>IFERROR(VLOOKUP(G5538,WholesaleExtract!B:O,8,FALSE),"")</f>
        <v/>
      </c>
      <c r="J5538" s="26" t="str">
        <f>IFERROR(VLOOKUP(G5538,WholesaleExtract!B:O,14,FALSE),"")</f>
        <v/>
      </c>
      <c r="K5538" s="26" t="str">
        <f>IFERROR(VLOOKUP(G5538,WholesaleExtract!B:K,10,FALSE),"")</f>
        <v/>
      </c>
      <c r="L5538" s="47" t="str">
        <f>IFERROR(VLOOKUP(G5538,WholesaleExtract!B:L,11,FALSE),"")</f>
        <v/>
      </c>
      <c r="M5538" s="47" t="str">
        <f>IFERROR(VLOOKUP(G5538,WholesaleExtract!B:M,12,FALSE),"")</f>
        <v/>
      </c>
      <c r="R5538" s="19"/>
      <c r="S5538" s="19"/>
    </row>
    <row r="5539" spans="1:19" x14ac:dyDescent="0.35">
      <c r="A5539" s="26" t="s">
        <v>543</v>
      </c>
      <c r="B5539" s="26" t="s">
        <v>543</v>
      </c>
      <c r="C5539" s="26"/>
      <c r="D5539" s="26" t="s">
        <v>543</v>
      </c>
      <c r="E5539" s="26" t="str">
        <f>IFERROR(VLOOKUP(G5539,WholesaleExtract!B:J,9,FALSE),"")</f>
        <v/>
      </c>
      <c r="F5539" s="26" t="str">
        <f>IFERROR(VLOOKUP(G5539,WholesaleExtract!B:J,6,FALSE),"")</f>
        <v/>
      </c>
      <c r="H5539" s="47" t="str">
        <f>IFERROR(VLOOKUP(G5539,WholesaleExtract!B:L,11,FALSE),"")</f>
        <v/>
      </c>
      <c r="I5539" s="26" t="str">
        <f>IFERROR(VLOOKUP(G5539,WholesaleExtract!B:O,8,FALSE),"")</f>
        <v/>
      </c>
      <c r="J5539" s="26" t="str">
        <f>IFERROR(VLOOKUP(G5539,WholesaleExtract!B:O,14,FALSE),"")</f>
        <v/>
      </c>
      <c r="K5539" s="26" t="str">
        <f>IFERROR(VLOOKUP(G5539,WholesaleExtract!B:K,10,FALSE),"")</f>
        <v/>
      </c>
      <c r="L5539" s="47" t="str">
        <f>IFERROR(VLOOKUP(G5539,WholesaleExtract!B:L,11,FALSE),"")</f>
        <v/>
      </c>
      <c r="M5539" s="47" t="str">
        <f>IFERROR(VLOOKUP(G5539,WholesaleExtract!B:M,12,FALSE),"")</f>
        <v/>
      </c>
      <c r="R5539" s="19"/>
      <c r="S5539" s="19"/>
    </row>
    <row r="5540" spans="1:19" x14ac:dyDescent="0.35">
      <c r="A5540" s="26" t="s">
        <v>543</v>
      </c>
      <c r="B5540" s="26" t="s">
        <v>543</v>
      </c>
      <c r="C5540" s="26"/>
      <c r="D5540" s="26" t="s">
        <v>543</v>
      </c>
      <c r="E5540" s="26" t="str">
        <f>IFERROR(VLOOKUP(G5540,WholesaleExtract!B:J,9,FALSE),"")</f>
        <v/>
      </c>
      <c r="F5540" s="26" t="str">
        <f>IFERROR(VLOOKUP(G5540,WholesaleExtract!B:J,6,FALSE),"")</f>
        <v/>
      </c>
      <c r="H5540" s="47" t="str">
        <f>IFERROR(VLOOKUP(G5540,WholesaleExtract!B:L,11,FALSE),"")</f>
        <v/>
      </c>
      <c r="I5540" s="26" t="str">
        <f>IFERROR(VLOOKUP(G5540,WholesaleExtract!B:O,8,FALSE),"")</f>
        <v/>
      </c>
      <c r="J5540" s="26" t="str">
        <f>IFERROR(VLOOKUP(G5540,WholesaleExtract!B:O,14,FALSE),"")</f>
        <v/>
      </c>
      <c r="K5540" s="26" t="str">
        <f>IFERROR(VLOOKUP(G5540,WholesaleExtract!B:K,10,FALSE),"")</f>
        <v/>
      </c>
      <c r="L5540" s="47" t="str">
        <f>IFERROR(VLOOKUP(G5540,WholesaleExtract!B:L,11,FALSE),"")</f>
        <v/>
      </c>
      <c r="M5540" s="47" t="str">
        <f>IFERROR(VLOOKUP(G5540,WholesaleExtract!B:M,12,FALSE),"")</f>
        <v/>
      </c>
      <c r="R5540" s="19"/>
      <c r="S5540" s="19"/>
    </row>
    <row r="5541" spans="1:19" x14ac:dyDescent="0.35">
      <c r="A5541" s="26" t="s">
        <v>543</v>
      </c>
      <c r="B5541" s="26" t="s">
        <v>543</v>
      </c>
      <c r="C5541" s="26"/>
      <c r="D5541" s="26" t="s">
        <v>543</v>
      </c>
      <c r="E5541" s="26" t="str">
        <f>IFERROR(VLOOKUP(G5541,WholesaleExtract!B:J,9,FALSE),"")</f>
        <v/>
      </c>
      <c r="F5541" s="26" t="str">
        <f>IFERROR(VLOOKUP(G5541,WholesaleExtract!B:J,6,FALSE),"")</f>
        <v/>
      </c>
      <c r="H5541" s="47" t="str">
        <f>IFERROR(VLOOKUP(G5541,WholesaleExtract!B:L,11,FALSE),"")</f>
        <v/>
      </c>
      <c r="I5541" s="26" t="str">
        <f>IFERROR(VLOOKUP(G5541,WholesaleExtract!B:O,8,FALSE),"")</f>
        <v/>
      </c>
      <c r="J5541" s="26" t="str">
        <f>IFERROR(VLOOKUP(G5541,WholesaleExtract!B:O,14,FALSE),"")</f>
        <v/>
      </c>
      <c r="K5541" s="26" t="str">
        <f>IFERROR(VLOOKUP(G5541,WholesaleExtract!B:K,10,FALSE),"")</f>
        <v/>
      </c>
      <c r="L5541" s="47" t="str">
        <f>IFERROR(VLOOKUP(G5541,WholesaleExtract!B:L,11,FALSE),"")</f>
        <v/>
      </c>
      <c r="M5541" s="47" t="str">
        <f>IFERROR(VLOOKUP(G5541,WholesaleExtract!B:M,12,FALSE),"")</f>
        <v/>
      </c>
      <c r="R5541" s="19"/>
      <c r="S5541" s="19"/>
    </row>
    <row r="5542" spans="1:19" x14ac:dyDescent="0.35">
      <c r="A5542" s="26" t="s">
        <v>543</v>
      </c>
      <c r="B5542" s="26" t="s">
        <v>543</v>
      </c>
      <c r="C5542" s="26"/>
      <c r="D5542" s="26" t="s">
        <v>543</v>
      </c>
      <c r="E5542" s="26" t="str">
        <f>IFERROR(VLOOKUP(G5542,WholesaleExtract!B:J,9,FALSE),"")</f>
        <v/>
      </c>
      <c r="F5542" s="26" t="str">
        <f>IFERROR(VLOOKUP(G5542,WholesaleExtract!B:J,6,FALSE),"")</f>
        <v/>
      </c>
      <c r="H5542" s="47" t="str">
        <f>IFERROR(VLOOKUP(G5542,WholesaleExtract!B:L,11,FALSE),"")</f>
        <v/>
      </c>
      <c r="I5542" s="26" t="str">
        <f>IFERROR(VLOOKUP(G5542,WholesaleExtract!B:O,8,FALSE),"")</f>
        <v/>
      </c>
      <c r="J5542" s="26" t="str">
        <f>IFERROR(VLOOKUP(G5542,WholesaleExtract!B:O,14,FALSE),"")</f>
        <v/>
      </c>
      <c r="K5542" s="26" t="str">
        <f>IFERROR(VLOOKUP(G5542,WholesaleExtract!B:K,10,FALSE),"")</f>
        <v/>
      </c>
      <c r="L5542" s="47" t="str">
        <f>IFERROR(VLOOKUP(G5542,WholesaleExtract!B:L,11,FALSE),"")</f>
        <v/>
      </c>
      <c r="M5542" s="47" t="str">
        <f>IFERROR(VLOOKUP(G5542,WholesaleExtract!B:M,12,FALSE),"")</f>
        <v/>
      </c>
      <c r="R5542" s="19"/>
      <c r="S5542" s="19"/>
    </row>
    <row r="5543" spans="1:19" x14ac:dyDescent="0.35">
      <c r="A5543" s="26" t="s">
        <v>543</v>
      </c>
      <c r="B5543" s="26" t="s">
        <v>543</v>
      </c>
      <c r="C5543" s="26"/>
      <c r="D5543" s="26" t="s">
        <v>543</v>
      </c>
      <c r="E5543" s="26" t="str">
        <f>IFERROR(VLOOKUP(G5543,WholesaleExtract!B:J,9,FALSE),"")</f>
        <v/>
      </c>
      <c r="F5543" s="26" t="str">
        <f>IFERROR(VLOOKUP(G5543,WholesaleExtract!B:J,6,FALSE),"")</f>
        <v/>
      </c>
      <c r="H5543" s="47" t="str">
        <f>IFERROR(VLOOKUP(G5543,WholesaleExtract!B:L,11,FALSE),"")</f>
        <v/>
      </c>
      <c r="I5543" s="26" t="str">
        <f>IFERROR(VLOOKUP(G5543,WholesaleExtract!B:O,8,FALSE),"")</f>
        <v/>
      </c>
      <c r="J5543" s="26" t="str">
        <f>IFERROR(VLOOKUP(G5543,WholesaleExtract!B:O,14,FALSE),"")</f>
        <v/>
      </c>
      <c r="K5543" s="26" t="str">
        <f>IFERROR(VLOOKUP(G5543,WholesaleExtract!B:K,10,FALSE),"")</f>
        <v/>
      </c>
      <c r="L5543" s="47" t="str">
        <f>IFERROR(VLOOKUP(G5543,WholesaleExtract!B:L,11,FALSE),"")</f>
        <v/>
      </c>
      <c r="M5543" s="47" t="str">
        <f>IFERROR(VLOOKUP(G5543,WholesaleExtract!B:M,12,FALSE),"")</f>
        <v/>
      </c>
      <c r="R5543" s="19"/>
      <c r="S5543" s="19"/>
    </row>
    <row r="5544" spans="1:19" x14ac:dyDescent="0.35">
      <c r="A5544" s="26" t="s">
        <v>543</v>
      </c>
      <c r="B5544" s="26" t="s">
        <v>543</v>
      </c>
      <c r="C5544" s="26"/>
      <c r="D5544" s="26" t="s">
        <v>543</v>
      </c>
      <c r="E5544" s="26" t="str">
        <f>IFERROR(VLOOKUP(G5544,WholesaleExtract!B:J,9,FALSE),"")</f>
        <v/>
      </c>
      <c r="F5544" s="26" t="str">
        <f>IFERROR(VLOOKUP(G5544,WholesaleExtract!B:J,6,FALSE),"")</f>
        <v/>
      </c>
      <c r="H5544" s="47" t="str">
        <f>IFERROR(VLOOKUP(G5544,WholesaleExtract!B:L,11,FALSE),"")</f>
        <v/>
      </c>
      <c r="I5544" s="26" t="str">
        <f>IFERROR(VLOOKUP(G5544,WholesaleExtract!B:O,8,FALSE),"")</f>
        <v/>
      </c>
      <c r="J5544" s="26" t="str">
        <f>IFERROR(VLOOKUP(G5544,WholesaleExtract!B:O,14,FALSE),"")</f>
        <v/>
      </c>
      <c r="K5544" s="26" t="str">
        <f>IFERROR(VLOOKUP(G5544,WholesaleExtract!B:K,10,FALSE),"")</f>
        <v/>
      </c>
      <c r="L5544" s="47" t="str">
        <f>IFERROR(VLOOKUP(G5544,WholesaleExtract!B:L,11,FALSE),"")</f>
        <v/>
      </c>
      <c r="M5544" s="47" t="str">
        <f>IFERROR(VLOOKUP(G5544,WholesaleExtract!B:M,12,FALSE),"")</f>
        <v/>
      </c>
      <c r="R5544" s="19"/>
      <c r="S5544" s="19"/>
    </row>
    <row r="5545" spans="1:19" x14ac:dyDescent="0.35">
      <c r="A5545" s="26" t="s">
        <v>543</v>
      </c>
      <c r="B5545" s="26" t="s">
        <v>543</v>
      </c>
      <c r="C5545" s="26"/>
      <c r="D5545" s="26" t="s">
        <v>543</v>
      </c>
      <c r="E5545" s="26" t="str">
        <f>IFERROR(VLOOKUP(G5545,WholesaleExtract!B:J,9,FALSE),"")</f>
        <v/>
      </c>
      <c r="F5545" s="26" t="str">
        <f>IFERROR(VLOOKUP(G5545,WholesaleExtract!B:J,6,FALSE),"")</f>
        <v/>
      </c>
      <c r="H5545" s="47" t="str">
        <f>IFERROR(VLOOKUP(G5545,WholesaleExtract!B:L,11,FALSE),"")</f>
        <v/>
      </c>
      <c r="I5545" s="26" t="str">
        <f>IFERROR(VLOOKUP(G5545,WholesaleExtract!B:O,8,FALSE),"")</f>
        <v/>
      </c>
      <c r="J5545" s="26" t="str">
        <f>IFERROR(VLOOKUP(G5545,WholesaleExtract!B:O,14,FALSE),"")</f>
        <v/>
      </c>
      <c r="K5545" s="26" t="str">
        <f>IFERROR(VLOOKUP(G5545,WholesaleExtract!B:K,10,FALSE),"")</f>
        <v/>
      </c>
      <c r="L5545" s="47" t="str">
        <f>IFERROR(VLOOKUP(G5545,WholesaleExtract!B:L,11,FALSE),"")</f>
        <v/>
      </c>
      <c r="M5545" s="47" t="str">
        <f>IFERROR(VLOOKUP(G5545,WholesaleExtract!B:M,12,FALSE),"")</f>
        <v/>
      </c>
      <c r="R5545" s="19"/>
      <c r="S5545" s="19"/>
    </row>
    <row r="5546" spans="1:19" x14ac:dyDescent="0.35">
      <c r="A5546" s="26" t="s">
        <v>543</v>
      </c>
      <c r="B5546" s="26" t="s">
        <v>543</v>
      </c>
      <c r="C5546" s="26"/>
      <c r="D5546" s="26" t="s">
        <v>543</v>
      </c>
      <c r="E5546" s="26" t="str">
        <f>IFERROR(VLOOKUP(G5546,WholesaleExtract!B:J,9,FALSE),"")</f>
        <v/>
      </c>
      <c r="F5546" s="26" t="str">
        <f>IFERROR(VLOOKUP(G5546,WholesaleExtract!B:J,6,FALSE),"")</f>
        <v/>
      </c>
      <c r="H5546" s="47" t="str">
        <f>IFERROR(VLOOKUP(G5546,WholesaleExtract!B:L,11,FALSE),"")</f>
        <v/>
      </c>
      <c r="I5546" s="26" t="str">
        <f>IFERROR(VLOOKUP(G5546,WholesaleExtract!B:O,8,FALSE),"")</f>
        <v/>
      </c>
      <c r="J5546" s="26" t="str">
        <f>IFERROR(VLOOKUP(G5546,WholesaleExtract!B:O,14,FALSE),"")</f>
        <v/>
      </c>
      <c r="K5546" s="26" t="str">
        <f>IFERROR(VLOOKUP(G5546,WholesaleExtract!B:K,10,FALSE),"")</f>
        <v/>
      </c>
      <c r="L5546" s="47" t="str">
        <f>IFERROR(VLOOKUP(G5546,WholesaleExtract!B:L,11,FALSE),"")</f>
        <v/>
      </c>
      <c r="M5546" s="47" t="str">
        <f>IFERROR(VLOOKUP(G5546,WholesaleExtract!B:M,12,FALSE),"")</f>
        <v/>
      </c>
      <c r="R5546" s="19"/>
      <c r="S5546" s="19"/>
    </row>
    <row r="5547" spans="1:19" x14ac:dyDescent="0.35">
      <c r="A5547" s="26" t="s">
        <v>543</v>
      </c>
      <c r="B5547" s="26" t="s">
        <v>543</v>
      </c>
      <c r="C5547" s="26"/>
      <c r="D5547" s="26" t="s">
        <v>543</v>
      </c>
      <c r="E5547" s="26" t="str">
        <f>IFERROR(VLOOKUP(G5547,WholesaleExtract!B:J,9,FALSE),"")</f>
        <v/>
      </c>
      <c r="F5547" s="26" t="str">
        <f>IFERROR(VLOOKUP(G5547,WholesaleExtract!B:J,6,FALSE),"")</f>
        <v/>
      </c>
      <c r="H5547" s="47" t="str">
        <f>IFERROR(VLOOKUP(G5547,WholesaleExtract!B:L,11,FALSE),"")</f>
        <v/>
      </c>
      <c r="I5547" s="26" t="str">
        <f>IFERROR(VLOOKUP(G5547,WholesaleExtract!B:O,8,FALSE),"")</f>
        <v/>
      </c>
      <c r="J5547" s="26" t="str">
        <f>IFERROR(VLOOKUP(G5547,WholesaleExtract!B:O,14,FALSE),"")</f>
        <v/>
      </c>
      <c r="K5547" s="26" t="str">
        <f>IFERROR(VLOOKUP(G5547,WholesaleExtract!B:K,10,FALSE),"")</f>
        <v/>
      </c>
      <c r="L5547" s="47" t="str">
        <f>IFERROR(VLOOKUP(G5547,WholesaleExtract!B:L,11,FALSE),"")</f>
        <v/>
      </c>
      <c r="M5547" s="47" t="str">
        <f>IFERROR(VLOOKUP(G5547,WholesaleExtract!B:M,12,FALSE),"")</f>
        <v/>
      </c>
      <c r="R5547" s="19"/>
      <c r="S5547" s="19"/>
    </row>
    <row r="5548" spans="1:19" x14ac:dyDescent="0.35">
      <c r="A5548" s="26" t="s">
        <v>543</v>
      </c>
      <c r="B5548" s="26" t="s">
        <v>543</v>
      </c>
      <c r="C5548" s="26"/>
      <c r="D5548" s="26" t="s">
        <v>543</v>
      </c>
      <c r="E5548" s="26" t="str">
        <f>IFERROR(VLOOKUP(G5548,WholesaleExtract!B:J,9,FALSE),"")</f>
        <v/>
      </c>
      <c r="F5548" s="26" t="str">
        <f>IFERROR(VLOOKUP(G5548,WholesaleExtract!B:J,6,FALSE),"")</f>
        <v/>
      </c>
      <c r="H5548" s="47" t="str">
        <f>IFERROR(VLOOKUP(G5548,WholesaleExtract!B:L,11,FALSE),"")</f>
        <v/>
      </c>
      <c r="I5548" s="26" t="str">
        <f>IFERROR(VLOOKUP(G5548,WholesaleExtract!B:O,8,FALSE),"")</f>
        <v/>
      </c>
      <c r="J5548" s="26" t="str">
        <f>IFERROR(VLOOKUP(G5548,WholesaleExtract!B:O,14,FALSE),"")</f>
        <v/>
      </c>
      <c r="K5548" s="26" t="str">
        <f>IFERROR(VLOOKUP(G5548,WholesaleExtract!B:K,10,FALSE),"")</f>
        <v/>
      </c>
      <c r="L5548" s="47" t="str">
        <f>IFERROR(VLOOKUP(G5548,WholesaleExtract!B:L,11,FALSE),"")</f>
        <v/>
      </c>
      <c r="M5548" s="47" t="str">
        <f>IFERROR(VLOOKUP(G5548,WholesaleExtract!B:M,12,FALSE),"")</f>
        <v/>
      </c>
      <c r="R5548" s="19"/>
      <c r="S5548" s="19"/>
    </row>
    <row r="5549" spans="1:19" x14ac:dyDescent="0.35">
      <c r="A5549" s="26" t="s">
        <v>543</v>
      </c>
      <c r="B5549" s="26" t="s">
        <v>543</v>
      </c>
      <c r="C5549" s="26"/>
      <c r="D5549" s="26" t="s">
        <v>543</v>
      </c>
      <c r="E5549" s="26" t="str">
        <f>IFERROR(VLOOKUP(G5549,WholesaleExtract!B:J,9,FALSE),"")</f>
        <v/>
      </c>
      <c r="F5549" s="26" t="str">
        <f>IFERROR(VLOOKUP(G5549,WholesaleExtract!B:J,6,FALSE),"")</f>
        <v/>
      </c>
      <c r="H5549" s="47" t="str">
        <f>IFERROR(VLOOKUP(G5549,WholesaleExtract!B:L,11,FALSE),"")</f>
        <v/>
      </c>
      <c r="I5549" s="26" t="str">
        <f>IFERROR(VLOOKUP(G5549,WholesaleExtract!B:O,8,FALSE),"")</f>
        <v/>
      </c>
      <c r="J5549" s="26" t="str">
        <f>IFERROR(VLOOKUP(G5549,WholesaleExtract!B:O,14,FALSE),"")</f>
        <v/>
      </c>
      <c r="K5549" s="26" t="str">
        <f>IFERROR(VLOOKUP(G5549,WholesaleExtract!B:K,10,FALSE),"")</f>
        <v/>
      </c>
      <c r="L5549" s="47" t="str">
        <f>IFERROR(VLOOKUP(G5549,WholesaleExtract!B:L,11,FALSE),"")</f>
        <v/>
      </c>
      <c r="M5549" s="47" t="str">
        <f>IFERROR(VLOOKUP(G5549,WholesaleExtract!B:M,12,FALSE),"")</f>
        <v/>
      </c>
      <c r="R5549" s="19"/>
      <c r="S5549" s="19"/>
    </row>
    <row r="5550" spans="1:19" x14ac:dyDescent="0.35">
      <c r="A5550" s="26" t="s">
        <v>543</v>
      </c>
      <c r="B5550" s="26" t="s">
        <v>543</v>
      </c>
      <c r="C5550" s="26"/>
      <c r="D5550" s="26" t="s">
        <v>543</v>
      </c>
      <c r="E5550" s="26" t="str">
        <f>IFERROR(VLOOKUP(G5550,WholesaleExtract!B:J,9,FALSE),"")</f>
        <v/>
      </c>
      <c r="F5550" s="26" t="str">
        <f>IFERROR(VLOOKUP(G5550,WholesaleExtract!B:J,6,FALSE),"")</f>
        <v/>
      </c>
      <c r="H5550" s="47" t="str">
        <f>IFERROR(VLOOKUP(G5550,WholesaleExtract!B:L,11,FALSE),"")</f>
        <v/>
      </c>
      <c r="I5550" s="26" t="str">
        <f>IFERROR(VLOOKUP(G5550,WholesaleExtract!B:O,8,FALSE),"")</f>
        <v/>
      </c>
      <c r="J5550" s="26" t="str">
        <f>IFERROR(VLOOKUP(G5550,WholesaleExtract!B:O,14,FALSE),"")</f>
        <v/>
      </c>
      <c r="K5550" s="26" t="str">
        <f>IFERROR(VLOOKUP(G5550,WholesaleExtract!B:K,10,FALSE),"")</f>
        <v/>
      </c>
      <c r="L5550" s="47" t="str">
        <f>IFERROR(VLOOKUP(G5550,WholesaleExtract!B:L,11,FALSE),"")</f>
        <v/>
      </c>
      <c r="M5550" s="47" t="str">
        <f>IFERROR(VLOOKUP(G5550,WholesaleExtract!B:M,12,FALSE),"")</f>
        <v/>
      </c>
      <c r="R5550" s="19"/>
      <c r="S5550" s="19"/>
    </row>
    <row r="5551" spans="1:19" x14ac:dyDescent="0.35">
      <c r="A5551" s="26" t="s">
        <v>543</v>
      </c>
      <c r="B5551" s="26" t="s">
        <v>543</v>
      </c>
      <c r="C5551" s="26"/>
      <c r="D5551" s="26" t="s">
        <v>543</v>
      </c>
      <c r="E5551" s="26" t="str">
        <f>IFERROR(VLOOKUP(G5551,WholesaleExtract!B:J,9,FALSE),"")</f>
        <v/>
      </c>
      <c r="F5551" s="26" t="str">
        <f>IFERROR(VLOOKUP(G5551,WholesaleExtract!B:J,6,FALSE),"")</f>
        <v/>
      </c>
      <c r="H5551" s="47" t="str">
        <f>IFERROR(VLOOKUP(G5551,WholesaleExtract!B:L,11,FALSE),"")</f>
        <v/>
      </c>
      <c r="I5551" s="26" t="str">
        <f>IFERROR(VLOOKUP(G5551,WholesaleExtract!B:O,8,FALSE),"")</f>
        <v/>
      </c>
      <c r="J5551" s="26" t="str">
        <f>IFERROR(VLOOKUP(G5551,WholesaleExtract!B:O,14,FALSE),"")</f>
        <v/>
      </c>
      <c r="K5551" s="26" t="str">
        <f>IFERROR(VLOOKUP(G5551,WholesaleExtract!B:K,10,FALSE),"")</f>
        <v/>
      </c>
      <c r="L5551" s="47" t="str">
        <f>IFERROR(VLOOKUP(G5551,WholesaleExtract!B:L,11,FALSE),"")</f>
        <v/>
      </c>
      <c r="M5551" s="47" t="str">
        <f>IFERROR(VLOOKUP(G5551,WholesaleExtract!B:M,12,FALSE),"")</f>
        <v/>
      </c>
      <c r="R5551" s="19"/>
      <c r="S5551" s="19"/>
    </row>
    <row r="5552" spans="1:19" x14ac:dyDescent="0.35">
      <c r="A5552" s="26" t="s">
        <v>543</v>
      </c>
      <c r="B5552" s="26" t="s">
        <v>543</v>
      </c>
      <c r="C5552" s="26"/>
      <c r="D5552" s="26" t="s">
        <v>543</v>
      </c>
      <c r="E5552" s="26" t="str">
        <f>IFERROR(VLOOKUP(G5552,WholesaleExtract!B:J,9,FALSE),"")</f>
        <v/>
      </c>
      <c r="F5552" s="26" t="str">
        <f>IFERROR(VLOOKUP(G5552,WholesaleExtract!B:J,6,FALSE),"")</f>
        <v/>
      </c>
      <c r="H5552" s="47" t="str">
        <f>IFERROR(VLOOKUP(G5552,WholesaleExtract!B:L,11,FALSE),"")</f>
        <v/>
      </c>
      <c r="I5552" s="26" t="str">
        <f>IFERROR(VLOOKUP(G5552,WholesaleExtract!B:O,8,FALSE),"")</f>
        <v/>
      </c>
      <c r="J5552" s="26" t="str">
        <f>IFERROR(VLOOKUP(G5552,WholesaleExtract!B:O,14,FALSE),"")</f>
        <v/>
      </c>
      <c r="K5552" s="26" t="str">
        <f>IFERROR(VLOOKUP(G5552,WholesaleExtract!B:K,10,FALSE),"")</f>
        <v/>
      </c>
      <c r="L5552" s="47" t="str">
        <f>IFERROR(VLOOKUP(G5552,WholesaleExtract!B:L,11,FALSE),"")</f>
        <v/>
      </c>
      <c r="M5552" s="47" t="str">
        <f>IFERROR(VLOOKUP(G5552,WholesaleExtract!B:M,12,FALSE),"")</f>
        <v/>
      </c>
      <c r="R5552" s="19"/>
      <c r="S5552" s="19"/>
    </row>
    <row r="5553" spans="1:19" x14ac:dyDescent="0.35">
      <c r="A5553" s="26" t="s">
        <v>543</v>
      </c>
      <c r="B5553" s="26" t="s">
        <v>543</v>
      </c>
      <c r="C5553" s="26"/>
      <c r="D5553" s="26" t="s">
        <v>543</v>
      </c>
      <c r="E5553" s="26" t="str">
        <f>IFERROR(VLOOKUP(G5553,WholesaleExtract!B:J,9,FALSE),"")</f>
        <v/>
      </c>
      <c r="F5553" s="26" t="str">
        <f>IFERROR(VLOOKUP(G5553,WholesaleExtract!B:J,6,FALSE),"")</f>
        <v/>
      </c>
      <c r="H5553" s="47" t="str">
        <f>IFERROR(VLOOKUP(G5553,WholesaleExtract!B:L,11,FALSE),"")</f>
        <v/>
      </c>
      <c r="I5553" s="26" t="str">
        <f>IFERROR(VLOOKUP(G5553,WholesaleExtract!B:O,8,FALSE),"")</f>
        <v/>
      </c>
      <c r="J5553" s="26" t="str">
        <f>IFERROR(VLOOKUP(G5553,WholesaleExtract!B:O,14,FALSE),"")</f>
        <v/>
      </c>
      <c r="K5553" s="26" t="str">
        <f>IFERROR(VLOOKUP(G5553,WholesaleExtract!B:K,10,FALSE),"")</f>
        <v/>
      </c>
      <c r="L5553" s="47" t="str">
        <f>IFERROR(VLOOKUP(G5553,WholesaleExtract!B:L,11,FALSE),"")</f>
        <v/>
      </c>
      <c r="M5553" s="47" t="str">
        <f>IFERROR(VLOOKUP(G5553,WholesaleExtract!B:M,12,FALSE),"")</f>
        <v/>
      </c>
      <c r="R5553" s="19"/>
      <c r="S5553" s="19"/>
    </row>
    <row r="5554" spans="1:19" x14ac:dyDescent="0.35">
      <c r="A5554" s="26" t="s">
        <v>543</v>
      </c>
      <c r="B5554" s="26" t="s">
        <v>543</v>
      </c>
      <c r="C5554" s="26"/>
      <c r="D5554" s="26" t="s">
        <v>543</v>
      </c>
      <c r="E5554" s="26" t="str">
        <f>IFERROR(VLOOKUP(G5554,WholesaleExtract!B:J,9,FALSE),"")</f>
        <v/>
      </c>
      <c r="F5554" s="26" t="str">
        <f>IFERROR(VLOOKUP(G5554,WholesaleExtract!B:J,6,FALSE),"")</f>
        <v/>
      </c>
      <c r="H5554" s="47" t="str">
        <f>IFERROR(VLOOKUP(G5554,WholesaleExtract!B:L,11,FALSE),"")</f>
        <v/>
      </c>
      <c r="I5554" s="26" t="str">
        <f>IFERROR(VLOOKUP(G5554,WholesaleExtract!B:O,8,FALSE),"")</f>
        <v/>
      </c>
      <c r="J5554" s="26" t="str">
        <f>IFERROR(VLOOKUP(G5554,WholesaleExtract!B:O,14,FALSE),"")</f>
        <v/>
      </c>
      <c r="K5554" s="26" t="str">
        <f>IFERROR(VLOOKUP(G5554,WholesaleExtract!B:K,10,FALSE),"")</f>
        <v/>
      </c>
      <c r="L5554" s="47" t="str">
        <f>IFERROR(VLOOKUP(G5554,WholesaleExtract!B:L,11,FALSE),"")</f>
        <v/>
      </c>
      <c r="M5554" s="47" t="str">
        <f>IFERROR(VLOOKUP(G5554,WholesaleExtract!B:M,12,FALSE),"")</f>
        <v/>
      </c>
      <c r="R5554" s="19"/>
      <c r="S5554" s="19"/>
    </row>
    <row r="5555" spans="1:19" x14ac:dyDescent="0.35">
      <c r="A5555" s="26" t="s">
        <v>543</v>
      </c>
      <c r="B5555" s="26" t="s">
        <v>543</v>
      </c>
      <c r="C5555" s="26"/>
      <c r="D5555" s="26" t="s">
        <v>543</v>
      </c>
      <c r="E5555" s="26" t="str">
        <f>IFERROR(VLOOKUP(G5555,WholesaleExtract!B:J,9,FALSE),"")</f>
        <v/>
      </c>
      <c r="F5555" s="26" t="str">
        <f>IFERROR(VLOOKUP(G5555,WholesaleExtract!B:J,6,FALSE),"")</f>
        <v/>
      </c>
      <c r="H5555" s="47" t="str">
        <f>IFERROR(VLOOKUP(G5555,WholesaleExtract!B:L,11,FALSE),"")</f>
        <v/>
      </c>
      <c r="I5555" s="26" t="str">
        <f>IFERROR(VLOOKUP(G5555,WholesaleExtract!B:O,8,FALSE),"")</f>
        <v/>
      </c>
      <c r="J5555" s="26" t="str">
        <f>IFERROR(VLOOKUP(G5555,WholesaleExtract!B:O,14,FALSE),"")</f>
        <v/>
      </c>
      <c r="K5555" s="26" t="str">
        <f>IFERROR(VLOOKUP(G5555,WholesaleExtract!B:K,10,FALSE),"")</f>
        <v/>
      </c>
      <c r="L5555" s="47" t="str">
        <f>IFERROR(VLOOKUP(G5555,WholesaleExtract!B:L,11,FALSE),"")</f>
        <v/>
      </c>
      <c r="M5555" s="47" t="str">
        <f>IFERROR(VLOOKUP(G5555,WholesaleExtract!B:M,12,FALSE),"")</f>
        <v/>
      </c>
      <c r="R5555" s="19"/>
      <c r="S5555" s="19"/>
    </row>
    <row r="5556" spans="1:19" x14ac:dyDescent="0.35">
      <c r="A5556" s="26" t="s">
        <v>543</v>
      </c>
      <c r="B5556" s="26" t="s">
        <v>543</v>
      </c>
      <c r="C5556" s="26"/>
      <c r="D5556" s="26" t="s">
        <v>543</v>
      </c>
      <c r="E5556" s="26" t="str">
        <f>IFERROR(VLOOKUP(G5556,WholesaleExtract!B:J,9,FALSE),"")</f>
        <v/>
      </c>
      <c r="F5556" s="26" t="str">
        <f>IFERROR(VLOOKUP(G5556,WholesaleExtract!B:J,6,FALSE),"")</f>
        <v/>
      </c>
      <c r="H5556" s="47" t="str">
        <f>IFERROR(VLOOKUP(G5556,WholesaleExtract!B:L,11,FALSE),"")</f>
        <v/>
      </c>
      <c r="I5556" s="26" t="str">
        <f>IFERROR(VLOOKUP(G5556,WholesaleExtract!B:O,8,FALSE),"")</f>
        <v/>
      </c>
      <c r="J5556" s="26" t="str">
        <f>IFERROR(VLOOKUP(G5556,WholesaleExtract!B:O,14,FALSE),"")</f>
        <v/>
      </c>
      <c r="K5556" s="26" t="str">
        <f>IFERROR(VLOOKUP(G5556,WholesaleExtract!B:K,10,FALSE),"")</f>
        <v/>
      </c>
      <c r="L5556" s="47" t="str">
        <f>IFERROR(VLOOKUP(G5556,WholesaleExtract!B:L,11,FALSE),"")</f>
        <v/>
      </c>
      <c r="M5556" s="47" t="str">
        <f>IFERROR(VLOOKUP(G5556,WholesaleExtract!B:M,12,FALSE),"")</f>
        <v/>
      </c>
      <c r="R5556" s="19"/>
      <c r="S5556" s="19"/>
    </row>
    <row r="5557" spans="1:19" x14ac:dyDescent="0.35">
      <c r="A5557" s="26" t="s">
        <v>543</v>
      </c>
      <c r="B5557" s="26" t="s">
        <v>543</v>
      </c>
      <c r="C5557" s="26"/>
      <c r="D5557" s="26" t="s">
        <v>543</v>
      </c>
      <c r="E5557" s="26" t="str">
        <f>IFERROR(VLOOKUP(G5557,WholesaleExtract!B:J,9,FALSE),"")</f>
        <v/>
      </c>
      <c r="F5557" s="26" t="str">
        <f>IFERROR(VLOOKUP(G5557,WholesaleExtract!B:J,6,FALSE),"")</f>
        <v/>
      </c>
      <c r="H5557" s="47" t="str">
        <f>IFERROR(VLOOKUP(G5557,WholesaleExtract!B:L,11,FALSE),"")</f>
        <v/>
      </c>
      <c r="I5557" s="26" t="str">
        <f>IFERROR(VLOOKUP(G5557,WholesaleExtract!B:O,8,FALSE),"")</f>
        <v/>
      </c>
      <c r="J5557" s="26" t="str">
        <f>IFERROR(VLOOKUP(G5557,WholesaleExtract!B:O,14,FALSE),"")</f>
        <v/>
      </c>
      <c r="K5557" s="26" t="str">
        <f>IFERROR(VLOOKUP(G5557,WholesaleExtract!B:K,10,FALSE),"")</f>
        <v/>
      </c>
      <c r="L5557" s="47" t="str">
        <f>IFERROR(VLOOKUP(G5557,WholesaleExtract!B:L,11,FALSE),"")</f>
        <v/>
      </c>
      <c r="M5557" s="47" t="str">
        <f>IFERROR(VLOOKUP(G5557,WholesaleExtract!B:M,12,FALSE),"")</f>
        <v/>
      </c>
      <c r="R5557" s="19"/>
      <c r="S5557" s="19"/>
    </row>
    <row r="5558" spans="1:19" x14ac:dyDescent="0.35">
      <c r="A5558" s="26" t="s">
        <v>543</v>
      </c>
      <c r="B5558" s="26" t="s">
        <v>543</v>
      </c>
      <c r="C5558" s="26"/>
      <c r="D5558" s="26" t="s">
        <v>543</v>
      </c>
      <c r="E5558" s="26" t="str">
        <f>IFERROR(VLOOKUP(G5558,WholesaleExtract!B:J,9,FALSE),"")</f>
        <v/>
      </c>
      <c r="F5558" s="26" t="str">
        <f>IFERROR(VLOOKUP(G5558,WholesaleExtract!B:J,6,FALSE),"")</f>
        <v/>
      </c>
      <c r="H5558" s="47" t="str">
        <f>IFERROR(VLOOKUP(G5558,WholesaleExtract!B:L,11,FALSE),"")</f>
        <v/>
      </c>
      <c r="I5558" s="26" t="str">
        <f>IFERROR(VLOOKUP(G5558,WholesaleExtract!B:O,8,FALSE),"")</f>
        <v/>
      </c>
      <c r="J5558" s="26" t="str">
        <f>IFERROR(VLOOKUP(G5558,WholesaleExtract!B:O,14,FALSE),"")</f>
        <v/>
      </c>
      <c r="K5558" s="26" t="str">
        <f>IFERROR(VLOOKUP(G5558,WholesaleExtract!B:K,10,FALSE),"")</f>
        <v/>
      </c>
      <c r="L5558" s="47" t="str">
        <f>IFERROR(VLOOKUP(G5558,WholesaleExtract!B:L,11,FALSE),"")</f>
        <v/>
      </c>
      <c r="M5558" s="47" t="str">
        <f>IFERROR(VLOOKUP(G5558,WholesaleExtract!B:M,12,FALSE),"")</f>
        <v/>
      </c>
      <c r="R5558" s="19"/>
      <c r="S5558" s="19"/>
    </row>
    <row r="5559" spans="1:19" x14ac:dyDescent="0.35">
      <c r="A5559" s="26" t="s">
        <v>543</v>
      </c>
      <c r="B5559" s="26" t="s">
        <v>543</v>
      </c>
      <c r="C5559" s="26"/>
      <c r="D5559" s="26" t="s">
        <v>543</v>
      </c>
      <c r="E5559" s="26" t="str">
        <f>IFERROR(VLOOKUP(G5559,WholesaleExtract!B:J,9,FALSE),"")</f>
        <v/>
      </c>
      <c r="F5559" s="26" t="str">
        <f>IFERROR(VLOOKUP(G5559,WholesaleExtract!B:J,6,FALSE),"")</f>
        <v/>
      </c>
      <c r="H5559" s="47" t="str">
        <f>IFERROR(VLOOKUP(G5559,WholesaleExtract!B:L,11,FALSE),"")</f>
        <v/>
      </c>
      <c r="I5559" s="26" t="str">
        <f>IFERROR(VLOOKUP(G5559,WholesaleExtract!B:O,8,FALSE),"")</f>
        <v/>
      </c>
      <c r="J5559" s="26" t="str">
        <f>IFERROR(VLOOKUP(G5559,WholesaleExtract!B:O,14,FALSE),"")</f>
        <v/>
      </c>
      <c r="K5559" s="26" t="str">
        <f>IFERROR(VLOOKUP(G5559,WholesaleExtract!B:K,10,FALSE),"")</f>
        <v/>
      </c>
      <c r="L5559" s="47" t="str">
        <f>IFERROR(VLOOKUP(G5559,WholesaleExtract!B:L,11,FALSE),"")</f>
        <v/>
      </c>
      <c r="M5559" s="47" t="str">
        <f>IFERROR(VLOOKUP(G5559,WholesaleExtract!B:M,12,FALSE),"")</f>
        <v/>
      </c>
      <c r="R5559" s="19"/>
      <c r="S5559" s="19"/>
    </row>
    <row r="5560" spans="1:19" x14ac:dyDescent="0.35">
      <c r="A5560" s="26" t="s">
        <v>543</v>
      </c>
      <c r="B5560" s="26" t="s">
        <v>543</v>
      </c>
      <c r="C5560" s="26"/>
      <c r="D5560" s="26" t="s">
        <v>543</v>
      </c>
      <c r="E5560" s="26" t="str">
        <f>IFERROR(VLOOKUP(G5560,WholesaleExtract!B:J,9,FALSE),"")</f>
        <v/>
      </c>
      <c r="F5560" s="26" t="str">
        <f>IFERROR(VLOOKUP(G5560,WholesaleExtract!B:J,6,FALSE),"")</f>
        <v/>
      </c>
      <c r="H5560" s="47" t="str">
        <f>IFERROR(VLOOKUP(G5560,WholesaleExtract!B:L,11,FALSE),"")</f>
        <v/>
      </c>
      <c r="I5560" s="26" t="str">
        <f>IFERROR(VLOOKUP(G5560,WholesaleExtract!B:O,8,FALSE),"")</f>
        <v/>
      </c>
      <c r="J5560" s="26" t="str">
        <f>IFERROR(VLOOKUP(G5560,WholesaleExtract!B:O,14,FALSE),"")</f>
        <v/>
      </c>
      <c r="K5560" s="26" t="str">
        <f>IFERROR(VLOOKUP(G5560,WholesaleExtract!B:K,10,FALSE),"")</f>
        <v/>
      </c>
      <c r="L5560" s="47" t="str">
        <f>IFERROR(VLOOKUP(G5560,WholesaleExtract!B:L,11,FALSE),"")</f>
        <v/>
      </c>
      <c r="M5560" s="47" t="str">
        <f>IFERROR(VLOOKUP(G5560,WholesaleExtract!B:M,12,FALSE),"")</f>
        <v/>
      </c>
      <c r="R5560" s="19"/>
      <c r="S5560" s="19"/>
    </row>
    <row r="5561" spans="1:19" x14ac:dyDescent="0.35">
      <c r="A5561" s="26" t="s">
        <v>543</v>
      </c>
      <c r="B5561" s="26" t="s">
        <v>543</v>
      </c>
      <c r="C5561" s="26"/>
      <c r="D5561" s="26" t="s">
        <v>543</v>
      </c>
      <c r="E5561" s="26" t="str">
        <f>IFERROR(VLOOKUP(G5561,WholesaleExtract!B:J,9,FALSE),"")</f>
        <v/>
      </c>
      <c r="F5561" s="26" t="str">
        <f>IFERROR(VLOOKUP(G5561,WholesaleExtract!B:J,6,FALSE),"")</f>
        <v/>
      </c>
      <c r="H5561" s="47" t="str">
        <f>IFERROR(VLOOKUP(G5561,WholesaleExtract!B:L,11,FALSE),"")</f>
        <v/>
      </c>
      <c r="I5561" s="26" t="str">
        <f>IFERROR(VLOOKUP(G5561,WholesaleExtract!B:O,8,FALSE),"")</f>
        <v/>
      </c>
      <c r="J5561" s="26" t="str">
        <f>IFERROR(VLOOKUP(G5561,WholesaleExtract!B:O,14,FALSE),"")</f>
        <v/>
      </c>
      <c r="K5561" s="26" t="str">
        <f>IFERROR(VLOOKUP(G5561,WholesaleExtract!B:K,10,FALSE),"")</f>
        <v/>
      </c>
      <c r="L5561" s="47" t="str">
        <f>IFERROR(VLOOKUP(G5561,WholesaleExtract!B:L,11,FALSE),"")</f>
        <v/>
      </c>
      <c r="M5561" s="47" t="str">
        <f>IFERROR(VLOOKUP(G5561,WholesaleExtract!B:M,12,FALSE),"")</f>
        <v/>
      </c>
      <c r="R5561" s="19"/>
      <c r="S5561" s="19"/>
    </row>
    <row r="5562" spans="1:19" x14ac:dyDescent="0.35">
      <c r="A5562" s="26" t="s">
        <v>543</v>
      </c>
      <c r="B5562" s="26" t="s">
        <v>543</v>
      </c>
      <c r="C5562" s="26"/>
      <c r="D5562" s="26" t="s">
        <v>543</v>
      </c>
      <c r="E5562" s="26" t="str">
        <f>IFERROR(VLOOKUP(G5562,WholesaleExtract!B:J,9,FALSE),"")</f>
        <v/>
      </c>
      <c r="F5562" s="26" t="str">
        <f>IFERROR(VLOOKUP(G5562,WholesaleExtract!B:J,6,FALSE),"")</f>
        <v/>
      </c>
      <c r="H5562" s="47" t="str">
        <f>IFERROR(VLOOKUP(G5562,WholesaleExtract!B:L,11,FALSE),"")</f>
        <v/>
      </c>
      <c r="I5562" s="26" t="str">
        <f>IFERROR(VLOOKUP(G5562,WholesaleExtract!B:O,8,FALSE),"")</f>
        <v/>
      </c>
      <c r="J5562" s="26" t="str">
        <f>IFERROR(VLOOKUP(G5562,WholesaleExtract!B:O,14,FALSE),"")</f>
        <v/>
      </c>
      <c r="K5562" s="26" t="str">
        <f>IFERROR(VLOOKUP(G5562,WholesaleExtract!B:K,10,FALSE),"")</f>
        <v/>
      </c>
      <c r="L5562" s="47" t="str">
        <f>IFERROR(VLOOKUP(G5562,WholesaleExtract!B:L,11,FALSE),"")</f>
        <v/>
      </c>
      <c r="M5562" s="47" t="str">
        <f>IFERROR(VLOOKUP(G5562,WholesaleExtract!B:M,12,FALSE),"")</f>
        <v/>
      </c>
      <c r="R5562" s="19"/>
      <c r="S5562" s="19"/>
    </row>
    <row r="5563" spans="1:19" x14ac:dyDescent="0.35">
      <c r="A5563" s="26" t="s">
        <v>543</v>
      </c>
      <c r="B5563" s="26" t="s">
        <v>543</v>
      </c>
      <c r="C5563" s="26"/>
      <c r="D5563" s="26" t="s">
        <v>543</v>
      </c>
      <c r="E5563" s="26" t="str">
        <f>IFERROR(VLOOKUP(G5563,WholesaleExtract!B:J,9,FALSE),"")</f>
        <v/>
      </c>
      <c r="F5563" s="26" t="str">
        <f>IFERROR(VLOOKUP(G5563,WholesaleExtract!B:J,6,FALSE),"")</f>
        <v/>
      </c>
      <c r="H5563" s="47" t="str">
        <f>IFERROR(VLOOKUP(G5563,WholesaleExtract!B:L,11,FALSE),"")</f>
        <v/>
      </c>
      <c r="I5563" s="26" t="str">
        <f>IFERROR(VLOOKUP(G5563,WholesaleExtract!B:O,8,FALSE),"")</f>
        <v/>
      </c>
      <c r="J5563" s="26" t="str">
        <f>IFERROR(VLOOKUP(G5563,WholesaleExtract!B:O,14,FALSE),"")</f>
        <v/>
      </c>
      <c r="K5563" s="26" t="str">
        <f>IFERROR(VLOOKUP(G5563,WholesaleExtract!B:K,10,FALSE),"")</f>
        <v/>
      </c>
      <c r="L5563" s="47" t="str">
        <f>IFERROR(VLOOKUP(G5563,WholesaleExtract!B:L,11,FALSE),"")</f>
        <v/>
      </c>
      <c r="M5563" s="47" t="str">
        <f>IFERROR(VLOOKUP(G5563,WholesaleExtract!B:M,12,FALSE),"")</f>
        <v/>
      </c>
      <c r="R5563" s="19"/>
      <c r="S5563" s="19"/>
    </row>
    <row r="5564" spans="1:19" x14ac:dyDescent="0.35">
      <c r="A5564" s="26" t="s">
        <v>543</v>
      </c>
      <c r="B5564" s="26" t="s">
        <v>543</v>
      </c>
      <c r="C5564" s="26"/>
      <c r="D5564" s="26" t="s">
        <v>543</v>
      </c>
      <c r="E5564" s="26" t="str">
        <f>IFERROR(VLOOKUP(G5564,WholesaleExtract!B:J,9,FALSE),"")</f>
        <v/>
      </c>
      <c r="F5564" s="26" t="str">
        <f>IFERROR(VLOOKUP(G5564,WholesaleExtract!B:J,6,FALSE),"")</f>
        <v/>
      </c>
      <c r="H5564" s="47" t="str">
        <f>IFERROR(VLOOKUP(G5564,WholesaleExtract!B:L,11,FALSE),"")</f>
        <v/>
      </c>
      <c r="I5564" s="26" t="str">
        <f>IFERROR(VLOOKUP(G5564,WholesaleExtract!B:O,8,FALSE),"")</f>
        <v/>
      </c>
      <c r="J5564" s="26" t="str">
        <f>IFERROR(VLOOKUP(G5564,WholesaleExtract!B:O,14,FALSE),"")</f>
        <v/>
      </c>
      <c r="K5564" s="26" t="str">
        <f>IFERROR(VLOOKUP(G5564,WholesaleExtract!B:K,10,FALSE),"")</f>
        <v/>
      </c>
      <c r="L5564" s="47" t="str">
        <f>IFERROR(VLOOKUP(G5564,WholesaleExtract!B:L,11,FALSE),"")</f>
        <v/>
      </c>
      <c r="M5564" s="47" t="str">
        <f>IFERROR(VLOOKUP(G5564,WholesaleExtract!B:M,12,FALSE),"")</f>
        <v/>
      </c>
      <c r="R5564" s="19"/>
      <c r="S5564" s="19"/>
    </row>
    <row r="5565" spans="1:19" x14ac:dyDescent="0.35">
      <c r="A5565" s="26" t="s">
        <v>543</v>
      </c>
      <c r="B5565" s="26" t="s">
        <v>543</v>
      </c>
      <c r="C5565" s="26"/>
      <c r="D5565" s="26" t="s">
        <v>543</v>
      </c>
      <c r="E5565" s="26" t="str">
        <f>IFERROR(VLOOKUP(G5565,WholesaleExtract!B:J,9,FALSE),"")</f>
        <v/>
      </c>
      <c r="F5565" s="26" t="str">
        <f>IFERROR(VLOOKUP(G5565,WholesaleExtract!B:J,6,FALSE),"")</f>
        <v/>
      </c>
      <c r="H5565" s="47" t="str">
        <f>IFERROR(VLOOKUP(G5565,WholesaleExtract!B:L,11,FALSE),"")</f>
        <v/>
      </c>
      <c r="I5565" s="26" t="str">
        <f>IFERROR(VLOOKUP(G5565,WholesaleExtract!B:O,8,FALSE),"")</f>
        <v/>
      </c>
      <c r="J5565" s="26" t="str">
        <f>IFERROR(VLOOKUP(G5565,WholesaleExtract!B:O,14,FALSE),"")</f>
        <v/>
      </c>
      <c r="K5565" s="26" t="str">
        <f>IFERROR(VLOOKUP(G5565,WholesaleExtract!B:K,10,FALSE),"")</f>
        <v/>
      </c>
      <c r="L5565" s="47" t="str">
        <f>IFERROR(VLOOKUP(G5565,WholesaleExtract!B:L,11,FALSE),"")</f>
        <v/>
      </c>
      <c r="M5565" s="47" t="str">
        <f>IFERROR(VLOOKUP(G5565,WholesaleExtract!B:M,12,FALSE),"")</f>
        <v/>
      </c>
      <c r="R5565" s="19"/>
      <c r="S5565" s="19"/>
    </row>
    <row r="5566" spans="1:19" x14ac:dyDescent="0.35">
      <c r="A5566" s="26" t="s">
        <v>543</v>
      </c>
      <c r="B5566" s="26" t="s">
        <v>543</v>
      </c>
      <c r="C5566" s="26"/>
      <c r="D5566" s="26" t="s">
        <v>543</v>
      </c>
      <c r="E5566" s="26" t="str">
        <f>IFERROR(VLOOKUP(G5566,WholesaleExtract!B:J,9,FALSE),"")</f>
        <v/>
      </c>
      <c r="F5566" s="26" t="str">
        <f>IFERROR(VLOOKUP(G5566,WholesaleExtract!B:J,6,FALSE),"")</f>
        <v/>
      </c>
      <c r="H5566" s="47" t="str">
        <f>IFERROR(VLOOKUP(G5566,WholesaleExtract!B:L,11,FALSE),"")</f>
        <v/>
      </c>
      <c r="I5566" s="26" t="str">
        <f>IFERROR(VLOOKUP(G5566,WholesaleExtract!B:O,8,FALSE),"")</f>
        <v/>
      </c>
      <c r="J5566" s="26" t="str">
        <f>IFERROR(VLOOKUP(G5566,WholesaleExtract!B:O,14,FALSE),"")</f>
        <v/>
      </c>
      <c r="K5566" s="26" t="str">
        <f>IFERROR(VLOOKUP(G5566,WholesaleExtract!B:K,10,FALSE),"")</f>
        <v/>
      </c>
      <c r="L5566" s="47" t="str">
        <f>IFERROR(VLOOKUP(G5566,WholesaleExtract!B:L,11,FALSE),"")</f>
        <v/>
      </c>
      <c r="M5566" s="47" t="str">
        <f>IFERROR(VLOOKUP(G5566,WholesaleExtract!B:M,12,FALSE),"")</f>
        <v/>
      </c>
      <c r="R5566" s="19"/>
      <c r="S5566" s="19"/>
    </row>
    <row r="5567" spans="1:19" x14ac:dyDescent="0.35">
      <c r="A5567" s="26" t="s">
        <v>543</v>
      </c>
      <c r="B5567" s="26" t="s">
        <v>543</v>
      </c>
      <c r="C5567" s="26"/>
      <c r="D5567" s="26" t="s">
        <v>543</v>
      </c>
      <c r="E5567" s="26" t="str">
        <f>IFERROR(VLOOKUP(G5567,WholesaleExtract!B:J,9,FALSE),"")</f>
        <v/>
      </c>
      <c r="F5567" s="26" t="str">
        <f>IFERROR(VLOOKUP(G5567,WholesaleExtract!B:J,6,FALSE),"")</f>
        <v/>
      </c>
      <c r="H5567" s="47" t="str">
        <f>IFERROR(VLOOKUP(G5567,WholesaleExtract!B:L,11,FALSE),"")</f>
        <v/>
      </c>
      <c r="I5567" s="26" t="str">
        <f>IFERROR(VLOOKUP(G5567,WholesaleExtract!B:O,8,FALSE),"")</f>
        <v/>
      </c>
      <c r="J5567" s="26" t="str">
        <f>IFERROR(VLOOKUP(G5567,WholesaleExtract!B:O,14,FALSE),"")</f>
        <v/>
      </c>
      <c r="K5567" s="26" t="str">
        <f>IFERROR(VLOOKUP(G5567,WholesaleExtract!B:K,10,FALSE),"")</f>
        <v/>
      </c>
      <c r="L5567" s="47" t="str">
        <f>IFERROR(VLOOKUP(G5567,WholesaleExtract!B:L,11,FALSE),"")</f>
        <v/>
      </c>
      <c r="M5567" s="47" t="str">
        <f>IFERROR(VLOOKUP(G5567,WholesaleExtract!B:M,12,FALSE),"")</f>
        <v/>
      </c>
      <c r="R5567" s="19"/>
      <c r="S5567" s="19"/>
    </row>
    <row r="5568" spans="1:19" x14ac:dyDescent="0.35">
      <c r="A5568" s="26" t="s">
        <v>543</v>
      </c>
      <c r="B5568" s="26" t="s">
        <v>543</v>
      </c>
      <c r="C5568" s="26"/>
      <c r="D5568" s="26" t="s">
        <v>543</v>
      </c>
      <c r="E5568" s="26" t="str">
        <f>IFERROR(VLOOKUP(G5568,WholesaleExtract!B:J,9,FALSE),"")</f>
        <v/>
      </c>
      <c r="F5568" s="26" t="str">
        <f>IFERROR(VLOOKUP(G5568,WholesaleExtract!B:J,6,FALSE),"")</f>
        <v/>
      </c>
      <c r="H5568" s="47" t="str">
        <f>IFERROR(VLOOKUP(G5568,WholesaleExtract!B:L,11,FALSE),"")</f>
        <v/>
      </c>
      <c r="I5568" s="26" t="str">
        <f>IFERROR(VLOOKUP(G5568,WholesaleExtract!B:O,8,FALSE),"")</f>
        <v/>
      </c>
      <c r="J5568" s="26" t="str">
        <f>IFERROR(VLOOKUP(G5568,WholesaleExtract!B:O,14,FALSE),"")</f>
        <v/>
      </c>
      <c r="K5568" s="26" t="str">
        <f>IFERROR(VLOOKUP(G5568,WholesaleExtract!B:K,10,FALSE),"")</f>
        <v/>
      </c>
      <c r="L5568" s="47" t="str">
        <f>IFERROR(VLOOKUP(G5568,WholesaleExtract!B:L,11,FALSE),"")</f>
        <v/>
      </c>
      <c r="M5568" s="47" t="str">
        <f>IFERROR(VLOOKUP(G5568,WholesaleExtract!B:M,12,FALSE),"")</f>
        <v/>
      </c>
      <c r="R5568" s="19"/>
      <c r="S5568" s="19"/>
    </row>
    <row r="5569" spans="1:19" x14ac:dyDescent="0.35">
      <c r="A5569" s="26" t="s">
        <v>543</v>
      </c>
      <c r="B5569" s="26" t="s">
        <v>543</v>
      </c>
      <c r="C5569" s="26"/>
      <c r="D5569" s="26" t="s">
        <v>543</v>
      </c>
      <c r="E5569" s="26" t="str">
        <f>IFERROR(VLOOKUP(G5569,WholesaleExtract!B:J,9,FALSE),"")</f>
        <v/>
      </c>
      <c r="F5569" s="26" t="str">
        <f>IFERROR(VLOOKUP(G5569,WholesaleExtract!B:J,6,FALSE),"")</f>
        <v/>
      </c>
      <c r="H5569" s="47" t="str">
        <f>IFERROR(VLOOKUP(G5569,WholesaleExtract!B:L,11,FALSE),"")</f>
        <v/>
      </c>
      <c r="I5569" s="26" t="str">
        <f>IFERROR(VLOOKUP(G5569,WholesaleExtract!B:O,8,FALSE),"")</f>
        <v/>
      </c>
      <c r="J5569" s="26" t="str">
        <f>IFERROR(VLOOKUP(G5569,WholesaleExtract!B:O,14,FALSE),"")</f>
        <v/>
      </c>
      <c r="K5569" s="26" t="str">
        <f>IFERROR(VLOOKUP(G5569,WholesaleExtract!B:K,10,FALSE),"")</f>
        <v/>
      </c>
      <c r="L5569" s="47" t="str">
        <f>IFERROR(VLOOKUP(G5569,WholesaleExtract!B:L,11,FALSE),"")</f>
        <v/>
      </c>
      <c r="M5569" s="47" t="str">
        <f>IFERROR(VLOOKUP(G5569,WholesaleExtract!B:M,12,FALSE),"")</f>
        <v/>
      </c>
      <c r="R5569" s="19"/>
      <c r="S5569" s="19"/>
    </row>
    <row r="5570" spans="1:19" x14ac:dyDescent="0.35">
      <c r="A5570" s="26" t="s">
        <v>543</v>
      </c>
      <c r="B5570" s="26" t="s">
        <v>543</v>
      </c>
      <c r="C5570" s="26"/>
      <c r="D5570" s="26" t="s">
        <v>543</v>
      </c>
      <c r="E5570" s="26" t="str">
        <f>IFERROR(VLOOKUP(G5570,WholesaleExtract!B:J,9,FALSE),"")</f>
        <v/>
      </c>
      <c r="F5570" s="26" t="str">
        <f>IFERROR(VLOOKUP(G5570,WholesaleExtract!B:J,6,FALSE),"")</f>
        <v/>
      </c>
      <c r="H5570" s="47" t="str">
        <f>IFERROR(VLOOKUP(G5570,WholesaleExtract!B:L,11,FALSE),"")</f>
        <v/>
      </c>
      <c r="I5570" s="26" t="str">
        <f>IFERROR(VLOOKUP(G5570,WholesaleExtract!B:O,8,FALSE),"")</f>
        <v/>
      </c>
      <c r="J5570" s="26" t="str">
        <f>IFERROR(VLOOKUP(G5570,WholesaleExtract!B:O,14,FALSE),"")</f>
        <v/>
      </c>
      <c r="K5570" s="26" t="str">
        <f>IFERROR(VLOOKUP(G5570,WholesaleExtract!B:K,10,FALSE),"")</f>
        <v/>
      </c>
      <c r="L5570" s="47" t="str">
        <f>IFERROR(VLOOKUP(G5570,WholesaleExtract!B:L,11,FALSE),"")</f>
        <v/>
      </c>
      <c r="M5570" s="47" t="str">
        <f>IFERROR(VLOOKUP(G5570,WholesaleExtract!B:M,12,FALSE),"")</f>
        <v/>
      </c>
      <c r="R5570" s="19"/>
      <c r="S5570" s="19"/>
    </row>
    <row r="5571" spans="1:19" x14ac:dyDescent="0.35">
      <c r="A5571" s="26" t="s">
        <v>543</v>
      </c>
      <c r="B5571" s="26" t="s">
        <v>543</v>
      </c>
      <c r="C5571" s="26"/>
      <c r="D5571" s="26" t="s">
        <v>543</v>
      </c>
      <c r="E5571" s="26" t="str">
        <f>IFERROR(VLOOKUP(G5571,WholesaleExtract!B:J,9,FALSE),"")</f>
        <v/>
      </c>
      <c r="F5571" s="26" t="str">
        <f>IFERROR(VLOOKUP(G5571,WholesaleExtract!B:J,6,FALSE),"")</f>
        <v/>
      </c>
      <c r="H5571" s="47" t="str">
        <f>IFERROR(VLOOKUP(G5571,WholesaleExtract!B:L,11,FALSE),"")</f>
        <v/>
      </c>
      <c r="I5571" s="26" t="str">
        <f>IFERROR(VLOOKUP(G5571,WholesaleExtract!B:O,8,FALSE),"")</f>
        <v/>
      </c>
      <c r="J5571" s="26" t="str">
        <f>IFERROR(VLOOKUP(G5571,WholesaleExtract!B:O,14,FALSE),"")</f>
        <v/>
      </c>
      <c r="K5571" s="26" t="str">
        <f>IFERROR(VLOOKUP(G5571,WholesaleExtract!B:K,10,FALSE),"")</f>
        <v/>
      </c>
      <c r="L5571" s="47" t="str">
        <f>IFERROR(VLOOKUP(G5571,WholesaleExtract!B:L,11,FALSE),"")</f>
        <v/>
      </c>
      <c r="M5571" s="47" t="str">
        <f>IFERROR(VLOOKUP(G5571,WholesaleExtract!B:M,12,FALSE),"")</f>
        <v/>
      </c>
      <c r="R5571" s="19"/>
      <c r="S5571" s="19"/>
    </row>
    <row r="5572" spans="1:19" x14ac:dyDescent="0.35">
      <c r="A5572" s="26" t="s">
        <v>543</v>
      </c>
      <c r="B5572" s="26" t="s">
        <v>543</v>
      </c>
      <c r="C5572" s="26"/>
      <c r="D5572" s="26" t="s">
        <v>543</v>
      </c>
      <c r="E5572" s="26" t="str">
        <f>IFERROR(VLOOKUP(G5572,WholesaleExtract!B:J,9,FALSE),"")</f>
        <v/>
      </c>
      <c r="F5572" s="26" t="str">
        <f>IFERROR(VLOOKUP(G5572,WholesaleExtract!B:J,6,FALSE),"")</f>
        <v/>
      </c>
      <c r="H5572" s="47" t="str">
        <f>IFERROR(VLOOKUP(G5572,WholesaleExtract!B:L,11,FALSE),"")</f>
        <v/>
      </c>
      <c r="I5572" s="26" t="str">
        <f>IFERROR(VLOOKUP(G5572,WholesaleExtract!B:O,8,FALSE),"")</f>
        <v/>
      </c>
      <c r="J5572" s="26" t="str">
        <f>IFERROR(VLOOKUP(G5572,WholesaleExtract!B:O,14,FALSE),"")</f>
        <v/>
      </c>
      <c r="K5572" s="26" t="str">
        <f>IFERROR(VLOOKUP(G5572,WholesaleExtract!B:K,10,FALSE),"")</f>
        <v/>
      </c>
      <c r="L5572" s="47" t="str">
        <f>IFERROR(VLOOKUP(G5572,WholesaleExtract!B:L,11,FALSE),"")</f>
        <v/>
      </c>
      <c r="M5572" s="47" t="str">
        <f>IFERROR(VLOOKUP(G5572,WholesaleExtract!B:M,12,FALSE),"")</f>
        <v/>
      </c>
      <c r="R5572" s="19"/>
      <c r="S5572" s="19"/>
    </row>
    <row r="5573" spans="1:19" x14ac:dyDescent="0.35">
      <c r="A5573" s="26" t="s">
        <v>543</v>
      </c>
      <c r="B5573" s="26" t="s">
        <v>543</v>
      </c>
      <c r="C5573" s="26"/>
      <c r="D5573" s="26" t="s">
        <v>543</v>
      </c>
      <c r="E5573" s="26" t="str">
        <f>IFERROR(VLOOKUP(G5573,WholesaleExtract!B:J,9,FALSE),"")</f>
        <v/>
      </c>
      <c r="F5573" s="26" t="str">
        <f>IFERROR(VLOOKUP(G5573,WholesaleExtract!B:J,6,FALSE),"")</f>
        <v/>
      </c>
      <c r="H5573" s="47" t="str">
        <f>IFERROR(VLOOKUP(G5573,WholesaleExtract!B:L,11,FALSE),"")</f>
        <v/>
      </c>
      <c r="I5573" s="26" t="str">
        <f>IFERROR(VLOOKUP(G5573,WholesaleExtract!B:O,8,FALSE),"")</f>
        <v/>
      </c>
      <c r="J5573" s="26" t="str">
        <f>IFERROR(VLOOKUP(G5573,WholesaleExtract!B:O,14,FALSE),"")</f>
        <v/>
      </c>
      <c r="K5573" s="26" t="str">
        <f>IFERROR(VLOOKUP(G5573,WholesaleExtract!B:K,10,FALSE),"")</f>
        <v/>
      </c>
      <c r="L5573" s="47" t="str">
        <f>IFERROR(VLOOKUP(G5573,WholesaleExtract!B:L,11,FALSE),"")</f>
        <v/>
      </c>
      <c r="M5573" s="47" t="str">
        <f>IFERROR(VLOOKUP(G5573,WholesaleExtract!B:M,12,FALSE),"")</f>
        <v/>
      </c>
      <c r="R5573" s="19"/>
      <c r="S5573" s="19"/>
    </row>
    <row r="5574" spans="1:19" x14ac:dyDescent="0.35">
      <c r="A5574" s="26" t="s">
        <v>543</v>
      </c>
      <c r="B5574" s="26" t="s">
        <v>543</v>
      </c>
      <c r="C5574" s="26"/>
      <c r="D5574" s="26" t="s">
        <v>543</v>
      </c>
      <c r="E5574" s="26" t="str">
        <f>IFERROR(VLOOKUP(G5574,WholesaleExtract!B:J,9,FALSE),"")</f>
        <v/>
      </c>
      <c r="F5574" s="26" t="str">
        <f>IFERROR(VLOOKUP(G5574,WholesaleExtract!B:J,6,FALSE),"")</f>
        <v/>
      </c>
      <c r="H5574" s="47" t="str">
        <f>IFERROR(VLOOKUP(G5574,WholesaleExtract!B:L,11,FALSE),"")</f>
        <v/>
      </c>
      <c r="I5574" s="26" t="str">
        <f>IFERROR(VLOOKUP(G5574,WholesaleExtract!B:O,8,FALSE),"")</f>
        <v/>
      </c>
      <c r="J5574" s="26" t="str">
        <f>IFERROR(VLOOKUP(G5574,WholesaleExtract!B:O,14,FALSE),"")</f>
        <v/>
      </c>
      <c r="K5574" s="26" t="str">
        <f>IFERROR(VLOOKUP(G5574,WholesaleExtract!B:K,10,FALSE),"")</f>
        <v/>
      </c>
      <c r="L5574" s="47" t="str">
        <f>IFERROR(VLOOKUP(G5574,WholesaleExtract!B:L,11,FALSE),"")</f>
        <v/>
      </c>
      <c r="M5574" s="47" t="str">
        <f>IFERROR(VLOOKUP(G5574,WholesaleExtract!B:M,12,FALSE),"")</f>
        <v/>
      </c>
      <c r="R5574" s="19"/>
      <c r="S5574" s="19"/>
    </row>
    <row r="5575" spans="1:19" x14ac:dyDescent="0.35">
      <c r="A5575" s="26" t="s">
        <v>543</v>
      </c>
      <c r="B5575" s="26" t="s">
        <v>543</v>
      </c>
      <c r="C5575" s="26"/>
      <c r="D5575" s="26" t="s">
        <v>543</v>
      </c>
      <c r="E5575" s="26" t="str">
        <f>IFERROR(VLOOKUP(G5575,WholesaleExtract!B:J,9,FALSE),"")</f>
        <v/>
      </c>
      <c r="F5575" s="26" t="str">
        <f>IFERROR(VLOOKUP(G5575,WholesaleExtract!B:J,6,FALSE),"")</f>
        <v/>
      </c>
      <c r="H5575" s="47" t="str">
        <f>IFERROR(VLOOKUP(G5575,WholesaleExtract!B:L,11,FALSE),"")</f>
        <v/>
      </c>
      <c r="I5575" s="26" t="str">
        <f>IFERROR(VLOOKUP(G5575,WholesaleExtract!B:O,8,FALSE),"")</f>
        <v/>
      </c>
      <c r="J5575" s="26" t="str">
        <f>IFERROR(VLOOKUP(G5575,WholesaleExtract!B:O,14,FALSE),"")</f>
        <v/>
      </c>
      <c r="K5575" s="26" t="str">
        <f>IFERROR(VLOOKUP(G5575,WholesaleExtract!B:K,10,FALSE),"")</f>
        <v/>
      </c>
      <c r="L5575" s="47" t="str">
        <f>IFERROR(VLOOKUP(G5575,WholesaleExtract!B:L,11,FALSE),"")</f>
        <v/>
      </c>
      <c r="M5575" s="47" t="str">
        <f>IFERROR(VLOOKUP(G5575,WholesaleExtract!B:M,12,FALSE),"")</f>
        <v/>
      </c>
      <c r="R5575" s="19"/>
      <c r="S5575" s="19"/>
    </row>
    <row r="5576" spans="1:19" x14ac:dyDescent="0.35">
      <c r="A5576" s="26" t="s">
        <v>543</v>
      </c>
      <c r="B5576" s="26" t="s">
        <v>543</v>
      </c>
      <c r="C5576" s="26"/>
      <c r="D5576" s="26" t="s">
        <v>543</v>
      </c>
      <c r="E5576" s="26" t="str">
        <f>IFERROR(VLOOKUP(G5576,WholesaleExtract!B:J,9,FALSE),"")</f>
        <v/>
      </c>
      <c r="F5576" s="26" t="str">
        <f>IFERROR(VLOOKUP(G5576,WholesaleExtract!B:J,6,FALSE),"")</f>
        <v/>
      </c>
      <c r="H5576" s="47" t="str">
        <f>IFERROR(VLOOKUP(G5576,WholesaleExtract!B:L,11,FALSE),"")</f>
        <v/>
      </c>
      <c r="I5576" s="26" t="str">
        <f>IFERROR(VLOOKUP(G5576,WholesaleExtract!B:O,8,FALSE),"")</f>
        <v/>
      </c>
      <c r="J5576" s="26" t="str">
        <f>IFERROR(VLOOKUP(G5576,WholesaleExtract!B:O,14,FALSE),"")</f>
        <v/>
      </c>
      <c r="K5576" s="26" t="str">
        <f>IFERROR(VLOOKUP(G5576,WholesaleExtract!B:K,10,FALSE),"")</f>
        <v/>
      </c>
      <c r="L5576" s="47" t="str">
        <f>IFERROR(VLOOKUP(G5576,WholesaleExtract!B:L,11,FALSE),"")</f>
        <v/>
      </c>
      <c r="M5576" s="47" t="str">
        <f>IFERROR(VLOOKUP(G5576,WholesaleExtract!B:M,12,FALSE),"")</f>
        <v/>
      </c>
      <c r="R5576" s="19"/>
      <c r="S5576" s="19"/>
    </row>
    <row r="5577" spans="1:19" x14ac:dyDescent="0.35">
      <c r="A5577" s="26" t="s">
        <v>543</v>
      </c>
      <c r="B5577" s="26" t="s">
        <v>543</v>
      </c>
      <c r="C5577" s="26"/>
      <c r="D5577" s="26" t="s">
        <v>543</v>
      </c>
      <c r="E5577" s="26" t="str">
        <f>IFERROR(VLOOKUP(G5577,WholesaleExtract!B:J,9,FALSE),"")</f>
        <v/>
      </c>
      <c r="F5577" s="26" t="str">
        <f>IFERROR(VLOOKUP(G5577,WholesaleExtract!B:J,6,FALSE),"")</f>
        <v/>
      </c>
      <c r="H5577" s="47" t="str">
        <f>IFERROR(VLOOKUP(G5577,WholesaleExtract!B:L,11,FALSE),"")</f>
        <v/>
      </c>
      <c r="I5577" s="26" t="str">
        <f>IFERROR(VLOOKUP(G5577,WholesaleExtract!B:O,8,FALSE),"")</f>
        <v/>
      </c>
      <c r="J5577" s="26" t="str">
        <f>IFERROR(VLOOKUP(G5577,WholesaleExtract!B:O,14,FALSE),"")</f>
        <v/>
      </c>
      <c r="K5577" s="26" t="str">
        <f>IFERROR(VLOOKUP(G5577,WholesaleExtract!B:K,10,FALSE),"")</f>
        <v/>
      </c>
      <c r="L5577" s="47" t="str">
        <f>IFERROR(VLOOKUP(G5577,WholesaleExtract!B:L,11,FALSE),"")</f>
        <v/>
      </c>
      <c r="M5577" s="47" t="str">
        <f>IFERROR(VLOOKUP(G5577,WholesaleExtract!B:M,12,FALSE),"")</f>
        <v/>
      </c>
      <c r="R5577" s="19"/>
      <c r="S5577" s="19"/>
    </row>
    <row r="5578" spans="1:19" x14ac:dyDescent="0.35">
      <c r="A5578" s="26" t="s">
        <v>543</v>
      </c>
      <c r="B5578" s="26" t="s">
        <v>543</v>
      </c>
      <c r="C5578" s="26"/>
      <c r="D5578" s="26" t="s">
        <v>543</v>
      </c>
      <c r="E5578" s="26" t="str">
        <f>IFERROR(VLOOKUP(G5578,WholesaleExtract!B:J,9,FALSE),"")</f>
        <v/>
      </c>
      <c r="F5578" s="26" t="str">
        <f>IFERROR(VLOOKUP(G5578,WholesaleExtract!B:J,6,FALSE),"")</f>
        <v/>
      </c>
      <c r="H5578" s="47" t="str">
        <f>IFERROR(VLOOKUP(G5578,WholesaleExtract!B:L,11,FALSE),"")</f>
        <v/>
      </c>
      <c r="I5578" s="26" t="str">
        <f>IFERROR(VLOOKUP(G5578,WholesaleExtract!B:O,8,FALSE),"")</f>
        <v/>
      </c>
      <c r="J5578" s="26" t="str">
        <f>IFERROR(VLOOKUP(G5578,WholesaleExtract!B:O,14,FALSE),"")</f>
        <v/>
      </c>
      <c r="K5578" s="26" t="str">
        <f>IFERROR(VLOOKUP(G5578,WholesaleExtract!B:K,10,FALSE),"")</f>
        <v/>
      </c>
      <c r="L5578" s="47" t="str">
        <f>IFERROR(VLOOKUP(G5578,WholesaleExtract!B:L,11,FALSE),"")</f>
        <v/>
      </c>
      <c r="M5578" s="47" t="str">
        <f>IFERROR(VLOOKUP(G5578,WholesaleExtract!B:M,12,FALSE),"")</f>
        <v/>
      </c>
      <c r="R5578" s="19"/>
      <c r="S5578" s="19"/>
    </row>
    <row r="5579" spans="1:19" x14ac:dyDescent="0.35">
      <c r="A5579" s="26" t="s">
        <v>543</v>
      </c>
      <c r="B5579" s="26" t="s">
        <v>543</v>
      </c>
      <c r="C5579" s="26"/>
      <c r="D5579" s="26" t="s">
        <v>543</v>
      </c>
      <c r="E5579" s="26" t="str">
        <f>IFERROR(VLOOKUP(G5579,WholesaleExtract!B:J,9,FALSE),"")</f>
        <v/>
      </c>
      <c r="F5579" s="26" t="str">
        <f>IFERROR(VLOOKUP(G5579,WholesaleExtract!B:J,6,FALSE),"")</f>
        <v/>
      </c>
      <c r="H5579" s="47" t="str">
        <f>IFERROR(VLOOKUP(G5579,WholesaleExtract!B:L,11,FALSE),"")</f>
        <v/>
      </c>
      <c r="I5579" s="26" t="str">
        <f>IFERROR(VLOOKUP(G5579,WholesaleExtract!B:O,8,FALSE),"")</f>
        <v/>
      </c>
      <c r="J5579" s="26" t="str">
        <f>IFERROR(VLOOKUP(G5579,WholesaleExtract!B:O,14,FALSE),"")</f>
        <v/>
      </c>
      <c r="K5579" s="26" t="str">
        <f>IFERROR(VLOOKUP(G5579,WholesaleExtract!B:K,10,FALSE),"")</f>
        <v/>
      </c>
      <c r="L5579" s="47" t="str">
        <f>IFERROR(VLOOKUP(G5579,WholesaleExtract!B:L,11,FALSE),"")</f>
        <v/>
      </c>
      <c r="M5579" s="47" t="str">
        <f>IFERROR(VLOOKUP(G5579,WholesaleExtract!B:M,12,FALSE),"")</f>
        <v/>
      </c>
      <c r="R5579" s="19"/>
      <c r="S5579" s="19"/>
    </row>
    <row r="5580" spans="1:19" x14ac:dyDescent="0.35">
      <c r="A5580" s="26" t="s">
        <v>543</v>
      </c>
      <c r="B5580" s="26" t="s">
        <v>543</v>
      </c>
      <c r="C5580" s="26"/>
      <c r="D5580" s="26" t="s">
        <v>543</v>
      </c>
      <c r="E5580" s="26" t="str">
        <f>IFERROR(VLOOKUP(G5580,WholesaleExtract!B:J,9,FALSE),"")</f>
        <v/>
      </c>
      <c r="F5580" s="26" t="str">
        <f>IFERROR(VLOOKUP(G5580,WholesaleExtract!B:J,6,FALSE),"")</f>
        <v/>
      </c>
      <c r="H5580" s="47" t="str">
        <f>IFERROR(VLOOKUP(G5580,WholesaleExtract!B:L,11,FALSE),"")</f>
        <v/>
      </c>
      <c r="I5580" s="26" t="str">
        <f>IFERROR(VLOOKUP(G5580,WholesaleExtract!B:O,8,FALSE),"")</f>
        <v/>
      </c>
      <c r="J5580" s="26" t="str">
        <f>IFERROR(VLOOKUP(G5580,WholesaleExtract!B:O,14,FALSE),"")</f>
        <v/>
      </c>
      <c r="K5580" s="26" t="str">
        <f>IFERROR(VLOOKUP(G5580,WholesaleExtract!B:K,10,FALSE),"")</f>
        <v/>
      </c>
      <c r="L5580" s="47" t="str">
        <f>IFERROR(VLOOKUP(G5580,WholesaleExtract!B:L,11,FALSE),"")</f>
        <v/>
      </c>
      <c r="M5580" s="47" t="str">
        <f>IFERROR(VLOOKUP(G5580,WholesaleExtract!B:M,12,FALSE),"")</f>
        <v/>
      </c>
      <c r="R5580" s="19"/>
      <c r="S5580" s="19"/>
    </row>
    <row r="5581" spans="1:19" x14ac:dyDescent="0.35">
      <c r="A5581" s="26" t="s">
        <v>543</v>
      </c>
      <c r="B5581" s="26" t="s">
        <v>543</v>
      </c>
      <c r="C5581" s="26"/>
      <c r="D5581" s="26" t="s">
        <v>543</v>
      </c>
      <c r="E5581" s="26" t="str">
        <f>IFERROR(VLOOKUP(G5581,WholesaleExtract!B:J,9,FALSE),"")</f>
        <v/>
      </c>
      <c r="F5581" s="26" t="str">
        <f>IFERROR(VLOOKUP(G5581,WholesaleExtract!B:J,6,FALSE),"")</f>
        <v/>
      </c>
      <c r="H5581" s="47" t="str">
        <f>IFERROR(VLOOKUP(G5581,WholesaleExtract!B:L,11,FALSE),"")</f>
        <v/>
      </c>
      <c r="I5581" s="26" t="str">
        <f>IFERROR(VLOOKUP(G5581,WholesaleExtract!B:O,8,FALSE),"")</f>
        <v/>
      </c>
      <c r="J5581" s="26" t="str">
        <f>IFERROR(VLOOKUP(G5581,WholesaleExtract!B:O,14,FALSE),"")</f>
        <v/>
      </c>
      <c r="K5581" s="26" t="str">
        <f>IFERROR(VLOOKUP(G5581,WholesaleExtract!B:K,10,FALSE),"")</f>
        <v/>
      </c>
      <c r="L5581" s="47" t="str">
        <f>IFERROR(VLOOKUP(G5581,WholesaleExtract!B:L,11,FALSE),"")</f>
        <v/>
      </c>
      <c r="M5581" s="47" t="str">
        <f>IFERROR(VLOOKUP(G5581,WholesaleExtract!B:M,12,FALSE),"")</f>
        <v/>
      </c>
      <c r="R5581" s="19"/>
      <c r="S5581" s="19"/>
    </row>
    <row r="5582" spans="1:19" x14ac:dyDescent="0.35">
      <c r="A5582" s="26" t="s">
        <v>543</v>
      </c>
      <c r="B5582" s="26" t="s">
        <v>543</v>
      </c>
      <c r="C5582" s="26"/>
      <c r="D5582" s="26" t="s">
        <v>543</v>
      </c>
      <c r="E5582" s="26" t="str">
        <f>IFERROR(VLOOKUP(G5582,WholesaleExtract!B:J,9,FALSE),"")</f>
        <v/>
      </c>
      <c r="F5582" s="26" t="str">
        <f>IFERROR(VLOOKUP(G5582,WholesaleExtract!B:J,6,FALSE),"")</f>
        <v/>
      </c>
      <c r="H5582" s="47" t="str">
        <f>IFERROR(VLOOKUP(G5582,WholesaleExtract!B:L,11,FALSE),"")</f>
        <v/>
      </c>
      <c r="I5582" s="26" t="str">
        <f>IFERROR(VLOOKUP(G5582,WholesaleExtract!B:O,8,FALSE),"")</f>
        <v/>
      </c>
      <c r="J5582" s="26" t="str">
        <f>IFERROR(VLOOKUP(G5582,WholesaleExtract!B:O,14,FALSE),"")</f>
        <v/>
      </c>
      <c r="K5582" s="26" t="str">
        <f>IFERROR(VLOOKUP(G5582,WholesaleExtract!B:K,10,FALSE),"")</f>
        <v/>
      </c>
      <c r="L5582" s="47" t="str">
        <f>IFERROR(VLOOKUP(G5582,WholesaleExtract!B:L,11,FALSE),"")</f>
        <v/>
      </c>
      <c r="M5582" s="47" t="str">
        <f>IFERROR(VLOOKUP(G5582,WholesaleExtract!B:M,12,FALSE),"")</f>
        <v/>
      </c>
      <c r="R5582" s="19"/>
      <c r="S5582" s="19"/>
    </row>
    <row r="5583" spans="1:19" x14ac:dyDescent="0.35">
      <c r="A5583" s="26" t="s">
        <v>543</v>
      </c>
      <c r="B5583" s="26" t="s">
        <v>543</v>
      </c>
      <c r="C5583" s="26"/>
      <c r="D5583" s="26" t="s">
        <v>543</v>
      </c>
      <c r="E5583" s="26" t="str">
        <f>IFERROR(VLOOKUP(G5583,WholesaleExtract!B:J,9,FALSE),"")</f>
        <v/>
      </c>
      <c r="F5583" s="26" t="str">
        <f>IFERROR(VLOOKUP(G5583,WholesaleExtract!B:J,6,FALSE),"")</f>
        <v/>
      </c>
      <c r="H5583" s="47" t="str">
        <f>IFERROR(VLOOKUP(G5583,WholesaleExtract!B:L,11,FALSE),"")</f>
        <v/>
      </c>
      <c r="I5583" s="26" t="str">
        <f>IFERROR(VLOOKUP(G5583,WholesaleExtract!B:O,8,FALSE),"")</f>
        <v/>
      </c>
      <c r="J5583" s="26" t="str">
        <f>IFERROR(VLOOKUP(G5583,WholesaleExtract!B:O,14,FALSE),"")</f>
        <v/>
      </c>
      <c r="K5583" s="26" t="str">
        <f>IFERROR(VLOOKUP(G5583,WholesaleExtract!B:K,10,FALSE),"")</f>
        <v/>
      </c>
      <c r="L5583" s="47" t="str">
        <f>IFERROR(VLOOKUP(G5583,WholesaleExtract!B:L,11,FALSE),"")</f>
        <v/>
      </c>
      <c r="M5583" s="47" t="str">
        <f>IFERROR(VLOOKUP(G5583,WholesaleExtract!B:M,12,FALSE),"")</f>
        <v/>
      </c>
      <c r="R5583" s="19"/>
      <c r="S5583" s="19"/>
    </row>
    <row r="5584" spans="1:19" x14ac:dyDescent="0.35">
      <c r="A5584" s="26" t="s">
        <v>543</v>
      </c>
      <c r="B5584" s="26" t="s">
        <v>543</v>
      </c>
      <c r="C5584" s="26"/>
      <c r="D5584" s="26" t="s">
        <v>543</v>
      </c>
      <c r="E5584" s="26" t="str">
        <f>IFERROR(VLOOKUP(G5584,WholesaleExtract!B:J,9,FALSE),"")</f>
        <v/>
      </c>
      <c r="F5584" s="26" t="str">
        <f>IFERROR(VLOOKUP(G5584,WholesaleExtract!B:J,6,FALSE),"")</f>
        <v/>
      </c>
      <c r="H5584" s="47" t="str">
        <f>IFERROR(VLOOKUP(G5584,WholesaleExtract!B:L,11,FALSE),"")</f>
        <v/>
      </c>
      <c r="I5584" s="26" t="str">
        <f>IFERROR(VLOOKUP(G5584,WholesaleExtract!B:O,8,FALSE),"")</f>
        <v/>
      </c>
      <c r="J5584" s="26" t="str">
        <f>IFERROR(VLOOKUP(G5584,WholesaleExtract!B:O,14,FALSE),"")</f>
        <v/>
      </c>
      <c r="K5584" s="26" t="str">
        <f>IFERROR(VLOOKUP(G5584,WholesaleExtract!B:K,10,FALSE),"")</f>
        <v/>
      </c>
      <c r="L5584" s="47" t="str">
        <f>IFERROR(VLOOKUP(G5584,WholesaleExtract!B:L,11,FALSE),"")</f>
        <v/>
      </c>
      <c r="M5584" s="47" t="str">
        <f>IFERROR(VLOOKUP(G5584,WholesaleExtract!B:M,12,FALSE),"")</f>
        <v/>
      </c>
      <c r="R5584" s="19"/>
      <c r="S5584" s="19"/>
    </row>
    <row r="5585" spans="1:19" x14ac:dyDescent="0.35">
      <c r="A5585" s="26" t="s">
        <v>543</v>
      </c>
      <c r="B5585" s="26" t="s">
        <v>543</v>
      </c>
      <c r="C5585" s="26"/>
      <c r="D5585" s="26" t="s">
        <v>543</v>
      </c>
      <c r="E5585" s="26" t="str">
        <f>IFERROR(VLOOKUP(G5585,WholesaleExtract!B:J,9,FALSE),"")</f>
        <v/>
      </c>
      <c r="F5585" s="26" t="str">
        <f>IFERROR(VLOOKUP(G5585,WholesaleExtract!B:J,6,FALSE),"")</f>
        <v/>
      </c>
      <c r="H5585" s="47" t="str">
        <f>IFERROR(VLOOKUP(G5585,WholesaleExtract!B:L,11,FALSE),"")</f>
        <v/>
      </c>
      <c r="I5585" s="26" t="str">
        <f>IFERROR(VLOOKUP(G5585,WholesaleExtract!B:O,8,FALSE),"")</f>
        <v/>
      </c>
      <c r="J5585" s="26" t="str">
        <f>IFERROR(VLOOKUP(G5585,WholesaleExtract!B:O,14,FALSE),"")</f>
        <v/>
      </c>
      <c r="K5585" s="26" t="str">
        <f>IFERROR(VLOOKUP(G5585,WholesaleExtract!B:K,10,FALSE),"")</f>
        <v/>
      </c>
      <c r="L5585" s="47" t="str">
        <f>IFERROR(VLOOKUP(G5585,WholesaleExtract!B:L,11,FALSE),"")</f>
        <v/>
      </c>
      <c r="M5585" s="47" t="str">
        <f>IFERROR(VLOOKUP(G5585,WholesaleExtract!B:M,12,FALSE),"")</f>
        <v/>
      </c>
      <c r="R5585" s="19"/>
      <c r="S5585" s="19"/>
    </row>
    <row r="5586" spans="1:19" x14ac:dyDescent="0.35">
      <c r="A5586" s="26" t="s">
        <v>543</v>
      </c>
      <c r="B5586" s="26" t="s">
        <v>543</v>
      </c>
      <c r="C5586" s="26"/>
      <c r="D5586" s="26" t="s">
        <v>543</v>
      </c>
      <c r="E5586" s="26" t="str">
        <f>IFERROR(VLOOKUP(G5586,WholesaleExtract!B:J,9,FALSE),"")</f>
        <v/>
      </c>
      <c r="F5586" s="26" t="str">
        <f>IFERROR(VLOOKUP(G5586,WholesaleExtract!B:J,6,FALSE),"")</f>
        <v/>
      </c>
      <c r="H5586" s="47" t="str">
        <f>IFERROR(VLOOKUP(G5586,WholesaleExtract!B:L,11,FALSE),"")</f>
        <v/>
      </c>
      <c r="I5586" s="26" t="str">
        <f>IFERROR(VLOOKUP(G5586,WholesaleExtract!B:O,8,FALSE),"")</f>
        <v/>
      </c>
      <c r="J5586" s="26" t="str">
        <f>IFERROR(VLOOKUP(G5586,WholesaleExtract!B:O,14,FALSE),"")</f>
        <v/>
      </c>
      <c r="K5586" s="26" t="str">
        <f>IFERROR(VLOOKUP(G5586,WholesaleExtract!B:K,10,FALSE),"")</f>
        <v/>
      </c>
      <c r="L5586" s="47" t="str">
        <f>IFERROR(VLOOKUP(G5586,WholesaleExtract!B:L,11,FALSE),"")</f>
        <v/>
      </c>
      <c r="M5586" s="47" t="str">
        <f>IFERROR(VLOOKUP(G5586,WholesaleExtract!B:M,12,FALSE),"")</f>
        <v/>
      </c>
      <c r="R5586" s="19"/>
      <c r="S5586" s="19"/>
    </row>
    <row r="5587" spans="1:19" x14ac:dyDescent="0.35">
      <c r="A5587" s="26" t="s">
        <v>543</v>
      </c>
      <c r="B5587" s="26" t="s">
        <v>543</v>
      </c>
      <c r="C5587" s="26"/>
      <c r="D5587" s="26" t="s">
        <v>543</v>
      </c>
      <c r="E5587" s="26" t="str">
        <f>IFERROR(VLOOKUP(G5587,WholesaleExtract!B:J,9,FALSE),"")</f>
        <v/>
      </c>
      <c r="F5587" s="26" t="str">
        <f>IFERROR(VLOOKUP(G5587,WholesaleExtract!B:J,6,FALSE),"")</f>
        <v/>
      </c>
      <c r="H5587" s="47" t="str">
        <f>IFERROR(VLOOKUP(G5587,WholesaleExtract!B:L,11,FALSE),"")</f>
        <v/>
      </c>
      <c r="I5587" s="26" t="str">
        <f>IFERROR(VLOOKUP(G5587,WholesaleExtract!B:O,8,FALSE),"")</f>
        <v/>
      </c>
      <c r="J5587" s="26" t="str">
        <f>IFERROR(VLOOKUP(G5587,WholesaleExtract!B:O,14,FALSE),"")</f>
        <v/>
      </c>
      <c r="K5587" s="26" t="str">
        <f>IFERROR(VLOOKUP(G5587,WholesaleExtract!B:K,10,FALSE),"")</f>
        <v/>
      </c>
      <c r="L5587" s="47" t="str">
        <f>IFERROR(VLOOKUP(G5587,WholesaleExtract!B:L,11,FALSE),"")</f>
        <v/>
      </c>
      <c r="M5587" s="47" t="str">
        <f>IFERROR(VLOOKUP(G5587,WholesaleExtract!B:M,12,FALSE),"")</f>
        <v/>
      </c>
      <c r="R5587" s="19"/>
      <c r="S5587" s="19"/>
    </row>
    <row r="5588" spans="1:19" x14ac:dyDescent="0.35">
      <c r="A5588" s="26" t="s">
        <v>543</v>
      </c>
      <c r="B5588" s="26" t="s">
        <v>543</v>
      </c>
      <c r="C5588" s="26"/>
      <c r="D5588" s="26" t="s">
        <v>543</v>
      </c>
      <c r="E5588" s="26" t="str">
        <f>IFERROR(VLOOKUP(G5588,WholesaleExtract!B:J,9,FALSE),"")</f>
        <v/>
      </c>
      <c r="F5588" s="26" t="str">
        <f>IFERROR(VLOOKUP(G5588,WholesaleExtract!B:J,6,FALSE),"")</f>
        <v/>
      </c>
      <c r="H5588" s="47" t="str">
        <f>IFERROR(VLOOKUP(G5588,WholesaleExtract!B:L,11,FALSE),"")</f>
        <v/>
      </c>
      <c r="I5588" s="26" t="str">
        <f>IFERROR(VLOOKUP(G5588,WholesaleExtract!B:O,8,FALSE),"")</f>
        <v/>
      </c>
      <c r="J5588" s="26" t="str">
        <f>IFERROR(VLOOKUP(G5588,WholesaleExtract!B:O,14,FALSE),"")</f>
        <v/>
      </c>
      <c r="K5588" s="26" t="str">
        <f>IFERROR(VLOOKUP(G5588,WholesaleExtract!B:K,10,FALSE),"")</f>
        <v/>
      </c>
      <c r="L5588" s="47" t="str">
        <f>IFERROR(VLOOKUP(G5588,WholesaleExtract!B:L,11,FALSE),"")</f>
        <v/>
      </c>
      <c r="M5588" s="47" t="str">
        <f>IFERROR(VLOOKUP(G5588,WholesaleExtract!B:M,12,FALSE),"")</f>
        <v/>
      </c>
      <c r="R5588" s="19"/>
      <c r="S5588" s="19"/>
    </row>
    <row r="5589" spans="1:19" x14ac:dyDescent="0.35">
      <c r="A5589" s="26" t="s">
        <v>543</v>
      </c>
      <c r="B5589" s="26" t="s">
        <v>543</v>
      </c>
      <c r="C5589" s="26"/>
      <c r="D5589" s="26" t="s">
        <v>543</v>
      </c>
      <c r="E5589" s="26" t="str">
        <f>IFERROR(VLOOKUP(G5589,WholesaleExtract!B:J,9,FALSE),"")</f>
        <v/>
      </c>
      <c r="F5589" s="26" t="str">
        <f>IFERROR(VLOOKUP(G5589,WholesaleExtract!B:J,6,FALSE),"")</f>
        <v/>
      </c>
      <c r="H5589" s="47" t="str">
        <f>IFERROR(VLOOKUP(G5589,WholesaleExtract!B:L,11,FALSE),"")</f>
        <v/>
      </c>
      <c r="I5589" s="26" t="str">
        <f>IFERROR(VLOOKUP(G5589,WholesaleExtract!B:O,8,FALSE),"")</f>
        <v/>
      </c>
      <c r="J5589" s="26" t="str">
        <f>IFERROR(VLOOKUP(G5589,WholesaleExtract!B:O,14,FALSE),"")</f>
        <v/>
      </c>
      <c r="K5589" s="26" t="str">
        <f>IFERROR(VLOOKUP(G5589,WholesaleExtract!B:K,10,FALSE),"")</f>
        <v/>
      </c>
      <c r="L5589" s="47" t="str">
        <f>IFERROR(VLOOKUP(G5589,WholesaleExtract!B:L,11,FALSE),"")</f>
        <v/>
      </c>
      <c r="M5589" s="47" t="str">
        <f>IFERROR(VLOOKUP(G5589,WholesaleExtract!B:M,12,FALSE),"")</f>
        <v/>
      </c>
      <c r="R5589" s="19"/>
      <c r="S5589" s="19"/>
    </row>
    <row r="5590" spans="1:19" x14ac:dyDescent="0.35">
      <c r="A5590" s="26" t="s">
        <v>543</v>
      </c>
      <c r="B5590" s="26" t="s">
        <v>543</v>
      </c>
      <c r="C5590" s="26"/>
      <c r="D5590" s="26" t="s">
        <v>543</v>
      </c>
      <c r="E5590" s="26" t="str">
        <f>IFERROR(VLOOKUP(G5590,WholesaleExtract!B:J,9,FALSE),"")</f>
        <v/>
      </c>
      <c r="F5590" s="26" t="str">
        <f>IFERROR(VLOOKUP(G5590,WholesaleExtract!B:J,6,FALSE),"")</f>
        <v/>
      </c>
      <c r="H5590" s="47" t="str">
        <f>IFERROR(VLOOKUP(G5590,WholesaleExtract!B:L,11,FALSE),"")</f>
        <v/>
      </c>
      <c r="I5590" s="26" t="str">
        <f>IFERROR(VLOOKUP(G5590,WholesaleExtract!B:O,8,FALSE),"")</f>
        <v/>
      </c>
      <c r="J5590" s="26" t="str">
        <f>IFERROR(VLOOKUP(G5590,WholesaleExtract!B:O,14,FALSE),"")</f>
        <v/>
      </c>
      <c r="K5590" s="26" t="str">
        <f>IFERROR(VLOOKUP(G5590,WholesaleExtract!B:K,10,FALSE),"")</f>
        <v/>
      </c>
      <c r="L5590" s="47" t="str">
        <f>IFERROR(VLOOKUP(G5590,WholesaleExtract!B:L,11,FALSE),"")</f>
        <v/>
      </c>
      <c r="M5590" s="47" t="str">
        <f>IFERROR(VLOOKUP(G5590,WholesaleExtract!B:M,12,FALSE),"")</f>
        <v/>
      </c>
      <c r="R5590" s="19"/>
      <c r="S5590" s="19"/>
    </row>
    <row r="5591" spans="1:19" x14ac:dyDescent="0.35">
      <c r="A5591" s="26" t="s">
        <v>543</v>
      </c>
      <c r="B5591" s="26" t="s">
        <v>543</v>
      </c>
      <c r="C5591" s="26"/>
      <c r="D5591" s="26" t="s">
        <v>543</v>
      </c>
      <c r="E5591" s="26" t="str">
        <f>IFERROR(VLOOKUP(G5591,WholesaleExtract!B:J,9,FALSE),"")</f>
        <v/>
      </c>
      <c r="F5591" s="26" t="str">
        <f>IFERROR(VLOOKUP(G5591,WholesaleExtract!B:J,6,FALSE),"")</f>
        <v/>
      </c>
      <c r="H5591" s="47" t="str">
        <f>IFERROR(VLOOKUP(G5591,WholesaleExtract!B:L,11,FALSE),"")</f>
        <v/>
      </c>
      <c r="I5591" s="26" t="str">
        <f>IFERROR(VLOOKUP(G5591,WholesaleExtract!B:O,8,FALSE),"")</f>
        <v/>
      </c>
      <c r="J5591" s="26" t="str">
        <f>IFERROR(VLOOKUP(G5591,WholesaleExtract!B:O,14,FALSE),"")</f>
        <v/>
      </c>
      <c r="K5591" s="26" t="str">
        <f>IFERROR(VLOOKUP(G5591,WholesaleExtract!B:K,10,FALSE),"")</f>
        <v/>
      </c>
      <c r="L5591" s="47" t="str">
        <f>IFERROR(VLOOKUP(G5591,WholesaleExtract!B:L,11,FALSE),"")</f>
        <v/>
      </c>
      <c r="M5591" s="47" t="str">
        <f>IFERROR(VLOOKUP(G5591,WholesaleExtract!B:M,12,FALSE),"")</f>
        <v/>
      </c>
      <c r="R5591" s="19"/>
      <c r="S5591" s="19"/>
    </row>
    <row r="5592" spans="1:19" x14ac:dyDescent="0.35">
      <c r="A5592" s="26" t="s">
        <v>543</v>
      </c>
      <c r="B5592" s="26" t="s">
        <v>543</v>
      </c>
      <c r="C5592" s="26"/>
      <c r="D5592" s="26" t="s">
        <v>543</v>
      </c>
      <c r="E5592" s="26" t="str">
        <f>IFERROR(VLOOKUP(G5592,WholesaleExtract!B:J,9,FALSE),"")</f>
        <v/>
      </c>
      <c r="F5592" s="26" t="str">
        <f>IFERROR(VLOOKUP(G5592,WholesaleExtract!B:J,6,FALSE),"")</f>
        <v/>
      </c>
      <c r="H5592" s="47" t="str">
        <f>IFERROR(VLOOKUP(G5592,WholesaleExtract!B:L,11,FALSE),"")</f>
        <v/>
      </c>
      <c r="I5592" s="26" t="str">
        <f>IFERROR(VLOOKUP(G5592,WholesaleExtract!B:O,8,FALSE),"")</f>
        <v/>
      </c>
      <c r="J5592" s="26" t="str">
        <f>IFERROR(VLOOKUP(G5592,WholesaleExtract!B:O,14,FALSE),"")</f>
        <v/>
      </c>
      <c r="K5592" s="26" t="str">
        <f>IFERROR(VLOOKUP(G5592,WholesaleExtract!B:K,10,FALSE),"")</f>
        <v/>
      </c>
      <c r="L5592" s="47" t="str">
        <f>IFERROR(VLOOKUP(G5592,WholesaleExtract!B:L,11,FALSE),"")</f>
        <v/>
      </c>
      <c r="M5592" s="47" t="str">
        <f>IFERROR(VLOOKUP(G5592,WholesaleExtract!B:M,12,FALSE),"")</f>
        <v/>
      </c>
      <c r="R5592" s="19"/>
      <c r="S5592" s="19"/>
    </row>
    <row r="5593" spans="1:19" x14ac:dyDescent="0.35">
      <c r="A5593" s="26" t="s">
        <v>543</v>
      </c>
      <c r="B5593" s="26" t="s">
        <v>543</v>
      </c>
      <c r="C5593" s="26"/>
      <c r="D5593" s="26" t="s">
        <v>543</v>
      </c>
      <c r="E5593" s="26" t="str">
        <f>IFERROR(VLOOKUP(G5593,WholesaleExtract!B:J,9,FALSE),"")</f>
        <v/>
      </c>
      <c r="F5593" s="26" t="str">
        <f>IFERROR(VLOOKUP(G5593,WholesaleExtract!B:J,6,FALSE),"")</f>
        <v/>
      </c>
      <c r="H5593" s="47" t="str">
        <f>IFERROR(VLOOKUP(G5593,WholesaleExtract!B:L,11,FALSE),"")</f>
        <v/>
      </c>
      <c r="I5593" s="26" t="str">
        <f>IFERROR(VLOOKUP(G5593,WholesaleExtract!B:O,8,FALSE),"")</f>
        <v/>
      </c>
      <c r="J5593" s="26" t="str">
        <f>IFERROR(VLOOKUP(G5593,WholesaleExtract!B:O,14,FALSE),"")</f>
        <v/>
      </c>
      <c r="K5593" s="26" t="str">
        <f>IFERROR(VLOOKUP(G5593,WholesaleExtract!B:K,10,FALSE),"")</f>
        <v/>
      </c>
      <c r="L5593" s="47" t="str">
        <f>IFERROR(VLOOKUP(G5593,WholesaleExtract!B:L,11,FALSE),"")</f>
        <v/>
      </c>
      <c r="M5593" s="47" t="str">
        <f>IFERROR(VLOOKUP(G5593,WholesaleExtract!B:M,12,FALSE),"")</f>
        <v/>
      </c>
      <c r="R5593" s="19"/>
      <c r="S5593" s="19"/>
    </row>
    <row r="5594" spans="1:19" x14ac:dyDescent="0.35">
      <c r="A5594" s="26" t="s">
        <v>543</v>
      </c>
      <c r="B5594" s="26" t="s">
        <v>543</v>
      </c>
      <c r="C5594" s="26"/>
      <c r="D5594" s="26" t="s">
        <v>543</v>
      </c>
      <c r="E5594" s="26" t="str">
        <f>IFERROR(VLOOKUP(G5594,WholesaleExtract!B:J,9,FALSE),"")</f>
        <v/>
      </c>
      <c r="F5594" s="26" t="str">
        <f>IFERROR(VLOOKUP(G5594,WholesaleExtract!B:J,6,FALSE),"")</f>
        <v/>
      </c>
      <c r="H5594" s="47" t="str">
        <f>IFERROR(VLOOKUP(G5594,WholesaleExtract!B:L,11,FALSE),"")</f>
        <v/>
      </c>
      <c r="I5594" s="26" t="str">
        <f>IFERROR(VLOOKUP(G5594,WholesaleExtract!B:O,8,FALSE),"")</f>
        <v/>
      </c>
      <c r="J5594" s="26" t="str">
        <f>IFERROR(VLOOKUP(G5594,WholesaleExtract!B:O,14,FALSE),"")</f>
        <v/>
      </c>
      <c r="K5594" s="26" t="str">
        <f>IFERROR(VLOOKUP(G5594,WholesaleExtract!B:K,10,FALSE),"")</f>
        <v/>
      </c>
      <c r="L5594" s="47" t="str">
        <f>IFERROR(VLOOKUP(G5594,WholesaleExtract!B:L,11,FALSE),"")</f>
        <v/>
      </c>
      <c r="M5594" s="47" t="str">
        <f>IFERROR(VLOOKUP(G5594,WholesaleExtract!B:M,12,FALSE),"")</f>
        <v/>
      </c>
      <c r="R5594" s="19"/>
      <c r="S5594" s="19"/>
    </row>
    <row r="5595" spans="1:19" x14ac:dyDescent="0.35">
      <c r="A5595" s="26" t="s">
        <v>543</v>
      </c>
      <c r="B5595" s="26" t="s">
        <v>543</v>
      </c>
      <c r="C5595" s="26"/>
      <c r="D5595" s="26" t="s">
        <v>543</v>
      </c>
      <c r="E5595" s="26" t="str">
        <f>IFERROR(VLOOKUP(G5595,WholesaleExtract!B:J,9,FALSE),"")</f>
        <v/>
      </c>
      <c r="F5595" s="26" t="str">
        <f>IFERROR(VLOOKUP(G5595,WholesaleExtract!B:J,6,FALSE),"")</f>
        <v/>
      </c>
      <c r="H5595" s="47" t="str">
        <f>IFERROR(VLOOKUP(G5595,WholesaleExtract!B:L,11,FALSE),"")</f>
        <v/>
      </c>
      <c r="I5595" s="26" t="str">
        <f>IFERROR(VLOOKUP(G5595,WholesaleExtract!B:O,8,FALSE),"")</f>
        <v/>
      </c>
      <c r="J5595" s="26" t="str">
        <f>IFERROR(VLOOKUP(G5595,WholesaleExtract!B:O,14,FALSE),"")</f>
        <v/>
      </c>
      <c r="K5595" s="26" t="str">
        <f>IFERROR(VLOOKUP(G5595,WholesaleExtract!B:K,10,FALSE),"")</f>
        <v/>
      </c>
      <c r="L5595" s="47" t="str">
        <f>IFERROR(VLOOKUP(G5595,WholesaleExtract!B:L,11,FALSE),"")</f>
        <v/>
      </c>
      <c r="M5595" s="47" t="str">
        <f>IFERROR(VLOOKUP(G5595,WholesaleExtract!B:M,12,FALSE),"")</f>
        <v/>
      </c>
      <c r="R5595" s="19"/>
      <c r="S5595" s="19"/>
    </row>
    <row r="5596" spans="1:19" x14ac:dyDescent="0.35">
      <c r="A5596" s="26" t="s">
        <v>543</v>
      </c>
      <c r="B5596" s="26" t="s">
        <v>543</v>
      </c>
      <c r="C5596" s="26"/>
      <c r="D5596" s="26" t="s">
        <v>543</v>
      </c>
      <c r="E5596" s="26" t="str">
        <f>IFERROR(VLOOKUP(G5596,WholesaleExtract!B:J,9,FALSE),"")</f>
        <v/>
      </c>
      <c r="F5596" s="26" t="str">
        <f>IFERROR(VLOOKUP(G5596,WholesaleExtract!B:J,6,FALSE),"")</f>
        <v/>
      </c>
      <c r="H5596" s="47" t="str">
        <f>IFERROR(VLOOKUP(G5596,WholesaleExtract!B:L,11,FALSE),"")</f>
        <v/>
      </c>
      <c r="I5596" s="26" t="str">
        <f>IFERROR(VLOOKUP(G5596,WholesaleExtract!B:O,8,FALSE),"")</f>
        <v/>
      </c>
      <c r="J5596" s="26" t="str">
        <f>IFERROR(VLOOKUP(G5596,WholesaleExtract!B:O,14,FALSE),"")</f>
        <v/>
      </c>
      <c r="K5596" s="26" t="str">
        <f>IFERROR(VLOOKUP(G5596,WholesaleExtract!B:K,10,FALSE),"")</f>
        <v/>
      </c>
      <c r="L5596" s="47" t="str">
        <f>IFERROR(VLOOKUP(G5596,WholesaleExtract!B:L,11,FALSE),"")</f>
        <v/>
      </c>
      <c r="M5596" s="47" t="str">
        <f>IFERROR(VLOOKUP(G5596,WholesaleExtract!B:M,12,FALSE),"")</f>
        <v/>
      </c>
      <c r="R5596" s="19"/>
      <c r="S5596" s="19"/>
    </row>
    <row r="5597" spans="1:19" x14ac:dyDescent="0.35">
      <c r="A5597" s="26" t="s">
        <v>543</v>
      </c>
      <c r="B5597" s="26" t="s">
        <v>543</v>
      </c>
      <c r="C5597" s="26"/>
      <c r="D5597" s="26" t="s">
        <v>543</v>
      </c>
      <c r="E5597" s="26" t="str">
        <f>IFERROR(VLOOKUP(G5597,WholesaleExtract!B:J,9,FALSE),"")</f>
        <v/>
      </c>
      <c r="F5597" s="26" t="str">
        <f>IFERROR(VLOOKUP(G5597,WholesaleExtract!B:J,6,FALSE),"")</f>
        <v/>
      </c>
      <c r="H5597" s="47" t="str">
        <f>IFERROR(VLOOKUP(G5597,WholesaleExtract!B:L,11,FALSE),"")</f>
        <v/>
      </c>
      <c r="I5597" s="26" t="str">
        <f>IFERROR(VLOOKUP(G5597,WholesaleExtract!B:O,8,FALSE),"")</f>
        <v/>
      </c>
      <c r="J5597" s="26" t="str">
        <f>IFERROR(VLOOKUP(G5597,WholesaleExtract!B:O,14,FALSE),"")</f>
        <v/>
      </c>
      <c r="K5597" s="26" t="str">
        <f>IFERROR(VLOOKUP(G5597,WholesaleExtract!B:K,10,FALSE),"")</f>
        <v/>
      </c>
      <c r="L5597" s="47" t="str">
        <f>IFERROR(VLOOKUP(G5597,WholesaleExtract!B:L,11,FALSE),"")</f>
        <v/>
      </c>
      <c r="M5597" s="47" t="str">
        <f>IFERROR(VLOOKUP(G5597,WholesaleExtract!B:M,12,FALSE),"")</f>
        <v/>
      </c>
      <c r="R5597" s="19"/>
      <c r="S5597" s="19"/>
    </row>
    <row r="5598" spans="1:19" x14ac:dyDescent="0.35">
      <c r="A5598" s="26" t="s">
        <v>543</v>
      </c>
      <c r="B5598" s="26" t="s">
        <v>543</v>
      </c>
      <c r="C5598" s="26"/>
      <c r="D5598" s="26" t="s">
        <v>543</v>
      </c>
      <c r="E5598" s="26" t="str">
        <f>IFERROR(VLOOKUP(G5598,WholesaleExtract!B:J,9,FALSE),"")</f>
        <v/>
      </c>
      <c r="F5598" s="26" t="str">
        <f>IFERROR(VLOOKUP(G5598,WholesaleExtract!B:J,6,FALSE),"")</f>
        <v/>
      </c>
      <c r="H5598" s="47" t="str">
        <f>IFERROR(VLOOKUP(G5598,WholesaleExtract!B:L,11,FALSE),"")</f>
        <v/>
      </c>
      <c r="I5598" s="26" t="str">
        <f>IFERROR(VLOOKUP(G5598,WholesaleExtract!B:O,8,FALSE),"")</f>
        <v/>
      </c>
      <c r="J5598" s="26" t="str">
        <f>IFERROR(VLOOKUP(G5598,WholesaleExtract!B:O,14,FALSE),"")</f>
        <v/>
      </c>
      <c r="K5598" s="26" t="str">
        <f>IFERROR(VLOOKUP(G5598,WholesaleExtract!B:K,10,FALSE),"")</f>
        <v/>
      </c>
      <c r="L5598" s="47" t="str">
        <f>IFERROR(VLOOKUP(G5598,WholesaleExtract!B:L,11,FALSE),"")</f>
        <v/>
      </c>
      <c r="M5598" s="47" t="str">
        <f>IFERROR(VLOOKUP(G5598,WholesaleExtract!B:M,12,FALSE),"")</f>
        <v/>
      </c>
      <c r="R5598" s="19"/>
      <c r="S5598" s="19"/>
    </row>
    <row r="5599" spans="1:19" x14ac:dyDescent="0.35">
      <c r="A5599" s="26" t="s">
        <v>543</v>
      </c>
      <c r="B5599" s="26" t="s">
        <v>543</v>
      </c>
      <c r="C5599" s="26"/>
      <c r="D5599" s="26" t="s">
        <v>543</v>
      </c>
      <c r="E5599" s="26" t="str">
        <f>IFERROR(VLOOKUP(G5599,WholesaleExtract!B:J,9,FALSE),"")</f>
        <v/>
      </c>
      <c r="F5599" s="26" t="str">
        <f>IFERROR(VLOOKUP(G5599,WholesaleExtract!B:J,6,FALSE),"")</f>
        <v/>
      </c>
      <c r="H5599" s="47" t="str">
        <f>IFERROR(VLOOKUP(G5599,WholesaleExtract!B:L,11,FALSE),"")</f>
        <v/>
      </c>
      <c r="I5599" s="26" t="str">
        <f>IFERROR(VLOOKUP(G5599,WholesaleExtract!B:O,8,FALSE),"")</f>
        <v/>
      </c>
      <c r="J5599" s="26" t="str">
        <f>IFERROR(VLOOKUP(G5599,WholesaleExtract!B:O,14,FALSE),"")</f>
        <v/>
      </c>
      <c r="K5599" s="26" t="str">
        <f>IFERROR(VLOOKUP(G5599,WholesaleExtract!B:K,10,FALSE),"")</f>
        <v/>
      </c>
      <c r="L5599" s="47" t="str">
        <f>IFERROR(VLOOKUP(G5599,WholesaleExtract!B:L,11,FALSE),"")</f>
        <v/>
      </c>
      <c r="M5599" s="47" t="str">
        <f>IFERROR(VLOOKUP(G5599,WholesaleExtract!B:M,12,FALSE),"")</f>
        <v/>
      </c>
      <c r="R5599" s="19"/>
      <c r="S5599" s="19"/>
    </row>
    <row r="5600" spans="1:19" x14ac:dyDescent="0.35">
      <c r="A5600" s="26" t="s">
        <v>543</v>
      </c>
      <c r="B5600" s="26" t="s">
        <v>543</v>
      </c>
      <c r="C5600" s="26"/>
      <c r="D5600" s="26" t="s">
        <v>543</v>
      </c>
      <c r="E5600" s="26" t="str">
        <f>IFERROR(VLOOKUP(G5600,WholesaleExtract!B:J,9,FALSE),"")</f>
        <v/>
      </c>
      <c r="F5600" s="26" t="str">
        <f>IFERROR(VLOOKUP(G5600,WholesaleExtract!B:J,6,FALSE),"")</f>
        <v/>
      </c>
      <c r="H5600" s="47" t="str">
        <f>IFERROR(VLOOKUP(G5600,WholesaleExtract!B:L,11,FALSE),"")</f>
        <v/>
      </c>
      <c r="I5600" s="26" t="str">
        <f>IFERROR(VLOOKUP(G5600,WholesaleExtract!B:O,8,FALSE),"")</f>
        <v/>
      </c>
      <c r="J5600" s="26" t="str">
        <f>IFERROR(VLOOKUP(G5600,WholesaleExtract!B:O,14,FALSE),"")</f>
        <v/>
      </c>
      <c r="K5600" s="26" t="str">
        <f>IFERROR(VLOOKUP(G5600,WholesaleExtract!B:K,10,FALSE),"")</f>
        <v/>
      </c>
      <c r="L5600" s="47" t="str">
        <f>IFERROR(VLOOKUP(G5600,WholesaleExtract!B:L,11,FALSE),"")</f>
        <v/>
      </c>
      <c r="M5600" s="47" t="str">
        <f>IFERROR(VLOOKUP(G5600,WholesaleExtract!B:M,12,FALSE),"")</f>
        <v/>
      </c>
      <c r="R5600" s="19"/>
      <c r="S5600" s="19"/>
    </row>
    <row r="5601" spans="1:19" x14ac:dyDescent="0.35">
      <c r="A5601" s="26" t="s">
        <v>543</v>
      </c>
      <c r="B5601" s="26" t="s">
        <v>543</v>
      </c>
      <c r="C5601" s="26"/>
      <c r="D5601" s="26" t="s">
        <v>543</v>
      </c>
      <c r="E5601" s="26" t="str">
        <f>IFERROR(VLOOKUP(G5601,WholesaleExtract!B:J,9,FALSE),"")</f>
        <v/>
      </c>
      <c r="F5601" s="26" t="str">
        <f>IFERROR(VLOOKUP(G5601,WholesaleExtract!B:J,6,FALSE),"")</f>
        <v/>
      </c>
      <c r="H5601" s="47" t="str">
        <f>IFERROR(VLOOKUP(G5601,WholesaleExtract!B:L,11,FALSE),"")</f>
        <v/>
      </c>
      <c r="I5601" s="26" t="str">
        <f>IFERROR(VLOOKUP(G5601,WholesaleExtract!B:O,8,FALSE),"")</f>
        <v/>
      </c>
      <c r="J5601" s="26" t="str">
        <f>IFERROR(VLOOKUP(G5601,WholesaleExtract!B:O,14,FALSE),"")</f>
        <v/>
      </c>
      <c r="K5601" s="26" t="str">
        <f>IFERROR(VLOOKUP(G5601,WholesaleExtract!B:K,10,FALSE),"")</f>
        <v/>
      </c>
      <c r="L5601" s="47" t="str">
        <f>IFERROR(VLOOKUP(G5601,WholesaleExtract!B:L,11,FALSE),"")</f>
        <v/>
      </c>
      <c r="M5601" s="47" t="str">
        <f>IFERROR(VLOOKUP(G5601,WholesaleExtract!B:M,12,FALSE),"")</f>
        <v/>
      </c>
      <c r="R5601" s="19"/>
      <c r="S5601" s="19"/>
    </row>
    <row r="5602" spans="1:19" x14ac:dyDescent="0.35">
      <c r="A5602" s="26" t="s">
        <v>543</v>
      </c>
      <c r="B5602" s="26" t="s">
        <v>543</v>
      </c>
      <c r="C5602" s="26"/>
      <c r="D5602" s="26" t="s">
        <v>543</v>
      </c>
      <c r="E5602" s="26" t="str">
        <f>IFERROR(VLOOKUP(G5602,WholesaleExtract!B:J,9,FALSE),"")</f>
        <v/>
      </c>
      <c r="F5602" s="26" t="str">
        <f>IFERROR(VLOOKUP(G5602,WholesaleExtract!B:J,6,FALSE),"")</f>
        <v/>
      </c>
      <c r="H5602" s="47" t="str">
        <f>IFERROR(VLOOKUP(G5602,WholesaleExtract!B:L,11,FALSE),"")</f>
        <v/>
      </c>
      <c r="I5602" s="26" t="str">
        <f>IFERROR(VLOOKUP(G5602,WholesaleExtract!B:O,8,FALSE),"")</f>
        <v/>
      </c>
      <c r="J5602" s="26" t="str">
        <f>IFERROR(VLOOKUP(G5602,WholesaleExtract!B:O,14,FALSE),"")</f>
        <v/>
      </c>
      <c r="K5602" s="26" t="str">
        <f>IFERROR(VLOOKUP(G5602,WholesaleExtract!B:K,10,FALSE),"")</f>
        <v/>
      </c>
      <c r="L5602" s="47" t="str">
        <f>IFERROR(VLOOKUP(G5602,WholesaleExtract!B:L,11,FALSE),"")</f>
        <v/>
      </c>
      <c r="M5602" s="47" t="str">
        <f>IFERROR(VLOOKUP(G5602,WholesaleExtract!B:M,12,FALSE),"")</f>
        <v/>
      </c>
      <c r="R5602" s="19"/>
      <c r="S5602" s="19"/>
    </row>
    <row r="5603" spans="1:19" x14ac:dyDescent="0.35">
      <c r="A5603" s="26" t="s">
        <v>543</v>
      </c>
      <c r="B5603" s="26" t="s">
        <v>543</v>
      </c>
      <c r="C5603" s="26"/>
      <c r="D5603" s="26" t="s">
        <v>543</v>
      </c>
      <c r="E5603" s="26" t="str">
        <f>IFERROR(VLOOKUP(G5603,WholesaleExtract!B:J,9,FALSE),"")</f>
        <v/>
      </c>
      <c r="F5603" s="26" t="str">
        <f>IFERROR(VLOOKUP(G5603,WholesaleExtract!B:J,6,FALSE),"")</f>
        <v/>
      </c>
      <c r="H5603" s="47" t="str">
        <f>IFERROR(VLOOKUP(G5603,WholesaleExtract!B:L,11,FALSE),"")</f>
        <v/>
      </c>
      <c r="I5603" s="26" t="str">
        <f>IFERROR(VLOOKUP(G5603,WholesaleExtract!B:O,8,FALSE),"")</f>
        <v/>
      </c>
      <c r="J5603" s="26" t="str">
        <f>IFERROR(VLOOKUP(G5603,WholesaleExtract!B:O,14,FALSE),"")</f>
        <v/>
      </c>
      <c r="K5603" s="26" t="str">
        <f>IFERROR(VLOOKUP(G5603,WholesaleExtract!B:K,10,FALSE),"")</f>
        <v/>
      </c>
      <c r="L5603" s="47" t="str">
        <f>IFERROR(VLOOKUP(G5603,WholesaleExtract!B:L,11,FALSE),"")</f>
        <v/>
      </c>
      <c r="M5603" s="47" t="str">
        <f>IFERROR(VLOOKUP(G5603,WholesaleExtract!B:M,12,FALSE),"")</f>
        <v/>
      </c>
      <c r="R5603" s="19"/>
      <c r="S5603" s="19"/>
    </row>
    <row r="5604" spans="1:19" x14ac:dyDescent="0.35">
      <c r="A5604" s="26" t="s">
        <v>543</v>
      </c>
      <c r="B5604" s="26" t="s">
        <v>543</v>
      </c>
      <c r="C5604" s="26"/>
      <c r="D5604" s="26" t="s">
        <v>543</v>
      </c>
      <c r="E5604" s="26" t="str">
        <f>IFERROR(VLOOKUP(G5604,WholesaleExtract!B:J,9,FALSE),"")</f>
        <v/>
      </c>
      <c r="F5604" s="26" t="str">
        <f>IFERROR(VLOOKUP(G5604,WholesaleExtract!B:J,6,FALSE),"")</f>
        <v/>
      </c>
      <c r="H5604" s="47" t="str">
        <f>IFERROR(VLOOKUP(G5604,WholesaleExtract!B:L,11,FALSE),"")</f>
        <v/>
      </c>
      <c r="I5604" s="26" t="str">
        <f>IFERROR(VLOOKUP(G5604,WholesaleExtract!B:O,8,FALSE),"")</f>
        <v/>
      </c>
      <c r="J5604" s="26" t="str">
        <f>IFERROR(VLOOKUP(G5604,WholesaleExtract!B:O,14,FALSE),"")</f>
        <v/>
      </c>
      <c r="K5604" s="26" t="str">
        <f>IFERROR(VLOOKUP(G5604,WholesaleExtract!B:K,10,FALSE),"")</f>
        <v/>
      </c>
      <c r="L5604" s="47" t="str">
        <f>IFERROR(VLOOKUP(G5604,WholesaleExtract!B:L,11,FALSE),"")</f>
        <v/>
      </c>
      <c r="M5604" s="47" t="str">
        <f>IFERROR(VLOOKUP(G5604,WholesaleExtract!B:M,12,FALSE),"")</f>
        <v/>
      </c>
      <c r="R5604" s="19"/>
      <c r="S5604" s="19"/>
    </row>
    <row r="5605" spans="1:19" x14ac:dyDescent="0.35">
      <c r="A5605" s="26" t="s">
        <v>543</v>
      </c>
      <c r="B5605" s="26" t="s">
        <v>543</v>
      </c>
      <c r="C5605" s="26"/>
      <c r="D5605" s="26" t="s">
        <v>543</v>
      </c>
      <c r="E5605" s="26" t="str">
        <f>IFERROR(VLOOKUP(G5605,WholesaleExtract!B:J,9,FALSE),"")</f>
        <v/>
      </c>
      <c r="F5605" s="26" t="str">
        <f>IFERROR(VLOOKUP(G5605,WholesaleExtract!B:J,6,FALSE),"")</f>
        <v/>
      </c>
      <c r="H5605" s="47" t="str">
        <f>IFERROR(VLOOKUP(G5605,WholesaleExtract!B:L,11,FALSE),"")</f>
        <v/>
      </c>
      <c r="I5605" s="26" t="str">
        <f>IFERROR(VLOOKUP(G5605,WholesaleExtract!B:O,8,FALSE),"")</f>
        <v/>
      </c>
      <c r="J5605" s="26" t="str">
        <f>IFERROR(VLOOKUP(G5605,WholesaleExtract!B:O,14,FALSE),"")</f>
        <v/>
      </c>
      <c r="K5605" s="26" t="str">
        <f>IFERROR(VLOOKUP(G5605,WholesaleExtract!B:K,10,FALSE),"")</f>
        <v/>
      </c>
      <c r="L5605" s="47" t="str">
        <f>IFERROR(VLOOKUP(G5605,WholesaleExtract!B:L,11,FALSE),"")</f>
        <v/>
      </c>
      <c r="M5605" s="47" t="str">
        <f>IFERROR(VLOOKUP(G5605,WholesaleExtract!B:M,12,FALSE),"")</f>
        <v/>
      </c>
      <c r="R5605" s="19"/>
      <c r="S5605" s="19"/>
    </row>
    <row r="5606" spans="1:19" x14ac:dyDescent="0.35">
      <c r="A5606" s="26" t="s">
        <v>543</v>
      </c>
      <c r="B5606" s="26" t="s">
        <v>543</v>
      </c>
      <c r="C5606" s="26"/>
      <c r="D5606" s="26" t="s">
        <v>543</v>
      </c>
      <c r="E5606" s="26" t="str">
        <f>IFERROR(VLOOKUP(G5606,WholesaleExtract!B:J,9,FALSE),"")</f>
        <v/>
      </c>
      <c r="F5606" s="26" t="str">
        <f>IFERROR(VLOOKUP(G5606,WholesaleExtract!B:J,6,FALSE),"")</f>
        <v/>
      </c>
      <c r="H5606" s="47" t="str">
        <f>IFERROR(VLOOKUP(G5606,WholesaleExtract!B:L,11,FALSE),"")</f>
        <v/>
      </c>
      <c r="I5606" s="26" t="str">
        <f>IFERROR(VLOOKUP(G5606,WholesaleExtract!B:O,8,FALSE),"")</f>
        <v/>
      </c>
      <c r="J5606" s="26" t="str">
        <f>IFERROR(VLOOKUP(G5606,WholesaleExtract!B:O,14,FALSE),"")</f>
        <v/>
      </c>
      <c r="K5606" s="26" t="str">
        <f>IFERROR(VLOOKUP(G5606,WholesaleExtract!B:K,10,FALSE),"")</f>
        <v/>
      </c>
      <c r="L5606" s="47" t="str">
        <f>IFERROR(VLOOKUP(G5606,WholesaleExtract!B:L,11,FALSE),"")</f>
        <v/>
      </c>
      <c r="M5606" s="47" t="str">
        <f>IFERROR(VLOOKUP(G5606,WholesaleExtract!B:M,12,FALSE),"")</f>
        <v/>
      </c>
      <c r="R5606" s="19"/>
      <c r="S5606" s="19"/>
    </row>
    <row r="5607" spans="1:19" x14ac:dyDescent="0.35">
      <c r="A5607" s="26" t="s">
        <v>543</v>
      </c>
      <c r="B5607" s="26" t="s">
        <v>543</v>
      </c>
      <c r="C5607" s="26"/>
      <c r="D5607" s="26" t="s">
        <v>543</v>
      </c>
      <c r="E5607" s="26" t="str">
        <f>IFERROR(VLOOKUP(G5607,WholesaleExtract!B:J,9,FALSE),"")</f>
        <v/>
      </c>
      <c r="F5607" s="26" t="str">
        <f>IFERROR(VLOOKUP(G5607,WholesaleExtract!B:J,6,FALSE),"")</f>
        <v/>
      </c>
      <c r="H5607" s="47" t="str">
        <f>IFERROR(VLOOKUP(G5607,WholesaleExtract!B:L,11,FALSE),"")</f>
        <v/>
      </c>
      <c r="I5607" s="26" t="str">
        <f>IFERROR(VLOOKUP(G5607,WholesaleExtract!B:O,8,FALSE),"")</f>
        <v/>
      </c>
      <c r="J5607" s="26" t="str">
        <f>IFERROR(VLOOKUP(G5607,WholesaleExtract!B:O,14,FALSE),"")</f>
        <v/>
      </c>
      <c r="K5607" s="26" t="str">
        <f>IFERROR(VLOOKUP(G5607,WholesaleExtract!B:K,10,FALSE),"")</f>
        <v/>
      </c>
      <c r="L5607" s="47" t="str">
        <f>IFERROR(VLOOKUP(G5607,WholesaleExtract!B:L,11,FALSE),"")</f>
        <v/>
      </c>
      <c r="M5607" s="47" t="str">
        <f>IFERROR(VLOOKUP(G5607,WholesaleExtract!B:M,12,FALSE),"")</f>
        <v/>
      </c>
      <c r="R5607" s="19"/>
      <c r="S5607" s="19"/>
    </row>
    <row r="5608" spans="1:19" x14ac:dyDescent="0.35">
      <c r="A5608" s="26" t="s">
        <v>543</v>
      </c>
      <c r="B5608" s="26" t="s">
        <v>543</v>
      </c>
      <c r="C5608" s="26"/>
      <c r="D5608" s="26" t="s">
        <v>543</v>
      </c>
      <c r="E5608" s="26" t="str">
        <f>IFERROR(VLOOKUP(G5608,WholesaleExtract!B:J,9,FALSE),"")</f>
        <v/>
      </c>
      <c r="F5608" s="26" t="str">
        <f>IFERROR(VLOOKUP(G5608,WholesaleExtract!B:J,6,FALSE),"")</f>
        <v/>
      </c>
      <c r="H5608" s="47" t="str">
        <f>IFERROR(VLOOKUP(G5608,WholesaleExtract!B:L,11,FALSE),"")</f>
        <v/>
      </c>
      <c r="I5608" s="26" t="str">
        <f>IFERROR(VLOOKUP(G5608,WholesaleExtract!B:O,8,FALSE),"")</f>
        <v/>
      </c>
      <c r="J5608" s="26" t="str">
        <f>IFERROR(VLOOKUP(G5608,WholesaleExtract!B:O,14,FALSE),"")</f>
        <v/>
      </c>
      <c r="K5608" s="26" t="str">
        <f>IFERROR(VLOOKUP(G5608,WholesaleExtract!B:K,10,FALSE),"")</f>
        <v/>
      </c>
      <c r="L5608" s="47" t="str">
        <f>IFERROR(VLOOKUP(G5608,WholesaleExtract!B:L,11,FALSE),"")</f>
        <v/>
      </c>
      <c r="M5608" s="47" t="str">
        <f>IFERROR(VLOOKUP(G5608,WholesaleExtract!B:M,12,FALSE),"")</f>
        <v/>
      </c>
      <c r="R5608" s="19"/>
      <c r="S5608" s="19"/>
    </row>
    <row r="5609" spans="1:19" x14ac:dyDescent="0.35">
      <c r="A5609" s="26" t="s">
        <v>543</v>
      </c>
      <c r="B5609" s="26" t="s">
        <v>543</v>
      </c>
      <c r="C5609" s="26"/>
      <c r="D5609" s="26" t="s">
        <v>543</v>
      </c>
      <c r="E5609" s="26" t="str">
        <f>IFERROR(VLOOKUP(G5609,WholesaleExtract!B:J,9,FALSE),"")</f>
        <v/>
      </c>
      <c r="F5609" s="26" t="str">
        <f>IFERROR(VLOOKUP(G5609,WholesaleExtract!B:J,6,FALSE),"")</f>
        <v/>
      </c>
      <c r="H5609" s="47" t="str">
        <f>IFERROR(VLOOKUP(G5609,WholesaleExtract!B:L,11,FALSE),"")</f>
        <v/>
      </c>
      <c r="I5609" s="26" t="str">
        <f>IFERROR(VLOOKUP(G5609,WholesaleExtract!B:O,8,FALSE),"")</f>
        <v/>
      </c>
      <c r="J5609" s="26" t="str">
        <f>IFERROR(VLOOKUP(G5609,WholesaleExtract!B:O,14,FALSE),"")</f>
        <v/>
      </c>
      <c r="K5609" s="26" t="str">
        <f>IFERROR(VLOOKUP(G5609,WholesaleExtract!B:K,10,FALSE),"")</f>
        <v/>
      </c>
      <c r="L5609" s="47" t="str">
        <f>IFERROR(VLOOKUP(G5609,WholesaleExtract!B:L,11,FALSE),"")</f>
        <v/>
      </c>
      <c r="M5609" s="47" t="str">
        <f>IFERROR(VLOOKUP(G5609,WholesaleExtract!B:M,12,FALSE),"")</f>
        <v/>
      </c>
      <c r="R5609" s="19"/>
      <c r="S5609" s="19"/>
    </row>
    <row r="5610" spans="1:19" x14ac:dyDescent="0.35">
      <c r="A5610" s="26" t="s">
        <v>543</v>
      </c>
      <c r="B5610" s="26" t="s">
        <v>543</v>
      </c>
      <c r="C5610" s="26"/>
      <c r="D5610" s="26" t="s">
        <v>543</v>
      </c>
      <c r="E5610" s="26" t="str">
        <f>IFERROR(VLOOKUP(G5610,WholesaleExtract!B:J,9,FALSE),"")</f>
        <v/>
      </c>
      <c r="F5610" s="26" t="str">
        <f>IFERROR(VLOOKUP(G5610,WholesaleExtract!B:J,6,FALSE),"")</f>
        <v/>
      </c>
      <c r="H5610" s="47" t="str">
        <f>IFERROR(VLOOKUP(G5610,WholesaleExtract!B:L,11,FALSE),"")</f>
        <v/>
      </c>
      <c r="I5610" s="26" t="str">
        <f>IFERROR(VLOOKUP(G5610,WholesaleExtract!B:O,8,FALSE),"")</f>
        <v/>
      </c>
      <c r="J5610" s="26" t="str">
        <f>IFERROR(VLOOKUP(G5610,WholesaleExtract!B:O,14,FALSE),"")</f>
        <v/>
      </c>
      <c r="K5610" s="26" t="str">
        <f>IFERROR(VLOOKUP(G5610,WholesaleExtract!B:K,10,FALSE),"")</f>
        <v/>
      </c>
      <c r="L5610" s="47" t="str">
        <f>IFERROR(VLOOKUP(G5610,WholesaleExtract!B:L,11,FALSE),"")</f>
        <v/>
      </c>
      <c r="M5610" s="47" t="str">
        <f>IFERROR(VLOOKUP(G5610,WholesaleExtract!B:M,12,FALSE),"")</f>
        <v/>
      </c>
      <c r="R5610" s="19"/>
      <c r="S5610" s="19"/>
    </row>
    <row r="5611" spans="1:19" x14ac:dyDescent="0.35">
      <c r="A5611" s="26" t="s">
        <v>543</v>
      </c>
      <c r="B5611" s="26" t="s">
        <v>543</v>
      </c>
      <c r="C5611" s="26"/>
      <c r="D5611" s="26" t="s">
        <v>543</v>
      </c>
      <c r="E5611" s="26" t="str">
        <f>IFERROR(VLOOKUP(G5611,WholesaleExtract!B:J,9,FALSE),"")</f>
        <v/>
      </c>
      <c r="F5611" s="26" t="str">
        <f>IFERROR(VLOOKUP(G5611,WholesaleExtract!B:J,6,FALSE),"")</f>
        <v/>
      </c>
      <c r="H5611" s="47" t="str">
        <f>IFERROR(VLOOKUP(G5611,WholesaleExtract!B:L,11,FALSE),"")</f>
        <v/>
      </c>
      <c r="I5611" s="26" t="str">
        <f>IFERROR(VLOOKUP(G5611,WholesaleExtract!B:O,8,FALSE),"")</f>
        <v/>
      </c>
      <c r="J5611" s="26" t="str">
        <f>IFERROR(VLOOKUP(G5611,WholesaleExtract!B:O,14,FALSE),"")</f>
        <v/>
      </c>
      <c r="K5611" s="26" t="str">
        <f>IFERROR(VLOOKUP(G5611,WholesaleExtract!B:K,10,FALSE),"")</f>
        <v/>
      </c>
      <c r="L5611" s="47" t="str">
        <f>IFERROR(VLOOKUP(G5611,WholesaleExtract!B:L,11,FALSE),"")</f>
        <v/>
      </c>
      <c r="M5611" s="47" t="str">
        <f>IFERROR(VLOOKUP(G5611,WholesaleExtract!B:M,12,FALSE),"")</f>
        <v/>
      </c>
      <c r="R5611" s="19"/>
      <c r="S5611" s="19"/>
    </row>
    <row r="5612" spans="1:19" x14ac:dyDescent="0.35">
      <c r="A5612" s="26" t="s">
        <v>543</v>
      </c>
      <c r="B5612" s="26" t="s">
        <v>543</v>
      </c>
      <c r="C5612" s="26"/>
      <c r="D5612" s="26" t="s">
        <v>543</v>
      </c>
      <c r="E5612" s="26" t="str">
        <f>IFERROR(VLOOKUP(G5612,WholesaleExtract!B:J,9,FALSE),"")</f>
        <v/>
      </c>
      <c r="F5612" s="26" t="str">
        <f>IFERROR(VLOOKUP(G5612,WholesaleExtract!B:J,6,FALSE),"")</f>
        <v/>
      </c>
      <c r="H5612" s="47" t="str">
        <f>IFERROR(VLOOKUP(G5612,WholesaleExtract!B:L,11,FALSE),"")</f>
        <v/>
      </c>
      <c r="I5612" s="26" t="str">
        <f>IFERROR(VLOOKUP(G5612,WholesaleExtract!B:O,8,FALSE),"")</f>
        <v/>
      </c>
      <c r="J5612" s="26" t="str">
        <f>IFERROR(VLOOKUP(G5612,WholesaleExtract!B:O,14,FALSE),"")</f>
        <v/>
      </c>
      <c r="K5612" s="26" t="str">
        <f>IFERROR(VLOOKUP(G5612,WholesaleExtract!B:K,10,FALSE),"")</f>
        <v/>
      </c>
      <c r="L5612" s="47" t="str">
        <f>IFERROR(VLOOKUP(G5612,WholesaleExtract!B:L,11,FALSE),"")</f>
        <v/>
      </c>
      <c r="M5612" s="47" t="str">
        <f>IFERROR(VLOOKUP(G5612,WholesaleExtract!B:M,12,FALSE),"")</f>
        <v/>
      </c>
      <c r="R5612" s="19"/>
      <c r="S5612" s="19"/>
    </row>
    <row r="5613" spans="1:19" x14ac:dyDescent="0.35">
      <c r="A5613" s="26" t="s">
        <v>543</v>
      </c>
      <c r="B5613" s="26" t="s">
        <v>543</v>
      </c>
      <c r="C5613" s="26"/>
      <c r="D5613" s="26" t="s">
        <v>543</v>
      </c>
      <c r="E5613" s="26" t="str">
        <f>IFERROR(VLOOKUP(G5613,WholesaleExtract!B:J,9,FALSE),"")</f>
        <v/>
      </c>
      <c r="F5613" s="26" t="str">
        <f>IFERROR(VLOOKUP(G5613,WholesaleExtract!B:J,6,FALSE),"")</f>
        <v/>
      </c>
      <c r="H5613" s="47" t="str">
        <f>IFERROR(VLOOKUP(G5613,WholesaleExtract!B:L,11,FALSE),"")</f>
        <v/>
      </c>
      <c r="I5613" s="26" t="str">
        <f>IFERROR(VLOOKUP(G5613,WholesaleExtract!B:O,8,FALSE),"")</f>
        <v/>
      </c>
      <c r="J5613" s="26" t="str">
        <f>IFERROR(VLOOKUP(G5613,WholesaleExtract!B:O,14,FALSE),"")</f>
        <v/>
      </c>
      <c r="K5613" s="26" t="str">
        <f>IFERROR(VLOOKUP(G5613,WholesaleExtract!B:K,10,FALSE),"")</f>
        <v/>
      </c>
      <c r="L5613" s="47" t="str">
        <f>IFERROR(VLOOKUP(G5613,WholesaleExtract!B:L,11,FALSE),"")</f>
        <v/>
      </c>
      <c r="M5613" s="47" t="str">
        <f>IFERROR(VLOOKUP(G5613,WholesaleExtract!B:M,12,FALSE),"")</f>
        <v/>
      </c>
      <c r="R5613" s="19"/>
      <c r="S5613" s="19"/>
    </row>
    <row r="5614" spans="1:19" x14ac:dyDescent="0.35">
      <c r="A5614" s="26" t="s">
        <v>543</v>
      </c>
      <c r="B5614" s="26" t="s">
        <v>543</v>
      </c>
      <c r="C5614" s="26"/>
      <c r="D5614" s="26" t="s">
        <v>543</v>
      </c>
      <c r="E5614" s="26" t="str">
        <f>IFERROR(VLOOKUP(G5614,WholesaleExtract!B:J,9,FALSE),"")</f>
        <v/>
      </c>
      <c r="F5614" s="26" t="str">
        <f>IFERROR(VLOOKUP(G5614,WholesaleExtract!B:J,6,FALSE),"")</f>
        <v/>
      </c>
      <c r="H5614" s="47" t="str">
        <f>IFERROR(VLOOKUP(G5614,WholesaleExtract!B:L,11,FALSE),"")</f>
        <v/>
      </c>
      <c r="I5614" s="26" t="str">
        <f>IFERROR(VLOOKUP(G5614,WholesaleExtract!B:O,8,FALSE),"")</f>
        <v/>
      </c>
      <c r="J5614" s="26" t="str">
        <f>IFERROR(VLOOKUP(G5614,WholesaleExtract!B:O,14,FALSE),"")</f>
        <v/>
      </c>
      <c r="K5614" s="26" t="str">
        <f>IFERROR(VLOOKUP(G5614,WholesaleExtract!B:K,10,FALSE),"")</f>
        <v/>
      </c>
      <c r="L5614" s="47" t="str">
        <f>IFERROR(VLOOKUP(G5614,WholesaleExtract!B:L,11,FALSE),"")</f>
        <v/>
      </c>
      <c r="M5614" s="47" t="str">
        <f>IFERROR(VLOOKUP(G5614,WholesaleExtract!B:M,12,FALSE),"")</f>
        <v/>
      </c>
      <c r="R5614" s="19"/>
      <c r="S5614" s="19"/>
    </row>
    <row r="5615" spans="1:19" x14ac:dyDescent="0.35">
      <c r="A5615" s="26" t="s">
        <v>543</v>
      </c>
      <c r="B5615" s="26" t="s">
        <v>543</v>
      </c>
      <c r="C5615" s="26"/>
      <c r="D5615" s="26" t="s">
        <v>543</v>
      </c>
      <c r="E5615" s="26" t="str">
        <f>IFERROR(VLOOKUP(G5615,WholesaleExtract!B:J,9,FALSE),"")</f>
        <v/>
      </c>
      <c r="F5615" s="26" t="str">
        <f>IFERROR(VLOOKUP(G5615,WholesaleExtract!B:J,6,FALSE),"")</f>
        <v/>
      </c>
      <c r="H5615" s="47" t="str">
        <f>IFERROR(VLOOKUP(G5615,WholesaleExtract!B:L,11,FALSE),"")</f>
        <v/>
      </c>
      <c r="I5615" s="26" t="str">
        <f>IFERROR(VLOOKUP(G5615,WholesaleExtract!B:O,8,FALSE),"")</f>
        <v/>
      </c>
      <c r="J5615" s="26" t="str">
        <f>IFERROR(VLOOKUP(G5615,WholesaleExtract!B:O,14,FALSE),"")</f>
        <v/>
      </c>
      <c r="K5615" s="26" t="str">
        <f>IFERROR(VLOOKUP(G5615,WholesaleExtract!B:K,10,FALSE),"")</f>
        <v/>
      </c>
      <c r="L5615" s="47" t="str">
        <f>IFERROR(VLOOKUP(G5615,WholesaleExtract!B:L,11,FALSE),"")</f>
        <v/>
      </c>
      <c r="M5615" s="47" t="str">
        <f>IFERROR(VLOOKUP(G5615,WholesaleExtract!B:M,12,FALSE),"")</f>
        <v/>
      </c>
      <c r="R5615" s="19"/>
      <c r="S5615" s="19"/>
    </row>
    <row r="5616" spans="1:19" x14ac:dyDescent="0.35">
      <c r="A5616" s="26" t="s">
        <v>543</v>
      </c>
      <c r="B5616" s="26" t="s">
        <v>543</v>
      </c>
      <c r="C5616" s="26"/>
      <c r="D5616" s="26" t="s">
        <v>543</v>
      </c>
      <c r="E5616" s="26" t="str">
        <f>IFERROR(VLOOKUP(G5616,WholesaleExtract!B:J,9,FALSE),"")</f>
        <v/>
      </c>
      <c r="F5616" s="26" t="str">
        <f>IFERROR(VLOOKUP(G5616,WholesaleExtract!B:J,6,FALSE),"")</f>
        <v/>
      </c>
      <c r="H5616" s="47" t="str">
        <f>IFERROR(VLOOKUP(G5616,WholesaleExtract!B:L,11,FALSE),"")</f>
        <v/>
      </c>
      <c r="I5616" s="26" t="str">
        <f>IFERROR(VLOOKUP(G5616,WholesaleExtract!B:O,8,FALSE),"")</f>
        <v/>
      </c>
      <c r="J5616" s="26" t="str">
        <f>IFERROR(VLOOKUP(G5616,WholesaleExtract!B:O,14,FALSE),"")</f>
        <v/>
      </c>
      <c r="K5616" s="26" t="str">
        <f>IFERROR(VLOOKUP(G5616,WholesaleExtract!B:K,10,FALSE),"")</f>
        <v/>
      </c>
      <c r="L5616" s="47" t="str">
        <f>IFERROR(VLOOKUP(G5616,WholesaleExtract!B:L,11,FALSE),"")</f>
        <v/>
      </c>
      <c r="M5616" s="47" t="str">
        <f>IFERROR(VLOOKUP(G5616,WholesaleExtract!B:M,12,FALSE),"")</f>
        <v/>
      </c>
      <c r="R5616" s="19"/>
      <c r="S5616" s="19"/>
    </row>
    <row r="5617" spans="1:19" x14ac:dyDescent="0.35">
      <c r="A5617" s="26" t="s">
        <v>543</v>
      </c>
      <c r="B5617" s="26" t="s">
        <v>543</v>
      </c>
      <c r="C5617" s="26"/>
      <c r="D5617" s="26" t="s">
        <v>543</v>
      </c>
      <c r="E5617" s="26" t="str">
        <f>IFERROR(VLOOKUP(G5617,WholesaleExtract!B:J,9,FALSE),"")</f>
        <v/>
      </c>
      <c r="F5617" s="26" t="str">
        <f>IFERROR(VLOOKUP(G5617,WholesaleExtract!B:J,6,FALSE),"")</f>
        <v/>
      </c>
      <c r="H5617" s="47" t="str">
        <f>IFERROR(VLOOKUP(G5617,WholesaleExtract!B:L,11,FALSE),"")</f>
        <v/>
      </c>
      <c r="I5617" s="26" t="str">
        <f>IFERROR(VLOOKUP(G5617,WholesaleExtract!B:O,8,FALSE),"")</f>
        <v/>
      </c>
      <c r="J5617" s="26" t="str">
        <f>IFERROR(VLOOKUP(G5617,WholesaleExtract!B:O,14,FALSE),"")</f>
        <v/>
      </c>
      <c r="K5617" s="26" t="str">
        <f>IFERROR(VLOOKUP(G5617,WholesaleExtract!B:K,10,FALSE),"")</f>
        <v/>
      </c>
      <c r="L5617" s="47" t="str">
        <f>IFERROR(VLOOKUP(G5617,WholesaleExtract!B:L,11,FALSE),"")</f>
        <v/>
      </c>
      <c r="M5617" s="47" t="str">
        <f>IFERROR(VLOOKUP(G5617,WholesaleExtract!B:M,12,FALSE),"")</f>
        <v/>
      </c>
      <c r="R5617" s="19"/>
      <c r="S5617" s="19"/>
    </row>
    <row r="5618" spans="1:19" x14ac:dyDescent="0.35">
      <c r="A5618" s="26" t="s">
        <v>543</v>
      </c>
      <c r="B5618" s="26" t="s">
        <v>543</v>
      </c>
      <c r="C5618" s="26"/>
      <c r="D5618" s="26" t="s">
        <v>543</v>
      </c>
      <c r="E5618" s="26" t="str">
        <f>IFERROR(VLOOKUP(G5618,WholesaleExtract!B:J,9,FALSE),"")</f>
        <v/>
      </c>
      <c r="F5618" s="26" t="str">
        <f>IFERROR(VLOOKUP(G5618,WholesaleExtract!B:J,6,FALSE),"")</f>
        <v/>
      </c>
      <c r="H5618" s="47" t="str">
        <f>IFERROR(VLOOKUP(G5618,WholesaleExtract!B:L,11,FALSE),"")</f>
        <v/>
      </c>
      <c r="I5618" s="26" t="str">
        <f>IFERROR(VLOOKUP(G5618,WholesaleExtract!B:O,8,FALSE),"")</f>
        <v/>
      </c>
      <c r="J5618" s="26" t="str">
        <f>IFERROR(VLOOKUP(G5618,WholesaleExtract!B:O,14,FALSE),"")</f>
        <v/>
      </c>
      <c r="K5618" s="26" t="str">
        <f>IFERROR(VLOOKUP(G5618,WholesaleExtract!B:K,10,FALSE),"")</f>
        <v/>
      </c>
      <c r="L5618" s="47" t="str">
        <f>IFERROR(VLOOKUP(G5618,WholesaleExtract!B:L,11,FALSE),"")</f>
        <v/>
      </c>
      <c r="M5618" s="47" t="str">
        <f>IFERROR(VLOOKUP(G5618,WholesaleExtract!B:M,12,FALSE),"")</f>
        <v/>
      </c>
      <c r="R5618" s="19"/>
      <c r="S5618" s="19"/>
    </row>
    <row r="5619" spans="1:19" x14ac:dyDescent="0.35">
      <c r="A5619" s="26" t="s">
        <v>543</v>
      </c>
      <c r="B5619" s="26" t="s">
        <v>543</v>
      </c>
      <c r="C5619" s="26"/>
      <c r="D5619" s="26" t="s">
        <v>543</v>
      </c>
      <c r="E5619" s="26" t="str">
        <f>IFERROR(VLOOKUP(G5619,WholesaleExtract!B:J,9,FALSE),"")</f>
        <v/>
      </c>
      <c r="F5619" s="26" t="str">
        <f>IFERROR(VLOOKUP(G5619,WholesaleExtract!B:J,6,FALSE),"")</f>
        <v/>
      </c>
      <c r="H5619" s="47" t="str">
        <f>IFERROR(VLOOKUP(G5619,WholesaleExtract!B:L,11,FALSE),"")</f>
        <v/>
      </c>
      <c r="I5619" s="26" t="str">
        <f>IFERROR(VLOOKUP(G5619,WholesaleExtract!B:O,8,FALSE),"")</f>
        <v/>
      </c>
      <c r="J5619" s="26" t="str">
        <f>IFERROR(VLOOKUP(G5619,WholesaleExtract!B:O,14,FALSE),"")</f>
        <v/>
      </c>
      <c r="K5619" s="26" t="str">
        <f>IFERROR(VLOOKUP(G5619,WholesaleExtract!B:K,10,FALSE),"")</f>
        <v/>
      </c>
      <c r="L5619" s="47" t="str">
        <f>IFERROR(VLOOKUP(G5619,WholesaleExtract!B:L,11,FALSE),"")</f>
        <v/>
      </c>
      <c r="M5619" s="47" t="str">
        <f>IFERROR(VLOOKUP(G5619,WholesaleExtract!B:M,12,FALSE),"")</f>
        <v/>
      </c>
      <c r="R5619" s="19"/>
      <c r="S5619" s="19"/>
    </row>
    <row r="5620" spans="1:19" x14ac:dyDescent="0.35">
      <c r="A5620" s="26" t="s">
        <v>543</v>
      </c>
      <c r="B5620" s="26" t="s">
        <v>543</v>
      </c>
      <c r="C5620" s="26"/>
      <c r="D5620" s="26" t="s">
        <v>543</v>
      </c>
      <c r="E5620" s="26" t="str">
        <f>IFERROR(VLOOKUP(G5620,WholesaleExtract!B:J,9,FALSE),"")</f>
        <v/>
      </c>
      <c r="F5620" s="26" t="str">
        <f>IFERROR(VLOOKUP(G5620,WholesaleExtract!B:J,6,FALSE),"")</f>
        <v/>
      </c>
      <c r="H5620" s="47" t="str">
        <f>IFERROR(VLOOKUP(G5620,WholesaleExtract!B:L,11,FALSE),"")</f>
        <v/>
      </c>
      <c r="I5620" s="26" t="str">
        <f>IFERROR(VLOOKUP(G5620,WholesaleExtract!B:O,8,FALSE),"")</f>
        <v/>
      </c>
      <c r="J5620" s="26" t="str">
        <f>IFERROR(VLOOKUP(G5620,WholesaleExtract!B:O,14,FALSE),"")</f>
        <v/>
      </c>
      <c r="K5620" s="26" t="str">
        <f>IFERROR(VLOOKUP(G5620,WholesaleExtract!B:K,10,FALSE),"")</f>
        <v/>
      </c>
      <c r="L5620" s="47" t="str">
        <f>IFERROR(VLOOKUP(G5620,WholesaleExtract!B:L,11,FALSE),"")</f>
        <v/>
      </c>
      <c r="M5620" s="47" t="str">
        <f>IFERROR(VLOOKUP(G5620,WholesaleExtract!B:M,12,FALSE),"")</f>
        <v/>
      </c>
      <c r="R5620" s="19"/>
      <c r="S5620" s="19"/>
    </row>
    <row r="5621" spans="1:19" x14ac:dyDescent="0.35">
      <c r="A5621" s="26" t="s">
        <v>543</v>
      </c>
      <c r="B5621" s="26" t="s">
        <v>543</v>
      </c>
      <c r="C5621" s="26"/>
      <c r="D5621" s="26" t="s">
        <v>543</v>
      </c>
      <c r="E5621" s="26" t="str">
        <f>IFERROR(VLOOKUP(G5621,WholesaleExtract!B:J,9,FALSE),"")</f>
        <v/>
      </c>
      <c r="F5621" s="26" t="str">
        <f>IFERROR(VLOOKUP(G5621,WholesaleExtract!B:J,6,FALSE),"")</f>
        <v/>
      </c>
      <c r="H5621" s="47" t="str">
        <f>IFERROR(VLOOKUP(G5621,WholesaleExtract!B:L,11,FALSE),"")</f>
        <v/>
      </c>
      <c r="I5621" s="26" t="str">
        <f>IFERROR(VLOOKUP(G5621,WholesaleExtract!B:O,8,FALSE),"")</f>
        <v/>
      </c>
      <c r="J5621" s="26" t="str">
        <f>IFERROR(VLOOKUP(G5621,WholesaleExtract!B:O,14,FALSE),"")</f>
        <v/>
      </c>
      <c r="K5621" s="26" t="str">
        <f>IFERROR(VLOOKUP(G5621,WholesaleExtract!B:K,10,FALSE),"")</f>
        <v/>
      </c>
      <c r="L5621" s="47" t="str">
        <f>IFERROR(VLOOKUP(G5621,WholesaleExtract!B:L,11,FALSE),"")</f>
        <v/>
      </c>
      <c r="M5621" s="47" t="str">
        <f>IFERROR(VLOOKUP(G5621,WholesaleExtract!B:M,12,FALSE),"")</f>
        <v/>
      </c>
      <c r="R5621" s="19"/>
      <c r="S5621" s="19"/>
    </row>
    <row r="5622" spans="1:19" x14ac:dyDescent="0.35">
      <c r="A5622" s="26" t="s">
        <v>543</v>
      </c>
      <c r="B5622" s="26" t="s">
        <v>543</v>
      </c>
      <c r="C5622" s="26"/>
      <c r="D5622" s="26" t="s">
        <v>543</v>
      </c>
      <c r="E5622" s="26" t="str">
        <f>IFERROR(VLOOKUP(G5622,WholesaleExtract!B:J,9,FALSE),"")</f>
        <v/>
      </c>
      <c r="F5622" s="26" t="str">
        <f>IFERROR(VLOOKUP(G5622,WholesaleExtract!B:J,6,FALSE),"")</f>
        <v/>
      </c>
      <c r="H5622" s="47" t="str">
        <f>IFERROR(VLOOKUP(G5622,WholesaleExtract!B:L,11,FALSE),"")</f>
        <v/>
      </c>
      <c r="I5622" s="26" t="str">
        <f>IFERROR(VLOOKUP(G5622,WholesaleExtract!B:O,8,FALSE),"")</f>
        <v/>
      </c>
      <c r="J5622" s="26" t="str">
        <f>IFERROR(VLOOKUP(G5622,WholesaleExtract!B:O,14,FALSE),"")</f>
        <v/>
      </c>
      <c r="K5622" s="26" t="str">
        <f>IFERROR(VLOOKUP(G5622,WholesaleExtract!B:K,10,FALSE),"")</f>
        <v/>
      </c>
      <c r="L5622" s="47" t="str">
        <f>IFERROR(VLOOKUP(G5622,WholesaleExtract!B:L,11,FALSE),"")</f>
        <v/>
      </c>
      <c r="M5622" s="47" t="str">
        <f>IFERROR(VLOOKUP(G5622,WholesaleExtract!B:M,12,FALSE),"")</f>
        <v/>
      </c>
      <c r="R5622" s="19"/>
      <c r="S5622" s="19"/>
    </row>
    <row r="5623" spans="1:19" x14ac:dyDescent="0.35">
      <c r="A5623" s="26" t="s">
        <v>543</v>
      </c>
      <c r="B5623" s="26" t="s">
        <v>543</v>
      </c>
      <c r="C5623" s="26"/>
      <c r="D5623" s="26" t="s">
        <v>543</v>
      </c>
      <c r="E5623" s="26" t="str">
        <f>IFERROR(VLOOKUP(G5623,WholesaleExtract!B:J,9,FALSE),"")</f>
        <v/>
      </c>
      <c r="F5623" s="26" t="str">
        <f>IFERROR(VLOOKUP(G5623,WholesaleExtract!B:J,6,FALSE),"")</f>
        <v/>
      </c>
      <c r="H5623" s="47" t="str">
        <f>IFERROR(VLOOKUP(G5623,WholesaleExtract!B:L,11,FALSE),"")</f>
        <v/>
      </c>
      <c r="I5623" s="26" t="str">
        <f>IFERROR(VLOOKUP(G5623,WholesaleExtract!B:O,8,FALSE),"")</f>
        <v/>
      </c>
      <c r="J5623" s="26" t="str">
        <f>IFERROR(VLOOKUP(G5623,WholesaleExtract!B:O,14,FALSE),"")</f>
        <v/>
      </c>
      <c r="K5623" s="26" t="str">
        <f>IFERROR(VLOOKUP(G5623,WholesaleExtract!B:K,10,FALSE),"")</f>
        <v/>
      </c>
      <c r="L5623" s="47" t="str">
        <f>IFERROR(VLOOKUP(G5623,WholesaleExtract!B:L,11,FALSE),"")</f>
        <v/>
      </c>
      <c r="M5623" s="47" t="str">
        <f>IFERROR(VLOOKUP(G5623,WholesaleExtract!B:M,12,FALSE),"")</f>
        <v/>
      </c>
      <c r="R5623" s="19"/>
      <c r="S5623" s="19"/>
    </row>
    <row r="5624" spans="1:19" x14ac:dyDescent="0.35">
      <c r="A5624" s="26" t="s">
        <v>543</v>
      </c>
      <c r="B5624" s="26" t="s">
        <v>543</v>
      </c>
      <c r="C5624" s="26"/>
      <c r="D5624" s="26" t="s">
        <v>543</v>
      </c>
      <c r="E5624" s="26" t="str">
        <f>IFERROR(VLOOKUP(G5624,WholesaleExtract!B:J,9,FALSE),"")</f>
        <v/>
      </c>
      <c r="F5624" s="26" t="str">
        <f>IFERROR(VLOOKUP(G5624,WholesaleExtract!B:J,6,FALSE),"")</f>
        <v/>
      </c>
      <c r="H5624" s="47" t="str">
        <f>IFERROR(VLOOKUP(G5624,WholesaleExtract!B:L,11,FALSE),"")</f>
        <v/>
      </c>
      <c r="I5624" s="26" t="str">
        <f>IFERROR(VLOOKUP(G5624,WholesaleExtract!B:O,8,FALSE),"")</f>
        <v/>
      </c>
      <c r="J5624" s="26" t="str">
        <f>IFERROR(VLOOKUP(G5624,WholesaleExtract!B:O,14,FALSE),"")</f>
        <v/>
      </c>
      <c r="K5624" s="26" t="str">
        <f>IFERROR(VLOOKUP(G5624,WholesaleExtract!B:K,10,FALSE),"")</f>
        <v/>
      </c>
      <c r="L5624" s="47" t="str">
        <f>IFERROR(VLOOKUP(G5624,WholesaleExtract!B:L,11,FALSE),"")</f>
        <v/>
      </c>
      <c r="M5624" s="47" t="str">
        <f>IFERROR(VLOOKUP(G5624,WholesaleExtract!B:M,12,FALSE),"")</f>
        <v/>
      </c>
      <c r="R5624" s="19"/>
      <c r="S5624" s="19"/>
    </row>
    <row r="5625" spans="1:19" x14ac:dyDescent="0.35">
      <c r="A5625" s="26" t="s">
        <v>543</v>
      </c>
      <c r="B5625" s="26" t="s">
        <v>543</v>
      </c>
      <c r="C5625" s="26"/>
      <c r="D5625" s="26" t="s">
        <v>543</v>
      </c>
      <c r="E5625" s="26" t="str">
        <f>IFERROR(VLOOKUP(G5625,WholesaleExtract!B:J,9,FALSE),"")</f>
        <v/>
      </c>
      <c r="F5625" s="26" t="str">
        <f>IFERROR(VLOOKUP(G5625,WholesaleExtract!B:J,6,FALSE),"")</f>
        <v/>
      </c>
      <c r="H5625" s="47" t="str">
        <f>IFERROR(VLOOKUP(G5625,WholesaleExtract!B:L,11,FALSE),"")</f>
        <v/>
      </c>
      <c r="I5625" s="26" t="str">
        <f>IFERROR(VLOOKUP(G5625,WholesaleExtract!B:O,8,FALSE),"")</f>
        <v/>
      </c>
      <c r="J5625" s="26" t="str">
        <f>IFERROR(VLOOKUP(G5625,WholesaleExtract!B:O,14,FALSE),"")</f>
        <v/>
      </c>
      <c r="K5625" s="26" t="str">
        <f>IFERROR(VLOOKUP(G5625,WholesaleExtract!B:K,10,FALSE),"")</f>
        <v/>
      </c>
      <c r="L5625" s="47" t="str">
        <f>IFERROR(VLOOKUP(G5625,WholesaleExtract!B:L,11,FALSE),"")</f>
        <v/>
      </c>
      <c r="M5625" s="47" t="str">
        <f>IFERROR(VLOOKUP(G5625,WholesaleExtract!B:M,12,FALSE),"")</f>
        <v/>
      </c>
      <c r="R5625" s="19"/>
      <c r="S5625" s="19"/>
    </row>
    <row r="5626" spans="1:19" x14ac:dyDescent="0.35">
      <c r="A5626" s="26" t="s">
        <v>543</v>
      </c>
      <c r="B5626" s="26" t="s">
        <v>543</v>
      </c>
      <c r="C5626" s="26"/>
      <c r="D5626" s="26" t="s">
        <v>543</v>
      </c>
      <c r="E5626" s="26" t="str">
        <f>IFERROR(VLOOKUP(G5626,WholesaleExtract!B:J,9,FALSE),"")</f>
        <v/>
      </c>
      <c r="F5626" s="26" t="str">
        <f>IFERROR(VLOOKUP(G5626,WholesaleExtract!B:J,6,FALSE),"")</f>
        <v/>
      </c>
      <c r="H5626" s="47" t="str">
        <f>IFERROR(VLOOKUP(G5626,WholesaleExtract!B:L,11,FALSE),"")</f>
        <v/>
      </c>
      <c r="I5626" s="26" t="str">
        <f>IFERROR(VLOOKUP(G5626,WholesaleExtract!B:O,8,FALSE),"")</f>
        <v/>
      </c>
      <c r="J5626" s="26" t="str">
        <f>IFERROR(VLOOKUP(G5626,WholesaleExtract!B:O,14,FALSE),"")</f>
        <v/>
      </c>
      <c r="K5626" s="26" t="str">
        <f>IFERROR(VLOOKUP(G5626,WholesaleExtract!B:K,10,FALSE),"")</f>
        <v/>
      </c>
      <c r="L5626" s="47" t="str">
        <f>IFERROR(VLOOKUP(G5626,WholesaleExtract!B:L,11,FALSE),"")</f>
        <v/>
      </c>
      <c r="M5626" s="47" t="str">
        <f>IFERROR(VLOOKUP(G5626,WholesaleExtract!B:M,12,FALSE),"")</f>
        <v/>
      </c>
      <c r="R5626" s="19"/>
      <c r="S5626" s="19"/>
    </row>
    <row r="5627" spans="1:19" x14ac:dyDescent="0.35">
      <c r="A5627" s="26" t="s">
        <v>543</v>
      </c>
      <c r="B5627" s="26" t="s">
        <v>543</v>
      </c>
      <c r="C5627" s="26"/>
      <c r="D5627" s="26" t="s">
        <v>543</v>
      </c>
      <c r="E5627" s="26" t="str">
        <f>IFERROR(VLOOKUP(G5627,WholesaleExtract!B:J,9,FALSE),"")</f>
        <v/>
      </c>
      <c r="F5627" s="26" t="str">
        <f>IFERROR(VLOOKUP(G5627,WholesaleExtract!B:J,6,FALSE),"")</f>
        <v/>
      </c>
      <c r="H5627" s="47" t="str">
        <f>IFERROR(VLOOKUP(G5627,WholesaleExtract!B:L,11,FALSE),"")</f>
        <v/>
      </c>
      <c r="I5627" s="26" t="str">
        <f>IFERROR(VLOOKUP(G5627,WholesaleExtract!B:O,8,FALSE),"")</f>
        <v/>
      </c>
      <c r="J5627" s="26" t="str">
        <f>IFERROR(VLOOKUP(G5627,WholesaleExtract!B:O,14,FALSE),"")</f>
        <v/>
      </c>
      <c r="K5627" s="26" t="str">
        <f>IFERROR(VLOOKUP(G5627,WholesaleExtract!B:K,10,FALSE),"")</f>
        <v/>
      </c>
      <c r="L5627" s="47" t="str">
        <f>IFERROR(VLOOKUP(G5627,WholesaleExtract!B:L,11,FALSE),"")</f>
        <v/>
      </c>
      <c r="M5627" s="47" t="str">
        <f>IFERROR(VLOOKUP(G5627,WholesaleExtract!B:M,12,FALSE),"")</f>
        <v/>
      </c>
      <c r="R5627" s="19"/>
      <c r="S5627" s="19"/>
    </row>
    <row r="5628" spans="1:19" x14ac:dyDescent="0.35">
      <c r="A5628" s="26" t="s">
        <v>543</v>
      </c>
      <c r="B5628" s="26" t="s">
        <v>543</v>
      </c>
      <c r="C5628" s="26"/>
      <c r="D5628" s="26" t="s">
        <v>543</v>
      </c>
      <c r="E5628" s="26" t="str">
        <f>IFERROR(VLOOKUP(G5628,WholesaleExtract!B:J,9,FALSE),"")</f>
        <v/>
      </c>
      <c r="F5628" s="26" t="str">
        <f>IFERROR(VLOOKUP(G5628,WholesaleExtract!B:J,6,FALSE),"")</f>
        <v/>
      </c>
      <c r="H5628" s="47" t="str">
        <f>IFERROR(VLOOKUP(G5628,WholesaleExtract!B:L,11,FALSE),"")</f>
        <v/>
      </c>
      <c r="I5628" s="26" t="str">
        <f>IFERROR(VLOOKUP(G5628,WholesaleExtract!B:O,8,FALSE),"")</f>
        <v/>
      </c>
      <c r="J5628" s="26" t="str">
        <f>IFERROR(VLOOKUP(G5628,WholesaleExtract!B:O,14,FALSE),"")</f>
        <v/>
      </c>
      <c r="K5628" s="26" t="str">
        <f>IFERROR(VLOOKUP(G5628,WholesaleExtract!B:K,10,FALSE),"")</f>
        <v/>
      </c>
      <c r="L5628" s="47" t="str">
        <f>IFERROR(VLOOKUP(G5628,WholesaleExtract!B:L,11,FALSE),"")</f>
        <v/>
      </c>
      <c r="M5628" s="47" t="str">
        <f>IFERROR(VLOOKUP(G5628,WholesaleExtract!B:M,12,FALSE),"")</f>
        <v/>
      </c>
      <c r="R5628" s="19"/>
      <c r="S5628" s="19"/>
    </row>
    <row r="5629" spans="1:19" x14ac:dyDescent="0.35">
      <c r="A5629" s="26" t="s">
        <v>543</v>
      </c>
      <c r="B5629" s="26" t="s">
        <v>543</v>
      </c>
      <c r="C5629" s="26"/>
      <c r="D5629" s="26" t="s">
        <v>543</v>
      </c>
      <c r="E5629" s="26" t="str">
        <f>IFERROR(VLOOKUP(G5629,WholesaleExtract!B:J,9,FALSE),"")</f>
        <v/>
      </c>
      <c r="F5629" s="26" t="str">
        <f>IFERROR(VLOOKUP(G5629,WholesaleExtract!B:J,6,FALSE),"")</f>
        <v/>
      </c>
      <c r="H5629" s="47" t="str">
        <f>IFERROR(VLOOKUP(G5629,WholesaleExtract!B:L,11,FALSE),"")</f>
        <v/>
      </c>
      <c r="I5629" s="26" t="str">
        <f>IFERROR(VLOOKUP(G5629,WholesaleExtract!B:O,8,FALSE),"")</f>
        <v/>
      </c>
      <c r="J5629" s="26" t="str">
        <f>IFERROR(VLOOKUP(G5629,WholesaleExtract!B:O,14,FALSE),"")</f>
        <v/>
      </c>
      <c r="K5629" s="26" t="str">
        <f>IFERROR(VLOOKUP(G5629,WholesaleExtract!B:K,10,FALSE),"")</f>
        <v/>
      </c>
      <c r="L5629" s="47" t="str">
        <f>IFERROR(VLOOKUP(G5629,WholesaleExtract!B:L,11,FALSE),"")</f>
        <v/>
      </c>
      <c r="M5629" s="47" t="str">
        <f>IFERROR(VLOOKUP(G5629,WholesaleExtract!B:M,12,FALSE),"")</f>
        <v/>
      </c>
      <c r="R5629" s="19"/>
      <c r="S5629" s="19"/>
    </row>
    <row r="5630" spans="1:19" x14ac:dyDescent="0.35">
      <c r="A5630" s="26" t="s">
        <v>543</v>
      </c>
      <c r="B5630" s="26" t="s">
        <v>543</v>
      </c>
      <c r="C5630" s="26"/>
      <c r="D5630" s="26" t="s">
        <v>543</v>
      </c>
      <c r="E5630" s="26" t="str">
        <f>IFERROR(VLOOKUP(G5630,WholesaleExtract!B:J,9,FALSE),"")</f>
        <v/>
      </c>
      <c r="F5630" s="26" t="str">
        <f>IFERROR(VLOOKUP(G5630,WholesaleExtract!B:J,6,FALSE),"")</f>
        <v/>
      </c>
      <c r="H5630" s="47" t="str">
        <f>IFERROR(VLOOKUP(G5630,WholesaleExtract!B:L,11,FALSE),"")</f>
        <v/>
      </c>
      <c r="I5630" s="26" t="str">
        <f>IFERROR(VLOOKUP(G5630,WholesaleExtract!B:O,8,FALSE),"")</f>
        <v/>
      </c>
      <c r="J5630" s="26" t="str">
        <f>IFERROR(VLOOKUP(G5630,WholesaleExtract!B:O,14,FALSE),"")</f>
        <v/>
      </c>
      <c r="K5630" s="26" t="str">
        <f>IFERROR(VLOOKUP(G5630,WholesaleExtract!B:K,10,FALSE),"")</f>
        <v/>
      </c>
      <c r="L5630" s="47" t="str">
        <f>IFERROR(VLOOKUP(G5630,WholesaleExtract!B:L,11,FALSE),"")</f>
        <v/>
      </c>
      <c r="M5630" s="47" t="str">
        <f>IFERROR(VLOOKUP(G5630,WholesaleExtract!B:M,12,FALSE),"")</f>
        <v/>
      </c>
      <c r="R5630" s="19"/>
      <c r="S5630" s="19"/>
    </row>
    <row r="5631" spans="1:19" x14ac:dyDescent="0.35">
      <c r="A5631" s="26" t="s">
        <v>543</v>
      </c>
      <c r="B5631" s="26" t="s">
        <v>543</v>
      </c>
      <c r="C5631" s="26"/>
      <c r="D5631" s="26" t="s">
        <v>543</v>
      </c>
      <c r="E5631" s="26" t="str">
        <f>IFERROR(VLOOKUP(G5631,WholesaleExtract!B:J,9,FALSE),"")</f>
        <v/>
      </c>
      <c r="F5631" s="26" t="str">
        <f>IFERROR(VLOOKUP(G5631,WholesaleExtract!B:J,6,FALSE),"")</f>
        <v/>
      </c>
      <c r="H5631" s="47" t="str">
        <f>IFERROR(VLOOKUP(G5631,WholesaleExtract!B:L,11,FALSE),"")</f>
        <v/>
      </c>
      <c r="I5631" s="26" t="str">
        <f>IFERROR(VLOOKUP(G5631,WholesaleExtract!B:O,8,FALSE),"")</f>
        <v/>
      </c>
      <c r="J5631" s="26" t="str">
        <f>IFERROR(VLOOKUP(G5631,WholesaleExtract!B:O,14,FALSE),"")</f>
        <v/>
      </c>
      <c r="K5631" s="26" t="str">
        <f>IFERROR(VLOOKUP(G5631,WholesaleExtract!B:K,10,FALSE),"")</f>
        <v/>
      </c>
      <c r="L5631" s="47" t="str">
        <f>IFERROR(VLOOKUP(G5631,WholesaleExtract!B:L,11,FALSE),"")</f>
        <v/>
      </c>
      <c r="M5631" s="47" t="str">
        <f>IFERROR(VLOOKUP(G5631,WholesaleExtract!B:M,12,FALSE),"")</f>
        <v/>
      </c>
      <c r="R5631" s="19"/>
      <c r="S5631" s="19"/>
    </row>
    <row r="5632" spans="1:19" x14ac:dyDescent="0.35">
      <c r="A5632" s="26" t="s">
        <v>543</v>
      </c>
      <c r="B5632" s="26" t="s">
        <v>543</v>
      </c>
      <c r="C5632" s="26"/>
      <c r="D5632" s="26" t="s">
        <v>543</v>
      </c>
      <c r="E5632" s="26" t="str">
        <f>IFERROR(VLOOKUP(G5632,WholesaleExtract!B:J,9,FALSE),"")</f>
        <v/>
      </c>
      <c r="F5632" s="26" t="str">
        <f>IFERROR(VLOOKUP(G5632,WholesaleExtract!B:J,6,FALSE),"")</f>
        <v/>
      </c>
      <c r="H5632" s="47" t="str">
        <f>IFERROR(VLOOKUP(G5632,WholesaleExtract!B:L,11,FALSE),"")</f>
        <v/>
      </c>
      <c r="I5632" s="26" t="str">
        <f>IFERROR(VLOOKUP(G5632,WholesaleExtract!B:O,8,FALSE),"")</f>
        <v/>
      </c>
      <c r="J5632" s="26" t="str">
        <f>IFERROR(VLOOKUP(G5632,WholesaleExtract!B:O,14,FALSE),"")</f>
        <v/>
      </c>
      <c r="K5632" s="26" t="str">
        <f>IFERROR(VLOOKUP(G5632,WholesaleExtract!B:K,10,FALSE),"")</f>
        <v/>
      </c>
      <c r="L5632" s="47" t="str">
        <f>IFERROR(VLOOKUP(G5632,WholesaleExtract!B:L,11,FALSE),"")</f>
        <v/>
      </c>
      <c r="M5632" s="47" t="str">
        <f>IFERROR(VLOOKUP(G5632,WholesaleExtract!B:M,12,FALSE),"")</f>
        <v/>
      </c>
      <c r="R5632" s="19"/>
      <c r="S5632" s="19"/>
    </row>
    <row r="5633" spans="1:19" x14ac:dyDescent="0.35">
      <c r="A5633" s="26" t="s">
        <v>543</v>
      </c>
      <c r="B5633" s="26" t="s">
        <v>543</v>
      </c>
      <c r="C5633" s="26"/>
      <c r="D5633" s="26" t="s">
        <v>543</v>
      </c>
      <c r="E5633" s="26" t="str">
        <f>IFERROR(VLOOKUP(G5633,WholesaleExtract!B:J,9,FALSE),"")</f>
        <v/>
      </c>
      <c r="F5633" s="26" t="str">
        <f>IFERROR(VLOOKUP(G5633,WholesaleExtract!B:J,6,FALSE),"")</f>
        <v/>
      </c>
      <c r="H5633" s="47" t="str">
        <f>IFERROR(VLOOKUP(G5633,WholesaleExtract!B:L,11,FALSE),"")</f>
        <v/>
      </c>
      <c r="I5633" s="26" t="str">
        <f>IFERROR(VLOOKUP(G5633,WholesaleExtract!B:O,8,FALSE),"")</f>
        <v/>
      </c>
      <c r="J5633" s="26" t="str">
        <f>IFERROR(VLOOKUP(G5633,WholesaleExtract!B:O,14,FALSE),"")</f>
        <v/>
      </c>
      <c r="K5633" s="26" t="str">
        <f>IFERROR(VLOOKUP(G5633,WholesaleExtract!B:K,10,FALSE),"")</f>
        <v/>
      </c>
      <c r="L5633" s="47" t="str">
        <f>IFERROR(VLOOKUP(G5633,WholesaleExtract!B:L,11,FALSE),"")</f>
        <v/>
      </c>
      <c r="M5633" s="47" t="str">
        <f>IFERROR(VLOOKUP(G5633,WholesaleExtract!B:M,12,FALSE),"")</f>
        <v/>
      </c>
      <c r="R5633" s="19"/>
      <c r="S5633" s="19"/>
    </row>
    <row r="5634" spans="1:19" x14ac:dyDescent="0.35">
      <c r="A5634" s="26" t="s">
        <v>543</v>
      </c>
      <c r="B5634" s="26" t="s">
        <v>543</v>
      </c>
      <c r="C5634" s="26"/>
      <c r="D5634" s="26" t="s">
        <v>543</v>
      </c>
      <c r="E5634" s="26" t="str">
        <f>IFERROR(VLOOKUP(G5634,WholesaleExtract!B:J,9,FALSE),"")</f>
        <v/>
      </c>
      <c r="F5634" s="26" t="str">
        <f>IFERROR(VLOOKUP(G5634,WholesaleExtract!B:J,6,FALSE),"")</f>
        <v/>
      </c>
      <c r="H5634" s="47" t="str">
        <f>IFERROR(VLOOKUP(G5634,WholesaleExtract!B:L,11,FALSE),"")</f>
        <v/>
      </c>
      <c r="I5634" s="26" t="str">
        <f>IFERROR(VLOOKUP(G5634,WholesaleExtract!B:O,8,FALSE),"")</f>
        <v/>
      </c>
      <c r="J5634" s="26" t="str">
        <f>IFERROR(VLOOKUP(G5634,WholesaleExtract!B:O,14,FALSE),"")</f>
        <v/>
      </c>
      <c r="K5634" s="26" t="str">
        <f>IFERROR(VLOOKUP(G5634,WholesaleExtract!B:K,10,FALSE),"")</f>
        <v/>
      </c>
      <c r="L5634" s="47" t="str">
        <f>IFERROR(VLOOKUP(G5634,WholesaleExtract!B:L,11,FALSE),"")</f>
        <v/>
      </c>
      <c r="M5634" s="47" t="str">
        <f>IFERROR(VLOOKUP(G5634,WholesaleExtract!B:M,12,FALSE),"")</f>
        <v/>
      </c>
      <c r="R5634" s="19"/>
      <c r="S5634" s="19"/>
    </row>
    <row r="5635" spans="1:19" x14ac:dyDescent="0.35">
      <c r="A5635" s="26" t="s">
        <v>543</v>
      </c>
      <c r="B5635" s="26" t="s">
        <v>543</v>
      </c>
      <c r="C5635" s="26"/>
      <c r="D5635" s="26" t="s">
        <v>543</v>
      </c>
      <c r="E5635" s="26" t="str">
        <f>IFERROR(VLOOKUP(G5635,WholesaleExtract!B:J,9,FALSE),"")</f>
        <v/>
      </c>
      <c r="F5635" s="26" t="str">
        <f>IFERROR(VLOOKUP(G5635,WholesaleExtract!B:J,6,FALSE),"")</f>
        <v/>
      </c>
      <c r="H5635" s="47" t="str">
        <f>IFERROR(VLOOKUP(G5635,WholesaleExtract!B:L,11,FALSE),"")</f>
        <v/>
      </c>
      <c r="I5635" s="26" t="str">
        <f>IFERROR(VLOOKUP(G5635,WholesaleExtract!B:O,8,FALSE),"")</f>
        <v/>
      </c>
      <c r="J5635" s="26" t="str">
        <f>IFERROR(VLOOKUP(G5635,WholesaleExtract!B:O,14,FALSE),"")</f>
        <v/>
      </c>
      <c r="K5635" s="26" t="str">
        <f>IFERROR(VLOOKUP(G5635,WholesaleExtract!B:K,10,FALSE),"")</f>
        <v/>
      </c>
      <c r="L5635" s="47" t="str">
        <f>IFERROR(VLOOKUP(G5635,WholesaleExtract!B:L,11,FALSE),"")</f>
        <v/>
      </c>
      <c r="M5635" s="47" t="str">
        <f>IFERROR(VLOOKUP(G5635,WholesaleExtract!B:M,12,FALSE),"")</f>
        <v/>
      </c>
      <c r="R5635" s="19"/>
      <c r="S5635" s="19"/>
    </row>
    <row r="5636" spans="1:19" x14ac:dyDescent="0.35">
      <c r="A5636" s="26" t="s">
        <v>543</v>
      </c>
      <c r="B5636" s="26" t="s">
        <v>543</v>
      </c>
      <c r="C5636" s="26"/>
      <c r="D5636" s="26" t="s">
        <v>543</v>
      </c>
      <c r="E5636" s="26" t="str">
        <f>IFERROR(VLOOKUP(G5636,WholesaleExtract!B:J,9,FALSE),"")</f>
        <v/>
      </c>
      <c r="F5636" s="26" t="str">
        <f>IFERROR(VLOOKUP(G5636,WholesaleExtract!B:J,6,FALSE),"")</f>
        <v/>
      </c>
      <c r="H5636" s="47" t="str">
        <f>IFERROR(VLOOKUP(G5636,WholesaleExtract!B:L,11,FALSE),"")</f>
        <v/>
      </c>
      <c r="I5636" s="26" t="str">
        <f>IFERROR(VLOOKUP(G5636,WholesaleExtract!B:O,8,FALSE),"")</f>
        <v/>
      </c>
      <c r="J5636" s="26" t="str">
        <f>IFERROR(VLOOKUP(G5636,WholesaleExtract!B:O,14,FALSE),"")</f>
        <v/>
      </c>
      <c r="K5636" s="26" t="str">
        <f>IFERROR(VLOOKUP(G5636,WholesaleExtract!B:K,10,FALSE),"")</f>
        <v/>
      </c>
      <c r="L5636" s="47" t="str">
        <f>IFERROR(VLOOKUP(G5636,WholesaleExtract!B:L,11,FALSE),"")</f>
        <v/>
      </c>
      <c r="M5636" s="47" t="str">
        <f>IFERROR(VLOOKUP(G5636,WholesaleExtract!B:M,12,FALSE),"")</f>
        <v/>
      </c>
      <c r="R5636" s="19"/>
      <c r="S5636" s="19"/>
    </row>
    <row r="5637" spans="1:19" x14ac:dyDescent="0.35">
      <c r="A5637" s="26" t="s">
        <v>543</v>
      </c>
      <c r="B5637" s="26" t="s">
        <v>543</v>
      </c>
      <c r="C5637" s="26"/>
      <c r="D5637" s="26" t="s">
        <v>543</v>
      </c>
      <c r="E5637" s="26" t="str">
        <f>IFERROR(VLOOKUP(G5637,WholesaleExtract!B:J,9,FALSE),"")</f>
        <v/>
      </c>
      <c r="F5637" s="26" t="str">
        <f>IFERROR(VLOOKUP(G5637,WholesaleExtract!B:J,6,FALSE),"")</f>
        <v/>
      </c>
      <c r="H5637" s="47" t="str">
        <f>IFERROR(VLOOKUP(G5637,WholesaleExtract!B:L,11,FALSE),"")</f>
        <v/>
      </c>
      <c r="I5637" s="26" t="str">
        <f>IFERROR(VLOOKUP(G5637,WholesaleExtract!B:O,8,FALSE),"")</f>
        <v/>
      </c>
      <c r="J5637" s="26" t="str">
        <f>IFERROR(VLOOKUP(G5637,WholesaleExtract!B:O,14,FALSE),"")</f>
        <v/>
      </c>
      <c r="K5637" s="26" t="str">
        <f>IFERROR(VLOOKUP(G5637,WholesaleExtract!B:K,10,FALSE),"")</f>
        <v/>
      </c>
      <c r="L5637" s="47" t="str">
        <f>IFERROR(VLOOKUP(G5637,WholesaleExtract!B:L,11,FALSE),"")</f>
        <v/>
      </c>
      <c r="M5637" s="47" t="str">
        <f>IFERROR(VLOOKUP(G5637,WholesaleExtract!B:M,12,FALSE),"")</f>
        <v/>
      </c>
      <c r="R5637" s="19"/>
      <c r="S5637" s="19"/>
    </row>
    <row r="5638" spans="1:19" x14ac:dyDescent="0.35">
      <c r="A5638" s="26" t="s">
        <v>543</v>
      </c>
      <c r="B5638" s="26" t="s">
        <v>543</v>
      </c>
      <c r="C5638" s="26"/>
      <c r="D5638" s="26" t="s">
        <v>543</v>
      </c>
      <c r="E5638" s="26" t="str">
        <f>IFERROR(VLOOKUP(G5638,WholesaleExtract!B:J,9,FALSE),"")</f>
        <v/>
      </c>
      <c r="F5638" s="26" t="str">
        <f>IFERROR(VLOOKUP(G5638,WholesaleExtract!B:J,6,FALSE),"")</f>
        <v/>
      </c>
      <c r="H5638" s="47" t="str">
        <f>IFERROR(VLOOKUP(G5638,WholesaleExtract!B:L,11,FALSE),"")</f>
        <v/>
      </c>
      <c r="I5638" s="26" t="str">
        <f>IFERROR(VLOOKUP(G5638,WholesaleExtract!B:O,8,FALSE),"")</f>
        <v/>
      </c>
      <c r="J5638" s="26" t="str">
        <f>IFERROR(VLOOKUP(G5638,WholesaleExtract!B:O,14,FALSE),"")</f>
        <v/>
      </c>
      <c r="K5638" s="26" t="str">
        <f>IFERROR(VLOOKUP(G5638,WholesaleExtract!B:K,10,FALSE),"")</f>
        <v/>
      </c>
      <c r="L5638" s="47" t="str">
        <f>IFERROR(VLOOKUP(G5638,WholesaleExtract!B:L,11,FALSE),"")</f>
        <v/>
      </c>
      <c r="M5638" s="47" t="str">
        <f>IFERROR(VLOOKUP(G5638,WholesaleExtract!B:M,12,FALSE),"")</f>
        <v/>
      </c>
      <c r="R5638" s="19"/>
      <c r="S5638" s="19"/>
    </row>
    <row r="5639" spans="1:19" x14ac:dyDescent="0.35">
      <c r="A5639" s="26" t="s">
        <v>543</v>
      </c>
      <c r="B5639" s="26" t="s">
        <v>543</v>
      </c>
      <c r="C5639" s="26"/>
      <c r="D5639" s="26" t="s">
        <v>543</v>
      </c>
      <c r="E5639" s="26" t="str">
        <f>IFERROR(VLOOKUP(G5639,WholesaleExtract!B:J,9,FALSE),"")</f>
        <v/>
      </c>
      <c r="F5639" s="26" t="str">
        <f>IFERROR(VLOOKUP(G5639,WholesaleExtract!B:J,6,FALSE),"")</f>
        <v/>
      </c>
      <c r="H5639" s="47" t="str">
        <f>IFERROR(VLOOKUP(G5639,WholesaleExtract!B:L,11,FALSE),"")</f>
        <v/>
      </c>
      <c r="I5639" s="26" t="str">
        <f>IFERROR(VLOOKUP(G5639,WholesaleExtract!B:O,8,FALSE),"")</f>
        <v/>
      </c>
      <c r="J5639" s="26" t="str">
        <f>IFERROR(VLOOKUP(G5639,WholesaleExtract!B:O,14,FALSE),"")</f>
        <v/>
      </c>
      <c r="K5639" s="26" t="str">
        <f>IFERROR(VLOOKUP(G5639,WholesaleExtract!B:K,10,FALSE),"")</f>
        <v/>
      </c>
      <c r="L5639" s="47" t="str">
        <f>IFERROR(VLOOKUP(G5639,WholesaleExtract!B:L,11,FALSE),"")</f>
        <v/>
      </c>
      <c r="M5639" s="47" t="str">
        <f>IFERROR(VLOOKUP(G5639,WholesaleExtract!B:M,12,FALSE),"")</f>
        <v/>
      </c>
      <c r="R5639" s="19"/>
      <c r="S5639" s="19"/>
    </row>
    <row r="5640" spans="1:19" x14ac:dyDescent="0.35">
      <c r="A5640" s="26" t="s">
        <v>543</v>
      </c>
      <c r="B5640" s="26" t="s">
        <v>543</v>
      </c>
      <c r="C5640" s="26"/>
      <c r="D5640" s="26" t="s">
        <v>543</v>
      </c>
      <c r="E5640" s="26" t="str">
        <f>IFERROR(VLOOKUP(G5640,WholesaleExtract!B:J,9,FALSE),"")</f>
        <v/>
      </c>
      <c r="F5640" s="26" t="str">
        <f>IFERROR(VLOOKUP(G5640,WholesaleExtract!B:J,6,FALSE),"")</f>
        <v/>
      </c>
      <c r="H5640" s="47" t="str">
        <f>IFERROR(VLOOKUP(G5640,WholesaleExtract!B:L,11,FALSE),"")</f>
        <v/>
      </c>
      <c r="I5640" s="26" t="str">
        <f>IFERROR(VLOOKUP(G5640,WholesaleExtract!B:O,8,FALSE),"")</f>
        <v/>
      </c>
      <c r="J5640" s="26" t="str">
        <f>IFERROR(VLOOKUP(G5640,WholesaleExtract!B:O,14,FALSE),"")</f>
        <v/>
      </c>
      <c r="K5640" s="26" t="str">
        <f>IFERROR(VLOOKUP(G5640,WholesaleExtract!B:K,10,FALSE),"")</f>
        <v/>
      </c>
      <c r="L5640" s="47" t="str">
        <f>IFERROR(VLOOKUP(G5640,WholesaleExtract!B:L,11,FALSE),"")</f>
        <v/>
      </c>
      <c r="M5640" s="47" t="str">
        <f>IFERROR(VLOOKUP(G5640,WholesaleExtract!B:M,12,FALSE),"")</f>
        <v/>
      </c>
      <c r="R5640" s="19"/>
      <c r="S5640" s="19"/>
    </row>
    <row r="5641" spans="1:19" x14ac:dyDescent="0.35">
      <c r="A5641" s="26" t="s">
        <v>543</v>
      </c>
      <c r="B5641" s="26" t="s">
        <v>543</v>
      </c>
      <c r="C5641" s="26"/>
      <c r="D5641" s="26" t="s">
        <v>543</v>
      </c>
      <c r="E5641" s="26" t="str">
        <f>IFERROR(VLOOKUP(G5641,WholesaleExtract!B:J,9,FALSE),"")</f>
        <v/>
      </c>
      <c r="F5641" s="26" t="str">
        <f>IFERROR(VLOOKUP(G5641,WholesaleExtract!B:J,6,FALSE),"")</f>
        <v/>
      </c>
      <c r="H5641" s="47" t="str">
        <f>IFERROR(VLOOKUP(G5641,WholesaleExtract!B:L,11,FALSE),"")</f>
        <v/>
      </c>
      <c r="I5641" s="26" t="str">
        <f>IFERROR(VLOOKUP(G5641,WholesaleExtract!B:O,8,FALSE),"")</f>
        <v/>
      </c>
      <c r="J5641" s="26" t="str">
        <f>IFERROR(VLOOKUP(G5641,WholesaleExtract!B:O,14,FALSE),"")</f>
        <v/>
      </c>
      <c r="K5641" s="26" t="str">
        <f>IFERROR(VLOOKUP(G5641,WholesaleExtract!B:K,10,FALSE),"")</f>
        <v/>
      </c>
      <c r="L5641" s="47" t="str">
        <f>IFERROR(VLOOKUP(G5641,WholesaleExtract!B:L,11,FALSE),"")</f>
        <v/>
      </c>
      <c r="M5641" s="47" t="str">
        <f>IFERROR(VLOOKUP(G5641,WholesaleExtract!B:M,12,FALSE),"")</f>
        <v/>
      </c>
      <c r="R5641" s="19"/>
      <c r="S5641" s="19"/>
    </row>
    <row r="5642" spans="1:19" x14ac:dyDescent="0.35">
      <c r="A5642" s="26" t="s">
        <v>543</v>
      </c>
      <c r="B5642" s="26" t="s">
        <v>543</v>
      </c>
      <c r="C5642" s="26"/>
      <c r="D5642" s="26" t="s">
        <v>543</v>
      </c>
      <c r="E5642" s="26" t="str">
        <f>IFERROR(VLOOKUP(G5642,WholesaleExtract!B:J,9,FALSE),"")</f>
        <v/>
      </c>
      <c r="F5642" s="26" t="str">
        <f>IFERROR(VLOOKUP(G5642,WholesaleExtract!B:J,6,FALSE),"")</f>
        <v/>
      </c>
      <c r="H5642" s="47" t="str">
        <f>IFERROR(VLOOKUP(G5642,WholesaleExtract!B:L,11,FALSE),"")</f>
        <v/>
      </c>
      <c r="I5642" s="26" t="str">
        <f>IFERROR(VLOOKUP(G5642,WholesaleExtract!B:O,8,FALSE),"")</f>
        <v/>
      </c>
      <c r="J5642" s="26" t="str">
        <f>IFERROR(VLOOKUP(G5642,WholesaleExtract!B:O,14,FALSE),"")</f>
        <v/>
      </c>
      <c r="K5642" s="26" t="str">
        <f>IFERROR(VLOOKUP(G5642,WholesaleExtract!B:K,10,FALSE),"")</f>
        <v/>
      </c>
      <c r="L5642" s="47" t="str">
        <f>IFERROR(VLOOKUP(G5642,WholesaleExtract!B:L,11,FALSE),"")</f>
        <v/>
      </c>
      <c r="M5642" s="47" t="str">
        <f>IFERROR(VLOOKUP(G5642,WholesaleExtract!B:M,12,FALSE),"")</f>
        <v/>
      </c>
      <c r="R5642" s="19"/>
      <c r="S5642" s="19"/>
    </row>
    <row r="5643" spans="1:19" x14ac:dyDescent="0.35">
      <c r="A5643" s="26" t="s">
        <v>543</v>
      </c>
      <c r="B5643" s="26" t="s">
        <v>543</v>
      </c>
      <c r="C5643" s="26"/>
      <c r="D5643" s="26" t="s">
        <v>543</v>
      </c>
      <c r="E5643" s="26" t="str">
        <f>IFERROR(VLOOKUP(G5643,WholesaleExtract!B:J,9,FALSE),"")</f>
        <v/>
      </c>
      <c r="F5643" s="26" t="str">
        <f>IFERROR(VLOOKUP(G5643,WholesaleExtract!B:J,6,FALSE),"")</f>
        <v/>
      </c>
      <c r="H5643" s="47" t="str">
        <f>IFERROR(VLOOKUP(G5643,WholesaleExtract!B:L,11,FALSE),"")</f>
        <v/>
      </c>
      <c r="I5643" s="26" t="str">
        <f>IFERROR(VLOOKUP(G5643,WholesaleExtract!B:O,8,FALSE),"")</f>
        <v/>
      </c>
      <c r="J5643" s="26" t="str">
        <f>IFERROR(VLOOKUP(G5643,WholesaleExtract!B:O,14,FALSE),"")</f>
        <v/>
      </c>
      <c r="K5643" s="26" t="str">
        <f>IFERROR(VLOOKUP(G5643,WholesaleExtract!B:K,10,FALSE),"")</f>
        <v/>
      </c>
      <c r="L5643" s="47" t="str">
        <f>IFERROR(VLOOKUP(G5643,WholesaleExtract!B:L,11,FALSE),"")</f>
        <v/>
      </c>
      <c r="M5643" s="47" t="str">
        <f>IFERROR(VLOOKUP(G5643,WholesaleExtract!B:M,12,FALSE),"")</f>
        <v/>
      </c>
      <c r="R5643" s="19"/>
      <c r="S5643" s="19"/>
    </row>
    <row r="5644" spans="1:19" x14ac:dyDescent="0.35">
      <c r="A5644" s="26" t="s">
        <v>543</v>
      </c>
      <c r="B5644" s="26" t="s">
        <v>543</v>
      </c>
      <c r="C5644" s="26"/>
      <c r="D5644" s="26" t="s">
        <v>543</v>
      </c>
      <c r="E5644" s="26" t="str">
        <f>IFERROR(VLOOKUP(G5644,WholesaleExtract!B:J,9,FALSE),"")</f>
        <v/>
      </c>
      <c r="F5644" s="26" t="str">
        <f>IFERROR(VLOOKUP(G5644,WholesaleExtract!B:J,6,FALSE),"")</f>
        <v/>
      </c>
      <c r="H5644" s="47" t="str">
        <f>IFERROR(VLOOKUP(G5644,WholesaleExtract!B:L,11,FALSE),"")</f>
        <v/>
      </c>
      <c r="I5644" s="26" t="str">
        <f>IFERROR(VLOOKUP(G5644,WholesaleExtract!B:O,8,FALSE),"")</f>
        <v/>
      </c>
      <c r="J5644" s="26" t="str">
        <f>IFERROR(VLOOKUP(G5644,WholesaleExtract!B:O,14,FALSE),"")</f>
        <v/>
      </c>
      <c r="K5644" s="26" t="str">
        <f>IFERROR(VLOOKUP(G5644,WholesaleExtract!B:K,10,FALSE),"")</f>
        <v/>
      </c>
      <c r="L5644" s="47" t="str">
        <f>IFERROR(VLOOKUP(G5644,WholesaleExtract!B:L,11,FALSE),"")</f>
        <v/>
      </c>
      <c r="M5644" s="47" t="str">
        <f>IFERROR(VLOOKUP(G5644,WholesaleExtract!B:M,12,FALSE),"")</f>
        <v/>
      </c>
      <c r="R5644" s="19"/>
      <c r="S5644" s="19"/>
    </row>
    <row r="5645" spans="1:19" x14ac:dyDescent="0.35">
      <c r="A5645" s="26" t="s">
        <v>543</v>
      </c>
      <c r="B5645" s="26" t="s">
        <v>543</v>
      </c>
      <c r="C5645" s="26"/>
      <c r="D5645" s="26" t="s">
        <v>543</v>
      </c>
      <c r="E5645" s="26" t="str">
        <f>IFERROR(VLOOKUP(G5645,WholesaleExtract!B:J,9,FALSE),"")</f>
        <v/>
      </c>
      <c r="F5645" s="26" t="str">
        <f>IFERROR(VLOOKUP(G5645,WholesaleExtract!B:J,6,FALSE),"")</f>
        <v/>
      </c>
      <c r="H5645" s="47" t="str">
        <f>IFERROR(VLOOKUP(G5645,WholesaleExtract!B:L,11,FALSE),"")</f>
        <v/>
      </c>
      <c r="I5645" s="26" t="str">
        <f>IFERROR(VLOOKUP(G5645,WholesaleExtract!B:O,8,FALSE),"")</f>
        <v/>
      </c>
      <c r="J5645" s="26" t="str">
        <f>IFERROR(VLOOKUP(G5645,WholesaleExtract!B:O,14,FALSE),"")</f>
        <v/>
      </c>
      <c r="K5645" s="26" t="str">
        <f>IFERROR(VLOOKUP(G5645,WholesaleExtract!B:K,10,FALSE),"")</f>
        <v/>
      </c>
      <c r="L5645" s="47" t="str">
        <f>IFERROR(VLOOKUP(G5645,WholesaleExtract!B:L,11,FALSE),"")</f>
        <v/>
      </c>
      <c r="M5645" s="47" t="str">
        <f>IFERROR(VLOOKUP(G5645,WholesaleExtract!B:M,12,FALSE),"")</f>
        <v/>
      </c>
      <c r="R5645" s="19"/>
      <c r="S5645" s="19"/>
    </row>
    <row r="5646" spans="1:19" x14ac:dyDescent="0.35">
      <c r="A5646" s="26" t="s">
        <v>543</v>
      </c>
      <c r="B5646" s="26" t="s">
        <v>543</v>
      </c>
      <c r="C5646" s="26"/>
      <c r="D5646" s="26" t="s">
        <v>543</v>
      </c>
      <c r="E5646" s="26" t="str">
        <f>IFERROR(VLOOKUP(G5646,WholesaleExtract!B:J,9,FALSE),"")</f>
        <v/>
      </c>
      <c r="F5646" s="26" t="str">
        <f>IFERROR(VLOOKUP(G5646,WholesaleExtract!B:J,6,FALSE),"")</f>
        <v/>
      </c>
      <c r="H5646" s="47" t="str">
        <f>IFERROR(VLOOKUP(G5646,WholesaleExtract!B:L,11,FALSE),"")</f>
        <v/>
      </c>
      <c r="I5646" s="26" t="str">
        <f>IFERROR(VLOOKUP(G5646,WholesaleExtract!B:O,8,FALSE),"")</f>
        <v/>
      </c>
      <c r="J5646" s="26" t="str">
        <f>IFERROR(VLOOKUP(G5646,WholesaleExtract!B:O,14,FALSE),"")</f>
        <v/>
      </c>
      <c r="K5646" s="26" t="str">
        <f>IFERROR(VLOOKUP(G5646,WholesaleExtract!B:K,10,FALSE),"")</f>
        <v/>
      </c>
      <c r="L5646" s="47" t="str">
        <f>IFERROR(VLOOKUP(G5646,WholesaleExtract!B:L,11,FALSE),"")</f>
        <v/>
      </c>
      <c r="M5646" s="47" t="str">
        <f>IFERROR(VLOOKUP(G5646,WholesaleExtract!B:M,12,FALSE),"")</f>
        <v/>
      </c>
      <c r="R5646" s="19"/>
      <c r="S5646" s="19"/>
    </row>
    <row r="5647" spans="1:19" x14ac:dyDescent="0.35">
      <c r="A5647" s="26" t="s">
        <v>543</v>
      </c>
      <c r="B5647" s="26" t="s">
        <v>543</v>
      </c>
      <c r="C5647" s="26"/>
      <c r="D5647" s="26" t="s">
        <v>543</v>
      </c>
      <c r="E5647" s="26" t="str">
        <f>IFERROR(VLOOKUP(G5647,WholesaleExtract!B:J,9,FALSE),"")</f>
        <v/>
      </c>
      <c r="F5647" s="26" t="str">
        <f>IFERROR(VLOOKUP(G5647,WholesaleExtract!B:J,6,FALSE),"")</f>
        <v/>
      </c>
      <c r="H5647" s="47" t="str">
        <f>IFERROR(VLOOKUP(G5647,WholesaleExtract!B:L,11,FALSE),"")</f>
        <v/>
      </c>
      <c r="I5647" s="26" t="str">
        <f>IFERROR(VLOOKUP(G5647,WholesaleExtract!B:O,8,FALSE),"")</f>
        <v/>
      </c>
      <c r="J5647" s="26" t="str">
        <f>IFERROR(VLOOKUP(G5647,WholesaleExtract!B:O,14,FALSE),"")</f>
        <v/>
      </c>
      <c r="K5647" s="26" t="str">
        <f>IFERROR(VLOOKUP(G5647,WholesaleExtract!B:K,10,FALSE),"")</f>
        <v/>
      </c>
      <c r="L5647" s="47" t="str">
        <f>IFERROR(VLOOKUP(G5647,WholesaleExtract!B:L,11,FALSE),"")</f>
        <v/>
      </c>
      <c r="M5647" s="47" t="str">
        <f>IFERROR(VLOOKUP(G5647,WholesaleExtract!B:M,12,FALSE),"")</f>
        <v/>
      </c>
      <c r="R5647" s="19"/>
      <c r="S5647" s="19"/>
    </row>
    <row r="5648" spans="1:19" x14ac:dyDescent="0.35">
      <c r="A5648" s="26" t="s">
        <v>543</v>
      </c>
      <c r="B5648" s="26" t="s">
        <v>543</v>
      </c>
      <c r="C5648" s="26"/>
      <c r="D5648" s="26" t="s">
        <v>543</v>
      </c>
      <c r="E5648" s="26" t="str">
        <f>IFERROR(VLOOKUP(G5648,WholesaleExtract!B:J,9,FALSE),"")</f>
        <v/>
      </c>
      <c r="F5648" s="26" t="str">
        <f>IFERROR(VLOOKUP(G5648,WholesaleExtract!B:J,6,FALSE),"")</f>
        <v/>
      </c>
      <c r="H5648" s="47" t="str">
        <f>IFERROR(VLOOKUP(G5648,WholesaleExtract!B:L,11,FALSE),"")</f>
        <v/>
      </c>
      <c r="I5648" s="26" t="str">
        <f>IFERROR(VLOOKUP(G5648,WholesaleExtract!B:O,8,FALSE),"")</f>
        <v/>
      </c>
      <c r="J5648" s="26" t="str">
        <f>IFERROR(VLOOKUP(G5648,WholesaleExtract!B:O,14,FALSE),"")</f>
        <v/>
      </c>
      <c r="K5648" s="26" t="str">
        <f>IFERROR(VLOOKUP(G5648,WholesaleExtract!B:K,10,FALSE),"")</f>
        <v/>
      </c>
      <c r="L5648" s="47" t="str">
        <f>IFERROR(VLOOKUP(G5648,WholesaleExtract!B:L,11,FALSE),"")</f>
        <v/>
      </c>
      <c r="M5648" s="47" t="str">
        <f>IFERROR(VLOOKUP(G5648,WholesaleExtract!B:M,12,FALSE),"")</f>
        <v/>
      </c>
      <c r="R5648" s="19"/>
      <c r="S5648" s="19"/>
    </row>
    <row r="5649" spans="1:19" x14ac:dyDescent="0.35">
      <c r="A5649" s="26" t="s">
        <v>543</v>
      </c>
      <c r="B5649" s="26" t="s">
        <v>543</v>
      </c>
      <c r="C5649" s="26"/>
      <c r="D5649" s="26" t="s">
        <v>543</v>
      </c>
      <c r="E5649" s="26" t="str">
        <f>IFERROR(VLOOKUP(G5649,WholesaleExtract!B:J,9,FALSE),"")</f>
        <v/>
      </c>
      <c r="F5649" s="26" t="str">
        <f>IFERROR(VLOOKUP(G5649,WholesaleExtract!B:J,6,FALSE),"")</f>
        <v/>
      </c>
      <c r="H5649" s="47" t="str">
        <f>IFERROR(VLOOKUP(G5649,WholesaleExtract!B:L,11,FALSE),"")</f>
        <v/>
      </c>
      <c r="I5649" s="26" t="str">
        <f>IFERROR(VLOOKUP(G5649,WholesaleExtract!B:O,8,FALSE),"")</f>
        <v/>
      </c>
      <c r="J5649" s="26" t="str">
        <f>IFERROR(VLOOKUP(G5649,WholesaleExtract!B:O,14,FALSE),"")</f>
        <v/>
      </c>
      <c r="K5649" s="26" t="str">
        <f>IFERROR(VLOOKUP(G5649,WholesaleExtract!B:K,10,FALSE),"")</f>
        <v/>
      </c>
      <c r="L5649" s="47" t="str">
        <f>IFERROR(VLOOKUP(G5649,WholesaleExtract!B:L,11,FALSE),"")</f>
        <v/>
      </c>
      <c r="M5649" s="47" t="str">
        <f>IFERROR(VLOOKUP(G5649,WholesaleExtract!B:M,12,FALSE),"")</f>
        <v/>
      </c>
      <c r="R5649" s="19"/>
      <c r="S5649" s="19"/>
    </row>
    <row r="5650" spans="1:19" x14ac:dyDescent="0.35">
      <c r="A5650" s="26" t="s">
        <v>543</v>
      </c>
      <c r="B5650" s="26" t="s">
        <v>543</v>
      </c>
      <c r="C5650" s="26"/>
      <c r="D5650" s="26" t="s">
        <v>543</v>
      </c>
      <c r="E5650" s="26" t="str">
        <f>IFERROR(VLOOKUP(G5650,WholesaleExtract!B:J,9,FALSE),"")</f>
        <v/>
      </c>
      <c r="F5650" s="26" t="str">
        <f>IFERROR(VLOOKUP(G5650,WholesaleExtract!B:J,6,FALSE),"")</f>
        <v/>
      </c>
      <c r="H5650" s="47" t="str">
        <f>IFERROR(VLOOKUP(G5650,WholesaleExtract!B:L,11,FALSE),"")</f>
        <v/>
      </c>
      <c r="I5650" s="26" t="str">
        <f>IFERROR(VLOOKUP(G5650,WholesaleExtract!B:O,8,FALSE),"")</f>
        <v/>
      </c>
      <c r="J5650" s="26" t="str">
        <f>IFERROR(VLOOKUP(G5650,WholesaleExtract!B:O,14,FALSE),"")</f>
        <v/>
      </c>
      <c r="K5650" s="26" t="str">
        <f>IFERROR(VLOOKUP(G5650,WholesaleExtract!B:K,10,FALSE),"")</f>
        <v/>
      </c>
      <c r="L5650" s="47" t="str">
        <f>IFERROR(VLOOKUP(G5650,WholesaleExtract!B:L,11,FALSE),"")</f>
        <v/>
      </c>
      <c r="M5650" s="47" t="str">
        <f>IFERROR(VLOOKUP(G5650,WholesaleExtract!B:M,12,FALSE),"")</f>
        <v/>
      </c>
      <c r="R5650" s="19"/>
      <c r="S5650" s="19"/>
    </row>
    <row r="5651" spans="1:19" x14ac:dyDescent="0.35">
      <c r="A5651" s="26" t="s">
        <v>543</v>
      </c>
      <c r="B5651" s="26" t="s">
        <v>543</v>
      </c>
      <c r="C5651" s="26"/>
      <c r="D5651" s="26" t="s">
        <v>543</v>
      </c>
      <c r="E5651" s="26" t="str">
        <f>IFERROR(VLOOKUP(G5651,WholesaleExtract!B:J,9,FALSE),"")</f>
        <v/>
      </c>
      <c r="F5651" s="26" t="str">
        <f>IFERROR(VLOOKUP(G5651,WholesaleExtract!B:J,6,FALSE),"")</f>
        <v/>
      </c>
      <c r="H5651" s="47" t="str">
        <f>IFERROR(VLOOKUP(G5651,WholesaleExtract!B:L,11,FALSE),"")</f>
        <v/>
      </c>
      <c r="I5651" s="26" t="str">
        <f>IFERROR(VLOOKUP(G5651,WholesaleExtract!B:O,8,FALSE),"")</f>
        <v/>
      </c>
      <c r="J5651" s="26" t="str">
        <f>IFERROR(VLOOKUP(G5651,WholesaleExtract!B:O,14,FALSE),"")</f>
        <v/>
      </c>
      <c r="K5651" s="26" t="str">
        <f>IFERROR(VLOOKUP(G5651,WholesaleExtract!B:K,10,FALSE),"")</f>
        <v/>
      </c>
      <c r="L5651" s="47" t="str">
        <f>IFERROR(VLOOKUP(G5651,WholesaleExtract!B:L,11,FALSE),"")</f>
        <v/>
      </c>
      <c r="M5651" s="47" t="str">
        <f>IFERROR(VLOOKUP(G5651,WholesaleExtract!B:M,12,FALSE),"")</f>
        <v/>
      </c>
      <c r="R5651" s="19"/>
      <c r="S5651" s="19"/>
    </row>
    <row r="5652" spans="1:19" x14ac:dyDescent="0.35">
      <c r="A5652" s="26" t="s">
        <v>543</v>
      </c>
      <c r="B5652" s="26" t="s">
        <v>543</v>
      </c>
      <c r="C5652" s="26"/>
      <c r="D5652" s="26" t="s">
        <v>543</v>
      </c>
      <c r="E5652" s="26" t="str">
        <f>IFERROR(VLOOKUP(G5652,WholesaleExtract!B:J,9,FALSE),"")</f>
        <v/>
      </c>
      <c r="F5652" s="26" t="str">
        <f>IFERROR(VLOOKUP(G5652,WholesaleExtract!B:J,6,FALSE),"")</f>
        <v/>
      </c>
      <c r="H5652" s="47" t="str">
        <f>IFERROR(VLOOKUP(G5652,WholesaleExtract!B:L,11,FALSE),"")</f>
        <v/>
      </c>
      <c r="I5652" s="26" t="str">
        <f>IFERROR(VLOOKUP(G5652,WholesaleExtract!B:O,8,FALSE),"")</f>
        <v/>
      </c>
      <c r="J5652" s="26" t="str">
        <f>IFERROR(VLOOKUP(G5652,WholesaleExtract!B:O,14,FALSE),"")</f>
        <v/>
      </c>
      <c r="K5652" s="26" t="str">
        <f>IFERROR(VLOOKUP(G5652,WholesaleExtract!B:K,10,FALSE),"")</f>
        <v/>
      </c>
      <c r="L5652" s="47" t="str">
        <f>IFERROR(VLOOKUP(G5652,WholesaleExtract!B:L,11,FALSE),"")</f>
        <v/>
      </c>
      <c r="M5652" s="47" t="str">
        <f>IFERROR(VLOOKUP(G5652,WholesaleExtract!B:M,12,FALSE),"")</f>
        <v/>
      </c>
      <c r="R5652" s="19"/>
      <c r="S5652" s="19"/>
    </row>
    <row r="5653" spans="1:19" x14ac:dyDescent="0.35">
      <c r="A5653" s="26" t="s">
        <v>543</v>
      </c>
      <c r="B5653" s="26" t="s">
        <v>543</v>
      </c>
      <c r="C5653" s="26"/>
      <c r="D5653" s="26" t="s">
        <v>543</v>
      </c>
      <c r="E5653" s="26" t="str">
        <f>IFERROR(VLOOKUP(G5653,WholesaleExtract!B:J,9,FALSE),"")</f>
        <v/>
      </c>
      <c r="F5653" s="26" t="str">
        <f>IFERROR(VLOOKUP(G5653,WholesaleExtract!B:J,6,FALSE),"")</f>
        <v/>
      </c>
      <c r="H5653" s="47" t="str">
        <f>IFERROR(VLOOKUP(G5653,WholesaleExtract!B:L,11,FALSE),"")</f>
        <v/>
      </c>
      <c r="I5653" s="26" t="str">
        <f>IFERROR(VLOOKUP(G5653,WholesaleExtract!B:O,8,FALSE),"")</f>
        <v/>
      </c>
      <c r="J5653" s="26" t="str">
        <f>IFERROR(VLOOKUP(G5653,WholesaleExtract!B:O,14,FALSE),"")</f>
        <v/>
      </c>
      <c r="K5653" s="26" t="str">
        <f>IFERROR(VLOOKUP(G5653,WholesaleExtract!B:K,10,FALSE),"")</f>
        <v/>
      </c>
      <c r="L5653" s="47" t="str">
        <f>IFERROR(VLOOKUP(G5653,WholesaleExtract!B:L,11,FALSE),"")</f>
        <v/>
      </c>
      <c r="M5653" s="47" t="str">
        <f>IFERROR(VLOOKUP(G5653,WholesaleExtract!B:M,12,FALSE),"")</f>
        <v/>
      </c>
      <c r="R5653" s="19"/>
      <c r="S5653" s="19"/>
    </row>
    <row r="5654" spans="1:19" x14ac:dyDescent="0.35">
      <c r="A5654" s="26" t="s">
        <v>543</v>
      </c>
      <c r="B5654" s="26" t="s">
        <v>543</v>
      </c>
      <c r="C5654" s="26"/>
      <c r="D5654" s="26" t="s">
        <v>543</v>
      </c>
      <c r="E5654" s="26" t="str">
        <f>IFERROR(VLOOKUP(G5654,WholesaleExtract!B:J,9,FALSE),"")</f>
        <v/>
      </c>
      <c r="F5654" s="26" t="str">
        <f>IFERROR(VLOOKUP(G5654,WholesaleExtract!B:J,6,FALSE),"")</f>
        <v/>
      </c>
      <c r="H5654" s="47" t="str">
        <f>IFERROR(VLOOKUP(G5654,WholesaleExtract!B:L,11,FALSE),"")</f>
        <v/>
      </c>
      <c r="I5654" s="26" t="str">
        <f>IFERROR(VLOOKUP(G5654,WholesaleExtract!B:O,8,FALSE),"")</f>
        <v/>
      </c>
      <c r="J5654" s="26" t="str">
        <f>IFERROR(VLOOKUP(G5654,WholesaleExtract!B:O,14,FALSE),"")</f>
        <v/>
      </c>
      <c r="K5654" s="26" t="str">
        <f>IFERROR(VLOOKUP(G5654,WholesaleExtract!B:K,10,FALSE),"")</f>
        <v/>
      </c>
      <c r="L5654" s="47" t="str">
        <f>IFERROR(VLOOKUP(G5654,WholesaleExtract!B:L,11,FALSE),"")</f>
        <v/>
      </c>
      <c r="M5654" s="47" t="str">
        <f>IFERROR(VLOOKUP(G5654,WholesaleExtract!B:M,12,FALSE),"")</f>
        <v/>
      </c>
      <c r="R5654" s="19"/>
      <c r="S5654" s="19"/>
    </row>
    <row r="5655" spans="1:19" x14ac:dyDescent="0.35">
      <c r="A5655" s="26" t="s">
        <v>543</v>
      </c>
      <c r="B5655" s="26" t="s">
        <v>543</v>
      </c>
      <c r="C5655" s="26"/>
      <c r="D5655" s="26" t="s">
        <v>543</v>
      </c>
      <c r="E5655" s="26" t="str">
        <f>IFERROR(VLOOKUP(G5655,WholesaleExtract!B:J,9,FALSE),"")</f>
        <v/>
      </c>
      <c r="F5655" s="26" t="str">
        <f>IFERROR(VLOOKUP(G5655,WholesaleExtract!B:J,6,FALSE),"")</f>
        <v/>
      </c>
      <c r="H5655" s="47" t="str">
        <f>IFERROR(VLOOKUP(G5655,WholesaleExtract!B:L,11,FALSE),"")</f>
        <v/>
      </c>
      <c r="I5655" s="26" t="str">
        <f>IFERROR(VLOOKUP(G5655,WholesaleExtract!B:O,8,FALSE),"")</f>
        <v/>
      </c>
      <c r="J5655" s="26" t="str">
        <f>IFERROR(VLOOKUP(G5655,WholesaleExtract!B:O,14,FALSE),"")</f>
        <v/>
      </c>
      <c r="K5655" s="26" t="str">
        <f>IFERROR(VLOOKUP(G5655,WholesaleExtract!B:K,10,FALSE),"")</f>
        <v/>
      </c>
      <c r="L5655" s="47" t="str">
        <f>IFERROR(VLOOKUP(G5655,WholesaleExtract!B:L,11,FALSE),"")</f>
        <v/>
      </c>
      <c r="M5655" s="47" t="str">
        <f>IFERROR(VLOOKUP(G5655,WholesaleExtract!B:M,12,FALSE),"")</f>
        <v/>
      </c>
      <c r="R5655" s="19"/>
      <c r="S5655" s="19"/>
    </row>
    <row r="5656" spans="1:19" x14ac:dyDescent="0.35">
      <c r="A5656" s="26" t="s">
        <v>543</v>
      </c>
      <c r="B5656" s="26" t="s">
        <v>543</v>
      </c>
      <c r="C5656" s="26"/>
      <c r="D5656" s="26" t="s">
        <v>543</v>
      </c>
      <c r="E5656" s="26" t="str">
        <f>IFERROR(VLOOKUP(G5656,WholesaleExtract!B:J,9,FALSE),"")</f>
        <v/>
      </c>
      <c r="F5656" s="26" t="str">
        <f>IFERROR(VLOOKUP(G5656,WholesaleExtract!B:J,6,FALSE),"")</f>
        <v/>
      </c>
      <c r="H5656" s="47" t="str">
        <f>IFERROR(VLOOKUP(G5656,WholesaleExtract!B:L,11,FALSE),"")</f>
        <v/>
      </c>
      <c r="I5656" s="26" t="str">
        <f>IFERROR(VLOOKUP(G5656,WholesaleExtract!B:O,8,FALSE),"")</f>
        <v/>
      </c>
      <c r="J5656" s="26" t="str">
        <f>IFERROR(VLOOKUP(G5656,WholesaleExtract!B:O,14,FALSE),"")</f>
        <v/>
      </c>
      <c r="K5656" s="26" t="str">
        <f>IFERROR(VLOOKUP(G5656,WholesaleExtract!B:K,10,FALSE),"")</f>
        <v/>
      </c>
      <c r="L5656" s="47" t="str">
        <f>IFERROR(VLOOKUP(G5656,WholesaleExtract!B:L,11,FALSE),"")</f>
        <v/>
      </c>
      <c r="M5656" s="47" t="str">
        <f>IFERROR(VLOOKUP(G5656,WholesaleExtract!B:M,12,FALSE),"")</f>
        <v/>
      </c>
      <c r="R5656" s="19"/>
      <c r="S5656" s="19"/>
    </row>
    <row r="5657" spans="1:19" x14ac:dyDescent="0.35">
      <c r="A5657" s="26" t="s">
        <v>543</v>
      </c>
      <c r="B5657" s="26" t="s">
        <v>543</v>
      </c>
      <c r="C5657" s="26"/>
      <c r="D5657" s="26" t="s">
        <v>543</v>
      </c>
      <c r="E5657" s="26" t="str">
        <f>IFERROR(VLOOKUP(G5657,WholesaleExtract!B:J,9,FALSE),"")</f>
        <v/>
      </c>
      <c r="F5657" s="26" t="str">
        <f>IFERROR(VLOOKUP(G5657,WholesaleExtract!B:J,6,FALSE),"")</f>
        <v/>
      </c>
      <c r="H5657" s="47" t="str">
        <f>IFERROR(VLOOKUP(G5657,WholesaleExtract!B:L,11,FALSE),"")</f>
        <v/>
      </c>
      <c r="I5657" s="26" t="str">
        <f>IFERROR(VLOOKUP(G5657,WholesaleExtract!B:O,8,FALSE),"")</f>
        <v/>
      </c>
      <c r="J5657" s="26" t="str">
        <f>IFERROR(VLOOKUP(G5657,WholesaleExtract!B:O,14,FALSE),"")</f>
        <v/>
      </c>
      <c r="K5657" s="26" t="str">
        <f>IFERROR(VLOOKUP(G5657,WholesaleExtract!B:K,10,FALSE),"")</f>
        <v/>
      </c>
      <c r="L5657" s="47" t="str">
        <f>IFERROR(VLOOKUP(G5657,WholesaleExtract!B:L,11,FALSE),"")</f>
        <v/>
      </c>
      <c r="M5657" s="47" t="str">
        <f>IFERROR(VLOOKUP(G5657,WholesaleExtract!B:M,12,FALSE),"")</f>
        <v/>
      </c>
      <c r="R5657" s="19"/>
      <c r="S5657" s="19"/>
    </row>
    <row r="5658" spans="1:19" x14ac:dyDescent="0.35">
      <c r="A5658" s="26" t="s">
        <v>543</v>
      </c>
      <c r="B5658" s="26" t="s">
        <v>543</v>
      </c>
      <c r="C5658" s="26"/>
      <c r="D5658" s="26" t="s">
        <v>543</v>
      </c>
      <c r="E5658" s="26" t="str">
        <f>IFERROR(VLOOKUP(G5658,WholesaleExtract!B:J,9,FALSE),"")</f>
        <v/>
      </c>
      <c r="F5658" s="26" t="str">
        <f>IFERROR(VLOOKUP(G5658,WholesaleExtract!B:J,6,FALSE),"")</f>
        <v/>
      </c>
      <c r="H5658" s="47" t="str">
        <f>IFERROR(VLOOKUP(G5658,WholesaleExtract!B:L,11,FALSE),"")</f>
        <v/>
      </c>
      <c r="I5658" s="26" t="str">
        <f>IFERROR(VLOOKUP(G5658,WholesaleExtract!B:O,8,FALSE),"")</f>
        <v/>
      </c>
      <c r="J5658" s="26" t="str">
        <f>IFERROR(VLOOKUP(G5658,WholesaleExtract!B:O,14,FALSE),"")</f>
        <v/>
      </c>
      <c r="K5658" s="26" t="str">
        <f>IFERROR(VLOOKUP(G5658,WholesaleExtract!B:K,10,FALSE),"")</f>
        <v/>
      </c>
      <c r="L5658" s="47" t="str">
        <f>IFERROR(VLOOKUP(G5658,WholesaleExtract!B:L,11,FALSE),"")</f>
        <v/>
      </c>
      <c r="M5658" s="47" t="str">
        <f>IFERROR(VLOOKUP(G5658,WholesaleExtract!B:M,12,FALSE),"")</f>
        <v/>
      </c>
      <c r="R5658" s="19"/>
      <c r="S5658" s="19"/>
    </row>
    <row r="5659" spans="1:19" x14ac:dyDescent="0.35">
      <c r="A5659" s="26" t="s">
        <v>543</v>
      </c>
      <c r="B5659" s="26" t="s">
        <v>543</v>
      </c>
      <c r="C5659" s="26"/>
      <c r="D5659" s="26" t="s">
        <v>543</v>
      </c>
      <c r="E5659" s="26" t="str">
        <f>IFERROR(VLOOKUP(G5659,WholesaleExtract!B:J,9,FALSE),"")</f>
        <v/>
      </c>
      <c r="F5659" s="26" t="str">
        <f>IFERROR(VLOOKUP(G5659,WholesaleExtract!B:J,6,FALSE),"")</f>
        <v/>
      </c>
      <c r="H5659" s="47" t="str">
        <f>IFERROR(VLOOKUP(G5659,WholesaleExtract!B:L,11,FALSE),"")</f>
        <v/>
      </c>
      <c r="I5659" s="26" t="str">
        <f>IFERROR(VLOOKUP(G5659,WholesaleExtract!B:O,8,FALSE),"")</f>
        <v/>
      </c>
      <c r="J5659" s="26" t="str">
        <f>IFERROR(VLOOKUP(G5659,WholesaleExtract!B:O,14,FALSE),"")</f>
        <v/>
      </c>
      <c r="K5659" s="26" t="str">
        <f>IFERROR(VLOOKUP(G5659,WholesaleExtract!B:K,10,FALSE),"")</f>
        <v/>
      </c>
      <c r="L5659" s="47" t="str">
        <f>IFERROR(VLOOKUP(G5659,WholesaleExtract!B:L,11,FALSE),"")</f>
        <v/>
      </c>
      <c r="M5659" s="47" t="str">
        <f>IFERROR(VLOOKUP(G5659,WholesaleExtract!B:M,12,FALSE),"")</f>
        <v/>
      </c>
      <c r="R5659" s="19"/>
      <c r="S5659" s="19"/>
    </row>
    <row r="5660" spans="1:19" x14ac:dyDescent="0.35">
      <c r="A5660" s="26" t="s">
        <v>543</v>
      </c>
      <c r="B5660" s="26" t="s">
        <v>543</v>
      </c>
      <c r="C5660" s="26"/>
      <c r="D5660" s="26" t="s">
        <v>543</v>
      </c>
      <c r="E5660" s="26" t="str">
        <f>IFERROR(VLOOKUP(G5660,WholesaleExtract!B:J,9,FALSE),"")</f>
        <v/>
      </c>
      <c r="F5660" s="26" t="str">
        <f>IFERROR(VLOOKUP(G5660,WholesaleExtract!B:J,6,FALSE),"")</f>
        <v/>
      </c>
      <c r="H5660" s="47" t="str">
        <f>IFERROR(VLOOKUP(G5660,WholesaleExtract!B:L,11,FALSE),"")</f>
        <v/>
      </c>
      <c r="I5660" s="26" t="str">
        <f>IFERROR(VLOOKUP(G5660,WholesaleExtract!B:O,8,FALSE),"")</f>
        <v/>
      </c>
      <c r="J5660" s="26" t="str">
        <f>IFERROR(VLOOKUP(G5660,WholesaleExtract!B:O,14,FALSE),"")</f>
        <v/>
      </c>
      <c r="K5660" s="26" t="str">
        <f>IFERROR(VLOOKUP(G5660,WholesaleExtract!B:K,10,FALSE),"")</f>
        <v/>
      </c>
      <c r="L5660" s="47" t="str">
        <f>IFERROR(VLOOKUP(G5660,WholesaleExtract!B:L,11,FALSE),"")</f>
        <v/>
      </c>
      <c r="M5660" s="47" t="str">
        <f>IFERROR(VLOOKUP(G5660,WholesaleExtract!B:M,12,FALSE),"")</f>
        <v/>
      </c>
      <c r="R5660" s="19"/>
      <c r="S5660" s="19"/>
    </row>
    <row r="5661" spans="1:19" x14ac:dyDescent="0.35">
      <c r="A5661" s="26" t="s">
        <v>543</v>
      </c>
      <c r="B5661" s="26" t="s">
        <v>543</v>
      </c>
      <c r="C5661" s="26"/>
      <c r="D5661" s="26" t="s">
        <v>543</v>
      </c>
      <c r="E5661" s="26" t="str">
        <f>IFERROR(VLOOKUP(G5661,WholesaleExtract!B:J,9,FALSE),"")</f>
        <v/>
      </c>
      <c r="F5661" s="26" t="str">
        <f>IFERROR(VLOOKUP(G5661,WholesaleExtract!B:J,6,FALSE),"")</f>
        <v/>
      </c>
      <c r="H5661" s="47" t="str">
        <f>IFERROR(VLOOKUP(G5661,WholesaleExtract!B:L,11,FALSE),"")</f>
        <v/>
      </c>
      <c r="I5661" s="26" t="str">
        <f>IFERROR(VLOOKUP(G5661,WholesaleExtract!B:O,8,FALSE),"")</f>
        <v/>
      </c>
      <c r="J5661" s="26" t="str">
        <f>IFERROR(VLOOKUP(G5661,WholesaleExtract!B:O,14,FALSE),"")</f>
        <v/>
      </c>
      <c r="K5661" s="26" t="str">
        <f>IFERROR(VLOOKUP(G5661,WholesaleExtract!B:K,10,FALSE),"")</f>
        <v/>
      </c>
      <c r="L5661" s="47" t="str">
        <f>IFERROR(VLOOKUP(G5661,WholesaleExtract!B:L,11,FALSE),"")</f>
        <v/>
      </c>
      <c r="M5661" s="47" t="str">
        <f>IFERROR(VLOOKUP(G5661,WholesaleExtract!B:M,12,FALSE),"")</f>
        <v/>
      </c>
      <c r="R5661" s="19"/>
      <c r="S5661" s="19"/>
    </row>
    <row r="5662" spans="1:19" x14ac:dyDescent="0.35">
      <c r="A5662" s="26" t="s">
        <v>543</v>
      </c>
      <c r="B5662" s="26" t="s">
        <v>543</v>
      </c>
      <c r="C5662" s="26"/>
      <c r="D5662" s="26" t="s">
        <v>543</v>
      </c>
      <c r="E5662" s="26" t="str">
        <f>IFERROR(VLOOKUP(G5662,WholesaleExtract!B:J,9,FALSE),"")</f>
        <v/>
      </c>
      <c r="F5662" s="26" t="str">
        <f>IFERROR(VLOOKUP(G5662,WholesaleExtract!B:J,6,FALSE),"")</f>
        <v/>
      </c>
      <c r="H5662" s="47" t="str">
        <f>IFERROR(VLOOKUP(G5662,WholesaleExtract!B:L,11,FALSE),"")</f>
        <v/>
      </c>
      <c r="I5662" s="26" t="str">
        <f>IFERROR(VLOOKUP(G5662,WholesaleExtract!B:O,8,FALSE),"")</f>
        <v/>
      </c>
      <c r="J5662" s="26" t="str">
        <f>IFERROR(VLOOKUP(G5662,WholesaleExtract!B:O,14,FALSE),"")</f>
        <v/>
      </c>
      <c r="K5662" s="26" t="str">
        <f>IFERROR(VLOOKUP(G5662,WholesaleExtract!B:K,10,FALSE),"")</f>
        <v/>
      </c>
      <c r="L5662" s="47" t="str">
        <f>IFERROR(VLOOKUP(G5662,WholesaleExtract!B:L,11,FALSE),"")</f>
        <v/>
      </c>
      <c r="M5662" s="47" t="str">
        <f>IFERROR(VLOOKUP(G5662,WholesaleExtract!B:M,12,FALSE),"")</f>
        <v/>
      </c>
      <c r="R5662" s="19"/>
      <c r="S5662" s="19"/>
    </row>
    <row r="5663" spans="1:19" x14ac:dyDescent="0.35">
      <c r="A5663" s="26" t="s">
        <v>543</v>
      </c>
      <c r="B5663" s="26" t="s">
        <v>543</v>
      </c>
      <c r="C5663" s="26"/>
      <c r="D5663" s="26" t="s">
        <v>543</v>
      </c>
      <c r="E5663" s="26" t="str">
        <f>IFERROR(VLOOKUP(G5663,WholesaleExtract!B:J,9,FALSE),"")</f>
        <v/>
      </c>
      <c r="F5663" s="26" t="str">
        <f>IFERROR(VLOOKUP(G5663,WholesaleExtract!B:J,6,FALSE),"")</f>
        <v/>
      </c>
      <c r="H5663" s="47" t="str">
        <f>IFERROR(VLOOKUP(G5663,WholesaleExtract!B:L,11,FALSE),"")</f>
        <v/>
      </c>
      <c r="I5663" s="26" t="str">
        <f>IFERROR(VLOOKUP(G5663,WholesaleExtract!B:O,8,FALSE),"")</f>
        <v/>
      </c>
      <c r="J5663" s="26" t="str">
        <f>IFERROR(VLOOKUP(G5663,WholesaleExtract!B:O,14,FALSE),"")</f>
        <v/>
      </c>
      <c r="K5663" s="26" t="str">
        <f>IFERROR(VLOOKUP(G5663,WholesaleExtract!B:K,10,FALSE),"")</f>
        <v/>
      </c>
      <c r="L5663" s="47" t="str">
        <f>IFERROR(VLOOKUP(G5663,WholesaleExtract!B:L,11,FALSE),"")</f>
        <v/>
      </c>
      <c r="M5663" s="47" t="str">
        <f>IFERROR(VLOOKUP(G5663,WholesaleExtract!B:M,12,FALSE),"")</f>
        <v/>
      </c>
      <c r="R5663" s="19"/>
      <c r="S5663" s="19"/>
    </row>
    <row r="5664" spans="1:19" x14ac:dyDescent="0.35">
      <c r="A5664" s="26" t="s">
        <v>543</v>
      </c>
      <c r="B5664" s="26" t="s">
        <v>543</v>
      </c>
      <c r="C5664" s="26"/>
      <c r="D5664" s="26" t="s">
        <v>543</v>
      </c>
      <c r="E5664" s="26" t="str">
        <f>IFERROR(VLOOKUP(G5664,WholesaleExtract!B:J,9,FALSE),"")</f>
        <v/>
      </c>
      <c r="F5664" s="26" t="str">
        <f>IFERROR(VLOOKUP(G5664,WholesaleExtract!B:J,6,FALSE),"")</f>
        <v/>
      </c>
      <c r="H5664" s="47" t="str">
        <f>IFERROR(VLOOKUP(G5664,WholesaleExtract!B:L,11,FALSE),"")</f>
        <v/>
      </c>
      <c r="I5664" s="26" t="str">
        <f>IFERROR(VLOOKUP(G5664,WholesaleExtract!B:O,8,FALSE),"")</f>
        <v/>
      </c>
      <c r="J5664" s="26" t="str">
        <f>IFERROR(VLOOKUP(G5664,WholesaleExtract!B:O,14,FALSE),"")</f>
        <v/>
      </c>
      <c r="K5664" s="26" t="str">
        <f>IFERROR(VLOOKUP(G5664,WholesaleExtract!B:K,10,FALSE),"")</f>
        <v/>
      </c>
      <c r="L5664" s="47" t="str">
        <f>IFERROR(VLOOKUP(G5664,WholesaleExtract!B:L,11,FALSE),"")</f>
        <v/>
      </c>
      <c r="M5664" s="47" t="str">
        <f>IFERROR(VLOOKUP(G5664,WholesaleExtract!B:M,12,FALSE),"")</f>
        <v/>
      </c>
      <c r="R5664" s="19"/>
      <c r="S5664" s="19"/>
    </row>
    <row r="5665" spans="1:19" x14ac:dyDescent="0.35">
      <c r="A5665" s="26" t="s">
        <v>543</v>
      </c>
      <c r="B5665" s="26" t="s">
        <v>543</v>
      </c>
      <c r="C5665" s="26"/>
      <c r="D5665" s="26" t="s">
        <v>543</v>
      </c>
      <c r="E5665" s="26" t="str">
        <f>IFERROR(VLOOKUP(G5665,WholesaleExtract!B:J,9,FALSE),"")</f>
        <v/>
      </c>
      <c r="F5665" s="26" t="str">
        <f>IFERROR(VLOOKUP(G5665,WholesaleExtract!B:J,6,FALSE),"")</f>
        <v/>
      </c>
      <c r="H5665" s="47" t="str">
        <f>IFERROR(VLOOKUP(G5665,WholesaleExtract!B:L,11,FALSE),"")</f>
        <v/>
      </c>
      <c r="I5665" s="26" t="str">
        <f>IFERROR(VLOOKUP(G5665,WholesaleExtract!B:O,8,FALSE),"")</f>
        <v/>
      </c>
      <c r="J5665" s="26" t="str">
        <f>IFERROR(VLOOKUP(G5665,WholesaleExtract!B:O,14,FALSE),"")</f>
        <v/>
      </c>
      <c r="K5665" s="26" t="str">
        <f>IFERROR(VLOOKUP(G5665,WholesaleExtract!B:K,10,FALSE),"")</f>
        <v/>
      </c>
      <c r="L5665" s="47" t="str">
        <f>IFERROR(VLOOKUP(G5665,WholesaleExtract!B:L,11,FALSE),"")</f>
        <v/>
      </c>
      <c r="M5665" s="47" t="str">
        <f>IFERROR(VLOOKUP(G5665,WholesaleExtract!B:M,12,FALSE),"")</f>
        <v/>
      </c>
      <c r="R5665" s="19"/>
      <c r="S5665" s="19"/>
    </row>
    <row r="5666" spans="1:19" x14ac:dyDescent="0.35">
      <c r="A5666" s="26" t="s">
        <v>543</v>
      </c>
      <c r="B5666" s="26" t="s">
        <v>543</v>
      </c>
      <c r="C5666" s="26"/>
      <c r="D5666" s="26" t="s">
        <v>543</v>
      </c>
      <c r="E5666" s="26" t="str">
        <f>IFERROR(VLOOKUP(G5666,WholesaleExtract!B:J,9,FALSE),"")</f>
        <v/>
      </c>
      <c r="F5666" s="26" t="str">
        <f>IFERROR(VLOOKUP(G5666,WholesaleExtract!B:J,6,FALSE),"")</f>
        <v/>
      </c>
      <c r="H5666" s="47" t="str">
        <f>IFERROR(VLOOKUP(G5666,WholesaleExtract!B:L,11,FALSE),"")</f>
        <v/>
      </c>
      <c r="I5666" s="26" t="str">
        <f>IFERROR(VLOOKUP(G5666,WholesaleExtract!B:O,8,FALSE),"")</f>
        <v/>
      </c>
      <c r="J5666" s="26" t="str">
        <f>IFERROR(VLOOKUP(G5666,WholesaleExtract!B:O,14,FALSE),"")</f>
        <v/>
      </c>
      <c r="K5666" s="26" t="str">
        <f>IFERROR(VLOOKUP(G5666,WholesaleExtract!B:K,10,FALSE),"")</f>
        <v/>
      </c>
      <c r="L5666" s="47" t="str">
        <f>IFERROR(VLOOKUP(G5666,WholesaleExtract!B:L,11,FALSE),"")</f>
        <v/>
      </c>
      <c r="M5666" s="47" t="str">
        <f>IFERROR(VLOOKUP(G5666,WholesaleExtract!B:M,12,FALSE),"")</f>
        <v/>
      </c>
      <c r="R5666" s="19"/>
      <c r="S5666" s="19"/>
    </row>
    <row r="5667" spans="1:19" x14ac:dyDescent="0.35">
      <c r="A5667" s="26" t="s">
        <v>543</v>
      </c>
      <c r="B5667" s="26" t="s">
        <v>543</v>
      </c>
      <c r="C5667" s="26"/>
      <c r="D5667" s="26" t="s">
        <v>543</v>
      </c>
      <c r="E5667" s="26" t="str">
        <f>IFERROR(VLOOKUP(G5667,WholesaleExtract!B:J,9,FALSE),"")</f>
        <v/>
      </c>
      <c r="F5667" s="26" t="str">
        <f>IFERROR(VLOOKUP(G5667,WholesaleExtract!B:J,6,FALSE),"")</f>
        <v/>
      </c>
      <c r="H5667" s="47" t="str">
        <f>IFERROR(VLOOKUP(G5667,WholesaleExtract!B:L,11,FALSE),"")</f>
        <v/>
      </c>
      <c r="I5667" s="26" t="str">
        <f>IFERROR(VLOOKUP(G5667,WholesaleExtract!B:O,8,FALSE),"")</f>
        <v/>
      </c>
      <c r="J5667" s="26" t="str">
        <f>IFERROR(VLOOKUP(G5667,WholesaleExtract!B:O,14,FALSE),"")</f>
        <v/>
      </c>
      <c r="K5667" s="26" t="str">
        <f>IFERROR(VLOOKUP(G5667,WholesaleExtract!B:K,10,FALSE),"")</f>
        <v/>
      </c>
      <c r="L5667" s="47" t="str">
        <f>IFERROR(VLOOKUP(G5667,WholesaleExtract!B:L,11,FALSE),"")</f>
        <v/>
      </c>
      <c r="M5667" s="47" t="str">
        <f>IFERROR(VLOOKUP(G5667,WholesaleExtract!B:M,12,FALSE),"")</f>
        <v/>
      </c>
      <c r="R5667" s="19"/>
      <c r="S5667" s="19"/>
    </row>
    <row r="5668" spans="1:19" x14ac:dyDescent="0.35">
      <c r="A5668" s="26" t="s">
        <v>543</v>
      </c>
      <c r="B5668" s="26" t="s">
        <v>543</v>
      </c>
      <c r="C5668" s="26"/>
      <c r="D5668" s="26" t="s">
        <v>543</v>
      </c>
      <c r="E5668" s="26" t="str">
        <f>IFERROR(VLOOKUP(G5668,WholesaleExtract!B:J,9,FALSE),"")</f>
        <v/>
      </c>
      <c r="F5668" s="26" t="str">
        <f>IFERROR(VLOOKUP(G5668,WholesaleExtract!B:J,6,FALSE),"")</f>
        <v/>
      </c>
      <c r="H5668" s="47" t="str">
        <f>IFERROR(VLOOKUP(G5668,WholesaleExtract!B:L,11,FALSE),"")</f>
        <v/>
      </c>
      <c r="I5668" s="26" t="str">
        <f>IFERROR(VLOOKUP(G5668,WholesaleExtract!B:O,8,FALSE),"")</f>
        <v/>
      </c>
      <c r="J5668" s="26" t="str">
        <f>IFERROR(VLOOKUP(G5668,WholesaleExtract!B:O,14,FALSE),"")</f>
        <v/>
      </c>
      <c r="K5668" s="26" t="str">
        <f>IFERROR(VLOOKUP(G5668,WholesaleExtract!B:K,10,FALSE),"")</f>
        <v/>
      </c>
      <c r="L5668" s="47" t="str">
        <f>IFERROR(VLOOKUP(G5668,WholesaleExtract!B:L,11,FALSE),"")</f>
        <v/>
      </c>
      <c r="M5668" s="47" t="str">
        <f>IFERROR(VLOOKUP(G5668,WholesaleExtract!B:M,12,FALSE),"")</f>
        <v/>
      </c>
      <c r="R5668" s="19"/>
      <c r="S5668" s="19"/>
    </row>
    <row r="5669" spans="1:19" x14ac:dyDescent="0.35">
      <c r="A5669" s="26" t="s">
        <v>543</v>
      </c>
      <c r="B5669" s="26" t="s">
        <v>543</v>
      </c>
      <c r="C5669" s="26"/>
      <c r="D5669" s="26" t="s">
        <v>543</v>
      </c>
      <c r="E5669" s="26" t="str">
        <f>IFERROR(VLOOKUP(G5669,WholesaleExtract!B:J,9,FALSE),"")</f>
        <v/>
      </c>
      <c r="F5669" s="26" t="str">
        <f>IFERROR(VLOOKUP(G5669,WholesaleExtract!B:J,6,FALSE),"")</f>
        <v/>
      </c>
      <c r="H5669" s="47" t="str">
        <f>IFERROR(VLOOKUP(G5669,WholesaleExtract!B:L,11,FALSE),"")</f>
        <v/>
      </c>
      <c r="I5669" s="26" t="str">
        <f>IFERROR(VLOOKUP(G5669,WholesaleExtract!B:O,8,FALSE),"")</f>
        <v/>
      </c>
      <c r="J5669" s="26" t="str">
        <f>IFERROR(VLOOKUP(G5669,WholesaleExtract!B:O,14,FALSE),"")</f>
        <v/>
      </c>
      <c r="K5669" s="26" t="str">
        <f>IFERROR(VLOOKUP(G5669,WholesaleExtract!B:K,10,FALSE),"")</f>
        <v/>
      </c>
      <c r="L5669" s="47" t="str">
        <f>IFERROR(VLOOKUP(G5669,WholesaleExtract!B:L,11,FALSE),"")</f>
        <v/>
      </c>
      <c r="M5669" s="47" t="str">
        <f>IFERROR(VLOOKUP(G5669,WholesaleExtract!B:M,12,FALSE),"")</f>
        <v/>
      </c>
      <c r="R5669" s="19"/>
      <c r="S5669" s="19"/>
    </row>
    <row r="5670" spans="1:19" x14ac:dyDescent="0.35">
      <c r="A5670" s="26" t="s">
        <v>543</v>
      </c>
      <c r="B5670" s="26" t="s">
        <v>543</v>
      </c>
      <c r="C5670" s="26"/>
      <c r="D5670" s="26" t="s">
        <v>543</v>
      </c>
      <c r="E5670" s="26" t="str">
        <f>IFERROR(VLOOKUP(G5670,WholesaleExtract!B:J,9,FALSE),"")</f>
        <v/>
      </c>
      <c r="F5670" s="26" t="str">
        <f>IFERROR(VLOOKUP(G5670,WholesaleExtract!B:J,6,FALSE),"")</f>
        <v/>
      </c>
      <c r="H5670" s="47" t="str">
        <f>IFERROR(VLOOKUP(G5670,WholesaleExtract!B:L,11,FALSE),"")</f>
        <v/>
      </c>
      <c r="I5670" s="26" t="str">
        <f>IFERROR(VLOOKUP(G5670,WholesaleExtract!B:O,8,FALSE),"")</f>
        <v/>
      </c>
      <c r="J5670" s="26" t="str">
        <f>IFERROR(VLOOKUP(G5670,WholesaleExtract!B:O,14,FALSE),"")</f>
        <v/>
      </c>
      <c r="K5670" s="26" t="str">
        <f>IFERROR(VLOOKUP(G5670,WholesaleExtract!B:K,10,FALSE),"")</f>
        <v/>
      </c>
      <c r="L5670" s="47" t="str">
        <f>IFERROR(VLOOKUP(G5670,WholesaleExtract!B:L,11,FALSE),"")</f>
        <v/>
      </c>
      <c r="M5670" s="47" t="str">
        <f>IFERROR(VLOOKUP(G5670,WholesaleExtract!B:M,12,FALSE),"")</f>
        <v/>
      </c>
      <c r="R5670" s="19"/>
      <c r="S5670" s="19"/>
    </row>
    <row r="5671" spans="1:19" x14ac:dyDescent="0.35">
      <c r="A5671" s="26" t="s">
        <v>543</v>
      </c>
      <c r="B5671" s="26" t="s">
        <v>543</v>
      </c>
      <c r="C5671" s="26"/>
      <c r="D5671" s="26" t="s">
        <v>543</v>
      </c>
      <c r="E5671" s="26" t="str">
        <f>IFERROR(VLOOKUP(G5671,WholesaleExtract!B:J,9,FALSE),"")</f>
        <v/>
      </c>
      <c r="F5671" s="26" t="str">
        <f>IFERROR(VLOOKUP(G5671,WholesaleExtract!B:J,6,FALSE),"")</f>
        <v/>
      </c>
      <c r="H5671" s="47" t="str">
        <f>IFERROR(VLOOKUP(G5671,WholesaleExtract!B:L,11,FALSE),"")</f>
        <v/>
      </c>
      <c r="I5671" s="26" t="str">
        <f>IFERROR(VLOOKUP(G5671,WholesaleExtract!B:O,8,FALSE),"")</f>
        <v/>
      </c>
      <c r="J5671" s="26" t="str">
        <f>IFERROR(VLOOKUP(G5671,WholesaleExtract!B:O,14,FALSE),"")</f>
        <v/>
      </c>
      <c r="K5671" s="26" t="str">
        <f>IFERROR(VLOOKUP(G5671,WholesaleExtract!B:K,10,FALSE),"")</f>
        <v/>
      </c>
      <c r="L5671" s="47" t="str">
        <f>IFERROR(VLOOKUP(G5671,WholesaleExtract!B:L,11,FALSE),"")</f>
        <v/>
      </c>
      <c r="M5671" s="47" t="str">
        <f>IFERROR(VLOOKUP(G5671,WholesaleExtract!B:M,12,FALSE),"")</f>
        <v/>
      </c>
      <c r="R5671" s="19"/>
      <c r="S5671" s="19"/>
    </row>
    <row r="5672" spans="1:19" x14ac:dyDescent="0.35">
      <c r="A5672" s="26" t="s">
        <v>543</v>
      </c>
      <c r="B5672" s="26" t="s">
        <v>543</v>
      </c>
      <c r="C5672" s="26"/>
      <c r="D5672" s="26" t="s">
        <v>543</v>
      </c>
      <c r="E5672" s="26" t="str">
        <f>IFERROR(VLOOKUP(G5672,WholesaleExtract!B:J,9,FALSE),"")</f>
        <v/>
      </c>
      <c r="F5672" s="26" t="str">
        <f>IFERROR(VLOOKUP(G5672,WholesaleExtract!B:J,6,FALSE),"")</f>
        <v/>
      </c>
      <c r="H5672" s="47" t="str">
        <f>IFERROR(VLOOKUP(G5672,WholesaleExtract!B:L,11,FALSE),"")</f>
        <v/>
      </c>
      <c r="I5672" s="26" t="str">
        <f>IFERROR(VLOOKUP(G5672,WholesaleExtract!B:O,8,FALSE),"")</f>
        <v/>
      </c>
      <c r="J5672" s="26" t="str">
        <f>IFERROR(VLOOKUP(G5672,WholesaleExtract!B:O,14,FALSE),"")</f>
        <v/>
      </c>
      <c r="K5672" s="26" t="str">
        <f>IFERROR(VLOOKUP(G5672,WholesaleExtract!B:K,10,FALSE),"")</f>
        <v/>
      </c>
      <c r="L5672" s="47" t="str">
        <f>IFERROR(VLOOKUP(G5672,WholesaleExtract!B:L,11,FALSE),"")</f>
        <v/>
      </c>
      <c r="M5672" s="47" t="str">
        <f>IFERROR(VLOOKUP(G5672,WholesaleExtract!B:M,12,FALSE),"")</f>
        <v/>
      </c>
      <c r="R5672" s="19"/>
      <c r="S5672" s="19"/>
    </row>
    <row r="5673" spans="1:19" x14ac:dyDescent="0.35">
      <c r="A5673" s="26" t="s">
        <v>543</v>
      </c>
      <c r="B5673" s="26" t="s">
        <v>543</v>
      </c>
      <c r="C5673" s="26"/>
      <c r="D5673" s="26" t="s">
        <v>543</v>
      </c>
      <c r="E5673" s="26" t="str">
        <f>IFERROR(VLOOKUP(G5673,WholesaleExtract!B:J,9,FALSE),"")</f>
        <v/>
      </c>
      <c r="F5673" s="26" t="str">
        <f>IFERROR(VLOOKUP(G5673,WholesaleExtract!B:J,6,FALSE),"")</f>
        <v/>
      </c>
      <c r="H5673" s="47" t="str">
        <f>IFERROR(VLOOKUP(G5673,WholesaleExtract!B:L,11,FALSE),"")</f>
        <v/>
      </c>
      <c r="I5673" s="26" t="str">
        <f>IFERROR(VLOOKUP(G5673,WholesaleExtract!B:O,8,FALSE),"")</f>
        <v/>
      </c>
      <c r="J5673" s="26" t="str">
        <f>IFERROR(VLOOKUP(G5673,WholesaleExtract!B:O,14,FALSE),"")</f>
        <v/>
      </c>
      <c r="K5673" s="26" t="str">
        <f>IFERROR(VLOOKUP(G5673,WholesaleExtract!B:K,10,FALSE),"")</f>
        <v/>
      </c>
      <c r="L5673" s="47" t="str">
        <f>IFERROR(VLOOKUP(G5673,WholesaleExtract!B:L,11,FALSE),"")</f>
        <v/>
      </c>
      <c r="M5673" s="47" t="str">
        <f>IFERROR(VLOOKUP(G5673,WholesaleExtract!B:M,12,FALSE),"")</f>
        <v/>
      </c>
      <c r="R5673" s="19"/>
      <c r="S5673" s="19"/>
    </row>
    <row r="5674" spans="1:19" x14ac:dyDescent="0.35">
      <c r="A5674" s="26" t="s">
        <v>543</v>
      </c>
      <c r="B5674" s="26" t="s">
        <v>543</v>
      </c>
      <c r="C5674" s="26"/>
      <c r="D5674" s="26" t="s">
        <v>543</v>
      </c>
      <c r="E5674" s="26" t="str">
        <f>IFERROR(VLOOKUP(G5674,WholesaleExtract!B:J,9,FALSE),"")</f>
        <v/>
      </c>
      <c r="F5674" s="26" t="str">
        <f>IFERROR(VLOOKUP(G5674,WholesaleExtract!B:J,6,FALSE),"")</f>
        <v/>
      </c>
      <c r="H5674" s="47" t="str">
        <f>IFERROR(VLOOKUP(G5674,WholesaleExtract!B:L,11,FALSE),"")</f>
        <v/>
      </c>
      <c r="I5674" s="26" t="str">
        <f>IFERROR(VLOOKUP(G5674,WholesaleExtract!B:O,8,FALSE),"")</f>
        <v/>
      </c>
      <c r="J5674" s="26" t="str">
        <f>IFERROR(VLOOKUP(G5674,WholesaleExtract!B:O,14,FALSE),"")</f>
        <v/>
      </c>
      <c r="K5674" s="26" t="str">
        <f>IFERROR(VLOOKUP(G5674,WholesaleExtract!B:K,10,FALSE),"")</f>
        <v/>
      </c>
      <c r="L5674" s="47" t="str">
        <f>IFERROR(VLOOKUP(G5674,WholesaleExtract!B:L,11,FALSE),"")</f>
        <v/>
      </c>
      <c r="M5674" s="47" t="str">
        <f>IFERROR(VLOOKUP(G5674,WholesaleExtract!B:M,12,FALSE),"")</f>
        <v/>
      </c>
      <c r="R5674" s="19"/>
      <c r="S5674" s="19"/>
    </row>
    <row r="5675" spans="1:19" x14ac:dyDescent="0.35">
      <c r="A5675" s="26" t="s">
        <v>543</v>
      </c>
      <c r="B5675" s="26" t="s">
        <v>543</v>
      </c>
      <c r="C5675" s="26"/>
      <c r="D5675" s="26" t="s">
        <v>543</v>
      </c>
      <c r="E5675" s="26" t="str">
        <f>IFERROR(VLOOKUP(G5675,WholesaleExtract!B:J,9,FALSE),"")</f>
        <v/>
      </c>
      <c r="F5675" s="26" t="str">
        <f>IFERROR(VLOOKUP(G5675,WholesaleExtract!B:J,6,FALSE),"")</f>
        <v/>
      </c>
      <c r="H5675" s="47" t="str">
        <f>IFERROR(VLOOKUP(G5675,WholesaleExtract!B:L,11,FALSE),"")</f>
        <v/>
      </c>
      <c r="I5675" s="26" t="str">
        <f>IFERROR(VLOOKUP(G5675,WholesaleExtract!B:O,8,FALSE),"")</f>
        <v/>
      </c>
      <c r="J5675" s="26" t="str">
        <f>IFERROR(VLOOKUP(G5675,WholesaleExtract!B:O,14,FALSE),"")</f>
        <v/>
      </c>
      <c r="K5675" s="26" t="str">
        <f>IFERROR(VLOOKUP(G5675,WholesaleExtract!B:K,10,FALSE),"")</f>
        <v/>
      </c>
      <c r="L5675" s="47" t="str">
        <f>IFERROR(VLOOKUP(G5675,WholesaleExtract!B:L,11,FALSE),"")</f>
        <v/>
      </c>
      <c r="M5675" s="47" t="str">
        <f>IFERROR(VLOOKUP(G5675,WholesaleExtract!B:M,12,FALSE),"")</f>
        <v/>
      </c>
      <c r="R5675" s="19"/>
      <c r="S5675" s="19"/>
    </row>
    <row r="5676" spans="1:19" x14ac:dyDescent="0.35">
      <c r="A5676" s="26" t="s">
        <v>543</v>
      </c>
      <c r="B5676" s="26" t="s">
        <v>543</v>
      </c>
      <c r="C5676" s="26"/>
      <c r="D5676" s="26" t="s">
        <v>543</v>
      </c>
      <c r="E5676" s="26" t="str">
        <f>IFERROR(VLOOKUP(G5676,WholesaleExtract!B:J,9,FALSE),"")</f>
        <v/>
      </c>
      <c r="F5676" s="26" t="str">
        <f>IFERROR(VLOOKUP(G5676,WholesaleExtract!B:J,6,FALSE),"")</f>
        <v/>
      </c>
      <c r="H5676" s="47" t="str">
        <f>IFERROR(VLOOKUP(G5676,WholesaleExtract!B:L,11,FALSE),"")</f>
        <v/>
      </c>
      <c r="I5676" s="26" t="str">
        <f>IFERROR(VLOOKUP(G5676,WholesaleExtract!B:O,8,FALSE),"")</f>
        <v/>
      </c>
      <c r="J5676" s="26" t="str">
        <f>IFERROR(VLOOKUP(G5676,WholesaleExtract!B:O,14,FALSE),"")</f>
        <v/>
      </c>
      <c r="K5676" s="26" t="str">
        <f>IFERROR(VLOOKUP(G5676,WholesaleExtract!B:K,10,FALSE),"")</f>
        <v/>
      </c>
      <c r="L5676" s="47" t="str">
        <f>IFERROR(VLOOKUP(G5676,WholesaleExtract!B:L,11,FALSE),"")</f>
        <v/>
      </c>
      <c r="M5676" s="47" t="str">
        <f>IFERROR(VLOOKUP(G5676,WholesaleExtract!B:M,12,FALSE),"")</f>
        <v/>
      </c>
      <c r="R5676" s="19"/>
      <c r="S5676" s="19"/>
    </row>
    <row r="5677" spans="1:19" x14ac:dyDescent="0.35">
      <c r="A5677" s="26" t="s">
        <v>543</v>
      </c>
      <c r="B5677" s="26" t="s">
        <v>543</v>
      </c>
      <c r="C5677" s="26"/>
      <c r="D5677" s="26" t="s">
        <v>543</v>
      </c>
      <c r="E5677" s="26" t="str">
        <f>IFERROR(VLOOKUP(G5677,WholesaleExtract!B:J,9,FALSE),"")</f>
        <v/>
      </c>
      <c r="F5677" s="26" t="str">
        <f>IFERROR(VLOOKUP(G5677,WholesaleExtract!B:J,6,FALSE),"")</f>
        <v/>
      </c>
      <c r="H5677" s="47" t="str">
        <f>IFERROR(VLOOKUP(G5677,WholesaleExtract!B:L,11,FALSE),"")</f>
        <v/>
      </c>
      <c r="I5677" s="26" t="str">
        <f>IFERROR(VLOOKUP(G5677,WholesaleExtract!B:O,8,FALSE),"")</f>
        <v/>
      </c>
      <c r="J5677" s="26" t="str">
        <f>IFERROR(VLOOKUP(G5677,WholesaleExtract!B:O,14,FALSE),"")</f>
        <v/>
      </c>
      <c r="K5677" s="26" t="str">
        <f>IFERROR(VLOOKUP(G5677,WholesaleExtract!B:K,10,FALSE),"")</f>
        <v/>
      </c>
      <c r="L5677" s="47" t="str">
        <f>IFERROR(VLOOKUP(G5677,WholesaleExtract!B:L,11,FALSE),"")</f>
        <v/>
      </c>
      <c r="M5677" s="47" t="str">
        <f>IFERROR(VLOOKUP(G5677,WholesaleExtract!B:M,12,FALSE),"")</f>
        <v/>
      </c>
      <c r="R5677" s="19"/>
      <c r="S5677" s="19"/>
    </row>
    <row r="5678" spans="1:19" x14ac:dyDescent="0.35">
      <c r="A5678" s="26" t="s">
        <v>543</v>
      </c>
      <c r="B5678" s="26" t="s">
        <v>543</v>
      </c>
      <c r="C5678" s="26"/>
      <c r="D5678" s="26" t="s">
        <v>543</v>
      </c>
      <c r="E5678" s="26" t="str">
        <f>IFERROR(VLOOKUP(G5678,WholesaleExtract!B:J,9,FALSE),"")</f>
        <v/>
      </c>
      <c r="F5678" s="26" t="str">
        <f>IFERROR(VLOOKUP(G5678,WholesaleExtract!B:J,6,FALSE),"")</f>
        <v/>
      </c>
      <c r="H5678" s="47" t="str">
        <f>IFERROR(VLOOKUP(G5678,WholesaleExtract!B:L,11,FALSE),"")</f>
        <v/>
      </c>
      <c r="I5678" s="26" t="str">
        <f>IFERROR(VLOOKUP(G5678,WholesaleExtract!B:O,8,FALSE),"")</f>
        <v/>
      </c>
      <c r="J5678" s="26" t="str">
        <f>IFERROR(VLOOKUP(G5678,WholesaleExtract!B:O,14,FALSE),"")</f>
        <v/>
      </c>
      <c r="K5678" s="26" t="str">
        <f>IFERROR(VLOOKUP(G5678,WholesaleExtract!B:K,10,FALSE),"")</f>
        <v/>
      </c>
      <c r="L5678" s="47" t="str">
        <f>IFERROR(VLOOKUP(G5678,WholesaleExtract!B:L,11,FALSE),"")</f>
        <v/>
      </c>
      <c r="M5678" s="47" t="str">
        <f>IFERROR(VLOOKUP(G5678,WholesaleExtract!B:M,12,FALSE),"")</f>
        <v/>
      </c>
      <c r="R5678" s="19"/>
      <c r="S5678" s="19"/>
    </row>
    <row r="5679" spans="1:19" x14ac:dyDescent="0.35">
      <c r="A5679" s="26" t="s">
        <v>543</v>
      </c>
      <c r="B5679" s="26" t="s">
        <v>543</v>
      </c>
      <c r="C5679" s="26"/>
      <c r="D5679" s="26" t="s">
        <v>543</v>
      </c>
      <c r="E5679" s="26" t="str">
        <f>IFERROR(VLOOKUP(G5679,WholesaleExtract!B:J,9,FALSE),"")</f>
        <v/>
      </c>
      <c r="F5679" s="26" t="str">
        <f>IFERROR(VLOOKUP(G5679,WholesaleExtract!B:J,6,FALSE),"")</f>
        <v/>
      </c>
      <c r="H5679" s="47" t="str">
        <f>IFERROR(VLOOKUP(G5679,WholesaleExtract!B:L,11,FALSE),"")</f>
        <v/>
      </c>
      <c r="I5679" s="26" t="str">
        <f>IFERROR(VLOOKUP(G5679,WholesaleExtract!B:O,8,FALSE),"")</f>
        <v/>
      </c>
      <c r="J5679" s="26" t="str">
        <f>IFERROR(VLOOKUP(G5679,WholesaleExtract!B:O,14,FALSE),"")</f>
        <v/>
      </c>
      <c r="K5679" s="26" t="str">
        <f>IFERROR(VLOOKUP(G5679,WholesaleExtract!B:K,10,FALSE),"")</f>
        <v/>
      </c>
      <c r="L5679" s="47" t="str">
        <f>IFERROR(VLOOKUP(G5679,WholesaleExtract!B:L,11,FALSE),"")</f>
        <v/>
      </c>
      <c r="M5679" s="47" t="str">
        <f>IFERROR(VLOOKUP(G5679,WholesaleExtract!B:M,12,FALSE),"")</f>
        <v/>
      </c>
      <c r="R5679" s="19"/>
      <c r="S5679" s="19"/>
    </row>
    <row r="5680" spans="1:19" x14ac:dyDescent="0.35">
      <c r="A5680" s="26" t="s">
        <v>543</v>
      </c>
      <c r="B5680" s="26" t="s">
        <v>543</v>
      </c>
      <c r="C5680" s="26"/>
      <c r="D5680" s="26" t="s">
        <v>543</v>
      </c>
      <c r="E5680" s="26" t="str">
        <f>IFERROR(VLOOKUP(G5680,WholesaleExtract!B:J,9,FALSE),"")</f>
        <v/>
      </c>
      <c r="F5680" s="26" t="str">
        <f>IFERROR(VLOOKUP(G5680,WholesaleExtract!B:J,6,FALSE),"")</f>
        <v/>
      </c>
      <c r="H5680" s="47" t="str">
        <f>IFERROR(VLOOKUP(G5680,WholesaleExtract!B:L,11,FALSE),"")</f>
        <v/>
      </c>
      <c r="I5680" s="26" t="str">
        <f>IFERROR(VLOOKUP(G5680,WholesaleExtract!B:O,8,FALSE),"")</f>
        <v/>
      </c>
      <c r="J5680" s="26" t="str">
        <f>IFERROR(VLOOKUP(G5680,WholesaleExtract!B:O,14,FALSE),"")</f>
        <v/>
      </c>
      <c r="K5680" s="26" t="str">
        <f>IFERROR(VLOOKUP(G5680,WholesaleExtract!B:K,10,FALSE),"")</f>
        <v/>
      </c>
      <c r="L5680" s="47" t="str">
        <f>IFERROR(VLOOKUP(G5680,WholesaleExtract!B:L,11,FALSE),"")</f>
        <v/>
      </c>
      <c r="M5680" s="47" t="str">
        <f>IFERROR(VLOOKUP(G5680,WholesaleExtract!B:M,12,FALSE),"")</f>
        <v/>
      </c>
      <c r="R5680" s="19"/>
      <c r="S5680" s="19"/>
    </row>
    <row r="5681" spans="1:19" x14ac:dyDescent="0.35">
      <c r="A5681" s="26" t="s">
        <v>543</v>
      </c>
      <c r="B5681" s="26" t="s">
        <v>543</v>
      </c>
      <c r="C5681" s="26"/>
      <c r="D5681" s="26" t="s">
        <v>543</v>
      </c>
      <c r="E5681" s="26" t="str">
        <f>IFERROR(VLOOKUP(G5681,WholesaleExtract!B:J,9,FALSE),"")</f>
        <v/>
      </c>
      <c r="F5681" s="26" t="str">
        <f>IFERROR(VLOOKUP(G5681,WholesaleExtract!B:J,6,FALSE),"")</f>
        <v/>
      </c>
      <c r="H5681" s="47" t="str">
        <f>IFERROR(VLOOKUP(G5681,WholesaleExtract!B:L,11,FALSE),"")</f>
        <v/>
      </c>
      <c r="I5681" s="26" t="str">
        <f>IFERROR(VLOOKUP(G5681,WholesaleExtract!B:O,8,FALSE),"")</f>
        <v/>
      </c>
      <c r="J5681" s="26" t="str">
        <f>IFERROR(VLOOKUP(G5681,WholesaleExtract!B:O,14,FALSE),"")</f>
        <v/>
      </c>
      <c r="K5681" s="26" t="str">
        <f>IFERROR(VLOOKUP(G5681,WholesaleExtract!B:K,10,FALSE),"")</f>
        <v/>
      </c>
      <c r="L5681" s="47" t="str">
        <f>IFERROR(VLOOKUP(G5681,WholesaleExtract!B:L,11,FALSE),"")</f>
        <v/>
      </c>
      <c r="M5681" s="47" t="str">
        <f>IFERROR(VLOOKUP(G5681,WholesaleExtract!B:M,12,FALSE),"")</f>
        <v/>
      </c>
      <c r="R5681" s="19"/>
      <c r="S5681" s="19"/>
    </row>
    <row r="5682" spans="1:19" x14ac:dyDescent="0.35">
      <c r="A5682" s="26" t="s">
        <v>543</v>
      </c>
      <c r="B5682" s="26" t="s">
        <v>543</v>
      </c>
      <c r="C5682" s="26"/>
      <c r="D5682" s="26" t="s">
        <v>543</v>
      </c>
      <c r="E5682" s="26" t="str">
        <f>IFERROR(VLOOKUP(G5682,WholesaleExtract!B:J,9,FALSE),"")</f>
        <v/>
      </c>
      <c r="F5682" s="26" t="str">
        <f>IFERROR(VLOOKUP(G5682,WholesaleExtract!B:J,6,FALSE),"")</f>
        <v/>
      </c>
      <c r="H5682" s="47" t="str">
        <f>IFERROR(VLOOKUP(G5682,WholesaleExtract!B:L,11,FALSE),"")</f>
        <v/>
      </c>
      <c r="I5682" s="26" t="str">
        <f>IFERROR(VLOOKUP(G5682,WholesaleExtract!B:O,8,FALSE),"")</f>
        <v/>
      </c>
      <c r="J5682" s="26" t="str">
        <f>IFERROR(VLOOKUP(G5682,WholesaleExtract!B:O,14,FALSE),"")</f>
        <v/>
      </c>
      <c r="K5682" s="26" t="str">
        <f>IFERROR(VLOOKUP(G5682,WholesaleExtract!B:K,10,FALSE),"")</f>
        <v/>
      </c>
      <c r="L5682" s="47" t="str">
        <f>IFERROR(VLOOKUP(G5682,WholesaleExtract!B:L,11,FALSE),"")</f>
        <v/>
      </c>
      <c r="M5682" s="47" t="str">
        <f>IFERROR(VLOOKUP(G5682,WholesaleExtract!B:M,12,FALSE),"")</f>
        <v/>
      </c>
      <c r="R5682" s="19"/>
      <c r="S5682" s="19"/>
    </row>
    <row r="5683" spans="1:19" x14ac:dyDescent="0.35">
      <c r="A5683" s="26" t="s">
        <v>543</v>
      </c>
      <c r="B5683" s="26" t="s">
        <v>543</v>
      </c>
      <c r="C5683" s="26"/>
      <c r="D5683" s="26" t="s">
        <v>543</v>
      </c>
      <c r="E5683" s="26" t="str">
        <f>IFERROR(VLOOKUP(G5683,WholesaleExtract!B:J,9,FALSE),"")</f>
        <v/>
      </c>
      <c r="F5683" s="26" t="str">
        <f>IFERROR(VLOOKUP(G5683,WholesaleExtract!B:J,6,FALSE),"")</f>
        <v/>
      </c>
      <c r="H5683" s="47" t="str">
        <f>IFERROR(VLOOKUP(G5683,WholesaleExtract!B:L,11,FALSE),"")</f>
        <v/>
      </c>
      <c r="I5683" s="26" t="str">
        <f>IFERROR(VLOOKUP(G5683,WholesaleExtract!B:O,8,FALSE),"")</f>
        <v/>
      </c>
      <c r="J5683" s="26" t="str">
        <f>IFERROR(VLOOKUP(G5683,WholesaleExtract!B:O,14,FALSE),"")</f>
        <v/>
      </c>
      <c r="K5683" s="26" t="str">
        <f>IFERROR(VLOOKUP(G5683,WholesaleExtract!B:K,10,FALSE),"")</f>
        <v/>
      </c>
      <c r="L5683" s="47" t="str">
        <f>IFERROR(VLOOKUP(G5683,WholesaleExtract!B:L,11,FALSE),"")</f>
        <v/>
      </c>
      <c r="M5683" s="47" t="str">
        <f>IFERROR(VLOOKUP(G5683,WholesaleExtract!B:M,12,FALSE),"")</f>
        <v/>
      </c>
      <c r="N5683" s="51"/>
      <c r="R5683" s="19"/>
      <c r="S5683" s="19"/>
    </row>
    <row r="5684" spans="1:19" x14ac:dyDescent="0.35">
      <c r="A5684" s="26" t="s">
        <v>543</v>
      </c>
      <c r="B5684" s="26" t="s">
        <v>543</v>
      </c>
      <c r="C5684" s="26"/>
      <c r="D5684" s="26" t="s">
        <v>543</v>
      </c>
      <c r="E5684" s="26" t="str">
        <f>IFERROR(VLOOKUP(G5684,WholesaleExtract!B:J,9,FALSE),"")</f>
        <v/>
      </c>
      <c r="F5684" s="26" t="str">
        <f>IFERROR(VLOOKUP(G5684,WholesaleExtract!B:J,6,FALSE),"")</f>
        <v/>
      </c>
      <c r="H5684" s="47" t="str">
        <f>IFERROR(VLOOKUP(G5684,WholesaleExtract!B:L,11,FALSE),"")</f>
        <v/>
      </c>
      <c r="I5684" s="26" t="str">
        <f>IFERROR(VLOOKUP(G5684,WholesaleExtract!B:O,8,FALSE),"")</f>
        <v/>
      </c>
      <c r="J5684" s="26" t="str">
        <f>IFERROR(VLOOKUP(G5684,WholesaleExtract!B:O,14,FALSE),"")</f>
        <v/>
      </c>
      <c r="K5684" s="26" t="str">
        <f>IFERROR(VLOOKUP(G5684,WholesaleExtract!B:K,10,FALSE),"")</f>
        <v/>
      </c>
      <c r="L5684" s="47" t="str">
        <f>IFERROR(VLOOKUP(G5684,WholesaleExtract!B:L,11,FALSE),"")</f>
        <v/>
      </c>
      <c r="M5684" s="47" t="str">
        <f>IFERROR(VLOOKUP(G5684,WholesaleExtract!B:M,12,FALSE),"")</f>
        <v/>
      </c>
      <c r="R5684" s="19"/>
      <c r="S5684" s="19"/>
    </row>
    <row r="5685" spans="1:19" x14ac:dyDescent="0.35">
      <c r="A5685" s="26" t="s">
        <v>543</v>
      </c>
      <c r="B5685" s="26" t="s">
        <v>543</v>
      </c>
      <c r="C5685" s="26"/>
      <c r="D5685" s="26" t="s">
        <v>543</v>
      </c>
      <c r="E5685" s="26" t="str">
        <f>IFERROR(VLOOKUP(G5685,WholesaleExtract!B:J,9,FALSE),"")</f>
        <v/>
      </c>
      <c r="F5685" s="26" t="str">
        <f>IFERROR(VLOOKUP(G5685,WholesaleExtract!B:J,6,FALSE),"")</f>
        <v/>
      </c>
      <c r="H5685" s="47" t="str">
        <f>IFERROR(VLOOKUP(G5685,WholesaleExtract!B:L,11,FALSE),"")</f>
        <v/>
      </c>
      <c r="I5685" s="26" t="str">
        <f>IFERROR(VLOOKUP(G5685,WholesaleExtract!B:O,8,FALSE),"")</f>
        <v/>
      </c>
      <c r="J5685" s="26" t="str">
        <f>IFERROR(VLOOKUP(G5685,WholesaleExtract!B:O,14,FALSE),"")</f>
        <v/>
      </c>
      <c r="K5685" s="26" t="str">
        <f>IFERROR(VLOOKUP(G5685,WholesaleExtract!B:K,10,FALSE),"")</f>
        <v/>
      </c>
      <c r="L5685" s="47" t="str">
        <f>IFERROR(VLOOKUP(G5685,WholesaleExtract!B:L,11,FALSE),"")</f>
        <v/>
      </c>
      <c r="M5685" s="47" t="str">
        <f>IFERROR(VLOOKUP(G5685,WholesaleExtract!B:M,12,FALSE),"")</f>
        <v/>
      </c>
      <c r="R5685" s="19"/>
      <c r="S5685" s="19"/>
    </row>
    <row r="5686" spans="1:19" x14ac:dyDescent="0.35">
      <c r="A5686" s="26" t="s">
        <v>543</v>
      </c>
      <c r="B5686" s="26" t="s">
        <v>543</v>
      </c>
      <c r="C5686" s="26"/>
      <c r="D5686" s="26" t="s">
        <v>543</v>
      </c>
      <c r="E5686" s="26" t="str">
        <f>IFERROR(VLOOKUP(G5686,WholesaleExtract!B:J,9,FALSE),"")</f>
        <v/>
      </c>
      <c r="F5686" s="26" t="str">
        <f>IFERROR(VLOOKUP(G5686,WholesaleExtract!B:J,6,FALSE),"")</f>
        <v/>
      </c>
      <c r="H5686" s="47" t="str">
        <f>IFERROR(VLOOKUP(G5686,WholesaleExtract!B:L,11,FALSE),"")</f>
        <v/>
      </c>
      <c r="I5686" s="26" t="str">
        <f>IFERROR(VLOOKUP(G5686,WholesaleExtract!B:O,8,FALSE),"")</f>
        <v/>
      </c>
      <c r="J5686" s="26" t="str">
        <f>IFERROR(VLOOKUP(G5686,WholesaleExtract!B:O,14,FALSE),"")</f>
        <v/>
      </c>
      <c r="K5686" s="26" t="str">
        <f>IFERROR(VLOOKUP(G5686,WholesaleExtract!B:K,10,FALSE),"")</f>
        <v/>
      </c>
      <c r="L5686" s="47" t="str">
        <f>IFERROR(VLOOKUP(G5686,WholesaleExtract!B:L,11,FALSE),"")</f>
        <v/>
      </c>
      <c r="M5686" s="47" t="str">
        <f>IFERROR(VLOOKUP(G5686,WholesaleExtract!B:M,12,FALSE),"")</f>
        <v/>
      </c>
      <c r="R5686" s="19"/>
      <c r="S5686" s="19"/>
    </row>
    <row r="5687" spans="1:19" x14ac:dyDescent="0.35">
      <c r="A5687" s="26" t="s">
        <v>543</v>
      </c>
      <c r="B5687" s="26" t="s">
        <v>543</v>
      </c>
      <c r="C5687" s="26"/>
      <c r="D5687" s="26" t="s">
        <v>543</v>
      </c>
      <c r="E5687" s="26" t="str">
        <f>IFERROR(VLOOKUP(G5687,WholesaleExtract!B:J,9,FALSE),"")</f>
        <v/>
      </c>
      <c r="F5687" s="26" t="str">
        <f>IFERROR(VLOOKUP(G5687,WholesaleExtract!B:J,6,FALSE),"")</f>
        <v/>
      </c>
      <c r="H5687" s="47" t="str">
        <f>IFERROR(VLOOKUP(G5687,WholesaleExtract!B:L,11,FALSE),"")</f>
        <v/>
      </c>
      <c r="I5687" s="26" t="str">
        <f>IFERROR(VLOOKUP(G5687,WholesaleExtract!B:O,8,FALSE),"")</f>
        <v/>
      </c>
      <c r="J5687" s="26" t="str">
        <f>IFERROR(VLOOKUP(G5687,WholesaleExtract!B:O,14,FALSE),"")</f>
        <v/>
      </c>
      <c r="K5687" s="26" t="str">
        <f>IFERROR(VLOOKUP(G5687,WholesaleExtract!B:K,10,FALSE),"")</f>
        <v/>
      </c>
      <c r="L5687" s="47" t="str">
        <f>IFERROR(VLOOKUP(G5687,WholesaleExtract!B:L,11,FALSE),"")</f>
        <v/>
      </c>
      <c r="M5687" s="47" t="str">
        <f>IFERROR(VLOOKUP(G5687,WholesaleExtract!B:M,12,FALSE),"")</f>
        <v/>
      </c>
      <c r="R5687" s="19"/>
      <c r="S5687" s="19"/>
    </row>
    <row r="5688" spans="1:19" x14ac:dyDescent="0.35">
      <c r="A5688" s="26" t="s">
        <v>543</v>
      </c>
      <c r="B5688" s="26" t="s">
        <v>543</v>
      </c>
      <c r="C5688" s="26"/>
      <c r="D5688" s="26" t="s">
        <v>543</v>
      </c>
      <c r="E5688" s="26" t="str">
        <f>IFERROR(VLOOKUP(G5688,WholesaleExtract!B:J,9,FALSE),"")</f>
        <v/>
      </c>
      <c r="F5688" s="26" t="str">
        <f>IFERROR(VLOOKUP(G5688,WholesaleExtract!B:J,6,FALSE),"")</f>
        <v/>
      </c>
      <c r="H5688" s="47" t="str">
        <f>IFERROR(VLOOKUP(G5688,WholesaleExtract!B:L,11,FALSE),"")</f>
        <v/>
      </c>
      <c r="I5688" s="26" t="str">
        <f>IFERROR(VLOOKUP(G5688,WholesaleExtract!B:O,8,FALSE),"")</f>
        <v/>
      </c>
      <c r="J5688" s="26" t="str">
        <f>IFERROR(VLOOKUP(G5688,WholesaleExtract!B:O,14,FALSE),"")</f>
        <v/>
      </c>
      <c r="K5688" s="26" t="str">
        <f>IFERROR(VLOOKUP(G5688,WholesaleExtract!B:K,10,FALSE),"")</f>
        <v/>
      </c>
      <c r="L5688" s="47" t="str">
        <f>IFERROR(VLOOKUP(G5688,WholesaleExtract!B:L,11,FALSE),"")</f>
        <v/>
      </c>
      <c r="M5688" s="47" t="str">
        <f>IFERROR(VLOOKUP(G5688,WholesaleExtract!B:M,12,FALSE),"")</f>
        <v/>
      </c>
      <c r="R5688" s="19"/>
      <c r="S5688" s="19"/>
    </row>
    <row r="5689" spans="1:19" x14ac:dyDescent="0.35">
      <c r="A5689" s="26" t="s">
        <v>543</v>
      </c>
      <c r="B5689" s="26" t="s">
        <v>543</v>
      </c>
      <c r="C5689" s="26"/>
      <c r="D5689" s="26" t="s">
        <v>543</v>
      </c>
      <c r="E5689" s="26" t="str">
        <f>IFERROR(VLOOKUP(G5689,WholesaleExtract!B:J,9,FALSE),"")</f>
        <v/>
      </c>
      <c r="F5689" s="26" t="str">
        <f>IFERROR(VLOOKUP(G5689,WholesaleExtract!B:J,6,FALSE),"")</f>
        <v/>
      </c>
      <c r="H5689" s="47" t="str">
        <f>IFERROR(VLOOKUP(G5689,WholesaleExtract!B:L,11,FALSE),"")</f>
        <v/>
      </c>
      <c r="I5689" s="26" t="str">
        <f>IFERROR(VLOOKUP(G5689,WholesaleExtract!B:O,8,FALSE),"")</f>
        <v/>
      </c>
      <c r="J5689" s="26" t="str">
        <f>IFERROR(VLOOKUP(G5689,WholesaleExtract!B:O,14,FALSE),"")</f>
        <v/>
      </c>
      <c r="K5689" s="26" t="str">
        <f>IFERROR(VLOOKUP(G5689,WholesaleExtract!B:K,10,FALSE),"")</f>
        <v/>
      </c>
      <c r="L5689" s="47" t="str">
        <f>IFERROR(VLOOKUP(G5689,WholesaleExtract!B:L,11,FALSE),"")</f>
        <v/>
      </c>
      <c r="M5689" s="47" t="str">
        <f>IFERROR(VLOOKUP(G5689,WholesaleExtract!B:M,12,FALSE),"")</f>
        <v/>
      </c>
      <c r="R5689" s="19"/>
      <c r="S5689" s="19"/>
    </row>
    <row r="5690" spans="1:19" x14ac:dyDescent="0.35">
      <c r="A5690" s="26" t="s">
        <v>543</v>
      </c>
      <c r="B5690" s="26" t="s">
        <v>543</v>
      </c>
      <c r="C5690" s="26"/>
      <c r="D5690" s="26" t="s">
        <v>543</v>
      </c>
      <c r="E5690" s="26" t="str">
        <f>IFERROR(VLOOKUP(G5690,WholesaleExtract!B:J,9,FALSE),"")</f>
        <v/>
      </c>
      <c r="F5690" s="26" t="str">
        <f>IFERROR(VLOOKUP(G5690,WholesaleExtract!B:J,6,FALSE),"")</f>
        <v/>
      </c>
      <c r="H5690" s="47" t="str">
        <f>IFERROR(VLOOKUP(G5690,WholesaleExtract!B:L,11,FALSE),"")</f>
        <v/>
      </c>
      <c r="I5690" s="26" t="str">
        <f>IFERROR(VLOOKUP(G5690,WholesaleExtract!B:O,8,FALSE),"")</f>
        <v/>
      </c>
      <c r="J5690" s="26" t="str">
        <f>IFERROR(VLOOKUP(G5690,WholesaleExtract!B:O,14,FALSE),"")</f>
        <v/>
      </c>
      <c r="K5690" s="26" t="str">
        <f>IFERROR(VLOOKUP(G5690,WholesaleExtract!B:K,10,FALSE),"")</f>
        <v/>
      </c>
      <c r="L5690" s="47" t="str">
        <f>IFERROR(VLOOKUP(G5690,WholesaleExtract!B:L,11,FALSE),"")</f>
        <v/>
      </c>
      <c r="M5690" s="47" t="str">
        <f>IFERROR(VLOOKUP(G5690,WholesaleExtract!B:M,12,FALSE),"")</f>
        <v/>
      </c>
      <c r="R5690" s="19"/>
      <c r="S5690" s="19"/>
    </row>
    <row r="5691" spans="1:19" x14ac:dyDescent="0.35">
      <c r="A5691" s="26" t="s">
        <v>543</v>
      </c>
      <c r="B5691" s="26" t="s">
        <v>543</v>
      </c>
      <c r="C5691" s="26"/>
      <c r="D5691" s="26" t="s">
        <v>543</v>
      </c>
      <c r="E5691" s="26" t="str">
        <f>IFERROR(VLOOKUP(G5691,WholesaleExtract!B:J,9,FALSE),"")</f>
        <v/>
      </c>
      <c r="F5691" s="26" t="str">
        <f>IFERROR(VLOOKUP(G5691,WholesaleExtract!B:J,6,FALSE),"")</f>
        <v/>
      </c>
      <c r="H5691" s="47" t="str">
        <f>IFERROR(VLOOKUP(G5691,WholesaleExtract!B:L,11,FALSE),"")</f>
        <v/>
      </c>
      <c r="I5691" s="26" t="str">
        <f>IFERROR(VLOOKUP(G5691,WholesaleExtract!B:O,8,FALSE),"")</f>
        <v/>
      </c>
      <c r="J5691" s="26" t="str">
        <f>IFERROR(VLOOKUP(G5691,WholesaleExtract!B:O,14,FALSE),"")</f>
        <v/>
      </c>
      <c r="K5691" s="26" t="str">
        <f>IFERROR(VLOOKUP(G5691,WholesaleExtract!B:K,10,FALSE),"")</f>
        <v/>
      </c>
      <c r="L5691" s="47" t="str">
        <f>IFERROR(VLOOKUP(G5691,WholesaleExtract!B:L,11,FALSE),"")</f>
        <v/>
      </c>
      <c r="M5691" s="47" t="str">
        <f>IFERROR(VLOOKUP(G5691,WholesaleExtract!B:M,12,FALSE),"")</f>
        <v/>
      </c>
      <c r="R5691" s="19"/>
      <c r="S5691" s="19"/>
    </row>
    <row r="5692" spans="1:19" x14ac:dyDescent="0.35">
      <c r="A5692" s="26" t="s">
        <v>543</v>
      </c>
      <c r="B5692" s="26" t="s">
        <v>543</v>
      </c>
      <c r="C5692" s="26"/>
      <c r="D5692" s="26" t="s">
        <v>543</v>
      </c>
      <c r="E5692" s="26" t="str">
        <f>IFERROR(VLOOKUP(G5692,WholesaleExtract!B:J,9,FALSE),"")</f>
        <v/>
      </c>
      <c r="F5692" s="26" t="str">
        <f>IFERROR(VLOOKUP(G5692,WholesaleExtract!B:J,6,FALSE),"")</f>
        <v/>
      </c>
      <c r="H5692" s="47" t="str">
        <f>IFERROR(VLOOKUP(G5692,WholesaleExtract!B:L,11,FALSE),"")</f>
        <v/>
      </c>
      <c r="I5692" s="26" t="str">
        <f>IFERROR(VLOOKUP(G5692,WholesaleExtract!B:O,8,FALSE),"")</f>
        <v/>
      </c>
      <c r="J5692" s="26" t="str">
        <f>IFERROR(VLOOKUP(G5692,WholesaleExtract!B:O,14,FALSE),"")</f>
        <v/>
      </c>
      <c r="K5692" s="26" t="str">
        <f>IFERROR(VLOOKUP(G5692,WholesaleExtract!B:K,10,FALSE),"")</f>
        <v/>
      </c>
      <c r="L5692" s="47" t="str">
        <f>IFERROR(VLOOKUP(G5692,WholesaleExtract!B:L,11,FALSE),"")</f>
        <v/>
      </c>
      <c r="M5692" s="47" t="str">
        <f>IFERROR(VLOOKUP(G5692,WholesaleExtract!B:M,12,FALSE),"")</f>
        <v/>
      </c>
      <c r="R5692" s="19"/>
      <c r="S5692" s="19"/>
    </row>
    <row r="5693" spans="1:19" x14ac:dyDescent="0.35">
      <c r="A5693" s="26" t="s">
        <v>543</v>
      </c>
      <c r="B5693" s="26" t="s">
        <v>543</v>
      </c>
      <c r="C5693" s="26"/>
      <c r="D5693" s="26" t="s">
        <v>543</v>
      </c>
      <c r="E5693" s="26" t="str">
        <f>IFERROR(VLOOKUP(G5693,WholesaleExtract!B:J,9,FALSE),"")</f>
        <v/>
      </c>
      <c r="F5693" s="26" t="str">
        <f>IFERROR(VLOOKUP(G5693,WholesaleExtract!B:J,6,FALSE),"")</f>
        <v/>
      </c>
      <c r="H5693" s="47" t="str">
        <f>IFERROR(VLOOKUP(G5693,WholesaleExtract!B:L,11,FALSE),"")</f>
        <v/>
      </c>
      <c r="I5693" s="26" t="str">
        <f>IFERROR(VLOOKUP(G5693,WholesaleExtract!B:O,8,FALSE),"")</f>
        <v/>
      </c>
      <c r="J5693" s="26" t="str">
        <f>IFERROR(VLOOKUP(G5693,WholesaleExtract!B:O,14,FALSE),"")</f>
        <v/>
      </c>
      <c r="K5693" s="26" t="str">
        <f>IFERROR(VLOOKUP(G5693,WholesaleExtract!B:K,10,FALSE),"")</f>
        <v/>
      </c>
      <c r="L5693" s="47" t="str">
        <f>IFERROR(VLOOKUP(G5693,WholesaleExtract!B:L,11,FALSE),"")</f>
        <v/>
      </c>
      <c r="M5693" s="47" t="str">
        <f>IFERROR(VLOOKUP(G5693,WholesaleExtract!B:M,12,FALSE),"")</f>
        <v/>
      </c>
      <c r="R5693" s="19"/>
      <c r="S5693" s="19"/>
    </row>
    <row r="5694" spans="1:19" x14ac:dyDescent="0.35">
      <c r="A5694" s="26" t="s">
        <v>543</v>
      </c>
      <c r="B5694" s="26" t="s">
        <v>543</v>
      </c>
      <c r="C5694" s="26"/>
      <c r="D5694" s="26" t="s">
        <v>543</v>
      </c>
      <c r="E5694" s="26" t="str">
        <f>IFERROR(VLOOKUP(G5694,WholesaleExtract!B:J,9,FALSE),"")</f>
        <v/>
      </c>
      <c r="F5694" s="26" t="str">
        <f>IFERROR(VLOOKUP(G5694,WholesaleExtract!B:J,6,FALSE),"")</f>
        <v/>
      </c>
      <c r="H5694" s="47" t="str">
        <f>IFERROR(VLOOKUP(G5694,WholesaleExtract!B:L,11,FALSE),"")</f>
        <v/>
      </c>
      <c r="I5694" s="26" t="str">
        <f>IFERROR(VLOOKUP(G5694,WholesaleExtract!B:O,8,FALSE),"")</f>
        <v/>
      </c>
      <c r="J5694" s="26" t="str">
        <f>IFERROR(VLOOKUP(G5694,WholesaleExtract!B:O,14,FALSE),"")</f>
        <v/>
      </c>
      <c r="K5694" s="26" t="str">
        <f>IFERROR(VLOOKUP(G5694,WholesaleExtract!B:K,10,FALSE),"")</f>
        <v/>
      </c>
      <c r="L5694" s="47" t="str">
        <f>IFERROR(VLOOKUP(G5694,WholesaleExtract!B:L,11,FALSE),"")</f>
        <v/>
      </c>
      <c r="M5694" s="47" t="str">
        <f>IFERROR(VLOOKUP(G5694,WholesaleExtract!B:M,12,FALSE),"")</f>
        <v/>
      </c>
      <c r="R5694" s="19"/>
      <c r="S5694" s="19"/>
    </row>
    <row r="5695" spans="1:19" x14ac:dyDescent="0.35">
      <c r="A5695" s="26" t="s">
        <v>543</v>
      </c>
      <c r="B5695" s="26" t="s">
        <v>543</v>
      </c>
      <c r="C5695" s="26"/>
      <c r="D5695" s="26" t="s">
        <v>543</v>
      </c>
      <c r="E5695" s="26" t="str">
        <f>IFERROR(VLOOKUP(G5695,WholesaleExtract!B:J,9,FALSE),"")</f>
        <v/>
      </c>
      <c r="F5695" s="26" t="str">
        <f>IFERROR(VLOOKUP(G5695,WholesaleExtract!B:J,6,FALSE),"")</f>
        <v/>
      </c>
      <c r="H5695" s="47" t="str">
        <f>IFERROR(VLOOKUP(G5695,WholesaleExtract!B:L,11,FALSE),"")</f>
        <v/>
      </c>
      <c r="I5695" s="26" t="str">
        <f>IFERROR(VLOOKUP(G5695,WholesaleExtract!B:O,8,FALSE),"")</f>
        <v/>
      </c>
      <c r="J5695" s="26" t="str">
        <f>IFERROR(VLOOKUP(G5695,WholesaleExtract!B:O,14,FALSE),"")</f>
        <v/>
      </c>
      <c r="K5695" s="26" t="str">
        <f>IFERROR(VLOOKUP(G5695,WholesaleExtract!B:K,10,FALSE),"")</f>
        <v/>
      </c>
      <c r="L5695" s="47" t="str">
        <f>IFERROR(VLOOKUP(G5695,WholesaleExtract!B:L,11,FALSE),"")</f>
        <v/>
      </c>
      <c r="M5695" s="47" t="str">
        <f>IFERROR(VLOOKUP(G5695,WholesaleExtract!B:M,12,FALSE),"")</f>
        <v/>
      </c>
      <c r="R5695" s="19"/>
      <c r="S5695" s="19"/>
    </row>
    <row r="5696" spans="1:19" x14ac:dyDescent="0.35">
      <c r="A5696" s="26" t="s">
        <v>543</v>
      </c>
      <c r="B5696" s="26" t="s">
        <v>543</v>
      </c>
      <c r="C5696" s="26"/>
      <c r="D5696" s="26" t="s">
        <v>543</v>
      </c>
      <c r="E5696" s="26" t="str">
        <f>IFERROR(VLOOKUP(G5696,WholesaleExtract!B:J,9,FALSE),"")</f>
        <v/>
      </c>
      <c r="F5696" s="26" t="str">
        <f>IFERROR(VLOOKUP(G5696,WholesaleExtract!B:J,6,FALSE),"")</f>
        <v/>
      </c>
      <c r="H5696" s="47" t="str">
        <f>IFERROR(VLOOKUP(G5696,WholesaleExtract!B:L,11,FALSE),"")</f>
        <v/>
      </c>
      <c r="I5696" s="26" t="str">
        <f>IFERROR(VLOOKUP(G5696,WholesaleExtract!B:O,8,FALSE),"")</f>
        <v/>
      </c>
      <c r="J5696" s="26" t="str">
        <f>IFERROR(VLOOKUP(G5696,WholesaleExtract!B:O,14,FALSE),"")</f>
        <v/>
      </c>
      <c r="K5696" s="26" t="str">
        <f>IFERROR(VLOOKUP(G5696,WholesaleExtract!B:K,10,FALSE),"")</f>
        <v/>
      </c>
      <c r="L5696" s="47" t="str">
        <f>IFERROR(VLOOKUP(G5696,WholesaleExtract!B:L,11,FALSE),"")</f>
        <v/>
      </c>
      <c r="M5696" s="47" t="str">
        <f>IFERROR(VLOOKUP(G5696,WholesaleExtract!B:M,12,FALSE),"")</f>
        <v/>
      </c>
      <c r="R5696" s="19"/>
      <c r="S5696" s="19"/>
    </row>
    <row r="5697" spans="1:19" x14ac:dyDescent="0.35">
      <c r="A5697" s="26" t="s">
        <v>543</v>
      </c>
      <c r="B5697" s="26" t="s">
        <v>543</v>
      </c>
      <c r="C5697" s="26"/>
      <c r="D5697" s="26" t="s">
        <v>543</v>
      </c>
      <c r="E5697" s="26" t="str">
        <f>IFERROR(VLOOKUP(G5697,WholesaleExtract!B:J,9,FALSE),"")</f>
        <v/>
      </c>
      <c r="F5697" s="26" t="str">
        <f>IFERROR(VLOOKUP(G5697,WholesaleExtract!B:J,6,FALSE),"")</f>
        <v/>
      </c>
      <c r="H5697" s="47" t="str">
        <f>IFERROR(VLOOKUP(G5697,WholesaleExtract!B:L,11,FALSE),"")</f>
        <v/>
      </c>
      <c r="I5697" s="26" t="str">
        <f>IFERROR(VLOOKUP(G5697,WholesaleExtract!B:O,8,FALSE),"")</f>
        <v/>
      </c>
      <c r="J5697" s="26" t="str">
        <f>IFERROR(VLOOKUP(G5697,WholesaleExtract!B:O,14,FALSE),"")</f>
        <v/>
      </c>
      <c r="K5697" s="26" t="str">
        <f>IFERROR(VLOOKUP(G5697,WholesaleExtract!B:K,10,FALSE),"")</f>
        <v/>
      </c>
      <c r="L5697" s="47" t="str">
        <f>IFERROR(VLOOKUP(G5697,WholesaleExtract!B:L,11,FALSE),"")</f>
        <v/>
      </c>
      <c r="M5697" s="47" t="str">
        <f>IFERROR(VLOOKUP(G5697,WholesaleExtract!B:M,12,FALSE),"")</f>
        <v/>
      </c>
      <c r="R5697" s="19"/>
      <c r="S5697" s="19"/>
    </row>
    <row r="5698" spans="1:19" x14ac:dyDescent="0.35">
      <c r="A5698" s="26" t="s">
        <v>543</v>
      </c>
      <c r="B5698" s="26" t="s">
        <v>543</v>
      </c>
      <c r="C5698" s="26"/>
      <c r="D5698" s="26" t="s">
        <v>543</v>
      </c>
      <c r="E5698" s="26" t="str">
        <f>IFERROR(VLOOKUP(G5698,WholesaleExtract!B:J,9,FALSE),"")</f>
        <v/>
      </c>
      <c r="F5698" s="26" t="str">
        <f>IFERROR(VLOOKUP(G5698,WholesaleExtract!B:J,6,FALSE),"")</f>
        <v/>
      </c>
      <c r="H5698" s="47" t="str">
        <f>IFERROR(VLOOKUP(G5698,WholesaleExtract!B:L,11,FALSE),"")</f>
        <v/>
      </c>
      <c r="I5698" s="26" t="str">
        <f>IFERROR(VLOOKUP(G5698,WholesaleExtract!B:O,8,FALSE),"")</f>
        <v/>
      </c>
      <c r="J5698" s="26" t="str">
        <f>IFERROR(VLOOKUP(G5698,WholesaleExtract!B:O,14,FALSE),"")</f>
        <v/>
      </c>
      <c r="K5698" s="26" t="str">
        <f>IFERROR(VLOOKUP(G5698,WholesaleExtract!B:K,10,FALSE),"")</f>
        <v/>
      </c>
      <c r="L5698" s="47" t="str">
        <f>IFERROR(VLOOKUP(G5698,WholesaleExtract!B:L,11,FALSE),"")</f>
        <v/>
      </c>
      <c r="M5698" s="47" t="str">
        <f>IFERROR(VLOOKUP(G5698,WholesaleExtract!B:M,12,FALSE),"")</f>
        <v/>
      </c>
      <c r="R5698" s="19"/>
      <c r="S5698" s="19"/>
    </row>
    <row r="5699" spans="1:19" x14ac:dyDescent="0.35">
      <c r="A5699" s="26" t="s">
        <v>543</v>
      </c>
      <c r="B5699" s="26" t="s">
        <v>543</v>
      </c>
      <c r="C5699" s="26"/>
      <c r="D5699" s="26" t="s">
        <v>543</v>
      </c>
      <c r="E5699" s="26" t="str">
        <f>IFERROR(VLOOKUP(G5699,WholesaleExtract!B:J,9,FALSE),"")</f>
        <v/>
      </c>
      <c r="F5699" s="26" t="str">
        <f>IFERROR(VLOOKUP(G5699,WholesaleExtract!B:J,6,FALSE),"")</f>
        <v/>
      </c>
      <c r="H5699" s="47" t="str">
        <f>IFERROR(VLOOKUP(G5699,WholesaleExtract!B:L,11,FALSE),"")</f>
        <v/>
      </c>
      <c r="I5699" s="26" t="str">
        <f>IFERROR(VLOOKUP(G5699,WholesaleExtract!B:O,8,FALSE),"")</f>
        <v/>
      </c>
      <c r="J5699" s="26" t="str">
        <f>IFERROR(VLOOKUP(G5699,WholesaleExtract!B:O,14,FALSE),"")</f>
        <v/>
      </c>
      <c r="K5699" s="26" t="str">
        <f>IFERROR(VLOOKUP(G5699,WholesaleExtract!B:K,10,FALSE),"")</f>
        <v/>
      </c>
      <c r="L5699" s="47" t="str">
        <f>IFERROR(VLOOKUP(G5699,WholesaleExtract!B:L,11,FALSE),"")</f>
        <v/>
      </c>
      <c r="M5699" s="47" t="str">
        <f>IFERROR(VLOOKUP(G5699,WholesaleExtract!B:M,12,FALSE),"")</f>
        <v/>
      </c>
      <c r="R5699" s="19"/>
      <c r="S5699" s="19"/>
    </row>
    <row r="5700" spans="1:19" x14ac:dyDescent="0.35">
      <c r="A5700" s="26" t="s">
        <v>543</v>
      </c>
      <c r="B5700" s="26" t="s">
        <v>543</v>
      </c>
      <c r="C5700" s="26"/>
      <c r="D5700" s="26" t="s">
        <v>543</v>
      </c>
      <c r="E5700" s="26" t="str">
        <f>IFERROR(VLOOKUP(G5700,WholesaleExtract!B:J,9,FALSE),"")</f>
        <v/>
      </c>
      <c r="F5700" s="26" t="str">
        <f>IFERROR(VLOOKUP(G5700,WholesaleExtract!B:J,6,FALSE),"")</f>
        <v/>
      </c>
      <c r="H5700" s="47" t="str">
        <f>IFERROR(VLOOKUP(G5700,WholesaleExtract!B:L,11,FALSE),"")</f>
        <v/>
      </c>
      <c r="I5700" s="26" t="str">
        <f>IFERROR(VLOOKUP(G5700,WholesaleExtract!B:O,8,FALSE),"")</f>
        <v/>
      </c>
      <c r="J5700" s="26" t="str">
        <f>IFERROR(VLOOKUP(G5700,WholesaleExtract!B:O,14,FALSE),"")</f>
        <v/>
      </c>
      <c r="K5700" s="26" t="str">
        <f>IFERROR(VLOOKUP(G5700,WholesaleExtract!B:K,10,FALSE),"")</f>
        <v/>
      </c>
      <c r="L5700" s="47" t="str">
        <f>IFERROR(VLOOKUP(G5700,WholesaleExtract!B:L,11,FALSE),"")</f>
        <v/>
      </c>
      <c r="M5700" s="47" t="str">
        <f>IFERROR(VLOOKUP(G5700,WholesaleExtract!B:M,12,FALSE),"")</f>
        <v/>
      </c>
      <c r="R5700" s="19"/>
      <c r="S5700" s="19"/>
    </row>
    <row r="5701" spans="1:19" x14ac:dyDescent="0.35">
      <c r="A5701" s="26" t="s">
        <v>543</v>
      </c>
      <c r="B5701" s="26" t="s">
        <v>543</v>
      </c>
      <c r="C5701" s="26"/>
      <c r="D5701" s="26" t="s">
        <v>543</v>
      </c>
      <c r="E5701" s="26" t="str">
        <f>IFERROR(VLOOKUP(G5701,WholesaleExtract!B:J,9,FALSE),"")</f>
        <v/>
      </c>
      <c r="F5701" s="26" t="str">
        <f>IFERROR(VLOOKUP(G5701,WholesaleExtract!B:J,6,FALSE),"")</f>
        <v/>
      </c>
      <c r="H5701" s="47" t="str">
        <f>IFERROR(VLOOKUP(G5701,WholesaleExtract!B:L,11,FALSE),"")</f>
        <v/>
      </c>
      <c r="I5701" s="26" t="str">
        <f>IFERROR(VLOOKUP(G5701,WholesaleExtract!B:O,8,FALSE),"")</f>
        <v/>
      </c>
      <c r="J5701" s="26" t="str">
        <f>IFERROR(VLOOKUP(G5701,WholesaleExtract!B:O,14,FALSE),"")</f>
        <v/>
      </c>
      <c r="K5701" s="26" t="str">
        <f>IFERROR(VLOOKUP(G5701,WholesaleExtract!B:K,10,FALSE),"")</f>
        <v/>
      </c>
      <c r="L5701" s="47" t="str">
        <f>IFERROR(VLOOKUP(G5701,WholesaleExtract!B:L,11,FALSE),"")</f>
        <v/>
      </c>
      <c r="M5701" s="47" t="str">
        <f>IFERROR(VLOOKUP(G5701,WholesaleExtract!B:M,12,FALSE),"")</f>
        <v/>
      </c>
      <c r="R5701" s="19"/>
      <c r="S5701" s="19"/>
    </row>
    <row r="5702" spans="1:19" x14ac:dyDescent="0.35">
      <c r="A5702" s="26" t="s">
        <v>543</v>
      </c>
      <c r="B5702" s="26" t="s">
        <v>543</v>
      </c>
      <c r="C5702" s="26"/>
      <c r="D5702" s="26" t="s">
        <v>543</v>
      </c>
      <c r="E5702" s="26" t="str">
        <f>IFERROR(VLOOKUP(G5702,WholesaleExtract!B:J,9,FALSE),"")</f>
        <v/>
      </c>
      <c r="F5702" s="26" t="str">
        <f>IFERROR(VLOOKUP(G5702,WholesaleExtract!B:J,6,FALSE),"")</f>
        <v/>
      </c>
      <c r="H5702" s="47" t="str">
        <f>IFERROR(VLOOKUP(G5702,WholesaleExtract!B:L,11,FALSE),"")</f>
        <v/>
      </c>
      <c r="I5702" s="26" t="str">
        <f>IFERROR(VLOOKUP(G5702,WholesaleExtract!B:O,8,FALSE),"")</f>
        <v/>
      </c>
      <c r="J5702" s="26" t="str">
        <f>IFERROR(VLOOKUP(G5702,WholesaleExtract!B:O,14,FALSE),"")</f>
        <v/>
      </c>
      <c r="K5702" s="26" t="str">
        <f>IFERROR(VLOOKUP(G5702,WholesaleExtract!B:K,10,FALSE),"")</f>
        <v/>
      </c>
      <c r="L5702" s="47" t="str">
        <f>IFERROR(VLOOKUP(G5702,WholesaleExtract!B:L,11,FALSE),"")</f>
        <v/>
      </c>
      <c r="M5702" s="47" t="str">
        <f>IFERROR(VLOOKUP(G5702,WholesaleExtract!B:M,12,FALSE),"")</f>
        <v/>
      </c>
      <c r="R5702" s="19"/>
      <c r="S5702" s="19"/>
    </row>
    <row r="5703" spans="1:19" x14ac:dyDescent="0.35">
      <c r="A5703" s="26" t="s">
        <v>543</v>
      </c>
      <c r="B5703" s="26" t="s">
        <v>543</v>
      </c>
      <c r="C5703" s="26"/>
      <c r="D5703" s="26" t="s">
        <v>543</v>
      </c>
      <c r="E5703" s="26" t="str">
        <f>IFERROR(VLOOKUP(G5703,WholesaleExtract!B:J,9,FALSE),"")</f>
        <v/>
      </c>
      <c r="F5703" s="26" t="str">
        <f>IFERROR(VLOOKUP(G5703,WholesaleExtract!B:J,6,FALSE),"")</f>
        <v/>
      </c>
      <c r="H5703" s="47" t="str">
        <f>IFERROR(VLOOKUP(G5703,WholesaleExtract!B:L,11,FALSE),"")</f>
        <v/>
      </c>
      <c r="I5703" s="26" t="str">
        <f>IFERROR(VLOOKUP(G5703,WholesaleExtract!B:O,8,FALSE),"")</f>
        <v/>
      </c>
      <c r="J5703" s="26" t="str">
        <f>IFERROR(VLOOKUP(G5703,WholesaleExtract!B:O,14,FALSE),"")</f>
        <v/>
      </c>
      <c r="K5703" s="26" t="str">
        <f>IFERROR(VLOOKUP(G5703,WholesaleExtract!B:K,10,FALSE),"")</f>
        <v/>
      </c>
      <c r="L5703" s="47" t="str">
        <f>IFERROR(VLOOKUP(G5703,WholesaleExtract!B:L,11,FALSE),"")</f>
        <v/>
      </c>
      <c r="M5703" s="47" t="str">
        <f>IFERROR(VLOOKUP(G5703,WholesaleExtract!B:M,12,FALSE),"")</f>
        <v/>
      </c>
      <c r="R5703" s="19"/>
      <c r="S5703" s="19"/>
    </row>
    <row r="5704" spans="1:19" x14ac:dyDescent="0.35">
      <c r="A5704" s="26" t="s">
        <v>543</v>
      </c>
      <c r="B5704" s="26" t="s">
        <v>543</v>
      </c>
      <c r="C5704" s="26"/>
      <c r="D5704" s="26" t="s">
        <v>543</v>
      </c>
      <c r="E5704" s="26" t="str">
        <f>IFERROR(VLOOKUP(G5704,WholesaleExtract!B:J,9,FALSE),"")</f>
        <v/>
      </c>
      <c r="F5704" s="26" t="str">
        <f>IFERROR(VLOOKUP(G5704,WholesaleExtract!B:J,6,FALSE),"")</f>
        <v/>
      </c>
      <c r="H5704" s="47" t="str">
        <f>IFERROR(VLOOKUP(G5704,WholesaleExtract!B:L,11,FALSE),"")</f>
        <v/>
      </c>
      <c r="I5704" s="26" t="str">
        <f>IFERROR(VLOOKUP(G5704,WholesaleExtract!B:O,8,FALSE),"")</f>
        <v/>
      </c>
      <c r="J5704" s="26" t="str">
        <f>IFERROR(VLOOKUP(G5704,WholesaleExtract!B:O,14,FALSE),"")</f>
        <v/>
      </c>
      <c r="K5704" s="26" t="str">
        <f>IFERROR(VLOOKUP(G5704,WholesaleExtract!B:K,10,FALSE),"")</f>
        <v/>
      </c>
      <c r="L5704" s="47" t="str">
        <f>IFERROR(VLOOKUP(G5704,WholesaleExtract!B:L,11,FALSE),"")</f>
        <v/>
      </c>
      <c r="M5704" s="47" t="str">
        <f>IFERROR(VLOOKUP(G5704,WholesaleExtract!B:M,12,FALSE),"")</f>
        <v/>
      </c>
      <c r="R5704" s="19"/>
      <c r="S5704" s="19"/>
    </row>
    <row r="5705" spans="1:19" x14ac:dyDescent="0.35">
      <c r="A5705" s="26" t="s">
        <v>543</v>
      </c>
      <c r="B5705" s="26" t="s">
        <v>543</v>
      </c>
      <c r="C5705" s="26"/>
      <c r="D5705" s="26" t="s">
        <v>543</v>
      </c>
      <c r="E5705" s="26" t="str">
        <f>IFERROR(VLOOKUP(G5705,WholesaleExtract!B:J,9,FALSE),"")</f>
        <v/>
      </c>
      <c r="F5705" s="26" t="str">
        <f>IFERROR(VLOOKUP(G5705,WholesaleExtract!B:J,6,FALSE),"")</f>
        <v/>
      </c>
      <c r="H5705" s="47" t="str">
        <f>IFERROR(VLOOKUP(G5705,WholesaleExtract!B:L,11,FALSE),"")</f>
        <v/>
      </c>
      <c r="I5705" s="26" t="str">
        <f>IFERROR(VLOOKUP(G5705,WholesaleExtract!B:O,8,FALSE),"")</f>
        <v/>
      </c>
      <c r="J5705" s="26" t="str">
        <f>IFERROR(VLOOKUP(G5705,WholesaleExtract!B:O,14,FALSE),"")</f>
        <v/>
      </c>
      <c r="K5705" s="26" t="str">
        <f>IFERROR(VLOOKUP(G5705,WholesaleExtract!B:K,10,FALSE),"")</f>
        <v/>
      </c>
      <c r="L5705" s="47" t="str">
        <f>IFERROR(VLOOKUP(G5705,WholesaleExtract!B:L,11,FALSE),"")</f>
        <v/>
      </c>
      <c r="M5705" s="47" t="str">
        <f>IFERROR(VLOOKUP(G5705,WholesaleExtract!B:M,12,FALSE),"")</f>
        <v/>
      </c>
      <c r="R5705" s="19"/>
      <c r="S5705" s="19"/>
    </row>
    <row r="5706" spans="1:19" x14ac:dyDescent="0.35">
      <c r="A5706" s="26" t="s">
        <v>543</v>
      </c>
      <c r="B5706" s="26" t="s">
        <v>543</v>
      </c>
      <c r="C5706" s="26"/>
      <c r="D5706" s="26" t="s">
        <v>543</v>
      </c>
      <c r="E5706" s="26" t="str">
        <f>IFERROR(VLOOKUP(G5706,WholesaleExtract!B:J,9,FALSE),"")</f>
        <v/>
      </c>
      <c r="F5706" s="26" t="str">
        <f>IFERROR(VLOOKUP(G5706,WholesaleExtract!B:J,6,FALSE),"")</f>
        <v/>
      </c>
      <c r="H5706" s="47" t="str">
        <f>IFERROR(VLOOKUP(G5706,WholesaleExtract!B:L,11,FALSE),"")</f>
        <v/>
      </c>
      <c r="I5706" s="26" t="str">
        <f>IFERROR(VLOOKUP(G5706,WholesaleExtract!B:O,8,FALSE),"")</f>
        <v/>
      </c>
      <c r="J5706" s="26" t="str">
        <f>IFERROR(VLOOKUP(G5706,WholesaleExtract!B:O,14,FALSE),"")</f>
        <v/>
      </c>
      <c r="K5706" s="26" t="str">
        <f>IFERROR(VLOOKUP(G5706,WholesaleExtract!B:K,10,FALSE),"")</f>
        <v/>
      </c>
      <c r="L5706" s="47" t="str">
        <f>IFERROR(VLOOKUP(G5706,WholesaleExtract!B:L,11,FALSE),"")</f>
        <v/>
      </c>
      <c r="M5706" s="47" t="str">
        <f>IFERROR(VLOOKUP(G5706,WholesaleExtract!B:M,12,FALSE),"")</f>
        <v/>
      </c>
      <c r="R5706" s="19"/>
      <c r="S5706" s="19"/>
    </row>
    <row r="5707" spans="1:19" x14ac:dyDescent="0.35">
      <c r="A5707" s="26" t="s">
        <v>543</v>
      </c>
      <c r="B5707" s="26" t="s">
        <v>543</v>
      </c>
      <c r="C5707" s="26"/>
      <c r="D5707" s="26" t="s">
        <v>543</v>
      </c>
      <c r="E5707" s="26" t="str">
        <f>IFERROR(VLOOKUP(G5707,WholesaleExtract!B:J,9,FALSE),"")</f>
        <v/>
      </c>
      <c r="F5707" s="26" t="str">
        <f>IFERROR(VLOOKUP(G5707,WholesaleExtract!B:J,6,FALSE),"")</f>
        <v/>
      </c>
      <c r="H5707" s="47" t="str">
        <f>IFERROR(VLOOKUP(G5707,WholesaleExtract!B:L,11,FALSE),"")</f>
        <v/>
      </c>
      <c r="I5707" s="26" t="str">
        <f>IFERROR(VLOOKUP(G5707,WholesaleExtract!B:O,8,FALSE),"")</f>
        <v/>
      </c>
      <c r="J5707" s="26" t="str">
        <f>IFERROR(VLOOKUP(G5707,WholesaleExtract!B:O,14,FALSE),"")</f>
        <v/>
      </c>
      <c r="K5707" s="26" t="str">
        <f>IFERROR(VLOOKUP(G5707,WholesaleExtract!B:K,10,FALSE),"")</f>
        <v/>
      </c>
      <c r="L5707" s="47" t="str">
        <f>IFERROR(VLOOKUP(G5707,WholesaleExtract!B:L,11,FALSE),"")</f>
        <v/>
      </c>
      <c r="M5707" s="47" t="str">
        <f>IFERROR(VLOOKUP(G5707,WholesaleExtract!B:M,12,FALSE),"")</f>
        <v/>
      </c>
      <c r="R5707" s="19"/>
      <c r="S5707" s="19"/>
    </row>
    <row r="5708" spans="1:19" x14ac:dyDescent="0.35">
      <c r="A5708" s="26" t="s">
        <v>543</v>
      </c>
      <c r="B5708" s="26" t="s">
        <v>543</v>
      </c>
      <c r="C5708" s="26"/>
      <c r="D5708" s="26" t="s">
        <v>543</v>
      </c>
      <c r="E5708" s="26" t="str">
        <f>IFERROR(VLOOKUP(G5708,WholesaleExtract!B:J,9,FALSE),"")</f>
        <v/>
      </c>
      <c r="F5708" s="26" t="str">
        <f>IFERROR(VLOOKUP(G5708,WholesaleExtract!B:J,6,FALSE),"")</f>
        <v/>
      </c>
      <c r="H5708" s="47" t="str">
        <f>IFERROR(VLOOKUP(G5708,WholesaleExtract!B:L,11,FALSE),"")</f>
        <v/>
      </c>
      <c r="I5708" s="26" t="str">
        <f>IFERROR(VLOOKUP(G5708,WholesaleExtract!B:O,8,FALSE),"")</f>
        <v/>
      </c>
      <c r="J5708" s="26" t="str">
        <f>IFERROR(VLOOKUP(G5708,WholesaleExtract!B:O,14,FALSE),"")</f>
        <v/>
      </c>
      <c r="K5708" s="26" t="str">
        <f>IFERROR(VLOOKUP(G5708,WholesaleExtract!B:K,10,FALSE),"")</f>
        <v/>
      </c>
      <c r="L5708" s="47" t="str">
        <f>IFERROR(VLOOKUP(G5708,WholesaleExtract!B:L,11,FALSE),"")</f>
        <v/>
      </c>
      <c r="M5708" s="47" t="str">
        <f>IFERROR(VLOOKUP(G5708,WholesaleExtract!B:M,12,FALSE),"")</f>
        <v/>
      </c>
      <c r="R5708" s="19"/>
      <c r="S5708" s="19"/>
    </row>
    <row r="5709" spans="1:19" x14ac:dyDescent="0.35">
      <c r="A5709" s="26" t="s">
        <v>543</v>
      </c>
      <c r="B5709" s="26" t="s">
        <v>543</v>
      </c>
      <c r="C5709" s="26"/>
      <c r="D5709" s="26" t="s">
        <v>543</v>
      </c>
      <c r="E5709" s="26" t="str">
        <f>IFERROR(VLOOKUP(G5709,WholesaleExtract!B:J,9,FALSE),"")</f>
        <v/>
      </c>
      <c r="F5709" s="26" t="str">
        <f>IFERROR(VLOOKUP(G5709,WholesaleExtract!B:J,6,FALSE),"")</f>
        <v/>
      </c>
      <c r="H5709" s="47" t="str">
        <f>IFERROR(VLOOKUP(G5709,WholesaleExtract!B:L,11,FALSE),"")</f>
        <v/>
      </c>
      <c r="I5709" s="26" t="str">
        <f>IFERROR(VLOOKUP(G5709,WholesaleExtract!B:O,8,FALSE),"")</f>
        <v/>
      </c>
      <c r="J5709" s="26" t="str">
        <f>IFERROR(VLOOKUP(G5709,WholesaleExtract!B:O,14,FALSE),"")</f>
        <v/>
      </c>
      <c r="K5709" s="26" t="str">
        <f>IFERROR(VLOOKUP(G5709,WholesaleExtract!B:K,10,FALSE),"")</f>
        <v/>
      </c>
      <c r="L5709" s="47" t="str">
        <f>IFERROR(VLOOKUP(G5709,WholesaleExtract!B:L,11,FALSE),"")</f>
        <v/>
      </c>
      <c r="M5709" s="47" t="str">
        <f>IFERROR(VLOOKUP(G5709,WholesaleExtract!B:M,12,FALSE),"")</f>
        <v/>
      </c>
      <c r="R5709" s="19"/>
      <c r="S5709" s="19"/>
    </row>
    <row r="5710" spans="1:19" x14ac:dyDescent="0.35">
      <c r="A5710" s="26" t="s">
        <v>543</v>
      </c>
      <c r="B5710" s="26" t="s">
        <v>543</v>
      </c>
      <c r="C5710" s="26"/>
      <c r="D5710" s="26" t="s">
        <v>543</v>
      </c>
      <c r="E5710" s="26" t="str">
        <f>IFERROR(VLOOKUP(G5710,WholesaleExtract!B:J,9,FALSE),"")</f>
        <v/>
      </c>
      <c r="F5710" s="26" t="str">
        <f>IFERROR(VLOOKUP(G5710,WholesaleExtract!B:J,6,FALSE),"")</f>
        <v/>
      </c>
      <c r="H5710" s="47" t="str">
        <f>IFERROR(VLOOKUP(G5710,WholesaleExtract!B:L,11,FALSE),"")</f>
        <v/>
      </c>
      <c r="I5710" s="26" t="str">
        <f>IFERROR(VLOOKUP(G5710,WholesaleExtract!B:O,8,FALSE),"")</f>
        <v/>
      </c>
      <c r="J5710" s="26" t="str">
        <f>IFERROR(VLOOKUP(G5710,WholesaleExtract!B:O,14,FALSE),"")</f>
        <v/>
      </c>
      <c r="K5710" s="26" t="str">
        <f>IFERROR(VLOOKUP(G5710,WholesaleExtract!B:K,10,FALSE),"")</f>
        <v/>
      </c>
      <c r="L5710" s="47" t="str">
        <f>IFERROR(VLOOKUP(G5710,WholesaleExtract!B:L,11,FALSE),"")</f>
        <v/>
      </c>
      <c r="M5710" s="47" t="str">
        <f>IFERROR(VLOOKUP(G5710,WholesaleExtract!B:M,12,FALSE),"")</f>
        <v/>
      </c>
      <c r="R5710" s="19"/>
      <c r="S5710" s="19"/>
    </row>
    <row r="5711" spans="1:19" x14ac:dyDescent="0.35">
      <c r="A5711" s="26" t="s">
        <v>543</v>
      </c>
      <c r="B5711" s="26" t="s">
        <v>543</v>
      </c>
      <c r="C5711" s="26"/>
      <c r="D5711" s="26" t="s">
        <v>543</v>
      </c>
      <c r="E5711" s="26" t="str">
        <f>IFERROR(VLOOKUP(G5711,WholesaleExtract!B:J,9,FALSE),"")</f>
        <v/>
      </c>
      <c r="F5711" s="26" t="str">
        <f>IFERROR(VLOOKUP(G5711,WholesaleExtract!B:J,6,FALSE),"")</f>
        <v/>
      </c>
      <c r="H5711" s="47" t="str">
        <f>IFERROR(VLOOKUP(G5711,WholesaleExtract!B:L,11,FALSE),"")</f>
        <v/>
      </c>
      <c r="I5711" s="26" t="str">
        <f>IFERROR(VLOOKUP(G5711,WholesaleExtract!B:O,8,FALSE),"")</f>
        <v/>
      </c>
      <c r="J5711" s="26" t="str">
        <f>IFERROR(VLOOKUP(G5711,WholesaleExtract!B:O,14,FALSE),"")</f>
        <v/>
      </c>
      <c r="K5711" s="26" t="str">
        <f>IFERROR(VLOOKUP(G5711,WholesaleExtract!B:K,10,FALSE),"")</f>
        <v/>
      </c>
      <c r="L5711" s="47" t="str">
        <f>IFERROR(VLOOKUP(G5711,WholesaleExtract!B:L,11,FALSE),"")</f>
        <v/>
      </c>
      <c r="M5711" s="47" t="str">
        <f>IFERROR(VLOOKUP(G5711,WholesaleExtract!B:M,12,FALSE),"")</f>
        <v/>
      </c>
      <c r="R5711" s="19"/>
      <c r="S5711" s="19"/>
    </row>
    <row r="5712" spans="1:19" x14ac:dyDescent="0.35">
      <c r="A5712" s="26" t="s">
        <v>543</v>
      </c>
      <c r="B5712" s="26" t="s">
        <v>543</v>
      </c>
      <c r="C5712" s="26"/>
      <c r="D5712" s="26" t="s">
        <v>543</v>
      </c>
      <c r="E5712" s="26" t="str">
        <f>IFERROR(VLOOKUP(G5712,WholesaleExtract!B:J,9,FALSE),"")</f>
        <v/>
      </c>
      <c r="F5712" s="26" t="str">
        <f>IFERROR(VLOOKUP(G5712,WholesaleExtract!B:J,6,FALSE),"")</f>
        <v/>
      </c>
      <c r="H5712" s="47" t="str">
        <f>IFERROR(VLOOKUP(G5712,WholesaleExtract!B:L,11,FALSE),"")</f>
        <v/>
      </c>
      <c r="I5712" s="26" t="str">
        <f>IFERROR(VLOOKUP(G5712,WholesaleExtract!B:O,8,FALSE),"")</f>
        <v/>
      </c>
      <c r="J5712" s="26" t="str">
        <f>IFERROR(VLOOKUP(G5712,WholesaleExtract!B:O,14,FALSE),"")</f>
        <v/>
      </c>
      <c r="K5712" s="26" t="str">
        <f>IFERROR(VLOOKUP(G5712,WholesaleExtract!B:K,10,FALSE),"")</f>
        <v/>
      </c>
      <c r="L5712" s="47" t="str">
        <f>IFERROR(VLOOKUP(G5712,WholesaleExtract!B:L,11,FALSE),"")</f>
        <v/>
      </c>
      <c r="M5712" s="47" t="str">
        <f>IFERROR(VLOOKUP(G5712,WholesaleExtract!B:M,12,FALSE),"")</f>
        <v/>
      </c>
      <c r="R5712" s="19"/>
      <c r="S5712" s="19"/>
    </row>
    <row r="5713" spans="1:19" x14ac:dyDescent="0.35">
      <c r="A5713" s="26" t="s">
        <v>543</v>
      </c>
      <c r="B5713" s="26" t="s">
        <v>543</v>
      </c>
      <c r="C5713" s="26"/>
      <c r="D5713" s="26" t="s">
        <v>543</v>
      </c>
      <c r="E5713" s="26" t="str">
        <f>IFERROR(VLOOKUP(G5713,WholesaleExtract!B:J,9,FALSE),"")</f>
        <v/>
      </c>
      <c r="F5713" s="26" t="str">
        <f>IFERROR(VLOOKUP(G5713,WholesaleExtract!B:J,6,FALSE),"")</f>
        <v/>
      </c>
      <c r="H5713" s="47" t="str">
        <f>IFERROR(VLOOKUP(G5713,WholesaleExtract!B:L,11,FALSE),"")</f>
        <v/>
      </c>
      <c r="I5713" s="26" t="str">
        <f>IFERROR(VLOOKUP(G5713,WholesaleExtract!B:O,8,FALSE),"")</f>
        <v/>
      </c>
      <c r="J5713" s="26" t="str">
        <f>IFERROR(VLOOKUP(G5713,WholesaleExtract!B:O,14,FALSE),"")</f>
        <v/>
      </c>
      <c r="K5713" s="26" t="str">
        <f>IFERROR(VLOOKUP(G5713,WholesaleExtract!B:K,10,FALSE),"")</f>
        <v/>
      </c>
      <c r="L5713" s="47" t="str">
        <f>IFERROR(VLOOKUP(G5713,WholesaleExtract!B:L,11,FALSE),"")</f>
        <v/>
      </c>
      <c r="M5713" s="47" t="str">
        <f>IFERROR(VLOOKUP(G5713,WholesaleExtract!B:M,12,FALSE),"")</f>
        <v/>
      </c>
      <c r="R5713" s="19"/>
      <c r="S5713" s="19"/>
    </row>
    <row r="5714" spans="1:19" x14ac:dyDescent="0.35">
      <c r="A5714" s="26" t="s">
        <v>543</v>
      </c>
      <c r="B5714" s="26" t="s">
        <v>543</v>
      </c>
      <c r="C5714" s="26"/>
      <c r="D5714" s="26" t="s">
        <v>543</v>
      </c>
      <c r="E5714" s="26" t="str">
        <f>IFERROR(VLOOKUP(G5714,WholesaleExtract!B:J,9,FALSE),"")</f>
        <v/>
      </c>
      <c r="F5714" s="26" t="str">
        <f>IFERROR(VLOOKUP(G5714,WholesaleExtract!B:J,6,FALSE),"")</f>
        <v/>
      </c>
      <c r="H5714" s="47" t="str">
        <f>IFERROR(VLOOKUP(G5714,WholesaleExtract!B:L,11,FALSE),"")</f>
        <v/>
      </c>
      <c r="I5714" s="26" t="str">
        <f>IFERROR(VLOOKUP(G5714,WholesaleExtract!B:O,8,FALSE),"")</f>
        <v/>
      </c>
      <c r="J5714" s="26" t="str">
        <f>IFERROR(VLOOKUP(G5714,WholesaleExtract!B:O,14,FALSE),"")</f>
        <v/>
      </c>
      <c r="K5714" s="26" t="str">
        <f>IFERROR(VLOOKUP(G5714,WholesaleExtract!B:K,10,FALSE),"")</f>
        <v/>
      </c>
      <c r="L5714" s="47" t="str">
        <f>IFERROR(VLOOKUP(G5714,WholesaleExtract!B:L,11,FALSE),"")</f>
        <v/>
      </c>
      <c r="M5714" s="47" t="str">
        <f>IFERROR(VLOOKUP(G5714,WholesaleExtract!B:M,12,FALSE),"")</f>
        <v/>
      </c>
      <c r="R5714" s="19"/>
      <c r="S5714" s="19"/>
    </row>
    <row r="5715" spans="1:19" x14ac:dyDescent="0.35">
      <c r="A5715" s="26" t="s">
        <v>543</v>
      </c>
      <c r="B5715" s="26" t="s">
        <v>543</v>
      </c>
      <c r="C5715" s="26"/>
      <c r="D5715" s="26" t="s">
        <v>543</v>
      </c>
      <c r="E5715" s="26" t="str">
        <f>IFERROR(VLOOKUP(G5715,WholesaleExtract!B:J,9,FALSE),"")</f>
        <v/>
      </c>
      <c r="F5715" s="26" t="str">
        <f>IFERROR(VLOOKUP(G5715,WholesaleExtract!B:J,6,FALSE),"")</f>
        <v/>
      </c>
      <c r="H5715" s="47" t="str">
        <f>IFERROR(VLOOKUP(G5715,WholesaleExtract!B:L,11,FALSE),"")</f>
        <v/>
      </c>
      <c r="I5715" s="26" t="str">
        <f>IFERROR(VLOOKUP(G5715,WholesaleExtract!B:O,8,FALSE),"")</f>
        <v/>
      </c>
      <c r="J5715" s="26" t="str">
        <f>IFERROR(VLOOKUP(G5715,WholesaleExtract!B:O,14,FALSE),"")</f>
        <v/>
      </c>
      <c r="K5715" s="26" t="str">
        <f>IFERROR(VLOOKUP(G5715,WholesaleExtract!B:K,10,FALSE),"")</f>
        <v/>
      </c>
      <c r="L5715" s="47" t="str">
        <f>IFERROR(VLOOKUP(G5715,WholesaleExtract!B:L,11,FALSE),"")</f>
        <v/>
      </c>
      <c r="M5715" s="47" t="str">
        <f>IFERROR(VLOOKUP(G5715,WholesaleExtract!B:M,12,FALSE),"")</f>
        <v/>
      </c>
      <c r="R5715" s="19"/>
      <c r="S5715" s="19"/>
    </row>
    <row r="5716" spans="1:19" x14ac:dyDescent="0.35">
      <c r="A5716" s="26" t="s">
        <v>543</v>
      </c>
      <c r="B5716" s="26" t="s">
        <v>543</v>
      </c>
      <c r="C5716" s="26"/>
      <c r="D5716" s="26" t="s">
        <v>543</v>
      </c>
      <c r="E5716" s="26" t="str">
        <f>IFERROR(VLOOKUP(G5716,WholesaleExtract!B:J,9,FALSE),"")</f>
        <v/>
      </c>
      <c r="F5716" s="26" t="str">
        <f>IFERROR(VLOOKUP(G5716,WholesaleExtract!B:J,6,FALSE),"")</f>
        <v/>
      </c>
      <c r="H5716" s="47" t="str">
        <f>IFERROR(VLOOKUP(G5716,WholesaleExtract!B:L,11,FALSE),"")</f>
        <v/>
      </c>
      <c r="I5716" s="26" t="str">
        <f>IFERROR(VLOOKUP(G5716,WholesaleExtract!B:O,8,FALSE),"")</f>
        <v/>
      </c>
      <c r="J5716" s="26" t="str">
        <f>IFERROR(VLOOKUP(G5716,WholesaleExtract!B:O,14,FALSE),"")</f>
        <v/>
      </c>
      <c r="K5716" s="26" t="str">
        <f>IFERROR(VLOOKUP(G5716,WholesaleExtract!B:K,10,FALSE),"")</f>
        <v/>
      </c>
      <c r="L5716" s="47" t="str">
        <f>IFERROR(VLOOKUP(G5716,WholesaleExtract!B:L,11,FALSE),"")</f>
        <v/>
      </c>
      <c r="M5716" s="47" t="str">
        <f>IFERROR(VLOOKUP(G5716,WholesaleExtract!B:M,12,FALSE),"")</f>
        <v/>
      </c>
      <c r="R5716" s="19"/>
      <c r="S5716" s="19"/>
    </row>
    <row r="5717" spans="1:19" x14ac:dyDescent="0.35">
      <c r="A5717" s="26" t="s">
        <v>543</v>
      </c>
      <c r="B5717" s="26" t="s">
        <v>543</v>
      </c>
      <c r="C5717" s="26"/>
      <c r="D5717" s="26" t="s">
        <v>543</v>
      </c>
      <c r="E5717" s="26" t="str">
        <f>IFERROR(VLOOKUP(G5717,WholesaleExtract!B:J,9,FALSE),"")</f>
        <v/>
      </c>
      <c r="F5717" s="26" t="str">
        <f>IFERROR(VLOOKUP(G5717,WholesaleExtract!B:J,6,FALSE),"")</f>
        <v/>
      </c>
      <c r="H5717" s="47" t="str">
        <f>IFERROR(VLOOKUP(G5717,WholesaleExtract!B:L,11,FALSE),"")</f>
        <v/>
      </c>
      <c r="I5717" s="26" t="str">
        <f>IFERROR(VLOOKUP(G5717,WholesaleExtract!B:O,8,FALSE),"")</f>
        <v/>
      </c>
      <c r="J5717" s="26" t="str">
        <f>IFERROR(VLOOKUP(G5717,WholesaleExtract!B:O,14,FALSE),"")</f>
        <v/>
      </c>
      <c r="K5717" s="26" t="str">
        <f>IFERROR(VLOOKUP(G5717,WholesaleExtract!B:K,10,FALSE),"")</f>
        <v/>
      </c>
      <c r="L5717" s="47" t="str">
        <f>IFERROR(VLOOKUP(G5717,WholesaleExtract!B:L,11,FALSE),"")</f>
        <v/>
      </c>
      <c r="M5717" s="47" t="str">
        <f>IFERROR(VLOOKUP(G5717,WholesaleExtract!B:M,12,FALSE),"")</f>
        <v/>
      </c>
      <c r="R5717" s="19"/>
      <c r="S5717" s="19"/>
    </row>
    <row r="5718" spans="1:19" x14ac:dyDescent="0.35">
      <c r="A5718" s="26" t="s">
        <v>543</v>
      </c>
      <c r="B5718" s="26" t="s">
        <v>543</v>
      </c>
      <c r="C5718" s="26"/>
      <c r="D5718" s="26" t="s">
        <v>543</v>
      </c>
      <c r="E5718" s="26" t="str">
        <f>IFERROR(VLOOKUP(G5718,WholesaleExtract!B:J,9,FALSE),"")</f>
        <v/>
      </c>
      <c r="F5718" s="26" t="str">
        <f>IFERROR(VLOOKUP(G5718,WholesaleExtract!B:J,6,FALSE),"")</f>
        <v/>
      </c>
      <c r="H5718" s="47" t="str">
        <f>IFERROR(VLOOKUP(G5718,WholesaleExtract!B:L,11,FALSE),"")</f>
        <v/>
      </c>
      <c r="I5718" s="26" t="str">
        <f>IFERROR(VLOOKUP(G5718,WholesaleExtract!B:O,8,FALSE),"")</f>
        <v/>
      </c>
      <c r="J5718" s="26" t="str">
        <f>IFERROR(VLOOKUP(G5718,WholesaleExtract!B:O,14,FALSE),"")</f>
        <v/>
      </c>
      <c r="K5718" s="26" t="str">
        <f>IFERROR(VLOOKUP(G5718,WholesaleExtract!B:K,10,FALSE),"")</f>
        <v/>
      </c>
      <c r="L5718" s="47" t="str">
        <f>IFERROR(VLOOKUP(G5718,WholesaleExtract!B:L,11,FALSE),"")</f>
        <v/>
      </c>
      <c r="M5718" s="47" t="str">
        <f>IFERROR(VLOOKUP(G5718,WholesaleExtract!B:M,12,FALSE),"")</f>
        <v/>
      </c>
      <c r="R5718" s="19"/>
      <c r="S5718" s="19"/>
    </row>
    <row r="5719" spans="1:19" x14ac:dyDescent="0.35">
      <c r="A5719" s="26" t="s">
        <v>543</v>
      </c>
      <c r="B5719" s="26" t="s">
        <v>543</v>
      </c>
      <c r="C5719" s="26"/>
      <c r="D5719" s="26" t="s">
        <v>543</v>
      </c>
      <c r="E5719" s="26" t="str">
        <f>IFERROR(VLOOKUP(G5719,WholesaleExtract!B:J,9,FALSE),"")</f>
        <v/>
      </c>
      <c r="F5719" s="26" t="str">
        <f>IFERROR(VLOOKUP(G5719,WholesaleExtract!B:J,6,FALSE),"")</f>
        <v/>
      </c>
      <c r="H5719" s="47" t="str">
        <f>IFERROR(VLOOKUP(G5719,WholesaleExtract!B:L,11,FALSE),"")</f>
        <v/>
      </c>
      <c r="I5719" s="26" t="str">
        <f>IFERROR(VLOOKUP(G5719,WholesaleExtract!B:O,8,FALSE),"")</f>
        <v/>
      </c>
      <c r="J5719" s="26" t="str">
        <f>IFERROR(VLOOKUP(G5719,WholesaleExtract!B:O,14,FALSE),"")</f>
        <v/>
      </c>
      <c r="K5719" s="26" t="str">
        <f>IFERROR(VLOOKUP(G5719,WholesaleExtract!B:K,10,FALSE),"")</f>
        <v/>
      </c>
      <c r="L5719" s="47" t="str">
        <f>IFERROR(VLOOKUP(G5719,WholesaleExtract!B:L,11,FALSE),"")</f>
        <v/>
      </c>
      <c r="M5719" s="47" t="str">
        <f>IFERROR(VLOOKUP(G5719,WholesaleExtract!B:M,12,FALSE),"")</f>
        <v/>
      </c>
      <c r="R5719" s="19"/>
      <c r="S5719" s="19"/>
    </row>
    <row r="5720" spans="1:19" x14ac:dyDescent="0.35">
      <c r="A5720" s="26" t="s">
        <v>543</v>
      </c>
      <c r="B5720" s="26" t="s">
        <v>543</v>
      </c>
      <c r="C5720" s="26"/>
      <c r="D5720" s="26" t="s">
        <v>543</v>
      </c>
      <c r="E5720" s="26" t="str">
        <f>IFERROR(VLOOKUP(G5720,WholesaleExtract!B:J,9,FALSE),"")</f>
        <v/>
      </c>
      <c r="F5720" s="26" t="str">
        <f>IFERROR(VLOOKUP(G5720,WholesaleExtract!B:J,6,FALSE),"")</f>
        <v/>
      </c>
      <c r="H5720" s="47" t="str">
        <f>IFERROR(VLOOKUP(G5720,WholesaleExtract!B:L,11,FALSE),"")</f>
        <v/>
      </c>
      <c r="I5720" s="26" t="str">
        <f>IFERROR(VLOOKUP(G5720,WholesaleExtract!B:O,8,FALSE),"")</f>
        <v/>
      </c>
      <c r="J5720" s="26" t="str">
        <f>IFERROR(VLOOKUP(G5720,WholesaleExtract!B:O,14,FALSE),"")</f>
        <v/>
      </c>
      <c r="K5720" s="26" t="str">
        <f>IFERROR(VLOOKUP(G5720,WholesaleExtract!B:K,10,FALSE),"")</f>
        <v/>
      </c>
      <c r="L5720" s="47" t="str">
        <f>IFERROR(VLOOKUP(G5720,WholesaleExtract!B:L,11,FALSE),"")</f>
        <v/>
      </c>
      <c r="M5720" s="47" t="str">
        <f>IFERROR(VLOOKUP(G5720,WholesaleExtract!B:M,12,FALSE),"")</f>
        <v/>
      </c>
      <c r="R5720" s="19"/>
      <c r="S5720" s="19"/>
    </row>
    <row r="5721" spans="1:19" x14ac:dyDescent="0.35">
      <c r="A5721" s="26" t="s">
        <v>543</v>
      </c>
      <c r="B5721" s="26" t="s">
        <v>543</v>
      </c>
      <c r="C5721" s="26"/>
      <c r="D5721" s="26" t="s">
        <v>543</v>
      </c>
      <c r="E5721" s="26" t="str">
        <f>IFERROR(VLOOKUP(G5721,WholesaleExtract!B:J,9,FALSE),"")</f>
        <v/>
      </c>
      <c r="F5721" s="26" t="str">
        <f>IFERROR(VLOOKUP(G5721,WholesaleExtract!B:J,6,FALSE),"")</f>
        <v/>
      </c>
      <c r="H5721" s="47" t="str">
        <f>IFERROR(VLOOKUP(G5721,WholesaleExtract!B:L,11,FALSE),"")</f>
        <v/>
      </c>
      <c r="I5721" s="26" t="str">
        <f>IFERROR(VLOOKUP(G5721,WholesaleExtract!B:O,8,FALSE),"")</f>
        <v/>
      </c>
      <c r="J5721" s="26" t="str">
        <f>IFERROR(VLOOKUP(G5721,WholesaleExtract!B:O,14,FALSE),"")</f>
        <v/>
      </c>
      <c r="K5721" s="26" t="str">
        <f>IFERROR(VLOOKUP(G5721,WholesaleExtract!B:K,10,FALSE),"")</f>
        <v/>
      </c>
      <c r="L5721" s="47" t="str">
        <f>IFERROR(VLOOKUP(G5721,WholesaleExtract!B:L,11,FALSE),"")</f>
        <v/>
      </c>
      <c r="M5721" s="47" t="str">
        <f>IFERROR(VLOOKUP(G5721,WholesaleExtract!B:M,12,FALSE),"")</f>
        <v/>
      </c>
      <c r="R5721" s="19"/>
      <c r="S5721" s="19"/>
    </row>
    <row r="5722" spans="1:19" x14ac:dyDescent="0.35">
      <c r="A5722" s="26" t="s">
        <v>543</v>
      </c>
      <c r="B5722" s="26" t="s">
        <v>543</v>
      </c>
      <c r="C5722" s="26"/>
      <c r="D5722" s="26" t="s">
        <v>543</v>
      </c>
      <c r="E5722" s="26" t="str">
        <f>IFERROR(VLOOKUP(G5722,WholesaleExtract!B:J,9,FALSE),"")</f>
        <v/>
      </c>
      <c r="F5722" s="26" t="str">
        <f>IFERROR(VLOOKUP(G5722,WholesaleExtract!B:J,6,FALSE),"")</f>
        <v/>
      </c>
      <c r="H5722" s="47" t="str">
        <f>IFERROR(VLOOKUP(G5722,WholesaleExtract!B:L,11,FALSE),"")</f>
        <v/>
      </c>
      <c r="I5722" s="26" t="str">
        <f>IFERROR(VLOOKUP(G5722,WholesaleExtract!B:O,8,FALSE),"")</f>
        <v/>
      </c>
      <c r="J5722" s="26" t="str">
        <f>IFERROR(VLOOKUP(G5722,WholesaleExtract!B:O,14,FALSE),"")</f>
        <v/>
      </c>
      <c r="K5722" s="26" t="str">
        <f>IFERROR(VLOOKUP(G5722,WholesaleExtract!B:K,10,FALSE),"")</f>
        <v/>
      </c>
      <c r="L5722" s="47" t="str">
        <f>IFERROR(VLOOKUP(G5722,WholesaleExtract!B:L,11,FALSE),"")</f>
        <v/>
      </c>
      <c r="M5722" s="47" t="str">
        <f>IFERROR(VLOOKUP(G5722,WholesaleExtract!B:M,12,FALSE),"")</f>
        <v/>
      </c>
      <c r="R5722" s="19"/>
      <c r="S5722" s="19"/>
    </row>
    <row r="5723" spans="1:19" x14ac:dyDescent="0.35">
      <c r="A5723" s="26" t="s">
        <v>543</v>
      </c>
      <c r="B5723" s="26" t="s">
        <v>543</v>
      </c>
      <c r="C5723" s="26"/>
      <c r="D5723" s="26" t="s">
        <v>543</v>
      </c>
      <c r="E5723" s="26" t="str">
        <f>IFERROR(VLOOKUP(G5723,WholesaleExtract!B:J,9,FALSE),"")</f>
        <v/>
      </c>
      <c r="F5723" s="26" t="str">
        <f>IFERROR(VLOOKUP(G5723,WholesaleExtract!B:J,6,FALSE),"")</f>
        <v/>
      </c>
      <c r="H5723" s="47" t="str">
        <f>IFERROR(VLOOKUP(G5723,WholesaleExtract!B:L,11,FALSE),"")</f>
        <v/>
      </c>
      <c r="I5723" s="26" t="str">
        <f>IFERROR(VLOOKUP(G5723,WholesaleExtract!B:O,8,FALSE),"")</f>
        <v/>
      </c>
      <c r="J5723" s="26" t="str">
        <f>IFERROR(VLOOKUP(G5723,WholesaleExtract!B:O,14,FALSE),"")</f>
        <v/>
      </c>
      <c r="K5723" s="26" t="str">
        <f>IFERROR(VLOOKUP(G5723,WholesaleExtract!B:K,10,FALSE),"")</f>
        <v/>
      </c>
      <c r="L5723" s="47" t="str">
        <f>IFERROR(VLOOKUP(G5723,WholesaleExtract!B:L,11,FALSE),"")</f>
        <v/>
      </c>
      <c r="M5723" s="47" t="str">
        <f>IFERROR(VLOOKUP(G5723,WholesaleExtract!B:M,12,FALSE),"")</f>
        <v/>
      </c>
      <c r="R5723" s="19"/>
      <c r="S5723" s="19"/>
    </row>
    <row r="5724" spans="1:19" x14ac:dyDescent="0.35">
      <c r="A5724" s="26" t="s">
        <v>543</v>
      </c>
      <c r="B5724" s="26" t="s">
        <v>543</v>
      </c>
      <c r="C5724" s="26"/>
      <c r="D5724" s="26" t="s">
        <v>543</v>
      </c>
      <c r="E5724" s="26" t="str">
        <f>IFERROR(VLOOKUP(G5724,WholesaleExtract!B:J,9,FALSE),"")</f>
        <v/>
      </c>
      <c r="F5724" s="26" t="str">
        <f>IFERROR(VLOOKUP(G5724,WholesaleExtract!B:J,6,FALSE),"")</f>
        <v/>
      </c>
      <c r="H5724" s="47" t="str">
        <f>IFERROR(VLOOKUP(G5724,WholesaleExtract!B:L,11,FALSE),"")</f>
        <v/>
      </c>
      <c r="I5724" s="26" t="str">
        <f>IFERROR(VLOOKUP(G5724,WholesaleExtract!B:O,8,FALSE),"")</f>
        <v/>
      </c>
      <c r="J5724" s="26" t="str">
        <f>IFERROR(VLOOKUP(G5724,WholesaleExtract!B:O,14,FALSE),"")</f>
        <v/>
      </c>
      <c r="K5724" s="26" t="str">
        <f>IFERROR(VLOOKUP(G5724,WholesaleExtract!B:K,10,FALSE),"")</f>
        <v/>
      </c>
      <c r="L5724" s="47" t="str">
        <f>IFERROR(VLOOKUP(G5724,WholesaleExtract!B:L,11,FALSE),"")</f>
        <v/>
      </c>
      <c r="M5724" s="47" t="str">
        <f>IFERROR(VLOOKUP(G5724,WholesaleExtract!B:M,12,FALSE),"")</f>
        <v/>
      </c>
      <c r="R5724" s="19"/>
      <c r="S5724" s="19"/>
    </row>
    <row r="5725" spans="1:19" x14ac:dyDescent="0.35">
      <c r="A5725" s="26" t="s">
        <v>543</v>
      </c>
      <c r="B5725" s="26" t="s">
        <v>543</v>
      </c>
      <c r="C5725" s="26"/>
      <c r="D5725" s="26" t="s">
        <v>543</v>
      </c>
      <c r="E5725" s="26" t="str">
        <f>IFERROR(VLOOKUP(G5725,WholesaleExtract!B:J,9,FALSE),"")</f>
        <v/>
      </c>
      <c r="F5725" s="26" t="str">
        <f>IFERROR(VLOOKUP(G5725,WholesaleExtract!B:J,6,FALSE),"")</f>
        <v/>
      </c>
      <c r="H5725" s="47" t="str">
        <f>IFERROR(VLOOKUP(G5725,WholesaleExtract!B:L,11,FALSE),"")</f>
        <v/>
      </c>
      <c r="I5725" s="26" t="str">
        <f>IFERROR(VLOOKUP(G5725,WholesaleExtract!B:O,8,FALSE),"")</f>
        <v/>
      </c>
      <c r="J5725" s="26" t="str">
        <f>IFERROR(VLOOKUP(G5725,WholesaleExtract!B:O,14,FALSE),"")</f>
        <v/>
      </c>
      <c r="K5725" s="26" t="str">
        <f>IFERROR(VLOOKUP(G5725,WholesaleExtract!B:K,10,FALSE),"")</f>
        <v/>
      </c>
      <c r="L5725" s="47" t="str">
        <f>IFERROR(VLOOKUP(G5725,WholesaleExtract!B:L,11,FALSE),"")</f>
        <v/>
      </c>
      <c r="M5725" s="47" t="str">
        <f>IFERROR(VLOOKUP(G5725,WholesaleExtract!B:M,12,FALSE),"")</f>
        <v/>
      </c>
      <c r="R5725" s="19"/>
      <c r="S5725" s="19"/>
    </row>
    <row r="5726" spans="1:19" x14ac:dyDescent="0.35">
      <c r="A5726" s="26" t="s">
        <v>543</v>
      </c>
      <c r="B5726" s="26" t="s">
        <v>543</v>
      </c>
      <c r="C5726" s="26"/>
      <c r="D5726" s="26" t="s">
        <v>543</v>
      </c>
      <c r="E5726" s="26" t="str">
        <f>IFERROR(VLOOKUP(G5726,WholesaleExtract!B:J,9,FALSE),"")</f>
        <v/>
      </c>
      <c r="F5726" s="26" t="str">
        <f>IFERROR(VLOOKUP(G5726,WholesaleExtract!B:J,6,FALSE),"")</f>
        <v/>
      </c>
      <c r="H5726" s="47" t="str">
        <f>IFERROR(VLOOKUP(G5726,WholesaleExtract!B:L,11,FALSE),"")</f>
        <v/>
      </c>
      <c r="I5726" s="26" t="str">
        <f>IFERROR(VLOOKUP(G5726,WholesaleExtract!B:O,8,FALSE),"")</f>
        <v/>
      </c>
      <c r="J5726" s="26" t="str">
        <f>IFERROR(VLOOKUP(G5726,WholesaleExtract!B:O,14,FALSE),"")</f>
        <v/>
      </c>
      <c r="K5726" s="26" t="str">
        <f>IFERROR(VLOOKUP(G5726,WholesaleExtract!B:K,10,FALSE),"")</f>
        <v/>
      </c>
      <c r="L5726" s="47" t="str">
        <f>IFERROR(VLOOKUP(G5726,WholesaleExtract!B:L,11,FALSE),"")</f>
        <v/>
      </c>
      <c r="M5726" s="47" t="str">
        <f>IFERROR(VLOOKUP(G5726,WholesaleExtract!B:M,12,FALSE),"")</f>
        <v/>
      </c>
      <c r="R5726" s="19"/>
      <c r="S5726" s="19"/>
    </row>
    <row r="5727" spans="1:19" x14ac:dyDescent="0.35">
      <c r="A5727" s="26" t="s">
        <v>543</v>
      </c>
      <c r="B5727" s="26" t="s">
        <v>543</v>
      </c>
      <c r="C5727" s="26"/>
      <c r="D5727" s="26" t="s">
        <v>543</v>
      </c>
      <c r="E5727" s="26" t="str">
        <f>IFERROR(VLOOKUP(G5727,WholesaleExtract!B:J,9,FALSE),"")</f>
        <v/>
      </c>
      <c r="F5727" s="26" t="str">
        <f>IFERROR(VLOOKUP(G5727,WholesaleExtract!B:J,6,FALSE),"")</f>
        <v/>
      </c>
      <c r="H5727" s="47" t="str">
        <f>IFERROR(VLOOKUP(G5727,WholesaleExtract!B:L,11,FALSE),"")</f>
        <v/>
      </c>
      <c r="I5727" s="26" t="str">
        <f>IFERROR(VLOOKUP(G5727,WholesaleExtract!B:O,8,FALSE),"")</f>
        <v/>
      </c>
      <c r="J5727" s="26" t="str">
        <f>IFERROR(VLOOKUP(G5727,WholesaleExtract!B:O,14,FALSE),"")</f>
        <v/>
      </c>
      <c r="K5727" s="26" t="str">
        <f>IFERROR(VLOOKUP(G5727,WholesaleExtract!B:K,10,FALSE),"")</f>
        <v/>
      </c>
      <c r="L5727" s="47" t="str">
        <f>IFERROR(VLOOKUP(G5727,WholesaleExtract!B:L,11,FALSE),"")</f>
        <v/>
      </c>
      <c r="M5727" s="47" t="str">
        <f>IFERROR(VLOOKUP(G5727,WholesaleExtract!B:M,12,FALSE),"")</f>
        <v/>
      </c>
      <c r="R5727" s="19"/>
      <c r="S5727" s="19"/>
    </row>
    <row r="5728" spans="1:19" x14ac:dyDescent="0.35">
      <c r="A5728" s="26" t="s">
        <v>543</v>
      </c>
      <c r="B5728" s="26" t="s">
        <v>543</v>
      </c>
      <c r="C5728" s="26"/>
      <c r="D5728" s="26" t="s">
        <v>543</v>
      </c>
      <c r="E5728" s="26" t="str">
        <f>IFERROR(VLOOKUP(G5728,WholesaleExtract!B:J,9,FALSE),"")</f>
        <v/>
      </c>
      <c r="F5728" s="26" t="str">
        <f>IFERROR(VLOOKUP(G5728,WholesaleExtract!B:J,6,FALSE),"")</f>
        <v/>
      </c>
      <c r="H5728" s="47" t="str">
        <f>IFERROR(VLOOKUP(G5728,WholesaleExtract!B:L,11,FALSE),"")</f>
        <v/>
      </c>
      <c r="I5728" s="26" t="str">
        <f>IFERROR(VLOOKUP(G5728,WholesaleExtract!B:O,8,FALSE),"")</f>
        <v/>
      </c>
      <c r="J5728" s="26" t="str">
        <f>IFERROR(VLOOKUP(G5728,WholesaleExtract!B:O,14,FALSE),"")</f>
        <v/>
      </c>
      <c r="K5728" s="26" t="str">
        <f>IFERROR(VLOOKUP(G5728,WholesaleExtract!B:K,10,FALSE),"")</f>
        <v/>
      </c>
      <c r="L5728" s="47" t="str">
        <f>IFERROR(VLOOKUP(G5728,WholesaleExtract!B:L,11,FALSE),"")</f>
        <v/>
      </c>
      <c r="M5728" s="47" t="str">
        <f>IFERROR(VLOOKUP(G5728,WholesaleExtract!B:M,12,FALSE),"")</f>
        <v/>
      </c>
      <c r="R5728" s="19"/>
      <c r="S5728" s="19"/>
    </row>
    <row r="5729" spans="1:19" x14ac:dyDescent="0.35">
      <c r="A5729" s="26" t="s">
        <v>543</v>
      </c>
      <c r="B5729" s="26" t="s">
        <v>543</v>
      </c>
      <c r="C5729" s="26"/>
      <c r="D5729" s="26" t="s">
        <v>543</v>
      </c>
      <c r="E5729" s="26" t="str">
        <f>IFERROR(VLOOKUP(G5729,WholesaleExtract!B:J,9,FALSE),"")</f>
        <v/>
      </c>
      <c r="F5729" s="26" t="str">
        <f>IFERROR(VLOOKUP(G5729,WholesaleExtract!B:J,6,FALSE),"")</f>
        <v/>
      </c>
      <c r="H5729" s="47" t="str">
        <f>IFERROR(VLOOKUP(G5729,WholesaleExtract!B:L,11,FALSE),"")</f>
        <v/>
      </c>
      <c r="I5729" s="26" t="str">
        <f>IFERROR(VLOOKUP(G5729,WholesaleExtract!B:O,8,FALSE),"")</f>
        <v/>
      </c>
      <c r="J5729" s="26" t="str">
        <f>IFERROR(VLOOKUP(G5729,WholesaleExtract!B:O,14,FALSE),"")</f>
        <v/>
      </c>
      <c r="K5729" s="26" t="str">
        <f>IFERROR(VLOOKUP(G5729,WholesaleExtract!B:K,10,FALSE),"")</f>
        <v/>
      </c>
      <c r="L5729" s="47" t="str">
        <f>IFERROR(VLOOKUP(G5729,WholesaleExtract!B:L,11,FALSE),"")</f>
        <v/>
      </c>
      <c r="M5729" s="47" t="str">
        <f>IFERROR(VLOOKUP(G5729,WholesaleExtract!B:M,12,FALSE),"")</f>
        <v/>
      </c>
      <c r="R5729" s="19"/>
      <c r="S5729" s="19"/>
    </row>
    <row r="5730" spans="1:19" x14ac:dyDescent="0.35">
      <c r="A5730" s="26" t="s">
        <v>543</v>
      </c>
      <c r="B5730" s="26" t="s">
        <v>543</v>
      </c>
      <c r="C5730" s="26"/>
      <c r="D5730" s="26" t="s">
        <v>543</v>
      </c>
      <c r="E5730" s="26" t="str">
        <f>IFERROR(VLOOKUP(G5730,WholesaleExtract!B:J,9,FALSE),"")</f>
        <v/>
      </c>
      <c r="F5730" s="26" t="str">
        <f>IFERROR(VLOOKUP(G5730,WholesaleExtract!B:J,6,FALSE),"")</f>
        <v/>
      </c>
      <c r="H5730" s="47" t="str">
        <f>IFERROR(VLOOKUP(G5730,WholesaleExtract!B:L,11,FALSE),"")</f>
        <v/>
      </c>
      <c r="I5730" s="26" t="str">
        <f>IFERROR(VLOOKUP(G5730,WholesaleExtract!B:O,8,FALSE),"")</f>
        <v/>
      </c>
      <c r="J5730" s="26" t="str">
        <f>IFERROR(VLOOKUP(G5730,WholesaleExtract!B:O,14,FALSE),"")</f>
        <v/>
      </c>
      <c r="K5730" s="26" t="str">
        <f>IFERROR(VLOOKUP(G5730,WholesaleExtract!B:K,10,FALSE),"")</f>
        <v/>
      </c>
      <c r="L5730" s="47" t="str">
        <f>IFERROR(VLOOKUP(G5730,WholesaleExtract!B:L,11,FALSE),"")</f>
        <v/>
      </c>
      <c r="M5730" s="47" t="str">
        <f>IFERROR(VLOOKUP(G5730,WholesaleExtract!B:M,12,FALSE),"")</f>
        <v/>
      </c>
      <c r="R5730" s="19"/>
      <c r="S5730" s="19"/>
    </row>
    <row r="5731" spans="1:19" x14ac:dyDescent="0.35">
      <c r="A5731" s="26" t="s">
        <v>543</v>
      </c>
      <c r="B5731" s="26" t="s">
        <v>543</v>
      </c>
      <c r="C5731" s="26"/>
      <c r="D5731" s="26" t="s">
        <v>543</v>
      </c>
      <c r="E5731" s="26" t="str">
        <f>IFERROR(VLOOKUP(G5731,WholesaleExtract!B:J,9,FALSE),"")</f>
        <v/>
      </c>
      <c r="F5731" s="26" t="str">
        <f>IFERROR(VLOOKUP(G5731,WholesaleExtract!B:J,6,FALSE),"")</f>
        <v/>
      </c>
      <c r="H5731" s="47" t="str">
        <f>IFERROR(VLOOKUP(G5731,WholesaleExtract!B:L,11,FALSE),"")</f>
        <v/>
      </c>
      <c r="I5731" s="26" t="str">
        <f>IFERROR(VLOOKUP(G5731,WholesaleExtract!B:O,8,FALSE),"")</f>
        <v/>
      </c>
      <c r="J5731" s="26" t="str">
        <f>IFERROR(VLOOKUP(G5731,WholesaleExtract!B:O,14,FALSE),"")</f>
        <v/>
      </c>
      <c r="K5731" s="26" t="str">
        <f>IFERROR(VLOOKUP(G5731,WholesaleExtract!B:K,10,FALSE),"")</f>
        <v/>
      </c>
      <c r="L5731" s="47" t="str">
        <f>IFERROR(VLOOKUP(G5731,WholesaleExtract!B:L,11,FALSE),"")</f>
        <v/>
      </c>
      <c r="M5731" s="47" t="str">
        <f>IFERROR(VLOOKUP(G5731,WholesaleExtract!B:M,12,FALSE),"")</f>
        <v/>
      </c>
      <c r="R5731" s="19"/>
      <c r="S5731" s="19"/>
    </row>
    <row r="5732" spans="1:19" x14ac:dyDescent="0.35">
      <c r="A5732" s="26" t="s">
        <v>543</v>
      </c>
      <c r="B5732" s="26" t="s">
        <v>543</v>
      </c>
      <c r="C5732" s="26"/>
      <c r="D5732" s="26" t="s">
        <v>543</v>
      </c>
      <c r="E5732" s="26" t="str">
        <f>IFERROR(VLOOKUP(G5732,WholesaleExtract!B:J,9,FALSE),"")</f>
        <v/>
      </c>
      <c r="F5732" s="26" t="str">
        <f>IFERROR(VLOOKUP(G5732,WholesaleExtract!B:J,6,FALSE),"")</f>
        <v/>
      </c>
      <c r="H5732" s="47" t="str">
        <f>IFERROR(VLOOKUP(G5732,WholesaleExtract!B:L,11,FALSE),"")</f>
        <v/>
      </c>
      <c r="I5732" s="26" t="str">
        <f>IFERROR(VLOOKUP(G5732,WholesaleExtract!B:O,8,FALSE),"")</f>
        <v/>
      </c>
      <c r="J5732" s="26" t="str">
        <f>IFERROR(VLOOKUP(G5732,WholesaleExtract!B:O,14,FALSE),"")</f>
        <v/>
      </c>
      <c r="K5732" s="26" t="str">
        <f>IFERROR(VLOOKUP(G5732,WholesaleExtract!B:K,10,FALSE),"")</f>
        <v/>
      </c>
      <c r="L5732" s="47" t="str">
        <f>IFERROR(VLOOKUP(G5732,WholesaleExtract!B:L,11,FALSE),"")</f>
        <v/>
      </c>
      <c r="M5732" s="47" t="str">
        <f>IFERROR(VLOOKUP(G5732,WholesaleExtract!B:M,12,FALSE),"")</f>
        <v/>
      </c>
      <c r="R5732" s="19"/>
      <c r="S5732" s="19"/>
    </row>
    <row r="5733" spans="1:19" x14ac:dyDescent="0.35">
      <c r="A5733" s="26" t="s">
        <v>543</v>
      </c>
      <c r="B5733" s="26" t="s">
        <v>543</v>
      </c>
      <c r="C5733" s="26"/>
      <c r="D5733" s="26" t="s">
        <v>543</v>
      </c>
      <c r="E5733" s="26" t="str">
        <f>IFERROR(VLOOKUP(G5733,WholesaleExtract!B:J,9,FALSE),"")</f>
        <v/>
      </c>
      <c r="F5733" s="26" t="str">
        <f>IFERROR(VLOOKUP(G5733,WholesaleExtract!B:J,6,FALSE),"")</f>
        <v/>
      </c>
      <c r="H5733" s="47" t="str">
        <f>IFERROR(VLOOKUP(G5733,WholesaleExtract!B:L,11,FALSE),"")</f>
        <v/>
      </c>
      <c r="I5733" s="26" t="str">
        <f>IFERROR(VLOOKUP(G5733,WholesaleExtract!B:O,8,FALSE),"")</f>
        <v/>
      </c>
      <c r="J5733" s="26" t="str">
        <f>IFERROR(VLOOKUP(G5733,WholesaleExtract!B:O,14,FALSE),"")</f>
        <v/>
      </c>
      <c r="K5733" s="26" t="str">
        <f>IFERROR(VLOOKUP(G5733,WholesaleExtract!B:K,10,FALSE),"")</f>
        <v/>
      </c>
      <c r="L5733" s="47" t="str">
        <f>IFERROR(VLOOKUP(G5733,WholesaleExtract!B:L,11,FALSE),"")</f>
        <v/>
      </c>
      <c r="M5733" s="47" t="str">
        <f>IFERROR(VLOOKUP(G5733,WholesaleExtract!B:M,12,FALSE),"")</f>
        <v/>
      </c>
      <c r="R5733" s="19"/>
      <c r="S5733" s="19"/>
    </row>
    <row r="5734" spans="1:19" x14ac:dyDescent="0.35">
      <c r="A5734" s="26" t="s">
        <v>543</v>
      </c>
      <c r="B5734" s="26" t="s">
        <v>543</v>
      </c>
      <c r="C5734" s="26"/>
      <c r="D5734" s="26" t="s">
        <v>543</v>
      </c>
      <c r="E5734" s="26" t="str">
        <f>IFERROR(VLOOKUP(G5734,WholesaleExtract!B:J,9,FALSE),"")</f>
        <v/>
      </c>
      <c r="F5734" s="26" t="str">
        <f>IFERROR(VLOOKUP(G5734,WholesaleExtract!B:J,6,FALSE),"")</f>
        <v/>
      </c>
      <c r="H5734" s="47" t="str">
        <f>IFERROR(VLOOKUP(G5734,WholesaleExtract!B:L,11,FALSE),"")</f>
        <v/>
      </c>
      <c r="I5734" s="26" t="str">
        <f>IFERROR(VLOOKUP(G5734,WholesaleExtract!B:O,8,FALSE),"")</f>
        <v/>
      </c>
      <c r="J5734" s="26" t="str">
        <f>IFERROR(VLOOKUP(G5734,WholesaleExtract!B:O,14,FALSE),"")</f>
        <v/>
      </c>
      <c r="K5734" s="26" t="str">
        <f>IFERROR(VLOOKUP(G5734,WholesaleExtract!B:K,10,FALSE),"")</f>
        <v/>
      </c>
      <c r="L5734" s="47" t="str">
        <f>IFERROR(VLOOKUP(G5734,WholesaleExtract!B:L,11,FALSE),"")</f>
        <v/>
      </c>
      <c r="M5734" s="47" t="str">
        <f>IFERROR(VLOOKUP(G5734,WholesaleExtract!B:M,12,FALSE),"")</f>
        <v/>
      </c>
      <c r="R5734" s="19"/>
      <c r="S5734" s="19"/>
    </row>
    <row r="5735" spans="1:19" x14ac:dyDescent="0.35">
      <c r="A5735" s="26" t="s">
        <v>543</v>
      </c>
      <c r="B5735" s="26" t="s">
        <v>543</v>
      </c>
      <c r="C5735" s="26"/>
      <c r="D5735" s="26" t="s">
        <v>543</v>
      </c>
      <c r="E5735" s="26" t="str">
        <f>IFERROR(VLOOKUP(G5735,WholesaleExtract!B:J,9,FALSE),"")</f>
        <v/>
      </c>
      <c r="F5735" s="26" t="str">
        <f>IFERROR(VLOOKUP(G5735,WholesaleExtract!B:J,6,FALSE),"")</f>
        <v/>
      </c>
      <c r="H5735" s="47" t="str">
        <f>IFERROR(VLOOKUP(G5735,WholesaleExtract!B:L,11,FALSE),"")</f>
        <v/>
      </c>
      <c r="I5735" s="26" t="str">
        <f>IFERROR(VLOOKUP(G5735,WholesaleExtract!B:O,8,FALSE),"")</f>
        <v/>
      </c>
      <c r="J5735" s="26" t="str">
        <f>IFERROR(VLOOKUP(G5735,WholesaleExtract!B:O,14,FALSE),"")</f>
        <v/>
      </c>
      <c r="K5735" s="26" t="str">
        <f>IFERROR(VLOOKUP(G5735,WholesaleExtract!B:K,10,FALSE),"")</f>
        <v/>
      </c>
      <c r="L5735" s="47" t="str">
        <f>IFERROR(VLOOKUP(G5735,WholesaleExtract!B:L,11,FALSE),"")</f>
        <v/>
      </c>
      <c r="M5735" s="47" t="str">
        <f>IFERROR(VLOOKUP(G5735,WholesaleExtract!B:M,12,FALSE),"")</f>
        <v/>
      </c>
      <c r="R5735" s="19"/>
      <c r="S5735" s="19"/>
    </row>
    <row r="5736" spans="1:19" x14ac:dyDescent="0.35">
      <c r="A5736" s="26" t="s">
        <v>543</v>
      </c>
      <c r="B5736" s="26" t="s">
        <v>543</v>
      </c>
      <c r="C5736" s="26"/>
      <c r="D5736" s="26" t="s">
        <v>543</v>
      </c>
      <c r="E5736" s="26" t="str">
        <f>IFERROR(VLOOKUP(G5736,WholesaleExtract!B:J,9,FALSE),"")</f>
        <v/>
      </c>
      <c r="F5736" s="26" t="str">
        <f>IFERROR(VLOOKUP(G5736,WholesaleExtract!B:J,6,FALSE),"")</f>
        <v/>
      </c>
      <c r="H5736" s="47" t="str">
        <f>IFERROR(VLOOKUP(G5736,WholesaleExtract!B:L,11,FALSE),"")</f>
        <v/>
      </c>
      <c r="I5736" s="26" t="str">
        <f>IFERROR(VLOOKUP(G5736,WholesaleExtract!B:O,8,FALSE),"")</f>
        <v/>
      </c>
      <c r="J5736" s="26" t="str">
        <f>IFERROR(VLOOKUP(G5736,WholesaleExtract!B:O,14,FALSE),"")</f>
        <v/>
      </c>
      <c r="K5736" s="26" t="str">
        <f>IFERROR(VLOOKUP(G5736,WholesaleExtract!B:K,10,FALSE),"")</f>
        <v/>
      </c>
      <c r="L5736" s="47" t="str">
        <f>IFERROR(VLOOKUP(G5736,WholesaleExtract!B:L,11,FALSE),"")</f>
        <v/>
      </c>
      <c r="M5736" s="47" t="str">
        <f>IFERROR(VLOOKUP(G5736,WholesaleExtract!B:M,12,FALSE),"")</f>
        <v/>
      </c>
      <c r="R5736" s="19"/>
      <c r="S5736" s="19"/>
    </row>
    <row r="5737" spans="1:19" x14ac:dyDescent="0.35">
      <c r="A5737" s="26" t="s">
        <v>543</v>
      </c>
      <c r="B5737" s="26" t="s">
        <v>543</v>
      </c>
      <c r="C5737" s="26"/>
      <c r="D5737" s="26" t="s">
        <v>543</v>
      </c>
      <c r="E5737" s="26" t="str">
        <f>IFERROR(VLOOKUP(G5737,WholesaleExtract!B:J,9,FALSE),"")</f>
        <v/>
      </c>
      <c r="F5737" s="26" t="str">
        <f>IFERROR(VLOOKUP(G5737,WholesaleExtract!B:J,6,FALSE),"")</f>
        <v/>
      </c>
      <c r="H5737" s="47" t="str">
        <f>IFERROR(VLOOKUP(G5737,WholesaleExtract!B:L,11,FALSE),"")</f>
        <v/>
      </c>
      <c r="I5737" s="26" t="str">
        <f>IFERROR(VLOOKUP(G5737,WholesaleExtract!B:O,8,FALSE),"")</f>
        <v/>
      </c>
      <c r="J5737" s="26" t="str">
        <f>IFERROR(VLOOKUP(G5737,WholesaleExtract!B:O,14,FALSE),"")</f>
        <v/>
      </c>
      <c r="K5737" s="26" t="str">
        <f>IFERROR(VLOOKUP(G5737,WholesaleExtract!B:K,10,FALSE),"")</f>
        <v/>
      </c>
      <c r="L5737" s="47" t="str">
        <f>IFERROR(VLOOKUP(G5737,WholesaleExtract!B:L,11,FALSE),"")</f>
        <v/>
      </c>
      <c r="M5737" s="47" t="str">
        <f>IFERROR(VLOOKUP(G5737,WholesaleExtract!B:M,12,FALSE),"")</f>
        <v/>
      </c>
      <c r="R5737" s="19"/>
      <c r="S5737" s="19"/>
    </row>
    <row r="5738" spans="1:19" x14ac:dyDescent="0.35">
      <c r="A5738" s="26" t="s">
        <v>543</v>
      </c>
      <c r="B5738" s="26" t="s">
        <v>543</v>
      </c>
      <c r="C5738" s="26"/>
      <c r="D5738" s="26" t="s">
        <v>543</v>
      </c>
      <c r="E5738" s="26" t="str">
        <f>IFERROR(VLOOKUP(G5738,WholesaleExtract!B:J,9,FALSE),"")</f>
        <v/>
      </c>
      <c r="F5738" s="26" t="str">
        <f>IFERROR(VLOOKUP(G5738,WholesaleExtract!B:J,6,FALSE),"")</f>
        <v/>
      </c>
      <c r="H5738" s="47" t="str">
        <f>IFERROR(VLOOKUP(G5738,WholesaleExtract!B:L,11,FALSE),"")</f>
        <v/>
      </c>
      <c r="I5738" s="26" t="str">
        <f>IFERROR(VLOOKUP(G5738,WholesaleExtract!B:O,8,FALSE),"")</f>
        <v/>
      </c>
      <c r="J5738" s="26" t="str">
        <f>IFERROR(VLOOKUP(G5738,WholesaleExtract!B:O,14,FALSE),"")</f>
        <v/>
      </c>
      <c r="K5738" s="26" t="str">
        <f>IFERROR(VLOOKUP(G5738,WholesaleExtract!B:K,10,FALSE),"")</f>
        <v/>
      </c>
      <c r="L5738" s="47" t="str">
        <f>IFERROR(VLOOKUP(G5738,WholesaleExtract!B:L,11,FALSE),"")</f>
        <v/>
      </c>
      <c r="M5738" s="47" t="str">
        <f>IFERROR(VLOOKUP(G5738,WholesaleExtract!B:M,12,FALSE),"")</f>
        <v/>
      </c>
      <c r="R5738" s="19"/>
      <c r="S5738" s="19"/>
    </row>
    <row r="5739" spans="1:19" x14ac:dyDescent="0.35">
      <c r="A5739" s="26" t="s">
        <v>543</v>
      </c>
      <c r="B5739" s="26" t="s">
        <v>543</v>
      </c>
      <c r="C5739" s="26"/>
      <c r="D5739" s="26" t="s">
        <v>543</v>
      </c>
      <c r="E5739" s="26" t="str">
        <f>IFERROR(VLOOKUP(G5739,WholesaleExtract!B:J,9,FALSE),"")</f>
        <v/>
      </c>
      <c r="F5739" s="26" t="str">
        <f>IFERROR(VLOOKUP(G5739,WholesaleExtract!B:J,6,FALSE),"")</f>
        <v/>
      </c>
      <c r="H5739" s="47" t="str">
        <f>IFERROR(VLOOKUP(G5739,WholesaleExtract!B:L,11,FALSE),"")</f>
        <v/>
      </c>
      <c r="I5739" s="26" t="str">
        <f>IFERROR(VLOOKUP(G5739,WholesaleExtract!B:O,8,FALSE),"")</f>
        <v/>
      </c>
      <c r="J5739" s="26" t="str">
        <f>IFERROR(VLOOKUP(G5739,WholesaleExtract!B:O,14,FALSE),"")</f>
        <v/>
      </c>
      <c r="K5739" s="26" t="str">
        <f>IFERROR(VLOOKUP(G5739,WholesaleExtract!B:K,10,FALSE),"")</f>
        <v/>
      </c>
      <c r="L5739" s="47" t="str">
        <f>IFERROR(VLOOKUP(G5739,WholesaleExtract!B:L,11,FALSE),"")</f>
        <v/>
      </c>
      <c r="M5739" s="47" t="str">
        <f>IFERROR(VLOOKUP(G5739,WholesaleExtract!B:M,12,FALSE),"")</f>
        <v/>
      </c>
      <c r="R5739" s="19"/>
      <c r="S5739" s="19"/>
    </row>
    <row r="5740" spans="1:19" x14ac:dyDescent="0.35">
      <c r="A5740" s="26" t="s">
        <v>543</v>
      </c>
      <c r="B5740" s="26" t="s">
        <v>543</v>
      </c>
      <c r="C5740" s="26"/>
      <c r="D5740" s="26" t="s">
        <v>543</v>
      </c>
      <c r="E5740" s="26" t="str">
        <f>IFERROR(VLOOKUP(G5740,WholesaleExtract!B:J,9,FALSE),"")</f>
        <v/>
      </c>
      <c r="F5740" s="26" t="str">
        <f>IFERROR(VLOOKUP(G5740,WholesaleExtract!B:J,6,FALSE),"")</f>
        <v/>
      </c>
      <c r="H5740" s="47" t="str">
        <f>IFERROR(VLOOKUP(G5740,WholesaleExtract!B:L,11,FALSE),"")</f>
        <v/>
      </c>
      <c r="I5740" s="26" t="str">
        <f>IFERROR(VLOOKUP(G5740,WholesaleExtract!B:O,8,FALSE),"")</f>
        <v/>
      </c>
      <c r="J5740" s="26" t="str">
        <f>IFERROR(VLOOKUP(G5740,WholesaleExtract!B:O,14,FALSE),"")</f>
        <v/>
      </c>
      <c r="K5740" s="26" t="str">
        <f>IFERROR(VLOOKUP(G5740,WholesaleExtract!B:K,10,FALSE),"")</f>
        <v/>
      </c>
      <c r="L5740" s="47" t="str">
        <f>IFERROR(VLOOKUP(G5740,WholesaleExtract!B:L,11,FALSE),"")</f>
        <v/>
      </c>
      <c r="M5740" s="47" t="str">
        <f>IFERROR(VLOOKUP(G5740,WholesaleExtract!B:M,12,FALSE),"")</f>
        <v/>
      </c>
      <c r="R5740" s="19"/>
      <c r="S5740" s="19"/>
    </row>
    <row r="5741" spans="1:19" x14ac:dyDescent="0.35">
      <c r="A5741" s="26" t="s">
        <v>543</v>
      </c>
      <c r="B5741" s="26" t="s">
        <v>543</v>
      </c>
      <c r="C5741" s="26"/>
      <c r="D5741" s="26" t="s">
        <v>543</v>
      </c>
      <c r="E5741" s="26" t="str">
        <f>IFERROR(VLOOKUP(G5741,WholesaleExtract!B:J,9,FALSE),"")</f>
        <v/>
      </c>
      <c r="F5741" s="26" t="str">
        <f>IFERROR(VLOOKUP(G5741,WholesaleExtract!B:J,6,FALSE),"")</f>
        <v/>
      </c>
      <c r="H5741" s="47" t="str">
        <f>IFERROR(VLOOKUP(G5741,WholesaleExtract!B:L,11,FALSE),"")</f>
        <v/>
      </c>
      <c r="I5741" s="26" t="str">
        <f>IFERROR(VLOOKUP(G5741,WholesaleExtract!B:O,8,FALSE),"")</f>
        <v/>
      </c>
      <c r="J5741" s="26" t="str">
        <f>IFERROR(VLOOKUP(G5741,WholesaleExtract!B:O,14,FALSE),"")</f>
        <v/>
      </c>
      <c r="K5741" s="26" t="str">
        <f>IFERROR(VLOOKUP(G5741,WholesaleExtract!B:K,10,FALSE),"")</f>
        <v/>
      </c>
      <c r="L5741" s="47" t="str">
        <f>IFERROR(VLOOKUP(G5741,WholesaleExtract!B:L,11,FALSE),"")</f>
        <v/>
      </c>
      <c r="M5741" s="47" t="str">
        <f>IFERROR(VLOOKUP(G5741,WholesaleExtract!B:M,12,FALSE),"")</f>
        <v/>
      </c>
      <c r="R5741" s="19"/>
      <c r="S5741" s="19"/>
    </row>
    <row r="5742" spans="1:19" x14ac:dyDescent="0.35">
      <c r="A5742" s="26" t="s">
        <v>543</v>
      </c>
      <c r="B5742" s="26" t="s">
        <v>543</v>
      </c>
      <c r="C5742" s="26"/>
      <c r="D5742" s="26" t="s">
        <v>543</v>
      </c>
      <c r="E5742" s="26" t="str">
        <f>IFERROR(VLOOKUP(G5742,WholesaleExtract!B:J,9,FALSE),"")</f>
        <v/>
      </c>
      <c r="F5742" s="26" t="str">
        <f>IFERROR(VLOOKUP(G5742,WholesaleExtract!B:J,6,FALSE),"")</f>
        <v/>
      </c>
      <c r="H5742" s="47" t="str">
        <f>IFERROR(VLOOKUP(G5742,WholesaleExtract!B:L,11,FALSE),"")</f>
        <v/>
      </c>
      <c r="I5742" s="26" t="str">
        <f>IFERROR(VLOOKUP(G5742,WholesaleExtract!B:O,8,FALSE),"")</f>
        <v/>
      </c>
      <c r="J5742" s="26" t="str">
        <f>IFERROR(VLOOKUP(G5742,WholesaleExtract!B:O,14,FALSE),"")</f>
        <v/>
      </c>
      <c r="K5742" s="26" t="str">
        <f>IFERROR(VLOOKUP(G5742,WholesaleExtract!B:K,10,FALSE),"")</f>
        <v/>
      </c>
      <c r="L5742" s="47" t="str">
        <f>IFERROR(VLOOKUP(G5742,WholesaleExtract!B:L,11,FALSE),"")</f>
        <v/>
      </c>
      <c r="M5742" s="47" t="str">
        <f>IFERROR(VLOOKUP(G5742,WholesaleExtract!B:M,12,FALSE),"")</f>
        <v/>
      </c>
    </row>
    <row r="5743" spans="1:19" x14ac:dyDescent="0.35">
      <c r="A5743" s="26" t="s">
        <v>543</v>
      </c>
      <c r="B5743" s="26" t="s">
        <v>543</v>
      </c>
      <c r="C5743" s="26"/>
      <c r="D5743" s="26" t="s">
        <v>543</v>
      </c>
      <c r="E5743" s="26" t="str">
        <f>IFERROR(VLOOKUP(G5743,WholesaleExtract!B:J,9,FALSE),"")</f>
        <v/>
      </c>
      <c r="F5743" s="26" t="str">
        <f>IFERROR(VLOOKUP(G5743,WholesaleExtract!B:J,6,FALSE),"")</f>
        <v/>
      </c>
      <c r="H5743" s="47" t="str">
        <f>IFERROR(VLOOKUP(G5743,WholesaleExtract!B:L,11,FALSE),"")</f>
        <v/>
      </c>
      <c r="I5743" s="26" t="str">
        <f>IFERROR(VLOOKUP(G5743,WholesaleExtract!B:O,8,FALSE),"")</f>
        <v/>
      </c>
      <c r="J5743" s="26" t="str">
        <f>IFERROR(VLOOKUP(G5743,WholesaleExtract!B:O,14,FALSE),"")</f>
        <v/>
      </c>
      <c r="K5743" s="26" t="str">
        <f>IFERROR(VLOOKUP(G5743,WholesaleExtract!B:K,10,FALSE),"")</f>
        <v/>
      </c>
      <c r="L5743" s="47" t="str">
        <f>IFERROR(VLOOKUP(G5743,WholesaleExtract!B:L,11,FALSE),"")</f>
        <v/>
      </c>
      <c r="M5743" s="47" t="str">
        <f>IFERROR(VLOOKUP(G5743,WholesaleExtract!B:M,12,FALSE),"")</f>
        <v/>
      </c>
    </row>
    <row r="5744" spans="1:19" x14ac:dyDescent="0.35">
      <c r="A5744" s="26" t="s">
        <v>543</v>
      </c>
      <c r="B5744" s="26" t="s">
        <v>543</v>
      </c>
      <c r="C5744" s="26"/>
      <c r="D5744" s="26" t="s">
        <v>543</v>
      </c>
      <c r="E5744" s="26" t="str">
        <f>IFERROR(VLOOKUP(G5744,WholesaleExtract!B:J,9,FALSE),"")</f>
        <v/>
      </c>
      <c r="F5744" s="26" t="str">
        <f>IFERROR(VLOOKUP(G5744,WholesaleExtract!B:J,6,FALSE),"")</f>
        <v/>
      </c>
      <c r="H5744" s="47" t="str">
        <f>IFERROR(VLOOKUP(G5744,WholesaleExtract!B:L,11,FALSE),"")</f>
        <v/>
      </c>
      <c r="I5744" s="26" t="str">
        <f>IFERROR(VLOOKUP(G5744,WholesaleExtract!B:O,8,FALSE),"")</f>
        <v/>
      </c>
      <c r="J5744" s="26" t="str">
        <f>IFERROR(VLOOKUP(G5744,WholesaleExtract!B:O,14,FALSE),"")</f>
        <v/>
      </c>
      <c r="K5744" s="26" t="str">
        <f>IFERROR(VLOOKUP(G5744,WholesaleExtract!B:K,10,FALSE),"")</f>
        <v/>
      </c>
      <c r="L5744" s="47" t="str">
        <f>IFERROR(VLOOKUP(G5744,WholesaleExtract!B:L,11,FALSE),"")</f>
        <v/>
      </c>
      <c r="M5744" s="47" t="str">
        <f>IFERROR(VLOOKUP(G5744,WholesaleExtract!B:M,12,FALSE),"")</f>
        <v/>
      </c>
    </row>
    <row r="5745" spans="1:13" x14ac:dyDescent="0.35">
      <c r="A5745" s="26" t="s">
        <v>543</v>
      </c>
      <c r="B5745" s="26" t="s">
        <v>543</v>
      </c>
      <c r="C5745" s="26"/>
      <c r="D5745" s="26" t="s">
        <v>543</v>
      </c>
      <c r="E5745" s="26" t="str">
        <f>IFERROR(VLOOKUP(G5745,WholesaleExtract!B:J,9,FALSE),"")</f>
        <v/>
      </c>
      <c r="F5745" s="26" t="str">
        <f>IFERROR(VLOOKUP(G5745,WholesaleExtract!B:J,6,FALSE),"")</f>
        <v/>
      </c>
      <c r="H5745" s="47" t="str">
        <f>IFERROR(VLOOKUP(G5745,WholesaleExtract!B:L,11,FALSE),"")</f>
        <v/>
      </c>
      <c r="I5745" s="26" t="str">
        <f>IFERROR(VLOOKUP(G5745,WholesaleExtract!B:O,8,FALSE),"")</f>
        <v/>
      </c>
      <c r="J5745" s="26" t="str">
        <f>IFERROR(VLOOKUP(G5745,WholesaleExtract!B:O,14,FALSE),"")</f>
        <v/>
      </c>
      <c r="K5745" s="26" t="str">
        <f>IFERROR(VLOOKUP(G5745,WholesaleExtract!B:K,10,FALSE),"")</f>
        <v/>
      </c>
      <c r="L5745" s="47" t="str">
        <f>IFERROR(VLOOKUP(G5745,WholesaleExtract!B:L,11,FALSE),"")</f>
        <v/>
      </c>
      <c r="M5745" s="47" t="str">
        <f>IFERROR(VLOOKUP(G5745,WholesaleExtract!B:M,12,FALSE),"")</f>
        <v/>
      </c>
    </row>
    <row r="5746" spans="1:13" x14ac:dyDescent="0.35">
      <c r="A5746" s="26" t="s">
        <v>543</v>
      </c>
      <c r="B5746" s="26" t="s">
        <v>543</v>
      </c>
      <c r="C5746" s="26"/>
      <c r="D5746" s="26" t="s">
        <v>543</v>
      </c>
      <c r="E5746" s="26" t="str">
        <f>IFERROR(VLOOKUP(G5746,WholesaleExtract!B:J,9,FALSE),"")</f>
        <v/>
      </c>
      <c r="F5746" s="26" t="str">
        <f>IFERROR(VLOOKUP(G5746,WholesaleExtract!B:J,6,FALSE),"")</f>
        <v/>
      </c>
      <c r="H5746" s="47" t="str">
        <f>IFERROR(VLOOKUP(G5746,WholesaleExtract!B:L,11,FALSE),"")</f>
        <v/>
      </c>
      <c r="I5746" s="26" t="str">
        <f>IFERROR(VLOOKUP(G5746,WholesaleExtract!B:O,8,FALSE),"")</f>
        <v/>
      </c>
      <c r="J5746" s="26" t="str">
        <f>IFERROR(VLOOKUP(G5746,WholesaleExtract!B:O,14,FALSE),"")</f>
        <v/>
      </c>
      <c r="K5746" s="26" t="str">
        <f>IFERROR(VLOOKUP(G5746,WholesaleExtract!B:K,10,FALSE),"")</f>
        <v/>
      </c>
      <c r="L5746" s="47" t="str">
        <f>IFERROR(VLOOKUP(G5746,WholesaleExtract!B:L,11,FALSE),"")</f>
        <v/>
      </c>
      <c r="M5746" s="47" t="str">
        <f>IFERROR(VLOOKUP(G5746,WholesaleExtract!B:M,12,FALSE),"")</f>
        <v/>
      </c>
    </row>
    <row r="5747" spans="1:13" x14ac:dyDescent="0.35">
      <c r="A5747" s="26" t="s">
        <v>543</v>
      </c>
      <c r="B5747" s="26" t="s">
        <v>543</v>
      </c>
      <c r="C5747" s="26"/>
      <c r="D5747" s="26" t="s">
        <v>543</v>
      </c>
      <c r="E5747" s="26" t="str">
        <f>IFERROR(VLOOKUP(G5747,WholesaleExtract!B:J,9,FALSE),"")</f>
        <v/>
      </c>
      <c r="F5747" s="26" t="str">
        <f>IFERROR(VLOOKUP(G5747,WholesaleExtract!B:J,6,FALSE),"")</f>
        <v/>
      </c>
      <c r="H5747" s="47" t="str">
        <f>IFERROR(VLOOKUP(G5747,WholesaleExtract!B:L,11,FALSE),"")</f>
        <v/>
      </c>
      <c r="I5747" s="26" t="str">
        <f>IFERROR(VLOOKUP(G5747,WholesaleExtract!B:O,8,FALSE),"")</f>
        <v/>
      </c>
      <c r="J5747" s="26" t="str">
        <f>IFERROR(VLOOKUP(G5747,WholesaleExtract!B:O,14,FALSE),"")</f>
        <v/>
      </c>
      <c r="K5747" s="26" t="str">
        <f>IFERROR(VLOOKUP(G5747,WholesaleExtract!B:K,10,FALSE),"")</f>
        <v/>
      </c>
      <c r="L5747" s="47" t="str">
        <f>IFERROR(VLOOKUP(G5747,WholesaleExtract!B:L,11,FALSE),"")</f>
        <v/>
      </c>
      <c r="M5747" s="47" t="str">
        <f>IFERROR(VLOOKUP(G5747,WholesaleExtract!B:M,12,FALSE),"")</f>
        <v/>
      </c>
    </row>
    <row r="5748" spans="1:13" x14ac:dyDescent="0.35">
      <c r="A5748" s="26" t="s">
        <v>543</v>
      </c>
      <c r="B5748" s="26" t="s">
        <v>543</v>
      </c>
      <c r="C5748" s="26"/>
      <c r="D5748" s="26" t="s">
        <v>543</v>
      </c>
      <c r="E5748" s="26" t="str">
        <f>IFERROR(VLOOKUP(G5748,WholesaleExtract!B:J,9,FALSE),"")</f>
        <v/>
      </c>
      <c r="F5748" s="26" t="str">
        <f>IFERROR(VLOOKUP(G5748,WholesaleExtract!B:J,6,FALSE),"")</f>
        <v/>
      </c>
      <c r="H5748" s="47" t="str">
        <f>IFERROR(VLOOKUP(G5748,WholesaleExtract!B:L,11,FALSE),"")</f>
        <v/>
      </c>
      <c r="I5748" s="26" t="str">
        <f>IFERROR(VLOOKUP(G5748,WholesaleExtract!B:O,8,FALSE),"")</f>
        <v/>
      </c>
      <c r="J5748" s="26" t="str">
        <f>IFERROR(VLOOKUP(G5748,WholesaleExtract!B:O,14,FALSE),"")</f>
        <v/>
      </c>
      <c r="K5748" s="26" t="str">
        <f>IFERROR(VLOOKUP(G5748,WholesaleExtract!B:K,10,FALSE),"")</f>
        <v/>
      </c>
      <c r="L5748" s="47" t="str">
        <f>IFERROR(VLOOKUP(G5748,WholesaleExtract!B:L,11,FALSE),"")</f>
        <v/>
      </c>
      <c r="M5748" s="47" t="str">
        <f>IFERROR(VLOOKUP(G5748,WholesaleExtract!B:M,12,FALSE),"")</f>
        <v/>
      </c>
    </row>
    <row r="5749" spans="1:13" x14ac:dyDescent="0.35">
      <c r="A5749" s="26" t="s">
        <v>543</v>
      </c>
      <c r="B5749" s="26" t="s">
        <v>543</v>
      </c>
      <c r="C5749" s="26"/>
      <c r="D5749" s="26" t="s">
        <v>543</v>
      </c>
      <c r="E5749" s="26" t="str">
        <f>IFERROR(VLOOKUP(G5749,WholesaleExtract!B:J,9,FALSE),"")</f>
        <v/>
      </c>
      <c r="F5749" s="26" t="str">
        <f>IFERROR(VLOOKUP(G5749,WholesaleExtract!B:J,6,FALSE),"")</f>
        <v/>
      </c>
      <c r="H5749" s="47" t="str">
        <f>IFERROR(VLOOKUP(G5749,WholesaleExtract!B:L,11,FALSE),"")</f>
        <v/>
      </c>
      <c r="I5749" s="26" t="str">
        <f>IFERROR(VLOOKUP(G5749,WholesaleExtract!B:O,8,FALSE),"")</f>
        <v/>
      </c>
      <c r="J5749" s="26" t="str">
        <f>IFERROR(VLOOKUP(G5749,WholesaleExtract!B:O,14,FALSE),"")</f>
        <v/>
      </c>
      <c r="K5749" s="26" t="str">
        <f>IFERROR(VLOOKUP(G5749,WholesaleExtract!B:K,10,FALSE),"")</f>
        <v/>
      </c>
      <c r="L5749" s="47" t="str">
        <f>IFERROR(VLOOKUP(G5749,WholesaleExtract!B:L,11,FALSE),"")</f>
        <v/>
      </c>
      <c r="M5749" s="47" t="str">
        <f>IFERROR(VLOOKUP(G5749,WholesaleExtract!B:M,12,FALSE),"")</f>
        <v/>
      </c>
    </row>
    <row r="5750" spans="1:13" x14ac:dyDescent="0.35">
      <c r="A5750" s="26" t="s">
        <v>543</v>
      </c>
      <c r="B5750" s="26" t="s">
        <v>543</v>
      </c>
      <c r="C5750" s="26"/>
      <c r="D5750" s="26" t="s">
        <v>543</v>
      </c>
      <c r="E5750" s="26" t="str">
        <f>IFERROR(VLOOKUP(G5750,WholesaleExtract!B:J,9,FALSE),"")</f>
        <v/>
      </c>
      <c r="F5750" s="26" t="str">
        <f>IFERROR(VLOOKUP(G5750,WholesaleExtract!B:J,6,FALSE),"")</f>
        <v/>
      </c>
      <c r="H5750" s="47" t="str">
        <f>IFERROR(VLOOKUP(G5750,WholesaleExtract!B:L,11,FALSE),"")</f>
        <v/>
      </c>
      <c r="I5750" s="26" t="str">
        <f>IFERROR(VLOOKUP(G5750,WholesaleExtract!B:O,8,FALSE),"")</f>
        <v/>
      </c>
      <c r="J5750" s="26" t="str">
        <f>IFERROR(VLOOKUP(G5750,WholesaleExtract!B:O,14,FALSE),"")</f>
        <v/>
      </c>
      <c r="K5750" s="26" t="str">
        <f>IFERROR(VLOOKUP(G5750,WholesaleExtract!B:K,10,FALSE),"")</f>
        <v/>
      </c>
      <c r="L5750" s="47" t="str">
        <f>IFERROR(VLOOKUP(G5750,WholesaleExtract!B:L,11,FALSE),"")</f>
        <v/>
      </c>
      <c r="M5750" s="47" t="str">
        <f>IFERROR(VLOOKUP(G5750,WholesaleExtract!B:M,12,FALSE),"")</f>
        <v/>
      </c>
    </row>
    <row r="5751" spans="1:13" x14ac:dyDescent="0.35">
      <c r="A5751" s="26" t="s">
        <v>543</v>
      </c>
      <c r="B5751" s="26" t="s">
        <v>543</v>
      </c>
      <c r="C5751" s="26"/>
      <c r="D5751" s="26" t="s">
        <v>543</v>
      </c>
      <c r="E5751" s="26" t="str">
        <f>IFERROR(VLOOKUP(G5751,WholesaleExtract!B:J,9,FALSE),"")</f>
        <v/>
      </c>
      <c r="F5751" s="26" t="str">
        <f>IFERROR(VLOOKUP(G5751,WholesaleExtract!B:J,6,FALSE),"")</f>
        <v/>
      </c>
      <c r="H5751" s="47" t="str">
        <f>IFERROR(VLOOKUP(G5751,WholesaleExtract!B:L,11,FALSE),"")</f>
        <v/>
      </c>
      <c r="I5751" s="26" t="str">
        <f>IFERROR(VLOOKUP(G5751,WholesaleExtract!B:O,8,FALSE),"")</f>
        <v/>
      </c>
      <c r="J5751" s="26" t="str">
        <f>IFERROR(VLOOKUP(G5751,WholesaleExtract!B:O,14,FALSE),"")</f>
        <v/>
      </c>
      <c r="K5751" s="26" t="str">
        <f>IFERROR(VLOOKUP(G5751,WholesaleExtract!B:K,10,FALSE),"")</f>
        <v/>
      </c>
      <c r="L5751" s="47" t="str">
        <f>IFERROR(VLOOKUP(G5751,WholesaleExtract!B:L,11,FALSE),"")</f>
        <v/>
      </c>
      <c r="M5751" s="47" t="str">
        <f>IFERROR(VLOOKUP(G5751,WholesaleExtract!B:M,12,FALSE),"")</f>
        <v/>
      </c>
    </row>
    <row r="5752" spans="1:13" x14ac:dyDescent="0.35">
      <c r="A5752" s="26" t="s">
        <v>543</v>
      </c>
      <c r="B5752" s="26" t="s">
        <v>543</v>
      </c>
      <c r="C5752" s="26"/>
      <c r="D5752" s="26" t="s">
        <v>543</v>
      </c>
      <c r="E5752" s="26" t="str">
        <f>IFERROR(VLOOKUP(G5752,WholesaleExtract!B:J,9,FALSE),"")</f>
        <v/>
      </c>
      <c r="F5752" s="26" t="str">
        <f>IFERROR(VLOOKUP(G5752,WholesaleExtract!B:J,6,FALSE),"")</f>
        <v/>
      </c>
      <c r="H5752" s="47" t="str">
        <f>IFERROR(VLOOKUP(G5752,WholesaleExtract!B:L,11,FALSE),"")</f>
        <v/>
      </c>
      <c r="I5752" s="26" t="str">
        <f>IFERROR(VLOOKUP(G5752,WholesaleExtract!B:O,8,FALSE),"")</f>
        <v/>
      </c>
      <c r="J5752" s="26" t="str">
        <f>IFERROR(VLOOKUP(G5752,WholesaleExtract!B:O,14,FALSE),"")</f>
        <v/>
      </c>
      <c r="K5752" s="26" t="str">
        <f>IFERROR(VLOOKUP(G5752,WholesaleExtract!B:K,10,FALSE),"")</f>
        <v/>
      </c>
      <c r="L5752" s="47" t="str">
        <f>IFERROR(VLOOKUP(G5752,WholesaleExtract!B:L,11,FALSE),"")</f>
        <v/>
      </c>
      <c r="M5752" s="47" t="str">
        <f>IFERROR(VLOOKUP(G5752,WholesaleExtract!B:M,12,FALSE),"")</f>
        <v/>
      </c>
    </row>
    <row r="5753" spans="1:13" x14ac:dyDescent="0.35">
      <c r="A5753" s="26" t="s">
        <v>543</v>
      </c>
      <c r="B5753" s="26" t="s">
        <v>543</v>
      </c>
      <c r="C5753" s="26"/>
      <c r="D5753" s="26" t="s">
        <v>543</v>
      </c>
      <c r="E5753" s="26" t="str">
        <f>IFERROR(VLOOKUP(G5753,WholesaleExtract!B:J,9,FALSE),"")</f>
        <v/>
      </c>
      <c r="F5753" s="26" t="str">
        <f>IFERROR(VLOOKUP(G5753,WholesaleExtract!B:J,6,FALSE),"")</f>
        <v/>
      </c>
      <c r="H5753" s="47" t="str">
        <f>IFERROR(VLOOKUP(G5753,WholesaleExtract!B:L,11,FALSE),"")</f>
        <v/>
      </c>
      <c r="I5753" s="26" t="str">
        <f>IFERROR(VLOOKUP(G5753,WholesaleExtract!B:O,8,FALSE),"")</f>
        <v/>
      </c>
      <c r="J5753" s="26" t="str">
        <f>IFERROR(VLOOKUP(G5753,WholesaleExtract!B:O,14,FALSE),"")</f>
        <v/>
      </c>
      <c r="K5753" s="26" t="str">
        <f>IFERROR(VLOOKUP(G5753,WholesaleExtract!B:K,10,FALSE),"")</f>
        <v/>
      </c>
      <c r="L5753" s="47" t="str">
        <f>IFERROR(VLOOKUP(G5753,WholesaleExtract!B:L,11,FALSE),"")</f>
        <v/>
      </c>
      <c r="M5753" s="47" t="str">
        <f>IFERROR(VLOOKUP(G5753,WholesaleExtract!B:M,12,FALSE),"")</f>
        <v/>
      </c>
    </row>
    <row r="5754" spans="1:13" x14ac:dyDescent="0.35">
      <c r="A5754" s="26" t="s">
        <v>543</v>
      </c>
      <c r="B5754" s="26" t="s">
        <v>543</v>
      </c>
      <c r="C5754" s="26"/>
      <c r="D5754" s="26" t="s">
        <v>543</v>
      </c>
      <c r="E5754" s="26" t="str">
        <f>IFERROR(VLOOKUP(G5754,WholesaleExtract!B:J,9,FALSE),"")</f>
        <v/>
      </c>
      <c r="F5754" s="26" t="str">
        <f>IFERROR(VLOOKUP(G5754,WholesaleExtract!B:J,6,FALSE),"")</f>
        <v/>
      </c>
      <c r="H5754" s="47" t="str">
        <f>IFERROR(VLOOKUP(G5754,WholesaleExtract!B:L,11,FALSE),"")</f>
        <v/>
      </c>
      <c r="I5754" s="26" t="str">
        <f>IFERROR(VLOOKUP(G5754,WholesaleExtract!B:O,8,FALSE),"")</f>
        <v/>
      </c>
      <c r="J5754" s="26" t="str">
        <f>IFERROR(VLOOKUP(G5754,WholesaleExtract!B:O,14,FALSE),"")</f>
        <v/>
      </c>
      <c r="K5754" s="26" t="str">
        <f>IFERROR(VLOOKUP(G5754,WholesaleExtract!B:K,10,FALSE),"")</f>
        <v/>
      </c>
      <c r="L5754" s="47" t="str">
        <f>IFERROR(VLOOKUP(G5754,WholesaleExtract!B:L,11,FALSE),"")</f>
        <v/>
      </c>
      <c r="M5754" s="47" t="str">
        <f>IFERROR(VLOOKUP(G5754,WholesaleExtract!B:M,12,FALSE),"")</f>
        <v/>
      </c>
    </row>
    <row r="5755" spans="1:13" x14ac:dyDescent="0.35">
      <c r="A5755" s="26" t="s">
        <v>543</v>
      </c>
      <c r="B5755" s="26" t="s">
        <v>543</v>
      </c>
      <c r="C5755" s="26"/>
      <c r="D5755" s="26" t="s">
        <v>543</v>
      </c>
      <c r="E5755" s="26" t="str">
        <f>IFERROR(VLOOKUP(G5755,WholesaleExtract!B:J,9,FALSE),"")</f>
        <v/>
      </c>
      <c r="F5755" s="26" t="str">
        <f>IFERROR(VLOOKUP(G5755,WholesaleExtract!B:J,6,FALSE),"")</f>
        <v/>
      </c>
      <c r="H5755" s="47" t="str">
        <f>IFERROR(VLOOKUP(G5755,WholesaleExtract!B:L,11,FALSE),"")</f>
        <v/>
      </c>
      <c r="I5755" s="26" t="str">
        <f>IFERROR(VLOOKUP(G5755,WholesaleExtract!B:O,8,FALSE),"")</f>
        <v/>
      </c>
      <c r="J5755" s="26" t="str">
        <f>IFERROR(VLOOKUP(G5755,WholesaleExtract!B:O,14,FALSE),"")</f>
        <v/>
      </c>
      <c r="K5755" s="26" t="str">
        <f>IFERROR(VLOOKUP(G5755,WholesaleExtract!B:K,10,FALSE),"")</f>
        <v/>
      </c>
      <c r="L5755" s="47" t="str">
        <f>IFERROR(VLOOKUP(G5755,WholesaleExtract!B:L,11,FALSE),"")</f>
        <v/>
      </c>
      <c r="M5755" s="47" t="str">
        <f>IFERROR(VLOOKUP(G5755,WholesaleExtract!B:M,12,FALSE),"")</f>
        <v/>
      </c>
    </row>
    <row r="5756" spans="1:13" x14ac:dyDescent="0.35">
      <c r="A5756" s="26" t="s">
        <v>543</v>
      </c>
      <c r="B5756" s="26" t="s">
        <v>543</v>
      </c>
      <c r="C5756" s="26"/>
      <c r="D5756" s="26" t="s">
        <v>543</v>
      </c>
      <c r="E5756" s="26" t="str">
        <f>IFERROR(VLOOKUP(G5756,WholesaleExtract!B:J,9,FALSE),"")</f>
        <v/>
      </c>
      <c r="F5756" s="26" t="str">
        <f>IFERROR(VLOOKUP(G5756,WholesaleExtract!B:J,6,FALSE),"")</f>
        <v/>
      </c>
      <c r="H5756" s="47" t="str">
        <f>IFERROR(VLOOKUP(G5756,WholesaleExtract!B:L,11,FALSE),"")</f>
        <v/>
      </c>
      <c r="I5756" s="26" t="str">
        <f>IFERROR(VLOOKUP(G5756,WholesaleExtract!B:O,8,FALSE),"")</f>
        <v/>
      </c>
      <c r="J5756" s="26" t="str">
        <f>IFERROR(VLOOKUP(G5756,WholesaleExtract!B:O,14,FALSE),"")</f>
        <v/>
      </c>
      <c r="K5756" s="26" t="str">
        <f>IFERROR(VLOOKUP(G5756,WholesaleExtract!B:K,10,FALSE),"")</f>
        <v/>
      </c>
      <c r="L5756" s="47" t="str">
        <f>IFERROR(VLOOKUP(G5756,WholesaleExtract!B:L,11,FALSE),"")</f>
        <v/>
      </c>
      <c r="M5756" s="47" t="str">
        <f>IFERROR(VLOOKUP(G5756,WholesaleExtract!B:M,12,FALSE),"")</f>
        <v/>
      </c>
    </row>
    <row r="5757" spans="1:13" x14ac:dyDescent="0.35">
      <c r="A5757" s="26" t="s">
        <v>543</v>
      </c>
      <c r="B5757" s="26" t="s">
        <v>543</v>
      </c>
      <c r="C5757" s="26"/>
      <c r="D5757" s="26" t="s">
        <v>543</v>
      </c>
      <c r="E5757" s="26" t="str">
        <f>IFERROR(VLOOKUP(G5757,WholesaleExtract!B:J,9,FALSE),"")</f>
        <v/>
      </c>
      <c r="F5757" s="26" t="str">
        <f>IFERROR(VLOOKUP(G5757,WholesaleExtract!B:J,6,FALSE),"")</f>
        <v/>
      </c>
      <c r="H5757" s="47" t="str">
        <f>IFERROR(VLOOKUP(G5757,WholesaleExtract!B:L,11,FALSE),"")</f>
        <v/>
      </c>
      <c r="I5757" s="26" t="str">
        <f>IFERROR(VLOOKUP(G5757,WholesaleExtract!B:O,8,FALSE),"")</f>
        <v/>
      </c>
      <c r="J5757" s="26" t="str">
        <f>IFERROR(VLOOKUP(G5757,WholesaleExtract!B:O,14,FALSE),"")</f>
        <v/>
      </c>
      <c r="K5757" s="26" t="str">
        <f>IFERROR(VLOOKUP(G5757,WholesaleExtract!B:K,10,FALSE),"")</f>
        <v/>
      </c>
      <c r="L5757" s="47" t="str">
        <f>IFERROR(VLOOKUP(G5757,WholesaleExtract!B:L,11,FALSE),"")</f>
        <v/>
      </c>
      <c r="M5757" s="47" t="str">
        <f>IFERROR(VLOOKUP(G5757,WholesaleExtract!B:M,12,FALSE),"")</f>
        <v/>
      </c>
    </row>
    <row r="5758" spans="1:13" x14ac:dyDescent="0.35">
      <c r="A5758" s="26" t="s">
        <v>543</v>
      </c>
      <c r="B5758" s="26" t="s">
        <v>543</v>
      </c>
      <c r="C5758" s="26"/>
      <c r="D5758" s="26" t="s">
        <v>543</v>
      </c>
      <c r="E5758" s="26" t="str">
        <f>IFERROR(VLOOKUP(G5758,WholesaleExtract!B:J,9,FALSE),"")</f>
        <v/>
      </c>
      <c r="F5758" s="26" t="str">
        <f>IFERROR(VLOOKUP(G5758,WholesaleExtract!B:J,6,FALSE),"")</f>
        <v/>
      </c>
      <c r="H5758" s="47" t="str">
        <f>IFERROR(VLOOKUP(G5758,WholesaleExtract!B:L,11,FALSE),"")</f>
        <v/>
      </c>
      <c r="I5758" s="26" t="str">
        <f>IFERROR(VLOOKUP(G5758,WholesaleExtract!B:O,8,FALSE),"")</f>
        <v/>
      </c>
      <c r="J5758" s="26" t="str">
        <f>IFERROR(VLOOKUP(G5758,WholesaleExtract!B:O,14,FALSE),"")</f>
        <v/>
      </c>
      <c r="K5758" s="26" t="str">
        <f>IFERROR(VLOOKUP(G5758,WholesaleExtract!B:K,10,FALSE),"")</f>
        <v/>
      </c>
      <c r="L5758" s="47" t="str">
        <f>IFERROR(VLOOKUP(G5758,WholesaleExtract!B:L,11,FALSE),"")</f>
        <v/>
      </c>
      <c r="M5758" s="47" t="str">
        <f>IFERROR(VLOOKUP(G5758,WholesaleExtract!B:M,12,FALSE),"")</f>
        <v/>
      </c>
    </row>
    <row r="5759" spans="1:13" x14ac:dyDescent="0.35">
      <c r="A5759" s="26" t="s">
        <v>543</v>
      </c>
      <c r="B5759" s="26" t="s">
        <v>543</v>
      </c>
      <c r="C5759" s="26"/>
      <c r="D5759" s="26" t="s">
        <v>543</v>
      </c>
      <c r="E5759" s="26" t="str">
        <f>IFERROR(VLOOKUP(G5759,WholesaleExtract!B:J,9,FALSE),"")</f>
        <v/>
      </c>
      <c r="F5759" s="26" t="str">
        <f>IFERROR(VLOOKUP(G5759,WholesaleExtract!B:J,6,FALSE),"")</f>
        <v/>
      </c>
      <c r="H5759" s="47" t="str">
        <f>IFERROR(VLOOKUP(G5759,WholesaleExtract!B:L,11,FALSE),"")</f>
        <v/>
      </c>
      <c r="I5759" s="26" t="str">
        <f>IFERROR(VLOOKUP(G5759,WholesaleExtract!B:O,8,FALSE),"")</f>
        <v/>
      </c>
      <c r="J5759" s="26" t="str">
        <f>IFERROR(VLOOKUP(G5759,WholesaleExtract!B:O,14,FALSE),"")</f>
        <v/>
      </c>
      <c r="K5759" s="26" t="str">
        <f>IFERROR(VLOOKUP(G5759,WholesaleExtract!B:K,10,FALSE),"")</f>
        <v/>
      </c>
      <c r="L5759" s="47" t="str">
        <f>IFERROR(VLOOKUP(G5759,WholesaleExtract!B:L,11,FALSE),"")</f>
        <v/>
      </c>
      <c r="M5759" s="47" t="str">
        <f>IFERROR(VLOOKUP(G5759,WholesaleExtract!B:M,12,FALSE),"")</f>
        <v/>
      </c>
    </row>
    <row r="5760" spans="1:13" x14ac:dyDescent="0.35">
      <c r="A5760" s="26" t="s">
        <v>543</v>
      </c>
      <c r="B5760" s="26" t="s">
        <v>543</v>
      </c>
      <c r="C5760" s="26"/>
      <c r="D5760" s="26" t="s">
        <v>543</v>
      </c>
      <c r="E5760" s="26" t="str">
        <f>IFERROR(VLOOKUP(G5760,WholesaleExtract!B:J,9,FALSE),"")</f>
        <v/>
      </c>
      <c r="F5760" s="26" t="str">
        <f>IFERROR(VLOOKUP(G5760,WholesaleExtract!B:J,6,FALSE),"")</f>
        <v/>
      </c>
      <c r="H5760" s="47" t="str">
        <f>IFERROR(VLOOKUP(G5760,WholesaleExtract!B:L,11,FALSE),"")</f>
        <v/>
      </c>
      <c r="I5760" s="26" t="str">
        <f>IFERROR(VLOOKUP(G5760,WholesaleExtract!B:O,8,FALSE),"")</f>
        <v/>
      </c>
      <c r="J5760" s="26" t="str">
        <f>IFERROR(VLOOKUP(G5760,WholesaleExtract!B:O,14,FALSE),"")</f>
        <v/>
      </c>
      <c r="K5760" s="26" t="str">
        <f>IFERROR(VLOOKUP(G5760,WholesaleExtract!B:K,10,FALSE),"")</f>
        <v/>
      </c>
      <c r="L5760" s="47" t="str">
        <f>IFERROR(VLOOKUP(G5760,WholesaleExtract!B:L,11,FALSE),"")</f>
        <v/>
      </c>
      <c r="M5760" s="47" t="str">
        <f>IFERROR(VLOOKUP(G5760,WholesaleExtract!B:M,12,FALSE),"")</f>
        <v/>
      </c>
    </row>
    <row r="5761" spans="1:13" x14ac:dyDescent="0.35">
      <c r="A5761" s="26" t="s">
        <v>543</v>
      </c>
      <c r="B5761" s="26" t="s">
        <v>543</v>
      </c>
      <c r="C5761" s="26"/>
      <c r="D5761" s="26" t="s">
        <v>543</v>
      </c>
      <c r="E5761" s="26" t="str">
        <f>IFERROR(VLOOKUP(G5761,WholesaleExtract!B:J,9,FALSE),"")</f>
        <v/>
      </c>
      <c r="F5761" s="26" t="str">
        <f>IFERROR(VLOOKUP(G5761,WholesaleExtract!B:J,6,FALSE),"")</f>
        <v/>
      </c>
      <c r="H5761" s="47" t="str">
        <f>IFERROR(VLOOKUP(G5761,WholesaleExtract!B:L,11,FALSE),"")</f>
        <v/>
      </c>
      <c r="I5761" s="26" t="str">
        <f>IFERROR(VLOOKUP(G5761,WholesaleExtract!B:O,8,FALSE),"")</f>
        <v/>
      </c>
      <c r="J5761" s="26" t="str">
        <f>IFERROR(VLOOKUP(G5761,WholesaleExtract!B:O,14,FALSE),"")</f>
        <v/>
      </c>
      <c r="K5761" s="26" t="str">
        <f>IFERROR(VLOOKUP(G5761,WholesaleExtract!B:K,10,FALSE),"")</f>
        <v/>
      </c>
      <c r="L5761" s="47" t="str">
        <f>IFERROR(VLOOKUP(G5761,WholesaleExtract!B:L,11,FALSE),"")</f>
        <v/>
      </c>
      <c r="M5761" s="47" t="str">
        <f>IFERROR(VLOOKUP(G5761,WholesaleExtract!B:M,12,FALSE),"")</f>
        <v/>
      </c>
    </row>
    <row r="5762" spans="1:13" x14ac:dyDescent="0.35">
      <c r="A5762" s="26" t="s">
        <v>543</v>
      </c>
      <c r="B5762" s="26" t="s">
        <v>543</v>
      </c>
      <c r="C5762" s="26"/>
      <c r="D5762" s="26" t="s">
        <v>543</v>
      </c>
      <c r="E5762" s="26" t="str">
        <f>IFERROR(VLOOKUP(G5762,WholesaleExtract!B:J,9,FALSE),"")</f>
        <v/>
      </c>
      <c r="F5762" s="26" t="str">
        <f>IFERROR(VLOOKUP(G5762,WholesaleExtract!B:J,6,FALSE),"")</f>
        <v/>
      </c>
      <c r="H5762" s="47" t="str">
        <f>IFERROR(VLOOKUP(G5762,WholesaleExtract!B:L,11,FALSE),"")</f>
        <v/>
      </c>
      <c r="I5762" s="26" t="str">
        <f>IFERROR(VLOOKUP(G5762,WholesaleExtract!B:O,8,FALSE),"")</f>
        <v/>
      </c>
      <c r="J5762" s="26" t="str">
        <f>IFERROR(VLOOKUP(G5762,WholesaleExtract!B:O,14,FALSE),"")</f>
        <v/>
      </c>
      <c r="K5762" s="26" t="str">
        <f>IFERROR(VLOOKUP(G5762,WholesaleExtract!B:K,10,FALSE),"")</f>
        <v/>
      </c>
      <c r="L5762" s="47" t="str">
        <f>IFERROR(VLOOKUP(G5762,WholesaleExtract!B:L,11,FALSE),"")</f>
        <v/>
      </c>
      <c r="M5762" s="47" t="str">
        <f>IFERROR(VLOOKUP(G5762,WholesaleExtract!B:M,12,FALSE),"")</f>
        <v/>
      </c>
    </row>
    <row r="5763" spans="1:13" x14ac:dyDescent="0.35">
      <c r="A5763" s="26" t="s">
        <v>543</v>
      </c>
      <c r="B5763" s="26" t="s">
        <v>543</v>
      </c>
      <c r="C5763" s="26"/>
      <c r="D5763" s="26" t="s">
        <v>543</v>
      </c>
      <c r="E5763" s="26" t="str">
        <f>IFERROR(VLOOKUP(G5763,WholesaleExtract!B:J,9,FALSE),"")</f>
        <v/>
      </c>
      <c r="F5763" s="26" t="str">
        <f>IFERROR(VLOOKUP(G5763,WholesaleExtract!B:J,6,FALSE),"")</f>
        <v/>
      </c>
      <c r="H5763" s="47" t="str">
        <f>IFERROR(VLOOKUP(G5763,WholesaleExtract!B:L,11,FALSE),"")</f>
        <v/>
      </c>
      <c r="I5763" s="26" t="str">
        <f>IFERROR(VLOOKUP(G5763,WholesaleExtract!B:O,8,FALSE),"")</f>
        <v/>
      </c>
      <c r="J5763" s="26" t="str">
        <f>IFERROR(VLOOKUP(G5763,WholesaleExtract!B:O,14,FALSE),"")</f>
        <v/>
      </c>
      <c r="K5763" s="26" t="str">
        <f>IFERROR(VLOOKUP(G5763,WholesaleExtract!B:K,10,FALSE),"")</f>
        <v/>
      </c>
      <c r="L5763" s="47" t="str">
        <f>IFERROR(VLOOKUP(G5763,WholesaleExtract!B:L,11,FALSE),"")</f>
        <v/>
      </c>
      <c r="M5763" s="47" t="str">
        <f>IFERROR(VLOOKUP(G5763,WholesaleExtract!B:M,12,FALSE),"")</f>
        <v/>
      </c>
    </row>
    <row r="5764" spans="1:13" x14ac:dyDescent="0.35">
      <c r="A5764" s="26" t="s">
        <v>543</v>
      </c>
      <c r="B5764" s="26" t="s">
        <v>543</v>
      </c>
      <c r="C5764" s="26"/>
      <c r="D5764" s="26" t="s">
        <v>543</v>
      </c>
      <c r="E5764" s="26" t="str">
        <f>IFERROR(VLOOKUP(G5764,WholesaleExtract!B:J,9,FALSE),"")</f>
        <v/>
      </c>
      <c r="F5764" s="26" t="str">
        <f>IFERROR(VLOOKUP(G5764,WholesaleExtract!B:J,6,FALSE),"")</f>
        <v/>
      </c>
      <c r="H5764" s="47" t="str">
        <f>IFERROR(VLOOKUP(G5764,WholesaleExtract!B:L,11,FALSE),"")</f>
        <v/>
      </c>
      <c r="I5764" s="26" t="str">
        <f>IFERROR(VLOOKUP(G5764,WholesaleExtract!B:O,8,FALSE),"")</f>
        <v/>
      </c>
      <c r="J5764" s="26" t="str">
        <f>IFERROR(VLOOKUP(G5764,WholesaleExtract!B:O,14,FALSE),"")</f>
        <v/>
      </c>
      <c r="K5764" s="26" t="str">
        <f>IFERROR(VLOOKUP(G5764,WholesaleExtract!B:K,10,FALSE),"")</f>
        <v/>
      </c>
      <c r="L5764" s="47" t="str">
        <f>IFERROR(VLOOKUP(G5764,WholesaleExtract!B:L,11,FALSE),"")</f>
        <v/>
      </c>
      <c r="M5764" s="47" t="str">
        <f>IFERROR(VLOOKUP(G5764,WholesaleExtract!B:M,12,FALSE),"")</f>
        <v/>
      </c>
    </row>
    <row r="5765" spans="1:13" x14ac:dyDescent="0.35">
      <c r="A5765" s="26" t="s">
        <v>543</v>
      </c>
      <c r="B5765" s="26" t="s">
        <v>543</v>
      </c>
      <c r="C5765" s="26"/>
      <c r="D5765" s="26" t="s">
        <v>543</v>
      </c>
      <c r="E5765" s="26" t="str">
        <f>IFERROR(VLOOKUP(G5765,WholesaleExtract!B:J,9,FALSE),"")</f>
        <v/>
      </c>
      <c r="F5765" s="26" t="str">
        <f>IFERROR(VLOOKUP(G5765,WholesaleExtract!B:J,6,FALSE),"")</f>
        <v/>
      </c>
      <c r="H5765" s="47" t="str">
        <f>IFERROR(VLOOKUP(G5765,WholesaleExtract!B:L,11,FALSE),"")</f>
        <v/>
      </c>
      <c r="I5765" s="26" t="str">
        <f>IFERROR(VLOOKUP(G5765,WholesaleExtract!B:O,8,FALSE),"")</f>
        <v/>
      </c>
      <c r="J5765" s="26" t="str">
        <f>IFERROR(VLOOKUP(G5765,WholesaleExtract!B:O,14,FALSE),"")</f>
        <v/>
      </c>
      <c r="K5765" s="26" t="str">
        <f>IFERROR(VLOOKUP(G5765,WholesaleExtract!B:K,10,FALSE),"")</f>
        <v/>
      </c>
      <c r="L5765" s="47" t="str">
        <f>IFERROR(VLOOKUP(G5765,WholesaleExtract!B:L,11,FALSE),"")</f>
        <v/>
      </c>
      <c r="M5765" s="47" t="str">
        <f>IFERROR(VLOOKUP(G5765,WholesaleExtract!B:M,12,FALSE),"")</f>
        <v/>
      </c>
    </row>
    <row r="5766" spans="1:13" x14ac:dyDescent="0.35">
      <c r="A5766" s="26" t="s">
        <v>543</v>
      </c>
      <c r="B5766" s="26" t="s">
        <v>543</v>
      </c>
      <c r="C5766" s="26"/>
      <c r="D5766" s="26" t="s">
        <v>543</v>
      </c>
      <c r="E5766" s="26" t="str">
        <f>IFERROR(VLOOKUP(G5766,WholesaleExtract!B:J,9,FALSE),"")</f>
        <v/>
      </c>
      <c r="F5766" s="26" t="str">
        <f>IFERROR(VLOOKUP(G5766,WholesaleExtract!B:J,6,FALSE),"")</f>
        <v/>
      </c>
      <c r="H5766" s="47" t="str">
        <f>IFERROR(VLOOKUP(G5766,WholesaleExtract!B:L,11,FALSE),"")</f>
        <v/>
      </c>
      <c r="I5766" s="26" t="str">
        <f>IFERROR(VLOOKUP(G5766,WholesaleExtract!B:O,8,FALSE),"")</f>
        <v/>
      </c>
      <c r="J5766" s="26" t="str">
        <f>IFERROR(VLOOKUP(G5766,WholesaleExtract!B:O,14,FALSE),"")</f>
        <v/>
      </c>
      <c r="K5766" s="26" t="str">
        <f>IFERROR(VLOOKUP(G5766,WholesaleExtract!B:K,10,FALSE),"")</f>
        <v/>
      </c>
      <c r="L5766" s="47" t="str">
        <f>IFERROR(VLOOKUP(G5766,WholesaleExtract!B:L,11,FALSE),"")</f>
        <v/>
      </c>
      <c r="M5766" s="47" t="str">
        <f>IFERROR(VLOOKUP(G5766,WholesaleExtract!B:M,12,FALSE),"")</f>
        <v/>
      </c>
    </row>
    <row r="5767" spans="1:13" x14ac:dyDescent="0.35">
      <c r="A5767" s="26" t="s">
        <v>543</v>
      </c>
      <c r="B5767" s="26" t="s">
        <v>543</v>
      </c>
      <c r="C5767" s="26"/>
      <c r="D5767" s="26" t="s">
        <v>543</v>
      </c>
      <c r="E5767" s="26" t="str">
        <f>IFERROR(VLOOKUP(G5767,WholesaleExtract!B:J,9,FALSE),"")</f>
        <v/>
      </c>
      <c r="F5767" s="26" t="str">
        <f>IFERROR(VLOOKUP(G5767,WholesaleExtract!B:J,6,FALSE),"")</f>
        <v/>
      </c>
      <c r="H5767" s="47" t="str">
        <f>IFERROR(VLOOKUP(G5767,WholesaleExtract!B:L,11,FALSE),"")</f>
        <v/>
      </c>
      <c r="I5767" s="26" t="str">
        <f>IFERROR(VLOOKUP(G5767,WholesaleExtract!B:O,8,FALSE),"")</f>
        <v/>
      </c>
      <c r="J5767" s="26" t="str">
        <f>IFERROR(VLOOKUP(G5767,WholesaleExtract!B:O,14,FALSE),"")</f>
        <v/>
      </c>
      <c r="K5767" s="26" t="str">
        <f>IFERROR(VLOOKUP(G5767,WholesaleExtract!B:K,10,FALSE),"")</f>
        <v/>
      </c>
      <c r="L5767" s="47" t="str">
        <f>IFERROR(VLOOKUP(G5767,WholesaleExtract!B:L,11,FALSE),"")</f>
        <v/>
      </c>
      <c r="M5767" s="47" t="str">
        <f>IFERROR(VLOOKUP(G5767,WholesaleExtract!B:M,12,FALSE),"")</f>
        <v/>
      </c>
    </row>
    <row r="5768" spans="1:13" x14ac:dyDescent="0.35">
      <c r="A5768" s="26" t="s">
        <v>543</v>
      </c>
      <c r="B5768" s="26" t="s">
        <v>543</v>
      </c>
      <c r="C5768" s="26"/>
      <c r="D5768" s="26" t="s">
        <v>543</v>
      </c>
      <c r="E5768" s="26" t="str">
        <f>IFERROR(VLOOKUP(G5768,WholesaleExtract!B:J,9,FALSE),"")</f>
        <v/>
      </c>
      <c r="F5768" s="26" t="str">
        <f>IFERROR(VLOOKUP(G5768,WholesaleExtract!B:J,6,FALSE),"")</f>
        <v/>
      </c>
      <c r="H5768" s="47" t="str">
        <f>IFERROR(VLOOKUP(G5768,WholesaleExtract!B:L,11,FALSE),"")</f>
        <v/>
      </c>
      <c r="I5768" s="26" t="str">
        <f>IFERROR(VLOOKUP(G5768,WholesaleExtract!B:O,8,FALSE),"")</f>
        <v/>
      </c>
      <c r="J5768" s="26" t="str">
        <f>IFERROR(VLOOKUP(G5768,WholesaleExtract!B:O,14,FALSE),"")</f>
        <v/>
      </c>
      <c r="K5768" s="26" t="str">
        <f>IFERROR(VLOOKUP(G5768,WholesaleExtract!B:K,10,FALSE),"")</f>
        <v/>
      </c>
      <c r="L5768" s="47" t="str">
        <f>IFERROR(VLOOKUP(G5768,WholesaleExtract!B:L,11,FALSE),"")</f>
        <v/>
      </c>
      <c r="M5768" s="47" t="str">
        <f>IFERROR(VLOOKUP(G5768,WholesaleExtract!B:M,12,FALSE),"")</f>
        <v/>
      </c>
    </row>
    <row r="5769" spans="1:13" x14ac:dyDescent="0.35">
      <c r="A5769" s="26" t="s">
        <v>543</v>
      </c>
      <c r="B5769" s="26" t="s">
        <v>543</v>
      </c>
      <c r="C5769" s="26"/>
      <c r="D5769" s="26" t="s">
        <v>543</v>
      </c>
      <c r="E5769" s="26" t="str">
        <f>IFERROR(VLOOKUP(G5769,WholesaleExtract!B:J,9,FALSE),"")</f>
        <v/>
      </c>
      <c r="F5769" s="26" t="str">
        <f>IFERROR(VLOOKUP(G5769,WholesaleExtract!B:J,6,FALSE),"")</f>
        <v/>
      </c>
      <c r="H5769" s="47" t="str">
        <f>IFERROR(VLOOKUP(G5769,WholesaleExtract!B:L,11,FALSE),"")</f>
        <v/>
      </c>
      <c r="I5769" s="26" t="str">
        <f>IFERROR(VLOOKUP(G5769,WholesaleExtract!B:O,8,FALSE),"")</f>
        <v/>
      </c>
      <c r="J5769" s="26" t="str">
        <f>IFERROR(VLOOKUP(G5769,WholesaleExtract!B:O,14,FALSE),"")</f>
        <v/>
      </c>
      <c r="K5769" s="26" t="str">
        <f>IFERROR(VLOOKUP(G5769,WholesaleExtract!B:K,10,FALSE),"")</f>
        <v/>
      </c>
      <c r="L5769" s="47" t="str">
        <f>IFERROR(VLOOKUP(G5769,WholesaleExtract!B:L,11,FALSE),"")</f>
        <v/>
      </c>
      <c r="M5769" s="47" t="str">
        <f>IFERROR(VLOOKUP(G5769,WholesaleExtract!B:M,12,FALSE),"")</f>
        <v/>
      </c>
    </row>
    <row r="5770" spans="1:13" x14ac:dyDescent="0.35">
      <c r="A5770" s="26" t="s">
        <v>543</v>
      </c>
      <c r="B5770" s="26" t="s">
        <v>543</v>
      </c>
      <c r="C5770" s="26"/>
      <c r="D5770" s="26" t="s">
        <v>543</v>
      </c>
      <c r="E5770" s="26" t="str">
        <f>IFERROR(VLOOKUP(G5770,WholesaleExtract!B:J,9,FALSE),"")</f>
        <v/>
      </c>
      <c r="F5770" s="26" t="str">
        <f>IFERROR(VLOOKUP(G5770,WholesaleExtract!B:J,6,FALSE),"")</f>
        <v/>
      </c>
      <c r="H5770" s="47" t="str">
        <f>IFERROR(VLOOKUP(G5770,WholesaleExtract!B:L,11,FALSE),"")</f>
        <v/>
      </c>
      <c r="I5770" s="26" t="str">
        <f>IFERROR(VLOOKUP(G5770,WholesaleExtract!B:O,8,FALSE),"")</f>
        <v/>
      </c>
      <c r="J5770" s="26" t="str">
        <f>IFERROR(VLOOKUP(G5770,WholesaleExtract!B:O,14,FALSE),"")</f>
        <v/>
      </c>
      <c r="K5770" s="26" t="str">
        <f>IFERROR(VLOOKUP(G5770,WholesaleExtract!B:K,10,FALSE),"")</f>
        <v/>
      </c>
      <c r="L5770" s="47" t="str">
        <f>IFERROR(VLOOKUP(G5770,WholesaleExtract!B:L,11,FALSE),"")</f>
        <v/>
      </c>
      <c r="M5770" s="47" t="str">
        <f>IFERROR(VLOOKUP(G5770,WholesaleExtract!B:M,12,FALSE),"")</f>
        <v/>
      </c>
    </row>
    <row r="5771" spans="1:13" x14ac:dyDescent="0.35">
      <c r="A5771" s="26" t="s">
        <v>543</v>
      </c>
      <c r="B5771" s="26" t="s">
        <v>543</v>
      </c>
      <c r="C5771" s="26"/>
      <c r="D5771" s="26" t="s">
        <v>543</v>
      </c>
      <c r="E5771" s="26" t="str">
        <f>IFERROR(VLOOKUP(G5771,WholesaleExtract!B:J,9,FALSE),"")</f>
        <v/>
      </c>
      <c r="F5771" s="26" t="str">
        <f>IFERROR(VLOOKUP(G5771,WholesaleExtract!B:J,6,FALSE),"")</f>
        <v/>
      </c>
      <c r="H5771" s="47" t="str">
        <f>IFERROR(VLOOKUP(G5771,WholesaleExtract!B:L,11,FALSE),"")</f>
        <v/>
      </c>
      <c r="I5771" s="26" t="str">
        <f>IFERROR(VLOOKUP(G5771,WholesaleExtract!B:O,8,FALSE),"")</f>
        <v/>
      </c>
      <c r="J5771" s="26" t="str">
        <f>IFERROR(VLOOKUP(G5771,WholesaleExtract!B:O,14,FALSE),"")</f>
        <v/>
      </c>
      <c r="K5771" s="26" t="str">
        <f>IFERROR(VLOOKUP(G5771,WholesaleExtract!B:K,10,FALSE),"")</f>
        <v/>
      </c>
      <c r="L5771" s="47" t="str">
        <f>IFERROR(VLOOKUP(G5771,WholesaleExtract!B:L,11,FALSE),"")</f>
        <v/>
      </c>
      <c r="M5771" s="47" t="str">
        <f>IFERROR(VLOOKUP(G5771,WholesaleExtract!B:M,12,FALSE),"")</f>
        <v/>
      </c>
    </row>
    <row r="5772" spans="1:13" x14ac:dyDescent="0.35">
      <c r="A5772" s="26" t="s">
        <v>543</v>
      </c>
      <c r="B5772" s="26" t="s">
        <v>543</v>
      </c>
      <c r="C5772" s="26"/>
      <c r="D5772" s="26" t="s">
        <v>543</v>
      </c>
      <c r="E5772" s="26" t="str">
        <f>IFERROR(VLOOKUP(G5772,WholesaleExtract!B:J,9,FALSE),"")</f>
        <v/>
      </c>
      <c r="F5772" s="26" t="str">
        <f>IFERROR(VLOOKUP(G5772,WholesaleExtract!B:J,6,FALSE),"")</f>
        <v/>
      </c>
      <c r="H5772" s="47" t="str">
        <f>IFERROR(VLOOKUP(G5772,WholesaleExtract!B:L,11,FALSE),"")</f>
        <v/>
      </c>
      <c r="I5772" s="26" t="str">
        <f>IFERROR(VLOOKUP(G5772,WholesaleExtract!B:O,8,FALSE),"")</f>
        <v/>
      </c>
      <c r="J5772" s="26" t="str">
        <f>IFERROR(VLOOKUP(G5772,WholesaleExtract!B:O,14,FALSE),"")</f>
        <v/>
      </c>
      <c r="K5772" s="26" t="str">
        <f>IFERROR(VLOOKUP(G5772,WholesaleExtract!B:K,10,FALSE),"")</f>
        <v/>
      </c>
      <c r="L5772" s="47" t="str">
        <f>IFERROR(VLOOKUP(G5772,WholesaleExtract!B:L,11,FALSE),"")</f>
        <v/>
      </c>
      <c r="M5772" s="47" t="str">
        <f>IFERROR(VLOOKUP(G5772,WholesaleExtract!B:M,12,FALSE),"")</f>
        <v/>
      </c>
    </row>
    <row r="5773" spans="1:13" x14ac:dyDescent="0.35">
      <c r="A5773" s="26" t="s">
        <v>543</v>
      </c>
      <c r="B5773" s="26" t="s">
        <v>543</v>
      </c>
      <c r="C5773" s="26"/>
      <c r="D5773" s="26" t="s">
        <v>543</v>
      </c>
      <c r="E5773" s="26" t="str">
        <f>IFERROR(VLOOKUP(G5773,WholesaleExtract!B:J,9,FALSE),"")</f>
        <v/>
      </c>
      <c r="F5773" s="26" t="str">
        <f>IFERROR(VLOOKUP(G5773,WholesaleExtract!B:J,6,FALSE),"")</f>
        <v/>
      </c>
      <c r="H5773" s="47" t="str">
        <f>IFERROR(VLOOKUP(G5773,WholesaleExtract!B:L,11,FALSE),"")</f>
        <v/>
      </c>
      <c r="I5773" s="26" t="str">
        <f>IFERROR(VLOOKUP(G5773,WholesaleExtract!B:O,8,FALSE),"")</f>
        <v/>
      </c>
      <c r="J5773" s="26" t="str">
        <f>IFERROR(VLOOKUP(G5773,WholesaleExtract!B:O,14,FALSE),"")</f>
        <v/>
      </c>
      <c r="K5773" s="26" t="str">
        <f>IFERROR(VLOOKUP(G5773,WholesaleExtract!B:K,10,FALSE),"")</f>
        <v/>
      </c>
      <c r="L5773" s="47" t="str">
        <f>IFERROR(VLOOKUP(G5773,WholesaleExtract!B:L,11,FALSE),"")</f>
        <v/>
      </c>
      <c r="M5773" s="47" t="str">
        <f>IFERROR(VLOOKUP(G5773,WholesaleExtract!B:M,12,FALSE),"")</f>
        <v/>
      </c>
    </row>
    <row r="5774" spans="1:13" x14ac:dyDescent="0.35">
      <c r="A5774" s="26" t="s">
        <v>543</v>
      </c>
      <c r="B5774" s="26" t="s">
        <v>543</v>
      </c>
      <c r="C5774" s="26"/>
      <c r="D5774" s="26" t="s">
        <v>543</v>
      </c>
      <c r="E5774" s="26" t="str">
        <f>IFERROR(VLOOKUP(G5774,WholesaleExtract!B:J,9,FALSE),"")</f>
        <v/>
      </c>
      <c r="F5774" s="26" t="str">
        <f>IFERROR(VLOOKUP(G5774,WholesaleExtract!B:J,6,FALSE),"")</f>
        <v/>
      </c>
      <c r="H5774" s="47" t="str">
        <f>IFERROR(VLOOKUP(G5774,WholesaleExtract!B:L,11,FALSE),"")</f>
        <v/>
      </c>
      <c r="I5774" s="26" t="str">
        <f>IFERROR(VLOOKUP(G5774,WholesaleExtract!B:O,8,FALSE),"")</f>
        <v/>
      </c>
      <c r="J5774" s="26" t="str">
        <f>IFERROR(VLOOKUP(G5774,WholesaleExtract!B:O,14,FALSE),"")</f>
        <v/>
      </c>
      <c r="K5774" s="26" t="str">
        <f>IFERROR(VLOOKUP(G5774,WholesaleExtract!B:K,10,FALSE),"")</f>
        <v/>
      </c>
      <c r="L5774" s="47" t="str">
        <f>IFERROR(VLOOKUP(G5774,WholesaleExtract!B:L,11,FALSE),"")</f>
        <v/>
      </c>
      <c r="M5774" s="47" t="str">
        <f>IFERROR(VLOOKUP(G5774,WholesaleExtract!B:M,12,FALSE),"")</f>
        <v/>
      </c>
    </row>
    <row r="5775" spans="1:13" x14ac:dyDescent="0.35">
      <c r="A5775" s="26" t="s">
        <v>543</v>
      </c>
      <c r="B5775" s="26" t="s">
        <v>543</v>
      </c>
      <c r="C5775" s="26"/>
      <c r="D5775" s="26" t="s">
        <v>543</v>
      </c>
      <c r="E5775" s="26" t="str">
        <f>IFERROR(VLOOKUP(G5775,WholesaleExtract!B:J,9,FALSE),"")</f>
        <v/>
      </c>
      <c r="F5775" s="26" t="str">
        <f>IFERROR(VLOOKUP(G5775,WholesaleExtract!B:J,6,FALSE),"")</f>
        <v/>
      </c>
      <c r="H5775" s="47" t="str">
        <f>IFERROR(VLOOKUP(G5775,WholesaleExtract!B:L,11,FALSE),"")</f>
        <v/>
      </c>
      <c r="I5775" s="26" t="str">
        <f>IFERROR(VLOOKUP(G5775,WholesaleExtract!B:O,8,FALSE),"")</f>
        <v/>
      </c>
      <c r="J5775" s="26" t="str">
        <f>IFERROR(VLOOKUP(G5775,WholesaleExtract!B:O,14,FALSE),"")</f>
        <v/>
      </c>
      <c r="K5775" s="26" t="str">
        <f>IFERROR(VLOOKUP(G5775,WholesaleExtract!B:K,10,FALSE),"")</f>
        <v/>
      </c>
      <c r="L5775" s="47" t="str">
        <f>IFERROR(VLOOKUP(G5775,WholesaleExtract!B:L,11,FALSE),"")</f>
        <v/>
      </c>
      <c r="M5775" s="47" t="str">
        <f>IFERROR(VLOOKUP(G5775,WholesaleExtract!B:M,12,FALSE),"")</f>
        <v/>
      </c>
    </row>
    <row r="5776" spans="1:13" x14ac:dyDescent="0.35">
      <c r="A5776" s="26" t="s">
        <v>543</v>
      </c>
      <c r="B5776" s="26" t="s">
        <v>543</v>
      </c>
      <c r="C5776" s="26"/>
      <c r="D5776" s="26" t="s">
        <v>543</v>
      </c>
      <c r="E5776" s="26" t="str">
        <f>IFERROR(VLOOKUP(G5776,WholesaleExtract!B:J,9,FALSE),"")</f>
        <v/>
      </c>
      <c r="F5776" s="26" t="str">
        <f>IFERROR(VLOOKUP(G5776,WholesaleExtract!B:J,6,FALSE),"")</f>
        <v/>
      </c>
      <c r="H5776" s="47" t="str">
        <f>IFERROR(VLOOKUP(G5776,WholesaleExtract!B:L,11,FALSE),"")</f>
        <v/>
      </c>
      <c r="I5776" s="26" t="str">
        <f>IFERROR(VLOOKUP(G5776,WholesaleExtract!B:O,8,FALSE),"")</f>
        <v/>
      </c>
      <c r="J5776" s="26" t="str">
        <f>IFERROR(VLOOKUP(G5776,WholesaleExtract!B:O,14,FALSE),"")</f>
        <v/>
      </c>
      <c r="K5776" s="26" t="str">
        <f>IFERROR(VLOOKUP(G5776,WholesaleExtract!B:K,10,FALSE),"")</f>
        <v/>
      </c>
      <c r="L5776" s="47" t="str">
        <f>IFERROR(VLOOKUP(G5776,WholesaleExtract!B:L,11,FALSE),"")</f>
        <v/>
      </c>
      <c r="M5776" s="47" t="str">
        <f>IFERROR(VLOOKUP(G5776,WholesaleExtract!B:M,12,FALSE),"")</f>
        <v/>
      </c>
    </row>
    <row r="5777" spans="1:13" x14ac:dyDescent="0.35">
      <c r="A5777" s="26" t="s">
        <v>543</v>
      </c>
      <c r="B5777" s="26" t="s">
        <v>543</v>
      </c>
      <c r="C5777" s="26"/>
      <c r="D5777" s="26" t="s">
        <v>543</v>
      </c>
      <c r="E5777" s="26" t="str">
        <f>IFERROR(VLOOKUP(G5777,WholesaleExtract!B:J,9,FALSE),"")</f>
        <v/>
      </c>
      <c r="F5777" s="26" t="str">
        <f>IFERROR(VLOOKUP(G5777,WholesaleExtract!B:J,6,FALSE),"")</f>
        <v/>
      </c>
      <c r="H5777" s="47" t="str">
        <f>IFERROR(VLOOKUP(G5777,WholesaleExtract!B:L,11,FALSE),"")</f>
        <v/>
      </c>
      <c r="I5777" s="26" t="str">
        <f>IFERROR(VLOOKUP(G5777,WholesaleExtract!B:O,8,FALSE),"")</f>
        <v/>
      </c>
      <c r="J5777" s="26" t="str">
        <f>IFERROR(VLOOKUP(G5777,WholesaleExtract!B:O,14,FALSE),"")</f>
        <v/>
      </c>
      <c r="K5777" s="26" t="str">
        <f>IFERROR(VLOOKUP(G5777,WholesaleExtract!B:K,10,FALSE),"")</f>
        <v/>
      </c>
      <c r="L5777" s="47" t="str">
        <f>IFERROR(VLOOKUP(G5777,WholesaleExtract!B:L,11,FALSE),"")</f>
        <v/>
      </c>
      <c r="M5777" s="47" t="str">
        <f>IFERROR(VLOOKUP(G5777,WholesaleExtract!B:M,12,FALSE),"")</f>
        <v/>
      </c>
    </row>
    <row r="5778" spans="1:13" x14ac:dyDescent="0.35">
      <c r="A5778" s="26" t="s">
        <v>543</v>
      </c>
      <c r="B5778" s="26" t="s">
        <v>543</v>
      </c>
      <c r="C5778" s="26"/>
      <c r="D5778" s="26" t="s">
        <v>543</v>
      </c>
      <c r="E5778" s="26" t="str">
        <f>IFERROR(VLOOKUP(G5778,WholesaleExtract!B:J,9,FALSE),"")</f>
        <v/>
      </c>
      <c r="F5778" s="26" t="str">
        <f>IFERROR(VLOOKUP(G5778,WholesaleExtract!B:J,6,FALSE),"")</f>
        <v/>
      </c>
      <c r="H5778" s="47" t="str">
        <f>IFERROR(VLOOKUP(G5778,WholesaleExtract!B:L,11,FALSE),"")</f>
        <v/>
      </c>
      <c r="I5778" s="26" t="str">
        <f>IFERROR(VLOOKUP(G5778,WholesaleExtract!B:O,8,FALSE),"")</f>
        <v/>
      </c>
      <c r="J5778" s="26" t="str">
        <f>IFERROR(VLOOKUP(G5778,WholesaleExtract!B:O,14,FALSE),"")</f>
        <v/>
      </c>
      <c r="K5778" s="26" t="str">
        <f>IFERROR(VLOOKUP(G5778,WholesaleExtract!B:K,10,FALSE),"")</f>
        <v/>
      </c>
      <c r="L5778" s="47" t="str">
        <f>IFERROR(VLOOKUP(G5778,WholesaleExtract!B:L,11,FALSE),"")</f>
        <v/>
      </c>
      <c r="M5778" s="47" t="str">
        <f>IFERROR(VLOOKUP(G5778,WholesaleExtract!B:M,12,FALSE),"")</f>
        <v/>
      </c>
    </row>
    <row r="5779" spans="1:13" x14ac:dyDescent="0.35">
      <c r="A5779" s="26" t="s">
        <v>543</v>
      </c>
      <c r="B5779" s="26" t="s">
        <v>543</v>
      </c>
      <c r="C5779" s="26"/>
      <c r="D5779" s="26" t="s">
        <v>543</v>
      </c>
      <c r="E5779" s="26" t="str">
        <f>IFERROR(VLOOKUP(G5779,WholesaleExtract!B:J,9,FALSE),"")</f>
        <v/>
      </c>
      <c r="F5779" s="26" t="str">
        <f>IFERROR(VLOOKUP(G5779,WholesaleExtract!B:J,6,FALSE),"")</f>
        <v/>
      </c>
      <c r="H5779" s="47" t="str">
        <f>IFERROR(VLOOKUP(G5779,WholesaleExtract!B:L,11,FALSE),"")</f>
        <v/>
      </c>
      <c r="I5779" s="26" t="str">
        <f>IFERROR(VLOOKUP(G5779,WholesaleExtract!B:O,8,FALSE),"")</f>
        <v/>
      </c>
      <c r="J5779" s="26" t="str">
        <f>IFERROR(VLOOKUP(G5779,WholesaleExtract!B:O,14,FALSE),"")</f>
        <v/>
      </c>
      <c r="K5779" s="26" t="str">
        <f>IFERROR(VLOOKUP(G5779,WholesaleExtract!B:K,10,FALSE),"")</f>
        <v/>
      </c>
      <c r="L5779" s="47" t="str">
        <f>IFERROR(VLOOKUP(G5779,WholesaleExtract!B:L,11,FALSE),"")</f>
        <v/>
      </c>
      <c r="M5779" s="47" t="str">
        <f>IFERROR(VLOOKUP(G5779,WholesaleExtract!B:M,12,FALSE),"")</f>
        <v/>
      </c>
    </row>
    <row r="5780" spans="1:13" x14ac:dyDescent="0.35">
      <c r="A5780" s="26" t="s">
        <v>543</v>
      </c>
      <c r="B5780" s="26" t="s">
        <v>543</v>
      </c>
      <c r="C5780" s="26"/>
      <c r="D5780" s="26" t="s">
        <v>543</v>
      </c>
      <c r="E5780" s="26" t="str">
        <f>IFERROR(VLOOKUP(G5780,WholesaleExtract!B:J,9,FALSE),"")</f>
        <v/>
      </c>
      <c r="F5780" s="26" t="str">
        <f>IFERROR(VLOOKUP(G5780,WholesaleExtract!B:J,6,FALSE),"")</f>
        <v/>
      </c>
      <c r="H5780" s="47" t="str">
        <f>IFERROR(VLOOKUP(G5780,WholesaleExtract!B:L,11,FALSE),"")</f>
        <v/>
      </c>
      <c r="I5780" s="26" t="str">
        <f>IFERROR(VLOOKUP(G5780,WholesaleExtract!B:O,8,FALSE),"")</f>
        <v/>
      </c>
      <c r="J5780" s="26" t="str">
        <f>IFERROR(VLOOKUP(G5780,WholesaleExtract!B:O,14,FALSE),"")</f>
        <v/>
      </c>
      <c r="K5780" s="26" t="str">
        <f>IFERROR(VLOOKUP(G5780,WholesaleExtract!B:K,10,FALSE),"")</f>
        <v/>
      </c>
      <c r="L5780" s="47" t="str">
        <f>IFERROR(VLOOKUP(G5780,WholesaleExtract!B:L,11,FALSE),"")</f>
        <v/>
      </c>
      <c r="M5780" s="47" t="str">
        <f>IFERROR(VLOOKUP(G5780,WholesaleExtract!B:M,12,FALSE),"")</f>
        <v/>
      </c>
    </row>
    <row r="5781" spans="1:13" x14ac:dyDescent="0.35">
      <c r="A5781" s="26" t="s">
        <v>543</v>
      </c>
      <c r="B5781" s="26" t="s">
        <v>543</v>
      </c>
      <c r="C5781" s="26"/>
      <c r="D5781" s="26" t="s">
        <v>543</v>
      </c>
      <c r="E5781" s="26" t="str">
        <f>IFERROR(VLOOKUP(G5781,WholesaleExtract!B:J,9,FALSE),"")</f>
        <v/>
      </c>
      <c r="F5781" s="26" t="str">
        <f>IFERROR(VLOOKUP(G5781,WholesaleExtract!B:J,6,FALSE),"")</f>
        <v/>
      </c>
      <c r="H5781" s="47" t="str">
        <f>IFERROR(VLOOKUP(G5781,WholesaleExtract!B:L,11,FALSE),"")</f>
        <v/>
      </c>
      <c r="I5781" s="26" t="str">
        <f>IFERROR(VLOOKUP(G5781,WholesaleExtract!B:O,8,FALSE),"")</f>
        <v/>
      </c>
      <c r="J5781" s="26" t="str">
        <f>IFERROR(VLOOKUP(G5781,WholesaleExtract!B:O,14,FALSE),"")</f>
        <v/>
      </c>
      <c r="K5781" s="26" t="str">
        <f>IFERROR(VLOOKUP(G5781,WholesaleExtract!B:K,10,FALSE),"")</f>
        <v/>
      </c>
      <c r="L5781" s="47" t="str">
        <f>IFERROR(VLOOKUP(G5781,WholesaleExtract!B:L,11,FALSE),"")</f>
        <v/>
      </c>
      <c r="M5781" s="47" t="str">
        <f>IFERROR(VLOOKUP(G5781,WholesaleExtract!B:M,12,FALSE),"")</f>
        <v/>
      </c>
    </row>
    <row r="5782" spans="1:13" x14ac:dyDescent="0.35">
      <c r="A5782" s="26" t="s">
        <v>543</v>
      </c>
      <c r="B5782" s="26" t="s">
        <v>543</v>
      </c>
      <c r="C5782" s="26"/>
      <c r="D5782" s="26" t="s">
        <v>543</v>
      </c>
      <c r="E5782" s="26" t="str">
        <f>IFERROR(VLOOKUP(G5782,WholesaleExtract!B:J,9,FALSE),"")</f>
        <v/>
      </c>
      <c r="F5782" s="26" t="str">
        <f>IFERROR(VLOOKUP(G5782,WholesaleExtract!B:J,6,FALSE),"")</f>
        <v/>
      </c>
      <c r="H5782" s="47" t="str">
        <f>IFERROR(VLOOKUP(G5782,WholesaleExtract!B:L,11,FALSE),"")</f>
        <v/>
      </c>
      <c r="I5782" s="26" t="str">
        <f>IFERROR(VLOOKUP(G5782,WholesaleExtract!B:O,8,FALSE),"")</f>
        <v/>
      </c>
      <c r="J5782" s="26" t="str">
        <f>IFERROR(VLOOKUP(G5782,WholesaleExtract!B:O,14,FALSE),"")</f>
        <v/>
      </c>
      <c r="K5782" s="26" t="str">
        <f>IFERROR(VLOOKUP(G5782,WholesaleExtract!B:K,10,FALSE),"")</f>
        <v/>
      </c>
      <c r="L5782" s="47" t="str">
        <f>IFERROR(VLOOKUP(G5782,WholesaleExtract!B:L,11,FALSE),"")</f>
        <v/>
      </c>
      <c r="M5782" s="47" t="str">
        <f>IFERROR(VLOOKUP(G5782,WholesaleExtract!B:M,12,FALSE),"")</f>
        <v/>
      </c>
    </row>
    <row r="5783" spans="1:13" x14ac:dyDescent="0.35">
      <c r="A5783" s="26" t="s">
        <v>543</v>
      </c>
      <c r="B5783" s="26" t="s">
        <v>543</v>
      </c>
      <c r="C5783" s="26"/>
      <c r="D5783" s="26" t="s">
        <v>543</v>
      </c>
      <c r="E5783" s="26" t="str">
        <f>IFERROR(VLOOKUP(G5783,WholesaleExtract!B:J,9,FALSE),"")</f>
        <v/>
      </c>
      <c r="F5783" s="26" t="str">
        <f>IFERROR(VLOOKUP(G5783,WholesaleExtract!B:J,6,FALSE),"")</f>
        <v/>
      </c>
      <c r="H5783" s="47" t="str">
        <f>IFERROR(VLOOKUP(G5783,WholesaleExtract!B:L,11,FALSE),"")</f>
        <v/>
      </c>
      <c r="I5783" s="26" t="str">
        <f>IFERROR(VLOOKUP(G5783,WholesaleExtract!B:O,8,FALSE),"")</f>
        <v/>
      </c>
      <c r="J5783" s="26" t="str">
        <f>IFERROR(VLOOKUP(G5783,WholesaleExtract!B:O,14,FALSE),"")</f>
        <v/>
      </c>
      <c r="K5783" s="26" t="str">
        <f>IFERROR(VLOOKUP(G5783,WholesaleExtract!B:K,10,FALSE),"")</f>
        <v/>
      </c>
      <c r="L5783" s="47" t="str">
        <f>IFERROR(VLOOKUP(G5783,WholesaleExtract!B:L,11,FALSE),"")</f>
        <v/>
      </c>
      <c r="M5783" s="47" t="str">
        <f>IFERROR(VLOOKUP(G5783,WholesaleExtract!B:M,12,FALSE),"")</f>
        <v/>
      </c>
    </row>
    <row r="5784" spans="1:13" x14ac:dyDescent="0.35">
      <c r="A5784" s="26" t="s">
        <v>543</v>
      </c>
      <c r="B5784" s="26" t="s">
        <v>543</v>
      </c>
      <c r="C5784" s="26"/>
      <c r="D5784" s="26" t="s">
        <v>543</v>
      </c>
      <c r="E5784" s="26" t="str">
        <f>IFERROR(VLOOKUP(G5784,WholesaleExtract!B:J,9,FALSE),"")</f>
        <v/>
      </c>
      <c r="F5784" s="26" t="str">
        <f>IFERROR(VLOOKUP(G5784,WholesaleExtract!B:J,6,FALSE),"")</f>
        <v/>
      </c>
      <c r="H5784" s="47" t="str">
        <f>IFERROR(VLOOKUP(G5784,WholesaleExtract!B:L,11,FALSE),"")</f>
        <v/>
      </c>
      <c r="I5784" s="26" t="str">
        <f>IFERROR(VLOOKUP(G5784,WholesaleExtract!B:O,8,FALSE),"")</f>
        <v/>
      </c>
      <c r="J5784" s="26" t="str">
        <f>IFERROR(VLOOKUP(G5784,WholesaleExtract!B:O,14,FALSE),"")</f>
        <v/>
      </c>
      <c r="K5784" s="26" t="str">
        <f>IFERROR(VLOOKUP(G5784,WholesaleExtract!B:K,10,FALSE),"")</f>
        <v/>
      </c>
      <c r="L5784" s="47" t="str">
        <f>IFERROR(VLOOKUP(G5784,WholesaleExtract!B:L,11,FALSE),"")</f>
        <v/>
      </c>
      <c r="M5784" s="47" t="str">
        <f>IFERROR(VLOOKUP(G5784,WholesaleExtract!B:M,12,FALSE),"")</f>
        <v/>
      </c>
    </row>
    <row r="5785" spans="1:13" x14ac:dyDescent="0.35">
      <c r="A5785" s="26" t="s">
        <v>543</v>
      </c>
      <c r="B5785" s="26" t="s">
        <v>543</v>
      </c>
      <c r="C5785" s="26"/>
      <c r="D5785" s="26" t="s">
        <v>543</v>
      </c>
      <c r="E5785" s="26" t="str">
        <f>IFERROR(VLOOKUP(G5785,WholesaleExtract!B:J,9,FALSE),"")</f>
        <v/>
      </c>
      <c r="F5785" s="26" t="str">
        <f>IFERROR(VLOOKUP(G5785,WholesaleExtract!B:J,6,FALSE),"")</f>
        <v/>
      </c>
      <c r="H5785" s="47" t="str">
        <f>IFERROR(VLOOKUP(G5785,WholesaleExtract!B:L,11,FALSE),"")</f>
        <v/>
      </c>
      <c r="I5785" s="26" t="str">
        <f>IFERROR(VLOOKUP(G5785,WholesaleExtract!B:O,8,FALSE),"")</f>
        <v/>
      </c>
      <c r="J5785" s="26" t="str">
        <f>IFERROR(VLOOKUP(G5785,WholesaleExtract!B:O,14,FALSE),"")</f>
        <v/>
      </c>
      <c r="K5785" s="26" t="str">
        <f>IFERROR(VLOOKUP(G5785,WholesaleExtract!B:K,10,FALSE),"")</f>
        <v/>
      </c>
      <c r="L5785" s="47" t="str">
        <f>IFERROR(VLOOKUP(G5785,WholesaleExtract!B:L,11,FALSE),"")</f>
        <v/>
      </c>
      <c r="M5785" s="47" t="str">
        <f>IFERROR(VLOOKUP(G5785,WholesaleExtract!B:M,12,FALSE),"")</f>
        <v/>
      </c>
    </row>
    <row r="5786" spans="1:13" x14ac:dyDescent="0.35">
      <c r="A5786" s="26" t="s">
        <v>543</v>
      </c>
      <c r="B5786" s="26" t="s">
        <v>543</v>
      </c>
      <c r="C5786" s="26"/>
      <c r="D5786" s="26" t="s">
        <v>543</v>
      </c>
      <c r="E5786" s="26" t="str">
        <f>IFERROR(VLOOKUP(G5786,WholesaleExtract!B:J,9,FALSE),"")</f>
        <v/>
      </c>
      <c r="F5786" s="26" t="str">
        <f>IFERROR(VLOOKUP(G5786,WholesaleExtract!B:J,6,FALSE),"")</f>
        <v/>
      </c>
      <c r="H5786" s="47" t="str">
        <f>IFERROR(VLOOKUP(G5786,WholesaleExtract!B:L,11,FALSE),"")</f>
        <v/>
      </c>
      <c r="I5786" s="26" t="str">
        <f>IFERROR(VLOOKUP(G5786,WholesaleExtract!B:O,8,FALSE),"")</f>
        <v/>
      </c>
      <c r="J5786" s="26" t="str">
        <f>IFERROR(VLOOKUP(G5786,WholesaleExtract!B:O,14,FALSE),"")</f>
        <v/>
      </c>
      <c r="K5786" s="26" t="str">
        <f>IFERROR(VLOOKUP(G5786,WholesaleExtract!B:K,10,FALSE),"")</f>
        <v/>
      </c>
      <c r="L5786" s="47" t="str">
        <f>IFERROR(VLOOKUP(G5786,WholesaleExtract!B:L,11,FALSE),"")</f>
        <v/>
      </c>
      <c r="M5786" s="47" t="str">
        <f>IFERROR(VLOOKUP(G5786,WholesaleExtract!B:M,12,FALSE),"")</f>
        <v/>
      </c>
    </row>
    <row r="5787" spans="1:13" x14ac:dyDescent="0.35">
      <c r="A5787" s="26" t="s">
        <v>543</v>
      </c>
      <c r="B5787" s="26" t="s">
        <v>543</v>
      </c>
      <c r="C5787" s="26"/>
      <c r="D5787" s="26" t="s">
        <v>543</v>
      </c>
      <c r="E5787" s="26" t="str">
        <f>IFERROR(VLOOKUP(G5787,WholesaleExtract!B:J,9,FALSE),"")</f>
        <v/>
      </c>
      <c r="F5787" s="26" t="str">
        <f>IFERROR(VLOOKUP(G5787,WholesaleExtract!B:J,6,FALSE),"")</f>
        <v/>
      </c>
      <c r="H5787" s="47" t="str">
        <f>IFERROR(VLOOKUP(G5787,WholesaleExtract!B:L,11,FALSE),"")</f>
        <v/>
      </c>
      <c r="I5787" s="26" t="str">
        <f>IFERROR(VLOOKUP(G5787,WholesaleExtract!B:O,8,FALSE),"")</f>
        <v/>
      </c>
      <c r="J5787" s="26" t="str">
        <f>IFERROR(VLOOKUP(G5787,WholesaleExtract!B:O,14,FALSE),"")</f>
        <v/>
      </c>
      <c r="K5787" s="26" t="str">
        <f>IFERROR(VLOOKUP(G5787,WholesaleExtract!B:K,10,FALSE),"")</f>
        <v/>
      </c>
      <c r="L5787" s="47" t="str">
        <f>IFERROR(VLOOKUP(G5787,WholesaleExtract!B:L,11,FALSE),"")</f>
        <v/>
      </c>
      <c r="M5787" s="47" t="str">
        <f>IFERROR(VLOOKUP(G5787,WholesaleExtract!B:M,12,FALSE),"")</f>
        <v/>
      </c>
    </row>
    <row r="5788" spans="1:13" x14ac:dyDescent="0.35">
      <c r="A5788" s="26" t="s">
        <v>543</v>
      </c>
      <c r="B5788" s="26" t="s">
        <v>543</v>
      </c>
      <c r="C5788" s="26"/>
      <c r="D5788" s="26" t="s">
        <v>543</v>
      </c>
      <c r="E5788" s="26" t="str">
        <f>IFERROR(VLOOKUP(G5788,WholesaleExtract!B:J,9,FALSE),"")</f>
        <v/>
      </c>
      <c r="F5788" s="26" t="str">
        <f>IFERROR(VLOOKUP(G5788,WholesaleExtract!B:J,6,FALSE),"")</f>
        <v/>
      </c>
      <c r="H5788" s="47" t="str">
        <f>IFERROR(VLOOKUP(G5788,WholesaleExtract!B:L,11,FALSE),"")</f>
        <v/>
      </c>
      <c r="I5788" s="26" t="str">
        <f>IFERROR(VLOOKUP(G5788,WholesaleExtract!B:O,8,FALSE),"")</f>
        <v/>
      </c>
      <c r="J5788" s="26" t="str">
        <f>IFERROR(VLOOKUP(G5788,WholesaleExtract!B:O,14,FALSE),"")</f>
        <v/>
      </c>
      <c r="K5788" s="26" t="str">
        <f>IFERROR(VLOOKUP(G5788,WholesaleExtract!B:K,10,FALSE),"")</f>
        <v/>
      </c>
      <c r="L5788" s="47" t="str">
        <f>IFERROR(VLOOKUP(G5788,WholesaleExtract!B:L,11,FALSE),"")</f>
        <v/>
      </c>
      <c r="M5788" s="47" t="str">
        <f>IFERROR(VLOOKUP(G5788,WholesaleExtract!B:M,12,FALSE),"")</f>
        <v/>
      </c>
    </row>
    <row r="5789" spans="1:13" x14ac:dyDescent="0.35">
      <c r="A5789" s="26" t="s">
        <v>543</v>
      </c>
      <c r="B5789" s="26" t="s">
        <v>543</v>
      </c>
      <c r="C5789" s="26"/>
      <c r="D5789" s="26" t="s">
        <v>543</v>
      </c>
      <c r="E5789" s="26" t="str">
        <f>IFERROR(VLOOKUP(G5789,WholesaleExtract!B:J,9,FALSE),"")</f>
        <v/>
      </c>
      <c r="F5789" s="26" t="str">
        <f>IFERROR(VLOOKUP(G5789,WholesaleExtract!B:J,6,FALSE),"")</f>
        <v/>
      </c>
      <c r="H5789" s="47" t="str">
        <f>IFERROR(VLOOKUP(G5789,WholesaleExtract!B:L,11,FALSE),"")</f>
        <v/>
      </c>
      <c r="I5789" s="26" t="str">
        <f>IFERROR(VLOOKUP(G5789,WholesaleExtract!B:O,8,FALSE),"")</f>
        <v/>
      </c>
      <c r="J5789" s="26" t="str">
        <f>IFERROR(VLOOKUP(G5789,WholesaleExtract!B:O,14,FALSE),"")</f>
        <v/>
      </c>
      <c r="K5789" s="26" t="str">
        <f>IFERROR(VLOOKUP(G5789,WholesaleExtract!B:K,10,FALSE),"")</f>
        <v/>
      </c>
      <c r="L5789" s="47" t="str">
        <f>IFERROR(VLOOKUP(G5789,WholesaleExtract!B:L,11,FALSE),"")</f>
        <v/>
      </c>
      <c r="M5789" s="47" t="str">
        <f>IFERROR(VLOOKUP(G5789,WholesaleExtract!B:M,12,FALSE),"")</f>
        <v/>
      </c>
    </row>
    <row r="5790" spans="1:13" x14ac:dyDescent="0.35">
      <c r="A5790" s="26" t="s">
        <v>543</v>
      </c>
      <c r="B5790" s="26" t="s">
        <v>543</v>
      </c>
      <c r="C5790" s="26"/>
      <c r="D5790" s="26" t="s">
        <v>543</v>
      </c>
      <c r="E5790" s="26" t="str">
        <f>IFERROR(VLOOKUP(G5790,WholesaleExtract!B:J,9,FALSE),"")</f>
        <v/>
      </c>
      <c r="F5790" s="26" t="str">
        <f>IFERROR(VLOOKUP(G5790,WholesaleExtract!B:J,6,FALSE),"")</f>
        <v/>
      </c>
      <c r="H5790" s="47" t="str">
        <f>IFERROR(VLOOKUP(G5790,WholesaleExtract!B:L,11,FALSE),"")</f>
        <v/>
      </c>
      <c r="I5790" s="26" t="str">
        <f>IFERROR(VLOOKUP(G5790,WholesaleExtract!B:O,8,FALSE),"")</f>
        <v/>
      </c>
      <c r="J5790" s="26" t="str">
        <f>IFERROR(VLOOKUP(G5790,WholesaleExtract!B:O,14,FALSE),"")</f>
        <v/>
      </c>
      <c r="K5790" s="26" t="str">
        <f>IFERROR(VLOOKUP(G5790,WholesaleExtract!B:K,10,FALSE),"")</f>
        <v/>
      </c>
      <c r="L5790" s="47" t="str">
        <f>IFERROR(VLOOKUP(G5790,WholesaleExtract!B:L,11,FALSE),"")</f>
        <v/>
      </c>
      <c r="M5790" s="47" t="str">
        <f>IFERROR(VLOOKUP(G5790,WholesaleExtract!B:M,12,FALSE),"")</f>
        <v/>
      </c>
    </row>
    <row r="5791" spans="1:13" x14ac:dyDescent="0.35">
      <c r="A5791" s="26" t="s">
        <v>543</v>
      </c>
      <c r="B5791" s="26" t="s">
        <v>543</v>
      </c>
      <c r="C5791" s="26"/>
      <c r="D5791" s="26" t="s">
        <v>543</v>
      </c>
      <c r="E5791" s="26" t="str">
        <f>IFERROR(VLOOKUP(G5791,WholesaleExtract!B:J,9,FALSE),"")</f>
        <v/>
      </c>
      <c r="F5791" s="26" t="str">
        <f>IFERROR(VLOOKUP(G5791,WholesaleExtract!B:J,6,FALSE),"")</f>
        <v/>
      </c>
      <c r="H5791" s="47" t="str">
        <f>IFERROR(VLOOKUP(G5791,WholesaleExtract!B:L,11,FALSE),"")</f>
        <v/>
      </c>
      <c r="I5791" s="26" t="str">
        <f>IFERROR(VLOOKUP(G5791,WholesaleExtract!B:O,8,FALSE),"")</f>
        <v/>
      </c>
      <c r="J5791" s="26" t="str">
        <f>IFERROR(VLOOKUP(G5791,WholesaleExtract!B:O,14,FALSE),"")</f>
        <v/>
      </c>
      <c r="K5791" s="26" t="str">
        <f>IFERROR(VLOOKUP(G5791,WholesaleExtract!B:K,10,FALSE),"")</f>
        <v/>
      </c>
      <c r="L5791" s="47" t="str">
        <f>IFERROR(VLOOKUP(G5791,WholesaleExtract!B:L,11,FALSE),"")</f>
        <v/>
      </c>
      <c r="M5791" s="47" t="str">
        <f>IFERROR(VLOOKUP(G5791,WholesaleExtract!B:M,12,FALSE),"")</f>
        <v/>
      </c>
    </row>
    <row r="5792" spans="1:13" x14ac:dyDescent="0.35">
      <c r="A5792" s="26" t="s">
        <v>543</v>
      </c>
      <c r="B5792" s="26" t="s">
        <v>543</v>
      </c>
      <c r="C5792" s="26"/>
      <c r="D5792" s="26" t="s">
        <v>543</v>
      </c>
      <c r="E5792" s="26" t="str">
        <f>IFERROR(VLOOKUP(G5792,WholesaleExtract!B:J,9,FALSE),"")</f>
        <v/>
      </c>
      <c r="F5792" s="26" t="str">
        <f>IFERROR(VLOOKUP(G5792,WholesaleExtract!B:J,6,FALSE),"")</f>
        <v/>
      </c>
      <c r="H5792" s="47" t="str">
        <f>IFERROR(VLOOKUP(G5792,WholesaleExtract!B:L,11,FALSE),"")</f>
        <v/>
      </c>
      <c r="I5792" s="26" t="str">
        <f>IFERROR(VLOOKUP(G5792,WholesaleExtract!B:O,8,FALSE),"")</f>
        <v/>
      </c>
      <c r="J5792" s="26" t="str">
        <f>IFERROR(VLOOKUP(G5792,WholesaleExtract!B:O,14,FALSE),"")</f>
        <v/>
      </c>
      <c r="K5792" s="26" t="str">
        <f>IFERROR(VLOOKUP(G5792,WholesaleExtract!B:K,10,FALSE),"")</f>
        <v/>
      </c>
      <c r="L5792" s="47" t="str">
        <f>IFERROR(VLOOKUP(G5792,WholesaleExtract!B:L,11,FALSE),"")</f>
        <v/>
      </c>
      <c r="M5792" s="47" t="str">
        <f>IFERROR(VLOOKUP(G5792,WholesaleExtract!B:M,12,FALSE),"")</f>
        <v/>
      </c>
    </row>
    <row r="5793" spans="1:13" x14ac:dyDescent="0.35">
      <c r="A5793" s="26" t="s">
        <v>543</v>
      </c>
      <c r="B5793" s="26" t="s">
        <v>543</v>
      </c>
      <c r="C5793" s="26"/>
      <c r="D5793" s="26" t="s">
        <v>543</v>
      </c>
      <c r="E5793" s="26" t="str">
        <f>IFERROR(VLOOKUP(G5793,WholesaleExtract!B:J,9,FALSE),"")</f>
        <v/>
      </c>
      <c r="F5793" s="26" t="str">
        <f>IFERROR(VLOOKUP(G5793,WholesaleExtract!B:J,6,FALSE),"")</f>
        <v/>
      </c>
      <c r="H5793" s="47" t="str">
        <f>IFERROR(VLOOKUP(G5793,WholesaleExtract!B:L,11,FALSE),"")</f>
        <v/>
      </c>
      <c r="I5793" s="26" t="str">
        <f>IFERROR(VLOOKUP(G5793,WholesaleExtract!B:O,8,FALSE),"")</f>
        <v/>
      </c>
      <c r="J5793" s="26" t="str">
        <f>IFERROR(VLOOKUP(G5793,WholesaleExtract!B:O,14,FALSE),"")</f>
        <v/>
      </c>
      <c r="K5793" s="26" t="str">
        <f>IFERROR(VLOOKUP(G5793,WholesaleExtract!B:K,10,FALSE),"")</f>
        <v/>
      </c>
      <c r="L5793" s="47" t="str">
        <f>IFERROR(VLOOKUP(G5793,WholesaleExtract!B:L,11,FALSE),"")</f>
        <v/>
      </c>
      <c r="M5793" s="47" t="str">
        <f>IFERROR(VLOOKUP(G5793,WholesaleExtract!B:M,12,FALSE),"")</f>
        <v/>
      </c>
    </row>
    <row r="5794" spans="1:13" x14ac:dyDescent="0.35">
      <c r="A5794" s="26" t="s">
        <v>543</v>
      </c>
      <c r="B5794" s="26" t="s">
        <v>543</v>
      </c>
      <c r="C5794" s="26"/>
      <c r="D5794" s="26" t="s">
        <v>543</v>
      </c>
      <c r="E5794" s="26" t="str">
        <f>IFERROR(VLOOKUP(G5794,WholesaleExtract!B:J,9,FALSE),"")</f>
        <v/>
      </c>
      <c r="F5794" s="26" t="str">
        <f>IFERROR(VLOOKUP(G5794,WholesaleExtract!B:J,6,FALSE),"")</f>
        <v/>
      </c>
      <c r="H5794" s="47" t="str">
        <f>IFERROR(VLOOKUP(G5794,WholesaleExtract!B:L,11,FALSE),"")</f>
        <v/>
      </c>
      <c r="I5794" s="26" t="str">
        <f>IFERROR(VLOOKUP(G5794,WholesaleExtract!B:O,8,FALSE),"")</f>
        <v/>
      </c>
      <c r="J5794" s="26" t="str">
        <f>IFERROR(VLOOKUP(G5794,WholesaleExtract!B:O,14,FALSE),"")</f>
        <v/>
      </c>
      <c r="K5794" s="26" t="str">
        <f>IFERROR(VLOOKUP(G5794,WholesaleExtract!B:K,10,FALSE),"")</f>
        <v/>
      </c>
      <c r="L5794" s="47" t="str">
        <f>IFERROR(VLOOKUP(G5794,WholesaleExtract!B:L,11,FALSE),"")</f>
        <v/>
      </c>
      <c r="M5794" s="47" t="str">
        <f>IFERROR(VLOOKUP(G5794,WholesaleExtract!B:M,12,FALSE),"")</f>
        <v/>
      </c>
    </row>
    <row r="5795" spans="1:13" x14ac:dyDescent="0.35">
      <c r="A5795" s="26" t="s">
        <v>543</v>
      </c>
      <c r="B5795" s="26" t="s">
        <v>543</v>
      </c>
      <c r="C5795" s="26"/>
      <c r="D5795" s="26" t="s">
        <v>543</v>
      </c>
      <c r="E5795" s="26" t="str">
        <f>IFERROR(VLOOKUP(G5795,WholesaleExtract!B:J,9,FALSE),"")</f>
        <v/>
      </c>
      <c r="F5795" s="26" t="str">
        <f>IFERROR(VLOOKUP(G5795,WholesaleExtract!B:J,6,FALSE),"")</f>
        <v/>
      </c>
      <c r="H5795" s="47" t="str">
        <f>IFERROR(VLOOKUP(G5795,WholesaleExtract!B:L,11,FALSE),"")</f>
        <v/>
      </c>
      <c r="I5795" s="26" t="str">
        <f>IFERROR(VLOOKUP(G5795,WholesaleExtract!B:O,8,FALSE),"")</f>
        <v/>
      </c>
      <c r="J5795" s="26" t="str">
        <f>IFERROR(VLOOKUP(G5795,WholesaleExtract!B:O,14,FALSE),"")</f>
        <v/>
      </c>
      <c r="K5795" s="26" t="str">
        <f>IFERROR(VLOOKUP(G5795,WholesaleExtract!B:K,10,FALSE),"")</f>
        <v/>
      </c>
      <c r="L5795" s="47" t="str">
        <f>IFERROR(VLOOKUP(G5795,WholesaleExtract!B:L,11,FALSE),"")</f>
        <v/>
      </c>
      <c r="M5795" s="47" t="str">
        <f>IFERROR(VLOOKUP(G5795,WholesaleExtract!B:M,12,FALSE),"")</f>
        <v/>
      </c>
    </row>
    <row r="5796" spans="1:13" x14ac:dyDescent="0.35">
      <c r="A5796" s="26" t="s">
        <v>543</v>
      </c>
      <c r="B5796" s="26" t="s">
        <v>543</v>
      </c>
      <c r="C5796" s="26"/>
      <c r="D5796" s="26" t="s">
        <v>543</v>
      </c>
      <c r="E5796" s="26" t="str">
        <f>IFERROR(VLOOKUP(G5796,WholesaleExtract!B:J,9,FALSE),"")</f>
        <v/>
      </c>
      <c r="F5796" s="26" t="str">
        <f>IFERROR(VLOOKUP(G5796,WholesaleExtract!B:J,6,FALSE),"")</f>
        <v/>
      </c>
      <c r="H5796" s="47" t="str">
        <f>IFERROR(VLOOKUP(G5796,WholesaleExtract!B:L,11,FALSE),"")</f>
        <v/>
      </c>
      <c r="I5796" s="26" t="str">
        <f>IFERROR(VLOOKUP(G5796,WholesaleExtract!B:O,8,FALSE),"")</f>
        <v/>
      </c>
      <c r="J5796" s="26" t="str">
        <f>IFERROR(VLOOKUP(G5796,WholesaleExtract!B:O,14,FALSE),"")</f>
        <v/>
      </c>
      <c r="K5796" s="26" t="str">
        <f>IFERROR(VLOOKUP(G5796,WholesaleExtract!B:K,10,FALSE),"")</f>
        <v/>
      </c>
      <c r="L5796" s="47" t="str">
        <f>IFERROR(VLOOKUP(G5796,WholesaleExtract!B:L,11,FALSE),"")</f>
        <v/>
      </c>
      <c r="M5796" s="47" t="str">
        <f>IFERROR(VLOOKUP(G5796,WholesaleExtract!B:M,12,FALSE),"")</f>
        <v/>
      </c>
    </row>
    <row r="5797" spans="1:13" x14ac:dyDescent="0.35">
      <c r="A5797" s="26" t="s">
        <v>543</v>
      </c>
      <c r="B5797" s="26" t="s">
        <v>543</v>
      </c>
      <c r="C5797" s="26"/>
      <c r="D5797" s="26" t="s">
        <v>543</v>
      </c>
      <c r="E5797" s="26" t="str">
        <f>IFERROR(VLOOKUP(G5797,WholesaleExtract!B:J,9,FALSE),"")</f>
        <v/>
      </c>
      <c r="F5797" s="26" t="str">
        <f>IFERROR(VLOOKUP(G5797,WholesaleExtract!B:J,6,FALSE),"")</f>
        <v/>
      </c>
      <c r="H5797" s="47" t="str">
        <f>IFERROR(VLOOKUP(G5797,WholesaleExtract!B:L,11,FALSE),"")</f>
        <v/>
      </c>
      <c r="I5797" s="26" t="str">
        <f>IFERROR(VLOOKUP(G5797,WholesaleExtract!B:O,8,FALSE),"")</f>
        <v/>
      </c>
      <c r="J5797" s="26" t="str">
        <f>IFERROR(VLOOKUP(G5797,WholesaleExtract!B:O,14,FALSE),"")</f>
        <v/>
      </c>
      <c r="K5797" s="26" t="str">
        <f>IFERROR(VLOOKUP(G5797,WholesaleExtract!B:K,10,FALSE),"")</f>
        <v/>
      </c>
      <c r="L5797" s="47" t="str">
        <f>IFERROR(VLOOKUP(G5797,WholesaleExtract!B:L,11,FALSE),"")</f>
        <v/>
      </c>
      <c r="M5797" s="47" t="str">
        <f>IFERROR(VLOOKUP(G5797,WholesaleExtract!B:M,12,FALSE),"")</f>
        <v/>
      </c>
    </row>
    <row r="5798" spans="1:13" x14ac:dyDescent="0.35">
      <c r="A5798" s="26" t="s">
        <v>543</v>
      </c>
      <c r="B5798" s="26" t="s">
        <v>543</v>
      </c>
      <c r="C5798" s="26"/>
      <c r="D5798" s="26" t="s">
        <v>543</v>
      </c>
      <c r="E5798" s="26" t="str">
        <f>IFERROR(VLOOKUP(G5798,WholesaleExtract!B:J,9,FALSE),"")</f>
        <v/>
      </c>
      <c r="F5798" s="26" t="str">
        <f>IFERROR(VLOOKUP(G5798,WholesaleExtract!B:J,6,FALSE),"")</f>
        <v/>
      </c>
      <c r="H5798" s="47" t="str">
        <f>IFERROR(VLOOKUP(G5798,WholesaleExtract!B:L,11,FALSE),"")</f>
        <v/>
      </c>
      <c r="I5798" s="26" t="str">
        <f>IFERROR(VLOOKUP(G5798,WholesaleExtract!B:O,8,FALSE),"")</f>
        <v/>
      </c>
      <c r="J5798" s="26" t="str">
        <f>IFERROR(VLOOKUP(G5798,WholesaleExtract!B:O,14,FALSE),"")</f>
        <v/>
      </c>
      <c r="K5798" s="26" t="str">
        <f>IFERROR(VLOOKUP(G5798,WholesaleExtract!B:K,10,FALSE),"")</f>
        <v/>
      </c>
      <c r="L5798" s="47" t="str">
        <f>IFERROR(VLOOKUP(G5798,WholesaleExtract!B:L,11,FALSE),"")</f>
        <v/>
      </c>
      <c r="M5798" s="47" t="str">
        <f>IFERROR(VLOOKUP(G5798,WholesaleExtract!B:M,12,FALSE),"")</f>
        <v/>
      </c>
    </row>
    <row r="5799" spans="1:13" x14ac:dyDescent="0.35">
      <c r="A5799" s="26" t="s">
        <v>543</v>
      </c>
      <c r="B5799" s="26" t="s">
        <v>543</v>
      </c>
      <c r="C5799" s="26"/>
      <c r="D5799" s="26" t="s">
        <v>543</v>
      </c>
      <c r="E5799" s="26" t="str">
        <f>IFERROR(VLOOKUP(G5799,WholesaleExtract!B:J,9,FALSE),"")</f>
        <v/>
      </c>
      <c r="F5799" s="26" t="str">
        <f>IFERROR(VLOOKUP(G5799,WholesaleExtract!B:J,6,FALSE),"")</f>
        <v/>
      </c>
      <c r="H5799" s="47" t="str">
        <f>IFERROR(VLOOKUP(G5799,WholesaleExtract!B:L,11,FALSE),"")</f>
        <v/>
      </c>
      <c r="I5799" s="26" t="str">
        <f>IFERROR(VLOOKUP(G5799,WholesaleExtract!B:O,8,FALSE),"")</f>
        <v/>
      </c>
      <c r="J5799" s="26" t="str">
        <f>IFERROR(VLOOKUP(G5799,WholesaleExtract!B:O,14,FALSE),"")</f>
        <v/>
      </c>
      <c r="K5799" s="26" t="str">
        <f>IFERROR(VLOOKUP(G5799,WholesaleExtract!B:K,10,FALSE),"")</f>
        <v/>
      </c>
      <c r="L5799" s="47" t="str">
        <f>IFERROR(VLOOKUP(G5799,WholesaleExtract!B:L,11,FALSE),"")</f>
        <v/>
      </c>
      <c r="M5799" s="47" t="str">
        <f>IFERROR(VLOOKUP(G5799,WholesaleExtract!B:M,12,FALSE),"")</f>
        <v/>
      </c>
    </row>
    <row r="5800" spans="1:13" x14ac:dyDescent="0.35">
      <c r="A5800" s="26" t="s">
        <v>543</v>
      </c>
      <c r="B5800" s="26" t="s">
        <v>543</v>
      </c>
      <c r="C5800" s="26"/>
      <c r="D5800" s="26" t="s">
        <v>543</v>
      </c>
      <c r="E5800" s="26" t="str">
        <f>IFERROR(VLOOKUP(G5800,WholesaleExtract!B:J,9,FALSE),"")</f>
        <v/>
      </c>
      <c r="F5800" s="26" t="str">
        <f>IFERROR(VLOOKUP(G5800,WholesaleExtract!B:J,6,FALSE),"")</f>
        <v/>
      </c>
      <c r="H5800" s="47" t="str">
        <f>IFERROR(VLOOKUP(G5800,WholesaleExtract!B:L,11,FALSE),"")</f>
        <v/>
      </c>
      <c r="I5800" s="26" t="str">
        <f>IFERROR(VLOOKUP(G5800,WholesaleExtract!B:O,8,FALSE),"")</f>
        <v/>
      </c>
      <c r="J5800" s="26" t="str">
        <f>IFERROR(VLOOKUP(G5800,WholesaleExtract!B:O,14,FALSE),"")</f>
        <v/>
      </c>
      <c r="K5800" s="26" t="str">
        <f>IFERROR(VLOOKUP(G5800,WholesaleExtract!B:K,10,FALSE),"")</f>
        <v/>
      </c>
      <c r="L5800" s="47" t="str">
        <f>IFERROR(VLOOKUP(G5800,WholesaleExtract!B:L,11,FALSE),"")</f>
        <v/>
      </c>
      <c r="M5800" s="47" t="str">
        <f>IFERROR(VLOOKUP(G5800,WholesaleExtract!B:M,12,FALSE),"")</f>
        <v/>
      </c>
    </row>
    <row r="5801" spans="1:13" x14ac:dyDescent="0.35">
      <c r="A5801" s="26" t="s">
        <v>543</v>
      </c>
      <c r="B5801" s="26" t="s">
        <v>543</v>
      </c>
      <c r="C5801" s="26"/>
      <c r="D5801" s="26" t="s">
        <v>543</v>
      </c>
      <c r="E5801" s="26" t="str">
        <f>IFERROR(VLOOKUP(G5801,WholesaleExtract!B:J,9,FALSE),"")</f>
        <v/>
      </c>
      <c r="F5801" s="26" t="str">
        <f>IFERROR(VLOOKUP(G5801,WholesaleExtract!B:J,6,FALSE),"")</f>
        <v/>
      </c>
      <c r="H5801" s="47" t="str">
        <f>IFERROR(VLOOKUP(G5801,WholesaleExtract!B:L,11,FALSE),"")</f>
        <v/>
      </c>
      <c r="I5801" s="26" t="str">
        <f>IFERROR(VLOOKUP(G5801,WholesaleExtract!B:O,8,FALSE),"")</f>
        <v/>
      </c>
      <c r="J5801" s="26" t="str">
        <f>IFERROR(VLOOKUP(G5801,WholesaleExtract!B:O,14,FALSE),"")</f>
        <v/>
      </c>
      <c r="K5801" s="26" t="str">
        <f>IFERROR(VLOOKUP(G5801,WholesaleExtract!B:K,10,FALSE),"")</f>
        <v/>
      </c>
      <c r="L5801" s="47" t="str">
        <f>IFERROR(VLOOKUP(G5801,WholesaleExtract!B:L,11,FALSE),"")</f>
        <v/>
      </c>
      <c r="M5801" s="47" t="str">
        <f>IFERROR(VLOOKUP(G5801,WholesaleExtract!B:M,12,FALSE),"")</f>
        <v/>
      </c>
    </row>
    <row r="5802" spans="1:13" x14ac:dyDescent="0.35">
      <c r="A5802" s="26" t="s">
        <v>543</v>
      </c>
      <c r="B5802" s="26" t="s">
        <v>543</v>
      </c>
      <c r="C5802" s="26"/>
      <c r="D5802" s="26" t="s">
        <v>543</v>
      </c>
      <c r="E5802" s="26" t="str">
        <f>IFERROR(VLOOKUP(G5802,WholesaleExtract!B:J,9,FALSE),"")</f>
        <v/>
      </c>
      <c r="F5802" s="26" t="str">
        <f>IFERROR(VLOOKUP(G5802,WholesaleExtract!B:J,6,FALSE),"")</f>
        <v/>
      </c>
      <c r="H5802" s="47" t="str">
        <f>IFERROR(VLOOKUP(G5802,WholesaleExtract!B:L,11,FALSE),"")</f>
        <v/>
      </c>
      <c r="I5802" s="26" t="str">
        <f>IFERROR(VLOOKUP(G5802,WholesaleExtract!B:O,8,FALSE),"")</f>
        <v/>
      </c>
      <c r="J5802" s="26" t="str">
        <f>IFERROR(VLOOKUP(G5802,WholesaleExtract!B:O,14,FALSE),"")</f>
        <v/>
      </c>
      <c r="K5802" s="26" t="str">
        <f>IFERROR(VLOOKUP(G5802,WholesaleExtract!B:K,10,FALSE),"")</f>
        <v/>
      </c>
      <c r="L5802" s="47" t="str">
        <f>IFERROR(VLOOKUP(G5802,WholesaleExtract!B:L,11,FALSE),"")</f>
        <v/>
      </c>
      <c r="M5802" s="47" t="str">
        <f>IFERROR(VLOOKUP(G5802,WholesaleExtract!B:M,12,FALSE),"")</f>
        <v/>
      </c>
    </row>
    <row r="5803" spans="1:13" x14ac:dyDescent="0.35">
      <c r="A5803" s="26" t="s">
        <v>543</v>
      </c>
      <c r="B5803" s="26" t="s">
        <v>543</v>
      </c>
      <c r="C5803" s="26"/>
      <c r="D5803" s="26" t="s">
        <v>543</v>
      </c>
      <c r="E5803" s="26" t="str">
        <f>IFERROR(VLOOKUP(G5803,WholesaleExtract!B:J,9,FALSE),"")</f>
        <v/>
      </c>
      <c r="F5803" s="26" t="str">
        <f>IFERROR(VLOOKUP(G5803,WholesaleExtract!B:J,6,FALSE),"")</f>
        <v/>
      </c>
      <c r="H5803" s="47" t="str">
        <f>IFERROR(VLOOKUP(G5803,WholesaleExtract!B:L,11,FALSE),"")</f>
        <v/>
      </c>
      <c r="I5803" s="26" t="str">
        <f>IFERROR(VLOOKUP(G5803,WholesaleExtract!B:O,8,FALSE),"")</f>
        <v/>
      </c>
      <c r="J5803" s="26" t="str">
        <f>IFERROR(VLOOKUP(G5803,WholesaleExtract!B:O,14,FALSE),"")</f>
        <v/>
      </c>
      <c r="K5803" s="26" t="str">
        <f>IFERROR(VLOOKUP(G5803,WholesaleExtract!B:K,10,FALSE),"")</f>
        <v/>
      </c>
      <c r="L5803" s="47" t="str">
        <f>IFERROR(VLOOKUP(G5803,WholesaleExtract!B:L,11,FALSE),"")</f>
        <v/>
      </c>
      <c r="M5803" s="47" t="str">
        <f>IFERROR(VLOOKUP(G5803,WholesaleExtract!B:M,12,FALSE),"")</f>
        <v/>
      </c>
    </row>
    <row r="5804" spans="1:13" x14ac:dyDescent="0.35">
      <c r="A5804" s="26" t="s">
        <v>543</v>
      </c>
      <c r="B5804" s="26" t="s">
        <v>543</v>
      </c>
      <c r="C5804" s="26"/>
      <c r="D5804" s="26" t="s">
        <v>543</v>
      </c>
      <c r="E5804" s="26" t="str">
        <f>IFERROR(VLOOKUP(G5804,WholesaleExtract!B:J,9,FALSE),"")</f>
        <v/>
      </c>
      <c r="F5804" s="26" t="str">
        <f>IFERROR(VLOOKUP(G5804,WholesaleExtract!B:J,6,FALSE),"")</f>
        <v/>
      </c>
      <c r="H5804" s="47" t="str">
        <f>IFERROR(VLOOKUP(G5804,WholesaleExtract!B:L,11,FALSE),"")</f>
        <v/>
      </c>
      <c r="I5804" s="26" t="str">
        <f>IFERROR(VLOOKUP(G5804,WholesaleExtract!B:O,8,FALSE),"")</f>
        <v/>
      </c>
      <c r="J5804" s="26" t="str">
        <f>IFERROR(VLOOKUP(G5804,WholesaleExtract!B:O,14,FALSE),"")</f>
        <v/>
      </c>
      <c r="K5804" s="26" t="str">
        <f>IFERROR(VLOOKUP(G5804,WholesaleExtract!B:K,10,FALSE),"")</f>
        <v/>
      </c>
      <c r="L5804" s="47" t="str">
        <f>IFERROR(VLOOKUP(G5804,WholesaleExtract!B:L,11,FALSE),"")</f>
        <v/>
      </c>
      <c r="M5804" s="47" t="str">
        <f>IFERROR(VLOOKUP(G5804,WholesaleExtract!B:M,12,FALSE),"")</f>
        <v/>
      </c>
    </row>
    <row r="5805" spans="1:13" x14ac:dyDescent="0.35">
      <c r="A5805" s="26" t="s">
        <v>543</v>
      </c>
      <c r="B5805" s="26" t="s">
        <v>543</v>
      </c>
      <c r="C5805" s="26"/>
      <c r="D5805" s="26" t="s">
        <v>543</v>
      </c>
      <c r="E5805" s="26" t="str">
        <f>IFERROR(VLOOKUP(G5805,WholesaleExtract!B:J,9,FALSE),"")</f>
        <v/>
      </c>
      <c r="F5805" s="26" t="str">
        <f>IFERROR(VLOOKUP(G5805,WholesaleExtract!B:J,6,FALSE),"")</f>
        <v/>
      </c>
      <c r="H5805" s="47" t="str">
        <f>IFERROR(VLOOKUP(G5805,WholesaleExtract!B:L,11,FALSE),"")</f>
        <v/>
      </c>
      <c r="I5805" s="26" t="str">
        <f>IFERROR(VLOOKUP(G5805,WholesaleExtract!B:O,8,FALSE),"")</f>
        <v/>
      </c>
      <c r="J5805" s="26" t="str">
        <f>IFERROR(VLOOKUP(G5805,WholesaleExtract!B:O,14,FALSE),"")</f>
        <v/>
      </c>
      <c r="K5805" s="26" t="str">
        <f>IFERROR(VLOOKUP(G5805,WholesaleExtract!B:K,10,FALSE),"")</f>
        <v/>
      </c>
      <c r="L5805" s="47" t="str">
        <f>IFERROR(VLOOKUP(G5805,WholesaleExtract!B:L,11,FALSE),"")</f>
        <v/>
      </c>
      <c r="M5805" s="47" t="str">
        <f>IFERROR(VLOOKUP(G5805,WholesaleExtract!B:M,12,FALSE),"")</f>
        <v/>
      </c>
    </row>
    <row r="5806" spans="1:13" x14ac:dyDescent="0.35">
      <c r="A5806" s="26" t="s">
        <v>543</v>
      </c>
      <c r="B5806" s="26" t="s">
        <v>543</v>
      </c>
      <c r="C5806" s="26"/>
      <c r="D5806" s="26" t="s">
        <v>543</v>
      </c>
      <c r="E5806" s="26" t="str">
        <f>IFERROR(VLOOKUP(G5806,WholesaleExtract!B:J,9,FALSE),"")</f>
        <v/>
      </c>
      <c r="F5806" s="26" t="str">
        <f>IFERROR(VLOOKUP(G5806,WholesaleExtract!B:J,6,FALSE),"")</f>
        <v/>
      </c>
      <c r="H5806" s="47" t="str">
        <f>IFERROR(VLOOKUP(G5806,WholesaleExtract!B:L,11,FALSE),"")</f>
        <v/>
      </c>
      <c r="I5806" s="26" t="str">
        <f>IFERROR(VLOOKUP(G5806,WholesaleExtract!B:O,8,FALSE),"")</f>
        <v/>
      </c>
      <c r="J5806" s="26" t="str">
        <f>IFERROR(VLOOKUP(G5806,WholesaleExtract!B:O,14,FALSE),"")</f>
        <v/>
      </c>
      <c r="K5806" s="26" t="str">
        <f>IFERROR(VLOOKUP(G5806,WholesaleExtract!B:K,10,FALSE),"")</f>
        <v/>
      </c>
      <c r="L5806" s="47" t="str">
        <f>IFERROR(VLOOKUP(G5806,WholesaleExtract!B:L,11,FALSE),"")</f>
        <v/>
      </c>
      <c r="M5806" s="47" t="str">
        <f>IFERROR(VLOOKUP(G5806,WholesaleExtract!B:M,12,FALSE),"")</f>
        <v/>
      </c>
    </row>
    <row r="5807" spans="1:13" x14ac:dyDescent="0.35">
      <c r="A5807" s="26" t="s">
        <v>543</v>
      </c>
      <c r="B5807" s="26" t="s">
        <v>543</v>
      </c>
      <c r="C5807" s="26"/>
      <c r="D5807" s="26" t="s">
        <v>543</v>
      </c>
      <c r="E5807" s="26" t="str">
        <f>IFERROR(VLOOKUP(G5807,WholesaleExtract!B:J,9,FALSE),"")</f>
        <v/>
      </c>
      <c r="F5807" s="26" t="str">
        <f>IFERROR(VLOOKUP(G5807,WholesaleExtract!B:J,6,FALSE),"")</f>
        <v/>
      </c>
      <c r="H5807" s="47" t="str">
        <f>IFERROR(VLOOKUP(G5807,WholesaleExtract!B:L,11,FALSE),"")</f>
        <v/>
      </c>
      <c r="I5807" s="26" t="str">
        <f>IFERROR(VLOOKUP(G5807,WholesaleExtract!B:O,8,FALSE),"")</f>
        <v/>
      </c>
      <c r="J5807" s="26" t="str">
        <f>IFERROR(VLOOKUP(G5807,WholesaleExtract!B:O,14,FALSE),"")</f>
        <v/>
      </c>
      <c r="K5807" s="26" t="str">
        <f>IFERROR(VLOOKUP(G5807,WholesaleExtract!B:K,10,FALSE),"")</f>
        <v/>
      </c>
      <c r="L5807" s="47" t="str">
        <f>IFERROR(VLOOKUP(G5807,WholesaleExtract!B:L,11,FALSE),"")</f>
        <v/>
      </c>
      <c r="M5807" s="47" t="str">
        <f>IFERROR(VLOOKUP(G5807,WholesaleExtract!B:M,12,FALSE),"")</f>
        <v/>
      </c>
    </row>
    <row r="5808" spans="1:13" x14ac:dyDescent="0.35">
      <c r="A5808" s="26" t="s">
        <v>543</v>
      </c>
      <c r="B5808" s="26" t="s">
        <v>543</v>
      </c>
      <c r="C5808" s="26"/>
      <c r="D5808" s="26" t="s">
        <v>543</v>
      </c>
      <c r="E5808" s="26" t="str">
        <f>IFERROR(VLOOKUP(G5808,WholesaleExtract!B:J,9,FALSE),"")</f>
        <v/>
      </c>
      <c r="F5808" s="26" t="str">
        <f>IFERROR(VLOOKUP(G5808,WholesaleExtract!B:J,6,FALSE),"")</f>
        <v/>
      </c>
      <c r="H5808" s="47" t="str">
        <f>IFERROR(VLOOKUP(G5808,WholesaleExtract!B:L,11,FALSE),"")</f>
        <v/>
      </c>
      <c r="I5808" s="26" t="str">
        <f>IFERROR(VLOOKUP(G5808,WholesaleExtract!B:O,8,FALSE),"")</f>
        <v/>
      </c>
      <c r="J5808" s="26" t="str">
        <f>IFERROR(VLOOKUP(G5808,WholesaleExtract!B:O,14,FALSE),"")</f>
        <v/>
      </c>
      <c r="K5808" s="26" t="str">
        <f>IFERROR(VLOOKUP(G5808,WholesaleExtract!B:K,10,FALSE),"")</f>
        <v/>
      </c>
      <c r="L5808" s="47" t="str">
        <f>IFERROR(VLOOKUP(G5808,WholesaleExtract!B:L,11,FALSE),"")</f>
        <v/>
      </c>
      <c r="M5808" s="47" t="str">
        <f>IFERROR(VLOOKUP(G5808,WholesaleExtract!B:M,12,FALSE),"")</f>
        <v/>
      </c>
    </row>
    <row r="5809" spans="1:13" x14ac:dyDescent="0.35">
      <c r="A5809" s="26" t="s">
        <v>543</v>
      </c>
      <c r="B5809" s="26" t="s">
        <v>543</v>
      </c>
      <c r="C5809" s="26"/>
      <c r="D5809" s="26" t="s">
        <v>543</v>
      </c>
      <c r="E5809" s="26" t="str">
        <f>IFERROR(VLOOKUP(G5809,WholesaleExtract!B:J,9,FALSE),"")</f>
        <v/>
      </c>
      <c r="F5809" s="26" t="str">
        <f>IFERROR(VLOOKUP(G5809,WholesaleExtract!B:J,6,FALSE),"")</f>
        <v/>
      </c>
      <c r="H5809" s="47" t="str">
        <f>IFERROR(VLOOKUP(G5809,WholesaleExtract!B:L,11,FALSE),"")</f>
        <v/>
      </c>
      <c r="I5809" s="26" t="str">
        <f>IFERROR(VLOOKUP(G5809,WholesaleExtract!B:O,8,FALSE),"")</f>
        <v/>
      </c>
      <c r="J5809" s="26" t="str">
        <f>IFERROR(VLOOKUP(G5809,WholesaleExtract!B:O,14,FALSE),"")</f>
        <v/>
      </c>
      <c r="K5809" s="26" t="str">
        <f>IFERROR(VLOOKUP(G5809,WholesaleExtract!B:K,10,FALSE),"")</f>
        <v/>
      </c>
      <c r="L5809" s="47" t="str">
        <f>IFERROR(VLOOKUP(G5809,WholesaleExtract!B:L,11,FALSE),"")</f>
        <v/>
      </c>
      <c r="M5809" s="47" t="str">
        <f>IFERROR(VLOOKUP(G5809,WholesaleExtract!B:M,12,FALSE),"")</f>
        <v/>
      </c>
    </row>
    <row r="5810" spans="1:13" x14ac:dyDescent="0.35">
      <c r="A5810" s="26" t="s">
        <v>543</v>
      </c>
      <c r="B5810" s="26" t="s">
        <v>543</v>
      </c>
      <c r="C5810" s="26"/>
      <c r="D5810" s="26" t="s">
        <v>543</v>
      </c>
      <c r="E5810" s="26" t="str">
        <f>IFERROR(VLOOKUP(G5810,WholesaleExtract!B:J,9,FALSE),"")</f>
        <v/>
      </c>
      <c r="F5810" s="26" t="str">
        <f>IFERROR(VLOOKUP(G5810,WholesaleExtract!B:J,6,FALSE),"")</f>
        <v/>
      </c>
      <c r="H5810" s="47" t="str">
        <f>IFERROR(VLOOKUP(G5810,WholesaleExtract!B:L,11,FALSE),"")</f>
        <v/>
      </c>
      <c r="I5810" s="26" t="str">
        <f>IFERROR(VLOOKUP(G5810,WholesaleExtract!B:O,8,FALSE),"")</f>
        <v/>
      </c>
      <c r="J5810" s="26" t="str">
        <f>IFERROR(VLOOKUP(G5810,WholesaleExtract!B:O,14,FALSE),"")</f>
        <v/>
      </c>
      <c r="K5810" s="26" t="str">
        <f>IFERROR(VLOOKUP(G5810,WholesaleExtract!B:K,10,FALSE),"")</f>
        <v/>
      </c>
      <c r="L5810" s="47" t="str">
        <f>IFERROR(VLOOKUP(G5810,WholesaleExtract!B:L,11,FALSE),"")</f>
        <v/>
      </c>
      <c r="M5810" s="47" t="str">
        <f>IFERROR(VLOOKUP(G5810,WholesaleExtract!B:M,12,FALSE),"")</f>
        <v/>
      </c>
    </row>
    <row r="5811" spans="1:13" x14ac:dyDescent="0.35">
      <c r="A5811" s="26" t="s">
        <v>543</v>
      </c>
      <c r="B5811" s="26" t="s">
        <v>543</v>
      </c>
      <c r="C5811" s="26"/>
      <c r="D5811" s="26" t="s">
        <v>543</v>
      </c>
      <c r="E5811" s="26" t="str">
        <f>IFERROR(VLOOKUP(G5811,WholesaleExtract!B:J,9,FALSE),"")</f>
        <v/>
      </c>
      <c r="F5811" s="26" t="str">
        <f>IFERROR(VLOOKUP(G5811,WholesaleExtract!B:J,6,FALSE),"")</f>
        <v/>
      </c>
      <c r="H5811" s="47" t="str">
        <f>IFERROR(VLOOKUP(G5811,WholesaleExtract!B:L,11,FALSE),"")</f>
        <v/>
      </c>
      <c r="I5811" s="26" t="str">
        <f>IFERROR(VLOOKUP(G5811,WholesaleExtract!B:O,8,FALSE),"")</f>
        <v/>
      </c>
      <c r="J5811" s="26" t="str">
        <f>IFERROR(VLOOKUP(G5811,WholesaleExtract!B:O,14,FALSE),"")</f>
        <v/>
      </c>
      <c r="K5811" s="26" t="str">
        <f>IFERROR(VLOOKUP(G5811,WholesaleExtract!B:K,10,FALSE),"")</f>
        <v/>
      </c>
      <c r="L5811" s="47" t="str">
        <f>IFERROR(VLOOKUP(G5811,WholesaleExtract!B:L,11,FALSE),"")</f>
        <v/>
      </c>
      <c r="M5811" s="47" t="str">
        <f>IFERROR(VLOOKUP(G5811,WholesaleExtract!B:M,12,FALSE),"")</f>
        <v/>
      </c>
    </row>
    <row r="5812" spans="1:13" x14ac:dyDescent="0.35">
      <c r="A5812" s="26" t="s">
        <v>543</v>
      </c>
      <c r="B5812" s="26" t="s">
        <v>543</v>
      </c>
      <c r="C5812" s="26"/>
      <c r="D5812" s="26" t="s">
        <v>543</v>
      </c>
      <c r="E5812" s="26" t="str">
        <f>IFERROR(VLOOKUP(G5812,WholesaleExtract!B:J,9,FALSE),"")</f>
        <v/>
      </c>
      <c r="F5812" s="26" t="str">
        <f>IFERROR(VLOOKUP(G5812,WholesaleExtract!B:J,6,FALSE),"")</f>
        <v/>
      </c>
      <c r="H5812" s="47" t="str">
        <f>IFERROR(VLOOKUP(G5812,WholesaleExtract!B:L,11,FALSE),"")</f>
        <v/>
      </c>
      <c r="I5812" s="26" t="str">
        <f>IFERROR(VLOOKUP(G5812,WholesaleExtract!B:O,8,FALSE),"")</f>
        <v/>
      </c>
      <c r="J5812" s="26" t="str">
        <f>IFERROR(VLOOKUP(G5812,WholesaleExtract!B:O,14,FALSE),"")</f>
        <v/>
      </c>
      <c r="K5812" s="26" t="str">
        <f>IFERROR(VLOOKUP(G5812,WholesaleExtract!B:K,10,FALSE),"")</f>
        <v/>
      </c>
      <c r="L5812" s="47" t="str">
        <f>IFERROR(VLOOKUP(G5812,WholesaleExtract!B:L,11,FALSE),"")</f>
        <v/>
      </c>
      <c r="M5812" s="47" t="str">
        <f>IFERROR(VLOOKUP(G5812,WholesaleExtract!B:M,12,FALSE),"")</f>
        <v/>
      </c>
    </row>
    <row r="5813" spans="1:13" x14ac:dyDescent="0.35">
      <c r="A5813" s="26" t="s">
        <v>543</v>
      </c>
      <c r="B5813" s="26" t="s">
        <v>543</v>
      </c>
      <c r="C5813" s="26"/>
      <c r="D5813" s="26" t="s">
        <v>543</v>
      </c>
      <c r="E5813" s="26" t="str">
        <f>IFERROR(VLOOKUP(G5813,WholesaleExtract!B:J,9,FALSE),"")</f>
        <v/>
      </c>
      <c r="F5813" s="26" t="str">
        <f>IFERROR(VLOOKUP(G5813,WholesaleExtract!B:J,6,FALSE),"")</f>
        <v/>
      </c>
      <c r="H5813" s="47" t="str">
        <f>IFERROR(VLOOKUP(G5813,WholesaleExtract!B:L,11,FALSE),"")</f>
        <v/>
      </c>
      <c r="I5813" s="26" t="str">
        <f>IFERROR(VLOOKUP(G5813,WholesaleExtract!B:O,8,FALSE),"")</f>
        <v/>
      </c>
      <c r="J5813" s="26" t="str">
        <f>IFERROR(VLOOKUP(G5813,WholesaleExtract!B:O,14,FALSE),"")</f>
        <v/>
      </c>
      <c r="K5813" s="26" t="str">
        <f>IFERROR(VLOOKUP(G5813,WholesaleExtract!B:K,10,FALSE),"")</f>
        <v/>
      </c>
      <c r="L5813" s="47" t="str">
        <f>IFERROR(VLOOKUP(G5813,WholesaleExtract!B:L,11,FALSE),"")</f>
        <v/>
      </c>
      <c r="M5813" s="47" t="str">
        <f>IFERROR(VLOOKUP(G5813,WholesaleExtract!B:M,12,FALSE),"")</f>
        <v/>
      </c>
    </row>
    <row r="5814" spans="1:13" x14ac:dyDescent="0.35">
      <c r="A5814" s="26" t="s">
        <v>543</v>
      </c>
      <c r="B5814" s="26" t="s">
        <v>543</v>
      </c>
      <c r="C5814" s="26"/>
      <c r="D5814" s="26" t="s">
        <v>543</v>
      </c>
      <c r="E5814" s="26" t="str">
        <f>IFERROR(VLOOKUP(G5814,WholesaleExtract!B:J,9,FALSE),"")</f>
        <v/>
      </c>
      <c r="F5814" s="26" t="str">
        <f>IFERROR(VLOOKUP(G5814,WholesaleExtract!B:J,6,FALSE),"")</f>
        <v/>
      </c>
      <c r="H5814" s="47" t="str">
        <f>IFERROR(VLOOKUP(G5814,WholesaleExtract!B:L,11,FALSE),"")</f>
        <v/>
      </c>
      <c r="I5814" s="26" t="str">
        <f>IFERROR(VLOOKUP(G5814,WholesaleExtract!B:O,8,FALSE),"")</f>
        <v/>
      </c>
      <c r="J5814" s="26" t="str">
        <f>IFERROR(VLOOKUP(G5814,WholesaleExtract!B:O,14,FALSE),"")</f>
        <v/>
      </c>
      <c r="K5814" s="26" t="str">
        <f>IFERROR(VLOOKUP(G5814,WholesaleExtract!B:K,10,FALSE),"")</f>
        <v/>
      </c>
      <c r="L5814" s="47" t="str">
        <f>IFERROR(VLOOKUP(G5814,WholesaleExtract!B:L,11,FALSE),"")</f>
        <v/>
      </c>
      <c r="M5814" s="47" t="str">
        <f>IFERROR(VLOOKUP(G5814,WholesaleExtract!B:M,12,FALSE),"")</f>
        <v/>
      </c>
    </row>
    <row r="5815" spans="1:13" x14ac:dyDescent="0.35">
      <c r="A5815" s="26" t="s">
        <v>543</v>
      </c>
      <c r="B5815" s="26" t="s">
        <v>543</v>
      </c>
      <c r="C5815" s="26"/>
      <c r="D5815" s="26" t="s">
        <v>543</v>
      </c>
      <c r="E5815" s="26" t="str">
        <f>IFERROR(VLOOKUP(G5815,WholesaleExtract!B:J,9,FALSE),"")</f>
        <v/>
      </c>
      <c r="F5815" s="26" t="str">
        <f>IFERROR(VLOOKUP(G5815,WholesaleExtract!B:J,6,FALSE),"")</f>
        <v/>
      </c>
      <c r="H5815" s="47" t="str">
        <f>IFERROR(VLOOKUP(G5815,WholesaleExtract!B:L,11,FALSE),"")</f>
        <v/>
      </c>
      <c r="I5815" s="26" t="str">
        <f>IFERROR(VLOOKUP(G5815,WholesaleExtract!B:O,8,FALSE),"")</f>
        <v/>
      </c>
      <c r="J5815" s="26" t="str">
        <f>IFERROR(VLOOKUP(G5815,WholesaleExtract!B:O,14,FALSE),"")</f>
        <v/>
      </c>
      <c r="K5815" s="26" t="str">
        <f>IFERROR(VLOOKUP(G5815,WholesaleExtract!B:K,10,FALSE),"")</f>
        <v/>
      </c>
      <c r="L5815" s="47" t="str">
        <f>IFERROR(VLOOKUP(G5815,WholesaleExtract!B:L,11,FALSE),"")</f>
        <v/>
      </c>
      <c r="M5815" s="47" t="str">
        <f>IFERROR(VLOOKUP(G5815,WholesaleExtract!B:M,12,FALSE),"")</f>
        <v/>
      </c>
    </row>
    <row r="5816" spans="1:13" x14ac:dyDescent="0.35">
      <c r="A5816" s="26" t="s">
        <v>543</v>
      </c>
      <c r="B5816" s="26" t="s">
        <v>543</v>
      </c>
      <c r="C5816" s="26"/>
      <c r="D5816" s="26" t="s">
        <v>543</v>
      </c>
      <c r="E5816" s="26" t="str">
        <f>IFERROR(VLOOKUP(G5816,WholesaleExtract!B:J,9,FALSE),"")</f>
        <v/>
      </c>
      <c r="F5816" s="26" t="str">
        <f>IFERROR(VLOOKUP(G5816,WholesaleExtract!B:J,6,FALSE),"")</f>
        <v/>
      </c>
      <c r="H5816" s="47" t="str">
        <f>IFERROR(VLOOKUP(G5816,WholesaleExtract!B:L,11,FALSE),"")</f>
        <v/>
      </c>
      <c r="I5816" s="26" t="str">
        <f>IFERROR(VLOOKUP(G5816,WholesaleExtract!B:O,8,FALSE),"")</f>
        <v/>
      </c>
      <c r="J5816" s="26" t="str">
        <f>IFERROR(VLOOKUP(G5816,WholesaleExtract!B:O,14,FALSE),"")</f>
        <v/>
      </c>
      <c r="K5816" s="26" t="str">
        <f>IFERROR(VLOOKUP(G5816,WholesaleExtract!B:K,10,FALSE),"")</f>
        <v/>
      </c>
      <c r="L5816" s="47" t="str">
        <f>IFERROR(VLOOKUP(G5816,WholesaleExtract!B:L,11,FALSE),"")</f>
        <v/>
      </c>
      <c r="M5816" s="47" t="str">
        <f>IFERROR(VLOOKUP(G5816,WholesaleExtract!B:M,12,FALSE),"")</f>
        <v/>
      </c>
    </row>
    <row r="5817" spans="1:13" x14ac:dyDescent="0.35">
      <c r="A5817" s="26" t="s">
        <v>543</v>
      </c>
      <c r="B5817" s="26" t="s">
        <v>543</v>
      </c>
      <c r="C5817" s="26"/>
      <c r="D5817" s="26" t="s">
        <v>543</v>
      </c>
      <c r="E5817" s="26" t="str">
        <f>IFERROR(VLOOKUP(G5817,WholesaleExtract!B:J,9,FALSE),"")</f>
        <v/>
      </c>
      <c r="F5817" s="26" t="str">
        <f>IFERROR(VLOOKUP(G5817,WholesaleExtract!B:J,6,FALSE),"")</f>
        <v/>
      </c>
      <c r="H5817" s="47" t="str">
        <f>IFERROR(VLOOKUP(G5817,WholesaleExtract!B:L,11,FALSE),"")</f>
        <v/>
      </c>
      <c r="I5817" s="26" t="str">
        <f>IFERROR(VLOOKUP(G5817,WholesaleExtract!B:O,8,FALSE),"")</f>
        <v/>
      </c>
      <c r="J5817" s="26" t="str">
        <f>IFERROR(VLOOKUP(G5817,WholesaleExtract!B:O,14,FALSE),"")</f>
        <v/>
      </c>
      <c r="K5817" s="26" t="str">
        <f>IFERROR(VLOOKUP(G5817,WholesaleExtract!B:K,10,FALSE),"")</f>
        <v/>
      </c>
      <c r="L5817" s="47" t="str">
        <f>IFERROR(VLOOKUP(G5817,WholesaleExtract!B:L,11,FALSE),"")</f>
        <v/>
      </c>
      <c r="M5817" s="47" t="str">
        <f>IFERROR(VLOOKUP(G5817,WholesaleExtract!B:M,12,FALSE),"")</f>
        <v/>
      </c>
    </row>
    <row r="5818" spans="1:13" x14ac:dyDescent="0.35">
      <c r="A5818" s="26" t="s">
        <v>543</v>
      </c>
      <c r="B5818" s="26" t="s">
        <v>543</v>
      </c>
      <c r="C5818" s="26"/>
      <c r="D5818" s="26" t="s">
        <v>543</v>
      </c>
      <c r="E5818" s="26" t="str">
        <f>IFERROR(VLOOKUP(G5818,WholesaleExtract!B:J,9,FALSE),"")</f>
        <v/>
      </c>
      <c r="F5818" s="26" t="str">
        <f>IFERROR(VLOOKUP(G5818,WholesaleExtract!B:J,6,FALSE),"")</f>
        <v/>
      </c>
      <c r="H5818" s="47" t="str">
        <f>IFERROR(VLOOKUP(G5818,WholesaleExtract!B:L,11,FALSE),"")</f>
        <v/>
      </c>
      <c r="I5818" s="26" t="str">
        <f>IFERROR(VLOOKUP(G5818,WholesaleExtract!B:O,8,FALSE),"")</f>
        <v/>
      </c>
      <c r="J5818" s="26" t="str">
        <f>IFERROR(VLOOKUP(G5818,WholesaleExtract!B:O,14,FALSE),"")</f>
        <v/>
      </c>
      <c r="K5818" s="26" t="str">
        <f>IFERROR(VLOOKUP(G5818,WholesaleExtract!B:K,10,FALSE),"")</f>
        <v/>
      </c>
      <c r="L5818" s="47" t="str">
        <f>IFERROR(VLOOKUP(G5818,WholesaleExtract!B:L,11,FALSE),"")</f>
        <v/>
      </c>
      <c r="M5818" s="47" t="str">
        <f>IFERROR(VLOOKUP(G5818,WholesaleExtract!B:M,12,FALSE),"")</f>
        <v/>
      </c>
    </row>
    <row r="5819" spans="1:13" x14ac:dyDescent="0.35">
      <c r="A5819" s="26" t="s">
        <v>543</v>
      </c>
      <c r="B5819" s="26" t="s">
        <v>543</v>
      </c>
      <c r="C5819" s="26"/>
      <c r="D5819" s="26" t="s">
        <v>543</v>
      </c>
      <c r="E5819" s="26" t="str">
        <f>IFERROR(VLOOKUP(G5819,WholesaleExtract!B:J,9,FALSE),"")</f>
        <v/>
      </c>
      <c r="F5819" s="26" t="str">
        <f>IFERROR(VLOOKUP(G5819,WholesaleExtract!B:J,6,FALSE),"")</f>
        <v/>
      </c>
      <c r="H5819" s="47" t="str">
        <f>IFERROR(VLOOKUP(G5819,WholesaleExtract!B:L,11,FALSE),"")</f>
        <v/>
      </c>
      <c r="I5819" s="26" t="str">
        <f>IFERROR(VLOOKUP(G5819,WholesaleExtract!B:O,8,FALSE),"")</f>
        <v/>
      </c>
      <c r="J5819" s="26" t="str">
        <f>IFERROR(VLOOKUP(G5819,WholesaleExtract!B:O,14,FALSE),"")</f>
        <v/>
      </c>
      <c r="K5819" s="26" t="str">
        <f>IFERROR(VLOOKUP(G5819,WholesaleExtract!B:K,10,FALSE),"")</f>
        <v/>
      </c>
      <c r="L5819" s="47" t="str">
        <f>IFERROR(VLOOKUP(G5819,WholesaleExtract!B:L,11,FALSE),"")</f>
        <v/>
      </c>
      <c r="M5819" s="47" t="str">
        <f>IFERROR(VLOOKUP(G5819,WholesaleExtract!B:M,12,FALSE),"")</f>
        <v/>
      </c>
    </row>
    <row r="5820" spans="1:13" x14ac:dyDescent="0.35">
      <c r="A5820" s="26" t="s">
        <v>543</v>
      </c>
      <c r="B5820" s="26" t="s">
        <v>543</v>
      </c>
      <c r="C5820" s="26"/>
      <c r="D5820" s="26" t="s">
        <v>543</v>
      </c>
      <c r="E5820" s="26" t="str">
        <f>IFERROR(VLOOKUP(G5820,WholesaleExtract!B:J,9,FALSE),"")</f>
        <v/>
      </c>
      <c r="F5820" s="26" t="str">
        <f>IFERROR(VLOOKUP(G5820,WholesaleExtract!B:J,6,FALSE),"")</f>
        <v/>
      </c>
      <c r="H5820" s="47" t="str">
        <f>IFERROR(VLOOKUP(G5820,WholesaleExtract!B:L,11,FALSE),"")</f>
        <v/>
      </c>
      <c r="I5820" s="26" t="str">
        <f>IFERROR(VLOOKUP(G5820,WholesaleExtract!B:O,8,FALSE),"")</f>
        <v/>
      </c>
      <c r="J5820" s="26" t="str">
        <f>IFERROR(VLOOKUP(G5820,WholesaleExtract!B:O,14,FALSE),"")</f>
        <v/>
      </c>
      <c r="K5820" s="26" t="str">
        <f>IFERROR(VLOOKUP(G5820,WholesaleExtract!B:K,10,FALSE),"")</f>
        <v/>
      </c>
      <c r="L5820" s="47" t="str">
        <f>IFERROR(VLOOKUP(G5820,WholesaleExtract!B:L,11,FALSE),"")</f>
        <v/>
      </c>
      <c r="M5820" s="47" t="str">
        <f>IFERROR(VLOOKUP(G5820,WholesaleExtract!B:M,12,FALSE),"")</f>
        <v/>
      </c>
    </row>
    <row r="5821" spans="1:13" x14ac:dyDescent="0.35">
      <c r="A5821" s="26" t="s">
        <v>543</v>
      </c>
      <c r="B5821" s="26" t="s">
        <v>543</v>
      </c>
      <c r="C5821" s="26"/>
      <c r="D5821" s="26" t="s">
        <v>543</v>
      </c>
      <c r="E5821" s="26" t="str">
        <f>IFERROR(VLOOKUP(G5821,WholesaleExtract!B:J,9,FALSE),"")</f>
        <v/>
      </c>
      <c r="F5821" s="26" t="str">
        <f>IFERROR(VLOOKUP(G5821,WholesaleExtract!B:J,6,FALSE),"")</f>
        <v/>
      </c>
      <c r="H5821" s="47" t="str">
        <f>IFERROR(VLOOKUP(G5821,WholesaleExtract!B:L,11,FALSE),"")</f>
        <v/>
      </c>
      <c r="I5821" s="26" t="str">
        <f>IFERROR(VLOOKUP(G5821,WholesaleExtract!B:O,8,FALSE),"")</f>
        <v/>
      </c>
      <c r="J5821" s="26" t="str">
        <f>IFERROR(VLOOKUP(G5821,WholesaleExtract!B:O,14,FALSE),"")</f>
        <v/>
      </c>
      <c r="K5821" s="26" t="str">
        <f>IFERROR(VLOOKUP(G5821,WholesaleExtract!B:K,10,FALSE),"")</f>
        <v/>
      </c>
      <c r="L5821" s="47" t="str">
        <f>IFERROR(VLOOKUP(G5821,WholesaleExtract!B:L,11,FALSE),"")</f>
        <v/>
      </c>
      <c r="M5821" s="47" t="str">
        <f>IFERROR(VLOOKUP(G5821,WholesaleExtract!B:M,12,FALSE),"")</f>
        <v/>
      </c>
    </row>
    <row r="5822" spans="1:13" x14ac:dyDescent="0.35">
      <c r="A5822" s="26" t="s">
        <v>543</v>
      </c>
      <c r="B5822" s="26" t="s">
        <v>543</v>
      </c>
      <c r="C5822" s="26"/>
      <c r="D5822" s="26" t="s">
        <v>543</v>
      </c>
      <c r="E5822" s="26" t="str">
        <f>IFERROR(VLOOKUP(G5822,WholesaleExtract!B:J,9,FALSE),"")</f>
        <v/>
      </c>
      <c r="F5822" s="26" t="str">
        <f>IFERROR(VLOOKUP(G5822,WholesaleExtract!B:J,6,FALSE),"")</f>
        <v/>
      </c>
      <c r="H5822" s="47" t="str">
        <f>IFERROR(VLOOKUP(G5822,WholesaleExtract!B:L,11,FALSE),"")</f>
        <v/>
      </c>
      <c r="I5822" s="26" t="str">
        <f>IFERROR(VLOOKUP(G5822,WholesaleExtract!B:O,8,FALSE),"")</f>
        <v/>
      </c>
      <c r="J5822" s="26" t="str">
        <f>IFERROR(VLOOKUP(G5822,WholesaleExtract!B:O,14,FALSE),"")</f>
        <v/>
      </c>
      <c r="K5822" s="26" t="str">
        <f>IFERROR(VLOOKUP(G5822,WholesaleExtract!B:K,10,FALSE),"")</f>
        <v/>
      </c>
      <c r="L5822" s="47" t="str">
        <f>IFERROR(VLOOKUP(G5822,WholesaleExtract!B:L,11,FALSE),"")</f>
        <v/>
      </c>
      <c r="M5822" s="47" t="str">
        <f>IFERROR(VLOOKUP(G5822,WholesaleExtract!B:M,12,FALSE),"")</f>
        <v/>
      </c>
    </row>
    <row r="5823" spans="1:13" x14ac:dyDescent="0.35">
      <c r="A5823" s="26" t="s">
        <v>543</v>
      </c>
      <c r="B5823" s="26" t="s">
        <v>543</v>
      </c>
      <c r="C5823" s="26"/>
      <c r="D5823" s="26" t="s">
        <v>543</v>
      </c>
      <c r="E5823" s="26" t="str">
        <f>IFERROR(VLOOKUP(G5823,WholesaleExtract!B:J,9,FALSE),"")</f>
        <v/>
      </c>
      <c r="F5823" s="26" t="str">
        <f>IFERROR(VLOOKUP(G5823,WholesaleExtract!B:J,6,FALSE),"")</f>
        <v/>
      </c>
      <c r="H5823" s="47" t="str">
        <f>IFERROR(VLOOKUP(G5823,WholesaleExtract!B:L,11,FALSE),"")</f>
        <v/>
      </c>
      <c r="I5823" s="26" t="str">
        <f>IFERROR(VLOOKUP(G5823,WholesaleExtract!B:O,8,FALSE),"")</f>
        <v/>
      </c>
      <c r="J5823" s="26" t="str">
        <f>IFERROR(VLOOKUP(G5823,WholesaleExtract!B:O,14,FALSE),"")</f>
        <v/>
      </c>
      <c r="K5823" s="26" t="str">
        <f>IFERROR(VLOOKUP(G5823,WholesaleExtract!B:K,10,FALSE),"")</f>
        <v/>
      </c>
      <c r="L5823" s="47" t="str">
        <f>IFERROR(VLOOKUP(G5823,WholesaleExtract!B:L,11,FALSE),"")</f>
        <v/>
      </c>
      <c r="M5823" s="47" t="str">
        <f>IFERROR(VLOOKUP(G5823,WholesaleExtract!B:M,12,FALSE),"")</f>
        <v/>
      </c>
    </row>
    <row r="5824" spans="1:13" x14ac:dyDescent="0.35">
      <c r="A5824" s="26" t="s">
        <v>543</v>
      </c>
      <c r="B5824" s="26" t="s">
        <v>543</v>
      </c>
      <c r="C5824" s="26"/>
      <c r="D5824" s="26" t="s">
        <v>543</v>
      </c>
      <c r="E5824" s="26" t="str">
        <f>IFERROR(VLOOKUP(G5824,WholesaleExtract!B:J,9,FALSE),"")</f>
        <v/>
      </c>
      <c r="F5824" s="26" t="str">
        <f>IFERROR(VLOOKUP(G5824,WholesaleExtract!B:J,6,FALSE),"")</f>
        <v/>
      </c>
      <c r="H5824" s="47" t="str">
        <f>IFERROR(VLOOKUP(G5824,WholesaleExtract!B:L,11,FALSE),"")</f>
        <v/>
      </c>
      <c r="I5824" s="26" t="str">
        <f>IFERROR(VLOOKUP(G5824,WholesaleExtract!B:O,8,FALSE),"")</f>
        <v/>
      </c>
      <c r="J5824" s="26" t="str">
        <f>IFERROR(VLOOKUP(G5824,WholesaleExtract!B:O,14,FALSE),"")</f>
        <v/>
      </c>
      <c r="K5824" s="26" t="str">
        <f>IFERROR(VLOOKUP(G5824,WholesaleExtract!B:K,10,FALSE),"")</f>
        <v/>
      </c>
      <c r="L5824" s="47" t="str">
        <f>IFERROR(VLOOKUP(G5824,WholesaleExtract!B:L,11,FALSE),"")</f>
        <v/>
      </c>
      <c r="M5824" s="47" t="str">
        <f>IFERROR(VLOOKUP(G5824,WholesaleExtract!B:M,12,FALSE),"")</f>
        <v/>
      </c>
    </row>
    <row r="5825" spans="1:13" x14ac:dyDescent="0.35">
      <c r="A5825" s="26" t="s">
        <v>543</v>
      </c>
      <c r="B5825" s="26" t="s">
        <v>543</v>
      </c>
      <c r="C5825" s="26"/>
      <c r="D5825" s="26" t="s">
        <v>543</v>
      </c>
      <c r="E5825" s="26" t="str">
        <f>IFERROR(VLOOKUP(G5825,WholesaleExtract!B:J,9,FALSE),"")</f>
        <v/>
      </c>
      <c r="F5825" s="26" t="str">
        <f>IFERROR(VLOOKUP(G5825,WholesaleExtract!B:J,6,FALSE),"")</f>
        <v/>
      </c>
      <c r="H5825" s="47" t="str">
        <f>IFERROR(VLOOKUP(G5825,WholesaleExtract!B:L,11,FALSE),"")</f>
        <v/>
      </c>
      <c r="I5825" s="26" t="str">
        <f>IFERROR(VLOOKUP(G5825,WholesaleExtract!B:O,8,FALSE),"")</f>
        <v/>
      </c>
      <c r="J5825" s="26" t="str">
        <f>IFERROR(VLOOKUP(G5825,WholesaleExtract!B:O,14,FALSE),"")</f>
        <v/>
      </c>
      <c r="K5825" s="26" t="str">
        <f>IFERROR(VLOOKUP(G5825,WholesaleExtract!B:K,10,FALSE),"")</f>
        <v/>
      </c>
      <c r="L5825" s="47" t="str">
        <f>IFERROR(VLOOKUP(G5825,WholesaleExtract!B:L,11,FALSE),"")</f>
        <v/>
      </c>
      <c r="M5825" s="47" t="str">
        <f>IFERROR(VLOOKUP(G5825,WholesaleExtract!B:M,12,FALSE),"")</f>
        <v/>
      </c>
    </row>
    <row r="5826" spans="1:13" x14ac:dyDescent="0.35">
      <c r="A5826" s="26" t="s">
        <v>543</v>
      </c>
      <c r="B5826" s="26" t="s">
        <v>543</v>
      </c>
      <c r="C5826" s="26"/>
      <c r="D5826" s="26" t="s">
        <v>543</v>
      </c>
      <c r="E5826" s="26" t="str">
        <f>IFERROR(VLOOKUP(G5826,WholesaleExtract!B:J,9,FALSE),"")</f>
        <v/>
      </c>
      <c r="F5826" s="26" t="str">
        <f>IFERROR(VLOOKUP(G5826,WholesaleExtract!B:J,6,FALSE),"")</f>
        <v/>
      </c>
      <c r="H5826" s="47" t="str">
        <f>IFERROR(VLOOKUP(G5826,WholesaleExtract!B:L,11,FALSE),"")</f>
        <v/>
      </c>
      <c r="I5826" s="26" t="str">
        <f>IFERROR(VLOOKUP(G5826,WholesaleExtract!B:O,8,FALSE),"")</f>
        <v/>
      </c>
      <c r="J5826" s="26" t="str">
        <f>IFERROR(VLOOKUP(G5826,WholesaleExtract!B:O,14,FALSE),"")</f>
        <v/>
      </c>
      <c r="K5826" s="26" t="str">
        <f>IFERROR(VLOOKUP(G5826,WholesaleExtract!B:K,10,FALSE),"")</f>
        <v/>
      </c>
      <c r="L5826" s="47" t="str">
        <f>IFERROR(VLOOKUP(G5826,WholesaleExtract!B:L,11,FALSE),"")</f>
        <v/>
      </c>
      <c r="M5826" s="47" t="str">
        <f>IFERROR(VLOOKUP(G5826,WholesaleExtract!B:M,12,FALSE),"")</f>
        <v/>
      </c>
    </row>
    <row r="5827" spans="1:13" x14ac:dyDescent="0.35">
      <c r="A5827" s="26" t="s">
        <v>543</v>
      </c>
      <c r="B5827" s="26" t="s">
        <v>543</v>
      </c>
      <c r="C5827" s="26"/>
      <c r="D5827" s="26" t="s">
        <v>543</v>
      </c>
      <c r="E5827" s="26" t="str">
        <f>IFERROR(VLOOKUP(G5827,WholesaleExtract!B:J,9,FALSE),"")</f>
        <v/>
      </c>
      <c r="F5827" s="26" t="str">
        <f>IFERROR(VLOOKUP(G5827,WholesaleExtract!B:J,6,FALSE),"")</f>
        <v/>
      </c>
      <c r="H5827" s="47" t="str">
        <f>IFERROR(VLOOKUP(G5827,WholesaleExtract!B:L,11,FALSE),"")</f>
        <v/>
      </c>
      <c r="I5827" s="26" t="str">
        <f>IFERROR(VLOOKUP(G5827,WholesaleExtract!B:O,8,FALSE),"")</f>
        <v/>
      </c>
      <c r="J5827" s="26" t="str">
        <f>IFERROR(VLOOKUP(G5827,WholesaleExtract!B:O,14,FALSE),"")</f>
        <v/>
      </c>
      <c r="K5827" s="26" t="str">
        <f>IFERROR(VLOOKUP(G5827,WholesaleExtract!B:K,10,FALSE),"")</f>
        <v/>
      </c>
      <c r="L5827" s="47" t="str">
        <f>IFERROR(VLOOKUP(G5827,WholesaleExtract!B:L,11,FALSE),"")</f>
        <v/>
      </c>
      <c r="M5827" s="47" t="str">
        <f>IFERROR(VLOOKUP(G5827,WholesaleExtract!B:M,12,FALSE),"")</f>
        <v/>
      </c>
    </row>
    <row r="5828" spans="1:13" x14ac:dyDescent="0.35">
      <c r="A5828" s="26" t="s">
        <v>543</v>
      </c>
      <c r="B5828" s="26" t="s">
        <v>543</v>
      </c>
      <c r="C5828" s="26"/>
      <c r="D5828" s="26" t="s">
        <v>543</v>
      </c>
      <c r="E5828" s="26" t="str">
        <f>IFERROR(VLOOKUP(G5828,WholesaleExtract!B:J,9,FALSE),"")</f>
        <v/>
      </c>
      <c r="F5828" s="26" t="str">
        <f>IFERROR(VLOOKUP(G5828,WholesaleExtract!B:J,6,FALSE),"")</f>
        <v/>
      </c>
      <c r="H5828" s="47" t="str">
        <f>IFERROR(VLOOKUP(G5828,WholesaleExtract!B:L,11,FALSE),"")</f>
        <v/>
      </c>
      <c r="I5828" s="26" t="str">
        <f>IFERROR(VLOOKUP(G5828,WholesaleExtract!B:O,8,FALSE),"")</f>
        <v/>
      </c>
      <c r="J5828" s="26" t="str">
        <f>IFERROR(VLOOKUP(G5828,WholesaleExtract!B:O,14,FALSE),"")</f>
        <v/>
      </c>
      <c r="K5828" s="26" t="str">
        <f>IFERROR(VLOOKUP(G5828,WholesaleExtract!B:K,10,FALSE),"")</f>
        <v/>
      </c>
      <c r="L5828" s="47" t="str">
        <f>IFERROR(VLOOKUP(G5828,WholesaleExtract!B:L,11,FALSE),"")</f>
        <v/>
      </c>
      <c r="M5828" s="47" t="str">
        <f>IFERROR(VLOOKUP(G5828,WholesaleExtract!B:M,12,FALSE),"")</f>
        <v/>
      </c>
    </row>
    <row r="5829" spans="1:13" x14ac:dyDescent="0.35">
      <c r="A5829" s="26" t="s">
        <v>543</v>
      </c>
      <c r="B5829" s="26" t="s">
        <v>543</v>
      </c>
      <c r="C5829" s="26"/>
      <c r="D5829" s="26" t="s">
        <v>543</v>
      </c>
      <c r="E5829" s="26" t="str">
        <f>IFERROR(VLOOKUP(G5829,WholesaleExtract!B:J,9,FALSE),"")</f>
        <v/>
      </c>
      <c r="F5829" s="26" t="str">
        <f>IFERROR(VLOOKUP(G5829,WholesaleExtract!B:J,6,FALSE),"")</f>
        <v/>
      </c>
      <c r="H5829" s="47" t="str">
        <f>IFERROR(VLOOKUP(G5829,WholesaleExtract!B:L,11,FALSE),"")</f>
        <v/>
      </c>
      <c r="I5829" s="26" t="str">
        <f>IFERROR(VLOOKUP(G5829,WholesaleExtract!B:O,8,FALSE),"")</f>
        <v/>
      </c>
      <c r="J5829" s="26" t="str">
        <f>IFERROR(VLOOKUP(G5829,WholesaleExtract!B:O,14,FALSE),"")</f>
        <v/>
      </c>
      <c r="K5829" s="26" t="str">
        <f>IFERROR(VLOOKUP(G5829,WholesaleExtract!B:K,10,FALSE),"")</f>
        <v/>
      </c>
      <c r="L5829" s="47" t="str">
        <f>IFERROR(VLOOKUP(G5829,WholesaleExtract!B:L,11,FALSE),"")</f>
        <v/>
      </c>
      <c r="M5829" s="47" t="str">
        <f>IFERROR(VLOOKUP(G5829,WholesaleExtract!B:M,12,FALSE),"")</f>
        <v/>
      </c>
    </row>
    <row r="5830" spans="1:13" x14ac:dyDescent="0.35">
      <c r="A5830" s="26" t="s">
        <v>543</v>
      </c>
      <c r="B5830" s="26" t="s">
        <v>543</v>
      </c>
      <c r="C5830" s="26"/>
      <c r="D5830" s="26" t="s">
        <v>543</v>
      </c>
      <c r="E5830" s="26" t="str">
        <f>IFERROR(VLOOKUP(G5830,WholesaleExtract!B:J,9,FALSE),"")</f>
        <v/>
      </c>
      <c r="F5830" s="26" t="str">
        <f>IFERROR(VLOOKUP(G5830,WholesaleExtract!B:J,6,FALSE),"")</f>
        <v/>
      </c>
      <c r="H5830" s="47" t="str">
        <f>IFERROR(VLOOKUP(G5830,WholesaleExtract!B:L,11,FALSE),"")</f>
        <v/>
      </c>
      <c r="I5830" s="26" t="str">
        <f>IFERROR(VLOOKUP(G5830,WholesaleExtract!B:O,8,FALSE),"")</f>
        <v/>
      </c>
      <c r="J5830" s="26" t="str">
        <f>IFERROR(VLOOKUP(G5830,WholesaleExtract!B:O,14,FALSE),"")</f>
        <v/>
      </c>
      <c r="K5830" s="26" t="str">
        <f>IFERROR(VLOOKUP(G5830,WholesaleExtract!B:K,10,FALSE),"")</f>
        <v/>
      </c>
      <c r="L5830" s="47" t="str">
        <f>IFERROR(VLOOKUP(G5830,WholesaleExtract!B:L,11,FALSE),"")</f>
        <v/>
      </c>
      <c r="M5830" s="47" t="str">
        <f>IFERROR(VLOOKUP(G5830,WholesaleExtract!B:M,12,FALSE),"")</f>
        <v/>
      </c>
    </row>
    <row r="5831" spans="1:13" x14ac:dyDescent="0.35">
      <c r="A5831" s="26" t="s">
        <v>543</v>
      </c>
      <c r="B5831" s="26" t="s">
        <v>543</v>
      </c>
      <c r="C5831" s="26"/>
      <c r="D5831" s="26" t="s">
        <v>543</v>
      </c>
      <c r="E5831" s="26" t="str">
        <f>IFERROR(VLOOKUP(G5831,WholesaleExtract!B:J,9,FALSE),"")</f>
        <v/>
      </c>
      <c r="F5831" s="26" t="str">
        <f>IFERROR(VLOOKUP(G5831,WholesaleExtract!B:J,6,FALSE),"")</f>
        <v/>
      </c>
      <c r="H5831" s="47" t="str">
        <f>IFERROR(VLOOKUP(G5831,WholesaleExtract!B:L,11,FALSE),"")</f>
        <v/>
      </c>
      <c r="I5831" s="26" t="str">
        <f>IFERROR(VLOOKUP(G5831,WholesaleExtract!B:O,8,FALSE),"")</f>
        <v/>
      </c>
      <c r="J5831" s="26" t="str">
        <f>IFERROR(VLOOKUP(G5831,WholesaleExtract!B:O,14,FALSE),"")</f>
        <v/>
      </c>
      <c r="K5831" s="26" t="str">
        <f>IFERROR(VLOOKUP(G5831,WholesaleExtract!B:K,10,FALSE),"")</f>
        <v/>
      </c>
      <c r="L5831" s="47" t="str">
        <f>IFERROR(VLOOKUP(G5831,WholesaleExtract!B:L,11,FALSE),"")</f>
        <v/>
      </c>
      <c r="M5831" s="47" t="str">
        <f>IFERROR(VLOOKUP(G5831,WholesaleExtract!B:M,12,FALSE),"")</f>
        <v/>
      </c>
    </row>
    <row r="5832" spans="1:13" x14ac:dyDescent="0.35">
      <c r="A5832" s="26" t="s">
        <v>543</v>
      </c>
      <c r="B5832" s="26" t="s">
        <v>543</v>
      </c>
      <c r="C5832" s="26"/>
      <c r="D5832" s="26" t="s">
        <v>543</v>
      </c>
      <c r="E5832" s="26" t="str">
        <f>IFERROR(VLOOKUP(G5832,WholesaleExtract!B:J,9,FALSE),"")</f>
        <v/>
      </c>
      <c r="F5832" s="26" t="str">
        <f>IFERROR(VLOOKUP(G5832,WholesaleExtract!B:J,6,FALSE),"")</f>
        <v/>
      </c>
      <c r="H5832" s="47" t="str">
        <f>IFERROR(VLOOKUP(G5832,WholesaleExtract!B:L,11,FALSE),"")</f>
        <v/>
      </c>
      <c r="I5832" s="26" t="str">
        <f>IFERROR(VLOOKUP(G5832,WholesaleExtract!B:O,8,FALSE),"")</f>
        <v/>
      </c>
      <c r="J5832" s="26" t="str">
        <f>IFERROR(VLOOKUP(G5832,WholesaleExtract!B:O,14,FALSE),"")</f>
        <v/>
      </c>
      <c r="K5832" s="26" t="str">
        <f>IFERROR(VLOOKUP(G5832,WholesaleExtract!B:K,10,FALSE),"")</f>
        <v/>
      </c>
      <c r="L5832" s="47" t="str">
        <f>IFERROR(VLOOKUP(G5832,WholesaleExtract!B:L,11,FALSE),"")</f>
        <v/>
      </c>
      <c r="M5832" s="47" t="str">
        <f>IFERROR(VLOOKUP(G5832,WholesaleExtract!B:M,12,FALSE),"")</f>
        <v/>
      </c>
    </row>
    <row r="5833" spans="1:13" x14ac:dyDescent="0.35">
      <c r="A5833" s="26" t="s">
        <v>543</v>
      </c>
      <c r="B5833" s="26" t="s">
        <v>543</v>
      </c>
      <c r="C5833" s="26"/>
      <c r="D5833" s="26" t="s">
        <v>543</v>
      </c>
      <c r="E5833" s="26" t="str">
        <f>IFERROR(VLOOKUP(G5833,WholesaleExtract!B:J,9,FALSE),"")</f>
        <v/>
      </c>
      <c r="F5833" s="26" t="str">
        <f>IFERROR(VLOOKUP(G5833,WholesaleExtract!B:J,6,FALSE),"")</f>
        <v/>
      </c>
      <c r="H5833" s="47" t="str">
        <f>IFERROR(VLOOKUP(G5833,WholesaleExtract!B:L,11,FALSE),"")</f>
        <v/>
      </c>
      <c r="I5833" s="26" t="str">
        <f>IFERROR(VLOOKUP(G5833,WholesaleExtract!B:O,8,FALSE),"")</f>
        <v/>
      </c>
      <c r="J5833" s="26" t="str">
        <f>IFERROR(VLOOKUP(G5833,WholesaleExtract!B:O,14,FALSE),"")</f>
        <v/>
      </c>
      <c r="K5833" s="26" t="str">
        <f>IFERROR(VLOOKUP(G5833,WholesaleExtract!B:K,10,FALSE),"")</f>
        <v/>
      </c>
      <c r="L5833" s="47" t="str">
        <f>IFERROR(VLOOKUP(G5833,WholesaleExtract!B:L,11,FALSE),"")</f>
        <v/>
      </c>
      <c r="M5833" s="47" t="str">
        <f>IFERROR(VLOOKUP(G5833,WholesaleExtract!B:M,12,FALSE),"")</f>
        <v/>
      </c>
    </row>
    <row r="5834" spans="1:13" x14ac:dyDescent="0.35">
      <c r="A5834" s="26" t="s">
        <v>543</v>
      </c>
      <c r="B5834" s="26" t="s">
        <v>543</v>
      </c>
      <c r="C5834" s="26"/>
      <c r="D5834" s="26" t="s">
        <v>543</v>
      </c>
      <c r="E5834" s="26" t="str">
        <f>IFERROR(VLOOKUP(G5834,WholesaleExtract!B:J,9,FALSE),"")</f>
        <v/>
      </c>
      <c r="F5834" s="26" t="str">
        <f>IFERROR(VLOOKUP(G5834,WholesaleExtract!B:J,6,FALSE),"")</f>
        <v/>
      </c>
      <c r="H5834" s="47" t="str">
        <f>IFERROR(VLOOKUP(G5834,WholesaleExtract!B:L,11,FALSE),"")</f>
        <v/>
      </c>
      <c r="I5834" s="26" t="str">
        <f>IFERROR(VLOOKUP(G5834,WholesaleExtract!B:O,8,FALSE),"")</f>
        <v/>
      </c>
      <c r="J5834" s="26" t="str">
        <f>IFERROR(VLOOKUP(G5834,WholesaleExtract!B:O,14,FALSE),"")</f>
        <v/>
      </c>
      <c r="K5834" s="26" t="str">
        <f>IFERROR(VLOOKUP(G5834,WholesaleExtract!B:K,10,FALSE),"")</f>
        <v/>
      </c>
      <c r="L5834" s="47" t="str">
        <f>IFERROR(VLOOKUP(G5834,WholesaleExtract!B:L,11,FALSE),"")</f>
        <v/>
      </c>
      <c r="M5834" s="47" t="str">
        <f>IFERROR(VLOOKUP(G5834,WholesaleExtract!B:M,12,FALSE),"")</f>
        <v/>
      </c>
    </row>
    <row r="5835" spans="1:13" x14ac:dyDescent="0.35">
      <c r="A5835" s="26" t="s">
        <v>543</v>
      </c>
      <c r="B5835" s="26" t="s">
        <v>543</v>
      </c>
      <c r="C5835" s="26"/>
      <c r="D5835" s="26" t="s">
        <v>543</v>
      </c>
      <c r="E5835" s="26" t="str">
        <f>IFERROR(VLOOKUP(G5835,WholesaleExtract!B:J,9,FALSE),"")</f>
        <v/>
      </c>
      <c r="F5835" s="26" t="str">
        <f>IFERROR(VLOOKUP(G5835,WholesaleExtract!B:J,6,FALSE),"")</f>
        <v/>
      </c>
      <c r="H5835" s="47" t="str">
        <f>IFERROR(VLOOKUP(G5835,WholesaleExtract!B:L,11,FALSE),"")</f>
        <v/>
      </c>
      <c r="I5835" s="26" t="str">
        <f>IFERROR(VLOOKUP(G5835,WholesaleExtract!B:O,8,FALSE),"")</f>
        <v/>
      </c>
      <c r="J5835" s="26" t="str">
        <f>IFERROR(VLOOKUP(G5835,WholesaleExtract!B:O,14,FALSE),"")</f>
        <v/>
      </c>
      <c r="K5835" s="26" t="str">
        <f>IFERROR(VLOOKUP(G5835,WholesaleExtract!B:K,10,FALSE),"")</f>
        <v/>
      </c>
      <c r="L5835" s="47" t="str">
        <f>IFERROR(VLOOKUP(G5835,WholesaleExtract!B:L,11,FALSE),"")</f>
        <v/>
      </c>
      <c r="M5835" s="47" t="str">
        <f>IFERROR(VLOOKUP(G5835,WholesaleExtract!B:M,12,FALSE),"")</f>
        <v/>
      </c>
    </row>
    <row r="5836" spans="1:13" x14ac:dyDescent="0.35">
      <c r="A5836" s="26" t="s">
        <v>543</v>
      </c>
      <c r="B5836" s="26" t="s">
        <v>543</v>
      </c>
      <c r="C5836" s="26"/>
      <c r="D5836" s="26" t="s">
        <v>543</v>
      </c>
      <c r="E5836" s="26" t="str">
        <f>IFERROR(VLOOKUP(G5836,WholesaleExtract!B:J,9,FALSE),"")</f>
        <v/>
      </c>
      <c r="F5836" s="26" t="str">
        <f>IFERROR(VLOOKUP(G5836,WholesaleExtract!B:J,6,FALSE),"")</f>
        <v/>
      </c>
      <c r="H5836" s="47" t="str">
        <f>IFERROR(VLOOKUP(G5836,WholesaleExtract!B:L,11,FALSE),"")</f>
        <v/>
      </c>
      <c r="I5836" s="26" t="str">
        <f>IFERROR(VLOOKUP(G5836,WholesaleExtract!B:O,8,FALSE),"")</f>
        <v/>
      </c>
      <c r="J5836" s="26" t="str">
        <f>IFERROR(VLOOKUP(G5836,WholesaleExtract!B:O,14,FALSE),"")</f>
        <v/>
      </c>
      <c r="K5836" s="26" t="str">
        <f>IFERROR(VLOOKUP(G5836,WholesaleExtract!B:K,10,FALSE),"")</f>
        <v/>
      </c>
      <c r="L5836" s="47" t="str">
        <f>IFERROR(VLOOKUP(G5836,WholesaleExtract!B:L,11,FALSE),"")</f>
        <v/>
      </c>
      <c r="M5836" s="47" t="str">
        <f>IFERROR(VLOOKUP(G5836,WholesaleExtract!B:M,12,FALSE),"")</f>
        <v/>
      </c>
    </row>
    <row r="5837" spans="1:13" x14ac:dyDescent="0.35">
      <c r="A5837" s="26" t="s">
        <v>543</v>
      </c>
      <c r="B5837" s="26" t="s">
        <v>543</v>
      </c>
      <c r="C5837" s="26"/>
      <c r="D5837" s="26" t="s">
        <v>543</v>
      </c>
      <c r="E5837" s="26" t="str">
        <f>IFERROR(VLOOKUP(G5837,WholesaleExtract!B:J,9,FALSE),"")</f>
        <v/>
      </c>
      <c r="F5837" s="26" t="str">
        <f>IFERROR(VLOOKUP(G5837,WholesaleExtract!B:J,6,FALSE),"")</f>
        <v/>
      </c>
      <c r="H5837" s="47" t="str">
        <f>IFERROR(VLOOKUP(G5837,WholesaleExtract!B:L,11,FALSE),"")</f>
        <v/>
      </c>
      <c r="I5837" s="26" t="str">
        <f>IFERROR(VLOOKUP(G5837,WholesaleExtract!B:O,8,FALSE),"")</f>
        <v/>
      </c>
      <c r="J5837" s="26" t="str">
        <f>IFERROR(VLOOKUP(G5837,WholesaleExtract!B:O,14,FALSE),"")</f>
        <v/>
      </c>
      <c r="K5837" s="26" t="str">
        <f>IFERROR(VLOOKUP(G5837,WholesaleExtract!B:K,10,FALSE),"")</f>
        <v/>
      </c>
      <c r="L5837" s="47" t="str">
        <f>IFERROR(VLOOKUP(G5837,WholesaleExtract!B:L,11,FALSE),"")</f>
        <v/>
      </c>
      <c r="M5837" s="47" t="str">
        <f>IFERROR(VLOOKUP(G5837,WholesaleExtract!B:M,12,FALSE),"")</f>
        <v/>
      </c>
    </row>
    <row r="5838" spans="1:13" x14ac:dyDescent="0.35">
      <c r="A5838" s="26" t="s">
        <v>543</v>
      </c>
      <c r="B5838" s="26" t="s">
        <v>543</v>
      </c>
      <c r="C5838" s="26"/>
      <c r="D5838" s="26" t="s">
        <v>543</v>
      </c>
      <c r="E5838" s="26" t="str">
        <f>IFERROR(VLOOKUP(G5838,WholesaleExtract!B:J,9,FALSE),"")</f>
        <v/>
      </c>
      <c r="F5838" s="26" t="str">
        <f>IFERROR(VLOOKUP(G5838,WholesaleExtract!B:J,6,FALSE),"")</f>
        <v/>
      </c>
      <c r="H5838" s="47" t="str">
        <f>IFERROR(VLOOKUP(G5838,WholesaleExtract!B:L,11,FALSE),"")</f>
        <v/>
      </c>
      <c r="I5838" s="26" t="str">
        <f>IFERROR(VLOOKUP(G5838,WholesaleExtract!B:O,8,FALSE),"")</f>
        <v/>
      </c>
      <c r="J5838" s="26" t="str">
        <f>IFERROR(VLOOKUP(G5838,WholesaleExtract!B:O,14,FALSE),"")</f>
        <v/>
      </c>
      <c r="K5838" s="26" t="str">
        <f>IFERROR(VLOOKUP(G5838,WholesaleExtract!B:K,10,FALSE),"")</f>
        <v/>
      </c>
      <c r="L5838" s="47" t="str">
        <f>IFERROR(VLOOKUP(G5838,WholesaleExtract!B:L,11,FALSE),"")</f>
        <v/>
      </c>
      <c r="M5838" s="47" t="str">
        <f>IFERROR(VLOOKUP(G5838,WholesaleExtract!B:M,12,FALSE),"")</f>
        <v/>
      </c>
    </row>
    <row r="5839" spans="1:13" x14ac:dyDescent="0.35">
      <c r="A5839" s="26" t="s">
        <v>543</v>
      </c>
      <c r="B5839" s="26" t="s">
        <v>543</v>
      </c>
      <c r="C5839" s="26"/>
      <c r="D5839" s="26" t="s">
        <v>543</v>
      </c>
      <c r="E5839" s="26" t="str">
        <f>IFERROR(VLOOKUP(G5839,WholesaleExtract!B:J,9,FALSE),"")</f>
        <v/>
      </c>
      <c r="F5839" s="26" t="str">
        <f>IFERROR(VLOOKUP(G5839,WholesaleExtract!B:J,6,FALSE),"")</f>
        <v/>
      </c>
      <c r="H5839" s="47" t="str">
        <f>IFERROR(VLOOKUP(G5839,WholesaleExtract!B:L,11,FALSE),"")</f>
        <v/>
      </c>
      <c r="I5839" s="26" t="str">
        <f>IFERROR(VLOOKUP(G5839,WholesaleExtract!B:O,8,FALSE),"")</f>
        <v/>
      </c>
      <c r="J5839" s="26" t="str">
        <f>IFERROR(VLOOKUP(G5839,WholesaleExtract!B:O,14,FALSE),"")</f>
        <v/>
      </c>
      <c r="K5839" s="26" t="str">
        <f>IFERROR(VLOOKUP(G5839,WholesaleExtract!B:K,10,FALSE),"")</f>
        <v/>
      </c>
      <c r="L5839" s="47" t="str">
        <f>IFERROR(VLOOKUP(G5839,WholesaleExtract!B:L,11,FALSE),"")</f>
        <v/>
      </c>
      <c r="M5839" s="47" t="str">
        <f>IFERROR(VLOOKUP(G5839,WholesaleExtract!B:M,12,FALSE),"")</f>
        <v/>
      </c>
    </row>
    <row r="5840" spans="1:13" x14ac:dyDescent="0.35">
      <c r="A5840" s="26" t="s">
        <v>543</v>
      </c>
      <c r="B5840" s="26" t="s">
        <v>543</v>
      </c>
      <c r="C5840" s="26"/>
      <c r="D5840" s="26" t="s">
        <v>543</v>
      </c>
      <c r="E5840" s="26" t="str">
        <f>IFERROR(VLOOKUP(G5840,WholesaleExtract!B:J,9,FALSE),"")</f>
        <v/>
      </c>
      <c r="F5840" s="26" t="str">
        <f>IFERROR(VLOOKUP(G5840,WholesaleExtract!B:J,6,FALSE),"")</f>
        <v/>
      </c>
      <c r="H5840" s="47" t="str">
        <f>IFERROR(VLOOKUP(G5840,WholesaleExtract!B:L,11,FALSE),"")</f>
        <v/>
      </c>
      <c r="I5840" s="26" t="str">
        <f>IFERROR(VLOOKUP(G5840,WholesaleExtract!B:O,8,FALSE),"")</f>
        <v/>
      </c>
      <c r="J5840" s="26" t="str">
        <f>IFERROR(VLOOKUP(G5840,WholesaleExtract!B:O,14,FALSE),"")</f>
        <v/>
      </c>
      <c r="K5840" s="26" t="str">
        <f>IFERROR(VLOOKUP(G5840,WholesaleExtract!B:K,10,FALSE),"")</f>
        <v/>
      </c>
      <c r="L5840" s="47" t="str">
        <f>IFERROR(VLOOKUP(G5840,WholesaleExtract!B:L,11,FALSE),"")</f>
        <v/>
      </c>
      <c r="M5840" s="47" t="str">
        <f>IFERROR(VLOOKUP(G5840,WholesaleExtract!B:M,12,FALSE),"")</f>
        <v/>
      </c>
    </row>
    <row r="5841" spans="1:13" x14ac:dyDescent="0.35">
      <c r="A5841" s="26" t="s">
        <v>543</v>
      </c>
      <c r="B5841" s="26" t="s">
        <v>543</v>
      </c>
      <c r="C5841" s="26"/>
      <c r="D5841" s="26" t="s">
        <v>543</v>
      </c>
      <c r="E5841" s="26" t="str">
        <f>IFERROR(VLOOKUP(G5841,WholesaleExtract!B:J,9,FALSE),"")</f>
        <v/>
      </c>
      <c r="F5841" s="26" t="str">
        <f>IFERROR(VLOOKUP(G5841,WholesaleExtract!B:J,6,FALSE),"")</f>
        <v/>
      </c>
      <c r="H5841" s="47" t="str">
        <f>IFERROR(VLOOKUP(G5841,WholesaleExtract!B:L,11,FALSE),"")</f>
        <v/>
      </c>
      <c r="I5841" s="26" t="str">
        <f>IFERROR(VLOOKUP(G5841,WholesaleExtract!B:O,8,FALSE),"")</f>
        <v/>
      </c>
      <c r="J5841" s="26" t="str">
        <f>IFERROR(VLOOKUP(G5841,WholesaleExtract!B:O,14,FALSE),"")</f>
        <v/>
      </c>
      <c r="K5841" s="26" t="str">
        <f>IFERROR(VLOOKUP(G5841,WholesaleExtract!B:K,10,FALSE),"")</f>
        <v/>
      </c>
      <c r="L5841" s="47" t="str">
        <f>IFERROR(VLOOKUP(G5841,WholesaleExtract!B:L,11,FALSE),"")</f>
        <v/>
      </c>
      <c r="M5841" s="47" t="str">
        <f>IFERROR(VLOOKUP(G5841,WholesaleExtract!B:M,12,FALSE),"")</f>
        <v/>
      </c>
    </row>
    <row r="5842" spans="1:13" x14ac:dyDescent="0.35">
      <c r="A5842" s="26" t="s">
        <v>543</v>
      </c>
      <c r="B5842" s="26" t="s">
        <v>543</v>
      </c>
      <c r="C5842" s="26"/>
      <c r="D5842" s="26" t="s">
        <v>543</v>
      </c>
      <c r="E5842" s="26" t="str">
        <f>IFERROR(VLOOKUP(G5842,WholesaleExtract!B:J,9,FALSE),"")</f>
        <v/>
      </c>
      <c r="F5842" s="26" t="str">
        <f>IFERROR(VLOOKUP(G5842,WholesaleExtract!B:J,6,FALSE),"")</f>
        <v/>
      </c>
      <c r="H5842" s="47" t="str">
        <f>IFERROR(VLOOKUP(G5842,WholesaleExtract!B:L,11,FALSE),"")</f>
        <v/>
      </c>
      <c r="I5842" s="26" t="str">
        <f>IFERROR(VLOOKUP(G5842,WholesaleExtract!B:O,8,FALSE),"")</f>
        <v/>
      </c>
      <c r="J5842" s="26" t="str">
        <f>IFERROR(VLOOKUP(G5842,WholesaleExtract!B:O,14,FALSE),"")</f>
        <v/>
      </c>
      <c r="K5842" s="26" t="str">
        <f>IFERROR(VLOOKUP(G5842,WholesaleExtract!B:K,10,FALSE),"")</f>
        <v/>
      </c>
      <c r="L5842" s="47" t="str">
        <f>IFERROR(VLOOKUP(G5842,WholesaleExtract!B:L,11,FALSE),"")</f>
        <v/>
      </c>
      <c r="M5842" s="47" t="str">
        <f>IFERROR(VLOOKUP(G5842,WholesaleExtract!B:M,12,FALSE),"")</f>
        <v/>
      </c>
    </row>
    <row r="5843" spans="1:13" x14ac:dyDescent="0.35">
      <c r="A5843" s="26" t="s">
        <v>543</v>
      </c>
      <c r="B5843" s="26" t="s">
        <v>543</v>
      </c>
      <c r="C5843" s="26"/>
      <c r="D5843" s="26" t="s">
        <v>543</v>
      </c>
      <c r="E5843" s="26" t="str">
        <f>IFERROR(VLOOKUP(G5843,WholesaleExtract!B:J,9,FALSE),"")</f>
        <v/>
      </c>
      <c r="F5843" s="26" t="str">
        <f>IFERROR(VLOOKUP(G5843,WholesaleExtract!B:J,6,FALSE),"")</f>
        <v/>
      </c>
      <c r="H5843" s="47" t="str">
        <f>IFERROR(VLOOKUP(G5843,WholesaleExtract!B:L,11,FALSE),"")</f>
        <v/>
      </c>
      <c r="I5843" s="26" t="str">
        <f>IFERROR(VLOOKUP(G5843,WholesaleExtract!B:O,8,FALSE),"")</f>
        <v/>
      </c>
      <c r="J5843" s="26" t="str">
        <f>IFERROR(VLOOKUP(G5843,WholesaleExtract!B:O,14,FALSE),"")</f>
        <v/>
      </c>
      <c r="K5843" s="26" t="str">
        <f>IFERROR(VLOOKUP(G5843,WholesaleExtract!B:K,10,FALSE),"")</f>
        <v/>
      </c>
      <c r="L5843" s="47" t="str">
        <f>IFERROR(VLOOKUP(G5843,WholesaleExtract!B:L,11,FALSE),"")</f>
        <v/>
      </c>
      <c r="M5843" s="47" t="str">
        <f>IFERROR(VLOOKUP(G5843,WholesaleExtract!B:M,12,FALSE),"")</f>
        <v/>
      </c>
    </row>
    <row r="5844" spans="1:13" x14ac:dyDescent="0.35">
      <c r="A5844" s="26" t="s">
        <v>543</v>
      </c>
      <c r="B5844" s="26" t="s">
        <v>543</v>
      </c>
      <c r="C5844" s="26"/>
      <c r="D5844" s="26" t="s">
        <v>543</v>
      </c>
      <c r="E5844" s="26" t="str">
        <f>IFERROR(VLOOKUP(G5844,WholesaleExtract!B:J,9,FALSE),"")</f>
        <v/>
      </c>
      <c r="F5844" s="26" t="str">
        <f>IFERROR(VLOOKUP(G5844,WholesaleExtract!B:J,6,FALSE),"")</f>
        <v/>
      </c>
      <c r="H5844" s="47" t="str">
        <f>IFERROR(VLOOKUP(G5844,WholesaleExtract!B:L,11,FALSE),"")</f>
        <v/>
      </c>
      <c r="I5844" s="26" t="str">
        <f>IFERROR(VLOOKUP(G5844,WholesaleExtract!B:O,8,FALSE),"")</f>
        <v/>
      </c>
      <c r="J5844" s="26" t="str">
        <f>IFERROR(VLOOKUP(G5844,WholesaleExtract!B:O,14,FALSE),"")</f>
        <v/>
      </c>
      <c r="K5844" s="26" t="str">
        <f>IFERROR(VLOOKUP(G5844,WholesaleExtract!B:K,10,FALSE),"")</f>
        <v/>
      </c>
      <c r="L5844" s="47" t="str">
        <f>IFERROR(VLOOKUP(G5844,WholesaleExtract!B:L,11,FALSE),"")</f>
        <v/>
      </c>
      <c r="M5844" s="47" t="str">
        <f>IFERROR(VLOOKUP(G5844,WholesaleExtract!B:M,12,FALSE),"")</f>
        <v/>
      </c>
    </row>
    <row r="5845" spans="1:13" x14ac:dyDescent="0.35">
      <c r="A5845" s="26" t="s">
        <v>543</v>
      </c>
      <c r="B5845" s="26" t="s">
        <v>543</v>
      </c>
      <c r="C5845" s="26"/>
      <c r="D5845" s="26" t="s">
        <v>543</v>
      </c>
      <c r="E5845" s="26" t="str">
        <f>IFERROR(VLOOKUP(G5845,WholesaleExtract!B:J,9,FALSE),"")</f>
        <v/>
      </c>
      <c r="F5845" s="26" t="str">
        <f>IFERROR(VLOOKUP(G5845,WholesaleExtract!B:J,6,FALSE),"")</f>
        <v/>
      </c>
      <c r="H5845" s="47" t="str">
        <f>IFERROR(VLOOKUP(G5845,WholesaleExtract!B:L,11,FALSE),"")</f>
        <v/>
      </c>
      <c r="I5845" s="26" t="str">
        <f>IFERROR(VLOOKUP(G5845,WholesaleExtract!B:O,8,FALSE),"")</f>
        <v/>
      </c>
      <c r="J5845" s="26" t="str">
        <f>IFERROR(VLOOKUP(G5845,WholesaleExtract!B:O,14,FALSE),"")</f>
        <v/>
      </c>
      <c r="K5845" s="26" t="str">
        <f>IFERROR(VLOOKUP(G5845,WholesaleExtract!B:K,10,FALSE),"")</f>
        <v/>
      </c>
      <c r="L5845" s="47" t="str">
        <f>IFERROR(VLOOKUP(G5845,WholesaleExtract!B:L,11,FALSE),"")</f>
        <v/>
      </c>
      <c r="M5845" s="47" t="str">
        <f>IFERROR(VLOOKUP(G5845,WholesaleExtract!B:M,12,FALSE),"")</f>
        <v/>
      </c>
    </row>
    <row r="5846" spans="1:13" x14ac:dyDescent="0.35">
      <c r="A5846" s="26" t="s">
        <v>543</v>
      </c>
      <c r="B5846" s="26" t="s">
        <v>543</v>
      </c>
      <c r="C5846" s="26"/>
      <c r="D5846" s="26" t="s">
        <v>543</v>
      </c>
      <c r="E5846" s="26" t="str">
        <f>IFERROR(VLOOKUP(G5846,WholesaleExtract!B:J,9,FALSE),"")</f>
        <v/>
      </c>
      <c r="F5846" s="26" t="str">
        <f>IFERROR(VLOOKUP(G5846,WholesaleExtract!B:J,6,FALSE),"")</f>
        <v/>
      </c>
      <c r="H5846" s="47" t="str">
        <f>IFERROR(VLOOKUP(G5846,WholesaleExtract!B:L,11,FALSE),"")</f>
        <v/>
      </c>
      <c r="I5846" s="26" t="str">
        <f>IFERROR(VLOOKUP(G5846,WholesaleExtract!B:O,8,FALSE),"")</f>
        <v/>
      </c>
      <c r="J5846" s="26" t="str">
        <f>IFERROR(VLOOKUP(G5846,WholesaleExtract!B:O,14,FALSE),"")</f>
        <v/>
      </c>
      <c r="K5846" s="26" t="str">
        <f>IFERROR(VLOOKUP(G5846,WholesaleExtract!B:K,10,FALSE),"")</f>
        <v/>
      </c>
      <c r="L5846" s="47" t="str">
        <f>IFERROR(VLOOKUP(G5846,WholesaleExtract!B:L,11,FALSE),"")</f>
        <v/>
      </c>
      <c r="M5846" s="47" t="str">
        <f>IFERROR(VLOOKUP(G5846,WholesaleExtract!B:M,12,FALSE),"")</f>
        <v/>
      </c>
    </row>
    <row r="5847" spans="1:13" x14ac:dyDescent="0.35">
      <c r="A5847" s="26" t="s">
        <v>543</v>
      </c>
      <c r="B5847" s="26" t="s">
        <v>543</v>
      </c>
      <c r="C5847" s="26"/>
      <c r="D5847" s="26" t="s">
        <v>543</v>
      </c>
      <c r="E5847" s="26" t="str">
        <f>IFERROR(VLOOKUP(G5847,WholesaleExtract!B:J,9,FALSE),"")</f>
        <v/>
      </c>
      <c r="F5847" s="26" t="str">
        <f>IFERROR(VLOOKUP(G5847,WholesaleExtract!B:J,6,FALSE),"")</f>
        <v/>
      </c>
      <c r="H5847" s="47" t="str">
        <f>IFERROR(VLOOKUP(G5847,WholesaleExtract!B:L,11,FALSE),"")</f>
        <v/>
      </c>
      <c r="I5847" s="26" t="str">
        <f>IFERROR(VLOOKUP(G5847,WholesaleExtract!B:O,8,FALSE),"")</f>
        <v/>
      </c>
      <c r="J5847" s="26" t="str">
        <f>IFERROR(VLOOKUP(G5847,WholesaleExtract!B:O,14,FALSE),"")</f>
        <v/>
      </c>
      <c r="K5847" s="26" t="str">
        <f>IFERROR(VLOOKUP(G5847,WholesaleExtract!B:K,10,FALSE),"")</f>
        <v/>
      </c>
      <c r="L5847" s="47" t="str">
        <f>IFERROR(VLOOKUP(G5847,WholesaleExtract!B:L,11,FALSE),"")</f>
        <v/>
      </c>
      <c r="M5847" s="47" t="str">
        <f>IFERROR(VLOOKUP(G5847,WholesaleExtract!B:M,12,FALSE),"")</f>
        <v/>
      </c>
    </row>
    <row r="5848" spans="1:13" x14ac:dyDescent="0.35">
      <c r="A5848" s="26" t="s">
        <v>543</v>
      </c>
      <c r="B5848" s="26" t="s">
        <v>543</v>
      </c>
      <c r="C5848" s="26"/>
      <c r="D5848" s="26" t="s">
        <v>543</v>
      </c>
      <c r="E5848" s="26" t="str">
        <f>IFERROR(VLOOKUP(G5848,WholesaleExtract!B:J,9,FALSE),"")</f>
        <v/>
      </c>
      <c r="F5848" s="26" t="str">
        <f>IFERROR(VLOOKUP(G5848,WholesaleExtract!B:J,6,FALSE),"")</f>
        <v/>
      </c>
      <c r="H5848" s="47" t="str">
        <f>IFERROR(VLOOKUP(G5848,WholesaleExtract!B:L,11,FALSE),"")</f>
        <v/>
      </c>
      <c r="I5848" s="26" t="str">
        <f>IFERROR(VLOOKUP(G5848,WholesaleExtract!B:O,8,FALSE),"")</f>
        <v/>
      </c>
      <c r="J5848" s="26" t="str">
        <f>IFERROR(VLOOKUP(G5848,WholesaleExtract!B:O,14,FALSE),"")</f>
        <v/>
      </c>
      <c r="K5848" s="26" t="str">
        <f>IFERROR(VLOOKUP(G5848,WholesaleExtract!B:K,10,FALSE),"")</f>
        <v/>
      </c>
      <c r="L5848" s="47" t="str">
        <f>IFERROR(VLOOKUP(G5848,WholesaleExtract!B:L,11,FALSE),"")</f>
        <v/>
      </c>
      <c r="M5848" s="47" t="str">
        <f>IFERROR(VLOOKUP(G5848,WholesaleExtract!B:M,12,FALSE),"")</f>
        <v/>
      </c>
    </row>
    <row r="5849" spans="1:13" x14ac:dyDescent="0.35">
      <c r="A5849" s="26" t="s">
        <v>543</v>
      </c>
      <c r="B5849" s="26" t="s">
        <v>543</v>
      </c>
      <c r="C5849" s="26"/>
      <c r="D5849" s="26" t="s">
        <v>543</v>
      </c>
      <c r="E5849" s="26" t="str">
        <f>IFERROR(VLOOKUP(G5849,WholesaleExtract!B:J,9,FALSE),"")</f>
        <v/>
      </c>
      <c r="F5849" s="26" t="str">
        <f>IFERROR(VLOOKUP(G5849,WholesaleExtract!B:J,6,FALSE),"")</f>
        <v/>
      </c>
      <c r="H5849" s="47" t="str">
        <f>IFERROR(VLOOKUP(G5849,WholesaleExtract!B:L,11,FALSE),"")</f>
        <v/>
      </c>
      <c r="I5849" s="26" t="str">
        <f>IFERROR(VLOOKUP(G5849,WholesaleExtract!B:O,8,FALSE),"")</f>
        <v/>
      </c>
      <c r="J5849" s="26" t="str">
        <f>IFERROR(VLOOKUP(G5849,WholesaleExtract!B:O,14,FALSE),"")</f>
        <v/>
      </c>
      <c r="K5849" s="26" t="str">
        <f>IFERROR(VLOOKUP(G5849,WholesaleExtract!B:K,10,FALSE),"")</f>
        <v/>
      </c>
      <c r="L5849" s="47" t="str">
        <f>IFERROR(VLOOKUP(G5849,WholesaleExtract!B:L,11,FALSE),"")</f>
        <v/>
      </c>
      <c r="M5849" s="47" t="str">
        <f>IFERROR(VLOOKUP(G5849,WholesaleExtract!B:M,12,FALSE),"")</f>
        <v/>
      </c>
    </row>
    <row r="5850" spans="1:13" x14ac:dyDescent="0.35">
      <c r="A5850" s="26" t="s">
        <v>543</v>
      </c>
      <c r="B5850" s="26" t="s">
        <v>543</v>
      </c>
      <c r="C5850" s="26"/>
      <c r="D5850" s="26" t="s">
        <v>543</v>
      </c>
      <c r="E5850" s="26" t="str">
        <f>IFERROR(VLOOKUP(G5850,WholesaleExtract!B:J,9,FALSE),"")</f>
        <v/>
      </c>
      <c r="F5850" s="26" t="str">
        <f>IFERROR(VLOOKUP(G5850,WholesaleExtract!B:J,6,FALSE),"")</f>
        <v/>
      </c>
      <c r="H5850" s="47" t="str">
        <f>IFERROR(VLOOKUP(G5850,WholesaleExtract!B:L,11,FALSE),"")</f>
        <v/>
      </c>
      <c r="I5850" s="26" t="str">
        <f>IFERROR(VLOOKUP(G5850,WholesaleExtract!B:O,8,FALSE),"")</f>
        <v/>
      </c>
      <c r="J5850" s="26" t="str">
        <f>IFERROR(VLOOKUP(G5850,WholesaleExtract!B:O,14,FALSE),"")</f>
        <v/>
      </c>
      <c r="K5850" s="26" t="str">
        <f>IFERROR(VLOOKUP(G5850,WholesaleExtract!B:K,10,FALSE),"")</f>
        <v/>
      </c>
      <c r="L5850" s="47" t="str">
        <f>IFERROR(VLOOKUP(G5850,WholesaleExtract!B:L,11,FALSE),"")</f>
        <v/>
      </c>
      <c r="M5850" s="47" t="str">
        <f>IFERROR(VLOOKUP(G5850,WholesaleExtract!B:M,12,FALSE),"")</f>
        <v/>
      </c>
    </row>
    <row r="5851" spans="1:13" x14ac:dyDescent="0.35">
      <c r="A5851" s="26" t="s">
        <v>543</v>
      </c>
      <c r="B5851" s="26" t="s">
        <v>543</v>
      </c>
      <c r="C5851" s="26"/>
      <c r="D5851" s="26" t="s">
        <v>543</v>
      </c>
      <c r="E5851" s="26" t="str">
        <f>IFERROR(VLOOKUP(G5851,WholesaleExtract!B:J,9,FALSE),"")</f>
        <v/>
      </c>
      <c r="F5851" s="26" t="str">
        <f>IFERROR(VLOOKUP(G5851,WholesaleExtract!B:J,6,FALSE),"")</f>
        <v/>
      </c>
      <c r="H5851" s="47" t="str">
        <f>IFERROR(VLOOKUP(G5851,WholesaleExtract!B:L,11,FALSE),"")</f>
        <v/>
      </c>
      <c r="I5851" s="26" t="str">
        <f>IFERROR(VLOOKUP(G5851,WholesaleExtract!B:O,8,FALSE),"")</f>
        <v/>
      </c>
      <c r="J5851" s="26" t="str">
        <f>IFERROR(VLOOKUP(G5851,WholesaleExtract!B:O,14,FALSE),"")</f>
        <v/>
      </c>
      <c r="K5851" s="26" t="str">
        <f>IFERROR(VLOOKUP(G5851,WholesaleExtract!B:K,10,FALSE),"")</f>
        <v/>
      </c>
      <c r="L5851" s="47" t="str">
        <f>IFERROR(VLOOKUP(G5851,WholesaleExtract!B:L,11,FALSE),"")</f>
        <v/>
      </c>
      <c r="M5851" s="47" t="str">
        <f>IFERROR(VLOOKUP(G5851,WholesaleExtract!B:M,12,FALSE),"")</f>
        <v/>
      </c>
    </row>
    <row r="5852" spans="1:13" x14ac:dyDescent="0.35">
      <c r="A5852" s="26" t="s">
        <v>543</v>
      </c>
      <c r="B5852" s="26" t="s">
        <v>543</v>
      </c>
      <c r="C5852" s="26"/>
      <c r="D5852" s="26" t="s">
        <v>543</v>
      </c>
      <c r="E5852" s="26" t="str">
        <f>IFERROR(VLOOKUP(G5852,WholesaleExtract!B:J,9,FALSE),"")</f>
        <v/>
      </c>
      <c r="F5852" s="26" t="str">
        <f>IFERROR(VLOOKUP(G5852,WholesaleExtract!B:J,6,FALSE),"")</f>
        <v/>
      </c>
      <c r="H5852" s="47" t="str">
        <f>IFERROR(VLOOKUP(G5852,WholesaleExtract!B:L,11,FALSE),"")</f>
        <v/>
      </c>
      <c r="I5852" s="26" t="str">
        <f>IFERROR(VLOOKUP(G5852,WholesaleExtract!B:O,8,FALSE),"")</f>
        <v/>
      </c>
      <c r="J5852" s="26" t="str">
        <f>IFERROR(VLOOKUP(G5852,WholesaleExtract!B:O,14,FALSE),"")</f>
        <v/>
      </c>
      <c r="K5852" s="26" t="str">
        <f>IFERROR(VLOOKUP(G5852,WholesaleExtract!B:K,10,FALSE),"")</f>
        <v/>
      </c>
      <c r="L5852" s="47" t="str">
        <f>IFERROR(VLOOKUP(G5852,WholesaleExtract!B:L,11,FALSE),"")</f>
        <v/>
      </c>
      <c r="M5852" s="47" t="str">
        <f>IFERROR(VLOOKUP(G5852,WholesaleExtract!B:M,12,FALSE),"")</f>
        <v/>
      </c>
    </row>
    <row r="5853" spans="1:13" x14ac:dyDescent="0.35">
      <c r="A5853" s="26" t="s">
        <v>543</v>
      </c>
      <c r="B5853" s="26" t="s">
        <v>543</v>
      </c>
      <c r="C5853" s="26"/>
      <c r="D5853" s="26" t="s">
        <v>543</v>
      </c>
      <c r="E5853" s="26" t="str">
        <f>IFERROR(VLOOKUP(G5853,WholesaleExtract!B:J,9,FALSE),"")</f>
        <v/>
      </c>
      <c r="F5853" s="26" t="str">
        <f>IFERROR(VLOOKUP(G5853,WholesaleExtract!B:J,6,FALSE),"")</f>
        <v/>
      </c>
      <c r="H5853" s="47" t="str">
        <f>IFERROR(VLOOKUP(G5853,WholesaleExtract!B:L,11,FALSE),"")</f>
        <v/>
      </c>
      <c r="I5853" s="26" t="str">
        <f>IFERROR(VLOOKUP(G5853,WholesaleExtract!B:O,8,FALSE),"")</f>
        <v/>
      </c>
      <c r="J5853" s="26" t="str">
        <f>IFERROR(VLOOKUP(G5853,WholesaleExtract!B:O,14,FALSE),"")</f>
        <v/>
      </c>
      <c r="K5853" s="26" t="str">
        <f>IFERROR(VLOOKUP(G5853,WholesaleExtract!B:K,10,FALSE),"")</f>
        <v/>
      </c>
      <c r="L5853" s="47" t="str">
        <f>IFERROR(VLOOKUP(G5853,WholesaleExtract!B:L,11,FALSE),"")</f>
        <v/>
      </c>
      <c r="M5853" s="47" t="str">
        <f>IFERROR(VLOOKUP(G5853,WholesaleExtract!B:M,12,FALSE),"")</f>
        <v/>
      </c>
    </row>
    <row r="5854" spans="1:13" x14ac:dyDescent="0.35">
      <c r="A5854" s="26" t="s">
        <v>543</v>
      </c>
      <c r="B5854" s="26" t="s">
        <v>543</v>
      </c>
      <c r="C5854" s="26"/>
      <c r="D5854" s="26" t="s">
        <v>543</v>
      </c>
      <c r="E5854" s="26" t="str">
        <f>IFERROR(VLOOKUP(G5854,WholesaleExtract!B:J,9,FALSE),"")</f>
        <v/>
      </c>
      <c r="F5854" s="26" t="str">
        <f>IFERROR(VLOOKUP(G5854,WholesaleExtract!B:J,6,FALSE),"")</f>
        <v/>
      </c>
      <c r="H5854" s="47" t="str">
        <f>IFERROR(VLOOKUP(G5854,WholesaleExtract!B:L,11,FALSE),"")</f>
        <v/>
      </c>
      <c r="I5854" s="26" t="str">
        <f>IFERROR(VLOOKUP(G5854,WholesaleExtract!B:O,8,FALSE),"")</f>
        <v/>
      </c>
      <c r="J5854" s="26" t="str">
        <f>IFERROR(VLOOKUP(G5854,WholesaleExtract!B:O,14,FALSE),"")</f>
        <v/>
      </c>
      <c r="K5854" s="26" t="str">
        <f>IFERROR(VLOOKUP(G5854,WholesaleExtract!B:K,10,FALSE),"")</f>
        <v/>
      </c>
      <c r="L5854" s="47" t="str">
        <f>IFERROR(VLOOKUP(G5854,WholesaleExtract!B:L,11,FALSE),"")</f>
        <v/>
      </c>
      <c r="M5854" s="47" t="str">
        <f>IFERROR(VLOOKUP(G5854,WholesaleExtract!B:M,12,FALSE),"")</f>
        <v/>
      </c>
    </row>
    <row r="5855" spans="1:13" x14ac:dyDescent="0.35">
      <c r="A5855" s="26" t="s">
        <v>543</v>
      </c>
      <c r="B5855" s="26" t="s">
        <v>543</v>
      </c>
      <c r="C5855" s="26"/>
      <c r="D5855" s="26" t="s">
        <v>543</v>
      </c>
      <c r="E5855" s="26" t="str">
        <f>IFERROR(VLOOKUP(G5855,WholesaleExtract!B:J,9,FALSE),"")</f>
        <v/>
      </c>
      <c r="F5855" s="26" t="str">
        <f>IFERROR(VLOOKUP(G5855,WholesaleExtract!B:J,6,FALSE),"")</f>
        <v/>
      </c>
      <c r="H5855" s="47" t="str">
        <f>IFERROR(VLOOKUP(G5855,WholesaleExtract!B:L,11,FALSE),"")</f>
        <v/>
      </c>
      <c r="I5855" s="26" t="str">
        <f>IFERROR(VLOOKUP(G5855,WholesaleExtract!B:O,8,FALSE),"")</f>
        <v/>
      </c>
      <c r="J5855" s="26" t="str">
        <f>IFERROR(VLOOKUP(G5855,WholesaleExtract!B:O,14,FALSE),"")</f>
        <v/>
      </c>
      <c r="K5855" s="26" t="str">
        <f>IFERROR(VLOOKUP(G5855,WholesaleExtract!B:K,10,FALSE),"")</f>
        <v/>
      </c>
      <c r="L5855" s="47" t="str">
        <f>IFERROR(VLOOKUP(G5855,WholesaleExtract!B:L,11,FALSE),"")</f>
        <v/>
      </c>
      <c r="M5855" s="47" t="str">
        <f>IFERROR(VLOOKUP(G5855,WholesaleExtract!B:M,12,FALSE),"")</f>
        <v/>
      </c>
    </row>
    <row r="5856" spans="1:13" x14ac:dyDescent="0.35">
      <c r="A5856" s="26" t="s">
        <v>543</v>
      </c>
      <c r="B5856" s="26" t="s">
        <v>543</v>
      </c>
      <c r="C5856" s="26"/>
      <c r="D5856" s="26" t="s">
        <v>543</v>
      </c>
      <c r="E5856" s="26" t="str">
        <f>IFERROR(VLOOKUP(G5856,WholesaleExtract!B:J,9,FALSE),"")</f>
        <v/>
      </c>
      <c r="F5856" s="26" t="str">
        <f>IFERROR(VLOOKUP(G5856,WholesaleExtract!B:J,6,FALSE),"")</f>
        <v/>
      </c>
      <c r="H5856" s="47" t="str">
        <f>IFERROR(VLOOKUP(G5856,WholesaleExtract!B:L,11,FALSE),"")</f>
        <v/>
      </c>
      <c r="I5856" s="26" t="str">
        <f>IFERROR(VLOOKUP(G5856,WholesaleExtract!B:O,8,FALSE),"")</f>
        <v/>
      </c>
      <c r="J5856" s="26" t="str">
        <f>IFERROR(VLOOKUP(G5856,WholesaleExtract!B:O,14,FALSE),"")</f>
        <v/>
      </c>
      <c r="K5856" s="26" t="str">
        <f>IFERROR(VLOOKUP(G5856,WholesaleExtract!B:K,10,FALSE),"")</f>
        <v/>
      </c>
      <c r="L5856" s="47" t="str">
        <f>IFERROR(VLOOKUP(G5856,WholesaleExtract!B:L,11,FALSE),"")</f>
        <v/>
      </c>
      <c r="M5856" s="47" t="str">
        <f>IFERROR(VLOOKUP(G5856,WholesaleExtract!B:M,12,FALSE),"")</f>
        <v/>
      </c>
    </row>
    <row r="5857" spans="1:13" x14ac:dyDescent="0.35">
      <c r="A5857" s="26" t="s">
        <v>543</v>
      </c>
      <c r="B5857" s="26" t="s">
        <v>543</v>
      </c>
      <c r="C5857" s="26"/>
      <c r="D5857" s="26" t="s">
        <v>543</v>
      </c>
      <c r="E5857" s="26" t="str">
        <f>IFERROR(VLOOKUP(G5857,WholesaleExtract!B:J,9,FALSE),"")</f>
        <v/>
      </c>
      <c r="F5857" s="26" t="str">
        <f>IFERROR(VLOOKUP(G5857,WholesaleExtract!B:J,6,FALSE),"")</f>
        <v/>
      </c>
      <c r="H5857" s="47" t="str">
        <f>IFERROR(VLOOKUP(G5857,WholesaleExtract!B:L,11,FALSE),"")</f>
        <v/>
      </c>
      <c r="I5857" s="26" t="str">
        <f>IFERROR(VLOOKUP(G5857,WholesaleExtract!B:O,8,FALSE),"")</f>
        <v/>
      </c>
      <c r="J5857" s="26" t="str">
        <f>IFERROR(VLOOKUP(G5857,WholesaleExtract!B:O,14,FALSE),"")</f>
        <v/>
      </c>
      <c r="K5857" s="26" t="str">
        <f>IFERROR(VLOOKUP(G5857,WholesaleExtract!B:K,10,FALSE),"")</f>
        <v/>
      </c>
      <c r="L5857" s="47" t="str">
        <f>IFERROR(VLOOKUP(G5857,WholesaleExtract!B:L,11,FALSE),"")</f>
        <v/>
      </c>
      <c r="M5857" s="47" t="str">
        <f>IFERROR(VLOOKUP(G5857,WholesaleExtract!B:M,12,FALSE),"")</f>
        <v/>
      </c>
    </row>
    <row r="5858" spans="1:13" x14ac:dyDescent="0.35">
      <c r="A5858" s="26" t="s">
        <v>543</v>
      </c>
      <c r="B5858" s="26" t="s">
        <v>543</v>
      </c>
      <c r="C5858" s="26"/>
      <c r="D5858" s="26" t="s">
        <v>543</v>
      </c>
      <c r="E5858" s="26" t="str">
        <f>IFERROR(VLOOKUP(G5858,WholesaleExtract!B:J,9,FALSE),"")</f>
        <v/>
      </c>
      <c r="F5858" s="26" t="str">
        <f>IFERROR(VLOOKUP(G5858,WholesaleExtract!B:J,6,FALSE),"")</f>
        <v/>
      </c>
      <c r="H5858" s="47" t="str">
        <f>IFERROR(VLOOKUP(G5858,WholesaleExtract!B:L,11,FALSE),"")</f>
        <v/>
      </c>
      <c r="I5858" s="26" t="str">
        <f>IFERROR(VLOOKUP(G5858,WholesaleExtract!B:O,8,FALSE),"")</f>
        <v/>
      </c>
      <c r="J5858" s="26" t="str">
        <f>IFERROR(VLOOKUP(G5858,WholesaleExtract!B:O,14,FALSE),"")</f>
        <v/>
      </c>
      <c r="K5858" s="26" t="str">
        <f>IFERROR(VLOOKUP(G5858,WholesaleExtract!B:K,10,FALSE),"")</f>
        <v/>
      </c>
      <c r="L5858" s="47" t="str">
        <f>IFERROR(VLOOKUP(G5858,WholesaleExtract!B:L,11,FALSE),"")</f>
        <v/>
      </c>
      <c r="M5858" s="47" t="str">
        <f>IFERROR(VLOOKUP(G5858,WholesaleExtract!B:M,12,FALSE),"")</f>
        <v/>
      </c>
    </row>
    <row r="5859" spans="1:13" x14ac:dyDescent="0.35">
      <c r="A5859" s="26" t="s">
        <v>543</v>
      </c>
      <c r="B5859" s="26" t="s">
        <v>543</v>
      </c>
      <c r="C5859" s="26"/>
      <c r="D5859" s="26" t="s">
        <v>543</v>
      </c>
      <c r="E5859" s="26" t="str">
        <f>IFERROR(VLOOKUP(G5859,WholesaleExtract!B:J,9,FALSE),"")</f>
        <v/>
      </c>
      <c r="F5859" s="26" t="str">
        <f>IFERROR(VLOOKUP(G5859,WholesaleExtract!B:J,6,FALSE),"")</f>
        <v/>
      </c>
      <c r="H5859" s="47" t="str">
        <f>IFERROR(VLOOKUP(G5859,WholesaleExtract!B:L,11,FALSE),"")</f>
        <v/>
      </c>
      <c r="I5859" s="26" t="str">
        <f>IFERROR(VLOOKUP(G5859,WholesaleExtract!B:O,8,FALSE),"")</f>
        <v/>
      </c>
      <c r="J5859" s="26" t="str">
        <f>IFERROR(VLOOKUP(G5859,WholesaleExtract!B:O,14,FALSE),"")</f>
        <v/>
      </c>
      <c r="K5859" s="26" t="str">
        <f>IFERROR(VLOOKUP(G5859,WholesaleExtract!B:K,10,FALSE),"")</f>
        <v/>
      </c>
      <c r="L5859" s="47" t="str">
        <f>IFERROR(VLOOKUP(G5859,WholesaleExtract!B:L,11,FALSE),"")</f>
        <v/>
      </c>
      <c r="M5859" s="47" t="str">
        <f>IFERROR(VLOOKUP(G5859,WholesaleExtract!B:M,12,FALSE),"")</f>
        <v/>
      </c>
    </row>
    <row r="5860" spans="1:13" x14ac:dyDescent="0.35">
      <c r="A5860" s="26" t="s">
        <v>543</v>
      </c>
      <c r="B5860" s="26" t="s">
        <v>543</v>
      </c>
      <c r="C5860" s="26"/>
      <c r="D5860" s="26" t="s">
        <v>543</v>
      </c>
      <c r="E5860" s="26" t="str">
        <f>IFERROR(VLOOKUP(G5860,WholesaleExtract!B:J,9,FALSE),"")</f>
        <v/>
      </c>
      <c r="F5860" s="26" t="str">
        <f>IFERROR(VLOOKUP(G5860,WholesaleExtract!B:J,6,FALSE),"")</f>
        <v/>
      </c>
      <c r="H5860" s="47" t="str">
        <f>IFERROR(VLOOKUP(G5860,WholesaleExtract!B:L,11,FALSE),"")</f>
        <v/>
      </c>
      <c r="I5860" s="26" t="str">
        <f>IFERROR(VLOOKUP(G5860,WholesaleExtract!B:O,8,FALSE),"")</f>
        <v/>
      </c>
      <c r="J5860" s="26" t="str">
        <f>IFERROR(VLOOKUP(G5860,WholesaleExtract!B:O,14,FALSE),"")</f>
        <v/>
      </c>
      <c r="K5860" s="26" t="str">
        <f>IFERROR(VLOOKUP(G5860,WholesaleExtract!B:K,10,FALSE),"")</f>
        <v/>
      </c>
      <c r="L5860" s="47" t="str">
        <f>IFERROR(VLOOKUP(G5860,WholesaleExtract!B:L,11,FALSE),"")</f>
        <v/>
      </c>
      <c r="M5860" s="47" t="str">
        <f>IFERROR(VLOOKUP(G5860,WholesaleExtract!B:M,12,FALSE),"")</f>
        <v/>
      </c>
    </row>
    <row r="5861" spans="1:13" x14ac:dyDescent="0.35">
      <c r="A5861" s="26" t="s">
        <v>543</v>
      </c>
      <c r="B5861" s="26" t="s">
        <v>543</v>
      </c>
      <c r="C5861" s="26"/>
      <c r="D5861" s="26" t="s">
        <v>543</v>
      </c>
      <c r="E5861" s="26" t="str">
        <f>IFERROR(VLOOKUP(G5861,WholesaleExtract!B:J,9,FALSE),"")</f>
        <v/>
      </c>
      <c r="F5861" s="26" t="str">
        <f>IFERROR(VLOOKUP(G5861,WholesaleExtract!B:J,6,FALSE),"")</f>
        <v/>
      </c>
      <c r="H5861" s="47" t="str">
        <f>IFERROR(VLOOKUP(G5861,WholesaleExtract!B:L,11,FALSE),"")</f>
        <v/>
      </c>
      <c r="I5861" s="26" t="str">
        <f>IFERROR(VLOOKUP(G5861,WholesaleExtract!B:O,8,FALSE),"")</f>
        <v/>
      </c>
      <c r="J5861" s="26" t="str">
        <f>IFERROR(VLOOKUP(G5861,WholesaleExtract!B:O,14,FALSE),"")</f>
        <v/>
      </c>
      <c r="K5861" s="26" t="str">
        <f>IFERROR(VLOOKUP(G5861,WholesaleExtract!B:K,10,FALSE),"")</f>
        <v/>
      </c>
      <c r="L5861" s="47" t="str">
        <f>IFERROR(VLOOKUP(G5861,WholesaleExtract!B:L,11,FALSE),"")</f>
        <v/>
      </c>
      <c r="M5861" s="47" t="str">
        <f>IFERROR(VLOOKUP(G5861,WholesaleExtract!B:M,12,FALSE),"")</f>
        <v/>
      </c>
    </row>
    <row r="5862" spans="1:13" x14ac:dyDescent="0.35">
      <c r="A5862" s="26" t="s">
        <v>543</v>
      </c>
      <c r="B5862" s="26" t="s">
        <v>543</v>
      </c>
      <c r="C5862" s="26"/>
      <c r="D5862" s="26" t="s">
        <v>543</v>
      </c>
      <c r="E5862" s="26" t="str">
        <f>IFERROR(VLOOKUP(G5862,WholesaleExtract!B:J,9,FALSE),"")</f>
        <v/>
      </c>
      <c r="F5862" s="26" t="str">
        <f>IFERROR(VLOOKUP(G5862,WholesaleExtract!B:J,6,FALSE),"")</f>
        <v/>
      </c>
      <c r="H5862" s="47" t="str">
        <f>IFERROR(VLOOKUP(G5862,WholesaleExtract!B:L,11,FALSE),"")</f>
        <v/>
      </c>
      <c r="I5862" s="26" t="str">
        <f>IFERROR(VLOOKUP(G5862,WholesaleExtract!B:O,8,FALSE),"")</f>
        <v/>
      </c>
      <c r="J5862" s="26" t="str">
        <f>IFERROR(VLOOKUP(G5862,WholesaleExtract!B:O,14,FALSE),"")</f>
        <v/>
      </c>
      <c r="K5862" s="26" t="str">
        <f>IFERROR(VLOOKUP(G5862,WholesaleExtract!B:K,10,FALSE),"")</f>
        <v/>
      </c>
      <c r="L5862" s="47" t="str">
        <f>IFERROR(VLOOKUP(G5862,WholesaleExtract!B:L,11,FALSE),"")</f>
        <v/>
      </c>
      <c r="M5862" s="47" t="str">
        <f>IFERROR(VLOOKUP(G5862,WholesaleExtract!B:M,12,FALSE),"")</f>
        <v/>
      </c>
    </row>
    <row r="5863" spans="1:13" x14ac:dyDescent="0.35">
      <c r="A5863" s="26" t="s">
        <v>543</v>
      </c>
      <c r="B5863" s="26" t="s">
        <v>543</v>
      </c>
      <c r="C5863" s="26"/>
      <c r="D5863" s="26" t="s">
        <v>543</v>
      </c>
      <c r="E5863" s="26" t="str">
        <f>IFERROR(VLOOKUP(G5863,WholesaleExtract!B:J,9,FALSE),"")</f>
        <v/>
      </c>
      <c r="F5863" s="26" t="str">
        <f>IFERROR(VLOOKUP(G5863,WholesaleExtract!B:J,6,FALSE),"")</f>
        <v/>
      </c>
      <c r="H5863" s="47" t="str">
        <f>IFERROR(VLOOKUP(G5863,WholesaleExtract!B:L,11,FALSE),"")</f>
        <v/>
      </c>
      <c r="I5863" s="26" t="str">
        <f>IFERROR(VLOOKUP(G5863,WholesaleExtract!B:O,8,FALSE),"")</f>
        <v/>
      </c>
      <c r="J5863" s="26" t="str">
        <f>IFERROR(VLOOKUP(G5863,WholesaleExtract!B:O,14,FALSE),"")</f>
        <v/>
      </c>
      <c r="K5863" s="26" t="str">
        <f>IFERROR(VLOOKUP(G5863,WholesaleExtract!B:K,10,FALSE),"")</f>
        <v/>
      </c>
      <c r="L5863" s="47" t="str">
        <f>IFERROR(VLOOKUP(G5863,WholesaleExtract!B:L,11,FALSE),"")</f>
        <v/>
      </c>
      <c r="M5863" s="47" t="str">
        <f>IFERROR(VLOOKUP(G5863,WholesaleExtract!B:M,12,FALSE),"")</f>
        <v/>
      </c>
    </row>
    <row r="5864" spans="1:13" x14ac:dyDescent="0.35">
      <c r="A5864" s="26" t="s">
        <v>543</v>
      </c>
      <c r="B5864" s="26" t="s">
        <v>543</v>
      </c>
      <c r="C5864" s="26"/>
      <c r="D5864" s="26" t="s">
        <v>543</v>
      </c>
      <c r="E5864" s="26" t="str">
        <f>IFERROR(VLOOKUP(G5864,WholesaleExtract!B:J,9,FALSE),"")</f>
        <v/>
      </c>
      <c r="F5864" s="26" t="str">
        <f>IFERROR(VLOOKUP(G5864,WholesaleExtract!B:J,6,FALSE),"")</f>
        <v/>
      </c>
      <c r="H5864" s="47" t="str">
        <f>IFERROR(VLOOKUP(G5864,WholesaleExtract!B:L,11,FALSE),"")</f>
        <v/>
      </c>
      <c r="I5864" s="26" t="str">
        <f>IFERROR(VLOOKUP(G5864,WholesaleExtract!B:O,8,FALSE),"")</f>
        <v/>
      </c>
      <c r="J5864" s="26" t="str">
        <f>IFERROR(VLOOKUP(G5864,WholesaleExtract!B:O,14,FALSE),"")</f>
        <v/>
      </c>
      <c r="K5864" s="26" t="str">
        <f>IFERROR(VLOOKUP(G5864,WholesaleExtract!B:K,10,FALSE),"")</f>
        <v/>
      </c>
      <c r="L5864" s="47" t="str">
        <f>IFERROR(VLOOKUP(G5864,WholesaleExtract!B:L,11,FALSE),"")</f>
        <v/>
      </c>
      <c r="M5864" s="47" t="str">
        <f>IFERROR(VLOOKUP(G5864,WholesaleExtract!B:M,12,FALSE),"")</f>
        <v/>
      </c>
    </row>
    <row r="5865" spans="1:13" x14ac:dyDescent="0.35">
      <c r="A5865" s="26" t="s">
        <v>543</v>
      </c>
      <c r="B5865" s="26" t="s">
        <v>543</v>
      </c>
      <c r="C5865" s="26"/>
      <c r="D5865" s="26" t="s">
        <v>543</v>
      </c>
      <c r="E5865" s="26" t="str">
        <f>IFERROR(VLOOKUP(G5865,WholesaleExtract!B:J,9,FALSE),"")</f>
        <v/>
      </c>
      <c r="F5865" s="26" t="str">
        <f>IFERROR(VLOOKUP(G5865,WholesaleExtract!B:J,6,FALSE),"")</f>
        <v/>
      </c>
      <c r="H5865" s="47" t="str">
        <f>IFERROR(VLOOKUP(G5865,WholesaleExtract!B:L,11,FALSE),"")</f>
        <v/>
      </c>
      <c r="I5865" s="26" t="str">
        <f>IFERROR(VLOOKUP(G5865,WholesaleExtract!B:O,8,FALSE),"")</f>
        <v/>
      </c>
      <c r="J5865" s="26" t="str">
        <f>IFERROR(VLOOKUP(G5865,WholesaleExtract!B:O,14,FALSE),"")</f>
        <v/>
      </c>
      <c r="K5865" s="26" t="str">
        <f>IFERROR(VLOOKUP(G5865,WholesaleExtract!B:K,10,FALSE),"")</f>
        <v/>
      </c>
      <c r="L5865" s="47" t="str">
        <f>IFERROR(VLOOKUP(G5865,WholesaleExtract!B:L,11,FALSE),"")</f>
        <v/>
      </c>
      <c r="M5865" s="47" t="str">
        <f>IFERROR(VLOOKUP(G5865,WholesaleExtract!B:M,12,FALSE),"")</f>
        <v/>
      </c>
    </row>
    <row r="5866" spans="1:13" x14ac:dyDescent="0.35">
      <c r="A5866" s="26" t="s">
        <v>543</v>
      </c>
      <c r="B5866" s="26" t="s">
        <v>543</v>
      </c>
      <c r="C5866" s="26"/>
      <c r="D5866" s="26" t="s">
        <v>543</v>
      </c>
      <c r="E5866" s="26" t="str">
        <f>IFERROR(VLOOKUP(G5866,WholesaleExtract!B:J,9,FALSE),"")</f>
        <v/>
      </c>
      <c r="F5866" s="26" t="str">
        <f>IFERROR(VLOOKUP(G5866,WholesaleExtract!B:J,6,FALSE),"")</f>
        <v/>
      </c>
      <c r="H5866" s="47" t="str">
        <f>IFERROR(VLOOKUP(G5866,WholesaleExtract!B:L,11,FALSE),"")</f>
        <v/>
      </c>
      <c r="I5866" s="26" t="str">
        <f>IFERROR(VLOOKUP(G5866,WholesaleExtract!B:O,8,FALSE),"")</f>
        <v/>
      </c>
      <c r="J5866" s="26" t="str">
        <f>IFERROR(VLOOKUP(G5866,WholesaleExtract!B:O,14,FALSE),"")</f>
        <v/>
      </c>
      <c r="K5866" s="26" t="str">
        <f>IFERROR(VLOOKUP(G5866,WholesaleExtract!B:K,10,FALSE),"")</f>
        <v/>
      </c>
      <c r="L5866" s="47" t="str">
        <f>IFERROR(VLOOKUP(G5866,WholesaleExtract!B:L,11,FALSE),"")</f>
        <v/>
      </c>
      <c r="M5866" s="47" t="str">
        <f>IFERROR(VLOOKUP(G5866,WholesaleExtract!B:M,12,FALSE),"")</f>
        <v/>
      </c>
    </row>
    <row r="5867" spans="1:13" x14ac:dyDescent="0.35">
      <c r="A5867" s="26" t="s">
        <v>543</v>
      </c>
      <c r="B5867" s="26" t="s">
        <v>543</v>
      </c>
      <c r="C5867" s="26"/>
      <c r="D5867" s="26" t="s">
        <v>543</v>
      </c>
      <c r="E5867" s="26" t="str">
        <f>IFERROR(VLOOKUP(G5867,WholesaleExtract!B:J,9,FALSE),"")</f>
        <v/>
      </c>
      <c r="F5867" s="26" t="str">
        <f>IFERROR(VLOOKUP(G5867,WholesaleExtract!B:J,6,FALSE),"")</f>
        <v/>
      </c>
      <c r="H5867" s="47" t="str">
        <f>IFERROR(VLOOKUP(G5867,WholesaleExtract!B:L,11,FALSE),"")</f>
        <v/>
      </c>
      <c r="I5867" s="26" t="str">
        <f>IFERROR(VLOOKUP(G5867,WholesaleExtract!B:O,8,FALSE),"")</f>
        <v/>
      </c>
      <c r="J5867" s="26" t="str">
        <f>IFERROR(VLOOKUP(G5867,WholesaleExtract!B:O,14,FALSE),"")</f>
        <v/>
      </c>
      <c r="K5867" s="26" t="str">
        <f>IFERROR(VLOOKUP(G5867,WholesaleExtract!B:K,10,FALSE),"")</f>
        <v/>
      </c>
      <c r="L5867" s="47" t="str">
        <f>IFERROR(VLOOKUP(G5867,WholesaleExtract!B:L,11,FALSE),"")</f>
        <v/>
      </c>
      <c r="M5867" s="47" t="str">
        <f>IFERROR(VLOOKUP(G5867,WholesaleExtract!B:M,12,FALSE),"")</f>
        <v/>
      </c>
    </row>
    <row r="5868" spans="1:13" x14ac:dyDescent="0.35">
      <c r="A5868" s="26" t="s">
        <v>543</v>
      </c>
      <c r="B5868" s="26" t="s">
        <v>543</v>
      </c>
      <c r="C5868" s="26"/>
      <c r="D5868" s="26" t="s">
        <v>543</v>
      </c>
      <c r="E5868" s="26" t="str">
        <f>IFERROR(VLOOKUP(G5868,WholesaleExtract!B:J,9,FALSE),"")</f>
        <v/>
      </c>
      <c r="F5868" s="26" t="str">
        <f>IFERROR(VLOOKUP(G5868,WholesaleExtract!B:J,6,FALSE),"")</f>
        <v/>
      </c>
      <c r="H5868" s="47" t="str">
        <f>IFERROR(VLOOKUP(G5868,WholesaleExtract!B:L,11,FALSE),"")</f>
        <v/>
      </c>
      <c r="I5868" s="26" t="str">
        <f>IFERROR(VLOOKUP(G5868,WholesaleExtract!B:O,8,FALSE),"")</f>
        <v/>
      </c>
      <c r="J5868" s="26" t="str">
        <f>IFERROR(VLOOKUP(G5868,WholesaleExtract!B:O,14,FALSE),"")</f>
        <v/>
      </c>
      <c r="K5868" s="26" t="str">
        <f>IFERROR(VLOOKUP(G5868,WholesaleExtract!B:K,10,FALSE),"")</f>
        <v/>
      </c>
      <c r="L5868" s="47" t="str">
        <f>IFERROR(VLOOKUP(G5868,WholesaleExtract!B:L,11,FALSE),"")</f>
        <v/>
      </c>
      <c r="M5868" s="47" t="str">
        <f>IFERROR(VLOOKUP(G5868,WholesaleExtract!B:M,12,FALSE),"")</f>
        <v/>
      </c>
    </row>
    <row r="5869" spans="1:13" x14ac:dyDescent="0.35">
      <c r="A5869" s="26" t="s">
        <v>543</v>
      </c>
      <c r="B5869" s="26" t="s">
        <v>543</v>
      </c>
      <c r="C5869" s="26"/>
      <c r="D5869" s="26" t="s">
        <v>543</v>
      </c>
      <c r="E5869" s="26" t="str">
        <f>IFERROR(VLOOKUP(G5869,WholesaleExtract!B:J,9,FALSE),"")</f>
        <v/>
      </c>
      <c r="F5869" s="26" t="str">
        <f>IFERROR(VLOOKUP(G5869,WholesaleExtract!B:J,6,FALSE),"")</f>
        <v/>
      </c>
      <c r="H5869" s="47" t="str">
        <f>IFERROR(VLOOKUP(G5869,WholesaleExtract!B:L,11,FALSE),"")</f>
        <v/>
      </c>
      <c r="I5869" s="26" t="str">
        <f>IFERROR(VLOOKUP(G5869,WholesaleExtract!B:O,8,FALSE),"")</f>
        <v/>
      </c>
      <c r="J5869" s="26" t="str">
        <f>IFERROR(VLOOKUP(G5869,WholesaleExtract!B:O,14,FALSE),"")</f>
        <v/>
      </c>
      <c r="K5869" s="26" t="str">
        <f>IFERROR(VLOOKUP(G5869,WholesaleExtract!B:K,10,FALSE),"")</f>
        <v/>
      </c>
      <c r="L5869" s="47" t="str">
        <f>IFERROR(VLOOKUP(G5869,WholesaleExtract!B:L,11,FALSE),"")</f>
        <v/>
      </c>
      <c r="M5869" s="47" t="str">
        <f>IFERROR(VLOOKUP(G5869,WholesaleExtract!B:M,12,FALSE),"")</f>
        <v/>
      </c>
    </row>
    <row r="5870" spans="1:13" x14ac:dyDescent="0.35">
      <c r="A5870" s="26" t="s">
        <v>543</v>
      </c>
      <c r="B5870" s="26" t="s">
        <v>543</v>
      </c>
      <c r="C5870" s="26"/>
      <c r="D5870" s="26" t="s">
        <v>543</v>
      </c>
      <c r="E5870" s="26" t="str">
        <f>IFERROR(VLOOKUP(G5870,WholesaleExtract!B:J,9,FALSE),"")</f>
        <v/>
      </c>
      <c r="F5870" s="26" t="str">
        <f>IFERROR(VLOOKUP(G5870,WholesaleExtract!B:J,6,FALSE),"")</f>
        <v/>
      </c>
      <c r="H5870" s="47" t="str">
        <f>IFERROR(VLOOKUP(G5870,WholesaleExtract!B:L,11,FALSE),"")</f>
        <v/>
      </c>
      <c r="I5870" s="26" t="str">
        <f>IFERROR(VLOOKUP(G5870,WholesaleExtract!B:O,8,FALSE),"")</f>
        <v/>
      </c>
      <c r="J5870" s="26" t="str">
        <f>IFERROR(VLOOKUP(G5870,WholesaleExtract!B:O,14,FALSE),"")</f>
        <v/>
      </c>
      <c r="K5870" s="26" t="str">
        <f>IFERROR(VLOOKUP(G5870,WholesaleExtract!B:K,10,FALSE),"")</f>
        <v/>
      </c>
      <c r="L5870" s="47" t="str">
        <f>IFERROR(VLOOKUP(G5870,WholesaleExtract!B:L,11,FALSE),"")</f>
        <v/>
      </c>
      <c r="M5870" s="47" t="str">
        <f>IFERROR(VLOOKUP(G5870,WholesaleExtract!B:M,12,FALSE),"")</f>
        <v/>
      </c>
    </row>
    <row r="5871" spans="1:13" x14ac:dyDescent="0.35">
      <c r="A5871" s="26" t="s">
        <v>543</v>
      </c>
      <c r="B5871" s="26" t="s">
        <v>543</v>
      </c>
      <c r="C5871" s="26"/>
      <c r="D5871" s="26" t="s">
        <v>543</v>
      </c>
      <c r="E5871" s="26" t="str">
        <f>IFERROR(VLOOKUP(G5871,WholesaleExtract!B:J,9,FALSE),"")</f>
        <v/>
      </c>
      <c r="F5871" s="26" t="str">
        <f>IFERROR(VLOOKUP(G5871,WholesaleExtract!B:J,6,FALSE),"")</f>
        <v/>
      </c>
      <c r="H5871" s="47" t="str">
        <f>IFERROR(VLOOKUP(G5871,WholesaleExtract!B:L,11,FALSE),"")</f>
        <v/>
      </c>
      <c r="I5871" s="26" t="str">
        <f>IFERROR(VLOOKUP(G5871,WholesaleExtract!B:O,8,FALSE),"")</f>
        <v/>
      </c>
      <c r="J5871" s="26" t="str">
        <f>IFERROR(VLOOKUP(G5871,WholesaleExtract!B:O,14,FALSE),"")</f>
        <v/>
      </c>
      <c r="K5871" s="26" t="str">
        <f>IFERROR(VLOOKUP(G5871,WholesaleExtract!B:K,10,FALSE),"")</f>
        <v/>
      </c>
      <c r="L5871" s="47" t="str">
        <f>IFERROR(VLOOKUP(G5871,WholesaleExtract!B:L,11,FALSE),"")</f>
        <v/>
      </c>
      <c r="M5871" s="47" t="str">
        <f>IFERROR(VLOOKUP(G5871,WholesaleExtract!B:M,12,FALSE),"")</f>
        <v/>
      </c>
    </row>
    <row r="5872" spans="1:13" x14ac:dyDescent="0.35">
      <c r="A5872" s="26" t="s">
        <v>543</v>
      </c>
      <c r="B5872" s="26" t="s">
        <v>543</v>
      </c>
      <c r="C5872" s="26"/>
      <c r="D5872" s="26" t="s">
        <v>543</v>
      </c>
      <c r="E5872" s="26" t="str">
        <f>IFERROR(VLOOKUP(G5872,WholesaleExtract!B:J,9,FALSE),"")</f>
        <v/>
      </c>
      <c r="F5872" s="26" t="str">
        <f>IFERROR(VLOOKUP(G5872,WholesaleExtract!B:J,6,FALSE),"")</f>
        <v/>
      </c>
      <c r="H5872" s="47" t="str">
        <f>IFERROR(VLOOKUP(G5872,WholesaleExtract!B:L,11,FALSE),"")</f>
        <v/>
      </c>
      <c r="I5872" s="26" t="str">
        <f>IFERROR(VLOOKUP(G5872,WholesaleExtract!B:O,8,FALSE),"")</f>
        <v/>
      </c>
      <c r="J5872" s="26" t="str">
        <f>IFERROR(VLOOKUP(G5872,WholesaleExtract!B:O,14,FALSE),"")</f>
        <v/>
      </c>
      <c r="K5872" s="26" t="str">
        <f>IFERROR(VLOOKUP(G5872,WholesaleExtract!B:K,10,FALSE),"")</f>
        <v/>
      </c>
      <c r="L5872" s="47" t="str">
        <f>IFERROR(VLOOKUP(G5872,WholesaleExtract!B:L,11,FALSE),"")</f>
        <v/>
      </c>
      <c r="M5872" s="47" t="str">
        <f>IFERROR(VLOOKUP(G5872,WholesaleExtract!B:M,12,FALSE),"")</f>
        <v/>
      </c>
    </row>
    <row r="5873" spans="1:13" x14ac:dyDescent="0.35">
      <c r="A5873" s="26" t="s">
        <v>543</v>
      </c>
      <c r="B5873" s="26" t="s">
        <v>543</v>
      </c>
      <c r="C5873" s="26"/>
      <c r="D5873" s="26" t="s">
        <v>543</v>
      </c>
      <c r="E5873" s="26" t="str">
        <f>IFERROR(VLOOKUP(G5873,WholesaleExtract!B:J,9,FALSE),"")</f>
        <v/>
      </c>
      <c r="F5873" s="26" t="str">
        <f>IFERROR(VLOOKUP(G5873,WholesaleExtract!B:J,6,FALSE),"")</f>
        <v/>
      </c>
      <c r="H5873" s="47" t="str">
        <f>IFERROR(VLOOKUP(G5873,WholesaleExtract!B:L,11,FALSE),"")</f>
        <v/>
      </c>
      <c r="I5873" s="26" t="str">
        <f>IFERROR(VLOOKUP(G5873,WholesaleExtract!B:O,8,FALSE),"")</f>
        <v/>
      </c>
      <c r="J5873" s="26" t="str">
        <f>IFERROR(VLOOKUP(G5873,WholesaleExtract!B:O,14,FALSE),"")</f>
        <v/>
      </c>
      <c r="K5873" s="26" t="str">
        <f>IFERROR(VLOOKUP(G5873,WholesaleExtract!B:K,10,FALSE),"")</f>
        <v/>
      </c>
      <c r="L5873" s="47" t="str">
        <f>IFERROR(VLOOKUP(G5873,WholesaleExtract!B:L,11,FALSE),"")</f>
        <v/>
      </c>
      <c r="M5873" s="47" t="str">
        <f>IFERROR(VLOOKUP(G5873,WholesaleExtract!B:M,12,FALSE),"")</f>
        <v/>
      </c>
    </row>
    <row r="5874" spans="1:13" x14ac:dyDescent="0.35">
      <c r="A5874" s="26" t="s">
        <v>543</v>
      </c>
      <c r="B5874" s="26" t="s">
        <v>543</v>
      </c>
      <c r="C5874" s="26"/>
      <c r="D5874" s="26" t="s">
        <v>543</v>
      </c>
      <c r="E5874" s="26" t="str">
        <f>IFERROR(VLOOKUP(G5874,WholesaleExtract!B:J,9,FALSE),"")</f>
        <v/>
      </c>
      <c r="F5874" s="26" t="str">
        <f>IFERROR(VLOOKUP(G5874,WholesaleExtract!B:J,6,FALSE),"")</f>
        <v/>
      </c>
      <c r="H5874" s="47" t="str">
        <f>IFERROR(VLOOKUP(G5874,WholesaleExtract!B:L,11,FALSE),"")</f>
        <v/>
      </c>
      <c r="I5874" s="26" t="str">
        <f>IFERROR(VLOOKUP(G5874,WholesaleExtract!B:O,8,FALSE),"")</f>
        <v/>
      </c>
      <c r="J5874" s="26" t="str">
        <f>IFERROR(VLOOKUP(G5874,WholesaleExtract!B:O,14,FALSE),"")</f>
        <v/>
      </c>
      <c r="K5874" s="26" t="str">
        <f>IFERROR(VLOOKUP(G5874,WholesaleExtract!B:K,10,FALSE),"")</f>
        <v/>
      </c>
      <c r="L5874" s="47" t="str">
        <f>IFERROR(VLOOKUP(G5874,WholesaleExtract!B:L,11,FALSE),"")</f>
        <v/>
      </c>
      <c r="M5874" s="47" t="str">
        <f>IFERROR(VLOOKUP(G5874,WholesaleExtract!B:M,12,FALSE),"")</f>
        <v/>
      </c>
    </row>
    <row r="5875" spans="1:13" x14ac:dyDescent="0.35">
      <c r="A5875" s="26" t="s">
        <v>543</v>
      </c>
      <c r="B5875" s="26" t="s">
        <v>543</v>
      </c>
      <c r="C5875" s="26"/>
      <c r="D5875" s="26" t="s">
        <v>543</v>
      </c>
      <c r="E5875" s="26" t="str">
        <f>IFERROR(VLOOKUP(G5875,WholesaleExtract!B:J,9,FALSE),"")</f>
        <v/>
      </c>
      <c r="F5875" s="26" t="str">
        <f>IFERROR(VLOOKUP(G5875,WholesaleExtract!B:J,6,FALSE),"")</f>
        <v/>
      </c>
      <c r="H5875" s="47" t="str">
        <f>IFERROR(VLOOKUP(G5875,WholesaleExtract!B:L,11,FALSE),"")</f>
        <v/>
      </c>
      <c r="I5875" s="26" t="str">
        <f>IFERROR(VLOOKUP(G5875,WholesaleExtract!B:O,8,FALSE),"")</f>
        <v/>
      </c>
      <c r="J5875" s="26" t="str">
        <f>IFERROR(VLOOKUP(G5875,WholesaleExtract!B:O,14,FALSE),"")</f>
        <v/>
      </c>
      <c r="K5875" s="26" t="str">
        <f>IFERROR(VLOOKUP(G5875,WholesaleExtract!B:K,10,FALSE),"")</f>
        <v/>
      </c>
      <c r="L5875" s="47" t="str">
        <f>IFERROR(VLOOKUP(G5875,WholesaleExtract!B:L,11,FALSE),"")</f>
        <v/>
      </c>
      <c r="M5875" s="47" t="str">
        <f>IFERROR(VLOOKUP(G5875,WholesaleExtract!B:M,12,FALSE),"")</f>
        <v/>
      </c>
    </row>
    <row r="5876" spans="1:13" x14ac:dyDescent="0.35">
      <c r="A5876" s="26" t="s">
        <v>543</v>
      </c>
      <c r="B5876" s="26" t="s">
        <v>543</v>
      </c>
      <c r="C5876" s="26"/>
      <c r="D5876" s="26" t="s">
        <v>543</v>
      </c>
      <c r="E5876" s="26" t="str">
        <f>IFERROR(VLOOKUP(G5876,WholesaleExtract!B:J,9,FALSE),"")</f>
        <v/>
      </c>
      <c r="F5876" s="26" t="str">
        <f>IFERROR(VLOOKUP(G5876,WholesaleExtract!B:J,6,FALSE),"")</f>
        <v/>
      </c>
      <c r="H5876" s="47" t="str">
        <f>IFERROR(VLOOKUP(G5876,WholesaleExtract!B:L,11,FALSE),"")</f>
        <v/>
      </c>
      <c r="I5876" s="26" t="str">
        <f>IFERROR(VLOOKUP(G5876,WholesaleExtract!B:O,8,FALSE),"")</f>
        <v/>
      </c>
      <c r="J5876" s="26" t="str">
        <f>IFERROR(VLOOKUP(G5876,WholesaleExtract!B:O,14,FALSE),"")</f>
        <v/>
      </c>
      <c r="K5876" s="26" t="str">
        <f>IFERROR(VLOOKUP(G5876,WholesaleExtract!B:K,10,FALSE),"")</f>
        <v/>
      </c>
      <c r="L5876" s="47" t="str">
        <f>IFERROR(VLOOKUP(G5876,WholesaleExtract!B:L,11,FALSE),"")</f>
        <v/>
      </c>
      <c r="M5876" s="47" t="str">
        <f>IFERROR(VLOOKUP(G5876,WholesaleExtract!B:M,12,FALSE),"")</f>
        <v/>
      </c>
    </row>
    <row r="5877" spans="1:13" x14ac:dyDescent="0.35">
      <c r="A5877" s="26" t="s">
        <v>543</v>
      </c>
      <c r="B5877" s="26" t="s">
        <v>543</v>
      </c>
      <c r="C5877" s="26"/>
      <c r="D5877" s="26" t="s">
        <v>543</v>
      </c>
      <c r="E5877" s="26" t="str">
        <f>IFERROR(VLOOKUP(G5877,WholesaleExtract!B:J,9,FALSE),"")</f>
        <v/>
      </c>
      <c r="F5877" s="26" t="str">
        <f>IFERROR(VLOOKUP(G5877,WholesaleExtract!B:J,6,FALSE),"")</f>
        <v/>
      </c>
      <c r="H5877" s="47" t="str">
        <f>IFERROR(VLOOKUP(G5877,WholesaleExtract!B:L,11,FALSE),"")</f>
        <v/>
      </c>
      <c r="I5877" s="26" t="str">
        <f>IFERROR(VLOOKUP(G5877,WholesaleExtract!B:O,8,FALSE),"")</f>
        <v/>
      </c>
      <c r="J5877" s="26" t="str">
        <f>IFERROR(VLOOKUP(G5877,WholesaleExtract!B:O,14,FALSE),"")</f>
        <v/>
      </c>
      <c r="K5877" s="26" t="str">
        <f>IFERROR(VLOOKUP(G5877,WholesaleExtract!B:K,10,FALSE),"")</f>
        <v/>
      </c>
      <c r="L5877" s="47" t="str">
        <f>IFERROR(VLOOKUP(G5877,WholesaleExtract!B:L,11,FALSE),"")</f>
        <v/>
      </c>
      <c r="M5877" s="47" t="str">
        <f>IFERROR(VLOOKUP(G5877,WholesaleExtract!B:M,12,FALSE),"")</f>
        <v/>
      </c>
    </row>
    <row r="5878" spans="1:13" x14ac:dyDescent="0.35">
      <c r="A5878" s="26" t="s">
        <v>543</v>
      </c>
      <c r="B5878" s="26" t="s">
        <v>543</v>
      </c>
      <c r="C5878" s="26"/>
      <c r="D5878" s="26" t="s">
        <v>543</v>
      </c>
      <c r="E5878" s="26" t="str">
        <f>IFERROR(VLOOKUP(G5878,WholesaleExtract!B:J,9,FALSE),"")</f>
        <v/>
      </c>
      <c r="F5878" s="26" t="str">
        <f>IFERROR(VLOOKUP(G5878,WholesaleExtract!B:J,6,FALSE),"")</f>
        <v/>
      </c>
      <c r="H5878" s="47" t="str">
        <f>IFERROR(VLOOKUP(G5878,WholesaleExtract!B:L,11,FALSE),"")</f>
        <v/>
      </c>
      <c r="I5878" s="26" t="str">
        <f>IFERROR(VLOOKUP(G5878,WholesaleExtract!B:O,8,FALSE),"")</f>
        <v/>
      </c>
      <c r="J5878" s="26" t="str">
        <f>IFERROR(VLOOKUP(G5878,WholesaleExtract!B:O,14,FALSE),"")</f>
        <v/>
      </c>
      <c r="K5878" s="26" t="str">
        <f>IFERROR(VLOOKUP(G5878,WholesaleExtract!B:K,10,FALSE),"")</f>
        <v/>
      </c>
      <c r="L5878" s="47" t="str">
        <f>IFERROR(VLOOKUP(G5878,WholesaleExtract!B:L,11,FALSE),"")</f>
        <v/>
      </c>
      <c r="M5878" s="47" t="str">
        <f>IFERROR(VLOOKUP(G5878,WholesaleExtract!B:M,12,FALSE),"")</f>
        <v/>
      </c>
    </row>
    <row r="5879" spans="1:13" x14ac:dyDescent="0.35">
      <c r="A5879" s="26" t="s">
        <v>543</v>
      </c>
      <c r="B5879" s="26" t="s">
        <v>543</v>
      </c>
      <c r="C5879" s="26"/>
      <c r="D5879" s="26" t="s">
        <v>543</v>
      </c>
      <c r="E5879" s="26" t="str">
        <f>IFERROR(VLOOKUP(G5879,WholesaleExtract!B:J,9,FALSE),"")</f>
        <v/>
      </c>
      <c r="F5879" s="26" t="str">
        <f>IFERROR(VLOOKUP(G5879,WholesaleExtract!B:J,6,FALSE),"")</f>
        <v/>
      </c>
      <c r="H5879" s="47" t="str">
        <f>IFERROR(VLOOKUP(G5879,WholesaleExtract!B:L,11,FALSE),"")</f>
        <v/>
      </c>
      <c r="I5879" s="26" t="str">
        <f>IFERROR(VLOOKUP(G5879,WholesaleExtract!B:O,8,FALSE),"")</f>
        <v/>
      </c>
      <c r="J5879" s="26" t="str">
        <f>IFERROR(VLOOKUP(G5879,WholesaleExtract!B:O,14,FALSE),"")</f>
        <v/>
      </c>
      <c r="K5879" s="26" t="str">
        <f>IFERROR(VLOOKUP(G5879,WholesaleExtract!B:K,10,FALSE),"")</f>
        <v/>
      </c>
      <c r="L5879" s="47" t="str">
        <f>IFERROR(VLOOKUP(G5879,WholesaleExtract!B:L,11,FALSE),"")</f>
        <v/>
      </c>
      <c r="M5879" s="47" t="str">
        <f>IFERROR(VLOOKUP(G5879,WholesaleExtract!B:M,12,FALSE),"")</f>
        <v/>
      </c>
    </row>
    <row r="5880" spans="1:13" x14ac:dyDescent="0.35">
      <c r="A5880" s="26" t="s">
        <v>543</v>
      </c>
      <c r="B5880" s="26" t="s">
        <v>543</v>
      </c>
      <c r="C5880" s="26"/>
      <c r="D5880" s="26" t="s">
        <v>543</v>
      </c>
      <c r="E5880" s="26" t="str">
        <f>IFERROR(VLOOKUP(G5880,WholesaleExtract!B:J,9,FALSE),"")</f>
        <v/>
      </c>
      <c r="F5880" s="26" t="str">
        <f>IFERROR(VLOOKUP(G5880,WholesaleExtract!B:J,6,FALSE),"")</f>
        <v/>
      </c>
      <c r="H5880" s="47" t="str">
        <f>IFERROR(VLOOKUP(G5880,WholesaleExtract!B:L,11,FALSE),"")</f>
        <v/>
      </c>
      <c r="I5880" s="26" t="str">
        <f>IFERROR(VLOOKUP(G5880,WholesaleExtract!B:O,8,FALSE),"")</f>
        <v/>
      </c>
      <c r="J5880" s="26" t="str">
        <f>IFERROR(VLOOKUP(G5880,WholesaleExtract!B:O,14,FALSE),"")</f>
        <v/>
      </c>
      <c r="K5880" s="26" t="str">
        <f>IFERROR(VLOOKUP(G5880,WholesaleExtract!B:K,10,FALSE),"")</f>
        <v/>
      </c>
      <c r="L5880" s="47" t="str">
        <f>IFERROR(VLOOKUP(G5880,WholesaleExtract!B:L,11,FALSE),"")</f>
        <v/>
      </c>
      <c r="M5880" s="47" t="str">
        <f>IFERROR(VLOOKUP(G5880,WholesaleExtract!B:M,12,FALSE),"")</f>
        <v/>
      </c>
    </row>
    <row r="5881" spans="1:13" x14ac:dyDescent="0.35">
      <c r="A5881" s="26" t="s">
        <v>543</v>
      </c>
      <c r="B5881" s="26" t="s">
        <v>543</v>
      </c>
      <c r="C5881" s="26"/>
      <c r="D5881" s="26" t="s">
        <v>543</v>
      </c>
      <c r="E5881" s="26" t="str">
        <f>IFERROR(VLOOKUP(G5881,WholesaleExtract!B:J,9,FALSE),"")</f>
        <v/>
      </c>
      <c r="F5881" s="26" t="str">
        <f>IFERROR(VLOOKUP(G5881,WholesaleExtract!B:J,6,FALSE),"")</f>
        <v/>
      </c>
      <c r="H5881" s="47" t="str">
        <f>IFERROR(VLOOKUP(G5881,WholesaleExtract!B:L,11,FALSE),"")</f>
        <v/>
      </c>
      <c r="I5881" s="26" t="str">
        <f>IFERROR(VLOOKUP(G5881,WholesaleExtract!B:O,8,FALSE),"")</f>
        <v/>
      </c>
      <c r="J5881" s="26" t="str">
        <f>IFERROR(VLOOKUP(G5881,WholesaleExtract!B:O,14,FALSE),"")</f>
        <v/>
      </c>
      <c r="K5881" s="26" t="str">
        <f>IFERROR(VLOOKUP(G5881,WholesaleExtract!B:K,10,FALSE),"")</f>
        <v/>
      </c>
      <c r="L5881" s="47" t="str">
        <f>IFERROR(VLOOKUP(G5881,WholesaleExtract!B:L,11,FALSE),"")</f>
        <v/>
      </c>
      <c r="M5881" s="47" t="str">
        <f>IFERROR(VLOOKUP(G5881,WholesaleExtract!B:M,12,FALSE),"")</f>
        <v/>
      </c>
    </row>
    <row r="5882" spans="1:13" x14ac:dyDescent="0.35">
      <c r="A5882" s="26" t="s">
        <v>543</v>
      </c>
      <c r="B5882" s="26" t="s">
        <v>543</v>
      </c>
      <c r="C5882" s="26"/>
      <c r="D5882" s="26" t="s">
        <v>543</v>
      </c>
      <c r="E5882" s="26" t="str">
        <f>IFERROR(VLOOKUP(G5882,WholesaleExtract!B:J,9,FALSE),"")</f>
        <v/>
      </c>
      <c r="F5882" s="26" t="str">
        <f>IFERROR(VLOOKUP(G5882,WholesaleExtract!B:J,6,FALSE),"")</f>
        <v/>
      </c>
      <c r="H5882" s="47" t="str">
        <f>IFERROR(VLOOKUP(G5882,WholesaleExtract!B:L,11,FALSE),"")</f>
        <v/>
      </c>
      <c r="I5882" s="26" t="str">
        <f>IFERROR(VLOOKUP(G5882,WholesaleExtract!B:O,8,FALSE),"")</f>
        <v/>
      </c>
      <c r="J5882" s="26" t="str">
        <f>IFERROR(VLOOKUP(G5882,WholesaleExtract!B:O,14,FALSE),"")</f>
        <v/>
      </c>
      <c r="K5882" s="26" t="str">
        <f>IFERROR(VLOOKUP(G5882,WholesaleExtract!B:K,10,FALSE),"")</f>
        <v/>
      </c>
      <c r="L5882" s="47" t="str">
        <f>IFERROR(VLOOKUP(G5882,WholesaleExtract!B:L,11,FALSE),"")</f>
        <v/>
      </c>
      <c r="M5882" s="47" t="str">
        <f>IFERROR(VLOOKUP(G5882,WholesaleExtract!B:M,12,FALSE),"")</f>
        <v/>
      </c>
    </row>
    <row r="5883" spans="1:13" x14ac:dyDescent="0.35">
      <c r="A5883" s="26" t="s">
        <v>543</v>
      </c>
      <c r="B5883" s="26" t="s">
        <v>543</v>
      </c>
      <c r="C5883" s="26"/>
      <c r="D5883" s="26" t="s">
        <v>543</v>
      </c>
      <c r="E5883" s="26" t="str">
        <f>IFERROR(VLOOKUP(G5883,WholesaleExtract!B:J,9,FALSE),"")</f>
        <v/>
      </c>
      <c r="F5883" s="26" t="str">
        <f>IFERROR(VLOOKUP(G5883,WholesaleExtract!B:J,6,FALSE),"")</f>
        <v/>
      </c>
      <c r="H5883" s="47" t="str">
        <f>IFERROR(VLOOKUP(G5883,WholesaleExtract!B:L,11,FALSE),"")</f>
        <v/>
      </c>
      <c r="I5883" s="26" t="str">
        <f>IFERROR(VLOOKUP(G5883,WholesaleExtract!B:O,8,FALSE),"")</f>
        <v/>
      </c>
      <c r="J5883" s="26" t="str">
        <f>IFERROR(VLOOKUP(G5883,WholesaleExtract!B:O,14,FALSE),"")</f>
        <v/>
      </c>
      <c r="K5883" s="26" t="str">
        <f>IFERROR(VLOOKUP(G5883,WholesaleExtract!B:K,10,FALSE),"")</f>
        <v/>
      </c>
      <c r="L5883" s="47" t="str">
        <f>IFERROR(VLOOKUP(G5883,WholesaleExtract!B:L,11,FALSE),"")</f>
        <v/>
      </c>
      <c r="M5883" s="47" t="str">
        <f>IFERROR(VLOOKUP(G5883,WholesaleExtract!B:M,12,FALSE),"")</f>
        <v/>
      </c>
    </row>
    <row r="5884" spans="1:13" x14ac:dyDescent="0.35">
      <c r="A5884" s="26" t="s">
        <v>543</v>
      </c>
      <c r="B5884" s="26" t="s">
        <v>543</v>
      </c>
      <c r="C5884" s="26"/>
      <c r="D5884" s="26" t="s">
        <v>543</v>
      </c>
      <c r="E5884" s="26" t="str">
        <f>IFERROR(VLOOKUP(G5884,WholesaleExtract!B:J,9,FALSE),"")</f>
        <v/>
      </c>
      <c r="F5884" s="26" t="str">
        <f>IFERROR(VLOOKUP(G5884,WholesaleExtract!B:J,6,FALSE),"")</f>
        <v/>
      </c>
      <c r="H5884" s="47" t="str">
        <f>IFERROR(VLOOKUP(G5884,WholesaleExtract!B:L,11,FALSE),"")</f>
        <v/>
      </c>
      <c r="I5884" s="26" t="str">
        <f>IFERROR(VLOOKUP(G5884,WholesaleExtract!B:O,8,FALSE),"")</f>
        <v/>
      </c>
      <c r="J5884" s="26" t="str">
        <f>IFERROR(VLOOKUP(G5884,WholesaleExtract!B:O,14,FALSE),"")</f>
        <v/>
      </c>
      <c r="K5884" s="26" t="str">
        <f>IFERROR(VLOOKUP(G5884,WholesaleExtract!B:K,10,FALSE),"")</f>
        <v/>
      </c>
      <c r="L5884" s="47" t="str">
        <f>IFERROR(VLOOKUP(G5884,WholesaleExtract!B:L,11,FALSE),"")</f>
        <v/>
      </c>
      <c r="M5884" s="47" t="str">
        <f>IFERROR(VLOOKUP(G5884,WholesaleExtract!B:M,12,FALSE),"")</f>
        <v/>
      </c>
    </row>
    <row r="5885" spans="1:13" x14ac:dyDescent="0.35">
      <c r="A5885" s="26" t="s">
        <v>543</v>
      </c>
      <c r="B5885" s="26" t="s">
        <v>543</v>
      </c>
      <c r="C5885" s="26"/>
      <c r="D5885" s="26" t="s">
        <v>543</v>
      </c>
      <c r="E5885" s="26" t="str">
        <f>IFERROR(VLOOKUP(G5885,WholesaleExtract!B:J,9,FALSE),"")</f>
        <v/>
      </c>
      <c r="F5885" s="26" t="str">
        <f>IFERROR(VLOOKUP(G5885,WholesaleExtract!B:J,6,FALSE),"")</f>
        <v/>
      </c>
      <c r="H5885" s="47" t="str">
        <f>IFERROR(VLOOKUP(G5885,WholesaleExtract!B:L,11,FALSE),"")</f>
        <v/>
      </c>
      <c r="I5885" s="26" t="str">
        <f>IFERROR(VLOOKUP(G5885,WholesaleExtract!B:O,8,FALSE),"")</f>
        <v/>
      </c>
      <c r="J5885" s="26" t="str">
        <f>IFERROR(VLOOKUP(G5885,WholesaleExtract!B:O,14,FALSE),"")</f>
        <v/>
      </c>
      <c r="K5885" s="26" t="str">
        <f>IFERROR(VLOOKUP(G5885,WholesaleExtract!B:K,10,FALSE),"")</f>
        <v/>
      </c>
      <c r="L5885" s="47" t="str">
        <f>IFERROR(VLOOKUP(G5885,WholesaleExtract!B:L,11,FALSE),"")</f>
        <v/>
      </c>
      <c r="M5885" s="47" t="str">
        <f>IFERROR(VLOOKUP(G5885,WholesaleExtract!B:M,12,FALSE),"")</f>
        <v/>
      </c>
    </row>
    <row r="5886" spans="1:13" x14ac:dyDescent="0.35">
      <c r="A5886" s="26" t="s">
        <v>543</v>
      </c>
      <c r="B5886" s="26" t="s">
        <v>543</v>
      </c>
      <c r="C5886" s="26"/>
      <c r="D5886" s="26" t="s">
        <v>543</v>
      </c>
      <c r="E5886" s="26" t="str">
        <f>IFERROR(VLOOKUP(G5886,WholesaleExtract!B:J,9,FALSE),"")</f>
        <v/>
      </c>
      <c r="F5886" s="26" t="str">
        <f>IFERROR(VLOOKUP(G5886,WholesaleExtract!B:J,6,FALSE),"")</f>
        <v/>
      </c>
      <c r="H5886" s="47" t="str">
        <f>IFERROR(VLOOKUP(G5886,WholesaleExtract!B:L,11,FALSE),"")</f>
        <v/>
      </c>
      <c r="I5886" s="26" t="str">
        <f>IFERROR(VLOOKUP(G5886,WholesaleExtract!B:O,8,FALSE),"")</f>
        <v/>
      </c>
      <c r="J5886" s="26" t="str">
        <f>IFERROR(VLOOKUP(G5886,WholesaleExtract!B:O,14,FALSE),"")</f>
        <v/>
      </c>
      <c r="K5886" s="26" t="str">
        <f>IFERROR(VLOOKUP(G5886,WholesaleExtract!B:K,10,FALSE),"")</f>
        <v/>
      </c>
      <c r="L5886" s="47" t="str">
        <f>IFERROR(VLOOKUP(G5886,WholesaleExtract!B:L,11,FALSE),"")</f>
        <v/>
      </c>
      <c r="M5886" s="47" t="str">
        <f>IFERROR(VLOOKUP(G5886,WholesaleExtract!B:M,12,FALSE),"")</f>
        <v/>
      </c>
    </row>
    <row r="5887" spans="1:13" x14ac:dyDescent="0.35">
      <c r="A5887" s="26" t="s">
        <v>543</v>
      </c>
      <c r="B5887" s="26" t="s">
        <v>543</v>
      </c>
      <c r="C5887" s="26"/>
      <c r="D5887" s="26" t="s">
        <v>543</v>
      </c>
      <c r="E5887" s="26" t="str">
        <f>IFERROR(VLOOKUP(G5887,WholesaleExtract!B:J,9,FALSE),"")</f>
        <v/>
      </c>
      <c r="F5887" s="26" t="str">
        <f>IFERROR(VLOOKUP(G5887,WholesaleExtract!B:J,6,FALSE),"")</f>
        <v/>
      </c>
      <c r="H5887" s="47" t="str">
        <f>IFERROR(VLOOKUP(G5887,WholesaleExtract!B:L,11,FALSE),"")</f>
        <v/>
      </c>
      <c r="I5887" s="26" t="str">
        <f>IFERROR(VLOOKUP(G5887,WholesaleExtract!B:O,8,FALSE),"")</f>
        <v/>
      </c>
      <c r="J5887" s="26" t="str">
        <f>IFERROR(VLOOKUP(G5887,WholesaleExtract!B:O,14,FALSE),"")</f>
        <v/>
      </c>
      <c r="K5887" s="26" t="str">
        <f>IFERROR(VLOOKUP(G5887,WholesaleExtract!B:K,10,FALSE),"")</f>
        <v/>
      </c>
      <c r="L5887" s="47" t="str">
        <f>IFERROR(VLOOKUP(G5887,WholesaleExtract!B:L,11,FALSE),"")</f>
        <v/>
      </c>
      <c r="M5887" s="47" t="str">
        <f>IFERROR(VLOOKUP(G5887,WholesaleExtract!B:M,12,FALSE),"")</f>
        <v/>
      </c>
    </row>
    <row r="5888" spans="1:13" x14ac:dyDescent="0.35">
      <c r="A5888" s="26" t="s">
        <v>543</v>
      </c>
      <c r="B5888" s="26" t="s">
        <v>543</v>
      </c>
      <c r="C5888" s="26"/>
      <c r="D5888" s="26" t="s">
        <v>543</v>
      </c>
      <c r="E5888" s="26" t="str">
        <f>IFERROR(VLOOKUP(G5888,WholesaleExtract!B:J,9,FALSE),"")</f>
        <v/>
      </c>
      <c r="F5888" s="26" t="str">
        <f>IFERROR(VLOOKUP(G5888,WholesaleExtract!B:J,6,FALSE),"")</f>
        <v/>
      </c>
      <c r="H5888" s="47" t="str">
        <f>IFERROR(VLOOKUP(G5888,WholesaleExtract!B:L,11,FALSE),"")</f>
        <v/>
      </c>
      <c r="I5888" s="26" t="str">
        <f>IFERROR(VLOOKUP(G5888,WholesaleExtract!B:O,8,FALSE),"")</f>
        <v/>
      </c>
      <c r="J5888" s="26" t="str">
        <f>IFERROR(VLOOKUP(G5888,WholesaleExtract!B:O,14,FALSE),"")</f>
        <v/>
      </c>
      <c r="K5888" s="26" t="str">
        <f>IFERROR(VLOOKUP(G5888,WholesaleExtract!B:K,10,FALSE),"")</f>
        <v/>
      </c>
      <c r="L5888" s="47" t="str">
        <f>IFERROR(VLOOKUP(G5888,WholesaleExtract!B:L,11,FALSE),"")</f>
        <v/>
      </c>
      <c r="M5888" s="47" t="str">
        <f>IFERROR(VLOOKUP(G5888,WholesaleExtract!B:M,12,FALSE),"")</f>
        <v/>
      </c>
    </row>
    <row r="5889" spans="1:13" x14ac:dyDescent="0.35">
      <c r="A5889" s="26" t="s">
        <v>543</v>
      </c>
      <c r="B5889" s="26" t="s">
        <v>543</v>
      </c>
      <c r="C5889" s="26"/>
      <c r="D5889" s="26" t="s">
        <v>543</v>
      </c>
      <c r="E5889" s="26" t="str">
        <f>IFERROR(VLOOKUP(G5889,WholesaleExtract!B:J,9,FALSE),"")</f>
        <v/>
      </c>
      <c r="F5889" s="26" t="str">
        <f>IFERROR(VLOOKUP(G5889,WholesaleExtract!B:J,6,FALSE),"")</f>
        <v/>
      </c>
      <c r="H5889" s="47" t="str">
        <f>IFERROR(VLOOKUP(G5889,WholesaleExtract!B:L,11,FALSE),"")</f>
        <v/>
      </c>
      <c r="I5889" s="26" t="str">
        <f>IFERROR(VLOOKUP(G5889,WholesaleExtract!B:O,8,FALSE),"")</f>
        <v/>
      </c>
      <c r="J5889" s="26" t="str">
        <f>IFERROR(VLOOKUP(G5889,WholesaleExtract!B:O,14,FALSE),"")</f>
        <v/>
      </c>
      <c r="K5889" s="26" t="str">
        <f>IFERROR(VLOOKUP(G5889,WholesaleExtract!B:K,10,FALSE),"")</f>
        <v/>
      </c>
      <c r="L5889" s="47" t="str">
        <f>IFERROR(VLOOKUP(G5889,WholesaleExtract!B:L,11,FALSE),"")</f>
        <v/>
      </c>
      <c r="M5889" s="47" t="str">
        <f>IFERROR(VLOOKUP(G5889,WholesaleExtract!B:M,12,FALSE),"")</f>
        <v/>
      </c>
    </row>
    <row r="5890" spans="1:13" x14ac:dyDescent="0.35">
      <c r="A5890" s="26" t="s">
        <v>543</v>
      </c>
      <c r="B5890" s="26" t="s">
        <v>543</v>
      </c>
      <c r="C5890" s="26"/>
      <c r="D5890" s="26" t="s">
        <v>543</v>
      </c>
      <c r="E5890" s="26" t="str">
        <f>IFERROR(VLOOKUP(G5890,WholesaleExtract!B:J,9,FALSE),"")</f>
        <v/>
      </c>
      <c r="F5890" s="26" t="str">
        <f>IFERROR(VLOOKUP(G5890,WholesaleExtract!B:J,6,FALSE),"")</f>
        <v/>
      </c>
      <c r="H5890" s="47" t="str">
        <f>IFERROR(VLOOKUP(G5890,WholesaleExtract!B:L,11,FALSE),"")</f>
        <v/>
      </c>
      <c r="I5890" s="26" t="str">
        <f>IFERROR(VLOOKUP(G5890,WholesaleExtract!B:O,8,FALSE),"")</f>
        <v/>
      </c>
      <c r="J5890" s="26" t="str">
        <f>IFERROR(VLOOKUP(G5890,WholesaleExtract!B:O,14,FALSE),"")</f>
        <v/>
      </c>
      <c r="K5890" s="26" t="str">
        <f>IFERROR(VLOOKUP(G5890,WholesaleExtract!B:K,10,FALSE),"")</f>
        <v/>
      </c>
      <c r="L5890" s="47" t="str">
        <f>IFERROR(VLOOKUP(G5890,WholesaleExtract!B:L,11,FALSE),"")</f>
        <v/>
      </c>
      <c r="M5890" s="47" t="str">
        <f>IFERROR(VLOOKUP(G5890,WholesaleExtract!B:M,12,FALSE),"")</f>
        <v/>
      </c>
    </row>
    <row r="5891" spans="1:13" x14ac:dyDescent="0.35">
      <c r="A5891" s="26" t="s">
        <v>543</v>
      </c>
      <c r="B5891" s="26" t="s">
        <v>543</v>
      </c>
      <c r="C5891" s="26"/>
      <c r="D5891" s="26" t="s">
        <v>543</v>
      </c>
      <c r="E5891" s="26" t="str">
        <f>IFERROR(VLOOKUP(G5891,WholesaleExtract!B:J,9,FALSE),"")</f>
        <v/>
      </c>
      <c r="F5891" s="26" t="str">
        <f>IFERROR(VLOOKUP(G5891,WholesaleExtract!B:J,6,FALSE),"")</f>
        <v/>
      </c>
      <c r="H5891" s="47" t="str">
        <f>IFERROR(VLOOKUP(G5891,WholesaleExtract!B:L,11,FALSE),"")</f>
        <v/>
      </c>
      <c r="I5891" s="26" t="str">
        <f>IFERROR(VLOOKUP(G5891,WholesaleExtract!B:O,8,FALSE),"")</f>
        <v/>
      </c>
      <c r="J5891" s="26" t="str">
        <f>IFERROR(VLOOKUP(G5891,WholesaleExtract!B:O,14,FALSE),"")</f>
        <v/>
      </c>
      <c r="K5891" s="26" t="str">
        <f>IFERROR(VLOOKUP(G5891,WholesaleExtract!B:K,10,FALSE),"")</f>
        <v/>
      </c>
      <c r="L5891" s="47" t="str">
        <f>IFERROR(VLOOKUP(G5891,WholesaleExtract!B:L,11,FALSE),"")</f>
        <v/>
      </c>
      <c r="M5891" s="47" t="str">
        <f>IFERROR(VLOOKUP(G5891,WholesaleExtract!B:M,12,FALSE),"")</f>
        <v/>
      </c>
    </row>
    <row r="5892" spans="1:13" x14ac:dyDescent="0.35">
      <c r="A5892" s="26" t="s">
        <v>543</v>
      </c>
      <c r="B5892" s="26" t="s">
        <v>543</v>
      </c>
      <c r="C5892" s="26"/>
      <c r="D5892" s="26" t="s">
        <v>543</v>
      </c>
      <c r="E5892" s="26" t="str">
        <f>IFERROR(VLOOKUP(G5892,WholesaleExtract!B:J,9,FALSE),"")</f>
        <v/>
      </c>
      <c r="F5892" s="26" t="str">
        <f>IFERROR(VLOOKUP(G5892,WholesaleExtract!B:J,6,FALSE),"")</f>
        <v/>
      </c>
      <c r="H5892" s="47" t="str">
        <f>IFERROR(VLOOKUP(G5892,WholesaleExtract!B:L,11,FALSE),"")</f>
        <v/>
      </c>
      <c r="I5892" s="26" t="str">
        <f>IFERROR(VLOOKUP(G5892,WholesaleExtract!B:O,8,FALSE),"")</f>
        <v/>
      </c>
      <c r="J5892" s="26" t="str">
        <f>IFERROR(VLOOKUP(G5892,WholesaleExtract!B:O,14,FALSE),"")</f>
        <v/>
      </c>
      <c r="K5892" s="26" t="str">
        <f>IFERROR(VLOOKUP(G5892,WholesaleExtract!B:K,10,FALSE),"")</f>
        <v/>
      </c>
      <c r="L5892" s="47" t="str">
        <f>IFERROR(VLOOKUP(G5892,WholesaleExtract!B:L,11,FALSE),"")</f>
        <v/>
      </c>
      <c r="M5892" s="47" t="str">
        <f>IFERROR(VLOOKUP(G5892,WholesaleExtract!B:M,12,FALSE),"")</f>
        <v/>
      </c>
    </row>
    <row r="5893" spans="1:13" x14ac:dyDescent="0.35">
      <c r="A5893" s="26" t="s">
        <v>543</v>
      </c>
      <c r="B5893" s="26" t="s">
        <v>543</v>
      </c>
      <c r="C5893" s="26"/>
      <c r="D5893" s="26" t="s">
        <v>543</v>
      </c>
      <c r="E5893" s="26" t="str">
        <f>IFERROR(VLOOKUP(G5893,WholesaleExtract!B:J,9,FALSE),"")</f>
        <v/>
      </c>
      <c r="F5893" s="26" t="str">
        <f>IFERROR(VLOOKUP(G5893,WholesaleExtract!B:J,6,FALSE),"")</f>
        <v/>
      </c>
      <c r="H5893" s="47" t="str">
        <f>IFERROR(VLOOKUP(G5893,WholesaleExtract!B:L,11,FALSE),"")</f>
        <v/>
      </c>
      <c r="I5893" s="26" t="str">
        <f>IFERROR(VLOOKUP(G5893,WholesaleExtract!B:O,8,FALSE),"")</f>
        <v/>
      </c>
      <c r="J5893" s="26" t="str">
        <f>IFERROR(VLOOKUP(G5893,WholesaleExtract!B:O,14,FALSE),"")</f>
        <v/>
      </c>
      <c r="K5893" s="26" t="str">
        <f>IFERROR(VLOOKUP(G5893,WholesaleExtract!B:K,10,FALSE),"")</f>
        <v/>
      </c>
      <c r="L5893" s="47" t="str">
        <f>IFERROR(VLOOKUP(G5893,WholesaleExtract!B:L,11,FALSE),"")</f>
        <v/>
      </c>
      <c r="M5893" s="47" t="str">
        <f>IFERROR(VLOOKUP(G5893,WholesaleExtract!B:M,12,FALSE),"")</f>
        <v/>
      </c>
    </row>
    <row r="5894" spans="1:13" x14ac:dyDescent="0.35">
      <c r="A5894" s="26" t="s">
        <v>543</v>
      </c>
      <c r="B5894" s="26" t="s">
        <v>543</v>
      </c>
      <c r="C5894" s="26"/>
      <c r="D5894" s="26" t="s">
        <v>543</v>
      </c>
      <c r="E5894" s="26" t="str">
        <f>IFERROR(VLOOKUP(G5894,WholesaleExtract!B:J,9,FALSE),"")</f>
        <v/>
      </c>
      <c r="F5894" s="26" t="str">
        <f>IFERROR(VLOOKUP(G5894,WholesaleExtract!B:J,6,FALSE),"")</f>
        <v/>
      </c>
      <c r="H5894" s="47" t="str">
        <f>IFERROR(VLOOKUP(G5894,WholesaleExtract!B:L,11,FALSE),"")</f>
        <v/>
      </c>
      <c r="I5894" s="26" t="str">
        <f>IFERROR(VLOOKUP(G5894,WholesaleExtract!B:O,8,FALSE),"")</f>
        <v/>
      </c>
      <c r="J5894" s="26" t="str">
        <f>IFERROR(VLOOKUP(G5894,WholesaleExtract!B:O,14,FALSE),"")</f>
        <v/>
      </c>
      <c r="K5894" s="26" t="str">
        <f>IFERROR(VLOOKUP(G5894,WholesaleExtract!B:K,10,FALSE),"")</f>
        <v/>
      </c>
      <c r="L5894" s="47" t="str">
        <f>IFERROR(VLOOKUP(G5894,WholesaleExtract!B:L,11,FALSE),"")</f>
        <v/>
      </c>
      <c r="M5894" s="47" t="str">
        <f>IFERROR(VLOOKUP(G5894,WholesaleExtract!B:M,12,FALSE),"")</f>
        <v/>
      </c>
    </row>
    <row r="5895" spans="1:13" x14ac:dyDescent="0.35">
      <c r="A5895" s="26" t="s">
        <v>543</v>
      </c>
      <c r="B5895" s="26" t="s">
        <v>543</v>
      </c>
      <c r="C5895" s="26"/>
      <c r="D5895" s="26" t="s">
        <v>543</v>
      </c>
      <c r="E5895" s="26" t="str">
        <f>IFERROR(VLOOKUP(G5895,WholesaleExtract!B:J,9,FALSE),"")</f>
        <v/>
      </c>
      <c r="F5895" s="26" t="str">
        <f>IFERROR(VLOOKUP(G5895,WholesaleExtract!B:J,6,FALSE),"")</f>
        <v/>
      </c>
      <c r="H5895" s="47" t="str">
        <f>IFERROR(VLOOKUP(G5895,WholesaleExtract!B:L,11,FALSE),"")</f>
        <v/>
      </c>
      <c r="I5895" s="26" t="str">
        <f>IFERROR(VLOOKUP(G5895,WholesaleExtract!B:O,8,FALSE),"")</f>
        <v/>
      </c>
      <c r="J5895" s="26" t="str">
        <f>IFERROR(VLOOKUP(G5895,WholesaleExtract!B:O,14,FALSE),"")</f>
        <v/>
      </c>
      <c r="K5895" s="26" t="str">
        <f>IFERROR(VLOOKUP(G5895,WholesaleExtract!B:K,10,FALSE),"")</f>
        <v/>
      </c>
      <c r="L5895" s="47" t="str">
        <f>IFERROR(VLOOKUP(G5895,WholesaleExtract!B:L,11,FALSE),"")</f>
        <v/>
      </c>
      <c r="M5895" s="47" t="str">
        <f>IFERROR(VLOOKUP(G5895,WholesaleExtract!B:M,12,FALSE),"")</f>
        <v/>
      </c>
    </row>
    <row r="5896" spans="1:13" x14ac:dyDescent="0.35">
      <c r="A5896" s="26" t="s">
        <v>543</v>
      </c>
      <c r="B5896" s="26" t="s">
        <v>543</v>
      </c>
      <c r="C5896" s="26"/>
      <c r="D5896" s="26" t="s">
        <v>543</v>
      </c>
      <c r="E5896" s="26" t="str">
        <f>IFERROR(VLOOKUP(G5896,WholesaleExtract!B:J,9,FALSE),"")</f>
        <v/>
      </c>
      <c r="F5896" s="26" t="str">
        <f>IFERROR(VLOOKUP(G5896,WholesaleExtract!B:J,6,FALSE),"")</f>
        <v/>
      </c>
      <c r="H5896" s="47" t="str">
        <f>IFERROR(VLOOKUP(G5896,WholesaleExtract!B:L,11,FALSE),"")</f>
        <v/>
      </c>
      <c r="I5896" s="26" t="str">
        <f>IFERROR(VLOOKUP(G5896,WholesaleExtract!B:O,8,FALSE),"")</f>
        <v/>
      </c>
      <c r="J5896" s="26" t="str">
        <f>IFERROR(VLOOKUP(G5896,WholesaleExtract!B:O,14,FALSE),"")</f>
        <v/>
      </c>
      <c r="K5896" s="26" t="str">
        <f>IFERROR(VLOOKUP(G5896,WholesaleExtract!B:K,10,FALSE),"")</f>
        <v/>
      </c>
      <c r="L5896" s="47" t="str">
        <f>IFERROR(VLOOKUP(G5896,WholesaleExtract!B:L,11,FALSE),"")</f>
        <v/>
      </c>
      <c r="M5896" s="47" t="str">
        <f>IFERROR(VLOOKUP(G5896,WholesaleExtract!B:M,12,FALSE),"")</f>
        <v/>
      </c>
    </row>
    <row r="5897" spans="1:13" x14ac:dyDescent="0.35">
      <c r="A5897" s="26" t="s">
        <v>543</v>
      </c>
      <c r="B5897" s="26" t="s">
        <v>543</v>
      </c>
      <c r="C5897" s="26"/>
      <c r="D5897" s="26" t="s">
        <v>543</v>
      </c>
      <c r="E5897" s="26" t="str">
        <f>IFERROR(VLOOKUP(G5897,WholesaleExtract!B:J,9,FALSE),"")</f>
        <v/>
      </c>
      <c r="F5897" s="26" t="str">
        <f>IFERROR(VLOOKUP(G5897,WholesaleExtract!B:J,6,FALSE),"")</f>
        <v/>
      </c>
      <c r="H5897" s="47" t="str">
        <f>IFERROR(VLOOKUP(G5897,WholesaleExtract!B:L,11,FALSE),"")</f>
        <v/>
      </c>
      <c r="I5897" s="26" t="str">
        <f>IFERROR(VLOOKUP(G5897,WholesaleExtract!B:O,8,FALSE),"")</f>
        <v/>
      </c>
      <c r="J5897" s="26" t="str">
        <f>IFERROR(VLOOKUP(G5897,WholesaleExtract!B:O,14,FALSE),"")</f>
        <v/>
      </c>
      <c r="K5897" s="26" t="str">
        <f>IFERROR(VLOOKUP(G5897,WholesaleExtract!B:K,10,FALSE),"")</f>
        <v/>
      </c>
      <c r="L5897" s="47" t="str">
        <f>IFERROR(VLOOKUP(G5897,WholesaleExtract!B:L,11,FALSE),"")</f>
        <v/>
      </c>
      <c r="M5897" s="47" t="str">
        <f>IFERROR(VLOOKUP(G5897,WholesaleExtract!B:M,12,FALSE),"")</f>
        <v/>
      </c>
    </row>
    <row r="5898" spans="1:13" x14ac:dyDescent="0.35">
      <c r="A5898" s="26" t="s">
        <v>543</v>
      </c>
      <c r="B5898" s="26" t="s">
        <v>543</v>
      </c>
      <c r="C5898" s="26"/>
      <c r="D5898" s="26" t="s">
        <v>543</v>
      </c>
      <c r="E5898" s="26" t="str">
        <f>IFERROR(VLOOKUP(G5898,WholesaleExtract!B:J,9,FALSE),"")</f>
        <v/>
      </c>
      <c r="F5898" s="26" t="str">
        <f>IFERROR(VLOOKUP(G5898,WholesaleExtract!B:J,6,FALSE),"")</f>
        <v/>
      </c>
      <c r="H5898" s="47" t="str">
        <f>IFERROR(VLOOKUP(G5898,WholesaleExtract!B:L,11,FALSE),"")</f>
        <v/>
      </c>
      <c r="I5898" s="26" t="str">
        <f>IFERROR(VLOOKUP(G5898,WholesaleExtract!B:O,8,FALSE),"")</f>
        <v/>
      </c>
      <c r="J5898" s="26" t="str">
        <f>IFERROR(VLOOKUP(G5898,WholesaleExtract!B:O,14,FALSE),"")</f>
        <v/>
      </c>
      <c r="K5898" s="26" t="str">
        <f>IFERROR(VLOOKUP(G5898,WholesaleExtract!B:K,10,FALSE),"")</f>
        <v/>
      </c>
      <c r="L5898" s="47" t="str">
        <f>IFERROR(VLOOKUP(G5898,WholesaleExtract!B:L,11,FALSE),"")</f>
        <v/>
      </c>
      <c r="M5898" s="47" t="str">
        <f>IFERROR(VLOOKUP(G5898,WholesaleExtract!B:M,12,FALSE),"")</f>
        <v/>
      </c>
    </row>
    <row r="5899" spans="1:13" x14ac:dyDescent="0.35">
      <c r="A5899" s="26" t="s">
        <v>543</v>
      </c>
      <c r="B5899" s="26" t="s">
        <v>543</v>
      </c>
      <c r="C5899" s="26"/>
      <c r="D5899" s="26" t="s">
        <v>543</v>
      </c>
      <c r="E5899" s="26" t="str">
        <f>IFERROR(VLOOKUP(G5899,WholesaleExtract!B:J,9,FALSE),"")</f>
        <v/>
      </c>
      <c r="F5899" s="26" t="str">
        <f>IFERROR(VLOOKUP(G5899,WholesaleExtract!B:J,6,FALSE),"")</f>
        <v/>
      </c>
      <c r="H5899" s="47" t="str">
        <f>IFERROR(VLOOKUP(G5899,WholesaleExtract!B:L,11,FALSE),"")</f>
        <v/>
      </c>
      <c r="I5899" s="26" t="str">
        <f>IFERROR(VLOOKUP(G5899,WholesaleExtract!B:O,8,FALSE),"")</f>
        <v/>
      </c>
      <c r="J5899" s="26" t="str">
        <f>IFERROR(VLOOKUP(G5899,WholesaleExtract!B:O,14,FALSE),"")</f>
        <v/>
      </c>
      <c r="K5899" s="26" t="str">
        <f>IFERROR(VLOOKUP(G5899,WholesaleExtract!B:K,10,FALSE),"")</f>
        <v/>
      </c>
      <c r="L5899" s="47" t="str">
        <f>IFERROR(VLOOKUP(G5899,WholesaleExtract!B:L,11,FALSE),"")</f>
        <v/>
      </c>
      <c r="M5899" s="47" t="str">
        <f>IFERROR(VLOOKUP(G5899,WholesaleExtract!B:M,12,FALSE),"")</f>
        <v/>
      </c>
    </row>
    <row r="5900" spans="1:13" x14ac:dyDescent="0.35">
      <c r="A5900" s="26" t="s">
        <v>543</v>
      </c>
      <c r="B5900" s="26" t="s">
        <v>543</v>
      </c>
      <c r="C5900" s="26"/>
      <c r="D5900" s="26" t="s">
        <v>543</v>
      </c>
      <c r="E5900" s="26" t="str">
        <f>IFERROR(VLOOKUP(G5900,WholesaleExtract!B:J,9,FALSE),"")</f>
        <v/>
      </c>
      <c r="F5900" s="26" t="str">
        <f>IFERROR(VLOOKUP(G5900,WholesaleExtract!B:J,6,FALSE),"")</f>
        <v/>
      </c>
      <c r="H5900" s="47" t="str">
        <f>IFERROR(VLOOKUP(G5900,WholesaleExtract!B:L,11,FALSE),"")</f>
        <v/>
      </c>
      <c r="I5900" s="26" t="str">
        <f>IFERROR(VLOOKUP(G5900,WholesaleExtract!B:O,8,FALSE),"")</f>
        <v/>
      </c>
      <c r="J5900" s="26" t="str">
        <f>IFERROR(VLOOKUP(G5900,WholesaleExtract!B:O,14,FALSE),"")</f>
        <v/>
      </c>
      <c r="K5900" s="26" t="str">
        <f>IFERROR(VLOOKUP(G5900,WholesaleExtract!B:K,10,FALSE),"")</f>
        <v/>
      </c>
      <c r="L5900" s="47" t="str">
        <f>IFERROR(VLOOKUP(G5900,WholesaleExtract!B:L,11,FALSE),"")</f>
        <v/>
      </c>
      <c r="M5900" s="47" t="str">
        <f>IFERROR(VLOOKUP(G5900,WholesaleExtract!B:M,12,FALSE),"")</f>
        <v/>
      </c>
    </row>
    <row r="5901" spans="1:13" x14ac:dyDescent="0.35">
      <c r="A5901" s="26" t="s">
        <v>543</v>
      </c>
      <c r="B5901" s="26" t="s">
        <v>543</v>
      </c>
      <c r="C5901" s="26"/>
      <c r="D5901" s="26" t="s">
        <v>543</v>
      </c>
      <c r="E5901" s="26" t="str">
        <f>IFERROR(VLOOKUP(G5901,WholesaleExtract!B:J,9,FALSE),"")</f>
        <v/>
      </c>
      <c r="F5901" s="26" t="str">
        <f>IFERROR(VLOOKUP(G5901,WholesaleExtract!B:J,6,FALSE),"")</f>
        <v/>
      </c>
      <c r="H5901" s="47" t="str">
        <f>IFERROR(VLOOKUP(G5901,WholesaleExtract!B:L,11,FALSE),"")</f>
        <v/>
      </c>
      <c r="I5901" s="26" t="str">
        <f>IFERROR(VLOOKUP(G5901,WholesaleExtract!B:O,8,FALSE),"")</f>
        <v/>
      </c>
      <c r="J5901" s="26" t="str">
        <f>IFERROR(VLOOKUP(G5901,WholesaleExtract!B:O,14,FALSE),"")</f>
        <v/>
      </c>
      <c r="K5901" s="26" t="str">
        <f>IFERROR(VLOOKUP(G5901,WholesaleExtract!B:K,10,FALSE),"")</f>
        <v/>
      </c>
      <c r="L5901" s="47" t="str">
        <f>IFERROR(VLOOKUP(G5901,WholesaleExtract!B:L,11,FALSE),"")</f>
        <v/>
      </c>
      <c r="M5901" s="47" t="str">
        <f>IFERROR(VLOOKUP(G5901,WholesaleExtract!B:M,12,FALSE),"")</f>
        <v/>
      </c>
    </row>
    <row r="5902" spans="1:13" x14ac:dyDescent="0.35">
      <c r="A5902" s="26" t="s">
        <v>543</v>
      </c>
      <c r="B5902" s="26" t="s">
        <v>543</v>
      </c>
      <c r="C5902" s="26"/>
      <c r="D5902" s="26" t="s">
        <v>543</v>
      </c>
      <c r="E5902" s="26" t="str">
        <f>IFERROR(VLOOKUP(G5902,WholesaleExtract!B:J,9,FALSE),"")</f>
        <v/>
      </c>
      <c r="F5902" s="26" t="str">
        <f>IFERROR(VLOOKUP(G5902,WholesaleExtract!B:J,6,FALSE),"")</f>
        <v/>
      </c>
      <c r="H5902" s="47" t="str">
        <f>IFERROR(VLOOKUP(G5902,WholesaleExtract!B:L,11,FALSE),"")</f>
        <v/>
      </c>
      <c r="I5902" s="26" t="str">
        <f>IFERROR(VLOOKUP(G5902,WholesaleExtract!B:O,8,FALSE),"")</f>
        <v/>
      </c>
      <c r="J5902" s="26" t="str">
        <f>IFERROR(VLOOKUP(G5902,WholesaleExtract!B:O,14,FALSE),"")</f>
        <v/>
      </c>
      <c r="K5902" s="26" t="str">
        <f>IFERROR(VLOOKUP(G5902,WholesaleExtract!B:K,10,FALSE),"")</f>
        <v/>
      </c>
      <c r="L5902" s="47" t="str">
        <f>IFERROR(VLOOKUP(G5902,WholesaleExtract!B:L,11,FALSE),"")</f>
        <v/>
      </c>
      <c r="M5902" s="47" t="str">
        <f>IFERROR(VLOOKUP(G5902,WholesaleExtract!B:M,12,FALSE),"")</f>
        <v/>
      </c>
    </row>
    <row r="5903" spans="1:13" x14ac:dyDescent="0.35">
      <c r="A5903" s="26" t="s">
        <v>543</v>
      </c>
      <c r="B5903" s="26" t="s">
        <v>543</v>
      </c>
      <c r="C5903" s="26"/>
      <c r="D5903" s="26" t="s">
        <v>543</v>
      </c>
      <c r="E5903" s="26" t="str">
        <f>IFERROR(VLOOKUP(G5903,WholesaleExtract!B:J,9,FALSE),"")</f>
        <v/>
      </c>
      <c r="F5903" s="26" t="str">
        <f>IFERROR(VLOOKUP(G5903,WholesaleExtract!B:J,6,FALSE),"")</f>
        <v/>
      </c>
      <c r="H5903" s="47" t="str">
        <f>IFERROR(VLOOKUP(G5903,WholesaleExtract!B:L,11,FALSE),"")</f>
        <v/>
      </c>
      <c r="I5903" s="26" t="str">
        <f>IFERROR(VLOOKUP(G5903,WholesaleExtract!B:O,8,FALSE),"")</f>
        <v/>
      </c>
      <c r="J5903" s="26" t="str">
        <f>IFERROR(VLOOKUP(G5903,WholesaleExtract!B:O,14,FALSE),"")</f>
        <v/>
      </c>
      <c r="K5903" s="26" t="str">
        <f>IFERROR(VLOOKUP(G5903,WholesaleExtract!B:K,10,FALSE),"")</f>
        <v/>
      </c>
      <c r="L5903" s="47" t="str">
        <f>IFERROR(VLOOKUP(G5903,WholesaleExtract!B:L,11,FALSE),"")</f>
        <v/>
      </c>
      <c r="M5903" s="47" t="str">
        <f>IFERROR(VLOOKUP(G5903,WholesaleExtract!B:M,12,FALSE),"")</f>
        <v/>
      </c>
    </row>
    <row r="5904" spans="1:13" x14ac:dyDescent="0.35">
      <c r="A5904" s="26" t="s">
        <v>543</v>
      </c>
      <c r="B5904" s="26" t="s">
        <v>543</v>
      </c>
      <c r="C5904" s="26"/>
      <c r="D5904" s="26" t="s">
        <v>543</v>
      </c>
      <c r="E5904" s="26" t="str">
        <f>IFERROR(VLOOKUP(G5904,WholesaleExtract!B:J,9,FALSE),"")</f>
        <v/>
      </c>
      <c r="F5904" s="26" t="str">
        <f>IFERROR(VLOOKUP(G5904,WholesaleExtract!B:J,6,FALSE),"")</f>
        <v/>
      </c>
      <c r="H5904" s="47" t="str">
        <f>IFERROR(VLOOKUP(G5904,WholesaleExtract!B:L,11,FALSE),"")</f>
        <v/>
      </c>
      <c r="I5904" s="26" t="str">
        <f>IFERROR(VLOOKUP(G5904,WholesaleExtract!B:O,8,FALSE),"")</f>
        <v/>
      </c>
      <c r="J5904" s="26" t="str">
        <f>IFERROR(VLOOKUP(G5904,WholesaleExtract!B:O,14,FALSE),"")</f>
        <v/>
      </c>
      <c r="K5904" s="26" t="str">
        <f>IFERROR(VLOOKUP(G5904,WholesaleExtract!B:K,10,FALSE),"")</f>
        <v/>
      </c>
      <c r="L5904" s="47" t="str">
        <f>IFERROR(VLOOKUP(G5904,WholesaleExtract!B:L,11,FALSE),"")</f>
        <v/>
      </c>
      <c r="M5904" s="47" t="str">
        <f>IFERROR(VLOOKUP(G5904,WholesaleExtract!B:M,12,FALSE),"")</f>
        <v/>
      </c>
    </row>
    <row r="5905" spans="1:13" x14ac:dyDescent="0.35">
      <c r="A5905" s="26" t="s">
        <v>543</v>
      </c>
      <c r="B5905" s="26" t="s">
        <v>543</v>
      </c>
      <c r="C5905" s="26"/>
      <c r="D5905" s="26" t="s">
        <v>543</v>
      </c>
      <c r="E5905" s="26" t="str">
        <f>IFERROR(VLOOKUP(G5905,WholesaleExtract!B:J,9,FALSE),"")</f>
        <v/>
      </c>
      <c r="F5905" s="26" t="str">
        <f>IFERROR(VLOOKUP(G5905,WholesaleExtract!B:J,6,FALSE),"")</f>
        <v/>
      </c>
      <c r="H5905" s="47" t="str">
        <f>IFERROR(VLOOKUP(G5905,WholesaleExtract!B:L,11,FALSE),"")</f>
        <v/>
      </c>
      <c r="I5905" s="26" t="str">
        <f>IFERROR(VLOOKUP(G5905,WholesaleExtract!B:O,8,FALSE),"")</f>
        <v/>
      </c>
      <c r="J5905" s="26" t="str">
        <f>IFERROR(VLOOKUP(G5905,WholesaleExtract!B:O,14,FALSE),"")</f>
        <v/>
      </c>
      <c r="K5905" s="26" t="str">
        <f>IFERROR(VLOOKUP(G5905,WholesaleExtract!B:K,10,FALSE),"")</f>
        <v/>
      </c>
      <c r="L5905" s="47" t="str">
        <f>IFERROR(VLOOKUP(G5905,WholesaleExtract!B:L,11,FALSE),"")</f>
        <v/>
      </c>
      <c r="M5905" s="47" t="str">
        <f>IFERROR(VLOOKUP(G5905,WholesaleExtract!B:M,12,FALSE),"")</f>
        <v/>
      </c>
    </row>
    <row r="5906" spans="1:13" x14ac:dyDescent="0.35">
      <c r="A5906" s="26" t="s">
        <v>543</v>
      </c>
      <c r="B5906" s="26" t="s">
        <v>543</v>
      </c>
      <c r="C5906" s="26"/>
      <c r="D5906" s="26" t="s">
        <v>543</v>
      </c>
      <c r="E5906" s="26" t="str">
        <f>IFERROR(VLOOKUP(G5906,WholesaleExtract!B:J,9,FALSE),"")</f>
        <v/>
      </c>
      <c r="F5906" s="26" t="str">
        <f>IFERROR(VLOOKUP(G5906,WholesaleExtract!B:J,6,FALSE),"")</f>
        <v/>
      </c>
      <c r="H5906" s="47" t="str">
        <f>IFERROR(VLOOKUP(G5906,WholesaleExtract!B:L,11,FALSE),"")</f>
        <v/>
      </c>
      <c r="I5906" s="26" t="str">
        <f>IFERROR(VLOOKUP(G5906,WholesaleExtract!B:O,8,FALSE),"")</f>
        <v/>
      </c>
      <c r="J5906" s="26" t="str">
        <f>IFERROR(VLOOKUP(G5906,WholesaleExtract!B:O,14,FALSE),"")</f>
        <v/>
      </c>
      <c r="K5906" s="26" t="str">
        <f>IFERROR(VLOOKUP(G5906,WholesaleExtract!B:K,10,FALSE),"")</f>
        <v/>
      </c>
      <c r="L5906" s="47" t="str">
        <f>IFERROR(VLOOKUP(G5906,WholesaleExtract!B:L,11,FALSE),"")</f>
        <v/>
      </c>
      <c r="M5906" s="47" t="str">
        <f>IFERROR(VLOOKUP(G5906,WholesaleExtract!B:M,12,FALSE),"")</f>
        <v/>
      </c>
    </row>
    <row r="5907" spans="1:13" x14ac:dyDescent="0.35">
      <c r="A5907" s="26" t="s">
        <v>543</v>
      </c>
      <c r="B5907" s="26" t="s">
        <v>543</v>
      </c>
      <c r="C5907" s="26"/>
      <c r="D5907" s="26" t="s">
        <v>543</v>
      </c>
      <c r="E5907" s="26" t="str">
        <f>IFERROR(VLOOKUP(G5907,WholesaleExtract!B:J,9,FALSE),"")</f>
        <v/>
      </c>
      <c r="F5907" s="26" t="str">
        <f>IFERROR(VLOOKUP(G5907,WholesaleExtract!B:J,6,FALSE),"")</f>
        <v/>
      </c>
      <c r="H5907" s="47" t="str">
        <f>IFERROR(VLOOKUP(G5907,WholesaleExtract!B:L,11,FALSE),"")</f>
        <v/>
      </c>
      <c r="I5907" s="26" t="str">
        <f>IFERROR(VLOOKUP(G5907,WholesaleExtract!B:O,8,FALSE),"")</f>
        <v/>
      </c>
      <c r="J5907" s="26" t="str">
        <f>IFERROR(VLOOKUP(G5907,WholesaleExtract!B:O,14,FALSE),"")</f>
        <v/>
      </c>
      <c r="K5907" s="26" t="str">
        <f>IFERROR(VLOOKUP(G5907,WholesaleExtract!B:K,10,FALSE),"")</f>
        <v/>
      </c>
      <c r="L5907" s="47" t="str">
        <f>IFERROR(VLOOKUP(G5907,WholesaleExtract!B:L,11,FALSE),"")</f>
        <v/>
      </c>
      <c r="M5907" s="47" t="str">
        <f>IFERROR(VLOOKUP(G5907,WholesaleExtract!B:M,12,FALSE),"")</f>
        <v/>
      </c>
    </row>
    <row r="5908" spans="1:13" x14ac:dyDescent="0.35">
      <c r="A5908" s="26" t="s">
        <v>543</v>
      </c>
      <c r="B5908" s="26" t="s">
        <v>543</v>
      </c>
      <c r="C5908" s="26"/>
      <c r="D5908" s="26" t="s">
        <v>543</v>
      </c>
      <c r="E5908" s="26" t="str">
        <f>IFERROR(VLOOKUP(G5908,WholesaleExtract!B:J,9,FALSE),"")</f>
        <v/>
      </c>
      <c r="F5908" s="26" t="str">
        <f>IFERROR(VLOOKUP(G5908,WholesaleExtract!B:J,6,FALSE),"")</f>
        <v/>
      </c>
      <c r="H5908" s="47" t="str">
        <f>IFERROR(VLOOKUP(G5908,WholesaleExtract!B:L,11,FALSE),"")</f>
        <v/>
      </c>
      <c r="I5908" s="26" t="str">
        <f>IFERROR(VLOOKUP(G5908,WholesaleExtract!B:O,8,FALSE),"")</f>
        <v/>
      </c>
      <c r="J5908" s="26" t="str">
        <f>IFERROR(VLOOKUP(G5908,WholesaleExtract!B:O,14,FALSE),"")</f>
        <v/>
      </c>
      <c r="K5908" s="26" t="str">
        <f>IFERROR(VLOOKUP(G5908,WholesaleExtract!B:K,10,FALSE),"")</f>
        <v/>
      </c>
      <c r="L5908" s="47" t="str">
        <f>IFERROR(VLOOKUP(G5908,WholesaleExtract!B:L,11,FALSE),"")</f>
        <v/>
      </c>
      <c r="M5908" s="47" t="str">
        <f>IFERROR(VLOOKUP(G5908,WholesaleExtract!B:M,12,FALSE),"")</f>
        <v/>
      </c>
    </row>
    <row r="5909" spans="1:13" x14ac:dyDescent="0.35">
      <c r="A5909" s="26" t="s">
        <v>543</v>
      </c>
      <c r="B5909" s="26" t="s">
        <v>543</v>
      </c>
      <c r="C5909" s="26"/>
      <c r="D5909" s="26" t="s">
        <v>543</v>
      </c>
      <c r="E5909" s="26" t="str">
        <f>IFERROR(VLOOKUP(G5909,WholesaleExtract!B:J,9,FALSE),"")</f>
        <v/>
      </c>
      <c r="F5909" s="26" t="str">
        <f>IFERROR(VLOOKUP(G5909,WholesaleExtract!B:J,6,FALSE),"")</f>
        <v/>
      </c>
      <c r="H5909" s="47" t="str">
        <f>IFERROR(VLOOKUP(G5909,WholesaleExtract!B:L,11,FALSE),"")</f>
        <v/>
      </c>
      <c r="I5909" s="26" t="str">
        <f>IFERROR(VLOOKUP(G5909,WholesaleExtract!B:O,8,FALSE),"")</f>
        <v/>
      </c>
      <c r="J5909" s="26" t="str">
        <f>IFERROR(VLOOKUP(G5909,WholesaleExtract!B:O,14,FALSE),"")</f>
        <v/>
      </c>
      <c r="K5909" s="26" t="str">
        <f>IFERROR(VLOOKUP(G5909,WholesaleExtract!B:K,10,FALSE),"")</f>
        <v/>
      </c>
      <c r="L5909" s="47" t="str">
        <f>IFERROR(VLOOKUP(G5909,WholesaleExtract!B:L,11,FALSE),"")</f>
        <v/>
      </c>
      <c r="M5909" s="47" t="str">
        <f>IFERROR(VLOOKUP(G5909,WholesaleExtract!B:M,12,FALSE),"")</f>
        <v/>
      </c>
    </row>
    <row r="5910" spans="1:13" x14ac:dyDescent="0.35">
      <c r="A5910" s="26" t="s">
        <v>543</v>
      </c>
      <c r="B5910" s="26" t="s">
        <v>543</v>
      </c>
      <c r="C5910" s="26"/>
      <c r="D5910" s="26" t="s">
        <v>543</v>
      </c>
      <c r="E5910" s="26" t="str">
        <f>IFERROR(VLOOKUP(G5910,WholesaleExtract!B:J,9,FALSE),"")</f>
        <v/>
      </c>
      <c r="F5910" s="26" t="str">
        <f>IFERROR(VLOOKUP(G5910,WholesaleExtract!B:J,6,FALSE),"")</f>
        <v/>
      </c>
      <c r="H5910" s="47" t="str">
        <f>IFERROR(VLOOKUP(G5910,WholesaleExtract!B:L,11,FALSE),"")</f>
        <v/>
      </c>
      <c r="I5910" s="26" t="str">
        <f>IFERROR(VLOOKUP(G5910,WholesaleExtract!B:O,8,FALSE),"")</f>
        <v/>
      </c>
      <c r="J5910" s="26" t="str">
        <f>IFERROR(VLOOKUP(G5910,WholesaleExtract!B:O,14,FALSE),"")</f>
        <v/>
      </c>
      <c r="K5910" s="26" t="str">
        <f>IFERROR(VLOOKUP(G5910,WholesaleExtract!B:K,10,FALSE),"")</f>
        <v/>
      </c>
      <c r="L5910" s="47" t="str">
        <f>IFERROR(VLOOKUP(G5910,WholesaleExtract!B:L,11,FALSE),"")</f>
        <v/>
      </c>
      <c r="M5910" s="47" t="str">
        <f>IFERROR(VLOOKUP(G5910,WholesaleExtract!B:M,12,FALSE),"")</f>
        <v/>
      </c>
    </row>
    <row r="5911" spans="1:13" x14ac:dyDescent="0.35">
      <c r="A5911" s="26" t="s">
        <v>543</v>
      </c>
      <c r="B5911" s="26" t="s">
        <v>543</v>
      </c>
      <c r="C5911" s="26"/>
      <c r="D5911" s="26" t="s">
        <v>543</v>
      </c>
      <c r="E5911" s="26" t="str">
        <f>IFERROR(VLOOKUP(G5911,WholesaleExtract!B:J,9,FALSE),"")</f>
        <v/>
      </c>
      <c r="F5911" s="26" t="str">
        <f>IFERROR(VLOOKUP(G5911,WholesaleExtract!B:J,6,FALSE),"")</f>
        <v/>
      </c>
      <c r="H5911" s="47" t="str">
        <f>IFERROR(VLOOKUP(G5911,WholesaleExtract!B:L,11,FALSE),"")</f>
        <v/>
      </c>
      <c r="I5911" s="26" t="str">
        <f>IFERROR(VLOOKUP(G5911,WholesaleExtract!B:O,8,FALSE),"")</f>
        <v/>
      </c>
      <c r="J5911" s="26" t="str">
        <f>IFERROR(VLOOKUP(G5911,WholesaleExtract!B:O,14,FALSE),"")</f>
        <v/>
      </c>
      <c r="K5911" s="26" t="str">
        <f>IFERROR(VLOOKUP(G5911,WholesaleExtract!B:K,10,FALSE),"")</f>
        <v/>
      </c>
      <c r="L5911" s="47" t="str">
        <f>IFERROR(VLOOKUP(G5911,WholesaleExtract!B:L,11,FALSE),"")</f>
        <v/>
      </c>
      <c r="M5911" s="47" t="str">
        <f>IFERROR(VLOOKUP(G5911,WholesaleExtract!B:M,12,FALSE),"")</f>
        <v/>
      </c>
    </row>
    <row r="5912" spans="1:13" x14ac:dyDescent="0.35">
      <c r="A5912" s="26" t="s">
        <v>543</v>
      </c>
      <c r="B5912" s="26" t="s">
        <v>543</v>
      </c>
      <c r="C5912" s="26"/>
      <c r="D5912" s="26" t="s">
        <v>543</v>
      </c>
      <c r="E5912" s="26" t="str">
        <f>IFERROR(VLOOKUP(G5912,WholesaleExtract!B:J,9,FALSE),"")</f>
        <v/>
      </c>
      <c r="F5912" s="26" t="str">
        <f>IFERROR(VLOOKUP(G5912,WholesaleExtract!B:J,6,FALSE),"")</f>
        <v/>
      </c>
      <c r="H5912" s="47" t="str">
        <f>IFERROR(VLOOKUP(G5912,WholesaleExtract!B:L,11,FALSE),"")</f>
        <v/>
      </c>
      <c r="I5912" s="26" t="str">
        <f>IFERROR(VLOOKUP(G5912,WholesaleExtract!B:O,8,FALSE),"")</f>
        <v/>
      </c>
      <c r="J5912" s="26" t="str">
        <f>IFERROR(VLOOKUP(G5912,WholesaleExtract!B:O,14,FALSE),"")</f>
        <v/>
      </c>
      <c r="K5912" s="26" t="str">
        <f>IFERROR(VLOOKUP(G5912,WholesaleExtract!B:K,10,FALSE),"")</f>
        <v/>
      </c>
      <c r="L5912" s="47" t="str">
        <f>IFERROR(VLOOKUP(G5912,WholesaleExtract!B:L,11,FALSE),"")</f>
        <v/>
      </c>
      <c r="M5912" s="47" t="str">
        <f>IFERROR(VLOOKUP(G5912,WholesaleExtract!B:M,12,FALSE),"")</f>
        <v/>
      </c>
    </row>
    <row r="5913" spans="1:13" x14ac:dyDescent="0.35">
      <c r="A5913" s="26" t="s">
        <v>543</v>
      </c>
      <c r="B5913" s="26" t="s">
        <v>543</v>
      </c>
      <c r="C5913" s="26"/>
      <c r="D5913" s="26" t="s">
        <v>543</v>
      </c>
      <c r="E5913" s="26" t="str">
        <f>IFERROR(VLOOKUP(G5913,WholesaleExtract!B:J,9,FALSE),"")</f>
        <v/>
      </c>
      <c r="F5913" s="26" t="str">
        <f>IFERROR(VLOOKUP(G5913,WholesaleExtract!B:J,6,FALSE),"")</f>
        <v/>
      </c>
      <c r="H5913" s="47" t="str">
        <f>IFERROR(VLOOKUP(G5913,WholesaleExtract!B:L,11,FALSE),"")</f>
        <v/>
      </c>
      <c r="I5913" s="26" t="str">
        <f>IFERROR(VLOOKUP(G5913,WholesaleExtract!B:O,8,FALSE),"")</f>
        <v/>
      </c>
      <c r="J5913" s="26" t="str">
        <f>IFERROR(VLOOKUP(G5913,WholesaleExtract!B:O,14,FALSE),"")</f>
        <v/>
      </c>
      <c r="K5913" s="26" t="str">
        <f>IFERROR(VLOOKUP(G5913,WholesaleExtract!B:K,10,FALSE),"")</f>
        <v/>
      </c>
      <c r="L5913" s="47" t="str">
        <f>IFERROR(VLOOKUP(G5913,WholesaleExtract!B:L,11,FALSE),"")</f>
        <v/>
      </c>
      <c r="M5913" s="47" t="str">
        <f>IFERROR(VLOOKUP(G5913,WholesaleExtract!B:M,12,FALSE),"")</f>
        <v/>
      </c>
    </row>
    <row r="5914" spans="1:13" x14ac:dyDescent="0.35">
      <c r="A5914" s="26" t="s">
        <v>543</v>
      </c>
      <c r="B5914" s="26" t="s">
        <v>543</v>
      </c>
      <c r="C5914" s="26"/>
      <c r="D5914" s="26" t="s">
        <v>543</v>
      </c>
      <c r="E5914" s="26" t="str">
        <f>IFERROR(VLOOKUP(G5914,WholesaleExtract!B:J,9,FALSE),"")</f>
        <v/>
      </c>
      <c r="F5914" s="26" t="str">
        <f>IFERROR(VLOOKUP(G5914,WholesaleExtract!B:J,6,FALSE),"")</f>
        <v/>
      </c>
      <c r="H5914" s="47" t="str">
        <f>IFERROR(VLOOKUP(G5914,WholesaleExtract!B:L,11,FALSE),"")</f>
        <v/>
      </c>
      <c r="I5914" s="26" t="str">
        <f>IFERROR(VLOOKUP(G5914,WholesaleExtract!B:O,8,FALSE),"")</f>
        <v/>
      </c>
      <c r="J5914" s="26" t="str">
        <f>IFERROR(VLOOKUP(G5914,WholesaleExtract!B:O,14,FALSE),"")</f>
        <v/>
      </c>
      <c r="K5914" s="26" t="str">
        <f>IFERROR(VLOOKUP(G5914,WholesaleExtract!B:K,10,FALSE),"")</f>
        <v/>
      </c>
      <c r="L5914" s="47" t="str">
        <f>IFERROR(VLOOKUP(G5914,WholesaleExtract!B:L,11,FALSE),"")</f>
        <v/>
      </c>
      <c r="M5914" s="47" t="str">
        <f>IFERROR(VLOOKUP(G5914,WholesaleExtract!B:M,12,FALSE),"")</f>
        <v/>
      </c>
    </row>
    <row r="5915" spans="1:13" x14ac:dyDescent="0.35">
      <c r="A5915" s="26" t="s">
        <v>543</v>
      </c>
      <c r="B5915" s="26" t="s">
        <v>543</v>
      </c>
      <c r="C5915" s="26"/>
      <c r="D5915" s="26" t="s">
        <v>543</v>
      </c>
      <c r="E5915" s="26" t="str">
        <f>IFERROR(VLOOKUP(G5915,WholesaleExtract!B:J,9,FALSE),"")</f>
        <v/>
      </c>
      <c r="F5915" s="26" t="str">
        <f>IFERROR(VLOOKUP(G5915,WholesaleExtract!B:J,6,FALSE),"")</f>
        <v/>
      </c>
      <c r="H5915" s="47" t="str">
        <f>IFERROR(VLOOKUP(G5915,WholesaleExtract!B:L,11,FALSE),"")</f>
        <v/>
      </c>
      <c r="I5915" s="26" t="str">
        <f>IFERROR(VLOOKUP(G5915,WholesaleExtract!B:O,8,FALSE),"")</f>
        <v/>
      </c>
      <c r="J5915" s="26" t="str">
        <f>IFERROR(VLOOKUP(G5915,WholesaleExtract!B:O,14,FALSE),"")</f>
        <v/>
      </c>
      <c r="K5915" s="26" t="str">
        <f>IFERROR(VLOOKUP(G5915,WholesaleExtract!B:K,10,FALSE),"")</f>
        <v/>
      </c>
      <c r="L5915" s="47" t="str">
        <f>IFERROR(VLOOKUP(G5915,WholesaleExtract!B:L,11,FALSE),"")</f>
        <v/>
      </c>
      <c r="M5915" s="47" t="str">
        <f>IFERROR(VLOOKUP(G5915,WholesaleExtract!B:M,12,FALSE),"")</f>
        <v/>
      </c>
    </row>
    <row r="5916" spans="1:13" x14ac:dyDescent="0.35">
      <c r="A5916" s="26" t="s">
        <v>543</v>
      </c>
      <c r="B5916" s="26" t="s">
        <v>543</v>
      </c>
      <c r="C5916" s="26"/>
      <c r="D5916" s="26" t="s">
        <v>543</v>
      </c>
      <c r="E5916" s="26" t="str">
        <f>IFERROR(VLOOKUP(G5916,WholesaleExtract!B:J,9,FALSE),"")</f>
        <v/>
      </c>
      <c r="F5916" s="26" t="str">
        <f>IFERROR(VLOOKUP(G5916,WholesaleExtract!B:J,6,FALSE),"")</f>
        <v/>
      </c>
      <c r="H5916" s="47" t="str">
        <f>IFERROR(VLOOKUP(G5916,WholesaleExtract!B:L,11,FALSE),"")</f>
        <v/>
      </c>
      <c r="I5916" s="26" t="str">
        <f>IFERROR(VLOOKUP(G5916,WholesaleExtract!B:O,8,FALSE),"")</f>
        <v/>
      </c>
      <c r="J5916" s="26" t="str">
        <f>IFERROR(VLOOKUP(G5916,WholesaleExtract!B:O,14,FALSE),"")</f>
        <v/>
      </c>
      <c r="K5916" s="26" t="str">
        <f>IFERROR(VLOOKUP(G5916,WholesaleExtract!B:K,10,FALSE),"")</f>
        <v/>
      </c>
      <c r="L5916" s="47" t="str">
        <f>IFERROR(VLOOKUP(G5916,WholesaleExtract!B:L,11,FALSE),"")</f>
        <v/>
      </c>
      <c r="M5916" s="47" t="str">
        <f>IFERROR(VLOOKUP(G5916,WholesaleExtract!B:M,12,FALSE),"")</f>
        <v/>
      </c>
    </row>
    <row r="5917" spans="1:13" x14ac:dyDescent="0.35">
      <c r="A5917" s="26" t="s">
        <v>543</v>
      </c>
      <c r="B5917" s="26" t="s">
        <v>543</v>
      </c>
      <c r="C5917" s="26"/>
      <c r="D5917" s="26" t="s">
        <v>543</v>
      </c>
      <c r="E5917" s="26" t="str">
        <f>IFERROR(VLOOKUP(G5917,WholesaleExtract!B:J,9,FALSE),"")</f>
        <v/>
      </c>
      <c r="F5917" s="26" t="str">
        <f>IFERROR(VLOOKUP(G5917,WholesaleExtract!B:J,6,FALSE),"")</f>
        <v/>
      </c>
      <c r="H5917" s="47" t="str">
        <f>IFERROR(VLOOKUP(G5917,WholesaleExtract!B:L,11,FALSE),"")</f>
        <v/>
      </c>
      <c r="I5917" s="26" t="str">
        <f>IFERROR(VLOOKUP(G5917,WholesaleExtract!B:O,8,FALSE),"")</f>
        <v/>
      </c>
      <c r="J5917" s="26" t="str">
        <f>IFERROR(VLOOKUP(G5917,WholesaleExtract!B:O,14,FALSE),"")</f>
        <v/>
      </c>
      <c r="K5917" s="26" t="str">
        <f>IFERROR(VLOOKUP(G5917,WholesaleExtract!B:K,10,FALSE),"")</f>
        <v/>
      </c>
      <c r="L5917" s="47" t="str">
        <f>IFERROR(VLOOKUP(G5917,WholesaleExtract!B:L,11,FALSE),"")</f>
        <v/>
      </c>
      <c r="M5917" s="47" t="str">
        <f>IFERROR(VLOOKUP(G5917,WholesaleExtract!B:M,12,FALSE),"")</f>
        <v/>
      </c>
    </row>
    <row r="5918" spans="1:13" x14ac:dyDescent="0.35">
      <c r="A5918" s="26" t="s">
        <v>543</v>
      </c>
      <c r="B5918" s="26" t="s">
        <v>543</v>
      </c>
      <c r="C5918" s="26"/>
      <c r="D5918" s="26" t="s">
        <v>543</v>
      </c>
      <c r="E5918" s="26" t="str">
        <f>IFERROR(VLOOKUP(G5918,WholesaleExtract!B:J,9,FALSE),"")</f>
        <v/>
      </c>
      <c r="F5918" s="26" t="str">
        <f>IFERROR(VLOOKUP(G5918,WholesaleExtract!B:J,6,FALSE),"")</f>
        <v/>
      </c>
      <c r="H5918" s="47" t="str">
        <f>IFERROR(VLOOKUP(G5918,WholesaleExtract!B:L,11,FALSE),"")</f>
        <v/>
      </c>
      <c r="I5918" s="26" t="str">
        <f>IFERROR(VLOOKUP(G5918,WholesaleExtract!B:O,8,FALSE),"")</f>
        <v/>
      </c>
      <c r="J5918" s="26" t="str">
        <f>IFERROR(VLOOKUP(G5918,WholesaleExtract!B:O,14,FALSE),"")</f>
        <v/>
      </c>
      <c r="K5918" s="26" t="str">
        <f>IFERROR(VLOOKUP(G5918,WholesaleExtract!B:K,10,FALSE),"")</f>
        <v/>
      </c>
      <c r="L5918" s="47" t="str">
        <f>IFERROR(VLOOKUP(G5918,WholesaleExtract!B:L,11,FALSE),"")</f>
        <v/>
      </c>
      <c r="M5918" s="47" t="str">
        <f>IFERROR(VLOOKUP(G5918,WholesaleExtract!B:M,12,FALSE),"")</f>
        <v/>
      </c>
    </row>
    <row r="5919" spans="1:13" x14ac:dyDescent="0.35">
      <c r="A5919" s="26" t="s">
        <v>543</v>
      </c>
      <c r="B5919" s="26" t="s">
        <v>543</v>
      </c>
      <c r="C5919" s="26"/>
      <c r="D5919" s="26" t="s">
        <v>543</v>
      </c>
      <c r="E5919" s="26" t="str">
        <f>IFERROR(VLOOKUP(G5919,WholesaleExtract!B:J,9,FALSE),"")</f>
        <v/>
      </c>
      <c r="F5919" s="26" t="str">
        <f>IFERROR(VLOOKUP(G5919,WholesaleExtract!B:J,6,FALSE),"")</f>
        <v/>
      </c>
      <c r="H5919" s="47" t="str">
        <f>IFERROR(VLOOKUP(G5919,WholesaleExtract!B:L,11,FALSE),"")</f>
        <v/>
      </c>
      <c r="I5919" s="26" t="str">
        <f>IFERROR(VLOOKUP(G5919,WholesaleExtract!B:O,8,FALSE),"")</f>
        <v/>
      </c>
      <c r="J5919" s="26" t="str">
        <f>IFERROR(VLOOKUP(G5919,WholesaleExtract!B:O,14,FALSE),"")</f>
        <v/>
      </c>
      <c r="K5919" s="26" t="str">
        <f>IFERROR(VLOOKUP(G5919,WholesaleExtract!B:K,10,FALSE),"")</f>
        <v/>
      </c>
      <c r="L5919" s="47" t="str">
        <f>IFERROR(VLOOKUP(G5919,WholesaleExtract!B:L,11,FALSE),"")</f>
        <v/>
      </c>
      <c r="M5919" s="47" t="str">
        <f>IFERROR(VLOOKUP(G5919,WholesaleExtract!B:M,12,FALSE),"")</f>
        <v/>
      </c>
    </row>
    <row r="5920" spans="1:13" x14ac:dyDescent="0.35">
      <c r="A5920" s="26" t="s">
        <v>543</v>
      </c>
      <c r="B5920" s="26" t="s">
        <v>543</v>
      </c>
      <c r="C5920" s="26"/>
      <c r="D5920" s="26" t="s">
        <v>543</v>
      </c>
      <c r="E5920" s="26" t="str">
        <f>IFERROR(VLOOKUP(G5920,WholesaleExtract!B:J,9,FALSE),"")</f>
        <v/>
      </c>
      <c r="F5920" s="26" t="str">
        <f>IFERROR(VLOOKUP(G5920,WholesaleExtract!B:J,6,FALSE),"")</f>
        <v/>
      </c>
      <c r="H5920" s="47" t="str">
        <f>IFERROR(VLOOKUP(G5920,WholesaleExtract!B:L,11,FALSE),"")</f>
        <v/>
      </c>
      <c r="I5920" s="26" t="str">
        <f>IFERROR(VLOOKUP(G5920,WholesaleExtract!B:O,8,FALSE),"")</f>
        <v/>
      </c>
      <c r="J5920" s="26" t="str">
        <f>IFERROR(VLOOKUP(G5920,WholesaleExtract!B:O,14,FALSE),"")</f>
        <v/>
      </c>
      <c r="K5920" s="26" t="str">
        <f>IFERROR(VLOOKUP(G5920,WholesaleExtract!B:K,10,FALSE),"")</f>
        <v/>
      </c>
      <c r="L5920" s="47" t="str">
        <f>IFERROR(VLOOKUP(G5920,WholesaleExtract!B:L,11,FALSE),"")</f>
        <v/>
      </c>
      <c r="M5920" s="47" t="str">
        <f>IFERROR(VLOOKUP(G5920,WholesaleExtract!B:M,12,FALSE),"")</f>
        <v/>
      </c>
    </row>
    <row r="5921" spans="1:13" x14ac:dyDescent="0.35">
      <c r="A5921" s="26" t="s">
        <v>543</v>
      </c>
      <c r="B5921" s="26" t="s">
        <v>543</v>
      </c>
      <c r="C5921" s="26"/>
      <c r="D5921" s="26" t="s">
        <v>543</v>
      </c>
      <c r="E5921" s="26" t="str">
        <f>IFERROR(VLOOKUP(G5921,WholesaleExtract!B:J,9,FALSE),"")</f>
        <v/>
      </c>
      <c r="F5921" s="26" t="str">
        <f>IFERROR(VLOOKUP(G5921,WholesaleExtract!B:J,6,FALSE),"")</f>
        <v/>
      </c>
      <c r="H5921" s="47" t="str">
        <f>IFERROR(VLOOKUP(G5921,WholesaleExtract!B:L,11,FALSE),"")</f>
        <v/>
      </c>
      <c r="I5921" s="26" t="str">
        <f>IFERROR(VLOOKUP(G5921,WholesaleExtract!B:O,8,FALSE),"")</f>
        <v/>
      </c>
      <c r="J5921" s="26" t="str">
        <f>IFERROR(VLOOKUP(G5921,WholesaleExtract!B:O,14,FALSE),"")</f>
        <v/>
      </c>
      <c r="K5921" s="26" t="str">
        <f>IFERROR(VLOOKUP(G5921,WholesaleExtract!B:K,10,FALSE),"")</f>
        <v/>
      </c>
      <c r="L5921" s="47" t="str">
        <f>IFERROR(VLOOKUP(G5921,WholesaleExtract!B:L,11,FALSE),"")</f>
        <v/>
      </c>
      <c r="M5921" s="47" t="str">
        <f>IFERROR(VLOOKUP(G5921,WholesaleExtract!B:M,12,FALSE),"")</f>
        <v/>
      </c>
    </row>
    <row r="5922" spans="1:13" x14ac:dyDescent="0.35">
      <c r="A5922" s="26" t="s">
        <v>543</v>
      </c>
      <c r="B5922" s="26" t="s">
        <v>543</v>
      </c>
      <c r="C5922" s="26"/>
      <c r="D5922" s="26" t="s">
        <v>543</v>
      </c>
      <c r="E5922" s="26" t="str">
        <f>IFERROR(VLOOKUP(G5922,WholesaleExtract!B:J,9,FALSE),"")</f>
        <v/>
      </c>
      <c r="F5922" s="26" t="str">
        <f>IFERROR(VLOOKUP(G5922,WholesaleExtract!B:J,6,FALSE),"")</f>
        <v/>
      </c>
      <c r="H5922" s="47" t="str">
        <f>IFERROR(VLOOKUP(G5922,WholesaleExtract!B:L,11,FALSE),"")</f>
        <v/>
      </c>
      <c r="I5922" s="26" t="str">
        <f>IFERROR(VLOOKUP(G5922,WholesaleExtract!B:O,8,FALSE),"")</f>
        <v/>
      </c>
      <c r="J5922" s="26" t="str">
        <f>IFERROR(VLOOKUP(G5922,WholesaleExtract!B:O,14,FALSE),"")</f>
        <v/>
      </c>
      <c r="K5922" s="26" t="str">
        <f>IFERROR(VLOOKUP(G5922,WholesaleExtract!B:K,10,FALSE),"")</f>
        <v/>
      </c>
      <c r="L5922" s="47" t="str">
        <f>IFERROR(VLOOKUP(G5922,WholesaleExtract!B:L,11,FALSE),"")</f>
        <v/>
      </c>
      <c r="M5922" s="47" t="str">
        <f>IFERROR(VLOOKUP(G5922,WholesaleExtract!B:M,12,FALSE),"")</f>
        <v/>
      </c>
    </row>
    <row r="5923" spans="1:13" x14ac:dyDescent="0.35">
      <c r="A5923" s="26" t="s">
        <v>543</v>
      </c>
      <c r="B5923" s="26" t="s">
        <v>543</v>
      </c>
      <c r="C5923" s="26"/>
      <c r="D5923" s="26" t="s">
        <v>543</v>
      </c>
      <c r="E5923" s="26" t="str">
        <f>IFERROR(VLOOKUP(G5923,WholesaleExtract!B:J,9,FALSE),"")</f>
        <v/>
      </c>
      <c r="F5923" s="26" t="str">
        <f>IFERROR(VLOOKUP(G5923,WholesaleExtract!B:J,6,FALSE),"")</f>
        <v/>
      </c>
      <c r="H5923" s="47" t="str">
        <f>IFERROR(VLOOKUP(G5923,WholesaleExtract!B:L,11,FALSE),"")</f>
        <v/>
      </c>
      <c r="I5923" s="26" t="str">
        <f>IFERROR(VLOOKUP(G5923,WholesaleExtract!B:O,8,FALSE),"")</f>
        <v/>
      </c>
      <c r="J5923" s="26" t="str">
        <f>IFERROR(VLOOKUP(G5923,WholesaleExtract!B:O,14,FALSE),"")</f>
        <v/>
      </c>
      <c r="K5923" s="26" t="str">
        <f>IFERROR(VLOOKUP(G5923,WholesaleExtract!B:K,10,FALSE),"")</f>
        <v/>
      </c>
      <c r="L5923" s="47" t="str">
        <f>IFERROR(VLOOKUP(G5923,WholesaleExtract!B:L,11,FALSE),"")</f>
        <v/>
      </c>
      <c r="M5923" s="47" t="str">
        <f>IFERROR(VLOOKUP(G5923,WholesaleExtract!B:M,12,FALSE),"")</f>
        <v/>
      </c>
    </row>
    <row r="5924" spans="1:13" x14ac:dyDescent="0.35">
      <c r="A5924" s="26" t="s">
        <v>543</v>
      </c>
      <c r="B5924" s="26" t="s">
        <v>543</v>
      </c>
      <c r="C5924" s="26"/>
      <c r="D5924" s="26" t="s">
        <v>543</v>
      </c>
      <c r="E5924" s="26" t="str">
        <f>IFERROR(VLOOKUP(G5924,WholesaleExtract!B:J,9,FALSE),"")</f>
        <v/>
      </c>
      <c r="F5924" s="26" t="str">
        <f>IFERROR(VLOOKUP(G5924,WholesaleExtract!B:J,6,FALSE),"")</f>
        <v/>
      </c>
      <c r="H5924" s="47" t="str">
        <f>IFERROR(VLOOKUP(G5924,WholesaleExtract!B:L,11,FALSE),"")</f>
        <v/>
      </c>
      <c r="I5924" s="26" t="str">
        <f>IFERROR(VLOOKUP(G5924,WholesaleExtract!B:O,8,FALSE),"")</f>
        <v/>
      </c>
      <c r="J5924" s="26" t="str">
        <f>IFERROR(VLOOKUP(G5924,WholesaleExtract!B:O,14,FALSE),"")</f>
        <v/>
      </c>
      <c r="K5924" s="26" t="str">
        <f>IFERROR(VLOOKUP(G5924,WholesaleExtract!B:K,10,FALSE),"")</f>
        <v/>
      </c>
      <c r="L5924" s="47" t="str">
        <f>IFERROR(VLOOKUP(G5924,WholesaleExtract!B:L,11,FALSE),"")</f>
        <v/>
      </c>
      <c r="M5924" s="47" t="str">
        <f>IFERROR(VLOOKUP(G5924,WholesaleExtract!B:M,12,FALSE),"")</f>
        <v/>
      </c>
    </row>
    <row r="5925" spans="1:13" x14ac:dyDescent="0.35">
      <c r="A5925" s="26" t="s">
        <v>543</v>
      </c>
      <c r="B5925" s="26" t="s">
        <v>543</v>
      </c>
      <c r="C5925" s="26"/>
      <c r="D5925" s="26" t="s">
        <v>543</v>
      </c>
      <c r="E5925" s="26" t="str">
        <f>IFERROR(VLOOKUP(G5925,WholesaleExtract!B:J,9,FALSE),"")</f>
        <v/>
      </c>
      <c r="F5925" s="26" t="str">
        <f>IFERROR(VLOOKUP(G5925,WholesaleExtract!B:J,6,FALSE),"")</f>
        <v/>
      </c>
      <c r="H5925" s="47" t="str">
        <f>IFERROR(VLOOKUP(G5925,WholesaleExtract!B:L,11,FALSE),"")</f>
        <v/>
      </c>
      <c r="I5925" s="26" t="str">
        <f>IFERROR(VLOOKUP(G5925,WholesaleExtract!B:O,8,FALSE),"")</f>
        <v/>
      </c>
      <c r="J5925" s="26" t="str">
        <f>IFERROR(VLOOKUP(G5925,WholesaleExtract!B:O,14,FALSE),"")</f>
        <v/>
      </c>
      <c r="K5925" s="26" t="str">
        <f>IFERROR(VLOOKUP(G5925,WholesaleExtract!B:K,10,FALSE),"")</f>
        <v/>
      </c>
      <c r="L5925" s="47" t="str">
        <f>IFERROR(VLOOKUP(G5925,WholesaleExtract!B:L,11,FALSE),"")</f>
        <v/>
      </c>
      <c r="M5925" s="47" t="str">
        <f>IFERROR(VLOOKUP(G5925,WholesaleExtract!B:M,12,FALSE),"")</f>
        <v/>
      </c>
    </row>
    <row r="5926" spans="1:13" x14ac:dyDescent="0.35">
      <c r="A5926" s="26" t="s">
        <v>543</v>
      </c>
      <c r="B5926" s="26" t="s">
        <v>543</v>
      </c>
      <c r="C5926" s="26"/>
      <c r="D5926" s="26" t="s">
        <v>543</v>
      </c>
      <c r="E5926" s="26" t="str">
        <f>IFERROR(VLOOKUP(G5926,WholesaleExtract!B:J,9,FALSE),"")</f>
        <v/>
      </c>
      <c r="F5926" s="26" t="str">
        <f>IFERROR(VLOOKUP(G5926,WholesaleExtract!B:J,6,FALSE),"")</f>
        <v/>
      </c>
      <c r="H5926" s="47" t="str">
        <f>IFERROR(VLOOKUP(G5926,WholesaleExtract!B:L,11,FALSE),"")</f>
        <v/>
      </c>
      <c r="I5926" s="26" t="str">
        <f>IFERROR(VLOOKUP(G5926,WholesaleExtract!B:O,8,FALSE),"")</f>
        <v/>
      </c>
      <c r="J5926" s="26" t="str">
        <f>IFERROR(VLOOKUP(G5926,WholesaleExtract!B:O,14,FALSE),"")</f>
        <v/>
      </c>
      <c r="K5926" s="26" t="str">
        <f>IFERROR(VLOOKUP(G5926,WholesaleExtract!B:K,10,FALSE),"")</f>
        <v/>
      </c>
      <c r="L5926" s="47" t="str">
        <f>IFERROR(VLOOKUP(G5926,WholesaleExtract!B:L,11,FALSE),"")</f>
        <v/>
      </c>
      <c r="M5926" s="47" t="str">
        <f>IFERROR(VLOOKUP(G5926,WholesaleExtract!B:M,12,FALSE),"")</f>
        <v/>
      </c>
    </row>
    <row r="5927" spans="1:13" x14ac:dyDescent="0.35">
      <c r="A5927" s="26" t="s">
        <v>543</v>
      </c>
      <c r="B5927" s="26" t="s">
        <v>543</v>
      </c>
      <c r="C5927" s="26"/>
      <c r="D5927" s="26" t="s">
        <v>543</v>
      </c>
      <c r="E5927" s="26" t="str">
        <f>IFERROR(VLOOKUP(G5927,WholesaleExtract!B:J,9,FALSE),"")</f>
        <v/>
      </c>
      <c r="F5927" s="26" t="str">
        <f>IFERROR(VLOOKUP(G5927,WholesaleExtract!B:J,6,FALSE),"")</f>
        <v/>
      </c>
      <c r="H5927" s="47" t="str">
        <f>IFERROR(VLOOKUP(G5927,WholesaleExtract!B:L,11,FALSE),"")</f>
        <v/>
      </c>
      <c r="I5927" s="26" t="str">
        <f>IFERROR(VLOOKUP(G5927,WholesaleExtract!B:O,8,FALSE),"")</f>
        <v/>
      </c>
      <c r="J5927" s="26" t="str">
        <f>IFERROR(VLOOKUP(G5927,WholesaleExtract!B:O,14,FALSE),"")</f>
        <v/>
      </c>
      <c r="K5927" s="26" t="str">
        <f>IFERROR(VLOOKUP(G5927,WholesaleExtract!B:K,10,FALSE),"")</f>
        <v/>
      </c>
      <c r="L5927" s="47" t="str">
        <f>IFERROR(VLOOKUP(G5927,WholesaleExtract!B:L,11,FALSE),"")</f>
        <v/>
      </c>
      <c r="M5927" s="47" t="str">
        <f>IFERROR(VLOOKUP(G5927,WholesaleExtract!B:M,12,FALSE),"")</f>
        <v/>
      </c>
    </row>
    <row r="5928" spans="1:13" x14ac:dyDescent="0.35">
      <c r="A5928" s="26" t="s">
        <v>543</v>
      </c>
      <c r="B5928" s="26" t="s">
        <v>543</v>
      </c>
      <c r="C5928" s="26"/>
      <c r="D5928" s="26" t="s">
        <v>543</v>
      </c>
      <c r="E5928" s="26" t="str">
        <f>IFERROR(VLOOKUP(G5928,WholesaleExtract!B:J,9,FALSE),"")</f>
        <v/>
      </c>
      <c r="F5928" s="26" t="str">
        <f>IFERROR(VLOOKUP(G5928,WholesaleExtract!B:J,6,FALSE),"")</f>
        <v/>
      </c>
      <c r="H5928" s="47" t="str">
        <f>IFERROR(VLOOKUP(G5928,WholesaleExtract!B:L,11,FALSE),"")</f>
        <v/>
      </c>
      <c r="I5928" s="26" t="str">
        <f>IFERROR(VLOOKUP(G5928,WholesaleExtract!B:O,8,FALSE),"")</f>
        <v/>
      </c>
      <c r="J5928" s="26" t="str">
        <f>IFERROR(VLOOKUP(G5928,WholesaleExtract!B:O,14,FALSE),"")</f>
        <v/>
      </c>
      <c r="K5928" s="26" t="str">
        <f>IFERROR(VLOOKUP(G5928,WholesaleExtract!B:K,10,FALSE),"")</f>
        <v/>
      </c>
      <c r="L5928" s="47" t="str">
        <f>IFERROR(VLOOKUP(G5928,WholesaleExtract!B:L,11,FALSE),"")</f>
        <v/>
      </c>
      <c r="M5928" s="47" t="str">
        <f>IFERROR(VLOOKUP(G5928,WholesaleExtract!B:M,12,FALSE),"")</f>
        <v/>
      </c>
    </row>
    <row r="5929" spans="1:13" x14ac:dyDescent="0.35">
      <c r="A5929" s="26" t="s">
        <v>543</v>
      </c>
      <c r="B5929" s="26" t="s">
        <v>543</v>
      </c>
      <c r="C5929" s="26"/>
      <c r="D5929" s="26" t="s">
        <v>543</v>
      </c>
      <c r="E5929" s="26" t="str">
        <f>IFERROR(VLOOKUP(G5929,WholesaleExtract!B:J,9,FALSE),"")</f>
        <v/>
      </c>
      <c r="F5929" s="26" t="str">
        <f>IFERROR(VLOOKUP(G5929,WholesaleExtract!B:J,6,FALSE),"")</f>
        <v/>
      </c>
      <c r="H5929" s="47" t="str">
        <f>IFERROR(VLOOKUP(G5929,WholesaleExtract!B:L,11,FALSE),"")</f>
        <v/>
      </c>
      <c r="I5929" s="26" t="str">
        <f>IFERROR(VLOOKUP(G5929,WholesaleExtract!B:O,8,FALSE),"")</f>
        <v/>
      </c>
      <c r="J5929" s="26" t="str">
        <f>IFERROR(VLOOKUP(G5929,WholesaleExtract!B:O,14,FALSE),"")</f>
        <v/>
      </c>
      <c r="K5929" s="26" t="str">
        <f>IFERROR(VLOOKUP(G5929,WholesaleExtract!B:K,10,FALSE),"")</f>
        <v/>
      </c>
      <c r="L5929" s="47" t="str">
        <f>IFERROR(VLOOKUP(G5929,WholesaleExtract!B:L,11,FALSE),"")</f>
        <v/>
      </c>
      <c r="M5929" s="47" t="str">
        <f>IFERROR(VLOOKUP(G5929,WholesaleExtract!B:M,12,FALSE),"")</f>
        <v/>
      </c>
    </row>
    <row r="5930" spans="1:13" x14ac:dyDescent="0.35">
      <c r="A5930" s="26" t="s">
        <v>543</v>
      </c>
      <c r="B5930" s="26" t="s">
        <v>543</v>
      </c>
      <c r="C5930" s="26"/>
      <c r="D5930" s="26" t="s">
        <v>543</v>
      </c>
      <c r="E5930" s="26" t="str">
        <f>IFERROR(VLOOKUP(G5930,WholesaleExtract!B:J,9,FALSE),"")</f>
        <v/>
      </c>
      <c r="F5930" s="26" t="str">
        <f>IFERROR(VLOOKUP(G5930,WholesaleExtract!B:J,6,FALSE),"")</f>
        <v/>
      </c>
      <c r="H5930" s="47" t="str">
        <f>IFERROR(VLOOKUP(G5930,WholesaleExtract!B:L,11,FALSE),"")</f>
        <v/>
      </c>
      <c r="I5930" s="26" t="str">
        <f>IFERROR(VLOOKUP(G5930,WholesaleExtract!B:O,8,FALSE),"")</f>
        <v/>
      </c>
      <c r="J5930" s="26" t="str">
        <f>IFERROR(VLOOKUP(G5930,WholesaleExtract!B:O,14,FALSE),"")</f>
        <v/>
      </c>
      <c r="K5930" s="26" t="str">
        <f>IFERROR(VLOOKUP(G5930,WholesaleExtract!B:K,10,FALSE),"")</f>
        <v/>
      </c>
      <c r="L5930" s="47" t="str">
        <f>IFERROR(VLOOKUP(G5930,WholesaleExtract!B:L,11,FALSE),"")</f>
        <v/>
      </c>
      <c r="M5930" s="47" t="str">
        <f>IFERROR(VLOOKUP(G5930,WholesaleExtract!B:M,12,FALSE),"")</f>
        <v/>
      </c>
    </row>
    <row r="5931" spans="1:13" x14ac:dyDescent="0.35">
      <c r="A5931" s="26" t="s">
        <v>543</v>
      </c>
      <c r="B5931" s="26" t="s">
        <v>543</v>
      </c>
      <c r="C5931" s="26"/>
      <c r="D5931" s="26" t="s">
        <v>543</v>
      </c>
      <c r="E5931" s="26" t="str">
        <f>IFERROR(VLOOKUP(G5931,WholesaleExtract!B:J,9,FALSE),"")</f>
        <v/>
      </c>
      <c r="F5931" s="26" t="str">
        <f>IFERROR(VLOOKUP(G5931,WholesaleExtract!B:J,6,FALSE),"")</f>
        <v/>
      </c>
      <c r="H5931" s="47" t="str">
        <f>IFERROR(VLOOKUP(G5931,WholesaleExtract!B:L,11,FALSE),"")</f>
        <v/>
      </c>
      <c r="I5931" s="26" t="str">
        <f>IFERROR(VLOOKUP(G5931,WholesaleExtract!B:O,8,FALSE),"")</f>
        <v/>
      </c>
      <c r="J5931" s="26" t="str">
        <f>IFERROR(VLOOKUP(G5931,WholesaleExtract!B:O,14,FALSE),"")</f>
        <v/>
      </c>
      <c r="K5931" s="26" t="str">
        <f>IFERROR(VLOOKUP(G5931,WholesaleExtract!B:K,10,FALSE),"")</f>
        <v/>
      </c>
      <c r="L5931" s="47" t="str">
        <f>IFERROR(VLOOKUP(G5931,WholesaleExtract!B:L,11,FALSE),"")</f>
        <v/>
      </c>
      <c r="M5931" s="47" t="str">
        <f>IFERROR(VLOOKUP(G5931,WholesaleExtract!B:M,12,FALSE),"")</f>
        <v/>
      </c>
    </row>
    <row r="5932" spans="1:13" x14ac:dyDescent="0.35">
      <c r="A5932" s="26" t="s">
        <v>543</v>
      </c>
      <c r="B5932" s="26" t="s">
        <v>543</v>
      </c>
      <c r="C5932" s="26"/>
      <c r="D5932" s="26" t="s">
        <v>543</v>
      </c>
      <c r="E5932" s="26" t="str">
        <f>IFERROR(VLOOKUP(G5932,WholesaleExtract!B:J,9,FALSE),"")</f>
        <v/>
      </c>
      <c r="F5932" s="26" t="str">
        <f>IFERROR(VLOOKUP(G5932,WholesaleExtract!B:J,6,FALSE),"")</f>
        <v/>
      </c>
      <c r="H5932" s="47" t="str">
        <f>IFERROR(VLOOKUP(G5932,WholesaleExtract!B:L,11,FALSE),"")</f>
        <v/>
      </c>
      <c r="I5932" s="26" t="str">
        <f>IFERROR(VLOOKUP(G5932,WholesaleExtract!B:O,8,FALSE),"")</f>
        <v/>
      </c>
      <c r="J5932" s="26" t="str">
        <f>IFERROR(VLOOKUP(G5932,WholesaleExtract!B:O,14,FALSE),"")</f>
        <v/>
      </c>
      <c r="K5932" s="26" t="str">
        <f>IFERROR(VLOOKUP(G5932,WholesaleExtract!B:K,10,FALSE),"")</f>
        <v/>
      </c>
      <c r="L5932" s="47" t="str">
        <f>IFERROR(VLOOKUP(G5932,WholesaleExtract!B:L,11,FALSE),"")</f>
        <v/>
      </c>
      <c r="M5932" s="47" t="str">
        <f>IFERROR(VLOOKUP(G5932,WholesaleExtract!B:M,12,FALSE),"")</f>
        <v/>
      </c>
    </row>
    <row r="5933" spans="1:13" x14ac:dyDescent="0.35">
      <c r="A5933" s="26" t="s">
        <v>543</v>
      </c>
      <c r="B5933" s="26" t="s">
        <v>543</v>
      </c>
      <c r="C5933" s="26"/>
      <c r="D5933" s="26" t="s">
        <v>543</v>
      </c>
      <c r="E5933" s="26" t="str">
        <f>IFERROR(VLOOKUP(G5933,WholesaleExtract!B:J,9,FALSE),"")</f>
        <v/>
      </c>
      <c r="F5933" s="26" t="str">
        <f>IFERROR(VLOOKUP(G5933,WholesaleExtract!B:J,6,FALSE),"")</f>
        <v/>
      </c>
      <c r="H5933" s="47" t="str">
        <f>IFERROR(VLOOKUP(G5933,WholesaleExtract!B:L,11,FALSE),"")</f>
        <v/>
      </c>
      <c r="I5933" s="26" t="str">
        <f>IFERROR(VLOOKUP(G5933,WholesaleExtract!B:O,8,FALSE),"")</f>
        <v/>
      </c>
      <c r="J5933" s="26" t="str">
        <f>IFERROR(VLOOKUP(G5933,WholesaleExtract!B:O,14,FALSE),"")</f>
        <v/>
      </c>
      <c r="K5933" s="26" t="str">
        <f>IFERROR(VLOOKUP(G5933,WholesaleExtract!B:K,10,FALSE),"")</f>
        <v/>
      </c>
      <c r="L5933" s="47" t="str">
        <f>IFERROR(VLOOKUP(G5933,WholesaleExtract!B:L,11,FALSE),"")</f>
        <v/>
      </c>
      <c r="M5933" s="47" t="str">
        <f>IFERROR(VLOOKUP(G5933,WholesaleExtract!B:M,12,FALSE),"")</f>
        <v/>
      </c>
    </row>
    <row r="5934" spans="1:13" x14ac:dyDescent="0.35">
      <c r="A5934" s="26" t="s">
        <v>543</v>
      </c>
      <c r="B5934" s="26" t="s">
        <v>543</v>
      </c>
      <c r="C5934" s="26"/>
      <c r="D5934" s="26" t="s">
        <v>543</v>
      </c>
      <c r="E5934" s="26" t="str">
        <f>IFERROR(VLOOKUP(G5934,WholesaleExtract!B:J,9,FALSE),"")</f>
        <v/>
      </c>
      <c r="F5934" s="26" t="str">
        <f>IFERROR(VLOOKUP(G5934,WholesaleExtract!B:J,6,FALSE),"")</f>
        <v/>
      </c>
      <c r="H5934" s="47" t="str">
        <f>IFERROR(VLOOKUP(G5934,WholesaleExtract!B:L,11,FALSE),"")</f>
        <v/>
      </c>
      <c r="I5934" s="26" t="str">
        <f>IFERROR(VLOOKUP(G5934,WholesaleExtract!B:O,8,FALSE),"")</f>
        <v/>
      </c>
      <c r="J5934" s="26" t="str">
        <f>IFERROR(VLOOKUP(G5934,WholesaleExtract!B:O,14,FALSE),"")</f>
        <v/>
      </c>
      <c r="K5934" s="26" t="str">
        <f>IFERROR(VLOOKUP(G5934,WholesaleExtract!B:K,10,FALSE),"")</f>
        <v/>
      </c>
      <c r="L5934" s="47" t="str">
        <f>IFERROR(VLOOKUP(G5934,WholesaleExtract!B:L,11,FALSE),"")</f>
        <v/>
      </c>
      <c r="M5934" s="47" t="str">
        <f>IFERROR(VLOOKUP(G5934,WholesaleExtract!B:M,12,FALSE),"")</f>
        <v/>
      </c>
    </row>
    <row r="5935" spans="1:13" x14ac:dyDescent="0.35">
      <c r="A5935" s="26" t="s">
        <v>543</v>
      </c>
      <c r="B5935" s="26" t="s">
        <v>543</v>
      </c>
      <c r="C5935" s="26"/>
      <c r="D5935" s="26" t="s">
        <v>543</v>
      </c>
      <c r="E5935" s="26" t="str">
        <f>IFERROR(VLOOKUP(G5935,WholesaleExtract!B:J,9,FALSE),"")</f>
        <v/>
      </c>
      <c r="F5935" s="26" t="str">
        <f>IFERROR(VLOOKUP(G5935,WholesaleExtract!B:J,6,FALSE),"")</f>
        <v/>
      </c>
      <c r="H5935" s="47" t="str">
        <f>IFERROR(VLOOKUP(G5935,WholesaleExtract!B:L,11,FALSE),"")</f>
        <v/>
      </c>
      <c r="I5935" s="26" t="str">
        <f>IFERROR(VLOOKUP(G5935,WholesaleExtract!B:O,8,FALSE),"")</f>
        <v/>
      </c>
      <c r="J5935" s="26" t="str">
        <f>IFERROR(VLOOKUP(G5935,WholesaleExtract!B:O,14,FALSE),"")</f>
        <v/>
      </c>
      <c r="K5935" s="26" t="str">
        <f>IFERROR(VLOOKUP(G5935,WholesaleExtract!B:K,10,FALSE),"")</f>
        <v/>
      </c>
      <c r="L5935" s="47" t="str">
        <f>IFERROR(VLOOKUP(G5935,WholesaleExtract!B:L,11,FALSE),"")</f>
        <v/>
      </c>
      <c r="M5935" s="47" t="str">
        <f>IFERROR(VLOOKUP(G5935,WholesaleExtract!B:M,12,FALSE),"")</f>
        <v/>
      </c>
    </row>
    <row r="5936" spans="1:13" x14ac:dyDescent="0.35">
      <c r="A5936" s="26" t="s">
        <v>543</v>
      </c>
      <c r="B5936" s="26" t="s">
        <v>543</v>
      </c>
      <c r="C5936" s="26"/>
      <c r="D5936" s="26" t="s">
        <v>543</v>
      </c>
      <c r="E5936" s="26" t="str">
        <f>IFERROR(VLOOKUP(G5936,WholesaleExtract!B:J,9,FALSE),"")</f>
        <v/>
      </c>
      <c r="F5936" s="26" t="str">
        <f>IFERROR(VLOOKUP(G5936,WholesaleExtract!B:J,6,FALSE),"")</f>
        <v/>
      </c>
      <c r="H5936" s="47" t="str">
        <f>IFERROR(VLOOKUP(G5936,WholesaleExtract!B:L,11,FALSE),"")</f>
        <v/>
      </c>
      <c r="I5936" s="26" t="str">
        <f>IFERROR(VLOOKUP(G5936,WholesaleExtract!B:O,8,FALSE),"")</f>
        <v/>
      </c>
      <c r="J5936" s="26" t="str">
        <f>IFERROR(VLOOKUP(G5936,WholesaleExtract!B:O,14,FALSE),"")</f>
        <v/>
      </c>
      <c r="K5936" s="26" t="str">
        <f>IFERROR(VLOOKUP(G5936,WholesaleExtract!B:K,10,FALSE),"")</f>
        <v/>
      </c>
      <c r="L5936" s="47" t="str">
        <f>IFERROR(VLOOKUP(G5936,WholesaleExtract!B:L,11,FALSE),"")</f>
        <v/>
      </c>
      <c r="M5936" s="47" t="str">
        <f>IFERROR(VLOOKUP(G5936,WholesaleExtract!B:M,12,FALSE),"")</f>
        <v/>
      </c>
    </row>
    <row r="5937" spans="1:13" x14ac:dyDescent="0.35">
      <c r="A5937" s="26" t="s">
        <v>543</v>
      </c>
      <c r="B5937" s="26" t="s">
        <v>543</v>
      </c>
      <c r="C5937" s="26"/>
      <c r="D5937" s="26" t="s">
        <v>543</v>
      </c>
      <c r="E5937" s="26" t="str">
        <f>IFERROR(VLOOKUP(G5937,WholesaleExtract!B:J,9,FALSE),"")</f>
        <v/>
      </c>
      <c r="F5937" s="26" t="str">
        <f>IFERROR(VLOOKUP(G5937,WholesaleExtract!B:J,6,FALSE),"")</f>
        <v/>
      </c>
      <c r="H5937" s="47" t="str">
        <f>IFERROR(VLOOKUP(G5937,WholesaleExtract!B:L,11,FALSE),"")</f>
        <v/>
      </c>
      <c r="I5937" s="26" t="str">
        <f>IFERROR(VLOOKUP(G5937,WholesaleExtract!B:O,8,FALSE),"")</f>
        <v/>
      </c>
      <c r="J5937" s="26" t="str">
        <f>IFERROR(VLOOKUP(G5937,WholesaleExtract!B:O,14,FALSE),"")</f>
        <v/>
      </c>
      <c r="K5937" s="26" t="str">
        <f>IFERROR(VLOOKUP(G5937,WholesaleExtract!B:K,10,FALSE),"")</f>
        <v/>
      </c>
      <c r="L5937" s="47" t="str">
        <f>IFERROR(VLOOKUP(G5937,WholesaleExtract!B:L,11,FALSE),"")</f>
        <v/>
      </c>
      <c r="M5937" s="47" t="str">
        <f>IFERROR(VLOOKUP(G5937,WholesaleExtract!B:M,12,FALSE),"")</f>
        <v/>
      </c>
    </row>
    <row r="5938" spans="1:13" x14ac:dyDescent="0.35">
      <c r="A5938" s="26" t="s">
        <v>543</v>
      </c>
      <c r="B5938" s="26" t="s">
        <v>543</v>
      </c>
      <c r="C5938" s="26"/>
      <c r="D5938" s="26" t="s">
        <v>543</v>
      </c>
      <c r="E5938" s="26" t="str">
        <f>IFERROR(VLOOKUP(G5938,WholesaleExtract!B:J,9,FALSE),"")</f>
        <v/>
      </c>
      <c r="F5938" s="26" t="str">
        <f>IFERROR(VLOOKUP(G5938,WholesaleExtract!B:J,6,FALSE),"")</f>
        <v/>
      </c>
      <c r="H5938" s="47" t="str">
        <f>IFERROR(VLOOKUP(G5938,WholesaleExtract!B:L,11,FALSE),"")</f>
        <v/>
      </c>
      <c r="I5938" s="26" t="str">
        <f>IFERROR(VLOOKUP(G5938,WholesaleExtract!B:O,8,FALSE),"")</f>
        <v/>
      </c>
      <c r="J5938" s="26" t="str">
        <f>IFERROR(VLOOKUP(G5938,WholesaleExtract!B:O,14,FALSE),"")</f>
        <v/>
      </c>
      <c r="K5938" s="26" t="str">
        <f>IFERROR(VLOOKUP(G5938,WholesaleExtract!B:K,10,FALSE),"")</f>
        <v/>
      </c>
      <c r="L5938" s="47" t="str">
        <f>IFERROR(VLOOKUP(G5938,WholesaleExtract!B:L,11,FALSE),"")</f>
        <v/>
      </c>
      <c r="M5938" s="47" t="str">
        <f>IFERROR(VLOOKUP(G5938,WholesaleExtract!B:M,12,FALSE),"")</f>
        <v/>
      </c>
    </row>
    <row r="5939" spans="1:13" x14ac:dyDescent="0.35">
      <c r="A5939" s="26" t="s">
        <v>543</v>
      </c>
      <c r="B5939" s="26" t="s">
        <v>543</v>
      </c>
      <c r="C5939" s="26"/>
      <c r="D5939" s="26" t="s">
        <v>543</v>
      </c>
      <c r="E5939" s="26" t="str">
        <f>IFERROR(VLOOKUP(G5939,WholesaleExtract!B:J,9,FALSE),"")</f>
        <v/>
      </c>
      <c r="F5939" s="26" t="str">
        <f>IFERROR(VLOOKUP(G5939,WholesaleExtract!B:J,6,FALSE),"")</f>
        <v/>
      </c>
      <c r="H5939" s="47" t="str">
        <f>IFERROR(VLOOKUP(G5939,WholesaleExtract!B:L,11,FALSE),"")</f>
        <v/>
      </c>
      <c r="I5939" s="26" t="str">
        <f>IFERROR(VLOOKUP(G5939,WholesaleExtract!B:O,8,FALSE),"")</f>
        <v/>
      </c>
      <c r="J5939" s="26" t="str">
        <f>IFERROR(VLOOKUP(G5939,WholesaleExtract!B:O,14,FALSE),"")</f>
        <v/>
      </c>
      <c r="K5939" s="26" t="str">
        <f>IFERROR(VLOOKUP(G5939,WholesaleExtract!B:K,10,FALSE),"")</f>
        <v/>
      </c>
      <c r="L5939" s="47" t="str">
        <f>IFERROR(VLOOKUP(G5939,WholesaleExtract!B:L,11,FALSE),"")</f>
        <v/>
      </c>
      <c r="M5939" s="47" t="str">
        <f>IFERROR(VLOOKUP(G5939,WholesaleExtract!B:M,12,FALSE),"")</f>
        <v/>
      </c>
    </row>
    <row r="5940" spans="1:13" x14ac:dyDescent="0.35">
      <c r="A5940" s="26" t="s">
        <v>543</v>
      </c>
      <c r="B5940" s="26" t="s">
        <v>543</v>
      </c>
      <c r="C5940" s="26"/>
      <c r="D5940" s="26" t="s">
        <v>543</v>
      </c>
      <c r="E5940" s="26" t="str">
        <f>IFERROR(VLOOKUP(G5940,WholesaleExtract!B:J,9,FALSE),"")</f>
        <v/>
      </c>
      <c r="F5940" s="26" t="str">
        <f>IFERROR(VLOOKUP(G5940,WholesaleExtract!B:J,6,FALSE),"")</f>
        <v/>
      </c>
      <c r="H5940" s="47" t="str">
        <f>IFERROR(VLOOKUP(G5940,WholesaleExtract!B:L,11,FALSE),"")</f>
        <v/>
      </c>
      <c r="I5940" s="26" t="str">
        <f>IFERROR(VLOOKUP(G5940,WholesaleExtract!B:O,8,FALSE),"")</f>
        <v/>
      </c>
      <c r="J5940" s="26" t="str">
        <f>IFERROR(VLOOKUP(G5940,WholesaleExtract!B:O,14,FALSE),"")</f>
        <v/>
      </c>
      <c r="K5940" s="26" t="str">
        <f>IFERROR(VLOOKUP(G5940,WholesaleExtract!B:K,10,FALSE),"")</f>
        <v/>
      </c>
      <c r="L5940" s="47" t="str">
        <f>IFERROR(VLOOKUP(G5940,WholesaleExtract!B:L,11,FALSE),"")</f>
        <v/>
      </c>
      <c r="M5940" s="47" t="str">
        <f>IFERROR(VLOOKUP(G5940,WholesaleExtract!B:M,12,FALSE),"")</f>
        <v/>
      </c>
    </row>
    <row r="5941" spans="1:13" x14ac:dyDescent="0.35">
      <c r="A5941" s="26" t="s">
        <v>543</v>
      </c>
      <c r="B5941" s="26" t="s">
        <v>543</v>
      </c>
      <c r="C5941" s="26"/>
      <c r="D5941" s="26" t="s">
        <v>543</v>
      </c>
      <c r="E5941" s="26" t="str">
        <f>IFERROR(VLOOKUP(G5941,WholesaleExtract!B:J,9,FALSE),"")</f>
        <v/>
      </c>
      <c r="F5941" s="26" t="str">
        <f>IFERROR(VLOOKUP(G5941,WholesaleExtract!B:J,6,FALSE),"")</f>
        <v/>
      </c>
      <c r="H5941" s="47" t="str">
        <f>IFERROR(VLOOKUP(G5941,WholesaleExtract!B:L,11,FALSE),"")</f>
        <v/>
      </c>
      <c r="I5941" s="26" t="str">
        <f>IFERROR(VLOOKUP(G5941,WholesaleExtract!B:O,8,FALSE),"")</f>
        <v/>
      </c>
      <c r="J5941" s="26" t="str">
        <f>IFERROR(VLOOKUP(G5941,WholesaleExtract!B:O,14,FALSE),"")</f>
        <v/>
      </c>
      <c r="K5941" s="26" t="str">
        <f>IFERROR(VLOOKUP(G5941,WholesaleExtract!B:K,10,FALSE),"")</f>
        <v/>
      </c>
      <c r="L5941" s="47" t="str">
        <f>IFERROR(VLOOKUP(G5941,WholesaleExtract!B:L,11,FALSE),"")</f>
        <v/>
      </c>
      <c r="M5941" s="47" t="str">
        <f>IFERROR(VLOOKUP(G5941,WholesaleExtract!B:M,12,FALSE),"")</f>
        <v/>
      </c>
    </row>
    <row r="5942" spans="1:13" x14ac:dyDescent="0.35">
      <c r="A5942" s="26" t="s">
        <v>543</v>
      </c>
      <c r="B5942" s="26" t="s">
        <v>543</v>
      </c>
      <c r="C5942" s="26"/>
      <c r="D5942" s="26" t="s">
        <v>543</v>
      </c>
      <c r="E5942" s="26" t="str">
        <f>IFERROR(VLOOKUP(G5942,WholesaleExtract!B:J,9,FALSE),"")</f>
        <v/>
      </c>
      <c r="F5942" s="26" t="str">
        <f>IFERROR(VLOOKUP(G5942,WholesaleExtract!B:J,6,FALSE),"")</f>
        <v/>
      </c>
      <c r="H5942" s="47" t="str">
        <f>IFERROR(VLOOKUP(G5942,WholesaleExtract!B:L,11,FALSE),"")</f>
        <v/>
      </c>
      <c r="I5942" s="26" t="str">
        <f>IFERROR(VLOOKUP(G5942,WholesaleExtract!B:O,8,FALSE),"")</f>
        <v/>
      </c>
      <c r="J5942" s="26" t="str">
        <f>IFERROR(VLOOKUP(G5942,WholesaleExtract!B:O,14,FALSE),"")</f>
        <v/>
      </c>
      <c r="K5942" s="26" t="str">
        <f>IFERROR(VLOOKUP(G5942,WholesaleExtract!B:K,10,FALSE),"")</f>
        <v/>
      </c>
      <c r="L5942" s="47" t="str">
        <f>IFERROR(VLOOKUP(G5942,WholesaleExtract!B:L,11,FALSE),"")</f>
        <v/>
      </c>
      <c r="M5942" s="47" t="str">
        <f>IFERROR(VLOOKUP(G5942,WholesaleExtract!B:M,12,FALSE),"")</f>
        <v/>
      </c>
    </row>
    <row r="5943" spans="1:13" x14ac:dyDescent="0.35">
      <c r="A5943" s="26" t="s">
        <v>543</v>
      </c>
      <c r="B5943" s="26" t="s">
        <v>543</v>
      </c>
      <c r="C5943" s="26"/>
      <c r="D5943" s="26" t="s">
        <v>543</v>
      </c>
      <c r="E5943" s="26" t="str">
        <f>IFERROR(VLOOKUP(G5943,WholesaleExtract!B:J,9,FALSE),"")</f>
        <v/>
      </c>
      <c r="F5943" s="26" t="str">
        <f>IFERROR(VLOOKUP(G5943,WholesaleExtract!B:J,6,FALSE),"")</f>
        <v/>
      </c>
      <c r="H5943" s="47" t="str">
        <f>IFERROR(VLOOKUP(G5943,WholesaleExtract!B:L,11,FALSE),"")</f>
        <v/>
      </c>
      <c r="I5943" s="26" t="str">
        <f>IFERROR(VLOOKUP(G5943,WholesaleExtract!B:O,8,FALSE),"")</f>
        <v/>
      </c>
      <c r="J5943" s="26" t="str">
        <f>IFERROR(VLOOKUP(G5943,WholesaleExtract!B:O,14,FALSE),"")</f>
        <v/>
      </c>
      <c r="K5943" s="26" t="str">
        <f>IFERROR(VLOOKUP(G5943,WholesaleExtract!B:K,10,FALSE),"")</f>
        <v/>
      </c>
      <c r="L5943" s="47" t="str">
        <f>IFERROR(VLOOKUP(G5943,WholesaleExtract!B:L,11,FALSE),"")</f>
        <v/>
      </c>
      <c r="M5943" s="47" t="str">
        <f>IFERROR(VLOOKUP(G5943,WholesaleExtract!B:M,12,FALSE),"")</f>
        <v/>
      </c>
    </row>
    <row r="5944" spans="1:13" x14ac:dyDescent="0.35">
      <c r="A5944" s="26" t="s">
        <v>543</v>
      </c>
      <c r="B5944" s="26" t="s">
        <v>543</v>
      </c>
      <c r="C5944" s="26"/>
      <c r="D5944" s="26" t="s">
        <v>543</v>
      </c>
      <c r="E5944" s="26" t="str">
        <f>IFERROR(VLOOKUP(G5944,WholesaleExtract!B:J,9,FALSE),"")</f>
        <v/>
      </c>
      <c r="F5944" s="26" t="str">
        <f>IFERROR(VLOOKUP(G5944,WholesaleExtract!B:J,6,FALSE),"")</f>
        <v/>
      </c>
      <c r="H5944" s="47" t="str">
        <f>IFERROR(VLOOKUP(G5944,WholesaleExtract!B:L,11,FALSE),"")</f>
        <v/>
      </c>
      <c r="I5944" s="26" t="str">
        <f>IFERROR(VLOOKUP(G5944,WholesaleExtract!B:O,8,FALSE),"")</f>
        <v/>
      </c>
      <c r="J5944" s="26" t="str">
        <f>IFERROR(VLOOKUP(G5944,WholesaleExtract!B:O,14,FALSE),"")</f>
        <v/>
      </c>
      <c r="K5944" s="26" t="str">
        <f>IFERROR(VLOOKUP(G5944,WholesaleExtract!B:K,10,FALSE),"")</f>
        <v/>
      </c>
      <c r="L5944" s="47" t="str">
        <f>IFERROR(VLOOKUP(G5944,WholesaleExtract!B:L,11,FALSE),"")</f>
        <v/>
      </c>
      <c r="M5944" s="47" t="str">
        <f>IFERROR(VLOOKUP(G5944,WholesaleExtract!B:M,12,FALSE),"")</f>
        <v/>
      </c>
    </row>
    <row r="5945" spans="1:13" x14ac:dyDescent="0.35">
      <c r="A5945" s="26" t="s">
        <v>543</v>
      </c>
      <c r="B5945" s="26" t="s">
        <v>543</v>
      </c>
      <c r="C5945" s="26"/>
      <c r="D5945" s="26" t="s">
        <v>543</v>
      </c>
      <c r="E5945" s="26" t="str">
        <f>IFERROR(VLOOKUP(G5945,WholesaleExtract!B:J,9,FALSE),"")</f>
        <v/>
      </c>
      <c r="F5945" s="26" t="str">
        <f>IFERROR(VLOOKUP(G5945,WholesaleExtract!B:J,6,FALSE),"")</f>
        <v/>
      </c>
      <c r="H5945" s="47" t="str">
        <f>IFERROR(VLOOKUP(G5945,WholesaleExtract!B:L,11,FALSE),"")</f>
        <v/>
      </c>
      <c r="I5945" s="26" t="str">
        <f>IFERROR(VLOOKUP(G5945,WholesaleExtract!B:O,8,FALSE),"")</f>
        <v/>
      </c>
      <c r="J5945" s="26" t="str">
        <f>IFERROR(VLOOKUP(G5945,WholesaleExtract!B:O,14,FALSE),"")</f>
        <v/>
      </c>
      <c r="K5945" s="26" t="str">
        <f>IFERROR(VLOOKUP(G5945,WholesaleExtract!B:K,10,FALSE),"")</f>
        <v/>
      </c>
      <c r="L5945" s="47" t="str">
        <f>IFERROR(VLOOKUP(G5945,WholesaleExtract!B:L,11,FALSE),"")</f>
        <v/>
      </c>
      <c r="M5945" s="47" t="str">
        <f>IFERROR(VLOOKUP(G5945,WholesaleExtract!B:M,12,FALSE),"")</f>
        <v/>
      </c>
    </row>
    <row r="5946" spans="1:13" x14ac:dyDescent="0.35">
      <c r="A5946" s="26" t="s">
        <v>543</v>
      </c>
      <c r="B5946" s="26" t="s">
        <v>543</v>
      </c>
      <c r="C5946" s="26"/>
      <c r="D5946" s="26" t="s">
        <v>543</v>
      </c>
      <c r="E5946" s="26" t="str">
        <f>IFERROR(VLOOKUP(G5946,WholesaleExtract!B:J,9,FALSE),"")</f>
        <v/>
      </c>
      <c r="F5946" s="26" t="str">
        <f>IFERROR(VLOOKUP(G5946,WholesaleExtract!B:J,6,FALSE),"")</f>
        <v/>
      </c>
      <c r="H5946" s="47" t="str">
        <f>IFERROR(VLOOKUP(G5946,WholesaleExtract!B:L,11,FALSE),"")</f>
        <v/>
      </c>
      <c r="I5946" s="26" t="str">
        <f>IFERROR(VLOOKUP(G5946,WholesaleExtract!B:O,8,FALSE),"")</f>
        <v/>
      </c>
      <c r="J5946" s="26" t="str">
        <f>IFERROR(VLOOKUP(G5946,WholesaleExtract!B:O,14,FALSE),"")</f>
        <v/>
      </c>
      <c r="K5946" s="26" t="str">
        <f>IFERROR(VLOOKUP(G5946,WholesaleExtract!B:K,10,FALSE),"")</f>
        <v/>
      </c>
      <c r="L5946" s="47" t="str">
        <f>IFERROR(VLOOKUP(G5946,WholesaleExtract!B:L,11,FALSE),"")</f>
        <v/>
      </c>
      <c r="M5946" s="47" t="str">
        <f>IFERROR(VLOOKUP(G5946,WholesaleExtract!B:M,12,FALSE),"")</f>
        <v/>
      </c>
    </row>
    <row r="5947" spans="1:13" x14ac:dyDescent="0.35">
      <c r="A5947" s="26" t="s">
        <v>543</v>
      </c>
      <c r="B5947" s="26" t="s">
        <v>543</v>
      </c>
      <c r="C5947" s="26"/>
      <c r="D5947" s="26" t="s">
        <v>543</v>
      </c>
      <c r="E5947" s="26" t="str">
        <f>IFERROR(VLOOKUP(G5947,WholesaleExtract!B:J,9,FALSE),"")</f>
        <v/>
      </c>
      <c r="F5947" s="26" t="str">
        <f>IFERROR(VLOOKUP(G5947,WholesaleExtract!B:J,6,FALSE),"")</f>
        <v/>
      </c>
      <c r="H5947" s="47" t="str">
        <f>IFERROR(VLOOKUP(G5947,WholesaleExtract!B:L,11,FALSE),"")</f>
        <v/>
      </c>
      <c r="I5947" s="26" t="str">
        <f>IFERROR(VLOOKUP(G5947,WholesaleExtract!B:O,8,FALSE),"")</f>
        <v/>
      </c>
      <c r="J5947" s="26" t="str">
        <f>IFERROR(VLOOKUP(G5947,WholesaleExtract!B:O,14,FALSE),"")</f>
        <v/>
      </c>
      <c r="K5947" s="26" t="str">
        <f>IFERROR(VLOOKUP(G5947,WholesaleExtract!B:K,10,FALSE),"")</f>
        <v/>
      </c>
      <c r="L5947" s="47" t="str">
        <f>IFERROR(VLOOKUP(G5947,WholesaleExtract!B:L,11,FALSE),"")</f>
        <v/>
      </c>
      <c r="M5947" s="47" t="str">
        <f>IFERROR(VLOOKUP(G5947,WholesaleExtract!B:M,12,FALSE),"")</f>
        <v/>
      </c>
    </row>
    <row r="5948" spans="1:13" x14ac:dyDescent="0.35">
      <c r="A5948" s="26" t="s">
        <v>543</v>
      </c>
      <c r="B5948" s="26" t="s">
        <v>543</v>
      </c>
      <c r="C5948" s="26"/>
      <c r="D5948" s="26" t="s">
        <v>543</v>
      </c>
      <c r="E5948" s="26" t="str">
        <f>IFERROR(VLOOKUP(G5948,WholesaleExtract!B:J,9,FALSE),"")</f>
        <v/>
      </c>
      <c r="F5948" s="26" t="str">
        <f>IFERROR(VLOOKUP(G5948,WholesaleExtract!B:J,6,FALSE),"")</f>
        <v/>
      </c>
      <c r="H5948" s="47" t="str">
        <f>IFERROR(VLOOKUP(G5948,WholesaleExtract!B:L,11,FALSE),"")</f>
        <v/>
      </c>
      <c r="I5948" s="26" t="str">
        <f>IFERROR(VLOOKUP(G5948,WholesaleExtract!B:O,8,FALSE),"")</f>
        <v/>
      </c>
      <c r="J5948" s="26" t="str">
        <f>IFERROR(VLOOKUP(G5948,WholesaleExtract!B:O,14,FALSE),"")</f>
        <v/>
      </c>
      <c r="K5948" s="26" t="str">
        <f>IFERROR(VLOOKUP(G5948,WholesaleExtract!B:K,10,FALSE),"")</f>
        <v/>
      </c>
      <c r="L5948" s="47" t="str">
        <f>IFERROR(VLOOKUP(G5948,WholesaleExtract!B:L,11,FALSE),"")</f>
        <v/>
      </c>
      <c r="M5948" s="47" t="str">
        <f>IFERROR(VLOOKUP(G5948,WholesaleExtract!B:M,12,FALSE),"")</f>
        <v/>
      </c>
    </row>
    <row r="5949" spans="1:13" x14ac:dyDescent="0.35">
      <c r="A5949" s="26" t="s">
        <v>543</v>
      </c>
      <c r="B5949" s="26" t="s">
        <v>543</v>
      </c>
      <c r="C5949" s="26"/>
      <c r="D5949" s="26" t="s">
        <v>543</v>
      </c>
      <c r="E5949" s="26" t="str">
        <f>IFERROR(VLOOKUP(G5949,WholesaleExtract!B:J,9,FALSE),"")</f>
        <v/>
      </c>
      <c r="F5949" s="26" t="str">
        <f>IFERROR(VLOOKUP(G5949,WholesaleExtract!B:J,6,FALSE),"")</f>
        <v/>
      </c>
      <c r="H5949" s="47" t="str">
        <f>IFERROR(VLOOKUP(G5949,WholesaleExtract!B:L,11,FALSE),"")</f>
        <v/>
      </c>
      <c r="I5949" s="26" t="str">
        <f>IFERROR(VLOOKUP(G5949,WholesaleExtract!B:O,8,FALSE),"")</f>
        <v/>
      </c>
      <c r="J5949" s="26" t="str">
        <f>IFERROR(VLOOKUP(G5949,WholesaleExtract!B:O,14,FALSE),"")</f>
        <v/>
      </c>
      <c r="K5949" s="26" t="str">
        <f>IFERROR(VLOOKUP(G5949,WholesaleExtract!B:K,10,FALSE),"")</f>
        <v/>
      </c>
      <c r="L5949" s="47" t="str">
        <f>IFERROR(VLOOKUP(G5949,WholesaleExtract!B:L,11,FALSE),"")</f>
        <v/>
      </c>
      <c r="M5949" s="47" t="str">
        <f>IFERROR(VLOOKUP(G5949,WholesaleExtract!B:M,12,FALSE),"")</f>
        <v/>
      </c>
    </row>
    <row r="5950" spans="1:13" x14ac:dyDescent="0.35">
      <c r="A5950" s="26" t="s">
        <v>543</v>
      </c>
      <c r="B5950" s="26" t="s">
        <v>543</v>
      </c>
      <c r="C5950" s="26"/>
      <c r="D5950" s="26" t="s">
        <v>543</v>
      </c>
      <c r="E5950" s="26" t="str">
        <f>IFERROR(VLOOKUP(G5950,WholesaleExtract!B:J,9,FALSE),"")</f>
        <v/>
      </c>
      <c r="F5950" s="26" t="str">
        <f>IFERROR(VLOOKUP(G5950,WholesaleExtract!B:J,6,FALSE),"")</f>
        <v/>
      </c>
      <c r="H5950" s="47" t="str">
        <f>IFERROR(VLOOKUP(G5950,WholesaleExtract!B:L,11,FALSE),"")</f>
        <v/>
      </c>
      <c r="I5950" s="26" t="str">
        <f>IFERROR(VLOOKUP(G5950,WholesaleExtract!B:O,8,FALSE),"")</f>
        <v/>
      </c>
      <c r="J5950" s="26" t="str">
        <f>IFERROR(VLOOKUP(G5950,WholesaleExtract!B:O,14,FALSE),"")</f>
        <v/>
      </c>
      <c r="K5950" s="26" t="str">
        <f>IFERROR(VLOOKUP(G5950,WholesaleExtract!B:K,10,FALSE),"")</f>
        <v/>
      </c>
      <c r="L5950" s="47" t="str">
        <f>IFERROR(VLOOKUP(G5950,WholesaleExtract!B:L,11,FALSE),"")</f>
        <v/>
      </c>
      <c r="M5950" s="47" t="str">
        <f>IFERROR(VLOOKUP(G5950,WholesaleExtract!B:M,12,FALSE),"")</f>
        <v/>
      </c>
    </row>
    <row r="5951" spans="1:13" x14ac:dyDescent="0.35">
      <c r="A5951" s="26" t="s">
        <v>543</v>
      </c>
      <c r="B5951" s="26" t="s">
        <v>543</v>
      </c>
      <c r="C5951" s="26"/>
      <c r="D5951" s="26" t="s">
        <v>543</v>
      </c>
      <c r="E5951" s="26" t="str">
        <f>IFERROR(VLOOKUP(G5951,WholesaleExtract!B:J,9,FALSE),"")</f>
        <v/>
      </c>
      <c r="F5951" s="26" t="str">
        <f>IFERROR(VLOOKUP(G5951,WholesaleExtract!B:J,6,FALSE),"")</f>
        <v/>
      </c>
      <c r="H5951" s="47" t="str">
        <f>IFERROR(VLOOKUP(G5951,WholesaleExtract!B:L,11,FALSE),"")</f>
        <v/>
      </c>
      <c r="I5951" s="26" t="str">
        <f>IFERROR(VLOOKUP(G5951,WholesaleExtract!B:O,8,FALSE),"")</f>
        <v/>
      </c>
      <c r="J5951" s="26" t="str">
        <f>IFERROR(VLOOKUP(G5951,WholesaleExtract!B:O,14,FALSE),"")</f>
        <v/>
      </c>
      <c r="K5951" s="26" t="str">
        <f>IFERROR(VLOOKUP(G5951,WholesaleExtract!B:K,10,FALSE),"")</f>
        <v/>
      </c>
      <c r="L5951" s="47" t="str">
        <f>IFERROR(VLOOKUP(G5951,WholesaleExtract!B:L,11,FALSE),"")</f>
        <v/>
      </c>
      <c r="M5951" s="47" t="str">
        <f>IFERROR(VLOOKUP(G5951,WholesaleExtract!B:M,12,FALSE),"")</f>
        <v/>
      </c>
    </row>
    <row r="5952" spans="1:13" x14ac:dyDescent="0.35">
      <c r="A5952" s="26" t="s">
        <v>543</v>
      </c>
      <c r="B5952" s="26" t="s">
        <v>543</v>
      </c>
      <c r="C5952" s="26"/>
      <c r="D5952" s="26" t="s">
        <v>543</v>
      </c>
      <c r="E5952" s="26" t="str">
        <f>IFERROR(VLOOKUP(G5952,WholesaleExtract!B:J,9,FALSE),"")</f>
        <v/>
      </c>
      <c r="F5952" s="26" t="str">
        <f>IFERROR(VLOOKUP(G5952,WholesaleExtract!B:J,6,FALSE),"")</f>
        <v/>
      </c>
      <c r="H5952" s="47" t="str">
        <f>IFERROR(VLOOKUP(G5952,WholesaleExtract!B:L,11,FALSE),"")</f>
        <v/>
      </c>
      <c r="I5952" s="26" t="str">
        <f>IFERROR(VLOOKUP(G5952,WholesaleExtract!B:O,8,FALSE),"")</f>
        <v/>
      </c>
      <c r="J5952" s="26" t="str">
        <f>IFERROR(VLOOKUP(G5952,WholesaleExtract!B:O,14,FALSE),"")</f>
        <v/>
      </c>
      <c r="K5952" s="26" t="str">
        <f>IFERROR(VLOOKUP(G5952,WholesaleExtract!B:K,10,FALSE),"")</f>
        <v/>
      </c>
      <c r="L5952" s="47" t="str">
        <f>IFERROR(VLOOKUP(G5952,WholesaleExtract!B:L,11,FALSE),"")</f>
        <v/>
      </c>
      <c r="M5952" s="47" t="str">
        <f>IFERROR(VLOOKUP(G5952,WholesaleExtract!B:M,12,FALSE),"")</f>
        <v/>
      </c>
    </row>
    <row r="5953" spans="1:13" x14ac:dyDescent="0.35">
      <c r="A5953" s="26" t="s">
        <v>543</v>
      </c>
      <c r="B5953" s="26" t="s">
        <v>543</v>
      </c>
      <c r="C5953" s="26"/>
      <c r="D5953" s="26" t="s">
        <v>543</v>
      </c>
      <c r="E5953" s="26" t="str">
        <f>IFERROR(VLOOKUP(G5953,WholesaleExtract!B:J,9,FALSE),"")</f>
        <v/>
      </c>
      <c r="F5953" s="26" t="str">
        <f>IFERROR(VLOOKUP(G5953,WholesaleExtract!B:J,6,FALSE),"")</f>
        <v/>
      </c>
      <c r="H5953" s="47" t="str">
        <f>IFERROR(VLOOKUP(G5953,WholesaleExtract!B:L,11,FALSE),"")</f>
        <v/>
      </c>
      <c r="I5953" s="26" t="str">
        <f>IFERROR(VLOOKUP(G5953,WholesaleExtract!B:O,8,FALSE),"")</f>
        <v/>
      </c>
      <c r="J5953" s="26" t="str">
        <f>IFERROR(VLOOKUP(G5953,WholesaleExtract!B:O,14,FALSE),"")</f>
        <v/>
      </c>
      <c r="K5953" s="26" t="str">
        <f>IFERROR(VLOOKUP(G5953,WholesaleExtract!B:K,10,FALSE),"")</f>
        <v/>
      </c>
      <c r="L5953" s="47" t="str">
        <f>IFERROR(VLOOKUP(G5953,WholesaleExtract!B:L,11,FALSE),"")</f>
        <v/>
      </c>
      <c r="M5953" s="47" t="str">
        <f>IFERROR(VLOOKUP(G5953,WholesaleExtract!B:M,12,FALSE),"")</f>
        <v/>
      </c>
    </row>
    <row r="5954" spans="1:13" x14ac:dyDescent="0.35">
      <c r="A5954" s="26" t="s">
        <v>543</v>
      </c>
      <c r="B5954" s="26" t="s">
        <v>543</v>
      </c>
      <c r="C5954" s="26"/>
      <c r="D5954" s="26" t="s">
        <v>543</v>
      </c>
      <c r="E5954" s="26" t="str">
        <f>IFERROR(VLOOKUP(G5954,WholesaleExtract!B:J,9,FALSE),"")</f>
        <v/>
      </c>
      <c r="F5954" s="26" t="str">
        <f>IFERROR(VLOOKUP(G5954,WholesaleExtract!B:J,6,FALSE),"")</f>
        <v/>
      </c>
      <c r="H5954" s="47" t="str">
        <f>IFERROR(VLOOKUP(G5954,WholesaleExtract!B:L,11,FALSE),"")</f>
        <v/>
      </c>
      <c r="I5954" s="26" t="str">
        <f>IFERROR(VLOOKUP(G5954,WholesaleExtract!B:O,8,FALSE),"")</f>
        <v/>
      </c>
      <c r="J5954" s="26" t="str">
        <f>IFERROR(VLOOKUP(G5954,WholesaleExtract!B:O,14,FALSE),"")</f>
        <v/>
      </c>
      <c r="K5954" s="26" t="str">
        <f>IFERROR(VLOOKUP(G5954,WholesaleExtract!B:K,10,FALSE),"")</f>
        <v/>
      </c>
      <c r="L5954" s="47" t="str">
        <f>IFERROR(VLOOKUP(G5954,WholesaleExtract!B:L,11,FALSE),"")</f>
        <v/>
      </c>
      <c r="M5954" s="47" t="str">
        <f>IFERROR(VLOOKUP(G5954,WholesaleExtract!B:M,12,FALSE),"")</f>
        <v/>
      </c>
    </row>
    <row r="5955" spans="1:13" x14ac:dyDescent="0.35">
      <c r="A5955" s="26" t="s">
        <v>543</v>
      </c>
      <c r="B5955" s="26" t="s">
        <v>543</v>
      </c>
      <c r="C5955" s="26"/>
      <c r="D5955" s="26" t="s">
        <v>543</v>
      </c>
      <c r="E5955" s="26" t="str">
        <f>IFERROR(VLOOKUP(G5955,WholesaleExtract!B:J,9,FALSE),"")</f>
        <v/>
      </c>
      <c r="F5955" s="26" t="str">
        <f>IFERROR(VLOOKUP(G5955,WholesaleExtract!B:J,6,FALSE),"")</f>
        <v/>
      </c>
      <c r="H5955" s="47" t="str">
        <f>IFERROR(VLOOKUP(G5955,WholesaleExtract!B:L,11,FALSE),"")</f>
        <v/>
      </c>
      <c r="I5955" s="26" t="str">
        <f>IFERROR(VLOOKUP(G5955,WholesaleExtract!B:O,8,FALSE),"")</f>
        <v/>
      </c>
      <c r="J5955" s="26" t="str">
        <f>IFERROR(VLOOKUP(G5955,WholesaleExtract!B:O,14,FALSE),"")</f>
        <v/>
      </c>
      <c r="K5955" s="26" t="str">
        <f>IFERROR(VLOOKUP(G5955,WholesaleExtract!B:K,10,FALSE),"")</f>
        <v/>
      </c>
      <c r="L5955" s="47" t="str">
        <f>IFERROR(VLOOKUP(G5955,WholesaleExtract!B:L,11,FALSE),"")</f>
        <v/>
      </c>
      <c r="M5955" s="47" t="str">
        <f>IFERROR(VLOOKUP(G5955,WholesaleExtract!B:M,12,FALSE),"")</f>
        <v/>
      </c>
    </row>
    <row r="5956" spans="1:13" x14ac:dyDescent="0.35">
      <c r="A5956" s="26" t="s">
        <v>543</v>
      </c>
      <c r="B5956" s="26" t="s">
        <v>543</v>
      </c>
      <c r="C5956" s="26"/>
      <c r="D5956" s="26" t="s">
        <v>543</v>
      </c>
      <c r="E5956" s="26" t="str">
        <f>IFERROR(VLOOKUP(G5956,WholesaleExtract!B:J,9,FALSE),"")</f>
        <v/>
      </c>
      <c r="F5956" s="26" t="str">
        <f>IFERROR(VLOOKUP(G5956,WholesaleExtract!B:J,6,FALSE),"")</f>
        <v/>
      </c>
      <c r="H5956" s="47" t="str">
        <f>IFERROR(VLOOKUP(G5956,WholesaleExtract!B:L,11,FALSE),"")</f>
        <v/>
      </c>
      <c r="I5956" s="26" t="str">
        <f>IFERROR(VLOOKUP(G5956,WholesaleExtract!B:O,8,FALSE),"")</f>
        <v/>
      </c>
      <c r="J5956" s="26" t="str">
        <f>IFERROR(VLOOKUP(G5956,WholesaleExtract!B:O,14,FALSE),"")</f>
        <v/>
      </c>
      <c r="K5956" s="26" t="str">
        <f>IFERROR(VLOOKUP(G5956,WholesaleExtract!B:K,10,FALSE),"")</f>
        <v/>
      </c>
      <c r="L5956" s="47" t="str">
        <f>IFERROR(VLOOKUP(G5956,WholesaleExtract!B:L,11,FALSE),"")</f>
        <v/>
      </c>
      <c r="M5956" s="47" t="str">
        <f>IFERROR(VLOOKUP(G5956,WholesaleExtract!B:M,12,FALSE),"")</f>
        <v/>
      </c>
    </row>
    <row r="5957" spans="1:13" x14ac:dyDescent="0.35">
      <c r="A5957" s="26" t="s">
        <v>543</v>
      </c>
      <c r="B5957" s="26" t="s">
        <v>543</v>
      </c>
      <c r="C5957" s="26"/>
      <c r="D5957" s="26" t="s">
        <v>543</v>
      </c>
      <c r="E5957" s="26" t="str">
        <f>IFERROR(VLOOKUP(G5957,WholesaleExtract!B:J,9,FALSE),"")</f>
        <v/>
      </c>
      <c r="F5957" s="26" t="str">
        <f>IFERROR(VLOOKUP(G5957,WholesaleExtract!B:J,6,FALSE),"")</f>
        <v/>
      </c>
      <c r="H5957" s="47" t="str">
        <f>IFERROR(VLOOKUP(G5957,WholesaleExtract!B:L,11,FALSE),"")</f>
        <v/>
      </c>
      <c r="I5957" s="26" t="str">
        <f>IFERROR(VLOOKUP(G5957,WholesaleExtract!B:O,8,FALSE),"")</f>
        <v/>
      </c>
      <c r="J5957" s="26" t="str">
        <f>IFERROR(VLOOKUP(G5957,WholesaleExtract!B:O,14,FALSE),"")</f>
        <v/>
      </c>
      <c r="K5957" s="26" t="str">
        <f>IFERROR(VLOOKUP(G5957,WholesaleExtract!B:K,10,FALSE),"")</f>
        <v/>
      </c>
      <c r="L5957" s="47" t="str">
        <f>IFERROR(VLOOKUP(G5957,WholesaleExtract!B:L,11,FALSE),"")</f>
        <v/>
      </c>
      <c r="M5957" s="47" t="str">
        <f>IFERROR(VLOOKUP(G5957,WholesaleExtract!B:M,12,FALSE),"")</f>
        <v/>
      </c>
    </row>
    <row r="5958" spans="1:13" x14ac:dyDescent="0.35">
      <c r="A5958" s="26" t="s">
        <v>543</v>
      </c>
      <c r="B5958" s="26" t="s">
        <v>543</v>
      </c>
      <c r="C5958" s="26"/>
      <c r="D5958" s="26" t="s">
        <v>543</v>
      </c>
      <c r="E5958" s="26" t="str">
        <f>IFERROR(VLOOKUP(G5958,WholesaleExtract!B:J,9,FALSE),"")</f>
        <v/>
      </c>
      <c r="F5958" s="26" t="str">
        <f>IFERROR(VLOOKUP(G5958,WholesaleExtract!B:J,6,FALSE),"")</f>
        <v/>
      </c>
      <c r="H5958" s="47" t="str">
        <f>IFERROR(VLOOKUP(G5958,WholesaleExtract!B:L,11,FALSE),"")</f>
        <v/>
      </c>
      <c r="I5958" s="26" t="str">
        <f>IFERROR(VLOOKUP(G5958,WholesaleExtract!B:O,8,FALSE),"")</f>
        <v/>
      </c>
      <c r="J5958" s="26" t="str">
        <f>IFERROR(VLOOKUP(G5958,WholesaleExtract!B:O,14,FALSE),"")</f>
        <v/>
      </c>
      <c r="K5958" s="26" t="str">
        <f>IFERROR(VLOOKUP(G5958,WholesaleExtract!B:K,10,FALSE),"")</f>
        <v/>
      </c>
      <c r="L5958" s="47" t="str">
        <f>IFERROR(VLOOKUP(G5958,WholesaleExtract!B:L,11,FALSE),"")</f>
        <v/>
      </c>
      <c r="M5958" s="47" t="str">
        <f>IFERROR(VLOOKUP(G5958,WholesaleExtract!B:M,12,FALSE),"")</f>
        <v/>
      </c>
    </row>
    <row r="5959" spans="1:13" x14ac:dyDescent="0.35">
      <c r="A5959" s="26" t="s">
        <v>543</v>
      </c>
      <c r="B5959" s="26" t="s">
        <v>543</v>
      </c>
      <c r="C5959" s="26"/>
      <c r="D5959" s="26" t="s">
        <v>543</v>
      </c>
      <c r="E5959" s="26" t="str">
        <f>IFERROR(VLOOKUP(G5959,WholesaleExtract!B:J,9,FALSE),"")</f>
        <v/>
      </c>
      <c r="F5959" s="26" t="str">
        <f>IFERROR(VLOOKUP(G5959,WholesaleExtract!B:J,6,FALSE),"")</f>
        <v/>
      </c>
      <c r="H5959" s="47" t="str">
        <f>IFERROR(VLOOKUP(G5959,WholesaleExtract!B:L,11,FALSE),"")</f>
        <v/>
      </c>
      <c r="I5959" s="26" t="str">
        <f>IFERROR(VLOOKUP(G5959,WholesaleExtract!B:O,8,FALSE),"")</f>
        <v/>
      </c>
      <c r="J5959" s="26" t="str">
        <f>IFERROR(VLOOKUP(G5959,WholesaleExtract!B:O,14,FALSE),"")</f>
        <v/>
      </c>
      <c r="K5959" s="26" t="str">
        <f>IFERROR(VLOOKUP(G5959,WholesaleExtract!B:K,10,FALSE),"")</f>
        <v/>
      </c>
      <c r="L5959" s="47" t="str">
        <f>IFERROR(VLOOKUP(G5959,WholesaleExtract!B:L,11,FALSE),"")</f>
        <v/>
      </c>
      <c r="M5959" s="47" t="str">
        <f>IFERROR(VLOOKUP(G5959,WholesaleExtract!B:M,12,FALSE),"")</f>
        <v/>
      </c>
    </row>
    <row r="5960" spans="1:13" x14ac:dyDescent="0.35">
      <c r="A5960" s="26" t="s">
        <v>543</v>
      </c>
      <c r="B5960" s="26" t="s">
        <v>543</v>
      </c>
      <c r="C5960" s="26"/>
      <c r="D5960" s="26" t="s">
        <v>543</v>
      </c>
      <c r="E5960" s="26" t="str">
        <f>IFERROR(VLOOKUP(G5960,WholesaleExtract!B:J,9,FALSE),"")</f>
        <v/>
      </c>
      <c r="F5960" s="26" t="str">
        <f>IFERROR(VLOOKUP(G5960,WholesaleExtract!B:J,6,FALSE),"")</f>
        <v/>
      </c>
      <c r="H5960" s="47" t="str">
        <f>IFERROR(VLOOKUP(G5960,WholesaleExtract!B:L,11,FALSE),"")</f>
        <v/>
      </c>
      <c r="I5960" s="26" t="str">
        <f>IFERROR(VLOOKUP(G5960,WholesaleExtract!B:O,8,FALSE),"")</f>
        <v/>
      </c>
      <c r="J5960" s="26" t="str">
        <f>IFERROR(VLOOKUP(G5960,WholesaleExtract!B:O,14,FALSE),"")</f>
        <v/>
      </c>
      <c r="K5960" s="26" t="str">
        <f>IFERROR(VLOOKUP(G5960,WholesaleExtract!B:K,10,FALSE),"")</f>
        <v/>
      </c>
      <c r="L5960" s="47" t="str">
        <f>IFERROR(VLOOKUP(G5960,WholesaleExtract!B:L,11,FALSE),"")</f>
        <v/>
      </c>
      <c r="M5960" s="47" t="str">
        <f>IFERROR(VLOOKUP(G5960,WholesaleExtract!B:M,12,FALSE),"")</f>
        <v/>
      </c>
    </row>
    <row r="5961" spans="1:13" x14ac:dyDescent="0.35">
      <c r="A5961" s="26" t="s">
        <v>543</v>
      </c>
      <c r="B5961" s="26" t="s">
        <v>543</v>
      </c>
      <c r="C5961" s="26"/>
      <c r="D5961" s="26" t="s">
        <v>543</v>
      </c>
      <c r="E5961" s="26" t="str">
        <f>IFERROR(VLOOKUP(G5961,WholesaleExtract!B:J,9,FALSE),"")</f>
        <v/>
      </c>
      <c r="F5961" s="26" t="str">
        <f>IFERROR(VLOOKUP(G5961,WholesaleExtract!B:J,6,FALSE),"")</f>
        <v/>
      </c>
      <c r="H5961" s="47" t="str">
        <f>IFERROR(VLOOKUP(G5961,WholesaleExtract!B:L,11,FALSE),"")</f>
        <v/>
      </c>
      <c r="I5961" s="26" t="str">
        <f>IFERROR(VLOOKUP(G5961,WholesaleExtract!B:O,8,FALSE),"")</f>
        <v/>
      </c>
      <c r="J5961" s="26" t="str">
        <f>IFERROR(VLOOKUP(G5961,WholesaleExtract!B:O,14,FALSE),"")</f>
        <v/>
      </c>
      <c r="K5961" s="26" t="str">
        <f>IFERROR(VLOOKUP(G5961,WholesaleExtract!B:K,10,FALSE),"")</f>
        <v/>
      </c>
      <c r="L5961" s="47" t="str">
        <f>IFERROR(VLOOKUP(G5961,WholesaleExtract!B:L,11,FALSE),"")</f>
        <v/>
      </c>
      <c r="M5961" s="47" t="str">
        <f>IFERROR(VLOOKUP(G5961,WholesaleExtract!B:M,12,FALSE),"")</f>
        <v/>
      </c>
    </row>
    <row r="5962" spans="1:13" x14ac:dyDescent="0.35">
      <c r="A5962" s="26" t="s">
        <v>543</v>
      </c>
      <c r="B5962" s="26" t="s">
        <v>543</v>
      </c>
      <c r="C5962" s="26"/>
      <c r="D5962" s="26" t="s">
        <v>543</v>
      </c>
      <c r="E5962" s="26" t="str">
        <f>IFERROR(VLOOKUP(G5962,WholesaleExtract!B:J,9,FALSE),"")</f>
        <v/>
      </c>
      <c r="F5962" s="26" t="str">
        <f>IFERROR(VLOOKUP(G5962,WholesaleExtract!B:J,6,FALSE),"")</f>
        <v/>
      </c>
      <c r="H5962" s="47" t="str">
        <f>IFERROR(VLOOKUP(G5962,WholesaleExtract!B:L,11,FALSE),"")</f>
        <v/>
      </c>
      <c r="I5962" s="26" t="str">
        <f>IFERROR(VLOOKUP(G5962,WholesaleExtract!B:O,8,FALSE),"")</f>
        <v/>
      </c>
      <c r="J5962" s="26" t="str">
        <f>IFERROR(VLOOKUP(G5962,WholesaleExtract!B:O,14,FALSE),"")</f>
        <v/>
      </c>
      <c r="K5962" s="26" t="str">
        <f>IFERROR(VLOOKUP(G5962,WholesaleExtract!B:K,10,FALSE),"")</f>
        <v/>
      </c>
      <c r="L5962" s="47" t="str">
        <f>IFERROR(VLOOKUP(G5962,WholesaleExtract!B:L,11,FALSE),"")</f>
        <v/>
      </c>
      <c r="M5962" s="47" t="str">
        <f>IFERROR(VLOOKUP(G5962,WholesaleExtract!B:M,12,FALSE),"")</f>
        <v/>
      </c>
    </row>
    <row r="5963" spans="1:13" x14ac:dyDescent="0.35">
      <c r="A5963" s="26" t="s">
        <v>543</v>
      </c>
      <c r="B5963" s="26" t="s">
        <v>543</v>
      </c>
      <c r="C5963" s="26"/>
      <c r="D5963" s="26" t="s">
        <v>543</v>
      </c>
      <c r="E5963" s="26" t="str">
        <f>IFERROR(VLOOKUP(G5963,WholesaleExtract!B:J,9,FALSE),"")</f>
        <v/>
      </c>
      <c r="F5963" s="26" t="str">
        <f>IFERROR(VLOOKUP(G5963,WholesaleExtract!B:J,6,FALSE),"")</f>
        <v/>
      </c>
      <c r="H5963" s="47" t="str">
        <f>IFERROR(VLOOKUP(G5963,WholesaleExtract!B:L,11,FALSE),"")</f>
        <v/>
      </c>
      <c r="I5963" s="26" t="str">
        <f>IFERROR(VLOOKUP(G5963,WholesaleExtract!B:O,8,FALSE),"")</f>
        <v/>
      </c>
      <c r="J5963" s="26" t="str">
        <f>IFERROR(VLOOKUP(G5963,WholesaleExtract!B:O,14,FALSE),"")</f>
        <v/>
      </c>
      <c r="K5963" s="26" t="str">
        <f>IFERROR(VLOOKUP(G5963,WholesaleExtract!B:K,10,FALSE),"")</f>
        <v/>
      </c>
      <c r="L5963" s="47" t="str">
        <f>IFERROR(VLOOKUP(G5963,WholesaleExtract!B:L,11,FALSE),"")</f>
        <v/>
      </c>
      <c r="M5963" s="47" t="str">
        <f>IFERROR(VLOOKUP(G5963,WholesaleExtract!B:M,12,FALSE),"")</f>
        <v/>
      </c>
    </row>
    <row r="5964" spans="1:13" x14ac:dyDescent="0.35">
      <c r="A5964" s="26" t="s">
        <v>543</v>
      </c>
      <c r="B5964" s="26" t="s">
        <v>543</v>
      </c>
      <c r="C5964" s="26"/>
      <c r="D5964" s="26" t="s">
        <v>543</v>
      </c>
      <c r="E5964" s="26" t="str">
        <f>IFERROR(VLOOKUP(G5964,WholesaleExtract!B:J,9,FALSE),"")</f>
        <v/>
      </c>
      <c r="F5964" s="26" t="str">
        <f>IFERROR(VLOOKUP(G5964,WholesaleExtract!B:J,6,FALSE),"")</f>
        <v/>
      </c>
      <c r="H5964" s="47" t="str">
        <f>IFERROR(VLOOKUP(G5964,WholesaleExtract!B:L,11,FALSE),"")</f>
        <v/>
      </c>
      <c r="I5964" s="26" t="str">
        <f>IFERROR(VLOOKUP(G5964,WholesaleExtract!B:O,8,FALSE),"")</f>
        <v/>
      </c>
      <c r="J5964" s="26" t="str">
        <f>IFERROR(VLOOKUP(G5964,WholesaleExtract!B:O,14,FALSE),"")</f>
        <v/>
      </c>
      <c r="K5964" s="26" t="str">
        <f>IFERROR(VLOOKUP(G5964,WholesaleExtract!B:K,10,FALSE),"")</f>
        <v/>
      </c>
      <c r="L5964" s="47" t="str">
        <f>IFERROR(VLOOKUP(G5964,WholesaleExtract!B:L,11,FALSE),"")</f>
        <v/>
      </c>
      <c r="M5964" s="47" t="str">
        <f>IFERROR(VLOOKUP(G5964,WholesaleExtract!B:M,12,FALSE),"")</f>
        <v/>
      </c>
    </row>
    <row r="5965" spans="1:13" x14ac:dyDescent="0.35">
      <c r="A5965" s="26" t="s">
        <v>543</v>
      </c>
      <c r="B5965" s="26" t="s">
        <v>543</v>
      </c>
      <c r="C5965" s="26"/>
      <c r="D5965" s="26" t="s">
        <v>543</v>
      </c>
      <c r="E5965" s="26" t="str">
        <f>IFERROR(VLOOKUP(G5965,WholesaleExtract!B:J,9,FALSE),"")</f>
        <v/>
      </c>
      <c r="F5965" s="26" t="str">
        <f>IFERROR(VLOOKUP(G5965,WholesaleExtract!B:J,6,FALSE),"")</f>
        <v/>
      </c>
      <c r="H5965" s="47" t="str">
        <f>IFERROR(VLOOKUP(G5965,WholesaleExtract!B:L,11,FALSE),"")</f>
        <v/>
      </c>
      <c r="I5965" s="26" t="str">
        <f>IFERROR(VLOOKUP(G5965,WholesaleExtract!B:O,8,FALSE),"")</f>
        <v/>
      </c>
      <c r="J5965" s="26" t="str">
        <f>IFERROR(VLOOKUP(G5965,WholesaleExtract!B:O,14,FALSE),"")</f>
        <v/>
      </c>
      <c r="K5965" s="26" t="str">
        <f>IFERROR(VLOOKUP(G5965,WholesaleExtract!B:K,10,FALSE),"")</f>
        <v/>
      </c>
      <c r="L5965" s="47" t="str">
        <f>IFERROR(VLOOKUP(G5965,WholesaleExtract!B:L,11,FALSE),"")</f>
        <v/>
      </c>
      <c r="M5965" s="47" t="str">
        <f>IFERROR(VLOOKUP(G5965,WholesaleExtract!B:M,12,FALSE),"")</f>
        <v/>
      </c>
    </row>
    <row r="5966" spans="1:13" x14ac:dyDescent="0.35">
      <c r="A5966" s="26" t="s">
        <v>543</v>
      </c>
      <c r="B5966" s="26" t="s">
        <v>543</v>
      </c>
      <c r="C5966" s="26"/>
      <c r="D5966" s="26" t="s">
        <v>543</v>
      </c>
      <c r="E5966" s="26" t="str">
        <f>IFERROR(VLOOKUP(G5966,WholesaleExtract!B:J,9,FALSE),"")</f>
        <v/>
      </c>
      <c r="F5966" s="26" t="str">
        <f>IFERROR(VLOOKUP(G5966,WholesaleExtract!B:J,6,FALSE),"")</f>
        <v/>
      </c>
      <c r="H5966" s="47" t="str">
        <f>IFERROR(VLOOKUP(G5966,WholesaleExtract!B:L,11,FALSE),"")</f>
        <v/>
      </c>
      <c r="I5966" s="26" t="str">
        <f>IFERROR(VLOOKUP(G5966,WholesaleExtract!B:O,8,FALSE),"")</f>
        <v/>
      </c>
      <c r="J5966" s="26" t="str">
        <f>IFERROR(VLOOKUP(G5966,WholesaleExtract!B:O,14,FALSE),"")</f>
        <v/>
      </c>
      <c r="K5966" s="26" t="str">
        <f>IFERROR(VLOOKUP(G5966,WholesaleExtract!B:K,10,FALSE),"")</f>
        <v/>
      </c>
      <c r="L5966" s="47" t="str">
        <f>IFERROR(VLOOKUP(G5966,WholesaleExtract!B:L,11,FALSE),"")</f>
        <v/>
      </c>
      <c r="M5966" s="47" t="str">
        <f>IFERROR(VLOOKUP(G5966,WholesaleExtract!B:M,12,FALSE),"")</f>
        <v/>
      </c>
    </row>
    <row r="5967" spans="1:13" x14ac:dyDescent="0.35">
      <c r="A5967" s="26" t="s">
        <v>543</v>
      </c>
      <c r="B5967" s="26" t="s">
        <v>543</v>
      </c>
      <c r="C5967" s="26"/>
      <c r="D5967" s="26" t="s">
        <v>543</v>
      </c>
      <c r="E5967" s="26" t="str">
        <f>IFERROR(VLOOKUP(G5967,WholesaleExtract!B:J,9,FALSE),"")</f>
        <v/>
      </c>
      <c r="F5967" s="26" t="str">
        <f>IFERROR(VLOOKUP(G5967,WholesaleExtract!B:J,6,FALSE),"")</f>
        <v/>
      </c>
      <c r="H5967" s="47" t="str">
        <f>IFERROR(VLOOKUP(G5967,WholesaleExtract!B:L,11,FALSE),"")</f>
        <v/>
      </c>
      <c r="I5967" s="26" t="str">
        <f>IFERROR(VLOOKUP(G5967,WholesaleExtract!B:O,8,FALSE),"")</f>
        <v/>
      </c>
      <c r="J5967" s="26" t="str">
        <f>IFERROR(VLOOKUP(G5967,WholesaleExtract!B:O,14,FALSE),"")</f>
        <v/>
      </c>
      <c r="K5967" s="26" t="str">
        <f>IFERROR(VLOOKUP(G5967,WholesaleExtract!B:K,10,FALSE),"")</f>
        <v/>
      </c>
      <c r="L5967" s="47" t="str">
        <f>IFERROR(VLOOKUP(G5967,WholesaleExtract!B:L,11,FALSE),"")</f>
        <v/>
      </c>
      <c r="M5967" s="47" t="str">
        <f>IFERROR(VLOOKUP(G5967,WholesaleExtract!B:M,12,FALSE),"")</f>
        <v/>
      </c>
    </row>
    <row r="5968" spans="1:13" x14ac:dyDescent="0.35">
      <c r="A5968" s="26" t="s">
        <v>543</v>
      </c>
      <c r="B5968" s="26" t="s">
        <v>543</v>
      </c>
      <c r="C5968" s="26"/>
      <c r="D5968" s="26" t="s">
        <v>543</v>
      </c>
      <c r="E5968" s="26" t="str">
        <f>IFERROR(VLOOKUP(G5968,WholesaleExtract!B:J,9,FALSE),"")</f>
        <v/>
      </c>
      <c r="F5968" s="26" t="str">
        <f>IFERROR(VLOOKUP(G5968,WholesaleExtract!B:J,6,FALSE),"")</f>
        <v/>
      </c>
      <c r="H5968" s="47" t="str">
        <f>IFERROR(VLOOKUP(G5968,WholesaleExtract!B:L,11,FALSE),"")</f>
        <v/>
      </c>
      <c r="I5968" s="26" t="str">
        <f>IFERROR(VLOOKUP(G5968,WholesaleExtract!B:O,8,FALSE),"")</f>
        <v/>
      </c>
      <c r="J5968" s="26" t="str">
        <f>IFERROR(VLOOKUP(G5968,WholesaleExtract!B:O,14,FALSE),"")</f>
        <v/>
      </c>
      <c r="K5968" s="26" t="str">
        <f>IFERROR(VLOOKUP(G5968,WholesaleExtract!B:K,10,FALSE),"")</f>
        <v/>
      </c>
      <c r="L5968" s="47" t="str">
        <f>IFERROR(VLOOKUP(G5968,WholesaleExtract!B:L,11,FALSE),"")</f>
        <v/>
      </c>
      <c r="M5968" s="47" t="str">
        <f>IFERROR(VLOOKUP(G5968,WholesaleExtract!B:M,12,FALSE),"")</f>
        <v/>
      </c>
    </row>
    <row r="5969" spans="1:13" x14ac:dyDescent="0.35">
      <c r="A5969" s="26" t="s">
        <v>543</v>
      </c>
      <c r="B5969" s="26" t="s">
        <v>543</v>
      </c>
      <c r="C5969" s="26"/>
      <c r="D5969" s="26" t="s">
        <v>543</v>
      </c>
      <c r="E5969" s="26" t="str">
        <f>IFERROR(VLOOKUP(G5969,WholesaleExtract!B:J,9,FALSE),"")</f>
        <v/>
      </c>
      <c r="F5969" s="26" t="str">
        <f>IFERROR(VLOOKUP(G5969,WholesaleExtract!B:J,6,FALSE),"")</f>
        <v/>
      </c>
      <c r="H5969" s="47" t="str">
        <f>IFERROR(VLOOKUP(G5969,WholesaleExtract!B:L,11,FALSE),"")</f>
        <v/>
      </c>
      <c r="I5969" s="26" t="str">
        <f>IFERROR(VLOOKUP(G5969,WholesaleExtract!B:O,8,FALSE),"")</f>
        <v/>
      </c>
      <c r="J5969" s="26" t="str">
        <f>IFERROR(VLOOKUP(G5969,WholesaleExtract!B:O,14,FALSE),"")</f>
        <v/>
      </c>
      <c r="K5969" s="26" t="str">
        <f>IFERROR(VLOOKUP(G5969,WholesaleExtract!B:K,10,FALSE),"")</f>
        <v/>
      </c>
      <c r="L5969" s="47" t="str">
        <f>IFERROR(VLOOKUP(G5969,WholesaleExtract!B:L,11,FALSE),"")</f>
        <v/>
      </c>
      <c r="M5969" s="47" t="str">
        <f>IFERROR(VLOOKUP(G5969,WholesaleExtract!B:M,12,FALSE),"")</f>
        <v/>
      </c>
    </row>
    <row r="5970" spans="1:13" x14ac:dyDescent="0.35">
      <c r="A5970" s="26" t="s">
        <v>543</v>
      </c>
      <c r="B5970" s="26" t="s">
        <v>543</v>
      </c>
      <c r="C5970" s="26"/>
      <c r="D5970" s="26" t="s">
        <v>543</v>
      </c>
      <c r="E5970" s="26" t="str">
        <f>IFERROR(VLOOKUP(G5970,WholesaleExtract!B:J,9,FALSE),"")</f>
        <v/>
      </c>
      <c r="F5970" s="26" t="str">
        <f>IFERROR(VLOOKUP(G5970,WholesaleExtract!B:J,6,FALSE),"")</f>
        <v/>
      </c>
      <c r="H5970" s="47" t="str">
        <f>IFERROR(VLOOKUP(G5970,WholesaleExtract!B:L,11,FALSE),"")</f>
        <v/>
      </c>
      <c r="I5970" s="26" t="str">
        <f>IFERROR(VLOOKUP(G5970,WholesaleExtract!B:O,8,FALSE),"")</f>
        <v/>
      </c>
      <c r="J5970" s="26" t="str">
        <f>IFERROR(VLOOKUP(G5970,WholesaleExtract!B:O,14,FALSE),"")</f>
        <v/>
      </c>
      <c r="K5970" s="26" t="str">
        <f>IFERROR(VLOOKUP(G5970,WholesaleExtract!B:K,10,FALSE),"")</f>
        <v/>
      </c>
      <c r="L5970" s="47" t="str">
        <f>IFERROR(VLOOKUP(G5970,WholesaleExtract!B:L,11,FALSE),"")</f>
        <v/>
      </c>
      <c r="M5970" s="47" t="str">
        <f>IFERROR(VLOOKUP(G5970,WholesaleExtract!B:M,12,FALSE),"")</f>
        <v/>
      </c>
    </row>
    <row r="5971" spans="1:13" x14ac:dyDescent="0.35">
      <c r="A5971" s="26" t="s">
        <v>543</v>
      </c>
      <c r="B5971" s="26" t="s">
        <v>543</v>
      </c>
      <c r="C5971" s="26"/>
      <c r="D5971" s="26" t="s">
        <v>543</v>
      </c>
      <c r="E5971" s="26" t="str">
        <f>IFERROR(VLOOKUP(G5971,WholesaleExtract!B:J,9,FALSE),"")</f>
        <v/>
      </c>
      <c r="F5971" s="26" t="str">
        <f>IFERROR(VLOOKUP(G5971,WholesaleExtract!B:J,6,FALSE),"")</f>
        <v/>
      </c>
      <c r="H5971" s="47" t="str">
        <f>IFERROR(VLOOKUP(G5971,WholesaleExtract!B:L,11,FALSE),"")</f>
        <v/>
      </c>
      <c r="I5971" s="26" t="str">
        <f>IFERROR(VLOOKUP(G5971,WholesaleExtract!B:O,8,FALSE),"")</f>
        <v/>
      </c>
      <c r="J5971" s="26" t="str">
        <f>IFERROR(VLOOKUP(G5971,WholesaleExtract!B:O,14,FALSE),"")</f>
        <v/>
      </c>
      <c r="K5971" s="26" t="str">
        <f>IFERROR(VLOOKUP(G5971,WholesaleExtract!B:K,10,FALSE),"")</f>
        <v/>
      </c>
      <c r="L5971" s="47" t="str">
        <f>IFERROR(VLOOKUP(G5971,WholesaleExtract!B:L,11,FALSE),"")</f>
        <v/>
      </c>
      <c r="M5971" s="47" t="str">
        <f>IFERROR(VLOOKUP(G5971,WholesaleExtract!B:M,12,FALSE),"")</f>
        <v/>
      </c>
    </row>
    <row r="5972" spans="1:13" x14ac:dyDescent="0.35">
      <c r="A5972" s="26" t="s">
        <v>543</v>
      </c>
      <c r="B5972" s="26" t="s">
        <v>543</v>
      </c>
      <c r="C5972" s="26"/>
      <c r="D5972" s="26" t="s">
        <v>543</v>
      </c>
      <c r="E5972" s="26" t="str">
        <f>IFERROR(VLOOKUP(G5972,WholesaleExtract!B:J,9,FALSE),"")</f>
        <v/>
      </c>
      <c r="F5972" s="26" t="str">
        <f>IFERROR(VLOOKUP(G5972,WholesaleExtract!B:J,6,FALSE),"")</f>
        <v/>
      </c>
      <c r="H5972" s="47" t="str">
        <f>IFERROR(VLOOKUP(G5972,WholesaleExtract!B:L,11,FALSE),"")</f>
        <v/>
      </c>
      <c r="I5972" s="26" t="str">
        <f>IFERROR(VLOOKUP(G5972,WholesaleExtract!B:O,8,FALSE),"")</f>
        <v/>
      </c>
      <c r="J5972" s="26" t="str">
        <f>IFERROR(VLOOKUP(G5972,WholesaleExtract!B:O,14,FALSE),"")</f>
        <v/>
      </c>
      <c r="K5972" s="26" t="str">
        <f>IFERROR(VLOOKUP(G5972,WholesaleExtract!B:K,10,FALSE),"")</f>
        <v/>
      </c>
      <c r="L5972" s="47" t="str">
        <f>IFERROR(VLOOKUP(G5972,WholesaleExtract!B:L,11,FALSE),"")</f>
        <v/>
      </c>
      <c r="M5972" s="47" t="str">
        <f>IFERROR(VLOOKUP(G5972,WholesaleExtract!B:M,12,FALSE),"")</f>
        <v/>
      </c>
    </row>
    <row r="5973" spans="1:13" x14ac:dyDescent="0.35">
      <c r="A5973" s="26" t="s">
        <v>543</v>
      </c>
      <c r="B5973" s="26" t="s">
        <v>543</v>
      </c>
      <c r="C5973" s="26"/>
      <c r="D5973" s="26" t="s">
        <v>543</v>
      </c>
      <c r="E5973" s="26" t="str">
        <f>IFERROR(VLOOKUP(G5973,WholesaleExtract!B:J,9,FALSE),"")</f>
        <v/>
      </c>
      <c r="F5973" s="26" t="str">
        <f>IFERROR(VLOOKUP(G5973,WholesaleExtract!B:J,6,FALSE),"")</f>
        <v/>
      </c>
      <c r="H5973" s="47" t="str">
        <f>IFERROR(VLOOKUP(G5973,WholesaleExtract!B:L,11,FALSE),"")</f>
        <v/>
      </c>
      <c r="I5973" s="26" t="str">
        <f>IFERROR(VLOOKUP(G5973,WholesaleExtract!B:O,8,FALSE),"")</f>
        <v/>
      </c>
      <c r="J5973" s="26" t="str">
        <f>IFERROR(VLOOKUP(G5973,WholesaleExtract!B:O,14,FALSE),"")</f>
        <v/>
      </c>
      <c r="K5973" s="26" t="str">
        <f>IFERROR(VLOOKUP(G5973,WholesaleExtract!B:K,10,FALSE),"")</f>
        <v/>
      </c>
      <c r="L5973" s="47" t="str">
        <f>IFERROR(VLOOKUP(G5973,WholesaleExtract!B:L,11,FALSE),"")</f>
        <v/>
      </c>
      <c r="M5973" s="47" t="str">
        <f>IFERROR(VLOOKUP(G5973,WholesaleExtract!B:M,12,FALSE),"")</f>
        <v/>
      </c>
    </row>
    <row r="5974" spans="1:13" x14ac:dyDescent="0.35">
      <c r="A5974" s="26" t="s">
        <v>543</v>
      </c>
      <c r="B5974" s="26" t="s">
        <v>543</v>
      </c>
      <c r="C5974" s="26"/>
      <c r="D5974" s="26" t="s">
        <v>543</v>
      </c>
      <c r="E5974" s="26" t="str">
        <f>IFERROR(VLOOKUP(G5974,WholesaleExtract!B:J,9,FALSE),"")</f>
        <v/>
      </c>
      <c r="F5974" s="26" t="str">
        <f>IFERROR(VLOOKUP(G5974,WholesaleExtract!B:J,6,FALSE),"")</f>
        <v/>
      </c>
      <c r="H5974" s="47" t="str">
        <f>IFERROR(VLOOKUP(G5974,WholesaleExtract!B:L,11,FALSE),"")</f>
        <v/>
      </c>
      <c r="I5974" s="26" t="str">
        <f>IFERROR(VLOOKUP(G5974,WholesaleExtract!B:O,8,FALSE),"")</f>
        <v/>
      </c>
      <c r="J5974" s="26" t="str">
        <f>IFERROR(VLOOKUP(G5974,WholesaleExtract!B:O,14,FALSE),"")</f>
        <v/>
      </c>
      <c r="K5974" s="26" t="str">
        <f>IFERROR(VLOOKUP(G5974,WholesaleExtract!B:K,10,FALSE),"")</f>
        <v/>
      </c>
      <c r="L5974" s="47" t="str">
        <f>IFERROR(VLOOKUP(G5974,WholesaleExtract!B:L,11,FALSE),"")</f>
        <v/>
      </c>
      <c r="M5974" s="47" t="str">
        <f>IFERROR(VLOOKUP(G5974,WholesaleExtract!B:M,12,FALSE),"")</f>
        <v/>
      </c>
    </row>
    <row r="5975" spans="1:13" x14ac:dyDescent="0.35">
      <c r="A5975" s="26" t="s">
        <v>543</v>
      </c>
      <c r="B5975" s="26" t="s">
        <v>543</v>
      </c>
      <c r="C5975" s="26"/>
      <c r="D5975" s="26" t="s">
        <v>543</v>
      </c>
      <c r="E5975" s="26" t="str">
        <f>IFERROR(VLOOKUP(G5975,WholesaleExtract!B:J,9,FALSE),"")</f>
        <v/>
      </c>
      <c r="F5975" s="26" t="str">
        <f>IFERROR(VLOOKUP(G5975,WholesaleExtract!B:J,6,FALSE),"")</f>
        <v/>
      </c>
      <c r="H5975" s="47" t="str">
        <f>IFERROR(VLOOKUP(G5975,WholesaleExtract!B:L,11,FALSE),"")</f>
        <v/>
      </c>
      <c r="I5975" s="26" t="str">
        <f>IFERROR(VLOOKUP(G5975,WholesaleExtract!B:O,8,FALSE),"")</f>
        <v/>
      </c>
      <c r="J5975" s="26" t="str">
        <f>IFERROR(VLOOKUP(G5975,WholesaleExtract!B:O,14,FALSE),"")</f>
        <v/>
      </c>
      <c r="K5975" s="26" t="str">
        <f>IFERROR(VLOOKUP(G5975,WholesaleExtract!B:K,10,FALSE),"")</f>
        <v/>
      </c>
      <c r="L5975" s="47" t="str">
        <f>IFERROR(VLOOKUP(G5975,WholesaleExtract!B:L,11,FALSE),"")</f>
        <v/>
      </c>
      <c r="M5975" s="47" t="str">
        <f>IFERROR(VLOOKUP(G5975,WholesaleExtract!B:M,12,FALSE),"")</f>
        <v/>
      </c>
    </row>
    <row r="5976" spans="1:13" x14ac:dyDescent="0.35">
      <c r="A5976" s="26" t="s">
        <v>543</v>
      </c>
      <c r="B5976" s="26" t="s">
        <v>543</v>
      </c>
      <c r="C5976" s="26"/>
      <c r="D5976" s="26" t="s">
        <v>543</v>
      </c>
      <c r="E5976" s="26" t="str">
        <f>IFERROR(VLOOKUP(G5976,WholesaleExtract!B:J,9,FALSE),"")</f>
        <v/>
      </c>
      <c r="F5976" s="26" t="str">
        <f>IFERROR(VLOOKUP(G5976,WholesaleExtract!B:J,6,FALSE),"")</f>
        <v/>
      </c>
      <c r="H5976" s="47" t="str">
        <f>IFERROR(VLOOKUP(G5976,WholesaleExtract!B:L,11,FALSE),"")</f>
        <v/>
      </c>
      <c r="I5976" s="26" t="str">
        <f>IFERROR(VLOOKUP(G5976,WholesaleExtract!B:O,8,FALSE),"")</f>
        <v/>
      </c>
      <c r="J5976" s="26" t="str">
        <f>IFERROR(VLOOKUP(G5976,WholesaleExtract!B:O,14,FALSE),"")</f>
        <v/>
      </c>
      <c r="K5976" s="26" t="str">
        <f>IFERROR(VLOOKUP(G5976,WholesaleExtract!B:K,10,FALSE),"")</f>
        <v/>
      </c>
      <c r="L5976" s="47" t="str">
        <f>IFERROR(VLOOKUP(G5976,WholesaleExtract!B:L,11,FALSE),"")</f>
        <v/>
      </c>
      <c r="M5976" s="47" t="str">
        <f>IFERROR(VLOOKUP(G5976,WholesaleExtract!B:M,12,FALSE),"")</f>
        <v/>
      </c>
    </row>
    <row r="5977" spans="1:13" x14ac:dyDescent="0.35">
      <c r="A5977" s="26" t="s">
        <v>543</v>
      </c>
      <c r="B5977" s="26" t="s">
        <v>543</v>
      </c>
      <c r="C5977" s="26"/>
      <c r="D5977" s="26" t="s">
        <v>543</v>
      </c>
      <c r="E5977" s="26" t="str">
        <f>IFERROR(VLOOKUP(G5977,WholesaleExtract!B:J,9,FALSE),"")</f>
        <v/>
      </c>
      <c r="F5977" s="26" t="str">
        <f>IFERROR(VLOOKUP(G5977,WholesaleExtract!B:J,6,FALSE),"")</f>
        <v/>
      </c>
      <c r="H5977" s="47" t="str">
        <f>IFERROR(VLOOKUP(G5977,WholesaleExtract!B:L,11,FALSE),"")</f>
        <v/>
      </c>
      <c r="I5977" s="26" t="str">
        <f>IFERROR(VLOOKUP(G5977,WholesaleExtract!B:O,8,FALSE),"")</f>
        <v/>
      </c>
      <c r="J5977" s="26" t="str">
        <f>IFERROR(VLOOKUP(G5977,WholesaleExtract!B:O,14,FALSE),"")</f>
        <v/>
      </c>
      <c r="K5977" s="26" t="str">
        <f>IFERROR(VLOOKUP(G5977,WholesaleExtract!B:K,10,FALSE),"")</f>
        <v/>
      </c>
      <c r="L5977" s="47" t="str">
        <f>IFERROR(VLOOKUP(G5977,WholesaleExtract!B:L,11,FALSE),"")</f>
        <v/>
      </c>
      <c r="M5977" s="47" t="str">
        <f>IFERROR(VLOOKUP(G5977,WholesaleExtract!B:M,12,FALSE),"")</f>
        <v/>
      </c>
    </row>
    <row r="5978" spans="1:13" x14ac:dyDescent="0.35">
      <c r="A5978" s="26" t="s">
        <v>543</v>
      </c>
      <c r="B5978" s="26" t="s">
        <v>543</v>
      </c>
      <c r="C5978" s="26"/>
      <c r="D5978" s="26" t="s">
        <v>543</v>
      </c>
      <c r="E5978" s="26" t="str">
        <f>IFERROR(VLOOKUP(G5978,WholesaleExtract!B:J,9,FALSE),"")</f>
        <v/>
      </c>
      <c r="F5978" s="26" t="str">
        <f>IFERROR(VLOOKUP(G5978,WholesaleExtract!B:J,6,FALSE),"")</f>
        <v/>
      </c>
      <c r="H5978" s="47" t="str">
        <f>IFERROR(VLOOKUP(G5978,WholesaleExtract!B:L,11,FALSE),"")</f>
        <v/>
      </c>
      <c r="I5978" s="26" t="str">
        <f>IFERROR(VLOOKUP(G5978,WholesaleExtract!B:O,8,FALSE),"")</f>
        <v/>
      </c>
      <c r="J5978" s="26" t="str">
        <f>IFERROR(VLOOKUP(G5978,WholesaleExtract!B:O,14,FALSE),"")</f>
        <v/>
      </c>
      <c r="K5978" s="26" t="str">
        <f>IFERROR(VLOOKUP(G5978,WholesaleExtract!B:K,10,FALSE),"")</f>
        <v/>
      </c>
      <c r="L5978" s="47" t="str">
        <f>IFERROR(VLOOKUP(G5978,WholesaleExtract!B:L,11,FALSE),"")</f>
        <v/>
      </c>
      <c r="M5978" s="47" t="str">
        <f>IFERROR(VLOOKUP(G5978,WholesaleExtract!B:M,12,FALSE),"")</f>
        <v/>
      </c>
    </row>
    <row r="5979" spans="1:13" x14ac:dyDescent="0.35">
      <c r="A5979" s="26" t="s">
        <v>543</v>
      </c>
      <c r="B5979" s="26" t="s">
        <v>543</v>
      </c>
      <c r="C5979" s="26"/>
      <c r="D5979" s="26" t="s">
        <v>543</v>
      </c>
      <c r="E5979" s="26" t="str">
        <f>IFERROR(VLOOKUP(G5979,WholesaleExtract!B:J,9,FALSE),"")</f>
        <v/>
      </c>
      <c r="F5979" s="26" t="str">
        <f>IFERROR(VLOOKUP(G5979,WholesaleExtract!B:J,6,FALSE),"")</f>
        <v/>
      </c>
      <c r="H5979" s="47" t="str">
        <f>IFERROR(VLOOKUP(G5979,WholesaleExtract!B:L,11,FALSE),"")</f>
        <v/>
      </c>
      <c r="I5979" s="26" t="str">
        <f>IFERROR(VLOOKUP(G5979,WholesaleExtract!B:O,8,FALSE),"")</f>
        <v/>
      </c>
      <c r="J5979" s="26" t="str">
        <f>IFERROR(VLOOKUP(G5979,WholesaleExtract!B:O,14,FALSE),"")</f>
        <v/>
      </c>
      <c r="K5979" s="26" t="str">
        <f>IFERROR(VLOOKUP(G5979,WholesaleExtract!B:K,10,FALSE),"")</f>
        <v/>
      </c>
      <c r="L5979" s="47" t="str">
        <f>IFERROR(VLOOKUP(G5979,WholesaleExtract!B:L,11,FALSE),"")</f>
        <v/>
      </c>
      <c r="M5979" s="47" t="str">
        <f>IFERROR(VLOOKUP(G5979,WholesaleExtract!B:M,12,FALSE),"")</f>
        <v/>
      </c>
    </row>
    <row r="5980" spans="1:13" x14ac:dyDescent="0.35">
      <c r="A5980" s="26" t="s">
        <v>543</v>
      </c>
      <c r="B5980" s="26" t="s">
        <v>543</v>
      </c>
      <c r="C5980" s="26"/>
      <c r="D5980" s="26" t="s">
        <v>543</v>
      </c>
      <c r="E5980" s="26" t="str">
        <f>IFERROR(VLOOKUP(G5980,WholesaleExtract!B:J,9,FALSE),"")</f>
        <v/>
      </c>
      <c r="F5980" s="26" t="str">
        <f>IFERROR(VLOOKUP(G5980,WholesaleExtract!B:J,6,FALSE),"")</f>
        <v/>
      </c>
      <c r="H5980" s="47" t="str">
        <f>IFERROR(VLOOKUP(G5980,WholesaleExtract!B:L,11,FALSE),"")</f>
        <v/>
      </c>
      <c r="I5980" s="26" t="str">
        <f>IFERROR(VLOOKUP(G5980,WholesaleExtract!B:O,8,FALSE),"")</f>
        <v/>
      </c>
      <c r="J5980" s="26" t="str">
        <f>IFERROR(VLOOKUP(G5980,WholesaleExtract!B:O,14,FALSE),"")</f>
        <v/>
      </c>
      <c r="K5980" s="26" t="str">
        <f>IFERROR(VLOOKUP(G5980,WholesaleExtract!B:K,10,FALSE),"")</f>
        <v/>
      </c>
      <c r="L5980" s="47" t="str">
        <f>IFERROR(VLOOKUP(G5980,WholesaleExtract!B:L,11,FALSE),"")</f>
        <v/>
      </c>
      <c r="M5980" s="47" t="str">
        <f>IFERROR(VLOOKUP(G5980,WholesaleExtract!B:M,12,FALSE),"")</f>
        <v/>
      </c>
    </row>
    <row r="5981" spans="1:13" x14ac:dyDescent="0.35">
      <c r="A5981" s="26" t="s">
        <v>543</v>
      </c>
      <c r="B5981" s="26" t="s">
        <v>543</v>
      </c>
      <c r="C5981" s="26"/>
      <c r="D5981" s="26" t="s">
        <v>543</v>
      </c>
      <c r="E5981" s="26" t="str">
        <f>IFERROR(VLOOKUP(G5981,WholesaleExtract!B:J,9,FALSE),"")</f>
        <v/>
      </c>
      <c r="F5981" s="26" t="str">
        <f>IFERROR(VLOOKUP(G5981,WholesaleExtract!B:J,6,FALSE),"")</f>
        <v/>
      </c>
      <c r="H5981" s="47" t="str">
        <f>IFERROR(VLOOKUP(G5981,WholesaleExtract!B:L,11,FALSE),"")</f>
        <v/>
      </c>
      <c r="I5981" s="26" t="str">
        <f>IFERROR(VLOOKUP(G5981,WholesaleExtract!B:O,8,FALSE),"")</f>
        <v/>
      </c>
      <c r="J5981" s="26" t="str">
        <f>IFERROR(VLOOKUP(G5981,WholesaleExtract!B:O,14,FALSE),"")</f>
        <v/>
      </c>
      <c r="K5981" s="26" t="str">
        <f>IFERROR(VLOOKUP(G5981,WholesaleExtract!B:K,10,FALSE),"")</f>
        <v/>
      </c>
      <c r="L5981" s="47" t="str">
        <f>IFERROR(VLOOKUP(G5981,WholesaleExtract!B:L,11,FALSE),"")</f>
        <v/>
      </c>
      <c r="M5981" s="47" t="str">
        <f>IFERROR(VLOOKUP(G5981,WholesaleExtract!B:M,12,FALSE),"")</f>
        <v/>
      </c>
    </row>
    <row r="5982" spans="1:13" x14ac:dyDescent="0.35">
      <c r="A5982" s="26" t="s">
        <v>543</v>
      </c>
      <c r="B5982" s="26" t="s">
        <v>543</v>
      </c>
      <c r="C5982" s="26"/>
      <c r="D5982" s="26" t="s">
        <v>543</v>
      </c>
      <c r="E5982" s="26" t="str">
        <f>IFERROR(VLOOKUP(G5982,WholesaleExtract!B:J,9,FALSE),"")</f>
        <v/>
      </c>
      <c r="F5982" s="26" t="str">
        <f>IFERROR(VLOOKUP(G5982,WholesaleExtract!B:J,6,FALSE),"")</f>
        <v/>
      </c>
      <c r="H5982" s="47" t="str">
        <f>IFERROR(VLOOKUP(G5982,WholesaleExtract!B:L,11,FALSE),"")</f>
        <v/>
      </c>
      <c r="I5982" s="26" t="str">
        <f>IFERROR(VLOOKUP(G5982,WholesaleExtract!B:O,8,FALSE),"")</f>
        <v/>
      </c>
      <c r="J5982" s="26" t="str">
        <f>IFERROR(VLOOKUP(G5982,WholesaleExtract!B:O,14,FALSE),"")</f>
        <v/>
      </c>
      <c r="K5982" s="26" t="str">
        <f>IFERROR(VLOOKUP(G5982,WholesaleExtract!B:K,10,FALSE),"")</f>
        <v/>
      </c>
      <c r="L5982" s="47" t="str">
        <f>IFERROR(VLOOKUP(G5982,WholesaleExtract!B:L,11,FALSE),"")</f>
        <v/>
      </c>
      <c r="M5982" s="47" t="str">
        <f>IFERROR(VLOOKUP(G5982,WholesaleExtract!B:M,12,FALSE),"")</f>
        <v/>
      </c>
    </row>
    <row r="5983" spans="1:13" x14ac:dyDescent="0.35">
      <c r="A5983" s="26" t="s">
        <v>543</v>
      </c>
      <c r="B5983" s="26" t="s">
        <v>543</v>
      </c>
      <c r="C5983" s="26"/>
      <c r="D5983" s="26" t="s">
        <v>543</v>
      </c>
      <c r="E5983" s="26" t="str">
        <f>IFERROR(VLOOKUP(G5983,WholesaleExtract!B:J,9,FALSE),"")</f>
        <v/>
      </c>
      <c r="F5983" s="26" t="str">
        <f>IFERROR(VLOOKUP(G5983,WholesaleExtract!B:J,6,FALSE),"")</f>
        <v/>
      </c>
      <c r="H5983" s="47" t="str">
        <f>IFERROR(VLOOKUP(G5983,WholesaleExtract!B:L,11,FALSE),"")</f>
        <v/>
      </c>
      <c r="I5983" s="26" t="str">
        <f>IFERROR(VLOOKUP(G5983,WholesaleExtract!B:O,8,FALSE),"")</f>
        <v/>
      </c>
      <c r="J5983" s="26" t="str">
        <f>IFERROR(VLOOKUP(G5983,WholesaleExtract!B:O,14,FALSE),"")</f>
        <v/>
      </c>
      <c r="K5983" s="26" t="str">
        <f>IFERROR(VLOOKUP(G5983,WholesaleExtract!B:K,10,FALSE),"")</f>
        <v/>
      </c>
      <c r="L5983" s="47" t="str">
        <f>IFERROR(VLOOKUP(G5983,WholesaleExtract!B:L,11,FALSE),"")</f>
        <v/>
      </c>
      <c r="M5983" s="47" t="str">
        <f>IFERROR(VLOOKUP(G5983,WholesaleExtract!B:M,12,FALSE),"")</f>
        <v/>
      </c>
    </row>
    <row r="5984" spans="1:13" x14ac:dyDescent="0.35">
      <c r="A5984" s="26" t="s">
        <v>543</v>
      </c>
      <c r="B5984" s="26" t="s">
        <v>543</v>
      </c>
      <c r="C5984" s="26"/>
      <c r="D5984" s="26" t="s">
        <v>543</v>
      </c>
      <c r="E5984" s="26" t="str">
        <f>IFERROR(VLOOKUP(G5984,WholesaleExtract!B:J,9,FALSE),"")</f>
        <v/>
      </c>
      <c r="F5984" s="26" t="str">
        <f>IFERROR(VLOOKUP(G5984,WholesaleExtract!B:J,6,FALSE),"")</f>
        <v/>
      </c>
      <c r="H5984" s="47" t="str">
        <f>IFERROR(VLOOKUP(G5984,WholesaleExtract!B:L,11,FALSE),"")</f>
        <v/>
      </c>
      <c r="I5984" s="26" t="str">
        <f>IFERROR(VLOOKUP(G5984,WholesaleExtract!B:O,8,FALSE),"")</f>
        <v/>
      </c>
      <c r="J5984" s="26" t="str">
        <f>IFERROR(VLOOKUP(G5984,WholesaleExtract!B:O,14,FALSE),"")</f>
        <v/>
      </c>
      <c r="K5984" s="26" t="str">
        <f>IFERROR(VLOOKUP(G5984,WholesaleExtract!B:K,10,FALSE),"")</f>
        <v/>
      </c>
      <c r="L5984" s="47" t="str">
        <f>IFERROR(VLOOKUP(G5984,WholesaleExtract!B:L,11,FALSE),"")</f>
        <v/>
      </c>
      <c r="M5984" s="47" t="str">
        <f>IFERROR(VLOOKUP(G5984,WholesaleExtract!B:M,12,FALSE),"")</f>
        <v/>
      </c>
    </row>
    <row r="5985" spans="1:13" x14ac:dyDescent="0.35">
      <c r="A5985" s="26" t="s">
        <v>543</v>
      </c>
      <c r="B5985" s="26" t="s">
        <v>543</v>
      </c>
      <c r="C5985" s="26"/>
      <c r="D5985" s="26" t="s">
        <v>543</v>
      </c>
      <c r="E5985" s="26" t="str">
        <f>IFERROR(VLOOKUP(G5985,WholesaleExtract!B:J,9,FALSE),"")</f>
        <v/>
      </c>
      <c r="F5985" s="26" t="str">
        <f>IFERROR(VLOOKUP(G5985,WholesaleExtract!B:J,6,FALSE),"")</f>
        <v/>
      </c>
      <c r="H5985" s="47" t="str">
        <f>IFERROR(VLOOKUP(G5985,WholesaleExtract!B:L,11,FALSE),"")</f>
        <v/>
      </c>
      <c r="I5985" s="26" t="str">
        <f>IFERROR(VLOOKUP(G5985,WholesaleExtract!B:O,8,FALSE),"")</f>
        <v/>
      </c>
      <c r="J5985" s="26" t="str">
        <f>IFERROR(VLOOKUP(G5985,WholesaleExtract!B:O,14,FALSE),"")</f>
        <v/>
      </c>
      <c r="K5985" s="26" t="str">
        <f>IFERROR(VLOOKUP(G5985,WholesaleExtract!B:K,10,FALSE),"")</f>
        <v/>
      </c>
      <c r="L5985" s="47" t="str">
        <f>IFERROR(VLOOKUP(G5985,WholesaleExtract!B:L,11,FALSE),"")</f>
        <v/>
      </c>
      <c r="M5985" s="47" t="str">
        <f>IFERROR(VLOOKUP(G5985,WholesaleExtract!B:M,12,FALSE),"")</f>
        <v/>
      </c>
    </row>
    <row r="5986" spans="1:13" x14ac:dyDescent="0.35">
      <c r="A5986" s="26" t="s">
        <v>543</v>
      </c>
      <c r="B5986" s="26" t="s">
        <v>543</v>
      </c>
      <c r="C5986" s="26"/>
      <c r="D5986" s="26" t="s">
        <v>543</v>
      </c>
      <c r="E5986" s="26" t="str">
        <f>IFERROR(VLOOKUP(G5986,WholesaleExtract!B:J,9,FALSE),"")</f>
        <v/>
      </c>
      <c r="F5986" s="26" t="str">
        <f>IFERROR(VLOOKUP(G5986,WholesaleExtract!B:J,6,FALSE),"")</f>
        <v/>
      </c>
      <c r="H5986" s="47" t="str">
        <f>IFERROR(VLOOKUP(G5986,WholesaleExtract!B:L,11,FALSE),"")</f>
        <v/>
      </c>
      <c r="I5986" s="26" t="str">
        <f>IFERROR(VLOOKUP(G5986,WholesaleExtract!B:O,8,FALSE),"")</f>
        <v/>
      </c>
      <c r="J5986" s="26" t="str">
        <f>IFERROR(VLOOKUP(G5986,WholesaleExtract!B:O,14,FALSE),"")</f>
        <v/>
      </c>
      <c r="K5986" s="26" t="str">
        <f>IFERROR(VLOOKUP(G5986,WholesaleExtract!B:K,10,FALSE),"")</f>
        <v/>
      </c>
      <c r="L5986" s="47" t="str">
        <f>IFERROR(VLOOKUP(G5986,WholesaleExtract!B:L,11,FALSE),"")</f>
        <v/>
      </c>
      <c r="M5986" s="47" t="str">
        <f>IFERROR(VLOOKUP(G5986,WholesaleExtract!B:M,12,FALSE),"")</f>
        <v/>
      </c>
    </row>
    <row r="5987" spans="1:13" x14ac:dyDescent="0.35">
      <c r="A5987" s="26" t="s">
        <v>543</v>
      </c>
      <c r="B5987" s="26" t="s">
        <v>543</v>
      </c>
      <c r="C5987" s="26"/>
      <c r="D5987" s="26" t="s">
        <v>543</v>
      </c>
      <c r="E5987" s="26" t="str">
        <f>IFERROR(VLOOKUP(G5987,WholesaleExtract!B:J,9,FALSE),"")</f>
        <v/>
      </c>
      <c r="F5987" s="26" t="str">
        <f>IFERROR(VLOOKUP(G5987,WholesaleExtract!B:J,6,FALSE),"")</f>
        <v/>
      </c>
      <c r="H5987" s="47" t="str">
        <f>IFERROR(VLOOKUP(G5987,WholesaleExtract!B:L,11,FALSE),"")</f>
        <v/>
      </c>
      <c r="I5987" s="26" t="str">
        <f>IFERROR(VLOOKUP(G5987,WholesaleExtract!B:O,8,FALSE),"")</f>
        <v/>
      </c>
      <c r="J5987" s="26" t="str">
        <f>IFERROR(VLOOKUP(G5987,WholesaleExtract!B:O,14,FALSE),"")</f>
        <v/>
      </c>
      <c r="K5987" s="26" t="str">
        <f>IFERROR(VLOOKUP(G5987,WholesaleExtract!B:K,10,FALSE),"")</f>
        <v/>
      </c>
      <c r="L5987" s="47" t="str">
        <f>IFERROR(VLOOKUP(G5987,WholesaleExtract!B:L,11,FALSE),"")</f>
        <v/>
      </c>
      <c r="M5987" s="47" t="str">
        <f>IFERROR(VLOOKUP(G5987,WholesaleExtract!B:M,12,FALSE),"")</f>
        <v/>
      </c>
    </row>
    <row r="5988" spans="1:13" x14ac:dyDescent="0.35">
      <c r="A5988" s="26" t="s">
        <v>543</v>
      </c>
      <c r="B5988" s="26" t="s">
        <v>543</v>
      </c>
      <c r="C5988" s="26"/>
      <c r="D5988" s="26" t="s">
        <v>543</v>
      </c>
      <c r="E5988" s="26" t="str">
        <f>IFERROR(VLOOKUP(G5988,WholesaleExtract!B:J,9,FALSE),"")</f>
        <v/>
      </c>
      <c r="F5988" s="26" t="str">
        <f>IFERROR(VLOOKUP(G5988,WholesaleExtract!B:J,6,FALSE),"")</f>
        <v/>
      </c>
      <c r="H5988" s="47" t="str">
        <f>IFERROR(VLOOKUP(G5988,WholesaleExtract!B:L,11,FALSE),"")</f>
        <v/>
      </c>
      <c r="I5988" s="26" t="str">
        <f>IFERROR(VLOOKUP(G5988,WholesaleExtract!B:O,8,FALSE),"")</f>
        <v/>
      </c>
      <c r="J5988" s="26" t="str">
        <f>IFERROR(VLOOKUP(G5988,WholesaleExtract!B:O,14,FALSE),"")</f>
        <v/>
      </c>
      <c r="K5988" s="26" t="str">
        <f>IFERROR(VLOOKUP(G5988,WholesaleExtract!B:K,10,FALSE),"")</f>
        <v/>
      </c>
      <c r="L5988" s="47" t="str">
        <f>IFERROR(VLOOKUP(G5988,WholesaleExtract!B:L,11,FALSE),"")</f>
        <v/>
      </c>
      <c r="M5988" s="47" t="str">
        <f>IFERROR(VLOOKUP(G5988,WholesaleExtract!B:M,12,FALSE),"")</f>
        <v/>
      </c>
    </row>
    <row r="5989" spans="1:13" x14ac:dyDescent="0.35">
      <c r="A5989" s="26" t="s">
        <v>543</v>
      </c>
      <c r="B5989" s="26" t="s">
        <v>543</v>
      </c>
      <c r="C5989" s="26"/>
      <c r="D5989" s="26" t="s">
        <v>543</v>
      </c>
      <c r="E5989" s="26" t="str">
        <f>IFERROR(VLOOKUP(G5989,WholesaleExtract!B:J,9,FALSE),"")</f>
        <v/>
      </c>
      <c r="F5989" s="26" t="str">
        <f>IFERROR(VLOOKUP(G5989,WholesaleExtract!B:J,6,FALSE),"")</f>
        <v/>
      </c>
      <c r="H5989" s="47" t="str">
        <f>IFERROR(VLOOKUP(G5989,WholesaleExtract!B:L,11,FALSE),"")</f>
        <v/>
      </c>
      <c r="I5989" s="26" t="str">
        <f>IFERROR(VLOOKUP(G5989,WholesaleExtract!B:O,8,FALSE),"")</f>
        <v/>
      </c>
      <c r="J5989" s="26" t="str">
        <f>IFERROR(VLOOKUP(G5989,WholesaleExtract!B:O,14,FALSE),"")</f>
        <v/>
      </c>
      <c r="K5989" s="26" t="str">
        <f>IFERROR(VLOOKUP(G5989,WholesaleExtract!B:K,10,FALSE),"")</f>
        <v/>
      </c>
      <c r="L5989" s="47" t="str">
        <f>IFERROR(VLOOKUP(G5989,WholesaleExtract!B:L,11,FALSE),"")</f>
        <v/>
      </c>
      <c r="M5989" s="47" t="str">
        <f>IFERROR(VLOOKUP(G5989,WholesaleExtract!B:M,12,FALSE),"")</f>
        <v/>
      </c>
    </row>
    <row r="5990" spans="1:13" x14ac:dyDescent="0.35">
      <c r="A5990" s="26" t="s">
        <v>543</v>
      </c>
      <c r="B5990" s="26" t="s">
        <v>543</v>
      </c>
      <c r="C5990" s="26"/>
      <c r="D5990" s="26" t="s">
        <v>543</v>
      </c>
      <c r="E5990" s="26" t="str">
        <f>IFERROR(VLOOKUP(G5990,WholesaleExtract!B:J,9,FALSE),"")</f>
        <v/>
      </c>
      <c r="F5990" s="26" t="str">
        <f>IFERROR(VLOOKUP(G5990,WholesaleExtract!B:J,6,FALSE),"")</f>
        <v/>
      </c>
      <c r="H5990" s="47" t="str">
        <f>IFERROR(VLOOKUP(G5990,WholesaleExtract!B:L,11,FALSE),"")</f>
        <v/>
      </c>
      <c r="I5990" s="26" t="str">
        <f>IFERROR(VLOOKUP(G5990,WholesaleExtract!B:O,8,FALSE),"")</f>
        <v/>
      </c>
      <c r="J5990" s="26" t="str">
        <f>IFERROR(VLOOKUP(G5990,WholesaleExtract!B:O,14,FALSE),"")</f>
        <v/>
      </c>
      <c r="K5990" s="26" t="str">
        <f>IFERROR(VLOOKUP(G5990,WholesaleExtract!B:K,10,FALSE),"")</f>
        <v/>
      </c>
      <c r="L5990" s="47" t="str">
        <f>IFERROR(VLOOKUP(G5990,WholesaleExtract!B:L,11,FALSE),"")</f>
        <v/>
      </c>
      <c r="M5990" s="47" t="str">
        <f>IFERROR(VLOOKUP(G5990,WholesaleExtract!B:M,12,FALSE),"")</f>
        <v/>
      </c>
    </row>
    <row r="5991" spans="1:13" x14ac:dyDescent="0.35">
      <c r="A5991" s="26" t="s">
        <v>543</v>
      </c>
      <c r="B5991" s="26" t="s">
        <v>543</v>
      </c>
      <c r="C5991" s="26"/>
      <c r="D5991" s="26" t="s">
        <v>543</v>
      </c>
      <c r="E5991" s="26" t="str">
        <f>IFERROR(VLOOKUP(G5991,WholesaleExtract!B:J,9,FALSE),"")</f>
        <v/>
      </c>
      <c r="F5991" s="26" t="str">
        <f>IFERROR(VLOOKUP(G5991,WholesaleExtract!B:J,6,FALSE),"")</f>
        <v/>
      </c>
      <c r="H5991" s="47" t="str">
        <f>IFERROR(VLOOKUP(G5991,WholesaleExtract!B:L,11,FALSE),"")</f>
        <v/>
      </c>
      <c r="I5991" s="26" t="str">
        <f>IFERROR(VLOOKUP(G5991,WholesaleExtract!B:O,8,FALSE),"")</f>
        <v/>
      </c>
      <c r="J5991" s="26" t="str">
        <f>IFERROR(VLOOKUP(G5991,WholesaleExtract!B:O,14,FALSE),"")</f>
        <v/>
      </c>
      <c r="K5991" s="26" t="str">
        <f>IFERROR(VLOOKUP(G5991,WholesaleExtract!B:K,10,FALSE),"")</f>
        <v/>
      </c>
      <c r="L5991" s="47" t="str">
        <f>IFERROR(VLOOKUP(G5991,WholesaleExtract!B:L,11,FALSE),"")</f>
        <v/>
      </c>
      <c r="M5991" s="47" t="str">
        <f>IFERROR(VLOOKUP(G5991,WholesaleExtract!B:M,12,FALSE),"")</f>
        <v/>
      </c>
    </row>
    <row r="5992" spans="1:13" x14ac:dyDescent="0.35">
      <c r="A5992" s="26" t="s">
        <v>543</v>
      </c>
      <c r="B5992" s="26" t="s">
        <v>543</v>
      </c>
      <c r="C5992" s="26"/>
      <c r="D5992" s="26" t="s">
        <v>543</v>
      </c>
      <c r="E5992" s="26" t="str">
        <f>IFERROR(VLOOKUP(G5992,WholesaleExtract!B:J,9,FALSE),"")</f>
        <v/>
      </c>
      <c r="F5992" s="26" t="str">
        <f>IFERROR(VLOOKUP(G5992,WholesaleExtract!B:J,6,FALSE),"")</f>
        <v/>
      </c>
      <c r="H5992" s="47" t="str">
        <f>IFERROR(VLOOKUP(G5992,WholesaleExtract!B:L,11,FALSE),"")</f>
        <v/>
      </c>
      <c r="I5992" s="26" t="str">
        <f>IFERROR(VLOOKUP(G5992,WholesaleExtract!B:O,8,FALSE),"")</f>
        <v/>
      </c>
      <c r="J5992" s="26" t="str">
        <f>IFERROR(VLOOKUP(G5992,WholesaleExtract!B:O,14,FALSE),"")</f>
        <v/>
      </c>
      <c r="K5992" s="26" t="str">
        <f>IFERROR(VLOOKUP(G5992,WholesaleExtract!B:K,10,FALSE),"")</f>
        <v/>
      </c>
      <c r="L5992" s="47" t="str">
        <f>IFERROR(VLOOKUP(G5992,WholesaleExtract!B:L,11,FALSE),"")</f>
        <v/>
      </c>
      <c r="M5992" s="47" t="str">
        <f>IFERROR(VLOOKUP(G5992,WholesaleExtract!B:M,12,FALSE),"")</f>
        <v/>
      </c>
    </row>
    <row r="5993" spans="1:13" x14ac:dyDescent="0.35">
      <c r="A5993" s="26" t="s">
        <v>543</v>
      </c>
      <c r="B5993" s="26" t="s">
        <v>543</v>
      </c>
      <c r="C5993" s="26"/>
      <c r="D5993" s="26" t="s">
        <v>543</v>
      </c>
      <c r="E5993" s="26" t="str">
        <f>IFERROR(VLOOKUP(G5993,WholesaleExtract!B:J,9,FALSE),"")</f>
        <v/>
      </c>
      <c r="F5993" s="26" t="str">
        <f>IFERROR(VLOOKUP(G5993,WholesaleExtract!B:J,6,FALSE),"")</f>
        <v/>
      </c>
      <c r="H5993" s="47" t="str">
        <f>IFERROR(VLOOKUP(G5993,WholesaleExtract!B:L,11,FALSE),"")</f>
        <v/>
      </c>
      <c r="I5993" s="26" t="str">
        <f>IFERROR(VLOOKUP(G5993,WholesaleExtract!B:O,8,FALSE),"")</f>
        <v/>
      </c>
      <c r="J5993" s="26" t="str">
        <f>IFERROR(VLOOKUP(G5993,WholesaleExtract!B:O,14,FALSE),"")</f>
        <v/>
      </c>
      <c r="K5993" s="26" t="str">
        <f>IFERROR(VLOOKUP(G5993,WholesaleExtract!B:K,10,FALSE),"")</f>
        <v/>
      </c>
      <c r="L5993" s="47" t="str">
        <f>IFERROR(VLOOKUP(G5993,WholesaleExtract!B:L,11,FALSE),"")</f>
        <v/>
      </c>
      <c r="M5993" s="47" t="str">
        <f>IFERROR(VLOOKUP(G5993,WholesaleExtract!B:M,12,FALSE),"")</f>
        <v/>
      </c>
    </row>
    <row r="5994" spans="1:13" x14ac:dyDescent="0.35">
      <c r="A5994" s="26" t="s">
        <v>543</v>
      </c>
      <c r="B5994" s="26" t="s">
        <v>543</v>
      </c>
      <c r="C5994" s="26"/>
      <c r="D5994" s="26" t="s">
        <v>543</v>
      </c>
      <c r="E5994" s="26" t="str">
        <f>IFERROR(VLOOKUP(G5994,WholesaleExtract!B:J,9,FALSE),"")</f>
        <v/>
      </c>
      <c r="F5994" s="26" t="str">
        <f>IFERROR(VLOOKUP(G5994,WholesaleExtract!B:J,6,FALSE),"")</f>
        <v/>
      </c>
      <c r="H5994" s="47" t="str">
        <f>IFERROR(VLOOKUP(G5994,WholesaleExtract!B:L,11,FALSE),"")</f>
        <v/>
      </c>
      <c r="I5994" s="26" t="str">
        <f>IFERROR(VLOOKUP(G5994,WholesaleExtract!B:O,8,FALSE),"")</f>
        <v/>
      </c>
      <c r="J5994" s="26" t="str">
        <f>IFERROR(VLOOKUP(G5994,WholesaleExtract!B:O,14,FALSE),"")</f>
        <v/>
      </c>
      <c r="K5994" s="26" t="str">
        <f>IFERROR(VLOOKUP(G5994,WholesaleExtract!B:K,10,FALSE),"")</f>
        <v/>
      </c>
      <c r="L5994" s="47" t="str">
        <f>IFERROR(VLOOKUP(G5994,WholesaleExtract!B:L,11,FALSE),"")</f>
        <v/>
      </c>
      <c r="M5994" s="47" t="str">
        <f>IFERROR(VLOOKUP(G5994,WholesaleExtract!B:M,12,FALSE),"")</f>
        <v/>
      </c>
    </row>
    <row r="5995" spans="1:13" x14ac:dyDescent="0.35">
      <c r="A5995" s="26" t="s">
        <v>543</v>
      </c>
      <c r="B5995" s="26" t="s">
        <v>543</v>
      </c>
      <c r="C5995" s="26"/>
      <c r="D5995" s="26" t="s">
        <v>543</v>
      </c>
      <c r="E5995" s="26" t="str">
        <f>IFERROR(VLOOKUP(G5995,WholesaleExtract!B:J,9,FALSE),"")</f>
        <v/>
      </c>
      <c r="F5995" s="26" t="str">
        <f>IFERROR(VLOOKUP(G5995,WholesaleExtract!B:J,6,FALSE),"")</f>
        <v/>
      </c>
      <c r="H5995" s="47" t="str">
        <f>IFERROR(VLOOKUP(G5995,WholesaleExtract!B:L,11,FALSE),"")</f>
        <v/>
      </c>
      <c r="I5995" s="26" t="str">
        <f>IFERROR(VLOOKUP(G5995,WholesaleExtract!B:O,8,FALSE),"")</f>
        <v/>
      </c>
      <c r="J5995" s="26" t="str">
        <f>IFERROR(VLOOKUP(G5995,WholesaleExtract!B:O,14,FALSE),"")</f>
        <v/>
      </c>
      <c r="K5995" s="26" t="str">
        <f>IFERROR(VLOOKUP(G5995,WholesaleExtract!B:K,10,FALSE),"")</f>
        <v/>
      </c>
      <c r="L5995" s="47" t="str">
        <f>IFERROR(VLOOKUP(G5995,WholesaleExtract!B:L,11,FALSE),"")</f>
        <v/>
      </c>
      <c r="M5995" s="47" t="str">
        <f>IFERROR(VLOOKUP(G5995,WholesaleExtract!B:M,12,FALSE),"")</f>
        <v/>
      </c>
    </row>
    <row r="5996" spans="1:13" x14ac:dyDescent="0.35">
      <c r="A5996" s="26" t="s">
        <v>543</v>
      </c>
      <c r="B5996" s="26" t="s">
        <v>543</v>
      </c>
      <c r="C5996" s="26"/>
      <c r="D5996" s="26" t="s">
        <v>543</v>
      </c>
      <c r="E5996" s="26" t="str">
        <f>IFERROR(VLOOKUP(G5996,WholesaleExtract!B:J,9,FALSE),"")</f>
        <v/>
      </c>
      <c r="F5996" s="26" t="str">
        <f>IFERROR(VLOOKUP(G5996,WholesaleExtract!B:J,6,FALSE),"")</f>
        <v/>
      </c>
      <c r="H5996" s="47" t="str">
        <f>IFERROR(VLOOKUP(G5996,WholesaleExtract!B:L,11,FALSE),"")</f>
        <v/>
      </c>
      <c r="I5996" s="26" t="str">
        <f>IFERROR(VLOOKUP(G5996,WholesaleExtract!B:O,8,FALSE),"")</f>
        <v/>
      </c>
      <c r="J5996" s="26" t="str">
        <f>IFERROR(VLOOKUP(G5996,WholesaleExtract!B:O,14,FALSE),"")</f>
        <v/>
      </c>
      <c r="K5996" s="26" t="str">
        <f>IFERROR(VLOOKUP(G5996,WholesaleExtract!B:K,10,FALSE),"")</f>
        <v/>
      </c>
      <c r="L5996" s="47" t="str">
        <f>IFERROR(VLOOKUP(G5996,WholesaleExtract!B:L,11,FALSE),"")</f>
        <v/>
      </c>
      <c r="M5996" s="47" t="str">
        <f>IFERROR(VLOOKUP(G5996,WholesaleExtract!B:M,12,FALSE),"")</f>
        <v/>
      </c>
    </row>
    <row r="5997" spans="1:13" x14ac:dyDescent="0.35">
      <c r="A5997" s="26" t="s">
        <v>543</v>
      </c>
      <c r="B5997" s="26" t="s">
        <v>543</v>
      </c>
      <c r="C5997" s="26"/>
      <c r="D5997" s="26" t="s">
        <v>543</v>
      </c>
      <c r="E5997" s="26" t="str">
        <f>IFERROR(VLOOKUP(G5997,WholesaleExtract!B:J,9,FALSE),"")</f>
        <v/>
      </c>
      <c r="F5997" s="26" t="str">
        <f>IFERROR(VLOOKUP(G5997,WholesaleExtract!B:J,6,FALSE),"")</f>
        <v/>
      </c>
      <c r="H5997" s="47" t="str">
        <f>IFERROR(VLOOKUP(G5997,WholesaleExtract!B:L,11,FALSE),"")</f>
        <v/>
      </c>
      <c r="I5997" s="26" t="str">
        <f>IFERROR(VLOOKUP(G5997,WholesaleExtract!B:O,8,FALSE),"")</f>
        <v/>
      </c>
      <c r="J5997" s="26" t="str">
        <f>IFERROR(VLOOKUP(G5997,WholesaleExtract!B:O,14,FALSE),"")</f>
        <v/>
      </c>
      <c r="K5997" s="26" t="str">
        <f>IFERROR(VLOOKUP(G5997,WholesaleExtract!B:K,10,FALSE),"")</f>
        <v/>
      </c>
      <c r="L5997" s="47" t="str">
        <f>IFERROR(VLOOKUP(G5997,WholesaleExtract!B:L,11,FALSE),"")</f>
        <v/>
      </c>
      <c r="M5997" s="47" t="str">
        <f>IFERROR(VLOOKUP(G5997,WholesaleExtract!B:M,12,FALSE),"")</f>
        <v/>
      </c>
    </row>
    <row r="5998" spans="1:13" x14ac:dyDescent="0.35">
      <c r="A5998" s="26" t="s">
        <v>543</v>
      </c>
      <c r="B5998" s="26" t="s">
        <v>543</v>
      </c>
      <c r="C5998" s="26"/>
      <c r="D5998" s="26" t="s">
        <v>543</v>
      </c>
      <c r="E5998" s="26" t="str">
        <f>IFERROR(VLOOKUP(G5998,WholesaleExtract!B:J,9,FALSE),"")</f>
        <v/>
      </c>
      <c r="F5998" s="26" t="str">
        <f>IFERROR(VLOOKUP(G5998,WholesaleExtract!B:J,6,FALSE),"")</f>
        <v/>
      </c>
      <c r="H5998" s="47" t="str">
        <f>IFERROR(VLOOKUP(G5998,WholesaleExtract!B:L,11,FALSE),"")</f>
        <v/>
      </c>
      <c r="I5998" s="26" t="str">
        <f>IFERROR(VLOOKUP(G5998,WholesaleExtract!B:O,8,FALSE),"")</f>
        <v/>
      </c>
      <c r="J5998" s="26" t="str">
        <f>IFERROR(VLOOKUP(G5998,WholesaleExtract!B:O,14,FALSE),"")</f>
        <v/>
      </c>
      <c r="K5998" s="26" t="str">
        <f>IFERROR(VLOOKUP(G5998,WholesaleExtract!B:K,10,FALSE),"")</f>
        <v/>
      </c>
      <c r="L5998" s="47" t="str">
        <f>IFERROR(VLOOKUP(G5998,WholesaleExtract!B:L,11,FALSE),"")</f>
        <v/>
      </c>
      <c r="M5998" s="47" t="str">
        <f>IFERROR(VLOOKUP(G5998,WholesaleExtract!B:M,12,FALSE),"")</f>
        <v/>
      </c>
    </row>
    <row r="5999" spans="1:13" x14ac:dyDescent="0.35">
      <c r="A5999" s="26" t="s">
        <v>543</v>
      </c>
      <c r="B5999" s="26" t="s">
        <v>543</v>
      </c>
      <c r="C5999" s="26"/>
      <c r="D5999" s="26" t="s">
        <v>543</v>
      </c>
      <c r="E5999" s="26" t="str">
        <f>IFERROR(VLOOKUP(G5999,WholesaleExtract!B:J,9,FALSE),"")</f>
        <v/>
      </c>
      <c r="F5999" s="26" t="str">
        <f>IFERROR(VLOOKUP(G5999,WholesaleExtract!B:J,6,FALSE),"")</f>
        <v/>
      </c>
      <c r="H5999" s="47" t="str">
        <f>IFERROR(VLOOKUP(G5999,WholesaleExtract!B:L,11,FALSE),"")</f>
        <v/>
      </c>
      <c r="I5999" s="26" t="str">
        <f>IFERROR(VLOOKUP(G5999,WholesaleExtract!B:O,8,FALSE),"")</f>
        <v/>
      </c>
      <c r="J5999" s="26" t="str">
        <f>IFERROR(VLOOKUP(G5999,WholesaleExtract!B:O,14,FALSE),"")</f>
        <v/>
      </c>
      <c r="K5999" s="26" t="str">
        <f>IFERROR(VLOOKUP(G5999,WholesaleExtract!B:K,10,FALSE),"")</f>
        <v/>
      </c>
      <c r="L5999" s="47" t="str">
        <f>IFERROR(VLOOKUP(G5999,WholesaleExtract!B:L,11,FALSE),"")</f>
        <v/>
      </c>
      <c r="M5999" s="47" t="str">
        <f>IFERROR(VLOOKUP(G5999,WholesaleExtract!B:M,12,FALSE),"")</f>
        <v/>
      </c>
    </row>
    <row r="6000" spans="1:13" x14ac:dyDescent="0.35">
      <c r="A6000" s="26" t="s">
        <v>543</v>
      </c>
      <c r="B6000" s="26" t="s">
        <v>543</v>
      </c>
      <c r="C6000" s="26"/>
      <c r="D6000" s="26" t="s">
        <v>543</v>
      </c>
      <c r="E6000" s="26" t="str">
        <f>IFERROR(VLOOKUP(G6000,WholesaleExtract!B:J,9,FALSE),"")</f>
        <v/>
      </c>
      <c r="F6000" s="26" t="str">
        <f>IFERROR(VLOOKUP(G6000,WholesaleExtract!B:J,6,FALSE),"")</f>
        <v/>
      </c>
      <c r="H6000" s="47" t="str">
        <f>IFERROR(VLOOKUP(G6000,WholesaleExtract!B:L,11,FALSE),"")</f>
        <v/>
      </c>
      <c r="I6000" s="26" t="str">
        <f>IFERROR(VLOOKUP(G6000,WholesaleExtract!B:O,8,FALSE),"")</f>
        <v/>
      </c>
      <c r="J6000" s="26" t="str">
        <f>IFERROR(VLOOKUP(G6000,WholesaleExtract!B:O,14,FALSE),"")</f>
        <v/>
      </c>
      <c r="K6000" s="26" t="str">
        <f>IFERROR(VLOOKUP(G6000,WholesaleExtract!B:K,10,FALSE),"")</f>
        <v/>
      </c>
      <c r="L6000" s="47" t="str">
        <f>IFERROR(VLOOKUP(G6000,WholesaleExtract!B:L,11,FALSE),"")</f>
        <v/>
      </c>
      <c r="M6000" s="47" t="str">
        <f>IFERROR(VLOOKUP(G6000,WholesaleExtract!B:M,12,FALSE),"")</f>
        <v/>
      </c>
    </row>
    <row r="6001" spans="14:14" x14ac:dyDescent="0.35">
      <c r="N6001" s="27"/>
    </row>
  </sheetData>
  <autoFilter ref="A2:S6000"/>
  <conditionalFormatting sqref="G6001:H1048576 G1 G1681:G6000">
    <cfRule type="duplicateValues" dxfId="25" priority="10"/>
  </conditionalFormatting>
  <conditionalFormatting sqref="G168:G1048576 G1:G2 G65:G166">
    <cfRule type="duplicateValues" dxfId="24" priority="5"/>
  </conditionalFormatting>
  <conditionalFormatting sqref="G167">
    <cfRule type="duplicateValues" dxfId="23" priority="4"/>
  </conditionalFormatting>
  <conditionalFormatting sqref="G168:G626 G65:G166">
    <cfRule type="duplicateValues" dxfId="22" priority="676"/>
  </conditionalFormatting>
  <conditionalFormatting sqref="G35:G64">
    <cfRule type="duplicateValues" dxfId="21" priority="1"/>
  </conditionalFormatting>
  <dataValidations count="4">
    <dataValidation type="list" allowBlank="1" showInputMessage="1" showErrorMessage="1" sqref="N1">
      <formula1>"Hardlines, Apparel, Role Play, Accessories"</formula1>
    </dataValidation>
    <dataValidation type="list" allowBlank="1" showInputMessage="1" showErrorMessage="1" sqref="F1">
      <formula1>PD_Designer</formula1>
    </dataValidation>
    <dataValidation type="list" allowBlank="1" showInputMessage="1" showErrorMessage="1" sqref="O3:P1680">
      <formula1>INDIRECT(N3)</formula1>
    </dataValidation>
    <dataValidation type="list" allowBlank="1" showInputMessage="1" showErrorMessage="1" sqref="N6001 N3:N1680">
      <formula1>"Hardlines, Apparel_, Role_Play, Accessories"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CC"/>
  </sheetPr>
  <dimension ref="A1:AD711"/>
  <sheetViews>
    <sheetView workbookViewId="0">
      <selection activeCell="P180" sqref="P180:U180"/>
    </sheetView>
  </sheetViews>
  <sheetFormatPr defaultRowHeight="14.5" x14ac:dyDescent="0.35"/>
  <cols>
    <col min="1" max="1" width="11.26953125" customWidth="1"/>
    <col min="2" max="2" width="17.26953125" customWidth="1"/>
    <col min="3" max="3" width="6.36328125" customWidth="1"/>
    <col min="4" max="4" width="6.453125" style="19" customWidth="1"/>
    <col min="5" max="5" width="6.1796875" style="19" customWidth="1"/>
    <col min="6" max="6" width="6" style="19" customWidth="1"/>
    <col min="7" max="7" width="19.36328125" style="19" customWidth="1"/>
    <col min="8" max="8" width="20.36328125" style="19" customWidth="1"/>
    <col min="9" max="9" width="39.7265625" style="19" customWidth="1"/>
    <col min="10" max="10" width="20.90625" style="19" customWidth="1"/>
    <col min="11" max="11" width="28.08984375" style="19" customWidth="1"/>
    <col min="12" max="12" width="11.08984375" style="19" customWidth="1"/>
    <col min="13" max="13" width="48.7265625" style="19" customWidth="1"/>
    <col min="14" max="14" width="11.453125" style="19" customWidth="1"/>
    <col min="15" max="15" width="14.81640625" style="19" customWidth="1"/>
    <col min="16" max="16" width="13.81640625" style="19" customWidth="1"/>
    <col min="17" max="17" width="14.6328125" style="19" customWidth="1"/>
    <col min="18" max="18" width="15.26953125" style="19" customWidth="1"/>
    <col min="19" max="19" width="14.7265625" style="19" customWidth="1"/>
    <col min="20" max="20" width="15.7265625" style="19" customWidth="1"/>
    <col min="21" max="21" width="14.36328125" style="19" customWidth="1"/>
    <col min="22" max="22" width="8.36328125" style="19" customWidth="1"/>
    <col min="23" max="23" width="7.26953125" style="19" customWidth="1"/>
    <col min="24" max="25" width="8.26953125" style="19" customWidth="1"/>
    <col min="26" max="26" width="6.453125" style="19" customWidth="1"/>
    <col min="27" max="27" width="18.26953125" style="19" customWidth="1"/>
    <col min="28" max="28" width="17" style="19" customWidth="1"/>
    <col min="29" max="29" width="15.81640625" style="19" customWidth="1"/>
    <col min="30" max="30" width="14.1796875" style="19" customWidth="1"/>
    <col min="31" max="31" width="26.453125" bestFit="1" customWidth="1"/>
    <col min="32" max="32" width="21.54296875" bestFit="1" customWidth="1"/>
    <col min="33" max="33" width="24.1796875" bestFit="1" customWidth="1"/>
    <col min="34" max="34" width="31.453125" bestFit="1" customWidth="1"/>
    <col min="35" max="35" width="43.54296875" bestFit="1" customWidth="1"/>
    <col min="36" max="36" width="21.54296875" bestFit="1" customWidth="1"/>
    <col min="37" max="37" width="23.453125" bestFit="1" customWidth="1"/>
    <col min="38" max="38" width="24.26953125" bestFit="1" customWidth="1"/>
    <col min="39" max="39" width="29.26953125" bestFit="1" customWidth="1"/>
    <col min="40" max="40" width="14.7265625" bestFit="1" customWidth="1"/>
    <col min="41" max="41" width="28.26953125" bestFit="1" customWidth="1"/>
    <col min="42" max="42" width="22.453125" bestFit="1" customWidth="1"/>
    <col min="43" max="43" width="28.81640625" bestFit="1" customWidth="1"/>
    <col min="44" max="44" width="20.453125" bestFit="1" customWidth="1"/>
    <col min="45" max="45" width="19.1796875" bestFit="1" customWidth="1"/>
    <col min="46" max="46" width="13.453125" bestFit="1" customWidth="1"/>
    <col min="47" max="47" width="19.1796875" bestFit="1" customWidth="1"/>
    <col min="48" max="48" width="18.453125" bestFit="1" customWidth="1"/>
    <col min="49" max="49" width="10.81640625" bestFit="1" customWidth="1"/>
    <col min="50" max="50" width="52" bestFit="1" customWidth="1"/>
    <col min="51" max="51" width="22.26953125" bestFit="1" customWidth="1"/>
    <col min="52" max="52" width="18.453125" bestFit="1" customWidth="1"/>
    <col min="53" max="53" width="12.7265625" bestFit="1" customWidth="1"/>
    <col min="54" max="54" width="6.81640625" bestFit="1" customWidth="1"/>
    <col min="55" max="55" width="6.54296875" bestFit="1" customWidth="1"/>
    <col min="56" max="56" width="6.453125" bestFit="1" customWidth="1"/>
    <col min="57" max="57" width="18.54296875" bestFit="1" customWidth="1"/>
    <col min="58" max="58" width="18.1796875" bestFit="1" customWidth="1"/>
    <col min="59" max="59" width="8" bestFit="1" customWidth="1"/>
    <col min="60" max="60" width="16.453125" bestFit="1" customWidth="1"/>
    <col min="61" max="61" width="13.81640625" bestFit="1" customWidth="1"/>
    <col min="62" max="62" width="11.26953125" bestFit="1" customWidth="1"/>
    <col min="63" max="63" width="15" bestFit="1" customWidth="1"/>
    <col min="64" max="64" width="16" bestFit="1" customWidth="1"/>
    <col min="65" max="65" width="15.1796875" bestFit="1" customWidth="1"/>
    <col min="66" max="66" width="15.81640625" bestFit="1" customWidth="1"/>
    <col min="67" max="67" width="13.81640625" bestFit="1" customWidth="1"/>
    <col min="68" max="68" width="19.81640625" bestFit="1" customWidth="1"/>
    <col min="69" max="69" width="6.7265625" bestFit="1" customWidth="1"/>
    <col min="70" max="70" width="7.1796875" bestFit="1" customWidth="1"/>
    <col min="71" max="71" width="22.26953125" bestFit="1" customWidth="1"/>
    <col min="72" max="72" width="15.26953125" customWidth="1"/>
    <col min="73" max="73" width="16.7265625" bestFit="1" customWidth="1"/>
    <col min="74" max="74" width="6.1796875" bestFit="1" customWidth="1"/>
    <col min="75" max="75" width="11.7265625" bestFit="1" customWidth="1"/>
    <col min="76" max="76" width="18.453125" customWidth="1"/>
    <col min="77" max="77" width="6.7265625" bestFit="1" customWidth="1"/>
    <col min="78" max="78" width="6.81640625" bestFit="1" customWidth="1"/>
    <col min="79" max="79" width="6.54296875" bestFit="1" customWidth="1"/>
    <col min="80" max="80" width="6.453125" bestFit="1" customWidth="1"/>
  </cols>
  <sheetData>
    <row r="1" spans="1:30" x14ac:dyDescent="0.35">
      <c r="A1" t="s">
        <v>6</v>
      </c>
      <c r="B1" t="s">
        <v>193</v>
      </c>
      <c r="C1" s="19" t="s">
        <v>104</v>
      </c>
      <c r="D1" s="19" t="s">
        <v>105</v>
      </c>
      <c r="E1" s="19" t="s">
        <v>106</v>
      </c>
      <c r="F1" s="19" t="s">
        <v>107</v>
      </c>
      <c r="G1" s="19" t="s">
        <v>211</v>
      </c>
      <c r="H1" s="19" t="s">
        <v>212</v>
      </c>
      <c r="I1" s="19" t="s">
        <v>102</v>
      </c>
      <c r="J1" s="19" t="s">
        <v>194</v>
      </c>
      <c r="K1" s="19" t="s">
        <v>195</v>
      </c>
      <c r="L1" s="19" t="s">
        <v>196</v>
      </c>
      <c r="M1" s="19" t="s">
        <v>103</v>
      </c>
      <c r="N1" s="19" t="s">
        <v>213</v>
      </c>
      <c r="O1" s="19" t="s">
        <v>197</v>
      </c>
      <c r="P1" s="19" t="s">
        <v>198</v>
      </c>
      <c r="Q1" s="19" t="s">
        <v>199</v>
      </c>
      <c r="R1" s="19" t="s">
        <v>200</v>
      </c>
      <c r="S1" s="19" t="s">
        <v>201</v>
      </c>
      <c r="T1" s="19" t="s">
        <v>202</v>
      </c>
      <c r="U1" s="19" t="s">
        <v>203</v>
      </c>
      <c r="V1" s="19" t="s">
        <v>204</v>
      </c>
      <c r="W1" s="19" t="s">
        <v>205</v>
      </c>
      <c r="X1" s="19" t="s">
        <v>206</v>
      </c>
      <c r="Y1" s="19" t="s">
        <v>214</v>
      </c>
      <c r="Z1"/>
      <c r="AA1"/>
      <c r="AB1"/>
      <c r="AC1"/>
      <c r="AD1"/>
    </row>
    <row r="2" spans="1:30" x14ac:dyDescent="0.35">
      <c r="A2" s="19">
        <v>202304</v>
      </c>
      <c r="B2" s="19" t="s">
        <v>548</v>
      </c>
      <c r="C2" s="19"/>
      <c r="F2" s="19" t="s">
        <v>208</v>
      </c>
      <c r="H2" s="19">
        <v>201</v>
      </c>
      <c r="I2" s="19" t="s">
        <v>218</v>
      </c>
      <c r="J2" s="19" t="s">
        <v>126</v>
      </c>
      <c r="K2" s="19" t="s">
        <v>221</v>
      </c>
      <c r="L2" s="19">
        <v>0</v>
      </c>
      <c r="M2" s="19" t="s">
        <v>218</v>
      </c>
      <c r="N2" s="19">
        <v>4</v>
      </c>
      <c r="O2" s="19" t="s">
        <v>222</v>
      </c>
      <c r="P2" s="19" t="s">
        <v>218</v>
      </c>
      <c r="Q2" s="19" t="s">
        <v>218</v>
      </c>
      <c r="R2" s="19" t="s">
        <v>218</v>
      </c>
      <c r="S2" s="19" t="s">
        <v>218</v>
      </c>
      <c r="T2" s="19" t="s">
        <v>218</v>
      </c>
      <c r="U2" s="19" t="s">
        <v>218</v>
      </c>
      <c r="V2" s="19" t="s">
        <v>218</v>
      </c>
      <c r="W2" s="19" t="s">
        <v>218</v>
      </c>
      <c r="X2" s="19" t="s">
        <v>218</v>
      </c>
      <c r="Z2"/>
      <c r="AA2"/>
      <c r="AB2"/>
      <c r="AC2"/>
      <c r="AD2"/>
    </row>
    <row r="3" spans="1:30" x14ac:dyDescent="0.35">
      <c r="A3" s="19">
        <v>202304</v>
      </c>
      <c r="B3" s="19" t="s">
        <v>549</v>
      </c>
      <c r="C3" s="19"/>
      <c r="F3" s="19" t="s">
        <v>208</v>
      </c>
      <c r="H3" s="19">
        <v>201</v>
      </c>
      <c r="I3" s="19" t="s">
        <v>550</v>
      </c>
      <c r="J3" s="19" t="s">
        <v>126</v>
      </c>
      <c r="K3" s="19" t="s">
        <v>221</v>
      </c>
      <c r="L3" s="19">
        <v>0</v>
      </c>
      <c r="M3" s="19" t="s">
        <v>218</v>
      </c>
      <c r="N3" s="19">
        <v>4</v>
      </c>
      <c r="O3" s="19" t="s">
        <v>222</v>
      </c>
      <c r="P3" s="19" t="s">
        <v>218</v>
      </c>
      <c r="Q3" s="19" t="s">
        <v>218</v>
      </c>
      <c r="R3" s="19" t="s">
        <v>218</v>
      </c>
      <c r="S3" s="19" t="s">
        <v>218</v>
      </c>
      <c r="T3" s="19" t="s">
        <v>218</v>
      </c>
      <c r="U3" s="19" t="s">
        <v>218</v>
      </c>
      <c r="V3" s="19" t="s">
        <v>218</v>
      </c>
      <c r="W3" s="19" t="s">
        <v>218</v>
      </c>
      <c r="X3" s="19" t="s">
        <v>218</v>
      </c>
      <c r="Z3"/>
      <c r="AA3"/>
      <c r="AB3"/>
      <c r="AC3"/>
      <c r="AD3"/>
    </row>
    <row r="4" spans="1:30" x14ac:dyDescent="0.35">
      <c r="A4" s="19">
        <v>202304</v>
      </c>
      <c r="B4" s="19" t="s">
        <v>551</v>
      </c>
      <c r="C4" s="19"/>
      <c r="F4" s="19" t="s">
        <v>208</v>
      </c>
      <c r="H4" s="19">
        <v>201</v>
      </c>
      <c r="I4" s="19" t="s">
        <v>552</v>
      </c>
      <c r="J4" s="19" t="s">
        <v>126</v>
      </c>
      <c r="K4" s="19" t="s">
        <v>221</v>
      </c>
      <c r="L4" s="19">
        <v>0</v>
      </c>
      <c r="M4" s="19" t="s">
        <v>218</v>
      </c>
      <c r="N4" s="19">
        <v>4</v>
      </c>
      <c r="O4" s="19" t="s">
        <v>222</v>
      </c>
      <c r="P4" s="19" t="s">
        <v>218</v>
      </c>
      <c r="Q4" s="19" t="s">
        <v>218</v>
      </c>
      <c r="R4" s="19" t="s">
        <v>218</v>
      </c>
      <c r="S4" s="19" t="s">
        <v>218</v>
      </c>
      <c r="T4" s="19" t="s">
        <v>218</v>
      </c>
      <c r="U4" s="19" t="s">
        <v>218</v>
      </c>
      <c r="V4" s="19" t="s">
        <v>218</v>
      </c>
      <c r="W4" s="19" t="s">
        <v>218</v>
      </c>
      <c r="X4" s="19" t="s">
        <v>218</v>
      </c>
      <c r="Z4"/>
      <c r="AA4"/>
      <c r="AB4"/>
      <c r="AC4"/>
      <c r="AD4"/>
    </row>
    <row r="5" spans="1:30" x14ac:dyDescent="0.35">
      <c r="A5" s="19">
        <v>202304</v>
      </c>
      <c r="B5" s="19" t="s">
        <v>553</v>
      </c>
      <c r="C5" s="19"/>
      <c r="F5" s="19" t="s">
        <v>208</v>
      </c>
      <c r="H5" s="19">
        <v>201</v>
      </c>
      <c r="I5" s="19" t="s">
        <v>554</v>
      </c>
      <c r="J5" s="19" t="s">
        <v>223</v>
      </c>
      <c r="K5" s="19" t="s">
        <v>292</v>
      </c>
      <c r="L5" s="19">
        <v>0</v>
      </c>
      <c r="M5" s="19" t="s">
        <v>218</v>
      </c>
      <c r="N5" s="19">
        <v>4</v>
      </c>
      <c r="O5" s="19" t="s">
        <v>222</v>
      </c>
      <c r="P5" s="19" t="s">
        <v>218</v>
      </c>
      <c r="Q5" s="19" t="s">
        <v>218</v>
      </c>
      <c r="R5" s="19" t="s">
        <v>218</v>
      </c>
      <c r="S5" s="19" t="s">
        <v>218</v>
      </c>
      <c r="T5" s="19" t="s">
        <v>218</v>
      </c>
      <c r="U5" s="19" t="s">
        <v>218</v>
      </c>
      <c r="V5" s="19" t="s">
        <v>218</v>
      </c>
      <c r="W5" s="19" t="s">
        <v>218</v>
      </c>
      <c r="X5" s="19" t="s">
        <v>218</v>
      </c>
      <c r="Z5"/>
      <c r="AA5"/>
      <c r="AB5"/>
      <c r="AC5"/>
      <c r="AD5"/>
    </row>
    <row r="6" spans="1:30" x14ac:dyDescent="0.35">
      <c r="A6" s="19">
        <v>202304</v>
      </c>
      <c r="B6" s="19" t="s">
        <v>555</v>
      </c>
      <c r="C6" s="19"/>
      <c r="F6" s="19" t="s">
        <v>208</v>
      </c>
      <c r="H6" s="19">
        <v>201</v>
      </c>
      <c r="I6" s="19" t="s">
        <v>218</v>
      </c>
      <c r="J6" s="19" t="s">
        <v>223</v>
      </c>
      <c r="K6" s="19" t="s">
        <v>292</v>
      </c>
      <c r="L6" s="19">
        <v>0</v>
      </c>
      <c r="M6" s="19" t="s">
        <v>218</v>
      </c>
      <c r="N6" s="19">
        <v>4</v>
      </c>
      <c r="O6" s="19" t="s">
        <v>222</v>
      </c>
      <c r="P6" s="19" t="s">
        <v>218</v>
      </c>
      <c r="Q6" s="19" t="s">
        <v>218</v>
      </c>
      <c r="R6" s="19" t="s">
        <v>218</v>
      </c>
      <c r="S6" s="19" t="s">
        <v>218</v>
      </c>
      <c r="T6" s="19" t="s">
        <v>218</v>
      </c>
      <c r="U6" s="19" t="s">
        <v>218</v>
      </c>
      <c r="V6" s="19" t="s">
        <v>218</v>
      </c>
      <c r="W6" s="19" t="s">
        <v>218</v>
      </c>
      <c r="X6" s="19" t="s">
        <v>218</v>
      </c>
      <c r="Z6"/>
      <c r="AA6"/>
      <c r="AB6"/>
      <c r="AC6"/>
      <c r="AD6"/>
    </row>
    <row r="7" spans="1:30" x14ac:dyDescent="0.35">
      <c r="A7" s="19">
        <v>202304</v>
      </c>
      <c r="B7" s="19" t="s">
        <v>556</v>
      </c>
      <c r="C7" s="19"/>
      <c r="F7" s="19" t="s">
        <v>208</v>
      </c>
      <c r="H7" s="19">
        <v>201</v>
      </c>
      <c r="I7" s="19" t="s">
        <v>557</v>
      </c>
      <c r="J7" s="19" t="s">
        <v>219</v>
      </c>
      <c r="K7" s="19" t="s">
        <v>115</v>
      </c>
      <c r="L7" s="19">
        <v>0</v>
      </c>
      <c r="M7" s="19" t="s">
        <v>218</v>
      </c>
      <c r="N7" s="19">
        <v>4</v>
      </c>
      <c r="O7" s="19" t="s">
        <v>222</v>
      </c>
      <c r="P7" s="19" t="s">
        <v>218</v>
      </c>
      <c r="Q7" s="19" t="s">
        <v>218</v>
      </c>
      <c r="R7" s="19" t="s">
        <v>218</v>
      </c>
      <c r="S7" s="19" t="s">
        <v>218</v>
      </c>
      <c r="T7" s="19" t="s">
        <v>218</v>
      </c>
      <c r="U7" s="19" t="s">
        <v>218</v>
      </c>
      <c r="V7" s="19" t="s">
        <v>218</v>
      </c>
      <c r="W7" s="19" t="s">
        <v>218</v>
      </c>
      <c r="X7" s="19" t="s">
        <v>218</v>
      </c>
      <c r="Z7"/>
      <c r="AA7"/>
      <c r="AB7"/>
      <c r="AC7"/>
      <c r="AD7"/>
    </row>
    <row r="8" spans="1:30" x14ac:dyDescent="0.35">
      <c r="A8" s="19">
        <v>202304</v>
      </c>
      <c r="B8" s="19" t="s">
        <v>558</v>
      </c>
      <c r="C8" s="19"/>
      <c r="F8" s="19" t="s">
        <v>208</v>
      </c>
      <c r="H8" s="19">
        <v>201</v>
      </c>
      <c r="I8" s="19" t="s">
        <v>559</v>
      </c>
      <c r="J8" s="19" t="s">
        <v>219</v>
      </c>
      <c r="K8" s="19" t="s">
        <v>115</v>
      </c>
      <c r="L8" s="19">
        <v>0</v>
      </c>
      <c r="M8" s="19" t="s">
        <v>218</v>
      </c>
      <c r="N8" s="19">
        <v>4</v>
      </c>
      <c r="O8" s="19" t="s">
        <v>222</v>
      </c>
      <c r="P8" s="19" t="s">
        <v>218</v>
      </c>
      <c r="Q8" s="19" t="s">
        <v>218</v>
      </c>
      <c r="R8" s="19" t="s">
        <v>218</v>
      </c>
      <c r="S8" s="19" t="s">
        <v>218</v>
      </c>
      <c r="T8" s="19" t="s">
        <v>218</v>
      </c>
      <c r="U8" s="19" t="s">
        <v>218</v>
      </c>
      <c r="V8" s="19" t="s">
        <v>218</v>
      </c>
      <c r="W8" s="19" t="s">
        <v>218</v>
      </c>
      <c r="X8" s="19" t="s">
        <v>218</v>
      </c>
      <c r="Z8"/>
      <c r="AA8"/>
      <c r="AB8"/>
      <c r="AC8"/>
      <c r="AD8"/>
    </row>
    <row r="9" spans="1:30" x14ac:dyDescent="0.35">
      <c r="A9" s="19">
        <v>202304</v>
      </c>
      <c r="B9" s="19" t="s">
        <v>561</v>
      </c>
      <c r="C9" s="19"/>
      <c r="F9" s="19" t="s">
        <v>208</v>
      </c>
      <c r="H9" s="19">
        <v>201</v>
      </c>
      <c r="I9" s="19" t="s">
        <v>562</v>
      </c>
      <c r="J9" s="19" t="s">
        <v>219</v>
      </c>
      <c r="K9" s="19" t="s">
        <v>115</v>
      </c>
      <c r="L9" s="19">
        <v>0</v>
      </c>
      <c r="M9" s="19" t="s">
        <v>218</v>
      </c>
      <c r="N9" s="19">
        <v>4</v>
      </c>
      <c r="O9" s="19" t="s">
        <v>222</v>
      </c>
      <c r="P9" s="19" t="s">
        <v>218</v>
      </c>
      <c r="Q9" s="19" t="s">
        <v>218</v>
      </c>
      <c r="R9" s="19" t="s">
        <v>218</v>
      </c>
      <c r="S9" s="19" t="s">
        <v>218</v>
      </c>
      <c r="T9" s="19" t="s">
        <v>218</v>
      </c>
      <c r="U9" s="19" t="s">
        <v>218</v>
      </c>
      <c r="V9" s="19" t="s">
        <v>218</v>
      </c>
      <c r="W9" s="19" t="s">
        <v>218</v>
      </c>
      <c r="X9" s="19" t="s">
        <v>218</v>
      </c>
      <c r="Z9"/>
      <c r="AA9"/>
      <c r="AB9"/>
      <c r="AC9"/>
      <c r="AD9"/>
    </row>
    <row r="10" spans="1:30" x14ac:dyDescent="0.35">
      <c r="A10" s="19">
        <v>202304</v>
      </c>
      <c r="B10" s="19" t="s">
        <v>563</v>
      </c>
      <c r="C10" s="19" t="s">
        <v>208</v>
      </c>
      <c r="F10" s="19" t="s">
        <v>208</v>
      </c>
      <c r="H10" s="19">
        <v>87</v>
      </c>
      <c r="I10" s="19" t="s">
        <v>564</v>
      </c>
      <c r="J10" s="19" t="s">
        <v>219</v>
      </c>
      <c r="K10" s="19" t="s">
        <v>508</v>
      </c>
      <c r="L10" s="19">
        <v>0</v>
      </c>
      <c r="M10" s="19" t="s">
        <v>218</v>
      </c>
      <c r="N10" s="19">
        <v>1</v>
      </c>
      <c r="O10" s="19" t="s">
        <v>222</v>
      </c>
      <c r="P10" s="19" t="s">
        <v>218</v>
      </c>
      <c r="Q10" s="19" t="s">
        <v>218</v>
      </c>
      <c r="R10" s="19" t="s">
        <v>218</v>
      </c>
      <c r="S10" s="19" t="s">
        <v>218</v>
      </c>
      <c r="T10" s="19" t="s">
        <v>218</v>
      </c>
      <c r="U10" s="19" t="s">
        <v>218</v>
      </c>
      <c r="V10" s="19" t="s">
        <v>218</v>
      </c>
      <c r="W10" s="19" t="s">
        <v>218</v>
      </c>
      <c r="X10" s="19" t="s">
        <v>218</v>
      </c>
      <c r="Z10"/>
      <c r="AA10"/>
      <c r="AB10"/>
      <c r="AC10"/>
      <c r="AD10"/>
    </row>
    <row r="11" spans="1:30" x14ac:dyDescent="0.35">
      <c r="A11" s="19">
        <v>202304</v>
      </c>
      <c r="B11" s="19" t="s">
        <v>565</v>
      </c>
      <c r="C11" s="19" t="s">
        <v>208</v>
      </c>
      <c r="H11" s="19">
        <v>87</v>
      </c>
      <c r="I11" s="19" t="s">
        <v>566</v>
      </c>
      <c r="J11" s="19" t="s">
        <v>219</v>
      </c>
      <c r="K11" s="19" t="s">
        <v>567</v>
      </c>
      <c r="L11" s="19">
        <v>0</v>
      </c>
      <c r="M11" s="19" t="s">
        <v>218</v>
      </c>
      <c r="N11" s="19">
        <v>1</v>
      </c>
      <c r="O11" s="19" t="s">
        <v>222</v>
      </c>
      <c r="P11" s="19" t="s">
        <v>218</v>
      </c>
      <c r="Q11" s="19" t="s">
        <v>218</v>
      </c>
      <c r="R11" s="19" t="s">
        <v>218</v>
      </c>
      <c r="S11" s="19" t="s">
        <v>218</v>
      </c>
      <c r="T11" s="19" t="s">
        <v>218</v>
      </c>
      <c r="U11" s="19" t="s">
        <v>218</v>
      </c>
      <c r="V11" s="19" t="s">
        <v>218</v>
      </c>
      <c r="W11" s="19" t="s">
        <v>218</v>
      </c>
      <c r="X11" s="19" t="s">
        <v>218</v>
      </c>
      <c r="Z11"/>
      <c r="AA11"/>
      <c r="AB11"/>
      <c r="AC11"/>
      <c r="AD11"/>
    </row>
    <row r="12" spans="1:30" x14ac:dyDescent="0.35">
      <c r="A12" s="19">
        <v>202304</v>
      </c>
      <c r="B12" s="19" t="s">
        <v>568</v>
      </c>
      <c r="C12" s="19" t="s">
        <v>208</v>
      </c>
      <c r="H12" s="19">
        <v>87</v>
      </c>
      <c r="I12" s="19" t="s">
        <v>569</v>
      </c>
      <c r="J12" s="19" t="s">
        <v>223</v>
      </c>
      <c r="K12" s="19" t="s">
        <v>443</v>
      </c>
      <c r="L12" s="19">
        <v>0</v>
      </c>
      <c r="M12" s="19" t="s">
        <v>218</v>
      </c>
      <c r="N12" s="19">
        <v>1</v>
      </c>
      <c r="O12" s="19" t="s">
        <v>222</v>
      </c>
      <c r="P12" s="19" t="s">
        <v>218</v>
      </c>
      <c r="Q12" s="19" t="s">
        <v>218</v>
      </c>
      <c r="R12" s="19" t="s">
        <v>218</v>
      </c>
      <c r="S12" s="19" t="s">
        <v>218</v>
      </c>
      <c r="T12" s="19" t="s">
        <v>218</v>
      </c>
      <c r="U12" s="19" t="s">
        <v>218</v>
      </c>
      <c r="V12" s="19" t="s">
        <v>218</v>
      </c>
      <c r="W12" s="19" t="s">
        <v>218</v>
      </c>
      <c r="X12" s="19" t="s">
        <v>218</v>
      </c>
      <c r="Z12"/>
      <c r="AA12"/>
      <c r="AB12"/>
      <c r="AC12"/>
      <c r="AD12"/>
    </row>
    <row r="13" spans="1:30" x14ac:dyDescent="0.35">
      <c r="A13" s="19">
        <v>202304</v>
      </c>
      <c r="B13" s="19" t="s">
        <v>570</v>
      </c>
      <c r="C13" s="19"/>
      <c r="D13" s="19" t="s">
        <v>208</v>
      </c>
      <c r="E13" s="19" t="s">
        <v>208</v>
      </c>
      <c r="F13" s="19" t="s">
        <v>208</v>
      </c>
      <c r="H13" s="19">
        <v>83</v>
      </c>
      <c r="I13" s="19" t="s">
        <v>571</v>
      </c>
      <c r="J13" s="19" t="s">
        <v>440</v>
      </c>
      <c r="K13" s="19" t="s">
        <v>452</v>
      </c>
      <c r="L13" s="19">
        <v>44</v>
      </c>
      <c r="M13" s="19" t="s">
        <v>291</v>
      </c>
      <c r="N13" s="19">
        <v>2</v>
      </c>
      <c r="O13" s="19" t="s">
        <v>253</v>
      </c>
      <c r="P13" s="19" t="s">
        <v>218</v>
      </c>
      <c r="Q13" s="19" t="s">
        <v>218</v>
      </c>
      <c r="R13" s="19" t="s">
        <v>218</v>
      </c>
      <c r="S13" s="19" t="s">
        <v>218</v>
      </c>
      <c r="T13" s="19" t="s">
        <v>218</v>
      </c>
      <c r="U13" s="19" t="s">
        <v>218</v>
      </c>
      <c r="V13" s="19" t="s">
        <v>218</v>
      </c>
      <c r="W13" s="19" t="s">
        <v>218</v>
      </c>
      <c r="X13" s="19" t="s">
        <v>218</v>
      </c>
      <c r="Z13"/>
      <c r="AA13"/>
      <c r="AB13"/>
      <c r="AC13"/>
      <c r="AD13"/>
    </row>
    <row r="14" spans="1:30" x14ac:dyDescent="0.35">
      <c r="A14" s="19">
        <v>202304</v>
      </c>
      <c r="B14" s="19" t="s">
        <v>572</v>
      </c>
      <c r="C14" s="19"/>
      <c r="F14" s="19" t="s">
        <v>208</v>
      </c>
      <c r="H14" s="19">
        <v>201</v>
      </c>
      <c r="I14" s="19" t="s">
        <v>218</v>
      </c>
      <c r="J14" s="19" t="s">
        <v>127</v>
      </c>
      <c r="K14" s="19" t="s">
        <v>532</v>
      </c>
      <c r="L14" s="19">
        <v>0</v>
      </c>
      <c r="M14" s="19" t="s">
        <v>218</v>
      </c>
      <c r="N14" s="19">
        <v>4</v>
      </c>
      <c r="O14" s="19" t="s">
        <v>222</v>
      </c>
      <c r="P14" s="19" t="s">
        <v>218</v>
      </c>
      <c r="Q14" s="19" t="s">
        <v>218</v>
      </c>
      <c r="R14" s="19" t="s">
        <v>218</v>
      </c>
      <c r="S14" s="19" t="s">
        <v>218</v>
      </c>
      <c r="T14" s="19" t="s">
        <v>218</v>
      </c>
      <c r="U14" s="19" t="s">
        <v>218</v>
      </c>
      <c r="V14" s="19" t="s">
        <v>218</v>
      </c>
      <c r="W14" s="19" t="s">
        <v>218</v>
      </c>
      <c r="X14" s="19" t="s">
        <v>218</v>
      </c>
      <c r="Z14"/>
      <c r="AA14"/>
      <c r="AB14"/>
      <c r="AC14"/>
      <c r="AD14"/>
    </row>
    <row r="15" spans="1:30" x14ac:dyDescent="0.35">
      <c r="A15" s="19">
        <v>202304</v>
      </c>
      <c r="B15" s="19" t="s">
        <v>573</v>
      </c>
      <c r="C15" s="19"/>
      <c r="F15" s="19" t="s">
        <v>208</v>
      </c>
      <c r="G15" s="19" t="s">
        <v>286</v>
      </c>
      <c r="H15" s="19">
        <v>201</v>
      </c>
      <c r="I15" s="19" t="s">
        <v>574</v>
      </c>
      <c r="J15" s="19" t="s">
        <v>126</v>
      </c>
      <c r="K15" s="19" t="s">
        <v>221</v>
      </c>
      <c r="L15" s="19">
        <v>0</v>
      </c>
      <c r="M15" s="19" t="s">
        <v>218</v>
      </c>
      <c r="N15" s="19">
        <v>4</v>
      </c>
      <c r="O15" s="19" t="s">
        <v>222</v>
      </c>
      <c r="P15" s="19" t="s">
        <v>218</v>
      </c>
      <c r="Q15" s="19" t="s">
        <v>218</v>
      </c>
      <c r="R15" s="19" t="s">
        <v>218</v>
      </c>
      <c r="S15" s="19" t="s">
        <v>218</v>
      </c>
      <c r="T15" s="19" t="s">
        <v>218</v>
      </c>
      <c r="U15" s="19" t="s">
        <v>218</v>
      </c>
      <c r="V15" s="19" t="s">
        <v>218</v>
      </c>
      <c r="W15" s="19" t="s">
        <v>218</v>
      </c>
      <c r="X15" s="19" t="s">
        <v>218</v>
      </c>
      <c r="Z15"/>
      <c r="AA15"/>
      <c r="AB15"/>
      <c r="AC15"/>
      <c r="AD15"/>
    </row>
    <row r="16" spans="1:30" x14ac:dyDescent="0.35">
      <c r="A16" s="19">
        <v>202304</v>
      </c>
      <c r="B16" s="19" t="s">
        <v>575</v>
      </c>
      <c r="C16" s="19" t="s">
        <v>208</v>
      </c>
      <c r="G16" s="19" t="s">
        <v>85</v>
      </c>
      <c r="H16" s="19">
        <v>87</v>
      </c>
      <c r="I16" s="19" t="s">
        <v>576</v>
      </c>
      <c r="J16" s="19" t="s">
        <v>127</v>
      </c>
      <c r="K16" s="19" t="s">
        <v>577</v>
      </c>
      <c r="L16" s="19">
        <v>0</v>
      </c>
      <c r="M16" s="19" t="s">
        <v>578</v>
      </c>
      <c r="N16" s="19">
        <v>1</v>
      </c>
      <c r="O16" s="19" t="s">
        <v>222</v>
      </c>
      <c r="P16" s="19" t="s">
        <v>218</v>
      </c>
      <c r="Q16" s="19" t="s">
        <v>218</v>
      </c>
      <c r="R16" s="19" t="s">
        <v>218</v>
      </c>
      <c r="S16" s="19" t="s">
        <v>218</v>
      </c>
      <c r="T16" s="19" t="s">
        <v>218</v>
      </c>
      <c r="U16" s="19" t="s">
        <v>218</v>
      </c>
      <c r="V16" s="19" t="s">
        <v>218</v>
      </c>
      <c r="W16" s="19" t="s">
        <v>218</v>
      </c>
      <c r="X16" s="19" t="s">
        <v>218</v>
      </c>
      <c r="Z16"/>
      <c r="AA16"/>
      <c r="AB16"/>
      <c r="AC16"/>
      <c r="AD16"/>
    </row>
    <row r="17" spans="1:30" x14ac:dyDescent="0.35">
      <c r="A17" s="19">
        <v>202304</v>
      </c>
      <c r="B17" s="19" t="s">
        <v>579</v>
      </c>
      <c r="C17" s="19"/>
      <c r="E17" s="19" t="s">
        <v>208</v>
      </c>
      <c r="F17" s="19" t="s">
        <v>217</v>
      </c>
      <c r="G17" s="19" t="s">
        <v>85</v>
      </c>
      <c r="H17" s="19">
        <v>83</v>
      </c>
      <c r="I17" s="19" t="s">
        <v>580</v>
      </c>
      <c r="J17" s="19" t="s">
        <v>126</v>
      </c>
      <c r="K17" s="19" t="s">
        <v>252</v>
      </c>
      <c r="L17" s="19">
        <v>5829</v>
      </c>
      <c r="M17" s="19" t="s">
        <v>519</v>
      </c>
      <c r="N17" s="19">
        <v>2</v>
      </c>
      <c r="O17" s="19" t="s">
        <v>253</v>
      </c>
      <c r="P17" s="19" t="s">
        <v>218</v>
      </c>
      <c r="Q17" s="19" t="s">
        <v>218</v>
      </c>
      <c r="R17" s="19" t="s">
        <v>218</v>
      </c>
      <c r="S17" s="19" t="s">
        <v>218</v>
      </c>
      <c r="T17" s="19" t="s">
        <v>218</v>
      </c>
      <c r="U17" s="19" t="s">
        <v>218</v>
      </c>
      <c r="V17" s="19" t="s">
        <v>218</v>
      </c>
      <c r="W17" s="19" t="s">
        <v>218</v>
      </c>
      <c r="X17" s="19" t="s">
        <v>218</v>
      </c>
      <c r="Z17"/>
      <c r="AA17"/>
      <c r="AB17"/>
      <c r="AC17"/>
      <c r="AD17"/>
    </row>
    <row r="18" spans="1:30" x14ac:dyDescent="0.35">
      <c r="A18" s="19">
        <v>202304</v>
      </c>
      <c r="B18" s="19" t="s">
        <v>581</v>
      </c>
      <c r="C18" s="19"/>
      <c r="F18" s="19" t="s">
        <v>208</v>
      </c>
      <c r="G18" s="19" t="s">
        <v>85</v>
      </c>
      <c r="H18" s="19">
        <v>201</v>
      </c>
      <c r="I18" s="19" t="s">
        <v>218</v>
      </c>
      <c r="J18" s="19" t="s">
        <v>127</v>
      </c>
      <c r="K18" s="19" t="s">
        <v>577</v>
      </c>
      <c r="L18" s="19">
        <v>0</v>
      </c>
      <c r="M18" s="19" t="s">
        <v>218</v>
      </c>
      <c r="N18" s="19">
        <v>4</v>
      </c>
      <c r="O18" s="19" t="s">
        <v>222</v>
      </c>
      <c r="P18" s="19" t="s">
        <v>218</v>
      </c>
      <c r="Q18" s="19" t="s">
        <v>218</v>
      </c>
      <c r="R18" s="19" t="s">
        <v>218</v>
      </c>
      <c r="S18" s="19" t="s">
        <v>218</v>
      </c>
      <c r="T18" s="19" t="s">
        <v>218</v>
      </c>
      <c r="U18" s="19" t="s">
        <v>218</v>
      </c>
      <c r="V18" s="19" t="s">
        <v>218</v>
      </c>
      <c r="W18" s="19" t="s">
        <v>218</v>
      </c>
      <c r="X18" s="19" t="s">
        <v>218</v>
      </c>
      <c r="Z18"/>
      <c r="AA18"/>
      <c r="AB18"/>
      <c r="AC18"/>
      <c r="AD18"/>
    </row>
    <row r="19" spans="1:30" x14ac:dyDescent="0.35">
      <c r="A19" s="19">
        <v>202304</v>
      </c>
      <c r="B19" s="19" t="s">
        <v>1412</v>
      </c>
      <c r="C19" s="19" t="s">
        <v>208</v>
      </c>
      <c r="H19" s="19">
        <v>87</v>
      </c>
      <c r="I19" s="19" t="s">
        <v>1413</v>
      </c>
      <c r="J19" s="19" t="s">
        <v>126</v>
      </c>
      <c r="K19" s="19" t="s">
        <v>468</v>
      </c>
      <c r="L19" s="19">
        <v>0</v>
      </c>
      <c r="M19" s="19" t="s">
        <v>218</v>
      </c>
      <c r="N19" s="19">
        <v>1</v>
      </c>
      <c r="O19" s="19" t="s">
        <v>222</v>
      </c>
      <c r="P19" s="19" t="s">
        <v>218</v>
      </c>
      <c r="Q19" s="19" t="s">
        <v>218</v>
      </c>
      <c r="R19" s="19" t="s">
        <v>218</v>
      </c>
      <c r="S19" s="19" t="s">
        <v>218</v>
      </c>
      <c r="T19" s="19" t="s">
        <v>218</v>
      </c>
      <c r="U19" s="19" t="s">
        <v>218</v>
      </c>
      <c r="V19" s="19" t="s">
        <v>218</v>
      </c>
      <c r="W19" s="19" t="s">
        <v>218</v>
      </c>
      <c r="X19" s="19" t="s">
        <v>218</v>
      </c>
      <c r="Z19"/>
      <c r="AA19"/>
      <c r="AB19"/>
      <c r="AC19"/>
      <c r="AD19"/>
    </row>
    <row r="20" spans="1:30" x14ac:dyDescent="0.35">
      <c r="A20" s="19">
        <v>202304</v>
      </c>
      <c r="B20" s="19" t="s">
        <v>582</v>
      </c>
      <c r="C20" s="19" t="s">
        <v>217</v>
      </c>
      <c r="E20" s="19" t="s">
        <v>208</v>
      </c>
      <c r="F20" s="19" t="s">
        <v>217</v>
      </c>
      <c r="G20" s="19" t="s">
        <v>85</v>
      </c>
      <c r="H20" s="19">
        <v>87</v>
      </c>
      <c r="I20" s="19" t="s">
        <v>583</v>
      </c>
      <c r="J20" s="19" t="s">
        <v>126</v>
      </c>
      <c r="K20" s="19" t="s">
        <v>468</v>
      </c>
      <c r="L20" s="19">
        <v>0</v>
      </c>
      <c r="M20" s="19" t="s">
        <v>560</v>
      </c>
      <c r="N20" s="19">
        <v>1</v>
      </c>
      <c r="O20" s="19" t="s">
        <v>222</v>
      </c>
      <c r="P20" s="19" t="s">
        <v>218</v>
      </c>
      <c r="Q20" s="19" t="s">
        <v>218</v>
      </c>
      <c r="R20" s="19" t="s">
        <v>218</v>
      </c>
      <c r="S20" s="19" t="s">
        <v>218</v>
      </c>
      <c r="T20" s="19" t="s">
        <v>218</v>
      </c>
      <c r="U20" s="19" t="s">
        <v>218</v>
      </c>
      <c r="V20" s="19" t="s">
        <v>218</v>
      </c>
      <c r="W20" s="19" t="s">
        <v>218</v>
      </c>
      <c r="X20" s="19" t="s">
        <v>218</v>
      </c>
      <c r="Z20"/>
      <c r="AA20"/>
      <c r="AB20"/>
      <c r="AC20"/>
      <c r="AD20"/>
    </row>
    <row r="21" spans="1:30" x14ac:dyDescent="0.35">
      <c r="A21" s="19">
        <v>202304</v>
      </c>
      <c r="B21" s="19" t="s">
        <v>584</v>
      </c>
      <c r="C21" s="19"/>
      <c r="F21" s="19" t="s">
        <v>208</v>
      </c>
      <c r="H21" s="19">
        <v>201</v>
      </c>
      <c r="I21" s="19" t="s">
        <v>218</v>
      </c>
      <c r="J21" s="19" t="s">
        <v>126</v>
      </c>
      <c r="K21" s="19" t="s">
        <v>221</v>
      </c>
      <c r="L21" s="19">
        <v>0</v>
      </c>
      <c r="M21" s="19" t="s">
        <v>218</v>
      </c>
      <c r="N21" s="19">
        <v>4</v>
      </c>
      <c r="O21" s="19" t="s">
        <v>222</v>
      </c>
      <c r="P21" s="19" t="s">
        <v>218</v>
      </c>
      <c r="Q21" s="19" t="s">
        <v>218</v>
      </c>
      <c r="R21" s="19" t="s">
        <v>218</v>
      </c>
      <c r="S21" s="19" t="s">
        <v>218</v>
      </c>
      <c r="T21" s="19" t="s">
        <v>218</v>
      </c>
      <c r="U21" s="19" t="s">
        <v>218</v>
      </c>
      <c r="V21" s="19" t="s">
        <v>218</v>
      </c>
      <c r="W21" s="19" t="s">
        <v>218</v>
      </c>
      <c r="X21" s="19" t="s">
        <v>218</v>
      </c>
      <c r="Z21"/>
      <c r="AA21"/>
      <c r="AB21"/>
      <c r="AC21"/>
      <c r="AD21"/>
    </row>
    <row r="22" spans="1:30" x14ac:dyDescent="0.35">
      <c r="A22" s="19">
        <v>202304</v>
      </c>
      <c r="B22" s="19" t="s">
        <v>585</v>
      </c>
      <c r="C22" s="19"/>
      <c r="F22" s="19" t="s">
        <v>208</v>
      </c>
      <c r="H22" s="19">
        <v>201</v>
      </c>
      <c r="I22" s="19" t="s">
        <v>218</v>
      </c>
      <c r="J22" s="19" t="s">
        <v>126</v>
      </c>
      <c r="K22" s="19" t="s">
        <v>221</v>
      </c>
      <c r="L22" s="19">
        <v>0</v>
      </c>
      <c r="M22" s="19" t="s">
        <v>218</v>
      </c>
      <c r="N22" s="19">
        <v>4</v>
      </c>
      <c r="O22" s="19" t="s">
        <v>222</v>
      </c>
      <c r="P22" s="19" t="s">
        <v>218</v>
      </c>
      <c r="Q22" s="19" t="s">
        <v>218</v>
      </c>
      <c r="R22" s="19" t="s">
        <v>218</v>
      </c>
      <c r="S22" s="19" t="s">
        <v>218</v>
      </c>
      <c r="T22" s="19" t="s">
        <v>218</v>
      </c>
      <c r="U22" s="19" t="s">
        <v>218</v>
      </c>
      <c r="V22" s="19" t="s">
        <v>218</v>
      </c>
      <c r="W22" s="19" t="s">
        <v>218</v>
      </c>
      <c r="X22" s="19" t="s">
        <v>218</v>
      </c>
      <c r="Z22"/>
      <c r="AA22"/>
      <c r="AB22"/>
      <c r="AC22"/>
      <c r="AD22"/>
    </row>
    <row r="23" spans="1:30" x14ac:dyDescent="0.35">
      <c r="A23" s="19">
        <v>202304</v>
      </c>
      <c r="B23" s="19" t="s">
        <v>484</v>
      </c>
      <c r="C23" s="19"/>
      <c r="E23" s="19" t="s">
        <v>208</v>
      </c>
      <c r="G23" s="19" t="s">
        <v>85</v>
      </c>
      <c r="H23" s="19">
        <v>83</v>
      </c>
      <c r="I23" s="19" t="s">
        <v>586</v>
      </c>
      <c r="J23" s="19" t="s">
        <v>127</v>
      </c>
      <c r="K23" s="19" t="s">
        <v>251</v>
      </c>
      <c r="L23" s="19">
        <v>5829</v>
      </c>
      <c r="M23" s="19" t="s">
        <v>519</v>
      </c>
      <c r="N23" s="19">
        <v>2</v>
      </c>
      <c r="O23" s="19" t="s">
        <v>253</v>
      </c>
      <c r="P23" s="19" t="s">
        <v>218</v>
      </c>
      <c r="Q23" s="19" t="s">
        <v>218</v>
      </c>
      <c r="R23" s="19" t="s">
        <v>218</v>
      </c>
      <c r="S23" s="19" t="s">
        <v>218</v>
      </c>
      <c r="T23" s="19" t="s">
        <v>218</v>
      </c>
      <c r="U23" s="19" t="s">
        <v>218</v>
      </c>
      <c r="V23" s="19" t="s">
        <v>218</v>
      </c>
      <c r="W23" s="19" t="s">
        <v>218</v>
      </c>
      <c r="X23" s="19" t="s">
        <v>218</v>
      </c>
      <c r="Z23"/>
      <c r="AA23"/>
      <c r="AB23"/>
      <c r="AC23"/>
      <c r="AD23"/>
    </row>
    <row r="24" spans="1:30" x14ac:dyDescent="0.35">
      <c r="A24" s="19">
        <v>202304</v>
      </c>
      <c r="B24" s="19" t="s">
        <v>533</v>
      </c>
      <c r="C24" s="19"/>
      <c r="E24" s="19" t="s">
        <v>208</v>
      </c>
      <c r="F24" s="19" t="s">
        <v>217</v>
      </c>
      <c r="G24" s="19" t="s">
        <v>85</v>
      </c>
      <c r="H24" s="19">
        <v>83</v>
      </c>
      <c r="I24" s="19" t="s">
        <v>587</v>
      </c>
      <c r="J24" s="19" t="s">
        <v>127</v>
      </c>
      <c r="K24" s="19" t="s">
        <v>251</v>
      </c>
      <c r="L24" s="19">
        <v>5829</v>
      </c>
      <c r="M24" s="19" t="s">
        <v>519</v>
      </c>
      <c r="N24" s="19">
        <v>2</v>
      </c>
      <c r="O24" s="19" t="s">
        <v>253</v>
      </c>
      <c r="P24" s="19" t="s">
        <v>218</v>
      </c>
      <c r="Q24" s="19" t="s">
        <v>218</v>
      </c>
      <c r="R24" s="19" t="s">
        <v>218</v>
      </c>
      <c r="S24" s="19" t="s">
        <v>218</v>
      </c>
      <c r="T24" s="19" t="s">
        <v>218</v>
      </c>
      <c r="U24" s="19" t="s">
        <v>218</v>
      </c>
      <c r="V24" s="19" t="s">
        <v>218</v>
      </c>
      <c r="W24" s="19" t="s">
        <v>218</v>
      </c>
      <c r="X24" s="19" t="s">
        <v>218</v>
      </c>
      <c r="Z24"/>
      <c r="AA24"/>
      <c r="AB24"/>
      <c r="AC24"/>
      <c r="AD24"/>
    </row>
    <row r="25" spans="1:30" x14ac:dyDescent="0.35">
      <c r="A25" s="19">
        <v>202304</v>
      </c>
      <c r="B25" s="19" t="s">
        <v>588</v>
      </c>
      <c r="C25" s="19" t="s">
        <v>208</v>
      </c>
      <c r="G25" s="19" t="s">
        <v>85</v>
      </c>
      <c r="H25" s="19">
        <v>87</v>
      </c>
      <c r="I25" s="19" t="s">
        <v>589</v>
      </c>
      <c r="J25" s="19" t="s">
        <v>126</v>
      </c>
      <c r="K25" s="19" t="s">
        <v>468</v>
      </c>
      <c r="L25" s="19">
        <v>0</v>
      </c>
      <c r="M25" s="19" t="s">
        <v>560</v>
      </c>
      <c r="N25" s="19">
        <v>1</v>
      </c>
      <c r="O25" s="19" t="s">
        <v>222</v>
      </c>
      <c r="P25" s="19" t="s">
        <v>218</v>
      </c>
      <c r="Q25" s="19" t="s">
        <v>218</v>
      </c>
      <c r="R25" s="19" t="s">
        <v>218</v>
      </c>
      <c r="S25" s="19" t="s">
        <v>218</v>
      </c>
      <c r="T25" s="19" t="s">
        <v>218</v>
      </c>
      <c r="U25" s="19" t="s">
        <v>218</v>
      </c>
      <c r="V25" s="19" t="s">
        <v>218</v>
      </c>
      <c r="W25" s="19" t="s">
        <v>218</v>
      </c>
      <c r="X25" s="19" t="s">
        <v>218</v>
      </c>
      <c r="Z25"/>
      <c r="AA25"/>
      <c r="AB25"/>
      <c r="AC25"/>
      <c r="AD25"/>
    </row>
    <row r="26" spans="1:30" x14ac:dyDescent="0.35">
      <c r="A26" s="19">
        <v>202304</v>
      </c>
      <c r="B26" s="19" t="s">
        <v>590</v>
      </c>
      <c r="C26" s="19"/>
      <c r="F26" s="19" t="s">
        <v>208</v>
      </c>
      <c r="H26" s="19">
        <v>201</v>
      </c>
      <c r="I26" s="19" t="s">
        <v>218</v>
      </c>
      <c r="J26" s="19" t="s">
        <v>440</v>
      </c>
      <c r="K26" s="19" t="s">
        <v>452</v>
      </c>
      <c r="L26" s="19">
        <v>0</v>
      </c>
      <c r="M26" s="19" t="s">
        <v>218</v>
      </c>
      <c r="N26" s="19">
        <v>4</v>
      </c>
      <c r="O26" s="19" t="s">
        <v>222</v>
      </c>
      <c r="P26" s="19" t="s">
        <v>218</v>
      </c>
      <c r="Q26" s="19" t="s">
        <v>218</v>
      </c>
      <c r="R26" s="19" t="s">
        <v>218</v>
      </c>
      <c r="S26" s="19" t="s">
        <v>218</v>
      </c>
      <c r="T26" s="19" t="s">
        <v>218</v>
      </c>
      <c r="U26" s="19" t="s">
        <v>218</v>
      </c>
      <c r="V26" s="19" t="s">
        <v>218</v>
      </c>
      <c r="W26" s="19" t="s">
        <v>218</v>
      </c>
      <c r="X26" s="19" t="s">
        <v>218</v>
      </c>
      <c r="Z26"/>
      <c r="AA26"/>
      <c r="AB26"/>
      <c r="AC26"/>
      <c r="AD26"/>
    </row>
    <row r="27" spans="1:30" x14ac:dyDescent="0.35">
      <c r="A27" s="19">
        <v>202304</v>
      </c>
      <c r="B27" s="19" t="s">
        <v>591</v>
      </c>
      <c r="C27" s="19"/>
      <c r="F27" s="19" t="s">
        <v>208</v>
      </c>
      <c r="H27" s="19">
        <v>201</v>
      </c>
      <c r="I27" s="19" t="s">
        <v>218</v>
      </c>
      <c r="J27" s="19" t="s">
        <v>126</v>
      </c>
      <c r="K27" s="19" t="s">
        <v>221</v>
      </c>
      <c r="L27" s="19">
        <v>0</v>
      </c>
      <c r="M27" s="19" t="s">
        <v>218</v>
      </c>
      <c r="N27" s="19">
        <v>4</v>
      </c>
      <c r="O27" s="19" t="s">
        <v>222</v>
      </c>
      <c r="P27" s="19" t="s">
        <v>218</v>
      </c>
      <c r="Q27" s="19" t="s">
        <v>218</v>
      </c>
      <c r="R27" s="19" t="s">
        <v>218</v>
      </c>
      <c r="S27" s="19" t="s">
        <v>218</v>
      </c>
      <c r="T27" s="19" t="s">
        <v>218</v>
      </c>
      <c r="U27" s="19" t="s">
        <v>218</v>
      </c>
      <c r="V27" s="19" t="s">
        <v>218</v>
      </c>
      <c r="W27" s="19" t="s">
        <v>218</v>
      </c>
      <c r="X27" s="19" t="s">
        <v>218</v>
      </c>
      <c r="Z27"/>
      <c r="AA27"/>
      <c r="AB27"/>
      <c r="AC27"/>
      <c r="AD27"/>
    </row>
    <row r="28" spans="1:30" x14ac:dyDescent="0.35">
      <c r="A28" s="19">
        <v>202304</v>
      </c>
      <c r="B28" s="19" t="s">
        <v>592</v>
      </c>
      <c r="C28" s="19" t="s">
        <v>217</v>
      </c>
      <c r="E28" s="19" t="s">
        <v>217</v>
      </c>
      <c r="F28" s="19" t="s">
        <v>208</v>
      </c>
      <c r="H28" s="19">
        <v>87</v>
      </c>
      <c r="I28" s="19" t="s">
        <v>593</v>
      </c>
      <c r="J28" s="19" t="s">
        <v>126</v>
      </c>
      <c r="K28" s="19" t="s">
        <v>468</v>
      </c>
      <c r="L28" s="19">
        <v>0</v>
      </c>
      <c r="M28" s="19" t="s">
        <v>594</v>
      </c>
      <c r="N28" s="19">
        <v>1</v>
      </c>
      <c r="O28" s="19" t="s">
        <v>222</v>
      </c>
      <c r="P28" s="19" t="s">
        <v>218</v>
      </c>
      <c r="Q28" s="19" t="s">
        <v>218</v>
      </c>
      <c r="R28" s="19" t="s">
        <v>218</v>
      </c>
      <c r="S28" s="19" t="s">
        <v>218</v>
      </c>
      <c r="T28" s="19" t="s">
        <v>218</v>
      </c>
      <c r="U28" s="19" t="s">
        <v>218</v>
      </c>
      <c r="V28" s="19" t="s">
        <v>218</v>
      </c>
      <c r="W28" s="19" t="s">
        <v>218</v>
      </c>
      <c r="X28" s="19" t="s">
        <v>218</v>
      </c>
      <c r="Z28"/>
      <c r="AA28"/>
      <c r="AB28"/>
      <c r="AC28"/>
      <c r="AD28"/>
    </row>
    <row r="29" spans="1:30" x14ac:dyDescent="0.35">
      <c r="A29" s="19">
        <v>202304</v>
      </c>
      <c r="B29" s="19" t="s">
        <v>595</v>
      </c>
      <c r="C29" s="19" t="s">
        <v>217</v>
      </c>
      <c r="F29" s="19" t="s">
        <v>208</v>
      </c>
      <c r="H29" s="19">
        <v>87</v>
      </c>
      <c r="I29" s="19" t="s">
        <v>596</v>
      </c>
      <c r="J29" s="19" t="s">
        <v>126</v>
      </c>
      <c r="K29" s="19" t="s">
        <v>468</v>
      </c>
      <c r="L29" s="19">
        <v>0</v>
      </c>
      <c r="M29" s="19" t="s">
        <v>594</v>
      </c>
      <c r="N29" s="19">
        <v>1</v>
      </c>
      <c r="O29" s="19" t="s">
        <v>222</v>
      </c>
      <c r="P29" s="19" t="s">
        <v>218</v>
      </c>
      <c r="Q29" s="19" t="s">
        <v>218</v>
      </c>
      <c r="R29" s="19" t="s">
        <v>218</v>
      </c>
      <c r="S29" s="19" t="s">
        <v>218</v>
      </c>
      <c r="T29" s="19" t="s">
        <v>218</v>
      </c>
      <c r="U29" s="19" t="s">
        <v>218</v>
      </c>
      <c r="V29" s="19" t="s">
        <v>218</v>
      </c>
      <c r="W29" s="19" t="s">
        <v>218</v>
      </c>
      <c r="X29" s="19" t="s">
        <v>218</v>
      </c>
      <c r="Z29"/>
      <c r="AA29"/>
      <c r="AB29"/>
      <c r="AC29"/>
      <c r="AD29"/>
    </row>
    <row r="30" spans="1:30" x14ac:dyDescent="0.35">
      <c r="A30" s="19">
        <v>202304</v>
      </c>
      <c r="B30" s="19" t="s">
        <v>597</v>
      </c>
      <c r="C30" s="19"/>
      <c r="F30" s="19" t="s">
        <v>208</v>
      </c>
      <c r="H30" s="19">
        <v>201</v>
      </c>
      <c r="I30" s="19" t="s">
        <v>598</v>
      </c>
      <c r="J30" s="19" t="s">
        <v>127</v>
      </c>
      <c r="K30" s="19" t="s">
        <v>532</v>
      </c>
      <c r="L30" s="19">
        <v>0</v>
      </c>
      <c r="M30" s="19" t="s">
        <v>594</v>
      </c>
      <c r="N30" s="19">
        <v>4</v>
      </c>
      <c r="O30" s="19" t="s">
        <v>222</v>
      </c>
      <c r="P30" s="19" t="s">
        <v>218</v>
      </c>
      <c r="Q30" s="19" t="s">
        <v>218</v>
      </c>
      <c r="R30" s="19" t="s">
        <v>218</v>
      </c>
      <c r="S30" s="19" t="s">
        <v>218</v>
      </c>
      <c r="T30" s="19" t="s">
        <v>218</v>
      </c>
      <c r="U30" s="19" t="s">
        <v>218</v>
      </c>
      <c r="V30" s="19" t="s">
        <v>218</v>
      </c>
      <c r="W30" s="19" t="s">
        <v>218</v>
      </c>
      <c r="X30" s="19" t="s">
        <v>218</v>
      </c>
      <c r="Z30"/>
      <c r="AA30"/>
      <c r="AB30"/>
      <c r="AC30"/>
      <c r="AD30"/>
    </row>
    <row r="31" spans="1:30" x14ac:dyDescent="0.35">
      <c r="A31" s="19">
        <v>202304</v>
      </c>
      <c r="B31" s="19" t="s">
        <v>599</v>
      </c>
      <c r="C31" s="19"/>
      <c r="F31" s="19" t="s">
        <v>208</v>
      </c>
      <c r="H31" s="19">
        <v>201</v>
      </c>
      <c r="I31" s="19" t="s">
        <v>218</v>
      </c>
      <c r="J31" s="19" t="s">
        <v>127</v>
      </c>
      <c r="K31" s="19" t="s">
        <v>577</v>
      </c>
      <c r="L31" s="19">
        <v>0</v>
      </c>
      <c r="M31" s="19" t="s">
        <v>218</v>
      </c>
      <c r="N31" s="19">
        <v>4</v>
      </c>
      <c r="O31" s="19" t="s">
        <v>222</v>
      </c>
      <c r="P31" s="19" t="s">
        <v>218</v>
      </c>
      <c r="Q31" s="19" t="s">
        <v>218</v>
      </c>
      <c r="R31" s="19" t="s">
        <v>218</v>
      </c>
      <c r="S31" s="19" t="s">
        <v>218</v>
      </c>
      <c r="T31" s="19" t="s">
        <v>218</v>
      </c>
      <c r="U31" s="19" t="s">
        <v>218</v>
      </c>
      <c r="V31" s="19" t="s">
        <v>218</v>
      </c>
      <c r="W31" s="19" t="s">
        <v>218</v>
      </c>
      <c r="X31" s="19" t="s">
        <v>218</v>
      </c>
      <c r="Z31"/>
      <c r="AA31"/>
      <c r="AB31"/>
      <c r="AC31"/>
      <c r="AD31"/>
    </row>
    <row r="32" spans="1:30" x14ac:dyDescent="0.35">
      <c r="A32" s="19">
        <v>202304</v>
      </c>
      <c r="B32" s="19" t="s">
        <v>600</v>
      </c>
      <c r="C32" s="19"/>
      <c r="F32" s="19" t="s">
        <v>208</v>
      </c>
      <c r="H32" s="19">
        <v>201</v>
      </c>
      <c r="I32" s="19" t="s">
        <v>601</v>
      </c>
      <c r="J32" s="19" t="s">
        <v>440</v>
      </c>
      <c r="K32" s="19" t="s">
        <v>452</v>
      </c>
      <c r="L32" s="19">
        <v>0</v>
      </c>
      <c r="M32" s="19" t="s">
        <v>594</v>
      </c>
      <c r="N32" s="19">
        <v>4</v>
      </c>
      <c r="O32" s="19" t="s">
        <v>222</v>
      </c>
      <c r="P32" s="19" t="s">
        <v>218</v>
      </c>
      <c r="Q32" s="19" t="s">
        <v>218</v>
      </c>
      <c r="R32" s="19" t="s">
        <v>218</v>
      </c>
      <c r="S32" s="19" t="s">
        <v>218</v>
      </c>
      <c r="T32" s="19" t="s">
        <v>218</v>
      </c>
      <c r="U32" s="19" t="s">
        <v>218</v>
      </c>
      <c r="V32" s="19" t="s">
        <v>218</v>
      </c>
      <c r="W32" s="19" t="s">
        <v>218</v>
      </c>
      <c r="X32" s="19" t="s">
        <v>218</v>
      </c>
      <c r="Z32"/>
      <c r="AA32"/>
      <c r="AB32"/>
      <c r="AC32"/>
      <c r="AD32"/>
    </row>
    <row r="33" spans="1:30" x14ac:dyDescent="0.35">
      <c r="A33" s="19">
        <v>202304</v>
      </c>
      <c r="B33" s="19" t="s">
        <v>602</v>
      </c>
      <c r="C33" s="19"/>
      <c r="F33" s="19" t="s">
        <v>208</v>
      </c>
      <c r="H33" s="19">
        <v>201</v>
      </c>
      <c r="I33" s="19" t="s">
        <v>603</v>
      </c>
      <c r="J33" s="19" t="s">
        <v>440</v>
      </c>
      <c r="K33" s="19" t="s">
        <v>452</v>
      </c>
      <c r="L33" s="19">
        <v>0</v>
      </c>
      <c r="M33" s="19" t="s">
        <v>594</v>
      </c>
      <c r="N33" s="19">
        <v>4</v>
      </c>
      <c r="O33" s="19" t="s">
        <v>222</v>
      </c>
      <c r="P33" s="19" t="s">
        <v>218</v>
      </c>
      <c r="Q33" s="19" t="s">
        <v>218</v>
      </c>
      <c r="R33" s="19" t="s">
        <v>218</v>
      </c>
      <c r="S33" s="19" t="s">
        <v>218</v>
      </c>
      <c r="T33" s="19" t="s">
        <v>218</v>
      </c>
      <c r="U33" s="19" t="s">
        <v>218</v>
      </c>
      <c r="V33" s="19" t="s">
        <v>218</v>
      </c>
      <c r="W33" s="19" t="s">
        <v>218</v>
      </c>
      <c r="X33" s="19" t="s">
        <v>218</v>
      </c>
      <c r="Z33"/>
      <c r="AA33"/>
      <c r="AB33"/>
      <c r="AC33"/>
      <c r="AD33"/>
    </row>
    <row r="34" spans="1:30" x14ac:dyDescent="0.35">
      <c r="A34" s="19">
        <v>202304</v>
      </c>
      <c r="B34" s="19" t="s">
        <v>604</v>
      </c>
      <c r="C34" s="19" t="s">
        <v>217</v>
      </c>
      <c r="F34" s="19" t="s">
        <v>208</v>
      </c>
      <c r="H34" s="19">
        <v>87</v>
      </c>
      <c r="I34" s="19" t="s">
        <v>605</v>
      </c>
      <c r="J34" s="19" t="s">
        <v>126</v>
      </c>
      <c r="K34" s="19" t="s">
        <v>468</v>
      </c>
      <c r="L34" s="19">
        <v>0</v>
      </c>
      <c r="M34" s="19" t="s">
        <v>218</v>
      </c>
      <c r="N34" s="19">
        <v>1</v>
      </c>
      <c r="O34" s="19" t="s">
        <v>222</v>
      </c>
      <c r="P34" s="19" t="s">
        <v>218</v>
      </c>
      <c r="Q34" s="19" t="s">
        <v>218</v>
      </c>
      <c r="R34" s="19" t="s">
        <v>218</v>
      </c>
      <c r="S34" s="19" t="s">
        <v>218</v>
      </c>
      <c r="T34" s="19" t="s">
        <v>218</v>
      </c>
      <c r="U34" s="19" t="s">
        <v>218</v>
      </c>
      <c r="V34" s="19" t="s">
        <v>218</v>
      </c>
      <c r="W34" s="19" t="s">
        <v>218</v>
      </c>
      <c r="X34" s="19" t="s">
        <v>218</v>
      </c>
      <c r="Z34"/>
      <c r="AA34"/>
      <c r="AB34"/>
      <c r="AC34"/>
      <c r="AD34"/>
    </row>
    <row r="35" spans="1:30" x14ac:dyDescent="0.35">
      <c r="A35" s="19">
        <v>202304</v>
      </c>
      <c r="B35" s="19" t="s">
        <v>606</v>
      </c>
      <c r="C35" s="19"/>
      <c r="F35" s="19" t="s">
        <v>208</v>
      </c>
      <c r="H35" s="19">
        <v>201</v>
      </c>
      <c r="I35" s="19" t="s">
        <v>226</v>
      </c>
      <c r="J35" s="19" t="s">
        <v>127</v>
      </c>
      <c r="K35" s="19" t="s">
        <v>532</v>
      </c>
      <c r="L35" s="19">
        <v>0</v>
      </c>
      <c r="M35" s="19" t="s">
        <v>578</v>
      </c>
      <c r="N35" s="19">
        <v>4</v>
      </c>
      <c r="O35" s="19" t="s">
        <v>222</v>
      </c>
      <c r="P35" s="19" t="s">
        <v>218</v>
      </c>
      <c r="Q35" s="19" t="s">
        <v>218</v>
      </c>
      <c r="R35" s="19" t="s">
        <v>218</v>
      </c>
      <c r="S35" s="19" t="s">
        <v>218</v>
      </c>
      <c r="T35" s="19" t="s">
        <v>218</v>
      </c>
      <c r="U35" s="19" t="s">
        <v>218</v>
      </c>
      <c r="V35" s="19" t="s">
        <v>218</v>
      </c>
      <c r="W35" s="19" t="s">
        <v>218</v>
      </c>
      <c r="X35" s="19" t="s">
        <v>218</v>
      </c>
      <c r="Z35"/>
      <c r="AA35"/>
      <c r="AB35"/>
      <c r="AC35"/>
      <c r="AD35"/>
    </row>
    <row r="36" spans="1:30" x14ac:dyDescent="0.35">
      <c r="A36" s="19">
        <v>202304</v>
      </c>
      <c r="B36" s="19" t="s">
        <v>607</v>
      </c>
      <c r="C36" s="19"/>
      <c r="F36" s="19" t="s">
        <v>208</v>
      </c>
      <c r="G36" s="19" t="s">
        <v>286</v>
      </c>
      <c r="H36" s="19">
        <v>201</v>
      </c>
      <c r="I36" s="19" t="s">
        <v>608</v>
      </c>
      <c r="J36" s="19" t="s">
        <v>126</v>
      </c>
      <c r="K36" s="19" t="s">
        <v>221</v>
      </c>
      <c r="L36" s="19">
        <v>0</v>
      </c>
      <c r="M36" s="19" t="s">
        <v>218</v>
      </c>
      <c r="N36" s="19">
        <v>4</v>
      </c>
      <c r="O36" s="19" t="s">
        <v>222</v>
      </c>
      <c r="P36" s="19" t="s">
        <v>218</v>
      </c>
      <c r="Q36" s="19" t="s">
        <v>218</v>
      </c>
      <c r="R36" s="19" t="s">
        <v>218</v>
      </c>
      <c r="S36" s="19" t="s">
        <v>218</v>
      </c>
      <c r="T36" s="19" t="s">
        <v>218</v>
      </c>
      <c r="U36" s="19" t="s">
        <v>218</v>
      </c>
      <c r="V36" s="19" t="s">
        <v>218</v>
      </c>
      <c r="W36" s="19" t="s">
        <v>218</v>
      </c>
      <c r="X36" s="19" t="s">
        <v>218</v>
      </c>
      <c r="Z36"/>
      <c r="AA36"/>
      <c r="AB36"/>
      <c r="AC36"/>
      <c r="AD36"/>
    </row>
    <row r="37" spans="1:30" x14ac:dyDescent="0.35">
      <c r="A37" s="19">
        <v>202304</v>
      </c>
      <c r="B37" s="19" t="s">
        <v>609</v>
      </c>
      <c r="C37" s="19" t="s">
        <v>208</v>
      </c>
      <c r="H37" s="19">
        <v>87</v>
      </c>
      <c r="I37" s="19" t="s">
        <v>610</v>
      </c>
      <c r="J37" s="19" t="s">
        <v>127</v>
      </c>
      <c r="K37" s="19" t="s">
        <v>532</v>
      </c>
      <c r="L37" s="19">
        <v>0</v>
      </c>
      <c r="M37" s="19" t="s">
        <v>218</v>
      </c>
      <c r="N37" s="19">
        <v>1</v>
      </c>
      <c r="O37" s="19" t="s">
        <v>222</v>
      </c>
      <c r="P37" s="19" t="s">
        <v>218</v>
      </c>
      <c r="Q37" s="19" t="s">
        <v>218</v>
      </c>
      <c r="R37" s="19" t="s">
        <v>218</v>
      </c>
      <c r="S37" s="19" t="s">
        <v>218</v>
      </c>
      <c r="T37" s="19" t="s">
        <v>218</v>
      </c>
      <c r="U37" s="19" t="s">
        <v>218</v>
      </c>
      <c r="V37" s="19" t="s">
        <v>218</v>
      </c>
      <c r="W37" s="19" t="s">
        <v>218</v>
      </c>
      <c r="X37" s="19" t="s">
        <v>218</v>
      </c>
      <c r="Z37"/>
      <c r="AA37"/>
      <c r="AB37"/>
      <c r="AC37"/>
      <c r="AD37"/>
    </row>
    <row r="38" spans="1:30" x14ac:dyDescent="0.35">
      <c r="A38" s="19">
        <v>202304</v>
      </c>
      <c r="B38" s="19" t="s">
        <v>611</v>
      </c>
      <c r="C38" s="19"/>
      <c r="F38" s="19" t="s">
        <v>208</v>
      </c>
      <c r="H38" s="19">
        <v>201</v>
      </c>
      <c r="I38" s="19" t="s">
        <v>218</v>
      </c>
      <c r="J38" s="19" t="s">
        <v>126</v>
      </c>
      <c r="K38" s="19" t="s">
        <v>221</v>
      </c>
      <c r="L38" s="19">
        <v>0</v>
      </c>
      <c r="M38" s="19" t="s">
        <v>218</v>
      </c>
      <c r="N38" s="19">
        <v>4</v>
      </c>
      <c r="O38" s="19" t="s">
        <v>222</v>
      </c>
      <c r="P38" s="19" t="s">
        <v>218</v>
      </c>
      <c r="Q38" s="19" t="s">
        <v>218</v>
      </c>
      <c r="R38" s="19" t="s">
        <v>218</v>
      </c>
      <c r="S38" s="19" t="s">
        <v>218</v>
      </c>
      <c r="T38" s="19" t="s">
        <v>218</v>
      </c>
      <c r="U38" s="19" t="s">
        <v>218</v>
      </c>
      <c r="V38" s="19" t="s">
        <v>218</v>
      </c>
      <c r="W38" s="19" t="s">
        <v>218</v>
      </c>
      <c r="X38" s="19" t="s">
        <v>218</v>
      </c>
      <c r="Z38"/>
      <c r="AA38"/>
      <c r="AB38"/>
      <c r="AC38"/>
      <c r="AD38"/>
    </row>
    <row r="39" spans="1:30" x14ac:dyDescent="0.35">
      <c r="A39" s="19">
        <v>202304</v>
      </c>
      <c r="B39" s="19" t="s">
        <v>612</v>
      </c>
      <c r="C39" s="19"/>
      <c r="F39" s="19" t="s">
        <v>208</v>
      </c>
      <c r="G39" s="19" t="s">
        <v>87</v>
      </c>
      <c r="H39" s="19">
        <v>201</v>
      </c>
      <c r="I39" s="19" t="s">
        <v>613</v>
      </c>
      <c r="J39" s="19" t="s">
        <v>126</v>
      </c>
      <c r="K39" s="19" t="s">
        <v>221</v>
      </c>
      <c r="L39" s="19">
        <v>0</v>
      </c>
      <c r="M39" s="19" t="s">
        <v>614</v>
      </c>
      <c r="N39" s="19">
        <v>4</v>
      </c>
      <c r="O39" s="19" t="s">
        <v>222</v>
      </c>
      <c r="P39" s="19" t="s">
        <v>218</v>
      </c>
      <c r="Q39" s="19" t="s">
        <v>218</v>
      </c>
      <c r="R39" s="19" t="s">
        <v>218</v>
      </c>
      <c r="S39" s="19" t="s">
        <v>218</v>
      </c>
      <c r="T39" s="19" t="s">
        <v>218</v>
      </c>
      <c r="U39" s="19" t="s">
        <v>218</v>
      </c>
      <c r="V39" s="19" t="s">
        <v>218</v>
      </c>
      <c r="W39" s="19" t="s">
        <v>218</v>
      </c>
      <c r="X39" s="19" t="s">
        <v>218</v>
      </c>
      <c r="Z39"/>
      <c r="AA39"/>
      <c r="AB39"/>
      <c r="AC39"/>
      <c r="AD39"/>
    </row>
    <row r="40" spans="1:30" x14ac:dyDescent="0.35">
      <c r="A40" s="19">
        <v>202304</v>
      </c>
      <c r="B40" s="19" t="s">
        <v>615</v>
      </c>
      <c r="C40" s="19"/>
      <c r="F40" s="19" t="s">
        <v>208</v>
      </c>
      <c r="G40" s="19" t="s">
        <v>514</v>
      </c>
      <c r="H40" s="19">
        <v>201</v>
      </c>
      <c r="I40" s="19" t="s">
        <v>218</v>
      </c>
      <c r="J40" s="19" t="s">
        <v>126</v>
      </c>
      <c r="K40" s="19" t="s">
        <v>221</v>
      </c>
      <c r="L40" s="19">
        <v>0</v>
      </c>
      <c r="M40" s="19" t="s">
        <v>218</v>
      </c>
      <c r="N40" s="19">
        <v>4</v>
      </c>
      <c r="O40" s="19" t="s">
        <v>222</v>
      </c>
      <c r="P40" s="19" t="s">
        <v>218</v>
      </c>
      <c r="Q40" s="19" t="s">
        <v>218</v>
      </c>
      <c r="R40" s="19" t="s">
        <v>218</v>
      </c>
      <c r="S40" s="19" t="s">
        <v>218</v>
      </c>
      <c r="T40" s="19" t="s">
        <v>218</v>
      </c>
      <c r="U40" s="19" t="s">
        <v>218</v>
      </c>
      <c r="V40" s="19" t="s">
        <v>218</v>
      </c>
      <c r="W40" s="19" t="s">
        <v>218</v>
      </c>
      <c r="X40" s="19" t="s">
        <v>218</v>
      </c>
      <c r="Z40"/>
      <c r="AA40"/>
      <c r="AB40"/>
      <c r="AC40"/>
      <c r="AD40"/>
    </row>
    <row r="41" spans="1:30" x14ac:dyDescent="0.35">
      <c r="A41" s="19">
        <v>202304</v>
      </c>
      <c r="B41" s="19" t="s">
        <v>616</v>
      </c>
      <c r="C41" s="19"/>
      <c r="F41" s="19" t="s">
        <v>208</v>
      </c>
      <c r="G41" s="19" t="s">
        <v>514</v>
      </c>
      <c r="H41" s="19">
        <v>201</v>
      </c>
      <c r="I41" s="19" t="s">
        <v>218</v>
      </c>
      <c r="J41" s="19" t="s">
        <v>126</v>
      </c>
      <c r="K41" s="19" t="s">
        <v>221</v>
      </c>
      <c r="L41" s="19">
        <v>0</v>
      </c>
      <c r="M41" s="19" t="s">
        <v>218</v>
      </c>
      <c r="N41" s="19">
        <v>4</v>
      </c>
      <c r="O41" s="19" t="s">
        <v>222</v>
      </c>
      <c r="P41" s="19" t="s">
        <v>218</v>
      </c>
      <c r="Q41" s="19" t="s">
        <v>218</v>
      </c>
      <c r="R41" s="19" t="s">
        <v>218</v>
      </c>
      <c r="S41" s="19" t="s">
        <v>218</v>
      </c>
      <c r="T41" s="19" t="s">
        <v>218</v>
      </c>
      <c r="U41" s="19" t="s">
        <v>218</v>
      </c>
      <c r="V41" s="19" t="s">
        <v>218</v>
      </c>
      <c r="W41" s="19" t="s">
        <v>218</v>
      </c>
      <c r="X41" s="19" t="s">
        <v>218</v>
      </c>
      <c r="Z41"/>
      <c r="AA41"/>
      <c r="AB41"/>
      <c r="AC41"/>
      <c r="AD41"/>
    </row>
    <row r="42" spans="1:30" x14ac:dyDescent="0.35">
      <c r="A42" s="19">
        <v>202304</v>
      </c>
      <c r="B42" s="19" t="s">
        <v>617</v>
      </c>
      <c r="C42" s="19"/>
      <c r="E42" s="19" t="s">
        <v>208</v>
      </c>
      <c r="G42" s="19" t="s">
        <v>85</v>
      </c>
      <c r="H42" s="19">
        <v>83</v>
      </c>
      <c r="I42" s="19" t="s">
        <v>618</v>
      </c>
      <c r="J42" s="19" t="s">
        <v>127</v>
      </c>
      <c r="K42" s="19" t="s">
        <v>251</v>
      </c>
      <c r="L42" s="19">
        <v>3651</v>
      </c>
      <c r="M42" s="19" t="s">
        <v>515</v>
      </c>
      <c r="N42" s="19">
        <v>2</v>
      </c>
      <c r="O42" s="19" t="s">
        <v>253</v>
      </c>
      <c r="P42" s="19" t="s">
        <v>218</v>
      </c>
      <c r="Q42" s="19" t="s">
        <v>218</v>
      </c>
      <c r="R42" s="19" t="s">
        <v>218</v>
      </c>
      <c r="S42" s="19" t="s">
        <v>218</v>
      </c>
      <c r="T42" s="19" t="s">
        <v>218</v>
      </c>
      <c r="U42" s="19" t="s">
        <v>218</v>
      </c>
      <c r="V42" s="19" t="s">
        <v>218</v>
      </c>
      <c r="W42" s="19" t="s">
        <v>218</v>
      </c>
      <c r="X42" s="19" t="s">
        <v>218</v>
      </c>
      <c r="Z42"/>
      <c r="AA42"/>
      <c r="AB42"/>
      <c r="AC42"/>
      <c r="AD42"/>
    </row>
    <row r="43" spans="1:30" x14ac:dyDescent="0.35">
      <c r="A43" s="19">
        <v>202304</v>
      </c>
      <c r="B43" s="19" t="s">
        <v>619</v>
      </c>
      <c r="C43" s="19"/>
      <c r="E43" s="19" t="s">
        <v>208</v>
      </c>
      <c r="F43" s="19" t="s">
        <v>208</v>
      </c>
      <c r="G43" s="19" t="s">
        <v>85</v>
      </c>
      <c r="H43" s="19">
        <v>83</v>
      </c>
      <c r="I43" s="19" t="s">
        <v>620</v>
      </c>
      <c r="J43" s="19" t="s">
        <v>127</v>
      </c>
      <c r="K43" s="19" t="s">
        <v>251</v>
      </c>
      <c r="L43" s="19">
        <v>3651</v>
      </c>
      <c r="M43" s="19" t="s">
        <v>515</v>
      </c>
      <c r="N43" s="19">
        <v>2</v>
      </c>
      <c r="O43" s="19" t="s">
        <v>253</v>
      </c>
      <c r="P43" s="19" t="s">
        <v>218</v>
      </c>
      <c r="Q43" s="19" t="s">
        <v>218</v>
      </c>
      <c r="R43" s="19" t="s">
        <v>218</v>
      </c>
      <c r="S43" s="19" t="s">
        <v>218</v>
      </c>
      <c r="T43" s="19" t="s">
        <v>218</v>
      </c>
      <c r="U43" s="19" t="s">
        <v>218</v>
      </c>
      <c r="V43" s="19" t="s">
        <v>218</v>
      </c>
      <c r="W43" s="19" t="s">
        <v>218</v>
      </c>
      <c r="X43" s="19" t="s">
        <v>218</v>
      </c>
      <c r="Z43"/>
      <c r="AA43"/>
      <c r="AB43"/>
      <c r="AC43"/>
      <c r="AD43"/>
    </row>
    <row r="44" spans="1:30" x14ac:dyDescent="0.35">
      <c r="A44" s="19">
        <v>202304</v>
      </c>
      <c r="B44" s="19" t="s">
        <v>621</v>
      </c>
      <c r="C44" s="19"/>
      <c r="E44" s="19" t="s">
        <v>208</v>
      </c>
      <c r="F44" s="19" t="s">
        <v>208</v>
      </c>
      <c r="G44" s="19" t="s">
        <v>477</v>
      </c>
      <c r="H44" s="19">
        <v>83</v>
      </c>
      <c r="I44" s="19" t="s">
        <v>622</v>
      </c>
      <c r="J44" s="19" t="s">
        <v>127</v>
      </c>
      <c r="K44" s="19" t="s">
        <v>251</v>
      </c>
      <c r="L44" s="19">
        <v>4090</v>
      </c>
      <c r="M44" s="19" t="s">
        <v>1414</v>
      </c>
      <c r="N44" s="19">
        <v>2</v>
      </c>
      <c r="O44" s="19" t="s">
        <v>253</v>
      </c>
      <c r="P44" s="19" t="s">
        <v>218</v>
      </c>
      <c r="Q44" s="19" t="s">
        <v>218</v>
      </c>
      <c r="R44" s="19" t="s">
        <v>218</v>
      </c>
      <c r="S44" s="19" t="s">
        <v>218</v>
      </c>
      <c r="T44" s="19" t="s">
        <v>218</v>
      </c>
      <c r="U44" s="19" t="s">
        <v>218</v>
      </c>
      <c r="V44" s="19" t="s">
        <v>218</v>
      </c>
      <c r="W44" s="19" t="s">
        <v>218</v>
      </c>
      <c r="X44" s="19" t="s">
        <v>218</v>
      </c>
      <c r="Z44"/>
      <c r="AA44"/>
      <c r="AB44"/>
      <c r="AC44"/>
      <c r="AD44"/>
    </row>
    <row r="45" spans="1:30" x14ac:dyDescent="0.35">
      <c r="A45" s="19">
        <v>202304</v>
      </c>
      <c r="B45" s="19" t="s">
        <v>623</v>
      </c>
      <c r="C45" s="19"/>
      <c r="E45" s="19" t="s">
        <v>208</v>
      </c>
      <c r="F45" s="19" t="s">
        <v>208</v>
      </c>
      <c r="G45" s="19" t="s">
        <v>477</v>
      </c>
      <c r="H45" s="19">
        <v>83</v>
      </c>
      <c r="I45" s="19" t="s">
        <v>624</v>
      </c>
      <c r="J45" s="19" t="s">
        <v>127</v>
      </c>
      <c r="K45" s="19" t="s">
        <v>577</v>
      </c>
      <c r="L45" s="19">
        <v>4090</v>
      </c>
      <c r="M45" s="19" t="s">
        <v>1414</v>
      </c>
      <c r="N45" s="19">
        <v>2</v>
      </c>
      <c r="O45" s="19" t="s">
        <v>253</v>
      </c>
      <c r="P45" s="19" t="s">
        <v>218</v>
      </c>
      <c r="Q45" s="19" t="s">
        <v>218</v>
      </c>
      <c r="R45" s="19" t="s">
        <v>218</v>
      </c>
      <c r="S45" s="19" t="s">
        <v>218</v>
      </c>
      <c r="T45" s="19" t="s">
        <v>218</v>
      </c>
      <c r="U45" s="19" t="s">
        <v>218</v>
      </c>
      <c r="V45" s="19" t="s">
        <v>218</v>
      </c>
      <c r="W45" s="19" t="s">
        <v>218</v>
      </c>
      <c r="X45" s="19" t="s">
        <v>218</v>
      </c>
      <c r="Z45"/>
      <c r="AA45"/>
      <c r="AB45"/>
      <c r="AC45"/>
      <c r="AD45"/>
    </row>
    <row r="46" spans="1:30" x14ac:dyDescent="0.35">
      <c r="A46" s="19">
        <v>202304</v>
      </c>
      <c r="B46" s="19" t="s">
        <v>625</v>
      </c>
      <c r="C46" s="19"/>
      <c r="E46" s="19" t="s">
        <v>208</v>
      </c>
      <c r="G46" s="19" t="s">
        <v>477</v>
      </c>
      <c r="H46" s="19">
        <v>83</v>
      </c>
      <c r="I46" s="19" t="s">
        <v>626</v>
      </c>
      <c r="J46" s="19" t="s">
        <v>127</v>
      </c>
      <c r="K46" s="19" t="s">
        <v>251</v>
      </c>
      <c r="L46" s="19">
        <v>4090</v>
      </c>
      <c r="M46" s="19" t="s">
        <v>1414</v>
      </c>
      <c r="N46" s="19">
        <v>2</v>
      </c>
      <c r="O46" s="19" t="s">
        <v>253</v>
      </c>
      <c r="P46" s="19" t="s">
        <v>218</v>
      </c>
      <c r="Q46" s="19" t="s">
        <v>218</v>
      </c>
      <c r="R46" s="19" t="s">
        <v>218</v>
      </c>
      <c r="S46" s="19" t="s">
        <v>218</v>
      </c>
      <c r="T46" s="19" t="s">
        <v>218</v>
      </c>
      <c r="U46" s="19" t="s">
        <v>218</v>
      </c>
      <c r="V46" s="19" t="s">
        <v>218</v>
      </c>
      <c r="W46" s="19" t="s">
        <v>218</v>
      </c>
      <c r="X46" s="19" t="s">
        <v>218</v>
      </c>
      <c r="Z46"/>
      <c r="AA46"/>
      <c r="AB46"/>
      <c r="AC46"/>
      <c r="AD46"/>
    </row>
    <row r="47" spans="1:30" x14ac:dyDescent="0.35">
      <c r="A47" s="19">
        <v>202304</v>
      </c>
      <c r="B47" s="19" t="s">
        <v>627</v>
      </c>
      <c r="C47" s="19"/>
      <c r="E47" s="19" t="s">
        <v>208</v>
      </c>
      <c r="F47" s="19" t="s">
        <v>208</v>
      </c>
      <c r="G47" s="19" t="s">
        <v>477</v>
      </c>
      <c r="H47" s="19">
        <v>83</v>
      </c>
      <c r="I47" s="19" t="s">
        <v>628</v>
      </c>
      <c r="J47" s="19" t="s">
        <v>127</v>
      </c>
      <c r="K47" s="19" t="s">
        <v>577</v>
      </c>
      <c r="L47" s="19">
        <v>4090</v>
      </c>
      <c r="M47" s="19" t="s">
        <v>1414</v>
      </c>
      <c r="N47" s="19">
        <v>2</v>
      </c>
      <c r="O47" s="19" t="s">
        <v>253</v>
      </c>
      <c r="P47" s="19" t="s">
        <v>218</v>
      </c>
      <c r="Q47" s="19" t="s">
        <v>218</v>
      </c>
      <c r="R47" s="19" t="s">
        <v>218</v>
      </c>
      <c r="S47" s="19" t="s">
        <v>218</v>
      </c>
      <c r="T47" s="19" t="s">
        <v>218</v>
      </c>
      <c r="U47" s="19" t="s">
        <v>218</v>
      </c>
      <c r="V47" s="19" t="s">
        <v>218</v>
      </c>
      <c r="W47" s="19" t="s">
        <v>218</v>
      </c>
      <c r="X47" s="19" t="s">
        <v>218</v>
      </c>
      <c r="Z47"/>
      <c r="AA47"/>
      <c r="AB47"/>
      <c r="AC47"/>
      <c r="AD47"/>
    </row>
    <row r="48" spans="1:30" x14ac:dyDescent="0.35">
      <c r="A48" s="19">
        <v>202304</v>
      </c>
      <c r="B48" s="19" t="s">
        <v>629</v>
      </c>
      <c r="C48" s="19"/>
      <c r="E48" s="19" t="s">
        <v>208</v>
      </c>
      <c r="F48" s="19" t="s">
        <v>208</v>
      </c>
      <c r="G48" s="19" t="s">
        <v>477</v>
      </c>
      <c r="H48" s="19">
        <v>83</v>
      </c>
      <c r="I48" s="19" t="s">
        <v>630</v>
      </c>
      <c r="J48" s="19" t="s">
        <v>127</v>
      </c>
      <c r="K48" s="19" t="s">
        <v>577</v>
      </c>
      <c r="L48" s="19">
        <v>4090</v>
      </c>
      <c r="M48" s="19" t="s">
        <v>1414</v>
      </c>
      <c r="N48" s="19">
        <v>2</v>
      </c>
      <c r="O48" s="19" t="s">
        <v>253</v>
      </c>
      <c r="P48" s="19" t="s">
        <v>218</v>
      </c>
      <c r="Q48" s="19" t="s">
        <v>218</v>
      </c>
      <c r="R48" s="19" t="s">
        <v>218</v>
      </c>
      <c r="S48" s="19" t="s">
        <v>218</v>
      </c>
      <c r="T48" s="19" t="s">
        <v>218</v>
      </c>
      <c r="U48" s="19" t="s">
        <v>218</v>
      </c>
      <c r="V48" s="19" t="s">
        <v>218</v>
      </c>
      <c r="W48" s="19" t="s">
        <v>218</v>
      </c>
      <c r="X48" s="19" t="s">
        <v>218</v>
      </c>
      <c r="Z48"/>
      <c r="AA48"/>
      <c r="AB48"/>
      <c r="AC48"/>
      <c r="AD48"/>
    </row>
    <row r="49" spans="1:30" x14ac:dyDescent="0.35">
      <c r="A49" s="19">
        <v>202304</v>
      </c>
      <c r="B49" s="19" t="s">
        <v>631</v>
      </c>
      <c r="C49" s="19"/>
      <c r="E49" s="19" t="s">
        <v>208</v>
      </c>
      <c r="G49" s="19" t="s">
        <v>477</v>
      </c>
      <c r="H49" s="19">
        <v>83</v>
      </c>
      <c r="I49" s="19" t="s">
        <v>632</v>
      </c>
      <c r="J49" s="19" t="s">
        <v>127</v>
      </c>
      <c r="K49" s="19" t="s">
        <v>577</v>
      </c>
      <c r="L49" s="19">
        <v>4090</v>
      </c>
      <c r="M49" s="19" t="s">
        <v>1414</v>
      </c>
      <c r="N49" s="19">
        <v>2</v>
      </c>
      <c r="O49" s="19" t="s">
        <v>253</v>
      </c>
      <c r="P49" s="19" t="s">
        <v>218</v>
      </c>
      <c r="Q49" s="19" t="s">
        <v>218</v>
      </c>
      <c r="R49" s="19" t="s">
        <v>218</v>
      </c>
      <c r="S49" s="19" t="s">
        <v>218</v>
      </c>
      <c r="T49" s="19" t="s">
        <v>218</v>
      </c>
      <c r="U49" s="19" t="s">
        <v>218</v>
      </c>
      <c r="V49" s="19" t="s">
        <v>218</v>
      </c>
      <c r="W49" s="19" t="s">
        <v>218</v>
      </c>
      <c r="X49" s="19" t="s">
        <v>218</v>
      </c>
      <c r="Z49"/>
      <c r="AA49"/>
      <c r="AB49"/>
      <c r="AC49"/>
      <c r="AD49"/>
    </row>
    <row r="50" spans="1:30" x14ac:dyDescent="0.35">
      <c r="A50" s="19">
        <v>202304</v>
      </c>
      <c r="B50" s="19" t="s">
        <v>633</v>
      </c>
      <c r="C50" s="19"/>
      <c r="E50" s="19" t="s">
        <v>208</v>
      </c>
      <c r="G50" s="19" t="s">
        <v>477</v>
      </c>
      <c r="H50" s="19">
        <v>83</v>
      </c>
      <c r="I50" s="19" t="s">
        <v>634</v>
      </c>
      <c r="J50" s="19" t="s">
        <v>127</v>
      </c>
      <c r="K50" s="19" t="s">
        <v>577</v>
      </c>
      <c r="L50" s="19">
        <v>4090</v>
      </c>
      <c r="M50" s="19" t="s">
        <v>1414</v>
      </c>
      <c r="N50" s="19">
        <v>2</v>
      </c>
      <c r="O50" s="19" t="s">
        <v>253</v>
      </c>
      <c r="P50" s="19" t="s">
        <v>218</v>
      </c>
      <c r="Q50" s="19" t="s">
        <v>218</v>
      </c>
      <c r="R50" s="19" t="s">
        <v>218</v>
      </c>
      <c r="S50" s="19" t="s">
        <v>218</v>
      </c>
      <c r="T50" s="19" t="s">
        <v>218</v>
      </c>
      <c r="U50" s="19" t="s">
        <v>218</v>
      </c>
      <c r="V50" s="19" t="s">
        <v>218</v>
      </c>
      <c r="W50" s="19" t="s">
        <v>218</v>
      </c>
      <c r="X50" s="19" t="s">
        <v>218</v>
      </c>
      <c r="Z50"/>
      <c r="AA50"/>
      <c r="AB50"/>
      <c r="AC50"/>
      <c r="AD50"/>
    </row>
    <row r="51" spans="1:30" x14ac:dyDescent="0.35">
      <c r="A51" s="19">
        <v>202304</v>
      </c>
      <c r="B51" s="19" t="s">
        <v>635</v>
      </c>
      <c r="C51" s="19"/>
      <c r="E51" s="19" t="s">
        <v>208</v>
      </c>
      <c r="G51" s="19" t="s">
        <v>286</v>
      </c>
      <c r="H51" s="19">
        <v>83</v>
      </c>
      <c r="I51" s="19" t="s">
        <v>636</v>
      </c>
      <c r="J51" s="19" t="s">
        <v>126</v>
      </c>
      <c r="K51" s="19" t="s">
        <v>252</v>
      </c>
      <c r="L51" s="19">
        <v>4740</v>
      </c>
      <c r="M51" s="19" t="s">
        <v>1415</v>
      </c>
      <c r="N51" s="19">
        <v>2</v>
      </c>
      <c r="O51" s="19" t="s">
        <v>253</v>
      </c>
      <c r="P51" s="19" t="s">
        <v>218</v>
      </c>
      <c r="Q51" s="19" t="s">
        <v>218</v>
      </c>
      <c r="R51" s="19" t="s">
        <v>218</v>
      </c>
      <c r="S51" s="19" t="s">
        <v>218</v>
      </c>
      <c r="T51" s="19" t="s">
        <v>218</v>
      </c>
      <c r="U51" s="19" t="s">
        <v>218</v>
      </c>
      <c r="V51" s="19" t="s">
        <v>218</v>
      </c>
      <c r="W51" s="19" t="s">
        <v>218</v>
      </c>
      <c r="X51" s="19" t="s">
        <v>218</v>
      </c>
      <c r="Z51"/>
      <c r="AA51"/>
      <c r="AB51"/>
      <c r="AC51"/>
      <c r="AD51"/>
    </row>
    <row r="52" spans="1:30" x14ac:dyDescent="0.35">
      <c r="A52" s="19">
        <v>202304</v>
      </c>
      <c r="B52" s="19" t="s">
        <v>637</v>
      </c>
      <c r="C52" s="19"/>
      <c r="F52" s="19" t="s">
        <v>208</v>
      </c>
      <c r="G52" s="19" t="s">
        <v>514</v>
      </c>
      <c r="H52" s="19">
        <v>201</v>
      </c>
      <c r="I52" s="19" t="s">
        <v>218</v>
      </c>
      <c r="J52" s="19" t="s">
        <v>126</v>
      </c>
      <c r="K52" s="19" t="s">
        <v>221</v>
      </c>
      <c r="L52" s="19">
        <v>0</v>
      </c>
      <c r="M52" s="19" t="s">
        <v>218</v>
      </c>
      <c r="N52" s="19">
        <v>4</v>
      </c>
      <c r="O52" s="19" t="s">
        <v>222</v>
      </c>
      <c r="P52" s="19" t="s">
        <v>218</v>
      </c>
      <c r="Q52" s="19" t="s">
        <v>218</v>
      </c>
      <c r="R52" s="19" t="s">
        <v>218</v>
      </c>
      <c r="S52" s="19" t="s">
        <v>218</v>
      </c>
      <c r="T52" s="19" t="s">
        <v>218</v>
      </c>
      <c r="U52" s="19" t="s">
        <v>218</v>
      </c>
      <c r="V52" s="19" t="s">
        <v>218</v>
      </c>
      <c r="W52" s="19" t="s">
        <v>218</v>
      </c>
      <c r="X52" s="19" t="s">
        <v>218</v>
      </c>
      <c r="Z52"/>
      <c r="AA52"/>
      <c r="AB52"/>
      <c r="AC52"/>
      <c r="AD52"/>
    </row>
    <row r="53" spans="1:30" x14ac:dyDescent="0.35">
      <c r="A53" s="19">
        <v>202304</v>
      </c>
      <c r="B53" s="19" t="s">
        <v>638</v>
      </c>
      <c r="C53" s="19" t="s">
        <v>208</v>
      </c>
      <c r="G53" s="19" t="s">
        <v>87</v>
      </c>
      <c r="H53" s="19">
        <v>87</v>
      </c>
      <c r="I53" s="19" t="s">
        <v>639</v>
      </c>
      <c r="J53" s="19" t="s">
        <v>127</v>
      </c>
      <c r="K53" s="19" t="s">
        <v>532</v>
      </c>
      <c r="L53" s="19">
        <v>0</v>
      </c>
      <c r="M53" s="19" t="s">
        <v>226</v>
      </c>
      <c r="N53" s="19">
        <v>1</v>
      </c>
      <c r="O53" s="19" t="s">
        <v>222</v>
      </c>
      <c r="P53" s="19" t="s">
        <v>218</v>
      </c>
      <c r="Q53" s="19" t="s">
        <v>218</v>
      </c>
      <c r="R53" s="19" t="s">
        <v>218</v>
      </c>
      <c r="S53" s="19" t="s">
        <v>218</v>
      </c>
      <c r="T53" s="19" t="s">
        <v>218</v>
      </c>
      <c r="U53" s="19" t="s">
        <v>218</v>
      </c>
      <c r="V53" s="19" t="s">
        <v>218</v>
      </c>
      <c r="W53" s="19" t="s">
        <v>218</v>
      </c>
      <c r="X53" s="19" t="s">
        <v>218</v>
      </c>
      <c r="Z53"/>
      <c r="AA53"/>
      <c r="AB53"/>
      <c r="AC53"/>
      <c r="AD53"/>
    </row>
    <row r="54" spans="1:30" x14ac:dyDescent="0.35">
      <c r="A54" s="19">
        <v>202304</v>
      </c>
      <c r="B54" s="19" t="s">
        <v>640</v>
      </c>
      <c r="C54" s="19" t="s">
        <v>208</v>
      </c>
      <c r="G54" s="19" t="s">
        <v>87</v>
      </c>
      <c r="H54" s="19">
        <v>87</v>
      </c>
      <c r="I54" s="19" t="s">
        <v>641</v>
      </c>
      <c r="J54" s="19" t="s">
        <v>127</v>
      </c>
      <c r="K54" s="19" t="s">
        <v>532</v>
      </c>
      <c r="L54" s="19">
        <v>0</v>
      </c>
      <c r="M54" s="19" t="s">
        <v>226</v>
      </c>
      <c r="N54" s="19">
        <v>1</v>
      </c>
      <c r="O54" s="19" t="s">
        <v>222</v>
      </c>
      <c r="P54" s="19" t="s">
        <v>218</v>
      </c>
      <c r="Q54" s="19" t="s">
        <v>218</v>
      </c>
      <c r="R54" s="19" t="s">
        <v>218</v>
      </c>
      <c r="S54" s="19" t="s">
        <v>218</v>
      </c>
      <c r="T54" s="19" t="s">
        <v>218</v>
      </c>
      <c r="U54" s="19" t="s">
        <v>218</v>
      </c>
      <c r="V54" s="19" t="s">
        <v>218</v>
      </c>
      <c r="W54" s="19" t="s">
        <v>218</v>
      </c>
      <c r="X54" s="19" t="s">
        <v>218</v>
      </c>
      <c r="Z54"/>
      <c r="AA54"/>
      <c r="AB54"/>
      <c r="AC54"/>
      <c r="AD54"/>
    </row>
    <row r="55" spans="1:30" x14ac:dyDescent="0.35">
      <c r="A55" s="19">
        <v>202304</v>
      </c>
      <c r="B55" s="19" t="s">
        <v>642</v>
      </c>
      <c r="C55" s="19" t="s">
        <v>208</v>
      </c>
      <c r="G55" s="19" t="s">
        <v>87</v>
      </c>
      <c r="H55" s="19">
        <v>87</v>
      </c>
      <c r="I55" s="19" t="s">
        <v>643</v>
      </c>
      <c r="J55" s="19" t="s">
        <v>127</v>
      </c>
      <c r="K55" s="19" t="s">
        <v>532</v>
      </c>
      <c r="L55" s="19">
        <v>0</v>
      </c>
      <c r="M55" s="19" t="s">
        <v>226</v>
      </c>
      <c r="N55" s="19">
        <v>1</v>
      </c>
      <c r="O55" s="19" t="s">
        <v>222</v>
      </c>
      <c r="P55" s="19" t="s">
        <v>218</v>
      </c>
      <c r="Q55" s="19" t="s">
        <v>218</v>
      </c>
      <c r="R55" s="19" t="s">
        <v>218</v>
      </c>
      <c r="S55" s="19" t="s">
        <v>218</v>
      </c>
      <c r="T55" s="19" t="s">
        <v>218</v>
      </c>
      <c r="U55" s="19" t="s">
        <v>218</v>
      </c>
      <c r="V55" s="19" t="s">
        <v>218</v>
      </c>
      <c r="W55" s="19" t="s">
        <v>218</v>
      </c>
      <c r="X55" s="19" t="s">
        <v>218</v>
      </c>
      <c r="Z55"/>
      <c r="AA55"/>
      <c r="AB55"/>
      <c r="AC55"/>
      <c r="AD55"/>
    </row>
    <row r="56" spans="1:30" x14ac:dyDescent="0.35">
      <c r="A56" s="19">
        <v>202304</v>
      </c>
      <c r="B56" s="19" t="s">
        <v>644</v>
      </c>
      <c r="C56" s="19" t="s">
        <v>208</v>
      </c>
      <c r="E56" s="19" t="s">
        <v>208</v>
      </c>
      <c r="G56" s="19" t="s">
        <v>87</v>
      </c>
      <c r="H56" s="19">
        <v>87</v>
      </c>
      <c r="I56" s="19" t="s">
        <v>645</v>
      </c>
      <c r="J56" s="19" t="s">
        <v>127</v>
      </c>
      <c r="K56" s="19" t="s">
        <v>532</v>
      </c>
      <c r="L56" s="19">
        <v>0</v>
      </c>
      <c r="M56" s="19" t="s">
        <v>226</v>
      </c>
      <c r="N56" s="19">
        <v>1</v>
      </c>
      <c r="O56" s="19" t="s">
        <v>222</v>
      </c>
      <c r="P56" s="19" t="s">
        <v>218</v>
      </c>
      <c r="Q56" s="19" t="s">
        <v>218</v>
      </c>
      <c r="R56" s="19" t="s">
        <v>218</v>
      </c>
      <c r="S56" s="19" t="s">
        <v>218</v>
      </c>
      <c r="T56" s="19" t="s">
        <v>218</v>
      </c>
      <c r="U56" s="19" t="s">
        <v>218</v>
      </c>
      <c r="V56" s="19" t="s">
        <v>218</v>
      </c>
      <c r="W56" s="19" t="s">
        <v>218</v>
      </c>
      <c r="X56" s="19" t="s">
        <v>218</v>
      </c>
      <c r="Z56"/>
      <c r="AA56"/>
      <c r="AB56"/>
      <c r="AC56"/>
      <c r="AD56"/>
    </row>
    <row r="57" spans="1:30" x14ac:dyDescent="0.35">
      <c r="A57" s="19">
        <v>202304</v>
      </c>
      <c r="B57" s="19" t="s">
        <v>646</v>
      </c>
      <c r="C57" s="19"/>
      <c r="E57" s="19" t="s">
        <v>208</v>
      </c>
      <c r="G57" s="19" t="s">
        <v>87</v>
      </c>
      <c r="H57" s="19">
        <v>83</v>
      </c>
      <c r="I57" s="19" t="s">
        <v>647</v>
      </c>
      <c r="J57" s="19" t="s">
        <v>126</v>
      </c>
      <c r="K57" s="19" t="s">
        <v>252</v>
      </c>
      <c r="L57" s="19">
        <v>5607</v>
      </c>
      <c r="M57" s="19" t="s">
        <v>1416</v>
      </c>
      <c r="N57" s="19">
        <v>2</v>
      </c>
      <c r="O57" s="19" t="s">
        <v>253</v>
      </c>
      <c r="P57" s="19" t="s">
        <v>218</v>
      </c>
      <c r="Q57" s="19" t="s">
        <v>218</v>
      </c>
      <c r="R57" s="19" t="s">
        <v>218</v>
      </c>
      <c r="S57" s="19" t="s">
        <v>218</v>
      </c>
      <c r="T57" s="19" t="s">
        <v>218</v>
      </c>
      <c r="U57" s="19" t="s">
        <v>218</v>
      </c>
      <c r="V57" s="19" t="s">
        <v>218</v>
      </c>
      <c r="W57" s="19" t="s">
        <v>218</v>
      </c>
      <c r="X57" s="19" t="s">
        <v>218</v>
      </c>
      <c r="Z57"/>
      <c r="AA57"/>
      <c r="AB57"/>
      <c r="AC57"/>
      <c r="AD57"/>
    </row>
    <row r="58" spans="1:30" x14ac:dyDescent="0.35">
      <c r="A58" s="19">
        <v>202304</v>
      </c>
      <c r="B58" s="19" t="s">
        <v>648</v>
      </c>
      <c r="C58" s="19"/>
      <c r="E58" s="19" t="s">
        <v>208</v>
      </c>
      <c r="G58" s="19" t="s">
        <v>87</v>
      </c>
      <c r="H58" s="19">
        <v>83</v>
      </c>
      <c r="I58" s="19" t="s">
        <v>649</v>
      </c>
      <c r="J58" s="19" t="s">
        <v>127</v>
      </c>
      <c r="K58" s="19" t="s">
        <v>251</v>
      </c>
      <c r="L58" s="19">
        <v>10597</v>
      </c>
      <c r="M58" s="19" t="s">
        <v>650</v>
      </c>
      <c r="N58" s="19">
        <v>2</v>
      </c>
      <c r="O58" s="19" t="s">
        <v>253</v>
      </c>
      <c r="P58" s="19" t="s">
        <v>218</v>
      </c>
      <c r="Q58" s="19" t="s">
        <v>218</v>
      </c>
      <c r="R58" s="19" t="s">
        <v>218</v>
      </c>
      <c r="S58" s="19" t="s">
        <v>218</v>
      </c>
      <c r="T58" s="19" t="s">
        <v>218</v>
      </c>
      <c r="U58" s="19" t="s">
        <v>218</v>
      </c>
      <c r="V58" s="19" t="s">
        <v>218</v>
      </c>
      <c r="W58" s="19" t="s">
        <v>218</v>
      </c>
      <c r="X58" s="19" t="s">
        <v>218</v>
      </c>
      <c r="Z58"/>
      <c r="AA58"/>
      <c r="AB58"/>
      <c r="AC58"/>
      <c r="AD58"/>
    </row>
    <row r="59" spans="1:30" x14ac:dyDescent="0.35">
      <c r="A59" s="19">
        <v>202304</v>
      </c>
      <c r="B59" s="19" t="s">
        <v>651</v>
      </c>
      <c r="C59" s="19"/>
      <c r="E59" s="19" t="s">
        <v>208</v>
      </c>
      <c r="F59" s="19" t="s">
        <v>208</v>
      </c>
      <c r="G59" s="19" t="s">
        <v>477</v>
      </c>
      <c r="H59" s="19">
        <v>83</v>
      </c>
      <c r="I59" s="19" t="s">
        <v>652</v>
      </c>
      <c r="J59" s="19" t="s">
        <v>127</v>
      </c>
      <c r="K59" s="19" t="s">
        <v>577</v>
      </c>
      <c r="L59" s="19">
        <v>4090</v>
      </c>
      <c r="M59" s="19" t="s">
        <v>1414</v>
      </c>
      <c r="N59" s="19">
        <v>2</v>
      </c>
      <c r="O59" s="19" t="s">
        <v>253</v>
      </c>
      <c r="P59" s="19" t="s">
        <v>218</v>
      </c>
      <c r="Q59" s="19" t="s">
        <v>218</v>
      </c>
      <c r="R59" s="19" t="s">
        <v>218</v>
      </c>
      <c r="S59" s="19" t="s">
        <v>218</v>
      </c>
      <c r="T59" s="19" t="s">
        <v>218</v>
      </c>
      <c r="U59" s="19" t="s">
        <v>218</v>
      </c>
      <c r="V59" s="19" t="s">
        <v>218</v>
      </c>
      <c r="W59" s="19" t="s">
        <v>218</v>
      </c>
      <c r="X59" s="19" t="s">
        <v>218</v>
      </c>
      <c r="Z59"/>
      <c r="AA59"/>
      <c r="AB59"/>
      <c r="AC59"/>
      <c r="AD59"/>
    </row>
    <row r="60" spans="1:30" x14ac:dyDescent="0.35">
      <c r="A60" s="19">
        <v>202304</v>
      </c>
      <c r="B60" s="19" t="s">
        <v>653</v>
      </c>
      <c r="C60" s="19"/>
      <c r="E60" s="19" t="s">
        <v>208</v>
      </c>
      <c r="F60" s="19" t="s">
        <v>208</v>
      </c>
      <c r="G60" s="19" t="s">
        <v>477</v>
      </c>
      <c r="H60" s="19">
        <v>83</v>
      </c>
      <c r="I60" s="19" t="s">
        <v>654</v>
      </c>
      <c r="J60" s="19" t="s">
        <v>127</v>
      </c>
      <c r="K60" s="19" t="s">
        <v>577</v>
      </c>
      <c r="L60" s="19">
        <v>4090</v>
      </c>
      <c r="M60" s="19" t="s">
        <v>1414</v>
      </c>
      <c r="N60" s="19">
        <v>2</v>
      </c>
      <c r="O60" s="19" t="s">
        <v>253</v>
      </c>
      <c r="P60" s="19" t="s">
        <v>218</v>
      </c>
      <c r="Q60" s="19" t="s">
        <v>218</v>
      </c>
      <c r="R60" s="19" t="s">
        <v>218</v>
      </c>
      <c r="S60" s="19" t="s">
        <v>218</v>
      </c>
      <c r="T60" s="19" t="s">
        <v>218</v>
      </c>
      <c r="U60" s="19" t="s">
        <v>218</v>
      </c>
      <c r="V60" s="19" t="s">
        <v>218</v>
      </c>
      <c r="W60" s="19" t="s">
        <v>218</v>
      </c>
      <c r="X60" s="19" t="s">
        <v>218</v>
      </c>
      <c r="Z60"/>
      <c r="AA60"/>
      <c r="AB60"/>
      <c r="AC60"/>
      <c r="AD60"/>
    </row>
    <row r="61" spans="1:30" x14ac:dyDescent="0.35">
      <c r="A61" s="19">
        <v>202304</v>
      </c>
      <c r="B61" s="19" t="s">
        <v>655</v>
      </c>
      <c r="C61" s="19"/>
      <c r="E61" s="19" t="s">
        <v>208</v>
      </c>
      <c r="F61" s="19" t="s">
        <v>208</v>
      </c>
      <c r="G61" s="19" t="s">
        <v>477</v>
      </c>
      <c r="H61" s="19">
        <v>83</v>
      </c>
      <c r="I61" s="19" t="s">
        <v>656</v>
      </c>
      <c r="J61" s="19" t="s">
        <v>127</v>
      </c>
      <c r="K61" s="19" t="s">
        <v>577</v>
      </c>
      <c r="L61" s="19">
        <v>4090</v>
      </c>
      <c r="M61" s="19" t="s">
        <v>1414</v>
      </c>
      <c r="N61" s="19">
        <v>2</v>
      </c>
      <c r="O61" s="19" t="s">
        <v>253</v>
      </c>
      <c r="P61" s="19" t="s">
        <v>218</v>
      </c>
      <c r="Q61" s="19" t="s">
        <v>218</v>
      </c>
      <c r="R61" s="19" t="s">
        <v>218</v>
      </c>
      <c r="S61" s="19" t="s">
        <v>218</v>
      </c>
      <c r="T61" s="19" t="s">
        <v>218</v>
      </c>
      <c r="U61" s="19" t="s">
        <v>218</v>
      </c>
      <c r="V61" s="19" t="s">
        <v>218</v>
      </c>
      <c r="W61" s="19" t="s">
        <v>218</v>
      </c>
      <c r="X61" s="19" t="s">
        <v>218</v>
      </c>
      <c r="Z61"/>
      <c r="AA61"/>
      <c r="AB61"/>
      <c r="AC61"/>
      <c r="AD61"/>
    </row>
    <row r="62" spans="1:30" x14ac:dyDescent="0.35">
      <c r="A62" s="19">
        <v>202304</v>
      </c>
      <c r="B62" s="19" t="s">
        <v>657</v>
      </c>
      <c r="C62" s="19"/>
      <c r="E62" s="19" t="s">
        <v>208</v>
      </c>
      <c r="F62" s="19" t="s">
        <v>208</v>
      </c>
      <c r="G62" s="19" t="s">
        <v>477</v>
      </c>
      <c r="H62" s="19">
        <v>83</v>
      </c>
      <c r="I62" s="19" t="s">
        <v>658</v>
      </c>
      <c r="J62" s="19" t="s">
        <v>127</v>
      </c>
      <c r="K62" s="19" t="s">
        <v>577</v>
      </c>
      <c r="L62" s="19">
        <v>4090</v>
      </c>
      <c r="M62" s="19" t="s">
        <v>1414</v>
      </c>
      <c r="N62" s="19">
        <v>2</v>
      </c>
      <c r="O62" s="19" t="s">
        <v>253</v>
      </c>
      <c r="P62" s="19" t="s">
        <v>218</v>
      </c>
      <c r="Q62" s="19" t="s">
        <v>218</v>
      </c>
      <c r="R62" s="19" t="s">
        <v>218</v>
      </c>
      <c r="S62" s="19" t="s">
        <v>218</v>
      </c>
      <c r="T62" s="19" t="s">
        <v>218</v>
      </c>
      <c r="U62" s="19" t="s">
        <v>218</v>
      </c>
      <c r="V62" s="19" t="s">
        <v>218</v>
      </c>
      <c r="W62" s="19" t="s">
        <v>218</v>
      </c>
      <c r="X62" s="19" t="s">
        <v>218</v>
      </c>
      <c r="Z62"/>
      <c r="AA62"/>
      <c r="AB62"/>
      <c r="AC62"/>
      <c r="AD62"/>
    </row>
    <row r="63" spans="1:30" x14ac:dyDescent="0.35">
      <c r="A63" s="19">
        <v>202304</v>
      </c>
      <c r="B63" s="19" t="s">
        <v>659</v>
      </c>
      <c r="C63" s="19"/>
      <c r="E63" s="19" t="s">
        <v>208</v>
      </c>
      <c r="G63" s="19" t="s">
        <v>477</v>
      </c>
      <c r="H63" s="19">
        <v>83</v>
      </c>
      <c r="I63" s="19" t="s">
        <v>660</v>
      </c>
      <c r="J63" s="19" t="s">
        <v>127</v>
      </c>
      <c r="K63" s="19" t="s">
        <v>577</v>
      </c>
      <c r="L63" s="19">
        <v>4090</v>
      </c>
      <c r="M63" s="19" t="s">
        <v>1414</v>
      </c>
      <c r="N63" s="19">
        <v>2</v>
      </c>
      <c r="O63" s="19" t="s">
        <v>253</v>
      </c>
      <c r="P63" s="19" t="s">
        <v>218</v>
      </c>
      <c r="Q63" s="19" t="s">
        <v>218</v>
      </c>
      <c r="R63" s="19" t="s">
        <v>218</v>
      </c>
      <c r="S63" s="19" t="s">
        <v>218</v>
      </c>
      <c r="T63" s="19" t="s">
        <v>218</v>
      </c>
      <c r="U63" s="19" t="s">
        <v>218</v>
      </c>
      <c r="V63" s="19" t="s">
        <v>218</v>
      </c>
      <c r="W63" s="19" t="s">
        <v>218</v>
      </c>
      <c r="X63" s="19" t="s">
        <v>218</v>
      </c>
      <c r="Z63"/>
      <c r="AA63"/>
      <c r="AB63"/>
      <c r="AC63"/>
      <c r="AD63"/>
    </row>
    <row r="64" spans="1:30" x14ac:dyDescent="0.35">
      <c r="A64" s="19">
        <v>202304</v>
      </c>
      <c r="B64" s="19" t="s">
        <v>661</v>
      </c>
      <c r="C64" s="19"/>
      <c r="E64" s="19" t="s">
        <v>208</v>
      </c>
      <c r="F64" s="19" t="s">
        <v>208</v>
      </c>
      <c r="G64" s="19" t="s">
        <v>477</v>
      </c>
      <c r="H64" s="19">
        <v>83</v>
      </c>
      <c r="I64" s="19" t="s">
        <v>662</v>
      </c>
      <c r="J64" s="19" t="s">
        <v>127</v>
      </c>
      <c r="K64" s="19" t="s">
        <v>577</v>
      </c>
      <c r="L64" s="19">
        <v>4090</v>
      </c>
      <c r="M64" s="19" t="s">
        <v>1414</v>
      </c>
      <c r="N64" s="19">
        <v>2</v>
      </c>
      <c r="O64" s="19" t="s">
        <v>253</v>
      </c>
      <c r="P64" s="19" t="s">
        <v>218</v>
      </c>
      <c r="Q64" s="19" t="s">
        <v>218</v>
      </c>
      <c r="R64" s="19" t="s">
        <v>218</v>
      </c>
      <c r="S64" s="19" t="s">
        <v>218</v>
      </c>
      <c r="T64" s="19" t="s">
        <v>218</v>
      </c>
      <c r="U64" s="19" t="s">
        <v>218</v>
      </c>
      <c r="V64" s="19" t="s">
        <v>218</v>
      </c>
      <c r="W64" s="19" t="s">
        <v>218</v>
      </c>
      <c r="X64" s="19" t="s">
        <v>218</v>
      </c>
      <c r="Z64"/>
      <c r="AA64"/>
      <c r="AB64"/>
      <c r="AC64"/>
      <c r="AD64"/>
    </row>
    <row r="65" spans="1:30" x14ac:dyDescent="0.35">
      <c r="A65" s="19">
        <v>202304</v>
      </c>
      <c r="B65" s="19" t="s">
        <v>663</v>
      </c>
      <c r="C65" s="19"/>
      <c r="E65" s="19" t="s">
        <v>208</v>
      </c>
      <c r="F65" s="19" t="s">
        <v>208</v>
      </c>
      <c r="G65" s="19" t="s">
        <v>477</v>
      </c>
      <c r="H65" s="19">
        <v>83</v>
      </c>
      <c r="I65" s="19" t="s">
        <v>664</v>
      </c>
      <c r="J65" s="19" t="s">
        <v>127</v>
      </c>
      <c r="K65" s="19" t="s">
        <v>577</v>
      </c>
      <c r="L65" s="19">
        <v>4090</v>
      </c>
      <c r="M65" s="19" t="s">
        <v>1414</v>
      </c>
      <c r="N65" s="19">
        <v>2</v>
      </c>
      <c r="O65" s="19" t="s">
        <v>253</v>
      </c>
      <c r="P65" s="19" t="s">
        <v>218</v>
      </c>
      <c r="Q65" s="19" t="s">
        <v>218</v>
      </c>
      <c r="R65" s="19" t="s">
        <v>218</v>
      </c>
      <c r="S65" s="19" t="s">
        <v>218</v>
      </c>
      <c r="T65" s="19" t="s">
        <v>218</v>
      </c>
      <c r="U65" s="19" t="s">
        <v>218</v>
      </c>
      <c r="V65" s="19" t="s">
        <v>218</v>
      </c>
      <c r="W65" s="19" t="s">
        <v>218</v>
      </c>
      <c r="X65" s="19" t="s">
        <v>218</v>
      </c>
      <c r="Z65"/>
      <c r="AA65"/>
      <c r="AB65"/>
      <c r="AC65"/>
      <c r="AD65"/>
    </row>
    <row r="66" spans="1:30" x14ac:dyDescent="0.35">
      <c r="A66" s="19">
        <v>202304</v>
      </c>
      <c r="B66" s="19" t="s">
        <v>665</v>
      </c>
      <c r="C66" s="19"/>
      <c r="E66" s="19" t="s">
        <v>208</v>
      </c>
      <c r="G66" s="19" t="s">
        <v>477</v>
      </c>
      <c r="H66" s="19">
        <v>83</v>
      </c>
      <c r="I66" s="19" t="s">
        <v>666</v>
      </c>
      <c r="J66" s="19" t="s">
        <v>127</v>
      </c>
      <c r="K66" s="19" t="s">
        <v>251</v>
      </c>
      <c r="L66" s="19">
        <v>5973</v>
      </c>
      <c r="M66" s="19" t="s">
        <v>1417</v>
      </c>
      <c r="N66" s="19">
        <v>2</v>
      </c>
      <c r="O66" s="19" t="s">
        <v>253</v>
      </c>
      <c r="P66" s="19" t="s">
        <v>218</v>
      </c>
      <c r="Q66" s="19" t="s">
        <v>218</v>
      </c>
      <c r="R66" s="19" t="s">
        <v>218</v>
      </c>
      <c r="S66" s="19" t="s">
        <v>218</v>
      </c>
      <c r="T66" s="19" t="s">
        <v>218</v>
      </c>
      <c r="U66" s="19" t="s">
        <v>218</v>
      </c>
      <c r="V66" s="19" t="s">
        <v>218</v>
      </c>
      <c r="W66" s="19" t="s">
        <v>218</v>
      </c>
      <c r="X66" s="19" t="s">
        <v>218</v>
      </c>
      <c r="Z66"/>
      <c r="AA66"/>
      <c r="AB66"/>
      <c r="AC66"/>
      <c r="AD66"/>
    </row>
    <row r="67" spans="1:30" x14ac:dyDescent="0.35">
      <c r="A67" s="19">
        <v>202304</v>
      </c>
      <c r="B67" s="19" t="s">
        <v>667</v>
      </c>
      <c r="C67" s="19"/>
      <c r="E67" s="19" t="s">
        <v>208</v>
      </c>
      <c r="F67" s="19" t="s">
        <v>208</v>
      </c>
      <c r="G67" s="19" t="s">
        <v>477</v>
      </c>
      <c r="H67" s="19">
        <v>83</v>
      </c>
      <c r="I67" s="19" t="s">
        <v>668</v>
      </c>
      <c r="J67" s="19" t="s">
        <v>127</v>
      </c>
      <c r="K67" s="19" t="s">
        <v>577</v>
      </c>
      <c r="L67" s="19">
        <v>4090</v>
      </c>
      <c r="M67" s="19" t="s">
        <v>1414</v>
      </c>
      <c r="N67" s="19">
        <v>2</v>
      </c>
      <c r="O67" s="19" t="s">
        <v>253</v>
      </c>
      <c r="P67" s="19" t="s">
        <v>218</v>
      </c>
      <c r="Q67" s="19" t="s">
        <v>218</v>
      </c>
      <c r="R67" s="19" t="s">
        <v>218</v>
      </c>
      <c r="S67" s="19" t="s">
        <v>218</v>
      </c>
      <c r="T67" s="19" t="s">
        <v>218</v>
      </c>
      <c r="U67" s="19" t="s">
        <v>218</v>
      </c>
      <c r="V67" s="19" t="s">
        <v>218</v>
      </c>
      <c r="W67" s="19" t="s">
        <v>218</v>
      </c>
      <c r="X67" s="19" t="s">
        <v>218</v>
      </c>
      <c r="Z67"/>
      <c r="AA67"/>
      <c r="AB67"/>
      <c r="AC67"/>
      <c r="AD67"/>
    </row>
    <row r="68" spans="1:30" x14ac:dyDescent="0.35">
      <c r="A68" s="19">
        <v>202304</v>
      </c>
      <c r="B68" s="19" t="s">
        <v>669</v>
      </c>
      <c r="C68" s="19" t="s">
        <v>208</v>
      </c>
      <c r="E68" s="19" t="s">
        <v>208</v>
      </c>
      <c r="G68" s="19" t="s">
        <v>286</v>
      </c>
      <c r="H68" s="19">
        <v>87</v>
      </c>
      <c r="I68" s="19" t="s">
        <v>670</v>
      </c>
      <c r="J68" s="19" t="s">
        <v>126</v>
      </c>
      <c r="K68" s="19" t="s">
        <v>221</v>
      </c>
      <c r="L68" s="19">
        <v>0</v>
      </c>
      <c r="M68" s="19" t="s">
        <v>218</v>
      </c>
      <c r="N68" s="19">
        <v>1</v>
      </c>
      <c r="O68" s="19" t="s">
        <v>222</v>
      </c>
      <c r="P68" s="19" t="s">
        <v>218</v>
      </c>
      <c r="Q68" s="19" t="s">
        <v>218</v>
      </c>
      <c r="R68" s="19" t="s">
        <v>218</v>
      </c>
      <c r="S68" s="19" t="s">
        <v>218</v>
      </c>
      <c r="T68" s="19" t="s">
        <v>218</v>
      </c>
      <c r="U68" s="19" t="s">
        <v>218</v>
      </c>
      <c r="V68" s="19" t="s">
        <v>218</v>
      </c>
      <c r="W68" s="19" t="s">
        <v>218</v>
      </c>
      <c r="X68" s="19" t="s">
        <v>218</v>
      </c>
      <c r="Z68"/>
      <c r="AA68"/>
      <c r="AB68"/>
      <c r="AC68"/>
      <c r="AD68"/>
    </row>
    <row r="69" spans="1:30" x14ac:dyDescent="0.35">
      <c r="A69" s="19">
        <v>202304</v>
      </c>
      <c r="B69" s="19" t="s">
        <v>671</v>
      </c>
      <c r="C69" s="19"/>
      <c r="E69" s="19" t="s">
        <v>208</v>
      </c>
      <c r="F69" s="19" t="s">
        <v>208</v>
      </c>
      <c r="G69" s="19" t="s">
        <v>85</v>
      </c>
      <c r="H69" s="19">
        <v>83</v>
      </c>
      <c r="I69" s="19" t="s">
        <v>672</v>
      </c>
      <c r="J69" s="19" t="s">
        <v>126</v>
      </c>
      <c r="K69" s="19" t="s">
        <v>468</v>
      </c>
      <c r="L69" s="19">
        <v>4762</v>
      </c>
      <c r="M69" s="19" t="s">
        <v>1418</v>
      </c>
      <c r="N69" s="19">
        <v>2</v>
      </c>
      <c r="O69" s="19" t="s">
        <v>253</v>
      </c>
      <c r="P69" s="19" t="s">
        <v>218</v>
      </c>
      <c r="Q69" s="19" t="s">
        <v>218</v>
      </c>
      <c r="R69" s="19" t="s">
        <v>218</v>
      </c>
      <c r="S69" s="19" t="s">
        <v>218</v>
      </c>
      <c r="T69" s="19" t="s">
        <v>218</v>
      </c>
      <c r="U69" s="19" t="s">
        <v>218</v>
      </c>
      <c r="V69" s="19" t="s">
        <v>218</v>
      </c>
      <c r="W69" s="19" t="s">
        <v>218</v>
      </c>
      <c r="X69" s="19" t="s">
        <v>218</v>
      </c>
      <c r="Z69"/>
      <c r="AA69"/>
      <c r="AB69"/>
      <c r="AC69"/>
      <c r="AD69"/>
    </row>
    <row r="70" spans="1:30" x14ac:dyDescent="0.35">
      <c r="A70" s="19">
        <v>202304</v>
      </c>
      <c r="B70" s="19" t="s">
        <v>673</v>
      </c>
      <c r="C70" s="19" t="s">
        <v>217</v>
      </c>
      <c r="F70" s="19" t="s">
        <v>208</v>
      </c>
      <c r="G70" s="19" t="s">
        <v>53</v>
      </c>
      <c r="H70" s="19">
        <v>87</v>
      </c>
      <c r="I70" s="19" t="s">
        <v>674</v>
      </c>
      <c r="J70" s="19" t="s">
        <v>254</v>
      </c>
      <c r="K70" s="19" t="s">
        <v>255</v>
      </c>
      <c r="L70" s="19">
        <v>0</v>
      </c>
      <c r="M70" s="19" t="s">
        <v>675</v>
      </c>
      <c r="N70" s="19">
        <v>1</v>
      </c>
      <c r="O70" s="19" t="s">
        <v>222</v>
      </c>
      <c r="P70" s="19" t="s">
        <v>218</v>
      </c>
      <c r="Q70" s="19" t="s">
        <v>218</v>
      </c>
      <c r="R70" s="19" t="s">
        <v>218</v>
      </c>
      <c r="S70" s="19" t="s">
        <v>218</v>
      </c>
      <c r="T70" s="19" t="s">
        <v>218</v>
      </c>
      <c r="U70" s="19" t="s">
        <v>218</v>
      </c>
      <c r="V70" s="19" t="s">
        <v>218</v>
      </c>
      <c r="W70" s="19" t="s">
        <v>218</v>
      </c>
      <c r="X70" s="19" t="s">
        <v>218</v>
      </c>
      <c r="Z70"/>
      <c r="AA70"/>
      <c r="AB70"/>
      <c r="AC70"/>
      <c r="AD70"/>
    </row>
    <row r="71" spans="1:30" x14ac:dyDescent="0.35">
      <c r="A71" s="19">
        <v>202304</v>
      </c>
      <c r="B71" s="19" t="s">
        <v>676</v>
      </c>
      <c r="C71" s="19"/>
      <c r="E71" s="19" t="s">
        <v>217</v>
      </c>
      <c r="F71" s="19" t="s">
        <v>208</v>
      </c>
      <c r="G71" s="19" t="s">
        <v>53</v>
      </c>
      <c r="H71" s="19">
        <v>83</v>
      </c>
      <c r="I71" s="19" t="s">
        <v>677</v>
      </c>
      <c r="J71" s="19" t="s">
        <v>254</v>
      </c>
      <c r="K71" s="19" t="s">
        <v>469</v>
      </c>
      <c r="L71" s="19">
        <v>5550</v>
      </c>
      <c r="M71" s="19" t="s">
        <v>516</v>
      </c>
      <c r="N71" s="19">
        <v>2</v>
      </c>
      <c r="O71" s="19" t="s">
        <v>253</v>
      </c>
      <c r="P71" s="19" t="s">
        <v>218</v>
      </c>
      <c r="Q71" s="19" t="s">
        <v>218</v>
      </c>
      <c r="R71" s="19" t="s">
        <v>218</v>
      </c>
      <c r="S71" s="19" t="s">
        <v>218</v>
      </c>
      <c r="T71" s="19" t="s">
        <v>218</v>
      </c>
      <c r="U71" s="19" t="s">
        <v>218</v>
      </c>
      <c r="V71" s="19" t="s">
        <v>218</v>
      </c>
      <c r="W71" s="19" t="s">
        <v>218</v>
      </c>
      <c r="X71" s="19" t="s">
        <v>218</v>
      </c>
      <c r="Z71"/>
      <c r="AA71"/>
      <c r="AB71"/>
      <c r="AC71"/>
      <c r="AD71"/>
    </row>
    <row r="72" spans="1:30" x14ac:dyDescent="0.35">
      <c r="A72" s="19">
        <v>202304</v>
      </c>
      <c r="B72" s="19" t="s">
        <v>678</v>
      </c>
      <c r="C72" s="19"/>
      <c r="F72" s="19" t="s">
        <v>208</v>
      </c>
      <c r="H72" s="19">
        <v>201</v>
      </c>
      <c r="I72" s="19" t="s">
        <v>679</v>
      </c>
      <c r="J72" s="19" t="s">
        <v>254</v>
      </c>
      <c r="K72" s="19" t="s">
        <v>469</v>
      </c>
      <c r="L72" s="19">
        <v>0</v>
      </c>
      <c r="M72" s="19" t="s">
        <v>675</v>
      </c>
      <c r="N72" s="19">
        <v>4</v>
      </c>
      <c r="O72" s="19" t="s">
        <v>222</v>
      </c>
      <c r="P72" s="19" t="s">
        <v>218</v>
      </c>
      <c r="Q72" s="19" t="s">
        <v>218</v>
      </c>
      <c r="R72" s="19" t="s">
        <v>218</v>
      </c>
      <c r="S72" s="19" t="s">
        <v>218</v>
      </c>
      <c r="T72" s="19" t="s">
        <v>218</v>
      </c>
      <c r="U72" s="19" t="s">
        <v>218</v>
      </c>
      <c r="V72" s="19" t="s">
        <v>218</v>
      </c>
      <c r="W72" s="19" t="s">
        <v>218</v>
      </c>
      <c r="X72" s="19" t="s">
        <v>218</v>
      </c>
      <c r="Z72"/>
      <c r="AA72"/>
      <c r="AB72"/>
      <c r="AC72"/>
      <c r="AD72"/>
    </row>
    <row r="73" spans="1:30" x14ac:dyDescent="0.35">
      <c r="A73" s="19">
        <v>202304</v>
      </c>
      <c r="B73" s="19" t="s">
        <v>680</v>
      </c>
      <c r="C73" s="19" t="s">
        <v>217</v>
      </c>
      <c r="F73" s="19" t="s">
        <v>208</v>
      </c>
      <c r="H73" s="19">
        <v>87</v>
      </c>
      <c r="I73" s="19" t="s">
        <v>681</v>
      </c>
      <c r="J73" s="19" t="s">
        <v>254</v>
      </c>
      <c r="K73" s="19" t="s">
        <v>257</v>
      </c>
      <c r="L73" s="19">
        <v>0</v>
      </c>
      <c r="M73" s="19" t="s">
        <v>218</v>
      </c>
      <c r="N73" s="19">
        <v>1</v>
      </c>
      <c r="O73" s="19" t="s">
        <v>222</v>
      </c>
      <c r="P73" s="19" t="s">
        <v>218</v>
      </c>
      <c r="Q73" s="19" t="s">
        <v>218</v>
      </c>
      <c r="R73" s="19" t="s">
        <v>218</v>
      </c>
      <c r="S73" s="19" t="s">
        <v>218</v>
      </c>
      <c r="T73" s="19" t="s">
        <v>218</v>
      </c>
      <c r="U73" s="19" t="s">
        <v>218</v>
      </c>
      <c r="V73" s="19" t="s">
        <v>218</v>
      </c>
      <c r="W73" s="19" t="s">
        <v>218</v>
      </c>
      <c r="X73" s="19" t="s">
        <v>218</v>
      </c>
      <c r="Z73"/>
      <c r="AA73"/>
      <c r="AB73"/>
      <c r="AC73"/>
      <c r="AD73"/>
    </row>
    <row r="74" spans="1:30" x14ac:dyDescent="0.35">
      <c r="A74" s="19">
        <v>202304</v>
      </c>
      <c r="B74" s="19" t="s">
        <v>682</v>
      </c>
      <c r="C74" s="19"/>
      <c r="E74" s="19" t="s">
        <v>208</v>
      </c>
      <c r="G74" s="19" t="s">
        <v>53</v>
      </c>
      <c r="H74" s="19">
        <v>83</v>
      </c>
      <c r="I74" s="19" t="s">
        <v>683</v>
      </c>
      <c r="J74" s="19" t="s">
        <v>254</v>
      </c>
      <c r="K74" s="19" t="s">
        <v>469</v>
      </c>
      <c r="L74" s="19">
        <v>4744</v>
      </c>
      <c r="M74" s="19" t="s">
        <v>258</v>
      </c>
      <c r="N74" s="19">
        <v>2</v>
      </c>
      <c r="O74" s="19" t="s">
        <v>253</v>
      </c>
      <c r="P74" s="19" t="s">
        <v>218</v>
      </c>
      <c r="Q74" s="19" t="s">
        <v>218</v>
      </c>
      <c r="R74" s="19" t="s">
        <v>218</v>
      </c>
      <c r="S74" s="19" t="s">
        <v>218</v>
      </c>
      <c r="T74" s="19" t="s">
        <v>218</v>
      </c>
      <c r="U74" s="19" t="s">
        <v>218</v>
      </c>
      <c r="V74" s="19" t="s">
        <v>218</v>
      </c>
      <c r="W74" s="19" t="s">
        <v>218</v>
      </c>
      <c r="X74" s="19" t="s">
        <v>218</v>
      </c>
      <c r="Z74"/>
      <c r="AA74"/>
      <c r="AB74"/>
      <c r="AC74"/>
      <c r="AD74"/>
    </row>
    <row r="75" spans="1:30" x14ac:dyDescent="0.35">
      <c r="A75" s="19">
        <v>202304</v>
      </c>
      <c r="B75" s="19" t="s">
        <v>684</v>
      </c>
      <c r="C75" s="19"/>
      <c r="E75" s="19" t="s">
        <v>208</v>
      </c>
      <c r="G75" s="19" t="s">
        <v>53</v>
      </c>
      <c r="H75" s="19">
        <v>83</v>
      </c>
      <c r="I75" s="19" t="s">
        <v>685</v>
      </c>
      <c r="J75" s="19" t="s">
        <v>254</v>
      </c>
      <c r="K75" s="19" t="s">
        <v>469</v>
      </c>
      <c r="L75" s="19">
        <v>4744</v>
      </c>
      <c r="M75" s="19" t="s">
        <v>258</v>
      </c>
      <c r="N75" s="19">
        <v>2</v>
      </c>
      <c r="O75" s="19" t="s">
        <v>253</v>
      </c>
      <c r="P75" s="19" t="s">
        <v>218</v>
      </c>
      <c r="Q75" s="19" t="s">
        <v>218</v>
      </c>
      <c r="R75" s="19" t="s">
        <v>218</v>
      </c>
      <c r="S75" s="19" t="s">
        <v>218</v>
      </c>
      <c r="T75" s="19" t="s">
        <v>218</v>
      </c>
      <c r="U75" s="19" t="s">
        <v>218</v>
      </c>
      <c r="V75" s="19" t="s">
        <v>218</v>
      </c>
      <c r="W75" s="19" t="s">
        <v>218</v>
      </c>
      <c r="X75" s="19" t="s">
        <v>218</v>
      </c>
      <c r="Z75"/>
      <c r="AA75"/>
      <c r="AB75"/>
      <c r="AC75"/>
      <c r="AD75"/>
    </row>
    <row r="76" spans="1:30" x14ac:dyDescent="0.35">
      <c r="A76" s="19">
        <v>202304</v>
      </c>
      <c r="B76" s="19" t="s">
        <v>686</v>
      </c>
      <c r="C76" s="19"/>
      <c r="E76" s="19" t="s">
        <v>208</v>
      </c>
      <c r="G76" s="19" t="s">
        <v>53</v>
      </c>
      <c r="H76" s="19">
        <v>83</v>
      </c>
      <c r="I76" s="19" t="s">
        <v>687</v>
      </c>
      <c r="J76" s="19" t="s">
        <v>254</v>
      </c>
      <c r="K76" s="19" t="s">
        <v>257</v>
      </c>
      <c r="L76" s="19">
        <v>4744</v>
      </c>
      <c r="M76" s="19" t="s">
        <v>258</v>
      </c>
      <c r="N76" s="19">
        <v>2</v>
      </c>
      <c r="O76" s="19" t="s">
        <v>253</v>
      </c>
      <c r="P76" s="19" t="s">
        <v>218</v>
      </c>
      <c r="Q76" s="19" t="s">
        <v>218</v>
      </c>
      <c r="R76" s="19" t="s">
        <v>218</v>
      </c>
      <c r="S76" s="19" t="s">
        <v>218</v>
      </c>
      <c r="T76" s="19" t="s">
        <v>218</v>
      </c>
      <c r="U76" s="19" t="s">
        <v>218</v>
      </c>
      <c r="V76" s="19" t="s">
        <v>218</v>
      </c>
      <c r="W76" s="19" t="s">
        <v>218</v>
      </c>
      <c r="X76" s="19" t="s">
        <v>218</v>
      </c>
      <c r="Z76"/>
      <c r="AA76"/>
      <c r="AB76"/>
      <c r="AC76"/>
      <c r="AD76"/>
    </row>
    <row r="77" spans="1:30" x14ac:dyDescent="0.35">
      <c r="A77" s="19">
        <v>202304</v>
      </c>
      <c r="B77" s="19" t="s">
        <v>688</v>
      </c>
      <c r="C77" s="19"/>
      <c r="E77" s="19" t="s">
        <v>208</v>
      </c>
      <c r="G77" s="19" t="s">
        <v>53</v>
      </c>
      <c r="H77" s="19">
        <v>83</v>
      </c>
      <c r="I77" s="19" t="s">
        <v>689</v>
      </c>
      <c r="J77" s="19" t="s">
        <v>254</v>
      </c>
      <c r="K77" s="19" t="s">
        <v>255</v>
      </c>
      <c r="L77" s="19">
        <v>44</v>
      </c>
      <c r="M77" s="19" t="s">
        <v>291</v>
      </c>
      <c r="N77" s="19">
        <v>2</v>
      </c>
      <c r="O77" s="19" t="s">
        <v>253</v>
      </c>
      <c r="P77" s="19" t="s">
        <v>218</v>
      </c>
      <c r="Q77" s="19" t="s">
        <v>218</v>
      </c>
      <c r="R77" s="19" t="s">
        <v>218</v>
      </c>
      <c r="S77" s="19" t="s">
        <v>218</v>
      </c>
      <c r="T77" s="19" t="s">
        <v>218</v>
      </c>
      <c r="U77" s="19" t="s">
        <v>218</v>
      </c>
      <c r="V77" s="19" t="s">
        <v>218</v>
      </c>
      <c r="W77" s="19" t="s">
        <v>218</v>
      </c>
      <c r="X77" s="19" t="s">
        <v>218</v>
      </c>
      <c r="Z77"/>
      <c r="AA77"/>
      <c r="AB77"/>
      <c r="AC77"/>
      <c r="AD77"/>
    </row>
    <row r="78" spans="1:30" x14ac:dyDescent="0.35">
      <c r="A78" s="19">
        <v>202304</v>
      </c>
      <c r="B78" s="19" t="s">
        <v>690</v>
      </c>
      <c r="C78" s="19" t="s">
        <v>208</v>
      </c>
      <c r="D78" s="19" t="s">
        <v>208</v>
      </c>
      <c r="H78" s="19">
        <v>87</v>
      </c>
      <c r="I78" s="19" t="s">
        <v>691</v>
      </c>
      <c r="J78" s="19" t="s">
        <v>254</v>
      </c>
      <c r="K78" s="19" t="s">
        <v>257</v>
      </c>
      <c r="L78" s="19">
        <v>0</v>
      </c>
      <c r="M78" s="19" t="s">
        <v>226</v>
      </c>
      <c r="N78" s="19">
        <v>1</v>
      </c>
      <c r="O78" s="19" t="s">
        <v>222</v>
      </c>
      <c r="P78" s="19" t="s">
        <v>218</v>
      </c>
      <c r="Q78" s="19" t="s">
        <v>218</v>
      </c>
      <c r="R78" s="19" t="s">
        <v>218</v>
      </c>
      <c r="S78" s="19" t="s">
        <v>218</v>
      </c>
      <c r="T78" s="19" t="s">
        <v>218</v>
      </c>
      <c r="U78" s="19" t="s">
        <v>218</v>
      </c>
      <c r="V78" s="19" t="s">
        <v>218</v>
      </c>
      <c r="W78" s="19" t="s">
        <v>218</v>
      </c>
      <c r="X78" s="19" t="s">
        <v>218</v>
      </c>
      <c r="Z78"/>
      <c r="AA78"/>
      <c r="AB78"/>
      <c r="AC78"/>
      <c r="AD78"/>
    </row>
    <row r="79" spans="1:30" x14ac:dyDescent="0.35">
      <c r="A79" s="19">
        <v>202304</v>
      </c>
      <c r="B79" s="19" t="s">
        <v>692</v>
      </c>
      <c r="C79" s="19" t="s">
        <v>208</v>
      </c>
      <c r="H79" s="19">
        <v>87</v>
      </c>
      <c r="I79" s="19" t="s">
        <v>693</v>
      </c>
      <c r="J79" s="19" t="s">
        <v>254</v>
      </c>
      <c r="K79" s="19" t="s">
        <v>255</v>
      </c>
      <c r="L79" s="19">
        <v>4128</v>
      </c>
      <c r="M79" s="19" t="s">
        <v>256</v>
      </c>
      <c r="N79" s="19">
        <v>1</v>
      </c>
      <c r="O79" s="19" t="s">
        <v>222</v>
      </c>
      <c r="P79" s="19" t="s">
        <v>218</v>
      </c>
      <c r="Q79" s="19" t="s">
        <v>218</v>
      </c>
      <c r="R79" s="19" t="s">
        <v>218</v>
      </c>
      <c r="S79" s="19" t="s">
        <v>218</v>
      </c>
      <c r="T79" s="19" t="s">
        <v>218</v>
      </c>
      <c r="U79" s="19" t="s">
        <v>218</v>
      </c>
      <c r="V79" s="19" t="s">
        <v>218</v>
      </c>
      <c r="W79" s="19" t="s">
        <v>218</v>
      </c>
      <c r="X79" s="19" t="s">
        <v>218</v>
      </c>
      <c r="Z79"/>
      <c r="AA79"/>
      <c r="AB79"/>
      <c r="AC79"/>
      <c r="AD79"/>
    </row>
    <row r="80" spans="1:30" x14ac:dyDescent="0.35">
      <c r="A80" s="19">
        <v>202304</v>
      </c>
      <c r="B80" s="19" t="s">
        <v>1419</v>
      </c>
      <c r="C80" s="19"/>
      <c r="E80" s="19" t="s">
        <v>208</v>
      </c>
      <c r="G80" s="19" t="s">
        <v>470</v>
      </c>
      <c r="H80" s="19">
        <v>83</v>
      </c>
      <c r="I80" s="19" t="s">
        <v>1420</v>
      </c>
      <c r="J80" s="19" t="s">
        <v>254</v>
      </c>
      <c r="K80" s="19" t="s">
        <v>544</v>
      </c>
      <c r="L80" s="19">
        <v>44</v>
      </c>
      <c r="M80" s="19" t="s">
        <v>291</v>
      </c>
      <c r="N80" s="19">
        <v>2</v>
      </c>
      <c r="O80" s="19" t="s">
        <v>253</v>
      </c>
      <c r="P80" s="19" t="s">
        <v>218</v>
      </c>
      <c r="Q80" s="19" t="s">
        <v>218</v>
      </c>
      <c r="R80" s="19" t="s">
        <v>218</v>
      </c>
      <c r="S80" s="19" t="s">
        <v>218</v>
      </c>
      <c r="T80" s="19" t="s">
        <v>218</v>
      </c>
      <c r="U80" s="19" t="s">
        <v>218</v>
      </c>
      <c r="V80" s="19" t="s">
        <v>218</v>
      </c>
      <c r="W80" s="19" t="s">
        <v>218</v>
      </c>
      <c r="X80" s="19" t="s">
        <v>218</v>
      </c>
      <c r="Z80"/>
      <c r="AA80"/>
      <c r="AB80"/>
      <c r="AC80"/>
      <c r="AD80"/>
    </row>
    <row r="81" spans="1:30" x14ac:dyDescent="0.35">
      <c r="A81" s="19">
        <v>202304</v>
      </c>
      <c r="B81" s="19" t="s">
        <v>1421</v>
      </c>
      <c r="C81" s="19"/>
      <c r="E81" s="19" t="s">
        <v>208</v>
      </c>
      <c r="G81" s="19" t="s">
        <v>470</v>
      </c>
      <c r="H81" s="19">
        <v>83</v>
      </c>
      <c r="I81" s="19" t="s">
        <v>694</v>
      </c>
      <c r="J81" s="19" t="s">
        <v>254</v>
      </c>
      <c r="K81" s="19" t="s">
        <v>544</v>
      </c>
      <c r="L81" s="19">
        <v>44</v>
      </c>
      <c r="M81" s="19" t="s">
        <v>291</v>
      </c>
      <c r="N81" s="19">
        <v>2</v>
      </c>
      <c r="O81" s="19" t="s">
        <v>253</v>
      </c>
      <c r="P81" s="19" t="s">
        <v>218</v>
      </c>
      <c r="Q81" s="19" t="s">
        <v>218</v>
      </c>
      <c r="R81" s="19" t="s">
        <v>218</v>
      </c>
      <c r="S81" s="19" t="s">
        <v>218</v>
      </c>
      <c r="T81" s="19" t="s">
        <v>218</v>
      </c>
      <c r="U81" s="19" t="s">
        <v>218</v>
      </c>
      <c r="V81" s="19" t="s">
        <v>218</v>
      </c>
      <c r="W81" s="19" t="s">
        <v>218</v>
      </c>
      <c r="X81" s="19" t="s">
        <v>218</v>
      </c>
      <c r="Z81"/>
      <c r="AA81"/>
      <c r="AB81"/>
      <c r="AC81"/>
      <c r="AD81"/>
    </row>
    <row r="82" spans="1:30" x14ac:dyDescent="0.35">
      <c r="A82" s="19">
        <v>202304</v>
      </c>
      <c r="B82" s="19" t="s">
        <v>1422</v>
      </c>
      <c r="C82" s="19"/>
      <c r="E82" s="19" t="s">
        <v>208</v>
      </c>
      <c r="G82" s="19" t="s">
        <v>470</v>
      </c>
      <c r="H82" s="19">
        <v>83</v>
      </c>
      <c r="I82" s="19" t="s">
        <v>695</v>
      </c>
      <c r="J82" s="19" t="s">
        <v>254</v>
      </c>
      <c r="K82" s="19" t="s">
        <v>544</v>
      </c>
      <c r="L82" s="19">
        <v>44</v>
      </c>
      <c r="M82" s="19" t="s">
        <v>291</v>
      </c>
      <c r="N82" s="19">
        <v>2</v>
      </c>
      <c r="O82" s="19" t="s">
        <v>253</v>
      </c>
      <c r="P82" s="19" t="s">
        <v>218</v>
      </c>
      <c r="Q82" s="19" t="s">
        <v>218</v>
      </c>
      <c r="R82" s="19" t="s">
        <v>218</v>
      </c>
      <c r="S82" s="19" t="s">
        <v>218</v>
      </c>
      <c r="T82" s="19" t="s">
        <v>218</v>
      </c>
      <c r="U82" s="19" t="s">
        <v>218</v>
      </c>
      <c r="V82" s="19" t="s">
        <v>218</v>
      </c>
      <c r="W82" s="19" t="s">
        <v>218</v>
      </c>
      <c r="X82" s="19" t="s">
        <v>218</v>
      </c>
      <c r="Z82"/>
      <c r="AA82"/>
      <c r="AB82"/>
      <c r="AC82"/>
      <c r="AD82"/>
    </row>
    <row r="83" spans="1:30" x14ac:dyDescent="0.35">
      <c r="A83" s="19">
        <v>202304</v>
      </c>
      <c r="B83" s="19" t="s">
        <v>696</v>
      </c>
      <c r="C83" s="19"/>
      <c r="E83" s="19" t="s">
        <v>208</v>
      </c>
      <c r="G83" s="19" t="s">
        <v>470</v>
      </c>
      <c r="H83" s="19">
        <v>83</v>
      </c>
      <c r="I83" s="19" t="s">
        <v>697</v>
      </c>
      <c r="J83" s="19" t="s">
        <v>254</v>
      </c>
      <c r="K83" s="19" t="s">
        <v>544</v>
      </c>
      <c r="L83" s="19">
        <v>4744</v>
      </c>
      <c r="M83" s="19" t="s">
        <v>258</v>
      </c>
      <c r="N83" s="19">
        <v>2</v>
      </c>
      <c r="O83" s="19" t="s">
        <v>253</v>
      </c>
      <c r="P83" s="19" t="s">
        <v>218</v>
      </c>
      <c r="Q83" s="19" t="s">
        <v>218</v>
      </c>
      <c r="R83" s="19" t="s">
        <v>218</v>
      </c>
      <c r="S83" s="19" t="s">
        <v>218</v>
      </c>
      <c r="T83" s="19" t="s">
        <v>218</v>
      </c>
      <c r="U83" s="19" t="s">
        <v>218</v>
      </c>
      <c r="V83" s="19" t="s">
        <v>218</v>
      </c>
      <c r="W83" s="19" t="s">
        <v>218</v>
      </c>
      <c r="X83" s="19" t="s">
        <v>218</v>
      </c>
      <c r="Z83"/>
      <c r="AA83"/>
      <c r="AB83"/>
      <c r="AC83"/>
      <c r="AD83"/>
    </row>
    <row r="84" spans="1:30" x14ac:dyDescent="0.35">
      <c r="A84" s="19">
        <v>202304</v>
      </c>
      <c r="B84" s="19" t="s">
        <v>698</v>
      </c>
      <c r="C84" s="19"/>
      <c r="D84" s="19" t="s">
        <v>208</v>
      </c>
      <c r="E84" s="19" t="s">
        <v>208</v>
      </c>
      <c r="F84" s="19" t="s">
        <v>208</v>
      </c>
      <c r="G84" s="19" t="s">
        <v>470</v>
      </c>
      <c r="H84" s="19">
        <v>83</v>
      </c>
      <c r="I84" s="19" t="s">
        <v>699</v>
      </c>
      <c r="J84" s="19" t="s">
        <v>254</v>
      </c>
      <c r="K84" s="19" t="s">
        <v>130</v>
      </c>
      <c r="L84" s="19">
        <v>4744</v>
      </c>
      <c r="M84" s="19" t="s">
        <v>258</v>
      </c>
      <c r="N84" s="19">
        <v>2</v>
      </c>
      <c r="O84" s="19" t="s">
        <v>253</v>
      </c>
      <c r="P84" s="19" t="s">
        <v>218</v>
      </c>
      <c r="Q84" s="19" t="s">
        <v>218</v>
      </c>
      <c r="R84" s="19" t="s">
        <v>218</v>
      </c>
      <c r="S84" s="19" t="s">
        <v>218</v>
      </c>
      <c r="T84" s="19" t="s">
        <v>218</v>
      </c>
      <c r="U84" s="19" t="s">
        <v>218</v>
      </c>
      <c r="V84" s="19" t="s">
        <v>218</v>
      </c>
      <c r="W84" s="19" t="s">
        <v>218</v>
      </c>
      <c r="X84" s="19" t="s">
        <v>218</v>
      </c>
      <c r="Z84"/>
      <c r="AA84"/>
      <c r="AB84"/>
      <c r="AC84"/>
      <c r="AD84"/>
    </row>
    <row r="85" spans="1:30" x14ac:dyDescent="0.35">
      <c r="A85" s="19">
        <v>202304</v>
      </c>
      <c r="B85" s="19" t="s">
        <v>700</v>
      </c>
      <c r="C85" s="19"/>
      <c r="D85" s="19" t="s">
        <v>208</v>
      </c>
      <c r="E85" s="19" t="s">
        <v>208</v>
      </c>
      <c r="F85" s="19" t="s">
        <v>208</v>
      </c>
      <c r="G85" s="19" t="s">
        <v>470</v>
      </c>
      <c r="H85" s="19">
        <v>83</v>
      </c>
      <c r="I85" s="19" t="s">
        <v>701</v>
      </c>
      <c r="J85" s="19" t="s">
        <v>254</v>
      </c>
      <c r="K85" s="19" t="s">
        <v>130</v>
      </c>
      <c r="L85" s="19">
        <v>4744</v>
      </c>
      <c r="M85" s="19" t="s">
        <v>258</v>
      </c>
      <c r="N85" s="19">
        <v>2</v>
      </c>
      <c r="O85" s="19" t="s">
        <v>253</v>
      </c>
      <c r="P85" s="19" t="s">
        <v>218</v>
      </c>
      <c r="Q85" s="19" t="s">
        <v>218</v>
      </c>
      <c r="R85" s="19" t="s">
        <v>218</v>
      </c>
      <c r="S85" s="19" t="s">
        <v>218</v>
      </c>
      <c r="T85" s="19" t="s">
        <v>218</v>
      </c>
      <c r="U85" s="19" t="s">
        <v>218</v>
      </c>
      <c r="V85" s="19" t="s">
        <v>218</v>
      </c>
      <c r="W85" s="19" t="s">
        <v>218</v>
      </c>
      <c r="X85" s="19" t="s">
        <v>218</v>
      </c>
      <c r="Z85"/>
      <c r="AA85"/>
      <c r="AB85"/>
      <c r="AC85"/>
      <c r="AD85"/>
    </row>
    <row r="86" spans="1:30" x14ac:dyDescent="0.35">
      <c r="A86" s="19">
        <v>202304</v>
      </c>
      <c r="B86" s="19" t="s">
        <v>702</v>
      </c>
      <c r="C86" s="19"/>
      <c r="F86" s="19" t="s">
        <v>208</v>
      </c>
      <c r="G86" s="19" t="s">
        <v>470</v>
      </c>
      <c r="H86" s="19">
        <v>201</v>
      </c>
      <c r="I86" s="19" t="s">
        <v>703</v>
      </c>
      <c r="J86" s="19" t="s">
        <v>254</v>
      </c>
      <c r="K86" s="19" t="s">
        <v>704</v>
      </c>
      <c r="L86" s="19">
        <v>0</v>
      </c>
      <c r="M86" s="19" t="s">
        <v>226</v>
      </c>
      <c r="N86" s="19">
        <v>4</v>
      </c>
      <c r="O86" s="19" t="s">
        <v>222</v>
      </c>
      <c r="P86" s="19" t="s">
        <v>218</v>
      </c>
      <c r="Q86" s="19" t="s">
        <v>218</v>
      </c>
      <c r="R86" s="19" t="s">
        <v>218</v>
      </c>
      <c r="S86" s="19" t="s">
        <v>218</v>
      </c>
      <c r="T86" s="19" t="s">
        <v>218</v>
      </c>
      <c r="U86" s="19" t="s">
        <v>218</v>
      </c>
      <c r="V86" s="19" t="s">
        <v>218</v>
      </c>
      <c r="W86" s="19" t="s">
        <v>218</v>
      </c>
      <c r="X86" s="19" t="s">
        <v>218</v>
      </c>
      <c r="Z86"/>
      <c r="AA86"/>
      <c r="AB86"/>
      <c r="AC86"/>
      <c r="AD86"/>
    </row>
    <row r="87" spans="1:30" x14ac:dyDescent="0.35">
      <c r="A87" s="19">
        <v>202304</v>
      </c>
      <c r="B87" s="19" t="s">
        <v>705</v>
      </c>
      <c r="C87" s="19"/>
      <c r="D87" s="19" t="s">
        <v>208</v>
      </c>
      <c r="E87" s="19" t="s">
        <v>208</v>
      </c>
      <c r="F87" s="19" t="s">
        <v>208</v>
      </c>
      <c r="G87" s="19" t="s">
        <v>470</v>
      </c>
      <c r="H87" s="19">
        <v>83</v>
      </c>
      <c r="I87" s="19" t="s">
        <v>706</v>
      </c>
      <c r="J87" s="19" t="s">
        <v>254</v>
      </c>
      <c r="K87" s="19" t="s">
        <v>130</v>
      </c>
      <c r="L87" s="19">
        <v>4744</v>
      </c>
      <c r="M87" s="19" t="s">
        <v>258</v>
      </c>
      <c r="N87" s="19">
        <v>2</v>
      </c>
      <c r="O87" s="19" t="s">
        <v>253</v>
      </c>
      <c r="P87" s="19" t="s">
        <v>218</v>
      </c>
      <c r="Q87" s="19" t="s">
        <v>218</v>
      </c>
      <c r="R87" s="19" t="s">
        <v>218</v>
      </c>
      <c r="S87" s="19" t="s">
        <v>218</v>
      </c>
      <c r="T87" s="19" t="s">
        <v>218</v>
      </c>
      <c r="U87" s="19" t="s">
        <v>218</v>
      </c>
      <c r="V87" s="19" t="s">
        <v>218</v>
      </c>
      <c r="W87" s="19" t="s">
        <v>218</v>
      </c>
      <c r="X87" s="19" t="s">
        <v>218</v>
      </c>
      <c r="Z87"/>
      <c r="AA87"/>
      <c r="AB87"/>
      <c r="AC87"/>
      <c r="AD87"/>
    </row>
    <row r="88" spans="1:30" x14ac:dyDescent="0.35">
      <c r="A88" s="19">
        <v>202304</v>
      </c>
      <c r="B88" s="19" t="s">
        <v>707</v>
      </c>
      <c r="C88" s="19"/>
      <c r="E88" s="19" t="s">
        <v>208</v>
      </c>
      <c r="G88" s="19" t="s">
        <v>470</v>
      </c>
      <c r="H88" s="19">
        <v>83</v>
      </c>
      <c r="I88" s="19" t="s">
        <v>708</v>
      </c>
      <c r="J88" s="19" t="s">
        <v>254</v>
      </c>
      <c r="K88" s="19" t="s">
        <v>130</v>
      </c>
      <c r="L88" s="19">
        <v>4744</v>
      </c>
      <c r="M88" s="19" t="s">
        <v>258</v>
      </c>
      <c r="N88" s="19">
        <v>2</v>
      </c>
      <c r="O88" s="19" t="s">
        <v>253</v>
      </c>
      <c r="P88" s="19" t="s">
        <v>218</v>
      </c>
      <c r="Q88" s="19" t="s">
        <v>218</v>
      </c>
      <c r="R88" s="19" t="s">
        <v>218</v>
      </c>
      <c r="S88" s="19" t="s">
        <v>218</v>
      </c>
      <c r="T88" s="19" t="s">
        <v>218</v>
      </c>
      <c r="U88" s="19" t="s">
        <v>218</v>
      </c>
      <c r="V88" s="19" t="s">
        <v>218</v>
      </c>
      <c r="W88" s="19" t="s">
        <v>218</v>
      </c>
      <c r="X88" s="19" t="s">
        <v>218</v>
      </c>
      <c r="Z88"/>
      <c r="AA88"/>
      <c r="AB88"/>
      <c r="AC88"/>
      <c r="AD88"/>
    </row>
    <row r="89" spans="1:30" x14ac:dyDescent="0.35">
      <c r="A89" s="19">
        <v>202304</v>
      </c>
      <c r="B89" s="19" t="s">
        <v>709</v>
      </c>
      <c r="C89" s="19"/>
      <c r="E89" s="19" t="s">
        <v>208</v>
      </c>
      <c r="G89" s="19" t="s">
        <v>470</v>
      </c>
      <c r="H89" s="19">
        <v>83</v>
      </c>
      <c r="I89" s="19" t="s">
        <v>710</v>
      </c>
      <c r="J89" s="19" t="s">
        <v>254</v>
      </c>
      <c r="K89" s="19" t="s">
        <v>130</v>
      </c>
      <c r="L89" s="19">
        <v>4744</v>
      </c>
      <c r="M89" s="19" t="s">
        <v>258</v>
      </c>
      <c r="N89" s="19">
        <v>2</v>
      </c>
      <c r="O89" s="19" t="s">
        <v>253</v>
      </c>
      <c r="P89" s="19" t="s">
        <v>218</v>
      </c>
      <c r="Q89" s="19" t="s">
        <v>218</v>
      </c>
      <c r="R89" s="19" t="s">
        <v>218</v>
      </c>
      <c r="S89" s="19" t="s">
        <v>218</v>
      </c>
      <c r="T89" s="19" t="s">
        <v>218</v>
      </c>
      <c r="U89" s="19" t="s">
        <v>218</v>
      </c>
      <c r="V89" s="19" t="s">
        <v>218</v>
      </c>
      <c r="W89" s="19" t="s">
        <v>218</v>
      </c>
      <c r="X89" s="19" t="s">
        <v>218</v>
      </c>
      <c r="Z89"/>
      <c r="AA89"/>
      <c r="AB89"/>
      <c r="AC89"/>
      <c r="AD89"/>
    </row>
    <row r="90" spans="1:30" x14ac:dyDescent="0.35">
      <c r="A90" s="19">
        <v>202304</v>
      </c>
      <c r="B90" s="19" t="s">
        <v>711</v>
      </c>
      <c r="C90" s="19"/>
      <c r="E90" s="19" t="s">
        <v>208</v>
      </c>
      <c r="G90" s="19" t="s">
        <v>470</v>
      </c>
      <c r="H90" s="19">
        <v>83</v>
      </c>
      <c r="I90" s="19" t="s">
        <v>712</v>
      </c>
      <c r="J90" s="19" t="s">
        <v>254</v>
      </c>
      <c r="K90" s="19" t="s">
        <v>130</v>
      </c>
      <c r="L90" s="19">
        <v>4744</v>
      </c>
      <c r="M90" s="19" t="s">
        <v>258</v>
      </c>
      <c r="N90" s="19">
        <v>2</v>
      </c>
      <c r="O90" s="19" t="s">
        <v>253</v>
      </c>
      <c r="P90" s="19" t="s">
        <v>218</v>
      </c>
      <c r="Q90" s="19" t="s">
        <v>218</v>
      </c>
      <c r="R90" s="19" t="s">
        <v>218</v>
      </c>
      <c r="S90" s="19" t="s">
        <v>218</v>
      </c>
      <c r="T90" s="19" t="s">
        <v>218</v>
      </c>
      <c r="U90" s="19" t="s">
        <v>218</v>
      </c>
      <c r="V90" s="19" t="s">
        <v>218</v>
      </c>
      <c r="W90" s="19" t="s">
        <v>218</v>
      </c>
      <c r="X90" s="19" t="s">
        <v>218</v>
      </c>
      <c r="Z90"/>
      <c r="AA90"/>
      <c r="AB90"/>
      <c r="AC90"/>
      <c r="AD90"/>
    </row>
    <row r="91" spans="1:30" x14ac:dyDescent="0.35">
      <c r="A91" s="19">
        <v>202304</v>
      </c>
      <c r="B91" s="19" t="s">
        <v>713</v>
      </c>
      <c r="C91" s="19"/>
      <c r="E91" s="19" t="s">
        <v>208</v>
      </c>
      <c r="G91" s="19" t="s">
        <v>470</v>
      </c>
      <c r="H91" s="19">
        <v>83</v>
      </c>
      <c r="I91" s="19" t="s">
        <v>714</v>
      </c>
      <c r="J91" s="19" t="s">
        <v>254</v>
      </c>
      <c r="K91" s="19" t="s">
        <v>130</v>
      </c>
      <c r="L91" s="19">
        <v>4744</v>
      </c>
      <c r="M91" s="19" t="s">
        <v>258</v>
      </c>
      <c r="N91" s="19">
        <v>2</v>
      </c>
      <c r="O91" s="19" t="s">
        <v>253</v>
      </c>
      <c r="P91" s="19" t="s">
        <v>218</v>
      </c>
      <c r="Q91" s="19" t="s">
        <v>218</v>
      </c>
      <c r="R91" s="19" t="s">
        <v>218</v>
      </c>
      <c r="S91" s="19" t="s">
        <v>218</v>
      </c>
      <c r="T91" s="19" t="s">
        <v>218</v>
      </c>
      <c r="U91" s="19" t="s">
        <v>218</v>
      </c>
      <c r="V91" s="19" t="s">
        <v>218</v>
      </c>
      <c r="W91" s="19" t="s">
        <v>218</v>
      </c>
      <c r="X91" s="19" t="s">
        <v>218</v>
      </c>
      <c r="Z91"/>
      <c r="AA91"/>
      <c r="AB91"/>
      <c r="AC91"/>
      <c r="AD91"/>
    </row>
    <row r="92" spans="1:30" x14ac:dyDescent="0.35">
      <c r="A92" s="19">
        <v>202304</v>
      </c>
      <c r="B92" s="19" t="s">
        <v>715</v>
      </c>
      <c r="C92" s="19"/>
      <c r="D92" s="19" t="s">
        <v>208</v>
      </c>
      <c r="E92" s="19" t="s">
        <v>208</v>
      </c>
      <c r="G92" s="19" t="s">
        <v>470</v>
      </c>
      <c r="H92" s="19">
        <v>83</v>
      </c>
      <c r="I92" s="19" t="s">
        <v>716</v>
      </c>
      <c r="J92" s="19" t="s">
        <v>254</v>
      </c>
      <c r="K92" s="19" t="s">
        <v>130</v>
      </c>
      <c r="L92" s="19">
        <v>4744</v>
      </c>
      <c r="M92" s="19" t="s">
        <v>258</v>
      </c>
      <c r="N92" s="19">
        <v>2</v>
      </c>
      <c r="O92" s="19" t="s">
        <v>253</v>
      </c>
      <c r="P92" s="19" t="s">
        <v>218</v>
      </c>
      <c r="Q92" s="19" t="s">
        <v>218</v>
      </c>
      <c r="R92" s="19" t="s">
        <v>218</v>
      </c>
      <c r="S92" s="19" t="s">
        <v>218</v>
      </c>
      <c r="T92" s="19" t="s">
        <v>218</v>
      </c>
      <c r="U92" s="19" t="s">
        <v>218</v>
      </c>
      <c r="V92" s="19" t="s">
        <v>218</v>
      </c>
      <c r="W92" s="19" t="s">
        <v>218</v>
      </c>
      <c r="X92" s="19" t="s">
        <v>218</v>
      </c>
      <c r="Z92"/>
      <c r="AA92"/>
      <c r="AB92"/>
      <c r="AC92"/>
      <c r="AD92"/>
    </row>
    <row r="93" spans="1:30" x14ac:dyDescent="0.35">
      <c r="A93" s="19">
        <v>202304</v>
      </c>
      <c r="B93" s="19" t="s">
        <v>717</v>
      </c>
      <c r="C93" s="19"/>
      <c r="E93" s="19" t="s">
        <v>208</v>
      </c>
      <c r="G93" s="19" t="s">
        <v>470</v>
      </c>
      <c r="H93" s="19">
        <v>83</v>
      </c>
      <c r="I93" s="19" t="s">
        <v>718</v>
      </c>
      <c r="J93" s="19" t="s">
        <v>254</v>
      </c>
      <c r="K93" s="19" t="s">
        <v>130</v>
      </c>
      <c r="L93" s="19">
        <v>4744</v>
      </c>
      <c r="M93" s="19" t="s">
        <v>258</v>
      </c>
      <c r="N93" s="19">
        <v>2</v>
      </c>
      <c r="O93" s="19" t="s">
        <v>253</v>
      </c>
      <c r="P93" s="19" t="s">
        <v>218</v>
      </c>
      <c r="Q93" s="19" t="s">
        <v>218</v>
      </c>
      <c r="R93" s="19" t="s">
        <v>218</v>
      </c>
      <c r="S93" s="19" t="s">
        <v>218</v>
      </c>
      <c r="T93" s="19" t="s">
        <v>218</v>
      </c>
      <c r="U93" s="19" t="s">
        <v>218</v>
      </c>
      <c r="V93" s="19" t="s">
        <v>218</v>
      </c>
      <c r="W93" s="19" t="s">
        <v>218</v>
      </c>
      <c r="X93" s="19" t="s">
        <v>218</v>
      </c>
      <c r="Z93"/>
      <c r="AA93"/>
      <c r="AB93"/>
      <c r="AC93"/>
      <c r="AD93"/>
    </row>
    <row r="94" spans="1:30" x14ac:dyDescent="0.35">
      <c r="A94" s="19">
        <v>202304</v>
      </c>
      <c r="B94" s="19" t="s">
        <v>719</v>
      </c>
      <c r="C94" s="19"/>
      <c r="E94" s="19" t="s">
        <v>208</v>
      </c>
      <c r="F94" s="19" t="s">
        <v>208</v>
      </c>
      <c r="G94" s="19" t="s">
        <v>470</v>
      </c>
      <c r="H94" s="19">
        <v>83</v>
      </c>
      <c r="I94" s="19" t="s">
        <v>720</v>
      </c>
      <c r="J94" s="19" t="s">
        <v>254</v>
      </c>
      <c r="K94" s="19" t="s">
        <v>130</v>
      </c>
      <c r="L94" s="19">
        <v>4744</v>
      </c>
      <c r="M94" s="19" t="s">
        <v>258</v>
      </c>
      <c r="N94" s="19">
        <v>2</v>
      </c>
      <c r="O94" s="19" t="s">
        <v>253</v>
      </c>
      <c r="P94" s="19" t="s">
        <v>218</v>
      </c>
      <c r="Q94" s="19" t="s">
        <v>218</v>
      </c>
      <c r="R94" s="19" t="s">
        <v>218</v>
      </c>
      <c r="S94" s="19" t="s">
        <v>218</v>
      </c>
      <c r="T94" s="19" t="s">
        <v>218</v>
      </c>
      <c r="U94" s="19" t="s">
        <v>218</v>
      </c>
      <c r="V94" s="19" t="s">
        <v>218</v>
      </c>
      <c r="W94" s="19" t="s">
        <v>218</v>
      </c>
      <c r="X94" s="19" t="s">
        <v>218</v>
      </c>
      <c r="Z94"/>
      <c r="AA94"/>
      <c r="AB94"/>
      <c r="AC94"/>
      <c r="AD94"/>
    </row>
    <row r="95" spans="1:30" x14ac:dyDescent="0.35">
      <c r="A95" s="19">
        <v>202304</v>
      </c>
      <c r="B95" s="19" t="s">
        <v>721</v>
      </c>
      <c r="C95" s="19"/>
      <c r="E95" s="19" t="s">
        <v>208</v>
      </c>
      <c r="G95" s="19" t="s">
        <v>470</v>
      </c>
      <c r="H95" s="19">
        <v>83</v>
      </c>
      <c r="I95" s="19" t="s">
        <v>722</v>
      </c>
      <c r="J95" s="19" t="s">
        <v>254</v>
      </c>
      <c r="K95" s="19" t="s">
        <v>130</v>
      </c>
      <c r="L95" s="19">
        <v>4744</v>
      </c>
      <c r="M95" s="19" t="s">
        <v>258</v>
      </c>
      <c r="N95" s="19">
        <v>2</v>
      </c>
      <c r="O95" s="19" t="s">
        <v>253</v>
      </c>
      <c r="P95" s="19" t="s">
        <v>218</v>
      </c>
      <c r="Q95" s="19" t="s">
        <v>218</v>
      </c>
      <c r="R95" s="19" t="s">
        <v>218</v>
      </c>
      <c r="S95" s="19" t="s">
        <v>218</v>
      </c>
      <c r="T95" s="19" t="s">
        <v>218</v>
      </c>
      <c r="U95" s="19" t="s">
        <v>218</v>
      </c>
      <c r="V95" s="19" t="s">
        <v>218</v>
      </c>
      <c r="W95" s="19" t="s">
        <v>218</v>
      </c>
      <c r="X95" s="19" t="s">
        <v>218</v>
      </c>
      <c r="Z95"/>
      <c r="AA95"/>
      <c r="AB95"/>
      <c r="AC95"/>
      <c r="AD95"/>
    </row>
    <row r="96" spans="1:30" x14ac:dyDescent="0.35">
      <c r="A96" s="19">
        <v>202304</v>
      </c>
      <c r="B96" s="19" t="s">
        <v>723</v>
      </c>
      <c r="C96" s="19" t="s">
        <v>208</v>
      </c>
      <c r="G96" s="19" t="s">
        <v>53</v>
      </c>
      <c r="H96" s="19">
        <v>87</v>
      </c>
      <c r="I96" s="19" t="s">
        <v>724</v>
      </c>
      <c r="J96" s="19" t="s">
        <v>254</v>
      </c>
      <c r="K96" s="19" t="s">
        <v>255</v>
      </c>
      <c r="L96" s="19">
        <v>4128</v>
      </c>
      <c r="M96" s="19" t="s">
        <v>256</v>
      </c>
      <c r="N96" s="19">
        <v>1</v>
      </c>
      <c r="O96" s="19" t="s">
        <v>222</v>
      </c>
      <c r="P96" s="19" t="s">
        <v>218</v>
      </c>
      <c r="Q96" s="19" t="s">
        <v>218</v>
      </c>
      <c r="R96" s="19" t="s">
        <v>218</v>
      </c>
      <c r="S96" s="19" t="s">
        <v>218</v>
      </c>
      <c r="T96" s="19" t="s">
        <v>218</v>
      </c>
      <c r="U96" s="19" t="s">
        <v>218</v>
      </c>
      <c r="V96" s="19" t="s">
        <v>218</v>
      </c>
      <c r="W96" s="19" t="s">
        <v>218</v>
      </c>
      <c r="X96" s="19" t="s">
        <v>218</v>
      </c>
      <c r="Z96"/>
      <c r="AA96"/>
      <c r="AB96"/>
      <c r="AC96"/>
      <c r="AD96"/>
    </row>
    <row r="97" spans="1:30" x14ac:dyDescent="0.35">
      <c r="A97" s="19">
        <v>202304</v>
      </c>
      <c r="B97" s="19" t="s">
        <v>471</v>
      </c>
      <c r="C97" s="19" t="s">
        <v>217</v>
      </c>
      <c r="E97" s="19" t="s">
        <v>208</v>
      </c>
      <c r="G97" s="19" t="s">
        <v>470</v>
      </c>
      <c r="H97" s="19">
        <v>87</v>
      </c>
      <c r="I97" s="19" t="s">
        <v>472</v>
      </c>
      <c r="J97" s="19" t="s">
        <v>254</v>
      </c>
      <c r="K97" s="19" t="s">
        <v>255</v>
      </c>
      <c r="L97" s="19">
        <v>0</v>
      </c>
      <c r="M97" s="19" t="s">
        <v>675</v>
      </c>
      <c r="N97" s="19">
        <v>1</v>
      </c>
      <c r="O97" s="19" t="s">
        <v>222</v>
      </c>
      <c r="P97" s="19" t="s">
        <v>218</v>
      </c>
      <c r="Q97" s="19" t="s">
        <v>218</v>
      </c>
      <c r="R97" s="19" t="s">
        <v>218</v>
      </c>
      <c r="S97" s="19" t="s">
        <v>218</v>
      </c>
      <c r="T97" s="19" t="s">
        <v>218</v>
      </c>
      <c r="U97" s="19" t="s">
        <v>218</v>
      </c>
      <c r="V97" s="19" t="s">
        <v>218</v>
      </c>
      <c r="W97" s="19" t="s">
        <v>218</v>
      </c>
      <c r="X97" s="19" t="s">
        <v>218</v>
      </c>
      <c r="Z97"/>
      <c r="AA97"/>
      <c r="AB97"/>
      <c r="AC97"/>
      <c r="AD97"/>
    </row>
    <row r="98" spans="1:30" x14ac:dyDescent="0.35">
      <c r="A98" s="19">
        <v>202304</v>
      </c>
      <c r="B98" s="19" t="s">
        <v>725</v>
      </c>
      <c r="C98" s="19"/>
      <c r="F98" s="19" t="s">
        <v>208</v>
      </c>
      <c r="H98" s="19">
        <v>201</v>
      </c>
      <c r="I98" s="19" t="s">
        <v>218</v>
      </c>
      <c r="J98" s="19" t="s">
        <v>254</v>
      </c>
      <c r="K98" s="19" t="s">
        <v>255</v>
      </c>
      <c r="L98" s="19">
        <v>0</v>
      </c>
      <c r="M98" s="19" t="s">
        <v>218</v>
      </c>
      <c r="N98" s="19">
        <v>4</v>
      </c>
      <c r="O98" s="19" t="s">
        <v>222</v>
      </c>
      <c r="P98" s="19" t="s">
        <v>218</v>
      </c>
      <c r="Q98" s="19" t="s">
        <v>218</v>
      </c>
      <c r="R98" s="19" t="s">
        <v>218</v>
      </c>
      <c r="S98" s="19" t="s">
        <v>218</v>
      </c>
      <c r="T98" s="19" t="s">
        <v>218</v>
      </c>
      <c r="U98" s="19" t="s">
        <v>218</v>
      </c>
      <c r="V98" s="19" t="s">
        <v>218</v>
      </c>
      <c r="W98" s="19" t="s">
        <v>218</v>
      </c>
      <c r="X98" s="19" t="s">
        <v>218</v>
      </c>
      <c r="Z98"/>
      <c r="AA98"/>
      <c r="AB98"/>
      <c r="AC98"/>
      <c r="AD98"/>
    </row>
    <row r="99" spans="1:30" x14ac:dyDescent="0.35">
      <c r="A99" s="19">
        <v>202304</v>
      </c>
      <c r="B99" s="19" t="s">
        <v>726</v>
      </c>
      <c r="C99" s="19"/>
      <c r="F99" s="19" t="s">
        <v>208</v>
      </c>
      <c r="G99" s="19" t="s">
        <v>53</v>
      </c>
      <c r="H99" s="19">
        <v>201</v>
      </c>
      <c r="I99" s="19" t="s">
        <v>727</v>
      </c>
      <c r="J99" s="19" t="s">
        <v>254</v>
      </c>
      <c r="K99" s="19" t="s">
        <v>257</v>
      </c>
      <c r="L99" s="19">
        <v>4128</v>
      </c>
      <c r="M99" s="19" t="s">
        <v>256</v>
      </c>
      <c r="N99" s="19">
        <v>4</v>
      </c>
      <c r="O99" s="19" t="s">
        <v>222</v>
      </c>
      <c r="P99" s="19" t="s">
        <v>218</v>
      </c>
      <c r="Q99" s="19" t="s">
        <v>218</v>
      </c>
      <c r="R99" s="19" t="s">
        <v>218</v>
      </c>
      <c r="S99" s="19" t="s">
        <v>218</v>
      </c>
      <c r="T99" s="19" t="s">
        <v>218</v>
      </c>
      <c r="U99" s="19" t="s">
        <v>218</v>
      </c>
      <c r="V99" s="19" t="s">
        <v>218</v>
      </c>
      <c r="W99" s="19" t="s">
        <v>218</v>
      </c>
      <c r="X99" s="19" t="s">
        <v>218</v>
      </c>
      <c r="Z99"/>
      <c r="AA99"/>
      <c r="AB99"/>
      <c r="AC99"/>
      <c r="AD99"/>
    </row>
    <row r="100" spans="1:30" x14ac:dyDescent="0.35">
      <c r="A100" s="19">
        <v>202304</v>
      </c>
      <c r="B100" s="19" t="s">
        <v>728</v>
      </c>
      <c r="C100" s="19" t="s">
        <v>208</v>
      </c>
      <c r="H100" s="19">
        <v>87</v>
      </c>
      <c r="I100" s="19" t="s">
        <v>729</v>
      </c>
      <c r="J100" s="19" t="s">
        <v>254</v>
      </c>
      <c r="K100" s="19" t="s">
        <v>255</v>
      </c>
      <c r="L100" s="19">
        <v>4128</v>
      </c>
      <c r="M100" s="19" t="s">
        <v>256</v>
      </c>
      <c r="N100" s="19">
        <v>1</v>
      </c>
      <c r="O100" s="19" t="s">
        <v>222</v>
      </c>
      <c r="P100" s="19" t="s">
        <v>218</v>
      </c>
      <c r="Q100" s="19" t="s">
        <v>218</v>
      </c>
      <c r="R100" s="19" t="s">
        <v>218</v>
      </c>
      <c r="S100" s="19" t="s">
        <v>218</v>
      </c>
      <c r="T100" s="19" t="s">
        <v>218</v>
      </c>
      <c r="U100" s="19" t="s">
        <v>218</v>
      </c>
      <c r="V100" s="19" t="s">
        <v>218</v>
      </c>
      <c r="W100" s="19" t="s">
        <v>218</v>
      </c>
      <c r="X100" s="19" t="s">
        <v>218</v>
      </c>
      <c r="Z100"/>
      <c r="AA100"/>
      <c r="AB100"/>
      <c r="AC100"/>
      <c r="AD100"/>
    </row>
    <row r="101" spans="1:30" x14ac:dyDescent="0.35">
      <c r="A101" s="19">
        <v>202304</v>
      </c>
      <c r="B101" s="19" t="s">
        <v>730</v>
      </c>
      <c r="C101" s="19"/>
      <c r="F101" s="19" t="s">
        <v>208</v>
      </c>
      <c r="H101" s="19">
        <v>201</v>
      </c>
      <c r="I101" s="19" t="s">
        <v>218</v>
      </c>
      <c r="J101" s="19" t="s">
        <v>254</v>
      </c>
      <c r="K101" s="19" t="s">
        <v>469</v>
      </c>
      <c r="L101" s="19">
        <v>0</v>
      </c>
      <c r="M101" s="19" t="s">
        <v>218</v>
      </c>
      <c r="N101" s="19">
        <v>4</v>
      </c>
      <c r="O101" s="19" t="s">
        <v>222</v>
      </c>
      <c r="P101" s="19" t="s">
        <v>218</v>
      </c>
      <c r="Q101" s="19" t="s">
        <v>218</v>
      </c>
      <c r="R101" s="19" t="s">
        <v>218</v>
      </c>
      <c r="S101" s="19" t="s">
        <v>218</v>
      </c>
      <c r="T101" s="19" t="s">
        <v>218</v>
      </c>
      <c r="U101" s="19" t="s">
        <v>218</v>
      </c>
      <c r="V101" s="19" t="s">
        <v>218</v>
      </c>
      <c r="W101" s="19" t="s">
        <v>218</v>
      </c>
      <c r="X101" s="19" t="s">
        <v>218</v>
      </c>
      <c r="Z101"/>
      <c r="AA101"/>
      <c r="AB101"/>
      <c r="AC101"/>
      <c r="AD101"/>
    </row>
    <row r="102" spans="1:30" x14ac:dyDescent="0.35">
      <c r="A102" s="19">
        <v>202304</v>
      </c>
      <c r="B102" s="19" t="s">
        <v>731</v>
      </c>
      <c r="C102" s="19" t="s">
        <v>208</v>
      </c>
      <c r="G102" s="19" t="s">
        <v>470</v>
      </c>
      <c r="H102" s="19">
        <v>87</v>
      </c>
      <c r="I102" s="19" t="s">
        <v>732</v>
      </c>
      <c r="J102" s="19" t="s">
        <v>254</v>
      </c>
      <c r="K102" s="19" t="s">
        <v>255</v>
      </c>
      <c r="L102" s="19">
        <v>0</v>
      </c>
      <c r="M102" s="19" t="s">
        <v>226</v>
      </c>
      <c r="N102" s="19">
        <v>1</v>
      </c>
      <c r="O102" s="19" t="s">
        <v>222</v>
      </c>
      <c r="P102" s="19" t="s">
        <v>218</v>
      </c>
      <c r="Q102" s="19" t="s">
        <v>218</v>
      </c>
      <c r="R102" s="19" t="s">
        <v>218</v>
      </c>
      <c r="S102" s="19" t="s">
        <v>218</v>
      </c>
      <c r="T102" s="19" t="s">
        <v>218</v>
      </c>
      <c r="U102" s="19" t="s">
        <v>218</v>
      </c>
      <c r="V102" s="19" t="s">
        <v>218</v>
      </c>
      <c r="W102" s="19" t="s">
        <v>218</v>
      </c>
      <c r="X102" s="19" t="s">
        <v>218</v>
      </c>
      <c r="Z102"/>
      <c r="AA102"/>
      <c r="AB102"/>
      <c r="AC102"/>
      <c r="AD102"/>
    </row>
    <row r="103" spans="1:30" x14ac:dyDescent="0.35">
      <c r="A103" s="19">
        <v>202304</v>
      </c>
      <c r="B103" s="19" t="s">
        <v>733</v>
      </c>
      <c r="C103" s="19"/>
      <c r="E103" s="19" t="s">
        <v>208</v>
      </c>
      <c r="G103" s="19" t="s">
        <v>470</v>
      </c>
      <c r="H103" s="19">
        <v>83</v>
      </c>
      <c r="I103" s="19" t="s">
        <v>734</v>
      </c>
      <c r="J103" s="19" t="s">
        <v>254</v>
      </c>
      <c r="K103" s="19" t="s">
        <v>255</v>
      </c>
      <c r="L103" s="19">
        <v>5550</v>
      </c>
      <c r="M103" s="19" t="s">
        <v>516</v>
      </c>
      <c r="N103" s="19">
        <v>2</v>
      </c>
      <c r="O103" s="19" t="s">
        <v>253</v>
      </c>
      <c r="P103" s="19" t="s">
        <v>218</v>
      </c>
      <c r="Q103" s="19" t="s">
        <v>218</v>
      </c>
      <c r="R103" s="19" t="s">
        <v>218</v>
      </c>
      <c r="S103" s="19" t="s">
        <v>218</v>
      </c>
      <c r="T103" s="19" t="s">
        <v>218</v>
      </c>
      <c r="U103" s="19" t="s">
        <v>218</v>
      </c>
      <c r="V103" s="19" t="s">
        <v>218</v>
      </c>
      <c r="W103" s="19" t="s">
        <v>218</v>
      </c>
      <c r="X103" s="19" t="s">
        <v>218</v>
      </c>
      <c r="Z103"/>
      <c r="AA103"/>
      <c r="AB103"/>
      <c r="AC103"/>
      <c r="AD103"/>
    </row>
    <row r="104" spans="1:30" x14ac:dyDescent="0.35">
      <c r="A104" s="19">
        <v>202304</v>
      </c>
      <c r="B104" s="19" t="s">
        <v>735</v>
      </c>
      <c r="C104" s="19"/>
      <c r="E104" s="19" t="s">
        <v>208</v>
      </c>
      <c r="G104" s="19" t="s">
        <v>470</v>
      </c>
      <c r="H104" s="19">
        <v>83</v>
      </c>
      <c r="I104" s="19" t="s">
        <v>736</v>
      </c>
      <c r="J104" s="19" t="s">
        <v>254</v>
      </c>
      <c r="K104" s="19" t="s">
        <v>255</v>
      </c>
      <c r="L104" s="19">
        <v>4744</v>
      </c>
      <c r="M104" s="19" t="s">
        <v>258</v>
      </c>
      <c r="N104" s="19">
        <v>2</v>
      </c>
      <c r="O104" s="19" t="s">
        <v>253</v>
      </c>
      <c r="P104" s="19" t="s">
        <v>218</v>
      </c>
      <c r="Q104" s="19" t="s">
        <v>218</v>
      </c>
      <c r="R104" s="19" t="s">
        <v>218</v>
      </c>
      <c r="S104" s="19" t="s">
        <v>218</v>
      </c>
      <c r="T104" s="19" t="s">
        <v>218</v>
      </c>
      <c r="U104" s="19" t="s">
        <v>218</v>
      </c>
      <c r="V104" s="19" t="s">
        <v>218</v>
      </c>
      <c r="W104" s="19" t="s">
        <v>218</v>
      </c>
      <c r="X104" s="19" t="s">
        <v>218</v>
      </c>
      <c r="Z104"/>
      <c r="AA104"/>
      <c r="AB104"/>
      <c r="AC104"/>
      <c r="AD104"/>
    </row>
    <row r="105" spans="1:30" x14ac:dyDescent="0.35">
      <c r="A105" s="19">
        <v>202304</v>
      </c>
      <c r="B105" s="19" t="s">
        <v>737</v>
      </c>
      <c r="C105" s="19"/>
      <c r="E105" s="19" t="s">
        <v>208</v>
      </c>
      <c r="G105" s="19" t="s">
        <v>470</v>
      </c>
      <c r="H105" s="19">
        <v>83</v>
      </c>
      <c r="I105" s="19" t="s">
        <v>738</v>
      </c>
      <c r="J105" s="19" t="s">
        <v>254</v>
      </c>
      <c r="K105" s="19" t="s">
        <v>255</v>
      </c>
      <c r="L105" s="19">
        <v>5550</v>
      </c>
      <c r="M105" s="19" t="s">
        <v>516</v>
      </c>
      <c r="N105" s="19">
        <v>2</v>
      </c>
      <c r="O105" s="19" t="s">
        <v>253</v>
      </c>
      <c r="P105" s="19" t="s">
        <v>218</v>
      </c>
      <c r="Q105" s="19" t="s">
        <v>218</v>
      </c>
      <c r="R105" s="19" t="s">
        <v>218</v>
      </c>
      <c r="S105" s="19" t="s">
        <v>218</v>
      </c>
      <c r="T105" s="19" t="s">
        <v>218</v>
      </c>
      <c r="U105" s="19" t="s">
        <v>218</v>
      </c>
      <c r="V105" s="19" t="s">
        <v>218</v>
      </c>
      <c r="W105" s="19" t="s">
        <v>218</v>
      </c>
      <c r="X105" s="19" t="s">
        <v>218</v>
      </c>
      <c r="Z105"/>
      <c r="AA105"/>
      <c r="AB105"/>
      <c r="AC105"/>
      <c r="AD105"/>
    </row>
    <row r="106" spans="1:30" x14ac:dyDescent="0.35">
      <c r="A106" s="19">
        <v>202304</v>
      </c>
      <c r="B106" s="19" t="s">
        <v>739</v>
      </c>
      <c r="C106" s="19"/>
      <c r="E106" s="19" t="s">
        <v>208</v>
      </c>
      <c r="G106" s="19" t="s">
        <v>470</v>
      </c>
      <c r="H106" s="19">
        <v>83</v>
      </c>
      <c r="I106" s="19" t="s">
        <v>740</v>
      </c>
      <c r="J106" s="19" t="s">
        <v>254</v>
      </c>
      <c r="K106" s="19" t="s">
        <v>255</v>
      </c>
      <c r="L106" s="19">
        <v>5550</v>
      </c>
      <c r="M106" s="19" t="s">
        <v>516</v>
      </c>
      <c r="N106" s="19">
        <v>2</v>
      </c>
      <c r="O106" s="19" t="s">
        <v>253</v>
      </c>
      <c r="P106" s="19" t="s">
        <v>218</v>
      </c>
      <c r="Q106" s="19" t="s">
        <v>218</v>
      </c>
      <c r="R106" s="19" t="s">
        <v>218</v>
      </c>
      <c r="S106" s="19" t="s">
        <v>218</v>
      </c>
      <c r="T106" s="19" t="s">
        <v>218</v>
      </c>
      <c r="U106" s="19" t="s">
        <v>218</v>
      </c>
      <c r="V106" s="19" t="s">
        <v>218</v>
      </c>
      <c r="W106" s="19" t="s">
        <v>218</v>
      </c>
      <c r="X106" s="19" t="s">
        <v>218</v>
      </c>
      <c r="Z106"/>
      <c r="AA106"/>
      <c r="AB106"/>
      <c r="AC106"/>
      <c r="AD106"/>
    </row>
    <row r="107" spans="1:30" x14ac:dyDescent="0.35">
      <c r="A107" s="19">
        <v>202304</v>
      </c>
      <c r="B107" s="19" t="s">
        <v>741</v>
      </c>
      <c r="C107" s="19"/>
      <c r="E107" s="19" t="s">
        <v>208</v>
      </c>
      <c r="G107" s="19" t="s">
        <v>470</v>
      </c>
      <c r="H107" s="19">
        <v>83</v>
      </c>
      <c r="I107" s="19" t="s">
        <v>742</v>
      </c>
      <c r="J107" s="19" t="s">
        <v>254</v>
      </c>
      <c r="K107" s="19" t="s">
        <v>130</v>
      </c>
      <c r="L107" s="19">
        <v>44</v>
      </c>
      <c r="M107" s="19" t="s">
        <v>291</v>
      </c>
      <c r="N107" s="19">
        <v>2</v>
      </c>
      <c r="O107" s="19" t="s">
        <v>253</v>
      </c>
      <c r="P107" s="19" t="s">
        <v>218</v>
      </c>
      <c r="Q107" s="19" t="s">
        <v>218</v>
      </c>
      <c r="R107" s="19" t="s">
        <v>218</v>
      </c>
      <c r="S107" s="19" t="s">
        <v>218</v>
      </c>
      <c r="T107" s="19" t="s">
        <v>218</v>
      </c>
      <c r="U107" s="19" t="s">
        <v>218</v>
      </c>
      <c r="V107" s="19" t="s">
        <v>218</v>
      </c>
      <c r="W107" s="19" t="s">
        <v>218</v>
      </c>
      <c r="X107" s="19" t="s">
        <v>218</v>
      </c>
      <c r="Z107"/>
      <c r="AA107"/>
      <c r="AB107"/>
      <c r="AC107"/>
      <c r="AD107"/>
    </row>
    <row r="108" spans="1:30" x14ac:dyDescent="0.35">
      <c r="A108" s="19">
        <v>202304</v>
      </c>
      <c r="B108" s="19" t="s">
        <v>743</v>
      </c>
      <c r="C108" s="19"/>
      <c r="E108" s="19" t="s">
        <v>208</v>
      </c>
      <c r="G108" s="19" t="s">
        <v>470</v>
      </c>
      <c r="H108" s="19">
        <v>83</v>
      </c>
      <c r="I108" s="19" t="s">
        <v>744</v>
      </c>
      <c r="J108" s="19" t="s">
        <v>254</v>
      </c>
      <c r="K108" s="19" t="s">
        <v>255</v>
      </c>
      <c r="L108" s="19">
        <v>44</v>
      </c>
      <c r="M108" s="19" t="s">
        <v>291</v>
      </c>
      <c r="N108" s="19">
        <v>2</v>
      </c>
      <c r="O108" s="19" t="s">
        <v>253</v>
      </c>
      <c r="P108" s="19" t="s">
        <v>218</v>
      </c>
      <c r="Q108" s="19" t="s">
        <v>218</v>
      </c>
      <c r="R108" s="19" t="s">
        <v>218</v>
      </c>
      <c r="S108" s="19" t="s">
        <v>218</v>
      </c>
      <c r="T108" s="19" t="s">
        <v>218</v>
      </c>
      <c r="U108" s="19" t="s">
        <v>218</v>
      </c>
      <c r="V108" s="19" t="s">
        <v>218</v>
      </c>
      <c r="W108" s="19" t="s">
        <v>218</v>
      </c>
      <c r="X108" s="19" t="s">
        <v>218</v>
      </c>
      <c r="Z108"/>
      <c r="AA108"/>
      <c r="AB108"/>
      <c r="AC108"/>
      <c r="AD108"/>
    </row>
    <row r="109" spans="1:30" x14ac:dyDescent="0.35">
      <c r="A109" s="19">
        <v>202304</v>
      </c>
      <c r="B109" s="19" t="s">
        <v>485</v>
      </c>
      <c r="C109" s="19"/>
      <c r="E109" s="19" t="s">
        <v>208</v>
      </c>
      <c r="G109" s="19" t="s">
        <v>528</v>
      </c>
      <c r="H109" s="19">
        <v>83</v>
      </c>
      <c r="I109" s="19" t="s">
        <v>745</v>
      </c>
      <c r="J109" s="19" t="s">
        <v>254</v>
      </c>
      <c r="K109" s="19" t="s">
        <v>544</v>
      </c>
      <c r="L109" s="19">
        <v>44</v>
      </c>
      <c r="M109" s="19" t="s">
        <v>291</v>
      </c>
      <c r="N109" s="19">
        <v>2</v>
      </c>
      <c r="O109" s="19" t="s">
        <v>253</v>
      </c>
      <c r="P109" s="19" t="s">
        <v>218</v>
      </c>
      <c r="Q109" s="19" t="s">
        <v>218</v>
      </c>
      <c r="R109" s="19" t="s">
        <v>218</v>
      </c>
      <c r="S109" s="19" t="s">
        <v>218</v>
      </c>
      <c r="T109" s="19" t="s">
        <v>218</v>
      </c>
      <c r="U109" s="19" t="s">
        <v>218</v>
      </c>
      <c r="V109" s="19" t="s">
        <v>218</v>
      </c>
      <c r="W109" s="19" t="s">
        <v>218</v>
      </c>
      <c r="X109" s="19" t="s">
        <v>218</v>
      </c>
      <c r="Z109"/>
      <c r="AA109"/>
      <c r="AB109"/>
      <c r="AC109"/>
      <c r="AD109"/>
    </row>
    <row r="110" spans="1:30" x14ac:dyDescent="0.35">
      <c r="A110" s="19">
        <v>202304</v>
      </c>
      <c r="B110" s="19" t="s">
        <v>486</v>
      </c>
      <c r="C110" s="19"/>
      <c r="E110" s="19" t="s">
        <v>208</v>
      </c>
      <c r="G110" s="19" t="s">
        <v>528</v>
      </c>
      <c r="H110" s="19">
        <v>83</v>
      </c>
      <c r="I110" s="19" t="s">
        <v>746</v>
      </c>
      <c r="J110" s="19" t="s">
        <v>254</v>
      </c>
      <c r="K110" s="19" t="s">
        <v>544</v>
      </c>
      <c r="L110" s="19">
        <v>44</v>
      </c>
      <c r="M110" s="19" t="s">
        <v>291</v>
      </c>
      <c r="N110" s="19">
        <v>2</v>
      </c>
      <c r="O110" s="19" t="s">
        <v>253</v>
      </c>
      <c r="P110" s="19" t="s">
        <v>218</v>
      </c>
      <c r="Q110" s="19" t="s">
        <v>218</v>
      </c>
      <c r="R110" s="19" t="s">
        <v>218</v>
      </c>
      <c r="S110" s="19" t="s">
        <v>218</v>
      </c>
      <c r="T110" s="19" t="s">
        <v>218</v>
      </c>
      <c r="U110" s="19" t="s">
        <v>218</v>
      </c>
      <c r="V110" s="19" t="s">
        <v>218</v>
      </c>
      <c r="W110" s="19" t="s">
        <v>218</v>
      </c>
      <c r="X110" s="19" t="s">
        <v>218</v>
      </c>
      <c r="Z110"/>
      <c r="AA110"/>
      <c r="AB110"/>
      <c r="AC110"/>
      <c r="AD110"/>
    </row>
    <row r="111" spans="1:30" x14ac:dyDescent="0.35">
      <c r="A111" s="19">
        <v>202304</v>
      </c>
      <c r="B111" s="19" t="s">
        <v>534</v>
      </c>
      <c r="C111" s="19" t="s">
        <v>208</v>
      </c>
      <c r="E111" s="19" t="s">
        <v>208</v>
      </c>
      <c r="G111" s="19" t="s">
        <v>470</v>
      </c>
      <c r="H111" s="19">
        <v>87</v>
      </c>
      <c r="I111" s="19" t="s">
        <v>535</v>
      </c>
      <c r="J111" s="19" t="s">
        <v>254</v>
      </c>
      <c r="K111" s="19" t="s">
        <v>255</v>
      </c>
      <c r="L111" s="19">
        <v>4128</v>
      </c>
      <c r="M111" s="19" t="s">
        <v>256</v>
      </c>
      <c r="N111" s="19">
        <v>1</v>
      </c>
      <c r="O111" s="19" t="s">
        <v>222</v>
      </c>
      <c r="P111" s="19" t="s">
        <v>218</v>
      </c>
      <c r="Q111" s="19" t="s">
        <v>218</v>
      </c>
      <c r="R111" s="19" t="s">
        <v>218</v>
      </c>
      <c r="S111" s="19" t="s">
        <v>218</v>
      </c>
      <c r="T111" s="19" t="s">
        <v>218</v>
      </c>
      <c r="U111" s="19" t="s">
        <v>218</v>
      </c>
      <c r="V111" s="19" t="s">
        <v>218</v>
      </c>
      <c r="W111" s="19" t="s">
        <v>218</v>
      </c>
      <c r="X111" s="19" t="s">
        <v>218</v>
      </c>
      <c r="Z111"/>
      <c r="AA111"/>
      <c r="AB111"/>
      <c r="AC111"/>
      <c r="AD111"/>
    </row>
    <row r="112" spans="1:30" x14ac:dyDescent="0.35">
      <c r="A112" s="19">
        <v>202304</v>
      </c>
      <c r="B112" s="19" t="s">
        <v>747</v>
      </c>
      <c r="C112" s="19" t="s">
        <v>208</v>
      </c>
      <c r="G112" s="19" t="s">
        <v>53</v>
      </c>
      <c r="H112" s="19">
        <v>87</v>
      </c>
      <c r="I112" s="19" t="s">
        <v>748</v>
      </c>
      <c r="J112" s="19" t="s">
        <v>254</v>
      </c>
      <c r="K112" s="19" t="s">
        <v>255</v>
      </c>
      <c r="L112" s="19">
        <v>4128</v>
      </c>
      <c r="M112" s="19" t="s">
        <v>256</v>
      </c>
      <c r="N112" s="19">
        <v>1</v>
      </c>
      <c r="O112" s="19" t="s">
        <v>222</v>
      </c>
      <c r="P112" s="19" t="s">
        <v>218</v>
      </c>
      <c r="Q112" s="19" t="s">
        <v>218</v>
      </c>
      <c r="R112" s="19" t="s">
        <v>218</v>
      </c>
      <c r="S112" s="19" t="s">
        <v>218</v>
      </c>
      <c r="T112" s="19" t="s">
        <v>218</v>
      </c>
      <c r="U112" s="19" t="s">
        <v>218</v>
      </c>
      <c r="V112" s="19" t="s">
        <v>218</v>
      </c>
      <c r="W112" s="19" t="s">
        <v>218</v>
      </c>
      <c r="X112" s="19" t="s">
        <v>218</v>
      </c>
      <c r="Z112"/>
      <c r="AA112"/>
      <c r="AB112"/>
      <c r="AC112"/>
      <c r="AD112"/>
    </row>
    <row r="113" spans="1:30" x14ac:dyDescent="0.35">
      <c r="A113" s="19">
        <v>202304</v>
      </c>
      <c r="B113" s="19" t="s">
        <v>487</v>
      </c>
      <c r="C113" s="19"/>
      <c r="E113" s="19" t="s">
        <v>208</v>
      </c>
      <c r="F113" s="19" t="s">
        <v>208</v>
      </c>
      <c r="G113" s="19" t="s">
        <v>470</v>
      </c>
      <c r="H113" s="19">
        <v>83</v>
      </c>
      <c r="I113" s="19" t="s">
        <v>488</v>
      </c>
      <c r="J113" s="19" t="s">
        <v>254</v>
      </c>
      <c r="K113" s="19" t="s">
        <v>255</v>
      </c>
      <c r="L113" s="19">
        <v>44</v>
      </c>
      <c r="M113" s="19" t="s">
        <v>291</v>
      </c>
      <c r="N113" s="19">
        <v>2</v>
      </c>
      <c r="O113" s="19" t="s">
        <v>253</v>
      </c>
      <c r="P113" s="19" t="s">
        <v>218</v>
      </c>
      <c r="Q113" s="19" t="s">
        <v>218</v>
      </c>
      <c r="R113" s="19" t="s">
        <v>218</v>
      </c>
      <c r="S113" s="19" t="s">
        <v>218</v>
      </c>
      <c r="T113" s="19" t="s">
        <v>218</v>
      </c>
      <c r="U113" s="19" t="s">
        <v>218</v>
      </c>
      <c r="V113" s="19" t="s">
        <v>218</v>
      </c>
      <c r="W113" s="19" t="s">
        <v>218</v>
      </c>
      <c r="X113" s="19" t="s">
        <v>218</v>
      </c>
      <c r="Z113"/>
      <c r="AA113"/>
      <c r="AB113"/>
      <c r="AC113"/>
      <c r="AD113"/>
    </row>
    <row r="114" spans="1:30" x14ac:dyDescent="0.35">
      <c r="A114" s="19">
        <v>202304</v>
      </c>
      <c r="B114" s="19" t="s">
        <v>489</v>
      </c>
      <c r="C114" s="19"/>
      <c r="E114" s="19" t="s">
        <v>208</v>
      </c>
      <c r="F114" s="19" t="s">
        <v>208</v>
      </c>
      <c r="G114" s="19" t="s">
        <v>470</v>
      </c>
      <c r="H114" s="19">
        <v>83</v>
      </c>
      <c r="I114" s="19" t="s">
        <v>490</v>
      </c>
      <c r="J114" s="19" t="s">
        <v>254</v>
      </c>
      <c r="K114" s="19" t="s">
        <v>255</v>
      </c>
      <c r="L114" s="19">
        <v>4744</v>
      </c>
      <c r="M114" s="19" t="s">
        <v>258</v>
      </c>
      <c r="N114" s="19">
        <v>2</v>
      </c>
      <c r="O114" s="19" t="s">
        <v>253</v>
      </c>
      <c r="P114" s="19" t="s">
        <v>218</v>
      </c>
      <c r="Q114" s="19" t="s">
        <v>218</v>
      </c>
      <c r="R114" s="19" t="s">
        <v>218</v>
      </c>
      <c r="S114" s="19" t="s">
        <v>218</v>
      </c>
      <c r="T114" s="19" t="s">
        <v>218</v>
      </c>
      <c r="U114" s="19" t="s">
        <v>218</v>
      </c>
      <c r="V114" s="19" t="s">
        <v>218</v>
      </c>
      <c r="W114" s="19" t="s">
        <v>218</v>
      </c>
      <c r="X114" s="19" t="s">
        <v>218</v>
      </c>
      <c r="Z114"/>
      <c r="AA114"/>
      <c r="AB114"/>
      <c r="AC114"/>
      <c r="AD114"/>
    </row>
    <row r="115" spans="1:30" x14ac:dyDescent="0.35">
      <c r="A115" s="19">
        <v>202304</v>
      </c>
      <c r="B115" s="19" t="s">
        <v>749</v>
      </c>
      <c r="C115" s="19"/>
      <c r="E115" s="19" t="s">
        <v>217</v>
      </c>
      <c r="F115" s="19" t="s">
        <v>208</v>
      </c>
      <c r="G115" s="19" t="s">
        <v>87</v>
      </c>
      <c r="H115" s="19">
        <v>83</v>
      </c>
      <c r="I115" s="19" t="s">
        <v>750</v>
      </c>
      <c r="J115" s="19" t="s">
        <v>254</v>
      </c>
      <c r="K115" s="19" t="s">
        <v>130</v>
      </c>
      <c r="L115" s="19">
        <v>44</v>
      </c>
      <c r="M115" s="19" t="s">
        <v>291</v>
      </c>
      <c r="N115" s="19">
        <v>2</v>
      </c>
      <c r="O115" s="19" t="s">
        <v>253</v>
      </c>
      <c r="P115" s="19" t="s">
        <v>218</v>
      </c>
      <c r="Q115" s="19" t="s">
        <v>218</v>
      </c>
      <c r="R115" s="19" t="s">
        <v>218</v>
      </c>
      <c r="S115" s="19" t="s">
        <v>218</v>
      </c>
      <c r="T115" s="19" t="s">
        <v>218</v>
      </c>
      <c r="U115" s="19" t="s">
        <v>218</v>
      </c>
      <c r="V115" s="19" t="s">
        <v>218</v>
      </c>
      <c r="W115" s="19" t="s">
        <v>218</v>
      </c>
      <c r="X115" s="19" t="s">
        <v>218</v>
      </c>
      <c r="Z115"/>
      <c r="AA115"/>
      <c r="AB115"/>
      <c r="AC115"/>
      <c r="AD115"/>
    </row>
    <row r="116" spans="1:30" x14ac:dyDescent="0.35">
      <c r="A116" s="19">
        <v>202304</v>
      </c>
      <c r="B116" s="19" t="s">
        <v>751</v>
      </c>
      <c r="C116" s="19" t="s">
        <v>217</v>
      </c>
      <c r="D116" s="19" t="s">
        <v>217</v>
      </c>
      <c r="F116" s="19" t="s">
        <v>208</v>
      </c>
      <c r="G116" s="19" t="s">
        <v>87</v>
      </c>
      <c r="H116" s="19">
        <v>87</v>
      </c>
      <c r="I116" s="19" t="s">
        <v>752</v>
      </c>
      <c r="J116" s="19" t="s">
        <v>254</v>
      </c>
      <c r="K116" s="19" t="s">
        <v>255</v>
      </c>
      <c r="L116" s="19">
        <v>0</v>
      </c>
      <c r="M116" s="19" t="s">
        <v>594</v>
      </c>
      <c r="N116" s="19">
        <v>1</v>
      </c>
      <c r="O116" s="19" t="s">
        <v>222</v>
      </c>
      <c r="P116" s="19" t="s">
        <v>218</v>
      </c>
      <c r="Q116" s="19" t="s">
        <v>218</v>
      </c>
      <c r="R116" s="19" t="s">
        <v>218</v>
      </c>
      <c r="S116" s="19" t="s">
        <v>218</v>
      </c>
      <c r="T116" s="19" t="s">
        <v>218</v>
      </c>
      <c r="U116" s="19" t="s">
        <v>218</v>
      </c>
      <c r="V116" s="19" t="s">
        <v>218</v>
      </c>
      <c r="W116" s="19" t="s">
        <v>218</v>
      </c>
      <c r="X116" s="19" t="s">
        <v>218</v>
      </c>
      <c r="Z116"/>
      <c r="AA116"/>
      <c r="AB116"/>
      <c r="AC116"/>
      <c r="AD116"/>
    </row>
    <row r="117" spans="1:30" x14ac:dyDescent="0.35">
      <c r="A117" s="19">
        <v>202304</v>
      </c>
      <c r="B117" s="19" t="s">
        <v>753</v>
      </c>
      <c r="C117" s="19"/>
      <c r="E117" s="19" t="s">
        <v>208</v>
      </c>
      <c r="G117" s="19" t="s">
        <v>53</v>
      </c>
      <c r="H117" s="19">
        <v>83</v>
      </c>
      <c r="I117" s="19" t="s">
        <v>754</v>
      </c>
      <c r="J117" s="19" t="s">
        <v>254</v>
      </c>
      <c r="K117" s="19" t="s">
        <v>257</v>
      </c>
      <c r="L117" s="19">
        <v>44</v>
      </c>
      <c r="M117" s="19" t="s">
        <v>291</v>
      </c>
      <c r="N117" s="19">
        <v>2</v>
      </c>
      <c r="O117" s="19" t="s">
        <v>253</v>
      </c>
      <c r="P117" s="19" t="s">
        <v>218</v>
      </c>
      <c r="Q117" s="19" t="s">
        <v>218</v>
      </c>
      <c r="R117" s="19" t="s">
        <v>218</v>
      </c>
      <c r="S117" s="19" t="s">
        <v>218</v>
      </c>
      <c r="T117" s="19" t="s">
        <v>218</v>
      </c>
      <c r="U117" s="19" t="s">
        <v>218</v>
      </c>
      <c r="V117" s="19" t="s">
        <v>218</v>
      </c>
      <c r="W117" s="19" t="s">
        <v>218</v>
      </c>
      <c r="X117" s="19" t="s">
        <v>218</v>
      </c>
      <c r="Z117"/>
      <c r="AA117"/>
      <c r="AB117"/>
      <c r="AC117"/>
      <c r="AD117"/>
    </row>
    <row r="118" spans="1:30" x14ac:dyDescent="0.35">
      <c r="A118" s="19">
        <v>202304</v>
      </c>
      <c r="B118" s="19" t="s">
        <v>755</v>
      </c>
      <c r="C118" s="19" t="s">
        <v>217</v>
      </c>
      <c r="D118" s="19" t="s">
        <v>217</v>
      </c>
      <c r="F118" s="19" t="s">
        <v>208</v>
      </c>
      <c r="G118" s="19" t="s">
        <v>87</v>
      </c>
      <c r="H118" s="19">
        <v>87</v>
      </c>
      <c r="I118" s="19" t="s">
        <v>756</v>
      </c>
      <c r="J118" s="19" t="s">
        <v>254</v>
      </c>
      <c r="K118" s="19" t="s">
        <v>255</v>
      </c>
      <c r="L118" s="19">
        <v>0</v>
      </c>
      <c r="M118" s="19" t="s">
        <v>594</v>
      </c>
      <c r="N118" s="19">
        <v>1</v>
      </c>
      <c r="O118" s="19" t="s">
        <v>222</v>
      </c>
      <c r="P118" s="19" t="s">
        <v>218</v>
      </c>
      <c r="Q118" s="19" t="s">
        <v>218</v>
      </c>
      <c r="R118" s="19" t="s">
        <v>218</v>
      </c>
      <c r="S118" s="19" t="s">
        <v>218</v>
      </c>
      <c r="T118" s="19" t="s">
        <v>218</v>
      </c>
      <c r="U118" s="19" t="s">
        <v>218</v>
      </c>
      <c r="V118" s="19" t="s">
        <v>218</v>
      </c>
      <c r="W118" s="19" t="s">
        <v>218</v>
      </c>
      <c r="X118" s="19" t="s">
        <v>218</v>
      </c>
      <c r="Z118"/>
      <c r="AA118"/>
      <c r="AB118"/>
      <c r="AC118"/>
      <c r="AD118"/>
    </row>
    <row r="119" spans="1:30" x14ac:dyDescent="0.35">
      <c r="A119" s="19">
        <v>202304</v>
      </c>
      <c r="B119" s="19" t="s">
        <v>757</v>
      </c>
      <c r="C119" s="19"/>
      <c r="F119" s="19" t="s">
        <v>208</v>
      </c>
      <c r="G119" s="19" t="s">
        <v>53</v>
      </c>
      <c r="H119" s="19">
        <v>201</v>
      </c>
      <c r="I119" s="19" t="s">
        <v>758</v>
      </c>
      <c r="J119" s="19" t="s">
        <v>254</v>
      </c>
      <c r="K119" s="19" t="s">
        <v>469</v>
      </c>
      <c r="L119" s="19">
        <v>0</v>
      </c>
      <c r="M119" s="19" t="s">
        <v>594</v>
      </c>
      <c r="N119" s="19">
        <v>4</v>
      </c>
      <c r="O119" s="19" t="s">
        <v>222</v>
      </c>
      <c r="P119" s="19" t="s">
        <v>218</v>
      </c>
      <c r="Q119" s="19" t="s">
        <v>218</v>
      </c>
      <c r="R119" s="19" t="s">
        <v>218</v>
      </c>
      <c r="S119" s="19" t="s">
        <v>218</v>
      </c>
      <c r="T119" s="19" t="s">
        <v>218</v>
      </c>
      <c r="U119" s="19" t="s">
        <v>218</v>
      </c>
      <c r="V119" s="19" t="s">
        <v>218</v>
      </c>
      <c r="W119" s="19" t="s">
        <v>218</v>
      </c>
      <c r="X119" s="19" t="s">
        <v>218</v>
      </c>
      <c r="Z119"/>
      <c r="AA119"/>
      <c r="AB119"/>
      <c r="AC119"/>
      <c r="AD119"/>
    </row>
    <row r="120" spans="1:30" x14ac:dyDescent="0.35">
      <c r="A120" s="19">
        <v>202304</v>
      </c>
      <c r="B120" s="19" t="s">
        <v>759</v>
      </c>
      <c r="C120" s="19"/>
      <c r="E120" s="19" t="s">
        <v>208</v>
      </c>
      <c r="F120" s="19" t="s">
        <v>208</v>
      </c>
      <c r="G120" s="19" t="s">
        <v>53</v>
      </c>
      <c r="H120" s="19">
        <v>83</v>
      </c>
      <c r="I120" s="19" t="s">
        <v>760</v>
      </c>
      <c r="J120" s="19" t="s">
        <v>254</v>
      </c>
      <c r="K120" s="19" t="s">
        <v>255</v>
      </c>
      <c r="L120" s="19">
        <v>5550</v>
      </c>
      <c r="M120" s="19" t="s">
        <v>516</v>
      </c>
      <c r="N120" s="19">
        <v>2</v>
      </c>
      <c r="O120" s="19" t="s">
        <v>253</v>
      </c>
      <c r="P120" s="19" t="s">
        <v>218</v>
      </c>
      <c r="Q120" s="19" t="s">
        <v>218</v>
      </c>
      <c r="R120" s="19" t="s">
        <v>218</v>
      </c>
      <c r="S120" s="19" t="s">
        <v>218</v>
      </c>
      <c r="T120" s="19" t="s">
        <v>218</v>
      </c>
      <c r="U120" s="19" t="s">
        <v>218</v>
      </c>
      <c r="V120" s="19" t="s">
        <v>218</v>
      </c>
      <c r="W120" s="19" t="s">
        <v>218</v>
      </c>
      <c r="X120" s="19" t="s">
        <v>218</v>
      </c>
      <c r="Z120"/>
      <c r="AA120"/>
      <c r="AB120"/>
      <c r="AC120"/>
      <c r="AD120"/>
    </row>
    <row r="121" spans="1:30" x14ac:dyDescent="0.35">
      <c r="A121" s="19">
        <v>202304</v>
      </c>
      <c r="B121" s="19" t="s">
        <v>761</v>
      </c>
      <c r="C121" s="19" t="s">
        <v>217</v>
      </c>
      <c r="D121" s="19" t="s">
        <v>208</v>
      </c>
      <c r="G121" s="19" t="s">
        <v>53</v>
      </c>
      <c r="H121" s="19">
        <v>87</v>
      </c>
      <c r="I121" s="19" t="s">
        <v>762</v>
      </c>
      <c r="J121" s="19" t="s">
        <v>254</v>
      </c>
      <c r="K121" s="19" t="s">
        <v>257</v>
      </c>
      <c r="L121" s="19">
        <v>4128</v>
      </c>
      <c r="M121" s="19" t="s">
        <v>256</v>
      </c>
      <c r="N121" s="19">
        <v>1</v>
      </c>
      <c r="O121" s="19" t="s">
        <v>222</v>
      </c>
      <c r="P121" s="19" t="s">
        <v>218</v>
      </c>
      <c r="Q121" s="19" t="s">
        <v>218</v>
      </c>
      <c r="R121" s="19" t="s">
        <v>218</v>
      </c>
      <c r="S121" s="19" t="s">
        <v>218</v>
      </c>
      <c r="T121" s="19" t="s">
        <v>218</v>
      </c>
      <c r="U121" s="19" t="s">
        <v>218</v>
      </c>
      <c r="V121" s="19" t="s">
        <v>218</v>
      </c>
      <c r="W121" s="19" t="s">
        <v>218</v>
      </c>
      <c r="X121" s="19" t="s">
        <v>218</v>
      </c>
      <c r="Z121"/>
      <c r="AA121"/>
      <c r="AB121"/>
      <c r="AC121"/>
      <c r="AD121"/>
    </row>
    <row r="122" spans="1:30" x14ac:dyDescent="0.35">
      <c r="A122" s="19">
        <v>202304</v>
      </c>
      <c r="B122" s="19" t="s">
        <v>763</v>
      </c>
      <c r="C122" s="19"/>
      <c r="F122" s="19" t="s">
        <v>208</v>
      </c>
      <c r="G122" s="19" t="s">
        <v>470</v>
      </c>
      <c r="H122" s="19">
        <v>201</v>
      </c>
      <c r="I122" s="19" t="s">
        <v>218</v>
      </c>
      <c r="J122" s="19" t="s">
        <v>254</v>
      </c>
      <c r="K122" s="19" t="s">
        <v>257</v>
      </c>
      <c r="L122" s="19">
        <v>0</v>
      </c>
      <c r="M122" s="19" t="s">
        <v>218</v>
      </c>
      <c r="N122" s="19">
        <v>4</v>
      </c>
      <c r="O122" s="19" t="s">
        <v>222</v>
      </c>
      <c r="P122" s="19" t="s">
        <v>218</v>
      </c>
      <c r="Q122" s="19" t="s">
        <v>218</v>
      </c>
      <c r="R122" s="19" t="s">
        <v>218</v>
      </c>
      <c r="S122" s="19" t="s">
        <v>218</v>
      </c>
      <c r="T122" s="19" t="s">
        <v>218</v>
      </c>
      <c r="U122" s="19" t="s">
        <v>218</v>
      </c>
      <c r="V122" s="19" t="s">
        <v>218</v>
      </c>
      <c r="W122" s="19" t="s">
        <v>218</v>
      </c>
      <c r="X122" s="19" t="s">
        <v>218</v>
      </c>
      <c r="Z122"/>
      <c r="AA122"/>
      <c r="AB122"/>
      <c r="AC122"/>
      <c r="AD122"/>
    </row>
    <row r="123" spans="1:30" x14ac:dyDescent="0.35">
      <c r="A123" s="19">
        <v>202304</v>
      </c>
      <c r="B123" s="19" t="s">
        <v>1423</v>
      </c>
      <c r="C123" s="19" t="s">
        <v>208</v>
      </c>
      <c r="G123" s="19" t="s">
        <v>528</v>
      </c>
      <c r="H123" s="19">
        <v>87</v>
      </c>
      <c r="I123" s="19" t="s">
        <v>1424</v>
      </c>
      <c r="J123" s="19" t="s">
        <v>254</v>
      </c>
      <c r="K123" s="19" t="s">
        <v>257</v>
      </c>
      <c r="L123" s="19">
        <v>0</v>
      </c>
      <c r="M123" s="19" t="s">
        <v>218</v>
      </c>
      <c r="N123" s="19">
        <v>1</v>
      </c>
      <c r="O123" s="19" t="s">
        <v>222</v>
      </c>
      <c r="P123" s="19" t="s">
        <v>218</v>
      </c>
      <c r="Q123" s="19" t="s">
        <v>218</v>
      </c>
      <c r="R123" s="19" t="s">
        <v>218</v>
      </c>
      <c r="S123" s="19" t="s">
        <v>218</v>
      </c>
      <c r="T123" s="19" t="s">
        <v>218</v>
      </c>
      <c r="U123" s="19" t="s">
        <v>218</v>
      </c>
      <c r="V123" s="19" t="s">
        <v>218</v>
      </c>
      <c r="W123" s="19" t="s">
        <v>218</v>
      </c>
      <c r="X123" s="19" t="s">
        <v>218</v>
      </c>
      <c r="Z123"/>
      <c r="AA123"/>
      <c r="AB123"/>
      <c r="AC123"/>
      <c r="AD123"/>
    </row>
    <row r="124" spans="1:30" x14ac:dyDescent="0.35">
      <c r="A124" s="19">
        <v>202304</v>
      </c>
      <c r="B124" s="19" t="s">
        <v>764</v>
      </c>
      <c r="C124" s="19"/>
      <c r="E124" s="19" t="s">
        <v>208</v>
      </c>
      <c r="F124" s="19" t="s">
        <v>208</v>
      </c>
      <c r="G124" s="19" t="s">
        <v>282</v>
      </c>
      <c r="H124" s="19">
        <v>83</v>
      </c>
      <c r="I124" s="19" t="s">
        <v>765</v>
      </c>
      <c r="J124" s="19" t="s">
        <v>254</v>
      </c>
      <c r="K124" s="19" t="s">
        <v>130</v>
      </c>
      <c r="L124" s="19">
        <v>4128</v>
      </c>
      <c r="M124" s="19" t="s">
        <v>256</v>
      </c>
      <c r="N124" s="19">
        <v>2</v>
      </c>
      <c r="O124" s="19" t="s">
        <v>253</v>
      </c>
      <c r="P124" s="19" t="s">
        <v>218</v>
      </c>
      <c r="Q124" s="19" t="s">
        <v>218</v>
      </c>
      <c r="R124" s="19" t="s">
        <v>218</v>
      </c>
      <c r="S124" s="19" t="s">
        <v>218</v>
      </c>
      <c r="T124" s="19" t="s">
        <v>218</v>
      </c>
      <c r="U124" s="19" t="s">
        <v>218</v>
      </c>
      <c r="V124" s="19" t="s">
        <v>218</v>
      </c>
      <c r="W124" s="19" t="s">
        <v>218</v>
      </c>
      <c r="X124" s="19" t="s">
        <v>218</v>
      </c>
      <c r="Z124"/>
      <c r="AA124"/>
      <c r="AB124"/>
      <c r="AC124"/>
      <c r="AD124"/>
    </row>
    <row r="125" spans="1:30" x14ac:dyDescent="0.35">
      <c r="A125" s="19">
        <v>202304</v>
      </c>
      <c r="B125" s="19" t="s">
        <v>766</v>
      </c>
      <c r="C125" s="19"/>
      <c r="F125" s="19" t="s">
        <v>208</v>
      </c>
      <c r="G125" s="19" t="s">
        <v>470</v>
      </c>
      <c r="H125" s="19">
        <v>201</v>
      </c>
      <c r="I125" s="19" t="s">
        <v>767</v>
      </c>
      <c r="J125" s="19" t="s">
        <v>254</v>
      </c>
      <c r="K125" s="19" t="s">
        <v>768</v>
      </c>
      <c r="L125" s="19">
        <v>0</v>
      </c>
      <c r="M125" s="19" t="s">
        <v>226</v>
      </c>
      <c r="N125" s="19">
        <v>4</v>
      </c>
      <c r="O125" s="19" t="s">
        <v>222</v>
      </c>
      <c r="P125" s="19" t="s">
        <v>218</v>
      </c>
      <c r="Q125" s="19" t="s">
        <v>218</v>
      </c>
      <c r="R125" s="19" t="s">
        <v>218</v>
      </c>
      <c r="S125" s="19" t="s">
        <v>218</v>
      </c>
      <c r="T125" s="19" t="s">
        <v>218</v>
      </c>
      <c r="U125" s="19" t="s">
        <v>218</v>
      </c>
      <c r="V125" s="19" t="s">
        <v>218</v>
      </c>
      <c r="W125" s="19" t="s">
        <v>218</v>
      </c>
      <c r="X125" s="19" t="s">
        <v>218</v>
      </c>
      <c r="Z125"/>
      <c r="AA125"/>
      <c r="AB125"/>
      <c r="AC125"/>
      <c r="AD125"/>
    </row>
    <row r="126" spans="1:30" x14ac:dyDescent="0.35">
      <c r="A126" s="19">
        <v>202304</v>
      </c>
      <c r="B126" s="19" t="s">
        <v>769</v>
      </c>
      <c r="C126" s="19" t="s">
        <v>208</v>
      </c>
      <c r="G126" s="19" t="s">
        <v>470</v>
      </c>
      <c r="H126" s="19">
        <v>87</v>
      </c>
      <c r="I126" s="19" t="s">
        <v>770</v>
      </c>
      <c r="J126" s="19" t="s">
        <v>254</v>
      </c>
      <c r="K126" s="19" t="s">
        <v>255</v>
      </c>
      <c r="L126" s="19">
        <v>0</v>
      </c>
      <c r="M126" s="19" t="s">
        <v>226</v>
      </c>
      <c r="N126" s="19">
        <v>1</v>
      </c>
      <c r="O126" s="19" t="s">
        <v>222</v>
      </c>
      <c r="P126" s="19" t="s">
        <v>218</v>
      </c>
      <c r="Q126" s="19" t="s">
        <v>218</v>
      </c>
      <c r="R126" s="19" t="s">
        <v>218</v>
      </c>
      <c r="S126" s="19" t="s">
        <v>218</v>
      </c>
      <c r="T126" s="19" t="s">
        <v>218</v>
      </c>
      <c r="U126" s="19" t="s">
        <v>218</v>
      </c>
      <c r="V126" s="19" t="s">
        <v>218</v>
      </c>
      <c r="W126" s="19" t="s">
        <v>218</v>
      </c>
      <c r="X126" s="19" t="s">
        <v>218</v>
      </c>
      <c r="Z126"/>
      <c r="AA126"/>
      <c r="AB126"/>
      <c r="AC126"/>
      <c r="AD126"/>
    </row>
    <row r="127" spans="1:30" x14ac:dyDescent="0.35">
      <c r="A127" s="19">
        <v>202304</v>
      </c>
      <c r="B127" s="19" t="s">
        <v>771</v>
      </c>
      <c r="C127" s="19" t="s">
        <v>208</v>
      </c>
      <c r="E127" s="19" t="s">
        <v>208</v>
      </c>
      <c r="G127" s="19" t="s">
        <v>282</v>
      </c>
      <c r="H127" s="19">
        <v>87</v>
      </c>
      <c r="I127" s="19" t="s">
        <v>772</v>
      </c>
      <c r="J127" s="19" t="s">
        <v>254</v>
      </c>
      <c r="K127" s="19" t="s">
        <v>255</v>
      </c>
      <c r="L127" s="19">
        <v>0</v>
      </c>
      <c r="M127" s="19" t="s">
        <v>226</v>
      </c>
      <c r="N127" s="19">
        <v>1</v>
      </c>
      <c r="O127" s="19" t="s">
        <v>222</v>
      </c>
      <c r="P127" s="19" t="s">
        <v>218</v>
      </c>
      <c r="Q127" s="19" t="s">
        <v>218</v>
      </c>
      <c r="R127" s="19" t="s">
        <v>218</v>
      </c>
      <c r="S127" s="19" t="s">
        <v>218</v>
      </c>
      <c r="T127" s="19" t="s">
        <v>218</v>
      </c>
      <c r="U127" s="19" t="s">
        <v>218</v>
      </c>
      <c r="V127" s="19" t="s">
        <v>218</v>
      </c>
      <c r="W127" s="19" t="s">
        <v>218</v>
      </c>
      <c r="X127" s="19" t="s">
        <v>218</v>
      </c>
      <c r="Z127"/>
      <c r="AA127"/>
      <c r="AB127"/>
      <c r="AC127"/>
      <c r="AD127"/>
    </row>
    <row r="128" spans="1:30" x14ac:dyDescent="0.35">
      <c r="A128" s="19">
        <v>202304</v>
      </c>
      <c r="B128" s="19" t="s">
        <v>773</v>
      </c>
      <c r="C128" s="19" t="s">
        <v>208</v>
      </c>
      <c r="E128" s="19" t="s">
        <v>208</v>
      </c>
      <c r="G128" s="19" t="s">
        <v>470</v>
      </c>
      <c r="H128" s="19">
        <v>87</v>
      </c>
      <c r="I128" s="19" t="s">
        <v>774</v>
      </c>
      <c r="J128" s="19" t="s">
        <v>254</v>
      </c>
      <c r="K128" s="19" t="s">
        <v>257</v>
      </c>
      <c r="L128" s="19">
        <v>0</v>
      </c>
      <c r="M128" s="19" t="s">
        <v>226</v>
      </c>
      <c r="N128" s="19">
        <v>1</v>
      </c>
      <c r="O128" s="19" t="s">
        <v>222</v>
      </c>
      <c r="P128" s="19" t="s">
        <v>218</v>
      </c>
      <c r="Q128" s="19" t="s">
        <v>218</v>
      </c>
      <c r="R128" s="19" t="s">
        <v>218</v>
      </c>
      <c r="S128" s="19" t="s">
        <v>218</v>
      </c>
      <c r="T128" s="19" t="s">
        <v>218</v>
      </c>
      <c r="U128" s="19" t="s">
        <v>218</v>
      </c>
      <c r="V128" s="19" t="s">
        <v>218</v>
      </c>
      <c r="W128" s="19" t="s">
        <v>218</v>
      </c>
      <c r="X128" s="19" t="s">
        <v>218</v>
      </c>
      <c r="Z128"/>
      <c r="AA128"/>
      <c r="AB128"/>
      <c r="AC128"/>
      <c r="AD128"/>
    </row>
    <row r="129" spans="1:30" x14ac:dyDescent="0.35">
      <c r="A129" s="19">
        <v>202304</v>
      </c>
      <c r="B129" s="19" t="s">
        <v>775</v>
      </c>
      <c r="C129" s="19" t="s">
        <v>208</v>
      </c>
      <c r="E129" s="19" t="s">
        <v>208</v>
      </c>
      <c r="G129" s="19" t="s">
        <v>470</v>
      </c>
      <c r="H129" s="19">
        <v>87</v>
      </c>
      <c r="I129" s="19" t="s">
        <v>776</v>
      </c>
      <c r="J129" s="19" t="s">
        <v>254</v>
      </c>
      <c r="K129" s="19" t="s">
        <v>257</v>
      </c>
      <c r="L129" s="19">
        <v>0</v>
      </c>
      <c r="M129" s="19" t="s">
        <v>226</v>
      </c>
      <c r="N129" s="19">
        <v>1</v>
      </c>
      <c r="O129" s="19" t="s">
        <v>222</v>
      </c>
      <c r="P129" s="19" t="s">
        <v>218</v>
      </c>
      <c r="Q129" s="19" t="s">
        <v>218</v>
      </c>
      <c r="R129" s="19" t="s">
        <v>218</v>
      </c>
      <c r="S129" s="19" t="s">
        <v>218</v>
      </c>
      <c r="T129" s="19" t="s">
        <v>218</v>
      </c>
      <c r="U129" s="19" t="s">
        <v>218</v>
      </c>
      <c r="V129" s="19" t="s">
        <v>218</v>
      </c>
      <c r="W129" s="19" t="s">
        <v>218</v>
      </c>
      <c r="X129" s="19" t="s">
        <v>218</v>
      </c>
      <c r="Z129"/>
      <c r="AA129"/>
      <c r="AB129"/>
      <c r="AC129"/>
      <c r="AD129"/>
    </row>
    <row r="130" spans="1:30" x14ac:dyDescent="0.35">
      <c r="A130" s="19">
        <v>202304</v>
      </c>
      <c r="B130" s="19" t="s">
        <v>777</v>
      </c>
      <c r="C130" s="19" t="s">
        <v>208</v>
      </c>
      <c r="G130" s="19" t="s">
        <v>470</v>
      </c>
      <c r="H130" s="19">
        <v>87</v>
      </c>
      <c r="I130" s="19" t="s">
        <v>778</v>
      </c>
      <c r="J130" s="19" t="s">
        <v>254</v>
      </c>
      <c r="K130" s="19" t="s">
        <v>130</v>
      </c>
      <c r="L130" s="19">
        <v>0</v>
      </c>
      <c r="M130" s="19" t="s">
        <v>226</v>
      </c>
      <c r="N130" s="19">
        <v>1</v>
      </c>
      <c r="O130" s="19" t="s">
        <v>222</v>
      </c>
      <c r="P130" s="19" t="s">
        <v>218</v>
      </c>
      <c r="Q130" s="19" t="s">
        <v>218</v>
      </c>
      <c r="R130" s="19" t="s">
        <v>218</v>
      </c>
      <c r="S130" s="19" t="s">
        <v>218</v>
      </c>
      <c r="T130" s="19" t="s">
        <v>218</v>
      </c>
      <c r="U130" s="19" t="s">
        <v>218</v>
      </c>
      <c r="V130" s="19" t="s">
        <v>218</v>
      </c>
      <c r="W130" s="19" t="s">
        <v>218</v>
      </c>
      <c r="X130" s="19" t="s">
        <v>218</v>
      </c>
      <c r="Z130"/>
      <c r="AA130"/>
      <c r="AB130"/>
      <c r="AC130"/>
      <c r="AD130"/>
    </row>
    <row r="131" spans="1:30" x14ac:dyDescent="0.35">
      <c r="A131" s="19">
        <v>202304</v>
      </c>
      <c r="B131" s="19" t="s">
        <v>779</v>
      </c>
      <c r="C131" s="19"/>
      <c r="E131" s="19" t="s">
        <v>208</v>
      </c>
      <c r="G131" s="19" t="s">
        <v>470</v>
      </c>
      <c r="H131" s="19">
        <v>83</v>
      </c>
      <c r="I131" s="19" t="s">
        <v>780</v>
      </c>
      <c r="J131" s="19" t="s">
        <v>254</v>
      </c>
      <c r="K131" s="19" t="s">
        <v>255</v>
      </c>
      <c r="L131" s="19">
        <v>5550</v>
      </c>
      <c r="M131" s="19" t="s">
        <v>516</v>
      </c>
      <c r="N131" s="19">
        <v>2</v>
      </c>
      <c r="O131" s="19" t="s">
        <v>253</v>
      </c>
      <c r="P131" s="19" t="s">
        <v>218</v>
      </c>
      <c r="Q131" s="19" t="s">
        <v>218</v>
      </c>
      <c r="R131" s="19" t="s">
        <v>218</v>
      </c>
      <c r="S131" s="19" t="s">
        <v>218</v>
      </c>
      <c r="T131" s="19" t="s">
        <v>218</v>
      </c>
      <c r="U131" s="19" t="s">
        <v>218</v>
      </c>
      <c r="V131" s="19" t="s">
        <v>218</v>
      </c>
      <c r="W131" s="19" t="s">
        <v>218</v>
      </c>
      <c r="X131" s="19" t="s">
        <v>218</v>
      </c>
      <c r="Z131"/>
      <c r="AA131"/>
      <c r="AB131"/>
      <c r="AC131"/>
      <c r="AD131"/>
    </row>
    <row r="132" spans="1:30" x14ac:dyDescent="0.35">
      <c r="A132" s="19">
        <v>202304</v>
      </c>
      <c r="B132" s="19" t="s">
        <v>781</v>
      </c>
      <c r="C132" s="19"/>
      <c r="E132" s="19" t="s">
        <v>208</v>
      </c>
      <c r="G132" s="19" t="s">
        <v>470</v>
      </c>
      <c r="H132" s="19">
        <v>83</v>
      </c>
      <c r="I132" s="19" t="s">
        <v>782</v>
      </c>
      <c r="J132" s="19" t="s">
        <v>254</v>
      </c>
      <c r="K132" s="19" t="s">
        <v>130</v>
      </c>
      <c r="L132" s="19">
        <v>5550</v>
      </c>
      <c r="M132" s="19" t="s">
        <v>516</v>
      </c>
      <c r="N132" s="19">
        <v>2</v>
      </c>
      <c r="O132" s="19" t="s">
        <v>253</v>
      </c>
      <c r="P132" s="19" t="s">
        <v>218</v>
      </c>
      <c r="Q132" s="19" t="s">
        <v>218</v>
      </c>
      <c r="R132" s="19" t="s">
        <v>218</v>
      </c>
      <c r="S132" s="19" t="s">
        <v>218</v>
      </c>
      <c r="T132" s="19" t="s">
        <v>218</v>
      </c>
      <c r="U132" s="19" t="s">
        <v>218</v>
      </c>
      <c r="V132" s="19" t="s">
        <v>218</v>
      </c>
      <c r="W132" s="19" t="s">
        <v>218</v>
      </c>
      <c r="X132" s="19" t="s">
        <v>218</v>
      </c>
      <c r="Z132"/>
      <c r="AA132"/>
      <c r="AB132"/>
      <c r="AC132"/>
      <c r="AD132"/>
    </row>
    <row r="133" spans="1:30" x14ac:dyDescent="0.35">
      <c r="A133" s="19">
        <v>202304</v>
      </c>
      <c r="B133" s="19" t="s">
        <v>783</v>
      </c>
      <c r="C133" s="19"/>
      <c r="E133" s="19" t="s">
        <v>208</v>
      </c>
      <c r="G133" s="19" t="s">
        <v>470</v>
      </c>
      <c r="H133" s="19">
        <v>83</v>
      </c>
      <c r="I133" s="19" t="s">
        <v>784</v>
      </c>
      <c r="J133" s="19" t="s">
        <v>254</v>
      </c>
      <c r="K133" s="19" t="s">
        <v>130</v>
      </c>
      <c r="L133" s="19">
        <v>5550</v>
      </c>
      <c r="M133" s="19" t="s">
        <v>516</v>
      </c>
      <c r="N133" s="19">
        <v>2</v>
      </c>
      <c r="O133" s="19" t="s">
        <v>253</v>
      </c>
      <c r="P133" s="19" t="s">
        <v>218</v>
      </c>
      <c r="Q133" s="19" t="s">
        <v>218</v>
      </c>
      <c r="R133" s="19" t="s">
        <v>218</v>
      </c>
      <c r="S133" s="19" t="s">
        <v>218</v>
      </c>
      <c r="T133" s="19" t="s">
        <v>218</v>
      </c>
      <c r="U133" s="19" t="s">
        <v>218</v>
      </c>
      <c r="V133" s="19" t="s">
        <v>218</v>
      </c>
      <c r="W133" s="19" t="s">
        <v>218</v>
      </c>
      <c r="X133" s="19" t="s">
        <v>218</v>
      </c>
      <c r="Z133"/>
      <c r="AA133"/>
      <c r="AB133"/>
      <c r="AC133"/>
      <c r="AD133"/>
    </row>
    <row r="134" spans="1:30" x14ac:dyDescent="0.35">
      <c r="A134" s="19">
        <v>202304</v>
      </c>
      <c r="B134" s="19" t="s">
        <v>785</v>
      </c>
      <c r="C134" s="19" t="s">
        <v>208</v>
      </c>
      <c r="E134" s="19" t="s">
        <v>208</v>
      </c>
      <c r="G134" s="19" t="s">
        <v>282</v>
      </c>
      <c r="H134" s="19">
        <v>87</v>
      </c>
      <c r="I134" s="19" t="s">
        <v>786</v>
      </c>
      <c r="J134" s="19" t="s">
        <v>254</v>
      </c>
      <c r="K134" s="19" t="s">
        <v>255</v>
      </c>
      <c r="L134" s="19">
        <v>0</v>
      </c>
      <c r="M134" s="19" t="s">
        <v>226</v>
      </c>
      <c r="N134" s="19">
        <v>1</v>
      </c>
      <c r="O134" s="19" t="s">
        <v>222</v>
      </c>
      <c r="P134" s="19" t="s">
        <v>218</v>
      </c>
      <c r="Q134" s="19" t="s">
        <v>218</v>
      </c>
      <c r="R134" s="19" t="s">
        <v>218</v>
      </c>
      <c r="S134" s="19" t="s">
        <v>218</v>
      </c>
      <c r="T134" s="19" t="s">
        <v>218</v>
      </c>
      <c r="U134" s="19" t="s">
        <v>218</v>
      </c>
      <c r="V134" s="19" t="s">
        <v>218</v>
      </c>
      <c r="W134" s="19" t="s">
        <v>218</v>
      </c>
      <c r="X134" s="19" t="s">
        <v>218</v>
      </c>
      <c r="Z134"/>
      <c r="AA134"/>
      <c r="AB134"/>
      <c r="AC134"/>
      <c r="AD134"/>
    </row>
    <row r="135" spans="1:30" x14ac:dyDescent="0.35">
      <c r="A135" s="19">
        <v>202304</v>
      </c>
      <c r="B135" s="19" t="s">
        <v>787</v>
      </c>
      <c r="C135" s="19"/>
      <c r="E135" s="19" t="s">
        <v>208</v>
      </c>
      <c r="G135" s="19" t="s">
        <v>470</v>
      </c>
      <c r="H135" s="19">
        <v>83</v>
      </c>
      <c r="I135" s="19" t="s">
        <v>788</v>
      </c>
      <c r="J135" s="19" t="s">
        <v>254</v>
      </c>
      <c r="K135" s="19" t="s">
        <v>130</v>
      </c>
      <c r="L135" s="19">
        <v>4128</v>
      </c>
      <c r="M135" s="19" t="s">
        <v>256</v>
      </c>
      <c r="N135" s="19">
        <v>2</v>
      </c>
      <c r="O135" s="19" t="s">
        <v>253</v>
      </c>
      <c r="P135" s="19" t="s">
        <v>218</v>
      </c>
      <c r="Q135" s="19" t="s">
        <v>218</v>
      </c>
      <c r="R135" s="19" t="s">
        <v>218</v>
      </c>
      <c r="S135" s="19" t="s">
        <v>218</v>
      </c>
      <c r="T135" s="19" t="s">
        <v>218</v>
      </c>
      <c r="U135" s="19" t="s">
        <v>218</v>
      </c>
      <c r="V135" s="19" t="s">
        <v>218</v>
      </c>
      <c r="W135" s="19" t="s">
        <v>218</v>
      </c>
      <c r="X135" s="19" t="s">
        <v>218</v>
      </c>
      <c r="Z135"/>
      <c r="AA135"/>
      <c r="AB135"/>
      <c r="AC135"/>
      <c r="AD135"/>
    </row>
    <row r="136" spans="1:30" x14ac:dyDescent="0.35">
      <c r="A136" s="19">
        <v>202304</v>
      </c>
      <c r="B136" s="19" t="s">
        <v>789</v>
      </c>
      <c r="C136" s="19" t="s">
        <v>208</v>
      </c>
      <c r="E136" s="19" t="s">
        <v>208</v>
      </c>
      <c r="G136" s="19" t="s">
        <v>470</v>
      </c>
      <c r="H136" s="19">
        <v>87</v>
      </c>
      <c r="I136" s="19" t="s">
        <v>790</v>
      </c>
      <c r="J136" s="19" t="s">
        <v>254</v>
      </c>
      <c r="K136" s="19" t="s">
        <v>130</v>
      </c>
      <c r="L136" s="19">
        <v>0</v>
      </c>
      <c r="M136" s="19" t="s">
        <v>226</v>
      </c>
      <c r="N136" s="19">
        <v>1</v>
      </c>
      <c r="O136" s="19" t="s">
        <v>222</v>
      </c>
      <c r="P136" s="19" t="s">
        <v>218</v>
      </c>
      <c r="Q136" s="19" t="s">
        <v>218</v>
      </c>
      <c r="R136" s="19" t="s">
        <v>218</v>
      </c>
      <c r="S136" s="19" t="s">
        <v>218</v>
      </c>
      <c r="T136" s="19" t="s">
        <v>218</v>
      </c>
      <c r="U136" s="19" t="s">
        <v>218</v>
      </c>
      <c r="V136" s="19" t="s">
        <v>218</v>
      </c>
      <c r="W136" s="19" t="s">
        <v>218</v>
      </c>
      <c r="X136" s="19" t="s">
        <v>218</v>
      </c>
      <c r="Z136"/>
      <c r="AA136"/>
      <c r="AB136"/>
      <c r="AC136"/>
      <c r="AD136"/>
    </row>
    <row r="137" spans="1:30" x14ac:dyDescent="0.35">
      <c r="A137" s="19">
        <v>202304</v>
      </c>
      <c r="B137" s="19" t="s">
        <v>791</v>
      </c>
      <c r="C137" s="19" t="s">
        <v>208</v>
      </c>
      <c r="D137" s="19" t="s">
        <v>208</v>
      </c>
      <c r="E137" s="19" t="s">
        <v>208</v>
      </c>
      <c r="F137" s="19" t="s">
        <v>208</v>
      </c>
      <c r="G137" s="19" t="s">
        <v>470</v>
      </c>
      <c r="H137" s="19">
        <v>87</v>
      </c>
      <c r="I137" s="19" t="s">
        <v>792</v>
      </c>
      <c r="J137" s="19" t="s">
        <v>254</v>
      </c>
      <c r="K137" s="19" t="s">
        <v>130</v>
      </c>
      <c r="L137" s="19">
        <v>0</v>
      </c>
      <c r="M137" s="19" t="s">
        <v>226</v>
      </c>
      <c r="N137" s="19">
        <v>1</v>
      </c>
      <c r="O137" s="19" t="s">
        <v>222</v>
      </c>
      <c r="P137" s="19" t="s">
        <v>218</v>
      </c>
      <c r="Q137" s="19" t="s">
        <v>218</v>
      </c>
      <c r="R137" s="19" t="s">
        <v>218</v>
      </c>
      <c r="S137" s="19" t="s">
        <v>218</v>
      </c>
      <c r="T137" s="19" t="s">
        <v>218</v>
      </c>
      <c r="U137" s="19" t="s">
        <v>218</v>
      </c>
      <c r="V137" s="19" t="s">
        <v>218</v>
      </c>
      <c r="W137" s="19" t="s">
        <v>218</v>
      </c>
      <c r="X137" s="19" t="s">
        <v>218</v>
      </c>
      <c r="Z137"/>
      <c r="AA137"/>
      <c r="AB137"/>
      <c r="AC137"/>
      <c r="AD137"/>
    </row>
    <row r="138" spans="1:30" x14ac:dyDescent="0.35">
      <c r="A138" s="19">
        <v>202304</v>
      </c>
      <c r="B138" s="19" t="s">
        <v>793</v>
      </c>
      <c r="C138" s="19" t="s">
        <v>208</v>
      </c>
      <c r="D138" s="19" t="s">
        <v>208</v>
      </c>
      <c r="E138" s="19" t="s">
        <v>208</v>
      </c>
      <c r="G138" s="19" t="s">
        <v>470</v>
      </c>
      <c r="H138" s="19">
        <v>87</v>
      </c>
      <c r="I138" s="19" t="s">
        <v>794</v>
      </c>
      <c r="J138" s="19" t="s">
        <v>254</v>
      </c>
      <c r="K138" s="19" t="s">
        <v>130</v>
      </c>
      <c r="L138" s="19">
        <v>0</v>
      </c>
      <c r="M138" s="19" t="s">
        <v>226</v>
      </c>
      <c r="N138" s="19">
        <v>1</v>
      </c>
      <c r="O138" s="19" t="s">
        <v>222</v>
      </c>
      <c r="P138" s="19" t="s">
        <v>218</v>
      </c>
      <c r="Q138" s="19" t="s">
        <v>218</v>
      </c>
      <c r="R138" s="19" t="s">
        <v>218</v>
      </c>
      <c r="S138" s="19" t="s">
        <v>218</v>
      </c>
      <c r="T138" s="19" t="s">
        <v>218</v>
      </c>
      <c r="U138" s="19" t="s">
        <v>218</v>
      </c>
      <c r="V138" s="19" t="s">
        <v>218</v>
      </c>
      <c r="W138" s="19" t="s">
        <v>218</v>
      </c>
      <c r="X138" s="19" t="s">
        <v>218</v>
      </c>
      <c r="Z138"/>
      <c r="AA138"/>
      <c r="AB138"/>
      <c r="AC138"/>
      <c r="AD138"/>
    </row>
    <row r="139" spans="1:30" x14ac:dyDescent="0.35">
      <c r="A139" s="19">
        <v>202304</v>
      </c>
      <c r="B139" s="19" t="s">
        <v>795</v>
      </c>
      <c r="C139" s="19"/>
      <c r="E139" s="19" t="s">
        <v>208</v>
      </c>
      <c r="G139" s="19" t="s">
        <v>470</v>
      </c>
      <c r="H139" s="19">
        <v>83</v>
      </c>
      <c r="I139" s="19" t="s">
        <v>796</v>
      </c>
      <c r="J139" s="19" t="s">
        <v>254</v>
      </c>
      <c r="K139" s="19" t="s">
        <v>255</v>
      </c>
      <c r="L139" s="19">
        <v>5550</v>
      </c>
      <c r="M139" s="19" t="s">
        <v>516</v>
      </c>
      <c r="N139" s="19">
        <v>2</v>
      </c>
      <c r="O139" s="19" t="s">
        <v>253</v>
      </c>
      <c r="P139" s="19" t="s">
        <v>218</v>
      </c>
      <c r="Q139" s="19" t="s">
        <v>218</v>
      </c>
      <c r="R139" s="19" t="s">
        <v>218</v>
      </c>
      <c r="S139" s="19" t="s">
        <v>218</v>
      </c>
      <c r="T139" s="19" t="s">
        <v>218</v>
      </c>
      <c r="U139" s="19" t="s">
        <v>218</v>
      </c>
      <c r="V139" s="19" t="s">
        <v>218</v>
      </c>
      <c r="W139" s="19" t="s">
        <v>218</v>
      </c>
      <c r="X139" s="19" t="s">
        <v>218</v>
      </c>
      <c r="Z139"/>
      <c r="AA139"/>
      <c r="AB139"/>
      <c r="AC139"/>
      <c r="AD139"/>
    </row>
    <row r="140" spans="1:30" x14ac:dyDescent="0.35">
      <c r="A140" s="19">
        <v>202304</v>
      </c>
      <c r="B140" s="19" t="s">
        <v>797</v>
      </c>
      <c r="C140" s="19"/>
      <c r="E140" s="19" t="s">
        <v>208</v>
      </c>
      <c r="G140" s="19" t="s">
        <v>470</v>
      </c>
      <c r="H140" s="19">
        <v>83</v>
      </c>
      <c r="I140" s="19" t="s">
        <v>798</v>
      </c>
      <c r="J140" s="19" t="s">
        <v>254</v>
      </c>
      <c r="K140" s="19" t="s">
        <v>255</v>
      </c>
      <c r="L140" s="19">
        <v>5550</v>
      </c>
      <c r="M140" s="19" t="s">
        <v>516</v>
      </c>
      <c r="N140" s="19">
        <v>2</v>
      </c>
      <c r="O140" s="19" t="s">
        <v>253</v>
      </c>
      <c r="P140" s="19" t="s">
        <v>218</v>
      </c>
      <c r="Q140" s="19" t="s">
        <v>218</v>
      </c>
      <c r="R140" s="19" t="s">
        <v>218</v>
      </c>
      <c r="S140" s="19" t="s">
        <v>218</v>
      </c>
      <c r="T140" s="19" t="s">
        <v>218</v>
      </c>
      <c r="U140" s="19" t="s">
        <v>218</v>
      </c>
      <c r="V140" s="19" t="s">
        <v>218</v>
      </c>
      <c r="W140" s="19" t="s">
        <v>218</v>
      </c>
      <c r="X140" s="19" t="s">
        <v>218</v>
      </c>
      <c r="Z140"/>
      <c r="AA140"/>
      <c r="AB140"/>
      <c r="AC140"/>
      <c r="AD140"/>
    </row>
    <row r="141" spans="1:30" x14ac:dyDescent="0.35">
      <c r="A141" s="19">
        <v>202304</v>
      </c>
      <c r="B141" s="19" t="s">
        <v>799</v>
      </c>
      <c r="C141" s="19"/>
      <c r="E141" s="19" t="s">
        <v>208</v>
      </c>
      <c r="G141" s="19" t="s">
        <v>528</v>
      </c>
      <c r="H141" s="19">
        <v>83</v>
      </c>
      <c r="I141" s="19" t="s">
        <v>800</v>
      </c>
      <c r="J141" s="19" t="s">
        <v>254</v>
      </c>
      <c r="K141" s="19" t="s">
        <v>544</v>
      </c>
      <c r="L141" s="19">
        <v>0</v>
      </c>
      <c r="M141" s="19" t="s">
        <v>226</v>
      </c>
      <c r="N141" s="19">
        <v>2</v>
      </c>
      <c r="O141" s="19" t="s">
        <v>253</v>
      </c>
      <c r="P141" s="19" t="s">
        <v>218</v>
      </c>
      <c r="Q141" s="19" t="s">
        <v>218</v>
      </c>
      <c r="R141" s="19" t="s">
        <v>218</v>
      </c>
      <c r="S141" s="19" t="s">
        <v>218</v>
      </c>
      <c r="T141" s="19" t="s">
        <v>218</v>
      </c>
      <c r="U141" s="19" t="s">
        <v>218</v>
      </c>
      <c r="V141" s="19" t="s">
        <v>218</v>
      </c>
      <c r="W141" s="19" t="s">
        <v>218</v>
      </c>
      <c r="X141" s="19" t="s">
        <v>218</v>
      </c>
      <c r="Z141"/>
      <c r="AA141"/>
      <c r="AB141"/>
      <c r="AC141"/>
      <c r="AD141"/>
    </row>
    <row r="142" spans="1:30" x14ac:dyDescent="0.35">
      <c r="A142" s="19">
        <v>202304</v>
      </c>
      <c r="B142" s="19" t="s">
        <v>801</v>
      </c>
      <c r="C142" s="19"/>
      <c r="E142" s="19" t="s">
        <v>208</v>
      </c>
      <c r="G142" s="19" t="s">
        <v>528</v>
      </c>
      <c r="H142" s="19">
        <v>83</v>
      </c>
      <c r="I142" s="19" t="s">
        <v>802</v>
      </c>
      <c r="J142" s="19" t="s">
        <v>254</v>
      </c>
      <c r="K142" s="19" t="s">
        <v>544</v>
      </c>
      <c r="L142" s="19">
        <v>0</v>
      </c>
      <c r="M142" s="19" t="s">
        <v>226</v>
      </c>
      <c r="N142" s="19">
        <v>2</v>
      </c>
      <c r="O142" s="19" t="s">
        <v>253</v>
      </c>
      <c r="P142" s="19" t="s">
        <v>218</v>
      </c>
      <c r="Q142" s="19" t="s">
        <v>218</v>
      </c>
      <c r="R142" s="19" t="s">
        <v>218</v>
      </c>
      <c r="S142" s="19" t="s">
        <v>218</v>
      </c>
      <c r="T142" s="19" t="s">
        <v>218</v>
      </c>
      <c r="U142" s="19" t="s">
        <v>218</v>
      </c>
      <c r="V142" s="19" t="s">
        <v>218</v>
      </c>
      <c r="W142" s="19" t="s">
        <v>218</v>
      </c>
      <c r="X142" s="19" t="s">
        <v>218</v>
      </c>
      <c r="Z142"/>
      <c r="AA142"/>
      <c r="AB142"/>
      <c r="AC142"/>
      <c r="AD142"/>
    </row>
    <row r="143" spans="1:30" x14ac:dyDescent="0.35">
      <c r="A143" s="19">
        <v>202304</v>
      </c>
      <c r="B143" s="19" t="s">
        <v>803</v>
      </c>
      <c r="C143" s="19"/>
      <c r="E143" s="19" t="s">
        <v>208</v>
      </c>
      <c r="G143" s="19" t="s">
        <v>528</v>
      </c>
      <c r="H143" s="19">
        <v>83</v>
      </c>
      <c r="I143" s="19" t="s">
        <v>804</v>
      </c>
      <c r="J143" s="19" t="s">
        <v>254</v>
      </c>
      <c r="K143" s="19" t="s">
        <v>544</v>
      </c>
      <c r="L143" s="19">
        <v>0</v>
      </c>
      <c r="M143" s="19" t="s">
        <v>226</v>
      </c>
      <c r="N143" s="19">
        <v>2</v>
      </c>
      <c r="O143" s="19" t="s">
        <v>253</v>
      </c>
      <c r="P143" s="19" t="s">
        <v>218</v>
      </c>
      <c r="Q143" s="19" t="s">
        <v>218</v>
      </c>
      <c r="R143" s="19" t="s">
        <v>218</v>
      </c>
      <c r="S143" s="19" t="s">
        <v>218</v>
      </c>
      <c r="T143" s="19" t="s">
        <v>218</v>
      </c>
      <c r="U143" s="19" t="s">
        <v>218</v>
      </c>
      <c r="V143" s="19" t="s">
        <v>218</v>
      </c>
      <c r="W143" s="19" t="s">
        <v>218</v>
      </c>
      <c r="X143" s="19" t="s">
        <v>218</v>
      </c>
      <c r="Z143"/>
      <c r="AA143"/>
      <c r="AB143"/>
      <c r="AC143"/>
      <c r="AD143"/>
    </row>
    <row r="144" spans="1:30" x14ac:dyDescent="0.35">
      <c r="A144" s="19">
        <v>202304</v>
      </c>
      <c r="B144" s="19" t="s">
        <v>805</v>
      </c>
      <c r="C144" s="19"/>
      <c r="E144" s="19" t="s">
        <v>208</v>
      </c>
      <c r="G144" s="19" t="s">
        <v>528</v>
      </c>
      <c r="H144" s="19">
        <v>83</v>
      </c>
      <c r="I144" s="19" t="s">
        <v>806</v>
      </c>
      <c r="J144" s="19" t="s">
        <v>254</v>
      </c>
      <c r="K144" s="19" t="s">
        <v>544</v>
      </c>
      <c r="L144" s="19">
        <v>44</v>
      </c>
      <c r="M144" s="19" t="s">
        <v>291</v>
      </c>
      <c r="N144" s="19">
        <v>2</v>
      </c>
      <c r="O144" s="19" t="s">
        <v>253</v>
      </c>
      <c r="P144" s="19" t="s">
        <v>218</v>
      </c>
      <c r="Q144" s="19" t="s">
        <v>218</v>
      </c>
      <c r="R144" s="19" t="s">
        <v>218</v>
      </c>
      <c r="S144" s="19" t="s">
        <v>218</v>
      </c>
      <c r="T144" s="19" t="s">
        <v>218</v>
      </c>
      <c r="U144" s="19" t="s">
        <v>218</v>
      </c>
      <c r="V144" s="19" t="s">
        <v>218</v>
      </c>
      <c r="W144" s="19" t="s">
        <v>218</v>
      </c>
      <c r="X144" s="19" t="s">
        <v>218</v>
      </c>
      <c r="Z144"/>
      <c r="AA144"/>
      <c r="AB144"/>
      <c r="AC144"/>
      <c r="AD144"/>
    </row>
    <row r="145" spans="1:30" x14ac:dyDescent="0.35">
      <c r="A145" s="19">
        <v>202304</v>
      </c>
      <c r="B145" s="19" t="s">
        <v>807</v>
      </c>
      <c r="C145" s="19"/>
      <c r="E145" s="19" t="s">
        <v>208</v>
      </c>
      <c r="G145" s="19" t="s">
        <v>528</v>
      </c>
      <c r="H145" s="19">
        <v>83</v>
      </c>
      <c r="I145" s="19" t="s">
        <v>808</v>
      </c>
      <c r="J145" s="19" t="s">
        <v>254</v>
      </c>
      <c r="K145" s="19" t="s">
        <v>130</v>
      </c>
      <c r="L145" s="19">
        <v>4128</v>
      </c>
      <c r="M145" s="19" t="s">
        <v>256</v>
      </c>
      <c r="N145" s="19">
        <v>2</v>
      </c>
      <c r="O145" s="19" t="s">
        <v>253</v>
      </c>
      <c r="P145" s="19" t="s">
        <v>218</v>
      </c>
      <c r="Q145" s="19" t="s">
        <v>218</v>
      </c>
      <c r="R145" s="19" t="s">
        <v>218</v>
      </c>
      <c r="S145" s="19" t="s">
        <v>218</v>
      </c>
      <c r="T145" s="19" t="s">
        <v>218</v>
      </c>
      <c r="U145" s="19" t="s">
        <v>218</v>
      </c>
      <c r="V145" s="19" t="s">
        <v>218</v>
      </c>
      <c r="W145" s="19" t="s">
        <v>218</v>
      </c>
      <c r="X145" s="19" t="s">
        <v>218</v>
      </c>
      <c r="Z145"/>
      <c r="AA145"/>
      <c r="AB145"/>
      <c r="AC145"/>
      <c r="AD145"/>
    </row>
    <row r="146" spans="1:30" x14ac:dyDescent="0.35">
      <c r="A146" s="19">
        <v>202304</v>
      </c>
      <c r="B146" s="19" t="s">
        <v>809</v>
      </c>
      <c r="C146" s="19"/>
      <c r="E146" s="19" t="s">
        <v>208</v>
      </c>
      <c r="G146" s="19" t="s">
        <v>528</v>
      </c>
      <c r="H146" s="19">
        <v>83</v>
      </c>
      <c r="I146" s="19" t="s">
        <v>810</v>
      </c>
      <c r="J146" s="19" t="s">
        <v>254</v>
      </c>
      <c r="K146" s="19" t="s">
        <v>130</v>
      </c>
      <c r="L146" s="19">
        <v>4128</v>
      </c>
      <c r="M146" s="19" t="s">
        <v>256</v>
      </c>
      <c r="N146" s="19">
        <v>2</v>
      </c>
      <c r="O146" s="19" t="s">
        <v>253</v>
      </c>
      <c r="P146" s="19" t="s">
        <v>218</v>
      </c>
      <c r="Q146" s="19" t="s">
        <v>218</v>
      </c>
      <c r="R146" s="19" t="s">
        <v>218</v>
      </c>
      <c r="S146" s="19" t="s">
        <v>218</v>
      </c>
      <c r="T146" s="19" t="s">
        <v>218</v>
      </c>
      <c r="U146" s="19" t="s">
        <v>218</v>
      </c>
      <c r="V146" s="19" t="s">
        <v>218</v>
      </c>
      <c r="W146" s="19" t="s">
        <v>218</v>
      </c>
      <c r="X146" s="19" t="s">
        <v>218</v>
      </c>
      <c r="Z146"/>
      <c r="AA146"/>
      <c r="AB146"/>
      <c r="AC146"/>
      <c r="AD146"/>
    </row>
    <row r="147" spans="1:30" x14ac:dyDescent="0.35">
      <c r="A147" s="19">
        <v>202304</v>
      </c>
      <c r="B147" s="19" t="s">
        <v>811</v>
      </c>
      <c r="C147" s="19"/>
      <c r="E147" s="19" t="s">
        <v>208</v>
      </c>
      <c r="G147" s="19" t="s">
        <v>528</v>
      </c>
      <c r="H147" s="19">
        <v>83</v>
      </c>
      <c r="I147" s="19" t="s">
        <v>812</v>
      </c>
      <c r="J147" s="19" t="s">
        <v>254</v>
      </c>
      <c r="K147" s="19" t="s">
        <v>130</v>
      </c>
      <c r="L147" s="19">
        <v>4744</v>
      </c>
      <c r="M147" s="19" t="s">
        <v>258</v>
      </c>
      <c r="N147" s="19">
        <v>2</v>
      </c>
      <c r="O147" s="19" t="s">
        <v>253</v>
      </c>
      <c r="P147" s="19" t="s">
        <v>218</v>
      </c>
      <c r="Q147" s="19" t="s">
        <v>218</v>
      </c>
      <c r="R147" s="19" t="s">
        <v>218</v>
      </c>
      <c r="S147" s="19" t="s">
        <v>218</v>
      </c>
      <c r="T147" s="19" t="s">
        <v>218</v>
      </c>
      <c r="U147" s="19" t="s">
        <v>218</v>
      </c>
      <c r="V147" s="19" t="s">
        <v>218</v>
      </c>
      <c r="W147" s="19" t="s">
        <v>218</v>
      </c>
      <c r="X147" s="19" t="s">
        <v>218</v>
      </c>
      <c r="Z147"/>
      <c r="AA147"/>
      <c r="AB147"/>
      <c r="AC147"/>
      <c r="AD147"/>
    </row>
    <row r="148" spans="1:30" x14ac:dyDescent="0.35">
      <c r="A148" s="19">
        <v>202304</v>
      </c>
      <c r="B148" s="19" t="s">
        <v>813</v>
      </c>
      <c r="C148" s="19"/>
      <c r="E148" s="19" t="s">
        <v>208</v>
      </c>
      <c r="F148" s="19" t="s">
        <v>208</v>
      </c>
      <c r="G148" s="19" t="s">
        <v>528</v>
      </c>
      <c r="H148" s="19">
        <v>83</v>
      </c>
      <c r="I148" s="19" t="s">
        <v>814</v>
      </c>
      <c r="J148" s="19" t="s">
        <v>254</v>
      </c>
      <c r="K148" s="19" t="s">
        <v>255</v>
      </c>
      <c r="L148" s="19">
        <v>4744</v>
      </c>
      <c r="M148" s="19" t="s">
        <v>258</v>
      </c>
      <c r="N148" s="19">
        <v>2</v>
      </c>
      <c r="O148" s="19" t="s">
        <v>253</v>
      </c>
      <c r="P148" s="19" t="s">
        <v>218</v>
      </c>
      <c r="Q148" s="19" t="s">
        <v>218</v>
      </c>
      <c r="R148" s="19" t="s">
        <v>218</v>
      </c>
      <c r="S148" s="19" t="s">
        <v>218</v>
      </c>
      <c r="T148" s="19" t="s">
        <v>218</v>
      </c>
      <c r="U148" s="19" t="s">
        <v>218</v>
      </c>
      <c r="V148" s="19" t="s">
        <v>218</v>
      </c>
      <c r="W148" s="19" t="s">
        <v>218</v>
      </c>
      <c r="X148" s="19" t="s">
        <v>218</v>
      </c>
      <c r="Z148"/>
      <c r="AA148"/>
      <c r="AB148"/>
      <c r="AC148"/>
      <c r="AD148"/>
    </row>
    <row r="149" spans="1:30" x14ac:dyDescent="0.35">
      <c r="A149" s="19">
        <v>202304</v>
      </c>
      <c r="B149" s="19" t="s">
        <v>815</v>
      </c>
      <c r="C149" s="19"/>
      <c r="E149" s="19" t="s">
        <v>208</v>
      </c>
      <c r="G149" s="19" t="s">
        <v>528</v>
      </c>
      <c r="H149" s="19">
        <v>83</v>
      </c>
      <c r="I149" s="19" t="s">
        <v>816</v>
      </c>
      <c r="J149" s="19" t="s">
        <v>254</v>
      </c>
      <c r="K149" s="19" t="s">
        <v>255</v>
      </c>
      <c r="L149" s="19">
        <v>5550</v>
      </c>
      <c r="M149" s="19" t="s">
        <v>516</v>
      </c>
      <c r="N149" s="19">
        <v>2</v>
      </c>
      <c r="O149" s="19" t="s">
        <v>253</v>
      </c>
      <c r="P149" s="19" t="s">
        <v>218</v>
      </c>
      <c r="Q149" s="19" t="s">
        <v>218</v>
      </c>
      <c r="R149" s="19" t="s">
        <v>218</v>
      </c>
      <c r="S149" s="19" t="s">
        <v>218</v>
      </c>
      <c r="T149" s="19" t="s">
        <v>218</v>
      </c>
      <c r="U149" s="19" t="s">
        <v>218</v>
      </c>
      <c r="V149" s="19" t="s">
        <v>218</v>
      </c>
      <c r="W149" s="19" t="s">
        <v>218</v>
      </c>
      <c r="X149" s="19" t="s">
        <v>218</v>
      </c>
      <c r="Z149"/>
      <c r="AA149"/>
      <c r="AB149"/>
      <c r="AC149"/>
      <c r="AD149"/>
    </row>
    <row r="150" spans="1:30" x14ac:dyDescent="0.35">
      <c r="A150" s="19">
        <v>202304</v>
      </c>
      <c r="B150" s="19" t="s">
        <v>817</v>
      </c>
      <c r="C150" s="19"/>
      <c r="F150" s="19" t="s">
        <v>208</v>
      </c>
      <c r="G150" s="19" t="s">
        <v>528</v>
      </c>
      <c r="H150" s="19">
        <v>201</v>
      </c>
      <c r="I150" s="19" t="s">
        <v>818</v>
      </c>
      <c r="J150" s="19" t="s">
        <v>254</v>
      </c>
      <c r="K150" s="19" t="s">
        <v>255</v>
      </c>
      <c r="L150" s="19">
        <v>0</v>
      </c>
      <c r="M150" s="19" t="s">
        <v>226</v>
      </c>
      <c r="N150" s="19">
        <v>4</v>
      </c>
      <c r="O150" s="19" t="s">
        <v>222</v>
      </c>
      <c r="P150" s="19" t="s">
        <v>218</v>
      </c>
      <c r="Q150" s="19" t="s">
        <v>218</v>
      </c>
      <c r="R150" s="19" t="s">
        <v>218</v>
      </c>
      <c r="S150" s="19" t="s">
        <v>218</v>
      </c>
      <c r="T150" s="19" t="s">
        <v>218</v>
      </c>
      <c r="U150" s="19" t="s">
        <v>218</v>
      </c>
      <c r="V150" s="19" t="s">
        <v>218</v>
      </c>
      <c r="W150" s="19" t="s">
        <v>218</v>
      </c>
      <c r="X150" s="19" t="s">
        <v>218</v>
      </c>
      <c r="Z150"/>
      <c r="AA150"/>
      <c r="AB150"/>
      <c r="AC150"/>
      <c r="AD150"/>
    </row>
    <row r="151" spans="1:30" x14ac:dyDescent="0.35">
      <c r="A151" s="19">
        <v>202304</v>
      </c>
      <c r="B151" s="19" t="s">
        <v>819</v>
      </c>
      <c r="C151" s="19"/>
      <c r="E151" s="19" t="s">
        <v>208</v>
      </c>
      <c r="G151" s="19" t="s">
        <v>528</v>
      </c>
      <c r="H151" s="19">
        <v>83</v>
      </c>
      <c r="I151" s="19" t="s">
        <v>820</v>
      </c>
      <c r="J151" s="19" t="s">
        <v>254</v>
      </c>
      <c r="K151" s="19" t="s">
        <v>255</v>
      </c>
      <c r="L151" s="19">
        <v>5550</v>
      </c>
      <c r="M151" s="19" t="s">
        <v>516</v>
      </c>
      <c r="N151" s="19">
        <v>2</v>
      </c>
      <c r="O151" s="19" t="s">
        <v>253</v>
      </c>
      <c r="P151" s="19" t="s">
        <v>218</v>
      </c>
      <c r="Q151" s="19" t="s">
        <v>218</v>
      </c>
      <c r="R151" s="19" t="s">
        <v>218</v>
      </c>
      <c r="S151" s="19" t="s">
        <v>218</v>
      </c>
      <c r="T151" s="19" t="s">
        <v>218</v>
      </c>
      <c r="U151" s="19" t="s">
        <v>218</v>
      </c>
      <c r="V151" s="19" t="s">
        <v>218</v>
      </c>
      <c r="W151" s="19" t="s">
        <v>218</v>
      </c>
      <c r="X151" s="19" t="s">
        <v>218</v>
      </c>
      <c r="Z151"/>
      <c r="AA151"/>
      <c r="AB151"/>
      <c r="AC151"/>
      <c r="AD151"/>
    </row>
    <row r="152" spans="1:30" x14ac:dyDescent="0.35">
      <c r="A152" s="19">
        <v>202304</v>
      </c>
      <c r="B152" s="19" t="s">
        <v>821</v>
      </c>
      <c r="C152" s="19"/>
      <c r="F152" s="19" t="s">
        <v>208</v>
      </c>
      <c r="G152" s="19" t="s">
        <v>528</v>
      </c>
      <c r="H152" s="19">
        <v>201</v>
      </c>
      <c r="I152" s="19" t="s">
        <v>822</v>
      </c>
      <c r="J152" s="19" t="s">
        <v>254</v>
      </c>
      <c r="K152" s="19" t="s">
        <v>255</v>
      </c>
      <c r="L152" s="19">
        <v>0</v>
      </c>
      <c r="M152" s="19" t="s">
        <v>226</v>
      </c>
      <c r="N152" s="19">
        <v>4</v>
      </c>
      <c r="O152" s="19" t="s">
        <v>222</v>
      </c>
      <c r="P152" s="19" t="s">
        <v>218</v>
      </c>
      <c r="Q152" s="19" t="s">
        <v>218</v>
      </c>
      <c r="R152" s="19" t="s">
        <v>218</v>
      </c>
      <c r="S152" s="19" t="s">
        <v>218</v>
      </c>
      <c r="T152" s="19" t="s">
        <v>218</v>
      </c>
      <c r="U152" s="19" t="s">
        <v>218</v>
      </c>
      <c r="V152" s="19" t="s">
        <v>218</v>
      </c>
      <c r="W152" s="19" t="s">
        <v>218</v>
      </c>
      <c r="X152" s="19" t="s">
        <v>218</v>
      </c>
      <c r="Z152"/>
      <c r="AA152"/>
      <c r="AB152"/>
      <c r="AC152"/>
      <c r="AD152"/>
    </row>
    <row r="153" spans="1:30" x14ac:dyDescent="0.35">
      <c r="A153" s="19">
        <v>202304</v>
      </c>
      <c r="B153" s="19" t="s">
        <v>1425</v>
      </c>
      <c r="C153" s="19" t="s">
        <v>208</v>
      </c>
      <c r="G153" s="19" t="s">
        <v>470</v>
      </c>
      <c r="H153" s="19">
        <v>87</v>
      </c>
      <c r="I153" s="19" t="s">
        <v>1426</v>
      </c>
      <c r="J153" s="19" t="s">
        <v>254</v>
      </c>
      <c r="K153" s="19" t="s">
        <v>257</v>
      </c>
      <c r="L153" s="19">
        <v>0</v>
      </c>
      <c r="M153" s="19" t="s">
        <v>226</v>
      </c>
      <c r="N153" s="19">
        <v>1</v>
      </c>
      <c r="O153" s="19" t="s">
        <v>222</v>
      </c>
      <c r="P153" s="19" t="s">
        <v>218</v>
      </c>
      <c r="Q153" s="19" t="s">
        <v>218</v>
      </c>
      <c r="R153" s="19" t="s">
        <v>218</v>
      </c>
      <c r="S153" s="19" t="s">
        <v>218</v>
      </c>
      <c r="T153" s="19" t="s">
        <v>218</v>
      </c>
      <c r="U153" s="19" t="s">
        <v>218</v>
      </c>
      <c r="V153" s="19" t="s">
        <v>218</v>
      </c>
      <c r="W153" s="19" t="s">
        <v>218</v>
      </c>
      <c r="X153" s="19" t="s">
        <v>218</v>
      </c>
      <c r="Z153"/>
      <c r="AA153"/>
      <c r="AB153"/>
      <c r="AC153"/>
      <c r="AD153"/>
    </row>
    <row r="154" spans="1:30" x14ac:dyDescent="0.35">
      <c r="A154" s="19">
        <v>202304</v>
      </c>
      <c r="B154" s="19" t="s">
        <v>823</v>
      </c>
      <c r="C154" s="19"/>
      <c r="E154" s="19" t="s">
        <v>208</v>
      </c>
      <c r="G154" s="19" t="s">
        <v>528</v>
      </c>
      <c r="H154" s="19">
        <v>83</v>
      </c>
      <c r="I154" s="19" t="s">
        <v>824</v>
      </c>
      <c r="J154" s="19" t="s">
        <v>254</v>
      </c>
      <c r="K154" s="19" t="s">
        <v>257</v>
      </c>
      <c r="L154" s="19">
        <v>4128</v>
      </c>
      <c r="M154" s="19" t="s">
        <v>256</v>
      </c>
      <c r="N154" s="19">
        <v>2</v>
      </c>
      <c r="O154" s="19" t="s">
        <v>253</v>
      </c>
      <c r="P154" s="19" t="s">
        <v>218</v>
      </c>
      <c r="Q154" s="19" t="s">
        <v>218</v>
      </c>
      <c r="R154" s="19" t="s">
        <v>218</v>
      </c>
      <c r="S154" s="19" t="s">
        <v>218</v>
      </c>
      <c r="T154" s="19" t="s">
        <v>218</v>
      </c>
      <c r="U154" s="19" t="s">
        <v>218</v>
      </c>
      <c r="V154" s="19" t="s">
        <v>218</v>
      </c>
      <c r="W154" s="19" t="s">
        <v>218</v>
      </c>
      <c r="X154" s="19" t="s">
        <v>218</v>
      </c>
      <c r="Z154"/>
      <c r="AA154"/>
      <c r="AB154"/>
      <c r="AC154"/>
      <c r="AD154"/>
    </row>
    <row r="155" spans="1:30" x14ac:dyDescent="0.35">
      <c r="A155" s="19">
        <v>202304</v>
      </c>
      <c r="B155" s="19" t="s">
        <v>825</v>
      </c>
      <c r="C155" s="19"/>
      <c r="F155" s="19" t="s">
        <v>208</v>
      </c>
      <c r="G155" s="19" t="s">
        <v>528</v>
      </c>
      <c r="H155" s="19">
        <v>201</v>
      </c>
      <c r="I155" s="19" t="s">
        <v>826</v>
      </c>
      <c r="J155" s="19" t="s">
        <v>254</v>
      </c>
      <c r="K155" s="19" t="s">
        <v>544</v>
      </c>
      <c r="L155" s="19">
        <v>0</v>
      </c>
      <c r="M155" s="19" t="s">
        <v>226</v>
      </c>
      <c r="N155" s="19">
        <v>4</v>
      </c>
      <c r="O155" s="19" t="s">
        <v>222</v>
      </c>
      <c r="P155" s="19" t="s">
        <v>218</v>
      </c>
      <c r="Q155" s="19" t="s">
        <v>218</v>
      </c>
      <c r="R155" s="19" t="s">
        <v>218</v>
      </c>
      <c r="S155" s="19" t="s">
        <v>218</v>
      </c>
      <c r="T155" s="19" t="s">
        <v>218</v>
      </c>
      <c r="U155" s="19" t="s">
        <v>218</v>
      </c>
      <c r="V155" s="19" t="s">
        <v>218</v>
      </c>
      <c r="W155" s="19" t="s">
        <v>218</v>
      </c>
      <c r="X155" s="19" t="s">
        <v>218</v>
      </c>
      <c r="Z155"/>
      <c r="AA155"/>
      <c r="AB155"/>
      <c r="AC155"/>
      <c r="AD155"/>
    </row>
    <row r="156" spans="1:30" x14ac:dyDescent="0.35">
      <c r="A156" s="19">
        <v>202304</v>
      </c>
      <c r="B156" s="19" t="s">
        <v>827</v>
      </c>
      <c r="C156" s="19"/>
      <c r="E156" s="19" t="s">
        <v>208</v>
      </c>
      <c r="G156" s="19" t="s">
        <v>459</v>
      </c>
      <c r="H156" s="19">
        <v>83</v>
      </c>
      <c r="I156" s="19" t="s">
        <v>828</v>
      </c>
      <c r="J156" s="19" t="s">
        <v>231</v>
      </c>
      <c r="K156" s="19" t="s">
        <v>829</v>
      </c>
      <c r="L156" s="19">
        <v>0</v>
      </c>
      <c r="M156" s="19" t="s">
        <v>226</v>
      </c>
      <c r="N156" s="19">
        <v>2</v>
      </c>
      <c r="O156" s="19" t="s">
        <v>277</v>
      </c>
      <c r="P156" s="19" t="s">
        <v>830</v>
      </c>
      <c r="Q156" s="19" t="s">
        <v>280</v>
      </c>
      <c r="R156" s="19" t="s">
        <v>281</v>
      </c>
      <c r="S156" s="19" t="s">
        <v>218</v>
      </c>
      <c r="T156" s="19" t="s">
        <v>218</v>
      </c>
      <c r="U156" s="19" t="s">
        <v>218</v>
      </c>
      <c r="V156" s="19" t="s">
        <v>218</v>
      </c>
      <c r="W156" s="19" t="s">
        <v>218</v>
      </c>
      <c r="X156" s="19" t="s">
        <v>218</v>
      </c>
      <c r="Z156"/>
      <c r="AA156"/>
      <c r="AB156"/>
      <c r="AC156"/>
      <c r="AD156"/>
    </row>
    <row r="157" spans="1:30" x14ac:dyDescent="0.35">
      <c r="A157" s="19">
        <v>202304</v>
      </c>
      <c r="B157" s="19" t="s">
        <v>831</v>
      </c>
      <c r="C157" s="19"/>
      <c r="E157" s="19" t="s">
        <v>208</v>
      </c>
      <c r="G157" s="19" t="s">
        <v>459</v>
      </c>
      <c r="H157" s="19">
        <v>83</v>
      </c>
      <c r="I157" s="19" t="s">
        <v>832</v>
      </c>
      <c r="J157" s="19" t="s">
        <v>231</v>
      </c>
      <c r="K157" s="19" t="s">
        <v>829</v>
      </c>
      <c r="L157" s="19">
        <v>0</v>
      </c>
      <c r="M157" s="19" t="s">
        <v>226</v>
      </c>
      <c r="N157" s="19">
        <v>2</v>
      </c>
      <c r="O157" s="19" t="s">
        <v>277</v>
      </c>
      <c r="P157" s="19" t="s">
        <v>830</v>
      </c>
      <c r="Q157" s="19" t="s">
        <v>280</v>
      </c>
      <c r="R157" s="19" t="s">
        <v>281</v>
      </c>
      <c r="S157" s="19" t="s">
        <v>218</v>
      </c>
      <c r="T157" s="19" t="s">
        <v>218</v>
      </c>
      <c r="U157" s="19" t="s">
        <v>218</v>
      </c>
      <c r="V157" s="19" t="s">
        <v>218</v>
      </c>
      <c r="W157" s="19" t="s">
        <v>218</v>
      </c>
      <c r="X157" s="19" t="s">
        <v>218</v>
      </c>
      <c r="Z157"/>
      <c r="AA157"/>
      <c r="AB157"/>
      <c r="AC157"/>
      <c r="AD157"/>
    </row>
    <row r="158" spans="1:30" x14ac:dyDescent="0.35">
      <c r="A158" s="19">
        <v>202304</v>
      </c>
      <c r="B158" s="19" t="s">
        <v>833</v>
      </c>
      <c r="C158" s="19"/>
      <c r="E158" s="19" t="s">
        <v>208</v>
      </c>
      <c r="G158" s="19" t="s">
        <v>459</v>
      </c>
      <c r="H158" s="19">
        <v>83</v>
      </c>
      <c r="I158" s="19" t="s">
        <v>834</v>
      </c>
      <c r="J158" s="19" t="s">
        <v>231</v>
      </c>
      <c r="K158" s="19" t="s">
        <v>829</v>
      </c>
      <c r="L158" s="19">
        <v>0</v>
      </c>
      <c r="M158" s="19" t="s">
        <v>226</v>
      </c>
      <c r="N158" s="19">
        <v>2</v>
      </c>
      <c r="O158" s="19" t="s">
        <v>277</v>
      </c>
      <c r="P158" s="19" t="s">
        <v>830</v>
      </c>
      <c r="Q158" s="19" t="s">
        <v>280</v>
      </c>
      <c r="R158" s="19" t="s">
        <v>281</v>
      </c>
      <c r="S158" s="19" t="s">
        <v>218</v>
      </c>
      <c r="T158" s="19" t="s">
        <v>218</v>
      </c>
      <c r="U158" s="19" t="s">
        <v>218</v>
      </c>
      <c r="V158" s="19" t="s">
        <v>218</v>
      </c>
      <c r="W158" s="19" t="s">
        <v>218</v>
      </c>
      <c r="X158" s="19" t="s">
        <v>218</v>
      </c>
      <c r="Z158"/>
      <c r="AA158"/>
      <c r="AB158"/>
      <c r="AC158"/>
      <c r="AD158"/>
    </row>
    <row r="159" spans="1:30" x14ac:dyDescent="0.35">
      <c r="A159" s="19">
        <v>202304</v>
      </c>
      <c r="B159" s="19" t="s">
        <v>835</v>
      </c>
      <c r="C159" s="19"/>
      <c r="E159" s="19" t="s">
        <v>208</v>
      </c>
      <c r="G159" s="19" t="s">
        <v>459</v>
      </c>
      <c r="H159" s="19">
        <v>83</v>
      </c>
      <c r="I159" s="19" t="s">
        <v>836</v>
      </c>
      <c r="J159" s="19" t="s">
        <v>231</v>
      </c>
      <c r="K159" s="19" t="s">
        <v>829</v>
      </c>
      <c r="L159" s="19">
        <v>0</v>
      </c>
      <c r="M159" s="19" t="s">
        <v>226</v>
      </c>
      <c r="N159" s="19">
        <v>2</v>
      </c>
      <c r="O159" s="19" t="s">
        <v>277</v>
      </c>
      <c r="P159" s="19" t="s">
        <v>830</v>
      </c>
      <c r="Q159" s="19" t="s">
        <v>280</v>
      </c>
      <c r="R159" s="19" t="s">
        <v>281</v>
      </c>
      <c r="S159" s="19" t="s">
        <v>218</v>
      </c>
      <c r="T159" s="19" t="s">
        <v>218</v>
      </c>
      <c r="U159" s="19" t="s">
        <v>218</v>
      </c>
      <c r="V159" s="19" t="s">
        <v>218</v>
      </c>
      <c r="W159" s="19" t="s">
        <v>218</v>
      </c>
      <c r="X159" s="19" t="s">
        <v>218</v>
      </c>
      <c r="Z159"/>
      <c r="AA159"/>
      <c r="AB159"/>
      <c r="AC159"/>
      <c r="AD159"/>
    </row>
    <row r="160" spans="1:30" x14ac:dyDescent="0.35">
      <c r="A160" s="19">
        <v>202304</v>
      </c>
      <c r="B160" s="19" t="s">
        <v>837</v>
      </c>
      <c r="C160" s="19"/>
      <c r="F160" s="19" t="s">
        <v>208</v>
      </c>
      <c r="G160" s="19" t="s">
        <v>459</v>
      </c>
      <c r="H160" s="19">
        <v>201</v>
      </c>
      <c r="I160" s="19" t="s">
        <v>838</v>
      </c>
      <c r="J160" s="19" t="s">
        <v>259</v>
      </c>
      <c r="K160" s="19" t="s">
        <v>260</v>
      </c>
      <c r="L160" s="19">
        <v>0</v>
      </c>
      <c r="M160" s="19" t="s">
        <v>226</v>
      </c>
      <c r="N160" s="19">
        <v>4</v>
      </c>
      <c r="O160" s="19" t="s">
        <v>455</v>
      </c>
      <c r="P160" s="19" t="s">
        <v>244</v>
      </c>
      <c r="Q160" s="19" t="s">
        <v>245</v>
      </c>
      <c r="R160" s="19" t="s">
        <v>246</v>
      </c>
      <c r="S160" s="19" t="s">
        <v>247</v>
      </c>
      <c r="T160" s="19" t="s">
        <v>248</v>
      </c>
      <c r="U160" s="19" t="s">
        <v>249</v>
      </c>
      <c r="V160" s="19" t="s">
        <v>250</v>
      </c>
      <c r="W160" s="19" t="s">
        <v>218</v>
      </c>
      <c r="X160" s="19" t="s">
        <v>218</v>
      </c>
      <c r="Z160"/>
      <c r="AA160"/>
      <c r="AB160"/>
      <c r="AC160"/>
      <c r="AD160"/>
    </row>
    <row r="161" spans="1:30" x14ac:dyDescent="0.35">
      <c r="A161" s="19">
        <v>202304</v>
      </c>
      <c r="B161" s="19" t="s">
        <v>839</v>
      </c>
      <c r="C161" s="19" t="s">
        <v>217</v>
      </c>
      <c r="D161" s="19" t="s">
        <v>217</v>
      </c>
      <c r="E161" s="19" t="s">
        <v>217</v>
      </c>
      <c r="F161" s="19" t="s">
        <v>208</v>
      </c>
      <c r="G161" s="19" t="s">
        <v>57</v>
      </c>
      <c r="H161" s="19">
        <v>87</v>
      </c>
      <c r="I161" s="19" t="s">
        <v>840</v>
      </c>
      <c r="J161" s="19" t="s">
        <v>259</v>
      </c>
      <c r="K161" s="19" t="s">
        <v>260</v>
      </c>
      <c r="L161" s="19">
        <v>0</v>
      </c>
      <c r="M161" s="19" t="s">
        <v>841</v>
      </c>
      <c r="N161" s="19">
        <v>1</v>
      </c>
      <c r="O161" s="19" t="s">
        <v>244</v>
      </c>
      <c r="P161" s="19" t="s">
        <v>245</v>
      </c>
      <c r="Q161" s="19" t="s">
        <v>246</v>
      </c>
      <c r="R161" s="19" t="s">
        <v>247</v>
      </c>
      <c r="S161" s="19" t="s">
        <v>248</v>
      </c>
      <c r="T161" s="19" t="s">
        <v>249</v>
      </c>
      <c r="U161" s="19" t="s">
        <v>250</v>
      </c>
      <c r="V161" s="19" t="s">
        <v>218</v>
      </c>
      <c r="W161" s="19" t="s">
        <v>218</v>
      </c>
      <c r="X161" s="19" t="s">
        <v>218</v>
      </c>
      <c r="Z161"/>
      <c r="AA161"/>
      <c r="AB161"/>
      <c r="AC161"/>
      <c r="AD161"/>
    </row>
    <row r="162" spans="1:30" x14ac:dyDescent="0.35">
      <c r="A162" s="19">
        <v>202304</v>
      </c>
      <c r="B162" s="19" t="s">
        <v>1427</v>
      </c>
      <c r="C162" s="19" t="s">
        <v>208</v>
      </c>
      <c r="H162" s="19">
        <v>87</v>
      </c>
      <c r="I162" s="19" t="s">
        <v>1428</v>
      </c>
      <c r="J162" s="19" t="s">
        <v>172</v>
      </c>
      <c r="K162" s="19" t="s">
        <v>473</v>
      </c>
      <c r="L162" s="19">
        <v>0</v>
      </c>
      <c r="M162" s="19" t="s">
        <v>218</v>
      </c>
      <c r="N162" s="19">
        <v>1</v>
      </c>
      <c r="O162" s="19" t="s">
        <v>891</v>
      </c>
      <c r="P162" s="19" t="s">
        <v>892</v>
      </c>
      <c r="Q162" s="19" t="s">
        <v>893</v>
      </c>
      <c r="R162" s="19" t="s">
        <v>894</v>
      </c>
      <c r="S162" s="19" t="s">
        <v>895</v>
      </c>
      <c r="T162" s="19" t="s">
        <v>896</v>
      </c>
      <c r="U162" s="19" t="s">
        <v>897</v>
      </c>
      <c r="V162" s="19" t="s">
        <v>218</v>
      </c>
      <c r="W162" s="19" t="s">
        <v>218</v>
      </c>
      <c r="X162" s="19" t="s">
        <v>218</v>
      </c>
      <c r="Z162"/>
      <c r="AA162"/>
      <c r="AB162"/>
      <c r="AC162"/>
      <c r="AD162"/>
    </row>
    <row r="163" spans="1:30" x14ac:dyDescent="0.35">
      <c r="A163" s="19">
        <v>202304</v>
      </c>
      <c r="B163" s="19" t="s">
        <v>842</v>
      </c>
      <c r="C163" s="19"/>
      <c r="F163" s="19" t="s">
        <v>208</v>
      </c>
      <c r="G163" s="19" t="s">
        <v>13</v>
      </c>
      <c r="H163" s="19">
        <v>201</v>
      </c>
      <c r="I163" s="19" t="s">
        <v>843</v>
      </c>
      <c r="J163" s="19" t="s">
        <v>172</v>
      </c>
      <c r="K163" s="19" t="s">
        <v>844</v>
      </c>
      <c r="L163" s="19">
        <v>0</v>
      </c>
      <c r="M163" s="19" t="s">
        <v>845</v>
      </c>
      <c r="N163" s="19">
        <v>4</v>
      </c>
      <c r="O163" s="19" t="s">
        <v>222</v>
      </c>
      <c r="P163" s="19" t="s">
        <v>218</v>
      </c>
      <c r="Q163" s="19" t="s">
        <v>218</v>
      </c>
      <c r="R163" s="19" t="s">
        <v>218</v>
      </c>
      <c r="S163" s="19" t="s">
        <v>218</v>
      </c>
      <c r="T163" s="19" t="s">
        <v>218</v>
      </c>
      <c r="U163" s="19" t="s">
        <v>218</v>
      </c>
      <c r="V163" s="19" t="s">
        <v>218</v>
      </c>
      <c r="W163" s="19" t="s">
        <v>218</v>
      </c>
      <c r="X163" s="19" t="s">
        <v>218</v>
      </c>
      <c r="Z163"/>
      <c r="AA163"/>
      <c r="AB163"/>
      <c r="AC163"/>
      <c r="AD163"/>
    </row>
    <row r="164" spans="1:30" x14ac:dyDescent="0.35">
      <c r="A164" s="19">
        <v>202304</v>
      </c>
      <c r="B164" s="19" t="s">
        <v>846</v>
      </c>
      <c r="C164" s="19"/>
      <c r="F164" s="19" t="s">
        <v>208</v>
      </c>
      <c r="G164" s="19" t="s">
        <v>57</v>
      </c>
      <c r="H164" s="19">
        <v>201</v>
      </c>
      <c r="I164" s="19" t="s">
        <v>847</v>
      </c>
      <c r="J164" s="19" t="s">
        <v>259</v>
      </c>
      <c r="K164" s="19" t="s">
        <v>260</v>
      </c>
      <c r="L164" s="19">
        <v>0</v>
      </c>
      <c r="M164" s="19" t="s">
        <v>226</v>
      </c>
      <c r="N164" s="19">
        <v>4</v>
      </c>
      <c r="O164" s="19" t="s">
        <v>244</v>
      </c>
      <c r="P164" s="19" t="s">
        <v>245</v>
      </c>
      <c r="Q164" s="19" t="s">
        <v>246</v>
      </c>
      <c r="R164" s="19" t="s">
        <v>247</v>
      </c>
      <c r="S164" s="19" t="s">
        <v>248</v>
      </c>
      <c r="T164" s="19" t="s">
        <v>249</v>
      </c>
      <c r="U164" s="19" t="s">
        <v>250</v>
      </c>
      <c r="V164" s="19" t="s">
        <v>218</v>
      </c>
      <c r="W164" s="19" t="s">
        <v>218</v>
      </c>
      <c r="X164" s="19" t="s">
        <v>218</v>
      </c>
      <c r="Z164"/>
      <c r="AA164"/>
      <c r="AB164"/>
      <c r="AC164"/>
      <c r="AD164"/>
    </row>
    <row r="165" spans="1:30" x14ac:dyDescent="0.35">
      <c r="A165" s="19">
        <v>202304</v>
      </c>
      <c r="B165" s="19" t="s">
        <v>848</v>
      </c>
      <c r="C165" s="19"/>
      <c r="E165" s="19" t="s">
        <v>208</v>
      </c>
      <c r="F165" s="19" t="s">
        <v>208</v>
      </c>
      <c r="G165" s="19" t="s">
        <v>57</v>
      </c>
      <c r="H165" s="19">
        <v>83</v>
      </c>
      <c r="I165" s="19" t="s">
        <v>849</v>
      </c>
      <c r="J165" s="19" t="s">
        <v>172</v>
      </c>
      <c r="K165" s="19" t="s">
        <v>844</v>
      </c>
      <c r="L165" s="19">
        <v>0</v>
      </c>
      <c r="M165" s="19" t="s">
        <v>226</v>
      </c>
      <c r="N165" s="19">
        <v>2</v>
      </c>
      <c r="O165" s="19" t="s">
        <v>253</v>
      </c>
      <c r="P165" s="19" t="s">
        <v>218</v>
      </c>
      <c r="Q165" s="19" t="s">
        <v>218</v>
      </c>
      <c r="R165" s="19" t="s">
        <v>218</v>
      </c>
      <c r="S165" s="19" t="s">
        <v>218</v>
      </c>
      <c r="T165" s="19" t="s">
        <v>218</v>
      </c>
      <c r="U165" s="19" t="s">
        <v>218</v>
      </c>
      <c r="V165" s="19" t="s">
        <v>218</v>
      </c>
      <c r="W165" s="19" t="s">
        <v>218</v>
      </c>
      <c r="X165" s="19" t="s">
        <v>218</v>
      </c>
      <c r="Z165"/>
      <c r="AA165"/>
      <c r="AB165"/>
      <c r="AC165"/>
      <c r="AD165"/>
    </row>
    <row r="166" spans="1:30" x14ac:dyDescent="0.35">
      <c r="A166" s="19">
        <v>202304</v>
      </c>
      <c r="B166" s="19" t="s">
        <v>850</v>
      </c>
      <c r="C166" s="19"/>
      <c r="E166" s="19" t="s">
        <v>208</v>
      </c>
      <c r="G166" s="19" t="s">
        <v>57</v>
      </c>
      <c r="H166" s="19">
        <v>83</v>
      </c>
      <c r="I166" s="19" t="s">
        <v>851</v>
      </c>
      <c r="J166" s="19" t="s">
        <v>172</v>
      </c>
      <c r="K166" s="19" t="s">
        <v>844</v>
      </c>
      <c r="L166" s="19">
        <v>0</v>
      </c>
      <c r="M166" s="19" t="s">
        <v>226</v>
      </c>
      <c r="N166" s="19">
        <v>2</v>
      </c>
      <c r="O166" s="19" t="s">
        <v>453</v>
      </c>
      <c r="P166" s="19" t="s">
        <v>218</v>
      </c>
      <c r="Q166" s="19" t="s">
        <v>218</v>
      </c>
      <c r="R166" s="19" t="s">
        <v>218</v>
      </c>
      <c r="S166" s="19" t="s">
        <v>218</v>
      </c>
      <c r="T166" s="19" t="s">
        <v>218</v>
      </c>
      <c r="U166" s="19" t="s">
        <v>218</v>
      </c>
      <c r="V166" s="19" t="s">
        <v>218</v>
      </c>
      <c r="W166" s="19" t="s">
        <v>218</v>
      </c>
      <c r="X166" s="19" t="s">
        <v>218</v>
      </c>
      <c r="Z166"/>
      <c r="AA166"/>
      <c r="AB166"/>
      <c r="AC166"/>
      <c r="AD166"/>
    </row>
    <row r="167" spans="1:30" x14ac:dyDescent="0.35">
      <c r="A167" s="19">
        <v>202304</v>
      </c>
      <c r="B167" s="19" t="s">
        <v>852</v>
      </c>
      <c r="C167" s="19"/>
      <c r="E167" s="19" t="s">
        <v>208</v>
      </c>
      <c r="F167" s="19" t="s">
        <v>208</v>
      </c>
      <c r="G167" s="19" t="s">
        <v>57</v>
      </c>
      <c r="H167" s="19">
        <v>83</v>
      </c>
      <c r="I167" s="19" t="s">
        <v>853</v>
      </c>
      <c r="J167" s="19" t="s">
        <v>172</v>
      </c>
      <c r="K167" s="19" t="s">
        <v>844</v>
      </c>
      <c r="L167" s="19">
        <v>0</v>
      </c>
      <c r="M167" s="19" t="s">
        <v>226</v>
      </c>
      <c r="N167" s="19">
        <v>2</v>
      </c>
      <c r="O167" s="19" t="s">
        <v>253</v>
      </c>
      <c r="P167" s="19" t="s">
        <v>218</v>
      </c>
      <c r="Q167" s="19" t="s">
        <v>218</v>
      </c>
      <c r="R167" s="19" t="s">
        <v>218</v>
      </c>
      <c r="S167" s="19" t="s">
        <v>218</v>
      </c>
      <c r="T167" s="19" t="s">
        <v>218</v>
      </c>
      <c r="U167" s="19" t="s">
        <v>218</v>
      </c>
      <c r="V167" s="19" t="s">
        <v>218</v>
      </c>
      <c r="W167" s="19" t="s">
        <v>218</v>
      </c>
      <c r="X167" s="19" t="s">
        <v>218</v>
      </c>
      <c r="Z167"/>
      <c r="AA167"/>
      <c r="AB167"/>
      <c r="AC167"/>
      <c r="AD167"/>
    </row>
    <row r="168" spans="1:30" x14ac:dyDescent="0.35">
      <c r="A168" s="19">
        <v>202304</v>
      </c>
      <c r="B168" s="19" t="s">
        <v>854</v>
      </c>
      <c r="C168" s="19"/>
      <c r="E168" s="19" t="s">
        <v>208</v>
      </c>
      <c r="F168" s="19" t="s">
        <v>208</v>
      </c>
      <c r="G168" s="19" t="s">
        <v>57</v>
      </c>
      <c r="H168" s="19">
        <v>83</v>
      </c>
      <c r="I168" s="19" t="s">
        <v>855</v>
      </c>
      <c r="J168" s="19" t="s">
        <v>172</v>
      </c>
      <c r="K168" s="19" t="s">
        <v>844</v>
      </c>
      <c r="L168" s="19">
        <v>0</v>
      </c>
      <c r="M168" s="19" t="s">
        <v>226</v>
      </c>
      <c r="N168" s="19">
        <v>2</v>
      </c>
      <c r="O168" s="19" t="s">
        <v>253</v>
      </c>
      <c r="P168" s="19" t="s">
        <v>218</v>
      </c>
      <c r="Q168" s="19" t="s">
        <v>218</v>
      </c>
      <c r="R168" s="19" t="s">
        <v>218</v>
      </c>
      <c r="S168" s="19" t="s">
        <v>218</v>
      </c>
      <c r="T168" s="19" t="s">
        <v>218</v>
      </c>
      <c r="U168" s="19" t="s">
        <v>218</v>
      </c>
      <c r="V168" s="19" t="s">
        <v>218</v>
      </c>
      <c r="W168" s="19" t="s">
        <v>218</v>
      </c>
      <c r="X168" s="19" t="s">
        <v>218</v>
      </c>
      <c r="Z168"/>
      <c r="AA168"/>
      <c r="AB168"/>
      <c r="AC168"/>
      <c r="AD168"/>
    </row>
    <row r="169" spans="1:30" x14ac:dyDescent="0.35">
      <c r="A169" s="19">
        <v>202304</v>
      </c>
      <c r="B169" s="19" t="s">
        <v>856</v>
      </c>
      <c r="C169" s="19"/>
      <c r="F169" s="19" t="s">
        <v>208</v>
      </c>
      <c r="G169" s="19" t="s">
        <v>57</v>
      </c>
      <c r="H169" s="19">
        <v>201</v>
      </c>
      <c r="I169" s="19" t="s">
        <v>857</v>
      </c>
      <c r="J169" s="19" t="s">
        <v>259</v>
      </c>
      <c r="K169" s="19" t="s">
        <v>260</v>
      </c>
      <c r="L169" s="19">
        <v>0</v>
      </c>
      <c r="M169" s="19" t="s">
        <v>226</v>
      </c>
      <c r="N169" s="19">
        <v>4</v>
      </c>
      <c r="O169" s="19" t="s">
        <v>244</v>
      </c>
      <c r="P169" s="19" t="s">
        <v>245</v>
      </c>
      <c r="Q169" s="19" t="s">
        <v>246</v>
      </c>
      <c r="R169" s="19" t="s">
        <v>247</v>
      </c>
      <c r="S169" s="19" t="s">
        <v>248</v>
      </c>
      <c r="T169" s="19" t="s">
        <v>249</v>
      </c>
      <c r="U169" s="19" t="s">
        <v>250</v>
      </c>
      <c r="V169" s="19" t="s">
        <v>218</v>
      </c>
      <c r="W169" s="19" t="s">
        <v>218</v>
      </c>
      <c r="X169" s="19" t="s">
        <v>218</v>
      </c>
      <c r="Z169"/>
      <c r="AA169"/>
      <c r="AB169"/>
      <c r="AC169"/>
      <c r="AD169"/>
    </row>
    <row r="170" spans="1:30" x14ac:dyDescent="0.35">
      <c r="A170" s="19">
        <v>202304</v>
      </c>
      <c r="B170" s="19" t="s">
        <v>858</v>
      </c>
      <c r="C170" s="19"/>
      <c r="E170" s="19" t="s">
        <v>208</v>
      </c>
      <c r="F170" s="19" t="s">
        <v>208</v>
      </c>
      <c r="G170" s="19" t="s">
        <v>57</v>
      </c>
      <c r="H170" s="19">
        <v>83</v>
      </c>
      <c r="I170" s="19" t="s">
        <v>859</v>
      </c>
      <c r="J170" s="19" t="s">
        <v>172</v>
      </c>
      <c r="K170" s="19" t="s">
        <v>844</v>
      </c>
      <c r="L170" s="19">
        <v>0</v>
      </c>
      <c r="M170" s="19" t="s">
        <v>226</v>
      </c>
      <c r="N170" s="19">
        <v>2</v>
      </c>
      <c r="O170" s="19" t="s">
        <v>253</v>
      </c>
      <c r="P170" s="19" t="s">
        <v>218</v>
      </c>
      <c r="Q170" s="19" t="s">
        <v>218</v>
      </c>
      <c r="R170" s="19" t="s">
        <v>218</v>
      </c>
      <c r="S170" s="19" t="s">
        <v>218</v>
      </c>
      <c r="T170" s="19" t="s">
        <v>218</v>
      </c>
      <c r="U170" s="19" t="s">
        <v>218</v>
      </c>
      <c r="V170" s="19" t="s">
        <v>218</v>
      </c>
      <c r="W170" s="19" t="s">
        <v>218</v>
      </c>
      <c r="X170" s="19" t="s">
        <v>218</v>
      </c>
      <c r="Z170"/>
      <c r="AA170"/>
      <c r="AB170"/>
      <c r="AC170"/>
      <c r="AD170"/>
    </row>
    <row r="171" spans="1:30" x14ac:dyDescent="0.35">
      <c r="A171" s="19">
        <v>202304</v>
      </c>
      <c r="B171" s="19" t="s">
        <v>860</v>
      </c>
      <c r="C171" s="19"/>
      <c r="E171" s="19" t="s">
        <v>208</v>
      </c>
      <c r="F171" s="19" t="s">
        <v>208</v>
      </c>
      <c r="G171" s="19" t="s">
        <v>57</v>
      </c>
      <c r="H171" s="19">
        <v>83</v>
      </c>
      <c r="I171" s="19" t="s">
        <v>861</v>
      </c>
      <c r="J171" s="19" t="s">
        <v>172</v>
      </c>
      <c r="K171" s="19" t="s">
        <v>844</v>
      </c>
      <c r="L171" s="19">
        <v>5619</v>
      </c>
      <c r="M171" s="19" t="s">
        <v>1429</v>
      </c>
      <c r="N171" s="19">
        <v>2</v>
      </c>
      <c r="O171" s="19" t="s">
        <v>253</v>
      </c>
      <c r="P171" s="19" t="s">
        <v>218</v>
      </c>
      <c r="Q171" s="19" t="s">
        <v>218</v>
      </c>
      <c r="R171" s="19" t="s">
        <v>218</v>
      </c>
      <c r="S171" s="19" t="s">
        <v>218</v>
      </c>
      <c r="T171" s="19" t="s">
        <v>218</v>
      </c>
      <c r="U171" s="19" t="s">
        <v>218</v>
      </c>
      <c r="V171" s="19" t="s">
        <v>218</v>
      </c>
      <c r="W171" s="19" t="s">
        <v>218</v>
      </c>
      <c r="X171" s="19" t="s">
        <v>218</v>
      </c>
      <c r="Z171"/>
      <c r="AA171"/>
      <c r="AB171"/>
      <c r="AC171"/>
      <c r="AD171"/>
    </row>
    <row r="172" spans="1:30" x14ac:dyDescent="0.35">
      <c r="A172" s="19">
        <v>202304</v>
      </c>
      <c r="B172" s="19" t="s">
        <v>862</v>
      </c>
      <c r="C172" s="19" t="s">
        <v>208</v>
      </c>
      <c r="E172" s="19" t="s">
        <v>208</v>
      </c>
      <c r="F172" s="19" t="s">
        <v>208</v>
      </c>
      <c r="G172" s="19" t="s">
        <v>57</v>
      </c>
      <c r="H172" s="19">
        <v>87</v>
      </c>
      <c r="I172" s="19" t="s">
        <v>863</v>
      </c>
      <c r="J172" s="19" t="s">
        <v>259</v>
      </c>
      <c r="K172" s="19" t="s">
        <v>260</v>
      </c>
      <c r="L172" s="19">
        <v>0</v>
      </c>
      <c r="M172" s="19" t="s">
        <v>226</v>
      </c>
      <c r="N172" s="19">
        <v>1</v>
      </c>
      <c r="O172" s="19" t="s">
        <v>244</v>
      </c>
      <c r="P172" s="19" t="s">
        <v>245</v>
      </c>
      <c r="Q172" s="19" t="s">
        <v>246</v>
      </c>
      <c r="R172" s="19" t="s">
        <v>247</v>
      </c>
      <c r="S172" s="19" t="s">
        <v>248</v>
      </c>
      <c r="T172" s="19" t="s">
        <v>249</v>
      </c>
      <c r="U172" s="19" t="s">
        <v>250</v>
      </c>
      <c r="V172" s="19" t="s">
        <v>218</v>
      </c>
      <c r="W172" s="19" t="s">
        <v>218</v>
      </c>
      <c r="X172" s="19" t="s">
        <v>218</v>
      </c>
      <c r="Z172"/>
      <c r="AA172"/>
      <c r="AB172"/>
      <c r="AC172"/>
      <c r="AD172"/>
    </row>
    <row r="173" spans="1:30" x14ac:dyDescent="0.35">
      <c r="A173" s="19">
        <v>202304</v>
      </c>
      <c r="B173" s="19" t="s">
        <v>864</v>
      </c>
      <c r="C173" s="19"/>
      <c r="F173" s="19" t="s">
        <v>208</v>
      </c>
      <c r="G173" s="19" t="s">
        <v>57</v>
      </c>
      <c r="H173" s="19">
        <v>201</v>
      </c>
      <c r="I173" s="19" t="s">
        <v>865</v>
      </c>
      <c r="J173" s="19" t="s">
        <v>259</v>
      </c>
      <c r="K173" s="19" t="s">
        <v>260</v>
      </c>
      <c r="L173" s="19">
        <v>0</v>
      </c>
      <c r="M173" s="19" t="s">
        <v>226</v>
      </c>
      <c r="N173" s="19">
        <v>4</v>
      </c>
      <c r="O173" s="19" t="s">
        <v>244</v>
      </c>
      <c r="P173" s="19" t="s">
        <v>245</v>
      </c>
      <c r="Q173" s="19" t="s">
        <v>246</v>
      </c>
      <c r="R173" s="19" t="s">
        <v>247</v>
      </c>
      <c r="S173" s="19" t="s">
        <v>248</v>
      </c>
      <c r="T173" s="19" t="s">
        <v>249</v>
      </c>
      <c r="U173" s="19" t="s">
        <v>250</v>
      </c>
      <c r="V173" s="19" t="s">
        <v>218</v>
      </c>
      <c r="W173" s="19" t="s">
        <v>218</v>
      </c>
      <c r="X173" s="19" t="s">
        <v>218</v>
      </c>
      <c r="Z173"/>
      <c r="AA173"/>
      <c r="AB173"/>
      <c r="AC173"/>
      <c r="AD173"/>
    </row>
    <row r="174" spans="1:30" x14ac:dyDescent="0.35">
      <c r="A174" s="19">
        <v>202304</v>
      </c>
      <c r="B174" s="19" t="s">
        <v>866</v>
      </c>
      <c r="C174" s="19"/>
      <c r="D174" s="19" t="s">
        <v>208</v>
      </c>
      <c r="E174" s="19" t="s">
        <v>208</v>
      </c>
      <c r="F174" s="19" t="s">
        <v>208</v>
      </c>
      <c r="G174" s="19" t="s">
        <v>36</v>
      </c>
      <c r="H174" s="19">
        <v>83</v>
      </c>
      <c r="I174" s="19" t="s">
        <v>867</v>
      </c>
      <c r="J174" s="19" t="s">
        <v>259</v>
      </c>
      <c r="K174" s="19" t="s">
        <v>260</v>
      </c>
      <c r="L174" s="19">
        <v>10701</v>
      </c>
      <c r="M174" s="19" t="s">
        <v>1430</v>
      </c>
      <c r="N174" s="19">
        <v>2</v>
      </c>
      <c r="O174" s="19" t="s">
        <v>244</v>
      </c>
      <c r="P174" s="19" t="s">
        <v>245</v>
      </c>
      <c r="Q174" s="19" t="s">
        <v>246</v>
      </c>
      <c r="R174" s="19" t="s">
        <v>247</v>
      </c>
      <c r="S174" s="19" t="s">
        <v>248</v>
      </c>
      <c r="T174" s="19" t="s">
        <v>249</v>
      </c>
      <c r="U174" s="19" t="s">
        <v>250</v>
      </c>
      <c r="V174" s="19" t="s">
        <v>218</v>
      </c>
      <c r="W174" s="19" t="s">
        <v>218</v>
      </c>
      <c r="X174" s="19" t="s">
        <v>218</v>
      </c>
      <c r="Z174"/>
      <c r="AA174"/>
      <c r="AB174"/>
      <c r="AC174"/>
      <c r="AD174"/>
    </row>
    <row r="175" spans="1:30" x14ac:dyDescent="0.35">
      <c r="A175" s="19">
        <v>202304</v>
      </c>
      <c r="B175" s="19" t="s">
        <v>868</v>
      </c>
      <c r="C175" s="19"/>
      <c r="D175" s="19" t="s">
        <v>208</v>
      </c>
      <c r="E175" s="19" t="s">
        <v>208</v>
      </c>
      <c r="F175" s="19" t="s">
        <v>208</v>
      </c>
      <c r="G175" s="19" t="s">
        <v>36</v>
      </c>
      <c r="H175" s="19">
        <v>83</v>
      </c>
      <c r="I175" s="19" t="s">
        <v>869</v>
      </c>
      <c r="J175" s="19" t="s">
        <v>259</v>
      </c>
      <c r="K175" s="19" t="s">
        <v>260</v>
      </c>
      <c r="L175" s="19">
        <v>10701</v>
      </c>
      <c r="M175" s="19" t="s">
        <v>1430</v>
      </c>
      <c r="N175" s="19">
        <v>2</v>
      </c>
      <c r="O175" s="19" t="s">
        <v>244</v>
      </c>
      <c r="P175" s="19" t="s">
        <v>245</v>
      </c>
      <c r="Q175" s="19" t="s">
        <v>246</v>
      </c>
      <c r="R175" s="19" t="s">
        <v>247</v>
      </c>
      <c r="S175" s="19" t="s">
        <v>248</v>
      </c>
      <c r="T175" s="19" t="s">
        <v>249</v>
      </c>
      <c r="U175" s="19" t="s">
        <v>250</v>
      </c>
      <c r="V175" s="19" t="s">
        <v>218</v>
      </c>
      <c r="W175" s="19" t="s">
        <v>218</v>
      </c>
      <c r="X175" s="19" t="s">
        <v>218</v>
      </c>
      <c r="Z175"/>
      <c r="AA175"/>
      <c r="AB175"/>
      <c r="AC175"/>
      <c r="AD175"/>
    </row>
    <row r="176" spans="1:30" x14ac:dyDescent="0.35">
      <c r="A176" s="19">
        <v>202304</v>
      </c>
      <c r="B176" s="19" t="s">
        <v>870</v>
      </c>
      <c r="C176" s="19"/>
      <c r="E176" s="19" t="s">
        <v>208</v>
      </c>
      <c r="G176" s="19" t="s">
        <v>36</v>
      </c>
      <c r="H176" s="19">
        <v>83</v>
      </c>
      <c r="I176" s="19" t="s">
        <v>871</v>
      </c>
      <c r="J176" s="19" t="s">
        <v>259</v>
      </c>
      <c r="K176" s="19" t="s">
        <v>132</v>
      </c>
      <c r="L176" s="19">
        <v>10701</v>
      </c>
      <c r="M176" s="19" t="s">
        <v>1430</v>
      </c>
      <c r="N176" s="19">
        <v>2</v>
      </c>
      <c r="O176" s="19" t="s">
        <v>453</v>
      </c>
      <c r="P176" s="19" t="s">
        <v>218</v>
      </c>
      <c r="Q176" s="19" t="s">
        <v>218</v>
      </c>
      <c r="R176" s="19" t="s">
        <v>218</v>
      </c>
      <c r="S176" s="19" t="s">
        <v>218</v>
      </c>
      <c r="T176" s="19" t="s">
        <v>218</v>
      </c>
      <c r="U176" s="19" t="s">
        <v>218</v>
      </c>
      <c r="V176" s="19" t="s">
        <v>218</v>
      </c>
      <c r="W176" s="19" t="s">
        <v>218</v>
      </c>
      <c r="X176" s="19" t="s">
        <v>218</v>
      </c>
      <c r="Z176"/>
      <c r="AA176"/>
      <c r="AB176"/>
      <c r="AC176"/>
      <c r="AD176"/>
    </row>
    <row r="177" spans="1:30" x14ac:dyDescent="0.35">
      <c r="A177" s="19">
        <v>202304</v>
      </c>
      <c r="B177" s="19" t="s">
        <v>872</v>
      </c>
      <c r="C177" s="19"/>
      <c r="E177" s="19" t="s">
        <v>208</v>
      </c>
      <c r="F177" s="19" t="s">
        <v>208</v>
      </c>
      <c r="G177" s="19" t="s">
        <v>459</v>
      </c>
      <c r="H177" s="19">
        <v>83</v>
      </c>
      <c r="I177" s="19" t="s">
        <v>873</v>
      </c>
      <c r="J177" s="19" t="s">
        <v>172</v>
      </c>
      <c r="K177" s="19" t="s">
        <v>844</v>
      </c>
      <c r="L177" s="19">
        <v>0</v>
      </c>
      <c r="M177" s="19" t="s">
        <v>226</v>
      </c>
      <c r="N177" s="19">
        <v>2</v>
      </c>
      <c r="O177" s="19" t="s">
        <v>253</v>
      </c>
      <c r="P177" s="19" t="s">
        <v>218</v>
      </c>
      <c r="Q177" s="19" t="s">
        <v>218</v>
      </c>
      <c r="R177" s="19" t="s">
        <v>218</v>
      </c>
      <c r="S177" s="19" t="s">
        <v>218</v>
      </c>
      <c r="T177" s="19" t="s">
        <v>218</v>
      </c>
      <c r="U177" s="19" t="s">
        <v>218</v>
      </c>
      <c r="V177" s="19" t="s">
        <v>218</v>
      </c>
      <c r="W177" s="19" t="s">
        <v>218</v>
      </c>
      <c r="X177" s="19" t="s">
        <v>218</v>
      </c>
      <c r="Z177"/>
      <c r="AA177"/>
      <c r="AB177"/>
      <c r="AC177"/>
      <c r="AD177"/>
    </row>
    <row r="178" spans="1:30" x14ac:dyDescent="0.35">
      <c r="A178" s="19">
        <v>202304</v>
      </c>
      <c r="B178" s="19" t="s">
        <v>874</v>
      </c>
      <c r="C178" s="19"/>
      <c r="E178" s="19" t="s">
        <v>208</v>
      </c>
      <c r="F178" s="19" t="s">
        <v>208</v>
      </c>
      <c r="G178" s="19" t="s">
        <v>459</v>
      </c>
      <c r="H178" s="19">
        <v>83</v>
      </c>
      <c r="I178" s="19" t="s">
        <v>875</v>
      </c>
      <c r="J178" s="19" t="s">
        <v>172</v>
      </c>
      <c r="K178" s="19" t="s">
        <v>844</v>
      </c>
      <c r="L178" s="19">
        <v>0</v>
      </c>
      <c r="M178" s="19" t="s">
        <v>226</v>
      </c>
      <c r="N178" s="19">
        <v>2</v>
      </c>
      <c r="O178" s="19" t="s">
        <v>253</v>
      </c>
      <c r="P178" s="19" t="s">
        <v>218</v>
      </c>
      <c r="Q178" s="19" t="s">
        <v>218</v>
      </c>
      <c r="R178" s="19" t="s">
        <v>218</v>
      </c>
      <c r="S178" s="19" t="s">
        <v>218</v>
      </c>
      <c r="T178" s="19" t="s">
        <v>218</v>
      </c>
      <c r="U178" s="19" t="s">
        <v>218</v>
      </c>
      <c r="V178" s="19" t="s">
        <v>218</v>
      </c>
      <c r="W178" s="19" t="s">
        <v>218</v>
      </c>
      <c r="X178" s="19" t="s">
        <v>218</v>
      </c>
      <c r="Z178"/>
      <c r="AA178"/>
      <c r="AB178"/>
      <c r="AC178"/>
      <c r="AD178"/>
    </row>
    <row r="179" spans="1:30" x14ac:dyDescent="0.35">
      <c r="A179" s="19">
        <v>202304</v>
      </c>
      <c r="B179" s="19" t="s">
        <v>876</v>
      </c>
      <c r="C179" s="19"/>
      <c r="E179" s="19" t="s">
        <v>208</v>
      </c>
      <c r="F179" s="19" t="s">
        <v>208</v>
      </c>
      <c r="G179" s="19" t="s">
        <v>459</v>
      </c>
      <c r="H179" s="19">
        <v>83</v>
      </c>
      <c r="I179" s="19" t="s">
        <v>877</v>
      </c>
      <c r="J179" s="19" t="s">
        <v>172</v>
      </c>
      <c r="K179" s="19" t="s">
        <v>844</v>
      </c>
      <c r="L179" s="19">
        <v>0</v>
      </c>
      <c r="M179" s="19" t="s">
        <v>226</v>
      </c>
      <c r="N179" s="19">
        <v>2</v>
      </c>
      <c r="O179" s="19" t="s">
        <v>253</v>
      </c>
      <c r="P179" s="19" t="s">
        <v>218</v>
      </c>
      <c r="Q179" s="19" t="s">
        <v>218</v>
      </c>
      <c r="R179" s="19" t="s">
        <v>218</v>
      </c>
      <c r="S179" s="19" t="s">
        <v>218</v>
      </c>
      <c r="T179" s="19" t="s">
        <v>218</v>
      </c>
      <c r="U179" s="19" t="s">
        <v>218</v>
      </c>
      <c r="V179" s="19" t="s">
        <v>218</v>
      </c>
      <c r="W179" s="19" t="s">
        <v>218</v>
      </c>
      <c r="X179" s="19" t="s">
        <v>218</v>
      </c>
      <c r="Z179"/>
      <c r="AA179"/>
      <c r="AB179"/>
      <c r="AC179"/>
      <c r="AD179"/>
    </row>
    <row r="180" spans="1:30" x14ac:dyDescent="0.35">
      <c r="A180" s="19">
        <v>202304</v>
      </c>
      <c r="B180" s="19" t="s">
        <v>878</v>
      </c>
      <c r="C180" s="19"/>
      <c r="F180" s="19" t="s">
        <v>208</v>
      </c>
      <c r="G180" s="19" t="s">
        <v>459</v>
      </c>
      <c r="H180" s="19">
        <v>201</v>
      </c>
      <c r="I180" s="19" t="s">
        <v>218</v>
      </c>
      <c r="J180" s="19" t="s">
        <v>259</v>
      </c>
      <c r="K180" s="19" t="s">
        <v>260</v>
      </c>
      <c r="L180" s="19">
        <v>0</v>
      </c>
      <c r="M180" s="19" t="s">
        <v>218</v>
      </c>
      <c r="N180" s="19">
        <v>4</v>
      </c>
      <c r="O180" s="19" t="s">
        <v>244</v>
      </c>
      <c r="P180" s="19" t="s">
        <v>245</v>
      </c>
      <c r="Q180" s="19" t="s">
        <v>246</v>
      </c>
      <c r="R180" s="19" t="s">
        <v>247</v>
      </c>
      <c r="S180" s="19" t="s">
        <v>248</v>
      </c>
      <c r="T180" s="19" t="s">
        <v>249</v>
      </c>
      <c r="U180" s="19" t="s">
        <v>250</v>
      </c>
      <c r="V180" s="19" t="s">
        <v>218</v>
      </c>
      <c r="W180" s="19" t="s">
        <v>218</v>
      </c>
      <c r="X180" s="19" t="s">
        <v>218</v>
      </c>
      <c r="Z180"/>
      <c r="AA180"/>
      <c r="AB180"/>
      <c r="AC180"/>
      <c r="AD180"/>
    </row>
    <row r="181" spans="1:30" x14ac:dyDescent="0.35">
      <c r="A181" s="19">
        <v>202304</v>
      </c>
      <c r="B181" s="19" t="s">
        <v>879</v>
      </c>
      <c r="C181" s="19"/>
      <c r="E181" s="19" t="s">
        <v>208</v>
      </c>
      <c r="F181" s="19" t="s">
        <v>208</v>
      </c>
      <c r="G181" s="19" t="s">
        <v>459</v>
      </c>
      <c r="H181" s="19">
        <v>83</v>
      </c>
      <c r="I181" s="19" t="s">
        <v>880</v>
      </c>
      <c r="J181" s="19" t="s">
        <v>172</v>
      </c>
      <c r="K181" s="19" t="s">
        <v>844</v>
      </c>
      <c r="L181" s="19">
        <v>0</v>
      </c>
      <c r="M181" s="19" t="s">
        <v>226</v>
      </c>
      <c r="N181" s="19">
        <v>2</v>
      </c>
      <c r="O181" s="19" t="s">
        <v>253</v>
      </c>
      <c r="P181" s="19" t="s">
        <v>218</v>
      </c>
      <c r="Q181" s="19" t="s">
        <v>218</v>
      </c>
      <c r="R181" s="19" t="s">
        <v>218</v>
      </c>
      <c r="S181" s="19" t="s">
        <v>218</v>
      </c>
      <c r="T181" s="19" t="s">
        <v>218</v>
      </c>
      <c r="U181" s="19" t="s">
        <v>218</v>
      </c>
      <c r="V181" s="19" t="s">
        <v>218</v>
      </c>
      <c r="W181" s="19" t="s">
        <v>218</v>
      </c>
      <c r="X181" s="19" t="s">
        <v>218</v>
      </c>
      <c r="Z181"/>
      <c r="AA181"/>
      <c r="AB181"/>
      <c r="AC181"/>
      <c r="AD181"/>
    </row>
    <row r="182" spans="1:30" x14ac:dyDescent="0.35">
      <c r="A182" s="19">
        <v>202304</v>
      </c>
      <c r="B182" s="19" t="s">
        <v>881</v>
      </c>
      <c r="C182" s="19" t="s">
        <v>208</v>
      </c>
      <c r="E182" s="19" t="s">
        <v>208</v>
      </c>
      <c r="G182" s="19" t="s">
        <v>459</v>
      </c>
      <c r="H182" s="19">
        <v>87</v>
      </c>
      <c r="I182" s="19" t="s">
        <v>882</v>
      </c>
      <c r="J182" s="19" t="s">
        <v>259</v>
      </c>
      <c r="K182" s="19" t="s">
        <v>260</v>
      </c>
      <c r="L182" s="19">
        <v>0</v>
      </c>
      <c r="M182" s="19" t="s">
        <v>218</v>
      </c>
      <c r="N182" s="19">
        <v>1</v>
      </c>
      <c r="O182" s="19" t="s">
        <v>244</v>
      </c>
      <c r="P182" s="19" t="s">
        <v>245</v>
      </c>
      <c r="Q182" s="19" t="s">
        <v>246</v>
      </c>
      <c r="R182" s="19" t="s">
        <v>247</v>
      </c>
      <c r="S182" s="19" t="s">
        <v>248</v>
      </c>
      <c r="T182" s="19" t="s">
        <v>249</v>
      </c>
      <c r="U182" s="19" t="s">
        <v>250</v>
      </c>
      <c r="V182" s="19" t="s">
        <v>218</v>
      </c>
      <c r="W182" s="19" t="s">
        <v>218</v>
      </c>
      <c r="X182" s="19" t="s">
        <v>218</v>
      </c>
      <c r="Z182"/>
      <c r="AA182"/>
      <c r="AB182"/>
      <c r="AC182"/>
      <c r="AD182"/>
    </row>
    <row r="183" spans="1:30" x14ac:dyDescent="0.35">
      <c r="A183" s="19">
        <v>202304</v>
      </c>
      <c r="B183" s="19" t="s">
        <v>883</v>
      </c>
      <c r="C183" s="19" t="s">
        <v>208</v>
      </c>
      <c r="F183" s="19" t="s">
        <v>208</v>
      </c>
      <c r="G183" s="19" t="s">
        <v>459</v>
      </c>
      <c r="H183" s="19">
        <v>87</v>
      </c>
      <c r="I183" s="19" t="s">
        <v>884</v>
      </c>
      <c r="J183" s="19" t="s">
        <v>259</v>
      </c>
      <c r="K183" s="19" t="s">
        <v>260</v>
      </c>
      <c r="L183" s="19">
        <v>0</v>
      </c>
      <c r="M183" s="19" t="s">
        <v>218</v>
      </c>
      <c r="N183" s="19">
        <v>1</v>
      </c>
      <c r="O183" s="19" t="s">
        <v>244</v>
      </c>
      <c r="P183" s="19" t="s">
        <v>245</v>
      </c>
      <c r="Q183" s="19" t="s">
        <v>246</v>
      </c>
      <c r="R183" s="19" t="s">
        <v>247</v>
      </c>
      <c r="S183" s="19" t="s">
        <v>248</v>
      </c>
      <c r="T183" s="19" t="s">
        <v>249</v>
      </c>
      <c r="U183" s="19" t="s">
        <v>250</v>
      </c>
      <c r="V183" s="19" t="s">
        <v>218</v>
      </c>
      <c r="W183" s="19" t="s">
        <v>218</v>
      </c>
      <c r="X183" s="19" t="s">
        <v>218</v>
      </c>
      <c r="Z183"/>
      <c r="AA183"/>
      <c r="AB183"/>
      <c r="AC183"/>
      <c r="AD183"/>
    </row>
    <row r="184" spans="1:30" x14ac:dyDescent="0.35">
      <c r="A184" s="19">
        <v>202304</v>
      </c>
      <c r="B184" s="19" t="s">
        <v>885</v>
      </c>
      <c r="C184" s="19" t="s">
        <v>208</v>
      </c>
      <c r="E184" s="19" t="s">
        <v>208</v>
      </c>
      <c r="F184" s="19" t="s">
        <v>208</v>
      </c>
      <c r="G184" s="19" t="s">
        <v>459</v>
      </c>
      <c r="H184" s="19">
        <v>87</v>
      </c>
      <c r="I184" s="19" t="s">
        <v>886</v>
      </c>
      <c r="J184" s="19" t="s">
        <v>172</v>
      </c>
      <c r="K184" s="19" t="s">
        <v>844</v>
      </c>
      <c r="L184" s="19">
        <v>0</v>
      </c>
      <c r="M184" s="19" t="s">
        <v>218</v>
      </c>
      <c r="N184" s="19">
        <v>1</v>
      </c>
      <c r="O184" s="19" t="s">
        <v>222</v>
      </c>
      <c r="P184" s="19" t="s">
        <v>218</v>
      </c>
      <c r="Q184" s="19" t="s">
        <v>218</v>
      </c>
      <c r="R184" s="19" t="s">
        <v>218</v>
      </c>
      <c r="S184" s="19" t="s">
        <v>218</v>
      </c>
      <c r="T184" s="19" t="s">
        <v>218</v>
      </c>
      <c r="U184" s="19" t="s">
        <v>218</v>
      </c>
      <c r="V184" s="19" t="s">
        <v>218</v>
      </c>
      <c r="W184" s="19" t="s">
        <v>218</v>
      </c>
      <c r="X184" s="19" t="s">
        <v>218</v>
      </c>
      <c r="Z184"/>
      <c r="AA184"/>
      <c r="AB184"/>
      <c r="AC184"/>
      <c r="AD184"/>
    </row>
    <row r="185" spans="1:30" x14ac:dyDescent="0.35">
      <c r="A185" s="19">
        <v>202304</v>
      </c>
      <c r="B185" s="19" t="s">
        <v>887</v>
      </c>
      <c r="C185" s="19" t="s">
        <v>208</v>
      </c>
      <c r="G185" s="19" t="s">
        <v>459</v>
      </c>
      <c r="H185" s="19">
        <v>87</v>
      </c>
      <c r="I185" s="19" t="s">
        <v>888</v>
      </c>
      <c r="J185" s="19" t="s">
        <v>259</v>
      </c>
      <c r="K185" s="19" t="s">
        <v>260</v>
      </c>
      <c r="L185" s="19">
        <v>0</v>
      </c>
      <c r="M185" s="19" t="s">
        <v>218</v>
      </c>
      <c r="N185" s="19">
        <v>1</v>
      </c>
      <c r="O185" s="19" t="s">
        <v>244</v>
      </c>
      <c r="P185" s="19" t="s">
        <v>245</v>
      </c>
      <c r="Q185" s="19" t="s">
        <v>246</v>
      </c>
      <c r="R185" s="19" t="s">
        <v>247</v>
      </c>
      <c r="S185" s="19" t="s">
        <v>248</v>
      </c>
      <c r="T185" s="19" t="s">
        <v>249</v>
      </c>
      <c r="U185" s="19" t="s">
        <v>250</v>
      </c>
      <c r="V185" s="19" t="s">
        <v>218</v>
      </c>
      <c r="W185" s="19" t="s">
        <v>218</v>
      </c>
      <c r="X185" s="19" t="s">
        <v>218</v>
      </c>
      <c r="Z185"/>
      <c r="AA185"/>
      <c r="AB185"/>
      <c r="AC185"/>
      <c r="AD185"/>
    </row>
    <row r="186" spans="1:30" x14ac:dyDescent="0.35">
      <c r="A186" s="19">
        <v>202304</v>
      </c>
      <c r="B186" s="19" t="s">
        <v>889</v>
      </c>
      <c r="C186" s="19"/>
      <c r="F186" s="19" t="s">
        <v>208</v>
      </c>
      <c r="G186" s="19" t="s">
        <v>57</v>
      </c>
      <c r="H186" s="19">
        <v>201</v>
      </c>
      <c r="I186" s="19" t="s">
        <v>890</v>
      </c>
      <c r="J186" s="19" t="s">
        <v>172</v>
      </c>
      <c r="K186" s="19" t="s">
        <v>473</v>
      </c>
      <c r="L186" s="19">
        <v>0</v>
      </c>
      <c r="M186" s="19" t="s">
        <v>226</v>
      </c>
      <c r="N186" s="19">
        <v>4</v>
      </c>
      <c r="O186" s="19" t="s">
        <v>891</v>
      </c>
      <c r="P186" s="19" t="s">
        <v>892</v>
      </c>
      <c r="Q186" s="19" t="s">
        <v>893</v>
      </c>
      <c r="R186" s="19" t="s">
        <v>894</v>
      </c>
      <c r="S186" s="19" t="s">
        <v>895</v>
      </c>
      <c r="T186" s="19" t="s">
        <v>896</v>
      </c>
      <c r="U186" s="19" t="s">
        <v>897</v>
      </c>
      <c r="V186" s="19" t="s">
        <v>218</v>
      </c>
      <c r="W186" s="19" t="s">
        <v>218</v>
      </c>
      <c r="X186" s="19" t="s">
        <v>218</v>
      </c>
      <c r="Z186"/>
      <c r="AA186"/>
      <c r="AB186"/>
      <c r="AC186"/>
      <c r="AD186"/>
    </row>
    <row r="187" spans="1:30" x14ac:dyDescent="0.35">
      <c r="A187" s="19">
        <v>202304</v>
      </c>
      <c r="B187" s="19" t="s">
        <v>898</v>
      </c>
      <c r="C187" s="19"/>
      <c r="D187" s="19" t="s">
        <v>208</v>
      </c>
      <c r="E187" s="19" t="s">
        <v>208</v>
      </c>
      <c r="F187" s="19" t="s">
        <v>208</v>
      </c>
      <c r="G187" s="19" t="s">
        <v>36</v>
      </c>
      <c r="H187" s="19">
        <v>83</v>
      </c>
      <c r="I187" s="19" t="s">
        <v>899</v>
      </c>
      <c r="J187" s="19" t="s">
        <v>259</v>
      </c>
      <c r="K187" s="19" t="s">
        <v>260</v>
      </c>
      <c r="L187" s="19">
        <v>4161</v>
      </c>
      <c r="M187" s="19" t="s">
        <v>1431</v>
      </c>
      <c r="N187" s="19">
        <v>2</v>
      </c>
      <c r="O187" s="19" t="s">
        <v>244</v>
      </c>
      <c r="P187" s="19" t="s">
        <v>245</v>
      </c>
      <c r="Q187" s="19" t="s">
        <v>246</v>
      </c>
      <c r="R187" s="19" t="s">
        <v>247</v>
      </c>
      <c r="S187" s="19" t="s">
        <v>248</v>
      </c>
      <c r="T187" s="19" t="s">
        <v>249</v>
      </c>
      <c r="U187" s="19" t="s">
        <v>250</v>
      </c>
      <c r="V187" s="19" t="s">
        <v>218</v>
      </c>
      <c r="W187" s="19" t="s">
        <v>218</v>
      </c>
      <c r="X187" s="19" t="s">
        <v>218</v>
      </c>
      <c r="Z187"/>
      <c r="AA187"/>
      <c r="AB187"/>
      <c r="AC187"/>
      <c r="AD187"/>
    </row>
    <row r="188" spans="1:30" x14ac:dyDescent="0.35">
      <c r="A188" s="19">
        <v>202304</v>
      </c>
      <c r="B188" s="19" t="s">
        <v>900</v>
      </c>
      <c r="C188" s="19"/>
      <c r="D188" s="19" t="s">
        <v>208</v>
      </c>
      <c r="F188" s="19" t="s">
        <v>208</v>
      </c>
      <c r="G188" s="19" t="s">
        <v>36</v>
      </c>
      <c r="H188" s="19">
        <v>91</v>
      </c>
      <c r="I188" s="19" t="s">
        <v>901</v>
      </c>
      <c r="J188" s="19" t="s">
        <v>231</v>
      </c>
      <c r="K188" s="19" t="s">
        <v>232</v>
      </c>
      <c r="L188" s="19">
        <v>0</v>
      </c>
      <c r="M188" s="19" t="s">
        <v>226</v>
      </c>
      <c r="N188" s="19">
        <v>3</v>
      </c>
      <c r="O188" s="19" t="s">
        <v>902</v>
      </c>
      <c r="P188" s="19" t="s">
        <v>903</v>
      </c>
      <c r="Q188" s="19" t="s">
        <v>904</v>
      </c>
      <c r="R188" s="19" t="s">
        <v>905</v>
      </c>
      <c r="S188" s="19" t="s">
        <v>906</v>
      </c>
      <c r="T188" s="19" t="s">
        <v>907</v>
      </c>
      <c r="U188" s="19" t="s">
        <v>908</v>
      </c>
      <c r="V188" s="19" t="s">
        <v>226</v>
      </c>
      <c r="W188" s="19" t="s">
        <v>226</v>
      </c>
      <c r="X188" s="19" t="s">
        <v>226</v>
      </c>
      <c r="Z188"/>
      <c r="AA188"/>
      <c r="AB188"/>
      <c r="AC188"/>
      <c r="AD188"/>
    </row>
    <row r="189" spans="1:30" x14ac:dyDescent="0.35">
      <c r="A189" s="19">
        <v>202304</v>
      </c>
      <c r="B189" s="19" t="s">
        <v>909</v>
      </c>
      <c r="C189" s="19"/>
      <c r="F189" s="19" t="s">
        <v>208</v>
      </c>
      <c r="G189" s="19" t="s">
        <v>36</v>
      </c>
      <c r="H189" s="19">
        <v>201</v>
      </c>
      <c r="I189" s="19" t="s">
        <v>910</v>
      </c>
      <c r="J189" s="19" t="s">
        <v>259</v>
      </c>
      <c r="K189" s="19" t="s">
        <v>260</v>
      </c>
      <c r="L189" s="19">
        <v>0</v>
      </c>
      <c r="M189" s="19" t="s">
        <v>226</v>
      </c>
      <c r="N189" s="19">
        <v>4</v>
      </c>
      <c r="O189" s="19" t="s">
        <v>244</v>
      </c>
      <c r="P189" s="19" t="s">
        <v>245</v>
      </c>
      <c r="Q189" s="19" t="s">
        <v>246</v>
      </c>
      <c r="R189" s="19" t="s">
        <v>247</v>
      </c>
      <c r="S189" s="19" t="s">
        <v>248</v>
      </c>
      <c r="T189" s="19" t="s">
        <v>249</v>
      </c>
      <c r="U189" s="19" t="s">
        <v>250</v>
      </c>
      <c r="V189" s="19" t="s">
        <v>218</v>
      </c>
      <c r="W189" s="19" t="s">
        <v>218</v>
      </c>
      <c r="X189" s="19" t="s">
        <v>218</v>
      </c>
      <c r="Z189"/>
      <c r="AA189"/>
      <c r="AB189"/>
      <c r="AC189"/>
      <c r="AD189"/>
    </row>
    <row r="190" spans="1:30" x14ac:dyDescent="0.35">
      <c r="A190" s="19">
        <v>202304</v>
      </c>
      <c r="B190" s="19" t="s">
        <v>911</v>
      </c>
      <c r="C190" s="19"/>
      <c r="E190" s="19" t="s">
        <v>208</v>
      </c>
      <c r="F190" s="19" t="s">
        <v>208</v>
      </c>
      <c r="G190" s="19" t="s">
        <v>459</v>
      </c>
      <c r="H190" s="19">
        <v>83</v>
      </c>
      <c r="I190" s="19" t="s">
        <v>912</v>
      </c>
      <c r="J190" s="19" t="s">
        <v>172</v>
      </c>
      <c r="K190" s="19" t="s">
        <v>844</v>
      </c>
      <c r="L190" s="19">
        <v>0</v>
      </c>
      <c r="M190" s="19" t="s">
        <v>226</v>
      </c>
      <c r="N190" s="19">
        <v>2</v>
      </c>
      <c r="O190" s="19" t="s">
        <v>455</v>
      </c>
      <c r="P190" s="19" t="s">
        <v>244</v>
      </c>
      <c r="Q190" s="19" t="s">
        <v>245</v>
      </c>
      <c r="R190" s="19" t="s">
        <v>246</v>
      </c>
      <c r="S190" s="19" t="s">
        <v>247</v>
      </c>
      <c r="T190" s="19" t="s">
        <v>248</v>
      </c>
      <c r="U190" s="19" t="s">
        <v>249</v>
      </c>
      <c r="V190" s="19" t="s">
        <v>250</v>
      </c>
      <c r="W190" s="19" t="s">
        <v>218</v>
      </c>
      <c r="X190" s="19" t="s">
        <v>218</v>
      </c>
      <c r="Z190"/>
      <c r="AA190"/>
      <c r="AB190"/>
      <c r="AC190"/>
      <c r="AD190"/>
    </row>
    <row r="191" spans="1:30" x14ac:dyDescent="0.35">
      <c r="A191" s="19">
        <v>202304</v>
      </c>
      <c r="B191" s="19" t="s">
        <v>913</v>
      </c>
      <c r="C191" s="19" t="s">
        <v>208</v>
      </c>
      <c r="H191" s="19">
        <v>87</v>
      </c>
      <c r="I191" s="19" t="s">
        <v>914</v>
      </c>
      <c r="J191" s="19" t="s">
        <v>259</v>
      </c>
      <c r="K191" s="19" t="s">
        <v>132</v>
      </c>
      <c r="L191" s="19">
        <v>0</v>
      </c>
      <c r="M191" s="19" t="s">
        <v>226</v>
      </c>
      <c r="N191" s="19">
        <v>1</v>
      </c>
      <c r="O191" s="19" t="s">
        <v>499</v>
      </c>
      <c r="P191" s="19" t="s">
        <v>500</v>
      </c>
      <c r="Q191" s="19" t="s">
        <v>501</v>
      </c>
      <c r="R191" s="19" t="s">
        <v>502</v>
      </c>
      <c r="S191" s="19" t="s">
        <v>503</v>
      </c>
      <c r="T191" s="19" t="s">
        <v>504</v>
      </c>
      <c r="U191" s="19" t="s">
        <v>218</v>
      </c>
      <c r="V191" s="19" t="s">
        <v>218</v>
      </c>
      <c r="W191" s="19" t="s">
        <v>218</v>
      </c>
      <c r="X191" s="19" t="s">
        <v>218</v>
      </c>
      <c r="Z191"/>
      <c r="AA191"/>
      <c r="AB191"/>
      <c r="AC191"/>
      <c r="AD191"/>
    </row>
    <row r="192" spans="1:30" x14ac:dyDescent="0.35">
      <c r="A192" s="19">
        <v>202304</v>
      </c>
      <c r="B192" s="19" t="s">
        <v>915</v>
      </c>
      <c r="C192" s="19" t="s">
        <v>208</v>
      </c>
      <c r="E192" s="19" t="s">
        <v>217</v>
      </c>
      <c r="F192" s="19" t="s">
        <v>217</v>
      </c>
      <c r="H192" s="19">
        <v>87</v>
      </c>
      <c r="I192" s="19" t="s">
        <v>916</v>
      </c>
      <c r="J192" s="19" t="s">
        <v>223</v>
      </c>
      <c r="K192" s="19" t="s">
        <v>444</v>
      </c>
      <c r="L192" s="19">
        <v>0</v>
      </c>
      <c r="M192" s="19" t="s">
        <v>218</v>
      </c>
      <c r="N192" s="19">
        <v>1</v>
      </c>
      <c r="O192" s="19" t="s">
        <v>222</v>
      </c>
      <c r="P192" s="19" t="s">
        <v>218</v>
      </c>
      <c r="Q192" s="19" t="s">
        <v>218</v>
      </c>
      <c r="R192" s="19" t="s">
        <v>218</v>
      </c>
      <c r="S192" s="19" t="s">
        <v>218</v>
      </c>
      <c r="T192" s="19" t="s">
        <v>218</v>
      </c>
      <c r="U192" s="19" t="s">
        <v>218</v>
      </c>
      <c r="V192" s="19" t="s">
        <v>218</v>
      </c>
      <c r="W192" s="19" t="s">
        <v>218</v>
      </c>
      <c r="X192" s="19" t="s">
        <v>218</v>
      </c>
      <c r="Z192"/>
      <c r="AA192"/>
      <c r="AB192"/>
      <c r="AC192"/>
      <c r="AD192"/>
    </row>
    <row r="193" spans="1:30" x14ac:dyDescent="0.35">
      <c r="A193" s="19">
        <v>202304</v>
      </c>
      <c r="B193" s="19" t="s">
        <v>917</v>
      </c>
      <c r="C193" s="19" t="s">
        <v>208</v>
      </c>
      <c r="E193" s="19" t="s">
        <v>217</v>
      </c>
      <c r="F193" s="19" t="s">
        <v>217</v>
      </c>
      <c r="H193" s="19">
        <v>87</v>
      </c>
      <c r="I193" s="19" t="s">
        <v>918</v>
      </c>
      <c r="J193" s="19" t="s">
        <v>223</v>
      </c>
      <c r="K193" s="19" t="s">
        <v>261</v>
      </c>
      <c r="L193" s="19">
        <v>0</v>
      </c>
      <c r="M193" s="19" t="s">
        <v>218</v>
      </c>
      <c r="N193" s="19">
        <v>1</v>
      </c>
      <c r="O193" s="19" t="s">
        <v>222</v>
      </c>
      <c r="P193" s="19" t="s">
        <v>218</v>
      </c>
      <c r="Q193" s="19" t="s">
        <v>218</v>
      </c>
      <c r="R193" s="19" t="s">
        <v>218</v>
      </c>
      <c r="S193" s="19" t="s">
        <v>218</v>
      </c>
      <c r="T193" s="19" t="s">
        <v>218</v>
      </c>
      <c r="U193" s="19" t="s">
        <v>218</v>
      </c>
      <c r="V193" s="19" t="s">
        <v>218</v>
      </c>
      <c r="W193" s="19" t="s">
        <v>218</v>
      </c>
      <c r="X193" s="19" t="s">
        <v>218</v>
      </c>
      <c r="Z193"/>
      <c r="AA193"/>
      <c r="AB193"/>
      <c r="AC193"/>
      <c r="AD193"/>
    </row>
    <row r="194" spans="1:30" x14ac:dyDescent="0.35">
      <c r="A194" s="19">
        <v>202304</v>
      </c>
      <c r="B194" s="19" t="s">
        <v>517</v>
      </c>
      <c r="C194" s="19" t="s">
        <v>208</v>
      </c>
      <c r="E194" s="19" t="s">
        <v>208</v>
      </c>
      <c r="F194" s="19" t="s">
        <v>217</v>
      </c>
      <c r="G194" s="19" t="s">
        <v>81</v>
      </c>
      <c r="H194" s="19">
        <v>87</v>
      </c>
      <c r="I194" s="19" t="s">
        <v>518</v>
      </c>
      <c r="J194" s="19" t="s">
        <v>223</v>
      </c>
      <c r="K194" s="19" t="s">
        <v>444</v>
      </c>
      <c r="L194" s="19">
        <v>0</v>
      </c>
      <c r="M194" s="19" t="s">
        <v>491</v>
      </c>
      <c r="N194" s="19">
        <v>1</v>
      </c>
      <c r="O194" s="19" t="s">
        <v>222</v>
      </c>
      <c r="P194" s="19" t="s">
        <v>218</v>
      </c>
      <c r="Q194" s="19" t="s">
        <v>218</v>
      </c>
      <c r="R194" s="19" t="s">
        <v>218</v>
      </c>
      <c r="S194" s="19" t="s">
        <v>218</v>
      </c>
      <c r="T194" s="19" t="s">
        <v>218</v>
      </c>
      <c r="U194" s="19" t="s">
        <v>218</v>
      </c>
      <c r="V194" s="19" t="s">
        <v>218</v>
      </c>
      <c r="W194" s="19" t="s">
        <v>218</v>
      </c>
      <c r="X194" s="19" t="s">
        <v>218</v>
      </c>
      <c r="Z194"/>
      <c r="AA194"/>
      <c r="AB194"/>
      <c r="AC194"/>
      <c r="AD194"/>
    </row>
    <row r="195" spans="1:30" x14ac:dyDescent="0.35">
      <c r="A195" s="19">
        <v>202304</v>
      </c>
      <c r="B195" s="19" t="s">
        <v>493</v>
      </c>
      <c r="C195" s="19" t="s">
        <v>208</v>
      </c>
      <c r="E195" s="19" t="s">
        <v>208</v>
      </c>
      <c r="F195" s="19" t="s">
        <v>217</v>
      </c>
      <c r="G195" s="19" t="s">
        <v>81</v>
      </c>
      <c r="H195" s="19">
        <v>87</v>
      </c>
      <c r="I195" s="19" t="s">
        <v>494</v>
      </c>
      <c r="J195" s="19" t="s">
        <v>223</v>
      </c>
      <c r="K195" s="19" t="s">
        <v>261</v>
      </c>
      <c r="L195" s="19">
        <v>0</v>
      </c>
      <c r="M195" s="19" t="s">
        <v>491</v>
      </c>
      <c r="N195" s="19">
        <v>1</v>
      </c>
      <c r="O195" s="19" t="s">
        <v>222</v>
      </c>
      <c r="P195" s="19" t="s">
        <v>218</v>
      </c>
      <c r="Q195" s="19" t="s">
        <v>218</v>
      </c>
      <c r="R195" s="19" t="s">
        <v>218</v>
      </c>
      <c r="S195" s="19" t="s">
        <v>218</v>
      </c>
      <c r="T195" s="19" t="s">
        <v>218</v>
      </c>
      <c r="U195" s="19" t="s">
        <v>218</v>
      </c>
      <c r="V195" s="19" t="s">
        <v>218</v>
      </c>
      <c r="W195" s="19" t="s">
        <v>218</v>
      </c>
      <c r="X195" s="19" t="s">
        <v>218</v>
      </c>
      <c r="Z195"/>
      <c r="AA195"/>
      <c r="AB195"/>
      <c r="AC195"/>
      <c r="AD195"/>
    </row>
    <row r="196" spans="1:30" x14ac:dyDescent="0.35">
      <c r="A196" s="19">
        <v>202304</v>
      </c>
      <c r="B196" s="19" t="s">
        <v>919</v>
      </c>
      <c r="C196" s="19"/>
      <c r="E196" s="19" t="s">
        <v>208</v>
      </c>
      <c r="F196" s="19" t="s">
        <v>208</v>
      </c>
      <c r="G196" s="19" t="s">
        <v>81</v>
      </c>
      <c r="H196" s="19">
        <v>83</v>
      </c>
      <c r="I196" s="19" t="s">
        <v>920</v>
      </c>
      <c r="J196" s="19" t="s">
        <v>223</v>
      </c>
      <c r="K196" s="19" t="s">
        <v>224</v>
      </c>
      <c r="L196" s="19">
        <v>5929</v>
      </c>
      <c r="M196" s="19" t="s">
        <v>537</v>
      </c>
      <c r="N196" s="19">
        <v>2</v>
      </c>
      <c r="O196" s="19" t="s">
        <v>253</v>
      </c>
      <c r="P196" s="19" t="s">
        <v>218</v>
      </c>
      <c r="Q196" s="19" t="s">
        <v>218</v>
      </c>
      <c r="R196" s="19" t="s">
        <v>218</v>
      </c>
      <c r="S196" s="19" t="s">
        <v>218</v>
      </c>
      <c r="T196" s="19" t="s">
        <v>218</v>
      </c>
      <c r="U196" s="19" t="s">
        <v>218</v>
      </c>
      <c r="V196" s="19" t="s">
        <v>218</v>
      </c>
      <c r="W196" s="19" t="s">
        <v>218</v>
      </c>
      <c r="X196" s="19" t="s">
        <v>218</v>
      </c>
      <c r="Z196"/>
      <c r="AA196"/>
      <c r="AB196"/>
      <c r="AC196"/>
      <c r="AD196"/>
    </row>
    <row r="197" spans="1:30" x14ac:dyDescent="0.35">
      <c r="A197" s="19">
        <v>202304</v>
      </c>
      <c r="B197" s="19" t="s">
        <v>921</v>
      </c>
      <c r="C197" s="19"/>
      <c r="E197" s="19" t="s">
        <v>208</v>
      </c>
      <c r="F197" s="19" t="s">
        <v>208</v>
      </c>
      <c r="G197" s="19" t="s">
        <v>81</v>
      </c>
      <c r="H197" s="19">
        <v>83</v>
      </c>
      <c r="I197" s="19" t="s">
        <v>922</v>
      </c>
      <c r="J197" s="19" t="s">
        <v>223</v>
      </c>
      <c r="K197" s="19" t="s">
        <v>225</v>
      </c>
      <c r="L197" s="19">
        <v>5929</v>
      </c>
      <c r="M197" s="19" t="s">
        <v>537</v>
      </c>
      <c r="N197" s="19">
        <v>2</v>
      </c>
      <c r="O197" s="19" t="s">
        <v>253</v>
      </c>
      <c r="P197" s="19" t="s">
        <v>218</v>
      </c>
      <c r="Q197" s="19" t="s">
        <v>218</v>
      </c>
      <c r="R197" s="19" t="s">
        <v>218</v>
      </c>
      <c r="S197" s="19" t="s">
        <v>218</v>
      </c>
      <c r="T197" s="19" t="s">
        <v>218</v>
      </c>
      <c r="U197" s="19" t="s">
        <v>218</v>
      </c>
      <c r="V197" s="19" t="s">
        <v>218</v>
      </c>
      <c r="W197" s="19" t="s">
        <v>218</v>
      </c>
      <c r="X197" s="19" t="s">
        <v>218</v>
      </c>
      <c r="Z197"/>
      <c r="AA197"/>
      <c r="AB197"/>
      <c r="AC197"/>
      <c r="AD197"/>
    </row>
    <row r="198" spans="1:30" x14ac:dyDescent="0.35">
      <c r="A198" s="19">
        <v>202304</v>
      </c>
      <c r="B198" s="19" t="s">
        <v>495</v>
      </c>
      <c r="C198" s="19" t="s">
        <v>208</v>
      </c>
      <c r="E198" s="19" t="s">
        <v>208</v>
      </c>
      <c r="F198" s="19" t="s">
        <v>217</v>
      </c>
      <c r="G198" s="19" t="s">
        <v>81</v>
      </c>
      <c r="H198" s="19">
        <v>87</v>
      </c>
      <c r="I198" s="19" t="s">
        <v>496</v>
      </c>
      <c r="J198" s="19" t="s">
        <v>223</v>
      </c>
      <c r="K198" s="19" t="s">
        <v>444</v>
      </c>
      <c r="L198" s="19">
        <v>0</v>
      </c>
      <c r="M198" s="19" t="s">
        <v>491</v>
      </c>
      <c r="N198" s="19">
        <v>1</v>
      </c>
      <c r="O198" s="19" t="s">
        <v>222</v>
      </c>
      <c r="P198" s="19" t="s">
        <v>218</v>
      </c>
      <c r="Q198" s="19" t="s">
        <v>218</v>
      </c>
      <c r="R198" s="19" t="s">
        <v>218</v>
      </c>
      <c r="S198" s="19" t="s">
        <v>218</v>
      </c>
      <c r="T198" s="19" t="s">
        <v>218</v>
      </c>
      <c r="U198" s="19" t="s">
        <v>218</v>
      </c>
      <c r="V198" s="19" t="s">
        <v>218</v>
      </c>
      <c r="W198" s="19" t="s">
        <v>218</v>
      </c>
      <c r="X198" s="19" t="s">
        <v>218</v>
      </c>
      <c r="Z198"/>
      <c r="AA198"/>
      <c r="AB198"/>
      <c r="AC198"/>
      <c r="AD198"/>
    </row>
    <row r="199" spans="1:30" x14ac:dyDescent="0.35">
      <c r="A199" s="19">
        <v>202304</v>
      </c>
      <c r="B199" s="19" t="s">
        <v>497</v>
      </c>
      <c r="C199" s="19" t="s">
        <v>208</v>
      </c>
      <c r="E199" s="19" t="s">
        <v>208</v>
      </c>
      <c r="F199" s="19" t="s">
        <v>217</v>
      </c>
      <c r="G199" s="19" t="s">
        <v>81</v>
      </c>
      <c r="H199" s="19">
        <v>87</v>
      </c>
      <c r="I199" s="19" t="s">
        <v>498</v>
      </c>
      <c r="J199" s="19" t="s">
        <v>223</v>
      </c>
      <c r="K199" s="19" t="s">
        <v>261</v>
      </c>
      <c r="L199" s="19">
        <v>0</v>
      </c>
      <c r="M199" s="19" t="s">
        <v>491</v>
      </c>
      <c r="N199" s="19">
        <v>1</v>
      </c>
      <c r="O199" s="19" t="s">
        <v>222</v>
      </c>
      <c r="P199" s="19" t="s">
        <v>218</v>
      </c>
      <c r="Q199" s="19" t="s">
        <v>218</v>
      </c>
      <c r="R199" s="19" t="s">
        <v>218</v>
      </c>
      <c r="S199" s="19" t="s">
        <v>218</v>
      </c>
      <c r="T199" s="19" t="s">
        <v>218</v>
      </c>
      <c r="U199" s="19" t="s">
        <v>218</v>
      </c>
      <c r="V199" s="19" t="s">
        <v>218</v>
      </c>
      <c r="W199" s="19" t="s">
        <v>218</v>
      </c>
      <c r="X199" s="19" t="s">
        <v>218</v>
      </c>
      <c r="Z199"/>
      <c r="AA199"/>
      <c r="AB199"/>
      <c r="AC199"/>
      <c r="AD199"/>
    </row>
    <row r="200" spans="1:30" x14ac:dyDescent="0.35">
      <c r="A200" s="19">
        <v>202304</v>
      </c>
      <c r="B200" s="19" t="s">
        <v>923</v>
      </c>
      <c r="C200" s="19" t="s">
        <v>208</v>
      </c>
      <c r="E200" s="19" t="s">
        <v>208</v>
      </c>
      <c r="F200" s="19" t="s">
        <v>208</v>
      </c>
      <c r="G200" s="19" t="s">
        <v>81</v>
      </c>
      <c r="H200" s="19">
        <v>87</v>
      </c>
      <c r="I200" s="19" t="s">
        <v>924</v>
      </c>
      <c r="J200" s="19" t="s">
        <v>223</v>
      </c>
      <c r="K200" s="19" t="s">
        <v>444</v>
      </c>
      <c r="L200" s="19">
        <v>0</v>
      </c>
      <c r="M200" s="19" t="s">
        <v>491</v>
      </c>
      <c r="N200" s="19">
        <v>1</v>
      </c>
      <c r="O200" s="19" t="s">
        <v>222</v>
      </c>
      <c r="P200" s="19" t="s">
        <v>218</v>
      </c>
      <c r="Q200" s="19" t="s">
        <v>218</v>
      </c>
      <c r="R200" s="19" t="s">
        <v>218</v>
      </c>
      <c r="S200" s="19" t="s">
        <v>218</v>
      </c>
      <c r="T200" s="19" t="s">
        <v>218</v>
      </c>
      <c r="U200" s="19" t="s">
        <v>218</v>
      </c>
      <c r="V200" s="19" t="s">
        <v>218</v>
      </c>
      <c r="W200" s="19" t="s">
        <v>218</v>
      </c>
      <c r="X200" s="19" t="s">
        <v>218</v>
      </c>
      <c r="Z200"/>
      <c r="AA200"/>
      <c r="AB200"/>
      <c r="AC200"/>
      <c r="AD200"/>
    </row>
    <row r="201" spans="1:30" x14ac:dyDescent="0.35">
      <c r="A201" s="19">
        <v>202304</v>
      </c>
      <c r="B201" s="19" t="s">
        <v>925</v>
      </c>
      <c r="C201" s="19" t="s">
        <v>208</v>
      </c>
      <c r="E201" s="19" t="s">
        <v>208</v>
      </c>
      <c r="F201" s="19" t="s">
        <v>208</v>
      </c>
      <c r="G201" s="19" t="s">
        <v>81</v>
      </c>
      <c r="H201" s="19">
        <v>87</v>
      </c>
      <c r="I201" s="19" t="s">
        <v>926</v>
      </c>
      <c r="J201" s="19" t="s">
        <v>223</v>
      </c>
      <c r="K201" s="19" t="s">
        <v>261</v>
      </c>
      <c r="L201" s="19">
        <v>0</v>
      </c>
      <c r="M201" s="19" t="s">
        <v>491</v>
      </c>
      <c r="N201" s="19">
        <v>1</v>
      </c>
      <c r="O201" s="19" t="s">
        <v>222</v>
      </c>
      <c r="P201" s="19" t="s">
        <v>218</v>
      </c>
      <c r="Q201" s="19" t="s">
        <v>218</v>
      </c>
      <c r="R201" s="19" t="s">
        <v>218</v>
      </c>
      <c r="S201" s="19" t="s">
        <v>218</v>
      </c>
      <c r="T201" s="19" t="s">
        <v>218</v>
      </c>
      <c r="U201" s="19" t="s">
        <v>218</v>
      </c>
      <c r="V201" s="19" t="s">
        <v>218</v>
      </c>
      <c r="W201" s="19" t="s">
        <v>218</v>
      </c>
      <c r="X201" s="19" t="s">
        <v>218</v>
      </c>
      <c r="Z201"/>
      <c r="AA201"/>
      <c r="AB201"/>
      <c r="AC201"/>
      <c r="AD201"/>
    </row>
    <row r="202" spans="1:30" x14ac:dyDescent="0.35">
      <c r="A202" s="19">
        <v>202304</v>
      </c>
      <c r="B202" s="19" t="s">
        <v>927</v>
      </c>
      <c r="C202" s="19" t="s">
        <v>208</v>
      </c>
      <c r="E202" s="19" t="s">
        <v>208</v>
      </c>
      <c r="G202" s="19" t="s">
        <v>81</v>
      </c>
      <c r="H202" s="19">
        <v>87</v>
      </c>
      <c r="I202" s="19" t="s">
        <v>928</v>
      </c>
      <c r="J202" s="19" t="s">
        <v>223</v>
      </c>
      <c r="K202" s="19" t="s">
        <v>444</v>
      </c>
      <c r="L202" s="19">
        <v>0</v>
      </c>
      <c r="M202" s="19" t="s">
        <v>492</v>
      </c>
      <c r="N202" s="19">
        <v>1</v>
      </c>
      <c r="O202" s="19" t="s">
        <v>222</v>
      </c>
      <c r="P202" s="19" t="s">
        <v>218</v>
      </c>
      <c r="Q202" s="19" t="s">
        <v>218</v>
      </c>
      <c r="R202" s="19" t="s">
        <v>218</v>
      </c>
      <c r="S202" s="19" t="s">
        <v>218</v>
      </c>
      <c r="T202" s="19" t="s">
        <v>218</v>
      </c>
      <c r="U202" s="19" t="s">
        <v>218</v>
      </c>
      <c r="V202" s="19" t="s">
        <v>218</v>
      </c>
      <c r="W202" s="19" t="s">
        <v>218</v>
      </c>
      <c r="X202" s="19" t="s">
        <v>218</v>
      </c>
      <c r="Z202"/>
      <c r="AA202"/>
      <c r="AB202"/>
      <c r="AC202"/>
      <c r="AD202"/>
    </row>
    <row r="203" spans="1:30" x14ac:dyDescent="0.35">
      <c r="A203" s="19">
        <v>202304</v>
      </c>
      <c r="B203" s="19" t="s">
        <v>929</v>
      </c>
      <c r="C203" s="19" t="s">
        <v>208</v>
      </c>
      <c r="E203" s="19" t="s">
        <v>208</v>
      </c>
      <c r="G203" s="19" t="s">
        <v>81</v>
      </c>
      <c r="H203" s="19">
        <v>87</v>
      </c>
      <c r="I203" s="19" t="s">
        <v>930</v>
      </c>
      <c r="J203" s="19" t="s">
        <v>223</v>
      </c>
      <c r="K203" s="19" t="s">
        <v>261</v>
      </c>
      <c r="L203" s="19">
        <v>0</v>
      </c>
      <c r="M203" s="19" t="s">
        <v>492</v>
      </c>
      <c r="N203" s="19">
        <v>1</v>
      </c>
      <c r="O203" s="19" t="s">
        <v>222</v>
      </c>
      <c r="P203" s="19" t="s">
        <v>218</v>
      </c>
      <c r="Q203" s="19" t="s">
        <v>218</v>
      </c>
      <c r="R203" s="19" t="s">
        <v>218</v>
      </c>
      <c r="S203" s="19" t="s">
        <v>218</v>
      </c>
      <c r="T203" s="19" t="s">
        <v>218</v>
      </c>
      <c r="U203" s="19" t="s">
        <v>218</v>
      </c>
      <c r="V203" s="19" t="s">
        <v>218</v>
      </c>
      <c r="W203" s="19" t="s">
        <v>218</v>
      </c>
      <c r="X203" s="19" t="s">
        <v>218</v>
      </c>
      <c r="Z203"/>
      <c r="AA203"/>
      <c r="AB203"/>
      <c r="AC203"/>
      <c r="AD203"/>
    </row>
    <row r="204" spans="1:30" x14ac:dyDescent="0.35">
      <c r="A204" s="19">
        <v>202304</v>
      </c>
      <c r="B204" s="19" t="s">
        <v>931</v>
      </c>
      <c r="C204" s="19" t="s">
        <v>208</v>
      </c>
      <c r="E204" s="19" t="s">
        <v>208</v>
      </c>
      <c r="F204" s="19" t="s">
        <v>208</v>
      </c>
      <c r="G204" s="19" t="s">
        <v>59</v>
      </c>
      <c r="H204" s="19">
        <v>87</v>
      </c>
      <c r="I204" s="19" t="s">
        <v>932</v>
      </c>
      <c r="J204" s="19" t="s">
        <v>223</v>
      </c>
      <c r="K204" s="19" t="s">
        <v>444</v>
      </c>
      <c r="L204" s="19">
        <v>0</v>
      </c>
      <c r="M204" s="19" t="s">
        <v>491</v>
      </c>
      <c r="N204" s="19">
        <v>1</v>
      </c>
      <c r="O204" s="19" t="s">
        <v>222</v>
      </c>
      <c r="P204" s="19" t="s">
        <v>218</v>
      </c>
      <c r="Q204" s="19" t="s">
        <v>218</v>
      </c>
      <c r="R204" s="19" t="s">
        <v>218</v>
      </c>
      <c r="S204" s="19" t="s">
        <v>218</v>
      </c>
      <c r="T204" s="19" t="s">
        <v>218</v>
      </c>
      <c r="U204" s="19" t="s">
        <v>218</v>
      </c>
      <c r="V204" s="19" t="s">
        <v>218</v>
      </c>
      <c r="W204" s="19" t="s">
        <v>218</v>
      </c>
      <c r="X204" s="19" t="s">
        <v>218</v>
      </c>
      <c r="Z204"/>
      <c r="AA204"/>
      <c r="AB204"/>
      <c r="AC204"/>
      <c r="AD204"/>
    </row>
    <row r="205" spans="1:30" x14ac:dyDescent="0.35">
      <c r="A205" s="19">
        <v>202304</v>
      </c>
      <c r="B205" s="19" t="s">
        <v>933</v>
      </c>
      <c r="C205" s="19" t="s">
        <v>208</v>
      </c>
      <c r="E205" s="19" t="s">
        <v>208</v>
      </c>
      <c r="F205" s="19" t="s">
        <v>208</v>
      </c>
      <c r="G205" s="19" t="s">
        <v>59</v>
      </c>
      <c r="H205" s="19">
        <v>87</v>
      </c>
      <c r="I205" s="19" t="s">
        <v>934</v>
      </c>
      <c r="J205" s="19" t="s">
        <v>223</v>
      </c>
      <c r="K205" s="19" t="s">
        <v>261</v>
      </c>
      <c r="L205" s="19">
        <v>0</v>
      </c>
      <c r="M205" s="19" t="s">
        <v>491</v>
      </c>
      <c r="N205" s="19">
        <v>1</v>
      </c>
      <c r="O205" s="19" t="s">
        <v>222</v>
      </c>
      <c r="P205" s="19" t="s">
        <v>218</v>
      </c>
      <c r="Q205" s="19" t="s">
        <v>218</v>
      </c>
      <c r="R205" s="19" t="s">
        <v>218</v>
      </c>
      <c r="S205" s="19" t="s">
        <v>218</v>
      </c>
      <c r="T205" s="19" t="s">
        <v>218</v>
      </c>
      <c r="U205" s="19" t="s">
        <v>218</v>
      </c>
      <c r="V205" s="19" t="s">
        <v>218</v>
      </c>
      <c r="W205" s="19" t="s">
        <v>218</v>
      </c>
      <c r="X205" s="19" t="s">
        <v>218</v>
      </c>
      <c r="Z205"/>
      <c r="AA205"/>
      <c r="AB205"/>
      <c r="AC205"/>
      <c r="AD205"/>
    </row>
    <row r="206" spans="1:30" x14ac:dyDescent="0.35">
      <c r="A206" s="19">
        <v>202304</v>
      </c>
      <c r="B206" s="19" t="s">
        <v>935</v>
      </c>
      <c r="C206" s="19" t="s">
        <v>208</v>
      </c>
      <c r="E206" s="19" t="s">
        <v>208</v>
      </c>
      <c r="F206" s="19" t="s">
        <v>208</v>
      </c>
      <c r="G206" s="19" t="s">
        <v>59</v>
      </c>
      <c r="H206" s="19">
        <v>87</v>
      </c>
      <c r="I206" s="19" t="s">
        <v>936</v>
      </c>
      <c r="J206" s="19" t="s">
        <v>223</v>
      </c>
      <c r="K206" s="19" t="s">
        <v>444</v>
      </c>
      <c r="L206" s="19">
        <v>0</v>
      </c>
      <c r="M206" s="19" t="s">
        <v>491</v>
      </c>
      <c r="N206" s="19">
        <v>1</v>
      </c>
      <c r="O206" s="19" t="s">
        <v>222</v>
      </c>
      <c r="P206" s="19" t="s">
        <v>218</v>
      </c>
      <c r="Q206" s="19" t="s">
        <v>218</v>
      </c>
      <c r="R206" s="19" t="s">
        <v>218</v>
      </c>
      <c r="S206" s="19" t="s">
        <v>218</v>
      </c>
      <c r="T206" s="19" t="s">
        <v>218</v>
      </c>
      <c r="U206" s="19" t="s">
        <v>218</v>
      </c>
      <c r="V206" s="19" t="s">
        <v>218</v>
      </c>
      <c r="W206" s="19" t="s">
        <v>218</v>
      </c>
      <c r="X206" s="19" t="s">
        <v>218</v>
      </c>
      <c r="Z206"/>
      <c r="AA206"/>
      <c r="AB206"/>
      <c r="AC206"/>
      <c r="AD206"/>
    </row>
    <row r="207" spans="1:30" x14ac:dyDescent="0.35">
      <c r="A207" s="19">
        <v>202304</v>
      </c>
      <c r="B207" s="19" t="s">
        <v>937</v>
      </c>
      <c r="C207" s="19" t="s">
        <v>208</v>
      </c>
      <c r="E207" s="19" t="s">
        <v>208</v>
      </c>
      <c r="F207" s="19" t="s">
        <v>208</v>
      </c>
      <c r="G207" s="19" t="s">
        <v>59</v>
      </c>
      <c r="H207" s="19">
        <v>87</v>
      </c>
      <c r="I207" s="19" t="s">
        <v>938</v>
      </c>
      <c r="J207" s="19" t="s">
        <v>223</v>
      </c>
      <c r="K207" s="19" t="s">
        <v>261</v>
      </c>
      <c r="L207" s="19">
        <v>0</v>
      </c>
      <c r="M207" s="19" t="s">
        <v>491</v>
      </c>
      <c r="N207" s="19">
        <v>1</v>
      </c>
      <c r="O207" s="19" t="s">
        <v>222</v>
      </c>
      <c r="P207" s="19" t="s">
        <v>218</v>
      </c>
      <c r="Q207" s="19" t="s">
        <v>218</v>
      </c>
      <c r="R207" s="19" t="s">
        <v>218</v>
      </c>
      <c r="S207" s="19" t="s">
        <v>218</v>
      </c>
      <c r="T207" s="19" t="s">
        <v>218</v>
      </c>
      <c r="U207" s="19" t="s">
        <v>218</v>
      </c>
      <c r="V207" s="19" t="s">
        <v>218</v>
      </c>
      <c r="W207" s="19" t="s">
        <v>218</v>
      </c>
      <c r="X207" s="19" t="s">
        <v>218</v>
      </c>
      <c r="Z207"/>
      <c r="AA207"/>
      <c r="AB207"/>
      <c r="AC207"/>
      <c r="AD207"/>
    </row>
    <row r="208" spans="1:30" x14ac:dyDescent="0.35">
      <c r="A208" s="19">
        <v>202304</v>
      </c>
      <c r="B208" s="19" t="s">
        <v>939</v>
      </c>
      <c r="C208" s="19"/>
      <c r="F208" s="19" t="s">
        <v>208</v>
      </c>
      <c r="G208" s="19" t="s">
        <v>81</v>
      </c>
      <c r="H208" s="19">
        <v>201</v>
      </c>
      <c r="I208" s="19" t="s">
        <v>940</v>
      </c>
      <c r="J208" s="19" t="s">
        <v>223</v>
      </c>
      <c r="K208" s="19" t="s">
        <v>224</v>
      </c>
      <c r="L208" s="19">
        <v>0</v>
      </c>
      <c r="M208" s="19" t="s">
        <v>226</v>
      </c>
      <c r="N208" s="19">
        <v>4</v>
      </c>
      <c r="O208" s="19" t="s">
        <v>222</v>
      </c>
      <c r="P208" s="19" t="s">
        <v>218</v>
      </c>
      <c r="Q208" s="19" t="s">
        <v>218</v>
      </c>
      <c r="R208" s="19" t="s">
        <v>218</v>
      </c>
      <c r="S208" s="19" t="s">
        <v>218</v>
      </c>
      <c r="T208" s="19" t="s">
        <v>218</v>
      </c>
      <c r="U208" s="19" t="s">
        <v>218</v>
      </c>
      <c r="V208" s="19" t="s">
        <v>218</v>
      </c>
      <c r="W208" s="19" t="s">
        <v>218</v>
      </c>
      <c r="X208" s="19" t="s">
        <v>218</v>
      </c>
      <c r="Z208"/>
      <c r="AA208"/>
      <c r="AB208"/>
      <c r="AC208"/>
      <c r="AD208"/>
    </row>
    <row r="209" spans="1:30" x14ac:dyDescent="0.35">
      <c r="A209" s="19">
        <v>202304</v>
      </c>
      <c r="B209" s="19" t="s">
        <v>941</v>
      </c>
      <c r="C209" s="19"/>
      <c r="E209" s="19" t="s">
        <v>208</v>
      </c>
      <c r="F209" s="19" t="s">
        <v>208</v>
      </c>
      <c r="G209" s="19" t="s">
        <v>81</v>
      </c>
      <c r="H209" s="19">
        <v>83</v>
      </c>
      <c r="I209" s="19" t="s">
        <v>942</v>
      </c>
      <c r="J209" s="19" t="s">
        <v>223</v>
      </c>
      <c r="K209" s="19" t="s">
        <v>224</v>
      </c>
      <c r="L209" s="19">
        <v>5916</v>
      </c>
      <c r="M209" s="19" t="s">
        <v>1432</v>
      </c>
      <c r="N209" s="19">
        <v>2</v>
      </c>
      <c r="O209" s="19" t="s">
        <v>253</v>
      </c>
      <c r="P209" s="19" t="s">
        <v>218</v>
      </c>
      <c r="Q209" s="19" t="s">
        <v>218</v>
      </c>
      <c r="R209" s="19" t="s">
        <v>218</v>
      </c>
      <c r="S209" s="19" t="s">
        <v>218</v>
      </c>
      <c r="T209" s="19" t="s">
        <v>218</v>
      </c>
      <c r="U209" s="19" t="s">
        <v>218</v>
      </c>
      <c r="V209" s="19" t="s">
        <v>218</v>
      </c>
      <c r="W209" s="19" t="s">
        <v>218</v>
      </c>
      <c r="X209" s="19" t="s">
        <v>218</v>
      </c>
      <c r="Z209"/>
      <c r="AA209"/>
      <c r="AB209"/>
      <c r="AC209"/>
      <c r="AD209"/>
    </row>
    <row r="210" spans="1:30" x14ac:dyDescent="0.35">
      <c r="A210" s="19">
        <v>202304</v>
      </c>
      <c r="B210" s="19" t="s">
        <v>943</v>
      </c>
      <c r="C210" s="19"/>
      <c r="E210" s="19" t="s">
        <v>208</v>
      </c>
      <c r="G210" s="19" t="s">
        <v>450</v>
      </c>
      <c r="H210" s="19">
        <v>83</v>
      </c>
      <c r="I210" s="19" t="s">
        <v>944</v>
      </c>
      <c r="J210" s="19" t="s">
        <v>223</v>
      </c>
      <c r="K210" s="19" t="s">
        <v>108</v>
      </c>
      <c r="L210" s="19">
        <v>10717</v>
      </c>
      <c r="M210" s="19" t="s">
        <v>1433</v>
      </c>
      <c r="N210" s="19">
        <v>2</v>
      </c>
      <c r="O210" s="19" t="s">
        <v>253</v>
      </c>
      <c r="P210" s="19" t="s">
        <v>218</v>
      </c>
      <c r="Q210" s="19" t="s">
        <v>218</v>
      </c>
      <c r="R210" s="19" t="s">
        <v>218</v>
      </c>
      <c r="S210" s="19" t="s">
        <v>218</v>
      </c>
      <c r="T210" s="19" t="s">
        <v>218</v>
      </c>
      <c r="U210" s="19" t="s">
        <v>218</v>
      </c>
      <c r="V210" s="19" t="s">
        <v>218</v>
      </c>
      <c r="W210" s="19" t="s">
        <v>218</v>
      </c>
      <c r="X210" s="19" t="s">
        <v>218</v>
      </c>
      <c r="Z210"/>
      <c r="AA210"/>
      <c r="AB210"/>
      <c r="AC210"/>
      <c r="AD210"/>
    </row>
    <row r="211" spans="1:30" x14ac:dyDescent="0.35">
      <c r="A211" s="19">
        <v>202304</v>
      </c>
      <c r="B211" s="19" t="s">
        <v>945</v>
      </c>
      <c r="C211" s="19"/>
      <c r="E211" s="19" t="s">
        <v>208</v>
      </c>
      <c r="G211" s="19" t="s">
        <v>59</v>
      </c>
      <c r="H211" s="19">
        <v>83</v>
      </c>
      <c r="I211" s="19" t="s">
        <v>946</v>
      </c>
      <c r="J211" s="19" t="s">
        <v>223</v>
      </c>
      <c r="K211" s="19" t="s">
        <v>108</v>
      </c>
      <c r="L211" s="19">
        <v>5916</v>
      </c>
      <c r="M211" s="19" t="s">
        <v>1432</v>
      </c>
      <c r="N211" s="19">
        <v>2</v>
      </c>
      <c r="O211" s="19" t="s">
        <v>253</v>
      </c>
      <c r="P211" s="19" t="s">
        <v>218</v>
      </c>
      <c r="Q211" s="19" t="s">
        <v>218</v>
      </c>
      <c r="R211" s="19" t="s">
        <v>218</v>
      </c>
      <c r="S211" s="19" t="s">
        <v>218</v>
      </c>
      <c r="T211" s="19" t="s">
        <v>218</v>
      </c>
      <c r="U211" s="19" t="s">
        <v>218</v>
      </c>
      <c r="V211" s="19" t="s">
        <v>218</v>
      </c>
      <c r="W211" s="19" t="s">
        <v>218</v>
      </c>
      <c r="X211" s="19" t="s">
        <v>218</v>
      </c>
      <c r="Z211"/>
      <c r="AA211"/>
      <c r="AB211"/>
      <c r="AC211"/>
      <c r="AD211"/>
    </row>
    <row r="212" spans="1:30" x14ac:dyDescent="0.35">
      <c r="A212" s="19">
        <v>202304</v>
      </c>
      <c r="B212" s="19" t="s">
        <v>947</v>
      </c>
      <c r="C212" s="19"/>
      <c r="F212" s="19" t="s">
        <v>208</v>
      </c>
      <c r="G212" s="19" t="s">
        <v>450</v>
      </c>
      <c r="H212" s="19">
        <v>201</v>
      </c>
      <c r="I212" s="19" t="s">
        <v>948</v>
      </c>
      <c r="J212" s="19" t="s">
        <v>223</v>
      </c>
      <c r="K212" s="19" t="s">
        <v>292</v>
      </c>
      <c r="L212" s="19">
        <v>0</v>
      </c>
      <c r="M212" s="19" t="s">
        <v>226</v>
      </c>
      <c r="N212" s="19">
        <v>4</v>
      </c>
      <c r="O212" s="19" t="s">
        <v>222</v>
      </c>
      <c r="P212" s="19" t="s">
        <v>218</v>
      </c>
      <c r="Q212" s="19" t="s">
        <v>218</v>
      </c>
      <c r="R212" s="19" t="s">
        <v>218</v>
      </c>
      <c r="S212" s="19" t="s">
        <v>218</v>
      </c>
      <c r="T212" s="19" t="s">
        <v>218</v>
      </c>
      <c r="U212" s="19" t="s">
        <v>218</v>
      </c>
      <c r="V212" s="19" t="s">
        <v>218</v>
      </c>
      <c r="W212" s="19" t="s">
        <v>218</v>
      </c>
      <c r="X212" s="19" t="s">
        <v>218</v>
      </c>
      <c r="Z212"/>
      <c r="AA212"/>
      <c r="AB212"/>
      <c r="AC212"/>
      <c r="AD212"/>
    </row>
    <row r="213" spans="1:30" x14ac:dyDescent="0.35">
      <c r="A213" s="19">
        <v>202304</v>
      </c>
      <c r="B213" s="19" t="s">
        <v>949</v>
      </c>
      <c r="C213" s="19"/>
      <c r="F213" s="19" t="s">
        <v>208</v>
      </c>
      <c r="G213" s="19" t="s">
        <v>81</v>
      </c>
      <c r="H213" s="19">
        <v>201</v>
      </c>
      <c r="I213" s="19" t="s">
        <v>950</v>
      </c>
      <c r="J213" s="19" t="s">
        <v>223</v>
      </c>
      <c r="K213" s="19" t="s">
        <v>951</v>
      </c>
      <c r="L213" s="19">
        <v>0</v>
      </c>
      <c r="M213" s="19" t="s">
        <v>226</v>
      </c>
      <c r="N213" s="19">
        <v>4</v>
      </c>
      <c r="O213" s="19" t="s">
        <v>222</v>
      </c>
      <c r="P213" s="19" t="s">
        <v>218</v>
      </c>
      <c r="Q213" s="19" t="s">
        <v>218</v>
      </c>
      <c r="R213" s="19" t="s">
        <v>218</v>
      </c>
      <c r="S213" s="19" t="s">
        <v>218</v>
      </c>
      <c r="T213" s="19" t="s">
        <v>218</v>
      </c>
      <c r="U213" s="19" t="s">
        <v>218</v>
      </c>
      <c r="V213" s="19" t="s">
        <v>218</v>
      </c>
      <c r="W213" s="19" t="s">
        <v>218</v>
      </c>
      <c r="X213" s="19" t="s">
        <v>218</v>
      </c>
      <c r="Z213"/>
      <c r="AA213"/>
      <c r="AB213"/>
      <c r="AC213"/>
      <c r="AD213"/>
    </row>
    <row r="214" spans="1:30" x14ac:dyDescent="0.35">
      <c r="A214" s="19">
        <v>202304</v>
      </c>
      <c r="B214" s="19" t="s">
        <v>952</v>
      </c>
      <c r="C214" s="19"/>
      <c r="F214" s="19" t="s">
        <v>208</v>
      </c>
      <c r="G214" s="19" t="s">
        <v>81</v>
      </c>
      <c r="H214" s="19">
        <v>201</v>
      </c>
      <c r="I214" s="19" t="s">
        <v>953</v>
      </c>
      <c r="J214" s="19" t="s">
        <v>223</v>
      </c>
      <c r="K214" s="19" t="s">
        <v>224</v>
      </c>
      <c r="L214" s="19">
        <v>0</v>
      </c>
      <c r="M214" s="19" t="s">
        <v>226</v>
      </c>
      <c r="N214" s="19">
        <v>4</v>
      </c>
      <c r="O214" s="19" t="s">
        <v>222</v>
      </c>
      <c r="P214" s="19" t="s">
        <v>218</v>
      </c>
      <c r="Q214" s="19" t="s">
        <v>218</v>
      </c>
      <c r="R214" s="19" t="s">
        <v>218</v>
      </c>
      <c r="S214" s="19" t="s">
        <v>218</v>
      </c>
      <c r="T214" s="19" t="s">
        <v>218</v>
      </c>
      <c r="U214" s="19" t="s">
        <v>218</v>
      </c>
      <c r="V214" s="19" t="s">
        <v>218</v>
      </c>
      <c r="W214" s="19" t="s">
        <v>218</v>
      </c>
      <c r="X214" s="19" t="s">
        <v>218</v>
      </c>
      <c r="Z214"/>
      <c r="AA214"/>
      <c r="AB214"/>
      <c r="AC214"/>
      <c r="AD214"/>
    </row>
    <row r="215" spans="1:30" x14ac:dyDescent="0.35">
      <c r="A215" s="19">
        <v>202304</v>
      </c>
      <c r="B215" s="19" t="s">
        <v>954</v>
      </c>
      <c r="C215" s="19"/>
      <c r="F215" s="19" t="s">
        <v>208</v>
      </c>
      <c r="G215" s="19" t="s">
        <v>81</v>
      </c>
      <c r="H215" s="19">
        <v>201</v>
      </c>
      <c r="I215" s="19" t="s">
        <v>955</v>
      </c>
      <c r="J215" s="19" t="s">
        <v>223</v>
      </c>
      <c r="K215" s="19" t="s">
        <v>292</v>
      </c>
      <c r="L215" s="19">
        <v>0</v>
      </c>
      <c r="M215" s="19" t="s">
        <v>226</v>
      </c>
      <c r="N215" s="19">
        <v>4</v>
      </c>
      <c r="O215" s="19" t="s">
        <v>222</v>
      </c>
      <c r="P215" s="19" t="s">
        <v>218</v>
      </c>
      <c r="Q215" s="19" t="s">
        <v>218</v>
      </c>
      <c r="R215" s="19" t="s">
        <v>218</v>
      </c>
      <c r="S215" s="19" t="s">
        <v>218</v>
      </c>
      <c r="T215" s="19" t="s">
        <v>218</v>
      </c>
      <c r="U215" s="19" t="s">
        <v>218</v>
      </c>
      <c r="V215" s="19" t="s">
        <v>218</v>
      </c>
      <c r="W215" s="19" t="s">
        <v>218</v>
      </c>
      <c r="X215" s="19" t="s">
        <v>218</v>
      </c>
      <c r="Z215"/>
      <c r="AA215"/>
      <c r="AB215"/>
      <c r="AC215"/>
      <c r="AD215"/>
    </row>
    <row r="216" spans="1:30" x14ac:dyDescent="0.35">
      <c r="A216" s="19">
        <v>202304</v>
      </c>
      <c r="B216" s="19" t="s">
        <v>956</v>
      </c>
      <c r="C216" s="19"/>
      <c r="E216" s="19" t="s">
        <v>208</v>
      </c>
      <c r="F216" s="19" t="s">
        <v>208</v>
      </c>
      <c r="G216" s="19" t="s">
        <v>81</v>
      </c>
      <c r="H216" s="19">
        <v>83</v>
      </c>
      <c r="I216" s="19" t="s">
        <v>957</v>
      </c>
      <c r="J216" s="19" t="s">
        <v>223</v>
      </c>
      <c r="K216" s="19" t="s">
        <v>108</v>
      </c>
      <c r="L216" s="19">
        <v>5994</v>
      </c>
      <c r="M216" s="19" t="s">
        <v>1434</v>
      </c>
      <c r="N216" s="19">
        <v>2</v>
      </c>
      <c r="O216" s="19" t="s">
        <v>253</v>
      </c>
      <c r="P216" s="19" t="s">
        <v>218</v>
      </c>
      <c r="Q216" s="19" t="s">
        <v>218</v>
      </c>
      <c r="R216" s="19" t="s">
        <v>218</v>
      </c>
      <c r="S216" s="19" t="s">
        <v>218</v>
      </c>
      <c r="T216" s="19" t="s">
        <v>218</v>
      </c>
      <c r="U216" s="19" t="s">
        <v>218</v>
      </c>
      <c r="V216" s="19" t="s">
        <v>218</v>
      </c>
      <c r="W216" s="19" t="s">
        <v>218</v>
      </c>
      <c r="X216" s="19" t="s">
        <v>218</v>
      </c>
      <c r="Z216"/>
      <c r="AA216"/>
      <c r="AB216"/>
      <c r="AC216"/>
      <c r="AD216"/>
    </row>
    <row r="217" spans="1:30" x14ac:dyDescent="0.35">
      <c r="A217" s="19">
        <v>202304</v>
      </c>
      <c r="B217" s="19" t="s">
        <v>958</v>
      </c>
      <c r="C217" s="19"/>
      <c r="F217" s="19" t="s">
        <v>208</v>
      </c>
      <c r="G217" s="19" t="s">
        <v>59</v>
      </c>
      <c r="H217" s="19">
        <v>201</v>
      </c>
      <c r="I217" s="19" t="s">
        <v>959</v>
      </c>
      <c r="J217" s="19" t="s">
        <v>223</v>
      </c>
      <c r="K217" s="19" t="s">
        <v>292</v>
      </c>
      <c r="L217" s="19">
        <v>0</v>
      </c>
      <c r="M217" s="19" t="s">
        <v>226</v>
      </c>
      <c r="N217" s="19">
        <v>4</v>
      </c>
      <c r="O217" s="19" t="s">
        <v>222</v>
      </c>
      <c r="P217" s="19" t="s">
        <v>218</v>
      </c>
      <c r="Q217" s="19" t="s">
        <v>218</v>
      </c>
      <c r="R217" s="19" t="s">
        <v>218</v>
      </c>
      <c r="S217" s="19" t="s">
        <v>218</v>
      </c>
      <c r="T217" s="19" t="s">
        <v>218</v>
      </c>
      <c r="U217" s="19" t="s">
        <v>218</v>
      </c>
      <c r="V217" s="19" t="s">
        <v>218</v>
      </c>
      <c r="W217" s="19" t="s">
        <v>218</v>
      </c>
      <c r="X217" s="19" t="s">
        <v>218</v>
      </c>
      <c r="Z217"/>
      <c r="AA217"/>
      <c r="AB217"/>
      <c r="AC217"/>
      <c r="AD217"/>
    </row>
    <row r="218" spans="1:30" x14ac:dyDescent="0.35">
      <c r="A218" s="19">
        <v>202304</v>
      </c>
      <c r="B218" s="19" t="s">
        <v>960</v>
      </c>
      <c r="C218" s="19"/>
      <c r="F218" s="19" t="s">
        <v>208</v>
      </c>
      <c r="G218" s="19" t="s">
        <v>450</v>
      </c>
      <c r="H218" s="19">
        <v>201</v>
      </c>
      <c r="I218" s="19" t="s">
        <v>961</v>
      </c>
      <c r="J218" s="19" t="s">
        <v>223</v>
      </c>
      <c r="K218" s="19" t="s">
        <v>292</v>
      </c>
      <c r="L218" s="19">
        <v>0</v>
      </c>
      <c r="M218" s="19" t="s">
        <v>226</v>
      </c>
      <c r="N218" s="19">
        <v>4</v>
      </c>
      <c r="O218" s="19" t="s">
        <v>222</v>
      </c>
      <c r="P218" s="19" t="s">
        <v>218</v>
      </c>
      <c r="Q218" s="19" t="s">
        <v>218</v>
      </c>
      <c r="R218" s="19" t="s">
        <v>218</v>
      </c>
      <c r="S218" s="19" t="s">
        <v>218</v>
      </c>
      <c r="T218" s="19" t="s">
        <v>218</v>
      </c>
      <c r="U218" s="19" t="s">
        <v>218</v>
      </c>
      <c r="V218" s="19" t="s">
        <v>218</v>
      </c>
      <c r="W218" s="19" t="s">
        <v>218</v>
      </c>
      <c r="X218" s="19" t="s">
        <v>218</v>
      </c>
      <c r="Z218"/>
      <c r="AA218"/>
      <c r="AB218"/>
      <c r="AC218"/>
      <c r="AD218"/>
    </row>
    <row r="219" spans="1:30" x14ac:dyDescent="0.35">
      <c r="A219" s="19">
        <v>202304</v>
      </c>
      <c r="B219" s="19" t="s">
        <v>962</v>
      </c>
      <c r="C219" s="19"/>
      <c r="F219" s="19" t="s">
        <v>208</v>
      </c>
      <c r="G219" s="19" t="s">
        <v>81</v>
      </c>
      <c r="H219" s="19">
        <v>201</v>
      </c>
      <c r="I219" s="19" t="s">
        <v>963</v>
      </c>
      <c r="J219" s="19" t="s">
        <v>223</v>
      </c>
      <c r="K219" s="19" t="s">
        <v>292</v>
      </c>
      <c r="L219" s="19">
        <v>0</v>
      </c>
      <c r="M219" s="19" t="s">
        <v>226</v>
      </c>
      <c r="N219" s="19">
        <v>4</v>
      </c>
      <c r="O219" s="19" t="s">
        <v>222</v>
      </c>
      <c r="P219" s="19" t="s">
        <v>218</v>
      </c>
      <c r="Q219" s="19" t="s">
        <v>218</v>
      </c>
      <c r="R219" s="19" t="s">
        <v>218</v>
      </c>
      <c r="S219" s="19" t="s">
        <v>218</v>
      </c>
      <c r="T219" s="19" t="s">
        <v>218</v>
      </c>
      <c r="U219" s="19" t="s">
        <v>218</v>
      </c>
      <c r="V219" s="19" t="s">
        <v>218</v>
      </c>
      <c r="W219" s="19" t="s">
        <v>218</v>
      </c>
      <c r="X219" s="19" t="s">
        <v>218</v>
      </c>
      <c r="Z219"/>
      <c r="AA219"/>
      <c r="AB219"/>
      <c r="AC219"/>
      <c r="AD219"/>
    </row>
    <row r="220" spans="1:30" x14ac:dyDescent="0.35">
      <c r="A220" s="19">
        <v>202304</v>
      </c>
      <c r="B220" s="19" t="s">
        <v>964</v>
      </c>
      <c r="C220" s="19"/>
      <c r="F220" s="19" t="s">
        <v>208</v>
      </c>
      <c r="G220" s="19" t="s">
        <v>81</v>
      </c>
      <c r="H220" s="19">
        <v>201</v>
      </c>
      <c r="I220" s="19" t="s">
        <v>965</v>
      </c>
      <c r="J220" s="19" t="s">
        <v>223</v>
      </c>
      <c r="K220" s="19" t="s">
        <v>292</v>
      </c>
      <c r="L220" s="19">
        <v>0</v>
      </c>
      <c r="M220" s="19" t="s">
        <v>226</v>
      </c>
      <c r="N220" s="19">
        <v>4</v>
      </c>
      <c r="O220" s="19" t="s">
        <v>222</v>
      </c>
      <c r="P220" s="19" t="s">
        <v>218</v>
      </c>
      <c r="Q220" s="19" t="s">
        <v>218</v>
      </c>
      <c r="R220" s="19" t="s">
        <v>218</v>
      </c>
      <c r="S220" s="19" t="s">
        <v>218</v>
      </c>
      <c r="T220" s="19" t="s">
        <v>218</v>
      </c>
      <c r="U220" s="19" t="s">
        <v>218</v>
      </c>
      <c r="V220" s="19" t="s">
        <v>218</v>
      </c>
      <c r="W220" s="19" t="s">
        <v>218</v>
      </c>
      <c r="X220" s="19" t="s">
        <v>218</v>
      </c>
      <c r="Z220"/>
      <c r="AA220"/>
      <c r="AB220"/>
      <c r="AC220"/>
      <c r="AD220"/>
    </row>
    <row r="221" spans="1:30" x14ac:dyDescent="0.35">
      <c r="A221" s="19">
        <v>202304</v>
      </c>
      <c r="B221" s="19" t="s">
        <v>966</v>
      </c>
      <c r="C221" s="19"/>
      <c r="E221" s="19" t="s">
        <v>208</v>
      </c>
      <c r="F221" s="19" t="s">
        <v>208</v>
      </c>
      <c r="G221" s="19" t="s">
        <v>450</v>
      </c>
      <c r="H221" s="19">
        <v>83</v>
      </c>
      <c r="I221" s="19" t="s">
        <v>967</v>
      </c>
      <c r="J221" s="19" t="s">
        <v>223</v>
      </c>
      <c r="K221" s="19" t="s">
        <v>108</v>
      </c>
      <c r="L221" s="19">
        <v>4128</v>
      </c>
      <c r="M221" s="19" t="s">
        <v>256</v>
      </c>
      <c r="N221" s="19">
        <v>2</v>
      </c>
      <c r="O221" s="19" t="s">
        <v>253</v>
      </c>
      <c r="P221" s="19" t="s">
        <v>218</v>
      </c>
      <c r="Q221" s="19" t="s">
        <v>218</v>
      </c>
      <c r="R221" s="19" t="s">
        <v>218</v>
      </c>
      <c r="S221" s="19" t="s">
        <v>218</v>
      </c>
      <c r="T221" s="19" t="s">
        <v>218</v>
      </c>
      <c r="U221" s="19" t="s">
        <v>218</v>
      </c>
      <c r="V221" s="19" t="s">
        <v>218</v>
      </c>
      <c r="W221" s="19" t="s">
        <v>218</v>
      </c>
      <c r="X221" s="19" t="s">
        <v>218</v>
      </c>
      <c r="Z221"/>
      <c r="AA221"/>
      <c r="AB221"/>
      <c r="AC221"/>
      <c r="AD221"/>
    </row>
    <row r="222" spans="1:30" x14ac:dyDescent="0.35">
      <c r="A222" s="19">
        <v>202304</v>
      </c>
      <c r="B222" s="19" t="s">
        <v>968</v>
      </c>
      <c r="C222" s="19"/>
      <c r="E222" s="19" t="s">
        <v>208</v>
      </c>
      <c r="F222" s="19" t="s">
        <v>208</v>
      </c>
      <c r="G222" s="19" t="s">
        <v>450</v>
      </c>
      <c r="H222" s="19">
        <v>83</v>
      </c>
      <c r="I222" s="19" t="s">
        <v>969</v>
      </c>
      <c r="J222" s="19" t="s">
        <v>223</v>
      </c>
      <c r="K222" s="19" t="s">
        <v>108</v>
      </c>
      <c r="L222" s="19">
        <v>4128</v>
      </c>
      <c r="M222" s="19" t="s">
        <v>256</v>
      </c>
      <c r="N222" s="19">
        <v>2</v>
      </c>
      <c r="O222" s="19" t="s">
        <v>253</v>
      </c>
      <c r="P222" s="19" t="s">
        <v>218</v>
      </c>
      <c r="Q222" s="19" t="s">
        <v>218</v>
      </c>
      <c r="R222" s="19" t="s">
        <v>218</v>
      </c>
      <c r="S222" s="19" t="s">
        <v>218</v>
      </c>
      <c r="T222" s="19" t="s">
        <v>218</v>
      </c>
      <c r="U222" s="19" t="s">
        <v>218</v>
      </c>
      <c r="V222" s="19" t="s">
        <v>218</v>
      </c>
      <c r="W222" s="19" t="s">
        <v>218</v>
      </c>
      <c r="X222" s="19" t="s">
        <v>218</v>
      </c>
      <c r="Z222"/>
      <c r="AA222"/>
      <c r="AB222"/>
      <c r="AC222"/>
      <c r="AD222"/>
    </row>
    <row r="223" spans="1:30" x14ac:dyDescent="0.35">
      <c r="A223" s="19">
        <v>202304</v>
      </c>
      <c r="B223" s="19" t="s">
        <v>970</v>
      </c>
      <c r="C223" s="19"/>
      <c r="E223" s="19" t="s">
        <v>208</v>
      </c>
      <c r="F223" s="19" t="s">
        <v>208</v>
      </c>
      <c r="G223" s="19" t="s">
        <v>450</v>
      </c>
      <c r="H223" s="19">
        <v>83</v>
      </c>
      <c r="I223" s="19" t="s">
        <v>971</v>
      </c>
      <c r="J223" s="19" t="s">
        <v>223</v>
      </c>
      <c r="K223" s="19" t="s">
        <v>108</v>
      </c>
      <c r="L223" s="19">
        <v>10717</v>
      </c>
      <c r="M223" s="19" t="s">
        <v>1433</v>
      </c>
      <c r="N223" s="19">
        <v>2</v>
      </c>
      <c r="O223" s="19" t="s">
        <v>253</v>
      </c>
      <c r="P223" s="19" t="s">
        <v>218</v>
      </c>
      <c r="Q223" s="19" t="s">
        <v>218</v>
      </c>
      <c r="R223" s="19" t="s">
        <v>218</v>
      </c>
      <c r="S223" s="19" t="s">
        <v>218</v>
      </c>
      <c r="T223" s="19" t="s">
        <v>218</v>
      </c>
      <c r="U223" s="19" t="s">
        <v>218</v>
      </c>
      <c r="V223" s="19" t="s">
        <v>218</v>
      </c>
      <c r="W223" s="19" t="s">
        <v>218</v>
      </c>
      <c r="X223" s="19" t="s">
        <v>218</v>
      </c>
      <c r="Z223"/>
      <c r="AA223"/>
      <c r="AB223"/>
      <c r="AC223"/>
      <c r="AD223"/>
    </row>
    <row r="224" spans="1:30" x14ac:dyDescent="0.35">
      <c r="A224" s="19">
        <v>202304</v>
      </c>
      <c r="B224" s="19" t="s">
        <v>972</v>
      </c>
      <c r="C224" s="19"/>
      <c r="E224" s="19" t="s">
        <v>208</v>
      </c>
      <c r="G224" s="19" t="s">
        <v>59</v>
      </c>
      <c r="H224" s="19">
        <v>83</v>
      </c>
      <c r="I224" s="19" t="s">
        <v>973</v>
      </c>
      <c r="J224" s="19" t="s">
        <v>223</v>
      </c>
      <c r="K224" s="19" t="s">
        <v>224</v>
      </c>
      <c r="L224" s="19">
        <v>5658</v>
      </c>
      <c r="M224" s="19" t="s">
        <v>536</v>
      </c>
      <c r="N224" s="19">
        <v>2</v>
      </c>
      <c r="O224" s="19" t="s">
        <v>253</v>
      </c>
      <c r="P224" s="19" t="s">
        <v>218</v>
      </c>
      <c r="Q224" s="19" t="s">
        <v>218</v>
      </c>
      <c r="R224" s="19" t="s">
        <v>218</v>
      </c>
      <c r="S224" s="19" t="s">
        <v>218</v>
      </c>
      <c r="T224" s="19" t="s">
        <v>218</v>
      </c>
      <c r="U224" s="19" t="s">
        <v>218</v>
      </c>
      <c r="V224" s="19" t="s">
        <v>218</v>
      </c>
      <c r="W224" s="19" t="s">
        <v>218</v>
      </c>
      <c r="X224" s="19" t="s">
        <v>218</v>
      </c>
      <c r="Z224"/>
      <c r="AA224"/>
      <c r="AB224"/>
      <c r="AC224"/>
      <c r="AD224"/>
    </row>
    <row r="225" spans="1:30" x14ac:dyDescent="0.35">
      <c r="A225" s="19">
        <v>202304</v>
      </c>
      <c r="B225" s="19" t="s">
        <v>974</v>
      </c>
      <c r="C225" s="19"/>
      <c r="E225" s="19" t="s">
        <v>208</v>
      </c>
      <c r="G225" s="19" t="s">
        <v>59</v>
      </c>
      <c r="H225" s="19">
        <v>83</v>
      </c>
      <c r="I225" s="19" t="s">
        <v>975</v>
      </c>
      <c r="J225" s="19" t="s">
        <v>223</v>
      </c>
      <c r="K225" s="19" t="s">
        <v>108</v>
      </c>
      <c r="L225" s="19">
        <v>5658</v>
      </c>
      <c r="M225" s="19" t="s">
        <v>536</v>
      </c>
      <c r="N225" s="19">
        <v>2</v>
      </c>
      <c r="O225" s="19" t="s">
        <v>253</v>
      </c>
      <c r="P225" s="19" t="s">
        <v>218</v>
      </c>
      <c r="Q225" s="19" t="s">
        <v>218</v>
      </c>
      <c r="R225" s="19" t="s">
        <v>218</v>
      </c>
      <c r="S225" s="19" t="s">
        <v>218</v>
      </c>
      <c r="T225" s="19" t="s">
        <v>218</v>
      </c>
      <c r="U225" s="19" t="s">
        <v>218</v>
      </c>
      <c r="V225" s="19" t="s">
        <v>218</v>
      </c>
      <c r="W225" s="19" t="s">
        <v>218</v>
      </c>
      <c r="X225" s="19" t="s">
        <v>218</v>
      </c>
      <c r="Z225"/>
      <c r="AA225"/>
      <c r="AB225"/>
      <c r="AC225"/>
      <c r="AD225"/>
    </row>
    <row r="226" spans="1:30" x14ac:dyDescent="0.35">
      <c r="A226" s="19">
        <v>202304</v>
      </c>
      <c r="B226" s="19" t="s">
        <v>976</v>
      </c>
      <c r="C226" s="19"/>
      <c r="F226" s="19" t="s">
        <v>208</v>
      </c>
      <c r="G226" s="19" t="s">
        <v>450</v>
      </c>
      <c r="H226" s="19">
        <v>201</v>
      </c>
      <c r="I226" s="19" t="s">
        <v>977</v>
      </c>
      <c r="J226" s="19" t="s">
        <v>223</v>
      </c>
      <c r="K226" s="19" t="s">
        <v>292</v>
      </c>
      <c r="L226" s="19">
        <v>0</v>
      </c>
      <c r="M226" s="19" t="s">
        <v>226</v>
      </c>
      <c r="N226" s="19">
        <v>4</v>
      </c>
      <c r="O226" s="19" t="s">
        <v>222</v>
      </c>
      <c r="P226" s="19" t="s">
        <v>218</v>
      </c>
      <c r="Q226" s="19" t="s">
        <v>218</v>
      </c>
      <c r="R226" s="19" t="s">
        <v>218</v>
      </c>
      <c r="S226" s="19" t="s">
        <v>218</v>
      </c>
      <c r="T226" s="19" t="s">
        <v>218</v>
      </c>
      <c r="U226" s="19" t="s">
        <v>218</v>
      </c>
      <c r="V226" s="19" t="s">
        <v>218</v>
      </c>
      <c r="W226" s="19" t="s">
        <v>218</v>
      </c>
      <c r="X226" s="19" t="s">
        <v>218</v>
      </c>
      <c r="Z226"/>
      <c r="AA226"/>
      <c r="AB226"/>
      <c r="AC226"/>
      <c r="AD226"/>
    </row>
    <row r="227" spans="1:30" x14ac:dyDescent="0.35">
      <c r="A227" s="19">
        <v>202304</v>
      </c>
      <c r="B227" s="19" t="s">
        <v>978</v>
      </c>
      <c r="C227" s="19"/>
      <c r="F227" s="19" t="s">
        <v>208</v>
      </c>
      <c r="G227" s="19" t="s">
        <v>33</v>
      </c>
      <c r="H227" s="19">
        <v>201</v>
      </c>
      <c r="I227" s="19" t="s">
        <v>979</v>
      </c>
      <c r="J227" s="19" t="s">
        <v>223</v>
      </c>
      <c r="K227" s="19" t="s">
        <v>292</v>
      </c>
      <c r="L227" s="19">
        <v>0</v>
      </c>
      <c r="M227" s="19" t="s">
        <v>226</v>
      </c>
      <c r="N227" s="19">
        <v>4</v>
      </c>
      <c r="O227" s="19" t="s">
        <v>222</v>
      </c>
      <c r="P227" s="19" t="s">
        <v>218</v>
      </c>
      <c r="Q227" s="19" t="s">
        <v>218</v>
      </c>
      <c r="R227" s="19" t="s">
        <v>218</v>
      </c>
      <c r="S227" s="19" t="s">
        <v>218</v>
      </c>
      <c r="T227" s="19" t="s">
        <v>218</v>
      </c>
      <c r="U227" s="19" t="s">
        <v>218</v>
      </c>
      <c r="V227" s="19" t="s">
        <v>218</v>
      </c>
      <c r="W227" s="19" t="s">
        <v>218</v>
      </c>
      <c r="X227" s="19" t="s">
        <v>218</v>
      </c>
      <c r="Z227"/>
      <c r="AA227"/>
      <c r="AB227"/>
      <c r="AC227"/>
      <c r="AD227"/>
    </row>
    <row r="228" spans="1:30" x14ac:dyDescent="0.35">
      <c r="A228" s="19">
        <v>202304</v>
      </c>
      <c r="B228" s="19" t="s">
        <v>980</v>
      </c>
      <c r="C228" s="19"/>
      <c r="E228" s="19" t="s">
        <v>208</v>
      </c>
      <c r="G228" s="19" t="s">
        <v>450</v>
      </c>
      <c r="H228" s="19">
        <v>83</v>
      </c>
      <c r="I228" s="19" t="s">
        <v>981</v>
      </c>
      <c r="J228" s="19" t="s">
        <v>223</v>
      </c>
      <c r="K228" s="19" t="s">
        <v>108</v>
      </c>
      <c r="L228" s="19">
        <v>5819</v>
      </c>
      <c r="M228" s="19" t="s">
        <v>1435</v>
      </c>
      <c r="N228" s="19">
        <v>2</v>
      </c>
      <c r="O228" s="19" t="s">
        <v>253</v>
      </c>
      <c r="P228" s="19" t="s">
        <v>218</v>
      </c>
      <c r="Q228" s="19" t="s">
        <v>218</v>
      </c>
      <c r="R228" s="19" t="s">
        <v>218</v>
      </c>
      <c r="S228" s="19" t="s">
        <v>218</v>
      </c>
      <c r="T228" s="19" t="s">
        <v>218</v>
      </c>
      <c r="U228" s="19" t="s">
        <v>218</v>
      </c>
      <c r="V228" s="19" t="s">
        <v>218</v>
      </c>
      <c r="W228" s="19" t="s">
        <v>218</v>
      </c>
      <c r="X228" s="19" t="s">
        <v>218</v>
      </c>
      <c r="Z228"/>
      <c r="AA228"/>
      <c r="AB228"/>
      <c r="AC228"/>
      <c r="AD228"/>
    </row>
    <row r="229" spans="1:30" x14ac:dyDescent="0.35">
      <c r="A229" s="19">
        <v>202304</v>
      </c>
      <c r="B229" s="19" t="s">
        <v>982</v>
      </c>
      <c r="C229" s="19"/>
      <c r="F229" s="19" t="s">
        <v>208</v>
      </c>
      <c r="G229" s="19" t="s">
        <v>33</v>
      </c>
      <c r="H229" s="19">
        <v>201</v>
      </c>
      <c r="I229" s="19" t="s">
        <v>983</v>
      </c>
      <c r="J229" s="19" t="s">
        <v>223</v>
      </c>
      <c r="K229" s="19" t="s">
        <v>292</v>
      </c>
      <c r="L229" s="19">
        <v>0</v>
      </c>
      <c r="M229" s="19" t="s">
        <v>226</v>
      </c>
      <c r="N229" s="19">
        <v>4</v>
      </c>
      <c r="O229" s="19" t="s">
        <v>222</v>
      </c>
      <c r="P229" s="19" t="s">
        <v>218</v>
      </c>
      <c r="Q229" s="19" t="s">
        <v>218</v>
      </c>
      <c r="R229" s="19" t="s">
        <v>218</v>
      </c>
      <c r="S229" s="19" t="s">
        <v>218</v>
      </c>
      <c r="T229" s="19" t="s">
        <v>218</v>
      </c>
      <c r="U229" s="19" t="s">
        <v>218</v>
      </c>
      <c r="V229" s="19" t="s">
        <v>218</v>
      </c>
      <c r="W229" s="19" t="s">
        <v>218</v>
      </c>
      <c r="X229" s="19" t="s">
        <v>218</v>
      </c>
      <c r="Z229"/>
      <c r="AA229"/>
      <c r="AB229"/>
      <c r="AC229"/>
      <c r="AD229"/>
    </row>
    <row r="230" spans="1:30" x14ac:dyDescent="0.35">
      <c r="A230" s="19">
        <v>202304</v>
      </c>
      <c r="B230" s="19" t="s">
        <v>984</v>
      </c>
      <c r="C230" s="19"/>
      <c r="F230" s="19" t="s">
        <v>208</v>
      </c>
      <c r="G230" s="19" t="s">
        <v>33</v>
      </c>
      <c r="H230" s="19">
        <v>201</v>
      </c>
      <c r="I230" s="19" t="s">
        <v>985</v>
      </c>
      <c r="J230" s="19" t="s">
        <v>223</v>
      </c>
      <c r="K230" s="19" t="s">
        <v>292</v>
      </c>
      <c r="L230" s="19">
        <v>0</v>
      </c>
      <c r="M230" s="19" t="s">
        <v>226</v>
      </c>
      <c r="N230" s="19">
        <v>4</v>
      </c>
      <c r="O230" s="19" t="s">
        <v>222</v>
      </c>
      <c r="P230" s="19" t="s">
        <v>218</v>
      </c>
      <c r="Q230" s="19" t="s">
        <v>218</v>
      </c>
      <c r="R230" s="19" t="s">
        <v>218</v>
      </c>
      <c r="S230" s="19" t="s">
        <v>218</v>
      </c>
      <c r="T230" s="19" t="s">
        <v>218</v>
      </c>
      <c r="U230" s="19" t="s">
        <v>218</v>
      </c>
      <c r="V230" s="19" t="s">
        <v>218</v>
      </c>
      <c r="W230" s="19" t="s">
        <v>218</v>
      </c>
      <c r="X230" s="19" t="s">
        <v>218</v>
      </c>
      <c r="Z230"/>
      <c r="AA230"/>
      <c r="AB230"/>
      <c r="AC230"/>
      <c r="AD230"/>
    </row>
    <row r="231" spans="1:30" x14ac:dyDescent="0.35">
      <c r="A231" s="19">
        <v>202304</v>
      </c>
      <c r="B231" s="19" t="s">
        <v>986</v>
      </c>
      <c r="C231" s="19" t="s">
        <v>208</v>
      </c>
      <c r="G231" s="19" t="s">
        <v>36</v>
      </c>
      <c r="H231" s="19">
        <v>87</v>
      </c>
      <c r="I231" s="19" t="s">
        <v>987</v>
      </c>
      <c r="J231" s="19" t="s">
        <v>231</v>
      </c>
      <c r="K231" s="19" t="s">
        <v>442</v>
      </c>
      <c r="L231" s="19">
        <v>0</v>
      </c>
      <c r="M231" s="19" t="s">
        <v>226</v>
      </c>
      <c r="N231" s="19">
        <v>1</v>
      </c>
      <c r="O231" s="19" t="s">
        <v>499</v>
      </c>
      <c r="P231" s="19" t="s">
        <v>500</v>
      </c>
      <c r="Q231" s="19" t="s">
        <v>501</v>
      </c>
      <c r="R231" s="19" t="s">
        <v>502</v>
      </c>
      <c r="S231" s="19" t="s">
        <v>503</v>
      </c>
      <c r="T231" s="19" t="s">
        <v>504</v>
      </c>
      <c r="U231" s="19" t="s">
        <v>218</v>
      </c>
      <c r="V231" s="19" t="s">
        <v>218</v>
      </c>
      <c r="W231" s="19" t="s">
        <v>218</v>
      </c>
      <c r="X231" s="19" t="s">
        <v>218</v>
      </c>
      <c r="Z231"/>
      <c r="AA231"/>
      <c r="AB231"/>
      <c r="AC231"/>
      <c r="AD231"/>
    </row>
    <row r="232" spans="1:30" x14ac:dyDescent="0.35">
      <c r="A232" s="19">
        <v>202304</v>
      </c>
      <c r="B232" s="19" t="s">
        <v>988</v>
      </c>
      <c r="C232" s="19"/>
      <c r="F232" s="19" t="s">
        <v>208</v>
      </c>
      <c r="G232" s="19" t="s">
        <v>36</v>
      </c>
      <c r="H232" s="19">
        <v>201</v>
      </c>
      <c r="I232" s="19" t="s">
        <v>989</v>
      </c>
      <c r="J232" s="19" t="s">
        <v>231</v>
      </c>
      <c r="K232" s="19" t="s">
        <v>262</v>
      </c>
      <c r="L232" s="19">
        <v>0</v>
      </c>
      <c r="M232" s="19" t="s">
        <v>226</v>
      </c>
      <c r="N232" s="19">
        <v>4</v>
      </c>
      <c r="O232" s="19" t="s">
        <v>263</v>
      </c>
      <c r="P232" s="19" t="s">
        <v>264</v>
      </c>
      <c r="Q232" s="19" t="s">
        <v>265</v>
      </c>
      <c r="R232" s="19" t="s">
        <v>266</v>
      </c>
      <c r="S232" s="19" t="s">
        <v>267</v>
      </c>
      <c r="T232" s="19" t="s">
        <v>218</v>
      </c>
      <c r="U232" s="19" t="s">
        <v>218</v>
      </c>
      <c r="V232" s="19" t="s">
        <v>218</v>
      </c>
      <c r="W232" s="19" t="s">
        <v>218</v>
      </c>
      <c r="X232" s="19" t="s">
        <v>218</v>
      </c>
      <c r="Z232"/>
      <c r="AA232"/>
      <c r="AB232"/>
      <c r="AC232"/>
      <c r="AD232"/>
    </row>
    <row r="233" spans="1:30" x14ac:dyDescent="0.35">
      <c r="A233" s="19">
        <v>202304</v>
      </c>
      <c r="B233" s="19" t="s">
        <v>990</v>
      </c>
      <c r="C233" s="19"/>
      <c r="F233" s="19" t="s">
        <v>208</v>
      </c>
      <c r="G233" s="19" t="s">
        <v>36</v>
      </c>
      <c r="H233" s="19">
        <v>201</v>
      </c>
      <c r="I233" s="19" t="s">
        <v>991</v>
      </c>
      <c r="J233" s="19" t="s">
        <v>231</v>
      </c>
      <c r="K233" s="19" t="s">
        <v>262</v>
      </c>
      <c r="L233" s="19">
        <v>0</v>
      </c>
      <c r="M233" s="19" t="s">
        <v>226</v>
      </c>
      <c r="N233" s="19">
        <v>4</v>
      </c>
      <c r="O233" s="19" t="s">
        <v>263</v>
      </c>
      <c r="P233" s="19" t="s">
        <v>264</v>
      </c>
      <c r="Q233" s="19" t="s">
        <v>265</v>
      </c>
      <c r="R233" s="19" t="s">
        <v>266</v>
      </c>
      <c r="S233" s="19" t="s">
        <v>267</v>
      </c>
      <c r="T233" s="19" t="s">
        <v>218</v>
      </c>
      <c r="U233" s="19" t="s">
        <v>218</v>
      </c>
      <c r="V233" s="19" t="s">
        <v>218</v>
      </c>
      <c r="W233" s="19" t="s">
        <v>218</v>
      </c>
      <c r="X233" s="19" t="s">
        <v>218</v>
      </c>
      <c r="Z233"/>
      <c r="AA233"/>
      <c r="AB233"/>
      <c r="AC233"/>
      <c r="AD233"/>
    </row>
    <row r="234" spans="1:30" x14ac:dyDescent="0.35">
      <c r="A234" s="19">
        <v>202304</v>
      </c>
      <c r="B234" s="19" t="s">
        <v>992</v>
      </c>
      <c r="C234" s="19"/>
      <c r="F234" s="19" t="s">
        <v>208</v>
      </c>
      <c r="G234" s="19" t="s">
        <v>215</v>
      </c>
      <c r="H234" s="19">
        <v>201</v>
      </c>
      <c r="I234" s="19" t="s">
        <v>993</v>
      </c>
      <c r="J234" s="19" t="s">
        <v>231</v>
      </c>
      <c r="K234" s="19" t="s">
        <v>262</v>
      </c>
      <c r="L234" s="19">
        <v>0</v>
      </c>
      <c r="M234" s="19" t="s">
        <v>226</v>
      </c>
      <c r="N234" s="19">
        <v>4</v>
      </c>
      <c r="O234" s="19" t="s">
        <v>999</v>
      </c>
      <c r="P234" s="19" t="s">
        <v>1000</v>
      </c>
      <c r="Q234" s="19" t="s">
        <v>1001</v>
      </c>
      <c r="R234" s="19" t="s">
        <v>1002</v>
      </c>
      <c r="S234" s="19" t="s">
        <v>1003</v>
      </c>
      <c r="T234" s="19" t="s">
        <v>1004</v>
      </c>
      <c r="U234" s="19" t="s">
        <v>218</v>
      </c>
      <c r="V234" s="19" t="s">
        <v>218</v>
      </c>
      <c r="W234" s="19" t="s">
        <v>218</v>
      </c>
      <c r="X234" s="19" t="s">
        <v>218</v>
      </c>
      <c r="Z234"/>
      <c r="AA234"/>
      <c r="AB234"/>
      <c r="AC234"/>
      <c r="AD234"/>
    </row>
    <row r="235" spans="1:30" x14ac:dyDescent="0.35">
      <c r="A235" s="19">
        <v>202304</v>
      </c>
      <c r="B235" s="19" t="s">
        <v>995</v>
      </c>
      <c r="C235" s="19" t="s">
        <v>208</v>
      </c>
      <c r="G235" s="19" t="s">
        <v>215</v>
      </c>
      <c r="H235" s="19">
        <v>87</v>
      </c>
      <c r="I235" s="19" t="s">
        <v>996</v>
      </c>
      <c r="J235" s="19" t="s">
        <v>231</v>
      </c>
      <c r="K235" s="19" t="s">
        <v>994</v>
      </c>
      <c r="L235" s="19">
        <v>0</v>
      </c>
      <c r="M235" s="19" t="s">
        <v>226</v>
      </c>
      <c r="N235" s="19">
        <v>1</v>
      </c>
      <c r="O235" s="19" t="s">
        <v>454</v>
      </c>
      <c r="P235" s="19" t="s">
        <v>233</v>
      </c>
      <c r="Q235" s="19" t="s">
        <v>234</v>
      </c>
      <c r="R235" s="19" t="s">
        <v>235</v>
      </c>
      <c r="S235" s="19" t="s">
        <v>236</v>
      </c>
      <c r="T235" s="19" t="s">
        <v>237</v>
      </c>
      <c r="U235" s="19" t="s">
        <v>290</v>
      </c>
      <c r="V235" s="19" t="s">
        <v>218</v>
      </c>
      <c r="W235" s="19" t="s">
        <v>218</v>
      </c>
      <c r="X235" s="19" t="s">
        <v>218</v>
      </c>
      <c r="Z235"/>
      <c r="AA235"/>
      <c r="AB235"/>
      <c r="AC235"/>
      <c r="AD235"/>
    </row>
    <row r="236" spans="1:30" x14ac:dyDescent="0.35">
      <c r="A236" s="19">
        <v>202304</v>
      </c>
      <c r="B236" s="19" t="s">
        <v>997</v>
      </c>
      <c r="C236" s="19"/>
      <c r="F236" s="19" t="s">
        <v>208</v>
      </c>
      <c r="G236" s="19" t="s">
        <v>215</v>
      </c>
      <c r="H236" s="19">
        <v>201</v>
      </c>
      <c r="I236" s="19" t="s">
        <v>998</v>
      </c>
      <c r="J236" s="19" t="s">
        <v>231</v>
      </c>
      <c r="K236" s="19" t="s">
        <v>262</v>
      </c>
      <c r="L236" s="19">
        <v>0</v>
      </c>
      <c r="M236" s="19" t="s">
        <v>226</v>
      </c>
      <c r="N236" s="19">
        <v>4</v>
      </c>
      <c r="O236" s="19" t="s">
        <v>999</v>
      </c>
      <c r="P236" s="19" t="s">
        <v>1000</v>
      </c>
      <c r="Q236" s="19" t="s">
        <v>1001</v>
      </c>
      <c r="R236" s="19" t="s">
        <v>1002</v>
      </c>
      <c r="S236" s="19" t="s">
        <v>1003</v>
      </c>
      <c r="T236" s="19" t="s">
        <v>1004</v>
      </c>
      <c r="U236" s="19" t="s">
        <v>218</v>
      </c>
      <c r="V236" s="19" t="s">
        <v>218</v>
      </c>
      <c r="W236" s="19" t="s">
        <v>218</v>
      </c>
      <c r="X236" s="19" t="s">
        <v>218</v>
      </c>
      <c r="Z236"/>
      <c r="AA236"/>
      <c r="AB236"/>
      <c r="AC236"/>
      <c r="AD236"/>
    </row>
    <row r="237" spans="1:30" x14ac:dyDescent="0.35">
      <c r="A237" s="19">
        <v>202304</v>
      </c>
      <c r="B237" s="19" t="s">
        <v>1005</v>
      </c>
      <c r="C237" s="19" t="s">
        <v>208</v>
      </c>
      <c r="G237" s="19" t="s">
        <v>215</v>
      </c>
      <c r="H237" s="19">
        <v>87</v>
      </c>
      <c r="I237" s="19" t="s">
        <v>1006</v>
      </c>
      <c r="J237" s="19" t="s">
        <v>231</v>
      </c>
      <c r="K237" s="19" t="s">
        <v>442</v>
      </c>
      <c r="L237" s="19">
        <v>0</v>
      </c>
      <c r="M237" s="19" t="s">
        <v>226</v>
      </c>
      <c r="N237" s="19">
        <v>1</v>
      </c>
      <c r="O237" s="19" t="s">
        <v>454</v>
      </c>
      <c r="P237" s="19" t="s">
        <v>233</v>
      </c>
      <c r="Q237" s="19" t="s">
        <v>234</v>
      </c>
      <c r="R237" s="19" t="s">
        <v>235</v>
      </c>
      <c r="S237" s="19" t="s">
        <v>236</v>
      </c>
      <c r="T237" s="19" t="s">
        <v>237</v>
      </c>
      <c r="U237" s="19" t="s">
        <v>290</v>
      </c>
      <c r="V237" s="19" t="s">
        <v>218</v>
      </c>
      <c r="W237" s="19" t="s">
        <v>218</v>
      </c>
      <c r="X237" s="19" t="s">
        <v>218</v>
      </c>
      <c r="Z237"/>
      <c r="AA237"/>
      <c r="AB237"/>
      <c r="AC237"/>
      <c r="AD237"/>
    </row>
    <row r="238" spans="1:30" x14ac:dyDescent="0.35">
      <c r="A238" s="19">
        <v>202304</v>
      </c>
      <c r="B238" s="19" t="s">
        <v>1007</v>
      </c>
      <c r="C238" s="19" t="s">
        <v>208</v>
      </c>
      <c r="G238" s="19" t="s">
        <v>215</v>
      </c>
      <c r="H238" s="19">
        <v>87</v>
      </c>
      <c r="I238" s="19" t="s">
        <v>1008</v>
      </c>
      <c r="J238" s="19" t="s">
        <v>231</v>
      </c>
      <c r="K238" s="19" t="s">
        <v>442</v>
      </c>
      <c r="L238" s="19">
        <v>0</v>
      </c>
      <c r="M238" s="19" t="s">
        <v>226</v>
      </c>
      <c r="N238" s="19">
        <v>1</v>
      </c>
      <c r="O238" s="19" t="s">
        <v>454</v>
      </c>
      <c r="P238" s="19" t="s">
        <v>233</v>
      </c>
      <c r="Q238" s="19" t="s">
        <v>234</v>
      </c>
      <c r="R238" s="19" t="s">
        <v>235</v>
      </c>
      <c r="S238" s="19" t="s">
        <v>236</v>
      </c>
      <c r="T238" s="19" t="s">
        <v>237</v>
      </c>
      <c r="U238" s="19" t="s">
        <v>290</v>
      </c>
      <c r="V238" s="19" t="s">
        <v>218</v>
      </c>
      <c r="W238" s="19" t="s">
        <v>218</v>
      </c>
      <c r="X238" s="19" t="s">
        <v>218</v>
      </c>
      <c r="Z238"/>
      <c r="AA238"/>
      <c r="AB238"/>
      <c r="AC238"/>
      <c r="AD238"/>
    </row>
    <row r="239" spans="1:30" x14ac:dyDescent="0.35">
      <c r="A239" s="19">
        <v>202304</v>
      </c>
      <c r="B239" s="19" t="s">
        <v>1009</v>
      </c>
      <c r="C239" s="19" t="s">
        <v>208</v>
      </c>
      <c r="G239" s="19" t="s">
        <v>215</v>
      </c>
      <c r="H239" s="19">
        <v>87</v>
      </c>
      <c r="I239" s="19" t="s">
        <v>1010</v>
      </c>
      <c r="J239" s="19" t="s">
        <v>231</v>
      </c>
      <c r="K239" s="19" t="s">
        <v>994</v>
      </c>
      <c r="L239" s="19">
        <v>0</v>
      </c>
      <c r="M239" s="19" t="s">
        <v>226</v>
      </c>
      <c r="N239" s="19">
        <v>1</v>
      </c>
      <c r="O239" s="19" t="s">
        <v>454</v>
      </c>
      <c r="P239" s="19" t="s">
        <v>233</v>
      </c>
      <c r="Q239" s="19" t="s">
        <v>234</v>
      </c>
      <c r="R239" s="19" t="s">
        <v>235</v>
      </c>
      <c r="S239" s="19" t="s">
        <v>236</v>
      </c>
      <c r="T239" s="19" t="s">
        <v>237</v>
      </c>
      <c r="U239" s="19" t="s">
        <v>290</v>
      </c>
      <c r="V239" s="19" t="s">
        <v>218</v>
      </c>
      <c r="W239" s="19" t="s">
        <v>218</v>
      </c>
      <c r="X239" s="19" t="s">
        <v>218</v>
      </c>
      <c r="Z239"/>
      <c r="AA239"/>
      <c r="AB239"/>
      <c r="AC239"/>
      <c r="AD239"/>
    </row>
    <row r="240" spans="1:30" x14ac:dyDescent="0.35">
      <c r="A240" s="19">
        <v>202304</v>
      </c>
      <c r="B240" s="19" t="s">
        <v>1011</v>
      </c>
      <c r="C240" s="19" t="s">
        <v>208</v>
      </c>
      <c r="G240" s="19" t="s">
        <v>36</v>
      </c>
      <c r="H240" s="19">
        <v>87</v>
      </c>
      <c r="I240" s="19" t="s">
        <v>1012</v>
      </c>
      <c r="J240" s="19" t="s">
        <v>231</v>
      </c>
      <c r="K240" s="19" t="s">
        <v>442</v>
      </c>
      <c r="L240" s="19">
        <v>0</v>
      </c>
      <c r="M240" s="19" t="s">
        <v>226</v>
      </c>
      <c r="N240" s="19">
        <v>1</v>
      </c>
      <c r="O240" s="19" t="s">
        <v>499</v>
      </c>
      <c r="P240" s="19" t="s">
        <v>500</v>
      </c>
      <c r="Q240" s="19" t="s">
        <v>501</v>
      </c>
      <c r="R240" s="19" t="s">
        <v>502</v>
      </c>
      <c r="S240" s="19" t="s">
        <v>503</v>
      </c>
      <c r="T240" s="19" t="s">
        <v>504</v>
      </c>
      <c r="U240" s="19" t="s">
        <v>218</v>
      </c>
      <c r="V240" s="19" t="s">
        <v>218</v>
      </c>
      <c r="W240" s="19" t="s">
        <v>218</v>
      </c>
      <c r="X240" s="19" t="s">
        <v>218</v>
      </c>
      <c r="Z240"/>
      <c r="AA240"/>
      <c r="AB240"/>
      <c r="AC240"/>
      <c r="AD240"/>
    </row>
    <row r="241" spans="1:30" x14ac:dyDescent="0.35">
      <c r="A241" s="19">
        <v>202304</v>
      </c>
      <c r="B241" s="19" t="s">
        <v>1013</v>
      </c>
      <c r="C241" s="19" t="s">
        <v>208</v>
      </c>
      <c r="G241" s="19" t="s">
        <v>36</v>
      </c>
      <c r="H241" s="19">
        <v>87</v>
      </c>
      <c r="I241" s="19" t="s">
        <v>1014</v>
      </c>
      <c r="J241" s="19" t="s">
        <v>231</v>
      </c>
      <c r="K241" s="19" t="s">
        <v>442</v>
      </c>
      <c r="L241" s="19">
        <v>0</v>
      </c>
      <c r="M241" s="19" t="s">
        <v>226</v>
      </c>
      <c r="N241" s="19">
        <v>1</v>
      </c>
      <c r="O241" s="19" t="s">
        <v>499</v>
      </c>
      <c r="P241" s="19" t="s">
        <v>500</v>
      </c>
      <c r="Q241" s="19" t="s">
        <v>501</v>
      </c>
      <c r="R241" s="19" t="s">
        <v>502</v>
      </c>
      <c r="S241" s="19" t="s">
        <v>503</v>
      </c>
      <c r="T241" s="19" t="s">
        <v>504</v>
      </c>
      <c r="U241" s="19" t="s">
        <v>218</v>
      </c>
      <c r="V241" s="19" t="s">
        <v>218</v>
      </c>
      <c r="W241" s="19" t="s">
        <v>218</v>
      </c>
      <c r="X241" s="19" t="s">
        <v>218</v>
      </c>
      <c r="Z241"/>
      <c r="AA241"/>
      <c r="AB241"/>
      <c r="AC241"/>
      <c r="AD241"/>
    </row>
    <row r="242" spans="1:30" x14ac:dyDescent="0.35">
      <c r="A242" s="19">
        <v>202304</v>
      </c>
      <c r="B242" s="19" t="s">
        <v>1015</v>
      </c>
      <c r="C242" s="19"/>
      <c r="F242" s="19" t="s">
        <v>208</v>
      </c>
      <c r="G242" s="19" t="s">
        <v>36</v>
      </c>
      <c r="H242" s="19">
        <v>201</v>
      </c>
      <c r="I242" s="19" t="s">
        <v>1016</v>
      </c>
      <c r="J242" s="19" t="s">
        <v>231</v>
      </c>
      <c r="K242" s="19" t="s">
        <v>268</v>
      </c>
      <c r="L242" s="19">
        <v>0</v>
      </c>
      <c r="M242" s="19" t="s">
        <v>226</v>
      </c>
      <c r="N242" s="19">
        <v>4</v>
      </c>
      <c r="O242" s="19" t="s">
        <v>244</v>
      </c>
      <c r="P242" s="19" t="s">
        <v>245</v>
      </c>
      <c r="Q242" s="19" t="s">
        <v>246</v>
      </c>
      <c r="R242" s="19" t="s">
        <v>247</v>
      </c>
      <c r="S242" s="19" t="s">
        <v>248</v>
      </c>
      <c r="T242" s="19" t="s">
        <v>249</v>
      </c>
      <c r="U242" s="19" t="s">
        <v>250</v>
      </c>
      <c r="V242" s="19" t="s">
        <v>218</v>
      </c>
      <c r="W242" s="19" t="s">
        <v>218</v>
      </c>
      <c r="X242" s="19" t="s">
        <v>218</v>
      </c>
      <c r="Z242"/>
      <c r="AA242"/>
      <c r="AB242"/>
      <c r="AC242"/>
      <c r="AD242"/>
    </row>
    <row r="243" spans="1:30" x14ac:dyDescent="0.35">
      <c r="A243" s="19">
        <v>202304</v>
      </c>
      <c r="B243" s="19" t="s">
        <v>1017</v>
      </c>
      <c r="C243" s="19"/>
      <c r="E243" s="19" t="s">
        <v>208</v>
      </c>
      <c r="F243" s="19" t="s">
        <v>208</v>
      </c>
      <c r="G243" s="19" t="s">
        <v>36</v>
      </c>
      <c r="H243" s="19">
        <v>83</v>
      </c>
      <c r="I243" s="19" t="s">
        <v>1018</v>
      </c>
      <c r="J243" s="19" t="s">
        <v>231</v>
      </c>
      <c r="K243" s="19" t="s">
        <v>268</v>
      </c>
      <c r="L243" s="19">
        <v>5739</v>
      </c>
      <c r="M243" s="19" t="s">
        <v>1436</v>
      </c>
      <c r="N243" s="19">
        <v>2</v>
      </c>
      <c r="O243" s="19" t="s">
        <v>244</v>
      </c>
      <c r="P243" s="19" t="s">
        <v>245</v>
      </c>
      <c r="Q243" s="19" t="s">
        <v>246</v>
      </c>
      <c r="R243" s="19" t="s">
        <v>247</v>
      </c>
      <c r="S243" s="19" t="s">
        <v>248</v>
      </c>
      <c r="T243" s="19" t="s">
        <v>249</v>
      </c>
      <c r="U243" s="19" t="s">
        <v>250</v>
      </c>
      <c r="V243" s="19" t="s">
        <v>218</v>
      </c>
      <c r="W243" s="19" t="s">
        <v>218</v>
      </c>
      <c r="X243" s="19" t="s">
        <v>218</v>
      </c>
      <c r="Z243"/>
      <c r="AA243"/>
      <c r="AB243"/>
      <c r="AC243"/>
      <c r="AD243"/>
    </row>
    <row r="244" spans="1:30" x14ac:dyDescent="0.35">
      <c r="A244" s="19">
        <v>202304</v>
      </c>
      <c r="B244" s="19" t="s">
        <v>1019</v>
      </c>
      <c r="C244" s="19"/>
      <c r="F244" s="19" t="s">
        <v>208</v>
      </c>
      <c r="G244" s="19" t="s">
        <v>36</v>
      </c>
      <c r="H244" s="19">
        <v>201</v>
      </c>
      <c r="I244" s="19" t="s">
        <v>1020</v>
      </c>
      <c r="J244" s="19" t="s">
        <v>231</v>
      </c>
      <c r="K244" s="19" t="s">
        <v>268</v>
      </c>
      <c r="L244" s="19">
        <v>0</v>
      </c>
      <c r="M244" s="19" t="s">
        <v>226</v>
      </c>
      <c r="N244" s="19">
        <v>4</v>
      </c>
      <c r="O244" s="19" t="s">
        <v>245</v>
      </c>
      <c r="P244" s="19" t="s">
        <v>246</v>
      </c>
      <c r="Q244" s="19" t="s">
        <v>247</v>
      </c>
      <c r="R244" s="19" t="s">
        <v>248</v>
      </c>
      <c r="S244" s="19" t="s">
        <v>249</v>
      </c>
      <c r="T244" s="19" t="s">
        <v>250</v>
      </c>
      <c r="U244" s="19" t="s">
        <v>447</v>
      </c>
      <c r="V244" s="19" t="s">
        <v>218</v>
      </c>
      <c r="W244" s="19" t="s">
        <v>218</v>
      </c>
      <c r="X244" s="19" t="s">
        <v>218</v>
      </c>
      <c r="Z244"/>
      <c r="AA244"/>
      <c r="AB244"/>
      <c r="AC244"/>
      <c r="AD244"/>
    </row>
    <row r="245" spans="1:30" x14ac:dyDescent="0.35">
      <c r="A245" s="19">
        <v>202304</v>
      </c>
      <c r="B245" s="19" t="s">
        <v>1021</v>
      </c>
      <c r="C245" s="19" t="s">
        <v>208</v>
      </c>
      <c r="G245" s="19" t="s">
        <v>36</v>
      </c>
      <c r="H245" s="19">
        <v>87</v>
      </c>
      <c r="I245" s="19" t="s">
        <v>1022</v>
      </c>
      <c r="J245" s="19" t="s">
        <v>231</v>
      </c>
      <c r="K245" s="19" t="s">
        <v>268</v>
      </c>
      <c r="L245" s="19">
        <v>0</v>
      </c>
      <c r="M245" s="19" t="s">
        <v>226</v>
      </c>
      <c r="N245" s="19">
        <v>1</v>
      </c>
      <c r="O245" s="19" t="s">
        <v>239</v>
      </c>
      <c r="P245" s="19" t="s">
        <v>240</v>
      </c>
      <c r="Q245" s="19" t="s">
        <v>241</v>
      </c>
      <c r="R245" s="19" t="s">
        <v>242</v>
      </c>
      <c r="S245" s="19" t="s">
        <v>243</v>
      </c>
      <c r="T245" s="19" t="s">
        <v>218</v>
      </c>
      <c r="U245" s="19" t="s">
        <v>218</v>
      </c>
      <c r="V245" s="19" t="s">
        <v>218</v>
      </c>
      <c r="W245" s="19" t="s">
        <v>218</v>
      </c>
      <c r="X245" s="19" t="s">
        <v>218</v>
      </c>
      <c r="Z245"/>
      <c r="AA245"/>
      <c r="AB245"/>
      <c r="AC245"/>
      <c r="AD245"/>
    </row>
    <row r="246" spans="1:30" x14ac:dyDescent="0.35">
      <c r="A246" s="19">
        <v>202304</v>
      </c>
      <c r="B246" s="19" t="s">
        <v>1023</v>
      </c>
      <c r="C246" s="19"/>
      <c r="F246" s="19" t="s">
        <v>208</v>
      </c>
      <c r="G246" s="19" t="s">
        <v>36</v>
      </c>
      <c r="H246" s="19">
        <v>201</v>
      </c>
      <c r="I246" s="19" t="s">
        <v>1024</v>
      </c>
      <c r="J246" s="19" t="s">
        <v>231</v>
      </c>
      <c r="K246" s="19" t="s">
        <v>268</v>
      </c>
      <c r="L246" s="19">
        <v>0</v>
      </c>
      <c r="M246" s="19" t="s">
        <v>226</v>
      </c>
      <c r="N246" s="19">
        <v>4</v>
      </c>
      <c r="O246" s="19" t="s">
        <v>244</v>
      </c>
      <c r="P246" s="19" t="s">
        <v>245</v>
      </c>
      <c r="Q246" s="19" t="s">
        <v>246</v>
      </c>
      <c r="R246" s="19" t="s">
        <v>247</v>
      </c>
      <c r="S246" s="19" t="s">
        <v>248</v>
      </c>
      <c r="T246" s="19" t="s">
        <v>249</v>
      </c>
      <c r="U246" s="19" t="s">
        <v>250</v>
      </c>
      <c r="V246" s="19" t="s">
        <v>218</v>
      </c>
      <c r="W246" s="19" t="s">
        <v>218</v>
      </c>
      <c r="X246" s="19" t="s">
        <v>218</v>
      </c>
      <c r="Z246"/>
      <c r="AA246"/>
      <c r="AB246"/>
      <c r="AC246"/>
      <c r="AD246"/>
    </row>
    <row r="247" spans="1:30" x14ac:dyDescent="0.35">
      <c r="A247" s="19">
        <v>202304</v>
      </c>
      <c r="B247" s="19" t="s">
        <v>1025</v>
      </c>
      <c r="C247" s="19" t="s">
        <v>208</v>
      </c>
      <c r="F247" s="19" t="s">
        <v>208</v>
      </c>
      <c r="G247" s="19" t="s">
        <v>36</v>
      </c>
      <c r="H247" s="19">
        <v>87</v>
      </c>
      <c r="I247" s="19" t="s">
        <v>1026</v>
      </c>
      <c r="J247" s="19" t="s">
        <v>231</v>
      </c>
      <c r="K247" s="19" t="s">
        <v>238</v>
      </c>
      <c r="L247" s="19">
        <v>0</v>
      </c>
      <c r="M247" s="19" t="s">
        <v>226</v>
      </c>
      <c r="N247" s="19">
        <v>1</v>
      </c>
      <c r="O247" s="19" t="s">
        <v>244</v>
      </c>
      <c r="P247" s="19" t="s">
        <v>245</v>
      </c>
      <c r="Q247" s="19" t="s">
        <v>246</v>
      </c>
      <c r="R247" s="19" t="s">
        <v>247</v>
      </c>
      <c r="S247" s="19" t="s">
        <v>248</v>
      </c>
      <c r="T247" s="19" t="s">
        <v>249</v>
      </c>
      <c r="U247" s="19" t="s">
        <v>250</v>
      </c>
      <c r="V247" s="19" t="s">
        <v>218</v>
      </c>
      <c r="W247" s="19" t="s">
        <v>218</v>
      </c>
      <c r="X247" s="19" t="s">
        <v>218</v>
      </c>
      <c r="Z247"/>
      <c r="AA247"/>
      <c r="AB247"/>
      <c r="AC247"/>
      <c r="AD247"/>
    </row>
    <row r="248" spans="1:30" x14ac:dyDescent="0.35">
      <c r="A248" s="19">
        <v>202304</v>
      </c>
      <c r="B248" s="19" t="s">
        <v>1027</v>
      </c>
      <c r="C248" s="19"/>
      <c r="F248" s="19" t="s">
        <v>208</v>
      </c>
      <c r="G248" s="19" t="s">
        <v>459</v>
      </c>
      <c r="H248" s="19">
        <v>201</v>
      </c>
      <c r="I248" s="19" t="s">
        <v>1028</v>
      </c>
      <c r="J248" s="19" t="s">
        <v>231</v>
      </c>
      <c r="K248" s="19" t="s">
        <v>268</v>
      </c>
      <c r="L248" s="19">
        <v>0</v>
      </c>
      <c r="M248" s="19" t="s">
        <v>226</v>
      </c>
      <c r="N248" s="19">
        <v>4</v>
      </c>
      <c r="O248" s="19" t="s">
        <v>455</v>
      </c>
      <c r="P248" s="19" t="s">
        <v>244</v>
      </c>
      <c r="Q248" s="19" t="s">
        <v>245</v>
      </c>
      <c r="R248" s="19" t="s">
        <v>246</v>
      </c>
      <c r="S248" s="19" t="s">
        <v>247</v>
      </c>
      <c r="T248" s="19" t="s">
        <v>248</v>
      </c>
      <c r="U248" s="19" t="s">
        <v>249</v>
      </c>
      <c r="V248" s="19" t="s">
        <v>250</v>
      </c>
      <c r="W248" s="19" t="s">
        <v>218</v>
      </c>
      <c r="X248" s="19" t="s">
        <v>218</v>
      </c>
      <c r="Z248"/>
      <c r="AA248"/>
      <c r="AB248"/>
      <c r="AC248"/>
      <c r="AD248"/>
    </row>
    <row r="249" spans="1:30" x14ac:dyDescent="0.35">
      <c r="A249" s="19">
        <v>202304</v>
      </c>
      <c r="B249" s="19" t="s">
        <v>1029</v>
      </c>
      <c r="C249" s="19" t="s">
        <v>208</v>
      </c>
      <c r="F249" s="19" t="s">
        <v>208</v>
      </c>
      <c r="G249" s="19" t="s">
        <v>459</v>
      </c>
      <c r="H249" s="19">
        <v>87</v>
      </c>
      <c r="I249" s="19" t="s">
        <v>1030</v>
      </c>
      <c r="J249" s="19" t="s">
        <v>231</v>
      </c>
      <c r="K249" s="19" t="s">
        <v>268</v>
      </c>
      <c r="L249" s="19">
        <v>0</v>
      </c>
      <c r="M249" s="19" t="s">
        <v>226</v>
      </c>
      <c r="N249" s="19">
        <v>1</v>
      </c>
      <c r="O249" s="19" t="s">
        <v>455</v>
      </c>
      <c r="P249" s="19" t="s">
        <v>244</v>
      </c>
      <c r="Q249" s="19" t="s">
        <v>245</v>
      </c>
      <c r="R249" s="19" t="s">
        <v>246</v>
      </c>
      <c r="S249" s="19" t="s">
        <v>247</v>
      </c>
      <c r="T249" s="19" t="s">
        <v>248</v>
      </c>
      <c r="U249" s="19" t="s">
        <v>249</v>
      </c>
      <c r="V249" s="19" t="s">
        <v>250</v>
      </c>
      <c r="W249" s="19" t="s">
        <v>218</v>
      </c>
      <c r="X249" s="19" t="s">
        <v>218</v>
      </c>
      <c r="Z249"/>
      <c r="AA249"/>
      <c r="AB249"/>
      <c r="AC249"/>
      <c r="AD249"/>
    </row>
    <row r="250" spans="1:30" x14ac:dyDescent="0.35">
      <c r="A250" s="19">
        <v>202304</v>
      </c>
      <c r="B250" s="19" t="s">
        <v>1031</v>
      </c>
      <c r="C250" s="19" t="s">
        <v>208</v>
      </c>
      <c r="G250" s="19" t="s">
        <v>36</v>
      </c>
      <c r="H250" s="19">
        <v>87</v>
      </c>
      <c r="I250" s="19" t="s">
        <v>1032</v>
      </c>
      <c r="J250" s="19" t="s">
        <v>231</v>
      </c>
      <c r="K250" s="19" t="s">
        <v>268</v>
      </c>
      <c r="L250" s="19">
        <v>0</v>
      </c>
      <c r="M250" s="19" t="s">
        <v>226</v>
      </c>
      <c r="N250" s="19">
        <v>1</v>
      </c>
      <c r="O250" s="19" t="s">
        <v>244</v>
      </c>
      <c r="P250" s="19" t="s">
        <v>245</v>
      </c>
      <c r="Q250" s="19" t="s">
        <v>246</v>
      </c>
      <c r="R250" s="19" t="s">
        <v>247</v>
      </c>
      <c r="S250" s="19" t="s">
        <v>248</v>
      </c>
      <c r="T250" s="19" t="s">
        <v>249</v>
      </c>
      <c r="U250" s="19" t="s">
        <v>250</v>
      </c>
      <c r="V250" s="19" t="s">
        <v>218</v>
      </c>
      <c r="W250" s="19" t="s">
        <v>218</v>
      </c>
      <c r="X250" s="19" t="s">
        <v>218</v>
      </c>
      <c r="Z250"/>
      <c r="AA250"/>
      <c r="AB250"/>
      <c r="AC250"/>
      <c r="AD250"/>
    </row>
    <row r="251" spans="1:30" x14ac:dyDescent="0.35">
      <c r="A251" s="19">
        <v>202304</v>
      </c>
      <c r="B251" s="19" t="s">
        <v>1034</v>
      </c>
      <c r="C251" s="19"/>
      <c r="F251" s="19" t="s">
        <v>208</v>
      </c>
      <c r="G251" s="19" t="s">
        <v>530</v>
      </c>
      <c r="H251" s="19">
        <v>201</v>
      </c>
      <c r="I251" s="19" t="s">
        <v>1035</v>
      </c>
      <c r="J251" s="19" t="s">
        <v>269</v>
      </c>
      <c r="K251" s="19" t="s">
        <v>446</v>
      </c>
      <c r="L251" s="19">
        <v>0</v>
      </c>
      <c r="M251" s="19" t="s">
        <v>226</v>
      </c>
      <c r="N251" s="19">
        <v>4</v>
      </c>
      <c r="O251" s="19" t="s">
        <v>1036</v>
      </c>
      <c r="P251" s="19" t="s">
        <v>263</v>
      </c>
      <c r="Q251" s="19" t="s">
        <v>264</v>
      </c>
      <c r="R251" s="19" t="s">
        <v>265</v>
      </c>
      <c r="S251" s="19" t="s">
        <v>266</v>
      </c>
      <c r="T251" s="19" t="s">
        <v>218</v>
      </c>
      <c r="U251" s="19" t="s">
        <v>218</v>
      </c>
      <c r="V251" s="19" t="s">
        <v>218</v>
      </c>
      <c r="W251" s="19" t="s">
        <v>218</v>
      </c>
      <c r="X251" s="19" t="s">
        <v>218</v>
      </c>
      <c r="Z251"/>
      <c r="AA251"/>
      <c r="AB251"/>
      <c r="AC251"/>
      <c r="AD251"/>
    </row>
    <row r="252" spans="1:30" x14ac:dyDescent="0.35">
      <c r="A252" s="19">
        <v>202304</v>
      </c>
      <c r="B252" s="19" t="s">
        <v>1037</v>
      </c>
      <c r="C252" s="19"/>
      <c r="E252" s="19" t="s">
        <v>208</v>
      </c>
      <c r="G252" s="19" t="s">
        <v>65</v>
      </c>
      <c r="H252" s="19">
        <v>83</v>
      </c>
      <c r="I252" s="19" t="s">
        <v>1038</v>
      </c>
      <c r="J252" s="19" t="s">
        <v>269</v>
      </c>
      <c r="K252" s="19" t="s">
        <v>1033</v>
      </c>
      <c r="L252" s="19">
        <v>5739</v>
      </c>
      <c r="M252" s="19" t="s">
        <v>1436</v>
      </c>
      <c r="N252" s="19">
        <v>2</v>
      </c>
      <c r="O252" s="19" t="s">
        <v>455</v>
      </c>
      <c r="P252" s="19" t="s">
        <v>244</v>
      </c>
      <c r="Q252" s="19" t="s">
        <v>245</v>
      </c>
      <c r="R252" s="19" t="s">
        <v>246</v>
      </c>
      <c r="S252" s="19" t="s">
        <v>247</v>
      </c>
      <c r="T252" s="19" t="s">
        <v>248</v>
      </c>
      <c r="U252" s="19" t="s">
        <v>249</v>
      </c>
      <c r="V252" s="19" t="s">
        <v>250</v>
      </c>
      <c r="W252" s="19" t="s">
        <v>218</v>
      </c>
      <c r="X252" s="19" t="s">
        <v>218</v>
      </c>
      <c r="Z252"/>
      <c r="AA252"/>
      <c r="AB252"/>
      <c r="AC252"/>
      <c r="AD252"/>
    </row>
    <row r="253" spans="1:30" x14ac:dyDescent="0.35">
      <c r="A253" s="19">
        <v>202304</v>
      </c>
      <c r="B253" s="19" t="s">
        <v>1039</v>
      </c>
      <c r="C253" s="19"/>
      <c r="F253" s="19" t="s">
        <v>208</v>
      </c>
      <c r="G253" s="19" t="s">
        <v>65</v>
      </c>
      <c r="H253" s="19">
        <v>201</v>
      </c>
      <c r="I253" s="19" t="s">
        <v>1040</v>
      </c>
      <c r="J253" s="19" t="s">
        <v>269</v>
      </c>
      <c r="K253" s="19" t="s">
        <v>146</v>
      </c>
      <c r="L253" s="19">
        <v>0</v>
      </c>
      <c r="M253" s="19" t="s">
        <v>226</v>
      </c>
      <c r="N253" s="19">
        <v>4</v>
      </c>
      <c r="O253" s="19" t="s">
        <v>244</v>
      </c>
      <c r="P253" s="19" t="s">
        <v>245</v>
      </c>
      <c r="Q253" s="19" t="s">
        <v>246</v>
      </c>
      <c r="R253" s="19" t="s">
        <v>247</v>
      </c>
      <c r="S253" s="19" t="s">
        <v>248</v>
      </c>
      <c r="T253" s="19" t="s">
        <v>249</v>
      </c>
      <c r="U253" s="19" t="s">
        <v>250</v>
      </c>
      <c r="V253" s="19" t="s">
        <v>218</v>
      </c>
      <c r="W253" s="19" t="s">
        <v>218</v>
      </c>
      <c r="X253" s="19" t="s">
        <v>218</v>
      </c>
      <c r="Z253"/>
      <c r="AA253"/>
      <c r="AB253"/>
      <c r="AC253"/>
      <c r="AD253"/>
    </row>
    <row r="254" spans="1:30" x14ac:dyDescent="0.35">
      <c r="A254" s="19">
        <v>202304</v>
      </c>
      <c r="B254" s="19" t="s">
        <v>1041</v>
      </c>
      <c r="C254" s="19"/>
      <c r="F254" s="19" t="s">
        <v>208</v>
      </c>
      <c r="G254" s="19" t="s">
        <v>65</v>
      </c>
      <c r="H254" s="19">
        <v>201</v>
      </c>
      <c r="I254" s="19" t="s">
        <v>1042</v>
      </c>
      <c r="J254" s="19" t="s">
        <v>269</v>
      </c>
      <c r="K254" s="19" t="s">
        <v>146</v>
      </c>
      <c r="L254" s="19">
        <v>0</v>
      </c>
      <c r="M254" s="19" t="s">
        <v>226</v>
      </c>
      <c r="N254" s="19">
        <v>4</v>
      </c>
      <c r="O254" s="19" t="s">
        <v>244</v>
      </c>
      <c r="P254" s="19" t="s">
        <v>245</v>
      </c>
      <c r="Q254" s="19" t="s">
        <v>246</v>
      </c>
      <c r="R254" s="19" t="s">
        <v>247</v>
      </c>
      <c r="S254" s="19" t="s">
        <v>248</v>
      </c>
      <c r="T254" s="19" t="s">
        <v>249</v>
      </c>
      <c r="U254" s="19" t="s">
        <v>250</v>
      </c>
      <c r="V254" s="19" t="s">
        <v>218</v>
      </c>
      <c r="W254" s="19" t="s">
        <v>218</v>
      </c>
      <c r="X254" s="19" t="s">
        <v>218</v>
      </c>
      <c r="Z254"/>
      <c r="AA254"/>
      <c r="AB254"/>
      <c r="AC254"/>
      <c r="AD254"/>
    </row>
    <row r="255" spans="1:30" x14ac:dyDescent="0.35">
      <c r="A255" s="19">
        <v>202304</v>
      </c>
      <c r="B255" s="19" t="s">
        <v>1043</v>
      </c>
      <c r="C255" s="19"/>
      <c r="F255" s="19" t="s">
        <v>208</v>
      </c>
      <c r="G255" s="19" t="s">
        <v>459</v>
      </c>
      <c r="H255" s="19">
        <v>201</v>
      </c>
      <c r="I255" s="19" t="s">
        <v>1044</v>
      </c>
      <c r="J255" s="19" t="s">
        <v>269</v>
      </c>
      <c r="K255" s="19" t="s">
        <v>1033</v>
      </c>
      <c r="L255" s="19">
        <v>0</v>
      </c>
      <c r="M255" s="19" t="s">
        <v>226</v>
      </c>
      <c r="N255" s="19">
        <v>4</v>
      </c>
      <c r="O255" s="19" t="s">
        <v>455</v>
      </c>
      <c r="P255" s="19" t="s">
        <v>244</v>
      </c>
      <c r="Q255" s="19" t="s">
        <v>245</v>
      </c>
      <c r="R255" s="19" t="s">
        <v>246</v>
      </c>
      <c r="S255" s="19" t="s">
        <v>247</v>
      </c>
      <c r="T255" s="19" t="s">
        <v>248</v>
      </c>
      <c r="U255" s="19" t="s">
        <v>249</v>
      </c>
      <c r="V255" s="19" t="s">
        <v>250</v>
      </c>
      <c r="W255" s="19" t="s">
        <v>218</v>
      </c>
      <c r="X255" s="19" t="s">
        <v>218</v>
      </c>
      <c r="Z255"/>
      <c r="AA255"/>
      <c r="AB255"/>
      <c r="AC255"/>
      <c r="AD255"/>
    </row>
    <row r="256" spans="1:30" x14ac:dyDescent="0.35">
      <c r="A256" s="19">
        <v>202304</v>
      </c>
      <c r="B256" s="19" t="s">
        <v>1045</v>
      </c>
      <c r="C256" s="19"/>
      <c r="F256" s="19" t="s">
        <v>208</v>
      </c>
      <c r="G256" s="19" t="s">
        <v>459</v>
      </c>
      <c r="H256" s="19">
        <v>201</v>
      </c>
      <c r="I256" s="19" t="s">
        <v>1046</v>
      </c>
      <c r="J256" s="19" t="s">
        <v>269</v>
      </c>
      <c r="K256" s="19" t="s">
        <v>1053</v>
      </c>
      <c r="L256" s="19">
        <v>0</v>
      </c>
      <c r="M256" s="19" t="s">
        <v>226</v>
      </c>
      <c r="N256" s="19">
        <v>4</v>
      </c>
      <c r="O256" s="19" t="s">
        <v>455</v>
      </c>
      <c r="P256" s="19" t="s">
        <v>244</v>
      </c>
      <c r="Q256" s="19" t="s">
        <v>245</v>
      </c>
      <c r="R256" s="19" t="s">
        <v>271</v>
      </c>
      <c r="S256" s="19" t="s">
        <v>272</v>
      </c>
      <c r="T256" s="19" t="s">
        <v>273</v>
      </c>
      <c r="U256" s="19" t="s">
        <v>274</v>
      </c>
      <c r="V256" s="19" t="s">
        <v>275</v>
      </c>
      <c r="W256" s="19" t="s">
        <v>218</v>
      </c>
      <c r="X256" s="19" t="s">
        <v>218</v>
      </c>
      <c r="Z256"/>
      <c r="AA256"/>
      <c r="AB256"/>
      <c r="AC256"/>
      <c r="AD256"/>
    </row>
    <row r="257" spans="1:30" x14ac:dyDescent="0.35">
      <c r="A257" s="19">
        <v>202304</v>
      </c>
      <c r="B257" s="19" t="s">
        <v>1047</v>
      </c>
      <c r="C257" s="19"/>
      <c r="E257" s="19" t="s">
        <v>208</v>
      </c>
      <c r="F257" s="19" t="s">
        <v>208</v>
      </c>
      <c r="G257" s="19" t="s">
        <v>36</v>
      </c>
      <c r="H257" s="19">
        <v>83</v>
      </c>
      <c r="I257" s="19" t="s">
        <v>1048</v>
      </c>
      <c r="J257" s="19" t="s">
        <v>269</v>
      </c>
      <c r="K257" s="19" t="s">
        <v>270</v>
      </c>
      <c r="L257" s="19">
        <v>5739</v>
      </c>
      <c r="M257" s="19" t="s">
        <v>1436</v>
      </c>
      <c r="N257" s="19">
        <v>2</v>
      </c>
      <c r="O257" s="19" t="s">
        <v>455</v>
      </c>
      <c r="P257" s="19" t="s">
        <v>244</v>
      </c>
      <c r="Q257" s="19" t="s">
        <v>245</v>
      </c>
      <c r="R257" s="19" t="s">
        <v>271</v>
      </c>
      <c r="S257" s="19" t="s">
        <v>272</v>
      </c>
      <c r="T257" s="19" t="s">
        <v>273</v>
      </c>
      <c r="U257" s="19" t="s">
        <v>274</v>
      </c>
      <c r="V257" s="19" t="s">
        <v>275</v>
      </c>
      <c r="W257" s="19" t="s">
        <v>218</v>
      </c>
      <c r="X257" s="19" t="s">
        <v>218</v>
      </c>
      <c r="Z257"/>
      <c r="AA257"/>
      <c r="AB257"/>
      <c r="AC257"/>
      <c r="AD257"/>
    </row>
    <row r="258" spans="1:30" x14ac:dyDescent="0.35">
      <c r="A258" s="19">
        <v>202304</v>
      </c>
      <c r="B258" s="19" t="s">
        <v>1049</v>
      </c>
      <c r="C258" s="19"/>
      <c r="E258" s="19" t="s">
        <v>208</v>
      </c>
      <c r="G258" s="19" t="s">
        <v>36</v>
      </c>
      <c r="H258" s="19">
        <v>83</v>
      </c>
      <c r="I258" s="19" t="s">
        <v>1050</v>
      </c>
      <c r="J258" s="19" t="s">
        <v>269</v>
      </c>
      <c r="K258" s="19" t="s">
        <v>270</v>
      </c>
      <c r="L258" s="19">
        <v>5739</v>
      </c>
      <c r="M258" s="19" t="s">
        <v>1436</v>
      </c>
      <c r="N258" s="19">
        <v>2</v>
      </c>
      <c r="O258" s="19" t="s">
        <v>455</v>
      </c>
      <c r="P258" s="19" t="s">
        <v>244</v>
      </c>
      <c r="Q258" s="19" t="s">
        <v>245</v>
      </c>
      <c r="R258" s="19" t="s">
        <v>271</v>
      </c>
      <c r="S258" s="19" t="s">
        <v>272</v>
      </c>
      <c r="T258" s="19" t="s">
        <v>273</v>
      </c>
      <c r="U258" s="19" t="s">
        <v>274</v>
      </c>
      <c r="V258" s="19" t="s">
        <v>275</v>
      </c>
      <c r="W258" s="19" t="s">
        <v>218</v>
      </c>
      <c r="X258" s="19" t="s">
        <v>218</v>
      </c>
      <c r="Z258"/>
      <c r="AA258"/>
      <c r="AB258"/>
      <c r="AC258"/>
      <c r="AD258"/>
    </row>
    <row r="259" spans="1:30" x14ac:dyDescent="0.35">
      <c r="A259" s="19">
        <v>202304</v>
      </c>
      <c r="B259" s="19" t="s">
        <v>1051</v>
      </c>
      <c r="C259" s="19"/>
      <c r="F259" s="19" t="s">
        <v>208</v>
      </c>
      <c r="G259" s="19" t="s">
        <v>36</v>
      </c>
      <c r="H259" s="19">
        <v>201</v>
      </c>
      <c r="I259" s="19" t="s">
        <v>1052</v>
      </c>
      <c r="J259" s="19" t="s">
        <v>269</v>
      </c>
      <c r="K259" s="19" t="s">
        <v>1053</v>
      </c>
      <c r="L259" s="19">
        <v>0</v>
      </c>
      <c r="M259" s="19" t="s">
        <v>226</v>
      </c>
      <c r="N259" s="19">
        <v>4</v>
      </c>
      <c r="O259" s="19" t="s">
        <v>455</v>
      </c>
      <c r="P259" s="19" t="s">
        <v>244</v>
      </c>
      <c r="Q259" s="19" t="s">
        <v>245</v>
      </c>
      <c r="R259" s="19" t="s">
        <v>271</v>
      </c>
      <c r="S259" s="19" t="s">
        <v>272</v>
      </c>
      <c r="T259" s="19" t="s">
        <v>273</v>
      </c>
      <c r="U259" s="19" t="s">
        <v>274</v>
      </c>
      <c r="V259" s="19" t="s">
        <v>275</v>
      </c>
      <c r="W259" s="19" t="s">
        <v>218</v>
      </c>
      <c r="X259" s="19" t="s">
        <v>218</v>
      </c>
      <c r="Z259"/>
      <c r="AA259"/>
      <c r="AB259"/>
      <c r="AC259"/>
      <c r="AD259"/>
    </row>
    <row r="260" spans="1:30" x14ac:dyDescent="0.35">
      <c r="A260" s="19">
        <v>202304</v>
      </c>
      <c r="B260" s="19" t="s">
        <v>1054</v>
      </c>
      <c r="C260" s="19"/>
      <c r="F260" s="19" t="s">
        <v>208</v>
      </c>
      <c r="G260" s="19" t="s">
        <v>459</v>
      </c>
      <c r="H260" s="19">
        <v>201</v>
      </c>
      <c r="I260" s="19" t="s">
        <v>1055</v>
      </c>
      <c r="J260" s="19" t="s">
        <v>269</v>
      </c>
      <c r="K260" s="19" t="s">
        <v>505</v>
      </c>
      <c r="L260" s="19">
        <v>0</v>
      </c>
      <c r="M260" s="19" t="s">
        <v>226</v>
      </c>
      <c r="N260" s="19">
        <v>4</v>
      </c>
      <c r="O260" s="19" t="s">
        <v>474</v>
      </c>
      <c r="P260" s="19" t="s">
        <v>457</v>
      </c>
      <c r="Q260" s="19" t="s">
        <v>277</v>
      </c>
      <c r="R260" s="19" t="s">
        <v>278</v>
      </c>
      <c r="S260" s="19" t="s">
        <v>279</v>
      </c>
      <c r="T260" s="19" t="s">
        <v>280</v>
      </c>
      <c r="U260" s="19" t="s">
        <v>281</v>
      </c>
      <c r="V260" s="19" t="s">
        <v>218</v>
      </c>
      <c r="W260" s="19" t="s">
        <v>218</v>
      </c>
      <c r="X260" s="19" t="s">
        <v>218</v>
      </c>
      <c r="Z260"/>
      <c r="AA260"/>
      <c r="AB260"/>
      <c r="AC260"/>
      <c r="AD260"/>
    </row>
    <row r="261" spans="1:30" x14ac:dyDescent="0.35">
      <c r="A261" s="19">
        <v>202304</v>
      </c>
      <c r="B261" s="19" t="s">
        <v>1056</v>
      </c>
      <c r="C261" s="19"/>
      <c r="F261" s="19" t="s">
        <v>208</v>
      </c>
      <c r="G261" s="19" t="s">
        <v>459</v>
      </c>
      <c r="H261" s="19">
        <v>201</v>
      </c>
      <c r="I261" s="19" t="s">
        <v>1057</v>
      </c>
      <c r="J261" s="19" t="s">
        <v>269</v>
      </c>
      <c r="K261" s="19" t="s">
        <v>1053</v>
      </c>
      <c r="L261" s="19">
        <v>0</v>
      </c>
      <c r="M261" s="19" t="s">
        <v>226</v>
      </c>
      <c r="N261" s="19">
        <v>4</v>
      </c>
      <c r="O261" s="19" t="s">
        <v>455</v>
      </c>
      <c r="P261" s="19" t="s">
        <v>244</v>
      </c>
      <c r="Q261" s="19" t="s">
        <v>245</v>
      </c>
      <c r="R261" s="19" t="s">
        <v>271</v>
      </c>
      <c r="S261" s="19" t="s">
        <v>272</v>
      </c>
      <c r="T261" s="19" t="s">
        <v>273</v>
      </c>
      <c r="U261" s="19" t="s">
        <v>274</v>
      </c>
      <c r="V261" s="19" t="s">
        <v>275</v>
      </c>
      <c r="W261" s="19" t="s">
        <v>218</v>
      </c>
      <c r="X261" s="19" t="s">
        <v>218</v>
      </c>
      <c r="Z261"/>
      <c r="AA261"/>
      <c r="AB261"/>
      <c r="AC261"/>
      <c r="AD261"/>
    </row>
    <row r="262" spans="1:30" x14ac:dyDescent="0.35">
      <c r="A262" s="19">
        <v>202304</v>
      </c>
      <c r="B262" s="19" t="s">
        <v>1058</v>
      </c>
      <c r="C262" s="19"/>
      <c r="F262" s="19" t="s">
        <v>208</v>
      </c>
      <c r="G262" s="19" t="s">
        <v>459</v>
      </c>
      <c r="H262" s="19">
        <v>201</v>
      </c>
      <c r="I262" s="19" t="s">
        <v>1059</v>
      </c>
      <c r="J262" s="19" t="s">
        <v>269</v>
      </c>
      <c r="K262" s="19" t="s">
        <v>505</v>
      </c>
      <c r="L262" s="19">
        <v>0</v>
      </c>
      <c r="M262" s="19" t="s">
        <v>226</v>
      </c>
      <c r="N262" s="19">
        <v>4</v>
      </c>
      <c r="O262" s="19" t="s">
        <v>474</v>
      </c>
      <c r="P262" s="19" t="s">
        <v>457</v>
      </c>
      <c r="Q262" s="19" t="s">
        <v>277</v>
      </c>
      <c r="R262" s="19" t="s">
        <v>278</v>
      </c>
      <c r="S262" s="19" t="s">
        <v>279</v>
      </c>
      <c r="T262" s="19" t="s">
        <v>280</v>
      </c>
      <c r="U262" s="19" t="s">
        <v>281</v>
      </c>
      <c r="V262" s="19" t="s">
        <v>218</v>
      </c>
      <c r="W262" s="19" t="s">
        <v>218</v>
      </c>
      <c r="X262" s="19" t="s">
        <v>218</v>
      </c>
      <c r="Z262"/>
      <c r="AA262"/>
      <c r="AB262"/>
      <c r="AC262"/>
      <c r="AD262"/>
    </row>
    <row r="263" spans="1:30" x14ac:dyDescent="0.35">
      <c r="A263" s="19">
        <v>202304</v>
      </c>
      <c r="B263" s="19" t="s">
        <v>1061</v>
      </c>
      <c r="C263" s="19"/>
      <c r="E263" s="19" t="s">
        <v>208</v>
      </c>
      <c r="G263" s="19" t="s">
        <v>459</v>
      </c>
      <c r="H263" s="19">
        <v>83</v>
      </c>
      <c r="I263" s="19" t="s">
        <v>1062</v>
      </c>
      <c r="J263" s="19" t="s">
        <v>231</v>
      </c>
      <c r="K263" s="19" t="s">
        <v>276</v>
      </c>
      <c r="L263" s="19">
        <v>0</v>
      </c>
      <c r="M263" s="19" t="s">
        <v>226</v>
      </c>
      <c r="N263" s="19">
        <v>2</v>
      </c>
      <c r="O263" s="19" t="s">
        <v>455</v>
      </c>
      <c r="P263" s="19" t="s">
        <v>244</v>
      </c>
      <c r="Q263" s="19" t="s">
        <v>245</v>
      </c>
      <c r="R263" s="19" t="s">
        <v>246</v>
      </c>
      <c r="S263" s="19" t="s">
        <v>247</v>
      </c>
      <c r="T263" s="19" t="s">
        <v>248</v>
      </c>
      <c r="U263" s="19" t="s">
        <v>249</v>
      </c>
      <c r="V263" s="19" t="s">
        <v>250</v>
      </c>
      <c r="W263" s="19" t="s">
        <v>218</v>
      </c>
      <c r="X263" s="19" t="s">
        <v>218</v>
      </c>
      <c r="Z263"/>
      <c r="AA263"/>
      <c r="AB263"/>
      <c r="AC263"/>
      <c r="AD263"/>
    </row>
    <row r="264" spans="1:30" x14ac:dyDescent="0.35">
      <c r="A264" s="19">
        <v>202304</v>
      </c>
      <c r="B264" s="19" t="s">
        <v>1063</v>
      </c>
      <c r="C264" s="19" t="s">
        <v>208</v>
      </c>
      <c r="F264" s="19" t="s">
        <v>208</v>
      </c>
      <c r="G264" s="19" t="s">
        <v>459</v>
      </c>
      <c r="H264" s="19">
        <v>87</v>
      </c>
      <c r="I264" s="19" t="s">
        <v>1064</v>
      </c>
      <c r="J264" s="19" t="s">
        <v>231</v>
      </c>
      <c r="K264" s="19" t="s">
        <v>276</v>
      </c>
      <c r="L264" s="19">
        <v>0</v>
      </c>
      <c r="M264" s="19" t="s">
        <v>226</v>
      </c>
      <c r="N264" s="19">
        <v>1</v>
      </c>
      <c r="O264" s="19" t="s">
        <v>244</v>
      </c>
      <c r="P264" s="19" t="s">
        <v>245</v>
      </c>
      <c r="Q264" s="19" t="s">
        <v>246</v>
      </c>
      <c r="R264" s="19" t="s">
        <v>247</v>
      </c>
      <c r="S264" s="19" t="s">
        <v>248</v>
      </c>
      <c r="T264" s="19" t="s">
        <v>249</v>
      </c>
      <c r="U264" s="19" t="s">
        <v>250</v>
      </c>
      <c r="V264" s="19" t="s">
        <v>218</v>
      </c>
      <c r="W264" s="19" t="s">
        <v>218</v>
      </c>
      <c r="X264" s="19" t="s">
        <v>218</v>
      </c>
      <c r="Z264"/>
      <c r="AA264"/>
      <c r="AB264"/>
      <c r="AC264"/>
      <c r="AD264"/>
    </row>
    <row r="265" spans="1:30" x14ac:dyDescent="0.35">
      <c r="A265" s="19">
        <v>202304</v>
      </c>
      <c r="B265" s="19" t="s">
        <v>1065</v>
      </c>
      <c r="C265" s="19"/>
      <c r="E265" s="19" t="s">
        <v>208</v>
      </c>
      <c r="G265" s="19" t="s">
        <v>459</v>
      </c>
      <c r="H265" s="19">
        <v>83</v>
      </c>
      <c r="I265" s="19" t="s">
        <v>1064</v>
      </c>
      <c r="J265" s="19" t="s">
        <v>231</v>
      </c>
      <c r="K265" s="19" t="s">
        <v>276</v>
      </c>
      <c r="L265" s="19">
        <v>10603</v>
      </c>
      <c r="M265" s="19" t="s">
        <v>1437</v>
      </c>
      <c r="N265" s="19">
        <v>2</v>
      </c>
      <c r="O265" s="19" t="s">
        <v>1060</v>
      </c>
      <c r="P265" s="19" t="s">
        <v>239</v>
      </c>
      <c r="Q265" s="19" t="s">
        <v>240</v>
      </c>
      <c r="R265" s="19" t="s">
        <v>241</v>
      </c>
      <c r="S265" s="19" t="s">
        <v>242</v>
      </c>
      <c r="T265" s="19" t="s">
        <v>243</v>
      </c>
      <c r="U265" s="19" t="s">
        <v>218</v>
      </c>
      <c r="V265" s="19" t="s">
        <v>218</v>
      </c>
      <c r="W265" s="19" t="s">
        <v>218</v>
      </c>
      <c r="X265" s="19" t="s">
        <v>218</v>
      </c>
      <c r="Z265"/>
      <c r="AA265"/>
      <c r="AB265"/>
      <c r="AC265"/>
      <c r="AD265"/>
    </row>
    <row r="266" spans="1:30" x14ac:dyDescent="0.35">
      <c r="A266" s="19">
        <v>202304</v>
      </c>
      <c r="B266" s="19" t="s">
        <v>1066</v>
      </c>
      <c r="C266" s="19"/>
      <c r="E266" s="19" t="s">
        <v>208</v>
      </c>
      <c r="G266" s="19" t="s">
        <v>36</v>
      </c>
      <c r="H266" s="19">
        <v>83</v>
      </c>
      <c r="I266" s="19" t="s">
        <v>1067</v>
      </c>
      <c r="J266" s="19" t="s">
        <v>231</v>
      </c>
      <c r="K266" s="19" t="s">
        <v>276</v>
      </c>
      <c r="L266" s="19">
        <v>5924</v>
      </c>
      <c r="M266" s="19" t="s">
        <v>1184</v>
      </c>
      <c r="N266" s="19">
        <v>2</v>
      </c>
      <c r="O266" s="19" t="s">
        <v>239</v>
      </c>
      <c r="P266" s="19" t="s">
        <v>240</v>
      </c>
      <c r="Q266" s="19" t="s">
        <v>241</v>
      </c>
      <c r="R266" s="19" t="s">
        <v>242</v>
      </c>
      <c r="S266" s="19" t="s">
        <v>243</v>
      </c>
      <c r="T266" s="19" t="s">
        <v>218</v>
      </c>
      <c r="U266" s="19" t="s">
        <v>218</v>
      </c>
      <c r="V266" s="19" t="s">
        <v>218</v>
      </c>
      <c r="W266" s="19" t="s">
        <v>218</v>
      </c>
      <c r="X266" s="19" t="s">
        <v>218</v>
      </c>
      <c r="Z266"/>
      <c r="AA266"/>
      <c r="AB266"/>
      <c r="AC266"/>
      <c r="AD266"/>
    </row>
    <row r="267" spans="1:30" x14ac:dyDescent="0.35">
      <c r="A267" s="19">
        <v>202304</v>
      </c>
      <c r="B267" s="19" t="s">
        <v>1068</v>
      </c>
      <c r="C267" s="19"/>
      <c r="F267" s="19" t="s">
        <v>208</v>
      </c>
      <c r="G267" s="19" t="s">
        <v>36</v>
      </c>
      <c r="H267" s="19">
        <v>201</v>
      </c>
      <c r="I267" s="19" t="s">
        <v>1069</v>
      </c>
      <c r="J267" s="19" t="s">
        <v>231</v>
      </c>
      <c r="K267" s="19" t="s">
        <v>276</v>
      </c>
      <c r="L267" s="19">
        <v>0</v>
      </c>
      <c r="M267" s="19" t="s">
        <v>226</v>
      </c>
      <c r="N267" s="19">
        <v>4</v>
      </c>
      <c r="O267" s="19" t="s">
        <v>239</v>
      </c>
      <c r="P267" s="19" t="s">
        <v>240</v>
      </c>
      <c r="Q267" s="19" t="s">
        <v>241</v>
      </c>
      <c r="R267" s="19" t="s">
        <v>242</v>
      </c>
      <c r="S267" s="19" t="s">
        <v>243</v>
      </c>
      <c r="T267" s="19" t="s">
        <v>218</v>
      </c>
      <c r="U267" s="19" t="s">
        <v>218</v>
      </c>
      <c r="V267" s="19" t="s">
        <v>218</v>
      </c>
      <c r="W267" s="19" t="s">
        <v>218</v>
      </c>
      <c r="X267" s="19" t="s">
        <v>218</v>
      </c>
      <c r="Z267"/>
      <c r="AA267"/>
      <c r="AB267"/>
      <c r="AC267"/>
      <c r="AD267"/>
    </row>
    <row r="268" spans="1:30" x14ac:dyDescent="0.35">
      <c r="A268" s="19">
        <v>202304</v>
      </c>
      <c r="B268" s="19" t="s">
        <v>1070</v>
      </c>
      <c r="C268" s="19" t="s">
        <v>208</v>
      </c>
      <c r="G268" s="19" t="s">
        <v>459</v>
      </c>
      <c r="H268" s="19">
        <v>87</v>
      </c>
      <c r="I268" s="19" t="s">
        <v>1071</v>
      </c>
      <c r="J268" s="19" t="s">
        <v>231</v>
      </c>
      <c r="K268" s="19" t="s">
        <v>268</v>
      </c>
      <c r="L268" s="19">
        <v>0</v>
      </c>
      <c r="M268" s="19" t="s">
        <v>226</v>
      </c>
      <c r="N268" s="19">
        <v>1</v>
      </c>
      <c r="O268" s="19" t="s">
        <v>456</v>
      </c>
      <c r="P268" s="19" t="s">
        <v>239</v>
      </c>
      <c r="Q268" s="19" t="s">
        <v>240</v>
      </c>
      <c r="R268" s="19" t="s">
        <v>241</v>
      </c>
      <c r="S268" s="19" t="s">
        <v>242</v>
      </c>
      <c r="T268" s="19" t="s">
        <v>243</v>
      </c>
      <c r="U268" s="19" t="s">
        <v>218</v>
      </c>
      <c r="V268" s="19" t="s">
        <v>218</v>
      </c>
      <c r="W268" s="19" t="s">
        <v>218</v>
      </c>
      <c r="X268" s="19" t="s">
        <v>218</v>
      </c>
      <c r="Z268"/>
      <c r="AA268"/>
      <c r="AB268"/>
      <c r="AC268"/>
      <c r="AD268"/>
    </row>
    <row r="269" spans="1:30" x14ac:dyDescent="0.35">
      <c r="A269" s="19">
        <v>202304</v>
      </c>
      <c r="B269" s="19" t="s">
        <v>1072</v>
      </c>
      <c r="C269" s="19"/>
      <c r="F269" s="19" t="s">
        <v>208</v>
      </c>
      <c r="G269" s="19" t="s">
        <v>459</v>
      </c>
      <c r="H269" s="19">
        <v>201</v>
      </c>
      <c r="I269" s="19" t="s">
        <v>1073</v>
      </c>
      <c r="J269" s="19" t="s">
        <v>231</v>
      </c>
      <c r="K269" s="19" t="s">
        <v>276</v>
      </c>
      <c r="L269" s="19">
        <v>0</v>
      </c>
      <c r="M269" s="19" t="s">
        <v>226</v>
      </c>
      <c r="N269" s="19">
        <v>4</v>
      </c>
      <c r="O269" s="19" t="s">
        <v>456</v>
      </c>
      <c r="P269" s="19" t="s">
        <v>239</v>
      </c>
      <c r="Q269" s="19" t="s">
        <v>240</v>
      </c>
      <c r="R269" s="19" t="s">
        <v>241</v>
      </c>
      <c r="S269" s="19" t="s">
        <v>242</v>
      </c>
      <c r="T269" s="19" t="s">
        <v>243</v>
      </c>
      <c r="U269" s="19" t="s">
        <v>218</v>
      </c>
      <c r="V269" s="19" t="s">
        <v>218</v>
      </c>
      <c r="W269" s="19" t="s">
        <v>218</v>
      </c>
      <c r="X269" s="19" t="s">
        <v>218</v>
      </c>
      <c r="Z269"/>
      <c r="AA269"/>
      <c r="AB269"/>
      <c r="AC269"/>
      <c r="AD269"/>
    </row>
    <row r="270" spans="1:30" x14ac:dyDescent="0.35">
      <c r="A270" s="19">
        <v>202304</v>
      </c>
      <c r="B270" s="19" t="s">
        <v>1074</v>
      </c>
      <c r="C270" s="19"/>
      <c r="F270" s="19" t="s">
        <v>208</v>
      </c>
      <c r="G270" s="19" t="s">
        <v>459</v>
      </c>
      <c r="H270" s="19">
        <v>201</v>
      </c>
      <c r="I270" s="19" t="s">
        <v>1075</v>
      </c>
      <c r="J270" s="19" t="s">
        <v>231</v>
      </c>
      <c r="K270" s="19" t="s">
        <v>276</v>
      </c>
      <c r="L270" s="19">
        <v>0</v>
      </c>
      <c r="M270" s="19" t="s">
        <v>226</v>
      </c>
      <c r="N270" s="19">
        <v>4</v>
      </c>
      <c r="O270" s="19" t="s">
        <v>456</v>
      </c>
      <c r="P270" s="19" t="s">
        <v>239</v>
      </c>
      <c r="Q270" s="19" t="s">
        <v>240</v>
      </c>
      <c r="R270" s="19" t="s">
        <v>241</v>
      </c>
      <c r="S270" s="19" t="s">
        <v>242</v>
      </c>
      <c r="T270" s="19" t="s">
        <v>243</v>
      </c>
      <c r="U270" s="19" t="s">
        <v>218</v>
      </c>
      <c r="V270" s="19" t="s">
        <v>218</v>
      </c>
      <c r="W270" s="19" t="s">
        <v>218</v>
      </c>
      <c r="X270" s="19" t="s">
        <v>218</v>
      </c>
      <c r="Z270"/>
      <c r="AA270"/>
      <c r="AB270"/>
      <c r="AC270"/>
      <c r="AD270"/>
    </row>
    <row r="271" spans="1:30" x14ac:dyDescent="0.35">
      <c r="A271" s="19">
        <v>202304</v>
      </c>
      <c r="B271" s="19" t="s">
        <v>1076</v>
      </c>
      <c r="C271" s="19"/>
      <c r="E271" s="19" t="s">
        <v>208</v>
      </c>
      <c r="F271" s="19" t="s">
        <v>208</v>
      </c>
      <c r="G271" s="19" t="s">
        <v>459</v>
      </c>
      <c r="H271" s="19">
        <v>83</v>
      </c>
      <c r="I271" s="19" t="s">
        <v>1077</v>
      </c>
      <c r="J271" s="19" t="s">
        <v>231</v>
      </c>
      <c r="K271" s="19" t="s">
        <v>276</v>
      </c>
      <c r="L271" s="19">
        <v>5739</v>
      </c>
      <c r="M271" s="19" t="s">
        <v>1436</v>
      </c>
      <c r="N271" s="19">
        <v>2</v>
      </c>
      <c r="O271" s="19" t="s">
        <v>1060</v>
      </c>
      <c r="P271" s="19" t="s">
        <v>239</v>
      </c>
      <c r="Q271" s="19" t="s">
        <v>240</v>
      </c>
      <c r="R271" s="19" t="s">
        <v>241</v>
      </c>
      <c r="S271" s="19" t="s">
        <v>242</v>
      </c>
      <c r="T271" s="19" t="s">
        <v>243</v>
      </c>
      <c r="U271" s="19" t="s">
        <v>218</v>
      </c>
      <c r="V271" s="19" t="s">
        <v>218</v>
      </c>
      <c r="W271" s="19" t="s">
        <v>218</v>
      </c>
      <c r="X271" s="19" t="s">
        <v>218</v>
      </c>
      <c r="Z271"/>
      <c r="AA271"/>
      <c r="AB271"/>
      <c r="AC271"/>
      <c r="AD271"/>
    </row>
    <row r="272" spans="1:30" x14ac:dyDescent="0.35">
      <c r="A272" s="19">
        <v>202304</v>
      </c>
      <c r="B272" s="19" t="s">
        <v>1078</v>
      </c>
      <c r="C272" s="19" t="s">
        <v>208</v>
      </c>
      <c r="G272" s="19" t="s">
        <v>36</v>
      </c>
      <c r="H272" s="19">
        <v>87</v>
      </c>
      <c r="I272" s="19" t="s">
        <v>1079</v>
      </c>
      <c r="J272" s="19" t="s">
        <v>231</v>
      </c>
      <c r="K272" s="19" t="s">
        <v>268</v>
      </c>
      <c r="L272" s="19">
        <v>0</v>
      </c>
      <c r="M272" s="19" t="s">
        <v>226</v>
      </c>
      <c r="N272" s="19">
        <v>1</v>
      </c>
      <c r="O272" s="19" t="s">
        <v>239</v>
      </c>
      <c r="P272" s="19" t="s">
        <v>240</v>
      </c>
      <c r="Q272" s="19" t="s">
        <v>241</v>
      </c>
      <c r="R272" s="19" t="s">
        <v>242</v>
      </c>
      <c r="S272" s="19" t="s">
        <v>243</v>
      </c>
      <c r="T272" s="19" t="s">
        <v>218</v>
      </c>
      <c r="U272" s="19" t="s">
        <v>218</v>
      </c>
      <c r="V272" s="19" t="s">
        <v>218</v>
      </c>
      <c r="W272" s="19" t="s">
        <v>218</v>
      </c>
      <c r="X272" s="19" t="s">
        <v>218</v>
      </c>
      <c r="Z272"/>
      <c r="AA272"/>
      <c r="AB272"/>
      <c r="AC272"/>
      <c r="AD272"/>
    </row>
    <row r="273" spans="1:30" x14ac:dyDescent="0.35">
      <c r="A273" s="19">
        <v>202304</v>
      </c>
      <c r="B273" s="19" t="s">
        <v>1080</v>
      </c>
      <c r="C273" s="19"/>
      <c r="E273" s="19" t="s">
        <v>208</v>
      </c>
      <c r="G273" s="19" t="s">
        <v>40</v>
      </c>
      <c r="H273" s="19">
        <v>83</v>
      </c>
      <c r="I273" s="19" t="s">
        <v>1081</v>
      </c>
      <c r="J273" s="19" t="s">
        <v>231</v>
      </c>
      <c r="K273" s="19" t="s">
        <v>156</v>
      </c>
      <c r="L273" s="19">
        <v>5958</v>
      </c>
      <c r="M273" s="19" t="s">
        <v>1438</v>
      </c>
      <c r="N273" s="19">
        <v>2</v>
      </c>
      <c r="O273" s="19" t="s">
        <v>474</v>
      </c>
      <c r="P273" s="19" t="s">
        <v>457</v>
      </c>
      <c r="Q273" s="19" t="s">
        <v>277</v>
      </c>
      <c r="R273" s="19" t="s">
        <v>278</v>
      </c>
      <c r="S273" s="19" t="s">
        <v>279</v>
      </c>
      <c r="T273" s="19" t="s">
        <v>280</v>
      </c>
      <c r="U273" s="19" t="s">
        <v>281</v>
      </c>
      <c r="V273" s="19" t="s">
        <v>218</v>
      </c>
      <c r="W273" s="19" t="s">
        <v>218</v>
      </c>
      <c r="X273" s="19" t="s">
        <v>218</v>
      </c>
      <c r="Z273"/>
      <c r="AA273"/>
      <c r="AB273"/>
      <c r="AC273"/>
      <c r="AD273"/>
    </row>
    <row r="274" spans="1:30" x14ac:dyDescent="0.35">
      <c r="A274" s="19">
        <v>202304</v>
      </c>
      <c r="B274" s="19" t="s">
        <v>1082</v>
      </c>
      <c r="C274" s="19"/>
      <c r="E274" s="19" t="s">
        <v>208</v>
      </c>
      <c r="F274" s="19" t="s">
        <v>208</v>
      </c>
      <c r="G274" s="19" t="s">
        <v>40</v>
      </c>
      <c r="H274" s="19">
        <v>83</v>
      </c>
      <c r="I274" s="19" t="s">
        <v>1083</v>
      </c>
      <c r="J274" s="19" t="s">
        <v>231</v>
      </c>
      <c r="K274" s="19" t="s">
        <v>156</v>
      </c>
      <c r="L274" s="19">
        <v>5734</v>
      </c>
      <c r="M274" s="19" t="s">
        <v>1439</v>
      </c>
      <c r="N274" s="19">
        <v>2</v>
      </c>
      <c r="O274" s="19" t="s">
        <v>474</v>
      </c>
      <c r="P274" s="19" t="s">
        <v>457</v>
      </c>
      <c r="Q274" s="19" t="s">
        <v>277</v>
      </c>
      <c r="R274" s="19" t="s">
        <v>278</v>
      </c>
      <c r="S274" s="19" t="s">
        <v>279</v>
      </c>
      <c r="T274" s="19" t="s">
        <v>280</v>
      </c>
      <c r="U274" s="19" t="s">
        <v>281</v>
      </c>
      <c r="V274" s="19" t="s">
        <v>218</v>
      </c>
      <c r="W274" s="19" t="s">
        <v>218</v>
      </c>
      <c r="X274" s="19" t="s">
        <v>218</v>
      </c>
      <c r="Z274"/>
      <c r="AA274"/>
      <c r="AB274"/>
      <c r="AC274"/>
      <c r="AD274"/>
    </row>
    <row r="275" spans="1:30" x14ac:dyDescent="0.35">
      <c r="A275" s="19">
        <v>202304</v>
      </c>
      <c r="B275" s="19" t="s">
        <v>1084</v>
      </c>
      <c r="C275" s="19"/>
      <c r="E275" s="19" t="s">
        <v>208</v>
      </c>
      <c r="F275" s="19" t="s">
        <v>208</v>
      </c>
      <c r="G275" s="19" t="s">
        <v>40</v>
      </c>
      <c r="H275" s="19">
        <v>83</v>
      </c>
      <c r="I275" s="19" t="s">
        <v>1085</v>
      </c>
      <c r="J275" s="19" t="s">
        <v>231</v>
      </c>
      <c r="K275" s="19" t="s">
        <v>156</v>
      </c>
      <c r="L275" s="19">
        <v>5958</v>
      </c>
      <c r="M275" s="19" t="s">
        <v>1438</v>
      </c>
      <c r="N275" s="19">
        <v>2</v>
      </c>
      <c r="O275" s="19" t="s">
        <v>474</v>
      </c>
      <c r="P275" s="19" t="s">
        <v>457</v>
      </c>
      <c r="Q275" s="19" t="s">
        <v>277</v>
      </c>
      <c r="R275" s="19" t="s">
        <v>278</v>
      </c>
      <c r="S275" s="19" t="s">
        <v>279</v>
      </c>
      <c r="T275" s="19" t="s">
        <v>280</v>
      </c>
      <c r="U275" s="19" t="s">
        <v>281</v>
      </c>
      <c r="V275" s="19" t="s">
        <v>218</v>
      </c>
      <c r="W275" s="19" t="s">
        <v>218</v>
      </c>
      <c r="X275" s="19" t="s">
        <v>218</v>
      </c>
      <c r="Z275"/>
      <c r="AA275"/>
      <c r="AB275"/>
      <c r="AC275"/>
      <c r="AD275"/>
    </row>
    <row r="276" spans="1:30" x14ac:dyDescent="0.35">
      <c r="A276" s="19">
        <v>202304</v>
      </c>
      <c r="B276" s="19" t="s">
        <v>1086</v>
      </c>
      <c r="C276" s="19"/>
      <c r="E276" s="19" t="s">
        <v>208</v>
      </c>
      <c r="F276" s="19" t="s">
        <v>208</v>
      </c>
      <c r="G276" s="19" t="s">
        <v>81</v>
      </c>
      <c r="H276" s="19">
        <v>83</v>
      </c>
      <c r="I276" s="19" t="s">
        <v>1087</v>
      </c>
      <c r="J276" s="19" t="s">
        <v>223</v>
      </c>
      <c r="K276" s="19" t="s">
        <v>114</v>
      </c>
      <c r="L276" s="19">
        <v>5754</v>
      </c>
      <c r="M276" s="19" t="s">
        <v>1440</v>
      </c>
      <c r="N276" s="19">
        <v>2</v>
      </c>
      <c r="O276" s="19" t="s">
        <v>1088</v>
      </c>
      <c r="P276" s="19" t="s">
        <v>830</v>
      </c>
      <c r="Q276" s="19" t="s">
        <v>280</v>
      </c>
      <c r="R276" s="19" t="s">
        <v>281</v>
      </c>
      <c r="S276" s="19" t="s">
        <v>218</v>
      </c>
      <c r="T276" s="19" t="s">
        <v>218</v>
      </c>
      <c r="U276" s="19" t="s">
        <v>218</v>
      </c>
      <c r="V276" s="19" t="s">
        <v>218</v>
      </c>
      <c r="W276" s="19" t="s">
        <v>218</v>
      </c>
      <c r="X276" s="19" t="s">
        <v>218</v>
      </c>
      <c r="Z276"/>
      <c r="AA276"/>
      <c r="AB276"/>
      <c r="AC276"/>
      <c r="AD276"/>
    </row>
    <row r="277" spans="1:30" x14ac:dyDescent="0.35">
      <c r="A277" s="19">
        <v>202304</v>
      </c>
      <c r="B277" s="19" t="s">
        <v>1089</v>
      </c>
      <c r="C277" s="19"/>
      <c r="E277" s="19" t="s">
        <v>208</v>
      </c>
      <c r="F277" s="19" t="s">
        <v>208</v>
      </c>
      <c r="G277" s="19" t="s">
        <v>81</v>
      </c>
      <c r="H277" s="19">
        <v>83</v>
      </c>
      <c r="I277" s="19" t="s">
        <v>1090</v>
      </c>
      <c r="J277" s="19" t="s">
        <v>223</v>
      </c>
      <c r="K277" s="19" t="s">
        <v>114</v>
      </c>
      <c r="L277" s="19">
        <v>5754</v>
      </c>
      <c r="M277" s="19" t="s">
        <v>1440</v>
      </c>
      <c r="N277" s="19">
        <v>2</v>
      </c>
      <c r="O277" s="19" t="s">
        <v>1088</v>
      </c>
      <c r="P277" s="19" t="s">
        <v>830</v>
      </c>
      <c r="Q277" s="19" t="s">
        <v>280</v>
      </c>
      <c r="R277" s="19" t="s">
        <v>281</v>
      </c>
      <c r="S277" s="19" t="s">
        <v>218</v>
      </c>
      <c r="T277" s="19" t="s">
        <v>218</v>
      </c>
      <c r="U277" s="19" t="s">
        <v>218</v>
      </c>
      <c r="V277" s="19" t="s">
        <v>218</v>
      </c>
      <c r="W277" s="19" t="s">
        <v>218</v>
      </c>
      <c r="X277" s="19" t="s">
        <v>218</v>
      </c>
      <c r="Z277"/>
      <c r="AA277"/>
      <c r="AB277"/>
      <c r="AC277"/>
      <c r="AD277"/>
    </row>
    <row r="278" spans="1:30" x14ac:dyDescent="0.35">
      <c r="A278" s="19">
        <v>202304</v>
      </c>
      <c r="B278" s="19" t="s">
        <v>1091</v>
      </c>
      <c r="C278" s="19"/>
      <c r="F278" s="19" t="s">
        <v>208</v>
      </c>
      <c r="G278" s="19" t="s">
        <v>459</v>
      </c>
      <c r="H278" s="19">
        <v>201</v>
      </c>
      <c r="I278" s="19" t="s">
        <v>1092</v>
      </c>
      <c r="J278" s="19" t="s">
        <v>231</v>
      </c>
      <c r="K278" s="19" t="s">
        <v>1093</v>
      </c>
      <c r="L278" s="19">
        <v>0</v>
      </c>
      <c r="M278" s="19" t="s">
        <v>226</v>
      </c>
      <c r="N278" s="19">
        <v>4</v>
      </c>
      <c r="O278" s="19" t="s">
        <v>474</v>
      </c>
      <c r="P278" s="19" t="s">
        <v>457</v>
      </c>
      <c r="Q278" s="19" t="s">
        <v>277</v>
      </c>
      <c r="R278" s="19" t="s">
        <v>278</v>
      </c>
      <c r="S278" s="19" t="s">
        <v>279</v>
      </c>
      <c r="T278" s="19" t="s">
        <v>280</v>
      </c>
      <c r="U278" s="19" t="s">
        <v>281</v>
      </c>
      <c r="V278" s="19" t="s">
        <v>218</v>
      </c>
      <c r="W278" s="19" t="s">
        <v>218</v>
      </c>
      <c r="X278" s="19" t="s">
        <v>218</v>
      </c>
      <c r="Z278"/>
      <c r="AA278"/>
      <c r="AB278"/>
      <c r="AC278"/>
      <c r="AD278"/>
    </row>
    <row r="279" spans="1:30" x14ac:dyDescent="0.35">
      <c r="A279" s="19">
        <v>202304</v>
      </c>
      <c r="B279" s="19" t="s">
        <v>1094</v>
      </c>
      <c r="C279" s="19"/>
      <c r="E279" s="19" t="s">
        <v>208</v>
      </c>
      <c r="F279" s="19" t="s">
        <v>208</v>
      </c>
      <c r="G279" s="19" t="s">
        <v>40</v>
      </c>
      <c r="H279" s="19">
        <v>83</v>
      </c>
      <c r="I279" s="19" t="s">
        <v>1095</v>
      </c>
      <c r="J279" s="19" t="s">
        <v>231</v>
      </c>
      <c r="K279" s="19" t="s">
        <v>156</v>
      </c>
      <c r="L279" s="19">
        <v>5958</v>
      </c>
      <c r="M279" s="19" t="s">
        <v>1438</v>
      </c>
      <c r="N279" s="19">
        <v>2</v>
      </c>
      <c r="O279" s="19" t="s">
        <v>474</v>
      </c>
      <c r="P279" s="19" t="s">
        <v>457</v>
      </c>
      <c r="Q279" s="19" t="s">
        <v>277</v>
      </c>
      <c r="R279" s="19" t="s">
        <v>278</v>
      </c>
      <c r="S279" s="19" t="s">
        <v>279</v>
      </c>
      <c r="T279" s="19" t="s">
        <v>280</v>
      </c>
      <c r="U279" s="19" t="s">
        <v>281</v>
      </c>
      <c r="V279" s="19" t="s">
        <v>218</v>
      </c>
      <c r="W279" s="19" t="s">
        <v>218</v>
      </c>
      <c r="X279" s="19" t="s">
        <v>218</v>
      </c>
      <c r="Z279"/>
      <c r="AA279"/>
      <c r="AB279"/>
      <c r="AC279"/>
      <c r="AD279"/>
    </row>
    <row r="280" spans="1:30" x14ac:dyDescent="0.35">
      <c r="A280" s="19">
        <v>202304</v>
      </c>
      <c r="B280" s="19" t="s">
        <v>1096</v>
      </c>
      <c r="C280" s="19"/>
      <c r="F280" s="19" t="s">
        <v>208</v>
      </c>
      <c r="G280" s="19" t="s">
        <v>40</v>
      </c>
      <c r="H280" s="19">
        <v>201</v>
      </c>
      <c r="I280" s="19" t="s">
        <v>1097</v>
      </c>
      <c r="J280" s="19" t="s">
        <v>231</v>
      </c>
      <c r="K280" s="19" t="s">
        <v>829</v>
      </c>
      <c r="L280" s="19">
        <v>0</v>
      </c>
      <c r="M280" s="19" t="s">
        <v>226</v>
      </c>
      <c r="N280" s="19">
        <v>4</v>
      </c>
      <c r="O280" s="19" t="s">
        <v>474</v>
      </c>
      <c r="P280" s="19" t="s">
        <v>457</v>
      </c>
      <c r="Q280" s="19" t="s">
        <v>277</v>
      </c>
      <c r="R280" s="19" t="s">
        <v>278</v>
      </c>
      <c r="S280" s="19" t="s">
        <v>279</v>
      </c>
      <c r="T280" s="19" t="s">
        <v>280</v>
      </c>
      <c r="U280" s="19" t="s">
        <v>281</v>
      </c>
      <c r="V280" s="19" t="s">
        <v>218</v>
      </c>
      <c r="W280" s="19" t="s">
        <v>218</v>
      </c>
      <c r="X280" s="19" t="s">
        <v>218</v>
      </c>
      <c r="Z280"/>
      <c r="AA280"/>
      <c r="AB280"/>
      <c r="AC280"/>
      <c r="AD280"/>
    </row>
    <row r="281" spans="1:30" x14ac:dyDescent="0.35">
      <c r="A281" s="19">
        <v>202304</v>
      </c>
      <c r="B281" s="19" t="s">
        <v>1098</v>
      </c>
      <c r="C281" s="19"/>
      <c r="F281" s="19" t="s">
        <v>208</v>
      </c>
      <c r="G281" s="19" t="s">
        <v>63</v>
      </c>
      <c r="H281" s="19">
        <v>201</v>
      </c>
      <c r="I281" s="19" t="s">
        <v>1099</v>
      </c>
      <c r="J281" s="19" t="s">
        <v>219</v>
      </c>
      <c r="K281" s="19" t="s">
        <v>116</v>
      </c>
      <c r="L281" s="19">
        <v>0</v>
      </c>
      <c r="M281" s="19" t="s">
        <v>228</v>
      </c>
      <c r="N281" s="19">
        <v>4</v>
      </c>
      <c r="O281" s="19" t="s">
        <v>222</v>
      </c>
      <c r="P281" s="19" t="s">
        <v>218</v>
      </c>
      <c r="Q281" s="19" t="s">
        <v>218</v>
      </c>
      <c r="R281" s="19" t="s">
        <v>218</v>
      </c>
      <c r="S281" s="19" t="s">
        <v>218</v>
      </c>
      <c r="T281" s="19" t="s">
        <v>218</v>
      </c>
      <c r="U281" s="19" t="s">
        <v>218</v>
      </c>
      <c r="V281" s="19" t="s">
        <v>218</v>
      </c>
      <c r="W281" s="19" t="s">
        <v>218</v>
      </c>
      <c r="X281" s="19" t="s">
        <v>218</v>
      </c>
      <c r="Z281"/>
      <c r="AA281"/>
      <c r="AB281"/>
      <c r="AC281"/>
      <c r="AD281"/>
    </row>
    <row r="282" spans="1:30" x14ac:dyDescent="0.35">
      <c r="A282" s="19">
        <v>202304</v>
      </c>
      <c r="B282" s="19" t="s">
        <v>1100</v>
      </c>
      <c r="C282" s="19" t="s">
        <v>208</v>
      </c>
      <c r="E282" s="19" t="s">
        <v>217</v>
      </c>
      <c r="F282" s="19" t="s">
        <v>217</v>
      </c>
      <c r="H282" s="19">
        <v>87</v>
      </c>
      <c r="I282" s="19" t="s">
        <v>1101</v>
      </c>
      <c r="J282" s="19" t="s">
        <v>219</v>
      </c>
      <c r="K282" s="19" t="s">
        <v>116</v>
      </c>
      <c r="L282" s="19">
        <v>0</v>
      </c>
      <c r="M282" s="19" t="s">
        <v>218</v>
      </c>
      <c r="N282" s="19">
        <v>1</v>
      </c>
      <c r="O282" s="19" t="s">
        <v>222</v>
      </c>
      <c r="P282" s="19" t="s">
        <v>218</v>
      </c>
      <c r="Q282" s="19" t="s">
        <v>218</v>
      </c>
      <c r="R282" s="19" t="s">
        <v>218</v>
      </c>
      <c r="S282" s="19" t="s">
        <v>218</v>
      </c>
      <c r="T282" s="19" t="s">
        <v>218</v>
      </c>
      <c r="U282" s="19" t="s">
        <v>218</v>
      </c>
      <c r="V282" s="19" t="s">
        <v>218</v>
      </c>
      <c r="W282" s="19" t="s">
        <v>218</v>
      </c>
      <c r="X282" s="19" t="s">
        <v>218</v>
      </c>
      <c r="Z282"/>
      <c r="AA282"/>
      <c r="AB282"/>
      <c r="AC282"/>
      <c r="AD282"/>
    </row>
    <row r="283" spans="1:30" x14ac:dyDescent="0.35">
      <c r="A283" s="19">
        <v>202304</v>
      </c>
      <c r="B283" s="19" t="s">
        <v>1102</v>
      </c>
      <c r="C283" s="19" t="s">
        <v>208</v>
      </c>
      <c r="E283" s="19" t="s">
        <v>217</v>
      </c>
      <c r="F283" s="19" t="s">
        <v>208</v>
      </c>
      <c r="H283" s="19">
        <v>87</v>
      </c>
      <c r="I283" s="19" t="s">
        <v>1103</v>
      </c>
      <c r="J283" s="19" t="s">
        <v>219</v>
      </c>
      <c r="K283" s="19" t="s">
        <v>116</v>
      </c>
      <c r="L283" s="19">
        <v>0</v>
      </c>
      <c r="M283" s="19" t="s">
        <v>218</v>
      </c>
      <c r="N283" s="19">
        <v>1</v>
      </c>
      <c r="O283" s="19" t="s">
        <v>222</v>
      </c>
      <c r="P283" s="19" t="s">
        <v>218</v>
      </c>
      <c r="Q283" s="19" t="s">
        <v>218</v>
      </c>
      <c r="R283" s="19" t="s">
        <v>218</v>
      </c>
      <c r="S283" s="19" t="s">
        <v>218</v>
      </c>
      <c r="T283" s="19" t="s">
        <v>218</v>
      </c>
      <c r="U283" s="19" t="s">
        <v>218</v>
      </c>
      <c r="V283" s="19" t="s">
        <v>218</v>
      </c>
      <c r="W283" s="19" t="s">
        <v>218</v>
      </c>
      <c r="X283" s="19" t="s">
        <v>218</v>
      </c>
      <c r="Z283"/>
      <c r="AA283"/>
      <c r="AB283"/>
      <c r="AC283"/>
      <c r="AD283"/>
    </row>
    <row r="284" spans="1:30" x14ac:dyDescent="0.35">
      <c r="A284" s="19">
        <v>202304</v>
      </c>
      <c r="B284" s="19" t="s">
        <v>506</v>
      </c>
      <c r="C284" s="19"/>
      <c r="E284" s="19" t="s">
        <v>208</v>
      </c>
      <c r="F284" s="19" t="s">
        <v>217</v>
      </c>
      <c r="G284" s="19" t="s">
        <v>50</v>
      </c>
      <c r="H284" s="19">
        <v>83</v>
      </c>
      <c r="I284" s="19" t="s">
        <v>507</v>
      </c>
      <c r="J284" s="19" t="s">
        <v>219</v>
      </c>
      <c r="K284" s="19" t="s">
        <v>475</v>
      </c>
      <c r="L284" s="19">
        <v>4828</v>
      </c>
      <c r="M284" s="19" t="s">
        <v>520</v>
      </c>
      <c r="N284" s="19">
        <v>2</v>
      </c>
      <c r="O284" s="19" t="s">
        <v>253</v>
      </c>
      <c r="P284" s="19" t="s">
        <v>218</v>
      </c>
      <c r="Q284" s="19" t="s">
        <v>218</v>
      </c>
      <c r="R284" s="19" t="s">
        <v>218</v>
      </c>
      <c r="S284" s="19" t="s">
        <v>218</v>
      </c>
      <c r="T284" s="19" t="s">
        <v>218</v>
      </c>
      <c r="U284" s="19" t="s">
        <v>218</v>
      </c>
      <c r="V284" s="19" t="s">
        <v>218</v>
      </c>
      <c r="W284" s="19" t="s">
        <v>218</v>
      </c>
      <c r="X284" s="19" t="s">
        <v>218</v>
      </c>
      <c r="Z284"/>
      <c r="AA284"/>
      <c r="AB284"/>
      <c r="AC284"/>
      <c r="AD284"/>
    </row>
    <row r="285" spans="1:30" x14ac:dyDescent="0.35">
      <c r="A285" s="19">
        <v>202304</v>
      </c>
      <c r="B285" s="19" t="s">
        <v>1104</v>
      </c>
      <c r="C285" s="19"/>
      <c r="E285" s="19" t="s">
        <v>208</v>
      </c>
      <c r="F285" s="19" t="s">
        <v>208</v>
      </c>
      <c r="G285" s="19" t="s">
        <v>50</v>
      </c>
      <c r="H285" s="19">
        <v>83</v>
      </c>
      <c r="I285" s="19" t="s">
        <v>1105</v>
      </c>
      <c r="J285" s="19" t="s">
        <v>219</v>
      </c>
      <c r="K285" s="19" t="s">
        <v>475</v>
      </c>
      <c r="L285" s="19">
        <v>4828</v>
      </c>
      <c r="M285" s="19" t="s">
        <v>520</v>
      </c>
      <c r="N285" s="19">
        <v>2</v>
      </c>
      <c r="O285" s="19" t="s">
        <v>253</v>
      </c>
      <c r="P285" s="19" t="s">
        <v>218</v>
      </c>
      <c r="Q285" s="19" t="s">
        <v>218</v>
      </c>
      <c r="R285" s="19" t="s">
        <v>218</v>
      </c>
      <c r="S285" s="19" t="s">
        <v>218</v>
      </c>
      <c r="T285" s="19" t="s">
        <v>218</v>
      </c>
      <c r="U285" s="19" t="s">
        <v>218</v>
      </c>
      <c r="V285" s="19" t="s">
        <v>218</v>
      </c>
      <c r="W285" s="19" t="s">
        <v>218</v>
      </c>
      <c r="X285" s="19" t="s">
        <v>218</v>
      </c>
      <c r="Z285"/>
      <c r="AA285"/>
      <c r="AB285"/>
      <c r="AC285"/>
      <c r="AD285"/>
    </row>
    <row r="286" spans="1:30" x14ac:dyDescent="0.35">
      <c r="A286" s="19">
        <v>202304</v>
      </c>
      <c r="B286" s="19" t="s">
        <v>1106</v>
      </c>
      <c r="C286" s="19"/>
      <c r="F286" s="19" t="s">
        <v>208</v>
      </c>
      <c r="G286" s="19" t="s">
        <v>50</v>
      </c>
      <c r="H286" s="19">
        <v>201</v>
      </c>
      <c r="I286" s="19" t="s">
        <v>1107</v>
      </c>
      <c r="J286" s="19" t="s">
        <v>219</v>
      </c>
      <c r="K286" s="19" t="s">
        <v>475</v>
      </c>
      <c r="L286" s="19">
        <v>0</v>
      </c>
      <c r="M286" s="19" t="s">
        <v>229</v>
      </c>
      <c r="N286" s="19">
        <v>4</v>
      </c>
      <c r="O286" s="19" t="s">
        <v>222</v>
      </c>
      <c r="P286" s="19" t="s">
        <v>218</v>
      </c>
      <c r="Q286" s="19" t="s">
        <v>218</v>
      </c>
      <c r="R286" s="19" t="s">
        <v>218</v>
      </c>
      <c r="S286" s="19" t="s">
        <v>218</v>
      </c>
      <c r="T286" s="19" t="s">
        <v>218</v>
      </c>
      <c r="U286" s="19" t="s">
        <v>218</v>
      </c>
      <c r="V286" s="19" t="s">
        <v>218</v>
      </c>
      <c r="W286" s="19" t="s">
        <v>218</v>
      </c>
      <c r="X286" s="19" t="s">
        <v>218</v>
      </c>
      <c r="Z286"/>
      <c r="AA286"/>
      <c r="AB286"/>
      <c r="AC286"/>
      <c r="AD286"/>
    </row>
    <row r="287" spans="1:30" x14ac:dyDescent="0.35">
      <c r="A287" s="19">
        <v>202304</v>
      </c>
      <c r="B287" s="19" t="s">
        <v>1108</v>
      </c>
      <c r="C287" s="19"/>
      <c r="E287" s="19" t="s">
        <v>208</v>
      </c>
      <c r="F287" s="19" t="s">
        <v>208</v>
      </c>
      <c r="G287" s="19" t="s">
        <v>83</v>
      </c>
      <c r="H287" s="19">
        <v>83</v>
      </c>
      <c r="I287" s="19" t="s">
        <v>1109</v>
      </c>
      <c r="J287" s="19" t="s">
        <v>219</v>
      </c>
      <c r="K287" s="19" t="s">
        <v>475</v>
      </c>
      <c r="L287" s="19">
        <v>4828</v>
      </c>
      <c r="M287" s="19" t="s">
        <v>520</v>
      </c>
      <c r="N287" s="19">
        <v>2</v>
      </c>
      <c r="O287" s="19" t="s">
        <v>253</v>
      </c>
      <c r="P287" s="19" t="s">
        <v>218</v>
      </c>
      <c r="Q287" s="19" t="s">
        <v>218</v>
      </c>
      <c r="R287" s="19" t="s">
        <v>218</v>
      </c>
      <c r="S287" s="19" t="s">
        <v>218</v>
      </c>
      <c r="T287" s="19" t="s">
        <v>218</v>
      </c>
      <c r="U287" s="19" t="s">
        <v>218</v>
      </c>
      <c r="V287" s="19" t="s">
        <v>218</v>
      </c>
      <c r="W287" s="19" t="s">
        <v>218</v>
      </c>
      <c r="X287" s="19" t="s">
        <v>218</v>
      </c>
      <c r="Z287"/>
      <c r="AA287"/>
      <c r="AB287"/>
      <c r="AC287"/>
      <c r="AD287"/>
    </row>
    <row r="288" spans="1:30" x14ac:dyDescent="0.35">
      <c r="A288" s="19">
        <v>202304</v>
      </c>
      <c r="B288" s="19" t="s">
        <v>1110</v>
      </c>
      <c r="C288" s="19"/>
      <c r="E288" s="19" t="s">
        <v>208</v>
      </c>
      <c r="G288" s="19" t="s">
        <v>83</v>
      </c>
      <c r="H288" s="19">
        <v>83</v>
      </c>
      <c r="I288" s="19" t="s">
        <v>1111</v>
      </c>
      <c r="J288" s="19" t="s">
        <v>219</v>
      </c>
      <c r="K288" s="19" t="s">
        <v>475</v>
      </c>
      <c r="L288" s="19">
        <v>4828</v>
      </c>
      <c r="M288" s="19" t="s">
        <v>520</v>
      </c>
      <c r="N288" s="19">
        <v>2</v>
      </c>
      <c r="O288" s="19" t="s">
        <v>253</v>
      </c>
      <c r="P288" s="19" t="s">
        <v>218</v>
      </c>
      <c r="Q288" s="19" t="s">
        <v>218</v>
      </c>
      <c r="R288" s="19" t="s">
        <v>218</v>
      </c>
      <c r="S288" s="19" t="s">
        <v>218</v>
      </c>
      <c r="T288" s="19" t="s">
        <v>218</v>
      </c>
      <c r="U288" s="19" t="s">
        <v>218</v>
      </c>
      <c r="V288" s="19" t="s">
        <v>218</v>
      </c>
      <c r="W288" s="19" t="s">
        <v>218</v>
      </c>
      <c r="X288" s="19" t="s">
        <v>218</v>
      </c>
      <c r="Z288"/>
      <c r="AA288"/>
      <c r="AB288"/>
      <c r="AC288"/>
      <c r="AD288"/>
    </row>
    <row r="289" spans="1:30" x14ac:dyDescent="0.35">
      <c r="A289" s="19">
        <v>202304</v>
      </c>
      <c r="B289" s="19" t="s">
        <v>1112</v>
      </c>
      <c r="C289" s="19"/>
      <c r="E289" s="19" t="s">
        <v>208</v>
      </c>
      <c r="G289" s="19" t="s">
        <v>83</v>
      </c>
      <c r="H289" s="19">
        <v>83</v>
      </c>
      <c r="I289" s="19" t="s">
        <v>1113</v>
      </c>
      <c r="J289" s="19" t="s">
        <v>219</v>
      </c>
      <c r="K289" s="19" t="s">
        <v>475</v>
      </c>
      <c r="L289" s="19">
        <v>4828</v>
      </c>
      <c r="M289" s="19" t="s">
        <v>520</v>
      </c>
      <c r="N289" s="19">
        <v>2</v>
      </c>
      <c r="O289" s="19" t="s">
        <v>253</v>
      </c>
      <c r="P289" s="19" t="s">
        <v>218</v>
      </c>
      <c r="Q289" s="19" t="s">
        <v>218</v>
      </c>
      <c r="R289" s="19" t="s">
        <v>218</v>
      </c>
      <c r="S289" s="19" t="s">
        <v>218</v>
      </c>
      <c r="T289" s="19" t="s">
        <v>218</v>
      </c>
      <c r="U289" s="19" t="s">
        <v>218</v>
      </c>
      <c r="V289" s="19" t="s">
        <v>218</v>
      </c>
      <c r="W289" s="19" t="s">
        <v>218</v>
      </c>
      <c r="X289" s="19" t="s">
        <v>218</v>
      </c>
      <c r="Z289"/>
      <c r="AA289"/>
      <c r="AB289"/>
      <c r="AC289"/>
      <c r="AD289"/>
    </row>
    <row r="290" spans="1:30" x14ac:dyDescent="0.35">
      <c r="A290" s="19">
        <v>202304</v>
      </c>
      <c r="B290" s="19" t="s">
        <v>545</v>
      </c>
      <c r="C290" s="19"/>
      <c r="E290" s="19" t="s">
        <v>208</v>
      </c>
      <c r="F290" s="19" t="s">
        <v>217</v>
      </c>
      <c r="G290" s="19" t="s">
        <v>50</v>
      </c>
      <c r="H290" s="19">
        <v>83</v>
      </c>
      <c r="I290" s="19" t="s">
        <v>509</v>
      </c>
      <c r="J290" s="19" t="s">
        <v>219</v>
      </c>
      <c r="K290" s="19" t="s">
        <v>475</v>
      </c>
      <c r="L290" s="19">
        <v>4828</v>
      </c>
      <c r="M290" s="19" t="s">
        <v>520</v>
      </c>
      <c r="N290" s="19">
        <v>2</v>
      </c>
      <c r="O290" s="19" t="s">
        <v>253</v>
      </c>
      <c r="P290" s="19" t="s">
        <v>218</v>
      </c>
      <c r="Q290" s="19" t="s">
        <v>218</v>
      </c>
      <c r="R290" s="19" t="s">
        <v>218</v>
      </c>
      <c r="S290" s="19" t="s">
        <v>218</v>
      </c>
      <c r="T290" s="19" t="s">
        <v>218</v>
      </c>
      <c r="U290" s="19" t="s">
        <v>218</v>
      </c>
      <c r="V290" s="19" t="s">
        <v>218</v>
      </c>
      <c r="W290" s="19" t="s">
        <v>218</v>
      </c>
      <c r="X290" s="19" t="s">
        <v>218</v>
      </c>
      <c r="Z290"/>
      <c r="AA290"/>
      <c r="AB290"/>
      <c r="AC290"/>
      <c r="AD290"/>
    </row>
    <row r="291" spans="1:30" x14ac:dyDescent="0.35">
      <c r="A291" s="19">
        <v>202304</v>
      </c>
      <c r="B291" s="19" t="s">
        <v>1114</v>
      </c>
      <c r="C291" s="19"/>
      <c r="E291" s="19" t="s">
        <v>208</v>
      </c>
      <c r="F291" s="19" t="s">
        <v>208</v>
      </c>
      <c r="G291" s="19" t="s">
        <v>67</v>
      </c>
      <c r="H291" s="19">
        <v>83</v>
      </c>
      <c r="I291" s="19" t="s">
        <v>1115</v>
      </c>
      <c r="J291" s="19" t="s">
        <v>219</v>
      </c>
      <c r="K291" s="19" t="s">
        <v>475</v>
      </c>
      <c r="L291" s="19">
        <v>4828</v>
      </c>
      <c r="M291" s="19" t="s">
        <v>520</v>
      </c>
      <c r="N291" s="19">
        <v>2</v>
      </c>
      <c r="O291" s="19" t="s">
        <v>253</v>
      </c>
      <c r="P291" s="19" t="s">
        <v>218</v>
      </c>
      <c r="Q291" s="19" t="s">
        <v>218</v>
      </c>
      <c r="R291" s="19" t="s">
        <v>218</v>
      </c>
      <c r="S291" s="19" t="s">
        <v>218</v>
      </c>
      <c r="T291" s="19" t="s">
        <v>218</v>
      </c>
      <c r="U291" s="19" t="s">
        <v>218</v>
      </c>
      <c r="V291" s="19" t="s">
        <v>218</v>
      </c>
      <c r="W291" s="19" t="s">
        <v>218</v>
      </c>
      <c r="X291" s="19" t="s">
        <v>218</v>
      </c>
      <c r="Z291"/>
      <c r="AA291"/>
      <c r="AB291"/>
      <c r="AC291"/>
      <c r="AD291"/>
    </row>
    <row r="292" spans="1:30" x14ac:dyDescent="0.35">
      <c r="A292" s="19">
        <v>202304</v>
      </c>
      <c r="B292" s="19" t="s">
        <v>1116</v>
      </c>
      <c r="C292" s="19"/>
      <c r="E292" s="19" t="s">
        <v>208</v>
      </c>
      <c r="F292" s="19" t="s">
        <v>208</v>
      </c>
      <c r="G292" s="19" t="s">
        <v>67</v>
      </c>
      <c r="H292" s="19">
        <v>83</v>
      </c>
      <c r="I292" s="19" t="s">
        <v>1117</v>
      </c>
      <c r="J292" s="19" t="s">
        <v>219</v>
      </c>
      <c r="K292" s="19" t="s">
        <v>475</v>
      </c>
      <c r="L292" s="19">
        <v>4828</v>
      </c>
      <c r="M292" s="19" t="s">
        <v>520</v>
      </c>
      <c r="N292" s="19">
        <v>2</v>
      </c>
      <c r="O292" s="19" t="s">
        <v>253</v>
      </c>
      <c r="P292" s="19" t="s">
        <v>218</v>
      </c>
      <c r="Q292" s="19" t="s">
        <v>218</v>
      </c>
      <c r="R292" s="19" t="s">
        <v>218</v>
      </c>
      <c r="S292" s="19" t="s">
        <v>218</v>
      </c>
      <c r="T292" s="19" t="s">
        <v>218</v>
      </c>
      <c r="U292" s="19" t="s">
        <v>218</v>
      </c>
      <c r="V292" s="19" t="s">
        <v>218</v>
      </c>
      <c r="W292" s="19" t="s">
        <v>218</v>
      </c>
      <c r="X292" s="19" t="s">
        <v>218</v>
      </c>
      <c r="Z292"/>
      <c r="AA292"/>
      <c r="AB292"/>
      <c r="AC292"/>
      <c r="AD292"/>
    </row>
    <row r="293" spans="1:30" x14ac:dyDescent="0.35">
      <c r="A293" s="19">
        <v>202304</v>
      </c>
      <c r="B293" s="19" t="s">
        <v>1118</v>
      </c>
      <c r="C293" s="19"/>
      <c r="F293" s="19" t="s">
        <v>208</v>
      </c>
      <c r="G293" s="19" t="s">
        <v>83</v>
      </c>
      <c r="H293" s="19">
        <v>201</v>
      </c>
      <c r="I293" s="19" t="s">
        <v>1119</v>
      </c>
      <c r="J293" s="19" t="s">
        <v>219</v>
      </c>
      <c r="K293" s="19" t="s">
        <v>475</v>
      </c>
      <c r="L293" s="19">
        <v>0</v>
      </c>
      <c r="M293" s="19" t="s">
        <v>229</v>
      </c>
      <c r="N293" s="19">
        <v>4</v>
      </c>
      <c r="O293" s="19" t="s">
        <v>222</v>
      </c>
      <c r="P293" s="19" t="s">
        <v>218</v>
      </c>
      <c r="Q293" s="19" t="s">
        <v>218</v>
      </c>
      <c r="R293" s="19" t="s">
        <v>218</v>
      </c>
      <c r="S293" s="19" t="s">
        <v>218</v>
      </c>
      <c r="T293" s="19" t="s">
        <v>218</v>
      </c>
      <c r="U293" s="19" t="s">
        <v>218</v>
      </c>
      <c r="V293" s="19" t="s">
        <v>218</v>
      </c>
      <c r="W293" s="19" t="s">
        <v>218</v>
      </c>
      <c r="X293" s="19" t="s">
        <v>218</v>
      </c>
      <c r="Z293"/>
      <c r="AA293"/>
      <c r="AB293"/>
      <c r="AC293"/>
      <c r="AD293"/>
    </row>
    <row r="294" spans="1:30" x14ac:dyDescent="0.35">
      <c r="A294" s="19">
        <v>202304</v>
      </c>
      <c r="B294" s="19" t="s">
        <v>1120</v>
      </c>
      <c r="C294" s="19"/>
      <c r="E294" s="19" t="s">
        <v>208</v>
      </c>
      <c r="F294" s="19" t="s">
        <v>208</v>
      </c>
      <c r="G294" s="19" t="s">
        <v>83</v>
      </c>
      <c r="H294" s="19">
        <v>83</v>
      </c>
      <c r="I294" s="19" t="s">
        <v>1121</v>
      </c>
      <c r="J294" s="19" t="s">
        <v>219</v>
      </c>
      <c r="K294" s="19" t="s">
        <v>475</v>
      </c>
      <c r="L294" s="19">
        <v>4828</v>
      </c>
      <c r="M294" s="19" t="s">
        <v>520</v>
      </c>
      <c r="N294" s="19">
        <v>2</v>
      </c>
      <c r="O294" s="19" t="s">
        <v>253</v>
      </c>
      <c r="P294" s="19" t="s">
        <v>218</v>
      </c>
      <c r="Q294" s="19" t="s">
        <v>218</v>
      </c>
      <c r="R294" s="19" t="s">
        <v>218</v>
      </c>
      <c r="S294" s="19" t="s">
        <v>218</v>
      </c>
      <c r="T294" s="19" t="s">
        <v>218</v>
      </c>
      <c r="U294" s="19" t="s">
        <v>218</v>
      </c>
      <c r="V294" s="19" t="s">
        <v>218</v>
      </c>
      <c r="W294" s="19" t="s">
        <v>218</v>
      </c>
      <c r="X294" s="19" t="s">
        <v>218</v>
      </c>
      <c r="Z294"/>
      <c r="AA294"/>
      <c r="AB294"/>
      <c r="AC294"/>
      <c r="AD294"/>
    </row>
    <row r="295" spans="1:30" x14ac:dyDescent="0.35">
      <c r="A295" s="19">
        <v>202304</v>
      </c>
      <c r="B295" s="19" t="s">
        <v>1122</v>
      </c>
      <c r="C295" s="19" t="s">
        <v>208</v>
      </c>
      <c r="E295" s="19" t="s">
        <v>217</v>
      </c>
      <c r="G295" s="19" t="s">
        <v>63</v>
      </c>
      <c r="H295" s="19">
        <v>87</v>
      </c>
      <c r="I295" s="19" t="s">
        <v>1123</v>
      </c>
      <c r="J295" s="19" t="s">
        <v>219</v>
      </c>
      <c r="K295" s="19" t="s">
        <v>508</v>
      </c>
      <c r="L295" s="19">
        <v>0</v>
      </c>
      <c r="M295" s="19" t="s">
        <v>228</v>
      </c>
      <c r="N295" s="19">
        <v>1</v>
      </c>
      <c r="O295" s="19" t="s">
        <v>222</v>
      </c>
      <c r="P295" s="19" t="s">
        <v>218</v>
      </c>
      <c r="Q295" s="19" t="s">
        <v>218</v>
      </c>
      <c r="R295" s="19" t="s">
        <v>218</v>
      </c>
      <c r="S295" s="19" t="s">
        <v>218</v>
      </c>
      <c r="T295" s="19" t="s">
        <v>218</v>
      </c>
      <c r="U295" s="19" t="s">
        <v>218</v>
      </c>
      <c r="V295" s="19" t="s">
        <v>218</v>
      </c>
      <c r="W295" s="19" t="s">
        <v>218</v>
      </c>
      <c r="X295" s="19" t="s">
        <v>218</v>
      </c>
      <c r="Z295"/>
      <c r="AA295"/>
      <c r="AB295"/>
      <c r="AC295"/>
      <c r="AD295"/>
    </row>
    <row r="296" spans="1:30" x14ac:dyDescent="0.35">
      <c r="A296" s="19">
        <v>202304</v>
      </c>
      <c r="B296" s="19" t="s">
        <v>1124</v>
      </c>
      <c r="C296" s="19"/>
      <c r="F296" s="19" t="s">
        <v>208</v>
      </c>
      <c r="G296" s="19" t="s">
        <v>83</v>
      </c>
      <c r="H296" s="19">
        <v>201</v>
      </c>
      <c r="I296" s="19" t="s">
        <v>218</v>
      </c>
      <c r="J296" s="19" t="s">
        <v>219</v>
      </c>
      <c r="K296" s="19" t="s">
        <v>116</v>
      </c>
      <c r="L296" s="19">
        <v>0</v>
      </c>
      <c r="M296" s="19" t="s">
        <v>218</v>
      </c>
      <c r="N296" s="19">
        <v>4</v>
      </c>
      <c r="O296" s="19" t="s">
        <v>222</v>
      </c>
      <c r="P296" s="19" t="s">
        <v>218</v>
      </c>
      <c r="Q296" s="19" t="s">
        <v>218</v>
      </c>
      <c r="R296" s="19" t="s">
        <v>218</v>
      </c>
      <c r="S296" s="19" t="s">
        <v>218</v>
      </c>
      <c r="T296" s="19" t="s">
        <v>218</v>
      </c>
      <c r="U296" s="19" t="s">
        <v>218</v>
      </c>
      <c r="V296" s="19" t="s">
        <v>218</v>
      </c>
      <c r="W296" s="19" t="s">
        <v>218</v>
      </c>
      <c r="X296" s="19" t="s">
        <v>218</v>
      </c>
      <c r="Z296"/>
      <c r="AA296"/>
      <c r="AB296"/>
      <c r="AC296"/>
      <c r="AD296"/>
    </row>
    <row r="297" spans="1:30" x14ac:dyDescent="0.35">
      <c r="A297" s="19">
        <v>202304</v>
      </c>
      <c r="B297" s="19" t="s">
        <v>1125</v>
      </c>
      <c r="C297" s="19"/>
      <c r="E297" s="19" t="s">
        <v>208</v>
      </c>
      <c r="G297" s="19" t="s">
        <v>83</v>
      </c>
      <c r="H297" s="19">
        <v>83</v>
      </c>
      <c r="I297" s="19" t="s">
        <v>1126</v>
      </c>
      <c r="J297" s="19" t="s">
        <v>219</v>
      </c>
      <c r="K297" s="19" t="s">
        <v>227</v>
      </c>
      <c r="L297" s="19">
        <v>4792</v>
      </c>
      <c r="M297" s="19" t="s">
        <v>1127</v>
      </c>
      <c r="N297" s="19">
        <v>2</v>
      </c>
      <c r="O297" s="19" t="s">
        <v>253</v>
      </c>
      <c r="P297" s="19" t="s">
        <v>218</v>
      </c>
      <c r="Q297" s="19" t="s">
        <v>218</v>
      </c>
      <c r="R297" s="19" t="s">
        <v>218</v>
      </c>
      <c r="S297" s="19" t="s">
        <v>218</v>
      </c>
      <c r="T297" s="19" t="s">
        <v>218</v>
      </c>
      <c r="U297" s="19" t="s">
        <v>218</v>
      </c>
      <c r="V297" s="19" t="s">
        <v>218</v>
      </c>
      <c r="W297" s="19" t="s">
        <v>218</v>
      </c>
      <c r="X297" s="19" t="s">
        <v>218</v>
      </c>
      <c r="Z297"/>
      <c r="AA297"/>
      <c r="AB297"/>
      <c r="AC297"/>
      <c r="AD297"/>
    </row>
    <row r="298" spans="1:30" x14ac:dyDescent="0.35">
      <c r="A298" s="19">
        <v>202304</v>
      </c>
      <c r="B298" s="19" t="s">
        <v>1128</v>
      </c>
      <c r="C298" s="19"/>
      <c r="E298" s="19" t="s">
        <v>208</v>
      </c>
      <c r="F298" s="19" t="s">
        <v>208</v>
      </c>
      <c r="G298" s="19" t="s">
        <v>83</v>
      </c>
      <c r="H298" s="19">
        <v>83</v>
      </c>
      <c r="I298" s="19" t="s">
        <v>1129</v>
      </c>
      <c r="J298" s="19" t="s">
        <v>219</v>
      </c>
      <c r="K298" s="19" t="s">
        <v>475</v>
      </c>
      <c r="L298" s="19">
        <v>4828</v>
      </c>
      <c r="M298" s="19" t="s">
        <v>520</v>
      </c>
      <c r="N298" s="19">
        <v>2</v>
      </c>
      <c r="O298" s="19" t="s">
        <v>253</v>
      </c>
      <c r="P298" s="19" t="s">
        <v>218</v>
      </c>
      <c r="Q298" s="19" t="s">
        <v>218</v>
      </c>
      <c r="R298" s="19" t="s">
        <v>218</v>
      </c>
      <c r="S298" s="19" t="s">
        <v>218</v>
      </c>
      <c r="T298" s="19" t="s">
        <v>218</v>
      </c>
      <c r="U298" s="19" t="s">
        <v>218</v>
      </c>
      <c r="V298" s="19" t="s">
        <v>218</v>
      </c>
      <c r="W298" s="19" t="s">
        <v>218</v>
      </c>
      <c r="X298" s="19" t="s">
        <v>218</v>
      </c>
      <c r="Z298"/>
      <c r="AA298"/>
      <c r="AB298"/>
      <c r="AC298"/>
      <c r="AD298"/>
    </row>
    <row r="299" spans="1:30" x14ac:dyDescent="0.35">
      <c r="A299" s="19">
        <v>202304</v>
      </c>
      <c r="B299" s="19" t="s">
        <v>1130</v>
      </c>
      <c r="C299" s="19"/>
      <c r="E299" s="19" t="s">
        <v>208</v>
      </c>
      <c r="F299" s="19" t="s">
        <v>208</v>
      </c>
      <c r="G299" s="19" t="s">
        <v>83</v>
      </c>
      <c r="H299" s="19">
        <v>83</v>
      </c>
      <c r="I299" s="19" t="s">
        <v>1131</v>
      </c>
      <c r="J299" s="19" t="s">
        <v>219</v>
      </c>
      <c r="K299" s="19" t="s">
        <v>227</v>
      </c>
      <c r="L299" s="19">
        <v>5669</v>
      </c>
      <c r="M299" s="19" t="s">
        <v>538</v>
      </c>
      <c r="N299" s="19">
        <v>2</v>
      </c>
      <c r="O299" s="19" t="s">
        <v>253</v>
      </c>
      <c r="P299" s="19" t="s">
        <v>218</v>
      </c>
      <c r="Q299" s="19" t="s">
        <v>218</v>
      </c>
      <c r="R299" s="19" t="s">
        <v>218</v>
      </c>
      <c r="S299" s="19" t="s">
        <v>218</v>
      </c>
      <c r="T299" s="19" t="s">
        <v>218</v>
      </c>
      <c r="U299" s="19" t="s">
        <v>218</v>
      </c>
      <c r="V299" s="19" t="s">
        <v>218</v>
      </c>
      <c r="W299" s="19" t="s">
        <v>218</v>
      </c>
      <c r="X299" s="19" t="s">
        <v>218</v>
      </c>
      <c r="Z299"/>
      <c r="AA299"/>
      <c r="AB299"/>
      <c r="AC299"/>
      <c r="AD299"/>
    </row>
    <row r="300" spans="1:30" x14ac:dyDescent="0.35">
      <c r="A300" s="19">
        <v>202304</v>
      </c>
      <c r="B300" s="19" t="s">
        <v>1132</v>
      </c>
      <c r="C300" s="19"/>
      <c r="E300" s="19" t="s">
        <v>208</v>
      </c>
      <c r="F300" s="19" t="s">
        <v>208</v>
      </c>
      <c r="G300" s="19" t="s">
        <v>83</v>
      </c>
      <c r="H300" s="19">
        <v>83</v>
      </c>
      <c r="I300" s="19" t="s">
        <v>1133</v>
      </c>
      <c r="J300" s="19" t="s">
        <v>219</v>
      </c>
      <c r="K300" s="19" t="s">
        <v>227</v>
      </c>
      <c r="L300" s="19">
        <v>5669</v>
      </c>
      <c r="M300" s="19" t="s">
        <v>538</v>
      </c>
      <c r="N300" s="19">
        <v>2</v>
      </c>
      <c r="O300" s="19" t="s">
        <v>253</v>
      </c>
      <c r="P300" s="19" t="s">
        <v>218</v>
      </c>
      <c r="Q300" s="19" t="s">
        <v>218</v>
      </c>
      <c r="R300" s="19" t="s">
        <v>218</v>
      </c>
      <c r="S300" s="19" t="s">
        <v>218</v>
      </c>
      <c r="T300" s="19" t="s">
        <v>218</v>
      </c>
      <c r="U300" s="19" t="s">
        <v>218</v>
      </c>
      <c r="V300" s="19" t="s">
        <v>218</v>
      </c>
      <c r="W300" s="19" t="s">
        <v>218</v>
      </c>
      <c r="X300" s="19" t="s">
        <v>218</v>
      </c>
      <c r="Z300"/>
      <c r="AA300"/>
      <c r="AB300"/>
      <c r="AC300"/>
      <c r="AD300"/>
    </row>
    <row r="301" spans="1:30" x14ac:dyDescent="0.35">
      <c r="A301" s="19">
        <v>202304</v>
      </c>
      <c r="B301" s="19" t="s">
        <v>1134</v>
      </c>
      <c r="C301" s="19" t="s">
        <v>208</v>
      </c>
      <c r="E301" s="19" t="s">
        <v>208</v>
      </c>
      <c r="G301" s="19" t="s">
        <v>67</v>
      </c>
      <c r="H301" s="19">
        <v>87</v>
      </c>
      <c r="I301" s="19" t="s">
        <v>1135</v>
      </c>
      <c r="J301" s="19" t="s">
        <v>219</v>
      </c>
      <c r="K301" s="19" t="s">
        <v>116</v>
      </c>
      <c r="L301" s="19">
        <v>0</v>
      </c>
      <c r="M301" s="19" t="s">
        <v>230</v>
      </c>
      <c r="N301" s="19">
        <v>1</v>
      </c>
      <c r="O301" s="19" t="s">
        <v>222</v>
      </c>
      <c r="P301" s="19" t="s">
        <v>218</v>
      </c>
      <c r="Q301" s="19" t="s">
        <v>218</v>
      </c>
      <c r="R301" s="19" t="s">
        <v>218</v>
      </c>
      <c r="S301" s="19" t="s">
        <v>218</v>
      </c>
      <c r="T301" s="19" t="s">
        <v>218</v>
      </c>
      <c r="U301" s="19" t="s">
        <v>218</v>
      </c>
      <c r="V301" s="19" t="s">
        <v>218</v>
      </c>
      <c r="W301" s="19" t="s">
        <v>218</v>
      </c>
      <c r="X301" s="19" t="s">
        <v>218</v>
      </c>
      <c r="Z301"/>
      <c r="AA301"/>
      <c r="AB301"/>
      <c r="AC301"/>
      <c r="AD301"/>
    </row>
    <row r="302" spans="1:30" x14ac:dyDescent="0.35">
      <c r="A302" s="19">
        <v>202304</v>
      </c>
      <c r="B302" s="19" t="s">
        <v>1136</v>
      </c>
      <c r="C302" s="19"/>
      <c r="E302" s="19" t="s">
        <v>208</v>
      </c>
      <c r="G302" s="19" t="s">
        <v>67</v>
      </c>
      <c r="H302" s="19">
        <v>83</v>
      </c>
      <c r="I302" s="19" t="s">
        <v>1137</v>
      </c>
      <c r="J302" s="19" t="s">
        <v>219</v>
      </c>
      <c r="K302" s="19" t="s">
        <v>227</v>
      </c>
      <c r="L302" s="19">
        <v>5914</v>
      </c>
      <c r="M302" s="19" t="s">
        <v>540</v>
      </c>
      <c r="N302" s="19">
        <v>2</v>
      </c>
      <c r="O302" s="19" t="s">
        <v>253</v>
      </c>
      <c r="P302" s="19" t="s">
        <v>218</v>
      </c>
      <c r="Q302" s="19" t="s">
        <v>218</v>
      </c>
      <c r="R302" s="19" t="s">
        <v>218</v>
      </c>
      <c r="S302" s="19" t="s">
        <v>218</v>
      </c>
      <c r="T302" s="19" t="s">
        <v>218</v>
      </c>
      <c r="U302" s="19" t="s">
        <v>218</v>
      </c>
      <c r="V302" s="19" t="s">
        <v>218</v>
      </c>
      <c r="W302" s="19" t="s">
        <v>218</v>
      </c>
      <c r="X302" s="19" t="s">
        <v>218</v>
      </c>
      <c r="Z302"/>
      <c r="AA302"/>
      <c r="AB302"/>
      <c r="AC302"/>
      <c r="AD302"/>
    </row>
    <row r="303" spans="1:30" x14ac:dyDescent="0.35">
      <c r="A303" s="19">
        <v>202304</v>
      </c>
      <c r="B303" s="19" t="s">
        <v>1138</v>
      </c>
      <c r="C303" s="19"/>
      <c r="E303" s="19" t="s">
        <v>208</v>
      </c>
      <c r="G303" s="19" t="s">
        <v>67</v>
      </c>
      <c r="H303" s="19">
        <v>83</v>
      </c>
      <c r="I303" s="19" t="s">
        <v>1139</v>
      </c>
      <c r="J303" s="19" t="s">
        <v>219</v>
      </c>
      <c r="K303" s="19" t="s">
        <v>227</v>
      </c>
      <c r="L303" s="19">
        <v>5914</v>
      </c>
      <c r="M303" s="19" t="s">
        <v>540</v>
      </c>
      <c r="N303" s="19">
        <v>2</v>
      </c>
      <c r="O303" s="19" t="s">
        <v>253</v>
      </c>
      <c r="P303" s="19" t="s">
        <v>218</v>
      </c>
      <c r="Q303" s="19" t="s">
        <v>218</v>
      </c>
      <c r="R303" s="19" t="s">
        <v>218</v>
      </c>
      <c r="S303" s="19" t="s">
        <v>218</v>
      </c>
      <c r="T303" s="19" t="s">
        <v>218</v>
      </c>
      <c r="U303" s="19" t="s">
        <v>218</v>
      </c>
      <c r="V303" s="19" t="s">
        <v>218</v>
      </c>
      <c r="W303" s="19" t="s">
        <v>218</v>
      </c>
      <c r="X303" s="19" t="s">
        <v>218</v>
      </c>
      <c r="Z303"/>
      <c r="AA303"/>
      <c r="AB303"/>
      <c r="AC303"/>
      <c r="AD303"/>
    </row>
    <row r="304" spans="1:30" x14ac:dyDescent="0.35">
      <c r="A304" s="19">
        <v>202304</v>
      </c>
      <c r="B304" s="19" t="s">
        <v>1140</v>
      </c>
      <c r="C304" s="19"/>
      <c r="E304" s="19" t="s">
        <v>208</v>
      </c>
      <c r="G304" s="19" t="s">
        <v>67</v>
      </c>
      <c r="H304" s="19">
        <v>83</v>
      </c>
      <c r="I304" s="19" t="s">
        <v>1141</v>
      </c>
      <c r="J304" s="19" t="s">
        <v>219</v>
      </c>
      <c r="K304" s="19" t="s">
        <v>227</v>
      </c>
      <c r="L304" s="19">
        <v>4828</v>
      </c>
      <c r="M304" s="19" t="s">
        <v>520</v>
      </c>
      <c r="N304" s="19">
        <v>2</v>
      </c>
      <c r="O304" s="19" t="s">
        <v>253</v>
      </c>
      <c r="P304" s="19" t="s">
        <v>218</v>
      </c>
      <c r="Q304" s="19" t="s">
        <v>218</v>
      </c>
      <c r="R304" s="19" t="s">
        <v>218</v>
      </c>
      <c r="S304" s="19" t="s">
        <v>218</v>
      </c>
      <c r="T304" s="19" t="s">
        <v>218</v>
      </c>
      <c r="U304" s="19" t="s">
        <v>218</v>
      </c>
      <c r="V304" s="19" t="s">
        <v>218</v>
      </c>
      <c r="W304" s="19" t="s">
        <v>218</v>
      </c>
      <c r="X304" s="19" t="s">
        <v>218</v>
      </c>
      <c r="Z304"/>
      <c r="AA304"/>
      <c r="AB304"/>
      <c r="AC304"/>
      <c r="AD304"/>
    </row>
    <row r="305" spans="1:30" x14ac:dyDescent="0.35">
      <c r="A305" s="19">
        <v>202304</v>
      </c>
      <c r="B305" s="19" t="s">
        <v>1142</v>
      </c>
      <c r="C305" s="19"/>
      <c r="E305" s="19" t="s">
        <v>208</v>
      </c>
      <c r="G305" s="19" t="s">
        <v>67</v>
      </c>
      <c r="H305" s="19">
        <v>83</v>
      </c>
      <c r="I305" s="19" t="s">
        <v>1143</v>
      </c>
      <c r="J305" s="19" t="s">
        <v>219</v>
      </c>
      <c r="K305" s="19" t="s">
        <v>227</v>
      </c>
      <c r="L305" s="19">
        <v>4828</v>
      </c>
      <c r="M305" s="19" t="s">
        <v>520</v>
      </c>
      <c r="N305" s="19">
        <v>2</v>
      </c>
      <c r="O305" s="19" t="s">
        <v>253</v>
      </c>
      <c r="P305" s="19" t="s">
        <v>218</v>
      </c>
      <c r="Q305" s="19" t="s">
        <v>218</v>
      </c>
      <c r="R305" s="19" t="s">
        <v>218</v>
      </c>
      <c r="S305" s="19" t="s">
        <v>218</v>
      </c>
      <c r="T305" s="19" t="s">
        <v>218</v>
      </c>
      <c r="U305" s="19" t="s">
        <v>218</v>
      </c>
      <c r="V305" s="19" t="s">
        <v>218</v>
      </c>
      <c r="W305" s="19" t="s">
        <v>218</v>
      </c>
      <c r="X305" s="19" t="s">
        <v>218</v>
      </c>
      <c r="Z305"/>
      <c r="AA305"/>
      <c r="AB305"/>
      <c r="AC305"/>
      <c r="AD305"/>
    </row>
    <row r="306" spans="1:30" x14ac:dyDescent="0.35">
      <c r="A306" s="19">
        <v>202304</v>
      </c>
      <c r="B306" s="19" t="s">
        <v>1144</v>
      </c>
      <c r="C306" s="19"/>
      <c r="E306" s="19" t="s">
        <v>208</v>
      </c>
      <c r="H306" s="19">
        <v>83</v>
      </c>
      <c r="I306" s="19" t="s">
        <v>1145</v>
      </c>
      <c r="J306" s="19" t="s">
        <v>219</v>
      </c>
      <c r="K306" s="19" t="s">
        <v>227</v>
      </c>
      <c r="L306" s="19">
        <v>5657</v>
      </c>
      <c r="M306" s="19" t="s">
        <v>539</v>
      </c>
      <c r="N306" s="19">
        <v>2</v>
      </c>
      <c r="O306" s="19" t="s">
        <v>253</v>
      </c>
      <c r="P306" s="19" t="s">
        <v>218</v>
      </c>
      <c r="Q306" s="19" t="s">
        <v>218</v>
      </c>
      <c r="R306" s="19" t="s">
        <v>218</v>
      </c>
      <c r="S306" s="19" t="s">
        <v>218</v>
      </c>
      <c r="T306" s="19" t="s">
        <v>218</v>
      </c>
      <c r="U306" s="19" t="s">
        <v>218</v>
      </c>
      <c r="V306" s="19" t="s">
        <v>218</v>
      </c>
      <c r="W306" s="19" t="s">
        <v>218</v>
      </c>
      <c r="X306" s="19" t="s">
        <v>218</v>
      </c>
      <c r="Z306"/>
      <c r="AA306"/>
      <c r="AB306"/>
      <c r="AC306"/>
      <c r="AD306"/>
    </row>
    <row r="307" spans="1:30" x14ac:dyDescent="0.35">
      <c r="A307" s="19">
        <v>202304</v>
      </c>
      <c r="B307" s="19" t="s">
        <v>1146</v>
      </c>
      <c r="C307" s="19"/>
      <c r="E307" s="19" t="s">
        <v>208</v>
      </c>
      <c r="F307" s="19" t="s">
        <v>208</v>
      </c>
      <c r="G307" s="19" t="s">
        <v>67</v>
      </c>
      <c r="H307" s="19">
        <v>83</v>
      </c>
      <c r="I307" s="19" t="s">
        <v>1147</v>
      </c>
      <c r="J307" s="19" t="s">
        <v>219</v>
      </c>
      <c r="K307" s="19" t="s">
        <v>227</v>
      </c>
      <c r="L307" s="19">
        <v>5657</v>
      </c>
      <c r="M307" s="19" t="s">
        <v>539</v>
      </c>
      <c r="N307" s="19">
        <v>2</v>
      </c>
      <c r="O307" s="19" t="s">
        <v>253</v>
      </c>
      <c r="P307" s="19" t="s">
        <v>218</v>
      </c>
      <c r="Q307" s="19" t="s">
        <v>218</v>
      </c>
      <c r="R307" s="19" t="s">
        <v>218</v>
      </c>
      <c r="S307" s="19" t="s">
        <v>218</v>
      </c>
      <c r="T307" s="19" t="s">
        <v>218</v>
      </c>
      <c r="U307" s="19" t="s">
        <v>218</v>
      </c>
      <c r="V307" s="19" t="s">
        <v>218</v>
      </c>
      <c r="W307" s="19" t="s">
        <v>218</v>
      </c>
      <c r="X307" s="19" t="s">
        <v>218</v>
      </c>
      <c r="Z307"/>
      <c r="AA307"/>
      <c r="AB307"/>
      <c r="AC307"/>
      <c r="AD307"/>
    </row>
    <row r="308" spans="1:30" x14ac:dyDescent="0.35">
      <c r="A308" s="19">
        <v>202304</v>
      </c>
      <c r="B308" s="19" t="s">
        <v>1148</v>
      </c>
      <c r="C308" s="19"/>
      <c r="E308" s="19" t="s">
        <v>208</v>
      </c>
      <c r="G308" s="19" t="s">
        <v>43</v>
      </c>
      <c r="H308" s="19">
        <v>83</v>
      </c>
      <c r="I308" s="19" t="s">
        <v>1149</v>
      </c>
      <c r="J308" s="19" t="s">
        <v>219</v>
      </c>
      <c r="K308" s="19" t="s">
        <v>1150</v>
      </c>
      <c r="L308" s="19">
        <v>5914</v>
      </c>
      <c r="M308" s="19" t="s">
        <v>540</v>
      </c>
      <c r="N308" s="19">
        <v>2</v>
      </c>
      <c r="O308" s="19" t="s">
        <v>253</v>
      </c>
      <c r="P308" s="19" t="s">
        <v>218</v>
      </c>
      <c r="Q308" s="19" t="s">
        <v>218</v>
      </c>
      <c r="R308" s="19" t="s">
        <v>218</v>
      </c>
      <c r="S308" s="19" t="s">
        <v>218</v>
      </c>
      <c r="T308" s="19" t="s">
        <v>218</v>
      </c>
      <c r="U308" s="19" t="s">
        <v>218</v>
      </c>
      <c r="V308" s="19" t="s">
        <v>218</v>
      </c>
      <c r="W308" s="19" t="s">
        <v>218</v>
      </c>
      <c r="X308" s="19" t="s">
        <v>218</v>
      </c>
      <c r="Z308"/>
      <c r="AA308"/>
      <c r="AB308"/>
      <c r="AC308"/>
      <c r="AD308"/>
    </row>
    <row r="309" spans="1:30" x14ac:dyDescent="0.35">
      <c r="A309" s="19">
        <v>202304</v>
      </c>
      <c r="B309" s="19" t="s">
        <v>1151</v>
      </c>
      <c r="C309" s="19"/>
      <c r="F309" s="19" t="s">
        <v>208</v>
      </c>
      <c r="G309" s="19" t="s">
        <v>50</v>
      </c>
      <c r="H309" s="19">
        <v>201</v>
      </c>
      <c r="I309" s="19" t="s">
        <v>1152</v>
      </c>
      <c r="J309" s="19" t="s">
        <v>219</v>
      </c>
      <c r="K309" s="19" t="s">
        <v>475</v>
      </c>
      <c r="L309" s="19">
        <v>0</v>
      </c>
      <c r="M309" s="19" t="s">
        <v>229</v>
      </c>
      <c r="N309" s="19">
        <v>4</v>
      </c>
      <c r="O309" s="19" t="s">
        <v>222</v>
      </c>
      <c r="P309" s="19" t="s">
        <v>218</v>
      </c>
      <c r="Q309" s="19" t="s">
        <v>218</v>
      </c>
      <c r="R309" s="19" t="s">
        <v>218</v>
      </c>
      <c r="S309" s="19" t="s">
        <v>218</v>
      </c>
      <c r="T309" s="19" t="s">
        <v>218</v>
      </c>
      <c r="U309" s="19" t="s">
        <v>218</v>
      </c>
      <c r="V309" s="19" t="s">
        <v>218</v>
      </c>
      <c r="W309" s="19" t="s">
        <v>218</v>
      </c>
      <c r="X309" s="19" t="s">
        <v>218</v>
      </c>
      <c r="Z309"/>
      <c r="AA309"/>
      <c r="AB309"/>
      <c r="AC309"/>
      <c r="AD309"/>
    </row>
    <row r="310" spans="1:30" x14ac:dyDescent="0.35">
      <c r="A310" s="19">
        <v>202304</v>
      </c>
      <c r="B310" s="19" t="s">
        <v>1153</v>
      </c>
      <c r="C310" s="19"/>
      <c r="E310" s="19" t="s">
        <v>208</v>
      </c>
      <c r="G310" s="19" t="s">
        <v>83</v>
      </c>
      <c r="H310" s="19">
        <v>83</v>
      </c>
      <c r="I310" s="19" t="s">
        <v>1154</v>
      </c>
      <c r="J310" s="19" t="s">
        <v>219</v>
      </c>
      <c r="K310" s="19" t="s">
        <v>227</v>
      </c>
      <c r="L310" s="19">
        <v>5657</v>
      </c>
      <c r="M310" s="19" t="s">
        <v>539</v>
      </c>
      <c r="N310" s="19">
        <v>2</v>
      </c>
      <c r="O310" s="19" t="s">
        <v>253</v>
      </c>
      <c r="P310" s="19" t="s">
        <v>218</v>
      </c>
      <c r="Q310" s="19" t="s">
        <v>218</v>
      </c>
      <c r="R310" s="19" t="s">
        <v>218</v>
      </c>
      <c r="S310" s="19" t="s">
        <v>218</v>
      </c>
      <c r="T310" s="19" t="s">
        <v>218</v>
      </c>
      <c r="U310" s="19" t="s">
        <v>218</v>
      </c>
      <c r="V310" s="19" t="s">
        <v>218</v>
      </c>
      <c r="W310" s="19" t="s">
        <v>218</v>
      </c>
      <c r="X310" s="19" t="s">
        <v>218</v>
      </c>
      <c r="Z310"/>
      <c r="AA310"/>
      <c r="AB310"/>
      <c r="AC310"/>
      <c r="AD310"/>
    </row>
    <row r="311" spans="1:30" x14ac:dyDescent="0.35">
      <c r="A311" s="19">
        <v>202304</v>
      </c>
      <c r="B311" s="19" t="s">
        <v>1155</v>
      </c>
      <c r="C311" s="19"/>
      <c r="E311" s="19" t="s">
        <v>208</v>
      </c>
      <c r="G311" s="19" t="s">
        <v>67</v>
      </c>
      <c r="H311" s="19">
        <v>83</v>
      </c>
      <c r="I311" s="19" t="s">
        <v>1156</v>
      </c>
      <c r="J311" s="19" t="s">
        <v>219</v>
      </c>
      <c r="K311" s="19" t="s">
        <v>227</v>
      </c>
      <c r="L311" s="19">
        <v>10635</v>
      </c>
      <c r="M311" s="19" t="s">
        <v>541</v>
      </c>
      <c r="N311" s="19">
        <v>2</v>
      </c>
      <c r="O311" s="19" t="s">
        <v>253</v>
      </c>
      <c r="P311" s="19" t="s">
        <v>218</v>
      </c>
      <c r="Q311" s="19" t="s">
        <v>218</v>
      </c>
      <c r="R311" s="19" t="s">
        <v>218</v>
      </c>
      <c r="S311" s="19" t="s">
        <v>218</v>
      </c>
      <c r="T311" s="19" t="s">
        <v>218</v>
      </c>
      <c r="U311" s="19" t="s">
        <v>218</v>
      </c>
      <c r="V311" s="19" t="s">
        <v>218</v>
      </c>
      <c r="W311" s="19" t="s">
        <v>218</v>
      </c>
      <c r="X311" s="19" t="s">
        <v>218</v>
      </c>
      <c r="Z311"/>
      <c r="AA311"/>
      <c r="AB311"/>
      <c r="AC311"/>
      <c r="AD311"/>
    </row>
    <row r="312" spans="1:30" x14ac:dyDescent="0.35">
      <c r="A312" s="19">
        <v>202304</v>
      </c>
      <c r="B312" s="19" t="s">
        <v>1157</v>
      </c>
      <c r="C312" s="19"/>
      <c r="F312" s="19" t="s">
        <v>208</v>
      </c>
      <c r="G312" s="19" t="s">
        <v>67</v>
      </c>
      <c r="H312" s="19">
        <v>201</v>
      </c>
      <c r="I312" s="19" t="s">
        <v>1158</v>
      </c>
      <c r="J312" s="19" t="s">
        <v>219</v>
      </c>
      <c r="K312" s="19" t="s">
        <v>116</v>
      </c>
      <c r="L312" s="19">
        <v>0</v>
      </c>
      <c r="M312" s="19" t="s">
        <v>228</v>
      </c>
      <c r="N312" s="19">
        <v>4</v>
      </c>
      <c r="O312" s="19" t="s">
        <v>222</v>
      </c>
      <c r="P312" s="19" t="s">
        <v>218</v>
      </c>
      <c r="Q312" s="19" t="s">
        <v>218</v>
      </c>
      <c r="R312" s="19" t="s">
        <v>218</v>
      </c>
      <c r="S312" s="19" t="s">
        <v>218</v>
      </c>
      <c r="T312" s="19" t="s">
        <v>218</v>
      </c>
      <c r="U312" s="19" t="s">
        <v>218</v>
      </c>
      <c r="V312" s="19" t="s">
        <v>218</v>
      </c>
      <c r="W312" s="19" t="s">
        <v>218</v>
      </c>
      <c r="X312" s="19" t="s">
        <v>218</v>
      </c>
      <c r="Z312"/>
      <c r="AA312"/>
      <c r="AB312"/>
      <c r="AC312"/>
      <c r="AD312"/>
    </row>
    <row r="313" spans="1:30" x14ac:dyDescent="0.35">
      <c r="A313" s="19">
        <v>202304</v>
      </c>
      <c r="B313" s="19" t="s">
        <v>1159</v>
      </c>
      <c r="C313" s="19"/>
      <c r="F313" s="19" t="s">
        <v>208</v>
      </c>
      <c r="G313" s="19" t="s">
        <v>67</v>
      </c>
      <c r="H313" s="19">
        <v>201</v>
      </c>
      <c r="I313" s="19" t="s">
        <v>1160</v>
      </c>
      <c r="J313" s="19" t="s">
        <v>219</v>
      </c>
      <c r="K313" s="19" t="s">
        <v>116</v>
      </c>
      <c r="L313" s="19">
        <v>0</v>
      </c>
      <c r="M313" s="19" t="s">
        <v>1161</v>
      </c>
      <c r="N313" s="19">
        <v>4</v>
      </c>
      <c r="O313" s="19" t="s">
        <v>222</v>
      </c>
      <c r="P313" s="19" t="s">
        <v>218</v>
      </c>
      <c r="Q313" s="19" t="s">
        <v>218</v>
      </c>
      <c r="R313" s="19" t="s">
        <v>218</v>
      </c>
      <c r="S313" s="19" t="s">
        <v>218</v>
      </c>
      <c r="T313" s="19" t="s">
        <v>218</v>
      </c>
      <c r="U313" s="19" t="s">
        <v>218</v>
      </c>
      <c r="V313" s="19" t="s">
        <v>218</v>
      </c>
      <c r="W313" s="19" t="s">
        <v>218</v>
      </c>
      <c r="X313" s="19" t="s">
        <v>218</v>
      </c>
      <c r="Z313"/>
      <c r="AA313"/>
      <c r="AB313"/>
      <c r="AC313"/>
      <c r="AD313"/>
    </row>
    <row r="314" spans="1:30" x14ac:dyDescent="0.35">
      <c r="A314" s="19">
        <v>202304</v>
      </c>
      <c r="B314" s="19" t="s">
        <v>1162</v>
      </c>
      <c r="C314" s="19" t="s">
        <v>208</v>
      </c>
      <c r="G314" s="19" t="s">
        <v>83</v>
      </c>
      <c r="H314" s="19">
        <v>87</v>
      </c>
      <c r="I314" s="19" t="s">
        <v>1163</v>
      </c>
      <c r="J314" s="19" t="s">
        <v>219</v>
      </c>
      <c r="K314" s="19" t="s">
        <v>116</v>
      </c>
      <c r="L314" s="19">
        <v>0</v>
      </c>
      <c r="M314" s="19" t="s">
        <v>229</v>
      </c>
      <c r="N314" s="19">
        <v>1</v>
      </c>
      <c r="O314" s="19" t="s">
        <v>222</v>
      </c>
      <c r="P314" s="19" t="s">
        <v>218</v>
      </c>
      <c r="Q314" s="19" t="s">
        <v>218</v>
      </c>
      <c r="R314" s="19" t="s">
        <v>218</v>
      </c>
      <c r="S314" s="19" t="s">
        <v>218</v>
      </c>
      <c r="T314" s="19" t="s">
        <v>218</v>
      </c>
      <c r="U314" s="19" t="s">
        <v>218</v>
      </c>
      <c r="V314" s="19" t="s">
        <v>218</v>
      </c>
      <c r="W314" s="19" t="s">
        <v>218</v>
      </c>
      <c r="X314" s="19" t="s">
        <v>218</v>
      </c>
      <c r="Z314"/>
      <c r="AA314"/>
      <c r="AB314"/>
      <c r="AC314"/>
      <c r="AD314"/>
    </row>
    <row r="315" spans="1:30" x14ac:dyDescent="0.35">
      <c r="A315" s="19">
        <v>202304</v>
      </c>
      <c r="B315" s="19" t="s">
        <v>1164</v>
      </c>
      <c r="C315" s="19" t="s">
        <v>208</v>
      </c>
      <c r="G315" s="19" t="s">
        <v>36</v>
      </c>
      <c r="H315" s="19">
        <v>87</v>
      </c>
      <c r="I315" s="19" t="s">
        <v>1165</v>
      </c>
      <c r="J315" s="19" t="s">
        <v>223</v>
      </c>
      <c r="K315" s="19" t="s">
        <v>443</v>
      </c>
      <c r="L315" s="19">
        <v>0</v>
      </c>
      <c r="M315" s="19" t="s">
        <v>523</v>
      </c>
      <c r="N315" s="19">
        <v>1</v>
      </c>
      <c r="O315" s="19" t="s">
        <v>222</v>
      </c>
      <c r="P315" s="19" t="s">
        <v>218</v>
      </c>
      <c r="Q315" s="19" t="s">
        <v>218</v>
      </c>
      <c r="R315" s="19" t="s">
        <v>218</v>
      </c>
      <c r="S315" s="19" t="s">
        <v>218</v>
      </c>
      <c r="T315" s="19" t="s">
        <v>218</v>
      </c>
      <c r="U315" s="19" t="s">
        <v>218</v>
      </c>
      <c r="V315" s="19" t="s">
        <v>218</v>
      </c>
      <c r="W315" s="19" t="s">
        <v>218</v>
      </c>
      <c r="X315" s="19" t="s">
        <v>218</v>
      </c>
      <c r="Z315"/>
      <c r="AA315"/>
      <c r="AB315"/>
      <c r="AC315"/>
      <c r="AD315"/>
    </row>
    <row r="316" spans="1:30" x14ac:dyDescent="0.35">
      <c r="A316" s="19">
        <v>202304</v>
      </c>
      <c r="B316" s="19" t="s">
        <v>1166</v>
      </c>
      <c r="C316" s="19" t="s">
        <v>208</v>
      </c>
      <c r="G316" s="19" t="s">
        <v>36</v>
      </c>
      <c r="H316" s="19">
        <v>87</v>
      </c>
      <c r="I316" s="19" t="s">
        <v>1167</v>
      </c>
      <c r="J316" s="19" t="s">
        <v>223</v>
      </c>
      <c r="K316" s="19" t="s">
        <v>443</v>
      </c>
      <c r="L316" s="19">
        <v>0</v>
      </c>
      <c r="M316" s="19" t="s">
        <v>523</v>
      </c>
      <c r="N316" s="19">
        <v>1</v>
      </c>
      <c r="O316" s="19" t="s">
        <v>222</v>
      </c>
      <c r="P316" s="19" t="s">
        <v>218</v>
      </c>
      <c r="Q316" s="19" t="s">
        <v>218</v>
      </c>
      <c r="R316" s="19" t="s">
        <v>218</v>
      </c>
      <c r="S316" s="19" t="s">
        <v>218</v>
      </c>
      <c r="T316" s="19" t="s">
        <v>218</v>
      </c>
      <c r="U316" s="19" t="s">
        <v>218</v>
      </c>
      <c r="V316" s="19" t="s">
        <v>218</v>
      </c>
      <c r="W316" s="19" t="s">
        <v>218</v>
      </c>
      <c r="X316" s="19" t="s">
        <v>218</v>
      </c>
      <c r="Z316"/>
      <c r="AA316"/>
      <c r="AB316"/>
      <c r="AC316"/>
      <c r="AD316"/>
    </row>
    <row r="317" spans="1:30" x14ac:dyDescent="0.35">
      <c r="A317" s="19">
        <v>202304</v>
      </c>
      <c r="B317" s="19" t="s">
        <v>1168</v>
      </c>
      <c r="C317" s="19" t="s">
        <v>208</v>
      </c>
      <c r="G317" s="19" t="s">
        <v>36</v>
      </c>
      <c r="H317" s="19">
        <v>87</v>
      </c>
      <c r="I317" s="19" t="s">
        <v>1169</v>
      </c>
      <c r="J317" s="19" t="s">
        <v>223</v>
      </c>
      <c r="K317" s="19" t="s">
        <v>443</v>
      </c>
      <c r="L317" s="19">
        <v>0</v>
      </c>
      <c r="M317" s="19" t="s">
        <v>523</v>
      </c>
      <c r="N317" s="19">
        <v>1</v>
      </c>
      <c r="O317" s="19" t="s">
        <v>222</v>
      </c>
      <c r="P317" s="19" t="s">
        <v>218</v>
      </c>
      <c r="Q317" s="19" t="s">
        <v>218</v>
      </c>
      <c r="R317" s="19" t="s">
        <v>218</v>
      </c>
      <c r="S317" s="19" t="s">
        <v>218</v>
      </c>
      <c r="T317" s="19" t="s">
        <v>218</v>
      </c>
      <c r="U317" s="19" t="s">
        <v>218</v>
      </c>
      <c r="V317" s="19" t="s">
        <v>218</v>
      </c>
      <c r="W317" s="19" t="s">
        <v>218</v>
      </c>
      <c r="X317" s="19" t="s">
        <v>218</v>
      </c>
      <c r="Z317"/>
      <c r="AA317"/>
      <c r="AB317"/>
      <c r="AC317"/>
      <c r="AD317"/>
    </row>
    <row r="318" spans="1:30" x14ac:dyDescent="0.35">
      <c r="A318" s="19">
        <v>202304</v>
      </c>
      <c r="B318" s="19" t="s">
        <v>1170</v>
      </c>
      <c r="C318" s="19" t="s">
        <v>208</v>
      </c>
      <c r="G318" s="19" t="s">
        <v>36</v>
      </c>
      <c r="H318" s="19">
        <v>87</v>
      </c>
      <c r="I318" s="19" t="s">
        <v>1171</v>
      </c>
      <c r="J318" s="19" t="s">
        <v>223</v>
      </c>
      <c r="K318" s="19" t="s">
        <v>443</v>
      </c>
      <c r="L318" s="19">
        <v>0</v>
      </c>
      <c r="M318" s="19" t="s">
        <v>521</v>
      </c>
      <c r="N318" s="19">
        <v>1</v>
      </c>
      <c r="O318" s="19" t="s">
        <v>222</v>
      </c>
      <c r="P318" s="19" t="s">
        <v>218</v>
      </c>
      <c r="Q318" s="19" t="s">
        <v>218</v>
      </c>
      <c r="R318" s="19" t="s">
        <v>218</v>
      </c>
      <c r="S318" s="19" t="s">
        <v>218</v>
      </c>
      <c r="T318" s="19" t="s">
        <v>218</v>
      </c>
      <c r="U318" s="19" t="s">
        <v>218</v>
      </c>
      <c r="V318" s="19" t="s">
        <v>218</v>
      </c>
      <c r="W318" s="19" t="s">
        <v>218</v>
      </c>
      <c r="X318" s="19" t="s">
        <v>218</v>
      </c>
      <c r="Z318"/>
      <c r="AA318"/>
      <c r="AB318"/>
      <c r="AC318"/>
      <c r="AD318"/>
    </row>
    <row r="319" spans="1:30" x14ac:dyDescent="0.35">
      <c r="A319" s="19">
        <v>202304</v>
      </c>
      <c r="B319" s="19" t="s">
        <v>1172</v>
      </c>
      <c r="C319" s="19" t="s">
        <v>208</v>
      </c>
      <c r="H319" s="19">
        <v>87</v>
      </c>
      <c r="I319" s="19" t="s">
        <v>1173</v>
      </c>
      <c r="J319" s="19" t="s">
        <v>219</v>
      </c>
      <c r="K319" s="19" t="s">
        <v>567</v>
      </c>
      <c r="L319" s="19">
        <v>0</v>
      </c>
      <c r="M319" s="19" t="s">
        <v>218</v>
      </c>
      <c r="N319" s="19">
        <v>1</v>
      </c>
      <c r="O319" s="19" t="s">
        <v>222</v>
      </c>
      <c r="P319" s="19" t="s">
        <v>218</v>
      </c>
      <c r="Q319" s="19" t="s">
        <v>218</v>
      </c>
      <c r="R319" s="19" t="s">
        <v>218</v>
      </c>
      <c r="S319" s="19" t="s">
        <v>218</v>
      </c>
      <c r="T319" s="19" t="s">
        <v>218</v>
      </c>
      <c r="U319" s="19" t="s">
        <v>218</v>
      </c>
      <c r="V319" s="19" t="s">
        <v>218</v>
      </c>
      <c r="W319" s="19" t="s">
        <v>218</v>
      </c>
      <c r="X319" s="19" t="s">
        <v>218</v>
      </c>
      <c r="Z319"/>
      <c r="AA319"/>
      <c r="AB319"/>
      <c r="AC319"/>
      <c r="AD319"/>
    </row>
    <row r="320" spans="1:30" x14ac:dyDescent="0.35">
      <c r="A320" s="19">
        <v>202304</v>
      </c>
      <c r="B320" s="19" t="s">
        <v>1174</v>
      </c>
      <c r="C320" s="19" t="s">
        <v>208</v>
      </c>
      <c r="H320" s="19">
        <v>87</v>
      </c>
      <c r="I320" s="19" t="s">
        <v>1175</v>
      </c>
      <c r="J320" s="19" t="s">
        <v>219</v>
      </c>
      <c r="K320" s="19" t="s">
        <v>567</v>
      </c>
      <c r="L320" s="19">
        <v>0</v>
      </c>
      <c r="M320" s="19" t="s">
        <v>218</v>
      </c>
      <c r="N320" s="19">
        <v>1</v>
      </c>
      <c r="O320" s="19" t="s">
        <v>222</v>
      </c>
      <c r="P320" s="19" t="s">
        <v>218</v>
      </c>
      <c r="Q320" s="19" t="s">
        <v>218</v>
      </c>
      <c r="R320" s="19" t="s">
        <v>218</v>
      </c>
      <c r="S320" s="19" t="s">
        <v>218</v>
      </c>
      <c r="T320" s="19" t="s">
        <v>218</v>
      </c>
      <c r="U320" s="19" t="s">
        <v>218</v>
      </c>
      <c r="V320" s="19" t="s">
        <v>218</v>
      </c>
      <c r="W320" s="19" t="s">
        <v>218</v>
      </c>
      <c r="X320" s="19" t="s">
        <v>218</v>
      </c>
      <c r="Z320"/>
      <c r="AA320"/>
      <c r="AB320"/>
      <c r="AC320"/>
      <c r="AD320"/>
    </row>
    <row r="321" spans="1:30" x14ac:dyDescent="0.35">
      <c r="A321" s="19">
        <v>202304</v>
      </c>
      <c r="B321" s="19" t="s">
        <v>1176</v>
      </c>
      <c r="C321" s="19" t="s">
        <v>208</v>
      </c>
      <c r="H321" s="19">
        <v>87</v>
      </c>
      <c r="I321" s="19" t="s">
        <v>1177</v>
      </c>
      <c r="J321" s="19" t="s">
        <v>219</v>
      </c>
      <c r="K321" s="19" t="s">
        <v>567</v>
      </c>
      <c r="L321" s="19">
        <v>0</v>
      </c>
      <c r="M321" s="19" t="s">
        <v>218</v>
      </c>
      <c r="N321" s="19">
        <v>1</v>
      </c>
      <c r="O321" s="19" t="s">
        <v>222</v>
      </c>
      <c r="P321" s="19" t="s">
        <v>218</v>
      </c>
      <c r="Q321" s="19" t="s">
        <v>218</v>
      </c>
      <c r="R321" s="19" t="s">
        <v>218</v>
      </c>
      <c r="S321" s="19" t="s">
        <v>218</v>
      </c>
      <c r="T321" s="19" t="s">
        <v>218</v>
      </c>
      <c r="U321" s="19" t="s">
        <v>218</v>
      </c>
      <c r="V321" s="19" t="s">
        <v>218</v>
      </c>
      <c r="W321" s="19" t="s">
        <v>218</v>
      </c>
      <c r="X321" s="19" t="s">
        <v>218</v>
      </c>
      <c r="Z321"/>
      <c r="AA321"/>
      <c r="AB321"/>
      <c r="AC321"/>
      <c r="AD321"/>
    </row>
    <row r="322" spans="1:30" x14ac:dyDescent="0.35">
      <c r="A322" s="19">
        <v>202304</v>
      </c>
      <c r="B322" s="19" t="s">
        <v>1178</v>
      </c>
      <c r="C322" s="19" t="s">
        <v>208</v>
      </c>
      <c r="H322" s="19">
        <v>87</v>
      </c>
      <c r="I322" s="19" t="s">
        <v>1179</v>
      </c>
      <c r="J322" s="19" t="s">
        <v>219</v>
      </c>
      <c r="K322" s="19" t="s">
        <v>567</v>
      </c>
      <c r="L322" s="19">
        <v>0</v>
      </c>
      <c r="M322" s="19" t="s">
        <v>218</v>
      </c>
      <c r="N322" s="19">
        <v>1</v>
      </c>
      <c r="O322" s="19" t="s">
        <v>222</v>
      </c>
      <c r="P322" s="19" t="s">
        <v>218</v>
      </c>
      <c r="Q322" s="19" t="s">
        <v>218</v>
      </c>
      <c r="R322" s="19" t="s">
        <v>218</v>
      </c>
      <c r="S322" s="19" t="s">
        <v>218</v>
      </c>
      <c r="T322" s="19" t="s">
        <v>218</v>
      </c>
      <c r="U322" s="19" t="s">
        <v>218</v>
      </c>
      <c r="V322" s="19" t="s">
        <v>218</v>
      </c>
      <c r="W322" s="19" t="s">
        <v>218</v>
      </c>
      <c r="X322" s="19" t="s">
        <v>218</v>
      </c>
      <c r="Z322"/>
      <c r="AA322"/>
      <c r="AB322"/>
      <c r="AC322"/>
      <c r="AD322"/>
    </row>
    <row r="323" spans="1:30" x14ac:dyDescent="0.35">
      <c r="A323" s="19">
        <v>202304</v>
      </c>
      <c r="B323" s="19" t="s">
        <v>1180</v>
      </c>
      <c r="C323" s="19"/>
      <c r="F323" s="19" t="s">
        <v>208</v>
      </c>
      <c r="G323" s="19" t="s">
        <v>20</v>
      </c>
      <c r="H323" s="19">
        <v>201</v>
      </c>
      <c r="I323" s="19" t="s">
        <v>1181</v>
      </c>
      <c r="J323" s="19" t="s">
        <v>219</v>
      </c>
      <c r="K323" s="19" t="s">
        <v>1182</v>
      </c>
      <c r="L323" s="19">
        <v>0</v>
      </c>
      <c r="M323" s="19" t="s">
        <v>226</v>
      </c>
      <c r="N323" s="19">
        <v>4</v>
      </c>
      <c r="O323" s="19" t="s">
        <v>222</v>
      </c>
      <c r="P323" s="19" t="s">
        <v>218</v>
      </c>
      <c r="Q323" s="19" t="s">
        <v>218</v>
      </c>
      <c r="R323" s="19" t="s">
        <v>218</v>
      </c>
      <c r="S323" s="19" t="s">
        <v>218</v>
      </c>
      <c r="T323" s="19" t="s">
        <v>218</v>
      </c>
      <c r="U323" s="19" t="s">
        <v>218</v>
      </c>
      <c r="V323" s="19" t="s">
        <v>218</v>
      </c>
      <c r="W323" s="19" t="s">
        <v>218</v>
      </c>
      <c r="X323" s="19" t="s">
        <v>218</v>
      </c>
      <c r="Z323"/>
      <c r="AA323"/>
      <c r="AB323"/>
      <c r="AC323"/>
      <c r="AD323"/>
    </row>
    <row r="324" spans="1:30" x14ac:dyDescent="0.35">
      <c r="A324" s="19">
        <v>202304</v>
      </c>
      <c r="B324" s="19" t="s">
        <v>1190</v>
      </c>
      <c r="C324" s="19"/>
      <c r="E324" s="19" t="s">
        <v>208</v>
      </c>
      <c r="G324" s="19" t="s">
        <v>524</v>
      </c>
      <c r="H324" s="19">
        <v>83</v>
      </c>
      <c r="I324" s="19" t="s">
        <v>1191</v>
      </c>
      <c r="J324" s="19" t="s">
        <v>223</v>
      </c>
      <c r="K324" s="19" t="s">
        <v>108</v>
      </c>
      <c r="L324" s="19">
        <v>5986</v>
      </c>
      <c r="M324" s="19" t="s">
        <v>1183</v>
      </c>
      <c r="N324" s="19">
        <v>2</v>
      </c>
      <c r="O324" s="19" t="s">
        <v>253</v>
      </c>
      <c r="P324" s="19" t="s">
        <v>218</v>
      </c>
      <c r="Q324" s="19" t="s">
        <v>218</v>
      </c>
      <c r="R324" s="19" t="s">
        <v>218</v>
      </c>
      <c r="S324" s="19" t="s">
        <v>218</v>
      </c>
      <c r="T324" s="19" t="s">
        <v>218</v>
      </c>
      <c r="U324" s="19" t="s">
        <v>218</v>
      </c>
      <c r="V324" s="19" t="s">
        <v>218</v>
      </c>
      <c r="W324" s="19" t="s">
        <v>218</v>
      </c>
      <c r="X324" s="19" t="s">
        <v>218</v>
      </c>
      <c r="Z324"/>
      <c r="AA324"/>
      <c r="AB324"/>
      <c r="AC324"/>
      <c r="AD324"/>
    </row>
    <row r="325" spans="1:30" x14ac:dyDescent="0.35">
      <c r="A325" s="19">
        <v>202304</v>
      </c>
      <c r="B325" s="19" t="s">
        <v>1192</v>
      </c>
      <c r="C325" s="19"/>
      <c r="E325" s="19" t="s">
        <v>208</v>
      </c>
      <c r="G325" s="19" t="s">
        <v>524</v>
      </c>
      <c r="H325" s="19">
        <v>83</v>
      </c>
      <c r="I325" s="19" t="s">
        <v>1193</v>
      </c>
      <c r="J325" s="19" t="s">
        <v>223</v>
      </c>
      <c r="K325" s="19" t="s">
        <v>108</v>
      </c>
      <c r="L325" s="19">
        <v>0</v>
      </c>
      <c r="M325" s="19" t="s">
        <v>226</v>
      </c>
      <c r="N325" s="19">
        <v>2</v>
      </c>
      <c r="O325" s="19" t="s">
        <v>253</v>
      </c>
      <c r="P325" s="19" t="s">
        <v>218</v>
      </c>
      <c r="Q325" s="19" t="s">
        <v>218</v>
      </c>
      <c r="R325" s="19" t="s">
        <v>218</v>
      </c>
      <c r="S325" s="19" t="s">
        <v>218</v>
      </c>
      <c r="T325" s="19" t="s">
        <v>218</v>
      </c>
      <c r="U325" s="19" t="s">
        <v>218</v>
      </c>
      <c r="V325" s="19" t="s">
        <v>218</v>
      </c>
      <c r="W325" s="19" t="s">
        <v>218</v>
      </c>
      <c r="X325" s="19" t="s">
        <v>218</v>
      </c>
      <c r="Z325"/>
      <c r="AA325"/>
      <c r="AB325"/>
      <c r="AC325"/>
      <c r="AD325"/>
    </row>
    <row r="326" spans="1:30" x14ac:dyDescent="0.35">
      <c r="A326" s="19">
        <v>202304</v>
      </c>
      <c r="B326" s="19" t="s">
        <v>1194</v>
      </c>
      <c r="C326" s="19" t="s">
        <v>208</v>
      </c>
      <c r="G326" s="19" t="s">
        <v>524</v>
      </c>
      <c r="H326" s="19">
        <v>87</v>
      </c>
      <c r="I326" s="19" t="s">
        <v>1195</v>
      </c>
      <c r="J326" s="19" t="s">
        <v>223</v>
      </c>
      <c r="K326" s="19" t="s">
        <v>443</v>
      </c>
      <c r="L326" s="19">
        <v>0</v>
      </c>
      <c r="M326" s="19" t="s">
        <v>226</v>
      </c>
      <c r="N326" s="19">
        <v>1</v>
      </c>
      <c r="O326" s="19" t="s">
        <v>222</v>
      </c>
      <c r="P326" s="19" t="s">
        <v>218</v>
      </c>
      <c r="Q326" s="19" t="s">
        <v>218</v>
      </c>
      <c r="R326" s="19" t="s">
        <v>218</v>
      </c>
      <c r="S326" s="19" t="s">
        <v>218</v>
      </c>
      <c r="T326" s="19" t="s">
        <v>218</v>
      </c>
      <c r="U326" s="19" t="s">
        <v>218</v>
      </c>
      <c r="V326" s="19" t="s">
        <v>218</v>
      </c>
      <c r="W326" s="19" t="s">
        <v>218</v>
      </c>
      <c r="X326" s="19" t="s">
        <v>218</v>
      </c>
      <c r="Z326"/>
      <c r="AA326"/>
      <c r="AB326"/>
      <c r="AC326"/>
      <c r="AD326"/>
    </row>
    <row r="327" spans="1:30" x14ac:dyDescent="0.35">
      <c r="A327" s="19">
        <v>202304</v>
      </c>
      <c r="B327" s="19" t="s">
        <v>1196</v>
      </c>
      <c r="C327" s="19"/>
      <c r="E327" s="19" t="s">
        <v>208</v>
      </c>
      <c r="G327" s="19" t="s">
        <v>524</v>
      </c>
      <c r="H327" s="19">
        <v>83</v>
      </c>
      <c r="I327" s="19" t="s">
        <v>1197</v>
      </c>
      <c r="J327" s="19" t="s">
        <v>223</v>
      </c>
      <c r="K327" s="19" t="s">
        <v>108</v>
      </c>
      <c r="L327" s="19">
        <v>0</v>
      </c>
      <c r="M327" s="19" t="s">
        <v>226</v>
      </c>
      <c r="N327" s="19">
        <v>2</v>
      </c>
      <c r="O327" s="19" t="s">
        <v>253</v>
      </c>
      <c r="P327" s="19" t="s">
        <v>218</v>
      </c>
      <c r="Q327" s="19" t="s">
        <v>218</v>
      </c>
      <c r="R327" s="19" t="s">
        <v>218</v>
      </c>
      <c r="S327" s="19" t="s">
        <v>218</v>
      </c>
      <c r="T327" s="19" t="s">
        <v>218</v>
      </c>
      <c r="U327" s="19" t="s">
        <v>218</v>
      </c>
      <c r="V327" s="19" t="s">
        <v>218</v>
      </c>
      <c r="W327" s="19" t="s">
        <v>218</v>
      </c>
      <c r="X327" s="19" t="s">
        <v>218</v>
      </c>
      <c r="Z327"/>
      <c r="AA327"/>
      <c r="AB327"/>
      <c r="AC327"/>
      <c r="AD327"/>
    </row>
    <row r="328" spans="1:30" x14ac:dyDescent="0.35">
      <c r="A328" s="19">
        <v>202304</v>
      </c>
      <c r="B328" s="19" t="s">
        <v>1198</v>
      </c>
      <c r="C328" s="19"/>
      <c r="E328" s="19" t="s">
        <v>208</v>
      </c>
      <c r="G328" s="19" t="s">
        <v>524</v>
      </c>
      <c r="H328" s="19">
        <v>83</v>
      </c>
      <c r="I328" s="19" t="s">
        <v>1199</v>
      </c>
      <c r="J328" s="19" t="s">
        <v>223</v>
      </c>
      <c r="K328" s="19" t="s">
        <v>108</v>
      </c>
      <c r="L328" s="19">
        <v>0</v>
      </c>
      <c r="M328" s="19" t="s">
        <v>226</v>
      </c>
      <c r="N328" s="19">
        <v>2</v>
      </c>
      <c r="O328" s="19" t="s">
        <v>253</v>
      </c>
      <c r="P328" s="19" t="s">
        <v>218</v>
      </c>
      <c r="Q328" s="19" t="s">
        <v>218</v>
      </c>
      <c r="R328" s="19" t="s">
        <v>218</v>
      </c>
      <c r="S328" s="19" t="s">
        <v>218</v>
      </c>
      <c r="T328" s="19" t="s">
        <v>218</v>
      </c>
      <c r="U328" s="19" t="s">
        <v>218</v>
      </c>
      <c r="V328" s="19" t="s">
        <v>218</v>
      </c>
      <c r="W328" s="19" t="s">
        <v>218</v>
      </c>
      <c r="X328" s="19" t="s">
        <v>218</v>
      </c>
      <c r="Z328"/>
      <c r="AA328"/>
      <c r="AB328"/>
      <c r="AC328"/>
      <c r="AD328"/>
    </row>
    <row r="329" spans="1:30" x14ac:dyDescent="0.35">
      <c r="A329" s="19">
        <v>202304</v>
      </c>
      <c r="B329" s="19" t="s">
        <v>1200</v>
      </c>
      <c r="C329" s="19"/>
      <c r="E329" s="19" t="s">
        <v>208</v>
      </c>
      <c r="G329" s="19" t="s">
        <v>524</v>
      </c>
      <c r="H329" s="19">
        <v>83</v>
      </c>
      <c r="I329" s="19" t="s">
        <v>1201</v>
      </c>
      <c r="J329" s="19" t="s">
        <v>223</v>
      </c>
      <c r="K329" s="19" t="s">
        <v>108</v>
      </c>
      <c r="L329" s="19">
        <v>0</v>
      </c>
      <c r="M329" s="19" t="s">
        <v>226</v>
      </c>
      <c r="N329" s="19">
        <v>2</v>
      </c>
      <c r="O329" s="19" t="s">
        <v>253</v>
      </c>
      <c r="P329" s="19" t="s">
        <v>218</v>
      </c>
      <c r="Q329" s="19" t="s">
        <v>218</v>
      </c>
      <c r="R329" s="19" t="s">
        <v>218</v>
      </c>
      <c r="S329" s="19" t="s">
        <v>218</v>
      </c>
      <c r="T329" s="19" t="s">
        <v>218</v>
      </c>
      <c r="U329" s="19" t="s">
        <v>218</v>
      </c>
      <c r="V329" s="19" t="s">
        <v>218</v>
      </c>
      <c r="W329" s="19" t="s">
        <v>218</v>
      </c>
      <c r="X329" s="19" t="s">
        <v>218</v>
      </c>
      <c r="Z329"/>
      <c r="AA329"/>
      <c r="AB329"/>
      <c r="AC329"/>
      <c r="AD329"/>
    </row>
    <row r="330" spans="1:30" x14ac:dyDescent="0.35">
      <c r="A330" s="19">
        <v>202304</v>
      </c>
      <c r="B330" s="19" t="s">
        <v>1202</v>
      </c>
      <c r="C330" s="19"/>
      <c r="E330" s="19" t="s">
        <v>208</v>
      </c>
      <c r="G330" s="19" t="s">
        <v>524</v>
      </c>
      <c r="H330" s="19">
        <v>83</v>
      </c>
      <c r="I330" s="19" t="s">
        <v>1203</v>
      </c>
      <c r="J330" s="19" t="s">
        <v>223</v>
      </c>
      <c r="K330" s="19" t="s">
        <v>108</v>
      </c>
      <c r="L330" s="19">
        <v>0</v>
      </c>
      <c r="M330" s="19" t="s">
        <v>226</v>
      </c>
      <c r="N330" s="19">
        <v>2</v>
      </c>
      <c r="O330" s="19" t="s">
        <v>253</v>
      </c>
      <c r="P330" s="19" t="s">
        <v>218</v>
      </c>
      <c r="Q330" s="19" t="s">
        <v>218</v>
      </c>
      <c r="R330" s="19" t="s">
        <v>218</v>
      </c>
      <c r="S330" s="19" t="s">
        <v>218</v>
      </c>
      <c r="T330" s="19" t="s">
        <v>218</v>
      </c>
      <c r="U330" s="19" t="s">
        <v>218</v>
      </c>
      <c r="V330" s="19" t="s">
        <v>218</v>
      </c>
      <c r="W330" s="19" t="s">
        <v>218</v>
      </c>
      <c r="X330" s="19" t="s">
        <v>218</v>
      </c>
      <c r="Z330"/>
      <c r="AA330"/>
      <c r="AB330"/>
      <c r="AC330"/>
      <c r="AD330"/>
    </row>
    <row r="331" spans="1:30" x14ac:dyDescent="0.35">
      <c r="A331" s="19">
        <v>202304</v>
      </c>
      <c r="B331" s="19" t="s">
        <v>1204</v>
      </c>
      <c r="C331" s="19"/>
      <c r="F331" s="19" t="s">
        <v>208</v>
      </c>
      <c r="G331" s="19" t="s">
        <v>29</v>
      </c>
      <c r="H331" s="19">
        <v>201</v>
      </c>
      <c r="I331" s="19" t="s">
        <v>1205</v>
      </c>
      <c r="J331" s="19" t="s">
        <v>440</v>
      </c>
      <c r="K331" s="19" t="s">
        <v>441</v>
      </c>
      <c r="L331" s="19">
        <v>0</v>
      </c>
      <c r="M331" s="19" t="s">
        <v>226</v>
      </c>
      <c r="N331" s="19">
        <v>4</v>
      </c>
      <c r="O331" s="19" t="s">
        <v>222</v>
      </c>
      <c r="P331" s="19" t="s">
        <v>218</v>
      </c>
      <c r="Q331" s="19" t="s">
        <v>218</v>
      </c>
      <c r="R331" s="19" t="s">
        <v>218</v>
      </c>
      <c r="S331" s="19" t="s">
        <v>218</v>
      </c>
      <c r="T331" s="19" t="s">
        <v>218</v>
      </c>
      <c r="U331" s="19" t="s">
        <v>218</v>
      </c>
      <c r="V331" s="19" t="s">
        <v>218</v>
      </c>
      <c r="W331" s="19" t="s">
        <v>218</v>
      </c>
      <c r="X331" s="19" t="s">
        <v>218</v>
      </c>
      <c r="Z331"/>
      <c r="AA331"/>
      <c r="AB331"/>
      <c r="AC331"/>
      <c r="AD331"/>
    </row>
    <row r="332" spans="1:30" x14ac:dyDescent="0.35">
      <c r="A332" s="19">
        <v>202304</v>
      </c>
      <c r="B332" s="19" t="s">
        <v>1206</v>
      </c>
      <c r="C332" s="19"/>
      <c r="E332" s="19" t="s">
        <v>208</v>
      </c>
      <c r="F332" s="19" t="s">
        <v>208</v>
      </c>
      <c r="G332" s="19" t="s">
        <v>29</v>
      </c>
      <c r="H332" s="19">
        <v>83</v>
      </c>
      <c r="I332" s="19" t="s">
        <v>1207</v>
      </c>
      <c r="J332" s="19" t="s">
        <v>223</v>
      </c>
      <c r="K332" s="19" t="s">
        <v>108</v>
      </c>
      <c r="L332" s="19">
        <v>0</v>
      </c>
      <c r="M332" s="19" t="s">
        <v>226</v>
      </c>
      <c r="N332" s="19">
        <v>2</v>
      </c>
      <c r="O332" s="19" t="s">
        <v>253</v>
      </c>
      <c r="P332" s="19" t="s">
        <v>218</v>
      </c>
      <c r="Q332" s="19" t="s">
        <v>218</v>
      </c>
      <c r="R332" s="19" t="s">
        <v>218</v>
      </c>
      <c r="S332" s="19" t="s">
        <v>218</v>
      </c>
      <c r="T332" s="19" t="s">
        <v>218</v>
      </c>
      <c r="U332" s="19" t="s">
        <v>218</v>
      </c>
      <c r="V332" s="19" t="s">
        <v>218</v>
      </c>
      <c r="W332" s="19" t="s">
        <v>218</v>
      </c>
      <c r="X332" s="19" t="s">
        <v>218</v>
      </c>
      <c r="Z332"/>
      <c r="AA332"/>
      <c r="AB332"/>
      <c r="AC332"/>
      <c r="AD332"/>
    </row>
    <row r="333" spans="1:30" x14ac:dyDescent="0.35">
      <c r="A333" s="19">
        <v>202304</v>
      </c>
      <c r="B333" s="19" t="s">
        <v>1208</v>
      </c>
      <c r="C333" s="19"/>
      <c r="F333" s="19" t="s">
        <v>208</v>
      </c>
      <c r="G333" s="19" t="s">
        <v>29</v>
      </c>
      <c r="H333" s="19">
        <v>201</v>
      </c>
      <c r="I333" s="19" t="s">
        <v>1209</v>
      </c>
      <c r="J333" s="19" t="s">
        <v>440</v>
      </c>
      <c r="K333" s="19" t="s">
        <v>441</v>
      </c>
      <c r="L333" s="19">
        <v>0</v>
      </c>
      <c r="M333" s="19" t="s">
        <v>226</v>
      </c>
      <c r="N333" s="19">
        <v>4</v>
      </c>
      <c r="O333" s="19" t="s">
        <v>222</v>
      </c>
      <c r="P333" s="19" t="s">
        <v>218</v>
      </c>
      <c r="Q333" s="19" t="s">
        <v>218</v>
      </c>
      <c r="R333" s="19" t="s">
        <v>218</v>
      </c>
      <c r="S333" s="19" t="s">
        <v>218</v>
      </c>
      <c r="T333" s="19" t="s">
        <v>218</v>
      </c>
      <c r="U333" s="19" t="s">
        <v>218</v>
      </c>
      <c r="V333" s="19" t="s">
        <v>218</v>
      </c>
      <c r="W333" s="19" t="s">
        <v>218</v>
      </c>
      <c r="X333" s="19" t="s">
        <v>218</v>
      </c>
      <c r="Z333"/>
      <c r="AA333"/>
      <c r="AB333"/>
      <c r="AC333"/>
      <c r="AD333"/>
    </row>
    <row r="334" spans="1:30" x14ac:dyDescent="0.35">
      <c r="A334" s="19">
        <v>202304</v>
      </c>
      <c r="B334" s="19" t="s">
        <v>1210</v>
      </c>
      <c r="C334" s="19" t="s">
        <v>208</v>
      </c>
      <c r="E334" s="19" t="s">
        <v>208</v>
      </c>
      <c r="G334" s="19" t="s">
        <v>20</v>
      </c>
      <c r="H334" s="19">
        <v>87</v>
      </c>
      <c r="I334" s="19" t="s">
        <v>1211</v>
      </c>
      <c r="J334" s="19" t="s">
        <v>219</v>
      </c>
      <c r="K334" s="19" t="s">
        <v>567</v>
      </c>
      <c r="L334" s="19">
        <v>0</v>
      </c>
      <c r="M334" s="19" t="s">
        <v>226</v>
      </c>
      <c r="N334" s="19">
        <v>1</v>
      </c>
      <c r="O334" s="19" t="s">
        <v>222</v>
      </c>
      <c r="P334" s="19" t="s">
        <v>218</v>
      </c>
      <c r="Q334" s="19" t="s">
        <v>218</v>
      </c>
      <c r="R334" s="19" t="s">
        <v>218</v>
      </c>
      <c r="S334" s="19" t="s">
        <v>218</v>
      </c>
      <c r="T334" s="19" t="s">
        <v>218</v>
      </c>
      <c r="U334" s="19" t="s">
        <v>218</v>
      </c>
      <c r="V334" s="19" t="s">
        <v>218</v>
      </c>
      <c r="W334" s="19" t="s">
        <v>218</v>
      </c>
      <c r="X334" s="19" t="s">
        <v>218</v>
      </c>
      <c r="Z334"/>
      <c r="AA334"/>
      <c r="AB334"/>
      <c r="AC334"/>
      <c r="AD334"/>
    </row>
    <row r="335" spans="1:30" x14ac:dyDescent="0.35">
      <c r="A335" s="19">
        <v>202304</v>
      </c>
      <c r="B335" s="19" t="s">
        <v>1212</v>
      </c>
      <c r="C335" s="19"/>
      <c r="F335" s="19" t="s">
        <v>208</v>
      </c>
      <c r="G335" s="19" t="s">
        <v>20</v>
      </c>
      <c r="H335" s="19">
        <v>201</v>
      </c>
      <c r="I335" s="19" t="s">
        <v>218</v>
      </c>
      <c r="J335" s="19" t="s">
        <v>219</v>
      </c>
      <c r="K335" s="19" t="s">
        <v>1182</v>
      </c>
      <c r="L335" s="19">
        <v>0</v>
      </c>
      <c r="M335" s="19" t="s">
        <v>218</v>
      </c>
      <c r="N335" s="19">
        <v>4</v>
      </c>
      <c r="O335" s="19" t="s">
        <v>222</v>
      </c>
      <c r="P335" s="19" t="s">
        <v>218</v>
      </c>
      <c r="Q335" s="19" t="s">
        <v>218</v>
      </c>
      <c r="R335" s="19" t="s">
        <v>218</v>
      </c>
      <c r="S335" s="19" t="s">
        <v>218</v>
      </c>
      <c r="T335" s="19" t="s">
        <v>218</v>
      </c>
      <c r="U335" s="19" t="s">
        <v>218</v>
      </c>
      <c r="V335" s="19" t="s">
        <v>218</v>
      </c>
      <c r="W335" s="19" t="s">
        <v>218</v>
      </c>
      <c r="X335" s="19" t="s">
        <v>218</v>
      </c>
      <c r="Z335"/>
      <c r="AA335"/>
      <c r="AB335"/>
      <c r="AC335"/>
      <c r="AD335"/>
    </row>
    <row r="336" spans="1:30" x14ac:dyDescent="0.35">
      <c r="A336" s="19">
        <v>202304</v>
      </c>
      <c r="B336" s="19" t="s">
        <v>1213</v>
      </c>
      <c r="C336" s="19" t="s">
        <v>208</v>
      </c>
      <c r="G336" s="19" t="s">
        <v>43</v>
      </c>
      <c r="H336" s="19">
        <v>87</v>
      </c>
      <c r="I336" s="19" t="s">
        <v>1214</v>
      </c>
      <c r="J336" s="19" t="s">
        <v>219</v>
      </c>
      <c r="K336" s="19" t="s">
        <v>223</v>
      </c>
      <c r="L336" s="19">
        <v>0</v>
      </c>
      <c r="M336" s="19" t="s">
        <v>226</v>
      </c>
      <c r="N336" s="19">
        <v>1</v>
      </c>
      <c r="O336" s="19" t="s">
        <v>222</v>
      </c>
      <c r="P336" s="19" t="s">
        <v>218</v>
      </c>
      <c r="Q336" s="19" t="s">
        <v>218</v>
      </c>
      <c r="R336" s="19" t="s">
        <v>218</v>
      </c>
      <c r="S336" s="19" t="s">
        <v>218</v>
      </c>
      <c r="T336" s="19" t="s">
        <v>218</v>
      </c>
      <c r="U336" s="19" t="s">
        <v>218</v>
      </c>
      <c r="V336" s="19" t="s">
        <v>218</v>
      </c>
      <c r="W336" s="19" t="s">
        <v>218</v>
      </c>
      <c r="X336" s="19" t="s">
        <v>218</v>
      </c>
      <c r="Z336"/>
      <c r="AA336"/>
      <c r="AB336"/>
      <c r="AC336"/>
      <c r="AD336"/>
    </row>
    <row r="337" spans="1:30" x14ac:dyDescent="0.35">
      <c r="A337" s="19">
        <v>202304</v>
      </c>
      <c r="B337" s="19" t="s">
        <v>1215</v>
      </c>
      <c r="C337" s="19" t="s">
        <v>208</v>
      </c>
      <c r="G337" s="19" t="s">
        <v>20</v>
      </c>
      <c r="H337" s="19">
        <v>87</v>
      </c>
      <c r="I337" s="19" t="s">
        <v>1216</v>
      </c>
      <c r="J337" s="19" t="s">
        <v>219</v>
      </c>
      <c r="K337" s="19" t="s">
        <v>567</v>
      </c>
      <c r="L337" s="19">
        <v>0</v>
      </c>
      <c r="M337" s="19" t="s">
        <v>226</v>
      </c>
      <c r="N337" s="19">
        <v>1</v>
      </c>
      <c r="O337" s="19" t="s">
        <v>222</v>
      </c>
      <c r="P337" s="19" t="s">
        <v>218</v>
      </c>
      <c r="Q337" s="19" t="s">
        <v>218</v>
      </c>
      <c r="R337" s="19" t="s">
        <v>218</v>
      </c>
      <c r="S337" s="19" t="s">
        <v>218</v>
      </c>
      <c r="T337" s="19" t="s">
        <v>218</v>
      </c>
      <c r="U337" s="19" t="s">
        <v>218</v>
      </c>
      <c r="V337" s="19" t="s">
        <v>218</v>
      </c>
      <c r="W337" s="19" t="s">
        <v>218</v>
      </c>
      <c r="X337" s="19" t="s">
        <v>218</v>
      </c>
      <c r="Z337"/>
      <c r="AA337"/>
      <c r="AB337"/>
      <c r="AC337"/>
      <c r="AD337"/>
    </row>
    <row r="338" spans="1:30" x14ac:dyDescent="0.35">
      <c r="A338" s="19">
        <v>202304</v>
      </c>
      <c r="B338" s="19" t="s">
        <v>1217</v>
      </c>
      <c r="C338" s="19" t="s">
        <v>208</v>
      </c>
      <c r="F338" s="19" t="s">
        <v>208</v>
      </c>
      <c r="G338" s="19" t="s">
        <v>20</v>
      </c>
      <c r="H338" s="19">
        <v>87</v>
      </c>
      <c r="I338" s="19" t="s">
        <v>1218</v>
      </c>
      <c r="J338" s="19" t="s">
        <v>219</v>
      </c>
      <c r="K338" s="19" t="s">
        <v>567</v>
      </c>
      <c r="L338" s="19">
        <v>0</v>
      </c>
      <c r="M338" s="19" t="s">
        <v>226</v>
      </c>
      <c r="N338" s="19">
        <v>1</v>
      </c>
      <c r="O338" s="19" t="s">
        <v>222</v>
      </c>
      <c r="P338" s="19" t="s">
        <v>218</v>
      </c>
      <c r="Q338" s="19" t="s">
        <v>218</v>
      </c>
      <c r="R338" s="19" t="s">
        <v>218</v>
      </c>
      <c r="S338" s="19" t="s">
        <v>218</v>
      </c>
      <c r="T338" s="19" t="s">
        <v>218</v>
      </c>
      <c r="U338" s="19" t="s">
        <v>218</v>
      </c>
      <c r="V338" s="19" t="s">
        <v>218</v>
      </c>
      <c r="W338" s="19" t="s">
        <v>218</v>
      </c>
      <c r="X338" s="19" t="s">
        <v>218</v>
      </c>
      <c r="Z338"/>
      <c r="AA338"/>
      <c r="AB338"/>
      <c r="AC338"/>
      <c r="AD338"/>
    </row>
    <row r="339" spans="1:30" x14ac:dyDescent="0.35">
      <c r="A339" s="19">
        <v>202304</v>
      </c>
      <c r="B339" s="19" t="s">
        <v>1219</v>
      </c>
      <c r="C339" s="19" t="s">
        <v>208</v>
      </c>
      <c r="G339" s="19" t="s">
        <v>20</v>
      </c>
      <c r="H339" s="19">
        <v>87</v>
      </c>
      <c r="I339" s="19" t="s">
        <v>1220</v>
      </c>
      <c r="J339" s="19" t="s">
        <v>219</v>
      </c>
      <c r="K339" s="19" t="s">
        <v>567</v>
      </c>
      <c r="L339" s="19">
        <v>0</v>
      </c>
      <c r="M339" s="19" t="s">
        <v>226</v>
      </c>
      <c r="N339" s="19">
        <v>1</v>
      </c>
      <c r="O339" s="19" t="s">
        <v>222</v>
      </c>
      <c r="P339" s="19" t="s">
        <v>218</v>
      </c>
      <c r="Q339" s="19" t="s">
        <v>218</v>
      </c>
      <c r="R339" s="19" t="s">
        <v>218</v>
      </c>
      <c r="S339" s="19" t="s">
        <v>218</v>
      </c>
      <c r="T339" s="19" t="s">
        <v>218</v>
      </c>
      <c r="U339" s="19" t="s">
        <v>218</v>
      </c>
      <c r="V339" s="19" t="s">
        <v>218</v>
      </c>
      <c r="W339" s="19" t="s">
        <v>218</v>
      </c>
      <c r="X339" s="19" t="s">
        <v>218</v>
      </c>
      <c r="Z339"/>
      <c r="AA339"/>
      <c r="AB339"/>
      <c r="AC339"/>
      <c r="AD339"/>
    </row>
    <row r="340" spans="1:30" x14ac:dyDescent="0.35">
      <c r="A340" s="19">
        <v>202304</v>
      </c>
      <c r="B340" s="19" t="s">
        <v>1221</v>
      </c>
      <c r="C340" s="19" t="s">
        <v>208</v>
      </c>
      <c r="G340" s="19" t="s">
        <v>20</v>
      </c>
      <c r="H340" s="19">
        <v>87</v>
      </c>
      <c r="I340" s="19" t="s">
        <v>1222</v>
      </c>
      <c r="J340" s="19" t="s">
        <v>219</v>
      </c>
      <c r="K340" s="19" t="s">
        <v>567</v>
      </c>
      <c r="L340" s="19">
        <v>0</v>
      </c>
      <c r="M340" s="19" t="s">
        <v>226</v>
      </c>
      <c r="N340" s="19">
        <v>1</v>
      </c>
      <c r="O340" s="19" t="s">
        <v>222</v>
      </c>
      <c r="P340" s="19" t="s">
        <v>218</v>
      </c>
      <c r="Q340" s="19" t="s">
        <v>218</v>
      </c>
      <c r="R340" s="19" t="s">
        <v>218</v>
      </c>
      <c r="S340" s="19" t="s">
        <v>218</v>
      </c>
      <c r="T340" s="19" t="s">
        <v>218</v>
      </c>
      <c r="U340" s="19" t="s">
        <v>218</v>
      </c>
      <c r="V340" s="19" t="s">
        <v>218</v>
      </c>
      <c r="W340" s="19" t="s">
        <v>218</v>
      </c>
      <c r="X340" s="19" t="s">
        <v>218</v>
      </c>
      <c r="Z340"/>
      <c r="AA340"/>
      <c r="AB340"/>
      <c r="AC340"/>
      <c r="AD340"/>
    </row>
    <row r="341" spans="1:30" x14ac:dyDescent="0.35">
      <c r="A341" s="19">
        <v>202304</v>
      </c>
      <c r="B341" s="19" t="s">
        <v>1223</v>
      </c>
      <c r="C341" s="19" t="s">
        <v>208</v>
      </c>
      <c r="G341" s="19" t="s">
        <v>20</v>
      </c>
      <c r="H341" s="19">
        <v>87</v>
      </c>
      <c r="I341" s="19" t="s">
        <v>1224</v>
      </c>
      <c r="J341" s="19" t="s">
        <v>219</v>
      </c>
      <c r="K341" s="19" t="s">
        <v>567</v>
      </c>
      <c r="L341" s="19">
        <v>0</v>
      </c>
      <c r="M341" s="19" t="s">
        <v>226</v>
      </c>
      <c r="N341" s="19">
        <v>1</v>
      </c>
      <c r="O341" s="19" t="s">
        <v>222</v>
      </c>
      <c r="P341" s="19" t="s">
        <v>218</v>
      </c>
      <c r="Q341" s="19" t="s">
        <v>218</v>
      </c>
      <c r="R341" s="19" t="s">
        <v>218</v>
      </c>
      <c r="S341" s="19" t="s">
        <v>218</v>
      </c>
      <c r="T341" s="19" t="s">
        <v>218</v>
      </c>
      <c r="U341" s="19" t="s">
        <v>218</v>
      </c>
      <c r="V341" s="19" t="s">
        <v>218</v>
      </c>
      <c r="W341" s="19" t="s">
        <v>218</v>
      </c>
      <c r="X341" s="19" t="s">
        <v>218</v>
      </c>
      <c r="Z341"/>
      <c r="AA341"/>
      <c r="AB341"/>
      <c r="AC341"/>
      <c r="AD341"/>
    </row>
    <row r="342" spans="1:30" x14ac:dyDescent="0.35">
      <c r="A342" s="19">
        <v>202304</v>
      </c>
      <c r="B342" s="19" t="s">
        <v>1225</v>
      </c>
      <c r="C342" s="19" t="s">
        <v>208</v>
      </c>
      <c r="E342" s="19" t="s">
        <v>208</v>
      </c>
      <c r="G342" s="19" t="s">
        <v>20</v>
      </c>
      <c r="H342" s="19">
        <v>87</v>
      </c>
      <c r="I342" s="19" t="s">
        <v>1226</v>
      </c>
      <c r="J342" s="19" t="s">
        <v>219</v>
      </c>
      <c r="K342" s="19" t="s">
        <v>567</v>
      </c>
      <c r="L342" s="19">
        <v>0</v>
      </c>
      <c r="M342" s="19" t="s">
        <v>226</v>
      </c>
      <c r="N342" s="19">
        <v>1</v>
      </c>
      <c r="O342" s="19" t="s">
        <v>222</v>
      </c>
      <c r="P342" s="19" t="s">
        <v>218</v>
      </c>
      <c r="Q342" s="19" t="s">
        <v>218</v>
      </c>
      <c r="R342" s="19" t="s">
        <v>218</v>
      </c>
      <c r="S342" s="19" t="s">
        <v>218</v>
      </c>
      <c r="T342" s="19" t="s">
        <v>218</v>
      </c>
      <c r="U342" s="19" t="s">
        <v>218</v>
      </c>
      <c r="V342" s="19" t="s">
        <v>218</v>
      </c>
      <c r="W342" s="19" t="s">
        <v>218</v>
      </c>
      <c r="X342" s="19" t="s">
        <v>218</v>
      </c>
      <c r="Z342"/>
      <c r="AA342"/>
      <c r="AB342"/>
      <c r="AC342"/>
      <c r="AD342"/>
    </row>
    <row r="343" spans="1:30" x14ac:dyDescent="0.35">
      <c r="A343" s="19">
        <v>202304</v>
      </c>
      <c r="B343" s="19" t="s">
        <v>1227</v>
      </c>
      <c r="C343" s="19" t="s">
        <v>208</v>
      </c>
      <c r="E343" s="19" t="s">
        <v>208</v>
      </c>
      <c r="G343" s="19" t="s">
        <v>20</v>
      </c>
      <c r="H343" s="19">
        <v>87</v>
      </c>
      <c r="I343" s="19" t="s">
        <v>1228</v>
      </c>
      <c r="J343" s="19" t="s">
        <v>219</v>
      </c>
      <c r="K343" s="19" t="s">
        <v>567</v>
      </c>
      <c r="L343" s="19">
        <v>0</v>
      </c>
      <c r="M343" s="19" t="s">
        <v>226</v>
      </c>
      <c r="N343" s="19">
        <v>1</v>
      </c>
      <c r="O343" s="19" t="s">
        <v>222</v>
      </c>
      <c r="P343" s="19" t="s">
        <v>218</v>
      </c>
      <c r="Q343" s="19" t="s">
        <v>218</v>
      </c>
      <c r="R343" s="19" t="s">
        <v>218</v>
      </c>
      <c r="S343" s="19" t="s">
        <v>218</v>
      </c>
      <c r="T343" s="19" t="s">
        <v>218</v>
      </c>
      <c r="U343" s="19" t="s">
        <v>218</v>
      </c>
      <c r="V343" s="19" t="s">
        <v>218</v>
      </c>
      <c r="W343" s="19" t="s">
        <v>218</v>
      </c>
      <c r="X343" s="19" t="s">
        <v>218</v>
      </c>
      <c r="Z343"/>
      <c r="AA343"/>
      <c r="AB343"/>
      <c r="AC343"/>
      <c r="AD343"/>
    </row>
    <row r="344" spans="1:30" x14ac:dyDescent="0.35">
      <c r="A344" s="19">
        <v>202304</v>
      </c>
      <c r="B344" s="19" t="s">
        <v>1229</v>
      </c>
      <c r="C344" s="19" t="s">
        <v>208</v>
      </c>
      <c r="E344" s="19" t="s">
        <v>208</v>
      </c>
      <c r="F344" s="19" t="s">
        <v>208</v>
      </c>
      <c r="G344" s="19" t="s">
        <v>20</v>
      </c>
      <c r="H344" s="19">
        <v>87</v>
      </c>
      <c r="I344" s="19" t="s">
        <v>1230</v>
      </c>
      <c r="J344" s="19" t="s">
        <v>219</v>
      </c>
      <c r="K344" s="19" t="s">
        <v>567</v>
      </c>
      <c r="L344" s="19">
        <v>0</v>
      </c>
      <c r="M344" s="19" t="s">
        <v>226</v>
      </c>
      <c r="N344" s="19">
        <v>1</v>
      </c>
      <c r="O344" s="19" t="s">
        <v>222</v>
      </c>
      <c r="P344" s="19" t="s">
        <v>218</v>
      </c>
      <c r="Q344" s="19" t="s">
        <v>218</v>
      </c>
      <c r="R344" s="19" t="s">
        <v>218</v>
      </c>
      <c r="S344" s="19" t="s">
        <v>218</v>
      </c>
      <c r="T344" s="19" t="s">
        <v>218</v>
      </c>
      <c r="U344" s="19" t="s">
        <v>218</v>
      </c>
      <c r="V344" s="19" t="s">
        <v>218</v>
      </c>
      <c r="W344" s="19" t="s">
        <v>218</v>
      </c>
      <c r="X344" s="19" t="s">
        <v>218</v>
      </c>
      <c r="Z344"/>
      <c r="AA344"/>
      <c r="AB344"/>
      <c r="AC344"/>
      <c r="AD344"/>
    </row>
    <row r="345" spans="1:30" x14ac:dyDescent="0.35">
      <c r="A345" s="19">
        <v>202304</v>
      </c>
      <c r="B345" s="19" t="s">
        <v>1231</v>
      </c>
      <c r="C345" s="19" t="s">
        <v>208</v>
      </c>
      <c r="G345" s="19" t="s">
        <v>20</v>
      </c>
      <c r="H345" s="19">
        <v>87</v>
      </c>
      <c r="I345" s="19" t="s">
        <v>1232</v>
      </c>
      <c r="J345" s="19" t="s">
        <v>219</v>
      </c>
      <c r="K345" s="19" t="s">
        <v>567</v>
      </c>
      <c r="L345" s="19">
        <v>0</v>
      </c>
      <c r="M345" s="19" t="s">
        <v>226</v>
      </c>
      <c r="N345" s="19">
        <v>1</v>
      </c>
      <c r="O345" s="19" t="s">
        <v>222</v>
      </c>
      <c r="P345" s="19" t="s">
        <v>218</v>
      </c>
      <c r="Q345" s="19" t="s">
        <v>218</v>
      </c>
      <c r="R345" s="19" t="s">
        <v>218</v>
      </c>
      <c r="S345" s="19" t="s">
        <v>218</v>
      </c>
      <c r="T345" s="19" t="s">
        <v>218</v>
      </c>
      <c r="U345" s="19" t="s">
        <v>218</v>
      </c>
      <c r="V345" s="19" t="s">
        <v>218</v>
      </c>
      <c r="W345" s="19" t="s">
        <v>218</v>
      </c>
      <c r="X345" s="19" t="s">
        <v>218</v>
      </c>
      <c r="Z345"/>
      <c r="AA345"/>
      <c r="AB345"/>
      <c r="AC345"/>
      <c r="AD345"/>
    </row>
    <row r="346" spans="1:30" x14ac:dyDescent="0.35">
      <c r="A346" s="19">
        <v>202304</v>
      </c>
      <c r="B346" s="19" t="s">
        <v>1233</v>
      </c>
      <c r="C346" s="19" t="s">
        <v>208</v>
      </c>
      <c r="E346" s="19" t="s">
        <v>208</v>
      </c>
      <c r="G346" s="19" t="s">
        <v>20</v>
      </c>
      <c r="H346" s="19">
        <v>87</v>
      </c>
      <c r="I346" s="19" t="s">
        <v>1234</v>
      </c>
      <c r="J346" s="19" t="s">
        <v>219</v>
      </c>
      <c r="K346" s="19" t="s">
        <v>567</v>
      </c>
      <c r="L346" s="19">
        <v>0</v>
      </c>
      <c r="M346" s="19" t="s">
        <v>226</v>
      </c>
      <c r="N346" s="19">
        <v>1</v>
      </c>
      <c r="O346" s="19" t="s">
        <v>222</v>
      </c>
      <c r="P346" s="19" t="s">
        <v>218</v>
      </c>
      <c r="Q346" s="19" t="s">
        <v>218</v>
      </c>
      <c r="R346" s="19" t="s">
        <v>218</v>
      </c>
      <c r="S346" s="19" t="s">
        <v>218</v>
      </c>
      <c r="T346" s="19" t="s">
        <v>218</v>
      </c>
      <c r="U346" s="19" t="s">
        <v>218</v>
      </c>
      <c r="V346" s="19" t="s">
        <v>218</v>
      </c>
      <c r="W346" s="19" t="s">
        <v>218</v>
      </c>
      <c r="X346" s="19" t="s">
        <v>218</v>
      </c>
      <c r="Z346"/>
      <c r="AA346"/>
      <c r="AB346"/>
      <c r="AC346"/>
      <c r="AD346"/>
    </row>
    <row r="347" spans="1:30" x14ac:dyDescent="0.35">
      <c r="A347" s="19">
        <v>202304</v>
      </c>
      <c r="B347" s="19" t="s">
        <v>1235</v>
      </c>
      <c r="C347" s="19" t="s">
        <v>208</v>
      </c>
      <c r="E347" s="19" t="s">
        <v>208</v>
      </c>
      <c r="F347" s="19" t="s">
        <v>208</v>
      </c>
      <c r="G347" s="19" t="s">
        <v>20</v>
      </c>
      <c r="H347" s="19">
        <v>87</v>
      </c>
      <c r="I347" s="19" t="s">
        <v>1236</v>
      </c>
      <c r="J347" s="19" t="s">
        <v>219</v>
      </c>
      <c r="K347" s="19" t="s">
        <v>567</v>
      </c>
      <c r="L347" s="19">
        <v>0</v>
      </c>
      <c r="M347" s="19" t="s">
        <v>226</v>
      </c>
      <c r="N347" s="19">
        <v>1</v>
      </c>
      <c r="O347" s="19" t="s">
        <v>222</v>
      </c>
      <c r="P347" s="19" t="s">
        <v>218</v>
      </c>
      <c r="Q347" s="19" t="s">
        <v>218</v>
      </c>
      <c r="R347" s="19" t="s">
        <v>218</v>
      </c>
      <c r="S347" s="19" t="s">
        <v>218</v>
      </c>
      <c r="T347" s="19" t="s">
        <v>218</v>
      </c>
      <c r="U347" s="19" t="s">
        <v>218</v>
      </c>
      <c r="V347" s="19" t="s">
        <v>218</v>
      </c>
      <c r="W347" s="19" t="s">
        <v>218</v>
      </c>
      <c r="X347" s="19" t="s">
        <v>218</v>
      </c>
      <c r="Z347"/>
      <c r="AA347"/>
      <c r="AB347"/>
      <c r="AC347"/>
      <c r="AD347"/>
    </row>
    <row r="348" spans="1:30" x14ac:dyDescent="0.35">
      <c r="A348" s="19">
        <v>202304</v>
      </c>
      <c r="B348" s="19" t="s">
        <v>1237</v>
      </c>
      <c r="C348" s="19" t="s">
        <v>208</v>
      </c>
      <c r="E348" s="19" t="s">
        <v>208</v>
      </c>
      <c r="F348" s="19" t="s">
        <v>208</v>
      </c>
      <c r="G348" s="19" t="s">
        <v>20</v>
      </c>
      <c r="H348" s="19">
        <v>87</v>
      </c>
      <c r="I348" s="19" t="s">
        <v>1238</v>
      </c>
      <c r="J348" s="19" t="s">
        <v>219</v>
      </c>
      <c r="K348" s="19" t="s">
        <v>567</v>
      </c>
      <c r="L348" s="19">
        <v>0</v>
      </c>
      <c r="M348" s="19" t="s">
        <v>226</v>
      </c>
      <c r="N348" s="19">
        <v>1</v>
      </c>
      <c r="O348" s="19" t="s">
        <v>222</v>
      </c>
      <c r="P348" s="19" t="s">
        <v>218</v>
      </c>
      <c r="Q348" s="19" t="s">
        <v>218</v>
      </c>
      <c r="R348" s="19" t="s">
        <v>218</v>
      </c>
      <c r="S348" s="19" t="s">
        <v>218</v>
      </c>
      <c r="T348" s="19" t="s">
        <v>218</v>
      </c>
      <c r="U348" s="19" t="s">
        <v>218</v>
      </c>
      <c r="V348" s="19" t="s">
        <v>218</v>
      </c>
      <c r="W348" s="19" t="s">
        <v>218</v>
      </c>
      <c r="X348" s="19" t="s">
        <v>218</v>
      </c>
      <c r="Z348"/>
      <c r="AA348"/>
      <c r="AB348"/>
      <c r="AC348"/>
      <c r="AD348"/>
    </row>
    <row r="349" spans="1:30" x14ac:dyDescent="0.35">
      <c r="A349" s="19">
        <v>202304</v>
      </c>
      <c r="B349" s="19" t="s">
        <v>1239</v>
      </c>
      <c r="C349" s="19" t="s">
        <v>208</v>
      </c>
      <c r="E349" s="19" t="s">
        <v>208</v>
      </c>
      <c r="F349" s="19" t="s">
        <v>208</v>
      </c>
      <c r="G349" s="19" t="s">
        <v>20</v>
      </c>
      <c r="H349" s="19">
        <v>87</v>
      </c>
      <c r="I349" s="19" t="s">
        <v>1240</v>
      </c>
      <c r="J349" s="19" t="s">
        <v>219</v>
      </c>
      <c r="K349" s="19" t="s">
        <v>567</v>
      </c>
      <c r="L349" s="19">
        <v>0</v>
      </c>
      <c r="M349" s="19" t="s">
        <v>226</v>
      </c>
      <c r="N349" s="19">
        <v>1</v>
      </c>
      <c r="O349" s="19" t="s">
        <v>222</v>
      </c>
      <c r="P349" s="19" t="s">
        <v>218</v>
      </c>
      <c r="Q349" s="19" t="s">
        <v>218</v>
      </c>
      <c r="R349" s="19" t="s">
        <v>218</v>
      </c>
      <c r="S349" s="19" t="s">
        <v>218</v>
      </c>
      <c r="T349" s="19" t="s">
        <v>218</v>
      </c>
      <c r="U349" s="19" t="s">
        <v>218</v>
      </c>
      <c r="V349" s="19" t="s">
        <v>218</v>
      </c>
      <c r="W349" s="19" t="s">
        <v>218</v>
      </c>
      <c r="X349" s="19" t="s">
        <v>218</v>
      </c>
      <c r="Z349"/>
      <c r="AA349"/>
      <c r="AB349"/>
      <c r="AC349"/>
      <c r="AD349"/>
    </row>
    <row r="350" spans="1:30" x14ac:dyDescent="0.35">
      <c r="A350" s="19">
        <v>202304</v>
      </c>
      <c r="B350" s="19" t="s">
        <v>1241</v>
      </c>
      <c r="C350" s="19" t="s">
        <v>208</v>
      </c>
      <c r="F350" s="19" t="s">
        <v>208</v>
      </c>
      <c r="G350" s="19" t="s">
        <v>20</v>
      </c>
      <c r="H350" s="19">
        <v>87</v>
      </c>
      <c r="I350" s="19" t="s">
        <v>1242</v>
      </c>
      <c r="J350" s="19" t="s">
        <v>219</v>
      </c>
      <c r="K350" s="19" t="s">
        <v>567</v>
      </c>
      <c r="L350" s="19">
        <v>0</v>
      </c>
      <c r="M350" s="19" t="s">
        <v>226</v>
      </c>
      <c r="N350" s="19">
        <v>1</v>
      </c>
      <c r="O350" s="19" t="s">
        <v>222</v>
      </c>
      <c r="P350" s="19" t="s">
        <v>218</v>
      </c>
      <c r="Q350" s="19" t="s">
        <v>218</v>
      </c>
      <c r="R350" s="19" t="s">
        <v>218</v>
      </c>
      <c r="S350" s="19" t="s">
        <v>218</v>
      </c>
      <c r="T350" s="19" t="s">
        <v>218</v>
      </c>
      <c r="U350" s="19" t="s">
        <v>218</v>
      </c>
      <c r="V350" s="19" t="s">
        <v>218</v>
      </c>
      <c r="W350" s="19" t="s">
        <v>218</v>
      </c>
      <c r="X350" s="19" t="s">
        <v>218</v>
      </c>
      <c r="Z350"/>
      <c r="AA350"/>
      <c r="AB350"/>
      <c r="AC350"/>
      <c r="AD350"/>
    </row>
    <row r="351" spans="1:30" x14ac:dyDescent="0.35">
      <c r="A351" s="19">
        <v>202304</v>
      </c>
      <c r="B351" s="19" t="s">
        <v>1243</v>
      </c>
      <c r="C351" s="19" t="s">
        <v>208</v>
      </c>
      <c r="E351" s="19" t="s">
        <v>208</v>
      </c>
      <c r="G351" s="19" t="s">
        <v>20</v>
      </c>
      <c r="H351" s="19">
        <v>87</v>
      </c>
      <c r="I351" s="19" t="s">
        <v>1244</v>
      </c>
      <c r="J351" s="19" t="s">
        <v>219</v>
      </c>
      <c r="K351" s="19" t="s">
        <v>567</v>
      </c>
      <c r="L351" s="19">
        <v>0</v>
      </c>
      <c r="M351" s="19" t="s">
        <v>226</v>
      </c>
      <c r="N351" s="19">
        <v>1</v>
      </c>
      <c r="O351" s="19" t="s">
        <v>222</v>
      </c>
      <c r="P351" s="19" t="s">
        <v>218</v>
      </c>
      <c r="Q351" s="19" t="s">
        <v>218</v>
      </c>
      <c r="R351" s="19" t="s">
        <v>218</v>
      </c>
      <c r="S351" s="19" t="s">
        <v>218</v>
      </c>
      <c r="T351" s="19" t="s">
        <v>218</v>
      </c>
      <c r="U351" s="19" t="s">
        <v>218</v>
      </c>
      <c r="V351" s="19" t="s">
        <v>218</v>
      </c>
      <c r="W351" s="19" t="s">
        <v>218</v>
      </c>
      <c r="X351" s="19" t="s">
        <v>218</v>
      </c>
      <c r="Z351"/>
      <c r="AA351"/>
      <c r="AB351"/>
      <c r="AC351"/>
      <c r="AD351"/>
    </row>
    <row r="352" spans="1:30" x14ac:dyDescent="0.35">
      <c r="A352" s="19">
        <v>202304</v>
      </c>
      <c r="B352" s="19" t="s">
        <v>1245</v>
      </c>
      <c r="C352" s="19" t="s">
        <v>208</v>
      </c>
      <c r="E352" s="19" t="s">
        <v>208</v>
      </c>
      <c r="G352" s="19" t="s">
        <v>20</v>
      </c>
      <c r="H352" s="19">
        <v>87</v>
      </c>
      <c r="I352" s="19" t="s">
        <v>1246</v>
      </c>
      <c r="J352" s="19" t="s">
        <v>219</v>
      </c>
      <c r="K352" s="19" t="s">
        <v>567</v>
      </c>
      <c r="L352" s="19">
        <v>0</v>
      </c>
      <c r="M352" s="19" t="s">
        <v>226</v>
      </c>
      <c r="N352" s="19">
        <v>1</v>
      </c>
      <c r="O352" s="19" t="s">
        <v>222</v>
      </c>
      <c r="P352" s="19" t="s">
        <v>218</v>
      </c>
      <c r="Q352" s="19" t="s">
        <v>218</v>
      </c>
      <c r="R352" s="19" t="s">
        <v>218</v>
      </c>
      <c r="S352" s="19" t="s">
        <v>218</v>
      </c>
      <c r="T352" s="19" t="s">
        <v>218</v>
      </c>
      <c r="U352" s="19" t="s">
        <v>218</v>
      </c>
      <c r="V352" s="19" t="s">
        <v>218</v>
      </c>
      <c r="W352" s="19" t="s">
        <v>218</v>
      </c>
      <c r="X352" s="19" t="s">
        <v>218</v>
      </c>
      <c r="Z352"/>
      <c r="AA352"/>
      <c r="AB352"/>
      <c r="AC352"/>
      <c r="AD352"/>
    </row>
    <row r="353" spans="1:30" x14ac:dyDescent="0.35">
      <c r="A353" s="19">
        <v>202304</v>
      </c>
      <c r="B353" s="19" t="s">
        <v>1247</v>
      </c>
      <c r="C353" s="19" t="s">
        <v>208</v>
      </c>
      <c r="E353" s="19" t="s">
        <v>208</v>
      </c>
      <c r="G353" s="19" t="s">
        <v>20</v>
      </c>
      <c r="H353" s="19">
        <v>87</v>
      </c>
      <c r="I353" s="19" t="s">
        <v>1248</v>
      </c>
      <c r="J353" s="19" t="s">
        <v>219</v>
      </c>
      <c r="K353" s="19" t="s">
        <v>567</v>
      </c>
      <c r="L353" s="19">
        <v>0</v>
      </c>
      <c r="M353" s="19" t="s">
        <v>226</v>
      </c>
      <c r="N353" s="19">
        <v>1</v>
      </c>
      <c r="O353" s="19" t="s">
        <v>222</v>
      </c>
      <c r="P353" s="19" t="s">
        <v>218</v>
      </c>
      <c r="Q353" s="19" t="s">
        <v>218</v>
      </c>
      <c r="R353" s="19" t="s">
        <v>218</v>
      </c>
      <c r="S353" s="19" t="s">
        <v>218</v>
      </c>
      <c r="T353" s="19" t="s">
        <v>218</v>
      </c>
      <c r="U353" s="19" t="s">
        <v>218</v>
      </c>
      <c r="V353" s="19" t="s">
        <v>218</v>
      </c>
      <c r="W353" s="19" t="s">
        <v>218</v>
      </c>
      <c r="X353" s="19" t="s">
        <v>218</v>
      </c>
      <c r="Z353"/>
      <c r="AA353"/>
      <c r="AB353"/>
      <c r="AC353"/>
      <c r="AD353"/>
    </row>
    <row r="354" spans="1:30" x14ac:dyDescent="0.35">
      <c r="A354" s="19">
        <v>202304</v>
      </c>
      <c r="B354" s="19" t="s">
        <v>1249</v>
      </c>
      <c r="C354" s="19" t="s">
        <v>208</v>
      </c>
      <c r="E354" s="19" t="s">
        <v>208</v>
      </c>
      <c r="F354" s="19" t="s">
        <v>208</v>
      </c>
      <c r="G354" s="19" t="s">
        <v>20</v>
      </c>
      <c r="H354" s="19">
        <v>87</v>
      </c>
      <c r="I354" s="19" t="s">
        <v>1250</v>
      </c>
      <c r="J354" s="19" t="s">
        <v>219</v>
      </c>
      <c r="K354" s="19" t="s">
        <v>567</v>
      </c>
      <c r="L354" s="19">
        <v>0</v>
      </c>
      <c r="M354" s="19" t="s">
        <v>226</v>
      </c>
      <c r="N354" s="19">
        <v>1</v>
      </c>
      <c r="O354" s="19" t="s">
        <v>222</v>
      </c>
      <c r="P354" s="19" t="s">
        <v>218</v>
      </c>
      <c r="Q354" s="19" t="s">
        <v>218</v>
      </c>
      <c r="R354" s="19" t="s">
        <v>218</v>
      </c>
      <c r="S354" s="19" t="s">
        <v>218</v>
      </c>
      <c r="T354" s="19" t="s">
        <v>218</v>
      </c>
      <c r="U354" s="19" t="s">
        <v>218</v>
      </c>
      <c r="V354" s="19" t="s">
        <v>218</v>
      </c>
      <c r="W354" s="19" t="s">
        <v>218</v>
      </c>
      <c r="X354" s="19" t="s">
        <v>218</v>
      </c>
      <c r="Z354"/>
      <c r="AA354"/>
      <c r="AB354"/>
      <c r="AC354"/>
      <c r="AD354"/>
    </row>
    <row r="355" spans="1:30" x14ac:dyDescent="0.35">
      <c r="A355" s="19">
        <v>202304</v>
      </c>
      <c r="B355" s="19" t="s">
        <v>1251</v>
      </c>
      <c r="C355" s="19" t="s">
        <v>208</v>
      </c>
      <c r="E355" s="19" t="s">
        <v>208</v>
      </c>
      <c r="G355" s="19" t="s">
        <v>20</v>
      </c>
      <c r="H355" s="19">
        <v>87</v>
      </c>
      <c r="I355" s="19" t="s">
        <v>1252</v>
      </c>
      <c r="J355" s="19" t="s">
        <v>219</v>
      </c>
      <c r="K355" s="19" t="s">
        <v>567</v>
      </c>
      <c r="L355" s="19">
        <v>0</v>
      </c>
      <c r="M355" s="19" t="s">
        <v>226</v>
      </c>
      <c r="N355" s="19">
        <v>1</v>
      </c>
      <c r="O355" s="19" t="s">
        <v>222</v>
      </c>
      <c r="P355" s="19" t="s">
        <v>218</v>
      </c>
      <c r="Q355" s="19" t="s">
        <v>218</v>
      </c>
      <c r="R355" s="19" t="s">
        <v>218</v>
      </c>
      <c r="S355" s="19" t="s">
        <v>218</v>
      </c>
      <c r="T355" s="19" t="s">
        <v>218</v>
      </c>
      <c r="U355" s="19" t="s">
        <v>218</v>
      </c>
      <c r="V355" s="19" t="s">
        <v>218</v>
      </c>
      <c r="W355" s="19" t="s">
        <v>218</v>
      </c>
      <c r="X355" s="19" t="s">
        <v>218</v>
      </c>
      <c r="Z355"/>
      <c r="AA355"/>
      <c r="AB355"/>
      <c r="AC355"/>
      <c r="AD355"/>
    </row>
    <row r="356" spans="1:30" x14ac:dyDescent="0.35">
      <c r="A356" s="19">
        <v>202304</v>
      </c>
      <c r="B356" s="19" t="s">
        <v>1253</v>
      </c>
      <c r="C356" s="19"/>
      <c r="F356" s="19" t="s">
        <v>208</v>
      </c>
      <c r="G356" s="19" t="s">
        <v>29</v>
      </c>
      <c r="H356" s="19">
        <v>201</v>
      </c>
      <c r="I356" s="19" t="s">
        <v>218</v>
      </c>
      <c r="J356" s="19" t="s">
        <v>440</v>
      </c>
      <c r="K356" s="19" t="s">
        <v>441</v>
      </c>
      <c r="L356" s="19">
        <v>0</v>
      </c>
      <c r="M356" s="19" t="s">
        <v>218</v>
      </c>
      <c r="N356" s="19">
        <v>4</v>
      </c>
      <c r="O356" s="19" t="s">
        <v>222</v>
      </c>
      <c r="P356" s="19" t="s">
        <v>218</v>
      </c>
      <c r="Q356" s="19" t="s">
        <v>218</v>
      </c>
      <c r="R356" s="19" t="s">
        <v>218</v>
      </c>
      <c r="S356" s="19" t="s">
        <v>218</v>
      </c>
      <c r="T356" s="19" t="s">
        <v>218</v>
      </c>
      <c r="U356" s="19" t="s">
        <v>218</v>
      </c>
      <c r="V356" s="19" t="s">
        <v>218</v>
      </c>
      <c r="W356" s="19" t="s">
        <v>218</v>
      </c>
      <c r="X356" s="19" t="s">
        <v>218</v>
      </c>
      <c r="Z356"/>
      <c r="AA356"/>
      <c r="AB356"/>
      <c r="AC356"/>
      <c r="AD356"/>
    </row>
    <row r="357" spans="1:30" x14ac:dyDescent="0.35">
      <c r="A357" s="19">
        <v>202304</v>
      </c>
      <c r="B357" s="19" t="s">
        <v>1254</v>
      </c>
      <c r="C357" s="19"/>
      <c r="F357" s="19" t="s">
        <v>208</v>
      </c>
      <c r="G357" s="19" t="s">
        <v>29</v>
      </c>
      <c r="H357" s="19">
        <v>201</v>
      </c>
      <c r="I357" s="19" t="s">
        <v>218</v>
      </c>
      <c r="J357" s="19" t="s">
        <v>440</v>
      </c>
      <c r="K357" s="19" t="s">
        <v>441</v>
      </c>
      <c r="L357" s="19">
        <v>0</v>
      </c>
      <c r="M357" s="19" t="s">
        <v>218</v>
      </c>
      <c r="N357" s="19">
        <v>4</v>
      </c>
      <c r="O357" s="19" t="s">
        <v>222</v>
      </c>
      <c r="P357" s="19" t="s">
        <v>218</v>
      </c>
      <c r="Q357" s="19" t="s">
        <v>218</v>
      </c>
      <c r="R357" s="19" t="s">
        <v>218</v>
      </c>
      <c r="S357" s="19" t="s">
        <v>218</v>
      </c>
      <c r="T357" s="19" t="s">
        <v>218</v>
      </c>
      <c r="U357" s="19" t="s">
        <v>218</v>
      </c>
      <c r="V357" s="19" t="s">
        <v>218</v>
      </c>
      <c r="W357" s="19" t="s">
        <v>218</v>
      </c>
      <c r="X357" s="19" t="s">
        <v>218</v>
      </c>
      <c r="Z357"/>
      <c r="AA357"/>
      <c r="AB357"/>
      <c r="AC357"/>
      <c r="AD357"/>
    </row>
    <row r="358" spans="1:30" x14ac:dyDescent="0.35">
      <c r="A358" s="19">
        <v>202304</v>
      </c>
      <c r="B358" s="19" t="s">
        <v>1255</v>
      </c>
      <c r="C358" s="19"/>
      <c r="E358" s="19" t="s">
        <v>208</v>
      </c>
      <c r="F358" s="19" t="s">
        <v>208</v>
      </c>
      <c r="G358" s="19" t="s">
        <v>67</v>
      </c>
      <c r="H358" s="19">
        <v>83</v>
      </c>
      <c r="I358" s="19" t="s">
        <v>1256</v>
      </c>
      <c r="J358" s="19" t="s">
        <v>219</v>
      </c>
      <c r="K358" s="19" t="s">
        <v>118</v>
      </c>
      <c r="L358" s="19">
        <v>5657</v>
      </c>
      <c r="M358" s="19" t="s">
        <v>539</v>
      </c>
      <c r="N358" s="19">
        <v>2</v>
      </c>
      <c r="O358" s="19" t="s">
        <v>253</v>
      </c>
      <c r="P358" s="19" t="s">
        <v>218</v>
      </c>
      <c r="Q358" s="19" t="s">
        <v>218</v>
      </c>
      <c r="R358" s="19" t="s">
        <v>218</v>
      </c>
      <c r="S358" s="19" t="s">
        <v>218</v>
      </c>
      <c r="T358" s="19" t="s">
        <v>218</v>
      </c>
      <c r="U358" s="19" t="s">
        <v>218</v>
      </c>
      <c r="V358" s="19" t="s">
        <v>218</v>
      </c>
      <c r="W358" s="19" t="s">
        <v>218</v>
      </c>
      <c r="X358" s="19" t="s">
        <v>218</v>
      </c>
      <c r="Z358"/>
      <c r="AA358"/>
      <c r="AB358"/>
      <c r="AC358"/>
      <c r="AD358"/>
    </row>
    <row r="359" spans="1:30" x14ac:dyDescent="0.35">
      <c r="A359" s="19">
        <v>202304</v>
      </c>
      <c r="B359" s="19" t="s">
        <v>1257</v>
      </c>
      <c r="C359" s="19"/>
      <c r="E359" s="19" t="s">
        <v>208</v>
      </c>
      <c r="G359" s="19" t="s">
        <v>43</v>
      </c>
      <c r="H359" s="19">
        <v>83</v>
      </c>
      <c r="I359" s="19" t="s">
        <v>1258</v>
      </c>
      <c r="J359" s="19" t="s">
        <v>219</v>
      </c>
      <c r="K359" s="19" t="s">
        <v>118</v>
      </c>
      <c r="L359" s="19">
        <v>10722</v>
      </c>
      <c r="M359" s="19" t="s">
        <v>1441</v>
      </c>
      <c r="N359" s="19">
        <v>2</v>
      </c>
      <c r="O359" s="19" t="s">
        <v>253</v>
      </c>
      <c r="P359" s="19" t="s">
        <v>218</v>
      </c>
      <c r="Q359" s="19" t="s">
        <v>218</v>
      </c>
      <c r="R359" s="19" t="s">
        <v>218</v>
      </c>
      <c r="S359" s="19" t="s">
        <v>218</v>
      </c>
      <c r="T359" s="19" t="s">
        <v>218</v>
      </c>
      <c r="U359" s="19" t="s">
        <v>218</v>
      </c>
      <c r="V359" s="19" t="s">
        <v>218</v>
      </c>
      <c r="W359" s="19" t="s">
        <v>218</v>
      </c>
      <c r="X359" s="19" t="s">
        <v>218</v>
      </c>
      <c r="Z359"/>
      <c r="AA359"/>
      <c r="AB359"/>
      <c r="AC359"/>
      <c r="AD359"/>
    </row>
    <row r="360" spans="1:30" x14ac:dyDescent="0.35">
      <c r="A360" s="19">
        <v>202304</v>
      </c>
      <c r="B360" s="19" t="s">
        <v>1259</v>
      </c>
      <c r="C360" s="19"/>
      <c r="E360" s="19" t="s">
        <v>208</v>
      </c>
      <c r="F360" s="19" t="s">
        <v>208</v>
      </c>
      <c r="G360" s="19" t="s">
        <v>43</v>
      </c>
      <c r="H360" s="19">
        <v>83</v>
      </c>
      <c r="I360" s="19" t="s">
        <v>1260</v>
      </c>
      <c r="J360" s="19" t="s">
        <v>219</v>
      </c>
      <c r="K360" s="19" t="s">
        <v>118</v>
      </c>
      <c r="L360" s="19">
        <v>5780</v>
      </c>
      <c r="M360" s="19" t="s">
        <v>1442</v>
      </c>
      <c r="N360" s="19">
        <v>2</v>
      </c>
      <c r="O360" s="19" t="s">
        <v>253</v>
      </c>
      <c r="P360" s="19" t="s">
        <v>218</v>
      </c>
      <c r="Q360" s="19" t="s">
        <v>218</v>
      </c>
      <c r="R360" s="19" t="s">
        <v>218</v>
      </c>
      <c r="S360" s="19" t="s">
        <v>218</v>
      </c>
      <c r="T360" s="19" t="s">
        <v>218</v>
      </c>
      <c r="U360" s="19" t="s">
        <v>218</v>
      </c>
      <c r="V360" s="19" t="s">
        <v>218</v>
      </c>
      <c r="W360" s="19" t="s">
        <v>218</v>
      </c>
      <c r="X360" s="19" t="s">
        <v>218</v>
      </c>
      <c r="Z360"/>
      <c r="AA360"/>
      <c r="AB360"/>
      <c r="AC360"/>
      <c r="AD360"/>
    </row>
    <row r="361" spans="1:30" x14ac:dyDescent="0.35">
      <c r="A361" s="19">
        <v>202304</v>
      </c>
      <c r="B361" s="19" t="s">
        <v>1261</v>
      </c>
      <c r="C361" s="19"/>
      <c r="F361" s="19" t="s">
        <v>208</v>
      </c>
      <c r="G361" s="19" t="s">
        <v>43</v>
      </c>
      <c r="H361" s="19">
        <v>201</v>
      </c>
      <c r="I361" s="19" t="s">
        <v>1262</v>
      </c>
      <c r="J361" s="19" t="s">
        <v>219</v>
      </c>
      <c r="K361" s="19" t="s">
        <v>1263</v>
      </c>
      <c r="L361" s="19">
        <v>0</v>
      </c>
      <c r="M361" s="19" t="s">
        <v>226</v>
      </c>
      <c r="N361" s="19">
        <v>4</v>
      </c>
      <c r="O361" s="19" t="s">
        <v>222</v>
      </c>
      <c r="P361" s="19" t="s">
        <v>218</v>
      </c>
      <c r="Q361" s="19" t="s">
        <v>218</v>
      </c>
      <c r="R361" s="19" t="s">
        <v>218</v>
      </c>
      <c r="S361" s="19" t="s">
        <v>218</v>
      </c>
      <c r="T361" s="19" t="s">
        <v>218</v>
      </c>
      <c r="U361" s="19" t="s">
        <v>218</v>
      </c>
      <c r="V361" s="19" t="s">
        <v>218</v>
      </c>
      <c r="W361" s="19" t="s">
        <v>218</v>
      </c>
      <c r="X361" s="19" t="s">
        <v>218</v>
      </c>
      <c r="Z361"/>
      <c r="AA361"/>
      <c r="AB361"/>
      <c r="AC361"/>
      <c r="AD361"/>
    </row>
    <row r="362" spans="1:30" x14ac:dyDescent="0.35">
      <c r="A362" s="19">
        <v>202304</v>
      </c>
      <c r="B362" s="19" t="s">
        <v>1264</v>
      </c>
      <c r="C362" s="19"/>
      <c r="E362" s="19" t="s">
        <v>208</v>
      </c>
      <c r="G362" s="19" t="s">
        <v>43</v>
      </c>
      <c r="H362" s="19">
        <v>83</v>
      </c>
      <c r="I362" s="19" t="s">
        <v>1265</v>
      </c>
      <c r="J362" s="19" t="s">
        <v>219</v>
      </c>
      <c r="K362" s="19" t="s">
        <v>118</v>
      </c>
      <c r="L362" s="19">
        <v>4739</v>
      </c>
      <c r="M362" s="19" t="s">
        <v>1443</v>
      </c>
      <c r="N362" s="19">
        <v>2</v>
      </c>
      <c r="O362" s="19" t="s">
        <v>253</v>
      </c>
      <c r="P362" s="19" t="s">
        <v>218</v>
      </c>
      <c r="Q362" s="19" t="s">
        <v>218</v>
      </c>
      <c r="R362" s="19" t="s">
        <v>218</v>
      </c>
      <c r="S362" s="19" t="s">
        <v>218</v>
      </c>
      <c r="T362" s="19" t="s">
        <v>218</v>
      </c>
      <c r="U362" s="19" t="s">
        <v>218</v>
      </c>
      <c r="V362" s="19" t="s">
        <v>218</v>
      </c>
      <c r="W362" s="19" t="s">
        <v>218</v>
      </c>
      <c r="X362" s="19" t="s">
        <v>218</v>
      </c>
      <c r="Z362"/>
      <c r="AA362"/>
      <c r="AB362"/>
      <c r="AC362"/>
      <c r="AD362"/>
    </row>
    <row r="363" spans="1:30" x14ac:dyDescent="0.35">
      <c r="A363" s="19">
        <v>202304</v>
      </c>
      <c r="B363" s="19" t="s">
        <v>1444</v>
      </c>
      <c r="C363" s="19" t="s">
        <v>208</v>
      </c>
      <c r="E363" s="19" t="s">
        <v>208</v>
      </c>
      <c r="F363" s="19" t="s">
        <v>208</v>
      </c>
      <c r="G363" s="19" t="s">
        <v>43</v>
      </c>
      <c r="H363" s="19">
        <v>87</v>
      </c>
      <c r="I363" s="19" t="s">
        <v>1266</v>
      </c>
      <c r="J363" s="19" t="s">
        <v>219</v>
      </c>
      <c r="K363" s="19" t="s">
        <v>1267</v>
      </c>
      <c r="L363" s="19">
        <v>0</v>
      </c>
      <c r="M363" s="19" t="s">
        <v>226</v>
      </c>
      <c r="N363" s="19">
        <v>1</v>
      </c>
      <c r="O363" s="19" t="s">
        <v>222</v>
      </c>
      <c r="P363" s="19" t="s">
        <v>218</v>
      </c>
      <c r="Q363" s="19" t="s">
        <v>218</v>
      </c>
      <c r="R363" s="19" t="s">
        <v>218</v>
      </c>
      <c r="S363" s="19" t="s">
        <v>218</v>
      </c>
      <c r="T363" s="19" t="s">
        <v>218</v>
      </c>
      <c r="U363" s="19" t="s">
        <v>218</v>
      </c>
      <c r="V363" s="19" t="s">
        <v>218</v>
      </c>
      <c r="W363" s="19" t="s">
        <v>218</v>
      </c>
      <c r="X363" s="19" t="s">
        <v>218</v>
      </c>
      <c r="Z363"/>
      <c r="AA363"/>
      <c r="AB363"/>
      <c r="AC363"/>
      <c r="AD363"/>
    </row>
    <row r="364" spans="1:30" x14ac:dyDescent="0.35">
      <c r="A364" s="19">
        <v>202304</v>
      </c>
      <c r="B364" s="19" t="s">
        <v>1445</v>
      </c>
      <c r="C364" s="19" t="s">
        <v>208</v>
      </c>
      <c r="E364" s="19" t="s">
        <v>208</v>
      </c>
      <c r="G364" s="19" t="s">
        <v>43</v>
      </c>
      <c r="H364" s="19">
        <v>87</v>
      </c>
      <c r="I364" s="19" t="s">
        <v>1268</v>
      </c>
      <c r="J364" s="19" t="s">
        <v>219</v>
      </c>
      <c r="K364" s="19" t="s">
        <v>223</v>
      </c>
      <c r="L364" s="19">
        <v>0</v>
      </c>
      <c r="M364" s="19" t="s">
        <v>226</v>
      </c>
      <c r="N364" s="19">
        <v>1</v>
      </c>
      <c r="O364" s="19" t="s">
        <v>222</v>
      </c>
      <c r="P364" s="19" t="s">
        <v>218</v>
      </c>
      <c r="Q364" s="19" t="s">
        <v>218</v>
      </c>
      <c r="R364" s="19" t="s">
        <v>218</v>
      </c>
      <c r="S364" s="19" t="s">
        <v>218</v>
      </c>
      <c r="T364" s="19" t="s">
        <v>218</v>
      </c>
      <c r="U364" s="19" t="s">
        <v>218</v>
      </c>
      <c r="V364" s="19" t="s">
        <v>218</v>
      </c>
      <c r="W364" s="19" t="s">
        <v>218</v>
      </c>
      <c r="X364" s="19" t="s">
        <v>218</v>
      </c>
      <c r="Z364"/>
      <c r="AA364"/>
      <c r="AB364"/>
      <c r="AC364"/>
      <c r="AD364"/>
    </row>
    <row r="365" spans="1:30" x14ac:dyDescent="0.35">
      <c r="A365" s="19">
        <v>202304</v>
      </c>
      <c r="B365" s="19" t="s">
        <v>1269</v>
      </c>
      <c r="C365" s="19"/>
      <c r="E365" s="19" t="s">
        <v>208</v>
      </c>
      <c r="F365" s="19" t="s">
        <v>208</v>
      </c>
      <c r="G365" s="19" t="s">
        <v>43</v>
      </c>
      <c r="H365" s="19">
        <v>83</v>
      </c>
      <c r="I365" s="19" t="s">
        <v>1270</v>
      </c>
      <c r="J365" s="19" t="s">
        <v>219</v>
      </c>
      <c r="K365" s="19" t="s">
        <v>118</v>
      </c>
      <c r="L365" s="19">
        <v>5672</v>
      </c>
      <c r="M365" s="19" t="s">
        <v>1446</v>
      </c>
      <c r="N365" s="19">
        <v>2</v>
      </c>
      <c r="O365" s="19" t="s">
        <v>253</v>
      </c>
      <c r="P365" s="19" t="s">
        <v>218</v>
      </c>
      <c r="Q365" s="19" t="s">
        <v>218</v>
      </c>
      <c r="R365" s="19" t="s">
        <v>218</v>
      </c>
      <c r="S365" s="19" t="s">
        <v>218</v>
      </c>
      <c r="T365" s="19" t="s">
        <v>218</v>
      </c>
      <c r="U365" s="19" t="s">
        <v>218</v>
      </c>
      <c r="V365" s="19" t="s">
        <v>218</v>
      </c>
      <c r="W365" s="19" t="s">
        <v>218</v>
      </c>
      <c r="X365" s="19" t="s">
        <v>218</v>
      </c>
      <c r="Z365"/>
      <c r="AA365"/>
      <c r="AB365"/>
      <c r="AC365"/>
      <c r="AD365"/>
    </row>
    <row r="366" spans="1:30" x14ac:dyDescent="0.35">
      <c r="A366" s="19">
        <v>202304</v>
      </c>
      <c r="B366" s="19" t="s">
        <v>1271</v>
      </c>
      <c r="C366" s="19"/>
      <c r="E366" s="19" t="s">
        <v>208</v>
      </c>
      <c r="G366" s="19" t="s">
        <v>43</v>
      </c>
      <c r="H366" s="19">
        <v>83</v>
      </c>
      <c r="I366" s="19" t="s">
        <v>1272</v>
      </c>
      <c r="J366" s="19" t="s">
        <v>219</v>
      </c>
      <c r="K366" s="19" t="s">
        <v>118</v>
      </c>
      <c r="L366" s="19">
        <v>10548</v>
      </c>
      <c r="M366" s="19" t="s">
        <v>1447</v>
      </c>
      <c r="N366" s="19">
        <v>2</v>
      </c>
      <c r="O366" s="19" t="s">
        <v>253</v>
      </c>
      <c r="P366" s="19" t="s">
        <v>218</v>
      </c>
      <c r="Q366" s="19" t="s">
        <v>218</v>
      </c>
      <c r="R366" s="19" t="s">
        <v>218</v>
      </c>
      <c r="S366" s="19" t="s">
        <v>218</v>
      </c>
      <c r="T366" s="19" t="s">
        <v>218</v>
      </c>
      <c r="U366" s="19" t="s">
        <v>218</v>
      </c>
      <c r="V366" s="19" t="s">
        <v>218</v>
      </c>
      <c r="W366" s="19" t="s">
        <v>218</v>
      </c>
      <c r="X366" s="19" t="s">
        <v>218</v>
      </c>
      <c r="Z366"/>
      <c r="AA366"/>
      <c r="AB366"/>
      <c r="AC366"/>
      <c r="AD366"/>
    </row>
    <row r="367" spans="1:30" x14ac:dyDescent="0.35">
      <c r="A367" s="19">
        <v>202304</v>
      </c>
      <c r="B367" s="19" t="s">
        <v>1273</v>
      </c>
      <c r="C367" s="19"/>
      <c r="E367" s="19" t="s">
        <v>208</v>
      </c>
      <c r="G367" s="19" t="s">
        <v>43</v>
      </c>
      <c r="H367" s="19">
        <v>83</v>
      </c>
      <c r="I367" s="19" t="s">
        <v>1274</v>
      </c>
      <c r="J367" s="19" t="s">
        <v>219</v>
      </c>
      <c r="K367" s="19" t="s">
        <v>118</v>
      </c>
      <c r="L367" s="19">
        <v>5607</v>
      </c>
      <c r="M367" s="19" t="s">
        <v>1416</v>
      </c>
      <c r="N367" s="19">
        <v>2</v>
      </c>
      <c r="O367" s="19" t="s">
        <v>253</v>
      </c>
      <c r="P367" s="19" t="s">
        <v>218</v>
      </c>
      <c r="Q367" s="19" t="s">
        <v>218</v>
      </c>
      <c r="R367" s="19" t="s">
        <v>218</v>
      </c>
      <c r="S367" s="19" t="s">
        <v>218</v>
      </c>
      <c r="T367" s="19" t="s">
        <v>218</v>
      </c>
      <c r="U367" s="19" t="s">
        <v>218</v>
      </c>
      <c r="V367" s="19" t="s">
        <v>218</v>
      </c>
      <c r="W367" s="19" t="s">
        <v>218</v>
      </c>
      <c r="X367" s="19" t="s">
        <v>218</v>
      </c>
      <c r="Z367"/>
      <c r="AA367"/>
      <c r="AB367"/>
      <c r="AC367"/>
      <c r="AD367"/>
    </row>
    <row r="368" spans="1:30" x14ac:dyDescent="0.35">
      <c r="A368" s="19">
        <v>202304</v>
      </c>
      <c r="B368" s="19" t="s">
        <v>1275</v>
      </c>
      <c r="C368" s="19"/>
      <c r="E368" s="19" t="s">
        <v>208</v>
      </c>
      <c r="G368" s="19" t="s">
        <v>43</v>
      </c>
      <c r="H368" s="19">
        <v>83</v>
      </c>
      <c r="I368" s="19" t="s">
        <v>1276</v>
      </c>
      <c r="J368" s="19" t="s">
        <v>219</v>
      </c>
      <c r="K368" s="19" t="s">
        <v>118</v>
      </c>
      <c r="L368" s="19">
        <v>5931</v>
      </c>
      <c r="M368" s="19" t="s">
        <v>1448</v>
      </c>
      <c r="N368" s="19">
        <v>2</v>
      </c>
      <c r="O368" s="19" t="s">
        <v>253</v>
      </c>
      <c r="P368" s="19" t="s">
        <v>218</v>
      </c>
      <c r="Q368" s="19" t="s">
        <v>218</v>
      </c>
      <c r="R368" s="19" t="s">
        <v>218</v>
      </c>
      <c r="S368" s="19" t="s">
        <v>218</v>
      </c>
      <c r="T368" s="19" t="s">
        <v>218</v>
      </c>
      <c r="U368" s="19" t="s">
        <v>218</v>
      </c>
      <c r="V368" s="19" t="s">
        <v>218</v>
      </c>
      <c r="W368" s="19" t="s">
        <v>218</v>
      </c>
      <c r="X368" s="19" t="s">
        <v>218</v>
      </c>
      <c r="Z368"/>
      <c r="AA368"/>
      <c r="AB368"/>
      <c r="AC368"/>
      <c r="AD368"/>
    </row>
    <row r="369" spans="1:30" x14ac:dyDescent="0.35">
      <c r="A369" s="19">
        <v>202304</v>
      </c>
      <c r="B369" s="19" t="s">
        <v>1277</v>
      </c>
      <c r="C369" s="19"/>
      <c r="E369" s="19" t="s">
        <v>208</v>
      </c>
      <c r="G369" s="19" t="s">
        <v>43</v>
      </c>
      <c r="H369" s="19">
        <v>83</v>
      </c>
      <c r="I369" s="19" t="s">
        <v>1278</v>
      </c>
      <c r="J369" s="19" t="s">
        <v>219</v>
      </c>
      <c r="K369" s="19" t="s">
        <v>118</v>
      </c>
      <c r="L369" s="19">
        <v>5780</v>
      </c>
      <c r="M369" s="19" t="s">
        <v>1442</v>
      </c>
      <c r="N369" s="19">
        <v>2</v>
      </c>
      <c r="O369" s="19" t="s">
        <v>253</v>
      </c>
      <c r="P369" s="19" t="s">
        <v>218</v>
      </c>
      <c r="Q369" s="19" t="s">
        <v>218</v>
      </c>
      <c r="R369" s="19" t="s">
        <v>218</v>
      </c>
      <c r="S369" s="19" t="s">
        <v>218</v>
      </c>
      <c r="T369" s="19" t="s">
        <v>218</v>
      </c>
      <c r="U369" s="19" t="s">
        <v>218</v>
      </c>
      <c r="V369" s="19" t="s">
        <v>218</v>
      </c>
      <c r="W369" s="19" t="s">
        <v>218</v>
      </c>
      <c r="X369" s="19" t="s">
        <v>218</v>
      </c>
      <c r="Z369"/>
      <c r="AA369"/>
      <c r="AB369"/>
      <c r="AC369"/>
      <c r="AD369"/>
    </row>
    <row r="370" spans="1:30" x14ac:dyDescent="0.35">
      <c r="A370" s="19">
        <v>202304</v>
      </c>
      <c r="B370" s="19" t="s">
        <v>1284</v>
      </c>
      <c r="C370" s="19"/>
      <c r="E370" s="19" t="s">
        <v>208</v>
      </c>
      <c r="G370" s="19" t="s">
        <v>514</v>
      </c>
      <c r="H370" s="19">
        <v>83</v>
      </c>
      <c r="I370" s="19" t="s">
        <v>1285</v>
      </c>
      <c r="J370" s="19" t="s">
        <v>259</v>
      </c>
      <c r="K370" s="19" t="s">
        <v>445</v>
      </c>
      <c r="L370" s="19">
        <v>0</v>
      </c>
      <c r="M370" s="19" t="s">
        <v>226</v>
      </c>
      <c r="N370" s="19">
        <v>2</v>
      </c>
      <c r="O370" s="19" t="s">
        <v>253</v>
      </c>
      <c r="P370" s="19" t="s">
        <v>218</v>
      </c>
      <c r="Q370" s="19" t="s">
        <v>218</v>
      </c>
      <c r="R370" s="19" t="s">
        <v>218</v>
      </c>
      <c r="S370" s="19" t="s">
        <v>218</v>
      </c>
      <c r="T370" s="19" t="s">
        <v>218</v>
      </c>
      <c r="U370" s="19" t="s">
        <v>218</v>
      </c>
      <c r="V370" s="19" t="s">
        <v>218</v>
      </c>
      <c r="W370" s="19" t="s">
        <v>218</v>
      </c>
      <c r="X370" s="19" t="s">
        <v>218</v>
      </c>
      <c r="Z370"/>
      <c r="AA370"/>
      <c r="AB370"/>
      <c r="AC370"/>
      <c r="AD370"/>
    </row>
    <row r="371" spans="1:30" x14ac:dyDescent="0.35">
      <c r="A371" s="19">
        <v>202304</v>
      </c>
      <c r="B371" s="19" t="s">
        <v>1449</v>
      </c>
      <c r="C371" s="19" t="s">
        <v>208</v>
      </c>
      <c r="E371" s="19" t="s">
        <v>208</v>
      </c>
      <c r="G371" s="19" t="s">
        <v>43</v>
      </c>
      <c r="H371" s="19">
        <v>87</v>
      </c>
      <c r="I371" s="19" t="s">
        <v>1286</v>
      </c>
      <c r="J371" s="19" t="s">
        <v>219</v>
      </c>
      <c r="K371" s="19" t="s">
        <v>1267</v>
      </c>
      <c r="L371" s="19">
        <v>0</v>
      </c>
      <c r="M371" s="19" t="s">
        <v>226</v>
      </c>
      <c r="N371" s="19">
        <v>1</v>
      </c>
      <c r="O371" s="19" t="s">
        <v>222</v>
      </c>
      <c r="P371" s="19" t="s">
        <v>218</v>
      </c>
      <c r="Q371" s="19" t="s">
        <v>218</v>
      </c>
      <c r="R371" s="19" t="s">
        <v>218</v>
      </c>
      <c r="S371" s="19" t="s">
        <v>218</v>
      </c>
      <c r="T371" s="19" t="s">
        <v>218</v>
      </c>
      <c r="U371" s="19" t="s">
        <v>218</v>
      </c>
      <c r="V371" s="19" t="s">
        <v>218</v>
      </c>
      <c r="W371" s="19" t="s">
        <v>218</v>
      </c>
      <c r="X371" s="19" t="s">
        <v>218</v>
      </c>
      <c r="Z371"/>
      <c r="AA371"/>
      <c r="AB371"/>
      <c r="AC371"/>
      <c r="AD371"/>
    </row>
    <row r="372" spans="1:30" x14ac:dyDescent="0.35">
      <c r="A372" s="19">
        <v>202304</v>
      </c>
      <c r="B372" s="19" t="s">
        <v>1287</v>
      </c>
      <c r="C372" s="19"/>
      <c r="E372" s="19" t="s">
        <v>208</v>
      </c>
      <c r="G372" s="19" t="s">
        <v>43</v>
      </c>
      <c r="H372" s="19">
        <v>83</v>
      </c>
      <c r="I372" s="19" t="s">
        <v>1288</v>
      </c>
      <c r="J372" s="19" t="s">
        <v>219</v>
      </c>
      <c r="K372" s="19" t="s">
        <v>220</v>
      </c>
      <c r="L372" s="19">
        <v>3651</v>
      </c>
      <c r="M372" s="19" t="s">
        <v>515</v>
      </c>
      <c r="N372" s="19">
        <v>2</v>
      </c>
      <c r="O372" s="19" t="s">
        <v>253</v>
      </c>
      <c r="P372" s="19" t="s">
        <v>218</v>
      </c>
      <c r="Q372" s="19" t="s">
        <v>218</v>
      </c>
      <c r="R372" s="19" t="s">
        <v>218</v>
      </c>
      <c r="S372" s="19" t="s">
        <v>218</v>
      </c>
      <c r="T372" s="19" t="s">
        <v>218</v>
      </c>
      <c r="U372" s="19" t="s">
        <v>218</v>
      </c>
      <c r="V372" s="19" t="s">
        <v>218</v>
      </c>
      <c r="W372" s="19" t="s">
        <v>218</v>
      </c>
      <c r="X372" s="19" t="s">
        <v>218</v>
      </c>
      <c r="Z372"/>
      <c r="AA372"/>
      <c r="AB372"/>
      <c r="AC372"/>
      <c r="AD372"/>
    </row>
    <row r="373" spans="1:30" x14ac:dyDescent="0.35">
      <c r="A373" s="19">
        <v>202304</v>
      </c>
      <c r="B373" s="19" t="s">
        <v>1289</v>
      </c>
      <c r="C373" s="19"/>
      <c r="E373" s="19" t="s">
        <v>208</v>
      </c>
      <c r="G373" s="19" t="s">
        <v>43</v>
      </c>
      <c r="H373" s="19">
        <v>83</v>
      </c>
      <c r="I373" s="19" t="s">
        <v>1290</v>
      </c>
      <c r="J373" s="19" t="s">
        <v>219</v>
      </c>
      <c r="K373" s="19" t="s">
        <v>220</v>
      </c>
      <c r="L373" s="19">
        <v>4739</v>
      </c>
      <c r="M373" s="19" t="s">
        <v>1443</v>
      </c>
      <c r="N373" s="19">
        <v>2</v>
      </c>
      <c r="O373" s="19" t="s">
        <v>253</v>
      </c>
      <c r="P373" s="19" t="s">
        <v>218</v>
      </c>
      <c r="Q373" s="19" t="s">
        <v>218</v>
      </c>
      <c r="R373" s="19" t="s">
        <v>218</v>
      </c>
      <c r="S373" s="19" t="s">
        <v>218</v>
      </c>
      <c r="T373" s="19" t="s">
        <v>218</v>
      </c>
      <c r="U373" s="19" t="s">
        <v>218</v>
      </c>
      <c r="V373" s="19" t="s">
        <v>218</v>
      </c>
      <c r="W373" s="19" t="s">
        <v>218</v>
      </c>
      <c r="X373" s="19" t="s">
        <v>218</v>
      </c>
      <c r="Z373"/>
      <c r="AA373"/>
      <c r="AB373"/>
      <c r="AC373"/>
      <c r="AD373"/>
    </row>
    <row r="374" spans="1:30" x14ac:dyDescent="0.35">
      <c r="A374" s="19">
        <v>202304</v>
      </c>
      <c r="B374" s="19" t="s">
        <v>1291</v>
      </c>
      <c r="C374" s="19"/>
      <c r="F374" s="19" t="s">
        <v>208</v>
      </c>
      <c r="G374" s="19" t="s">
        <v>43</v>
      </c>
      <c r="H374" s="19">
        <v>201</v>
      </c>
      <c r="I374" s="19" t="s">
        <v>1292</v>
      </c>
      <c r="J374" s="19" t="s">
        <v>219</v>
      </c>
      <c r="K374" s="19" t="s">
        <v>1293</v>
      </c>
      <c r="L374" s="19">
        <v>0</v>
      </c>
      <c r="M374" s="19" t="s">
        <v>226</v>
      </c>
      <c r="N374" s="19">
        <v>4</v>
      </c>
      <c r="O374" s="19" t="s">
        <v>222</v>
      </c>
      <c r="P374" s="19" t="s">
        <v>218</v>
      </c>
      <c r="Q374" s="19" t="s">
        <v>218</v>
      </c>
      <c r="R374" s="19" t="s">
        <v>218</v>
      </c>
      <c r="S374" s="19" t="s">
        <v>218</v>
      </c>
      <c r="T374" s="19" t="s">
        <v>218</v>
      </c>
      <c r="U374" s="19" t="s">
        <v>218</v>
      </c>
      <c r="V374" s="19" t="s">
        <v>218</v>
      </c>
      <c r="W374" s="19" t="s">
        <v>218</v>
      </c>
      <c r="X374" s="19" t="s">
        <v>218</v>
      </c>
      <c r="Z374"/>
      <c r="AA374"/>
      <c r="AB374"/>
      <c r="AC374"/>
      <c r="AD374"/>
    </row>
    <row r="375" spans="1:30" x14ac:dyDescent="0.35">
      <c r="A375" s="19">
        <v>202304</v>
      </c>
      <c r="B375" s="19" t="s">
        <v>1294</v>
      </c>
      <c r="C375" s="19"/>
      <c r="E375" s="19" t="s">
        <v>208</v>
      </c>
      <c r="G375" s="19" t="s">
        <v>43</v>
      </c>
      <c r="H375" s="19">
        <v>83</v>
      </c>
      <c r="I375" s="19" t="s">
        <v>1295</v>
      </c>
      <c r="J375" s="19" t="s">
        <v>219</v>
      </c>
      <c r="K375" s="19" t="s">
        <v>1150</v>
      </c>
      <c r="L375" s="19">
        <v>5914</v>
      </c>
      <c r="M375" s="19" t="s">
        <v>540</v>
      </c>
      <c r="N375" s="19">
        <v>2</v>
      </c>
      <c r="O375" s="19" t="s">
        <v>253</v>
      </c>
      <c r="P375" s="19" t="s">
        <v>218</v>
      </c>
      <c r="Q375" s="19" t="s">
        <v>218</v>
      </c>
      <c r="R375" s="19" t="s">
        <v>218</v>
      </c>
      <c r="S375" s="19" t="s">
        <v>218</v>
      </c>
      <c r="T375" s="19" t="s">
        <v>218</v>
      </c>
      <c r="U375" s="19" t="s">
        <v>218</v>
      </c>
      <c r="V375" s="19" t="s">
        <v>218</v>
      </c>
      <c r="W375" s="19" t="s">
        <v>218</v>
      </c>
      <c r="X375" s="19" t="s">
        <v>218</v>
      </c>
      <c r="Z375"/>
      <c r="AA375"/>
      <c r="AB375"/>
      <c r="AC375"/>
      <c r="AD375"/>
    </row>
    <row r="376" spans="1:30" x14ac:dyDescent="0.35">
      <c r="A376" s="19">
        <v>202304</v>
      </c>
      <c r="B376" s="19" t="s">
        <v>1296</v>
      </c>
      <c r="C376" s="19"/>
      <c r="E376" s="19" t="s">
        <v>208</v>
      </c>
      <c r="F376" s="19" t="s">
        <v>208</v>
      </c>
      <c r="G376" s="19" t="s">
        <v>43</v>
      </c>
      <c r="H376" s="19">
        <v>83</v>
      </c>
      <c r="I376" s="19" t="s">
        <v>1297</v>
      </c>
      <c r="J376" s="19" t="s">
        <v>219</v>
      </c>
      <c r="K376" s="19" t="s">
        <v>1150</v>
      </c>
      <c r="L376" s="19">
        <v>5914</v>
      </c>
      <c r="M376" s="19" t="s">
        <v>540</v>
      </c>
      <c r="N376" s="19">
        <v>2</v>
      </c>
      <c r="O376" s="19" t="s">
        <v>253</v>
      </c>
      <c r="P376" s="19" t="s">
        <v>218</v>
      </c>
      <c r="Q376" s="19" t="s">
        <v>218</v>
      </c>
      <c r="R376" s="19" t="s">
        <v>218</v>
      </c>
      <c r="S376" s="19" t="s">
        <v>218</v>
      </c>
      <c r="T376" s="19" t="s">
        <v>218</v>
      </c>
      <c r="U376" s="19" t="s">
        <v>218</v>
      </c>
      <c r="V376" s="19" t="s">
        <v>218</v>
      </c>
      <c r="W376" s="19" t="s">
        <v>218</v>
      </c>
      <c r="X376" s="19" t="s">
        <v>218</v>
      </c>
      <c r="Z376"/>
      <c r="AA376"/>
      <c r="AB376"/>
      <c r="AC376"/>
      <c r="AD376"/>
    </row>
    <row r="377" spans="1:30" x14ac:dyDescent="0.35">
      <c r="A377" s="19">
        <v>202304</v>
      </c>
      <c r="B377" s="19" t="s">
        <v>1298</v>
      </c>
      <c r="C377" s="19"/>
      <c r="F377" s="19" t="s">
        <v>208</v>
      </c>
      <c r="G377" s="19" t="s">
        <v>43</v>
      </c>
      <c r="H377" s="19">
        <v>201</v>
      </c>
      <c r="I377" s="19" t="s">
        <v>1299</v>
      </c>
      <c r="J377" s="19" t="s">
        <v>219</v>
      </c>
      <c r="K377" s="19" t="s">
        <v>1293</v>
      </c>
      <c r="L377" s="19">
        <v>0</v>
      </c>
      <c r="M377" s="19" t="s">
        <v>226</v>
      </c>
      <c r="N377" s="19">
        <v>4</v>
      </c>
      <c r="O377" s="19" t="s">
        <v>222</v>
      </c>
      <c r="P377" s="19" t="s">
        <v>218</v>
      </c>
      <c r="Q377" s="19" t="s">
        <v>218</v>
      </c>
      <c r="R377" s="19" t="s">
        <v>218</v>
      </c>
      <c r="S377" s="19" t="s">
        <v>218</v>
      </c>
      <c r="T377" s="19" t="s">
        <v>218</v>
      </c>
      <c r="U377" s="19" t="s">
        <v>218</v>
      </c>
      <c r="V377" s="19" t="s">
        <v>218</v>
      </c>
      <c r="W377" s="19" t="s">
        <v>218</v>
      </c>
      <c r="X377" s="19" t="s">
        <v>218</v>
      </c>
      <c r="Z377"/>
      <c r="AA377"/>
      <c r="AB377"/>
      <c r="AC377"/>
      <c r="AD377"/>
    </row>
    <row r="378" spans="1:30" x14ac:dyDescent="0.35">
      <c r="A378" s="19">
        <v>202304</v>
      </c>
      <c r="B378" s="19" t="s">
        <v>1300</v>
      </c>
      <c r="C378" s="19"/>
      <c r="F378" s="19" t="s">
        <v>208</v>
      </c>
      <c r="G378" s="19" t="s">
        <v>43</v>
      </c>
      <c r="H378" s="19">
        <v>201</v>
      </c>
      <c r="I378" s="19" t="s">
        <v>1301</v>
      </c>
      <c r="J378" s="19" t="s">
        <v>219</v>
      </c>
      <c r="K378" s="19" t="s">
        <v>1293</v>
      </c>
      <c r="L378" s="19">
        <v>0</v>
      </c>
      <c r="M378" s="19" t="s">
        <v>226</v>
      </c>
      <c r="N378" s="19">
        <v>4</v>
      </c>
      <c r="O378" s="19" t="s">
        <v>222</v>
      </c>
      <c r="P378" s="19" t="s">
        <v>218</v>
      </c>
      <c r="Q378" s="19" t="s">
        <v>218</v>
      </c>
      <c r="R378" s="19" t="s">
        <v>218</v>
      </c>
      <c r="S378" s="19" t="s">
        <v>218</v>
      </c>
      <c r="T378" s="19" t="s">
        <v>218</v>
      </c>
      <c r="U378" s="19" t="s">
        <v>218</v>
      </c>
      <c r="V378" s="19" t="s">
        <v>218</v>
      </c>
      <c r="W378" s="19" t="s">
        <v>218</v>
      </c>
      <c r="X378" s="19" t="s">
        <v>218</v>
      </c>
      <c r="Z378"/>
      <c r="AA378"/>
      <c r="AB378"/>
      <c r="AC378"/>
      <c r="AD378"/>
    </row>
    <row r="379" spans="1:30" x14ac:dyDescent="0.35">
      <c r="A379" s="19">
        <v>202304</v>
      </c>
      <c r="B379" s="19" t="s">
        <v>1302</v>
      </c>
      <c r="C379" s="19"/>
      <c r="E379" s="19" t="s">
        <v>208</v>
      </c>
      <c r="F379" s="19" t="s">
        <v>208</v>
      </c>
      <c r="G379" s="19" t="s">
        <v>43</v>
      </c>
      <c r="H379" s="19">
        <v>83</v>
      </c>
      <c r="I379" s="19" t="s">
        <v>1303</v>
      </c>
      <c r="J379" s="19" t="s">
        <v>219</v>
      </c>
      <c r="K379" s="19" t="s">
        <v>1150</v>
      </c>
      <c r="L379" s="19">
        <v>5657</v>
      </c>
      <c r="M379" s="19" t="s">
        <v>539</v>
      </c>
      <c r="N379" s="19">
        <v>2</v>
      </c>
      <c r="O379" s="19" t="s">
        <v>253</v>
      </c>
      <c r="P379" s="19" t="s">
        <v>218</v>
      </c>
      <c r="Q379" s="19" t="s">
        <v>218</v>
      </c>
      <c r="R379" s="19" t="s">
        <v>218</v>
      </c>
      <c r="S379" s="19" t="s">
        <v>218</v>
      </c>
      <c r="T379" s="19" t="s">
        <v>218</v>
      </c>
      <c r="U379" s="19" t="s">
        <v>218</v>
      </c>
      <c r="V379" s="19" t="s">
        <v>218</v>
      </c>
      <c r="W379" s="19" t="s">
        <v>218</v>
      </c>
      <c r="X379" s="19" t="s">
        <v>218</v>
      </c>
      <c r="Z379"/>
      <c r="AA379"/>
      <c r="AB379"/>
      <c r="AC379"/>
      <c r="AD379"/>
    </row>
    <row r="380" spans="1:30" x14ac:dyDescent="0.35">
      <c r="A380" s="19">
        <v>202304</v>
      </c>
      <c r="B380" s="19" t="s">
        <v>1304</v>
      </c>
      <c r="C380" s="19"/>
      <c r="E380" s="19" t="s">
        <v>208</v>
      </c>
      <c r="F380" s="19" t="s">
        <v>208</v>
      </c>
      <c r="G380" s="19" t="s">
        <v>43</v>
      </c>
      <c r="H380" s="19">
        <v>83</v>
      </c>
      <c r="I380" s="19" t="s">
        <v>1305</v>
      </c>
      <c r="J380" s="19" t="s">
        <v>219</v>
      </c>
      <c r="K380" s="19" t="s">
        <v>1150</v>
      </c>
      <c r="L380" s="19">
        <v>5914</v>
      </c>
      <c r="M380" s="19" t="s">
        <v>540</v>
      </c>
      <c r="N380" s="19">
        <v>2</v>
      </c>
      <c r="O380" s="19" t="s">
        <v>253</v>
      </c>
      <c r="P380" s="19" t="s">
        <v>218</v>
      </c>
      <c r="Q380" s="19" t="s">
        <v>218</v>
      </c>
      <c r="R380" s="19" t="s">
        <v>218</v>
      </c>
      <c r="S380" s="19" t="s">
        <v>218</v>
      </c>
      <c r="T380" s="19" t="s">
        <v>218</v>
      </c>
      <c r="U380" s="19" t="s">
        <v>218</v>
      </c>
      <c r="V380" s="19" t="s">
        <v>218</v>
      </c>
      <c r="W380" s="19" t="s">
        <v>218</v>
      </c>
      <c r="X380" s="19" t="s">
        <v>218</v>
      </c>
      <c r="Z380"/>
      <c r="AA380"/>
      <c r="AB380"/>
      <c r="AC380"/>
      <c r="AD380"/>
    </row>
    <row r="381" spans="1:30" x14ac:dyDescent="0.35">
      <c r="A381" s="19">
        <v>202304</v>
      </c>
      <c r="B381" s="19" t="s">
        <v>1306</v>
      </c>
      <c r="C381" s="19"/>
      <c r="E381" s="19" t="s">
        <v>208</v>
      </c>
      <c r="F381" s="19" t="s">
        <v>208</v>
      </c>
      <c r="G381" s="19" t="s">
        <v>43</v>
      </c>
      <c r="H381" s="19">
        <v>83</v>
      </c>
      <c r="I381" s="19" t="s">
        <v>1307</v>
      </c>
      <c r="J381" s="19" t="s">
        <v>219</v>
      </c>
      <c r="K381" s="19" t="s">
        <v>1150</v>
      </c>
      <c r="L381" s="19">
        <v>5914</v>
      </c>
      <c r="M381" s="19" t="s">
        <v>540</v>
      </c>
      <c r="N381" s="19">
        <v>2</v>
      </c>
      <c r="O381" s="19" t="s">
        <v>253</v>
      </c>
      <c r="P381" s="19" t="s">
        <v>218</v>
      </c>
      <c r="Q381" s="19" t="s">
        <v>218</v>
      </c>
      <c r="R381" s="19" t="s">
        <v>218</v>
      </c>
      <c r="S381" s="19" t="s">
        <v>218</v>
      </c>
      <c r="T381" s="19" t="s">
        <v>218</v>
      </c>
      <c r="U381" s="19" t="s">
        <v>218</v>
      </c>
      <c r="V381" s="19" t="s">
        <v>218</v>
      </c>
      <c r="W381" s="19" t="s">
        <v>218</v>
      </c>
      <c r="X381" s="19" t="s">
        <v>218</v>
      </c>
      <c r="Z381"/>
      <c r="AA381"/>
      <c r="AB381"/>
      <c r="AC381"/>
      <c r="AD381"/>
    </row>
    <row r="382" spans="1:30" x14ac:dyDescent="0.35">
      <c r="A382" s="19">
        <v>202304</v>
      </c>
      <c r="B382" s="19" t="s">
        <v>1308</v>
      </c>
      <c r="C382" s="19"/>
      <c r="E382" s="19" t="s">
        <v>208</v>
      </c>
      <c r="G382" s="19" t="s">
        <v>43</v>
      </c>
      <c r="H382" s="19">
        <v>83</v>
      </c>
      <c r="I382" s="19" t="s">
        <v>1309</v>
      </c>
      <c r="J382" s="19" t="s">
        <v>219</v>
      </c>
      <c r="K382" s="19" t="s">
        <v>1150</v>
      </c>
      <c r="L382" s="19">
        <v>3651</v>
      </c>
      <c r="M382" s="19" t="s">
        <v>515</v>
      </c>
      <c r="N382" s="19">
        <v>2</v>
      </c>
      <c r="O382" s="19" t="s">
        <v>253</v>
      </c>
      <c r="P382" s="19" t="s">
        <v>218</v>
      </c>
      <c r="Q382" s="19" t="s">
        <v>218</v>
      </c>
      <c r="R382" s="19" t="s">
        <v>218</v>
      </c>
      <c r="S382" s="19" t="s">
        <v>218</v>
      </c>
      <c r="T382" s="19" t="s">
        <v>218</v>
      </c>
      <c r="U382" s="19" t="s">
        <v>218</v>
      </c>
      <c r="V382" s="19" t="s">
        <v>218</v>
      </c>
      <c r="W382" s="19" t="s">
        <v>218</v>
      </c>
      <c r="X382" s="19" t="s">
        <v>218</v>
      </c>
      <c r="Z382"/>
      <c r="AA382"/>
      <c r="AB382"/>
      <c r="AC382"/>
      <c r="AD382"/>
    </row>
    <row r="383" spans="1:30" x14ac:dyDescent="0.35">
      <c r="A383" s="19">
        <v>202304</v>
      </c>
      <c r="B383" s="19" t="s">
        <v>1310</v>
      </c>
      <c r="C383" s="19"/>
      <c r="E383" s="19" t="s">
        <v>208</v>
      </c>
      <c r="F383" s="19" t="s">
        <v>208</v>
      </c>
      <c r="G383" s="19" t="s">
        <v>43</v>
      </c>
      <c r="H383" s="19">
        <v>83</v>
      </c>
      <c r="I383" s="19" t="s">
        <v>1311</v>
      </c>
      <c r="J383" s="19" t="s">
        <v>219</v>
      </c>
      <c r="K383" s="19" t="s">
        <v>1150</v>
      </c>
      <c r="L383" s="19">
        <v>5914</v>
      </c>
      <c r="M383" s="19" t="s">
        <v>540</v>
      </c>
      <c r="N383" s="19">
        <v>2</v>
      </c>
      <c r="O383" s="19" t="s">
        <v>253</v>
      </c>
      <c r="P383" s="19" t="s">
        <v>218</v>
      </c>
      <c r="Q383" s="19" t="s">
        <v>218</v>
      </c>
      <c r="R383" s="19" t="s">
        <v>218</v>
      </c>
      <c r="S383" s="19" t="s">
        <v>218</v>
      </c>
      <c r="T383" s="19" t="s">
        <v>218</v>
      </c>
      <c r="U383" s="19" t="s">
        <v>218</v>
      </c>
      <c r="V383" s="19" t="s">
        <v>218</v>
      </c>
      <c r="W383" s="19" t="s">
        <v>218</v>
      </c>
      <c r="X383" s="19" t="s">
        <v>218</v>
      </c>
      <c r="Z383"/>
      <c r="AA383"/>
      <c r="AB383"/>
      <c r="AC383"/>
      <c r="AD383"/>
    </row>
    <row r="384" spans="1:30" x14ac:dyDescent="0.35">
      <c r="A384" s="19">
        <v>202304</v>
      </c>
      <c r="B384" s="19" t="s">
        <v>1312</v>
      </c>
      <c r="C384" s="19"/>
      <c r="E384" s="19" t="s">
        <v>208</v>
      </c>
      <c r="G384" s="19" t="s">
        <v>43</v>
      </c>
      <c r="H384" s="19">
        <v>83</v>
      </c>
      <c r="I384" s="19" t="s">
        <v>1313</v>
      </c>
      <c r="J384" s="19" t="s">
        <v>219</v>
      </c>
      <c r="K384" s="19" t="s">
        <v>1150</v>
      </c>
      <c r="L384" s="19">
        <v>5914</v>
      </c>
      <c r="M384" s="19" t="s">
        <v>540</v>
      </c>
      <c r="N384" s="19">
        <v>2</v>
      </c>
      <c r="O384" s="19" t="s">
        <v>253</v>
      </c>
      <c r="P384" s="19" t="s">
        <v>218</v>
      </c>
      <c r="Q384" s="19" t="s">
        <v>218</v>
      </c>
      <c r="R384" s="19" t="s">
        <v>218</v>
      </c>
      <c r="S384" s="19" t="s">
        <v>218</v>
      </c>
      <c r="T384" s="19" t="s">
        <v>218</v>
      </c>
      <c r="U384" s="19" t="s">
        <v>218</v>
      </c>
      <c r="V384" s="19" t="s">
        <v>218</v>
      </c>
      <c r="W384" s="19" t="s">
        <v>218</v>
      </c>
      <c r="X384" s="19" t="s">
        <v>218</v>
      </c>
      <c r="Z384"/>
      <c r="AA384"/>
      <c r="AB384"/>
      <c r="AC384"/>
      <c r="AD384"/>
    </row>
    <row r="385" spans="1:30" x14ac:dyDescent="0.35">
      <c r="A385" s="19">
        <v>202304</v>
      </c>
      <c r="B385" s="19" t="s">
        <v>1314</v>
      </c>
      <c r="C385" s="19"/>
      <c r="E385" s="19" t="s">
        <v>208</v>
      </c>
      <c r="F385" s="19" t="s">
        <v>208</v>
      </c>
      <c r="G385" s="19" t="s">
        <v>43</v>
      </c>
      <c r="H385" s="19">
        <v>83</v>
      </c>
      <c r="I385" s="19" t="s">
        <v>1315</v>
      </c>
      <c r="J385" s="19" t="s">
        <v>219</v>
      </c>
      <c r="K385" s="19" t="s">
        <v>1150</v>
      </c>
      <c r="L385" s="19">
        <v>5940</v>
      </c>
      <c r="M385" s="19" t="s">
        <v>1450</v>
      </c>
      <c r="N385" s="19">
        <v>2</v>
      </c>
      <c r="O385" s="19" t="s">
        <v>253</v>
      </c>
      <c r="P385" s="19" t="s">
        <v>218</v>
      </c>
      <c r="Q385" s="19" t="s">
        <v>218</v>
      </c>
      <c r="R385" s="19" t="s">
        <v>218</v>
      </c>
      <c r="S385" s="19" t="s">
        <v>218</v>
      </c>
      <c r="T385" s="19" t="s">
        <v>218</v>
      </c>
      <c r="U385" s="19" t="s">
        <v>218</v>
      </c>
      <c r="V385" s="19" t="s">
        <v>218</v>
      </c>
      <c r="W385" s="19" t="s">
        <v>218</v>
      </c>
      <c r="X385" s="19" t="s">
        <v>218</v>
      </c>
      <c r="Z385"/>
      <c r="AA385"/>
      <c r="AB385"/>
      <c r="AC385"/>
      <c r="AD385"/>
    </row>
    <row r="386" spans="1:30" x14ac:dyDescent="0.35">
      <c r="A386" s="19">
        <v>202304</v>
      </c>
      <c r="B386" s="19" t="s">
        <v>1316</v>
      </c>
      <c r="C386" s="19"/>
      <c r="E386" s="19" t="s">
        <v>208</v>
      </c>
      <c r="G386" s="19" t="s">
        <v>67</v>
      </c>
      <c r="H386" s="19">
        <v>83</v>
      </c>
      <c r="I386" s="19" t="s">
        <v>1317</v>
      </c>
      <c r="J386" s="19" t="s">
        <v>219</v>
      </c>
      <c r="K386" s="19" t="s">
        <v>227</v>
      </c>
      <c r="L386" s="19">
        <v>5914</v>
      </c>
      <c r="M386" s="19" t="s">
        <v>540</v>
      </c>
      <c r="N386" s="19">
        <v>2</v>
      </c>
      <c r="O386" s="19" t="s">
        <v>253</v>
      </c>
      <c r="P386" s="19" t="s">
        <v>218</v>
      </c>
      <c r="Q386" s="19" t="s">
        <v>218</v>
      </c>
      <c r="R386" s="19" t="s">
        <v>218</v>
      </c>
      <c r="S386" s="19" t="s">
        <v>218</v>
      </c>
      <c r="T386" s="19" t="s">
        <v>218</v>
      </c>
      <c r="U386" s="19" t="s">
        <v>218</v>
      </c>
      <c r="V386" s="19" t="s">
        <v>218</v>
      </c>
      <c r="W386" s="19" t="s">
        <v>218</v>
      </c>
      <c r="X386" s="19" t="s">
        <v>218</v>
      </c>
      <c r="Z386"/>
      <c r="AA386"/>
      <c r="AB386"/>
      <c r="AC386"/>
      <c r="AD386"/>
    </row>
    <row r="387" spans="1:30" x14ac:dyDescent="0.35">
      <c r="A387" s="19">
        <v>202304</v>
      </c>
      <c r="B387" s="19" t="s">
        <v>1318</v>
      </c>
      <c r="C387" s="19" t="s">
        <v>208</v>
      </c>
      <c r="E387" s="19" t="s">
        <v>208</v>
      </c>
      <c r="G387" s="19" t="s">
        <v>20</v>
      </c>
      <c r="H387" s="19">
        <v>87</v>
      </c>
      <c r="I387" s="19" t="s">
        <v>1319</v>
      </c>
      <c r="J387" s="19" t="s">
        <v>219</v>
      </c>
      <c r="K387" s="19" t="s">
        <v>567</v>
      </c>
      <c r="L387" s="19">
        <v>0</v>
      </c>
      <c r="M387" s="19" t="s">
        <v>226</v>
      </c>
      <c r="N387" s="19">
        <v>1</v>
      </c>
      <c r="O387" s="19" t="s">
        <v>222</v>
      </c>
      <c r="P387" s="19" t="s">
        <v>218</v>
      </c>
      <c r="Q387" s="19" t="s">
        <v>218</v>
      </c>
      <c r="R387" s="19" t="s">
        <v>218</v>
      </c>
      <c r="S387" s="19" t="s">
        <v>218</v>
      </c>
      <c r="T387" s="19" t="s">
        <v>218</v>
      </c>
      <c r="U387" s="19" t="s">
        <v>218</v>
      </c>
      <c r="V387" s="19" t="s">
        <v>218</v>
      </c>
      <c r="W387" s="19" t="s">
        <v>218</v>
      </c>
      <c r="X387" s="19" t="s">
        <v>218</v>
      </c>
      <c r="Z387"/>
      <c r="AA387"/>
      <c r="AB387"/>
      <c r="AC387"/>
      <c r="AD387"/>
    </row>
    <row r="388" spans="1:30" x14ac:dyDescent="0.35">
      <c r="A388" s="19">
        <v>202304</v>
      </c>
      <c r="B388" s="19" t="s">
        <v>1320</v>
      </c>
      <c r="C388" s="19" t="s">
        <v>208</v>
      </c>
      <c r="E388" s="19" t="s">
        <v>208</v>
      </c>
      <c r="G388" s="19" t="s">
        <v>20</v>
      </c>
      <c r="H388" s="19">
        <v>87</v>
      </c>
      <c r="I388" s="19" t="s">
        <v>1321</v>
      </c>
      <c r="J388" s="19" t="s">
        <v>219</v>
      </c>
      <c r="K388" s="19" t="s">
        <v>567</v>
      </c>
      <c r="L388" s="19">
        <v>0</v>
      </c>
      <c r="M388" s="19" t="s">
        <v>226</v>
      </c>
      <c r="N388" s="19">
        <v>1</v>
      </c>
      <c r="O388" s="19" t="s">
        <v>222</v>
      </c>
      <c r="P388" s="19" t="s">
        <v>218</v>
      </c>
      <c r="Q388" s="19" t="s">
        <v>218</v>
      </c>
      <c r="R388" s="19" t="s">
        <v>218</v>
      </c>
      <c r="S388" s="19" t="s">
        <v>218</v>
      </c>
      <c r="T388" s="19" t="s">
        <v>218</v>
      </c>
      <c r="U388" s="19" t="s">
        <v>218</v>
      </c>
      <c r="V388" s="19" t="s">
        <v>218</v>
      </c>
      <c r="W388" s="19" t="s">
        <v>218</v>
      </c>
      <c r="X388" s="19" t="s">
        <v>218</v>
      </c>
      <c r="Z388"/>
      <c r="AA388"/>
      <c r="AB388"/>
      <c r="AC388"/>
      <c r="AD388"/>
    </row>
    <row r="389" spans="1:30" x14ac:dyDescent="0.35">
      <c r="A389" s="19">
        <v>202304</v>
      </c>
      <c r="B389" s="19" t="s">
        <v>1322</v>
      </c>
      <c r="C389" s="19" t="s">
        <v>208</v>
      </c>
      <c r="E389" s="19" t="s">
        <v>208</v>
      </c>
      <c r="G389" s="19" t="s">
        <v>20</v>
      </c>
      <c r="H389" s="19">
        <v>87</v>
      </c>
      <c r="I389" s="19" t="s">
        <v>1323</v>
      </c>
      <c r="J389" s="19" t="s">
        <v>219</v>
      </c>
      <c r="K389" s="19" t="s">
        <v>567</v>
      </c>
      <c r="L389" s="19">
        <v>0</v>
      </c>
      <c r="M389" s="19" t="s">
        <v>226</v>
      </c>
      <c r="N389" s="19">
        <v>1</v>
      </c>
      <c r="O389" s="19" t="s">
        <v>222</v>
      </c>
      <c r="P389" s="19" t="s">
        <v>218</v>
      </c>
      <c r="Q389" s="19" t="s">
        <v>218</v>
      </c>
      <c r="R389" s="19" t="s">
        <v>218</v>
      </c>
      <c r="S389" s="19" t="s">
        <v>218</v>
      </c>
      <c r="T389" s="19" t="s">
        <v>218</v>
      </c>
      <c r="U389" s="19" t="s">
        <v>218</v>
      </c>
      <c r="V389" s="19" t="s">
        <v>218</v>
      </c>
      <c r="W389" s="19" t="s">
        <v>218</v>
      </c>
      <c r="X389" s="19" t="s">
        <v>218</v>
      </c>
      <c r="Z389"/>
      <c r="AA389"/>
      <c r="AB389"/>
      <c r="AC389"/>
      <c r="AD389"/>
    </row>
    <row r="390" spans="1:30" x14ac:dyDescent="0.35">
      <c r="A390" s="19">
        <v>202304</v>
      </c>
      <c r="B390" s="19" t="s">
        <v>1324</v>
      </c>
      <c r="C390" s="19"/>
      <c r="F390" s="19" t="s">
        <v>208</v>
      </c>
      <c r="G390" s="19" t="s">
        <v>480</v>
      </c>
      <c r="H390" s="19">
        <v>201</v>
      </c>
      <c r="I390" s="19" t="s">
        <v>1325</v>
      </c>
      <c r="J390" s="19" t="s">
        <v>219</v>
      </c>
      <c r="K390" s="19" t="s">
        <v>1263</v>
      </c>
      <c r="L390" s="19">
        <v>0</v>
      </c>
      <c r="M390" s="19" t="s">
        <v>228</v>
      </c>
      <c r="N390" s="19">
        <v>4</v>
      </c>
      <c r="O390" s="19" t="s">
        <v>222</v>
      </c>
      <c r="P390" s="19" t="s">
        <v>218</v>
      </c>
      <c r="Q390" s="19" t="s">
        <v>218</v>
      </c>
      <c r="R390" s="19" t="s">
        <v>218</v>
      </c>
      <c r="S390" s="19" t="s">
        <v>218</v>
      </c>
      <c r="T390" s="19" t="s">
        <v>218</v>
      </c>
      <c r="U390" s="19" t="s">
        <v>218</v>
      </c>
      <c r="V390" s="19" t="s">
        <v>218</v>
      </c>
      <c r="W390" s="19" t="s">
        <v>218</v>
      </c>
      <c r="X390" s="19" t="s">
        <v>218</v>
      </c>
      <c r="Z390"/>
      <c r="AA390"/>
      <c r="AB390"/>
      <c r="AC390"/>
      <c r="AD390"/>
    </row>
    <row r="391" spans="1:30" x14ac:dyDescent="0.35">
      <c r="A391" s="19">
        <v>202304</v>
      </c>
      <c r="B391" s="19" t="s">
        <v>1326</v>
      </c>
      <c r="C391" s="19"/>
      <c r="F391" s="19" t="s">
        <v>208</v>
      </c>
      <c r="G391" s="19" t="s">
        <v>480</v>
      </c>
      <c r="H391" s="19">
        <v>201</v>
      </c>
      <c r="I391" s="19" t="s">
        <v>1327</v>
      </c>
      <c r="J391" s="19" t="s">
        <v>219</v>
      </c>
      <c r="K391" s="19" t="s">
        <v>1263</v>
      </c>
      <c r="L391" s="19">
        <v>0</v>
      </c>
      <c r="M391" s="19" t="s">
        <v>542</v>
      </c>
      <c r="N391" s="19">
        <v>4</v>
      </c>
      <c r="O391" s="19" t="s">
        <v>222</v>
      </c>
      <c r="P391" s="19" t="s">
        <v>218</v>
      </c>
      <c r="Q391" s="19" t="s">
        <v>218</v>
      </c>
      <c r="R391" s="19" t="s">
        <v>218</v>
      </c>
      <c r="S391" s="19" t="s">
        <v>218</v>
      </c>
      <c r="T391" s="19" t="s">
        <v>218</v>
      </c>
      <c r="U391" s="19" t="s">
        <v>218</v>
      </c>
      <c r="V391" s="19" t="s">
        <v>218</v>
      </c>
      <c r="W391" s="19" t="s">
        <v>218</v>
      </c>
      <c r="X391" s="19" t="s">
        <v>218</v>
      </c>
      <c r="Z391"/>
      <c r="AA391"/>
      <c r="AB391"/>
      <c r="AC391"/>
      <c r="AD391"/>
    </row>
    <row r="392" spans="1:30" x14ac:dyDescent="0.35">
      <c r="A392" s="19">
        <v>202304</v>
      </c>
      <c r="B392" s="19" t="s">
        <v>1328</v>
      </c>
      <c r="C392" s="19" t="s">
        <v>208</v>
      </c>
      <c r="G392" s="19" t="s">
        <v>20</v>
      </c>
      <c r="H392" s="19">
        <v>87</v>
      </c>
      <c r="I392" s="19" t="s">
        <v>1329</v>
      </c>
      <c r="J392" s="19" t="s">
        <v>219</v>
      </c>
      <c r="K392" s="19" t="s">
        <v>567</v>
      </c>
      <c r="L392" s="19">
        <v>0</v>
      </c>
      <c r="M392" s="19" t="s">
        <v>226</v>
      </c>
      <c r="N392" s="19">
        <v>1</v>
      </c>
      <c r="O392" s="19" t="s">
        <v>222</v>
      </c>
      <c r="P392" s="19" t="s">
        <v>218</v>
      </c>
      <c r="Q392" s="19" t="s">
        <v>218</v>
      </c>
      <c r="R392" s="19" t="s">
        <v>218</v>
      </c>
      <c r="S392" s="19" t="s">
        <v>218</v>
      </c>
      <c r="T392" s="19" t="s">
        <v>218</v>
      </c>
      <c r="U392" s="19" t="s">
        <v>218</v>
      </c>
      <c r="V392" s="19" t="s">
        <v>218</v>
      </c>
      <c r="W392" s="19" t="s">
        <v>218</v>
      </c>
      <c r="X392" s="19" t="s">
        <v>218</v>
      </c>
      <c r="Z392"/>
      <c r="AA392"/>
      <c r="AB392"/>
      <c r="AC392"/>
      <c r="AD392"/>
    </row>
    <row r="393" spans="1:30" x14ac:dyDescent="0.35">
      <c r="A393" s="19">
        <v>202304</v>
      </c>
      <c r="B393" s="19" t="s">
        <v>1330</v>
      </c>
      <c r="C393" s="19"/>
      <c r="E393" s="19" t="s">
        <v>208</v>
      </c>
      <c r="G393" s="19" t="s">
        <v>57</v>
      </c>
      <c r="H393" s="19">
        <v>83</v>
      </c>
      <c r="I393" s="19" t="s">
        <v>1331</v>
      </c>
      <c r="J393" s="19" t="s">
        <v>259</v>
      </c>
      <c r="K393" s="19" t="s">
        <v>445</v>
      </c>
      <c r="L393" s="19">
        <v>0</v>
      </c>
      <c r="M393" s="19" t="s">
        <v>226</v>
      </c>
      <c r="N393" s="19">
        <v>2</v>
      </c>
      <c r="O393" s="19" t="s">
        <v>1279</v>
      </c>
      <c r="P393" s="19" t="s">
        <v>1185</v>
      </c>
      <c r="Q393" s="19" t="s">
        <v>1280</v>
      </c>
      <c r="R393" s="19" t="s">
        <v>1281</v>
      </c>
      <c r="S393" s="19" t="s">
        <v>1282</v>
      </c>
      <c r="T393" s="19" t="s">
        <v>1189</v>
      </c>
      <c r="U393" s="19" t="s">
        <v>1283</v>
      </c>
      <c r="V393" s="19" t="s">
        <v>218</v>
      </c>
      <c r="W393" s="19" t="s">
        <v>218</v>
      </c>
      <c r="X393" s="19" t="s">
        <v>218</v>
      </c>
      <c r="Z393"/>
      <c r="AA393"/>
      <c r="AB393"/>
      <c r="AC393"/>
      <c r="AD393"/>
    </row>
    <row r="394" spans="1:30" x14ac:dyDescent="0.35">
      <c r="A394" s="19">
        <v>202304</v>
      </c>
      <c r="B394" s="19" t="s">
        <v>1332</v>
      </c>
      <c r="C394" s="19" t="s">
        <v>208</v>
      </c>
      <c r="G394" s="19" t="s">
        <v>20</v>
      </c>
      <c r="H394" s="19">
        <v>87</v>
      </c>
      <c r="I394" s="19" t="s">
        <v>1333</v>
      </c>
      <c r="J394" s="19" t="s">
        <v>219</v>
      </c>
      <c r="K394" s="19" t="s">
        <v>567</v>
      </c>
      <c r="L394" s="19">
        <v>0</v>
      </c>
      <c r="M394" s="19" t="s">
        <v>226</v>
      </c>
      <c r="N394" s="19">
        <v>1</v>
      </c>
      <c r="O394" s="19" t="s">
        <v>222</v>
      </c>
      <c r="P394" s="19" t="s">
        <v>218</v>
      </c>
      <c r="Q394" s="19" t="s">
        <v>218</v>
      </c>
      <c r="R394" s="19" t="s">
        <v>218</v>
      </c>
      <c r="S394" s="19" t="s">
        <v>218</v>
      </c>
      <c r="T394" s="19" t="s">
        <v>218</v>
      </c>
      <c r="U394" s="19" t="s">
        <v>218</v>
      </c>
      <c r="V394" s="19" t="s">
        <v>218</v>
      </c>
      <c r="W394" s="19" t="s">
        <v>218</v>
      </c>
      <c r="X394" s="19" t="s">
        <v>218</v>
      </c>
      <c r="Z394"/>
      <c r="AA394"/>
      <c r="AB394"/>
      <c r="AC394"/>
      <c r="AD394"/>
    </row>
    <row r="395" spans="1:30" x14ac:dyDescent="0.35">
      <c r="A395" s="19">
        <v>202304</v>
      </c>
      <c r="B395" s="19" t="s">
        <v>1334</v>
      </c>
      <c r="C395" s="19"/>
      <c r="E395" s="19" t="s">
        <v>208</v>
      </c>
      <c r="G395" s="19" t="s">
        <v>459</v>
      </c>
      <c r="H395" s="19">
        <v>83</v>
      </c>
      <c r="I395" s="19" t="s">
        <v>1335</v>
      </c>
      <c r="J395" s="19" t="s">
        <v>259</v>
      </c>
      <c r="K395" s="19" t="s">
        <v>445</v>
      </c>
      <c r="L395" s="19">
        <v>5550</v>
      </c>
      <c r="M395" s="19" t="s">
        <v>516</v>
      </c>
      <c r="N395" s="19">
        <v>2</v>
      </c>
      <c r="O395" s="19" t="s">
        <v>1185</v>
      </c>
      <c r="P395" s="19" t="s">
        <v>1186</v>
      </c>
      <c r="Q395" s="19" t="s">
        <v>1187</v>
      </c>
      <c r="R395" s="19" t="s">
        <v>1188</v>
      </c>
      <c r="S395" s="19" t="s">
        <v>1189</v>
      </c>
      <c r="T395" s="19" t="s">
        <v>218</v>
      </c>
      <c r="U395" s="19" t="s">
        <v>218</v>
      </c>
      <c r="V395" s="19" t="s">
        <v>218</v>
      </c>
      <c r="W395" s="19" t="s">
        <v>218</v>
      </c>
      <c r="X395" s="19" t="s">
        <v>218</v>
      </c>
      <c r="Z395"/>
      <c r="AA395"/>
      <c r="AB395"/>
      <c r="AC395"/>
      <c r="AD395"/>
    </row>
    <row r="396" spans="1:30" x14ac:dyDescent="0.35">
      <c r="A396" s="19">
        <v>202304</v>
      </c>
      <c r="B396" s="19" t="s">
        <v>1336</v>
      </c>
      <c r="C396" s="19"/>
      <c r="F396" s="19" t="s">
        <v>208</v>
      </c>
      <c r="G396" s="19" t="s">
        <v>43</v>
      </c>
      <c r="H396" s="19">
        <v>201</v>
      </c>
      <c r="I396" s="19" t="s">
        <v>1337</v>
      </c>
      <c r="J396" s="19" t="s">
        <v>219</v>
      </c>
      <c r="K396" s="19" t="s">
        <v>1263</v>
      </c>
      <c r="L396" s="19">
        <v>0</v>
      </c>
      <c r="M396" s="19" t="s">
        <v>226</v>
      </c>
      <c r="N396" s="19">
        <v>4</v>
      </c>
      <c r="O396" s="19" t="s">
        <v>222</v>
      </c>
      <c r="P396" s="19" t="s">
        <v>218</v>
      </c>
      <c r="Q396" s="19" t="s">
        <v>218</v>
      </c>
      <c r="R396" s="19" t="s">
        <v>218</v>
      </c>
      <c r="S396" s="19" t="s">
        <v>218</v>
      </c>
      <c r="T396" s="19" t="s">
        <v>218</v>
      </c>
      <c r="U396" s="19" t="s">
        <v>218</v>
      </c>
      <c r="V396" s="19" t="s">
        <v>218</v>
      </c>
      <c r="W396" s="19" t="s">
        <v>218</v>
      </c>
      <c r="X396" s="19" t="s">
        <v>218</v>
      </c>
      <c r="Z396"/>
      <c r="AA396"/>
      <c r="AB396"/>
      <c r="AC396"/>
      <c r="AD396"/>
    </row>
    <row r="397" spans="1:30" x14ac:dyDescent="0.35">
      <c r="A397" s="19">
        <v>202304</v>
      </c>
      <c r="B397" s="19" t="s">
        <v>1338</v>
      </c>
      <c r="C397" s="19"/>
      <c r="E397" s="19" t="s">
        <v>208</v>
      </c>
      <c r="G397" s="19" t="s">
        <v>43</v>
      </c>
      <c r="H397" s="19">
        <v>83</v>
      </c>
      <c r="I397" s="19" t="s">
        <v>1339</v>
      </c>
      <c r="J397" s="19" t="s">
        <v>219</v>
      </c>
      <c r="K397" s="19" t="s">
        <v>1150</v>
      </c>
      <c r="L397" s="19">
        <v>10566</v>
      </c>
      <c r="M397" s="19" t="s">
        <v>1451</v>
      </c>
      <c r="N397" s="19">
        <v>2</v>
      </c>
      <c r="O397" s="19" t="s">
        <v>253</v>
      </c>
      <c r="P397" s="19" t="s">
        <v>218</v>
      </c>
      <c r="Q397" s="19" t="s">
        <v>218</v>
      </c>
      <c r="R397" s="19" t="s">
        <v>218</v>
      </c>
      <c r="S397" s="19" t="s">
        <v>218</v>
      </c>
      <c r="T397" s="19" t="s">
        <v>218</v>
      </c>
      <c r="U397" s="19" t="s">
        <v>218</v>
      </c>
      <c r="V397" s="19" t="s">
        <v>218</v>
      </c>
      <c r="W397" s="19" t="s">
        <v>218</v>
      </c>
      <c r="X397" s="19" t="s">
        <v>218</v>
      </c>
      <c r="Z397"/>
      <c r="AA397"/>
      <c r="AB397"/>
      <c r="AC397"/>
      <c r="AD397"/>
    </row>
    <row r="398" spans="1:30" x14ac:dyDescent="0.35">
      <c r="A398" s="19">
        <v>202304</v>
      </c>
      <c r="B398" s="19" t="s">
        <v>1340</v>
      </c>
      <c r="C398" s="19" t="s">
        <v>208</v>
      </c>
      <c r="E398" s="19" t="s">
        <v>208</v>
      </c>
      <c r="F398" s="19" t="s">
        <v>208</v>
      </c>
      <c r="G398" s="19" t="s">
        <v>43</v>
      </c>
      <c r="H398" s="19">
        <v>87</v>
      </c>
      <c r="I398" s="19" t="s">
        <v>1341</v>
      </c>
      <c r="J398" s="19" t="s">
        <v>219</v>
      </c>
      <c r="K398" s="19" t="s">
        <v>1267</v>
      </c>
      <c r="L398" s="19">
        <v>0</v>
      </c>
      <c r="M398" s="19" t="s">
        <v>226</v>
      </c>
      <c r="N398" s="19">
        <v>1</v>
      </c>
      <c r="O398" s="19" t="s">
        <v>222</v>
      </c>
      <c r="P398" s="19" t="s">
        <v>218</v>
      </c>
      <c r="Q398" s="19" t="s">
        <v>218</v>
      </c>
      <c r="R398" s="19" t="s">
        <v>218</v>
      </c>
      <c r="S398" s="19" t="s">
        <v>218</v>
      </c>
      <c r="T398" s="19" t="s">
        <v>218</v>
      </c>
      <c r="U398" s="19" t="s">
        <v>218</v>
      </c>
      <c r="V398" s="19" t="s">
        <v>218</v>
      </c>
      <c r="W398" s="19" t="s">
        <v>218</v>
      </c>
      <c r="X398" s="19" t="s">
        <v>218</v>
      </c>
      <c r="Z398"/>
      <c r="AA398"/>
      <c r="AB398"/>
      <c r="AC398"/>
      <c r="AD398"/>
    </row>
    <row r="399" spans="1:30" x14ac:dyDescent="0.35">
      <c r="A399" s="19">
        <v>202304</v>
      </c>
      <c r="B399" s="19" t="s">
        <v>1342</v>
      </c>
      <c r="C399" s="19" t="s">
        <v>208</v>
      </c>
      <c r="D399" s="19" t="s">
        <v>208</v>
      </c>
      <c r="E399" s="19" t="s">
        <v>208</v>
      </c>
      <c r="G399" s="19" t="s">
        <v>20</v>
      </c>
      <c r="H399" s="19">
        <v>87</v>
      </c>
      <c r="I399" s="19" t="s">
        <v>1343</v>
      </c>
      <c r="J399" s="19" t="s">
        <v>126</v>
      </c>
      <c r="K399" s="19" t="s">
        <v>221</v>
      </c>
      <c r="L399" s="19">
        <v>0</v>
      </c>
      <c r="M399" s="19" t="s">
        <v>226</v>
      </c>
      <c r="N399" s="19">
        <v>1</v>
      </c>
      <c r="O399" s="19" t="s">
        <v>222</v>
      </c>
      <c r="P399" s="19" t="s">
        <v>218</v>
      </c>
      <c r="Q399" s="19" t="s">
        <v>218</v>
      </c>
      <c r="R399" s="19" t="s">
        <v>218</v>
      </c>
      <c r="S399" s="19" t="s">
        <v>218</v>
      </c>
      <c r="T399" s="19" t="s">
        <v>218</v>
      </c>
      <c r="U399" s="19" t="s">
        <v>218</v>
      </c>
      <c r="V399" s="19" t="s">
        <v>218</v>
      </c>
      <c r="W399" s="19" t="s">
        <v>218</v>
      </c>
      <c r="X399" s="19" t="s">
        <v>218</v>
      </c>
      <c r="Z399"/>
      <c r="AA399"/>
      <c r="AB399"/>
      <c r="AC399"/>
      <c r="AD399"/>
    </row>
    <row r="400" spans="1:30" x14ac:dyDescent="0.35">
      <c r="A400" s="19">
        <v>202304</v>
      </c>
      <c r="B400" s="19" t="s">
        <v>1344</v>
      </c>
      <c r="C400" s="19"/>
      <c r="F400" s="19" t="s">
        <v>208</v>
      </c>
      <c r="G400" s="19" t="s">
        <v>48</v>
      </c>
      <c r="H400" s="19">
        <v>201</v>
      </c>
      <c r="I400" s="19" t="s">
        <v>1345</v>
      </c>
      <c r="J400" s="19" t="s">
        <v>219</v>
      </c>
      <c r="K400" s="19" t="s">
        <v>115</v>
      </c>
      <c r="L400" s="19">
        <v>0</v>
      </c>
      <c r="M400" s="19" t="s">
        <v>218</v>
      </c>
      <c r="N400" s="19">
        <v>4</v>
      </c>
      <c r="O400" s="19" t="s">
        <v>222</v>
      </c>
      <c r="P400" s="19" t="s">
        <v>218</v>
      </c>
      <c r="Q400" s="19" t="s">
        <v>218</v>
      </c>
      <c r="R400" s="19" t="s">
        <v>218</v>
      </c>
      <c r="S400" s="19" t="s">
        <v>218</v>
      </c>
      <c r="T400" s="19" t="s">
        <v>218</v>
      </c>
      <c r="U400" s="19" t="s">
        <v>218</v>
      </c>
      <c r="V400" s="19" t="s">
        <v>218</v>
      </c>
      <c r="W400" s="19" t="s">
        <v>218</v>
      </c>
      <c r="X400" s="19" t="s">
        <v>218</v>
      </c>
      <c r="Z400"/>
      <c r="AA400"/>
      <c r="AB400"/>
      <c r="AC400"/>
      <c r="AD400"/>
    </row>
    <row r="401" spans="1:30" x14ac:dyDescent="0.35">
      <c r="A401" s="19">
        <v>202304</v>
      </c>
      <c r="B401" s="19" t="s">
        <v>1346</v>
      </c>
      <c r="C401" s="19"/>
      <c r="F401" s="19" t="s">
        <v>208</v>
      </c>
      <c r="G401" s="19" t="s">
        <v>78</v>
      </c>
      <c r="H401" s="19">
        <v>201</v>
      </c>
      <c r="I401" s="19" t="s">
        <v>1347</v>
      </c>
      <c r="J401" s="19" t="s">
        <v>219</v>
      </c>
      <c r="K401" s="19" t="s">
        <v>115</v>
      </c>
      <c r="L401" s="19">
        <v>0</v>
      </c>
      <c r="M401" s="19" t="s">
        <v>1348</v>
      </c>
      <c r="N401" s="19">
        <v>4</v>
      </c>
      <c r="O401" s="19" t="s">
        <v>222</v>
      </c>
      <c r="P401" s="19" t="s">
        <v>218</v>
      </c>
      <c r="Q401" s="19" t="s">
        <v>218</v>
      </c>
      <c r="R401" s="19" t="s">
        <v>218</v>
      </c>
      <c r="S401" s="19" t="s">
        <v>218</v>
      </c>
      <c r="T401" s="19" t="s">
        <v>218</v>
      </c>
      <c r="U401" s="19" t="s">
        <v>218</v>
      </c>
      <c r="V401" s="19" t="s">
        <v>218</v>
      </c>
      <c r="W401" s="19" t="s">
        <v>218</v>
      </c>
      <c r="X401" s="19" t="s">
        <v>218</v>
      </c>
      <c r="Z401"/>
      <c r="AA401"/>
      <c r="AB401"/>
      <c r="AC401"/>
      <c r="AD401"/>
    </row>
    <row r="402" spans="1:30" x14ac:dyDescent="0.35">
      <c r="A402" s="19">
        <v>202304</v>
      </c>
      <c r="B402" s="19" t="s">
        <v>1349</v>
      </c>
      <c r="C402" s="19"/>
      <c r="E402" s="19" t="s">
        <v>208</v>
      </c>
      <c r="F402" s="19" t="s">
        <v>217</v>
      </c>
      <c r="H402" s="19">
        <v>83</v>
      </c>
      <c r="I402" s="19" t="s">
        <v>1350</v>
      </c>
      <c r="J402" s="19" t="s">
        <v>223</v>
      </c>
      <c r="K402" s="19" t="s">
        <v>108</v>
      </c>
      <c r="L402" s="19">
        <v>4126</v>
      </c>
      <c r="M402" s="19" t="s">
        <v>1452</v>
      </c>
      <c r="N402" s="19">
        <v>2</v>
      </c>
      <c r="O402" s="19" t="s">
        <v>253</v>
      </c>
      <c r="P402" s="19" t="s">
        <v>218</v>
      </c>
      <c r="Q402" s="19" t="s">
        <v>218</v>
      </c>
      <c r="R402" s="19" t="s">
        <v>218</v>
      </c>
      <c r="S402" s="19" t="s">
        <v>218</v>
      </c>
      <c r="T402" s="19" t="s">
        <v>218</v>
      </c>
      <c r="U402" s="19" t="s">
        <v>218</v>
      </c>
      <c r="V402" s="19" t="s">
        <v>218</v>
      </c>
      <c r="W402" s="19" t="s">
        <v>218</v>
      </c>
      <c r="X402" s="19" t="s">
        <v>218</v>
      </c>
      <c r="Z402"/>
      <c r="AA402"/>
      <c r="AB402"/>
      <c r="AC402"/>
      <c r="AD402"/>
    </row>
    <row r="403" spans="1:30" x14ac:dyDescent="0.35">
      <c r="A403" s="19">
        <v>202304</v>
      </c>
      <c r="B403" s="19" t="s">
        <v>510</v>
      </c>
      <c r="C403" s="19" t="s">
        <v>208</v>
      </c>
      <c r="E403" s="19" t="s">
        <v>208</v>
      </c>
      <c r="F403" s="19" t="s">
        <v>217</v>
      </c>
      <c r="G403" s="19" t="s">
        <v>63</v>
      </c>
      <c r="H403" s="19">
        <v>87</v>
      </c>
      <c r="I403" s="19" t="s">
        <v>511</v>
      </c>
      <c r="J403" s="19" t="s">
        <v>219</v>
      </c>
      <c r="K403" s="19" t="s">
        <v>115</v>
      </c>
      <c r="L403" s="19">
        <v>0</v>
      </c>
      <c r="M403" s="19" t="s">
        <v>1348</v>
      </c>
      <c r="N403" s="19">
        <v>1</v>
      </c>
      <c r="O403" s="19" t="s">
        <v>222</v>
      </c>
      <c r="P403" s="19" t="s">
        <v>218</v>
      </c>
      <c r="Q403" s="19" t="s">
        <v>218</v>
      </c>
      <c r="R403" s="19" t="s">
        <v>218</v>
      </c>
      <c r="S403" s="19" t="s">
        <v>218</v>
      </c>
      <c r="T403" s="19" t="s">
        <v>218</v>
      </c>
      <c r="U403" s="19" t="s">
        <v>218</v>
      </c>
      <c r="V403" s="19" t="s">
        <v>218</v>
      </c>
      <c r="W403" s="19" t="s">
        <v>218</v>
      </c>
      <c r="X403" s="19" t="s">
        <v>218</v>
      </c>
      <c r="Z403"/>
      <c r="AA403"/>
      <c r="AB403"/>
      <c r="AC403"/>
      <c r="AD403"/>
    </row>
    <row r="404" spans="1:30" x14ac:dyDescent="0.35">
      <c r="A404" s="19">
        <v>202304</v>
      </c>
      <c r="B404" s="19" t="s">
        <v>1351</v>
      </c>
      <c r="C404" s="19"/>
      <c r="F404" s="19" t="s">
        <v>208</v>
      </c>
      <c r="G404" s="19" t="s">
        <v>63</v>
      </c>
      <c r="H404" s="19">
        <v>201</v>
      </c>
      <c r="I404" s="19" t="s">
        <v>1352</v>
      </c>
      <c r="J404" s="19" t="s">
        <v>219</v>
      </c>
      <c r="K404" s="19" t="s">
        <v>115</v>
      </c>
      <c r="L404" s="19">
        <v>0</v>
      </c>
      <c r="M404" s="19" t="s">
        <v>1348</v>
      </c>
      <c r="N404" s="19">
        <v>4</v>
      </c>
      <c r="O404" s="19" t="s">
        <v>222</v>
      </c>
      <c r="P404" s="19" t="s">
        <v>218</v>
      </c>
      <c r="Q404" s="19" t="s">
        <v>218</v>
      </c>
      <c r="R404" s="19" t="s">
        <v>218</v>
      </c>
      <c r="S404" s="19" t="s">
        <v>218</v>
      </c>
      <c r="T404" s="19" t="s">
        <v>218</v>
      </c>
      <c r="U404" s="19" t="s">
        <v>218</v>
      </c>
      <c r="V404" s="19" t="s">
        <v>218</v>
      </c>
      <c r="W404" s="19" t="s">
        <v>218</v>
      </c>
      <c r="X404" s="19" t="s">
        <v>218</v>
      </c>
      <c r="Z404"/>
      <c r="AA404"/>
      <c r="AB404"/>
      <c r="AC404"/>
      <c r="AD404"/>
    </row>
    <row r="405" spans="1:30" x14ac:dyDescent="0.35">
      <c r="A405" s="19">
        <v>202304</v>
      </c>
      <c r="B405" s="19" t="s">
        <v>1353</v>
      </c>
      <c r="C405" s="19" t="s">
        <v>208</v>
      </c>
      <c r="E405" s="19" t="s">
        <v>208</v>
      </c>
      <c r="F405" s="19" t="s">
        <v>208</v>
      </c>
      <c r="G405" s="19" t="s">
        <v>83</v>
      </c>
      <c r="H405" s="19">
        <v>87</v>
      </c>
      <c r="I405" s="19" t="s">
        <v>1354</v>
      </c>
      <c r="J405" s="19" t="s">
        <v>219</v>
      </c>
      <c r="K405" s="19" t="s">
        <v>115</v>
      </c>
      <c r="L405" s="19">
        <v>0</v>
      </c>
      <c r="M405" s="19" t="s">
        <v>1348</v>
      </c>
      <c r="N405" s="19">
        <v>1</v>
      </c>
      <c r="O405" s="19" t="s">
        <v>222</v>
      </c>
      <c r="P405" s="19" t="s">
        <v>218</v>
      </c>
      <c r="Q405" s="19" t="s">
        <v>218</v>
      </c>
      <c r="R405" s="19" t="s">
        <v>218</v>
      </c>
      <c r="S405" s="19" t="s">
        <v>218</v>
      </c>
      <c r="T405" s="19" t="s">
        <v>218</v>
      </c>
      <c r="U405" s="19" t="s">
        <v>218</v>
      </c>
      <c r="V405" s="19" t="s">
        <v>218</v>
      </c>
      <c r="W405" s="19" t="s">
        <v>218</v>
      </c>
      <c r="X405" s="19" t="s">
        <v>218</v>
      </c>
      <c r="Z405"/>
      <c r="AA405"/>
      <c r="AB405"/>
      <c r="AC405"/>
      <c r="AD405"/>
    </row>
    <row r="406" spans="1:30" x14ac:dyDescent="0.35">
      <c r="A406" s="19">
        <v>202304</v>
      </c>
      <c r="B406" s="19" t="s">
        <v>1355</v>
      </c>
      <c r="C406" s="19" t="s">
        <v>208</v>
      </c>
      <c r="E406" s="19" t="s">
        <v>208</v>
      </c>
      <c r="F406" s="19" t="s">
        <v>208</v>
      </c>
      <c r="G406" s="19" t="s">
        <v>83</v>
      </c>
      <c r="H406" s="19">
        <v>87</v>
      </c>
      <c r="I406" s="19" t="s">
        <v>1356</v>
      </c>
      <c r="J406" s="19" t="s">
        <v>219</v>
      </c>
      <c r="K406" s="19" t="s">
        <v>115</v>
      </c>
      <c r="L406" s="19">
        <v>0</v>
      </c>
      <c r="M406" s="19" t="s">
        <v>1348</v>
      </c>
      <c r="N406" s="19">
        <v>1</v>
      </c>
      <c r="O406" s="19" t="s">
        <v>222</v>
      </c>
      <c r="P406" s="19" t="s">
        <v>218</v>
      </c>
      <c r="Q406" s="19" t="s">
        <v>218</v>
      </c>
      <c r="R406" s="19" t="s">
        <v>218</v>
      </c>
      <c r="S406" s="19" t="s">
        <v>218</v>
      </c>
      <c r="T406" s="19" t="s">
        <v>218</v>
      </c>
      <c r="U406" s="19" t="s">
        <v>218</v>
      </c>
      <c r="V406" s="19" t="s">
        <v>218</v>
      </c>
      <c r="W406" s="19" t="s">
        <v>218</v>
      </c>
      <c r="X406" s="19" t="s">
        <v>218</v>
      </c>
      <c r="Z406"/>
      <c r="AA406"/>
      <c r="AB406"/>
      <c r="AC406"/>
      <c r="AD406"/>
    </row>
    <row r="407" spans="1:30" x14ac:dyDescent="0.35">
      <c r="A407" s="19">
        <v>202304</v>
      </c>
      <c r="B407" s="19" t="s">
        <v>512</v>
      </c>
      <c r="C407" s="19" t="s">
        <v>208</v>
      </c>
      <c r="F407" s="19" t="s">
        <v>217</v>
      </c>
      <c r="G407" s="19" t="s">
        <v>63</v>
      </c>
      <c r="H407" s="19">
        <v>87</v>
      </c>
      <c r="I407" s="19" t="s">
        <v>513</v>
      </c>
      <c r="J407" s="19" t="s">
        <v>219</v>
      </c>
      <c r="K407" s="19" t="s">
        <v>115</v>
      </c>
      <c r="L407" s="19">
        <v>0</v>
      </c>
      <c r="M407" s="19" t="s">
        <v>1348</v>
      </c>
      <c r="N407" s="19">
        <v>1</v>
      </c>
      <c r="O407" s="19" t="s">
        <v>222</v>
      </c>
      <c r="P407" s="19" t="s">
        <v>218</v>
      </c>
      <c r="Q407" s="19" t="s">
        <v>218</v>
      </c>
      <c r="R407" s="19" t="s">
        <v>218</v>
      </c>
      <c r="S407" s="19" t="s">
        <v>218</v>
      </c>
      <c r="T407" s="19" t="s">
        <v>218</v>
      </c>
      <c r="U407" s="19" t="s">
        <v>218</v>
      </c>
      <c r="V407" s="19" t="s">
        <v>218</v>
      </c>
      <c r="W407" s="19" t="s">
        <v>218</v>
      </c>
      <c r="X407" s="19" t="s">
        <v>218</v>
      </c>
      <c r="Z407"/>
      <c r="AA407"/>
      <c r="AB407"/>
      <c r="AC407"/>
      <c r="AD407"/>
    </row>
    <row r="408" spans="1:30" x14ac:dyDescent="0.35">
      <c r="A408" s="19">
        <v>202304</v>
      </c>
      <c r="B408" s="19" t="s">
        <v>1357</v>
      </c>
      <c r="C408" s="19" t="s">
        <v>208</v>
      </c>
      <c r="E408" s="19" t="s">
        <v>208</v>
      </c>
      <c r="F408" s="19" t="s">
        <v>208</v>
      </c>
      <c r="G408" s="19" t="s">
        <v>83</v>
      </c>
      <c r="H408" s="19">
        <v>87</v>
      </c>
      <c r="I408" s="19" t="s">
        <v>1358</v>
      </c>
      <c r="J408" s="19" t="s">
        <v>219</v>
      </c>
      <c r="K408" s="19" t="s">
        <v>115</v>
      </c>
      <c r="L408" s="19">
        <v>0</v>
      </c>
      <c r="M408" s="19" t="s">
        <v>1348</v>
      </c>
      <c r="N408" s="19">
        <v>1</v>
      </c>
      <c r="O408" s="19" t="s">
        <v>222</v>
      </c>
      <c r="P408" s="19" t="s">
        <v>218</v>
      </c>
      <c r="Q408" s="19" t="s">
        <v>218</v>
      </c>
      <c r="R408" s="19" t="s">
        <v>218</v>
      </c>
      <c r="S408" s="19" t="s">
        <v>218</v>
      </c>
      <c r="T408" s="19" t="s">
        <v>218</v>
      </c>
      <c r="U408" s="19" t="s">
        <v>218</v>
      </c>
      <c r="V408" s="19" t="s">
        <v>218</v>
      </c>
      <c r="W408" s="19" t="s">
        <v>218</v>
      </c>
      <c r="X408" s="19" t="s">
        <v>218</v>
      </c>
      <c r="Z408"/>
      <c r="AA408"/>
      <c r="AB408"/>
      <c r="AC408"/>
      <c r="AD408"/>
    </row>
    <row r="409" spans="1:30" x14ac:dyDescent="0.35">
      <c r="A409" s="19">
        <v>202304</v>
      </c>
      <c r="B409" s="19" t="s">
        <v>1359</v>
      </c>
      <c r="C409" s="19" t="s">
        <v>208</v>
      </c>
      <c r="E409" s="19" t="s">
        <v>208</v>
      </c>
      <c r="F409" s="19" t="s">
        <v>208</v>
      </c>
      <c r="G409" s="19" t="s">
        <v>83</v>
      </c>
      <c r="H409" s="19">
        <v>87</v>
      </c>
      <c r="I409" s="19" t="s">
        <v>1360</v>
      </c>
      <c r="J409" s="19" t="s">
        <v>219</v>
      </c>
      <c r="K409" s="19" t="s">
        <v>115</v>
      </c>
      <c r="L409" s="19">
        <v>0</v>
      </c>
      <c r="M409" s="19" t="s">
        <v>226</v>
      </c>
      <c r="N409" s="19">
        <v>1</v>
      </c>
      <c r="O409" s="19" t="s">
        <v>222</v>
      </c>
      <c r="P409" s="19" t="s">
        <v>218</v>
      </c>
      <c r="Q409" s="19" t="s">
        <v>218</v>
      </c>
      <c r="R409" s="19" t="s">
        <v>218</v>
      </c>
      <c r="S409" s="19" t="s">
        <v>218</v>
      </c>
      <c r="T409" s="19" t="s">
        <v>218</v>
      </c>
      <c r="U409" s="19" t="s">
        <v>218</v>
      </c>
      <c r="V409" s="19" t="s">
        <v>218</v>
      </c>
      <c r="W409" s="19" t="s">
        <v>218</v>
      </c>
      <c r="X409" s="19" t="s">
        <v>218</v>
      </c>
      <c r="Z409"/>
      <c r="AA409"/>
      <c r="AB409"/>
      <c r="AC409"/>
      <c r="AD409"/>
    </row>
    <row r="410" spans="1:30" x14ac:dyDescent="0.35">
      <c r="A410" s="19">
        <v>202304</v>
      </c>
      <c r="B410" s="19" t="s">
        <v>1361</v>
      </c>
      <c r="C410" s="19"/>
      <c r="F410" s="19" t="s">
        <v>208</v>
      </c>
      <c r="G410" s="19" t="s">
        <v>83</v>
      </c>
      <c r="H410" s="19">
        <v>201</v>
      </c>
      <c r="I410" s="19" t="s">
        <v>1362</v>
      </c>
      <c r="J410" s="19" t="s">
        <v>219</v>
      </c>
      <c r="K410" s="19" t="s">
        <v>115</v>
      </c>
      <c r="L410" s="19">
        <v>0</v>
      </c>
      <c r="M410" s="19" t="s">
        <v>614</v>
      </c>
      <c r="N410" s="19">
        <v>4</v>
      </c>
      <c r="O410" s="19" t="s">
        <v>222</v>
      </c>
      <c r="P410" s="19" t="s">
        <v>218</v>
      </c>
      <c r="Q410" s="19" t="s">
        <v>218</v>
      </c>
      <c r="R410" s="19" t="s">
        <v>218</v>
      </c>
      <c r="S410" s="19" t="s">
        <v>218</v>
      </c>
      <c r="T410" s="19" t="s">
        <v>218</v>
      </c>
      <c r="U410" s="19" t="s">
        <v>218</v>
      </c>
      <c r="V410" s="19" t="s">
        <v>218</v>
      </c>
      <c r="W410" s="19" t="s">
        <v>218</v>
      </c>
      <c r="X410" s="19" t="s">
        <v>218</v>
      </c>
      <c r="Z410"/>
      <c r="AA410"/>
      <c r="AB410"/>
      <c r="AC410"/>
      <c r="AD410"/>
    </row>
    <row r="411" spans="1:30" x14ac:dyDescent="0.35">
      <c r="A411" s="19">
        <v>202304</v>
      </c>
      <c r="B411" s="19" t="s">
        <v>1363</v>
      </c>
      <c r="C411" s="19"/>
      <c r="F411" s="19" t="s">
        <v>208</v>
      </c>
      <c r="H411" s="19">
        <v>201</v>
      </c>
      <c r="I411" s="19" t="s">
        <v>218</v>
      </c>
      <c r="J411" s="19" t="s">
        <v>126</v>
      </c>
      <c r="K411" s="19" t="s">
        <v>221</v>
      </c>
      <c r="L411" s="19">
        <v>0</v>
      </c>
      <c r="M411" s="19" t="s">
        <v>218</v>
      </c>
      <c r="N411" s="19">
        <v>4</v>
      </c>
      <c r="O411" s="19" t="s">
        <v>222</v>
      </c>
      <c r="P411" s="19" t="s">
        <v>218</v>
      </c>
      <c r="Q411" s="19" t="s">
        <v>218</v>
      </c>
      <c r="R411" s="19" t="s">
        <v>218</v>
      </c>
      <c r="S411" s="19" t="s">
        <v>218</v>
      </c>
      <c r="T411" s="19" t="s">
        <v>218</v>
      </c>
      <c r="U411" s="19" t="s">
        <v>218</v>
      </c>
      <c r="V411" s="19" t="s">
        <v>218</v>
      </c>
      <c r="W411" s="19" t="s">
        <v>218</v>
      </c>
      <c r="X411" s="19" t="s">
        <v>218</v>
      </c>
      <c r="Z411"/>
      <c r="AA411"/>
      <c r="AB411"/>
      <c r="AC411"/>
      <c r="AD411"/>
    </row>
    <row r="412" spans="1:30" x14ac:dyDescent="0.35">
      <c r="A412" s="19">
        <v>202304</v>
      </c>
      <c r="B412" s="19" t="s">
        <v>1364</v>
      </c>
      <c r="C412" s="19"/>
      <c r="F412" s="19" t="s">
        <v>208</v>
      </c>
      <c r="H412" s="19">
        <v>201</v>
      </c>
      <c r="I412" s="19" t="s">
        <v>218</v>
      </c>
      <c r="J412" s="19" t="s">
        <v>440</v>
      </c>
      <c r="K412" s="19" t="s">
        <v>452</v>
      </c>
      <c r="L412" s="19">
        <v>0</v>
      </c>
      <c r="M412" s="19" t="s">
        <v>218</v>
      </c>
      <c r="N412" s="19">
        <v>4</v>
      </c>
      <c r="O412" s="19" t="s">
        <v>222</v>
      </c>
      <c r="P412" s="19" t="s">
        <v>218</v>
      </c>
      <c r="Q412" s="19" t="s">
        <v>218</v>
      </c>
      <c r="R412" s="19" t="s">
        <v>218</v>
      </c>
      <c r="S412" s="19" t="s">
        <v>218</v>
      </c>
      <c r="T412" s="19" t="s">
        <v>218</v>
      </c>
      <c r="U412" s="19" t="s">
        <v>218</v>
      </c>
      <c r="V412" s="19" t="s">
        <v>218</v>
      </c>
      <c r="W412" s="19" t="s">
        <v>218</v>
      </c>
      <c r="X412" s="19" t="s">
        <v>218</v>
      </c>
      <c r="Z412"/>
      <c r="AA412"/>
      <c r="AB412"/>
      <c r="AC412"/>
      <c r="AD412"/>
    </row>
    <row r="413" spans="1:30" x14ac:dyDescent="0.35">
      <c r="A413" s="19">
        <v>202304</v>
      </c>
      <c r="B413" s="19" t="s">
        <v>1365</v>
      </c>
      <c r="C413" s="19"/>
      <c r="F413" s="19" t="s">
        <v>208</v>
      </c>
      <c r="H413" s="19">
        <v>201</v>
      </c>
      <c r="I413" s="19" t="s">
        <v>218</v>
      </c>
      <c r="J413" s="19" t="s">
        <v>127</v>
      </c>
      <c r="K413" s="19" t="s">
        <v>532</v>
      </c>
      <c r="L413" s="19">
        <v>0</v>
      </c>
      <c r="M413" s="19" t="s">
        <v>218</v>
      </c>
      <c r="N413" s="19">
        <v>4</v>
      </c>
      <c r="O413" s="19" t="s">
        <v>222</v>
      </c>
      <c r="P413" s="19" t="s">
        <v>218</v>
      </c>
      <c r="Q413" s="19" t="s">
        <v>218</v>
      </c>
      <c r="R413" s="19" t="s">
        <v>218</v>
      </c>
      <c r="S413" s="19" t="s">
        <v>218</v>
      </c>
      <c r="T413" s="19" t="s">
        <v>218</v>
      </c>
      <c r="U413" s="19" t="s">
        <v>218</v>
      </c>
      <c r="V413" s="19" t="s">
        <v>218</v>
      </c>
      <c r="W413" s="19" t="s">
        <v>218</v>
      </c>
      <c r="X413" s="19" t="s">
        <v>218</v>
      </c>
      <c r="Z413"/>
      <c r="AA413"/>
      <c r="AB413"/>
      <c r="AC413"/>
      <c r="AD413"/>
    </row>
    <row r="414" spans="1:30" x14ac:dyDescent="0.35">
      <c r="A414" s="19">
        <v>202304</v>
      </c>
      <c r="B414" s="19" t="s">
        <v>1366</v>
      </c>
      <c r="C414" s="19"/>
      <c r="F414" s="19" t="s">
        <v>208</v>
      </c>
      <c r="H414" s="19">
        <v>201</v>
      </c>
      <c r="I414" s="19" t="s">
        <v>218</v>
      </c>
      <c r="J414" s="19" t="s">
        <v>440</v>
      </c>
      <c r="K414" s="19" t="s">
        <v>452</v>
      </c>
      <c r="L414" s="19">
        <v>0</v>
      </c>
      <c r="M414" s="19" t="s">
        <v>218</v>
      </c>
      <c r="N414" s="19">
        <v>4</v>
      </c>
      <c r="O414" s="19" t="s">
        <v>222</v>
      </c>
      <c r="P414" s="19" t="s">
        <v>218</v>
      </c>
      <c r="Q414" s="19" t="s">
        <v>218</v>
      </c>
      <c r="R414" s="19" t="s">
        <v>218</v>
      </c>
      <c r="S414" s="19" t="s">
        <v>218</v>
      </c>
      <c r="T414" s="19" t="s">
        <v>218</v>
      </c>
      <c r="U414" s="19" t="s">
        <v>218</v>
      </c>
      <c r="V414" s="19" t="s">
        <v>218</v>
      </c>
      <c r="W414" s="19" t="s">
        <v>218</v>
      </c>
      <c r="X414" s="19" t="s">
        <v>218</v>
      </c>
      <c r="Z414"/>
      <c r="AA414"/>
      <c r="AB414"/>
      <c r="AC414"/>
      <c r="AD414"/>
    </row>
    <row r="415" spans="1:30" x14ac:dyDescent="0.35">
      <c r="A415" s="19">
        <v>202304</v>
      </c>
      <c r="B415" s="19" t="s">
        <v>1367</v>
      </c>
      <c r="C415" s="19"/>
      <c r="F415" s="19" t="s">
        <v>208</v>
      </c>
      <c r="H415" s="19">
        <v>201</v>
      </c>
      <c r="I415" s="19" t="s">
        <v>218</v>
      </c>
      <c r="J415" s="19" t="s">
        <v>219</v>
      </c>
      <c r="K415" s="19" t="s">
        <v>116</v>
      </c>
      <c r="L415" s="19">
        <v>0</v>
      </c>
      <c r="M415" s="19" t="s">
        <v>218</v>
      </c>
      <c r="N415" s="19">
        <v>4</v>
      </c>
      <c r="O415" s="19" t="s">
        <v>222</v>
      </c>
      <c r="P415" s="19" t="s">
        <v>218</v>
      </c>
      <c r="Q415" s="19" t="s">
        <v>218</v>
      </c>
      <c r="R415" s="19" t="s">
        <v>218</v>
      </c>
      <c r="S415" s="19" t="s">
        <v>218</v>
      </c>
      <c r="T415" s="19" t="s">
        <v>218</v>
      </c>
      <c r="U415" s="19" t="s">
        <v>218</v>
      </c>
      <c r="V415" s="19" t="s">
        <v>218</v>
      </c>
      <c r="W415" s="19" t="s">
        <v>218</v>
      </c>
      <c r="X415" s="19" t="s">
        <v>218</v>
      </c>
      <c r="Z415"/>
      <c r="AA415"/>
      <c r="AB415"/>
      <c r="AC415"/>
      <c r="AD415"/>
    </row>
    <row r="416" spans="1:30" x14ac:dyDescent="0.35">
      <c r="A416" s="19">
        <v>202304</v>
      </c>
      <c r="B416" s="19" t="s">
        <v>1368</v>
      </c>
      <c r="C416" s="19"/>
      <c r="F416" s="19" t="s">
        <v>208</v>
      </c>
      <c r="H416" s="19">
        <v>201</v>
      </c>
      <c r="I416" s="19" t="s">
        <v>218</v>
      </c>
      <c r="J416" s="19" t="s">
        <v>219</v>
      </c>
      <c r="K416" s="19" t="s">
        <v>116</v>
      </c>
      <c r="L416" s="19">
        <v>0</v>
      </c>
      <c r="M416" s="19" t="s">
        <v>218</v>
      </c>
      <c r="N416" s="19">
        <v>4</v>
      </c>
      <c r="O416" s="19" t="s">
        <v>222</v>
      </c>
      <c r="P416" s="19" t="s">
        <v>218</v>
      </c>
      <c r="Q416" s="19" t="s">
        <v>218</v>
      </c>
      <c r="R416" s="19" t="s">
        <v>218</v>
      </c>
      <c r="S416" s="19" t="s">
        <v>218</v>
      </c>
      <c r="T416" s="19" t="s">
        <v>218</v>
      </c>
      <c r="U416" s="19" t="s">
        <v>218</v>
      </c>
      <c r="V416" s="19" t="s">
        <v>218</v>
      </c>
      <c r="W416" s="19" t="s">
        <v>218</v>
      </c>
      <c r="X416" s="19" t="s">
        <v>218</v>
      </c>
      <c r="Z416"/>
      <c r="AA416"/>
      <c r="AB416"/>
      <c r="AC416"/>
      <c r="AD416"/>
    </row>
    <row r="417" spans="1:30" x14ac:dyDescent="0.35">
      <c r="A417" s="19">
        <v>202304</v>
      </c>
      <c r="B417" s="19" t="s">
        <v>1369</v>
      </c>
      <c r="C417" s="19"/>
      <c r="F417" s="19" t="s">
        <v>208</v>
      </c>
      <c r="H417" s="19">
        <v>201</v>
      </c>
      <c r="I417" s="19" t="s">
        <v>218</v>
      </c>
      <c r="J417" s="19" t="s">
        <v>126</v>
      </c>
      <c r="K417" s="19" t="s">
        <v>221</v>
      </c>
      <c r="L417" s="19">
        <v>0</v>
      </c>
      <c r="M417" s="19" t="s">
        <v>218</v>
      </c>
      <c r="N417" s="19">
        <v>4</v>
      </c>
      <c r="O417" s="19" t="s">
        <v>222</v>
      </c>
      <c r="P417" s="19" t="s">
        <v>218</v>
      </c>
      <c r="Q417" s="19" t="s">
        <v>218</v>
      </c>
      <c r="R417" s="19" t="s">
        <v>218</v>
      </c>
      <c r="S417" s="19" t="s">
        <v>218</v>
      </c>
      <c r="T417" s="19" t="s">
        <v>218</v>
      </c>
      <c r="U417" s="19" t="s">
        <v>218</v>
      </c>
      <c r="V417" s="19" t="s">
        <v>218</v>
      </c>
      <c r="W417" s="19" t="s">
        <v>218</v>
      </c>
      <c r="X417" s="19" t="s">
        <v>218</v>
      </c>
      <c r="Z417"/>
      <c r="AA417"/>
      <c r="AB417"/>
      <c r="AC417"/>
      <c r="AD417"/>
    </row>
    <row r="418" spans="1:30" x14ac:dyDescent="0.35">
      <c r="A418" s="19">
        <v>202304</v>
      </c>
      <c r="B418" s="19" t="s">
        <v>1370</v>
      </c>
      <c r="C418" s="19"/>
      <c r="F418" s="19" t="s">
        <v>208</v>
      </c>
      <c r="H418" s="19">
        <v>201</v>
      </c>
      <c r="I418" s="19" t="s">
        <v>218</v>
      </c>
      <c r="J418" s="19" t="s">
        <v>126</v>
      </c>
      <c r="K418" s="19" t="s">
        <v>221</v>
      </c>
      <c r="L418" s="19">
        <v>0</v>
      </c>
      <c r="M418" s="19" t="s">
        <v>218</v>
      </c>
      <c r="N418" s="19">
        <v>4</v>
      </c>
      <c r="O418" s="19" t="s">
        <v>222</v>
      </c>
      <c r="P418" s="19" t="s">
        <v>218</v>
      </c>
      <c r="Q418" s="19" t="s">
        <v>218</v>
      </c>
      <c r="R418" s="19" t="s">
        <v>218</v>
      </c>
      <c r="S418" s="19" t="s">
        <v>218</v>
      </c>
      <c r="T418" s="19" t="s">
        <v>218</v>
      </c>
      <c r="U418" s="19" t="s">
        <v>218</v>
      </c>
      <c r="V418" s="19" t="s">
        <v>218</v>
      </c>
      <c r="W418" s="19" t="s">
        <v>218</v>
      </c>
      <c r="X418" s="19" t="s">
        <v>218</v>
      </c>
      <c r="Z418"/>
      <c r="AA418"/>
      <c r="AB418"/>
      <c r="AC418"/>
      <c r="AD418"/>
    </row>
    <row r="419" spans="1:30" x14ac:dyDescent="0.35">
      <c r="A419" s="19">
        <v>202304</v>
      </c>
      <c r="B419" s="19" t="s">
        <v>1371</v>
      </c>
      <c r="C419" s="19"/>
      <c r="F419" s="19" t="s">
        <v>208</v>
      </c>
      <c r="H419" s="19">
        <v>201</v>
      </c>
      <c r="I419" s="19" t="s">
        <v>218</v>
      </c>
      <c r="J419" s="19" t="s">
        <v>126</v>
      </c>
      <c r="K419" s="19" t="s">
        <v>221</v>
      </c>
      <c r="L419" s="19">
        <v>0</v>
      </c>
      <c r="M419" s="19" t="s">
        <v>218</v>
      </c>
      <c r="N419" s="19">
        <v>4</v>
      </c>
      <c r="O419" s="19" t="s">
        <v>222</v>
      </c>
      <c r="P419" s="19" t="s">
        <v>218</v>
      </c>
      <c r="Q419" s="19" t="s">
        <v>218</v>
      </c>
      <c r="R419" s="19" t="s">
        <v>218</v>
      </c>
      <c r="S419" s="19" t="s">
        <v>218</v>
      </c>
      <c r="T419" s="19" t="s">
        <v>218</v>
      </c>
      <c r="U419" s="19" t="s">
        <v>218</v>
      </c>
      <c r="V419" s="19" t="s">
        <v>218</v>
      </c>
      <c r="W419" s="19" t="s">
        <v>218</v>
      </c>
      <c r="X419" s="19" t="s">
        <v>218</v>
      </c>
      <c r="Z419"/>
      <c r="AA419"/>
      <c r="AB419"/>
      <c r="AC419"/>
      <c r="AD419"/>
    </row>
    <row r="420" spans="1:30" x14ac:dyDescent="0.35">
      <c r="A420" s="19">
        <v>202304</v>
      </c>
      <c r="B420" s="19" t="s">
        <v>1372</v>
      </c>
      <c r="C420" s="19"/>
      <c r="F420" s="19" t="s">
        <v>208</v>
      </c>
      <c r="H420" s="19">
        <v>201</v>
      </c>
      <c r="I420" s="19" t="s">
        <v>218</v>
      </c>
      <c r="J420" s="19" t="s">
        <v>127</v>
      </c>
      <c r="K420" s="19" t="s">
        <v>532</v>
      </c>
      <c r="L420" s="19">
        <v>0</v>
      </c>
      <c r="M420" s="19" t="s">
        <v>218</v>
      </c>
      <c r="N420" s="19">
        <v>4</v>
      </c>
      <c r="O420" s="19" t="s">
        <v>222</v>
      </c>
      <c r="P420" s="19" t="s">
        <v>218</v>
      </c>
      <c r="Q420" s="19" t="s">
        <v>218</v>
      </c>
      <c r="R420" s="19" t="s">
        <v>218</v>
      </c>
      <c r="S420" s="19" t="s">
        <v>218</v>
      </c>
      <c r="T420" s="19" t="s">
        <v>218</v>
      </c>
      <c r="U420" s="19" t="s">
        <v>218</v>
      </c>
      <c r="V420" s="19" t="s">
        <v>218</v>
      </c>
      <c r="W420" s="19" t="s">
        <v>218</v>
      </c>
      <c r="X420" s="19" t="s">
        <v>218</v>
      </c>
      <c r="Z420"/>
      <c r="AA420"/>
      <c r="AB420"/>
      <c r="AC420"/>
      <c r="AD420"/>
    </row>
    <row r="421" spans="1:30" x14ac:dyDescent="0.35">
      <c r="A421" s="19">
        <v>202304</v>
      </c>
      <c r="B421" s="19" t="s">
        <v>1373</v>
      </c>
      <c r="C421" s="19"/>
      <c r="F421" s="19" t="s">
        <v>208</v>
      </c>
      <c r="H421" s="19">
        <v>201</v>
      </c>
      <c r="I421" s="19" t="s">
        <v>218</v>
      </c>
      <c r="J421" s="19" t="s">
        <v>127</v>
      </c>
      <c r="K421" s="19" t="s">
        <v>532</v>
      </c>
      <c r="L421" s="19">
        <v>0</v>
      </c>
      <c r="M421" s="19" t="s">
        <v>218</v>
      </c>
      <c r="N421" s="19">
        <v>4</v>
      </c>
      <c r="O421" s="19" t="s">
        <v>222</v>
      </c>
      <c r="P421" s="19" t="s">
        <v>218</v>
      </c>
      <c r="Q421" s="19" t="s">
        <v>218</v>
      </c>
      <c r="R421" s="19" t="s">
        <v>218</v>
      </c>
      <c r="S421" s="19" t="s">
        <v>218</v>
      </c>
      <c r="T421" s="19" t="s">
        <v>218</v>
      </c>
      <c r="U421" s="19" t="s">
        <v>218</v>
      </c>
      <c r="V421" s="19" t="s">
        <v>218</v>
      </c>
      <c r="W421" s="19" t="s">
        <v>218</v>
      </c>
      <c r="X421" s="19" t="s">
        <v>218</v>
      </c>
      <c r="Z421"/>
      <c r="AA421"/>
      <c r="AB421"/>
      <c r="AC421"/>
      <c r="AD421"/>
    </row>
    <row r="422" spans="1:30" x14ac:dyDescent="0.35">
      <c r="A422" s="19">
        <v>202304</v>
      </c>
      <c r="B422" s="19" t="s">
        <v>1374</v>
      </c>
      <c r="C422" s="19"/>
      <c r="F422" s="19" t="s">
        <v>208</v>
      </c>
      <c r="H422" s="19">
        <v>201</v>
      </c>
      <c r="I422" s="19" t="s">
        <v>218</v>
      </c>
      <c r="J422" s="19" t="s">
        <v>127</v>
      </c>
      <c r="K422" s="19" t="s">
        <v>532</v>
      </c>
      <c r="L422" s="19">
        <v>0</v>
      </c>
      <c r="M422" s="19" t="s">
        <v>218</v>
      </c>
      <c r="N422" s="19">
        <v>4</v>
      </c>
      <c r="O422" s="19" t="s">
        <v>222</v>
      </c>
      <c r="P422" s="19" t="s">
        <v>218</v>
      </c>
      <c r="Q422" s="19" t="s">
        <v>218</v>
      </c>
      <c r="R422" s="19" t="s">
        <v>218</v>
      </c>
      <c r="S422" s="19" t="s">
        <v>218</v>
      </c>
      <c r="T422" s="19" t="s">
        <v>218</v>
      </c>
      <c r="U422" s="19" t="s">
        <v>218</v>
      </c>
      <c r="V422" s="19" t="s">
        <v>218</v>
      </c>
      <c r="W422" s="19" t="s">
        <v>218</v>
      </c>
      <c r="X422" s="19" t="s">
        <v>218</v>
      </c>
      <c r="Z422"/>
      <c r="AA422"/>
      <c r="AB422"/>
      <c r="AC422"/>
      <c r="AD422"/>
    </row>
    <row r="423" spans="1:30" x14ac:dyDescent="0.35">
      <c r="Z423"/>
      <c r="AA423"/>
      <c r="AB423"/>
      <c r="AC423"/>
      <c r="AD423"/>
    </row>
    <row r="424" spans="1:30" x14ac:dyDescent="0.35">
      <c r="Z424"/>
      <c r="AA424"/>
      <c r="AB424"/>
      <c r="AC424"/>
      <c r="AD424"/>
    </row>
    <row r="425" spans="1:30" x14ac:dyDescent="0.35">
      <c r="Z425"/>
      <c r="AA425"/>
      <c r="AB425"/>
      <c r="AC425"/>
      <c r="AD425"/>
    </row>
    <row r="426" spans="1:30" x14ac:dyDescent="0.35">
      <c r="Z426"/>
      <c r="AA426"/>
      <c r="AB426"/>
      <c r="AC426"/>
      <c r="AD426"/>
    </row>
    <row r="427" spans="1:30" x14ac:dyDescent="0.35">
      <c r="Z427"/>
      <c r="AA427"/>
      <c r="AB427"/>
      <c r="AC427"/>
      <c r="AD427"/>
    </row>
    <row r="428" spans="1:30" x14ac:dyDescent="0.35">
      <c r="Z428"/>
      <c r="AA428"/>
      <c r="AB428"/>
      <c r="AC428"/>
      <c r="AD428"/>
    </row>
    <row r="429" spans="1:30" x14ac:dyDescent="0.35">
      <c r="Z429"/>
      <c r="AA429"/>
      <c r="AB429"/>
      <c r="AC429"/>
      <c r="AD429"/>
    </row>
    <row r="430" spans="1:30" x14ac:dyDescent="0.35">
      <c r="Z430"/>
      <c r="AA430"/>
      <c r="AB430"/>
      <c r="AC430"/>
      <c r="AD430"/>
    </row>
    <row r="431" spans="1:30" x14ac:dyDescent="0.35">
      <c r="Z431"/>
      <c r="AA431"/>
      <c r="AB431"/>
      <c r="AC431"/>
      <c r="AD431"/>
    </row>
    <row r="432" spans="1:30" x14ac:dyDescent="0.35">
      <c r="Z432"/>
      <c r="AA432"/>
      <c r="AB432"/>
      <c r="AC432"/>
      <c r="AD432"/>
    </row>
    <row r="433" spans="26:30" x14ac:dyDescent="0.35">
      <c r="Z433"/>
      <c r="AA433"/>
      <c r="AB433"/>
      <c r="AC433"/>
      <c r="AD433"/>
    </row>
    <row r="434" spans="26:30" x14ac:dyDescent="0.35">
      <c r="Z434"/>
      <c r="AA434"/>
      <c r="AB434"/>
      <c r="AC434"/>
      <c r="AD434"/>
    </row>
    <row r="435" spans="26:30" x14ac:dyDescent="0.35">
      <c r="Z435"/>
      <c r="AA435"/>
      <c r="AB435"/>
      <c r="AC435"/>
      <c r="AD435"/>
    </row>
    <row r="436" spans="26:30" x14ac:dyDescent="0.35">
      <c r="Z436"/>
      <c r="AA436"/>
      <c r="AB436"/>
      <c r="AC436"/>
      <c r="AD436"/>
    </row>
    <row r="437" spans="26:30" x14ac:dyDescent="0.35">
      <c r="Z437"/>
      <c r="AA437"/>
      <c r="AB437"/>
      <c r="AC437"/>
      <c r="AD437"/>
    </row>
    <row r="438" spans="26:30" x14ac:dyDescent="0.35">
      <c r="Z438"/>
      <c r="AA438"/>
      <c r="AB438"/>
      <c r="AC438"/>
      <c r="AD438"/>
    </row>
    <row r="439" spans="26:30" x14ac:dyDescent="0.35">
      <c r="Z439"/>
      <c r="AA439"/>
      <c r="AB439"/>
      <c r="AC439"/>
      <c r="AD439"/>
    </row>
    <row r="440" spans="26:30" x14ac:dyDescent="0.35">
      <c r="Z440"/>
      <c r="AA440"/>
      <c r="AB440"/>
      <c r="AC440"/>
      <c r="AD440"/>
    </row>
    <row r="441" spans="26:30" x14ac:dyDescent="0.35">
      <c r="Z441"/>
      <c r="AA441"/>
      <c r="AB441"/>
      <c r="AC441"/>
      <c r="AD441"/>
    </row>
    <row r="442" spans="26:30" x14ac:dyDescent="0.35">
      <c r="Z442"/>
      <c r="AA442"/>
      <c r="AB442"/>
      <c r="AC442"/>
      <c r="AD442"/>
    </row>
    <row r="443" spans="26:30" x14ac:dyDescent="0.35">
      <c r="Z443"/>
      <c r="AA443"/>
      <c r="AB443"/>
      <c r="AC443"/>
      <c r="AD443"/>
    </row>
    <row r="444" spans="26:30" x14ac:dyDescent="0.35">
      <c r="Z444"/>
      <c r="AA444"/>
      <c r="AB444"/>
      <c r="AC444"/>
      <c r="AD444"/>
    </row>
    <row r="445" spans="26:30" x14ac:dyDescent="0.35">
      <c r="Z445"/>
      <c r="AA445"/>
      <c r="AB445"/>
      <c r="AC445"/>
      <c r="AD445"/>
    </row>
    <row r="446" spans="26:30" x14ac:dyDescent="0.35">
      <c r="Z446"/>
      <c r="AA446"/>
      <c r="AB446"/>
      <c r="AC446"/>
      <c r="AD446"/>
    </row>
    <row r="447" spans="26:30" x14ac:dyDescent="0.35">
      <c r="Z447"/>
      <c r="AA447"/>
      <c r="AB447"/>
      <c r="AC447"/>
      <c r="AD447"/>
    </row>
    <row r="448" spans="26:30" x14ac:dyDescent="0.35">
      <c r="Z448"/>
      <c r="AA448"/>
      <c r="AB448"/>
      <c r="AC448"/>
      <c r="AD448"/>
    </row>
    <row r="449" spans="26:30" x14ac:dyDescent="0.35">
      <c r="Z449"/>
      <c r="AA449"/>
      <c r="AB449"/>
      <c r="AC449"/>
      <c r="AD449"/>
    </row>
    <row r="450" spans="26:30" x14ac:dyDescent="0.35">
      <c r="Z450"/>
      <c r="AA450"/>
      <c r="AB450"/>
      <c r="AC450"/>
      <c r="AD450"/>
    </row>
    <row r="451" spans="26:30" x14ac:dyDescent="0.35">
      <c r="Z451"/>
      <c r="AA451"/>
      <c r="AB451"/>
      <c r="AC451"/>
      <c r="AD451"/>
    </row>
    <row r="452" spans="26:30" x14ac:dyDescent="0.35">
      <c r="Z452"/>
      <c r="AA452"/>
      <c r="AB452"/>
      <c r="AC452"/>
      <c r="AD452"/>
    </row>
    <row r="453" spans="26:30" x14ac:dyDescent="0.35">
      <c r="Z453"/>
      <c r="AA453"/>
      <c r="AB453"/>
      <c r="AC453"/>
      <c r="AD453"/>
    </row>
    <row r="454" spans="26:30" x14ac:dyDescent="0.35">
      <c r="Z454"/>
      <c r="AA454"/>
      <c r="AB454"/>
      <c r="AC454"/>
      <c r="AD454"/>
    </row>
    <row r="455" spans="26:30" x14ac:dyDescent="0.35">
      <c r="Z455"/>
      <c r="AA455"/>
      <c r="AB455"/>
      <c r="AC455"/>
      <c r="AD455"/>
    </row>
    <row r="456" spans="26:30" x14ac:dyDescent="0.35">
      <c r="Z456"/>
      <c r="AA456"/>
      <c r="AB456"/>
      <c r="AC456"/>
      <c r="AD456"/>
    </row>
    <row r="457" spans="26:30" x14ac:dyDescent="0.35">
      <c r="Z457"/>
      <c r="AA457"/>
      <c r="AB457"/>
      <c r="AC457"/>
      <c r="AD457"/>
    </row>
    <row r="458" spans="26:30" x14ac:dyDescent="0.35">
      <c r="Z458"/>
      <c r="AA458"/>
      <c r="AB458"/>
      <c r="AC458"/>
      <c r="AD458"/>
    </row>
    <row r="459" spans="26:30" x14ac:dyDescent="0.35">
      <c r="Z459"/>
      <c r="AA459"/>
      <c r="AB459"/>
      <c r="AC459"/>
      <c r="AD459"/>
    </row>
    <row r="460" spans="26:30" x14ac:dyDescent="0.35">
      <c r="Z460"/>
      <c r="AA460"/>
      <c r="AB460"/>
      <c r="AC460"/>
      <c r="AD460"/>
    </row>
    <row r="461" spans="26:30" x14ac:dyDescent="0.35">
      <c r="Z461"/>
      <c r="AA461"/>
      <c r="AB461"/>
      <c r="AC461"/>
      <c r="AD461"/>
    </row>
    <row r="462" spans="26:30" x14ac:dyDescent="0.35">
      <c r="Z462"/>
      <c r="AA462"/>
      <c r="AB462"/>
      <c r="AC462"/>
      <c r="AD462"/>
    </row>
    <row r="463" spans="26:30" x14ac:dyDescent="0.35">
      <c r="Z463"/>
      <c r="AA463"/>
      <c r="AB463"/>
      <c r="AC463"/>
      <c r="AD463"/>
    </row>
    <row r="464" spans="26:30" x14ac:dyDescent="0.35">
      <c r="Z464"/>
      <c r="AA464"/>
      <c r="AB464"/>
      <c r="AC464"/>
      <c r="AD464"/>
    </row>
    <row r="465" spans="26:30" x14ac:dyDescent="0.35">
      <c r="Z465"/>
      <c r="AA465"/>
      <c r="AB465"/>
      <c r="AC465"/>
      <c r="AD465"/>
    </row>
    <row r="466" spans="26:30" x14ac:dyDescent="0.35">
      <c r="Z466"/>
      <c r="AA466"/>
      <c r="AB466"/>
      <c r="AC466"/>
      <c r="AD466"/>
    </row>
    <row r="467" spans="26:30" x14ac:dyDescent="0.35">
      <c r="Z467"/>
      <c r="AA467"/>
      <c r="AB467"/>
      <c r="AC467"/>
      <c r="AD467"/>
    </row>
    <row r="468" spans="26:30" x14ac:dyDescent="0.35">
      <c r="Z468"/>
      <c r="AA468"/>
      <c r="AB468"/>
      <c r="AC468"/>
      <c r="AD468"/>
    </row>
    <row r="469" spans="26:30" x14ac:dyDescent="0.35">
      <c r="Z469"/>
      <c r="AA469"/>
      <c r="AB469"/>
      <c r="AC469"/>
      <c r="AD469"/>
    </row>
    <row r="470" spans="26:30" x14ac:dyDescent="0.35">
      <c r="Z470"/>
      <c r="AA470"/>
      <c r="AB470"/>
      <c r="AC470"/>
      <c r="AD470"/>
    </row>
    <row r="471" spans="26:30" x14ac:dyDescent="0.35">
      <c r="Z471"/>
      <c r="AA471"/>
      <c r="AB471"/>
      <c r="AC471"/>
      <c r="AD471"/>
    </row>
    <row r="472" spans="26:30" x14ac:dyDescent="0.35">
      <c r="Z472"/>
      <c r="AA472"/>
      <c r="AB472"/>
      <c r="AC472"/>
      <c r="AD472"/>
    </row>
    <row r="473" spans="26:30" x14ac:dyDescent="0.35">
      <c r="Z473"/>
      <c r="AA473"/>
      <c r="AB473"/>
      <c r="AC473"/>
      <c r="AD473"/>
    </row>
    <row r="474" spans="26:30" x14ac:dyDescent="0.35">
      <c r="Z474"/>
      <c r="AA474"/>
      <c r="AB474"/>
      <c r="AC474"/>
      <c r="AD474"/>
    </row>
    <row r="475" spans="26:30" x14ac:dyDescent="0.35">
      <c r="Z475"/>
      <c r="AA475"/>
      <c r="AB475"/>
      <c r="AC475"/>
      <c r="AD475"/>
    </row>
    <row r="476" spans="26:30" x14ac:dyDescent="0.35">
      <c r="Z476"/>
      <c r="AA476"/>
      <c r="AB476"/>
      <c r="AC476"/>
      <c r="AD476"/>
    </row>
    <row r="477" spans="26:30" x14ac:dyDescent="0.35">
      <c r="Z477"/>
      <c r="AA477"/>
      <c r="AB477"/>
      <c r="AC477"/>
      <c r="AD477"/>
    </row>
    <row r="478" spans="26:30" x14ac:dyDescent="0.35">
      <c r="Z478"/>
      <c r="AA478"/>
      <c r="AB478"/>
      <c r="AC478"/>
      <c r="AD478"/>
    </row>
    <row r="479" spans="26:30" x14ac:dyDescent="0.35">
      <c r="Z479"/>
      <c r="AA479"/>
      <c r="AB479"/>
      <c r="AC479"/>
      <c r="AD479"/>
    </row>
    <row r="480" spans="26:30" x14ac:dyDescent="0.35">
      <c r="Z480"/>
      <c r="AA480"/>
      <c r="AB480"/>
      <c r="AC480"/>
      <c r="AD480"/>
    </row>
    <row r="481" spans="26:30" x14ac:dyDescent="0.35">
      <c r="Z481"/>
      <c r="AA481"/>
      <c r="AB481"/>
      <c r="AC481"/>
      <c r="AD481"/>
    </row>
    <row r="482" spans="26:30" x14ac:dyDescent="0.35">
      <c r="Z482"/>
      <c r="AA482"/>
      <c r="AB482"/>
      <c r="AC482"/>
      <c r="AD482"/>
    </row>
    <row r="483" spans="26:30" x14ac:dyDescent="0.35">
      <c r="Z483"/>
      <c r="AA483"/>
      <c r="AB483"/>
      <c r="AC483"/>
      <c r="AD483"/>
    </row>
    <row r="484" spans="26:30" x14ac:dyDescent="0.35">
      <c r="Z484"/>
      <c r="AA484"/>
      <c r="AB484"/>
      <c r="AC484"/>
      <c r="AD484"/>
    </row>
    <row r="485" spans="26:30" x14ac:dyDescent="0.35">
      <c r="Z485"/>
      <c r="AA485"/>
      <c r="AB485"/>
      <c r="AC485"/>
      <c r="AD485"/>
    </row>
    <row r="486" spans="26:30" x14ac:dyDescent="0.35">
      <c r="Z486"/>
      <c r="AA486"/>
      <c r="AB486"/>
      <c r="AC486"/>
      <c r="AD486"/>
    </row>
    <row r="487" spans="26:30" x14ac:dyDescent="0.35">
      <c r="Z487"/>
      <c r="AA487"/>
      <c r="AB487"/>
      <c r="AC487"/>
      <c r="AD487"/>
    </row>
    <row r="488" spans="26:30" x14ac:dyDescent="0.35">
      <c r="Z488"/>
      <c r="AA488"/>
      <c r="AB488"/>
      <c r="AC488"/>
      <c r="AD488"/>
    </row>
    <row r="489" spans="26:30" x14ac:dyDescent="0.35">
      <c r="Z489"/>
      <c r="AA489"/>
      <c r="AB489"/>
      <c r="AC489"/>
      <c r="AD489"/>
    </row>
    <row r="490" spans="26:30" x14ac:dyDescent="0.35">
      <c r="Z490"/>
      <c r="AA490"/>
      <c r="AB490"/>
      <c r="AC490"/>
      <c r="AD490"/>
    </row>
    <row r="491" spans="26:30" x14ac:dyDescent="0.35">
      <c r="Z491"/>
      <c r="AA491"/>
      <c r="AB491"/>
      <c r="AC491"/>
      <c r="AD491"/>
    </row>
    <row r="492" spans="26:30" x14ac:dyDescent="0.35">
      <c r="Z492"/>
      <c r="AA492"/>
      <c r="AB492"/>
      <c r="AC492"/>
      <c r="AD492"/>
    </row>
    <row r="493" spans="26:30" x14ac:dyDescent="0.35">
      <c r="Z493"/>
      <c r="AA493"/>
      <c r="AB493"/>
      <c r="AC493"/>
      <c r="AD493"/>
    </row>
    <row r="494" spans="26:30" x14ac:dyDescent="0.35">
      <c r="Z494"/>
      <c r="AA494"/>
      <c r="AB494"/>
      <c r="AC494"/>
      <c r="AD494"/>
    </row>
    <row r="495" spans="26:30" x14ac:dyDescent="0.35">
      <c r="Z495"/>
      <c r="AA495"/>
      <c r="AB495"/>
      <c r="AC495"/>
      <c r="AD495"/>
    </row>
    <row r="496" spans="26:30" x14ac:dyDescent="0.35">
      <c r="Z496"/>
      <c r="AA496"/>
      <c r="AB496"/>
      <c r="AC496"/>
      <c r="AD496"/>
    </row>
    <row r="497" spans="26:30" x14ac:dyDescent="0.35">
      <c r="Z497"/>
      <c r="AA497"/>
      <c r="AB497"/>
      <c r="AC497"/>
      <c r="AD497"/>
    </row>
    <row r="498" spans="26:30" x14ac:dyDescent="0.35">
      <c r="Z498"/>
      <c r="AA498"/>
      <c r="AB498"/>
      <c r="AC498"/>
      <c r="AD498"/>
    </row>
    <row r="499" spans="26:30" x14ac:dyDescent="0.35">
      <c r="Z499"/>
      <c r="AA499"/>
      <c r="AB499"/>
      <c r="AC499"/>
      <c r="AD499"/>
    </row>
    <row r="500" spans="26:30" x14ac:dyDescent="0.35">
      <c r="Z500"/>
      <c r="AA500"/>
      <c r="AB500"/>
      <c r="AC500"/>
      <c r="AD500"/>
    </row>
    <row r="501" spans="26:30" x14ac:dyDescent="0.35">
      <c r="Z501"/>
      <c r="AA501"/>
      <c r="AB501"/>
      <c r="AC501"/>
      <c r="AD501"/>
    </row>
    <row r="502" spans="26:30" x14ac:dyDescent="0.35">
      <c r="Z502"/>
      <c r="AA502"/>
      <c r="AB502"/>
      <c r="AC502"/>
      <c r="AD502"/>
    </row>
    <row r="503" spans="26:30" x14ac:dyDescent="0.35">
      <c r="Z503"/>
      <c r="AA503"/>
      <c r="AB503"/>
      <c r="AC503"/>
      <c r="AD503"/>
    </row>
    <row r="504" spans="26:30" x14ac:dyDescent="0.35">
      <c r="Z504"/>
      <c r="AA504"/>
      <c r="AB504"/>
      <c r="AC504"/>
      <c r="AD504"/>
    </row>
    <row r="505" spans="26:30" x14ac:dyDescent="0.35">
      <c r="Z505"/>
      <c r="AA505"/>
      <c r="AB505"/>
      <c r="AC505"/>
      <c r="AD505"/>
    </row>
    <row r="506" spans="26:30" x14ac:dyDescent="0.35">
      <c r="Z506"/>
      <c r="AA506"/>
      <c r="AB506"/>
      <c r="AC506"/>
      <c r="AD506"/>
    </row>
    <row r="507" spans="26:30" x14ac:dyDescent="0.35">
      <c r="Z507"/>
      <c r="AA507"/>
      <c r="AB507"/>
      <c r="AC507"/>
      <c r="AD507"/>
    </row>
    <row r="508" spans="26:30" x14ac:dyDescent="0.35">
      <c r="Z508"/>
      <c r="AA508"/>
      <c r="AB508"/>
      <c r="AC508"/>
      <c r="AD508"/>
    </row>
    <row r="509" spans="26:30" x14ac:dyDescent="0.35">
      <c r="Z509"/>
      <c r="AA509"/>
      <c r="AB509"/>
      <c r="AC509"/>
      <c r="AD509"/>
    </row>
    <row r="510" spans="26:30" x14ac:dyDescent="0.35">
      <c r="Z510"/>
      <c r="AA510"/>
      <c r="AB510"/>
      <c r="AC510"/>
      <c r="AD510"/>
    </row>
    <row r="511" spans="26:30" x14ac:dyDescent="0.35">
      <c r="Z511"/>
      <c r="AA511"/>
      <c r="AB511"/>
      <c r="AC511"/>
      <c r="AD511"/>
    </row>
    <row r="512" spans="26:30" x14ac:dyDescent="0.35">
      <c r="Z512"/>
      <c r="AA512"/>
      <c r="AB512"/>
      <c r="AC512"/>
      <c r="AD512"/>
    </row>
    <row r="513" spans="26:30" x14ac:dyDescent="0.35">
      <c r="Z513"/>
      <c r="AA513"/>
      <c r="AB513"/>
      <c r="AC513"/>
      <c r="AD513"/>
    </row>
    <row r="514" spans="26:30" x14ac:dyDescent="0.35">
      <c r="Z514"/>
      <c r="AA514"/>
      <c r="AB514"/>
      <c r="AC514"/>
      <c r="AD514"/>
    </row>
    <row r="515" spans="26:30" x14ac:dyDescent="0.35">
      <c r="Z515"/>
      <c r="AA515"/>
      <c r="AB515"/>
      <c r="AC515"/>
      <c r="AD515"/>
    </row>
    <row r="516" spans="26:30" x14ac:dyDescent="0.35">
      <c r="Z516"/>
      <c r="AA516"/>
      <c r="AB516"/>
      <c r="AC516"/>
      <c r="AD516"/>
    </row>
    <row r="517" spans="26:30" x14ac:dyDescent="0.35">
      <c r="Z517"/>
      <c r="AA517"/>
      <c r="AB517"/>
      <c r="AC517"/>
      <c r="AD517"/>
    </row>
    <row r="518" spans="26:30" x14ac:dyDescent="0.35">
      <c r="Z518"/>
      <c r="AA518"/>
      <c r="AB518"/>
      <c r="AC518"/>
      <c r="AD518"/>
    </row>
    <row r="519" spans="26:30" x14ac:dyDescent="0.35">
      <c r="Z519"/>
      <c r="AA519"/>
      <c r="AB519"/>
      <c r="AC519"/>
      <c r="AD519"/>
    </row>
    <row r="520" spans="26:30" x14ac:dyDescent="0.35">
      <c r="Z520"/>
      <c r="AA520"/>
      <c r="AB520"/>
      <c r="AC520"/>
      <c r="AD520"/>
    </row>
    <row r="521" spans="26:30" x14ac:dyDescent="0.35">
      <c r="Z521"/>
      <c r="AA521"/>
      <c r="AB521"/>
      <c r="AC521"/>
      <c r="AD521"/>
    </row>
    <row r="522" spans="26:30" x14ac:dyDescent="0.35">
      <c r="Z522"/>
      <c r="AA522"/>
      <c r="AB522"/>
      <c r="AC522"/>
      <c r="AD522"/>
    </row>
    <row r="523" spans="26:30" x14ac:dyDescent="0.35">
      <c r="Z523"/>
      <c r="AA523"/>
      <c r="AB523"/>
      <c r="AC523"/>
      <c r="AD523"/>
    </row>
    <row r="524" spans="26:30" x14ac:dyDescent="0.35">
      <c r="Z524"/>
      <c r="AA524"/>
      <c r="AB524"/>
      <c r="AC524"/>
      <c r="AD524"/>
    </row>
    <row r="525" spans="26:30" x14ac:dyDescent="0.35">
      <c r="Z525"/>
      <c r="AA525"/>
      <c r="AB525"/>
      <c r="AC525"/>
      <c r="AD525"/>
    </row>
    <row r="526" spans="26:30" x14ac:dyDescent="0.35">
      <c r="Z526"/>
      <c r="AA526"/>
      <c r="AB526"/>
      <c r="AC526"/>
      <c r="AD526"/>
    </row>
    <row r="527" spans="26:30" x14ac:dyDescent="0.35">
      <c r="Z527"/>
      <c r="AA527"/>
      <c r="AB527"/>
      <c r="AC527"/>
      <c r="AD527"/>
    </row>
    <row r="528" spans="26:30" x14ac:dyDescent="0.35">
      <c r="Z528"/>
      <c r="AA528"/>
      <c r="AB528"/>
      <c r="AC528"/>
      <c r="AD528"/>
    </row>
    <row r="529" spans="26:30" x14ac:dyDescent="0.35">
      <c r="Z529"/>
      <c r="AA529"/>
      <c r="AB529"/>
      <c r="AC529"/>
      <c r="AD529"/>
    </row>
    <row r="530" spans="26:30" x14ac:dyDescent="0.35">
      <c r="Z530"/>
      <c r="AA530"/>
      <c r="AB530"/>
      <c r="AC530"/>
      <c r="AD530"/>
    </row>
    <row r="531" spans="26:30" x14ac:dyDescent="0.35">
      <c r="Z531"/>
      <c r="AA531"/>
      <c r="AB531"/>
      <c r="AC531"/>
      <c r="AD531"/>
    </row>
    <row r="532" spans="26:30" x14ac:dyDescent="0.35">
      <c r="Z532"/>
      <c r="AA532"/>
      <c r="AB532"/>
      <c r="AC532"/>
      <c r="AD532"/>
    </row>
    <row r="533" spans="26:30" x14ac:dyDescent="0.35">
      <c r="Z533"/>
      <c r="AA533"/>
      <c r="AB533"/>
      <c r="AC533"/>
      <c r="AD533"/>
    </row>
    <row r="534" spans="26:30" x14ac:dyDescent="0.35">
      <c r="Z534"/>
      <c r="AA534"/>
      <c r="AB534"/>
      <c r="AC534"/>
      <c r="AD534"/>
    </row>
    <row r="535" spans="26:30" x14ac:dyDescent="0.35">
      <c r="Z535"/>
      <c r="AA535"/>
      <c r="AB535"/>
      <c r="AC535"/>
      <c r="AD535"/>
    </row>
    <row r="536" spans="26:30" x14ac:dyDescent="0.35">
      <c r="Z536"/>
      <c r="AA536"/>
      <c r="AB536"/>
      <c r="AC536"/>
      <c r="AD536"/>
    </row>
    <row r="537" spans="26:30" x14ac:dyDescent="0.35">
      <c r="AD537"/>
    </row>
    <row r="538" spans="26:30" x14ac:dyDescent="0.35">
      <c r="AD538"/>
    </row>
    <row r="539" spans="26:30" x14ac:dyDescent="0.35">
      <c r="AD539"/>
    </row>
    <row r="540" spans="26:30" x14ac:dyDescent="0.35">
      <c r="AD540"/>
    </row>
    <row r="541" spans="26:30" x14ac:dyDescent="0.35">
      <c r="AD541"/>
    </row>
    <row r="542" spans="26:30" x14ac:dyDescent="0.35">
      <c r="AD542"/>
    </row>
    <row r="543" spans="26:30" x14ac:dyDescent="0.35">
      <c r="AD543"/>
    </row>
    <row r="544" spans="26:30" x14ac:dyDescent="0.35">
      <c r="AD544"/>
    </row>
    <row r="545" spans="30:30" x14ac:dyDescent="0.35">
      <c r="AD545"/>
    </row>
    <row r="546" spans="30:30" x14ac:dyDescent="0.35">
      <c r="AD546"/>
    </row>
    <row r="547" spans="30:30" x14ac:dyDescent="0.35">
      <c r="AD547"/>
    </row>
    <row r="548" spans="30:30" x14ac:dyDescent="0.35">
      <c r="AD548"/>
    </row>
    <row r="549" spans="30:30" x14ac:dyDescent="0.35">
      <c r="AD549"/>
    </row>
    <row r="550" spans="30:30" x14ac:dyDescent="0.35">
      <c r="AD550"/>
    </row>
    <row r="551" spans="30:30" x14ac:dyDescent="0.35">
      <c r="AD551"/>
    </row>
    <row r="552" spans="30:30" x14ac:dyDescent="0.35">
      <c r="AD552"/>
    </row>
    <row r="553" spans="30:30" x14ac:dyDescent="0.35">
      <c r="AD553"/>
    </row>
    <row r="554" spans="30:30" x14ac:dyDescent="0.35">
      <c r="AD554"/>
    </row>
    <row r="555" spans="30:30" x14ac:dyDescent="0.35">
      <c r="AD555"/>
    </row>
    <row r="556" spans="30:30" x14ac:dyDescent="0.35">
      <c r="AD556"/>
    </row>
    <row r="557" spans="30:30" x14ac:dyDescent="0.35">
      <c r="AD557"/>
    </row>
    <row r="558" spans="30:30" x14ac:dyDescent="0.35">
      <c r="AD558"/>
    </row>
    <row r="559" spans="30:30" x14ac:dyDescent="0.35">
      <c r="AD559"/>
    </row>
    <row r="560" spans="30:30" x14ac:dyDescent="0.35">
      <c r="AD560"/>
    </row>
    <row r="561" spans="30:30" x14ac:dyDescent="0.35">
      <c r="AD561"/>
    </row>
    <row r="562" spans="30:30" x14ac:dyDescent="0.35">
      <c r="AD562"/>
    </row>
    <row r="563" spans="30:30" x14ac:dyDescent="0.35">
      <c r="AD563"/>
    </row>
    <row r="564" spans="30:30" x14ac:dyDescent="0.35">
      <c r="AD564"/>
    </row>
    <row r="565" spans="30:30" x14ac:dyDescent="0.35">
      <c r="AD565"/>
    </row>
    <row r="566" spans="30:30" x14ac:dyDescent="0.35">
      <c r="AD566"/>
    </row>
    <row r="567" spans="30:30" x14ac:dyDescent="0.35">
      <c r="AD567"/>
    </row>
    <row r="568" spans="30:30" x14ac:dyDescent="0.35">
      <c r="AD568"/>
    </row>
    <row r="569" spans="30:30" x14ac:dyDescent="0.35">
      <c r="AD569"/>
    </row>
    <row r="570" spans="30:30" x14ac:dyDescent="0.35">
      <c r="AD570"/>
    </row>
    <row r="571" spans="30:30" x14ac:dyDescent="0.35">
      <c r="AD571"/>
    </row>
    <row r="572" spans="30:30" x14ac:dyDescent="0.35">
      <c r="AD572"/>
    </row>
    <row r="573" spans="30:30" x14ac:dyDescent="0.35">
      <c r="AD573"/>
    </row>
    <row r="574" spans="30:30" x14ac:dyDescent="0.35">
      <c r="AD574"/>
    </row>
    <row r="575" spans="30:30" x14ac:dyDescent="0.35">
      <c r="AD575"/>
    </row>
    <row r="576" spans="30:30" x14ac:dyDescent="0.35">
      <c r="AD576"/>
    </row>
    <row r="577" spans="30:30" x14ac:dyDescent="0.35">
      <c r="AD577"/>
    </row>
    <row r="578" spans="30:30" x14ac:dyDescent="0.35">
      <c r="AD578"/>
    </row>
    <row r="579" spans="30:30" x14ac:dyDescent="0.35">
      <c r="AD579"/>
    </row>
    <row r="580" spans="30:30" x14ac:dyDescent="0.35">
      <c r="AD580"/>
    </row>
    <row r="581" spans="30:30" x14ac:dyDescent="0.35">
      <c r="AD581"/>
    </row>
    <row r="582" spans="30:30" x14ac:dyDescent="0.35">
      <c r="AD582"/>
    </row>
    <row r="583" spans="30:30" x14ac:dyDescent="0.35">
      <c r="AD583"/>
    </row>
    <row r="584" spans="30:30" x14ac:dyDescent="0.35">
      <c r="AD584"/>
    </row>
    <row r="585" spans="30:30" x14ac:dyDescent="0.35">
      <c r="AD585"/>
    </row>
    <row r="586" spans="30:30" x14ac:dyDescent="0.35">
      <c r="AD586"/>
    </row>
    <row r="587" spans="30:30" x14ac:dyDescent="0.35">
      <c r="AD587"/>
    </row>
    <row r="588" spans="30:30" x14ac:dyDescent="0.35">
      <c r="AD588"/>
    </row>
    <row r="589" spans="30:30" x14ac:dyDescent="0.35">
      <c r="AD589"/>
    </row>
    <row r="590" spans="30:30" x14ac:dyDescent="0.35">
      <c r="AD590"/>
    </row>
    <row r="591" spans="30:30" x14ac:dyDescent="0.35">
      <c r="AD591"/>
    </row>
    <row r="592" spans="30:30" x14ac:dyDescent="0.35">
      <c r="AD592"/>
    </row>
    <row r="593" spans="30:30" x14ac:dyDescent="0.35">
      <c r="AD593"/>
    </row>
    <row r="594" spans="30:30" x14ac:dyDescent="0.35">
      <c r="AD594"/>
    </row>
    <row r="595" spans="30:30" x14ac:dyDescent="0.35">
      <c r="AD595"/>
    </row>
    <row r="596" spans="30:30" x14ac:dyDescent="0.35">
      <c r="AD596"/>
    </row>
    <row r="597" spans="30:30" x14ac:dyDescent="0.35">
      <c r="AD597"/>
    </row>
    <row r="598" spans="30:30" x14ac:dyDescent="0.35">
      <c r="AD598"/>
    </row>
    <row r="599" spans="30:30" x14ac:dyDescent="0.35">
      <c r="AD599"/>
    </row>
    <row r="600" spans="30:30" x14ac:dyDescent="0.35">
      <c r="AD600"/>
    </row>
    <row r="601" spans="30:30" x14ac:dyDescent="0.35">
      <c r="AD601"/>
    </row>
    <row r="602" spans="30:30" x14ac:dyDescent="0.35">
      <c r="AD602"/>
    </row>
    <row r="603" spans="30:30" x14ac:dyDescent="0.35">
      <c r="AD603"/>
    </row>
    <row r="604" spans="30:30" x14ac:dyDescent="0.35">
      <c r="AD604"/>
    </row>
    <row r="605" spans="30:30" x14ac:dyDescent="0.35">
      <c r="AD605"/>
    </row>
    <row r="606" spans="30:30" x14ac:dyDescent="0.35">
      <c r="AD606"/>
    </row>
    <row r="607" spans="30:30" x14ac:dyDescent="0.35">
      <c r="AD607"/>
    </row>
    <row r="608" spans="30:30" x14ac:dyDescent="0.35">
      <c r="AD608"/>
    </row>
    <row r="609" spans="30:30" x14ac:dyDescent="0.35">
      <c r="AD609"/>
    </row>
    <row r="610" spans="30:30" x14ac:dyDescent="0.35">
      <c r="AD610"/>
    </row>
    <row r="611" spans="30:30" x14ac:dyDescent="0.35">
      <c r="AD611"/>
    </row>
    <row r="612" spans="30:30" x14ac:dyDescent="0.35">
      <c r="AD612"/>
    </row>
    <row r="613" spans="30:30" x14ac:dyDescent="0.35">
      <c r="AD613"/>
    </row>
    <row r="614" spans="30:30" x14ac:dyDescent="0.35">
      <c r="AD614"/>
    </row>
    <row r="615" spans="30:30" x14ac:dyDescent="0.35">
      <c r="AD615"/>
    </row>
    <row r="616" spans="30:30" x14ac:dyDescent="0.35">
      <c r="AD616"/>
    </row>
    <row r="617" spans="30:30" x14ac:dyDescent="0.35">
      <c r="AD617"/>
    </row>
    <row r="618" spans="30:30" x14ac:dyDescent="0.35">
      <c r="AD618"/>
    </row>
    <row r="619" spans="30:30" x14ac:dyDescent="0.35">
      <c r="AD619"/>
    </row>
    <row r="620" spans="30:30" x14ac:dyDescent="0.35">
      <c r="AD620"/>
    </row>
    <row r="621" spans="30:30" x14ac:dyDescent="0.35">
      <c r="AD621"/>
    </row>
    <row r="622" spans="30:30" x14ac:dyDescent="0.35">
      <c r="AD622"/>
    </row>
    <row r="623" spans="30:30" x14ac:dyDescent="0.35">
      <c r="AD623"/>
    </row>
    <row r="624" spans="30:30" x14ac:dyDescent="0.35">
      <c r="AD624"/>
    </row>
    <row r="625" spans="30:30" x14ac:dyDescent="0.35">
      <c r="AD625"/>
    </row>
    <row r="626" spans="30:30" x14ac:dyDescent="0.35">
      <c r="AD626"/>
    </row>
    <row r="627" spans="30:30" x14ac:dyDescent="0.35">
      <c r="AD627"/>
    </row>
    <row r="628" spans="30:30" x14ac:dyDescent="0.35">
      <c r="AD628"/>
    </row>
    <row r="629" spans="30:30" x14ac:dyDescent="0.35">
      <c r="AD629"/>
    </row>
    <row r="630" spans="30:30" x14ac:dyDescent="0.35">
      <c r="AD630"/>
    </row>
    <row r="631" spans="30:30" x14ac:dyDescent="0.35">
      <c r="AD631"/>
    </row>
    <row r="632" spans="30:30" x14ac:dyDescent="0.35">
      <c r="AD632"/>
    </row>
    <row r="633" spans="30:30" x14ac:dyDescent="0.35">
      <c r="AD633"/>
    </row>
    <row r="634" spans="30:30" x14ac:dyDescent="0.35">
      <c r="AD634"/>
    </row>
    <row r="635" spans="30:30" x14ac:dyDescent="0.35">
      <c r="AD635"/>
    </row>
    <row r="636" spans="30:30" x14ac:dyDescent="0.35">
      <c r="AD636"/>
    </row>
    <row r="637" spans="30:30" x14ac:dyDescent="0.35">
      <c r="AD637"/>
    </row>
    <row r="638" spans="30:30" x14ac:dyDescent="0.35">
      <c r="AD638"/>
    </row>
    <row r="639" spans="30:30" x14ac:dyDescent="0.35">
      <c r="AD639"/>
    </row>
    <row r="640" spans="30:30" x14ac:dyDescent="0.35">
      <c r="AD640"/>
    </row>
    <row r="641" spans="30:30" x14ac:dyDescent="0.35">
      <c r="AD641"/>
    </row>
    <row r="642" spans="30:30" x14ac:dyDescent="0.35">
      <c r="AD642"/>
    </row>
    <row r="643" spans="30:30" x14ac:dyDescent="0.35">
      <c r="AD643"/>
    </row>
    <row r="644" spans="30:30" x14ac:dyDescent="0.35">
      <c r="AD644"/>
    </row>
    <row r="645" spans="30:30" x14ac:dyDescent="0.35">
      <c r="AD645"/>
    </row>
    <row r="646" spans="30:30" x14ac:dyDescent="0.35">
      <c r="AD646"/>
    </row>
    <row r="647" spans="30:30" x14ac:dyDescent="0.35">
      <c r="AD647"/>
    </row>
    <row r="648" spans="30:30" x14ac:dyDescent="0.35">
      <c r="AD648"/>
    </row>
    <row r="649" spans="30:30" x14ac:dyDescent="0.35">
      <c r="AD649"/>
    </row>
    <row r="650" spans="30:30" x14ac:dyDescent="0.35">
      <c r="AD650"/>
    </row>
    <row r="651" spans="30:30" x14ac:dyDescent="0.35">
      <c r="AD651"/>
    </row>
    <row r="652" spans="30:30" x14ac:dyDescent="0.35">
      <c r="AD652"/>
    </row>
    <row r="653" spans="30:30" x14ac:dyDescent="0.35">
      <c r="AD653"/>
    </row>
    <row r="654" spans="30:30" x14ac:dyDescent="0.35">
      <c r="AD654"/>
    </row>
    <row r="655" spans="30:30" x14ac:dyDescent="0.35">
      <c r="AD655"/>
    </row>
    <row r="656" spans="30:30" x14ac:dyDescent="0.35">
      <c r="AD656"/>
    </row>
    <row r="657" spans="30:30" x14ac:dyDescent="0.35">
      <c r="AD657"/>
    </row>
    <row r="658" spans="30:30" x14ac:dyDescent="0.35">
      <c r="AD658"/>
    </row>
    <row r="659" spans="30:30" x14ac:dyDescent="0.35">
      <c r="AD659"/>
    </row>
    <row r="660" spans="30:30" x14ac:dyDescent="0.35">
      <c r="AD660"/>
    </row>
    <row r="661" spans="30:30" x14ac:dyDescent="0.35">
      <c r="AD661"/>
    </row>
    <row r="662" spans="30:30" x14ac:dyDescent="0.35">
      <c r="AD662"/>
    </row>
    <row r="663" spans="30:30" x14ac:dyDescent="0.35">
      <c r="AD663"/>
    </row>
    <row r="664" spans="30:30" x14ac:dyDescent="0.35">
      <c r="AD664"/>
    </row>
    <row r="665" spans="30:30" x14ac:dyDescent="0.35">
      <c r="AD665"/>
    </row>
    <row r="666" spans="30:30" x14ac:dyDescent="0.35">
      <c r="AD666"/>
    </row>
    <row r="667" spans="30:30" x14ac:dyDescent="0.35">
      <c r="AD667"/>
    </row>
    <row r="668" spans="30:30" x14ac:dyDescent="0.35">
      <c r="AD668"/>
    </row>
    <row r="669" spans="30:30" x14ac:dyDescent="0.35">
      <c r="AD669"/>
    </row>
    <row r="670" spans="30:30" x14ac:dyDescent="0.35">
      <c r="AD670"/>
    </row>
    <row r="671" spans="30:30" x14ac:dyDescent="0.35">
      <c r="AD671"/>
    </row>
    <row r="672" spans="30:30" x14ac:dyDescent="0.35">
      <c r="AD672"/>
    </row>
    <row r="673" spans="30:30" x14ac:dyDescent="0.35">
      <c r="AD673"/>
    </row>
    <row r="674" spans="30:30" x14ac:dyDescent="0.35">
      <c r="AD674"/>
    </row>
    <row r="675" spans="30:30" x14ac:dyDescent="0.35">
      <c r="AD675"/>
    </row>
    <row r="676" spans="30:30" x14ac:dyDescent="0.35">
      <c r="AD676"/>
    </row>
    <row r="677" spans="30:30" x14ac:dyDescent="0.35">
      <c r="AD677"/>
    </row>
    <row r="678" spans="30:30" x14ac:dyDescent="0.35">
      <c r="AD678"/>
    </row>
    <row r="679" spans="30:30" x14ac:dyDescent="0.35">
      <c r="AD679"/>
    </row>
    <row r="680" spans="30:30" x14ac:dyDescent="0.35">
      <c r="AD680"/>
    </row>
    <row r="681" spans="30:30" x14ac:dyDescent="0.35">
      <c r="AD681"/>
    </row>
    <row r="682" spans="30:30" x14ac:dyDescent="0.35">
      <c r="AD682"/>
    </row>
    <row r="683" spans="30:30" x14ac:dyDescent="0.35">
      <c r="AD683"/>
    </row>
    <row r="684" spans="30:30" x14ac:dyDescent="0.35">
      <c r="AD684"/>
    </row>
    <row r="685" spans="30:30" x14ac:dyDescent="0.35">
      <c r="AD685"/>
    </row>
    <row r="686" spans="30:30" x14ac:dyDescent="0.35">
      <c r="AD686"/>
    </row>
    <row r="687" spans="30:30" x14ac:dyDescent="0.35">
      <c r="AD687"/>
    </row>
    <row r="688" spans="30:30" x14ac:dyDescent="0.35">
      <c r="AD688"/>
    </row>
    <row r="689" spans="30:30" x14ac:dyDescent="0.35">
      <c r="AD689"/>
    </row>
    <row r="690" spans="30:30" x14ac:dyDescent="0.35">
      <c r="AD690"/>
    </row>
    <row r="691" spans="30:30" x14ac:dyDescent="0.35">
      <c r="AD691"/>
    </row>
    <row r="692" spans="30:30" x14ac:dyDescent="0.35">
      <c r="AD692"/>
    </row>
    <row r="693" spans="30:30" x14ac:dyDescent="0.35">
      <c r="AD693"/>
    </row>
    <row r="694" spans="30:30" x14ac:dyDescent="0.35">
      <c r="AD694"/>
    </row>
    <row r="695" spans="30:30" x14ac:dyDescent="0.35">
      <c r="AD695"/>
    </row>
    <row r="696" spans="30:30" x14ac:dyDescent="0.35">
      <c r="AD696"/>
    </row>
    <row r="697" spans="30:30" x14ac:dyDescent="0.35">
      <c r="AD697"/>
    </row>
    <row r="698" spans="30:30" x14ac:dyDescent="0.35">
      <c r="AD698"/>
    </row>
    <row r="699" spans="30:30" x14ac:dyDescent="0.35">
      <c r="AD699"/>
    </row>
    <row r="700" spans="30:30" x14ac:dyDescent="0.35">
      <c r="AD700"/>
    </row>
    <row r="701" spans="30:30" x14ac:dyDescent="0.35">
      <c r="AD701"/>
    </row>
    <row r="702" spans="30:30" x14ac:dyDescent="0.35">
      <c r="AD702"/>
    </row>
    <row r="703" spans="30:30" x14ac:dyDescent="0.35">
      <c r="AD703"/>
    </row>
    <row r="704" spans="30:30" x14ac:dyDescent="0.35">
      <c r="AD704"/>
    </row>
    <row r="705" spans="30:30" x14ac:dyDescent="0.35">
      <c r="AD705"/>
    </row>
    <row r="706" spans="30:30" x14ac:dyDescent="0.35">
      <c r="AD706"/>
    </row>
    <row r="707" spans="30:30" x14ac:dyDescent="0.35">
      <c r="AD707"/>
    </row>
    <row r="708" spans="30:30" x14ac:dyDescent="0.35">
      <c r="AD708"/>
    </row>
    <row r="709" spans="30:30" x14ac:dyDescent="0.35">
      <c r="AD709"/>
    </row>
    <row r="710" spans="30:30" x14ac:dyDescent="0.35">
      <c r="AD710"/>
    </row>
    <row r="711" spans="30:30" x14ac:dyDescent="0.35">
      <c r="AD711"/>
    </row>
  </sheetData>
  <conditionalFormatting sqref="B2:B422">
    <cfRule type="duplicateValues" dxfId="20" priority="680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CC"/>
  </sheetPr>
  <dimension ref="A1:AX82"/>
  <sheetViews>
    <sheetView view="pageLayout" topLeftCell="T1" zoomScaleNormal="100" workbookViewId="0">
      <selection activeCell="AO12" sqref="AO12"/>
    </sheetView>
  </sheetViews>
  <sheetFormatPr defaultRowHeight="14.5" x14ac:dyDescent="0.35"/>
  <cols>
    <col min="1" max="1" width="19.36328125" customWidth="1"/>
    <col min="2" max="2" width="40.1796875" customWidth="1"/>
    <col min="3" max="3" width="59.6328125" customWidth="1"/>
    <col min="4" max="4" width="5.7265625" customWidth="1"/>
    <col min="5" max="5" width="4.7265625" customWidth="1"/>
    <col min="6" max="6" width="11.1796875" customWidth="1"/>
    <col min="7" max="7" width="4.7265625" customWidth="1"/>
    <col min="8" max="8" width="5.453125" customWidth="1"/>
    <col min="9" max="9" width="9.7265625" customWidth="1"/>
    <col min="10" max="10" width="29.81640625" customWidth="1"/>
    <col min="11" max="11" width="15.81640625" customWidth="1"/>
    <col min="12" max="12" width="5.26953125" customWidth="1"/>
    <col min="13" max="13" width="4.7265625" customWidth="1"/>
    <col min="14" max="14" width="17.7265625" bestFit="1" customWidth="1"/>
    <col min="16" max="16" width="20.453125" bestFit="1" customWidth="1"/>
    <col min="17" max="17" width="12.81640625" bestFit="1" customWidth="1"/>
    <col min="18" max="18" width="8.1796875" bestFit="1" customWidth="1"/>
    <col min="19" max="19" width="15" bestFit="1" customWidth="1"/>
    <col min="20" max="20" width="10.26953125" bestFit="1" customWidth="1"/>
    <col min="21" max="21" width="11.453125" bestFit="1" customWidth="1"/>
    <col min="22" max="22" width="11.26953125" bestFit="1" customWidth="1"/>
    <col min="23" max="23" width="9.81640625" bestFit="1" customWidth="1"/>
    <col min="24" max="24" width="15.26953125" bestFit="1" customWidth="1"/>
    <col min="25" max="25" width="12.1796875" bestFit="1" customWidth="1"/>
    <col min="26" max="26" width="12.7265625" bestFit="1" customWidth="1"/>
    <col min="27" max="27" width="9" bestFit="1" customWidth="1"/>
    <col min="28" max="28" width="18.26953125" bestFit="1" customWidth="1"/>
    <col min="29" max="29" width="22.26953125" bestFit="1" customWidth="1"/>
    <col min="30" max="30" width="23.26953125" bestFit="1" customWidth="1"/>
    <col min="31" max="31" width="19.7265625" bestFit="1" customWidth="1"/>
    <col min="32" max="32" width="30.1796875" bestFit="1" customWidth="1"/>
    <col min="33" max="33" width="25.1796875" customWidth="1"/>
    <col min="34" max="34" width="26.453125" bestFit="1" customWidth="1"/>
    <col min="35" max="35" width="8.81640625" bestFit="1" customWidth="1"/>
    <col min="36" max="36" width="17.26953125" bestFit="1" customWidth="1"/>
    <col min="37" max="37" width="8.54296875" bestFit="1" customWidth="1"/>
    <col min="38" max="38" width="24.26953125" bestFit="1" customWidth="1"/>
    <col min="40" max="40" width="28.81640625" bestFit="1" customWidth="1"/>
    <col min="41" max="41" width="32" bestFit="1" customWidth="1"/>
    <col min="42" max="42" width="25.26953125" bestFit="1" customWidth="1"/>
    <col min="43" max="43" width="25.81640625" bestFit="1" customWidth="1"/>
    <col min="44" max="44" width="25.26953125" bestFit="1" customWidth="1"/>
    <col min="45" max="45" width="18" bestFit="1" customWidth="1"/>
  </cols>
  <sheetData>
    <row r="1" spans="1:50" x14ac:dyDescent="0.35">
      <c r="A1" s="7" t="s">
        <v>3</v>
      </c>
      <c r="B1" s="8" t="s">
        <v>4</v>
      </c>
      <c r="C1" s="9" t="s">
        <v>5</v>
      </c>
      <c r="F1" s="9" t="s">
        <v>6</v>
      </c>
      <c r="I1" s="21" t="s">
        <v>164</v>
      </c>
      <c r="J1" s="21" t="s">
        <v>165</v>
      </c>
      <c r="K1" s="22" t="s">
        <v>160</v>
      </c>
      <c r="N1" s="19" t="s">
        <v>295</v>
      </c>
      <c r="P1" s="33" t="s">
        <v>297</v>
      </c>
      <c r="Q1" s="33" t="s">
        <v>298</v>
      </c>
      <c r="R1" s="33" t="s">
        <v>299</v>
      </c>
      <c r="S1" s="33" t="s">
        <v>300</v>
      </c>
      <c r="T1" s="33" t="s">
        <v>301</v>
      </c>
      <c r="U1" s="33" t="s">
        <v>302</v>
      </c>
      <c r="V1" s="33" t="s">
        <v>303</v>
      </c>
      <c r="W1" s="33" t="s">
        <v>304</v>
      </c>
      <c r="X1" s="33" t="s">
        <v>305</v>
      </c>
      <c r="Y1" s="33" t="s">
        <v>306</v>
      </c>
      <c r="Z1" s="33" t="s">
        <v>307</v>
      </c>
      <c r="AA1" s="33" t="s">
        <v>308</v>
      </c>
      <c r="AB1" s="32" t="s">
        <v>309</v>
      </c>
      <c r="AC1" s="32" t="s">
        <v>310</v>
      </c>
      <c r="AD1" s="32" t="s">
        <v>311</v>
      </c>
      <c r="AE1" s="32" t="s">
        <v>312</v>
      </c>
      <c r="AF1" s="33" t="s">
        <v>313</v>
      </c>
      <c r="AG1" s="33" t="s">
        <v>314</v>
      </c>
      <c r="AH1" s="33" t="s">
        <v>315</v>
      </c>
      <c r="AI1" s="33" t="s">
        <v>316</v>
      </c>
      <c r="AJ1" s="33" t="s">
        <v>317</v>
      </c>
      <c r="AK1" s="33" t="s">
        <v>318</v>
      </c>
      <c r="AL1" s="33" t="s">
        <v>319</v>
      </c>
      <c r="AM1" s="33" t="s">
        <v>320</v>
      </c>
      <c r="AN1" s="33" t="s">
        <v>321</v>
      </c>
      <c r="AO1" s="33" t="s">
        <v>322</v>
      </c>
      <c r="AP1" s="33" t="s">
        <v>323</v>
      </c>
      <c r="AQ1" s="32" t="s">
        <v>324</v>
      </c>
      <c r="AR1" s="32" t="s">
        <v>294</v>
      </c>
      <c r="AS1" s="32" t="s">
        <v>431</v>
      </c>
      <c r="AU1" s="49" t="s">
        <v>161</v>
      </c>
      <c r="AV1" t="s">
        <v>294</v>
      </c>
      <c r="AW1" s="50" t="s">
        <v>162</v>
      </c>
      <c r="AX1" t="s">
        <v>192</v>
      </c>
    </row>
    <row r="2" spans="1:50" ht="43.5" x14ac:dyDescent="0.35">
      <c r="A2" s="10" t="s">
        <v>7</v>
      </c>
      <c r="B2" s="11" t="s">
        <v>8</v>
      </c>
      <c r="C2" s="12"/>
      <c r="F2">
        <v>202301</v>
      </c>
      <c r="I2" s="14">
        <v>101</v>
      </c>
      <c r="J2" s="14" t="s">
        <v>166</v>
      </c>
      <c r="K2" s="14" t="s">
        <v>162</v>
      </c>
      <c r="N2" t="s">
        <v>297</v>
      </c>
      <c r="P2" s="34" t="s">
        <v>325</v>
      </c>
      <c r="Q2" s="34" t="s">
        <v>326</v>
      </c>
      <c r="R2" s="34" t="s">
        <v>327</v>
      </c>
      <c r="S2" s="34" t="s">
        <v>328</v>
      </c>
      <c r="T2" s="34" t="s">
        <v>329</v>
      </c>
      <c r="U2" s="34" t="s">
        <v>330</v>
      </c>
      <c r="V2" s="34" t="s">
        <v>261</v>
      </c>
      <c r="W2" s="34" t="s">
        <v>331</v>
      </c>
      <c r="X2" s="34" t="s">
        <v>332</v>
      </c>
      <c r="Y2" s="34" t="s">
        <v>333</v>
      </c>
      <c r="Z2" s="34" t="s">
        <v>334</v>
      </c>
      <c r="AA2" s="34" t="s">
        <v>335</v>
      </c>
      <c r="AB2" s="36" t="s">
        <v>349</v>
      </c>
      <c r="AC2" s="37" t="s">
        <v>350</v>
      </c>
      <c r="AD2" s="37" t="s">
        <v>351</v>
      </c>
      <c r="AE2" s="37" t="s">
        <v>352</v>
      </c>
      <c r="AF2" s="43" t="s">
        <v>369</v>
      </c>
      <c r="AG2" s="41" t="s">
        <v>370</v>
      </c>
      <c r="AH2" s="39" t="s">
        <v>371</v>
      </c>
      <c r="AI2" s="41" t="s">
        <v>372</v>
      </c>
      <c r="AJ2" s="41" t="s">
        <v>373</v>
      </c>
      <c r="AK2" s="41" t="s">
        <v>374</v>
      </c>
      <c r="AL2" s="39" t="s">
        <v>375</v>
      </c>
      <c r="AM2" s="41" t="s">
        <v>376</v>
      </c>
      <c r="AN2" s="39" t="s">
        <v>377</v>
      </c>
      <c r="AO2" s="41" t="s">
        <v>378</v>
      </c>
      <c r="AP2" s="39" t="s">
        <v>379</v>
      </c>
      <c r="AQ2" s="40" t="s">
        <v>424</v>
      </c>
      <c r="AR2" s="38" t="s">
        <v>425</v>
      </c>
      <c r="AS2" s="38" t="s">
        <v>426</v>
      </c>
      <c r="AU2" s="33" t="s">
        <v>297</v>
      </c>
      <c r="AV2" s="32" t="s">
        <v>309</v>
      </c>
      <c r="AW2" s="33" t="s">
        <v>313</v>
      </c>
      <c r="AX2" s="32" t="s">
        <v>324</v>
      </c>
    </row>
    <row r="3" spans="1:50" ht="58" x14ac:dyDescent="0.35">
      <c r="A3" s="13" t="s">
        <v>9</v>
      </c>
      <c r="B3" s="14" t="s">
        <v>10</v>
      </c>
      <c r="C3" s="15" t="s">
        <v>458</v>
      </c>
      <c r="F3">
        <v>202302</v>
      </c>
      <c r="I3" s="14">
        <v>101</v>
      </c>
      <c r="J3" s="14" t="s">
        <v>127</v>
      </c>
      <c r="K3" s="14" t="s">
        <v>162</v>
      </c>
      <c r="N3" t="s">
        <v>298</v>
      </c>
      <c r="P3" s="34" t="s">
        <v>336</v>
      </c>
      <c r="Q3" s="35"/>
      <c r="R3" s="35"/>
      <c r="S3" s="34" t="s">
        <v>337</v>
      </c>
      <c r="T3" s="34" t="s">
        <v>338</v>
      </c>
      <c r="U3" s="35"/>
      <c r="V3" s="35"/>
      <c r="W3" s="34" t="s">
        <v>339</v>
      </c>
      <c r="X3" s="34" t="s">
        <v>125</v>
      </c>
      <c r="Y3" s="35"/>
      <c r="Z3" s="35"/>
      <c r="AA3" s="35"/>
      <c r="AB3" s="37" t="s">
        <v>353</v>
      </c>
      <c r="AC3" s="37" t="s">
        <v>354</v>
      </c>
      <c r="AD3" s="37" t="s">
        <v>355</v>
      </c>
      <c r="AE3" s="37" t="s">
        <v>356</v>
      </c>
      <c r="AF3" s="35"/>
      <c r="AG3" s="41" t="s">
        <v>380</v>
      </c>
      <c r="AH3" s="39" t="s">
        <v>381</v>
      </c>
      <c r="AI3" s="41" t="s">
        <v>382</v>
      </c>
      <c r="AJ3" s="41" t="s">
        <v>383</v>
      </c>
      <c r="AK3" s="41" t="s">
        <v>384</v>
      </c>
      <c r="AL3" s="39" t="s">
        <v>385</v>
      </c>
      <c r="AM3" s="41"/>
      <c r="AN3" s="39" t="s">
        <v>386</v>
      </c>
      <c r="AO3" s="41" t="s">
        <v>387</v>
      </c>
      <c r="AP3" s="41" t="s">
        <v>388</v>
      </c>
      <c r="AQ3" s="40" t="s">
        <v>427</v>
      </c>
      <c r="AR3" s="38" t="s">
        <v>428</v>
      </c>
      <c r="AS3" s="35"/>
      <c r="AU3" s="33" t="s">
        <v>298</v>
      </c>
      <c r="AV3" s="32" t="s">
        <v>310</v>
      </c>
      <c r="AW3" s="33" t="s">
        <v>314</v>
      </c>
      <c r="AX3" s="32" t="s">
        <v>294</v>
      </c>
    </row>
    <row r="4" spans="1:50" ht="58" x14ac:dyDescent="0.35">
      <c r="A4" s="10" t="s">
        <v>524</v>
      </c>
      <c r="B4" s="11" t="s">
        <v>525</v>
      </c>
      <c r="C4" s="12"/>
      <c r="F4">
        <v>202303</v>
      </c>
      <c r="I4" s="14">
        <v>101</v>
      </c>
      <c r="J4" s="14" t="s">
        <v>126</v>
      </c>
      <c r="K4" s="14" t="s">
        <v>162</v>
      </c>
      <c r="N4" t="s">
        <v>299</v>
      </c>
      <c r="P4" s="34" t="s">
        <v>340</v>
      </c>
      <c r="Q4" s="35"/>
      <c r="R4" s="35"/>
      <c r="S4" s="34" t="s">
        <v>341</v>
      </c>
      <c r="T4" s="35"/>
      <c r="U4" s="35"/>
      <c r="V4" s="35"/>
      <c r="W4" s="34" t="s">
        <v>342</v>
      </c>
      <c r="X4" s="34" t="s">
        <v>343</v>
      </c>
      <c r="Y4" s="35"/>
      <c r="Z4" s="35"/>
      <c r="AA4" s="35"/>
      <c r="AB4" s="37" t="s">
        <v>357</v>
      </c>
      <c r="AC4" s="37" t="s">
        <v>358</v>
      </c>
      <c r="AD4" s="37" t="s">
        <v>359</v>
      </c>
      <c r="AE4" s="37" t="s">
        <v>360</v>
      </c>
      <c r="AF4" s="35"/>
      <c r="AG4" s="41" t="s">
        <v>389</v>
      </c>
      <c r="AH4" s="39" t="s">
        <v>390</v>
      </c>
      <c r="AI4" s="41" t="s">
        <v>391</v>
      </c>
      <c r="AJ4" s="41" t="s">
        <v>392</v>
      </c>
      <c r="AK4" s="41"/>
      <c r="AL4" s="39" t="s">
        <v>393</v>
      </c>
      <c r="AM4" s="41"/>
      <c r="AN4" s="39" t="s">
        <v>390</v>
      </c>
      <c r="AO4" s="39" t="s">
        <v>394</v>
      </c>
      <c r="AP4" s="41" t="s">
        <v>395</v>
      </c>
      <c r="AQ4" s="40" t="s">
        <v>429</v>
      </c>
      <c r="AR4" s="35"/>
      <c r="AS4" s="35"/>
      <c r="AU4" s="33" t="s">
        <v>299</v>
      </c>
      <c r="AV4" s="32" t="s">
        <v>311</v>
      </c>
      <c r="AW4" s="33" t="s">
        <v>315</v>
      </c>
      <c r="AX4" s="32" t="s">
        <v>431</v>
      </c>
    </row>
    <row r="5" spans="1:50" x14ac:dyDescent="0.35">
      <c r="A5" s="13" t="s">
        <v>11</v>
      </c>
      <c r="B5" s="14" t="s">
        <v>12</v>
      </c>
      <c r="C5" s="15"/>
      <c r="F5">
        <v>202304</v>
      </c>
      <c r="I5" s="14">
        <v>103</v>
      </c>
      <c r="J5" s="14" t="s">
        <v>129</v>
      </c>
      <c r="K5" s="14" t="s">
        <v>162</v>
      </c>
      <c r="N5" t="s">
        <v>300</v>
      </c>
      <c r="P5" s="34" t="s">
        <v>344</v>
      </c>
      <c r="Q5" s="35"/>
      <c r="R5" s="35"/>
      <c r="S5" s="34" t="s">
        <v>345</v>
      </c>
      <c r="T5" s="35"/>
      <c r="U5" s="35"/>
      <c r="V5" s="35"/>
      <c r="W5" s="34" t="s">
        <v>346</v>
      </c>
      <c r="X5" s="35"/>
      <c r="Y5" s="35"/>
      <c r="Z5" s="35"/>
      <c r="AA5" s="35"/>
      <c r="AB5" s="37" t="s">
        <v>361</v>
      </c>
      <c r="AC5" s="37" t="s">
        <v>362</v>
      </c>
      <c r="AD5" s="35"/>
      <c r="AE5" s="37" t="s">
        <v>363</v>
      </c>
      <c r="AF5" s="35"/>
      <c r="AG5" s="41" t="s">
        <v>396</v>
      </c>
      <c r="AH5" s="41"/>
      <c r="AI5" s="41"/>
      <c r="AJ5" s="41"/>
      <c r="AK5" s="41"/>
      <c r="AL5" s="39" t="s">
        <v>397</v>
      </c>
      <c r="AM5" s="41"/>
      <c r="AN5" s="42" t="s">
        <v>398</v>
      </c>
      <c r="AO5" s="39" t="s">
        <v>399</v>
      </c>
      <c r="AP5" s="41" t="s">
        <v>400</v>
      </c>
      <c r="AQ5" s="40" t="s">
        <v>430</v>
      </c>
      <c r="AR5" s="35"/>
      <c r="AS5" s="35"/>
      <c r="AU5" s="33" t="s">
        <v>300</v>
      </c>
      <c r="AV5" s="32" t="s">
        <v>312</v>
      </c>
      <c r="AW5" s="33" t="s">
        <v>316</v>
      </c>
    </row>
    <row r="6" spans="1:50" x14ac:dyDescent="0.35">
      <c r="A6" s="10" t="s">
        <v>526</v>
      </c>
      <c r="B6" s="11" t="s">
        <v>527</v>
      </c>
      <c r="C6" s="12"/>
      <c r="F6" s="19">
        <v>202401</v>
      </c>
      <c r="I6" s="14">
        <v>103</v>
      </c>
      <c r="J6" s="14" t="s">
        <v>131</v>
      </c>
      <c r="K6" s="14"/>
      <c r="N6" t="s">
        <v>301</v>
      </c>
      <c r="P6" s="35"/>
      <c r="Q6" s="35"/>
      <c r="R6" s="35"/>
      <c r="S6" s="34" t="s">
        <v>347</v>
      </c>
      <c r="T6" s="35"/>
      <c r="U6" s="35"/>
      <c r="V6" s="35"/>
      <c r="W6" s="35"/>
      <c r="X6" s="35"/>
      <c r="Y6" s="35"/>
      <c r="Z6" s="35"/>
      <c r="AA6" s="35"/>
      <c r="AB6" s="37" t="s">
        <v>364</v>
      </c>
      <c r="AC6" s="37" t="s">
        <v>365</v>
      </c>
      <c r="AD6" s="35"/>
      <c r="AE6" s="37" t="s">
        <v>366</v>
      </c>
      <c r="AF6" s="35"/>
      <c r="AG6" s="35"/>
      <c r="AH6" s="35"/>
      <c r="AI6" s="35"/>
      <c r="AJ6" s="35"/>
      <c r="AK6" s="35"/>
      <c r="AL6" s="39" t="s">
        <v>401</v>
      </c>
      <c r="AM6" s="41"/>
      <c r="AN6" s="42" t="s">
        <v>402</v>
      </c>
      <c r="AO6" s="39" t="s">
        <v>403</v>
      </c>
      <c r="AP6" s="41" t="s">
        <v>404</v>
      </c>
      <c r="AU6" s="33" t="s">
        <v>301</v>
      </c>
      <c r="AW6" s="33" t="s">
        <v>317</v>
      </c>
    </row>
    <row r="7" spans="1:50" x14ac:dyDescent="0.35">
      <c r="A7" s="13" t="s">
        <v>13</v>
      </c>
      <c r="B7" s="14" t="s">
        <v>14</v>
      </c>
      <c r="C7" s="15"/>
      <c r="I7" s="14">
        <v>103</v>
      </c>
      <c r="J7" s="14" t="s">
        <v>167</v>
      </c>
      <c r="K7" s="14" t="s">
        <v>162</v>
      </c>
      <c r="N7" t="s">
        <v>302</v>
      </c>
      <c r="P7" s="35"/>
      <c r="Q7" s="35"/>
      <c r="R7" s="35"/>
      <c r="S7" s="34" t="s">
        <v>348</v>
      </c>
      <c r="T7" s="35"/>
      <c r="U7" s="35"/>
      <c r="V7" s="35"/>
      <c r="W7" s="35"/>
      <c r="X7" s="35"/>
      <c r="Y7" s="35"/>
      <c r="Z7" s="35"/>
      <c r="AA7" s="35"/>
      <c r="AB7" s="37" t="s">
        <v>367</v>
      </c>
      <c r="AC7" s="37" t="s">
        <v>368</v>
      </c>
      <c r="AD7" s="35"/>
      <c r="AE7" s="35"/>
      <c r="AF7" s="35"/>
      <c r="AG7" s="35"/>
      <c r="AH7" s="35"/>
      <c r="AI7" s="35"/>
      <c r="AJ7" s="35"/>
      <c r="AK7" s="35"/>
      <c r="AL7" s="39" t="s">
        <v>405</v>
      </c>
      <c r="AM7" s="41"/>
      <c r="AN7" s="42" t="s">
        <v>406</v>
      </c>
      <c r="AO7" s="39" t="s">
        <v>407</v>
      </c>
      <c r="AP7" s="35"/>
      <c r="AU7" s="33" t="s">
        <v>302</v>
      </c>
      <c r="AW7" s="33" t="s">
        <v>318</v>
      </c>
    </row>
    <row r="8" spans="1:50" x14ac:dyDescent="0.35">
      <c r="A8" s="10" t="s">
        <v>459</v>
      </c>
      <c r="B8" s="11" t="s">
        <v>460</v>
      </c>
      <c r="C8" s="12"/>
      <c r="I8" s="14">
        <v>103</v>
      </c>
      <c r="J8" s="14" t="s">
        <v>168</v>
      </c>
      <c r="K8" s="14" t="s">
        <v>162</v>
      </c>
      <c r="N8" t="s">
        <v>303</v>
      </c>
      <c r="AF8" s="35"/>
      <c r="AG8" s="35"/>
      <c r="AH8" s="35"/>
      <c r="AI8" s="35"/>
      <c r="AJ8" s="35"/>
      <c r="AK8" s="35"/>
      <c r="AL8" s="39" t="s">
        <v>408</v>
      </c>
      <c r="AM8" s="41"/>
      <c r="AN8" s="42" t="s">
        <v>409</v>
      </c>
      <c r="AO8" s="39" t="s">
        <v>410</v>
      </c>
      <c r="AP8" s="35"/>
      <c r="AU8" s="33" t="s">
        <v>303</v>
      </c>
      <c r="AW8" s="33" t="s">
        <v>319</v>
      </c>
    </row>
    <row r="9" spans="1:50" x14ac:dyDescent="0.35">
      <c r="A9" s="13" t="s">
        <v>15</v>
      </c>
      <c r="B9" s="14" t="s">
        <v>16</v>
      </c>
      <c r="C9" s="15"/>
      <c r="I9" s="14">
        <v>103</v>
      </c>
      <c r="J9" s="14" t="s">
        <v>124</v>
      </c>
      <c r="K9" s="14" t="s">
        <v>162</v>
      </c>
      <c r="N9" t="s">
        <v>304</v>
      </c>
      <c r="AF9" s="35"/>
      <c r="AG9" s="35"/>
      <c r="AH9" s="35"/>
      <c r="AI9" s="35"/>
      <c r="AJ9" s="35"/>
      <c r="AK9" s="35"/>
      <c r="AL9" s="39" t="s">
        <v>411</v>
      </c>
      <c r="AM9" s="41"/>
      <c r="AN9" s="39" t="s">
        <v>412</v>
      </c>
      <c r="AO9" s="39" t="s">
        <v>413</v>
      </c>
      <c r="AP9" s="35"/>
      <c r="AU9" s="33" t="s">
        <v>304</v>
      </c>
      <c r="AW9" s="33" t="s">
        <v>320</v>
      </c>
    </row>
    <row r="10" spans="1:50" x14ac:dyDescent="0.35">
      <c r="A10" s="10" t="s">
        <v>282</v>
      </c>
      <c r="B10" s="11" t="s">
        <v>283</v>
      </c>
      <c r="C10" s="12"/>
      <c r="I10" s="14">
        <v>103</v>
      </c>
      <c r="J10" s="14" t="s">
        <v>169</v>
      </c>
      <c r="K10" s="14" t="s">
        <v>162</v>
      </c>
      <c r="N10" t="s">
        <v>305</v>
      </c>
      <c r="AF10" s="35"/>
      <c r="AG10" s="35"/>
      <c r="AH10" s="35"/>
      <c r="AI10" s="35"/>
      <c r="AJ10" s="35"/>
      <c r="AK10" s="35"/>
      <c r="AL10" s="39" t="s">
        <v>414</v>
      </c>
      <c r="AM10" s="41"/>
      <c r="AN10" s="39" t="s">
        <v>415</v>
      </c>
      <c r="AO10" s="39" t="s">
        <v>416</v>
      </c>
      <c r="AP10" s="35"/>
      <c r="AU10" s="33" t="s">
        <v>305</v>
      </c>
      <c r="AW10" s="33" t="s">
        <v>321</v>
      </c>
    </row>
    <row r="11" spans="1:50" x14ac:dyDescent="0.35">
      <c r="A11" s="13" t="s">
        <v>17</v>
      </c>
      <c r="B11" s="14" t="s">
        <v>18</v>
      </c>
      <c r="C11" s="15" t="s">
        <v>19</v>
      </c>
      <c r="I11" s="14">
        <v>103</v>
      </c>
      <c r="J11" s="14" t="s">
        <v>128</v>
      </c>
      <c r="K11" s="14" t="s">
        <v>162</v>
      </c>
      <c r="N11" t="s">
        <v>306</v>
      </c>
      <c r="AF11" s="35"/>
      <c r="AG11" s="35"/>
      <c r="AH11" s="35"/>
      <c r="AI11" s="35"/>
      <c r="AJ11" s="35"/>
      <c r="AK11" s="35"/>
      <c r="AL11" s="35"/>
      <c r="AM11" s="35"/>
      <c r="AN11" s="39" t="s">
        <v>417</v>
      </c>
      <c r="AO11" s="35" t="s">
        <v>1401</v>
      </c>
      <c r="AP11" s="35"/>
      <c r="AU11" s="33" t="s">
        <v>306</v>
      </c>
      <c r="AW11" s="33" t="s">
        <v>322</v>
      </c>
    </row>
    <row r="12" spans="1:50" x14ac:dyDescent="0.35">
      <c r="A12" s="10" t="s">
        <v>514</v>
      </c>
      <c r="B12" s="11" t="s">
        <v>476</v>
      </c>
      <c r="C12" s="12"/>
      <c r="I12" s="14">
        <v>103</v>
      </c>
      <c r="J12" s="14" t="s">
        <v>170</v>
      </c>
      <c r="K12" s="14" t="s">
        <v>162</v>
      </c>
      <c r="N12" t="s">
        <v>307</v>
      </c>
      <c r="AF12" s="35"/>
      <c r="AG12" s="35"/>
      <c r="AH12" s="35"/>
      <c r="AI12" s="35"/>
      <c r="AJ12" s="35"/>
      <c r="AK12" s="35"/>
      <c r="AL12" s="35"/>
      <c r="AM12" s="35"/>
      <c r="AN12" s="39" t="s">
        <v>418</v>
      </c>
      <c r="AO12" s="35"/>
      <c r="AP12" s="35"/>
      <c r="AU12" s="33" t="s">
        <v>307</v>
      </c>
      <c r="AW12" s="33" t="s">
        <v>323</v>
      </c>
    </row>
    <row r="13" spans="1:50" x14ac:dyDescent="0.35">
      <c r="A13" s="13" t="s">
        <v>20</v>
      </c>
      <c r="B13" s="14" t="s">
        <v>21</v>
      </c>
      <c r="C13" s="15" t="s">
        <v>22</v>
      </c>
      <c r="I13" s="14">
        <v>103</v>
      </c>
      <c r="J13" s="14" t="s">
        <v>130</v>
      </c>
      <c r="K13" s="14" t="s">
        <v>162</v>
      </c>
      <c r="N13" t="s">
        <v>308</v>
      </c>
      <c r="AF13" s="35"/>
      <c r="AG13" s="35"/>
      <c r="AH13" s="35"/>
      <c r="AI13" s="35"/>
      <c r="AJ13" s="35"/>
      <c r="AK13" s="35"/>
      <c r="AL13" s="35"/>
      <c r="AM13" s="35"/>
      <c r="AN13" s="39" t="s">
        <v>419</v>
      </c>
      <c r="AO13" s="35"/>
      <c r="AP13" s="35"/>
      <c r="AU13" s="33" t="s">
        <v>308</v>
      </c>
    </row>
    <row r="14" spans="1:50" x14ac:dyDescent="0.35">
      <c r="A14" s="10" t="s">
        <v>23</v>
      </c>
      <c r="B14" s="11" t="s">
        <v>24</v>
      </c>
      <c r="C14" s="12" t="s">
        <v>25</v>
      </c>
      <c r="I14" s="14">
        <v>104</v>
      </c>
      <c r="J14" s="14" t="s">
        <v>132</v>
      </c>
      <c r="K14" s="14" t="s">
        <v>192</v>
      </c>
      <c r="N14" s="19" t="s">
        <v>309</v>
      </c>
      <c r="AF14" s="35"/>
      <c r="AG14" s="35"/>
      <c r="AH14" s="35"/>
      <c r="AI14" s="35"/>
      <c r="AJ14" s="35"/>
      <c r="AK14" s="35"/>
      <c r="AL14" s="35"/>
      <c r="AM14" s="35"/>
      <c r="AN14" s="39" t="s">
        <v>420</v>
      </c>
      <c r="AO14" s="35"/>
      <c r="AP14" s="35"/>
    </row>
    <row r="15" spans="1:50" x14ac:dyDescent="0.35">
      <c r="A15" s="13" t="s">
        <v>26</v>
      </c>
      <c r="B15" s="14" t="s">
        <v>27</v>
      </c>
      <c r="C15" s="15" t="s">
        <v>28</v>
      </c>
      <c r="I15" s="14">
        <v>104</v>
      </c>
      <c r="J15" s="14" t="s">
        <v>171</v>
      </c>
      <c r="K15" s="14" t="s">
        <v>192</v>
      </c>
      <c r="N15" s="19" t="s">
        <v>310</v>
      </c>
      <c r="AF15" s="35"/>
      <c r="AG15" s="35"/>
      <c r="AH15" s="35"/>
      <c r="AI15" s="35"/>
      <c r="AJ15" s="35"/>
      <c r="AK15" s="35"/>
      <c r="AL15" s="35"/>
      <c r="AM15" s="35"/>
      <c r="AN15" s="39" t="s">
        <v>421</v>
      </c>
      <c r="AO15" s="35"/>
      <c r="AP15" s="35"/>
    </row>
    <row r="16" spans="1:50" x14ac:dyDescent="0.35">
      <c r="A16" s="10" t="s">
        <v>29</v>
      </c>
      <c r="B16" s="11" t="s">
        <v>30</v>
      </c>
      <c r="C16" s="12"/>
      <c r="I16" s="14">
        <v>104</v>
      </c>
      <c r="J16" s="14" t="s">
        <v>172</v>
      </c>
      <c r="K16" s="14" t="s">
        <v>161</v>
      </c>
      <c r="N16" s="19" t="s">
        <v>311</v>
      </c>
      <c r="AF16" s="35"/>
      <c r="AG16" s="35"/>
      <c r="AH16" s="35"/>
      <c r="AI16" s="35"/>
      <c r="AJ16" s="35"/>
      <c r="AK16" s="35"/>
      <c r="AL16" s="35"/>
      <c r="AM16" s="35"/>
      <c r="AN16" s="39" t="s">
        <v>422</v>
      </c>
      <c r="AO16" s="35"/>
      <c r="AP16" s="35"/>
    </row>
    <row r="17" spans="1:42" x14ac:dyDescent="0.35">
      <c r="A17" s="13" t="s">
        <v>461</v>
      </c>
      <c r="B17" s="14" t="s">
        <v>462</v>
      </c>
      <c r="C17" s="15"/>
      <c r="I17" s="14">
        <v>104</v>
      </c>
      <c r="J17" s="14" t="s">
        <v>173</v>
      </c>
      <c r="K17" s="14" t="s">
        <v>192</v>
      </c>
      <c r="N17" s="19" t="s">
        <v>312</v>
      </c>
      <c r="AF17" s="35"/>
      <c r="AG17" s="35"/>
      <c r="AH17" s="35"/>
      <c r="AI17" s="35"/>
      <c r="AJ17" s="35"/>
      <c r="AK17" s="35"/>
      <c r="AL17" s="35"/>
      <c r="AM17" s="35"/>
      <c r="AN17" s="39" t="s">
        <v>423</v>
      </c>
      <c r="AO17" s="35"/>
      <c r="AP17" s="35"/>
    </row>
    <row r="18" spans="1:42" x14ac:dyDescent="0.35">
      <c r="A18" s="10" t="s">
        <v>31</v>
      </c>
      <c r="B18" s="11" t="s">
        <v>32</v>
      </c>
      <c r="C18" s="12"/>
      <c r="I18" s="14">
        <v>104</v>
      </c>
      <c r="J18" s="14" t="s">
        <v>174</v>
      </c>
      <c r="K18" s="14" t="s">
        <v>192</v>
      </c>
      <c r="N18" s="19" t="s">
        <v>313</v>
      </c>
    </row>
    <row r="19" spans="1:42" x14ac:dyDescent="0.35">
      <c r="A19" s="13" t="s">
        <v>284</v>
      </c>
      <c r="B19" s="14" t="s">
        <v>285</v>
      </c>
      <c r="C19" s="15"/>
      <c r="I19" s="14">
        <v>105</v>
      </c>
      <c r="J19" s="14" t="s">
        <v>108</v>
      </c>
      <c r="K19" s="14" t="s">
        <v>161</v>
      </c>
      <c r="N19" s="19" t="s">
        <v>314</v>
      </c>
    </row>
    <row r="20" spans="1:42" x14ac:dyDescent="0.35">
      <c r="A20" s="10" t="s">
        <v>33</v>
      </c>
      <c r="B20" s="11" t="s">
        <v>34</v>
      </c>
      <c r="C20" s="12" t="s">
        <v>35</v>
      </c>
      <c r="I20" s="14">
        <v>105</v>
      </c>
      <c r="J20" s="14" t="s">
        <v>112</v>
      </c>
      <c r="K20" s="14" t="s">
        <v>161</v>
      </c>
      <c r="N20" s="19" t="s">
        <v>315</v>
      </c>
    </row>
    <row r="21" spans="1:42" x14ac:dyDescent="0.35">
      <c r="A21" s="13" t="s">
        <v>463</v>
      </c>
      <c r="B21" s="14" t="s">
        <v>464</v>
      </c>
      <c r="C21" s="15"/>
      <c r="I21" s="14">
        <v>105</v>
      </c>
      <c r="J21" s="14" t="s">
        <v>111</v>
      </c>
      <c r="K21" s="14" t="s">
        <v>161</v>
      </c>
      <c r="N21" s="19" t="s">
        <v>316</v>
      </c>
    </row>
    <row r="22" spans="1:42" x14ac:dyDescent="0.35">
      <c r="A22" s="10" t="s">
        <v>36</v>
      </c>
      <c r="B22" s="11" t="s">
        <v>37</v>
      </c>
      <c r="C22" s="12" t="s">
        <v>465</v>
      </c>
      <c r="I22" s="14">
        <v>105</v>
      </c>
      <c r="J22" s="14" t="s">
        <v>133</v>
      </c>
      <c r="K22" s="14" t="s">
        <v>161</v>
      </c>
      <c r="N22" s="19" t="s">
        <v>317</v>
      </c>
    </row>
    <row r="23" spans="1:42" x14ac:dyDescent="0.35">
      <c r="A23" s="13" t="s">
        <v>477</v>
      </c>
      <c r="B23" s="14" t="s">
        <v>478</v>
      </c>
      <c r="C23" s="15"/>
      <c r="I23" s="14">
        <v>105</v>
      </c>
      <c r="J23" s="14" t="s">
        <v>175</v>
      </c>
      <c r="K23" s="14" t="s">
        <v>161</v>
      </c>
      <c r="N23" s="19" t="s">
        <v>318</v>
      </c>
    </row>
    <row r="24" spans="1:42" x14ac:dyDescent="0.35">
      <c r="A24" s="10" t="s">
        <v>38</v>
      </c>
      <c r="B24" s="11" t="s">
        <v>39</v>
      </c>
      <c r="C24" s="12"/>
      <c r="I24" s="14">
        <v>105</v>
      </c>
      <c r="J24" s="14" t="s">
        <v>113</v>
      </c>
      <c r="K24" s="14" t="s">
        <v>161</v>
      </c>
      <c r="N24" s="19" t="s">
        <v>319</v>
      </c>
    </row>
    <row r="25" spans="1:42" x14ac:dyDescent="0.35">
      <c r="A25" s="13" t="s">
        <v>40</v>
      </c>
      <c r="B25" s="14" t="s">
        <v>41</v>
      </c>
      <c r="C25" s="15" t="s">
        <v>42</v>
      </c>
      <c r="I25" s="14">
        <v>105</v>
      </c>
      <c r="J25" s="14" t="s">
        <v>176</v>
      </c>
      <c r="K25" s="14" t="s">
        <v>161</v>
      </c>
      <c r="N25" s="19" t="s">
        <v>320</v>
      </c>
    </row>
    <row r="26" spans="1:42" x14ac:dyDescent="0.35">
      <c r="A26" s="13" t="s">
        <v>43</v>
      </c>
      <c r="B26" s="14" t="s">
        <v>44</v>
      </c>
      <c r="C26" s="15" t="s">
        <v>45</v>
      </c>
      <c r="I26" s="14">
        <v>106</v>
      </c>
      <c r="J26" s="14" t="s">
        <v>177</v>
      </c>
      <c r="K26" s="14" t="s">
        <v>163</v>
      </c>
      <c r="N26" s="19" t="s">
        <v>321</v>
      </c>
    </row>
    <row r="27" spans="1:42" x14ac:dyDescent="0.35">
      <c r="A27" s="13" t="s">
        <v>46</v>
      </c>
      <c r="B27" s="14" t="s">
        <v>47</v>
      </c>
      <c r="C27" s="15" t="s">
        <v>42</v>
      </c>
      <c r="I27" s="14">
        <v>106</v>
      </c>
      <c r="J27" s="14" t="s">
        <v>134</v>
      </c>
      <c r="K27" s="14" t="s">
        <v>163</v>
      </c>
      <c r="N27" s="19" t="s">
        <v>322</v>
      </c>
    </row>
    <row r="28" spans="1:42" x14ac:dyDescent="0.35">
      <c r="A28" s="13" t="s">
        <v>48</v>
      </c>
      <c r="B28" s="14" t="s">
        <v>49</v>
      </c>
      <c r="C28" s="15"/>
      <c r="I28" s="14">
        <v>106</v>
      </c>
      <c r="J28" s="14" t="s">
        <v>119</v>
      </c>
      <c r="K28" s="14" t="s">
        <v>163</v>
      </c>
      <c r="N28" s="19" t="s">
        <v>323</v>
      </c>
    </row>
    <row r="29" spans="1:42" x14ac:dyDescent="0.35">
      <c r="A29" s="13" t="s">
        <v>50</v>
      </c>
      <c r="B29" s="14" t="s">
        <v>51</v>
      </c>
      <c r="C29" s="15" t="s">
        <v>52</v>
      </c>
      <c r="I29" s="14">
        <v>106</v>
      </c>
      <c r="J29" s="14" t="s">
        <v>121</v>
      </c>
      <c r="K29" s="14" t="s">
        <v>163</v>
      </c>
      <c r="N29" s="19" t="s">
        <v>324</v>
      </c>
    </row>
    <row r="30" spans="1:42" x14ac:dyDescent="0.35">
      <c r="A30" s="13" t="s">
        <v>53</v>
      </c>
      <c r="B30" s="14" t="s">
        <v>54</v>
      </c>
      <c r="C30" s="15" t="s">
        <v>32</v>
      </c>
      <c r="I30" s="14">
        <v>106</v>
      </c>
      <c r="J30" s="14" t="s">
        <v>120</v>
      </c>
      <c r="K30" s="14" t="s">
        <v>163</v>
      </c>
      <c r="N30" s="19" t="s">
        <v>294</v>
      </c>
    </row>
    <row r="31" spans="1:42" x14ac:dyDescent="0.35">
      <c r="A31" s="13" t="s">
        <v>55</v>
      </c>
      <c r="B31" s="14" t="s">
        <v>56</v>
      </c>
      <c r="C31" s="15" t="s">
        <v>22</v>
      </c>
      <c r="I31" s="14">
        <v>107</v>
      </c>
      <c r="J31" s="14" t="s">
        <v>140</v>
      </c>
      <c r="K31" s="14" t="s">
        <v>163</v>
      </c>
      <c r="N31" s="19" t="s">
        <v>431</v>
      </c>
    </row>
    <row r="32" spans="1:42" x14ac:dyDescent="0.35">
      <c r="A32" s="13" t="s">
        <v>57</v>
      </c>
      <c r="B32" s="14" t="s">
        <v>58</v>
      </c>
      <c r="C32" s="15" t="s">
        <v>460</v>
      </c>
      <c r="I32" s="14">
        <v>107</v>
      </c>
      <c r="J32" s="14" t="s">
        <v>143</v>
      </c>
      <c r="K32" s="14" t="s">
        <v>163</v>
      </c>
    </row>
    <row r="33" spans="1:11" x14ac:dyDescent="0.35">
      <c r="A33" s="13" t="s">
        <v>59</v>
      </c>
      <c r="B33" s="14" t="s">
        <v>60</v>
      </c>
      <c r="C33" s="15"/>
      <c r="I33" s="14">
        <v>107</v>
      </c>
      <c r="J33" s="14" t="s">
        <v>142</v>
      </c>
      <c r="K33" s="14" t="s">
        <v>163</v>
      </c>
    </row>
    <row r="34" spans="1:11" x14ac:dyDescent="0.35">
      <c r="A34" s="13" t="s">
        <v>450</v>
      </c>
      <c r="B34" s="14" t="s">
        <v>451</v>
      </c>
      <c r="C34" s="15"/>
      <c r="I34" s="14">
        <v>107</v>
      </c>
      <c r="J34" s="14" t="s">
        <v>179</v>
      </c>
      <c r="K34" s="14" t="s">
        <v>163</v>
      </c>
    </row>
    <row r="35" spans="1:11" x14ac:dyDescent="0.35">
      <c r="A35" s="13" t="s">
        <v>286</v>
      </c>
      <c r="B35" s="14" t="s">
        <v>287</v>
      </c>
      <c r="C35" s="15"/>
      <c r="I35" s="14">
        <v>107</v>
      </c>
      <c r="J35" s="14" t="s">
        <v>137</v>
      </c>
      <c r="K35" s="14" t="s">
        <v>163</v>
      </c>
    </row>
    <row r="36" spans="1:11" x14ac:dyDescent="0.35">
      <c r="A36" s="13" t="s">
        <v>61</v>
      </c>
      <c r="B36" s="14" t="s">
        <v>62</v>
      </c>
      <c r="C36" s="15"/>
      <c r="I36" s="14">
        <v>107</v>
      </c>
      <c r="J36" s="14" t="s">
        <v>180</v>
      </c>
      <c r="K36" s="14" t="s">
        <v>163</v>
      </c>
    </row>
    <row r="37" spans="1:11" x14ac:dyDescent="0.35">
      <c r="A37" s="13" t="s">
        <v>546</v>
      </c>
      <c r="B37" s="14" t="s">
        <v>547</v>
      </c>
      <c r="C37" s="15"/>
      <c r="I37" s="14">
        <v>107</v>
      </c>
      <c r="J37" s="14" t="s">
        <v>136</v>
      </c>
      <c r="K37" s="14" t="s">
        <v>163</v>
      </c>
    </row>
    <row r="38" spans="1:11" x14ac:dyDescent="0.35">
      <c r="A38" s="13" t="s">
        <v>63</v>
      </c>
      <c r="B38" s="14" t="s">
        <v>22</v>
      </c>
      <c r="C38" s="15" t="s">
        <v>64</v>
      </c>
      <c r="I38" s="14">
        <v>107</v>
      </c>
      <c r="J38" s="14" t="s">
        <v>181</v>
      </c>
      <c r="K38" s="14" t="s">
        <v>163</v>
      </c>
    </row>
    <row r="39" spans="1:11" x14ac:dyDescent="0.35">
      <c r="A39" s="13" t="s">
        <v>65</v>
      </c>
      <c r="B39" s="14" t="s">
        <v>66</v>
      </c>
      <c r="C39" s="15"/>
      <c r="I39" s="14">
        <v>107</v>
      </c>
      <c r="J39" s="14" t="s">
        <v>139</v>
      </c>
      <c r="K39" s="14" t="s">
        <v>163</v>
      </c>
    </row>
    <row r="40" spans="1:11" x14ac:dyDescent="0.35">
      <c r="A40" s="13" t="s">
        <v>67</v>
      </c>
      <c r="B40" s="14" t="s">
        <v>68</v>
      </c>
      <c r="C40" s="15" t="s">
        <v>32</v>
      </c>
      <c r="I40" s="14">
        <v>107</v>
      </c>
      <c r="J40" s="14" t="s">
        <v>141</v>
      </c>
      <c r="K40" s="14" t="s">
        <v>163</v>
      </c>
    </row>
    <row r="41" spans="1:11" x14ac:dyDescent="0.35">
      <c r="A41" s="13" t="s">
        <v>69</v>
      </c>
      <c r="B41" s="14" t="s">
        <v>70</v>
      </c>
      <c r="C41" s="15"/>
      <c r="I41" s="14">
        <v>107</v>
      </c>
      <c r="J41" s="14" t="s">
        <v>135</v>
      </c>
      <c r="K41" s="14" t="s">
        <v>163</v>
      </c>
    </row>
    <row r="42" spans="1:11" x14ac:dyDescent="0.35">
      <c r="A42" s="13" t="s">
        <v>71</v>
      </c>
      <c r="B42" s="14" t="s">
        <v>72</v>
      </c>
      <c r="C42" s="15" t="s">
        <v>16</v>
      </c>
      <c r="I42" s="14">
        <v>107</v>
      </c>
      <c r="J42" s="14" t="s">
        <v>138</v>
      </c>
      <c r="K42" s="14" t="s">
        <v>163</v>
      </c>
    </row>
    <row r="43" spans="1:11" x14ac:dyDescent="0.35">
      <c r="A43" s="16" t="s">
        <v>466</v>
      </c>
      <c r="B43" s="17"/>
      <c r="C43" s="18"/>
      <c r="I43" s="14">
        <v>109</v>
      </c>
      <c r="J43" s="14" t="s">
        <v>146</v>
      </c>
      <c r="K43" s="14" t="s">
        <v>163</v>
      </c>
    </row>
    <row r="44" spans="1:11" x14ac:dyDescent="0.35">
      <c r="A44" s="13" t="s">
        <v>528</v>
      </c>
      <c r="B44" s="14" t="s">
        <v>529</v>
      </c>
      <c r="C44" s="15"/>
      <c r="I44" s="14">
        <v>109</v>
      </c>
      <c r="J44" s="14" t="s">
        <v>147</v>
      </c>
      <c r="K44" s="14" t="s">
        <v>163</v>
      </c>
    </row>
    <row r="45" spans="1:11" x14ac:dyDescent="0.35">
      <c r="A45" s="13" t="s">
        <v>288</v>
      </c>
      <c r="B45" s="14" t="s">
        <v>289</v>
      </c>
      <c r="C45" s="15"/>
      <c r="I45" s="14">
        <v>109</v>
      </c>
      <c r="J45" s="14" t="s">
        <v>144</v>
      </c>
      <c r="K45" s="14" t="s">
        <v>163</v>
      </c>
    </row>
    <row r="46" spans="1:11" x14ac:dyDescent="0.35">
      <c r="A46" s="13" t="s">
        <v>73</v>
      </c>
      <c r="B46" s="14" t="s">
        <v>45</v>
      </c>
      <c r="C46" s="15" t="s">
        <v>74</v>
      </c>
      <c r="I46" s="14">
        <v>109</v>
      </c>
      <c r="J46" s="14" t="s">
        <v>145</v>
      </c>
      <c r="K46" s="14" t="s">
        <v>163</v>
      </c>
    </row>
    <row r="47" spans="1:11" x14ac:dyDescent="0.35">
      <c r="A47" s="16" t="s">
        <v>75</v>
      </c>
      <c r="B47" s="17" t="s">
        <v>76</v>
      </c>
      <c r="C47" s="18" t="s">
        <v>77</v>
      </c>
      <c r="I47" s="14">
        <v>109</v>
      </c>
      <c r="J47" s="14" t="s">
        <v>182</v>
      </c>
      <c r="K47" s="14" t="s">
        <v>163</v>
      </c>
    </row>
    <row r="48" spans="1:11" x14ac:dyDescent="0.35">
      <c r="A48" s="16" t="s">
        <v>78</v>
      </c>
      <c r="B48" s="17" t="s">
        <v>79</v>
      </c>
      <c r="C48" s="18" t="s">
        <v>49</v>
      </c>
      <c r="I48" s="14">
        <v>109</v>
      </c>
      <c r="J48" s="14" t="s">
        <v>183</v>
      </c>
      <c r="K48" s="14" t="s">
        <v>163</v>
      </c>
    </row>
    <row r="49" spans="1:11" x14ac:dyDescent="0.35">
      <c r="A49" s="16" t="s">
        <v>80</v>
      </c>
      <c r="B49" s="17" t="s">
        <v>28</v>
      </c>
      <c r="C49" s="18"/>
      <c r="I49" s="14">
        <v>109</v>
      </c>
      <c r="J49" s="14" t="s">
        <v>148</v>
      </c>
      <c r="K49" s="14" t="s">
        <v>163</v>
      </c>
    </row>
    <row r="50" spans="1:11" x14ac:dyDescent="0.35">
      <c r="A50" s="52" t="s">
        <v>470</v>
      </c>
      <c r="B50" s="53" t="s">
        <v>479</v>
      </c>
      <c r="C50" s="54"/>
      <c r="I50" s="14">
        <v>109</v>
      </c>
      <c r="J50" s="14" t="s">
        <v>122</v>
      </c>
      <c r="K50" s="14" t="s">
        <v>163</v>
      </c>
    </row>
    <row r="51" spans="1:11" x14ac:dyDescent="0.35">
      <c r="A51" s="52" t="s">
        <v>215</v>
      </c>
      <c r="B51" s="53" t="s">
        <v>216</v>
      </c>
      <c r="C51" s="54"/>
      <c r="I51" s="14">
        <v>109</v>
      </c>
      <c r="J51" s="14" t="s">
        <v>184</v>
      </c>
      <c r="K51" s="14" t="s">
        <v>163</v>
      </c>
    </row>
    <row r="52" spans="1:11" x14ac:dyDescent="0.35">
      <c r="A52" s="52" t="s">
        <v>81</v>
      </c>
      <c r="B52" s="53" t="s">
        <v>82</v>
      </c>
      <c r="C52" s="54"/>
      <c r="I52" s="14">
        <v>110</v>
      </c>
      <c r="J52" s="14" t="s">
        <v>153</v>
      </c>
      <c r="K52" s="14" t="s">
        <v>163</v>
      </c>
    </row>
    <row r="53" spans="1:11" x14ac:dyDescent="0.35">
      <c r="A53" s="52" t="s">
        <v>83</v>
      </c>
      <c r="B53" s="53" t="s">
        <v>84</v>
      </c>
      <c r="C53" s="54" t="s">
        <v>467</v>
      </c>
      <c r="I53" s="14">
        <v>110</v>
      </c>
      <c r="J53" s="14" t="s">
        <v>152</v>
      </c>
      <c r="K53" s="14" t="s">
        <v>163</v>
      </c>
    </row>
    <row r="54" spans="1:11" x14ac:dyDescent="0.35">
      <c r="A54" s="52" t="s">
        <v>85</v>
      </c>
      <c r="B54" s="57" t="s">
        <v>86</v>
      </c>
      <c r="C54" s="54" t="s">
        <v>10</v>
      </c>
      <c r="I54" s="14">
        <v>110</v>
      </c>
      <c r="J54" s="14" t="s">
        <v>151</v>
      </c>
      <c r="K54" s="14" t="s">
        <v>163</v>
      </c>
    </row>
    <row r="55" spans="1:11" x14ac:dyDescent="0.35">
      <c r="A55" s="52" t="s">
        <v>480</v>
      </c>
      <c r="B55" s="57" t="s">
        <v>481</v>
      </c>
      <c r="C55" s="54"/>
      <c r="I55" s="14">
        <v>110</v>
      </c>
      <c r="J55" s="14" t="s">
        <v>149</v>
      </c>
      <c r="K55" s="14" t="s">
        <v>163</v>
      </c>
    </row>
    <row r="56" spans="1:11" x14ac:dyDescent="0.35">
      <c r="A56" s="52" t="s">
        <v>87</v>
      </c>
      <c r="B56" s="57" t="s">
        <v>88</v>
      </c>
      <c r="C56" s="54" t="s">
        <v>12</v>
      </c>
      <c r="I56" s="14">
        <v>110</v>
      </c>
      <c r="J56" s="14" t="s">
        <v>154</v>
      </c>
      <c r="K56" s="14" t="s">
        <v>163</v>
      </c>
    </row>
    <row r="57" spans="1:11" x14ac:dyDescent="0.35">
      <c r="A57" s="52" t="s">
        <v>89</v>
      </c>
      <c r="B57" s="57" t="s">
        <v>90</v>
      </c>
      <c r="C57" s="54"/>
      <c r="I57" s="14">
        <v>110</v>
      </c>
      <c r="J57" s="14" t="s">
        <v>150</v>
      </c>
      <c r="K57" s="14" t="s">
        <v>163</v>
      </c>
    </row>
    <row r="58" spans="1:11" x14ac:dyDescent="0.35">
      <c r="A58" s="52" t="s">
        <v>530</v>
      </c>
      <c r="B58" s="57" t="s">
        <v>531</v>
      </c>
      <c r="C58" s="54"/>
      <c r="I58" s="14">
        <v>111</v>
      </c>
      <c r="J58" s="14" t="s">
        <v>123</v>
      </c>
      <c r="K58" s="14" t="s">
        <v>163</v>
      </c>
    </row>
    <row r="59" spans="1:11" x14ac:dyDescent="0.35">
      <c r="A59" s="52" t="s">
        <v>91</v>
      </c>
      <c r="B59" s="57" t="s">
        <v>92</v>
      </c>
      <c r="C59" s="54"/>
      <c r="I59" s="14">
        <v>111</v>
      </c>
      <c r="J59" s="14" t="s">
        <v>185</v>
      </c>
      <c r="K59" s="14" t="s">
        <v>163</v>
      </c>
    </row>
    <row r="60" spans="1:11" x14ac:dyDescent="0.35">
      <c r="A60" s="52" t="s">
        <v>93</v>
      </c>
      <c r="B60" s="57" t="s">
        <v>94</v>
      </c>
      <c r="C60" s="54" t="s">
        <v>45</v>
      </c>
      <c r="I60" s="14">
        <v>111</v>
      </c>
      <c r="J60" s="14" t="s">
        <v>155</v>
      </c>
      <c r="K60" s="14" t="s">
        <v>163</v>
      </c>
    </row>
    <row r="61" spans="1:11" x14ac:dyDescent="0.35">
      <c r="A61" s="52" t="s">
        <v>95</v>
      </c>
      <c r="B61" s="57" t="s">
        <v>96</v>
      </c>
      <c r="C61" s="54" t="s">
        <v>460</v>
      </c>
      <c r="I61" s="14">
        <v>112</v>
      </c>
      <c r="J61" s="14" t="s">
        <v>114</v>
      </c>
      <c r="K61" s="14" t="s">
        <v>162</v>
      </c>
    </row>
    <row r="62" spans="1:11" x14ac:dyDescent="0.35">
      <c r="A62" s="52" t="s">
        <v>482</v>
      </c>
      <c r="B62" s="57" t="s">
        <v>483</v>
      </c>
      <c r="C62" s="54"/>
      <c r="I62" s="14">
        <v>112</v>
      </c>
      <c r="J62" s="14" t="s">
        <v>158</v>
      </c>
      <c r="K62" s="14" t="s">
        <v>162</v>
      </c>
    </row>
    <row r="63" spans="1:11" x14ac:dyDescent="0.35">
      <c r="I63" s="14">
        <v>112</v>
      </c>
      <c r="J63" s="14" t="s">
        <v>186</v>
      </c>
      <c r="K63" s="14" t="s">
        <v>162</v>
      </c>
    </row>
    <row r="64" spans="1:11" x14ac:dyDescent="0.35">
      <c r="I64" s="14">
        <v>112</v>
      </c>
      <c r="J64" s="14" t="s">
        <v>156</v>
      </c>
      <c r="K64" s="14" t="s">
        <v>178</v>
      </c>
    </row>
    <row r="65" spans="9:11" x14ac:dyDescent="0.35">
      <c r="I65" s="14">
        <v>112</v>
      </c>
      <c r="J65" s="14" t="s">
        <v>157</v>
      </c>
      <c r="K65" s="14" t="s">
        <v>178</v>
      </c>
    </row>
    <row r="66" spans="9:11" x14ac:dyDescent="0.35">
      <c r="I66" s="14">
        <v>112</v>
      </c>
      <c r="J66" s="14" t="s">
        <v>185</v>
      </c>
      <c r="K66" s="14" t="s">
        <v>178</v>
      </c>
    </row>
    <row r="67" spans="9:11" x14ac:dyDescent="0.35">
      <c r="I67" s="14">
        <v>114</v>
      </c>
      <c r="J67" s="14" t="s">
        <v>187</v>
      </c>
      <c r="K67" s="14" t="s">
        <v>162</v>
      </c>
    </row>
    <row r="68" spans="9:11" x14ac:dyDescent="0.35">
      <c r="I68" s="14">
        <v>114</v>
      </c>
      <c r="J68" s="14" t="s">
        <v>188</v>
      </c>
      <c r="K68" s="14" t="s">
        <v>162</v>
      </c>
    </row>
    <row r="69" spans="9:11" x14ac:dyDescent="0.35">
      <c r="I69" s="14">
        <v>114</v>
      </c>
      <c r="J69" s="14" t="s">
        <v>189</v>
      </c>
      <c r="K69" s="14" t="s">
        <v>162</v>
      </c>
    </row>
    <row r="70" spans="9:11" x14ac:dyDescent="0.35">
      <c r="I70" s="14">
        <v>115</v>
      </c>
      <c r="J70" s="14" t="s">
        <v>189</v>
      </c>
      <c r="K70" s="14" t="s">
        <v>162</v>
      </c>
    </row>
    <row r="71" spans="9:11" x14ac:dyDescent="0.35">
      <c r="I71" s="14">
        <v>115</v>
      </c>
      <c r="J71" s="14" t="s">
        <v>110</v>
      </c>
      <c r="K71" s="14" t="s">
        <v>162</v>
      </c>
    </row>
    <row r="72" spans="9:11" x14ac:dyDescent="0.35">
      <c r="I72" s="14">
        <v>115</v>
      </c>
      <c r="J72" s="14" t="s">
        <v>116</v>
      </c>
      <c r="K72" s="14" t="s">
        <v>162</v>
      </c>
    </row>
    <row r="73" spans="9:11" x14ac:dyDescent="0.35">
      <c r="I73" s="14">
        <v>116</v>
      </c>
      <c r="J73" s="14" t="s">
        <v>159</v>
      </c>
      <c r="K73" s="14" t="s">
        <v>162</v>
      </c>
    </row>
    <row r="74" spans="9:11" x14ac:dyDescent="0.35">
      <c r="I74" s="14">
        <v>116</v>
      </c>
      <c r="J74" s="14" t="s">
        <v>125</v>
      </c>
      <c r="K74" s="14" t="s">
        <v>162</v>
      </c>
    </row>
    <row r="75" spans="9:11" x14ac:dyDescent="0.35">
      <c r="I75" s="14">
        <v>116</v>
      </c>
      <c r="J75" s="14" t="s">
        <v>189</v>
      </c>
      <c r="K75" s="14" t="s">
        <v>162</v>
      </c>
    </row>
    <row r="76" spans="9:11" x14ac:dyDescent="0.35">
      <c r="I76" s="14">
        <v>116</v>
      </c>
      <c r="J76" s="14" t="s">
        <v>117</v>
      </c>
      <c r="K76" s="14" t="s">
        <v>162</v>
      </c>
    </row>
    <row r="77" spans="9:11" x14ac:dyDescent="0.35">
      <c r="I77" s="14">
        <v>116</v>
      </c>
      <c r="J77" s="14" t="s">
        <v>109</v>
      </c>
      <c r="K77" s="14" t="s">
        <v>162</v>
      </c>
    </row>
    <row r="78" spans="9:11" x14ac:dyDescent="0.35">
      <c r="I78" s="14">
        <v>116</v>
      </c>
      <c r="J78" s="14" t="s">
        <v>118</v>
      </c>
      <c r="K78" s="14" t="s">
        <v>162</v>
      </c>
    </row>
    <row r="79" spans="9:11" x14ac:dyDescent="0.35">
      <c r="I79" s="14">
        <v>117</v>
      </c>
      <c r="J79" s="14" t="s">
        <v>190</v>
      </c>
      <c r="K79" s="14" t="s">
        <v>162</v>
      </c>
    </row>
    <row r="80" spans="9:11" x14ac:dyDescent="0.35">
      <c r="I80" s="14">
        <v>117</v>
      </c>
      <c r="J80" s="14" t="s">
        <v>189</v>
      </c>
      <c r="K80" s="14" t="s">
        <v>162</v>
      </c>
    </row>
    <row r="81" spans="9:11" x14ac:dyDescent="0.35">
      <c r="I81" s="14">
        <v>117</v>
      </c>
      <c r="J81" s="14" t="s">
        <v>115</v>
      </c>
      <c r="K81" s="14" t="s">
        <v>162</v>
      </c>
    </row>
    <row r="82" spans="9:11" x14ac:dyDescent="0.35">
      <c r="I82" s="17">
        <v>123</v>
      </c>
      <c r="J82" s="17" t="s">
        <v>191</v>
      </c>
      <c r="K82" s="17"/>
    </row>
  </sheetData>
  <conditionalFormatting sqref="S2">
    <cfRule type="duplicateValues" dxfId="19" priority="8"/>
  </conditionalFormatting>
  <conditionalFormatting sqref="W3">
    <cfRule type="duplicateValues" dxfId="18" priority="7"/>
  </conditionalFormatting>
  <conditionalFormatting sqref="AN5">
    <cfRule type="duplicateValues" dxfId="17" priority="6"/>
  </conditionalFormatting>
  <conditionalFormatting sqref="P1:AS1 AU1 AW1">
    <cfRule type="duplicateValues" dxfId="16" priority="5"/>
  </conditionalFormatting>
  <conditionalFormatting sqref="AU2:AU13">
    <cfRule type="duplicateValues" dxfId="15" priority="4"/>
  </conditionalFormatting>
  <conditionalFormatting sqref="AV2:AV5">
    <cfRule type="duplicateValues" dxfId="14" priority="3"/>
  </conditionalFormatting>
  <conditionalFormatting sqref="AW2:AW12">
    <cfRule type="duplicateValues" dxfId="13" priority="2"/>
  </conditionalFormatting>
  <conditionalFormatting sqref="AX2:AX4">
    <cfRule type="duplicateValues" dxfId="12" priority="1"/>
  </conditionalFormatting>
  <dataValidations disablePrompts="1" count="1">
    <dataValidation type="list" allowBlank="1" showInputMessage="1" showErrorMessage="1" sqref="K2:K82">
      <formula1>"Hardlines, Softlines, Role Play, Accessories"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ADD39A-5D3F-42DF-AE4A-8E81B84CBE8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Control </vt:lpstr>
      <vt:lpstr>Instructions</vt:lpstr>
      <vt:lpstr>GRCs</vt:lpstr>
      <vt:lpstr>WholesaleExtract</vt:lpstr>
      <vt:lpstr>Ref Tables</vt:lpstr>
      <vt:lpstr>Accessories</vt:lpstr>
      <vt:lpstr>Accessory</vt:lpstr>
      <vt:lpstr>Apparel</vt:lpstr>
      <vt:lpstr>Apparel_</vt:lpstr>
      <vt:lpstr>Bags_and_Luggage</vt:lpstr>
      <vt:lpstr>Category</vt:lpstr>
      <vt:lpstr>Cooking_Apron</vt:lpstr>
      <vt:lpstr>Costume_Footwear</vt:lpstr>
      <vt:lpstr>Cuddleez</vt:lpstr>
      <vt:lpstr>Dolls_and_Figures</vt:lpstr>
      <vt:lpstr>Dress_Bottom</vt:lpstr>
      <vt:lpstr>Drinkware</vt:lpstr>
      <vt:lpstr>Eyewear</vt:lpstr>
      <vt:lpstr>Footwear</vt:lpstr>
      <vt:lpstr>Hardlines</vt:lpstr>
      <vt:lpstr>Headwear</vt:lpstr>
      <vt:lpstr>Home</vt:lpstr>
      <vt:lpstr>Jewelry</vt:lpstr>
      <vt:lpstr>Lunch_Totes</vt:lpstr>
      <vt:lpstr>Outerwear_Top</vt:lpstr>
      <vt:lpstr>PD_Designer</vt:lpstr>
      <vt:lpstr>Pet</vt:lpstr>
      <vt:lpstr>Pins_and_Charms</vt:lpstr>
      <vt:lpstr>'Control '!PlanYrQtr</vt:lpstr>
      <vt:lpstr>Playing_House_Toys</vt:lpstr>
      <vt:lpstr>Plush</vt:lpstr>
      <vt:lpstr>Role_Play</vt:lpstr>
      <vt:lpstr>Seasonal</vt:lpstr>
      <vt:lpstr>Sets</vt:lpstr>
      <vt:lpstr>Socks</vt:lpstr>
      <vt:lpstr>Stationery</vt:lpstr>
      <vt:lpstr>Swimwear</vt:lpstr>
      <vt:lpstr>Tabletop</vt:lpstr>
      <vt:lpstr>Towels</vt:lpstr>
      <vt:lpstr>Toys</vt:lpstr>
      <vt:lpstr>Umbrella</vt:lpstr>
      <vt:lpstr>Water_and_Pool_Toys</vt:lpstr>
    </vt:vector>
  </TitlesOfParts>
  <Company>The Walt Disney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Guilbeault, Michelle X. -ND</dc:creator>
  <cp:lastModifiedBy>Colby, Deborah A.</cp:lastModifiedBy>
  <cp:lastPrinted>2022-05-11T17:17:36Z</cp:lastPrinted>
  <dcterms:created xsi:type="dcterms:W3CDTF">2021-07-13T00:46:13Z</dcterms:created>
  <dcterms:modified xsi:type="dcterms:W3CDTF">2023-02-14T16:49:40Z</dcterms:modified>
</cp:coreProperties>
</file>